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fileSharing readOnlyRecommended="1" userName="Nguyễn Thị Thiện Duyên(Nguyen Thi Thien Duyen)" algorithmName="SHA-512" hashValue="CdKWQz4c1RcuQhKTDFgBveLvc435FTMYbIzSnWdD9F/CKWLvFb/1I0j4jmsoDBl5I2c5OEQCS8hVTgtnYRz8ig==" saltValue="z6NmPcNRkRy5jDkahwBEAw==" spinCount="10000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Kyocera\Saisan\Master plan\FY2026\Phan bo\"/>
    </mc:Choice>
  </mc:AlternateContent>
  <xr:revisionPtr revIDLastSave="0" documentId="8_{FC2A1F4A-BAF2-47D3-B872-DCDFBEE067C7}" xr6:coauthVersionLast="47" xr6:coauthVersionMax="47" xr10:uidLastSave="{00000000-0000-0000-0000-000000000000}"/>
  <bookViews>
    <workbookView xWindow="7420" yWindow="260" windowWidth="11780" windowHeight="9820" xr2:uid="{00000000-000D-0000-FFFF-FFFF00000000}"/>
  </bookViews>
  <sheets>
    <sheet name="減価償却費（Depreciation）" sheetId="12" r:id="rId1"/>
    <sheet name="固定資産金利（Interest）" sheetId="13" r:id="rId2"/>
    <sheet name="水道光熱費（Electric &amp; Water）" sheetId="14" r:id="rId3"/>
    <sheet name="B&amp;L" sheetId="7" r:id="rId4"/>
    <sheet name="E&amp;W" sheetId="15" r:id="rId5"/>
  </sheets>
  <externalReferences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_____DAT10">#REF!</definedName>
    <definedName name="______dat1000">#REF!</definedName>
    <definedName name="______DAT11">#REF!</definedName>
    <definedName name="______DAT1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DAT10" localSheetId="2">#REF!</definedName>
    <definedName name="_____dat1000" localSheetId="2">#REF!</definedName>
    <definedName name="_____DAT11" localSheetId="2">#REF!</definedName>
    <definedName name="_____DAT12" localSheetId="2">#REF!</definedName>
    <definedName name="_____DAT3" localSheetId="2">#REF!</definedName>
    <definedName name="_____DAT4" localSheetId="2">#REF!</definedName>
    <definedName name="_____DAT5" localSheetId="2">#REF!</definedName>
    <definedName name="_____DAT6" localSheetId="2">#REF!</definedName>
    <definedName name="_____DAT7" localSheetId="2">#REF!</definedName>
    <definedName name="_____DAT8" localSheetId="2">#REF!</definedName>
    <definedName name="_____DAT9" localSheetId="2">#REF!</definedName>
    <definedName name="____DAT10">#REF!</definedName>
    <definedName name="____dat1000">#REF!</definedName>
    <definedName name="____DAT11">#REF!</definedName>
    <definedName name="____DAT1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DAT1">#REF!</definedName>
    <definedName name="___DAT10" localSheetId="1">#REF!</definedName>
    <definedName name="___dat1000" localSheetId="1">#REF!</definedName>
    <definedName name="___DAT11" localSheetId="1">#REF!</definedName>
    <definedName name="___DAT12" localSheetId="1">#REF!</definedName>
    <definedName name="___DAT2">#REF!</definedName>
    <definedName name="___DAT3" localSheetId="1">#REF!</definedName>
    <definedName name="___DAT4" localSheetId="1">#REF!</definedName>
    <definedName name="___DAT5" localSheetId="1">#REF!</definedName>
    <definedName name="___DAT6" localSheetId="1">#REF!</definedName>
    <definedName name="___DAT7" localSheetId="1">#REF!</definedName>
    <definedName name="___DAT8" localSheetId="1">#REF!</definedName>
    <definedName name="___DAT9" localSheetId="1">#REF!</definedName>
    <definedName name="__DAT1">#REF!</definedName>
    <definedName name="__DAT10">#REF!</definedName>
    <definedName name="__dat1000">#REF!</definedName>
    <definedName name="__DAT11">#REF!</definedName>
    <definedName name="__DAT12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DAT1">#REF!</definedName>
    <definedName name="_DAT10" localSheetId="0">#REF!</definedName>
    <definedName name="_dat1000" localSheetId="0">#REF!</definedName>
    <definedName name="_DAT11" localSheetId="0">#REF!</definedName>
    <definedName name="_DAT12" localSheetId="0">#REF!</definedName>
    <definedName name="_DAT2">#REF!</definedName>
    <definedName name="_DAT3" localSheetId="0">#REF!</definedName>
    <definedName name="_DAT4" localSheetId="0">#REF!</definedName>
    <definedName name="_DAT5" localSheetId="0">#REF!</definedName>
    <definedName name="_DAT6" localSheetId="0">#REF!</definedName>
    <definedName name="_DAT7" localSheetId="0">#REF!</definedName>
    <definedName name="_DAT8" localSheetId="0">#REF!</definedName>
    <definedName name="_DAT9" localSheetId="0">#REF!</definedName>
    <definedName name="_Fill" localSheetId="4" hidden="1">#REF!</definedName>
    <definedName name="_Fill" localSheetId="1" hidden="1">#REF!</definedName>
    <definedName name="_Fill" localSheetId="2" hidden="1">#REF!</definedName>
    <definedName name="_Fill" localSheetId="0" hidden="1">#REF!</definedName>
    <definedName name="_Fill" hidden="1">#REF!</definedName>
    <definedName name="_xlnm._FilterDatabase" localSheetId="3" hidden="1">'B&amp;L'!$A$6:$Z$69</definedName>
    <definedName name="_xlnm._FilterDatabase" localSheetId="4" hidden="1">'E&amp;W'!$A$1:$K$69</definedName>
    <definedName name="_xlnm._FilterDatabase" localSheetId="1" hidden="1">'固定資産金利（Interest）'!$A$7:$C$80</definedName>
    <definedName name="_xlnm._FilterDatabase" localSheetId="2" hidden="1">'水道光熱費（Electric &amp; Water）'!$A$6:$C$79</definedName>
    <definedName name="_xlnm._FilterDatabase" localSheetId="0" hidden="1">'減価償却費（Depreciation）'!$B$2:$B$130</definedName>
    <definedName name="_Key1" localSheetId="4" hidden="1">#REF!</definedName>
    <definedName name="_Key1" localSheetId="1" hidden="1">#REF!</definedName>
    <definedName name="_Key1" localSheetId="2" hidden="1">#REF!</definedName>
    <definedName name="_Key1" localSheetId="0" hidden="1">#REF!</definedName>
    <definedName name="_Key1" hidden="1">#REF!</definedName>
    <definedName name="_Order1" hidden="1">255</definedName>
    <definedName name="_Sort" localSheetId="4" hidden="1">#REF!</definedName>
    <definedName name="_Sort" localSheetId="1" hidden="1">#REF!</definedName>
    <definedName name="_Sort" localSheetId="2" hidden="1">#REF!</definedName>
    <definedName name="_Sort" localSheetId="0" hidden="1">#REF!</definedName>
    <definedName name="_Sort" hidden="1">#REF!</definedName>
    <definedName name="a" localSheetId="4">[1]SALＡRY!#REF!</definedName>
    <definedName name="a">[1]SALＡRY!#REF!</definedName>
    <definedName name="B">[2]SALＡRY!#REF!</definedName>
    <definedName name="f">[3]SALＡRY!#REF!</definedName>
    <definedName name="Interest">[3]SALＡRY!#REF!</definedName>
    <definedName name="intereste">[4]SALＡRY!#REF!</definedName>
    <definedName name="NO.1_Factory">[4]SALＡRY!#REF!</definedName>
    <definedName name="NO.1_Factory_">[3]SALＡRY!#REF!</definedName>
    <definedName name="NO.2_Factory_">[3]SALＡRY!#REF!</definedName>
    <definedName name="_xlnm.Print_Area" localSheetId="3">'B&amp;L'!$C$3:$Z$69</definedName>
    <definedName name="_xlnm.Print_Area" localSheetId="4">'E&amp;W'!$A$2:$F$67</definedName>
    <definedName name="Print_Tiles" localSheetId="1">#REF!</definedName>
    <definedName name="Print_Tiles" localSheetId="2">#REF!</definedName>
    <definedName name="Print_Tiles">#REF!</definedName>
    <definedName name="Q_ﾄﾞﾗﾑ社内売_塗工出荷_製品_">#REF!</definedName>
    <definedName name="Q_ドラム総_梱包出荷額_製品_">#REF!</definedName>
    <definedName name="Q_塗工出荷額_製品当り_ﾄﾞﾗﾑ_">#REF!</definedName>
    <definedName name="TEST0">#REF!</definedName>
    <definedName name="TEST1">#REF!</definedName>
    <definedName name="TESTKEYS">#REF!</definedName>
    <definedName name="TESTVKEY">#REF!</definedName>
    <definedName name="V" localSheetId="4">[5]SALＡRY!#REF!</definedName>
    <definedName name="V">[5]SALＡRY!#REF!</definedName>
    <definedName name="X" localSheetId="4">[6]SALＡRY!#REF!</definedName>
    <definedName name="X">[6]SALＡRY!#REF!</definedName>
    <definedName name="クエリー4">#REF!</definedName>
    <definedName name="売上5">#REF!</definedName>
    <definedName name="売上6">#REF!</definedName>
    <definedName name="売上7">#REF!</definedName>
    <definedName name="実績予定表">#REF!</definedName>
    <definedName name="実績予定表1">#REF!</definedName>
    <definedName name="実績予定表2">#REF!</definedName>
    <definedName name="採算表累積表">#REF!</definedName>
    <definedName name="採算表累積表1">#REF!</definedName>
    <definedName name="採算表累積表2">#REF!</definedName>
    <definedName name="採算表累積表3">#REF!</definedName>
    <definedName name="支給率Ａ">4.3</definedName>
    <definedName name="支給率Ｂ">6.3</definedName>
    <definedName name="消費税">-INT(#REF!/1.05*0.05)</definedName>
    <definedName name="消費税率Ａ">1.03</definedName>
    <definedName name="消費税率Ｂ">1.05</definedName>
    <definedName name="生産5">#REF!</definedName>
    <definedName name="生産6">#REF!</definedName>
    <definedName name="生産７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K53" i="7" l="1"/>
  <c r="BJ53" i="7"/>
  <c r="BJ9" i="7"/>
  <c r="BK9" i="7"/>
  <c r="BJ10" i="7"/>
  <c r="BK10" i="7"/>
  <c r="BJ11" i="7"/>
  <c r="BK11" i="7"/>
  <c r="BJ12" i="7"/>
  <c r="BK12" i="7"/>
  <c r="BJ13" i="7"/>
  <c r="BK13" i="7"/>
  <c r="BJ14" i="7"/>
  <c r="BK14" i="7"/>
  <c r="BJ15" i="7"/>
  <c r="BK15" i="7"/>
  <c r="BJ16" i="7"/>
  <c r="BK16" i="7"/>
  <c r="BJ17" i="7"/>
  <c r="BK17" i="7"/>
  <c r="BJ18" i="7"/>
  <c r="BK18" i="7"/>
  <c r="BJ19" i="7"/>
  <c r="BK19" i="7"/>
  <c r="BJ20" i="7"/>
  <c r="BK20" i="7"/>
  <c r="BJ21" i="7"/>
  <c r="BK21" i="7"/>
  <c r="BJ22" i="7"/>
  <c r="BK22" i="7"/>
  <c r="BJ23" i="7"/>
  <c r="BK23" i="7"/>
  <c r="BJ24" i="7"/>
  <c r="BK24" i="7"/>
  <c r="BJ25" i="7"/>
  <c r="BK25" i="7"/>
  <c r="BJ26" i="7"/>
  <c r="BK26" i="7"/>
  <c r="BJ27" i="7"/>
  <c r="BK27" i="7"/>
  <c r="BJ28" i="7"/>
  <c r="BK28" i="7"/>
  <c r="BJ29" i="7"/>
  <c r="BK29" i="7"/>
  <c r="BJ30" i="7"/>
  <c r="BK30" i="7"/>
  <c r="BJ31" i="7"/>
  <c r="BK31" i="7"/>
  <c r="BJ32" i="7"/>
  <c r="BK32" i="7"/>
  <c r="BJ33" i="7"/>
  <c r="BK33" i="7"/>
  <c r="BJ34" i="7"/>
  <c r="BK34" i="7"/>
  <c r="BJ35" i="7"/>
  <c r="BK35" i="7"/>
  <c r="BJ36" i="7"/>
  <c r="BK36" i="7"/>
  <c r="BJ37" i="7"/>
  <c r="BK37" i="7"/>
  <c r="BJ38" i="7"/>
  <c r="BK38" i="7"/>
  <c r="BJ39" i="7"/>
  <c r="BK39" i="7"/>
  <c r="BJ40" i="7"/>
  <c r="BK40" i="7"/>
  <c r="BJ41" i="7"/>
  <c r="BK41" i="7"/>
  <c r="BJ42" i="7"/>
  <c r="BK42" i="7"/>
  <c r="BJ43" i="7"/>
  <c r="BK43" i="7"/>
  <c r="BJ44" i="7"/>
  <c r="BK44" i="7"/>
  <c r="BJ45" i="7"/>
  <c r="BK45" i="7"/>
  <c r="BJ46" i="7"/>
  <c r="BK46" i="7"/>
  <c r="BJ47" i="7"/>
  <c r="BK47" i="7"/>
  <c r="BJ48" i="7"/>
  <c r="BK48" i="7"/>
  <c r="BJ49" i="7"/>
  <c r="BK49" i="7"/>
  <c r="BJ50" i="7"/>
  <c r="BK50" i="7"/>
  <c r="BJ51" i="7"/>
  <c r="BK51" i="7"/>
  <c r="BJ52" i="7"/>
  <c r="BK52" i="7"/>
  <c r="BJ54" i="7"/>
  <c r="BK54" i="7"/>
  <c r="BJ55" i="7"/>
  <c r="BK55" i="7"/>
  <c r="BJ56" i="7"/>
  <c r="BK56" i="7"/>
  <c r="BJ57" i="7"/>
  <c r="BK57" i="7"/>
  <c r="BJ58" i="7"/>
  <c r="BK58" i="7"/>
  <c r="BJ59" i="7"/>
  <c r="BK59" i="7"/>
  <c r="BJ60" i="7"/>
  <c r="BK60" i="7"/>
  <c r="BJ61" i="7"/>
  <c r="BK61" i="7"/>
  <c r="BJ62" i="7"/>
  <c r="BK62" i="7"/>
  <c r="BJ63" i="7"/>
  <c r="BK63" i="7"/>
  <c r="BJ64" i="7"/>
  <c r="BK64" i="7"/>
  <c r="BJ65" i="7"/>
  <c r="BK65" i="7"/>
  <c r="BJ66" i="7"/>
  <c r="BK66" i="7"/>
  <c r="BF53" i="7"/>
  <c r="BE53" i="7"/>
  <c r="BE9" i="7"/>
  <c r="BF9" i="7"/>
  <c r="BE10" i="7"/>
  <c r="BF10" i="7"/>
  <c r="BE11" i="7"/>
  <c r="BF11" i="7"/>
  <c r="BE12" i="7"/>
  <c r="BF12" i="7"/>
  <c r="BE13" i="7"/>
  <c r="BF13" i="7"/>
  <c r="BE14" i="7"/>
  <c r="BF14" i="7"/>
  <c r="BE15" i="7"/>
  <c r="BF15" i="7"/>
  <c r="BE16" i="7"/>
  <c r="BF16" i="7"/>
  <c r="BE17" i="7"/>
  <c r="BF17" i="7"/>
  <c r="BE18" i="7"/>
  <c r="BF18" i="7"/>
  <c r="BE19" i="7"/>
  <c r="BF19" i="7"/>
  <c r="BE20" i="7"/>
  <c r="BF20" i="7"/>
  <c r="BE21" i="7"/>
  <c r="BF21" i="7"/>
  <c r="BE22" i="7"/>
  <c r="BF22" i="7"/>
  <c r="BE23" i="7"/>
  <c r="BF23" i="7"/>
  <c r="BE24" i="7"/>
  <c r="BF24" i="7"/>
  <c r="BE25" i="7"/>
  <c r="BF25" i="7"/>
  <c r="BE26" i="7"/>
  <c r="BF26" i="7"/>
  <c r="BE27" i="7"/>
  <c r="BF27" i="7"/>
  <c r="BE28" i="7"/>
  <c r="BF28" i="7"/>
  <c r="BE29" i="7"/>
  <c r="BF29" i="7"/>
  <c r="BE30" i="7"/>
  <c r="BF30" i="7"/>
  <c r="BE31" i="7"/>
  <c r="BF31" i="7"/>
  <c r="BE32" i="7"/>
  <c r="BF32" i="7"/>
  <c r="BE33" i="7"/>
  <c r="BF33" i="7"/>
  <c r="BE34" i="7"/>
  <c r="BF34" i="7"/>
  <c r="BE35" i="7"/>
  <c r="BF35" i="7"/>
  <c r="BE36" i="7"/>
  <c r="BF36" i="7"/>
  <c r="BE37" i="7"/>
  <c r="BF37" i="7"/>
  <c r="BE38" i="7"/>
  <c r="BF38" i="7"/>
  <c r="BE39" i="7"/>
  <c r="BF39" i="7"/>
  <c r="BE40" i="7"/>
  <c r="BF40" i="7"/>
  <c r="BE41" i="7"/>
  <c r="BF41" i="7"/>
  <c r="BE42" i="7"/>
  <c r="BF42" i="7"/>
  <c r="BE43" i="7"/>
  <c r="BF43" i="7"/>
  <c r="BE44" i="7"/>
  <c r="BF44" i="7"/>
  <c r="BE45" i="7"/>
  <c r="BF45" i="7"/>
  <c r="BE46" i="7"/>
  <c r="BF46" i="7"/>
  <c r="BE47" i="7"/>
  <c r="BF47" i="7"/>
  <c r="BE48" i="7"/>
  <c r="BF48" i="7"/>
  <c r="BE49" i="7"/>
  <c r="BF49" i="7"/>
  <c r="BE50" i="7"/>
  <c r="BF50" i="7"/>
  <c r="BE51" i="7"/>
  <c r="BF51" i="7"/>
  <c r="BE52" i="7"/>
  <c r="BF52" i="7"/>
  <c r="BE54" i="7"/>
  <c r="BF54" i="7"/>
  <c r="BE55" i="7"/>
  <c r="BF55" i="7"/>
  <c r="BE56" i="7"/>
  <c r="BF56" i="7"/>
  <c r="BE57" i="7"/>
  <c r="BF57" i="7"/>
  <c r="BE58" i="7"/>
  <c r="BF58" i="7"/>
  <c r="BE59" i="7"/>
  <c r="BF59" i="7"/>
  <c r="BE60" i="7"/>
  <c r="BF60" i="7"/>
  <c r="BE61" i="7"/>
  <c r="BF61" i="7"/>
  <c r="BE62" i="7"/>
  <c r="BF62" i="7"/>
  <c r="BE63" i="7"/>
  <c r="BF63" i="7"/>
  <c r="BE64" i="7"/>
  <c r="BF64" i="7"/>
  <c r="BE65" i="7"/>
  <c r="BF65" i="7"/>
  <c r="BE66" i="7"/>
  <c r="BF66" i="7"/>
  <c r="BA53" i="7"/>
  <c r="AZ53" i="7"/>
  <c r="AZ9" i="7"/>
  <c r="BA9" i="7"/>
  <c r="AZ10" i="7"/>
  <c r="BA10" i="7"/>
  <c r="AZ11" i="7"/>
  <c r="BA11" i="7"/>
  <c r="AZ12" i="7"/>
  <c r="BA12" i="7"/>
  <c r="AZ13" i="7"/>
  <c r="BA13" i="7"/>
  <c r="AZ14" i="7"/>
  <c r="BA14" i="7"/>
  <c r="AZ15" i="7"/>
  <c r="BA15" i="7"/>
  <c r="AZ16" i="7"/>
  <c r="BA16" i="7"/>
  <c r="AZ17" i="7"/>
  <c r="BA17" i="7"/>
  <c r="AZ18" i="7"/>
  <c r="BA18" i="7"/>
  <c r="AZ19" i="7"/>
  <c r="BA19" i="7"/>
  <c r="AZ20" i="7"/>
  <c r="BA20" i="7"/>
  <c r="AZ21" i="7"/>
  <c r="BA21" i="7"/>
  <c r="AZ22" i="7"/>
  <c r="BA22" i="7"/>
  <c r="AZ23" i="7"/>
  <c r="BA23" i="7"/>
  <c r="AZ24" i="7"/>
  <c r="BA24" i="7"/>
  <c r="AZ25" i="7"/>
  <c r="BA25" i="7"/>
  <c r="AZ26" i="7"/>
  <c r="BA26" i="7"/>
  <c r="AZ27" i="7"/>
  <c r="BA27" i="7"/>
  <c r="AZ28" i="7"/>
  <c r="BA28" i="7"/>
  <c r="AZ29" i="7"/>
  <c r="BA29" i="7"/>
  <c r="AZ30" i="7"/>
  <c r="BA30" i="7"/>
  <c r="AZ31" i="7"/>
  <c r="BA31" i="7"/>
  <c r="AZ32" i="7"/>
  <c r="BA32" i="7"/>
  <c r="AZ33" i="7"/>
  <c r="BA33" i="7"/>
  <c r="AZ34" i="7"/>
  <c r="BA34" i="7"/>
  <c r="AZ35" i="7"/>
  <c r="BA35" i="7"/>
  <c r="AZ36" i="7"/>
  <c r="BA36" i="7"/>
  <c r="AZ37" i="7"/>
  <c r="BA37" i="7"/>
  <c r="AZ38" i="7"/>
  <c r="BA38" i="7"/>
  <c r="AZ39" i="7"/>
  <c r="BA39" i="7"/>
  <c r="AZ40" i="7"/>
  <c r="BA40" i="7"/>
  <c r="AZ41" i="7"/>
  <c r="BA41" i="7"/>
  <c r="AZ42" i="7"/>
  <c r="BA42" i="7"/>
  <c r="AZ43" i="7"/>
  <c r="BA43" i="7"/>
  <c r="AZ44" i="7"/>
  <c r="BA44" i="7"/>
  <c r="AZ45" i="7"/>
  <c r="BA45" i="7"/>
  <c r="AZ46" i="7"/>
  <c r="BA46" i="7"/>
  <c r="AZ47" i="7"/>
  <c r="BA47" i="7"/>
  <c r="AZ48" i="7"/>
  <c r="BA48" i="7"/>
  <c r="AZ49" i="7"/>
  <c r="BA49" i="7"/>
  <c r="AZ50" i="7"/>
  <c r="BA50" i="7"/>
  <c r="AZ51" i="7"/>
  <c r="BA51" i="7"/>
  <c r="AZ52" i="7"/>
  <c r="BA52" i="7"/>
  <c r="AZ54" i="7"/>
  <c r="BA54" i="7"/>
  <c r="AZ55" i="7"/>
  <c r="BA55" i="7"/>
  <c r="AZ56" i="7"/>
  <c r="BA56" i="7"/>
  <c r="AZ57" i="7"/>
  <c r="BA57" i="7"/>
  <c r="AZ58" i="7"/>
  <c r="BA58" i="7"/>
  <c r="AZ59" i="7"/>
  <c r="BA59" i="7"/>
  <c r="AZ60" i="7"/>
  <c r="BA60" i="7"/>
  <c r="AZ61" i="7"/>
  <c r="BA61" i="7"/>
  <c r="AZ62" i="7"/>
  <c r="BA62" i="7"/>
  <c r="AZ63" i="7"/>
  <c r="BA63" i="7"/>
  <c r="AZ64" i="7"/>
  <c r="BA64" i="7"/>
  <c r="AZ65" i="7"/>
  <c r="BA65" i="7"/>
  <c r="AZ66" i="7"/>
  <c r="BA66" i="7"/>
  <c r="AV53" i="7"/>
  <c r="AU9" i="7"/>
  <c r="AV9" i="7"/>
  <c r="AU10" i="7"/>
  <c r="AV10" i="7"/>
  <c r="AU11" i="7"/>
  <c r="AV11" i="7"/>
  <c r="AU12" i="7"/>
  <c r="AV12" i="7"/>
  <c r="AU13" i="7"/>
  <c r="AV13" i="7"/>
  <c r="AU14" i="7"/>
  <c r="AV14" i="7"/>
  <c r="AU15" i="7"/>
  <c r="AV15" i="7"/>
  <c r="AU16" i="7"/>
  <c r="AV16" i="7"/>
  <c r="AU17" i="7"/>
  <c r="AV17" i="7"/>
  <c r="AU18" i="7"/>
  <c r="AV18" i="7"/>
  <c r="AU19" i="7"/>
  <c r="AV19" i="7"/>
  <c r="AU20" i="7"/>
  <c r="AV20" i="7"/>
  <c r="AU21" i="7"/>
  <c r="AV21" i="7"/>
  <c r="AU22" i="7"/>
  <c r="AV22" i="7"/>
  <c r="AU23" i="7"/>
  <c r="AV23" i="7"/>
  <c r="AU24" i="7"/>
  <c r="AV24" i="7"/>
  <c r="AU25" i="7"/>
  <c r="AV25" i="7"/>
  <c r="AU26" i="7"/>
  <c r="AV26" i="7"/>
  <c r="AU27" i="7"/>
  <c r="AV27" i="7"/>
  <c r="AU28" i="7"/>
  <c r="AV28" i="7"/>
  <c r="AU29" i="7"/>
  <c r="AV29" i="7"/>
  <c r="AU30" i="7"/>
  <c r="AV30" i="7"/>
  <c r="AU31" i="7"/>
  <c r="AV31" i="7"/>
  <c r="AU32" i="7"/>
  <c r="AV32" i="7"/>
  <c r="AU33" i="7"/>
  <c r="AV33" i="7"/>
  <c r="AU34" i="7"/>
  <c r="AV34" i="7"/>
  <c r="AU35" i="7"/>
  <c r="AV35" i="7"/>
  <c r="AU36" i="7"/>
  <c r="AV36" i="7"/>
  <c r="AU37" i="7"/>
  <c r="AV37" i="7"/>
  <c r="AU38" i="7"/>
  <c r="AV38" i="7"/>
  <c r="AU39" i="7"/>
  <c r="AV39" i="7"/>
  <c r="AU40" i="7"/>
  <c r="AV40" i="7"/>
  <c r="AU41" i="7"/>
  <c r="AV41" i="7"/>
  <c r="AU42" i="7"/>
  <c r="AV42" i="7"/>
  <c r="AU43" i="7"/>
  <c r="AV43" i="7"/>
  <c r="AU44" i="7"/>
  <c r="AV44" i="7"/>
  <c r="AU45" i="7"/>
  <c r="AV45" i="7"/>
  <c r="AU46" i="7"/>
  <c r="AV46" i="7"/>
  <c r="AU47" i="7"/>
  <c r="AV47" i="7"/>
  <c r="AU48" i="7"/>
  <c r="AV48" i="7"/>
  <c r="AU49" i="7"/>
  <c r="AV49" i="7"/>
  <c r="AU50" i="7"/>
  <c r="AV50" i="7"/>
  <c r="AU51" i="7"/>
  <c r="AV51" i="7"/>
  <c r="AU52" i="7"/>
  <c r="AV52" i="7"/>
  <c r="AU53" i="7"/>
  <c r="AU54" i="7"/>
  <c r="AV54" i="7"/>
  <c r="AU55" i="7"/>
  <c r="AV55" i="7"/>
  <c r="AU56" i="7"/>
  <c r="AV56" i="7"/>
  <c r="AU57" i="7"/>
  <c r="AV57" i="7"/>
  <c r="AU58" i="7"/>
  <c r="AV58" i="7"/>
  <c r="AU59" i="7"/>
  <c r="AV59" i="7"/>
  <c r="AU60" i="7"/>
  <c r="AV60" i="7"/>
  <c r="AU61" i="7"/>
  <c r="AV61" i="7"/>
  <c r="AU62" i="7"/>
  <c r="AV62" i="7"/>
  <c r="AU63" i="7"/>
  <c r="AV63" i="7"/>
  <c r="AU64" i="7"/>
  <c r="AV64" i="7"/>
  <c r="AU65" i="7"/>
  <c r="AV65" i="7"/>
  <c r="AU66" i="7"/>
  <c r="AV66" i="7"/>
  <c r="AQ53" i="7"/>
  <c r="AP53" i="7"/>
  <c r="AP9" i="7"/>
  <c r="AQ9" i="7"/>
  <c r="AP10" i="7"/>
  <c r="AQ10" i="7"/>
  <c r="AP11" i="7"/>
  <c r="AQ11" i="7"/>
  <c r="AP12" i="7"/>
  <c r="AQ12" i="7"/>
  <c r="AP13" i="7"/>
  <c r="AQ13" i="7"/>
  <c r="AP14" i="7"/>
  <c r="AQ14" i="7"/>
  <c r="AP15" i="7"/>
  <c r="AQ15" i="7"/>
  <c r="AP16" i="7"/>
  <c r="AQ16" i="7"/>
  <c r="AP17" i="7"/>
  <c r="AQ17" i="7"/>
  <c r="AP18" i="7"/>
  <c r="AQ18" i="7"/>
  <c r="AP19" i="7"/>
  <c r="AQ19" i="7"/>
  <c r="AP20" i="7"/>
  <c r="AQ20" i="7"/>
  <c r="AP21" i="7"/>
  <c r="AQ21" i="7"/>
  <c r="AP22" i="7"/>
  <c r="AQ22" i="7"/>
  <c r="AP23" i="7"/>
  <c r="AQ23" i="7"/>
  <c r="AP24" i="7"/>
  <c r="AQ24" i="7"/>
  <c r="AP25" i="7"/>
  <c r="AQ25" i="7"/>
  <c r="AP26" i="7"/>
  <c r="AQ26" i="7"/>
  <c r="AP27" i="7"/>
  <c r="AQ27" i="7"/>
  <c r="AP28" i="7"/>
  <c r="AQ28" i="7"/>
  <c r="AP29" i="7"/>
  <c r="AQ29" i="7"/>
  <c r="AP30" i="7"/>
  <c r="AQ30" i="7"/>
  <c r="AP31" i="7"/>
  <c r="AQ31" i="7"/>
  <c r="AP32" i="7"/>
  <c r="AQ32" i="7"/>
  <c r="AP33" i="7"/>
  <c r="AQ33" i="7"/>
  <c r="AP34" i="7"/>
  <c r="AQ34" i="7"/>
  <c r="AP35" i="7"/>
  <c r="AQ35" i="7"/>
  <c r="AP36" i="7"/>
  <c r="AQ36" i="7"/>
  <c r="AP37" i="7"/>
  <c r="AQ37" i="7"/>
  <c r="AP38" i="7"/>
  <c r="AQ38" i="7"/>
  <c r="AP39" i="7"/>
  <c r="AQ39" i="7"/>
  <c r="AP40" i="7"/>
  <c r="AQ40" i="7"/>
  <c r="AP41" i="7"/>
  <c r="AQ41" i="7"/>
  <c r="AP42" i="7"/>
  <c r="AQ42" i="7"/>
  <c r="AP43" i="7"/>
  <c r="AQ43" i="7"/>
  <c r="AP44" i="7"/>
  <c r="AQ44" i="7"/>
  <c r="AP45" i="7"/>
  <c r="AQ45" i="7"/>
  <c r="AP46" i="7"/>
  <c r="AQ46" i="7"/>
  <c r="AP47" i="7"/>
  <c r="AQ47" i="7"/>
  <c r="AP48" i="7"/>
  <c r="AQ48" i="7"/>
  <c r="AP49" i="7"/>
  <c r="AQ49" i="7"/>
  <c r="AP50" i="7"/>
  <c r="AQ50" i="7"/>
  <c r="AP51" i="7"/>
  <c r="AQ51" i="7"/>
  <c r="AP52" i="7"/>
  <c r="AQ52" i="7"/>
  <c r="AP54" i="7"/>
  <c r="AQ54" i="7"/>
  <c r="AP55" i="7"/>
  <c r="AQ55" i="7"/>
  <c r="AP56" i="7"/>
  <c r="AQ56" i="7"/>
  <c r="AP57" i="7"/>
  <c r="AQ57" i="7"/>
  <c r="AP58" i="7"/>
  <c r="AQ58" i="7"/>
  <c r="AP59" i="7"/>
  <c r="AQ59" i="7"/>
  <c r="AP60" i="7"/>
  <c r="AQ60" i="7"/>
  <c r="AP61" i="7"/>
  <c r="AQ61" i="7"/>
  <c r="AP62" i="7"/>
  <c r="AQ62" i="7"/>
  <c r="AP63" i="7"/>
  <c r="AQ63" i="7"/>
  <c r="AP64" i="7"/>
  <c r="AQ64" i="7"/>
  <c r="AP65" i="7"/>
  <c r="AQ65" i="7"/>
  <c r="AP66" i="7"/>
  <c r="AQ66" i="7"/>
  <c r="AL53" i="7"/>
  <c r="AK53" i="7"/>
  <c r="AK9" i="7"/>
  <c r="AL9" i="7"/>
  <c r="AK10" i="7"/>
  <c r="AL10" i="7"/>
  <c r="AK11" i="7"/>
  <c r="AL11" i="7"/>
  <c r="AK12" i="7"/>
  <c r="AL12" i="7"/>
  <c r="AK13" i="7"/>
  <c r="AL13" i="7"/>
  <c r="AK14" i="7"/>
  <c r="AL14" i="7"/>
  <c r="AK15" i="7"/>
  <c r="AL15" i="7"/>
  <c r="AK16" i="7"/>
  <c r="AL16" i="7"/>
  <c r="AK17" i="7"/>
  <c r="AL17" i="7"/>
  <c r="AK18" i="7"/>
  <c r="AL18" i="7"/>
  <c r="AK19" i="7"/>
  <c r="AL19" i="7"/>
  <c r="AK20" i="7"/>
  <c r="AL20" i="7"/>
  <c r="AK21" i="7"/>
  <c r="AL21" i="7"/>
  <c r="AK22" i="7"/>
  <c r="AL22" i="7"/>
  <c r="AK23" i="7"/>
  <c r="AL23" i="7"/>
  <c r="AK24" i="7"/>
  <c r="AL24" i="7"/>
  <c r="AK25" i="7"/>
  <c r="AL25" i="7"/>
  <c r="AK26" i="7"/>
  <c r="AL26" i="7"/>
  <c r="AK27" i="7"/>
  <c r="AL27" i="7"/>
  <c r="AK28" i="7"/>
  <c r="AL28" i="7"/>
  <c r="AK29" i="7"/>
  <c r="AL29" i="7"/>
  <c r="AK30" i="7"/>
  <c r="AL30" i="7"/>
  <c r="AK31" i="7"/>
  <c r="AL31" i="7"/>
  <c r="AK32" i="7"/>
  <c r="AL32" i="7"/>
  <c r="AK33" i="7"/>
  <c r="AL33" i="7"/>
  <c r="AK34" i="7"/>
  <c r="AL34" i="7"/>
  <c r="AK35" i="7"/>
  <c r="AL35" i="7"/>
  <c r="AK36" i="7"/>
  <c r="AL36" i="7"/>
  <c r="AK37" i="7"/>
  <c r="AL37" i="7"/>
  <c r="AK38" i="7"/>
  <c r="AL38" i="7"/>
  <c r="AK39" i="7"/>
  <c r="AL39" i="7"/>
  <c r="AK40" i="7"/>
  <c r="AL40" i="7"/>
  <c r="AK41" i="7"/>
  <c r="AL41" i="7"/>
  <c r="AK42" i="7"/>
  <c r="AL42" i="7"/>
  <c r="AK43" i="7"/>
  <c r="AL43" i="7"/>
  <c r="AK44" i="7"/>
  <c r="AL44" i="7"/>
  <c r="AK45" i="7"/>
  <c r="AL45" i="7"/>
  <c r="AK46" i="7"/>
  <c r="AL46" i="7"/>
  <c r="AK47" i="7"/>
  <c r="AL47" i="7"/>
  <c r="AK48" i="7"/>
  <c r="AL48" i="7"/>
  <c r="AK49" i="7"/>
  <c r="AL49" i="7"/>
  <c r="AK50" i="7"/>
  <c r="AL50" i="7"/>
  <c r="AK51" i="7"/>
  <c r="AL51" i="7"/>
  <c r="AK52" i="7"/>
  <c r="AL52" i="7"/>
  <c r="AK54" i="7"/>
  <c r="AL54" i="7"/>
  <c r="AK55" i="7"/>
  <c r="AL55" i="7"/>
  <c r="AK56" i="7"/>
  <c r="AL56" i="7"/>
  <c r="AK57" i="7"/>
  <c r="AL57" i="7"/>
  <c r="AK58" i="7"/>
  <c r="AL58" i="7"/>
  <c r="AK59" i="7"/>
  <c r="AL59" i="7"/>
  <c r="AK60" i="7"/>
  <c r="AL60" i="7"/>
  <c r="AK61" i="7"/>
  <c r="AL61" i="7"/>
  <c r="AK62" i="7"/>
  <c r="AL62" i="7"/>
  <c r="AK63" i="7"/>
  <c r="AL63" i="7"/>
  <c r="AK64" i="7"/>
  <c r="AL64" i="7"/>
  <c r="AK65" i="7"/>
  <c r="AL65" i="7"/>
  <c r="AK66" i="7"/>
  <c r="AL66" i="7"/>
  <c r="AF53" i="7"/>
  <c r="AF9" i="7"/>
  <c r="AG9" i="7"/>
  <c r="AF10" i="7"/>
  <c r="AG10" i="7"/>
  <c r="AF11" i="7"/>
  <c r="AG11" i="7"/>
  <c r="AF12" i="7"/>
  <c r="AG12" i="7"/>
  <c r="AF13" i="7"/>
  <c r="AG13" i="7"/>
  <c r="AF14" i="7"/>
  <c r="AG14" i="7"/>
  <c r="AF15" i="7"/>
  <c r="AG15" i="7"/>
  <c r="AF16" i="7"/>
  <c r="AG16" i="7"/>
  <c r="AF17" i="7"/>
  <c r="AG17" i="7"/>
  <c r="AF18" i="7"/>
  <c r="AG18" i="7"/>
  <c r="AF19" i="7"/>
  <c r="AG19" i="7"/>
  <c r="AF20" i="7"/>
  <c r="AG20" i="7"/>
  <c r="AF21" i="7"/>
  <c r="AG21" i="7"/>
  <c r="AF22" i="7"/>
  <c r="AG22" i="7"/>
  <c r="AF23" i="7"/>
  <c r="AG23" i="7"/>
  <c r="AF24" i="7"/>
  <c r="AG24" i="7"/>
  <c r="AF25" i="7"/>
  <c r="AG25" i="7"/>
  <c r="AF26" i="7"/>
  <c r="AG26" i="7"/>
  <c r="AF27" i="7"/>
  <c r="AG27" i="7"/>
  <c r="AF28" i="7"/>
  <c r="AG28" i="7"/>
  <c r="AF29" i="7"/>
  <c r="AG29" i="7"/>
  <c r="AF30" i="7"/>
  <c r="AG30" i="7"/>
  <c r="AF31" i="7"/>
  <c r="AG31" i="7"/>
  <c r="AF32" i="7"/>
  <c r="AG32" i="7"/>
  <c r="AF33" i="7"/>
  <c r="AG33" i="7"/>
  <c r="AF34" i="7"/>
  <c r="AG34" i="7"/>
  <c r="AF35" i="7"/>
  <c r="AG35" i="7"/>
  <c r="AF36" i="7"/>
  <c r="AG36" i="7"/>
  <c r="AF37" i="7"/>
  <c r="AG37" i="7"/>
  <c r="AF38" i="7"/>
  <c r="AG38" i="7"/>
  <c r="AF39" i="7"/>
  <c r="AG39" i="7"/>
  <c r="AF40" i="7"/>
  <c r="AG40" i="7"/>
  <c r="AF41" i="7"/>
  <c r="AG41" i="7"/>
  <c r="AF42" i="7"/>
  <c r="AG42" i="7"/>
  <c r="AF43" i="7"/>
  <c r="AG43" i="7"/>
  <c r="AF44" i="7"/>
  <c r="AG44" i="7"/>
  <c r="AF45" i="7"/>
  <c r="AG45" i="7"/>
  <c r="AF46" i="7"/>
  <c r="AG46" i="7"/>
  <c r="AF47" i="7"/>
  <c r="AG47" i="7"/>
  <c r="AF48" i="7"/>
  <c r="AG48" i="7"/>
  <c r="AF49" i="7"/>
  <c r="AG49" i="7"/>
  <c r="AF50" i="7"/>
  <c r="AG50" i="7"/>
  <c r="AF51" i="7"/>
  <c r="AG51" i="7"/>
  <c r="AF52" i="7"/>
  <c r="AG52" i="7"/>
  <c r="AG53" i="7"/>
  <c r="AF54" i="7"/>
  <c r="AG54" i="7"/>
  <c r="AF55" i="7"/>
  <c r="AG55" i="7"/>
  <c r="AF56" i="7"/>
  <c r="AG56" i="7"/>
  <c r="AF57" i="7"/>
  <c r="AG57" i="7"/>
  <c r="AF58" i="7"/>
  <c r="AG58" i="7"/>
  <c r="AF59" i="7"/>
  <c r="AG59" i="7"/>
  <c r="AF60" i="7"/>
  <c r="AG60" i="7"/>
  <c r="AF61" i="7"/>
  <c r="AG61" i="7"/>
  <c r="AF62" i="7"/>
  <c r="AG62" i="7"/>
  <c r="AF63" i="7"/>
  <c r="AG63" i="7"/>
  <c r="AF64" i="7"/>
  <c r="AG64" i="7"/>
  <c r="AF65" i="7"/>
  <c r="AG65" i="7"/>
  <c r="AF66" i="7"/>
  <c r="AG66" i="7"/>
  <c r="AB53" i="7"/>
  <c r="AA9" i="7"/>
  <c r="AB9" i="7"/>
  <c r="AA10" i="7"/>
  <c r="AB10" i="7"/>
  <c r="AA11" i="7"/>
  <c r="AB11" i="7"/>
  <c r="AA12" i="7"/>
  <c r="AB12" i="7"/>
  <c r="AA13" i="7"/>
  <c r="AB13" i="7"/>
  <c r="AA14" i="7"/>
  <c r="AB14" i="7"/>
  <c r="AA15" i="7"/>
  <c r="AB15" i="7"/>
  <c r="AA16" i="7"/>
  <c r="AB16" i="7"/>
  <c r="AA17" i="7"/>
  <c r="AB17" i="7"/>
  <c r="AA18" i="7"/>
  <c r="AB18" i="7"/>
  <c r="AA19" i="7"/>
  <c r="AB19" i="7"/>
  <c r="AA20" i="7"/>
  <c r="AB20" i="7"/>
  <c r="AA21" i="7"/>
  <c r="AB21" i="7"/>
  <c r="AA22" i="7"/>
  <c r="AB22" i="7"/>
  <c r="AA23" i="7"/>
  <c r="AB23" i="7"/>
  <c r="AA24" i="7"/>
  <c r="AB24" i="7"/>
  <c r="AA25" i="7"/>
  <c r="AB25" i="7"/>
  <c r="AA26" i="7"/>
  <c r="AB26" i="7"/>
  <c r="AA27" i="7"/>
  <c r="AB27" i="7"/>
  <c r="AA28" i="7"/>
  <c r="AB28" i="7"/>
  <c r="AA29" i="7"/>
  <c r="AB29" i="7"/>
  <c r="AA30" i="7"/>
  <c r="AB30" i="7"/>
  <c r="AA31" i="7"/>
  <c r="AB31" i="7"/>
  <c r="AA32" i="7"/>
  <c r="AB32" i="7"/>
  <c r="AA33" i="7"/>
  <c r="AB33" i="7"/>
  <c r="AA34" i="7"/>
  <c r="AB34" i="7"/>
  <c r="AA35" i="7"/>
  <c r="AB35" i="7"/>
  <c r="AA36" i="7"/>
  <c r="AB36" i="7"/>
  <c r="AA37" i="7"/>
  <c r="AB37" i="7"/>
  <c r="AA38" i="7"/>
  <c r="AB38" i="7"/>
  <c r="AA39" i="7"/>
  <c r="AB39" i="7"/>
  <c r="AA40" i="7"/>
  <c r="AB40" i="7"/>
  <c r="AA41" i="7"/>
  <c r="AB41" i="7"/>
  <c r="AA42" i="7"/>
  <c r="AB42" i="7"/>
  <c r="AA43" i="7"/>
  <c r="AB43" i="7"/>
  <c r="AA44" i="7"/>
  <c r="AB44" i="7"/>
  <c r="AA45" i="7"/>
  <c r="AB45" i="7"/>
  <c r="AA46" i="7"/>
  <c r="AB46" i="7"/>
  <c r="AA47" i="7"/>
  <c r="AB47" i="7"/>
  <c r="AA48" i="7"/>
  <c r="AB48" i="7"/>
  <c r="AA49" i="7"/>
  <c r="AB49" i="7"/>
  <c r="AA50" i="7"/>
  <c r="AB50" i="7"/>
  <c r="AA51" i="7"/>
  <c r="AB51" i="7"/>
  <c r="AA52" i="7"/>
  <c r="AB52" i="7"/>
  <c r="AA53" i="7"/>
  <c r="AA54" i="7"/>
  <c r="AB54" i="7"/>
  <c r="AA55" i="7"/>
  <c r="AB55" i="7"/>
  <c r="AA56" i="7"/>
  <c r="AB56" i="7"/>
  <c r="AA57" i="7"/>
  <c r="AB57" i="7"/>
  <c r="AA58" i="7"/>
  <c r="AB58" i="7"/>
  <c r="AA59" i="7"/>
  <c r="AB59" i="7"/>
  <c r="AA60" i="7"/>
  <c r="AB60" i="7"/>
  <c r="AA61" i="7"/>
  <c r="AB61" i="7"/>
  <c r="AA62" i="7"/>
  <c r="AB62" i="7"/>
  <c r="AA63" i="7"/>
  <c r="AB63" i="7"/>
  <c r="AA64" i="7"/>
  <c r="AB64" i="7"/>
  <c r="AA65" i="7"/>
  <c r="AB65" i="7"/>
  <c r="AA66" i="7"/>
  <c r="AB66" i="7"/>
  <c r="V53" i="7"/>
  <c r="V9" i="7"/>
  <c r="W9" i="7"/>
  <c r="V10" i="7"/>
  <c r="W10" i="7"/>
  <c r="V11" i="7"/>
  <c r="W11" i="7"/>
  <c r="V12" i="7"/>
  <c r="W12" i="7"/>
  <c r="V13" i="7"/>
  <c r="W13" i="7"/>
  <c r="V14" i="7"/>
  <c r="W14" i="7"/>
  <c r="V15" i="7"/>
  <c r="W15" i="7"/>
  <c r="V16" i="7"/>
  <c r="W16" i="7"/>
  <c r="V17" i="7"/>
  <c r="W17" i="7"/>
  <c r="V18" i="7"/>
  <c r="W18" i="7"/>
  <c r="V19" i="7"/>
  <c r="W19" i="7"/>
  <c r="V20" i="7"/>
  <c r="W20" i="7"/>
  <c r="V21" i="7"/>
  <c r="W21" i="7"/>
  <c r="V22" i="7"/>
  <c r="W22" i="7"/>
  <c r="V23" i="7"/>
  <c r="W23" i="7"/>
  <c r="V24" i="7"/>
  <c r="W24" i="7"/>
  <c r="V25" i="7"/>
  <c r="W25" i="7"/>
  <c r="V26" i="7"/>
  <c r="W26" i="7"/>
  <c r="V27" i="7"/>
  <c r="W27" i="7"/>
  <c r="V28" i="7"/>
  <c r="W28" i="7"/>
  <c r="V29" i="7"/>
  <c r="W29" i="7"/>
  <c r="V30" i="7"/>
  <c r="W30" i="7"/>
  <c r="V31" i="7"/>
  <c r="W31" i="7"/>
  <c r="V32" i="7"/>
  <c r="W32" i="7"/>
  <c r="V33" i="7"/>
  <c r="W33" i="7"/>
  <c r="V34" i="7"/>
  <c r="W34" i="7"/>
  <c r="V35" i="7"/>
  <c r="W35" i="7"/>
  <c r="V36" i="7"/>
  <c r="W36" i="7"/>
  <c r="V37" i="7"/>
  <c r="W37" i="7"/>
  <c r="V38" i="7"/>
  <c r="W38" i="7"/>
  <c r="V39" i="7"/>
  <c r="W39" i="7"/>
  <c r="V40" i="7"/>
  <c r="W40" i="7"/>
  <c r="V41" i="7"/>
  <c r="W41" i="7"/>
  <c r="V42" i="7"/>
  <c r="W42" i="7"/>
  <c r="V43" i="7"/>
  <c r="W43" i="7"/>
  <c r="V44" i="7"/>
  <c r="W44" i="7"/>
  <c r="V45" i="7"/>
  <c r="W45" i="7"/>
  <c r="V46" i="7"/>
  <c r="W46" i="7"/>
  <c r="V47" i="7"/>
  <c r="W47" i="7"/>
  <c r="V48" i="7"/>
  <c r="W48" i="7"/>
  <c r="V49" i="7"/>
  <c r="W49" i="7"/>
  <c r="V50" i="7"/>
  <c r="W50" i="7"/>
  <c r="V51" i="7"/>
  <c r="W51" i="7"/>
  <c r="V52" i="7"/>
  <c r="W52" i="7"/>
  <c r="W53" i="7"/>
  <c r="V54" i="7"/>
  <c r="W54" i="7"/>
  <c r="V55" i="7"/>
  <c r="W55" i="7"/>
  <c r="V56" i="7"/>
  <c r="W56" i="7"/>
  <c r="V57" i="7"/>
  <c r="W57" i="7"/>
  <c r="V58" i="7"/>
  <c r="W58" i="7"/>
  <c r="V59" i="7"/>
  <c r="W59" i="7"/>
  <c r="V60" i="7"/>
  <c r="W60" i="7"/>
  <c r="V61" i="7"/>
  <c r="W61" i="7"/>
  <c r="V62" i="7"/>
  <c r="W62" i="7"/>
  <c r="V63" i="7"/>
  <c r="W63" i="7"/>
  <c r="V64" i="7"/>
  <c r="W64" i="7"/>
  <c r="V65" i="7"/>
  <c r="W65" i="7"/>
  <c r="V66" i="7"/>
  <c r="W66" i="7"/>
  <c r="R53" i="7"/>
  <c r="Q53" i="7"/>
  <c r="Q9" i="7"/>
  <c r="R9" i="7"/>
  <c r="Q10" i="7"/>
  <c r="R10" i="7"/>
  <c r="Q11" i="7"/>
  <c r="R11" i="7"/>
  <c r="Q12" i="7"/>
  <c r="R12" i="7"/>
  <c r="Q13" i="7"/>
  <c r="R13" i="7"/>
  <c r="Q14" i="7"/>
  <c r="R14" i="7"/>
  <c r="Q15" i="7"/>
  <c r="R15" i="7"/>
  <c r="Q16" i="7"/>
  <c r="R16" i="7"/>
  <c r="Q17" i="7"/>
  <c r="R17" i="7"/>
  <c r="Q18" i="7"/>
  <c r="R18" i="7"/>
  <c r="Q19" i="7"/>
  <c r="R19" i="7"/>
  <c r="Q20" i="7"/>
  <c r="R20" i="7"/>
  <c r="Q21" i="7"/>
  <c r="R21" i="7"/>
  <c r="Q22" i="7"/>
  <c r="R22" i="7"/>
  <c r="Q23" i="7"/>
  <c r="R23" i="7"/>
  <c r="Q24" i="7"/>
  <c r="R24" i="7"/>
  <c r="Q25" i="7"/>
  <c r="R25" i="7"/>
  <c r="Q26" i="7"/>
  <c r="R26" i="7"/>
  <c r="Q27" i="7"/>
  <c r="R27" i="7"/>
  <c r="Q28" i="7"/>
  <c r="R28" i="7"/>
  <c r="Q29" i="7"/>
  <c r="R29" i="7"/>
  <c r="Q30" i="7"/>
  <c r="R30" i="7"/>
  <c r="Q31" i="7"/>
  <c r="R31" i="7"/>
  <c r="Q32" i="7"/>
  <c r="R32" i="7"/>
  <c r="Q33" i="7"/>
  <c r="R33" i="7"/>
  <c r="Q34" i="7"/>
  <c r="R34" i="7"/>
  <c r="Q35" i="7"/>
  <c r="R35" i="7"/>
  <c r="Q36" i="7"/>
  <c r="R36" i="7"/>
  <c r="Q37" i="7"/>
  <c r="R37" i="7"/>
  <c r="Q38" i="7"/>
  <c r="R38" i="7"/>
  <c r="Q39" i="7"/>
  <c r="R39" i="7"/>
  <c r="Q40" i="7"/>
  <c r="R40" i="7"/>
  <c r="Q41" i="7"/>
  <c r="R41" i="7"/>
  <c r="Q42" i="7"/>
  <c r="R42" i="7"/>
  <c r="Q43" i="7"/>
  <c r="R43" i="7"/>
  <c r="Q44" i="7"/>
  <c r="R44" i="7"/>
  <c r="Q45" i="7"/>
  <c r="R45" i="7"/>
  <c r="Q46" i="7"/>
  <c r="R46" i="7"/>
  <c r="Q47" i="7"/>
  <c r="R47" i="7"/>
  <c r="Q48" i="7"/>
  <c r="R48" i="7"/>
  <c r="Q49" i="7"/>
  <c r="R49" i="7"/>
  <c r="Q50" i="7"/>
  <c r="R50" i="7"/>
  <c r="Q51" i="7"/>
  <c r="R51" i="7"/>
  <c r="Q52" i="7"/>
  <c r="R52" i="7"/>
  <c r="Q54" i="7"/>
  <c r="R54" i="7"/>
  <c r="Q55" i="7"/>
  <c r="R55" i="7"/>
  <c r="Q56" i="7"/>
  <c r="R56" i="7"/>
  <c r="Q57" i="7"/>
  <c r="R57" i="7"/>
  <c r="Q58" i="7"/>
  <c r="R58" i="7"/>
  <c r="Q59" i="7"/>
  <c r="R59" i="7"/>
  <c r="Q60" i="7"/>
  <c r="R60" i="7"/>
  <c r="Q61" i="7"/>
  <c r="R61" i="7"/>
  <c r="Q62" i="7"/>
  <c r="R62" i="7"/>
  <c r="Q63" i="7"/>
  <c r="R63" i="7"/>
  <c r="Q64" i="7"/>
  <c r="R64" i="7"/>
  <c r="Q65" i="7"/>
  <c r="R65" i="7"/>
  <c r="Q66" i="7"/>
  <c r="R66" i="7"/>
  <c r="R8" i="7"/>
  <c r="Q8" i="7"/>
  <c r="R7" i="7"/>
  <c r="Q7" i="7"/>
  <c r="O7" i="7"/>
  <c r="L53" i="7"/>
  <c r="M62" i="7"/>
  <c r="M61" i="7"/>
  <c r="M53" i="7"/>
  <c r="L62" i="7"/>
  <c r="L61" i="7"/>
  <c r="L54" i="7"/>
  <c r="L66" i="7"/>
  <c r="L65" i="7"/>
  <c r="L64" i="7"/>
  <c r="L63" i="7"/>
  <c r="L60" i="7"/>
  <c r="L59" i="7"/>
  <c r="L58" i="7"/>
  <c r="L57" i="7"/>
  <c r="L56" i="7"/>
  <c r="L55" i="7"/>
  <c r="L52" i="7"/>
  <c r="L51" i="7"/>
  <c r="L50" i="7"/>
  <c r="L49" i="7"/>
  <c r="L48" i="7"/>
  <c r="L47" i="7"/>
  <c r="L46" i="7"/>
  <c r="L45" i="7"/>
  <c r="L44" i="7"/>
  <c r="L43" i="7"/>
  <c r="L42" i="7"/>
  <c r="L41" i="7"/>
  <c r="L40" i="7"/>
  <c r="L39" i="7"/>
  <c r="L38" i="7"/>
  <c r="L37" i="7"/>
  <c r="L36" i="7"/>
  <c r="L35" i="7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L67" i="7" l="1"/>
  <c r="I69" i="7"/>
  <c r="M7" i="7"/>
  <c r="BI53" i="7"/>
  <c r="BD53" i="7"/>
  <c r="BC53" i="7"/>
  <c r="AY53" i="7"/>
  <c r="AT53" i="7"/>
  <c r="AS53" i="7"/>
  <c r="AO53" i="7"/>
  <c r="AN53" i="7"/>
  <c r="AJ53" i="7"/>
  <c r="AI53" i="7"/>
  <c r="AE53" i="7"/>
  <c r="AD53" i="7"/>
  <c r="Z53" i="7"/>
  <c r="Y53" i="7"/>
  <c r="U53" i="7"/>
  <c r="T53" i="7"/>
  <c r="P53" i="7"/>
  <c r="K53" i="7"/>
  <c r="J53" i="7"/>
  <c r="H53" i="7"/>
  <c r="G53" i="7"/>
  <c r="F53" i="7"/>
  <c r="E53" i="7"/>
  <c r="O89" i="14"/>
  <c r="N89" i="14"/>
  <c r="M89" i="14"/>
  <c r="L89" i="14"/>
  <c r="K89" i="14"/>
  <c r="J89" i="14"/>
  <c r="I89" i="14"/>
  <c r="H89" i="14"/>
  <c r="G89" i="14"/>
  <c r="F89" i="14"/>
  <c r="E89" i="14"/>
  <c r="D89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H55" i="7" l="1"/>
  <c r="D90" i="13" s="1"/>
  <c r="G55" i="7"/>
  <c r="D89" i="13" s="1"/>
  <c r="F55" i="7"/>
  <c r="D90" i="12" s="1"/>
  <c r="E55" i="7"/>
  <c r="D89" i="12" s="1"/>
  <c r="F62" i="7"/>
  <c r="D86" i="12" s="1"/>
  <c r="E62" i="7"/>
  <c r="D85" i="12" s="1"/>
  <c r="O86" i="13"/>
  <c r="O85" i="13"/>
  <c r="BI62" i="7"/>
  <c r="O86" i="12" s="1"/>
  <c r="BH62" i="7"/>
  <c r="O85" i="12" s="1"/>
  <c r="N86" i="13"/>
  <c r="N85" i="13"/>
  <c r="BD62" i="7"/>
  <c r="N86" i="12" s="1"/>
  <c r="BC62" i="7"/>
  <c r="N85" i="12" s="1"/>
  <c r="M86" i="13"/>
  <c r="M85" i="13"/>
  <c r="AY62" i="7"/>
  <c r="M86" i="12" s="1"/>
  <c r="AX62" i="7"/>
  <c r="M85" i="12" s="1"/>
  <c r="L86" i="13"/>
  <c r="L85" i="13"/>
  <c r="AT62" i="7"/>
  <c r="L86" i="12" s="1"/>
  <c r="AS62" i="7"/>
  <c r="L85" i="12" s="1"/>
  <c r="K86" i="13"/>
  <c r="K85" i="13"/>
  <c r="AO62" i="7"/>
  <c r="K86" i="12" s="1"/>
  <c r="AN62" i="7"/>
  <c r="K85" i="12" s="1"/>
  <c r="J86" i="13"/>
  <c r="J85" i="13"/>
  <c r="AJ62" i="7"/>
  <c r="J86" i="12" s="1"/>
  <c r="AI62" i="7"/>
  <c r="J85" i="12" s="1"/>
  <c r="I86" i="13"/>
  <c r="I85" i="13"/>
  <c r="AE62" i="7"/>
  <c r="I86" i="12" s="1"/>
  <c r="AD62" i="7"/>
  <c r="I85" i="12" s="1"/>
  <c r="H86" i="13"/>
  <c r="H85" i="13"/>
  <c r="Z62" i="7"/>
  <c r="H86" i="12" s="1"/>
  <c r="Y62" i="7"/>
  <c r="H85" i="12" s="1"/>
  <c r="G86" i="13"/>
  <c r="G85" i="13"/>
  <c r="U62" i="7"/>
  <c r="G86" i="12" s="1"/>
  <c r="T62" i="7"/>
  <c r="G85" i="12" s="1"/>
  <c r="F86" i="13"/>
  <c r="F85" i="13"/>
  <c r="P62" i="7"/>
  <c r="F86" i="12" s="1"/>
  <c r="O62" i="7"/>
  <c r="F85" i="12" s="1"/>
  <c r="E86" i="13"/>
  <c r="E85" i="13"/>
  <c r="K62" i="7"/>
  <c r="E86" i="12" s="1"/>
  <c r="J62" i="7"/>
  <c r="E85" i="12" s="1"/>
  <c r="H62" i="7"/>
  <c r="D86" i="13" s="1"/>
  <c r="G62" i="7"/>
  <c r="D85" i="13" s="1"/>
  <c r="O90" i="13"/>
  <c r="O89" i="13"/>
  <c r="BI55" i="7"/>
  <c r="O90" i="12" s="1"/>
  <c r="BH55" i="7"/>
  <c r="O89" i="12" s="1"/>
  <c r="N90" i="13"/>
  <c r="N89" i="13"/>
  <c r="BD55" i="7"/>
  <c r="N90" i="12" s="1"/>
  <c r="BC55" i="7"/>
  <c r="N89" i="12" s="1"/>
  <c r="M90" i="13"/>
  <c r="M89" i="13"/>
  <c r="AY55" i="7"/>
  <c r="M90" i="12" s="1"/>
  <c r="AX55" i="7"/>
  <c r="M89" i="12" s="1"/>
  <c r="L90" i="13"/>
  <c r="L89" i="13"/>
  <c r="AT55" i="7"/>
  <c r="L90" i="12" s="1"/>
  <c r="AS55" i="7"/>
  <c r="L89" i="12" s="1"/>
  <c r="K90" i="13"/>
  <c r="K89" i="13"/>
  <c r="AO55" i="7"/>
  <c r="K90" i="12" s="1"/>
  <c r="AN55" i="7"/>
  <c r="K89" i="12" s="1"/>
  <c r="J90" i="13"/>
  <c r="J89" i="13"/>
  <c r="AJ55" i="7"/>
  <c r="J90" i="12" s="1"/>
  <c r="AI55" i="7"/>
  <c r="J89" i="12" s="1"/>
  <c r="I90" i="13"/>
  <c r="I89" i="13"/>
  <c r="AE55" i="7"/>
  <c r="I90" i="12" s="1"/>
  <c r="AD55" i="7"/>
  <c r="I89" i="12" s="1"/>
  <c r="H90" i="13"/>
  <c r="H89" i="13"/>
  <c r="Z55" i="7"/>
  <c r="H90" i="12" s="1"/>
  <c r="Y55" i="7"/>
  <c r="H89" i="12" s="1"/>
  <c r="G90" i="13"/>
  <c r="G89" i="13"/>
  <c r="U55" i="7"/>
  <c r="G90" i="12" s="1"/>
  <c r="T55" i="7"/>
  <c r="G89" i="12" s="1"/>
  <c r="F90" i="13"/>
  <c r="F89" i="13"/>
  <c r="P55" i="7"/>
  <c r="F90" i="12" s="1"/>
  <c r="O55" i="7"/>
  <c r="F89" i="12" s="1"/>
  <c r="M55" i="7"/>
  <c r="E90" i="13" s="1"/>
  <c r="E89" i="13"/>
  <c r="K55" i="7"/>
  <c r="E90" i="12" s="1"/>
  <c r="J55" i="7"/>
  <c r="E89" i="12" s="1"/>
  <c r="O61" i="14"/>
  <c r="N61" i="14"/>
  <c r="M61" i="14"/>
  <c r="L61" i="14"/>
  <c r="K61" i="14"/>
  <c r="J61" i="14"/>
  <c r="I61" i="14"/>
  <c r="H61" i="14"/>
  <c r="G61" i="14"/>
  <c r="F61" i="14"/>
  <c r="E61" i="14"/>
  <c r="D61" i="14"/>
  <c r="O60" i="14"/>
  <c r="N60" i="14"/>
  <c r="M60" i="14"/>
  <c r="L60" i="14"/>
  <c r="K60" i="14"/>
  <c r="J60" i="14"/>
  <c r="I60" i="14"/>
  <c r="H60" i="14"/>
  <c r="G60" i="14"/>
  <c r="F60" i="14"/>
  <c r="E60" i="14"/>
  <c r="D60" i="14"/>
  <c r="J22" i="7"/>
  <c r="J21" i="7"/>
  <c r="E61" i="12" s="1"/>
  <c r="H21" i="7"/>
  <c r="D62" i="13" s="1"/>
  <c r="G21" i="7"/>
  <c r="D61" i="13" s="1"/>
  <c r="F21" i="7"/>
  <c r="D62" i="12" s="1"/>
  <c r="E21" i="7"/>
  <c r="D61" i="12" s="1"/>
  <c r="O62" i="13"/>
  <c r="O61" i="13"/>
  <c r="BI21" i="7"/>
  <c r="O62" i="12" s="1"/>
  <c r="BH21" i="7"/>
  <c r="O61" i="12" s="1"/>
  <c r="N62" i="13"/>
  <c r="N61" i="13"/>
  <c r="BD21" i="7"/>
  <c r="N62" i="12" s="1"/>
  <c r="BC21" i="7"/>
  <c r="N61" i="12" s="1"/>
  <c r="M62" i="13"/>
  <c r="M61" i="13"/>
  <c r="AY21" i="7"/>
  <c r="M62" i="12" s="1"/>
  <c r="AX21" i="7"/>
  <c r="M61" i="12" s="1"/>
  <c r="L62" i="13"/>
  <c r="L61" i="13"/>
  <c r="AT21" i="7"/>
  <c r="L62" i="12" s="1"/>
  <c r="AS21" i="7"/>
  <c r="L61" i="12" s="1"/>
  <c r="K62" i="13"/>
  <c r="K61" i="13"/>
  <c r="AO21" i="7"/>
  <c r="K62" i="12" s="1"/>
  <c r="AN21" i="7"/>
  <c r="K61" i="12" s="1"/>
  <c r="J62" i="13"/>
  <c r="J61" i="13"/>
  <c r="AJ21" i="7"/>
  <c r="J62" i="12" s="1"/>
  <c r="AI21" i="7"/>
  <c r="J61" i="12" s="1"/>
  <c r="I62" i="13"/>
  <c r="I61" i="13"/>
  <c r="AE21" i="7"/>
  <c r="I62" i="12" s="1"/>
  <c r="AD21" i="7"/>
  <c r="I61" i="12" s="1"/>
  <c r="H62" i="13"/>
  <c r="H61" i="13"/>
  <c r="Z21" i="7"/>
  <c r="H62" i="12" s="1"/>
  <c r="Y21" i="7"/>
  <c r="H61" i="12" s="1"/>
  <c r="G62" i="13"/>
  <c r="G61" i="13"/>
  <c r="U21" i="7"/>
  <c r="G62" i="12" s="1"/>
  <c r="T21" i="7"/>
  <c r="G61" i="12" s="1"/>
  <c r="F62" i="13"/>
  <c r="F61" i="13"/>
  <c r="P21" i="7"/>
  <c r="F62" i="12" s="1"/>
  <c r="O21" i="7"/>
  <c r="F61" i="12" s="1"/>
  <c r="M21" i="7"/>
  <c r="E62" i="13" s="1"/>
  <c r="E61" i="13"/>
  <c r="K21" i="7"/>
  <c r="E62" i="12" s="1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2" i="14"/>
  <c r="O53" i="14"/>
  <c r="O54" i="14"/>
  <c r="O55" i="14"/>
  <c r="O56" i="14"/>
  <c r="O57" i="14"/>
  <c r="O58" i="14"/>
  <c r="O59" i="14"/>
  <c r="O62" i="14"/>
  <c r="O63" i="14"/>
  <c r="O64" i="14"/>
  <c r="O65" i="14"/>
  <c r="O66" i="14"/>
  <c r="O67" i="14"/>
  <c r="O68" i="14"/>
  <c r="O69" i="14"/>
  <c r="O70" i="14"/>
  <c r="O71" i="14"/>
  <c r="O72" i="14"/>
  <c r="O73" i="14"/>
  <c r="O74" i="14"/>
  <c r="O75" i="14"/>
  <c r="O76" i="14"/>
  <c r="O77" i="14"/>
  <c r="O78" i="14"/>
  <c r="O79" i="14"/>
  <c r="O80" i="14"/>
  <c r="O81" i="14"/>
  <c r="O82" i="14"/>
  <c r="O83" i="14"/>
  <c r="O86" i="14"/>
  <c r="O87" i="14"/>
  <c r="O90" i="14"/>
  <c r="O91" i="14"/>
  <c r="O92" i="14"/>
  <c r="O93" i="14"/>
  <c r="O94" i="14"/>
  <c r="O95" i="14"/>
  <c r="O96" i="14"/>
  <c r="O97" i="14"/>
  <c r="O98" i="14"/>
  <c r="O99" i="14"/>
  <c r="O100" i="14"/>
  <c r="O101" i="14"/>
  <c r="O102" i="14"/>
  <c r="O103" i="14"/>
  <c r="O104" i="14"/>
  <c r="O105" i="14"/>
  <c r="O106" i="14"/>
  <c r="O107" i="14"/>
  <c r="O108" i="14"/>
  <c r="O109" i="14"/>
  <c r="O110" i="14"/>
  <c r="O111" i="14"/>
  <c r="O112" i="14"/>
  <c r="O113" i="14"/>
  <c r="O114" i="14"/>
  <c r="O115" i="14"/>
  <c r="O116" i="14"/>
  <c r="O117" i="14"/>
  <c r="O118" i="14"/>
  <c r="O119" i="14"/>
  <c r="O120" i="14"/>
  <c r="O121" i="14"/>
  <c r="O122" i="14"/>
  <c r="O123" i="14"/>
  <c r="O124" i="14"/>
  <c r="O125" i="14"/>
  <c r="O7" i="14"/>
  <c r="O6" i="14"/>
  <c r="N8" i="14"/>
  <c r="N9" i="14"/>
  <c r="N10" i="14"/>
  <c r="N11" i="14"/>
  <c r="N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N43" i="14"/>
  <c r="N44" i="14"/>
  <c r="N45" i="14"/>
  <c r="N46" i="14"/>
  <c r="N47" i="14"/>
  <c r="N48" i="14"/>
  <c r="N49" i="14"/>
  <c r="N50" i="14"/>
  <c r="N51" i="14"/>
  <c r="N52" i="14"/>
  <c r="N53" i="14"/>
  <c r="N54" i="14"/>
  <c r="N55" i="14"/>
  <c r="N56" i="14"/>
  <c r="N57" i="14"/>
  <c r="N58" i="14"/>
  <c r="N59" i="14"/>
  <c r="N62" i="14"/>
  <c r="N63" i="14"/>
  <c r="N64" i="14"/>
  <c r="N65" i="14"/>
  <c r="N66" i="14"/>
  <c r="N67" i="14"/>
  <c r="N68" i="14"/>
  <c r="N69" i="14"/>
  <c r="N70" i="14"/>
  <c r="N71" i="14"/>
  <c r="N72" i="14"/>
  <c r="N73" i="14"/>
  <c r="N74" i="14"/>
  <c r="N75" i="14"/>
  <c r="N76" i="14"/>
  <c r="N77" i="14"/>
  <c r="N78" i="14"/>
  <c r="N79" i="14"/>
  <c r="N80" i="14"/>
  <c r="N81" i="14"/>
  <c r="N82" i="14"/>
  <c r="N83" i="14"/>
  <c r="N86" i="14"/>
  <c r="N87" i="14"/>
  <c r="N90" i="14"/>
  <c r="N91" i="14"/>
  <c r="N92" i="14"/>
  <c r="N93" i="14"/>
  <c r="N94" i="14"/>
  <c r="N95" i="14"/>
  <c r="N96" i="14"/>
  <c r="N97" i="14"/>
  <c r="N98" i="14"/>
  <c r="N99" i="14"/>
  <c r="N100" i="14"/>
  <c r="N101" i="14"/>
  <c r="N102" i="14"/>
  <c r="N103" i="14"/>
  <c r="N104" i="14"/>
  <c r="N105" i="14"/>
  <c r="N106" i="14"/>
  <c r="N107" i="14"/>
  <c r="N108" i="14"/>
  <c r="N109" i="14"/>
  <c r="N110" i="14"/>
  <c r="N111" i="14"/>
  <c r="N112" i="14"/>
  <c r="N113" i="14"/>
  <c r="N114" i="14"/>
  <c r="N115" i="14"/>
  <c r="N116" i="14"/>
  <c r="N117" i="14"/>
  <c r="N118" i="14"/>
  <c r="N119" i="14"/>
  <c r="N120" i="14"/>
  <c r="N121" i="14"/>
  <c r="N122" i="14"/>
  <c r="N123" i="14"/>
  <c r="N124" i="14"/>
  <c r="N125" i="14"/>
  <c r="N7" i="14"/>
  <c r="N6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M38" i="14"/>
  <c r="M39" i="14"/>
  <c r="M40" i="14"/>
  <c r="M41" i="14"/>
  <c r="M42" i="14"/>
  <c r="M43" i="14"/>
  <c r="M44" i="14"/>
  <c r="M45" i="14"/>
  <c r="M46" i="14"/>
  <c r="M47" i="14"/>
  <c r="M48" i="14"/>
  <c r="M49" i="14"/>
  <c r="M50" i="14"/>
  <c r="M51" i="14"/>
  <c r="M52" i="14"/>
  <c r="M53" i="14"/>
  <c r="M54" i="14"/>
  <c r="M55" i="14"/>
  <c r="M56" i="14"/>
  <c r="M57" i="14"/>
  <c r="M58" i="14"/>
  <c r="M59" i="14"/>
  <c r="M62" i="14"/>
  <c r="M63" i="14"/>
  <c r="M64" i="14"/>
  <c r="M65" i="14"/>
  <c r="M66" i="14"/>
  <c r="M67" i="14"/>
  <c r="M68" i="14"/>
  <c r="M69" i="14"/>
  <c r="M70" i="14"/>
  <c r="M71" i="14"/>
  <c r="M72" i="14"/>
  <c r="M73" i="14"/>
  <c r="M74" i="14"/>
  <c r="M75" i="14"/>
  <c r="M76" i="14"/>
  <c r="M77" i="14"/>
  <c r="M78" i="14"/>
  <c r="M79" i="14"/>
  <c r="M80" i="14"/>
  <c r="M81" i="14"/>
  <c r="M82" i="14"/>
  <c r="M83" i="14"/>
  <c r="M86" i="14"/>
  <c r="M87" i="14"/>
  <c r="M90" i="14"/>
  <c r="M91" i="14"/>
  <c r="M92" i="14"/>
  <c r="M93" i="14"/>
  <c r="M94" i="14"/>
  <c r="M95" i="14"/>
  <c r="M96" i="14"/>
  <c r="M97" i="14"/>
  <c r="M98" i="14"/>
  <c r="M99" i="14"/>
  <c r="M100" i="14"/>
  <c r="M101" i="14"/>
  <c r="M102" i="14"/>
  <c r="M103" i="14"/>
  <c r="M104" i="14"/>
  <c r="M105" i="14"/>
  <c r="M106" i="14"/>
  <c r="M107" i="14"/>
  <c r="M108" i="14"/>
  <c r="M109" i="14"/>
  <c r="M110" i="14"/>
  <c r="M111" i="14"/>
  <c r="M112" i="14"/>
  <c r="M113" i="14"/>
  <c r="M114" i="14"/>
  <c r="M115" i="14"/>
  <c r="M116" i="14"/>
  <c r="M117" i="14"/>
  <c r="M118" i="14"/>
  <c r="M119" i="14"/>
  <c r="M120" i="14"/>
  <c r="M121" i="14"/>
  <c r="M122" i="14"/>
  <c r="M123" i="14"/>
  <c r="M124" i="14"/>
  <c r="M125" i="14"/>
  <c r="M7" i="14"/>
  <c r="M6" i="14"/>
  <c r="L8" i="14"/>
  <c r="L9" i="14"/>
  <c r="L1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L38" i="14"/>
  <c r="L39" i="14"/>
  <c r="L40" i="14"/>
  <c r="L41" i="14"/>
  <c r="L42" i="14"/>
  <c r="L43" i="14"/>
  <c r="L44" i="14"/>
  <c r="L45" i="14"/>
  <c r="L46" i="14"/>
  <c r="L47" i="14"/>
  <c r="L48" i="14"/>
  <c r="L49" i="14"/>
  <c r="L50" i="14"/>
  <c r="L51" i="14"/>
  <c r="L52" i="14"/>
  <c r="L53" i="14"/>
  <c r="L54" i="14"/>
  <c r="L55" i="14"/>
  <c r="L56" i="14"/>
  <c r="L57" i="14"/>
  <c r="L58" i="14"/>
  <c r="L59" i="14"/>
  <c r="L62" i="14"/>
  <c r="L63" i="14"/>
  <c r="L64" i="14"/>
  <c r="L65" i="14"/>
  <c r="L66" i="14"/>
  <c r="L67" i="14"/>
  <c r="L68" i="14"/>
  <c r="L69" i="14"/>
  <c r="L70" i="14"/>
  <c r="L71" i="14"/>
  <c r="L72" i="14"/>
  <c r="L73" i="14"/>
  <c r="L74" i="14"/>
  <c r="L75" i="14"/>
  <c r="L76" i="14"/>
  <c r="L77" i="14"/>
  <c r="L78" i="14"/>
  <c r="L79" i="14"/>
  <c r="L80" i="14"/>
  <c r="L81" i="14"/>
  <c r="L82" i="14"/>
  <c r="L83" i="14"/>
  <c r="L86" i="14"/>
  <c r="L87" i="14"/>
  <c r="L90" i="14"/>
  <c r="L91" i="14"/>
  <c r="L92" i="14"/>
  <c r="L93" i="14"/>
  <c r="L94" i="14"/>
  <c r="L95" i="14"/>
  <c r="L96" i="14"/>
  <c r="L97" i="14"/>
  <c r="L98" i="14"/>
  <c r="L99" i="14"/>
  <c r="L100" i="14"/>
  <c r="L101" i="14"/>
  <c r="L102" i="14"/>
  <c r="L103" i="14"/>
  <c r="L104" i="14"/>
  <c r="L105" i="14"/>
  <c r="L106" i="14"/>
  <c r="L107" i="14"/>
  <c r="L108" i="14"/>
  <c r="L109" i="14"/>
  <c r="L110" i="14"/>
  <c r="L111" i="14"/>
  <c r="L112" i="14"/>
  <c r="L113" i="14"/>
  <c r="L114" i="14"/>
  <c r="L115" i="14"/>
  <c r="L116" i="14"/>
  <c r="L117" i="14"/>
  <c r="L118" i="14"/>
  <c r="L119" i="14"/>
  <c r="L120" i="14"/>
  <c r="L121" i="14"/>
  <c r="L122" i="14"/>
  <c r="L123" i="14"/>
  <c r="L124" i="14"/>
  <c r="L125" i="14"/>
  <c r="K8" i="14"/>
  <c r="K9" i="14"/>
  <c r="K10" i="14"/>
  <c r="K11" i="14"/>
  <c r="K12" i="14"/>
  <c r="K13" i="14"/>
  <c r="K14" i="14"/>
  <c r="K15" i="14"/>
  <c r="K16" i="14"/>
  <c r="K17" i="14"/>
  <c r="K18" i="14"/>
  <c r="K19" i="14"/>
  <c r="K20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38" i="14"/>
  <c r="K39" i="14"/>
  <c r="K40" i="14"/>
  <c r="K41" i="14"/>
  <c r="K42" i="14"/>
  <c r="K43" i="14"/>
  <c r="K44" i="14"/>
  <c r="K45" i="14"/>
  <c r="K46" i="14"/>
  <c r="K47" i="14"/>
  <c r="K48" i="14"/>
  <c r="K49" i="14"/>
  <c r="K50" i="14"/>
  <c r="K51" i="14"/>
  <c r="K52" i="14"/>
  <c r="K53" i="14"/>
  <c r="K54" i="14"/>
  <c r="K55" i="14"/>
  <c r="K56" i="14"/>
  <c r="K57" i="14"/>
  <c r="K58" i="14"/>
  <c r="K59" i="14"/>
  <c r="K62" i="14"/>
  <c r="K63" i="14"/>
  <c r="K64" i="14"/>
  <c r="K65" i="14"/>
  <c r="K66" i="14"/>
  <c r="K67" i="14"/>
  <c r="K68" i="14"/>
  <c r="K69" i="14"/>
  <c r="K70" i="14"/>
  <c r="K71" i="14"/>
  <c r="K72" i="14"/>
  <c r="K73" i="14"/>
  <c r="K74" i="14"/>
  <c r="K75" i="14"/>
  <c r="K76" i="14"/>
  <c r="K77" i="14"/>
  <c r="K78" i="14"/>
  <c r="K79" i="14"/>
  <c r="K80" i="14"/>
  <c r="K81" i="14"/>
  <c r="K82" i="14"/>
  <c r="K83" i="14"/>
  <c r="K86" i="14"/>
  <c r="K87" i="14"/>
  <c r="K90" i="14"/>
  <c r="K91" i="14"/>
  <c r="K92" i="14"/>
  <c r="K93" i="14"/>
  <c r="K94" i="14"/>
  <c r="K95" i="14"/>
  <c r="K96" i="14"/>
  <c r="K97" i="14"/>
  <c r="K98" i="14"/>
  <c r="K99" i="14"/>
  <c r="K100" i="14"/>
  <c r="K101" i="14"/>
  <c r="K102" i="14"/>
  <c r="K103" i="14"/>
  <c r="K104" i="14"/>
  <c r="K105" i="14"/>
  <c r="K106" i="14"/>
  <c r="K107" i="14"/>
  <c r="K108" i="14"/>
  <c r="K109" i="14"/>
  <c r="K110" i="14"/>
  <c r="K111" i="14"/>
  <c r="K112" i="14"/>
  <c r="K113" i="14"/>
  <c r="K114" i="14"/>
  <c r="K115" i="14"/>
  <c r="K116" i="14"/>
  <c r="K117" i="14"/>
  <c r="K118" i="14"/>
  <c r="K119" i="14"/>
  <c r="K120" i="14"/>
  <c r="K121" i="14"/>
  <c r="K122" i="14"/>
  <c r="K123" i="14"/>
  <c r="K124" i="14"/>
  <c r="K125" i="14"/>
  <c r="L7" i="14"/>
  <c r="L6" i="14"/>
  <c r="K7" i="14"/>
  <c r="K6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38" i="14"/>
  <c r="J39" i="14"/>
  <c r="J40" i="14"/>
  <c r="J41" i="14"/>
  <c r="J42" i="14"/>
  <c r="J43" i="14"/>
  <c r="J44" i="14"/>
  <c r="J45" i="14"/>
  <c r="J46" i="14"/>
  <c r="J47" i="14"/>
  <c r="J48" i="14"/>
  <c r="J49" i="14"/>
  <c r="J50" i="14"/>
  <c r="J51" i="14"/>
  <c r="J52" i="14"/>
  <c r="J53" i="14"/>
  <c r="J54" i="14"/>
  <c r="J55" i="14"/>
  <c r="J56" i="14"/>
  <c r="J57" i="14"/>
  <c r="J58" i="14"/>
  <c r="J59" i="14"/>
  <c r="J62" i="14"/>
  <c r="J63" i="14"/>
  <c r="J64" i="14"/>
  <c r="J65" i="14"/>
  <c r="J66" i="14"/>
  <c r="J67" i="14"/>
  <c r="J68" i="14"/>
  <c r="J69" i="14"/>
  <c r="J70" i="14"/>
  <c r="J71" i="14"/>
  <c r="J72" i="14"/>
  <c r="J73" i="14"/>
  <c r="J74" i="14"/>
  <c r="J75" i="14"/>
  <c r="J76" i="14"/>
  <c r="J77" i="14"/>
  <c r="J78" i="14"/>
  <c r="J79" i="14"/>
  <c r="J80" i="14"/>
  <c r="J81" i="14"/>
  <c r="J82" i="14"/>
  <c r="J83" i="14"/>
  <c r="J86" i="14"/>
  <c r="J87" i="14"/>
  <c r="J90" i="14"/>
  <c r="J91" i="14"/>
  <c r="J92" i="14"/>
  <c r="J93" i="14"/>
  <c r="J94" i="14"/>
  <c r="J95" i="14"/>
  <c r="J96" i="14"/>
  <c r="J97" i="14"/>
  <c r="J98" i="14"/>
  <c r="J99" i="14"/>
  <c r="J100" i="14"/>
  <c r="J101" i="14"/>
  <c r="J102" i="14"/>
  <c r="J103" i="14"/>
  <c r="J104" i="14"/>
  <c r="J105" i="14"/>
  <c r="J106" i="14"/>
  <c r="J107" i="14"/>
  <c r="J108" i="14"/>
  <c r="J109" i="14"/>
  <c r="J110" i="14"/>
  <c r="J111" i="14"/>
  <c r="J112" i="14"/>
  <c r="J113" i="14"/>
  <c r="J114" i="14"/>
  <c r="J115" i="14"/>
  <c r="J116" i="14"/>
  <c r="J117" i="14"/>
  <c r="J118" i="14"/>
  <c r="J119" i="14"/>
  <c r="J120" i="14"/>
  <c r="J121" i="14"/>
  <c r="J122" i="14"/>
  <c r="J123" i="14"/>
  <c r="J124" i="14"/>
  <c r="J125" i="14"/>
  <c r="J7" i="14"/>
  <c r="J6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I43" i="14"/>
  <c r="I44" i="14"/>
  <c r="I45" i="14"/>
  <c r="I46" i="14"/>
  <c r="I47" i="14"/>
  <c r="I48" i="14"/>
  <c r="I49" i="14"/>
  <c r="I50" i="14"/>
  <c r="I51" i="14"/>
  <c r="I52" i="14"/>
  <c r="I53" i="14"/>
  <c r="I54" i="14"/>
  <c r="I55" i="14"/>
  <c r="I56" i="14"/>
  <c r="I57" i="14"/>
  <c r="I58" i="14"/>
  <c r="I59" i="14"/>
  <c r="I62" i="14"/>
  <c r="I63" i="14"/>
  <c r="I64" i="14"/>
  <c r="I65" i="14"/>
  <c r="I66" i="14"/>
  <c r="I67" i="14"/>
  <c r="I68" i="14"/>
  <c r="I69" i="14"/>
  <c r="I70" i="14"/>
  <c r="I71" i="14"/>
  <c r="I72" i="14"/>
  <c r="I73" i="14"/>
  <c r="I74" i="14"/>
  <c r="I75" i="14"/>
  <c r="I76" i="14"/>
  <c r="I77" i="14"/>
  <c r="I78" i="14"/>
  <c r="I79" i="14"/>
  <c r="I80" i="14"/>
  <c r="I81" i="14"/>
  <c r="I82" i="14"/>
  <c r="I83" i="14"/>
  <c r="I86" i="14"/>
  <c r="I87" i="14"/>
  <c r="I90" i="14"/>
  <c r="I91" i="14"/>
  <c r="I92" i="14"/>
  <c r="I93" i="14"/>
  <c r="I94" i="14"/>
  <c r="I95" i="14"/>
  <c r="I96" i="14"/>
  <c r="I97" i="14"/>
  <c r="I98" i="14"/>
  <c r="I99" i="14"/>
  <c r="I100" i="14"/>
  <c r="I101" i="14"/>
  <c r="I102" i="14"/>
  <c r="I103" i="14"/>
  <c r="I104" i="14"/>
  <c r="I105" i="14"/>
  <c r="I106" i="14"/>
  <c r="I107" i="14"/>
  <c r="I108" i="14"/>
  <c r="I109" i="14"/>
  <c r="I110" i="14"/>
  <c r="I111" i="14"/>
  <c r="I112" i="14"/>
  <c r="I113" i="14"/>
  <c r="I114" i="14"/>
  <c r="I115" i="14"/>
  <c r="I116" i="14"/>
  <c r="I117" i="14"/>
  <c r="I118" i="14"/>
  <c r="I119" i="14"/>
  <c r="I120" i="14"/>
  <c r="I121" i="14"/>
  <c r="I122" i="14"/>
  <c r="I123" i="14"/>
  <c r="I124" i="14"/>
  <c r="I125" i="14"/>
  <c r="I7" i="14"/>
  <c r="I6" i="14"/>
  <c r="L127" i="14" l="1"/>
  <c r="K127" i="14"/>
  <c r="O127" i="14"/>
  <c r="I126" i="14"/>
  <c r="M126" i="14"/>
  <c r="M127" i="14"/>
  <c r="I127" i="14"/>
  <c r="I129" i="14" s="1"/>
  <c r="J126" i="14"/>
  <c r="N126" i="14"/>
  <c r="J127" i="14"/>
  <c r="J129" i="14" s="1"/>
  <c r="N127" i="14"/>
  <c r="K126" i="14"/>
  <c r="O126" i="14"/>
  <c r="L126" i="14"/>
  <c r="J3" i="7"/>
  <c r="O3" i="7" s="1"/>
  <c r="T3" i="7" s="1"/>
  <c r="Y3" i="7" s="1"/>
  <c r="AD3" i="7" s="1"/>
  <c r="AI3" i="7" s="1"/>
  <c r="AN3" i="7" s="1"/>
  <c r="AS3" i="7" s="1"/>
  <c r="AX3" i="7" s="1"/>
  <c r="BC3" i="7" s="1"/>
  <c r="BH3" i="7" s="1"/>
  <c r="I2" i="15"/>
  <c r="K2" i="15" s="1"/>
  <c r="M2" i="15" s="1"/>
  <c r="O2" i="15" s="1"/>
  <c r="Q2" i="15" s="1"/>
  <c r="S2" i="15" s="1"/>
  <c r="U2" i="15" s="1"/>
  <c r="W2" i="15" s="1"/>
  <c r="Y2" i="15" s="1"/>
  <c r="AA2" i="15" s="1"/>
  <c r="AC2" i="15" s="1"/>
  <c r="E3" i="14"/>
  <c r="AD67" i="15"/>
  <c r="AD68" i="15" s="1"/>
  <c r="AC67" i="15"/>
  <c r="AB67" i="15"/>
  <c r="AB68" i="15" s="1"/>
  <c r="AA67" i="15"/>
  <c r="Z67" i="15"/>
  <c r="Z68" i="15" s="1"/>
  <c r="Y67" i="15"/>
  <c r="W67" i="15"/>
  <c r="U67" i="15"/>
  <c r="S67" i="15"/>
  <c r="Q67" i="15"/>
  <c r="O126" i="13"/>
  <c r="O125" i="13"/>
  <c r="BI66" i="7"/>
  <c r="O126" i="12" s="1"/>
  <c r="BH66" i="7"/>
  <c r="O125" i="12" s="1"/>
  <c r="N126" i="13"/>
  <c r="N125" i="13"/>
  <c r="BD66" i="7"/>
  <c r="N126" i="12" s="1"/>
  <c r="BC66" i="7"/>
  <c r="N125" i="12" s="1"/>
  <c r="M126" i="13"/>
  <c r="M125" i="13"/>
  <c r="AY66" i="7"/>
  <c r="M126" i="12" s="1"/>
  <c r="AX66" i="7"/>
  <c r="M125" i="12" s="1"/>
  <c r="O124" i="13"/>
  <c r="O123" i="13"/>
  <c r="BI65" i="7"/>
  <c r="O124" i="12" s="1"/>
  <c r="BH65" i="7"/>
  <c r="O123" i="12" s="1"/>
  <c r="N124" i="13"/>
  <c r="N123" i="13"/>
  <c r="BD65" i="7"/>
  <c r="N124" i="12" s="1"/>
  <c r="BC65" i="7"/>
  <c r="N123" i="12" s="1"/>
  <c r="M124" i="13"/>
  <c r="M123" i="13"/>
  <c r="AY65" i="7"/>
  <c r="M124" i="12" s="1"/>
  <c r="AX65" i="7"/>
  <c r="M123" i="12" s="1"/>
  <c r="O122" i="13"/>
  <c r="O121" i="13"/>
  <c r="BI64" i="7"/>
  <c r="O122" i="12" s="1"/>
  <c r="BH64" i="7"/>
  <c r="O121" i="12" s="1"/>
  <c r="N122" i="13"/>
  <c r="N121" i="13"/>
  <c r="BD64" i="7"/>
  <c r="N122" i="12" s="1"/>
  <c r="BC64" i="7"/>
  <c r="N121" i="12" s="1"/>
  <c r="M122" i="13"/>
  <c r="M121" i="13"/>
  <c r="AY64" i="7"/>
  <c r="M122" i="12" s="1"/>
  <c r="AX64" i="7"/>
  <c r="M121" i="12" s="1"/>
  <c r="O120" i="13"/>
  <c r="O119" i="13"/>
  <c r="BI63" i="7"/>
  <c r="O120" i="12" s="1"/>
  <c r="BH63" i="7"/>
  <c r="O119" i="12" s="1"/>
  <c r="N120" i="13"/>
  <c r="N119" i="13"/>
  <c r="BD63" i="7"/>
  <c r="N120" i="12" s="1"/>
  <c r="BC63" i="7"/>
  <c r="N119" i="12" s="1"/>
  <c r="M120" i="13"/>
  <c r="M119" i="13"/>
  <c r="AY63" i="7"/>
  <c r="M120" i="12" s="1"/>
  <c r="AX63" i="7"/>
  <c r="M119" i="12" s="1"/>
  <c r="O84" i="13"/>
  <c r="O83" i="13"/>
  <c r="BI61" i="7"/>
  <c r="O84" i="12" s="1"/>
  <c r="BH61" i="7"/>
  <c r="O83" i="12" s="1"/>
  <c r="N84" i="13"/>
  <c r="N83" i="13"/>
  <c r="BD61" i="7"/>
  <c r="N84" i="12" s="1"/>
  <c r="BC61" i="7"/>
  <c r="N83" i="12" s="1"/>
  <c r="M84" i="13"/>
  <c r="M83" i="13"/>
  <c r="AY61" i="7"/>
  <c r="M84" i="12" s="1"/>
  <c r="AX61" i="7"/>
  <c r="M83" i="12" s="1"/>
  <c r="O82" i="13"/>
  <c r="O81" i="13"/>
  <c r="BI60" i="7"/>
  <c r="O82" i="12" s="1"/>
  <c r="BH60" i="7"/>
  <c r="O81" i="12" s="1"/>
  <c r="N82" i="13"/>
  <c r="N81" i="13"/>
  <c r="BD60" i="7"/>
  <c r="N82" i="12" s="1"/>
  <c r="BC60" i="7"/>
  <c r="N81" i="12" s="1"/>
  <c r="M82" i="13"/>
  <c r="M81" i="13"/>
  <c r="AY60" i="7"/>
  <c r="M82" i="12" s="1"/>
  <c r="AX60" i="7"/>
  <c r="M81" i="12" s="1"/>
  <c r="O80" i="13"/>
  <c r="O79" i="13"/>
  <c r="BI59" i="7"/>
  <c r="O80" i="12" s="1"/>
  <c r="BH59" i="7"/>
  <c r="O79" i="12" s="1"/>
  <c r="N80" i="13"/>
  <c r="N79" i="13"/>
  <c r="BD59" i="7"/>
  <c r="N80" i="12" s="1"/>
  <c r="BC59" i="7"/>
  <c r="N79" i="12" s="1"/>
  <c r="M80" i="13"/>
  <c r="M79" i="13"/>
  <c r="AY59" i="7"/>
  <c r="M80" i="12" s="1"/>
  <c r="AX59" i="7"/>
  <c r="M79" i="12" s="1"/>
  <c r="O78" i="13"/>
  <c r="O77" i="13"/>
  <c r="BI58" i="7"/>
  <c r="O78" i="12" s="1"/>
  <c r="BH58" i="7"/>
  <c r="O77" i="12" s="1"/>
  <c r="N78" i="13"/>
  <c r="N77" i="13"/>
  <c r="BD58" i="7"/>
  <c r="N78" i="12" s="1"/>
  <c r="BC58" i="7"/>
  <c r="N77" i="12" s="1"/>
  <c r="M78" i="13"/>
  <c r="M77" i="13"/>
  <c r="AY58" i="7"/>
  <c r="M78" i="12" s="1"/>
  <c r="AX58" i="7"/>
  <c r="M77" i="12" s="1"/>
  <c r="O94" i="13"/>
  <c r="O93" i="13"/>
  <c r="BI57" i="7"/>
  <c r="O94" i="12" s="1"/>
  <c r="BH57" i="7"/>
  <c r="O93" i="12" s="1"/>
  <c r="N94" i="13"/>
  <c r="N93" i="13"/>
  <c r="BD57" i="7"/>
  <c r="N94" i="12" s="1"/>
  <c r="BC57" i="7"/>
  <c r="N93" i="12" s="1"/>
  <c r="M94" i="13"/>
  <c r="M93" i="13"/>
  <c r="AY57" i="7"/>
  <c r="M94" i="12" s="1"/>
  <c r="AX57" i="7"/>
  <c r="M93" i="12" s="1"/>
  <c r="O92" i="13"/>
  <c r="O91" i="13"/>
  <c r="BI56" i="7"/>
  <c r="O92" i="12" s="1"/>
  <c r="BH56" i="7"/>
  <c r="O91" i="12" s="1"/>
  <c r="N92" i="13"/>
  <c r="N91" i="13"/>
  <c r="BD56" i="7"/>
  <c r="N92" i="12" s="1"/>
  <c r="BC56" i="7"/>
  <c r="N91" i="12" s="1"/>
  <c r="M92" i="13"/>
  <c r="M91" i="13"/>
  <c r="AY56" i="7"/>
  <c r="M92" i="12" s="1"/>
  <c r="AX56" i="7"/>
  <c r="M91" i="12" s="1"/>
  <c r="O88" i="13"/>
  <c r="O87" i="13"/>
  <c r="BI54" i="7"/>
  <c r="O88" i="12" s="1"/>
  <c r="BH54" i="7"/>
  <c r="O87" i="12" s="1"/>
  <c r="N88" i="13"/>
  <c r="N87" i="13"/>
  <c r="BD54" i="7"/>
  <c r="N88" i="12" s="1"/>
  <c r="BC54" i="7"/>
  <c r="N87" i="12" s="1"/>
  <c r="M88" i="13"/>
  <c r="M87" i="13"/>
  <c r="AY54" i="7"/>
  <c r="M88" i="12" s="1"/>
  <c r="AX54" i="7"/>
  <c r="M87" i="12" s="1"/>
  <c r="O118" i="13"/>
  <c r="O117" i="13"/>
  <c r="O118" i="12"/>
  <c r="BH53" i="7"/>
  <c r="O117" i="12" s="1"/>
  <c r="N118" i="13"/>
  <c r="N117" i="13"/>
  <c r="N118" i="12"/>
  <c r="N117" i="12"/>
  <c r="M118" i="13"/>
  <c r="M117" i="13"/>
  <c r="M118" i="12"/>
  <c r="AX53" i="7"/>
  <c r="M117" i="12" s="1"/>
  <c r="O116" i="13"/>
  <c r="O115" i="13"/>
  <c r="BI52" i="7"/>
  <c r="O116" i="12" s="1"/>
  <c r="BH52" i="7"/>
  <c r="O115" i="12" s="1"/>
  <c r="N116" i="13"/>
  <c r="N115" i="13"/>
  <c r="BD52" i="7"/>
  <c r="N116" i="12" s="1"/>
  <c r="BC52" i="7"/>
  <c r="N115" i="12" s="1"/>
  <c r="M116" i="13"/>
  <c r="M115" i="13"/>
  <c r="AY52" i="7"/>
  <c r="M116" i="12" s="1"/>
  <c r="AX52" i="7"/>
  <c r="M115" i="12" s="1"/>
  <c r="O114" i="13"/>
  <c r="O113" i="13"/>
  <c r="BI51" i="7"/>
  <c r="O114" i="12" s="1"/>
  <c r="BH51" i="7"/>
  <c r="O113" i="12" s="1"/>
  <c r="N114" i="13"/>
  <c r="N113" i="13"/>
  <c r="BD51" i="7"/>
  <c r="N114" i="12" s="1"/>
  <c r="BC51" i="7"/>
  <c r="N113" i="12" s="1"/>
  <c r="M114" i="13"/>
  <c r="M113" i="13"/>
  <c r="AY51" i="7"/>
  <c r="M114" i="12" s="1"/>
  <c r="AX51" i="7"/>
  <c r="M113" i="12" s="1"/>
  <c r="O112" i="13"/>
  <c r="O111" i="13"/>
  <c r="BI50" i="7"/>
  <c r="O112" i="12" s="1"/>
  <c r="BH50" i="7"/>
  <c r="O111" i="12" s="1"/>
  <c r="N112" i="13"/>
  <c r="N111" i="13"/>
  <c r="BD50" i="7"/>
  <c r="N112" i="12" s="1"/>
  <c r="BC50" i="7"/>
  <c r="N111" i="12" s="1"/>
  <c r="M112" i="13"/>
  <c r="M111" i="13"/>
  <c r="AY50" i="7"/>
  <c r="M112" i="12" s="1"/>
  <c r="AX50" i="7"/>
  <c r="M111" i="12" s="1"/>
  <c r="O110" i="13"/>
  <c r="O109" i="13"/>
  <c r="BI49" i="7"/>
  <c r="O110" i="12" s="1"/>
  <c r="BH49" i="7"/>
  <c r="O109" i="12" s="1"/>
  <c r="N110" i="13"/>
  <c r="N109" i="13"/>
  <c r="BD49" i="7"/>
  <c r="N110" i="12" s="1"/>
  <c r="BC49" i="7"/>
  <c r="N109" i="12" s="1"/>
  <c r="M110" i="13"/>
  <c r="M109" i="13"/>
  <c r="AY49" i="7"/>
  <c r="M110" i="12" s="1"/>
  <c r="AX49" i="7"/>
  <c r="M109" i="12" s="1"/>
  <c r="O100" i="13"/>
  <c r="O99" i="13"/>
  <c r="BI48" i="7"/>
  <c r="O100" i="12" s="1"/>
  <c r="BH48" i="7"/>
  <c r="O99" i="12" s="1"/>
  <c r="N100" i="13"/>
  <c r="N99" i="13"/>
  <c r="BD48" i="7"/>
  <c r="N100" i="12" s="1"/>
  <c r="BC48" i="7"/>
  <c r="N99" i="12" s="1"/>
  <c r="M100" i="13"/>
  <c r="M99" i="13"/>
  <c r="AY48" i="7"/>
  <c r="M100" i="12" s="1"/>
  <c r="AX48" i="7"/>
  <c r="M99" i="12" s="1"/>
  <c r="O102" i="13"/>
  <c r="O101" i="13"/>
  <c r="BI47" i="7"/>
  <c r="O102" i="12" s="1"/>
  <c r="BH47" i="7"/>
  <c r="O101" i="12" s="1"/>
  <c r="N102" i="13"/>
  <c r="N101" i="13"/>
  <c r="BD47" i="7"/>
  <c r="N102" i="12" s="1"/>
  <c r="BC47" i="7"/>
  <c r="N101" i="12" s="1"/>
  <c r="M102" i="13"/>
  <c r="M101" i="13"/>
  <c r="AY47" i="7"/>
  <c r="M102" i="12" s="1"/>
  <c r="AX47" i="7"/>
  <c r="M101" i="12" s="1"/>
  <c r="O108" i="13"/>
  <c r="O107" i="13"/>
  <c r="BI46" i="7"/>
  <c r="O108" i="12" s="1"/>
  <c r="BH46" i="7"/>
  <c r="O107" i="12" s="1"/>
  <c r="N108" i="13"/>
  <c r="N107" i="13"/>
  <c r="BD46" i="7"/>
  <c r="N108" i="12" s="1"/>
  <c r="BC46" i="7"/>
  <c r="N107" i="12" s="1"/>
  <c r="M108" i="13"/>
  <c r="M107" i="13"/>
  <c r="AY46" i="7"/>
  <c r="M108" i="12" s="1"/>
  <c r="AX46" i="7"/>
  <c r="M107" i="12" s="1"/>
  <c r="O104" i="13"/>
  <c r="O103" i="13"/>
  <c r="BI45" i="7"/>
  <c r="O104" i="12" s="1"/>
  <c r="BH45" i="7"/>
  <c r="O103" i="12" s="1"/>
  <c r="N104" i="13"/>
  <c r="N103" i="13"/>
  <c r="BD45" i="7"/>
  <c r="N104" i="12" s="1"/>
  <c r="BC45" i="7"/>
  <c r="N103" i="12" s="1"/>
  <c r="M104" i="13"/>
  <c r="M103" i="13"/>
  <c r="AY45" i="7"/>
  <c r="M104" i="12" s="1"/>
  <c r="AX45" i="7"/>
  <c r="M103" i="12" s="1"/>
  <c r="O106" i="13"/>
  <c r="O105" i="13"/>
  <c r="BI44" i="7"/>
  <c r="O106" i="12" s="1"/>
  <c r="BH44" i="7"/>
  <c r="O105" i="12" s="1"/>
  <c r="N106" i="13"/>
  <c r="N105" i="13"/>
  <c r="BD44" i="7"/>
  <c r="N106" i="12" s="1"/>
  <c r="BC44" i="7"/>
  <c r="N105" i="12" s="1"/>
  <c r="M106" i="13"/>
  <c r="M105" i="13"/>
  <c r="AY44" i="7"/>
  <c r="M106" i="12" s="1"/>
  <c r="AX44" i="7"/>
  <c r="M105" i="12" s="1"/>
  <c r="O98" i="13"/>
  <c r="O97" i="13"/>
  <c r="BI43" i="7"/>
  <c r="O98" i="12" s="1"/>
  <c r="BH43" i="7"/>
  <c r="O97" i="12" s="1"/>
  <c r="N98" i="13"/>
  <c r="N97" i="13"/>
  <c r="BD43" i="7"/>
  <c r="N98" i="12" s="1"/>
  <c r="BC43" i="7"/>
  <c r="N97" i="12" s="1"/>
  <c r="M98" i="13"/>
  <c r="M97" i="13"/>
  <c r="AY43" i="7"/>
  <c r="M98" i="12" s="1"/>
  <c r="AX43" i="7"/>
  <c r="M97" i="12" s="1"/>
  <c r="O96" i="13"/>
  <c r="O95" i="13"/>
  <c r="BI42" i="7"/>
  <c r="O96" i="12" s="1"/>
  <c r="BH42" i="7"/>
  <c r="O95" i="12" s="1"/>
  <c r="N96" i="13"/>
  <c r="N95" i="13"/>
  <c r="BD42" i="7"/>
  <c r="N96" i="12" s="1"/>
  <c r="BC42" i="7"/>
  <c r="N95" i="12" s="1"/>
  <c r="M96" i="13"/>
  <c r="M95" i="13"/>
  <c r="AY42" i="7"/>
  <c r="M96" i="12" s="1"/>
  <c r="AX42" i="7"/>
  <c r="M95" i="12" s="1"/>
  <c r="O76" i="13"/>
  <c r="O75" i="13"/>
  <c r="BI41" i="7"/>
  <c r="O76" i="12" s="1"/>
  <c r="BH41" i="7"/>
  <c r="O75" i="12" s="1"/>
  <c r="N76" i="13"/>
  <c r="N75" i="13"/>
  <c r="BD41" i="7"/>
  <c r="N76" i="12" s="1"/>
  <c r="BC41" i="7"/>
  <c r="N75" i="12" s="1"/>
  <c r="M76" i="13"/>
  <c r="M75" i="13"/>
  <c r="AY41" i="7"/>
  <c r="M76" i="12" s="1"/>
  <c r="AX41" i="7"/>
  <c r="M75" i="12" s="1"/>
  <c r="O74" i="13"/>
  <c r="O73" i="13"/>
  <c r="BI40" i="7"/>
  <c r="O74" i="12" s="1"/>
  <c r="BH40" i="7"/>
  <c r="O73" i="12" s="1"/>
  <c r="N74" i="13"/>
  <c r="N73" i="13"/>
  <c r="BD40" i="7"/>
  <c r="N74" i="12" s="1"/>
  <c r="BC40" i="7"/>
  <c r="N73" i="12" s="1"/>
  <c r="M74" i="13"/>
  <c r="M73" i="13"/>
  <c r="AY40" i="7"/>
  <c r="M74" i="12" s="1"/>
  <c r="AX40" i="7"/>
  <c r="M73" i="12" s="1"/>
  <c r="O72" i="13"/>
  <c r="O71" i="13"/>
  <c r="BI39" i="7"/>
  <c r="O72" i="12" s="1"/>
  <c r="BH39" i="7"/>
  <c r="O71" i="12" s="1"/>
  <c r="N72" i="13"/>
  <c r="N71" i="13"/>
  <c r="BD39" i="7"/>
  <c r="N72" i="12" s="1"/>
  <c r="BC39" i="7"/>
  <c r="N71" i="12" s="1"/>
  <c r="M72" i="13"/>
  <c r="M71" i="13"/>
  <c r="AY39" i="7"/>
  <c r="M72" i="12" s="1"/>
  <c r="AX39" i="7"/>
  <c r="M71" i="12" s="1"/>
  <c r="O36" i="13"/>
  <c r="O35" i="13"/>
  <c r="BI38" i="7"/>
  <c r="O36" i="12" s="1"/>
  <c r="BH38" i="7"/>
  <c r="O35" i="12" s="1"/>
  <c r="N36" i="13"/>
  <c r="N35" i="13"/>
  <c r="BD38" i="7"/>
  <c r="N36" i="12" s="1"/>
  <c r="BC38" i="7"/>
  <c r="N35" i="12" s="1"/>
  <c r="M36" i="13"/>
  <c r="M35" i="13"/>
  <c r="AY38" i="7"/>
  <c r="M36" i="12" s="1"/>
  <c r="AX38" i="7"/>
  <c r="M35" i="12" s="1"/>
  <c r="O70" i="13"/>
  <c r="O69" i="13"/>
  <c r="BI37" i="7"/>
  <c r="O70" i="12" s="1"/>
  <c r="BH37" i="7"/>
  <c r="O69" i="12" s="1"/>
  <c r="N70" i="13"/>
  <c r="N69" i="13"/>
  <c r="BD37" i="7"/>
  <c r="N70" i="12" s="1"/>
  <c r="BC37" i="7"/>
  <c r="N69" i="12" s="1"/>
  <c r="M70" i="13"/>
  <c r="M69" i="13"/>
  <c r="AY37" i="7"/>
  <c r="M70" i="12" s="1"/>
  <c r="AX37" i="7"/>
  <c r="M69" i="12" s="1"/>
  <c r="O68" i="13"/>
  <c r="O67" i="13"/>
  <c r="BI36" i="7"/>
  <c r="O68" i="12" s="1"/>
  <c r="BH36" i="7"/>
  <c r="O67" i="12" s="1"/>
  <c r="N68" i="13"/>
  <c r="N67" i="13"/>
  <c r="BD36" i="7"/>
  <c r="N68" i="12" s="1"/>
  <c r="BC36" i="7"/>
  <c r="N67" i="12" s="1"/>
  <c r="M68" i="13"/>
  <c r="M67" i="13"/>
  <c r="AY36" i="7"/>
  <c r="M68" i="12" s="1"/>
  <c r="AX36" i="7"/>
  <c r="M67" i="12" s="1"/>
  <c r="O66" i="13"/>
  <c r="O65" i="13"/>
  <c r="BI35" i="7"/>
  <c r="O66" i="12" s="1"/>
  <c r="BH35" i="7"/>
  <c r="O65" i="12" s="1"/>
  <c r="N66" i="13"/>
  <c r="N65" i="13"/>
  <c r="BD35" i="7"/>
  <c r="N66" i="12" s="1"/>
  <c r="BC35" i="7"/>
  <c r="N65" i="12" s="1"/>
  <c r="M66" i="13"/>
  <c r="M65" i="13"/>
  <c r="AY35" i="7"/>
  <c r="M66" i="12" s="1"/>
  <c r="AX35" i="7"/>
  <c r="M65" i="12" s="1"/>
  <c r="O46" i="13"/>
  <c r="O45" i="13"/>
  <c r="BI34" i="7"/>
  <c r="O46" i="12" s="1"/>
  <c r="BH34" i="7"/>
  <c r="O45" i="12" s="1"/>
  <c r="N46" i="13"/>
  <c r="N45" i="13"/>
  <c r="BD34" i="7"/>
  <c r="N46" i="12" s="1"/>
  <c r="BC34" i="7"/>
  <c r="N45" i="12" s="1"/>
  <c r="M46" i="13"/>
  <c r="M45" i="13"/>
  <c r="AY34" i="7"/>
  <c r="M46" i="12" s="1"/>
  <c r="AX34" i="7"/>
  <c r="M45" i="12" s="1"/>
  <c r="O44" i="13"/>
  <c r="O43" i="13"/>
  <c r="BI33" i="7"/>
  <c r="O44" i="12" s="1"/>
  <c r="BH33" i="7"/>
  <c r="O43" i="12" s="1"/>
  <c r="N44" i="13"/>
  <c r="N43" i="13"/>
  <c r="BD33" i="7"/>
  <c r="N44" i="12" s="1"/>
  <c r="BC33" i="7"/>
  <c r="N43" i="12" s="1"/>
  <c r="M44" i="13"/>
  <c r="M43" i="13"/>
  <c r="AY33" i="7"/>
  <c r="M44" i="12" s="1"/>
  <c r="AX33" i="7"/>
  <c r="M43" i="12" s="1"/>
  <c r="O48" i="13"/>
  <c r="O47" i="13"/>
  <c r="BI32" i="7"/>
  <c r="O48" i="12" s="1"/>
  <c r="BH32" i="7"/>
  <c r="O47" i="12" s="1"/>
  <c r="N48" i="13"/>
  <c r="N47" i="13"/>
  <c r="BD32" i="7"/>
  <c r="N48" i="12" s="1"/>
  <c r="BC32" i="7"/>
  <c r="N47" i="12" s="1"/>
  <c r="M48" i="13"/>
  <c r="M47" i="13"/>
  <c r="AY32" i="7"/>
  <c r="M48" i="12" s="1"/>
  <c r="AX32" i="7"/>
  <c r="M47" i="12" s="1"/>
  <c r="O42" i="13"/>
  <c r="O41" i="13"/>
  <c r="BI31" i="7"/>
  <c r="O42" i="12" s="1"/>
  <c r="BH31" i="7"/>
  <c r="O41" i="12" s="1"/>
  <c r="N42" i="13"/>
  <c r="N41" i="13"/>
  <c r="BD31" i="7"/>
  <c r="N42" i="12" s="1"/>
  <c r="BC31" i="7"/>
  <c r="N41" i="12" s="1"/>
  <c r="M42" i="13"/>
  <c r="M41" i="13"/>
  <c r="AY31" i="7"/>
  <c r="M42" i="12" s="1"/>
  <c r="AX31" i="7"/>
  <c r="M41" i="12" s="1"/>
  <c r="O54" i="13"/>
  <c r="O53" i="13"/>
  <c r="BI30" i="7"/>
  <c r="O54" i="12" s="1"/>
  <c r="BH30" i="7"/>
  <c r="O53" i="12" s="1"/>
  <c r="N54" i="13"/>
  <c r="N53" i="13"/>
  <c r="BD30" i="7"/>
  <c r="N54" i="12" s="1"/>
  <c r="BC30" i="7"/>
  <c r="N53" i="12" s="1"/>
  <c r="M54" i="13"/>
  <c r="M53" i="13"/>
  <c r="AY30" i="7"/>
  <c r="M54" i="12" s="1"/>
  <c r="AX30" i="7"/>
  <c r="M53" i="12" s="1"/>
  <c r="O52" i="13"/>
  <c r="O51" i="13"/>
  <c r="BI29" i="7"/>
  <c r="O52" i="12" s="1"/>
  <c r="BH29" i="7"/>
  <c r="O51" i="12" s="1"/>
  <c r="N52" i="13"/>
  <c r="N51" i="13"/>
  <c r="BD29" i="7"/>
  <c r="N52" i="12" s="1"/>
  <c r="BC29" i="7"/>
  <c r="N51" i="12" s="1"/>
  <c r="M52" i="13"/>
  <c r="M51" i="13"/>
  <c r="AY29" i="7"/>
  <c r="M52" i="12" s="1"/>
  <c r="AX29" i="7"/>
  <c r="M51" i="12" s="1"/>
  <c r="O50" i="13"/>
  <c r="O49" i="13"/>
  <c r="BI28" i="7"/>
  <c r="O50" i="12" s="1"/>
  <c r="BH28" i="7"/>
  <c r="O49" i="12" s="1"/>
  <c r="N50" i="13"/>
  <c r="N49" i="13"/>
  <c r="BD28" i="7"/>
  <c r="N50" i="12" s="1"/>
  <c r="BC28" i="7"/>
  <c r="N49" i="12" s="1"/>
  <c r="M50" i="13"/>
  <c r="M49" i="13"/>
  <c r="AY28" i="7"/>
  <c r="M50" i="12" s="1"/>
  <c r="AX28" i="7"/>
  <c r="M49" i="12" s="1"/>
  <c r="O26" i="13"/>
  <c r="O25" i="13"/>
  <c r="BI27" i="7"/>
  <c r="O26" i="12" s="1"/>
  <c r="BH27" i="7"/>
  <c r="O25" i="12" s="1"/>
  <c r="N26" i="13"/>
  <c r="N25" i="13"/>
  <c r="BD27" i="7"/>
  <c r="N26" i="12" s="1"/>
  <c r="BC27" i="7"/>
  <c r="N25" i="12" s="1"/>
  <c r="M26" i="13"/>
  <c r="M25" i="13"/>
  <c r="AY27" i="7"/>
  <c r="M26" i="12" s="1"/>
  <c r="AX27" i="7"/>
  <c r="M25" i="12" s="1"/>
  <c r="O22" i="13"/>
  <c r="O21" i="13"/>
  <c r="BI26" i="7"/>
  <c r="O22" i="12" s="1"/>
  <c r="BH26" i="7"/>
  <c r="O21" i="12" s="1"/>
  <c r="N22" i="13"/>
  <c r="N21" i="13"/>
  <c r="BD26" i="7"/>
  <c r="N22" i="12" s="1"/>
  <c r="BC26" i="7"/>
  <c r="N21" i="12" s="1"/>
  <c r="M22" i="13"/>
  <c r="M21" i="13"/>
  <c r="AY26" i="7"/>
  <c r="M22" i="12" s="1"/>
  <c r="AX26" i="7"/>
  <c r="M21" i="12" s="1"/>
  <c r="O20" i="13"/>
  <c r="O19" i="13"/>
  <c r="BI25" i="7"/>
  <c r="O20" i="12" s="1"/>
  <c r="BH25" i="7"/>
  <c r="O19" i="12" s="1"/>
  <c r="N20" i="13"/>
  <c r="N19" i="13"/>
  <c r="BD25" i="7"/>
  <c r="N20" i="12" s="1"/>
  <c r="BC25" i="7"/>
  <c r="N19" i="12" s="1"/>
  <c r="M20" i="13"/>
  <c r="M19" i="13"/>
  <c r="AY25" i="7"/>
  <c r="M20" i="12" s="1"/>
  <c r="AX25" i="7"/>
  <c r="M19" i="12" s="1"/>
  <c r="O56" i="13"/>
  <c r="O55" i="13"/>
  <c r="BI24" i="7"/>
  <c r="O56" i="12" s="1"/>
  <c r="BH24" i="7"/>
  <c r="O55" i="12" s="1"/>
  <c r="N56" i="13"/>
  <c r="N55" i="13"/>
  <c r="BD24" i="7"/>
  <c r="N56" i="12" s="1"/>
  <c r="BC24" i="7"/>
  <c r="N55" i="12" s="1"/>
  <c r="M56" i="13"/>
  <c r="M55" i="13"/>
  <c r="AY24" i="7"/>
  <c r="M56" i="12" s="1"/>
  <c r="AX24" i="7"/>
  <c r="M55" i="12" s="1"/>
  <c r="O58" i="13"/>
  <c r="O57" i="13"/>
  <c r="BI23" i="7"/>
  <c r="O58" i="12" s="1"/>
  <c r="BH23" i="7"/>
  <c r="O57" i="12" s="1"/>
  <c r="N58" i="13"/>
  <c r="N57" i="13"/>
  <c r="BD23" i="7"/>
  <c r="N58" i="12" s="1"/>
  <c r="BC23" i="7"/>
  <c r="N57" i="12" s="1"/>
  <c r="M58" i="13"/>
  <c r="M57" i="13"/>
  <c r="AY23" i="7"/>
  <c r="M58" i="12" s="1"/>
  <c r="AX23" i="7"/>
  <c r="M57" i="12" s="1"/>
  <c r="O60" i="13"/>
  <c r="O59" i="13"/>
  <c r="BI22" i="7"/>
  <c r="O60" i="12" s="1"/>
  <c r="BH22" i="7"/>
  <c r="O59" i="12" s="1"/>
  <c r="N60" i="13"/>
  <c r="N59" i="13"/>
  <c r="BD22" i="7"/>
  <c r="N60" i="12" s="1"/>
  <c r="BC22" i="7"/>
  <c r="N59" i="12" s="1"/>
  <c r="M60" i="13"/>
  <c r="M59" i="13"/>
  <c r="AY22" i="7"/>
  <c r="M60" i="12" s="1"/>
  <c r="AX22" i="7"/>
  <c r="M59" i="12" s="1"/>
  <c r="O64" i="13"/>
  <c r="O63" i="13"/>
  <c r="BI20" i="7"/>
  <c r="O64" i="12" s="1"/>
  <c r="BH20" i="7"/>
  <c r="O63" i="12" s="1"/>
  <c r="N64" i="13"/>
  <c r="N63" i="13"/>
  <c r="BD20" i="7"/>
  <c r="N64" i="12" s="1"/>
  <c r="BC20" i="7"/>
  <c r="N63" i="12" s="1"/>
  <c r="M64" i="13"/>
  <c r="M63" i="13"/>
  <c r="AY20" i="7"/>
  <c r="M64" i="12" s="1"/>
  <c r="AX20" i="7"/>
  <c r="M63" i="12" s="1"/>
  <c r="O24" i="13"/>
  <c r="O23" i="13"/>
  <c r="BI19" i="7"/>
  <c r="O24" i="12" s="1"/>
  <c r="BH19" i="7"/>
  <c r="O23" i="12" s="1"/>
  <c r="N24" i="13"/>
  <c r="N23" i="13"/>
  <c r="BD19" i="7"/>
  <c r="N24" i="12" s="1"/>
  <c r="BC19" i="7"/>
  <c r="N23" i="12" s="1"/>
  <c r="M24" i="13"/>
  <c r="M23" i="13"/>
  <c r="AY19" i="7"/>
  <c r="M24" i="12" s="1"/>
  <c r="AX19" i="7"/>
  <c r="M23" i="12" s="1"/>
  <c r="O40" i="13"/>
  <c r="O39" i="13"/>
  <c r="BI18" i="7"/>
  <c r="O40" i="12" s="1"/>
  <c r="BH18" i="7"/>
  <c r="O39" i="12" s="1"/>
  <c r="N40" i="13"/>
  <c r="N39" i="13"/>
  <c r="BD18" i="7"/>
  <c r="N40" i="12" s="1"/>
  <c r="BC18" i="7"/>
  <c r="N39" i="12" s="1"/>
  <c r="M40" i="13"/>
  <c r="M39" i="13"/>
  <c r="AY18" i="7"/>
  <c r="M40" i="12" s="1"/>
  <c r="AX18" i="7"/>
  <c r="M39" i="12" s="1"/>
  <c r="O38" i="13"/>
  <c r="O37" i="13"/>
  <c r="BI17" i="7"/>
  <c r="O38" i="12" s="1"/>
  <c r="BH17" i="7"/>
  <c r="O37" i="12" s="1"/>
  <c r="N38" i="13"/>
  <c r="N37" i="13"/>
  <c r="BD17" i="7"/>
  <c r="N38" i="12" s="1"/>
  <c r="BC17" i="7"/>
  <c r="N37" i="12" s="1"/>
  <c r="M38" i="13"/>
  <c r="M37" i="13"/>
  <c r="AY17" i="7"/>
  <c r="M38" i="12" s="1"/>
  <c r="AX17" i="7"/>
  <c r="M37" i="12" s="1"/>
  <c r="O12" i="13"/>
  <c r="O11" i="13"/>
  <c r="BI16" i="7"/>
  <c r="O12" i="12" s="1"/>
  <c r="BH16" i="7"/>
  <c r="O11" i="12" s="1"/>
  <c r="N12" i="13"/>
  <c r="N11" i="13"/>
  <c r="BD16" i="7"/>
  <c r="N12" i="12" s="1"/>
  <c r="BC16" i="7"/>
  <c r="N11" i="12" s="1"/>
  <c r="M12" i="13"/>
  <c r="M11" i="13"/>
  <c r="AY16" i="7"/>
  <c r="M12" i="12" s="1"/>
  <c r="AX16" i="7"/>
  <c r="M11" i="12" s="1"/>
  <c r="O18" i="13"/>
  <c r="O17" i="13"/>
  <c r="BI15" i="7"/>
  <c r="O18" i="12" s="1"/>
  <c r="BH15" i="7"/>
  <c r="O17" i="12" s="1"/>
  <c r="N18" i="13"/>
  <c r="N17" i="13"/>
  <c r="BD15" i="7"/>
  <c r="N18" i="12" s="1"/>
  <c r="BC15" i="7"/>
  <c r="N17" i="12" s="1"/>
  <c r="M18" i="13"/>
  <c r="M17" i="13"/>
  <c r="AY15" i="7"/>
  <c r="M18" i="12" s="1"/>
  <c r="AX15" i="7"/>
  <c r="M17" i="12" s="1"/>
  <c r="O8" i="13"/>
  <c r="O7" i="13"/>
  <c r="BI14" i="7"/>
  <c r="O8" i="12" s="1"/>
  <c r="BH14" i="7"/>
  <c r="O7" i="12" s="1"/>
  <c r="N8" i="13"/>
  <c r="N7" i="13"/>
  <c r="BD14" i="7"/>
  <c r="N8" i="12" s="1"/>
  <c r="BC14" i="7"/>
  <c r="N7" i="12" s="1"/>
  <c r="M8" i="13"/>
  <c r="M7" i="13"/>
  <c r="AY14" i="7"/>
  <c r="M8" i="12" s="1"/>
  <c r="AX14" i="7"/>
  <c r="M7" i="12" s="1"/>
  <c r="O34" i="13"/>
  <c r="O33" i="13"/>
  <c r="BI13" i="7"/>
  <c r="O34" i="12" s="1"/>
  <c r="BH13" i="7"/>
  <c r="O33" i="12" s="1"/>
  <c r="N34" i="13"/>
  <c r="N33" i="13"/>
  <c r="BD13" i="7"/>
  <c r="N34" i="12" s="1"/>
  <c r="BC13" i="7"/>
  <c r="N33" i="12" s="1"/>
  <c r="M34" i="13"/>
  <c r="M33" i="13"/>
  <c r="AY13" i="7"/>
  <c r="M34" i="12" s="1"/>
  <c r="AX13" i="7"/>
  <c r="M33" i="12" s="1"/>
  <c r="O32" i="13"/>
  <c r="O31" i="13"/>
  <c r="BI12" i="7"/>
  <c r="O32" i="12" s="1"/>
  <c r="BH12" i="7"/>
  <c r="O31" i="12" s="1"/>
  <c r="N32" i="13"/>
  <c r="N31" i="13"/>
  <c r="BD12" i="7"/>
  <c r="N32" i="12" s="1"/>
  <c r="BC12" i="7"/>
  <c r="N31" i="12" s="1"/>
  <c r="M32" i="13"/>
  <c r="M31" i="13"/>
  <c r="AY12" i="7"/>
  <c r="M32" i="12" s="1"/>
  <c r="AX12" i="7"/>
  <c r="M31" i="12" s="1"/>
  <c r="O30" i="13"/>
  <c r="O29" i="13"/>
  <c r="BI11" i="7"/>
  <c r="O30" i="12" s="1"/>
  <c r="BH11" i="7"/>
  <c r="O29" i="12" s="1"/>
  <c r="N30" i="13"/>
  <c r="N29" i="13"/>
  <c r="BD11" i="7"/>
  <c r="N30" i="12" s="1"/>
  <c r="BC11" i="7"/>
  <c r="N29" i="12" s="1"/>
  <c r="M30" i="13"/>
  <c r="M29" i="13"/>
  <c r="AY11" i="7"/>
  <c r="M30" i="12" s="1"/>
  <c r="AX11" i="7"/>
  <c r="M29" i="12" s="1"/>
  <c r="O28" i="13"/>
  <c r="O27" i="13"/>
  <c r="BI10" i="7"/>
  <c r="O28" i="12" s="1"/>
  <c r="BH10" i="7"/>
  <c r="O27" i="12" s="1"/>
  <c r="N28" i="13"/>
  <c r="N27" i="13"/>
  <c r="BD10" i="7"/>
  <c r="N28" i="12" s="1"/>
  <c r="BC10" i="7"/>
  <c r="N27" i="12" s="1"/>
  <c r="M28" i="13"/>
  <c r="M27" i="13"/>
  <c r="AY10" i="7"/>
  <c r="M28" i="12" s="1"/>
  <c r="AX10" i="7"/>
  <c r="M27" i="12" s="1"/>
  <c r="O14" i="13"/>
  <c r="O13" i="13"/>
  <c r="BI9" i="7"/>
  <c r="O14" i="12" s="1"/>
  <c r="BH9" i="7"/>
  <c r="O13" i="12" s="1"/>
  <c r="N14" i="13"/>
  <c r="N13" i="13"/>
  <c r="BD9" i="7"/>
  <c r="N14" i="12" s="1"/>
  <c r="BC9" i="7"/>
  <c r="N13" i="12" s="1"/>
  <c r="M14" i="13"/>
  <c r="M13" i="13"/>
  <c r="AY9" i="7"/>
  <c r="M14" i="12" s="1"/>
  <c r="AX9" i="7"/>
  <c r="M13" i="12" s="1"/>
  <c r="BK8" i="7"/>
  <c r="O16" i="13" s="1"/>
  <c r="BJ8" i="7"/>
  <c r="O15" i="13" s="1"/>
  <c r="BI8" i="7"/>
  <c r="O16" i="12" s="1"/>
  <c r="BH8" i="7"/>
  <c r="O15" i="12" s="1"/>
  <c r="BF8" i="7"/>
  <c r="N16" i="13" s="1"/>
  <c r="BE8" i="7"/>
  <c r="N15" i="13" s="1"/>
  <c r="BD8" i="7"/>
  <c r="N16" i="12" s="1"/>
  <c r="BC8" i="7"/>
  <c r="BA8" i="7"/>
  <c r="M16" i="13" s="1"/>
  <c r="AZ8" i="7"/>
  <c r="M15" i="13" s="1"/>
  <c r="AY8" i="7"/>
  <c r="M16" i="12" s="1"/>
  <c r="AX8" i="7"/>
  <c r="M15" i="12" s="1"/>
  <c r="BK7" i="7"/>
  <c r="O10" i="13" s="1"/>
  <c r="BJ7" i="7"/>
  <c r="BI7" i="7"/>
  <c r="O10" i="12" s="1"/>
  <c r="BH7" i="7"/>
  <c r="BF7" i="7"/>
  <c r="BE7" i="7"/>
  <c r="BD7" i="7"/>
  <c r="BC7" i="7"/>
  <c r="N9" i="12" s="1"/>
  <c r="BA7" i="7"/>
  <c r="AZ7" i="7"/>
  <c r="AY7" i="7"/>
  <c r="AX7" i="7"/>
  <c r="L126" i="13"/>
  <c r="L125" i="13"/>
  <c r="AT66" i="7"/>
  <c r="L126" i="12" s="1"/>
  <c r="AS66" i="7"/>
  <c r="L125" i="12" s="1"/>
  <c r="K126" i="13"/>
  <c r="K125" i="13"/>
  <c r="AO66" i="7"/>
  <c r="K126" i="12" s="1"/>
  <c r="AN66" i="7"/>
  <c r="K125" i="12" s="1"/>
  <c r="J126" i="13"/>
  <c r="J125" i="13"/>
  <c r="AJ66" i="7"/>
  <c r="J126" i="12" s="1"/>
  <c r="AI66" i="7"/>
  <c r="J125" i="12" s="1"/>
  <c r="I126" i="13"/>
  <c r="I125" i="13"/>
  <c r="AE66" i="7"/>
  <c r="I126" i="12" s="1"/>
  <c r="AD66" i="7"/>
  <c r="I125" i="12" s="1"/>
  <c r="L124" i="13"/>
  <c r="L123" i="13"/>
  <c r="AT65" i="7"/>
  <c r="L124" i="12" s="1"/>
  <c r="AS65" i="7"/>
  <c r="L123" i="12" s="1"/>
  <c r="K124" i="13"/>
  <c r="K123" i="13"/>
  <c r="AO65" i="7"/>
  <c r="K124" i="12" s="1"/>
  <c r="AN65" i="7"/>
  <c r="K123" i="12" s="1"/>
  <c r="J124" i="13"/>
  <c r="J123" i="13"/>
  <c r="AJ65" i="7"/>
  <c r="J124" i="12" s="1"/>
  <c r="AI65" i="7"/>
  <c r="J123" i="12" s="1"/>
  <c r="I124" i="13"/>
  <c r="I123" i="13"/>
  <c r="AE65" i="7"/>
  <c r="I124" i="12" s="1"/>
  <c r="AD65" i="7"/>
  <c r="I123" i="12" s="1"/>
  <c r="L122" i="13"/>
  <c r="L121" i="13"/>
  <c r="AT64" i="7"/>
  <c r="L122" i="12" s="1"/>
  <c r="AS64" i="7"/>
  <c r="L121" i="12" s="1"/>
  <c r="K122" i="13"/>
  <c r="K121" i="13"/>
  <c r="AO64" i="7"/>
  <c r="K122" i="12" s="1"/>
  <c r="AN64" i="7"/>
  <c r="K121" i="12" s="1"/>
  <c r="J122" i="13"/>
  <c r="J121" i="13"/>
  <c r="AJ64" i="7"/>
  <c r="J122" i="12" s="1"/>
  <c r="AI64" i="7"/>
  <c r="J121" i="12" s="1"/>
  <c r="I122" i="13"/>
  <c r="I121" i="13"/>
  <c r="AE64" i="7"/>
  <c r="I122" i="12" s="1"/>
  <c r="AD64" i="7"/>
  <c r="I121" i="12" s="1"/>
  <c r="L120" i="13"/>
  <c r="L119" i="13"/>
  <c r="AT63" i="7"/>
  <c r="L120" i="12" s="1"/>
  <c r="AS63" i="7"/>
  <c r="L119" i="12" s="1"/>
  <c r="K120" i="13"/>
  <c r="K119" i="13"/>
  <c r="AO63" i="7"/>
  <c r="K120" i="12" s="1"/>
  <c r="AN63" i="7"/>
  <c r="K119" i="12" s="1"/>
  <c r="J120" i="13"/>
  <c r="J119" i="13"/>
  <c r="AJ63" i="7"/>
  <c r="J120" i="12" s="1"/>
  <c r="AI63" i="7"/>
  <c r="J119" i="12" s="1"/>
  <c r="I120" i="13"/>
  <c r="I119" i="13"/>
  <c r="AE63" i="7"/>
  <c r="I120" i="12" s="1"/>
  <c r="AD63" i="7"/>
  <c r="I119" i="12" s="1"/>
  <c r="L84" i="13"/>
  <c r="L83" i="13"/>
  <c r="AT61" i="7"/>
  <c r="L84" i="12" s="1"/>
  <c r="AS61" i="7"/>
  <c r="L83" i="12" s="1"/>
  <c r="K84" i="13"/>
  <c r="K83" i="13"/>
  <c r="AO61" i="7"/>
  <c r="K84" i="12" s="1"/>
  <c r="AN61" i="7"/>
  <c r="K83" i="12" s="1"/>
  <c r="J84" i="13"/>
  <c r="J83" i="13"/>
  <c r="AJ61" i="7"/>
  <c r="J84" i="12" s="1"/>
  <c r="AI61" i="7"/>
  <c r="J83" i="12" s="1"/>
  <c r="I84" i="13"/>
  <c r="I83" i="13"/>
  <c r="AE61" i="7"/>
  <c r="I84" i="12" s="1"/>
  <c r="AD61" i="7"/>
  <c r="I83" i="12" s="1"/>
  <c r="L82" i="13"/>
  <c r="L81" i="13"/>
  <c r="AT60" i="7"/>
  <c r="L82" i="12" s="1"/>
  <c r="AS60" i="7"/>
  <c r="L81" i="12" s="1"/>
  <c r="K82" i="13"/>
  <c r="K81" i="13"/>
  <c r="AO60" i="7"/>
  <c r="K82" i="12" s="1"/>
  <c r="AN60" i="7"/>
  <c r="K81" i="12" s="1"/>
  <c r="J82" i="13"/>
  <c r="J81" i="13"/>
  <c r="AJ60" i="7"/>
  <c r="J82" i="12" s="1"/>
  <c r="AI60" i="7"/>
  <c r="J81" i="12" s="1"/>
  <c r="I82" i="13"/>
  <c r="I81" i="13"/>
  <c r="AE60" i="7"/>
  <c r="I82" i="12" s="1"/>
  <c r="AD60" i="7"/>
  <c r="I81" i="12" s="1"/>
  <c r="L80" i="13"/>
  <c r="L79" i="13"/>
  <c r="AT59" i="7"/>
  <c r="L80" i="12" s="1"/>
  <c r="AS59" i="7"/>
  <c r="L79" i="12" s="1"/>
  <c r="K80" i="13"/>
  <c r="K79" i="13"/>
  <c r="AO59" i="7"/>
  <c r="K80" i="12" s="1"/>
  <c r="AN59" i="7"/>
  <c r="K79" i="12" s="1"/>
  <c r="J80" i="13"/>
  <c r="J79" i="13"/>
  <c r="AJ59" i="7"/>
  <c r="J80" i="12" s="1"/>
  <c r="AI59" i="7"/>
  <c r="J79" i="12" s="1"/>
  <c r="I80" i="13"/>
  <c r="I79" i="13"/>
  <c r="AE59" i="7"/>
  <c r="I80" i="12" s="1"/>
  <c r="AD59" i="7"/>
  <c r="I79" i="12" s="1"/>
  <c r="L78" i="13"/>
  <c r="L77" i="13"/>
  <c r="AT58" i="7"/>
  <c r="L78" i="12" s="1"/>
  <c r="AS58" i="7"/>
  <c r="L77" i="12" s="1"/>
  <c r="K78" i="13"/>
  <c r="K77" i="13"/>
  <c r="AO58" i="7"/>
  <c r="K78" i="12" s="1"/>
  <c r="AN58" i="7"/>
  <c r="K77" i="12" s="1"/>
  <c r="J78" i="13"/>
  <c r="J77" i="13"/>
  <c r="AJ58" i="7"/>
  <c r="J78" i="12" s="1"/>
  <c r="AI58" i="7"/>
  <c r="J77" i="12" s="1"/>
  <c r="I78" i="13"/>
  <c r="I77" i="13"/>
  <c r="AE58" i="7"/>
  <c r="I78" i="12" s="1"/>
  <c r="AD58" i="7"/>
  <c r="I77" i="12" s="1"/>
  <c r="L94" i="13"/>
  <c r="L93" i="13"/>
  <c r="AT57" i="7"/>
  <c r="L94" i="12" s="1"/>
  <c r="AS57" i="7"/>
  <c r="L93" i="12" s="1"/>
  <c r="K94" i="13"/>
  <c r="K93" i="13"/>
  <c r="AO57" i="7"/>
  <c r="K94" i="12" s="1"/>
  <c r="AN57" i="7"/>
  <c r="K93" i="12" s="1"/>
  <c r="J94" i="13"/>
  <c r="J93" i="13"/>
  <c r="AJ57" i="7"/>
  <c r="J94" i="12" s="1"/>
  <c r="AI57" i="7"/>
  <c r="J93" i="12" s="1"/>
  <c r="I94" i="13"/>
  <c r="I93" i="13"/>
  <c r="AE57" i="7"/>
  <c r="I94" i="12" s="1"/>
  <c r="AD57" i="7"/>
  <c r="I93" i="12" s="1"/>
  <c r="L92" i="13"/>
  <c r="L91" i="13"/>
  <c r="AT56" i="7"/>
  <c r="L92" i="12" s="1"/>
  <c r="AS56" i="7"/>
  <c r="L91" i="12" s="1"/>
  <c r="K92" i="13"/>
  <c r="K91" i="13"/>
  <c r="AO56" i="7"/>
  <c r="K92" i="12" s="1"/>
  <c r="AN56" i="7"/>
  <c r="K91" i="12" s="1"/>
  <c r="J92" i="13"/>
  <c r="J91" i="13"/>
  <c r="AJ56" i="7"/>
  <c r="J92" i="12" s="1"/>
  <c r="AI56" i="7"/>
  <c r="J91" i="12" s="1"/>
  <c r="I92" i="13"/>
  <c r="I91" i="13"/>
  <c r="AE56" i="7"/>
  <c r="I92" i="12" s="1"/>
  <c r="AD56" i="7"/>
  <c r="I91" i="12" s="1"/>
  <c r="L88" i="13"/>
  <c r="L87" i="13"/>
  <c r="AT54" i="7"/>
  <c r="L88" i="12" s="1"/>
  <c r="AS54" i="7"/>
  <c r="L87" i="12" s="1"/>
  <c r="K88" i="13"/>
  <c r="K87" i="13"/>
  <c r="AO54" i="7"/>
  <c r="K88" i="12" s="1"/>
  <c r="AN54" i="7"/>
  <c r="K87" i="12" s="1"/>
  <c r="J88" i="13"/>
  <c r="J87" i="13"/>
  <c r="AJ54" i="7"/>
  <c r="J88" i="12" s="1"/>
  <c r="AI54" i="7"/>
  <c r="J87" i="12" s="1"/>
  <c r="I88" i="13"/>
  <c r="I87" i="13"/>
  <c r="AE54" i="7"/>
  <c r="I88" i="12" s="1"/>
  <c r="AD54" i="7"/>
  <c r="I87" i="12" s="1"/>
  <c r="L118" i="13"/>
  <c r="L117" i="13"/>
  <c r="L118" i="12"/>
  <c r="L117" i="12"/>
  <c r="K118" i="13"/>
  <c r="K117" i="13"/>
  <c r="K118" i="12"/>
  <c r="K117" i="12"/>
  <c r="J118" i="13"/>
  <c r="J117" i="13"/>
  <c r="J118" i="12"/>
  <c r="J117" i="12"/>
  <c r="I118" i="13"/>
  <c r="I117" i="13"/>
  <c r="I118" i="12"/>
  <c r="I117" i="12"/>
  <c r="L116" i="13"/>
  <c r="L115" i="13"/>
  <c r="AT52" i="7"/>
  <c r="L116" i="12" s="1"/>
  <c r="AS52" i="7"/>
  <c r="L115" i="12" s="1"/>
  <c r="K116" i="13"/>
  <c r="K115" i="13"/>
  <c r="AO52" i="7"/>
  <c r="K116" i="12" s="1"/>
  <c r="AN52" i="7"/>
  <c r="K115" i="12" s="1"/>
  <c r="J116" i="13"/>
  <c r="J115" i="13"/>
  <c r="AJ52" i="7"/>
  <c r="J116" i="12" s="1"/>
  <c r="AI52" i="7"/>
  <c r="J115" i="12" s="1"/>
  <c r="I116" i="13"/>
  <c r="I115" i="13"/>
  <c r="AE52" i="7"/>
  <c r="I116" i="12" s="1"/>
  <c r="AD52" i="7"/>
  <c r="I115" i="12" s="1"/>
  <c r="L114" i="13"/>
  <c r="L113" i="13"/>
  <c r="AT51" i="7"/>
  <c r="L114" i="12" s="1"/>
  <c r="AS51" i="7"/>
  <c r="L113" i="12" s="1"/>
  <c r="K114" i="13"/>
  <c r="K113" i="13"/>
  <c r="AO51" i="7"/>
  <c r="K114" i="12" s="1"/>
  <c r="AN51" i="7"/>
  <c r="K113" i="12" s="1"/>
  <c r="J114" i="13"/>
  <c r="J113" i="13"/>
  <c r="AJ51" i="7"/>
  <c r="J114" i="12" s="1"/>
  <c r="AI51" i="7"/>
  <c r="J113" i="12" s="1"/>
  <c r="I114" i="13"/>
  <c r="I113" i="13"/>
  <c r="AE51" i="7"/>
  <c r="I114" i="12" s="1"/>
  <c r="AD51" i="7"/>
  <c r="I113" i="12" s="1"/>
  <c r="L112" i="13"/>
  <c r="L111" i="13"/>
  <c r="AT50" i="7"/>
  <c r="L112" i="12" s="1"/>
  <c r="AS50" i="7"/>
  <c r="L111" i="12" s="1"/>
  <c r="K112" i="13"/>
  <c r="K111" i="13"/>
  <c r="AO50" i="7"/>
  <c r="K112" i="12" s="1"/>
  <c r="AN50" i="7"/>
  <c r="K111" i="12" s="1"/>
  <c r="J112" i="13"/>
  <c r="J111" i="13"/>
  <c r="AJ50" i="7"/>
  <c r="J112" i="12" s="1"/>
  <c r="AI50" i="7"/>
  <c r="J111" i="12" s="1"/>
  <c r="I112" i="13"/>
  <c r="I111" i="13"/>
  <c r="AE50" i="7"/>
  <c r="I112" i="12" s="1"/>
  <c r="AD50" i="7"/>
  <c r="I111" i="12" s="1"/>
  <c r="L110" i="13"/>
  <c r="L109" i="13"/>
  <c r="AT49" i="7"/>
  <c r="L110" i="12" s="1"/>
  <c r="AS49" i="7"/>
  <c r="L109" i="12" s="1"/>
  <c r="K110" i="13"/>
  <c r="K109" i="13"/>
  <c r="AO49" i="7"/>
  <c r="K110" i="12" s="1"/>
  <c r="AN49" i="7"/>
  <c r="K109" i="12" s="1"/>
  <c r="J110" i="13"/>
  <c r="J109" i="13"/>
  <c r="AJ49" i="7"/>
  <c r="J110" i="12" s="1"/>
  <c r="AI49" i="7"/>
  <c r="J109" i="12" s="1"/>
  <c r="I110" i="13"/>
  <c r="I109" i="13"/>
  <c r="AE49" i="7"/>
  <c r="I110" i="12" s="1"/>
  <c r="AD49" i="7"/>
  <c r="I109" i="12" s="1"/>
  <c r="L100" i="13"/>
  <c r="L99" i="13"/>
  <c r="AT48" i="7"/>
  <c r="L100" i="12" s="1"/>
  <c r="AS48" i="7"/>
  <c r="L99" i="12" s="1"/>
  <c r="K100" i="13"/>
  <c r="K99" i="13"/>
  <c r="AO48" i="7"/>
  <c r="K100" i="12" s="1"/>
  <c r="AN48" i="7"/>
  <c r="K99" i="12" s="1"/>
  <c r="J100" i="13"/>
  <c r="J99" i="13"/>
  <c r="AJ48" i="7"/>
  <c r="J100" i="12" s="1"/>
  <c r="AI48" i="7"/>
  <c r="J99" i="12" s="1"/>
  <c r="I100" i="13"/>
  <c r="I99" i="13"/>
  <c r="AE48" i="7"/>
  <c r="I100" i="12" s="1"/>
  <c r="AD48" i="7"/>
  <c r="I99" i="12" s="1"/>
  <c r="L102" i="13"/>
  <c r="L101" i="13"/>
  <c r="AT47" i="7"/>
  <c r="L102" i="12" s="1"/>
  <c r="AS47" i="7"/>
  <c r="L101" i="12" s="1"/>
  <c r="K102" i="13"/>
  <c r="K101" i="13"/>
  <c r="AO47" i="7"/>
  <c r="K102" i="12" s="1"/>
  <c r="AN47" i="7"/>
  <c r="K101" i="12" s="1"/>
  <c r="J102" i="13"/>
  <c r="J101" i="13"/>
  <c r="AJ47" i="7"/>
  <c r="J102" i="12" s="1"/>
  <c r="AI47" i="7"/>
  <c r="J101" i="12" s="1"/>
  <c r="I102" i="13"/>
  <c r="I101" i="13"/>
  <c r="AE47" i="7"/>
  <c r="I102" i="12" s="1"/>
  <c r="AD47" i="7"/>
  <c r="I101" i="12" s="1"/>
  <c r="L108" i="13"/>
  <c r="L107" i="13"/>
  <c r="AT46" i="7"/>
  <c r="L108" i="12" s="1"/>
  <c r="AS46" i="7"/>
  <c r="L107" i="12" s="1"/>
  <c r="K108" i="13"/>
  <c r="K107" i="13"/>
  <c r="AO46" i="7"/>
  <c r="K108" i="12" s="1"/>
  <c r="AN46" i="7"/>
  <c r="K107" i="12" s="1"/>
  <c r="J108" i="13"/>
  <c r="J107" i="13"/>
  <c r="AJ46" i="7"/>
  <c r="J108" i="12" s="1"/>
  <c r="AI46" i="7"/>
  <c r="J107" i="12" s="1"/>
  <c r="I108" i="13"/>
  <c r="I107" i="13"/>
  <c r="AE46" i="7"/>
  <c r="I108" i="12" s="1"/>
  <c r="AD46" i="7"/>
  <c r="I107" i="12" s="1"/>
  <c r="L104" i="13"/>
  <c r="L103" i="13"/>
  <c r="AT45" i="7"/>
  <c r="L104" i="12" s="1"/>
  <c r="AS45" i="7"/>
  <c r="L103" i="12" s="1"/>
  <c r="K104" i="13"/>
  <c r="K103" i="13"/>
  <c r="AO45" i="7"/>
  <c r="K104" i="12" s="1"/>
  <c r="AN45" i="7"/>
  <c r="K103" i="12" s="1"/>
  <c r="J104" i="13"/>
  <c r="J103" i="13"/>
  <c r="AJ45" i="7"/>
  <c r="J104" i="12" s="1"/>
  <c r="AI45" i="7"/>
  <c r="J103" i="12" s="1"/>
  <c r="I104" i="13"/>
  <c r="I103" i="13"/>
  <c r="AE45" i="7"/>
  <c r="I104" i="12" s="1"/>
  <c r="AD45" i="7"/>
  <c r="I103" i="12" s="1"/>
  <c r="L106" i="13"/>
  <c r="L105" i="13"/>
  <c r="AT44" i="7"/>
  <c r="L106" i="12" s="1"/>
  <c r="AS44" i="7"/>
  <c r="L105" i="12" s="1"/>
  <c r="K106" i="13"/>
  <c r="K105" i="13"/>
  <c r="AO44" i="7"/>
  <c r="K106" i="12" s="1"/>
  <c r="AN44" i="7"/>
  <c r="K105" i="12" s="1"/>
  <c r="J106" i="13"/>
  <c r="J105" i="13"/>
  <c r="AJ44" i="7"/>
  <c r="J106" i="12" s="1"/>
  <c r="AI44" i="7"/>
  <c r="J105" i="12" s="1"/>
  <c r="I106" i="13"/>
  <c r="I105" i="13"/>
  <c r="AE44" i="7"/>
  <c r="I106" i="12" s="1"/>
  <c r="AD44" i="7"/>
  <c r="I105" i="12" s="1"/>
  <c r="L98" i="13"/>
  <c r="L97" i="13"/>
  <c r="AT43" i="7"/>
  <c r="L98" i="12" s="1"/>
  <c r="AS43" i="7"/>
  <c r="L97" i="12" s="1"/>
  <c r="K98" i="13"/>
  <c r="K97" i="13"/>
  <c r="AO43" i="7"/>
  <c r="K98" i="12" s="1"/>
  <c r="AN43" i="7"/>
  <c r="K97" i="12" s="1"/>
  <c r="J98" i="13"/>
  <c r="J97" i="13"/>
  <c r="AJ43" i="7"/>
  <c r="J98" i="12" s="1"/>
  <c r="AI43" i="7"/>
  <c r="J97" i="12" s="1"/>
  <c r="I98" i="13"/>
  <c r="I97" i="13"/>
  <c r="AE43" i="7"/>
  <c r="I98" i="12" s="1"/>
  <c r="AD43" i="7"/>
  <c r="I97" i="12" s="1"/>
  <c r="L96" i="13"/>
  <c r="L95" i="13"/>
  <c r="AT42" i="7"/>
  <c r="L96" i="12" s="1"/>
  <c r="AS42" i="7"/>
  <c r="L95" i="12" s="1"/>
  <c r="K96" i="13"/>
  <c r="K95" i="13"/>
  <c r="AO42" i="7"/>
  <c r="K96" i="12" s="1"/>
  <c r="AN42" i="7"/>
  <c r="K95" i="12" s="1"/>
  <c r="J96" i="13"/>
  <c r="J95" i="13"/>
  <c r="AJ42" i="7"/>
  <c r="J96" i="12" s="1"/>
  <c r="AI42" i="7"/>
  <c r="J95" i="12" s="1"/>
  <c r="I96" i="13"/>
  <c r="I95" i="13"/>
  <c r="AE42" i="7"/>
  <c r="I96" i="12" s="1"/>
  <c r="AD42" i="7"/>
  <c r="I95" i="12" s="1"/>
  <c r="L76" i="13"/>
  <c r="L75" i="13"/>
  <c r="AT41" i="7"/>
  <c r="L76" i="12" s="1"/>
  <c r="AS41" i="7"/>
  <c r="L75" i="12" s="1"/>
  <c r="K76" i="13"/>
  <c r="K75" i="13"/>
  <c r="AO41" i="7"/>
  <c r="K76" i="12" s="1"/>
  <c r="AN41" i="7"/>
  <c r="K75" i="12" s="1"/>
  <c r="J76" i="13"/>
  <c r="J75" i="13"/>
  <c r="AJ41" i="7"/>
  <c r="J76" i="12" s="1"/>
  <c r="AI41" i="7"/>
  <c r="J75" i="12" s="1"/>
  <c r="I76" i="13"/>
  <c r="I75" i="13"/>
  <c r="AE41" i="7"/>
  <c r="I76" i="12" s="1"/>
  <c r="AD41" i="7"/>
  <c r="I75" i="12" s="1"/>
  <c r="L74" i="13"/>
  <c r="L73" i="13"/>
  <c r="AT40" i="7"/>
  <c r="L74" i="12" s="1"/>
  <c r="AS40" i="7"/>
  <c r="L73" i="12" s="1"/>
  <c r="K74" i="13"/>
  <c r="K73" i="13"/>
  <c r="AO40" i="7"/>
  <c r="K74" i="12" s="1"/>
  <c r="AN40" i="7"/>
  <c r="K73" i="12" s="1"/>
  <c r="J74" i="13"/>
  <c r="J73" i="13"/>
  <c r="AJ40" i="7"/>
  <c r="J74" i="12" s="1"/>
  <c r="AI40" i="7"/>
  <c r="J73" i="12" s="1"/>
  <c r="I74" i="13"/>
  <c r="I73" i="13"/>
  <c r="AE40" i="7"/>
  <c r="I74" i="12" s="1"/>
  <c r="AD40" i="7"/>
  <c r="I73" i="12" s="1"/>
  <c r="L72" i="13"/>
  <c r="L71" i="13"/>
  <c r="AT39" i="7"/>
  <c r="L72" i="12" s="1"/>
  <c r="AS39" i="7"/>
  <c r="L71" i="12" s="1"/>
  <c r="K72" i="13"/>
  <c r="K71" i="13"/>
  <c r="AO39" i="7"/>
  <c r="K72" i="12" s="1"/>
  <c r="AN39" i="7"/>
  <c r="K71" i="12" s="1"/>
  <c r="J72" i="13"/>
  <c r="J71" i="13"/>
  <c r="AJ39" i="7"/>
  <c r="J72" i="12" s="1"/>
  <c r="AI39" i="7"/>
  <c r="J71" i="12" s="1"/>
  <c r="I72" i="13"/>
  <c r="I71" i="13"/>
  <c r="AE39" i="7"/>
  <c r="I72" i="12" s="1"/>
  <c r="AD39" i="7"/>
  <c r="I71" i="12" s="1"/>
  <c r="L36" i="13"/>
  <c r="L35" i="13"/>
  <c r="AT38" i="7"/>
  <c r="L36" i="12" s="1"/>
  <c r="AS38" i="7"/>
  <c r="L35" i="12" s="1"/>
  <c r="K36" i="13"/>
  <c r="K35" i="13"/>
  <c r="AO38" i="7"/>
  <c r="K36" i="12" s="1"/>
  <c r="AN38" i="7"/>
  <c r="K35" i="12" s="1"/>
  <c r="J36" i="13"/>
  <c r="J35" i="13"/>
  <c r="AJ38" i="7"/>
  <c r="J36" i="12" s="1"/>
  <c r="AI38" i="7"/>
  <c r="J35" i="12" s="1"/>
  <c r="I36" i="13"/>
  <c r="I35" i="13"/>
  <c r="AE38" i="7"/>
  <c r="I36" i="12" s="1"/>
  <c r="AD38" i="7"/>
  <c r="I35" i="12" s="1"/>
  <c r="L70" i="13"/>
  <c r="L69" i="13"/>
  <c r="AT37" i="7"/>
  <c r="L70" i="12" s="1"/>
  <c r="AS37" i="7"/>
  <c r="L69" i="12" s="1"/>
  <c r="K70" i="13"/>
  <c r="K69" i="13"/>
  <c r="AO37" i="7"/>
  <c r="K70" i="12" s="1"/>
  <c r="AN37" i="7"/>
  <c r="K69" i="12" s="1"/>
  <c r="J70" i="13"/>
  <c r="J69" i="13"/>
  <c r="AJ37" i="7"/>
  <c r="J70" i="12" s="1"/>
  <c r="AI37" i="7"/>
  <c r="J69" i="12" s="1"/>
  <c r="I70" i="13"/>
  <c r="I69" i="13"/>
  <c r="AE37" i="7"/>
  <c r="I70" i="12" s="1"/>
  <c r="AD37" i="7"/>
  <c r="I69" i="12" s="1"/>
  <c r="L68" i="13"/>
  <c r="L67" i="13"/>
  <c r="AT36" i="7"/>
  <c r="L68" i="12" s="1"/>
  <c r="AS36" i="7"/>
  <c r="L67" i="12" s="1"/>
  <c r="K68" i="13"/>
  <c r="K67" i="13"/>
  <c r="AO36" i="7"/>
  <c r="K68" i="12" s="1"/>
  <c r="AN36" i="7"/>
  <c r="K67" i="12" s="1"/>
  <c r="J68" i="13"/>
  <c r="J67" i="13"/>
  <c r="AJ36" i="7"/>
  <c r="J68" i="12" s="1"/>
  <c r="AI36" i="7"/>
  <c r="J67" i="12" s="1"/>
  <c r="I68" i="13"/>
  <c r="I67" i="13"/>
  <c r="AE36" i="7"/>
  <c r="I68" i="12" s="1"/>
  <c r="AD36" i="7"/>
  <c r="I67" i="12" s="1"/>
  <c r="L66" i="13"/>
  <c r="L65" i="13"/>
  <c r="AT35" i="7"/>
  <c r="L66" i="12" s="1"/>
  <c r="AS35" i="7"/>
  <c r="L65" i="12" s="1"/>
  <c r="K66" i="13"/>
  <c r="K65" i="13"/>
  <c r="AO35" i="7"/>
  <c r="K66" i="12" s="1"/>
  <c r="AN35" i="7"/>
  <c r="K65" i="12" s="1"/>
  <c r="J66" i="13"/>
  <c r="J65" i="13"/>
  <c r="AJ35" i="7"/>
  <c r="J66" i="12" s="1"/>
  <c r="AI35" i="7"/>
  <c r="J65" i="12" s="1"/>
  <c r="I66" i="13"/>
  <c r="I65" i="13"/>
  <c r="AE35" i="7"/>
  <c r="I66" i="12" s="1"/>
  <c r="AD35" i="7"/>
  <c r="I65" i="12" s="1"/>
  <c r="L46" i="13"/>
  <c r="L45" i="13"/>
  <c r="AT34" i="7"/>
  <c r="L46" i="12" s="1"/>
  <c r="AS34" i="7"/>
  <c r="L45" i="12" s="1"/>
  <c r="K46" i="13"/>
  <c r="K45" i="13"/>
  <c r="AO34" i="7"/>
  <c r="K46" i="12" s="1"/>
  <c r="AN34" i="7"/>
  <c r="K45" i="12" s="1"/>
  <c r="J46" i="13"/>
  <c r="J45" i="13"/>
  <c r="AJ34" i="7"/>
  <c r="J46" i="12" s="1"/>
  <c r="AI34" i="7"/>
  <c r="J45" i="12" s="1"/>
  <c r="I46" i="13"/>
  <c r="I45" i="13"/>
  <c r="AE34" i="7"/>
  <c r="I46" i="12" s="1"/>
  <c r="AD34" i="7"/>
  <c r="I45" i="12" s="1"/>
  <c r="L44" i="13"/>
  <c r="L43" i="13"/>
  <c r="AT33" i="7"/>
  <c r="L44" i="12" s="1"/>
  <c r="AS33" i="7"/>
  <c r="L43" i="12" s="1"/>
  <c r="K44" i="13"/>
  <c r="K43" i="13"/>
  <c r="AO33" i="7"/>
  <c r="K44" i="12" s="1"/>
  <c r="AN33" i="7"/>
  <c r="K43" i="12" s="1"/>
  <c r="J44" i="13"/>
  <c r="J43" i="13"/>
  <c r="AJ33" i="7"/>
  <c r="J44" i="12" s="1"/>
  <c r="AI33" i="7"/>
  <c r="J43" i="12" s="1"/>
  <c r="I44" i="13"/>
  <c r="I43" i="13"/>
  <c r="AE33" i="7"/>
  <c r="I44" i="12" s="1"/>
  <c r="AD33" i="7"/>
  <c r="I43" i="12" s="1"/>
  <c r="L48" i="13"/>
  <c r="L47" i="13"/>
  <c r="AT32" i="7"/>
  <c r="L48" i="12" s="1"/>
  <c r="AS32" i="7"/>
  <c r="L47" i="12" s="1"/>
  <c r="K48" i="13"/>
  <c r="K47" i="13"/>
  <c r="AO32" i="7"/>
  <c r="K48" i="12" s="1"/>
  <c r="AN32" i="7"/>
  <c r="K47" i="12" s="1"/>
  <c r="J48" i="13"/>
  <c r="J47" i="13"/>
  <c r="AJ32" i="7"/>
  <c r="J48" i="12" s="1"/>
  <c r="AI32" i="7"/>
  <c r="J47" i="12" s="1"/>
  <c r="I48" i="13"/>
  <c r="I47" i="13"/>
  <c r="AE32" i="7"/>
  <c r="I48" i="12" s="1"/>
  <c r="AD32" i="7"/>
  <c r="I47" i="12" s="1"/>
  <c r="L42" i="13"/>
  <c r="L41" i="13"/>
  <c r="AT31" i="7"/>
  <c r="L42" i="12" s="1"/>
  <c r="AS31" i="7"/>
  <c r="L41" i="12" s="1"/>
  <c r="K42" i="13"/>
  <c r="K41" i="13"/>
  <c r="AO31" i="7"/>
  <c r="K42" i="12" s="1"/>
  <c r="AN31" i="7"/>
  <c r="K41" i="12" s="1"/>
  <c r="J42" i="13"/>
  <c r="J41" i="13"/>
  <c r="AJ31" i="7"/>
  <c r="J42" i="12" s="1"/>
  <c r="AI31" i="7"/>
  <c r="J41" i="12" s="1"/>
  <c r="I42" i="13"/>
  <c r="I41" i="13"/>
  <c r="AE31" i="7"/>
  <c r="I42" i="12" s="1"/>
  <c r="AD31" i="7"/>
  <c r="I41" i="12" s="1"/>
  <c r="L54" i="13"/>
  <c r="L53" i="13"/>
  <c r="AT30" i="7"/>
  <c r="L54" i="12" s="1"/>
  <c r="AS30" i="7"/>
  <c r="L53" i="12" s="1"/>
  <c r="K54" i="13"/>
  <c r="K53" i="13"/>
  <c r="AO30" i="7"/>
  <c r="K54" i="12" s="1"/>
  <c r="AN30" i="7"/>
  <c r="K53" i="12" s="1"/>
  <c r="J54" i="13"/>
  <c r="J53" i="13"/>
  <c r="AJ30" i="7"/>
  <c r="J54" i="12" s="1"/>
  <c r="AI30" i="7"/>
  <c r="J53" i="12" s="1"/>
  <c r="I54" i="13"/>
  <c r="I53" i="13"/>
  <c r="AE30" i="7"/>
  <c r="I54" i="12" s="1"/>
  <c r="AD30" i="7"/>
  <c r="I53" i="12" s="1"/>
  <c r="L52" i="13"/>
  <c r="L51" i="13"/>
  <c r="AT29" i="7"/>
  <c r="L52" i="12" s="1"/>
  <c r="AS29" i="7"/>
  <c r="L51" i="12" s="1"/>
  <c r="K52" i="13"/>
  <c r="K51" i="13"/>
  <c r="AO29" i="7"/>
  <c r="K52" i="12" s="1"/>
  <c r="AN29" i="7"/>
  <c r="K51" i="12" s="1"/>
  <c r="J52" i="13"/>
  <c r="J51" i="13"/>
  <c r="AJ29" i="7"/>
  <c r="J52" i="12" s="1"/>
  <c r="AI29" i="7"/>
  <c r="J51" i="12" s="1"/>
  <c r="I52" i="13"/>
  <c r="I51" i="13"/>
  <c r="AE29" i="7"/>
  <c r="I52" i="12" s="1"/>
  <c r="AD29" i="7"/>
  <c r="I51" i="12" s="1"/>
  <c r="L50" i="13"/>
  <c r="L49" i="13"/>
  <c r="AT28" i="7"/>
  <c r="L50" i="12" s="1"/>
  <c r="AS28" i="7"/>
  <c r="L49" i="12" s="1"/>
  <c r="K50" i="13"/>
  <c r="K49" i="13"/>
  <c r="AO28" i="7"/>
  <c r="K50" i="12" s="1"/>
  <c r="AN28" i="7"/>
  <c r="K49" i="12" s="1"/>
  <c r="J50" i="13"/>
  <c r="J49" i="13"/>
  <c r="AJ28" i="7"/>
  <c r="J50" i="12" s="1"/>
  <c r="AI28" i="7"/>
  <c r="J49" i="12" s="1"/>
  <c r="I50" i="13"/>
  <c r="I49" i="13"/>
  <c r="AE28" i="7"/>
  <c r="I50" i="12" s="1"/>
  <c r="AD28" i="7"/>
  <c r="I49" i="12" s="1"/>
  <c r="L26" i="13"/>
  <c r="L25" i="13"/>
  <c r="AT27" i="7"/>
  <c r="L26" i="12" s="1"/>
  <c r="AS27" i="7"/>
  <c r="L25" i="12" s="1"/>
  <c r="K26" i="13"/>
  <c r="K25" i="13"/>
  <c r="AO27" i="7"/>
  <c r="K26" i="12" s="1"/>
  <c r="AN27" i="7"/>
  <c r="K25" i="12" s="1"/>
  <c r="J26" i="13"/>
  <c r="J25" i="13"/>
  <c r="AJ27" i="7"/>
  <c r="J26" i="12" s="1"/>
  <c r="AI27" i="7"/>
  <c r="J25" i="12" s="1"/>
  <c r="I26" i="13"/>
  <c r="I25" i="13"/>
  <c r="AE27" i="7"/>
  <c r="I26" i="12" s="1"/>
  <c r="AD27" i="7"/>
  <c r="I25" i="12" s="1"/>
  <c r="L22" i="13"/>
  <c r="L21" i="13"/>
  <c r="AT26" i="7"/>
  <c r="L22" i="12" s="1"/>
  <c r="AS26" i="7"/>
  <c r="L21" i="12" s="1"/>
  <c r="K22" i="13"/>
  <c r="K21" i="13"/>
  <c r="AO26" i="7"/>
  <c r="K22" i="12" s="1"/>
  <c r="AN26" i="7"/>
  <c r="K21" i="12" s="1"/>
  <c r="J22" i="13"/>
  <c r="J21" i="13"/>
  <c r="AJ26" i="7"/>
  <c r="J22" i="12" s="1"/>
  <c r="AI26" i="7"/>
  <c r="J21" i="12" s="1"/>
  <c r="I22" i="13"/>
  <c r="I21" i="13"/>
  <c r="AE26" i="7"/>
  <c r="I22" i="12" s="1"/>
  <c r="AD26" i="7"/>
  <c r="I21" i="12" s="1"/>
  <c r="L20" i="13"/>
  <c r="L19" i="13"/>
  <c r="AT25" i="7"/>
  <c r="L20" i="12" s="1"/>
  <c r="AS25" i="7"/>
  <c r="L19" i="12" s="1"/>
  <c r="K20" i="13"/>
  <c r="K19" i="13"/>
  <c r="AO25" i="7"/>
  <c r="K20" i="12" s="1"/>
  <c r="AN25" i="7"/>
  <c r="K19" i="12" s="1"/>
  <c r="J20" i="13"/>
  <c r="J19" i="13"/>
  <c r="AJ25" i="7"/>
  <c r="J20" i="12" s="1"/>
  <c r="AI25" i="7"/>
  <c r="J19" i="12" s="1"/>
  <c r="I20" i="13"/>
  <c r="I19" i="13"/>
  <c r="AE25" i="7"/>
  <c r="I20" i="12" s="1"/>
  <c r="AD25" i="7"/>
  <c r="I19" i="12" s="1"/>
  <c r="L56" i="13"/>
  <c r="L55" i="13"/>
  <c r="AT24" i="7"/>
  <c r="L56" i="12" s="1"/>
  <c r="AS24" i="7"/>
  <c r="L55" i="12" s="1"/>
  <c r="K56" i="13"/>
  <c r="K55" i="13"/>
  <c r="AO24" i="7"/>
  <c r="K56" i="12" s="1"/>
  <c r="AN24" i="7"/>
  <c r="K55" i="12" s="1"/>
  <c r="J56" i="13"/>
  <c r="J55" i="13"/>
  <c r="AJ24" i="7"/>
  <c r="J56" i="12" s="1"/>
  <c r="AI24" i="7"/>
  <c r="J55" i="12" s="1"/>
  <c r="I56" i="13"/>
  <c r="I55" i="13"/>
  <c r="AE24" i="7"/>
  <c r="I56" i="12" s="1"/>
  <c r="AD24" i="7"/>
  <c r="I55" i="12" s="1"/>
  <c r="L58" i="13"/>
  <c r="L57" i="13"/>
  <c r="AT23" i="7"/>
  <c r="L58" i="12" s="1"/>
  <c r="AS23" i="7"/>
  <c r="L57" i="12" s="1"/>
  <c r="K58" i="13"/>
  <c r="K57" i="13"/>
  <c r="AO23" i="7"/>
  <c r="K58" i="12" s="1"/>
  <c r="AN23" i="7"/>
  <c r="K57" i="12" s="1"/>
  <c r="J58" i="13"/>
  <c r="J57" i="13"/>
  <c r="AJ23" i="7"/>
  <c r="J58" i="12" s="1"/>
  <c r="AI23" i="7"/>
  <c r="J57" i="12" s="1"/>
  <c r="I58" i="13"/>
  <c r="I57" i="13"/>
  <c r="AE23" i="7"/>
  <c r="I58" i="12" s="1"/>
  <c r="AD23" i="7"/>
  <c r="I57" i="12" s="1"/>
  <c r="L60" i="13"/>
  <c r="L59" i="13"/>
  <c r="AT22" i="7"/>
  <c r="L60" i="12" s="1"/>
  <c r="AS22" i="7"/>
  <c r="L59" i="12" s="1"/>
  <c r="K60" i="13"/>
  <c r="K59" i="13"/>
  <c r="AO22" i="7"/>
  <c r="K60" i="12" s="1"/>
  <c r="AN22" i="7"/>
  <c r="K59" i="12" s="1"/>
  <c r="J60" i="13"/>
  <c r="J59" i="13"/>
  <c r="AJ22" i="7"/>
  <c r="J60" i="12" s="1"/>
  <c r="AI22" i="7"/>
  <c r="J59" i="12" s="1"/>
  <c r="I60" i="13"/>
  <c r="I59" i="13"/>
  <c r="AE22" i="7"/>
  <c r="I60" i="12" s="1"/>
  <c r="AD22" i="7"/>
  <c r="I59" i="12" s="1"/>
  <c r="L64" i="13"/>
  <c r="L63" i="13"/>
  <c r="AT20" i="7"/>
  <c r="L64" i="12" s="1"/>
  <c r="AS20" i="7"/>
  <c r="L63" i="12" s="1"/>
  <c r="K64" i="13"/>
  <c r="K63" i="13"/>
  <c r="AO20" i="7"/>
  <c r="K64" i="12" s="1"/>
  <c r="AN20" i="7"/>
  <c r="K63" i="12" s="1"/>
  <c r="J64" i="13"/>
  <c r="J63" i="13"/>
  <c r="AJ20" i="7"/>
  <c r="J64" i="12" s="1"/>
  <c r="AI20" i="7"/>
  <c r="J63" i="12" s="1"/>
  <c r="I64" i="13"/>
  <c r="I63" i="13"/>
  <c r="AE20" i="7"/>
  <c r="I64" i="12" s="1"/>
  <c r="AD20" i="7"/>
  <c r="I63" i="12" s="1"/>
  <c r="L24" i="13"/>
  <c r="L23" i="13"/>
  <c r="AT19" i="7"/>
  <c r="L24" i="12" s="1"/>
  <c r="AS19" i="7"/>
  <c r="L23" i="12" s="1"/>
  <c r="K24" i="13"/>
  <c r="K23" i="13"/>
  <c r="AO19" i="7"/>
  <c r="K24" i="12" s="1"/>
  <c r="AN19" i="7"/>
  <c r="K23" i="12" s="1"/>
  <c r="J24" i="13"/>
  <c r="J23" i="13"/>
  <c r="AJ19" i="7"/>
  <c r="J24" i="12" s="1"/>
  <c r="AI19" i="7"/>
  <c r="J23" i="12" s="1"/>
  <c r="I24" i="13"/>
  <c r="I23" i="13"/>
  <c r="AE19" i="7"/>
  <c r="I24" i="12" s="1"/>
  <c r="AD19" i="7"/>
  <c r="I23" i="12" s="1"/>
  <c r="L40" i="13"/>
  <c r="L39" i="13"/>
  <c r="AT18" i="7"/>
  <c r="L40" i="12" s="1"/>
  <c r="AS18" i="7"/>
  <c r="L39" i="12" s="1"/>
  <c r="K40" i="13"/>
  <c r="K39" i="13"/>
  <c r="AO18" i="7"/>
  <c r="K40" i="12" s="1"/>
  <c r="AN18" i="7"/>
  <c r="K39" i="12" s="1"/>
  <c r="J40" i="13"/>
  <c r="J39" i="13"/>
  <c r="AJ18" i="7"/>
  <c r="J40" i="12" s="1"/>
  <c r="AI18" i="7"/>
  <c r="J39" i="12" s="1"/>
  <c r="I40" i="13"/>
  <c r="I39" i="13"/>
  <c r="AE18" i="7"/>
  <c r="I40" i="12" s="1"/>
  <c r="AD18" i="7"/>
  <c r="I39" i="12" s="1"/>
  <c r="L38" i="13"/>
  <c r="L37" i="13"/>
  <c r="AT17" i="7"/>
  <c r="L38" i="12" s="1"/>
  <c r="AS17" i="7"/>
  <c r="L37" i="12" s="1"/>
  <c r="K38" i="13"/>
  <c r="K37" i="13"/>
  <c r="AO17" i="7"/>
  <c r="K38" i="12" s="1"/>
  <c r="AN17" i="7"/>
  <c r="K37" i="12" s="1"/>
  <c r="J38" i="13"/>
  <c r="J37" i="13"/>
  <c r="AJ17" i="7"/>
  <c r="J38" i="12" s="1"/>
  <c r="AI17" i="7"/>
  <c r="J37" i="12" s="1"/>
  <c r="I38" i="13"/>
  <c r="I37" i="13"/>
  <c r="AE17" i="7"/>
  <c r="I38" i="12" s="1"/>
  <c r="AD17" i="7"/>
  <c r="I37" i="12" s="1"/>
  <c r="L12" i="13"/>
  <c r="L11" i="13"/>
  <c r="AT16" i="7"/>
  <c r="L12" i="12" s="1"/>
  <c r="AS16" i="7"/>
  <c r="L11" i="12" s="1"/>
  <c r="K12" i="13"/>
  <c r="K11" i="13"/>
  <c r="AO16" i="7"/>
  <c r="K12" i="12" s="1"/>
  <c r="AN16" i="7"/>
  <c r="K11" i="12" s="1"/>
  <c r="J12" i="13"/>
  <c r="J11" i="13"/>
  <c r="AJ16" i="7"/>
  <c r="J12" i="12" s="1"/>
  <c r="AI16" i="7"/>
  <c r="J11" i="12" s="1"/>
  <c r="I12" i="13"/>
  <c r="I11" i="13"/>
  <c r="AE16" i="7"/>
  <c r="I12" i="12" s="1"/>
  <c r="AD16" i="7"/>
  <c r="I11" i="12" s="1"/>
  <c r="L18" i="13"/>
  <c r="L17" i="13"/>
  <c r="AT15" i="7"/>
  <c r="L18" i="12" s="1"/>
  <c r="AS15" i="7"/>
  <c r="L17" i="12" s="1"/>
  <c r="K18" i="13"/>
  <c r="K17" i="13"/>
  <c r="AO15" i="7"/>
  <c r="K18" i="12" s="1"/>
  <c r="AN15" i="7"/>
  <c r="K17" i="12" s="1"/>
  <c r="J18" i="13"/>
  <c r="J17" i="13"/>
  <c r="AJ15" i="7"/>
  <c r="J18" i="12" s="1"/>
  <c r="AI15" i="7"/>
  <c r="J17" i="12" s="1"/>
  <c r="I18" i="13"/>
  <c r="I17" i="13"/>
  <c r="AE15" i="7"/>
  <c r="I18" i="12" s="1"/>
  <c r="AD15" i="7"/>
  <c r="I17" i="12" s="1"/>
  <c r="L8" i="13"/>
  <c r="L7" i="13"/>
  <c r="AT14" i="7"/>
  <c r="L8" i="12" s="1"/>
  <c r="AS14" i="7"/>
  <c r="L7" i="12" s="1"/>
  <c r="K8" i="13"/>
  <c r="K7" i="13"/>
  <c r="AO14" i="7"/>
  <c r="K8" i="12" s="1"/>
  <c r="AN14" i="7"/>
  <c r="K7" i="12" s="1"/>
  <c r="J8" i="13"/>
  <c r="J7" i="13"/>
  <c r="AJ14" i="7"/>
  <c r="J8" i="12" s="1"/>
  <c r="AI14" i="7"/>
  <c r="J7" i="12" s="1"/>
  <c r="I8" i="13"/>
  <c r="I7" i="13"/>
  <c r="AE14" i="7"/>
  <c r="I8" i="12" s="1"/>
  <c r="AD14" i="7"/>
  <c r="I7" i="12" s="1"/>
  <c r="L34" i="13"/>
  <c r="L33" i="13"/>
  <c r="AT13" i="7"/>
  <c r="L34" i="12" s="1"/>
  <c r="AS13" i="7"/>
  <c r="L33" i="12" s="1"/>
  <c r="K34" i="13"/>
  <c r="K33" i="13"/>
  <c r="AO13" i="7"/>
  <c r="K34" i="12" s="1"/>
  <c r="AN13" i="7"/>
  <c r="K33" i="12" s="1"/>
  <c r="J34" i="13"/>
  <c r="J33" i="13"/>
  <c r="AJ13" i="7"/>
  <c r="J34" i="12" s="1"/>
  <c r="AI13" i="7"/>
  <c r="J33" i="12" s="1"/>
  <c r="I34" i="13"/>
  <c r="I33" i="13"/>
  <c r="AE13" i="7"/>
  <c r="I34" i="12" s="1"/>
  <c r="AD13" i="7"/>
  <c r="I33" i="12" s="1"/>
  <c r="L32" i="13"/>
  <c r="L31" i="13"/>
  <c r="AT12" i="7"/>
  <c r="L32" i="12" s="1"/>
  <c r="AS12" i="7"/>
  <c r="L31" i="12" s="1"/>
  <c r="K32" i="13"/>
  <c r="K31" i="13"/>
  <c r="AO12" i="7"/>
  <c r="K32" i="12" s="1"/>
  <c r="AN12" i="7"/>
  <c r="K31" i="12" s="1"/>
  <c r="J32" i="13"/>
  <c r="J31" i="13"/>
  <c r="AJ12" i="7"/>
  <c r="J32" i="12" s="1"/>
  <c r="AI12" i="7"/>
  <c r="J31" i="12" s="1"/>
  <c r="I32" i="13"/>
  <c r="I31" i="13"/>
  <c r="AE12" i="7"/>
  <c r="I32" i="12" s="1"/>
  <c r="AD12" i="7"/>
  <c r="I31" i="12" s="1"/>
  <c r="L30" i="13"/>
  <c r="L29" i="13"/>
  <c r="AT11" i="7"/>
  <c r="L30" i="12" s="1"/>
  <c r="AS11" i="7"/>
  <c r="L29" i="12" s="1"/>
  <c r="K30" i="13"/>
  <c r="K29" i="13"/>
  <c r="AO11" i="7"/>
  <c r="K30" i="12" s="1"/>
  <c r="AN11" i="7"/>
  <c r="K29" i="12" s="1"/>
  <c r="J30" i="13"/>
  <c r="J29" i="13"/>
  <c r="AJ11" i="7"/>
  <c r="J30" i="12" s="1"/>
  <c r="AI11" i="7"/>
  <c r="J29" i="12" s="1"/>
  <c r="I30" i="13"/>
  <c r="I29" i="13"/>
  <c r="AE11" i="7"/>
  <c r="I30" i="12" s="1"/>
  <c r="AD11" i="7"/>
  <c r="I29" i="12" s="1"/>
  <c r="L28" i="13"/>
  <c r="L27" i="13"/>
  <c r="AT10" i="7"/>
  <c r="L28" i="12" s="1"/>
  <c r="AS10" i="7"/>
  <c r="L27" i="12" s="1"/>
  <c r="K28" i="13"/>
  <c r="K27" i="13"/>
  <c r="AO10" i="7"/>
  <c r="K28" i="12" s="1"/>
  <c r="AN10" i="7"/>
  <c r="K27" i="12" s="1"/>
  <c r="J28" i="13"/>
  <c r="J27" i="13"/>
  <c r="AJ10" i="7"/>
  <c r="J28" i="12" s="1"/>
  <c r="AI10" i="7"/>
  <c r="J27" i="12" s="1"/>
  <c r="I28" i="13"/>
  <c r="I27" i="13"/>
  <c r="AE10" i="7"/>
  <c r="I28" i="12" s="1"/>
  <c r="AD10" i="7"/>
  <c r="I27" i="12" s="1"/>
  <c r="L14" i="13"/>
  <c r="L13" i="13"/>
  <c r="AT9" i="7"/>
  <c r="L14" i="12" s="1"/>
  <c r="AS9" i="7"/>
  <c r="L13" i="12" s="1"/>
  <c r="K14" i="13"/>
  <c r="K13" i="13"/>
  <c r="AO9" i="7"/>
  <c r="K14" i="12" s="1"/>
  <c r="AN9" i="7"/>
  <c r="K13" i="12" s="1"/>
  <c r="J14" i="13"/>
  <c r="J13" i="13"/>
  <c r="AJ9" i="7"/>
  <c r="J14" i="12" s="1"/>
  <c r="AI9" i="7"/>
  <c r="J13" i="12" s="1"/>
  <c r="I14" i="13"/>
  <c r="I13" i="13"/>
  <c r="AE9" i="7"/>
  <c r="I14" i="12" s="1"/>
  <c r="AD9" i="7"/>
  <c r="I13" i="12" s="1"/>
  <c r="AV8" i="7"/>
  <c r="L16" i="13" s="1"/>
  <c r="AU8" i="7"/>
  <c r="L15" i="13" s="1"/>
  <c r="AT8" i="7"/>
  <c r="L16" i="12" s="1"/>
  <c r="AS8" i="7"/>
  <c r="L15" i="12" s="1"/>
  <c r="AQ8" i="7"/>
  <c r="K16" i="13" s="1"/>
  <c r="AP8" i="7"/>
  <c r="K15" i="13" s="1"/>
  <c r="AO8" i="7"/>
  <c r="K16" i="12" s="1"/>
  <c r="AN8" i="7"/>
  <c r="K15" i="12" s="1"/>
  <c r="AL8" i="7"/>
  <c r="J16" i="13" s="1"/>
  <c r="AK8" i="7"/>
  <c r="J15" i="13" s="1"/>
  <c r="AJ8" i="7"/>
  <c r="J16" i="12" s="1"/>
  <c r="AI8" i="7"/>
  <c r="J15" i="12" s="1"/>
  <c r="AG8" i="7"/>
  <c r="I16" i="13" s="1"/>
  <c r="AF8" i="7"/>
  <c r="I15" i="13" s="1"/>
  <c r="AE8" i="7"/>
  <c r="I16" i="12" s="1"/>
  <c r="AD8" i="7"/>
  <c r="I15" i="12" s="1"/>
  <c r="AV7" i="7"/>
  <c r="AU7" i="7"/>
  <c r="AT7" i="7"/>
  <c r="AS7" i="7"/>
  <c r="L9" i="12" s="1"/>
  <c r="AQ7" i="7"/>
  <c r="AP7" i="7"/>
  <c r="AO7" i="7"/>
  <c r="AN7" i="7"/>
  <c r="K9" i="12" s="1"/>
  <c r="AL7" i="7"/>
  <c r="AK7" i="7"/>
  <c r="J9" i="13" s="1"/>
  <c r="AJ7" i="7"/>
  <c r="AI7" i="7"/>
  <c r="AG7" i="7"/>
  <c r="AF7" i="7"/>
  <c r="AE7" i="7"/>
  <c r="AD7" i="7"/>
  <c r="E3" i="12"/>
  <c r="AV67" i="7" l="1"/>
  <c r="AV68" i="7" s="1"/>
  <c r="L127" i="12"/>
  <c r="L129" i="12" s="1"/>
  <c r="J127" i="13"/>
  <c r="J129" i="13" s="1"/>
  <c r="O128" i="13"/>
  <c r="O130" i="13" s="1"/>
  <c r="O128" i="12"/>
  <c r="O130" i="12" s="1"/>
  <c r="K127" i="12"/>
  <c r="K129" i="12" s="1"/>
  <c r="J128" i="14"/>
  <c r="I128" i="14"/>
  <c r="Y68" i="15"/>
  <c r="AA68" i="15"/>
  <c r="AC68" i="15"/>
  <c r="Q68" i="15"/>
  <c r="W68" i="15"/>
  <c r="S68" i="15"/>
  <c r="U68" i="15"/>
  <c r="AQ67" i="7"/>
  <c r="AQ68" i="7" s="1"/>
  <c r="AT67" i="7"/>
  <c r="AT68" i="7" s="1"/>
  <c r="AN67" i="7"/>
  <c r="AN68" i="7" s="1"/>
  <c r="AP67" i="7"/>
  <c r="AP68" i="7" s="1"/>
  <c r="AO67" i="7"/>
  <c r="AO68" i="7" s="1"/>
  <c r="BA67" i="7"/>
  <c r="BA68" i="7" s="1"/>
  <c r="BF67" i="7"/>
  <c r="BF68" i="7" s="1"/>
  <c r="AX67" i="7"/>
  <c r="AX68" i="7" s="1"/>
  <c r="AJ67" i="7"/>
  <c r="AJ68" i="7" s="1"/>
  <c r="AF67" i="7"/>
  <c r="AF68" i="7" s="1"/>
  <c r="AG67" i="7"/>
  <c r="AG68" i="7" s="1"/>
  <c r="BC67" i="7"/>
  <c r="BC68" i="7" s="1"/>
  <c r="BD67" i="7"/>
  <c r="BD68" i="7" s="1"/>
  <c r="AZ67" i="7"/>
  <c r="AZ68" i="7" s="1"/>
  <c r="BH67" i="7"/>
  <c r="BH68" i="7" s="1"/>
  <c r="BI67" i="7"/>
  <c r="BI68" i="7" s="1"/>
  <c r="BJ67" i="7"/>
  <c r="BJ68" i="7" s="1"/>
  <c r="N15" i="12"/>
  <c r="N127" i="12" s="1"/>
  <c r="BE67" i="7"/>
  <c r="BE68" i="7" s="1"/>
  <c r="AY67" i="7"/>
  <c r="AY68" i="7" s="1"/>
  <c r="AU67" i="7"/>
  <c r="AU68" i="7" s="1"/>
  <c r="AI67" i="7"/>
  <c r="AI68" i="7" s="1"/>
  <c r="AL67" i="7"/>
  <c r="AL68" i="7" s="1"/>
  <c r="AD67" i="7"/>
  <c r="AD68" i="7" s="1"/>
  <c r="AE67" i="7"/>
  <c r="AE68" i="7" s="1"/>
  <c r="O9" i="12"/>
  <c r="BK67" i="7"/>
  <c r="BK68" i="7" s="1"/>
  <c r="O9" i="13"/>
  <c r="N10" i="12"/>
  <c r="N128" i="12" s="1"/>
  <c r="N10" i="13"/>
  <c r="N9" i="13"/>
  <c r="M10" i="12"/>
  <c r="M128" i="12" s="1"/>
  <c r="M10" i="13"/>
  <c r="M128" i="13" s="1"/>
  <c r="M9" i="12"/>
  <c r="M9" i="13"/>
  <c r="M127" i="13" s="1"/>
  <c r="L10" i="13"/>
  <c r="L9" i="13"/>
  <c r="AS67" i="7"/>
  <c r="AS68" i="7" s="1"/>
  <c r="L10" i="12"/>
  <c r="L128" i="12" s="1"/>
  <c r="K10" i="12"/>
  <c r="K128" i="12" s="1"/>
  <c r="K10" i="13"/>
  <c r="K128" i="13" s="1"/>
  <c r="K9" i="13"/>
  <c r="J10" i="12"/>
  <c r="J128" i="12" s="1"/>
  <c r="AK67" i="7"/>
  <c r="AK68" i="7" s="1"/>
  <c r="J9" i="12"/>
  <c r="J10" i="13"/>
  <c r="I10" i="13"/>
  <c r="I128" i="13" s="1"/>
  <c r="I9" i="13"/>
  <c r="I127" i="13" s="1"/>
  <c r="I10" i="12"/>
  <c r="I128" i="12" s="1"/>
  <c r="I9" i="12"/>
  <c r="F3" i="14"/>
  <c r="G3" i="14" s="1"/>
  <c r="H3" i="14" s="1"/>
  <c r="I3" i="14" s="1"/>
  <c r="J3" i="14" s="1"/>
  <c r="K3" i="14" s="1"/>
  <c r="L3" i="14" s="1"/>
  <c r="M3" i="14" s="1"/>
  <c r="N3" i="14" s="1"/>
  <c r="O3" i="14" s="1"/>
  <c r="E3" i="13"/>
  <c r="F3" i="13" s="1"/>
  <c r="G3" i="13" s="1"/>
  <c r="H3" i="13" s="1"/>
  <c r="I3" i="13" s="1"/>
  <c r="J3" i="13" s="1"/>
  <c r="K3" i="13" s="1"/>
  <c r="L3" i="13" s="1"/>
  <c r="M3" i="13" s="1"/>
  <c r="N3" i="13" s="1"/>
  <c r="O3" i="13" s="1"/>
  <c r="F3" i="12"/>
  <c r="G3" i="12" s="1"/>
  <c r="H3" i="12" s="1"/>
  <c r="I3" i="12" s="1"/>
  <c r="J3" i="12" s="1"/>
  <c r="K3" i="12" s="1"/>
  <c r="L3" i="12" s="1"/>
  <c r="M3" i="12" s="1"/>
  <c r="N3" i="12" s="1"/>
  <c r="O3" i="12" s="1"/>
  <c r="E117" i="12"/>
  <c r="N129" i="12" l="1"/>
  <c r="O127" i="12"/>
  <c r="O129" i="12" s="1"/>
  <c r="N128" i="13"/>
  <c r="N130" i="13" s="1"/>
  <c r="J130" i="12"/>
  <c r="M129" i="13"/>
  <c r="K130" i="13"/>
  <c r="M130" i="13"/>
  <c r="K127" i="13"/>
  <c r="K129" i="13" s="1"/>
  <c r="L128" i="13"/>
  <c r="L5" i="13" s="1"/>
  <c r="M127" i="12"/>
  <c r="M129" i="12" s="1"/>
  <c r="N130" i="12"/>
  <c r="L127" i="13"/>
  <c r="L4" i="13" s="1"/>
  <c r="I129" i="13"/>
  <c r="K130" i="12"/>
  <c r="M130" i="12"/>
  <c r="J128" i="13"/>
  <c r="J5" i="13" s="1"/>
  <c r="I130" i="13"/>
  <c r="L130" i="12"/>
  <c r="N127" i="13"/>
  <c r="N4" i="13" s="1"/>
  <c r="I127" i="12"/>
  <c r="I129" i="12" s="1"/>
  <c r="O127" i="13"/>
  <c r="O129" i="13" s="1"/>
  <c r="J127" i="12"/>
  <c r="J129" i="12" s="1"/>
  <c r="N5" i="12"/>
  <c r="M5" i="12"/>
  <c r="O5" i="12"/>
  <c r="I4" i="13"/>
  <c r="I5" i="13"/>
  <c r="L4" i="12"/>
  <c r="N4" i="12"/>
  <c r="J4" i="13"/>
  <c r="L5" i="12"/>
  <c r="K5" i="13"/>
  <c r="I5" i="12"/>
  <c r="I130" i="12"/>
  <c r="O5" i="13"/>
  <c r="M4" i="13"/>
  <c r="M5" i="13"/>
  <c r="K5" i="12"/>
  <c r="K4" i="12"/>
  <c r="J5" i="12"/>
  <c r="H118" i="13"/>
  <c r="G118" i="13"/>
  <c r="F118" i="13"/>
  <c r="E118" i="13"/>
  <c r="H117" i="13"/>
  <c r="H118" i="12"/>
  <c r="H117" i="12"/>
  <c r="G117" i="13"/>
  <c r="G118" i="12"/>
  <c r="G117" i="12"/>
  <c r="F117" i="13"/>
  <c r="F118" i="12"/>
  <c r="O53" i="7"/>
  <c r="F117" i="12" s="1"/>
  <c r="E118" i="12"/>
  <c r="K67" i="15"/>
  <c r="H8" i="14"/>
  <c r="H10" i="14"/>
  <c r="H12" i="14"/>
  <c r="H14" i="14"/>
  <c r="H16" i="14"/>
  <c r="H18" i="14"/>
  <c r="H20" i="14"/>
  <c r="H22" i="14"/>
  <c r="H24" i="14"/>
  <c r="H26" i="14"/>
  <c r="H28" i="14"/>
  <c r="H30" i="14"/>
  <c r="H32" i="14"/>
  <c r="H34" i="14"/>
  <c r="H36" i="14"/>
  <c r="H38" i="14"/>
  <c r="H40" i="14"/>
  <c r="H42" i="14"/>
  <c r="H44" i="14"/>
  <c r="H46" i="14"/>
  <c r="H48" i="14"/>
  <c r="H50" i="14"/>
  <c r="H52" i="14"/>
  <c r="H54" i="14"/>
  <c r="H56" i="14"/>
  <c r="H58" i="14"/>
  <c r="H62" i="14"/>
  <c r="H64" i="14"/>
  <c r="H66" i="14"/>
  <c r="H68" i="14"/>
  <c r="H70" i="14"/>
  <c r="H72" i="14"/>
  <c r="H74" i="14"/>
  <c r="H76" i="14"/>
  <c r="H78" i="14"/>
  <c r="H80" i="14"/>
  <c r="H82" i="14"/>
  <c r="H86" i="14"/>
  <c r="H90" i="14"/>
  <c r="H92" i="14"/>
  <c r="H94" i="14"/>
  <c r="H96" i="14"/>
  <c r="H98" i="14"/>
  <c r="H100" i="14"/>
  <c r="H102" i="14"/>
  <c r="H104" i="14"/>
  <c r="H106" i="14"/>
  <c r="H108" i="14"/>
  <c r="H110" i="14"/>
  <c r="H112" i="14"/>
  <c r="H114" i="14"/>
  <c r="H116" i="14"/>
  <c r="H118" i="14"/>
  <c r="H120" i="14"/>
  <c r="H122" i="14"/>
  <c r="H124" i="14"/>
  <c r="H6" i="14"/>
  <c r="G8" i="14"/>
  <c r="G10" i="14"/>
  <c r="G12" i="14"/>
  <c r="G14" i="14"/>
  <c r="G16" i="14"/>
  <c r="G18" i="14"/>
  <c r="G20" i="14"/>
  <c r="G22" i="14"/>
  <c r="G24" i="14"/>
  <c r="G26" i="14"/>
  <c r="G28" i="14"/>
  <c r="G30" i="14"/>
  <c r="G32" i="14"/>
  <c r="G34" i="14"/>
  <c r="G36" i="14"/>
  <c r="G38" i="14"/>
  <c r="G40" i="14"/>
  <c r="G42" i="14"/>
  <c r="G44" i="14"/>
  <c r="G46" i="14"/>
  <c r="G48" i="14"/>
  <c r="G50" i="14"/>
  <c r="G52" i="14"/>
  <c r="G54" i="14"/>
  <c r="G56" i="14"/>
  <c r="G58" i="14"/>
  <c r="G62" i="14"/>
  <c r="G64" i="14"/>
  <c r="G66" i="14"/>
  <c r="G68" i="14"/>
  <c r="G70" i="14"/>
  <c r="G72" i="14"/>
  <c r="G74" i="14"/>
  <c r="G76" i="14"/>
  <c r="G78" i="14"/>
  <c r="G80" i="14"/>
  <c r="G82" i="14"/>
  <c r="G86" i="14"/>
  <c r="G90" i="14"/>
  <c r="G92" i="14"/>
  <c r="G94" i="14"/>
  <c r="G96" i="14"/>
  <c r="G98" i="14"/>
  <c r="G100" i="14"/>
  <c r="G102" i="14"/>
  <c r="G104" i="14"/>
  <c r="G106" i="14"/>
  <c r="G108" i="14"/>
  <c r="G110" i="14"/>
  <c r="G112" i="14"/>
  <c r="G114" i="14"/>
  <c r="G116" i="14"/>
  <c r="G118" i="14"/>
  <c r="G120" i="14"/>
  <c r="G122" i="14"/>
  <c r="G124" i="14"/>
  <c r="G6" i="14"/>
  <c r="F8" i="14"/>
  <c r="F10" i="14"/>
  <c r="F12" i="14"/>
  <c r="F14" i="14"/>
  <c r="F16" i="14"/>
  <c r="F18" i="14"/>
  <c r="F20" i="14"/>
  <c r="F22" i="14"/>
  <c r="F24" i="14"/>
  <c r="F26" i="14"/>
  <c r="F28" i="14"/>
  <c r="F30" i="14"/>
  <c r="F32" i="14"/>
  <c r="F34" i="14"/>
  <c r="F36" i="14"/>
  <c r="F38" i="14"/>
  <c r="F40" i="14"/>
  <c r="F42" i="14"/>
  <c r="F44" i="14"/>
  <c r="F46" i="14"/>
  <c r="F48" i="14"/>
  <c r="F50" i="14"/>
  <c r="F52" i="14"/>
  <c r="F54" i="14"/>
  <c r="F56" i="14"/>
  <c r="F58" i="14"/>
  <c r="F62" i="14"/>
  <c r="F64" i="14"/>
  <c r="F66" i="14"/>
  <c r="F68" i="14"/>
  <c r="F70" i="14"/>
  <c r="F72" i="14"/>
  <c r="F74" i="14"/>
  <c r="F76" i="14"/>
  <c r="F78" i="14"/>
  <c r="F80" i="14"/>
  <c r="F82" i="14"/>
  <c r="F86" i="14"/>
  <c r="F90" i="14"/>
  <c r="F92" i="14"/>
  <c r="F94" i="14"/>
  <c r="F96" i="14"/>
  <c r="F98" i="14"/>
  <c r="F100" i="14"/>
  <c r="F102" i="14"/>
  <c r="F104" i="14"/>
  <c r="F106" i="14"/>
  <c r="F108" i="14"/>
  <c r="F110" i="14"/>
  <c r="F112" i="14"/>
  <c r="F114" i="14"/>
  <c r="F116" i="14"/>
  <c r="F118" i="14"/>
  <c r="F120" i="14"/>
  <c r="F122" i="14"/>
  <c r="F124" i="14"/>
  <c r="F6" i="14"/>
  <c r="E8" i="14"/>
  <c r="E10" i="14"/>
  <c r="E12" i="14"/>
  <c r="E14" i="14"/>
  <c r="E16" i="14"/>
  <c r="E18" i="14"/>
  <c r="E20" i="14"/>
  <c r="E22" i="14"/>
  <c r="E24" i="14"/>
  <c r="E26" i="14"/>
  <c r="E28" i="14"/>
  <c r="E30" i="14"/>
  <c r="E32" i="14"/>
  <c r="E34" i="14"/>
  <c r="E36" i="14"/>
  <c r="E38" i="14"/>
  <c r="E40" i="14"/>
  <c r="E42" i="14"/>
  <c r="E44" i="14"/>
  <c r="E46" i="14"/>
  <c r="E48" i="14"/>
  <c r="E50" i="14"/>
  <c r="E52" i="14"/>
  <c r="E54" i="14"/>
  <c r="E56" i="14"/>
  <c r="E58" i="14"/>
  <c r="E62" i="14"/>
  <c r="E64" i="14"/>
  <c r="E66" i="14"/>
  <c r="E68" i="14"/>
  <c r="E70" i="14"/>
  <c r="E72" i="14"/>
  <c r="E74" i="14"/>
  <c r="E76" i="14"/>
  <c r="E78" i="14"/>
  <c r="E80" i="14"/>
  <c r="E82" i="14"/>
  <c r="E86" i="14"/>
  <c r="E90" i="14"/>
  <c r="E92" i="14"/>
  <c r="E94" i="14"/>
  <c r="E96" i="14"/>
  <c r="E98" i="14"/>
  <c r="E100" i="14"/>
  <c r="E102" i="14"/>
  <c r="E104" i="14"/>
  <c r="E106" i="14"/>
  <c r="E108" i="14"/>
  <c r="E110" i="14"/>
  <c r="E112" i="14"/>
  <c r="E114" i="14"/>
  <c r="E116" i="14"/>
  <c r="E118" i="14"/>
  <c r="E120" i="14"/>
  <c r="E122" i="14"/>
  <c r="E124" i="14"/>
  <c r="E6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6" i="14"/>
  <c r="D87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8" i="14"/>
  <c r="D109" i="14"/>
  <c r="D110" i="14"/>
  <c r="D111" i="14"/>
  <c r="D112" i="14"/>
  <c r="D113" i="14"/>
  <c r="D114" i="14"/>
  <c r="D115" i="14"/>
  <c r="D116" i="14"/>
  <c r="D117" i="14"/>
  <c r="D118" i="14"/>
  <c r="D119" i="14"/>
  <c r="D120" i="14"/>
  <c r="D121" i="14"/>
  <c r="D122" i="14"/>
  <c r="D123" i="14"/>
  <c r="D124" i="14"/>
  <c r="D125" i="14"/>
  <c r="D7" i="14"/>
  <c r="D6" i="14"/>
  <c r="H126" i="14" l="1"/>
  <c r="E126" i="14"/>
  <c r="F126" i="14"/>
  <c r="D126" i="14"/>
  <c r="D127" i="14"/>
  <c r="G126" i="14"/>
  <c r="J130" i="13"/>
  <c r="L129" i="13"/>
  <c r="J4" i="12"/>
  <c r="N129" i="13"/>
  <c r="M4" i="12"/>
  <c r="L130" i="13"/>
  <c r="N5" i="13"/>
  <c r="O4" i="12"/>
  <c r="K4" i="13"/>
  <c r="I4" i="12"/>
  <c r="O4" i="13"/>
  <c r="D67" i="15"/>
  <c r="O67" i="15"/>
  <c r="M67" i="15"/>
  <c r="I67" i="15"/>
  <c r="G67" i="15"/>
  <c r="E67" i="15" l="1"/>
  <c r="K68" i="15"/>
  <c r="O68" i="15"/>
  <c r="G68" i="15"/>
  <c r="M68" i="15"/>
  <c r="I68" i="15"/>
  <c r="H67" i="14" l="1"/>
  <c r="H23" i="14"/>
  <c r="F4" i="15"/>
  <c r="E99" i="14"/>
  <c r="E97" i="14"/>
  <c r="H65" i="14"/>
  <c r="H25" i="14"/>
  <c r="H35" i="14"/>
  <c r="H27" i="14"/>
  <c r="E121" i="14"/>
  <c r="E107" i="14"/>
  <c r="H107" i="14"/>
  <c r="H93" i="14"/>
  <c r="E7" i="14"/>
  <c r="E67" i="14"/>
  <c r="E13" i="14"/>
  <c r="H45" i="14"/>
  <c r="H123" i="14"/>
  <c r="E123" i="14"/>
  <c r="E37" i="14"/>
  <c r="H37" i="14"/>
  <c r="H81" i="14"/>
  <c r="E81" i="14"/>
  <c r="H59" i="14"/>
  <c r="G87" i="14" l="1"/>
  <c r="G121" i="14"/>
  <c r="H99" i="14"/>
  <c r="G25" i="14"/>
  <c r="E23" i="14"/>
  <c r="E87" i="14"/>
  <c r="G81" i="14"/>
  <c r="G37" i="14"/>
  <c r="G107" i="14"/>
  <c r="G35" i="14"/>
  <c r="H87" i="14"/>
  <c r="H121" i="14"/>
  <c r="G123" i="14"/>
  <c r="G45" i="14"/>
  <c r="G13" i="14"/>
  <c r="G7" i="14"/>
  <c r="G93" i="14"/>
  <c r="F67" i="15"/>
  <c r="H97" i="14"/>
  <c r="H7" i="14"/>
  <c r="E93" i="14"/>
  <c r="E79" i="14"/>
  <c r="E27" i="14"/>
  <c r="E45" i="14"/>
  <c r="H13" i="14"/>
  <c r="E35" i="14"/>
  <c r="E25" i="14"/>
  <c r="H79" i="14"/>
  <c r="E65" i="14"/>
  <c r="E59" i="14"/>
  <c r="E77" i="14"/>
  <c r="H77" i="14"/>
  <c r="H53" i="14"/>
  <c r="E53" i="14"/>
  <c r="H69" i="14"/>
  <c r="E69" i="14"/>
  <c r="E125" i="14"/>
  <c r="H125" i="14"/>
  <c r="E33" i="14"/>
  <c r="H33" i="14"/>
  <c r="H91" i="14"/>
  <c r="E91" i="14"/>
  <c r="H83" i="14"/>
  <c r="E83" i="14"/>
  <c r="H103" i="14"/>
  <c r="E103" i="14"/>
  <c r="E43" i="14"/>
  <c r="H43" i="14"/>
  <c r="E9" i="14"/>
  <c r="H9" i="14"/>
  <c r="H29" i="14"/>
  <c r="E29" i="14"/>
  <c r="H115" i="14"/>
  <c r="E115" i="14"/>
  <c r="E111" i="14"/>
  <c r="H111" i="14"/>
  <c r="E95" i="14"/>
  <c r="H95" i="14"/>
  <c r="H31" i="14"/>
  <c r="E31" i="14"/>
  <c r="E73" i="14"/>
  <c r="H73" i="14"/>
  <c r="E21" i="14"/>
  <c r="H21" i="14"/>
  <c r="H101" i="14"/>
  <c r="E101" i="14"/>
  <c r="H39" i="14"/>
  <c r="E39" i="14"/>
  <c r="H41" i="14"/>
  <c r="E41" i="14"/>
  <c r="H119" i="14"/>
  <c r="E119" i="14"/>
  <c r="H71" i="14"/>
  <c r="E71" i="14"/>
  <c r="H113" i="14"/>
  <c r="E113" i="14"/>
  <c r="H49" i="14"/>
  <c r="E49" i="14"/>
  <c r="H51" i="14"/>
  <c r="E51" i="14"/>
  <c r="H105" i="14"/>
  <c r="E105" i="14"/>
  <c r="E47" i="14"/>
  <c r="H47" i="14"/>
  <c r="E75" i="14"/>
  <c r="H75" i="14"/>
  <c r="E11" i="14"/>
  <c r="H11" i="14"/>
  <c r="E109" i="14"/>
  <c r="H109" i="14"/>
  <c r="E15" i="14"/>
  <c r="H15" i="14"/>
  <c r="H117" i="14"/>
  <c r="E117" i="14"/>
  <c r="E19" i="14"/>
  <c r="H19" i="14"/>
  <c r="H63" i="14"/>
  <c r="E63" i="14"/>
  <c r="E17" i="14"/>
  <c r="H17" i="14"/>
  <c r="E55" i="14"/>
  <c r="H55" i="14"/>
  <c r="H57" i="14"/>
  <c r="E57" i="14"/>
  <c r="E127" i="14" l="1"/>
  <c r="H127" i="14"/>
  <c r="G15" i="14"/>
  <c r="G109" i="14"/>
  <c r="G65" i="14"/>
  <c r="G17" i="14"/>
  <c r="G47" i="14"/>
  <c r="G71" i="14"/>
  <c r="G21" i="14"/>
  <c r="G91" i="14"/>
  <c r="G69" i="14"/>
  <c r="G59" i="14"/>
  <c r="G73" i="14"/>
  <c r="G95" i="14"/>
  <c r="G103" i="14"/>
  <c r="G27" i="14"/>
  <c r="G117" i="14"/>
  <c r="G119" i="14"/>
  <c r="G79" i="14"/>
  <c r="G39" i="14"/>
  <c r="G29" i="14"/>
  <c r="G11" i="14"/>
  <c r="G63" i="14"/>
  <c r="G9" i="14"/>
  <c r="G23" i="14"/>
  <c r="G57" i="14"/>
  <c r="G49" i="14"/>
  <c r="G101" i="14"/>
  <c r="G31" i="14"/>
  <c r="G111" i="14"/>
  <c r="G33" i="14"/>
  <c r="G97" i="14"/>
  <c r="G99" i="14"/>
  <c r="G125" i="14"/>
  <c r="G53" i="14"/>
  <c r="G55" i="14"/>
  <c r="G105" i="14"/>
  <c r="G113" i="14"/>
  <c r="G19" i="14"/>
  <c r="G75" i="14"/>
  <c r="G51" i="14"/>
  <c r="G41" i="14"/>
  <c r="G115" i="14"/>
  <c r="G43" i="14"/>
  <c r="G83" i="14"/>
  <c r="G77" i="14"/>
  <c r="G67" i="14"/>
  <c r="E129" i="14"/>
  <c r="H67" i="15"/>
  <c r="J67" i="15"/>
  <c r="J68" i="15" s="1"/>
  <c r="N67" i="15"/>
  <c r="N68" i="15" s="1"/>
  <c r="P67" i="15"/>
  <c r="P68" i="15" s="1"/>
  <c r="G127" i="14" l="1"/>
  <c r="V67" i="15"/>
  <c r="V68" i="15" s="1"/>
  <c r="T67" i="15"/>
  <c r="T68" i="15" s="1"/>
  <c r="R67" i="15"/>
  <c r="R68" i="15" s="1"/>
  <c r="H68" i="15"/>
  <c r="X67" i="15"/>
  <c r="X68" i="15" s="1"/>
  <c r="E7" i="13"/>
  <c r="H84" i="13"/>
  <c r="H83" i="13"/>
  <c r="Z61" i="7"/>
  <c r="H84" i="12" s="1"/>
  <c r="Y61" i="7"/>
  <c r="H83" i="12" s="1"/>
  <c r="G84" i="13"/>
  <c r="G83" i="13"/>
  <c r="U61" i="7"/>
  <c r="G84" i="12" s="1"/>
  <c r="T61" i="7"/>
  <c r="G83" i="12" s="1"/>
  <c r="F84" i="13"/>
  <c r="F83" i="13"/>
  <c r="P61" i="7"/>
  <c r="F84" i="12" s="1"/>
  <c r="O61" i="7"/>
  <c r="F83" i="12" s="1"/>
  <c r="E84" i="13"/>
  <c r="E83" i="13"/>
  <c r="K61" i="7"/>
  <c r="E84" i="12" s="1"/>
  <c r="J61" i="7"/>
  <c r="E83" i="12" s="1"/>
  <c r="G128" i="14" l="1"/>
  <c r="H128" i="14"/>
  <c r="D128" i="14"/>
  <c r="G129" i="14"/>
  <c r="E128" i="14"/>
  <c r="H129" i="14"/>
  <c r="F128" i="14"/>
  <c r="D5" i="14" l="1"/>
  <c r="D129" i="14"/>
  <c r="H5" i="14"/>
  <c r="H4" i="14"/>
  <c r="G5" i="14"/>
  <c r="G4" i="14"/>
  <c r="F4" i="14"/>
  <c r="E5" i="14"/>
  <c r="D4" i="14"/>
  <c r="E4" i="14"/>
  <c r="H126" i="13"/>
  <c r="H125" i="13"/>
  <c r="Z66" i="7"/>
  <c r="H126" i="12" s="1"/>
  <c r="Y66" i="7"/>
  <c r="H125" i="12" s="1"/>
  <c r="H124" i="13"/>
  <c r="H123" i="13"/>
  <c r="Z65" i="7"/>
  <c r="H124" i="12" s="1"/>
  <c r="Y65" i="7"/>
  <c r="H123" i="12" s="1"/>
  <c r="H122" i="13"/>
  <c r="H121" i="13"/>
  <c r="Z64" i="7"/>
  <c r="H122" i="12" s="1"/>
  <c r="Y64" i="7"/>
  <c r="H121" i="12" s="1"/>
  <c r="H120" i="13"/>
  <c r="H119" i="13"/>
  <c r="Z63" i="7"/>
  <c r="H120" i="12" s="1"/>
  <c r="Y63" i="7"/>
  <c r="H119" i="12" s="1"/>
  <c r="H82" i="13"/>
  <c r="H81" i="13"/>
  <c r="Z60" i="7"/>
  <c r="H82" i="12" s="1"/>
  <c r="Y60" i="7"/>
  <c r="H81" i="12" s="1"/>
  <c r="H80" i="13"/>
  <c r="H79" i="13"/>
  <c r="Z59" i="7"/>
  <c r="H80" i="12" s="1"/>
  <c r="Y59" i="7"/>
  <c r="H79" i="12" s="1"/>
  <c r="H78" i="13"/>
  <c r="H77" i="13"/>
  <c r="Z58" i="7"/>
  <c r="H78" i="12" s="1"/>
  <c r="Y58" i="7"/>
  <c r="H77" i="12" s="1"/>
  <c r="H94" i="13"/>
  <c r="H93" i="13"/>
  <c r="Z57" i="7"/>
  <c r="H94" i="12" s="1"/>
  <c r="Y57" i="7"/>
  <c r="H93" i="12" s="1"/>
  <c r="H92" i="13"/>
  <c r="H91" i="13"/>
  <c r="Z56" i="7"/>
  <c r="H92" i="12" s="1"/>
  <c r="Y56" i="7"/>
  <c r="H91" i="12" s="1"/>
  <c r="H88" i="13"/>
  <c r="H87" i="13"/>
  <c r="Z54" i="7"/>
  <c r="H88" i="12" s="1"/>
  <c r="Y54" i="7"/>
  <c r="H87" i="12" s="1"/>
  <c r="H116" i="13"/>
  <c r="H115" i="13"/>
  <c r="Z52" i="7"/>
  <c r="H116" i="12" s="1"/>
  <c r="Y52" i="7"/>
  <c r="H115" i="12" s="1"/>
  <c r="H114" i="13"/>
  <c r="H113" i="13"/>
  <c r="Z51" i="7"/>
  <c r="H114" i="12" s="1"/>
  <c r="Y51" i="7"/>
  <c r="H113" i="12" s="1"/>
  <c r="H112" i="13"/>
  <c r="H111" i="13"/>
  <c r="Z50" i="7"/>
  <c r="H112" i="12" s="1"/>
  <c r="Y50" i="7"/>
  <c r="H111" i="12" s="1"/>
  <c r="H110" i="13"/>
  <c r="H109" i="13"/>
  <c r="Z49" i="7"/>
  <c r="H110" i="12" s="1"/>
  <c r="Y49" i="7"/>
  <c r="H109" i="12" s="1"/>
  <c r="H100" i="13"/>
  <c r="H99" i="13"/>
  <c r="Z48" i="7"/>
  <c r="H100" i="12" s="1"/>
  <c r="Y48" i="7"/>
  <c r="H99" i="12" s="1"/>
  <c r="H102" i="13"/>
  <c r="H101" i="13"/>
  <c r="Z47" i="7"/>
  <c r="H102" i="12" s="1"/>
  <c r="Y47" i="7"/>
  <c r="H101" i="12" s="1"/>
  <c r="H108" i="13"/>
  <c r="H107" i="13"/>
  <c r="Z46" i="7"/>
  <c r="H108" i="12" s="1"/>
  <c r="Y46" i="7"/>
  <c r="H107" i="12" s="1"/>
  <c r="H104" i="13"/>
  <c r="H103" i="13"/>
  <c r="Z45" i="7"/>
  <c r="H104" i="12" s="1"/>
  <c r="Y45" i="7"/>
  <c r="H103" i="12" s="1"/>
  <c r="H106" i="13"/>
  <c r="H105" i="13"/>
  <c r="Z44" i="7"/>
  <c r="H106" i="12" s="1"/>
  <c r="Y44" i="7"/>
  <c r="H105" i="12" s="1"/>
  <c r="H98" i="13"/>
  <c r="H97" i="13"/>
  <c r="Z43" i="7"/>
  <c r="H98" i="12" s="1"/>
  <c r="Y43" i="7"/>
  <c r="H97" i="12" s="1"/>
  <c r="H96" i="13"/>
  <c r="H95" i="13"/>
  <c r="Z42" i="7"/>
  <c r="H96" i="12" s="1"/>
  <c r="Y42" i="7"/>
  <c r="H95" i="12" s="1"/>
  <c r="H76" i="13"/>
  <c r="H75" i="13"/>
  <c r="Z41" i="7"/>
  <c r="H76" i="12" s="1"/>
  <c r="Y41" i="7"/>
  <c r="H75" i="12" s="1"/>
  <c r="H74" i="13"/>
  <c r="H73" i="13"/>
  <c r="Z40" i="7"/>
  <c r="H74" i="12" s="1"/>
  <c r="Y40" i="7"/>
  <c r="H73" i="12" s="1"/>
  <c r="H72" i="13"/>
  <c r="H71" i="13"/>
  <c r="Z39" i="7"/>
  <c r="H72" i="12" s="1"/>
  <c r="Y39" i="7"/>
  <c r="H71" i="12" s="1"/>
  <c r="H36" i="13"/>
  <c r="H35" i="13"/>
  <c r="Z38" i="7"/>
  <c r="H36" i="12" s="1"/>
  <c r="Y38" i="7"/>
  <c r="H35" i="12" s="1"/>
  <c r="H70" i="13"/>
  <c r="H69" i="13"/>
  <c r="Z37" i="7"/>
  <c r="H70" i="12" s="1"/>
  <c r="Y37" i="7"/>
  <c r="H69" i="12" s="1"/>
  <c r="H68" i="13"/>
  <c r="H67" i="13"/>
  <c r="Z36" i="7"/>
  <c r="H68" i="12" s="1"/>
  <c r="Y36" i="7"/>
  <c r="H67" i="12" s="1"/>
  <c r="H66" i="13"/>
  <c r="H65" i="13"/>
  <c r="Z35" i="7"/>
  <c r="H66" i="12" s="1"/>
  <c r="Y35" i="7"/>
  <c r="H65" i="12" s="1"/>
  <c r="H46" i="13"/>
  <c r="H45" i="13"/>
  <c r="Z34" i="7"/>
  <c r="H46" i="12" s="1"/>
  <c r="Y34" i="7"/>
  <c r="H45" i="12" s="1"/>
  <c r="H44" i="13"/>
  <c r="H43" i="13"/>
  <c r="Z33" i="7"/>
  <c r="H44" i="12" s="1"/>
  <c r="Y33" i="7"/>
  <c r="H43" i="12" s="1"/>
  <c r="H48" i="13"/>
  <c r="H47" i="13"/>
  <c r="Z32" i="7"/>
  <c r="H48" i="12" s="1"/>
  <c r="Y32" i="7"/>
  <c r="H47" i="12" s="1"/>
  <c r="H42" i="13"/>
  <c r="H41" i="13"/>
  <c r="Z31" i="7"/>
  <c r="H42" i="12" s="1"/>
  <c r="Y31" i="7"/>
  <c r="H41" i="12" s="1"/>
  <c r="H54" i="13"/>
  <c r="H53" i="13"/>
  <c r="Z30" i="7"/>
  <c r="H54" i="12" s="1"/>
  <c r="Y30" i="7"/>
  <c r="H53" i="12" s="1"/>
  <c r="H52" i="13"/>
  <c r="H51" i="13"/>
  <c r="Z29" i="7"/>
  <c r="H52" i="12" s="1"/>
  <c r="Y29" i="7"/>
  <c r="H51" i="12" s="1"/>
  <c r="H50" i="13"/>
  <c r="H49" i="13"/>
  <c r="Z28" i="7"/>
  <c r="H50" i="12" s="1"/>
  <c r="Y28" i="7"/>
  <c r="H49" i="12" s="1"/>
  <c r="H26" i="13"/>
  <c r="H25" i="13"/>
  <c r="Z27" i="7"/>
  <c r="H26" i="12" s="1"/>
  <c r="Y27" i="7"/>
  <c r="H25" i="12" s="1"/>
  <c r="H22" i="13"/>
  <c r="H21" i="13"/>
  <c r="Z26" i="7"/>
  <c r="H22" i="12" s="1"/>
  <c r="Y26" i="7"/>
  <c r="H21" i="12" s="1"/>
  <c r="H20" i="13"/>
  <c r="H19" i="13"/>
  <c r="Z25" i="7"/>
  <c r="H20" i="12" s="1"/>
  <c r="Y25" i="7"/>
  <c r="H19" i="12" s="1"/>
  <c r="H56" i="13"/>
  <c r="H55" i="13"/>
  <c r="Z24" i="7"/>
  <c r="H56" i="12" s="1"/>
  <c r="Y24" i="7"/>
  <c r="H55" i="12" s="1"/>
  <c r="H58" i="13"/>
  <c r="H57" i="13"/>
  <c r="Z23" i="7"/>
  <c r="H58" i="12" s="1"/>
  <c r="Y23" i="7"/>
  <c r="H57" i="12" s="1"/>
  <c r="H60" i="13"/>
  <c r="H59" i="13"/>
  <c r="Z22" i="7"/>
  <c r="H60" i="12" s="1"/>
  <c r="Y22" i="7"/>
  <c r="H59" i="12" s="1"/>
  <c r="H64" i="13"/>
  <c r="H63" i="13"/>
  <c r="Z20" i="7"/>
  <c r="H64" i="12" s="1"/>
  <c r="Y20" i="7"/>
  <c r="H63" i="12" s="1"/>
  <c r="H24" i="13"/>
  <c r="H23" i="13"/>
  <c r="Z19" i="7"/>
  <c r="H24" i="12" s="1"/>
  <c r="Y19" i="7"/>
  <c r="H23" i="12" s="1"/>
  <c r="H40" i="13"/>
  <c r="H39" i="13"/>
  <c r="Z18" i="7"/>
  <c r="H40" i="12" s="1"/>
  <c r="Y18" i="7"/>
  <c r="H39" i="12" s="1"/>
  <c r="H38" i="13"/>
  <c r="H37" i="13"/>
  <c r="Z17" i="7"/>
  <c r="H38" i="12" s="1"/>
  <c r="Y17" i="7"/>
  <c r="H37" i="12" s="1"/>
  <c r="H12" i="13"/>
  <c r="H11" i="13"/>
  <c r="Z16" i="7"/>
  <c r="H12" i="12" s="1"/>
  <c r="Y16" i="7"/>
  <c r="H11" i="12" s="1"/>
  <c r="H18" i="13"/>
  <c r="H17" i="13"/>
  <c r="Z15" i="7"/>
  <c r="H18" i="12" s="1"/>
  <c r="Y15" i="7"/>
  <c r="H17" i="12" s="1"/>
  <c r="H8" i="13"/>
  <c r="H7" i="13"/>
  <c r="Z14" i="7"/>
  <c r="H8" i="12" s="1"/>
  <c r="Y14" i="7"/>
  <c r="H7" i="12" s="1"/>
  <c r="H34" i="13"/>
  <c r="H33" i="13"/>
  <c r="Z13" i="7"/>
  <c r="H34" i="12" s="1"/>
  <c r="Y13" i="7"/>
  <c r="H33" i="12" s="1"/>
  <c r="H32" i="13"/>
  <c r="H31" i="13"/>
  <c r="Z12" i="7"/>
  <c r="H32" i="12" s="1"/>
  <c r="Y12" i="7"/>
  <c r="H31" i="12" s="1"/>
  <c r="H30" i="13"/>
  <c r="H29" i="13"/>
  <c r="Z11" i="7"/>
  <c r="H30" i="12" s="1"/>
  <c r="Y11" i="7"/>
  <c r="H29" i="12" s="1"/>
  <c r="H28" i="13"/>
  <c r="H27" i="13"/>
  <c r="Z10" i="7"/>
  <c r="H28" i="12" s="1"/>
  <c r="Y10" i="7"/>
  <c r="H27" i="12" s="1"/>
  <c r="H14" i="13"/>
  <c r="H13" i="13"/>
  <c r="Z9" i="7"/>
  <c r="H14" i="12" s="1"/>
  <c r="Y9" i="7"/>
  <c r="H13" i="12" s="1"/>
  <c r="AB8" i="7"/>
  <c r="H16" i="13" s="1"/>
  <c r="AA8" i="7"/>
  <c r="H15" i="13" s="1"/>
  <c r="Z8" i="7"/>
  <c r="H16" i="12" s="1"/>
  <c r="Y8" i="7"/>
  <c r="H15" i="12" s="1"/>
  <c r="AB7" i="7"/>
  <c r="H10" i="13" s="1"/>
  <c r="AA7" i="7"/>
  <c r="H9" i="13" s="1"/>
  <c r="Z7" i="7"/>
  <c r="H10" i="12" s="1"/>
  <c r="Y7" i="7"/>
  <c r="H9" i="12" s="1"/>
  <c r="D118" i="13"/>
  <c r="D117" i="13"/>
  <c r="D118" i="12"/>
  <c r="D117" i="12"/>
  <c r="E54" i="7"/>
  <c r="D87" i="12" s="1"/>
  <c r="H127" i="12" l="1"/>
  <c r="H128" i="12"/>
  <c r="H130" i="12" s="1"/>
  <c r="H127" i="13"/>
  <c r="H4" i="13" s="1"/>
  <c r="H128" i="13"/>
  <c r="H130" i="13" s="1"/>
  <c r="Z67" i="7"/>
  <c r="Z68" i="7" s="1"/>
  <c r="Y67" i="7"/>
  <c r="Y68" i="7" s="1"/>
  <c r="AA67" i="7"/>
  <c r="AA68" i="7" s="1"/>
  <c r="AB67" i="7"/>
  <c r="AB68" i="7" s="1"/>
  <c r="E61" i="7"/>
  <c r="D83" i="12" s="1"/>
  <c r="F61" i="7"/>
  <c r="D84" i="12" s="1"/>
  <c r="G61" i="7"/>
  <c r="D83" i="13" s="1"/>
  <c r="H61" i="7"/>
  <c r="D84" i="13" s="1"/>
  <c r="E63" i="7"/>
  <c r="D119" i="12" s="1"/>
  <c r="F63" i="7"/>
  <c r="D120" i="12" s="1"/>
  <c r="G63" i="7"/>
  <c r="D119" i="13" s="1"/>
  <c r="H63" i="7"/>
  <c r="D120" i="13" s="1"/>
  <c r="E64" i="7"/>
  <c r="D121" i="12" s="1"/>
  <c r="F64" i="7"/>
  <c r="D122" i="12" s="1"/>
  <c r="G64" i="7"/>
  <c r="D121" i="13" s="1"/>
  <c r="H64" i="7"/>
  <c r="D122" i="13" s="1"/>
  <c r="E65" i="7"/>
  <c r="D123" i="12" s="1"/>
  <c r="F65" i="7"/>
  <c r="D124" i="12" s="1"/>
  <c r="G65" i="7"/>
  <c r="D123" i="13" s="1"/>
  <c r="H65" i="7"/>
  <c r="D124" i="13" s="1"/>
  <c r="E66" i="7"/>
  <c r="D125" i="12" s="1"/>
  <c r="F66" i="7"/>
  <c r="D126" i="12" s="1"/>
  <c r="G66" i="7"/>
  <c r="D125" i="13" s="1"/>
  <c r="H66" i="7"/>
  <c r="D126" i="13" s="1"/>
  <c r="H60" i="7"/>
  <c r="D82" i="13" s="1"/>
  <c r="G60" i="7"/>
  <c r="D81" i="13" s="1"/>
  <c r="F60" i="7"/>
  <c r="D82" i="12" s="1"/>
  <c r="E60" i="7"/>
  <c r="D81" i="12" s="1"/>
  <c r="H129" i="13" l="1"/>
  <c r="H5" i="12"/>
  <c r="H5" i="13"/>
  <c r="H129" i="12"/>
  <c r="H4" i="12"/>
  <c r="E117" i="13"/>
  <c r="E9" i="7" l="1"/>
  <c r="D13" i="12" s="1"/>
  <c r="E7" i="7"/>
  <c r="D9" i="12" l="1"/>
  <c r="V8" i="7"/>
  <c r="G15" i="13" s="1"/>
  <c r="G13" i="13"/>
  <c r="G27" i="13"/>
  <c r="G29" i="13"/>
  <c r="G31" i="13"/>
  <c r="G33" i="13"/>
  <c r="G7" i="13"/>
  <c r="G17" i="13"/>
  <c r="G11" i="13"/>
  <c r="G37" i="13"/>
  <c r="G39" i="13"/>
  <c r="G23" i="13"/>
  <c r="G63" i="13"/>
  <c r="G59" i="13"/>
  <c r="G57" i="13"/>
  <c r="G55" i="13"/>
  <c r="G19" i="13"/>
  <c r="G21" i="13"/>
  <c r="G25" i="13"/>
  <c r="G49" i="13"/>
  <c r="G51" i="13"/>
  <c r="G53" i="13"/>
  <c r="G41" i="13"/>
  <c r="G47" i="13"/>
  <c r="G43" i="13"/>
  <c r="G45" i="13"/>
  <c r="G65" i="13"/>
  <c r="G67" i="13"/>
  <c r="G69" i="13"/>
  <c r="G35" i="13"/>
  <c r="G71" i="13"/>
  <c r="G73" i="13"/>
  <c r="G75" i="13"/>
  <c r="G95" i="13"/>
  <c r="G97" i="13"/>
  <c r="G105" i="13"/>
  <c r="G103" i="13"/>
  <c r="G107" i="13"/>
  <c r="G101" i="13"/>
  <c r="G99" i="13"/>
  <c r="G109" i="13"/>
  <c r="G111" i="13"/>
  <c r="G113" i="13"/>
  <c r="G115" i="13"/>
  <c r="G87" i="13"/>
  <c r="G91" i="13"/>
  <c r="G93" i="13"/>
  <c r="G77" i="13"/>
  <c r="G79" i="13"/>
  <c r="G81" i="13"/>
  <c r="G119" i="13"/>
  <c r="G121" i="13"/>
  <c r="G123" i="13"/>
  <c r="G125" i="13"/>
  <c r="V7" i="7"/>
  <c r="G9" i="13" s="1"/>
  <c r="F13" i="13"/>
  <c r="F27" i="13"/>
  <c r="F29" i="13"/>
  <c r="F31" i="13"/>
  <c r="F33" i="13"/>
  <c r="F7" i="13"/>
  <c r="F17" i="13"/>
  <c r="F11" i="13"/>
  <c r="F37" i="13"/>
  <c r="F39" i="13"/>
  <c r="F23" i="13"/>
  <c r="F63" i="13"/>
  <c r="F59" i="13"/>
  <c r="F57" i="13"/>
  <c r="F55" i="13"/>
  <c r="F19" i="13"/>
  <c r="F21" i="13"/>
  <c r="F25" i="13"/>
  <c r="F49" i="13"/>
  <c r="F51" i="13"/>
  <c r="F53" i="13"/>
  <c r="F41" i="13"/>
  <c r="F47" i="13"/>
  <c r="F43" i="13"/>
  <c r="F45" i="13"/>
  <c r="F65" i="13"/>
  <c r="F67" i="13"/>
  <c r="F69" i="13"/>
  <c r="F35" i="13"/>
  <c r="F71" i="13"/>
  <c r="F73" i="13"/>
  <c r="F75" i="13"/>
  <c r="F95" i="13"/>
  <c r="F97" i="13"/>
  <c r="F105" i="13"/>
  <c r="F103" i="13"/>
  <c r="F107" i="13"/>
  <c r="F101" i="13"/>
  <c r="F99" i="13"/>
  <c r="F109" i="13"/>
  <c r="F111" i="13"/>
  <c r="F113" i="13"/>
  <c r="F115" i="13"/>
  <c r="F87" i="13"/>
  <c r="F91" i="13"/>
  <c r="F93" i="13"/>
  <c r="F77" i="13"/>
  <c r="F79" i="13"/>
  <c r="F81" i="13"/>
  <c r="F119" i="13"/>
  <c r="F121" i="13"/>
  <c r="F123" i="13"/>
  <c r="F125" i="13"/>
  <c r="F15" i="13"/>
  <c r="F9" i="13"/>
  <c r="E13" i="13"/>
  <c r="E27" i="13"/>
  <c r="E29" i="13"/>
  <c r="E31" i="13"/>
  <c r="E33" i="13"/>
  <c r="E17" i="13"/>
  <c r="E11" i="13"/>
  <c r="E37" i="13"/>
  <c r="E39" i="13"/>
  <c r="E23" i="13"/>
  <c r="E63" i="13"/>
  <c r="E59" i="13"/>
  <c r="E57" i="13"/>
  <c r="E55" i="13"/>
  <c r="E19" i="13"/>
  <c r="E21" i="13"/>
  <c r="E25" i="13"/>
  <c r="E49" i="13"/>
  <c r="E51" i="13"/>
  <c r="E53" i="13"/>
  <c r="E41" i="13"/>
  <c r="E47" i="13"/>
  <c r="E43" i="13"/>
  <c r="E45" i="13"/>
  <c r="E65" i="13"/>
  <c r="E67" i="13"/>
  <c r="E69" i="13"/>
  <c r="E35" i="13"/>
  <c r="E71" i="13"/>
  <c r="E73" i="13"/>
  <c r="E75" i="13"/>
  <c r="E95" i="13"/>
  <c r="E97" i="13"/>
  <c r="E105" i="13"/>
  <c r="E103" i="13"/>
  <c r="E107" i="13"/>
  <c r="E101" i="13"/>
  <c r="E99" i="13"/>
  <c r="E109" i="13"/>
  <c r="E111" i="13"/>
  <c r="E113" i="13"/>
  <c r="E115" i="13"/>
  <c r="E87" i="13"/>
  <c r="E91" i="13"/>
  <c r="E93" i="13"/>
  <c r="E77" i="13"/>
  <c r="E79" i="13"/>
  <c r="E81" i="13"/>
  <c r="E119" i="13"/>
  <c r="E121" i="13"/>
  <c r="E123" i="13"/>
  <c r="E125" i="13"/>
  <c r="E9" i="13"/>
  <c r="W8" i="7"/>
  <c r="G16" i="13" s="1"/>
  <c r="G14" i="13"/>
  <c r="G28" i="13"/>
  <c r="G30" i="13"/>
  <c r="G32" i="13"/>
  <c r="G34" i="13"/>
  <c r="G8" i="13"/>
  <c r="G18" i="13"/>
  <c r="G12" i="13"/>
  <c r="G38" i="13"/>
  <c r="G40" i="13"/>
  <c r="G24" i="13"/>
  <c r="G64" i="13"/>
  <c r="G60" i="13"/>
  <c r="G58" i="13"/>
  <c r="G56" i="13"/>
  <c r="G20" i="13"/>
  <c r="G22" i="13"/>
  <c r="G26" i="13"/>
  <c r="G50" i="13"/>
  <c r="G52" i="13"/>
  <c r="G54" i="13"/>
  <c r="G42" i="13"/>
  <c r="G48" i="13"/>
  <c r="G44" i="13"/>
  <c r="G46" i="13"/>
  <c r="G66" i="13"/>
  <c r="G68" i="13"/>
  <c r="G70" i="13"/>
  <c r="G36" i="13"/>
  <c r="G72" i="13"/>
  <c r="G74" i="13"/>
  <c r="G76" i="13"/>
  <c r="G96" i="13"/>
  <c r="G98" i="13"/>
  <c r="G106" i="13"/>
  <c r="G104" i="13"/>
  <c r="G108" i="13"/>
  <c r="G102" i="13"/>
  <c r="G100" i="13"/>
  <c r="G110" i="13"/>
  <c r="G112" i="13"/>
  <c r="G114" i="13"/>
  <c r="G116" i="13"/>
  <c r="G88" i="13"/>
  <c r="G92" i="13"/>
  <c r="G94" i="13"/>
  <c r="G78" i="13"/>
  <c r="G80" i="13"/>
  <c r="G82" i="13"/>
  <c r="G120" i="13"/>
  <c r="G122" i="13"/>
  <c r="G124" i="13"/>
  <c r="G126" i="13"/>
  <c r="W7" i="7"/>
  <c r="G10" i="13" s="1"/>
  <c r="F16" i="13"/>
  <c r="F14" i="13"/>
  <c r="F28" i="13"/>
  <c r="F30" i="13"/>
  <c r="F32" i="13"/>
  <c r="F34" i="13"/>
  <c r="F8" i="13"/>
  <c r="F18" i="13"/>
  <c r="F12" i="13"/>
  <c r="F38" i="13"/>
  <c r="F40" i="13"/>
  <c r="F24" i="13"/>
  <c r="F64" i="13"/>
  <c r="F60" i="13"/>
  <c r="F58" i="13"/>
  <c r="F56" i="13"/>
  <c r="F20" i="13"/>
  <c r="F22" i="13"/>
  <c r="F26" i="13"/>
  <c r="F50" i="13"/>
  <c r="F52" i="13"/>
  <c r="F54" i="13"/>
  <c r="F42" i="13"/>
  <c r="F48" i="13"/>
  <c r="F44" i="13"/>
  <c r="F46" i="13"/>
  <c r="F66" i="13"/>
  <c r="F68" i="13"/>
  <c r="F70" i="13"/>
  <c r="F36" i="13"/>
  <c r="F72" i="13"/>
  <c r="F74" i="13"/>
  <c r="F76" i="13"/>
  <c r="F96" i="13"/>
  <c r="F98" i="13"/>
  <c r="F106" i="13"/>
  <c r="F104" i="13"/>
  <c r="F108" i="13"/>
  <c r="F102" i="13"/>
  <c r="F100" i="13"/>
  <c r="F110" i="13"/>
  <c r="F112" i="13"/>
  <c r="F114" i="13"/>
  <c r="F116" i="13"/>
  <c r="F88" i="13"/>
  <c r="F92" i="13"/>
  <c r="F94" i="13"/>
  <c r="F78" i="13"/>
  <c r="F80" i="13"/>
  <c r="F82" i="13"/>
  <c r="F120" i="13"/>
  <c r="F122" i="13"/>
  <c r="F124" i="13"/>
  <c r="F126" i="13"/>
  <c r="F10" i="13"/>
  <c r="M8" i="7"/>
  <c r="E16" i="13" s="1"/>
  <c r="M9" i="7"/>
  <c r="E14" i="13" s="1"/>
  <c r="M10" i="7"/>
  <c r="E28" i="13" s="1"/>
  <c r="M11" i="7"/>
  <c r="E30" i="13" s="1"/>
  <c r="M12" i="7"/>
  <c r="E32" i="13" s="1"/>
  <c r="M13" i="7"/>
  <c r="E34" i="13" s="1"/>
  <c r="M14" i="7"/>
  <c r="E8" i="13" s="1"/>
  <c r="M15" i="7"/>
  <c r="E18" i="13" s="1"/>
  <c r="M16" i="7"/>
  <c r="E12" i="13" s="1"/>
  <c r="M17" i="7"/>
  <c r="E38" i="13" s="1"/>
  <c r="M18" i="7"/>
  <c r="E40" i="13" s="1"/>
  <c r="M19" i="7"/>
  <c r="E24" i="13" s="1"/>
  <c r="M20" i="7"/>
  <c r="E64" i="13" s="1"/>
  <c r="M22" i="7"/>
  <c r="E60" i="13" s="1"/>
  <c r="M23" i="7"/>
  <c r="E58" i="13" s="1"/>
  <c r="M24" i="7"/>
  <c r="E56" i="13" s="1"/>
  <c r="M25" i="7"/>
  <c r="E20" i="13" s="1"/>
  <c r="M26" i="7"/>
  <c r="E22" i="13" s="1"/>
  <c r="M27" i="7"/>
  <c r="E26" i="13" s="1"/>
  <c r="M28" i="7"/>
  <c r="E50" i="13" s="1"/>
  <c r="M29" i="7"/>
  <c r="E52" i="13" s="1"/>
  <c r="M30" i="7"/>
  <c r="E54" i="13" s="1"/>
  <c r="M31" i="7"/>
  <c r="E42" i="13" s="1"/>
  <c r="M32" i="7"/>
  <c r="E48" i="13" s="1"/>
  <c r="M33" i="7"/>
  <c r="E44" i="13" s="1"/>
  <c r="M34" i="7"/>
  <c r="E46" i="13" s="1"/>
  <c r="M35" i="7"/>
  <c r="E66" i="13" s="1"/>
  <c r="M36" i="7"/>
  <c r="E68" i="13" s="1"/>
  <c r="M37" i="7"/>
  <c r="E70" i="13" s="1"/>
  <c r="M38" i="7"/>
  <c r="E36" i="13" s="1"/>
  <c r="M39" i="7"/>
  <c r="E72" i="13" s="1"/>
  <c r="M40" i="7"/>
  <c r="E74" i="13" s="1"/>
  <c r="M41" i="7"/>
  <c r="E76" i="13" s="1"/>
  <c r="M42" i="7"/>
  <c r="E96" i="13" s="1"/>
  <c r="M43" i="7"/>
  <c r="E98" i="13" s="1"/>
  <c r="M44" i="7"/>
  <c r="E106" i="13" s="1"/>
  <c r="M45" i="7"/>
  <c r="E104" i="13" s="1"/>
  <c r="M46" i="7"/>
  <c r="E108" i="13" s="1"/>
  <c r="M47" i="7"/>
  <c r="E102" i="13" s="1"/>
  <c r="M48" i="7"/>
  <c r="E100" i="13" s="1"/>
  <c r="M49" i="7"/>
  <c r="E110" i="13" s="1"/>
  <c r="M50" i="7"/>
  <c r="E112" i="13" s="1"/>
  <c r="M51" i="7"/>
  <c r="E114" i="13" s="1"/>
  <c r="M52" i="7"/>
  <c r="E116" i="13" s="1"/>
  <c r="M54" i="7"/>
  <c r="E88" i="13" s="1"/>
  <c r="M56" i="7"/>
  <c r="E92" i="13" s="1"/>
  <c r="M57" i="7"/>
  <c r="E94" i="13" s="1"/>
  <c r="M58" i="7"/>
  <c r="E78" i="13" s="1"/>
  <c r="M59" i="7"/>
  <c r="E80" i="13" s="1"/>
  <c r="M60" i="7"/>
  <c r="E82" i="13" s="1"/>
  <c r="M63" i="7"/>
  <c r="E120" i="13" s="1"/>
  <c r="M64" i="7"/>
  <c r="E122" i="13" s="1"/>
  <c r="M65" i="7"/>
  <c r="E124" i="13" s="1"/>
  <c r="M66" i="7"/>
  <c r="E126" i="13" s="1"/>
  <c r="E10" i="13"/>
  <c r="E15" i="13" l="1"/>
  <c r="E127" i="13" s="1"/>
  <c r="E129" i="13" s="1"/>
  <c r="F127" i="13"/>
  <c r="F129" i="13" s="1"/>
  <c r="G127" i="13"/>
  <c r="G4" i="13" s="1"/>
  <c r="G128" i="13"/>
  <c r="G130" i="13" s="1"/>
  <c r="F128" i="13"/>
  <c r="F130" i="13" s="1"/>
  <c r="E128" i="13"/>
  <c r="E130" i="13" s="1"/>
  <c r="U66" i="7"/>
  <c r="G126" i="12" s="1"/>
  <c r="T66" i="7"/>
  <c r="G125" i="12" s="1"/>
  <c r="U65" i="7"/>
  <c r="G124" i="12" s="1"/>
  <c r="T65" i="7"/>
  <c r="G123" i="12" s="1"/>
  <c r="U64" i="7"/>
  <c r="G122" i="12" s="1"/>
  <c r="T64" i="7"/>
  <c r="G121" i="12" s="1"/>
  <c r="U63" i="7"/>
  <c r="G120" i="12" s="1"/>
  <c r="T63" i="7"/>
  <c r="G119" i="12" s="1"/>
  <c r="U60" i="7"/>
  <c r="G82" i="12" s="1"/>
  <c r="T60" i="7"/>
  <c r="G81" i="12" s="1"/>
  <c r="U59" i="7"/>
  <c r="G80" i="12" s="1"/>
  <c r="T59" i="7"/>
  <c r="G79" i="12" s="1"/>
  <c r="U58" i="7"/>
  <c r="G78" i="12" s="1"/>
  <c r="T58" i="7"/>
  <c r="G77" i="12" s="1"/>
  <c r="U57" i="7"/>
  <c r="G94" i="12" s="1"/>
  <c r="T57" i="7"/>
  <c r="G93" i="12" s="1"/>
  <c r="U56" i="7"/>
  <c r="G92" i="12" s="1"/>
  <c r="T56" i="7"/>
  <c r="G91" i="12" s="1"/>
  <c r="U54" i="7"/>
  <c r="G88" i="12" s="1"/>
  <c r="T54" i="7"/>
  <c r="G87" i="12" s="1"/>
  <c r="U52" i="7"/>
  <c r="G116" i="12" s="1"/>
  <c r="T52" i="7"/>
  <c r="G115" i="12" s="1"/>
  <c r="U51" i="7"/>
  <c r="G114" i="12" s="1"/>
  <c r="T51" i="7"/>
  <c r="G113" i="12" s="1"/>
  <c r="U50" i="7"/>
  <c r="G112" i="12" s="1"/>
  <c r="T50" i="7"/>
  <c r="G111" i="12" s="1"/>
  <c r="U49" i="7"/>
  <c r="G110" i="12" s="1"/>
  <c r="T49" i="7"/>
  <c r="G109" i="12" s="1"/>
  <c r="U48" i="7"/>
  <c r="G100" i="12" s="1"/>
  <c r="T48" i="7"/>
  <c r="G99" i="12" s="1"/>
  <c r="U47" i="7"/>
  <c r="G102" i="12" s="1"/>
  <c r="T47" i="7"/>
  <c r="G101" i="12" s="1"/>
  <c r="U46" i="7"/>
  <c r="G108" i="12" s="1"/>
  <c r="T46" i="7"/>
  <c r="G107" i="12" s="1"/>
  <c r="U45" i="7"/>
  <c r="G104" i="12" s="1"/>
  <c r="T45" i="7"/>
  <c r="G103" i="12" s="1"/>
  <c r="U44" i="7"/>
  <c r="G106" i="12" s="1"/>
  <c r="T44" i="7"/>
  <c r="G105" i="12" s="1"/>
  <c r="U43" i="7"/>
  <c r="G98" i="12" s="1"/>
  <c r="T43" i="7"/>
  <c r="G97" i="12" s="1"/>
  <c r="U42" i="7"/>
  <c r="G96" i="12" s="1"/>
  <c r="T42" i="7"/>
  <c r="G95" i="12" s="1"/>
  <c r="U41" i="7"/>
  <c r="G76" i="12" s="1"/>
  <c r="T41" i="7"/>
  <c r="G75" i="12" s="1"/>
  <c r="U40" i="7"/>
  <c r="G74" i="12" s="1"/>
  <c r="T40" i="7"/>
  <c r="G73" i="12" s="1"/>
  <c r="U39" i="7"/>
  <c r="G72" i="12" s="1"/>
  <c r="T39" i="7"/>
  <c r="G71" i="12" s="1"/>
  <c r="U38" i="7"/>
  <c r="G36" i="12" s="1"/>
  <c r="T38" i="7"/>
  <c r="G35" i="12" s="1"/>
  <c r="U37" i="7"/>
  <c r="G70" i="12" s="1"/>
  <c r="T37" i="7"/>
  <c r="G69" i="12" s="1"/>
  <c r="U36" i="7"/>
  <c r="G68" i="12" s="1"/>
  <c r="T36" i="7"/>
  <c r="G67" i="12" s="1"/>
  <c r="U35" i="7"/>
  <c r="G66" i="12" s="1"/>
  <c r="T35" i="7"/>
  <c r="G65" i="12" s="1"/>
  <c r="U34" i="7"/>
  <c r="G46" i="12" s="1"/>
  <c r="T34" i="7"/>
  <c r="G45" i="12" s="1"/>
  <c r="U33" i="7"/>
  <c r="G44" i="12" s="1"/>
  <c r="T33" i="7"/>
  <c r="G43" i="12" s="1"/>
  <c r="U32" i="7"/>
  <c r="G48" i="12" s="1"/>
  <c r="T32" i="7"/>
  <c r="G47" i="12" s="1"/>
  <c r="U31" i="7"/>
  <c r="G42" i="12" s="1"/>
  <c r="T31" i="7"/>
  <c r="G41" i="12" s="1"/>
  <c r="U30" i="7"/>
  <c r="G54" i="12" s="1"/>
  <c r="T30" i="7"/>
  <c r="G53" i="12" s="1"/>
  <c r="U29" i="7"/>
  <c r="G52" i="12" s="1"/>
  <c r="T29" i="7"/>
  <c r="G51" i="12" s="1"/>
  <c r="U28" i="7"/>
  <c r="G50" i="12" s="1"/>
  <c r="T28" i="7"/>
  <c r="G49" i="12" s="1"/>
  <c r="U27" i="7"/>
  <c r="G26" i="12" s="1"/>
  <c r="T27" i="7"/>
  <c r="G25" i="12" s="1"/>
  <c r="U26" i="7"/>
  <c r="G22" i="12" s="1"/>
  <c r="T26" i="7"/>
  <c r="G21" i="12" s="1"/>
  <c r="U25" i="7"/>
  <c r="G20" i="12" s="1"/>
  <c r="T25" i="7"/>
  <c r="G19" i="12" s="1"/>
  <c r="U24" i="7"/>
  <c r="G56" i="12" s="1"/>
  <c r="T24" i="7"/>
  <c r="G55" i="12" s="1"/>
  <c r="U23" i="7"/>
  <c r="G58" i="12" s="1"/>
  <c r="T23" i="7"/>
  <c r="G57" i="12" s="1"/>
  <c r="U22" i="7"/>
  <c r="G60" i="12" s="1"/>
  <c r="T22" i="7"/>
  <c r="G59" i="12" s="1"/>
  <c r="U20" i="7"/>
  <c r="G64" i="12" s="1"/>
  <c r="T20" i="7"/>
  <c r="G63" i="12" s="1"/>
  <c r="U19" i="7"/>
  <c r="G24" i="12" s="1"/>
  <c r="T19" i="7"/>
  <c r="G23" i="12" s="1"/>
  <c r="U18" i="7"/>
  <c r="G40" i="12" s="1"/>
  <c r="T18" i="7"/>
  <c r="G39" i="12" s="1"/>
  <c r="U17" i="7"/>
  <c r="G38" i="12" s="1"/>
  <c r="T17" i="7"/>
  <c r="G37" i="12" s="1"/>
  <c r="U16" i="7"/>
  <c r="G12" i="12" s="1"/>
  <c r="T16" i="7"/>
  <c r="G11" i="12" s="1"/>
  <c r="U15" i="7"/>
  <c r="G18" i="12" s="1"/>
  <c r="T15" i="7"/>
  <c r="G17" i="12" s="1"/>
  <c r="U14" i="7"/>
  <c r="G8" i="12" s="1"/>
  <c r="T14" i="7"/>
  <c r="G7" i="12" s="1"/>
  <c r="U13" i="7"/>
  <c r="G34" i="12" s="1"/>
  <c r="T13" i="7"/>
  <c r="G33" i="12" s="1"/>
  <c r="U12" i="7"/>
  <c r="G32" i="12" s="1"/>
  <c r="T12" i="7"/>
  <c r="G31" i="12" s="1"/>
  <c r="U11" i="7"/>
  <c r="G30" i="12" s="1"/>
  <c r="T11" i="7"/>
  <c r="G29" i="12" s="1"/>
  <c r="U10" i="7"/>
  <c r="G28" i="12" s="1"/>
  <c r="T10" i="7"/>
  <c r="G27" i="12" s="1"/>
  <c r="U9" i="7"/>
  <c r="G14" i="12" s="1"/>
  <c r="T9" i="7"/>
  <c r="G13" i="12" s="1"/>
  <c r="U8" i="7"/>
  <c r="G16" i="12" s="1"/>
  <c r="T8" i="7"/>
  <c r="G15" i="12" s="1"/>
  <c r="U7" i="7"/>
  <c r="G10" i="12" s="1"/>
  <c r="T7" i="7"/>
  <c r="G9" i="12" s="1"/>
  <c r="P66" i="7"/>
  <c r="F126" i="12" s="1"/>
  <c r="O66" i="7"/>
  <c r="F125" i="12" s="1"/>
  <c r="P65" i="7"/>
  <c r="F124" i="12" s="1"/>
  <c r="O65" i="7"/>
  <c r="F123" i="12" s="1"/>
  <c r="P64" i="7"/>
  <c r="F122" i="12" s="1"/>
  <c r="O64" i="7"/>
  <c r="F121" i="12" s="1"/>
  <c r="P63" i="7"/>
  <c r="F120" i="12" s="1"/>
  <c r="O63" i="7"/>
  <c r="F119" i="12" s="1"/>
  <c r="P60" i="7"/>
  <c r="F82" i="12" s="1"/>
  <c r="O60" i="7"/>
  <c r="F81" i="12" s="1"/>
  <c r="P59" i="7"/>
  <c r="F80" i="12" s="1"/>
  <c r="O59" i="7"/>
  <c r="F79" i="12" s="1"/>
  <c r="P58" i="7"/>
  <c r="F78" i="12" s="1"/>
  <c r="O58" i="7"/>
  <c r="F77" i="12" s="1"/>
  <c r="P57" i="7"/>
  <c r="F94" i="12" s="1"/>
  <c r="O57" i="7"/>
  <c r="F93" i="12" s="1"/>
  <c r="P56" i="7"/>
  <c r="F92" i="12" s="1"/>
  <c r="O56" i="7"/>
  <c r="F91" i="12" s="1"/>
  <c r="P54" i="7"/>
  <c r="F88" i="12" s="1"/>
  <c r="O54" i="7"/>
  <c r="F87" i="12" s="1"/>
  <c r="P52" i="7"/>
  <c r="F116" i="12" s="1"/>
  <c r="O52" i="7"/>
  <c r="F115" i="12" s="1"/>
  <c r="P51" i="7"/>
  <c r="F114" i="12" s="1"/>
  <c r="O51" i="7"/>
  <c r="F113" i="12" s="1"/>
  <c r="P50" i="7"/>
  <c r="F112" i="12" s="1"/>
  <c r="O50" i="7"/>
  <c r="F111" i="12" s="1"/>
  <c r="P49" i="7"/>
  <c r="F110" i="12" s="1"/>
  <c r="O49" i="7"/>
  <c r="F109" i="12" s="1"/>
  <c r="P48" i="7"/>
  <c r="F100" i="12" s="1"/>
  <c r="O48" i="7"/>
  <c r="F99" i="12" s="1"/>
  <c r="P47" i="7"/>
  <c r="F102" i="12" s="1"/>
  <c r="O47" i="7"/>
  <c r="F101" i="12" s="1"/>
  <c r="P46" i="7"/>
  <c r="F108" i="12" s="1"/>
  <c r="O46" i="7"/>
  <c r="F107" i="12" s="1"/>
  <c r="P45" i="7"/>
  <c r="F104" i="12" s="1"/>
  <c r="O45" i="7"/>
  <c r="F103" i="12" s="1"/>
  <c r="P44" i="7"/>
  <c r="F106" i="12" s="1"/>
  <c r="O44" i="7"/>
  <c r="F105" i="12" s="1"/>
  <c r="P43" i="7"/>
  <c r="F98" i="12" s="1"/>
  <c r="O43" i="7"/>
  <c r="F97" i="12" s="1"/>
  <c r="P42" i="7"/>
  <c r="F96" i="12" s="1"/>
  <c r="O42" i="7"/>
  <c r="F95" i="12" s="1"/>
  <c r="P41" i="7"/>
  <c r="F76" i="12" s="1"/>
  <c r="O41" i="7"/>
  <c r="F75" i="12" s="1"/>
  <c r="P40" i="7"/>
  <c r="F74" i="12" s="1"/>
  <c r="O40" i="7"/>
  <c r="F73" i="12" s="1"/>
  <c r="P39" i="7"/>
  <c r="F72" i="12" s="1"/>
  <c r="O39" i="7"/>
  <c r="F71" i="12" s="1"/>
  <c r="P38" i="7"/>
  <c r="F36" i="12" s="1"/>
  <c r="O38" i="7"/>
  <c r="F35" i="12" s="1"/>
  <c r="P37" i="7"/>
  <c r="F70" i="12" s="1"/>
  <c r="O37" i="7"/>
  <c r="F69" i="12" s="1"/>
  <c r="P36" i="7"/>
  <c r="F68" i="12" s="1"/>
  <c r="O36" i="7"/>
  <c r="F67" i="12" s="1"/>
  <c r="P35" i="7"/>
  <c r="F66" i="12" s="1"/>
  <c r="O35" i="7"/>
  <c r="F65" i="12" s="1"/>
  <c r="P34" i="7"/>
  <c r="F46" i="12" s="1"/>
  <c r="O34" i="7"/>
  <c r="F45" i="12" s="1"/>
  <c r="P33" i="7"/>
  <c r="F44" i="12" s="1"/>
  <c r="O33" i="7"/>
  <c r="F43" i="12" s="1"/>
  <c r="P32" i="7"/>
  <c r="F48" i="12" s="1"/>
  <c r="O32" i="7"/>
  <c r="F47" i="12" s="1"/>
  <c r="P31" i="7"/>
  <c r="F42" i="12" s="1"/>
  <c r="O31" i="7"/>
  <c r="F41" i="12" s="1"/>
  <c r="P30" i="7"/>
  <c r="F54" i="12" s="1"/>
  <c r="O30" i="7"/>
  <c r="F53" i="12" s="1"/>
  <c r="P29" i="7"/>
  <c r="F52" i="12" s="1"/>
  <c r="O29" i="7"/>
  <c r="F51" i="12" s="1"/>
  <c r="P28" i="7"/>
  <c r="F50" i="12" s="1"/>
  <c r="O28" i="7"/>
  <c r="F49" i="12" s="1"/>
  <c r="P27" i="7"/>
  <c r="F26" i="12" s="1"/>
  <c r="O27" i="7"/>
  <c r="F25" i="12" s="1"/>
  <c r="P26" i="7"/>
  <c r="F22" i="12" s="1"/>
  <c r="O26" i="7"/>
  <c r="F21" i="12" s="1"/>
  <c r="P25" i="7"/>
  <c r="F20" i="12" s="1"/>
  <c r="O25" i="7"/>
  <c r="F19" i="12" s="1"/>
  <c r="P24" i="7"/>
  <c r="F56" i="12" s="1"/>
  <c r="O24" i="7"/>
  <c r="F55" i="12" s="1"/>
  <c r="P23" i="7"/>
  <c r="F58" i="12" s="1"/>
  <c r="O23" i="7"/>
  <c r="F57" i="12" s="1"/>
  <c r="P22" i="7"/>
  <c r="F60" i="12" s="1"/>
  <c r="O22" i="7"/>
  <c r="F59" i="12" s="1"/>
  <c r="P20" i="7"/>
  <c r="F64" i="12" s="1"/>
  <c r="O20" i="7"/>
  <c r="F63" i="12" s="1"/>
  <c r="P19" i="7"/>
  <c r="F24" i="12" s="1"/>
  <c r="O19" i="7"/>
  <c r="F23" i="12" s="1"/>
  <c r="P18" i="7"/>
  <c r="F40" i="12" s="1"/>
  <c r="O18" i="7"/>
  <c r="F39" i="12" s="1"/>
  <c r="P17" i="7"/>
  <c r="F38" i="12" s="1"/>
  <c r="O17" i="7"/>
  <c r="F37" i="12" s="1"/>
  <c r="P16" i="7"/>
  <c r="F12" i="12" s="1"/>
  <c r="O16" i="7"/>
  <c r="F11" i="12" s="1"/>
  <c r="P15" i="7"/>
  <c r="F18" i="12" s="1"/>
  <c r="O15" i="7"/>
  <c r="F17" i="12" s="1"/>
  <c r="P14" i="7"/>
  <c r="F8" i="12" s="1"/>
  <c r="O14" i="7"/>
  <c r="F7" i="12" s="1"/>
  <c r="P13" i="7"/>
  <c r="F34" i="12" s="1"/>
  <c r="O13" i="7"/>
  <c r="F33" i="12" s="1"/>
  <c r="P12" i="7"/>
  <c r="F32" i="12" s="1"/>
  <c r="O12" i="7"/>
  <c r="F31" i="12" s="1"/>
  <c r="P11" i="7"/>
  <c r="F30" i="12" s="1"/>
  <c r="O11" i="7"/>
  <c r="F29" i="12" s="1"/>
  <c r="P10" i="7"/>
  <c r="F28" i="12" s="1"/>
  <c r="O10" i="7"/>
  <c r="F27" i="12" s="1"/>
  <c r="P9" i="7"/>
  <c r="F14" i="12" s="1"/>
  <c r="O9" i="7"/>
  <c r="F13" i="12" s="1"/>
  <c r="P8" i="7"/>
  <c r="F16" i="12" s="1"/>
  <c r="O8" i="7"/>
  <c r="F15" i="12" s="1"/>
  <c r="P7" i="7"/>
  <c r="F10" i="12" s="1"/>
  <c r="F9" i="12"/>
  <c r="K66" i="7"/>
  <c r="E126" i="12" s="1"/>
  <c r="J66" i="7"/>
  <c r="E125" i="12" s="1"/>
  <c r="K65" i="7"/>
  <c r="E124" i="12" s="1"/>
  <c r="J65" i="7"/>
  <c r="E123" i="12" s="1"/>
  <c r="K64" i="7"/>
  <c r="E122" i="12" s="1"/>
  <c r="J64" i="7"/>
  <c r="E121" i="12" s="1"/>
  <c r="K63" i="7"/>
  <c r="E120" i="12" s="1"/>
  <c r="J63" i="7"/>
  <c r="E119" i="12" s="1"/>
  <c r="K60" i="7"/>
  <c r="E82" i="12" s="1"/>
  <c r="J60" i="7"/>
  <c r="E81" i="12" s="1"/>
  <c r="K59" i="7"/>
  <c r="E80" i="12" s="1"/>
  <c r="J59" i="7"/>
  <c r="E79" i="12" s="1"/>
  <c r="K58" i="7"/>
  <c r="E78" i="12" s="1"/>
  <c r="J58" i="7"/>
  <c r="E77" i="12" s="1"/>
  <c r="K57" i="7"/>
  <c r="E94" i="12" s="1"/>
  <c r="J57" i="7"/>
  <c r="E93" i="12" s="1"/>
  <c r="K56" i="7"/>
  <c r="E92" i="12" s="1"/>
  <c r="J56" i="7"/>
  <c r="E91" i="12" s="1"/>
  <c r="K54" i="7"/>
  <c r="E88" i="12" s="1"/>
  <c r="J54" i="7"/>
  <c r="E87" i="12" s="1"/>
  <c r="K52" i="7"/>
  <c r="E116" i="12" s="1"/>
  <c r="J52" i="7"/>
  <c r="E115" i="12" s="1"/>
  <c r="K51" i="7"/>
  <c r="E114" i="12" s="1"/>
  <c r="J51" i="7"/>
  <c r="E113" i="12" s="1"/>
  <c r="K50" i="7"/>
  <c r="E112" i="12" s="1"/>
  <c r="J50" i="7"/>
  <c r="E111" i="12" s="1"/>
  <c r="K49" i="7"/>
  <c r="E110" i="12" s="1"/>
  <c r="J49" i="7"/>
  <c r="E109" i="12" s="1"/>
  <c r="K48" i="7"/>
  <c r="E100" i="12" s="1"/>
  <c r="J48" i="7"/>
  <c r="E99" i="12" s="1"/>
  <c r="K47" i="7"/>
  <c r="E102" i="12" s="1"/>
  <c r="J47" i="7"/>
  <c r="E101" i="12" s="1"/>
  <c r="K46" i="7"/>
  <c r="E108" i="12" s="1"/>
  <c r="J46" i="7"/>
  <c r="E107" i="12" s="1"/>
  <c r="K45" i="7"/>
  <c r="E104" i="12" s="1"/>
  <c r="J45" i="7"/>
  <c r="E103" i="12" s="1"/>
  <c r="K44" i="7"/>
  <c r="E106" i="12" s="1"/>
  <c r="J44" i="7"/>
  <c r="E105" i="12" s="1"/>
  <c r="K43" i="7"/>
  <c r="E98" i="12" s="1"/>
  <c r="J43" i="7"/>
  <c r="E97" i="12" s="1"/>
  <c r="K42" i="7"/>
  <c r="E96" i="12" s="1"/>
  <c r="J42" i="7"/>
  <c r="E95" i="12" s="1"/>
  <c r="K41" i="7"/>
  <c r="E76" i="12" s="1"/>
  <c r="J41" i="7"/>
  <c r="E75" i="12" s="1"/>
  <c r="K40" i="7"/>
  <c r="E74" i="12" s="1"/>
  <c r="J40" i="7"/>
  <c r="E73" i="12" s="1"/>
  <c r="K39" i="7"/>
  <c r="E72" i="12" s="1"/>
  <c r="J39" i="7"/>
  <c r="E71" i="12" s="1"/>
  <c r="K38" i="7"/>
  <c r="E36" i="12" s="1"/>
  <c r="J38" i="7"/>
  <c r="E35" i="12" s="1"/>
  <c r="K37" i="7"/>
  <c r="E70" i="12" s="1"/>
  <c r="J37" i="7"/>
  <c r="E69" i="12" s="1"/>
  <c r="K36" i="7"/>
  <c r="E68" i="12" s="1"/>
  <c r="J36" i="7"/>
  <c r="E67" i="12" s="1"/>
  <c r="K35" i="7"/>
  <c r="E66" i="12" s="1"/>
  <c r="J35" i="7"/>
  <c r="E65" i="12" s="1"/>
  <c r="K34" i="7"/>
  <c r="E46" i="12" s="1"/>
  <c r="J34" i="7"/>
  <c r="E45" i="12" s="1"/>
  <c r="K33" i="7"/>
  <c r="E44" i="12" s="1"/>
  <c r="J33" i="7"/>
  <c r="E43" i="12" s="1"/>
  <c r="K32" i="7"/>
  <c r="E48" i="12" s="1"/>
  <c r="J32" i="7"/>
  <c r="E47" i="12" s="1"/>
  <c r="K31" i="7"/>
  <c r="E42" i="12" s="1"/>
  <c r="J31" i="7"/>
  <c r="E41" i="12" s="1"/>
  <c r="K30" i="7"/>
  <c r="E54" i="12" s="1"/>
  <c r="J30" i="7"/>
  <c r="E53" i="12" s="1"/>
  <c r="K29" i="7"/>
  <c r="E52" i="12" s="1"/>
  <c r="J29" i="7"/>
  <c r="E51" i="12" s="1"/>
  <c r="K28" i="7"/>
  <c r="E50" i="12" s="1"/>
  <c r="J28" i="7"/>
  <c r="E49" i="12" s="1"/>
  <c r="K27" i="7"/>
  <c r="E26" i="12" s="1"/>
  <c r="J27" i="7"/>
  <c r="E25" i="12" s="1"/>
  <c r="K26" i="7"/>
  <c r="E22" i="12" s="1"/>
  <c r="J26" i="7"/>
  <c r="E21" i="12" s="1"/>
  <c r="K25" i="7"/>
  <c r="E20" i="12" s="1"/>
  <c r="J25" i="7"/>
  <c r="E19" i="12" s="1"/>
  <c r="K24" i="7"/>
  <c r="E56" i="12" s="1"/>
  <c r="J24" i="7"/>
  <c r="E55" i="12" s="1"/>
  <c r="K23" i="7"/>
  <c r="E58" i="12" s="1"/>
  <c r="J23" i="7"/>
  <c r="E57" i="12" s="1"/>
  <c r="K22" i="7"/>
  <c r="E60" i="12" s="1"/>
  <c r="E59" i="12"/>
  <c r="K20" i="7"/>
  <c r="E64" i="12" s="1"/>
  <c r="J20" i="7"/>
  <c r="E63" i="12" s="1"/>
  <c r="K19" i="7"/>
  <c r="E24" i="12" s="1"/>
  <c r="J19" i="7"/>
  <c r="E23" i="12" s="1"/>
  <c r="K18" i="7"/>
  <c r="E40" i="12" s="1"/>
  <c r="J18" i="7"/>
  <c r="E39" i="12" s="1"/>
  <c r="K17" i="7"/>
  <c r="E38" i="12" s="1"/>
  <c r="J17" i="7"/>
  <c r="E37" i="12" s="1"/>
  <c r="K16" i="7"/>
  <c r="E12" i="12" s="1"/>
  <c r="J16" i="7"/>
  <c r="E11" i="12" s="1"/>
  <c r="K15" i="7"/>
  <c r="E18" i="12" s="1"/>
  <c r="J15" i="7"/>
  <c r="E17" i="12" s="1"/>
  <c r="K14" i="7"/>
  <c r="E8" i="12" s="1"/>
  <c r="J14" i="7"/>
  <c r="E7" i="12" s="1"/>
  <c r="K13" i="7"/>
  <c r="E34" i="12" s="1"/>
  <c r="J13" i="7"/>
  <c r="E33" i="12" s="1"/>
  <c r="K12" i="7"/>
  <c r="E32" i="12" s="1"/>
  <c r="J12" i="7"/>
  <c r="E31" i="12" s="1"/>
  <c r="K11" i="7"/>
  <c r="E30" i="12" s="1"/>
  <c r="J11" i="7"/>
  <c r="E29" i="12" s="1"/>
  <c r="K10" i="7"/>
  <c r="E28" i="12" s="1"/>
  <c r="J10" i="7"/>
  <c r="E27" i="12" s="1"/>
  <c r="K9" i="7"/>
  <c r="E14" i="12" s="1"/>
  <c r="J9" i="7"/>
  <c r="E13" i="12" s="1"/>
  <c r="K8" i="7"/>
  <c r="E16" i="12" s="1"/>
  <c r="J8" i="7"/>
  <c r="E15" i="12" s="1"/>
  <c r="K7" i="7"/>
  <c r="E10" i="12" s="1"/>
  <c r="J7" i="7"/>
  <c r="E9" i="12" s="1"/>
  <c r="H7" i="7"/>
  <c r="D10" i="13" s="1"/>
  <c r="H8" i="7"/>
  <c r="D16" i="13" s="1"/>
  <c r="H9" i="7"/>
  <c r="D14" i="13" s="1"/>
  <c r="H10" i="7"/>
  <c r="D28" i="13" s="1"/>
  <c r="H11" i="7"/>
  <c r="D30" i="13" s="1"/>
  <c r="H12" i="7"/>
  <c r="D32" i="13" s="1"/>
  <c r="H13" i="7"/>
  <c r="D34" i="13" s="1"/>
  <c r="H14" i="7"/>
  <c r="D8" i="13" s="1"/>
  <c r="H15" i="7"/>
  <c r="D18" i="13" s="1"/>
  <c r="H16" i="7"/>
  <c r="D12" i="13" s="1"/>
  <c r="H17" i="7"/>
  <c r="D38" i="13" s="1"/>
  <c r="H18" i="7"/>
  <c r="D40" i="13" s="1"/>
  <c r="H19" i="7"/>
  <c r="D24" i="13" s="1"/>
  <c r="H20" i="7"/>
  <c r="D64" i="13" s="1"/>
  <c r="H22" i="7"/>
  <c r="D60" i="13" s="1"/>
  <c r="H23" i="7"/>
  <c r="D58" i="13" s="1"/>
  <c r="H24" i="7"/>
  <c r="D56" i="13" s="1"/>
  <c r="H25" i="7"/>
  <c r="D20" i="13" s="1"/>
  <c r="H26" i="7"/>
  <c r="D22" i="13" s="1"/>
  <c r="H27" i="7"/>
  <c r="D26" i="13" s="1"/>
  <c r="H28" i="7"/>
  <c r="D50" i="13" s="1"/>
  <c r="H29" i="7"/>
  <c r="D52" i="13" s="1"/>
  <c r="H30" i="7"/>
  <c r="D54" i="13" s="1"/>
  <c r="H31" i="7"/>
  <c r="D42" i="13" s="1"/>
  <c r="H32" i="7"/>
  <c r="D48" i="13" s="1"/>
  <c r="H33" i="7"/>
  <c r="D44" i="13" s="1"/>
  <c r="H34" i="7"/>
  <c r="D46" i="13" s="1"/>
  <c r="H35" i="7"/>
  <c r="D66" i="13" s="1"/>
  <c r="H36" i="7"/>
  <c r="D68" i="13" s="1"/>
  <c r="H37" i="7"/>
  <c r="D70" i="13" s="1"/>
  <c r="H38" i="7"/>
  <c r="D36" i="13" s="1"/>
  <c r="H39" i="7"/>
  <c r="D72" i="13" s="1"/>
  <c r="H40" i="7"/>
  <c r="D74" i="13" s="1"/>
  <c r="H41" i="7"/>
  <c r="D76" i="13" s="1"/>
  <c r="H42" i="7"/>
  <c r="D96" i="13" s="1"/>
  <c r="H43" i="7"/>
  <c r="D98" i="13" s="1"/>
  <c r="H44" i="7"/>
  <c r="D106" i="13" s="1"/>
  <c r="H45" i="7"/>
  <c r="D104" i="13" s="1"/>
  <c r="H46" i="7"/>
  <c r="D108" i="13" s="1"/>
  <c r="H47" i="7"/>
  <c r="D102" i="13" s="1"/>
  <c r="H48" i="7"/>
  <c r="D100" i="13" s="1"/>
  <c r="H49" i="7"/>
  <c r="D110" i="13" s="1"/>
  <c r="H50" i="7"/>
  <c r="D112" i="13" s="1"/>
  <c r="H51" i="7"/>
  <c r="D114" i="13" s="1"/>
  <c r="H52" i="7"/>
  <c r="D116" i="13" s="1"/>
  <c r="H54" i="7"/>
  <c r="D88" i="13" s="1"/>
  <c r="H56" i="7"/>
  <c r="D92" i="13" s="1"/>
  <c r="H57" i="7"/>
  <c r="D94" i="13" s="1"/>
  <c r="H58" i="7"/>
  <c r="D78" i="13" s="1"/>
  <c r="H59" i="7"/>
  <c r="D80" i="13" s="1"/>
  <c r="E128" i="12" l="1"/>
  <c r="E130" i="12" s="1"/>
  <c r="G127" i="12"/>
  <c r="G129" i="12" s="1"/>
  <c r="E127" i="12"/>
  <c r="D128" i="13"/>
  <c r="G128" i="12"/>
  <c r="G130" i="12" s="1"/>
  <c r="F127" i="12"/>
  <c r="F129" i="12" s="1"/>
  <c r="F128" i="12"/>
  <c r="F130" i="12" s="1"/>
  <c r="G129" i="13"/>
  <c r="G5" i="13"/>
  <c r="F5" i="13"/>
  <c r="F4" i="13"/>
  <c r="E5" i="13"/>
  <c r="E4" i="13"/>
  <c r="H69" i="7"/>
  <c r="H67" i="7"/>
  <c r="W67" i="7"/>
  <c r="W68" i="7" s="1"/>
  <c r="V67" i="7"/>
  <c r="V68" i="7" s="1"/>
  <c r="T67" i="7"/>
  <c r="T68" i="7" s="1"/>
  <c r="U67" i="7"/>
  <c r="U68" i="7" s="1"/>
  <c r="R67" i="7"/>
  <c r="R68" i="7" s="1"/>
  <c r="M67" i="7"/>
  <c r="M68" i="7" s="1"/>
  <c r="Q67" i="7"/>
  <c r="Q68" i="7" s="1"/>
  <c r="O67" i="7"/>
  <c r="O68" i="7" s="1"/>
  <c r="P67" i="7"/>
  <c r="P68" i="7" s="1"/>
  <c r="K67" i="7"/>
  <c r="K68" i="7" s="1"/>
  <c r="L68" i="7"/>
  <c r="E5" i="12" l="1"/>
  <c r="G4" i="12"/>
  <c r="F4" i="12"/>
  <c r="G5" i="12"/>
  <c r="F5" i="12"/>
  <c r="D5" i="13"/>
  <c r="D130" i="13"/>
  <c r="H68" i="7"/>
  <c r="G57" i="7" l="1"/>
  <c r="D93" i="13" s="1"/>
  <c r="F57" i="7" l="1"/>
  <c r="D94" i="12" s="1"/>
  <c r="E57" i="7"/>
  <c r="D93" i="12" s="1"/>
  <c r="E36" i="7" l="1"/>
  <c r="D67" i="12" s="1"/>
  <c r="F36" i="7"/>
  <c r="D68" i="12" s="1"/>
  <c r="G36" i="7"/>
  <c r="D67" i="13" s="1"/>
  <c r="F59" i="7"/>
  <c r="D80" i="12" s="1"/>
  <c r="E59" i="7"/>
  <c r="D79" i="12" s="1"/>
  <c r="G59" i="7"/>
  <c r="D79" i="13" s="1"/>
  <c r="F34" i="7"/>
  <c r="D46" i="12" s="1"/>
  <c r="G54" i="7"/>
  <c r="D87" i="13" s="1"/>
  <c r="G34" i="7"/>
  <c r="D45" i="13" s="1"/>
  <c r="E34" i="7"/>
  <c r="D45" i="12" s="1"/>
  <c r="F46" i="7"/>
  <c r="D108" i="12" s="1"/>
  <c r="E32" i="7"/>
  <c r="D47" i="12" s="1"/>
  <c r="F23" i="7"/>
  <c r="D58" i="12" s="1"/>
  <c r="G50" i="7"/>
  <c r="D111" i="13" s="1"/>
  <c r="E44" i="7"/>
  <c r="D105" i="12" s="1"/>
  <c r="F29" i="7"/>
  <c r="D52" i="12" s="1"/>
  <c r="F54" i="7"/>
  <c r="D88" i="12" s="1"/>
  <c r="F26" i="7"/>
  <c r="D22" i="12" s="1"/>
  <c r="G46" i="7" l="1"/>
  <c r="D107" i="13" s="1"/>
  <c r="E46" i="7"/>
  <c r="D107" i="12" s="1"/>
  <c r="G26" i="7"/>
  <c r="D21" i="13" s="1"/>
  <c r="E26" i="7"/>
  <c r="D21" i="12" s="1"/>
  <c r="F32" i="7"/>
  <c r="D48" i="12" s="1"/>
  <c r="E24" i="7"/>
  <c r="D55" i="12" s="1"/>
  <c r="E10" i="7"/>
  <c r="D27" i="12" s="1"/>
  <c r="G58" i="7"/>
  <c r="D77" i="13" s="1"/>
  <c r="F58" i="7"/>
  <c r="D78" i="12" s="1"/>
  <c r="E23" i="7"/>
  <c r="D57" i="12" s="1"/>
  <c r="G22" i="7"/>
  <c r="D59" i="13" s="1"/>
  <c r="E58" i="7"/>
  <c r="D77" i="12" s="1"/>
  <c r="E47" i="7"/>
  <c r="D101" i="12" s="1"/>
  <c r="F47" i="7"/>
  <c r="D102" i="12" s="1"/>
  <c r="E30" i="7"/>
  <c r="D53" i="12" s="1"/>
  <c r="E33" i="7"/>
  <c r="D43" i="12" s="1"/>
  <c r="F56" i="7"/>
  <c r="D92" i="12" s="1"/>
  <c r="G30" i="7"/>
  <c r="D53" i="13" s="1"/>
  <c r="G32" i="7"/>
  <c r="D47" i="13" s="1"/>
  <c r="F30" i="7"/>
  <c r="D54" i="12" s="1"/>
  <c r="G56" i="7"/>
  <c r="D91" i="13" s="1"/>
  <c r="F10" i="7"/>
  <c r="D28" i="12" s="1"/>
  <c r="E56" i="7"/>
  <c r="D91" i="12" s="1"/>
  <c r="G10" i="7"/>
  <c r="D27" i="13" s="1"/>
  <c r="E20" i="7"/>
  <c r="D63" i="12" s="1"/>
  <c r="G31" i="7"/>
  <c r="D41" i="13" s="1"/>
  <c r="F20" i="7"/>
  <c r="D64" i="12" s="1"/>
  <c r="E31" i="7"/>
  <c r="D41" i="12" s="1"/>
  <c r="G20" i="7"/>
  <c r="D63" i="13" s="1"/>
  <c r="E29" i="7"/>
  <c r="D51" i="12" s="1"/>
  <c r="F31" i="7"/>
  <c r="D42" i="12" s="1"/>
  <c r="G24" i="7"/>
  <c r="D55" i="13" s="1"/>
  <c r="F44" i="7"/>
  <c r="D106" i="12" s="1"/>
  <c r="F24" i="7"/>
  <c r="D56" i="12" s="1"/>
  <c r="G44" i="7"/>
  <c r="D105" i="13" s="1"/>
  <c r="E22" i="7"/>
  <c r="D59" i="12" s="1"/>
  <c r="F50" i="7"/>
  <c r="D112" i="12" s="1"/>
  <c r="G47" i="7"/>
  <c r="D101" i="13" s="1"/>
  <c r="F22" i="7"/>
  <c r="D60" i="12" s="1"/>
  <c r="G33" i="7"/>
  <c r="D43" i="13" s="1"/>
  <c r="E50" i="7"/>
  <c r="D111" i="12" s="1"/>
  <c r="F33" i="7"/>
  <c r="D44" i="12" s="1"/>
  <c r="F13" i="7"/>
  <c r="D34" i="12" s="1"/>
  <c r="G23" i="7"/>
  <c r="D57" i="13" s="1"/>
  <c r="G29" i="7"/>
  <c r="D51" i="13" s="1"/>
  <c r="F16" i="7"/>
  <c r="D12" i="12" s="1"/>
  <c r="G51" i="7"/>
  <c r="D113" i="13" s="1"/>
  <c r="G35" i="7"/>
  <c r="D65" i="13" s="1"/>
  <c r="G8" i="7"/>
  <c r="D15" i="13" s="1"/>
  <c r="G45" i="7"/>
  <c r="D103" i="13" s="1"/>
  <c r="F12" i="7"/>
  <c r="D32" i="12" s="1"/>
  <c r="E40" i="7"/>
  <c r="D73" i="12" s="1"/>
  <c r="G12" i="7" l="1"/>
  <c r="D31" i="13" s="1"/>
  <c r="F8" i="7"/>
  <c r="D16" i="12" s="1"/>
  <c r="F49" i="7"/>
  <c r="D110" i="12" s="1"/>
  <c r="E8" i="7"/>
  <c r="G25" i="7"/>
  <c r="D19" i="13" s="1"/>
  <c r="G13" i="7"/>
  <c r="D33" i="13" s="1"/>
  <c r="E25" i="7"/>
  <c r="D19" i="12" s="1"/>
  <c r="E12" i="7"/>
  <c r="D31" i="12" s="1"/>
  <c r="F40" i="7"/>
  <c r="D74" i="12" s="1"/>
  <c r="E18" i="7"/>
  <c r="D39" i="12" s="1"/>
  <c r="G16" i="7"/>
  <c r="D11" i="13" s="1"/>
  <c r="E49" i="7"/>
  <c r="D109" i="12" s="1"/>
  <c r="G40" i="7"/>
  <c r="D73" i="13" s="1"/>
  <c r="E14" i="7"/>
  <c r="D7" i="12" s="1"/>
  <c r="E15" i="7"/>
  <c r="D17" i="12" s="1"/>
  <c r="G14" i="7"/>
  <c r="D7" i="13" s="1"/>
  <c r="F14" i="7"/>
  <c r="D8" i="12" s="1"/>
  <c r="F7" i="7"/>
  <c r="D10" i="12" s="1"/>
  <c r="F41" i="7"/>
  <c r="D76" i="12" s="1"/>
  <c r="E52" i="7"/>
  <c r="D115" i="12" s="1"/>
  <c r="G41" i="7"/>
  <c r="D75" i="13" s="1"/>
  <c r="G52" i="7"/>
  <c r="D115" i="13" s="1"/>
  <c r="G9" i="7"/>
  <c r="D13" i="13" s="1"/>
  <c r="E39" i="7"/>
  <c r="D71" i="12" s="1"/>
  <c r="E19" i="7"/>
  <c r="D23" i="12" s="1"/>
  <c r="E13" i="7"/>
  <c r="D33" i="12" s="1"/>
  <c r="F9" i="7"/>
  <c r="D14" i="12" s="1"/>
  <c r="F25" i="7"/>
  <c r="D20" i="12" s="1"/>
  <c r="E28" i="7"/>
  <c r="D49" i="12" s="1"/>
  <c r="G19" i="7"/>
  <c r="D23" i="13" s="1"/>
  <c r="F39" i="7"/>
  <c r="D72" i="12" s="1"/>
  <c r="F18" i="7"/>
  <c r="D40" i="12" s="1"/>
  <c r="F19" i="7"/>
  <c r="D24" i="12" s="1"/>
  <c r="G7" i="7"/>
  <c r="D9" i="13" s="1"/>
  <c r="E43" i="7"/>
  <c r="D97" i="12" s="1"/>
  <c r="G39" i="7"/>
  <c r="D71" i="13" s="1"/>
  <c r="G18" i="7"/>
  <c r="D39" i="13" s="1"/>
  <c r="E35" i="7"/>
  <c r="D65" i="12" s="1"/>
  <c r="F28" i="7"/>
  <c r="D50" i="12" s="1"/>
  <c r="F35" i="7"/>
  <c r="D66" i="12" s="1"/>
  <c r="G28" i="7"/>
  <c r="D49" i="13" s="1"/>
  <c r="G48" i="7"/>
  <c r="D99" i="13" s="1"/>
  <c r="F37" i="7"/>
  <c r="D70" i="12" s="1"/>
  <c r="G49" i="7"/>
  <c r="D109" i="13" s="1"/>
  <c r="E41" i="7"/>
  <c r="D75" i="12" s="1"/>
  <c r="F45" i="7"/>
  <c r="D104" i="12" s="1"/>
  <c r="F17" i="7"/>
  <c r="D38" i="12" s="1"/>
  <c r="G27" i="7"/>
  <c r="D25" i="13" s="1"/>
  <c r="G37" i="7"/>
  <c r="D69" i="13" s="1"/>
  <c r="E38" i="7"/>
  <c r="D35" i="12" s="1"/>
  <c r="F48" i="7"/>
  <c r="D100" i="12" s="1"/>
  <c r="F15" i="7"/>
  <c r="D18" i="12" s="1"/>
  <c r="E17" i="7"/>
  <c r="D37" i="12" s="1"/>
  <c r="F27" i="7"/>
  <c r="D26" i="12" s="1"/>
  <c r="F52" i="7"/>
  <c r="D116" i="12" s="1"/>
  <c r="E45" i="7"/>
  <c r="D103" i="12" s="1"/>
  <c r="F42" i="7"/>
  <c r="D96" i="12" s="1"/>
  <c r="G38" i="7"/>
  <c r="D35" i="13" s="1"/>
  <c r="G17" i="7"/>
  <c r="D37" i="13" s="1"/>
  <c r="E37" i="7"/>
  <c r="D69" i="12" s="1"/>
  <c r="F43" i="7"/>
  <c r="D98" i="12" s="1"/>
  <c r="E42" i="7"/>
  <c r="D95" i="12" s="1"/>
  <c r="F38" i="7"/>
  <c r="D36" i="12" s="1"/>
  <c r="G15" i="7"/>
  <c r="D17" i="13" s="1"/>
  <c r="E27" i="7"/>
  <c r="D25" i="12" s="1"/>
  <c r="E48" i="7"/>
  <c r="D99" i="12" s="1"/>
  <c r="G43" i="7"/>
  <c r="D97" i="13" s="1"/>
  <c r="G42" i="7"/>
  <c r="D95" i="13" s="1"/>
  <c r="F11" i="7"/>
  <c r="D30" i="12" s="1"/>
  <c r="G11" i="7"/>
  <c r="D29" i="13" s="1"/>
  <c r="E11" i="7"/>
  <c r="D29" i="12" s="1"/>
  <c r="E51" i="7"/>
  <c r="D113" i="12" s="1"/>
  <c r="F51" i="7"/>
  <c r="D114" i="12" s="1"/>
  <c r="E16" i="7"/>
  <c r="D11" i="12" s="1"/>
  <c r="E67" i="7" l="1"/>
  <c r="E68" i="7" s="1"/>
  <c r="D127" i="13"/>
  <c r="D128" i="12"/>
  <c r="D5" i="12" s="1"/>
  <c r="D15" i="12"/>
  <c r="G69" i="7"/>
  <c r="G67" i="7"/>
  <c r="F67" i="7"/>
  <c r="F68" i="7" s="1"/>
  <c r="D127" i="12" l="1"/>
  <c r="D4" i="12" s="1"/>
  <c r="D130" i="12"/>
  <c r="G68" i="7"/>
  <c r="F71" i="14"/>
  <c r="F35" i="14"/>
  <c r="F53" i="14"/>
  <c r="F125" i="14"/>
  <c r="F15" i="14"/>
  <c r="F81" i="14"/>
  <c r="F43" i="14"/>
  <c r="F105" i="14"/>
  <c r="F57" i="14"/>
  <c r="F49" i="14"/>
  <c r="F87" i="14"/>
  <c r="F73" i="14"/>
  <c r="F119" i="14"/>
  <c r="F41" i="14"/>
  <c r="F39" i="14"/>
  <c r="F33" i="14"/>
  <c r="F75" i="14"/>
  <c r="F21" i="14"/>
  <c r="F25" i="14"/>
  <c r="F23" i="14"/>
  <c r="F13" i="14"/>
  <c r="F69" i="14"/>
  <c r="F17" i="14"/>
  <c r="F111" i="14"/>
  <c r="F37" i="14"/>
  <c r="F101" i="14"/>
  <c r="F79" i="14"/>
  <c r="F77" i="14"/>
  <c r="F11" i="14"/>
  <c r="F121" i="14"/>
  <c r="F55" i="14"/>
  <c r="F93" i="14"/>
  <c r="F59" i="14"/>
  <c r="F109" i="14"/>
  <c r="F107" i="14"/>
  <c r="F47" i="14"/>
  <c r="F19" i="14"/>
  <c r="F51" i="14"/>
  <c r="F63" i="14"/>
  <c r="F83" i="14"/>
  <c r="F31" i="14"/>
  <c r="F103" i="14"/>
  <c r="F65" i="14"/>
  <c r="F7" i="14"/>
  <c r="F45" i="14"/>
  <c r="F123" i="14"/>
  <c r="F97" i="14"/>
  <c r="F95" i="14"/>
  <c r="F117" i="14"/>
  <c r="F113" i="14"/>
  <c r="F91" i="14"/>
  <c r="F67" i="14"/>
  <c r="F115" i="14"/>
  <c r="F99" i="14"/>
  <c r="F29" i="14"/>
  <c r="F9" i="14"/>
  <c r="D129" i="12" l="1"/>
  <c r="L67" i="15"/>
  <c r="L68" i="15" s="1"/>
  <c r="F27" i="14"/>
  <c r="F127" i="14" s="1"/>
  <c r="D129" i="13"/>
  <c r="D4" i="13"/>
  <c r="F129" i="14" l="1"/>
  <c r="L129" i="14"/>
  <c r="K129" i="14"/>
  <c r="L128" i="14"/>
  <c r="K128" i="14"/>
  <c r="J67" i="7"/>
  <c r="J68" i="7" s="1"/>
  <c r="O129" i="14" l="1"/>
  <c r="N129" i="14"/>
  <c r="O128" i="14"/>
  <c r="N128" i="14"/>
  <c r="M128" i="14"/>
  <c r="M129" i="14"/>
  <c r="I5" i="14"/>
  <c r="J5" i="14"/>
  <c r="K5" i="14"/>
  <c r="L5" i="14"/>
  <c r="K4" i="14"/>
  <c r="I4" i="14"/>
  <c r="J4" i="14"/>
  <c r="L4" i="14"/>
  <c r="F5" i="14"/>
  <c r="E129" i="12"/>
  <c r="E4" i="12"/>
  <c r="O4" i="14" l="1"/>
  <c r="M4" i="14"/>
  <c r="N4" i="14"/>
  <c r="N5" i="14"/>
  <c r="O5" i="14"/>
  <c r="M5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Đinh Văn Chiến(Dinh Van Chien)</author>
    <author>Administrator</author>
    <author>Nguyễn Thị Thiện Duyên(Nguyen Thi Thien Duyen)</author>
  </authors>
  <commentList>
    <comment ref="E5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Thêm KH tầng 3 nhà C</t>
        </r>
      </text>
    </comment>
    <comment ref="J5" authorId="0" shapeId="0" xr:uid="{B3528548-74D0-41B3-8731-B4782C894DCD}">
      <text>
        <r>
          <rPr>
            <b/>
            <sz val="9"/>
            <color indexed="81"/>
            <rFont val="Tahoma"/>
            <family val="2"/>
          </rPr>
          <t>Thêm KH tầng 3 nhà C</t>
        </r>
      </text>
    </comment>
    <comment ref="L5" authorId="1" shapeId="0" xr:uid="{52F8D67A-E3FC-4D88-92FC-D1085473AA82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Lãi tháng 5 còn 208,679.16U</t>
        </r>
      </text>
    </comment>
    <comment ref="M5" authorId="1" shapeId="0" xr:uid="{20CD80D4-8C52-4888-9083-A0C5D2984BFF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Lãi tháng 5 đã giảm còn 26,458.43</t>
        </r>
      </text>
    </comment>
    <comment ref="O5" authorId="0" shapeId="0" xr:uid="{C2D233E4-7C5D-4CE1-BC9B-EAAA8444A083}">
      <text>
        <r>
          <rPr>
            <b/>
            <sz val="9"/>
            <color indexed="81"/>
            <rFont val="Tahoma"/>
            <family val="2"/>
          </rPr>
          <t>Thêm KH tầng 3 nhà C</t>
        </r>
      </text>
    </comment>
    <comment ref="T5" authorId="0" shapeId="0" xr:uid="{833D2E9D-5456-4F2E-B60C-676680BFCC7B}">
      <text>
        <r>
          <rPr>
            <b/>
            <sz val="9"/>
            <color indexed="81"/>
            <rFont val="Tahoma"/>
            <family val="2"/>
          </rPr>
          <t>Thêm KH tầng 3 nhà C</t>
        </r>
      </text>
    </comment>
    <comment ref="Y5" authorId="0" shapeId="0" xr:uid="{C120EB45-D9E7-4349-846B-FAFDCCFEBC32}">
      <text>
        <r>
          <rPr>
            <b/>
            <sz val="9"/>
            <color indexed="81"/>
            <rFont val="Tahoma"/>
            <family val="2"/>
          </rPr>
          <t>Thêm KH tầng 3 nhà C</t>
        </r>
      </text>
    </comment>
    <comment ref="AD5" authorId="0" shapeId="0" xr:uid="{DF63C489-E8A3-48E9-8411-4C663E13B9F4}">
      <text>
        <r>
          <rPr>
            <b/>
            <sz val="9"/>
            <color indexed="81"/>
            <rFont val="Tahoma"/>
            <family val="2"/>
          </rPr>
          <t>Thêm KH tầng 3 nhà C</t>
        </r>
      </text>
    </comment>
    <comment ref="AI5" authorId="0" shapeId="0" xr:uid="{5734C7B2-4F97-4A60-AC93-4853E933B3B1}">
      <text>
        <r>
          <rPr>
            <b/>
            <sz val="9"/>
            <color indexed="81"/>
            <rFont val="Tahoma"/>
            <family val="2"/>
          </rPr>
          <t>Thêm KH tầng 3 nhà C</t>
        </r>
      </text>
    </comment>
    <comment ref="AN5" authorId="0" shapeId="0" xr:uid="{4B6E67FC-E716-4550-910A-29EA1C969814}">
      <text>
        <r>
          <rPr>
            <b/>
            <sz val="9"/>
            <color indexed="81"/>
            <rFont val="Tahoma"/>
            <family val="2"/>
          </rPr>
          <t>Thêm KH tầng 3 nhà C</t>
        </r>
      </text>
    </comment>
    <comment ref="AS5" authorId="0" shapeId="0" xr:uid="{35A61D18-F7F4-4F59-99E6-16EEEEEC7381}">
      <text>
        <r>
          <rPr>
            <b/>
            <sz val="9"/>
            <color indexed="81"/>
            <rFont val="Tahoma"/>
            <family val="2"/>
          </rPr>
          <t>Thêm KH tầng 3 nhà C</t>
        </r>
      </text>
    </comment>
    <comment ref="AX5" authorId="0" shapeId="0" xr:uid="{94893321-B9FB-49E2-B722-7F68E9E673D0}">
      <text>
        <r>
          <rPr>
            <b/>
            <sz val="9"/>
            <color indexed="81"/>
            <rFont val="Tahoma"/>
            <family val="2"/>
          </rPr>
          <t>Thêm KH tầng 3 nhà C</t>
        </r>
      </text>
    </comment>
    <comment ref="BC5" authorId="0" shapeId="0" xr:uid="{82F586FD-1CD0-4211-9170-46461DC12479}">
      <text>
        <r>
          <rPr>
            <b/>
            <sz val="9"/>
            <color indexed="81"/>
            <rFont val="Tahoma"/>
            <family val="2"/>
          </rPr>
          <t>Thêm KH tầng 3 nhà C</t>
        </r>
      </text>
    </comment>
    <comment ref="BH5" authorId="0" shapeId="0" xr:uid="{C1FAC0BF-CBC1-4B04-98B4-96076820BB31}">
      <text>
        <r>
          <rPr>
            <b/>
            <sz val="9"/>
            <color indexed="81"/>
            <rFont val="Tahoma"/>
            <family val="2"/>
          </rPr>
          <t>Thêm KH tầng 3 nhà C</t>
        </r>
      </text>
    </comment>
    <comment ref="A6" authorId="2" shapeId="0" xr:uid="{71E9C1BF-DA5E-4260-8A1C-E27CC8EA9FBD}">
      <text>
        <r>
          <rPr>
            <b/>
            <sz val="10"/>
            <color indexed="81"/>
            <rFont val="Tahoma"/>
            <family val="2"/>
          </rPr>
          <t xml:space="preserve">Không tự ý thay đổi thứ tự code phòng chịu chi phí
</t>
        </r>
      </text>
    </comment>
    <comment ref="G68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GIÁ TRỊ NÀY PHẢI BẰNG 0.000</t>
        </r>
      </text>
    </comment>
    <comment ref="H68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GIÁ TRỊ NÀY PHẢI BẰNG 0.000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Đinh Văn Chiến(Dinh Van Chien)</author>
  </authors>
  <commentList>
    <comment ref="F4" authorId="0" shapeId="0" xr:uid="{92A5AC82-AF46-432E-9667-E63FE55EC214}">
      <text>
        <r>
          <rPr>
            <b/>
            <sz val="9"/>
            <color indexed="81"/>
            <rFont val="Tahoma"/>
            <family val="2"/>
          </rPr>
          <t>OK</t>
        </r>
      </text>
    </comment>
    <comment ref="G68" authorId="0" shapeId="0" xr:uid="{F145853A-A074-4E5F-8824-DAF70C14A59F}">
      <text>
        <r>
          <rPr>
            <b/>
            <sz val="9"/>
            <color indexed="81"/>
            <rFont val="Tahoma"/>
            <family val="2"/>
          </rPr>
          <t xml:space="preserve">GIÁ TRỊ NÀY PHẢI BẰNG 0. </t>
        </r>
      </text>
    </comment>
    <comment ref="I68" authorId="0" shapeId="0" xr:uid="{8146CF9F-E4B1-4ADD-BE9B-99E72AEA7593}">
      <text>
        <r>
          <rPr>
            <b/>
            <sz val="9"/>
            <color indexed="81"/>
            <rFont val="Tahoma"/>
            <family val="2"/>
          </rPr>
          <t xml:space="preserve">GIÁ TRỊ NÀY PHẢI BẰNG 0. </t>
        </r>
      </text>
    </comment>
    <comment ref="K68" authorId="0" shapeId="0" xr:uid="{F96E7566-AE91-421E-B642-ABD05B5B13B6}">
      <text>
        <r>
          <rPr>
            <b/>
            <sz val="9"/>
            <color indexed="81"/>
            <rFont val="Tahoma"/>
            <family val="2"/>
          </rPr>
          <t xml:space="preserve">GIÁ TRỊ NÀY PHẢI BẰNG 0. </t>
        </r>
      </text>
    </comment>
    <comment ref="M68" authorId="0" shapeId="0" xr:uid="{A98E41EA-10D4-4CE0-A604-AB2EE24F89D4}">
      <text>
        <r>
          <rPr>
            <b/>
            <sz val="9"/>
            <color indexed="81"/>
            <rFont val="Tahoma"/>
            <family val="2"/>
          </rPr>
          <t xml:space="preserve">GIÁ TRỊ NÀY PHẢI BẰNG 0. </t>
        </r>
      </text>
    </comment>
    <comment ref="O68" authorId="0" shapeId="0" xr:uid="{4B0E5207-1CDC-48A4-AAFA-01F60953AD5D}">
      <text>
        <r>
          <rPr>
            <b/>
            <sz val="9"/>
            <color indexed="81"/>
            <rFont val="Tahoma"/>
            <family val="2"/>
          </rPr>
          <t xml:space="preserve">GIÁ TRỊ NÀY PHẢI BẰNG 0. </t>
        </r>
      </text>
    </comment>
    <comment ref="Q68" authorId="0" shapeId="0" xr:uid="{C88F7A37-3C6D-4773-B9AE-9332A485FB87}">
      <text>
        <r>
          <rPr>
            <b/>
            <sz val="9"/>
            <color indexed="81"/>
            <rFont val="Tahoma"/>
            <family val="2"/>
          </rPr>
          <t xml:space="preserve">GIÁ TRỊ NÀY PHẢI BẰNG 0. </t>
        </r>
      </text>
    </comment>
    <comment ref="S68" authorId="0" shapeId="0" xr:uid="{A9C78FC2-3477-42DC-A26E-BD29D63B68B1}">
      <text>
        <r>
          <rPr>
            <b/>
            <sz val="9"/>
            <color indexed="81"/>
            <rFont val="Tahoma"/>
            <family val="2"/>
          </rPr>
          <t xml:space="preserve">GIÁ TRỊ NÀY PHẢI BẰNG 0. </t>
        </r>
      </text>
    </comment>
    <comment ref="U68" authorId="0" shapeId="0" xr:uid="{B2BF418A-7822-4D3A-98D9-9AE4CAD1FCB4}">
      <text>
        <r>
          <rPr>
            <b/>
            <sz val="9"/>
            <color indexed="81"/>
            <rFont val="Tahoma"/>
            <family val="2"/>
          </rPr>
          <t xml:space="preserve">GIÁ TRỊ NÀY PHẢI BẰNG 0. </t>
        </r>
      </text>
    </comment>
    <comment ref="W68" authorId="0" shapeId="0" xr:uid="{5679A60C-6E67-451E-9BA1-2BE766050135}">
      <text>
        <r>
          <rPr>
            <b/>
            <sz val="9"/>
            <color indexed="81"/>
            <rFont val="Tahoma"/>
            <family val="2"/>
          </rPr>
          <t xml:space="preserve">GIÁ TRỊ NÀY PHẢI BẰNG 0. </t>
        </r>
      </text>
    </comment>
    <comment ref="Y68" authorId="0" shapeId="0" xr:uid="{BF368278-EFAD-48D8-8C2D-3647EFEB790E}">
      <text>
        <r>
          <rPr>
            <b/>
            <sz val="9"/>
            <color indexed="81"/>
            <rFont val="Tahoma"/>
            <family val="2"/>
          </rPr>
          <t xml:space="preserve">GIÁ TRỊ NÀY PHẢI BẰNG 0. </t>
        </r>
      </text>
    </comment>
    <comment ref="AA68" authorId="0" shapeId="0" xr:uid="{77BCE912-6622-40B8-BA98-4A3A2751E240}">
      <text>
        <r>
          <rPr>
            <b/>
            <sz val="9"/>
            <color indexed="81"/>
            <rFont val="Tahoma"/>
            <family val="2"/>
          </rPr>
          <t xml:space="preserve">GIÁ TRỊ NÀY PHẢI BẰNG 0. </t>
        </r>
      </text>
    </comment>
    <comment ref="AC68" authorId="0" shapeId="0" xr:uid="{A1A08CE9-5048-49CD-8A19-055394597127}">
      <text>
        <r>
          <rPr>
            <b/>
            <sz val="9"/>
            <color indexed="81"/>
            <rFont val="Tahoma"/>
            <family val="2"/>
          </rPr>
          <t>GIÁ TRỊ NÀY PHẢI BẰNG 0.</t>
        </r>
      </text>
    </comment>
  </commentList>
</comments>
</file>

<file path=xl/sharedStrings.xml><?xml version="1.0" encoding="utf-8"?>
<sst xmlns="http://schemas.openxmlformats.org/spreadsheetml/2006/main" count="1075" uniqueCount="194">
  <si>
    <t>IT Sec</t>
  </si>
  <si>
    <t>USD</t>
  </si>
  <si>
    <t>メカ製造技術2課</t>
  </si>
  <si>
    <t>メカ製造技術1課</t>
  </si>
  <si>
    <t>マスター管理課</t>
  </si>
  <si>
    <t>人事課</t>
  </si>
  <si>
    <t>施設課</t>
  </si>
  <si>
    <t>会計課</t>
  </si>
  <si>
    <t>経営管理課</t>
  </si>
  <si>
    <t>物流課</t>
  </si>
  <si>
    <t>情報システム課</t>
  </si>
  <si>
    <t>土地</t>
    <rPh sb="0" eb="2">
      <t>トチ</t>
    </rPh>
    <phoneticPr fontId="4"/>
  </si>
  <si>
    <t>総額</t>
    <rPh sb="0" eb="2">
      <t>ソウガク</t>
    </rPh>
    <phoneticPr fontId="4"/>
  </si>
  <si>
    <t>原価ｾﾝﾀ</t>
    <phoneticPr fontId="4"/>
  </si>
  <si>
    <t>原価ｾﾝﾀ名称</t>
    <rPh sb="5" eb="7">
      <t>メイショウ</t>
    </rPh>
    <phoneticPr fontId="4"/>
  </si>
  <si>
    <t>日本語</t>
    <rPh sb="0" eb="3">
      <t>ニホンゴ</t>
    </rPh>
    <phoneticPr fontId="4"/>
  </si>
  <si>
    <t>比率(*1)</t>
    <rPh sb="0" eb="2">
      <t>ヒリツ</t>
    </rPh>
    <phoneticPr fontId="4"/>
  </si>
  <si>
    <t>建物配賦</t>
    <rPh sb="0" eb="2">
      <t>タテモノ</t>
    </rPh>
    <rPh sb="2" eb="4">
      <t>ハイフ</t>
    </rPh>
    <phoneticPr fontId="4"/>
  </si>
  <si>
    <t>土地配賦</t>
    <rPh sb="0" eb="2">
      <t>トチ</t>
    </rPh>
    <rPh sb="2" eb="4">
      <t>ハイフ</t>
    </rPh>
    <phoneticPr fontId="4"/>
  </si>
  <si>
    <t>合計</t>
    <rPh sb="0" eb="2">
      <t>ゴウケイ</t>
    </rPh>
    <phoneticPr fontId="4"/>
  </si>
  <si>
    <t>*1　面積比算出Fy2014、7月～10月予定のデータより</t>
    <rPh sb="3" eb="5">
      <t>メンセキ</t>
    </rPh>
    <rPh sb="5" eb="6">
      <t>ヒ</t>
    </rPh>
    <rPh sb="6" eb="8">
      <t>サンシュツ</t>
    </rPh>
    <rPh sb="16" eb="17">
      <t>ガツ</t>
    </rPh>
    <rPh sb="20" eb="21">
      <t>ガツ</t>
    </rPh>
    <rPh sb="21" eb="23">
      <t>ヨテイ</t>
    </rPh>
    <phoneticPr fontId="4"/>
  </si>
  <si>
    <t>Kỹ thuật khuôn</t>
  </si>
  <si>
    <t>金型技術</t>
  </si>
  <si>
    <t>Chế tạo linh kiện</t>
  </si>
  <si>
    <t>部品製造</t>
  </si>
  <si>
    <t>Kỹ thuật chế tạo điện</t>
  </si>
  <si>
    <t>電気製造技術</t>
  </si>
  <si>
    <t>Kỹ thuật cơ khí 2</t>
  </si>
  <si>
    <t>Chế tạo mực in</t>
  </si>
  <si>
    <t>トナー製造</t>
  </si>
  <si>
    <t>Kỹ thuật SX mực in</t>
  </si>
  <si>
    <t>トナー生産技術</t>
  </si>
  <si>
    <t>Quản lý mực in</t>
  </si>
  <si>
    <t>Quản lý SX (Thạch)</t>
  </si>
  <si>
    <t>生産管理</t>
  </si>
  <si>
    <t>Quản lý dữ liệu (Tsuji)</t>
  </si>
  <si>
    <t>Quản lý lợi nhuận</t>
  </si>
  <si>
    <t>採算管理</t>
  </si>
  <si>
    <t>Kiểm tra linh kiện</t>
  </si>
  <si>
    <t>Đảm bảo chất lượng</t>
  </si>
  <si>
    <t>品質保証</t>
  </si>
  <si>
    <t>品質管理</t>
  </si>
  <si>
    <t>Vật tư 3</t>
  </si>
  <si>
    <t>資材3課</t>
  </si>
  <si>
    <t>Quản lý vật tư</t>
  </si>
  <si>
    <t>資材管理</t>
  </si>
  <si>
    <t>Vật tư 2</t>
  </si>
  <si>
    <t>資材2課</t>
  </si>
  <si>
    <t>資材1課</t>
  </si>
  <si>
    <t>Vật tư 1</t>
  </si>
  <si>
    <t>Hành chính</t>
  </si>
  <si>
    <t>総務</t>
  </si>
  <si>
    <t>Tuyển dụng</t>
  </si>
  <si>
    <t>Nhân sự</t>
  </si>
  <si>
    <t>Thiết bị</t>
  </si>
  <si>
    <t>Kế toán</t>
  </si>
  <si>
    <t>Quản lý kinh doanh</t>
  </si>
  <si>
    <t>Chế tạo RPS</t>
  </si>
  <si>
    <t>RPS製造課</t>
  </si>
  <si>
    <t>建物</t>
  </si>
  <si>
    <t>Kỹ thuật SX 1</t>
  </si>
  <si>
    <t>Kỹ thuật SX 2</t>
  </si>
  <si>
    <t>生産技術 1</t>
  </si>
  <si>
    <t>生産技術 2</t>
  </si>
  <si>
    <t>Vật tư 4</t>
  </si>
  <si>
    <t>資材4課</t>
  </si>
  <si>
    <t>QL XN Hàng hóa</t>
  </si>
  <si>
    <t>物流管理課</t>
  </si>
  <si>
    <t xml:space="preserve">Quản lý hàng ngoài </t>
  </si>
  <si>
    <t xml:space="preserve">外製管理 </t>
  </si>
  <si>
    <t>Đổi mới sản xuất</t>
  </si>
  <si>
    <t>EI 1</t>
  </si>
  <si>
    <t xml:space="preserve">EI1課 </t>
  </si>
  <si>
    <t>EI 2</t>
  </si>
  <si>
    <t>EI2課</t>
  </si>
  <si>
    <t>MD 1</t>
  </si>
  <si>
    <t xml:space="preserve">MD1課 </t>
  </si>
  <si>
    <t>MD 2</t>
  </si>
  <si>
    <t>MD2課</t>
  </si>
  <si>
    <t>建物 Building</t>
  </si>
  <si>
    <t>土地 Land</t>
  </si>
  <si>
    <t>工程品質管理1課</t>
  </si>
  <si>
    <t>工程品質管理2課</t>
  </si>
  <si>
    <t>製品管理課</t>
  </si>
  <si>
    <t>部品管理課</t>
  </si>
  <si>
    <t>工程品質管理3課</t>
  </si>
  <si>
    <t>Chế tạo máy 2</t>
  </si>
  <si>
    <t>機器製造2課</t>
  </si>
  <si>
    <t>Chế tạo máy 3</t>
  </si>
  <si>
    <t>機器製造3課</t>
  </si>
  <si>
    <t>Chế tạo máy 1</t>
  </si>
  <si>
    <t>機器製造1課</t>
  </si>
  <si>
    <t>Quản lý sản xuất thiết bị</t>
  </si>
  <si>
    <t>機器製造管理課</t>
  </si>
  <si>
    <t>QLCL công đoạn 1</t>
  </si>
  <si>
    <t>QLCL công đoạn 2</t>
  </si>
  <si>
    <t>QLCL công đoạn 3</t>
  </si>
  <si>
    <t xml:space="preserve">Kỹ thuật cơ khí 1 </t>
  </si>
  <si>
    <t>トナー製造管理課</t>
  </si>
  <si>
    <t>Xuất nhập hàng hóa 1</t>
  </si>
  <si>
    <t>Xuất nhập hàng hóa 2</t>
  </si>
  <si>
    <t>Kỹ thuật linh kiện</t>
  </si>
  <si>
    <t>Đảm bảo sản phẩm</t>
  </si>
  <si>
    <t>QL Xuất nhập khẩu</t>
  </si>
  <si>
    <t>MD 3</t>
  </si>
  <si>
    <t>MD3課</t>
  </si>
  <si>
    <t>Kỹ thuật SX 3</t>
  </si>
  <si>
    <t>生産技術 3</t>
  </si>
  <si>
    <t xml:space="preserve">THÁNG 5 HÀNG NĂM LÃI SUẤT SẼ GIẢM </t>
  </si>
  <si>
    <t>Phòng quản lý chế tạo linh kiện</t>
  </si>
  <si>
    <t>Phòng quản lý chất lượng</t>
  </si>
  <si>
    <t>部品製造管理課</t>
  </si>
  <si>
    <t>品質管理課</t>
  </si>
  <si>
    <t>Kỹ thuật cơ khí 3</t>
  </si>
  <si>
    <t>メカ製造技術3課</t>
  </si>
  <si>
    <t>ESD1</t>
  </si>
  <si>
    <t>An ninh</t>
  </si>
  <si>
    <t>保安課</t>
  </si>
  <si>
    <t>Kiểm tra linh kiện 1</t>
  </si>
  <si>
    <t>Kiểm tra linh kiện 2</t>
  </si>
  <si>
    <t>部品検査 1</t>
  </si>
  <si>
    <t>部品検査 2</t>
  </si>
  <si>
    <t xml:space="preserve">部品技術 </t>
  </si>
  <si>
    <t>QL rủi ro</t>
  </si>
  <si>
    <t>ESD2</t>
  </si>
  <si>
    <t>電工製造課</t>
  </si>
  <si>
    <t>MD 4</t>
  </si>
  <si>
    <t>MD4課</t>
  </si>
  <si>
    <t>Phòng chế tạo công cụ điện</t>
  </si>
  <si>
    <t>Phòng quản lý OC</t>
  </si>
  <si>
    <t>Phòng Kỹ thuật linh kiện</t>
  </si>
  <si>
    <t>Quản lý linh kiện</t>
  </si>
  <si>
    <t>Quản lý hàng hóa</t>
  </si>
  <si>
    <t>VND</t>
  </si>
  <si>
    <t>生産管理課</t>
  </si>
  <si>
    <t>採算管理課</t>
  </si>
  <si>
    <t>生産技術1課</t>
  </si>
  <si>
    <t>品質保証課</t>
  </si>
  <si>
    <t>第3資材課</t>
  </si>
  <si>
    <t>資材管理課</t>
  </si>
  <si>
    <t>総務課</t>
  </si>
  <si>
    <t>貿易管理課</t>
  </si>
  <si>
    <t>トナー製造課</t>
  </si>
  <si>
    <t>外製管理課</t>
  </si>
  <si>
    <t>電気製造技術課</t>
  </si>
  <si>
    <t>第2資材課</t>
  </si>
  <si>
    <t>金型技術課</t>
  </si>
  <si>
    <t>トナー品質管理課</t>
  </si>
  <si>
    <t>部品製造課</t>
  </si>
  <si>
    <t>第1資材課</t>
  </si>
  <si>
    <t>部品技術課</t>
  </si>
  <si>
    <t>生産技術2課</t>
  </si>
  <si>
    <t>第4資材課</t>
  </si>
  <si>
    <t>生産技術3課</t>
  </si>
  <si>
    <t>リスクマネジメント課</t>
  </si>
  <si>
    <t>OC管理課</t>
  </si>
  <si>
    <t>Depreciation</t>
    <phoneticPr fontId="1"/>
  </si>
  <si>
    <t>部署</t>
    <rPh sb="0" eb="2">
      <t>ブショ</t>
    </rPh>
    <phoneticPr fontId="1"/>
  </si>
  <si>
    <t>減価償却費</t>
    <rPh sb="0" eb="2">
      <t>ゲンカ</t>
    </rPh>
    <rPh sb="2" eb="4">
      <t>ショウキャク</t>
    </rPh>
    <rPh sb="4" eb="5">
      <t>ヒ</t>
    </rPh>
    <phoneticPr fontId="1"/>
  </si>
  <si>
    <t>振替総額</t>
    <rPh sb="0" eb="2">
      <t>フリカエ</t>
    </rPh>
    <rPh sb="2" eb="4">
      <t>ソウガク</t>
    </rPh>
    <phoneticPr fontId="1"/>
  </si>
  <si>
    <t>建物 Building</t>
    <rPh sb="0" eb="2">
      <t>タテモノ</t>
    </rPh>
    <phoneticPr fontId="1"/>
  </si>
  <si>
    <t>土地 Land</t>
    <rPh sb="0" eb="2">
      <t>トチ</t>
    </rPh>
    <phoneticPr fontId="1"/>
  </si>
  <si>
    <t>OC課</t>
  </si>
  <si>
    <t>部品検査課 1</t>
  </si>
  <si>
    <t>部品検査課 2</t>
  </si>
  <si>
    <t xml:space="preserve">MD2課 </t>
  </si>
  <si>
    <t xml:space="preserve">MD3課 </t>
  </si>
  <si>
    <t xml:space="preserve">MD4課 </t>
  </si>
  <si>
    <t xml:space="preserve">ESD1課 </t>
  </si>
  <si>
    <t xml:space="preserve">ESD2課 </t>
  </si>
  <si>
    <t>合計</t>
    <rPh sb="0" eb="2">
      <t>ゴウケイ</t>
    </rPh>
    <phoneticPr fontId="1"/>
  </si>
  <si>
    <t>Interest</t>
  </si>
  <si>
    <t>固定資産金利</t>
    <rPh sb="0" eb="2">
      <t>コテイ</t>
    </rPh>
    <rPh sb="2" eb="4">
      <t>シサン</t>
    </rPh>
    <rPh sb="4" eb="6">
      <t>キンリ</t>
    </rPh>
    <phoneticPr fontId="1"/>
  </si>
  <si>
    <t>電気代 Electric</t>
    <rPh sb="0" eb="2">
      <t>デンキ</t>
    </rPh>
    <rPh sb="2" eb="3">
      <t>ダイ</t>
    </rPh>
    <phoneticPr fontId="1"/>
  </si>
  <si>
    <t>水道代 Water</t>
    <rPh sb="0" eb="2">
      <t>スイドウ</t>
    </rPh>
    <rPh sb="2" eb="3">
      <t>ダイ</t>
    </rPh>
    <phoneticPr fontId="1"/>
  </si>
  <si>
    <t>電気代 Electric</t>
  </si>
  <si>
    <t>水道代 Water</t>
  </si>
  <si>
    <t>水道光熱費</t>
    <rPh sb="0" eb="2">
      <t>スイドウ</t>
    </rPh>
    <rPh sb="2" eb="5">
      <t>コウネツヒ</t>
    </rPh>
    <phoneticPr fontId="1"/>
  </si>
  <si>
    <t>電気</t>
  </si>
  <si>
    <t>水道</t>
  </si>
  <si>
    <t>電気代</t>
    <rPh sb="0" eb="3">
      <t>デンキダイ</t>
    </rPh>
    <phoneticPr fontId="7"/>
  </si>
  <si>
    <t>人数</t>
  </si>
  <si>
    <t>面積</t>
    <rPh sb="0" eb="2">
      <t>メンセキ</t>
    </rPh>
    <phoneticPr fontId="7"/>
  </si>
  <si>
    <t>比率(*1)</t>
  </si>
  <si>
    <t>人数</t>
    <rPh sb="0" eb="2">
      <t>ニンズウ</t>
    </rPh>
    <phoneticPr fontId="7"/>
  </si>
  <si>
    <t>割合</t>
    <rPh sb="0" eb="2">
      <t>ワリアイ</t>
    </rPh>
    <phoneticPr fontId="7"/>
  </si>
  <si>
    <t>電気代配賦</t>
  </si>
  <si>
    <t>水道代配賦</t>
  </si>
  <si>
    <t>メカ製造技術4課</t>
  </si>
  <si>
    <t>Kỹ thuật cơ khí 4</t>
  </si>
  <si>
    <t xml:space="preserve">EI2課 </t>
  </si>
  <si>
    <t>MD 5</t>
  </si>
  <si>
    <t>MD5課</t>
  </si>
  <si>
    <t xml:space="preserve">MD5課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</si>
</sst>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#,##0.000_);[Red]\(#,##0.000\)"/>
    <numFmt numFmtId="165" formatCode="#,##0.00_ "/>
    <numFmt numFmtId="166" formatCode="0_);[Red]\(0\)"/>
    <numFmt numFmtId="167" formatCode="#,##0_ "/>
    <numFmt numFmtId="168" formatCode="#,##0_ ;[Red]\-#,##0\ "/>
    <numFmt numFmtId="169" formatCode="mm/yyyy\ &quot;予定&quot;\ "/>
    <numFmt numFmtId="170" formatCode="mm/yyyy"/>
  </numFmts>
  <fonts count="25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sz val="11"/>
      <name val="ＭＳ Ｐゴシック"/>
      <family val="3"/>
      <charset val="128"/>
    </font>
    <font>
      <sz val="11"/>
      <name val="Times New Roman"/>
      <family val="1"/>
    </font>
    <font>
      <sz val="6"/>
      <name val="Calibri"/>
      <family val="2"/>
      <charset val="128"/>
      <scheme val="minor"/>
    </font>
    <font>
      <sz val="11"/>
      <name val="ＭＳ 明朝"/>
      <family val="1"/>
      <charset val="128"/>
    </font>
    <font>
      <b/>
      <sz val="10"/>
      <name val="Times New Roman"/>
      <family val="1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8"/>
      <name val="Calibri"/>
      <family val="2"/>
    </font>
    <font>
      <b/>
      <sz val="14"/>
      <color theme="0"/>
      <name val="Times New Roman"/>
      <family val="1"/>
    </font>
    <font>
      <sz val="11"/>
      <color theme="1"/>
      <name val="Times New Roman"/>
      <family val="1"/>
    </font>
    <font>
      <b/>
      <sz val="17"/>
      <color rgb="FFFF0000"/>
      <name val="Times New Roman"/>
      <family val="1"/>
    </font>
    <font>
      <sz val="11"/>
      <color rgb="FFFF0000"/>
      <name val="Times New Roman"/>
      <family val="1"/>
    </font>
    <font>
      <sz val="11"/>
      <name val="Meiryo UI"/>
      <family val="3"/>
      <charset val="128"/>
    </font>
    <font>
      <sz val="11"/>
      <color indexed="12"/>
      <name val="Times New Roman"/>
      <family val="1"/>
    </font>
    <font>
      <sz val="11"/>
      <color rgb="FF0000FF"/>
      <name val="Meiryo UI"/>
      <family val="3"/>
      <charset val="128"/>
    </font>
    <font>
      <sz val="11"/>
      <color indexed="12"/>
      <name val="Times"/>
      <family val="1"/>
    </font>
    <font>
      <sz val="11"/>
      <name val="Times"/>
      <family val="1"/>
    </font>
    <font>
      <sz val="11"/>
      <color rgb="FF0070C0"/>
      <name val="Calibri"/>
      <family val="2"/>
      <charset val="128"/>
      <scheme val="minor"/>
    </font>
    <font>
      <sz val="11"/>
      <color theme="3"/>
      <name val="Times New Roman"/>
      <family val="1"/>
    </font>
    <font>
      <b/>
      <sz val="10"/>
      <color indexed="81"/>
      <name val="Tahoma"/>
      <family val="2"/>
    </font>
    <font>
      <b/>
      <sz val="16"/>
      <color theme="1"/>
      <name val="Times New Roman"/>
      <family val="1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</borders>
  <cellStyleXfs count="12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6" fillId="0" borderId="0"/>
    <xf numFmtId="38" fontId="3" fillId="0" borderId="0" applyFont="0" applyFill="0" applyBorder="0" applyAlignment="0" applyProtection="0">
      <alignment vertical="center"/>
    </xf>
    <xf numFmtId="40" fontId="3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/>
    <xf numFmtId="0" fontId="11" fillId="0" borderId="0"/>
    <xf numFmtId="0" fontId="3" fillId="0" borderId="0" applyBorder="0"/>
    <xf numFmtId="38" fontId="3" fillId="0" borderId="0" applyFont="0" applyFill="0" applyBorder="0" applyAlignment="0" applyProtection="0"/>
  </cellStyleXfs>
  <cellXfs count="379">
    <xf numFmtId="0" fontId="0" fillId="0" borderId="0" xfId="0">
      <alignment vertical="center"/>
    </xf>
    <xf numFmtId="10" fontId="0" fillId="0" borderId="0" xfId="0" applyNumberFormat="1">
      <alignment vertical="center"/>
    </xf>
    <xf numFmtId="0" fontId="13" fillId="0" borderId="0" xfId="0" applyFont="1">
      <alignment vertical="center"/>
    </xf>
    <xf numFmtId="0" fontId="13" fillId="3" borderId="0" xfId="0" applyFont="1" applyFill="1">
      <alignment vertical="center"/>
    </xf>
    <xf numFmtId="0" fontId="13" fillId="0" borderId="0" xfId="0" applyFont="1" applyAlignment="1">
      <alignment horizontal="right" vertical="center"/>
    </xf>
    <xf numFmtId="0" fontId="14" fillId="3" borderId="0" xfId="0" applyFont="1" applyFill="1">
      <alignment vertical="center"/>
    </xf>
    <xf numFmtId="38" fontId="13" fillId="0" borderId="0" xfId="0" applyNumberFormat="1" applyFont="1">
      <alignment vertical="center"/>
    </xf>
    <xf numFmtId="0" fontId="13" fillId="3" borderId="12" xfId="0" applyFont="1" applyFill="1" applyBorder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13" fillId="3" borderId="9" xfId="0" applyFont="1" applyFill="1" applyBorder="1">
      <alignment vertical="center"/>
    </xf>
    <xf numFmtId="40" fontId="4" fillId="0" borderId="7" xfId="1" applyNumberFormat="1" applyFont="1" applyFill="1" applyBorder="1">
      <alignment vertical="center"/>
    </xf>
    <xf numFmtId="40" fontId="4" fillId="0" borderId="14" xfId="0" applyNumberFormat="1" applyFont="1" applyBorder="1">
      <alignment vertical="center"/>
    </xf>
    <xf numFmtId="40" fontId="15" fillId="3" borderId="7" xfId="1" applyNumberFormat="1" applyFont="1" applyFill="1" applyBorder="1">
      <alignment vertical="center"/>
    </xf>
    <xf numFmtId="40" fontId="15" fillId="3" borderId="14" xfId="0" applyNumberFormat="1" applyFont="1" applyFill="1" applyBorder="1">
      <alignment vertical="center"/>
    </xf>
    <xf numFmtId="0" fontId="13" fillId="0" borderId="5" xfId="0" applyFont="1" applyBorder="1">
      <alignment vertical="center"/>
    </xf>
    <xf numFmtId="0" fontId="13" fillId="3" borderId="5" xfId="0" applyFont="1" applyFill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13" fillId="0" borderId="16" xfId="0" applyFont="1" applyBorder="1">
      <alignment vertical="center"/>
    </xf>
    <xf numFmtId="0" fontId="13" fillId="0" borderId="27" xfId="0" applyFont="1" applyBorder="1">
      <alignment vertical="center"/>
    </xf>
    <xf numFmtId="0" fontId="4" fillId="0" borderId="16" xfId="0" applyFont="1" applyBorder="1">
      <alignment vertical="center"/>
    </xf>
    <xf numFmtId="10" fontId="13" fillId="3" borderId="17" xfId="7" applyNumberFormat="1" applyFont="1" applyFill="1" applyBorder="1">
      <alignment vertical="center"/>
    </xf>
    <xf numFmtId="40" fontId="4" fillId="0" borderId="24" xfId="1" applyNumberFormat="1" applyFont="1" applyFill="1" applyBorder="1">
      <alignment vertical="center"/>
    </xf>
    <xf numFmtId="40" fontId="4" fillId="0" borderId="18" xfId="1" applyNumberFormat="1" applyFont="1" applyFill="1" applyBorder="1">
      <alignment vertical="center"/>
    </xf>
    <xf numFmtId="40" fontId="4" fillId="3" borderId="24" xfId="1" applyNumberFormat="1" applyFont="1" applyFill="1" applyBorder="1">
      <alignment vertical="center"/>
    </xf>
    <xf numFmtId="40" fontId="4" fillId="3" borderId="25" xfId="1" applyNumberFormat="1" applyFont="1" applyFill="1" applyBorder="1">
      <alignment vertical="center"/>
    </xf>
    <xf numFmtId="0" fontId="13" fillId="0" borderId="19" xfId="0" applyFont="1" applyBorder="1">
      <alignment vertical="center"/>
    </xf>
    <xf numFmtId="0" fontId="4" fillId="0" borderId="19" xfId="0" applyFont="1" applyBorder="1">
      <alignment vertical="center"/>
    </xf>
    <xf numFmtId="40" fontId="4" fillId="0" borderId="20" xfId="1" applyNumberFormat="1" applyFont="1" applyFill="1" applyBorder="1">
      <alignment vertical="center"/>
    </xf>
    <xf numFmtId="40" fontId="4" fillId="0" borderId="21" xfId="1" applyNumberFormat="1" applyFont="1" applyFill="1" applyBorder="1">
      <alignment vertical="center"/>
    </xf>
    <xf numFmtId="40" fontId="4" fillId="3" borderId="20" xfId="1" applyNumberFormat="1" applyFont="1" applyFill="1" applyBorder="1">
      <alignment vertical="center"/>
    </xf>
    <xf numFmtId="40" fontId="4" fillId="3" borderId="21" xfId="1" applyNumberFormat="1" applyFont="1" applyFill="1" applyBorder="1">
      <alignment vertical="center"/>
    </xf>
    <xf numFmtId="0" fontId="15" fillId="0" borderId="19" xfId="0" applyFont="1" applyBorder="1">
      <alignment vertical="center"/>
    </xf>
    <xf numFmtId="40" fontId="4" fillId="4" borderId="20" xfId="1" applyNumberFormat="1" applyFont="1" applyFill="1" applyBorder="1">
      <alignment vertical="center"/>
    </xf>
    <xf numFmtId="40" fontId="4" fillId="4" borderId="21" xfId="1" applyNumberFormat="1" applyFont="1" applyFill="1" applyBorder="1">
      <alignment vertical="center"/>
    </xf>
    <xf numFmtId="0" fontId="13" fillId="4" borderId="0" xfId="0" applyFont="1" applyFill="1">
      <alignment vertical="center"/>
    </xf>
    <xf numFmtId="0" fontId="4" fillId="0" borderId="27" xfId="0" applyFont="1" applyBorder="1">
      <alignment vertical="center"/>
    </xf>
    <xf numFmtId="0" fontId="13" fillId="4" borderId="19" xfId="0" applyFont="1" applyFill="1" applyBorder="1">
      <alignment vertical="center"/>
    </xf>
    <xf numFmtId="0" fontId="4" fillId="4" borderId="19" xfId="0" applyFont="1" applyFill="1" applyBorder="1">
      <alignment vertical="center"/>
    </xf>
    <xf numFmtId="0" fontId="13" fillId="0" borderId="28" xfId="0" applyFont="1" applyBorder="1">
      <alignment vertical="center"/>
    </xf>
    <xf numFmtId="0" fontId="13" fillId="5" borderId="19" xfId="0" applyFont="1" applyFill="1" applyBorder="1">
      <alignment vertical="center"/>
    </xf>
    <xf numFmtId="0" fontId="13" fillId="6" borderId="19" xfId="0" applyFont="1" applyFill="1" applyBorder="1">
      <alignment vertical="center"/>
    </xf>
    <xf numFmtId="0" fontId="4" fillId="6" borderId="19" xfId="0" applyFont="1" applyFill="1" applyBorder="1">
      <alignment vertical="center"/>
    </xf>
    <xf numFmtId="0" fontId="13" fillId="6" borderId="0" xfId="0" applyFont="1" applyFill="1">
      <alignment vertical="center"/>
    </xf>
    <xf numFmtId="10" fontId="13" fillId="3" borderId="26" xfId="7" applyNumberFormat="1" applyFont="1" applyFill="1" applyBorder="1">
      <alignment vertical="center"/>
    </xf>
    <xf numFmtId="10" fontId="13" fillId="3" borderId="0" xfId="7" applyNumberFormat="1" applyFont="1" applyFill="1">
      <alignment vertical="center"/>
    </xf>
    <xf numFmtId="0" fontId="13" fillId="0" borderId="22" xfId="0" applyFont="1" applyBorder="1">
      <alignment vertical="center"/>
    </xf>
    <xf numFmtId="40" fontId="4" fillId="0" borderId="23" xfId="1" applyNumberFormat="1" applyFont="1" applyFill="1" applyBorder="1">
      <alignment vertical="center"/>
    </xf>
    <xf numFmtId="10" fontId="13" fillId="3" borderId="5" xfId="0" applyNumberFormat="1" applyFont="1" applyFill="1" applyBorder="1">
      <alignment vertical="center"/>
    </xf>
    <xf numFmtId="40" fontId="4" fillId="0" borderId="8" xfId="0" applyNumberFormat="1" applyFont="1" applyBorder="1">
      <alignment vertical="center"/>
    </xf>
    <xf numFmtId="40" fontId="4" fillId="0" borderId="15" xfId="0" applyNumberFormat="1" applyFont="1" applyBorder="1">
      <alignment vertical="center"/>
    </xf>
    <xf numFmtId="40" fontId="4" fillId="3" borderId="8" xfId="0" applyNumberFormat="1" applyFont="1" applyFill="1" applyBorder="1">
      <alignment vertical="center"/>
    </xf>
    <xf numFmtId="40" fontId="4" fillId="3" borderId="15" xfId="0" applyNumberFormat="1" applyFont="1" applyFill="1" applyBorder="1">
      <alignment vertical="center"/>
    </xf>
    <xf numFmtId="164" fontId="13" fillId="0" borderId="8" xfId="0" applyNumberFormat="1" applyFont="1" applyBorder="1" applyAlignment="1">
      <alignment horizontal="center" vertical="center"/>
    </xf>
    <xf numFmtId="164" fontId="13" fillId="0" borderId="15" xfId="0" applyNumberFormat="1" applyFont="1" applyBorder="1" applyAlignment="1">
      <alignment horizontal="center" vertical="center"/>
    </xf>
    <xf numFmtId="164" fontId="13" fillId="3" borderId="8" xfId="0" applyNumberFormat="1" applyFont="1" applyFill="1" applyBorder="1" applyAlignment="1">
      <alignment horizontal="center" vertical="center"/>
    </xf>
    <xf numFmtId="164" fontId="13" fillId="3" borderId="15" xfId="0" applyNumberFormat="1" applyFont="1" applyFill="1" applyBorder="1" applyAlignment="1">
      <alignment horizontal="center" vertical="center"/>
    </xf>
    <xf numFmtId="40" fontId="13" fillId="8" borderId="3" xfId="0" applyNumberFormat="1" applyFont="1" applyFill="1" applyBorder="1">
      <alignment vertical="center"/>
    </xf>
    <xf numFmtId="10" fontId="13" fillId="0" borderId="0" xfId="7" applyNumberFormat="1" applyFont="1">
      <alignment vertical="center"/>
    </xf>
    <xf numFmtId="40" fontId="13" fillId="3" borderId="0" xfId="0" applyNumberFormat="1" applyFont="1" applyFill="1">
      <alignment vertical="center"/>
    </xf>
    <xf numFmtId="0" fontId="13" fillId="7" borderId="19" xfId="0" applyFont="1" applyFill="1" applyBorder="1">
      <alignment vertical="center"/>
    </xf>
    <xf numFmtId="0" fontId="4" fillId="7" borderId="19" xfId="0" applyFont="1" applyFill="1" applyBorder="1">
      <alignment vertical="center"/>
    </xf>
    <xf numFmtId="10" fontId="13" fillId="7" borderId="17" xfId="7" applyNumberFormat="1" applyFont="1" applyFill="1" applyBorder="1">
      <alignment vertical="center"/>
    </xf>
    <xf numFmtId="40" fontId="4" fillId="7" borderId="20" xfId="1" applyNumberFormat="1" applyFont="1" applyFill="1" applyBorder="1">
      <alignment vertical="center"/>
    </xf>
    <xf numFmtId="40" fontId="4" fillId="7" borderId="21" xfId="1" applyNumberFormat="1" applyFont="1" applyFill="1" applyBorder="1">
      <alignment vertical="center"/>
    </xf>
    <xf numFmtId="0" fontId="4" fillId="7" borderId="19" xfId="0" applyFont="1" applyFill="1" applyBorder="1" applyAlignment="1">
      <alignment horizontal="left" vertical="center" indent="1" shrinkToFit="1"/>
    </xf>
    <xf numFmtId="0" fontId="16" fillId="0" borderId="0" xfId="0" applyFont="1" applyAlignment="1" applyProtection="1">
      <protection locked="0"/>
    </xf>
    <xf numFmtId="38" fontId="16" fillId="0" borderId="0" xfId="0" applyNumberFormat="1" applyFont="1" applyAlignment="1" applyProtection="1">
      <protection locked="0"/>
    </xf>
    <xf numFmtId="0" fontId="4" fillId="0" borderId="0" xfId="10" applyFont="1" applyProtection="1">
      <protection locked="0"/>
    </xf>
    <xf numFmtId="0" fontId="17" fillId="0" borderId="0" xfId="10" applyFont="1" applyProtection="1">
      <protection locked="0"/>
    </xf>
    <xf numFmtId="0" fontId="17" fillId="0" borderId="0" xfId="10" applyFont="1" applyAlignment="1" applyProtection="1">
      <alignment horizontal="right" vertical="center"/>
      <protection locked="0"/>
    </xf>
    <xf numFmtId="0" fontId="4" fillId="0" borderId="16" xfId="10" applyFont="1" applyBorder="1" applyAlignment="1" applyProtection="1">
      <alignment horizontal="left" vertical="center"/>
      <protection locked="0"/>
    </xf>
    <xf numFmtId="38" fontId="4" fillId="0" borderId="16" xfId="0" applyNumberFormat="1" applyFont="1" applyBorder="1" applyProtection="1">
      <alignment vertical="center"/>
      <protection locked="0"/>
    </xf>
    <xf numFmtId="167" fontId="4" fillId="0" borderId="16" xfId="10" applyNumberFormat="1" applyFont="1" applyBorder="1" applyAlignment="1" applyProtection="1">
      <alignment horizontal="right" vertical="center"/>
      <protection locked="0"/>
    </xf>
    <xf numFmtId="38" fontId="4" fillId="0" borderId="38" xfId="0" applyNumberFormat="1" applyFont="1" applyBorder="1" applyProtection="1">
      <alignment vertical="center"/>
      <protection locked="0"/>
    </xf>
    <xf numFmtId="0" fontId="4" fillId="0" borderId="35" xfId="10" applyFont="1" applyBorder="1" applyAlignment="1" applyProtection="1">
      <alignment horizontal="center" vertical="center"/>
      <protection locked="0"/>
    </xf>
    <xf numFmtId="0" fontId="4" fillId="0" borderId="35" xfId="10" applyFont="1" applyBorder="1" applyAlignment="1" applyProtection="1">
      <alignment horizontal="left" vertical="center"/>
      <protection locked="0"/>
    </xf>
    <xf numFmtId="0" fontId="4" fillId="0" borderId="12" xfId="10" applyFont="1" applyBorder="1" applyAlignment="1">
      <alignment horizontal="center" vertical="center"/>
    </xf>
    <xf numFmtId="0" fontId="4" fillId="0" borderId="37" xfId="10" applyFont="1" applyBorder="1" applyAlignment="1">
      <alignment horizontal="center" vertical="center"/>
    </xf>
    <xf numFmtId="0" fontId="4" fillId="0" borderId="2" xfId="10" applyFont="1" applyBorder="1" applyAlignment="1" applyProtection="1">
      <alignment horizontal="left" vertical="center"/>
      <protection locked="0"/>
    </xf>
    <xf numFmtId="167" fontId="4" fillId="0" borderId="22" xfId="10" applyNumberFormat="1" applyFont="1" applyBorder="1" applyAlignment="1" applyProtection="1">
      <alignment horizontal="right" vertical="center"/>
      <protection locked="0"/>
    </xf>
    <xf numFmtId="0" fontId="4" fillId="4" borderId="12" xfId="10" applyFont="1" applyFill="1" applyBorder="1" applyAlignment="1">
      <alignment horizontal="center" vertical="center"/>
    </xf>
    <xf numFmtId="0" fontId="4" fillId="4" borderId="16" xfId="10" applyFont="1" applyFill="1" applyBorder="1" applyAlignment="1" applyProtection="1">
      <alignment horizontal="left" vertical="center"/>
      <protection locked="0"/>
    </xf>
    <xf numFmtId="0" fontId="4" fillId="4" borderId="0" xfId="10" applyFont="1" applyFill="1" applyProtection="1">
      <protection locked="0"/>
    </xf>
    <xf numFmtId="0" fontId="4" fillId="4" borderId="37" xfId="10" applyFont="1" applyFill="1" applyBorder="1" applyAlignment="1">
      <alignment horizontal="center" vertical="center"/>
    </xf>
    <xf numFmtId="0" fontId="4" fillId="4" borderId="2" xfId="10" applyFont="1" applyFill="1" applyBorder="1" applyAlignment="1" applyProtection="1">
      <alignment horizontal="left" vertical="center"/>
      <protection locked="0"/>
    </xf>
    <xf numFmtId="0" fontId="4" fillId="0" borderId="27" xfId="10" applyFont="1" applyBorder="1" applyAlignment="1">
      <alignment horizontal="center" vertical="center"/>
    </xf>
    <xf numFmtId="0" fontId="4" fillId="0" borderId="22" xfId="10" applyFont="1" applyBorder="1" applyAlignment="1">
      <alignment horizontal="center" vertical="center"/>
    </xf>
    <xf numFmtId="0" fontId="4" fillId="10" borderId="27" xfId="10" applyFont="1" applyFill="1" applyBorder="1" applyAlignment="1">
      <alignment horizontal="center" vertical="center"/>
    </xf>
    <xf numFmtId="0" fontId="4" fillId="10" borderId="16" xfId="10" applyFont="1" applyFill="1" applyBorder="1" applyAlignment="1" applyProtection="1">
      <alignment horizontal="left" vertical="center"/>
      <protection locked="0"/>
    </xf>
    <xf numFmtId="167" fontId="4" fillId="10" borderId="16" xfId="10" applyNumberFormat="1" applyFont="1" applyFill="1" applyBorder="1" applyAlignment="1" applyProtection="1">
      <alignment horizontal="right" vertical="center"/>
      <protection locked="0"/>
    </xf>
    <xf numFmtId="0" fontId="4" fillId="10" borderId="22" xfId="10" applyFont="1" applyFill="1" applyBorder="1" applyAlignment="1">
      <alignment horizontal="center" vertical="center"/>
    </xf>
    <xf numFmtId="0" fontId="4" fillId="10" borderId="2" xfId="10" applyFont="1" applyFill="1" applyBorder="1" applyAlignment="1" applyProtection="1">
      <alignment horizontal="left" vertical="center"/>
      <protection locked="0"/>
    </xf>
    <xf numFmtId="167" fontId="4" fillId="10" borderId="22" xfId="10" applyNumberFormat="1" applyFont="1" applyFill="1" applyBorder="1" applyAlignment="1" applyProtection="1">
      <alignment horizontal="right" vertical="center"/>
      <protection locked="0"/>
    </xf>
    <xf numFmtId="0" fontId="13" fillId="0" borderId="22" xfId="10" applyFont="1" applyBorder="1" applyAlignment="1">
      <alignment horizontal="center" vertical="center"/>
    </xf>
    <xf numFmtId="0" fontId="4" fillId="4" borderId="27" xfId="10" applyFont="1" applyFill="1" applyBorder="1" applyAlignment="1">
      <alignment horizontal="center" vertical="center"/>
    </xf>
    <xf numFmtId="0" fontId="4" fillId="4" borderId="22" xfId="10" applyFont="1" applyFill="1" applyBorder="1" applyAlignment="1">
      <alignment horizontal="center" vertical="center"/>
    </xf>
    <xf numFmtId="0" fontId="4" fillId="12" borderId="27" xfId="10" applyFont="1" applyFill="1" applyBorder="1" applyAlignment="1">
      <alignment horizontal="center" vertical="center"/>
    </xf>
    <xf numFmtId="0" fontId="4" fillId="12" borderId="16" xfId="10" applyFont="1" applyFill="1" applyBorder="1" applyAlignment="1" applyProtection="1">
      <alignment horizontal="left" vertical="center"/>
      <protection locked="0"/>
    </xf>
    <xf numFmtId="167" fontId="4" fillId="12" borderId="16" xfId="10" applyNumberFormat="1" applyFont="1" applyFill="1" applyBorder="1" applyAlignment="1" applyProtection="1">
      <alignment horizontal="right" vertical="center"/>
      <protection locked="0"/>
    </xf>
    <xf numFmtId="0" fontId="4" fillId="12" borderId="22" xfId="10" applyFont="1" applyFill="1" applyBorder="1" applyAlignment="1">
      <alignment horizontal="center" vertical="center"/>
    </xf>
    <xf numFmtId="0" fontId="4" fillId="12" borderId="2" xfId="10" applyFont="1" applyFill="1" applyBorder="1" applyAlignment="1" applyProtection="1">
      <alignment horizontal="left" vertical="center"/>
      <protection locked="0"/>
    </xf>
    <xf numFmtId="167" fontId="4" fillId="12" borderId="22" xfId="10" applyNumberFormat="1" applyFont="1" applyFill="1" applyBorder="1" applyAlignment="1" applyProtection="1">
      <alignment horizontal="right" vertical="center"/>
      <protection locked="0"/>
    </xf>
    <xf numFmtId="0" fontId="4" fillId="0" borderId="16" xfId="10" applyFont="1" applyBorder="1" applyAlignment="1">
      <alignment horizontal="center" vertical="center"/>
    </xf>
    <xf numFmtId="0" fontId="4" fillId="0" borderId="36" xfId="10" applyFont="1" applyBorder="1" applyAlignment="1" applyProtection="1">
      <alignment horizontal="left" vertical="center"/>
      <protection locked="0"/>
    </xf>
    <xf numFmtId="0" fontId="4" fillId="0" borderId="4" xfId="10" applyFont="1" applyBorder="1" applyAlignment="1" applyProtection="1">
      <alignment horizontal="left" vertical="center"/>
      <protection locked="0"/>
    </xf>
    <xf numFmtId="0" fontId="4" fillId="0" borderId="39" xfId="10" applyFont="1" applyBorder="1" applyAlignment="1">
      <alignment horizontal="center" vertical="center"/>
    </xf>
    <xf numFmtId="168" fontId="4" fillId="0" borderId="22" xfId="11" applyNumberFormat="1" applyFont="1" applyFill="1" applyBorder="1" applyAlignment="1" applyProtection="1">
      <alignment vertical="center"/>
      <protection locked="0"/>
    </xf>
    <xf numFmtId="0" fontId="4" fillId="0" borderId="30" xfId="10" applyFont="1" applyBorder="1" applyAlignment="1" applyProtection="1">
      <alignment horizontal="center" vertical="center"/>
      <protection locked="0"/>
    </xf>
    <xf numFmtId="168" fontId="4" fillId="0" borderId="16" xfId="11" applyNumberFormat="1" applyFont="1" applyFill="1" applyBorder="1" applyAlignment="1" applyProtection="1">
      <alignment vertical="center"/>
      <protection locked="0"/>
    </xf>
    <xf numFmtId="167" fontId="4" fillId="0" borderId="0" xfId="10" applyNumberFormat="1" applyFont="1" applyProtection="1">
      <protection locked="0"/>
    </xf>
    <xf numFmtId="0" fontId="4" fillId="0" borderId="0" xfId="10" applyFont="1" applyAlignment="1" applyProtection="1">
      <alignment horizontal="center"/>
      <protection locked="0"/>
    </xf>
    <xf numFmtId="0" fontId="4" fillId="0" borderId="0" xfId="10" applyFont="1" applyBorder="1" applyAlignment="1" applyProtection="1">
      <alignment horizontal="center" vertical="center"/>
      <protection locked="0"/>
    </xf>
    <xf numFmtId="0" fontId="17" fillId="0" borderId="0" xfId="10" applyFont="1" applyAlignment="1" applyProtection="1">
      <alignment horizontal="center" vertical="center"/>
      <protection locked="0"/>
    </xf>
    <xf numFmtId="0" fontId="17" fillId="0" borderId="0" xfId="10" applyFont="1" applyAlignment="1" applyProtection="1">
      <alignment horizontal="left" vertical="center"/>
      <protection locked="0"/>
    </xf>
    <xf numFmtId="0" fontId="4" fillId="0" borderId="0" xfId="0" applyFont="1" applyAlignment="1" applyProtection="1">
      <protection locked="0"/>
    </xf>
    <xf numFmtId="0" fontId="4" fillId="0" borderId="27" xfId="10" applyFont="1" applyBorder="1" applyAlignment="1" applyProtection="1">
      <alignment horizontal="left" vertical="center"/>
      <protection locked="0"/>
    </xf>
    <xf numFmtId="40" fontId="4" fillId="0" borderId="16" xfId="10" applyNumberFormat="1" applyFont="1" applyBorder="1" applyAlignment="1" applyProtection="1">
      <alignment vertical="center"/>
      <protection locked="0"/>
    </xf>
    <xf numFmtId="0" fontId="4" fillId="0" borderId="33" xfId="10" applyFont="1" applyBorder="1" applyAlignment="1" applyProtection="1">
      <alignment horizontal="left" vertical="center"/>
      <protection locked="0"/>
    </xf>
    <xf numFmtId="40" fontId="4" fillId="0" borderId="38" xfId="10" applyNumberFormat="1" applyFont="1" applyBorder="1" applyAlignment="1" applyProtection="1">
      <alignment vertical="center"/>
      <protection locked="0"/>
    </xf>
    <xf numFmtId="0" fontId="4" fillId="0" borderId="34" xfId="10" applyFont="1" applyBorder="1" applyAlignment="1" applyProtection="1">
      <alignment horizontal="center" vertical="center"/>
      <protection locked="0"/>
    </xf>
    <xf numFmtId="40" fontId="4" fillId="0" borderId="35" xfId="10" applyNumberFormat="1" applyFont="1" applyBorder="1" applyAlignment="1" applyProtection="1">
      <alignment vertical="center"/>
      <protection locked="0"/>
    </xf>
    <xf numFmtId="165" fontId="4" fillId="0" borderId="36" xfId="10" applyNumberFormat="1" applyFont="1" applyBorder="1" applyAlignment="1" applyProtection="1">
      <alignment horizontal="right" vertical="center"/>
      <protection locked="0"/>
    </xf>
    <xf numFmtId="165" fontId="4" fillId="0" borderId="2" xfId="10" applyNumberFormat="1" applyFont="1" applyBorder="1" applyAlignment="1" applyProtection="1">
      <alignment horizontal="right" vertical="center"/>
      <protection locked="0"/>
    </xf>
    <xf numFmtId="0" fontId="4" fillId="10" borderId="12" xfId="10" applyFont="1" applyFill="1" applyBorder="1" applyAlignment="1">
      <alignment horizontal="center" vertical="center"/>
    </xf>
    <xf numFmtId="0" fontId="4" fillId="11" borderId="27" xfId="10" applyFont="1" applyFill="1" applyBorder="1" applyAlignment="1">
      <alignment horizontal="center" vertical="center"/>
    </xf>
    <xf numFmtId="0" fontId="4" fillId="11" borderId="16" xfId="10" applyFont="1" applyFill="1" applyBorder="1" applyAlignment="1" applyProtection="1">
      <alignment horizontal="left" vertical="center"/>
      <protection locked="0"/>
    </xf>
    <xf numFmtId="0" fontId="4" fillId="11" borderId="22" xfId="10" applyFont="1" applyFill="1" applyBorder="1" applyAlignment="1">
      <alignment horizontal="center" vertical="center"/>
    </xf>
    <xf numFmtId="0" fontId="4" fillId="11" borderId="2" xfId="10" applyFont="1" applyFill="1" applyBorder="1" applyAlignment="1" applyProtection="1">
      <alignment horizontal="left" vertical="center"/>
      <protection locked="0"/>
    </xf>
    <xf numFmtId="166" fontId="4" fillId="0" borderId="16" xfId="10" applyNumberFormat="1" applyFont="1" applyBorder="1" applyAlignment="1">
      <alignment horizontal="center" vertical="center"/>
    </xf>
    <xf numFmtId="166" fontId="4" fillId="0" borderId="36" xfId="10" applyNumberFormat="1" applyFont="1" applyBorder="1" applyAlignment="1" applyProtection="1">
      <alignment horizontal="left" vertical="center"/>
      <protection locked="0"/>
    </xf>
    <xf numFmtId="40" fontId="4" fillId="0" borderId="16" xfId="11" applyNumberFormat="1" applyFont="1" applyFill="1" applyBorder="1" applyAlignment="1" applyProtection="1">
      <alignment vertical="center"/>
      <protection locked="0"/>
    </xf>
    <xf numFmtId="40" fontId="4" fillId="0" borderId="37" xfId="11" applyNumberFormat="1" applyFont="1" applyFill="1" applyBorder="1" applyAlignment="1" applyProtection="1">
      <alignment vertical="center"/>
      <protection locked="0"/>
    </xf>
    <xf numFmtId="40" fontId="4" fillId="0" borderId="0" xfId="10" applyNumberFormat="1" applyFont="1" applyProtection="1">
      <protection locked="0"/>
    </xf>
    <xf numFmtId="0" fontId="16" fillId="4" borderId="0" xfId="0" applyFont="1" applyFill="1" applyAlignment="1" applyProtection="1">
      <protection locked="0"/>
    </xf>
    <xf numFmtId="3" fontId="16" fillId="0" borderId="0" xfId="0" applyNumberFormat="1" applyFont="1" applyAlignment="1" applyProtection="1">
      <protection locked="0"/>
    </xf>
    <xf numFmtId="38" fontId="18" fillId="0" borderId="0" xfId="0" applyNumberFormat="1" applyFont="1" applyAlignment="1" applyProtection="1">
      <protection locked="0"/>
    </xf>
    <xf numFmtId="0" fontId="19" fillId="0" borderId="0" xfId="10" applyFont="1" applyProtection="1">
      <protection locked="0"/>
    </xf>
    <xf numFmtId="0" fontId="19" fillId="0" borderId="0" xfId="10" applyFont="1" applyAlignment="1" applyProtection="1">
      <alignment horizontal="center" vertical="center"/>
      <protection locked="0"/>
    </xf>
    <xf numFmtId="0" fontId="19" fillId="0" borderId="0" xfId="10" applyFont="1" applyAlignment="1" applyProtection="1">
      <alignment horizontal="left" vertical="center"/>
      <protection locked="0"/>
    </xf>
    <xf numFmtId="0" fontId="19" fillId="0" borderId="0" xfId="10" applyFont="1" applyAlignment="1" applyProtection="1">
      <alignment horizontal="right" vertical="center"/>
      <protection locked="0"/>
    </xf>
    <xf numFmtId="0" fontId="20" fillId="0" borderId="0" xfId="10" applyFont="1" applyAlignment="1" applyProtection="1">
      <alignment horizontal="left" vertical="center"/>
      <protection locked="0"/>
    </xf>
    <xf numFmtId="0" fontId="20" fillId="0" borderId="0" xfId="10" applyFont="1" applyProtection="1">
      <protection locked="0"/>
    </xf>
    <xf numFmtId="0" fontId="20" fillId="0" borderId="27" xfId="10" applyFont="1" applyBorder="1" applyAlignment="1" applyProtection="1">
      <alignment horizontal="left" vertical="center"/>
      <protection locked="0"/>
    </xf>
    <xf numFmtId="40" fontId="20" fillId="0" borderId="16" xfId="10" applyNumberFormat="1" applyFont="1" applyBorder="1" applyAlignment="1" applyProtection="1">
      <alignment vertical="center"/>
      <protection locked="0"/>
    </xf>
    <xf numFmtId="40" fontId="20" fillId="0" borderId="0" xfId="10" applyNumberFormat="1" applyFont="1" applyProtection="1">
      <protection locked="0"/>
    </xf>
    <xf numFmtId="0" fontId="20" fillId="0" borderId="33" xfId="10" applyFont="1" applyBorder="1" applyAlignment="1" applyProtection="1">
      <alignment horizontal="left" vertical="center"/>
      <protection locked="0"/>
    </xf>
    <xf numFmtId="0" fontId="20" fillId="0" borderId="34" xfId="10" applyFont="1" applyBorder="1" applyAlignment="1" applyProtection="1">
      <alignment horizontal="center" vertical="center"/>
      <protection locked="0"/>
    </xf>
    <xf numFmtId="0" fontId="20" fillId="0" borderId="35" xfId="10" applyFont="1" applyBorder="1" applyAlignment="1" applyProtection="1">
      <alignment horizontal="center" vertical="center"/>
      <protection locked="0"/>
    </xf>
    <xf numFmtId="0" fontId="20" fillId="0" borderId="35" xfId="10" applyFont="1" applyBorder="1" applyAlignment="1" applyProtection="1">
      <alignment horizontal="left" vertical="center"/>
      <protection locked="0"/>
    </xf>
    <xf numFmtId="40" fontId="20" fillId="0" borderId="35" xfId="10" applyNumberFormat="1" applyFont="1" applyBorder="1" applyAlignment="1" applyProtection="1">
      <alignment vertical="center"/>
      <protection locked="0"/>
    </xf>
    <xf numFmtId="0" fontId="20" fillId="0" borderId="12" xfId="10" applyFont="1" applyBorder="1" applyAlignment="1">
      <alignment horizontal="center" vertical="center"/>
    </xf>
    <xf numFmtId="0" fontId="20" fillId="0" borderId="16" xfId="10" applyFont="1" applyBorder="1" applyAlignment="1" applyProtection="1">
      <alignment horizontal="left" vertical="center"/>
      <protection locked="0"/>
    </xf>
    <xf numFmtId="0" fontId="20" fillId="0" borderId="37" xfId="10" applyFont="1" applyBorder="1" applyAlignment="1">
      <alignment horizontal="center" vertical="center"/>
    </xf>
    <xf numFmtId="0" fontId="20" fillId="0" borderId="2" xfId="10" applyFont="1" applyBorder="1" applyAlignment="1" applyProtection="1">
      <alignment horizontal="left" vertical="center"/>
      <protection locked="0"/>
    </xf>
    <xf numFmtId="0" fontId="20" fillId="4" borderId="12" xfId="10" applyFont="1" applyFill="1" applyBorder="1" applyAlignment="1">
      <alignment horizontal="center" vertical="center"/>
    </xf>
    <xf numFmtId="0" fontId="20" fillId="4" borderId="16" xfId="10" applyFont="1" applyFill="1" applyBorder="1" applyAlignment="1" applyProtection="1">
      <alignment horizontal="left" vertical="center"/>
      <protection locked="0"/>
    </xf>
    <xf numFmtId="0" fontId="20" fillId="4" borderId="0" xfId="10" applyFont="1" applyFill="1" applyProtection="1">
      <protection locked="0"/>
    </xf>
    <xf numFmtId="0" fontId="20" fillId="4" borderId="37" xfId="10" applyFont="1" applyFill="1" applyBorder="1" applyAlignment="1">
      <alignment horizontal="center" vertical="center"/>
    </xf>
    <xf numFmtId="0" fontId="20" fillId="4" borderId="2" xfId="10" applyFont="1" applyFill="1" applyBorder="1" applyAlignment="1" applyProtection="1">
      <alignment horizontal="left" vertical="center"/>
      <protection locked="0"/>
    </xf>
    <xf numFmtId="0" fontId="20" fillId="0" borderId="27" xfId="10" applyFont="1" applyBorder="1" applyAlignment="1">
      <alignment horizontal="center" vertical="center"/>
    </xf>
    <xf numFmtId="0" fontId="20" fillId="0" borderId="22" xfId="10" applyFont="1" applyBorder="1" applyAlignment="1">
      <alignment horizontal="center" vertical="center"/>
    </xf>
    <xf numFmtId="0" fontId="20" fillId="10" borderId="27" xfId="10" applyFont="1" applyFill="1" applyBorder="1" applyAlignment="1">
      <alignment horizontal="center" vertical="center"/>
    </xf>
    <xf numFmtId="0" fontId="20" fillId="10" borderId="16" xfId="10" applyFont="1" applyFill="1" applyBorder="1" applyAlignment="1" applyProtection="1">
      <alignment horizontal="left" vertical="center"/>
      <protection locked="0"/>
    </xf>
    <xf numFmtId="0" fontId="20" fillId="10" borderId="22" xfId="10" applyFont="1" applyFill="1" applyBorder="1" applyAlignment="1">
      <alignment horizontal="center" vertical="center"/>
    </xf>
    <xf numFmtId="0" fontId="20" fillId="10" borderId="2" xfId="10" applyFont="1" applyFill="1" applyBorder="1" applyAlignment="1" applyProtection="1">
      <alignment horizontal="left" vertical="center"/>
      <protection locked="0"/>
    </xf>
    <xf numFmtId="0" fontId="20" fillId="11" borderId="27" xfId="10" applyFont="1" applyFill="1" applyBorder="1" applyAlignment="1">
      <alignment horizontal="center" vertical="center"/>
    </xf>
    <xf numFmtId="0" fontId="20" fillId="11" borderId="16" xfId="10" applyFont="1" applyFill="1" applyBorder="1" applyAlignment="1" applyProtection="1">
      <alignment horizontal="left" vertical="center"/>
      <protection locked="0"/>
    </xf>
    <xf numFmtId="0" fontId="20" fillId="11" borderId="22" xfId="10" applyFont="1" applyFill="1" applyBorder="1" applyAlignment="1">
      <alignment horizontal="center" vertical="center"/>
    </xf>
    <xf numFmtId="0" fontId="20" fillId="11" borderId="2" xfId="10" applyFont="1" applyFill="1" applyBorder="1" applyAlignment="1" applyProtection="1">
      <alignment horizontal="left" vertical="center"/>
      <protection locked="0"/>
    </xf>
    <xf numFmtId="0" fontId="20" fillId="4" borderId="27" xfId="10" applyFont="1" applyFill="1" applyBorder="1" applyAlignment="1">
      <alignment horizontal="center" vertical="center"/>
    </xf>
    <xf numFmtId="0" fontId="20" fillId="4" borderId="22" xfId="10" applyFont="1" applyFill="1" applyBorder="1" applyAlignment="1">
      <alignment horizontal="center" vertical="center"/>
    </xf>
    <xf numFmtId="0" fontId="20" fillId="12" borderId="27" xfId="10" applyFont="1" applyFill="1" applyBorder="1" applyAlignment="1">
      <alignment horizontal="center" vertical="center"/>
    </xf>
    <xf numFmtId="0" fontId="20" fillId="12" borderId="16" xfId="10" applyFont="1" applyFill="1" applyBorder="1" applyAlignment="1" applyProtection="1">
      <alignment horizontal="left" vertical="center"/>
      <protection locked="0"/>
    </xf>
    <xf numFmtId="0" fontId="20" fillId="12" borderId="22" xfId="10" applyFont="1" applyFill="1" applyBorder="1" applyAlignment="1">
      <alignment horizontal="center" vertical="center"/>
    </xf>
    <xf numFmtId="0" fontId="20" fillId="12" borderId="2" xfId="10" applyFont="1" applyFill="1" applyBorder="1" applyAlignment="1" applyProtection="1">
      <alignment horizontal="left" vertical="center"/>
      <protection locked="0"/>
    </xf>
    <xf numFmtId="166" fontId="20" fillId="12" borderId="16" xfId="10" applyNumberFormat="1" applyFont="1" applyFill="1" applyBorder="1" applyAlignment="1">
      <alignment horizontal="center" vertical="center"/>
    </xf>
    <xf numFmtId="166" fontId="20" fillId="12" borderId="36" xfId="10" applyNumberFormat="1" applyFont="1" applyFill="1" applyBorder="1" applyAlignment="1" applyProtection="1">
      <alignment horizontal="left" vertical="center"/>
      <protection locked="0"/>
    </xf>
    <xf numFmtId="0" fontId="20" fillId="12" borderId="37" xfId="10" applyFont="1" applyFill="1" applyBorder="1" applyAlignment="1">
      <alignment horizontal="center" vertical="center"/>
    </xf>
    <xf numFmtId="0" fontId="20" fillId="12" borderId="4" xfId="10" applyFont="1" applyFill="1" applyBorder="1" applyAlignment="1" applyProtection="1">
      <alignment horizontal="left" vertical="center"/>
      <protection locked="0"/>
    </xf>
    <xf numFmtId="166" fontId="20" fillId="0" borderId="16" xfId="10" applyNumberFormat="1" applyFont="1" applyBorder="1" applyAlignment="1">
      <alignment horizontal="center" vertical="center"/>
    </xf>
    <xf numFmtId="166" fontId="20" fillId="0" borderId="36" xfId="10" applyNumberFormat="1" applyFont="1" applyBorder="1" applyAlignment="1" applyProtection="1">
      <alignment horizontal="left" vertical="center"/>
      <protection locked="0"/>
    </xf>
    <xf numFmtId="0" fontId="20" fillId="0" borderId="4" xfId="10" applyFont="1" applyBorder="1" applyAlignment="1" applyProtection="1">
      <alignment horizontal="left" vertical="center"/>
      <protection locked="0"/>
    </xf>
    <xf numFmtId="0" fontId="20" fillId="0" borderId="9" xfId="10" applyFont="1" applyBorder="1" applyAlignment="1">
      <alignment horizontal="center" vertical="center"/>
    </xf>
    <xf numFmtId="0" fontId="4" fillId="4" borderId="5" xfId="0" applyFont="1" applyFill="1" applyBorder="1" applyAlignment="1" applyProtection="1">
      <alignment horizont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left" vertical="center"/>
      <protection locked="0"/>
    </xf>
    <xf numFmtId="0" fontId="4" fillId="0" borderId="33" xfId="0" applyFont="1" applyBorder="1" applyAlignment="1" applyProtection="1">
      <alignment horizontal="left" vertical="center"/>
      <protection locked="0"/>
    </xf>
    <xf numFmtId="3" fontId="0" fillId="0" borderId="0" xfId="0" applyNumberFormat="1">
      <alignment vertical="center"/>
    </xf>
    <xf numFmtId="38" fontId="0" fillId="0" borderId="0" xfId="1" applyFont="1" applyFill="1">
      <alignment vertical="center"/>
    </xf>
    <xf numFmtId="0" fontId="21" fillId="0" borderId="0" xfId="0" applyFont="1">
      <alignment vertical="center"/>
    </xf>
    <xf numFmtId="38" fontId="0" fillId="0" borderId="0" xfId="1" applyFont="1">
      <alignment vertical="center"/>
    </xf>
    <xf numFmtId="3" fontId="13" fillId="0" borderId="0" xfId="0" applyNumberFormat="1" applyFont="1">
      <alignment vertical="center"/>
    </xf>
    <xf numFmtId="3" fontId="13" fillId="0" borderId="0" xfId="1" applyNumberFormat="1" applyFont="1" applyFill="1">
      <alignment vertical="center"/>
    </xf>
    <xf numFmtId="38" fontId="13" fillId="0" borderId="0" xfId="1" applyFont="1" applyFill="1">
      <alignment vertical="center"/>
    </xf>
    <xf numFmtId="38" fontId="13" fillId="0" borderId="0" xfId="1" applyFont="1" applyFill="1" applyBorder="1" applyAlignment="1">
      <alignment horizontal="center" vertical="center"/>
    </xf>
    <xf numFmtId="38" fontId="15" fillId="0" borderId="4" xfId="1" applyFont="1" applyFill="1" applyBorder="1" applyAlignment="1">
      <alignment horizontal="center" vertical="center"/>
    </xf>
    <xf numFmtId="0" fontId="13" fillId="13" borderId="40" xfId="0" applyFont="1" applyFill="1" applyBorder="1" applyAlignment="1">
      <alignment horizontal="center" vertical="center"/>
    </xf>
    <xf numFmtId="0" fontId="13" fillId="13" borderId="14" xfId="0" applyFont="1" applyFill="1" applyBorder="1" applyAlignment="1">
      <alignment horizontal="center" vertical="center"/>
    </xf>
    <xf numFmtId="38" fontId="13" fillId="0" borderId="12" xfId="1" applyFont="1" applyFill="1" applyBorder="1" applyAlignment="1">
      <alignment horizontal="center" vertical="center"/>
    </xf>
    <xf numFmtId="38" fontId="13" fillId="0" borderId="30" xfId="1" applyFont="1" applyFill="1" applyBorder="1" applyAlignment="1">
      <alignment horizontal="center" vertical="center"/>
    </xf>
    <xf numFmtId="38" fontId="15" fillId="0" borderId="31" xfId="1" applyFont="1" applyFill="1" applyBorder="1" applyAlignment="1">
      <alignment horizontal="center" vertical="center"/>
    </xf>
    <xf numFmtId="0" fontId="13" fillId="0" borderId="39" xfId="0" applyFont="1" applyBorder="1" applyAlignment="1">
      <alignment horizontal="center" vertical="center"/>
    </xf>
    <xf numFmtId="0" fontId="13" fillId="0" borderId="41" xfId="0" applyFont="1" applyBorder="1" applyAlignment="1">
      <alignment horizontal="right" vertical="center"/>
    </xf>
    <xf numFmtId="38" fontId="13" fillId="0" borderId="4" xfId="1" applyFont="1" applyFill="1" applyBorder="1">
      <alignment vertical="center"/>
    </xf>
    <xf numFmtId="38" fontId="4" fillId="13" borderId="40" xfId="1" applyFont="1" applyFill="1" applyBorder="1">
      <alignment vertical="center"/>
    </xf>
    <xf numFmtId="38" fontId="15" fillId="13" borderId="14" xfId="1" applyFont="1" applyFill="1" applyBorder="1">
      <alignment vertical="center"/>
    </xf>
    <xf numFmtId="38" fontId="13" fillId="14" borderId="10" xfId="1" applyFont="1" applyFill="1" applyBorder="1" applyAlignment="1">
      <alignment horizontal="center" vertical="center"/>
    </xf>
    <xf numFmtId="38" fontId="13" fillId="0" borderId="10" xfId="1" applyFont="1" applyFill="1" applyBorder="1" applyAlignment="1">
      <alignment horizontal="center" vertical="center"/>
    </xf>
    <xf numFmtId="3" fontId="13" fillId="13" borderId="8" xfId="0" applyNumberFormat="1" applyFont="1" applyFill="1" applyBorder="1">
      <alignment vertical="center"/>
    </xf>
    <xf numFmtId="0" fontId="13" fillId="13" borderId="15" xfId="0" applyFont="1" applyFill="1" applyBorder="1">
      <alignment vertical="center"/>
    </xf>
    <xf numFmtId="10" fontId="13" fillId="0" borderId="42" xfId="7" applyNumberFormat="1" applyFont="1" applyFill="1" applyBorder="1">
      <alignment vertical="center"/>
    </xf>
    <xf numFmtId="38" fontId="13" fillId="14" borderId="43" xfId="1" applyFont="1" applyFill="1" applyBorder="1">
      <alignment vertical="center"/>
    </xf>
    <xf numFmtId="10" fontId="13" fillId="0" borderId="43" xfId="7" applyNumberFormat="1" applyFont="1" applyFill="1" applyBorder="1">
      <alignment vertical="center"/>
    </xf>
    <xf numFmtId="38" fontId="13" fillId="13" borderId="44" xfId="1" applyFont="1" applyFill="1" applyBorder="1">
      <alignment vertical="center"/>
    </xf>
    <xf numFmtId="38" fontId="13" fillId="13" borderId="45" xfId="1" applyFont="1" applyFill="1" applyBorder="1">
      <alignment vertical="center"/>
    </xf>
    <xf numFmtId="10" fontId="13" fillId="0" borderId="46" xfId="7" applyNumberFormat="1" applyFont="1" applyFill="1" applyBorder="1">
      <alignment vertical="center"/>
    </xf>
    <xf numFmtId="10" fontId="15" fillId="0" borderId="46" xfId="7" applyNumberFormat="1" applyFont="1" applyFill="1" applyBorder="1">
      <alignment vertical="center"/>
    </xf>
    <xf numFmtId="38" fontId="15" fillId="13" borderId="44" xfId="1" applyFont="1" applyFill="1" applyBorder="1">
      <alignment vertical="center"/>
    </xf>
    <xf numFmtId="10" fontId="22" fillId="0" borderId="46" xfId="7" applyNumberFormat="1" applyFont="1" applyFill="1" applyBorder="1">
      <alignment vertical="center"/>
    </xf>
    <xf numFmtId="38" fontId="22" fillId="13" borderId="44" xfId="1" applyFont="1" applyFill="1" applyBorder="1">
      <alignment vertical="center"/>
    </xf>
    <xf numFmtId="10" fontId="13" fillId="5" borderId="46" xfId="7" applyNumberFormat="1" applyFont="1" applyFill="1" applyBorder="1">
      <alignment vertical="center"/>
    </xf>
    <xf numFmtId="38" fontId="13" fillId="5" borderId="43" xfId="1" applyFont="1" applyFill="1" applyBorder="1">
      <alignment vertical="center"/>
    </xf>
    <xf numFmtId="10" fontId="13" fillId="5" borderId="43" xfId="7" applyNumberFormat="1" applyFont="1" applyFill="1" applyBorder="1">
      <alignment vertical="center"/>
    </xf>
    <xf numFmtId="38" fontId="13" fillId="5" borderId="44" xfId="1" applyFont="1" applyFill="1" applyBorder="1">
      <alignment vertical="center"/>
    </xf>
    <xf numFmtId="38" fontId="13" fillId="5" borderId="45" xfId="1" applyFont="1" applyFill="1" applyBorder="1">
      <alignment vertical="center"/>
    </xf>
    <xf numFmtId="10" fontId="4" fillId="5" borderId="46" xfId="7" applyNumberFormat="1" applyFont="1" applyFill="1" applyBorder="1">
      <alignment vertical="center"/>
    </xf>
    <xf numFmtId="38" fontId="4" fillId="5" borderId="44" xfId="1" applyFont="1" applyFill="1" applyBorder="1">
      <alignment vertical="center"/>
    </xf>
    <xf numFmtId="10" fontId="13" fillId="2" borderId="46" xfId="7" applyNumberFormat="1" applyFont="1" applyFill="1" applyBorder="1">
      <alignment vertical="center"/>
    </xf>
    <xf numFmtId="38" fontId="13" fillId="2" borderId="43" xfId="1" applyFont="1" applyFill="1" applyBorder="1">
      <alignment vertical="center"/>
    </xf>
    <xf numFmtId="10" fontId="13" fillId="2" borderId="43" xfId="7" applyNumberFormat="1" applyFont="1" applyFill="1" applyBorder="1">
      <alignment vertical="center"/>
    </xf>
    <xf numFmtId="38" fontId="13" fillId="2" borderId="44" xfId="1" applyFont="1" applyFill="1" applyBorder="1">
      <alignment vertical="center"/>
    </xf>
    <xf numFmtId="38" fontId="13" fillId="2" borderId="45" xfId="1" applyFont="1" applyFill="1" applyBorder="1">
      <alignment vertical="center"/>
    </xf>
    <xf numFmtId="10" fontId="13" fillId="0" borderId="47" xfId="7" applyNumberFormat="1" applyFont="1" applyFill="1" applyBorder="1">
      <alignment vertical="center"/>
    </xf>
    <xf numFmtId="38" fontId="13" fillId="13" borderId="40" xfId="1" applyFont="1" applyFill="1" applyBorder="1">
      <alignment vertical="center"/>
    </xf>
    <xf numFmtId="10" fontId="13" fillId="0" borderId="37" xfId="0" applyNumberFormat="1" applyFont="1" applyBorder="1">
      <alignment vertical="center"/>
    </xf>
    <xf numFmtId="38" fontId="13" fillId="14" borderId="5" xfId="1" applyFont="1" applyFill="1" applyBorder="1">
      <alignment vertical="center"/>
    </xf>
    <xf numFmtId="10" fontId="13" fillId="0" borderId="1" xfId="7" applyNumberFormat="1" applyFont="1" applyFill="1" applyBorder="1">
      <alignment vertical="center"/>
    </xf>
    <xf numFmtId="38" fontId="13" fillId="13" borderId="5" xfId="0" applyNumberFormat="1" applyFont="1" applyFill="1" applyBorder="1">
      <alignment vertical="center"/>
    </xf>
    <xf numFmtId="38" fontId="13" fillId="0" borderId="0" xfId="1" applyFont="1">
      <alignment vertical="center"/>
    </xf>
    <xf numFmtId="38" fontId="13" fillId="0" borderId="1" xfId="0" applyNumberFormat="1" applyFont="1" applyBorder="1" applyAlignment="1">
      <alignment horizontal="center" vertical="center"/>
    </xf>
    <xf numFmtId="38" fontId="15" fillId="13" borderId="40" xfId="1" applyFont="1" applyFill="1" applyBorder="1">
      <alignment vertical="center"/>
    </xf>
    <xf numFmtId="0" fontId="20" fillId="0" borderId="5" xfId="10" applyFont="1" applyBorder="1" applyAlignment="1" applyProtection="1">
      <alignment horizontal="center" vertical="center"/>
      <protection locked="0"/>
    </xf>
    <xf numFmtId="165" fontId="20" fillId="0" borderId="48" xfId="10" applyNumberFormat="1" applyFont="1" applyBorder="1" applyAlignment="1" applyProtection="1">
      <alignment horizontal="right" vertical="center"/>
      <protection locked="0"/>
    </xf>
    <xf numFmtId="165" fontId="20" fillId="0" borderId="16" xfId="10" applyNumberFormat="1" applyFont="1" applyBorder="1" applyAlignment="1" applyProtection="1">
      <alignment horizontal="right" vertical="center"/>
      <protection locked="0"/>
    </xf>
    <xf numFmtId="165" fontId="20" fillId="0" borderId="22" xfId="10" applyNumberFormat="1" applyFont="1" applyBorder="1" applyAlignment="1" applyProtection="1">
      <alignment horizontal="right" vertical="center"/>
      <protection locked="0"/>
    </xf>
    <xf numFmtId="167" fontId="4" fillId="11" borderId="16" xfId="10" applyNumberFormat="1" applyFont="1" applyFill="1" applyBorder="1" applyAlignment="1" applyProtection="1">
      <alignment horizontal="right" vertical="center"/>
      <protection locked="0"/>
    </xf>
    <xf numFmtId="167" fontId="4" fillId="11" borderId="22" xfId="10" applyNumberFormat="1" applyFont="1" applyFill="1" applyBorder="1" applyAlignment="1" applyProtection="1">
      <alignment horizontal="right" vertical="center"/>
      <protection locked="0"/>
    </xf>
    <xf numFmtId="40" fontId="20" fillId="0" borderId="27" xfId="10" applyNumberFormat="1" applyFont="1" applyBorder="1" applyAlignment="1" applyProtection="1">
      <alignment vertical="center"/>
      <protection locked="0"/>
    </xf>
    <xf numFmtId="10" fontId="13" fillId="3" borderId="5" xfId="7" applyNumberFormat="1" applyFont="1" applyFill="1" applyBorder="1">
      <alignment vertical="center"/>
    </xf>
    <xf numFmtId="10" fontId="13" fillId="7" borderId="5" xfId="7" applyNumberFormat="1" applyFont="1" applyFill="1" applyBorder="1">
      <alignment vertical="center"/>
    </xf>
    <xf numFmtId="40" fontId="4" fillId="3" borderId="26" xfId="1" applyNumberFormat="1" applyFont="1" applyFill="1" applyBorder="1">
      <alignment vertical="center"/>
    </xf>
    <xf numFmtId="40" fontId="4" fillId="3" borderId="46" xfId="1" applyNumberFormat="1" applyFont="1" applyFill="1" applyBorder="1">
      <alignment vertical="center"/>
    </xf>
    <xf numFmtId="40" fontId="4" fillId="7" borderId="46" xfId="1" applyNumberFormat="1" applyFont="1" applyFill="1" applyBorder="1">
      <alignment vertical="center"/>
    </xf>
    <xf numFmtId="40" fontId="4" fillId="3" borderId="49" xfId="0" applyNumberFormat="1" applyFont="1" applyFill="1" applyBorder="1">
      <alignment vertical="center"/>
    </xf>
    <xf numFmtId="164" fontId="13" fillId="3" borderId="49" xfId="0" applyNumberFormat="1" applyFont="1" applyFill="1" applyBorder="1" applyAlignment="1">
      <alignment horizontal="center" vertical="center"/>
    </xf>
    <xf numFmtId="40" fontId="4" fillId="3" borderId="23" xfId="1" applyNumberFormat="1" applyFont="1" applyFill="1" applyBorder="1">
      <alignment vertical="center"/>
    </xf>
    <xf numFmtId="40" fontId="4" fillId="3" borderId="50" xfId="0" applyNumberFormat="1" applyFont="1" applyFill="1" applyBorder="1">
      <alignment vertical="center"/>
    </xf>
    <xf numFmtId="169" fontId="20" fillId="13" borderId="12" xfId="10" quotePrefix="1" applyNumberFormat="1" applyFont="1" applyFill="1" applyBorder="1" applyAlignment="1" applyProtection="1">
      <alignment horizontal="center" vertical="center" wrapText="1"/>
      <protection locked="0"/>
    </xf>
    <xf numFmtId="169" fontId="20" fillId="7" borderId="12" xfId="10" quotePrefix="1" applyNumberFormat="1" applyFont="1" applyFill="1" applyBorder="1" applyAlignment="1" applyProtection="1">
      <alignment horizontal="center" vertical="center" wrapText="1"/>
      <protection locked="0"/>
    </xf>
    <xf numFmtId="165" fontId="20" fillId="10" borderId="16" xfId="10" applyNumberFormat="1" applyFont="1" applyFill="1" applyBorder="1" applyAlignment="1" applyProtection="1">
      <alignment horizontal="right" vertical="center"/>
      <protection locked="0"/>
    </xf>
    <xf numFmtId="165" fontId="20" fillId="10" borderId="48" xfId="10" applyNumberFormat="1" applyFont="1" applyFill="1" applyBorder="1" applyAlignment="1" applyProtection="1">
      <alignment horizontal="right" vertical="center"/>
      <protection locked="0"/>
    </xf>
    <xf numFmtId="165" fontId="20" fillId="11" borderId="16" xfId="10" applyNumberFormat="1" applyFont="1" applyFill="1" applyBorder="1" applyAlignment="1" applyProtection="1">
      <alignment horizontal="right" vertical="center"/>
      <protection locked="0"/>
    </xf>
    <xf numFmtId="165" fontId="20" fillId="11" borderId="48" xfId="10" applyNumberFormat="1" applyFont="1" applyFill="1" applyBorder="1" applyAlignment="1" applyProtection="1">
      <alignment horizontal="right" vertical="center"/>
      <protection locked="0"/>
    </xf>
    <xf numFmtId="165" fontId="20" fillId="12" borderId="16" xfId="10" applyNumberFormat="1" applyFont="1" applyFill="1" applyBorder="1" applyAlignment="1" applyProtection="1">
      <alignment horizontal="right" vertical="center"/>
      <protection locked="0"/>
    </xf>
    <xf numFmtId="165" fontId="20" fillId="12" borderId="48" xfId="10" applyNumberFormat="1" applyFont="1" applyFill="1" applyBorder="1" applyAlignment="1" applyProtection="1">
      <alignment horizontal="right" vertical="center"/>
      <protection locked="0"/>
    </xf>
    <xf numFmtId="165" fontId="4" fillId="12" borderId="36" xfId="10" applyNumberFormat="1" applyFont="1" applyFill="1" applyBorder="1" applyAlignment="1" applyProtection="1">
      <alignment horizontal="right" vertical="center"/>
      <protection locked="0"/>
    </xf>
    <xf numFmtId="165" fontId="4" fillId="12" borderId="2" xfId="10" applyNumberFormat="1" applyFont="1" applyFill="1" applyBorder="1" applyAlignment="1" applyProtection="1">
      <alignment horizontal="right" vertical="center"/>
      <protection locked="0"/>
    </xf>
    <xf numFmtId="165" fontId="4" fillId="11" borderId="36" xfId="10" applyNumberFormat="1" applyFont="1" applyFill="1" applyBorder="1" applyAlignment="1" applyProtection="1">
      <alignment horizontal="right" vertical="center"/>
      <protection locked="0"/>
    </xf>
    <xf numFmtId="165" fontId="4" fillId="11" borderId="2" xfId="10" applyNumberFormat="1" applyFont="1" applyFill="1" applyBorder="1" applyAlignment="1" applyProtection="1">
      <alignment horizontal="right" vertical="center"/>
      <protection locked="0"/>
    </xf>
    <xf numFmtId="165" fontId="4" fillId="10" borderId="36" xfId="10" applyNumberFormat="1" applyFont="1" applyFill="1" applyBorder="1" applyAlignment="1" applyProtection="1">
      <alignment horizontal="right" vertical="center"/>
      <protection locked="0"/>
    </xf>
    <xf numFmtId="165" fontId="4" fillId="10" borderId="2" xfId="10" applyNumberFormat="1" applyFont="1" applyFill="1" applyBorder="1" applyAlignment="1" applyProtection="1">
      <alignment horizontal="right" vertical="center"/>
      <protection locked="0"/>
    </xf>
    <xf numFmtId="0" fontId="13" fillId="16" borderId="19" xfId="0" applyFont="1" applyFill="1" applyBorder="1">
      <alignment vertical="center"/>
    </xf>
    <xf numFmtId="0" fontId="4" fillId="16" borderId="19" xfId="0" applyFont="1" applyFill="1" applyBorder="1">
      <alignment vertical="center"/>
    </xf>
    <xf numFmtId="10" fontId="13" fillId="16" borderId="46" xfId="7" applyNumberFormat="1" applyFont="1" applyFill="1" applyBorder="1">
      <alignment vertical="center"/>
    </xf>
    <xf numFmtId="38" fontId="13" fillId="16" borderId="43" xfId="1" applyFont="1" applyFill="1" applyBorder="1">
      <alignment vertical="center"/>
    </xf>
    <xf numFmtId="10" fontId="13" fillId="16" borderId="43" xfId="7" applyNumberFormat="1" applyFont="1" applyFill="1" applyBorder="1">
      <alignment vertical="center"/>
    </xf>
    <xf numFmtId="38" fontId="13" fillId="16" borderId="44" xfId="1" applyFont="1" applyFill="1" applyBorder="1">
      <alignment vertical="center"/>
    </xf>
    <xf numFmtId="38" fontId="13" fillId="16" borderId="45" xfId="1" applyFont="1" applyFill="1" applyBorder="1">
      <alignment vertical="center"/>
    </xf>
    <xf numFmtId="0" fontId="20" fillId="16" borderId="27" xfId="10" applyFont="1" applyFill="1" applyBorder="1" applyAlignment="1">
      <alignment horizontal="center" vertical="center"/>
    </xf>
    <xf numFmtId="0" fontId="20" fillId="16" borderId="16" xfId="10" applyFont="1" applyFill="1" applyBorder="1" applyAlignment="1" applyProtection="1">
      <alignment horizontal="left" vertical="center"/>
      <protection locked="0"/>
    </xf>
    <xf numFmtId="165" fontId="20" fillId="16" borderId="16" xfId="10" applyNumberFormat="1" applyFont="1" applyFill="1" applyBorder="1" applyAlignment="1" applyProtection="1">
      <alignment horizontal="right" vertical="center"/>
      <protection locked="0"/>
    </xf>
    <xf numFmtId="0" fontId="20" fillId="16" borderId="22" xfId="10" applyFont="1" applyFill="1" applyBorder="1" applyAlignment="1">
      <alignment horizontal="center" vertical="center"/>
    </xf>
    <xf numFmtId="0" fontId="20" fillId="16" borderId="2" xfId="10" applyFont="1" applyFill="1" applyBorder="1" applyAlignment="1" applyProtection="1">
      <alignment horizontal="left" vertical="center"/>
      <protection locked="0"/>
    </xf>
    <xf numFmtId="165" fontId="20" fillId="16" borderId="48" xfId="10" applyNumberFormat="1" applyFont="1" applyFill="1" applyBorder="1" applyAlignment="1" applyProtection="1">
      <alignment horizontal="right" vertical="center"/>
      <protection locked="0"/>
    </xf>
    <xf numFmtId="0" fontId="4" fillId="17" borderId="27" xfId="10" applyFont="1" applyFill="1" applyBorder="1" applyAlignment="1">
      <alignment horizontal="center" vertical="center"/>
    </xf>
    <xf numFmtId="0" fontId="4" fillId="17" borderId="16" xfId="10" applyFont="1" applyFill="1" applyBorder="1" applyAlignment="1" applyProtection="1">
      <alignment horizontal="left" vertical="center"/>
      <protection locked="0"/>
    </xf>
    <xf numFmtId="165" fontId="4" fillId="17" borderId="36" xfId="10" applyNumberFormat="1" applyFont="1" applyFill="1" applyBorder="1" applyAlignment="1" applyProtection="1">
      <alignment horizontal="right" vertical="center"/>
      <protection locked="0"/>
    </xf>
    <xf numFmtId="0" fontId="4" fillId="17" borderId="22" xfId="10" applyFont="1" applyFill="1" applyBorder="1" applyAlignment="1">
      <alignment horizontal="center" vertical="center"/>
    </xf>
    <xf numFmtId="0" fontId="4" fillId="17" borderId="2" xfId="10" applyFont="1" applyFill="1" applyBorder="1" applyAlignment="1" applyProtection="1">
      <alignment horizontal="left" vertical="center"/>
      <protection locked="0"/>
    </xf>
    <xf numFmtId="165" fontId="4" fillId="17" borderId="2" xfId="10" applyNumberFormat="1" applyFont="1" applyFill="1" applyBorder="1" applyAlignment="1" applyProtection="1">
      <alignment horizontal="right" vertical="center"/>
      <protection locked="0"/>
    </xf>
    <xf numFmtId="167" fontId="4" fillId="17" borderId="16" xfId="10" applyNumberFormat="1" applyFont="1" applyFill="1" applyBorder="1" applyAlignment="1" applyProtection="1">
      <alignment horizontal="right" vertical="center"/>
      <protection locked="0"/>
    </xf>
    <xf numFmtId="167" fontId="4" fillId="17" borderId="22" xfId="10" applyNumberFormat="1" applyFont="1" applyFill="1" applyBorder="1" applyAlignment="1" applyProtection="1">
      <alignment horizontal="right" vertical="center"/>
      <protection locked="0"/>
    </xf>
    <xf numFmtId="0" fontId="13" fillId="18" borderId="19" xfId="0" applyFont="1" applyFill="1" applyBorder="1">
      <alignment vertical="center"/>
    </xf>
    <xf numFmtId="0" fontId="4" fillId="18" borderId="19" xfId="0" applyFont="1" applyFill="1" applyBorder="1">
      <alignment vertical="center"/>
    </xf>
    <xf numFmtId="10" fontId="13" fillId="18" borderId="46" xfId="7" applyNumberFormat="1" applyFont="1" applyFill="1" applyBorder="1">
      <alignment vertical="center"/>
    </xf>
    <xf numFmtId="38" fontId="13" fillId="18" borderId="43" xfId="1" applyFont="1" applyFill="1" applyBorder="1">
      <alignment vertical="center"/>
    </xf>
    <xf numFmtId="10" fontId="13" fillId="18" borderId="43" xfId="7" applyNumberFormat="1" applyFont="1" applyFill="1" applyBorder="1">
      <alignment vertical="center"/>
    </xf>
    <xf numFmtId="38" fontId="13" fillId="18" borderId="44" xfId="1" applyFont="1" applyFill="1" applyBorder="1">
      <alignment vertical="center"/>
    </xf>
    <xf numFmtId="38" fontId="13" fillId="18" borderId="45" xfId="1" applyFont="1" applyFill="1" applyBorder="1">
      <alignment vertical="center"/>
    </xf>
    <xf numFmtId="0" fontId="4" fillId="16" borderId="27" xfId="10" applyFont="1" applyFill="1" applyBorder="1" applyAlignment="1">
      <alignment horizontal="center" vertical="center"/>
    </xf>
    <xf numFmtId="0" fontId="4" fillId="16" borderId="16" xfId="10" applyFont="1" applyFill="1" applyBorder="1" applyAlignment="1" applyProtection="1">
      <alignment horizontal="left" vertical="center"/>
      <protection locked="0"/>
    </xf>
    <xf numFmtId="165" fontId="4" fillId="16" borderId="36" xfId="10" applyNumberFormat="1" applyFont="1" applyFill="1" applyBorder="1" applyAlignment="1" applyProtection="1">
      <alignment horizontal="right" vertical="center"/>
      <protection locked="0"/>
    </xf>
    <xf numFmtId="0" fontId="4" fillId="16" borderId="22" xfId="10" applyFont="1" applyFill="1" applyBorder="1" applyAlignment="1">
      <alignment horizontal="center" vertical="center"/>
    </xf>
    <xf numFmtId="0" fontId="4" fillId="16" borderId="2" xfId="10" applyFont="1" applyFill="1" applyBorder="1" applyAlignment="1" applyProtection="1">
      <alignment horizontal="left" vertical="center"/>
      <protection locked="0"/>
    </xf>
    <xf numFmtId="165" fontId="4" fillId="16" borderId="2" xfId="10" applyNumberFormat="1" applyFont="1" applyFill="1" applyBorder="1" applyAlignment="1" applyProtection="1">
      <alignment horizontal="right" vertical="center"/>
      <protection locked="0"/>
    </xf>
    <xf numFmtId="167" fontId="4" fillId="16" borderId="16" xfId="10" applyNumberFormat="1" applyFont="1" applyFill="1" applyBorder="1" applyAlignment="1" applyProtection="1">
      <alignment horizontal="right" vertical="center"/>
      <protection locked="0"/>
    </xf>
    <xf numFmtId="167" fontId="4" fillId="16" borderId="22" xfId="10" applyNumberFormat="1" applyFont="1" applyFill="1" applyBorder="1" applyAlignment="1" applyProtection="1">
      <alignment horizontal="right" vertical="center"/>
      <protection locked="0"/>
    </xf>
    <xf numFmtId="10" fontId="13" fillId="3" borderId="0" xfId="0" applyNumberFormat="1" applyFont="1" applyFill="1">
      <alignment vertical="center"/>
    </xf>
    <xf numFmtId="0" fontId="13" fillId="19" borderId="19" xfId="0" applyFont="1" applyFill="1" applyBorder="1">
      <alignment vertical="center"/>
    </xf>
    <xf numFmtId="0" fontId="4" fillId="19" borderId="19" xfId="0" applyFont="1" applyFill="1" applyBorder="1">
      <alignment vertical="center"/>
    </xf>
    <xf numFmtId="10" fontId="13" fillId="19" borderId="26" xfId="7" applyNumberFormat="1" applyFont="1" applyFill="1" applyBorder="1">
      <alignment vertical="center"/>
    </xf>
    <xf numFmtId="40" fontId="4" fillId="19" borderId="20" xfId="1" applyNumberFormat="1" applyFont="1" applyFill="1" applyBorder="1">
      <alignment vertical="center"/>
    </xf>
    <xf numFmtId="40" fontId="4" fillId="19" borderId="21" xfId="1" applyNumberFormat="1" applyFont="1" applyFill="1" applyBorder="1">
      <alignment vertical="center"/>
    </xf>
    <xf numFmtId="40" fontId="4" fillId="19" borderId="46" xfId="1" applyNumberFormat="1" applyFont="1" applyFill="1" applyBorder="1">
      <alignment vertical="center"/>
    </xf>
    <xf numFmtId="10" fontId="13" fillId="19" borderId="5" xfId="7" applyNumberFormat="1" applyFont="1" applyFill="1" applyBorder="1">
      <alignment vertical="center"/>
    </xf>
    <xf numFmtId="10" fontId="13" fillId="19" borderId="17" xfId="7" applyNumberFormat="1" applyFont="1" applyFill="1" applyBorder="1">
      <alignment vertical="center"/>
    </xf>
    <xf numFmtId="0" fontId="13" fillId="12" borderId="19" xfId="0" applyFont="1" applyFill="1" applyBorder="1">
      <alignment vertical="center"/>
    </xf>
    <xf numFmtId="0" fontId="4" fillId="12" borderId="19" xfId="0" applyFont="1" applyFill="1" applyBorder="1">
      <alignment vertical="center"/>
    </xf>
    <xf numFmtId="10" fontId="13" fillId="12" borderId="17" xfId="7" applyNumberFormat="1" applyFont="1" applyFill="1" applyBorder="1">
      <alignment vertical="center"/>
    </xf>
    <xf numFmtId="40" fontId="4" fillId="12" borderId="20" xfId="1" applyNumberFormat="1" applyFont="1" applyFill="1" applyBorder="1">
      <alignment vertical="center"/>
    </xf>
    <xf numFmtId="40" fontId="4" fillId="12" borderId="21" xfId="1" applyNumberFormat="1" applyFont="1" applyFill="1" applyBorder="1">
      <alignment vertical="center"/>
    </xf>
    <xf numFmtId="40" fontId="4" fillId="12" borderId="46" xfId="1" applyNumberFormat="1" applyFont="1" applyFill="1" applyBorder="1">
      <alignment vertical="center"/>
    </xf>
    <xf numFmtId="10" fontId="13" fillId="12" borderId="5" xfId="7" applyNumberFormat="1" applyFont="1" applyFill="1" applyBorder="1">
      <alignment vertical="center"/>
    </xf>
    <xf numFmtId="0" fontId="13" fillId="17" borderId="19" xfId="0" applyFont="1" applyFill="1" applyBorder="1">
      <alignment vertical="center"/>
    </xf>
    <xf numFmtId="0" fontId="4" fillId="17" borderId="19" xfId="0" applyFont="1" applyFill="1" applyBorder="1">
      <alignment vertical="center"/>
    </xf>
    <xf numFmtId="10" fontId="13" fillId="17" borderId="17" xfId="7" applyNumberFormat="1" applyFont="1" applyFill="1" applyBorder="1">
      <alignment vertical="center"/>
    </xf>
    <xf numFmtId="40" fontId="4" fillId="17" borderId="20" xfId="1" applyNumberFormat="1" applyFont="1" applyFill="1" applyBorder="1">
      <alignment vertical="center"/>
    </xf>
    <xf numFmtId="40" fontId="4" fillId="17" borderId="21" xfId="1" applyNumberFormat="1" applyFont="1" applyFill="1" applyBorder="1">
      <alignment vertical="center"/>
    </xf>
    <xf numFmtId="40" fontId="4" fillId="17" borderId="46" xfId="1" applyNumberFormat="1" applyFont="1" applyFill="1" applyBorder="1">
      <alignment vertical="center"/>
    </xf>
    <xf numFmtId="10" fontId="13" fillId="17" borderId="5" xfId="7" applyNumberFormat="1" applyFont="1" applyFill="1" applyBorder="1">
      <alignment vertical="center"/>
    </xf>
    <xf numFmtId="0" fontId="20" fillId="0" borderId="30" xfId="10" applyFont="1" applyBorder="1" applyAlignment="1" applyProtection="1">
      <alignment horizontal="center" vertical="center"/>
      <protection locked="0"/>
    </xf>
    <xf numFmtId="0" fontId="20" fillId="0" borderId="31" xfId="10" applyFont="1" applyBorder="1" applyAlignment="1" applyProtection="1">
      <alignment horizontal="center" vertical="center"/>
      <protection locked="0"/>
    </xf>
    <xf numFmtId="0" fontId="20" fillId="0" borderId="1" xfId="10" applyFont="1" applyBorder="1" applyAlignment="1" applyProtection="1">
      <alignment horizontal="center" vertical="center"/>
      <protection locked="0"/>
    </xf>
    <xf numFmtId="0" fontId="20" fillId="0" borderId="2" xfId="10" applyFont="1" applyBorder="1" applyAlignment="1" applyProtection="1">
      <alignment horizontal="center" vertical="center"/>
      <protection locked="0"/>
    </xf>
    <xf numFmtId="0" fontId="20" fillId="0" borderId="12" xfId="10" applyFont="1" applyBorder="1" applyAlignment="1" applyProtection="1">
      <alignment horizontal="center" vertical="center"/>
      <protection locked="0"/>
    </xf>
    <xf numFmtId="0" fontId="20" fillId="0" borderId="37" xfId="10" applyFont="1" applyBorder="1" applyAlignment="1" applyProtection="1">
      <alignment horizontal="center" vertical="center"/>
      <protection locked="0"/>
    </xf>
    <xf numFmtId="0" fontId="20" fillId="12" borderId="12" xfId="10" applyFont="1" applyFill="1" applyBorder="1" applyAlignment="1" applyProtection="1">
      <alignment horizontal="center" vertical="center"/>
      <protection locked="0"/>
    </xf>
    <xf numFmtId="0" fontId="20" fillId="12" borderId="37" xfId="10" applyFont="1" applyFill="1" applyBorder="1" applyAlignment="1" applyProtection="1">
      <alignment horizontal="center" vertical="center"/>
      <protection locked="0"/>
    </xf>
    <xf numFmtId="0" fontId="20" fillId="16" borderId="12" xfId="10" applyFont="1" applyFill="1" applyBorder="1" applyAlignment="1" applyProtection="1">
      <alignment horizontal="center" vertical="center"/>
      <protection locked="0"/>
    </xf>
    <xf numFmtId="0" fontId="20" fillId="16" borderId="37" xfId="10" applyFont="1" applyFill="1" applyBorder="1" applyAlignment="1" applyProtection="1">
      <alignment horizontal="center" vertical="center"/>
      <protection locked="0"/>
    </xf>
    <xf numFmtId="0" fontId="20" fillId="11" borderId="12" xfId="10" applyFont="1" applyFill="1" applyBorder="1" applyAlignment="1" applyProtection="1">
      <alignment horizontal="center" vertical="center"/>
      <protection locked="0"/>
    </xf>
    <xf numFmtId="0" fontId="20" fillId="11" borderId="37" xfId="10" applyFont="1" applyFill="1" applyBorder="1" applyAlignment="1" applyProtection="1">
      <alignment horizontal="center" vertical="center"/>
      <protection locked="0"/>
    </xf>
    <xf numFmtId="0" fontId="20" fillId="4" borderId="12" xfId="10" applyFont="1" applyFill="1" applyBorder="1" applyAlignment="1" applyProtection="1">
      <alignment horizontal="center" vertical="center"/>
      <protection locked="0"/>
    </xf>
    <xf numFmtId="0" fontId="20" fillId="4" borderId="37" xfId="10" applyFont="1" applyFill="1" applyBorder="1" applyAlignment="1" applyProtection="1">
      <alignment horizontal="center" vertical="center"/>
      <protection locked="0"/>
    </xf>
    <xf numFmtId="0" fontId="20" fillId="0" borderId="5" xfId="10" applyFont="1" applyBorder="1" applyAlignment="1" applyProtection="1">
      <alignment horizontal="center" vertical="center"/>
      <protection locked="0"/>
    </xf>
    <xf numFmtId="0" fontId="20" fillId="0" borderId="32" xfId="10" applyFont="1" applyBorder="1" applyAlignment="1" applyProtection="1">
      <alignment horizontal="center" vertical="center"/>
      <protection locked="0"/>
    </xf>
    <xf numFmtId="0" fontId="20" fillId="4" borderId="5" xfId="10" applyFont="1" applyFill="1" applyBorder="1" applyAlignment="1" applyProtection="1">
      <alignment horizontal="center" vertical="center"/>
      <protection locked="0"/>
    </xf>
    <xf numFmtId="0" fontId="4" fillId="0" borderId="30" xfId="10" applyFont="1" applyBorder="1" applyAlignment="1" applyProtection="1">
      <alignment horizontal="center" vertical="center"/>
      <protection locked="0"/>
    </xf>
    <xf numFmtId="0" fontId="4" fillId="0" borderId="31" xfId="10" applyFont="1" applyBorder="1" applyAlignment="1" applyProtection="1">
      <alignment horizontal="center" vertical="center"/>
      <protection locked="0"/>
    </xf>
    <xf numFmtId="0" fontId="4" fillId="0" borderId="1" xfId="10" applyFont="1" applyBorder="1" applyAlignment="1" applyProtection="1">
      <alignment horizontal="center" vertical="center"/>
      <protection locked="0"/>
    </xf>
    <xf numFmtId="0" fontId="4" fillId="0" borderId="2" xfId="10" applyFont="1" applyBorder="1" applyAlignment="1" applyProtection="1">
      <alignment horizontal="center" vertical="center"/>
      <protection locked="0"/>
    </xf>
    <xf numFmtId="0" fontId="4" fillId="0" borderId="12" xfId="10" applyFont="1" applyBorder="1" applyAlignment="1" applyProtection="1">
      <alignment horizontal="center" vertical="center"/>
      <protection locked="0"/>
    </xf>
    <xf numFmtId="0" fontId="4" fillId="0" borderId="37" xfId="10" applyFont="1" applyBorder="1" applyAlignment="1" applyProtection="1">
      <alignment horizontal="center" vertical="center"/>
      <protection locked="0"/>
    </xf>
    <xf numFmtId="0" fontId="4" fillId="17" borderId="12" xfId="10" applyFont="1" applyFill="1" applyBorder="1" applyAlignment="1" applyProtection="1">
      <alignment horizontal="center" vertical="center"/>
      <protection locked="0"/>
    </xf>
    <xf numFmtId="0" fontId="4" fillId="17" borderId="37" xfId="10" applyFont="1" applyFill="1" applyBorder="1" applyAlignment="1" applyProtection="1">
      <alignment horizontal="center" vertical="center"/>
      <protection locked="0"/>
    </xf>
    <xf numFmtId="0" fontId="4" fillId="11" borderId="12" xfId="10" applyFont="1" applyFill="1" applyBorder="1" applyAlignment="1" applyProtection="1">
      <alignment horizontal="center" vertical="center"/>
      <protection locked="0"/>
    </xf>
    <xf numFmtId="0" fontId="4" fillId="11" borderId="37" xfId="10" applyFont="1" applyFill="1" applyBorder="1" applyAlignment="1" applyProtection="1">
      <alignment horizontal="center" vertical="center"/>
      <protection locked="0"/>
    </xf>
    <xf numFmtId="0" fontId="4" fillId="4" borderId="12" xfId="10" applyFont="1" applyFill="1" applyBorder="1" applyAlignment="1" applyProtection="1">
      <alignment horizontal="center" vertical="center"/>
      <protection locked="0"/>
    </xf>
    <xf numFmtId="0" fontId="4" fillId="4" borderId="37" xfId="10" applyFont="1" applyFill="1" applyBorder="1" applyAlignment="1" applyProtection="1">
      <alignment horizontal="center" vertical="center"/>
      <protection locked="0"/>
    </xf>
    <xf numFmtId="0" fontId="4" fillId="0" borderId="5" xfId="10" applyFont="1" applyBorder="1" applyAlignment="1" applyProtection="1">
      <alignment horizontal="center" vertical="center"/>
      <protection locked="0"/>
    </xf>
    <xf numFmtId="0" fontId="4" fillId="0" borderId="32" xfId="10" applyFont="1" applyBorder="1" applyAlignment="1" applyProtection="1">
      <alignment horizontal="center" vertical="center"/>
      <protection locked="0"/>
    </xf>
    <xf numFmtId="0" fontId="4" fillId="4" borderId="5" xfId="10" applyFont="1" applyFill="1" applyBorder="1" applyAlignment="1" applyProtection="1">
      <alignment horizontal="center" vertical="center"/>
      <protection locked="0"/>
    </xf>
    <xf numFmtId="0" fontId="4" fillId="4" borderId="5" xfId="0" applyFont="1" applyFill="1" applyBorder="1" applyAlignment="1" applyProtection="1">
      <alignment horizontal="center"/>
      <protection locked="0"/>
    </xf>
    <xf numFmtId="0" fontId="4" fillId="4" borderId="32" xfId="0" applyFont="1" applyFill="1" applyBorder="1" applyAlignment="1" applyProtection="1">
      <alignment horizont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32" xfId="0" applyFont="1" applyBorder="1" applyAlignment="1" applyProtection="1">
      <alignment horizontal="center" vertical="center"/>
      <protection locked="0"/>
    </xf>
    <xf numFmtId="0" fontId="4" fillId="11" borderId="5" xfId="10" applyFont="1" applyFill="1" applyBorder="1" applyAlignment="1" applyProtection="1">
      <alignment horizontal="center" vertical="center"/>
      <protection locked="0"/>
    </xf>
    <xf numFmtId="170" fontId="12" fillId="9" borderId="29" xfId="9" applyNumberFormat="1" applyFont="1" applyFill="1" applyBorder="1" applyAlignment="1">
      <alignment horizontal="center"/>
    </xf>
    <xf numFmtId="170" fontId="12" fillId="9" borderId="2" xfId="9" applyNumberFormat="1" applyFont="1" applyFill="1" applyBorder="1" applyAlignment="1">
      <alignment horizontal="center"/>
    </xf>
    <xf numFmtId="170" fontId="24" fillId="6" borderId="10" xfId="0" applyNumberFormat="1" applyFont="1" applyFill="1" applyBorder="1" applyAlignment="1">
      <alignment horizontal="center" vertical="center"/>
    </xf>
    <xf numFmtId="170" fontId="24" fillId="6" borderId="11" xfId="0" applyNumberFormat="1" applyFont="1" applyFill="1" applyBorder="1" applyAlignment="1">
      <alignment horizontal="center" vertical="center"/>
    </xf>
    <xf numFmtId="170" fontId="24" fillId="15" borderId="10" xfId="0" applyNumberFormat="1" applyFont="1" applyFill="1" applyBorder="1" applyAlignment="1">
      <alignment horizontal="center" vertical="center"/>
    </xf>
    <xf numFmtId="170" fontId="24" fillId="15" borderId="11" xfId="0" applyNumberFormat="1" applyFont="1" applyFill="1" applyBorder="1" applyAlignment="1">
      <alignment horizontal="center" vertical="center"/>
    </xf>
  </cellXfs>
  <cellStyles count="12">
    <cellStyle name="Comma [0]" xfId="1" builtinId="6"/>
    <cellStyle name="Comma [0] 2" xfId="11" xr:uid="{7F5BE46C-B752-4B30-A76A-9604DF6ED4CF}"/>
    <cellStyle name="Comma [0] 2 2" xfId="9" xr:uid="{A621490B-64AE-4871-AE40-C4B02739E80E}"/>
    <cellStyle name="Normal" xfId="0" builtinId="0"/>
    <cellStyle name="Normal 2" xfId="8" xr:uid="{00000000-0005-0000-0000-000003000000}"/>
    <cellStyle name="Normal 3" xfId="10" xr:uid="{53C15D3F-9D20-4F66-A3A3-77B5DD99C643}"/>
    <cellStyle name="Percent" xfId="7" builtinId="5"/>
    <cellStyle name="桁区切り [0.00] 2" xfId="5" xr:uid="{00000000-0005-0000-0000-000005000000}"/>
    <cellStyle name="桁区切り 2" xfId="4" xr:uid="{00000000-0005-0000-0000-000006000000}"/>
    <cellStyle name="桁区切り 2 2" xfId="6" xr:uid="{00000000-0005-0000-0000-000007000000}"/>
    <cellStyle name="標準 2" xfId="2" xr:uid="{00000000-0005-0000-0000-000008000000}"/>
    <cellStyle name="標準_KMHK新フォーム_20050724" xfId="3" xr:uid="{00000000-0005-0000-0000-000009000000}"/>
  </cellStyles>
  <dxfs count="0"/>
  <tableStyles count="1" defaultTableStyle="TableStyleMedium2" defaultPivotStyle="PivotStyleLight16">
    <tableStyle name="Invisible" pivot="0" table="0" count="0" xr9:uid="{09BE8AB2-A946-4E61-A5F0-87D6DBEC797C}"/>
  </tableStyles>
  <colors>
    <mruColors>
      <color rgb="FFFFCCFF"/>
      <color rgb="FF00FF99"/>
      <color rgb="FFDA3BFF"/>
      <color rgb="FFCC00FF"/>
      <color rgb="FFFF99CC"/>
      <color rgb="FF66FF66"/>
      <color rgb="FFFFFFCC"/>
      <color rgb="FFBFEE90"/>
      <color rgb="FF97E4FF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TVN01\Data\temp\morita\&#24341;&#32153;&#12366;\&#26085;&#26412;&#20154;&#32102;&#19982;\SAL-HK2004.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-square.kdtvn.local/temp/morita/&#24341;&#32153;&#12366;/&#26085;&#26412;&#20154;&#32102;&#19982;/SAL-HK2004.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tvn01\Data\temp\morita\&#24341;&#32153;&#12366;\&#26085;&#26412;&#20154;&#32102;&#19982;\SAL-HK2004.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tvn01\Data\temp\morita\&#24341;&#32153;&#12366;\&#26085;&#26412;&#20154;&#32102;&#19982;\SAL-HK2005.0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-square.kdtvn.local/temp/morita/&#24341;&#32153;&#12366;/&#26085;&#26412;&#20154;&#32102;&#19982;/SAL-HK2005.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-square.kdtvn.local/temp/morita/&#24341;&#32153;&#12366;/&#26085;&#26412;&#20154;&#32102;&#19982;/SAL-HK2004.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C所得税是正"/>
      <sheetName val="中国勤務交通費（1）"/>
      <sheetName val="Adjustment"/>
      <sheetName val="Adjustment (2)"/>
      <sheetName val="Adjustment (3)"/>
      <sheetName val="SALＡRY"/>
      <sheetName val="Drum訂正"/>
      <sheetName val="Transfer Slip-HK POSTAGE"/>
      <sheetName val="Transfer Slip-HK"/>
      <sheetName val="Transfer Slip-JPN"/>
      <sheetName val="Transfer Slip-JPN (2)"/>
      <sheetName val="Transfer Slip-rent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C所得税是正"/>
      <sheetName val="中国勤務交通費（1）"/>
      <sheetName val="Adjustment"/>
      <sheetName val="Adjustment (2)"/>
      <sheetName val="Adjustment (3)"/>
      <sheetName val="SALＡRY"/>
      <sheetName val="Drum訂正"/>
      <sheetName val="Transfer Slip-HK POSTAGE"/>
      <sheetName val="Transfer Slip-HK"/>
      <sheetName val="Transfer Slip-JPN"/>
      <sheetName val="Transfer Slip-JPN (2)"/>
      <sheetName val="Transfer Slip-rent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C所得税是正"/>
      <sheetName val="中国勤務交通費（1）"/>
      <sheetName val="Adjustment"/>
      <sheetName val="Adjustment (2)"/>
      <sheetName val="Adjustment (3)"/>
      <sheetName val="SALＡRY"/>
      <sheetName val="Drum訂正"/>
      <sheetName val="Transfer Slip-HK POSTAGE"/>
      <sheetName val="Transfer Slip-HK"/>
      <sheetName val="Transfer Slip-JPN"/>
      <sheetName val="Transfer Slip-JPN (2)"/>
      <sheetName val="Transfer Slip-rental"/>
      <sheetName val="Adjustment_(2)"/>
      <sheetName val="Adjustment_(3)"/>
      <sheetName val="Transfer_Slip-HK_POSTAGE"/>
      <sheetName val="Transfer_Slip-HK"/>
      <sheetName val="Transfer_Slip-JPN"/>
      <sheetName val="Transfer_Slip-JPN_(2)"/>
      <sheetName val="Transfer_Slip-ren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C所得税是正"/>
      <sheetName val="中国勤務交通費（1）"/>
      <sheetName val="Adjustment"/>
      <sheetName val="Adjustment (2)"/>
      <sheetName val="Adjustment (3)"/>
      <sheetName val="Adjustment (4)"/>
      <sheetName val="Adjustment (5)"/>
      <sheetName val="Adjustment (6)"/>
      <sheetName val="SALＡRY"/>
      <sheetName val="Transfer Slip-HK POSTAGE"/>
      <sheetName val="Transfer Slip-HK"/>
      <sheetName val="Transfer Slip-JPN"/>
      <sheetName val="Transfer Slip-JPN (2)"/>
      <sheetName val="Transfer Slip-rental"/>
      <sheetName val="Adjustment_(2)"/>
      <sheetName val="Adjustment_(3)"/>
      <sheetName val="Adjustment_(4)"/>
      <sheetName val="Adjustment_(5)"/>
      <sheetName val="Adjustment_(6)"/>
      <sheetName val="Transfer_Slip-HK_POSTAGE"/>
      <sheetName val="Transfer_Slip-HK"/>
      <sheetName val="Transfer_Slip-JPN"/>
      <sheetName val="Transfer_Slip-JPN_(2)"/>
      <sheetName val="Transfer_Slip-ren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C所得税是正"/>
      <sheetName val="中国勤務交通費（1）"/>
      <sheetName val="Adjustment"/>
      <sheetName val="Adjustment (2)"/>
      <sheetName val="Adjustment (3)"/>
      <sheetName val="Adjustment (4)"/>
      <sheetName val="Adjustment (5)"/>
      <sheetName val="Adjustment (6)"/>
      <sheetName val="SALＡRY"/>
      <sheetName val="Transfer Slip-HK POSTAGE"/>
      <sheetName val="Transfer Slip-HK"/>
      <sheetName val="Transfer Slip-JPN"/>
      <sheetName val="Transfer Slip-JPN (2)"/>
      <sheetName val="Transfer Slip-ren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C所得税是正"/>
      <sheetName val="中国勤務交通費（1）"/>
      <sheetName val="Adjustment"/>
      <sheetName val="Adjustment (2)"/>
      <sheetName val="Adjustment (3)"/>
      <sheetName val="SALＡRY"/>
      <sheetName val="Drum訂正"/>
      <sheetName val="Transfer Slip-HK POSTAGE"/>
      <sheetName val="Transfer Slip-HK"/>
      <sheetName val="Transfer Slip-JPN"/>
      <sheetName val="Transfer Slip-JPN (2)"/>
      <sheetName val="Transfer Slip-ren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/>
      <sheetData sheetId="10"/>
      <sheetData sheetId="1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AD121-D3F8-4C91-ADE4-DFEBC051F862}">
  <sheetPr codeName="Sheet1">
    <pageSetUpPr fitToPage="1"/>
  </sheetPr>
  <dimension ref="A2:O130"/>
  <sheetViews>
    <sheetView tabSelected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4" sqref="F4"/>
    </sheetView>
  </sheetViews>
  <sheetFormatPr defaultColWidth="9" defaultRowHeight="14"/>
  <cols>
    <col min="1" max="1" width="4.08984375" style="147" customWidth="1"/>
    <col min="2" max="2" width="23" style="147" bestFit="1" customWidth="1"/>
    <col min="3" max="3" width="17.26953125" style="147" customWidth="1"/>
    <col min="4" max="15" width="18.7265625" style="147" customWidth="1"/>
    <col min="16" max="256" width="9" style="147"/>
    <col min="257" max="257" width="4.08984375" style="147" customWidth="1"/>
    <col min="258" max="258" width="23" style="147" bestFit="1" customWidth="1"/>
    <col min="259" max="259" width="17.26953125" style="147" customWidth="1"/>
    <col min="260" max="264" width="18.7265625" style="147" customWidth="1"/>
    <col min="265" max="265" width="18.08984375" style="147" bestFit="1" customWidth="1"/>
    <col min="266" max="266" width="13.26953125" style="147" bestFit="1" customWidth="1"/>
    <col min="267" max="267" width="12" style="147" bestFit="1" customWidth="1"/>
    <col min="268" max="268" width="13.26953125" style="147" bestFit="1" customWidth="1"/>
    <col min="269" max="269" width="14.453125" style="147" bestFit="1" customWidth="1"/>
    <col min="270" max="512" width="9" style="147"/>
    <col min="513" max="513" width="4.08984375" style="147" customWidth="1"/>
    <col min="514" max="514" width="23" style="147" bestFit="1" customWidth="1"/>
    <col min="515" max="515" width="17.26953125" style="147" customWidth="1"/>
    <col min="516" max="520" width="18.7265625" style="147" customWidth="1"/>
    <col min="521" max="521" width="18.08984375" style="147" bestFit="1" customWidth="1"/>
    <col min="522" max="522" width="13.26953125" style="147" bestFit="1" customWidth="1"/>
    <col min="523" max="523" width="12" style="147" bestFit="1" customWidth="1"/>
    <col min="524" max="524" width="13.26953125" style="147" bestFit="1" customWidth="1"/>
    <col min="525" max="525" width="14.453125" style="147" bestFit="1" customWidth="1"/>
    <col min="526" max="768" width="9" style="147"/>
    <col min="769" max="769" width="4.08984375" style="147" customWidth="1"/>
    <col min="770" max="770" width="23" style="147" bestFit="1" customWidth="1"/>
    <col min="771" max="771" width="17.26953125" style="147" customWidth="1"/>
    <col min="772" max="776" width="18.7265625" style="147" customWidth="1"/>
    <col min="777" max="777" width="18.08984375" style="147" bestFit="1" customWidth="1"/>
    <col min="778" max="778" width="13.26953125" style="147" bestFit="1" customWidth="1"/>
    <col min="779" max="779" width="12" style="147" bestFit="1" customWidth="1"/>
    <col min="780" max="780" width="13.26953125" style="147" bestFit="1" customWidth="1"/>
    <col min="781" max="781" width="14.453125" style="147" bestFit="1" customWidth="1"/>
    <col min="782" max="1024" width="9" style="147"/>
    <col min="1025" max="1025" width="4.08984375" style="147" customWidth="1"/>
    <col min="1026" max="1026" width="23" style="147" bestFit="1" customWidth="1"/>
    <col min="1027" max="1027" width="17.26953125" style="147" customWidth="1"/>
    <col min="1028" max="1032" width="18.7265625" style="147" customWidth="1"/>
    <col min="1033" max="1033" width="18.08984375" style="147" bestFit="1" customWidth="1"/>
    <col min="1034" max="1034" width="13.26953125" style="147" bestFit="1" customWidth="1"/>
    <col min="1035" max="1035" width="12" style="147" bestFit="1" customWidth="1"/>
    <col min="1036" max="1036" width="13.26953125" style="147" bestFit="1" customWidth="1"/>
    <col min="1037" max="1037" width="14.453125" style="147" bestFit="1" customWidth="1"/>
    <col min="1038" max="1280" width="9" style="147"/>
    <col min="1281" max="1281" width="4.08984375" style="147" customWidth="1"/>
    <col min="1282" max="1282" width="23" style="147" bestFit="1" customWidth="1"/>
    <col min="1283" max="1283" width="17.26953125" style="147" customWidth="1"/>
    <col min="1284" max="1288" width="18.7265625" style="147" customWidth="1"/>
    <col min="1289" max="1289" width="18.08984375" style="147" bestFit="1" customWidth="1"/>
    <col min="1290" max="1290" width="13.26953125" style="147" bestFit="1" customWidth="1"/>
    <col min="1291" max="1291" width="12" style="147" bestFit="1" customWidth="1"/>
    <col min="1292" max="1292" width="13.26953125" style="147" bestFit="1" customWidth="1"/>
    <col min="1293" max="1293" width="14.453125" style="147" bestFit="1" customWidth="1"/>
    <col min="1294" max="1536" width="9" style="147"/>
    <col min="1537" max="1537" width="4.08984375" style="147" customWidth="1"/>
    <col min="1538" max="1538" width="23" style="147" bestFit="1" customWidth="1"/>
    <col min="1539" max="1539" width="17.26953125" style="147" customWidth="1"/>
    <col min="1540" max="1544" width="18.7265625" style="147" customWidth="1"/>
    <col min="1545" max="1545" width="18.08984375" style="147" bestFit="1" customWidth="1"/>
    <col min="1546" max="1546" width="13.26953125" style="147" bestFit="1" customWidth="1"/>
    <col min="1547" max="1547" width="12" style="147" bestFit="1" customWidth="1"/>
    <col min="1548" max="1548" width="13.26953125" style="147" bestFit="1" customWidth="1"/>
    <col min="1549" max="1549" width="14.453125" style="147" bestFit="1" customWidth="1"/>
    <col min="1550" max="1792" width="9" style="147"/>
    <col min="1793" max="1793" width="4.08984375" style="147" customWidth="1"/>
    <col min="1794" max="1794" width="23" style="147" bestFit="1" customWidth="1"/>
    <col min="1795" max="1795" width="17.26953125" style="147" customWidth="1"/>
    <col min="1796" max="1800" width="18.7265625" style="147" customWidth="1"/>
    <col min="1801" max="1801" width="18.08984375" style="147" bestFit="1" customWidth="1"/>
    <col min="1802" max="1802" width="13.26953125" style="147" bestFit="1" customWidth="1"/>
    <col min="1803" max="1803" width="12" style="147" bestFit="1" customWidth="1"/>
    <col min="1804" max="1804" width="13.26953125" style="147" bestFit="1" customWidth="1"/>
    <col min="1805" max="1805" width="14.453125" style="147" bestFit="1" customWidth="1"/>
    <col min="1806" max="2048" width="9" style="147"/>
    <col min="2049" max="2049" width="4.08984375" style="147" customWidth="1"/>
    <col min="2050" max="2050" width="23" style="147" bestFit="1" customWidth="1"/>
    <col min="2051" max="2051" width="17.26953125" style="147" customWidth="1"/>
    <col min="2052" max="2056" width="18.7265625" style="147" customWidth="1"/>
    <col min="2057" max="2057" width="18.08984375" style="147" bestFit="1" customWidth="1"/>
    <col min="2058" max="2058" width="13.26953125" style="147" bestFit="1" customWidth="1"/>
    <col min="2059" max="2059" width="12" style="147" bestFit="1" customWidth="1"/>
    <col min="2060" max="2060" width="13.26953125" style="147" bestFit="1" customWidth="1"/>
    <col min="2061" max="2061" width="14.453125" style="147" bestFit="1" customWidth="1"/>
    <col min="2062" max="2304" width="9" style="147"/>
    <col min="2305" max="2305" width="4.08984375" style="147" customWidth="1"/>
    <col min="2306" max="2306" width="23" style="147" bestFit="1" customWidth="1"/>
    <col min="2307" max="2307" width="17.26953125" style="147" customWidth="1"/>
    <col min="2308" max="2312" width="18.7265625" style="147" customWidth="1"/>
    <col min="2313" max="2313" width="18.08984375" style="147" bestFit="1" customWidth="1"/>
    <col min="2314" max="2314" width="13.26953125" style="147" bestFit="1" customWidth="1"/>
    <col min="2315" max="2315" width="12" style="147" bestFit="1" customWidth="1"/>
    <col min="2316" max="2316" width="13.26953125" style="147" bestFit="1" customWidth="1"/>
    <col min="2317" max="2317" width="14.453125" style="147" bestFit="1" customWidth="1"/>
    <col min="2318" max="2560" width="9" style="147"/>
    <col min="2561" max="2561" width="4.08984375" style="147" customWidth="1"/>
    <col min="2562" max="2562" width="23" style="147" bestFit="1" customWidth="1"/>
    <col min="2563" max="2563" width="17.26953125" style="147" customWidth="1"/>
    <col min="2564" max="2568" width="18.7265625" style="147" customWidth="1"/>
    <col min="2569" max="2569" width="18.08984375" style="147" bestFit="1" customWidth="1"/>
    <col min="2570" max="2570" width="13.26953125" style="147" bestFit="1" customWidth="1"/>
    <col min="2571" max="2571" width="12" style="147" bestFit="1" customWidth="1"/>
    <col min="2572" max="2572" width="13.26953125" style="147" bestFit="1" customWidth="1"/>
    <col min="2573" max="2573" width="14.453125" style="147" bestFit="1" customWidth="1"/>
    <col min="2574" max="2816" width="9" style="147"/>
    <col min="2817" max="2817" width="4.08984375" style="147" customWidth="1"/>
    <col min="2818" max="2818" width="23" style="147" bestFit="1" customWidth="1"/>
    <col min="2819" max="2819" width="17.26953125" style="147" customWidth="1"/>
    <col min="2820" max="2824" width="18.7265625" style="147" customWidth="1"/>
    <col min="2825" max="2825" width="18.08984375" style="147" bestFit="1" customWidth="1"/>
    <col min="2826" max="2826" width="13.26953125" style="147" bestFit="1" customWidth="1"/>
    <col min="2827" max="2827" width="12" style="147" bestFit="1" customWidth="1"/>
    <col min="2828" max="2828" width="13.26953125" style="147" bestFit="1" customWidth="1"/>
    <col min="2829" max="2829" width="14.453125" style="147" bestFit="1" customWidth="1"/>
    <col min="2830" max="3072" width="9" style="147"/>
    <col min="3073" max="3073" width="4.08984375" style="147" customWidth="1"/>
    <col min="3074" max="3074" width="23" style="147" bestFit="1" customWidth="1"/>
    <col min="3075" max="3075" width="17.26953125" style="147" customWidth="1"/>
    <col min="3076" max="3080" width="18.7265625" style="147" customWidth="1"/>
    <col min="3081" max="3081" width="18.08984375" style="147" bestFit="1" customWidth="1"/>
    <col min="3082" max="3082" width="13.26953125" style="147" bestFit="1" customWidth="1"/>
    <col min="3083" max="3083" width="12" style="147" bestFit="1" customWidth="1"/>
    <col min="3084" max="3084" width="13.26953125" style="147" bestFit="1" customWidth="1"/>
    <col min="3085" max="3085" width="14.453125" style="147" bestFit="1" customWidth="1"/>
    <col min="3086" max="3328" width="9" style="147"/>
    <col min="3329" max="3329" width="4.08984375" style="147" customWidth="1"/>
    <col min="3330" max="3330" width="23" style="147" bestFit="1" customWidth="1"/>
    <col min="3331" max="3331" width="17.26953125" style="147" customWidth="1"/>
    <col min="3332" max="3336" width="18.7265625" style="147" customWidth="1"/>
    <col min="3337" max="3337" width="18.08984375" style="147" bestFit="1" customWidth="1"/>
    <col min="3338" max="3338" width="13.26953125" style="147" bestFit="1" customWidth="1"/>
    <col min="3339" max="3339" width="12" style="147" bestFit="1" customWidth="1"/>
    <col min="3340" max="3340" width="13.26953125" style="147" bestFit="1" customWidth="1"/>
    <col min="3341" max="3341" width="14.453125" style="147" bestFit="1" customWidth="1"/>
    <col min="3342" max="3584" width="9" style="147"/>
    <col min="3585" max="3585" width="4.08984375" style="147" customWidth="1"/>
    <col min="3586" max="3586" width="23" style="147" bestFit="1" customWidth="1"/>
    <col min="3587" max="3587" width="17.26953125" style="147" customWidth="1"/>
    <col min="3588" max="3592" width="18.7265625" style="147" customWidth="1"/>
    <col min="3593" max="3593" width="18.08984375" style="147" bestFit="1" customWidth="1"/>
    <col min="3594" max="3594" width="13.26953125" style="147" bestFit="1" customWidth="1"/>
    <col min="3595" max="3595" width="12" style="147" bestFit="1" customWidth="1"/>
    <col min="3596" max="3596" width="13.26953125" style="147" bestFit="1" customWidth="1"/>
    <col min="3597" max="3597" width="14.453125" style="147" bestFit="1" customWidth="1"/>
    <col min="3598" max="3840" width="9" style="147"/>
    <col min="3841" max="3841" width="4.08984375" style="147" customWidth="1"/>
    <col min="3842" max="3842" width="23" style="147" bestFit="1" customWidth="1"/>
    <col min="3843" max="3843" width="17.26953125" style="147" customWidth="1"/>
    <col min="3844" max="3848" width="18.7265625" style="147" customWidth="1"/>
    <col min="3849" max="3849" width="18.08984375" style="147" bestFit="1" customWidth="1"/>
    <col min="3850" max="3850" width="13.26953125" style="147" bestFit="1" customWidth="1"/>
    <col min="3851" max="3851" width="12" style="147" bestFit="1" customWidth="1"/>
    <col min="3852" max="3852" width="13.26953125" style="147" bestFit="1" customWidth="1"/>
    <col min="3853" max="3853" width="14.453125" style="147" bestFit="1" customWidth="1"/>
    <col min="3854" max="4096" width="9" style="147"/>
    <col min="4097" max="4097" width="4.08984375" style="147" customWidth="1"/>
    <col min="4098" max="4098" width="23" style="147" bestFit="1" customWidth="1"/>
    <col min="4099" max="4099" width="17.26953125" style="147" customWidth="1"/>
    <col min="4100" max="4104" width="18.7265625" style="147" customWidth="1"/>
    <col min="4105" max="4105" width="18.08984375" style="147" bestFit="1" customWidth="1"/>
    <col min="4106" max="4106" width="13.26953125" style="147" bestFit="1" customWidth="1"/>
    <col min="4107" max="4107" width="12" style="147" bestFit="1" customWidth="1"/>
    <col min="4108" max="4108" width="13.26953125" style="147" bestFit="1" customWidth="1"/>
    <col min="4109" max="4109" width="14.453125" style="147" bestFit="1" customWidth="1"/>
    <col min="4110" max="4352" width="9" style="147"/>
    <col min="4353" max="4353" width="4.08984375" style="147" customWidth="1"/>
    <col min="4354" max="4354" width="23" style="147" bestFit="1" customWidth="1"/>
    <col min="4355" max="4355" width="17.26953125" style="147" customWidth="1"/>
    <col min="4356" max="4360" width="18.7265625" style="147" customWidth="1"/>
    <col min="4361" max="4361" width="18.08984375" style="147" bestFit="1" customWidth="1"/>
    <col min="4362" max="4362" width="13.26953125" style="147" bestFit="1" customWidth="1"/>
    <col min="4363" max="4363" width="12" style="147" bestFit="1" customWidth="1"/>
    <col min="4364" max="4364" width="13.26953125" style="147" bestFit="1" customWidth="1"/>
    <col min="4365" max="4365" width="14.453125" style="147" bestFit="1" customWidth="1"/>
    <col min="4366" max="4608" width="9" style="147"/>
    <col min="4609" max="4609" width="4.08984375" style="147" customWidth="1"/>
    <col min="4610" max="4610" width="23" style="147" bestFit="1" customWidth="1"/>
    <col min="4611" max="4611" width="17.26953125" style="147" customWidth="1"/>
    <col min="4612" max="4616" width="18.7265625" style="147" customWidth="1"/>
    <col min="4617" max="4617" width="18.08984375" style="147" bestFit="1" customWidth="1"/>
    <col min="4618" max="4618" width="13.26953125" style="147" bestFit="1" customWidth="1"/>
    <col min="4619" max="4619" width="12" style="147" bestFit="1" customWidth="1"/>
    <col min="4620" max="4620" width="13.26953125" style="147" bestFit="1" customWidth="1"/>
    <col min="4621" max="4621" width="14.453125" style="147" bestFit="1" customWidth="1"/>
    <col min="4622" max="4864" width="9" style="147"/>
    <col min="4865" max="4865" width="4.08984375" style="147" customWidth="1"/>
    <col min="4866" max="4866" width="23" style="147" bestFit="1" customWidth="1"/>
    <col min="4867" max="4867" width="17.26953125" style="147" customWidth="1"/>
    <col min="4868" max="4872" width="18.7265625" style="147" customWidth="1"/>
    <col min="4873" max="4873" width="18.08984375" style="147" bestFit="1" customWidth="1"/>
    <col min="4874" max="4874" width="13.26953125" style="147" bestFit="1" customWidth="1"/>
    <col min="4875" max="4875" width="12" style="147" bestFit="1" customWidth="1"/>
    <col min="4876" max="4876" width="13.26953125" style="147" bestFit="1" customWidth="1"/>
    <col min="4877" max="4877" width="14.453125" style="147" bestFit="1" customWidth="1"/>
    <col min="4878" max="5120" width="9" style="147"/>
    <col min="5121" max="5121" width="4.08984375" style="147" customWidth="1"/>
    <col min="5122" max="5122" width="23" style="147" bestFit="1" customWidth="1"/>
    <col min="5123" max="5123" width="17.26953125" style="147" customWidth="1"/>
    <col min="5124" max="5128" width="18.7265625" style="147" customWidth="1"/>
    <col min="5129" max="5129" width="18.08984375" style="147" bestFit="1" customWidth="1"/>
    <col min="5130" max="5130" width="13.26953125" style="147" bestFit="1" customWidth="1"/>
    <col min="5131" max="5131" width="12" style="147" bestFit="1" customWidth="1"/>
    <col min="5132" max="5132" width="13.26953125" style="147" bestFit="1" customWidth="1"/>
    <col min="5133" max="5133" width="14.453125" style="147" bestFit="1" customWidth="1"/>
    <col min="5134" max="5376" width="9" style="147"/>
    <col min="5377" max="5377" width="4.08984375" style="147" customWidth="1"/>
    <col min="5378" max="5378" width="23" style="147" bestFit="1" customWidth="1"/>
    <col min="5379" max="5379" width="17.26953125" style="147" customWidth="1"/>
    <col min="5380" max="5384" width="18.7265625" style="147" customWidth="1"/>
    <col min="5385" max="5385" width="18.08984375" style="147" bestFit="1" customWidth="1"/>
    <col min="5386" max="5386" width="13.26953125" style="147" bestFit="1" customWidth="1"/>
    <col min="5387" max="5387" width="12" style="147" bestFit="1" customWidth="1"/>
    <col min="5388" max="5388" width="13.26953125" style="147" bestFit="1" customWidth="1"/>
    <col min="5389" max="5389" width="14.453125" style="147" bestFit="1" customWidth="1"/>
    <col min="5390" max="5632" width="9" style="147"/>
    <col min="5633" max="5633" width="4.08984375" style="147" customWidth="1"/>
    <col min="5634" max="5634" width="23" style="147" bestFit="1" customWidth="1"/>
    <col min="5635" max="5635" width="17.26953125" style="147" customWidth="1"/>
    <col min="5636" max="5640" width="18.7265625" style="147" customWidth="1"/>
    <col min="5641" max="5641" width="18.08984375" style="147" bestFit="1" customWidth="1"/>
    <col min="5642" max="5642" width="13.26953125" style="147" bestFit="1" customWidth="1"/>
    <col min="5643" max="5643" width="12" style="147" bestFit="1" customWidth="1"/>
    <col min="5644" max="5644" width="13.26953125" style="147" bestFit="1" customWidth="1"/>
    <col min="5645" max="5645" width="14.453125" style="147" bestFit="1" customWidth="1"/>
    <col min="5646" max="5888" width="9" style="147"/>
    <col min="5889" max="5889" width="4.08984375" style="147" customWidth="1"/>
    <col min="5890" max="5890" width="23" style="147" bestFit="1" customWidth="1"/>
    <col min="5891" max="5891" width="17.26953125" style="147" customWidth="1"/>
    <col min="5892" max="5896" width="18.7265625" style="147" customWidth="1"/>
    <col min="5897" max="5897" width="18.08984375" style="147" bestFit="1" customWidth="1"/>
    <col min="5898" max="5898" width="13.26953125" style="147" bestFit="1" customWidth="1"/>
    <col min="5899" max="5899" width="12" style="147" bestFit="1" customWidth="1"/>
    <col min="5900" max="5900" width="13.26953125" style="147" bestFit="1" customWidth="1"/>
    <col min="5901" max="5901" width="14.453125" style="147" bestFit="1" customWidth="1"/>
    <col min="5902" max="6144" width="9" style="147"/>
    <col min="6145" max="6145" width="4.08984375" style="147" customWidth="1"/>
    <col min="6146" max="6146" width="23" style="147" bestFit="1" customWidth="1"/>
    <col min="6147" max="6147" width="17.26953125" style="147" customWidth="1"/>
    <col min="6148" max="6152" width="18.7265625" style="147" customWidth="1"/>
    <col min="6153" max="6153" width="18.08984375" style="147" bestFit="1" customWidth="1"/>
    <col min="6154" max="6154" width="13.26953125" style="147" bestFit="1" customWidth="1"/>
    <col min="6155" max="6155" width="12" style="147" bestFit="1" customWidth="1"/>
    <col min="6156" max="6156" width="13.26953125" style="147" bestFit="1" customWidth="1"/>
    <col min="6157" max="6157" width="14.453125" style="147" bestFit="1" customWidth="1"/>
    <col min="6158" max="6400" width="9" style="147"/>
    <col min="6401" max="6401" width="4.08984375" style="147" customWidth="1"/>
    <col min="6402" max="6402" width="23" style="147" bestFit="1" customWidth="1"/>
    <col min="6403" max="6403" width="17.26953125" style="147" customWidth="1"/>
    <col min="6404" max="6408" width="18.7265625" style="147" customWidth="1"/>
    <col min="6409" max="6409" width="18.08984375" style="147" bestFit="1" customWidth="1"/>
    <col min="6410" max="6410" width="13.26953125" style="147" bestFit="1" customWidth="1"/>
    <col min="6411" max="6411" width="12" style="147" bestFit="1" customWidth="1"/>
    <col min="6412" max="6412" width="13.26953125" style="147" bestFit="1" customWidth="1"/>
    <col min="6413" max="6413" width="14.453125" style="147" bestFit="1" customWidth="1"/>
    <col min="6414" max="6656" width="9" style="147"/>
    <col min="6657" max="6657" width="4.08984375" style="147" customWidth="1"/>
    <col min="6658" max="6658" width="23" style="147" bestFit="1" customWidth="1"/>
    <col min="6659" max="6659" width="17.26953125" style="147" customWidth="1"/>
    <col min="6660" max="6664" width="18.7265625" style="147" customWidth="1"/>
    <col min="6665" max="6665" width="18.08984375" style="147" bestFit="1" customWidth="1"/>
    <col min="6666" max="6666" width="13.26953125" style="147" bestFit="1" customWidth="1"/>
    <col min="6667" max="6667" width="12" style="147" bestFit="1" customWidth="1"/>
    <col min="6668" max="6668" width="13.26953125" style="147" bestFit="1" customWidth="1"/>
    <col min="6669" max="6669" width="14.453125" style="147" bestFit="1" customWidth="1"/>
    <col min="6670" max="6912" width="9" style="147"/>
    <col min="6913" max="6913" width="4.08984375" style="147" customWidth="1"/>
    <col min="6914" max="6914" width="23" style="147" bestFit="1" customWidth="1"/>
    <col min="6915" max="6915" width="17.26953125" style="147" customWidth="1"/>
    <col min="6916" max="6920" width="18.7265625" style="147" customWidth="1"/>
    <col min="6921" max="6921" width="18.08984375" style="147" bestFit="1" customWidth="1"/>
    <col min="6922" max="6922" width="13.26953125" style="147" bestFit="1" customWidth="1"/>
    <col min="6923" max="6923" width="12" style="147" bestFit="1" customWidth="1"/>
    <col min="6924" max="6924" width="13.26953125" style="147" bestFit="1" customWidth="1"/>
    <col min="6925" max="6925" width="14.453125" style="147" bestFit="1" customWidth="1"/>
    <col min="6926" max="7168" width="9" style="147"/>
    <col min="7169" max="7169" width="4.08984375" style="147" customWidth="1"/>
    <col min="7170" max="7170" width="23" style="147" bestFit="1" customWidth="1"/>
    <col min="7171" max="7171" width="17.26953125" style="147" customWidth="1"/>
    <col min="7172" max="7176" width="18.7265625" style="147" customWidth="1"/>
    <col min="7177" max="7177" width="18.08984375" style="147" bestFit="1" customWidth="1"/>
    <col min="7178" max="7178" width="13.26953125" style="147" bestFit="1" customWidth="1"/>
    <col min="7179" max="7179" width="12" style="147" bestFit="1" customWidth="1"/>
    <col min="7180" max="7180" width="13.26953125" style="147" bestFit="1" customWidth="1"/>
    <col min="7181" max="7181" width="14.453125" style="147" bestFit="1" customWidth="1"/>
    <col min="7182" max="7424" width="9" style="147"/>
    <col min="7425" max="7425" width="4.08984375" style="147" customWidth="1"/>
    <col min="7426" max="7426" width="23" style="147" bestFit="1" customWidth="1"/>
    <col min="7427" max="7427" width="17.26953125" style="147" customWidth="1"/>
    <col min="7428" max="7432" width="18.7265625" style="147" customWidth="1"/>
    <col min="7433" max="7433" width="18.08984375" style="147" bestFit="1" customWidth="1"/>
    <col min="7434" max="7434" width="13.26953125" style="147" bestFit="1" customWidth="1"/>
    <col min="7435" max="7435" width="12" style="147" bestFit="1" customWidth="1"/>
    <col min="7436" max="7436" width="13.26953125" style="147" bestFit="1" customWidth="1"/>
    <col min="7437" max="7437" width="14.453125" style="147" bestFit="1" customWidth="1"/>
    <col min="7438" max="7680" width="9" style="147"/>
    <col min="7681" max="7681" width="4.08984375" style="147" customWidth="1"/>
    <col min="7682" max="7682" width="23" style="147" bestFit="1" customWidth="1"/>
    <col min="7683" max="7683" width="17.26953125" style="147" customWidth="1"/>
    <col min="7684" max="7688" width="18.7265625" style="147" customWidth="1"/>
    <col min="7689" max="7689" width="18.08984375" style="147" bestFit="1" customWidth="1"/>
    <col min="7690" max="7690" width="13.26953125" style="147" bestFit="1" customWidth="1"/>
    <col min="7691" max="7691" width="12" style="147" bestFit="1" customWidth="1"/>
    <col min="7692" max="7692" width="13.26953125" style="147" bestFit="1" customWidth="1"/>
    <col min="7693" max="7693" width="14.453125" style="147" bestFit="1" customWidth="1"/>
    <col min="7694" max="7936" width="9" style="147"/>
    <col min="7937" max="7937" width="4.08984375" style="147" customWidth="1"/>
    <col min="7938" max="7938" width="23" style="147" bestFit="1" customWidth="1"/>
    <col min="7939" max="7939" width="17.26953125" style="147" customWidth="1"/>
    <col min="7940" max="7944" width="18.7265625" style="147" customWidth="1"/>
    <col min="7945" max="7945" width="18.08984375" style="147" bestFit="1" customWidth="1"/>
    <col min="7946" max="7946" width="13.26953125" style="147" bestFit="1" customWidth="1"/>
    <col min="7947" max="7947" width="12" style="147" bestFit="1" customWidth="1"/>
    <col min="7948" max="7948" width="13.26953125" style="147" bestFit="1" customWidth="1"/>
    <col min="7949" max="7949" width="14.453125" style="147" bestFit="1" customWidth="1"/>
    <col min="7950" max="8192" width="9" style="147"/>
    <col min="8193" max="8193" width="4.08984375" style="147" customWidth="1"/>
    <col min="8194" max="8194" width="23" style="147" bestFit="1" customWidth="1"/>
    <col min="8195" max="8195" width="17.26953125" style="147" customWidth="1"/>
    <col min="8196" max="8200" width="18.7265625" style="147" customWidth="1"/>
    <col min="8201" max="8201" width="18.08984375" style="147" bestFit="1" customWidth="1"/>
    <col min="8202" max="8202" width="13.26953125" style="147" bestFit="1" customWidth="1"/>
    <col min="8203" max="8203" width="12" style="147" bestFit="1" customWidth="1"/>
    <col min="8204" max="8204" width="13.26953125" style="147" bestFit="1" customWidth="1"/>
    <col min="8205" max="8205" width="14.453125" style="147" bestFit="1" customWidth="1"/>
    <col min="8206" max="8448" width="9" style="147"/>
    <col min="8449" max="8449" width="4.08984375" style="147" customWidth="1"/>
    <col min="8450" max="8450" width="23" style="147" bestFit="1" customWidth="1"/>
    <col min="8451" max="8451" width="17.26953125" style="147" customWidth="1"/>
    <col min="8452" max="8456" width="18.7265625" style="147" customWidth="1"/>
    <col min="8457" max="8457" width="18.08984375" style="147" bestFit="1" customWidth="1"/>
    <col min="8458" max="8458" width="13.26953125" style="147" bestFit="1" customWidth="1"/>
    <col min="8459" max="8459" width="12" style="147" bestFit="1" customWidth="1"/>
    <col min="8460" max="8460" width="13.26953125" style="147" bestFit="1" customWidth="1"/>
    <col min="8461" max="8461" width="14.453125" style="147" bestFit="1" customWidth="1"/>
    <col min="8462" max="8704" width="9" style="147"/>
    <col min="8705" max="8705" width="4.08984375" style="147" customWidth="1"/>
    <col min="8706" max="8706" width="23" style="147" bestFit="1" customWidth="1"/>
    <col min="8707" max="8707" width="17.26953125" style="147" customWidth="1"/>
    <col min="8708" max="8712" width="18.7265625" style="147" customWidth="1"/>
    <col min="8713" max="8713" width="18.08984375" style="147" bestFit="1" customWidth="1"/>
    <col min="8714" max="8714" width="13.26953125" style="147" bestFit="1" customWidth="1"/>
    <col min="8715" max="8715" width="12" style="147" bestFit="1" customWidth="1"/>
    <col min="8716" max="8716" width="13.26953125" style="147" bestFit="1" customWidth="1"/>
    <col min="8717" max="8717" width="14.453125" style="147" bestFit="1" customWidth="1"/>
    <col min="8718" max="8960" width="9" style="147"/>
    <col min="8961" max="8961" width="4.08984375" style="147" customWidth="1"/>
    <col min="8962" max="8962" width="23" style="147" bestFit="1" customWidth="1"/>
    <col min="8963" max="8963" width="17.26953125" style="147" customWidth="1"/>
    <col min="8964" max="8968" width="18.7265625" style="147" customWidth="1"/>
    <col min="8969" max="8969" width="18.08984375" style="147" bestFit="1" customWidth="1"/>
    <col min="8970" max="8970" width="13.26953125" style="147" bestFit="1" customWidth="1"/>
    <col min="8971" max="8971" width="12" style="147" bestFit="1" customWidth="1"/>
    <col min="8972" max="8972" width="13.26953125" style="147" bestFit="1" customWidth="1"/>
    <col min="8973" max="8973" width="14.453125" style="147" bestFit="1" customWidth="1"/>
    <col min="8974" max="9216" width="9" style="147"/>
    <col min="9217" max="9217" width="4.08984375" style="147" customWidth="1"/>
    <col min="9218" max="9218" width="23" style="147" bestFit="1" customWidth="1"/>
    <col min="9219" max="9219" width="17.26953125" style="147" customWidth="1"/>
    <col min="9220" max="9224" width="18.7265625" style="147" customWidth="1"/>
    <col min="9225" max="9225" width="18.08984375" style="147" bestFit="1" customWidth="1"/>
    <col min="9226" max="9226" width="13.26953125" style="147" bestFit="1" customWidth="1"/>
    <col min="9227" max="9227" width="12" style="147" bestFit="1" customWidth="1"/>
    <col min="9228" max="9228" width="13.26953125" style="147" bestFit="1" customWidth="1"/>
    <col min="9229" max="9229" width="14.453125" style="147" bestFit="1" customWidth="1"/>
    <col min="9230" max="9472" width="9" style="147"/>
    <col min="9473" max="9473" width="4.08984375" style="147" customWidth="1"/>
    <col min="9474" max="9474" width="23" style="147" bestFit="1" customWidth="1"/>
    <col min="9475" max="9475" width="17.26953125" style="147" customWidth="1"/>
    <col min="9476" max="9480" width="18.7265625" style="147" customWidth="1"/>
    <col min="9481" max="9481" width="18.08984375" style="147" bestFit="1" customWidth="1"/>
    <col min="9482" max="9482" width="13.26953125" style="147" bestFit="1" customWidth="1"/>
    <col min="9483" max="9483" width="12" style="147" bestFit="1" customWidth="1"/>
    <col min="9484" max="9484" width="13.26953125" style="147" bestFit="1" customWidth="1"/>
    <col min="9485" max="9485" width="14.453125" style="147" bestFit="1" customWidth="1"/>
    <col min="9486" max="9728" width="9" style="147"/>
    <col min="9729" max="9729" width="4.08984375" style="147" customWidth="1"/>
    <col min="9730" max="9730" width="23" style="147" bestFit="1" customWidth="1"/>
    <col min="9731" max="9731" width="17.26953125" style="147" customWidth="1"/>
    <col min="9732" max="9736" width="18.7265625" style="147" customWidth="1"/>
    <col min="9737" max="9737" width="18.08984375" style="147" bestFit="1" customWidth="1"/>
    <col min="9738" max="9738" width="13.26953125" style="147" bestFit="1" customWidth="1"/>
    <col min="9739" max="9739" width="12" style="147" bestFit="1" customWidth="1"/>
    <col min="9740" max="9740" width="13.26953125" style="147" bestFit="1" customWidth="1"/>
    <col min="9741" max="9741" width="14.453125" style="147" bestFit="1" customWidth="1"/>
    <col min="9742" max="9984" width="9" style="147"/>
    <col min="9985" max="9985" width="4.08984375" style="147" customWidth="1"/>
    <col min="9986" max="9986" width="23" style="147" bestFit="1" customWidth="1"/>
    <col min="9987" max="9987" width="17.26953125" style="147" customWidth="1"/>
    <col min="9988" max="9992" width="18.7265625" style="147" customWidth="1"/>
    <col min="9993" max="9993" width="18.08984375" style="147" bestFit="1" customWidth="1"/>
    <col min="9994" max="9994" width="13.26953125" style="147" bestFit="1" customWidth="1"/>
    <col min="9995" max="9995" width="12" style="147" bestFit="1" customWidth="1"/>
    <col min="9996" max="9996" width="13.26953125" style="147" bestFit="1" customWidth="1"/>
    <col min="9997" max="9997" width="14.453125" style="147" bestFit="1" customWidth="1"/>
    <col min="9998" max="10240" width="9" style="147"/>
    <col min="10241" max="10241" width="4.08984375" style="147" customWidth="1"/>
    <col min="10242" max="10242" width="23" style="147" bestFit="1" customWidth="1"/>
    <col min="10243" max="10243" width="17.26953125" style="147" customWidth="1"/>
    <col min="10244" max="10248" width="18.7265625" style="147" customWidth="1"/>
    <col min="10249" max="10249" width="18.08984375" style="147" bestFit="1" customWidth="1"/>
    <col min="10250" max="10250" width="13.26953125" style="147" bestFit="1" customWidth="1"/>
    <col min="10251" max="10251" width="12" style="147" bestFit="1" customWidth="1"/>
    <col min="10252" max="10252" width="13.26953125" style="147" bestFit="1" customWidth="1"/>
    <col min="10253" max="10253" width="14.453125" style="147" bestFit="1" customWidth="1"/>
    <col min="10254" max="10496" width="9" style="147"/>
    <col min="10497" max="10497" width="4.08984375" style="147" customWidth="1"/>
    <col min="10498" max="10498" width="23" style="147" bestFit="1" customWidth="1"/>
    <col min="10499" max="10499" width="17.26953125" style="147" customWidth="1"/>
    <col min="10500" max="10504" width="18.7265625" style="147" customWidth="1"/>
    <col min="10505" max="10505" width="18.08984375" style="147" bestFit="1" customWidth="1"/>
    <col min="10506" max="10506" width="13.26953125" style="147" bestFit="1" customWidth="1"/>
    <col min="10507" max="10507" width="12" style="147" bestFit="1" customWidth="1"/>
    <col min="10508" max="10508" width="13.26953125" style="147" bestFit="1" customWidth="1"/>
    <col min="10509" max="10509" width="14.453125" style="147" bestFit="1" customWidth="1"/>
    <col min="10510" max="10752" width="9" style="147"/>
    <col min="10753" max="10753" width="4.08984375" style="147" customWidth="1"/>
    <col min="10754" max="10754" width="23" style="147" bestFit="1" customWidth="1"/>
    <col min="10755" max="10755" width="17.26953125" style="147" customWidth="1"/>
    <col min="10756" max="10760" width="18.7265625" style="147" customWidth="1"/>
    <col min="10761" max="10761" width="18.08984375" style="147" bestFit="1" customWidth="1"/>
    <col min="10762" max="10762" width="13.26953125" style="147" bestFit="1" customWidth="1"/>
    <col min="10763" max="10763" width="12" style="147" bestFit="1" customWidth="1"/>
    <col min="10764" max="10764" width="13.26953125" style="147" bestFit="1" customWidth="1"/>
    <col min="10765" max="10765" width="14.453125" style="147" bestFit="1" customWidth="1"/>
    <col min="10766" max="11008" width="9" style="147"/>
    <col min="11009" max="11009" width="4.08984375" style="147" customWidth="1"/>
    <col min="11010" max="11010" width="23" style="147" bestFit="1" customWidth="1"/>
    <col min="11011" max="11011" width="17.26953125" style="147" customWidth="1"/>
    <col min="11012" max="11016" width="18.7265625" style="147" customWidth="1"/>
    <col min="11017" max="11017" width="18.08984375" style="147" bestFit="1" customWidth="1"/>
    <col min="11018" max="11018" width="13.26953125" style="147" bestFit="1" customWidth="1"/>
    <col min="11019" max="11019" width="12" style="147" bestFit="1" customWidth="1"/>
    <col min="11020" max="11020" width="13.26953125" style="147" bestFit="1" customWidth="1"/>
    <col min="11021" max="11021" width="14.453125" style="147" bestFit="1" customWidth="1"/>
    <col min="11022" max="11264" width="9" style="147"/>
    <col min="11265" max="11265" width="4.08984375" style="147" customWidth="1"/>
    <col min="11266" max="11266" width="23" style="147" bestFit="1" customWidth="1"/>
    <col min="11267" max="11267" width="17.26953125" style="147" customWidth="1"/>
    <col min="11268" max="11272" width="18.7265625" style="147" customWidth="1"/>
    <col min="11273" max="11273" width="18.08984375" style="147" bestFit="1" customWidth="1"/>
    <col min="11274" max="11274" width="13.26953125" style="147" bestFit="1" customWidth="1"/>
    <col min="11275" max="11275" width="12" style="147" bestFit="1" customWidth="1"/>
    <col min="11276" max="11276" width="13.26953125" style="147" bestFit="1" customWidth="1"/>
    <col min="11277" max="11277" width="14.453125" style="147" bestFit="1" customWidth="1"/>
    <col min="11278" max="11520" width="9" style="147"/>
    <col min="11521" max="11521" width="4.08984375" style="147" customWidth="1"/>
    <col min="11522" max="11522" width="23" style="147" bestFit="1" customWidth="1"/>
    <col min="11523" max="11523" width="17.26953125" style="147" customWidth="1"/>
    <col min="11524" max="11528" width="18.7265625" style="147" customWidth="1"/>
    <col min="11529" max="11529" width="18.08984375" style="147" bestFit="1" customWidth="1"/>
    <col min="11530" max="11530" width="13.26953125" style="147" bestFit="1" customWidth="1"/>
    <col min="11531" max="11531" width="12" style="147" bestFit="1" customWidth="1"/>
    <col min="11532" max="11532" width="13.26953125" style="147" bestFit="1" customWidth="1"/>
    <col min="11533" max="11533" width="14.453125" style="147" bestFit="1" customWidth="1"/>
    <col min="11534" max="11776" width="9" style="147"/>
    <col min="11777" max="11777" width="4.08984375" style="147" customWidth="1"/>
    <col min="11778" max="11778" width="23" style="147" bestFit="1" customWidth="1"/>
    <col min="11779" max="11779" width="17.26953125" style="147" customWidth="1"/>
    <col min="11780" max="11784" width="18.7265625" style="147" customWidth="1"/>
    <col min="11785" max="11785" width="18.08984375" style="147" bestFit="1" customWidth="1"/>
    <col min="11786" max="11786" width="13.26953125" style="147" bestFit="1" customWidth="1"/>
    <col min="11787" max="11787" width="12" style="147" bestFit="1" customWidth="1"/>
    <col min="11788" max="11788" width="13.26953125" style="147" bestFit="1" customWidth="1"/>
    <col min="11789" max="11789" width="14.453125" style="147" bestFit="1" customWidth="1"/>
    <col min="11790" max="12032" width="9" style="147"/>
    <col min="12033" max="12033" width="4.08984375" style="147" customWidth="1"/>
    <col min="12034" max="12034" width="23" style="147" bestFit="1" customWidth="1"/>
    <col min="12035" max="12035" width="17.26953125" style="147" customWidth="1"/>
    <col min="12036" max="12040" width="18.7265625" style="147" customWidth="1"/>
    <col min="12041" max="12041" width="18.08984375" style="147" bestFit="1" customWidth="1"/>
    <col min="12042" max="12042" width="13.26953125" style="147" bestFit="1" customWidth="1"/>
    <col min="12043" max="12043" width="12" style="147" bestFit="1" customWidth="1"/>
    <col min="12044" max="12044" width="13.26953125" style="147" bestFit="1" customWidth="1"/>
    <col min="12045" max="12045" width="14.453125" style="147" bestFit="1" customWidth="1"/>
    <col min="12046" max="12288" width="9" style="147"/>
    <col min="12289" max="12289" width="4.08984375" style="147" customWidth="1"/>
    <col min="12290" max="12290" width="23" style="147" bestFit="1" customWidth="1"/>
    <col min="12291" max="12291" width="17.26953125" style="147" customWidth="1"/>
    <col min="12292" max="12296" width="18.7265625" style="147" customWidth="1"/>
    <col min="12297" max="12297" width="18.08984375" style="147" bestFit="1" customWidth="1"/>
    <col min="12298" max="12298" width="13.26953125" style="147" bestFit="1" customWidth="1"/>
    <col min="12299" max="12299" width="12" style="147" bestFit="1" customWidth="1"/>
    <col min="12300" max="12300" width="13.26953125" style="147" bestFit="1" customWidth="1"/>
    <col min="12301" max="12301" width="14.453125" style="147" bestFit="1" customWidth="1"/>
    <col min="12302" max="12544" width="9" style="147"/>
    <col min="12545" max="12545" width="4.08984375" style="147" customWidth="1"/>
    <col min="12546" max="12546" width="23" style="147" bestFit="1" customWidth="1"/>
    <col min="12547" max="12547" width="17.26953125" style="147" customWidth="1"/>
    <col min="12548" max="12552" width="18.7265625" style="147" customWidth="1"/>
    <col min="12553" max="12553" width="18.08984375" style="147" bestFit="1" customWidth="1"/>
    <col min="12554" max="12554" width="13.26953125" style="147" bestFit="1" customWidth="1"/>
    <col min="12555" max="12555" width="12" style="147" bestFit="1" customWidth="1"/>
    <col min="12556" max="12556" width="13.26953125" style="147" bestFit="1" customWidth="1"/>
    <col min="12557" max="12557" width="14.453125" style="147" bestFit="1" customWidth="1"/>
    <col min="12558" max="12800" width="9" style="147"/>
    <col min="12801" max="12801" width="4.08984375" style="147" customWidth="1"/>
    <col min="12802" max="12802" width="23" style="147" bestFit="1" customWidth="1"/>
    <col min="12803" max="12803" width="17.26953125" style="147" customWidth="1"/>
    <col min="12804" max="12808" width="18.7265625" style="147" customWidth="1"/>
    <col min="12809" max="12809" width="18.08984375" style="147" bestFit="1" customWidth="1"/>
    <col min="12810" max="12810" width="13.26953125" style="147" bestFit="1" customWidth="1"/>
    <col min="12811" max="12811" width="12" style="147" bestFit="1" customWidth="1"/>
    <col min="12812" max="12812" width="13.26953125" style="147" bestFit="1" customWidth="1"/>
    <col min="12813" max="12813" width="14.453125" style="147" bestFit="1" customWidth="1"/>
    <col min="12814" max="13056" width="9" style="147"/>
    <col min="13057" max="13057" width="4.08984375" style="147" customWidth="1"/>
    <col min="13058" max="13058" width="23" style="147" bestFit="1" customWidth="1"/>
    <col min="13059" max="13059" width="17.26953125" style="147" customWidth="1"/>
    <col min="13060" max="13064" width="18.7265625" style="147" customWidth="1"/>
    <col min="13065" max="13065" width="18.08984375" style="147" bestFit="1" customWidth="1"/>
    <col min="13066" max="13066" width="13.26953125" style="147" bestFit="1" customWidth="1"/>
    <col min="13067" max="13067" width="12" style="147" bestFit="1" customWidth="1"/>
    <col min="13068" max="13068" width="13.26953125" style="147" bestFit="1" customWidth="1"/>
    <col min="13069" max="13069" width="14.453125" style="147" bestFit="1" customWidth="1"/>
    <col min="13070" max="13312" width="9" style="147"/>
    <col min="13313" max="13313" width="4.08984375" style="147" customWidth="1"/>
    <col min="13314" max="13314" width="23" style="147" bestFit="1" customWidth="1"/>
    <col min="13315" max="13315" width="17.26953125" style="147" customWidth="1"/>
    <col min="13316" max="13320" width="18.7265625" style="147" customWidth="1"/>
    <col min="13321" max="13321" width="18.08984375" style="147" bestFit="1" customWidth="1"/>
    <col min="13322" max="13322" width="13.26953125" style="147" bestFit="1" customWidth="1"/>
    <col min="13323" max="13323" width="12" style="147" bestFit="1" customWidth="1"/>
    <col min="13324" max="13324" width="13.26953125" style="147" bestFit="1" customWidth="1"/>
    <col min="13325" max="13325" width="14.453125" style="147" bestFit="1" customWidth="1"/>
    <col min="13326" max="13568" width="9" style="147"/>
    <col min="13569" max="13569" width="4.08984375" style="147" customWidth="1"/>
    <col min="13570" max="13570" width="23" style="147" bestFit="1" customWidth="1"/>
    <col min="13571" max="13571" width="17.26953125" style="147" customWidth="1"/>
    <col min="13572" max="13576" width="18.7265625" style="147" customWidth="1"/>
    <col min="13577" max="13577" width="18.08984375" style="147" bestFit="1" customWidth="1"/>
    <col min="13578" max="13578" width="13.26953125" style="147" bestFit="1" customWidth="1"/>
    <col min="13579" max="13579" width="12" style="147" bestFit="1" customWidth="1"/>
    <col min="13580" max="13580" width="13.26953125" style="147" bestFit="1" customWidth="1"/>
    <col min="13581" max="13581" width="14.453125" style="147" bestFit="1" customWidth="1"/>
    <col min="13582" max="13824" width="9" style="147"/>
    <col min="13825" max="13825" width="4.08984375" style="147" customWidth="1"/>
    <col min="13826" max="13826" width="23" style="147" bestFit="1" customWidth="1"/>
    <col min="13827" max="13827" width="17.26953125" style="147" customWidth="1"/>
    <col min="13828" max="13832" width="18.7265625" style="147" customWidth="1"/>
    <col min="13833" max="13833" width="18.08984375" style="147" bestFit="1" customWidth="1"/>
    <col min="13834" max="13834" width="13.26953125" style="147" bestFit="1" customWidth="1"/>
    <col min="13835" max="13835" width="12" style="147" bestFit="1" customWidth="1"/>
    <col min="13836" max="13836" width="13.26953125" style="147" bestFit="1" customWidth="1"/>
    <col min="13837" max="13837" width="14.453125" style="147" bestFit="1" customWidth="1"/>
    <col min="13838" max="14080" width="9" style="147"/>
    <col min="14081" max="14081" width="4.08984375" style="147" customWidth="1"/>
    <col min="14082" max="14082" width="23" style="147" bestFit="1" customWidth="1"/>
    <col min="14083" max="14083" width="17.26953125" style="147" customWidth="1"/>
    <col min="14084" max="14088" width="18.7265625" style="147" customWidth="1"/>
    <col min="14089" max="14089" width="18.08984375" style="147" bestFit="1" customWidth="1"/>
    <col min="14090" max="14090" width="13.26953125" style="147" bestFit="1" customWidth="1"/>
    <col min="14091" max="14091" width="12" style="147" bestFit="1" customWidth="1"/>
    <col min="14092" max="14092" width="13.26953125" style="147" bestFit="1" customWidth="1"/>
    <col min="14093" max="14093" width="14.453125" style="147" bestFit="1" customWidth="1"/>
    <col min="14094" max="14336" width="9" style="147"/>
    <col min="14337" max="14337" width="4.08984375" style="147" customWidth="1"/>
    <col min="14338" max="14338" width="23" style="147" bestFit="1" customWidth="1"/>
    <col min="14339" max="14339" width="17.26953125" style="147" customWidth="1"/>
    <col min="14340" max="14344" width="18.7265625" style="147" customWidth="1"/>
    <col min="14345" max="14345" width="18.08984375" style="147" bestFit="1" customWidth="1"/>
    <col min="14346" max="14346" width="13.26953125" style="147" bestFit="1" customWidth="1"/>
    <col min="14347" max="14347" width="12" style="147" bestFit="1" customWidth="1"/>
    <col min="14348" max="14348" width="13.26953125" style="147" bestFit="1" customWidth="1"/>
    <col min="14349" max="14349" width="14.453125" style="147" bestFit="1" customWidth="1"/>
    <col min="14350" max="14592" width="9" style="147"/>
    <col min="14593" max="14593" width="4.08984375" style="147" customWidth="1"/>
    <col min="14594" max="14594" width="23" style="147" bestFit="1" customWidth="1"/>
    <col min="14595" max="14595" width="17.26953125" style="147" customWidth="1"/>
    <col min="14596" max="14600" width="18.7265625" style="147" customWidth="1"/>
    <col min="14601" max="14601" width="18.08984375" style="147" bestFit="1" customWidth="1"/>
    <col min="14602" max="14602" width="13.26953125" style="147" bestFit="1" customWidth="1"/>
    <col min="14603" max="14603" width="12" style="147" bestFit="1" customWidth="1"/>
    <col min="14604" max="14604" width="13.26953125" style="147" bestFit="1" customWidth="1"/>
    <col min="14605" max="14605" width="14.453125" style="147" bestFit="1" customWidth="1"/>
    <col min="14606" max="14848" width="9" style="147"/>
    <col min="14849" max="14849" width="4.08984375" style="147" customWidth="1"/>
    <col min="14850" max="14850" width="23" style="147" bestFit="1" customWidth="1"/>
    <col min="14851" max="14851" width="17.26953125" style="147" customWidth="1"/>
    <col min="14852" max="14856" width="18.7265625" style="147" customWidth="1"/>
    <col min="14857" max="14857" width="18.08984375" style="147" bestFit="1" customWidth="1"/>
    <col min="14858" max="14858" width="13.26953125" style="147" bestFit="1" customWidth="1"/>
    <col min="14859" max="14859" width="12" style="147" bestFit="1" customWidth="1"/>
    <col min="14860" max="14860" width="13.26953125" style="147" bestFit="1" customWidth="1"/>
    <col min="14861" max="14861" width="14.453125" style="147" bestFit="1" customWidth="1"/>
    <col min="14862" max="15104" width="9" style="147"/>
    <col min="15105" max="15105" width="4.08984375" style="147" customWidth="1"/>
    <col min="15106" max="15106" width="23" style="147" bestFit="1" customWidth="1"/>
    <col min="15107" max="15107" width="17.26953125" style="147" customWidth="1"/>
    <col min="15108" max="15112" width="18.7265625" style="147" customWidth="1"/>
    <col min="15113" max="15113" width="18.08984375" style="147" bestFit="1" customWidth="1"/>
    <col min="15114" max="15114" width="13.26953125" style="147" bestFit="1" customWidth="1"/>
    <col min="15115" max="15115" width="12" style="147" bestFit="1" customWidth="1"/>
    <col min="15116" max="15116" width="13.26953125" style="147" bestFit="1" customWidth="1"/>
    <col min="15117" max="15117" width="14.453125" style="147" bestFit="1" customWidth="1"/>
    <col min="15118" max="15360" width="9" style="147"/>
    <col min="15361" max="15361" width="4.08984375" style="147" customWidth="1"/>
    <col min="15362" max="15362" width="23" style="147" bestFit="1" customWidth="1"/>
    <col min="15363" max="15363" width="17.26953125" style="147" customWidth="1"/>
    <col min="15364" max="15368" width="18.7265625" style="147" customWidth="1"/>
    <col min="15369" max="15369" width="18.08984375" style="147" bestFit="1" customWidth="1"/>
    <col min="15370" max="15370" width="13.26953125" style="147" bestFit="1" customWidth="1"/>
    <col min="15371" max="15371" width="12" style="147" bestFit="1" customWidth="1"/>
    <col min="15372" max="15372" width="13.26953125" style="147" bestFit="1" customWidth="1"/>
    <col min="15373" max="15373" width="14.453125" style="147" bestFit="1" customWidth="1"/>
    <col min="15374" max="15616" width="9" style="147"/>
    <col min="15617" max="15617" width="4.08984375" style="147" customWidth="1"/>
    <col min="15618" max="15618" width="23" style="147" bestFit="1" customWidth="1"/>
    <col min="15619" max="15619" width="17.26953125" style="147" customWidth="1"/>
    <col min="15620" max="15624" width="18.7265625" style="147" customWidth="1"/>
    <col min="15625" max="15625" width="18.08984375" style="147" bestFit="1" customWidth="1"/>
    <col min="15626" max="15626" width="13.26953125" style="147" bestFit="1" customWidth="1"/>
    <col min="15627" max="15627" width="12" style="147" bestFit="1" customWidth="1"/>
    <col min="15628" max="15628" width="13.26953125" style="147" bestFit="1" customWidth="1"/>
    <col min="15629" max="15629" width="14.453125" style="147" bestFit="1" customWidth="1"/>
    <col min="15630" max="15872" width="9" style="147"/>
    <col min="15873" max="15873" width="4.08984375" style="147" customWidth="1"/>
    <col min="15874" max="15874" width="23" style="147" bestFit="1" customWidth="1"/>
    <col min="15875" max="15875" width="17.26953125" style="147" customWidth="1"/>
    <col min="15876" max="15880" width="18.7265625" style="147" customWidth="1"/>
    <col min="15881" max="15881" width="18.08984375" style="147" bestFit="1" customWidth="1"/>
    <col min="15882" max="15882" width="13.26953125" style="147" bestFit="1" customWidth="1"/>
    <col min="15883" max="15883" width="12" style="147" bestFit="1" customWidth="1"/>
    <col min="15884" max="15884" width="13.26953125" style="147" bestFit="1" customWidth="1"/>
    <col min="15885" max="15885" width="14.453125" style="147" bestFit="1" customWidth="1"/>
    <col min="15886" max="16128" width="9" style="147"/>
    <col min="16129" max="16129" width="4.08984375" style="147" customWidth="1"/>
    <col min="16130" max="16130" width="23" style="147" bestFit="1" customWidth="1"/>
    <col min="16131" max="16131" width="17.26953125" style="147" customWidth="1"/>
    <col min="16132" max="16136" width="18.7265625" style="147" customWidth="1"/>
    <col min="16137" max="16137" width="18.08984375" style="147" bestFit="1" customWidth="1"/>
    <col min="16138" max="16138" width="13.26953125" style="147" bestFit="1" customWidth="1"/>
    <col min="16139" max="16139" width="12" style="147" bestFit="1" customWidth="1"/>
    <col min="16140" max="16140" width="13.26953125" style="147" bestFit="1" customWidth="1"/>
    <col min="16141" max="16141" width="14.453125" style="147" bestFit="1" customWidth="1"/>
    <col min="16142" max="16384" width="9" style="147"/>
  </cols>
  <sheetData>
    <row r="2" spans="1:15" s="142" customFormat="1">
      <c r="C2" s="143" t="s">
        <v>156</v>
      </c>
      <c r="D2" s="144"/>
      <c r="E2" s="145" t="s">
        <v>1</v>
      </c>
      <c r="F2" s="146"/>
      <c r="I2" s="145" t="s">
        <v>1</v>
      </c>
      <c r="J2" s="146"/>
      <c r="M2" s="145" t="s">
        <v>1</v>
      </c>
      <c r="N2" s="146"/>
    </row>
    <row r="3" spans="1:15" ht="28.9" customHeight="1">
      <c r="A3" s="336" t="s">
        <v>157</v>
      </c>
      <c r="B3" s="337"/>
      <c r="C3" s="247" t="s">
        <v>158</v>
      </c>
      <c r="D3" s="263">
        <v>45748</v>
      </c>
      <c r="E3" s="264">
        <f>IF(MONTH(D3)=12,EDATE(D3,1),EDATE(D3,1))</f>
        <v>45778</v>
      </c>
      <c r="F3" s="263">
        <f t="shared" ref="F3:H3" si="0">IF(MONTH(E3)=12,EDATE(E3,1),EDATE(E3,1))</f>
        <v>45809</v>
      </c>
      <c r="G3" s="264">
        <f t="shared" si="0"/>
        <v>45839</v>
      </c>
      <c r="H3" s="263">
        <f t="shared" si="0"/>
        <v>45870</v>
      </c>
      <c r="I3" s="264">
        <f>IF(MONTH(H3)=12,EDATE(H3,1),EDATE(H3,1))</f>
        <v>45901</v>
      </c>
      <c r="J3" s="263">
        <f t="shared" ref="J3" si="1">IF(MONTH(I3)=12,EDATE(I3,1),EDATE(I3,1))</f>
        <v>45931</v>
      </c>
      <c r="K3" s="264">
        <f t="shared" ref="K3" si="2">IF(MONTH(J3)=12,EDATE(J3,1),EDATE(J3,1))</f>
        <v>45962</v>
      </c>
      <c r="L3" s="263">
        <f t="shared" ref="L3" si="3">IF(MONTH(K3)=12,EDATE(K3,1),EDATE(K3,1))</f>
        <v>45992</v>
      </c>
      <c r="M3" s="264">
        <f>IF(MONTH(L3)=12,EDATE(L3,1),EDATE(L3,1))</f>
        <v>46023</v>
      </c>
      <c r="N3" s="263">
        <f t="shared" ref="N3" si="4">IF(MONTH(M3)=12,EDATE(M3,1),EDATE(M3,1))</f>
        <v>46054</v>
      </c>
      <c r="O3" s="264">
        <f t="shared" ref="O3" si="5">IF(MONTH(N3)=12,EDATE(N3,1),EDATE(N3,1))</f>
        <v>46082</v>
      </c>
    </row>
    <row r="4" spans="1:15" ht="15" customHeight="1">
      <c r="A4" s="350" t="s">
        <v>159</v>
      </c>
      <c r="B4" s="350"/>
      <c r="C4" s="148" t="s">
        <v>160</v>
      </c>
      <c r="D4" s="149">
        <f t="shared" ref="D4:G5" si="6">D127</f>
        <v>324649.57999999996</v>
      </c>
      <c r="E4" s="149">
        <f t="shared" si="6"/>
        <v>324649.58000000007</v>
      </c>
      <c r="F4" s="149">
        <f t="shared" si="6"/>
        <v>324649.58</v>
      </c>
      <c r="G4" s="149">
        <f t="shared" si="6"/>
        <v>324649.57999999996</v>
      </c>
      <c r="H4" s="149">
        <f>H127</f>
        <v>324649.57999999984</v>
      </c>
      <c r="I4" s="149">
        <f t="shared" ref="I4:K4" si="7">I127</f>
        <v>324649.58000000007</v>
      </c>
      <c r="J4" s="149">
        <f t="shared" si="7"/>
        <v>324649.57999999996</v>
      </c>
      <c r="K4" s="149">
        <f t="shared" si="7"/>
        <v>324649.58</v>
      </c>
      <c r="L4" s="149">
        <f>L127</f>
        <v>324649.5799999999</v>
      </c>
      <c r="M4" s="149">
        <f t="shared" ref="M4:O4" si="8">M127</f>
        <v>324649.57999999996</v>
      </c>
      <c r="N4" s="149">
        <f t="shared" si="8"/>
        <v>324649.57999999996</v>
      </c>
      <c r="O4" s="149">
        <f t="shared" si="8"/>
        <v>324649.58</v>
      </c>
    </row>
    <row r="5" spans="1:15" ht="15" customHeight="1" thickBot="1">
      <c r="A5" s="351"/>
      <c r="B5" s="351"/>
      <c r="C5" s="151" t="s">
        <v>161</v>
      </c>
      <c r="D5" s="253">
        <f t="shared" si="6"/>
        <v>21912.559999999998</v>
      </c>
      <c r="E5" s="253">
        <f t="shared" si="6"/>
        <v>21912.559999999994</v>
      </c>
      <c r="F5" s="253">
        <f t="shared" si="6"/>
        <v>21912.559999999994</v>
      </c>
      <c r="G5" s="253">
        <f t="shared" si="6"/>
        <v>21912.559999999994</v>
      </c>
      <c r="H5" s="253">
        <f>H128</f>
        <v>21912.559999999994</v>
      </c>
      <c r="I5" s="253">
        <f t="shared" ref="I5:K5" si="9">I128</f>
        <v>21912.560000000001</v>
      </c>
      <c r="J5" s="253">
        <f t="shared" si="9"/>
        <v>21912.560000000005</v>
      </c>
      <c r="K5" s="253">
        <f t="shared" si="9"/>
        <v>21912.560000000001</v>
      </c>
      <c r="L5" s="253">
        <f>L128</f>
        <v>21912.560000000005</v>
      </c>
      <c r="M5" s="253">
        <f t="shared" ref="M5:O5" si="10">M128</f>
        <v>21912.559999999998</v>
      </c>
      <c r="N5" s="253">
        <f t="shared" si="10"/>
        <v>21912.560000000012</v>
      </c>
      <c r="O5" s="253">
        <f t="shared" si="10"/>
        <v>21912.560000000005</v>
      </c>
    </row>
    <row r="6" spans="1:15" ht="15" customHeight="1" thickTop="1">
      <c r="A6" s="152"/>
      <c r="B6" s="153"/>
      <c r="C6" s="154"/>
      <c r="D6" s="155"/>
      <c r="E6" s="155"/>
      <c r="F6" s="155"/>
      <c r="G6" s="155"/>
      <c r="H6" s="155"/>
      <c r="I6" s="155"/>
      <c r="J6" s="155"/>
      <c r="K6" s="155"/>
      <c r="L6" s="155"/>
      <c r="M6" s="155"/>
      <c r="N6" s="155"/>
      <c r="O6" s="155"/>
    </row>
    <row r="7" spans="1:15" ht="15" customHeight="1">
      <c r="A7" s="350">
        <v>1</v>
      </c>
      <c r="B7" s="156" t="s">
        <v>91</v>
      </c>
      <c r="C7" s="157" t="s">
        <v>160</v>
      </c>
      <c r="D7" s="249">
        <f>VLOOKUP(B8,'B&amp;L'!$A$7:$BK$66,5,0)</f>
        <v>12999.61</v>
      </c>
      <c r="E7" s="249">
        <f>VLOOKUP(B8,'B&amp;L'!$A$7:$BK$66,10,0)</f>
        <v>13091.67</v>
      </c>
      <c r="F7" s="249">
        <f>VLOOKUP(B8,'B&amp;L'!$A$7:$BK$66,15,0)</f>
        <v>13093.19</v>
      </c>
      <c r="G7" s="249">
        <f>VLOOKUP(B8,'B&amp;L'!$A$7:$BK$66,20,0)</f>
        <v>13352.16</v>
      </c>
      <c r="H7" s="249">
        <f>VLOOKUP(B8,'B&amp;L'!$A$7:$BK$66,25,0)</f>
        <v>13489.38</v>
      </c>
      <c r="I7" s="249">
        <f>VLOOKUP(B8,'B&amp;L'!$A$7:$BK$66,30,0)</f>
        <v>13916.72</v>
      </c>
      <c r="J7" s="249">
        <f>VLOOKUP(B8,'B&amp;L'!$A$7:$BK$66,35,0)</f>
        <v>14298.78</v>
      </c>
      <c r="K7" s="249">
        <f>VLOOKUP(B8,'B&amp;L'!$A$7:$BK$66,40,0)</f>
        <v>14302.71</v>
      </c>
      <c r="L7" s="249">
        <f>VLOOKUP(B8,'B&amp;L'!$A$7:$BK$66,45,0)</f>
        <v>14305.64</v>
      </c>
      <c r="M7" s="249">
        <f>VLOOKUP(B8,'B&amp;L'!$A$7:$BK$66,50,0)</f>
        <v>14271.06</v>
      </c>
      <c r="N7" s="249">
        <f>VLOOKUP(B8,'B&amp;L'!$A$7:$BK$66,55,0)</f>
        <v>14409.35</v>
      </c>
      <c r="O7" s="249">
        <f>VLOOKUP(B8,'B&amp;L'!$A$7:$BK$66,60,0)</f>
        <v>14243.12</v>
      </c>
    </row>
    <row r="8" spans="1:15" ht="15" customHeight="1">
      <c r="A8" s="350"/>
      <c r="B8" s="158">
        <v>1412000004</v>
      </c>
      <c r="C8" s="159" t="s">
        <v>161</v>
      </c>
      <c r="D8" s="248">
        <f>VLOOKUP(B8,'B&amp;L'!$A$7:$BK$66,6,0)</f>
        <v>877.42</v>
      </c>
      <c r="E8" s="248">
        <f>VLOOKUP(B8,'B&amp;L'!$A$7:$BK$66,11,0)</f>
        <v>883.64</v>
      </c>
      <c r="F8" s="248">
        <f>VLOOKUP(B8,'B&amp;L'!$A$7:$BK$66,16,0)</f>
        <v>883.74</v>
      </c>
      <c r="G8" s="248">
        <f>VLOOKUP(B8,'B&amp;L'!$A$7:$BK$66,21,0)</f>
        <v>901.22</v>
      </c>
      <c r="H8" s="248">
        <f>VLOOKUP(B8,'B&amp;L'!$A$7:$BK$66,26,0)</f>
        <v>910.48</v>
      </c>
      <c r="I8" s="248">
        <f>VLOOKUP(B8,'B&amp;L'!$A$7:$BK$66,31,0)</f>
        <v>939.32</v>
      </c>
      <c r="J8" s="248">
        <f>VLOOKUP(B8,'B&amp;L'!$A$7:$BK$66,36,0)</f>
        <v>965.11</v>
      </c>
      <c r="K8" s="248">
        <f>VLOOKUP(B8,'B&amp;L'!$A$7:$BK$66,41,0)</f>
        <v>965.38</v>
      </c>
      <c r="L8" s="248">
        <f>VLOOKUP(B8,'B&amp;L'!$A$7:$BK$66,46,0)</f>
        <v>965.57</v>
      </c>
      <c r="M8" s="248">
        <f>VLOOKUP(B8,'B&amp;L'!$A$7:$BK$66,51,0)</f>
        <v>963.24</v>
      </c>
      <c r="N8" s="248">
        <f>VLOOKUP(B8,'B&amp;L'!$A$7:$BK$66,56,0)</f>
        <v>972.57</v>
      </c>
      <c r="O8" s="248">
        <f>VLOOKUP(B8,'B&amp;L'!$A$7:$BK$66,61,0)</f>
        <v>961.35</v>
      </c>
    </row>
    <row r="9" spans="1:15" s="162" customFormat="1" ht="15" customHeight="1">
      <c r="A9" s="352">
        <v>2</v>
      </c>
      <c r="B9" s="160" t="s">
        <v>87</v>
      </c>
      <c r="C9" s="161" t="s">
        <v>160</v>
      </c>
      <c r="D9" s="249">
        <f>VLOOKUP(B10,'B&amp;L'!$A$7:$BK$66,5,0)</f>
        <v>18277.98</v>
      </c>
      <c r="E9" s="249">
        <f>VLOOKUP(B10,'B&amp;L'!$A$7:$BK$66,10,0)</f>
        <v>18240.38</v>
      </c>
      <c r="F9" s="249">
        <f>VLOOKUP(B10,'B&amp;L'!$A$7:$BK$66,15,0)</f>
        <v>18384.87</v>
      </c>
      <c r="G9" s="249">
        <f>VLOOKUP(B10,'B&amp;L'!$A$7:$BK$66,20,0)</f>
        <v>18429.009999999998</v>
      </c>
      <c r="H9" s="249">
        <f>VLOOKUP(B10,'B&amp;L'!$A$7:$BK$66,25,0)</f>
        <v>18381.79</v>
      </c>
      <c r="I9" s="249">
        <f>VLOOKUP(B10,'B&amp;L'!$A$7:$BK$66,30,0)</f>
        <v>18243.11</v>
      </c>
      <c r="J9" s="249">
        <f>VLOOKUP(B10,'B&amp;L'!$A$7:$BK$66,35,0)</f>
        <v>18279.849999999999</v>
      </c>
      <c r="K9" s="249">
        <f>VLOOKUP(B10,'B&amp;L'!$A$7:$BK$66,40,0)</f>
        <v>18389.310000000001</v>
      </c>
      <c r="L9" s="249">
        <f>VLOOKUP(B10,'B&amp;L'!$A$7:$BK$66,45,0)</f>
        <v>18350.939999999999</v>
      </c>
      <c r="M9" s="249">
        <f>VLOOKUP(B10,'B&amp;L'!$A$7:$BK$66,50,0)</f>
        <v>18446.900000000001</v>
      </c>
      <c r="N9" s="249">
        <f>VLOOKUP(B10,'B&amp;L'!$A$7:$BK$66,55,0)</f>
        <v>18446.509999999998</v>
      </c>
      <c r="O9" s="249">
        <f>VLOOKUP(B10,'B&amp;L'!$A$7:$BK$66,60,0)</f>
        <v>18274.13</v>
      </c>
    </row>
    <row r="10" spans="1:15" s="162" customFormat="1" ht="15" customHeight="1">
      <c r="A10" s="352"/>
      <c r="B10" s="163">
        <v>1412000005</v>
      </c>
      <c r="C10" s="164" t="s">
        <v>161</v>
      </c>
      <c r="D10" s="248">
        <f>VLOOKUP(B10,'B&amp;L'!$A$7:$BK$66,6,0)</f>
        <v>1233.69</v>
      </c>
      <c r="E10" s="248">
        <f>VLOOKUP(B10,'B&amp;L'!$A$7:$BK$66,11,0)</f>
        <v>1231.1500000000001</v>
      </c>
      <c r="F10" s="248">
        <f>VLOOKUP(B10,'B&amp;L'!$A$7:$BK$66,16,0)</f>
        <v>1240.9100000000001</v>
      </c>
      <c r="G10" s="248">
        <f>VLOOKUP(B10,'B&amp;L'!$A$7:$BK$66,21,0)</f>
        <v>1243.8900000000001</v>
      </c>
      <c r="H10" s="248">
        <f>VLOOKUP(B10,'B&amp;L'!$A$7:$BK$66,26,0)</f>
        <v>1240.7</v>
      </c>
      <c r="I10" s="248">
        <f>VLOOKUP(B10,'B&amp;L'!$A$7:$BK$66,31,0)</f>
        <v>1231.3399999999999</v>
      </c>
      <c r="J10" s="248">
        <f>VLOOKUP(B10,'B&amp;L'!$A$7:$BK$66,36,0)</f>
        <v>1233.82</v>
      </c>
      <c r="K10" s="248">
        <f>VLOOKUP(B10,'B&amp;L'!$A$7:$BK$66,41,0)</f>
        <v>1241.21</v>
      </c>
      <c r="L10" s="248">
        <f>VLOOKUP(B10,'B&amp;L'!$A$7:$BK$66,46,0)</f>
        <v>1238.6199999999999</v>
      </c>
      <c r="M10" s="248">
        <f>VLOOKUP(B10,'B&amp;L'!$A$7:$BK$66,51,0)</f>
        <v>1245.0899999999999</v>
      </c>
      <c r="N10" s="248">
        <f>VLOOKUP(B10,'B&amp;L'!$A$7:$BK$66,56,0)</f>
        <v>1245.07</v>
      </c>
      <c r="O10" s="248">
        <f>VLOOKUP(B10,'B&amp;L'!$A$7:$BK$66,61,0)</f>
        <v>1233.43</v>
      </c>
    </row>
    <row r="11" spans="1:15" ht="15" customHeight="1">
      <c r="A11" s="340">
        <v>3</v>
      </c>
      <c r="B11" s="165" t="s">
        <v>93</v>
      </c>
      <c r="C11" s="157" t="s">
        <v>160</v>
      </c>
      <c r="D11" s="249">
        <f>VLOOKUP(B12,'B&amp;L'!$A$7:$BK$66,5,0)</f>
        <v>206.08</v>
      </c>
      <c r="E11" s="249">
        <f>VLOOKUP(B12,'B&amp;L'!$A$7:$BK$66,10,0)</f>
        <v>208.84</v>
      </c>
      <c r="F11" s="249">
        <f>VLOOKUP(B12,'B&amp;L'!$A$7:$BK$66,15,0)</f>
        <v>213.68</v>
      </c>
      <c r="G11" s="249">
        <f>VLOOKUP(B12,'B&amp;L'!$A$7:$BK$66,20,0)</f>
        <v>201.45</v>
      </c>
      <c r="H11" s="249">
        <f>VLOOKUP(B12,'B&amp;L'!$A$7:$BK$66,25,0)</f>
        <v>198.33</v>
      </c>
      <c r="I11" s="249">
        <f>VLOOKUP(B12,'B&amp;L'!$A$7:$BK$66,30,0)</f>
        <v>199.47</v>
      </c>
      <c r="J11" s="249">
        <f>VLOOKUP(B12,'B&amp;L'!$A$7:$BK$66,35,0)</f>
        <v>198.01</v>
      </c>
      <c r="K11" s="249">
        <f>VLOOKUP(B12,'B&amp;L'!$A$7:$BK$66,40,0)</f>
        <v>195.29</v>
      </c>
      <c r="L11" s="249">
        <f>VLOOKUP(B12,'B&amp;L'!$A$7:$BK$66,45,0)</f>
        <v>196.71</v>
      </c>
      <c r="M11" s="249">
        <f>VLOOKUP(B12,'B&amp;L'!$A$7:$BK$66,50,0)</f>
        <v>191.52</v>
      </c>
      <c r="N11" s="249">
        <f>VLOOKUP(B12,'B&amp;L'!$A$7:$BK$66,55,0)</f>
        <v>186.37</v>
      </c>
      <c r="O11" s="249">
        <f>VLOOKUP(B12,'B&amp;L'!$A$7:$BK$66,60,0)</f>
        <v>192.93</v>
      </c>
    </row>
    <row r="12" spans="1:15" ht="15" customHeight="1">
      <c r="A12" s="341"/>
      <c r="B12" s="166">
        <v>1412000062</v>
      </c>
      <c r="C12" s="159" t="s">
        <v>161</v>
      </c>
      <c r="D12" s="248">
        <f>VLOOKUP(B12,'B&amp;L'!$A$7:$BK$66,6,0)</f>
        <v>13.91</v>
      </c>
      <c r="E12" s="248">
        <f>VLOOKUP(B12,'B&amp;L'!$A$7:$BK$66,11,0)</f>
        <v>14.1</v>
      </c>
      <c r="F12" s="248">
        <f>VLOOKUP(B12,'B&amp;L'!$A$7:$BK$66,16,0)</f>
        <v>14.42</v>
      </c>
      <c r="G12" s="248">
        <f>VLOOKUP(B12,'B&amp;L'!$A$7:$BK$66,21,0)</f>
        <v>13.6</v>
      </c>
      <c r="H12" s="248">
        <f>VLOOKUP(B12,'B&amp;L'!$A$7:$BK$66,26,0)</f>
        <v>13.39</v>
      </c>
      <c r="I12" s="248">
        <f>VLOOKUP(B12,'B&amp;L'!$A$7:$BK$66,31,0)</f>
        <v>13.46</v>
      </c>
      <c r="J12" s="248">
        <f>VLOOKUP(B12,'B&amp;L'!$A$7:$BK$66,36,0)</f>
        <v>13.36</v>
      </c>
      <c r="K12" s="248">
        <f>VLOOKUP(B12,'B&amp;L'!$A$7:$BK$66,41,0)</f>
        <v>13.18</v>
      </c>
      <c r="L12" s="248">
        <f>VLOOKUP(B12,'B&amp;L'!$A$7:$BK$66,46,0)</f>
        <v>13.28</v>
      </c>
      <c r="M12" s="248">
        <f>VLOOKUP(B12,'B&amp;L'!$A$7:$BK$66,51,0)</f>
        <v>12.93</v>
      </c>
      <c r="N12" s="248">
        <f>VLOOKUP(B12,'B&amp;L'!$A$7:$BK$66,56,0)</f>
        <v>12.58</v>
      </c>
      <c r="O12" s="248">
        <f>VLOOKUP(B12,'B&amp;L'!$A$7:$BK$66,61,0)</f>
        <v>13.02</v>
      </c>
    </row>
    <row r="13" spans="1:15" ht="15" customHeight="1">
      <c r="A13" s="340">
        <v>4</v>
      </c>
      <c r="B13" s="165" t="s">
        <v>58</v>
      </c>
      <c r="C13" s="157" t="s">
        <v>160</v>
      </c>
      <c r="D13" s="249">
        <f>VLOOKUP(B14,'B&amp;L'!$A$7:$BK$66,5,0)</f>
        <v>6382.73</v>
      </c>
      <c r="E13" s="249">
        <f>VLOOKUP(B14,'B&amp;L'!$A$7:$BK$66,10,0)</f>
        <v>6382.73</v>
      </c>
      <c r="F13" s="249">
        <f>VLOOKUP(B14,'B&amp;L'!$A$7:$BK$66,15,0)</f>
        <v>6382.73</v>
      </c>
      <c r="G13" s="249">
        <f>VLOOKUP(B14,'B&amp;L'!$A$7:$BK$66,20,0)</f>
        <v>6382.73</v>
      </c>
      <c r="H13" s="249">
        <f>VLOOKUP(B14,'B&amp;L'!$A$7:$BK$66,25,0)</f>
        <v>6382.73</v>
      </c>
      <c r="I13" s="249">
        <f>VLOOKUP(B14,'B&amp;L'!$A$7:$BK$66,30,0)</f>
        <v>6382.73</v>
      </c>
      <c r="J13" s="249">
        <f>VLOOKUP(B14,'B&amp;L'!$A$7:$BK$66,35,0)</f>
        <v>6382.73</v>
      </c>
      <c r="K13" s="249">
        <f>VLOOKUP(B14,'B&amp;L'!$A$7:$BK$66,40,0)</f>
        <v>6382.73</v>
      </c>
      <c r="L13" s="249">
        <f>VLOOKUP(B14,'B&amp;L'!$A$7:$BK$66,45,0)</f>
        <v>6382.73</v>
      </c>
      <c r="M13" s="249">
        <f>VLOOKUP(B14,'B&amp;L'!$A$7:$BK$66,50,0)</f>
        <v>6382.73</v>
      </c>
      <c r="N13" s="249">
        <f>VLOOKUP(B14,'B&amp;L'!$A$7:$BK$66,55,0)</f>
        <v>6382.73</v>
      </c>
      <c r="O13" s="249">
        <f>VLOOKUP(B14,'B&amp;L'!$A$7:$BK$66,60,0)</f>
        <v>6382.73</v>
      </c>
    </row>
    <row r="14" spans="1:15" ht="15" customHeight="1">
      <c r="A14" s="341"/>
      <c r="B14" s="166">
        <v>1412000066</v>
      </c>
      <c r="C14" s="159" t="s">
        <v>161</v>
      </c>
      <c r="D14" s="248">
        <f>VLOOKUP(B14,'B&amp;L'!$A$7:$BK$66,6,0)</f>
        <v>430.81</v>
      </c>
      <c r="E14" s="248">
        <f>VLOOKUP(B14,'B&amp;L'!$A$7:$BK$66,11,0)</f>
        <v>430.81</v>
      </c>
      <c r="F14" s="248">
        <f>VLOOKUP(B14,'B&amp;L'!$A$7:$BK$66,16,0)</f>
        <v>430.81</v>
      </c>
      <c r="G14" s="248">
        <f>VLOOKUP(B14,'B&amp;L'!$A$7:$BK$66,21,0)</f>
        <v>430.81</v>
      </c>
      <c r="H14" s="248">
        <f>VLOOKUP(B14,'B&amp;L'!$A$7:$BK$66,26,0)</f>
        <v>430.81</v>
      </c>
      <c r="I14" s="248">
        <f>VLOOKUP(B14,'B&amp;L'!$A$7:$BK$66,31,0)</f>
        <v>430.81</v>
      </c>
      <c r="J14" s="248">
        <f>VLOOKUP(B14,'B&amp;L'!$A$7:$BK$66,36,0)</f>
        <v>430.81</v>
      </c>
      <c r="K14" s="248">
        <f>VLOOKUP(B14,'B&amp;L'!$A$7:$BK$66,41,0)</f>
        <v>430.81</v>
      </c>
      <c r="L14" s="248">
        <f>VLOOKUP(B14,'B&amp;L'!$A$7:$BK$66,46,0)</f>
        <v>430.81</v>
      </c>
      <c r="M14" s="248">
        <f>VLOOKUP(B14,'B&amp;L'!$A$7:$BK$66,51,0)</f>
        <v>430.81</v>
      </c>
      <c r="N14" s="248">
        <f>VLOOKUP(B14,'B&amp;L'!$A$7:$BK$66,56,0)</f>
        <v>430.81</v>
      </c>
      <c r="O14" s="248">
        <f>VLOOKUP(B14,'B&amp;L'!$A$7:$BK$66,61,0)</f>
        <v>430.81</v>
      </c>
    </row>
    <row r="15" spans="1:15" ht="15" customHeight="1">
      <c r="A15" s="340">
        <v>5</v>
      </c>
      <c r="B15" s="165" t="s">
        <v>89</v>
      </c>
      <c r="C15" s="157" t="s">
        <v>160</v>
      </c>
      <c r="D15" s="249">
        <f>VLOOKUP(B16,'B&amp;L'!$A$7:$BK$66,5,0)</f>
        <v>47160.26</v>
      </c>
      <c r="E15" s="249">
        <f>VLOOKUP(B16,'B&amp;L'!$A$7:$BK$66,10,0)</f>
        <v>47098.21</v>
      </c>
      <c r="F15" s="249">
        <f>VLOOKUP(B16,'B&amp;L'!$A$7:$BK$66,15,0)</f>
        <v>46832.06</v>
      </c>
      <c r="G15" s="249">
        <f>VLOOKUP(B16,'B&amp;L'!$A$7:$BK$66,20,0)</f>
        <v>47064.44</v>
      </c>
      <c r="H15" s="249">
        <f>VLOOKUP(B16,'B&amp;L'!$A$7:$BK$66,25,0)</f>
        <v>47142.98</v>
      </c>
      <c r="I15" s="249">
        <f>VLOOKUP(B16,'B&amp;L'!$A$7:$BK$66,30,0)</f>
        <v>47189.05</v>
      </c>
      <c r="J15" s="249">
        <f>VLOOKUP(B16,'B&amp;L'!$A$7:$BK$66,35,0)</f>
        <v>47151.17</v>
      </c>
      <c r="K15" s="249">
        <f>VLOOKUP(B16,'B&amp;L'!$A$7:$BK$66,40,0)</f>
        <v>47112.29</v>
      </c>
      <c r="L15" s="249">
        <f>VLOOKUP(B16,'B&amp;L'!$A$7:$BK$66,45,0)</f>
        <v>47114.35</v>
      </c>
      <c r="M15" s="249">
        <f>VLOOKUP(B16,'B&amp;L'!$A$7:$BK$66,50,0)</f>
        <v>47148.88</v>
      </c>
      <c r="N15" s="249">
        <f>VLOOKUP(B16,'B&amp;L'!$A$7:$BK$66,55,0)</f>
        <v>47239.67</v>
      </c>
      <c r="O15" s="249">
        <f>VLOOKUP(B16,'B&amp;L'!$A$7:$BK$66,60,0)</f>
        <v>47247.3</v>
      </c>
    </row>
    <row r="16" spans="1:15" ht="15" customHeight="1">
      <c r="A16" s="341"/>
      <c r="B16" s="166">
        <v>1412000081</v>
      </c>
      <c r="C16" s="159" t="s">
        <v>161</v>
      </c>
      <c r="D16" s="248">
        <f>VLOOKUP(B16,'B&amp;L'!$A$7:$BK$66,6,0)</f>
        <v>3183.13</v>
      </c>
      <c r="E16" s="248">
        <f>VLOOKUP(B16,'B&amp;L'!$A$7:$BK$66,11,0)</f>
        <v>3178.94</v>
      </c>
      <c r="F16" s="248">
        <f>VLOOKUP(B16,'B&amp;L'!$A$7:$BK$66,16,0)</f>
        <v>3160.98</v>
      </c>
      <c r="G16" s="248">
        <f>VLOOKUP(B16,'B&amp;L'!$A$7:$BK$66,21,0)</f>
        <v>3176.66</v>
      </c>
      <c r="H16" s="248">
        <f>VLOOKUP(B16,'B&amp;L'!$A$7:$BK$66,26,0)</f>
        <v>3181.96</v>
      </c>
      <c r="I16" s="248">
        <f>VLOOKUP(B16,'B&amp;L'!$A$7:$BK$66,31,0)</f>
        <v>3185.07</v>
      </c>
      <c r="J16" s="248">
        <f>VLOOKUP(B16,'B&amp;L'!$A$7:$BK$66,36,0)</f>
        <v>3182.52</v>
      </c>
      <c r="K16" s="248">
        <f>VLOOKUP(B16,'B&amp;L'!$A$7:$BK$66,41,0)</f>
        <v>3179.89</v>
      </c>
      <c r="L16" s="248">
        <f>VLOOKUP(B16,'B&amp;L'!$A$7:$BK$66,46,0)</f>
        <v>3180.03</v>
      </c>
      <c r="M16" s="248">
        <f>VLOOKUP(B16,'B&amp;L'!$A$7:$BK$66,51,0)</f>
        <v>3182.36</v>
      </c>
      <c r="N16" s="248">
        <f>VLOOKUP(B16,'B&amp;L'!$A$7:$BK$66,56,0)</f>
        <v>3188.49</v>
      </c>
      <c r="O16" s="248">
        <f>VLOOKUP(B16,'B&amp;L'!$A$7:$BK$66,61,0)</f>
        <v>3189.01</v>
      </c>
    </row>
    <row r="17" spans="1:15" ht="15" customHeight="1">
      <c r="A17" s="340">
        <v>6</v>
      </c>
      <c r="B17" s="167" t="s">
        <v>125</v>
      </c>
      <c r="C17" s="168" t="s">
        <v>160</v>
      </c>
      <c r="D17" s="265">
        <f>VLOOKUP(B18,'B&amp;L'!$A$7:$BK$66,5,0)</f>
        <v>5320.52</v>
      </c>
      <c r="E17" s="265">
        <f>VLOOKUP(B18,'B&amp;L'!$A$7:$BK$66,10,0)</f>
        <v>5318.7</v>
      </c>
      <c r="F17" s="265">
        <f>VLOOKUP(B18,'B&amp;L'!$A$7:$BK$66,15,0)</f>
        <v>5319.15</v>
      </c>
      <c r="G17" s="265">
        <f>VLOOKUP(B18,'B&amp;L'!$A$7:$BK$66,20,0)</f>
        <v>5366.16</v>
      </c>
      <c r="H17" s="265">
        <f>VLOOKUP(B18,'B&amp;L'!$A$7:$BK$66,25,0)</f>
        <v>5360.28</v>
      </c>
      <c r="I17" s="265">
        <f>VLOOKUP(B18,'B&amp;L'!$A$7:$BK$66,30,0)</f>
        <v>5344.18</v>
      </c>
      <c r="J17" s="265">
        <f>VLOOKUP(B18,'B&amp;L'!$A$7:$BK$66,35,0)</f>
        <v>5331.96</v>
      </c>
      <c r="K17" s="265">
        <f>VLOOKUP(B18,'B&amp;L'!$A$7:$BK$66,40,0)</f>
        <v>5331.64</v>
      </c>
      <c r="L17" s="265">
        <f>VLOOKUP(B18,'B&amp;L'!$A$7:$BK$66,45,0)</f>
        <v>5332.08</v>
      </c>
      <c r="M17" s="265">
        <f>VLOOKUP(B18,'B&amp;L'!$A$7:$BK$66,50,0)</f>
        <v>5366.62</v>
      </c>
      <c r="N17" s="265">
        <f>VLOOKUP(B18,'B&amp;L'!$A$7:$BK$66,55,0)</f>
        <v>5354.69</v>
      </c>
      <c r="O17" s="265">
        <f>VLOOKUP(B18,'B&amp;L'!$A$7:$BK$66,60,0)</f>
        <v>5364.13</v>
      </c>
    </row>
    <row r="18" spans="1:15" ht="15" customHeight="1">
      <c r="A18" s="341"/>
      <c r="B18" s="169">
        <v>1412000098</v>
      </c>
      <c r="C18" s="170" t="s">
        <v>161</v>
      </c>
      <c r="D18" s="266">
        <f>VLOOKUP(B18,'B&amp;L'!$A$7:$BK$66,6,0)</f>
        <v>359.11</v>
      </c>
      <c r="E18" s="266">
        <f>VLOOKUP(B18,'B&amp;L'!$A$7:$BK$66,11,0)</f>
        <v>358.99</v>
      </c>
      <c r="F18" s="266">
        <f>VLOOKUP(B18,'B&amp;L'!$A$7:$BK$66,16,0)</f>
        <v>359.02</v>
      </c>
      <c r="G18" s="266">
        <f>VLOOKUP(B18,'B&amp;L'!$A$7:$BK$66,21,0)</f>
        <v>362.19</v>
      </c>
      <c r="H18" s="266">
        <f>VLOOKUP(B18,'B&amp;L'!$A$7:$BK$66,26,0)</f>
        <v>361.8</v>
      </c>
      <c r="I18" s="266">
        <f>VLOOKUP(B18,'B&amp;L'!$A$7:$BK$66,31,0)</f>
        <v>360.71</v>
      </c>
      <c r="J18" s="266">
        <f>VLOOKUP(B18,'B&amp;L'!$A$7:$BK$66,36,0)</f>
        <v>359.89</v>
      </c>
      <c r="K18" s="266">
        <f>VLOOKUP(B18,'B&amp;L'!$A$7:$BK$66,41,0)</f>
        <v>359.86</v>
      </c>
      <c r="L18" s="266">
        <f>VLOOKUP(B18,'B&amp;L'!$A$7:$BK$66,46,0)</f>
        <v>359.89</v>
      </c>
      <c r="M18" s="266">
        <f>VLOOKUP(B18,'B&amp;L'!$A$7:$BK$66,51,0)</f>
        <v>362.23</v>
      </c>
      <c r="N18" s="266">
        <f>VLOOKUP(B18,'B&amp;L'!$A$7:$BK$66,56,0)</f>
        <v>361.42</v>
      </c>
      <c r="O18" s="266">
        <f>VLOOKUP(B18,'B&amp;L'!$A$7:$BK$66,61,0)</f>
        <v>362.06</v>
      </c>
    </row>
    <row r="19" spans="1:15" ht="15" customHeight="1">
      <c r="A19" s="340">
        <v>7</v>
      </c>
      <c r="B19" s="165" t="s">
        <v>142</v>
      </c>
      <c r="C19" s="157" t="s">
        <v>160</v>
      </c>
      <c r="D19" s="249">
        <f>VLOOKUP(B20,'B&amp;L'!$A$7:$BK$66,5,0)</f>
        <v>9896.1200000000008</v>
      </c>
      <c r="E19" s="249">
        <f>VLOOKUP(B20,'B&amp;L'!$A$7:$BK$66,10,0)</f>
        <v>9927.67</v>
      </c>
      <c r="F19" s="249">
        <f>VLOOKUP(B20,'B&amp;L'!$A$7:$BK$66,15,0)</f>
        <v>9984.57</v>
      </c>
      <c r="G19" s="249">
        <f>VLOOKUP(B20,'B&amp;L'!$A$7:$BK$66,20,0)</f>
        <v>9844.32</v>
      </c>
      <c r="H19" s="249">
        <f>VLOOKUP(B20,'B&amp;L'!$A$7:$BK$66,25,0)</f>
        <v>9831.7900000000009</v>
      </c>
      <c r="I19" s="249">
        <f>VLOOKUP(B20,'B&amp;L'!$A$7:$BK$66,30,0)</f>
        <v>9868.61</v>
      </c>
      <c r="J19" s="249">
        <f>VLOOKUP(B20,'B&amp;L'!$A$7:$BK$66,35,0)</f>
        <v>9851.09</v>
      </c>
      <c r="K19" s="249">
        <f>VLOOKUP(B20,'B&amp;L'!$A$7:$BK$66,40,0)</f>
        <v>9818.39</v>
      </c>
      <c r="L19" s="249">
        <f>VLOOKUP(B20,'B&amp;L'!$A$7:$BK$66,45,0)</f>
        <v>9835.4699999999993</v>
      </c>
      <c r="M19" s="249">
        <f>VLOOKUP(B20,'B&amp;L'!$A$7:$BK$66,50,0)</f>
        <v>9772.94</v>
      </c>
      <c r="N19" s="249">
        <f>VLOOKUP(B20,'B&amp;L'!$A$7:$BK$66,55,0)</f>
        <v>9735.76</v>
      </c>
      <c r="O19" s="249">
        <f>VLOOKUP(B20,'B&amp;L'!$A$7:$BK$66,60,0)</f>
        <v>9816.99</v>
      </c>
    </row>
    <row r="20" spans="1:15" ht="15" customHeight="1">
      <c r="A20" s="341"/>
      <c r="B20" s="166">
        <v>1412000034</v>
      </c>
      <c r="C20" s="159" t="s">
        <v>161</v>
      </c>
      <c r="D20" s="248">
        <f>VLOOKUP(B20,'B&amp;L'!$A$7:$BK$66,6,0)</f>
        <v>667.95</v>
      </c>
      <c r="E20" s="248">
        <f>VLOOKUP(B20,'B&amp;L'!$A$7:$BK$66,11,0)</f>
        <v>670.08</v>
      </c>
      <c r="F20" s="248">
        <f>VLOOKUP(B20,'B&amp;L'!$A$7:$BK$66,16,0)</f>
        <v>673.92</v>
      </c>
      <c r="G20" s="248">
        <f>VLOOKUP(B20,'B&amp;L'!$A$7:$BK$66,21,0)</f>
        <v>664.45</v>
      </c>
      <c r="H20" s="248">
        <f>VLOOKUP(B20,'B&amp;L'!$A$7:$BK$66,26,0)</f>
        <v>663.61</v>
      </c>
      <c r="I20" s="248">
        <f>VLOOKUP(B20,'B&amp;L'!$A$7:$BK$66,31,0)</f>
        <v>666.09</v>
      </c>
      <c r="J20" s="248">
        <f>VLOOKUP(B20,'B&amp;L'!$A$7:$BK$66,36,0)</f>
        <v>664.91</v>
      </c>
      <c r="K20" s="248">
        <f>VLOOKUP(B20,'B&amp;L'!$A$7:$BK$66,41,0)</f>
        <v>662.7</v>
      </c>
      <c r="L20" s="248">
        <f>VLOOKUP(B20,'B&amp;L'!$A$7:$BK$66,46,0)</f>
        <v>663.86</v>
      </c>
      <c r="M20" s="248">
        <f>VLOOKUP(B20,'B&amp;L'!$A$7:$BK$66,51,0)</f>
        <v>659.63</v>
      </c>
      <c r="N20" s="248">
        <f>VLOOKUP(B20,'B&amp;L'!$A$7:$BK$66,56,0)</f>
        <v>657.13</v>
      </c>
      <c r="O20" s="248">
        <f>VLOOKUP(B20,'B&amp;L'!$A$7:$BK$66,61,0)</f>
        <v>662.61</v>
      </c>
    </row>
    <row r="21" spans="1:15" ht="15" customHeight="1">
      <c r="A21" s="340">
        <v>8</v>
      </c>
      <c r="B21" s="165" t="s">
        <v>31</v>
      </c>
      <c r="C21" s="157" t="s">
        <v>160</v>
      </c>
      <c r="D21" s="249">
        <f>VLOOKUP(B22,'B&amp;L'!$A$7:$BK$66,5,0)</f>
        <v>303.82</v>
      </c>
      <c r="E21" s="249">
        <f>VLOOKUP(B22,'B&amp;L'!$A$7:$BK$66,10,0)</f>
        <v>306.19</v>
      </c>
      <c r="F21" s="249">
        <f>VLOOKUP(B22,'B&amp;L'!$A$7:$BK$66,15,0)</f>
        <v>314.94</v>
      </c>
      <c r="G21" s="249">
        <f>VLOOKUP(B22,'B&amp;L'!$A$7:$BK$66,20,0)</f>
        <v>304.02</v>
      </c>
      <c r="H21" s="249">
        <f>VLOOKUP(B22,'B&amp;L'!$A$7:$BK$66,25,0)</f>
        <v>301.24</v>
      </c>
      <c r="I21" s="249">
        <f>VLOOKUP(B22,'B&amp;L'!$A$7:$BK$66,30,0)</f>
        <v>302.25</v>
      </c>
      <c r="J21" s="249">
        <f>VLOOKUP(B22,'B&amp;L'!$A$7:$BK$66,35,0)</f>
        <v>300.95</v>
      </c>
      <c r="K21" s="249">
        <f>VLOOKUP(B22,'B&amp;L'!$A$7:$BK$66,40,0)</f>
        <v>298.52</v>
      </c>
      <c r="L21" s="249">
        <f>VLOOKUP(B22,'B&amp;L'!$A$7:$BK$66,45,0)</f>
        <v>299.79000000000002</v>
      </c>
      <c r="M21" s="249">
        <f>VLOOKUP(B22,'B&amp;L'!$A$7:$BK$66,50,0)</f>
        <v>295.14999999999998</v>
      </c>
      <c r="N21" s="249">
        <f>VLOOKUP(B22,'B&amp;L'!$A$7:$BK$66,55,0)</f>
        <v>290.56</v>
      </c>
      <c r="O21" s="249">
        <f>VLOOKUP(B22,'B&amp;L'!$A$7:$BK$66,60,0)</f>
        <v>296.41000000000003</v>
      </c>
    </row>
    <row r="22" spans="1:15" ht="15" customHeight="1">
      <c r="A22" s="341"/>
      <c r="B22" s="166">
        <v>1412000048</v>
      </c>
      <c r="C22" s="159" t="s">
        <v>161</v>
      </c>
      <c r="D22" s="248">
        <f>VLOOKUP(B22,'B&amp;L'!$A$7:$BK$66,6,0)</f>
        <v>20.51</v>
      </c>
      <c r="E22" s="248">
        <f>VLOOKUP(B22,'B&amp;L'!$A$7:$BK$66,11,0)</f>
        <v>20.67</v>
      </c>
      <c r="F22" s="248">
        <f>VLOOKUP(B22,'B&amp;L'!$A$7:$BK$66,16,0)</f>
        <v>21.26</v>
      </c>
      <c r="G22" s="248">
        <f>VLOOKUP(B22,'B&amp;L'!$A$7:$BK$66,21,0)</f>
        <v>20.52</v>
      </c>
      <c r="H22" s="248">
        <f>VLOOKUP(B22,'B&amp;L'!$A$7:$BK$66,26,0)</f>
        <v>20.329999999999998</v>
      </c>
      <c r="I22" s="248">
        <f>VLOOKUP(B22,'B&amp;L'!$A$7:$BK$66,31,0)</f>
        <v>20.399999999999999</v>
      </c>
      <c r="J22" s="248">
        <f>VLOOKUP(B22,'B&amp;L'!$A$7:$BK$66,36,0)</f>
        <v>20.309999999999999</v>
      </c>
      <c r="K22" s="248">
        <f>VLOOKUP(B22,'B&amp;L'!$A$7:$BK$66,41,0)</f>
        <v>20.149999999999999</v>
      </c>
      <c r="L22" s="248">
        <f>VLOOKUP(B22,'B&amp;L'!$A$7:$BK$66,46,0)</f>
        <v>20.23</v>
      </c>
      <c r="M22" s="248">
        <f>VLOOKUP(B22,'B&amp;L'!$A$7:$BK$66,51,0)</f>
        <v>19.920000000000002</v>
      </c>
      <c r="N22" s="248">
        <f>VLOOKUP(B22,'B&amp;L'!$A$7:$BK$66,56,0)</f>
        <v>19.61</v>
      </c>
      <c r="O22" s="248">
        <f>VLOOKUP(B22,'B&amp;L'!$A$7:$BK$66,61,0)</f>
        <v>20.010000000000002</v>
      </c>
    </row>
    <row r="23" spans="1:15" ht="15" customHeight="1">
      <c r="A23" s="340">
        <v>9</v>
      </c>
      <c r="B23" s="165" t="s">
        <v>147</v>
      </c>
      <c r="C23" s="157" t="s">
        <v>160</v>
      </c>
      <c r="D23" s="249">
        <f>VLOOKUP(B24,'B&amp;L'!$A$7:$BK$66,5,0)</f>
        <v>209.05</v>
      </c>
      <c r="E23" s="249">
        <f>VLOOKUP(B24,'B&amp;L'!$A$7:$BK$66,10,0)</f>
        <v>211.52</v>
      </c>
      <c r="F23" s="249">
        <f>VLOOKUP(B24,'B&amp;L'!$A$7:$BK$66,15,0)</f>
        <v>215.53</v>
      </c>
      <c r="G23" s="249">
        <f>VLOOKUP(B24,'B&amp;L'!$A$7:$BK$66,20,0)</f>
        <v>201.59</v>
      </c>
      <c r="H23" s="249">
        <f>VLOOKUP(B24,'B&amp;L'!$A$7:$BK$66,25,0)</f>
        <v>201.82</v>
      </c>
      <c r="I23" s="249">
        <f>VLOOKUP(B24,'B&amp;L'!$A$7:$BK$66,30,0)</f>
        <v>208.71</v>
      </c>
      <c r="J23" s="249">
        <f>VLOOKUP(B24,'B&amp;L'!$A$7:$BK$66,35,0)</f>
        <v>207.31</v>
      </c>
      <c r="K23" s="249">
        <f>VLOOKUP(B24,'B&amp;L'!$A$7:$BK$66,40,0)</f>
        <v>204.69</v>
      </c>
      <c r="L23" s="249">
        <f>VLOOKUP(B24,'B&amp;L'!$A$7:$BK$66,45,0)</f>
        <v>208.9</v>
      </c>
      <c r="M23" s="249">
        <f>VLOOKUP(B24,'B&amp;L'!$A$7:$BK$66,50,0)</f>
        <v>203.7</v>
      </c>
      <c r="N23" s="249">
        <f>VLOOKUP(B24,'B&amp;L'!$A$7:$BK$66,55,0)</f>
        <v>198.56</v>
      </c>
      <c r="O23" s="249">
        <f>VLOOKUP(B24,'B&amp;L'!$A$7:$BK$66,60,0)</f>
        <v>210.53</v>
      </c>
    </row>
    <row r="24" spans="1:15" ht="15" customHeight="1">
      <c r="A24" s="341"/>
      <c r="B24" s="166">
        <v>1412000055</v>
      </c>
      <c r="C24" s="159" t="s">
        <v>161</v>
      </c>
      <c r="D24" s="248">
        <f>VLOOKUP(B24,'B&amp;L'!$A$7:$BK$66,6,0)</f>
        <v>14.11</v>
      </c>
      <c r="E24" s="248">
        <f>VLOOKUP(B24,'B&amp;L'!$A$7:$BK$66,11,0)</f>
        <v>14.28</v>
      </c>
      <c r="F24" s="248">
        <f>VLOOKUP(B24,'B&amp;L'!$A$7:$BK$66,16,0)</f>
        <v>14.55</v>
      </c>
      <c r="G24" s="248">
        <f>VLOOKUP(B24,'B&amp;L'!$A$7:$BK$66,21,0)</f>
        <v>13.61</v>
      </c>
      <c r="H24" s="248">
        <f>VLOOKUP(B24,'B&amp;L'!$A$7:$BK$66,26,0)</f>
        <v>13.62</v>
      </c>
      <c r="I24" s="248">
        <f>VLOOKUP(B24,'B&amp;L'!$A$7:$BK$66,31,0)</f>
        <v>14.09</v>
      </c>
      <c r="J24" s="248">
        <f>VLOOKUP(B24,'B&amp;L'!$A$7:$BK$66,36,0)</f>
        <v>13.99</v>
      </c>
      <c r="K24" s="248">
        <f>VLOOKUP(B24,'B&amp;L'!$A$7:$BK$66,41,0)</f>
        <v>13.82</v>
      </c>
      <c r="L24" s="248">
        <f>VLOOKUP(B24,'B&amp;L'!$A$7:$BK$66,46,0)</f>
        <v>14.1</v>
      </c>
      <c r="M24" s="248">
        <f>VLOOKUP(B24,'B&amp;L'!$A$7:$BK$66,51,0)</f>
        <v>13.75</v>
      </c>
      <c r="N24" s="248">
        <f>VLOOKUP(B24,'B&amp;L'!$A$7:$BK$66,56,0)</f>
        <v>13.4</v>
      </c>
      <c r="O24" s="248">
        <f>VLOOKUP(B24,'B&amp;L'!$A$7:$BK$66,61,0)</f>
        <v>14.21</v>
      </c>
    </row>
    <row r="25" spans="1:15" ht="15" customHeight="1">
      <c r="A25" s="340">
        <v>10</v>
      </c>
      <c r="B25" s="165" t="s">
        <v>98</v>
      </c>
      <c r="C25" s="157" t="s">
        <v>160</v>
      </c>
      <c r="D25" s="249">
        <f>VLOOKUP(B26,'B&amp;L'!$A$7:$BK$66,5,0)</f>
        <v>47.47</v>
      </c>
      <c r="E25" s="249">
        <f>VLOOKUP(B26,'B&amp;L'!$A$7:$BK$66,10,0)</f>
        <v>45.48</v>
      </c>
      <c r="F25" s="249">
        <f>VLOOKUP(B26,'B&amp;L'!$A$7:$BK$66,15,0)</f>
        <v>37.06</v>
      </c>
      <c r="G25" s="249">
        <f>VLOOKUP(B26,'B&amp;L'!$A$7:$BK$66,20,0)</f>
        <v>33.119999999999997</v>
      </c>
      <c r="H25" s="249">
        <f>VLOOKUP(B26,'B&amp;L'!$A$7:$BK$66,25,0)</f>
        <v>32.119999999999997</v>
      </c>
      <c r="I25" s="249">
        <f>VLOOKUP(B26,'B&amp;L'!$A$7:$BK$66,30,0)</f>
        <v>32.49</v>
      </c>
      <c r="J25" s="249">
        <f>VLOOKUP(B26,'B&amp;L'!$A$7:$BK$66,35,0)</f>
        <v>32.020000000000003</v>
      </c>
      <c r="K25" s="249">
        <f>VLOOKUP(B26,'B&amp;L'!$A$7:$BK$66,40,0)</f>
        <v>31.15</v>
      </c>
      <c r="L25" s="249">
        <f>VLOOKUP(B26,'B&amp;L'!$A$7:$BK$66,45,0)</f>
        <v>28.76</v>
      </c>
      <c r="M25" s="249">
        <f>VLOOKUP(B26,'B&amp;L'!$A$7:$BK$66,50,0)</f>
        <v>27.28</v>
      </c>
      <c r="N25" s="249">
        <f>VLOOKUP(B26,'B&amp;L'!$A$7:$BK$66,55,0)</f>
        <v>25.81</v>
      </c>
      <c r="O25" s="249">
        <f>VLOOKUP(B26,'B&amp;L'!$A$7:$BK$66,60,0)</f>
        <v>27.68</v>
      </c>
    </row>
    <row r="26" spans="1:15" ht="15" customHeight="1">
      <c r="A26" s="341"/>
      <c r="B26" s="166">
        <v>1412000063</v>
      </c>
      <c r="C26" s="159" t="s">
        <v>161</v>
      </c>
      <c r="D26" s="248">
        <f>VLOOKUP(B26,'B&amp;L'!$A$7:$BK$66,6,0)</f>
        <v>3.2</v>
      </c>
      <c r="E26" s="248">
        <f>VLOOKUP(B26,'B&amp;L'!$A$7:$BK$66,11,0)</f>
        <v>3.07</v>
      </c>
      <c r="F26" s="248">
        <f>VLOOKUP(B26,'B&amp;L'!$A$7:$BK$66,16,0)</f>
        <v>2.5</v>
      </c>
      <c r="G26" s="248">
        <f>VLOOKUP(B26,'B&amp;L'!$A$7:$BK$66,21,0)</f>
        <v>2.2400000000000002</v>
      </c>
      <c r="H26" s="248">
        <f>VLOOKUP(B26,'B&amp;L'!$A$7:$BK$66,26,0)</f>
        <v>2.17</v>
      </c>
      <c r="I26" s="248">
        <f>VLOOKUP(B26,'B&amp;L'!$A$7:$BK$66,31,0)</f>
        <v>2.19</v>
      </c>
      <c r="J26" s="248">
        <f>VLOOKUP(B26,'B&amp;L'!$A$7:$BK$66,36,0)</f>
        <v>2.16</v>
      </c>
      <c r="K26" s="248">
        <f>VLOOKUP(B26,'B&amp;L'!$A$7:$BK$66,41,0)</f>
        <v>2.1</v>
      </c>
      <c r="L26" s="248">
        <f>VLOOKUP(B26,'B&amp;L'!$A$7:$BK$66,46,0)</f>
        <v>1.94</v>
      </c>
      <c r="M26" s="248">
        <f>VLOOKUP(B26,'B&amp;L'!$A$7:$BK$66,51,0)</f>
        <v>1.84</v>
      </c>
      <c r="N26" s="248">
        <f>VLOOKUP(B26,'B&amp;L'!$A$7:$BK$66,56,0)</f>
        <v>1.74</v>
      </c>
      <c r="O26" s="248">
        <f>VLOOKUP(B26,'B&amp;L'!$A$7:$BK$66,61,0)</f>
        <v>1.87</v>
      </c>
    </row>
    <row r="27" spans="1:15" ht="15" customHeight="1">
      <c r="A27" s="340">
        <v>11</v>
      </c>
      <c r="B27" s="165" t="s">
        <v>146</v>
      </c>
      <c r="C27" s="157" t="s">
        <v>160</v>
      </c>
      <c r="D27" s="249">
        <f>VLOOKUP(B28,'B&amp;L'!$A$7:$BK$66,5,0)</f>
        <v>1645.28</v>
      </c>
      <c r="E27" s="249">
        <f>VLOOKUP(B28,'B&amp;L'!$A$7:$BK$66,10,0)</f>
        <v>1643.29</v>
      </c>
      <c r="F27" s="249">
        <f>VLOOKUP(B28,'B&amp;L'!$A$7:$BK$66,15,0)</f>
        <v>1643.79</v>
      </c>
      <c r="G27" s="249">
        <f>VLOOKUP(B28,'B&amp;L'!$A$7:$BK$66,20,0)</f>
        <v>1633.71</v>
      </c>
      <c r="H27" s="249">
        <f>VLOOKUP(B28,'B&amp;L'!$A$7:$BK$66,25,0)</f>
        <v>1629.36</v>
      </c>
      <c r="I27" s="249">
        <f>VLOOKUP(B28,'B&amp;L'!$A$7:$BK$66,30,0)</f>
        <v>1617.46</v>
      </c>
      <c r="J27" s="249">
        <f>VLOOKUP(B28,'B&amp;L'!$A$7:$BK$66,35,0)</f>
        <v>1606.25</v>
      </c>
      <c r="K27" s="249">
        <f>VLOOKUP(B28,'B&amp;L'!$A$7:$BK$66,40,0)</f>
        <v>1606.03</v>
      </c>
      <c r="L27" s="249">
        <f>VLOOKUP(B28,'B&amp;L'!$A$7:$BK$66,45,0)</f>
        <v>1606.34</v>
      </c>
      <c r="M27" s="249">
        <f>VLOOKUP(B28,'B&amp;L'!$A$7:$BK$66,50,0)</f>
        <v>1604.25</v>
      </c>
      <c r="N27" s="249">
        <f>VLOOKUP(B28,'B&amp;L'!$A$7:$BK$66,55,0)</f>
        <v>1597.48</v>
      </c>
      <c r="O27" s="249">
        <f>VLOOKUP(B28,'B&amp;L'!$A$7:$BK$66,60,0)</f>
        <v>1602.83</v>
      </c>
    </row>
    <row r="28" spans="1:15" ht="15" customHeight="1">
      <c r="A28" s="341"/>
      <c r="B28" s="166">
        <v>1412000044</v>
      </c>
      <c r="C28" s="159" t="s">
        <v>161</v>
      </c>
      <c r="D28" s="248">
        <f>VLOOKUP(B28,'B&amp;L'!$A$7:$BK$66,6,0)</f>
        <v>111.05</v>
      </c>
      <c r="E28" s="248">
        <f>VLOOKUP(B28,'B&amp;L'!$A$7:$BK$66,11,0)</f>
        <v>110.92</v>
      </c>
      <c r="F28" s="248">
        <f>VLOOKUP(B28,'B&amp;L'!$A$7:$BK$66,16,0)</f>
        <v>110.95</v>
      </c>
      <c r="G28" s="248">
        <f>VLOOKUP(B28,'B&amp;L'!$A$7:$BK$66,21,0)</f>
        <v>110.27</v>
      </c>
      <c r="H28" s="248">
        <f>VLOOKUP(B28,'B&amp;L'!$A$7:$BK$66,26,0)</f>
        <v>109.98</v>
      </c>
      <c r="I28" s="248">
        <f>VLOOKUP(B28,'B&amp;L'!$A$7:$BK$66,31,0)</f>
        <v>109.17</v>
      </c>
      <c r="J28" s="248">
        <f>VLOOKUP(B28,'B&amp;L'!$A$7:$BK$66,36,0)</f>
        <v>108.42</v>
      </c>
      <c r="K28" s="248">
        <f>VLOOKUP(B28,'B&amp;L'!$A$7:$BK$66,41,0)</f>
        <v>108.4</v>
      </c>
      <c r="L28" s="248">
        <f>VLOOKUP(B28,'B&amp;L'!$A$7:$BK$66,46,0)</f>
        <v>108.42</v>
      </c>
      <c r="M28" s="248">
        <f>VLOOKUP(B28,'B&amp;L'!$A$7:$BK$66,51,0)</f>
        <v>108.28</v>
      </c>
      <c r="N28" s="248">
        <f>VLOOKUP(B28,'B&amp;L'!$A$7:$BK$66,56,0)</f>
        <v>107.82</v>
      </c>
      <c r="O28" s="248">
        <f>VLOOKUP(B28,'B&amp;L'!$A$7:$BK$66,61,0)</f>
        <v>108.18</v>
      </c>
    </row>
    <row r="29" spans="1:15" ht="15" customHeight="1">
      <c r="A29" s="340">
        <v>12</v>
      </c>
      <c r="B29" s="165" t="s">
        <v>111</v>
      </c>
      <c r="C29" s="157" t="s">
        <v>160</v>
      </c>
      <c r="D29" s="249">
        <f>VLOOKUP(B30,'B&amp;L'!$A$7:$BK$66,5,0)</f>
        <v>113.45</v>
      </c>
      <c r="E29" s="249">
        <f>VLOOKUP(B30,'B&amp;L'!$A$7:$BK$66,10,0)</f>
        <v>112.92</v>
      </c>
      <c r="F29" s="249">
        <f>VLOOKUP(B30,'B&amp;L'!$A$7:$BK$66,15,0)</f>
        <v>113.05</v>
      </c>
      <c r="G29" s="249">
        <f>VLOOKUP(B30,'B&amp;L'!$A$7:$BK$66,20,0)</f>
        <v>110.39</v>
      </c>
      <c r="H29" s="249">
        <f>VLOOKUP(B30,'B&amp;L'!$A$7:$BK$66,25,0)</f>
        <v>109.24</v>
      </c>
      <c r="I29" s="249">
        <f>VLOOKUP(B30,'B&amp;L'!$A$7:$BK$66,30,0)</f>
        <v>106.09</v>
      </c>
      <c r="J29" s="249">
        <f>VLOOKUP(B30,'B&amp;L'!$A$7:$BK$66,35,0)</f>
        <v>103.12</v>
      </c>
      <c r="K29" s="249">
        <f>VLOOKUP(B30,'B&amp;L'!$A$7:$BK$66,40,0)</f>
        <v>103.06</v>
      </c>
      <c r="L29" s="249">
        <f>VLOOKUP(B30,'B&amp;L'!$A$7:$BK$66,45,0)</f>
        <v>103.14</v>
      </c>
      <c r="M29" s="249">
        <f>VLOOKUP(B30,'B&amp;L'!$A$7:$BK$66,50,0)</f>
        <v>102.59</v>
      </c>
      <c r="N29" s="249">
        <f>VLOOKUP(B30,'B&amp;L'!$A$7:$BK$66,55,0)</f>
        <v>100.8</v>
      </c>
      <c r="O29" s="249">
        <f>VLOOKUP(B30,'B&amp;L'!$A$7:$BK$66,60,0)</f>
        <v>102.21</v>
      </c>
    </row>
    <row r="30" spans="1:15" ht="15" customHeight="1">
      <c r="A30" s="341"/>
      <c r="B30" s="166">
        <v>1412000087</v>
      </c>
      <c r="C30" s="159" t="s">
        <v>161</v>
      </c>
      <c r="D30" s="248">
        <f>VLOOKUP(B30,'B&amp;L'!$A$7:$BK$66,6,0)</f>
        <v>7.66</v>
      </c>
      <c r="E30" s="248">
        <f>VLOOKUP(B30,'B&amp;L'!$A$7:$BK$66,11,0)</f>
        <v>7.62</v>
      </c>
      <c r="F30" s="248">
        <f>VLOOKUP(B30,'B&amp;L'!$A$7:$BK$66,16,0)</f>
        <v>7.63</v>
      </c>
      <c r="G30" s="248">
        <f>VLOOKUP(B30,'B&amp;L'!$A$7:$BK$66,21,0)</f>
        <v>7.45</v>
      </c>
      <c r="H30" s="248">
        <f>VLOOKUP(B30,'B&amp;L'!$A$7:$BK$66,26,0)</f>
        <v>7.37</v>
      </c>
      <c r="I30" s="248">
        <f>VLOOKUP(B30,'B&amp;L'!$A$7:$BK$66,31,0)</f>
        <v>7.16</v>
      </c>
      <c r="J30" s="248">
        <f>VLOOKUP(B30,'B&amp;L'!$A$7:$BK$66,36,0)</f>
        <v>6.96</v>
      </c>
      <c r="K30" s="248">
        <f>VLOOKUP(B30,'B&amp;L'!$A$7:$BK$66,41,0)</f>
        <v>6.96</v>
      </c>
      <c r="L30" s="248">
        <f>VLOOKUP(B30,'B&amp;L'!$A$7:$BK$66,46,0)</f>
        <v>6.96</v>
      </c>
      <c r="M30" s="248">
        <f>VLOOKUP(B30,'B&amp;L'!$A$7:$BK$66,51,0)</f>
        <v>6.92</v>
      </c>
      <c r="N30" s="248">
        <f>VLOOKUP(B30,'B&amp;L'!$A$7:$BK$66,56,0)</f>
        <v>6.8</v>
      </c>
      <c r="O30" s="248">
        <f>VLOOKUP(B30,'B&amp;L'!$A$7:$BK$66,61,0)</f>
        <v>6.9</v>
      </c>
    </row>
    <row r="31" spans="1:15" ht="15" customHeight="1">
      <c r="A31" s="340">
        <v>13</v>
      </c>
      <c r="B31" s="165" t="s">
        <v>112</v>
      </c>
      <c r="C31" s="157" t="s">
        <v>160</v>
      </c>
      <c r="D31" s="249">
        <f>VLOOKUP(B32,'B&amp;L'!$A$7:$BK$66,5,0)</f>
        <v>366.68</v>
      </c>
      <c r="E31" s="249">
        <f>VLOOKUP(B32,'B&amp;L'!$A$7:$BK$66,10,0)</f>
        <v>365.21</v>
      </c>
      <c r="F31" s="249">
        <f>VLOOKUP(B32,'B&amp;L'!$A$7:$BK$66,15,0)</f>
        <v>365.57</v>
      </c>
      <c r="G31" s="249">
        <f>VLOOKUP(B32,'B&amp;L'!$A$7:$BK$66,20,0)</f>
        <v>358.16</v>
      </c>
      <c r="H31" s="249">
        <f>VLOOKUP(B32,'B&amp;L'!$A$7:$BK$66,25,0)</f>
        <v>354.96</v>
      </c>
      <c r="I31" s="249">
        <f>VLOOKUP(B32,'B&amp;L'!$A$7:$BK$66,30,0)</f>
        <v>346.22</v>
      </c>
      <c r="J31" s="249">
        <f>VLOOKUP(B32,'B&amp;L'!$A$7:$BK$66,35,0)</f>
        <v>337.98</v>
      </c>
      <c r="K31" s="249">
        <f>VLOOKUP(B32,'B&amp;L'!$A$7:$BK$66,40,0)</f>
        <v>337.81</v>
      </c>
      <c r="L31" s="249">
        <f>VLOOKUP(B32,'B&amp;L'!$A$7:$BK$66,45,0)</f>
        <v>338.04</v>
      </c>
      <c r="M31" s="249">
        <f>VLOOKUP(B32,'B&amp;L'!$A$7:$BK$66,50,0)</f>
        <v>336.5</v>
      </c>
      <c r="N31" s="249">
        <f>VLOOKUP(B32,'B&amp;L'!$A$7:$BK$66,55,0)</f>
        <v>331.53</v>
      </c>
      <c r="O31" s="249">
        <f>VLOOKUP(B32,'B&amp;L'!$A$7:$BK$66,60,0)</f>
        <v>335.46</v>
      </c>
    </row>
    <row r="32" spans="1:15" ht="15" customHeight="1">
      <c r="A32" s="341"/>
      <c r="B32" s="166">
        <v>1412000088</v>
      </c>
      <c r="C32" s="159" t="s">
        <v>161</v>
      </c>
      <c r="D32" s="248">
        <f>VLOOKUP(B32,'B&amp;L'!$A$7:$BK$66,6,0)</f>
        <v>24.75</v>
      </c>
      <c r="E32" s="248">
        <f>VLOOKUP(B32,'B&amp;L'!$A$7:$BK$66,11,0)</f>
        <v>24.65</v>
      </c>
      <c r="F32" s="248">
        <f>VLOOKUP(B32,'B&amp;L'!$A$7:$BK$66,16,0)</f>
        <v>24.67</v>
      </c>
      <c r="G32" s="248">
        <f>VLOOKUP(B32,'B&amp;L'!$A$7:$BK$66,21,0)</f>
        <v>24.17</v>
      </c>
      <c r="H32" s="248">
        <f>VLOOKUP(B32,'B&amp;L'!$A$7:$BK$66,26,0)</f>
        <v>23.96</v>
      </c>
      <c r="I32" s="248">
        <f>VLOOKUP(B32,'B&amp;L'!$A$7:$BK$66,31,0)</f>
        <v>23.37</v>
      </c>
      <c r="J32" s="248">
        <f>VLOOKUP(B32,'B&amp;L'!$A$7:$BK$66,36,0)</f>
        <v>22.81</v>
      </c>
      <c r="K32" s="248">
        <f>VLOOKUP(B32,'B&amp;L'!$A$7:$BK$66,41,0)</f>
        <v>22.8</v>
      </c>
      <c r="L32" s="248">
        <f>VLOOKUP(B32,'B&amp;L'!$A$7:$BK$66,46,0)</f>
        <v>22.82</v>
      </c>
      <c r="M32" s="248">
        <f>VLOOKUP(B32,'B&amp;L'!$A$7:$BK$66,51,0)</f>
        <v>22.71</v>
      </c>
      <c r="N32" s="248">
        <f>VLOOKUP(B32,'B&amp;L'!$A$7:$BK$66,56,0)</f>
        <v>22.38</v>
      </c>
      <c r="O32" s="248">
        <f>VLOOKUP(B32,'B&amp;L'!$A$7:$BK$66,61,0)</f>
        <v>22.64</v>
      </c>
    </row>
    <row r="33" spans="1:15" ht="15" customHeight="1">
      <c r="A33" s="340">
        <v>14</v>
      </c>
      <c r="B33" s="165" t="s">
        <v>148</v>
      </c>
      <c r="C33" s="157" t="s">
        <v>160</v>
      </c>
      <c r="D33" s="249">
        <f>VLOOKUP(B34,'B&amp;L'!$A$7:$BK$66,5,0)</f>
        <v>11215.72</v>
      </c>
      <c r="E33" s="249">
        <f>VLOOKUP(B34,'B&amp;L'!$A$7:$BK$66,10,0)</f>
        <v>11207.4</v>
      </c>
      <c r="F33" s="249">
        <f>VLOOKUP(B34,'B&amp;L'!$A$7:$BK$66,15,0)</f>
        <v>11209.46</v>
      </c>
      <c r="G33" s="249">
        <f>VLOOKUP(B34,'B&amp;L'!$A$7:$BK$66,20,0)</f>
        <v>11167.37</v>
      </c>
      <c r="H33" s="249">
        <f>VLOOKUP(B34,'B&amp;L'!$A$7:$BK$66,25,0)</f>
        <v>11149.2</v>
      </c>
      <c r="I33" s="249">
        <f>VLOOKUP(B34,'B&amp;L'!$A$7:$BK$66,30,0)</f>
        <v>11099.51</v>
      </c>
      <c r="J33" s="249">
        <f>VLOOKUP(B34,'B&amp;L'!$A$7:$BK$66,35,0)</f>
        <v>11052.71</v>
      </c>
      <c r="K33" s="249">
        <f>VLOOKUP(B34,'B&amp;L'!$A$7:$BK$66,40,0)</f>
        <v>11051.76</v>
      </c>
      <c r="L33" s="249">
        <f>VLOOKUP(B34,'B&amp;L'!$A$7:$BK$66,45,0)</f>
        <v>11053.07</v>
      </c>
      <c r="M33" s="249">
        <f>VLOOKUP(B34,'B&amp;L'!$A$7:$BK$66,50,0)</f>
        <v>11044.33</v>
      </c>
      <c r="N33" s="249">
        <f>VLOOKUP(B34,'B&amp;L'!$A$7:$BK$66,55,0)</f>
        <v>11016.08</v>
      </c>
      <c r="O33" s="249">
        <f>VLOOKUP(B34,'B&amp;L'!$A$7:$BK$66,60,0)</f>
        <v>11038.42</v>
      </c>
    </row>
    <row r="34" spans="1:15" ht="15" customHeight="1">
      <c r="A34" s="341"/>
      <c r="B34" s="166">
        <v>1412000056</v>
      </c>
      <c r="C34" s="159" t="s">
        <v>161</v>
      </c>
      <c r="D34" s="248">
        <f>VLOOKUP(B34,'B&amp;L'!$A$7:$BK$66,6,0)</f>
        <v>757.02</v>
      </c>
      <c r="E34" s="248">
        <f>VLOOKUP(B34,'B&amp;L'!$A$7:$BK$66,11,0)</f>
        <v>756.46</v>
      </c>
      <c r="F34" s="248">
        <f>VLOOKUP(B34,'B&amp;L'!$A$7:$BK$66,16,0)</f>
        <v>756.59</v>
      </c>
      <c r="G34" s="248">
        <f>VLOOKUP(B34,'B&amp;L'!$A$7:$BK$66,21,0)</f>
        <v>753.75</v>
      </c>
      <c r="H34" s="248">
        <f>VLOOKUP(B34,'B&amp;L'!$A$7:$BK$66,26,0)</f>
        <v>752.53</v>
      </c>
      <c r="I34" s="248">
        <f>VLOOKUP(B34,'B&amp;L'!$A$7:$BK$66,31,0)</f>
        <v>749.17</v>
      </c>
      <c r="J34" s="248">
        <f>VLOOKUP(B34,'B&amp;L'!$A$7:$BK$66,36,0)</f>
        <v>746.01</v>
      </c>
      <c r="K34" s="248">
        <f>VLOOKUP(B34,'B&amp;L'!$A$7:$BK$66,41,0)</f>
        <v>745.95</v>
      </c>
      <c r="L34" s="248">
        <f>VLOOKUP(B34,'B&amp;L'!$A$7:$BK$66,46,0)</f>
        <v>746.04</v>
      </c>
      <c r="M34" s="248">
        <f>VLOOKUP(B34,'B&amp;L'!$A$7:$BK$66,51,0)</f>
        <v>745.45</v>
      </c>
      <c r="N34" s="248">
        <f>VLOOKUP(B34,'B&amp;L'!$A$7:$BK$66,56,0)</f>
        <v>743.54</v>
      </c>
      <c r="O34" s="248">
        <f>VLOOKUP(B34,'B&amp;L'!$A$7:$BK$66,61,0)</f>
        <v>745.05</v>
      </c>
    </row>
    <row r="35" spans="1:15" ht="15" customHeight="1">
      <c r="A35" s="340">
        <v>15</v>
      </c>
      <c r="B35" s="165" t="s">
        <v>150</v>
      </c>
      <c r="C35" s="157" t="s">
        <v>160</v>
      </c>
      <c r="D35" s="249">
        <f>VLOOKUP(B36,'B&amp;L'!$A$7:$BK$66,5,0)</f>
        <v>73.040000000000006</v>
      </c>
      <c r="E35" s="249">
        <f>VLOOKUP(B36,'B&amp;L'!$A$7:$BK$66,10,0)</f>
        <v>75.31</v>
      </c>
      <c r="F35" s="249">
        <f>VLOOKUP(B36,'B&amp;L'!$A$7:$BK$66,15,0)</f>
        <v>79.290000000000006</v>
      </c>
      <c r="G35" s="249">
        <f>VLOOKUP(B36,'B&amp;L'!$A$7:$BK$66,20,0)</f>
        <v>69.239999999999995</v>
      </c>
      <c r="H35" s="249">
        <f>VLOOKUP(B36,'B&amp;L'!$A$7:$BK$66,25,0)</f>
        <v>72.47</v>
      </c>
      <c r="I35" s="249">
        <f>VLOOKUP(B36,'B&amp;L'!$A$7:$BK$66,30,0)</f>
        <v>73.489999999999995</v>
      </c>
      <c r="J35" s="249">
        <f>VLOOKUP(B36,'B&amp;L'!$A$7:$BK$66,35,0)</f>
        <v>72.19</v>
      </c>
      <c r="K35" s="249">
        <f>VLOOKUP(B36,'B&amp;L'!$A$7:$BK$66,40,0)</f>
        <v>69.760000000000005</v>
      </c>
      <c r="L35" s="249">
        <f>VLOOKUP(B36,'B&amp;L'!$A$7:$BK$66,45,0)</f>
        <v>71.03</v>
      </c>
      <c r="M35" s="249">
        <f>VLOOKUP(B36,'B&amp;L'!$A$7:$BK$66,50,0)</f>
        <v>66.39</v>
      </c>
      <c r="N35" s="249">
        <f>VLOOKUP(B36,'B&amp;L'!$A$7:$BK$66,55,0)</f>
        <v>61.8</v>
      </c>
      <c r="O35" s="249">
        <f>VLOOKUP(B36,'B&amp;L'!$A$7:$BK$66,60,0)</f>
        <v>67.650000000000006</v>
      </c>
    </row>
    <row r="36" spans="1:15" ht="15" customHeight="1">
      <c r="A36" s="341"/>
      <c r="B36" s="166">
        <v>1412000080</v>
      </c>
      <c r="C36" s="159" t="s">
        <v>161</v>
      </c>
      <c r="D36" s="248">
        <f>VLOOKUP(B36,'B&amp;L'!$A$7:$BK$66,6,0)</f>
        <v>4.93</v>
      </c>
      <c r="E36" s="248">
        <f>VLOOKUP(B36,'B&amp;L'!$A$7:$BK$66,11,0)</f>
        <v>5.08</v>
      </c>
      <c r="F36" s="248">
        <f>VLOOKUP(B36,'B&amp;L'!$A$7:$BK$66,16,0)</f>
        <v>5.35</v>
      </c>
      <c r="G36" s="248">
        <f>VLOOKUP(B36,'B&amp;L'!$A$7:$BK$66,21,0)</f>
        <v>4.67</v>
      </c>
      <c r="H36" s="248">
        <f>VLOOKUP(B36,'B&amp;L'!$A$7:$BK$66,26,0)</f>
        <v>4.8899999999999997</v>
      </c>
      <c r="I36" s="248">
        <f>VLOOKUP(B36,'B&amp;L'!$A$7:$BK$66,31,0)</f>
        <v>4.96</v>
      </c>
      <c r="J36" s="248">
        <f>VLOOKUP(B36,'B&amp;L'!$A$7:$BK$66,36,0)</f>
        <v>4.87</v>
      </c>
      <c r="K36" s="248">
        <f>VLOOKUP(B36,'B&amp;L'!$A$7:$BK$66,41,0)</f>
        <v>4.71</v>
      </c>
      <c r="L36" s="248">
        <f>VLOOKUP(B36,'B&amp;L'!$A$7:$BK$66,46,0)</f>
        <v>4.79</v>
      </c>
      <c r="M36" s="248">
        <f>VLOOKUP(B36,'B&amp;L'!$A$7:$BK$66,51,0)</f>
        <v>4.4800000000000004</v>
      </c>
      <c r="N36" s="248">
        <f>VLOOKUP(B36,'B&amp;L'!$A$7:$BK$66,56,0)</f>
        <v>4.17</v>
      </c>
      <c r="O36" s="248">
        <f>VLOOKUP(B36,'B&amp;L'!$A$7:$BK$66,61,0)</f>
        <v>4.57</v>
      </c>
    </row>
    <row r="37" spans="1:15" ht="15" customHeight="1">
      <c r="A37" s="346">
        <v>16</v>
      </c>
      <c r="B37" s="171" t="s">
        <v>81</v>
      </c>
      <c r="C37" s="172" t="s">
        <v>160</v>
      </c>
      <c r="D37" s="267">
        <f>VLOOKUP(B38,'B&amp;L'!$A$7:$BK$66,5,0)</f>
        <v>2386.3200000000002</v>
      </c>
      <c r="E37" s="267">
        <f>VLOOKUP(B38,'B&amp;L'!$A$7:$BK$66,10,0)</f>
        <v>2379.2199999999998</v>
      </c>
      <c r="F37" s="267">
        <f>VLOOKUP(B38,'B&amp;L'!$A$7:$BK$66,15,0)</f>
        <v>2387.79</v>
      </c>
      <c r="G37" s="267">
        <f>VLOOKUP(B38,'B&amp;L'!$A$7:$BK$66,20,0)</f>
        <v>2324.04</v>
      </c>
      <c r="H37" s="267">
        <f>VLOOKUP(B38,'B&amp;L'!$A$7:$BK$66,25,0)</f>
        <v>2299.3000000000002</v>
      </c>
      <c r="I37" s="267">
        <f>VLOOKUP(B38,'B&amp;L'!$A$7:$BK$66,30,0)</f>
        <v>2244.0700000000002</v>
      </c>
      <c r="J37" s="267">
        <f>VLOOKUP(B38,'B&amp;L'!$A$7:$BK$66,35,0)</f>
        <v>2199.41</v>
      </c>
      <c r="K37" s="267">
        <f>VLOOKUP(B38,'B&amp;L'!$A$7:$BK$66,40,0)</f>
        <v>2194.81</v>
      </c>
      <c r="L37" s="267">
        <f>VLOOKUP(B38,'B&amp;L'!$A$7:$BK$66,45,0)</f>
        <v>2198.17</v>
      </c>
      <c r="M37" s="267">
        <f>VLOOKUP(B38,'B&amp;L'!$A$7:$BK$66,50,0)</f>
        <v>2184.15</v>
      </c>
      <c r="N37" s="267">
        <f>VLOOKUP(B38,'B&amp;L'!$A$7:$BK$66,55,0)</f>
        <v>2189.89</v>
      </c>
      <c r="O37" s="267">
        <f>VLOOKUP(B38,'B&amp;L'!$A$7:$BK$66,60,0)</f>
        <v>2227.27</v>
      </c>
    </row>
    <row r="38" spans="1:15" ht="15" customHeight="1">
      <c r="A38" s="347"/>
      <c r="B38" s="173">
        <v>1412000053</v>
      </c>
      <c r="C38" s="174" t="s">
        <v>161</v>
      </c>
      <c r="D38" s="268">
        <f>VLOOKUP(B38,'B&amp;L'!$A$7:$BK$66,6,0)</f>
        <v>161.07</v>
      </c>
      <c r="E38" s="268">
        <f>VLOOKUP(B38,'B&amp;L'!$A$7:$BK$66,11,0)</f>
        <v>160.59</v>
      </c>
      <c r="F38" s="268">
        <f>VLOOKUP(B38,'B&amp;L'!$A$7:$BK$66,16,0)</f>
        <v>161.16999999999999</v>
      </c>
      <c r="G38" s="268">
        <f>VLOOKUP(B38,'B&amp;L'!$A$7:$BK$66,21,0)</f>
        <v>156.86000000000001</v>
      </c>
      <c r="H38" s="268">
        <f>VLOOKUP(B38,'B&amp;L'!$A$7:$BK$66,26,0)</f>
        <v>155.19</v>
      </c>
      <c r="I38" s="268">
        <f>VLOOKUP(B38,'B&amp;L'!$A$7:$BK$66,31,0)</f>
        <v>151.47</v>
      </c>
      <c r="J38" s="268">
        <f>VLOOKUP(B38,'B&amp;L'!$A$7:$BK$66,36,0)</f>
        <v>148.44999999999999</v>
      </c>
      <c r="K38" s="268">
        <f>VLOOKUP(B38,'B&amp;L'!$A$7:$BK$66,41,0)</f>
        <v>148.13999999999999</v>
      </c>
      <c r="L38" s="268">
        <f>VLOOKUP(B38,'B&amp;L'!$A$7:$BK$66,46,0)</f>
        <v>148.37</v>
      </c>
      <c r="M38" s="268">
        <f>VLOOKUP(B38,'B&amp;L'!$A$7:$BK$66,51,0)</f>
        <v>147.41999999999999</v>
      </c>
      <c r="N38" s="268">
        <f>VLOOKUP(B38,'B&amp;L'!$A$7:$BK$66,56,0)</f>
        <v>147.81</v>
      </c>
      <c r="O38" s="268">
        <f>VLOOKUP(B38,'B&amp;L'!$A$7:$BK$66,61,0)</f>
        <v>150.33000000000001</v>
      </c>
    </row>
    <row r="39" spans="1:15" ht="15" customHeight="1">
      <c r="A39" s="340">
        <v>17</v>
      </c>
      <c r="B39" s="165" t="s">
        <v>82</v>
      </c>
      <c r="C39" s="157" t="s">
        <v>160</v>
      </c>
      <c r="D39" s="249">
        <f>VLOOKUP(B40,'B&amp;L'!$A$7:$BK$66,5,0)</f>
        <v>67.67</v>
      </c>
      <c r="E39" s="249">
        <f>VLOOKUP(B40,'B&amp;L'!$A$7:$BK$66,10,0)</f>
        <v>68.2</v>
      </c>
      <c r="F39" s="249">
        <f>VLOOKUP(B40,'B&amp;L'!$A$7:$BK$66,15,0)</f>
        <v>69.58</v>
      </c>
      <c r="G39" s="249">
        <f>VLOOKUP(B40,'B&amp;L'!$A$7:$BK$66,20,0)</f>
        <v>66.09</v>
      </c>
      <c r="H39" s="249">
        <f>VLOOKUP(B40,'B&amp;L'!$A$7:$BK$66,25,0)</f>
        <v>65.2</v>
      </c>
      <c r="I39" s="249">
        <f>VLOOKUP(B40,'B&amp;L'!$A$7:$BK$66,30,0)</f>
        <v>65.52</v>
      </c>
      <c r="J39" s="249">
        <f>VLOOKUP(B40,'B&amp;L'!$A$7:$BK$66,35,0)</f>
        <v>72.959999999999994</v>
      </c>
      <c r="K39" s="249">
        <f>VLOOKUP(B40,'B&amp;L'!$A$7:$BK$66,40,0)</f>
        <v>72.08</v>
      </c>
      <c r="L39" s="249">
        <f>VLOOKUP(B40,'B&amp;L'!$A$7:$BK$66,45,0)</f>
        <v>72.540000000000006</v>
      </c>
      <c r="M39" s="249">
        <f>VLOOKUP(B40,'B&amp;L'!$A$7:$BK$66,50,0)</f>
        <v>70.87</v>
      </c>
      <c r="N39" s="249">
        <f>VLOOKUP(B40,'B&amp;L'!$A$7:$BK$66,55,0)</f>
        <v>69.22</v>
      </c>
      <c r="O39" s="249">
        <f>VLOOKUP(B40,'B&amp;L'!$A$7:$BK$66,60,0)</f>
        <v>71.319999999999993</v>
      </c>
    </row>
    <row r="40" spans="1:15" ht="15" customHeight="1">
      <c r="A40" s="341"/>
      <c r="B40" s="166">
        <v>1412000075</v>
      </c>
      <c r="C40" s="159" t="s">
        <v>161</v>
      </c>
      <c r="D40" s="248">
        <f>VLOOKUP(B40,'B&amp;L'!$A$7:$BK$66,6,0)</f>
        <v>4.57</v>
      </c>
      <c r="E40" s="248">
        <f>VLOOKUP(B40,'B&amp;L'!$A$7:$BK$66,11,0)</f>
        <v>4.5999999999999996</v>
      </c>
      <c r="F40" s="248">
        <f>VLOOKUP(B40,'B&amp;L'!$A$7:$BK$66,16,0)</f>
        <v>4.7</v>
      </c>
      <c r="G40" s="248">
        <f>VLOOKUP(B40,'B&amp;L'!$A$7:$BK$66,21,0)</f>
        <v>4.46</v>
      </c>
      <c r="H40" s="248">
        <f>VLOOKUP(B40,'B&amp;L'!$A$7:$BK$66,26,0)</f>
        <v>4.4000000000000004</v>
      </c>
      <c r="I40" s="248">
        <f>VLOOKUP(B40,'B&amp;L'!$A$7:$BK$66,31,0)</f>
        <v>4.42</v>
      </c>
      <c r="J40" s="248">
        <f>VLOOKUP(B40,'B&amp;L'!$A$7:$BK$66,36,0)</f>
        <v>4.92</v>
      </c>
      <c r="K40" s="248">
        <f>VLOOKUP(B40,'B&amp;L'!$A$7:$BK$66,41,0)</f>
        <v>4.87</v>
      </c>
      <c r="L40" s="248">
        <f>VLOOKUP(B40,'B&amp;L'!$A$7:$BK$66,46,0)</f>
        <v>4.9000000000000004</v>
      </c>
      <c r="M40" s="248">
        <f>VLOOKUP(B40,'B&amp;L'!$A$7:$BK$66,51,0)</f>
        <v>4.78</v>
      </c>
      <c r="N40" s="248">
        <f>VLOOKUP(B40,'B&amp;L'!$A$7:$BK$66,56,0)</f>
        <v>4.67</v>
      </c>
      <c r="O40" s="248">
        <f>VLOOKUP(B40,'B&amp;L'!$A$7:$BK$66,61,0)</f>
        <v>4.8099999999999996</v>
      </c>
    </row>
    <row r="41" spans="1:15" ht="15" customHeight="1">
      <c r="A41" s="340">
        <v>18</v>
      </c>
      <c r="B41" s="165" t="s">
        <v>134</v>
      </c>
      <c r="C41" s="157" t="s">
        <v>160</v>
      </c>
      <c r="D41" s="249">
        <f>VLOOKUP(B42,'B&amp;L'!$A$7:$BK$66,5,0)</f>
        <v>93.05</v>
      </c>
      <c r="E41" s="249">
        <f>VLOOKUP(B42,'B&amp;L'!$A$7:$BK$66,10,0)</f>
        <v>93.78</v>
      </c>
      <c r="F41" s="249">
        <f>VLOOKUP(B42,'B&amp;L'!$A$7:$BK$66,15,0)</f>
        <v>95.68</v>
      </c>
      <c r="G41" s="249">
        <f>VLOOKUP(B42,'B&amp;L'!$A$7:$BK$66,20,0)</f>
        <v>90.87</v>
      </c>
      <c r="H41" s="249">
        <f>VLOOKUP(B42,'B&amp;L'!$A$7:$BK$66,25,0)</f>
        <v>89.65</v>
      </c>
      <c r="I41" s="249">
        <f>VLOOKUP(B42,'B&amp;L'!$A$7:$BK$66,30,0)</f>
        <v>90.09</v>
      </c>
      <c r="J41" s="249">
        <f>VLOOKUP(B42,'B&amp;L'!$A$7:$BK$66,35,0)</f>
        <v>89.17</v>
      </c>
      <c r="K41" s="249">
        <f>VLOOKUP(B42,'B&amp;L'!$A$7:$BK$66,40,0)</f>
        <v>88.1</v>
      </c>
      <c r="L41" s="249">
        <f>VLOOKUP(B42,'B&amp;L'!$A$7:$BK$66,45,0)</f>
        <v>88.66</v>
      </c>
      <c r="M41" s="249">
        <f>VLOOKUP(B42,'B&amp;L'!$A$7:$BK$66,50,0)</f>
        <v>86.62</v>
      </c>
      <c r="N41" s="249">
        <f>VLOOKUP(B42,'B&amp;L'!$A$7:$BK$66,55,0)</f>
        <v>84.6</v>
      </c>
      <c r="O41" s="249">
        <f>VLOOKUP(B42,'B&amp;L'!$A$7:$BK$66,60,0)</f>
        <v>87.17</v>
      </c>
    </row>
    <row r="42" spans="1:15" ht="15" customHeight="1">
      <c r="A42" s="341"/>
      <c r="B42" s="166">
        <v>1412000008</v>
      </c>
      <c r="C42" s="159" t="s">
        <v>161</v>
      </c>
      <c r="D42" s="248">
        <f>VLOOKUP(B42,'B&amp;L'!$A$7:$BK$66,6,0)</f>
        <v>6.28</v>
      </c>
      <c r="E42" s="248">
        <f>VLOOKUP(B42,'B&amp;L'!$A$7:$BK$66,11,0)</f>
        <v>6.33</v>
      </c>
      <c r="F42" s="248">
        <f>VLOOKUP(B42,'B&amp;L'!$A$7:$BK$66,16,0)</f>
        <v>6.46</v>
      </c>
      <c r="G42" s="248">
        <f>VLOOKUP(B42,'B&amp;L'!$A$7:$BK$66,21,0)</f>
        <v>6.13</v>
      </c>
      <c r="H42" s="248">
        <f>VLOOKUP(B42,'B&amp;L'!$A$7:$BK$66,26,0)</f>
        <v>6.05</v>
      </c>
      <c r="I42" s="248">
        <f>VLOOKUP(B42,'B&amp;L'!$A$7:$BK$66,31,0)</f>
        <v>6.08</v>
      </c>
      <c r="J42" s="248">
        <f>VLOOKUP(B42,'B&amp;L'!$A$7:$BK$66,36,0)</f>
        <v>6.02</v>
      </c>
      <c r="K42" s="248">
        <f>VLOOKUP(B42,'B&amp;L'!$A$7:$BK$66,41,0)</f>
        <v>5.95</v>
      </c>
      <c r="L42" s="248">
        <f>VLOOKUP(B42,'B&amp;L'!$A$7:$BK$66,46,0)</f>
        <v>5.98</v>
      </c>
      <c r="M42" s="248">
        <f>VLOOKUP(B42,'B&amp;L'!$A$7:$BK$66,51,0)</f>
        <v>5.85</v>
      </c>
      <c r="N42" s="248">
        <f>VLOOKUP(B42,'B&amp;L'!$A$7:$BK$66,56,0)</f>
        <v>5.71</v>
      </c>
      <c r="O42" s="248">
        <f>VLOOKUP(B42,'B&amp;L'!$A$7:$BK$66,61,0)</f>
        <v>5.88</v>
      </c>
    </row>
    <row r="43" spans="1:15" ht="15" customHeight="1">
      <c r="A43" s="340">
        <v>19</v>
      </c>
      <c r="B43" s="165" t="s">
        <v>135</v>
      </c>
      <c r="C43" s="157" t="s">
        <v>160</v>
      </c>
      <c r="D43" s="249">
        <f>VLOOKUP(B44,'B&amp;L'!$A$7:$BK$66,5,0)</f>
        <v>50.75</v>
      </c>
      <c r="E43" s="249">
        <f>VLOOKUP(B44,'B&amp;L'!$A$7:$BK$66,10,0)</f>
        <v>51.15</v>
      </c>
      <c r="F43" s="249">
        <f>VLOOKUP(B44,'B&amp;L'!$A$7:$BK$66,15,0)</f>
        <v>52.19</v>
      </c>
      <c r="G43" s="249">
        <f>VLOOKUP(B44,'B&amp;L'!$A$7:$BK$66,20,0)</f>
        <v>49.57</v>
      </c>
      <c r="H43" s="249">
        <f>VLOOKUP(B44,'B&amp;L'!$A$7:$BK$66,25,0)</f>
        <v>48.9</v>
      </c>
      <c r="I43" s="249">
        <f>VLOOKUP(B44,'B&amp;L'!$A$7:$BK$66,30,0)</f>
        <v>49.14</v>
      </c>
      <c r="J43" s="249">
        <f>VLOOKUP(B44,'B&amp;L'!$A$7:$BK$66,35,0)</f>
        <v>48.64</v>
      </c>
      <c r="K43" s="249">
        <f>VLOOKUP(B44,'B&amp;L'!$A$7:$BK$66,40,0)</f>
        <v>48.06</v>
      </c>
      <c r="L43" s="249">
        <f>VLOOKUP(B44,'B&amp;L'!$A$7:$BK$66,45,0)</f>
        <v>48.36</v>
      </c>
      <c r="M43" s="249">
        <f>VLOOKUP(B44,'B&amp;L'!$A$7:$BK$66,50,0)</f>
        <v>47.25</v>
      </c>
      <c r="N43" s="249">
        <f>VLOOKUP(B44,'B&amp;L'!$A$7:$BK$66,55,0)</f>
        <v>46.14</v>
      </c>
      <c r="O43" s="249">
        <f>VLOOKUP(B44,'B&amp;L'!$A$7:$BK$66,60,0)</f>
        <v>47.55</v>
      </c>
    </row>
    <row r="44" spans="1:15" ht="15" customHeight="1">
      <c r="A44" s="341"/>
      <c r="B44" s="166">
        <v>1412000010</v>
      </c>
      <c r="C44" s="159" t="s">
        <v>161</v>
      </c>
      <c r="D44" s="248">
        <f>VLOOKUP(B44,'B&amp;L'!$A$7:$BK$66,6,0)</f>
        <v>3.43</v>
      </c>
      <c r="E44" s="248">
        <f>VLOOKUP(B44,'B&amp;L'!$A$7:$BK$66,11,0)</f>
        <v>3.45</v>
      </c>
      <c r="F44" s="248">
        <f>VLOOKUP(B44,'B&amp;L'!$A$7:$BK$66,16,0)</f>
        <v>3.52</v>
      </c>
      <c r="G44" s="248">
        <f>VLOOKUP(B44,'B&amp;L'!$A$7:$BK$66,21,0)</f>
        <v>3.35</v>
      </c>
      <c r="H44" s="248">
        <f>VLOOKUP(B44,'B&amp;L'!$A$7:$BK$66,26,0)</f>
        <v>3.3</v>
      </c>
      <c r="I44" s="248">
        <f>VLOOKUP(B44,'B&amp;L'!$A$7:$BK$66,31,0)</f>
        <v>3.32</v>
      </c>
      <c r="J44" s="248">
        <f>VLOOKUP(B44,'B&amp;L'!$A$7:$BK$66,36,0)</f>
        <v>3.28</v>
      </c>
      <c r="K44" s="248">
        <f>VLOOKUP(B44,'B&amp;L'!$A$7:$BK$66,41,0)</f>
        <v>3.24</v>
      </c>
      <c r="L44" s="248">
        <f>VLOOKUP(B44,'B&amp;L'!$A$7:$BK$66,46,0)</f>
        <v>3.26</v>
      </c>
      <c r="M44" s="248">
        <f>VLOOKUP(B44,'B&amp;L'!$A$7:$BK$66,51,0)</f>
        <v>3.19</v>
      </c>
      <c r="N44" s="248">
        <f>VLOOKUP(B44,'B&amp;L'!$A$7:$BK$66,56,0)</f>
        <v>3.11</v>
      </c>
      <c r="O44" s="248">
        <f>VLOOKUP(B44,'B&amp;L'!$A$7:$BK$66,61,0)</f>
        <v>3.21</v>
      </c>
    </row>
    <row r="45" spans="1:15" s="162" customFormat="1" ht="15" customHeight="1">
      <c r="A45" s="348">
        <v>20</v>
      </c>
      <c r="B45" s="175" t="s">
        <v>162</v>
      </c>
      <c r="C45" s="161" t="s">
        <v>160</v>
      </c>
      <c r="D45" s="249">
        <f>VLOOKUP(B46,'B&amp;L'!$A$7:$BK$66,5,0)</f>
        <v>25.38</v>
      </c>
      <c r="E45" s="249">
        <f>VLOOKUP(B46,'B&amp;L'!$A$7:$BK$66,10,0)</f>
        <v>25.58</v>
      </c>
      <c r="F45" s="249">
        <f>VLOOKUP(B46,'B&amp;L'!$A$7:$BK$66,15,0)</f>
        <v>26.09</v>
      </c>
      <c r="G45" s="249">
        <f>VLOOKUP(B46,'B&amp;L'!$A$7:$BK$66,20,0)</f>
        <v>24.78</v>
      </c>
      <c r="H45" s="249">
        <f>VLOOKUP(B46,'B&amp;L'!$A$7:$BK$66,25,0)</f>
        <v>24.45</v>
      </c>
      <c r="I45" s="249">
        <f>VLOOKUP(B46,'B&amp;L'!$A$7:$BK$66,30,0)</f>
        <v>24.57</v>
      </c>
      <c r="J45" s="249">
        <f>VLOOKUP(B46,'B&amp;L'!$A$7:$BK$66,35,0)</f>
        <v>24.32</v>
      </c>
      <c r="K45" s="249">
        <f>VLOOKUP(B46,'B&amp;L'!$A$7:$BK$66,40,0)</f>
        <v>24.03</v>
      </c>
      <c r="L45" s="249">
        <f>VLOOKUP(B46,'B&amp;L'!$A$7:$BK$66,45,0)</f>
        <v>24.18</v>
      </c>
      <c r="M45" s="249">
        <f>VLOOKUP(B46,'B&amp;L'!$A$7:$BK$66,50,0)</f>
        <v>23.62</v>
      </c>
      <c r="N45" s="249">
        <f>VLOOKUP(B46,'B&amp;L'!$A$7:$BK$66,55,0)</f>
        <v>23.07</v>
      </c>
      <c r="O45" s="249">
        <f>VLOOKUP(B46,'B&amp;L'!$A$7:$BK$66,60,0)</f>
        <v>23.77</v>
      </c>
    </row>
    <row r="46" spans="1:15" s="162" customFormat="1" ht="15" customHeight="1">
      <c r="A46" s="349"/>
      <c r="B46" s="176">
        <v>1412000094</v>
      </c>
      <c r="C46" s="164" t="s">
        <v>161</v>
      </c>
      <c r="D46" s="248">
        <f>VLOOKUP(B46,'B&amp;L'!$A$7:$BK$66,6,0)</f>
        <v>1.71</v>
      </c>
      <c r="E46" s="248">
        <f>VLOOKUP(B46,'B&amp;L'!$A$7:$BK$66,11,0)</f>
        <v>1.73</v>
      </c>
      <c r="F46" s="248">
        <f>VLOOKUP(B46,'B&amp;L'!$A$7:$BK$66,16,0)</f>
        <v>1.76</v>
      </c>
      <c r="G46" s="248">
        <f>VLOOKUP(B46,'B&amp;L'!$A$7:$BK$66,21,0)</f>
        <v>1.67</v>
      </c>
      <c r="H46" s="248">
        <f>VLOOKUP(B46,'B&amp;L'!$A$7:$BK$66,26,0)</f>
        <v>1.65</v>
      </c>
      <c r="I46" s="248">
        <f>VLOOKUP(B46,'B&amp;L'!$A$7:$BK$66,31,0)</f>
        <v>1.66</v>
      </c>
      <c r="J46" s="248">
        <f>VLOOKUP(B46,'B&amp;L'!$A$7:$BK$66,36,0)</f>
        <v>1.64</v>
      </c>
      <c r="K46" s="248">
        <f>VLOOKUP(B46,'B&amp;L'!$A$7:$BK$66,41,0)</f>
        <v>1.62</v>
      </c>
      <c r="L46" s="248">
        <f>VLOOKUP(B46,'B&amp;L'!$A$7:$BK$66,46,0)</f>
        <v>1.63</v>
      </c>
      <c r="M46" s="248">
        <f>VLOOKUP(B46,'B&amp;L'!$A$7:$BK$66,51,0)</f>
        <v>1.59</v>
      </c>
      <c r="N46" s="248">
        <f>VLOOKUP(B46,'B&amp;L'!$A$7:$BK$66,56,0)</f>
        <v>1.56</v>
      </c>
      <c r="O46" s="248">
        <f>VLOOKUP(B46,'B&amp;L'!$A$7:$BK$66,61,0)</f>
        <v>1.6</v>
      </c>
    </row>
    <row r="47" spans="1:15" ht="15" customHeight="1">
      <c r="A47" s="340">
        <v>21</v>
      </c>
      <c r="B47" s="165" t="s">
        <v>4</v>
      </c>
      <c r="C47" s="157" t="s">
        <v>160</v>
      </c>
      <c r="D47" s="249">
        <f>VLOOKUP(B48,'B&amp;L'!$A$7:$BK$66,5,0)</f>
        <v>135.35</v>
      </c>
      <c r="E47" s="249">
        <f>VLOOKUP(B48,'B&amp;L'!$A$7:$BK$66,10,0)</f>
        <v>144.93</v>
      </c>
      <c r="F47" s="249">
        <f>VLOOKUP(B48,'B&amp;L'!$A$7:$BK$66,15,0)</f>
        <v>147.87</v>
      </c>
      <c r="G47" s="249">
        <f>VLOOKUP(B48,'B&amp;L'!$A$7:$BK$66,20,0)</f>
        <v>140.44</v>
      </c>
      <c r="H47" s="249">
        <f>VLOOKUP(B48,'B&amp;L'!$A$7:$BK$66,25,0)</f>
        <v>138.55000000000001</v>
      </c>
      <c r="I47" s="249">
        <f>VLOOKUP(B48,'B&amp;L'!$A$7:$BK$66,30,0)</f>
        <v>139.24</v>
      </c>
      <c r="J47" s="249">
        <f>VLOOKUP(B48,'B&amp;L'!$A$7:$BK$66,35,0)</f>
        <v>137.81</v>
      </c>
      <c r="K47" s="249">
        <f>VLOOKUP(B48,'B&amp;L'!$A$7:$BK$66,40,0)</f>
        <v>136.16</v>
      </c>
      <c r="L47" s="249">
        <f>VLOOKUP(B48,'B&amp;L'!$A$7:$BK$66,45,0)</f>
        <v>137.02000000000001</v>
      </c>
      <c r="M47" s="249">
        <f>VLOOKUP(B48,'B&amp;L'!$A$7:$BK$66,50,0)</f>
        <v>133.87</v>
      </c>
      <c r="N47" s="249">
        <f>VLOOKUP(B48,'B&amp;L'!$A$7:$BK$66,55,0)</f>
        <v>130.74</v>
      </c>
      <c r="O47" s="249">
        <f>VLOOKUP(B48,'B&amp;L'!$A$7:$BK$66,60,0)</f>
        <v>134.72</v>
      </c>
    </row>
    <row r="48" spans="1:15" ht="15" customHeight="1">
      <c r="A48" s="341"/>
      <c r="B48" s="166">
        <v>1412000054</v>
      </c>
      <c r="C48" s="159" t="s">
        <v>161</v>
      </c>
      <c r="D48" s="248">
        <f>VLOOKUP(B48,'B&amp;L'!$A$7:$BK$66,6,0)</f>
        <v>9.14</v>
      </c>
      <c r="E48" s="248">
        <f>VLOOKUP(B48,'B&amp;L'!$A$7:$BK$66,11,0)</f>
        <v>9.7799999999999994</v>
      </c>
      <c r="F48" s="248">
        <f>VLOOKUP(B48,'B&amp;L'!$A$7:$BK$66,16,0)</f>
        <v>9.98</v>
      </c>
      <c r="G48" s="248">
        <f>VLOOKUP(B48,'B&amp;L'!$A$7:$BK$66,21,0)</f>
        <v>9.48</v>
      </c>
      <c r="H48" s="248">
        <f>VLOOKUP(B48,'B&amp;L'!$A$7:$BK$66,26,0)</f>
        <v>9.35</v>
      </c>
      <c r="I48" s="248">
        <f>VLOOKUP(B48,'B&amp;L'!$A$7:$BK$66,31,0)</f>
        <v>9.4</v>
      </c>
      <c r="J48" s="248">
        <f>VLOOKUP(B48,'B&amp;L'!$A$7:$BK$66,36,0)</f>
        <v>9.3000000000000007</v>
      </c>
      <c r="K48" s="248">
        <f>VLOOKUP(B48,'B&amp;L'!$A$7:$BK$66,41,0)</f>
        <v>9.19</v>
      </c>
      <c r="L48" s="248">
        <f>VLOOKUP(B48,'B&amp;L'!$A$7:$BK$66,46,0)</f>
        <v>9.25</v>
      </c>
      <c r="M48" s="248">
        <f>VLOOKUP(B48,'B&amp;L'!$A$7:$BK$66,51,0)</f>
        <v>9.0399999999999991</v>
      </c>
      <c r="N48" s="248">
        <f>VLOOKUP(B48,'B&amp;L'!$A$7:$BK$66,56,0)</f>
        <v>8.82</v>
      </c>
      <c r="O48" s="248">
        <f>VLOOKUP(B48,'B&amp;L'!$A$7:$BK$66,61,0)</f>
        <v>9.09</v>
      </c>
    </row>
    <row r="49" spans="1:15" ht="15" customHeight="1">
      <c r="A49" s="340">
        <v>22</v>
      </c>
      <c r="B49" s="165" t="s">
        <v>84</v>
      </c>
      <c r="C49" s="157" t="s">
        <v>160</v>
      </c>
      <c r="D49" s="249">
        <f>VLOOKUP(B50,'B&amp;L'!$A$7:$BK$66,5,0)</f>
        <v>86250.2</v>
      </c>
      <c r="E49" s="249">
        <f>VLOOKUP(B50,'B&amp;L'!$A$7:$BK$66,10,0)</f>
        <v>86212.94</v>
      </c>
      <c r="F49" s="249">
        <f>VLOOKUP(B50,'B&amp;L'!$A$7:$BK$66,15,0)</f>
        <v>86211.74</v>
      </c>
      <c r="G49" s="249">
        <f>VLOOKUP(B50,'B&amp;L'!$A$7:$BK$66,20,0)</f>
        <v>86092.58</v>
      </c>
      <c r="H49" s="249">
        <f>VLOOKUP(B50,'B&amp;L'!$A$7:$BK$66,25,0)</f>
        <v>86045.32</v>
      </c>
      <c r="I49" s="249">
        <f>VLOOKUP(B50,'B&amp;L'!$A$7:$BK$66,30,0)</f>
        <v>85916.05</v>
      </c>
      <c r="J49" s="249">
        <f>VLOOKUP(B50,'B&amp;L'!$A$7:$BK$66,35,0)</f>
        <v>85790.720000000001</v>
      </c>
      <c r="K49" s="249">
        <f>VLOOKUP(B50,'B&amp;L'!$A$7:$BK$66,40,0)</f>
        <v>85781.58</v>
      </c>
      <c r="L49" s="249">
        <f>VLOOKUP(B50,'B&amp;L'!$A$7:$BK$66,45,0)</f>
        <v>85779.44</v>
      </c>
      <c r="M49" s="249">
        <f>VLOOKUP(B50,'B&amp;L'!$A$7:$BK$66,50,0)</f>
        <v>85802.02</v>
      </c>
      <c r="N49" s="249">
        <f>VLOOKUP(B50,'B&amp;L'!$A$7:$BK$66,55,0)</f>
        <v>85766.93</v>
      </c>
      <c r="O49" s="249">
        <f>VLOOKUP(B50,'B&amp;L'!$A$7:$BK$66,60,0)</f>
        <v>85823.99</v>
      </c>
    </row>
    <row r="50" spans="1:15" ht="15" customHeight="1">
      <c r="A50" s="341"/>
      <c r="B50" s="166">
        <v>1412000036</v>
      </c>
      <c r="C50" s="159" t="s">
        <v>161</v>
      </c>
      <c r="D50" s="248">
        <f>VLOOKUP(B50,'B&amp;L'!$A$7:$BK$66,6,0)</f>
        <v>5821.55</v>
      </c>
      <c r="E50" s="248">
        <f>VLOOKUP(B50,'B&amp;L'!$A$7:$BK$66,11,0)</f>
        <v>5819.03</v>
      </c>
      <c r="F50" s="248">
        <f>VLOOKUP(B50,'B&amp;L'!$A$7:$BK$66,16,0)</f>
        <v>5818.95</v>
      </c>
      <c r="G50" s="248">
        <f>VLOOKUP(B50,'B&amp;L'!$A$7:$BK$66,21,0)</f>
        <v>5810.91</v>
      </c>
      <c r="H50" s="248">
        <f>VLOOKUP(B50,'B&amp;L'!$A$7:$BK$66,26,0)</f>
        <v>5807.72</v>
      </c>
      <c r="I50" s="248">
        <f>VLOOKUP(B50,'B&amp;L'!$A$7:$BK$66,31,0)</f>
        <v>5798.99</v>
      </c>
      <c r="J50" s="248">
        <f>VLOOKUP(B50,'B&amp;L'!$A$7:$BK$66,36,0)</f>
        <v>5790.53</v>
      </c>
      <c r="K50" s="248">
        <f>VLOOKUP(B50,'B&amp;L'!$A$7:$BK$66,41,0)</f>
        <v>5789.92</v>
      </c>
      <c r="L50" s="248">
        <f>VLOOKUP(B50,'B&amp;L'!$A$7:$BK$66,46,0)</f>
        <v>5789.77</v>
      </c>
      <c r="M50" s="248">
        <f>VLOOKUP(B50,'B&amp;L'!$A$7:$BK$66,51,0)</f>
        <v>5791.3</v>
      </c>
      <c r="N50" s="248">
        <f>VLOOKUP(B50,'B&amp;L'!$A$7:$BK$66,56,0)</f>
        <v>5788.93</v>
      </c>
      <c r="O50" s="248">
        <f>VLOOKUP(B50,'B&amp;L'!$A$7:$BK$66,61,0)</f>
        <v>5792.78</v>
      </c>
    </row>
    <row r="51" spans="1:15" ht="15" customHeight="1">
      <c r="A51" s="340">
        <v>23</v>
      </c>
      <c r="B51" s="165" t="s">
        <v>83</v>
      </c>
      <c r="C51" s="157" t="s">
        <v>160</v>
      </c>
      <c r="D51" s="249">
        <f>VLOOKUP(B52,'B&amp;L'!$A$7:$BK$66,5,0)</f>
        <v>36421.47</v>
      </c>
      <c r="E51" s="249">
        <f>VLOOKUP(B52,'B&amp;L'!$A$7:$BK$66,10,0)</f>
        <v>36418.79</v>
      </c>
      <c r="F51" s="249">
        <f>VLOOKUP(B52,'B&amp;L'!$A$7:$BK$66,15,0)</f>
        <v>36416.92</v>
      </c>
      <c r="G51" s="249">
        <f>VLOOKUP(B52,'B&amp;L'!$A$7:$BK$66,20,0)</f>
        <v>36397.660000000003</v>
      </c>
      <c r="H51" s="249">
        <f>VLOOKUP(B52,'B&amp;L'!$A$7:$BK$66,25,0)</f>
        <v>36386.35</v>
      </c>
      <c r="I51" s="249">
        <f>VLOOKUP(B52,'B&amp;L'!$A$7:$BK$66,30,0)</f>
        <v>36365.19</v>
      </c>
      <c r="J51" s="249">
        <f>VLOOKUP(B52,'B&amp;L'!$A$7:$BK$66,35,0)</f>
        <v>36347.69</v>
      </c>
      <c r="K51" s="249">
        <f>VLOOKUP(B52,'B&amp;L'!$A$7:$BK$66,40,0)</f>
        <v>36346.57</v>
      </c>
      <c r="L51" s="249">
        <f>VLOOKUP(B52,'B&amp;L'!$A$7:$BK$66,45,0)</f>
        <v>36344.5</v>
      </c>
      <c r="M51" s="249">
        <f>VLOOKUP(B52,'B&amp;L'!$A$7:$BK$66,50,0)</f>
        <v>36342.81</v>
      </c>
      <c r="N51" s="249">
        <f>VLOOKUP(B52,'B&amp;L'!$A$7:$BK$66,55,0)</f>
        <v>36333.85</v>
      </c>
      <c r="O51" s="249">
        <f>VLOOKUP(B52,'B&amp;L'!$A$7:$BK$66,60,0)</f>
        <v>36341.089999999997</v>
      </c>
    </row>
    <row r="52" spans="1:15" ht="15" customHeight="1">
      <c r="A52" s="341"/>
      <c r="B52" s="166">
        <v>1412000072</v>
      </c>
      <c r="C52" s="159" t="s">
        <v>161</v>
      </c>
      <c r="D52" s="248">
        <f>VLOOKUP(B52,'B&amp;L'!$A$7:$BK$66,6,0)</f>
        <v>2458.3000000000002</v>
      </c>
      <c r="E52" s="248">
        <f>VLOOKUP(B52,'B&amp;L'!$A$7:$BK$66,11,0)</f>
        <v>2458.12</v>
      </c>
      <c r="F52" s="248">
        <f>VLOOKUP(B52,'B&amp;L'!$A$7:$BK$66,16,0)</f>
        <v>2458</v>
      </c>
      <c r="G52" s="248">
        <f>VLOOKUP(B52,'B&amp;L'!$A$7:$BK$66,21,0)</f>
        <v>2456.6999999999998</v>
      </c>
      <c r="H52" s="248">
        <f>VLOOKUP(B52,'B&amp;L'!$A$7:$BK$66,26,0)</f>
        <v>2455.9299999999998</v>
      </c>
      <c r="I52" s="248">
        <f>VLOOKUP(B52,'B&amp;L'!$A$7:$BK$66,31,0)</f>
        <v>2454.5100000000002</v>
      </c>
      <c r="J52" s="248">
        <f>VLOOKUP(B52,'B&amp;L'!$A$7:$BK$66,36,0)</f>
        <v>2453.3200000000002</v>
      </c>
      <c r="K52" s="248">
        <f>VLOOKUP(B52,'B&amp;L'!$A$7:$BK$66,41,0)</f>
        <v>2453.25</v>
      </c>
      <c r="L52" s="248">
        <f>VLOOKUP(B52,'B&amp;L'!$A$7:$BK$66,46,0)</f>
        <v>2453.11</v>
      </c>
      <c r="M52" s="248">
        <f>VLOOKUP(B52,'B&amp;L'!$A$7:$BK$66,51,0)</f>
        <v>2453</v>
      </c>
      <c r="N52" s="248">
        <f>VLOOKUP(B52,'B&amp;L'!$A$7:$BK$66,56,0)</f>
        <v>2452.39</v>
      </c>
      <c r="O52" s="248">
        <f>VLOOKUP(B52,'B&amp;L'!$A$7:$BK$66,61,0)</f>
        <v>2452.88</v>
      </c>
    </row>
    <row r="53" spans="1:15" ht="15" customHeight="1">
      <c r="A53" s="340">
        <v>24</v>
      </c>
      <c r="B53" s="165" t="s">
        <v>67</v>
      </c>
      <c r="C53" s="157" t="s">
        <v>160</v>
      </c>
      <c r="D53" s="249">
        <f>VLOOKUP(B54,'B&amp;L'!$A$7:$BK$66,5,0)</f>
        <v>209.7</v>
      </c>
      <c r="E53" s="249">
        <f>VLOOKUP(B54,'B&amp;L'!$A$7:$BK$66,10,0)</f>
        <v>211.47</v>
      </c>
      <c r="F53" s="249">
        <f>VLOOKUP(B54,'B&amp;L'!$A$7:$BK$66,15,0)</f>
        <v>214.59</v>
      </c>
      <c r="G53" s="249">
        <f>VLOOKUP(B54,'B&amp;L'!$A$7:$BK$66,20,0)</f>
        <v>206.72</v>
      </c>
      <c r="H53" s="249">
        <f>VLOOKUP(B54,'B&amp;L'!$A$7:$BK$66,25,0)</f>
        <v>204.72</v>
      </c>
      <c r="I53" s="249">
        <f>VLOOKUP(B54,'B&amp;L'!$A$7:$BK$66,30,0)</f>
        <v>205.45</v>
      </c>
      <c r="J53" s="249">
        <f>VLOOKUP(B54,'B&amp;L'!$A$7:$BK$66,35,0)</f>
        <v>203.01</v>
      </c>
      <c r="K53" s="249">
        <f>VLOOKUP(B54,'B&amp;L'!$A$7:$BK$66,40,0)</f>
        <v>201.27</v>
      </c>
      <c r="L53" s="249">
        <f>VLOOKUP(B54,'B&amp;L'!$A$7:$BK$66,45,0)</f>
        <v>202.18</v>
      </c>
      <c r="M53" s="249">
        <f>VLOOKUP(B54,'B&amp;L'!$A$7:$BK$66,50,0)</f>
        <v>198.84</v>
      </c>
      <c r="N53" s="249">
        <f>VLOOKUP(B54,'B&amp;L'!$A$7:$BK$66,55,0)</f>
        <v>195.53</v>
      </c>
      <c r="O53" s="249">
        <f>VLOOKUP(B54,'B&amp;L'!$A$7:$BK$66,60,0)</f>
        <v>199.75</v>
      </c>
    </row>
    <row r="54" spans="1:15" ht="15" customHeight="1">
      <c r="A54" s="341"/>
      <c r="B54" s="166">
        <v>1412000073</v>
      </c>
      <c r="C54" s="159" t="s">
        <v>161</v>
      </c>
      <c r="D54" s="248">
        <f>VLOOKUP(B54,'B&amp;L'!$A$7:$BK$66,6,0)</f>
        <v>14.15</v>
      </c>
      <c r="E54" s="248">
        <f>VLOOKUP(B54,'B&amp;L'!$A$7:$BK$66,11,0)</f>
        <v>14.27</v>
      </c>
      <c r="F54" s="248">
        <f>VLOOKUP(B54,'B&amp;L'!$A$7:$BK$66,16,0)</f>
        <v>14.48</v>
      </c>
      <c r="G54" s="248">
        <f>VLOOKUP(B54,'B&amp;L'!$A$7:$BK$66,21,0)</f>
        <v>13.95</v>
      </c>
      <c r="H54" s="248">
        <f>VLOOKUP(B54,'B&amp;L'!$A$7:$BK$66,26,0)</f>
        <v>13.82</v>
      </c>
      <c r="I54" s="248">
        <f>VLOOKUP(B54,'B&amp;L'!$A$7:$BK$66,31,0)</f>
        <v>13.87</v>
      </c>
      <c r="J54" s="248">
        <f>VLOOKUP(B54,'B&amp;L'!$A$7:$BK$66,36,0)</f>
        <v>13.7</v>
      </c>
      <c r="K54" s="248">
        <f>VLOOKUP(B54,'B&amp;L'!$A$7:$BK$66,41,0)</f>
        <v>13.58</v>
      </c>
      <c r="L54" s="248">
        <f>VLOOKUP(B54,'B&amp;L'!$A$7:$BK$66,46,0)</f>
        <v>13.65</v>
      </c>
      <c r="M54" s="248">
        <f>VLOOKUP(B54,'B&amp;L'!$A$7:$BK$66,51,0)</f>
        <v>13.42</v>
      </c>
      <c r="N54" s="248">
        <f>VLOOKUP(B54,'B&amp;L'!$A$7:$BK$66,56,0)</f>
        <v>13.2</v>
      </c>
      <c r="O54" s="248">
        <f>VLOOKUP(B54,'B&amp;L'!$A$7:$BK$66,61,0)</f>
        <v>13.48</v>
      </c>
    </row>
    <row r="55" spans="1:15" ht="15" customHeight="1">
      <c r="A55" s="340">
        <v>25</v>
      </c>
      <c r="B55" s="165" t="s">
        <v>3</v>
      </c>
      <c r="C55" s="157" t="s">
        <v>160</v>
      </c>
      <c r="D55" s="249">
        <f>VLOOKUP(B56,'B&amp;L'!$A$7:$BK$66,5,0)</f>
        <v>218.5</v>
      </c>
      <c r="E55" s="249">
        <f>VLOOKUP(B56,'B&amp;L'!$A$7:$BK$66,10,0)</f>
        <v>216.14</v>
      </c>
      <c r="F55" s="249">
        <f>VLOOKUP(B56,'B&amp;L'!$A$7:$BK$66,15,0)</f>
        <v>216.21</v>
      </c>
      <c r="G55" s="249">
        <f>VLOOKUP(B56,'B&amp;L'!$A$7:$BK$66,20,0)</f>
        <v>215.85</v>
      </c>
      <c r="H55" s="249">
        <f>VLOOKUP(B56,'B&amp;L'!$A$7:$BK$66,25,0)</f>
        <v>226.06</v>
      </c>
      <c r="I55" s="249">
        <f>VLOOKUP(B56,'B&amp;L'!$A$7:$BK$66,30,0)</f>
        <v>225.96</v>
      </c>
      <c r="J55" s="249">
        <f>VLOOKUP(B56,'B&amp;L'!$A$7:$BK$66,35,0)</f>
        <v>225.81</v>
      </c>
      <c r="K55" s="249">
        <f>VLOOKUP(B56,'B&amp;L'!$A$7:$BK$66,40,0)</f>
        <v>225.76</v>
      </c>
      <c r="L55" s="249">
        <f>VLOOKUP(B56,'B&amp;L'!$A$7:$BK$66,45,0)</f>
        <v>225.79</v>
      </c>
      <c r="M55" s="249">
        <f>VLOOKUP(B56,'B&amp;L'!$A$7:$BK$66,50,0)</f>
        <v>225.68</v>
      </c>
      <c r="N55" s="249">
        <f>VLOOKUP(B56,'B&amp;L'!$A$7:$BK$66,55,0)</f>
        <v>225.52</v>
      </c>
      <c r="O55" s="249">
        <f>VLOOKUP(B56,'B&amp;L'!$A$7:$BK$66,60,0)</f>
        <v>225.69</v>
      </c>
    </row>
    <row r="56" spans="1:15" ht="15" customHeight="1">
      <c r="A56" s="341"/>
      <c r="B56" s="166">
        <v>1412000006</v>
      </c>
      <c r="C56" s="159" t="s">
        <v>161</v>
      </c>
      <c r="D56" s="248">
        <f>VLOOKUP(B56,'B&amp;L'!$A$7:$BK$66,6,0)</f>
        <v>14.75</v>
      </c>
      <c r="E56" s="248">
        <f>VLOOKUP(B56,'B&amp;L'!$A$7:$BK$66,11,0)</f>
        <v>14.59</v>
      </c>
      <c r="F56" s="248">
        <f>VLOOKUP(B56,'B&amp;L'!$A$7:$BK$66,16,0)</f>
        <v>14.59</v>
      </c>
      <c r="G56" s="248">
        <f>VLOOKUP(B56,'B&amp;L'!$A$7:$BK$66,21,0)</f>
        <v>14.57</v>
      </c>
      <c r="H56" s="248">
        <f>VLOOKUP(B56,'B&amp;L'!$A$7:$BK$66,26,0)</f>
        <v>15.26</v>
      </c>
      <c r="I56" s="248">
        <f>VLOOKUP(B56,'B&amp;L'!$A$7:$BK$66,31,0)</f>
        <v>15.25</v>
      </c>
      <c r="J56" s="248">
        <f>VLOOKUP(B56,'B&amp;L'!$A$7:$BK$66,36,0)</f>
        <v>15.24</v>
      </c>
      <c r="K56" s="248">
        <f>VLOOKUP(B56,'B&amp;L'!$A$7:$BK$66,41,0)</f>
        <v>15.24</v>
      </c>
      <c r="L56" s="248">
        <f>VLOOKUP(B56,'B&amp;L'!$A$7:$BK$66,46,0)</f>
        <v>15.24</v>
      </c>
      <c r="M56" s="248">
        <f>VLOOKUP(B56,'B&amp;L'!$A$7:$BK$66,51,0)</f>
        <v>15.23</v>
      </c>
      <c r="N56" s="248">
        <f>VLOOKUP(B56,'B&amp;L'!$A$7:$BK$66,56,0)</f>
        <v>15.22</v>
      </c>
      <c r="O56" s="248">
        <f>VLOOKUP(B56,'B&amp;L'!$A$7:$BK$66,61,0)</f>
        <v>15.23</v>
      </c>
    </row>
    <row r="57" spans="1:15" ht="15" customHeight="1">
      <c r="A57" s="340">
        <v>26</v>
      </c>
      <c r="B57" s="165" t="s">
        <v>2</v>
      </c>
      <c r="C57" s="157" t="s">
        <v>160</v>
      </c>
      <c r="D57" s="249">
        <f>VLOOKUP(B58,'B&amp;L'!$A$7:$BK$66,5,0)</f>
        <v>272.24</v>
      </c>
      <c r="E57" s="249">
        <f>VLOOKUP(B58,'B&amp;L'!$A$7:$BK$66,10,0)</f>
        <v>291.64999999999998</v>
      </c>
      <c r="F57" s="249">
        <f>VLOOKUP(B58,'B&amp;L'!$A$7:$BK$66,15,0)</f>
        <v>291.77999999999997</v>
      </c>
      <c r="G57" s="249">
        <f>VLOOKUP(B58,'B&amp;L'!$A$7:$BK$66,20,0)</f>
        <v>291.17</v>
      </c>
      <c r="H57" s="249">
        <f>VLOOKUP(B58,'B&amp;L'!$A$7:$BK$66,25,0)</f>
        <v>289.27999999999997</v>
      </c>
      <c r="I57" s="249">
        <f>VLOOKUP(B58,'B&amp;L'!$A$7:$BK$66,30,0)</f>
        <v>289.12</v>
      </c>
      <c r="J57" s="249">
        <f>VLOOKUP(B58,'B&amp;L'!$A$7:$BK$66,35,0)</f>
        <v>288.88</v>
      </c>
      <c r="K57" s="249">
        <f>VLOOKUP(B58,'B&amp;L'!$A$7:$BK$66,40,0)</f>
        <v>288.82</v>
      </c>
      <c r="L57" s="249">
        <f>VLOOKUP(B58,'B&amp;L'!$A$7:$BK$66,45,0)</f>
        <v>288.85000000000002</v>
      </c>
      <c r="M57" s="249">
        <f>VLOOKUP(B58,'B&amp;L'!$A$7:$BK$66,50,0)</f>
        <v>288.69</v>
      </c>
      <c r="N57" s="249">
        <f>VLOOKUP(B58,'B&amp;L'!$A$7:$BK$66,55,0)</f>
        <v>288.44</v>
      </c>
      <c r="O57" s="249">
        <f>VLOOKUP(B58,'B&amp;L'!$A$7:$BK$66,60,0)</f>
        <v>288.7</v>
      </c>
    </row>
    <row r="58" spans="1:15" ht="15" customHeight="1">
      <c r="A58" s="341"/>
      <c r="B58" s="166">
        <v>1412000039</v>
      </c>
      <c r="C58" s="159" t="s">
        <v>161</v>
      </c>
      <c r="D58" s="248">
        <f>VLOOKUP(B58,'B&amp;L'!$A$7:$BK$66,6,0)</f>
        <v>18.38</v>
      </c>
      <c r="E58" s="248">
        <f>VLOOKUP(B58,'B&amp;L'!$A$7:$BK$66,11,0)</f>
        <v>19.690000000000001</v>
      </c>
      <c r="F58" s="248">
        <f>VLOOKUP(B58,'B&amp;L'!$A$7:$BK$66,16,0)</f>
        <v>19.690000000000001</v>
      </c>
      <c r="G58" s="248">
        <f>VLOOKUP(B58,'B&amp;L'!$A$7:$BK$66,21,0)</f>
        <v>19.649999999999999</v>
      </c>
      <c r="H58" s="248">
        <f>VLOOKUP(B58,'B&amp;L'!$A$7:$BK$66,26,0)</f>
        <v>19.53</v>
      </c>
      <c r="I58" s="248">
        <f>VLOOKUP(B58,'B&amp;L'!$A$7:$BK$66,31,0)</f>
        <v>19.510000000000002</v>
      </c>
      <c r="J58" s="248">
        <f>VLOOKUP(B58,'B&amp;L'!$A$7:$BK$66,36,0)</f>
        <v>19.5</v>
      </c>
      <c r="K58" s="248">
        <f>VLOOKUP(B58,'B&amp;L'!$A$7:$BK$66,41,0)</f>
        <v>19.489999999999998</v>
      </c>
      <c r="L58" s="248">
        <f>VLOOKUP(B58,'B&amp;L'!$A$7:$BK$66,46,0)</f>
        <v>19.5</v>
      </c>
      <c r="M58" s="248">
        <f>VLOOKUP(B58,'B&amp;L'!$A$7:$BK$66,51,0)</f>
        <v>19.489999999999998</v>
      </c>
      <c r="N58" s="248">
        <f>VLOOKUP(B58,'B&amp;L'!$A$7:$BK$66,56,0)</f>
        <v>19.47</v>
      </c>
      <c r="O58" s="248">
        <f>VLOOKUP(B58,'B&amp;L'!$A$7:$BK$66,61,0)</f>
        <v>19.489999999999998</v>
      </c>
    </row>
    <row r="59" spans="1:15" ht="15" customHeight="1">
      <c r="A59" s="340">
        <v>27</v>
      </c>
      <c r="B59" s="165" t="s">
        <v>114</v>
      </c>
      <c r="C59" s="157" t="s">
        <v>160</v>
      </c>
      <c r="D59" s="249">
        <f>VLOOKUP(B60,'B&amp;L'!$A$7:$BK$66,5,0)</f>
        <v>179.1</v>
      </c>
      <c r="E59" s="249">
        <f>VLOOKUP(B60,'B&amp;L'!$A$7:$BK$66,10,0)</f>
        <v>176.91</v>
      </c>
      <c r="F59" s="249">
        <f>VLOOKUP(B60,'B&amp;L'!$A$7:$BK$66,15,0)</f>
        <v>176.98</v>
      </c>
      <c r="G59" s="249">
        <f>VLOOKUP(B60,'B&amp;L'!$A$7:$BK$66,20,0)</f>
        <v>176.64</v>
      </c>
      <c r="H59" s="249">
        <f>VLOOKUP(B60,'B&amp;L'!$A$7:$BK$66,25,0)</f>
        <v>175.57</v>
      </c>
      <c r="I59" s="249">
        <f>VLOOKUP(B60,'B&amp;L'!$A$7:$BK$66,30,0)</f>
        <v>175.48</v>
      </c>
      <c r="J59" s="249">
        <f>VLOOKUP(B60,'B&amp;L'!$A$7:$BK$66,35,0)</f>
        <v>175.35</v>
      </c>
      <c r="K59" s="249">
        <f>VLOOKUP(B60,'B&amp;L'!$A$7:$BK$66,40,0)</f>
        <v>175.31</v>
      </c>
      <c r="L59" s="249">
        <f>VLOOKUP(B60,'B&amp;L'!$A$7:$BK$66,45,0)</f>
        <v>175.33</v>
      </c>
      <c r="M59" s="249">
        <f>VLOOKUP(B60,'B&amp;L'!$A$7:$BK$66,50,0)</f>
        <v>175.24</v>
      </c>
      <c r="N59" s="249">
        <f>VLOOKUP(B60,'B&amp;L'!$A$7:$BK$66,55,0)</f>
        <v>175.1</v>
      </c>
      <c r="O59" s="249">
        <f>VLOOKUP(B60,'B&amp;L'!$A$7:$BK$66,60,0)</f>
        <v>175.24</v>
      </c>
    </row>
    <row r="60" spans="1:15" ht="15" customHeight="1">
      <c r="A60" s="341"/>
      <c r="B60" s="166">
        <v>1412000089</v>
      </c>
      <c r="C60" s="159" t="s">
        <v>161</v>
      </c>
      <c r="D60" s="248">
        <f>VLOOKUP(B60,'B&amp;L'!$A$7:$BK$66,6,0)</f>
        <v>12.09</v>
      </c>
      <c r="E60" s="248">
        <f>VLOOKUP(B60,'B&amp;L'!$A$7:$BK$66,11,0)</f>
        <v>11.94</v>
      </c>
      <c r="F60" s="248">
        <f>VLOOKUP(B60,'B&amp;L'!$A$7:$BK$66,16,0)</f>
        <v>11.95</v>
      </c>
      <c r="G60" s="248">
        <f>VLOOKUP(B60,'B&amp;L'!$A$7:$BK$66,21,0)</f>
        <v>11.92</v>
      </c>
      <c r="H60" s="248">
        <f>VLOOKUP(B60,'B&amp;L'!$A$7:$BK$66,26,0)</f>
        <v>11.85</v>
      </c>
      <c r="I60" s="248">
        <f>VLOOKUP(B60,'B&amp;L'!$A$7:$BK$66,31,0)</f>
        <v>11.84</v>
      </c>
      <c r="J60" s="248">
        <f>VLOOKUP(B60,'B&amp;L'!$A$7:$BK$66,36,0)</f>
        <v>11.84</v>
      </c>
      <c r="K60" s="248">
        <f>VLOOKUP(B60,'B&amp;L'!$A$7:$BK$66,41,0)</f>
        <v>11.83</v>
      </c>
      <c r="L60" s="248">
        <f>VLOOKUP(B60,'B&amp;L'!$A$7:$BK$66,46,0)</f>
        <v>11.83</v>
      </c>
      <c r="M60" s="248">
        <f>VLOOKUP(B60,'B&amp;L'!$A$7:$BK$66,51,0)</f>
        <v>11.83</v>
      </c>
      <c r="N60" s="248">
        <f>VLOOKUP(B60,'B&amp;L'!$A$7:$BK$66,56,0)</f>
        <v>11.82</v>
      </c>
      <c r="O60" s="248">
        <f>VLOOKUP(B60,'B&amp;L'!$A$7:$BK$66,61,0)</f>
        <v>11.83</v>
      </c>
    </row>
    <row r="61" spans="1:15" ht="15" customHeight="1">
      <c r="A61" s="344">
        <v>28</v>
      </c>
      <c r="B61" s="284" t="s">
        <v>188</v>
      </c>
      <c r="C61" s="285" t="s">
        <v>160</v>
      </c>
      <c r="D61" s="286">
        <f>VLOOKUP(B62,'B&amp;L'!$A$7:$BK$66,5,0)</f>
        <v>132.53</v>
      </c>
      <c r="E61" s="286">
        <f>VLOOKUP(B62,'B&amp;L'!$A$7:$BK$66,10,0)</f>
        <v>131.02000000000001</v>
      </c>
      <c r="F61" s="286">
        <f>VLOOKUP(B62,'B&amp;L'!$A$7:$BK$66,15,0)</f>
        <v>131.07</v>
      </c>
      <c r="G61" s="286">
        <f>VLOOKUP(B62,'B&amp;L'!$A$7:$BK$66,20,0)</f>
        <v>130.83000000000001</v>
      </c>
      <c r="H61" s="286">
        <f>VLOOKUP(B62,'B&amp;L'!$A$7:$BK$66,25,0)</f>
        <v>130.09</v>
      </c>
      <c r="I61" s="286">
        <f>VLOOKUP(B62,'B&amp;L'!$A$7:$BK$66,30,0)</f>
        <v>130.02000000000001</v>
      </c>
      <c r="J61" s="286">
        <f>VLOOKUP(B62,'B&amp;L'!$A$7:$BK$66,35,0)</f>
        <v>129.93</v>
      </c>
      <c r="K61" s="286">
        <f>VLOOKUP(B62,'B&amp;L'!$A$7:$BK$66,40,0)</f>
        <v>129.91</v>
      </c>
      <c r="L61" s="286">
        <f>VLOOKUP(B62,'B&amp;L'!$A$7:$BK$66,45,0)</f>
        <v>129.91999999999999</v>
      </c>
      <c r="M61" s="286">
        <f>VLOOKUP(B62,'B&amp;L'!$A$7:$BK$66,50,0)</f>
        <v>129.86000000000001</v>
      </c>
      <c r="N61" s="286">
        <f>VLOOKUP(B62,'B&amp;L'!$A$7:$BK$66,55,0)</f>
        <v>129.76</v>
      </c>
      <c r="O61" s="286">
        <f>VLOOKUP(B62,'B&amp;L'!$A$7:$BK$66,60,0)</f>
        <v>129.86000000000001</v>
      </c>
    </row>
    <row r="62" spans="1:15" ht="15" customHeight="1">
      <c r="A62" s="345"/>
      <c r="B62" s="287">
        <v>1412000102</v>
      </c>
      <c r="C62" s="288" t="s">
        <v>161</v>
      </c>
      <c r="D62" s="289">
        <f>VLOOKUP(B62,'B&amp;L'!$A$7:$BK$66,6,0)</f>
        <v>8.9499999999999993</v>
      </c>
      <c r="E62" s="289">
        <f>VLOOKUP(B62,'B&amp;L'!$A$7:$BK$66,11,0)</f>
        <v>8.84</v>
      </c>
      <c r="F62" s="289">
        <f>VLOOKUP(B62,'B&amp;L'!$A$7:$BK$66,16,0)</f>
        <v>8.85</v>
      </c>
      <c r="G62" s="289">
        <f>VLOOKUP(B62,'B&amp;L'!$A$7:$BK$66,21,0)</f>
        <v>8.83</v>
      </c>
      <c r="H62" s="289">
        <f>VLOOKUP(B62,'B&amp;L'!$A$7:$BK$66,26,0)</f>
        <v>8.7799999999999994</v>
      </c>
      <c r="I62" s="289">
        <f>VLOOKUP(B62,'B&amp;L'!$A$7:$BK$66,31,0)</f>
        <v>8.7799999999999994</v>
      </c>
      <c r="J62" s="289">
        <f>VLOOKUP(B62,'B&amp;L'!$A$7:$BK$66,36,0)</f>
        <v>8.77</v>
      </c>
      <c r="K62" s="289">
        <f>VLOOKUP(B62,'B&amp;L'!$A$7:$BK$66,41,0)</f>
        <v>8.77</v>
      </c>
      <c r="L62" s="289">
        <f>VLOOKUP(B62,'B&amp;L'!$A$7:$BK$66,46,0)</f>
        <v>8.77</v>
      </c>
      <c r="M62" s="289">
        <f>VLOOKUP(B62,'B&amp;L'!$A$7:$BK$66,51,0)</f>
        <v>8.76</v>
      </c>
      <c r="N62" s="289">
        <f>VLOOKUP(B62,'B&amp;L'!$A$7:$BK$66,56,0)</f>
        <v>8.76</v>
      </c>
      <c r="O62" s="289">
        <f>VLOOKUP(B62,'B&amp;L'!$A$7:$BK$66,61,0)</f>
        <v>8.77</v>
      </c>
    </row>
    <row r="63" spans="1:15" ht="15" customHeight="1">
      <c r="A63" s="340">
        <v>29</v>
      </c>
      <c r="B63" s="165" t="s">
        <v>144</v>
      </c>
      <c r="C63" s="157" t="s">
        <v>160</v>
      </c>
      <c r="D63" s="249">
        <f>VLOOKUP(B64,'B&amp;L'!$A$7:$BK$66,5,0)</f>
        <v>359.96</v>
      </c>
      <c r="E63" s="249">
        <f>VLOOKUP(B64,'B&amp;L'!$A$7:$BK$66,10,0)</f>
        <v>356.76</v>
      </c>
      <c r="F63" s="249">
        <f>VLOOKUP(B64,'B&amp;L'!$A$7:$BK$66,15,0)</f>
        <v>356.86</v>
      </c>
      <c r="G63" s="249">
        <f>VLOOKUP(B64,'B&amp;L'!$A$7:$BK$66,20,0)</f>
        <v>356.36</v>
      </c>
      <c r="H63" s="249">
        <f>VLOOKUP(B64,'B&amp;L'!$A$7:$BK$66,25,0)</f>
        <v>354.8</v>
      </c>
      <c r="I63" s="249">
        <f>VLOOKUP(B64,'B&amp;L'!$A$7:$BK$66,30,0)</f>
        <v>354.67</v>
      </c>
      <c r="J63" s="249">
        <f>VLOOKUP(B64,'B&amp;L'!$A$7:$BK$66,35,0)</f>
        <v>354.47</v>
      </c>
      <c r="K63" s="249">
        <f>VLOOKUP(B64,'B&amp;L'!$A$7:$BK$66,40,0)</f>
        <v>354.42</v>
      </c>
      <c r="L63" s="249">
        <f>VLOOKUP(B64,'B&amp;L'!$A$7:$BK$66,45,0)</f>
        <v>354.45</v>
      </c>
      <c r="M63" s="249">
        <f>VLOOKUP(B64,'B&amp;L'!$A$7:$BK$66,50,0)</f>
        <v>354.32</v>
      </c>
      <c r="N63" s="249">
        <f>VLOOKUP(B64,'B&amp;L'!$A$7:$BK$66,55,0)</f>
        <v>354.11</v>
      </c>
      <c r="O63" s="249">
        <f>VLOOKUP(B64,'B&amp;L'!$A$7:$BK$66,60,0)</f>
        <v>354.32</v>
      </c>
    </row>
    <row r="64" spans="1:15" ht="15" customHeight="1">
      <c r="A64" s="341"/>
      <c r="B64" s="166">
        <v>1412000040</v>
      </c>
      <c r="C64" s="159" t="s">
        <v>161</v>
      </c>
      <c r="D64" s="248">
        <f>VLOOKUP(B64,'B&amp;L'!$A$7:$BK$66,6,0)</f>
        <v>24.3</v>
      </c>
      <c r="E64" s="248">
        <f>VLOOKUP(B64,'B&amp;L'!$A$7:$BK$66,11,0)</f>
        <v>24.08</v>
      </c>
      <c r="F64" s="248">
        <f>VLOOKUP(B64,'B&amp;L'!$A$7:$BK$66,16,0)</f>
        <v>24.09</v>
      </c>
      <c r="G64" s="248">
        <f>VLOOKUP(B64,'B&amp;L'!$A$7:$BK$66,21,0)</f>
        <v>24.05</v>
      </c>
      <c r="H64" s="248">
        <f>VLOOKUP(B64,'B&amp;L'!$A$7:$BK$66,26,0)</f>
        <v>23.95</v>
      </c>
      <c r="I64" s="248">
        <f>VLOOKUP(B64,'B&amp;L'!$A$7:$BK$66,31,0)</f>
        <v>23.94</v>
      </c>
      <c r="J64" s="248">
        <f>VLOOKUP(B64,'B&amp;L'!$A$7:$BK$66,36,0)</f>
        <v>23.93</v>
      </c>
      <c r="K64" s="248">
        <f>VLOOKUP(B64,'B&amp;L'!$A$7:$BK$66,41,0)</f>
        <v>23.92</v>
      </c>
      <c r="L64" s="248">
        <f>VLOOKUP(B64,'B&amp;L'!$A$7:$BK$66,46,0)</f>
        <v>23.92</v>
      </c>
      <c r="M64" s="248">
        <f>VLOOKUP(B64,'B&amp;L'!$A$7:$BK$66,51,0)</f>
        <v>23.91</v>
      </c>
      <c r="N64" s="248">
        <f>VLOOKUP(B64,'B&amp;L'!$A$7:$BK$66,56,0)</f>
        <v>23.9</v>
      </c>
      <c r="O64" s="248">
        <f>VLOOKUP(B64,'B&amp;L'!$A$7:$BK$66,61,0)</f>
        <v>23.92</v>
      </c>
    </row>
    <row r="65" spans="1:15" ht="15" customHeight="1">
      <c r="A65" s="340">
        <v>30</v>
      </c>
      <c r="B65" s="165" t="s">
        <v>163</v>
      </c>
      <c r="C65" s="157" t="s">
        <v>160</v>
      </c>
      <c r="D65" s="249">
        <f>VLOOKUP(B66,'B&amp;L'!$A$7:$BK$66,5,0)</f>
        <v>1344.38</v>
      </c>
      <c r="E65" s="249">
        <f>VLOOKUP(B66,'B&amp;L'!$A$7:$BK$66,10,0)</f>
        <v>1338.29</v>
      </c>
      <c r="F65" s="249">
        <f>VLOOKUP(B66,'B&amp;L'!$A$7:$BK$66,15,0)</f>
        <v>1339.8</v>
      </c>
      <c r="G65" s="249">
        <f>VLOOKUP(B66,'B&amp;L'!$A$7:$BK$66,20,0)</f>
        <v>1308.97</v>
      </c>
      <c r="H65" s="249">
        <f>VLOOKUP(B66,'B&amp;L'!$A$7:$BK$66,25,0)</f>
        <v>1295.6600000000001</v>
      </c>
      <c r="I65" s="249">
        <f>VLOOKUP(B66,'B&amp;L'!$A$7:$BK$66,30,0)</f>
        <v>1259.27</v>
      </c>
      <c r="J65" s="249">
        <f>VLOOKUP(B66,'B&amp;L'!$A$7:$BK$66,35,0)</f>
        <v>1224.99</v>
      </c>
      <c r="K65" s="249">
        <f>VLOOKUP(B66,'B&amp;L'!$A$7:$BK$66,40,0)</f>
        <v>1224.3</v>
      </c>
      <c r="L65" s="249">
        <f>VLOOKUP(B66,'B&amp;L'!$A$7:$BK$66,45,0)</f>
        <v>1225.26</v>
      </c>
      <c r="M65" s="249">
        <f>VLOOKUP(B66,'B&amp;L'!$A$7:$BK$66,50,0)</f>
        <v>1218.8499999999999</v>
      </c>
      <c r="N65" s="249">
        <f>VLOOKUP(B66,'B&amp;L'!$A$7:$BK$66,55,0)</f>
        <v>1198.1600000000001</v>
      </c>
      <c r="O65" s="249">
        <f>VLOOKUP(B66,'B&amp;L'!$A$7:$BK$66,60,0)</f>
        <v>1214.53</v>
      </c>
    </row>
    <row r="66" spans="1:15" ht="15" customHeight="1">
      <c r="A66" s="341"/>
      <c r="B66" s="166">
        <v>1412000013</v>
      </c>
      <c r="C66" s="159" t="s">
        <v>161</v>
      </c>
      <c r="D66" s="248">
        <f>VLOOKUP(B66,'B&amp;L'!$A$7:$BK$66,6,0)</f>
        <v>90.74</v>
      </c>
      <c r="E66" s="248">
        <f>VLOOKUP(B66,'B&amp;L'!$A$7:$BK$66,11,0)</f>
        <v>90.33</v>
      </c>
      <c r="F66" s="248">
        <f>VLOOKUP(B66,'B&amp;L'!$A$7:$BK$66,16,0)</f>
        <v>90.43</v>
      </c>
      <c r="G66" s="248">
        <f>VLOOKUP(B66,'B&amp;L'!$A$7:$BK$66,21,0)</f>
        <v>88.35</v>
      </c>
      <c r="H66" s="248">
        <f>VLOOKUP(B66,'B&amp;L'!$A$7:$BK$66,26,0)</f>
        <v>87.45</v>
      </c>
      <c r="I66" s="248">
        <f>VLOOKUP(B66,'B&amp;L'!$A$7:$BK$66,31,0)</f>
        <v>85</v>
      </c>
      <c r="J66" s="248">
        <f>VLOOKUP(B66,'B&amp;L'!$A$7:$BK$66,36,0)</f>
        <v>82.68</v>
      </c>
      <c r="K66" s="248">
        <f>VLOOKUP(B66,'B&amp;L'!$A$7:$BK$66,41,0)</f>
        <v>82.64</v>
      </c>
      <c r="L66" s="248">
        <f>VLOOKUP(B66,'B&amp;L'!$A$7:$BK$66,46,0)</f>
        <v>82.7</v>
      </c>
      <c r="M66" s="248">
        <f>VLOOKUP(B66,'B&amp;L'!$A$7:$BK$66,51,0)</f>
        <v>82.27</v>
      </c>
      <c r="N66" s="248">
        <f>VLOOKUP(B66,'B&amp;L'!$A$7:$BK$66,56,0)</f>
        <v>80.87</v>
      </c>
      <c r="O66" s="248">
        <f>VLOOKUP(B66,'B&amp;L'!$A$7:$BK$66,61,0)</f>
        <v>81.98</v>
      </c>
    </row>
    <row r="67" spans="1:15" ht="15" customHeight="1">
      <c r="A67" s="340">
        <v>31</v>
      </c>
      <c r="B67" s="165" t="s">
        <v>164</v>
      </c>
      <c r="C67" s="157" t="s">
        <v>160</v>
      </c>
      <c r="D67" s="249">
        <f>VLOOKUP(B68,'B&amp;L'!$A$7:$BK$66,5,0)</f>
        <v>1016.45</v>
      </c>
      <c r="E67" s="249">
        <f>VLOOKUP(B68,'B&amp;L'!$A$7:$BK$66,10,0)</f>
        <v>1013.81</v>
      </c>
      <c r="F67" s="249">
        <f>VLOOKUP(B68,'B&amp;L'!$A$7:$BK$66,15,0)</f>
        <v>1022.55</v>
      </c>
      <c r="G67" s="249">
        <f>VLOOKUP(B68,'B&amp;L'!$A$7:$BK$66,20,0)</f>
        <v>1008.62</v>
      </c>
      <c r="H67" s="249">
        <f>VLOOKUP(B68,'B&amp;L'!$A$7:$BK$66,25,0)</f>
        <v>1002.61</v>
      </c>
      <c r="I67" s="249">
        <f>VLOOKUP(B68,'B&amp;L'!$A$7:$BK$66,30,0)</f>
        <v>986.16</v>
      </c>
      <c r="J67" s="249">
        <f>VLOOKUP(B68,'B&amp;L'!$A$7:$BK$66,35,0)</f>
        <v>970.67</v>
      </c>
      <c r="K67" s="249">
        <f>VLOOKUP(B68,'B&amp;L'!$A$7:$BK$66,40,0)</f>
        <v>970.36</v>
      </c>
      <c r="L67" s="249">
        <f>VLOOKUP(B68,'B&amp;L'!$A$7:$BK$66,45,0)</f>
        <v>970.79</v>
      </c>
      <c r="M67" s="249">
        <f>VLOOKUP(B68,'B&amp;L'!$A$7:$BK$66,50,0)</f>
        <v>967.9</v>
      </c>
      <c r="N67" s="249">
        <f>VLOOKUP(B68,'B&amp;L'!$A$7:$BK$66,55,0)</f>
        <v>958.55</v>
      </c>
      <c r="O67" s="249">
        <f>VLOOKUP(B68,'B&amp;L'!$A$7:$BK$66,60,0)</f>
        <v>965.94</v>
      </c>
    </row>
    <row r="68" spans="1:15" ht="15" customHeight="1">
      <c r="A68" s="341"/>
      <c r="B68" s="166">
        <v>1412000092</v>
      </c>
      <c r="C68" s="159" t="s">
        <v>161</v>
      </c>
      <c r="D68" s="248">
        <f>VLOOKUP(B68,'B&amp;L'!$A$7:$BK$66,6,0)</f>
        <v>68.61</v>
      </c>
      <c r="E68" s="248">
        <f>VLOOKUP(B68,'B&amp;L'!$A$7:$BK$66,11,0)</f>
        <v>68.430000000000007</v>
      </c>
      <c r="F68" s="248">
        <f>VLOOKUP(B68,'B&amp;L'!$A$7:$BK$66,16,0)</f>
        <v>69.02</v>
      </c>
      <c r="G68" s="248">
        <f>VLOOKUP(B68,'B&amp;L'!$A$7:$BK$66,21,0)</f>
        <v>68.08</v>
      </c>
      <c r="H68" s="248">
        <f>VLOOKUP(B68,'B&amp;L'!$A$7:$BK$66,26,0)</f>
        <v>67.67</v>
      </c>
      <c r="I68" s="248">
        <f>VLOOKUP(B68,'B&amp;L'!$A$7:$BK$66,31,0)</f>
        <v>66.56</v>
      </c>
      <c r="J68" s="248">
        <f>VLOOKUP(B68,'B&amp;L'!$A$7:$BK$66,36,0)</f>
        <v>65.52</v>
      </c>
      <c r="K68" s="248">
        <f>VLOOKUP(B68,'B&amp;L'!$A$7:$BK$66,41,0)</f>
        <v>65.5</v>
      </c>
      <c r="L68" s="248">
        <f>VLOOKUP(B68,'B&amp;L'!$A$7:$BK$66,46,0)</f>
        <v>65.52</v>
      </c>
      <c r="M68" s="248">
        <f>VLOOKUP(B68,'B&amp;L'!$A$7:$BK$66,51,0)</f>
        <v>65.33</v>
      </c>
      <c r="N68" s="248">
        <f>VLOOKUP(B68,'B&amp;L'!$A$7:$BK$66,56,0)</f>
        <v>64.7</v>
      </c>
      <c r="O68" s="248">
        <f>VLOOKUP(B68,'B&amp;L'!$A$7:$BK$66,61,0)</f>
        <v>65.2</v>
      </c>
    </row>
    <row r="69" spans="1:15" ht="15" customHeight="1">
      <c r="A69" s="340">
        <v>32</v>
      </c>
      <c r="B69" s="165" t="s">
        <v>143</v>
      </c>
      <c r="C69" s="157" t="s">
        <v>160</v>
      </c>
      <c r="D69" s="249">
        <f>VLOOKUP(B70,'B&amp;L'!$A$7:$BK$66,5,0)</f>
        <v>504.49</v>
      </c>
      <c r="E69" s="249">
        <f>VLOOKUP(B70,'B&amp;L'!$A$7:$BK$66,10,0)</f>
        <v>514.09</v>
      </c>
      <c r="F69" s="249">
        <f>VLOOKUP(B70,'B&amp;L'!$A$7:$BK$66,15,0)</f>
        <v>526.69000000000005</v>
      </c>
      <c r="G69" s="249">
        <f>VLOOKUP(B70,'B&amp;L'!$A$7:$BK$66,20,0)</f>
        <v>514.41</v>
      </c>
      <c r="H69" s="249">
        <f>VLOOKUP(B70,'B&amp;L'!$A$7:$BK$66,25,0)</f>
        <v>510.4</v>
      </c>
      <c r="I69" s="249">
        <f>VLOOKUP(B70,'B&amp;L'!$A$7:$BK$66,30,0)</f>
        <v>514.79999999999995</v>
      </c>
      <c r="J69" s="249">
        <f>VLOOKUP(B70,'B&amp;L'!$A$7:$BK$66,35,0)</f>
        <v>515.76</v>
      </c>
      <c r="K69" s="249">
        <f>VLOOKUP(B70,'B&amp;L'!$A$7:$BK$66,40,0)</f>
        <v>512.08000000000004</v>
      </c>
      <c r="L69" s="249">
        <f>VLOOKUP(B70,'B&amp;L'!$A$7:$BK$66,45,0)</f>
        <v>514</v>
      </c>
      <c r="M69" s="249">
        <f>VLOOKUP(B70,'B&amp;L'!$A$7:$BK$66,50,0)</f>
        <v>506.95</v>
      </c>
      <c r="N69" s="249">
        <f>VLOOKUP(B70,'B&amp;L'!$A$7:$BK$66,55,0)</f>
        <v>499.97</v>
      </c>
      <c r="O69" s="249">
        <f>VLOOKUP(B70,'B&amp;L'!$A$7:$BK$66,60,0)</f>
        <v>508.87</v>
      </c>
    </row>
    <row r="70" spans="1:15" ht="15" customHeight="1">
      <c r="A70" s="341"/>
      <c r="B70" s="166">
        <v>1412000035</v>
      </c>
      <c r="C70" s="159" t="s">
        <v>161</v>
      </c>
      <c r="D70" s="248">
        <f>VLOOKUP(B70,'B&amp;L'!$A$7:$BK$66,6,0)</f>
        <v>34.049999999999997</v>
      </c>
      <c r="E70" s="248">
        <f>VLOOKUP(B70,'B&amp;L'!$A$7:$BK$66,11,0)</f>
        <v>34.700000000000003</v>
      </c>
      <c r="F70" s="248">
        <f>VLOOKUP(B70,'B&amp;L'!$A$7:$BK$66,16,0)</f>
        <v>35.549999999999997</v>
      </c>
      <c r="G70" s="248">
        <f>VLOOKUP(B70,'B&amp;L'!$A$7:$BK$66,21,0)</f>
        <v>34.72</v>
      </c>
      <c r="H70" s="248">
        <f>VLOOKUP(B70,'B&amp;L'!$A$7:$BK$66,26,0)</f>
        <v>34.450000000000003</v>
      </c>
      <c r="I70" s="248">
        <f>VLOOKUP(B70,'B&amp;L'!$A$7:$BK$66,31,0)</f>
        <v>34.75</v>
      </c>
      <c r="J70" s="248">
        <f>VLOOKUP(B70,'B&amp;L'!$A$7:$BK$66,36,0)</f>
        <v>34.81</v>
      </c>
      <c r="K70" s="248">
        <f>VLOOKUP(B70,'B&amp;L'!$A$7:$BK$66,41,0)</f>
        <v>34.56</v>
      </c>
      <c r="L70" s="248">
        <f>VLOOKUP(B70,'B&amp;L'!$A$7:$BK$66,46,0)</f>
        <v>34.69</v>
      </c>
      <c r="M70" s="248">
        <f>VLOOKUP(B70,'B&amp;L'!$A$7:$BK$66,51,0)</f>
        <v>34.22</v>
      </c>
      <c r="N70" s="248">
        <f>VLOOKUP(B70,'B&amp;L'!$A$7:$BK$66,56,0)</f>
        <v>33.75</v>
      </c>
      <c r="O70" s="248">
        <f>VLOOKUP(B70,'B&amp;L'!$A$7:$BK$66,61,0)</f>
        <v>34.35</v>
      </c>
    </row>
    <row r="71" spans="1:15">
      <c r="A71" s="340">
        <v>33</v>
      </c>
      <c r="B71" s="165" t="s">
        <v>136</v>
      </c>
      <c r="C71" s="157" t="s">
        <v>160</v>
      </c>
      <c r="D71" s="249">
        <f>VLOOKUP(B72,'B&amp;L'!$A$7:$BK$66,5,0)</f>
        <v>427.64</v>
      </c>
      <c r="E71" s="249">
        <f>VLOOKUP(B72,'B&amp;L'!$A$7:$BK$66,10,0)</f>
        <v>438.31</v>
      </c>
      <c r="F71" s="249">
        <f>VLOOKUP(B72,'B&amp;L'!$A$7:$BK$66,15,0)</f>
        <v>438.41</v>
      </c>
      <c r="G71" s="249">
        <f>VLOOKUP(B72,'B&amp;L'!$A$7:$BK$66,20,0)</f>
        <v>433.12</v>
      </c>
      <c r="H71" s="249">
        <f>VLOOKUP(B72,'B&amp;L'!$A$7:$BK$66,25,0)</f>
        <v>432.89</v>
      </c>
      <c r="I71" s="249">
        <f>VLOOKUP(B72,'B&amp;L'!$A$7:$BK$66,30,0)</f>
        <v>432.76</v>
      </c>
      <c r="J71" s="249">
        <f>VLOOKUP(B72,'B&amp;L'!$A$7:$BK$66,35,0)</f>
        <v>432.58</v>
      </c>
      <c r="K71" s="249">
        <f>VLOOKUP(B72,'B&amp;L'!$A$7:$BK$66,40,0)</f>
        <v>432.53</v>
      </c>
      <c r="L71" s="249">
        <f>VLOOKUP(B72,'B&amp;L'!$A$7:$BK$66,45,0)</f>
        <v>432.56</v>
      </c>
      <c r="M71" s="249">
        <f>VLOOKUP(B72,'B&amp;L'!$A$7:$BK$66,50,0)</f>
        <v>432.43</v>
      </c>
      <c r="N71" s="249">
        <f>VLOOKUP(B72,'B&amp;L'!$A$7:$BK$66,55,0)</f>
        <v>432.24</v>
      </c>
      <c r="O71" s="249">
        <f>VLOOKUP(B72,'B&amp;L'!$A$7:$BK$66,60,0)</f>
        <v>432.44</v>
      </c>
    </row>
    <row r="72" spans="1:15">
      <c r="A72" s="341"/>
      <c r="B72" s="166">
        <v>1412000016</v>
      </c>
      <c r="C72" s="159" t="s">
        <v>161</v>
      </c>
      <c r="D72" s="248">
        <f>VLOOKUP(B72,'B&amp;L'!$A$7:$BK$66,6,0)</f>
        <v>28.86</v>
      </c>
      <c r="E72" s="248">
        <f>VLOOKUP(B72,'B&amp;L'!$A$7:$BK$66,11,0)</f>
        <v>29.58</v>
      </c>
      <c r="F72" s="248">
        <f>VLOOKUP(B72,'B&amp;L'!$A$7:$BK$66,16,0)</f>
        <v>29.59</v>
      </c>
      <c r="G72" s="248">
        <f>VLOOKUP(B72,'B&amp;L'!$A$7:$BK$66,21,0)</f>
        <v>29.23</v>
      </c>
      <c r="H72" s="248">
        <f>VLOOKUP(B72,'B&amp;L'!$A$7:$BK$66,26,0)</f>
        <v>29.22</v>
      </c>
      <c r="I72" s="248">
        <f>VLOOKUP(B72,'B&amp;L'!$A$7:$BK$66,31,0)</f>
        <v>29.21</v>
      </c>
      <c r="J72" s="248">
        <f>VLOOKUP(B72,'B&amp;L'!$A$7:$BK$66,36,0)</f>
        <v>29.2</v>
      </c>
      <c r="K72" s="248">
        <f>VLOOKUP(B72,'B&amp;L'!$A$7:$BK$66,41,0)</f>
        <v>29.19</v>
      </c>
      <c r="L72" s="248">
        <f>VLOOKUP(B72,'B&amp;L'!$A$7:$BK$66,46,0)</f>
        <v>29.2</v>
      </c>
      <c r="M72" s="248">
        <f>VLOOKUP(B72,'B&amp;L'!$A$7:$BK$66,51,0)</f>
        <v>29.19</v>
      </c>
      <c r="N72" s="248">
        <f>VLOOKUP(B72,'B&amp;L'!$A$7:$BK$66,56,0)</f>
        <v>29.17</v>
      </c>
      <c r="O72" s="248">
        <f>VLOOKUP(B72,'B&amp;L'!$A$7:$BK$66,61,0)</f>
        <v>29.19</v>
      </c>
    </row>
    <row r="73" spans="1:15">
      <c r="A73" s="340">
        <v>34</v>
      </c>
      <c r="B73" s="165" t="s">
        <v>151</v>
      </c>
      <c r="C73" s="157" t="s">
        <v>160</v>
      </c>
      <c r="D73" s="249">
        <f>VLOOKUP(B74,'B&amp;L'!$A$7:$BK$66,5,0)</f>
        <v>342.47</v>
      </c>
      <c r="E73" s="249">
        <f>VLOOKUP(B74,'B&amp;L'!$A$7:$BK$66,10,0)</f>
        <v>355.5</v>
      </c>
      <c r="F73" s="249">
        <f>VLOOKUP(B74,'B&amp;L'!$A$7:$BK$66,15,0)</f>
        <v>355.57</v>
      </c>
      <c r="G73" s="249">
        <f>VLOOKUP(B74,'B&amp;L'!$A$7:$BK$66,20,0)</f>
        <v>351.46</v>
      </c>
      <c r="H73" s="249">
        <f>VLOOKUP(B74,'B&amp;L'!$A$7:$BK$66,25,0)</f>
        <v>351.28</v>
      </c>
      <c r="I73" s="249">
        <f>VLOOKUP(B74,'B&amp;L'!$A$7:$BK$66,30,0)</f>
        <v>351.18</v>
      </c>
      <c r="J73" s="249">
        <f>VLOOKUP(B74,'B&amp;L'!$A$7:$BK$66,35,0)</f>
        <v>351.04</v>
      </c>
      <c r="K73" s="249">
        <f>VLOOKUP(B74,'B&amp;L'!$A$7:$BK$66,40,0)</f>
        <v>351</v>
      </c>
      <c r="L73" s="249">
        <f>VLOOKUP(B74,'B&amp;L'!$A$7:$BK$66,45,0)</f>
        <v>351.02</v>
      </c>
      <c r="M73" s="249">
        <f>VLOOKUP(B74,'B&amp;L'!$A$7:$BK$66,50,0)</f>
        <v>350.92</v>
      </c>
      <c r="N73" s="249">
        <f>VLOOKUP(B74,'B&amp;L'!$A$7:$BK$66,55,0)</f>
        <v>350.77</v>
      </c>
      <c r="O73" s="249">
        <f>VLOOKUP(B74,'B&amp;L'!$A$7:$BK$66,60,0)</f>
        <v>350.93</v>
      </c>
    </row>
    <row r="74" spans="1:15">
      <c r="A74" s="341"/>
      <c r="B74" s="166">
        <v>1412000069</v>
      </c>
      <c r="C74" s="159" t="s">
        <v>161</v>
      </c>
      <c r="D74" s="248">
        <f>VLOOKUP(B74,'B&amp;L'!$A$7:$BK$66,6,0)</f>
        <v>23.12</v>
      </c>
      <c r="E74" s="248">
        <f>VLOOKUP(B74,'B&amp;L'!$A$7:$BK$66,11,0)</f>
        <v>23.99</v>
      </c>
      <c r="F74" s="248">
        <f>VLOOKUP(B74,'B&amp;L'!$A$7:$BK$66,16,0)</f>
        <v>24</v>
      </c>
      <c r="G74" s="248">
        <f>VLOOKUP(B74,'B&amp;L'!$A$7:$BK$66,21,0)</f>
        <v>23.72</v>
      </c>
      <c r="H74" s="248">
        <f>VLOOKUP(B74,'B&amp;L'!$A$7:$BK$66,26,0)</f>
        <v>23.71</v>
      </c>
      <c r="I74" s="248">
        <f>VLOOKUP(B74,'B&amp;L'!$A$7:$BK$66,31,0)</f>
        <v>23.7</v>
      </c>
      <c r="J74" s="248">
        <f>VLOOKUP(B74,'B&amp;L'!$A$7:$BK$66,36,0)</f>
        <v>23.69</v>
      </c>
      <c r="K74" s="248">
        <f>VLOOKUP(B74,'B&amp;L'!$A$7:$BK$66,41,0)</f>
        <v>23.69</v>
      </c>
      <c r="L74" s="248">
        <f>VLOOKUP(B74,'B&amp;L'!$A$7:$BK$66,46,0)</f>
        <v>23.69</v>
      </c>
      <c r="M74" s="248">
        <f>VLOOKUP(B74,'B&amp;L'!$A$7:$BK$66,51,0)</f>
        <v>23.69</v>
      </c>
      <c r="N74" s="248">
        <f>VLOOKUP(B74,'B&amp;L'!$A$7:$BK$66,56,0)</f>
        <v>23.68</v>
      </c>
      <c r="O74" s="248">
        <f>VLOOKUP(B74,'B&amp;L'!$A$7:$BK$66,61,0)</f>
        <v>23.69</v>
      </c>
    </row>
    <row r="75" spans="1:15">
      <c r="A75" s="340">
        <v>35</v>
      </c>
      <c r="B75" s="165" t="s">
        <v>153</v>
      </c>
      <c r="C75" s="157" t="s">
        <v>160</v>
      </c>
      <c r="D75" s="249">
        <f>VLOOKUP(B76,'B&amp;L'!$A$7:$BK$66,5,0)</f>
        <v>534.07000000000005</v>
      </c>
      <c r="E75" s="249">
        <f>VLOOKUP(B76,'B&amp;L'!$A$7:$BK$66,10,0)</f>
        <v>521.08000000000004</v>
      </c>
      <c r="F75" s="249">
        <f>VLOOKUP(B76,'B&amp;L'!$A$7:$BK$66,15,0)</f>
        <v>521.20000000000005</v>
      </c>
      <c r="G75" s="249">
        <f>VLOOKUP(B76,'B&amp;L'!$A$7:$BK$66,20,0)</f>
        <v>535.15</v>
      </c>
      <c r="H75" s="249">
        <f>VLOOKUP(B76,'B&amp;L'!$A$7:$BK$66,25,0)</f>
        <v>534.86</v>
      </c>
      <c r="I75" s="249">
        <f>VLOOKUP(B76,'B&amp;L'!$A$7:$BK$66,30,0)</f>
        <v>534.69000000000005</v>
      </c>
      <c r="J75" s="249">
        <f>VLOOKUP(B76,'B&amp;L'!$A$7:$BK$66,35,0)</f>
        <v>534.46</v>
      </c>
      <c r="K75" s="249">
        <f>VLOOKUP(B76,'B&amp;L'!$A$7:$BK$66,40,0)</f>
        <v>534.39</v>
      </c>
      <c r="L75" s="249">
        <f>VLOOKUP(B76,'B&amp;L'!$A$7:$BK$66,45,0)</f>
        <v>534.42999999999995</v>
      </c>
      <c r="M75" s="249">
        <f>VLOOKUP(B76,'B&amp;L'!$A$7:$BK$66,50,0)</f>
        <v>534.27</v>
      </c>
      <c r="N75" s="249">
        <f>VLOOKUP(B76,'B&amp;L'!$A$7:$BK$66,55,0)</f>
        <v>534.02</v>
      </c>
      <c r="O75" s="249">
        <f>VLOOKUP(B76,'B&amp;L'!$A$7:$BK$66,60,0)</f>
        <v>534.28</v>
      </c>
    </row>
    <row r="76" spans="1:15">
      <c r="A76" s="341"/>
      <c r="B76" s="166">
        <v>1412000084</v>
      </c>
      <c r="C76" s="159" t="s">
        <v>161</v>
      </c>
      <c r="D76" s="248">
        <f>VLOOKUP(B76,'B&amp;L'!$A$7:$BK$66,6,0)</f>
        <v>36.049999999999997</v>
      </c>
      <c r="E76" s="248">
        <f>VLOOKUP(B76,'B&amp;L'!$A$7:$BK$66,11,0)</f>
        <v>35.17</v>
      </c>
      <c r="F76" s="248">
        <f>VLOOKUP(B76,'B&amp;L'!$A$7:$BK$66,16,0)</f>
        <v>35.18</v>
      </c>
      <c r="G76" s="248">
        <f>VLOOKUP(B76,'B&amp;L'!$A$7:$BK$66,21,0)</f>
        <v>36.119999999999997</v>
      </c>
      <c r="H76" s="248">
        <f>VLOOKUP(B76,'B&amp;L'!$A$7:$BK$66,26,0)</f>
        <v>36.1</v>
      </c>
      <c r="I76" s="248">
        <f>VLOOKUP(B76,'B&amp;L'!$A$7:$BK$66,31,0)</f>
        <v>36.090000000000003</v>
      </c>
      <c r="J76" s="248">
        <f>VLOOKUP(B76,'B&amp;L'!$A$7:$BK$66,36,0)</f>
        <v>36.07</v>
      </c>
      <c r="K76" s="248">
        <f>VLOOKUP(B76,'B&amp;L'!$A$7:$BK$66,41,0)</f>
        <v>36.07</v>
      </c>
      <c r="L76" s="248">
        <f>VLOOKUP(B76,'B&amp;L'!$A$7:$BK$66,46,0)</f>
        <v>36.07</v>
      </c>
      <c r="M76" s="248">
        <f>VLOOKUP(B76,'B&amp;L'!$A$7:$BK$66,51,0)</f>
        <v>36.06</v>
      </c>
      <c r="N76" s="248">
        <f>VLOOKUP(B76,'B&amp;L'!$A$7:$BK$66,56,0)</f>
        <v>36.04</v>
      </c>
      <c r="O76" s="248">
        <f>VLOOKUP(B76,'B&amp;L'!$A$7:$BK$66,61,0)</f>
        <v>36.06</v>
      </c>
    </row>
    <row r="77" spans="1:15" ht="15" customHeight="1">
      <c r="A77" s="340">
        <v>36</v>
      </c>
      <c r="B77" s="165" t="s">
        <v>76</v>
      </c>
      <c r="C77" s="157" t="s">
        <v>160</v>
      </c>
      <c r="D77" s="249">
        <f>VLOOKUP(B78,'B&amp;L'!$A$7:$BK$66,5,0)</f>
        <v>132.6</v>
      </c>
      <c r="E77" s="249">
        <f>VLOOKUP(B78,'B&amp;L'!$A$7:$BK$66,10,0)</f>
        <v>132.4</v>
      </c>
      <c r="F77" s="249">
        <f>VLOOKUP(B78,'B&amp;L'!$A$7:$BK$66,15,0)</f>
        <v>132.44999999999999</v>
      </c>
      <c r="G77" s="249">
        <f>VLOOKUP(B78,'B&amp;L'!$A$7:$BK$66,20,0)</f>
        <v>132.29</v>
      </c>
      <c r="H77" s="249">
        <f>VLOOKUP(B78,'B&amp;L'!$A$7:$BK$66,25,0)</f>
        <v>132.24</v>
      </c>
      <c r="I77" s="249">
        <f>VLOOKUP(B78,'B&amp;L'!$A$7:$BK$66,30,0)</f>
        <v>141.27000000000001</v>
      </c>
      <c r="J77" s="249">
        <f>VLOOKUP(B78,'B&amp;L'!$A$7:$BK$66,35,0)</f>
        <v>138.33000000000001</v>
      </c>
      <c r="K77" s="249">
        <f>VLOOKUP(B78,'B&amp;L'!$A$7:$BK$66,40,0)</f>
        <v>138.31</v>
      </c>
      <c r="L77" s="249">
        <f>VLOOKUP(B78,'B&amp;L'!$A$7:$BK$66,45,0)</f>
        <v>138.32</v>
      </c>
      <c r="M77" s="249">
        <f>VLOOKUP(B78,'B&amp;L'!$A$7:$BK$66,50,0)</f>
        <v>138.26</v>
      </c>
      <c r="N77" s="249">
        <f>VLOOKUP(B78,'B&amp;L'!$A$7:$BK$66,55,0)</f>
        <v>138.16</v>
      </c>
      <c r="O77" s="249">
        <f>VLOOKUP(B78,'B&amp;L'!$A$7:$BK$66,60,0)</f>
        <v>138.26</v>
      </c>
    </row>
    <row r="78" spans="1:15" ht="15" customHeight="1">
      <c r="A78" s="341"/>
      <c r="B78" s="166">
        <v>1412000050</v>
      </c>
      <c r="C78" s="159" t="s">
        <v>161</v>
      </c>
      <c r="D78" s="248">
        <f>VLOOKUP(B78,'B&amp;L'!$A$7:$BK$66,6,0)</f>
        <v>8.9499999999999993</v>
      </c>
      <c r="E78" s="248">
        <f>VLOOKUP(B78,'B&amp;L'!$A$7:$BK$66,11,0)</f>
        <v>8.94</v>
      </c>
      <c r="F78" s="248">
        <f>VLOOKUP(B78,'B&amp;L'!$A$7:$BK$66,16,0)</f>
        <v>8.94</v>
      </c>
      <c r="G78" s="248">
        <f>VLOOKUP(B78,'B&amp;L'!$A$7:$BK$66,21,0)</f>
        <v>8.93</v>
      </c>
      <c r="H78" s="248">
        <f>VLOOKUP(B78,'B&amp;L'!$A$7:$BK$66,26,0)</f>
        <v>8.93</v>
      </c>
      <c r="I78" s="248">
        <f>VLOOKUP(B78,'B&amp;L'!$A$7:$BK$66,31,0)</f>
        <v>9.5399999999999991</v>
      </c>
      <c r="J78" s="248">
        <f>VLOOKUP(B78,'B&amp;L'!$A$7:$BK$66,36,0)</f>
        <v>9.34</v>
      </c>
      <c r="K78" s="248">
        <f>VLOOKUP(B78,'B&amp;L'!$A$7:$BK$66,41,0)</f>
        <v>9.34</v>
      </c>
      <c r="L78" s="248">
        <f>VLOOKUP(B78,'B&amp;L'!$A$7:$BK$66,46,0)</f>
        <v>9.34</v>
      </c>
      <c r="M78" s="248">
        <f>VLOOKUP(B78,'B&amp;L'!$A$7:$BK$66,51,0)</f>
        <v>9.33</v>
      </c>
      <c r="N78" s="248">
        <f>VLOOKUP(B78,'B&amp;L'!$A$7:$BK$66,56,0)</f>
        <v>9.33</v>
      </c>
      <c r="O78" s="248">
        <f>VLOOKUP(B78,'B&amp;L'!$A$7:$BK$66,61,0)</f>
        <v>9.33</v>
      </c>
    </row>
    <row r="79" spans="1:15" ht="15" customHeight="1">
      <c r="A79" s="340">
        <v>37</v>
      </c>
      <c r="B79" s="165" t="s">
        <v>165</v>
      </c>
      <c r="C79" s="157" t="s">
        <v>160</v>
      </c>
      <c r="D79" s="249">
        <f>VLOOKUP(B80,'B&amp;L'!$A$7:$BK$66,5,0)</f>
        <v>298.36</v>
      </c>
      <c r="E79" s="249">
        <f>VLOOKUP(B80,'B&amp;L'!$A$7:$BK$66,10,0)</f>
        <v>297.91000000000003</v>
      </c>
      <c r="F79" s="249">
        <f>VLOOKUP(B80,'B&amp;L'!$A$7:$BK$66,15,0)</f>
        <v>298.01</v>
      </c>
      <c r="G79" s="249">
        <f>VLOOKUP(B80,'B&amp;L'!$A$7:$BK$66,20,0)</f>
        <v>297.64999999999998</v>
      </c>
      <c r="H79" s="249">
        <f>VLOOKUP(B80,'B&amp;L'!$A$7:$BK$66,25,0)</f>
        <v>297.54000000000002</v>
      </c>
      <c r="I79" s="249">
        <f>VLOOKUP(B80,'B&amp;L'!$A$7:$BK$66,30,0)</f>
        <v>282.54000000000002</v>
      </c>
      <c r="J79" s="249">
        <f>VLOOKUP(B80,'B&amp;L'!$A$7:$BK$66,35,0)</f>
        <v>307.41000000000003</v>
      </c>
      <c r="K79" s="249">
        <f>VLOOKUP(B80,'B&amp;L'!$A$7:$BK$66,40,0)</f>
        <v>307.35000000000002</v>
      </c>
      <c r="L79" s="249">
        <f>VLOOKUP(B80,'B&amp;L'!$A$7:$BK$66,45,0)</f>
        <v>307.38</v>
      </c>
      <c r="M79" s="249">
        <f>VLOOKUP(B80,'B&amp;L'!$A$7:$BK$66,50,0)</f>
        <v>307.24</v>
      </c>
      <c r="N79" s="249">
        <f>VLOOKUP(B80,'B&amp;L'!$A$7:$BK$66,55,0)</f>
        <v>307.02999999999997</v>
      </c>
      <c r="O79" s="249">
        <f>VLOOKUP(B80,'B&amp;L'!$A$7:$BK$66,60,0)</f>
        <v>307.25</v>
      </c>
    </row>
    <row r="80" spans="1:15" ht="15" customHeight="1">
      <c r="A80" s="341"/>
      <c r="B80" s="166">
        <v>1412000077</v>
      </c>
      <c r="C80" s="159" t="s">
        <v>161</v>
      </c>
      <c r="D80" s="248">
        <f>VLOOKUP(B80,'B&amp;L'!$A$7:$BK$66,6,0)</f>
        <v>20.14</v>
      </c>
      <c r="E80" s="248">
        <f>VLOOKUP(B80,'B&amp;L'!$A$7:$BK$66,11,0)</f>
        <v>20.11</v>
      </c>
      <c r="F80" s="248">
        <f>VLOOKUP(B80,'B&amp;L'!$A$7:$BK$66,16,0)</f>
        <v>20.11</v>
      </c>
      <c r="G80" s="248">
        <f>VLOOKUP(B80,'B&amp;L'!$A$7:$BK$66,21,0)</f>
        <v>20.09</v>
      </c>
      <c r="H80" s="248">
        <f>VLOOKUP(B80,'B&amp;L'!$A$7:$BK$66,26,0)</f>
        <v>20.079999999999998</v>
      </c>
      <c r="I80" s="248">
        <f>VLOOKUP(B80,'B&amp;L'!$A$7:$BK$66,31,0)</f>
        <v>19.07</v>
      </c>
      <c r="J80" s="248">
        <f>VLOOKUP(B80,'B&amp;L'!$A$7:$BK$66,36,0)</f>
        <v>20.75</v>
      </c>
      <c r="K80" s="248">
        <f>VLOOKUP(B80,'B&amp;L'!$A$7:$BK$66,41,0)</f>
        <v>20.74</v>
      </c>
      <c r="L80" s="248">
        <f>VLOOKUP(B80,'B&amp;L'!$A$7:$BK$66,46,0)</f>
        <v>20.75</v>
      </c>
      <c r="M80" s="248">
        <f>VLOOKUP(B80,'B&amp;L'!$A$7:$BK$66,51,0)</f>
        <v>20.74</v>
      </c>
      <c r="N80" s="248">
        <f>VLOOKUP(B80,'B&amp;L'!$A$7:$BK$66,56,0)</f>
        <v>20.72</v>
      </c>
      <c r="O80" s="248">
        <f>VLOOKUP(B80,'B&amp;L'!$A$7:$BK$66,61,0)</f>
        <v>20.74</v>
      </c>
    </row>
    <row r="81" spans="1:15">
      <c r="A81" s="340">
        <v>38</v>
      </c>
      <c r="B81" s="165" t="s">
        <v>166</v>
      </c>
      <c r="C81" s="157" t="s">
        <v>160</v>
      </c>
      <c r="D81" s="249">
        <f>VLOOKUP(B82,'B&amp;L'!$A$7:$BK$66,5,0)</f>
        <v>198.91</v>
      </c>
      <c r="E81" s="249">
        <f>VLOOKUP(B82,'B&amp;L'!$A$7:$BK$66,10,0)</f>
        <v>198.61</v>
      </c>
      <c r="F81" s="249">
        <f>VLOOKUP(B82,'B&amp;L'!$A$7:$BK$66,15,0)</f>
        <v>198.67</v>
      </c>
      <c r="G81" s="249">
        <f>VLOOKUP(B82,'B&amp;L'!$A$7:$BK$66,20,0)</f>
        <v>198.43</v>
      </c>
      <c r="H81" s="249">
        <f>VLOOKUP(B82,'B&amp;L'!$A$7:$BK$66,25,0)</f>
        <v>198.36</v>
      </c>
      <c r="I81" s="249">
        <f>VLOOKUP(B82,'B&amp;L'!$A$7:$BK$66,30,0)</f>
        <v>188.36</v>
      </c>
      <c r="J81" s="249">
        <f>VLOOKUP(B82,'B&amp;L'!$A$7:$BK$66,35,0)</f>
        <v>184.44</v>
      </c>
      <c r="K81" s="249">
        <f>VLOOKUP(B82,'B&amp;L'!$A$7:$BK$66,40,0)</f>
        <v>184.41</v>
      </c>
      <c r="L81" s="249">
        <f>VLOOKUP(B82,'B&amp;L'!$A$7:$BK$66,45,0)</f>
        <v>184.43</v>
      </c>
      <c r="M81" s="249">
        <f>VLOOKUP(B82,'B&amp;L'!$A$7:$BK$66,50,0)</f>
        <v>184.35</v>
      </c>
      <c r="N81" s="249">
        <f>VLOOKUP(B82,'B&amp;L'!$A$7:$BK$66,55,0)</f>
        <v>184.22</v>
      </c>
      <c r="O81" s="249">
        <f>VLOOKUP(B82,'B&amp;L'!$A$7:$BK$66,60,0)</f>
        <v>184.35</v>
      </c>
    </row>
    <row r="82" spans="1:15">
      <c r="A82" s="341"/>
      <c r="B82" s="166">
        <v>1412000083</v>
      </c>
      <c r="C82" s="159" t="s">
        <v>161</v>
      </c>
      <c r="D82" s="248">
        <f>VLOOKUP(B82,'B&amp;L'!$A$7:$BK$66,6,0)</f>
        <v>13.43</v>
      </c>
      <c r="E82" s="248">
        <f>VLOOKUP(B82,'B&amp;L'!$A$7:$BK$66,11,0)</f>
        <v>13.41</v>
      </c>
      <c r="F82" s="248">
        <f>VLOOKUP(B82,'B&amp;L'!$A$7:$BK$66,16,0)</f>
        <v>13.41</v>
      </c>
      <c r="G82" s="248">
        <f>VLOOKUP(B82,'B&amp;L'!$A$7:$BK$66,21,0)</f>
        <v>13.39</v>
      </c>
      <c r="H82" s="248">
        <f>VLOOKUP(B82,'B&amp;L'!$A$7:$BK$66,26,0)</f>
        <v>13.39</v>
      </c>
      <c r="I82" s="248">
        <f>VLOOKUP(B82,'B&amp;L'!$A$7:$BK$66,31,0)</f>
        <v>12.71</v>
      </c>
      <c r="J82" s="248">
        <f>VLOOKUP(B82,'B&amp;L'!$A$7:$BK$66,36,0)</f>
        <v>12.45</v>
      </c>
      <c r="K82" s="248">
        <f>VLOOKUP(B82,'B&amp;L'!$A$7:$BK$66,41,0)</f>
        <v>12.45</v>
      </c>
      <c r="L82" s="248">
        <f>VLOOKUP(B82,'B&amp;L'!$A$7:$BK$66,46,0)</f>
        <v>12.45</v>
      </c>
      <c r="M82" s="248">
        <f>VLOOKUP(B82,'B&amp;L'!$A$7:$BK$66,51,0)</f>
        <v>12.44</v>
      </c>
      <c r="N82" s="248">
        <f>VLOOKUP(B82,'B&amp;L'!$A$7:$BK$66,56,0)</f>
        <v>12.43</v>
      </c>
      <c r="O82" s="248">
        <f>VLOOKUP(B82,'B&amp;L'!$A$7:$BK$66,61,0)</f>
        <v>12.44</v>
      </c>
    </row>
    <row r="83" spans="1:15">
      <c r="A83" s="342">
        <v>39</v>
      </c>
      <c r="B83" s="177" t="s">
        <v>167</v>
      </c>
      <c r="C83" s="178" t="s">
        <v>160</v>
      </c>
      <c r="D83" s="269">
        <f>VLOOKUP(B84,'B&amp;L'!$A$7:$BK$66,5,0)</f>
        <v>265.20999999999998</v>
      </c>
      <c r="E83" s="269">
        <f>VLOOKUP(B84,'B&amp;L'!$A$7:$BK$66,10,0)</f>
        <v>264.81</v>
      </c>
      <c r="F83" s="269">
        <f>VLOOKUP(B84,'B&amp;L'!$A$7:$BK$66,15,0)</f>
        <v>264.89999999999998</v>
      </c>
      <c r="G83" s="269">
        <f>VLOOKUP(B84,'B&amp;L'!$A$7:$BK$66,20,0)</f>
        <v>264.58</v>
      </c>
      <c r="H83" s="269">
        <f>VLOOKUP(B84,'B&amp;L'!$A$7:$BK$66,25,0)</f>
        <v>264.48</v>
      </c>
      <c r="I83" s="269">
        <f>VLOOKUP(B84,'B&amp;L'!$A$7:$BK$66,30,0)</f>
        <v>251.14</v>
      </c>
      <c r="J83" s="269">
        <f>VLOOKUP(B84,'B&amp;L'!$A$7:$BK$66,35,0)</f>
        <v>245.93</v>
      </c>
      <c r="K83" s="269">
        <f>VLOOKUP(B84,'B&amp;L'!$A$7:$BK$66,40,0)</f>
        <v>245.88</v>
      </c>
      <c r="L83" s="269">
        <f>VLOOKUP(B84,'B&amp;L'!$A$7:$BK$66,45,0)</f>
        <v>245.91</v>
      </c>
      <c r="M83" s="269">
        <f>VLOOKUP(B84,'B&amp;L'!$A$7:$BK$66,50,0)</f>
        <v>245.79</v>
      </c>
      <c r="N83" s="269">
        <f>VLOOKUP(B84,'B&amp;L'!$A$7:$BK$66,55,0)</f>
        <v>245.62</v>
      </c>
      <c r="O83" s="269">
        <f>VLOOKUP(B84,'B&amp;L'!$A$7:$BK$66,60,0)</f>
        <v>245.8</v>
      </c>
    </row>
    <row r="84" spans="1:15">
      <c r="A84" s="343"/>
      <c r="B84" s="179">
        <v>1412000099</v>
      </c>
      <c r="C84" s="180" t="s">
        <v>161</v>
      </c>
      <c r="D84" s="270">
        <f>VLOOKUP(B84,'B&amp;L'!$A$7:$BK$66,6,0)</f>
        <v>17.899999999999999</v>
      </c>
      <c r="E84" s="270">
        <f>VLOOKUP(B84,'B&amp;L'!$A$7:$BK$66,11,0)</f>
        <v>17.87</v>
      </c>
      <c r="F84" s="270">
        <f>VLOOKUP(B84,'B&amp;L'!$A$7:$BK$66,16,0)</f>
        <v>17.88</v>
      </c>
      <c r="G84" s="270">
        <f>VLOOKUP(B84,'B&amp;L'!$A$7:$BK$66,21,0)</f>
        <v>17.86</v>
      </c>
      <c r="H84" s="270">
        <f>VLOOKUP(B84,'B&amp;L'!$A$7:$BK$66,26,0)</f>
        <v>17.850000000000001</v>
      </c>
      <c r="I84" s="270">
        <f>VLOOKUP(B84,'B&amp;L'!$A$7:$BK$66,31,0)</f>
        <v>16.95</v>
      </c>
      <c r="J84" s="270">
        <f>VLOOKUP(B84,'B&amp;L'!$A$7:$BK$66,36,0)</f>
        <v>16.600000000000001</v>
      </c>
      <c r="K84" s="270">
        <f>VLOOKUP(B84,'B&amp;L'!$A$7:$BK$66,41,0)</f>
        <v>16.600000000000001</v>
      </c>
      <c r="L84" s="270">
        <f>VLOOKUP(B84,'B&amp;L'!$A$7:$BK$66,46,0)</f>
        <v>16.600000000000001</v>
      </c>
      <c r="M84" s="270">
        <f>VLOOKUP(B84,'B&amp;L'!$A$7:$BK$66,51,0)</f>
        <v>16.59</v>
      </c>
      <c r="N84" s="270">
        <f>VLOOKUP(B84,'B&amp;L'!$A$7:$BK$66,56,0)</f>
        <v>16.579999999999998</v>
      </c>
      <c r="O84" s="270">
        <f>VLOOKUP(B84,'B&amp;L'!$A$7:$BK$66,61,0)</f>
        <v>16.59</v>
      </c>
    </row>
    <row r="85" spans="1:15">
      <c r="A85" s="344">
        <v>40</v>
      </c>
      <c r="B85" s="284" t="s">
        <v>193</v>
      </c>
      <c r="C85" s="285" t="s">
        <v>160</v>
      </c>
      <c r="D85" s="286">
        <f>VLOOKUP(B86,'B&amp;L'!$A$7:$BK$66,5,0)</f>
        <v>132.6</v>
      </c>
      <c r="E85" s="286">
        <f>VLOOKUP(B86,'B&amp;L'!$A$7:$BK$66,10,0)</f>
        <v>132.4</v>
      </c>
      <c r="F85" s="286">
        <f>VLOOKUP(B86,'B&amp;L'!$A$7:$BK$66,15,0)</f>
        <v>132.44999999999999</v>
      </c>
      <c r="G85" s="286">
        <f>VLOOKUP(B86,'B&amp;L'!$A$7:$BK$66,20,0)</f>
        <v>132.29</v>
      </c>
      <c r="H85" s="286">
        <f>VLOOKUP(B86,'B&amp;L'!$A$7:$BK$66,25,0)</f>
        <v>132.24</v>
      </c>
      <c r="I85" s="286">
        <f>VLOOKUP(B86,'B&amp;L'!$A$7:$BK$66,30,0)</f>
        <v>125.57</v>
      </c>
      <c r="J85" s="286">
        <f>VLOOKUP(B86,'B&amp;L'!$A$7:$BK$66,35,0)</f>
        <v>122.96</v>
      </c>
      <c r="K85" s="286">
        <f>VLOOKUP(B86,'B&amp;L'!$A$7:$BK$66,40,0)</f>
        <v>122.94</v>
      </c>
      <c r="L85" s="286">
        <f>VLOOKUP(B86,'B&amp;L'!$A$7:$BK$66,45,0)</f>
        <v>122.95</v>
      </c>
      <c r="M85" s="286">
        <f>VLOOKUP(B86,'B&amp;L'!$A$7:$BK$66,50,0)</f>
        <v>122.9</v>
      </c>
      <c r="N85" s="286">
        <f>VLOOKUP(B86,'B&amp;L'!$A$7:$BK$66,55,0)</f>
        <v>122.81</v>
      </c>
      <c r="O85" s="286">
        <f>VLOOKUP(B86,'B&amp;L'!$A$7:$BK$66,60,0)</f>
        <v>122.9</v>
      </c>
    </row>
    <row r="86" spans="1:15">
      <c r="A86" s="345"/>
      <c r="B86" s="287">
        <v>1412000100</v>
      </c>
      <c r="C86" s="288" t="s">
        <v>161</v>
      </c>
      <c r="D86" s="289">
        <f>VLOOKUP(B86,'B&amp;L'!$A$7:$BK$66,6,0)</f>
        <v>8.9499999999999993</v>
      </c>
      <c r="E86" s="289">
        <f>VLOOKUP(B86,'B&amp;L'!$A$7:$BK$66,11,0)</f>
        <v>8.94</v>
      </c>
      <c r="F86" s="289">
        <f>VLOOKUP(B86,'B&amp;L'!$A$7:$BK$66,16,0)</f>
        <v>8.94</v>
      </c>
      <c r="G86" s="289">
        <f>VLOOKUP(B86,'B&amp;L'!$A$7:$BK$66,21,0)</f>
        <v>8.93</v>
      </c>
      <c r="H86" s="289">
        <f>VLOOKUP(B86,'B&amp;L'!$A$7:$BK$66,26,0)</f>
        <v>8.93</v>
      </c>
      <c r="I86" s="289">
        <f>VLOOKUP(B86,'B&amp;L'!$A$7:$BK$66,31,0)</f>
        <v>8.48</v>
      </c>
      <c r="J86" s="289">
        <f>VLOOKUP(B86,'B&amp;L'!$A$7:$BK$66,36,0)</f>
        <v>8.3000000000000007</v>
      </c>
      <c r="K86" s="289">
        <f>VLOOKUP(B86,'B&amp;L'!$A$7:$BK$66,41,0)</f>
        <v>8.3000000000000007</v>
      </c>
      <c r="L86" s="289">
        <f>VLOOKUP(B86,'B&amp;L'!$A$7:$BK$66,46,0)</f>
        <v>8.3000000000000007</v>
      </c>
      <c r="M86" s="289">
        <f>VLOOKUP(B86,'B&amp;L'!$A$7:$BK$66,51,0)</f>
        <v>8.3000000000000007</v>
      </c>
      <c r="N86" s="289">
        <f>VLOOKUP(B86,'B&amp;L'!$A$7:$BK$66,56,0)</f>
        <v>8.2899999999999991</v>
      </c>
      <c r="O86" s="289">
        <f>VLOOKUP(B86,'B&amp;L'!$A$7:$BK$66,61,0)</f>
        <v>8.3000000000000007</v>
      </c>
    </row>
    <row r="87" spans="1:15">
      <c r="A87" s="340">
        <v>41</v>
      </c>
      <c r="B87" s="165" t="s">
        <v>72</v>
      </c>
      <c r="C87" s="157" t="s">
        <v>160</v>
      </c>
      <c r="D87" s="249">
        <f>VLOOKUP(B88,'B&amp;L'!$A$7:$BK$66,5,0)</f>
        <v>149.18</v>
      </c>
      <c r="E87" s="249">
        <f>VLOOKUP(B88,'B&amp;L'!$A$7:$BK$66,10,0)</f>
        <v>148.94999999999999</v>
      </c>
      <c r="F87" s="249">
        <f>VLOOKUP(B88,'B&amp;L'!$A$7:$BK$66,15,0)</f>
        <v>149</v>
      </c>
      <c r="G87" s="249">
        <f>VLOOKUP(B88,'B&amp;L'!$A$7:$BK$66,20,0)</f>
        <v>148.83000000000001</v>
      </c>
      <c r="H87" s="249">
        <f>VLOOKUP(B88,'B&amp;L'!$A$7:$BK$66,25,0)</f>
        <v>148.77000000000001</v>
      </c>
      <c r="I87" s="249">
        <f>VLOOKUP(B88,'B&amp;L'!$A$7:$BK$66,30,0)</f>
        <v>156.96</v>
      </c>
      <c r="J87" s="249">
        <f>VLOOKUP(B88,'B&amp;L'!$A$7:$BK$66,35,0)</f>
        <v>153.69999999999999</v>
      </c>
      <c r="K87" s="249">
        <f>VLOOKUP(B88,'B&amp;L'!$A$7:$BK$66,40,0)</f>
        <v>153.66999999999999</v>
      </c>
      <c r="L87" s="249">
        <f>VLOOKUP(B88,'B&amp;L'!$A$7:$BK$66,45,0)</f>
        <v>153.69</v>
      </c>
      <c r="M87" s="249">
        <f>VLOOKUP(B88,'B&amp;L'!$A$7:$BK$66,50,0)</f>
        <v>153.62</v>
      </c>
      <c r="N87" s="249">
        <f>VLOOKUP(B88,'B&amp;L'!$A$7:$BK$66,55,0)</f>
        <v>153.51</v>
      </c>
      <c r="O87" s="249">
        <f>VLOOKUP(B88,'B&amp;L'!$A$7:$BK$66,60,0)</f>
        <v>153.62</v>
      </c>
    </row>
    <row r="88" spans="1:15">
      <c r="A88" s="341"/>
      <c r="B88" s="166">
        <v>1412000057</v>
      </c>
      <c r="C88" s="159" t="s">
        <v>161</v>
      </c>
      <c r="D88" s="248">
        <f>VLOOKUP(B88,'B&amp;L'!$A$7:$BK$66,6,0)</f>
        <v>10.07</v>
      </c>
      <c r="E88" s="248">
        <f>VLOOKUP(B88,'B&amp;L'!$A$7:$BK$66,11,0)</f>
        <v>10.050000000000001</v>
      </c>
      <c r="F88" s="248">
        <f>VLOOKUP(B88,'B&amp;L'!$A$7:$BK$66,16,0)</f>
        <v>10.06</v>
      </c>
      <c r="G88" s="248">
        <f>VLOOKUP(B88,'B&amp;L'!$A$7:$BK$66,21,0)</f>
        <v>10.050000000000001</v>
      </c>
      <c r="H88" s="248">
        <f>VLOOKUP(B88,'B&amp;L'!$A$7:$BK$66,26,0)</f>
        <v>10.039999999999999</v>
      </c>
      <c r="I88" s="248">
        <f>VLOOKUP(B88,'B&amp;L'!$A$7:$BK$66,31,0)</f>
        <v>10.59</v>
      </c>
      <c r="J88" s="248">
        <f>VLOOKUP(B88,'B&amp;L'!$A$7:$BK$66,36,0)</f>
        <v>10.37</v>
      </c>
      <c r="K88" s="248">
        <f>VLOOKUP(B88,'B&amp;L'!$A$7:$BK$66,41,0)</f>
        <v>10.37</v>
      </c>
      <c r="L88" s="248">
        <f>VLOOKUP(B88,'B&amp;L'!$A$7:$BK$66,46,0)</f>
        <v>10.37</v>
      </c>
      <c r="M88" s="248">
        <f>VLOOKUP(B88,'B&amp;L'!$A$7:$BK$66,51,0)</f>
        <v>10.37</v>
      </c>
      <c r="N88" s="248">
        <f>VLOOKUP(B88,'B&amp;L'!$A$7:$BK$66,56,0)</f>
        <v>10.36</v>
      </c>
      <c r="O88" s="248">
        <f>VLOOKUP(B88,'B&amp;L'!$A$7:$BK$66,61,0)</f>
        <v>10.37</v>
      </c>
    </row>
    <row r="89" spans="1:15">
      <c r="A89" s="344">
        <v>42</v>
      </c>
      <c r="B89" s="284" t="s">
        <v>190</v>
      </c>
      <c r="C89" s="285" t="s">
        <v>160</v>
      </c>
      <c r="D89" s="286">
        <f>VLOOKUP(B90,'B&amp;L'!$A$7:$BK$66,5,0)</f>
        <v>132.6</v>
      </c>
      <c r="E89" s="286">
        <f>VLOOKUP(B90,'B&amp;L'!$A$7:$BK$66,10,0)</f>
        <v>132.4</v>
      </c>
      <c r="F89" s="286">
        <f>VLOOKUP(B90,'B&amp;L'!$A$7:$BK$66,15,0)</f>
        <v>132.44999999999999</v>
      </c>
      <c r="G89" s="286">
        <f>VLOOKUP(B90,'B&amp;L'!$A$7:$BK$66,20,0)</f>
        <v>132.29</v>
      </c>
      <c r="H89" s="286">
        <f>VLOOKUP(B90,'B&amp;L'!$A$7:$BK$66,25,0)</f>
        <v>132.24</v>
      </c>
      <c r="I89" s="286">
        <f>VLOOKUP(B90,'B&amp;L'!$A$7:$BK$66,30,0)</f>
        <v>141.27000000000001</v>
      </c>
      <c r="J89" s="286">
        <f>VLOOKUP(B90,'B&amp;L'!$A$7:$BK$66,35,0)</f>
        <v>138.33000000000001</v>
      </c>
      <c r="K89" s="286">
        <f>VLOOKUP(B90,'B&amp;L'!$A$7:$BK$66,40,0)</f>
        <v>138.31</v>
      </c>
      <c r="L89" s="286">
        <f>VLOOKUP(B90,'B&amp;L'!$A$7:$BK$66,45,0)</f>
        <v>138.32</v>
      </c>
      <c r="M89" s="286">
        <f>VLOOKUP(B90,'B&amp;L'!$A$7:$BK$66,50,0)</f>
        <v>138.26</v>
      </c>
      <c r="N89" s="286">
        <f>VLOOKUP(B90,'B&amp;L'!$A$7:$BK$66,55,0)</f>
        <v>138.16</v>
      </c>
      <c r="O89" s="286">
        <f>VLOOKUP(B90,'B&amp;L'!$A$7:$BK$66,60,0)</f>
        <v>138.26</v>
      </c>
    </row>
    <row r="90" spans="1:15">
      <c r="A90" s="345"/>
      <c r="B90" s="287">
        <v>1412000101</v>
      </c>
      <c r="C90" s="288" t="s">
        <v>161</v>
      </c>
      <c r="D90" s="289">
        <f>VLOOKUP(B90,'B&amp;L'!$A$7:$BK$66,6,0)</f>
        <v>8.9499999999999993</v>
      </c>
      <c r="E90" s="289">
        <f>VLOOKUP(B90,'B&amp;L'!$A$7:$BK$66,11,0)</f>
        <v>8.94</v>
      </c>
      <c r="F90" s="289">
        <f>VLOOKUP(B90,'B&amp;L'!$A$7:$BK$66,16,0)</f>
        <v>8.94</v>
      </c>
      <c r="G90" s="289">
        <f>VLOOKUP(B90,'B&amp;L'!$A$7:$BK$66,21,0)</f>
        <v>8.93</v>
      </c>
      <c r="H90" s="289">
        <f>VLOOKUP(B90,'B&amp;L'!$A$7:$BK$66,26,0)</f>
        <v>8.93</v>
      </c>
      <c r="I90" s="289">
        <f>VLOOKUP(B90,'B&amp;L'!$A$7:$BK$66,31,0)</f>
        <v>9.5399999999999991</v>
      </c>
      <c r="J90" s="289">
        <f>VLOOKUP(B90,'B&amp;L'!$A$7:$BK$66,36,0)</f>
        <v>9.34</v>
      </c>
      <c r="K90" s="289">
        <f>VLOOKUP(B90,'B&amp;L'!$A$7:$BK$66,41,0)</f>
        <v>9.34</v>
      </c>
      <c r="L90" s="289">
        <f>VLOOKUP(B90,'B&amp;L'!$A$7:$BK$66,46,0)</f>
        <v>9.34</v>
      </c>
      <c r="M90" s="289">
        <f>VLOOKUP(B90,'B&amp;L'!$A$7:$BK$66,51,0)</f>
        <v>9.33</v>
      </c>
      <c r="N90" s="289">
        <f>VLOOKUP(B90,'B&amp;L'!$A$7:$BK$66,56,0)</f>
        <v>9.33</v>
      </c>
      <c r="O90" s="289">
        <f>VLOOKUP(B90,'B&amp;L'!$A$7:$BK$66,61,0)</f>
        <v>9.33</v>
      </c>
    </row>
    <row r="91" spans="1:15">
      <c r="A91" s="340">
        <v>43</v>
      </c>
      <c r="B91" s="165" t="s">
        <v>168</v>
      </c>
      <c r="C91" s="157" t="s">
        <v>160</v>
      </c>
      <c r="D91" s="249">
        <f>VLOOKUP(B92,'B&amp;L'!$A$7:$BK$66,5,0)</f>
        <v>198.91</v>
      </c>
      <c r="E91" s="249">
        <f>VLOOKUP(B92,'B&amp;L'!$A$7:$BK$66,10,0)</f>
        <v>198.61</v>
      </c>
      <c r="F91" s="249">
        <f>VLOOKUP(B92,'B&amp;L'!$A$7:$BK$66,15,0)</f>
        <v>198.67</v>
      </c>
      <c r="G91" s="249">
        <f>VLOOKUP(B92,'B&amp;L'!$A$7:$BK$66,20,0)</f>
        <v>198.43</v>
      </c>
      <c r="H91" s="249">
        <f>VLOOKUP(B92,'B&amp;L'!$A$7:$BK$66,25,0)</f>
        <v>198.36</v>
      </c>
      <c r="I91" s="249">
        <f>VLOOKUP(B92,'B&amp;L'!$A$7:$BK$66,30,0)</f>
        <v>219.75</v>
      </c>
      <c r="J91" s="249">
        <f>VLOOKUP(B92,'B&amp;L'!$A$7:$BK$66,35,0)</f>
        <v>230.55</v>
      </c>
      <c r="K91" s="249">
        <f>VLOOKUP(B92,'B&amp;L'!$A$7:$BK$66,40,0)</f>
        <v>230.51</v>
      </c>
      <c r="L91" s="249">
        <f>VLOOKUP(B92,'B&amp;L'!$A$7:$BK$66,45,0)</f>
        <v>230.54</v>
      </c>
      <c r="M91" s="249">
        <f>VLOOKUP(B92,'B&amp;L'!$A$7:$BK$66,50,0)</f>
        <v>230.43</v>
      </c>
      <c r="N91" s="249">
        <f>VLOOKUP(B92,'B&amp;L'!$A$7:$BK$66,55,0)</f>
        <v>230.27</v>
      </c>
      <c r="O91" s="249">
        <f>VLOOKUP(B92,'B&amp;L'!$A$7:$BK$66,60,0)</f>
        <v>230.44</v>
      </c>
    </row>
    <row r="92" spans="1:15">
      <c r="A92" s="341"/>
      <c r="B92" s="166">
        <v>1412000078</v>
      </c>
      <c r="C92" s="159" t="s">
        <v>161</v>
      </c>
      <c r="D92" s="248">
        <f>VLOOKUP(B92,'B&amp;L'!$A$7:$BK$66,6,0)</f>
        <v>13.43</v>
      </c>
      <c r="E92" s="248">
        <f>VLOOKUP(B92,'B&amp;L'!$A$7:$BK$66,11,0)</f>
        <v>13.41</v>
      </c>
      <c r="F92" s="248">
        <f>VLOOKUP(B92,'B&amp;L'!$A$7:$BK$66,16,0)</f>
        <v>13.41</v>
      </c>
      <c r="G92" s="248">
        <f>VLOOKUP(B92,'B&amp;L'!$A$7:$BK$66,21,0)</f>
        <v>13.39</v>
      </c>
      <c r="H92" s="248">
        <f>VLOOKUP(B92,'B&amp;L'!$A$7:$BK$66,26,0)</f>
        <v>13.39</v>
      </c>
      <c r="I92" s="248">
        <f>VLOOKUP(B92,'B&amp;L'!$A$7:$BK$66,31,0)</f>
        <v>14.83</v>
      </c>
      <c r="J92" s="248">
        <f>VLOOKUP(B92,'B&amp;L'!$A$7:$BK$66,36,0)</f>
        <v>15.56</v>
      </c>
      <c r="K92" s="248">
        <f>VLOOKUP(B92,'B&amp;L'!$A$7:$BK$66,41,0)</f>
        <v>15.56</v>
      </c>
      <c r="L92" s="248">
        <f>VLOOKUP(B92,'B&amp;L'!$A$7:$BK$66,46,0)</f>
        <v>15.56</v>
      </c>
      <c r="M92" s="248">
        <f>VLOOKUP(B92,'B&amp;L'!$A$7:$BK$66,51,0)</f>
        <v>15.55</v>
      </c>
      <c r="N92" s="248">
        <f>VLOOKUP(B92,'B&amp;L'!$A$7:$BK$66,56,0)</f>
        <v>15.54</v>
      </c>
      <c r="O92" s="248">
        <f>VLOOKUP(B92,'B&amp;L'!$A$7:$BK$66,61,0)</f>
        <v>15.55</v>
      </c>
    </row>
    <row r="93" spans="1:15">
      <c r="A93" s="340">
        <v>44</v>
      </c>
      <c r="B93" s="165" t="s">
        <v>169</v>
      </c>
      <c r="C93" s="157" t="s">
        <v>160</v>
      </c>
      <c r="D93" s="249">
        <f>VLOOKUP(B94,'B&amp;L'!$A$7:$BK$66,5,0)</f>
        <v>165.75</v>
      </c>
      <c r="E93" s="249">
        <f>VLOOKUP(B94,'B&amp;L'!$A$7:$BK$66,10,0)</f>
        <v>165.5</v>
      </c>
      <c r="F93" s="249">
        <f>VLOOKUP(B94,'B&amp;L'!$A$7:$BK$66,15,0)</f>
        <v>165.56</v>
      </c>
      <c r="G93" s="249">
        <f>VLOOKUP(B94,'B&amp;L'!$A$7:$BK$66,20,0)</f>
        <v>165.36</v>
      </c>
      <c r="H93" s="249">
        <f>VLOOKUP(B94,'B&amp;L'!$A$7:$BK$66,25,0)</f>
        <v>165.3</v>
      </c>
      <c r="I93" s="249">
        <f>VLOOKUP(B94,'B&amp;L'!$A$7:$BK$66,30,0)</f>
        <v>188.36</v>
      </c>
      <c r="J93" s="249">
        <f>VLOOKUP(B94,'B&amp;L'!$A$7:$BK$66,35,0)</f>
        <v>184.44</v>
      </c>
      <c r="K93" s="249">
        <f>VLOOKUP(B94,'B&amp;L'!$A$7:$BK$66,40,0)</f>
        <v>184.41</v>
      </c>
      <c r="L93" s="249">
        <f>VLOOKUP(B94,'B&amp;L'!$A$7:$BK$66,45,0)</f>
        <v>184.43</v>
      </c>
      <c r="M93" s="249">
        <f>VLOOKUP(B94,'B&amp;L'!$A$7:$BK$66,50,0)</f>
        <v>184.35</v>
      </c>
      <c r="N93" s="249">
        <f>VLOOKUP(B94,'B&amp;L'!$A$7:$BK$66,55,0)</f>
        <v>184.22</v>
      </c>
      <c r="O93" s="249">
        <f>VLOOKUP(B94,'B&amp;L'!$A$7:$BK$66,60,0)</f>
        <v>184.35</v>
      </c>
    </row>
    <row r="94" spans="1:15">
      <c r="A94" s="341"/>
      <c r="B94" s="166">
        <v>1412000096</v>
      </c>
      <c r="C94" s="159" t="s">
        <v>161</v>
      </c>
      <c r="D94" s="248">
        <f>VLOOKUP(B94,'B&amp;L'!$A$7:$BK$66,6,0)</f>
        <v>11.19</v>
      </c>
      <c r="E94" s="248">
        <f>VLOOKUP(B94,'B&amp;L'!$A$7:$BK$66,11,0)</f>
        <v>11.17</v>
      </c>
      <c r="F94" s="248">
        <f>VLOOKUP(B94,'B&amp;L'!$A$7:$BK$66,16,0)</f>
        <v>11.17</v>
      </c>
      <c r="G94" s="248">
        <f>VLOOKUP(B94,'B&amp;L'!$A$7:$BK$66,21,0)</f>
        <v>11.16</v>
      </c>
      <c r="H94" s="248">
        <f>VLOOKUP(B94,'B&amp;L'!$A$7:$BK$66,26,0)</f>
        <v>11.16</v>
      </c>
      <c r="I94" s="248">
        <f>VLOOKUP(B94,'B&amp;L'!$A$7:$BK$66,31,0)</f>
        <v>12.71</v>
      </c>
      <c r="J94" s="248">
        <f>VLOOKUP(B94,'B&amp;L'!$A$7:$BK$66,36,0)</f>
        <v>12.45</v>
      </c>
      <c r="K94" s="248">
        <f>VLOOKUP(B94,'B&amp;L'!$A$7:$BK$66,41,0)</f>
        <v>12.45</v>
      </c>
      <c r="L94" s="248">
        <f>VLOOKUP(B94,'B&amp;L'!$A$7:$BK$66,46,0)</f>
        <v>12.45</v>
      </c>
      <c r="M94" s="248">
        <f>VLOOKUP(B94,'B&amp;L'!$A$7:$BK$66,51,0)</f>
        <v>12.44</v>
      </c>
      <c r="N94" s="248">
        <f>VLOOKUP(B94,'B&amp;L'!$A$7:$BK$66,56,0)</f>
        <v>12.43</v>
      </c>
      <c r="O94" s="248">
        <f>VLOOKUP(B94,'B&amp;L'!$A$7:$BK$66,61,0)</f>
        <v>12.44</v>
      </c>
    </row>
    <row r="95" spans="1:15">
      <c r="A95" s="340">
        <v>45</v>
      </c>
      <c r="B95" s="165" t="s">
        <v>137</v>
      </c>
      <c r="C95" s="157" t="s">
        <v>160</v>
      </c>
      <c r="D95" s="249">
        <f>VLOOKUP(B96,'B&amp;L'!$A$7:$BK$66,5,0)</f>
        <v>881.78</v>
      </c>
      <c r="E95" s="249">
        <f>VLOOKUP(B96,'B&amp;L'!$A$7:$BK$66,10,0)</f>
        <v>883.16</v>
      </c>
      <c r="F95" s="249">
        <f>VLOOKUP(B96,'B&amp;L'!$A$7:$BK$66,15,0)</f>
        <v>885.58</v>
      </c>
      <c r="G95" s="249">
        <f>VLOOKUP(B96,'B&amp;L'!$A$7:$BK$66,20,0)</f>
        <v>879.46</v>
      </c>
      <c r="H95" s="249">
        <f>VLOOKUP(B96,'B&amp;L'!$A$7:$BK$66,25,0)</f>
        <v>877.9</v>
      </c>
      <c r="I95" s="249">
        <f>VLOOKUP(B96,'B&amp;L'!$A$7:$BK$66,30,0)</f>
        <v>878.47</v>
      </c>
      <c r="J95" s="249">
        <f>VLOOKUP(B96,'B&amp;L'!$A$7:$BK$66,35,0)</f>
        <v>876.58</v>
      </c>
      <c r="K95" s="249">
        <f>VLOOKUP(B96,'B&amp;L'!$A$7:$BK$66,40,0)</f>
        <v>875.22</v>
      </c>
      <c r="L95" s="249">
        <f>VLOOKUP(B96,'B&amp;L'!$A$7:$BK$66,45,0)</f>
        <v>875.93</v>
      </c>
      <c r="M95" s="249">
        <f>VLOOKUP(B96,'B&amp;L'!$A$7:$BK$66,50,0)</f>
        <v>873.33</v>
      </c>
      <c r="N95" s="249">
        <f>VLOOKUP(B96,'B&amp;L'!$A$7:$BK$66,55,0)</f>
        <v>870.76</v>
      </c>
      <c r="O95" s="249">
        <f>VLOOKUP(B96,'B&amp;L'!$A$7:$BK$66,60,0)</f>
        <v>874.04</v>
      </c>
    </row>
    <row r="96" spans="1:15">
      <c r="A96" s="341"/>
      <c r="B96" s="166">
        <v>1412000018</v>
      </c>
      <c r="C96" s="159" t="s">
        <v>161</v>
      </c>
      <c r="D96" s="248">
        <f>VLOOKUP(B96,'B&amp;L'!$A$7:$BK$66,6,0)</f>
        <v>59.52</v>
      </c>
      <c r="E96" s="248">
        <f>VLOOKUP(B96,'B&amp;L'!$A$7:$BK$66,11,0)</f>
        <v>59.61</v>
      </c>
      <c r="F96" s="248">
        <f>VLOOKUP(B96,'B&amp;L'!$A$7:$BK$66,16,0)</f>
        <v>59.77</v>
      </c>
      <c r="G96" s="248">
        <f>VLOOKUP(B96,'B&amp;L'!$A$7:$BK$66,21,0)</f>
        <v>59.36</v>
      </c>
      <c r="H96" s="248">
        <f>VLOOKUP(B96,'B&amp;L'!$A$7:$BK$66,26,0)</f>
        <v>59.25</v>
      </c>
      <c r="I96" s="248">
        <f>VLOOKUP(B96,'B&amp;L'!$A$7:$BK$66,31,0)</f>
        <v>59.29</v>
      </c>
      <c r="J96" s="248">
        <f>VLOOKUP(B96,'B&amp;L'!$A$7:$BK$66,36,0)</f>
        <v>59.17</v>
      </c>
      <c r="K96" s="248">
        <f>VLOOKUP(B96,'B&amp;L'!$A$7:$BK$66,41,0)</f>
        <v>59.07</v>
      </c>
      <c r="L96" s="248">
        <f>VLOOKUP(B96,'B&amp;L'!$A$7:$BK$66,46,0)</f>
        <v>59.12</v>
      </c>
      <c r="M96" s="248">
        <f>VLOOKUP(B96,'B&amp;L'!$A$7:$BK$66,51,0)</f>
        <v>58.95</v>
      </c>
      <c r="N96" s="248">
        <f>VLOOKUP(B96,'B&amp;L'!$A$7:$BK$66,56,0)</f>
        <v>58.77</v>
      </c>
      <c r="O96" s="248">
        <f>VLOOKUP(B96,'B&amp;L'!$A$7:$BK$66,61,0)</f>
        <v>58.99</v>
      </c>
    </row>
    <row r="97" spans="1:15">
      <c r="A97" s="340">
        <v>46</v>
      </c>
      <c r="B97" s="165" t="s">
        <v>112</v>
      </c>
      <c r="C97" s="157" t="s">
        <v>160</v>
      </c>
      <c r="D97" s="249">
        <f>VLOOKUP(B98,'B&amp;L'!$A$7:$BK$66,5,0)</f>
        <v>1603.02</v>
      </c>
      <c r="E97" s="249">
        <f>VLOOKUP(B98,'B&amp;L'!$A$7:$BK$66,10,0)</f>
        <v>1600.38</v>
      </c>
      <c r="F97" s="249">
        <f>VLOOKUP(B98,'B&amp;L'!$A$7:$BK$66,15,0)</f>
        <v>1601.04</v>
      </c>
      <c r="G97" s="249">
        <f>VLOOKUP(B98,'B&amp;L'!$A$7:$BK$66,20,0)</f>
        <v>1587.7</v>
      </c>
      <c r="H97" s="249">
        <f>VLOOKUP(B98,'B&amp;L'!$A$7:$BK$66,25,0)</f>
        <v>1589.18</v>
      </c>
      <c r="I97" s="249">
        <f>VLOOKUP(B98,'B&amp;L'!$A$7:$BK$66,30,0)</f>
        <v>1572.73</v>
      </c>
      <c r="J97" s="249">
        <f>VLOOKUP(B98,'B&amp;L'!$A$7:$BK$66,35,0)</f>
        <v>1557.24</v>
      </c>
      <c r="K97" s="249">
        <f>VLOOKUP(B98,'B&amp;L'!$A$7:$BK$66,40,0)</f>
        <v>1556.93</v>
      </c>
      <c r="L97" s="249">
        <f>VLOOKUP(B98,'B&amp;L'!$A$7:$BK$66,45,0)</f>
        <v>1557.36</v>
      </c>
      <c r="M97" s="249">
        <f>VLOOKUP(B98,'B&amp;L'!$A$7:$BK$66,50,0)</f>
        <v>1554.46</v>
      </c>
      <c r="N97" s="249">
        <f>VLOOKUP(B98,'B&amp;L'!$A$7:$BK$66,55,0)</f>
        <v>1545.12</v>
      </c>
      <c r="O97" s="249">
        <f>VLOOKUP(B98,'B&amp;L'!$A$7:$BK$66,60,0)</f>
        <v>1552.51</v>
      </c>
    </row>
    <row r="98" spans="1:15">
      <c r="A98" s="341"/>
      <c r="B98" s="166">
        <v>1412000019</v>
      </c>
      <c r="C98" s="159" t="s">
        <v>161</v>
      </c>
      <c r="D98" s="248">
        <f>VLOOKUP(B98,'B&amp;L'!$A$7:$BK$66,6,0)</f>
        <v>108.2</v>
      </c>
      <c r="E98" s="248">
        <f>VLOOKUP(B98,'B&amp;L'!$A$7:$BK$66,11,0)</f>
        <v>108.02</v>
      </c>
      <c r="F98" s="248">
        <f>VLOOKUP(B98,'B&amp;L'!$A$7:$BK$66,16,0)</f>
        <v>108.06</v>
      </c>
      <c r="G98" s="248">
        <f>VLOOKUP(B98,'B&amp;L'!$A$7:$BK$66,21,0)</f>
        <v>107.16</v>
      </c>
      <c r="H98" s="248">
        <f>VLOOKUP(B98,'B&amp;L'!$A$7:$BK$66,26,0)</f>
        <v>107.26</v>
      </c>
      <c r="I98" s="248">
        <f>VLOOKUP(B98,'B&amp;L'!$A$7:$BK$66,31,0)</f>
        <v>106.15</v>
      </c>
      <c r="J98" s="248">
        <f>VLOOKUP(B98,'B&amp;L'!$A$7:$BK$66,36,0)</f>
        <v>105.11</v>
      </c>
      <c r="K98" s="248">
        <f>VLOOKUP(B98,'B&amp;L'!$A$7:$BK$66,41,0)</f>
        <v>105.09</v>
      </c>
      <c r="L98" s="248">
        <f>VLOOKUP(B98,'B&amp;L'!$A$7:$BK$66,46,0)</f>
        <v>105.12</v>
      </c>
      <c r="M98" s="248">
        <f>VLOOKUP(B98,'B&amp;L'!$A$7:$BK$66,51,0)</f>
        <v>104.92</v>
      </c>
      <c r="N98" s="248">
        <f>VLOOKUP(B98,'B&amp;L'!$A$7:$BK$66,56,0)</f>
        <v>104.29</v>
      </c>
      <c r="O98" s="248">
        <f>VLOOKUP(B98,'B&amp;L'!$A$7:$BK$66,61,0)</f>
        <v>104.79</v>
      </c>
    </row>
    <row r="99" spans="1:15">
      <c r="A99" s="340">
        <v>47</v>
      </c>
      <c r="B99" s="165" t="s">
        <v>149</v>
      </c>
      <c r="C99" s="157" t="s">
        <v>160</v>
      </c>
      <c r="D99" s="249">
        <f>VLOOKUP(B100,'B&amp;L'!$A$7:$BK$66,5,0)</f>
        <v>405.31</v>
      </c>
      <c r="E99" s="249">
        <f>VLOOKUP(B100,'B&amp;L'!$A$7:$BK$66,10,0)</f>
        <v>403.45</v>
      </c>
      <c r="F99" s="249">
        <f>VLOOKUP(B100,'B&amp;L'!$A$7:$BK$66,15,0)</f>
        <v>403.55</v>
      </c>
      <c r="G99" s="249">
        <f>VLOOKUP(B100,'B&amp;L'!$A$7:$BK$66,20,0)</f>
        <v>403.2</v>
      </c>
      <c r="H99" s="249">
        <f>VLOOKUP(B100,'B&amp;L'!$A$7:$BK$66,25,0)</f>
        <v>403.08</v>
      </c>
      <c r="I99" s="249">
        <f>VLOOKUP(B100,'B&amp;L'!$A$7:$BK$66,30,0)</f>
        <v>397.86</v>
      </c>
      <c r="J99" s="249">
        <f>VLOOKUP(B100,'B&amp;L'!$A$7:$BK$66,35,0)</f>
        <v>396.34</v>
      </c>
      <c r="K99" s="249">
        <f>VLOOKUP(B100,'B&amp;L'!$A$7:$BK$66,40,0)</f>
        <v>396.29</v>
      </c>
      <c r="L99" s="249">
        <f>VLOOKUP(B100,'B&amp;L'!$A$7:$BK$66,45,0)</f>
        <v>396.32</v>
      </c>
      <c r="M99" s="249">
        <f>VLOOKUP(B100,'B&amp;L'!$A$7:$BK$66,50,0)</f>
        <v>396.19</v>
      </c>
      <c r="N99" s="249">
        <f>VLOOKUP(B100,'B&amp;L'!$A$7:$BK$66,55,0)</f>
        <v>396</v>
      </c>
      <c r="O99" s="249">
        <f>VLOOKUP(B100,'B&amp;L'!$A$7:$BK$66,60,0)</f>
        <v>396.2</v>
      </c>
    </row>
    <row r="100" spans="1:15">
      <c r="A100" s="341"/>
      <c r="B100" s="166">
        <v>1412000058</v>
      </c>
      <c r="C100" s="159" t="s">
        <v>161</v>
      </c>
      <c r="D100" s="248">
        <f>VLOOKUP(B100,'B&amp;L'!$A$7:$BK$66,6,0)</f>
        <v>27.36</v>
      </c>
      <c r="E100" s="248">
        <f>VLOOKUP(B100,'B&amp;L'!$A$7:$BK$66,11,0)</f>
        <v>27.23</v>
      </c>
      <c r="F100" s="248">
        <f>VLOOKUP(B100,'B&amp;L'!$A$7:$BK$66,16,0)</f>
        <v>27.24</v>
      </c>
      <c r="G100" s="248">
        <f>VLOOKUP(B100,'B&amp;L'!$A$7:$BK$66,21,0)</f>
        <v>27.21</v>
      </c>
      <c r="H100" s="248">
        <f>VLOOKUP(B100,'B&amp;L'!$A$7:$BK$66,26,0)</f>
        <v>27.21</v>
      </c>
      <c r="I100" s="248">
        <f>VLOOKUP(B100,'B&amp;L'!$A$7:$BK$66,31,0)</f>
        <v>26.85</v>
      </c>
      <c r="J100" s="248">
        <f>VLOOKUP(B100,'B&amp;L'!$A$7:$BK$66,36,0)</f>
        <v>26.75</v>
      </c>
      <c r="K100" s="248">
        <f>VLOOKUP(B100,'B&amp;L'!$A$7:$BK$66,41,0)</f>
        <v>26.75</v>
      </c>
      <c r="L100" s="248">
        <f>VLOOKUP(B100,'B&amp;L'!$A$7:$BK$66,46,0)</f>
        <v>26.75</v>
      </c>
      <c r="M100" s="248">
        <f>VLOOKUP(B100,'B&amp;L'!$A$7:$BK$66,51,0)</f>
        <v>26.74</v>
      </c>
      <c r="N100" s="248">
        <f>VLOOKUP(B100,'B&amp;L'!$A$7:$BK$66,56,0)</f>
        <v>26.73</v>
      </c>
      <c r="O100" s="248">
        <f>VLOOKUP(B100,'B&amp;L'!$A$7:$BK$66,61,0)</f>
        <v>26.74</v>
      </c>
    </row>
    <row r="101" spans="1:15">
      <c r="A101" s="340">
        <v>48</v>
      </c>
      <c r="B101" s="165" t="s">
        <v>145</v>
      </c>
      <c r="C101" s="157" t="s">
        <v>160</v>
      </c>
      <c r="D101" s="249">
        <f>VLOOKUP(B102,'B&amp;L'!$A$7:$BK$66,5,0)</f>
        <v>94.67</v>
      </c>
      <c r="E101" s="249">
        <f>VLOOKUP(B102,'B&amp;L'!$A$7:$BK$66,10,0)</f>
        <v>94.16</v>
      </c>
      <c r="F101" s="249">
        <f>VLOOKUP(B102,'B&amp;L'!$A$7:$BK$66,15,0)</f>
        <v>94.18</v>
      </c>
      <c r="G101" s="249">
        <f>VLOOKUP(B102,'B&amp;L'!$A$7:$BK$66,20,0)</f>
        <v>94.09</v>
      </c>
      <c r="H101" s="249">
        <f>VLOOKUP(B102,'B&amp;L'!$A$7:$BK$66,25,0)</f>
        <v>94.05</v>
      </c>
      <c r="I101" s="249">
        <f>VLOOKUP(B102,'B&amp;L'!$A$7:$BK$66,30,0)</f>
        <v>92.6</v>
      </c>
      <c r="J101" s="249">
        <f>VLOOKUP(B102,'B&amp;L'!$A$7:$BK$66,35,0)</f>
        <v>92.18</v>
      </c>
      <c r="K101" s="249">
        <f>VLOOKUP(B102,'B&amp;L'!$A$7:$BK$66,40,0)</f>
        <v>92.17</v>
      </c>
      <c r="L101" s="249">
        <f>VLOOKUP(B102,'B&amp;L'!$A$7:$BK$66,45,0)</f>
        <v>92.17</v>
      </c>
      <c r="M101" s="249">
        <f>VLOOKUP(B102,'B&amp;L'!$A$7:$BK$66,50,0)</f>
        <v>92.14</v>
      </c>
      <c r="N101" s="249">
        <f>VLOOKUP(B102,'B&amp;L'!$A$7:$BK$66,55,0)</f>
        <v>92.09</v>
      </c>
      <c r="O101" s="249">
        <f>VLOOKUP(B102,'B&amp;L'!$A$7:$BK$66,60,0)</f>
        <v>92.14</v>
      </c>
    </row>
    <row r="102" spans="1:15">
      <c r="A102" s="341"/>
      <c r="B102" s="166">
        <v>1412000042</v>
      </c>
      <c r="C102" s="159" t="s">
        <v>161</v>
      </c>
      <c r="D102" s="248">
        <f>VLOOKUP(B102,'B&amp;L'!$A$7:$BK$66,6,0)</f>
        <v>6.39</v>
      </c>
      <c r="E102" s="248">
        <f>VLOOKUP(B102,'B&amp;L'!$A$7:$BK$66,11,0)</f>
        <v>6.36</v>
      </c>
      <c r="F102" s="248">
        <f>VLOOKUP(B102,'B&amp;L'!$A$7:$BK$66,16,0)</f>
        <v>6.36</v>
      </c>
      <c r="G102" s="248">
        <f>VLOOKUP(B102,'B&amp;L'!$A$7:$BK$66,21,0)</f>
        <v>6.35</v>
      </c>
      <c r="H102" s="248">
        <f>VLOOKUP(B102,'B&amp;L'!$A$7:$BK$66,26,0)</f>
        <v>6.35</v>
      </c>
      <c r="I102" s="248">
        <f>VLOOKUP(B102,'B&amp;L'!$A$7:$BK$66,31,0)</f>
        <v>6.25</v>
      </c>
      <c r="J102" s="248">
        <f>VLOOKUP(B102,'B&amp;L'!$A$7:$BK$66,36,0)</f>
        <v>6.22</v>
      </c>
      <c r="K102" s="248">
        <f>VLOOKUP(B102,'B&amp;L'!$A$7:$BK$66,41,0)</f>
        <v>6.22</v>
      </c>
      <c r="L102" s="248">
        <f>VLOOKUP(B102,'B&amp;L'!$A$7:$BK$66,46,0)</f>
        <v>6.22</v>
      </c>
      <c r="M102" s="248">
        <f>VLOOKUP(B102,'B&amp;L'!$A$7:$BK$66,51,0)</f>
        <v>6.22</v>
      </c>
      <c r="N102" s="248">
        <f>VLOOKUP(B102,'B&amp;L'!$A$7:$BK$66,56,0)</f>
        <v>6.22</v>
      </c>
      <c r="O102" s="248">
        <f>VLOOKUP(B102,'B&amp;L'!$A$7:$BK$66,61,0)</f>
        <v>6.22</v>
      </c>
    </row>
    <row r="103" spans="1:15">
      <c r="A103" s="340">
        <v>49</v>
      </c>
      <c r="B103" s="165" t="s">
        <v>138</v>
      </c>
      <c r="C103" s="157" t="s">
        <v>160</v>
      </c>
      <c r="D103" s="249">
        <f>VLOOKUP(B104,'B&amp;L'!$A$7:$BK$66,5,0)</f>
        <v>132.54</v>
      </c>
      <c r="E103" s="249">
        <f>VLOOKUP(B104,'B&amp;L'!$A$7:$BK$66,10,0)</f>
        <v>131.82</v>
      </c>
      <c r="F103" s="249">
        <f>VLOOKUP(B104,'B&amp;L'!$A$7:$BK$66,15,0)</f>
        <v>131.86000000000001</v>
      </c>
      <c r="G103" s="249">
        <f>VLOOKUP(B104,'B&amp;L'!$A$7:$BK$66,20,0)</f>
        <v>131.72</v>
      </c>
      <c r="H103" s="249">
        <f>VLOOKUP(B104,'B&amp;L'!$A$7:$BK$66,25,0)</f>
        <v>131.66999999999999</v>
      </c>
      <c r="I103" s="249">
        <f>VLOOKUP(B104,'B&amp;L'!$A$7:$BK$66,30,0)</f>
        <v>129.63999999999999</v>
      </c>
      <c r="J103" s="249">
        <f>VLOOKUP(B104,'B&amp;L'!$A$7:$BK$66,35,0)</f>
        <v>129.05000000000001</v>
      </c>
      <c r="K103" s="249">
        <f>VLOOKUP(B104,'B&amp;L'!$A$7:$BK$66,40,0)</f>
        <v>129.03</v>
      </c>
      <c r="L103" s="249">
        <f>VLOOKUP(B104,'B&amp;L'!$A$7:$BK$66,45,0)</f>
        <v>129.04</v>
      </c>
      <c r="M103" s="249">
        <f>VLOOKUP(B104,'B&amp;L'!$A$7:$BK$66,50,0)</f>
        <v>128.99</v>
      </c>
      <c r="N103" s="249">
        <f>VLOOKUP(B104,'B&amp;L'!$A$7:$BK$66,55,0)</f>
        <v>128.91999999999999</v>
      </c>
      <c r="O103" s="249">
        <f>VLOOKUP(B104,'B&amp;L'!$A$7:$BK$66,60,0)</f>
        <v>129</v>
      </c>
    </row>
    <row r="104" spans="1:15">
      <c r="A104" s="341"/>
      <c r="B104" s="166">
        <v>1412000021</v>
      </c>
      <c r="C104" s="159" t="s">
        <v>161</v>
      </c>
      <c r="D104" s="248">
        <f>VLOOKUP(B104,'B&amp;L'!$A$7:$BK$66,6,0)</f>
        <v>8.9499999999999993</v>
      </c>
      <c r="E104" s="248">
        <f>VLOOKUP(B104,'B&amp;L'!$A$7:$BK$66,11,0)</f>
        <v>8.9</v>
      </c>
      <c r="F104" s="248">
        <f>VLOOKUP(B104,'B&amp;L'!$A$7:$BK$66,16,0)</f>
        <v>8.9</v>
      </c>
      <c r="G104" s="248">
        <f>VLOOKUP(B104,'B&amp;L'!$A$7:$BK$66,21,0)</f>
        <v>8.89</v>
      </c>
      <c r="H104" s="248">
        <f>VLOOKUP(B104,'B&amp;L'!$A$7:$BK$66,26,0)</f>
        <v>8.89</v>
      </c>
      <c r="I104" s="248">
        <f>VLOOKUP(B104,'B&amp;L'!$A$7:$BK$66,31,0)</f>
        <v>8.75</v>
      </c>
      <c r="J104" s="248">
        <f>VLOOKUP(B104,'B&amp;L'!$A$7:$BK$66,36,0)</f>
        <v>8.7100000000000009</v>
      </c>
      <c r="K104" s="248">
        <f>VLOOKUP(B104,'B&amp;L'!$A$7:$BK$66,41,0)</f>
        <v>8.7100000000000009</v>
      </c>
      <c r="L104" s="248">
        <f>VLOOKUP(B104,'B&amp;L'!$A$7:$BK$66,46,0)</f>
        <v>8.7100000000000009</v>
      </c>
      <c r="M104" s="248">
        <f>VLOOKUP(B104,'B&amp;L'!$A$7:$BK$66,51,0)</f>
        <v>8.7100000000000009</v>
      </c>
      <c r="N104" s="248">
        <f>VLOOKUP(B104,'B&amp;L'!$A$7:$BK$66,56,0)</f>
        <v>8.6999999999999993</v>
      </c>
      <c r="O104" s="248">
        <f>VLOOKUP(B104,'B&amp;L'!$A$7:$BK$66,61,0)</f>
        <v>8.7100000000000009</v>
      </c>
    </row>
    <row r="105" spans="1:15">
      <c r="A105" s="340">
        <v>50</v>
      </c>
      <c r="B105" s="165" t="s">
        <v>152</v>
      </c>
      <c r="C105" s="157" t="s">
        <v>160</v>
      </c>
      <c r="D105" s="249">
        <f>VLOOKUP(B106,'B&amp;L'!$A$7:$BK$66,5,0)</f>
        <v>151.47</v>
      </c>
      <c r="E105" s="249">
        <f>VLOOKUP(B106,'B&amp;L'!$A$7:$BK$66,10,0)</f>
        <v>150.65</v>
      </c>
      <c r="F105" s="249">
        <f>VLOOKUP(B106,'B&amp;L'!$A$7:$BK$66,15,0)</f>
        <v>150.69</v>
      </c>
      <c r="G105" s="249">
        <f>VLOOKUP(B106,'B&amp;L'!$A$7:$BK$66,20,0)</f>
        <v>150.54</v>
      </c>
      <c r="H105" s="249">
        <f>VLOOKUP(B106,'B&amp;L'!$A$7:$BK$66,25,0)</f>
        <v>150.49</v>
      </c>
      <c r="I105" s="249">
        <f>VLOOKUP(B106,'B&amp;L'!$A$7:$BK$66,30,0)</f>
        <v>148.16</v>
      </c>
      <c r="J105" s="249">
        <f>VLOOKUP(B106,'B&amp;L'!$A$7:$BK$66,35,0)</f>
        <v>147.49</v>
      </c>
      <c r="K105" s="249">
        <f>VLOOKUP(B106,'B&amp;L'!$A$7:$BK$66,40,0)</f>
        <v>147.47</v>
      </c>
      <c r="L105" s="249">
        <f>VLOOKUP(B106,'B&amp;L'!$A$7:$BK$66,45,0)</f>
        <v>147.47999999999999</v>
      </c>
      <c r="M105" s="249">
        <f>VLOOKUP(B106,'B&amp;L'!$A$7:$BK$66,50,0)</f>
        <v>147.41999999999999</v>
      </c>
      <c r="N105" s="249">
        <f>VLOOKUP(B106,'B&amp;L'!$A$7:$BK$66,55,0)</f>
        <v>147.34</v>
      </c>
      <c r="O105" s="249">
        <f>VLOOKUP(B106,'B&amp;L'!$A$7:$BK$66,60,0)</f>
        <v>147.43</v>
      </c>
    </row>
    <row r="106" spans="1:15">
      <c r="A106" s="341"/>
      <c r="B106" s="166">
        <v>1412000070</v>
      </c>
      <c r="C106" s="159" t="s">
        <v>161</v>
      </c>
      <c r="D106" s="248">
        <f>VLOOKUP(B106,'B&amp;L'!$A$7:$BK$66,6,0)</f>
        <v>10.220000000000001</v>
      </c>
      <c r="E106" s="248">
        <f>VLOOKUP(B106,'B&amp;L'!$A$7:$BK$66,11,0)</f>
        <v>10.17</v>
      </c>
      <c r="F106" s="248">
        <f>VLOOKUP(B106,'B&amp;L'!$A$7:$BK$66,16,0)</f>
        <v>10.17</v>
      </c>
      <c r="G106" s="248">
        <f>VLOOKUP(B106,'B&amp;L'!$A$7:$BK$66,21,0)</f>
        <v>10.16</v>
      </c>
      <c r="H106" s="248">
        <f>VLOOKUP(B106,'B&amp;L'!$A$7:$BK$66,26,0)</f>
        <v>10.16</v>
      </c>
      <c r="I106" s="248">
        <f>VLOOKUP(B106,'B&amp;L'!$A$7:$BK$66,31,0)</f>
        <v>10</v>
      </c>
      <c r="J106" s="248">
        <f>VLOOKUP(B106,'B&amp;L'!$A$7:$BK$66,36,0)</f>
        <v>9.9499999999999993</v>
      </c>
      <c r="K106" s="248">
        <f>VLOOKUP(B106,'B&amp;L'!$A$7:$BK$66,41,0)</f>
        <v>9.9499999999999993</v>
      </c>
      <c r="L106" s="248">
        <f>VLOOKUP(B106,'B&amp;L'!$A$7:$BK$66,46,0)</f>
        <v>9.9499999999999993</v>
      </c>
      <c r="M106" s="248">
        <f>VLOOKUP(B106,'B&amp;L'!$A$7:$BK$66,51,0)</f>
        <v>9.9499999999999993</v>
      </c>
      <c r="N106" s="248">
        <f>VLOOKUP(B106,'B&amp;L'!$A$7:$BK$66,56,0)</f>
        <v>9.94</v>
      </c>
      <c r="O106" s="248">
        <f>VLOOKUP(B106,'B&amp;L'!$A$7:$BK$66,61,0)</f>
        <v>9.9499999999999993</v>
      </c>
    </row>
    <row r="107" spans="1:15">
      <c r="A107" s="340">
        <v>51</v>
      </c>
      <c r="B107" s="165" t="s">
        <v>139</v>
      </c>
      <c r="C107" s="157" t="s">
        <v>160</v>
      </c>
      <c r="D107" s="249">
        <f>VLOOKUP(B108,'B&amp;L'!$A$7:$BK$66,5,0)</f>
        <v>113.61</v>
      </c>
      <c r="E107" s="249">
        <f>VLOOKUP(B108,'B&amp;L'!$A$7:$BK$66,10,0)</f>
        <v>112.99</v>
      </c>
      <c r="F107" s="249">
        <f>VLOOKUP(B108,'B&amp;L'!$A$7:$BK$66,15,0)</f>
        <v>113.02</v>
      </c>
      <c r="G107" s="249">
        <f>VLOOKUP(B108,'B&amp;L'!$A$7:$BK$66,20,0)</f>
        <v>112.9</v>
      </c>
      <c r="H107" s="249">
        <f>VLOOKUP(B108,'B&amp;L'!$A$7:$BK$66,25,0)</f>
        <v>112.86</v>
      </c>
      <c r="I107" s="249">
        <f>VLOOKUP(B108,'B&amp;L'!$A$7:$BK$66,30,0)</f>
        <v>111.12</v>
      </c>
      <c r="J107" s="249">
        <f>VLOOKUP(B108,'B&amp;L'!$A$7:$BK$66,35,0)</f>
        <v>110.62</v>
      </c>
      <c r="K107" s="249">
        <f>VLOOKUP(B108,'B&amp;L'!$A$7:$BK$66,40,0)</f>
        <v>110.6</v>
      </c>
      <c r="L107" s="249">
        <f>VLOOKUP(B108,'B&amp;L'!$A$7:$BK$66,45,0)</f>
        <v>110.61</v>
      </c>
      <c r="M107" s="249">
        <f>VLOOKUP(B108,'B&amp;L'!$A$7:$BK$66,50,0)</f>
        <v>110.57</v>
      </c>
      <c r="N107" s="249">
        <f>VLOOKUP(B108,'B&amp;L'!$A$7:$BK$66,55,0)</f>
        <v>110.5</v>
      </c>
      <c r="O107" s="249">
        <f>VLOOKUP(B108,'B&amp;L'!$A$7:$BK$66,60,0)</f>
        <v>110.57</v>
      </c>
    </row>
    <row r="108" spans="1:15">
      <c r="A108" s="341"/>
      <c r="B108" s="166">
        <v>1412000022</v>
      </c>
      <c r="C108" s="159" t="s">
        <v>161</v>
      </c>
      <c r="D108" s="248">
        <f>VLOOKUP(B108,'B&amp;L'!$A$7:$BK$66,6,0)</f>
        <v>7.67</v>
      </c>
      <c r="E108" s="248">
        <f>VLOOKUP(B108,'B&amp;L'!$A$7:$BK$66,11,0)</f>
        <v>7.63</v>
      </c>
      <c r="F108" s="248">
        <f>VLOOKUP(B108,'B&amp;L'!$A$7:$BK$66,16,0)</f>
        <v>7.63</v>
      </c>
      <c r="G108" s="248">
        <f>VLOOKUP(B108,'B&amp;L'!$A$7:$BK$66,21,0)</f>
        <v>7.62</v>
      </c>
      <c r="H108" s="248">
        <f>VLOOKUP(B108,'B&amp;L'!$A$7:$BK$66,26,0)</f>
        <v>7.62</v>
      </c>
      <c r="I108" s="248">
        <f>VLOOKUP(B108,'B&amp;L'!$A$7:$BK$66,31,0)</f>
        <v>7.5</v>
      </c>
      <c r="J108" s="248">
        <f>VLOOKUP(B108,'B&amp;L'!$A$7:$BK$66,36,0)</f>
        <v>7.47</v>
      </c>
      <c r="K108" s="248">
        <f>VLOOKUP(B108,'B&amp;L'!$A$7:$BK$66,41,0)</f>
        <v>7.46</v>
      </c>
      <c r="L108" s="248">
        <f>VLOOKUP(B108,'B&amp;L'!$A$7:$BK$66,46,0)</f>
        <v>7.47</v>
      </c>
      <c r="M108" s="248">
        <f>VLOOKUP(B108,'B&amp;L'!$A$7:$BK$66,51,0)</f>
        <v>7.46</v>
      </c>
      <c r="N108" s="248">
        <f>VLOOKUP(B108,'B&amp;L'!$A$7:$BK$66,56,0)</f>
        <v>7.46</v>
      </c>
      <c r="O108" s="248">
        <f>VLOOKUP(B108,'B&amp;L'!$A$7:$BK$66,61,0)</f>
        <v>7.46</v>
      </c>
    </row>
    <row r="109" spans="1:15">
      <c r="A109" s="340">
        <v>52</v>
      </c>
      <c r="B109" s="165" t="s">
        <v>140</v>
      </c>
      <c r="C109" s="157" t="s">
        <v>160</v>
      </c>
      <c r="D109" s="249">
        <f>VLOOKUP(B110,'B&amp;L'!$A$7:$BK$66,5,0)</f>
        <v>18247.45</v>
      </c>
      <c r="E109" s="249">
        <f>VLOOKUP(B110,'B&amp;L'!$A$7:$BK$66,10,0)</f>
        <v>18264.53</v>
      </c>
      <c r="F109" s="249">
        <f>VLOOKUP(B110,'B&amp;L'!$A$7:$BK$66,15,0)</f>
        <v>18264.63</v>
      </c>
      <c r="G109" s="249">
        <f>VLOOKUP(B110,'B&amp;L'!$A$7:$BK$66,20,0)</f>
        <v>18264.27</v>
      </c>
      <c r="H109" s="249">
        <f>VLOOKUP(B110,'B&amp;L'!$A$7:$BK$66,25,0)</f>
        <v>18264.16</v>
      </c>
      <c r="I109" s="249">
        <f>VLOOKUP(B110,'B&amp;L'!$A$7:$BK$66,30,0)</f>
        <v>18258.93</v>
      </c>
      <c r="J109" s="249">
        <f>VLOOKUP(B110,'B&amp;L'!$A$7:$BK$66,35,0)</f>
        <v>18257.419999999998</v>
      </c>
      <c r="K109" s="249">
        <f>VLOOKUP(B110,'B&amp;L'!$A$7:$BK$66,40,0)</f>
        <v>18257.36</v>
      </c>
      <c r="L109" s="249">
        <f>VLOOKUP(B110,'B&amp;L'!$A$7:$BK$66,45,0)</f>
        <v>18257.39</v>
      </c>
      <c r="M109" s="249">
        <f>VLOOKUP(B110,'B&amp;L'!$A$7:$BK$66,50,0)</f>
        <v>18257.27</v>
      </c>
      <c r="N109" s="249">
        <f>VLOOKUP(B110,'B&amp;L'!$A$7:$BK$66,55,0)</f>
        <v>18257.07</v>
      </c>
      <c r="O109" s="249">
        <f>VLOOKUP(B110,'B&amp;L'!$A$7:$BK$66,60,0)</f>
        <v>18257.27</v>
      </c>
    </row>
    <row r="110" spans="1:15">
      <c r="A110" s="341"/>
      <c r="B110" s="166">
        <v>1412000024</v>
      </c>
      <c r="C110" s="159" t="s">
        <v>161</v>
      </c>
      <c r="D110" s="248">
        <f>VLOOKUP(B110,'B&amp;L'!$A$7:$BK$66,6,0)</f>
        <v>1231.6300000000001</v>
      </c>
      <c r="E110" s="248">
        <f>VLOOKUP(B110,'B&amp;L'!$A$7:$BK$66,11,0)</f>
        <v>1232.78</v>
      </c>
      <c r="F110" s="248">
        <f>VLOOKUP(B110,'B&amp;L'!$A$7:$BK$66,16,0)</f>
        <v>1232.79</v>
      </c>
      <c r="G110" s="248">
        <f>VLOOKUP(B110,'B&amp;L'!$A$7:$BK$66,21,0)</f>
        <v>1232.77</v>
      </c>
      <c r="H110" s="248">
        <f>VLOOKUP(B110,'B&amp;L'!$A$7:$BK$66,26,0)</f>
        <v>1232.76</v>
      </c>
      <c r="I110" s="248">
        <f>VLOOKUP(B110,'B&amp;L'!$A$7:$BK$66,31,0)</f>
        <v>1232.4100000000001</v>
      </c>
      <c r="J110" s="248">
        <f>VLOOKUP(B110,'B&amp;L'!$A$7:$BK$66,36,0)</f>
        <v>1232.3</v>
      </c>
      <c r="K110" s="248">
        <f>VLOOKUP(B110,'B&amp;L'!$A$7:$BK$66,41,0)</f>
        <v>1232.3</v>
      </c>
      <c r="L110" s="248">
        <f>VLOOKUP(B110,'B&amp;L'!$A$7:$BK$66,46,0)</f>
        <v>1232.3</v>
      </c>
      <c r="M110" s="248">
        <f>VLOOKUP(B110,'B&amp;L'!$A$7:$BK$66,51,0)</f>
        <v>1232.29</v>
      </c>
      <c r="N110" s="248">
        <f>VLOOKUP(B110,'B&amp;L'!$A$7:$BK$66,56,0)</f>
        <v>1232.28</v>
      </c>
      <c r="O110" s="248">
        <f>VLOOKUP(B110,'B&amp;L'!$A$7:$BK$66,61,0)</f>
        <v>1232.29</v>
      </c>
    </row>
    <row r="111" spans="1:15">
      <c r="A111" s="340">
        <v>53</v>
      </c>
      <c r="B111" s="165" t="s">
        <v>5</v>
      </c>
      <c r="C111" s="157" t="s">
        <v>160</v>
      </c>
      <c r="D111" s="249">
        <f>VLOOKUP(B112,'B&amp;L'!$A$7:$BK$66,5,0)</f>
        <v>1142.18</v>
      </c>
      <c r="E111" s="249">
        <f>VLOOKUP(B112,'B&amp;L'!$A$7:$BK$66,10,0)</f>
        <v>1121.5</v>
      </c>
      <c r="F111" s="249">
        <f>VLOOKUP(B112,'B&amp;L'!$A$7:$BK$66,15,0)</f>
        <v>1121.5899999999999</v>
      </c>
      <c r="G111" s="249">
        <f>VLOOKUP(B112,'B&amp;L'!$A$7:$BK$66,20,0)</f>
        <v>1121.26</v>
      </c>
      <c r="H111" s="249">
        <f>VLOOKUP(B112,'B&amp;L'!$A$7:$BK$66,25,0)</f>
        <v>1121.1500000000001</v>
      </c>
      <c r="I111" s="249">
        <f>VLOOKUP(B112,'B&amp;L'!$A$7:$BK$66,30,0)</f>
        <v>1116.21</v>
      </c>
      <c r="J111" s="249">
        <f>VLOOKUP(B112,'B&amp;L'!$A$7:$BK$66,35,0)</f>
        <v>1114.78</v>
      </c>
      <c r="K111" s="249">
        <f>VLOOKUP(B112,'B&amp;L'!$A$7:$BK$66,40,0)</f>
        <v>1114.73</v>
      </c>
      <c r="L111" s="249">
        <f>VLOOKUP(B112,'B&amp;L'!$A$7:$BK$66,45,0)</f>
        <v>1114.76</v>
      </c>
      <c r="M111" s="249">
        <f>VLOOKUP(B112,'B&amp;L'!$A$7:$BK$66,50,0)</f>
        <v>1114.6400000000001</v>
      </c>
      <c r="N111" s="249">
        <f>VLOOKUP(B112,'B&amp;L'!$A$7:$BK$66,55,0)</f>
        <v>1114.46</v>
      </c>
      <c r="O111" s="249">
        <f>VLOOKUP(B112,'B&amp;L'!$A$7:$BK$66,60,0)</f>
        <v>1114.6500000000001</v>
      </c>
    </row>
    <row r="112" spans="1:15">
      <c r="A112" s="341"/>
      <c r="B112" s="166">
        <v>1412000025</v>
      </c>
      <c r="C112" s="159" t="s">
        <v>161</v>
      </c>
      <c r="D112" s="248">
        <f>VLOOKUP(B112,'B&amp;L'!$A$7:$BK$66,6,0)</f>
        <v>77.09</v>
      </c>
      <c r="E112" s="248">
        <f>VLOOKUP(B112,'B&amp;L'!$A$7:$BK$66,11,0)</f>
        <v>75.7</v>
      </c>
      <c r="F112" s="248">
        <f>VLOOKUP(B112,'B&amp;L'!$A$7:$BK$66,16,0)</f>
        <v>75.7</v>
      </c>
      <c r="G112" s="248">
        <f>VLOOKUP(B112,'B&amp;L'!$A$7:$BK$66,21,0)</f>
        <v>75.680000000000007</v>
      </c>
      <c r="H112" s="248">
        <f>VLOOKUP(B112,'B&amp;L'!$A$7:$BK$66,26,0)</f>
        <v>75.67</v>
      </c>
      <c r="I112" s="248">
        <f>VLOOKUP(B112,'B&amp;L'!$A$7:$BK$66,31,0)</f>
        <v>75.34</v>
      </c>
      <c r="J112" s="248">
        <f>VLOOKUP(B112,'B&amp;L'!$A$7:$BK$66,36,0)</f>
        <v>75.239999999999995</v>
      </c>
      <c r="K112" s="248">
        <f>VLOOKUP(B112,'B&amp;L'!$A$7:$BK$66,41,0)</f>
        <v>75.239999999999995</v>
      </c>
      <c r="L112" s="248">
        <f>VLOOKUP(B112,'B&amp;L'!$A$7:$BK$66,46,0)</f>
        <v>75.239999999999995</v>
      </c>
      <c r="M112" s="248">
        <f>VLOOKUP(B112,'B&amp;L'!$A$7:$BK$66,51,0)</f>
        <v>75.23</v>
      </c>
      <c r="N112" s="248">
        <f>VLOOKUP(B112,'B&amp;L'!$A$7:$BK$66,56,0)</f>
        <v>75.22</v>
      </c>
      <c r="O112" s="248">
        <f>VLOOKUP(B112,'B&amp;L'!$A$7:$BK$66,61,0)</f>
        <v>75.23</v>
      </c>
    </row>
    <row r="113" spans="1:15">
      <c r="A113" s="340">
        <v>54</v>
      </c>
      <c r="B113" s="165" t="s">
        <v>117</v>
      </c>
      <c r="C113" s="157" t="s">
        <v>160</v>
      </c>
      <c r="D113" s="249">
        <f>VLOOKUP(B114,'B&amp;L'!$A$7:$BK$66,5,0)</f>
        <v>454.4</v>
      </c>
      <c r="E113" s="249">
        <f>VLOOKUP(B114,'B&amp;L'!$A$7:$BK$66,10,0)</f>
        <v>450.21</v>
      </c>
      <c r="F113" s="249">
        <f>VLOOKUP(B114,'B&amp;L'!$A$7:$BK$66,15,0)</f>
        <v>451.21</v>
      </c>
      <c r="G113" s="249">
        <f>VLOOKUP(B114,'B&amp;L'!$A$7:$BK$66,20,0)</f>
        <v>431.01</v>
      </c>
      <c r="H113" s="249">
        <f>VLOOKUP(B114,'B&amp;L'!$A$7:$BK$66,25,0)</f>
        <v>422.3</v>
      </c>
      <c r="I113" s="249">
        <f>VLOOKUP(B114,'B&amp;L'!$A$7:$BK$66,30,0)</f>
        <v>397.92</v>
      </c>
      <c r="J113" s="249">
        <f>VLOOKUP(B114,'B&amp;L'!$A$7:$BK$66,35,0)</f>
        <v>375.34</v>
      </c>
      <c r="K113" s="249">
        <f>VLOOKUP(B114,'B&amp;L'!$A$7:$BK$66,40,0)</f>
        <v>374.89</v>
      </c>
      <c r="L113" s="249">
        <f>VLOOKUP(B114,'B&amp;L'!$A$7:$BK$66,45,0)</f>
        <v>375.52</v>
      </c>
      <c r="M113" s="249">
        <f>VLOOKUP(B114,'B&amp;L'!$A$7:$BK$66,50,0)</f>
        <v>371.31</v>
      </c>
      <c r="N113" s="249">
        <f>VLOOKUP(B114,'B&amp;L'!$A$7:$BK$66,55,0)</f>
        <v>357.77</v>
      </c>
      <c r="O113" s="249">
        <f>VLOOKUP(B114,'B&amp;L'!$A$7:$BK$66,60,0)</f>
        <v>368.49</v>
      </c>
    </row>
    <row r="114" spans="1:15">
      <c r="A114" s="341"/>
      <c r="B114" s="166">
        <v>1412000091</v>
      </c>
      <c r="C114" s="159" t="s">
        <v>161</v>
      </c>
      <c r="D114" s="248">
        <f>VLOOKUP(B114,'B&amp;L'!$A$7:$BK$66,6,0)</f>
        <v>30.67</v>
      </c>
      <c r="E114" s="248">
        <f>VLOOKUP(B114,'B&amp;L'!$A$7:$BK$66,11,0)</f>
        <v>30.39</v>
      </c>
      <c r="F114" s="248">
        <f>VLOOKUP(B114,'B&amp;L'!$A$7:$BK$66,16,0)</f>
        <v>30.45</v>
      </c>
      <c r="G114" s="248">
        <f>VLOOKUP(B114,'B&amp;L'!$A$7:$BK$66,21,0)</f>
        <v>29.09</v>
      </c>
      <c r="H114" s="248">
        <f>VLOOKUP(B114,'B&amp;L'!$A$7:$BK$66,26,0)</f>
        <v>28.5</v>
      </c>
      <c r="I114" s="248">
        <f>VLOOKUP(B114,'B&amp;L'!$A$7:$BK$66,31,0)</f>
        <v>26.86</v>
      </c>
      <c r="J114" s="248">
        <f>VLOOKUP(B114,'B&amp;L'!$A$7:$BK$66,36,0)</f>
        <v>25.33</v>
      </c>
      <c r="K114" s="248">
        <f>VLOOKUP(B114,'B&amp;L'!$A$7:$BK$66,41,0)</f>
        <v>25.3</v>
      </c>
      <c r="L114" s="248">
        <f>VLOOKUP(B114,'B&amp;L'!$A$7:$BK$66,46,0)</f>
        <v>25.35</v>
      </c>
      <c r="M114" s="248">
        <f>VLOOKUP(B114,'B&amp;L'!$A$7:$BK$66,51,0)</f>
        <v>25.06</v>
      </c>
      <c r="N114" s="248">
        <f>VLOOKUP(B114,'B&amp;L'!$A$7:$BK$66,56,0)</f>
        <v>24.15</v>
      </c>
      <c r="O114" s="248">
        <f>VLOOKUP(B114,'B&amp;L'!$A$7:$BK$66,61,0)</f>
        <v>24.87</v>
      </c>
    </row>
    <row r="115" spans="1:15">
      <c r="A115" s="340">
        <v>55</v>
      </c>
      <c r="B115" s="165" t="s">
        <v>154</v>
      </c>
      <c r="C115" s="157" t="s">
        <v>160</v>
      </c>
      <c r="D115" s="249">
        <f>VLOOKUP(B116,'B&amp;L'!$A$7:$BK$66,5,0)</f>
        <v>113.61</v>
      </c>
      <c r="E115" s="249">
        <f>VLOOKUP(B116,'B&amp;L'!$A$7:$BK$66,10,0)</f>
        <v>131.82</v>
      </c>
      <c r="F115" s="249">
        <f>VLOOKUP(B116,'B&amp;L'!$A$7:$BK$66,15,0)</f>
        <v>131.86000000000001</v>
      </c>
      <c r="G115" s="249">
        <f>VLOOKUP(B116,'B&amp;L'!$A$7:$BK$66,20,0)</f>
        <v>131.72</v>
      </c>
      <c r="H115" s="249">
        <f>VLOOKUP(B116,'B&amp;L'!$A$7:$BK$66,25,0)</f>
        <v>131.66999999999999</v>
      </c>
      <c r="I115" s="249">
        <f>VLOOKUP(B116,'B&amp;L'!$A$7:$BK$66,30,0)</f>
        <v>129.63999999999999</v>
      </c>
      <c r="J115" s="249">
        <f>VLOOKUP(B116,'B&amp;L'!$A$7:$BK$66,35,0)</f>
        <v>129.05000000000001</v>
      </c>
      <c r="K115" s="249">
        <f>VLOOKUP(B116,'B&amp;L'!$A$7:$BK$66,40,0)</f>
        <v>129.03</v>
      </c>
      <c r="L115" s="249">
        <f>VLOOKUP(B116,'B&amp;L'!$A$7:$BK$66,45,0)</f>
        <v>129.04</v>
      </c>
      <c r="M115" s="249">
        <f>VLOOKUP(B116,'B&amp;L'!$A$7:$BK$66,50,0)</f>
        <v>128.99</v>
      </c>
      <c r="N115" s="249">
        <f>VLOOKUP(B116,'B&amp;L'!$A$7:$BK$66,55,0)</f>
        <v>128.91999999999999</v>
      </c>
      <c r="O115" s="249">
        <f>VLOOKUP(B116,'B&amp;L'!$A$7:$BK$66,60,0)</f>
        <v>129</v>
      </c>
    </row>
    <row r="116" spans="1:15">
      <c r="A116" s="341"/>
      <c r="B116" s="166">
        <v>1412000093</v>
      </c>
      <c r="C116" s="159" t="s">
        <v>161</v>
      </c>
      <c r="D116" s="248">
        <f>VLOOKUP(B116,'B&amp;L'!$A$7:$BK$66,6,0)</f>
        <v>7.67</v>
      </c>
      <c r="E116" s="248">
        <f>VLOOKUP(B116,'B&amp;L'!$A$7:$BK$66,11,0)</f>
        <v>8.9</v>
      </c>
      <c r="F116" s="248">
        <f>VLOOKUP(B116,'B&amp;L'!$A$7:$BK$66,16,0)</f>
        <v>8.9</v>
      </c>
      <c r="G116" s="248">
        <f>VLOOKUP(B116,'B&amp;L'!$A$7:$BK$66,21,0)</f>
        <v>8.89</v>
      </c>
      <c r="H116" s="248">
        <f>VLOOKUP(B116,'B&amp;L'!$A$7:$BK$66,26,0)</f>
        <v>8.89</v>
      </c>
      <c r="I116" s="248">
        <f>VLOOKUP(B116,'B&amp;L'!$A$7:$BK$66,31,0)</f>
        <v>8.75</v>
      </c>
      <c r="J116" s="248">
        <f>VLOOKUP(B116,'B&amp;L'!$A$7:$BK$66,36,0)</f>
        <v>8.7100000000000009</v>
      </c>
      <c r="K116" s="248">
        <f>VLOOKUP(B116,'B&amp;L'!$A$7:$BK$66,41,0)</f>
        <v>8.7100000000000009</v>
      </c>
      <c r="L116" s="248">
        <f>VLOOKUP(B116,'B&amp;L'!$A$7:$BK$66,46,0)</f>
        <v>8.7100000000000009</v>
      </c>
      <c r="M116" s="248">
        <f>VLOOKUP(B116,'B&amp;L'!$A$7:$BK$66,51,0)</f>
        <v>8.7100000000000009</v>
      </c>
      <c r="N116" s="248">
        <f>VLOOKUP(B116,'B&amp;L'!$A$7:$BK$66,56,0)</f>
        <v>8.6999999999999993</v>
      </c>
      <c r="O116" s="248">
        <f>VLOOKUP(B116,'B&amp;L'!$A$7:$BK$66,61,0)</f>
        <v>8.7100000000000009</v>
      </c>
    </row>
    <row r="117" spans="1:15">
      <c r="A117" s="342">
        <v>56</v>
      </c>
      <c r="B117" s="181" t="s">
        <v>6</v>
      </c>
      <c r="C117" s="182" t="s">
        <v>160</v>
      </c>
      <c r="D117" s="269">
        <f>VLOOKUP(B118,'B&amp;L'!$A$7:$BK$66,5,0)</f>
        <v>52969.26999999999</v>
      </c>
      <c r="E117" s="269">
        <f>VLOOKUP(B118,'B&amp;L'!$A$7:$BK$66,10,0)</f>
        <v>52966.81</v>
      </c>
      <c r="F117" s="269">
        <f>VLOOKUP(B118,'B&amp;L'!$A$7:$BK$66,15,0)</f>
        <v>52968.03</v>
      </c>
      <c r="G117" s="269">
        <f>VLOOKUP(B118,'B&amp;L'!$A$7:$BK$66,20,0)</f>
        <v>52967.74</v>
      </c>
      <c r="H117" s="269">
        <f>VLOOKUP(B118,'B&amp;L'!$A$7:$BK$66,25,0)</f>
        <v>52967.640000000007</v>
      </c>
      <c r="I117" s="269">
        <f>VLOOKUP(B118,'B&amp;L'!$A$7:$BK$66,30,0)</f>
        <v>52963.58</v>
      </c>
      <c r="J117" s="269">
        <f>VLOOKUP(B118,'B&amp;L'!$A$7:$BK$66,35,0)</f>
        <v>52964.030000000006</v>
      </c>
      <c r="K117" s="269">
        <f>VLOOKUP(B118,'B&amp;L'!$A$7:$BK$66,40,0)</f>
        <v>52963.97</v>
      </c>
      <c r="L117" s="269">
        <f>VLOOKUP(B118,'B&amp;L'!$A$7:$BK$66,45,0)</f>
        <v>52964.04</v>
      </c>
      <c r="M117" s="269">
        <f>VLOOKUP(B118,'B&amp;L'!$A$7:$BK$66,50,0)</f>
        <v>52963.94</v>
      </c>
      <c r="N117" s="269">
        <f>VLOOKUP(B118,'B&amp;L'!$A$7:$BK$66,55,0)</f>
        <v>52963.77</v>
      </c>
      <c r="O117" s="269">
        <f>VLOOKUP(B118,'B&amp;L'!$A$7:$BK$66,60,0)</f>
        <v>52963.94</v>
      </c>
    </row>
    <row r="118" spans="1:15">
      <c r="A118" s="343"/>
      <c r="B118" s="183">
        <v>1412000026</v>
      </c>
      <c r="C118" s="184" t="s">
        <v>161</v>
      </c>
      <c r="D118" s="270">
        <f>VLOOKUP(B118,'B&amp;L'!$A$7:$BK$66,6,0)</f>
        <v>3575.1699999999996</v>
      </c>
      <c r="E118" s="270">
        <f>VLOOKUP(B118,'B&amp;L'!$A$7:$BK$66,11,0)</f>
        <v>3575.01</v>
      </c>
      <c r="F118" s="270">
        <f>VLOOKUP(B118,'B&amp;L'!$A$7:$BK$66,16,0)</f>
        <v>3575.14</v>
      </c>
      <c r="G118" s="270">
        <f>VLOOKUP(B118,'B&amp;L'!$A$7:$BK$66,21,0)</f>
        <v>3575.14</v>
      </c>
      <c r="H118" s="270">
        <f>VLOOKUP(B118,'B&amp;L'!$A$7:$BK$66,26,0)</f>
        <v>3575.08</v>
      </c>
      <c r="I118" s="270">
        <f>VLOOKUP(B118,'B&amp;L'!$A$7:$BK$66,31,0)</f>
        <v>3574.84</v>
      </c>
      <c r="J118" s="270">
        <f>VLOOKUP(B118,'B&amp;L'!$A$7:$BK$66,36,0)</f>
        <v>3574.89</v>
      </c>
      <c r="K118" s="270">
        <f>VLOOKUP(B118,'B&amp;L'!$A$7:$BK$66,41,0)</f>
        <v>3574.86</v>
      </c>
      <c r="L118" s="270">
        <f>VLOOKUP(B118,'B&amp;L'!$A$7:$BK$66,46,0)</f>
        <v>3574.8700000000003</v>
      </c>
      <c r="M118" s="270">
        <f>VLOOKUP(B118,'B&amp;L'!$A$7:$BK$66,51,0)</f>
        <v>3574.86</v>
      </c>
      <c r="N118" s="270">
        <f>VLOOKUP(B118,'B&amp;L'!$A$7:$BK$66,56,0)</f>
        <v>3574.86</v>
      </c>
      <c r="O118" s="270">
        <f>VLOOKUP(B118,'B&amp;L'!$A$7:$BK$66,61,0)</f>
        <v>3574.86</v>
      </c>
    </row>
    <row r="119" spans="1:15">
      <c r="A119" s="340">
        <v>57</v>
      </c>
      <c r="B119" s="165" t="s">
        <v>7</v>
      </c>
      <c r="C119" s="157" t="s">
        <v>160</v>
      </c>
      <c r="D119" s="249">
        <f>VLOOKUP(B120,'B&amp;L'!$A$7:$BK$66,5,0)</f>
        <v>275.12</v>
      </c>
      <c r="E119" s="249">
        <f>VLOOKUP(B120,'B&amp;L'!$A$7:$BK$66,10,0)</f>
        <v>273.88</v>
      </c>
      <c r="F119" s="249">
        <f>VLOOKUP(B120,'B&amp;L'!$A$7:$BK$66,15,0)</f>
        <v>273.95</v>
      </c>
      <c r="G119" s="249">
        <f>VLOOKUP(B120,'B&amp;L'!$A$7:$BK$66,20,0)</f>
        <v>273.70999999999998</v>
      </c>
      <c r="H119" s="249">
        <f>VLOOKUP(B120,'B&amp;L'!$A$7:$BK$66,25,0)</f>
        <v>273.63</v>
      </c>
      <c r="I119" s="249">
        <f>VLOOKUP(B120,'B&amp;L'!$A$7:$BK$66,30,0)</f>
        <v>270.14999999999998</v>
      </c>
      <c r="J119" s="249">
        <f>VLOOKUP(B120,'B&amp;L'!$A$7:$BK$66,35,0)</f>
        <v>269.14</v>
      </c>
      <c r="K119" s="249">
        <f>VLOOKUP(B120,'B&amp;L'!$A$7:$BK$66,40,0)</f>
        <v>269.10000000000002</v>
      </c>
      <c r="L119" s="249">
        <f>VLOOKUP(B120,'B&amp;L'!$A$7:$BK$66,45,0)</f>
        <v>269.12</v>
      </c>
      <c r="M119" s="249">
        <f>VLOOKUP(B120,'B&amp;L'!$A$7:$BK$66,50,0)</f>
        <v>269.04000000000002</v>
      </c>
      <c r="N119" s="249">
        <f>VLOOKUP(B120,'B&amp;L'!$A$7:$BK$66,55,0)</f>
        <v>268.91000000000003</v>
      </c>
      <c r="O119" s="249">
        <f>VLOOKUP(B120,'B&amp;L'!$A$7:$BK$66,60,0)</f>
        <v>269.05</v>
      </c>
    </row>
    <row r="120" spans="1:15">
      <c r="A120" s="341"/>
      <c r="B120" s="166">
        <v>1412000028</v>
      </c>
      <c r="C120" s="159" t="s">
        <v>161</v>
      </c>
      <c r="D120" s="248">
        <f>VLOOKUP(B120,'B&amp;L'!$A$7:$BK$66,6,0)</f>
        <v>18.57</v>
      </c>
      <c r="E120" s="248">
        <f>VLOOKUP(B120,'B&amp;L'!$A$7:$BK$66,11,0)</f>
        <v>18.489999999999998</v>
      </c>
      <c r="F120" s="248">
        <f>VLOOKUP(B120,'B&amp;L'!$A$7:$BK$66,16,0)</f>
        <v>18.489999999999998</v>
      </c>
      <c r="G120" s="248">
        <f>VLOOKUP(B120,'B&amp;L'!$A$7:$BK$66,21,0)</f>
        <v>18.47</v>
      </c>
      <c r="H120" s="248">
        <f>VLOOKUP(B120,'B&amp;L'!$A$7:$BK$66,26,0)</f>
        <v>18.47</v>
      </c>
      <c r="I120" s="248">
        <f>VLOOKUP(B120,'B&amp;L'!$A$7:$BK$66,31,0)</f>
        <v>18.23</v>
      </c>
      <c r="J120" s="248">
        <f>VLOOKUP(B120,'B&amp;L'!$A$7:$BK$66,36,0)</f>
        <v>18.170000000000002</v>
      </c>
      <c r="K120" s="248">
        <f>VLOOKUP(B120,'B&amp;L'!$A$7:$BK$66,41,0)</f>
        <v>18.16</v>
      </c>
      <c r="L120" s="248">
        <f>VLOOKUP(B120,'B&amp;L'!$A$7:$BK$66,46,0)</f>
        <v>18.16</v>
      </c>
      <c r="M120" s="248">
        <f>VLOOKUP(B120,'B&amp;L'!$A$7:$BK$66,51,0)</f>
        <v>18.16</v>
      </c>
      <c r="N120" s="248">
        <f>VLOOKUP(B120,'B&amp;L'!$A$7:$BK$66,56,0)</f>
        <v>18.149999999999999</v>
      </c>
      <c r="O120" s="248">
        <f>VLOOKUP(B120,'B&amp;L'!$A$7:$BK$66,61,0)</f>
        <v>18.16</v>
      </c>
    </row>
    <row r="121" spans="1:15">
      <c r="A121" s="340">
        <v>58</v>
      </c>
      <c r="B121" s="165" t="s">
        <v>8</v>
      </c>
      <c r="C121" s="157" t="s">
        <v>160</v>
      </c>
      <c r="D121" s="249">
        <f>VLOOKUP(B122,'B&amp;L'!$A$7:$BK$66,5,0)</f>
        <v>289.70999999999998</v>
      </c>
      <c r="E121" s="249">
        <f>VLOOKUP(B122,'B&amp;L'!$A$7:$BK$66,10,0)</f>
        <v>289</v>
      </c>
      <c r="F121" s="249">
        <f>VLOOKUP(B122,'B&amp;L'!$A$7:$BK$66,15,0)</f>
        <v>289.05</v>
      </c>
      <c r="G121" s="249">
        <f>VLOOKUP(B122,'B&amp;L'!$A$7:$BK$66,20,0)</f>
        <v>288.87</v>
      </c>
      <c r="H121" s="249">
        <f>VLOOKUP(B122,'B&amp;L'!$A$7:$BK$66,25,0)</f>
        <v>288.81</v>
      </c>
      <c r="I121" s="249">
        <f>VLOOKUP(B122,'B&amp;L'!$A$7:$BK$66,30,0)</f>
        <v>286.76</v>
      </c>
      <c r="J121" s="249">
        <f>VLOOKUP(B122,'B&amp;L'!$A$7:$BK$66,35,0)</f>
        <v>286.14999999999998</v>
      </c>
      <c r="K121" s="249">
        <f>VLOOKUP(B122,'B&amp;L'!$A$7:$BK$66,40,0)</f>
        <v>286.13</v>
      </c>
      <c r="L121" s="249">
        <f>VLOOKUP(B122,'B&amp;L'!$A$7:$BK$66,45,0)</f>
        <v>286.14</v>
      </c>
      <c r="M121" s="249">
        <f>VLOOKUP(B122,'B&amp;L'!$A$7:$BK$66,50,0)</f>
        <v>286.08</v>
      </c>
      <c r="N121" s="249">
        <f>VLOOKUP(B122,'B&amp;L'!$A$7:$BK$66,55,0)</f>
        <v>285.98</v>
      </c>
      <c r="O121" s="249">
        <f>VLOOKUP(B122,'B&amp;L'!$A$7:$BK$66,60,0)</f>
        <v>286.08</v>
      </c>
    </row>
    <row r="122" spans="1:15">
      <c r="A122" s="341"/>
      <c r="B122" s="166">
        <v>1412000029</v>
      </c>
      <c r="C122" s="159" t="s">
        <v>161</v>
      </c>
      <c r="D122" s="248">
        <f>VLOOKUP(B122,'B&amp;L'!$A$7:$BK$66,6,0)</f>
        <v>19.55</v>
      </c>
      <c r="E122" s="248">
        <f>VLOOKUP(B122,'B&amp;L'!$A$7:$BK$66,11,0)</f>
        <v>19.510000000000002</v>
      </c>
      <c r="F122" s="248">
        <f>VLOOKUP(B122,'B&amp;L'!$A$7:$BK$66,16,0)</f>
        <v>19.510000000000002</v>
      </c>
      <c r="G122" s="248">
        <f>VLOOKUP(B122,'B&amp;L'!$A$7:$BK$66,21,0)</f>
        <v>19.5</v>
      </c>
      <c r="H122" s="248">
        <f>VLOOKUP(B122,'B&amp;L'!$A$7:$BK$66,26,0)</f>
        <v>19.489999999999998</v>
      </c>
      <c r="I122" s="248">
        <f>VLOOKUP(B122,'B&amp;L'!$A$7:$BK$66,31,0)</f>
        <v>19.36</v>
      </c>
      <c r="J122" s="248">
        <f>VLOOKUP(B122,'B&amp;L'!$A$7:$BK$66,36,0)</f>
        <v>19.309999999999999</v>
      </c>
      <c r="K122" s="248">
        <f>VLOOKUP(B122,'B&amp;L'!$A$7:$BK$66,41,0)</f>
        <v>19.309999999999999</v>
      </c>
      <c r="L122" s="248">
        <f>VLOOKUP(B122,'B&amp;L'!$A$7:$BK$66,46,0)</f>
        <v>19.309999999999999</v>
      </c>
      <c r="M122" s="248">
        <f>VLOOKUP(B122,'B&amp;L'!$A$7:$BK$66,51,0)</f>
        <v>19.309999999999999</v>
      </c>
      <c r="N122" s="248">
        <f>VLOOKUP(B122,'B&amp;L'!$A$7:$BK$66,56,0)</f>
        <v>19.3</v>
      </c>
      <c r="O122" s="248">
        <f>VLOOKUP(B122,'B&amp;L'!$A$7:$BK$66,61,0)</f>
        <v>19.309999999999999</v>
      </c>
    </row>
    <row r="123" spans="1:15">
      <c r="A123" s="340">
        <v>59</v>
      </c>
      <c r="B123" s="185" t="s">
        <v>141</v>
      </c>
      <c r="C123" s="186" t="s">
        <v>160</v>
      </c>
      <c r="D123" s="249">
        <f>VLOOKUP(B124,'B&amp;L'!$A$7:$BK$66,5,0)</f>
        <v>404.91</v>
      </c>
      <c r="E123" s="249">
        <f>VLOOKUP(B124,'B&amp;L'!$A$7:$BK$66,10,0)</f>
        <v>403.05</v>
      </c>
      <c r="F123" s="249">
        <f>VLOOKUP(B124,'B&amp;L'!$A$7:$BK$66,15,0)</f>
        <v>403.15</v>
      </c>
      <c r="G123" s="249">
        <f>VLOOKUP(B124,'B&amp;L'!$A$7:$BK$66,20,0)</f>
        <v>402.8</v>
      </c>
      <c r="H123" s="249">
        <f>VLOOKUP(B124,'B&amp;L'!$A$7:$BK$66,25,0)</f>
        <v>402.68</v>
      </c>
      <c r="I123" s="249">
        <f>VLOOKUP(B124,'B&amp;L'!$A$7:$BK$66,30,0)</f>
        <v>397.46</v>
      </c>
      <c r="J123" s="249">
        <f>VLOOKUP(B124,'B&amp;L'!$A$7:$BK$66,35,0)</f>
        <v>395.94</v>
      </c>
      <c r="K123" s="249">
        <f>VLOOKUP(B124,'B&amp;L'!$A$7:$BK$66,40,0)</f>
        <v>395.89</v>
      </c>
      <c r="L123" s="249">
        <f>VLOOKUP(B124,'B&amp;L'!$A$7:$BK$66,45,0)</f>
        <v>395.92</v>
      </c>
      <c r="M123" s="249">
        <f>VLOOKUP(B124,'B&amp;L'!$A$7:$BK$66,50,0)</f>
        <v>395.79</v>
      </c>
      <c r="N123" s="249">
        <f>VLOOKUP(B124,'B&amp;L'!$A$7:$BK$66,55,0)</f>
        <v>395.6</v>
      </c>
      <c r="O123" s="249">
        <f>VLOOKUP(B124,'B&amp;L'!$A$7:$BK$66,60,0)</f>
        <v>395.8</v>
      </c>
    </row>
    <row r="124" spans="1:15">
      <c r="A124" s="341"/>
      <c r="B124" s="158">
        <v>1412000030</v>
      </c>
      <c r="C124" s="187" t="s">
        <v>161</v>
      </c>
      <c r="D124" s="248">
        <f>VLOOKUP(B124,'B&amp;L'!$A$7:$BK$66,6,0)</f>
        <v>27.33</v>
      </c>
      <c r="E124" s="248">
        <f>VLOOKUP(B124,'B&amp;L'!$A$7:$BK$66,11,0)</f>
        <v>27.2</v>
      </c>
      <c r="F124" s="248">
        <f>VLOOKUP(B124,'B&amp;L'!$A$7:$BK$66,16,0)</f>
        <v>27.21</v>
      </c>
      <c r="G124" s="248">
        <f>VLOOKUP(B124,'B&amp;L'!$A$7:$BK$66,21,0)</f>
        <v>27.19</v>
      </c>
      <c r="H124" s="248">
        <f>VLOOKUP(B124,'B&amp;L'!$A$7:$BK$66,26,0)</f>
        <v>27.18</v>
      </c>
      <c r="I124" s="248">
        <f>VLOOKUP(B124,'B&amp;L'!$A$7:$BK$66,31,0)</f>
        <v>26.83</v>
      </c>
      <c r="J124" s="248">
        <f>VLOOKUP(B124,'B&amp;L'!$A$7:$BK$66,36,0)</f>
        <v>26.72</v>
      </c>
      <c r="K124" s="248">
        <f>VLOOKUP(B124,'B&amp;L'!$A$7:$BK$66,41,0)</f>
        <v>26.72</v>
      </c>
      <c r="L124" s="248">
        <f>VLOOKUP(B124,'B&amp;L'!$A$7:$BK$66,46,0)</f>
        <v>26.72</v>
      </c>
      <c r="M124" s="248">
        <f>VLOOKUP(B124,'B&amp;L'!$A$7:$BK$66,51,0)</f>
        <v>26.71</v>
      </c>
      <c r="N124" s="248">
        <f>VLOOKUP(B124,'B&amp;L'!$A$7:$BK$66,56,0)</f>
        <v>26.7</v>
      </c>
      <c r="O124" s="248">
        <f>VLOOKUP(B124,'B&amp;L'!$A$7:$BK$66,61,0)</f>
        <v>26.71</v>
      </c>
    </row>
    <row r="125" spans="1:15">
      <c r="A125" s="340">
        <v>60</v>
      </c>
      <c r="B125" s="165" t="s">
        <v>10</v>
      </c>
      <c r="C125" s="157" t="s">
        <v>160</v>
      </c>
      <c r="D125" s="249">
        <f>VLOOKUP(B126,'B&amp;L'!$A$7:$BK$66,5,0)</f>
        <v>506.88</v>
      </c>
      <c r="E125" s="249">
        <f>VLOOKUP(B126,'B&amp;L'!$A$7:$BK$66,10,0)</f>
        <v>505.44</v>
      </c>
      <c r="F125" s="249">
        <f>VLOOKUP(B126,'B&amp;L'!$A$7:$BK$66,15,0)</f>
        <v>505.52</v>
      </c>
      <c r="G125" s="249">
        <f>VLOOKUP(B126,'B&amp;L'!$A$7:$BK$66,20,0)</f>
        <v>505.24</v>
      </c>
      <c r="H125" s="249">
        <f>VLOOKUP(B126,'B&amp;L'!$A$7:$BK$66,25,0)</f>
        <v>505.15</v>
      </c>
      <c r="I125" s="249">
        <f>VLOOKUP(B126,'B&amp;L'!$A$7:$BK$66,30,0)</f>
        <v>519.61</v>
      </c>
      <c r="J125" s="249">
        <f>VLOOKUP(B126,'B&amp;L'!$A$7:$BK$66,35,0)</f>
        <v>518.35</v>
      </c>
      <c r="K125" s="249">
        <f>VLOOKUP(B126,'B&amp;L'!$A$7:$BK$66,40,0)</f>
        <v>518.29999999999995</v>
      </c>
      <c r="L125" s="249">
        <f>VLOOKUP(B126,'B&amp;L'!$A$7:$BK$66,45,0)</f>
        <v>518.33000000000004</v>
      </c>
      <c r="M125" s="249">
        <f>VLOOKUP(B126,'B&amp;L'!$A$7:$BK$66,50,0)</f>
        <v>518.22</v>
      </c>
      <c r="N125" s="249">
        <f>VLOOKUP(B126,'B&amp;L'!$A$7:$BK$66,55,0)</f>
        <v>518.05999999999995</v>
      </c>
      <c r="O125" s="249">
        <f>VLOOKUP(B126,'B&amp;L'!$A$7:$BK$66,60,0)</f>
        <v>518.23</v>
      </c>
    </row>
    <row r="126" spans="1:15">
      <c r="A126" s="341"/>
      <c r="B126" s="188">
        <v>1412000086</v>
      </c>
      <c r="C126" s="159" t="s">
        <v>161</v>
      </c>
      <c r="D126" s="248">
        <f>VLOOKUP(B126,'B&amp;L'!$A$7:$BK$66,6,0)</f>
        <v>34.21</v>
      </c>
      <c r="E126" s="248">
        <f>VLOOKUP(B126,'B&amp;L'!$A$7:$BK$66,11,0)</f>
        <v>34.119999999999997</v>
      </c>
      <c r="F126" s="248">
        <f>VLOOKUP(B126,'B&amp;L'!$A$7:$BK$66,16,0)</f>
        <v>34.119999999999997</v>
      </c>
      <c r="G126" s="248">
        <f>VLOOKUP(B126,'B&amp;L'!$A$7:$BK$66,21,0)</f>
        <v>34.1</v>
      </c>
      <c r="H126" s="248">
        <f>VLOOKUP(B126,'B&amp;L'!$A$7:$BK$66,26,0)</f>
        <v>34.1</v>
      </c>
      <c r="I126" s="248">
        <f>VLOOKUP(B126,'B&amp;L'!$A$7:$BK$66,31,0)</f>
        <v>35.07</v>
      </c>
      <c r="J126" s="248">
        <f>VLOOKUP(B126,'B&amp;L'!$A$7:$BK$66,36,0)</f>
        <v>34.99</v>
      </c>
      <c r="K126" s="248">
        <f>VLOOKUP(B126,'B&amp;L'!$A$7:$BK$66,41,0)</f>
        <v>34.979999999999997</v>
      </c>
      <c r="L126" s="248">
        <f>VLOOKUP(B126,'B&amp;L'!$A$7:$BK$66,46,0)</f>
        <v>34.99</v>
      </c>
      <c r="M126" s="248">
        <f>VLOOKUP(B126,'B&amp;L'!$A$7:$BK$66,51,0)</f>
        <v>34.979999999999997</v>
      </c>
      <c r="N126" s="248">
        <f>VLOOKUP(B126,'B&amp;L'!$A$7:$BK$66,56,0)</f>
        <v>34.97</v>
      </c>
      <c r="O126" s="248">
        <f>VLOOKUP(B126,'B&amp;L'!$A$7:$BK$66,61,0)</f>
        <v>34.979999999999997</v>
      </c>
    </row>
    <row r="127" spans="1:15">
      <c r="A127" s="336" t="s">
        <v>170</v>
      </c>
      <c r="B127" s="337"/>
      <c r="C127" s="157" t="s">
        <v>160</v>
      </c>
      <c r="D127" s="249">
        <f>D7+D11+D13+D15+D17+D19+D21+D23+D25+D27+D29+D31+D33+D35+D37+D39+D41+D45+D47+D49+D51+D53+D55+D63+D65+D67+D69+D71+D73+D75+D77+D79+D81+D87+D91+D95+D97+D99+D101+D103+D105+D107+D109+D111+D119+D121+D123+D125+D59+D57+D113+D115+D117+D43+D9+D93+D83+D89+D85+D61</f>
        <v>324649.57999999996</v>
      </c>
      <c r="E127" s="249">
        <f t="shared" ref="E127:O127" si="11">E7+E11+E13+E15+E17+E19+E21+E23+E25+E27+E29+E31+E33+E35+E37+E39+E41+E45+E47+E49+E51+E53+E55+E63+E65+E67+E69+E71+E73+E75+E77+E79+E81+E87+E91+E95+E97+E99+E101+E103+E105+E107+E109+E111+E119+E121+E123+E125+E59+E57+E113+E115+E117+E43+E9+E93+E83+E89+E85+E61</f>
        <v>324649.58000000007</v>
      </c>
      <c r="F127" s="249">
        <f t="shared" si="11"/>
        <v>324649.58</v>
      </c>
      <c r="G127" s="249">
        <f t="shared" si="11"/>
        <v>324649.57999999996</v>
      </c>
      <c r="H127" s="249">
        <f t="shared" si="11"/>
        <v>324649.57999999984</v>
      </c>
      <c r="I127" s="249">
        <f t="shared" si="11"/>
        <v>324649.58000000007</v>
      </c>
      <c r="J127" s="249">
        <f t="shared" si="11"/>
        <v>324649.57999999996</v>
      </c>
      <c r="K127" s="249">
        <f t="shared" si="11"/>
        <v>324649.58</v>
      </c>
      <c r="L127" s="249">
        <f t="shared" si="11"/>
        <v>324649.5799999999</v>
      </c>
      <c r="M127" s="249">
        <f t="shared" si="11"/>
        <v>324649.57999999996</v>
      </c>
      <c r="N127" s="249">
        <f t="shared" si="11"/>
        <v>324649.57999999996</v>
      </c>
      <c r="O127" s="249">
        <f t="shared" si="11"/>
        <v>324649.58</v>
      </c>
    </row>
    <row r="128" spans="1:15">
      <c r="A128" s="338"/>
      <c r="B128" s="339"/>
      <c r="C128" s="159" t="s">
        <v>161</v>
      </c>
      <c r="D128" s="250">
        <f>D8+D12+D14+D16+D18+D20+D22+D24+D26+D28+D30+D32+D34+D36+D38+D40+D42+D46+D48+D50+D52+D54+D56+D64+D66+D68+D70+D72+D74+D76+D78+D80+D82+D88+D92+D96+D98+D100+D102+D104+D106+D108+D110+D112+D120+D122+D124+D126+D60+D58+D114+D116+D118+D44+D10+D94+D84+D90+D86+D62</f>
        <v>21912.559999999998</v>
      </c>
      <c r="E128" s="250">
        <f t="shared" ref="E128:O128" si="12">E8+E12+E14+E16+E18+E20+E22+E24+E26+E28+E30+E32+E34+E36+E38+E40+E42+E46+E48+E50+E52+E54+E56+E64+E66+E68+E70+E72+E74+E76+E78+E80+E82+E88+E92+E96+E98+E100+E102+E104+E106+E108+E110+E112+E120+E122+E124+E126+E60+E58+E114+E116+E118+E44+E10+E94+E84+E90+E86+E62</f>
        <v>21912.559999999994</v>
      </c>
      <c r="F128" s="250">
        <f t="shared" si="12"/>
        <v>21912.559999999994</v>
      </c>
      <c r="G128" s="250">
        <f t="shared" si="12"/>
        <v>21912.559999999994</v>
      </c>
      <c r="H128" s="250">
        <f t="shared" si="12"/>
        <v>21912.559999999994</v>
      </c>
      <c r="I128" s="250">
        <f t="shared" si="12"/>
        <v>21912.560000000001</v>
      </c>
      <c r="J128" s="250">
        <f t="shared" si="12"/>
        <v>21912.560000000005</v>
      </c>
      <c r="K128" s="250">
        <f t="shared" si="12"/>
        <v>21912.560000000001</v>
      </c>
      <c r="L128" s="250">
        <f t="shared" si="12"/>
        <v>21912.560000000005</v>
      </c>
      <c r="M128" s="250">
        <f t="shared" si="12"/>
        <v>21912.559999999998</v>
      </c>
      <c r="N128" s="250">
        <f t="shared" si="12"/>
        <v>21912.560000000012</v>
      </c>
      <c r="O128" s="250">
        <f t="shared" si="12"/>
        <v>21912.560000000005</v>
      </c>
    </row>
    <row r="129" spans="4:15">
      <c r="D129" s="150">
        <f>D127-'B&amp;L'!E5</f>
        <v>0</v>
      </c>
      <c r="E129" s="150">
        <f>E127-'B&amp;L'!J5</f>
        <v>0</v>
      </c>
      <c r="F129" s="150">
        <f>F127-'B&amp;L'!O5</f>
        <v>0</v>
      </c>
      <c r="G129" s="150">
        <f>G127-'B&amp;L'!T5</f>
        <v>0</v>
      </c>
      <c r="H129" s="150">
        <f>H127-'B&amp;L'!Y5</f>
        <v>0</v>
      </c>
      <c r="I129" s="150">
        <f>I127-'B&amp;L'!AD5</f>
        <v>0</v>
      </c>
      <c r="J129" s="150">
        <f>J127-'B&amp;L'!AI5</f>
        <v>0</v>
      </c>
      <c r="K129" s="150">
        <f>K127-'B&amp;L'!AN5</f>
        <v>0</v>
      </c>
      <c r="L129" s="150">
        <f>L127-'B&amp;L'!AS5</f>
        <v>0</v>
      </c>
      <c r="M129" s="150">
        <f>M127-'B&amp;L'!AX5</f>
        <v>0</v>
      </c>
      <c r="N129" s="150">
        <f>N127-'B&amp;L'!BC5</f>
        <v>0</v>
      </c>
      <c r="O129" s="150">
        <f>O127-'B&amp;L'!BH5</f>
        <v>0</v>
      </c>
    </row>
    <row r="130" spans="4:15">
      <c r="D130" s="150">
        <f>D128-'B&amp;L'!F5</f>
        <v>0</v>
      </c>
      <c r="E130" s="150">
        <f>E128-'B&amp;L'!K5</f>
        <v>0</v>
      </c>
      <c r="F130" s="150">
        <f>F128-'B&amp;L'!P5</f>
        <v>0</v>
      </c>
      <c r="G130" s="150">
        <f>G128-'B&amp;L'!U5</f>
        <v>0</v>
      </c>
      <c r="H130" s="150">
        <f>H128-'B&amp;L'!Z5</f>
        <v>0</v>
      </c>
      <c r="I130" s="150">
        <f>I128-'B&amp;L'!AE5</f>
        <v>0</v>
      </c>
      <c r="J130" s="150">
        <f>J128-'B&amp;L'!AJ5</f>
        <v>0</v>
      </c>
      <c r="K130" s="150">
        <f>K128-'B&amp;L'!AO5</f>
        <v>0</v>
      </c>
      <c r="L130" s="150">
        <f>L128-'B&amp;L'!AT5</f>
        <v>0</v>
      </c>
      <c r="M130" s="150">
        <f>M128-'B&amp;L'!AY5</f>
        <v>0</v>
      </c>
      <c r="N130" s="150">
        <f>N128-'B&amp;L'!BD5</f>
        <v>0</v>
      </c>
      <c r="O130" s="150">
        <f>O128-'B&amp;L'!BI5</f>
        <v>0</v>
      </c>
    </row>
  </sheetData>
  <autoFilter ref="B2:B130" xr:uid="{BC1ADDFD-BD17-49AA-855F-2F2FE3E31EE1}"/>
  <mergeCells count="63">
    <mergeCell ref="A25:A26"/>
    <mergeCell ref="A3:B3"/>
    <mergeCell ref="A4:B5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49:A50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75:A76"/>
    <mergeCell ref="A51:A52"/>
    <mergeCell ref="A53:A54"/>
    <mergeCell ref="A55:A56"/>
    <mergeCell ref="A57:A58"/>
    <mergeCell ref="A59:A60"/>
    <mergeCell ref="A63:A64"/>
    <mergeCell ref="A65:A66"/>
    <mergeCell ref="A67:A68"/>
    <mergeCell ref="A69:A70"/>
    <mergeCell ref="A71:A72"/>
    <mergeCell ref="A73:A74"/>
    <mergeCell ref="A61:A62"/>
    <mergeCell ref="A103:A104"/>
    <mergeCell ref="A77:A78"/>
    <mergeCell ref="A79:A80"/>
    <mergeCell ref="A81:A82"/>
    <mergeCell ref="A83:A84"/>
    <mergeCell ref="A87:A88"/>
    <mergeCell ref="A91:A92"/>
    <mergeCell ref="A93:A94"/>
    <mergeCell ref="A95:A96"/>
    <mergeCell ref="A97:A98"/>
    <mergeCell ref="A99:A100"/>
    <mergeCell ref="A101:A102"/>
    <mergeCell ref="A85:A86"/>
    <mergeCell ref="A89:A90"/>
    <mergeCell ref="A127:B128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</mergeCells>
  <pageMargins left="0.15748031496062992" right="0.15748031496062992" top="0.19685039370078741" bottom="0.19685039370078741" header="0.51181102362204722" footer="0.51181102362204722"/>
  <pageSetup paperSize="9" scale="57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6D45D-2F5C-48FA-A7D7-CAB92A5ECE5B}">
  <sheetPr codeName="Sheet2">
    <pageSetUpPr fitToPage="1"/>
  </sheetPr>
  <dimension ref="A2:O130"/>
  <sheetViews>
    <sheetView zoomScaleNormal="100" workbookViewId="0">
      <pane xSplit="2" ySplit="3" topLeftCell="C4" activePane="bottomRight" state="frozen"/>
      <selection pane="topRight" activeCell="C1" sqref="C1"/>
      <selection pane="bottomLeft" activeCell="A7" sqref="A7"/>
      <selection pane="bottomRight" activeCell="B1" sqref="B1"/>
    </sheetView>
  </sheetViews>
  <sheetFormatPr defaultColWidth="9" defaultRowHeight="14"/>
  <cols>
    <col min="1" max="1" width="4.08984375" style="73" customWidth="1"/>
    <col min="2" max="2" width="23" style="73" bestFit="1" customWidth="1"/>
    <col min="3" max="3" width="19.453125" style="73" bestFit="1" customWidth="1"/>
    <col min="4" max="15" width="19.08984375" style="73" customWidth="1"/>
    <col min="16" max="256" width="9" style="73"/>
    <col min="257" max="257" width="4.08984375" style="73" customWidth="1"/>
    <col min="258" max="258" width="23" style="73" bestFit="1" customWidth="1"/>
    <col min="259" max="259" width="19.453125" style="73" bestFit="1" customWidth="1"/>
    <col min="260" max="264" width="19.08984375" style="73" customWidth="1"/>
    <col min="265" max="265" width="14.453125" style="73" customWidth="1"/>
    <col min="266" max="512" width="9" style="73"/>
    <col min="513" max="513" width="4.08984375" style="73" customWidth="1"/>
    <col min="514" max="514" width="23" style="73" bestFit="1" customWidth="1"/>
    <col min="515" max="515" width="19.453125" style="73" bestFit="1" customWidth="1"/>
    <col min="516" max="520" width="19.08984375" style="73" customWidth="1"/>
    <col min="521" max="521" width="14.453125" style="73" customWidth="1"/>
    <col min="522" max="768" width="9" style="73"/>
    <col min="769" max="769" width="4.08984375" style="73" customWidth="1"/>
    <col min="770" max="770" width="23" style="73" bestFit="1" customWidth="1"/>
    <col min="771" max="771" width="19.453125" style="73" bestFit="1" customWidth="1"/>
    <col min="772" max="776" width="19.08984375" style="73" customWidth="1"/>
    <col min="777" max="777" width="14.453125" style="73" customWidth="1"/>
    <col min="778" max="1024" width="9" style="73"/>
    <col min="1025" max="1025" width="4.08984375" style="73" customWidth="1"/>
    <col min="1026" max="1026" width="23" style="73" bestFit="1" customWidth="1"/>
    <col min="1027" max="1027" width="19.453125" style="73" bestFit="1" customWidth="1"/>
    <col min="1028" max="1032" width="19.08984375" style="73" customWidth="1"/>
    <col min="1033" max="1033" width="14.453125" style="73" customWidth="1"/>
    <col min="1034" max="1280" width="9" style="73"/>
    <col min="1281" max="1281" width="4.08984375" style="73" customWidth="1"/>
    <col min="1282" max="1282" width="23" style="73" bestFit="1" customWidth="1"/>
    <col min="1283" max="1283" width="19.453125" style="73" bestFit="1" customWidth="1"/>
    <col min="1284" max="1288" width="19.08984375" style="73" customWidth="1"/>
    <col min="1289" max="1289" width="14.453125" style="73" customWidth="1"/>
    <col min="1290" max="1536" width="9" style="73"/>
    <col min="1537" max="1537" width="4.08984375" style="73" customWidth="1"/>
    <col min="1538" max="1538" width="23" style="73" bestFit="1" customWidth="1"/>
    <col min="1539" max="1539" width="19.453125" style="73" bestFit="1" customWidth="1"/>
    <col min="1540" max="1544" width="19.08984375" style="73" customWidth="1"/>
    <col min="1545" max="1545" width="14.453125" style="73" customWidth="1"/>
    <col min="1546" max="1792" width="9" style="73"/>
    <col min="1793" max="1793" width="4.08984375" style="73" customWidth="1"/>
    <col min="1794" max="1794" width="23" style="73" bestFit="1" customWidth="1"/>
    <col min="1795" max="1795" width="19.453125" style="73" bestFit="1" customWidth="1"/>
    <col min="1796" max="1800" width="19.08984375" style="73" customWidth="1"/>
    <col min="1801" max="1801" width="14.453125" style="73" customWidth="1"/>
    <col min="1802" max="2048" width="9" style="73"/>
    <col min="2049" max="2049" width="4.08984375" style="73" customWidth="1"/>
    <col min="2050" max="2050" width="23" style="73" bestFit="1" customWidth="1"/>
    <col min="2051" max="2051" width="19.453125" style="73" bestFit="1" customWidth="1"/>
    <col min="2052" max="2056" width="19.08984375" style="73" customWidth="1"/>
    <col min="2057" max="2057" width="14.453125" style="73" customWidth="1"/>
    <col min="2058" max="2304" width="9" style="73"/>
    <col min="2305" max="2305" width="4.08984375" style="73" customWidth="1"/>
    <col min="2306" max="2306" width="23" style="73" bestFit="1" customWidth="1"/>
    <col min="2307" max="2307" width="19.453125" style="73" bestFit="1" customWidth="1"/>
    <col min="2308" max="2312" width="19.08984375" style="73" customWidth="1"/>
    <col min="2313" max="2313" width="14.453125" style="73" customWidth="1"/>
    <col min="2314" max="2560" width="9" style="73"/>
    <col min="2561" max="2561" width="4.08984375" style="73" customWidth="1"/>
    <col min="2562" max="2562" width="23" style="73" bestFit="1" customWidth="1"/>
    <col min="2563" max="2563" width="19.453125" style="73" bestFit="1" customWidth="1"/>
    <col min="2564" max="2568" width="19.08984375" style="73" customWidth="1"/>
    <col min="2569" max="2569" width="14.453125" style="73" customWidth="1"/>
    <col min="2570" max="2816" width="9" style="73"/>
    <col min="2817" max="2817" width="4.08984375" style="73" customWidth="1"/>
    <col min="2818" max="2818" width="23" style="73" bestFit="1" customWidth="1"/>
    <col min="2819" max="2819" width="19.453125" style="73" bestFit="1" customWidth="1"/>
    <col min="2820" max="2824" width="19.08984375" style="73" customWidth="1"/>
    <col min="2825" max="2825" width="14.453125" style="73" customWidth="1"/>
    <col min="2826" max="3072" width="9" style="73"/>
    <col min="3073" max="3073" width="4.08984375" style="73" customWidth="1"/>
    <col min="3074" max="3074" width="23" style="73" bestFit="1" customWidth="1"/>
    <col min="3075" max="3075" width="19.453125" style="73" bestFit="1" customWidth="1"/>
    <col min="3076" max="3080" width="19.08984375" style="73" customWidth="1"/>
    <col min="3081" max="3081" width="14.453125" style="73" customWidth="1"/>
    <col min="3082" max="3328" width="9" style="73"/>
    <col min="3329" max="3329" width="4.08984375" style="73" customWidth="1"/>
    <col min="3330" max="3330" width="23" style="73" bestFit="1" customWidth="1"/>
    <col min="3331" max="3331" width="19.453125" style="73" bestFit="1" customWidth="1"/>
    <col min="3332" max="3336" width="19.08984375" style="73" customWidth="1"/>
    <col min="3337" max="3337" width="14.453125" style="73" customWidth="1"/>
    <col min="3338" max="3584" width="9" style="73"/>
    <col min="3585" max="3585" width="4.08984375" style="73" customWidth="1"/>
    <col min="3586" max="3586" width="23" style="73" bestFit="1" customWidth="1"/>
    <col min="3587" max="3587" width="19.453125" style="73" bestFit="1" customWidth="1"/>
    <col min="3588" max="3592" width="19.08984375" style="73" customWidth="1"/>
    <col min="3593" max="3593" width="14.453125" style="73" customWidth="1"/>
    <col min="3594" max="3840" width="9" style="73"/>
    <col min="3841" max="3841" width="4.08984375" style="73" customWidth="1"/>
    <col min="3842" max="3842" width="23" style="73" bestFit="1" customWidth="1"/>
    <col min="3843" max="3843" width="19.453125" style="73" bestFit="1" customWidth="1"/>
    <col min="3844" max="3848" width="19.08984375" style="73" customWidth="1"/>
    <col min="3849" max="3849" width="14.453125" style="73" customWidth="1"/>
    <col min="3850" max="4096" width="9" style="73"/>
    <col min="4097" max="4097" width="4.08984375" style="73" customWidth="1"/>
    <col min="4098" max="4098" width="23" style="73" bestFit="1" customWidth="1"/>
    <col min="4099" max="4099" width="19.453125" style="73" bestFit="1" customWidth="1"/>
    <col min="4100" max="4104" width="19.08984375" style="73" customWidth="1"/>
    <col min="4105" max="4105" width="14.453125" style="73" customWidth="1"/>
    <col min="4106" max="4352" width="9" style="73"/>
    <col min="4353" max="4353" width="4.08984375" style="73" customWidth="1"/>
    <col min="4354" max="4354" width="23" style="73" bestFit="1" customWidth="1"/>
    <col min="4355" max="4355" width="19.453125" style="73" bestFit="1" customWidth="1"/>
    <col min="4356" max="4360" width="19.08984375" style="73" customWidth="1"/>
    <col min="4361" max="4361" width="14.453125" style="73" customWidth="1"/>
    <col min="4362" max="4608" width="9" style="73"/>
    <col min="4609" max="4609" width="4.08984375" style="73" customWidth="1"/>
    <col min="4610" max="4610" width="23" style="73" bestFit="1" customWidth="1"/>
    <col min="4611" max="4611" width="19.453125" style="73" bestFit="1" customWidth="1"/>
    <col min="4612" max="4616" width="19.08984375" style="73" customWidth="1"/>
    <col min="4617" max="4617" width="14.453125" style="73" customWidth="1"/>
    <col min="4618" max="4864" width="9" style="73"/>
    <col min="4865" max="4865" width="4.08984375" style="73" customWidth="1"/>
    <col min="4866" max="4866" width="23" style="73" bestFit="1" customWidth="1"/>
    <col min="4867" max="4867" width="19.453125" style="73" bestFit="1" customWidth="1"/>
    <col min="4868" max="4872" width="19.08984375" style="73" customWidth="1"/>
    <col min="4873" max="4873" width="14.453125" style="73" customWidth="1"/>
    <col min="4874" max="5120" width="9" style="73"/>
    <col min="5121" max="5121" width="4.08984375" style="73" customWidth="1"/>
    <col min="5122" max="5122" width="23" style="73" bestFit="1" customWidth="1"/>
    <col min="5123" max="5123" width="19.453125" style="73" bestFit="1" customWidth="1"/>
    <col min="5124" max="5128" width="19.08984375" style="73" customWidth="1"/>
    <col min="5129" max="5129" width="14.453125" style="73" customWidth="1"/>
    <col min="5130" max="5376" width="9" style="73"/>
    <col min="5377" max="5377" width="4.08984375" style="73" customWidth="1"/>
    <col min="5378" max="5378" width="23" style="73" bestFit="1" customWidth="1"/>
    <col min="5379" max="5379" width="19.453125" style="73" bestFit="1" customWidth="1"/>
    <col min="5380" max="5384" width="19.08984375" style="73" customWidth="1"/>
    <col min="5385" max="5385" width="14.453125" style="73" customWidth="1"/>
    <col min="5386" max="5632" width="9" style="73"/>
    <col min="5633" max="5633" width="4.08984375" style="73" customWidth="1"/>
    <col min="5634" max="5634" width="23" style="73" bestFit="1" customWidth="1"/>
    <col min="5635" max="5635" width="19.453125" style="73" bestFit="1" customWidth="1"/>
    <col min="5636" max="5640" width="19.08984375" style="73" customWidth="1"/>
    <col min="5641" max="5641" width="14.453125" style="73" customWidth="1"/>
    <col min="5642" max="5888" width="9" style="73"/>
    <col min="5889" max="5889" width="4.08984375" style="73" customWidth="1"/>
    <col min="5890" max="5890" width="23" style="73" bestFit="1" customWidth="1"/>
    <col min="5891" max="5891" width="19.453125" style="73" bestFit="1" customWidth="1"/>
    <col min="5892" max="5896" width="19.08984375" style="73" customWidth="1"/>
    <col min="5897" max="5897" width="14.453125" style="73" customWidth="1"/>
    <col min="5898" max="6144" width="9" style="73"/>
    <col min="6145" max="6145" width="4.08984375" style="73" customWidth="1"/>
    <col min="6146" max="6146" width="23" style="73" bestFit="1" customWidth="1"/>
    <col min="6147" max="6147" width="19.453125" style="73" bestFit="1" customWidth="1"/>
    <col min="6148" max="6152" width="19.08984375" style="73" customWidth="1"/>
    <col min="6153" max="6153" width="14.453125" style="73" customWidth="1"/>
    <col min="6154" max="6400" width="9" style="73"/>
    <col min="6401" max="6401" width="4.08984375" style="73" customWidth="1"/>
    <col min="6402" max="6402" width="23" style="73" bestFit="1" customWidth="1"/>
    <col min="6403" max="6403" width="19.453125" style="73" bestFit="1" customWidth="1"/>
    <col min="6404" max="6408" width="19.08984375" style="73" customWidth="1"/>
    <col min="6409" max="6409" width="14.453125" style="73" customWidth="1"/>
    <col min="6410" max="6656" width="9" style="73"/>
    <col min="6657" max="6657" width="4.08984375" style="73" customWidth="1"/>
    <col min="6658" max="6658" width="23" style="73" bestFit="1" customWidth="1"/>
    <col min="6659" max="6659" width="19.453125" style="73" bestFit="1" customWidth="1"/>
    <col min="6660" max="6664" width="19.08984375" style="73" customWidth="1"/>
    <col min="6665" max="6665" width="14.453125" style="73" customWidth="1"/>
    <col min="6666" max="6912" width="9" style="73"/>
    <col min="6913" max="6913" width="4.08984375" style="73" customWidth="1"/>
    <col min="6914" max="6914" width="23" style="73" bestFit="1" customWidth="1"/>
    <col min="6915" max="6915" width="19.453125" style="73" bestFit="1" customWidth="1"/>
    <col min="6916" max="6920" width="19.08984375" style="73" customWidth="1"/>
    <col min="6921" max="6921" width="14.453125" style="73" customWidth="1"/>
    <col min="6922" max="7168" width="9" style="73"/>
    <col min="7169" max="7169" width="4.08984375" style="73" customWidth="1"/>
    <col min="7170" max="7170" width="23" style="73" bestFit="1" customWidth="1"/>
    <col min="7171" max="7171" width="19.453125" style="73" bestFit="1" customWidth="1"/>
    <col min="7172" max="7176" width="19.08984375" style="73" customWidth="1"/>
    <col min="7177" max="7177" width="14.453125" style="73" customWidth="1"/>
    <col min="7178" max="7424" width="9" style="73"/>
    <col min="7425" max="7425" width="4.08984375" style="73" customWidth="1"/>
    <col min="7426" max="7426" width="23" style="73" bestFit="1" customWidth="1"/>
    <col min="7427" max="7427" width="19.453125" style="73" bestFit="1" customWidth="1"/>
    <col min="7428" max="7432" width="19.08984375" style="73" customWidth="1"/>
    <col min="7433" max="7433" width="14.453125" style="73" customWidth="1"/>
    <col min="7434" max="7680" width="9" style="73"/>
    <col min="7681" max="7681" width="4.08984375" style="73" customWidth="1"/>
    <col min="7682" max="7682" width="23" style="73" bestFit="1" customWidth="1"/>
    <col min="7683" max="7683" width="19.453125" style="73" bestFit="1" customWidth="1"/>
    <col min="7684" max="7688" width="19.08984375" style="73" customWidth="1"/>
    <col min="7689" max="7689" width="14.453125" style="73" customWidth="1"/>
    <col min="7690" max="7936" width="9" style="73"/>
    <col min="7937" max="7937" width="4.08984375" style="73" customWidth="1"/>
    <col min="7938" max="7938" width="23" style="73" bestFit="1" customWidth="1"/>
    <col min="7939" max="7939" width="19.453125" style="73" bestFit="1" customWidth="1"/>
    <col min="7940" max="7944" width="19.08984375" style="73" customWidth="1"/>
    <col min="7945" max="7945" width="14.453125" style="73" customWidth="1"/>
    <col min="7946" max="8192" width="9" style="73"/>
    <col min="8193" max="8193" width="4.08984375" style="73" customWidth="1"/>
    <col min="8194" max="8194" width="23" style="73" bestFit="1" customWidth="1"/>
    <col min="8195" max="8195" width="19.453125" style="73" bestFit="1" customWidth="1"/>
    <col min="8196" max="8200" width="19.08984375" style="73" customWidth="1"/>
    <col min="8201" max="8201" width="14.453125" style="73" customWidth="1"/>
    <col min="8202" max="8448" width="9" style="73"/>
    <col min="8449" max="8449" width="4.08984375" style="73" customWidth="1"/>
    <col min="8450" max="8450" width="23" style="73" bestFit="1" customWidth="1"/>
    <col min="8451" max="8451" width="19.453125" style="73" bestFit="1" customWidth="1"/>
    <col min="8452" max="8456" width="19.08984375" style="73" customWidth="1"/>
    <col min="8457" max="8457" width="14.453125" style="73" customWidth="1"/>
    <col min="8458" max="8704" width="9" style="73"/>
    <col min="8705" max="8705" width="4.08984375" style="73" customWidth="1"/>
    <col min="8706" max="8706" width="23" style="73" bestFit="1" customWidth="1"/>
    <col min="8707" max="8707" width="19.453125" style="73" bestFit="1" customWidth="1"/>
    <col min="8708" max="8712" width="19.08984375" style="73" customWidth="1"/>
    <col min="8713" max="8713" width="14.453125" style="73" customWidth="1"/>
    <col min="8714" max="8960" width="9" style="73"/>
    <col min="8961" max="8961" width="4.08984375" style="73" customWidth="1"/>
    <col min="8962" max="8962" width="23" style="73" bestFit="1" customWidth="1"/>
    <col min="8963" max="8963" width="19.453125" style="73" bestFit="1" customWidth="1"/>
    <col min="8964" max="8968" width="19.08984375" style="73" customWidth="1"/>
    <col min="8969" max="8969" width="14.453125" style="73" customWidth="1"/>
    <col min="8970" max="9216" width="9" style="73"/>
    <col min="9217" max="9217" width="4.08984375" style="73" customWidth="1"/>
    <col min="9218" max="9218" width="23" style="73" bestFit="1" customWidth="1"/>
    <col min="9219" max="9219" width="19.453125" style="73" bestFit="1" customWidth="1"/>
    <col min="9220" max="9224" width="19.08984375" style="73" customWidth="1"/>
    <col min="9225" max="9225" width="14.453125" style="73" customWidth="1"/>
    <col min="9226" max="9472" width="9" style="73"/>
    <col min="9473" max="9473" width="4.08984375" style="73" customWidth="1"/>
    <col min="9474" max="9474" width="23" style="73" bestFit="1" customWidth="1"/>
    <col min="9475" max="9475" width="19.453125" style="73" bestFit="1" customWidth="1"/>
    <col min="9476" max="9480" width="19.08984375" style="73" customWidth="1"/>
    <col min="9481" max="9481" width="14.453125" style="73" customWidth="1"/>
    <col min="9482" max="9728" width="9" style="73"/>
    <col min="9729" max="9729" width="4.08984375" style="73" customWidth="1"/>
    <col min="9730" max="9730" width="23" style="73" bestFit="1" customWidth="1"/>
    <col min="9731" max="9731" width="19.453125" style="73" bestFit="1" customWidth="1"/>
    <col min="9732" max="9736" width="19.08984375" style="73" customWidth="1"/>
    <col min="9737" max="9737" width="14.453125" style="73" customWidth="1"/>
    <col min="9738" max="9984" width="9" style="73"/>
    <col min="9985" max="9985" width="4.08984375" style="73" customWidth="1"/>
    <col min="9986" max="9986" width="23" style="73" bestFit="1" customWidth="1"/>
    <col min="9987" max="9987" width="19.453125" style="73" bestFit="1" customWidth="1"/>
    <col min="9988" max="9992" width="19.08984375" style="73" customWidth="1"/>
    <col min="9993" max="9993" width="14.453125" style="73" customWidth="1"/>
    <col min="9994" max="10240" width="9" style="73"/>
    <col min="10241" max="10241" width="4.08984375" style="73" customWidth="1"/>
    <col min="10242" max="10242" width="23" style="73" bestFit="1" customWidth="1"/>
    <col min="10243" max="10243" width="19.453125" style="73" bestFit="1" customWidth="1"/>
    <col min="10244" max="10248" width="19.08984375" style="73" customWidth="1"/>
    <col min="10249" max="10249" width="14.453125" style="73" customWidth="1"/>
    <col min="10250" max="10496" width="9" style="73"/>
    <col min="10497" max="10497" width="4.08984375" style="73" customWidth="1"/>
    <col min="10498" max="10498" width="23" style="73" bestFit="1" customWidth="1"/>
    <col min="10499" max="10499" width="19.453125" style="73" bestFit="1" customWidth="1"/>
    <col min="10500" max="10504" width="19.08984375" style="73" customWidth="1"/>
    <col min="10505" max="10505" width="14.453125" style="73" customWidth="1"/>
    <col min="10506" max="10752" width="9" style="73"/>
    <col min="10753" max="10753" width="4.08984375" style="73" customWidth="1"/>
    <col min="10754" max="10754" width="23" style="73" bestFit="1" customWidth="1"/>
    <col min="10755" max="10755" width="19.453125" style="73" bestFit="1" customWidth="1"/>
    <col min="10756" max="10760" width="19.08984375" style="73" customWidth="1"/>
    <col min="10761" max="10761" width="14.453125" style="73" customWidth="1"/>
    <col min="10762" max="11008" width="9" style="73"/>
    <col min="11009" max="11009" width="4.08984375" style="73" customWidth="1"/>
    <col min="11010" max="11010" width="23" style="73" bestFit="1" customWidth="1"/>
    <col min="11011" max="11011" width="19.453125" style="73" bestFit="1" customWidth="1"/>
    <col min="11012" max="11016" width="19.08984375" style="73" customWidth="1"/>
    <col min="11017" max="11017" width="14.453125" style="73" customWidth="1"/>
    <col min="11018" max="11264" width="9" style="73"/>
    <col min="11265" max="11265" width="4.08984375" style="73" customWidth="1"/>
    <col min="11266" max="11266" width="23" style="73" bestFit="1" customWidth="1"/>
    <col min="11267" max="11267" width="19.453125" style="73" bestFit="1" customWidth="1"/>
    <col min="11268" max="11272" width="19.08984375" style="73" customWidth="1"/>
    <col min="11273" max="11273" width="14.453125" style="73" customWidth="1"/>
    <col min="11274" max="11520" width="9" style="73"/>
    <col min="11521" max="11521" width="4.08984375" style="73" customWidth="1"/>
    <col min="11522" max="11522" width="23" style="73" bestFit="1" customWidth="1"/>
    <col min="11523" max="11523" width="19.453125" style="73" bestFit="1" customWidth="1"/>
    <col min="11524" max="11528" width="19.08984375" style="73" customWidth="1"/>
    <col min="11529" max="11529" width="14.453125" style="73" customWidth="1"/>
    <col min="11530" max="11776" width="9" style="73"/>
    <col min="11777" max="11777" width="4.08984375" style="73" customWidth="1"/>
    <col min="11778" max="11778" width="23" style="73" bestFit="1" customWidth="1"/>
    <col min="11779" max="11779" width="19.453125" style="73" bestFit="1" customWidth="1"/>
    <col min="11780" max="11784" width="19.08984375" style="73" customWidth="1"/>
    <col min="11785" max="11785" width="14.453125" style="73" customWidth="1"/>
    <col min="11786" max="12032" width="9" style="73"/>
    <col min="12033" max="12033" width="4.08984375" style="73" customWidth="1"/>
    <col min="12034" max="12034" width="23" style="73" bestFit="1" customWidth="1"/>
    <col min="12035" max="12035" width="19.453125" style="73" bestFit="1" customWidth="1"/>
    <col min="12036" max="12040" width="19.08984375" style="73" customWidth="1"/>
    <col min="12041" max="12041" width="14.453125" style="73" customWidth="1"/>
    <col min="12042" max="12288" width="9" style="73"/>
    <col min="12289" max="12289" width="4.08984375" style="73" customWidth="1"/>
    <col min="12290" max="12290" width="23" style="73" bestFit="1" customWidth="1"/>
    <col min="12291" max="12291" width="19.453125" style="73" bestFit="1" customWidth="1"/>
    <col min="12292" max="12296" width="19.08984375" style="73" customWidth="1"/>
    <col min="12297" max="12297" width="14.453125" style="73" customWidth="1"/>
    <col min="12298" max="12544" width="9" style="73"/>
    <col min="12545" max="12545" width="4.08984375" style="73" customWidth="1"/>
    <col min="12546" max="12546" width="23" style="73" bestFit="1" customWidth="1"/>
    <col min="12547" max="12547" width="19.453125" style="73" bestFit="1" customWidth="1"/>
    <col min="12548" max="12552" width="19.08984375" style="73" customWidth="1"/>
    <col min="12553" max="12553" width="14.453125" style="73" customWidth="1"/>
    <col min="12554" max="12800" width="9" style="73"/>
    <col min="12801" max="12801" width="4.08984375" style="73" customWidth="1"/>
    <col min="12802" max="12802" width="23" style="73" bestFit="1" customWidth="1"/>
    <col min="12803" max="12803" width="19.453125" style="73" bestFit="1" customWidth="1"/>
    <col min="12804" max="12808" width="19.08984375" style="73" customWidth="1"/>
    <col min="12809" max="12809" width="14.453125" style="73" customWidth="1"/>
    <col min="12810" max="13056" width="9" style="73"/>
    <col min="13057" max="13057" width="4.08984375" style="73" customWidth="1"/>
    <col min="13058" max="13058" width="23" style="73" bestFit="1" customWidth="1"/>
    <col min="13059" max="13059" width="19.453125" style="73" bestFit="1" customWidth="1"/>
    <col min="13060" max="13064" width="19.08984375" style="73" customWidth="1"/>
    <col min="13065" max="13065" width="14.453125" style="73" customWidth="1"/>
    <col min="13066" max="13312" width="9" style="73"/>
    <col min="13313" max="13313" width="4.08984375" style="73" customWidth="1"/>
    <col min="13314" max="13314" width="23" style="73" bestFit="1" customWidth="1"/>
    <col min="13315" max="13315" width="19.453125" style="73" bestFit="1" customWidth="1"/>
    <col min="13316" max="13320" width="19.08984375" style="73" customWidth="1"/>
    <col min="13321" max="13321" width="14.453125" style="73" customWidth="1"/>
    <col min="13322" max="13568" width="9" style="73"/>
    <col min="13569" max="13569" width="4.08984375" style="73" customWidth="1"/>
    <col min="13570" max="13570" width="23" style="73" bestFit="1" customWidth="1"/>
    <col min="13571" max="13571" width="19.453125" style="73" bestFit="1" customWidth="1"/>
    <col min="13572" max="13576" width="19.08984375" style="73" customWidth="1"/>
    <col min="13577" max="13577" width="14.453125" style="73" customWidth="1"/>
    <col min="13578" max="13824" width="9" style="73"/>
    <col min="13825" max="13825" width="4.08984375" style="73" customWidth="1"/>
    <col min="13826" max="13826" width="23" style="73" bestFit="1" customWidth="1"/>
    <col min="13827" max="13827" width="19.453125" style="73" bestFit="1" customWidth="1"/>
    <col min="13828" max="13832" width="19.08984375" style="73" customWidth="1"/>
    <col min="13833" max="13833" width="14.453125" style="73" customWidth="1"/>
    <col min="13834" max="14080" width="9" style="73"/>
    <col min="14081" max="14081" width="4.08984375" style="73" customWidth="1"/>
    <col min="14082" max="14082" width="23" style="73" bestFit="1" customWidth="1"/>
    <col min="14083" max="14083" width="19.453125" style="73" bestFit="1" customWidth="1"/>
    <col min="14084" max="14088" width="19.08984375" style="73" customWidth="1"/>
    <col min="14089" max="14089" width="14.453125" style="73" customWidth="1"/>
    <col min="14090" max="14336" width="9" style="73"/>
    <col min="14337" max="14337" width="4.08984375" style="73" customWidth="1"/>
    <col min="14338" max="14338" width="23" style="73" bestFit="1" customWidth="1"/>
    <col min="14339" max="14339" width="19.453125" style="73" bestFit="1" customWidth="1"/>
    <col min="14340" max="14344" width="19.08984375" style="73" customWidth="1"/>
    <col min="14345" max="14345" width="14.453125" style="73" customWidth="1"/>
    <col min="14346" max="14592" width="9" style="73"/>
    <col min="14593" max="14593" width="4.08984375" style="73" customWidth="1"/>
    <col min="14594" max="14594" width="23" style="73" bestFit="1" customWidth="1"/>
    <col min="14595" max="14595" width="19.453125" style="73" bestFit="1" customWidth="1"/>
    <col min="14596" max="14600" width="19.08984375" style="73" customWidth="1"/>
    <col min="14601" max="14601" width="14.453125" style="73" customWidth="1"/>
    <col min="14602" max="14848" width="9" style="73"/>
    <col min="14849" max="14849" width="4.08984375" style="73" customWidth="1"/>
    <col min="14850" max="14850" width="23" style="73" bestFit="1" customWidth="1"/>
    <col min="14851" max="14851" width="19.453125" style="73" bestFit="1" customWidth="1"/>
    <col min="14852" max="14856" width="19.08984375" style="73" customWidth="1"/>
    <col min="14857" max="14857" width="14.453125" style="73" customWidth="1"/>
    <col min="14858" max="15104" width="9" style="73"/>
    <col min="15105" max="15105" width="4.08984375" style="73" customWidth="1"/>
    <col min="15106" max="15106" width="23" style="73" bestFit="1" customWidth="1"/>
    <col min="15107" max="15107" width="19.453125" style="73" bestFit="1" customWidth="1"/>
    <col min="15108" max="15112" width="19.08984375" style="73" customWidth="1"/>
    <col min="15113" max="15113" width="14.453125" style="73" customWidth="1"/>
    <col min="15114" max="15360" width="9" style="73"/>
    <col min="15361" max="15361" width="4.08984375" style="73" customWidth="1"/>
    <col min="15362" max="15362" width="23" style="73" bestFit="1" customWidth="1"/>
    <col min="15363" max="15363" width="19.453125" style="73" bestFit="1" customWidth="1"/>
    <col min="15364" max="15368" width="19.08984375" style="73" customWidth="1"/>
    <col min="15369" max="15369" width="14.453125" style="73" customWidth="1"/>
    <col min="15370" max="15616" width="9" style="73"/>
    <col min="15617" max="15617" width="4.08984375" style="73" customWidth="1"/>
    <col min="15618" max="15618" width="23" style="73" bestFit="1" customWidth="1"/>
    <col min="15619" max="15619" width="19.453125" style="73" bestFit="1" customWidth="1"/>
    <col min="15620" max="15624" width="19.08984375" style="73" customWidth="1"/>
    <col min="15625" max="15625" width="14.453125" style="73" customWidth="1"/>
    <col min="15626" max="15872" width="9" style="73"/>
    <col min="15873" max="15873" width="4.08984375" style="73" customWidth="1"/>
    <col min="15874" max="15874" width="23" style="73" bestFit="1" customWidth="1"/>
    <col min="15875" max="15875" width="19.453125" style="73" bestFit="1" customWidth="1"/>
    <col min="15876" max="15880" width="19.08984375" style="73" customWidth="1"/>
    <col min="15881" max="15881" width="14.453125" style="73" customWidth="1"/>
    <col min="15882" max="16128" width="9" style="73"/>
    <col min="16129" max="16129" width="4.08984375" style="73" customWidth="1"/>
    <col min="16130" max="16130" width="23" style="73" bestFit="1" customWidth="1"/>
    <col min="16131" max="16131" width="19.453125" style="73" bestFit="1" customWidth="1"/>
    <col min="16132" max="16136" width="19.08984375" style="73" customWidth="1"/>
    <col min="16137" max="16137" width="14.453125" style="73" customWidth="1"/>
    <col min="16138" max="16384" width="9" style="73"/>
  </cols>
  <sheetData>
    <row r="2" spans="1:15" s="74" customFormat="1">
      <c r="C2" s="118" t="s">
        <v>171</v>
      </c>
      <c r="D2" s="119"/>
      <c r="E2" s="75" t="s">
        <v>1</v>
      </c>
      <c r="F2" s="119"/>
      <c r="G2" s="119"/>
      <c r="H2" s="119"/>
      <c r="I2" s="75" t="s">
        <v>1</v>
      </c>
      <c r="J2" s="119"/>
      <c r="K2" s="119"/>
      <c r="L2" s="119"/>
      <c r="M2" s="119"/>
      <c r="N2" s="119"/>
      <c r="O2" s="119"/>
    </row>
    <row r="3" spans="1:15" ht="28.9" customHeight="1">
      <c r="A3" s="353" t="s">
        <v>157</v>
      </c>
      <c r="B3" s="354"/>
      <c r="C3" s="113" t="s">
        <v>172</v>
      </c>
      <c r="D3" s="263">
        <v>45748</v>
      </c>
      <c r="E3" s="264">
        <f>IF(MONTH(D3)=12,EDATE(D3,1),EDATE(D3,1))</f>
        <v>45778</v>
      </c>
      <c r="F3" s="263">
        <f t="shared" ref="F3:H3" si="0">IF(MONTH(E3)=12,EDATE(E3,1),EDATE(E3,1))</f>
        <v>45809</v>
      </c>
      <c r="G3" s="264">
        <f t="shared" si="0"/>
        <v>45839</v>
      </c>
      <c r="H3" s="263">
        <f t="shared" si="0"/>
        <v>45870</v>
      </c>
      <c r="I3" s="264">
        <f>IF(MONTH(H3)=12,EDATE(H3,1),EDATE(H3,1))</f>
        <v>45901</v>
      </c>
      <c r="J3" s="263">
        <f t="shared" ref="J3" si="1">IF(MONTH(I3)=12,EDATE(I3,1),EDATE(I3,1))</f>
        <v>45931</v>
      </c>
      <c r="K3" s="264">
        <f t="shared" ref="K3" si="2">IF(MONTH(J3)=12,EDATE(J3,1),EDATE(J3,1))</f>
        <v>45962</v>
      </c>
      <c r="L3" s="263">
        <f t="shared" ref="L3" si="3">IF(MONTH(K3)=12,EDATE(K3,1),EDATE(K3,1))</f>
        <v>45992</v>
      </c>
      <c r="M3" s="264">
        <f t="shared" ref="M3" si="4">IF(MONTH(L3)=12,EDATE(L3,1),EDATE(L3,1))</f>
        <v>46023</v>
      </c>
      <c r="N3" s="263">
        <f t="shared" ref="N3" si="5">IF(MONTH(M3)=12,EDATE(M3,1),EDATE(M3,1))</f>
        <v>46054</v>
      </c>
      <c r="O3" s="264">
        <f t="shared" ref="O3" si="6">IF(MONTH(N3)=12,EDATE(N3,1),EDATE(N3,1))</f>
        <v>46082</v>
      </c>
    </row>
    <row r="4" spans="1:15" ht="15" customHeight="1">
      <c r="A4" s="365" t="s">
        <v>159</v>
      </c>
      <c r="B4" s="365"/>
      <c r="C4" s="121" t="s">
        <v>160</v>
      </c>
      <c r="D4" s="122">
        <f t="shared" ref="D4:G5" si="7">D127</f>
        <v>220366.55000000005</v>
      </c>
      <c r="E4" s="122">
        <f t="shared" si="7"/>
        <v>208679.16</v>
      </c>
      <c r="F4" s="122">
        <f t="shared" si="7"/>
        <v>208679.16000000006</v>
      </c>
      <c r="G4" s="122">
        <f>G127</f>
        <v>208679.16000000003</v>
      </c>
      <c r="H4" s="122">
        <f>H127</f>
        <v>208679.15999999997</v>
      </c>
      <c r="I4" s="122">
        <f t="shared" ref="I4:J4" si="8">I127</f>
        <v>208679.15999999995</v>
      </c>
      <c r="J4" s="122">
        <f t="shared" si="8"/>
        <v>208679.16</v>
      </c>
      <c r="K4" s="122">
        <f>K127</f>
        <v>208679.15999999995</v>
      </c>
      <c r="L4" s="122">
        <f>L127</f>
        <v>208679.16000000003</v>
      </c>
      <c r="M4" s="122">
        <f t="shared" ref="M4" si="9">M127</f>
        <v>208679.16</v>
      </c>
      <c r="N4" s="122">
        <f>N127</f>
        <v>208679.16</v>
      </c>
      <c r="O4" s="122">
        <f>O127</f>
        <v>208679.16000000003</v>
      </c>
    </row>
    <row r="5" spans="1:15" ht="15" customHeight="1" thickBot="1">
      <c r="A5" s="366"/>
      <c r="B5" s="366"/>
      <c r="C5" s="123" t="s">
        <v>161</v>
      </c>
      <c r="D5" s="124">
        <f t="shared" si="7"/>
        <v>27247.279999999995</v>
      </c>
      <c r="E5" s="124">
        <f>E128</f>
        <v>26458.430000000004</v>
      </c>
      <c r="F5" s="124">
        <f t="shared" si="7"/>
        <v>26458.430000000004</v>
      </c>
      <c r="G5" s="124">
        <f t="shared" si="7"/>
        <v>26458.429999999993</v>
      </c>
      <c r="H5" s="124">
        <f>H128</f>
        <v>26458.429999999978</v>
      </c>
      <c r="I5" s="124">
        <f>I128</f>
        <v>26458.429999999993</v>
      </c>
      <c r="J5" s="124">
        <f t="shared" ref="J5:K5" si="10">J128</f>
        <v>26458.43</v>
      </c>
      <c r="K5" s="124">
        <f t="shared" si="10"/>
        <v>26458.43</v>
      </c>
      <c r="L5" s="124">
        <f>L128</f>
        <v>26458.429999999993</v>
      </c>
      <c r="M5" s="124">
        <f t="shared" ref="M5:N5" si="11">M128</f>
        <v>26458.429999999989</v>
      </c>
      <c r="N5" s="124">
        <f t="shared" si="11"/>
        <v>26458.429999999989</v>
      </c>
      <c r="O5" s="124">
        <f>O128</f>
        <v>26458.429999999993</v>
      </c>
    </row>
    <row r="6" spans="1:15" ht="15" customHeight="1" thickTop="1">
      <c r="A6" s="125"/>
      <c r="B6" s="80"/>
      <c r="C6" s="81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  <c r="O6" s="126"/>
    </row>
    <row r="7" spans="1:15" ht="15" customHeight="1">
      <c r="A7" s="365">
        <v>1</v>
      </c>
      <c r="B7" s="82" t="s">
        <v>91</v>
      </c>
      <c r="C7" s="76" t="s">
        <v>160</v>
      </c>
      <c r="D7" s="127">
        <f>VLOOKUP(B8,'B&amp;L'!$A$7:$BK$66,7,0)</f>
        <v>8823.91</v>
      </c>
      <c r="E7" s="127">
        <f>VLOOKUP(B8,'B&amp;L'!$A$7:$BK$66,12,0)</f>
        <v>8415.1</v>
      </c>
      <c r="F7" s="127">
        <f>VLOOKUP(B8,'B&amp;L'!$A$7:$BK$66,17,0)</f>
        <v>8416.08</v>
      </c>
      <c r="G7" s="127">
        <f>VLOOKUP(B8,'B&amp;L'!$A$7:$BK$66,22,0)</f>
        <v>8582.5400000000009</v>
      </c>
      <c r="H7" s="127">
        <f>VLOOKUP(B8,'B&amp;L'!$A$7:$BK$66,27,0)</f>
        <v>8670.74</v>
      </c>
      <c r="I7" s="127">
        <f>VLOOKUP(B8,'B&amp;L'!$A$7:$BK$66,32,0)</f>
        <v>8945.43</v>
      </c>
      <c r="J7" s="127">
        <f>VLOOKUP(B8,'B&amp;L'!$A$7:$BK$66,37,0)</f>
        <v>9191.01</v>
      </c>
      <c r="K7" s="127">
        <f>VLOOKUP(B8,'B&amp;L'!$A$7:$BK$66,42,0)</f>
        <v>9193.5300000000007</v>
      </c>
      <c r="L7" s="127">
        <f>VLOOKUP(B8,'B&amp;L'!$A$7:$BK$66,47,0)</f>
        <v>9195.42</v>
      </c>
      <c r="M7" s="127">
        <f>VLOOKUP(B8,'B&amp;L'!$A$7:$BK$66,52,0)</f>
        <v>9173.19</v>
      </c>
      <c r="N7" s="127">
        <f>VLOOKUP(B8,'B&amp;L'!$A$7:$BK$66,57,0)</f>
        <v>9262.08</v>
      </c>
      <c r="O7" s="127">
        <f>VLOOKUP(B8,'B&amp;L'!$A$7:$BK$66,62,0)</f>
        <v>9155.24</v>
      </c>
    </row>
    <row r="8" spans="1:15" ht="15" customHeight="1">
      <c r="A8" s="365"/>
      <c r="B8" s="83">
        <v>1412000004</v>
      </c>
      <c r="C8" s="84" t="s">
        <v>161</v>
      </c>
      <c r="D8" s="128">
        <f>VLOOKUP(B8,'B&amp;L'!$A$7:$BK$66,8,0)</f>
        <v>1091.03</v>
      </c>
      <c r="E8" s="128">
        <f>VLOOKUP(B8,'B&amp;L'!$A$7:$BK$66,13,0)</f>
        <v>1066.95</v>
      </c>
      <c r="F8" s="128">
        <f>VLOOKUP(B8,'B&amp;L'!$A$7:$BK$66,18,0)</f>
        <v>1067.07</v>
      </c>
      <c r="G8" s="128">
        <f>VLOOKUP(B8,'B&amp;L'!$A$7:$BK$66,23,0)</f>
        <v>1088.18</v>
      </c>
      <c r="H8" s="128">
        <f>VLOOKUP(B8,'B&amp;L'!$A$7:$BK$66,28,0)</f>
        <v>1099.3599999999999</v>
      </c>
      <c r="I8" s="128">
        <f>VLOOKUP(B8,'B&amp;L'!$A$7:$BK$66,33,0)</f>
        <v>1134.19</v>
      </c>
      <c r="J8" s="128">
        <f>VLOOKUP(B8,'B&amp;L'!$A$7:$BK$66,38,0)</f>
        <v>1165.33</v>
      </c>
      <c r="K8" s="128">
        <f>VLOOKUP(B8,'B&amp;L'!$A$7:$BK$66,43,0)</f>
        <v>1165.6500000000001</v>
      </c>
      <c r="L8" s="128">
        <f>VLOOKUP(B8,'B&amp;L'!$A$7:$BK$66,48,0)</f>
        <v>1165.8900000000001</v>
      </c>
      <c r="M8" s="128">
        <f>VLOOKUP(B8,'B&amp;L'!$A$7:$BK$66,53,0)</f>
        <v>1163.07</v>
      </c>
      <c r="N8" s="128">
        <f>VLOOKUP(B8,'B&amp;L'!$A$7:$BK$66,58,0)</f>
        <v>1174.3399999999999</v>
      </c>
      <c r="O8" s="128">
        <f>VLOOKUP(B8,'B&amp;L'!$A$7:$BK$66,63,0)</f>
        <v>1160.79</v>
      </c>
    </row>
    <row r="9" spans="1:15" s="88" customFormat="1" ht="15" customHeight="1">
      <c r="A9" s="367">
        <v>2</v>
      </c>
      <c r="B9" s="91" t="s">
        <v>87</v>
      </c>
      <c r="C9" s="87" t="s">
        <v>160</v>
      </c>
      <c r="D9" s="127">
        <f>VLOOKUP(B10,'B&amp;L'!$A$7:$BK$66,7,0)</f>
        <v>12406.78</v>
      </c>
      <c r="E9" s="127">
        <f>VLOOKUP(B10,'B&amp;L'!$A$7:$BK$66,12,0)</f>
        <v>11724.6</v>
      </c>
      <c r="F9" s="127">
        <f>VLOOKUP(B10,'B&amp;L'!$A$7:$BK$66,17,0)</f>
        <v>11817.48</v>
      </c>
      <c r="G9" s="127">
        <f>VLOOKUP(B10,'B&amp;L'!$A$7:$BK$66,22,0)</f>
        <v>11845.85</v>
      </c>
      <c r="H9" s="127">
        <f>VLOOKUP(B10,'B&amp;L'!$A$7:$BK$66,27,0)</f>
        <v>11815.5</v>
      </c>
      <c r="I9" s="127">
        <f>VLOOKUP(B10,'B&amp;L'!$A$7:$BK$66,32,0)</f>
        <v>11726.35</v>
      </c>
      <c r="J9" s="127">
        <f>VLOOKUP(B10,'B&amp;L'!$A$7:$BK$66,37,0)</f>
        <v>11749.97</v>
      </c>
      <c r="K9" s="127">
        <f>VLOOKUP(B10,'B&amp;L'!$A$7:$BK$66,42,0)</f>
        <v>11820.33</v>
      </c>
      <c r="L9" s="127">
        <f>VLOOKUP(B10,'B&amp;L'!$A$7:$BK$66,47,0)</f>
        <v>11795.67</v>
      </c>
      <c r="M9" s="127">
        <f>VLOOKUP(B10,'B&amp;L'!$A$7:$BK$66,52,0)</f>
        <v>11857.35</v>
      </c>
      <c r="N9" s="127">
        <f>VLOOKUP(B10,'B&amp;L'!$A$7:$BK$66,57,0)</f>
        <v>11857.1</v>
      </c>
      <c r="O9" s="127">
        <f>VLOOKUP(B10,'B&amp;L'!$A$7:$BK$66,62,0)</f>
        <v>11746.3</v>
      </c>
    </row>
    <row r="10" spans="1:15" s="88" customFormat="1" ht="15" customHeight="1">
      <c r="A10" s="367"/>
      <c r="B10" s="92">
        <v>1412000005</v>
      </c>
      <c r="C10" s="90" t="s">
        <v>161</v>
      </c>
      <c r="D10" s="128">
        <f>VLOOKUP(B10,'B&amp;L'!$A$7:$BK$66,8,0)</f>
        <v>1534.04</v>
      </c>
      <c r="E10" s="128">
        <f>VLOOKUP(B10,'B&amp;L'!$A$7:$BK$66,13,0)</f>
        <v>1486.56</v>
      </c>
      <c r="F10" s="128">
        <f>VLOOKUP(B10,'B&amp;L'!$A$7:$BK$66,18,0)</f>
        <v>1498.34</v>
      </c>
      <c r="G10" s="128">
        <f>VLOOKUP(B10,'B&amp;L'!$A$7:$BK$66,23,0)</f>
        <v>1501.94</v>
      </c>
      <c r="H10" s="128">
        <f>VLOOKUP(B10,'B&amp;L'!$A$7:$BK$66,28,0)</f>
        <v>1498.09</v>
      </c>
      <c r="I10" s="128">
        <f>VLOOKUP(B10,'B&amp;L'!$A$7:$BK$66,33,0)</f>
        <v>1486.78</v>
      </c>
      <c r="J10" s="128">
        <f>VLOOKUP(B10,'B&amp;L'!$A$7:$BK$66,38,0)</f>
        <v>1489.78</v>
      </c>
      <c r="K10" s="128">
        <f>VLOOKUP(B10,'B&amp;L'!$A$7:$BK$66,43,0)</f>
        <v>1498.7</v>
      </c>
      <c r="L10" s="128">
        <f>VLOOKUP(B10,'B&amp;L'!$A$7:$BK$66,48,0)</f>
        <v>1495.57</v>
      </c>
      <c r="M10" s="128">
        <f>VLOOKUP(B10,'B&amp;L'!$A$7:$BK$66,53,0)</f>
        <v>1503.39</v>
      </c>
      <c r="N10" s="128">
        <f>VLOOKUP(B10,'B&amp;L'!$A$7:$BK$66,58,0)</f>
        <v>1503.36</v>
      </c>
      <c r="O10" s="128">
        <f>VLOOKUP(B10,'B&amp;L'!$A$7:$BK$66,63,0)</f>
        <v>1489.31</v>
      </c>
    </row>
    <row r="11" spans="1:15" ht="15" customHeight="1">
      <c r="A11" s="357">
        <v>3</v>
      </c>
      <c r="B11" s="91" t="s">
        <v>93</v>
      </c>
      <c r="C11" s="76" t="s">
        <v>160</v>
      </c>
      <c r="D11" s="127">
        <f>VLOOKUP(B12,'B&amp;L'!$A$7:$BK$66,7,0)</f>
        <v>139.88999999999999</v>
      </c>
      <c r="E11" s="127">
        <f>VLOOKUP(B12,'B&amp;L'!$A$7:$BK$66,12,0)</f>
        <v>134.24</v>
      </c>
      <c r="F11" s="127">
        <f>VLOOKUP(B12,'B&amp;L'!$A$7:$BK$66,17,0)</f>
        <v>137.35</v>
      </c>
      <c r="G11" s="127">
        <f>VLOOKUP(B12,'B&amp;L'!$A$7:$BK$66,22,0)</f>
        <v>129.49</v>
      </c>
      <c r="H11" s="127">
        <f>VLOOKUP(B12,'B&amp;L'!$A$7:$BK$66,27,0)</f>
        <v>127.49</v>
      </c>
      <c r="I11" s="127">
        <f>VLOOKUP(B12,'B&amp;L'!$A$7:$BK$66,32,0)</f>
        <v>128.21</v>
      </c>
      <c r="J11" s="127">
        <f>VLOOKUP(B12,'B&amp;L'!$A$7:$BK$66,37,0)</f>
        <v>127.28</v>
      </c>
      <c r="K11" s="127">
        <f>VLOOKUP(B12,'B&amp;L'!$A$7:$BK$66,42,0)</f>
        <v>125.53</v>
      </c>
      <c r="L11" s="127">
        <f>VLOOKUP(B12,'B&amp;L'!$A$7:$BK$66,47,0)</f>
        <v>126.44</v>
      </c>
      <c r="M11" s="127">
        <f>VLOOKUP(B12,'B&amp;L'!$A$7:$BK$66,52,0)</f>
        <v>123.1</v>
      </c>
      <c r="N11" s="127">
        <f>VLOOKUP(B12,'B&amp;L'!$A$7:$BK$66,57,0)</f>
        <v>119.8</v>
      </c>
      <c r="O11" s="127">
        <f>VLOOKUP(B12,'B&amp;L'!$A$7:$BK$66,62,0)</f>
        <v>124.01</v>
      </c>
    </row>
    <row r="12" spans="1:15" ht="15" customHeight="1">
      <c r="A12" s="358"/>
      <c r="B12" s="92">
        <v>1412000062</v>
      </c>
      <c r="C12" s="84" t="s">
        <v>161</v>
      </c>
      <c r="D12" s="128">
        <f>VLOOKUP(B12,'B&amp;L'!$A$7:$BK$66,8,0)</f>
        <v>17.3</v>
      </c>
      <c r="E12" s="128">
        <f>VLOOKUP(B12,'B&amp;L'!$A$7:$BK$66,13,0)</f>
        <v>17.02</v>
      </c>
      <c r="F12" s="128">
        <f>VLOOKUP(B12,'B&amp;L'!$A$7:$BK$66,18,0)</f>
        <v>17.41</v>
      </c>
      <c r="G12" s="128">
        <f>VLOOKUP(B12,'B&amp;L'!$A$7:$BK$66,23,0)</f>
        <v>16.420000000000002</v>
      </c>
      <c r="H12" s="128">
        <f>VLOOKUP(B12,'B&amp;L'!$A$7:$BK$66,28,0)</f>
        <v>16.16</v>
      </c>
      <c r="I12" s="128">
        <f>VLOOKUP(B12,'B&amp;L'!$A$7:$BK$66,33,0)</f>
        <v>16.260000000000002</v>
      </c>
      <c r="J12" s="128">
        <f>VLOOKUP(B12,'B&amp;L'!$A$7:$BK$66,38,0)</f>
        <v>16.14</v>
      </c>
      <c r="K12" s="128">
        <f>VLOOKUP(B12,'B&amp;L'!$A$7:$BK$66,43,0)</f>
        <v>15.92</v>
      </c>
      <c r="L12" s="128">
        <f>VLOOKUP(B12,'B&amp;L'!$A$7:$BK$66,48,0)</f>
        <v>16.03</v>
      </c>
      <c r="M12" s="128">
        <f>VLOOKUP(B12,'B&amp;L'!$A$7:$BK$66,53,0)</f>
        <v>15.61</v>
      </c>
      <c r="N12" s="128">
        <f>VLOOKUP(B12,'B&amp;L'!$A$7:$BK$66,58,0)</f>
        <v>15.19</v>
      </c>
      <c r="O12" s="128">
        <f>VLOOKUP(B12,'B&amp;L'!$A$7:$BK$66,63,0)</f>
        <v>15.72</v>
      </c>
    </row>
    <row r="13" spans="1:15" ht="15" customHeight="1">
      <c r="A13" s="357">
        <v>4</v>
      </c>
      <c r="B13" s="91" t="s">
        <v>58</v>
      </c>
      <c r="C13" s="76" t="s">
        <v>160</v>
      </c>
      <c r="D13" s="127">
        <f>VLOOKUP(B14,'B&amp;L'!$A$7:$BK$66,7,0)</f>
        <v>4332.49</v>
      </c>
      <c r="E13" s="127">
        <f>VLOOKUP(B14,'B&amp;L'!$A$7:$BK$66,12,0)</f>
        <v>4102.71</v>
      </c>
      <c r="F13" s="127">
        <f>VLOOKUP(B14,'B&amp;L'!$A$7:$BK$66,17,0)</f>
        <v>4102.71</v>
      </c>
      <c r="G13" s="127">
        <f>VLOOKUP(B14,'B&amp;L'!$A$7:$BK$66,22,0)</f>
        <v>4102.71</v>
      </c>
      <c r="H13" s="127">
        <f>VLOOKUP(B14,'B&amp;L'!$A$7:$BK$66,27,0)</f>
        <v>4102.71</v>
      </c>
      <c r="I13" s="127">
        <f>VLOOKUP(B14,'B&amp;L'!$A$7:$BK$66,32,0)</f>
        <v>4102.71</v>
      </c>
      <c r="J13" s="127">
        <f>VLOOKUP(B14,'B&amp;L'!$A$7:$BK$66,37,0)</f>
        <v>4102.71</v>
      </c>
      <c r="K13" s="127">
        <f>VLOOKUP(B14,'B&amp;L'!$A$7:$BK$66,42,0)</f>
        <v>4102.71</v>
      </c>
      <c r="L13" s="127">
        <f>VLOOKUP(B14,'B&amp;L'!$A$7:$BK$66,47,0)</f>
        <v>4102.71</v>
      </c>
      <c r="M13" s="127">
        <f>VLOOKUP(B14,'B&amp;L'!$A$7:$BK$66,52,0)</f>
        <v>4102.71</v>
      </c>
      <c r="N13" s="127">
        <f>VLOOKUP(B14,'B&amp;L'!$A$7:$BK$66,57,0)</f>
        <v>4102.71</v>
      </c>
      <c r="O13" s="127">
        <f>VLOOKUP(B14,'B&amp;L'!$A$7:$BK$66,62,0)</f>
        <v>4102.71</v>
      </c>
    </row>
    <row r="14" spans="1:15" ht="15" customHeight="1">
      <c r="A14" s="358"/>
      <c r="B14" s="92">
        <v>1412000066</v>
      </c>
      <c r="C14" s="84" t="s">
        <v>161</v>
      </c>
      <c r="D14" s="128">
        <f>VLOOKUP(B14,'B&amp;L'!$A$7:$BK$66,8,0)</f>
        <v>535.69000000000005</v>
      </c>
      <c r="E14" s="128">
        <f>VLOOKUP(B14,'B&amp;L'!$A$7:$BK$66,13,0)</f>
        <v>520.17999999999995</v>
      </c>
      <c r="F14" s="128">
        <f>VLOOKUP(B14,'B&amp;L'!$A$7:$BK$66,18,0)</f>
        <v>520.17999999999995</v>
      </c>
      <c r="G14" s="128">
        <f>VLOOKUP(B14,'B&amp;L'!$A$7:$BK$66,23,0)</f>
        <v>520.17999999999995</v>
      </c>
      <c r="H14" s="128">
        <f>VLOOKUP(B14,'B&amp;L'!$A$7:$BK$66,28,0)</f>
        <v>520.17999999999995</v>
      </c>
      <c r="I14" s="128">
        <f>VLOOKUP(B14,'B&amp;L'!$A$7:$BK$66,33,0)</f>
        <v>520.17999999999995</v>
      </c>
      <c r="J14" s="128">
        <f>VLOOKUP(B14,'B&amp;L'!$A$7:$BK$66,38,0)</f>
        <v>520.17999999999995</v>
      </c>
      <c r="K14" s="128">
        <f>VLOOKUP(B14,'B&amp;L'!$A$7:$BK$66,43,0)</f>
        <v>520.17999999999995</v>
      </c>
      <c r="L14" s="128">
        <f>VLOOKUP(B14,'B&amp;L'!$A$7:$BK$66,48,0)</f>
        <v>520.17999999999995</v>
      </c>
      <c r="M14" s="128">
        <f>VLOOKUP(B14,'B&amp;L'!$A$7:$BK$66,53,0)</f>
        <v>520.17999999999995</v>
      </c>
      <c r="N14" s="128">
        <f>VLOOKUP(B14,'B&amp;L'!$A$7:$BK$66,58,0)</f>
        <v>520.17999999999995</v>
      </c>
      <c r="O14" s="128">
        <f>VLOOKUP(B14,'B&amp;L'!$A$7:$BK$66,63,0)</f>
        <v>520.17999999999995</v>
      </c>
    </row>
    <row r="15" spans="1:15" ht="15" customHeight="1">
      <c r="A15" s="357">
        <v>5</v>
      </c>
      <c r="B15" s="91" t="s">
        <v>89</v>
      </c>
      <c r="C15" s="76" t="s">
        <v>160</v>
      </c>
      <c r="D15" s="127">
        <f>VLOOKUP(B16,'B&amp;L'!$A$7:$BK$66,7,0)</f>
        <v>32011.58</v>
      </c>
      <c r="E15" s="127">
        <f>VLOOKUP(B16,'B&amp;L'!$A$7:$BK$66,12,0)</f>
        <v>30273.919999999998</v>
      </c>
      <c r="F15" s="127">
        <f>VLOOKUP(B16,'B&amp;L'!$A$7:$BK$66,17,0)</f>
        <v>30102.84</v>
      </c>
      <c r="G15" s="127">
        <f>VLOOKUP(B16,'B&amp;L'!$A$7:$BK$66,22,0)</f>
        <v>30252.21</v>
      </c>
      <c r="H15" s="127">
        <f>VLOOKUP(B16,'B&amp;L'!$A$7:$BK$66,27,0)</f>
        <v>30302.69</v>
      </c>
      <c r="I15" s="127">
        <f>VLOOKUP(B16,'B&amp;L'!$A$7:$BK$66,32,0)</f>
        <v>30332.31</v>
      </c>
      <c r="J15" s="127">
        <f>VLOOKUP(B16,'B&amp;L'!$A$7:$BK$66,37,0)</f>
        <v>30307.96</v>
      </c>
      <c r="K15" s="127">
        <f>VLOOKUP(B16,'B&amp;L'!$A$7:$BK$66,42,0)</f>
        <v>30282.97</v>
      </c>
      <c r="L15" s="127">
        <f>VLOOKUP(B16,'B&amp;L'!$A$7:$BK$66,47,0)</f>
        <v>30284.29</v>
      </c>
      <c r="M15" s="127">
        <f>VLOOKUP(B16,'B&amp;L'!$A$7:$BK$66,52,0)</f>
        <v>30306.49</v>
      </c>
      <c r="N15" s="127">
        <f>VLOOKUP(B16,'B&amp;L'!$A$7:$BK$66,57,0)</f>
        <v>30364.84</v>
      </c>
      <c r="O15" s="127">
        <f>VLOOKUP(B16,'B&amp;L'!$A$7:$BK$66,62,0)</f>
        <v>30369.75</v>
      </c>
    </row>
    <row r="16" spans="1:15" ht="15" customHeight="1">
      <c r="A16" s="358"/>
      <c r="B16" s="92">
        <v>1412000081</v>
      </c>
      <c r="C16" s="84" t="s">
        <v>161</v>
      </c>
      <c r="D16" s="128">
        <f>VLOOKUP(B16,'B&amp;L'!$A$7:$BK$66,8,0)</f>
        <v>3958.08</v>
      </c>
      <c r="E16" s="128">
        <f>VLOOKUP(B16,'B&amp;L'!$A$7:$BK$66,13,0)</f>
        <v>3838.43</v>
      </c>
      <c r="F16" s="128">
        <f>VLOOKUP(B16,'B&amp;L'!$A$7:$BK$66,18,0)</f>
        <v>3816.74</v>
      </c>
      <c r="G16" s="128">
        <f>VLOOKUP(B16,'B&amp;L'!$A$7:$BK$66,23,0)</f>
        <v>3835.68</v>
      </c>
      <c r="H16" s="128">
        <f>VLOOKUP(B16,'B&amp;L'!$A$7:$BK$66,28,0)</f>
        <v>3842.08</v>
      </c>
      <c r="I16" s="128">
        <f>VLOOKUP(B16,'B&amp;L'!$A$7:$BK$66,33,0)</f>
        <v>3845.83</v>
      </c>
      <c r="J16" s="128">
        <f>VLOOKUP(B16,'B&amp;L'!$A$7:$BK$66,38,0)</f>
        <v>3842.75</v>
      </c>
      <c r="K16" s="128">
        <f>VLOOKUP(B16,'B&amp;L'!$A$7:$BK$66,43,0)</f>
        <v>3839.58</v>
      </c>
      <c r="L16" s="128">
        <f>VLOOKUP(B16,'B&amp;L'!$A$7:$BK$66,48,0)</f>
        <v>3839.75</v>
      </c>
      <c r="M16" s="128">
        <f>VLOOKUP(B16,'B&amp;L'!$A$7:$BK$66,53,0)</f>
        <v>3842.56</v>
      </c>
      <c r="N16" s="128">
        <f>VLOOKUP(B16,'B&amp;L'!$A$7:$BK$66,58,0)</f>
        <v>3849.96</v>
      </c>
      <c r="O16" s="128">
        <f>VLOOKUP(B16,'B&amp;L'!$A$7:$BK$66,63,0)</f>
        <v>3850.58</v>
      </c>
    </row>
    <row r="17" spans="1:15" ht="15" customHeight="1">
      <c r="A17" s="357">
        <v>6</v>
      </c>
      <c r="B17" s="129" t="s">
        <v>125</v>
      </c>
      <c r="C17" s="94" t="s">
        <v>160</v>
      </c>
      <c r="D17" s="275">
        <f>VLOOKUP(B18,'B&amp;L'!$A$7:$BK$66,7,0)</f>
        <v>3611.48</v>
      </c>
      <c r="E17" s="275">
        <f>VLOOKUP(B18,'B&amp;L'!$A$7:$BK$66,12,0)</f>
        <v>3418.77</v>
      </c>
      <c r="F17" s="275">
        <f>VLOOKUP(B18,'B&amp;L'!$A$7:$BK$66,17,0)</f>
        <v>3419.06</v>
      </c>
      <c r="G17" s="275">
        <f>VLOOKUP(B18,'B&amp;L'!$A$7:$BK$66,22,0)</f>
        <v>3449.28</v>
      </c>
      <c r="H17" s="275">
        <f>VLOOKUP(B18,'B&amp;L'!$A$7:$BK$66,27,0)</f>
        <v>3445.49</v>
      </c>
      <c r="I17" s="275">
        <f>VLOOKUP(B18,'B&amp;L'!$A$7:$BK$66,32,0)</f>
        <v>3435.15</v>
      </c>
      <c r="J17" s="275">
        <f>VLOOKUP(B18,'B&amp;L'!$A$7:$BK$66,37,0)</f>
        <v>3427.29</v>
      </c>
      <c r="K17" s="275">
        <f>VLOOKUP(B18,'B&amp;L'!$A$7:$BK$66,42,0)</f>
        <v>3427.09</v>
      </c>
      <c r="L17" s="275">
        <f>VLOOKUP(B18,'B&amp;L'!$A$7:$BK$66,47,0)</f>
        <v>3427.37</v>
      </c>
      <c r="M17" s="275">
        <f>VLOOKUP(B18,'B&amp;L'!$A$7:$BK$66,52,0)</f>
        <v>3449.57</v>
      </c>
      <c r="N17" s="275">
        <f>VLOOKUP(B18,'B&amp;L'!$A$7:$BK$66,57,0)</f>
        <v>3441.9</v>
      </c>
      <c r="O17" s="275">
        <f>VLOOKUP(B18,'B&amp;L'!$A$7:$BK$66,62,0)</f>
        <v>3447.97</v>
      </c>
    </row>
    <row r="18" spans="1:15" ht="15" customHeight="1">
      <c r="A18" s="358"/>
      <c r="B18" s="96">
        <v>1412000098</v>
      </c>
      <c r="C18" s="97" t="s">
        <v>161</v>
      </c>
      <c r="D18" s="276">
        <f>VLOOKUP(B18,'B&amp;L'!$A$7:$BK$66,8,0)</f>
        <v>446.54</v>
      </c>
      <c r="E18" s="276">
        <f>VLOOKUP(B18,'B&amp;L'!$A$7:$BK$66,13,0)</f>
        <v>433.47</v>
      </c>
      <c r="F18" s="276">
        <f>VLOOKUP(B18,'B&amp;L'!$A$7:$BK$66,18,0)</f>
        <v>433.5</v>
      </c>
      <c r="G18" s="276">
        <f>VLOOKUP(B18,'B&amp;L'!$A$7:$BK$66,23,0)</f>
        <v>437.33</v>
      </c>
      <c r="H18" s="276">
        <f>VLOOKUP(B18,'B&amp;L'!$A$7:$BK$66,28,0)</f>
        <v>436.85</v>
      </c>
      <c r="I18" s="276">
        <f>VLOOKUP(B18,'B&amp;L'!$A$7:$BK$66,33,0)</f>
        <v>435.54</v>
      </c>
      <c r="J18" s="276">
        <f>VLOOKUP(B18,'B&amp;L'!$A$7:$BK$66,38,0)</f>
        <v>434.55</v>
      </c>
      <c r="K18" s="276">
        <f>VLOOKUP(B18,'B&amp;L'!$A$7:$BK$66,43,0)</f>
        <v>434.52</v>
      </c>
      <c r="L18" s="276">
        <f>VLOOKUP(B18,'B&amp;L'!$A$7:$BK$66,48,0)</f>
        <v>434.56</v>
      </c>
      <c r="M18" s="276">
        <f>VLOOKUP(B18,'B&amp;L'!$A$7:$BK$66,53,0)</f>
        <v>437.37</v>
      </c>
      <c r="N18" s="276">
        <f>VLOOKUP(B18,'B&amp;L'!$A$7:$BK$66,58,0)</f>
        <v>436.4</v>
      </c>
      <c r="O18" s="276">
        <f>VLOOKUP(B18,'B&amp;L'!$A$7:$BK$66,63,0)</f>
        <v>437.17</v>
      </c>
    </row>
    <row r="19" spans="1:15" ht="15" customHeight="1">
      <c r="A19" s="357">
        <v>7</v>
      </c>
      <c r="B19" s="91" t="s">
        <v>142</v>
      </c>
      <c r="C19" s="76" t="s">
        <v>160</v>
      </c>
      <c r="D19" s="127">
        <f>VLOOKUP(B20,'B&amp;L'!$A$7:$BK$66,7,0)</f>
        <v>6717.31</v>
      </c>
      <c r="E19" s="127">
        <f>VLOOKUP(B20,'B&amp;L'!$A$7:$BK$66,12,0)</f>
        <v>6381.34</v>
      </c>
      <c r="F19" s="127">
        <f>VLOOKUP(B20,'B&amp;L'!$A$7:$BK$66,17,0)</f>
        <v>6417.91</v>
      </c>
      <c r="G19" s="127">
        <f>VLOOKUP(B20,'B&amp;L'!$A$7:$BK$66,22,0)</f>
        <v>6327.76</v>
      </c>
      <c r="H19" s="127">
        <f>VLOOKUP(B20,'B&amp;L'!$A$7:$BK$66,27,0)</f>
        <v>6319.7</v>
      </c>
      <c r="I19" s="127">
        <f>VLOOKUP(B20,'B&amp;L'!$A$7:$BK$66,32,0)</f>
        <v>6343.37</v>
      </c>
      <c r="J19" s="127">
        <f>VLOOKUP(B20,'B&amp;L'!$A$7:$BK$66,37,0)</f>
        <v>6332.11</v>
      </c>
      <c r="K19" s="127">
        <f>VLOOKUP(B20,'B&amp;L'!$A$7:$BK$66,42,0)</f>
        <v>6311.09</v>
      </c>
      <c r="L19" s="127">
        <f>VLOOKUP(B20,'B&amp;L'!$A$7:$BK$66,47,0)</f>
        <v>6322.07</v>
      </c>
      <c r="M19" s="127">
        <f>VLOOKUP(B20,'B&amp;L'!$A$7:$BK$66,52,0)</f>
        <v>6281.88</v>
      </c>
      <c r="N19" s="127">
        <f>VLOOKUP(B20,'B&amp;L'!$A$7:$BK$66,57,0)</f>
        <v>6257.98</v>
      </c>
      <c r="O19" s="127">
        <f>VLOOKUP(B20,'B&amp;L'!$A$7:$BK$66,62,0)</f>
        <v>6310.19</v>
      </c>
    </row>
    <row r="20" spans="1:15" ht="15" customHeight="1">
      <c r="A20" s="358"/>
      <c r="B20" s="92">
        <v>1412000034</v>
      </c>
      <c r="C20" s="84" t="s">
        <v>161</v>
      </c>
      <c r="D20" s="128">
        <f>VLOOKUP(B20,'B&amp;L'!$A$7:$BK$66,8,0)</f>
        <v>830.56</v>
      </c>
      <c r="E20" s="128">
        <f>VLOOKUP(B20,'B&amp;L'!$A$7:$BK$66,13,0)</f>
        <v>809.09</v>
      </c>
      <c r="F20" s="128">
        <f>VLOOKUP(B20,'B&amp;L'!$A$7:$BK$66,18,0)</f>
        <v>813.73</v>
      </c>
      <c r="G20" s="128">
        <f>VLOOKUP(B20,'B&amp;L'!$A$7:$BK$66,23,0)</f>
        <v>802.3</v>
      </c>
      <c r="H20" s="128">
        <f>VLOOKUP(B20,'B&amp;L'!$A$7:$BK$66,28,0)</f>
        <v>801.28</v>
      </c>
      <c r="I20" s="128">
        <f>VLOOKUP(B20,'B&amp;L'!$A$7:$BK$66,33,0)</f>
        <v>804.28</v>
      </c>
      <c r="J20" s="128">
        <f>VLOOKUP(B20,'B&amp;L'!$A$7:$BK$66,38,0)</f>
        <v>802.85</v>
      </c>
      <c r="K20" s="128">
        <f>VLOOKUP(B20,'B&amp;L'!$A$7:$BK$66,43,0)</f>
        <v>800.18</v>
      </c>
      <c r="L20" s="128">
        <f>VLOOKUP(B20,'B&amp;L'!$A$7:$BK$66,48,0)</f>
        <v>801.58</v>
      </c>
      <c r="M20" s="128">
        <f>VLOOKUP(B20,'B&amp;L'!$A$7:$BK$66,53,0)</f>
        <v>796.48</v>
      </c>
      <c r="N20" s="128">
        <f>VLOOKUP(B20,'B&amp;L'!$A$7:$BK$66,58,0)</f>
        <v>793.45</v>
      </c>
      <c r="O20" s="128">
        <f>VLOOKUP(B20,'B&amp;L'!$A$7:$BK$66,63,0)</f>
        <v>800.07</v>
      </c>
    </row>
    <row r="21" spans="1:15" ht="15" customHeight="1">
      <c r="A21" s="357">
        <v>8</v>
      </c>
      <c r="B21" s="91" t="s">
        <v>31</v>
      </c>
      <c r="C21" s="76" t="s">
        <v>160</v>
      </c>
      <c r="D21" s="127">
        <f>VLOOKUP(B22,'B&amp;L'!$A$7:$BK$66,7,0)</f>
        <v>206.23</v>
      </c>
      <c r="E21" s="127">
        <f>VLOOKUP(B22,'B&amp;L'!$A$7:$BK$66,12,0)</f>
        <v>196.81</v>
      </c>
      <c r="F21" s="127">
        <f>VLOOKUP(B22,'B&amp;L'!$A$7:$BK$66,17,0)</f>
        <v>202.44</v>
      </c>
      <c r="G21" s="127">
        <f>VLOOKUP(B22,'B&amp;L'!$A$7:$BK$66,22,0)</f>
        <v>195.42</v>
      </c>
      <c r="H21" s="127">
        <f>VLOOKUP(B22,'B&amp;L'!$A$7:$BK$66,27,0)</f>
        <v>193.63</v>
      </c>
      <c r="I21" s="127">
        <f>VLOOKUP(B22,'B&amp;L'!$A$7:$BK$66,32,0)</f>
        <v>194.28</v>
      </c>
      <c r="J21" s="127">
        <f>VLOOKUP(B22,'B&amp;L'!$A$7:$BK$66,37,0)</f>
        <v>193.44</v>
      </c>
      <c r="K21" s="127">
        <f>VLOOKUP(B22,'B&amp;L'!$A$7:$BK$66,42,0)</f>
        <v>191.89</v>
      </c>
      <c r="L21" s="127">
        <f>VLOOKUP(B22,'B&amp;L'!$A$7:$BK$66,47,0)</f>
        <v>192.7</v>
      </c>
      <c r="M21" s="127">
        <f>VLOOKUP(B22,'B&amp;L'!$A$7:$BK$66,52,0)</f>
        <v>189.72</v>
      </c>
      <c r="N21" s="127">
        <f>VLOOKUP(B22,'B&amp;L'!$A$7:$BK$66,57,0)</f>
        <v>186.77</v>
      </c>
      <c r="O21" s="127">
        <f>VLOOKUP(B22,'B&amp;L'!$A$7:$BK$66,62,0)</f>
        <v>190.53</v>
      </c>
    </row>
    <row r="22" spans="1:15" ht="15" customHeight="1">
      <c r="A22" s="358"/>
      <c r="B22" s="92">
        <v>1412000048</v>
      </c>
      <c r="C22" s="84" t="s">
        <v>161</v>
      </c>
      <c r="D22" s="128">
        <f>VLOOKUP(B22,'B&amp;L'!$A$7:$BK$66,8,0)</f>
        <v>25.5</v>
      </c>
      <c r="E22" s="128">
        <f>VLOOKUP(B22,'B&amp;L'!$A$7:$BK$66,13,0)</f>
        <v>24.95</v>
      </c>
      <c r="F22" s="128">
        <f>VLOOKUP(B22,'B&amp;L'!$A$7:$BK$66,18,0)</f>
        <v>25.67</v>
      </c>
      <c r="G22" s="128">
        <f>VLOOKUP(B22,'B&amp;L'!$A$7:$BK$66,23,0)</f>
        <v>24.78</v>
      </c>
      <c r="H22" s="128">
        <f>VLOOKUP(B22,'B&amp;L'!$A$7:$BK$66,28,0)</f>
        <v>24.55</v>
      </c>
      <c r="I22" s="128">
        <f>VLOOKUP(B22,'B&amp;L'!$A$7:$BK$66,33,0)</f>
        <v>24.63</v>
      </c>
      <c r="J22" s="128">
        <f>VLOOKUP(B22,'B&amp;L'!$A$7:$BK$66,38,0)</f>
        <v>24.53</v>
      </c>
      <c r="K22" s="128">
        <f>VLOOKUP(B22,'B&amp;L'!$A$7:$BK$66,43,0)</f>
        <v>24.33</v>
      </c>
      <c r="L22" s="128">
        <f>VLOOKUP(B22,'B&amp;L'!$A$7:$BK$66,48,0)</f>
        <v>24.43</v>
      </c>
      <c r="M22" s="128">
        <f>VLOOKUP(B22,'B&amp;L'!$A$7:$BK$66,53,0)</f>
        <v>24.05</v>
      </c>
      <c r="N22" s="128">
        <f>VLOOKUP(B22,'B&amp;L'!$A$7:$BK$66,58,0)</f>
        <v>23.68</v>
      </c>
      <c r="O22" s="128">
        <f>VLOOKUP(B22,'B&amp;L'!$A$7:$BK$66,63,0)</f>
        <v>24.16</v>
      </c>
    </row>
    <row r="23" spans="1:15" ht="15" customHeight="1">
      <c r="A23" s="357">
        <v>9</v>
      </c>
      <c r="B23" s="91" t="s">
        <v>147</v>
      </c>
      <c r="C23" s="76" t="s">
        <v>160</v>
      </c>
      <c r="D23" s="127">
        <f>VLOOKUP(B24,'B&amp;L'!$A$7:$BK$66,7,0)</f>
        <v>141.9</v>
      </c>
      <c r="E23" s="127">
        <f>VLOOKUP(B24,'B&amp;L'!$A$7:$BK$66,12,0)</f>
        <v>135.96</v>
      </c>
      <c r="F23" s="127">
        <f>VLOOKUP(B24,'B&amp;L'!$A$7:$BK$66,17,0)</f>
        <v>138.54</v>
      </c>
      <c r="G23" s="127">
        <f>VLOOKUP(B24,'B&amp;L'!$A$7:$BK$66,22,0)</f>
        <v>129.58000000000001</v>
      </c>
      <c r="H23" s="127">
        <f>VLOOKUP(B24,'B&amp;L'!$A$7:$BK$66,27,0)</f>
        <v>129.72999999999999</v>
      </c>
      <c r="I23" s="127">
        <f>VLOOKUP(B24,'B&amp;L'!$A$7:$BK$66,32,0)</f>
        <v>134.16</v>
      </c>
      <c r="J23" s="127">
        <f>VLOOKUP(B24,'B&amp;L'!$A$7:$BK$66,37,0)</f>
        <v>133.26</v>
      </c>
      <c r="K23" s="127">
        <f>VLOOKUP(B24,'B&amp;L'!$A$7:$BK$66,42,0)</f>
        <v>131.57</v>
      </c>
      <c r="L23" s="127">
        <f>VLOOKUP(B24,'B&amp;L'!$A$7:$BK$66,47,0)</f>
        <v>134.28</v>
      </c>
      <c r="M23" s="127">
        <f>VLOOKUP(B24,'B&amp;L'!$A$7:$BK$66,52,0)</f>
        <v>130.94</v>
      </c>
      <c r="N23" s="127">
        <f>VLOOKUP(B24,'B&amp;L'!$A$7:$BK$66,57,0)</f>
        <v>127.63</v>
      </c>
      <c r="O23" s="127">
        <f>VLOOKUP(B24,'B&amp;L'!$A$7:$BK$66,62,0)</f>
        <v>135.32</v>
      </c>
    </row>
    <row r="24" spans="1:15" ht="15" customHeight="1">
      <c r="A24" s="358"/>
      <c r="B24" s="92">
        <v>1412000055</v>
      </c>
      <c r="C24" s="84" t="s">
        <v>161</v>
      </c>
      <c r="D24" s="128">
        <f>VLOOKUP(B24,'B&amp;L'!$A$7:$BK$66,8,0)</f>
        <v>17.55</v>
      </c>
      <c r="E24" s="128">
        <f>VLOOKUP(B24,'B&amp;L'!$A$7:$BK$66,13,0)</f>
        <v>17.239999999999998</v>
      </c>
      <c r="F24" s="128">
        <f>VLOOKUP(B24,'B&amp;L'!$A$7:$BK$66,18,0)</f>
        <v>17.57</v>
      </c>
      <c r="G24" s="128">
        <f>VLOOKUP(B24,'B&amp;L'!$A$7:$BK$66,23,0)</f>
        <v>16.43</v>
      </c>
      <c r="H24" s="128">
        <f>VLOOKUP(B24,'B&amp;L'!$A$7:$BK$66,28,0)</f>
        <v>16.45</v>
      </c>
      <c r="I24" s="128">
        <f>VLOOKUP(B24,'B&amp;L'!$A$7:$BK$66,33,0)</f>
        <v>17.010000000000002</v>
      </c>
      <c r="J24" s="128">
        <f>VLOOKUP(B24,'B&amp;L'!$A$7:$BK$66,38,0)</f>
        <v>16.899999999999999</v>
      </c>
      <c r="K24" s="128">
        <f>VLOOKUP(B24,'B&amp;L'!$A$7:$BK$66,43,0)</f>
        <v>16.68</v>
      </c>
      <c r="L24" s="128">
        <f>VLOOKUP(B24,'B&amp;L'!$A$7:$BK$66,48,0)</f>
        <v>17.02</v>
      </c>
      <c r="M24" s="128">
        <f>VLOOKUP(B24,'B&amp;L'!$A$7:$BK$66,53,0)</f>
        <v>16.600000000000001</v>
      </c>
      <c r="N24" s="128">
        <f>VLOOKUP(B24,'B&amp;L'!$A$7:$BK$66,58,0)</f>
        <v>16.18</v>
      </c>
      <c r="O24" s="128">
        <f>VLOOKUP(B24,'B&amp;L'!$A$7:$BK$66,63,0)</f>
        <v>17.16</v>
      </c>
    </row>
    <row r="25" spans="1:15" ht="15" customHeight="1">
      <c r="A25" s="357">
        <v>10</v>
      </c>
      <c r="B25" s="91" t="s">
        <v>98</v>
      </c>
      <c r="C25" s="76" t="s">
        <v>160</v>
      </c>
      <c r="D25" s="127">
        <f>VLOOKUP(B26,'B&amp;L'!$A$7:$BK$66,7,0)</f>
        <v>32.22</v>
      </c>
      <c r="E25" s="127">
        <f>VLOOKUP(B26,'B&amp;L'!$A$7:$BK$66,12,0)</f>
        <v>29.23</v>
      </c>
      <c r="F25" s="127">
        <f>VLOOKUP(B26,'B&amp;L'!$A$7:$BK$66,17,0)</f>
        <v>23.82</v>
      </c>
      <c r="G25" s="127">
        <f>VLOOKUP(B26,'B&amp;L'!$A$7:$BK$66,22,0)</f>
        <v>21.29</v>
      </c>
      <c r="H25" s="127">
        <f>VLOOKUP(B26,'B&amp;L'!$A$7:$BK$66,27,0)</f>
        <v>20.65</v>
      </c>
      <c r="I25" s="127">
        <f>VLOOKUP(B26,'B&amp;L'!$A$7:$BK$66,32,0)</f>
        <v>20.88</v>
      </c>
      <c r="J25" s="127">
        <f>VLOOKUP(B26,'B&amp;L'!$A$7:$BK$66,37,0)</f>
        <v>20.58</v>
      </c>
      <c r="K25" s="127">
        <f>VLOOKUP(B26,'B&amp;L'!$A$7:$BK$66,42,0)</f>
        <v>20.02</v>
      </c>
      <c r="L25" s="127">
        <f>VLOOKUP(B26,'B&amp;L'!$A$7:$BK$66,47,0)</f>
        <v>18.489999999999998</v>
      </c>
      <c r="M25" s="127">
        <f>VLOOKUP(B26,'B&amp;L'!$A$7:$BK$66,52,0)</f>
        <v>17.53</v>
      </c>
      <c r="N25" s="127">
        <f>VLOOKUP(B26,'B&amp;L'!$A$7:$BK$66,57,0)</f>
        <v>16.59</v>
      </c>
      <c r="O25" s="127">
        <f>VLOOKUP(B26,'B&amp;L'!$A$7:$BK$66,62,0)</f>
        <v>17.79</v>
      </c>
    </row>
    <row r="26" spans="1:15" ht="15" customHeight="1">
      <c r="A26" s="358"/>
      <c r="B26" s="92">
        <v>1412000063</v>
      </c>
      <c r="C26" s="84" t="s">
        <v>161</v>
      </c>
      <c r="D26" s="128">
        <f>VLOOKUP(B26,'B&amp;L'!$A$7:$BK$66,8,0)</f>
        <v>3.98</v>
      </c>
      <c r="E26" s="128">
        <f>VLOOKUP(B26,'B&amp;L'!$A$7:$BK$66,13,0)</f>
        <v>3.71</v>
      </c>
      <c r="F26" s="128">
        <f>VLOOKUP(B26,'B&amp;L'!$A$7:$BK$66,18,0)</f>
        <v>3.02</v>
      </c>
      <c r="G26" s="128">
        <f>VLOOKUP(B26,'B&amp;L'!$A$7:$BK$66,23,0)</f>
        <v>2.7</v>
      </c>
      <c r="H26" s="128">
        <f>VLOOKUP(B26,'B&amp;L'!$A$7:$BK$66,28,0)</f>
        <v>2.62</v>
      </c>
      <c r="I26" s="128">
        <f>VLOOKUP(B26,'B&amp;L'!$A$7:$BK$66,33,0)</f>
        <v>2.65</v>
      </c>
      <c r="J26" s="128">
        <f>VLOOKUP(B26,'B&amp;L'!$A$7:$BK$66,38,0)</f>
        <v>2.61</v>
      </c>
      <c r="K26" s="128">
        <f>VLOOKUP(B26,'B&amp;L'!$A$7:$BK$66,43,0)</f>
        <v>2.54</v>
      </c>
      <c r="L26" s="128">
        <f>VLOOKUP(B26,'B&amp;L'!$A$7:$BK$66,48,0)</f>
        <v>2.34</v>
      </c>
      <c r="M26" s="128">
        <f>VLOOKUP(B26,'B&amp;L'!$A$7:$BK$66,53,0)</f>
        <v>2.2200000000000002</v>
      </c>
      <c r="N26" s="128">
        <f>VLOOKUP(B26,'B&amp;L'!$A$7:$BK$66,58,0)</f>
        <v>2.1</v>
      </c>
      <c r="O26" s="128">
        <f>VLOOKUP(B26,'B&amp;L'!$A$7:$BK$66,63,0)</f>
        <v>2.2599999999999998</v>
      </c>
    </row>
    <row r="27" spans="1:15" ht="15" customHeight="1">
      <c r="A27" s="357">
        <v>11</v>
      </c>
      <c r="B27" s="91" t="s">
        <v>146</v>
      </c>
      <c r="C27" s="76" t="s">
        <v>160</v>
      </c>
      <c r="D27" s="127">
        <f>VLOOKUP(B28,'B&amp;L'!$A$7:$BK$66,7,0)</f>
        <v>1116.79</v>
      </c>
      <c r="E27" s="127">
        <f>VLOOKUP(B28,'B&amp;L'!$A$7:$BK$66,12,0)</f>
        <v>1056.28</v>
      </c>
      <c r="F27" s="127">
        <f>VLOOKUP(B28,'B&amp;L'!$A$7:$BK$66,17,0)</f>
        <v>1056.5999999999999</v>
      </c>
      <c r="G27" s="127">
        <f>VLOOKUP(B28,'B&amp;L'!$A$7:$BK$66,22,0)</f>
        <v>1050.1199999999999</v>
      </c>
      <c r="H27" s="127">
        <f>VLOOKUP(B28,'B&amp;L'!$A$7:$BK$66,27,0)</f>
        <v>1047.32</v>
      </c>
      <c r="I27" s="127">
        <f>VLOOKUP(B28,'B&amp;L'!$A$7:$BK$66,32,0)</f>
        <v>1039.67</v>
      </c>
      <c r="J27" s="127">
        <f>VLOOKUP(B28,'B&amp;L'!$A$7:$BK$66,37,0)</f>
        <v>1032.47</v>
      </c>
      <c r="K27" s="127">
        <f>VLOOKUP(B28,'B&amp;L'!$A$7:$BK$66,42,0)</f>
        <v>1032.33</v>
      </c>
      <c r="L27" s="127">
        <f>VLOOKUP(B28,'B&amp;L'!$A$7:$BK$66,47,0)</f>
        <v>1032.53</v>
      </c>
      <c r="M27" s="127">
        <f>VLOOKUP(B28,'B&amp;L'!$A$7:$BK$66,52,0)</f>
        <v>1031.18</v>
      </c>
      <c r="N27" s="127">
        <f>VLOOKUP(B28,'B&amp;L'!$A$7:$BK$66,57,0)</f>
        <v>1026.83</v>
      </c>
      <c r="O27" s="127">
        <f>VLOOKUP(B28,'B&amp;L'!$A$7:$BK$66,62,0)</f>
        <v>1030.27</v>
      </c>
    </row>
    <row r="28" spans="1:15" ht="15" customHeight="1">
      <c r="A28" s="358"/>
      <c r="B28" s="92">
        <v>1412000044</v>
      </c>
      <c r="C28" s="84" t="s">
        <v>161</v>
      </c>
      <c r="D28" s="128">
        <f>VLOOKUP(B28,'B&amp;L'!$A$7:$BK$66,8,0)</f>
        <v>138.09</v>
      </c>
      <c r="E28" s="128">
        <f>VLOOKUP(B28,'B&amp;L'!$A$7:$BK$66,13,0)</f>
        <v>133.93</v>
      </c>
      <c r="F28" s="128">
        <f>VLOOKUP(B28,'B&amp;L'!$A$7:$BK$66,18,0)</f>
        <v>133.97</v>
      </c>
      <c r="G28" s="128">
        <f>VLOOKUP(B28,'B&amp;L'!$A$7:$BK$66,23,0)</f>
        <v>133.13999999999999</v>
      </c>
      <c r="H28" s="128">
        <f>VLOOKUP(B28,'B&amp;L'!$A$7:$BK$66,28,0)</f>
        <v>132.79</v>
      </c>
      <c r="I28" s="128">
        <f>VLOOKUP(B28,'B&amp;L'!$A$7:$BK$66,33,0)</f>
        <v>131.82</v>
      </c>
      <c r="J28" s="128">
        <f>VLOOKUP(B28,'B&amp;L'!$A$7:$BK$66,38,0)</f>
        <v>130.91</v>
      </c>
      <c r="K28" s="128">
        <f>VLOOKUP(B28,'B&amp;L'!$A$7:$BK$66,43,0)</f>
        <v>130.88999999999999</v>
      </c>
      <c r="L28" s="128">
        <f>VLOOKUP(B28,'B&amp;L'!$A$7:$BK$66,48,0)</f>
        <v>130.91</v>
      </c>
      <c r="M28" s="128">
        <f>VLOOKUP(B28,'B&amp;L'!$A$7:$BK$66,53,0)</f>
        <v>130.74</v>
      </c>
      <c r="N28" s="128">
        <f>VLOOKUP(B28,'B&amp;L'!$A$7:$BK$66,58,0)</f>
        <v>130.19</v>
      </c>
      <c r="O28" s="128">
        <f>VLOOKUP(B28,'B&amp;L'!$A$7:$BK$66,63,0)</f>
        <v>130.63</v>
      </c>
    </row>
    <row r="29" spans="1:15" ht="15" customHeight="1">
      <c r="A29" s="357">
        <v>12</v>
      </c>
      <c r="B29" s="91" t="s">
        <v>111</v>
      </c>
      <c r="C29" s="76" t="s">
        <v>160</v>
      </c>
      <c r="D29" s="127">
        <f>VLOOKUP(B30,'B&amp;L'!$A$7:$BK$66,7,0)</f>
        <v>77.010000000000005</v>
      </c>
      <c r="E29" s="127">
        <f>VLOOKUP(B30,'B&amp;L'!$A$7:$BK$66,12,0)</f>
        <v>72.59</v>
      </c>
      <c r="F29" s="127">
        <f>VLOOKUP(B30,'B&amp;L'!$A$7:$BK$66,17,0)</f>
        <v>72.67</v>
      </c>
      <c r="G29" s="127">
        <f>VLOOKUP(B30,'B&amp;L'!$A$7:$BK$66,22,0)</f>
        <v>70.95</v>
      </c>
      <c r="H29" s="127">
        <f>VLOOKUP(B30,'B&amp;L'!$A$7:$BK$66,27,0)</f>
        <v>70.209999999999994</v>
      </c>
      <c r="I29" s="127">
        <f>VLOOKUP(B30,'B&amp;L'!$A$7:$BK$66,32,0)</f>
        <v>68.19</v>
      </c>
      <c r="J29" s="127">
        <f>VLOOKUP(B30,'B&amp;L'!$A$7:$BK$66,37,0)</f>
        <v>66.28</v>
      </c>
      <c r="K29" s="127">
        <f>VLOOKUP(B30,'B&amp;L'!$A$7:$BK$66,42,0)</f>
        <v>66.239999999999995</v>
      </c>
      <c r="L29" s="127">
        <f>VLOOKUP(B30,'B&amp;L'!$A$7:$BK$66,47,0)</f>
        <v>66.3</v>
      </c>
      <c r="M29" s="127">
        <f>VLOOKUP(B30,'B&amp;L'!$A$7:$BK$66,52,0)</f>
        <v>65.94</v>
      </c>
      <c r="N29" s="127">
        <f>VLOOKUP(B30,'B&amp;L'!$A$7:$BK$66,57,0)</f>
        <v>64.790000000000006</v>
      </c>
      <c r="O29" s="127">
        <f>VLOOKUP(B30,'B&amp;L'!$A$7:$BK$66,62,0)</f>
        <v>65.7</v>
      </c>
    </row>
    <row r="30" spans="1:15" ht="15" customHeight="1">
      <c r="A30" s="358"/>
      <c r="B30" s="92">
        <v>1412000087</v>
      </c>
      <c r="C30" s="84" t="s">
        <v>161</v>
      </c>
      <c r="D30" s="128">
        <f>VLOOKUP(B30,'B&amp;L'!$A$7:$BK$66,8,0)</f>
        <v>9.52</v>
      </c>
      <c r="E30" s="128">
        <f>VLOOKUP(B30,'B&amp;L'!$A$7:$BK$66,13,0)</f>
        <v>9.1999999999999993</v>
      </c>
      <c r="F30" s="128">
        <f>VLOOKUP(B30,'B&amp;L'!$A$7:$BK$66,18,0)</f>
        <v>9.2100000000000009</v>
      </c>
      <c r="G30" s="128">
        <f>VLOOKUP(B30,'B&amp;L'!$A$7:$BK$66,23,0)</f>
        <v>9</v>
      </c>
      <c r="H30" s="128">
        <f>VLOOKUP(B30,'B&amp;L'!$A$7:$BK$66,28,0)</f>
        <v>8.9</v>
      </c>
      <c r="I30" s="128">
        <f>VLOOKUP(B30,'B&amp;L'!$A$7:$BK$66,33,0)</f>
        <v>8.65</v>
      </c>
      <c r="J30" s="128">
        <f>VLOOKUP(B30,'B&amp;L'!$A$7:$BK$66,38,0)</f>
        <v>8.4</v>
      </c>
      <c r="K30" s="128">
        <f>VLOOKUP(B30,'B&amp;L'!$A$7:$BK$66,43,0)</f>
        <v>8.4</v>
      </c>
      <c r="L30" s="128">
        <f>VLOOKUP(B30,'B&amp;L'!$A$7:$BK$66,48,0)</f>
        <v>8.41</v>
      </c>
      <c r="M30" s="128">
        <f>VLOOKUP(B30,'B&amp;L'!$A$7:$BK$66,53,0)</f>
        <v>8.36</v>
      </c>
      <c r="N30" s="128">
        <f>VLOOKUP(B30,'B&amp;L'!$A$7:$BK$66,58,0)</f>
        <v>8.2100000000000009</v>
      </c>
      <c r="O30" s="128">
        <f>VLOOKUP(B30,'B&amp;L'!$A$7:$BK$66,63,0)</f>
        <v>8.33</v>
      </c>
    </row>
    <row r="31" spans="1:15" ht="15" customHeight="1">
      <c r="A31" s="357">
        <v>13</v>
      </c>
      <c r="B31" s="91" t="s">
        <v>112</v>
      </c>
      <c r="C31" s="76" t="s">
        <v>160</v>
      </c>
      <c r="D31" s="127">
        <f>VLOOKUP(B32,'B&amp;L'!$A$7:$BK$66,7,0)</f>
        <v>248.89</v>
      </c>
      <c r="E31" s="127">
        <f>VLOOKUP(B32,'B&amp;L'!$A$7:$BK$66,12,0)</f>
        <v>234.75</v>
      </c>
      <c r="F31" s="127">
        <f>VLOOKUP(B32,'B&amp;L'!$A$7:$BK$66,17,0)</f>
        <v>234.98</v>
      </c>
      <c r="G31" s="127">
        <f>VLOOKUP(B32,'B&amp;L'!$A$7:$BK$66,22,0)</f>
        <v>230.22</v>
      </c>
      <c r="H31" s="127">
        <f>VLOOKUP(B32,'B&amp;L'!$A$7:$BK$66,27,0)</f>
        <v>228.16</v>
      </c>
      <c r="I31" s="127">
        <f>VLOOKUP(B32,'B&amp;L'!$A$7:$BK$66,32,0)</f>
        <v>222.54</v>
      </c>
      <c r="J31" s="127">
        <f>VLOOKUP(B32,'B&amp;L'!$A$7:$BK$66,37,0)</f>
        <v>217.25</v>
      </c>
      <c r="K31" s="127">
        <f>VLOOKUP(B32,'B&amp;L'!$A$7:$BK$66,42,0)</f>
        <v>217.14</v>
      </c>
      <c r="L31" s="127">
        <f>VLOOKUP(B32,'B&amp;L'!$A$7:$BK$66,47,0)</f>
        <v>217.29</v>
      </c>
      <c r="M31" s="127">
        <f>VLOOKUP(B32,'B&amp;L'!$A$7:$BK$66,52,0)</f>
        <v>216.3</v>
      </c>
      <c r="N31" s="127">
        <f>VLOOKUP(B32,'B&amp;L'!$A$7:$BK$66,57,0)</f>
        <v>213.1</v>
      </c>
      <c r="O31" s="127">
        <f>VLOOKUP(B32,'B&amp;L'!$A$7:$BK$66,62,0)</f>
        <v>215.63</v>
      </c>
    </row>
    <row r="32" spans="1:15" ht="15" customHeight="1">
      <c r="A32" s="358"/>
      <c r="B32" s="92">
        <v>1412000088</v>
      </c>
      <c r="C32" s="84" t="s">
        <v>161</v>
      </c>
      <c r="D32" s="128">
        <f>VLOOKUP(B32,'B&amp;L'!$A$7:$BK$66,8,0)</f>
        <v>30.77</v>
      </c>
      <c r="E32" s="128">
        <f>VLOOKUP(B32,'B&amp;L'!$A$7:$BK$66,13,0)</f>
        <v>29.76</v>
      </c>
      <c r="F32" s="128">
        <f>VLOOKUP(B32,'B&amp;L'!$A$7:$BK$66,18,0)</f>
        <v>29.79</v>
      </c>
      <c r="G32" s="128">
        <f>VLOOKUP(B32,'B&amp;L'!$A$7:$BK$66,23,0)</f>
        <v>29.19</v>
      </c>
      <c r="H32" s="128">
        <f>VLOOKUP(B32,'B&amp;L'!$A$7:$BK$66,28,0)</f>
        <v>28.93</v>
      </c>
      <c r="I32" s="128">
        <f>VLOOKUP(B32,'B&amp;L'!$A$7:$BK$66,33,0)</f>
        <v>28.22</v>
      </c>
      <c r="J32" s="128">
        <f>VLOOKUP(B32,'B&amp;L'!$A$7:$BK$66,38,0)</f>
        <v>27.54</v>
      </c>
      <c r="K32" s="128">
        <f>VLOOKUP(B32,'B&amp;L'!$A$7:$BK$66,43,0)</f>
        <v>27.53</v>
      </c>
      <c r="L32" s="128">
        <f>VLOOKUP(B32,'B&amp;L'!$A$7:$BK$66,48,0)</f>
        <v>27.55</v>
      </c>
      <c r="M32" s="128">
        <f>VLOOKUP(B32,'B&amp;L'!$A$7:$BK$66,53,0)</f>
        <v>27.42</v>
      </c>
      <c r="N32" s="128">
        <f>VLOOKUP(B32,'B&amp;L'!$A$7:$BK$66,58,0)</f>
        <v>27.02</v>
      </c>
      <c r="O32" s="128">
        <f>VLOOKUP(B32,'B&amp;L'!$A$7:$BK$66,63,0)</f>
        <v>27.34</v>
      </c>
    </row>
    <row r="33" spans="1:15" ht="15" customHeight="1">
      <c r="A33" s="357">
        <v>14</v>
      </c>
      <c r="B33" s="91" t="s">
        <v>148</v>
      </c>
      <c r="C33" s="76" t="s">
        <v>160</v>
      </c>
      <c r="D33" s="127">
        <f>VLOOKUP(B34,'B&amp;L'!$A$7:$BK$66,7,0)</f>
        <v>7613.04</v>
      </c>
      <c r="E33" s="127">
        <f>VLOOKUP(B34,'B&amp;L'!$A$7:$BK$66,12,0)</f>
        <v>7203.92</v>
      </c>
      <c r="F33" s="127">
        <f>VLOOKUP(B34,'B&amp;L'!$A$7:$BK$66,17,0)</f>
        <v>7205.25</v>
      </c>
      <c r="G33" s="127">
        <f>VLOOKUP(B34,'B&amp;L'!$A$7:$BK$66,22,0)</f>
        <v>7178.19</v>
      </c>
      <c r="H33" s="127">
        <f>VLOOKUP(B34,'B&amp;L'!$A$7:$BK$66,27,0)</f>
        <v>7166.51</v>
      </c>
      <c r="I33" s="127">
        <f>VLOOKUP(B34,'B&amp;L'!$A$7:$BK$66,32,0)</f>
        <v>7134.57</v>
      </c>
      <c r="J33" s="127">
        <f>VLOOKUP(B34,'B&amp;L'!$A$7:$BK$66,37,0)</f>
        <v>7104.49</v>
      </c>
      <c r="K33" s="127">
        <f>VLOOKUP(B34,'B&amp;L'!$A$7:$BK$66,42,0)</f>
        <v>7103.88</v>
      </c>
      <c r="L33" s="127">
        <f>VLOOKUP(B34,'B&amp;L'!$A$7:$BK$66,47,0)</f>
        <v>7104.72</v>
      </c>
      <c r="M33" s="127">
        <f>VLOOKUP(B34,'B&amp;L'!$A$7:$BK$66,52,0)</f>
        <v>7099.1</v>
      </c>
      <c r="N33" s="127">
        <f>VLOOKUP(B34,'B&amp;L'!$A$7:$BK$66,57,0)</f>
        <v>7080.95</v>
      </c>
      <c r="O33" s="127">
        <f>VLOOKUP(B34,'B&amp;L'!$A$7:$BK$66,62,0)</f>
        <v>7095.31</v>
      </c>
    </row>
    <row r="34" spans="1:15" ht="15" customHeight="1">
      <c r="A34" s="358"/>
      <c r="B34" s="92">
        <v>1412000056</v>
      </c>
      <c r="C34" s="84" t="s">
        <v>161</v>
      </c>
      <c r="D34" s="128">
        <f>VLOOKUP(B34,'B&amp;L'!$A$7:$BK$66,8,0)</f>
        <v>941.32</v>
      </c>
      <c r="E34" s="128">
        <f>VLOOKUP(B34,'B&amp;L'!$A$7:$BK$66,13,0)</f>
        <v>913.39</v>
      </c>
      <c r="F34" s="128">
        <f>VLOOKUP(B34,'B&amp;L'!$A$7:$BK$66,18,0)</f>
        <v>913.55</v>
      </c>
      <c r="G34" s="128">
        <f>VLOOKUP(B34,'B&amp;L'!$A$7:$BK$66,23,0)</f>
        <v>910.12</v>
      </c>
      <c r="H34" s="128">
        <f>VLOOKUP(B34,'B&amp;L'!$A$7:$BK$66,28,0)</f>
        <v>908.64</v>
      </c>
      <c r="I34" s="128">
        <f>VLOOKUP(B34,'B&amp;L'!$A$7:$BK$66,33,0)</f>
        <v>904.59</v>
      </c>
      <c r="J34" s="128">
        <f>VLOOKUP(B34,'B&amp;L'!$A$7:$BK$66,38,0)</f>
        <v>900.78</v>
      </c>
      <c r="K34" s="128">
        <f>VLOOKUP(B34,'B&amp;L'!$A$7:$BK$66,43,0)</f>
        <v>900.7</v>
      </c>
      <c r="L34" s="128">
        <f>VLOOKUP(B34,'B&amp;L'!$A$7:$BK$66,48,0)</f>
        <v>900.81</v>
      </c>
      <c r="M34" s="128">
        <f>VLOOKUP(B34,'B&amp;L'!$A$7:$BK$66,53,0)</f>
        <v>900.1</v>
      </c>
      <c r="N34" s="128">
        <f>VLOOKUP(B34,'B&amp;L'!$A$7:$BK$66,58,0)</f>
        <v>897.79</v>
      </c>
      <c r="O34" s="128">
        <f>VLOOKUP(B34,'B&amp;L'!$A$7:$BK$66,63,0)</f>
        <v>899.61</v>
      </c>
    </row>
    <row r="35" spans="1:15" ht="15" customHeight="1">
      <c r="A35" s="357">
        <v>15</v>
      </c>
      <c r="B35" s="91" t="s">
        <v>150</v>
      </c>
      <c r="C35" s="76" t="s">
        <v>160</v>
      </c>
      <c r="D35" s="127">
        <f>VLOOKUP(B36,'B&amp;L'!$A$7:$BK$66,7,0)</f>
        <v>49.58</v>
      </c>
      <c r="E35" s="127">
        <f>VLOOKUP(B36,'B&amp;L'!$A$7:$BK$66,12,0)</f>
        <v>48.41</v>
      </c>
      <c r="F35" s="127">
        <f>VLOOKUP(B36,'B&amp;L'!$A$7:$BK$66,17,0)</f>
        <v>50.96</v>
      </c>
      <c r="G35" s="127">
        <f>VLOOKUP(B36,'B&amp;L'!$A$7:$BK$66,22,0)</f>
        <v>44.5</v>
      </c>
      <c r="H35" s="127">
        <f>VLOOKUP(B36,'B&amp;L'!$A$7:$BK$66,27,0)</f>
        <v>46.59</v>
      </c>
      <c r="I35" s="127">
        <f>VLOOKUP(B36,'B&amp;L'!$A$7:$BK$66,32,0)</f>
        <v>47.24</v>
      </c>
      <c r="J35" s="127">
        <f>VLOOKUP(B36,'B&amp;L'!$A$7:$BK$66,37,0)</f>
        <v>46.4</v>
      </c>
      <c r="K35" s="127">
        <f>VLOOKUP(B36,'B&amp;L'!$A$7:$BK$66,42,0)</f>
        <v>44.84</v>
      </c>
      <c r="L35" s="127">
        <f>VLOOKUP(B36,'B&amp;L'!$A$7:$BK$66,47,0)</f>
        <v>45.66</v>
      </c>
      <c r="M35" s="127">
        <f>VLOOKUP(B36,'B&amp;L'!$A$7:$BK$66,52,0)</f>
        <v>42.67</v>
      </c>
      <c r="N35" s="127">
        <f>VLOOKUP(B36,'B&amp;L'!$A$7:$BK$66,57,0)</f>
        <v>39.72</v>
      </c>
      <c r="O35" s="127">
        <f>VLOOKUP(B36,'B&amp;L'!$A$7:$BK$66,62,0)</f>
        <v>43.48</v>
      </c>
    </row>
    <row r="36" spans="1:15" ht="15" customHeight="1">
      <c r="A36" s="358"/>
      <c r="B36" s="92">
        <v>1412000080</v>
      </c>
      <c r="C36" s="84" t="s">
        <v>161</v>
      </c>
      <c r="D36" s="128">
        <f>VLOOKUP(B36,'B&amp;L'!$A$7:$BK$66,8,0)</f>
        <v>6.13</v>
      </c>
      <c r="E36" s="128">
        <f>VLOOKUP(B36,'B&amp;L'!$A$7:$BK$66,13,0)</f>
        <v>6.14</v>
      </c>
      <c r="F36" s="128">
        <f>VLOOKUP(B36,'B&amp;L'!$A$7:$BK$66,18,0)</f>
        <v>6.46</v>
      </c>
      <c r="G36" s="128">
        <f>VLOOKUP(B36,'B&amp;L'!$A$7:$BK$66,23,0)</f>
        <v>5.64</v>
      </c>
      <c r="H36" s="128">
        <f>VLOOKUP(B36,'B&amp;L'!$A$7:$BK$66,28,0)</f>
        <v>5.91</v>
      </c>
      <c r="I36" s="128">
        <f>VLOOKUP(B36,'B&amp;L'!$A$7:$BK$66,33,0)</f>
        <v>5.99</v>
      </c>
      <c r="J36" s="128">
        <f>VLOOKUP(B36,'B&amp;L'!$A$7:$BK$66,38,0)</f>
        <v>5.88</v>
      </c>
      <c r="K36" s="128">
        <f>VLOOKUP(B36,'B&amp;L'!$A$7:$BK$66,43,0)</f>
        <v>5.69</v>
      </c>
      <c r="L36" s="128">
        <f>VLOOKUP(B36,'B&amp;L'!$A$7:$BK$66,48,0)</f>
        <v>5.79</v>
      </c>
      <c r="M36" s="128">
        <f>VLOOKUP(B36,'B&amp;L'!$A$7:$BK$66,53,0)</f>
        <v>5.41</v>
      </c>
      <c r="N36" s="128">
        <f>VLOOKUP(B36,'B&amp;L'!$A$7:$BK$66,58,0)</f>
        <v>5.04</v>
      </c>
      <c r="O36" s="128">
        <f>VLOOKUP(B36,'B&amp;L'!$A$7:$BK$66,63,0)</f>
        <v>5.51</v>
      </c>
    </row>
    <row r="37" spans="1:15" ht="15" customHeight="1">
      <c r="A37" s="361">
        <v>16</v>
      </c>
      <c r="B37" s="130" t="s">
        <v>81</v>
      </c>
      <c r="C37" s="131" t="s">
        <v>160</v>
      </c>
      <c r="D37" s="273">
        <f>VLOOKUP(B38,'B&amp;L'!$A$7:$BK$66,7,0)</f>
        <v>1619.79</v>
      </c>
      <c r="E37" s="273">
        <f>VLOOKUP(B38,'B&amp;L'!$A$7:$BK$66,12,0)</f>
        <v>1529.32</v>
      </c>
      <c r="F37" s="273">
        <f>VLOOKUP(B38,'B&amp;L'!$A$7:$BK$66,17,0)</f>
        <v>1534.83</v>
      </c>
      <c r="G37" s="273">
        <f>VLOOKUP(B38,'B&amp;L'!$A$7:$BK$66,22,0)</f>
        <v>1493.85</v>
      </c>
      <c r="H37" s="273">
        <f>VLOOKUP(B38,'B&amp;L'!$A$7:$BK$66,27,0)</f>
        <v>1477.95</v>
      </c>
      <c r="I37" s="273">
        <f>VLOOKUP(B38,'B&amp;L'!$A$7:$BK$66,32,0)</f>
        <v>1442.45</v>
      </c>
      <c r="J37" s="273">
        <f>VLOOKUP(B38,'B&amp;L'!$A$7:$BK$66,37,0)</f>
        <v>1413.74</v>
      </c>
      <c r="K37" s="273">
        <f>VLOOKUP(B38,'B&amp;L'!$A$7:$BK$66,42,0)</f>
        <v>1410.79</v>
      </c>
      <c r="L37" s="273">
        <f>VLOOKUP(B38,'B&amp;L'!$A$7:$BK$66,47,0)</f>
        <v>1412.94</v>
      </c>
      <c r="M37" s="273">
        <f>VLOOKUP(B38,'B&amp;L'!$A$7:$BK$66,52,0)</f>
        <v>1403.93</v>
      </c>
      <c r="N37" s="273">
        <f>VLOOKUP(B38,'B&amp;L'!$A$7:$BK$66,57,0)</f>
        <v>1407.63</v>
      </c>
      <c r="O37" s="273">
        <f>VLOOKUP(B38,'B&amp;L'!$A$7:$BK$66,62,0)</f>
        <v>1431.65</v>
      </c>
    </row>
    <row r="38" spans="1:15" ht="15" customHeight="1">
      <c r="A38" s="362"/>
      <c r="B38" s="132">
        <v>1412000053</v>
      </c>
      <c r="C38" s="133" t="s">
        <v>161</v>
      </c>
      <c r="D38" s="274">
        <f>VLOOKUP(B38,'B&amp;L'!$A$7:$BK$66,8,0)</f>
        <v>200.28</v>
      </c>
      <c r="E38" s="274">
        <f>VLOOKUP(B38,'B&amp;L'!$A$7:$BK$66,13,0)</f>
        <v>193.9</v>
      </c>
      <c r="F38" s="274">
        <f>VLOOKUP(B38,'B&amp;L'!$A$7:$BK$66,18,0)</f>
        <v>194.6</v>
      </c>
      <c r="G38" s="274">
        <f>VLOOKUP(B38,'B&amp;L'!$A$7:$BK$66,23,0)</f>
        <v>189.41</v>
      </c>
      <c r="H38" s="274">
        <f>VLOOKUP(B38,'B&amp;L'!$A$7:$BK$66,28,0)</f>
        <v>187.39</v>
      </c>
      <c r="I38" s="274">
        <f>VLOOKUP(B38,'B&amp;L'!$A$7:$BK$66,33,0)</f>
        <v>182.89</v>
      </c>
      <c r="J38" s="274">
        <f>VLOOKUP(B38,'B&amp;L'!$A$7:$BK$66,38,0)</f>
        <v>179.25</v>
      </c>
      <c r="K38" s="274">
        <f>VLOOKUP(B38,'B&amp;L'!$A$7:$BK$66,43,0)</f>
        <v>178.87</v>
      </c>
      <c r="L38" s="274">
        <f>VLOOKUP(B38,'B&amp;L'!$A$7:$BK$66,48,0)</f>
        <v>179.15</v>
      </c>
      <c r="M38" s="274">
        <f>VLOOKUP(B38,'B&amp;L'!$A$7:$BK$66,53,0)</f>
        <v>178</v>
      </c>
      <c r="N38" s="274">
        <f>VLOOKUP(B38,'B&amp;L'!$A$7:$BK$66,58,0)</f>
        <v>178.47</v>
      </c>
      <c r="O38" s="274">
        <f>VLOOKUP(B38,'B&amp;L'!$A$7:$BK$66,63,0)</f>
        <v>181.52</v>
      </c>
    </row>
    <row r="39" spans="1:15" ht="15" customHeight="1">
      <c r="A39" s="357">
        <v>17</v>
      </c>
      <c r="B39" s="91" t="s">
        <v>82</v>
      </c>
      <c r="C39" s="76" t="s">
        <v>160</v>
      </c>
      <c r="D39" s="127">
        <f>VLOOKUP(B40,'B&amp;L'!$A$7:$BK$66,7,0)</f>
        <v>45.93</v>
      </c>
      <c r="E39" s="127">
        <f>VLOOKUP(B40,'B&amp;L'!$A$7:$BK$66,12,0)</f>
        <v>43.84</v>
      </c>
      <c r="F39" s="127">
        <f>VLOOKUP(B40,'B&amp;L'!$A$7:$BK$66,17,0)</f>
        <v>44.73</v>
      </c>
      <c r="G39" s="127">
        <f>VLOOKUP(B40,'B&amp;L'!$A$7:$BK$66,22,0)</f>
        <v>42.48</v>
      </c>
      <c r="H39" s="127">
        <f>VLOOKUP(B40,'B&amp;L'!$A$7:$BK$66,27,0)</f>
        <v>41.91</v>
      </c>
      <c r="I39" s="127">
        <f>VLOOKUP(B40,'B&amp;L'!$A$7:$BK$66,32,0)</f>
        <v>42.12</v>
      </c>
      <c r="J39" s="127">
        <f>VLOOKUP(B40,'B&amp;L'!$A$7:$BK$66,37,0)</f>
        <v>46.9</v>
      </c>
      <c r="K39" s="127">
        <f>VLOOKUP(B40,'B&amp;L'!$A$7:$BK$66,42,0)</f>
        <v>46.33</v>
      </c>
      <c r="L39" s="127">
        <f>VLOOKUP(B40,'B&amp;L'!$A$7:$BK$66,47,0)</f>
        <v>46.63</v>
      </c>
      <c r="M39" s="127">
        <f>VLOOKUP(B40,'B&amp;L'!$A$7:$BK$66,52,0)</f>
        <v>45.55</v>
      </c>
      <c r="N39" s="127">
        <f>VLOOKUP(B40,'B&amp;L'!$A$7:$BK$66,57,0)</f>
        <v>44.49</v>
      </c>
      <c r="O39" s="127">
        <f>VLOOKUP(B40,'B&amp;L'!$A$7:$BK$66,62,0)</f>
        <v>45.85</v>
      </c>
    </row>
    <row r="40" spans="1:15" ht="15" customHeight="1">
      <c r="A40" s="358"/>
      <c r="B40" s="92">
        <v>1412000075</v>
      </c>
      <c r="C40" s="84" t="s">
        <v>161</v>
      </c>
      <c r="D40" s="128">
        <f>VLOOKUP(B40,'B&amp;L'!$A$7:$BK$66,8,0)</f>
        <v>5.68</v>
      </c>
      <c r="E40" s="128">
        <f>VLOOKUP(B40,'B&amp;L'!$A$7:$BK$66,13,0)</f>
        <v>5.56</v>
      </c>
      <c r="F40" s="128">
        <f>VLOOKUP(B40,'B&amp;L'!$A$7:$BK$66,18,0)</f>
        <v>5.67</v>
      </c>
      <c r="G40" s="128">
        <f>VLOOKUP(B40,'B&amp;L'!$A$7:$BK$66,23,0)</f>
        <v>5.39</v>
      </c>
      <c r="H40" s="128">
        <f>VLOOKUP(B40,'B&amp;L'!$A$7:$BK$66,28,0)</f>
        <v>5.31</v>
      </c>
      <c r="I40" s="128">
        <f>VLOOKUP(B40,'B&amp;L'!$A$7:$BK$66,33,0)</f>
        <v>5.34</v>
      </c>
      <c r="J40" s="128">
        <f>VLOOKUP(B40,'B&amp;L'!$A$7:$BK$66,38,0)</f>
        <v>5.95</v>
      </c>
      <c r="K40" s="128">
        <f>VLOOKUP(B40,'B&amp;L'!$A$7:$BK$66,43,0)</f>
        <v>5.87</v>
      </c>
      <c r="L40" s="128">
        <f>VLOOKUP(B40,'B&amp;L'!$A$7:$BK$66,48,0)</f>
        <v>5.91</v>
      </c>
      <c r="M40" s="128">
        <f>VLOOKUP(B40,'B&amp;L'!$A$7:$BK$66,53,0)</f>
        <v>5.78</v>
      </c>
      <c r="N40" s="128">
        <f>VLOOKUP(B40,'B&amp;L'!$A$7:$BK$66,58,0)</f>
        <v>5.64</v>
      </c>
      <c r="O40" s="128">
        <f>VLOOKUP(B40,'B&amp;L'!$A$7:$BK$66,63,0)</f>
        <v>5.81</v>
      </c>
    </row>
    <row r="41" spans="1:15" ht="15" customHeight="1">
      <c r="A41" s="357">
        <v>18</v>
      </c>
      <c r="B41" s="91" t="s">
        <v>134</v>
      </c>
      <c r="C41" s="76" t="s">
        <v>160</v>
      </c>
      <c r="D41" s="127">
        <f>VLOOKUP(B42,'B&amp;L'!$A$7:$BK$66,7,0)</f>
        <v>63.16</v>
      </c>
      <c r="E41" s="127">
        <f>VLOOKUP(B42,'B&amp;L'!$A$7:$BK$66,12,0)</f>
        <v>60.28</v>
      </c>
      <c r="F41" s="127">
        <f>VLOOKUP(B42,'B&amp;L'!$A$7:$BK$66,17,0)</f>
        <v>61.5</v>
      </c>
      <c r="G41" s="127">
        <f>VLOOKUP(B42,'B&amp;L'!$A$7:$BK$66,22,0)</f>
        <v>58.41</v>
      </c>
      <c r="H41" s="127">
        <f>VLOOKUP(B42,'B&amp;L'!$A$7:$BK$66,27,0)</f>
        <v>57.62</v>
      </c>
      <c r="I41" s="127">
        <f>VLOOKUP(B42,'B&amp;L'!$A$7:$BK$66,32,0)</f>
        <v>57.91</v>
      </c>
      <c r="J41" s="127">
        <f>VLOOKUP(B42,'B&amp;L'!$A$7:$BK$66,37,0)</f>
        <v>57.32</v>
      </c>
      <c r="K41" s="127">
        <f>VLOOKUP(B42,'B&amp;L'!$A$7:$BK$66,42,0)</f>
        <v>56.63</v>
      </c>
      <c r="L41" s="127">
        <f>VLOOKUP(B42,'B&amp;L'!$A$7:$BK$66,47,0)</f>
        <v>56.99</v>
      </c>
      <c r="M41" s="127">
        <f>VLOOKUP(B42,'B&amp;L'!$A$7:$BK$66,52,0)</f>
        <v>55.68</v>
      </c>
      <c r="N41" s="127">
        <f>VLOOKUP(B42,'B&amp;L'!$A$7:$BK$66,57,0)</f>
        <v>54.38</v>
      </c>
      <c r="O41" s="127">
        <f>VLOOKUP(B42,'B&amp;L'!$A$7:$BK$66,62,0)</f>
        <v>56.03</v>
      </c>
    </row>
    <row r="42" spans="1:15" ht="15" customHeight="1">
      <c r="A42" s="358"/>
      <c r="B42" s="92">
        <v>1412000008</v>
      </c>
      <c r="C42" s="84" t="s">
        <v>161</v>
      </c>
      <c r="D42" s="128">
        <f>VLOOKUP(B42,'B&amp;L'!$A$7:$BK$66,8,0)</f>
        <v>7.81</v>
      </c>
      <c r="E42" s="128">
        <f>VLOOKUP(B42,'B&amp;L'!$A$7:$BK$66,13,0)</f>
        <v>7.64</v>
      </c>
      <c r="F42" s="128">
        <f>VLOOKUP(B42,'B&amp;L'!$A$7:$BK$66,18,0)</f>
        <v>7.8</v>
      </c>
      <c r="G42" s="128">
        <f>VLOOKUP(B42,'B&amp;L'!$A$7:$BK$66,23,0)</f>
        <v>7.41</v>
      </c>
      <c r="H42" s="128">
        <f>VLOOKUP(B42,'B&amp;L'!$A$7:$BK$66,28,0)</f>
        <v>7.31</v>
      </c>
      <c r="I42" s="128">
        <f>VLOOKUP(B42,'B&amp;L'!$A$7:$BK$66,33,0)</f>
        <v>7.34</v>
      </c>
      <c r="J42" s="128">
        <f>VLOOKUP(B42,'B&amp;L'!$A$7:$BK$66,38,0)</f>
        <v>7.27</v>
      </c>
      <c r="K42" s="128">
        <f>VLOOKUP(B42,'B&amp;L'!$A$7:$BK$66,43,0)</f>
        <v>7.18</v>
      </c>
      <c r="L42" s="128">
        <f>VLOOKUP(B42,'B&amp;L'!$A$7:$BK$66,48,0)</f>
        <v>7.23</v>
      </c>
      <c r="M42" s="128">
        <f>VLOOKUP(B42,'B&amp;L'!$A$7:$BK$66,53,0)</f>
        <v>7.06</v>
      </c>
      <c r="N42" s="128">
        <f>VLOOKUP(B42,'B&amp;L'!$A$7:$BK$66,58,0)</f>
        <v>6.89</v>
      </c>
      <c r="O42" s="128">
        <f>VLOOKUP(B42,'B&amp;L'!$A$7:$BK$66,63,0)</f>
        <v>7.1</v>
      </c>
    </row>
    <row r="43" spans="1:15" ht="15" customHeight="1">
      <c r="A43" s="357">
        <v>19</v>
      </c>
      <c r="B43" s="91" t="s">
        <v>135</v>
      </c>
      <c r="C43" s="76" t="s">
        <v>160</v>
      </c>
      <c r="D43" s="127">
        <f>VLOOKUP(B44,'B&amp;L'!$A$7:$BK$66,7,0)</f>
        <v>34.450000000000003</v>
      </c>
      <c r="E43" s="127">
        <f>VLOOKUP(B44,'B&amp;L'!$A$7:$BK$66,12,0)</f>
        <v>32.880000000000003</v>
      </c>
      <c r="F43" s="127">
        <f>VLOOKUP(B44,'B&amp;L'!$A$7:$BK$66,17,0)</f>
        <v>33.549999999999997</v>
      </c>
      <c r="G43" s="127">
        <f>VLOOKUP(B44,'B&amp;L'!$A$7:$BK$66,22,0)</f>
        <v>31.86</v>
      </c>
      <c r="H43" s="127">
        <f>VLOOKUP(B44,'B&amp;L'!$A$7:$BK$66,27,0)</f>
        <v>31.43</v>
      </c>
      <c r="I43" s="127">
        <f>VLOOKUP(B44,'B&amp;L'!$A$7:$BK$66,32,0)</f>
        <v>31.59</v>
      </c>
      <c r="J43" s="127">
        <f>VLOOKUP(B44,'B&amp;L'!$A$7:$BK$66,37,0)</f>
        <v>31.26</v>
      </c>
      <c r="K43" s="127">
        <f>VLOOKUP(B44,'B&amp;L'!$A$7:$BK$66,42,0)</f>
        <v>30.89</v>
      </c>
      <c r="L43" s="127">
        <f>VLOOKUP(B44,'B&amp;L'!$A$7:$BK$66,47,0)</f>
        <v>31.08</v>
      </c>
      <c r="M43" s="127">
        <f>VLOOKUP(B44,'B&amp;L'!$A$7:$BK$66,52,0)</f>
        <v>30.37</v>
      </c>
      <c r="N43" s="127">
        <f>VLOOKUP(B44,'B&amp;L'!$A$7:$BK$66,57,0)</f>
        <v>29.66</v>
      </c>
      <c r="O43" s="127">
        <f>VLOOKUP(B44,'B&amp;L'!$A$7:$BK$66,62,0)</f>
        <v>30.56</v>
      </c>
    </row>
    <row r="44" spans="1:15" ht="15" customHeight="1">
      <c r="A44" s="358"/>
      <c r="B44" s="92">
        <v>1412000010</v>
      </c>
      <c r="C44" s="84" t="s">
        <v>161</v>
      </c>
      <c r="D44" s="128">
        <f>VLOOKUP(B44,'B&amp;L'!$A$7:$BK$66,8,0)</f>
        <v>4.26</v>
      </c>
      <c r="E44" s="128">
        <f>VLOOKUP(B44,'B&amp;L'!$A$7:$BK$66,13,0)</f>
        <v>4.17</v>
      </c>
      <c r="F44" s="128">
        <f>VLOOKUP(B44,'B&amp;L'!$A$7:$BK$66,18,0)</f>
        <v>4.25</v>
      </c>
      <c r="G44" s="128">
        <f>VLOOKUP(B44,'B&amp;L'!$A$7:$BK$66,23,0)</f>
        <v>4.04</v>
      </c>
      <c r="H44" s="128">
        <f>VLOOKUP(B44,'B&amp;L'!$A$7:$BK$66,28,0)</f>
        <v>3.99</v>
      </c>
      <c r="I44" s="128">
        <f>VLOOKUP(B44,'B&amp;L'!$A$7:$BK$66,33,0)</f>
        <v>4</v>
      </c>
      <c r="J44" s="128">
        <f>VLOOKUP(B44,'B&amp;L'!$A$7:$BK$66,38,0)</f>
        <v>3.96</v>
      </c>
      <c r="K44" s="128">
        <f>VLOOKUP(B44,'B&amp;L'!$A$7:$BK$66,43,0)</f>
        <v>3.92</v>
      </c>
      <c r="L44" s="128">
        <f>VLOOKUP(B44,'B&amp;L'!$A$7:$BK$66,48,0)</f>
        <v>3.94</v>
      </c>
      <c r="M44" s="128">
        <f>VLOOKUP(B44,'B&amp;L'!$A$7:$BK$66,53,0)</f>
        <v>3.85</v>
      </c>
      <c r="N44" s="128">
        <f>VLOOKUP(B44,'B&amp;L'!$A$7:$BK$66,58,0)</f>
        <v>3.76</v>
      </c>
      <c r="O44" s="128">
        <f>VLOOKUP(B44,'B&amp;L'!$A$7:$BK$66,63,0)</f>
        <v>3.88</v>
      </c>
    </row>
    <row r="45" spans="1:15" s="88" customFormat="1" ht="15" customHeight="1">
      <c r="A45" s="363">
        <v>20</v>
      </c>
      <c r="B45" s="100" t="s">
        <v>162</v>
      </c>
      <c r="C45" s="87" t="s">
        <v>160</v>
      </c>
      <c r="D45" s="127">
        <f>VLOOKUP(B46,'B&amp;L'!$A$7:$BK$66,7,0)</f>
        <v>17.23</v>
      </c>
      <c r="E45" s="127">
        <f>VLOOKUP(B46,'B&amp;L'!$A$7:$BK$66,12,0)</f>
        <v>16.440000000000001</v>
      </c>
      <c r="F45" s="127">
        <f>VLOOKUP(B46,'B&amp;L'!$A$7:$BK$66,17,0)</f>
        <v>16.77</v>
      </c>
      <c r="G45" s="127">
        <f>VLOOKUP(B46,'B&amp;L'!$A$7:$BK$66,22,0)</f>
        <v>15.93</v>
      </c>
      <c r="H45" s="127">
        <f>VLOOKUP(B46,'B&amp;L'!$A$7:$BK$66,27,0)</f>
        <v>15.72</v>
      </c>
      <c r="I45" s="127">
        <f>VLOOKUP(B46,'B&amp;L'!$A$7:$BK$66,32,0)</f>
        <v>15.79</v>
      </c>
      <c r="J45" s="127">
        <f>VLOOKUP(B46,'B&amp;L'!$A$7:$BK$66,37,0)</f>
        <v>15.63</v>
      </c>
      <c r="K45" s="127">
        <f>VLOOKUP(B46,'B&amp;L'!$A$7:$BK$66,42,0)</f>
        <v>15.44</v>
      </c>
      <c r="L45" s="127">
        <f>VLOOKUP(B46,'B&amp;L'!$A$7:$BK$66,47,0)</f>
        <v>15.54</v>
      </c>
      <c r="M45" s="127">
        <f>VLOOKUP(B46,'B&amp;L'!$A$7:$BK$66,52,0)</f>
        <v>15.18</v>
      </c>
      <c r="N45" s="127">
        <f>VLOOKUP(B46,'B&amp;L'!$A$7:$BK$66,57,0)</f>
        <v>14.83</v>
      </c>
      <c r="O45" s="127">
        <f>VLOOKUP(B46,'B&amp;L'!$A$7:$BK$66,62,0)</f>
        <v>15.28</v>
      </c>
    </row>
    <row r="46" spans="1:15" s="88" customFormat="1" ht="15" customHeight="1">
      <c r="A46" s="364"/>
      <c r="B46" s="101">
        <v>1412000094</v>
      </c>
      <c r="C46" s="90" t="s">
        <v>161</v>
      </c>
      <c r="D46" s="128">
        <f>VLOOKUP(B46,'B&amp;L'!$A$7:$BK$66,8,0)</f>
        <v>2.13</v>
      </c>
      <c r="E46" s="128">
        <f>VLOOKUP(B46,'B&amp;L'!$A$7:$BK$66,13,0)</f>
        <v>2.08</v>
      </c>
      <c r="F46" s="128">
        <f>VLOOKUP(B46,'B&amp;L'!$A$7:$BK$66,18,0)</f>
        <v>2.13</v>
      </c>
      <c r="G46" s="128">
        <f>VLOOKUP(B46,'B&amp;L'!$A$7:$BK$66,23,0)</f>
        <v>2.02</v>
      </c>
      <c r="H46" s="128">
        <f>VLOOKUP(B46,'B&amp;L'!$A$7:$BK$66,28,0)</f>
        <v>1.99</v>
      </c>
      <c r="I46" s="128">
        <f>VLOOKUP(B46,'B&amp;L'!$A$7:$BK$66,33,0)</f>
        <v>2</v>
      </c>
      <c r="J46" s="128">
        <f>VLOOKUP(B46,'B&amp;L'!$A$7:$BK$66,38,0)</f>
        <v>1.98</v>
      </c>
      <c r="K46" s="128">
        <f>VLOOKUP(B46,'B&amp;L'!$A$7:$BK$66,43,0)</f>
        <v>1.96</v>
      </c>
      <c r="L46" s="128">
        <f>VLOOKUP(B46,'B&amp;L'!$A$7:$BK$66,48,0)</f>
        <v>1.97</v>
      </c>
      <c r="M46" s="128">
        <f>VLOOKUP(B46,'B&amp;L'!$A$7:$BK$66,53,0)</f>
        <v>1.93</v>
      </c>
      <c r="N46" s="128">
        <f>VLOOKUP(B46,'B&amp;L'!$A$7:$BK$66,58,0)</f>
        <v>1.88</v>
      </c>
      <c r="O46" s="128">
        <f>VLOOKUP(B46,'B&amp;L'!$A$7:$BK$66,63,0)</f>
        <v>1.94</v>
      </c>
    </row>
    <row r="47" spans="1:15" ht="15" customHeight="1">
      <c r="A47" s="357">
        <v>21</v>
      </c>
      <c r="B47" s="91" t="s">
        <v>4</v>
      </c>
      <c r="C47" s="76" t="s">
        <v>160</v>
      </c>
      <c r="D47" s="127">
        <f>VLOOKUP(B48,'B&amp;L'!$A$7:$BK$66,7,0)</f>
        <v>91.87</v>
      </c>
      <c r="E47" s="127">
        <f>VLOOKUP(B48,'B&amp;L'!$A$7:$BK$66,12,0)</f>
        <v>93.16</v>
      </c>
      <c r="F47" s="127">
        <f>VLOOKUP(B48,'B&amp;L'!$A$7:$BK$66,17,0)</f>
        <v>95.05</v>
      </c>
      <c r="G47" s="127">
        <f>VLOOKUP(B48,'B&amp;L'!$A$7:$BK$66,22,0)</f>
        <v>90.27</v>
      </c>
      <c r="H47" s="127">
        <f>VLOOKUP(B48,'B&amp;L'!$A$7:$BK$66,27,0)</f>
        <v>89.06</v>
      </c>
      <c r="I47" s="127">
        <f>VLOOKUP(B48,'B&amp;L'!$A$7:$BK$66,32,0)</f>
        <v>89.5</v>
      </c>
      <c r="J47" s="127">
        <f>VLOOKUP(B48,'B&amp;L'!$A$7:$BK$66,37,0)</f>
        <v>88.58</v>
      </c>
      <c r="K47" s="127">
        <f>VLOOKUP(B48,'B&amp;L'!$A$7:$BK$66,42,0)</f>
        <v>87.52</v>
      </c>
      <c r="L47" s="127">
        <f>VLOOKUP(B48,'B&amp;L'!$A$7:$BK$66,47,0)</f>
        <v>88.07</v>
      </c>
      <c r="M47" s="127">
        <f>VLOOKUP(B48,'B&amp;L'!$A$7:$BK$66,52,0)</f>
        <v>86.05</v>
      </c>
      <c r="N47" s="127">
        <f>VLOOKUP(B48,'B&amp;L'!$A$7:$BK$66,57,0)</f>
        <v>84.04</v>
      </c>
      <c r="O47" s="127">
        <f>VLOOKUP(B48,'B&amp;L'!$A$7:$BK$66,62,0)</f>
        <v>86.6</v>
      </c>
    </row>
    <row r="48" spans="1:15" ht="15" customHeight="1">
      <c r="A48" s="358"/>
      <c r="B48" s="92">
        <v>1412000054</v>
      </c>
      <c r="C48" s="84" t="s">
        <v>161</v>
      </c>
      <c r="D48" s="128">
        <f>VLOOKUP(B48,'B&amp;L'!$A$7:$BK$66,8,0)</f>
        <v>11.36</v>
      </c>
      <c r="E48" s="128">
        <f>VLOOKUP(B48,'B&amp;L'!$A$7:$BK$66,13,0)</f>
        <v>11.81</v>
      </c>
      <c r="F48" s="128">
        <f>VLOOKUP(B48,'B&amp;L'!$A$7:$BK$66,18,0)</f>
        <v>12.05</v>
      </c>
      <c r="G48" s="128">
        <f>VLOOKUP(B48,'B&amp;L'!$A$7:$BK$66,23,0)</f>
        <v>11.45</v>
      </c>
      <c r="H48" s="128">
        <f>VLOOKUP(B48,'B&amp;L'!$A$7:$BK$66,28,0)</f>
        <v>11.29</v>
      </c>
      <c r="I48" s="128">
        <f>VLOOKUP(B48,'B&amp;L'!$A$7:$BK$66,33,0)</f>
        <v>11.35</v>
      </c>
      <c r="J48" s="128">
        <f>VLOOKUP(B48,'B&amp;L'!$A$7:$BK$66,38,0)</f>
        <v>11.23</v>
      </c>
      <c r="K48" s="128">
        <f>VLOOKUP(B48,'B&amp;L'!$A$7:$BK$66,43,0)</f>
        <v>11.1</v>
      </c>
      <c r="L48" s="128">
        <f>VLOOKUP(B48,'B&amp;L'!$A$7:$BK$66,48,0)</f>
        <v>11.17</v>
      </c>
      <c r="M48" s="128">
        <f>VLOOKUP(B48,'B&amp;L'!$A$7:$BK$66,53,0)</f>
        <v>10.91</v>
      </c>
      <c r="N48" s="128">
        <f>VLOOKUP(B48,'B&amp;L'!$A$7:$BK$66,58,0)</f>
        <v>10.66</v>
      </c>
      <c r="O48" s="128">
        <f>VLOOKUP(B48,'B&amp;L'!$A$7:$BK$66,63,0)</f>
        <v>10.98</v>
      </c>
    </row>
    <row r="49" spans="1:15" ht="15" customHeight="1">
      <c r="A49" s="357">
        <v>22</v>
      </c>
      <c r="B49" s="91" t="s">
        <v>84</v>
      </c>
      <c r="C49" s="76" t="s">
        <v>160</v>
      </c>
      <c r="D49" s="127">
        <f>VLOOKUP(B50,'B&amp;L'!$A$7:$BK$66,7,0)</f>
        <v>58545.15</v>
      </c>
      <c r="E49" s="127">
        <f>VLOOKUP(B50,'B&amp;L'!$A$7:$BK$66,12,0)</f>
        <v>55416.19</v>
      </c>
      <c r="F49" s="127">
        <f>VLOOKUP(B50,'B&amp;L'!$A$7:$BK$66,17,0)</f>
        <v>55415.42</v>
      </c>
      <c r="G49" s="127">
        <f>VLOOKUP(B50,'B&amp;L'!$A$7:$BK$66,22,0)</f>
        <v>55338.83</v>
      </c>
      <c r="H49" s="127">
        <f>VLOOKUP(B50,'B&amp;L'!$A$7:$BK$66,27,0)</f>
        <v>55308.45</v>
      </c>
      <c r="I49" s="127">
        <f>VLOOKUP(B50,'B&amp;L'!$A$7:$BK$66,32,0)</f>
        <v>55225.36</v>
      </c>
      <c r="J49" s="127">
        <f>VLOOKUP(B50,'B&amp;L'!$A$7:$BK$66,37,0)</f>
        <v>55144.800000000003</v>
      </c>
      <c r="K49" s="127">
        <f>VLOOKUP(B50,'B&amp;L'!$A$7:$BK$66,42,0)</f>
        <v>55138.92</v>
      </c>
      <c r="L49" s="127">
        <f>VLOOKUP(B50,'B&amp;L'!$A$7:$BK$66,47,0)</f>
        <v>55137.55</v>
      </c>
      <c r="M49" s="127">
        <f>VLOOKUP(B50,'B&amp;L'!$A$7:$BK$66,52,0)</f>
        <v>55152.06</v>
      </c>
      <c r="N49" s="127">
        <f>VLOOKUP(B50,'B&amp;L'!$A$7:$BK$66,57,0)</f>
        <v>55129.51</v>
      </c>
      <c r="O49" s="127">
        <f>VLOOKUP(B50,'B&amp;L'!$A$7:$BK$66,62,0)</f>
        <v>55166.18</v>
      </c>
    </row>
    <row r="50" spans="1:15" ht="15" customHeight="1">
      <c r="A50" s="358"/>
      <c r="B50" s="92">
        <v>1412000036</v>
      </c>
      <c r="C50" s="84" t="s">
        <v>161</v>
      </c>
      <c r="D50" s="128">
        <f>VLOOKUP(B50,'B&amp;L'!$A$7:$BK$66,8,0)</f>
        <v>7238.83</v>
      </c>
      <c r="E50" s="128">
        <f>VLOOKUP(B50,'B&amp;L'!$A$7:$BK$66,13,0)</f>
        <v>7026.22</v>
      </c>
      <c r="F50" s="128">
        <f>VLOOKUP(B50,'B&amp;L'!$A$7:$BK$66,18,0)</f>
        <v>7026.12</v>
      </c>
      <c r="G50" s="128">
        <f>VLOOKUP(B50,'B&amp;L'!$A$7:$BK$66,23,0)</f>
        <v>7016.41</v>
      </c>
      <c r="H50" s="128">
        <f>VLOOKUP(B50,'B&amp;L'!$A$7:$BK$66,28,0)</f>
        <v>7012.56</v>
      </c>
      <c r="I50" s="128">
        <f>VLOOKUP(B50,'B&amp;L'!$A$7:$BK$66,33,0)</f>
        <v>7002.02</v>
      </c>
      <c r="J50" s="128">
        <f>VLOOKUP(B50,'B&amp;L'!$A$7:$BK$66,38,0)</f>
        <v>6991.81</v>
      </c>
      <c r="K50" s="128">
        <f>VLOOKUP(B50,'B&amp;L'!$A$7:$BK$66,43,0)</f>
        <v>6991.06</v>
      </c>
      <c r="L50" s="128">
        <f>VLOOKUP(B50,'B&amp;L'!$A$7:$BK$66,48,0)</f>
        <v>6990.89</v>
      </c>
      <c r="M50" s="128">
        <f>VLOOKUP(B50,'B&amp;L'!$A$7:$BK$66,53,0)</f>
        <v>6992.73</v>
      </c>
      <c r="N50" s="128">
        <f>VLOOKUP(B50,'B&amp;L'!$A$7:$BK$66,58,0)</f>
        <v>6989.87</v>
      </c>
      <c r="O50" s="128">
        <f>VLOOKUP(B50,'B&amp;L'!$A$7:$BK$66,63,0)</f>
        <v>6994.52</v>
      </c>
    </row>
    <row r="51" spans="1:15" ht="15" customHeight="1">
      <c r="A51" s="357">
        <v>23</v>
      </c>
      <c r="B51" s="91" t="s">
        <v>83</v>
      </c>
      <c r="C51" s="76" t="s">
        <v>160</v>
      </c>
      <c r="D51" s="127">
        <f>VLOOKUP(B52,'B&amp;L'!$A$7:$BK$66,7,0)</f>
        <v>24722.27</v>
      </c>
      <c r="E51" s="127">
        <f>VLOOKUP(B52,'B&amp;L'!$A$7:$BK$66,12,0)</f>
        <v>23409.37</v>
      </c>
      <c r="F51" s="127">
        <f>VLOOKUP(B52,'B&amp;L'!$A$7:$BK$66,17,0)</f>
        <v>23408.17</v>
      </c>
      <c r="G51" s="127">
        <f>VLOOKUP(B52,'B&amp;L'!$A$7:$BK$66,22,0)</f>
        <v>23395.79</v>
      </c>
      <c r="H51" s="127">
        <f>VLOOKUP(B52,'B&amp;L'!$A$7:$BK$66,27,0)</f>
        <v>23388.52</v>
      </c>
      <c r="I51" s="127">
        <f>VLOOKUP(B52,'B&amp;L'!$A$7:$BK$66,32,0)</f>
        <v>23374.92</v>
      </c>
      <c r="J51" s="127">
        <f>VLOOKUP(B52,'B&amp;L'!$A$7:$BK$66,37,0)</f>
        <v>23363.67</v>
      </c>
      <c r="K51" s="127">
        <f>VLOOKUP(B52,'B&amp;L'!$A$7:$BK$66,42,0)</f>
        <v>23362.95</v>
      </c>
      <c r="L51" s="127">
        <f>VLOOKUP(B52,'B&amp;L'!$A$7:$BK$66,47,0)</f>
        <v>23361.62</v>
      </c>
      <c r="M51" s="127">
        <f>VLOOKUP(B52,'B&amp;L'!$A$7:$BK$66,52,0)</f>
        <v>23360.53</v>
      </c>
      <c r="N51" s="127">
        <f>VLOOKUP(B52,'B&amp;L'!$A$7:$BK$66,57,0)</f>
        <v>23354.77</v>
      </c>
      <c r="O51" s="127">
        <f>VLOOKUP(B52,'B&amp;L'!$A$7:$BK$66,62,0)</f>
        <v>23359.43</v>
      </c>
    </row>
    <row r="52" spans="1:15" ht="15" customHeight="1">
      <c r="A52" s="358"/>
      <c r="B52" s="92">
        <v>1412000072</v>
      </c>
      <c r="C52" s="84" t="s">
        <v>161</v>
      </c>
      <c r="D52" s="128">
        <f>VLOOKUP(B52,'B&amp;L'!$A$7:$BK$66,8,0)</f>
        <v>3056.79</v>
      </c>
      <c r="E52" s="128">
        <f>VLOOKUP(B52,'B&amp;L'!$A$7:$BK$66,13,0)</f>
        <v>2968.07</v>
      </c>
      <c r="F52" s="128">
        <f>VLOOKUP(B52,'B&amp;L'!$A$7:$BK$66,18,0)</f>
        <v>2967.92</v>
      </c>
      <c r="G52" s="128">
        <f>VLOOKUP(B52,'B&amp;L'!$A$7:$BK$66,23,0)</f>
        <v>2966.35</v>
      </c>
      <c r="H52" s="128">
        <f>VLOOKUP(B52,'B&amp;L'!$A$7:$BK$66,28,0)</f>
        <v>2965.43</v>
      </c>
      <c r="I52" s="128">
        <f>VLOOKUP(B52,'B&amp;L'!$A$7:$BK$66,33,0)</f>
        <v>2963.71</v>
      </c>
      <c r="J52" s="128">
        <f>VLOOKUP(B52,'B&amp;L'!$A$7:$BK$66,38,0)</f>
        <v>2962.28</v>
      </c>
      <c r="K52" s="128">
        <f>VLOOKUP(B52,'B&amp;L'!$A$7:$BK$66,43,0)</f>
        <v>2962.19</v>
      </c>
      <c r="L52" s="128">
        <f>VLOOKUP(B52,'B&amp;L'!$A$7:$BK$66,48,0)</f>
        <v>2962.02</v>
      </c>
      <c r="M52" s="128">
        <f>VLOOKUP(B52,'B&amp;L'!$A$7:$BK$66,53,0)</f>
        <v>2961.88</v>
      </c>
      <c r="N52" s="128">
        <f>VLOOKUP(B52,'B&amp;L'!$A$7:$BK$66,58,0)</f>
        <v>2961.15</v>
      </c>
      <c r="O52" s="128">
        <f>VLOOKUP(B52,'B&amp;L'!$A$7:$BK$66,63,0)</f>
        <v>2961.74</v>
      </c>
    </row>
    <row r="53" spans="1:15" ht="15" customHeight="1">
      <c r="A53" s="357">
        <v>24</v>
      </c>
      <c r="B53" s="91" t="s">
        <v>67</v>
      </c>
      <c r="C53" s="76" t="s">
        <v>160</v>
      </c>
      <c r="D53" s="127">
        <f>VLOOKUP(B54,'B&amp;L'!$A$7:$BK$66,7,0)</f>
        <v>142.34</v>
      </c>
      <c r="E53" s="127">
        <f>VLOOKUP(B54,'B&amp;L'!$A$7:$BK$66,12,0)</f>
        <v>135.93</v>
      </c>
      <c r="F53" s="127">
        <f>VLOOKUP(B54,'B&amp;L'!$A$7:$BK$66,17,0)</f>
        <v>137.93</v>
      </c>
      <c r="G53" s="127">
        <f>VLOOKUP(B54,'B&amp;L'!$A$7:$BK$66,22,0)</f>
        <v>132.88</v>
      </c>
      <c r="H53" s="127">
        <f>VLOOKUP(B54,'B&amp;L'!$A$7:$BK$66,27,0)</f>
        <v>131.59</v>
      </c>
      <c r="I53" s="127">
        <f>VLOOKUP(B54,'B&amp;L'!$A$7:$BK$66,32,0)</f>
        <v>132.06</v>
      </c>
      <c r="J53" s="127">
        <f>VLOOKUP(B54,'B&amp;L'!$A$7:$BK$66,37,0)</f>
        <v>130.49</v>
      </c>
      <c r="K53" s="127">
        <f>VLOOKUP(B54,'B&amp;L'!$A$7:$BK$66,42,0)</f>
        <v>129.37</v>
      </c>
      <c r="L53" s="127">
        <f>VLOOKUP(B54,'B&amp;L'!$A$7:$BK$66,47,0)</f>
        <v>129.96</v>
      </c>
      <c r="M53" s="127">
        <f>VLOOKUP(B54,'B&amp;L'!$A$7:$BK$66,52,0)</f>
        <v>127.81</v>
      </c>
      <c r="N53" s="127">
        <f>VLOOKUP(B54,'B&amp;L'!$A$7:$BK$66,57,0)</f>
        <v>125.69</v>
      </c>
      <c r="O53" s="127">
        <f>VLOOKUP(B54,'B&amp;L'!$A$7:$BK$66,62,0)</f>
        <v>128.38999999999999</v>
      </c>
    </row>
    <row r="54" spans="1:15" ht="15" customHeight="1">
      <c r="A54" s="358"/>
      <c r="B54" s="92">
        <v>1412000073</v>
      </c>
      <c r="C54" s="84" t="s">
        <v>161</v>
      </c>
      <c r="D54" s="128">
        <f>VLOOKUP(B54,'B&amp;L'!$A$7:$BK$66,8,0)</f>
        <v>17.600000000000001</v>
      </c>
      <c r="E54" s="128">
        <f>VLOOKUP(B54,'B&amp;L'!$A$7:$BK$66,13,0)</f>
        <v>17.23</v>
      </c>
      <c r="F54" s="128">
        <f>VLOOKUP(B54,'B&amp;L'!$A$7:$BK$66,18,0)</f>
        <v>17.489999999999998</v>
      </c>
      <c r="G54" s="128">
        <f>VLOOKUP(B54,'B&amp;L'!$A$7:$BK$66,23,0)</f>
        <v>16.850000000000001</v>
      </c>
      <c r="H54" s="128">
        <f>VLOOKUP(B54,'B&amp;L'!$A$7:$BK$66,28,0)</f>
        <v>16.68</v>
      </c>
      <c r="I54" s="128">
        <f>VLOOKUP(B54,'B&amp;L'!$A$7:$BK$66,33,0)</f>
        <v>16.739999999999998</v>
      </c>
      <c r="J54" s="128">
        <f>VLOOKUP(B54,'B&amp;L'!$A$7:$BK$66,38,0)</f>
        <v>16.55</v>
      </c>
      <c r="K54" s="128">
        <f>VLOOKUP(B54,'B&amp;L'!$A$7:$BK$66,43,0)</f>
        <v>16.399999999999999</v>
      </c>
      <c r="L54" s="128">
        <f>VLOOKUP(B54,'B&amp;L'!$A$7:$BK$66,48,0)</f>
        <v>16.48</v>
      </c>
      <c r="M54" s="128">
        <f>VLOOKUP(B54,'B&amp;L'!$A$7:$BK$66,53,0)</f>
        <v>16.21</v>
      </c>
      <c r="N54" s="128">
        <f>VLOOKUP(B54,'B&amp;L'!$A$7:$BK$66,58,0)</f>
        <v>15.94</v>
      </c>
      <c r="O54" s="128">
        <f>VLOOKUP(B54,'B&amp;L'!$A$7:$BK$66,63,0)</f>
        <v>16.28</v>
      </c>
    </row>
    <row r="55" spans="1:15" ht="15" customHeight="1">
      <c r="A55" s="357">
        <v>25</v>
      </c>
      <c r="B55" s="91" t="s">
        <v>3</v>
      </c>
      <c r="C55" s="76" t="s">
        <v>160</v>
      </c>
      <c r="D55" s="127">
        <f>VLOOKUP(B56,'B&amp;L'!$A$7:$BK$66,7,0)</f>
        <v>148.31</v>
      </c>
      <c r="E55" s="127">
        <f>VLOOKUP(B56,'B&amp;L'!$A$7:$BK$66,12,0)</f>
        <v>138.93</v>
      </c>
      <c r="F55" s="127">
        <f>VLOOKUP(B56,'B&amp;L'!$A$7:$BK$66,17,0)</f>
        <v>138.97999999999999</v>
      </c>
      <c r="G55" s="127">
        <f>VLOOKUP(B56,'B&amp;L'!$A$7:$BK$66,22,0)</f>
        <v>138.74</v>
      </c>
      <c r="H55" s="127">
        <f>VLOOKUP(B56,'B&amp;L'!$A$7:$BK$66,27,0)</f>
        <v>145.31</v>
      </c>
      <c r="I55" s="127">
        <f>VLOOKUP(B56,'B&amp;L'!$A$7:$BK$66,32,0)</f>
        <v>145.24</v>
      </c>
      <c r="J55" s="127">
        <f>VLOOKUP(B56,'B&amp;L'!$A$7:$BK$66,37,0)</f>
        <v>145.13999999999999</v>
      </c>
      <c r="K55" s="127">
        <f>VLOOKUP(B56,'B&amp;L'!$A$7:$BK$66,42,0)</f>
        <v>145.12</v>
      </c>
      <c r="L55" s="127">
        <f>VLOOKUP(B56,'B&amp;L'!$A$7:$BK$66,47,0)</f>
        <v>145.13</v>
      </c>
      <c r="M55" s="127">
        <f>VLOOKUP(B56,'B&amp;L'!$A$7:$BK$66,52,0)</f>
        <v>145.06</v>
      </c>
      <c r="N55" s="127">
        <f>VLOOKUP(B56,'B&amp;L'!$A$7:$BK$66,57,0)</f>
        <v>144.96</v>
      </c>
      <c r="O55" s="127">
        <f>VLOOKUP(B56,'B&amp;L'!$A$7:$BK$66,62,0)</f>
        <v>145.07</v>
      </c>
    </row>
    <row r="56" spans="1:15" ht="15" customHeight="1">
      <c r="A56" s="358"/>
      <c r="B56" s="92">
        <v>1412000006</v>
      </c>
      <c r="C56" s="84" t="s">
        <v>161</v>
      </c>
      <c r="D56" s="128">
        <f>VLOOKUP(B56,'B&amp;L'!$A$7:$BK$66,8,0)</f>
        <v>18.34</v>
      </c>
      <c r="E56" s="128">
        <f>VLOOKUP(B56,'B&amp;L'!$A$7:$BK$66,13,0)</f>
        <v>17.61</v>
      </c>
      <c r="F56" s="128">
        <f>VLOOKUP(B56,'B&amp;L'!$A$7:$BK$66,18,0)</f>
        <v>17.62</v>
      </c>
      <c r="G56" s="128">
        <f>VLOOKUP(B56,'B&amp;L'!$A$7:$BK$66,23,0)</f>
        <v>17.59</v>
      </c>
      <c r="H56" s="128">
        <f>VLOOKUP(B56,'B&amp;L'!$A$7:$BK$66,28,0)</f>
        <v>18.420000000000002</v>
      </c>
      <c r="I56" s="128">
        <f>VLOOKUP(B56,'B&amp;L'!$A$7:$BK$66,33,0)</f>
        <v>18.420000000000002</v>
      </c>
      <c r="J56" s="128">
        <f>VLOOKUP(B56,'B&amp;L'!$A$7:$BK$66,38,0)</f>
        <v>18.399999999999999</v>
      </c>
      <c r="K56" s="128">
        <f>VLOOKUP(B56,'B&amp;L'!$A$7:$BK$66,43,0)</f>
        <v>18.399999999999999</v>
      </c>
      <c r="L56" s="128">
        <f>VLOOKUP(B56,'B&amp;L'!$A$7:$BK$66,48,0)</f>
        <v>18.399999999999999</v>
      </c>
      <c r="M56" s="128">
        <f>VLOOKUP(B56,'B&amp;L'!$A$7:$BK$66,53,0)</f>
        <v>18.39</v>
      </c>
      <c r="N56" s="128">
        <f>VLOOKUP(B56,'B&amp;L'!$A$7:$BK$66,58,0)</f>
        <v>18.38</v>
      </c>
      <c r="O56" s="128">
        <f>VLOOKUP(B56,'B&amp;L'!$A$7:$BK$66,63,0)</f>
        <v>18.39</v>
      </c>
    </row>
    <row r="57" spans="1:15" ht="15" customHeight="1">
      <c r="A57" s="357">
        <v>26</v>
      </c>
      <c r="B57" s="91" t="s">
        <v>2</v>
      </c>
      <c r="C57" s="76" t="s">
        <v>160</v>
      </c>
      <c r="D57" s="127">
        <f>VLOOKUP(B58,'B&amp;L'!$A$7:$BK$66,7,0)</f>
        <v>184.79</v>
      </c>
      <c r="E57" s="127">
        <f>VLOOKUP(B58,'B&amp;L'!$A$7:$BK$66,12,0)</f>
        <v>187.47</v>
      </c>
      <c r="F57" s="127">
        <f>VLOOKUP(B58,'B&amp;L'!$A$7:$BK$66,17,0)</f>
        <v>187.55</v>
      </c>
      <c r="G57" s="127">
        <f>VLOOKUP(B58,'B&amp;L'!$A$7:$BK$66,22,0)</f>
        <v>187.16</v>
      </c>
      <c r="H57" s="127">
        <f>VLOOKUP(B58,'B&amp;L'!$A$7:$BK$66,27,0)</f>
        <v>185.94</v>
      </c>
      <c r="I57" s="127">
        <f>VLOOKUP(B58,'B&amp;L'!$A$7:$BK$66,32,0)</f>
        <v>185.84</v>
      </c>
      <c r="J57" s="127">
        <f>VLOOKUP(B58,'B&amp;L'!$A$7:$BK$66,37,0)</f>
        <v>185.69</v>
      </c>
      <c r="K57" s="127">
        <f>VLOOKUP(B58,'B&amp;L'!$A$7:$BK$66,42,0)</f>
        <v>185.65</v>
      </c>
      <c r="L57" s="127">
        <f>VLOOKUP(B58,'B&amp;L'!$A$7:$BK$66,47,0)</f>
        <v>185.67</v>
      </c>
      <c r="M57" s="127">
        <f>VLOOKUP(B58,'B&amp;L'!$A$7:$BK$66,52,0)</f>
        <v>185.57</v>
      </c>
      <c r="N57" s="127">
        <f>VLOOKUP(B58,'B&amp;L'!$A$7:$BK$66,57,0)</f>
        <v>185.41</v>
      </c>
      <c r="O57" s="127">
        <f>VLOOKUP(B58,'B&amp;L'!$A$7:$BK$66,62,0)</f>
        <v>185.57</v>
      </c>
    </row>
    <row r="58" spans="1:15" ht="15" customHeight="1">
      <c r="A58" s="358"/>
      <c r="B58" s="92">
        <v>1412000039</v>
      </c>
      <c r="C58" s="84" t="s">
        <v>161</v>
      </c>
      <c r="D58" s="128">
        <f>VLOOKUP(B58,'B&amp;L'!$A$7:$BK$66,8,0)</f>
        <v>22.85</v>
      </c>
      <c r="E58" s="128">
        <f>VLOOKUP(B58,'B&amp;L'!$A$7:$BK$66,13,0)</f>
        <v>23.77</v>
      </c>
      <c r="F58" s="128">
        <f>VLOOKUP(B58,'B&amp;L'!$A$7:$BK$66,18,0)</f>
        <v>23.78</v>
      </c>
      <c r="G58" s="128">
        <f>VLOOKUP(B58,'B&amp;L'!$A$7:$BK$66,23,0)</f>
        <v>23.73</v>
      </c>
      <c r="H58" s="128">
        <f>VLOOKUP(B58,'B&amp;L'!$A$7:$BK$66,28,0)</f>
        <v>23.58</v>
      </c>
      <c r="I58" s="128">
        <f>VLOOKUP(B58,'B&amp;L'!$A$7:$BK$66,33,0)</f>
        <v>23.56</v>
      </c>
      <c r="J58" s="128">
        <f>VLOOKUP(B58,'B&amp;L'!$A$7:$BK$66,38,0)</f>
        <v>23.54</v>
      </c>
      <c r="K58" s="128">
        <f>VLOOKUP(B58,'B&amp;L'!$A$7:$BK$66,43,0)</f>
        <v>23.54</v>
      </c>
      <c r="L58" s="128">
        <f>VLOOKUP(B58,'B&amp;L'!$A$7:$BK$66,48,0)</f>
        <v>23.54</v>
      </c>
      <c r="M58" s="128">
        <f>VLOOKUP(B58,'B&amp;L'!$A$7:$BK$66,53,0)</f>
        <v>23.53</v>
      </c>
      <c r="N58" s="128">
        <f>VLOOKUP(B58,'B&amp;L'!$A$7:$BK$66,58,0)</f>
        <v>23.51</v>
      </c>
      <c r="O58" s="128">
        <f>VLOOKUP(B58,'B&amp;L'!$A$7:$BK$66,63,0)</f>
        <v>23.53</v>
      </c>
    </row>
    <row r="59" spans="1:15" ht="15" customHeight="1">
      <c r="A59" s="357">
        <v>27</v>
      </c>
      <c r="B59" s="91" t="s">
        <v>114</v>
      </c>
      <c r="C59" s="76" t="s">
        <v>160</v>
      </c>
      <c r="D59" s="127">
        <f>VLOOKUP(B60,'B&amp;L'!$A$7:$BK$66,7,0)</f>
        <v>121.57</v>
      </c>
      <c r="E59" s="127">
        <f>VLOOKUP(B60,'B&amp;L'!$A$7:$BK$66,12,0)</f>
        <v>113.72</v>
      </c>
      <c r="F59" s="127">
        <f>VLOOKUP(B60,'B&amp;L'!$A$7:$BK$66,17,0)</f>
        <v>113.76</v>
      </c>
      <c r="G59" s="127">
        <f>VLOOKUP(B60,'B&amp;L'!$A$7:$BK$66,22,0)</f>
        <v>113.54</v>
      </c>
      <c r="H59" s="127">
        <f>VLOOKUP(B60,'B&amp;L'!$A$7:$BK$66,27,0)</f>
        <v>112.85</v>
      </c>
      <c r="I59" s="127">
        <f>VLOOKUP(B60,'B&amp;L'!$A$7:$BK$66,32,0)</f>
        <v>112.8</v>
      </c>
      <c r="J59" s="127">
        <f>VLOOKUP(B60,'B&amp;L'!$A$7:$BK$66,37,0)</f>
        <v>112.71</v>
      </c>
      <c r="K59" s="127">
        <f>VLOOKUP(B60,'B&amp;L'!$A$7:$BK$66,42,0)</f>
        <v>112.69</v>
      </c>
      <c r="L59" s="127">
        <f>VLOOKUP(B60,'B&amp;L'!$A$7:$BK$66,47,0)</f>
        <v>112.7</v>
      </c>
      <c r="M59" s="127">
        <f>VLOOKUP(B60,'B&amp;L'!$A$7:$BK$66,52,0)</f>
        <v>112.64</v>
      </c>
      <c r="N59" s="127">
        <f>VLOOKUP(B60,'B&amp;L'!$A$7:$BK$66,57,0)</f>
        <v>112.55</v>
      </c>
      <c r="O59" s="127">
        <f>VLOOKUP(B60,'B&amp;L'!$A$7:$BK$66,62,0)</f>
        <v>112.64</v>
      </c>
    </row>
    <row r="60" spans="1:15" ht="15" customHeight="1">
      <c r="A60" s="358"/>
      <c r="B60" s="92">
        <v>1412000089</v>
      </c>
      <c r="C60" s="84" t="s">
        <v>161</v>
      </c>
      <c r="D60" s="128">
        <f>VLOOKUP(B60,'B&amp;L'!$A$7:$BK$66,8,0)</f>
        <v>15.03</v>
      </c>
      <c r="E60" s="128">
        <f>VLOOKUP(B60,'B&amp;L'!$A$7:$BK$66,13,0)</f>
        <v>14.42</v>
      </c>
      <c r="F60" s="128">
        <f>VLOOKUP(B60,'B&amp;L'!$A$7:$BK$66,18,0)</f>
        <v>14.42</v>
      </c>
      <c r="G60" s="128">
        <f>VLOOKUP(B60,'B&amp;L'!$A$7:$BK$66,23,0)</f>
        <v>14.4</v>
      </c>
      <c r="H60" s="128">
        <f>VLOOKUP(B60,'B&amp;L'!$A$7:$BK$66,28,0)</f>
        <v>14.31</v>
      </c>
      <c r="I60" s="128">
        <f>VLOOKUP(B60,'B&amp;L'!$A$7:$BK$66,33,0)</f>
        <v>14.3</v>
      </c>
      <c r="J60" s="128">
        <f>VLOOKUP(B60,'B&amp;L'!$A$7:$BK$66,38,0)</f>
        <v>14.29</v>
      </c>
      <c r="K60" s="128">
        <f>VLOOKUP(B60,'B&amp;L'!$A$7:$BK$66,43,0)</f>
        <v>14.29</v>
      </c>
      <c r="L60" s="128">
        <f>VLOOKUP(B60,'B&amp;L'!$A$7:$BK$66,48,0)</f>
        <v>14.29</v>
      </c>
      <c r="M60" s="128">
        <f>VLOOKUP(B60,'B&amp;L'!$A$7:$BK$66,53,0)</f>
        <v>14.28</v>
      </c>
      <c r="N60" s="128">
        <f>VLOOKUP(B60,'B&amp;L'!$A$7:$BK$66,58,0)</f>
        <v>14.27</v>
      </c>
      <c r="O60" s="128">
        <f>VLOOKUP(B60,'B&amp;L'!$A$7:$BK$66,63,0)</f>
        <v>14.28</v>
      </c>
    </row>
    <row r="61" spans="1:15" ht="15" customHeight="1">
      <c r="A61" s="359">
        <v>28</v>
      </c>
      <c r="B61" s="290" t="s">
        <v>188</v>
      </c>
      <c r="C61" s="291" t="s">
        <v>160</v>
      </c>
      <c r="D61" s="292">
        <f>VLOOKUP(B62,'B&amp;L'!$A$7:$BK$66,7,0)</f>
        <v>89.96</v>
      </c>
      <c r="E61" s="292">
        <f>VLOOKUP(B62,'B&amp;L'!$A$7:$BK$66,12,0)</f>
        <v>84.21</v>
      </c>
      <c r="F61" s="292">
        <f>VLOOKUP(B62,'B&amp;L'!$A$7:$BK$66,17,0)</f>
        <v>84.25</v>
      </c>
      <c r="G61" s="292">
        <f>VLOOKUP(B62,'B&amp;L'!$A$7:$BK$66,22,0)</f>
        <v>84.09</v>
      </c>
      <c r="H61" s="292">
        <f>VLOOKUP(B62,'B&amp;L'!$A$7:$BK$66,27,0)</f>
        <v>83.62</v>
      </c>
      <c r="I61" s="292">
        <f>VLOOKUP(B62,'B&amp;L'!$A$7:$BK$66,32,0)</f>
        <v>83.58</v>
      </c>
      <c r="J61" s="292">
        <f>VLOOKUP(B62,'B&amp;L'!$A$7:$BK$66,37,0)</f>
        <v>83.52</v>
      </c>
      <c r="K61" s="292">
        <f>VLOOKUP(B62,'B&amp;L'!$A$7:$BK$66,42,0)</f>
        <v>83.5</v>
      </c>
      <c r="L61" s="292">
        <f>VLOOKUP(B62,'B&amp;L'!$A$7:$BK$66,47,0)</f>
        <v>83.51</v>
      </c>
      <c r="M61" s="292">
        <f>VLOOKUP(B62,'B&amp;L'!$A$7:$BK$66,52,0)</f>
        <v>83.47</v>
      </c>
      <c r="N61" s="292">
        <f>VLOOKUP(B62,'B&amp;L'!$A$7:$BK$66,57,0)</f>
        <v>83.41</v>
      </c>
      <c r="O61" s="292">
        <f>VLOOKUP(B62,'B&amp;L'!$A$7:$BK$66,62,0)</f>
        <v>83.47</v>
      </c>
    </row>
    <row r="62" spans="1:15" ht="15" customHeight="1">
      <c r="A62" s="360"/>
      <c r="B62" s="293">
        <v>1412000102</v>
      </c>
      <c r="C62" s="294" t="s">
        <v>161</v>
      </c>
      <c r="D62" s="295">
        <f>VLOOKUP(B62,'B&amp;L'!$A$7:$BK$66,8,0)</f>
        <v>11.12</v>
      </c>
      <c r="E62" s="295">
        <f>VLOOKUP(B62,'B&amp;L'!$A$7:$BK$66,13,0)</f>
        <v>10.68</v>
      </c>
      <c r="F62" s="295">
        <f>VLOOKUP(B62,'B&amp;L'!$A$7:$BK$66,18,0)</f>
        <v>10.68</v>
      </c>
      <c r="G62" s="295">
        <f>VLOOKUP(B62,'B&amp;L'!$A$7:$BK$66,23,0)</f>
        <v>10.66</v>
      </c>
      <c r="H62" s="295">
        <f>VLOOKUP(B62,'B&amp;L'!$A$7:$BK$66,28,0)</f>
        <v>10.6</v>
      </c>
      <c r="I62" s="295">
        <f>VLOOKUP(B62,'B&amp;L'!$A$7:$BK$66,33,0)</f>
        <v>10.6</v>
      </c>
      <c r="J62" s="295">
        <f>VLOOKUP(B62,'B&amp;L'!$A$7:$BK$66,38,0)</f>
        <v>10.59</v>
      </c>
      <c r="K62" s="295">
        <f>VLOOKUP(B62,'B&amp;L'!$A$7:$BK$66,43,0)</f>
        <v>10.59</v>
      </c>
      <c r="L62" s="295">
        <f>VLOOKUP(B62,'B&amp;L'!$A$7:$BK$66,48,0)</f>
        <v>10.59</v>
      </c>
      <c r="M62" s="295">
        <f>VLOOKUP(B62,'B&amp;L'!$A$7:$BK$66,53,0)</f>
        <v>10.58</v>
      </c>
      <c r="N62" s="295">
        <f>VLOOKUP(B62,'B&amp;L'!$A$7:$BK$66,58,0)</f>
        <v>10.58</v>
      </c>
      <c r="O62" s="295">
        <f>VLOOKUP(B62,'B&amp;L'!$A$7:$BK$66,63,0)</f>
        <v>10.58</v>
      </c>
    </row>
    <row r="63" spans="1:15" ht="15" customHeight="1">
      <c r="A63" s="357">
        <v>29</v>
      </c>
      <c r="B63" s="91" t="s">
        <v>144</v>
      </c>
      <c r="C63" s="76" t="s">
        <v>160</v>
      </c>
      <c r="D63" s="127">
        <f>VLOOKUP(B64,'B&amp;L'!$A$7:$BK$66,7,0)</f>
        <v>244.34</v>
      </c>
      <c r="E63" s="127">
        <f>VLOOKUP(B64,'B&amp;L'!$A$7:$BK$66,12,0)</f>
        <v>229.32</v>
      </c>
      <c r="F63" s="127">
        <f>VLOOKUP(B64,'B&amp;L'!$A$7:$BK$66,17,0)</f>
        <v>229.39</v>
      </c>
      <c r="G63" s="127">
        <f>VLOOKUP(B64,'B&amp;L'!$A$7:$BK$66,22,0)</f>
        <v>229.06</v>
      </c>
      <c r="H63" s="127">
        <f>VLOOKUP(B64,'B&amp;L'!$A$7:$BK$66,27,0)</f>
        <v>228.06</v>
      </c>
      <c r="I63" s="127">
        <f>VLOOKUP(B64,'B&amp;L'!$A$7:$BK$66,32,0)</f>
        <v>227.97</v>
      </c>
      <c r="J63" s="127">
        <f>VLOOKUP(B64,'B&amp;L'!$A$7:$BK$66,37,0)</f>
        <v>227.85</v>
      </c>
      <c r="K63" s="127">
        <f>VLOOKUP(B64,'B&amp;L'!$A$7:$BK$66,42,0)</f>
        <v>227.81</v>
      </c>
      <c r="L63" s="127">
        <f>VLOOKUP(B64,'B&amp;L'!$A$7:$BK$66,47,0)</f>
        <v>227.83</v>
      </c>
      <c r="M63" s="127">
        <f>VLOOKUP(B64,'B&amp;L'!$A$7:$BK$66,52,0)</f>
        <v>227.75</v>
      </c>
      <c r="N63" s="127">
        <f>VLOOKUP(B64,'B&amp;L'!$A$7:$BK$66,57,0)</f>
        <v>227.62</v>
      </c>
      <c r="O63" s="127">
        <f>VLOOKUP(B64,'B&amp;L'!$A$7:$BK$66,62,0)</f>
        <v>227.75</v>
      </c>
    </row>
    <row r="64" spans="1:15" ht="15" customHeight="1">
      <c r="A64" s="358"/>
      <c r="B64" s="92">
        <v>1412000040</v>
      </c>
      <c r="C64" s="84" t="s">
        <v>161</v>
      </c>
      <c r="D64" s="128">
        <f>VLOOKUP(B64,'B&amp;L'!$A$7:$BK$66,8,0)</f>
        <v>30.21</v>
      </c>
      <c r="E64" s="128">
        <f>VLOOKUP(B64,'B&amp;L'!$A$7:$BK$66,13,0)</f>
        <v>29.08</v>
      </c>
      <c r="F64" s="128">
        <f>VLOOKUP(B64,'B&amp;L'!$A$7:$BK$66,18,0)</f>
        <v>29.08</v>
      </c>
      <c r="G64" s="128">
        <f>VLOOKUP(B64,'B&amp;L'!$A$7:$BK$66,23,0)</f>
        <v>29.04</v>
      </c>
      <c r="H64" s="128">
        <f>VLOOKUP(B64,'B&amp;L'!$A$7:$BK$66,28,0)</f>
        <v>28.92</v>
      </c>
      <c r="I64" s="128">
        <f>VLOOKUP(B64,'B&amp;L'!$A$7:$BK$66,33,0)</f>
        <v>28.9</v>
      </c>
      <c r="J64" s="128">
        <f>VLOOKUP(B64,'B&amp;L'!$A$7:$BK$66,38,0)</f>
        <v>28.89</v>
      </c>
      <c r="K64" s="128">
        <f>VLOOKUP(B64,'B&amp;L'!$A$7:$BK$66,43,0)</f>
        <v>28.88</v>
      </c>
      <c r="L64" s="128">
        <f>VLOOKUP(B64,'B&amp;L'!$A$7:$BK$66,48,0)</f>
        <v>28.89</v>
      </c>
      <c r="M64" s="128">
        <f>VLOOKUP(B64,'B&amp;L'!$A$7:$BK$66,53,0)</f>
        <v>28.88</v>
      </c>
      <c r="N64" s="128">
        <f>VLOOKUP(B64,'B&amp;L'!$A$7:$BK$66,58,0)</f>
        <v>28.86</v>
      </c>
      <c r="O64" s="128">
        <f>VLOOKUP(B64,'B&amp;L'!$A$7:$BK$66,63,0)</f>
        <v>28.88</v>
      </c>
    </row>
    <row r="65" spans="1:15" ht="15" customHeight="1">
      <c r="A65" s="357">
        <v>30</v>
      </c>
      <c r="B65" s="91" t="s">
        <v>163</v>
      </c>
      <c r="C65" s="76" t="s">
        <v>160</v>
      </c>
      <c r="D65" s="127">
        <f>VLOOKUP(B66,'B&amp;L'!$A$7:$BK$66,7,0)</f>
        <v>912.54</v>
      </c>
      <c r="E65" s="127">
        <f>VLOOKUP(B66,'B&amp;L'!$A$7:$BK$66,12,0)</f>
        <v>860.23</v>
      </c>
      <c r="F65" s="127">
        <f>VLOOKUP(B66,'B&amp;L'!$A$7:$BK$66,17,0)</f>
        <v>861.2</v>
      </c>
      <c r="G65" s="127">
        <f>VLOOKUP(B66,'B&amp;L'!$A$7:$BK$66,22,0)</f>
        <v>841.38</v>
      </c>
      <c r="H65" s="127">
        <f>VLOOKUP(B66,'B&amp;L'!$A$7:$BK$66,27,0)</f>
        <v>832.83</v>
      </c>
      <c r="I65" s="127">
        <f>VLOOKUP(B66,'B&amp;L'!$A$7:$BK$66,32,0)</f>
        <v>809.43</v>
      </c>
      <c r="J65" s="127">
        <f>VLOOKUP(B66,'B&amp;L'!$A$7:$BK$66,37,0)</f>
        <v>787.4</v>
      </c>
      <c r="K65" s="127">
        <f>VLOOKUP(B66,'B&amp;L'!$A$7:$BK$66,42,0)</f>
        <v>786.96</v>
      </c>
      <c r="L65" s="127">
        <f>VLOOKUP(B66,'B&amp;L'!$A$7:$BK$66,47,0)</f>
        <v>787.57</v>
      </c>
      <c r="M65" s="127">
        <f>VLOOKUP(B66,'B&amp;L'!$A$7:$BK$66,52,0)</f>
        <v>783.46</v>
      </c>
      <c r="N65" s="127">
        <f>VLOOKUP(B66,'B&amp;L'!$A$7:$BK$66,57,0)</f>
        <v>770.16</v>
      </c>
      <c r="O65" s="127">
        <f>VLOOKUP(B66,'B&amp;L'!$A$7:$BK$66,62,0)</f>
        <v>780.68</v>
      </c>
    </row>
    <row r="66" spans="1:15" ht="15" customHeight="1">
      <c r="A66" s="358"/>
      <c r="B66" s="92">
        <v>1412000013</v>
      </c>
      <c r="C66" s="84" t="s">
        <v>161</v>
      </c>
      <c r="D66" s="128">
        <f>VLOOKUP(B66,'B&amp;L'!$A$7:$BK$66,8,0)</f>
        <v>112.83</v>
      </c>
      <c r="E66" s="128">
        <f>VLOOKUP(B66,'B&amp;L'!$A$7:$BK$66,13,0)</f>
        <v>109.07</v>
      </c>
      <c r="F66" s="128">
        <f>VLOOKUP(B66,'B&amp;L'!$A$7:$BK$66,18,0)</f>
        <v>109.19</v>
      </c>
      <c r="G66" s="128">
        <f>VLOOKUP(B66,'B&amp;L'!$A$7:$BK$66,23,0)</f>
        <v>106.68</v>
      </c>
      <c r="H66" s="128">
        <f>VLOOKUP(B66,'B&amp;L'!$A$7:$BK$66,28,0)</f>
        <v>105.59</v>
      </c>
      <c r="I66" s="128">
        <f>VLOOKUP(B66,'B&amp;L'!$A$7:$BK$66,33,0)</f>
        <v>102.63</v>
      </c>
      <c r="J66" s="128">
        <f>VLOOKUP(B66,'B&amp;L'!$A$7:$BK$66,38,0)</f>
        <v>99.83</v>
      </c>
      <c r="K66" s="128">
        <f>VLOOKUP(B66,'B&amp;L'!$A$7:$BK$66,43,0)</f>
        <v>99.78</v>
      </c>
      <c r="L66" s="128">
        <f>VLOOKUP(B66,'B&amp;L'!$A$7:$BK$66,48,0)</f>
        <v>99.86</v>
      </c>
      <c r="M66" s="128">
        <f>VLOOKUP(B66,'B&amp;L'!$A$7:$BK$66,53,0)</f>
        <v>99.33</v>
      </c>
      <c r="N66" s="128">
        <f>VLOOKUP(B66,'B&amp;L'!$A$7:$BK$66,58,0)</f>
        <v>97.65</v>
      </c>
      <c r="O66" s="128">
        <f>VLOOKUP(B66,'B&amp;L'!$A$7:$BK$66,63,0)</f>
        <v>98.98</v>
      </c>
    </row>
    <row r="67" spans="1:15" ht="15" customHeight="1">
      <c r="A67" s="357">
        <v>31</v>
      </c>
      <c r="B67" s="91" t="s">
        <v>164</v>
      </c>
      <c r="C67" s="76" t="s">
        <v>160</v>
      </c>
      <c r="D67" s="127">
        <f>VLOOKUP(B68,'B&amp;L'!$A$7:$BK$66,7,0)</f>
        <v>689.95</v>
      </c>
      <c r="E67" s="127">
        <f>VLOOKUP(B68,'B&amp;L'!$A$7:$BK$66,12,0)</f>
        <v>651.66</v>
      </c>
      <c r="F67" s="127">
        <f>VLOOKUP(B68,'B&amp;L'!$A$7:$BK$66,17,0)</f>
        <v>657.28</v>
      </c>
      <c r="G67" s="127">
        <f>VLOOKUP(B68,'B&amp;L'!$A$7:$BK$66,22,0)</f>
        <v>648.32000000000005</v>
      </c>
      <c r="H67" s="127">
        <f>VLOOKUP(B68,'B&amp;L'!$A$7:$BK$66,27,0)</f>
        <v>644.46</v>
      </c>
      <c r="I67" s="127">
        <f>VLOOKUP(B68,'B&amp;L'!$A$7:$BK$66,32,0)</f>
        <v>633.89</v>
      </c>
      <c r="J67" s="127">
        <f>VLOOKUP(B68,'B&amp;L'!$A$7:$BK$66,37,0)</f>
        <v>623.92999999999995</v>
      </c>
      <c r="K67" s="127">
        <f>VLOOKUP(B68,'B&amp;L'!$A$7:$BK$66,42,0)</f>
        <v>623.73</v>
      </c>
      <c r="L67" s="127">
        <f>VLOOKUP(B68,'B&amp;L'!$A$7:$BK$66,47,0)</f>
        <v>624.01</v>
      </c>
      <c r="M67" s="127">
        <f>VLOOKUP(B68,'B&amp;L'!$A$7:$BK$66,52,0)</f>
        <v>622.15</v>
      </c>
      <c r="N67" s="127">
        <f>VLOOKUP(B68,'B&amp;L'!$A$7:$BK$66,57,0)</f>
        <v>616.14</v>
      </c>
      <c r="O67" s="127">
        <f>VLOOKUP(B68,'B&amp;L'!$A$7:$BK$66,62,0)</f>
        <v>620.89</v>
      </c>
    </row>
    <row r="68" spans="1:15" ht="15" customHeight="1">
      <c r="A68" s="358"/>
      <c r="B68" s="92">
        <v>1412000092</v>
      </c>
      <c r="C68" s="84" t="s">
        <v>161</v>
      </c>
      <c r="D68" s="128">
        <f>VLOOKUP(B68,'B&amp;L'!$A$7:$BK$66,8,0)</f>
        <v>85.31</v>
      </c>
      <c r="E68" s="128">
        <f>VLOOKUP(B68,'B&amp;L'!$A$7:$BK$66,13,0)</f>
        <v>82.62</v>
      </c>
      <c r="F68" s="128">
        <f>VLOOKUP(B68,'B&amp;L'!$A$7:$BK$66,18,0)</f>
        <v>83.34</v>
      </c>
      <c r="G68" s="128">
        <f>VLOOKUP(B68,'B&amp;L'!$A$7:$BK$66,23,0)</f>
        <v>82.2</v>
      </c>
      <c r="H68" s="128">
        <f>VLOOKUP(B68,'B&amp;L'!$A$7:$BK$66,28,0)</f>
        <v>81.709999999999994</v>
      </c>
      <c r="I68" s="128">
        <f>VLOOKUP(B68,'B&amp;L'!$A$7:$BK$66,33,0)</f>
        <v>80.37</v>
      </c>
      <c r="J68" s="128">
        <f>VLOOKUP(B68,'B&amp;L'!$A$7:$BK$66,38,0)</f>
        <v>79.11</v>
      </c>
      <c r="K68" s="128">
        <f>VLOOKUP(B68,'B&amp;L'!$A$7:$BK$66,43,0)</f>
        <v>79.08</v>
      </c>
      <c r="L68" s="128">
        <f>VLOOKUP(B68,'B&amp;L'!$A$7:$BK$66,48,0)</f>
        <v>79.12</v>
      </c>
      <c r="M68" s="128">
        <f>VLOOKUP(B68,'B&amp;L'!$A$7:$BK$66,53,0)</f>
        <v>78.88</v>
      </c>
      <c r="N68" s="128">
        <f>VLOOKUP(B68,'B&amp;L'!$A$7:$BK$66,58,0)</f>
        <v>78.12</v>
      </c>
      <c r="O68" s="128">
        <f>VLOOKUP(B68,'B&amp;L'!$A$7:$BK$66,63,0)</f>
        <v>78.72</v>
      </c>
    </row>
    <row r="69" spans="1:15" ht="15" customHeight="1">
      <c r="A69" s="357">
        <v>32</v>
      </c>
      <c r="B69" s="91" t="s">
        <v>143</v>
      </c>
      <c r="C69" s="76" t="s">
        <v>160</v>
      </c>
      <c r="D69" s="127">
        <f>VLOOKUP(B70,'B&amp;L'!$A$7:$BK$66,7,0)</f>
        <v>342.44</v>
      </c>
      <c r="E69" s="127">
        <f>VLOOKUP(B70,'B&amp;L'!$A$7:$BK$66,12,0)</f>
        <v>330.45</v>
      </c>
      <c r="F69" s="127">
        <f>VLOOKUP(B70,'B&amp;L'!$A$7:$BK$66,17,0)</f>
        <v>338.55</v>
      </c>
      <c r="G69" s="127">
        <f>VLOOKUP(B70,'B&amp;L'!$A$7:$BK$66,22,0)</f>
        <v>330.65</v>
      </c>
      <c r="H69" s="127">
        <f>VLOOKUP(B70,'B&amp;L'!$A$7:$BK$66,27,0)</f>
        <v>328.08</v>
      </c>
      <c r="I69" s="127">
        <f>VLOOKUP(B70,'B&amp;L'!$A$7:$BK$66,32,0)</f>
        <v>330.9</v>
      </c>
      <c r="J69" s="127">
        <f>VLOOKUP(B70,'B&amp;L'!$A$7:$BK$66,37,0)</f>
        <v>331.52</v>
      </c>
      <c r="K69" s="127">
        <f>VLOOKUP(B70,'B&amp;L'!$A$7:$BK$66,42,0)</f>
        <v>329.15</v>
      </c>
      <c r="L69" s="127">
        <f>VLOOKUP(B70,'B&amp;L'!$A$7:$BK$66,47,0)</f>
        <v>330.39</v>
      </c>
      <c r="M69" s="127">
        <f>VLOOKUP(B70,'B&amp;L'!$A$7:$BK$66,52,0)</f>
        <v>325.86</v>
      </c>
      <c r="N69" s="127">
        <f>VLOOKUP(B70,'B&amp;L'!$A$7:$BK$66,57,0)</f>
        <v>321.37</v>
      </c>
      <c r="O69" s="127">
        <f>VLOOKUP(B70,'B&amp;L'!$A$7:$BK$66,62,0)</f>
        <v>327.08999999999997</v>
      </c>
    </row>
    <row r="70" spans="1:15" ht="15" customHeight="1">
      <c r="A70" s="358"/>
      <c r="B70" s="92">
        <v>1412000035</v>
      </c>
      <c r="C70" s="84" t="s">
        <v>161</v>
      </c>
      <c r="D70" s="128">
        <f>VLOOKUP(B70,'B&amp;L'!$A$7:$BK$66,8,0)</f>
        <v>42.34</v>
      </c>
      <c r="E70" s="128">
        <f>VLOOKUP(B70,'B&amp;L'!$A$7:$BK$66,13,0)</f>
        <v>41.9</v>
      </c>
      <c r="F70" s="128">
        <f>VLOOKUP(B70,'B&amp;L'!$A$7:$BK$66,18,0)</f>
        <v>42.92</v>
      </c>
      <c r="G70" s="128">
        <f>VLOOKUP(B70,'B&amp;L'!$A$7:$BK$66,23,0)</f>
        <v>41.92</v>
      </c>
      <c r="H70" s="128">
        <f>VLOOKUP(B70,'B&amp;L'!$A$7:$BK$66,28,0)</f>
        <v>41.6</v>
      </c>
      <c r="I70" s="128">
        <f>VLOOKUP(B70,'B&amp;L'!$A$7:$BK$66,33,0)</f>
        <v>41.96</v>
      </c>
      <c r="J70" s="128">
        <f>VLOOKUP(B70,'B&amp;L'!$A$7:$BK$66,38,0)</f>
        <v>42.03</v>
      </c>
      <c r="K70" s="128">
        <f>VLOOKUP(B70,'B&amp;L'!$A$7:$BK$66,43,0)</f>
        <v>41.73</v>
      </c>
      <c r="L70" s="128">
        <f>VLOOKUP(B70,'B&amp;L'!$A$7:$BK$66,48,0)</f>
        <v>41.89</v>
      </c>
      <c r="M70" s="128">
        <f>VLOOKUP(B70,'B&amp;L'!$A$7:$BK$66,53,0)</f>
        <v>41.32</v>
      </c>
      <c r="N70" s="128">
        <f>VLOOKUP(B70,'B&amp;L'!$A$7:$BK$66,58,0)</f>
        <v>40.75</v>
      </c>
      <c r="O70" s="128">
        <f>VLOOKUP(B70,'B&amp;L'!$A$7:$BK$66,63,0)</f>
        <v>41.47</v>
      </c>
    </row>
    <row r="71" spans="1:15">
      <c r="A71" s="357">
        <v>33</v>
      </c>
      <c r="B71" s="91" t="s">
        <v>136</v>
      </c>
      <c r="C71" s="76" t="s">
        <v>160</v>
      </c>
      <c r="D71" s="127">
        <f>VLOOKUP(B72,'B&amp;L'!$A$7:$BK$66,7,0)</f>
        <v>290.27999999999997</v>
      </c>
      <c r="E71" s="127">
        <f>VLOOKUP(B72,'B&amp;L'!$A$7:$BK$66,12,0)</f>
        <v>281.74</v>
      </c>
      <c r="F71" s="127">
        <f>VLOOKUP(B72,'B&amp;L'!$A$7:$BK$66,17,0)</f>
        <v>281.8</v>
      </c>
      <c r="G71" s="127">
        <f>VLOOKUP(B72,'B&amp;L'!$A$7:$BK$66,22,0)</f>
        <v>278.39999999999998</v>
      </c>
      <c r="H71" s="127">
        <f>VLOOKUP(B72,'B&amp;L'!$A$7:$BK$66,27,0)</f>
        <v>278.25</v>
      </c>
      <c r="I71" s="127">
        <f>VLOOKUP(B72,'B&amp;L'!$A$7:$BK$66,32,0)</f>
        <v>278.17</v>
      </c>
      <c r="J71" s="127">
        <f>VLOOKUP(B72,'B&amp;L'!$A$7:$BK$66,37,0)</f>
        <v>278.05</v>
      </c>
      <c r="K71" s="127">
        <f>VLOOKUP(B72,'B&amp;L'!$A$7:$BK$66,42,0)</f>
        <v>278.02</v>
      </c>
      <c r="L71" s="127">
        <f>VLOOKUP(B72,'B&amp;L'!$A$7:$BK$66,47,0)</f>
        <v>278.04000000000002</v>
      </c>
      <c r="M71" s="127">
        <f>VLOOKUP(B72,'B&amp;L'!$A$7:$BK$66,52,0)</f>
        <v>277.95999999999998</v>
      </c>
      <c r="N71" s="127">
        <f>VLOOKUP(B72,'B&amp;L'!$A$7:$BK$66,57,0)</f>
        <v>277.83</v>
      </c>
      <c r="O71" s="127">
        <f>VLOOKUP(B72,'B&amp;L'!$A$7:$BK$66,62,0)</f>
        <v>277.95999999999998</v>
      </c>
    </row>
    <row r="72" spans="1:15">
      <c r="A72" s="358"/>
      <c r="B72" s="92">
        <v>1412000016</v>
      </c>
      <c r="C72" s="84" t="s">
        <v>161</v>
      </c>
      <c r="D72" s="128">
        <f>VLOOKUP(B72,'B&amp;L'!$A$7:$BK$66,8,0)</f>
        <v>35.89</v>
      </c>
      <c r="E72" s="128">
        <f>VLOOKUP(B72,'B&amp;L'!$A$7:$BK$66,13,0)</f>
        <v>35.72</v>
      </c>
      <c r="F72" s="128">
        <f>VLOOKUP(B72,'B&amp;L'!$A$7:$BK$66,18,0)</f>
        <v>35.729999999999997</v>
      </c>
      <c r="G72" s="128">
        <f>VLOOKUP(B72,'B&amp;L'!$A$7:$BK$66,23,0)</f>
        <v>35.299999999999997</v>
      </c>
      <c r="H72" s="128">
        <f>VLOOKUP(B72,'B&amp;L'!$A$7:$BK$66,28,0)</f>
        <v>35.28</v>
      </c>
      <c r="I72" s="128">
        <f>VLOOKUP(B72,'B&amp;L'!$A$7:$BK$66,33,0)</f>
        <v>35.270000000000003</v>
      </c>
      <c r="J72" s="128">
        <f>VLOOKUP(B72,'B&amp;L'!$A$7:$BK$66,38,0)</f>
        <v>35.25</v>
      </c>
      <c r="K72" s="128">
        <f>VLOOKUP(B72,'B&amp;L'!$A$7:$BK$66,43,0)</f>
        <v>35.25</v>
      </c>
      <c r="L72" s="128">
        <f>VLOOKUP(B72,'B&amp;L'!$A$7:$BK$66,48,0)</f>
        <v>35.25</v>
      </c>
      <c r="M72" s="128">
        <f>VLOOKUP(B72,'B&amp;L'!$A$7:$BK$66,53,0)</f>
        <v>35.24</v>
      </c>
      <c r="N72" s="128">
        <f>VLOOKUP(B72,'B&amp;L'!$A$7:$BK$66,58,0)</f>
        <v>35.229999999999997</v>
      </c>
      <c r="O72" s="128">
        <f>VLOOKUP(B72,'B&amp;L'!$A$7:$BK$66,63,0)</f>
        <v>35.24</v>
      </c>
    </row>
    <row r="73" spans="1:15">
      <c r="A73" s="357">
        <v>34</v>
      </c>
      <c r="B73" s="91" t="s">
        <v>151</v>
      </c>
      <c r="C73" s="76" t="s">
        <v>160</v>
      </c>
      <c r="D73" s="127">
        <f>VLOOKUP(B74,'B&amp;L'!$A$7:$BK$66,7,0)</f>
        <v>232.46</v>
      </c>
      <c r="E73" s="127">
        <f>VLOOKUP(B74,'B&amp;L'!$A$7:$BK$66,12,0)</f>
        <v>228.51</v>
      </c>
      <c r="F73" s="127">
        <f>VLOOKUP(B74,'B&amp;L'!$A$7:$BK$66,17,0)</f>
        <v>228.56</v>
      </c>
      <c r="G73" s="127">
        <f>VLOOKUP(B74,'B&amp;L'!$A$7:$BK$66,22,0)</f>
        <v>225.91</v>
      </c>
      <c r="H73" s="127">
        <f>VLOOKUP(B74,'B&amp;L'!$A$7:$BK$66,27,0)</f>
        <v>225.8</v>
      </c>
      <c r="I73" s="127">
        <f>VLOOKUP(B74,'B&amp;L'!$A$7:$BK$66,32,0)</f>
        <v>225.73</v>
      </c>
      <c r="J73" s="127">
        <f>VLOOKUP(B74,'B&amp;L'!$A$7:$BK$66,37,0)</f>
        <v>225.64</v>
      </c>
      <c r="K73" s="127">
        <f>VLOOKUP(B74,'B&amp;L'!$A$7:$BK$66,42,0)</f>
        <v>225.62</v>
      </c>
      <c r="L73" s="127">
        <f>VLOOKUP(B74,'B&amp;L'!$A$7:$BK$66,47,0)</f>
        <v>225.63</v>
      </c>
      <c r="M73" s="127">
        <f>VLOOKUP(B74,'B&amp;L'!$A$7:$BK$66,52,0)</f>
        <v>225.57</v>
      </c>
      <c r="N73" s="127">
        <f>VLOOKUP(B74,'B&amp;L'!$A$7:$BK$66,57,0)</f>
        <v>225.47</v>
      </c>
      <c r="O73" s="127">
        <f>VLOOKUP(B74,'B&amp;L'!$A$7:$BK$66,62,0)</f>
        <v>225.57</v>
      </c>
    </row>
    <row r="74" spans="1:15">
      <c r="A74" s="358"/>
      <c r="B74" s="92">
        <v>1412000069</v>
      </c>
      <c r="C74" s="84" t="s">
        <v>161</v>
      </c>
      <c r="D74" s="128">
        <f>VLOOKUP(B74,'B&amp;L'!$A$7:$BK$66,8,0)</f>
        <v>28.74</v>
      </c>
      <c r="E74" s="128">
        <f>VLOOKUP(B74,'B&amp;L'!$A$7:$BK$66,13,0)</f>
        <v>28.97</v>
      </c>
      <c r="F74" s="128">
        <f>VLOOKUP(B74,'B&amp;L'!$A$7:$BK$66,18,0)</f>
        <v>28.98</v>
      </c>
      <c r="G74" s="128">
        <f>VLOOKUP(B74,'B&amp;L'!$A$7:$BK$66,23,0)</f>
        <v>28.64</v>
      </c>
      <c r="H74" s="128">
        <f>VLOOKUP(B74,'B&amp;L'!$A$7:$BK$66,28,0)</f>
        <v>28.63</v>
      </c>
      <c r="I74" s="128">
        <f>VLOOKUP(B74,'B&amp;L'!$A$7:$BK$66,33,0)</f>
        <v>28.62</v>
      </c>
      <c r="J74" s="128">
        <f>VLOOKUP(B74,'B&amp;L'!$A$7:$BK$66,38,0)</f>
        <v>28.61</v>
      </c>
      <c r="K74" s="128">
        <f>VLOOKUP(B74,'B&amp;L'!$A$7:$BK$66,43,0)</f>
        <v>28.61</v>
      </c>
      <c r="L74" s="128">
        <f>VLOOKUP(B74,'B&amp;L'!$A$7:$BK$66,48,0)</f>
        <v>28.61</v>
      </c>
      <c r="M74" s="128">
        <f>VLOOKUP(B74,'B&amp;L'!$A$7:$BK$66,53,0)</f>
        <v>28.6</v>
      </c>
      <c r="N74" s="128">
        <f>VLOOKUP(B74,'B&amp;L'!$A$7:$BK$66,58,0)</f>
        <v>28.59</v>
      </c>
      <c r="O74" s="128">
        <f>VLOOKUP(B74,'B&amp;L'!$A$7:$BK$66,63,0)</f>
        <v>28.6</v>
      </c>
    </row>
    <row r="75" spans="1:15">
      <c r="A75" s="357">
        <v>35</v>
      </c>
      <c r="B75" s="91" t="s">
        <v>153</v>
      </c>
      <c r="C75" s="76" t="s">
        <v>160</v>
      </c>
      <c r="D75" s="127">
        <f>VLOOKUP(B76,'B&amp;L'!$A$7:$BK$66,7,0)</f>
        <v>362.51</v>
      </c>
      <c r="E75" s="127">
        <f>VLOOKUP(B76,'B&amp;L'!$A$7:$BK$66,12,0)</f>
        <v>334.94</v>
      </c>
      <c r="F75" s="127">
        <f>VLOOKUP(B76,'B&amp;L'!$A$7:$BK$66,17,0)</f>
        <v>335.02</v>
      </c>
      <c r="G75" s="127">
        <f>VLOOKUP(B76,'B&amp;L'!$A$7:$BK$66,22,0)</f>
        <v>343.99</v>
      </c>
      <c r="H75" s="127">
        <f>VLOOKUP(B76,'B&amp;L'!$A$7:$BK$66,27,0)</f>
        <v>343.8</v>
      </c>
      <c r="I75" s="127">
        <f>VLOOKUP(B76,'B&amp;L'!$A$7:$BK$66,32,0)</f>
        <v>343.69</v>
      </c>
      <c r="J75" s="127">
        <f>VLOOKUP(B76,'B&amp;L'!$A$7:$BK$66,37,0)</f>
        <v>343.54</v>
      </c>
      <c r="K75" s="127">
        <f>VLOOKUP(B76,'B&amp;L'!$A$7:$BK$66,42,0)</f>
        <v>343.5</v>
      </c>
      <c r="L75" s="127">
        <f>VLOOKUP(B76,'B&amp;L'!$A$7:$BK$66,47,0)</f>
        <v>343.52</v>
      </c>
      <c r="M75" s="127">
        <f>VLOOKUP(B76,'B&amp;L'!$A$7:$BK$66,52,0)</f>
        <v>343.42</v>
      </c>
      <c r="N75" s="127">
        <f>VLOOKUP(B76,'B&amp;L'!$A$7:$BK$66,57,0)</f>
        <v>343.26</v>
      </c>
      <c r="O75" s="127">
        <f>VLOOKUP(B76,'B&amp;L'!$A$7:$BK$66,62,0)</f>
        <v>343.43</v>
      </c>
    </row>
    <row r="76" spans="1:15">
      <c r="A76" s="358"/>
      <c r="B76" s="92">
        <v>1412000084</v>
      </c>
      <c r="C76" s="84" t="s">
        <v>161</v>
      </c>
      <c r="D76" s="128">
        <f>VLOOKUP(B76,'B&amp;L'!$A$7:$BK$66,8,0)</f>
        <v>44.82</v>
      </c>
      <c r="E76" s="128">
        <f>VLOOKUP(B76,'B&amp;L'!$A$7:$BK$66,13,0)</f>
        <v>42.47</v>
      </c>
      <c r="F76" s="128">
        <f>VLOOKUP(B76,'B&amp;L'!$A$7:$BK$66,18,0)</f>
        <v>42.48</v>
      </c>
      <c r="G76" s="128">
        <f>VLOOKUP(B76,'B&amp;L'!$A$7:$BK$66,23,0)</f>
        <v>43.61</v>
      </c>
      <c r="H76" s="128">
        <f>VLOOKUP(B76,'B&amp;L'!$A$7:$BK$66,28,0)</f>
        <v>43.59</v>
      </c>
      <c r="I76" s="128">
        <f>VLOOKUP(B76,'B&amp;L'!$A$7:$BK$66,33,0)</f>
        <v>43.58</v>
      </c>
      <c r="J76" s="128">
        <f>VLOOKUP(B76,'B&amp;L'!$A$7:$BK$66,38,0)</f>
        <v>43.56</v>
      </c>
      <c r="K76" s="128">
        <f>VLOOKUP(B76,'B&amp;L'!$A$7:$BK$66,43,0)</f>
        <v>43.55</v>
      </c>
      <c r="L76" s="128">
        <f>VLOOKUP(B76,'B&amp;L'!$A$7:$BK$66,48,0)</f>
        <v>43.56</v>
      </c>
      <c r="M76" s="128">
        <f>VLOOKUP(B76,'B&amp;L'!$A$7:$BK$66,53,0)</f>
        <v>43.54</v>
      </c>
      <c r="N76" s="128">
        <f>VLOOKUP(B76,'B&amp;L'!$A$7:$BK$66,58,0)</f>
        <v>43.52</v>
      </c>
      <c r="O76" s="128">
        <f>VLOOKUP(B76,'B&amp;L'!$A$7:$BK$66,63,0)</f>
        <v>43.54</v>
      </c>
    </row>
    <row r="77" spans="1:15" ht="15" customHeight="1">
      <c r="A77" s="357">
        <v>36</v>
      </c>
      <c r="B77" s="91" t="s">
        <v>76</v>
      </c>
      <c r="C77" s="76" t="s">
        <v>160</v>
      </c>
      <c r="D77" s="127">
        <f>VLOOKUP(B78,'B&amp;L'!$A$7:$BK$66,7,0)</f>
        <v>90.01</v>
      </c>
      <c r="E77" s="127">
        <f>VLOOKUP(B78,'B&amp;L'!$A$7:$BK$66,12,0)</f>
        <v>85.11</v>
      </c>
      <c r="F77" s="127">
        <f>VLOOKUP(B78,'B&amp;L'!$A$7:$BK$66,17,0)</f>
        <v>85.14</v>
      </c>
      <c r="G77" s="127">
        <f>VLOOKUP(B78,'B&amp;L'!$A$7:$BK$66,22,0)</f>
        <v>85.03</v>
      </c>
      <c r="H77" s="127">
        <f>VLOOKUP(B78,'B&amp;L'!$A$7:$BK$66,27,0)</f>
        <v>85</v>
      </c>
      <c r="I77" s="127">
        <f>VLOOKUP(B78,'B&amp;L'!$A$7:$BK$66,32,0)</f>
        <v>90.8</v>
      </c>
      <c r="J77" s="127">
        <f>VLOOKUP(B78,'B&amp;L'!$A$7:$BK$66,37,0)</f>
        <v>88.92</v>
      </c>
      <c r="K77" s="127">
        <f>VLOOKUP(B78,'B&amp;L'!$A$7:$BK$66,42,0)</f>
        <v>88.9</v>
      </c>
      <c r="L77" s="127">
        <f>VLOOKUP(B78,'B&amp;L'!$A$7:$BK$66,47,0)</f>
        <v>88.91</v>
      </c>
      <c r="M77" s="127">
        <f>VLOOKUP(B78,'B&amp;L'!$A$7:$BK$66,52,0)</f>
        <v>88.87</v>
      </c>
      <c r="N77" s="127">
        <f>VLOOKUP(B78,'B&amp;L'!$A$7:$BK$66,57,0)</f>
        <v>88.81</v>
      </c>
      <c r="O77" s="127">
        <f>VLOOKUP(B78,'B&amp;L'!$A$7:$BK$66,62,0)</f>
        <v>88.87</v>
      </c>
    </row>
    <row r="78" spans="1:15" ht="15" customHeight="1">
      <c r="A78" s="358"/>
      <c r="B78" s="92">
        <v>1412000050</v>
      </c>
      <c r="C78" s="84" t="s">
        <v>161</v>
      </c>
      <c r="D78" s="128">
        <f>VLOOKUP(B78,'B&amp;L'!$A$7:$BK$66,8,0)</f>
        <v>11.13</v>
      </c>
      <c r="E78" s="128">
        <f>VLOOKUP(B78,'B&amp;L'!$A$7:$BK$66,13,0)</f>
        <v>10.79</v>
      </c>
      <c r="F78" s="128">
        <f>VLOOKUP(B78,'B&amp;L'!$A$7:$BK$66,18,0)</f>
        <v>10.79</v>
      </c>
      <c r="G78" s="128">
        <f>VLOOKUP(B78,'B&amp;L'!$A$7:$BK$66,23,0)</f>
        <v>10.78</v>
      </c>
      <c r="H78" s="128">
        <f>VLOOKUP(B78,'B&amp;L'!$A$7:$BK$66,28,0)</f>
        <v>10.78</v>
      </c>
      <c r="I78" s="128">
        <f>VLOOKUP(B78,'B&amp;L'!$A$7:$BK$66,33,0)</f>
        <v>11.51</v>
      </c>
      <c r="J78" s="128">
        <f>VLOOKUP(B78,'B&amp;L'!$A$7:$BK$66,38,0)</f>
        <v>11.27</v>
      </c>
      <c r="K78" s="128">
        <f>VLOOKUP(B78,'B&amp;L'!$A$7:$BK$66,43,0)</f>
        <v>11.27</v>
      </c>
      <c r="L78" s="128">
        <f>VLOOKUP(B78,'B&amp;L'!$A$7:$BK$66,48,0)</f>
        <v>11.27</v>
      </c>
      <c r="M78" s="128">
        <f>VLOOKUP(B78,'B&amp;L'!$A$7:$BK$66,53,0)</f>
        <v>11.27</v>
      </c>
      <c r="N78" s="128">
        <f>VLOOKUP(B78,'B&amp;L'!$A$7:$BK$66,58,0)</f>
        <v>11.26</v>
      </c>
      <c r="O78" s="128">
        <f>VLOOKUP(B78,'B&amp;L'!$A$7:$BK$66,63,0)</f>
        <v>11.27</v>
      </c>
    </row>
    <row r="79" spans="1:15" ht="15" customHeight="1">
      <c r="A79" s="357">
        <v>37</v>
      </c>
      <c r="B79" s="91" t="s">
        <v>165</v>
      </c>
      <c r="C79" s="76" t="s">
        <v>160</v>
      </c>
      <c r="D79" s="127">
        <f>VLOOKUP(B80,'B&amp;L'!$A$7:$BK$66,7,0)</f>
        <v>202.52</v>
      </c>
      <c r="E79" s="127">
        <f>VLOOKUP(B80,'B&amp;L'!$A$7:$BK$66,12,0)</f>
        <v>191.49</v>
      </c>
      <c r="F79" s="127">
        <f>VLOOKUP(B80,'B&amp;L'!$A$7:$BK$66,17,0)</f>
        <v>191.55</v>
      </c>
      <c r="G79" s="127">
        <f>VLOOKUP(B80,'B&amp;L'!$A$7:$BK$66,22,0)</f>
        <v>191.33</v>
      </c>
      <c r="H79" s="127">
        <f>VLOOKUP(B80,'B&amp;L'!$A$7:$BK$66,27,0)</f>
        <v>191.25</v>
      </c>
      <c r="I79" s="127">
        <f>VLOOKUP(B80,'B&amp;L'!$A$7:$BK$66,32,0)</f>
        <v>181.61</v>
      </c>
      <c r="J79" s="127">
        <f>VLOOKUP(B80,'B&amp;L'!$A$7:$BK$66,37,0)</f>
        <v>197.6</v>
      </c>
      <c r="K79" s="127">
        <f>VLOOKUP(B80,'B&amp;L'!$A$7:$BK$66,42,0)</f>
        <v>197.56</v>
      </c>
      <c r="L79" s="127">
        <f>VLOOKUP(B80,'B&amp;L'!$A$7:$BK$66,47,0)</f>
        <v>197.58</v>
      </c>
      <c r="M79" s="127">
        <f>VLOOKUP(B80,'B&amp;L'!$A$7:$BK$66,52,0)</f>
        <v>197.49</v>
      </c>
      <c r="N79" s="127">
        <f>VLOOKUP(B80,'B&amp;L'!$A$7:$BK$66,57,0)</f>
        <v>197.35</v>
      </c>
      <c r="O79" s="127">
        <f>VLOOKUP(B80,'B&amp;L'!$A$7:$BK$66,62,0)</f>
        <v>197.49</v>
      </c>
    </row>
    <row r="80" spans="1:15" ht="15" customHeight="1">
      <c r="A80" s="358"/>
      <c r="B80" s="92">
        <v>1412000077</v>
      </c>
      <c r="C80" s="84" t="s">
        <v>161</v>
      </c>
      <c r="D80" s="128">
        <f>VLOOKUP(B80,'B&amp;L'!$A$7:$BK$66,8,0)</f>
        <v>25.04</v>
      </c>
      <c r="E80" s="128">
        <f>VLOOKUP(B80,'B&amp;L'!$A$7:$BK$66,13,0)</f>
        <v>24.28</v>
      </c>
      <c r="F80" s="128">
        <f>VLOOKUP(B80,'B&amp;L'!$A$7:$BK$66,18,0)</f>
        <v>24.29</v>
      </c>
      <c r="G80" s="128">
        <f>VLOOKUP(B80,'B&amp;L'!$A$7:$BK$66,23,0)</f>
        <v>24.26</v>
      </c>
      <c r="H80" s="128">
        <f>VLOOKUP(B80,'B&amp;L'!$A$7:$BK$66,28,0)</f>
        <v>24.25</v>
      </c>
      <c r="I80" s="128">
        <f>VLOOKUP(B80,'B&amp;L'!$A$7:$BK$66,33,0)</f>
        <v>23.03</v>
      </c>
      <c r="J80" s="128">
        <f>VLOOKUP(B80,'B&amp;L'!$A$7:$BK$66,38,0)</f>
        <v>25.05</v>
      </c>
      <c r="K80" s="128">
        <f>VLOOKUP(B80,'B&amp;L'!$A$7:$BK$66,43,0)</f>
        <v>25.05</v>
      </c>
      <c r="L80" s="128">
        <f>VLOOKUP(B80,'B&amp;L'!$A$7:$BK$66,48,0)</f>
        <v>25.05</v>
      </c>
      <c r="M80" s="128">
        <f>VLOOKUP(B80,'B&amp;L'!$A$7:$BK$66,53,0)</f>
        <v>25.04</v>
      </c>
      <c r="N80" s="128">
        <f>VLOOKUP(B80,'B&amp;L'!$A$7:$BK$66,58,0)</f>
        <v>25.02</v>
      </c>
      <c r="O80" s="128">
        <f>VLOOKUP(B80,'B&amp;L'!$A$7:$BK$66,63,0)</f>
        <v>25.04</v>
      </c>
    </row>
    <row r="81" spans="1:15">
      <c r="A81" s="357">
        <v>38</v>
      </c>
      <c r="B81" s="91" t="s">
        <v>166</v>
      </c>
      <c r="C81" s="76" t="s">
        <v>160</v>
      </c>
      <c r="D81" s="127">
        <f>VLOOKUP(B82,'B&amp;L'!$A$7:$BK$66,7,0)</f>
        <v>135.01</v>
      </c>
      <c r="E81" s="127">
        <f>VLOOKUP(B82,'B&amp;L'!$A$7:$BK$66,12,0)</f>
        <v>127.66</v>
      </c>
      <c r="F81" s="127">
        <f>VLOOKUP(B82,'B&amp;L'!$A$7:$BK$66,17,0)</f>
        <v>127.7</v>
      </c>
      <c r="G81" s="127">
        <f>VLOOKUP(B82,'B&amp;L'!$A$7:$BK$66,22,0)</f>
        <v>127.55</v>
      </c>
      <c r="H81" s="127">
        <f>VLOOKUP(B82,'B&amp;L'!$A$7:$BK$66,27,0)</f>
        <v>127.5</v>
      </c>
      <c r="I81" s="127">
        <f>VLOOKUP(B82,'B&amp;L'!$A$7:$BK$66,32,0)</f>
        <v>121.07</v>
      </c>
      <c r="J81" s="127">
        <f>VLOOKUP(B82,'B&amp;L'!$A$7:$BK$66,37,0)</f>
        <v>118.56</v>
      </c>
      <c r="K81" s="127">
        <f>VLOOKUP(B82,'B&amp;L'!$A$7:$BK$66,42,0)</f>
        <v>118.53</v>
      </c>
      <c r="L81" s="127">
        <f>VLOOKUP(B82,'B&amp;L'!$A$7:$BK$66,47,0)</f>
        <v>118.55</v>
      </c>
      <c r="M81" s="127">
        <f>VLOOKUP(B82,'B&amp;L'!$A$7:$BK$66,52,0)</f>
        <v>118.49</v>
      </c>
      <c r="N81" s="127">
        <f>VLOOKUP(B82,'B&amp;L'!$A$7:$BK$66,57,0)</f>
        <v>118.41</v>
      </c>
      <c r="O81" s="127">
        <f>VLOOKUP(B82,'B&amp;L'!$A$7:$BK$66,62,0)</f>
        <v>118.5</v>
      </c>
    </row>
    <row r="82" spans="1:15">
      <c r="A82" s="358"/>
      <c r="B82" s="92">
        <v>1412000083</v>
      </c>
      <c r="C82" s="84" t="s">
        <v>161</v>
      </c>
      <c r="D82" s="128">
        <f>VLOOKUP(B82,'B&amp;L'!$A$7:$BK$66,8,0)</f>
        <v>16.690000000000001</v>
      </c>
      <c r="E82" s="128">
        <f>VLOOKUP(B82,'B&amp;L'!$A$7:$BK$66,13,0)</f>
        <v>16.190000000000001</v>
      </c>
      <c r="F82" s="128">
        <f>VLOOKUP(B82,'B&amp;L'!$A$7:$BK$66,18,0)</f>
        <v>16.190000000000001</v>
      </c>
      <c r="G82" s="128">
        <f>VLOOKUP(B82,'B&amp;L'!$A$7:$BK$66,23,0)</f>
        <v>16.170000000000002</v>
      </c>
      <c r="H82" s="128">
        <f>VLOOKUP(B82,'B&amp;L'!$A$7:$BK$66,28,0)</f>
        <v>16.170000000000002</v>
      </c>
      <c r="I82" s="128">
        <f>VLOOKUP(B82,'B&amp;L'!$A$7:$BK$66,33,0)</f>
        <v>15.35</v>
      </c>
      <c r="J82" s="128">
        <f>VLOOKUP(B82,'B&amp;L'!$A$7:$BK$66,38,0)</f>
        <v>15.03</v>
      </c>
      <c r="K82" s="128">
        <f>VLOOKUP(B82,'B&amp;L'!$A$7:$BK$66,43,0)</f>
        <v>15.03</v>
      </c>
      <c r="L82" s="128">
        <f>VLOOKUP(B82,'B&amp;L'!$A$7:$BK$66,48,0)</f>
        <v>15.03</v>
      </c>
      <c r="M82" s="128">
        <f>VLOOKUP(B82,'B&amp;L'!$A$7:$BK$66,53,0)</f>
        <v>15.02</v>
      </c>
      <c r="N82" s="128">
        <f>VLOOKUP(B82,'B&amp;L'!$A$7:$BK$66,58,0)</f>
        <v>15.01</v>
      </c>
      <c r="O82" s="128">
        <f>VLOOKUP(B82,'B&amp;L'!$A$7:$BK$66,63,0)</f>
        <v>15.02</v>
      </c>
    </row>
    <row r="83" spans="1:15">
      <c r="A83" s="357">
        <v>39</v>
      </c>
      <c r="B83" s="102" t="s">
        <v>167</v>
      </c>
      <c r="C83" s="103" t="s">
        <v>160</v>
      </c>
      <c r="D83" s="271">
        <f>VLOOKUP(B84,'B&amp;L'!$A$7:$BK$66,7,0)</f>
        <v>180.02</v>
      </c>
      <c r="E83" s="271">
        <f>VLOOKUP(B84,'B&amp;L'!$A$7:$BK$66,12,0)</f>
        <v>170.21</v>
      </c>
      <c r="F83" s="271">
        <f>VLOOKUP(B84,'B&amp;L'!$A$7:$BK$66,17,0)</f>
        <v>170.27</v>
      </c>
      <c r="G83" s="271">
        <f>VLOOKUP(B84,'B&amp;L'!$A$7:$BK$66,22,0)</f>
        <v>170.07</v>
      </c>
      <c r="H83" s="271">
        <f>VLOOKUP(B84,'B&amp;L'!$A$7:$BK$66,27,0)</f>
        <v>170</v>
      </c>
      <c r="I83" s="271">
        <f>VLOOKUP(B84,'B&amp;L'!$A$7:$BK$66,32,0)</f>
        <v>161.43</v>
      </c>
      <c r="J83" s="271">
        <f>VLOOKUP(B84,'B&amp;L'!$A$7:$BK$66,37,0)</f>
        <v>158.08000000000001</v>
      </c>
      <c r="K83" s="271">
        <f>VLOOKUP(B84,'B&amp;L'!$A$7:$BK$66,42,0)</f>
        <v>158.05000000000001</v>
      </c>
      <c r="L83" s="271">
        <f>VLOOKUP(B84,'B&amp;L'!$A$7:$BK$66,47,0)</f>
        <v>158.06</v>
      </c>
      <c r="M83" s="271">
        <f>VLOOKUP(B84,'B&amp;L'!$A$7:$BK$66,52,0)</f>
        <v>157.99</v>
      </c>
      <c r="N83" s="271">
        <f>VLOOKUP(B84,'B&amp;L'!$A$7:$BK$66,57,0)</f>
        <v>157.88</v>
      </c>
      <c r="O83" s="271">
        <f>VLOOKUP(B84,'B&amp;L'!$A$7:$BK$66,62,0)</f>
        <v>158</v>
      </c>
    </row>
    <row r="84" spans="1:15">
      <c r="A84" s="358"/>
      <c r="B84" s="105">
        <v>1412000099</v>
      </c>
      <c r="C84" s="106" t="s">
        <v>161</v>
      </c>
      <c r="D84" s="272">
        <f>VLOOKUP(B84,'B&amp;L'!$A$7:$BK$66,8,0)</f>
        <v>22.26</v>
      </c>
      <c r="E84" s="272">
        <f>VLOOKUP(B84,'B&amp;L'!$A$7:$BK$66,13,0)</f>
        <v>21.58</v>
      </c>
      <c r="F84" s="272">
        <f>VLOOKUP(B84,'B&amp;L'!$A$7:$BK$66,18,0)</f>
        <v>21.59</v>
      </c>
      <c r="G84" s="272">
        <f>VLOOKUP(B84,'B&amp;L'!$A$7:$BK$66,23,0)</f>
        <v>21.56</v>
      </c>
      <c r="H84" s="272">
        <f>VLOOKUP(B84,'B&amp;L'!$A$7:$BK$66,28,0)</f>
        <v>21.55</v>
      </c>
      <c r="I84" s="272">
        <f>VLOOKUP(B84,'B&amp;L'!$A$7:$BK$66,33,0)</f>
        <v>20.47</v>
      </c>
      <c r="J84" s="272">
        <f>VLOOKUP(B84,'B&amp;L'!$A$7:$BK$66,38,0)</f>
        <v>20.04</v>
      </c>
      <c r="K84" s="272">
        <f>VLOOKUP(B84,'B&amp;L'!$A$7:$BK$66,43,0)</f>
        <v>20.04</v>
      </c>
      <c r="L84" s="272">
        <f>VLOOKUP(B84,'B&amp;L'!$A$7:$BK$66,48,0)</f>
        <v>20.04</v>
      </c>
      <c r="M84" s="272">
        <f>VLOOKUP(B84,'B&amp;L'!$A$7:$BK$66,53,0)</f>
        <v>20.03</v>
      </c>
      <c r="N84" s="272">
        <f>VLOOKUP(B84,'B&amp;L'!$A$7:$BK$66,58,0)</f>
        <v>20.02</v>
      </c>
      <c r="O84" s="272">
        <f>VLOOKUP(B84,'B&amp;L'!$A$7:$BK$66,63,0)</f>
        <v>20.03</v>
      </c>
    </row>
    <row r="85" spans="1:15">
      <c r="A85" s="357">
        <v>40</v>
      </c>
      <c r="B85" s="305" t="s">
        <v>193</v>
      </c>
      <c r="C85" s="306" t="s">
        <v>160</v>
      </c>
      <c r="D85" s="307">
        <f>VLOOKUP(B86,'B&amp;L'!$A$7:$BK$66,7,0)</f>
        <v>90.01</v>
      </c>
      <c r="E85" s="307">
        <f>VLOOKUP(B86,'B&amp;L'!$A$7:$BK$66,12,0)</f>
        <v>85.11</v>
      </c>
      <c r="F85" s="307">
        <f>VLOOKUP(B86,'B&amp;L'!$A$7:$BK$66,17,0)</f>
        <v>85.14</v>
      </c>
      <c r="G85" s="307">
        <f>VLOOKUP(B86,'B&amp;L'!$A$7:$BK$66,22,0)</f>
        <v>85.03</v>
      </c>
      <c r="H85" s="307">
        <f>VLOOKUP(B86,'B&amp;L'!$A$7:$BK$66,27,0)</f>
        <v>85</v>
      </c>
      <c r="I85" s="307">
        <f>VLOOKUP(B86,'B&amp;L'!$A$7:$BK$66,32,0)</f>
        <v>80.72</v>
      </c>
      <c r="J85" s="307">
        <f>VLOOKUP(B86,'B&amp;L'!$A$7:$BK$66,37,0)</f>
        <v>79.040000000000006</v>
      </c>
      <c r="K85" s="307">
        <f>VLOOKUP(B86,'B&amp;L'!$A$7:$BK$66,42,0)</f>
        <v>79.02</v>
      </c>
      <c r="L85" s="307">
        <f>VLOOKUP(B86,'B&amp;L'!$A$7:$BK$66,47,0)</f>
        <v>79.03</v>
      </c>
      <c r="M85" s="307">
        <f>VLOOKUP(B86,'B&amp;L'!$A$7:$BK$66,52,0)</f>
        <v>79</v>
      </c>
      <c r="N85" s="307">
        <f>VLOOKUP(B86,'B&amp;L'!$A$7:$BK$66,57,0)</f>
        <v>78.94</v>
      </c>
      <c r="O85" s="307">
        <f>VLOOKUP(B86,'B&amp;L'!$A$7:$BK$66,62,0)</f>
        <v>79</v>
      </c>
    </row>
    <row r="86" spans="1:15">
      <c r="A86" s="358"/>
      <c r="B86" s="308">
        <v>1412000100</v>
      </c>
      <c r="C86" s="309" t="s">
        <v>161</v>
      </c>
      <c r="D86" s="310">
        <f>VLOOKUP(B86,'B&amp;L'!$A$7:$BK$66,8,0)</f>
        <v>11.13</v>
      </c>
      <c r="E86" s="310">
        <f>VLOOKUP(B86,'B&amp;L'!$A$7:$BK$66,13,0)</f>
        <v>10.79</v>
      </c>
      <c r="F86" s="310">
        <f>VLOOKUP(B86,'B&amp;L'!$A$7:$BK$66,18,0)</f>
        <v>10.79</v>
      </c>
      <c r="G86" s="310">
        <f>VLOOKUP(B86,'B&amp;L'!$A$7:$BK$66,23,0)</f>
        <v>10.78</v>
      </c>
      <c r="H86" s="310">
        <f>VLOOKUP(B86,'B&amp;L'!$A$7:$BK$66,28,0)</f>
        <v>10.78</v>
      </c>
      <c r="I86" s="310">
        <f>VLOOKUP(B86,'B&amp;L'!$A$7:$BK$66,33,0)</f>
        <v>10.23</v>
      </c>
      <c r="J86" s="310">
        <f>VLOOKUP(B86,'B&amp;L'!$A$7:$BK$66,38,0)</f>
        <v>10.02</v>
      </c>
      <c r="K86" s="310">
        <f>VLOOKUP(B86,'B&amp;L'!$A$7:$BK$66,43,0)</f>
        <v>10.02</v>
      </c>
      <c r="L86" s="310">
        <f>VLOOKUP(B86,'B&amp;L'!$A$7:$BK$66,48,0)</f>
        <v>10.02</v>
      </c>
      <c r="M86" s="310">
        <f>VLOOKUP(B86,'B&amp;L'!$A$7:$BK$66,53,0)</f>
        <v>10.02</v>
      </c>
      <c r="N86" s="310">
        <f>VLOOKUP(B86,'B&amp;L'!$A$7:$BK$66,58,0)</f>
        <v>10.01</v>
      </c>
      <c r="O86" s="310">
        <f>VLOOKUP(B86,'B&amp;L'!$A$7:$BK$66,63,0)</f>
        <v>10.02</v>
      </c>
    </row>
    <row r="87" spans="1:15">
      <c r="A87" s="357">
        <v>41</v>
      </c>
      <c r="B87" s="91" t="s">
        <v>72</v>
      </c>
      <c r="C87" s="76" t="s">
        <v>160</v>
      </c>
      <c r="D87" s="127">
        <f>VLOOKUP(B88,'B&amp;L'!$A$7:$BK$66,7,0)</f>
        <v>101.26</v>
      </c>
      <c r="E87" s="127">
        <f>VLOOKUP(B88,'B&amp;L'!$A$7:$BK$66,12,0)</f>
        <v>95.75</v>
      </c>
      <c r="F87" s="127">
        <f>VLOOKUP(B88,'B&amp;L'!$A$7:$BK$66,17,0)</f>
        <v>95.78</v>
      </c>
      <c r="G87" s="127">
        <f>VLOOKUP(B88,'B&amp;L'!$A$7:$BK$66,22,0)</f>
        <v>95.66</v>
      </c>
      <c r="H87" s="127">
        <f>VLOOKUP(B88,'B&amp;L'!$A$7:$BK$66,27,0)</f>
        <v>95.63</v>
      </c>
      <c r="I87" s="127">
        <f>VLOOKUP(B88,'B&amp;L'!$A$7:$BK$66,32,0)</f>
        <v>100.89</v>
      </c>
      <c r="J87" s="127">
        <f>VLOOKUP(B88,'B&amp;L'!$A$7:$BK$66,37,0)</f>
        <v>98.8</v>
      </c>
      <c r="K87" s="127">
        <f>VLOOKUP(B88,'B&amp;L'!$A$7:$BK$66,42,0)</f>
        <v>98.78</v>
      </c>
      <c r="L87" s="127">
        <f>VLOOKUP(B88,'B&amp;L'!$A$7:$BK$66,47,0)</f>
        <v>98.79</v>
      </c>
      <c r="M87" s="127">
        <f>VLOOKUP(B88,'B&amp;L'!$A$7:$BK$66,52,0)</f>
        <v>98.74</v>
      </c>
      <c r="N87" s="127">
        <f>VLOOKUP(B88,'B&amp;L'!$A$7:$BK$66,57,0)</f>
        <v>98.68</v>
      </c>
      <c r="O87" s="127">
        <f>VLOOKUP(B88,'B&amp;L'!$A$7:$BK$66,62,0)</f>
        <v>98.75</v>
      </c>
    </row>
    <row r="88" spans="1:15">
      <c r="A88" s="358"/>
      <c r="B88" s="92">
        <v>1412000057</v>
      </c>
      <c r="C88" s="84" t="s">
        <v>161</v>
      </c>
      <c r="D88" s="128">
        <f>VLOOKUP(B88,'B&amp;L'!$A$7:$BK$66,8,0)</f>
        <v>12.52</v>
      </c>
      <c r="E88" s="128">
        <f>VLOOKUP(B88,'B&amp;L'!$A$7:$BK$66,13,0)</f>
        <v>12.14</v>
      </c>
      <c r="F88" s="128">
        <f>VLOOKUP(B88,'B&amp;L'!$A$7:$BK$66,18,0)</f>
        <v>12.14</v>
      </c>
      <c r="G88" s="128">
        <f>VLOOKUP(B88,'B&amp;L'!$A$7:$BK$66,23,0)</f>
        <v>12.13</v>
      </c>
      <c r="H88" s="128">
        <f>VLOOKUP(B88,'B&amp;L'!$A$7:$BK$66,28,0)</f>
        <v>12.12</v>
      </c>
      <c r="I88" s="128">
        <f>VLOOKUP(B88,'B&amp;L'!$A$7:$BK$66,33,0)</f>
        <v>12.79</v>
      </c>
      <c r="J88" s="128">
        <f>VLOOKUP(B88,'B&amp;L'!$A$7:$BK$66,38,0)</f>
        <v>12.53</v>
      </c>
      <c r="K88" s="128">
        <f>VLOOKUP(B88,'B&amp;L'!$A$7:$BK$66,43,0)</f>
        <v>12.52</v>
      </c>
      <c r="L88" s="128">
        <f>VLOOKUP(B88,'B&amp;L'!$A$7:$BK$66,48,0)</f>
        <v>12.53</v>
      </c>
      <c r="M88" s="128">
        <f>VLOOKUP(B88,'B&amp;L'!$A$7:$BK$66,53,0)</f>
        <v>12.52</v>
      </c>
      <c r="N88" s="128">
        <f>VLOOKUP(B88,'B&amp;L'!$A$7:$BK$66,58,0)</f>
        <v>12.51</v>
      </c>
      <c r="O88" s="128">
        <f>VLOOKUP(B88,'B&amp;L'!$A$7:$BK$66,63,0)</f>
        <v>12.52</v>
      </c>
    </row>
    <row r="89" spans="1:15">
      <c r="A89" s="357">
        <v>42</v>
      </c>
      <c r="B89" s="305" t="s">
        <v>190</v>
      </c>
      <c r="C89" s="306" t="s">
        <v>160</v>
      </c>
      <c r="D89" s="307">
        <f>VLOOKUP(B90,'B&amp;L'!$A$7:$BK$66,7,0)</f>
        <v>90.01</v>
      </c>
      <c r="E89" s="307">
        <f>VLOOKUP(B90,'B&amp;L'!$A$7:$BK$66,12,0)</f>
        <v>85.11</v>
      </c>
      <c r="F89" s="307">
        <f>VLOOKUP(B90,'B&amp;L'!$A$7:$BK$66,17,0)</f>
        <v>85.14</v>
      </c>
      <c r="G89" s="307">
        <f>VLOOKUP(B90,'B&amp;L'!$A$7:$BK$66,22,0)</f>
        <v>85.03</v>
      </c>
      <c r="H89" s="307">
        <f>VLOOKUP(B90,'B&amp;L'!$A$7:$BK$66,27,0)</f>
        <v>85</v>
      </c>
      <c r="I89" s="307">
        <f>VLOOKUP(B90,'B&amp;L'!$A$7:$BK$66,32,0)</f>
        <v>90.8</v>
      </c>
      <c r="J89" s="307">
        <f>VLOOKUP(B90,'B&amp;L'!$A$7:$BK$66,37,0)</f>
        <v>88.92</v>
      </c>
      <c r="K89" s="307">
        <f>VLOOKUP(B90,'B&amp;L'!$A$7:$BK$66,42,0)</f>
        <v>88.9</v>
      </c>
      <c r="L89" s="307">
        <f>VLOOKUP(B90,'B&amp;L'!$A$7:$BK$66,47,0)</f>
        <v>88.91</v>
      </c>
      <c r="M89" s="307">
        <f>VLOOKUP(B90,'B&amp;L'!$A$7:$BK$66,52,0)</f>
        <v>88.87</v>
      </c>
      <c r="N89" s="307">
        <f>VLOOKUP(B90,'B&amp;L'!$A$7:$BK$66,57,0)</f>
        <v>88.81</v>
      </c>
      <c r="O89" s="307">
        <f>VLOOKUP(B90,'B&amp;L'!$A$7:$BK$66,62,0)</f>
        <v>88.87</v>
      </c>
    </row>
    <row r="90" spans="1:15">
      <c r="A90" s="358"/>
      <c r="B90" s="308">
        <v>1412000101</v>
      </c>
      <c r="C90" s="309" t="s">
        <v>161</v>
      </c>
      <c r="D90" s="310">
        <f>VLOOKUP(B90,'B&amp;L'!$A$7:$BK$66,8,0)</f>
        <v>11.13</v>
      </c>
      <c r="E90" s="310">
        <f>VLOOKUP(B90,'B&amp;L'!$A$7:$BK$66,13,0)</f>
        <v>10.79</v>
      </c>
      <c r="F90" s="310">
        <f>VLOOKUP(B90,'B&amp;L'!$A$7:$BK$66,18,0)</f>
        <v>10.79</v>
      </c>
      <c r="G90" s="310">
        <f>VLOOKUP(B90,'B&amp;L'!$A$7:$BK$66,23,0)</f>
        <v>10.78</v>
      </c>
      <c r="H90" s="310">
        <f>VLOOKUP(B90,'B&amp;L'!$A$7:$BK$66,28,0)</f>
        <v>10.78</v>
      </c>
      <c r="I90" s="310">
        <f>VLOOKUP(B90,'B&amp;L'!$A$7:$BK$66,33,0)</f>
        <v>11.51</v>
      </c>
      <c r="J90" s="310">
        <f>VLOOKUP(B90,'B&amp;L'!$A$7:$BK$66,38,0)</f>
        <v>11.27</v>
      </c>
      <c r="K90" s="310">
        <f>VLOOKUP(B90,'B&amp;L'!$A$7:$BK$66,43,0)</f>
        <v>11.27</v>
      </c>
      <c r="L90" s="310">
        <f>VLOOKUP(B90,'B&amp;L'!$A$7:$BK$66,48,0)</f>
        <v>11.27</v>
      </c>
      <c r="M90" s="310">
        <f>VLOOKUP(B90,'B&amp;L'!$A$7:$BK$66,53,0)</f>
        <v>11.27</v>
      </c>
      <c r="N90" s="310">
        <f>VLOOKUP(B90,'B&amp;L'!$A$7:$BK$66,58,0)</f>
        <v>11.26</v>
      </c>
      <c r="O90" s="310">
        <f>VLOOKUP(B90,'B&amp;L'!$A$7:$BK$66,63,0)</f>
        <v>11.27</v>
      </c>
    </row>
    <row r="91" spans="1:15">
      <c r="A91" s="357">
        <v>43</v>
      </c>
      <c r="B91" s="91" t="s">
        <v>168</v>
      </c>
      <c r="C91" s="76" t="s">
        <v>160</v>
      </c>
      <c r="D91" s="127">
        <f>VLOOKUP(B92,'B&amp;L'!$A$7:$BK$66,7,0)</f>
        <v>135.01</v>
      </c>
      <c r="E91" s="127">
        <f>VLOOKUP(B92,'B&amp;L'!$A$7:$BK$66,12,0)</f>
        <v>127.66</v>
      </c>
      <c r="F91" s="127">
        <f>VLOOKUP(B92,'B&amp;L'!$A$7:$BK$66,17,0)</f>
        <v>127.7</v>
      </c>
      <c r="G91" s="127">
        <f>VLOOKUP(B92,'B&amp;L'!$A$7:$BK$66,22,0)</f>
        <v>127.55</v>
      </c>
      <c r="H91" s="127">
        <f>VLOOKUP(B92,'B&amp;L'!$A$7:$BK$66,27,0)</f>
        <v>127.5</v>
      </c>
      <c r="I91" s="127">
        <f>VLOOKUP(B92,'B&amp;L'!$A$7:$BK$66,32,0)</f>
        <v>141.25</v>
      </c>
      <c r="J91" s="127">
        <f>VLOOKUP(B92,'B&amp;L'!$A$7:$BK$66,37,0)</f>
        <v>148.19999999999999</v>
      </c>
      <c r="K91" s="127">
        <f>VLOOKUP(B92,'B&amp;L'!$A$7:$BK$66,42,0)</f>
        <v>148.16999999999999</v>
      </c>
      <c r="L91" s="127">
        <f>VLOOKUP(B92,'B&amp;L'!$A$7:$BK$66,47,0)</f>
        <v>148.18</v>
      </c>
      <c r="M91" s="127">
        <f>VLOOKUP(B92,'B&amp;L'!$A$7:$BK$66,52,0)</f>
        <v>148.12</v>
      </c>
      <c r="N91" s="127">
        <f>VLOOKUP(B92,'B&amp;L'!$A$7:$BK$66,57,0)</f>
        <v>148.01</v>
      </c>
      <c r="O91" s="127">
        <f>VLOOKUP(B92,'B&amp;L'!$A$7:$BK$66,62,0)</f>
        <v>148.12</v>
      </c>
    </row>
    <row r="92" spans="1:15">
      <c r="A92" s="358"/>
      <c r="B92" s="92">
        <v>1412000078</v>
      </c>
      <c r="C92" s="84" t="s">
        <v>161</v>
      </c>
      <c r="D92" s="128">
        <f>VLOOKUP(B92,'B&amp;L'!$A$7:$BK$66,8,0)</f>
        <v>16.690000000000001</v>
      </c>
      <c r="E92" s="128">
        <f>VLOOKUP(B92,'B&amp;L'!$A$7:$BK$66,13,0)</f>
        <v>16.190000000000001</v>
      </c>
      <c r="F92" s="128">
        <f>VLOOKUP(B92,'B&amp;L'!$A$7:$BK$66,18,0)</f>
        <v>16.190000000000001</v>
      </c>
      <c r="G92" s="128">
        <f>VLOOKUP(B92,'B&amp;L'!$A$7:$BK$66,23,0)</f>
        <v>16.170000000000002</v>
      </c>
      <c r="H92" s="128">
        <f>VLOOKUP(B92,'B&amp;L'!$A$7:$BK$66,28,0)</f>
        <v>16.170000000000002</v>
      </c>
      <c r="I92" s="128">
        <f>VLOOKUP(B92,'B&amp;L'!$A$7:$BK$66,33,0)</f>
        <v>17.91</v>
      </c>
      <c r="J92" s="128">
        <f>VLOOKUP(B92,'B&amp;L'!$A$7:$BK$66,38,0)</f>
        <v>18.79</v>
      </c>
      <c r="K92" s="128">
        <f>VLOOKUP(B92,'B&amp;L'!$A$7:$BK$66,43,0)</f>
        <v>18.79</v>
      </c>
      <c r="L92" s="128">
        <f>VLOOKUP(B92,'B&amp;L'!$A$7:$BK$66,48,0)</f>
        <v>18.79</v>
      </c>
      <c r="M92" s="128">
        <f>VLOOKUP(B92,'B&amp;L'!$A$7:$BK$66,53,0)</f>
        <v>18.78</v>
      </c>
      <c r="N92" s="128">
        <f>VLOOKUP(B92,'B&amp;L'!$A$7:$BK$66,58,0)</f>
        <v>18.77</v>
      </c>
      <c r="O92" s="128">
        <f>VLOOKUP(B92,'B&amp;L'!$A$7:$BK$66,63,0)</f>
        <v>18.78</v>
      </c>
    </row>
    <row r="93" spans="1:15">
      <c r="A93" s="357">
        <v>44</v>
      </c>
      <c r="B93" s="91" t="s">
        <v>169</v>
      </c>
      <c r="C93" s="76" t="s">
        <v>160</v>
      </c>
      <c r="D93" s="127">
        <f>VLOOKUP(B94,'B&amp;L'!$A$7:$BK$66,7,0)</f>
        <v>112.51</v>
      </c>
      <c r="E93" s="127">
        <f>VLOOKUP(B94,'B&amp;L'!$A$7:$BK$66,12,0)</f>
        <v>106.38</v>
      </c>
      <c r="F93" s="127">
        <f>VLOOKUP(B94,'B&amp;L'!$A$7:$BK$66,17,0)</f>
        <v>106.42</v>
      </c>
      <c r="G93" s="127">
        <f>VLOOKUP(B94,'B&amp;L'!$A$7:$BK$66,22,0)</f>
        <v>106.29</v>
      </c>
      <c r="H93" s="127">
        <f>VLOOKUP(B94,'B&amp;L'!$A$7:$BK$66,27,0)</f>
        <v>106.25</v>
      </c>
      <c r="I93" s="127">
        <f>VLOOKUP(B94,'B&amp;L'!$A$7:$BK$66,32,0)</f>
        <v>121.07</v>
      </c>
      <c r="J93" s="127">
        <f>VLOOKUP(B94,'B&amp;L'!$A$7:$BK$66,37,0)</f>
        <v>118.56</v>
      </c>
      <c r="K93" s="127">
        <f>VLOOKUP(B94,'B&amp;L'!$A$7:$BK$66,42,0)</f>
        <v>118.53</v>
      </c>
      <c r="L93" s="127">
        <f>VLOOKUP(B94,'B&amp;L'!$A$7:$BK$66,47,0)</f>
        <v>118.55</v>
      </c>
      <c r="M93" s="127">
        <f>VLOOKUP(B94,'B&amp;L'!$A$7:$BK$66,52,0)</f>
        <v>118.49</v>
      </c>
      <c r="N93" s="127">
        <f>VLOOKUP(B94,'B&amp;L'!$A$7:$BK$66,57,0)</f>
        <v>118.41</v>
      </c>
      <c r="O93" s="127">
        <f>VLOOKUP(B94,'B&amp;L'!$A$7:$BK$66,62,0)</f>
        <v>118.5</v>
      </c>
    </row>
    <row r="94" spans="1:15">
      <c r="A94" s="358"/>
      <c r="B94" s="92">
        <v>1412000096</v>
      </c>
      <c r="C94" s="84" t="s">
        <v>161</v>
      </c>
      <c r="D94" s="128">
        <f>VLOOKUP(B94,'B&amp;L'!$A$7:$BK$66,8,0)</f>
        <v>13.91</v>
      </c>
      <c r="E94" s="128">
        <f>VLOOKUP(B94,'B&amp;L'!$A$7:$BK$66,13,0)</f>
        <v>13.49</v>
      </c>
      <c r="F94" s="128">
        <f>VLOOKUP(B94,'B&amp;L'!$A$7:$BK$66,18,0)</f>
        <v>13.49</v>
      </c>
      <c r="G94" s="128">
        <f>VLOOKUP(B94,'B&amp;L'!$A$7:$BK$66,23,0)</f>
        <v>13.48</v>
      </c>
      <c r="H94" s="128">
        <f>VLOOKUP(B94,'B&amp;L'!$A$7:$BK$66,28,0)</f>
        <v>13.47</v>
      </c>
      <c r="I94" s="128">
        <f>VLOOKUP(B94,'B&amp;L'!$A$7:$BK$66,33,0)</f>
        <v>15.35</v>
      </c>
      <c r="J94" s="128">
        <f>VLOOKUP(B94,'B&amp;L'!$A$7:$BK$66,38,0)</f>
        <v>15.03</v>
      </c>
      <c r="K94" s="128">
        <f>VLOOKUP(B94,'B&amp;L'!$A$7:$BK$66,43,0)</f>
        <v>15.03</v>
      </c>
      <c r="L94" s="128">
        <f>VLOOKUP(B94,'B&amp;L'!$A$7:$BK$66,48,0)</f>
        <v>15.03</v>
      </c>
      <c r="M94" s="128">
        <f>VLOOKUP(B94,'B&amp;L'!$A$7:$BK$66,53,0)</f>
        <v>15.02</v>
      </c>
      <c r="N94" s="128">
        <f>VLOOKUP(B94,'B&amp;L'!$A$7:$BK$66,58,0)</f>
        <v>15.01</v>
      </c>
      <c r="O94" s="128">
        <f>VLOOKUP(B94,'B&amp;L'!$A$7:$BK$66,63,0)</f>
        <v>15.02</v>
      </c>
    </row>
    <row r="95" spans="1:15">
      <c r="A95" s="357">
        <v>45</v>
      </c>
      <c r="B95" s="91" t="s">
        <v>137</v>
      </c>
      <c r="C95" s="76" t="s">
        <v>160</v>
      </c>
      <c r="D95" s="127">
        <f>VLOOKUP(B96,'B&amp;L'!$A$7:$BK$66,7,0)</f>
        <v>598.53</v>
      </c>
      <c r="E95" s="127">
        <f>VLOOKUP(B96,'B&amp;L'!$A$7:$BK$66,12,0)</f>
        <v>567.67999999999995</v>
      </c>
      <c r="F95" s="127">
        <f>VLOOKUP(B96,'B&amp;L'!$A$7:$BK$66,17,0)</f>
        <v>569.23</v>
      </c>
      <c r="G95" s="127">
        <f>VLOOKUP(B96,'B&amp;L'!$A$7:$BK$66,22,0)</f>
        <v>565.29999999999995</v>
      </c>
      <c r="H95" s="127">
        <f>VLOOKUP(B96,'B&amp;L'!$A$7:$BK$66,27,0)</f>
        <v>564.29999999999995</v>
      </c>
      <c r="I95" s="127">
        <f>VLOOKUP(B96,'B&amp;L'!$A$7:$BK$66,32,0)</f>
        <v>564.66</v>
      </c>
      <c r="J95" s="127">
        <f>VLOOKUP(B96,'B&amp;L'!$A$7:$BK$66,37,0)</f>
        <v>563.45000000000005</v>
      </c>
      <c r="K95" s="127">
        <f>VLOOKUP(B96,'B&amp;L'!$A$7:$BK$66,42,0)</f>
        <v>562.58000000000004</v>
      </c>
      <c r="L95" s="127">
        <f>VLOOKUP(B96,'B&amp;L'!$A$7:$BK$66,47,0)</f>
        <v>563.03</v>
      </c>
      <c r="M95" s="127">
        <f>VLOOKUP(B96,'B&amp;L'!$A$7:$BK$66,52,0)</f>
        <v>561.36</v>
      </c>
      <c r="N95" s="127">
        <f>VLOOKUP(B96,'B&amp;L'!$A$7:$BK$66,57,0)</f>
        <v>559.71</v>
      </c>
      <c r="O95" s="127">
        <f>VLOOKUP(B96,'B&amp;L'!$A$7:$BK$66,62,0)</f>
        <v>561.82000000000005</v>
      </c>
    </row>
    <row r="96" spans="1:15">
      <c r="A96" s="358"/>
      <c r="B96" s="92">
        <v>1412000018</v>
      </c>
      <c r="C96" s="84" t="s">
        <v>161</v>
      </c>
      <c r="D96" s="128">
        <f>VLOOKUP(B96,'B&amp;L'!$A$7:$BK$66,8,0)</f>
        <v>74.010000000000005</v>
      </c>
      <c r="E96" s="128">
        <f>VLOOKUP(B96,'B&amp;L'!$A$7:$BK$66,13,0)</f>
        <v>71.98</v>
      </c>
      <c r="F96" s="128">
        <f>VLOOKUP(B96,'B&amp;L'!$A$7:$BK$66,18,0)</f>
        <v>72.17</v>
      </c>
      <c r="G96" s="128">
        <f>VLOOKUP(B96,'B&amp;L'!$A$7:$BK$66,23,0)</f>
        <v>71.67</v>
      </c>
      <c r="H96" s="128">
        <f>VLOOKUP(B96,'B&amp;L'!$A$7:$BK$66,28,0)</f>
        <v>71.55</v>
      </c>
      <c r="I96" s="128">
        <f>VLOOKUP(B96,'B&amp;L'!$A$7:$BK$66,33,0)</f>
        <v>71.59</v>
      </c>
      <c r="J96" s="128">
        <f>VLOOKUP(B96,'B&amp;L'!$A$7:$BK$66,38,0)</f>
        <v>71.44</v>
      </c>
      <c r="K96" s="128">
        <f>VLOOKUP(B96,'B&amp;L'!$A$7:$BK$66,43,0)</f>
        <v>71.33</v>
      </c>
      <c r="L96" s="128">
        <f>VLOOKUP(B96,'B&amp;L'!$A$7:$BK$66,48,0)</f>
        <v>71.39</v>
      </c>
      <c r="M96" s="128">
        <f>VLOOKUP(B96,'B&amp;L'!$A$7:$BK$66,53,0)</f>
        <v>71.180000000000007</v>
      </c>
      <c r="N96" s="128">
        <f>VLOOKUP(B96,'B&amp;L'!$A$7:$BK$66,58,0)</f>
        <v>70.97</v>
      </c>
      <c r="O96" s="128">
        <f>VLOOKUP(B96,'B&amp;L'!$A$7:$BK$66,63,0)</f>
        <v>71.23</v>
      </c>
    </row>
    <row r="97" spans="1:15">
      <c r="A97" s="357">
        <v>46</v>
      </c>
      <c r="B97" s="91" t="s">
        <v>112</v>
      </c>
      <c r="C97" s="76" t="s">
        <v>160</v>
      </c>
      <c r="D97" s="127">
        <f>VLOOKUP(B98,'B&amp;L'!$A$7:$BK$66,7,0)</f>
        <v>1088.0999999999999</v>
      </c>
      <c r="E97" s="127">
        <f>VLOOKUP(B98,'B&amp;L'!$A$7:$BK$66,12,0)</f>
        <v>1028.7</v>
      </c>
      <c r="F97" s="127">
        <f>VLOOKUP(B98,'B&amp;L'!$A$7:$BK$66,17,0)</f>
        <v>1029.1199999999999</v>
      </c>
      <c r="G97" s="127">
        <f>VLOOKUP(B98,'B&amp;L'!$A$7:$BK$66,22,0)</f>
        <v>1020.54</v>
      </c>
      <c r="H97" s="127">
        <f>VLOOKUP(B98,'B&amp;L'!$A$7:$BK$66,27,0)</f>
        <v>1021.49</v>
      </c>
      <c r="I97" s="127">
        <f>VLOOKUP(B98,'B&amp;L'!$A$7:$BK$66,32,0)</f>
        <v>1010.92</v>
      </c>
      <c r="J97" s="127">
        <f>VLOOKUP(B98,'B&amp;L'!$A$7:$BK$66,37,0)</f>
        <v>1000.97</v>
      </c>
      <c r="K97" s="127">
        <f>VLOOKUP(B98,'B&amp;L'!$A$7:$BK$66,42,0)</f>
        <v>1000.77</v>
      </c>
      <c r="L97" s="127">
        <f>VLOOKUP(B98,'B&amp;L'!$A$7:$BK$66,47,0)</f>
        <v>1001.04</v>
      </c>
      <c r="M97" s="127">
        <f>VLOOKUP(B98,'B&amp;L'!$A$7:$BK$66,52,0)</f>
        <v>999.18</v>
      </c>
      <c r="N97" s="127">
        <f>VLOOKUP(B98,'B&amp;L'!$A$7:$BK$66,57,0)</f>
        <v>993.17</v>
      </c>
      <c r="O97" s="127">
        <f>VLOOKUP(B98,'B&amp;L'!$A$7:$BK$66,62,0)</f>
        <v>997.93</v>
      </c>
    </row>
    <row r="98" spans="1:15">
      <c r="A98" s="358"/>
      <c r="B98" s="92">
        <v>1412000019</v>
      </c>
      <c r="C98" s="84" t="s">
        <v>161</v>
      </c>
      <c r="D98" s="128">
        <f>VLOOKUP(B98,'B&amp;L'!$A$7:$BK$66,8,0)</f>
        <v>134.54</v>
      </c>
      <c r="E98" s="128">
        <f>VLOOKUP(B98,'B&amp;L'!$A$7:$BK$66,13,0)</f>
        <v>130.43</v>
      </c>
      <c r="F98" s="128">
        <f>VLOOKUP(B98,'B&amp;L'!$A$7:$BK$66,18,0)</f>
        <v>130.47999999999999</v>
      </c>
      <c r="G98" s="128">
        <f>VLOOKUP(B98,'B&amp;L'!$A$7:$BK$66,23,0)</f>
        <v>129.38999999999999</v>
      </c>
      <c r="H98" s="128">
        <f>VLOOKUP(B98,'B&amp;L'!$A$7:$BK$66,28,0)</f>
        <v>129.52000000000001</v>
      </c>
      <c r="I98" s="128">
        <f>VLOOKUP(B98,'B&amp;L'!$A$7:$BK$66,33,0)</f>
        <v>128.16999999999999</v>
      </c>
      <c r="J98" s="128">
        <f>VLOOKUP(B98,'B&amp;L'!$A$7:$BK$66,38,0)</f>
        <v>126.91</v>
      </c>
      <c r="K98" s="128">
        <f>VLOOKUP(B98,'B&amp;L'!$A$7:$BK$66,43,0)</f>
        <v>126.89</v>
      </c>
      <c r="L98" s="128">
        <f>VLOOKUP(B98,'B&amp;L'!$A$7:$BK$66,48,0)</f>
        <v>126.92</v>
      </c>
      <c r="M98" s="128">
        <f>VLOOKUP(B98,'B&amp;L'!$A$7:$BK$66,53,0)</f>
        <v>126.69</v>
      </c>
      <c r="N98" s="128">
        <f>VLOOKUP(B98,'B&amp;L'!$A$7:$BK$66,58,0)</f>
        <v>125.92</v>
      </c>
      <c r="O98" s="128">
        <f>VLOOKUP(B98,'B&amp;L'!$A$7:$BK$66,63,0)</f>
        <v>126.53</v>
      </c>
    </row>
    <row r="99" spans="1:15">
      <c r="A99" s="357">
        <v>47</v>
      </c>
      <c r="B99" s="91" t="s">
        <v>149</v>
      </c>
      <c r="C99" s="76" t="s">
        <v>160</v>
      </c>
      <c r="D99" s="127">
        <f>VLOOKUP(B100,'B&amp;L'!$A$7:$BK$66,7,0)</f>
        <v>275.11</v>
      </c>
      <c r="E99" s="127">
        <f>VLOOKUP(B100,'B&amp;L'!$A$7:$BK$66,12,0)</f>
        <v>259.33</v>
      </c>
      <c r="F99" s="127">
        <f>VLOOKUP(B100,'B&amp;L'!$A$7:$BK$66,17,0)</f>
        <v>259.39999999999998</v>
      </c>
      <c r="G99" s="127">
        <f>VLOOKUP(B100,'B&amp;L'!$A$7:$BK$66,22,0)</f>
        <v>259.17</v>
      </c>
      <c r="H99" s="127">
        <f>VLOOKUP(B100,'B&amp;L'!$A$7:$BK$66,27,0)</f>
        <v>259.08999999999997</v>
      </c>
      <c r="I99" s="127">
        <f>VLOOKUP(B100,'B&amp;L'!$A$7:$BK$66,32,0)</f>
        <v>255.74</v>
      </c>
      <c r="J99" s="127">
        <f>VLOOKUP(B100,'B&amp;L'!$A$7:$BK$66,37,0)</f>
        <v>254.76</v>
      </c>
      <c r="K99" s="127">
        <f>VLOOKUP(B100,'B&amp;L'!$A$7:$BK$66,42,0)</f>
        <v>254.73</v>
      </c>
      <c r="L99" s="127">
        <f>VLOOKUP(B100,'B&amp;L'!$A$7:$BK$66,47,0)</f>
        <v>254.75</v>
      </c>
      <c r="M99" s="127">
        <f>VLOOKUP(B100,'B&amp;L'!$A$7:$BK$66,52,0)</f>
        <v>254.66</v>
      </c>
      <c r="N99" s="127">
        <f>VLOOKUP(B100,'B&amp;L'!$A$7:$BK$66,57,0)</f>
        <v>254.54</v>
      </c>
      <c r="O99" s="127">
        <f>VLOOKUP(B100,'B&amp;L'!$A$7:$BK$66,62,0)</f>
        <v>254.67</v>
      </c>
    </row>
    <row r="100" spans="1:15">
      <c r="A100" s="358"/>
      <c r="B100" s="92">
        <v>1412000058</v>
      </c>
      <c r="C100" s="84" t="s">
        <v>161</v>
      </c>
      <c r="D100" s="128">
        <f>VLOOKUP(B100,'B&amp;L'!$A$7:$BK$66,8,0)</f>
        <v>34.020000000000003</v>
      </c>
      <c r="E100" s="128">
        <f>VLOOKUP(B100,'B&amp;L'!$A$7:$BK$66,13,0)</f>
        <v>32.880000000000003</v>
      </c>
      <c r="F100" s="128">
        <f>VLOOKUP(B100,'B&amp;L'!$A$7:$BK$66,18,0)</f>
        <v>32.89</v>
      </c>
      <c r="G100" s="128">
        <f>VLOOKUP(B100,'B&amp;L'!$A$7:$BK$66,23,0)</f>
        <v>32.86</v>
      </c>
      <c r="H100" s="128">
        <f>VLOOKUP(B100,'B&amp;L'!$A$7:$BK$66,28,0)</f>
        <v>32.85</v>
      </c>
      <c r="I100" s="128">
        <f>VLOOKUP(B100,'B&amp;L'!$A$7:$BK$66,33,0)</f>
        <v>32.42</v>
      </c>
      <c r="J100" s="128">
        <f>VLOOKUP(B100,'B&amp;L'!$A$7:$BK$66,38,0)</f>
        <v>32.299999999999997</v>
      </c>
      <c r="K100" s="128">
        <f>VLOOKUP(B100,'B&amp;L'!$A$7:$BK$66,43,0)</f>
        <v>32.299999999999997</v>
      </c>
      <c r="L100" s="128">
        <f>VLOOKUP(B100,'B&amp;L'!$A$7:$BK$66,48,0)</f>
        <v>32.299999999999997</v>
      </c>
      <c r="M100" s="128">
        <f>VLOOKUP(B100,'B&amp;L'!$A$7:$BK$66,53,0)</f>
        <v>32.29</v>
      </c>
      <c r="N100" s="128">
        <f>VLOOKUP(B100,'B&amp;L'!$A$7:$BK$66,58,0)</f>
        <v>32.270000000000003</v>
      </c>
      <c r="O100" s="128">
        <f>VLOOKUP(B100,'B&amp;L'!$A$7:$BK$66,63,0)</f>
        <v>32.29</v>
      </c>
    </row>
    <row r="101" spans="1:15">
      <c r="A101" s="357">
        <v>48</v>
      </c>
      <c r="B101" s="91" t="s">
        <v>145</v>
      </c>
      <c r="C101" s="76" t="s">
        <v>160</v>
      </c>
      <c r="D101" s="127">
        <f>VLOOKUP(B102,'B&amp;L'!$A$7:$BK$66,7,0)</f>
        <v>64.260000000000005</v>
      </c>
      <c r="E101" s="127">
        <f>VLOOKUP(B102,'B&amp;L'!$A$7:$BK$66,12,0)</f>
        <v>60.52</v>
      </c>
      <c r="F101" s="127">
        <f>VLOOKUP(B102,'B&amp;L'!$A$7:$BK$66,17,0)</f>
        <v>60.54</v>
      </c>
      <c r="G101" s="127">
        <f>VLOOKUP(B102,'B&amp;L'!$A$7:$BK$66,22,0)</f>
        <v>60.48</v>
      </c>
      <c r="H101" s="127">
        <f>VLOOKUP(B102,'B&amp;L'!$A$7:$BK$66,27,0)</f>
        <v>60.46</v>
      </c>
      <c r="I101" s="127">
        <f>VLOOKUP(B102,'B&amp;L'!$A$7:$BK$66,32,0)</f>
        <v>59.52</v>
      </c>
      <c r="J101" s="127">
        <f>VLOOKUP(B102,'B&amp;L'!$A$7:$BK$66,37,0)</f>
        <v>59.25</v>
      </c>
      <c r="K101" s="127">
        <f>VLOOKUP(B102,'B&amp;L'!$A$7:$BK$66,42,0)</f>
        <v>59.24</v>
      </c>
      <c r="L101" s="127">
        <f>VLOOKUP(B102,'B&amp;L'!$A$7:$BK$66,47,0)</f>
        <v>59.25</v>
      </c>
      <c r="M101" s="127">
        <f>VLOOKUP(B102,'B&amp;L'!$A$7:$BK$66,52,0)</f>
        <v>59.23</v>
      </c>
      <c r="N101" s="127">
        <f>VLOOKUP(B102,'B&amp;L'!$A$7:$BK$66,57,0)</f>
        <v>59.19</v>
      </c>
      <c r="O101" s="127">
        <f>VLOOKUP(B102,'B&amp;L'!$A$7:$BK$66,62,0)</f>
        <v>59.23</v>
      </c>
    </row>
    <row r="102" spans="1:15">
      <c r="A102" s="358"/>
      <c r="B102" s="92">
        <v>1412000042</v>
      </c>
      <c r="C102" s="84" t="s">
        <v>161</v>
      </c>
      <c r="D102" s="128">
        <f>VLOOKUP(B102,'B&amp;L'!$A$7:$BK$66,8,0)</f>
        <v>7.95</v>
      </c>
      <c r="E102" s="128">
        <f>VLOOKUP(B102,'B&amp;L'!$A$7:$BK$66,13,0)</f>
        <v>7.67</v>
      </c>
      <c r="F102" s="128">
        <f>VLOOKUP(B102,'B&amp;L'!$A$7:$BK$66,18,0)</f>
        <v>7.68</v>
      </c>
      <c r="G102" s="128">
        <f>VLOOKUP(B102,'B&amp;L'!$A$7:$BK$66,23,0)</f>
        <v>7.67</v>
      </c>
      <c r="H102" s="128">
        <f>VLOOKUP(B102,'B&amp;L'!$A$7:$BK$66,28,0)</f>
        <v>7.67</v>
      </c>
      <c r="I102" s="128">
        <f>VLOOKUP(B102,'B&amp;L'!$A$7:$BK$66,33,0)</f>
        <v>7.55</v>
      </c>
      <c r="J102" s="128">
        <f>VLOOKUP(B102,'B&amp;L'!$A$7:$BK$66,38,0)</f>
        <v>7.51</v>
      </c>
      <c r="K102" s="128">
        <f>VLOOKUP(B102,'B&amp;L'!$A$7:$BK$66,43,0)</f>
        <v>7.51</v>
      </c>
      <c r="L102" s="128">
        <f>VLOOKUP(B102,'B&amp;L'!$A$7:$BK$66,48,0)</f>
        <v>7.51</v>
      </c>
      <c r="M102" s="128">
        <f>VLOOKUP(B102,'B&amp;L'!$A$7:$BK$66,53,0)</f>
        <v>7.51</v>
      </c>
      <c r="N102" s="128">
        <f>VLOOKUP(B102,'B&amp;L'!$A$7:$BK$66,58,0)</f>
        <v>7.5</v>
      </c>
      <c r="O102" s="128">
        <f>VLOOKUP(B102,'B&amp;L'!$A$7:$BK$66,63,0)</f>
        <v>7.51</v>
      </c>
    </row>
    <row r="103" spans="1:15">
      <c r="A103" s="357">
        <v>49</v>
      </c>
      <c r="B103" s="91" t="s">
        <v>138</v>
      </c>
      <c r="C103" s="76" t="s">
        <v>160</v>
      </c>
      <c r="D103" s="127">
        <f>VLOOKUP(B104,'B&amp;L'!$A$7:$BK$66,7,0)</f>
        <v>89.97</v>
      </c>
      <c r="E103" s="127">
        <f>VLOOKUP(B104,'B&amp;L'!$A$7:$BK$66,12,0)</f>
        <v>84.73</v>
      </c>
      <c r="F103" s="127">
        <f>VLOOKUP(B104,'B&amp;L'!$A$7:$BK$66,17,0)</f>
        <v>84.76</v>
      </c>
      <c r="G103" s="127">
        <f>VLOOKUP(B104,'B&amp;L'!$A$7:$BK$66,22,0)</f>
        <v>84.67</v>
      </c>
      <c r="H103" s="127">
        <f>VLOOKUP(B104,'B&amp;L'!$A$7:$BK$66,27,0)</f>
        <v>84.64</v>
      </c>
      <c r="I103" s="127">
        <f>VLOOKUP(B104,'B&amp;L'!$A$7:$BK$66,32,0)</f>
        <v>83.33</v>
      </c>
      <c r="J103" s="127">
        <f>VLOOKUP(B104,'B&amp;L'!$A$7:$BK$66,37,0)</f>
        <v>82.95</v>
      </c>
      <c r="K103" s="127">
        <f>VLOOKUP(B104,'B&amp;L'!$A$7:$BK$66,42,0)</f>
        <v>82.94</v>
      </c>
      <c r="L103" s="127">
        <f>VLOOKUP(B104,'B&amp;L'!$A$7:$BK$66,47,0)</f>
        <v>82.95</v>
      </c>
      <c r="M103" s="127">
        <f>VLOOKUP(B104,'B&amp;L'!$A$7:$BK$66,52,0)</f>
        <v>82.92</v>
      </c>
      <c r="N103" s="127">
        <f>VLOOKUP(B104,'B&amp;L'!$A$7:$BK$66,57,0)</f>
        <v>82.87</v>
      </c>
      <c r="O103" s="127">
        <f>VLOOKUP(B104,'B&amp;L'!$A$7:$BK$66,62,0)</f>
        <v>82.92</v>
      </c>
    </row>
    <row r="104" spans="1:15">
      <c r="A104" s="358"/>
      <c r="B104" s="92">
        <v>1412000021</v>
      </c>
      <c r="C104" s="84" t="s">
        <v>161</v>
      </c>
      <c r="D104" s="128">
        <f>VLOOKUP(B104,'B&amp;L'!$A$7:$BK$66,8,0)</f>
        <v>11.12</v>
      </c>
      <c r="E104" s="128">
        <f>VLOOKUP(B104,'B&amp;L'!$A$7:$BK$66,13,0)</f>
        <v>10.74</v>
      </c>
      <c r="F104" s="128">
        <f>VLOOKUP(B104,'B&amp;L'!$A$7:$BK$66,18,0)</f>
        <v>10.75</v>
      </c>
      <c r="G104" s="128">
        <f>VLOOKUP(B104,'B&amp;L'!$A$7:$BK$66,23,0)</f>
        <v>10.73</v>
      </c>
      <c r="H104" s="128">
        <f>VLOOKUP(B104,'B&amp;L'!$A$7:$BK$66,28,0)</f>
        <v>10.73</v>
      </c>
      <c r="I104" s="128">
        <f>VLOOKUP(B104,'B&amp;L'!$A$7:$BK$66,33,0)</f>
        <v>10.57</v>
      </c>
      <c r="J104" s="128">
        <f>VLOOKUP(B104,'B&amp;L'!$A$7:$BK$66,38,0)</f>
        <v>10.52</v>
      </c>
      <c r="K104" s="128">
        <f>VLOOKUP(B104,'B&amp;L'!$A$7:$BK$66,43,0)</f>
        <v>10.52</v>
      </c>
      <c r="L104" s="128">
        <f>VLOOKUP(B104,'B&amp;L'!$A$7:$BK$66,48,0)</f>
        <v>10.52</v>
      </c>
      <c r="M104" s="128">
        <f>VLOOKUP(B104,'B&amp;L'!$A$7:$BK$66,53,0)</f>
        <v>10.51</v>
      </c>
      <c r="N104" s="128">
        <f>VLOOKUP(B104,'B&amp;L'!$A$7:$BK$66,58,0)</f>
        <v>10.51</v>
      </c>
      <c r="O104" s="128">
        <f>VLOOKUP(B104,'B&amp;L'!$A$7:$BK$66,63,0)</f>
        <v>10.51</v>
      </c>
    </row>
    <row r="105" spans="1:15">
      <c r="A105" s="357">
        <v>50</v>
      </c>
      <c r="B105" s="91" t="s">
        <v>152</v>
      </c>
      <c r="C105" s="76" t="s">
        <v>160</v>
      </c>
      <c r="D105" s="127">
        <f>VLOOKUP(B106,'B&amp;L'!$A$7:$BK$66,7,0)</f>
        <v>102.82</v>
      </c>
      <c r="E105" s="127">
        <f>VLOOKUP(B106,'B&amp;L'!$A$7:$BK$66,12,0)</f>
        <v>96.84</v>
      </c>
      <c r="F105" s="127">
        <f>VLOOKUP(B106,'B&amp;L'!$A$7:$BK$66,17,0)</f>
        <v>96.86</v>
      </c>
      <c r="G105" s="127">
        <f>VLOOKUP(B106,'B&amp;L'!$A$7:$BK$66,22,0)</f>
        <v>96.76</v>
      </c>
      <c r="H105" s="127">
        <f>VLOOKUP(B106,'B&amp;L'!$A$7:$BK$66,27,0)</f>
        <v>96.73</v>
      </c>
      <c r="I105" s="127">
        <f>VLOOKUP(B106,'B&amp;L'!$A$7:$BK$66,32,0)</f>
        <v>95.24</v>
      </c>
      <c r="J105" s="127">
        <f>VLOOKUP(B106,'B&amp;L'!$A$7:$BK$66,37,0)</f>
        <v>94.8</v>
      </c>
      <c r="K105" s="127">
        <f>VLOOKUP(B106,'B&amp;L'!$A$7:$BK$66,42,0)</f>
        <v>94.79</v>
      </c>
      <c r="L105" s="127">
        <f>VLOOKUP(B106,'B&amp;L'!$A$7:$BK$66,47,0)</f>
        <v>94.8</v>
      </c>
      <c r="M105" s="127">
        <f>VLOOKUP(B106,'B&amp;L'!$A$7:$BK$66,52,0)</f>
        <v>94.76</v>
      </c>
      <c r="N105" s="127">
        <f>VLOOKUP(B106,'B&amp;L'!$A$7:$BK$66,57,0)</f>
        <v>94.71</v>
      </c>
      <c r="O105" s="127">
        <f>VLOOKUP(B106,'B&amp;L'!$A$7:$BK$66,62,0)</f>
        <v>94.76</v>
      </c>
    </row>
    <row r="106" spans="1:15">
      <c r="A106" s="358"/>
      <c r="B106" s="92">
        <v>1412000070</v>
      </c>
      <c r="C106" s="84" t="s">
        <v>161</v>
      </c>
      <c r="D106" s="128">
        <f>VLOOKUP(B106,'B&amp;L'!$A$7:$BK$66,8,0)</f>
        <v>12.71</v>
      </c>
      <c r="E106" s="128">
        <f>VLOOKUP(B106,'B&amp;L'!$A$7:$BK$66,13,0)</f>
        <v>12.28</v>
      </c>
      <c r="F106" s="128">
        <f>VLOOKUP(B106,'B&amp;L'!$A$7:$BK$66,18,0)</f>
        <v>12.28</v>
      </c>
      <c r="G106" s="128">
        <f>VLOOKUP(B106,'B&amp;L'!$A$7:$BK$66,23,0)</f>
        <v>12.27</v>
      </c>
      <c r="H106" s="128">
        <f>VLOOKUP(B106,'B&amp;L'!$A$7:$BK$66,28,0)</f>
        <v>12.26</v>
      </c>
      <c r="I106" s="128">
        <f>VLOOKUP(B106,'B&amp;L'!$A$7:$BK$66,33,0)</f>
        <v>12.08</v>
      </c>
      <c r="J106" s="128">
        <f>VLOOKUP(B106,'B&amp;L'!$A$7:$BK$66,38,0)</f>
        <v>12.02</v>
      </c>
      <c r="K106" s="128">
        <f>VLOOKUP(B106,'B&amp;L'!$A$7:$BK$66,43,0)</f>
        <v>12.02</v>
      </c>
      <c r="L106" s="128">
        <f>VLOOKUP(B106,'B&amp;L'!$A$7:$BK$66,48,0)</f>
        <v>12.02</v>
      </c>
      <c r="M106" s="128">
        <f>VLOOKUP(B106,'B&amp;L'!$A$7:$BK$66,53,0)</f>
        <v>12.01</v>
      </c>
      <c r="N106" s="128">
        <f>VLOOKUP(B106,'B&amp;L'!$A$7:$BK$66,58,0)</f>
        <v>12.01</v>
      </c>
      <c r="O106" s="128">
        <f>VLOOKUP(B106,'B&amp;L'!$A$7:$BK$66,63,0)</f>
        <v>12.01</v>
      </c>
    </row>
    <row r="107" spans="1:15">
      <c r="A107" s="357">
        <v>51</v>
      </c>
      <c r="B107" s="91" t="s">
        <v>139</v>
      </c>
      <c r="C107" s="76" t="s">
        <v>160</v>
      </c>
      <c r="D107" s="127">
        <f>VLOOKUP(B108,'B&amp;L'!$A$7:$BK$66,7,0)</f>
        <v>77.11</v>
      </c>
      <c r="E107" s="127">
        <f>VLOOKUP(B108,'B&amp;L'!$A$7:$BK$66,12,0)</f>
        <v>72.63</v>
      </c>
      <c r="F107" s="127">
        <f>VLOOKUP(B108,'B&amp;L'!$A$7:$BK$66,17,0)</f>
        <v>72.650000000000006</v>
      </c>
      <c r="G107" s="127">
        <f>VLOOKUP(B108,'B&amp;L'!$A$7:$BK$66,22,0)</f>
        <v>72.569999999999993</v>
      </c>
      <c r="H107" s="127">
        <f>VLOOKUP(B108,'B&amp;L'!$A$7:$BK$66,27,0)</f>
        <v>72.55</v>
      </c>
      <c r="I107" s="127">
        <f>VLOOKUP(B108,'B&amp;L'!$A$7:$BK$66,32,0)</f>
        <v>71.430000000000007</v>
      </c>
      <c r="J107" s="127">
        <f>VLOOKUP(B108,'B&amp;L'!$A$7:$BK$66,37,0)</f>
        <v>71.099999999999994</v>
      </c>
      <c r="K107" s="127">
        <f>VLOOKUP(B108,'B&amp;L'!$A$7:$BK$66,42,0)</f>
        <v>71.09</v>
      </c>
      <c r="L107" s="127">
        <f>VLOOKUP(B108,'B&amp;L'!$A$7:$BK$66,47,0)</f>
        <v>71.099999999999994</v>
      </c>
      <c r="M107" s="127">
        <f>VLOOKUP(B108,'B&amp;L'!$A$7:$BK$66,52,0)</f>
        <v>71.069999999999993</v>
      </c>
      <c r="N107" s="127">
        <f>VLOOKUP(B108,'B&amp;L'!$A$7:$BK$66,57,0)</f>
        <v>71.03</v>
      </c>
      <c r="O107" s="127">
        <f>VLOOKUP(B108,'B&amp;L'!$A$7:$BK$66,62,0)</f>
        <v>71.069999999999993</v>
      </c>
    </row>
    <row r="108" spans="1:15">
      <c r="A108" s="358"/>
      <c r="B108" s="92">
        <v>1412000022</v>
      </c>
      <c r="C108" s="84" t="s">
        <v>161</v>
      </c>
      <c r="D108" s="128">
        <f>VLOOKUP(B108,'B&amp;L'!$A$7:$BK$66,8,0)</f>
        <v>9.5299999999999994</v>
      </c>
      <c r="E108" s="128">
        <f>VLOOKUP(B108,'B&amp;L'!$A$7:$BK$66,13,0)</f>
        <v>9.2100000000000009</v>
      </c>
      <c r="F108" s="128">
        <f>VLOOKUP(B108,'B&amp;L'!$A$7:$BK$66,18,0)</f>
        <v>9.2100000000000009</v>
      </c>
      <c r="G108" s="128">
        <f>VLOOKUP(B108,'B&amp;L'!$A$7:$BK$66,23,0)</f>
        <v>9.1999999999999993</v>
      </c>
      <c r="H108" s="128">
        <f>VLOOKUP(B108,'B&amp;L'!$A$7:$BK$66,28,0)</f>
        <v>9.1999999999999993</v>
      </c>
      <c r="I108" s="128">
        <f>VLOOKUP(B108,'B&amp;L'!$A$7:$BK$66,33,0)</f>
        <v>9.06</v>
      </c>
      <c r="J108" s="128">
        <f>VLOOKUP(B108,'B&amp;L'!$A$7:$BK$66,38,0)</f>
        <v>9.02</v>
      </c>
      <c r="K108" s="128">
        <f>VLOOKUP(B108,'B&amp;L'!$A$7:$BK$66,43,0)</f>
        <v>9.01</v>
      </c>
      <c r="L108" s="128">
        <f>VLOOKUP(B108,'B&amp;L'!$A$7:$BK$66,48,0)</f>
        <v>9.01</v>
      </c>
      <c r="M108" s="128">
        <f>VLOOKUP(B108,'B&amp;L'!$A$7:$BK$66,53,0)</f>
        <v>9.01</v>
      </c>
      <c r="N108" s="128">
        <f>VLOOKUP(B108,'B&amp;L'!$A$7:$BK$66,58,0)</f>
        <v>9.01</v>
      </c>
      <c r="O108" s="128">
        <f>VLOOKUP(B108,'B&amp;L'!$A$7:$BK$66,63,0)</f>
        <v>9.01</v>
      </c>
    </row>
    <row r="109" spans="1:15">
      <c r="A109" s="357">
        <v>52</v>
      </c>
      <c r="B109" s="91" t="s">
        <v>140</v>
      </c>
      <c r="C109" s="76" t="s">
        <v>160</v>
      </c>
      <c r="D109" s="127">
        <f>VLOOKUP(B110,'B&amp;L'!$A$7:$BK$66,7,0)</f>
        <v>12386.05</v>
      </c>
      <c r="E109" s="127">
        <f>VLOOKUP(B110,'B&amp;L'!$A$7:$BK$66,12,0)</f>
        <v>11740.13</v>
      </c>
      <c r="F109" s="127">
        <f>VLOOKUP(B110,'B&amp;L'!$A$7:$BK$66,17,0)</f>
        <v>11740.19</v>
      </c>
      <c r="G109" s="127">
        <f>VLOOKUP(B110,'B&amp;L'!$A$7:$BK$66,22,0)</f>
        <v>11739.96</v>
      </c>
      <c r="H109" s="127">
        <f>VLOOKUP(B110,'B&amp;L'!$A$7:$BK$66,27,0)</f>
        <v>11739.89</v>
      </c>
      <c r="I109" s="127">
        <f>VLOOKUP(B110,'B&amp;L'!$A$7:$BK$66,32,0)</f>
        <v>11736.53</v>
      </c>
      <c r="J109" s="127">
        <f>VLOOKUP(B110,'B&amp;L'!$A$7:$BK$66,37,0)</f>
        <v>11735.55</v>
      </c>
      <c r="K109" s="127">
        <f>VLOOKUP(B110,'B&amp;L'!$A$7:$BK$66,42,0)</f>
        <v>11735.52</v>
      </c>
      <c r="L109" s="127">
        <f>VLOOKUP(B110,'B&amp;L'!$A$7:$BK$66,47,0)</f>
        <v>11735.54</v>
      </c>
      <c r="M109" s="127">
        <f>VLOOKUP(B110,'B&amp;L'!$A$7:$BK$66,52,0)</f>
        <v>11735.46</v>
      </c>
      <c r="N109" s="127">
        <f>VLOOKUP(B110,'B&amp;L'!$A$7:$BK$66,57,0)</f>
        <v>11735.33</v>
      </c>
      <c r="O109" s="127">
        <f>VLOOKUP(B110,'B&amp;L'!$A$7:$BK$66,62,0)</f>
        <v>11735.46</v>
      </c>
    </row>
    <row r="110" spans="1:15">
      <c r="A110" s="358"/>
      <c r="B110" s="92">
        <v>1412000024</v>
      </c>
      <c r="C110" s="84" t="s">
        <v>161</v>
      </c>
      <c r="D110" s="128">
        <f>VLOOKUP(B110,'B&amp;L'!$A$7:$BK$66,8,0)</f>
        <v>1531.48</v>
      </c>
      <c r="E110" s="128">
        <f>VLOOKUP(B110,'B&amp;L'!$A$7:$BK$66,13,0)</f>
        <v>1488.53</v>
      </c>
      <c r="F110" s="128">
        <f>VLOOKUP(B110,'B&amp;L'!$A$7:$BK$66,18,0)</f>
        <v>1488.54</v>
      </c>
      <c r="G110" s="128">
        <f>VLOOKUP(B110,'B&amp;L'!$A$7:$BK$66,23,0)</f>
        <v>1488.51</v>
      </c>
      <c r="H110" s="128">
        <f>VLOOKUP(B110,'B&amp;L'!$A$7:$BK$66,28,0)</f>
        <v>1488.5</v>
      </c>
      <c r="I110" s="128">
        <f>VLOOKUP(B110,'B&amp;L'!$A$7:$BK$66,33,0)</f>
        <v>1488.07</v>
      </c>
      <c r="J110" s="128">
        <f>VLOOKUP(B110,'B&amp;L'!$A$7:$BK$66,38,0)</f>
        <v>1487.95</v>
      </c>
      <c r="K110" s="128">
        <f>VLOOKUP(B110,'B&amp;L'!$A$7:$BK$66,43,0)</f>
        <v>1487.95</v>
      </c>
      <c r="L110" s="128">
        <f>VLOOKUP(B110,'B&amp;L'!$A$7:$BK$66,48,0)</f>
        <v>1487.95</v>
      </c>
      <c r="M110" s="128">
        <f>VLOOKUP(B110,'B&amp;L'!$A$7:$BK$66,53,0)</f>
        <v>1487.94</v>
      </c>
      <c r="N110" s="128">
        <f>VLOOKUP(B110,'B&amp;L'!$A$7:$BK$66,58,0)</f>
        <v>1487.92</v>
      </c>
      <c r="O110" s="128">
        <f>VLOOKUP(B110,'B&amp;L'!$A$7:$BK$66,63,0)</f>
        <v>1487.94</v>
      </c>
    </row>
    <row r="111" spans="1:15">
      <c r="A111" s="357">
        <v>53</v>
      </c>
      <c r="B111" s="91" t="s">
        <v>5</v>
      </c>
      <c r="C111" s="76" t="s">
        <v>160</v>
      </c>
      <c r="D111" s="127">
        <f>VLOOKUP(B112,'B&amp;L'!$A$7:$BK$66,7,0)</f>
        <v>775.29</v>
      </c>
      <c r="E111" s="127">
        <f>VLOOKUP(B112,'B&amp;L'!$A$7:$BK$66,12,0)</f>
        <v>720.88</v>
      </c>
      <c r="F111" s="127">
        <f>VLOOKUP(B112,'B&amp;L'!$A$7:$BK$66,17,0)</f>
        <v>720.94</v>
      </c>
      <c r="G111" s="127">
        <f>VLOOKUP(B112,'B&amp;L'!$A$7:$BK$66,22,0)</f>
        <v>720.72</v>
      </c>
      <c r="H111" s="127">
        <f>VLOOKUP(B112,'B&amp;L'!$A$7:$BK$66,27,0)</f>
        <v>720.65</v>
      </c>
      <c r="I111" s="127">
        <f>VLOOKUP(B112,'B&amp;L'!$A$7:$BK$66,32,0)</f>
        <v>717.48</v>
      </c>
      <c r="J111" s="127">
        <f>VLOOKUP(B112,'B&amp;L'!$A$7:$BK$66,37,0)</f>
        <v>716.56</v>
      </c>
      <c r="K111" s="127">
        <f>VLOOKUP(B112,'B&amp;L'!$A$7:$BK$66,42,0)</f>
        <v>716.53</v>
      </c>
      <c r="L111" s="127">
        <f>VLOOKUP(B112,'B&amp;L'!$A$7:$BK$66,47,0)</f>
        <v>716.55</v>
      </c>
      <c r="M111" s="127">
        <f>VLOOKUP(B112,'B&amp;L'!$A$7:$BK$66,52,0)</f>
        <v>716.47</v>
      </c>
      <c r="N111" s="127">
        <f>VLOOKUP(B112,'B&amp;L'!$A$7:$BK$66,57,0)</f>
        <v>716.35</v>
      </c>
      <c r="O111" s="127">
        <f>VLOOKUP(B112,'B&amp;L'!$A$7:$BK$66,62,0)</f>
        <v>716.48</v>
      </c>
    </row>
    <row r="112" spans="1:15">
      <c r="A112" s="358"/>
      <c r="B112" s="92">
        <v>1412000025</v>
      </c>
      <c r="C112" s="84" t="s">
        <v>161</v>
      </c>
      <c r="D112" s="128">
        <f>VLOOKUP(B112,'B&amp;L'!$A$7:$BK$66,8,0)</f>
        <v>95.86</v>
      </c>
      <c r="E112" s="128">
        <f>VLOOKUP(B112,'B&amp;L'!$A$7:$BK$66,13,0)</f>
        <v>91.4</v>
      </c>
      <c r="F112" s="128">
        <f>VLOOKUP(B112,'B&amp;L'!$A$7:$BK$66,18,0)</f>
        <v>91.41</v>
      </c>
      <c r="G112" s="128">
        <f>VLOOKUP(B112,'B&amp;L'!$A$7:$BK$66,23,0)</f>
        <v>91.38</v>
      </c>
      <c r="H112" s="128">
        <f>VLOOKUP(B112,'B&amp;L'!$A$7:$BK$66,28,0)</f>
        <v>91.37</v>
      </c>
      <c r="I112" s="128">
        <f>VLOOKUP(B112,'B&amp;L'!$A$7:$BK$66,33,0)</f>
        <v>90.97</v>
      </c>
      <c r="J112" s="128">
        <f>VLOOKUP(B112,'B&amp;L'!$A$7:$BK$66,38,0)</f>
        <v>90.85</v>
      </c>
      <c r="K112" s="128">
        <f>VLOOKUP(B112,'B&amp;L'!$A$7:$BK$66,43,0)</f>
        <v>90.85</v>
      </c>
      <c r="L112" s="128">
        <f>VLOOKUP(B112,'B&amp;L'!$A$7:$BK$66,48,0)</f>
        <v>90.85</v>
      </c>
      <c r="M112" s="128">
        <f>VLOOKUP(B112,'B&amp;L'!$A$7:$BK$66,53,0)</f>
        <v>90.84</v>
      </c>
      <c r="N112" s="128">
        <f>VLOOKUP(B112,'B&amp;L'!$A$7:$BK$66,58,0)</f>
        <v>90.83</v>
      </c>
      <c r="O112" s="128">
        <f>VLOOKUP(B112,'B&amp;L'!$A$7:$BK$66,63,0)</f>
        <v>90.84</v>
      </c>
    </row>
    <row r="113" spans="1:15">
      <c r="A113" s="357">
        <v>54</v>
      </c>
      <c r="B113" s="91" t="s">
        <v>117</v>
      </c>
      <c r="C113" s="76" t="s">
        <v>160</v>
      </c>
      <c r="D113" s="127">
        <f>VLOOKUP(B114,'B&amp;L'!$A$7:$BK$66,7,0)</f>
        <v>308.44</v>
      </c>
      <c r="E113" s="127">
        <f>VLOOKUP(B114,'B&amp;L'!$A$7:$BK$66,12,0)</f>
        <v>289.39</v>
      </c>
      <c r="F113" s="127">
        <f>VLOOKUP(B114,'B&amp;L'!$A$7:$BK$66,17,0)</f>
        <v>290.02999999999997</v>
      </c>
      <c r="G113" s="127">
        <f>VLOOKUP(B114,'B&amp;L'!$A$7:$BK$66,22,0)</f>
        <v>277.05</v>
      </c>
      <c r="H113" s="127">
        <f>VLOOKUP(B114,'B&amp;L'!$A$7:$BK$66,27,0)</f>
        <v>271.45</v>
      </c>
      <c r="I113" s="127">
        <f>VLOOKUP(B114,'B&amp;L'!$A$7:$BK$66,32,0)</f>
        <v>255.78</v>
      </c>
      <c r="J113" s="127">
        <f>VLOOKUP(B114,'B&amp;L'!$A$7:$BK$66,37,0)</f>
        <v>241.26</v>
      </c>
      <c r="K113" s="127">
        <f>VLOOKUP(B114,'B&amp;L'!$A$7:$BK$66,42,0)</f>
        <v>240.97</v>
      </c>
      <c r="L113" s="127">
        <f>VLOOKUP(B114,'B&amp;L'!$A$7:$BK$66,47,0)</f>
        <v>241.37</v>
      </c>
      <c r="M113" s="127">
        <f>VLOOKUP(B114,'B&amp;L'!$A$7:$BK$66,52,0)</f>
        <v>238.67</v>
      </c>
      <c r="N113" s="127">
        <f>VLOOKUP(B114,'B&amp;L'!$A$7:$BK$66,57,0)</f>
        <v>229.97</v>
      </c>
      <c r="O113" s="127">
        <f>VLOOKUP(B114,'B&amp;L'!$A$7:$BK$66,62,0)</f>
        <v>236.86</v>
      </c>
    </row>
    <row r="114" spans="1:15">
      <c r="A114" s="358"/>
      <c r="B114" s="92">
        <v>1412000091</v>
      </c>
      <c r="C114" s="84" t="s">
        <v>161</v>
      </c>
      <c r="D114" s="128">
        <f>VLOOKUP(B114,'B&amp;L'!$A$7:$BK$66,8,0)</f>
        <v>38.14</v>
      </c>
      <c r="E114" s="128">
        <f>VLOOKUP(B114,'B&amp;L'!$A$7:$BK$66,13,0)</f>
        <v>36.69</v>
      </c>
      <c r="F114" s="128">
        <f>VLOOKUP(B114,'B&amp;L'!$A$7:$BK$66,18,0)</f>
        <v>36.770000000000003</v>
      </c>
      <c r="G114" s="128">
        <f>VLOOKUP(B114,'B&amp;L'!$A$7:$BK$66,23,0)</f>
        <v>35.130000000000003</v>
      </c>
      <c r="H114" s="128">
        <f>VLOOKUP(B114,'B&amp;L'!$A$7:$BK$66,28,0)</f>
        <v>34.42</v>
      </c>
      <c r="I114" s="128">
        <f>VLOOKUP(B114,'B&amp;L'!$A$7:$BK$66,33,0)</f>
        <v>32.43</v>
      </c>
      <c r="J114" s="128">
        <f>VLOOKUP(B114,'B&amp;L'!$A$7:$BK$66,38,0)</f>
        <v>30.59</v>
      </c>
      <c r="K114" s="128">
        <f>VLOOKUP(B114,'B&amp;L'!$A$7:$BK$66,43,0)</f>
        <v>30.55</v>
      </c>
      <c r="L114" s="128">
        <f>VLOOKUP(B114,'B&amp;L'!$A$7:$BK$66,48,0)</f>
        <v>30.6</v>
      </c>
      <c r="M114" s="128">
        <f>VLOOKUP(B114,'B&amp;L'!$A$7:$BK$66,53,0)</f>
        <v>30.26</v>
      </c>
      <c r="N114" s="128">
        <f>VLOOKUP(B114,'B&amp;L'!$A$7:$BK$66,58,0)</f>
        <v>29.16</v>
      </c>
      <c r="O114" s="128">
        <f>VLOOKUP(B114,'B&amp;L'!$A$7:$BK$66,63,0)</f>
        <v>30.03</v>
      </c>
    </row>
    <row r="115" spans="1:15">
      <c r="A115" s="357">
        <v>55</v>
      </c>
      <c r="B115" s="91" t="s">
        <v>154</v>
      </c>
      <c r="C115" s="76" t="s">
        <v>160</v>
      </c>
      <c r="D115" s="127">
        <f>VLOOKUP(B116,'B&amp;L'!$A$7:$BK$66,7,0)</f>
        <v>77.11</v>
      </c>
      <c r="E115" s="127">
        <f>VLOOKUP(B116,'B&amp;L'!$A$7:$BK$66,12,0)</f>
        <v>84.73</v>
      </c>
      <c r="F115" s="127">
        <f>VLOOKUP(B116,'B&amp;L'!$A$7:$BK$66,17,0)</f>
        <v>84.76</v>
      </c>
      <c r="G115" s="127">
        <f>VLOOKUP(B116,'B&amp;L'!$A$7:$BK$66,22,0)</f>
        <v>84.67</v>
      </c>
      <c r="H115" s="127">
        <f>VLOOKUP(B116,'B&amp;L'!$A$7:$BK$66,27,0)</f>
        <v>84.64</v>
      </c>
      <c r="I115" s="127">
        <f>VLOOKUP(B116,'B&amp;L'!$A$7:$BK$66,32,0)</f>
        <v>83.33</v>
      </c>
      <c r="J115" s="127">
        <f>VLOOKUP(B116,'B&amp;L'!$A$7:$BK$66,37,0)</f>
        <v>82.95</v>
      </c>
      <c r="K115" s="127">
        <f>VLOOKUP(B116,'B&amp;L'!$A$7:$BK$66,42,0)</f>
        <v>82.94</v>
      </c>
      <c r="L115" s="127">
        <f>VLOOKUP(B116,'B&amp;L'!$A$7:$BK$66,47,0)</f>
        <v>82.95</v>
      </c>
      <c r="M115" s="127">
        <f>VLOOKUP(B116,'B&amp;L'!$A$7:$BK$66,52,0)</f>
        <v>82.92</v>
      </c>
      <c r="N115" s="127">
        <f>VLOOKUP(B116,'B&amp;L'!$A$7:$BK$66,57,0)</f>
        <v>82.87</v>
      </c>
      <c r="O115" s="127">
        <f>VLOOKUP(B116,'B&amp;L'!$A$7:$BK$66,62,0)</f>
        <v>82.92</v>
      </c>
    </row>
    <row r="116" spans="1:15">
      <c r="A116" s="358"/>
      <c r="B116" s="92">
        <v>1412000093</v>
      </c>
      <c r="C116" s="84" t="s">
        <v>161</v>
      </c>
      <c r="D116" s="128">
        <f>VLOOKUP(B116,'B&amp;L'!$A$7:$BK$66,8,0)</f>
        <v>9.5299999999999994</v>
      </c>
      <c r="E116" s="128">
        <f>VLOOKUP(B116,'B&amp;L'!$A$7:$BK$66,13,0)</f>
        <v>10.74</v>
      </c>
      <c r="F116" s="128">
        <f>VLOOKUP(B116,'B&amp;L'!$A$7:$BK$66,18,0)</f>
        <v>10.75</v>
      </c>
      <c r="G116" s="128">
        <f>VLOOKUP(B116,'B&amp;L'!$A$7:$BK$66,23,0)</f>
        <v>10.73</v>
      </c>
      <c r="H116" s="128">
        <f>VLOOKUP(B116,'B&amp;L'!$A$7:$BK$66,28,0)</f>
        <v>10.73</v>
      </c>
      <c r="I116" s="128">
        <f>VLOOKUP(B116,'B&amp;L'!$A$7:$BK$66,33,0)</f>
        <v>10.57</v>
      </c>
      <c r="J116" s="128">
        <f>VLOOKUP(B116,'B&amp;L'!$A$7:$BK$66,38,0)</f>
        <v>10.52</v>
      </c>
      <c r="K116" s="128">
        <f>VLOOKUP(B116,'B&amp;L'!$A$7:$BK$66,43,0)</f>
        <v>10.52</v>
      </c>
      <c r="L116" s="128">
        <f>VLOOKUP(B116,'B&amp;L'!$A$7:$BK$66,48,0)</f>
        <v>10.52</v>
      </c>
      <c r="M116" s="128">
        <f>VLOOKUP(B116,'B&amp;L'!$A$7:$BK$66,53,0)</f>
        <v>10.51</v>
      </c>
      <c r="N116" s="128">
        <f>VLOOKUP(B116,'B&amp;L'!$A$7:$BK$66,58,0)</f>
        <v>10.51</v>
      </c>
      <c r="O116" s="128">
        <f>VLOOKUP(B116,'B&amp;L'!$A$7:$BK$66,63,0)</f>
        <v>10.51</v>
      </c>
    </row>
    <row r="117" spans="1:15">
      <c r="A117" s="357">
        <v>56</v>
      </c>
      <c r="B117" s="102" t="s">
        <v>6</v>
      </c>
      <c r="C117" s="103" t="s">
        <v>160</v>
      </c>
      <c r="D117" s="271">
        <f>VLOOKUP(B118,'B&amp;L'!$A$7:$BK$66,7,0)</f>
        <v>35954.659999999996</v>
      </c>
      <c r="E117" s="271">
        <f>VLOOKUP(B118,'B&amp;L'!$A$7:$BK$66,12,0)</f>
        <v>34046.120000000003</v>
      </c>
      <c r="F117" s="271">
        <f>VLOOKUP(B118,'B&amp;L'!$A$7:$BK$66,17,0)</f>
        <v>34046.9</v>
      </c>
      <c r="G117" s="271">
        <f>VLOOKUP(B118,'B&amp;L'!$A$7:$BK$66,22,0)</f>
        <v>34046.79</v>
      </c>
      <c r="H117" s="271">
        <f>VLOOKUP(B118,'B&amp;L'!$A$7:$BK$66,27,0)</f>
        <v>34046.699999999997</v>
      </c>
      <c r="I117" s="271">
        <f>VLOOKUP(B118,'B&amp;L'!$A$7:$BK$66,32,0)</f>
        <v>34044.1</v>
      </c>
      <c r="J117" s="271">
        <f>VLOOKUP(B118,'B&amp;L'!$A$7:$BK$66,37,0)</f>
        <v>34044.39</v>
      </c>
      <c r="K117" s="271">
        <f>VLOOKUP(B118,'B&amp;L'!$A$7:$BK$66,42,0)</f>
        <v>34044.339999999997</v>
      </c>
      <c r="L117" s="271">
        <f>VLOOKUP(B118,'B&amp;L'!$A$7:$BK$66,47,0)</f>
        <v>34044.370000000003</v>
      </c>
      <c r="M117" s="271">
        <f>VLOOKUP(B118,'B&amp;L'!$A$7:$BK$66,52,0)</f>
        <v>34044.329999999994</v>
      </c>
      <c r="N117" s="271">
        <f>VLOOKUP(B118,'B&amp;L'!$A$7:$BK$66,57,0)</f>
        <v>34044.199999999997</v>
      </c>
      <c r="O117" s="271">
        <f>VLOOKUP(B118,'B&amp;L'!$A$7:$BK$66,62,0)</f>
        <v>34044.299999999996</v>
      </c>
    </row>
    <row r="118" spans="1:15">
      <c r="A118" s="358"/>
      <c r="B118" s="105">
        <v>1412000026</v>
      </c>
      <c r="C118" s="106" t="s">
        <v>161</v>
      </c>
      <c r="D118" s="272">
        <f>VLOOKUP(B118,'B&amp;L'!$A$7:$BK$66,8,0)</f>
        <v>4445.6400000000012</v>
      </c>
      <c r="E118" s="272">
        <f>VLOOKUP(B118,'B&amp;L'!$A$7:$BK$66,13,0)</f>
        <v>4316.72</v>
      </c>
      <c r="F118" s="272">
        <f>VLOOKUP(B118,'B&amp;L'!$A$7:$BK$66,18,0)</f>
        <v>4316.8300000000008</v>
      </c>
      <c r="G118" s="272">
        <f>VLOOKUP(B118,'B&amp;L'!$A$7:$BK$66,23,0)</f>
        <v>4316.79</v>
      </c>
      <c r="H118" s="272">
        <f>VLOOKUP(B118,'B&amp;L'!$A$7:$BK$66,28,0)</f>
        <v>4316.7599999999993</v>
      </c>
      <c r="I118" s="272">
        <f>VLOOKUP(B118,'B&amp;L'!$A$7:$BK$66,33,0)</f>
        <v>4316.45</v>
      </c>
      <c r="J118" s="272">
        <f>VLOOKUP(B118,'B&amp;L'!$A$7:$BK$66,38,0)</f>
        <v>4316.5</v>
      </c>
      <c r="K118" s="272">
        <f>VLOOKUP(B118,'B&amp;L'!$A$7:$BK$66,43,0)</f>
        <v>4316.4699999999993</v>
      </c>
      <c r="L118" s="272">
        <f>VLOOKUP(B118,'B&amp;L'!$A$7:$BK$66,48,0)</f>
        <v>4316.4699999999993</v>
      </c>
      <c r="M118" s="272">
        <f>VLOOKUP(B118,'B&amp;L'!$A$7:$BK$66,53,0)</f>
        <v>4316.49</v>
      </c>
      <c r="N118" s="272">
        <f>VLOOKUP(B118,'B&amp;L'!$A$7:$BK$66,58,0)</f>
        <v>4316.45</v>
      </c>
      <c r="O118" s="272">
        <f>VLOOKUP(B118,'B&amp;L'!$A$7:$BK$66,63,0)</f>
        <v>4316.5099999999993</v>
      </c>
    </row>
    <row r="119" spans="1:15">
      <c r="A119" s="357">
        <v>57</v>
      </c>
      <c r="B119" s="91" t="s">
        <v>7</v>
      </c>
      <c r="C119" s="76" t="s">
        <v>160</v>
      </c>
      <c r="D119" s="127">
        <f>VLOOKUP(B120,'B&amp;L'!$A$7:$BK$66,7,0)</f>
        <v>186.75</v>
      </c>
      <c r="E119" s="127">
        <f>VLOOKUP(B120,'B&amp;L'!$A$7:$BK$66,12,0)</f>
        <v>176.05</v>
      </c>
      <c r="F119" s="127">
        <f>VLOOKUP(B120,'B&amp;L'!$A$7:$BK$66,17,0)</f>
        <v>176.09</v>
      </c>
      <c r="G119" s="127">
        <f>VLOOKUP(B120,'B&amp;L'!$A$7:$BK$66,22,0)</f>
        <v>175.94</v>
      </c>
      <c r="H119" s="127">
        <f>VLOOKUP(B120,'B&amp;L'!$A$7:$BK$66,27,0)</f>
        <v>175.89</v>
      </c>
      <c r="I119" s="127">
        <f>VLOOKUP(B120,'B&amp;L'!$A$7:$BK$66,32,0)</f>
        <v>173.65</v>
      </c>
      <c r="J119" s="127">
        <f>VLOOKUP(B120,'B&amp;L'!$A$7:$BK$66,37,0)</f>
        <v>173</v>
      </c>
      <c r="K119" s="127">
        <f>VLOOKUP(B120,'B&amp;L'!$A$7:$BK$66,42,0)</f>
        <v>172.98</v>
      </c>
      <c r="L119" s="127">
        <f>VLOOKUP(B120,'B&amp;L'!$A$7:$BK$66,47,0)</f>
        <v>172.99</v>
      </c>
      <c r="M119" s="127">
        <f>VLOOKUP(B120,'B&amp;L'!$A$7:$BK$66,52,0)</f>
        <v>172.93</v>
      </c>
      <c r="N119" s="127">
        <f>VLOOKUP(B120,'B&amp;L'!$A$7:$BK$66,57,0)</f>
        <v>172.85</v>
      </c>
      <c r="O119" s="127">
        <f>VLOOKUP(B120,'B&amp;L'!$A$7:$BK$66,62,0)</f>
        <v>172.94</v>
      </c>
    </row>
    <row r="120" spans="1:15">
      <c r="A120" s="358"/>
      <c r="B120" s="92">
        <v>1412000028</v>
      </c>
      <c r="C120" s="84" t="s">
        <v>161</v>
      </c>
      <c r="D120" s="128">
        <f>VLOOKUP(B120,'B&amp;L'!$A$7:$BK$66,8,0)</f>
        <v>23.09</v>
      </c>
      <c r="E120" s="128">
        <f>VLOOKUP(B120,'B&amp;L'!$A$7:$BK$66,13,0)</f>
        <v>22.32</v>
      </c>
      <c r="F120" s="128">
        <f>VLOOKUP(B120,'B&amp;L'!$A$7:$BK$66,18,0)</f>
        <v>22.33</v>
      </c>
      <c r="G120" s="128">
        <f>VLOOKUP(B120,'B&amp;L'!$A$7:$BK$66,23,0)</f>
        <v>22.31</v>
      </c>
      <c r="H120" s="128">
        <f>VLOOKUP(B120,'B&amp;L'!$A$7:$BK$66,28,0)</f>
        <v>22.3</v>
      </c>
      <c r="I120" s="128">
        <f>VLOOKUP(B120,'B&amp;L'!$A$7:$BK$66,33,0)</f>
        <v>22.02</v>
      </c>
      <c r="J120" s="128">
        <f>VLOOKUP(B120,'B&amp;L'!$A$7:$BK$66,38,0)</f>
        <v>21.93</v>
      </c>
      <c r="K120" s="128">
        <f>VLOOKUP(B120,'B&amp;L'!$A$7:$BK$66,43,0)</f>
        <v>21.93</v>
      </c>
      <c r="L120" s="128">
        <f>VLOOKUP(B120,'B&amp;L'!$A$7:$BK$66,48,0)</f>
        <v>21.93</v>
      </c>
      <c r="M120" s="128">
        <f>VLOOKUP(B120,'B&amp;L'!$A$7:$BK$66,53,0)</f>
        <v>21.93</v>
      </c>
      <c r="N120" s="128">
        <f>VLOOKUP(B120,'B&amp;L'!$A$7:$BK$66,58,0)</f>
        <v>21.92</v>
      </c>
      <c r="O120" s="128">
        <f>VLOOKUP(B120,'B&amp;L'!$A$7:$BK$66,63,0)</f>
        <v>21.93</v>
      </c>
    </row>
    <row r="121" spans="1:15">
      <c r="A121" s="357">
        <v>58</v>
      </c>
      <c r="B121" s="91" t="s">
        <v>8</v>
      </c>
      <c r="C121" s="76" t="s">
        <v>160</v>
      </c>
      <c r="D121" s="127">
        <f>VLOOKUP(B122,'B&amp;L'!$A$7:$BK$66,7,0)</f>
        <v>196.65</v>
      </c>
      <c r="E121" s="127">
        <f>VLOOKUP(B122,'B&amp;L'!$A$7:$BK$66,12,0)</f>
        <v>185.76</v>
      </c>
      <c r="F121" s="127">
        <f>VLOOKUP(B122,'B&amp;L'!$A$7:$BK$66,17,0)</f>
        <v>185.79</v>
      </c>
      <c r="G121" s="127">
        <f>VLOOKUP(B122,'B&amp;L'!$A$7:$BK$66,22,0)</f>
        <v>185.68</v>
      </c>
      <c r="H121" s="127">
        <f>VLOOKUP(B122,'B&amp;L'!$A$7:$BK$66,27,0)</f>
        <v>185.64</v>
      </c>
      <c r="I121" s="127">
        <f>VLOOKUP(B122,'B&amp;L'!$A$7:$BK$66,32,0)</f>
        <v>184.33</v>
      </c>
      <c r="J121" s="127">
        <f>VLOOKUP(B122,'B&amp;L'!$A$7:$BK$66,37,0)</f>
        <v>183.93</v>
      </c>
      <c r="K121" s="127">
        <f>VLOOKUP(B122,'B&amp;L'!$A$7:$BK$66,42,0)</f>
        <v>183.92</v>
      </c>
      <c r="L121" s="127">
        <f>VLOOKUP(B122,'B&amp;L'!$A$7:$BK$66,47,0)</f>
        <v>183.93</v>
      </c>
      <c r="M121" s="127">
        <f>VLOOKUP(B122,'B&amp;L'!$A$7:$BK$66,52,0)</f>
        <v>183.89</v>
      </c>
      <c r="N121" s="127">
        <f>VLOOKUP(B122,'B&amp;L'!$A$7:$BK$66,57,0)</f>
        <v>183.82</v>
      </c>
      <c r="O121" s="127">
        <f>VLOOKUP(B122,'B&amp;L'!$A$7:$BK$66,62,0)</f>
        <v>183.89</v>
      </c>
    </row>
    <row r="122" spans="1:15">
      <c r="A122" s="358"/>
      <c r="B122" s="92">
        <v>1412000029</v>
      </c>
      <c r="C122" s="84" t="s">
        <v>161</v>
      </c>
      <c r="D122" s="128">
        <f>VLOOKUP(B122,'B&amp;L'!$A$7:$BK$66,8,0)</f>
        <v>24.32</v>
      </c>
      <c r="E122" s="128">
        <f>VLOOKUP(B122,'B&amp;L'!$A$7:$BK$66,13,0)</f>
        <v>23.55</v>
      </c>
      <c r="F122" s="128">
        <f>VLOOKUP(B122,'B&amp;L'!$A$7:$BK$66,18,0)</f>
        <v>23.56</v>
      </c>
      <c r="G122" s="128">
        <f>VLOOKUP(B122,'B&amp;L'!$A$7:$BK$66,23,0)</f>
        <v>23.54</v>
      </c>
      <c r="H122" s="128">
        <f>VLOOKUP(B122,'B&amp;L'!$A$7:$BK$66,28,0)</f>
        <v>23.54</v>
      </c>
      <c r="I122" s="128">
        <f>VLOOKUP(B122,'B&amp;L'!$A$7:$BK$66,33,0)</f>
        <v>23.37</v>
      </c>
      <c r="J122" s="128">
        <f>VLOOKUP(B122,'B&amp;L'!$A$7:$BK$66,38,0)</f>
        <v>23.32</v>
      </c>
      <c r="K122" s="128">
        <f>VLOOKUP(B122,'B&amp;L'!$A$7:$BK$66,43,0)</f>
        <v>23.32</v>
      </c>
      <c r="L122" s="128">
        <f>VLOOKUP(B122,'B&amp;L'!$A$7:$BK$66,48,0)</f>
        <v>23.32</v>
      </c>
      <c r="M122" s="128">
        <f>VLOOKUP(B122,'B&amp;L'!$A$7:$BK$66,53,0)</f>
        <v>23.32</v>
      </c>
      <c r="N122" s="128">
        <f>VLOOKUP(B122,'B&amp;L'!$A$7:$BK$66,58,0)</f>
        <v>23.31</v>
      </c>
      <c r="O122" s="128">
        <f>VLOOKUP(B122,'B&amp;L'!$A$7:$BK$66,63,0)</f>
        <v>23.32</v>
      </c>
    </row>
    <row r="123" spans="1:15">
      <c r="A123" s="357">
        <v>59</v>
      </c>
      <c r="B123" s="134" t="s">
        <v>141</v>
      </c>
      <c r="C123" s="135" t="s">
        <v>160</v>
      </c>
      <c r="D123" s="127">
        <f>VLOOKUP(B124,'B&amp;L'!$A$7:$BK$66,7,0)</f>
        <v>274.83999999999997</v>
      </c>
      <c r="E123" s="127">
        <f>VLOOKUP(B124,'B&amp;L'!$A$7:$BK$66,12,0)</f>
        <v>259.08</v>
      </c>
      <c r="F123" s="127">
        <f>VLOOKUP(B124,'B&amp;L'!$A$7:$BK$66,17,0)</f>
        <v>259.14</v>
      </c>
      <c r="G123" s="127">
        <f>VLOOKUP(B124,'B&amp;L'!$A$7:$BK$66,22,0)</f>
        <v>258.91000000000003</v>
      </c>
      <c r="H123" s="127">
        <f>VLOOKUP(B124,'B&amp;L'!$A$7:$BK$66,27,0)</f>
        <v>258.83999999999997</v>
      </c>
      <c r="I123" s="127">
        <f>VLOOKUP(B124,'B&amp;L'!$A$7:$BK$66,32,0)</f>
        <v>255.48</v>
      </c>
      <c r="J123" s="127">
        <f>VLOOKUP(B124,'B&amp;L'!$A$7:$BK$66,37,0)</f>
        <v>254.5</v>
      </c>
      <c r="K123" s="127">
        <f>VLOOKUP(B124,'B&amp;L'!$A$7:$BK$66,42,0)</f>
        <v>254.47</v>
      </c>
      <c r="L123" s="127">
        <f>VLOOKUP(B124,'B&amp;L'!$A$7:$BK$66,47,0)</f>
        <v>254.49</v>
      </c>
      <c r="M123" s="127">
        <f>VLOOKUP(B124,'B&amp;L'!$A$7:$BK$66,52,0)</f>
        <v>254.41</v>
      </c>
      <c r="N123" s="127">
        <f>VLOOKUP(B124,'B&amp;L'!$A$7:$BK$66,57,0)</f>
        <v>254.28</v>
      </c>
      <c r="O123" s="127">
        <f>VLOOKUP(B124,'B&amp;L'!$A$7:$BK$66,62,0)</f>
        <v>254.41</v>
      </c>
    </row>
    <row r="124" spans="1:15">
      <c r="A124" s="358"/>
      <c r="B124" s="83">
        <v>1412000030</v>
      </c>
      <c r="C124" s="110" t="s">
        <v>161</v>
      </c>
      <c r="D124" s="128">
        <f>VLOOKUP(B124,'B&amp;L'!$A$7:$BK$66,8,0)</f>
        <v>33.979999999999997</v>
      </c>
      <c r="E124" s="128">
        <f>VLOOKUP(B124,'B&amp;L'!$A$7:$BK$66,13,0)</f>
        <v>32.85</v>
      </c>
      <c r="F124" s="128">
        <f>VLOOKUP(B124,'B&amp;L'!$A$7:$BK$66,18,0)</f>
        <v>32.86</v>
      </c>
      <c r="G124" s="128">
        <f>VLOOKUP(B124,'B&amp;L'!$A$7:$BK$66,23,0)</f>
        <v>32.83</v>
      </c>
      <c r="H124" s="128">
        <f>VLOOKUP(B124,'B&amp;L'!$A$7:$BK$66,28,0)</f>
        <v>32.82</v>
      </c>
      <c r="I124" s="128">
        <f>VLOOKUP(B124,'B&amp;L'!$A$7:$BK$66,33,0)</f>
        <v>32.39</v>
      </c>
      <c r="J124" s="128">
        <f>VLOOKUP(B124,'B&amp;L'!$A$7:$BK$66,38,0)</f>
        <v>32.270000000000003</v>
      </c>
      <c r="K124" s="128">
        <f>VLOOKUP(B124,'B&amp;L'!$A$7:$BK$66,43,0)</f>
        <v>32.26</v>
      </c>
      <c r="L124" s="128">
        <f>VLOOKUP(B124,'B&amp;L'!$A$7:$BK$66,48,0)</f>
        <v>32.270000000000003</v>
      </c>
      <c r="M124" s="128">
        <f>VLOOKUP(B124,'B&amp;L'!$A$7:$BK$66,53,0)</f>
        <v>32.26</v>
      </c>
      <c r="N124" s="128">
        <f>VLOOKUP(B124,'B&amp;L'!$A$7:$BK$66,58,0)</f>
        <v>32.24</v>
      </c>
      <c r="O124" s="128">
        <f>VLOOKUP(B124,'B&amp;L'!$A$7:$BK$66,63,0)</f>
        <v>32.26</v>
      </c>
    </row>
    <row r="125" spans="1:15">
      <c r="A125" s="357">
        <v>60</v>
      </c>
      <c r="B125" s="91" t="s">
        <v>10</v>
      </c>
      <c r="C125" s="76" t="s">
        <v>160</v>
      </c>
      <c r="D125" s="127">
        <f>VLOOKUP(B126,'B&amp;L'!$A$7:$BK$66,7,0)</f>
        <v>344.06</v>
      </c>
      <c r="E125" s="127">
        <f>VLOOKUP(B126,'B&amp;L'!$A$7:$BK$66,12,0)</f>
        <v>324.89</v>
      </c>
      <c r="F125" s="127">
        <f>VLOOKUP(B126,'B&amp;L'!$A$7:$BK$66,17,0)</f>
        <v>324.94</v>
      </c>
      <c r="G125" s="127">
        <f>VLOOKUP(B126,'B&amp;L'!$A$7:$BK$66,22,0)</f>
        <v>324.76</v>
      </c>
      <c r="H125" s="127">
        <f>VLOOKUP(B126,'B&amp;L'!$A$7:$BK$66,27,0)</f>
        <v>324.7</v>
      </c>
      <c r="I125" s="127">
        <f>VLOOKUP(B126,'B&amp;L'!$A$7:$BK$66,32,0)</f>
        <v>334</v>
      </c>
      <c r="J125" s="127">
        <f>VLOOKUP(B126,'B&amp;L'!$A$7:$BK$66,37,0)</f>
        <v>333.18</v>
      </c>
      <c r="K125" s="127">
        <f>VLOOKUP(B126,'B&amp;L'!$A$7:$BK$66,42,0)</f>
        <v>333.16</v>
      </c>
      <c r="L125" s="127">
        <f>VLOOKUP(B126,'B&amp;L'!$A$7:$BK$66,47,0)</f>
        <v>333.17</v>
      </c>
      <c r="M125" s="127">
        <f>VLOOKUP(B126,'B&amp;L'!$A$7:$BK$66,52,0)</f>
        <v>333.1</v>
      </c>
      <c r="N125" s="127">
        <f>VLOOKUP(B126,'B&amp;L'!$A$7:$BK$66,57,0)</f>
        <v>333</v>
      </c>
      <c r="O125" s="127">
        <f>VLOOKUP(B126,'B&amp;L'!$A$7:$BK$66,62,0)</f>
        <v>333.11</v>
      </c>
    </row>
    <row r="126" spans="1:15">
      <c r="A126" s="358"/>
      <c r="B126" s="111">
        <v>1412000086</v>
      </c>
      <c r="C126" s="84" t="s">
        <v>161</v>
      </c>
      <c r="D126" s="128">
        <f>VLOOKUP(B126,'B&amp;L'!$A$7:$BK$66,8,0)</f>
        <v>42.54</v>
      </c>
      <c r="E126" s="128">
        <f>VLOOKUP(B126,'B&amp;L'!$A$7:$BK$66,13,0)</f>
        <v>41.19</v>
      </c>
      <c r="F126" s="128">
        <f>VLOOKUP(B126,'B&amp;L'!$A$7:$BK$66,18,0)</f>
        <v>41.2</v>
      </c>
      <c r="G126" s="128">
        <f>VLOOKUP(B126,'B&amp;L'!$A$7:$BK$66,23,0)</f>
        <v>41.18</v>
      </c>
      <c r="H126" s="128">
        <f>VLOOKUP(B126,'B&amp;L'!$A$7:$BK$66,28,0)</f>
        <v>41.17</v>
      </c>
      <c r="I126" s="128">
        <f>VLOOKUP(B126,'B&amp;L'!$A$7:$BK$66,33,0)</f>
        <v>42.35</v>
      </c>
      <c r="J126" s="128">
        <f>VLOOKUP(B126,'B&amp;L'!$A$7:$BK$66,38,0)</f>
        <v>42.24</v>
      </c>
      <c r="K126" s="128">
        <f>VLOOKUP(B126,'B&amp;L'!$A$7:$BK$66,43,0)</f>
        <v>42.24</v>
      </c>
      <c r="L126" s="128">
        <f>VLOOKUP(B126,'B&amp;L'!$A$7:$BK$66,48,0)</f>
        <v>42.24</v>
      </c>
      <c r="M126" s="128">
        <f>VLOOKUP(B126,'B&amp;L'!$A$7:$BK$66,53,0)</f>
        <v>42.23</v>
      </c>
      <c r="N126" s="128">
        <f>VLOOKUP(B126,'B&amp;L'!$A$7:$BK$66,58,0)</f>
        <v>42.22</v>
      </c>
      <c r="O126" s="128">
        <f>VLOOKUP(B126,'B&amp;L'!$A$7:$BK$66,63,0)</f>
        <v>42.23</v>
      </c>
    </row>
    <row r="127" spans="1:15">
      <c r="A127" s="353" t="s">
        <v>170</v>
      </c>
      <c r="B127" s="354"/>
      <c r="C127" s="76" t="s">
        <v>160</v>
      </c>
      <c r="D127" s="136">
        <f>D7+D11+D13+D15+D17+D19+D21+D23+D25+D27+D29+D31+D33+D35+D37+D39+D41+D45+D47+D49+D51+D53+D55+D63+D65+D67+D69+D71+D73+D75+D77+D79+D81+D87+D91+D95+D97+D99+D101+D103+D105+D111+D113+D115+D117+D119+D121+D123+D125+D59+D57+D107+D109+D43+D9+D93+D83+D89+D85+D61</f>
        <v>220366.55000000005</v>
      </c>
      <c r="E127" s="136">
        <f t="shared" ref="E127:O127" si="12">E7+E11+E13+E15+E17+E19+E21+E23+E25+E27+E29+E31+E33+E35+E37+E39+E41+E45+E47+E49+E51+E53+E55+E63+E65+E67+E69+E71+E73+E75+E77+E79+E81+E87+E91+E95+E97+E99+E101+E103+E105+E111+E113+E115+E117+E119+E121+E123+E125+E59+E57+E107+E109+E43+E9+E93+E83+E89+E85+E61</f>
        <v>208679.16</v>
      </c>
      <c r="F127" s="136">
        <f t="shared" si="12"/>
        <v>208679.16000000006</v>
      </c>
      <c r="G127" s="136">
        <f t="shared" si="12"/>
        <v>208679.16000000003</v>
      </c>
      <c r="H127" s="136">
        <f t="shared" si="12"/>
        <v>208679.15999999997</v>
      </c>
      <c r="I127" s="136">
        <f t="shared" si="12"/>
        <v>208679.15999999995</v>
      </c>
      <c r="J127" s="136">
        <f t="shared" si="12"/>
        <v>208679.16</v>
      </c>
      <c r="K127" s="136">
        <f t="shared" si="12"/>
        <v>208679.15999999995</v>
      </c>
      <c r="L127" s="136">
        <f t="shared" si="12"/>
        <v>208679.16000000003</v>
      </c>
      <c r="M127" s="136">
        <f t="shared" si="12"/>
        <v>208679.16</v>
      </c>
      <c r="N127" s="136">
        <f t="shared" si="12"/>
        <v>208679.16</v>
      </c>
      <c r="O127" s="136">
        <f t="shared" si="12"/>
        <v>208679.16000000003</v>
      </c>
    </row>
    <row r="128" spans="1:15">
      <c r="A128" s="355"/>
      <c r="B128" s="356"/>
      <c r="C128" s="84" t="s">
        <v>161</v>
      </c>
      <c r="D128" s="137">
        <f>D8+D12+D14+D16+D18+D20+D22+D24+D26+D28+D30+D32+D34+D36+D38+D40+D42+D46+D48+D50+D52+D54+D56+D64+D66+D68+D70+D72+D74+D76+D78+D80+D82+D88+D92+D96+D98+D100+D102+D104+D106+D112+D114+D116+D118+D120+D122+D124+D126+D60+D58+D108+D110+D44+D10+D94+D84+D90+D86+D62</f>
        <v>27247.279999999995</v>
      </c>
      <c r="E128" s="137">
        <f t="shared" ref="E128:O128" si="13">E8+E12+E14+E16+E18+E20+E22+E24+E26+E28+E30+E32+E34+E36+E38+E40+E42+E46+E48+E50+E52+E54+E56+E64+E66+E68+E70+E72+E74+E76+E78+E80+E82+E88+E92+E96+E98+E100+E102+E104+E106+E112+E114+E116+E118+E120+E122+E124+E126+E60+E58+E108+E110+E44+E10+E94+E84+E90+E86+E62</f>
        <v>26458.430000000004</v>
      </c>
      <c r="F128" s="137">
        <f t="shared" si="13"/>
        <v>26458.430000000004</v>
      </c>
      <c r="G128" s="137">
        <f t="shared" si="13"/>
        <v>26458.429999999993</v>
      </c>
      <c r="H128" s="137">
        <f t="shared" si="13"/>
        <v>26458.429999999978</v>
      </c>
      <c r="I128" s="137">
        <f t="shared" si="13"/>
        <v>26458.429999999993</v>
      </c>
      <c r="J128" s="137">
        <f t="shared" si="13"/>
        <v>26458.43</v>
      </c>
      <c r="K128" s="137">
        <f t="shared" si="13"/>
        <v>26458.43</v>
      </c>
      <c r="L128" s="137">
        <f t="shared" si="13"/>
        <v>26458.429999999993</v>
      </c>
      <c r="M128" s="137">
        <f t="shared" si="13"/>
        <v>26458.429999999989</v>
      </c>
      <c r="N128" s="137">
        <f t="shared" si="13"/>
        <v>26458.429999999989</v>
      </c>
      <c r="O128" s="137">
        <f t="shared" si="13"/>
        <v>26458.429999999993</v>
      </c>
    </row>
    <row r="129" spans="4:15">
      <c r="D129" s="138">
        <f>D127-'B&amp;L'!G5</f>
        <v>0</v>
      </c>
      <c r="E129" s="138">
        <f>E127-'B&amp;L'!L5</f>
        <v>0</v>
      </c>
      <c r="F129" s="138">
        <f>F127-'B&amp;L'!Q5</f>
        <v>0</v>
      </c>
      <c r="G129" s="138">
        <f>G127-'B&amp;L'!V5</f>
        <v>0</v>
      </c>
      <c r="H129" s="138">
        <f>H127-'B&amp;L'!AA5</f>
        <v>0</v>
      </c>
      <c r="I129" s="150">
        <f>I127-'B&amp;L'!AF5</f>
        <v>0</v>
      </c>
      <c r="J129" s="150">
        <f>J127-'B&amp;L'!AK5</f>
        <v>0</v>
      </c>
      <c r="K129" s="150">
        <f>K127-'B&amp;L'!AP5</f>
        <v>0</v>
      </c>
      <c r="L129" s="150">
        <f>L127-'B&amp;L'!AU5</f>
        <v>0</v>
      </c>
      <c r="M129" s="150">
        <f>M127-'B&amp;L'!AZ5</f>
        <v>0</v>
      </c>
      <c r="N129" s="150">
        <f>N127-'B&amp;L'!BE5</f>
        <v>0</v>
      </c>
      <c r="O129" s="150">
        <f>O127-'B&amp;L'!BJ5</f>
        <v>0</v>
      </c>
    </row>
    <row r="130" spans="4:15">
      <c r="D130" s="138">
        <f>D128-'B&amp;L'!H5</f>
        <v>0</v>
      </c>
      <c r="E130" s="138">
        <f>E128-'B&amp;L'!M5</f>
        <v>0</v>
      </c>
      <c r="F130" s="138">
        <f>F128-'B&amp;L'!R5</f>
        <v>0</v>
      </c>
      <c r="G130" s="138">
        <f>G128-'B&amp;L'!W5</f>
        <v>0</v>
      </c>
      <c r="H130" s="138">
        <f>H128-'B&amp;L'!AB5</f>
        <v>0</v>
      </c>
      <c r="I130" s="150">
        <f>I128-'B&amp;L'!AG5</f>
        <v>0</v>
      </c>
      <c r="J130" s="150">
        <f>J128-'B&amp;L'!AL5</f>
        <v>0</v>
      </c>
      <c r="K130" s="150">
        <f>K128-'B&amp;L'!AQ5</f>
        <v>0</v>
      </c>
      <c r="L130" s="150">
        <f>L128-'B&amp;L'!AV5</f>
        <v>0</v>
      </c>
      <c r="M130" s="150">
        <f>M128-'B&amp;L'!BA5</f>
        <v>0</v>
      </c>
      <c r="N130" s="150">
        <f>N128-'B&amp;L'!BF5</f>
        <v>0</v>
      </c>
      <c r="O130" s="150">
        <f>O128-'B&amp;L'!BK5</f>
        <v>0</v>
      </c>
    </row>
  </sheetData>
  <mergeCells count="63">
    <mergeCell ref="A25:A26"/>
    <mergeCell ref="A3:B3"/>
    <mergeCell ref="A4:B5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49:A50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75:A76"/>
    <mergeCell ref="A51:A52"/>
    <mergeCell ref="A53:A54"/>
    <mergeCell ref="A55:A56"/>
    <mergeCell ref="A57:A58"/>
    <mergeCell ref="A59:A60"/>
    <mergeCell ref="A63:A64"/>
    <mergeCell ref="A65:A66"/>
    <mergeCell ref="A67:A68"/>
    <mergeCell ref="A69:A70"/>
    <mergeCell ref="A71:A72"/>
    <mergeCell ref="A73:A74"/>
    <mergeCell ref="A61:A62"/>
    <mergeCell ref="A103:A104"/>
    <mergeCell ref="A77:A78"/>
    <mergeCell ref="A79:A80"/>
    <mergeCell ref="A81:A82"/>
    <mergeCell ref="A83:A84"/>
    <mergeCell ref="A87:A88"/>
    <mergeCell ref="A91:A92"/>
    <mergeCell ref="A93:A94"/>
    <mergeCell ref="A95:A96"/>
    <mergeCell ref="A97:A98"/>
    <mergeCell ref="A99:A100"/>
    <mergeCell ref="A101:A102"/>
    <mergeCell ref="A85:A86"/>
    <mergeCell ref="A89:A90"/>
    <mergeCell ref="A127:B128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25:A126"/>
  </mergeCells>
  <pageMargins left="0.15748031496062992" right="0.15748031496062992" top="0.19685039370078741" bottom="0.19685039370078741" header="0.51181102362204722" footer="0.51181102362204722"/>
  <pageSetup paperSize="9" scale="57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F1B0F-5EC6-44B0-8C7F-29340FCF75F9}">
  <sheetPr codeName="Sheet3">
    <pageSetUpPr fitToPage="1"/>
  </sheetPr>
  <dimension ref="A1:O131"/>
  <sheetViews>
    <sheetView zoomScaleNormal="100" workbookViewId="0">
      <pane xSplit="2" ySplit="3" topLeftCell="C4" activePane="bottomRight" state="frozen"/>
      <selection pane="topRight" activeCell="C1" sqref="C1"/>
      <selection pane="bottomLeft" activeCell="A8" sqref="A8"/>
      <selection pane="bottomRight" activeCell="B2" sqref="B2"/>
    </sheetView>
  </sheetViews>
  <sheetFormatPr defaultColWidth="9" defaultRowHeight="14"/>
  <cols>
    <col min="1" max="1" width="4.08984375" style="73" customWidth="1"/>
    <col min="2" max="2" width="23" style="73" bestFit="1" customWidth="1"/>
    <col min="3" max="3" width="19.36328125" style="73" customWidth="1"/>
    <col min="4" max="15" width="19.08984375" style="73" customWidth="1"/>
    <col min="16" max="259" width="9" style="73"/>
    <col min="260" max="260" width="4.08984375" style="73" customWidth="1"/>
    <col min="261" max="261" width="23" style="73" bestFit="1" customWidth="1"/>
    <col min="262" max="262" width="19.36328125" style="73" customWidth="1"/>
    <col min="263" max="267" width="19.08984375" style="73" customWidth="1"/>
    <col min="268" max="268" width="19.453125" style="73" customWidth="1"/>
    <col min="269" max="515" width="9" style="73"/>
    <col min="516" max="516" width="4.08984375" style="73" customWidth="1"/>
    <col min="517" max="517" width="23" style="73" bestFit="1" customWidth="1"/>
    <col min="518" max="518" width="19.36328125" style="73" customWidth="1"/>
    <col min="519" max="523" width="19.08984375" style="73" customWidth="1"/>
    <col min="524" max="524" width="19.453125" style="73" customWidth="1"/>
    <col min="525" max="771" width="9" style="73"/>
    <col min="772" max="772" width="4.08984375" style="73" customWidth="1"/>
    <col min="773" max="773" width="23" style="73" bestFit="1" customWidth="1"/>
    <col min="774" max="774" width="19.36328125" style="73" customWidth="1"/>
    <col min="775" max="779" width="19.08984375" style="73" customWidth="1"/>
    <col min="780" max="780" width="19.453125" style="73" customWidth="1"/>
    <col min="781" max="1027" width="9" style="73"/>
    <col min="1028" max="1028" width="4.08984375" style="73" customWidth="1"/>
    <col min="1029" max="1029" width="23" style="73" bestFit="1" customWidth="1"/>
    <col min="1030" max="1030" width="19.36328125" style="73" customWidth="1"/>
    <col min="1031" max="1035" width="19.08984375" style="73" customWidth="1"/>
    <col min="1036" max="1036" width="19.453125" style="73" customWidth="1"/>
    <col min="1037" max="1283" width="9" style="73"/>
    <col min="1284" max="1284" width="4.08984375" style="73" customWidth="1"/>
    <col min="1285" max="1285" width="23" style="73" bestFit="1" customWidth="1"/>
    <col min="1286" max="1286" width="19.36328125" style="73" customWidth="1"/>
    <col min="1287" max="1291" width="19.08984375" style="73" customWidth="1"/>
    <col min="1292" max="1292" width="19.453125" style="73" customWidth="1"/>
    <col min="1293" max="1539" width="9" style="73"/>
    <col min="1540" max="1540" width="4.08984375" style="73" customWidth="1"/>
    <col min="1541" max="1541" width="23" style="73" bestFit="1" customWidth="1"/>
    <col min="1542" max="1542" width="19.36328125" style="73" customWidth="1"/>
    <col min="1543" max="1547" width="19.08984375" style="73" customWidth="1"/>
    <col min="1548" max="1548" width="19.453125" style="73" customWidth="1"/>
    <col min="1549" max="1795" width="9" style="73"/>
    <col min="1796" max="1796" width="4.08984375" style="73" customWidth="1"/>
    <col min="1797" max="1797" width="23" style="73" bestFit="1" customWidth="1"/>
    <col min="1798" max="1798" width="19.36328125" style="73" customWidth="1"/>
    <col min="1799" max="1803" width="19.08984375" style="73" customWidth="1"/>
    <col min="1804" max="1804" width="19.453125" style="73" customWidth="1"/>
    <col min="1805" max="2051" width="9" style="73"/>
    <col min="2052" max="2052" width="4.08984375" style="73" customWidth="1"/>
    <col min="2053" max="2053" width="23" style="73" bestFit="1" customWidth="1"/>
    <col min="2054" max="2054" width="19.36328125" style="73" customWidth="1"/>
    <col min="2055" max="2059" width="19.08984375" style="73" customWidth="1"/>
    <col min="2060" max="2060" width="19.453125" style="73" customWidth="1"/>
    <col min="2061" max="2307" width="9" style="73"/>
    <col min="2308" max="2308" width="4.08984375" style="73" customWidth="1"/>
    <col min="2309" max="2309" width="23" style="73" bestFit="1" customWidth="1"/>
    <col min="2310" max="2310" width="19.36328125" style="73" customWidth="1"/>
    <col min="2311" max="2315" width="19.08984375" style="73" customWidth="1"/>
    <col min="2316" max="2316" width="19.453125" style="73" customWidth="1"/>
    <col min="2317" max="2563" width="9" style="73"/>
    <col min="2564" max="2564" width="4.08984375" style="73" customWidth="1"/>
    <col min="2565" max="2565" width="23" style="73" bestFit="1" customWidth="1"/>
    <col min="2566" max="2566" width="19.36328125" style="73" customWidth="1"/>
    <col min="2567" max="2571" width="19.08984375" style="73" customWidth="1"/>
    <col min="2572" max="2572" width="19.453125" style="73" customWidth="1"/>
    <col min="2573" max="2819" width="9" style="73"/>
    <col min="2820" max="2820" width="4.08984375" style="73" customWidth="1"/>
    <col min="2821" max="2821" width="23" style="73" bestFit="1" customWidth="1"/>
    <col min="2822" max="2822" width="19.36328125" style="73" customWidth="1"/>
    <col min="2823" max="2827" width="19.08984375" style="73" customWidth="1"/>
    <col min="2828" max="2828" width="19.453125" style="73" customWidth="1"/>
    <col min="2829" max="3075" width="9" style="73"/>
    <col min="3076" max="3076" width="4.08984375" style="73" customWidth="1"/>
    <col min="3077" max="3077" width="23" style="73" bestFit="1" customWidth="1"/>
    <col min="3078" max="3078" width="19.36328125" style="73" customWidth="1"/>
    <col min="3079" max="3083" width="19.08984375" style="73" customWidth="1"/>
    <col min="3084" max="3084" width="19.453125" style="73" customWidth="1"/>
    <col min="3085" max="3331" width="9" style="73"/>
    <col min="3332" max="3332" width="4.08984375" style="73" customWidth="1"/>
    <col min="3333" max="3333" width="23" style="73" bestFit="1" customWidth="1"/>
    <col min="3334" max="3334" width="19.36328125" style="73" customWidth="1"/>
    <col min="3335" max="3339" width="19.08984375" style="73" customWidth="1"/>
    <col min="3340" max="3340" width="19.453125" style="73" customWidth="1"/>
    <col min="3341" max="3587" width="9" style="73"/>
    <col min="3588" max="3588" width="4.08984375" style="73" customWidth="1"/>
    <col min="3589" max="3589" width="23" style="73" bestFit="1" customWidth="1"/>
    <col min="3590" max="3590" width="19.36328125" style="73" customWidth="1"/>
    <col min="3591" max="3595" width="19.08984375" style="73" customWidth="1"/>
    <col min="3596" max="3596" width="19.453125" style="73" customWidth="1"/>
    <col min="3597" max="3843" width="9" style="73"/>
    <col min="3844" max="3844" width="4.08984375" style="73" customWidth="1"/>
    <col min="3845" max="3845" width="23" style="73" bestFit="1" customWidth="1"/>
    <col min="3846" max="3846" width="19.36328125" style="73" customWidth="1"/>
    <col min="3847" max="3851" width="19.08984375" style="73" customWidth="1"/>
    <col min="3852" max="3852" width="19.453125" style="73" customWidth="1"/>
    <col min="3853" max="4099" width="9" style="73"/>
    <col min="4100" max="4100" width="4.08984375" style="73" customWidth="1"/>
    <col min="4101" max="4101" width="23" style="73" bestFit="1" customWidth="1"/>
    <col min="4102" max="4102" width="19.36328125" style="73" customWidth="1"/>
    <col min="4103" max="4107" width="19.08984375" style="73" customWidth="1"/>
    <col min="4108" max="4108" width="19.453125" style="73" customWidth="1"/>
    <col min="4109" max="4355" width="9" style="73"/>
    <col min="4356" max="4356" width="4.08984375" style="73" customWidth="1"/>
    <col min="4357" max="4357" width="23" style="73" bestFit="1" customWidth="1"/>
    <col min="4358" max="4358" width="19.36328125" style="73" customWidth="1"/>
    <col min="4359" max="4363" width="19.08984375" style="73" customWidth="1"/>
    <col min="4364" max="4364" width="19.453125" style="73" customWidth="1"/>
    <col min="4365" max="4611" width="9" style="73"/>
    <col min="4612" max="4612" width="4.08984375" style="73" customWidth="1"/>
    <col min="4613" max="4613" width="23" style="73" bestFit="1" customWidth="1"/>
    <col min="4614" max="4614" width="19.36328125" style="73" customWidth="1"/>
    <col min="4615" max="4619" width="19.08984375" style="73" customWidth="1"/>
    <col min="4620" max="4620" width="19.453125" style="73" customWidth="1"/>
    <col min="4621" max="4867" width="9" style="73"/>
    <col min="4868" max="4868" width="4.08984375" style="73" customWidth="1"/>
    <col min="4869" max="4869" width="23" style="73" bestFit="1" customWidth="1"/>
    <col min="4870" max="4870" width="19.36328125" style="73" customWidth="1"/>
    <col min="4871" max="4875" width="19.08984375" style="73" customWidth="1"/>
    <col min="4876" max="4876" width="19.453125" style="73" customWidth="1"/>
    <col min="4877" max="5123" width="9" style="73"/>
    <col min="5124" max="5124" width="4.08984375" style="73" customWidth="1"/>
    <col min="5125" max="5125" width="23" style="73" bestFit="1" customWidth="1"/>
    <col min="5126" max="5126" width="19.36328125" style="73" customWidth="1"/>
    <col min="5127" max="5131" width="19.08984375" style="73" customWidth="1"/>
    <col min="5132" max="5132" width="19.453125" style="73" customWidth="1"/>
    <col min="5133" max="5379" width="9" style="73"/>
    <col min="5380" max="5380" width="4.08984375" style="73" customWidth="1"/>
    <col min="5381" max="5381" width="23" style="73" bestFit="1" customWidth="1"/>
    <col min="5382" max="5382" width="19.36328125" style="73" customWidth="1"/>
    <col min="5383" max="5387" width="19.08984375" style="73" customWidth="1"/>
    <col min="5388" max="5388" width="19.453125" style="73" customWidth="1"/>
    <col min="5389" max="5635" width="9" style="73"/>
    <col min="5636" max="5636" width="4.08984375" style="73" customWidth="1"/>
    <col min="5637" max="5637" width="23" style="73" bestFit="1" customWidth="1"/>
    <col min="5638" max="5638" width="19.36328125" style="73" customWidth="1"/>
    <col min="5639" max="5643" width="19.08984375" style="73" customWidth="1"/>
    <col min="5644" max="5644" width="19.453125" style="73" customWidth="1"/>
    <col min="5645" max="5891" width="9" style="73"/>
    <col min="5892" max="5892" width="4.08984375" style="73" customWidth="1"/>
    <col min="5893" max="5893" width="23" style="73" bestFit="1" customWidth="1"/>
    <col min="5894" max="5894" width="19.36328125" style="73" customWidth="1"/>
    <col min="5895" max="5899" width="19.08984375" style="73" customWidth="1"/>
    <col min="5900" max="5900" width="19.453125" style="73" customWidth="1"/>
    <col min="5901" max="6147" width="9" style="73"/>
    <col min="6148" max="6148" width="4.08984375" style="73" customWidth="1"/>
    <col min="6149" max="6149" width="23" style="73" bestFit="1" customWidth="1"/>
    <col min="6150" max="6150" width="19.36328125" style="73" customWidth="1"/>
    <col min="6151" max="6155" width="19.08984375" style="73" customWidth="1"/>
    <col min="6156" max="6156" width="19.453125" style="73" customWidth="1"/>
    <col min="6157" max="6403" width="9" style="73"/>
    <col min="6404" max="6404" width="4.08984375" style="73" customWidth="1"/>
    <col min="6405" max="6405" width="23" style="73" bestFit="1" customWidth="1"/>
    <col min="6406" max="6406" width="19.36328125" style="73" customWidth="1"/>
    <col min="6407" max="6411" width="19.08984375" style="73" customWidth="1"/>
    <col min="6412" max="6412" width="19.453125" style="73" customWidth="1"/>
    <col min="6413" max="6659" width="9" style="73"/>
    <col min="6660" max="6660" width="4.08984375" style="73" customWidth="1"/>
    <col min="6661" max="6661" width="23" style="73" bestFit="1" customWidth="1"/>
    <col min="6662" max="6662" width="19.36328125" style="73" customWidth="1"/>
    <col min="6663" max="6667" width="19.08984375" style="73" customWidth="1"/>
    <col min="6668" max="6668" width="19.453125" style="73" customWidth="1"/>
    <col min="6669" max="6915" width="9" style="73"/>
    <col min="6916" max="6916" width="4.08984375" style="73" customWidth="1"/>
    <col min="6917" max="6917" width="23" style="73" bestFit="1" customWidth="1"/>
    <col min="6918" max="6918" width="19.36328125" style="73" customWidth="1"/>
    <col min="6919" max="6923" width="19.08984375" style="73" customWidth="1"/>
    <col min="6924" max="6924" width="19.453125" style="73" customWidth="1"/>
    <col min="6925" max="7171" width="9" style="73"/>
    <col min="7172" max="7172" width="4.08984375" style="73" customWidth="1"/>
    <col min="7173" max="7173" width="23" style="73" bestFit="1" customWidth="1"/>
    <col min="7174" max="7174" width="19.36328125" style="73" customWidth="1"/>
    <col min="7175" max="7179" width="19.08984375" style="73" customWidth="1"/>
    <col min="7180" max="7180" width="19.453125" style="73" customWidth="1"/>
    <col min="7181" max="7427" width="9" style="73"/>
    <col min="7428" max="7428" width="4.08984375" style="73" customWidth="1"/>
    <col min="7429" max="7429" width="23" style="73" bestFit="1" customWidth="1"/>
    <col min="7430" max="7430" width="19.36328125" style="73" customWidth="1"/>
    <col min="7431" max="7435" width="19.08984375" style="73" customWidth="1"/>
    <col min="7436" max="7436" width="19.453125" style="73" customWidth="1"/>
    <col min="7437" max="7683" width="9" style="73"/>
    <col min="7684" max="7684" width="4.08984375" style="73" customWidth="1"/>
    <col min="7685" max="7685" width="23" style="73" bestFit="1" customWidth="1"/>
    <col min="7686" max="7686" width="19.36328125" style="73" customWidth="1"/>
    <col min="7687" max="7691" width="19.08984375" style="73" customWidth="1"/>
    <col min="7692" max="7692" width="19.453125" style="73" customWidth="1"/>
    <col min="7693" max="7939" width="9" style="73"/>
    <col min="7940" max="7940" width="4.08984375" style="73" customWidth="1"/>
    <col min="7941" max="7941" width="23" style="73" bestFit="1" customWidth="1"/>
    <col min="7942" max="7942" width="19.36328125" style="73" customWidth="1"/>
    <col min="7943" max="7947" width="19.08984375" style="73" customWidth="1"/>
    <col min="7948" max="7948" width="19.453125" style="73" customWidth="1"/>
    <col min="7949" max="8195" width="9" style="73"/>
    <col min="8196" max="8196" width="4.08984375" style="73" customWidth="1"/>
    <col min="8197" max="8197" width="23" style="73" bestFit="1" customWidth="1"/>
    <col min="8198" max="8198" width="19.36328125" style="73" customWidth="1"/>
    <col min="8199" max="8203" width="19.08984375" style="73" customWidth="1"/>
    <col min="8204" max="8204" width="19.453125" style="73" customWidth="1"/>
    <col min="8205" max="8451" width="9" style="73"/>
    <col min="8452" max="8452" width="4.08984375" style="73" customWidth="1"/>
    <col min="8453" max="8453" width="23" style="73" bestFit="1" customWidth="1"/>
    <col min="8454" max="8454" width="19.36328125" style="73" customWidth="1"/>
    <col min="8455" max="8459" width="19.08984375" style="73" customWidth="1"/>
    <col min="8460" max="8460" width="19.453125" style="73" customWidth="1"/>
    <col min="8461" max="8707" width="9" style="73"/>
    <col min="8708" max="8708" width="4.08984375" style="73" customWidth="1"/>
    <col min="8709" max="8709" width="23" style="73" bestFit="1" customWidth="1"/>
    <col min="8710" max="8710" width="19.36328125" style="73" customWidth="1"/>
    <col min="8711" max="8715" width="19.08984375" style="73" customWidth="1"/>
    <col min="8716" max="8716" width="19.453125" style="73" customWidth="1"/>
    <col min="8717" max="8963" width="9" style="73"/>
    <col min="8964" max="8964" width="4.08984375" style="73" customWidth="1"/>
    <col min="8965" max="8965" width="23" style="73" bestFit="1" customWidth="1"/>
    <col min="8966" max="8966" width="19.36328125" style="73" customWidth="1"/>
    <col min="8967" max="8971" width="19.08984375" style="73" customWidth="1"/>
    <col min="8972" max="8972" width="19.453125" style="73" customWidth="1"/>
    <col min="8973" max="9219" width="9" style="73"/>
    <col min="9220" max="9220" width="4.08984375" style="73" customWidth="1"/>
    <col min="9221" max="9221" width="23" style="73" bestFit="1" customWidth="1"/>
    <col min="9222" max="9222" width="19.36328125" style="73" customWidth="1"/>
    <col min="9223" max="9227" width="19.08984375" style="73" customWidth="1"/>
    <col min="9228" max="9228" width="19.453125" style="73" customWidth="1"/>
    <col min="9229" max="9475" width="9" style="73"/>
    <col min="9476" max="9476" width="4.08984375" style="73" customWidth="1"/>
    <col min="9477" max="9477" width="23" style="73" bestFit="1" customWidth="1"/>
    <col min="9478" max="9478" width="19.36328125" style="73" customWidth="1"/>
    <col min="9479" max="9483" width="19.08984375" style="73" customWidth="1"/>
    <col min="9484" max="9484" width="19.453125" style="73" customWidth="1"/>
    <col min="9485" max="9731" width="9" style="73"/>
    <col min="9732" max="9732" width="4.08984375" style="73" customWidth="1"/>
    <col min="9733" max="9733" width="23" style="73" bestFit="1" customWidth="1"/>
    <col min="9734" max="9734" width="19.36328125" style="73" customWidth="1"/>
    <col min="9735" max="9739" width="19.08984375" style="73" customWidth="1"/>
    <col min="9740" max="9740" width="19.453125" style="73" customWidth="1"/>
    <col min="9741" max="9987" width="9" style="73"/>
    <col min="9988" max="9988" width="4.08984375" style="73" customWidth="1"/>
    <col min="9989" max="9989" width="23" style="73" bestFit="1" customWidth="1"/>
    <col min="9990" max="9990" width="19.36328125" style="73" customWidth="1"/>
    <col min="9991" max="9995" width="19.08984375" style="73" customWidth="1"/>
    <col min="9996" max="9996" width="19.453125" style="73" customWidth="1"/>
    <col min="9997" max="10243" width="9" style="73"/>
    <col min="10244" max="10244" width="4.08984375" style="73" customWidth="1"/>
    <col min="10245" max="10245" width="23" style="73" bestFit="1" customWidth="1"/>
    <col min="10246" max="10246" width="19.36328125" style="73" customWidth="1"/>
    <col min="10247" max="10251" width="19.08984375" style="73" customWidth="1"/>
    <col min="10252" max="10252" width="19.453125" style="73" customWidth="1"/>
    <col min="10253" max="10499" width="9" style="73"/>
    <col min="10500" max="10500" width="4.08984375" style="73" customWidth="1"/>
    <col min="10501" max="10501" width="23" style="73" bestFit="1" customWidth="1"/>
    <col min="10502" max="10502" width="19.36328125" style="73" customWidth="1"/>
    <col min="10503" max="10507" width="19.08984375" style="73" customWidth="1"/>
    <col min="10508" max="10508" width="19.453125" style="73" customWidth="1"/>
    <col min="10509" max="10755" width="9" style="73"/>
    <col min="10756" max="10756" width="4.08984375" style="73" customWidth="1"/>
    <col min="10757" max="10757" width="23" style="73" bestFit="1" customWidth="1"/>
    <col min="10758" max="10758" width="19.36328125" style="73" customWidth="1"/>
    <col min="10759" max="10763" width="19.08984375" style="73" customWidth="1"/>
    <col min="10764" max="10764" width="19.453125" style="73" customWidth="1"/>
    <col min="10765" max="11011" width="9" style="73"/>
    <col min="11012" max="11012" width="4.08984375" style="73" customWidth="1"/>
    <col min="11013" max="11013" width="23" style="73" bestFit="1" customWidth="1"/>
    <col min="11014" max="11014" width="19.36328125" style="73" customWidth="1"/>
    <col min="11015" max="11019" width="19.08984375" style="73" customWidth="1"/>
    <col min="11020" max="11020" width="19.453125" style="73" customWidth="1"/>
    <col min="11021" max="11267" width="9" style="73"/>
    <col min="11268" max="11268" width="4.08984375" style="73" customWidth="1"/>
    <col min="11269" max="11269" width="23" style="73" bestFit="1" customWidth="1"/>
    <col min="11270" max="11270" width="19.36328125" style="73" customWidth="1"/>
    <col min="11271" max="11275" width="19.08984375" style="73" customWidth="1"/>
    <col min="11276" max="11276" width="19.453125" style="73" customWidth="1"/>
    <col min="11277" max="11523" width="9" style="73"/>
    <col min="11524" max="11524" width="4.08984375" style="73" customWidth="1"/>
    <col min="11525" max="11525" width="23" style="73" bestFit="1" customWidth="1"/>
    <col min="11526" max="11526" width="19.36328125" style="73" customWidth="1"/>
    <col min="11527" max="11531" width="19.08984375" style="73" customWidth="1"/>
    <col min="11532" max="11532" width="19.453125" style="73" customWidth="1"/>
    <col min="11533" max="11779" width="9" style="73"/>
    <col min="11780" max="11780" width="4.08984375" style="73" customWidth="1"/>
    <col min="11781" max="11781" width="23" style="73" bestFit="1" customWidth="1"/>
    <col min="11782" max="11782" width="19.36328125" style="73" customWidth="1"/>
    <col min="11783" max="11787" width="19.08984375" style="73" customWidth="1"/>
    <col min="11788" max="11788" width="19.453125" style="73" customWidth="1"/>
    <col min="11789" max="12035" width="9" style="73"/>
    <col min="12036" max="12036" width="4.08984375" style="73" customWidth="1"/>
    <col min="12037" max="12037" width="23" style="73" bestFit="1" customWidth="1"/>
    <col min="12038" max="12038" width="19.36328125" style="73" customWidth="1"/>
    <col min="12039" max="12043" width="19.08984375" style="73" customWidth="1"/>
    <col min="12044" max="12044" width="19.453125" style="73" customWidth="1"/>
    <col min="12045" max="12291" width="9" style="73"/>
    <col min="12292" max="12292" width="4.08984375" style="73" customWidth="1"/>
    <col min="12293" max="12293" width="23" style="73" bestFit="1" customWidth="1"/>
    <col min="12294" max="12294" width="19.36328125" style="73" customWidth="1"/>
    <col min="12295" max="12299" width="19.08984375" style="73" customWidth="1"/>
    <col min="12300" max="12300" width="19.453125" style="73" customWidth="1"/>
    <col min="12301" max="12547" width="9" style="73"/>
    <col min="12548" max="12548" width="4.08984375" style="73" customWidth="1"/>
    <col min="12549" max="12549" width="23" style="73" bestFit="1" customWidth="1"/>
    <col min="12550" max="12550" width="19.36328125" style="73" customWidth="1"/>
    <col min="12551" max="12555" width="19.08984375" style="73" customWidth="1"/>
    <col min="12556" max="12556" width="19.453125" style="73" customWidth="1"/>
    <col min="12557" max="12803" width="9" style="73"/>
    <col min="12804" max="12804" width="4.08984375" style="73" customWidth="1"/>
    <col min="12805" max="12805" width="23" style="73" bestFit="1" customWidth="1"/>
    <col min="12806" max="12806" width="19.36328125" style="73" customWidth="1"/>
    <col min="12807" max="12811" width="19.08984375" style="73" customWidth="1"/>
    <col min="12812" max="12812" width="19.453125" style="73" customWidth="1"/>
    <col min="12813" max="13059" width="9" style="73"/>
    <col min="13060" max="13060" width="4.08984375" style="73" customWidth="1"/>
    <col min="13061" max="13061" width="23" style="73" bestFit="1" customWidth="1"/>
    <col min="13062" max="13062" width="19.36328125" style="73" customWidth="1"/>
    <col min="13063" max="13067" width="19.08984375" style="73" customWidth="1"/>
    <col min="13068" max="13068" width="19.453125" style="73" customWidth="1"/>
    <col min="13069" max="13315" width="9" style="73"/>
    <col min="13316" max="13316" width="4.08984375" style="73" customWidth="1"/>
    <col min="13317" max="13317" width="23" style="73" bestFit="1" customWidth="1"/>
    <col min="13318" max="13318" width="19.36328125" style="73" customWidth="1"/>
    <col min="13319" max="13323" width="19.08984375" style="73" customWidth="1"/>
    <col min="13324" max="13324" width="19.453125" style="73" customWidth="1"/>
    <col min="13325" max="13571" width="9" style="73"/>
    <col min="13572" max="13572" width="4.08984375" style="73" customWidth="1"/>
    <col min="13573" max="13573" width="23" style="73" bestFit="1" customWidth="1"/>
    <col min="13574" max="13574" width="19.36328125" style="73" customWidth="1"/>
    <col min="13575" max="13579" width="19.08984375" style="73" customWidth="1"/>
    <col min="13580" max="13580" width="19.453125" style="73" customWidth="1"/>
    <col min="13581" max="13827" width="9" style="73"/>
    <col min="13828" max="13828" width="4.08984375" style="73" customWidth="1"/>
    <col min="13829" max="13829" width="23" style="73" bestFit="1" customWidth="1"/>
    <col min="13830" max="13830" width="19.36328125" style="73" customWidth="1"/>
    <col min="13831" max="13835" width="19.08984375" style="73" customWidth="1"/>
    <col min="13836" max="13836" width="19.453125" style="73" customWidth="1"/>
    <col min="13837" max="14083" width="9" style="73"/>
    <col min="14084" max="14084" width="4.08984375" style="73" customWidth="1"/>
    <col min="14085" max="14085" width="23" style="73" bestFit="1" customWidth="1"/>
    <col min="14086" max="14086" width="19.36328125" style="73" customWidth="1"/>
    <col min="14087" max="14091" width="19.08984375" style="73" customWidth="1"/>
    <col min="14092" max="14092" width="19.453125" style="73" customWidth="1"/>
    <col min="14093" max="14339" width="9" style="73"/>
    <col min="14340" max="14340" width="4.08984375" style="73" customWidth="1"/>
    <col min="14341" max="14341" width="23" style="73" bestFit="1" customWidth="1"/>
    <col min="14342" max="14342" width="19.36328125" style="73" customWidth="1"/>
    <col min="14343" max="14347" width="19.08984375" style="73" customWidth="1"/>
    <col min="14348" max="14348" width="19.453125" style="73" customWidth="1"/>
    <col min="14349" max="14595" width="9" style="73"/>
    <col min="14596" max="14596" width="4.08984375" style="73" customWidth="1"/>
    <col min="14597" max="14597" width="23" style="73" bestFit="1" customWidth="1"/>
    <col min="14598" max="14598" width="19.36328125" style="73" customWidth="1"/>
    <col min="14599" max="14603" width="19.08984375" style="73" customWidth="1"/>
    <col min="14604" max="14604" width="19.453125" style="73" customWidth="1"/>
    <col min="14605" max="14851" width="9" style="73"/>
    <col min="14852" max="14852" width="4.08984375" style="73" customWidth="1"/>
    <col min="14853" max="14853" width="23" style="73" bestFit="1" customWidth="1"/>
    <col min="14854" max="14854" width="19.36328125" style="73" customWidth="1"/>
    <col min="14855" max="14859" width="19.08984375" style="73" customWidth="1"/>
    <col min="14860" max="14860" width="19.453125" style="73" customWidth="1"/>
    <col min="14861" max="15107" width="9" style="73"/>
    <col min="15108" max="15108" width="4.08984375" style="73" customWidth="1"/>
    <col min="15109" max="15109" width="23" style="73" bestFit="1" customWidth="1"/>
    <col min="15110" max="15110" width="19.36328125" style="73" customWidth="1"/>
    <col min="15111" max="15115" width="19.08984375" style="73" customWidth="1"/>
    <col min="15116" max="15116" width="19.453125" style="73" customWidth="1"/>
    <col min="15117" max="15363" width="9" style="73"/>
    <col min="15364" max="15364" width="4.08984375" style="73" customWidth="1"/>
    <col min="15365" max="15365" width="23" style="73" bestFit="1" customWidth="1"/>
    <col min="15366" max="15366" width="19.36328125" style="73" customWidth="1"/>
    <col min="15367" max="15371" width="19.08984375" style="73" customWidth="1"/>
    <col min="15372" max="15372" width="19.453125" style="73" customWidth="1"/>
    <col min="15373" max="15619" width="9" style="73"/>
    <col min="15620" max="15620" width="4.08984375" style="73" customWidth="1"/>
    <col min="15621" max="15621" width="23" style="73" bestFit="1" customWidth="1"/>
    <col min="15622" max="15622" width="19.36328125" style="73" customWidth="1"/>
    <col min="15623" max="15627" width="19.08984375" style="73" customWidth="1"/>
    <col min="15628" max="15628" width="19.453125" style="73" customWidth="1"/>
    <col min="15629" max="15875" width="9" style="73"/>
    <col min="15876" max="15876" width="4.08984375" style="73" customWidth="1"/>
    <col min="15877" max="15877" width="23" style="73" bestFit="1" customWidth="1"/>
    <col min="15878" max="15878" width="19.36328125" style="73" customWidth="1"/>
    <col min="15879" max="15883" width="19.08984375" style="73" customWidth="1"/>
    <col min="15884" max="15884" width="19.453125" style="73" customWidth="1"/>
    <col min="15885" max="16131" width="9" style="73"/>
    <col min="16132" max="16132" width="4.08984375" style="73" customWidth="1"/>
    <col min="16133" max="16133" width="23" style="73" bestFit="1" customWidth="1"/>
    <col min="16134" max="16134" width="19.36328125" style="73" customWidth="1"/>
    <col min="16135" max="16139" width="19.08984375" style="73" customWidth="1"/>
    <col min="16140" max="16140" width="19.453125" style="73" customWidth="1"/>
    <col min="16141" max="16384" width="9" style="73"/>
  </cols>
  <sheetData>
    <row r="1" spans="1:15" s="71" customFormat="1" ht="16.899999999999999" customHeight="1">
      <c r="A1" s="139"/>
      <c r="E1" s="140"/>
      <c r="F1" s="72"/>
      <c r="G1" s="72"/>
      <c r="H1" s="72"/>
      <c r="I1" s="140"/>
      <c r="J1" s="72"/>
      <c r="K1" s="72"/>
      <c r="L1" s="72"/>
      <c r="M1" s="72"/>
      <c r="N1" s="72"/>
      <c r="O1" s="72"/>
    </row>
    <row r="2" spans="1:15" s="71" customFormat="1" ht="16.899999999999999" customHeight="1">
      <c r="A2" s="139"/>
      <c r="E2" s="140"/>
      <c r="F2" s="141" t="s">
        <v>133</v>
      </c>
      <c r="G2" s="72"/>
      <c r="H2" s="72"/>
      <c r="I2" s="140"/>
      <c r="J2" s="141" t="s">
        <v>133</v>
      </c>
      <c r="K2" s="72"/>
      <c r="L2" s="72"/>
      <c r="M2" s="141" t="s">
        <v>133</v>
      </c>
      <c r="N2" s="72"/>
      <c r="O2" s="72"/>
    </row>
    <row r="3" spans="1:15" s="120" customFormat="1" ht="22.9" customHeight="1">
      <c r="A3" s="189"/>
      <c r="B3" s="190" t="s">
        <v>157</v>
      </c>
      <c r="C3" s="190" t="s">
        <v>177</v>
      </c>
      <c r="D3" s="263">
        <v>45748</v>
      </c>
      <c r="E3" s="264">
        <f>IF(MONTH(D3)=12,EDATE(D3,1),EDATE(D3,1))</f>
        <v>45778</v>
      </c>
      <c r="F3" s="263">
        <f>IF(MONTH(E3)=12,EDATE(E3,1),EDATE(E3,1))</f>
        <v>45809</v>
      </c>
      <c r="G3" s="264">
        <f t="shared" ref="G3:H3" si="0">IF(MONTH(F3)=12,EDATE(F3,1),EDATE(F3,1))</f>
        <v>45839</v>
      </c>
      <c r="H3" s="263">
        <f t="shared" si="0"/>
        <v>45870</v>
      </c>
      <c r="I3" s="264">
        <f>IF(MONTH(H3)=12,EDATE(H3,1),EDATE(H3,1))</f>
        <v>45901</v>
      </c>
      <c r="J3" s="263">
        <f>IF(MONTH(I3)=12,EDATE(I3,1),EDATE(I3,1))</f>
        <v>45931</v>
      </c>
      <c r="K3" s="264">
        <f t="shared" ref="K3" si="1">IF(MONTH(J3)=12,EDATE(J3,1),EDATE(J3,1))</f>
        <v>45962</v>
      </c>
      <c r="L3" s="263">
        <f t="shared" ref="L3" si="2">IF(MONTH(K3)=12,EDATE(K3,1),EDATE(K3,1))</f>
        <v>45992</v>
      </c>
      <c r="M3" s="264">
        <f>IF(MONTH(L3)=12,EDATE(L3,1),EDATE(L3,1))</f>
        <v>46023</v>
      </c>
      <c r="N3" s="263">
        <f t="shared" ref="N3" si="3">IF(MONTH(M3)=12,EDATE(M3,1),EDATE(M3,1))</f>
        <v>46054</v>
      </c>
      <c r="O3" s="264">
        <f t="shared" ref="O3" si="4">IF(MONTH(N3)=12,EDATE(N3,1),EDATE(N3,1))</f>
        <v>46082</v>
      </c>
    </row>
    <row r="4" spans="1:15" s="120" customFormat="1" ht="15" customHeight="1">
      <c r="A4" s="368"/>
      <c r="B4" s="370" t="s">
        <v>159</v>
      </c>
      <c r="C4" s="191" t="s">
        <v>173</v>
      </c>
      <c r="D4" s="77">
        <f>D126</f>
        <v>2231942061</v>
      </c>
      <c r="E4" s="77">
        <f t="shared" ref="E4:H4" si="5">E126</f>
        <v>2281942059</v>
      </c>
      <c r="F4" s="77">
        <f t="shared" si="5"/>
        <v>2875524677</v>
      </c>
      <c r="G4" s="77">
        <f t="shared" si="5"/>
        <v>3096718887</v>
      </c>
      <c r="H4" s="77">
        <f t="shared" si="5"/>
        <v>3207315989</v>
      </c>
      <c r="I4" s="77">
        <f t="shared" ref="I4:L4" si="6">I126</f>
        <v>2941882945</v>
      </c>
      <c r="J4" s="77">
        <f t="shared" si="6"/>
        <v>2957385007</v>
      </c>
      <c r="K4" s="77">
        <f t="shared" si="6"/>
        <v>2654330471</v>
      </c>
      <c r="L4" s="77">
        <f t="shared" si="6"/>
        <v>2543733369</v>
      </c>
      <c r="M4" s="77">
        <f t="shared" ref="M4:O4" si="7">M126</f>
        <v>2240678832</v>
      </c>
      <c r="N4" s="77">
        <f t="shared" si="7"/>
        <v>2267206634</v>
      </c>
      <c r="O4" s="77">
        <f t="shared" si="7"/>
        <v>1769553649</v>
      </c>
    </row>
    <row r="5" spans="1:15" s="120" customFormat="1" ht="15" customHeight="1" thickBot="1">
      <c r="A5" s="369"/>
      <c r="B5" s="371"/>
      <c r="C5" s="192" t="s">
        <v>174</v>
      </c>
      <c r="D5" s="79">
        <f>D127</f>
        <v>168478800</v>
      </c>
      <c r="E5" s="79">
        <f t="shared" ref="E5:H5" si="8">E127</f>
        <v>184783200</v>
      </c>
      <c r="F5" s="79">
        <f t="shared" si="8"/>
        <v>203805000</v>
      </c>
      <c r="G5" s="79">
        <f t="shared" si="8"/>
        <v>317935800</v>
      </c>
      <c r="H5" s="79">
        <f t="shared" si="8"/>
        <v>293479200</v>
      </c>
      <c r="I5" s="79">
        <f t="shared" ref="I5:L5" si="9">I127</f>
        <v>263587800</v>
      </c>
      <c r="J5" s="79">
        <f t="shared" si="9"/>
        <v>190218000</v>
      </c>
      <c r="K5" s="79">
        <f t="shared" si="9"/>
        <v>269022600</v>
      </c>
      <c r="L5" s="79">
        <f t="shared" si="9"/>
        <v>266305200</v>
      </c>
      <c r="M5" s="79">
        <f t="shared" ref="M5:O5" si="10">M127</f>
        <v>187500600</v>
      </c>
      <c r="N5" s="79">
        <f t="shared" si="10"/>
        <v>149457000</v>
      </c>
      <c r="O5" s="79">
        <f t="shared" si="10"/>
        <v>163044000</v>
      </c>
    </row>
    <row r="6" spans="1:15" ht="15" customHeight="1" thickTop="1">
      <c r="A6" s="365">
        <v>1</v>
      </c>
      <c r="B6" s="82" t="s">
        <v>91</v>
      </c>
      <c r="C6" s="76" t="s">
        <v>175</v>
      </c>
      <c r="D6" s="78">
        <f>VLOOKUP(B7,'E&amp;W'!$A$7:$P$66,7,0)</f>
        <v>113868724</v>
      </c>
      <c r="E6" s="78">
        <f>VLOOKUP(B7,'E&amp;W'!$A$7:$P$66,9,0)</f>
        <v>116516285</v>
      </c>
      <c r="F6" s="78">
        <f>VLOOKUP(B7,'E&amp;W'!$A$7:$P$66,11,0)</f>
        <v>147131134</v>
      </c>
      <c r="G6" s="78">
        <f>VLOOKUP(B7,'E&amp;W'!$A$7:$P$66,13,0)</f>
        <v>158448914</v>
      </c>
      <c r="H6" s="78">
        <f>VLOOKUP(B7,'E&amp;W'!$A$7:$P$66,15,0)</f>
        <v>164107803</v>
      </c>
      <c r="I6" s="78">
        <f>VLOOKUP(B7,'E&amp;W'!$A$7:$AD$66,17,0)</f>
        <v>150526468</v>
      </c>
      <c r="J6" s="78">
        <f>VLOOKUP(B7,'E&amp;W'!$A$7:$AD$66,19,0)</f>
        <v>149988707</v>
      </c>
      <c r="K6" s="78">
        <f>VLOOKUP(B7,'E&amp;W'!$A$7:$AD$66,21,0)</f>
        <v>135813355</v>
      </c>
      <c r="L6" s="78">
        <f>VLOOKUP(B7,'E&amp;W'!$A$7:$AD$66,23,0)</f>
        <v>130154465</v>
      </c>
      <c r="M6" s="78">
        <f>VLOOKUP(B7,'E&amp;W'!$A$7:$AD$66,25,0)</f>
        <v>115979112</v>
      </c>
      <c r="N6" s="78">
        <f>VLOOKUP(B7,'E&amp;W'!$A$7:$AD$66,27,0)</f>
        <v>117692441</v>
      </c>
      <c r="O6" s="78">
        <f>VLOOKUP(B7,'E&amp;W'!$A$7:$AD$66,29,0)</f>
        <v>90542236</v>
      </c>
    </row>
    <row r="7" spans="1:15" ht="15" customHeight="1">
      <c r="A7" s="365"/>
      <c r="B7" s="83">
        <v>1412000004</v>
      </c>
      <c r="C7" s="84" t="s">
        <v>176</v>
      </c>
      <c r="D7" s="85">
        <f>VLOOKUP(B7,'E&amp;W'!$A$7:$P$66,8,0)</f>
        <v>29266543</v>
      </c>
      <c r="E7" s="85">
        <f>VLOOKUP(B7,'E&amp;W'!$A$7:$P$66,10,0)</f>
        <v>33532707</v>
      </c>
      <c r="F7" s="85">
        <f>VLOOKUP(B7,'E&amp;W'!$A$7:$P$66,12,0)</f>
        <v>37728231</v>
      </c>
      <c r="G7" s="85">
        <f>VLOOKUP(B7,'E&amp;W'!$A$7:$P$66,14,0)</f>
        <v>61753214</v>
      </c>
      <c r="H7" s="85">
        <f>VLOOKUP(B7,'E&amp;W'!$A$7:$P$66,16,0)</f>
        <v>59020639</v>
      </c>
      <c r="I7" s="85">
        <f>VLOOKUP(B7,'E&amp;W'!$A$7:$AD$66,18,0)</f>
        <v>61880930</v>
      </c>
      <c r="J7" s="85">
        <f>VLOOKUP(B7,'E&amp;W'!$A$7:$AD$66,20,0)</f>
        <v>50691704</v>
      </c>
      <c r="K7" s="85">
        <f>VLOOKUP(B7,'E&amp;W'!$A$7:$AD$66,22,0)</f>
        <v>70837880</v>
      </c>
      <c r="L7" s="85">
        <f>VLOOKUP(B7,'E&amp;W'!$A$7:$AD$66,24,0)</f>
        <v>70556874</v>
      </c>
      <c r="M7" s="85">
        <f>VLOOKUP(B7,'E&amp;W'!$A$7:$AD$66,26,0)</f>
        <v>48572724</v>
      </c>
      <c r="N7" s="85">
        <f>VLOOKUP(B7,'E&amp;W'!$A$7:$AD$66,28,0)</f>
        <v>40129624</v>
      </c>
      <c r="O7" s="85">
        <f>VLOOKUP(B7,'E&amp;W'!$A$7:$AD$66,30,0)</f>
        <v>42704698</v>
      </c>
    </row>
    <row r="8" spans="1:15" s="88" customFormat="1" ht="15" customHeight="1">
      <c r="A8" s="367">
        <v>2</v>
      </c>
      <c r="B8" s="86" t="s">
        <v>87</v>
      </c>
      <c r="C8" s="87" t="s">
        <v>175</v>
      </c>
      <c r="D8" s="78">
        <f>VLOOKUP(B9,'E&amp;W'!$A$7:$P$66,7,0)</f>
        <v>124845814</v>
      </c>
      <c r="E8" s="78">
        <f>VLOOKUP(B9,'E&amp;W'!$A$7:$P$66,9,0)</f>
        <v>129186697</v>
      </c>
      <c r="F8" s="78">
        <f>VLOOKUP(B9,'E&amp;W'!$A$7:$P$66,11,0)</f>
        <v>162294104</v>
      </c>
      <c r="G8" s="78">
        <f>VLOOKUP(B9,'E&amp;W'!$A$7:$P$66,13,0)</f>
        <v>174778266</v>
      </c>
      <c r="H8" s="78">
        <f>VLOOKUP(B9,'E&amp;W'!$A$7:$P$66,15,0)</f>
        <v>181020347</v>
      </c>
      <c r="I8" s="78">
        <f>VLOOKUP(B9,'E&amp;W'!$A$7:$AD$66,17,0)</f>
        <v>166039352</v>
      </c>
      <c r="J8" s="78">
        <f>VLOOKUP(B9,'E&amp;W'!$A$7:$AD$66,19,0)</f>
        <v>162311094</v>
      </c>
      <c r="K8" s="78">
        <f>VLOOKUP(B9,'E&amp;W'!$A$7:$AD$66,21,0)</f>
        <v>149809942</v>
      </c>
      <c r="L8" s="78">
        <f>VLOOKUP(B9,'E&amp;W'!$A$7:$AD$66,23,0)</f>
        <v>143567861</v>
      </c>
      <c r="M8" s="78">
        <f>VLOOKUP(B9,'E&amp;W'!$A$7:$AD$66,25,0)</f>
        <v>131066709</v>
      </c>
      <c r="N8" s="78">
        <f>VLOOKUP(B9,'E&amp;W'!$A$7:$AD$66,27,0)</f>
        <v>130314545</v>
      </c>
      <c r="O8" s="78">
        <f>VLOOKUP(B9,'E&amp;W'!$A$7:$AD$66,29,0)</f>
        <v>99873295</v>
      </c>
    </row>
    <row r="9" spans="1:15" s="88" customFormat="1" ht="15" customHeight="1">
      <c r="A9" s="367"/>
      <c r="B9" s="89">
        <v>1412000005</v>
      </c>
      <c r="C9" s="90" t="s">
        <v>176</v>
      </c>
      <c r="D9" s="85">
        <f>VLOOKUP(B9,'E&amp;W'!$A$7:$P$66,8,0)</f>
        <v>46907846</v>
      </c>
      <c r="E9" s="85">
        <f>VLOOKUP(B9,'E&amp;W'!$A$7:$P$66,10,0)</f>
        <v>49913626</v>
      </c>
      <c r="F9" s="85">
        <f>VLOOKUP(B9,'E&amp;W'!$A$7:$P$66,12,0)</f>
        <v>55068706</v>
      </c>
      <c r="G9" s="85">
        <f>VLOOKUP(B9,'E&amp;W'!$A$7:$P$66,14,0)</f>
        <v>90816597</v>
      </c>
      <c r="H9" s="85">
        <f>VLOOKUP(B9,'E&amp;W'!$A$7:$P$66,16,0)</f>
        <v>83705372</v>
      </c>
      <c r="I9" s="85">
        <f>VLOOKUP(B9,'E&amp;W'!$A$7:$AD$66,18,0)</f>
        <v>69731796</v>
      </c>
      <c r="J9" s="85">
        <f>VLOOKUP(B9,'E&amp;W'!$A$7:$AD$66,20,0)</f>
        <v>48981756</v>
      </c>
      <c r="K9" s="85">
        <f>VLOOKUP(B9,'E&amp;W'!$A$7:$AD$66,22,0)</f>
        <v>72105586</v>
      </c>
      <c r="L9" s="85">
        <f>VLOOKUP(B9,'E&amp;W'!$A$7:$AD$66,24,0)</f>
        <v>70211571</v>
      </c>
      <c r="M9" s="85">
        <f>VLOOKUP(B9,'E&amp;W'!$A$7:$AD$66,26,0)</f>
        <v>51876814</v>
      </c>
      <c r="N9" s="85">
        <f>VLOOKUP(B9,'E&amp;W'!$A$7:$AD$66,28,0)</f>
        <v>41787873</v>
      </c>
      <c r="O9" s="85">
        <f>VLOOKUP(B9,'E&amp;W'!$A$7:$AD$66,30,0)</f>
        <v>42908702</v>
      </c>
    </row>
    <row r="10" spans="1:15" ht="15" customHeight="1">
      <c r="A10" s="357">
        <v>3</v>
      </c>
      <c r="B10" s="91" t="s">
        <v>93</v>
      </c>
      <c r="C10" s="76" t="s">
        <v>175</v>
      </c>
      <c r="D10" s="78">
        <f>VLOOKUP(B11,'E&amp;W'!$A$7:$P$66,7,0)</f>
        <v>1146698</v>
      </c>
      <c r="E10" s="78">
        <f>VLOOKUP(B11,'E&amp;W'!$A$7:$P$66,9,0)</f>
        <v>1174671</v>
      </c>
      <c r="F10" s="78">
        <f>VLOOKUP(B11,'E&amp;W'!$A$7:$P$66,11,0)</f>
        <v>1472525</v>
      </c>
      <c r="G10" s="78">
        <f>VLOOKUP(B11,'E&amp;W'!$A$7:$P$66,13,0)</f>
        <v>1585796</v>
      </c>
      <c r="H10" s="78">
        <f>VLOOKUP(B11,'E&amp;W'!$A$7:$P$66,15,0)</f>
        <v>1642431</v>
      </c>
      <c r="I10" s="78">
        <f>VLOOKUP(B11,'E&amp;W'!$A$7:$AD$66,17,0)</f>
        <v>1506506</v>
      </c>
      <c r="J10" s="78">
        <f>VLOOKUP(B11,'E&amp;W'!$A$7:$AD$66,19,0)</f>
        <v>1529160</v>
      </c>
      <c r="K10" s="78">
        <f>VLOOKUP(B11,'E&amp;W'!$A$7:$AD$66,21,0)</f>
        <v>1359253</v>
      </c>
      <c r="L10" s="78">
        <f>VLOOKUP(B11,'E&amp;W'!$A$7:$AD$66,23,0)</f>
        <v>1302618</v>
      </c>
      <c r="M10" s="78">
        <f>VLOOKUP(B11,'E&amp;W'!$A$7:$AD$66,25,0)</f>
        <v>1132711</v>
      </c>
      <c r="N10" s="78">
        <f>VLOOKUP(B11,'E&amp;W'!$A$7:$AD$66,27,0)</f>
        <v>1132711</v>
      </c>
      <c r="O10" s="78">
        <f>VLOOKUP(B11,'E&amp;W'!$A$7:$AD$66,29,0)</f>
        <v>906169</v>
      </c>
    </row>
    <row r="11" spans="1:15" ht="15" customHeight="1">
      <c r="A11" s="358"/>
      <c r="B11" s="92">
        <v>1412000062</v>
      </c>
      <c r="C11" s="84" t="s">
        <v>176</v>
      </c>
      <c r="D11" s="85">
        <f>VLOOKUP(B11,'E&amp;W'!$A$7:$P$66,8,0)</f>
        <v>813767</v>
      </c>
      <c r="E11" s="85">
        <f>VLOOKUP(B11,'E&amp;W'!$A$7:$P$66,10,0)</f>
        <v>899345</v>
      </c>
      <c r="F11" s="85">
        <f>VLOOKUP(B11,'E&amp;W'!$A$7:$P$66,12,0)</f>
        <v>1015760</v>
      </c>
      <c r="G11" s="85">
        <f>VLOOKUP(B11,'E&amp;W'!$A$7:$P$66,14,0)</f>
        <v>1450579</v>
      </c>
      <c r="H11" s="85">
        <f>VLOOKUP(B11,'E&amp;W'!$A$7:$P$66,16,0)</f>
        <v>1299196</v>
      </c>
      <c r="I11" s="85">
        <f>VLOOKUP(B11,'E&amp;W'!$A$7:$AD$66,18,0)</f>
        <v>1127304</v>
      </c>
      <c r="J11" s="85">
        <f>VLOOKUP(B11,'E&amp;W'!$A$7:$AD$66,20,0)</f>
        <v>772235</v>
      </c>
      <c r="K11" s="85">
        <f>VLOOKUP(B11,'E&amp;W'!$A$7:$AD$66,22,0)</f>
        <v>1075629</v>
      </c>
      <c r="L11" s="85">
        <f>VLOOKUP(B11,'E&amp;W'!$A$7:$AD$66,24,0)</f>
        <v>1074275</v>
      </c>
      <c r="M11" s="85">
        <f>VLOOKUP(B11,'E&amp;W'!$A$7:$AD$66,26,0)</f>
        <v>728461</v>
      </c>
      <c r="N11" s="85">
        <f>VLOOKUP(B11,'E&amp;W'!$A$7:$AD$66,28,0)</f>
        <v>546247</v>
      </c>
      <c r="O11" s="85">
        <f>VLOOKUP(B11,'E&amp;W'!$A$7:$AD$66,30,0)</f>
        <v>634677</v>
      </c>
    </row>
    <row r="12" spans="1:15" ht="15" customHeight="1">
      <c r="A12" s="365">
        <v>4</v>
      </c>
      <c r="B12" s="91" t="s">
        <v>58</v>
      </c>
      <c r="C12" s="76" t="s">
        <v>175</v>
      </c>
      <c r="D12" s="78">
        <f>VLOOKUP(B13,'E&amp;W'!$A$7:$P$66,7,0)</f>
        <v>9450856</v>
      </c>
      <c r="E12" s="78">
        <f>VLOOKUP(B13,'E&amp;W'!$A$7:$P$66,9,0)</f>
        <v>9681403</v>
      </c>
      <c r="F12" s="78">
        <f>VLOOKUP(B13,'E&amp;W'!$A$7:$P$66,11,0)</f>
        <v>12136256</v>
      </c>
      <c r="G12" s="78">
        <f>VLOOKUP(B13,'E&amp;W'!$A$7:$P$66,13,0)</f>
        <v>13069814</v>
      </c>
      <c r="H12" s="78">
        <f>VLOOKUP(B13,'E&amp;W'!$A$7:$P$66,15,0)</f>
        <v>13536593</v>
      </c>
      <c r="I12" s="78">
        <f>VLOOKUP(B13,'E&amp;W'!$A$7:$AD$66,17,0)</f>
        <v>12416324</v>
      </c>
      <c r="J12" s="78">
        <f>VLOOKUP(B13,'E&amp;W'!$A$7:$AD$66,19,0)</f>
        <v>12603035</v>
      </c>
      <c r="K12" s="78">
        <f>VLOOKUP(B13,'E&amp;W'!$A$7:$AD$66,21,0)</f>
        <v>11202698</v>
      </c>
      <c r="L12" s="78">
        <f>VLOOKUP(B13,'E&amp;W'!$A$7:$AD$66,23,0)</f>
        <v>10735919</v>
      </c>
      <c r="M12" s="78">
        <f>VLOOKUP(B13,'E&amp;W'!$A$7:$AD$66,25,0)</f>
        <v>9335582</v>
      </c>
      <c r="N12" s="78">
        <f>VLOOKUP(B13,'E&amp;W'!$A$7:$AD$66,27,0)</f>
        <v>9335582</v>
      </c>
      <c r="O12" s="78">
        <f>VLOOKUP(B13,'E&amp;W'!$A$7:$AD$66,29,0)</f>
        <v>7468465</v>
      </c>
    </row>
    <row r="13" spans="1:15" ht="15" customHeight="1">
      <c r="A13" s="365"/>
      <c r="B13" s="92">
        <v>1412000066</v>
      </c>
      <c r="C13" s="84" t="s">
        <v>176</v>
      </c>
      <c r="D13" s="85">
        <f>VLOOKUP(B13,'E&amp;W'!$A$7:$P$66,8,0)</f>
        <v>0</v>
      </c>
      <c r="E13" s="85">
        <f>VLOOKUP(B13,'E&amp;W'!$A$7:$P$66,10,0)</f>
        <v>0</v>
      </c>
      <c r="F13" s="85">
        <f>VLOOKUP(B13,'E&amp;W'!$A$7:$P$66,12,0)</f>
        <v>0</v>
      </c>
      <c r="G13" s="85">
        <f>VLOOKUP(B13,'E&amp;W'!$A$7:$P$66,14,0)</f>
        <v>0</v>
      </c>
      <c r="H13" s="85">
        <f>VLOOKUP(B13,'E&amp;W'!$A$7:$P$66,16,0)</f>
        <v>0</v>
      </c>
      <c r="I13" s="85">
        <f>VLOOKUP(B13,'E&amp;W'!$A$7:$AD$66,18,0)</f>
        <v>0</v>
      </c>
      <c r="J13" s="85">
        <f>VLOOKUP(B13,'E&amp;W'!$A$7:$AD$66,20,0)</f>
        <v>0</v>
      </c>
      <c r="K13" s="85">
        <f>VLOOKUP(B13,'E&amp;W'!$A$7:$AD$66,22,0)</f>
        <v>0</v>
      </c>
      <c r="L13" s="85">
        <f>VLOOKUP(B13,'E&amp;W'!$A$7:$AD$66,24,0)</f>
        <v>0</v>
      </c>
      <c r="M13" s="85">
        <f>VLOOKUP(B13,'E&amp;W'!$A$7:$AD$66,26,0)</f>
        <v>0</v>
      </c>
      <c r="N13" s="85">
        <f>VLOOKUP(B13,'E&amp;W'!$A$7:$AD$66,28,0)</f>
        <v>0</v>
      </c>
      <c r="O13" s="85">
        <f>VLOOKUP(B13,'E&amp;W'!$A$7:$AD$66,30,0)</f>
        <v>0</v>
      </c>
    </row>
    <row r="14" spans="1:15" ht="15" customHeight="1">
      <c r="A14" s="357">
        <v>5</v>
      </c>
      <c r="B14" s="91" t="s">
        <v>89</v>
      </c>
      <c r="C14" s="76" t="s">
        <v>175</v>
      </c>
      <c r="D14" s="78">
        <f>VLOOKUP(B15,'E&amp;W'!$A$7:$P$66,7,0)</f>
        <v>337577294</v>
      </c>
      <c r="E14" s="78">
        <f>VLOOKUP(B15,'E&amp;W'!$A$7:$P$66,9,0)</f>
        <v>345812776</v>
      </c>
      <c r="F14" s="78">
        <f>VLOOKUP(B15,'E&amp;W'!$A$7:$P$66,11,0)</f>
        <v>433498485</v>
      </c>
      <c r="G14" s="78">
        <f>VLOOKUP(B15,'E&amp;W'!$A$7:$P$66,13,0)</f>
        <v>466844523</v>
      </c>
      <c r="H14" s="78">
        <f>VLOOKUP(B15,'E&amp;W'!$A$7:$P$66,15,0)</f>
        <v>483517541</v>
      </c>
      <c r="I14" s="78">
        <f>VLOOKUP(B15,'E&amp;W'!$A$7:$AD$66,17,0)</f>
        <v>443502297</v>
      </c>
      <c r="J14" s="78">
        <f>VLOOKUP(B15,'E&amp;W'!$A$7:$AD$66,19,0)</f>
        <v>450169147</v>
      </c>
      <c r="K14" s="78">
        <f>VLOOKUP(B15,'E&amp;W'!$A$7:$AD$66,21,0)</f>
        <v>400152448</v>
      </c>
      <c r="L14" s="78">
        <f>VLOOKUP(B15,'E&amp;W'!$A$7:$AD$66,23,0)</f>
        <v>383479429</v>
      </c>
      <c r="M14" s="78">
        <f>VLOOKUP(B15,'E&amp;W'!$A$7:$AD$66,25,0)</f>
        <v>333462730</v>
      </c>
      <c r="N14" s="78">
        <f>VLOOKUP(B15,'E&amp;W'!$A$7:$AD$66,27,0)</f>
        <v>333462445</v>
      </c>
      <c r="O14" s="78">
        <f>VLOOKUP(B15,'E&amp;W'!$A$7:$AD$66,29,0)</f>
        <v>266768299</v>
      </c>
    </row>
    <row r="15" spans="1:15" ht="15" customHeight="1">
      <c r="A15" s="358"/>
      <c r="B15" s="92">
        <v>1412000081</v>
      </c>
      <c r="C15" s="84" t="s">
        <v>176</v>
      </c>
      <c r="D15" s="85">
        <f>VLOOKUP(B15,'E&amp;W'!$A$7:$P$66,8,0)</f>
        <v>32114727</v>
      </c>
      <c r="E15" s="85">
        <f>VLOOKUP(B15,'E&amp;W'!$A$7:$P$66,10,0)</f>
        <v>34721126</v>
      </c>
      <c r="F15" s="85">
        <f>VLOOKUP(B15,'E&amp;W'!$A$7:$P$66,12,0)</f>
        <v>35769265</v>
      </c>
      <c r="G15" s="85">
        <f>VLOOKUP(B15,'E&amp;W'!$A$7:$P$66,14,0)</f>
        <v>57194252</v>
      </c>
      <c r="H15" s="85">
        <f>VLOOKUP(B15,'E&amp;W'!$A$7:$P$66,16,0)</f>
        <v>53267055</v>
      </c>
      <c r="I15" s="85">
        <f>VLOOKUP(B15,'E&amp;W'!$A$7:$AD$66,18,0)</f>
        <v>46702589</v>
      </c>
      <c r="J15" s="85">
        <f>VLOOKUP(B15,'E&amp;W'!$A$7:$AD$66,20,0)</f>
        <v>31909849</v>
      </c>
      <c r="K15" s="85">
        <f>VLOOKUP(B15,'E&amp;W'!$A$7:$AD$66,22,0)</f>
        <v>44484959</v>
      </c>
      <c r="L15" s="85">
        <f>VLOOKUP(B15,'E&amp;W'!$A$7:$AD$66,24,0)</f>
        <v>44160393</v>
      </c>
      <c r="M15" s="85">
        <f>VLOOKUP(B15,'E&amp;W'!$A$7:$AD$66,26,0)</f>
        <v>31063649</v>
      </c>
      <c r="N15" s="85">
        <f>VLOOKUP(B15,'E&amp;W'!$A$7:$AD$66,28,0)</f>
        <v>24717663</v>
      </c>
      <c r="O15" s="85">
        <f>VLOOKUP(B15,'E&amp;W'!$A$7:$AD$66,30,0)</f>
        <v>27699120</v>
      </c>
    </row>
    <row r="16" spans="1:15" ht="15" customHeight="1">
      <c r="A16" s="365">
        <v>6</v>
      </c>
      <c r="B16" s="93" t="s">
        <v>125</v>
      </c>
      <c r="C16" s="94" t="s">
        <v>175</v>
      </c>
      <c r="D16" s="95">
        <f>VLOOKUP(B17,'E&amp;W'!$A$7:$P$66,7,0)</f>
        <v>11934652</v>
      </c>
      <c r="E16" s="95">
        <f>VLOOKUP(B17,'E&amp;W'!$A$7:$P$66,9,0)</f>
        <v>12349961</v>
      </c>
      <c r="F16" s="95">
        <f>VLOOKUP(B17,'E&amp;W'!$A$7:$P$66,11,0)</f>
        <v>15515048</v>
      </c>
      <c r="G16" s="95">
        <f>VLOOKUP(B17,'E&amp;W'!$A$7:$P$66,13,0)</f>
        <v>16708513</v>
      </c>
      <c r="H16" s="95">
        <f>VLOOKUP(B17,'E&amp;W'!$A$7:$P$66,15,0)</f>
        <v>17305245</v>
      </c>
      <c r="I16" s="95">
        <f>VLOOKUP(B17,'E&amp;W'!$A$7:$AD$66,17,0)</f>
        <v>15873087</v>
      </c>
      <c r="J16" s="95">
        <f>VLOOKUP(B17,'E&amp;W'!$A$7:$AD$66,19,0)</f>
        <v>15515048</v>
      </c>
      <c r="K16" s="95">
        <f>VLOOKUP(B17,'E&amp;W'!$A$7:$AD$66,21,0)</f>
        <v>14321582</v>
      </c>
      <c r="L16" s="95">
        <f>VLOOKUP(B17,'E&amp;W'!$A$7:$AD$66,23,0)</f>
        <v>13724850</v>
      </c>
      <c r="M16" s="95">
        <f>VLOOKUP(B17,'E&amp;W'!$A$7:$AD$66,25,0)</f>
        <v>12531385</v>
      </c>
      <c r="N16" s="95">
        <f>VLOOKUP(B17,'E&amp;W'!$A$7:$AD$66,27,0)</f>
        <v>12459283</v>
      </c>
      <c r="O16" s="95">
        <f>VLOOKUP(B17,'E&amp;W'!$A$7:$AD$66,29,0)</f>
        <v>9547722</v>
      </c>
    </row>
    <row r="17" spans="1:15" ht="15" customHeight="1">
      <c r="A17" s="365"/>
      <c r="B17" s="96">
        <v>1412000098</v>
      </c>
      <c r="C17" s="97" t="s">
        <v>176</v>
      </c>
      <c r="D17" s="98">
        <f>VLOOKUP(B17,'E&amp;W'!$A$7:$P$66,8,0)</f>
        <v>900956</v>
      </c>
      <c r="E17" s="98">
        <f>VLOOKUP(B17,'E&amp;W'!$A$7:$P$66,10,0)</f>
        <v>995703</v>
      </c>
      <c r="F17" s="98">
        <f>VLOOKUP(B17,'E&amp;W'!$A$7:$P$66,12,0)</f>
        <v>1124591</v>
      </c>
      <c r="G17" s="98">
        <f>VLOOKUP(B17,'E&amp;W'!$A$7:$P$66,14,0)</f>
        <v>2383094</v>
      </c>
      <c r="H17" s="98">
        <f>VLOOKUP(B17,'E&amp;W'!$A$7:$P$66,16,0)</f>
        <v>2134394</v>
      </c>
      <c r="I17" s="98">
        <f>VLOOKUP(B17,'E&amp;W'!$A$7:$AD$66,18,0)</f>
        <v>1851999</v>
      </c>
      <c r="J17" s="98">
        <f>VLOOKUP(B17,'E&amp;W'!$A$7:$AD$66,20,0)</f>
        <v>1296251</v>
      </c>
      <c r="K17" s="98">
        <f>VLOOKUP(B17,'E&amp;W'!$A$7:$AD$66,22,0)</f>
        <v>1805521</v>
      </c>
      <c r="L17" s="98">
        <f>VLOOKUP(B17,'E&amp;W'!$A$7:$AD$66,24,0)</f>
        <v>1803248</v>
      </c>
      <c r="M17" s="98">
        <f>VLOOKUP(B17,'E&amp;W'!$A$7:$AD$66,26,0)</f>
        <v>1560987</v>
      </c>
      <c r="N17" s="98">
        <f>VLOOKUP(B17,'E&amp;W'!$A$7:$AD$66,28,0)</f>
        <v>1170529</v>
      </c>
      <c r="O17" s="98">
        <f>VLOOKUP(B17,'E&amp;W'!$A$7:$AD$66,30,0)</f>
        <v>1360022</v>
      </c>
    </row>
    <row r="18" spans="1:15" ht="15" customHeight="1">
      <c r="A18" s="357">
        <v>7</v>
      </c>
      <c r="B18" s="91" t="s">
        <v>142</v>
      </c>
      <c r="C18" s="76" t="s">
        <v>175</v>
      </c>
      <c r="D18" s="78">
        <f>VLOOKUP(B19,'E&amp;W'!$A$7:$P$66,7,0)</f>
        <v>146844629</v>
      </c>
      <c r="E18" s="78">
        <f>VLOOKUP(B19,'E&amp;W'!$A$7:$P$66,9,0)</f>
        <v>148598320</v>
      </c>
      <c r="F18" s="78">
        <f>VLOOKUP(B19,'E&amp;W'!$A$7:$P$66,11,0)</f>
        <v>188618219</v>
      </c>
      <c r="G18" s="78">
        <f>VLOOKUP(B19,'E&amp;W'!$A$7:$P$66,13,0)</f>
        <v>203127312</v>
      </c>
      <c r="H18" s="78">
        <f>VLOOKUP(B19,'E&amp;W'!$A$7:$P$66,15,0)</f>
        <v>210381859</v>
      </c>
      <c r="I18" s="78">
        <f>VLOOKUP(B19,'E&amp;W'!$A$7:$AD$66,17,0)</f>
        <v>192970947</v>
      </c>
      <c r="J18" s="78">
        <f>VLOOKUP(B19,'E&amp;W'!$A$7:$AD$66,19,0)</f>
        <v>195872765</v>
      </c>
      <c r="K18" s="78">
        <f>VLOOKUP(B19,'E&amp;W'!$A$7:$AD$66,21,0)</f>
        <v>174109125</v>
      </c>
      <c r="L18" s="78">
        <f>VLOOKUP(B19,'E&amp;W'!$A$7:$AD$66,23,0)</f>
        <v>166854578</v>
      </c>
      <c r="M18" s="78">
        <f>VLOOKUP(B19,'E&amp;W'!$A$7:$AD$66,25,0)</f>
        <v>145090937</v>
      </c>
      <c r="N18" s="78">
        <f>VLOOKUP(B19,'E&amp;W'!$A$7:$AD$66,27,0)</f>
        <v>150352011</v>
      </c>
      <c r="O18" s="78">
        <f>VLOOKUP(B19,'E&amp;W'!$A$7:$AD$66,29,0)</f>
        <v>116072750</v>
      </c>
    </row>
    <row r="19" spans="1:15" ht="15" customHeight="1">
      <c r="A19" s="358"/>
      <c r="B19" s="92">
        <v>1412000034</v>
      </c>
      <c r="C19" s="84" t="s">
        <v>176</v>
      </c>
      <c r="D19" s="85">
        <f>VLOOKUP(B19,'E&amp;W'!$A$7:$P$66,8,0)</f>
        <v>9300193</v>
      </c>
      <c r="E19" s="85">
        <f>VLOOKUP(B19,'E&amp;W'!$A$7:$P$66,10,0)</f>
        <v>10278224</v>
      </c>
      <c r="F19" s="85">
        <f>VLOOKUP(B19,'E&amp;W'!$A$7:$P$66,12,0)</f>
        <v>11644964</v>
      </c>
      <c r="G19" s="85">
        <f>VLOOKUP(B19,'E&amp;W'!$A$7:$P$66,14,0)</f>
        <v>16629850</v>
      </c>
      <c r="H19" s="85">
        <f>VLOOKUP(B19,'E&amp;W'!$A$7:$P$66,16,0)</f>
        <v>15265558</v>
      </c>
      <c r="I19" s="85">
        <f>VLOOKUP(B19,'E&amp;W'!$A$7:$AD$66,18,0)</f>
        <v>13567907</v>
      </c>
      <c r="J19" s="85">
        <f>VLOOKUP(B19,'E&amp;W'!$A$7:$AD$66,20,0)</f>
        <v>9294398</v>
      </c>
      <c r="K19" s="85">
        <f>VLOOKUP(B19,'E&amp;W'!$A$7:$AD$66,22,0)</f>
        <v>12945968</v>
      </c>
      <c r="L19" s="85">
        <f>VLOOKUP(B19,'E&amp;W'!$A$7:$AD$66,24,0)</f>
        <v>12929672</v>
      </c>
      <c r="M19" s="85">
        <f>VLOOKUP(B19,'E&amp;W'!$A$7:$AD$66,26,0)</f>
        <v>8767546</v>
      </c>
      <c r="N19" s="85">
        <f>VLOOKUP(B19,'E&amp;W'!$A$7:$AD$66,28,0)</f>
        <v>6769557</v>
      </c>
      <c r="O19" s="85">
        <f>VLOOKUP(B19,'E&amp;W'!$A$7:$AD$66,30,0)</f>
        <v>7865462</v>
      </c>
    </row>
    <row r="20" spans="1:15" ht="15" customHeight="1">
      <c r="A20" s="365">
        <v>8</v>
      </c>
      <c r="B20" s="91" t="s">
        <v>31</v>
      </c>
      <c r="C20" s="76" t="s">
        <v>175</v>
      </c>
      <c r="D20" s="78">
        <f>VLOOKUP(B21,'E&amp;W'!$A$7:$P$66,7,0)</f>
        <v>1583866</v>
      </c>
      <c r="E20" s="78">
        <f>VLOOKUP(B21,'E&amp;W'!$A$7:$P$66,9,0)</f>
        <v>1602781</v>
      </c>
      <c r="F20" s="78">
        <f>VLOOKUP(B21,'E&amp;W'!$A$7:$P$66,11,0)</f>
        <v>2034435</v>
      </c>
      <c r="G20" s="78">
        <f>VLOOKUP(B21,'E&amp;W'!$A$7:$P$66,13,0)</f>
        <v>2190930</v>
      </c>
      <c r="H20" s="78">
        <f>VLOOKUP(B21,'E&amp;W'!$A$7:$P$66,15,0)</f>
        <v>2269178</v>
      </c>
      <c r="I20" s="78">
        <f>VLOOKUP(B21,'E&amp;W'!$A$7:$AD$66,17,0)</f>
        <v>2081384</v>
      </c>
      <c r="J20" s="78">
        <f>VLOOKUP(B21,'E&amp;W'!$A$7:$AD$66,19,0)</f>
        <v>2112683</v>
      </c>
      <c r="K20" s="78">
        <f>VLOOKUP(B21,'E&amp;W'!$A$7:$AD$66,21,0)</f>
        <v>1877940</v>
      </c>
      <c r="L20" s="78">
        <f>VLOOKUP(B21,'E&amp;W'!$A$7:$AD$66,23,0)</f>
        <v>1799693</v>
      </c>
      <c r="M20" s="78">
        <f>VLOOKUP(B21,'E&amp;W'!$A$7:$AD$66,25,0)</f>
        <v>1564950</v>
      </c>
      <c r="N20" s="78">
        <f>VLOOKUP(B21,'E&amp;W'!$A$7:$AD$66,27,0)</f>
        <v>1621696</v>
      </c>
      <c r="O20" s="78">
        <f>VLOOKUP(B21,'E&amp;W'!$A$7:$AD$66,29,0)</f>
        <v>1251960</v>
      </c>
    </row>
    <row r="21" spans="1:15" ht="15" customHeight="1">
      <c r="A21" s="365"/>
      <c r="B21" s="92">
        <v>1412000048</v>
      </c>
      <c r="C21" s="84" t="s">
        <v>176</v>
      </c>
      <c r="D21" s="85">
        <f>VLOOKUP(B21,'E&amp;W'!$A$7:$P$66,8,0)</f>
        <v>697514</v>
      </c>
      <c r="E21" s="85">
        <f>VLOOKUP(B21,'E&amp;W'!$A$7:$P$66,10,0)</f>
        <v>770867</v>
      </c>
      <c r="F21" s="85">
        <f>VLOOKUP(B21,'E&amp;W'!$A$7:$P$66,12,0)</f>
        <v>906929</v>
      </c>
      <c r="G21" s="85">
        <f>VLOOKUP(B21,'E&amp;W'!$A$7:$P$66,14,0)</f>
        <v>1295160</v>
      </c>
      <c r="H21" s="85">
        <f>VLOOKUP(B21,'E&amp;W'!$A$7:$P$66,16,0)</f>
        <v>1159997</v>
      </c>
      <c r="I21" s="85">
        <f>VLOOKUP(B21,'E&amp;W'!$A$7:$AD$66,18,0)</f>
        <v>1006521</v>
      </c>
      <c r="J21" s="85">
        <f>VLOOKUP(B21,'E&amp;W'!$A$7:$AD$66,20,0)</f>
        <v>689495</v>
      </c>
      <c r="K21" s="85">
        <f>VLOOKUP(B21,'E&amp;W'!$A$7:$AD$66,22,0)</f>
        <v>960383</v>
      </c>
      <c r="L21" s="85">
        <f>VLOOKUP(B21,'E&amp;W'!$A$7:$AD$66,24,0)</f>
        <v>959174</v>
      </c>
      <c r="M21" s="85">
        <f>VLOOKUP(B21,'E&amp;W'!$A$7:$AD$66,26,0)</f>
        <v>650411</v>
      </c>
      <c r="N21" s="85">
        <f>VLOOKUP(B21,'E&amp;W'!$A$7:$AD$66,28,0)</f>
        <v>487720</v>
      </c>
      <c r="O21" s="85">
        <f>VLOOKUP(B21,'E&amp;W'!$A$7:$AD$66,30,0)</f>
        <v>566676</v>
      </c>
    </row>
    <row r="22" spans="1:15" ht="15" customHeight="1">
      <c r="A22" s="357">
        <v>9</v>
      </c>
      <c r="B22" s="91" t="s">
        <v>147</v>
      </c>
      <c r="C22" s="76" t="s">
        <v>175</v>
      </c>
      <c r="D22" s="78">
        <f>VLOOKUP(B23,'E&amp;W'!$A$7:$P$66,7,0)</f>
        <v>1111650</v>
      </c>
      <c r="E22" s="78">
        <f>VLOOKUP(B23,'E&amp;W'!$A$7:$P$66,9,0)</f>
        <v>1124926</v>
      </c>
      <c r="F22" s="78">
        <f>VLOOKUP(B23,'E&amp;W'!$A$7:$P$66,11,0)</f>
        <v>1427886</v>
      </c>
      <c r="G22" s="78">
        <f>VLOOKUP(B23,'E&amp;W'!$A$7:$P$66,13,0)</f>
        <v>1537724</v>
      </c>
      <c r="H22" s="78">
        <f>VLOOKUP(B23,'E&amp;W'!$A$7:$P$66,15,0)</f>
        <v>1592642</v>
      </c>
      <c r="I22" s="78">
        <f>VLOOKUP(B23,'E&amp;W'!$A$7:$AD$66,17,0)</f>
        <v>1460838</v>
      </c>
      <c r="J22" s="78">
        <f>VLOOKUP(B23,'E&amp;W'!$A$7:$AD$66,19,0)</f>
        <v>1482805</v>
      </c>
      <c r="K22" s="78">
        <f>VLOOKUP(B23,'E&amp;W'!$A$7:$AD$66,21,0)</f>
        <v>1318049</v>
      </c>
      <c r="L22" s="78">
        <f>VLOOKUP(B23,'E&amp;W'!$A$7:$AD$66,23,0)</f>
        <v>1263130</v>
      </c>
      <c r="M22" s="78">
        <f>VLOOKUP(B23,'E&amp;W'!$A$7:$AD$66,25,0)</f>
        <v>1098374</v>
      </c>
      <c r="N22" s="78">
        <f>VLOOKUP(B23,'E&amp;W'!$A$7:$AD$66,27,0)</f>
        <v>1138202</v>
      </c>
      <c r="O22" s="78">
        <f>VLOOKUP(B23,'E&amp;W'!$A$7:$AD$66,29,0)</f>
        <v>878699</v>
      </c>
    </row>
    <row r="23" spans="1:15" ht="15" customHeight="1">
      <c r="A23" s="358"/>
      <c r="B23" s="92">
        <v>1412000055</v>
      </c>
      <c r="C23" s="84" t="s">
        <v>176</v>
      </c>
      <c r="D23" s="85">
        <f>VLOOKUP(B23,'E&amp;W'!$A$7:$P$66,8,0)</f>
        <v>726578</v>
      </c>
      <c r="E23" s="85">
        <f>VLOOKUP(B23,'E&amp;W'!$A$7:$P$66,10,0)</f>
        <v>802986</v>
      </c>
      <c r="F23" s="85">
        <f>VLOOKUP(B23,'E&amp;W'!$A$7:$P$66,12,0)</f>
        <v>906929</v>
      </c>
      <c r="G23" s="85">
        <f>VLOOKUP(B23,'E&amp;W'!$A$7:$P$66,14,0)</f>
        <v>1243353</v>
      </c>
      <c r="H23" s="85">
        <f>VLOOKUP(B23,'E&amp;W'!$A$7:$P$66,16,0)</f>
        <v>1159997</v>
      </c>
      <c r="I23" s="85">
        <f>VLOOKUP(B23,'E&amp;W'!$A$7:$AD$66,18,0)</f>
        <v>1087043</v>
      </c>
      <c r="J23" s="85">
        <f>VLOOKUP(B23,'E&amp;W'!$A$7:$AD$66,20,0)</f>
        <v>744655</v>
      </c>
      <c r="K23" s="85">
        <f>VLOOKUP(B23,'E&amp;W'!$A$7:$AD$66,22,0)</f>
        <v>1037214</v>
      </c>
      <c r="L23" s="85">
        <f>VLOOKUP(B23,'E&amp;W'!$A$7:$AD$66,24,0)</f>
        <v>1074275</v>
      </c>
      <c r="M23" s="85">
        <f>VLOOKUP(B23,'E&amp;W'!$A$7:$AD$66,26,0)</f>
        <v>728461</v>
      </c>
      <c r="N23" s="85">
        <f>VLOOKUP(B23,'E&amp;W'!$A$7:$AD$66,28,0)</f>
        <v>546247</v>
      </c>
      <c r="O23" s="85">
        <f>VLOOKUP(B23,'E&amp;W'!$A$7:$AD$66,30,0)</f>
        <v>680011</v>
      </c>
    </row>
    <row r="24" spans="1:15" ht="15" customHeight="1">
      <c r="A24" s="365">
        <v>10</v>
      </c>
      <c r="B24" s="91" t="s">
        <v>98</v>
      </c>
      <c r="C24" s="76" t="s">
        <v>175</v>
      </c>
      <c r="D24" s="78">
        <f>VLOOKUP(B25,'E&amp;W'!$A$7:$P$66,7,0)</f>
        <v>84787</v>
      </c>
      <c r="E24" s="78">
        <f>VLOOKUP(B25,'E&amp;W'!$A$7:$P$66,9,0)</f>
        <v>85799</v>
      </c>
      <c r="F24" s="78">
        <f>VLOOKUP(B25,'E&amp;W'!$A$7:$P$66,11,0)</f>
        <v>108907</v>
      </c>
      <c r="G24" s="78">
        <f>VLOOKUP(B25,'E&amp;W'!$A$7:$P$66,13,0)</f>
        <v>117284</v>
      </c>
      <c r="H24" s="78">
        <f>VLOOKUP(B25,'E&amp;W'!$A$7:$P$66,15,0)</f>
        <v>121473</v>
      </c>
      <c r="I24" s="78">
        <f>VLOOKUP(B25,'E&amp;W'!$A$7:$AD$66,17,0)</f>
        <v>111420</v>
      </c>
      <c r="J24" s="78">
        <f>VLOOKUP(B25,'E&amp;W'!$A$7:$AD$66,19,0)</f>
        <v>113095</v>
      </c>
      <c r="K24" s="78">
        <f>VLOOKUP(B25,'E&amp;W'!$A$7:$AD$66,21,0)</f>
        <v>100529</v>
      </c>
      <c r="L24" s="78">
        <f>VLOOKUP(B25,'E&amp;W'!$A$7:$AD$66,23,0)</f>
        <v>96340</v>
      </c>
      <c r="M24" s="78">
        <f>VLOOKUP(B25,'E&amp;W'!$A$7:$AD$66,25,0)</f>
        <v>83774</v>
      </c>
      <c r="N24" s="78">
        <f>VLOOKUP(B25,'E&amp;W'!$A$7:$AD$66,27,0)</f>
        <v>86812</v>
      </c>
      <c r="O24" s="78">
        <f>VLOOKUP(B25,'E&amp;W'!$A$7:$AD$66,29,0)</f>
        <v>67019</v>
      </c>
    </row>
    <row r="25" spans="1:15" ht="15" customHeight="1">
      <c r="A25" s="365"/>
      <c r="B25" s="92">
        <v>1412000063</v>
      </c>
      <c r="C25" s="84" t="s">
        <v>176</v>
      </c>
      <c r="D25" s="85">
        <f>VLOOKUP(B25,'E&amp;W'!$A$7:$P$66,8,0)</f>
        <v>377820</v>
      </c>
      <c r="E25" s="85">
        <f>VLOOKUP(B25,'E&amp;W'!$A$7:$P$66,10,0)</f>
        <v>385433</v>
      </c>
      <c r="F25" s="85">
        <f>VLOOKUP(B25,'E&amp;W'!$A$7:$P$66,12,0)</f>
        <v>326494</v>
      </c>
      <c r="G25" s="85">
        <f>VLOOKUP(B25,'E&amp;W'!$A$7:$P$66,14,0)</f>
        <v>466257</v>
      </c>
      <c r="H25" s="85">
        <f>VLOOKUP(B25,'E&amp;W'!$A$7:$P$66,16,0)</f>
        <v>417599</v>
      </c>
      <c r="I25" s="85">
        <f>VLOOKUP(B25,'E&amp;W'!$A$7:$AD$66,18,0)</f>
        <v>362348</v>
      </c>
      <c r="J25" s="85">
        <f>VLOOKUP(B25,'E&amp;W'!$A$7:$AD$66,20,0)</f>
        <v>248218</v>
      </c>
      <c r="K25" s="85">
        <f>VLOOKUP(B25,'E&amp;W'!$A$7:$AD$66,22,0)</f>
        <v>345738</v>
      </c>
      <c r="L25" s="85">
        <f>VLOOKUP(B25,'E&amp;W'!$A$7:$AD$66,24,0)</f>
        <v>306936</v>
      </c>
      <c r="M25" s="85">
        <f>VLOOKUP(B25,'E&amp;W'!$A$7:$AD$66,26,0)</f>
        <v>208132</v>
      </c>
      <c r="N25" s="85">
        <f>VLOOKUP(B25,'E&amp;W'!$A$7:$AD$66,28,0)</f>
        <v>156070</v>
      </c>
      <c r="O25" s="85">
        <f>VLOOKUP(B25,'E&amp;W'!$A$7:$AD$66,30,0)</f>
        <v>181336</v>
      </c>
    </row>
    <row r="26" spans="1:15" ht="15" customHeight="1">
      <c r="A26" s="357">
        <v>11</v>
      </c>
      <c r="B26" s="91" t="s">
        <v>146</v>
      </c>
      <c r="C26" s="76" t="s">
        <v>175</v>
      </c>
      <c r="D26" s="78">
        <f>VLOOKUP(B27,'E&amp;W'!$A$7:$P$66,7,0)</f>
        <v>84002483</v>
      </c>
      <c r="E26" s="78">
        <f>VLOOKUP(B27,'E&amp;W'!$A$7:$P$66,9,0)</f>
        <v>86925654</v>
      </c>
      <c r="F26" s="78">
        <f>VLOOKUP(B27,'E&amp;W'!$A$7:$P$66,11,0)</f>
        <v>109203228</v>
      </c>
      <c r="G26" s="78">
        <f>VLOOKUP(B27,'E&amp;W'!$A$7:$P$66,13,0)</f>
        <v>117603476</v>
      </c>
      <c r="H26" s="78">
        <f>VLOOKUP(B27,'E&amp;W'!$A$7:$P$66,15,0)</f>
        <v>121803600</v>
      </c>
      <c r="I26" s="78">
        <f>VLOOKUP(B27,'E&amp;W'!$A$7:$AD$66,17,0)</f>
        <v>111723302</v>
      </c>
      <c r="J26" s="78">
        <f>VLOOKUP(B27,'E&amp;W'!$A$7:$AD$66,19,0)</f>
        <v>109203228</v>
      </c>
      <c r="K26" s="78">
        <f>VLOOKUP(B27,'E&amp;W'!$A$7:$AD$66,21,0)</f>
        <v>100802980</v>
      </c>
      <c r="L26" s="78">
        <f>VLOOKUP(B27,'E&amp;W'!$A$7:$AD$66,23,0)</f>
        <v>96602855</v>
      </c>
      <c r="M26" s="78">
        <f>VLOOKUP(B27,'E&amp;W'!$A$7:$AD$66,25,0)</f>
        <v>88202607</v>
      </c>
      <c r="N26" s="78">
        <f>VLOOKUP(B27,'E&amp;W'!$A$7:$AD$66,27,0)</f>
        <v>87695116</v>
      </c>
      <c r="O26" s="78">
        <f>VLOOKUP(B27,'E&amp;W'!$A$7:$AD$66,29,0)</f>
        <v>67201986</v>
      </c>
    </row>
    <row r="27" spans="1:15" ht="15" customHeight="1">
      <c r="A27" s="358"/>
      <c r="B27" s="92">
        <v>1412000044</v>
      </c>
      <c r="C27" s="84" t="s">
        <v>176</v>
      </c>
      <c r="D27" s="85">
        <f>VLOOKUP(B27,'E&amp;W'!$A$7:$P$66,8,0)</f>
        <v>988145</v>
      </c>
      <c r="E27" s="85">
        <f>VLOOKUP(B27,'E&amp;W'!$A$7:$P$66,10,0)</f>
        <v>1092061</v>
      </c>
      <c r="F27" s="85">
        <f>VLOOKUP(B27,'E&amp;W'!$A$7:$P$66,12,0)</f>
        <v>1233423</v>
      </c>
      <c r="G27" s="85">
        <f>VLOOKUP(B27,'E&amp;W'!$A$7:$P$66,14,0)</f>
        <v>1761417</v>
      </c>
      <c r="H27" s="85">
        <f>VLOOKUP(B27,'E&amp;W'!$A$7:$P$66,16,0)</f>
        <v>1577596</v>
      </c>
      <c r="I27" s="85">
        <f>VLOOKUP(B27,'E&amp;W'!$A$7:$AD$66,18,0)</f>
        <v>1368869</v>
      </c>
      <c r="J27" s="85">
        <f>VLOOKUP(B27,'E&amp;W'!$A$7:$AD$66,20,0)</f>
        <v>937714</v>
      </c>
      <c r="K27" s="85">
        <f>VLOOKUP(B27,'E&amp;W'!$A$7:$AD$66,22,0)</f>
        <v>1306121</v>
      </c>
      <c r="L27" s="85">
        <f>VLOOKUP(B27,'E&amp;W'!$A$7:$AD$66,24,0)</f>
        <v>1304477</v>
      </c>
      <c r="M27" s="85">
        <f>VLOOKUP(B27,'E&amp;W'!$A$7:$AD$66,26,0)</f>
        <v>884560</v>
      </c>
      <c r="N27" s="85">
        <f>VLOOKUP(B27,'E&amp;W'!$A$7:$AD$66,28,0)</f>
        <v>663300</v>
      </c>
      <c r="O27" s="85">
        <f>VLOOKUP(B27,'E&amp;W'!$A$7:$AD$66,30,0)</f>
        <v>770679</v>
      </c>
    </row>
    <row r="28" spans="1:15" ht="15" customHeight="1">
      <c r="A28" s="365">
        <v>12</v>
      </c>
      <c r="B28" s="91" t="s">
        <v>111</v>
      </c>
      <c r="C28" s="76" t="s">
        <v>175</v>
      </c>
      <c r="D28" s="78">
        <f>VLOOKUP(B29,'E&amp;W'!$A$7:$P$66,7,0)</f>
        <v>2418785</v>
      </c>
      <c r="E28" s="78">
        <f>VLOOKUP(B29,'E&amp;W'!$A$7:$P$66,9,0)</f>
        <v>2502955</v>
      </c>
      <c r="F28" s="78">
        <f>VLOOKUP(B29,'E&amp;W'!$A$7:$P$66,11,0)</f>
        <v>3144420</v>
      </c>
      <c r="G28" s="78">
        <f>VLOOKUP(B29,'E&amp;W'!$A$7:$P$66,13,0)</f>
        <v>3386298</v>
      </c>
      <c r="H28" s="78">
        <f>VLOOKUP(B29,'E&amp;W'!$A$7:$P$66,15,0)</f>
        <v>3507238</v>
      </c>
      <c r="I28" s="78">
        <f>VLOOKUP(B29,'E&amp;W'!$A$7:$AD$66,17,0)</f>
        <v>3216983</v>
      </c>
      <c r="J28" s="78">
        <f>VLOOKUP(B29,'E&amp;W'!$A$7:$AD$66,19,0)</f>
        <v>3144420</v>
      </c>
      <c r="K28" s="78">
        <f>VLOOKUP(B29,'E&amp;W'!$A$7:$AD$66,21,0)</f>
        <v>2902541</v>
      </c>
      <c r="L28" s="78">
        <f>VLOOKUP(B29,'E&amp;W'!$A$7:$AD$66,23,0)</f>
        <v>2781602</v>
      </c>
      <c r="M28" s="78">
        <f>VLOOKUP(B29,'E&amp;W'!$A$7:$AD$66,25,0)</f>
        <v>2539724</v>
      </c>
      <c r="N28" s="78">
        <f>VLOOKUP(B29,'E&amp;W'!$A$7:$AD$66,27,0)</f>
        <v>2525111</v>
      </c>
      <c r="O28" s="78">
        <f>VLOOKUP(B29,'E&amp;W'!$A$7:$AD$66,29,0)</f>
        <v>1935028</v>
      </c>
    </row>
    <row r="29" spans="1:15" ht="15" customHeight="1">
      <c r="A29" s="365"/>
      <c r="B29" s="92">
        <v>1412000087</v>
      </c>
      <c r="C29" s="84" t="s">
        <v>176</v>
      </c>
      <c r="D29" s="85">
        <f>VLOOKUP(B29,'E&amp;W'!$A$7:$P$66,8,0)</f>
        <v>261568</v>
      </c>
      <c r="E29" s="85">
        <f>VLOOKUP(B29,'E&amp;W'!$A$7:$P$66,10,0)</f>
        <v>289075</v>
      </c>
      <c r="F29" s="85">
        <f>VLOOKUP(B29,'E&amp;W'!$A$7:$P$66,12,0)</f>
        <v>326494</v>
      </c>
      <c r="G29" s="85">
        <f>VLOOKUP(B29,'E&amp;W'!$A$7:$P$66,14,0)</f>
        <v>466257</v>
      </c>
      <c r="H29" s="85">
        <f>VLOOKUP(B29,'E&amp;W'!$A$7:$P$66,16,0)</f>
        <v>417599</v>
      </c>
      <c r="I29" s="85">
        <f>VLOOKUP(B29,'E&amp;W'!$A$7:$AD$66,18,0)</f>
        <v>362348</v>
      </c>
      <c r="J29" s="85">
        <f>VLOOKUP(B29,'E&amp;W'!$A$7:$AD$66,20,0)</f>
        <v>248218</v>
      </c>
      <c r="K29" s="85">
        <f>VLOOKUP(B29,'E&amp;W'!$A$7:$AD$66,22,0)</f>
        <v>345738</v>
      </c>
      <c r="L29" s="85">
        <f>VLOOKUP(B29,'E&amp;W'!$A$7:$AD$66,24,0)</f>
        <v>345303</v>
      </c>
      <c r="M29" s="85">
        <f>VLOOKUP(B29,'E&amp;W'!$A$7:$AD$66,26,0)</f>
        <v>234148</v>
      </c>
      <c r="N29" s="85">
        <f>VLOOKUP(B29,'E&amp;W'!$A$7:$AD$66,28,0)</f>
        <v>175579</v>
      </c>
      <c r="O29" s="85">
        <f>VLOOKUP(B29,'E&amp;W'!$A$7:$AD$66,30,0)</f>
        <v>204003</v>
      </c>
    </row>
    <row r="30" spans="1:15" ht="15" customHeight="1">
      <c r="A30" s="357">
        <v>13</v>
      </c>
      <c r="B30" s="91" t="s">
        <v>112</v>
      </c>
      <c r="C30" s="76" t="s">
        <v>175</v>
      </c>
      <c r="D30" s="78">
        <f>VLOOKUP(B31,'E&amp;W'!$A$7:$P$66,7,0)</f>
        <v>6974374</v>
      </c>
      <c r="E30" s="78">
        <f>VLOOKUP(B31,'E&amp;W'!$A$7:$P$66,9,0)</f>
        <v>7057665</v>
      </c>
      <c r="F30" s="78">
        <f>VLOOKUP(B31,'E&amp;W'!$A$7:$P$66,11,0)</f>
        <v>8958407</v>
      </c>
      <c r="G30" s="78">
        <f>VLOOKUP(B31,'E&amp;W'!$A$7:$P$66,13,0)</f>
        <v>9647515</v>
      </c>
      <c r="H30" s="78">
        <f>VLOOKUP(B31,'E&amp;W'!$A$7:$P$66,15,0)</f>
        <v>9992070</v>
      </c>
      <c r="I30" s="78">
        <f>VLOOKUP(B31,'E&amp;W'!$A$7:$AD$66,17,0)</f>
        <v>9165140</v>
      </c>
      <c r="J30" s="78">
        <f>VLOOKUP(B31,'E&amp;W'!$A$7:$AD$66,19,0)</f>
        <v>9302961</v>
      </c>
      <c r="K30" s="78">
        <f>VLOOKUP(B31,'E&amp;W'!$A$7:$AD$66,21,0)</f>
        <v>8269299</v>
      </c>
      <c r="L30" s="78">
        <f>VLOOKUP(B31,'E&amp;W'!$A$7:$AD$66,23,0)</f>
        <v>7924745</v>
      </c>
      <c r="M30" s="78">
        <f>VLOOKUP(B31,'E&amp;W'!$A$7:$AD$66,25,0)</f>
        <v>6891082</v>
      </c>
      <c r="N30" s="78">
        <f>VLOOKUP(B31,'E&amp;W'!$A$7:$AD$66,27,0)</f>
        <v>7140957</v>
      </c>
      <c r="O30" s="78">
        <f>VLOOKUP(B31,'E&amp;W'!$A$7:$AD$66,29,0)</f>
        <v>5512866</v>
      </c>
    </row>
    <row r="31" spans="1:15" ht="15" customHeight="1">
      <c r="A31" s="358"/>
      <c r="B31" s="92">
        <v>1412000088</v>
      </c>
      <c r="C31" s="84" t="s">
        <v>176</v>
      </c>
      <c r="D31" s="85">
        <f>VLOOKUP(B31,'E&amp;W'!$A$7:$P$66,8,0)</f>
        <v>726578</v>
      </c>
      <c r="E31" s="85">
        <f>VLOOKUP(B31,'E&amp;W'!$A$7:$P$66,10,0)</f>
        <v>802986</v>
      </c>
      <c r="F31" s="85">
        <f>VLOOKUP(B31,'E&amp;W'!$A$7:$P$66,12,0)</f>
        <v>906929</v>
      </c>
      <c r="G31" s="85">
        <f>VLOOKUP(B31,'E&amp;W'!$A$7:$P$66,14,0)</f>
        <v>1295160</v>
      </c>
      <c r="H31" s="85">
        <f>VLOOKUP(B31,'E&amp;W'!$A$7:$P$66,16,0)</f>
        <v>1159997</v>
      </c>
      <c r="I31" s="85">
        <f>VLOOKUP(B31,'E&amp;W'!$A$7:$AD$66,18,0)</f>
        <v>1006521</v>
      </c>
      <c r="J31" s="85">
        <f>VLOOKUP(B31,'E&amp;W'!$A$7:$AD$66,20,0)</f>
        <v>689495</v>
      </c>
      <c r="K31" s="85">
        <f>VLOOKUP(B31,'E&amp;W'!$A$7:$AD$66,22,0)</f>
        <v>960383</v>
      </c>
      <c r="L31" s="85">
        <f>VLOOKUP(B31,'E&amp;W'!$A$7:$AD$66,24,0)</f>
        <v>959174</v>
      </c>
      <c r="M31" s="85">
        <f>VLOOKUP(B31,'E&amp;W'!$A$7:$AD$66,26,0)</f>
        <v>650411</v>
      </c>
      <c r="N31" s="85">
        <f>VLOOKUP(B31,'E&amp;W'!$A$7:$AD$66,28,0)</f>
        <v>487720</v>
      </c>
      <c r="O31" s="85">
        <f>VLOOKUP(B31,'E&amp;W'!$A$7:$AD$66,30,0)</f>
        <v>566676</v>
      </c>
    </row>
    <row r="32" spans="1:15" ht="15" customHeight="1">
      <c r="A32" s="365">
        <v>14</v>
      </c>
      <c r="B32" s="91" t="s">
        <v>148</v>
      </c>
      <c r="C32" s="76" t="s">
        <v>175</v>
      </c>
      <c r="D32" s="78">
        <f>VLOOKUP(B33,'E&amp;W'!$A$7:$P$66,7,0)</f>
        <v>559347176</v>
      </c>
      <c r="E32" s="78">
        <f>VLOOKUP(B33,'E&amp;W'!$A$7:$P$66,9,0)</f>
        <v>567557414</v>
      </c>
      <c r="F32" s="78">
        <f>VLOOKUP(B33,'E&amp;W'!$A$7:$P$66,11,0)</f>
        <v>719506755</v>
      </c>
      <c r="G32" s="78">
        <f>VLOOKUP(B33,'E&amp;W'!$A$7:$P$66,13,0)</f>
        <v>774853428</v>
      </c>
      <c r="H32" s="78">
        <f>VLOOKUP(B33,'E&amp;W'!$A$7:$P$66,15,0)</f>
        <v>802526765</v>
      </c>
      <c r="I32" s="78">
        <f>VLOOKUP(B33,'E&amp;W'!$A$7:$AD$66,17,0)</f>
        <v>736110757</v>
      </c>
      <c r="J32" s="78">
        <f>VLOOKUP(B33,'E&amp;W'!$A$7:$AD$66,19,0)</f>
        <v>743832550</v>
      </c>
      <c r="K32" s="78">
        <f>VLOOKUP(B33,'E&amp;W'!$A$7:$AD$66,21,0)</f>
        <v>664160081</v>
      </c>
      <c r="L32" s="78">
        <f>VLOOKUP(B33,'E&amp;W'!$A$7:$AD$66,23,0)</f>
        <v>636486745</v>
      </c>
      <c r="M32" s="78">
        <f>VLOOKUP(B33,'E&amp;W'!$A$7:$AD$66,25,0)</f>
        <v>556814276</v>
      </c>
      <c r="N32" s="78">
        <f>VLOOKUP(B33,'E&amp;W'!$A$7:$AD$66,27,0)</f>
        <v>574051124</v>
      </c>
      <c r="O32" s="78">
        <f>VLOOKUP(B33,'E&amp;W'!$A$7:$AD$66,29,0)</f>
        <v>442773388</v>
      </c>
    </row>
    <row r="33" spans="1:15" ht="15" customHeight="1">
      <c r="A33" s="365"/>
      <c r="B33" s="92">
        <v>1412000056</v>
      </c>
      <c r="C33" s="84" t="s">
        <v>176</v>
      </c>
      <c r="D33" s="85">
        <f>VLOOKUP(B33,'E&amp;W'!$A$7:$P$66,8,0)</f>
        <v>4126960</v>
      </c>
      <c r="E33" s="85">
        <f>VLOOKUP(B33,'E&amp;W'!$A$7:$P$66,10,0)</f>
        <v>4560962</v>
      </c>
      <c r="F33" s="85">
        <f>VLOOKUP(B33,'E&amp;W'!$A$7:$P$66,12,0)</f>
        <v>5151355</v>
      </c>
      <c r="G33" s="85">
        <f>VLOOKUP(B33,'E&amp;W'!$A$7:$P$66,14,0)</f>
        <v>7356507</v>
      </c>
      <c r="H33" s="85">
        <f>VLOOKUP(B33,'E&amp;W'!$A$7:$P$66,16,0)</f>
        <v>6588782</v>
      </c>
      <c r="I33" s="85">
        <f>VLOOKUP(B33,'E&amp;W'!$A$7:$AD$66,18,0)</f>
        <v>5717041</v>
      </c>
      <c r="J33" s="85">
        <f>VLOOKUP(B33,'E&amp;W'!$A$7:$AD$66,20,0)</f>
        <v>3916334</v>
      </c>
      <c r="K33" s="85">
        <f>VLOOKUP(B33,'E&amp;W'!$A$7:$AD$66,22,0)</f>
        <v>5454978</v>
      </c>
      <c r="L33" s="85">
        <f>VLOOKUP(B33,'E&amp;W'!$A$7:$AD$66,24,0)</f>
        <v>5448111</v>
      </c>
      <c r="M33" s="85">
        <f>VLOOKUP(B33,'E&amp;W'!$A$7:$AD$66,26,0)</f>
        <v>3694337</v>
      </c>
      <c r="N33" s="85">
        <f>VLOOKUP(B33,'E&amp;W'!$A$7:$AD$66,28,0)</f>
        <v>2770251</v>
      </c>
      <c r="O33" s="85">
        <f>VLOOKUP(B33,'E&amp;W'!$A$7:$AD$66,30,0)</f>
        <v>3218719</v>
      </c>
    </row>
    <row r="34" spans="1:15" ht="15" customHeight="1">
      <c r="A34" s="357">
        <v>15</v>
      </c>
      <c r="B34" s="91" t="s">
        <v>150</v>
      </c>
      <c r="C34" s="76" t="s">
        <v>175</v>
      </c>
      <c r="D34" s="78">
        <f>VLOOKUP(B35,'E&amp;W'!$A$7:$P$66,7,0)</f>
        <v>414518</v>
      </c>
      <c r="E34" s="78">
        <f>VLOOKUP(B35,'E&amp;W'!$A$7:$P$66,9,0)</f>
        <v>424630</v>
      </c>
      <c r="F34" s="78">
        <f>VLOOKUP(B35,'E&amp;W'!$A$7:$P$66,11,0)</f>
        <v>532301</v>
      </c>
      <c r="G34" s="78">
        <f>VLOOKUP(B35,'E&amp;W'!$A$7:$P$66,13,0)</f>
        <v>573247</v>
      </c>
      <c r="H34" s="78">
        <f>VLOOKUP(B35,'E&amp;W'!$A$7:$P$66,15,0)</f>
        <v>593720</v>
      </c>
      <c r="I34" s="78">
        <f>VLOOKUP(B35,'E&amp;W'!$A$7:$AD$66,17,0)</f>
        <v>544584</v>
      </c>
      <c r="J34" s="78">
        <f>VLOOKUP(B35,'E&amp;W'!$A$7:$AD$66,19,0)</f>
        <v>552774</v>
      </c>
      <c r="K34" s="78">
        <f>VLOOKUP(B35,'E&amp;W'!$A$7:$AD$66,21,0)</f>
        <v>491354</v>
      </c>
      <c r="L34" s="78">
        <f>VLOOKUP(B35,'E&amp;W'!$A$7:$AD$66,23,0)</f>
        <v>470881</v>
      </c>
      <c r="M34" s="78">
        <f>VLOOKUP(B35,'E&amp;W'!$A$7:$AD$66,25,0)</f>
        <v>409462</v>
      </c>
      <c r="N34" s="78">
        <f>VLOOKUP(B35,'E&amp;W'!$A$7:$AD$66,27,0)</f>
        <v>409462</v>
      </c>
      <c r="O34" s="78">
        <f>VLOOKUP(B35,'E&amp;W'!$A$7:$AD$66,29,0)</f>
        <v>327570</v>
      </c>
    </row>
    <row r="35" spans="1:15" ht="15" customHeight="1">
      <c r="A35" s="358"/>
      <c r="B35" s="99">
        <v>1412000080</v>
      </c>
      <c r="C35" s="84" t="s">
        <v>176</v>
      </c>
      <c r="D35" s="85">
        <f>VLOOKUP(B35,'E&amp;W'!$A$7:$P$66,8,0)</f>
        <v>668451</v>
      </c>
      <c r="E35" s="85">
        <f>VLOOKUP(B35,'E&amp;W'!$A$7:$P$66,10,0)</f>
        <v>738747</v>
      </c>
      <c r="F35" s="85">
        <f>VLOOKUP(B35,'E&amp;W'!$A$7:$P$66,12,0)</f>
        <v>834374</v>
      </c>
      <c r="G35" s="85">
        <f>VLOOKUP(B35,'E&amp;W'!$A$7:$P$66,14,0)</f>
        <v>1191547</v>
      </c>
      <c r="H35" s="85">
        <f>VLOOKUP(B35,'E&amp;W'!$A$7:$P$66,16,0)</f>
        <v>1159997</v>
      </c>
      <c r="I35" s="85">
        <f>VLOOKUP(B35,'E&amp;W'!$A$7:$AD$66,18,0)</f>
        <v>1006521</v>
      </c>
      <c r="J35" s="85">
        <f>VLOOKUP(B35,'E&amp;W'!$A$7:$AD$66,20,0)</f>
        <v>689495</v>
      </c>
      <c r="K35" s="85">
        <f>VLOOKUP(B35,'E&amp;W'!$A$7:$AD$66,22,0)</f>
        <v>960383</v>
      </c>
      <c r="L35" s="85">
        <f>VLOOKUP(B35,'E&amp;W'!$A$7:$AD$66,24,0)</f>
        <v>959174</v>
      </c>
      <c r="M35" s="85">
        <f>VLOOKUP(B35,'E&amp;W'!$A$7:$AD$66,26,0)</f>
        <v>650411</v>
      </c>
      <c r="N35" s="85">
        <f>VLOOKUP(B35,'E&amp;W'!$A$7:$AD$66,28,0)</f>
        <v>487720</v>
      </c>
      <c r="O35" s="85">
        <f>VLOOKUP(B35,'E&amp;W'!$A$7:$AD$66,30,0)</f>
        <v>566676</v>
      </c>
    </row>
    <row r="36" spans="1:15" ht="15" customHeight="1">
      <c r="A36" s="372">
        <v>16</v>
      </c>
      <c r="B36" s="130" t="s">
        <v>81</v>
      </c>
      <c r="C36" s="131" t="s">
        <v>175</v>
      </c>
      <c r="D36" s="251">
        <f>VLOOKUP(B37,'E&amp;W'!$A$7:$P$66,7,0)</f>
        <v>5698137</v>
      </c>
      <c r="E36" s="251">
        <f>VLOOKUP(B37,'E&amp;W'!$A$7:$P$66,9,0)</f>
        <v>5847114</v>
      </c>
      <c r="F36" s="251">
        <f>VLOOKUP(B37,'E&amp;W'!$A$7:$P$66,11,0)</f>
        <v>7337765</v>
      </c>
      <c r="G36" s="251">
        <f>VLOOKUP(B37,'E&amp;W'!$A$7:$P$66,13,0)</f>
        <v>7902209</v>
      </c>
      <c r="H36" s="251">
        <f>VLOOKUP(B37,'E&amp;W'!$A$7:$P$66,15,0)</f>
        <v>8184431</v>
      </c>
      <c r="I36" s="251">
        <f>VLOOKUP(B37,'E&amp;W'!$A$7:$AD$66,17,0)</f>
        <v>7507098</v>
      </c>
      <c r="J36" s="251">
        <f>VLOOKUP(B37,'E&amp;W'!$A$7:$AD$66,19,0)</f>
        <v>7555512</v>
      </c>
      <c r="K36" s="251">
        <f>VLOOKUP(B37,'E&amp;W'!$A$7:$AD$66,21,0)</f>
        <v>6773322</v>
      </c>
      <c r="L36" s="251">
        <f>VLOOKUP(B37,'E&amp;W'!$A$7:$AD$66,23,0)</f>
        <v>6491100</v>
      </c>
      <c r="M36" s="251">
        <f>VLOOKUP(B37,'E&amp;W'!$A$7:$AD$66,25,0)</f>
        <v>5708910</v>
      </c>
      <c r="N36" s="251">
        <f>VLOOKUP(B37,'E&amp;W'!$A$7:$AD$66,27,0)</f>
        <v>5711023</v>
      </c>
      <c r="O36" s="251">
        <f>VLOOKUP(B37,'E&amp;W'!$A$7:$AD$66,29,0)</f>
        <v>4515548</v>
      </c>
    </row>
    <row r="37" spans="1:15" ht="15" customHeight="1">
      <c r="A37" s="372"/>
      <c r="B37" s="132">
        <v>1412000053</v>
      </c>
      <c r="C37" s="133" t="s">
        <v>176</v>
      </c>
      <c r="D37" s="252">
        <f>VLOOKUP(B37,'E&amp;W'!$A$7:$P$66,8,0)</f>
        <v>5754494</v>
      </c>
      <c r="E37" s="252">
        <f>VLOOKUP(B37,'E&amp;W'!$A$7:$P$66,10,0)</f>
        <v>6359651</v>
      </c>
      <c r="F37" s="252">
        <f>VLOOKUP(B37,'E&amp;W'!$A$7:$P$66,12,0)</f>
        <v>7182875</v>
      </c>
      <c r="G37" s="252">
        <f>VLOOKUP(B37,'E&amp;W'!$A$7:$P$66,14,0)</f>
        <v>10257665</v>
      </c>
      <c r="H37" s="252">
        <f>VLOOKUP(B37,'E&amp;W'!$A$7:$P$66,16,0)</f>
        <v>9187175</v>
      </c>
      <c r="I37" s="252">
        <f>VLOOKUP(B37,'E&amp;W'!$A$7:$AD$66,18,0)</f>
        <v>7971649</v>
      </c>
      <c r="J37" s="252">
        <f>VLOOKUP(B37,'E&amp;W'!$A$7:$AD$66,20,0)</f>
        <v>5571123</v>
      </c>
      <c r="K37" s="252">
        <f>VLOOKUP(B37,'E&amp;W'!$A$7:$AD$66,22,0)</f>
        <v>7759898</v>
      </c>
      <c r="L37" s="252">
        <f>VLOOKUP(B37,'E&amp;W'!$A$7:$AD$66,24,0)</f>
        <v>7750130</v>
      </c>
      <c r="M37" s="252">
        <f>VLOOKUP(B37,'E&amp;W'!$A$7:$AD$66,26,0)</f>
        <v>5281341</v>
      </c>
      <c r="N37" s="252">
        <f>VLOOKUP(B37,'E&amp;W'!$A$7:$AD$66,28,0)</f>
        <v>4291938</v>
      </c>
      <c r="O37" s="252">
        <f>VLOOKUP(B37,'E&amp;W'!$A$7:$AD$66,30,0)</f>
        <v>4986748</v>
      </c>
    </row>
    <row r="38" spans="1:15" ht="15" customHeight="1">
      <c r="A38" s="357">
        <v>17</v>
      </c>
      <c r="B38" s="91" t="s">
        <v>82</v>
      </c>
      <c r="C38" s="76" t="s">
        <v>175</v>
      </c>
      <c r="D38" s="78">
        <f>VLOOKUP(B39,'E&amp;W'!$A$7:$P$66,7,0)</f>
        <v>1834716</v>
      </c>
      <c r="E38" s="78">
        <f>VLOOKUP(B39,'E&amp;W'!$A$7:$P$66,9,0)</f>
        <v>1879473</v>
      </c>
      <c r="F38" s="78">
        <f>VLOOKUP(B39,'E&amp;W'!$A$7:$P$66,11,0)</f>
        <v>2356039</v>
      </c>
      <c r="G38" s="78">
        <f>VLOOKUP(B39,'E&amp;W'!$A$7:$P$66,13,0)</f>
        <v>2537273</v>
      </c>
      <c r="H38" s="78">
        <f>VLOOKUP(B39,'E&amp;W'!$A$7:$P$66,15,0)</f>
        <v>2627890</v>
      </c>
      <c r="I38" s="78">
        <f>VLOOKUP(B39,'E&amp;W'!$A$7:$AD$66,17,0)</f>
        <v>2410409</v>
      </c>
      <c r="J38" s="78">
        <f>VLOOKUP(B39,'E&amp;W'!$A$7:$AD$66,19,0)</f>
        <v>2446656</v>
      </c>
      <c r="K38" s="78">
        <f>VLOOKUP(B39,'E&amp;W'!$A$7:$AD$66,21,0)</f>
        <v>2174805</v>
      </c>
      <c r="L38" s="78">
        <f>VLOOKUP(B39,'E&amp;W'!$A$7:$AD$66,23,0)</f>
        <v>2084189</v>
      </c>
      <c r="M38" s="78">
        <f>VLOOKUP(B39,'E&amp;W'!$A$7:$AD$66,25,0)</f>
        <v>1812338</v>
      </c>
      <c r="N38" s="78">
        <f>VLOOKUP(B39,'E&amp;W'!$A$7:$AD$66,27,0)</f>
        <v>1812338</v>
      </c>
      <c r="O38" s="78">
        <f>VLOOKUP(B39,'E&amp;W'!$A$7:$AD$66,29,0)</f>
        <v>1449870</v>
      </c>
    </row>
    <row r="39" spans="1:15" ht="15" customHeight="1">
      <c r="A39" s="358"/>
      <c r="B39" s="92">
        <v>1412000075</v>
      </c>
      <c r="C39" s="84" t="s">
        <v>176</v>
      </c>
      <c r="D39" s="85">
        <f>VLOOKUP(B39,'E&amp;W'!$A$7:$P$66,8,0)</f>
        <v>232505</v>
      </c>
      <c r="E39" s="85">
        <f>VLOOKUP(B39,'E&amp;W'!$A$7:$P$66,10,0)</f>
        <v>256956</v>
      </c>
      <c r="F39" s="85">
        <f>VLOOKUP(B39,'E&amp;W'!$A$7:$P$66,12,0)</f>
        <v>290217</v>
      </c>
      <c r="G39" s="85">
        <f>VLOOKUP(B39,'E&amp;W'!$A$7:$P$66,14,0)</f>
        <v>414451</v>
      </c>
      <c r="H39" s="85">
        <f>VLOOKUP(B39,'E&amp;W'!$A$7:$P$66,16,0)</f>
        <v>371199</v>
      </c>
      <c r="I39" s="85">
        <f>VLOOKUP(B39,'E&amp;W'!$A$7:$AD$66,18,0)</f>
        <v>322087</v>
      </c>
      <c r="J39" s="85">
        <f>VLOOKUP(B39,'E&amp;W'!$A$7:$AD$66,20,0)</f>
        <v>248218</v>
      </c>
      <c r="K39" s="85">
        <f>VLOOKUP(B39,'E&amp;W'!$A$7:$AD$66,22,0)</f>
        <v>345738</v>
      </c>
      <c r="L39" s="85">
        <f>VLOOKUP(B39,'E&amp;W'!$A$7:$AD$66,24,0)</f>
        <v>345303</v>
      </c>
      <c r="M39" s="85">
        <f>VLOOKUP(B39,'E&amp;W'!$A$7:$AD$66,26,0)</f>
        <v>234148</v>
      </c>
      <c r="N39" s="85">
        <f>VLOOKUP(B39,'E&amp;W'!$A$7:$AD$66,28,0)</f>
        <v>175579</v>
      </c>
      <c r="O39" s="85">
        <f>VLOOKUP(B39,'E&amp;W'!$A$7:$AD$66,30,0)</f>
        <v>204003</v>
      </c>
    </row>
    <row r="40" spans="1:15" ht="15" customHeight="1">
      <c r="A40" s="365">
        <v>18</v>
      </c>
      <c r="B40" s="91" t="s">
        <v>134</v>
      </c>
      <c r="C40" s="76" t="s">
        <v>175</v>
      </c>
      <c r="D40" s="78">
        <f>VLOOKUP(B41,'E&amp;W'!$A$7:$P$66,7,0)</f>
        <v>2093418</v>
      </c>
      <c r="E40" s="78">
        <f>VLOOKUP(B41,'E&amp;W'!$A$7:$P$66,9,0)</f>
        <v>2146277</v>
      </c>
      <c r="F40" s="78">
        <f>VLOOKUP(B41,'E&amp;W'!$A$7:$P$66,11,0)</f>
        <v>2692818</v>
      </c>
      <c r="G40" s="78">
        <f>VLOOKUP(B41,'E&amp;W'!$A$7:$P$66,13,0)</f>
        <v>2899958</v>
      </c>
      <c r="H40" s="78">
        <f>VLOOKUP(B41,'E&amp;W'!$A$7:$P$66,15,0)</f>
        <v>2999765</v>
      </c>
      <c r="I40" s="78">
        <f>VLOOKUP(B41,'E&amp;W'!$A$7:$AD$66,17,0)</f>
        <v>2748701</v>
      </c>
      <c r="J40" s="78">
        <f>VLOOKUP(B41,'E&amp;W'!$A$7:$AD$66,19,0)</f>
        <v>2748999</v>
      </c>
      <c r="K40" s="78">
        <f>VLOOKUP(B41,'E&amp;W'!$A$7:$AD$66,21,0)</f>
        <v>2480031</v>
      </c>
      <c r="L40" s="78">
        <f>VLOOKUP(B41,'E&amp;W'!$A$7:$AD$66,23,0)</f>
        <v>2376696</v>
      </c>
      <c r="M40" s="78">
        <f>VLOOKUP(B41,'E&amp;W'!$A$7:$AD$66,25,0)</f>
        <v>2107728</v>
      </c>
      <c r="N40" s="78">
        <f>VLOOKUP(B41,'E&amp;W'!$A$7:$AD$66,27,0)</f>
        <v>2102770</v>
      </c>
      <c r="O40" s="78">
        <f>VLOOKUP(B41,'E&amp;W'!$A$7:$AD$66,29,0)</f>
        <v>1653354</v>
      </c>
    </row>
    <row r="41" spans="1:15" ht="15" customHeight="1">
      <c r="A41" s="365"/>
      <c r="B41" s="92">
        <v>1412000008</v>
      </c>
      <c r="C41" s="84" t="s">
        <v>176</v>
      </c>
      <c r="D41" s="85">
        <f>VLOOKUP(B41,'E&amp;W'!$A$7:$P$66,8,0)</f>
        <v>319694</v>
      </c>
      <c r="E41" s="85">
        <f>VLOOKUP(B41,'E&amp;W'!$A$7:$P$66,10,0)</f>
        <v>353314</v>
      </c>
      <c r="F41" s="85">
        <f>VLOOKUP(B41,'E&amp;W'!$A$7:$P$66,12,0)</f>
        <v>399049</v>
      </c>
      <c r="G41" s="85">
        <f>VLOOKUP(B41,'E&amp;W'!$A$7:$P$66,14,0)</f>
        <v>569870</v>
      </c>
      <c r="H41" s="85">
        <f>VLOOKUP(B41,'E&amp;W'!$A$7:$P$66,16,0)</f>
        <v>510399</v>
      </c>
      <c r="I41" s="85">
        <f>VLOOKUP(B41,'E&amp;W'!$A$7:$AD$66,18,0)</f>
        <v>442869</v>
      </c>
      <c r="J41" s="85">
        <f>VLOOKUP(B41,'E&amp;W'!$A$7:$AD$66,20,0)</f>
        <v>303378</v>
      </c>
      <c r="K41" s="85">
        <f>VLOOKUP(B41,'E&amp;W'!$A$7:$AD$66,22,0)</f>
        <v>422569</v>
      </c>
      <c r="L41" s="85">
        <f>VLOOKUP(B41,'E&amp;W'!$A$7:$AD$66,24,0)</f>
        <v>422037</v>
      </c>
      <c r="M41" s="85">
        <f>VLOOKUP(B41,'E&amp;W'!$A$7:$AD$66,26,0)</f>
        <v>286181</v>
      </c>
      <c r="N41" s="85">
        <f>VLOOKUP(B41,'E&amp;W'!$A$7:$AD$66,28,0)</f>
        <v>214597</v>
      </c>
      <c r="O41" s="85">
        <f>VLOOKUP(B41,'E&amp;W'!$A$7:$AD$66,30,0)</f>
        <v>249337</v>
      </c>
    </row>
    <row r="42" spans="1:15" ht="15" customHeight="1">
      <c r="A42" s="357">
        <v>19</v>
      </c>
      <c r="B42" s="91" t="s">
        <v>135</v>
      </c>
      <c r="C42" s="76" t="s">
        <v>175</v>
      </c>
      <c r="D42" s="78">
        <f>VLOOKUP(B43,'E&amp;W'!$A$7:$P$66,7,0)</f>
        <v>1141864</v>
      </c>
      <c r="E42" s="78">
        <f>VLOOKUP(B43,'E&amp;W'!$A$7:$P$66,9,0)</f>
        <v>1170697</v>
      </c>
      <c r="F42" s="78">
        <f>VLOOKUP(B43,'E&amp;W'!$A$7:$P$66,11,0)</f>
        <v>1468810</v>
      </c>
      <c r="G42" s="78">
        <f>VLOOKUP(B43,'E&amp;W'!$A$7:$P$66,13,0)</f>
        <v>1581795</v>
      </c>
      <c r="H42" s="78">
        <f>VLOOKUP(B43,'E&amp;W'!$A$7:$P$66,15,0)</f>
        <v>1636235</v>
      </c>
      <c r="I42" s="78">
        <f>VLOOKUP(B43,'E&amp;W'!$A$7:$AD$66,17,0)</f>
        <v>1499291</v>
      </c>
      <c r="J42" s="78">
        <f>VLOOKUP(B43,'E&amp;W'!$A$7:$AD$66,19,0)</f>
        <v>1499454</v>
      </c>
      <c r="K42" s="78">
        <f>VLOOKUP(B43,'E&amp;W'!$A$7:$AD$66,21,0)</f>
        <v>1352744</v>
      </c>
      <c r="L42" s="78">
        <f>VLOOKUP(B43,'E&amp;W'!$A$7:$AD$66,23,0)</f>
        <v>1296380</v>
      </c>
      <c r="M42" s="78">
        <f>VLOOKUP(B43,'E&amp;W'!$A$7:$AD$66,25,0)</f>
        <v>1149670</v>
      </c>
      <c r="N42" s="78">
        <f>VLOOKUP(B43,'E&amp;W'!$A$7:$AD$66,27,0)</f>
        <v>1146965</v>
      </c>
      <c r="O42" s="78">
        <f>VLOOKUP(B43,'E&amp;W'!$A$7:$AD$66,29,0)</f>
        <v>901829</v>
      </c>
    </row>
    <row r="43" spans="1:15" ht="15" customHeight="1">
      <c r="A43" s="358"/>
      <c r="B43" s="92">
        <v>1412000010</v>
      </c>
      <c r="C43" s="84" t="s">
        <v>176</v>
      </c>
      <c r="D43" s="85">
        <f>VLOOKUP(B43,'E&amp;W'!$A$7:$P$66,8,0)</f>
        <v>174379</v>
      </c>
      <c r="E43" s="85">
        <f>VLOOKUP(B43,'E&amp;W'!$A$7:$P$66,10,0)</f>
        <v>192717</v>
      </c>
      <c r="F43" s="85">
        <f>VLOOKUP(B43,'E&amp;W'!$A$7:$P$66,12,0)</f>
        <v>217663</v>
      </c>
      <c r="G43" s="85">
        <f>VLOOKUP(B43,'E&amp;W'!$A$7:$P$66,14,0)</f>
        <v>310838</v>
      </c>
      <c r="H43" s="85">
        <f>VLOOKUP(B43,'E&amp;W'!$A$7:$P$66,16,0)</f>
        <v>278399</v>
      </c>
      <c r="I43" s="85">
        <f>VLOOKUP(B43,'E&amp;W'!$A$7:$AD$66,18,0)</f>
        <v>241565</v>
      </c>
      <c r="J43" s="85">
        <f>VLOOKUP(B43,'E&amp;W'!$A$7:$AD$66,20,0)</f>
        <v>165479</v>
      </c>
      <c r="K43" s="85">
        <f>VLOOKUP(B43,'E&amp;W'!$A$7:$AD$66,22,0)</f>
        <v>230492</v>
      </c>
      <c r="L43" s="85">
        <f>VLOOKUP(B43,'E&amp;W'!$A$7:$AD$66,24,0)</f>
        <v>230202</v>
      </c>
      <c r="M43" s="85">
        <f>VLOOKUP(B43,'E&amp;W'!$A$7:$AD$66,26,0)</f>
        <v>156099</v>
      </c>
      <c r="N43" s="85">
        <f>VLOOKUP(B43,'E&amp;W'!$A$7:$AD$66,28,0)</f>
        <v>117053</v>
      </c>
      <c r="O43" s="85">
        <f>VLOOKUP(B43,'E&amp;W'!$A$7:$AD$66,30,0)</f>
        <v>136002</v>
      </c>
    </row>
    <row r="44" spans="1:15" s="88" customFormat="1" ht="15" customHeight="1">
      <c r="A44" s="367">
        <v>20</v>
      </c>
      <c r="B44" s="100" t="s">
        <v>162</v>
      </c>
      <c r="C44" s="87" t="s">
        <v>175</v>
      </c>
      <c r="D44" s="78">
        <f>VLOOKUP(B45,'E&amp;W'!$A$7:$P$66,7,0)</f>
        <v>114670</v>
      </c>
      <c r="E44" s="78">
        <f>VLOOKUP(B45,'E&amp;W'!$A$7:$P$66,9,0)</f>
        <v>117467</v>
      </c>
      <c r="F44" s="78">
        <f>VLOOKUP(B45,'E&amp;W'!$A$7:$P$66,11,0)</f>
        <v>147252</v>
      </c>
      <c r="G44" s="78">
        <f>VLOOKUP(B45,'E&amp;W'!$A$7:$P$66,13,0)</f>
        <v>158580</v>
      </c>
      <c r="H44" s="78">
        <f>VLOOKUP(B45,'E&amp;W'!$A$7:$P$66,15,0)</f>
        <v>164243</v>
      </c>
      <c r="I44" s="78">
        <f>VLOOKUP(B45,'E&amp;W'!$A$7:$AD$66,17,0)</f>
        <v>150651</v>
      </c>
      <c r="J44" s="78">
        <f>VLOOKUP(B45,'E&amp;W'!$A$7:$AD$66,19,0)</f>
        <v>152916</v>
      </c>
      <c r="K44" s="78">
        <f>VLOOKUP(B45,'E&amp;W'!$A$7:$AD$66,21,0)</f>
        <v>135925</v>
      </c>
      <c r="L44" s="78">
        <f>VLOOKUP(B45,'E&amp;W'!$A$7:$AD$66,23,0)</f>
        <v>130262</v>
      </c>
      <c r="M44" s="78">
        <f>VLOOKUP(B45,'E&amp;W'!$A$7:$AD$66,25,0)</f>
        <v>113271</v>
      </c>
      <c r="N44" s="78">
        <f>VLOOKUP(B45,'E&amp;W'!$A$7:$AD$66,27,0)</f>
        <v>113271</v>
      </c>
      <c r="O44" s="78">
        <f>VLOOKUP(B45,'E&amp;W'!$A$7:$AD$66,29,0)</f>
        <v>90617</v>
      </c>
    </row>
    <row r="45" spans="1:15" s="88" customFormat="1" ht="15" customHeight="1">
      <c r="A45" s="367"/>
      <c r="B45" s="101">
        <v>1412000094</v>
      </c>
      <c r="C45" s="90" t="s">
        <v>176</v>
      </c>
      <c r="D45" s="85">
        <f>VLOOKUP(B45,'E&amp;W'!$A$7:$P$66,8,0)</f>
        <v>87189</v>
      </c>
      <c r="E45" s="85">
        <f>VLOOKUP(B45,'E&amp;W'!$A$7:$P$66,10,0)</f>
        <v>96358</v>
      </c>
      <c r="F45" s="85">
        <f>VLOOKUP(B45,'E&amp;W'!$A$7:$P$66,12,0)</f>
        <v>108831</v>
      </c>
      <c r="G45" s="85">
        <f>VLOOKUP(B45,'E&amp;W'!$A$7:$P$66,14,0)</f>
        <v>155419</v>
      </c>
      <c r="H45" s="85">
        <f>VLOOKUP(B45,'E&amp;W'!$A$7:$P$66,16,0)</f>
        <v>139200</v>
      </c>
      <c r="I45" s="85">
        <f>VLOOKUP(B45,'E&amp;W'!$A$7:$AD$66,18,0)</f>
        <v>120783</v>
      </c>
      <c r="J45" s="85">
        <f>VLOOKUP(B45,'E&amp;W'!$A$7:$AD$66,20,0)</f>
        <v>82739</v>
      </c>
      <c r="K45" s="85">
        <f>VLOOKUP(B45,'E&amp;W'!$A$7:$AD$66,22,0)</f>
        <v>115246</v>
      </c>
      <c r="L45" s="85">
        <f>VLOOKUP(B45,'E&amp;W'!$A$7:$AD$66,24,0)</f>
        <v>115101</v>
      </c>
      <c r="M45" s="85">
        <f>VLOOKUP(B45,'E&amp;W'!$A$7:$AD$66,26,0)</f>
        <v>78049</v>
      </c>
      <c r="N45" s="85">
        <f>VLOOKUP(B45,'E&amp;W'!$A$7:$AD$66,28,0)</f>
        <v>58526</v>
      </c>
      <c r="O45" s="85">
        <f>VLOOKUP(B45,'E&amp;W'!$A$7:$AD$66,30,0)</f>
        <v>68001</v>
      </c>
    </row>
    <row r="46" spans="1:15" ht="15" customHeight="1">
      <c r="A46" s="357">
        <v>21</v>
      </c>
      <c r="B46" s="91" t="s">
        <v>4</v>
      </c>
      <c r="C46" s="76" t="s">
        <v>175</v>
      </c>
      <c r="D46" s="78">
        <f>VLOOKUP(B47,'E&amp;W'!$A$7:$P$66,7,0)</f>
        <v>2930301</v>
      </c>
      <c r="E46" s="78">
        <f>VLOOKUP(B47,'E&amp;W'!$A$7:$P$66,9,0)</f>
        <v>3082040</v>
      </c>
      <c r="F46" s="78">
        <f>VLOOKUP(B47,'E&amp;W'!$A$7:$P$66,11,0)</f>
        <v>3867123</v>
      </c>
      <c r="G46" s="78">
        <f>VLOOKUP(B47,'E&amp;W'!$A$7:$P$66,13,0)</f>
        <v>4164594</v>
      </c>
      <c r="H46" s="78">
        <f>VLOOKUP(B47,'E&amp;W'!$A$7:$P$66,15,0)</f>
        <v>4307514</v>
      </c>
      <c r="I46" s="78">
        <f>VLOOKUP(B47,'E&amp;W'!$A$7:$AD$66,17,0)</f>
        <v>3946691</v>
      </c>
      <c r="J46" s="78">
        <f>VLOOKUP(B47,'E&amp;W'!$A$7:$AD$66,19,0)</f>
        <v>3942621</v>
      </c>
      <c r="K46" s="78">
        <f>VLOOKUP(B47,'E&amp;W'!$A$7:$AD$66,21,0)</f>
        <v>3560924</v>
      </c>
      <c r="L46" s="78">
        <f>VLOOKUP(B47,'E&amp;W'!$A$7:$AD$66,23,0)</f>
        <v>3412552</v>
      </c>
      <c r="M46" s="78">
        <f>VLOOKUP(B47,'E&amp;W'!$A$7:$AD$66,25,0)</f>
        <v>3030855</v>
      </c>
      <c r="N46" s="78">
        <f>VLOOKUP(B47,'E&amp;W'!$A$7:$AD$66,27,0)</f>
        <v>3023193</v>
      </c>
      <c r="O46" s="78">
        <f>VLOOKUP(B47,'E&amp;W'!$A$7:$AD$66,29,0)</f>
        <v>2373949</v>
      </c>
    </row>
    <row r="47" spans="1:15" ht="15" customHeight="1">
      <c r="A47" s="358"/>
      <c r="B47" s="92">
        <v>1412000054</v>
      </c>
      <c r="C47" s="84" t="s">
        <v>176</v>
      </c>
      <c r="D47" s="85">
        <f>VLOOKUP(B47,'E&amp;W'!$A$7:$P$66,8,0)</f>
        <v>465010</v>
      </c>
      <c r="E47" s="85">
        <f>VLOOKUP(B47,'E&amp;W'!$A$7:$P$66,10,0)</f>
        <v>546031</v>
      </c>
      <c r="F47" s="85">
        <f>VLOOKUP(B47,'E&amp;W'!$A$7:$P$66,12,0)</f>
        <v>616711</v>
      </c>
      <c r="G47" s="85">
        <f>VLOOKUP(B47,'E&amp;W'!$A$7:$P$66,14,0)</f>
        <v>880709</v>
      </c>
      <c r="H47" s="85">
        <f>VLOOKUP(B47,'E&amp;W'!$A$7:$P$66,16,0)</f>
        <v>788798</v>
      </c>
      <c r="I47" s="85">
        <f>VLOOKUP(B47,'E&amp;W'!$A$7:$AD$66,18,0)</f>
        <v>684434</v>
      </c>
      <c r="J47" s="85">
        <f>VLOOKUP(B47,'E&amp;W'!$A$7:$AD$66,20,0)</f>
        <v>468857</v>
      </c>
      <c r="K47" s="85">
        <f>VLOOKUP(B47,'E&amp;W'!$A$7:$AD$66,22,0)</f>
        <v>653061</v>
      </c>
      <c r="L47" s="85">
        <f>VLOOKUP(B47,'E&amp;W'!$A$7:$AD$66,24,0)</f>
        <v>652239</v>
      </c>
      <c r="M47" s="85">
        <f>VLOOKUP(B47,'E&amp;W'!$A$7:$AD$66,26,0)</f>
        <v>442280</v>
      </c>
      <c r="N47" s="85">
        <f>VLOOKUP(B47,'E&amp;W'!$A$7:$AD$66,28,0)</f>
        <v>331650</v>
      </c>
      <c r="O47" s="85">
        <f>VLOOKUP(B47,'E&amp;W'!$A$7:$AD$66,30,0)</f>
        <v>385340</v>
      </c>
    </row>
    <row r="48" spans="1:15" ht="15" customHeight="1">
      <c r="A48" s="365">
        <v>22</v>
      </c>
      <c r="B48" s="91" t="s">
        <v>84</v>
      </c>
      <c r="C48" s="76" t="s">
        <v>175</v>
      </c>
      <c r="D48" s="78">
        <f>VLOOKUP(B49,'E&amp;W'!$A$7:$P$66,7,0)</f>
        <v>363738755</v>
      </c>
      <c r="E48" s="78">
        <f>VLOOKUP(B49,'E&amp;W'!$A$7:$P$66,9,0)</f>
        <v>372855902</v>
      </c>
      <c r="F48" s="78">
        <f>VLOOKUP(B49,'E&amp;W'!$A$7:$P$66,11,0)</f>
        <v>468272716</v>
      </c>
      <c r="G48" s="78">
        <f>VLOOKUP(B49,'E&amp;W'!$A$7:$P$66,13,0)</f>
        <v>504293694</v>
      </c>
      <c r="H48" s="78">
        <f>VLOOKUP(B49,'E&amp;W'!$A$7:$P$66,15,0)</f>
        <v>522304184</v>
      </c>
      <c r="I48" s="78">
        <f>VLOOKUP(B49,'E&amp;W'!$A$7:$AD$66,17,0)</f>
        <v>479079010</v>
      </c>
      <c r="J48" s="78">
        <f>VLOOKUP(B49,'E&amp;W'!$A$7:$AD$66,19,0)</f>
        <v>482606300</v>
      </c>
      <c r="K48" s="78">
        <f>VLOOKUP(B49,'E&amp;W'!$A$7:$AD$66,21,0)</f>
        <v>432251738</v>
      </c>
      <c r="L48" s="78">
        <f>VLOOKUP(B49,'E&amp;W'!$A$7:$AD$66,23,0)</f>
        <v>414241249</v>
      </c>
      <c r="M48" s="78">
        <f>VLOOKUP(B49,'E&amp;W'!$A$7:$AD$66,25,0)</f>
        <v>363886687</v>
      </c>
      <c r="N48" s="78">
        <f>VLOOKUP(B49,'E&amp;W'!$A$7:$AD$66,27,0)</f>
        <v>364941892</v>
      </c>
      <c r="O48" s="78">
        <f>VLOOKUP(B49,'E&amp;W'!$A$7:$AD$66,29,0)</f>
        <v>288167825</v>
      </c>
    </row>
    <row r="49" spans="1:15" ht="15" customHeight="1">
      <c r="A49" s="365"/>
      <c r="B49" s="92">
        <v>1412000036</v>
      </c>
      <c r="C49" s="84" t="s">
        <v>176</v>
      </c>
      <c r="D49" s="85">
        <f>VLOOKUP(B49,'E&amp;W'!$A$7:$P$66,8,0)</f>
        <v>11131168</v>
      </c>
      <c r="E49" s="85">
        <f>VLOOKUP(B49,'E&amp;W'!$A$7:$P$66,10,0)</f>
        <v>12173272</v>
      </c>
      <c r="F49" s="85">
        <f>VLOOKUP(B49,'E&amp;W'!$A$7:$P$66,12,0)</f>
        <v>13676484</v>
      </c>
      <c r="G49" s="85">
        <f>VLOOKUP(B49,'E&amp;W'!$A$7:$P$66,14,0)</f>
        <v>19427395</v>
      </c>
      <c r="H49" s="85">
        <f>VLOOKUP(B49,'E&amp;W'!$A$7:$P$66,16,0)</f>
        <v>17399953</v>
      </c>
      <c r="I49" s="85">
        <f>VLOOKUP(B49,'E&amp;W'!$A$7:$AD$66,18,0)</f>
        <v>15057559</v>
      </c>
      <c r="J49" s="85">
        <f>VLOOKUP(B49,'E&amp;W'!$A$7:$AD$66,20,0)</f>
        <v>10259692</v>
      </c>
      <c r="K49" s="85">
        <f>VLOOKUP(B49,'E&amp;W'!$A$7:$AD$66,22,0)</f>
        <v>14213674</v>
      </c>
      <c r="L49" s="85">
        <f>VLOOKUP(B49,'E&amp;W'!$A$7:$AD$66,24,0)</f>
        <v>14119048</v>
      </c>
      <c r="M49" s="85">
        <f>VLOOKUP(B49,'E&amp;W'!$A$7:$AD$66,26,0)</f>
        <v>9990319</v>
      </c>
      <c r="N49" s="85">
        <f>VLOOKUP(B49,'E&amp;W'!$A$7:$AD$66,28,0)</f>
        <v>7784016</v>
      </c>
      <c r="O49" s="85">
        <f>VLOOKUP(B49,'E&amp;W'!$A$7:$AD$66,30,0)</f>
        <v>8998814</v>
      </c>
    </row>
    <row r="50" spans="1:15" ht="15" customHeight="1">
      <c r="A50" s="357">
        <v>23</v>
      </c>
      <c r="B50" s="91" t="s">
        <v>83</v>
      </c>
      <c r="C50" s="76" t="s">
        <v>175</v>
      </c>
      <c r="D50" s="78">
        <f>VLOOKUP(B51,'E&amp;W'!$A$7:$P$66,7,0)</f>
        <v>153031554</v>
      </c>
      <c r="E50" s="78">
        <f>VLOOKUP(B51,'E&amp;W'!$A$7:$P$66,9,0)</f>
        <v>156907203</v>
      </c>
      <c r="F50" s="78">
        <f>VLOOKUP(B51,'E&amp;W'!$A$7:$P$66,11,0)</f>
        <v>196910121</v>
      </c>
      <c r="G50" s="78">
        <f>VLOOKUP(B51,'E&amp;W'!$A$7:$P$66,13,0)</f>
        <v>212057053</v>
      </c>
      <c r="H50" s="78">
        <f>VLOOKUP(B51,'E&amp;W'!$A$7:$P$66,15,0)</f>
        <v>219630519</v>
      </c>
      <c r="I50" s="78">
        <f>VLOOKUP(B51,'E&amp;W'!$A$7:$AD$66,17,0)</f>
        <v>201454201</v>
      </c>
      <c r="J50" s="78">
        <f>VLOOKUP(B51,'E&amp;W'!$A$7:$AD$66,19,0)</f>
        <v>203245712</v>
      </c>
      <c r="K50" s="78">
        <f>VLOOKUP(B51,'E&amp;W'!$A$7:$AD$66,21,0)</f>
        <v>181763188</v>
      </c>
      <c r="L50" s="78">
        <f>VLOOKUP(B51,'E&amp;W'!$A$7:$AD$66,23,0)</f>
        <v>174189722</v>
      </c>
      <c r="M50" s="78">
        <f>VLOOKUP(B51,'E&amp;W'!$A$7:$AD$66,25,0)</f>
        <v>152707199</v>
      </c>
      <c r="N50" s="78">
        <f>VLOOKUP(B51,'E&amp;W'!$A$7:$AD$66,27,0)</f>
        <v>152888645</v>
      </c>
      <c r="O50" s="78">
        <f>VLOOKUP(B51,'E&amp;W'!$A$7:$AD$66,29,0)</f>
        <v>121175459</v>
      </c>
    </row>
    <row r="51" spans="1:15" ht="15" customHeight="1">
      <c r="A51" s="358"/>
      <c r="B51" s="92">
        <v>1412000072</v>
      </c>
      <c r="C51" s="84" t="s">
        <v>176</v>
      </c>
      <c r="D51" s="85">
        <f>VLOOKUP(B51,'E&amp;W'!$A$7:$P$66,8,0)</f>
        <v>1860039</v>
      </c>
      <c r="E51" s="85">
        <f>VLOOKUP(B51,'E&amp;W'!$A$7:$P$66,10,0)</f>
        <v>2055645</v>
      </c>
      <c r="F51" s="85">
        <f>VLOOKUP(B51,'E&amp;W'!$A$7:$P$66,12,0)</f>
        <v>2285460</v>
      </c>
      <c r="G51" s="85">
        <f>VLOOKUP(B51,'E&amp;W'!$A$7:$P$66,14,0)</f>
        <v>3263802</v>
      </c>
      <c r="H51" s="85">
        <f>VLOOKUP(B51,'E&amp;W'!$A$7:$P$66,16,0)</f>
        <v>2876792</v>
      </c>
      <c r="I51" s="85">
        <f>VLOOKUP(B51,'E&amp;W'!$A$7:$AD$66,18,0)</f>
        <v>2455912</v>
      </c>
      <c r="J51" s="85">
        <f>VLOOKUP(B51,'E&amp;W'!$A$7:$AD$66,20,0)</f>
        <v>1682369</v>
      </c>
      <c r="K51" s="85">
        <f>VLOOKUP(B51,'E&amp;W'!$A$7:$AD$66,22,0)</f>
        <v>2343336</v>
      </c>
      <c r="L51" s="85">
        <f>VLOOKUP(B51,'E&amp;W'!$A$7:$AD$66,24,0)</f>
        <v>2302019</v>
      </c>
      <c r="M51" s="85">
        <f>VLOOKUP(B51,'E&amp;W'!$A$7:$AD$66,26,0)</f>
        <v>1587004</v>
      </c>
      <c r="N51" s="85">
        <f>VLOOKUP(B51,'E&amp;W'!$A$7:$AD$66,28,0)</f>
        <v>1209546</v>
      </c>
      <c r="O51" s="85">
        <f>VLOOKUP(B51,'E&amp;W'!$A$7:$AD$66,30,0)</f>
        <v>1382689</v>
      </c>
    </row>
    <row r="52" spans="1:15" ht="15" customHeight="1">
      <c r="A52" s="365">
        <v>24</v>
      </c>
      <c r="B52" s="91" t="s">
        <v>67</v>
      </c>
      <c r="C52" s="76" t="s">
        <v>175</v>
      </c>
      <c r="D52" s="78">
        <f>VLOOKUP(B53,'E&amp;W'!$A$7:$P$66,7,0)</f>
        <v>1376037</v>
      </c>
      <c r="E52" s="78">
        <f>VLOOKUP(B53,'E&amp;W'!$A$7:$P$66,9,0)</f>
        <v>1409605</v>
      </c>
      <c r="F52" s="78">
        <f>VLOOKUP(B53,'E&amp;W'!$A$7:$P$66,11,0)</f>
        <v>1767029</v>
      </c>
      <c r="G52" s="78">
        <f>VLOOKUP(B53,'E&amp;W'!$A$7:$P$66,13,0)</f>
        <v>1902955</v>
      </c>
      <c r="H52" s="78">
        <f>VLOOKUP(B53,'E&amp;W'!$A$7:$P$66,15,0)</f>
        <v>1970917</v>
      </c>
      <c r="I52" s="78">
        <f>VLOOKUP(B53,'E&amp;W'!$A$7:$AD$66,17,0)</f>
        <v>1807807</v>
      </c>
      <c r="J52" s="78">
        <f>VLOOKUP(B53,'E&amp;W'!$A$7:$AD$66,19,0)</f>
        <v>1834992</v>
      </c>
      <c r="K52" s="78">
        <f>VLOOKUP(B53,'E&amp;W'!$A$7:$AD$66,21,0)</f>
        <v>1631104</v>
      </c>
      <c r="L52" s="78">
        <f>VLOOKUP(B53,'E&amp;W'!$A$7:$AD$66,23,0)</f>
        <v>1563141</v>
      </c>
      <c r="M52" s="78">
        <f>VLOOKUP(B53,'E&amp;W'!$A$7:$AD$66,25,0)</f>
        <v>1359253</v>
      </c>
      <c r="N52" s="78">
        <f>VLOOKUP(B53,'E&amp;W'!$A$7:$AD$66,27,0)</f>
        <v>1359253</v>
      </c>
      <c r="O52" s="78">
        <f>VLOOKUP(B53,'E&amp;W'!$A$7:$AD$66,29,0)</f>
        <v>1087403</v>
      </c>
    </row>
    <row r="53" spans="1:15" ht="15" customHeight="1">
      <c r="A53" s="365"/>
      <c r="B53" s="92">
        <v>1412000073</v>
      </c>
      <c r="C53" s="84" t="s">
        <v>176</v>
      </c>
      <c r="D53" s="85">
        <f>VLOOKUP(B53,'E&amp;W'!$A$7:$P$66,8,0)</f>
        <v>523136</v>
      </c>
      <c r="E53" s="85">
        <f>VLOOKUP(B53,'E&amp;W'!$A$7:$P$66,10,0)</f>
        <v>578150</v>
      </c>
      <c r="F53" s="85">
        <f>VLOOKUP(B53,'E&amp;W'!$A$7:$P$66,12,0)</f>
        <v>652989</v>
      </c>
      <c r="G53" s="85">
        <f>VLOOKUP(B53,'E&amp;W'!$A$7:$P$66,14,0)</f>
        <v>932515</v>
      </c>
      <c r="H53" s="85">
        <f>VLOOKUP(B53,'E&amp;W'!$A$7:$P$66,16,0)</f>
        <v>835198</v>
      </c>
      <c r="I53" s="85">
        <f>VLOOKUP(B53,'E&amp;W'!$A$7:$AD$66,18,0)</f>
        <v>724695</v>
      </c>
      <c r="J53" s="85">
        <f>VLOOKUP(B53,'E&amp;W'!$A$7:$AD$66,20,0)</f>
        <v>496437</v>
      </c>
      <c r="K53" s="85">
        <f>VLOOKUP(B53,'E&amp;W'!$A$7:$AD$66,22,0)</f>
        <v>691476</v>
      </c>
      <c r="L53" s="85">
        <f>VLOOKUP(B53,'E&amp;W'!$A$7:$AD$66,24,0)</f>
        <v>690606</v>
      </c>
      <c r="M53" s="85">
        <f>VLOOKUP(B53,'E&amp;W'!$A$7:$AD$66,26,0)</f>
        <v>468296</v>
      </c>
      <c r="N53" s="85">
        <f>VLOOKUP(B53,'E&amp;W'!$A$7:$AD$66,28,0)</f>
        <v>351159</v>
      </c>
      <c r="O53" s="85">
        <f>VLOOKUP(B53,'E&amp;W'!$A$7:$AD$66,30,0)</f>
        <v>408007</v>
      </c>
    </row>
    <row r="54" spans="1:15" ht="15" customHeight="1">
      <c r="A54" s="357">
        <v>25</v>
      </c>
      <c r="B54" s="91" t="s">
        <v>3</v>
      </c>
      <c r="C54" s="76" t="s">
        <v>175</v>
      </c>
      <c r="D54" s="78">
        <f>VLOOKUP(B55,'E&amp;W'!$A$7:$P$66,7,0)</f>
        <v>789900</v>
      </c>
      <c r="E54" s="78">
        <f>VLOOKUP(B55,'E&amp;W'!$A$7:$P$66,9,0)</f>
        <v>800538</v>
      </c>
      <c r="F54" s="78">
        <f>VLOOKUP(B55,'E&amp;W'!$A$7:$P$66,11,0)</f>
        <v>1003526</v>
      </c>
      <c r="G54" s="78">
        <f>VLOOKUP(B55,'E&amp;W'!$A$7:$P$66,13,0)</f>
        <v>1080720</v>
      </c>
      <c r="H54" s="78">
        <f>VLOOKUP(B55,'E&amp;W'!$A$7:$P$66,15,0)</f>
        <v>1146360</v>
      </c>
      <c r="I54" s="78">
        <f>VLOOKUP(B55,'E&amp;W'!$A$7:$AD$66,17,0)</f>
        <v>1051489</v>
      </c>
      <c r="J54" s="78">
        <f>VLOOKUP(B55,'E&amp;W'!$A$7:$AD$66,19,0)</f>
        <v>1067300</v>
      </c>
      <c r="K54" s="78">
        <f>VLOOKUP(B55,'E&amp;W'!$A$7:$AD$66,21,0)</f>
        <v>948711</v>
      </c>
      <c r="L54" s="78">
        <f>VLOOKUP(B55,'E&amp;W'!$A$7:$AD$66,23,0)</f>
        <v>909182</v>
      </c>
      <c r="M54" s="78">
        <f>VLOOKUP(B55,'E&amp;W'!$A$7:$AD$66,25,0)</f>
        <v>790593</v>
      </c>
      <c r="N54" s="78">
        <f>VLOOKUP(B55,'E&amp;W'!$A$7:$AD$66,27,0)</f>
        <v>790593</v>
      </c>
      <c r="O54" s="78">
        <f>VLOOKUP(B55,'E&amp;W'!$A$7:$AD$66,29,0)</f>
        <v>632474</v>
      </c>
    </row>
    <row r="55" spans="1:15" ht="15" customHeight="1">
      <c r="A55" s="358"/>
      <c r="B55" s="92">
        <v>1412000006</v>
      </c>
      <c r="C55" s="84" t="s">
        <v>176</v>
      </c>
      <c r="D55" s="85">
        <f>VLOOKUP(B55,'E&amp;W'!$A$7:$P$66,8,0)</f>
        <v>406883</v>
      </c>
      <c r="E55" s="85">
        <f>VLOOKUP(B55,'E&amp;W'!$A$7:$P$66,10,0)</f>
        <v>449672</v>
      </c>
      <c r="F55" s="85">
        <f>VLOOKUP(B55,'E&amp;W'!$A$7:$P$66,12,0)</f>
        <v>507880</v>
      </c>
      <c r="G55" s="85">
        <f>VLOOKUP(B55,'E&amp;W'!$A$7:$P$66,14,0)</f>
        <v>725289</v>
      </c>
      <c r="H55" s="85">
        <f>VLOOKUP(B55,'E&amp;W'!$A$7:$P$66,16,0)</f>
        <v>695998</v>
      </c>
      <c r="I55" s="85">
        <f>VLOOKUP(B55,'E&amp;W'!$A$7:$AD$66,18,0)</f>
        <v>603913</v>
      </c>
      <c r="J55" s="85">
        <f>VLOOKUP(B55,'E&amp;W'!$A$7:$AD$66,20,0)</f>
        <v>413697</v>
      </c>
      <c r="K55" s="85">
        <f>VLOOKUP(B55,'E&amp;W'!$A$7:$AD$66,22,0)</f>
        <v>576230</v>
      </c>
      <c r="L55" s="85">
        <f>VLOOKUP(B55,'E&amp;W'!$A$7:$AD$66,24,0)</f>
        <v>575505</v>
      </c>
      <c r="M55" s="85">
        <f>VLOOKUP(B55,'E&amp;W'!$A$7:$AD$66,26,0)</f>
        <v>390247</v>
      </c>
      <c r="N55" s="85">
        <f>VLOOKUP(B55,'E&amp;W'!$A$7:$AD$66,28,0)</f>
        <v>292632</v>
      </c>
      <c r="O55" s="85">
        <f>VLOOKUP(B55,'E&amp;W'!$A$7:$AD$66,30,0)</f>
        <v>340006</v>
      </c>
    </row>
    <row r="56" spans="1:15" ht="15" customHeight="1">
      <c r="A56" s="365">
        <v>26</v>
      </c>
      <c r="B56" s="91" t="s">
        <v>2</v>
      </c>
      <c r="C56" s="76" t="s">
        <v>175</v>
      </c>
      <c r="D56" s="78">
        <f>VLOOKUP(B57,'E&amp;W'!$A$7:$P$66,7,0)</f>
        <v>728530</v>
      </c>
      <c r="E56" s="78">
        <f>VLOOKUP(B57,'E&amp;W'!$A$7:$P$66,9,0)</f>
        <v>780939</v>
      </c>
      <c r="F56" s="78">
        <f>VLOOKUP(B57,'E&amp;W'!$A$7:$P$66,11,0)</f>
        <v>978957</v>
      </c>
      <c r="G56" s="78">
        <f>VLOOKUP(B57,'E&amp;W'!$A$7:$P$66,13,0)</f>
        <v>1054261</v>
      </c>
      <c r="H56" s="78">
        <f>VLOOKUP(B57,'E&amp;W'!$A$7:$P$66,15,0)</f>
        <v>1082371</v>
      </c>
      <c r="I56" s="78">
        <f>VLOOKUP(B57,'E&amp;W'!$A$7:$AD$66,17,0)</f>
        <v>992796</v>
      </c>
      <c r="J56" s="78">
        <f>VLOOKUP(B57,'E&amp;W'!$A$7:$AD$66,19,0)</f>
        <v>1007725</v>
      </c>
      <c r="K56" s="78">
        <f>VLOOKUP(B57,'E&amp;W'!$A$7:$AD$66,21,0)</f>
        <v>895755</v>
      </c>
      <c r="L56" s="78">
        <f>VLOOKUP(B57,'E&amp;W'!$A$7:$AD$66,23,0)</f>
        <v>858432</v>
      </c>
      <c r="M56" s="78">
        <f>VLOOKUP(B57,'E&amp;W'!$A$7:$AD$66,25,0)</f>
        <v>746463</v>
      </c>
      <c r="N56" s="78">
        <f>VLOOKUP(B57,'E&amp;W'!$A$7:$AD$66,27,0)</f>
        <v>746463</v>
      </c>
      <c r="O56" s="78">
        <f>VLOOKUP(B57,'E&amp;W'!$A$7:$AD$66,29,0)</f>
        <v>597170</v>
      </c>
    </row>
    <row r="57" spans="1:15" ht="15" customHeight="1">
      <c r="A57" s="365"/>
      <c r="B57" s="92">
        <v>1412000039</v>
      </c>
      <c r="C57" s="84" t="s">
        <v>176</v>
      </c>
      <c r="D57" s="85">
        <f>VLOOKUP(B57,'E&amp;W'!$A$7:$P$66,8,0)</f>
        <v>610325</v>
      </c>
      <c r="E57" s="85">
        <f>VLOOKUP(B57,'E&amp;W'!$A$7:$P$66,10,0)</f>
        <v>738747</v>
      </c>
      <c r="F57" s="85">
        <f>VLOOKUP(B57,'E&amp;W'!$A$7:$P$66,12,0)</f>
        <v>834374</v>
      </c>
      <c r="G57" s="85">
        <f>VLOOKUP(B57,'E&amp;W'!$A$7:$P$66,14,0)</f>
        <v>1191547</v>
      </c>
      <c r="H57" s="85">
        <f>VLOOKUP(B57,'E&amp;W'!$A$7:$P$66,16,0)</f>
        <v>1067197</v>
      </c>
      <c r="I57" s="85">
        <f>VLOOKUP(B57,'E&amp;W'!$A$7:$AD$66,18,0)</f>
        <v>926000</v>
      </c>
      <c r="J57" s="85">
        <f>VLOOKUP(B57,'E&amp;W'!$A$7:$AD$66,20,0)</f>
        <v>634336</v>
      </c>
      <c r="K57" s="85">
        <f>VLOOKUP(B57,'E&amp;W'!$A$7:$AD$66,22,0)</f>
        <v>883553</v>
      </c>
      <c r="L57" s="85">
        <f>VLOOKUP(B57,'E&amp;W'!$A$7:$AD$66,24,0)</f>
        <v>882441</v>
      </c>
      <c r="M57" s="85">
        <f>VLOOKUP(B57,'E&amp;W'!$A$7:$AD$66,26,0)</f>
        <v>598378</v>
      </c>
      <c r="N57" s="85">
        <f>VLOOKUP(B57,'E&amp;W'!$A$7:$AD$66,28,0)</f>
        <v>448703</v>
      </c>
      <c r="O57" s="85">
        <f>VLOOKUP(B57,'E&amp;W'!$A$7:$AD$66,30,0)</f>
        <v>521342</v>
      </c>
    </row>
    <row r="58" spans="1:15" ht="15" customHeight="1">
      <c r="A58" s="357">
        <v>27</v>
      </c>
      <c r="B58" s="91" t="s">
        <v>114</v>
      </c>
      <c r="C58" s="76" t="s">
        <v>175</v>
      </c>
      <c r="D58" s="78">
        <f>VLOOKUP(B59,'E&amp;W'!$A$7:$P$66,7,0)</f>
        <v>537913</v>
      </c>
      <c r="E58" s="78">
        <f>VLOOKUP(B59,'E&amp;W'!$A$7:$P$66,9,0)</f>
        <v>543020</v>
      </c>
      <c r="F58" s="78">
        <f>VLOOKUP(B59,'E&amp;W'!$A$7:$P$66,11,0)</f>
        <v>680711</v>
      </c>
      <c r="G58" s="78">
        <f>VLOOKUP(B59,'E&amp;W'!$A$7:$P$66,13,0)</f>
        <v>733073</v>
      </c>
      <c r="H58" s="78">
        <f>VLOOKUP(B59,'E&amp;W'!$A$7:$P$66,15,0)</f>
        <v>753861</v>
      </c>
      <c r="I58" s="78">
        <f>VLOOKUP(B59,'E&amp;W'!$A$7:$AD$66,17,0)</f>
        <v>691472</v>
      </c>
      <c r="J58" s="78">
        <f>VLOOKUP(B59,'E&amp;W'!$A$7:$AD$66,19,0)</f>
        <v>701870</v>
      </c>
      <c r="K58" s="78">
        <f>VLOOKUP(B59,'E&amp;W'!$A$7:$AD$66,21,0)</f>
        <v>623885</v>
      </c>
      <c r="L58" s="78">
        <f>VLOOKUP(B59,'E&amp;W'!$A$7:$AD$66,23,0)</f>
        <v>597889</v>
      </c>
      <c r="M58" s="78">
        <f>VLOOKUP(B59,'E&amp;W'!$A$7:$AD$66,25,0)</f>
        <v>519904</v>
      </c>
      <c r="N58" s="78">
        <f>VLOOKUP(B59,'E&amp;W'!$A$7:$AD$66,27,0)</f>
        <v>519904</v>
      </c>
      <c r="O58" s="78">
        <f>VLOOKUP(B59,'E&amp;W'!$A$7:$AD$66,29,0)</f>
        <v>415923</v>
      </c>
    </row>
    <row r="59" spans="1:15" ht="15" customHeight="1">
      <c r="A59" s="358"/>
      <c r="B59" s="92">
        <v>1412000089</v>
      </c>
      <c r="C59" s="84" t="s">
        <v>176</v>
      </c>
      <c r="D59" s="85">
        <f>VLOOKUP(B59,'E&amp;W'!$A$7:$P$66,8,0)</f>
        <v>377820</v>
      </c>
      <c r="E59" s="85">
        <f>VLOOKUP(B59,'E&amp;W'!$A$7:$P$66,10,0)</f>
        <v>417553</v>
      </c>
      <c r="F59" s="85">
        <f>VLOOKUP(B59,'E&amp;W'!$A$7:$P$66,12,0)</f>
        <v>471603</v>
      </c>
      <c r="G59" s="85">
        <f>VLOOKUP(B59,'E&amp;W'!$A$7:$P$66,14,0)</f>
        <v>673483</v>
      </c>
      <c r="H59" s="85">
        <f>VLOOKUP(B59,'E&amp;W'!$A$7:$P$66,16,0)</f>
        <v>603198</v>
      </c>
      <c r="I59" s="85">
        <f>VLOOKUP(B59,'E&amp;W'!$A$7:$AD$66,18,0)</f>
        <v>523391</v>
      </c>
      <c r="J59" s="85">
        <f>VLOOKUP(B59,'E&amp;W'!$A$7:$AD$66,20,0)</f>
        <v>358538</v>
      </c>
      <c r="K59" s="85">
        <f>VLOOKUP(B59,'E&amp;W'!$A$7:$AD$66,22,0)</f>
        <v>499399</v>
      </c>
      <c r="L59" s="85">
        <f>VLOOKUP(B59,'E&amp;W'!$A$7:$AD$66,24,0)</f>
        <v>498771</v>
      </c>
      <c r="M59" s="85">
        <f>VLOOKUP(B59,'E&amp;W'!$A$7:$AD$66,26,0)</f>
        <v>338214</v>
      </c>
      <c r="N59" s="85">
        <f>VLOOKUP(B59,'E&amp;W'!$A$7:$AD$66,28,0)</f>
        <v>253615</v>
      </c>
      <c r="O59" s="85">
        <f>VLOOKUP(B59,'E&amp;W'!$A$7:$AD$66,30,0)</f>
        <v>294671</v>
      </c>
    </row>
    <row r="60" spans="1:15" ht="15" customHeight="1">
      <c r="A60" s="359">
        <v>28</v>
      </c>
      <c r="B60" s="290" t="s">
        <v>188</v>
      </c>
      <c r="C60" s="291" t="s">
        <v>175</v>
      </c>
      <c r="D60" s="296">
        <f>VLOOKUP(B61,'E&amp;W'!$A$7:$P$66,7,0)</f>
        <v>523419</v>
      </c>
      <c r="E60" s="296">
        <f>VLOOKUP(B61,'E&amp;W'!$A$7:$P$66,9,0)</f>
        <v>528554</v>
      </c>
      <c r="F60" s="296">
        <f>VLOOKUP(B61,'E&amp;W'!$A$7:$P$66,11,0)</f>
        <v>662576</v>
      </c>
      <c r="G60" s="296">
        <f>VLOOKUP(B61,'E&amp;W'!$A$7:$P$66,13,0)</f>
        <v>713543</v>
      </c>
      <c r="H60" s="296">
        <f>VLOOKUP(B61,'E&amp;W'!$A$7:$P$66,15,0)</f>
        <v>733889</v>
      </c>
      <c r="I60" s="296">
        <f>VLOOKUP(B61,'E&amp;W'!$A$7:$AD$66,17,0)</f>
        <v>673153</v>
      </c>
      <c r="J60" s="296">
        <f>VLOOKUP(B61,'E&amp;W'!$A$7:$AD$66,19,0)</f>
        <v>683276</v>
      </c>
      <c r="K60" s="296">
        <f>VLOOKUP(B61,'E&amp;W'!$A$7:$AD$66,21,0)</f>
        <v>607357</v>
      </c>
      <c r="L60" s="296">
        <f>VLOOKUP(B61,'E&amp;W'!$A$7:$AD$66,23,0)</f>
        <v>582050</v>
      </c>
      <c r="M60" s="296">
        <f>VLOOKUP(B61,'E&amp;W'!$A$7:$AD$66,25,0)</f>
        <v>506130</v>
      </c>
      <c r="N60" s="296">
        <f>VLOOKUP(B61,'E&amp;W'!$A$7:$AD$66,27,0)</f>
        <v>506130</v>
      </c>
      <c r="O60" s="296">
        <f>VLOOKUP(B61,'E&amp;W'!$A$7:$AD$66,29,0)</f>
        <v>404904</v>
      </c>
    </row>
    <row r="61" spans="1:15" ht="15" customHeight="1">
      <c r="A61" s="360"/>
      <c r="B61" s="293">
        <v>1412000102</v>
      </c>
      <c r="C61" s="294" t="s">
        <v>176</v>
      </c>
      <c r="D61" s="297">
        <f>VLOOKUP(B61,'E&amp;W'!$A$7:$P$66,8,0)</f>
        <v>261568</v>
      </c>
      <c r="E61" s="297">
        <f>VLOOKUP(B61,'E&amp;W'!$A$7:$P$66,10,0)</f>
        <v>289075</v>
      </c>
      <c r="F61" s="297">
        <f>VLOOKUP(B61,'E&amp;W'!$A$7:$P$66,12,0)</f>
        <v>326494</v>
      </c>
      <c r="G61" s="297">
        <f>VLOOKUP(B61,'E&amp;W'!$A$7:$P$66,14,0)</f>
        <v>466257</v>
      </c>
      <c r="H61" s="297">
        <f>VLOOKUP(B61,'E&amp;W'!$A$7:$P$66,16,0)</f>
        <v>417599</v>
      </c>
      <c r="I61" s="297">
        <f>VLOOKUP(B61,'E&amp;W'!$A$7:$AD$66,18,0)</f>
        <v>362348</v>
      </c>
      <c r="J61" s="297">
        <f>VLOOKUP(B61,'E&amp;W'!$A$7:$AD$66,20,0)</f>
        <v>248218</v>
      </c>
      <c r="K61" s="297">
        <f>VLOOKUP(B61,'E&amp;W'!$A$7:$AD$66,22,0)</f>
        <v>345738</v>
      </c>
      <c r="L61" s="297">
        <f>VLOOKUP(B61,'E&amp;W'!$A$7:$AD$66,24,0)</f>
        <v>345303</v>
      </c>
      <c r="M61" s="297">
        <f>VLOOKUP(B61,'E&amp;W'!$A$7:$AD$66,26,0)</f>
        <v>234148</v>
      </c>
      <c r="N61" s="297">
        <f>VLOOKUP(B61,'E&amp;W'!$A$7:$AD$66,28,0)</f>
        <v>175579</v>
      </c>
      <c r="O61" s="297">
        <f>VLOOKUP(B61,'E&amp;W'!$A$7:$AD$66,30,0)</f>
        <v>204003</v>
      </c>
    </row>
    <row r="62" spans="1:15" ht="15" customHeight="1">
      <c r="A62" s="357">
        <v>29</v>
      </c>
      <c r="B62" s="91" t="s">
        <v>144</v>
      </c>
      <c r="C62" s="76" t="s">
        <v>175</v>
      </c>
      <c r="D62" s="78">
        <f>VLOOKUP(B63,'E&amp;W'!$A$7:$P$66,7,0)</f>
        <v>1593516</v>
      </c>
      <c r="E62" s="78">
        <f>VLOOKUP(B63,'E&amp;W'!$A$7:$P$66,9,0)</f>
        <v>1620675</v>
      </c>
      <c r="F62" s="78">
        <f>VLOOKUP(B63,'E&amp;W'!$A$7:$P$66,11,0)</f>
        <v>2031620</v>
      </c>
      <c r="G62" s="78">
        <f>VLOOKUP(B63,'E&amp;W'!$A$7:$P$66,13,0)</f>
        <v>2187898</v>
      </c>
      <c r="H62" s="78">
        <f>VLOOKUP(B63,'E&amp;W'!$A$7:$P$66,15,0)</f>
        <v>2258155</v>
      </c>
      <c r="I62" s="78">
        <f>VLOOKUP(B63,'E&amp;W'!$A$7:$AD$66,17,0)</f>
        <v>2071273</v>
      </c>
      <c r="J62" s="78">
        <f>VLOOKUP(B63,'E&amp;W'!$A$7:$AD$66,19,0)</f>
        <v>2102420</v>
      </c>
      <c r="K62" s="78">
        <f>VLOOKUP(B63,'E&amp;W'!$A$7:$AD$66,21,0)</f>
        <v>1868818</v>
      </c>
      <c r="L62" s="78">
        <f>VLOOKUP(B63,'E&amp;W'!$A$7:$AD$66,23,0)</f>
        <v>1790950</v>
      </c>
      <c r="M62" s="78">
        <f>VLOOKUP(B63,'E&amp;W'!$A$7:$AD$66,25,0)</f>
        <v>1557348</v>
      </c>
      <c r="N62" s="78">
        <f>VLOOKUP(B63,'E&amp;W'!$A$7:$AD$66,27,0)</f>
        <v>1557348</v>
      </c>
      <c r="O62" s="78">
        <f>VLOOKUP(B63,'E&amp;W'!$A$7:$AD$66,29,0)</f>
        <v>1245878</v>
      </c>
    </row>
    <row r="63" spans="1:15" ht="15" customHeight="1">
      <c r="A63" s="358"/>
      <c r="B63" s="92">
        <v>1412000040</v>
      </c>
      <c r="C63" s="84" t="s">
        <v>176</v>
      </c>
      <c r="D63" s="85">
        <f>VLOOKUP(B63,'E&amp;W'!$A$7:$P$66,8,0)</f>
        <v>552199</v>
      </c>
      <c r="E63" s="85">
        <f>VLOOKUP(B63,'E&amp;W'!$A$7:$P$66,10,0)</f>
        <v>610270</v>
      </c>
      <c r="F63" s="85">
        <f>VLOOKUP(B63,'E&amp;W'!$A$7:$P$66,12,0)</f>
        <v>689266</v>
      </c>
      <c r="G63" s="85">
        <f>VLOOKUP(B63,'E&amp;W'!$A$7:$P$66,14,0)</f>
        <v>984321</v>
      </c>
      <c r="H63" s="85">
        <f>VLOOKUP(B63,'E&amp;W'!$A$7:$P$66,16,0)</f>
        <v>881598</v>
      </c>
      <c r="I63" s="85">
        <f>VLOOKUP(B63,'E&amp;W'!$A$7:$AD$66,18,0)</f>
        <v>764956</v>
      </c>
      <c r="J63" s="85">
        <f>VLOOKUP(B63,'E&amp;W'!$A$7:$AD$66,20,0)</f>
        <v>524017</v>
      </c>
      <c r="K63" s="85">
        <f>VLOOKUP(B63,'E&amp;W'!$A$7:$AD$66,22,0)</f>
        <v>729891</v>
      </c>
      <c r="L63" s="85">
        <f>VLOOKUP(B63,'E&amp;W'!$A$7:$AD$66,24,0)</f>
        <v>728973</v>
      </c>
      <c r="M63" s="85">
        <f>VLOOKUP(B63,'E&amp;W'!$A$7:$AD$66,26,0)</f>
        <v>494313</v>
      </c>
      <c r="N63" s="85">
        <f>VLOOKUP(B63,'E&amp;W'!$A$7:$AD$66,28,0)</f>
        <v>370667</v>
      </c>
      <c r="O63" s="85">
        <f>VLOOKUP(B63,'E&amp;W'!$A$7:$AD$66,30,0)</f>
        <v>430674</v>
      </c>
    </row>
    <row r="64" spans="1:15" ht="15" customHeight="1">
      <c r="A64" s="357">
        <v>30</v>
      </c>
      <c r="B64" s="91" t="s">
        <v>163</v>
      </c>
      <c r="C64" s="76" t="s">
        <v>175</v>
      </c>
      <c r="D64" s="78">
        <f>VLOOKUP(B65,'E&amp;W'!$A$7:$P$66,7,0)</f>
        <v>5303814</v>
      </c>
      <c r="E64" s="78">
        <f>VLOOKUP(B65,'E&amp;W'!$A$7:$P$66,9,0)</f>
        <v>5451084</v>
      </c>
      <c r="F64" s="78">
        <f>VLOOKUP(B65,'E&amp;W'!$A$7:$P$66,11,0)</f>
        <v>6841077</v>
      </c>
      <c r="G64" s="78">
        <f>VLOOKUP(B65,'E&amp;W'!$A$7:$P$66,13,0)</f>
        <v>7367314</v>
      </c>
      <c r="H64" s="78">
        <f>VLOOKUP(B65,'E&amp;W'!$A$7:$P$66,15,0)</f>
        <v>7630432</v>
      </c>
      <c r="I64" s="78">
        <f>VLOOKUP(B65,'E&amp;W'!$A$7:$AD$66,17,0)</f>
        <v>6998948</v>
      </c>
      <c r="J64" s="78">
        <f>VLOOKUP(B65,'E&amp;W'!$A$7:$AD$66,19,0)</f>
        <v>7009067</v>
      </c>
      <c r="K64" s="78">
        <f>VLOOKUP(B65,'E&amp;W'!$A$7:$AD$66,21,0)</f>
        <v>6314841</v>
      </c>
      <c r="L64" s="78">
        <f>VLOOKUP(B65,'E&amp;W'!$A$7:$AD$66,23,0)</f>
        <v>6051722</v>
      </c>
      <c r="M64" s="78">
        <f>VLOOKUP(B65,'E&amp;W'!$A$7:$AD$66,25,0)</f>
        <v>5357496</v>
      </c>
      <c r="N64" s="78">
        <f>VLOOKUP(B65,'E&amp;W'!$A$7:$AD$66,27,0)</f>
        <v>5351490</v>
      </c>
      <c r="O64" s="78">
        <f>VLOOKUP(B65,'E&amp;W'!$A$7:$AD$66,29,0)</f>
        <v>4209894</v>
      </c>
    </row>
    <row r="65" spans="1:15" ht="15" customHeight="1">
      <c r="A65" s="358"/>
      <c r="B65" s="92">
        <v>1412000013</v>
      </c>
      <c r="C65" s="84" t="s">
        <v>176</v>
      </c>
      <c r="D65" s="85">
        <f>VLOOKUP(B65,'E&amp;W'!$A$7:$P$66,8,0)</f>
        <v>3022563</v>
      </c>
      <c r="E65" s="85">
        <f>VLOOKUP(B65,'E&amp;W'!$A$7:$P$66,10,0)</f>
        <v>3340423</v>
      </c>
      <c r="F65" s="85">
        <f>VLOOKUP(B65,'E&amp;W'!$A$7:$P$66,12,0)</f>
        <v>3772823</v>
      </c>
      <c r="G65" s="85">
        <f>VLOOKUP(B65,'E&amp;W'!$A$7:$P$66,14,0)</f>
        <v>5387864</v>
      </c>
      <c r="H65" s="85">
        <f>VLOOKUP(B65,'E&amp;W'!$A$7:$P$66,16,0)</f>
        <v>4825587</v>
      </c>
      <c r="I65" s="85">
        <f>VLOOKUP(B65,'E&amp;W'!$A$7:$AD$66,18,0)</f>
        <v>4187129</v>
      </c>
      <c r="J65" s="85">
        <f>VLOOKUP(B65,'E&amp;W'!$A$7:$AD$66,20,0)</f>
        <v>2868301</v>
      </c>
      <c r="K65" s="85">
        <f>VLOOKUP(B65,'E&amp;W'!$A$7:$AD$66,22,0)</f>
        <v>3995195</v>
      </c>
      <c r="L65" s="85">
        <f>VLOOKUP(B65,'E&amp;W'!$A$7:$AD$66,24,0)</f>
        <v>3990166</v>
      </c>
      <c r="M65" s="85">
        <f>VLOOKUP(B65,'E&amp;W'!$A$7:$AD$66,26,0)</f>
        <v>2705711</v>
      </c>
      <c r="N65" s="85">
        <f>VLOOKUP(B65,'E&amp;W'!$A$7:$AD$66,28,0)</f>
        <v>2028916</v>
      </c>
      <c r="O65" s="85">
        <f>VLOOKUP(B65,'E&amp;W'!$A$7:$AD$66,30,0)</f>
        <v>2357372</v>
      </c>
    </row>
    <row r="66" spans="1:15" ht="15" customHeight="1">
      <c r="A66" s="357">
        <v>31</v>
      </c>
      <c r="B66" s="91" t="s">
        <v>164</v>
      </c>
      <c r="C66" s="76" t="s">
        <v>175</v>
      </c>
      <c r="D66" s="78">
        <f>VLOOKUP(B67,'E&amp;W'!$A$7:$P$66,7,0)</f>
        <v>5350731</v>
      </c>
      <c r="E66" s="78">
        <f>VLOOKUP(B67,'E&amp;W'!$A$7:$P$66,9,0)</f>
        <v>5481258</v>
      </c>
      <c r="F66" s="78">
        <f>VLOOKUP(B67,'E&amp;W'!$A$7:$P$66,11,0)</f>
        <v>6871107</v>
      </c>
      <c r="G66" s="78">
        <f>VLOOKUP(B67,'E&amp;W'!$A$7:$P$66,13,0)</f>
        <v>7399653</v>
      </c>
      <c r="H66" s="78">
        <f>VLOOKUP(B67,'E&amp;W'!$A$7:$P$66,15,0)</f>
        <v>7663927</v>
      </c>
      <c r="I66" s="78">
        <f>VLOOKUP(B67,'E&amp;W'!$A$7:$AD$66,17,0)</f>
        <v>7029671</v>
      </c>
      <c r="J66" s="78">
        <f>VLOOKUP(B67,'E&amp;W'!$A$7:$AD$66,19,0)</f>
        <v>7135380</v>
      </c>
      <c r="K66" s="78">
        <f>VLOOKUP(B67,'E&amp;W'!$A$7:$AD$66,21,0)</f>
        <v>6342560</v>
      </c>
      <c r="L66" s="78">
        <f>VLOOKUP(B67,'E&amp;W'!$A$7:$AD$66,23,0)</f>
        <v>6078287</v>
      </c>
      <c r="M66" s="78">
        <f>VLOOKUP(B67,'E&amp;W'!$A$7:$AD$66,25,0)</f>
        <v>5285467</v>
      </c>
      <c r="N66" s="78">
        <f>VLOOKUP(B67,'E&amp;W'!$A$7:$AD$66,27,0)</f>
        <v>5285467</v>
      </c>
      <c r="O66" s="78">
        <f>VLOOKUP(B67,'E&amp;W'!$A$7:$AD$66,29,0)</f>
        <v>4228373</v>
      </c>
    </row>
    <row r="67" spans="1:15" ht="15" customHeight="1">
      <c r="A67" s="358"/>
      <c r="B67" s="92">
        <v>1412000092</v>
      </c>
      <c r="C67" s="84" t="s">
        <v>176</v>
      </c>
      <c r="D67" s="85">
        <f>VLOOKUP(B67,'E&amp;W'!$A$7:$P$66,8,0)</f>
        <v>1307840</v>
      </c>
      <c r="E67" s="85">
        <f>VLOOKUP(B67,'E&amp;W'!$A$7:$P$66,10,0)</f>
        <v>1445375</v>
      </c>
      <c r="F67" s="85">
        <f>VLOOKUP(B67,'E&amp;W'!$A$7:$P$66,12,0)</f>
        <v>1705026</v>
      </c>
      <c r="G67" s="85">
        <f>VLOOKUP(B67,'E&amp;W'!$A$7:$P$66,14,0)</f>
        <v>2434900</v>
      </c>
      <c r="H67" s="85">
        <f>VLOOKUP(B67,'E&amp;W'!$A$7:$P$66,16,0)</f>
        <v>2180794</v>
      </c>
      <c r="I67" s="85">
        <f>VLOOKUP(B67,'E&amp;W'!$A$7:$AD$66,18,0)</f>
        <v>1892260</v>
      </c>
      <c r="J67" s="85">
        <f>VLOOKUP(B67,'E&amp;W'!$A$7:$AD$66,20,0)</f>
        <v>1296251</v>
      </c>
      <c r="K67" s="85">
        <f>VLOOKUP(B67,'E&amp;W'!$A$7:$AD$66,22,0)</f>
        <v>1805521</v>
      </c>
      <c r="L67" s="85">
        <f>VLOOKUP(B67,'E&amp;W'!$A$7:$AD$66,24,0)</f>
        <v>1803248</v>
      </c>
      <c r="M67" s="85">
        <f>VLOOKUP(B67,'E&amp;W'!$A$7:$AD$66,26,0)</f>
        <v>1222773</v>
      </c>
      <c r="N67" s="85">
        <f>VLOOKUP(B67,'E&amp;W'!$A$7:$AD$66,28,0)</f>
        <v>916914</v>
      </c>
      <c r="O67" s="85">
        <f>VLOOKUP(B67,'E&amp;W'!$A$7:$AD$66,30,0)</f>
        <v>1065351</v>
      </c>
    </row>
    <row r="68" spans="1:15" ht="15" customHeight="1">
      <c r="A68" s="357">
        <v>32</v>
      </c>
      <c r="B68" s="91" t="s">
        <v>143</v>
      </c>
      <c r="C68" s="76" t="s">
        <v>175</v>
      </c>
      <c r="D68" s="78">
        <f>VLOOKUP(B69,'E&amp;W'!$A$7:$P$66,7,0)</f>
        <v>1487149</v>
      </c>
      <c r="E68" s="78">
        <f>VLOOKUP(B69,'E&amp;W'!$A$7:$P$66,9,0)</f>
        <v>1523427</v>
      </c>
      <c r="F68" s="78">
        <f>VLOOKUP(B69,'E&amp;W'!$A$7:$P$66,11,0)</f>
        <v>1909712</v>
      </c>
      <c r="G68" s="78">
        <f>VLOOKUP(B69,'E&amp;W'!$A$7:$P$66,13,0)</f>
        <v>2056613</v>
      </c>
      <c r="H68" s="78">
        <f>VLOOKUP(B69,'E&amp;W'!$A$7:$P$66,15,0)</f>
        <v>2130064</v>
      </c>
      <c r="I68" s="78">
        <f>VLOOKUP(B69,'E&amp;W'!$A$7:$AD$66,17,0)</f>
        <v>1953783</v>
      </c>
      <c r="J68" s="78">
        <f>VLOOKUP(B69,'E&amp;W'!$A$7:$AD$66,19,0)</f>
        <v>1983163</v>
      </c>
      <c r="K68" s="78">
        <f>VLOOKUP(B69,'E&amp;W'!$A$7:$AD$66,21,0)</f>
        <v>1762811</v>
      </c>
      <c r="L68" s="78">
        <f>VLOOKUP(B69,'E&amp;W'!$A$7:$AD$66,23,0)</f>
        <v>1689361</v>
      </c>
      <c r="M68" s="78">
        <f>VLOOKUP(B69,'E&amp;W'!$A$7:$AD$66,25,0)</f>
        <v>1469010</v>
      </c>
      <c r="N68" s="78">
        <f>VLOOKUP(B69,'E&amp;W'!$A$7:$AD$66,27,0)</f>
        <v>1469010</v>
      </c>
      <c r="O68" s="78">
        <f>VLOOKUP(B69,'E&amp;W'!$A$7:$AD$66,29,0)</f>
        <v>1175208</v>
      </c>
    </row>
    <row r="69" spans="1:15" ht="15" customHeight="1">
      <c r="A69" s="358"/>
      <c r="B69" s="92">
        <v>1412000035</v>
      </c>
      <c r="C69" s="84" t="s">
        <v>176</v>
      </c>
      <c r="D69" s="85">
        <f>VLOOKUP(B69,'E&amp;W'!$A$7:$P$66,8,0)</f>
        <v>900956</v>
      </c>
      <c r="E69" s="85">
        <f>VLOOKUP(B69,'E&amp;W'!$A$7:$P$66,10,0)</f>
        <v>1059942</v>
      </c>
      <c r="F69" s="85">
        <f>VLOOKUP(B69,'E&amp;W'!$A$7:$P$66,12,0)</f>
        <v>1269700</v>
      </c>
      <c r="G69" s="85">
        <f>VLOOKUP(B69,'E&amp;W'!$A$7:$P$66,14,0)</f>
        <v>1865030</v>
      </c>
      <c r="H69" s="85">
        <f>VLOOKUP(B69,'E&amp;W'!$A$7:$P$66,16,0)</f>
        <v>1670395</v>
      </c>
      <c r="I69" s="85">
        <f>VLOOKUP(B69,'E&amp;W'!$A$7:$AD$66,18,0)</f>
        <v>1489652</v>
      </c>
      <c r="J69" s="85">
        <f>VLOOKUP(B69,'E&amp;W'!$A$7:$AD$66,20,0)</f>
        <v>1048033</v>
      </c>
      <c r="K69" s="85">
        <f>VLOOKUP(B69,'E&amp;W'!$A$7:$AD$66,22,0)</f>
        <v>1459783</v>
      </c>
      <c r="L69" s="85">
        <f>VLOOKUP(B69,'E&amp;W'!$A$7:$AD$66,24,0)</f>
        <v>1457945</v>
      </c>
      <c r="M69" s="85">
        <f>VLOOKUP(B69,'E&amp;W'!$A$7:$AD$66,26,0)</f>
        <v>988625</v>
      </c>
      <c r="N69" s="85">
        <f>VLOOKUP(B69,'E&amp;W'!$A$7:$AD$66,28,0)</f>
        <v>741335</v>
      </c>
      <c r="O69" s="85">
        <f>VLOOKUP(B69,'E&amp;W'!$A$7:$AD$66,30,0)</f>
        <v>861347</v>
      </c>
    </row>
    <row r="70" spans="1:15">
      <c r="A70" s="357">
        <v>33</v>
      </c>
      <c r="B70" s="91" t="s">
        <v>136</v>
      </c>
      <c r="C70" s="76" t="s">
        <v>175</v>
      </c>
      <c r="D70" s="78">
        <f>VLOOKUP(B71,'E&amp;W'!$A$7:$P$66,7,0)</f>
        <v>1651763</v>
      </c>
      <c r="E70" s="78">
        <f>VLOOKUP(B71,'E&amp;W'!$A$7:$P$66,9,0)</f>
        <v>1717520</v>
      </c>
      <c r="F70" s="78">
        <f>VLOOKUP(B71,'E&amp;W'!$A$7:$P$66,11,0)</f>
        <v>2155319</v>
      </c>
      <c r="G70" s="78">
        <f>VLOOKUP(B71,'E&amp;W'!$A$7:$P$66,13,0)</f>
        <v>2299699</v>
      </c>
      <c r="H70" s="78">
        <f>VLOOKUP(B71,'E&amp;W'!$A$7:$P$66,15,0)</f>
        <v>2381958</v>
      </c>
      <c r="I70" s="78">
        <f>VLOOKUP(B71,'E&amp;W'!$A$7:$AD$66,17,0)</f>
        <v>2184830</v>
      </c>
      <c r="J70" s="78">
        <f>VLOOKUP(B71,'E&amp;W'!$A$7:$AD$66,19,0)</f>
        <v>2176851</v>
      </c>
      <c r="K70" s="78">
        <f>VLOOKUP(B71,'E&amp;W'!$A$7:$AD$66,21,0)</f>
        <v>1971275</v>
      </c>
      <c r="L70" s="78">
        <f>VLOOKUP(B71,'E&amp;W'!$A$7:$AD$66,23,0)</f>
        <v>1889139</v>
      </c>
      <c r="M70" s="78">
        <f>VLOOKUP(B71,'E&amp;W'!$A$7:$AD$66,25,0)</f>
        <v>1683563</v>
      </c>
      <c r="N70" s="78">
        <f>VLOOKUP(B71,'E&amp;W'!$A$7:$AD$66,27,0)</f>
        <v>1678629</v>
      </c>
      <c r="O70" s="78">
        <f>VLOOKUP(B71,'E&amp;W'!$A$7:$AD$66,29,0)</f>
        <v>1314184</v>
      </c>
    </row>
    <row r="71" spans="1:15">
      <c r="A71" s="358"/>
      <c r="B71" s="92">
        <v>1412000016</v>
      </c>
      <c r="C71" s="84" t="s">
        <v>176</v>
      </c>
      <c r="D71" s="85">
        <f>VLOOKUP(B71,'E&amp;W'!$A$7:$P$66,8,0)</f>
        <v>494073</v>
      </c>
      <c r="E71" s="85">
        <f>VLOOKUP(B71,'E&amp;W'!$A$7:$P$66,10,0)</f>
        <v>578150</v>
      </c>
      <c r="F71" s="85">
        <f>VLOOKUP(B71,'E&amp;W'!$A$7:$P$66,12,0)</f>
        <v>652989</v>
      </c>
      <c r="G71" s="85">
        <f>VLOOKUP(B71,'E&amp;W'!$A$7:$P$66,14,0)</f>
        <v>932515</v>
      </c>
      <c r="H71" s="85">
        <f>VLOOKUP(B71,'E&amp;W'!$A$7:$P$66,16,0)</f>
        <v>835198</v>
      </c>
      <c r="I71" s="85">
        <f>VLOOKUP(B71,'E&amp;W'!$A$7:$AD$66,18,0)</f>
        <v>724695</v>
      </c>
      <c r="J71" s="85">
        <f>VLOOKUP(B71,'E&amp;W'!$A$7:$AD$66,20,0)</f>
        <v>496437</v>
      </c>
      <c r="K71" s="85">
        <f>VLOOKUP(B71,'E&amp;W'!$A$7:$AD$66,22,0)</f>
        <v>691476</v>
      </c>
      <c r="L71" s="85">
        <f>VLOOKUP(B71,'E&amp;W'!$A$7:$AD$66,24,0)</f>
        <v>690606</v>
      </c>
      <c r="M71" s="85">
        <f>VLOOKUP(B71,'E&amp;W'!$A$7:$AD$66,26,0)</f>
        <v>468296</v>
      </c>
      <c r="N71" s="85">
        <f>VLOOKUP(B71,'E&amp;W'!$A$7:$AD$66,28,0)</f>
        <v>351159</v>
      </c>
      <c r="O71" s="85">
        <f>VLOOKUP(B71,'E&amp;W'!$A$7:$AD$66,30,0)</f>
        <v>408007</v>
      </c>
    </row>
    <row r="72" spans="1:15">
      <c r="A72" s="357">
        <v>34</v>
      </c>
      <c r="B72" s="91" t="s">
        <v>151</v>
      </c>
      <c r="C72" s="76" t="s">
        <v>175</v>
      </c>
      <c r="D72" s="78">
        <f>VLOOKUP(B73,'E&amp;W'!$A$7:$P$66,7,0)</f>
        <v>1455269</v>
      </c>
      <c r="E72" s="78">
        <f>VLOOKUP(B73,'E&amp;W'!$A$7:$P$66,9,0)</f>
        <v>1523645</v>
      </c>
      <c r="F72" s="78">
        <f>VLOOKUP(B73,'E&amp;W'!$A$7:$P$66,11,0)</f>
        <v>1912284</v>
      </c>
      <c r="G72" s="78">
        <f>VLOOKUP(B73,'E&amp;W'!$A$7:$P$66,13,0)</f>
        <v>2042728</v>
      </c>
      <c r="H72" s="78">
        <f>VLOOKUP(B73,'E&amp;W'!$A$7:$P$66,15,0)</f>
        <v>2115781</v>
      </c>
      <c r="I72" s="78">
        <f>VLOOKUP(B73,'E&amp;W'!$A$7:$AD$66,17,0)</f>
        <v>1940682</v>
      </c>
      <c r="J72" s="78">
        <f>VLOOKUP(B73,'E&amp;W'!$A$7:$AD$66,19,0)</f>
        <v>1929032</v>
      </c>
      <c r="K72" s="78">
        <f>VLOOKUP(B73,'E&amp;W'!$A$7:$AD$66,21,0)</f>
        <v>1750991</v>
      </c>
      <c r="L72" s="78">
        <f>VLOOKUP(B73,'E&amp;W'!$A$7:$AD$66,23,0)</f>
        <v>1678033</v>
      </c>
      <c r="M72" s="78">
        <f>VLOOKUP(B73,'E&amp;W'!$A$7:$AD$66,25,0)</f>
        <v>1499992</v>
      </c>
      <c r="N72" s="78">
        <f>VLOOKUP(B73,'E&amp;W'!$A$7:$AD$66,27,0)</f>
        <v>1495059</v>
      </c>
      <c r="O72" s="78">
        <f>VLOOKUP(B73,'E&amp;W'!$A$7:$AD$66,29,0)</f>
        <v>1167327</v>
      </c>
    </row>
    <row r="73" spans="1:15">
      <c r="A73" s="358"/>
      <c r="B73" s="92">
        <v>1412000069</v>
      </c>
      <c r="C73" s="84" t="s">
        <v>176</v>
      </c>
      <c r="D73" s="85">
        <f>VLOOKUP(B73,'E&amp;W'!$A$7:$P$66,8,0)</f>
        <v>377820</v>
      </c>
      <c r="E73" s="85">
        <f>VLOOKUP(B73,'E&amp;W'!$A$7:$P$66,10,0)</f>
        <v>449672</v>
      </c>
      <c r="F73" s="85">
        <f>VLOOKUP(B73,'E&amp;W'!$A$7:$P$66,12,0)</f>
        <v>507880</v>
      </c>
      <c r="G73" s="85">
        <f>VLOOKUP(B73,'E&amp;W'!$A$7:$P$66,14,0)</f>
        <v>725289</v>
      </c>
      <c r="H73" s="85">
        <f>VLOOKUP(B73,'E&amp;W'!$A$7:$P$66,16,0)</f>
        <v>649598</v>
      </c>
      <c r="I73" s="85">
        <f>VLOOKUP(B73,'E&amp;W'!$A$7:$AD$66,18,0)</f>
        <v>563652</v>
      </c>
      <c r="J73" s="85">
        <f>VLOOKUP(B73,'E&amp;W'!$A$7:$AD$66,20,0)</f>
        <v>386117</v>
      </c>
      <c r="K73" s="85">
        <f>VLOOKUP(B73,'E&amp;W'!$A$7:$AD$66,22,0)</f>
        <v>537815</v>
      </c>
      <c r="L73" s="85">
        <f>VLOOKUP(B73,'E&amp;W'!$A$7:$AD$66,24,0)</f>
        <v>537138</v>
      </c>
      <c r="M73" s="85">
        <f>VLOOKUP(B73,'E&amp;W'!$A$7:$AD$66,26,0)</f>
        <v>364230</v>
      </c>
      <c r="N73" s="85">
        <f>VLOOKUP(B73,'E&amp;W'!$A$7:$AD$66,28,0)</f>
        <v>273123</v>
      </c>
      <c r="O73" s="85">
        <f>VLOOKUP(B73,'E&amp;W'!$A$7:$AD$66,30,0)</f>
        <v>317339</v>
      </c>
    </row>
    <row r="74" spans="1:15">
      <c r="A74" s="357">
        <v>35</v>
      </c>
      <c r="B74" s="91" t="s">
        <v>153</v>
      </c>
      <c r="C74" s="76" t="s">
        <v>175</v>
      </c>
      <c r="D74" s="78">
        <f>VLOOKUP(B75,'E&amp;W'!$A$7:$P$66,7,0)</f>
        <v>1080717</v>
      </c>
      <c r="E74" s="78">
        <f>VLOOKUP(B75,'E&amp;W'!$A$7:$P$66,9,0)</f>
        <v>1066313</v>
      </c>
      <c r="F74" s="78">
        <f>VLOOKUP(B75,'E&amp;W'!$A$7:$P$66,11,0)</f>
        <v>1336691</v>
      </c>
      <c r="G74" s="78">
        <f>VLOOKUP(B75,'E&amp;W'!$A$7:$P$66,13,0)</f>
        <v>1477583</v>
      </c>
      <c r="H74" s="78">
        <f>VLOOKUP(B75,'E&amp;W'!$A$7:$P$66,15,0)</f>
        <v>1530516</v>
      </c>
      <c r="I74" s="78">
        <f>VLOOKUP(B75,'E&amp;W'!$A$7:$AD$66,17,0)</f>
        <v>1403853</v>
      </c>
      <c r="J74" s="78">
        <f>VLOOKUP(B75,'E&amp;W'!$A$7:$AD$66,19,0)</f>
        <v>1424963</v>
      </c>
      <c r="K74" s="78">
        <f>VLOOKUP(B75,'E&amp;W'!$A$7:$AD$66,21,0)</f>
        <v>1266634</v>
      </c>
      <c r="L74" s="78">
        <f>VLOOKUP(B75,'E&amp;W'!$A$7:$AD$66,23,0)</f>
        <v>1213858</v>
      </c>
      <c r="M74" s="78">
        <f>VLOOKUP(B75,'E&amp;W'!$A$7:$AD$66,25,0)</f>
        <v>1055528</v>
      </c>
      <c r="N74" s="78">
        <f>VLOOKUP(B75,'E&amp;W'!$A$7:$AD$66,27,0)</f>
        <v>1055528</v>
      </c>
      <c r="O74" s="78">
        <f>VLOOKUP(B75,'E&amp;W'!$A$7:$AD$66,29,0)</f>
        <v>844423</v>
      </c>
    </row>
    <row r="75" spans="1:15">
      <c r="A75" s="358"/>
      <c r="B75" s="92">
        <v>1412000084</v>
      </c>
      <c r="C75" s="84" t="s">
        <v>176</v>
      </c>
      <c r="D75" s="85">
        <f>VLOOKUP(B75,'E&amp;W'!$A$7:$P$66,8,0)</f>
        <v>639388</v>
      </c>
      <c r="E75" s="85">
        <f>VLOOKUP(B75,'E&amp;W'!$A$7:$P$66,10,0)</f>
        <v>706628</v>
      </c>
      <c r="F75" s="85">
        <f>VLOOKUP(B75,'E&amp;W'!$A$7:$P$66,12,0)</f>
        <v>798097</v>
      </c>
      <c r="G75" s="85">
        <f>VLOOKUP(B75,'E&amp;W'!$A$7:$P$66,14,0)</f>
        <v>1191547</v>
      </c>
      <c r="H75" s="85">
        <f>VLOOKUP(B75,'E&amp;W'!$A$7:$P$66,16,0)</f>
        <v>1067197</v>
      </c>
      <c r="I75" s="85">
        <f>VLOOKUP(B75,'E&amp;W'!$A$7:$AD$66,18,0)</f>
        <v>926000</v>
      </c>
      <c r="J75" s="85">
        <f>VLOOKUP(B75,'E&amp;W'!$A$7:$AD$66,20,0)</f>
        <v>634336</v>
      </c>
      <c r="K75" s="85">
        <f>VLOOKUP(B75,'E&amp;W'!$A$7:$AD$66,22,0)</f>
        <v>883553</v>
      </c>
      <c r="L75" s="85">
        <f>VLOOKUP(B75,'E&amp;W'!$A$7:$AD$66,24,0)</f>
        <v>882441</v>
      </c>
      <c r="M75" s="85">
        <f>VLOOKUP(B75,'E&amp;W'!$A$7:$AD$66,26,0)</f>
        <v>598378</v>
      </c>
      <c r="N75" s="85">
        <f>VLOOKUP(B75,'E&amp;W'!$A$7:$AD$66,28,0)</f>
        <v>448703</v>
      </c>
      <c r="O75" s="85">
        <f>VLOOKUP(B75,'E&amp;W'!$A$7:$AD$66,30,0)</f>
        <v>521342</v>
      </c>
    </row>
    <row r="76" spans="1:15" ht="15" customHeight="1">
      <c r="A76" s="357">
        <v>36</v>
      </c>
      <c r="B76" s="91" t="s">
        <v>76</v>
      </c>
      <c r="C76" s="76" t="s">
        <v>175</v>
      </c>
      <c r="D76" s="78">
        <f>VLOOKUP(B77,'E&amp;W'!$A$7:$P$66,7,0)</f>
        <v>808096</v>
      </c>
      <c r="E76" s="78">
        <f>VLOOKUP(B77,'E&amp;W'!$A$7:$P$66,9,0)</f>
        <v>842628</v>
      </c>
      <c r="F76" s="78">
        <f>VLOOKUP(B77,'E&amp;W'!$A$7:$P$66,11,0)</f>
        <v>1058579</v>
      </c>
      <c r="G76" s="78">
        <f>VLOOKUP(B77,'E&amp;W'!$A$7:$P$66,13,0)</f>
        <v>1140008</v>
      </c>
      <c r="H76" s="78">
        <f>VLOOKUP(B77,'E&amp;W'!$A$7:$P$66,15,0)</f>
        <v>1187570</v>
      </c>
      <c r="I76" s="78">
        <f>VLOOKUP(B77,'E&amp;W'!$A$7:$AD$66,17,0)</f>
        <v>1135167</v>
      </c>
      <c r="J76" s="78">
        <f>VLOOKUP(B77,'E&amp;W'!$A$7:$AD$66,19,0)</f>
        <v>1083839</v>
      </c>
      <c r="K76" s="78">
        <f>VLOOKUP(B77,'E&amp;W'!$A$7:$AD$66,21,0)</f>
        <v>1000466</v>
      </c>
      <c r="L76" s="78">
        <f>VLOOKUP(B77,'E&amp;W'!$A$7:$AD$66,23,0)</f>
        <v>958780</v>
      </c>
      <c r="M76" s="78">
        <f>VLOOKUP(B77,'E&amp;W'!$A$7:$AD$66,25,0)</f>
        <v>875408</v>
      </c>
      <c r="N76" s="78">
        <f>VLOOKUP(B77,'E&amp;W'!$A$7:$AD$66,27,0)</f>
        <v>870371</v>
      </c>
      <c r="O76" s="78">
        <f>VLOOKUP(B77,'E&amp;W'!$A$7:$AD$66,29,0)</f>
        <v>666978</v>
      </c>
    </row>
    <row r="77" spans="1:15" ht="15" customHeight="1">
      <c r="A77" s="358"/>
      <c r="B77" s="92">
        <v>1412000050</v>
      </c>
      <c r="C77" s="84" t="s">
        <v>176</v>
      </c>
      <c r="D77" s="85">
        <f>VLOOKUP(B77,'E&amp;W'!$A$7:$P$66,8,0)</f>
        <v>232505</v>
      </c>
      <c r="E77" s="85">
        <f>VLOOKUP(B77,'E&amp;W'!$A$7:$P$66,10,0)</f>
        <v>256956</v>
      </c>
      <c r="F77" s="85">
        <f>VLOOKUP(B77,'E&amp;W'!$A$7:$P$66,12,0)</f>
        <v>290217</v>
      </c>
      <c r="G77" s="85">
        <f>VLOOKUP(B77,'E&amp;W'!$A$7:$P$66,14,0)</f>
        <v>414451</v>
      </c>
      <c r="H77" s="85">
        <f>VLOOKUP(B77,'E&amp;W'!$A$7:$P$66,16,0)</f>
        <v>371199</v>
      </c>
      <c r="I77" s="85">
        <f>VLOOKUP(B77,'E&amp;W'!$A$7:$AD$66,18,0)</f>
        <v>362348</v>
      </c>
      <c r="J77" s="85">
        <f>VLOOKUP(B77,'E&amp;W'!$A$7:$AD$66,20,0)</f>
        <v>248218</v>
      </c>
      <c r="K77" s="85">
        <f>VLOOKUP(B77,'E&amp;W'!$A$7:$AD$66,22,0)</f>
        <v>345738</v>
      </c>
      <c r="L77" s="85">
        <f>VLOOKUP(B77,'E&amp;W'!$A$7:$AD$66,24,0)</f>
        <v>345303</v>
      </c>
      <c r="M77" s="85">
        <f>VLOOKUP(B77,'E&amp;W'!$A$7:$AD$66,26,0)</f>
        <v>234148</v>
      </c>
      <c r="N77" s="85">
        <f>VLOOKUP(B77,'E&amp;W'!$A$7:$AD$66,28,0)</f>
        <v>175579</v>
      </c>
      <c r="O77" s="85">
        <f>VLOOKUP(B77,'E&amp;W'!$A$7:$AD$66,30,0)</f>
        <v>204003</v>
      </c>
    </row>
    <row r="78" spans="1:15" ht="15" customHeight="1">
      <c r="A78" s="357">
        <v>37</v>
      </c>
      <c r="B78" s="91" t="s">
        <v>165</v>
      </c>
      <c r="C78" s="76" t="s">
        <v>175</v>
      </c>
      <c r="D78" s="78">
        <f>VLOOKUP(B79,'E&amp;W'!$A$7:$P$66,7,0)</f>
        <v>1666472</v>
      </c>
      <c r="E78" s="78">
        <f>VLOOKUP(B79,'E&amp;W'!$A$7:$P$66,9,0)</f>
        <v>1738887</v>
      </c>
      <c r="F78" s="78">
        <f>VLOOKUP(B79,'E&amp;W'!$A$7:$P$66,11,0)</f>
        <v>2184535</v>
      </c>
      <c r="G78" s="78">
        <f>VLOOKUP(B79,'E&amp;W'!$A$7:$P$66,13,0)</f>
        <v>2352576</v>
      </c>
      <c r="H78" s="78">
        <f>VLOOKUP(B79,'E&amp;W'!$A$7:$P$66,15,0)</f>
        <v>2452002</v>
      </c>
      <c r="I78" s="78">
        <f>VLOOKUP(B79,'E&amp;W'!$A$7:$AD$66,17,0)</f>
        <v>2108877</v>
      </c>
      <c r="J78" s="78">
        <f>VLOOKUP(B79,'E&amp;W'!$A$7:$AD$66,19,0)</f>
        <v>2215645</v>
      </c>
      <c r="K78" s="78">
        <f>VLOOKUP(B79,'E&amp;W'!$A$7:$AD$66,21,0)</f>
        <v>2045211</v>
      </c>
      <c r="L78" s="78">
        <f>VLOOKUP(B79,'E&amp;W'!$A$7:$AD$66,23,0)</f>
        <v>1959994</v>
      </c>
      <c r="M78" s="78">
        <f>VLOOKUP(B79,'E&amp;W'!$A$7:$AD$66,25,0)</f>
        <v>1789560</v>
      </c>
      <c r="N78" s="78">
        <f>VLOOKUP(B79,'E&amp;W'!$A$7:$AD$66,27,0)</f>
        <v>1779263</v>
      </c>
      <c r="O78" s="78">
        <f>VLOOKUP(B79,'E&amp;W'!$A$7:$AD$66,29,0)</f>
        <v>1363474</v>
      </c>
    </row>
    <row r="79" spans="1:15" ht="15" customHeight="1">
      <c r="A79" s="358"/>
      <c r="B79" s="92">
        <v>1412000077</v>
      </c>
      <c r="C79" s="84" t="s">
        <v>176</v>
      </c>
      <c r="D79" s="85">
        <f>VLOOKUP(B79,'E&amp;W'!$A$7:$P$66,8,0)</f>
        <v>523136</v>
      </c>
      <c r="E79" s="85">
        <f>VLOOKUP(B79,'E&amp;W'!$A$7:$P$66,10,0)</f>
        <v>578150</v>
      </c>
      <c r="F79" s="85">
        <f>VLOOKUP(B79,'E&amp;W'!$A$7:$P$66,12,0)</f>
        <v>652989</v>
      </c>
      <c r="G79" s="85">
        <f>VLOOKUP(B79,'E&amp;W'!$A$7:$P$66,14,0)</f>
        <v>932515</v>
      </c>
      <c r="H79" s="85">
        <f>VLOOKUP(B79,'E&amp;W'!$A$7:$P$66,16,0)</f>
        <v>835198</v>
      </c>
      <c r="I79" s="85">
        <f>VLOOKUP(B79,'E&amp;W'!$A$7:$AD$66,18,0)</f>
        <v>724695</v>
      </c>
      <c r="J79" s="85">
        <f>VLOOKUP(B79,'E&amp;W'!$A$7:$AD$66,20,0)</f>
        <v>551596</v>
      </c>
      <c r="K79" s="85">
        <f>VLOOKUP(B79,'E&amp;W'!$A$7:$AD$66,22,0)</f>
        <v>768307</v>
      </c>
      <c r="L79" s="85">
        <f>VLOOKUP(B79,'E&amp;W'!$A$7:$AD$66,24,0)</f>
        <v>767340</v>
      </c>
      <c r="M79" s="85">
        <f>VLOOKUP(B79,'E&amp;W'!$A$7:$AD$66,26,0)</f>
        <v>520329</v>
      </c>
      <c r="N79" s="85">
        <f>VLOOKUP(B79,'E&amp;W'!$A$7:$AD$66,28,0)</f>
        <v>390176</v>
      </c>
      <c r="O79" s="85">
        <f>VLOOKUP(B79,'E&amp;W'!$A$7:$AD$66,30,0)</f>
        <v>453341</v>
      </c>
    </row>
    <row r="80" spans="1:15">
      <c r="A80" s="357">
        <v>38</v>
      </c>
      <c r="B80" s="91" t="s">
        <v>166</v>
      </c>
      <c r="C80" s="76" t="s">
        <v>175</v>
      </c>
      <c r="D80" s="78">
        <f>VLOOKUP(B81,'E&amp;W'!$A$7:$P$66,7,0)</f>
        <v>1030050</v>
      </c>
      <c r="E80" s="78">
        <f>VLOOKUP(B81,'E&amp;W'!$A$7:$P$66,9,0)</f>
        <v>1075511</v>
      </c>
      <c r="F80" s="78">
        <f>VLOOKUP(B81,'E&amp;W'!$A$7:$P$66,11,0)</f>
        <v>1351147</v>
      </c>
      <c r="G80" s="78">
        <f>VLOOKUP(B81,'E&amp;W'!$A$7:$P$66,13,0)</f>
        <v>1455081</v>
      </c>
      <c r="H80" s="78">
        <f>VLOOKUP(B81,'E&amp;W'!$A$7:$P$66,15,0)</f>
        <v>1517318</v>
      </c>
      <c r="I80" s="78">
        <f>VLOOKUP(B81,'E&amp;W'!$A$7:$AD$66,17,0)</f>
        <v>1298280</v>
      </c>
      <c r="J80" s="78">
        <f>VLOOKUP(B81,'E&amp;W'!$A$7:$AD$66,19,0)</f>
        <v>1234698</v>
      </c>
      <c r="K80" s="78">
        <f>VLOOKUP(B81,'E&amp;W'!$A$7:$AD$66,21,0)</f>
        <v>1139722</v>
      </c>
      <c r="L80" s="78">
        <f>VLOOKUP(B81,'E&amp;W'!$A$7:$AD$66,23,0)</f>
        <v>1092233</v>
      </c>
      <c r="M80" s="78">
        <f>VLOOKUP(B81,'E&amp;W'!$A$7:$AD$66,25,0)</f>
        <v>997256</v>
      </c>
      <c r="N80" s="78">
        <f>VLOOKUP(B81,'E&amp;W'!$A$7:$AD$66,27,0)</f>
        <v>991518</v>
      </c>
      <c r="O80" s="78">
        <f>VLOOKUP(B81,'E&amp;W'!$A$7:$AD$66,29,0)</f>
        <v>759814</v>
      </c>
    </row>
    <row r="81" spans="1:15">
      <c r="A81" s="358"/>
      <c r="B81" s="92">
        <v>1412000083</v>
      </c>
      <c r="C81" s="84" t="s">
        <v>176</v>
      </c>
      <c r="D81" s="85">
        <f>VLOOKUP(B81,'E&amp;W'!$A$7:$P$66,8,0)</f>
        <v>348757</v>
      </c>
      <c r="E81" s="85">
        <f>VLOOKUP(B81,'E&amp;W'!$A$7:$P$66,10,0)</f>
        <v>385433</v>
      </c>
      <c r="F81" s="85">
        <f>VLOOKUP(B81,'E&amp;W'!$A$7:$P$66,12,0)</f>
        <v>435326</v>
      </c>
      <c r="G81" s="85">
        <f>VLOOKUP(B81,'E&amp;W'!$A$7:$P$66,14,0)</f>
        <v>621677</v>
      </c>
      <c r="H81" s="85">
        <f>VLOOKUP(B81,'E&amp;W'!$A$7:$P$66,16,0)</f>
        <v>556798</v>
      </c>
      <c r="I81" s="85">
        <f>VLOOKUP(B81,'E&amp;W'!$A$7:$AD$66,18,0)</f>
        <v>483130</v>
      </c>
      <c r="J81" s="85">
        <f>VLOOKUP(B81,'E&amp;W'!$A$7:$AD$66,20,0)</f>
        <v>330958</v>
      </c>
      <c r="K81" s="85">
        <f>VLOOKUP(B81,'E&amp;W'!$A$7:$AD$66,22,0)</f>
        <v>460984</v>
      </c>
      <c r="L81" s="85">
        <f>VLOOKUP(B81,'E&amp;W'!$A$7:$AD$66,24,0)</f>
        <v>460404</v>
      </c>
      <c r="M81" s="85">
        <f>VLOOKUP(B81,'E&amp;W'!$A$7:$AD$66,26,0)</f>
        <v>312197</v>
      </c>
      <c r="N81" s="85">
        <f>VLOOKUP(B81,'E&amp;W'!$A$7:$AD$66,28,0)</f>
        <v>234106</v>
      </c>
      <c r="O81" s="85">
        <f>VLOOKUP(B81,'E&amp;W'!$A$7:$AD$66,30,0)</f>
        <v>272004</v>
      </c>
    </row>
    <row r="82" spans="1:15">
      <c r="A82" s="357">
        <v>39</v>
      </c>
      <c r="B82" s="102" t="s">
        <v>167</v>
      </c>
      <c r="C82" s="103" t="s">
        <v>175</v>
      </c>
      <c r="D82" s="104">
        <f>VLOOKUP(B83,'E&amp;W'!$A$7:$P$66,7,0)</f>
        <v>1373400</v>
      </c>
      <c r="E82" s="104">
        <f>VLOOKUP(B83,'E&amp;W'!$A$7:$P$66,9,0)</f>
        <v>1434015</v>
      </c>
      <c r="F82" s="104">
        <f>VLOOKUP(B83,'E&amp;W'!$A$7:$P$66,11,0)</f>
        <v>1801529</v>
      </c>
      <c r="G82" s="104">
        <f>VLOOKUP(B83,'E&amp;W'!$A$7:$P$66,13,0)</f>
        <v>1940108</v>
      </c>
      <c r="H82" s="104">
        <f>VLOOKUP(B83,'E&amp;W'!$A$7:$P$66,15,0)</f>
        <v>2023091</v>
      </c>
      <c r="I82" s="104">
        <f>VLOOKUP(B83,'E&amp;W'!$A$7:$AD$66,17,0)</f>
        <v>1731040</v>
      </c>
      <c r="J82" s="104">
        <f>VLOOKUP(B83,'E&amp;W'!$A$7:$AD$66,19,0)</f>
        <v>1646264</v>
      </c>
      <c r="K82" s="104">
        <f>VLOOKUP(B83,'E&amp;W'!$A$7:$AD$66,21,0)</f>
        <v>1519629</v>
      </c>
      <c r="L82" s="104">
        <f>VLOOKUP(B83,'E&amp;W'!$A$7:$AD$66,23,0)</f>
        <v>1456311</v>
      </c>
      <c r="M82" s="104">
        <f>VLOOKUP(B83,'E&amp;W'!$A$7:$AD$66,25,0)</f>
        <v>1329675</v>
      </c>
      <c r="N82" s="104">
        <f>VLOOKUP(B83,'E&amp;W'!$A$7:$AD$66,27,0)</f>
        <v>1322025</v>
      </c>
      <c r="O82" s="104">
        <f>VLOOKUP(B83,'E&amp;W'!$A$7:$AD$66,29,0)</f>
        <v>1013086</v>
      </c>
    </row>
    <row r="83" spans="1:15">
      <c r="A83" s="358"/>
      <c r="B83" s="105">
        <v>1412000099</v>
      </c>
      <c r="C83" s="106" t="s">
        <v>176</v>
      </c>
      <c r="D83" s="107">
        <f>VLOOKUP(B83,'E&amp;W'!$A$7:$P$66,8,0)</f>
        <v>465010</v>
      </c>
      <c r="E83" s="107">
        <f>VLOOKUP(B83,'E&amp;W'!$A$7:$P$66,10,0)</f>
        <v>513911</v>
      </c>
      <c r="F83" s="107">
        <f>VLOOKUP(B83,'E&amp;W'!$A$7:$P$66,12,0)</f>
        <v>580434</v>
      </c>
      <c r="G83" s="107">
        <f>VLOOKUP(B83,'E&amp;W'!$A$7:$P$66,14,0)</f>
        <v>828902</v>
      </c>
      <c r="H83" s="107">
        <f>VLOOKUP(B83,'E&amp;W'!$A$7:$P$66,16,0)</f>
        <v>742398</v>
      </c>
      <c r="I83" s="107">
        <f>VLOOKUP(B83,'E&amp;W'!$A$7:$AD$66,18,0)</f>
        <v>644174</v>
      </c>
      <c r="J83" s="107">
        <f>VLOOKUP(B83,'E&amp;W'!$A$7:$AD$66,20,0)</f>
        <v>441277</v>
      </c>
      <c r="K83" s="107">
        <f>VLOOKUP(B83,'E&amp;W'!$A$7:$AD$66,22,0)</f>
        <v>614645</v>
      </c>
      <c r="L83" s="107">
        <f>VLOOKUP(B83,'E&amp;W'!$A$7:$AD$66,24,0)</f>
        <v>613872</v>
      </c>
      <c r="M83" s="107">
        <f>VLOOKUP(B83,'E&amp;W'!$A$7:$AD$66,26,0)</f>
        <v>416263</v>
      </c>
      <c r="N83" s="107">
        <f>VLOOKUP(B83,'E&amp;W'!$A$7:$AD$66,28,0)</f>
        <v>312141</v>
      </c>
      <c r="O83" s="107">
        <f>VLOOKUP(B83,'E&amp;W'!$A$7:$AD$66,30,0)</f>
        <v>362673</v>
      </c>
    </row>
    <row r="84" spans="1:15">
      <c r="A84" s="357">
        <v>40</v>
      </c>
      <c r="B84" s="305" t="s">
        <v>193</v>
      </c>
      <c r="C84" s="306" t="s">
        <v>175</v>
      </c>
      <c r="D84" s="311">
        <f>VLOOKUP(B85,'E&amp;W'!$A$7:$P$66,7,0)</f>
        <v>686700</v>
      </c>
      <c r="E84" s="311">
        <f>VLOOKUP(B85,'E&amp;W'!$A$7:$P$66,9,0)</f>
        <v>717007</v>
      </c>
      <c r="F84" s="311">
        <f>VLOOKUP(B85,'E&amp;W'!$A$7:$P$66,11,0)</f>
        <v>900764</v>
      </c>
      <c r="G84" s="311">
        <f>VLOOKUP(B85,'E&amp;W'!$A$7:$P$66,13,0)</f>
        <v>970054</v>
      </c>
      <c r="H84" s="311">
        <f>VLOOKUP(B85,'E&amp;W'!$A$7:$P$66,15,0)</f>
        <v>1011546</v>
      </c>
      <c r="I84" s="311">
        <f>VLOOKUP(B85,'E&amp;W'!$A$7:$AD$66,17,0)</f>
        <v>865520</v>
      </c>
      <c r="J84" s="311">
        <f>VLOOKUP(B85,'E&amp;W'!$A$7:$AD$66,19,0)</f>
        <v>823132</v>
      </c>
      <c r="K84" s="311">
        <f>VLOOKUP(B85,'E&amp;W'!$A$7:$AD$66,21,0)</f>
        <v>759814</v>
      </c>
      <c r="L84" s="311">
        <f>VLOOKUP(B85,'E&amp;W'!$A$7:$AD$66,23,0)</f>
        <v>728155</v>
      </c>
      <c r="M84" s="311">
        <f>VLOOKUP(B85,'E&amp;W'!$A$7:$AD$66,25,0)</f>
        <v>664838</v>
      </c>
      <c r="N84" s="311">
        <f>VLOOKUP(B85,'E&amp;W'!$A$7:$AD$66,27,0)</f>
        <v>661012</v>
      </c>
      <c r="O84" s="311">
        <f>VLOOKUP(B85,'E&amp;W'!$A$7:$AD$66,29,0)</f>
        <v>506543</v>
      </c>
    </row>
    <row r="85" spans="1:15">
      <c r="A85" s="358"/>
      <c r="B85" s="308">
        <v>1412000100</v>
      </c>
      <c r="C85" s="309" t="s">
        <v>176</v>
      </c>
      <c r="D85" s="312">
        <f>VLOOKUP(B85,'E&amp;W'!$A$7:$P$66,8,0)</f>
        <v>232505</v>
      </c>
      <c r="E85" s="312">
        <f>VLOOKUP(B85,'E&amp;W'!$A$7:$P$66,10,0)</f>
        <v>256956</v>
      </c>
      <c r="F85" s="312">
        <f>VLOOKUP(B85,'E&amp;W'!$A$7:$P$66,12,0)</f>
        <v>290217</v>
      </c>
      <c r="G85" s="312">
        <f>VLOOKUP(B85,'E&amp;W'!$A$7:$P$66,14,0)</f>
        <v>414451</v>
      </c>
      <c r="H85" s="312">
        <f>VLOOKUP(B85,'E&amp;W'!$A$7:$P$66,16,0)</f>
        <v>371199</v>
      </c>
      <c r="I85" s="312">
        <f>VLOOKUP(B85,'E&amp;W'!$A$7:$AD$66,18,0)</f>
        <v>322087</v>
      </c>
      <c r="J85" s="312">
        <f>VLOOKUP(B85,'E&amp;W'!$A$7:$AD$66,20,0)</f>
        <v>220639</v>
      </c>
      <c r="K85" s="312">
        <f>VLOOKUP(B85,'E&amp;W'!$A$7:$AD$66,22,0)</f>
        <v>307323</v>
      </c>
      <c r="L85" s="312">
        <f>VLOOKUP(B85,'E&amp;W'!$A$7:$AD$66,24,0)</f>
        <v>306936</v>
      </c>
      <c r="M85" s="312">
        <f>VLOOKUP(B85,'E&amp;W'!$A$7:$AD$66,26,0)</f>
        <v>208132</v>
      </c>
      <c r="N85" s="312">
        <f>VLOOKUP(B85,'E&amp;W'!$A$7:$AD$66,28,0)</f>
        <v>156070</v>
      </c>
      <c r="O85" s="312">
        <f>VLOOKUP(B85,'E&amp;W'!$A$7:$AD$66,30,0)</f>
        <v>181336</v>
      </c>
    </row>
    <row r="86" spans="1:15">
      <c r="A86" s="357">
        <v>41</v>
      </c>
      <c r="B86" s="91" t="s">
        <v>72</v>
      </c>
      <c r="C86" s="76" t="s">
        <v>175</v>
      </c>
      <c r="D86" s="78">
        <f>VLOOKUP(B87,'E&amp;W'!$A$7:$P$66,7,0)</f>
        <v>893934</v>
      </c>
      <c r="E86" s="78">
        <f>VLOOKUP(B87,'E&amp;W'!$A$7:$P$66,9,0)</f>
        <v>932254</v>
      </c>
      <c r="F86" s="78">
        <f>VLOOKUP(B87,'E&amp;W'!$A$7:$P$66,11,0)</f>
        <v>1171175</v>
      </c>
      <c r="G86" s="78">
        <f>VLOOKUP(B87,'E&amp;W'!$A$7:$P$66,13,0)</f>
        <v>1261265</v>
      </c>
      <c r="H86" s="78">
        <f>VLOOKUP(B87,'E&amp;W'!$A$7:$P$66,15,0)</f>
        <v>1314013</v>
      </c>
      <c r="I86" s="78">
        <f>VLOOKUP(B87,'E&amp;W'!$A$7:$AD$66,17,0)</f>
        <v>1243357</v>
      </c>
      <c r="J86" s="78">
        <f>VLOOKUP(B87,'E&amp;W'!$A$7:$AD$66,19,0)</f>
        <v>1186730</v>
      </c>
      <c r="K86" s="78">
        <f>VLOOKUP(B87,'E&amp;W'!$A$7:$AD$66,21,0)</f>
        <v>1095443</v>
      </c>
      <c r="L86" s="78">
        <f>VLOOKUP(B87,'E&amp;W'!$A$7:$AD$66,23,0)</f>
        <v>1049800</v>
      </c>
      <c r="M86" s="78">
        <f>VLOOKUP(B87,'E&amp;W'!$A$7:$AD$66,25,0)</f>
        <v>958513</v>
      </c>
      <c r="N86" s="78">
        <f>VLOOKUP(B87,'E&amp;W'!$A$7:$AD$66,27,0)</f>
        <v>952998</v>
      </c>
      <c r="O86" s="78">
        <f>VLOOKUP(B87,'E&amp;W'!$A$7:$AD$66,29,0)</f>
        <v>730295</v>
      </c>
    </row>
    <row r="87" spans="1:15">
      <c r="A87" s="358"/>
      <c r="B87" s="92">
        <v>1412000057</v>
      </c>
      <c r="C87" s="84" t="s">
        <v>176</v>
      </c>
      <c r="D87" s="85">
        <f>VLOOKUP(B87,'E&amp;W'!$A$7:$P$66,8,0)</f>
        <v>261568</v>
      </c>
      <c r="E87" s="85">
        <f>VLOOKUP(B87,'E&amp;W'!$A$7:$P$66,10,0)</f>
        <v>289075</v>
      </c>
      <c r="F87" s="85">
        <f>VLOOKUP(B87,'E&amp;W'!$A$7:$P$66,12,0)</f>
        <v>326494</v>
      </c>
      <c r="G87" s="85">
        <f>VLOOKUP(B87,'E&amp;W'!$A$7:$P$66,14,0)</f>
        <v>466257</v>
      </c>
      <c r="H87" s="85">
        <f>VLOOKUP(B87,'E&amp;W'!$A$7:$P$66,16,0)</f>
        <v>417599</v>
      </c>
      <c r="I87" s="85">
        <f>VLOOKUP(B87,'E&amp;W'!$A$7:$AD$66,18,0)</f>
        <v>402609</v>
      </c>
      <c r="J87" s="85">
        <f>VLOOKUP(B87,'E&amp;W'!$A$7:$AD$66,20,0)</f>
        <v>275798</v>
      </c>
      <c r="K87" s="85">
        <f>VLOOKUP(B87,'E&amp;W'!$A$7:$AD$66,22,0)</f>
        <v>384153</v>
      </c>
      <c r="L87" s="85">
        <f>VLOOKUP(B87,'E&amp;W'!$A$7:$AD$66,24,0)</f>
        <v>383670</v>
      </c>
      <c r="M87" s="85">
        <f>VLOOKUP(B87,'E&amp;W'!$A$7:$AD$66,26,0)</f>
        <v>260165</v>
      </c>
      <c r="N87" s="85">
        <f>VLOOKUP(B87,'E&amp;W'!$A$7:$AD$66,28,0)</f>
        <v>195088</v>
      </c>
      <c r="O87" s="85">
        <f>VLOOKUP(B87,'E&amp;W'!$A$7:$AD$66,30,0)</f>
        <v>226670</v>
      </c>
    </row>
    <row r="88" spans="1:15">
      <c r="A88" s="357">
        <v>42</v>
      </c>
      <c r="B88" s="305" t="s">
        <v>190</v>
      </c>
      <c r="C88" s="306" t="s">
        <v>175</v>
      </c>
      <c r="D88" s="311">
        <f>VLOOKUP(B89,'E&amp;W'!$A$7:$P$66,7,0)</f>
        <v>686700</v>
      </c>
      <c r="E88" s="311">
        <f>VLOOKUP(B89,'E&amp;W'!$A$7:$P$66,9,0)</f>
        <v>717007</v>
      </c>
      <c r="F88" s="311">
        <f>VLOOKUP(B89,'E&amp;W'!$A$7:$P$66,11,0)</f>
        <v>900764</v>
      </c>
      <c r="G88" s="311">
        <f>VLOOKUP(B89,'E&amp;W'!$A$7:$P$66,13,0)</f>
        <v>970054</v>
      </c>
      <c r="H88" s="311">
        <f>VLOOKUP(B89,'E&amp;W'!$A$7:$P$66,15,0)</f>
        <v>1011546</v>
      </c>
      <c r="I88" s="311">
        <f>VLOOKUP(B89,'E&amp;W'!$A$7:$AD$66,17,0)</f>
        <v>973710</v>
      </c>
      <c r="J88" s="311">
        <f>VLOOKUP(B89,'E&amp;W'!$A$7:$AD$66,19,0)</f>
        <v>926024</v>
      </c>
      <c r="K88" s="311">
        <f>VLOOKUP(B89,'E&amp;W'!$A$7:$AD$66,21,0)</f>
        <v>854791</v>
      </c>
      <c r="L88" s="311">
        <f>VLOOKUP(B89,'E&amp;W'!$A$7:$AD$66,23,0)</f>
        <v>819175</v>
      </c>
      <c r="M88" s="311">
        <f>VLOOKUP(B89,'E&amp;W'!$A$7:$AD$66,25,0)</f>
        <v>747942</v>
      </c>
      <c r="N88" s="311">
        <f>VLOOKUP(B89,'E&amp;W'!$A$7:$AD$66,27,0)</f>
        <v>743639</v>
      </c>
      <c r="O88" s="311">
        <f>VLOOKUP(B89,'E&amp;W'!$A$7:$AD$66,29,0)</f>
        <v>569861</v>
      </c>
    </row>
    <row r="89" spans="1:15">
      <c r="A89" s="358"/>
      <c r="B89" s="308">
        <v>1412000101</v>
      </c>
      <c r="C89" s="309" t="s">
        <v>176</v>
      </c>
      <c r="D89" s="312">
        <f>VLOOKUP(B89,'E&amp;W'!$A$7:$P$66,8,0)</f>
        <v>232505</v>
      </c>
      <c r="E89" s="312">
        <f>VLOOKUP(B89,'E&amp;W'!$A$7:$P$66,10,0)</f>
        <v>256956</v>
      </c>
      <c r="F89" s="312">
        <f>VLOOKUP(B89,'E&amp;W'!$A$7:$P$66,12,0)</f>
        <v>290217</v>
      </c>
      <c r="G89" s="312">
        <f>VLOOKUP(B89,'E&amp;W'!$A$7:$P$66,14,0)</f>
        <v>414451</v>
      </c>
      <c r="H89" s="312">
        <f>VLOOKUP(B89,'E&amp;W'!$A$7:$P$66,16,0)</f>
        <v>371199</v>
      </c>
      <c r="I89" s="312">
        <f>VLOOKUP(B89,'E&amp;W'!$A$7:$AD$66,18,0)</f>
        <v>362348</v>
      </c>
      <c r="J89" s="312">
        <f>VLOOKUP(B89,'E&amp;W'!$A$7:$AD$66,20,0)</f>
        <v>248218</v>
      </c>
      <c r="K89" s="312">
        <f>VLOOKUP(B89,'E&amp;W'!$A$7:$AD$66,22,0)</f>
        <v>345738</v>
      </c>
      <c r="L89" s="312">
        <f>VLOOKUP(B89,'E&amp;W'!$A$7:$AD$66,24,0)</f>
        <v>345303</v>
      </c>
      <c r="M89" s="312">
        <f>VLOOKUP(B89,'E&amp;W'!$A$7:$AD$66,26,0)</f>
        <v>234148</v>
      </c>
      <c r="N89" s="312">
        <f>VLOOKUP(B89,'E&amp;W'!$A$7:$AD$66,28,0)</f>
        <v>175579</v>
      </c>
      <c r="O89" s="312">
        <f>VLOOKUP(B89,'E&amp;W'!$A$7:$AD$66,30,0)</f>
        <v>204003</v>
      </c>
    </row>
    <row r="90" spans="1:15">
      <c r="A90" s="357">
        <v>43</v>
      </c>
      <c r="B90" s="91" t="s">
        <v>168</v>
      </c>
      <c r="C90" s="76" t="s">
        <v>175</v>
      </c>
      <c r="D90" s="78">
        <f>VLOOKUP(B91,'E&amp;W'!$A$7:$P$66,7,0)</f>
        <v>1151446</v>
      </c>
      <c r="E90" s="78">
        <f>VLOOKUP(B91,'E&amp;W'!$A$7:$P$66,9,0)</f>
        <v>1201132</v>
      </c>
      <c r="F90" s="78">
        <f>VLOOKUP(B91,'E&amp;W'!$A$7:$P$66,11,0)</f>
        <v>1508961</v>
      </c>
      <c r="G90" s="78">
        <f>VLOOKUP(B91,'E&amp;W'!$A$7:$P$66,13,0)</f>
        <v>1625035</v>
      </c>
      <c r="H90" s="78">
        <f>VLOOKUP(B91,'E&amp;W'!$A$7:$P$66,15,0)</f>
        <v>1693343</v>
      </c>
      <c r="I90" s="78">
        <f>VLOOKUP(B91,'E&amp;W'!$A$7:$AD$66,17,0)</f>
        <v>1676117</v>
      </c>
      <c r="J90" s="78">
        <f>VLOOKUP(B91,'E&amp;W'!$A$7:$AD$66,19,0)</f>
        <v>1701188</v>
      </c>
      <c r="K90" s="78">
        <f>VLOOKUP(B91,'E&amp;W'!$A$7:$AD$66,21,0)</f>
        <v>1570327</v>
      </c>
      <c r="L90" s="78">
        <f>VLOOKUP(B91,'E&amp;W'!$A$7:$AD$66,23,0)</f>
        <v>1504897</v>
      </c>
      <c r="M90" s="78">
        <f>VLOOKUP(B91,'E&amp;W'!$A$7:$AD$66,25,0)</f>
        <v>1374036</v>
      </c>
      <c r="N90" s="78">
        <f>VLOOKUP(B91,'E&amp;W'!$A$7:$AD$66,27,0)</f>
        <v>1366131</v>
      </c>
      <c r="O90" s="78">
        <f>VLOOKUP(B91,'E&amp;W'!$A$7:$AD$66,29,0)</f>
        <v>1046885</v>
      </c>
    </row>
    <row r="91" spans="1:15">
      <c r="A91" s="358"/>
      <c r="B91" s="92">
        <v>1412000078</v>
      </c>
      <c r="C91" s="84" t="s">
        <v>176</v>
      </c>
      <c r="D91" s="85">
        <f>VLOOKUP(B91,'E&amp;W'!$A$7:$P$66,8,0)</f>
        <v>348757</v>
      </c>
      <c r="E91" s="85">
        <f>VLOOKUP(B91,'E&amp;W'!$A$7:$P$66,10,0)</f>
        <v>385433</v>
      </c>
      <c r="F91" s="85">
        <f>VLOOKUP(B91,'E&amp;W'!$A$7:$P$66,12,0)</f>
        <v>435326</v>
      </c>
      <c r="G91" s="85">
        <f>VLOOKUP(B91,'E&amp;W'!$A$7:$P$66,14,0)</f>
        <v>621677</v>
      </c>
      <c r="H91" s="85">
        <f>VLOOKUP(B91,'E&amp;W'!$A$7:$P$66,16,0)</f>
        <v>556798</v>
      </c>
      <c r="I91" s="85">
        <f>VLOOKUP(B91,'E&amp;W'!$A$7:$AD$66,18,0)</f>
        <v>563652</v>
      </c>
      <c r="J91" s="85">
        <f>VLOOKUP(B91,'E&amp;W'!$A$7:$AD$66,20,0)</f>
        <v>413697</v>
      </c>
      <c r="K91" s="85">
        <f>VLOOKUP(B91,'E&amp;W'!$A$7:$AD$66,22,0)</f>
        <v>576230</v>
      </c>
      <c r="L91" s="85">
        <f>VLOOKUP(B91,'E&amp;W'!$A$7:$AD$66,24,0)</f>
        <v>575505</v>
      </c>
      <c r="M91" s="85">
        <f>VLOOKUP(B91,'E&amp;W'!$A$7:$AD$66,26,0)</f>
        <v>390247</v>
      </c>
      <c r="N91" s="85">
        <f>VLOOKUP(B91,'E&amp;W'!$A$7:$AD$66,28,0)</f>
        <v>292632</v>
      </c>
      <c r="O91" s="85">
        <f>VLOOKUP(B91,'E&amp;W'!$A$7:$AD$66,30,0)</f>
        <v>340006</v>
      </c>
    </row>
    <row r="92" spans="1:15">
      <c r="A92" s="357">
        <v>44</v>
      </c>
      <c r="B92" s="91" t="s">
        <v>169</v>
      </c>
      <c r="C92" s="76" t="s">
        <v>175</v>
      </c>
      <c r="D92" s="78">
        <f>VLOOKUP(B93,'E&amp;W'!$A$7:$P$66,7,0)</f>
        <v>979771</v>
      </c>
      <c r="E92" s="78">
        <f>VLOOKUP(B93,'E&amp;W'!$A$7:$P$66,9,0)</f>
        <v>1021880</v>
      </c>
      <c r="F92" s="78">
        <f>VLOOKUP(B93,'E&amp;W'!$A$7:$P$66,11,0)</f>
        <v>1283770</v>
      </c>
      <c r="G92" s="78">
        <f>VLOOKUP(B93,'E&amp;W'!$A$7:$P$66,13,0)</f>
        <v>1382522</v>
      </c>
      <c r="H92" s="78">
        <f>VLOOKUP(B93,'E&amp;W'!$A$7:$P$66,15,0)</f>
        <v>1440456</v>
      </c>
      <c r="I92" s="78">
        <f>VLOOKUP(B93,'E&amp;W'!$A$7:$AD$66,17,0)</f>
        <v>1459737</v>
      </c>
      <c r="J92" s="78">
        <f>VLOOKUP(B93,'E&amp;W'!$A$7:$AD$66,19,0)</f>
        <v>1392513</v>
      </c>
      <c r="K92" s="78">
        <f>VLOOKUP(B93,'E&amp;W'!$A$7:$AD$66,21,0)</f>
        <v>1285397</v>
      </c>
      <c r="L92" s="78">
        <f>VLOOKUP(B93,'E&amp;W'!$A$7:$AD$66,23,0)</f>
        <v>1231839</v>
      </c>
      <c r="M92" s="78">
        <f>VLOOKUP(B93,'E&amp;W'!$A$7:$AD$66,25,0)</f>
        <v>1124722</v>
      </c>
      <c r="N92" s="78">
        <f>VLOOKUP(B93,'E&amp;W'!$A$7:$AD$66,27,0)</f>
        <v>1118251</v>
      </c>
      <c r="O92" s="78">
        <f>VLOOKUP(B93,'E&amp;W'!$A$7:$AD$66,29,0)</f>
        <v>856931</v>
      </c>
    </row>
    <row r="93" spans="1:15">
      <c r="A93" s="358"/>
      <c r="B93" s="92">
        <v>1412000096</v>
      </c>
      <c r="C93" s="84" t="s">
        <v>176</v>
      </c>
      <c r="D93" s="85">
        <f>VLOOKUP(B93,'E&amp;W'!$A$7:$P$66,8,0)</f>
        <v>290631</v>
      </c>
      <c r="E93" s="85">
        <f>VLOOKUP(B93,'E&amp;W'!$A$7:$P$66,10,0)</f>
        <v>321195</v>
      </c>
      <c r="F93" s="85">
        <f>VLOOKUP(B93,'E&amp;W'!$A$7:$P$66,12,0)</f>
        <v>362771</v>
      </c>
      <c r="G93" s="85">
        <f>VLOOKUP(B93,'E&amp;W'!$A$7:$P$66,14,0)</f>
        <v>518064</v>
      </c>
      <c r="H93" s="85">
        <f>VLOOKUP(B93,'E&amp;W'!$A$7:$P$66,16,0)</f>
        <v>463999</v>
      </c>
      <c r="I93" s="85">
        <f>VLOOKUP(B93,'E&amp;W'!$A$7:$AD$66,18,0)</f>
        <v>483130</v>
      </c>
      <c r="J93" s="85">
        <f>VLOOKUP(B93,'E&amp;W'!$A$7:$AD$66,20,0)</f>
        <v>330958</v>
      </c>
      <c r="K93" s="85">
        <f>VLOOKUP(B93,'E&amp;W'!$A$7:$AD$66,22,0)</f>
        <v>460984</v>
      </c>
      <c r="L93" s="85">
        <f>VLOOKUP(B93,'E&amp;W'!$A$7:$AD$66,24,0)</f>
        <v>460404</v>
      </c>
      <c r="M93" s="85">
        <f>VLOOKUP(B93,'E&amp;W'!$A$7:$AD$66,26,0)</f>
        <v>312197</v>
      </c>
      <c r="N93" s="85">
        <f>VLOOKUP(B93,'E&amp;W'!$A$7:$AD$66,28,0)</f>
        <v>234106</v>
      </c>
      <c r="O93" s="85">
        <f>VLOOKUP(B93,'E&amp;W'!$A$7:$AD$66,30,0)</f>
        <v>272004</v>
      </c>
    </row>
    <row r="94" spans="1:15">
      <c r="A94" s="357">
        <v>45</v>
      </c>
      <c r="B94" s="91" t="s">
        <v>137</v>
      </c>
      <c r="C94" s="76" t="s">
        <v>175</v>
      </c>
      <c r="D94" s="78">
        <f>VLOOKUP(B95,'E&amp;W'!$A$7:$P$66,7,0)</f>
        <v>14005071</v>
      </c>
      <c r="E94" s="78">
        <f>VLOOKUP(B95,'E&amp;W'!$A$7:$P$66,9,0)</f>
        <v>14476918</v>
      </c>
      <c r="F94" s="78">
        <f>VLOOKUP(B95,'E&amp;W'!$A$7:$P$66,11,0)</f>
        <v>18182955</v>
      </c>
      <c r="G94" s="78">
        <f>VLOOKUP(B95,'E&amp;W'!$A$7:$P$66,13,0)</f>
        <v>19581644</v>
      </c>
      <c r="H94" s="78">
        <f>VLOOKUP(B95,'E&amp;W'!$A$7:$P$66,15,0)</f>
        <v>20280988</v>
      </c>
      <c r="I94" s="78">
        <f>VLOOKUP(B95,'E&amp;W'!$A$7:$AD$66,17,0)</f>
        <v>18602561</v>
      </c>
      <c r="J94" s="78">
        <f>VLOOKUP(B95,'E&amp;W'!$A$7:$AD$66,19,0)</f>
        <v>18256581</v>
      </c>
      <c r="K94" s="78">
        <f>VLOOKUP(B95,'E&amp;W'!$A$7:$AD$66,21,0)</f>
        <v>16784266</v>
      </c>
      <c r="L94" s="78">
        <f>VLOOKUP(B95,'E&amp;W'!$A$7:$AD$66,23,0)</f>
        <v>16084922</v>
      </c>
      <c r="M94" s="78">
        <f>VLOOKUP(B95,'E&amp;W'!$A$7:$AD$66,25,0)</f>
        <v>14612607</v>
      </c>
      <c r="N94" s="78">
        <f>VLOOKUP(B95,'E&amp;W'!$A$7:$AD$66,27,0)</f>
        <v>14537002</v>
      </c>
      <c r="O94" s="78">
        <f>VLOOKUP(B95,'E&amp;W'!$A$7:$AD$66,29,0)</f>
        <v>11189511</v>
      </c>
    </row>
    <row r="95" spans="1:15">
      <c r="A95" s="358"/>
      <c r="B95" s="92">
        <v>1412000018</v>
      </c>
      <c r="C95" s="84" t="s">
        <v>176</v>
      </c>
      <c r="D95" s="85">
        <f>VLOOKUP(B95,'E&amp;W'!$A$7:$P$66,8,0)</f>
        <v>406883</v>
      </c>
      <c r="E95" s="85">
        <f>VLOOKUP(B95,'E&amp;W'!$A$7:$P$66,10,0)</f>
        <v>449672</v>
      </c>
      <c r="F95" s="85">
        <f>VLOOKUP(B95,'E&amp;W'!$A$7:$P$66,12,0)</f>
        <v>507880</v>
      </c>
      <c r="G95" s="85">
        <f>VLOOKUP(B95,'E&amp;W'!$A$7:$P$66,14,0)</f>
        <v>725289</v>
      </c>
      <c r="H95" s="85">
        <f>VLOOKUP(B95,'E&amp;W'!$A$7:$P$66,16,0)</f>
        <v>649598</v>
      </c>
      <c r="I95" s="85">
        <f>VLOOKUP(B95,'E&amp;W'!$A$7:$AD$66,18,0)</f>
        <v>563652</v>
      </c>
      <c r="J95" s="85">
        <f>VLOOKUP(B95,'E&amp;W'!$A$7:$AD$66,20,0)</f>
        <v>386117</v>
      </c>
      <c r="K95" s="85">
        <f>VLOOKUP(B95,'E&amp;W'!$A$7:$AD$66,22,0)</f>
        <v>537815</v>
      </c>
      <c r="L95" s="85">
        <f>VLOOKUP(B95,'E&amp;W'!$A$7:$AD$66,24,0)</f>
        <v>537138</v>
      </c>
      <c r="M95" s="85">
        <f>VLOOKUP(B95,'E&amp;W'!$A$7:$AD$66,26,0)</f>
        <v>364230</v>
      </c>
      <c r="N95" s="85">
        <f>VLOOKUP(B95,'E&amp;W'!$A$7:$AD$66,28,0)</f>
        <v>273123</v>
      </c>
      <c r="O95" s="85">
        <f>VLOOKUP(B95,'E&amp;W'!$A$7:$AD$66,30,0)</f>
        <v>317339</v>
      </c>
    </row>
    <row r="96" spans="1:15">
      <c r="A96" s="357">
        <v>46</v>
      </c>
      <c r="B96" s="91" t="s">
        <v>112</v>
      </c>
      <c r="C96" s="76" t="s">
        <v>175</v>
      </c>
      <c r="D96" s="78">
        <f>VLOOKUP(B97,'E&amp;W'!$A$7:$P$66,7,0)</f>
        <v>8305528</v>
      </c>
      <c r="E96" s="78">
        <f>VLOOKUP(B97,'E&amp;W'!$A$7:$P$66,9,0)</f>
        <v>8527336</v>
      </c>
      <c r="F96" s="78">
        <f>VLOOKUP(B97,'E&amp;W'!$A$7:$P$66,11,0)</f>
        <v>10695838</v>
      </c>
      <c r="G96" s="78">
        <f>VLOOKUP(B97,'E&amp;W'!$A$7:$P$66,13,0)</f>
        <v>11518595</v>
      </c>
      <c r="H96" s="78">
        <f>VLOOKUP(B97,'E&amp;W'!$A$7:$P$66,15,0)</f>
        <v>11930395</v>
      </c>
      <c r="I96" s="78">
        <f>VLOOKUP(B97,'E&amp;W'!$A$7:$AD$66,17,0)</f>
        <v>10943052</v>
      </c>
      <c r="J96" s="78">
        <f>VLOOKUP(B97,'E&amp;W'!$A$7:$AD$66,19,0)</f>
        <v>11014459</v>
      </c>
      <c r="K96" s="78">
        <f>VLOOKUP(B97,'E&amp;W'!$A$7:$AD$66,21,0)</f>
        <v>9873430</v>
      </c>
      <c r="L96" s="78">
        <f>VLOOKUP(B97,'E&amp;W'!$A$7:$AD$66,23,0)</f>
        <v>9462037</v>
      </c>
      <c r="M96" s="78">
        <f>VLOOKUP(B97,'E&amp;W'!$A$7:$AD$66,25,0)</f>
        <v>8321008</v>
      </c>
      <c r="N96" s="78">
        <f>VLOOKUP(B97,'E&amp;W'!$A$7:$AD$66,27,0)</f>
        <v>8312081</v>
      </c>
      <c r="O96" s="78">
        <f>VLOOKUP(B97,'E&amp;W'!$A$7:$AD$66,29,0)</f>
        <v>6582287</v>
      </c>
    </row>
    <row r="97" spans="1:15">
      <c r="A97" s="358"/>
      <c r="B97" s="92">
        <v>1412000019</v>
      </c>
      <c r="C97" s="84" t="s">
        <v>176</v>
      </c>
      <c r="D97" s="85">
        <f>VLOOKUP(B97,'E&amp;W'!$A$7:$P$66,8,0)</f>
        <v>1307840</v>
      </c>
      <c r="E97" s="85">
        <f>VLOOKUP(B97,'E&amp;W'!$A$7:$P$66,10,0)</f>
        <v>1445375</v>
      </c>
      <c r="F97" s="85">
        <f>VLOOKUP(B97,'E&amp;W'!$A$7:$P$66,12,0)</f>
        <v>1632472</v>
      </c>
      <c r="G97" s="85">
        <f>VLOOKUP(B97,'E&amp;W'!$A$7:$P$66,14,0)</f>
        <v>2331287</v>
      </c>
      <c r="H97" s="85">
        <f>VLOOKUP(B97,'E&amp;W'!$A$7:$P$66,16,0)</f>
        <v>2180794</v>
      </c>
      <c r="I97" s="85">
        <f>VLOOKUP(B97,'E&amp;W'!$A$7:$AD$66,18,0)</f>
        <v>1892260</v>
      </c>
      <c r="J97" s="85">
        <f>VLOOKUP(B97,'E&amp;W'!$A$7:$AD$66,20,0)</f>
        <v>1296251</v>
      </c>
      <c r="K97" s="85">
        <f>VLOOKUP(B97,'E&amp;W'!$A$7:$AD$66,22,0)</f>
        <v>1805521</v>
      </c>
      <c r="L97" s="85">
        <f>VLOOKUP(B97,'E&amp;W'!$A$7:$AD$66,24,0)</f>
        <v>1803248</v>
      </c>
      <c r="M97" s="85">
        <f>VLOOKUP(B97,'E&amp;W'!$A$7:$AD$66,26,0)</f>
        <v>1222773</v>
      </c>
      <c r="N97" s="85">
        <f>VLOOKUP(B97,'E&amp;W'!$A$7:$AD$66,28,0)</f>
        <v>916914</v>
      </c>
      <c r="O97" s="85">
        <f>VLOOKUP(B97,'E&amp;W'!$A$7:$AD$66,30,0)</f>
        <v>1065351</v>
      </c>
    </row>
    <row r="98" spans="1:15">
      <c r="A98" s="357">
        <v>47</v>
      </c>
      <c r="B98" s="91" t="s">
        <v>149</v>
      </c>
      <c r="C98" s="76" t="s">
        <v>175</v>
      </c>
      <c r="D98" s="78">
        <f>VLOOKUP(B99,'E&amp;W'!$A$7:$P$66,7,0)</f>
        <v>1379289</v>
      </c>
      <c r="E98" s="78">
        <f>VLOOKUP(B99,'E&amp;W'!$A$7:$P$66,9,0)</f>
        <v>1416053</v>
      </c>
      <c r="F98" s="78">
        <f>VLOOKUP(B99,'E&amp;W'!$A$7:$P$66,11,0)</f>
        <v>1778963</v>
      </c>
      <c r="G98" s="78">
        <f>VLOOKUP(B99,'E&amp;W'!$A$7:$P$66,13,0)</f>
        <v>1915807</v>
      </c>
      <c r="H98" s="78">
        <f>VLOOKUP(B99,'E&amp;W'!$A$7:$P$66,15,0)</f>
        <v>1978070</v>
      </c>
      <c r="I98" s="78">
        <f>VLOOKUP(B99,'E&amp;W'!$A$7:$AD$66,17,0)</f>
        <v>1809774</v>
      </c>
      <c r="J98" s="78">
        <f>VLOOKUP(B99,'E&amp;W'!$A$7:$AD$66,19,0)</f>
        <v>1768952</v>
      </c>
      <c r="K98" s="78">
        <f>VLOOKUP(B99,'E&amp;W'!$A$7:$AD$66,21,0)</f>
        <v>1632879</v>
      </c>
      <c r="L98" s="78">
        <f>VLOOKUP(B99,'E&amp;W'!$A$7:$AD$66,23,0)</f>
        <v>1564842</v>
      </c>
      <c r="M98" s="78">
        <f>VLOOKUP(B99,'E&amp;W'!$A$7:$AD$66,25,0)</f>
        <v>1428769</v>
      </c>
      <c r="N98" s="78">
        <f>VLOOKUP(B99,'E&amp;W'!$A$7:$AD$66,27,0)</f>
        <v>1420548</v>
      </c>
      <c r="O98" s="78">
        <f>VLOOKUP(B99,'E&amp;W'!$A$7:$AD$66,29,0)</f>
        <v>1088586</v>
      </c>
    </row>
    <row r="99" spans="1:15">
      <c r="A99" s="358"/>
      <c r="B99" s="92">
        <v>1412000058</v>
      </c>
      <c r="C99" s="84" t="s">
        <v>176</v>
      </c>
      <c r="D99" s="85">
        <f>VLOOKUP(B99,'E&amp;W'!$A$7:$P$66,8,0)</f>
        <v>523136</v>
      </c>
      <c r="E99" s="85">
        <f>VLOOKUP(B99,'E&amp;W'!$A$7:$P$66,10,0)</f>
        <v>578150</v>
      </c>
      <c r="F99" s="85">
        <f>VLOOKUP(B99,'E&amp;W'!$A$7:$P$66,12,0)</f>
        <v>652989</v>
      </c>
      <c r="G99" s="85">
        <f>VLOOKUP(B99,'E&amp;W'!$A$7:$P$66,14,0)</f>
        <v>932515</v>
      </c>
      <c r="H99" s="85">
        <f>VLOOKUP(B99,'E&amp;W'!$A$7:$P$66,16,0)</f>
        <v>835198</v>
      </c>
      <c r="I99" s="85">
        <f>VLOOKUP(B99,'E&amp;W'!$A$7:$AD$66,18,0)</f>
        <v>724695</v>
      </c>
      <c r="J99" s="85">
        <f>VLOOKUP(B99,'E&amp;W'!$A$7:$AD$66,20,0)</f>
        <v>496437</v>
      </c>
      <c r="K99" s="85">
        <f>VLOOKUP(B99,'E&amp;W'!$A$7:$AD$66,22,0)</f>
        <v>691476</v>
      </c>
      <c r="L99" s="85">
        <f>VLOOKUP(B99,'E&amp;W'!$A$7:$AD$66,24,0)</f>
        <v>690606</v>
      </c>
      <c r="M99" s="85">
        <f>VLOOKUP(B99,'E&amp;W'!$A$7:$AD$66,26,0)</f>
        <v>468296</v>
      </c>
      <c r="N99" s="85">
        <f>VLOOKUP(B99,'E&amp;W'!$A$7:$AD$66,28,0)</f>
        <v>351159</v>
      </c>
      <c r="O99" s="85">
        <f>VLOOKUP(B99,'E&amp;W'!$A$7:$AD$66,30,0)</f>
        <v>408007</v>
      </c>
    </row>
    <row r="100" spans="1:15">
      <c r="A100" s="357">
        <v>48</v>
      </c>
      <c r="B100" s="91" t="s">
        <v>145</v>
      </c>
      <c r="C100" s="76" t="s">
        <v>175</v>
      </c>
      <c r="D100" s="78">
        <f>VLOOKUP(B101,'E&amp;W'!$A$7:$P$66,7,0)</f>
        <v>395957</v>
      </c>
      <c r="E100" s="78">
        <f>VLOOKUP(B101,'E&amp;W'!$A$7:$P$66,9,0)</f>
        <v>406615</v>
      </c>
      <c r="F100" s="78">
        <f>VLOOKUP(B101,'E&amp;W'!$A$7:$P$66,11,0)</f>
        <v>510824</v>
      </c>
      <c r="G100" s="78">
        <f>VLOOKUP(B101,'E&amp;W'!$A$7:$P$66,13,0)</f>
        <v>550118</v>
      </c>
      <c r="H100" s="78">
        <f>VLOOKUP(B101,'E&amp;W'!$A$7:$P$66,15,0)</f>
        <v>568055</v>
      </c>
      <c r="I100" s="78">
        <f>VLOOKUP(B101,'E&amp;W'!$A$7:$AD$66,17,0)</f>
        <v>519767</v>
      </c>
      <c r="J100" s="78">
        <f>VLOOKUP(B101,'E&amp;W'!$A$7:$AD$66,19,0)</f>
        <v>508043</v>
      </c>
      <c r="K100" s="78">
        <f>VLOOKUP(B101,'E&amp;W'!$A$7:$AD$66,21,0)</f>
        <v>468963</v>
      </c>
      <c r="L100" s="78">
        <f>VLOOKUP(B101,'E&amp;W'!$A$7:$AD$66,23,0)</f>
        <v>449423</v>
      </c>
      <c r="M100" s="78">
        <f>VLOOKUP(B101,'E&amp;W'!$A$7:$AD$66,25,0)</f>
        <v>410342</v>
      </c>
      <c r="N100" s="78">
        <f>VLOOKUP(B101,'E&amp;W'!$A$7:$AD$66,27,0)</f>
        <v>407981</v>
      </c>
      <c r="O100" s="78">
        <f>VLOOKUP(B101,'E&amp;W'!$A$7:$AD$66,29,0)</f>
        <v>312642</v>
      </c>
    </row>
    <row r="101" spans="1:15">
      <c r="A101" s="358"/>
      <c r="B101" s="92">
        <v>1412000042</v>
      </c>
      <c r="C101" s="84" t="s">
        <v>176</v>
      </c>
      <c r="D101" s="85">
        <f>VLOOKUP(B101,'E&amp;W'!$A$7:$P$66,8,0)</f>
        <v>145316</v>
      </c>
      <c r="E101" s="85">
        <f>VLOOKUP(B101,'E&amp;W'!$A$7:$P$66,10,0)</f>
        <v>160597</v>
      </c>
      <c r="F101" s="85">
        <f>VLOOKUP(B101,'E&amp;W'!$A$7:$P$66,12,0)</f>
        <v>181386</v>
      </c>
      <c r="G101" s="85">
        <f>VLOOKUP(B101,'E&amp;W'!$A$7:$P$66,14,0)</f>
        <v>259032</v>
      </c>
      <c r="H101" s="85">
        <f>VLOOKUP(B101,'E&amp;W'!$A$7:$P$66,16,0)</f>
        <v>231999</v>
      </c>
      <c r="I101" s="85">
        <f>VLOOKUP(B101,'E&amp;W'!$A$7:$AD$66,18,0)</f>
        <v>201304</v>
      </c>
      <c r="J101" s="85">
        <f>VLOOKUP(B101,'E&amp;W'!$A$7:$AD$66,20,0)</f>
        <v>137899</v>
      </c>
      <c r="K101" s="85">
        <f>VLOOKUP(B101,'E&amp;W'!$A$7:$AD$66,22,0)</f>
        <v>192077</v>
      </c>
      <c r="L101" s="85">
        <f>VLOOKUP(B101,'E&amp;W'!$A$7:$AD$66,24,0)</f>
        <v>191835</v>
      </c>
      <c r="M101" s="85">
        <f>VLOOKUP(B101,'E&amp;W'!$A$7:$AD$66,26,0)</f>
        <v>130082</v>
      </c>
      <c r="N101" s="85">
        <f>VLOOKUP(B101,'E&amp;W'!$A$7:$AD$66,28,0)</f>
        <v>97544</v>
      </c>
      <c r="O101" s="85">
        <f>VLOOKUP(B101,'E&amp;W'!$A$7:$AD$66,30,0)</f>
        <v>113335</v>
      </c>
    </row>
    <row r="102" spans="1:15">
      <c r="A102" s="357">
        <v>49</v>
      </c>
      <c r="B102" s="91" t="s">
        <v>138</v>
      </c>
      <c r="C102" s="76" t="s">
        <v>175</v>
      </c>
      <c r="D102" s="78">
        <f>VLOOKUP(B103,'E&amp;W'!$A$7:$P$66,7,0)</f>
        <v>547239</v>
      </c>
      <c r="E102" s="78">
        <f>VLOOKUP(B103,'E&amp;W'!$A$7:$P$66,9,0)</f>
        <v>561913</v>
      </c>
      <c r="F102" s="78">
        <f>VLOOKUP(B103,'E&amp;W'!$A$7:$P$66,11,0)</f>
        <v>705922</v>
      </c>
      <c r="G102" s="78">
        <f>VLOOKUP(B103,'E&amp;W'!$A$7:$P$66,13,0)</f>
        <v>760224</v>
      </c>
      <c r="H102" s="78">
        <f>VLOOKUP(B103,'E&amp;W'!$A$7:$P$66,15,0)</f>
        <v>784980</v>
      </c>
      <c r="I102" s="78">
        <f>VLOOKUP(B103,'E&amp;W'!$A$7:$AD$66,17,0)</f>
        <v>718230</v>
      </c>
      <c r="J102" s="78">
        <f>VLOOKUP(B103,'E&amp;W'!$A$7:$AD$66,19,0)</f>
        <v>702029</v>
      </c>
      <c r="K102" s="78">
        <f>VLOOKUP(B103,'E&amp;W'!$A$7:$AD$66,21,0)</f>
        <v>648027</v>
      </c>
      <c r="L102" s="78">
        <f>VLOOKUP(B103,'E&amp;W'!$A$7:$AD$66,23,0)</f>
        <v>621026</v>
      </c>
      <c r="M102" s="78">
        <f>VLOOKUP(B103,'E&amp;W'!$A$7:$AD$66,25,0)</f>
        <v>567023</v>
      </c>
      <c r="N102" s="78">
        <f>VLOOKUP(B103,'E&amp;W'!$A$7:$AD$66,27,0)</f>
        <v>563761</v>
      </c>
      <c r="O102" s="78">
        <f>VLOOKUP(B103,'E&amp;W'!$A$7:$AD$66,29,0)</f>
        <v>432018</v>
      </c>
    </row>
    <row r="103" spans="1:15">
      <c r="A103" s="358"/>
      <c r="B103" s="92">
        <v>1412000021</v>
      </c>
      <c r="C103" s="84" t="s">
        <v>176</v>
      </c>
      <c r="D103" s="85">
        <f>VLOOKUP(B103,'E&amp;W'!$A$7:$P$66,8,0)</f>
        <v>203442</v>
      </c>
      <c r="E103" s="85">
        <f>VLOOKUP(B103,'E&amp;W'!$A$7:$P$66,10,0)</f>
        <v>224836</v>
      </c>
      <c r="F103" s="85">
        <f>VLOOKUP(B103,'E&amp;W'!$A$7:$P$66,12,0)</f>
        <v>253940</v>
      </c>
      <c r="G103" s="85">
        <f>VLOOKUP(B103,'E&amp;W'!$A$7:$P$66,14,0)</f>
        <v>362645</v>
      </c>
      <c r="H103" s="85">
        <f>VLOOKUP(B103,'E&amp;W'!$A$7:$P$66,16,0)</f>
        <v>324799</v>
      </c>
      <c r="I103" s="85">
        <f>VLOOKUP(B103,'E&amp;W'!$A$7:$AD$66,18,0)</f>
        <v>281826</v>
      </c>
      <c r="J103" s="85">
        <f>VLOOKUP(B103,'E&amp;W'!$A$7:$AD$66,20,0)</f>
        <v>193059</v>
      </c>
      <c r="K103" s="85">
        <f>VLOOKUP(B103,'E&amp;W'!$A$7:$AD$66,22,0)</f>
        <v>268907</v>
      </c>
      <c r="L103" s="85">
        <f>VLOOKUP(B103,'E&amp;W'!$A$7:$AD$66,24,0)</f>
        <v>268569</v>
      </c>
      <c r="M103" s="85">
        <f>VLOOKUP(B103,'E&amp;W'!$A$7:$AD$66,26,0)</f>
        <v>182115</v>
      </c>
      <c r="N103" s="85">
        <f>VLOOKUP(B103,'E&amp;W'!$A$7:$AD$66,28,0)</f>
        <v>136562</v>
      </c>
      <c r="O103" s="85">
        <f>VLOOKUP(B103,'E&amp;W'!$A$7:$AD$66,30,0)</f>
        <v>158669</v>
      </c>
    </row>
    <row r="104" spans="1:15">
      <c r="A104" s="357">
        <v>50</v>
      </c>
      <c r="B104" s="91" t="s">
        <v>152</v>
      </c>
      <c r="C104" s="76" t="s">
        <v>175</v>
      </c>
      <c r="D104" s="78">
        <f>VLOOKUP(B105,'E&amp;W'!$A$7:$P$66,7,0)</f>
        <v>622880</v>
      </c>
      <c r="E104" s="78">
        <f>VLOOKUP(B105,'E&amp;W'!$A$7:$P$66,9,0)</f>
        <v>639562</v>
      </c>
      <c r="F104" s="78">
        <f>VLOOKUP(B105,'E&amp;W'!$A$7:$P$66,11,0)</f>
        <v>803471</v>
      </c>
      <c r="G104" s="78">
        <f>VLOOKUP(B105,'E&amp;W'!$A$7:$P$66,13,0)</f>
        <v>865277</v>
      </c>
      <c r="H104" s="78">
        <f>VLOOKUP(B105,'E&amp;W'!$A$7:$P$66,15,0)</f>
        <v>893443</v>
      </c>
      <c r="I104" s="78">
        <f>VLOOKUP(B105,'E&amp;W'!$A$7:$AD$66,17,0)</f>
        <v>817461</v>
      </c>
      <c r="J104" s="78">
        <f>VLOOKUP(B105,'E&amp;W'!$A$7:$AD$66,19,0)</f>
        <v>799022</v>
      </c>
      <c r="K104" s="78">
        <f>VLOOKUP(B105,'E&amp;W'!$A$7:$AD$66,21,0)</f>
        <v>737559</v>
      </c>
      <c r="L104" s="78">
        <f>VLOOKUP(B105,'E&amp;W'!$A$7:$AD$66,23,0)</f>
        <v>706827</v>
      </c>
      <c r="M104" s="78">
        <f>VLOOKUP(B105,'E&amp;W'!$A$7:$AD$66,25,0)</f>
        <v>645364</v>
      </c>
      <c r="N104" s="78">
        <f>VLOOKUP(B105,'E&amp;W'!$A$7:$AD$66,27,0)</f>
        <v>641651</v>
      </c>
      <c r="O104" s="78">
        <f>VLOOKUP(B105,'E&amp;W'!$A$7:$AD$66,29,0)</f>
        <v>491706</v>
      </c>
    </row>
    <row r="105" spans="1:15">
      <c r="A105" s="358"/>
      <c r="B105" s="92">
        <v>1412000070</v>
      </c>
      <c r="C105" s="84" t="s">
        <v>176</v>
      </c>
      <c r="D105" s="85">
        <f>VLOOKUP(B105,'E&amp;W'!$A$7:$P$66,8,0)</f>
        <v>232505</v>
      </c>
      <c r="E105" s="85">
        <f>VLOOKUP(B105,'E&amp;W'!$A$7:$P$66,10,0)</f>
        <v>256956</v>
      </c>
      <c r="F105" s="85">
        <f>VLOOKUP(B105,'E&amp;W'!$A$7:$P$66,12,0)</f>
        <v>290217</v>
      </c>
      <c r="G105" s="85">
        <f>VLOOKUP(B105,'E&amp;W'!$A$7:$P$66,14,0)</f>
        <v>414451</v>
      </c>
      <c r="H105" s="85">
        <f>VLOOKUP(B105,'E&amp;W'!$A$7:$P$66,16,0)</f>
        <v>371199</v>
      </c>
      <c r="I105" s="85">
        <f>VLOOKUP(B105,'E&amp;W'!$A$7:$AD$66,18,0)</f>
        <v>322087</v>
      </c>
      <c r="J105" s="85">
        <f>VLOOKUP(B105,'E&amp;W'!$A$7:$AD$66,20,0)</f>
        <v>220639</v>
      </c>
      <c r="K105" s="85">
        <f>VLOOKUP(B105,'E&amp;W'!$A$7:$AD$66,22,0)</f>
        <v>307323</v>
      </c>
      <c r="L105" s="85">
        <f>VLOOKUP(B105,'E&amp;W'!$A$7:$AD$66,24,0)</f>
        <v>306936</v>
      </c>
      <c r="M105" s="85">
        <f>VLOOKUP(B105,'E&amp;W'!$A$7:$AD$66,26,0)</f>
        <v>208132</v>
      </c>
      <c r="N105" s="85">
        <f>VLOOKUP(B105,'E&amp;W'!$A$7:$AD$66,28,0)</f>
        <v>156070</v>
      </c>
      <c r="O105" s="85">
        <f>VLOOKUP(B105,'E&amp;W'!$A$7:$AD$66,30,0)</f>
        <v>181336</v>
      </c>
    </row>
    <row r="106" spans="1:15">
      <c r="A106" s="357">
        <v>51</v>
      </c>
      <c r="B106" s="91" t="s">
        <v>139</v>
      </c>
      <c r="C106" s="76" t="s">
        <v>175</v>
      </c>
      <c r="D106" s="78">
        <f>VLOOKUP(B107,'E&amp;W'!$A$7:$P$66,7,0)</f>
        <v>471598</v>
      </c>
      <c r="E106" s="78">
        <f>VLOOKUP(B107,'E&amp;W'!$A$7:$P$66,9,0)</f>
        <v>484264</v>
      </c>
      <c r="F106" s="78">
        <f>VLOOKUP(B107,'E&amp;W'!$A$7:$P$66,11,0)</f>
        <v>608373</v>
      </c>
      <c r="G106" s="78">
        <f>VLOOKUP(B107,'E&amp;W'!$A$7:$P$66,13,0)</f>
        <v>655171</v>
      </c>
      <c r="H106" s="78">
        <f>VLOOKUP(B107,'E&amp;W'!$A$7:$P$66,15,0)</f>
        <v>676517</v>
      </c>
      <c r="I106" s="78">
        <f>VLOOKUP(B107,'E&amp;W'!$A$7:$AD$66,17,0)</f>
        <v>618998</v>
      </c>
      <c r="J106" s="78">
        <f>VLOOKUP(B107,'E&amp;W'!$A$7:$AD$66,19,0)</f>
        <v>605036</v>
      </c>
      <c r="K106" s="78">
        <f>VLOOKUP(B107,'E&amp;W'!$A$7:$AD$66,21,0)</f>
        <v>558495</v>
      </c>
      <c r="L106" s="78">
        <f>VLOOKUP(B107,'E&amp;W'!$A$7:$AD$66,23,0)</f>
        <v>535224</v>
      </c>
      <c r="M106" s="78">
        <f>VLOOKUP(B107,'E&amp;W'!$A$7:$AD$66,25,0)</f>
        <v>488683</v>
      </c>
      <c r="N106" s="78">
        <f>VLOOKUP(B107,'E&amp;W'!$A$7:$AD$66,27,0)</f>
        <v>485871</v>
      </c>
      <c r="O106" s="78">
        <f>VLOOKUP(B107,'E&amp;W'!$A$7:$AD$66,29,0)</f>
        <v>372330</v>
      </c>
    </row>
    <row r="107" spans="1:15">
      <c r="A107" s="358"/>
      <c r="B107" s="92">
        <v>1412000022</v>
      </c>
      <c r="C107" s="84" t="s">
        <v>176</v>
      </c>
      <c r="D107" s="85">
        <f>VLOOKUP(B107,'E&amp;W'!$A$7:$P$66,8,0)</f>
        <v>174379</v>
      </c>
      <c r="E107" s="85">
        <f>VLOOKUP(B107,'E&amp;W'!$A$7:$P$66,10,0)</f>
        <v>192717</v>
      </c>
      <c r="F107" s="85">
        <f>VLOOKUP(B107,'E&amp;W'!$A$7:$P$66,12,0)</f>
        <v>217663</v>
      </c>
      <c r="G107" s="85">
        <f>VLOOKUP(B107,'E&amp;W'!$A$7:$P$66,14,0)</f>
        <v>310838</v>
      </c>
      <c r="H107" s="85">
        <f>VLOOKUP(B107,'E&amp;W'!$A$7:$P$66,16,0)</f>
        <v>278399</v>
      </c>
      <c r="I107" s="85">
        <f>VLOOKUP(B107,'E&amp;W'!$A$7:$AD$66,18,0)</f>
        <v>241565</v>
      </c>
      <c r="J107" s="85">
        <f>VLOOKUP(B107,'E&amp;W'!$A$7:$AD$66,20,0)</f>
        <v>165479</v>
      </c>
      <c r="K107" s="85">
        <f>VLOOKUP(B107,'E&amp;W'!$A$7:$AD$66,22,0)</f>
        <v>230492</v>
      </c>
      <c r="L107" s="85">
        <f>VLOOKUP(B107,'E&amp;W'!$A$7:$AD$66,24,0)</f>
        <v>230202</v>
      </c>
      <c r="M107" s="85">
        <f>VLOOKUP(B107,'E&amp;W'!$A$7:$AD$66,26,0)</f>
        <v>156099</v>
      </c>
      <c r="N107" s="85">
        <f>VLOOKUP(B107,'E&amp;W'!$A$7:$AD$66,28,0)</f>
        <v>117053</v>
      </c>
      <c r="O107" s="85">
        <f>VLOOKUP(B107,'E&amp;W'!$A$7:$AD$66,30,0)</f>
        <v>136002</v>
      </c>
    </row>
    <row r="108" spans="1:15">
      <c r="A108" s="357">
        <v>52</v>
      </c>
      <c r="B108" s="91" t="s">
        <v>140</v>
      </c>
      <c r="C108" s="76" t="s">
        <v>175</v>
      </c>
      <c r="D108" s="78">
        <f>VLOOKUP(B109,'E&amp;W'!$A$7:$P$66,7,0)</f>
        <v>118935307</v>
      </c>
      <c r="E108" s="78">
        <f>VLOOKUP(B109,'E&amp;W'!$A$7:$P$66,9,0)</f>
        <v>121902360</v>
      </c>
      <c r="F108" s="78">
        <f>VLOOKUP(B109,'E&amp;W'!$A$7:$P$66,11,0)</f>
        <v>153792013</v>
      </c>
      <c r="G108" s="78">
        <f>VLOOKUP(B109,'E&amp;W'!$A$7:$P$66,13,0)</f>
        <v>165622168</v>
      </c>
      <c r="H108" s="78">
        <f>VLOOKUP(B109,'E&amp;W'!$A$7:$P$66,15,0)</f>
        <v>171537139</v>
      </c>
      <c r="I108" s="78">
        <f>VLOOKUP(B109,'E&amp;W'!$A$7:$AD$66,17,0)</f>
        <v>157335827</v>
      </c>
      <c r="J108" s="78">
        <f>VLOOKUP(B109,'E&amp;W'!$A$7:$AD$66,19,0)</f>
        <v>156675555</v>
      </c>
      <c r="K108" s="78">
        <f>VLOOKUP(B109,'E&amp;W'!$A$7:$AD$66,21,0)</f>
        <v>141957137</v>
      </c>
      <c r="L108" s="78">
        <f>VLOOKUP(B109,'E&amp;W'!$A$7:$AD$66,23,0)</f>
        <v>136042256</v>
      </c>
      <c r="M108" s="78">
        <f>VLOOKUP(B109,'E&amp;W'!$A$7:$AD$66,25,0)</f>
        <v>121323837</v>
      </c>
      <c r="N108" s="78">
        <f>VLOOKUP(B109,'E&amp;W'!$A$7:$AD$66,27,0)</f>
        <v>122777190</v>
      </c>
      <c r="O108" s="78">
        <f>VLOOKUP(B109,'E&amp;W'!$A$7:$AD$66,29,0)</f>
        <v>94638091</v>
      </c>
    </row>
    <row r="109" spans="1:15">
      <c r="A109" s="358"/>
      <c r="B109" s="92">
        <v>1412000024</v>
      </c>
      <c r="C109" s="84" t="s">
        <v>176</v>
      </c>
      <c r="D109" s="85">
        <f>VLOOKUP(B109,'E&amp;W'!$A$7:$P$66,8,0)</f>
        <v>494073</v>
      </c>
      <c r="E109" s="85">
        <f>VLOOKUP(B109,'E&amp;W'!$A$7:$P$66,10,0)</f>
        <v>578150</v>
      </c>
      <c r="F109" s="85">
        <f>VLOOKUP(B109,'E&amp;W'!$A$7:$P$66,12,0)</f>
        <v>652989</v>
      </c>
      <c r="G109" s="85">
        <f>VLOOKUP(B109,'E&amp;W'!$A$7:$P$66,14,0)</f>
        <v>932515</v>
      </c>
      <c r="H109" s="85">
        <f>VLOOKUP(B109,'E&amp;W'!$A$7:$P$66,16,0)</f>
        <v>835198</v>
      </c>
      <c r="I109" s="85">
        <f>VLOOKUP(B109,'E&amp;W'!$A$7:$AD$66,18,0)</f>
        <v>724695</v>
      </c>
      <c r="J109" s="85">
        <f>VLOOKUP(B109,'E&amp;W'!$A$7:$AD$66,20,0)</f>
        <v>496437</v>
      </c>
      <c r="K109" s="85">
        <f>VLOOKUP(B109,'E&amp;W'!$A$7:$AD$66,22,0)</f>
        <v>691476</v>
      </c>
      <c r="L109" s="85">
        <f>VLOOKUP(B109,'E&amp;W'!$A$7:$AD$66,24,0)</f>
        <v>690606</v>
      </c>
      <c r="M109" s="85">
        <f>VLOOKUP(B109,'E&amp;W'!$A$7:$AD$66,26,0)</f>
        <v>468296</v>
      </c>
      <c r="N109" s="85">
        <f>VLOOKUP(B109,'E&amp;W'!$A$7:$AD$66,28,0)</f>
        <v>351159</v>
      </c>
      <c r="O109" s="85">
        <f>VLOOKUP(B109,'E&amp;W'!$A$7:$AD$66,30,0)</f>
        <v>408007</v>
      </c>
    </row>
    <row r="110" spans="1:15">
      <c r="A110" s="357">
        <v>53</v>
      </c>
      <c r="B110" s="91" t="s">
        <v>5</v>
      </c>
      <c r="C110" s="76" t="s">
        <v>175</v>
      </c>
      <c r="D110" s="78">
        <f>VLOOKUP(B111,'E&amp;W'!$A$7:$P$66,7,0)</f>
        <v>6228511</v>
      </c>
      <c r="E110" s="78">
        <f>VLOOKUP(B111,'E&amp;W'!$A$7:$P$66,9,0)</f>
        <v>6277514</v>
      </c>
      <c r="F110" s="78">
        <f>VLOOKUP(B111,'E&amp;W'!$A$7:$P$66,11,0)</f>
        <v>7886334</v>
      </c>
      <c r="G110" s="78">
        <f>VLOOKUP(B111,'E&amp;W'!$A$7:$P$66,13,0)</f>
        <v>8492976</v>
      </c>
      <c r="H110" s="78">
        <f>VLOOKUP(B111,'E&amp;W'!$A$7:$P$66,15,0)</f>
        <v>8785570</v>
      </c>
      <c r="I110" s="78">
        <f>VLOOKUP(B111,'E&amp;W'!$A$7:$AD$66,17,0)</f>
        <v>8050445</v>
      </c>
      <c r="J110" s="78">
        <f>VLOOKUP(B111,'E&amp;W'!$A$7:$AD$66,19,0)</f>
        <v>7868856</v>
      </c>
      <c r="K110" s="78">
        <f>VLOOKUP(B111,'E&amp;W'!$A$7:$AD$66,21,0)</f>
        <v>7263560</v>
      </c>
      <c r="L110" s="78">
        <f>VLOOKUP(B111,'E&amp;W'!$A$7:$AD$66,23,0)</f>
        <v>6960911</v>
      </c>
      <c r="M110" s="78">
        <f>VLOOKUP(B111,'E&amp;W'!$A$7:$AD$66,25,0)</f>
        <v>6355615</v>
      </c>
      <c r="N110" s="78">
        <f>VLOOKUP(B111,'E&amp;W'!$A$7:$AD$66,27,0)</f>
        <v>6319046</v>
      </c>
      <c r="O110" s="78">
        <f>VLOOKUP(B111,'E&amp;W'!$A$7:$AD$66,29,0)</f>
        <v>4842373</v>
      </c>
    </row>
    <row r="111" spans="1:15">
      <c r="A111" s="358"/>
      <c r="B111" s="92">
        <v>1412000025</v>
      </c>
      <c r="C111" s="84" t="s">
        <v>176</v>
      </c>
      <c r="D111" s="85">
        <f>VLOOKUP(B111,'E&amp;W'!$A$7:$P$66,8,0)</f>
        <v>523136</v>
      </c>
      <c r="E111" s="85">
        <f>VLOOKUP(B111,'E&amp;W'!$A$7:$P$66,10,0)</f>
        <v>546031</v>
      </c>
      <c r="F111" s="85">
        <f>VLOOKUP(B111,'E&amp;W'!$A$7:$P$66,12,0)</f>
        <v>616711</v>
      </c>
      <c r="G111" s="85">
        <f>VLOOKUP(B111,'E&amp;W'!$A$7:$P$66,14,0)</f>
        <v>880709</v>
      </c>
      <c r="H111" s="85">
        <f>VLOOKUP(B111,'E&amp;W'!$A$7:$P$66,16,0)</f>
        <v>788798</v>
      </c>
      <c r="I111" s="85">
        <f>VLOOKUP(B111,'E&amp;W'!$A$7:$AD$66,18,0)</f>
        <v>684434</v>
      </c>
      <c r="J111" s="85">
        <f>VLOOKUP(B111,'E&amp;W'!$A$7:$AD$66,20,0)</f>
        <v>468857</v>
      </c>
      <c r="K111" s="85">
        <f>VLOOKUP(B111,'E&amp;W'!$A$7:$AD$66,22,0)</f>
        <v>653061</v>
      </c>
      <c r="L111" s="85">
        <f>VLOOKUP(B111,'E&amp;W'!$A$7:$AD$66,24,0)</f>
        <v>652239</v>
      </c>
      <c r="M111" s="85">
        <f>VLOOKUP(B111,'E&amp;W'!$A$7:$AD$66,26,0)</f>
        <v>442280</v>
      </c>
      <c r="N111" s="85">
        <f>VLOOKUP(B111,'E&amp;W'!$A$7:$AD$66,28,0)</f>
        <v>331650</v>
      </c>
      <c r="O111" s="85">
        <f>VLOOKUP(B111,'E&amp;W'!$A$7:$AD$66,30,0)</f>
        <v>385340</v>
      </c>
    </row>
    <row r="112" spans="1:15">
      <c r="A112" s="357">
        <v>54</v>
      </c>
      <c r="B112" s="91" t="s">
        <v>117</v>
      </c>
      <c r="C112" s="76" t="s">
        <v>175</v>
      </c>
      <c r="D112" s="78">
        <f>VLOOKUP(B113,'E&amp;W'!$A$7:$P$66,7,0)</f>
        <v>11574004</v>
      </c>
      <c r="E112" s="78">
        <f>VLOOKUP(B113,'E&amp;W'!$A$7:$P$66,9,0)</f>
        <v>11874032</v>
      </c>
      <c r="F112" s="78">
        <f>VLOOKUP(B113,'E&amp;W'!$A$7:$P$66,11,0)</f>
        <v>14928656</v>
      </c>
      <c r="G112" s="78">
        <f>VLOOKUP(B113,'E&amp;W'!$A$7:$P$66,13,0)</f>
        <v>16077014</v>
      </c>
      <c r="H112" s="78">
        <f>VLOOKUP(B113,'E&amp;W'!$A$7:$P$66,15,0)</f>
        <v>16627246</v>
      </c>
      <c r="I112" s="78">
        <f>VLOOKUP(B113,'E&amp;W'!$A$7:$AD$66,17,0)</f>
        <v>15233332</v>
      </c>
      <c r="J112" s="78">
        <f>VLOOKUP(B113,'E&amp;W'!$A$7:$AD$66,19,0)</f>
        <v>15086399</v>
      </c>
      <c r="K112" s="78">
        <f>VLOOKUP(B113,'E&amp;W'!$A$7:$AD$66,21,0)</f>
        <v>13744360</v>
      </c>
      <c r="L112" s="78">
        <f>VLOOKUP(B113,'E&amp;W'!$A$7:$AD$66,23,0)</f>
        <v>13171678</v>
      </c>
      <c r="M112" s="78">
        <f>VLOOKUP(B113,'E&amp;W'!$A$7:$AD$66,25,0)</f>
        <v>11829639</v>
      </c>
      <c r="N112" s="78">
        <f>VLOOKUP(B113,'E&amp;W'!$A$7:$AD$66,27,0)</f>
        <v>11834900</v>
      </c>
      <c r="O112" s="78">
        <f>VLOOKUP(B113,'E&amp;W'!$A$7:$AD$66,29,0)</f>
        <v>9162907</v>
      </c>
    </row>
    <row r="113" spans="1:15">
      <c r="A113" s="358"/>
      <c r="B113" s="92">
        <v>1412000091</v>
      </c>
      <c r="C113" s="84" t="s">
        <v>176</v>
      </c>
      <c r="D113" s="85">
        <f>VLOOKUP(B113,'E&amp;W'!$A$7:$P$66,8,0)</f>
        <v>2034417</v>
      </c>
      <c r="E113" s="85">
        <f>VLOOKUP(B113,'E&amp;W'!$A$7:$P$66,10,0)</f>
        <v>2248362</v>
      </c>
      <c r="F113" s="85">
        <f>VLOOKUP(B113,'E&amp;W'!$A$7:$P$66,12,0)</f>
        <v>2539400</v>
      </c>
      <c r="G113" s="85">
        <f>VLOOKUP(B113,'E&amp;W'!$A$7:$P$66,14,0)</f>
        <v>3626447</v>
      </c>
      <c r="H113" s="85">
        <f>VLOOKUP(B113,'E&amp;W'!$A$7:$P$66,16,0)</f>
        <v>3247991</v>
      </c>
      <c r="I113" s="85">
        <f>VLOOKUP(B113,'E&amp;W'!$A$7:$AD$66,18,0)</f>
        <v>2818260</v>
      </c>
      <c r="J113" s="85">
        <f>VLOOKUP(B113,'E&amp;W'!$A$7:$AD$66,20,0)</f>
        <v>1930587</v>
      </c>
      <c r="K113" s="85">
        <f>VLOOKUP(B113,'E&amp;W'!$A$7:$AD$66,22,0)</f>
        <v>2689074</v>
      </c>
      <c r="L113" s="85">
        <f>VLOOKUP(B113,'E&amp;W'!$A$7:$AD$66,24,0)</f>
        <v>2685689</v>
      </c>
      <c r="M113" s="85">
        <f>VLOOKUP(B113,'E&amp;W'!$A$7:$AD$66,26,0)</f>
        <v>1821152</v>
      </c>
      <c r="N113" s="85">
        <f>VLOOKUP(B113,'E&amp;W'!$A$7:$AD$66,28,0)</f>
        <v>1365617</v>
      </c>
      <c r="O113" s="85">
        <f>VLOOKUP(B113,'E&amp;W'!$A$7:$AD$66,30,0)</f>
        <v>1586693</v>
      </c>
    </row>
    <row r="114" spans="1:15">
      <c r="A114" s="357">
        <v>55</v>
      </c>
      <c r="B114" s="91" t="s">
        <v>154</v>
      </c>
      <c r="C114" s="76" t="s">
        <v>175</v>
      </c>
      <c r="D114" s="78">
        <f>VLOOKUP(B115,'E&amp;W'!$A$7:$P$66,7,0)</f>
        <v>453846</v>
      </c>
      <c r="E114" s="78">
        <f>VLOOKUP(B115,'E&amp;W'!$A$7:$P$66,9,0)</f>
        <v>543543</v>
      </c>
      <c r="F114" s="78">
        <f>VLOOKUP(B115,'E&amp;W'!$A$7:$P$66,11,0)</f>
        <v>682844</v>
      </c>
      <c r="G114" s="78">
        <f>VLOOKUP(B115,'E&amp;W'!$A$7:$P$66,13,0)</f>
        <v>735371</v>
      </c>
      <c r="H114" s="78">
        <f>VLOOKUP(B115,'E&amp;W'!$A$7:$P$66,15,0)</f>
        <v>759239</v>
      </c>
      <c r="I114" s="78">
        <f>VLOOKUP(B115,'E&amp;W'!$A$7:$AD$66,17,0)</f>
        <v>694619</v>
      </c>
      <c r="J114" s="78">
        <f>VLOOKUP(B115,'E&amp;W'!$A$7:$AD$66,19,0)</f>
        <v>678951</v>
      </c>
      <c r="K114" s="78">
        <f>VLOOKUP(B115,'E&amp;W'!$A$7:$AD$66,21,0)</f>
        <v>626724</v>
      </c>
      <c r="L114" s="78">
        <f>VLOOKUP(B115,'E&amp;W'!$A$7:$AD$66,23,0)</f>
        <v>600611</v>
      </c>
      <c r="M114" s="78">
        <f>VLOOKUP(B115,'E&amp;W'!$A$7:$AD$66,25,0)</f>
        <v>548384</v>
      </c>
      <c r="N114" s="78">
        <f>VLOOKUP(B115,'E&amp;W'!$A$7:$AD$66,27,0)</f>
        <v>545228</v>
      </c>
      <c r="O114" s="78">
        <f>VLOOKUP(B115,'E&amp;W'!$A$7:$AD$66,29,0)</f>
        <v>417816</v>
      </c>
    </row>
    <row r="115" spans="1:15">
      <c r="A115" s="358"/>
      <c r="B115" s="92">
        <v>1412000093</v>
      </c>
      <c r="C115" s="84" t="s">
        <v>176</v>
      </c>
      <c r="D115" s="85">
        <f>VLOOKUP(B115,'E&amp;W'!$A$7:$P$66,8,0)</f>
        <v>174379</v>
      </c>
      <c r="E115" s="85">
        <f>VLOOKUP(B115,'E&amp;W'!$A$7:$P$66,10,0)</f>
        <v>224836</v>
      </c>
      <c r="F115" s="85">
        <f>VLOOKUP(B115,'E&amp;W'!$A$7:$P$66,12,0)</f>
        <v>253940</v>
      </c>
      <c r="G115" s="85">
        <f>VLOOKUP(B115,'E&amp;W'!$A$7:$P$66,14,0)</f>
        <v>362645</v>
      </c>
      <c r="H115" s="85">
        <f>VLOOKUP(B115,'E&amp;W'!$A$7:$P$66,16,0)</f>
        <v>324799</v>
      </c>
      <c r="I115" s="85">
        <f>VLOOKUP(B115,'E&amp;W'!$A$7:$AD$66,18,0)</f>
        <v>281826</v>
      </c>
      <c r="J115" s="85">
        <f>VLOOKUP(B115,'E&amp;W'!$A$7:$AD$66,20,0)</f>
        <v>193059</v>
      </c>
      <c r="K115" s="85">
        <f>VLOOKUP(B115,'E&amp;W'!$A$7:$AD$66,22,0)</f>
        <v>268907</v>
      </c>
      <c r="L115" s="85">
        <f>VLOOKUP(B115,'E&amp;W'!$A$7:$AD$66,24,0)</f>
        <v>268569</v>
      </c>
      <c r="M115" s="85">
        <f>VLOOKUP(B115,'E&amp;W'!$A$7:$AD$66,26,0)</f>
        <v>182115</v>
      </c>
      <c r="N115" s="85">
        <f>VLOOKUP(B115,'E&amp;W'!$A$7:$AD$66,28,0)</f>
        <v>136562</v>
      </c>
      <c r="O115" s="85">
        <f>VLOOKUP(B115,'E&amp;W'!$A$7:$AD$66,30,0)</f>
        <v>158669</v>
      </c>
    </row>
    <row r="116" spans="1:15">
      <c r="A116" s="357">
        <v>56</v>
      </c>
      <c r="B116" s="102" t="s">
        <v>6</v>
      </c>
      <c r="C116" s="103" t="s">
        <v>175</v>
      </c>
      <c r="D116" s="104">
        <f>VLOOKUP(B117,'E&amp;W'!$A$7:$P$66,7,0)</f>
        <v>100091971</v>
      </c>
      <c r="E116" s="104">
        <f>VLOOKUP(B117,'E&amp;W'!$A$7:$P$66,9,0)</f>
        <v>102376163</v>
      </c>
      <c r="F116" s="104">
        <f>VLOOKUP(B117,'E&amp;W'!$A$7:$P$66,11,0)</f>
        <v>128799786</v>
      </c>
      <c r="G116" s="104">
        <f>VLOOKUP(B117,'E&amp;W'!$A$7:$P$66,13,0)</f>
        <v>138707462</v>
      </c>
      <c r="H116" s="104">
        <f>VLOOKUP(B117,'E&amp;W'!$A$7:$P$66,15,0)</f>
        <v>143656952</v>
      </c>
      <c r="I116" s="104">
        <f>VLOOKUP(B117,'E&amp;W'!$A$7:$AD$66,17,0)</f>
        <v>131764487</v>
      </c>
      <c r="J116" s="104">
        <f>VLOOKUP(B117,'E&amp;W'!$A$7:$AD$66,19,0)</f>
        <v>132896854</v>
      </c>
      <c r="K116" s="104">
        <f>VLOOKUP(B117,'E&amp;W'!$A$7:$AD$66,21,0)</f>
        <v>118885252</v>
      </c>
      <c r="L116" s="104">
        <f>VLOOKUP(B117,'E&amp;W'!$A$7:$AD$66,23,0)</f>
        <v>113931700</v>
      </c>
      <c r="M116" s="104">
        <f>VLOOKUP(B117,'E&amp;W'!$A$7:$AD$66,25,0)</f>
        <v>99920098</v>
      </c>
      <c r="N116" s="104">
        <f>VLOOKUP(B117,'E&amp;W'!$A$7:$AD$66,27,0)</f>
        <v>100754625</v>
      </c>
      <c r="O116" s="104">
        <f>VLOOKUP(B117,'E&amp;W'!$A$7:$AD$66,29,0)</f>
        <v>79256835</v>
      </c>
    </row>
    <row r="117" spans="1:15">
      <c r="A117" s="358"/>
      <c r="B117" s="105">
        <v>1412000026</v>
      </c>
      <c r="C117" s="106" t="s">
        <v>176</v>
      </c>
      <c r="D117" s="107">
        <f>VLOOKUP(B117,'E&amp;W'!$A$7:$P$66,8,0)</f>
        <v>406881</v>
      </c>
      <c r="E117" s="107">
        <f>VLOOKUP(B117,'E&amp;W'!$A$7:$P$66,10,0)</f>
        <v>449674</v>
      </c>
      <c r="F117" s="107">
        <f>VLOOKUP(B117,'E&amp;W'!$A$7:$P$66,12,0)</f>
        <v>507878</v>
      </c>
      <c r="G117" s="107">
        <f>VLOOKUP(B117,'E&amp;W'!$A$7:$P$66,14,0)</f>
        <v>725294</v>
      </c>
      <c r="H117" s="107">
        <f>VLOOKUP(B117,'E&amp;W'!$A$7:$P$66,16,0)</f>
        <v>649598</v>
      </c>
      <c r="I117" s="107">
        <f>VLOOKUP(B117,'E&amp;W'!$A$7:$AD$66,18,0)</f>
        <v>563651</v>
      </c>
      <c r="J117" s="107">
        <f>VLOOKUP(B117,'E&amp;W'!$A$7:$AD$66,20,0)</f>
        <v>386120</v>
      </c>
      <c r="K117" s="107">
        <f>VLOOKUP(B117,'E&amp;W'!$A$7:$AD$66,22,0)</f>
        <v>537816</v>
      </c>
      <c r="L117" s="107">
        <f>VLOOKUP(B117,'E&amp;W'!$A$7:$AD$66,24,0)</f>
        <v>537129</v>
      </c>
      <c r="M117" s="107">
        <f>VLOOKUP(B117,'E&amp;W'!$A$7:$AD$66,26,0)</f>
        <v>364234</v>
      </c>
      <c r="N117" s="107">
        <f>VLOOKUP(B117,'E&amp;W'!$A$7:$AD$66,28,0)</f>
        <v>273124</v>
      </c>
      <c r="O117" s="107">
        <f>VLOOKUP(B117,'E&amp;W'!$A$7:$AD$66,30,0)</f>
        <v>317340</v>
      </c>
    </row>
    <row r="118" spans="1:15">
      <c r="A118" s="357">
        <v>57</v>
      </c>
      <c r="B118" s="108" t="s">
        <v>7</v>
      </c>
      <c r="C118" s="109" t="s">
        <v>175</v>
      </c>
      <c r="D118" s="78">
        <f>VLOOKUP(B119,'E&amp;W'!$A$7:$P$66,7,0)</f>
        <v>907691</v>
      </c>
      <c r="E118" s="78">
        <f>VLOOKUP(B119,'E&amp;W'!$A$7:$P$66,9,0)</f>
        <v>931789</v>
      </c>
      <c r="F118" s="78">
        <f>VLOOKUP(B119,'E&amp;W'!$A$7:$P$66,11,0)</f>
        <v>1170590</v>
      </c>
      <c r="G118" s="78">
        <f>VLOOKUP(B119,'E&amp;W'!$A$7:$P$66,13,0)</f>
        <v>1260636</v>
      </c>
      <c r="H118" s="78">
        <f>VLOOKUP(B119,'E&amp;W'!$A$7:$P$66,15,0)</f>
        <v>1301553</v>
      </c>
      <c r="I118" s="78">
        <f>VLOOKUP(B119,'E&amp;W'!$A$7:$AD$66,17,0)</f>
        <v>1190776</v>
      </c>
      <c r="J118" s="78">
        <f>VLOOKUP(B119,'E&amp;W'!$A$7:$AD$66,19,0)</f>
        <v>1163916</v>
      </c>
      <c r="K118" s="78">
        <f>VLOOKUP(B119,'E&amp;W'!$A$7:$AD$66,21,0)</f>
        <v>1074384</v>
      </c>
      <c r="L118" s="78">
        <f>VLOOKUP(B119,'E&amp;W'!$A$7:$AD$66,23,0)</f>
        <v>1029618</v>
      </c>
      <c r="M118" s="78">
        <f>VLOOKUP(B119,'E&amp;W'!$A$7:$AD$66,25,0)</f>
        <v>940086</v>
      </c>
      <c r="N118" s="78">
        <f>VLOOKUP(B119,'E&amp;W'!$A$7:$AD$66,27,0)</f>
        <v>934677</v>
      </c>
      <c r="O118" s="78">
        <f>VLOOKUP(B119,'E&amp;W'!$A$7:$AD$66,29,0)</f>
        <v>716256</v>
      </c>
    </row>
    <row r="119" spans="1:15">
      <c r="A119" s="358"/>
      <c r="B119" s="83">
        <v>1412000028</v>
      </c>
      <c r="C119" s="84" t="s">
        <v>176</v>
      </c>
      <c r="D119" s="85">
        <f>VLOOKUP(B119,'E&amp;W'!$A$7:$P$66,8,0)</f>
        <v>348757</v>
      </c>
      <c r="E119" s="85">
        <f>VLOOKUP(B119,'E&amp;W'!$A$7:$P$66,10,0)</f>
        <v>385433</v>
      </c>
      <c r="F119" s="85">
        <f>VLOOKUP(B119,'E&amp;W'!$A$7:$P$66,12,0)</f>
        <v>435326</v>
      </c>
      <c r="G119" s="85">
        <f>VLOOKUP(B119,'E&amp;W'!$A$7:$P$66,14,0)</f>
        <v>621677</v>
      </c>
      <c r="H119" s="85">
        <f>VLOOKUP(B119,'E&amp;W'!$A$7:$P$66,16,0)</f>
        <v>556798</v>
      </c>
      <c r="I119" s="85">
        <f>VLOOKUP(B119,'E&amp;W'!$A$7:$AD$66,18,0)</f>
        <v>483130</v>
      </c>
      <c r="J119" s="85">
        <f>VLOOKUP(B119,'E&amp;W'!$A$7:$AD$66,20,0)</f>
        <v>330958</v>
      </c>
      <c r="K119" s="85">
        <f>VLOOKUP(B119,'E&amp;W'!$A$7:$AD$66,22,0)</f>
        <v>460984</v>
      </c>
      <c r="L119" s="85">
        <f>VLOOKUP(B119,'E&amp;W'!$A$7:$AD$66,24,0)</f>
        <v>460404</v>
      </c>
      <c r="M119" s="85">
        <f>VLOOKUP(B119,'E&amp;W'!$A$7:$AD$66,26,0)</f>
        <v>312197</v>
      </c>
      <c r="N119" s="85">
        <f>VLOOKUP(B119,'E&amp;W'!$A$7:$AD$66,28,0)</f>
        <v>234106</v>
      </c>
      <c r="O119" s="85">
        <f>VLOOKUP(B119,'E&amp;W'!$A$7:$AD$66,30,0)</f>
        <v>272004</v>
      </c>
    </row>
    <row r="120" spans="1:15">
      <c r="A120" s="357">
        <v>58</v>
      </c>
      <c r="B120" s="108" t="s">
        <v>8</v>
      </c>
      <c r="C120" s="109" t="s">
        <v>175</v>
      </c>
      <c r="D120" s="78">
        <f>VLOOKUP(B121,'E&amp;W'!$A$7:$P$66,7,0)</f>
        <v>938341</v>
      </c>
      <c r="E120" s="78">
        <f>VLOOKUP(B121,'E&amp;W'!$A$7:$P$66,9,0)</f>
        <v>959490</v>
      </c>
      <c r="F120" s="78">
        <f>VLOOKUP(B121,'E&amp;W'!$A$7:$P$66,11,0)</f>
        <v>1208788</v>
      </c>
      <c r="G120" s="78">
        <f>VLOOKUP(B121,'E&amp;W'!$A$7:$P$66,13,0)</f>
        <v>1301771</v>
      </c>
      <c r="H120" s="78">
        <f>VLOOKUP(B121,'E&amp;W'!$A$7:$P$66,15,0)</f>
        <v>1345184</v>
      </c>
      <c r="I120" s="78">
        <f>VLOOKUP(B121,'E&amp;W'!$A$7:$AD$66,17,0)</f>
        <v>1231562</v>
      </c>
      <c r="J120" s="78">
        <f>VLOOKUP(B121,'E&amp;W'!$A$7:$AD$66,19,0)</f>
        <v>1216507</v>
      </c>
      <c r="K120" s="78">
        <f>VLOOKUP(B121,'E&amp;W'!$A$7:$AD$66,21,0)</f>
        <v>1111183</v>
      </c>
      <c r="L120" s="78">
        <f>VLOOKUP(B121,'E&amp;W'!$A$7:$AD$66,23,0)</f>
        <v>1064884</v>
      </c>
      <c r="M120" s="78">
        <f>VLOOKUP(B121,'E&amp;W'!$A$7:$AD$66,25,0)</f>
        <v>959561</v>
      </c>
      <c r="N120" s="78">
        <f>VLOOKUP(B121,'E&amp;W'!$A$7:$AD$66,27,0)</f>
        <v>964732</v>
      </c>
      <c r="O120" s="78">
        <f>VLOOKUP(B121,'E&amp;W'!$A$7:$AD$66,29,0)</f>
        <v>740789</v>
      </c>
    </row>
    <row r="121" spans="1:15">
      <c r="A121" s="358"/>
      <c r="B121" s="83">
        <v>1412000029</v>
      </c>
      <c r="C121" s="110" t="s">
        <v>176</v>
      </c>
      <c r="D121" s="85">
        <f>VLOOKUP(B121,'E&amp;W'!$A$7:$P$66,8,0)</f>
        <v>261568</v>
      </c>
      <c r="E121" s="85">
        <f>VLOOKUP(B121,'E&amp;W'!$A$7:$P$66,10,0)</f>
        <v>289075</v>
      </c>
      <c r="F121" s="85">
        <f>VLOOKUP(B121,'E&amp;W'!$A$7:$P$66,12,0)</f>
        <v>326494</v>
      </c>
      <c r="G121" s="85">
        <f>VLOOKUP(B121,'E&amp;W'!$A$7:$P$66,14,0)</f>
        <v>466257</v>
      </c>
      <c r="H121" s="85">
        <f>VLOOKUP(B121,'E&amp;W'!$A$7:$P$66,16,0)</f>
        <v>417599</v>
      </c>
      <c r="I121" s="85">
        <f>VLOOKUP(B121,'E&amp;W'!$A$7:$AD$66,18,0)</f>
        <v>362348</v>
      </c>
      <c r="J121" s="85">
        <f>VLOOKUP(B121,'E&amp;W'!$A$7:$AD$66,20,0)</f>
        <v>248218</v>
      </c>
      <c r="K121" s="85">
        <f>VLOOKUP(B121,'E&amp;W'!$A$7:$AD$66,22,0)</f>
        <v>345738</v>
      </c>
      <c r="L121" s="85">
        <f>VLOOKUP(B121,'E&amp;W'!$A$7:$AD$66,24,0)</f>
        <v>345303</v>
      </c>
      <c r="M121" s="85">
        <f>VLOOKUP(B121,'E&amp;W'!$A$7:$AD$66,26,0)</f>
        <v>234148</v>
      </c>
      <c r="N121" s="85">
        <f>VLOOKUP(B121,'E&amp;W'!$A$7:$AD$66,28,0)</f>
        <v>175579</v>
      </c>
      <c r="O121" s="85">
        <f>VLOOKUP(B121,'E&amp;W'!$A$7:$AD$66,30,0)</f>
        <v>204003</v>
      </c>
    </row>
    <row r="122" spans="1:15">
      <c r="A122" s="357">
        <v>59</v>
      </c>
      <c r="B122" s="108" t="s">
        <v>141</v>
      </c>
      <c r="C122" s="109" t="s">
        <v>175</v>
      </c>
      <c r="D122" s="78">
        <f>VLOOKUP(B123,'E&amp;W'!$A$7:$P$66,7,0)</f>
        <v>1361537</v>
      </c>
      <c r="E122" s="78">
        <f>VLOOKUP(B123,'E&amp;W'!$A$7:$P$66,9,0)</f>
        <v>1397683</v>
      </c>
      <c r="F122" s="78">
        <f>VLOOKUP(B123,'E&amp;W'!$A$7:$P$66,11,0)</f>
        <v>1755885</v>
      </c>
      <c r="G122" s="78">
        <f>VLOOKUP(B123,'E&amp;W'!$A$7:$P$66,13,0)</f>
        <v>1890954</v>
      </c>
      <c r="H122" s="78">
        <f>VLOOKUP(B123,'E&amp;W'!$A$7:$P$66,15,0)</f>
        <v>1952330</v>
      </c>
      <c r="I122" s="78">
        <f>VLOOKUP(B123,'E&amp;W'!$A$7:$AD$66,17,0)</f>
        <v>1786164</v>
      </c>
      <c r="J122" s="78">
        <f>VLOOKUP(B123,'E&amp;W'!$A$7:$AD$66,19,0)</f>
        <v>1745874</v>
      </c>
      <c r="K122" s="78">
        <f>VLOOKUP(B123,'E&amp;W'!$A$7:$AD$66,21,0)</f>
        <v>1611576</v>
      </c>
      <c r="L122" s="78">
        <f>VLOOKUP(B123,'E&amp;W'!$A$7:$AD$66,23,0)</f>
        <v>1544427</v>
      </c>
      <c r="M122" s="78">
        <f>VLOOKUP(B123,'E&amp;W'!$A$7:$AD$66,25,0)</f>
        <v>1410129</v>
      </c>
      <c r="N122" s="78">
        <f>VLOOKUP(B123,'E&amp;W'!$A$7:$AD$66,27,0)</f>
        <v>1402016</v>
      </c>
      <c r="O122" s="78">
        <f>VLOOKUP(B123,'E&amp;W'!$A$7:$AD$66,29,0)</f>
        <v>1074384</v>
      </c>
    </row>
    <row r="123" spans="1:15">
      <c r="A123" s="358"/>
      <c r="B123" s="83">
        <v>1412000030</v>
      </c>
      <c r="C123" s="110" t="s">
        <v>176</v>
      </c>
      <c r="D123" s="85">
        <f>VLOOKUP(B123,'E&amp;W'!$A$7:$P$66,8,0)</f>
        <v>523136</v>
      </c>
      <c r="E123" s="85">
        <f>VLOOKUP(B123,'E&amp;W'!$A$7:$P$66,10,0)</f>
        <v>578150</v>
      </c>
      <c r="F123" s="85">
        <f>VLOOKUP(B123,'E&amp;W'!$A$7:$P$66,12,0)</f>
        <v>652989</v>
      </c>
      <c r="G123" s="85">
        <f>VLOOKUP(B123,'E&amp;W'!$A$7:$P$66,14,0)</f>
        <v>932515</v>
      </c>
      <c r="H123" s="85">
        <f>VLOOKUP(B123,'E&amp;W'!$A$7:$P$66,16,0)</f>
        <v>835198</v>
      </c>
      <c r="I123" s="85">
        <f>VLOOKUP(B123,'E&amp;W'!$A$7:$AD$66,18,0)</f>
        <v>724695</v>
      </c>
      <c r="J123" s="85">
        <f>VLOOKUP(B123,'E&amp;W'!$A$7:$AD$66,20,0)</f>
        <v>496437</v>
      </c>
      <c r="K123" s="85">
        <f>VLOOKUP(B123,'E&amp;W'!$A$7:$AD$66,22,0)</f>
        <v>691476</v>
      </c>
      <c r="L123" s="85">
        <f>VLOOKUP(B123,'E&amp;W'!$A$7:$AD$66,24,0)</f>
        <v>690606</v>
      </c>
      <c r="M123" s="85">
        <f>VLOOKUP(B123,'E&amp;W'!$A$7:$AD$66,26,0)</f>
        <v>468296</v>
      </c>
      <c r="N123" s="85">
        <f>VLOOKUP(B123,'E&amp;W'!$A$7:$AD$66,28,0)</f>
        <v>351159</v>
      </c>
      <c r="O123" s="85">
        <f>VLOOKUP(B123,'E&amp;W'!$A$7:$AD$66,30,0)</f>
        <v>408007</v>
      </c>
    </row>
    <row r="124" spans="1:15">
      <c r="A124" s="357">
        <v>60</v>
      </c>
      <c r="B124" s="91" t="s">
        <v>10</v>
      </c>
      <c r="C124" s="76" t="s">
        <v>175</v>
      </c>
      <c r="D124" s="78">
        <f>VLOOKUP(B125,'E&amp;W'!$A$7:$P$66,7,0)</f>
        <v>2378243</v>
      </c>
      <c r="E124" s="78">
        <f>VLOOKUP(B125,'E&amp;W'!$A$7:$P$66,9,0)</f>
        <v>2431815</v>
      </c>
      <c r="F124" s="78">
        <f>VLOOKUP(B125,'E&amp;W'!$A$7:$P$66,11,0)</f>
        <v>3066848</v>
      </c>
      <c r="G124" s="78">
        <f>VLOOKUP(B125,'E&amp;W'!$A$7:$P$66,13,0)</f>
        <v>3302760</v>
      </c>
      <c r="H124" s="78">
        <f>VLOOKUP(B125,'E&amp;W'!$A$7:$P$66,15,0)</f>
        <v>3415926</v>
      </c>
      <c r="I124" s="78">
        <f>VLOOKUP(B125,'E&amp;W'!$A$7:$AD$66,17,0)</f>
        <v>3228887</v>
      </c>
      <c r="J124" s="78">
        <f>VLOOKUP(B125,'E&amp;W'!$A$7:$AD$66,19,0)</f>
        <v>3200259</v>
      </c>
      <c r="K124" s="78">
        <f>VLOOKUP(B125,'E&amp;W'!$A$7:$AD$66,21,0)</f>
        <v>2913281</v>
      </c>
      <c r="L124" s="78">
        <f>VLOOKUP(B125,'E&amp;W'!$A$7:$AD$66,23,0)</f>
        <v>2791894</v>
      </c>
      <c r="M124" s="78">
        <f>VLOOKUP(B125,'E&amp;W'!$A$7:$AD$66,25,0)</f>
        <v>2504917</v>
      </c>
      <c r="N124" s="78">
        <f>VLOOKUP(B125,'E&amp;W'!$A$7:$AD$66,27,0)</f>
        <v>2527648</v>
      </c>
      <c r="O124" s="78">
        <f>VLOOKUP(B125,'E&amp;W'!$A$7:$AD$66,29,0)</f>
        <v>1942187</v>
      </c>
    </row>
    <row r="125" spans="1:15">
      <c r="A125" s="358"/>
      <c r="B125" s="111">
        <v>1412000086</v>
      </c>
      <c r="C125" s="84" t="s">
        <v>176</v>
      </c>
      <c r="D125" s="85">
        <f>VLOOKUP(B125,'E&amp;W'!$A$7:$P$66,8,0)</f>
        <v>406883</v>
      </c>
      <c r="E125" s="85">
        <f>VLOOKUP(B125,'E&amp;W'!$A$7:$P$66,10,0)</f>
        <v>449672</v>
      </c>
      <c r="F125" s="85">
        <f>VLOOKUP(B125,'E&amp;W'!$A$7:$P$66,12,0)</f>
        <v>507880</v>
      </c>
      <c r="G125" s="85">
        <f>VLOOKUP(B125,'E&amp;W'!$A$7:$P$66,14,0)</f>
        <v>725289</v>
      </c>
      <c r="H125" s="85">
        <f>VLOOKUP(B125,'E&amp;W'!$A$7:$P$66,16,0)</f>
        <v>649598</v>
      </c>
      <c r="I125" s="85">
        <f>VLOOKUP(B125,'E&amp;W'!$A$7:$AD$66,18,0)</f>
        <v>603913</v>
      </c>
      <c r="J125" s="85">
        <f>VLOOKUP(B125,'E&amp;W'!$A$7:$AD$66,20,0)</f>
        <v>413697</v>
      </c>
      <c r="K125" s="85">
        <f>VLOOKUP(B125,'E&amp;W'!$A$7:$AD$66,22,0)</f>
        <v>576230</v>
      </c>
      <c r="L125" s="85">
        <f>VLOOKUP(B125,'E&amp;W'!$A$7:$AD$66,24,0)</f>
        <v>575505</v>
      </c>
      <c r="M125" s="85">
        <f>VLOOKUP(B125,'E&amp;W'!$A$7:$AD$66,26,0)</f>
        <v>390247</v>
      </c>
      <c r="N125" s="85">
        <f>VLOOKUP(B125,'E&amp;W'!$A$7:$AD$66,28,0)</f>
        <v>292632</v>
      </c>
      <c r="O125" s="85">
        <f>VLOOKUP(B125,'E&amp;W'!$A$7:$AD$66,30,0)</f>
        <v>340006</v>
      </c>
    </row>
    <row r="126" spans="1:15">
      <c r="A126" s="353" t="s">
        <v>170</v>
      </c>
      <c r="B126" s="354"/>
      <c r="C126" s="76" t="s">
        <v>173</v>
      </c>
      <c r="D126" s="114">
        <f>D6+D10+D12+D14+D16+D18+D20+D22+D24+D26+D28+D30+D32+D34+D36+D38+D40+D44+D46+D48+D50+D52+D54+D62+D64+D66+D68+D70+D72+D74+D76+D78+D80+D86+D90+D94+D96+D98+D100+D102+D104+D106+D108+D112+D114+D118+D122+D124+D56+D58+D110+D120+D116+D42+D8+D92+D82+D84+D88+D60</f>
        <v>2231942061</v>
      </c>
      <c r="E126" s="114">
        <f t="shared" ref="E126:O126" si="11">E6+E10+E12+E14+E16+E18+E20+E22+E24+E26+E28+E30+E32+E34+E36+E38+E40+E44+E46+E48+E50+E52+E54+E62+E64+E66+E68+E70+E72+E74+E76+E78+E80+E86+E90+E94+E96+E98+E100+E102+E104+E106+E108+E112+E114+E118+E122+E124+E56+E58+E110+E120+E116+E42+E8+E92+E82+E84+E88+E60</f>
        <v>2281942059</v>
      </c>
      <c r="F126" s="114">
        <f t="shared" si="11"/>
        <v>2875524677</v>
      </c>
      <c r="G126" s="114">
        <f t="shared" si="11"/>
        <v>3096718887</v>
      </c>
      <c r="H126" s="114">
        <f t="shared" si="11"/>
        <v>3207315989</v>
      </c>
      <c r="I126" s="114">
        <f t="shared" si="11"/>
        <v>2941882945</v>
      </c>
      <c r="J126" s="114">
        <f t="shared" si="11"/>
        <v>2957385007</v>
      </c>
      <c r="K126" s="114">
        <f t="shared" si="11"/>
        <v>2654330471</v>
      </c>
      <c r="L126" s="114">
        <f t="shared" si="11"/>
        <v>2543733369</v>
      </c>
      <c r="M126" s="114">
        <f t="shared" si="11"/>
        <v>2240678832</v>
      </c>
      <c r="N126" s="114">
        <f t="shared" si="11"/>
        <v>2267206634</v>
      </c>
      <c r="O126" s="114">
        <f t="shared" si="11"/>
        <v>1769553649</v>
      </c>
    </row>
    <row r="127" spans="1:15">
      <c r="A127" s="355"/>
      <c r="B127" s="356"/>
      <c r="C127" s="84" t="s">
        <v>174</v>
      </c>
      <c r="D127" s="112">
        <f>D7+D11+D13+D15+D17+D19+D21+D23+D25+D27+D29+D31+D33+D35+D37+D39+D41+D45+D47+D49+D51+D53+D55+D63+D65+D67+D69+D71+D73+D75+D77+D79+D81+D87+D91+D95+D97+D99+D101+D103+D105+D107+D109+D113+D115+D119+D123+D125+D59+D57+D121+D117+D111+D43+D9+D93+D83+D89+D85+D61</f>
        <v>168478800</v>
      </c>
      <c r="E127" s="112">
        <f t="shared" ref="E127:O127" si="12">E7+E11+E13+E15+E17+E19+E21+E23+E25+E27+E29+E31+E33+E35+E37+E39+E41+E45+E47+E49+E51+E53+E55+E63+E65+E67+E69+E71+E73+E75+E77+E79+E81+E87+E91+E95+E97+E99+E101+E103+E105+E107+E109+E113+E115+E119+E123+E125+E59+E57+E121+E117+E111+E43+E9+E93+E83+E89+E85+E61</f>
        <v>184783200</v>
      </c>
      <c r="F127" s="112">
        <f t="shared" si="12"/>
        <v>203805000</v>
      </c>
      <c r="G127" s="112">
        <f t="shared" si="12"/>
        <v>317935800</v>
      </c>
      <c r="H127" s="112">
        <f t="shared" si="12"/>
        <v>293479200</v>
      </c>
      <c r="I127" s="112">
        <f t="shared" si="12"/>
        <v>263587800</v>
      </c>
      <c r="J127" s="112">
        <f t="shared" si="12"/>
        <v>190218000</v>
      </c>
      <c r="K127" s="112">
        <f t="shared" si="12"/>
        <v>269022600</v>
      </c>
      <c r="L127" s="112">
        <f t="shared" si="12"/>
        <v>266305200</v>
      </c>
      <c r="M127" s="112">
        <f t="shared" si="12"/>
        <v>187500600</v>
      </c>
      <c r="N127" s="112">
        <f t="shared" si="12"/>
        <v>149457000</v>
      </c>
      <c r="O127" s="112">
        <f t="shared" si="12"/>
        <v>163044000</v>
      </c>
    </row>
    <row r="128" spans="1:15">
      <c r="D128" s="115">
        <f>D126-'E&amp;W'!G5</f>
        <v>0</v>
      </c>
      <c r="E128" s="115">
        <f>E126-'E&amp;W'!I5</f>
        <v>0</v>
      </c>
      <c r="F128" s="115">
        <f>F126-'E&amp;W'!K5</f>
        <v>0</v>
      </c>
      <c r="G128" s="115">
        <f>G126-'E&amp;W'!M5</f>
        <v>0</v>
      </c>
      <c r="H128" s="115">
        <f>H126-'E&amp;W'!O5</f>
        <v>0</v>
      </c>
      <c r="I128" s="115">
        <f>I126-'E&amp;W'!Q5</f>
        <v>0</v>
      </c>
      <c r="J128" s="115">
        <f>J126-'E&amp;W'!S5</f>
        <v>0</v>
      </c>
      <c r="K128" s="115">
        <f>K126-'E&amp;W'!U5</f>
        <v>0</v>
      </c>
      <c r="L128" s="115">
        <f>L126-'E&amp;W'!W5</f>
        <v>0</v>
      </c>
      <c r="M128" s="115">
        <f>M126-'E&amp;W'!Y5</f>
        <v>0</v>
      </c>
      <c r="N128" s="115">
        <f>N126-'E&amp;W'!AA5</f>
        <v>0</v>
      </c>
      <c r="O128" s="115">
        <f>O126-'E&amp;W'!AC5</f>
        <v>0</v>
      </c>
    </row>
    <row r="129" spans="2:15">
      <c r="D129" s="115">
        <f>D127-'E&amp;W'!H5</f>
        <v>0</v>
      </c>
      <c r="E129" s="115">
        <f>E127-'E&amp;W'!J5</f>
        <v>0</v>
      </c>
      <c r="F129" s="115">
        <f>F127-'E&amp;W'!L5</f>
        <v>0</v>
      </c>
      <c r="G129" s="115">
        <f>G127-'E&amp;W'!N5</f>
        <v>0</v>
      </c>
      <c r="H129" s="115">
        <f>H127-'E&amp;W'!P5</f>
        <v>0</v>
      </c>
      <c r="I129" s="115">
        <f>I127-'E&amp;W'!R5</f>
        <v>0</v>
      </c>
      <c r="J129" s="115">
        <f>J127-'E&amp;W'!T5</f>
        <v>0</v>
      </c>
      <c r="K129" s="115">
        <f>K127-'E&amp;W'!V5</f>
        <v>0</v>
      </c>
      <c r="L129" s="115">
        <f>L127-'E&amp;W'!X5</f>
        <v>0</v>
      </c>
      <c r="M129" s="115">
        <f>M127-'E&amp;W'!Z5</f>
        <v>0</v>
      </c>
      <c r="N129" s="115">
        <f>N127-'E&amp;W'!AB5</f>
        <v>0</v>
      </c>
      <c r="O129" s="115">
        <f>O127-'E&amp;W'!AD5</f>
        <v>0</v>
      </c>
    </row>
    <row r="130" spans="2:15">
      <c r="B130" s="116"/>
    </row>
    <row r="131" spans="2:15">
      <c r="B131" s="117"/>
    </row>
  </sheetData>
  <mergeCells count="63">
    <mergeCell ref="A28:A29"/>
    <mergeCell ref="A30:A31"/>
    <mergeCell ref="A26:A27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6:A57"/>
    <mergeCell ref="A52:A53"/>
    <mergeCell ref="A54:A55"/>
    <mergeCell ref="A50:A51"/>
    <mergeCell ref="A58:A59"/>
    <mergeCell ref="A62:A63"/>
    <mergeCell ref="A72:A73"/>
    <mergeCell ref="A74:A75"/>
    <mergeCell ref="A70:A71"/>
    <mergeCell ref="A64:A65"/>
    <mergeCell ref="A60:A61"/>
    <mergeCell ref="A76:A77"/>
    <mergeCell ref="A124:A125"/>
    <mergeCell ref="A126:B127"/>
    <mergeCell ref="A4:A5"/>
    <mergeCell ref="B4:B5"/>
    <mergeCell ref="A106:A107"/>
    <mergeCell ref="A108:A109"/>
    <mergeCell ref="A110:A111"/>
    <mergeCell ref="A78:A79"/>
    <mergeCell ref="A80:A81"/>
    <mergeCell ref="A82:A83"/>
    <mergeCell ref="A86:A87"/>
    <mergeCell ref="A90:A91"/>
    <mergeCell ref="A92:A93"/>
    <mergeCell ref="A66:A67"/>
    <mergeCell ref="A68:A69"/>
    <mergeCell ref="A84:A85"/>
    <mergeCell ref="A88:A89"/>
    <mergeCell ref="A118:A119"/>
    <mergeCell ref="A120:A121"/>
    <mergeCell ref="A122:A123"/>
    <mergeCell ref="A112:A113"/>
    <mergeCell ref="A114:A115"/>
    <mergeCell ref="A116:A117"/>
    <mergeCell ref="A94:A95"/>
    <mergeCell ref="A96:A97"/>
    <mergeCell ref="A98:A99"/>
    <mergeCell ref="A100:A101"/>
    <mergeCell ref="A102:A103"/>
    <mergeCell ref="A104:A105"/>
  </mergeCells>
  <pageMargins left="0.15748031496062992" right="0.15748031496062992" top="0.39370078740157483" bottom="0.39370078740157483" header="0.51181102362204722" footer="0.51181102362204722"/>
  <pageSetup paperSize="9" scale="56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K84"/>
  <sheetViews>
    <sheetView topLeftCell="A5" zoomScale="80" zoomScaleNormal="80" workbookViewId="0">
      <selection activeCell="BL14" sqref="BL14"/>
    </sheetView>
  </sheetViews>
  <sheetFormatPr defaultRowHeight="14"/>
  <cols>
    <col min="1" max="1" width="11.6328125" style="2" bestFit="1" customWidth="1"/>
    <col min="2" max="2" width="28" style="2" customWidth="1"/>
    <col min="3" max="3" width="18.08984375" style="2" customWidth="1"/>
    <col min="4" max="4" width="8.6328125" style="3" customWidth="1"/>
    <col min="5" max="6" width="12.7265625" style="2" customWidth="1"/>
    <col min="7" max="8" width="12.7265625" style="3" customWidth="1"/>
    <col min="9" max="9" width="8.90625" style="3" customWidth="1"/>
    <col min="10" max="11" width="12.7265625" style="2" customWidth="1"/>
    <col min="12" max="13" width="12.7265625" style="3" customWidth="1"/>
    <col min="14" max="14" width="8.90625" style="3" customWidth="1"/>
    <col min="15" max="16" width="12.7265625" style="2" customWidth="1"/>
    <col min="17" max="18" width="12.7265625" style="3" customWidth="1"/>
    <col min="19" max="19" width="8.90625" style="3" customWidth="1"/>
    <col min="20" max="21" width="12.7265625" style="2" customWidth="1"/>
    <col min="22" max="23" width="12.7265625" style="3" customWidth="1"/>
    <col min="24" max="24" width="8.90625" style="3" customWidth="1"/>
    <col min="25" max="26" width="12.7265625" style="2" customWidth="1"/>
    <col min="27" max="28" width="12.7265625" style="3" customWidth="1"/>
    <col min="29" max="29" width="8.90625" style="3" customWidth="1"/>
    <col min="30" max="31" width="12.7265625" style="2" customWidth="1"/>
    <col min="32" max="33" width="12.7265625" style="3" customWidth="1"/>
    <col min="34" max="34" width="8.90625" style="3" customWidth="1"/>
    <col min="35" max="36" width="12.7265625" style="2" customWidth="1"/>
    <col min="37" max="38" width="12.7265625" style="3" customWidth="1"/>
    <col min="39" max="39" width="8.90625" style="3" customWidth="1"/>
    <col min="40" max="41" width="12.7265625" style="2" customWidth="1"/>
    <col min="42" max="43" width="12.7265625" style="3" customWidth="1"/>
    <col min="44" max="44" width="8.90625" style="3" customWidth="1"/>
    <col min="45" max="46" width="12.7265625" style="2" customWidth="1"/>
    <col min="47" max="48" width="12.7265625" style="3" customWidth="1"/>
    <col min="49" max="49" width="8.90625" style="3" customWidth="1"/>
    <col min="50" max="51" width="12.7265625" style="2" customWidth="1"/>
    <col min="52" max="53" width="12.7265625" style="3" customWidth="1"/>
    <col min="54" max="54" width="8.90625" style="3" customWidth="1"/>
    <col min="55" max="56" width="12.7265625" style="2" customWidth="1"/>
    <col min="57" max="58" width="12.7265625" style="3" customWidth="1"/>
    <col min="59" max="59" width="8.90625" style="3" customWidth="1"/>
    <col min="60" max="61" width="12.7265625" style="2" customWidth="1"/>
    <col min="62" max="63" width="12.7265625" style="3" customWidth="1"/>
    <col min="64" max="16384" width="8.7265625" style="2"/>
  </cols>
  <sheetData>
    <row r="1" spans="1:63" ht="21.5" customHeight="1"/>
    <row r="2" spans="1:63" ht="21">
      <c r="B2" s="4"/>
      <c r="G2" s="5" t="s">
        <v>108</v>
      </c>
      <c r="L2" s="5"/>
      <c r="Q2" s="5" t="s">
        <v>108</v>
      </c>
      <c r="V2" s="5"/>
      <c r="AA2" s="5"/>
      <c r="AF2" s="5"/>
      <c r="AK2" s="5" t="s">
        <v>108</v>
      </c>
      <c r="AP2" s="5"/>
      <c r="AU2" s="5"/>
      <c r="AZ2" s="5" t="s">
        <v>108</v>
      </c>
      <c r="BE2" s="5"/>
      <c r="BJ2" s="5"/>
    </row>
    <row r="3" spans="1:63" ht="17.5">
      <c r="B3" s="4"/>
      <c r="C3" s="6"/>
      <c r="E3" s="373">
        <v>45748</v>
      </c>
      <c r="F3" s="373"/>
      <c r="G3" s="373"/>
      <c r="H3" s="374"/>
      <c r="J3" s="373">
        <f>IF(MONTH(E3)=12,EDATE(E3,1),EDATE(E3,1))</f>
        <v>45778</v>
      </c>
      <c r="K3" s="373"/>
      <c r="L3" s="373"/>
      <c r="M3" s="374"/>
      <c r="O3" s="373">
        <f>IF(MONTH(J3)=12,EDATE(J3,1),EDATE(J3,1))</f>
        <v>45809</v>
      </c>
      <c r="P3" s="373"/>
      <c r="Q3" s="373"/>
      <c r="R3" s="374"/>
      <c r="T3" s="373">
        <f>IF(MONTH(O3)=12,EDATE(O3,1),EDATE(O3,1))</f>
        <v>45839</v>
      </c>
      <c r="U3" s="373"/>
      <c r="V3" s="373"/>
      <c r="W3" s="374"/>
      <c r="Y3" s="373">
        <f>IF(MONTH(T3)=12,EDATE(T3,1),EDATE(T3,1))</f>
        <v>45870</v>
      </c>
      <c r="Z3" s="373"/>
      <c r="AA3" s="373"/>
      <c r="AB3" s="374"/>
      <c r="AD3" s="373">
        <f>IF(MONTH(Y3)=12,EDATE(Y3,1),EDATE(Y3,1))</f>
        <v>45901</v>
      </c>
      <c r="AE3" s="373"/>
      <c r="AF3" s="373"/>
      <c r="AG3" s="374"/>
      <c r="AI3" s="373">
        <f>IF(MONTH(AD3)=12,EDATE(AD3,1),EDATE(AD3,1))</f>
        <v>45931</v>
      </c>
      <c r="AJ3" s="373"/>
      <c r="AK3" s="373"/>
      <c r="AL3" s="374"/>
      <c r="AN3" s="373">
        <f>IF(MONTH(AI3)=12,EDATE(AI3,1),EDATE(AI3,1))</f>
        <v>45962</v>
      </c>
      <c r="AO3" s="373"/>
      <c r="AP3" s="373"/>
      <c r="AQ3" s="374"/>
      <c r="AS3" s="373">
        <f>IF(MONTH(AN3)=12,EDATE(AN3,1),EDATE(AN3,1))</f>
        <v>45992</v>
      </c>
      <c r="AT3" s="373"/>
      <c r="AU3" s="373"/>
      <c r="AV3" s="374"/>
      <c r="AX3" s="373">
        <f>IF(MONTH(AS3)=12,EDATE(AS3,1),EDATE(AS3,1))</f>
        <v>46023</v>
      </c>
      <c r="AY3" s="373"/>
      <c r="AZ3" s="373"/>
      <c r="BA3" s="374"/>
      <c r="BC3" s="373">
        <f>IF(MONTH(AX3)=12,EDATE(AX3,1),EDATE(AX3,1))</f>
        <v>46054</v>
      </c>
      <c r="BD3" s="373"/>
      <c r="BE3" s="373"/>
      <c r="BF3" s="374"/>
      <c r="BH3" s="373">
        <f>IF(MONTH(BC3)=12,EDATE(BC3,1),EDATE(BC3,1))</f>
        <v>46082</v>
      </c>
      <c r="BI3" s="373"/>
      <c r="BJ3" s="373"/>
      <c r="BK3" s="374"/>
    </row>
    <row r="4" spans="1:63">
      <c r="B4" s="4"/>
      <c r="C4" s="6"/>
      <c r="D4" s="7"/>
      <c r="E4" s="8" t="s">
        <v>79</v>
      </c>
      <c r="F4" s="9" t="s">
        <v>80</v>
      </c>
      <c r="G4" s="10" t="s">
        <v>59</v>
      </c>
      <c r="H4" s="11" t="s">
        <v>11</v>
      </c>
      <c r="I4" s="7"/>
      <c r="J4" s="8" t="s">
        <v>79</v>
      </c>
      <c r="K4" s="9" t="s">
        <v>80</v>
      </c>
      <c r="L4" s="10" t="s">
        <v>59</v>
      </c>
      <c r="M4" s="11" t="s">
        <v>11</v>
      </c>
      <c r="N4" s="7"/>
      <c r="O4" s="8" t="s">
        <v>79</v>
      </c>
      <c r="P4" s="9" t="s">
        <v>80</v>
      </c>
      <c r="Q4" s="10" t="s">
        <v>59</v>
      </c>
      <c r="R4" s="11" t="s">
        <v>11</v>
      </c>
      <c r="S4" s="7"/>
      <c r="T4" s="8" t="s">
        <v>79</v>
      </c>
      <c r="U4" s="9" t="s">
        <v>80</v>
      </c>
      <c r="V4" s="10" t="s">
        <v>59</v>
      </c>
      <c r="W4" s="11" t="s">
        <v>11</v>
      </c>
      <c r="X4" s="7"/>
      <c r="Y4" s="8" t="s">
        <v>79</v>
      </c>
      <c r="Z4" s="9" t="s">
        <v>80</v>
      </c>
      <c r="AA4" s="10" t="s">
        <v>59</v>
      </c>
      <c r="AB4" s="11" t="s">
        <v>11</v>
      </c>
      <c r="AC4" s="7"/>
      <c r="AD4" s="8" t="s">
        <v>79</v>
      </c>
      <c r="AE4" s="9" t="s">
        <v>80</v>
      </c>
      <c r="AF4" s="10" t="s">
        <v>59</v>
      </c>
      <c r="AG4" s="11" t="s">
        <v>11</v>
      </c>
      <c r="AH4" s="7"/>
      <c r="AI4" s="8" t="s">
        <v>79</v>
      </c>
      <c r="AJ4" s="9" t="s">
        <v>80</v>
      </c>
      <c r="AK4" s="10" t="s">
        <v>59</v>
      </c>
      <c r="AL4" s="11" t="s">
        <v>11</v>
      </c>
      <c r="AM4" s="7"/>
      <c r="AN4" s="8" t="s">
        <v>79</v>
      </c>
      <c r="AO4" s="9" t="s">
        <v>80</v>
      </c>
      <c r="AP4" s="10" t="s">
        <v>59</v>
      </c>
      <c r="AQ4" s="11" t="s">
        <v>11</v>
      </c>
      <c r="AR4" s="7"/>
      <c r="AS4" s="8" t="s">
        <v>79</v>
      </c>
      <c r="AT4" s="9" t="s">
        <v>80</v>
      </c>
      <c r="AU4" s="10" t="s">
        <v>59</v>
      </c>
      <c r="AV4" s="11" t="s">
        <v>11</v>
      </c>
      <c r="AW4" s="7"/>
      <c r="AX4" s="8" t="s">
        <v>79</v>
      </c>
      <c r="AY4" s="9" t="s">
        <v>80</v>
      </c>
      <c r="AZ4" s="10" t="s">
        <v>59</v>
      </c>
      <c r="BA4" s="11" t="s">
        <v>11</v>
      </c>
      <c r="BB4" s="7"/>
      <c r="BC4" s="8" t="s">
        <v>79</v>
      </c>
      <c r="BD4" s="9" t="s">
        <v>80</v>
      </c>
      <c r="BE4" s="10" t="s">
        <v>59</v>
      </c>
      <c r="BF4" s="11" t="s">
        <v>11</v>
      </c>
      <c r="BG4" s="7"/>
      <c r="BH4" s="8" t="s">
        <v>79</v>
      </c>
      <c r="BI4" s="9" t="s">
        <v>80</v>
      </c>
      <c r="BJ4" s="10" t="s">
        <v>59</v>
      </c>
      <c r="BK4" s="11" t="s">
        <v>11</v>
      </c>
    </row>
    <row r="5" spans="1:63">
      <c r="B5" s="4"/>
      <c r="D5" s="12" t="s">
        <v>12</v>
      </c>
      <c r="E5" s="13">
        <v>324649.58</v>
      </c>
      <c r="F5" s="14">
        <v>21912.560000000001</v>
      </c>
      <c r="G5" s="15">
        <v>220366.55</v>
      </c>
      <c r="H5" s="16">
        <v>27247.279999999999</v>
      </c>
      <c r="I5" s="12" t="s">
        <v>12</v>
      </c>
      <c r="J5" s="13">
        <v>324649.58</v>
      </c>
      <c r="K5" s="14">
        <v>21912.560000000001</v>
      </c>
      <c r="L5" s="15">
        <v>208679.16</v>
      </c>
      <c r="M5" s="16">
        <v>26458.43</v>
      </c>
      <c r="N5" s="12" t="s">
        <v>12</v>
      </c>
      <c r="O5" s="13">
        <v>324649.58</v>
      </c>
      <c r="P5" s="14">
        <v>21912.560000000001</v>
      </c>
      <c r="Q5" s="15">
        <v>208679.16</v>
      </c>
      <c r="R5" s="16">
        <v>26458.43</v>
      </c>
      <c r="S5" s="12" t="s">
        <v>12</v>
      </c>
      <c r="T5" s="13">
        <v>324649.58</v>
      </c>
      <c r="U5" s="14">
        <v>21912.560000000001</v>
      </c>
      <c r="V5" s="15">
        <v>208679.16</v>
      </c>
      <c r="W5" s="16">
        <v>26458.43</v>
      </c>
      <c r="X5" s="12" t="s">
        <v>12</v>
      </c>
      <c r="Y5" s="13">
        <v>324649.58</v>
      </c>
      <c r="Z5" s="14">
        <v>21912.560000000001</v>
      </c>
      <c r="AA5" s="15">
        <v>208679.16</v>
      </c>
      <c r="AB5" s="16">
        <v>26458.43</v>
      </c>
      <c r="AC5" s="12" t="s">
        <v>12</v>
      </c>
      <c r="AD5" s="13">
        <v>324649.58</v>
      </c>
      <c r="AE5" s="14">
        <v>21912.560000000001</v>
      </c>
      <c r="AF5" s="15">
        <v>208679.16</v>
      </c>
      <c r="AG5" s="16">
        <v>26458.43</v>
      </c>
      <c r="AH5" s="12" t="s">
        <v>12</v>
      </c>
      <c r="AI5" s="13">
        <v>324649.58</v>
      </c>
      <c r="AJ5" s="14">
        <v>21912.560000000001</v>
      </c>
      <c r="AK5" s="15">
        <v>208679.16</v>
      </c>
      <c r="AL5" s="16">
        <v>26458.43</v>
      </c>
      <c r="AM5" s="12" t="s">
        <v>12</v>
      </c>
      <c r="AN5" s="13">
        <v>324649.58</v>
      </c>
      <c r="AO5" s="14">
        <v>21912.560000000001</v>
      </c>
      <c r="AP5" s="15">
        <v>208679.16</v>
      </c>
      <c r="AQ5" s="16">
        <v>26458.43</v>
      </c>
      <c r="AR5" s="12" t="s">
        <v>12</v>
      </c>
      <c r="AS5" s="13">
        <v>324649.58</v>
      </c>
      <c r="AT5" s="14">
        <v>21912.560000000001</v>
      </c>
      <c r="AU5" s="15">
        <v>208679.16</v>
      </c>
      <c r="AV5" s="16">
        <v>26458.43</v>
      </c>
      <c r="AW5" s="12" t="s">
        <v>12</v>
      </c>
      <c r="AX5" s="13">
        <v>324649.58</v>
      </c>
      <c r="AY5" s="14">
        <v>21912.560000000001</v>
      </c>
      <c r="AZ5" s="15">
        <v>208679.16</v>
      </c>
      <c r="BA5" s="16">
        <v>26458.43</v>
      </c>
      <c r="BB5" s="12" t="s">
        <v>12</v>
      </c>
      <c r="BC5" s="13">
        <v>324649.58</v>
      </c>
      <c r="BD5" s="14">
        <v>21912.560000000001</v>
      </c>
      <c r="BE5" s="15">
        <v>208679.16</v>
      </c>
      <c r="BF5" s="16">
        <v>26458.43</v>
      </c>
      <c r="BG5" s="12" t="s">
        <v>12</v>
      </c>
      <c r="BH5" s="13">
        <v>324649.58</v>
      </c>
      <c r="BI5" s="14">
        <v>21912.560000000001</v>
      </c>
      <c r="BJ5" s="15">
        <v>208679.16</v>
      </c>
      <c r="BK5" s="16">
        <v>26458.43</v>
      </c>
    </row>
    <row r="6" spans="1:63">
      <c r="A6" s="17" t="s">
        <v>13</v>
      </c>
      <c r="B6" s="17" t="s">
        <v>14</v>
      </c>
      <c r="C6" s="17" t="s">
        <v>15</v>
      </c>
      <c r="D6" s="18" t="s">
        <v>16</v>
      </c>
      <c r="E6" s="19" t="s">
        <v>17</v>
      </c>
      <c r="F6" s="20" t="s">
        <v>18</v>
      </c>
      <c r="G6" s="21" t="s">
        <v>17</v>
      </c>
      <c r="H6" s="22" t="s">
        <v>18</v>
      </c>
      <c r="I6" s="18" t="s">
        <v>16</v>
      </c>
      <c r="J6" s="19" t="s">
        <v>17</v>
      </c>
      <c r="K6" s="20" t="s">
        <v>18</v>
      </c>
      <c r="L6" s="21" t="s">
        <v>17</v>
      </c>
      <c r="M6" s="22" t="s">
        <v>18</v>
      </c>
      <c r="N6" s="18" t="s">
        <v>16</v>
      </c>
      <c r="O6" s="19" t="s">
        <v>17</v>
      </c>
      <c r="P6" s="20" t="s">
        <v>18</v>
      </c>
      <c r="Q6" s="21" t="s">
        <v>17</v>
      </c>
      <c r="R6" s="22" t="s">
        <v>18</v>
      </c>
      <c r="S6" s="18" t="s">
        <v>16</v>
      </c>
      <c r="T6" s="19" t="s">
        <v>17</v>
      </c>
      <c r="U6" s="20" t="s">
        <v>18</v>
      </c>
      <c r="V6" s="21" t="s">
        <v>17</v>
      </c>
      <c r="W6" s="22" t="s">
        <v>18</v>
      </c>
      <c r="X6" s="18" t="s">
        <v>16</v>
      </c>
      <c r="Y6" s="19" t="s">
        <v>17</v>
      </c>
      <c r="Z6" s="20" t="s">
        <v>18</v>
      </c>
      <c r="AA6" s="21" t="s">
        <v>17</v>
      </c>
      <c r="AB6" s="22" t="s">
        <v>18</v>
      </c>
      <c r="AC6" s="18" t="s">
        <v>16</v>
      </c>
      <c r="AD6" s="19" t="s">
        <v>17</v>
      </c>
      <c r="AE6" s="20" t="s">
        <v>18</v>
      </c>
      <c r="AF6" s="21" t="s">
        <v>17</v>
      </c>
      <c r="AG6" s="22" t="s">
        <v>18</v>
      </c>
      <c r="AH6" s="18" t="s">
        <v>16</v>
      </c>
      <c r="AI6" s="19" t="s">
        <v>17</v>
      </c>
      <c r="AJ6" s="20" t="s">
        <v>18</v>
      </c>
      <c r="AK6" s="21" t="s">
        <v>17</v>
      </c>
      <c r="AL6" s="22" t="s">
        <v>18</v>
      </c>
      <c r="AM6" s="18" t="s">
        <v>16</v>
      </c>
      <c r="AN6" s="19" t="s">
        <v>17</v>
      </c>
      <c r="AO6" s="20" t="s">
        <v>18</v>
      </c>
      <c r="AP6" s="21" t="s">
        <v>17</v>
      </c>
      <c r="AQ6" s="22" t="s">
        <v>18</v>
      </c>
      <c r="AR6" s="18" t="s">
        <v>16</v>
      </c>
      <c r="AS6" s="19" t="s">
        <v>17</v>
      </c>
      <c r="AT6" s="20" t="s">
        <v>18</v>
      </c>
      <c r="AU6" s="21" t="s">
        <v>17</v>
      </c>
      <c r="AV6" s="22" t="s">
        <v>18</v>
      </c>
      <c r="AW6" s="18" t="s">
        <v>16</v>
      </c>
      <c r="AX6" s="19" t="s">
        <v>17</v>
      </c>
      <c r="AY6" s="20" t="s">
        <v>18</v>
      </c>
      <c r="AZ6" s="21" t="s">
        <v>17</v>
      </c>
      <c r="BA6" s="22" t="s">
        <v>18</v>
      </c>
      <c r="BB6" s="18" t="s">
        <v>16</v>
      </c>
      <c r="BC6" s="19" t="s">
        <v>17</v>
      </c>
      <c r="BD6" s="20" t="s">
        <v>18</v>
      </c>
      <c r="BE6" s="21" t="s">
        <v>17</v>
      </c>
      <c r="BF6" s="22" t="s">
        <v>18</v>
      </c>
      <c r="BG6" s="18" t="s">
        <v>16</v>
      </c>
      <c r="BH6" s="19" t="s">
        <v>17</v>
      </c>
      <c r="BI6" s="20" t="s">
        <v>18</v>
      </c>
      <c r="BJ6" s="21" t="s">
        <v>17</v>
      </c>
      <c r="BK6" s="22" t="s">
        <v>18</v>
      </c>
    </row>
    <row r="7" spans="1:63" ht="30" customHeight="1">
      <c r="A7" s="23">
        <v>1412000005</v>
      </c>
      <c r="B7" s="24" t="s">
        <v>86</v>
      </c>
      <c r="C7" s="25" t="s">
        <v>87</v>
      </c>
      <c r="D7" s="26">
        <v>5.6300644943711627E-2</v>
      </c>
      <c r="E7" s="27">
        <f t="shared" ref="E7:E52" si="0">ROUND($E$5*D7,2)</f>
        <v>18277.98</v>
      </c>
      <c r="F7" s="28">
        <f t="shared" ref="F7:F52" si="1">ROUND($F$5*D7,2)</f>
        <v>1233.69</v>
      </c>
      <c r="G7" s="29">
        <f t="shared" ref="G7:G52" si="2">ROUND($G$5*D7,2)</f>
        <v>12406.78</v>
      </c>
      <c r="H7" s="30">
        <f t="shared" ref="H7:H52" si="3">ROUND($H$5*D7,2)</f>
        <v>1534.04</v>
      </c>
      <c r="I7" s="26">
        <v>5.6184828529928468E-2</v>
      </c>
      <c r="J7" s="27">
        <f t="shared" ref="J7:J52" si="4">ROUND($E$5*I7,2)</f>
        <v>18240.38</v>
      </c>
      <c r="K7" s="28">
        <f t="shared" ref="K7:K52" si="5">ROUND($F$5*I7,2)</f>
        <v>1231.1500000000001</v>
      </c>
      <c r="L7" s="29">
        <f t="shared" ref="L7:L52" si="6">ROUND($L$5*I7,2)</f>
        <v>11724.6</v>
      </c>
      <c r="M7" s="256">
        <f>ROUND($M$5*I7,2)</f>
        <v>1486.56</v>
      </c>
      <c r="N7" s="254">
        <v>5.6629886178133311E-2</v>
      </c>
      <c r="O7" s="27">
        <f>ROUND($E$5*N7,2)</f>
        <v>18384.87</v>
      </c>
      <c r="P7" s="28">
        <f t="shared" ref="P7:P52" si="7">ROUND($F$5*N7,2)</f>
        <v>1240.9100000000001</v>
      </c>
      <c r="Q7" s="29">
        <f>ROUND($L$5*N7,2)</f>
        <v>11817.48</v>
      </c>
      <c r="R7" s="256">
        <f>ROUND($M$5*N7,2)</f>
        <v>1498.34</v>
      </c>
      <c r="S7" s="254">
        <v>5.6765861187509821E-2</v>
      </c>
      <c r="T7" s="27">
        <f t="shared" ref="T7:T52" si="8">ROUND($E$5*S7,2)</f>
        <v>18429.009999999998</v>
      </c>
      <c r="U7" s="28">
        <f t="shared" ref="U7:U52" si="9">ROUND($F$5*S7,2)</f>
        <v>1243.8900000000001</v>
      </c>
      <c r="V7" s="29">
        <f>ROUND($L$5*S7,2)</f>
        <v>11845.85</v>
      </c>
      <c r="W7" s="256">
        <f>ROUND($M$5*S7,2)</f>
        <v>1501.94</v>
      </c>
      <c r="X7" s="254">
        <v>5.6620402503058255E-2</v>
      </c>
      <c r="Y7" s="27">
        <f t="shared" ref="Y7:Y52" si="10">ROUND($E$5*X7,2)</f>
        <v>18381.79</v>
      </c>
      <c r="Z7" s="28">
        <f t="shared" ref="Z7:Z52" si="11">ROUND($F$5*X7,2)</f>
        <v>1240.7</v>
      </c>
      <c r="AA7" s="29">
        <f>ROUND($L$5*X7,2)</f>
        <v>11815.5</v>
      </c>
      <c r="AB7" s="30">
        <f>ROUND($M$5*X7,2)</f>
        <v>1498.09</v>
      </c>
      <c r="AC7" s="26">
        <v>5.6193219620910069E-2</v>
      </c>
      <c r="AD7" s="27">
        <f t="shared" ref="AD7:AD52" si="12">ROUND($E$5*AC7,2)</f>
        <v>18243.11</v>
      </c>
      <c r="AE7" s="28">
        <f t="shared" ref="AE7:AE52" si="13">ROUND($F$5*AC7,2)</f>
        <v>1231.3399999999999</v>
      </c>
      <c r="AF7" s="29">
        <f t="shared" ref="AF7:AF8" si="14">ROUND($L$5*AC7,2)</f>
        <v>11726.35</v>
      </c>
      <c r="AG7" s="256">
        <f t="shared" ref="AG7:AG8" si="15">ROUND($M$5*AC7,2)</f>
        <v>1486.78</v>
      </c>
      <c r="AH7" s="254">
        <v>5.6306392704236312E-2</v>
      </c>
      <c r="AI7" s="27">
        <f t="shared" ref="AI7:AI52" si="16">ROUND($E$5*AH7,2)</f>
        <v>18279.849999999999</v>
      </c>
      <c r="AJ7" s="28">
        <f t="shared" ref="AJ7:AJ52" si="17">ROUND($F$5*AH7,2)</f>
        <v>1233.82</v>
      </c>
      <c r="AK7" s="29">
        <f>ROUND($L$5*AH7,2)</f>
        <v>11749.97</v>
      </c>
      <c r="AL7" s="256">
        <f>ROUND($M$5*AH7,2)</f>
        <v>1489.78</v>
      </c>
      <c r="AM7" s="254">
        <v>5.6643570600799199E-2</v>
      </c>
      <c r="AN7" s="27">
        <f t="shared" ref="AN7:AN52" si="18">ROUND($E$5*AM7,2)</f>
        <v>18389.310000000001</v>
      </c>
      <c r="AO7" s="28">
        <f t="shared" ref="AO7:AO52" si="19">ROUND($F$5*AM7,2)</f>
        <v>1241.21</v>
      </c>
      <c r="AP7" s="29">
        <f>ROUND($L$5*AM7,2)</f>
        <v>11820.33</v>
      </c>
      <c r="AQ7" s="256">
        <f>ROUND($M$5*AM7,2)</f>
        <v>1498.7</v>
      </c>
      <c r="AR7" s="254">
        <v>5.652536496312132E-2</v>
      </c>
      <c r="AS7" s="27">
        <f t="shared" ref="AS7:AS52" si="20">ROUND($E$5*AR7,2)</f>
        <v>18350.939999999999</v>
      </c>
      <c r="AT7" s="28">
        <f t="shared" ref="AT7:AT52" si="21">ROUND($F$5*AR7,2)</f>
        <v>1238.6199999999999</v>
      </c>
      <c r="AU7" s="29">
        <f>ROUND($L$5*AR7,2)</f>
        <v>11795.67</v>
      </c>
      <c r="AV7" s="30">
        <f>ROUND($M$5*AR7,2)</f>
        <v>1495.57</v>
      </c>
      <c r="AW7" s="254">
        <v>5.6820952487158093E-2</v>
      </c>
      <c r="AX7" s="27">
        <f t="shared" ref="AX7:AX52" si="22">ROUND($E$5*AW7,2)</f>
        <v>18446.900000000001</v>
      </c>
      <c r="AY7" s="28">
        <f t="shared" ref="AY7:AY52" si="23">ROUND($F$5*AW7,2)</f>
        <v>1245.0899999999999</v>
      </c>
      <c r="AZ7" s="29">
        <f>ROUND($L$5*AW7,2)</f>
        <v>11857.35</v>
      </c>
      <c r="BA7" s="256">
        <f>ROUND($M$5*AW7,2)</f>
        <v>1503.39</v>
      </c>
      <c r="BB7" s="254">
        <v>5.6819753386286455E-2</v>
      </c>
      <c r="BC7" s="27">
        <f t="shared" ref="BC7:BC52" si="24">ROUND($E$5*BB7,2)</f>
        <v>18446.509999999998</v>
      </c>
      <c r="BD7" s="28">
        <f t="shared" ref="BD7:BD52" si="25">ROUND($F$5*BB7,2)</f>
        <v>1245.07</v>
      </c>
      <c r="BE7" s="29">
        <f>ROUND($L$5*BB7,2)</f>
        <v>11857.1</v>
      </c>
      <c r="BF7" s="256">
        <f>ROUND($M$5*BB7,2)</f>
        <v>1503.36</v>
      </c>
      <c r="BG7" s="254">
        <v>5.6288798210575197E-2</v>
      </c>
      <c r="BH7" s="27">
        <f t="shared" ref="BH7:BH52" si="26">ROUND($E$5*BG7,2)</f>
        <v>18274.13</v>
      </c>
      <c r="BI7" s="28">
        <f t="shared" ref="BI7:BI52" si="27">ROUND($F$5*BG7,2)</f>
        <v>1233.43</v>
      </c>
      <c r="BJ7" s="29">
        <f>ROUND($L$5*BG7,2)</f>
        <v>11746.3</v>
      </c>
      <c r="BK7" s="30">
        <f>ROUND($M$5*BG7,2)</f>
        <v>1489.31</v>
      </c>
    </row>
    <row r="8" spans="1:63" ht="30" customHeight="1">
      <c r="A8" s="31">
        <v>1412000081</v>
      </c>
      <c r="B8" s="31" t="s">
        <v>88</v>
      </c>
      <c r="C8" s="32" t="s">
        <v>89</v>
      </c>
      <c r="D8" s="26">
        <v>0.14526513174902439</v>
      </c>
      <c r="E8" s="33">
        <f t="shared" si="0"/>
        <v>47160.26</v>
      </c>
      <c r="F8" s="34">
        <f t="shared" si="1"/>
        <v>3183.13</v>
      </c>
      <c r="G8" s="35">
        <f t="shared" si="2"/>
        <v>32011.58</v>
      </c>
      <c r="H8" s="36">
        <f t="shared" si="3"/>
        <v>3958.08</v>
      </c>
      <c r="I8" s="26">
        <v>0.14507398458671911</v>
      </c>
      <c r="J8" s="33">
        <f t="shared" si="4"/>
        <v>47098.21</v>
      </c>
      <c r="K8" s="34">
        <f t="shared" si="5"/>
        <v>3178.94</v>
      </c>
      <c r="L8" s="35">
        <f t="shared" si="6"/>
        <v>30273.919999999998</v>
      </c>
      <c r="M8" s="257">
        <f t="shared" ref="M8:M52" si="28">ROUND($M$5*I8,2)</f>
        <v>3838.43</v>
      </c>
      <c r="N8" s="254">
        <v>0.14425417541060109</v>
      </c>
      <c r="O8" s="33">
        <f t="shared" ref="O8:O52" si="29">ROUND($E$5*N8,2)</f>
        <v>46832.06</v>
      </c>
      <c r="P8" s="34">
        <f t="shared" si="7"/>
        <v>3160.98</v>
      </c>
      <c r="Q8" s="35">
        <f>ROUND($L$5*N8,2)</f>
        <v>30102.84</v>
      </c>
      <c r="R8" s="257">
        <f>ROUND($M$5*N8,2)</f>
        <v>3816.74</v>
      </c>
      <c r="S8" s="254">
        <v>0.14496996011051122</v>
      </c>
      <c r="T8" s="33">
        <f t="shared" si="8"/>
        <v>47064.44</v>
      </c>
      <c r="U8" s="34">
        <f t="shared" si="9"/>
        <v>3176.66</v>
      </c>
      <c r="V8" s="35">
        <f t="shared" ref="V8" si="30">ROUND($L$5*S8,2)</f>
        <v>30252.21</v>
      </c>
      <c r="W8" s="257">
        <f t="shared" ref="W8" si="31">ROUND($M$5*S8,2)</f>
        <v>3835.68</v>
      </c>
      <c r="X8" s="254">
        <v>0.14521187928178458</v>
      </c>
      <c r="Y8" s="33">
        <f t="shared" si="10"/>
        <v>47142.98</v>
      </c>
      <c r="Z8" s="34">
        <f t="shared" si="11"/>
        <v>3181.96</v>
      </c>
      <c r="AA8" s="35">
        <f t="shared" ref="AA8" si="32">ROUND($L$5*X8,2)</f>
        <v>30302.69</v>
      </c>
      <c r="AB8" s="36">
        <f t="shared" ref="AB8" si="33">ROUND($M$5*X8,2)</f>
        <v>3842.08</v>
      </c>
      <c r="AC8" s="26">
        <v>0.14535380191025474</v>
      </c>
      <c r="AD8" s="33">
        <f t="shared" si="12"/>
        <v>47189.05</v>
      </c>
      <c r="AE8" s="34">
        <f t="shared" si="13"/>
        <v>3185.07</v>
      </c>
      <c r="AF8" s="35">
        <f t="shared" si="14"/>
        <v>30332.31</v>
      </c>
      <c r="AG8" s="257">
        <f t="shared" si="15"/>
        <v>3845.83</v>
      </c>
      <c r="AH8" s="254">
        <v>0.14523712161308647</v>
      </c>
      <c r="AI8" s="33">
        <f t="shared" si="16"/>
        <v>47151.17</v>
      </c>
      <c r="AJ8" s="34">
        <f t="shared" si="17"/>
        <v>3182.52</v>
      </c>
      <c r="AK8" s="35">
        <f>ROUND($L$5*AH8,2)</f>
        <v>30307.96</v>
      </c>
      <c r="AL8" s="257">
        <f t="shared" ref="AL8" si="34">ROUND($M$5*AH8,2)</f>
        <v>3842.75</v>
      </c>
      <c r="AM8" s="254">
        <v>0.14511737196955835</v>
      </c>
      <c r="AN8" s="33">
        <f t="shared" si="18"/>
        <v>47112.29</v>
      </c>
      <c r="AO8" s="34">
        <f t="shared" si="19"/>
        <v>3179.89</v>
      </c>
      <c r="AP8" s="35">
        <f t="shared" ref="AP8" si="35">ROUND($L$5*AM8,2)</f>
        <v>30282.97</v>
      </c>
      <c r="AQ8" s="257">
        <f t="shared" ref="AQ8" si="36">ROUND($M$5*AM8,2)</f>
        <v>3839.58</v>
      </c>
      <c r="AR8" s="254">
        <v>0.14512370346742831</v>
      </c>
      <c r="AS8" s="33">
        <f t="shared" si="20"/>
        <v>47114.35</v>
      </c>
      <c r="AT8" s="34">
        <f t="shared" si="21"/>
        <v>3180.03</v>
      </c>
      <c r="AU8" s="35">
        <f t="shared" ref="AU8" si="37">ROUND($L$5*AR8,2)</f>
        <v>30284.29</v>
      </c>
      <c r="AV8" s="36">
        <f t="shared" ref="AV8" si="38">ROUND($M$5*AR8,2)</f>
        <v>3839.75</v>
      </c>
      <c r="AW8" s="254">
        <v>0.14523007983657577</v>
      </c>
      <c r="AX8" s="33">
        <f t="shared" si="22"/>
        <v>47148.88</v>
      </c>
      <c r="AY8" s="34">
        <f t="shared" si="23"/>
        <v>3182.36</v>
      </c>
      <c r="AZ8" s="35">
        <f>ROUND($L$5*AW8,2)</f>
        <v>30306.49</v>
      </c>
      <c r="BA8" s="257">
        <f t="shared" ref="BA8" si="39">ROUND($M$5*AW8,2)</f>
        <v>3842.56</v>
      </c>
      <c r="BB8" s="254">
        <v>0.14550970993863566</v>
      </c>
      <c r="BC8" s="33">
        <f t="shared" si="24"/>
        <v>47239.67</v>
      </c>
      <c r="BD8" s="34">
        <f t="shared" si="25"/>
        <v>3188.49</v>
      </c>
      <c r="BE8" s="35">
        <f t="shared" ref="BE8" si="40">ROUND($L$5*BB8,2)</f>
        <v>30364.84</v>
      </c>
      <c r="BF8" s="257">
        <f t="shared" ref="BF8" si="41">ROUND($M$5*BB8,2)</f>
        <v>3849.96</v>
      </c>
      <c r="BG8" s="254">
        <v>0.14553323869836782</v>
      </c>
      <c r="BH8" s="33">
        <f t="shared" si="26"/>
        <v>47247.3</v>
      </c>
      <c r="BI8" s="34">
        <f t="shared" si="27"/>
        <v>3189.01</v>
      </c>
      <c r="BJ8" s="35">
        <f t="shared" ref="BJ8" si="42">ROUND($L$5*BG8,2)</f>
        <v>30369.75</v>
      </c>
      <c r="BK8" s="36">
        <f t="shared" ref="BK8" si="43">ROUND($M$5*BG8,2)</f>
        <v>3850.58</v>
      </c>
    </row>
    <row r="9" spans="1:63" ht="30" customHeight="1">
      <c r="A9" s="31">
        <v>1412000066</v>
      </c>
      <c r="B9" s="37" t="s">
        <v>57</v>
      </c>
      <c r="C9" s="32" t="s">
        <v>58</v>
      </c>
      <c r="D9" s="26">
        <v>1.9660358041335899E-2</v>
      </c>
      <c r="E9" s="33">
        <f t="shared" si="0"/>
        <v>6382.73</v>
      </c>
      <c r="F9" s="34">
        <f t="shared" si="1"/>
        <v>430.81</v>
      </c>
      <c r="G9" s="35">
        <f t="shared" si="2"/>
        <v>4332.49</v>
      </c>
      <c r="H9" s="36">
        <f t="shared" si="3"/>
        <v>535.69000000000005</v>
      </c>
      <c r="I9" s="26">
        <v>1.9660358041335906E-2</v>
      </c>
      <c r="J9" s="33">
        <f t="shared" si="4"/>
        <v>6382.73</v>
      </c>
      <c r="K9" s="34">
        <f t="shared" si="5"/>
        <v>430.81</v>
      </c>
      <c r="L9" s="35">
        <f t="shared" si="6"/>
        <v>4102.71</v>
      </c>
      <c r="M9" s="257">
        <f t="shared" si="28"/>
        <v>520.17999999999995</v>
      </c>
      <c r="N9" s="254">
        <v>1.9660358041335892E-2</v>
      </c>
      <c r="O9" s="33">
        <f t="shared" si="29"/>
        <v>6382.73</v>
      </c>
      <c r="P9" s="34">
        <f t="shared" si="7"/>
        <v>430.81</v>
      </c>
      <c r="Q9" s="35">
        <f t="shared" ref="Q9:Q66" si="44">ROUND($L$5*N9,2)</f>
        <v>4102.71</v>
      </c>
      <c r="R9" s="257">
        <f t="shared" ref="R9:R66" si="45">ROUND($M$5*N9,2)</f>
        <v>520.17999999999995</v>
      </c>
      <c r="S9" s="254">
        <v>1.9660358041335899E-2</v>
      </c>
      <c r="T9" s="33">
        <f t="shared" si="8"/>
        <v>6382.73</v>
      </c>
      <c r="U9" s="34">
        <f t="shared" si="9"/>
        <v>430.81</v>
      </c>
      <c r="V9" s="35">
        <f t="shared" ref="V9:V66" si="46">ROUND($L$5*S9,2)</f>
        <v>4102.71</v>
      </c>
      <c r="W9" s="257">
        <f t="shared" ref="W9:W66" si="47">ROUND($M$5*S9,2)</f>
        <v>520.17999999999995</v>
      </c>
      <c r="X9" s="254">
        <v>1.9660358041335903E-2</v>
      </c>
      <c r="Y9" s="33">
        <f t="shared" si="10"/>
        <v>6382.73</v>
      </c>
      <c r="Z9" s="34">
        <f t="shared" si="11"/>
        <v>430.81</v>
      </c>
      <c r="AA9" s="35">
        <f t="shared" ref="AA9:AA66" si="48">ROUND($L$5*X9,2)</f>
        <v>4102.71</v>
      </c>
      <c r="AB9" s="36">
        <f t="shared" ref="AB9:AB66" si="49">ROUND($M$5*X9,2)</f>
        <v>520.17999999999995</v>
      </c>
      <c r="AC9" s="26">
        <v>1.9660358041335896E-2</v>
      </c>
      <c r="AD9" s="33">
        <f t="shared" si="12"/>
        <v>6382.73</v>
      </c>
      <c r="AE9" s="34">
        <f t="shared" si="13"/>
        <v>430.81</v>
      </c>
      <c r="AF9" s="35">
        <f t="shared" ref="AF9:AF66" si="50">ROUND($L$5*AC9,2)</f>
        <v>4102.71</v>
      </c>
      <c r="AG9" s="257">
        <f t="shared" ref="AG9:AG66" si="51">ROUND($M$5*AC9,2)</f>
        <v>520.17999999999995</v>
      </c>
      <c r="AH9" s="254">
        <v>1.9660358041335899E-2</v>
      </c>
      <c r="AI9" s="33">
        <f t="shared" si="16"/>
        <v>6382.73</v>
      </c>
      <c r="AJ9" s="34">
        <f t="shared" si="17"/>
        <v>430.81</v>
      </c>
      <c r="AK9" s="35">
        <f t="shared" ref="AK9:AK66" si="52">ROUND($L$5*AH9,2)</f>
        <v>4102.71</v>
      </c>
      <c r="AL9" s="257">
        <f t="shared" ref="AL9:AL66" si="53">ROUND($M$5*AH9,2)</f>
        <v>520.17999999999995</v>
      </c>
      <c r="AM9" s="254">
        <v>1.9660358041335892E-2</v>
      </c>
      <c r="AN9" s="33">
        <f t="shared" si="18"/>
        <v>6382.73</v>
      </c>
      <c r="AO9" s="34">
        <f t="shared" si="19"/>
        <v>430.81</v>
      </c>
      <c r="AP9" s="35">
        <f t="shared" ref="AP9:AP66" si="54">ROUND($L$5*AM9,2)</f>
        <v>4102.71</v>
      </c>
      <c r="AQ9" s="257">
        <f t="shared" ref="AQ9:AQ66" si="55">ROUND($M$5*AM9,2)</f>
        <v>520.17999999999995</v>
      </c>
      <c r="AR9" s="254">
        <v>1.9660358041335899E-2</v>
      </c>
      <c r="AS9" s="33">
        <f t="shared" si="20"/>
        <v>6382.73</v>
      </c>
      <c r="AT9" s="34">
        <f t="shared" si="21"/>
        <v>430.81</v>
      </c>
      <c r="AU9" s="35">
        <f t="shared" ref="AU9:AU66" si="56">ROUND($L$5*AR9,2)</f>
        <v>4102.71</v>
      </c>
      <c r="AV9" s="36">
        <f t="shared" ref="AV9:AV66" si="57">ROUND($M$5*AR9,2)</f>
        <v>520.17999999999995</v>
      </c>
      <c r="AW9" s="254">
        <v>1.9660358041335899E-2</v>
      </c>
      <c r="AX9" s="33">
        <f t="shared" si="22"/>
        <v>6382.73</v>
      </c>
      <c r="AY9" s="34">
        <f t="shared" si="23"/>
        <v>430.81</v>
      </c>
      <c r="AZ9" s="35">
        <f t="shared" ref="AZ9:AZ66" si="58">ROUND($L$5*AW9,2)</f>
        <v>4102.71</v>
      </c>
      <c r="BA9" s="257">
        <f t="shared" ref="BA9:BA66" si="59">ROUND($M$5*AW9,2)</f>
        <v>520.17999999999995</v>
      </c>
      <c r="BB9" s="254">
        <v>1.9660358041335892E-2</v>
      </c>
      <c r="BC9" s="33">
        <f t="shared" si="24"/>
        <v>6382.73</v>
      </c>
      <c r="BD9" s="34">
        <f t="shared" si="25"/>
        <v>430.81</v>
      </c>
      <c r="BE9" s="35">
        <f t="shared" ref="BE9:BE66" si="60">ROUND($L$5*BB9,2)</f>
        <v>4102.71</v>
      </c>
      <c r="BF9" s="257">
        <f t="shared" ref="BF9:BF66" si="61">ROUND($M$5*BB9,2)</f>
        <v>520.17999999999995</v>
      </c>
      <c r="BG9" s="254">
        <v>1.9660358041335906E-2</v>
      </c>
      <c r="BH9" s="33">
        <f t="shared" si="26"/>
        <v>6382.73</v>
      </c>
      <c r="BI9" s="34">
        <f t="shared" si="27"/>
        <v>430.81</v>
      </c>
      <c r="BJ9" s="35">
        <f t="shared" ref="BJ9:BJ66" si="62">ROUND($L$5*BG9,2)</f>
        <v>4102.71</v>
      </c>
      <c r="BK9" s="36">
        <f t="shared" ref="BK9:BK66" si="63">ROUND($M$5*BG9,2)</f>
        <v>520.17999999999995</v>
      </c>
    </row>
    <row r="10" spans="1:63" ht="30" customHeight="1">
      <c r="A10" s="31">
        <v>1412000044</v>
      </c>
      <c r="B10" s="32" t="s">
        <v>21</v>
      </c>
      <c r="C10" s="32" t="s">
        <v>22</v>
      </c>
      <c r="D10" s="26">
        <v>5.0678737420398788E-3</v>
      </c>
      <c r="E10" s="33">
        <f t="shared" si="0"/>
        <v>1645.28</v>
      </c>
      <c r="F10" s="34">
        <f t="shared" si="1"/>
        <v>111.05</v>
      </c>
      <c r="G10" s="35">
        <f t="shared" si="2"/>
        <v>1116.79</v>
      </c>
      <c r="H10" s="36">
        <f t="shared" si="3"/>
        <v>138.09</v>
      </c>
      <c r="I10" s="26">
        <v>5.0617391376506305E-3</v>
      </c>
      <c r="J10" s="33">
        <f t="shared" si="4"/>
        <v>1643.29</v>
      </c>
      <c r="K10" s="34">
        <f t="shared" si="5"/>
        <v>110.92</v>
      </c>
      <c r="L10" s="35">
        <f t="shared" si="6"/>
        <v>1056.28</v>
      </c>
      <c r="M10" s="257">
        <f t="shared" si="28"/>
        <v>133.93</v>
      </c>
      <c r="N10" s="254">
        <v>5.0632593111610089E-3</v>
      </c>
      <c r="O10" s="33">
        <f t="shared" si="29"/>
        <v>1643.79</v>
      </c>
      <c r="P10" s="34">
        <f t="shared" si="7"/>
        <v>110.95</v>
      </c>
      <c r="Q10" s="35">
        <f t="shared" si="44"/>
        <v>1056.5999999999999</v>
      </c>
      <c r="R10" s="257">
        <f t="shared" si="45"/>
        <v>133.97</v>
      </c>
      <c r="S10" s="254">
        <v>5.032215817018894E-3</v>
      </c>
      <c r="T10" s="33">
        <f t="shared" si="8"/>
        <v>1633.71</v>
      </c>
      <c r="U10" s="34">
        <f t="shared" si="9"/>
        <v>110.27</v>
      </c>
      <c r="V10" s="35">
        <f t="shared" si="46"/>
        <v>1050.1199999999999</v>
      </c>
      <c r="W10" s="257">
        <f t="shared" si="47"/>
        <v>133.13999999999999</v>
      </c>
      <c r="X10" s="254">
        <v>5.0188140912299194E-3</v>
      </c>
      <c r="Y10" s="33">
        <f t="shared" si="10"/>
        <v>1629.36</v>
      </c>
      <c r="Z10" s="34">
        <f t="shared" si="11"/>
        <v>109.98</v>
      </c>
      <c r="AA10" s="35">
        <f t="shared" si="48"/>
        <v>1047.32</v>
      </c>
      <c r="AB10" s="36">
        <f t="shared" si="49"/>
        <v>132.79</v>
      </c>
      <c r="AC10" s="26">
        <v>4.9821657298485516E-3</v>
      </c>
      <c r="AD10" s="33">
        <f t="shared" si="12"/>
        <v>1617.46</v>
      </c>
      <c r="AE10" s="34">
        <f t="shared" si="13"/>
        <v>109.17</v>
      </c>
      <c r="AF10" s="35">
        <f t="shared" si="50"/>
        <v>1039.67</v>
      </c>
      <c r="AG10" s="257">
        <f t="shared" si="51"/>
        <v>131.82</v>
      </c>
      <c r="AH10" s="254">
        <v>4.947649645937564E-3</v>
      </c>
      <c r="AI10" s="33">
        <f t="shared" si="16"/>
        <v>1606.25</v>
      </c>
      <c r="AJ10" s="34">
        <f t="shared" si="17"/>
        <v>108.42</v>
      </c>
      <c r="AK10" s="35">
        <f t="shared" si="52"/>
        <v>1032.47</v>
      </c>
      <c r="AL10" s="257">
        <f t="shared" si="53"/>
        <v>130.91</v>
      </c>
      <c r="AM10" s="254">
        <v>4.9469533454997673E-3</v>
      </c>
      <c r="AN10" s="33">
        <f t="shared" si="18"/>
        <v>1606.03</v>
      </c>
      <c r="AO10" s="34">
        <f t="shared" si="19"/>
        <v>108.4</v>
      </c>
      <c r="AP10" s="35">
        <f t="shared" si="54"/>
        <v>1032.33</v>
      </c>
      <c r="AQ10" s="257">
        <f t="shared" si="55"/>
        <v>130.88999999999999</v>
      </c>
      <c r="AR10" s="254">
        <v>4.9479177540931989E-3</v>
      </c>
      <c r="AS10" s="33">
        <f t="shared" si="20"/>
        <v>1606.34</v>
      </c>
      <c r="AT10" s="34">
        <f t="shared" si="21"/>
        <v>108.42</v>
      </c>
      <c r="AU10" s="35">
        <f t="shared" si="56"/>
        <v>1032.53</v>
      </c>
      <c r="AV10" s="36">
        <f t="shared" si="57"/>
        <v>130.91</v>
      </c>
      <c r="AW10" s="254">
        <v>4.9414687240976621E-3</v>
      </c>
      <c r="AX10" s="33">
        <f t="shared" si="22"/>
        <v>1604.25</v>
      </c>
      <c r="AY10" s="34">
        <f t="shared" si="23"/>
        <v>108.28</v>
      </c>
      <c r="AZ10" s="35">
        <f t="shared" si="58"/>
        <v>1031.18</v>
      </c>
      <c r="BA10" s="257">
        <f t="shared" si="59"/>
        <v>130.74</v>
      </c>
      <c r="BB10" s="254">
        <v>4.9206358499244299E-3</v>
      </c>
      <c r="BC10" s="33">
        <f t="shared" si="24"/>
        <v>1597.48</v>
      </c>
      <c r="BD10" s="34">
        <f t="shared" si="25"/>
        <v>107.82</v>
      </c>
      <c r="BE10" s="35">
        <f t="shared" si="60"/>
        <v>1026.83</v>
      </c>
      <c r="BF10" s="257">
        <f t="shared" si="61"/>
        <v>130.19</v>
      </c>
      <c r="BG10" s="254">
        <v>4.9371122913571871E-3</v>
      </c>
      <c r="BH10" s="33">
        <f t="shared" si="26"/>
        <v>1602.83</v>
      </c>
      <c r="BI10" s="34">
        <f t="shared" si="27"/>
        <v>108.18</v>
      </c>
      <c r="BJ10" s="35">
        <f t="shared" si="62"/>
        <v>1030.27</v>
      </c>
      <c r="BK10" s="36">
        <f t="shared" si="63"/>
        <v>130.63</v>
      </c>
    </row>
    <row r="11" spans="1:63" ht="30" customHeight="1">
      <c r="A11" s="31">
        <v>1412000087</v>
      </c>
      <c r="B11" s="32" t="s">
        <v>109</v>
      </c>
      <c r="C11" s="32" t="s">
        <v>111</v>
      </c>
      <c r="D11" s="26">
        <v>3.4945735737318547E-4</v>
      </c>
      <c r="E11" s="33">
        <f t="shared" si="0"/>
        <v>113.45</v>
      </c>
      <c r="F11" s="34">
        <f t="shared" si="1"/>
        <v>7.66</v>
      </c>
      <c r="G11" s="35">
        <f t="shared" si="2"/>
        <v>77.010000000000005</v>
      </c>
      <c r="H11" s="36">
        <f t="shared" si="3"/>
        <v>9.52</v>
      </c>
      <c r="I11" s="26">
        <v>3.4783349150544287E-4</v>
      </c>
      <c r="J11" s="33">
        <f t="shared" si="4"/>
        <v>112.92</v>
      </c>
      <c r="K11" s="34">
        <f t="shared" si="5"/>
        <v>7.62</v>
      </c>
      <c r="L11" s="35">
        <f t="shared" si="6"/>
        <v>72.59</v>
      </c>
      <c r="M11" s="257">
        <f t="shared" si="28"/>
        <v>9.1999999999999993</v>
      </c>
      <c r="N11" s="254">
        <v>3.4823589037583753E-4</v>
      </c>
      <c r="O11" s="33">
        <f t="shared" si="29"/>
        <v>113.05</v>
      </c>
      <c r="P11" s="34">
        <f t="shared" si="7"/>
        <v>7.63</v>
      </c>
      <c r="Q11" s="35">
        <f t="shared" si="44"/>
        <v>72.67</v>
      </c>
      <c r="R11" s="257">
        <f t="shared" si="45"/>
        <v>9.2100000000000009</v>
      </c>
      <c r="S11" s="254">
        <v>3.4001849486763047E-4</v>
      </c>
      <c r="T11" s="33">
        <f t="shared" si="8"/>
        <v>110.39</v>
      </c>
      <c r="U11" s="34">
        <f t="shared" si="9"/>
        <v>7.45</v>
      </c>
      <c r="V11" s="35">
        <f t="shared" si="46"/>
        <v>70.95</v>
      </c>
      <c r="W11" s="257">
        <f t="shared" si="47"/>
        <v>9</v>
      </c>
      <c r="X11" s="254">
        <v>3.3647097921760767E-4</v>
      </c>
      <c r="Y11" s="33">
        <f t="shared" si="10"/>
        <v>109.24</v>
      </c>
      <c r="Z11" s="34">
        <f t="shared" si="11"/>
        <v>7.37</v>
      </c>
      <c r="AA11" s="35">
        <f t="shared" si="48"/>
        <v>70.209999999999994</v>
      </c>
      <c r="AB11" s="36">
        <f t="shared" si="49"/>
        <v>8.9</v>
      </c>
      <c r="AC11" s="26">
        <v>3.2676994238136357E-4</v>
      </c>
      <c r="AD11" s="33">
        <f t="shared" si="12"/>
        <v>106.09</v>
      </c>
      <c r="AE11" s="34">
        <f t="shared" si="13"/>
        <v>7.16</v>
      </c>
      <c r="AF11" s="35">
        <f t="shared" si="50"/>
        <v>68.19</v>
      </c>
      <c r="AG11" s="257">
        <f t="shared" si="51"/>
        <v>8.65</v>
      </c>
      <c r="AH11" s="254">
        <v>3.1763333193433722E-4</v>
      </c>
      <c r="AI11" s="33">
        <f t="shared" si="16"/>
        <v>103.12</v>
      </c>
      <c r="AJ11" s="34">
        <f t="shared" si="17"/>
        <v>6.96</v>
      </c>
      <c r="AK11" s="35">
        <f t="shared" si="52"/>
        <v>66.28</v>
      </c>
      <c r="AL11" s="257">
        <f t="shared" si="53"/>
        <v>8.4</v>
      </c>
      <c r="AM11" s="254">
        <v>3.1744901711256779E-4</v>
      </c>
      <c r="AN11" s="33">
        <f t="shared" si="18"/>
        <v>103.06</v>
      </c>
      <c r="AO11" s="34">
        <f t="shared" si="19"/>
        <v>6.96</v>
      </c>
      <c r="AP11" s="35">
        <f t="shared" si="54"/>
        <v>66.239999999999995</v>
      </c>
      <c r="AQ11" s="257">
        <f t="shared" si="55"/>
        <v>8.4</v>
      </c>
      <c r="AR11" s="254">
        <v>3.1770430174024079E-4</v>
      </c>
      <c r="AS11" s="33">
        <f t="shared" si="20"/>
        <v>103.14</v>
      </c>
      <c r="AT11" s="34">
        <f t="shared" si="21"/>
        <v>6.96</v>
      </c>
      <c r="AU11" s="35">
        <f t="shared" si="56"/>
        <v>66.3</v>
      </c>
      <c r="AV11" s="36">
        <f t="shared" si="57"/>
        <v>8.41</v>
      </c>
      <c r="AW11" s="254">
        <v>3.1599720556495161E-4</v>
      </c>
      <c r="AX11" s="33">
        <f t="shared" si="22"/>
        <v>102.59</v>
      </c>
      <c r="AY11" s="34">
        <f t="shared" si="23"/>
        <v>6.92</v>
      </c>
      <c r="AZ11" s="35">
        <f t="shared" si="58"/>
        <v>65.94</v>
      </c>
      <c r="BA11" s="257">
        <f t="shared" si="59"/>
        <v>8.36</v>
      </c>
      <c r="BB11" s="254">
        <v>3.1048262122497841E-4</v>
      </c>
      <c r="BC11" s="33">
        <f t="shared" si="24"/>
        <v>100.8</v>
      </c>
      <c r="BD11" s="34">
        <f t="shared" si="25"/>
        <v>6.8</v>
      </c>
      <c r="BE11" s="35">
        <f t="shared" si="60"/>
        <v>64.790000000000006</v>
      </c>
      <c r="BF11" s="257">
        <f t="shared" si="61"/>
        <v>8.2100000000000009</v>
      </c>
      <c r="BG11" s="254">
        <v>3.1484403219247259E-4</v>
      </c>
      <c r="BH11" s="33">
        <f t="shared" si="26"/>
        <v>102.21</v>
      </c>
      <c r="BI11" s="34">
        <f t="shared" si="27"/>
        <v>6.9</v>
      </c>
      <c r="BJ11" s="35">
        <f t="shared" si="62"/>
        <v>65.7</v>
      </c>
      <c r="BK11" s="36">
        <f t="shared" si="63"/>
        <v>8.33</v>
      </c>
    </row>
    <row r="12" spans="1:63" ht="30" customHeight="1">
      <c r="A12" s="31">
        <v>1412000088</v>
      </c>
      <c r="B12" s="32" t="s">
        <v>110</v>
      </c>
      <c r="C12" s="32" t="s">
        <v>112</v>
      </c>
      <c r="D12" s="26">
        <v>1.1294501302767078E-3</v>
      </c>
      <c r="E12" s="33">
        <f t="shared" si="0"/>
        <v>366.68</v>
      </c>
      <c r="F12" s="34">
        <f t="shared" si="1"/>
        <v>24.75</v>
      </c>
      <c r="G12" s="35">
        <f t="shared" si="2"/>
        <v>248.89</v>
      </c>
      <c r="H12" s="36">
        <f t="shared" si="3"/>
        <v>30.77</v>
      </c>
      <c r="I12" s="26">
        <v>1.1249393917552003E-3</v>
      </c>
      <c r="J12" s="33">
        <f t="shared" si="4"/>
        <v>365.21</v>
      </c>
      <c r="K12" s="34">
        <f t="shared" si="5"/>
        <v>24.65</v>
      </c>
      <c r="L12" s="35">
        <f t="shared" si="6"/>
        <v>234.75</v>
      </c>
      <c r="M12" s="257">
        <f t="shared" si="28"/>
        <v>29.76</v>
      </c>
      <c r="N12" s="254">
        <v>1.1260571663951856E-3</v>
      </c>
      <c r="O12" s="33">
        <f t="shared" si="29"/>
        <v>365.57</v>
      </c>
      <c r="P12" s="34">
        <f t="shared" si="7"/>
        <v>24.67</v>
      </c>
      <c r="Q12" s="35">
        <f t="shared" si="44"/>
        <v>234.98</v>
      </c>
      <c r="R12" s="257">
        <f t="shared" si="45"/>
        <v>29.79</v>
      </c>
      <c r="S12" s="254">
        <v>1.1032310677612769E-3</v>
      </c>
      <c r="T12" s="33">
        <f t="shared" si="8"/>
        <v>358.16</v>
      </c>
      <c r="U12" s="34">
        <f t="shared" si="9"/>
        <v>24.17</v>
      </c>
      <c r="V12" s="35">
        <f t="shared" si="46"/>
        <v>230.22</v>
      </c>
      <c r="W12" s="257">
        <f t="shared" si="47"/>
        <v>29.19</v>
      </c>
      <c r="X12" s="254">
        <v>1.0933768576223246E-3</v>
      </c>
      <c r="Y12" s="33">
        <f t="shared" si="10"/>
        <v>354.96</v>
      </c>
      <c r="Z12" s="34">
        <f t="shared" si="11"/>
        <v>23.96</v>
      </c>
      <c r="AA12" s="35">
        <f t="shared" si="48"/>
        <v>228.16</v>
      </c>
      <c r="AB12" s="36">
        <f t="shared" si="49"/>
        <v>28.93</v>
      </c>
      <c r="AC12" s="26">
        <v>1.0664295330772022E-3</v>
      </c>
      <c r="AD12" s="33">
        <f t="shared" si="12"/>
        <v>346.22</v>
      </c>
      <c r="AE12" s="34">
        <f t="shared" si="13"/>
        <v>23.37</v>
      </c>
      <c r="AF12" s="35">
        <f t="shared" si="50"/>
        <v>222.54</v>
      </c>
      <c r="AG12" s="257">
        <f t="shared" si="51"/>
        <v>28.22</v>
      </c>
      <c r="AH12" s="254">
        <v>1.0410500596132401E-3</v>
      </c>
      <c r="AI12" s="33">
        <f t="shared" si="16"/>
        <v>337.98</v>
      </c>
      <c r="AJ12" s="34">
        <f t="shared" si="17"/>
        <v>22.81</v>
      </c>
      <c r="AK12" s="35">
        <f t="shared" si="52"/>
        <v>217.25</v>
      </c>
      <c r="AL12" s="257">
        <f t="shared" si="53"/>
        <v>27.54</v>
      </c>
      <c r="AM12" s="254">
        <v>1.0405380739972139E-3</v>
      </c>
      <c r="AN12" s="33">
        <f t="shared" si="18"/>
        <v>337.81</v>
      </c>
      <c r="AO12" s="34">
        <f t="shared" si="19"/>
        <v>22.8</v>
      </c>
      <c r="AP12" s="35">
        <f t="shared" si="54"/>
        <v>217.14</v>
      </c>
      <c r="AQ12" s="257">
        <f t="shared" si="55"/>
        <v>27.53</v>
      </c>
      <c r="AR12" s="254">
        <v>1.0412471979629723E-3</v>
      </c>
      <c r="AS12" s="33">
        <f t="shared" si="20"/>
        <v>338.04</v>
      </c>
      <c r="AT12" s="34">
        <f t="shared" si="21"/>
        <v>22.82</v>
      </c>
      <c r="AU12" s="35">
        <f t="shared" si="56"/>
        <v>217.29</v>
      </c>
      <c r="AV12" s="36">
        <f t="shared" si="57"/>
        <v>27.55</v>
      </c>
      <c r="AW12" s="254">
        <v>1.0365052641427245E-3</v>
      </c>
      <c r="AX12" s="33">
        <f t="shared" si="22"/>
        <v>336.5</v>
      </c>
      <c r="AY12" s="34">
        <f t="shared" si="23"/>
        <v>22.71</v>
      </c>
      <c r="AZ12" s="35">
        <f t="shared" si="58"/>
        <v>216.3</v>
      </c>
      <c r="BA12" s="257">
        <f t="shared" si="59"/>
        <v>27.42</v>
      </c>
      <c r="BB12" s="254">
        <v>1.0211869743094657E-3</v>
      </c>
      <c r="BC12" s="33">
        <f t="shared" si="24"/>
        <v>331.53</v>
      </c>
      <c r="BD12" s="34">
        <f t="shared" si="25"/>
        <v>22.38</v>
      </c>
      <c r="BE12" s="35">
        <f t="shared" si="60"/>
        <v>213.1</v>
      </c>
      <c r="BF12" s="257">
        <f t="shared" si="61"/>
        <v>27.02</v>
      </c>
      <c r="BG12" s="254">
        <v>1.0333020047747273E-3</v>
      </c>
      <c r="BH12" s="33">
        <f t="shared" si="26"/>
        <v>335.46</v>
      </c>
      <c r="BI12" s="34">
        <f t="shared" si="27"/>
        <v>22.64</v>
      </c>
      <c r="BJ12" s="35">
        <f t="shared" si="62"/>
        <v>215.63</v>
      </c>
      <c r="BK12" s="36">
        <f t="shared" si="63"/>
        <v>27.34</v>
      </c>
    </row>
    <row r="13" spans="1:63" ht="30" customHeight="1">
      <c r="A13" s="31">
        <v>1412000056</v>
      </c>
      <c r="B13" s="32" t="s">
        <v>23</v>
      </c>
      <c r="C13" s="32" t="s">
        <v>24</v>
      </c>
      <c r="D13" s="26">
        <v>3.4547150956146633E-2</v>
      </c>
      <c r="E13" s="33">
        <f t="shared" si="0"/>
        <v>11215.72</v>
      </c>
      <c r="F13" s="34">
        <f t="shared" si="1"/>
        <v>757.02</v>
      </c>
      <c r="G13" s="35">
        <f t="shared" si="2"/>
        <v>7613.04</v>
      </c>
      <c r="H13" s="36">
        <f t="shared" si="3"/>
        <v>941.32</v>
      </c>
      <c r="I13" s="26">
        <v>3.4521529961344478E-2</v>
      </c>
      <c r="J13" s="33">
        <f t="shared" si="4"/>
        <v>11207.4</v>
      </c>
      <c r="K13" s="34">
        <f t="shared" si="5"/>
        <v>756.46</v>
      </c>
      <c r="L13" s="35">
        <f t="shared" si="6"/>
        <v>7203.92</v>
      </c>
      <c r="M13" s="257">
        <f t="shared" si="28"/>
        <v>913.39</v>
      </c>
      <c r="N13" s="254">
        <v>3.4527878921299576E-2</v>
      </c>
      <c r="O13" s="33">
        <f t="shared" si="29"/>
        <v>11209.46</v>
      </c>
      <c r="P13" s="34">
        <f t="shared" si="7"/>
        <v>756.59</v>
      </c>
      <c r="Q13" s="35">
        <f t="shared" si="44"/>
        <v>7205.25</v>
      </c>
      <c r="R13" s="257">
        <f t="shared" si="45"/>
        <v>913.55</v>
      </c>
      <c r="S13" s="254">
        <v>3.4398226681058984E-2</v>
      </c>
      <c r="T13" s="33">
        <f t="shared" si="8"/>
        <v>11167.37</v>
      </c>
      <c r="U13" s="34">
        <f t="shared" si="9"/>
        <v>753.75</v>
      </c>
      <c r="V13" s="35">
        <f t="shared" si="46"/>
        <v>7178.19</v>
      </c>
      <c r="W13" s="257">
        <f t="shared" si="47"/>
        <v>910.12</v>
      </c>
      <c r="X13" s="254">
        <v>3.4342254767469736E-2</v>
      </c>
      <c r="Y13" s="33">
        <f t="shared" si="10"/>
        <v>11149.2</v>
      </c>
      <c r="Z13" s="34">
        <f t="shared" si="11"/>
        <v>752.53</v>
      </c>
      <c r="AA13" s="35">
        <f t="shared" si="48"/>
        <v>7166.51</v>
      </c>
      <c r="AB13" s="36">
        <f t="shared" si="49"/>
        <v>908.64</v>
      </c>
      <c r="AC13" s="26">
        <v>3.4189193964053434E-2</v>
      </c>
      <c r="AD13" s="33">
        <f t="shared" si="12"/>
        <v>11099.51</v>
      </c>
      <c r="AE13" s="34">
        <f t="shared" si="13"/>
        <v>749.17</v>
      </c>
      <c r="AF13" s="35">
        <f t="shared" si="50"/>
        <v>7134.57</v>
      </c>
      <c r="AG13" s="257">
        <f t="shared" si="51"/>
        <v>904.59</v>
      </c>
      <c r="AH13" s="254">
        <v>3.4045038554778133E-2</v>
      </c>
      <c r="AI13" s="33">
        <f t="shared" si="16"/>
        <v>11052.71</v>
      </c>
      <c r="AJ13" s="34">
        <f t="shared" si="17"/>
        <v>746.01</v>
      </c>
      <c r="AK13" s="35">
        <f t="shared" si="52"/>
        <v>7104.49</v>
      </c>
      <c r="AL13" s="257">
        <f t="shared" si="53"/>
        <v>900.78</v>
      </c>
      <c r="AM13" s="254">
        <v>3.4042130476479096E-2</v>
      </c>
      <c r="AN13" s="33">
        <f t="shared" si="18"/>
        <v>11051.76</v>
      </c>
      <c r="AO13" s="34">
        <f t="shared" si="19"/>
        <v>745.95</v>
      </c>
      <c r="AP13" s="35">
        <f t="shared" si="54"/>
        <v>7103.88</v>
      </c>
      <c r="AQ13" s="257">
        <f t="shared" si="55"/>
        <v>900.7</v>
      </c>
      <c r="AR13" s="254">
        <v>3.4046158300604611E-2</v>
      </c>
      <c r="AS13" s="33">
        <f t="shared" si="20"/>
        <v>11053.07</v>
      </c>
      <c r="AT13" s="34">
        <f t="shared" si="21"/>
        <v>746.04</v>
      </c>
      <c r="AU13" s="35">
        <f t="shared" si="56"/>
        <v>7104.72</v>
      </c>
      <c r="AV13" s="36">
        <f t="shared" si="57"/>
        <v>900.81</v>
      </c>
      <c r="AW13" s="254">
        <v>3.4019224116505604E-2</v>
      </c>
      <c r="AX13" s="33">
        <f t="shared" si="22"/>
        <v>11044.33</v>
      </c>
      <c r="AY13" s="34">
        <f t="shared" si="23"/>
        <v>745.45</v>
      </c>
      <c r="AZ13" s="35">
        <f t="shared" si="58"/>
        <v>7099.1</v>
      </c>
      <c r="BA13" s="257">
        <f t="shared" si="59"/>
        <v>900.1</v>
      </c>
      <c r="BB13" s="254">
        <v>3.3932216230252686E-2</v>
      </c>
      <c r="BC13" s="33">
        <f t="shared" si="24"/>
        <v>11016.08</v>
      </c>
      <c r="BD13" s="34">
        <f t="shared" si="25"/>
        <v>743.54</v>
      </c>
      <c r="BE13" s="35">
        <f t="shared" si="60"/>
        <v>7080.95</v>
      </c>
      <c r="BF13" s="257">
        <f t="shared" si="61"/>
        <v>897.79</v>
      </c>
      <c r="BG13" s="254">
        <v>3.4001029603295388E-2</v>
      </c>
      <c r="BH13" s="33">
        <f t="shared" si="26"/>
        <v>11038.42</v>
      </c>
      <c r="BI13" s="34">
        <f t="shared" si="27"/>
        <v>745.05</v>
      </c>
      <c r="BJ13" s="35">
        <f t="shared" si="62"/>
        <v>7095.31</v>
      </c>
      <c r="BK13" s="36">
        <f t="shared" si="63"/>
        <v>899.61</v>
      </c>
    </row>
    <row r="14" spans="1:63" ht="30" customHeight="1">
      <c r="A14" s="31">
        <v>1412000004</v>
      </c>
      <c r="B14" s="32" t="s">
        <v>90</v>
      </c>
      <c r="C14" s="32" t="s">
        <v>91</v>
      </c>
      <c r="D14" s="26">
        <v>4.0041969820778178E-2</v>
      </c>
      <c r="E14" s="33">
        <f t="shared" si="0"/>
        <v>12999.61</v>
      </c>
      <c r="F14" s="34">
        <f t="shared" si="1"/>
        <v>877.42</v>
      </c>
      <c r="G14" s="35">
        <f t="shared" si="2"/>
        <v>8823.91</v>
      </c>
      <c r="H14" s="36">
        <f t="shared" si="3"/>
        <v>1091.03</v>
      </c>
      <c r="I14" s="26">
        <v>4.0325556031026583E-2</v>
      </c>
      <c r="J14" s="33">
        <f t="shared" si="4"/>
        <v>13091.67</v>
      </c>
      <c r="K14" s="34">
        <f t="shared" si="5"/>
        <v>883.64</v>
      </c>
      <c r="L14" s="35">
        <f t="shared" si="6"/>
        <v>8415.1</v>
      </c>
      <c r="M14" s="257">
        <f t="shared" si="28"/>
        <v>1066.95</v>
      </c>
      <c r="N14" s="254">
        <v>4.0330222472900482E-2</v>
      </c>
      <c r="O14" s="33">
        <f t="shared" si="29"/>
        <v>13093.19</v>
      </c>
      <c r="P14" s="34">
        <f t="shared" si="7"/>
        <v>883.74</v>
      </c>
      <c r="Q14" s="35">
        <f t="shared" si="44"/>
        <v>8416.08</v>
      </c>
      <c r="R14" s="257">
        <f t="shared" si="45"/>
        <v>1067.07</v>
      </c>
      <c r="S14" s="254">
        <v>4.1127898817726632E-2</v>
      </c>
      <c r="T14" s="33">
        <f t="shared" si="8"/>
        <v>13352.16</v>
      </c>
      <c r="U14" s="34">
        <f t="shared" si="9"/>
        <v>901.22</v>
      </c>
      <c r="V14" s="35">
        <f t="shared" si="46"/>
        <v>8582.5400000000009</v>
      </c>
      <c r="W14" s="257">
        <f t="shared" si="47"/>
        <v>1088.18</v>
      </c>
      <c r="X14" s="254">
        <v>4.1550584946746946E-2</v>
      </c>
      <c r="Y14" s="33">
        <f t="shared" si="10"/>
        <v>13489.38</v>
      </c>
      <c r="Z14" s="34">
        <f t="shared" si="11"/>
        <v>910.48</v>
      </c>
      <c r="AA14" s="35">
        <f t="shared" si="48"/>
        <v>8670.74</v>
      </c>
      <c r="AB14" s="36">
        <f t="shared" si="49"/>
        <v>1099.3599999999999</v>
      </c>
      <c r="AC14" s="26">
        <v>4.2866900103870301E-2</v>
      </c>
      <c r="AD14" s="33">
        <f t="shared" si="12"/>
        <v>13916.72</v>
      </c>
      <c r="AE14" s="34">
        <f t="shared" si="13"/>
        <v>939.32</v>
      </c>
      <c r="AF14" s="35">
        <f t="shared" si="50"/>
        <v>8945.43</v>
      </c>
      <c r="AG14" s="257">
        <f t="shared" si="51"/>
        <v>1134.19</v>
      </c>
      <c r="AH14" s="254">
        <v>4.4043726814907515E-2</v>
      </c>
      <c r="AI14" s="33">
        <f t="shared" si="16"/>
        <v>14298.78</v>
      </c>
      <c r="AJ14" s="34">
        <f t="shared" si="17"/>
        <v>965.11</v>
      </c>
      <c r="AK14" s="35">
        <f t="shared" si="52"/>
        <v>9191.01</v>
      </c>
      <c r="AL14" s="257">
        <f t="shared" si="53"/>
        <v>1165.33</v>
      </c>
      <c r="AM14" s="254">
        <v>4.4055827305473007E-2</v>
      </c>
      <c r="AN14" s="33">
        <f t="shared" si="18"/>
        <v>14302.71</v>
      </c>
      <c r="AO14" s="34">
        <f t="shared" si="19"/>
        <v>965.38</v>
      </c>
      <c r="AP14" s="35">
        <f t="shared" si="54"/>
        <v>9193.5300000000007</v>
      </c>
      <c r="AQ14" s="257">
        <f t="shared" si="55"/>
        <v>1165.6500000000001</v>
      </c>
      <c r="AR14" s="254">
        <v>4.4064870836415623E-2</v>
      </c>
      <c r="AS14" s="33">
        <f t="shared" si="20"/>
        <v>14305.64</v>
      </c>
      <c r="AT14" s="34">
        <f t="shared" si="21"/>
        <v>965.57</v>
      </c>
      <c r="AU14" s="35">
        <f t="shared" si="56"/>
        <v>9195.42</v>
      </c>
      <c r="AV14" s="36">
        <f t="shared" si="57"/>
        <v>1165.8900000000001</v>
      </c>
      <c r="AW14" s="254">
        <v>4.3958347811929463E-2</v>
      </c>
      <c r="AX14" s="33">
        <f t="shared" si="22"/>
        <v>14271.06</v>
      </c>
      <c r="AY14" s="34">
        <f t="shared" si="23"/>
        <v>963.24</v>
      </c>
      <c r="AZ14" s="35">
        <f t="shared" si="58"/>
        <v>9173.19</v>
      </c>
      <c r="BA14" s="257">
        <f t="shared" si="59"/>
        <v>1163.07</v>
      </c>
      <c r="BB14" s="254">
        <v>4.4384303774500374E-2</v>
      </c>
      <c r="BC14" s="33">
        <f t="shared" si="24"/>
        <v>14409.35</v>
      </c>
      <c r="BD14" s="34">
        <f t="shared" si="25"/>
        <v>972.57</v>
      </c>
      <c r="BE14" s="35">
        <f t="shared" si="60"/>
        <v>9262.08</v>
      </c>
      <c r="BF14" s="257">
        <f t="shared" si="61"/>
        <v>1174.3399999999999</v>
      </c>
      <c r="BG14" s="254">
        <v>4.3872301401000013E-2</v>
      </c>
      <c r="BH14" s="33">
        <f t="shared" si="26"/>
        <v>14243.12</v>
      </c>
      <c r="BI14" s="34">
        <f t="shared" si="27"/>
        <v>961.35</v>
      </c>
      <c r="BJ14" s="35">
        <f t="shared" si="62"/>
        <v>9155.24</v>
      </c>
      <c r="BK14" s="36">
        <f t="shared" si="63"/>
        <v>1160.79</v>
      </c>
    </row>
    <row r="15" spans="1:63" s="40" customFormat="1" ht="30" customHeight="1">
      <c r="A15" s="65">
        <v>1412000098</v>
      </c>
      <c r="B15" s="66" t="s">
        <v>128</v>
      </c>
      <c r="C15" s="66" t="s">
        <v>125</v>
      </c>
      <c r="D15" s="67">
        <v>1.6388492115238813E-2</v>
      </c>
      <c r="E15" s="68">
        <f t="shared" si="0"/>
        <v>5320.52</v>
      </c>
      <c r="F15" s="69">
        <f t="shared" si="1"/>
        <v>359.11</v>
      </c>
      <c r="G15" s="68">
        <f t="shared" si="2"/>
        <v>3611.48</v>
      </c>
      <c r="H15" s="69">
        <f t="shared" si="3"/>
        <v>446.54</v>
      </c>
      <c r="I15" s="67">
        <v>1.6382898799472148E-2</v>
      </c>
      <c r="J15" s="68">
        <f t="shared" si="4"/>
        <v>5318.7</v>
      </c>
      <c r="K15" s="69">
        <f t="shared" si="5"/>
        <v>358.99</v>
      </c>
      <c r="L15" s="68">
        <f t="shared" si="6"/>
        <v>3418.77</v>
      </c>
      <c r="M15" s="258">
        <f t="shared" si="28"/>
        <v>433.47</v>
      </c>
      <c r="N15" s="255">
        <v>1.6384284840025718E-2</v>
      </c>
      <c r="O15" s="68">
        <f t="shared" si="29"/>
        <v>5319.15</v>
      </c>
      <c r="P15" s="69">
        <f t="shared" si="7"/>
        <v>359.02</v>
      </c>
      <c r="Q15" s="68">
        <f t="shared" si="44"/>
        <v>3419.06</v>
      </c>
      <c r="R15" s="258">
        <f t="shared" si="45"/>
        <v>433.5</v>
      </c>
      <c r="S15" s="255">
        <v>1.6529089080286063E-2</v>
      </c>
      <c r="T15" s="68">
        <f t="shared" si="8"/>
        <v>5366.16</v>
      </c>
      <c r="U15" s="69">
        <f t="shared" si="9"/>
        <v>362.19</v>
      </c>
      <c r="V15" s="68">
        <f t="shared" si="46"/>
        <v>3449.28</v>
      </c>
      <c r="W15" s="258">
        <f t="shared" si="47"/>
        <v>437.33</v>
      </c>
      <c r="X15" s="255">
        <v>1.6510957333630394E-2</v>
      </c>
      <c r="Y15" s="68">
        <f t="shared" si="10"/>
        <v>5360.28</v>
      </c>
      <c r="Z15" s="69">
        <f t="shared" si="11"/>
        <v>361.8</v>
      </c>
      <c r="AA15" s="68">
        <f t="shared" si="48"/>
        <v>3445.49</v>
      </c>
      <c r="AB15" s="69">
        <f t="shared" si="49"/>
        <v>436.85</v>
      </c>
      <c r="AC15" s="67">
        <v>1.6461374256467362E-2</v>
      </c>
      <c r="AD15" s="68">
        <f t="shared" si="12"/>
        <v>5344.18</v>
      </c>
      <c r="AE15" s="69">
        <f t="shared" si="13"/>
        <v>360.71</v>
      </c>
      <c r="AF15" s="68">
        <f t="shared" si="50"/>
        <v>3435.15</v>
      </c>
      <c r="AG15" s="258">
        <f t="shared" si="51"/>
        <v>435.54</v>
      </c>
      <c r="AH15" s="255">
        <v>1.6423729358472181E-2</v>
      </c>
      <c r="AI15" s="68">
        <f t="shared" si="16"/>
        <v>5331.96</v>
      </c>
      <c r="AJ15" s="69">
        <f t="shared" si="17"/>
        <v>359.89</v>
      </c>
      <c r="AK15" s="68">
        <f t="shared" si="52"/>
        <v>3427.29</v>
      </c>
      <c r="AL15" s="258">
        <f t="shared" si="53"/>
        <v>434.55</v>
      </c>
      <c r="AM15" s="255">
        <v>1.6422766825514044E-2</v>
      </c>
      <c r="AN15" s="68">
        <f t="shared" si="18"/>
        <v>5331.64</v>
      </c>
      <c r="AO15" s="69">
        <f t="shared" si="19"/>
        <v>359.86</v>
      </c>
      <c r="AP15" s="68">
        <f t="shared" si="54"/>
        <v>3427.09</v>
      </c>
      <c r="AQ15" s="258">
        <f t="shared" si="55"/>
        <v>434.52</v>
      </c>
      <c r="AR15" s="255">
        <v>1.6424099978569674E-2</v>
      </c>
      <c r="AS15" s="68">
        <f t="shared" si="20"/>
        <v>5332.08</v>
      </c>
      <c r="AT15" s="69">
        <f t="shared" si="21"/>
        <v>359.89</v>
      </c>
      <c r="AU15" s="68">
        <f t="shared" si="56"/>
        <v>3427.37</v>
      </c>
      <c r="AV15" s="69">
        <f t="shared" si="57"/>
        <v>434.56</v>
      </c>
      <c r="AW15" s="255">
        <v>1.6530515180663494E-2</v>
      </c>
      <c r="AX15" s="68">
        <f t="shared" si="22"/>
        <v>5366.62</v>
      </c>
      <c r="AY15" s="69">
        <f t="shared" si="23"/>
        <v>362.23</v>
      </c>
      <c r="AZ15" s="68">
        <f t="shared" si="58"/>
        <v>3449.57</v>
      </c>
      <c r="BA15" s="258">
        <f t="shared" si="59"/>
        <v>437.37</v>
      </c>
      <c r="BB15" s="255">
        <v>1.6493751285063668E-2</v>
      </c>
      <c r="BC15" s="68">
        <f t="shared" si="24"/>
        <v>5354.69</v>
      </c>
      <c r="BD15" s="69">
        <f t="shared" si="25"/>
        <v>361.42</v>
      </c>
      <c r="BE15" s="68">
        <f t="shared" si="60"/>
        <v>3441.9</v>
      </c>
      <c r="BF15" s="258">
        <f t="shared" si="61"/>
        <v>436.4</v>
      </c>
      <c r="BG15" s="255">
        <v>1.6522827358180305E-2</v>
      </c>
      <c r="BH15" s="68">
        <f t="shared" si="26"/>
        <v>5364.13</v>
      </c>
      <c r="BI15" s="69">
        <f t="shared" si="27"/>
        <v>362.06</v>
      </c>
      <c r="BJ15" s="68">
        <f t="shared" si="62"/>
        <v>3447.97</v>
      </c>
      <c r="BK15" s="69">
        <f t="shared" si="63"/>
        <v>437.17</v>
      </c>
    </row>
    <row r="16" spans="1:63" ht="30" customHeight="1">
      <c r="A16" s="31">
        <v>1412000062</v>
      </c>
      <c r="B16" s="41" t="s">
        <v>92</v>
      </c>
      <c r="C16" s="32" t="s">
        <v>93</v>
      </c>
      <c r="D16" s="26">
        <v>6.3478596789482279E-4</v>
      </c>
      <c r="E16" s="33">
        <f t="shared" si="0"/>
        <v>206.08</v>
      </c>
      <c r="F16" s="34">
        <f t="shared" si="1"/>
        <v>13.91</v>
      </c>
      <c r="G16" s="35">
        <f t="shared" si="2"/>
        <v>139.88999999999999</v>
      </c>
      <c r="H16" s="36">
        <f t="shared" si="3"/>
        <v>17.3</v>
      </c>
      <c r="I16" s="26">
        <v>6.4329059615246672E-4</v>
      </c>
      <c r="J16" s="33">
        <f t="shared" si="4"/>
        <v>208.84</v>
      </c>
      <c r="K16" s="34">
        <f t="shared" si="5"/>
        <v>14.1</v>
      </c>
      <c r="L16" s="35">
        <f t="shared" si="6"/>
        <v>134.24</v>
      </c>
      <c r="M16" s="257">
        <f t="shared" si="28"/>
        <v>17.02</v>
      </c>
      <c r="N16" s="254">
        <v>6.5819712848693974E-4</v>
      </c>
      <c r="O16" s="33">
        <f t="shared" si="29"/>
        <v>213.68</v>
      </c>
      <c r="P16" s="34">
        <f t="shared" si="7"/>
        <v>14.42</v>
      </c>
      <c r="Q16" s="35">
        <f t="shared" si="44"/>
        <v>137.35</v>
      </c>
      <c r="R16" s="257">
        <f t="shared" si="45"/>
        <v>17.41</v>
      </c>
      <c r="S16" s="254">
        <v>6.2051292983404801E-4</v>
      </c>
      <c r="T16" s="33">
        <f t="shared" si="8"/>
        <v>201.45</v>
      </c>
      <c r="U16" s="34">
        <f t="shared" si="9"/>
        <v>13.6</v>
      </c>
      <c r="V16" s="35">
        <f t="shared" si="46"/>
        <v>129.49</v>
      </c>
      <c r="W16" s="257">
        <f t="shared" si="47"/>
        <v>16.420000000000002</v>
      </c>
      <c r="X16" s="254">
        <v>6.1091552041669971E-4</v>
      </c>
      <c r="Y16" s="33">
        <f t="shared" si="10"/>
        <v>198.33</v>
      </c>
      <c r="Z16" s="34">
        <f t="shared" si="11"/>
        <v>13.39</v>
      </c>
      <c r="AA16" s="35">
        <f t="shared" si="48"/>
        <v>127.49</v>
      </c>
      <c r="AB16" s="36">
        <f t="shared" si="49"/>
        <v>16.16</v>
      </c>
      <c r="AC16" s="26">
        <v>6.1440332510195601E-4</v>
      </c>
      <c r="AD16" s="33">
        <f t="shared" si="12"/>
        <v>199.47</v>
      </c>
      <c r="AE16" s="34">
        <f t="shared" si="13"/>
        <v>13.46</v>
      </c>
      <c r="AF16" s="35">
        <f t="shared" si="50"/>
        <v>128.21</v>
      </c>
      <c r="AG16" s="257">
        <f t="shared" si="51"/>
        <v>16.260000000000002</v>
      </c>
      <c r="AH16" s="254">
        <v>6.0992078825031465E-4</v>
      </c>
      <c r="AI16" s="33">
        <f t="shared" si="16"/>
        <v>198.01</v>
      </c>
      <c r="AJ16" s="34">
        <f t="shared" si="17"/>
        <v>13.36</v>
      </c>
      <c r="AK16" s="35">
        <f t="shared" si="52"/>
        <v>127.28</v>
      </c>
      <c r="AL16" s="257">
        <f t="shared" si="53"/>
        <v>16.14</v>
      </c>
      <c r="AM16" s="254">
        <v>6.0155032779234737E-4</v>
      </c>
      <c r="AN16" s="33">
        <f t="shared" si="18"/>
        <v>195.29</v>
      </c>
      <c r="AO16" s="34">
        <f t="shared" si="19"/>
        <v>13.18</v>
      </c>
      <c r="AP16" s="35">
        <f t="shared" si="54"/>
        <v>125.53</v>
      </c>
      <c r="AQ16" s="257">
        <f t="shared" si="55"/>
        <v>15.92</v>
      </c>
      <c r="AR16" s="254">
        <v>6.05922668017804E-4</v>
      </c>
      <c r="AS16" s="33">
        <f t="shared" si="20"/>
        <v>196.71</v>
      </c>
      <c r="AT16" s="34">
        <f t="shared" si="21"/>
        <v>13.28</v>
      </c>
      <c r="AU16" s="35">
        <f t="shared" si="56"/>
        <v>126.44</v>
      </c>
      <c r="AV16" s="36">
        <f t="shared" si="57"/>
        <v>16.03</v>
      </c>
      <c r="AW16" s="254">
        <v>5.8992002334435495E-4</v>
      </c>
      <c r="AX16" s="33">
        <f t="shared" si="22"/>
        <v>191.52</v>
      </c>
      <c r="AY16" s="34">
        <f t="shared" si="23"/>
        <v>12.93</v>
      </c>
      <c r="AZ16" s="35">
        <f t="shared" si="58"/>
        <v>123.1</v>
      </c>
      <c r="BA16" s="257">
        <f t="shared" si="59"/>
        <v>15.61</v>
      </c>
      <c r="BB16" s="254">
        <v>5.7407952422634367E-4</v>
      </c>
      <c r="BC16" s="33">
        <f t="shared" si="24"/>
        <v>186.37</v>
      </c>
      <c r="BD16" s="34">
        <f t="shared" si="25"/>
        <v>12.58</v>
      </c>
      <c r="BE16" s="35">
        <f t="shared" si="60"/>
        <v>119.8</v>
      </c>
      <c r="BF16" s="257">
        <f t="shared" si="61"/>
        <v>15.19</v>
      </c>
      <c r="BG16" s="254">
        <v>5.9426864372657477E-4</v>
      </c>
      <c r="BH16" s="33">
        <f t="shared" si="26"/>
        <v>192.93</v>
      </c>
      <c r="BI16" s="34">
        <f t="shared" si="27"/>
        <v>13.02</v>
      </c>
      <c r="BJ16" s="35">
        <f t="shared" si="62"/>
        <v>124.01</v>
      </c>
      <c r="BK16" s="36">
        <f t="shared" si="63"/>
        <v>15.72</v>
      </c>
    </row>
    <row r="17" spans="1:63" ht="30" customHeight="1">
      <c r="A17" s="31">
        <v>1412000053</v>
      </c>
      <c r="B17" s="32" t="s">
        <v>94</v>
      </c>
      <c r="C17" s="32" t="s">
        <v>81</v>
      </c>
      <c r="D17" s="26">
        <v>7.3504564486245785E-3</v>
      </c>
      <c r="E17" s="33">
        <f t="shared" si="0"/>
        <v>2386.3200000000002</v>
      </c>
      <c r="F17" s="34">
        <f t="shared" si="1"/>
        <v>161.07</v>
      </c>
      <c r="G17" s="35">
        <f t="shared" si="2"/>
        <v>1619.79</v>
      </c>
      <c r="H17" s="36">
        <f t="shared" si="3"/>
        <v>200.28</v>
      </c>
      <c r="I17" s="26">
        <v>7.3285671416541583E-3</v>
      </c>
      <c r="J17" s="33">
        <f t="shared" si="4"/>
        <v>2379.2199999999998</v>
      </c>
      <c r="K17" s="34">
        <f t="shared" si="5"/>
        <v>160.59</v>
      </c>
      <c r="L17" s="35">
        <f t="shared" si="6"/>
        <v>1529.32</v>
      </c>
      <c r="M17" s="257">
        <f t="shared" si="28"/>
        <v>193.9</v>
      </c>
      <c r="N17" s="254">
        <v>7.354975862894156E-3</v>
      </c>
      <c r="O17" s="33">
        <f t="shared" si="29"/>
        <v>2387.79</v>
      </c>
      <c r="P17" s="34">
        <f t="shared" si="7"/>
        <v>161.16999999999999</v>
      </c>
      <c r="Q17" s="35">
        <f t="shared" si="44"/>
        <v>1534.83</v>
      </c>
      <c r="R17" s="257">
        <f t="shared" si="45"/>
        <v>194.6</v>
      </c>
      <c r="S17" s="254">
        <v>7.1586116311927123E-3</v>
      </c>
      <c r="T17" s="33">
        <f t="shared" si="8"/>
        <v>2324.04</v>
      </c>
      <c r="U17" s="34">
        <f t="shared" si="9"/>
        <v>156.86000000000001</v>
      </c>
      <c r="V17" s="35">
        <f t="shared" si="46"/>
        <v>1493.85</v>
      </c>
      <c r="W17" s="257">
        <f t="shared" si="47"/>
        <v>189.41</v>
      </c>
      <c r="X17" s="254">
        <v>7.0824168230985678E-3</v>
      </c>
      <c r="Y17" s="33">
        <f t="shared" si="10"/>
        <v>2299.3000000000002</v>
      </c>
      <c r="Z17" s="34">
        <f t="shared" si="11"/>
        <v>155.19</v>
      </c>
      <c r="AA17" s="35">
        <f t="shared" si="48"/>
        <v>1477.95</v>
      </c>
      <c r="AB17" s="36">
        <f t="shared" si="49"/>
        <v>187.39</v>
      </c>
      <c r="AC17" s="26">
        <v>6.9122824803557895E-3</v>
      </c>
      <c r="AD17" s="33">
        <f t="shared" si="12"/>
        <v>2244.0700000000002</v>
      </c>
      <c r="AE17" s="34">
        <f t="shared" si="13"/>
        <v>151.47</v>
      </c>
      <c r="AF17" s="35">
        <f t="shared" si="50"/>
        <v>1442.45</v>
      </c>
      <c r="AG17" s="257">
        <f t="shared" si="51"/>
        <v>182.89</v>
      </c>
      <c r="AH17" s="254">
        <v>6.7747231521968878E-3</v>
      </c>
      <c r="AI17" s="33">
        <f t="shared" si="16"/>
        <v>2199.41</v>
      </c>
      <c r="AJ17" s="34">
        <f t="shared" si="17"/>
        <v>148.44999999999999</v>
      </c>
      <c r="AK17" s="35">
        <f t="shared" si="52"/>
        <v>1413.74</v>
      </c>
      <c r="AL17" s="257">
        <f t="shared" si="53"/>
        <v>179.25</v>
      </c>
      <c r="AM17" s="254">
        <v>6.7605615471176567E-3</v>
      </c>
      <c r="AN17" s="33">
        <f t="shared" si="18"/>
        <v>2194.81</v>
      </c>
      <c r="AO17" s="34">
        <f t="shared" si="19"/>
        <v>148.13999999999999</v>
      </c>
      <c r="AP17" s="35">
        <f t="shared" si="54"/>
        <v>1410.79</v>
      </c>
      <c r="AQ17" s="257">
        <f t="shared" si="55"/>
        <v>178.87</v>
      </c>
      <c r="AR17" s="254">
        <v>6.770891710540166E-3</v>
      </c>
      <c r="AS17" s="33">
        <f t="shared" si="20"/>
        <v>2198.17</v>
      </c>
      <c r="AT17" s="34">
        <f t="shared" si="21"/>
        <v>148.37</v>
      </c>
      <c r="AU17" s="35">
        <f t="shared" si="56"/>
        <v>1412.94</v>
      </c>
      <c r="AV17" s="36">
        <f t="shared" si="57"/>
        <v>179.15</v>
      </c>
      <c r="AW17" s="254">
        <v>6.7277019824675413E-3</v>
      </c>
      <c r="AX17" s="33">
        <f t="shared" si="22"/>
        <v>2184.15</v>
      </c>
      <c r="AY17" s="34">
        <f t="shared" si="23"/>
        <v>147.41999999999999</v>
      </c>
      <c r="AZ17" s="35">
        <f t="shared" si="58"/>
        <v>1403.93</v>
      </c>
      <c r="BA17" s="257">
        <f t="shared" si="59"/>
        <v>178</v>
      </c>
      <c r="BB17" s="254">
        <v>6.7454092164005042E-3</v>
      </c>
      <c r="BC17" s="33">
        <f t="shared" si="24"/>
        <v>2189.89</v>
      </c>
      <c r="BD17" s="34">
        <f t="shared" si="25"/>
        <v>147.81</v>
      </c>
      <c r="BE17" s="35">
        <f t="shared" si="60"/>
        <v>1407.63</v>
      </c>
      <c r="BF17" s="257">
        <f t="shared" si="61"/>
        <v>178.47</v>
      </c>
      <c r="BG17" s="254">
        <v>6.8605332799822685E-3</v>
      </c>
      <c r="BH17" s="33">
        <f t="shared" si="26"/>
        <v>2227.27</v>
      </c>
      <c r="BI17" s="34">
        <f t="shared" si="27"/>
        <v>150.33000000000001</v>
      </c>
      <c r="BJ17" s="35">
        <f t="shared" si="62"/>
        <v>1431.65</v>
      </c>
      <c r="BK17" s="36">
        <f t="shared" si="63"/>
        <v>181.52</v>
      </c>
    </row>
    <row r="18" spans="1:63" ht="30" customHeight="1">
      <c r="A18" s="31">
        <v>1412000075</v>
      </c>
      <c r="B18" s="32" t="s">
        <v>95</v>
      </c>
      <c r="C18" s="32" t="s">
        <v>82</v>
      </c>
      <c r="D18" s="26">
        <v>2.0844811252992065E-4</v>
      </c>
      <c r="E18" s="33">
        <f t="shared" si="0"/>
        <v>67.67</v>
      </c>
      <c r="F18" s="34">
        <f t="shared" si="1"/>
        <v>4.57</v>
      </c>
      <c r="G18" s="35">
        <f t="shared" si="2"/>
        <v>45.93</v>
      </c>
      <c r="H18" s="36">
        <f t="shared" si="3"/>
        <v>5.68</v>
      </c>
      <c r="I18" s="26">
        <v>2.1007928556302045E-4</v>
      </c>
      <c r="J18" s="33">
        <f t="shared" si="4"/>
        <v>68.2</v>
      </c>
      <c r="K18" s="34">
        <f t="shared" si="5"/>
        <v>4.5999999999999996</v>
      </c>
      <c r="L18" s="35">
        <f t="shared" si="6"/>
        <v>43.84</v>
      </c>
      <c r="M18" s="257">
        <f t="shared" si="28"/>
        <v>5.56</v>
      </c>
      <c r="N18" s="254">
        <v>2.1433829480144127E-4</v>
      </c>
      <c r="O18" s="33">
        <f t="shared" si="29"/>
        <v>69.58</v>
      </c>
      <c r="P18" s="34">
        <f t="shared" si="7"/>
        <v>4.7</v>
      </c>
      <c r="Q18" s="35">
        <f t="shared" si="44"/>
        <v>44.73</v>
      </c>
      <c r="R18" s="257">
        <f t="shared" si="45"/>
        <v>5.67</v>
      </c>
      <c r="S18" s="254">
        <v>2.0357138090061511E-4</v>
      </c>
      <c r="T18" s="33">
        <f t="shared" si="8"/>
        <v>66.09</v>
      </c>
      <c r="U18" s="34">
        <f t="shared" si="9"/>
        <v>4.46</v>
      </c>
      <c r="V18" s="35">
        <f t="shared" si="46"/>
        <v>42.48</v>
      </c>
      <c r="W18" s="257">
        <f t="shared" si="47"/>
        <v>5.39</v>
      </c>
      <c r="X18" s="254">
        <v>2.0082926392422993E-4</v>
      </c>
      <c r="Y18" s="33">
        <f t="shared" si="10"/>
        <v>65.2</v>
      </c>
      <c r="Z18" s="34">
        <f t="shared" si="11"/>
        <v>4.4000000000000004</v>
      </c>
      <c r="AA18" s="35">
        <f t="shared" si="48"/>
        <v>41.91</v>
      </c>
      <c r="AB18" s="36">
        <f t="shared" si="49"/>
        <v>5.31</v>
      </c>
      <c r="AC18" s="26">
        <v>2.0182577954858878E-4</v>
      </c>
      <c r="AD18" s="33">
        <f t="shared" si="12"/>
        <v>65.52</v>
      </c>
      <c r="AE18" s="34">
        <f t="shared" si="13"/>
        <v>4.42</v>
      </c>
      <c r="AF18" s="35">
        <f t="shared" si="50"/>
        <v>42.12</v>
      </c>
      <c r="AG18" s="257">
        <f t="shared" si="51"/>
        <v>5.34</v>
      </c>
      <c r="AH18" s="254">
        <v>2.247255837855511E-4</v>
      </c>
      <c r="AI18" s="33">
        <f t="shared" si="16"/>
        <v>72.959999999999994</v>
      </c>
      <c r="AJ18" s="34">
        <f t="shared" si="17"/>
        <v>4.92</v>
      </c>
      <c r="AK18" s="35">
        <f t="shared" si="52"/>
        <v>46.9</v>
      </c>
      <c r="AL18" s="257">
        <f t="shared" si="53"/>
        <v>5.95</v>
      </c>
      <c r="AM18" s="254">
        <v>2.2203507863834734E-4</v>
      </c>
      <c r="AN18" s="33">
        <f t="shared" si="18"/>
        <v>72.08</v>
      </c>
      <c r="AO18" s="34">
        <f t="shared" si="19"/>
        <v>4.87</v>
      </c>
      <c r="AP18" s="35">
        <f t="shared" si="54"/>
        <v>46.33</v>
      </c>
      <c r="AQ18" s="257">
        <f t="shared" si="55"/>
        <v>5.87</v>
      </c>
      <c r="AR18" s="254">
        <v>2.2344047371081554E-4</v>
      </c>
      <c r="AS18" s="33">
        <f t="shared" si="20"/>
        <v>72.540000000000006</v>
      </c>
      <c r="AT18" s="34">
        <f t="shared" si="21"/>
        <v>4.9000000000000004</v>
      </c>
      <c r="AU18" s="35">
        <f t="shared" si="56"/>
        <v>46.63</v>
      </c>
      <c r="AV18" s="36">
        <f t="shared" si="57"/>
        <v>5.91</v>
      </c>
      <c r="AW18" s="254">
        <v>2.1829676649434969E-4</v>
      </c>
      <c r="AX18" s="33">
        <f t="shared" si="22"/>
        <v>70.87</v>
      </c>
      <c r="AY18" s="34">
        <f t="shared" si="23"/>
        <v>4.78</v>
      </c>
      <c r="AZ18" s="35">
        <f t="shared" si="58"/>
        <v>45.55</v>
      </c>
      <c r="BA18" s="257">
        <f t="shared" si="59"/>
        <v>5.78</v>
      </c>
      <c r="BB18" s="254">
        <v>2.1320517749213183E-4</v>
      </c>
      <c r="BC18" s="33">
        <f t="shared" si="24"/>
        <v>69.22</v>
      </c>
      <c r="BD18" s="34">
        <f t="shared" si="25"/>
        <v>4.67</v>
      </c>
      <c r="BE18" s="35">
        <f t="shared" si="60"/>
        <v>44.49</v>
      </c>
      <c r="BF18" s="257">
        <f t="shared" si="61"/>
        <v>5.64</v>
      </c>
      <c r="BG18" s="254">
        <v>2.1969453733149182E-4</v>
      </c>
      <c r="BH18" s="33">
        <f t="shared" si="26"/>
        <v>71.319999999999993</v>
      </c>
      <c r="BI18" s="34">
        <f t="shared" si="27"/>
        <v>4.8099999999999996</v>
      </c>
      <c r="BJ18" s="35">
        <f t="shared" si="62"/>
        <v>45.85</v>
      </c>
      <c r="BK18" s="36">
        <f t="shared" si="63"/>
        <v>5.81</v>
      </c>
    </row>
    <row r="19" spans="1:63" ht="30" customHeight="1">
      <c r="A19" s="31">
        <v>1412000055</v>
      </c>
      <c r="B19" s="32" t="s">
        <v>96</v>
      </c>
      <c r="C19" s="32" t="s">
        <v>85</v>
      </c>
      <c r="D19" s="26">
        <v>6.4393074776439285E-4</v>
      </c>
      <c r="E19" s="33">
        <f t="shared" si="0"/>
        <v>209.05</v>
      </c>
      <c r="F19" s="34">
        <f t="shared" si="1"/>
        <v>14.11</v>
      </c>
      <c r="G19" s="35">
        <f t="shared" si="2"/>
        <v>141.9</v>
      </c>
      <c r="H19" s="36">
        <f t="shared" si="3"/>
        <v>17.55</v>
      </c>
      <c r="I19" s="26">
        <v>6.5152416585157499E-4</v>
      </c>
      <c r="J19" s="33">
        <f t="shared" si="4"/>
        <v>211.52</v>
      </c>
      <c r="K19" s="34">
        <f t="shared" si="5"/>
        <v>14.28</v>
      </c>
      <c r="L19" s="35">
        <f t="shared" si="6"/>
        <v>135.96</v>
      </c>
      <c r="M19" s="257">
        <f t="shared" si="28"/>
        <v>17.239999999999998</v>
      </c>
      <c r="N19" s="254">
        <v>6.6388071777408728E-4</v>
      </c>
      <c r="O19" s="33">
        <f t="shared" si="29"/>
        <v>215.53</v>
      </c>
      <c r="P19" s="34">
        <f t="shared" si="7"/>
        <v>14.55</v>
      </c>
      <c r="Q19" s="35">
        <f t="shared" si="44"/>
        <v>138.54</v>
      </c>
      <c r="R19" s="257">
        <f t="shared" si="45"/>
        <v>17.57</v>
      </c>
      <c r="S19" s="254">
        <v>6.2096178450609806E-4</v>
      </c>
      <c r="T19" s="33">
        <f t="shared" si="8"/>
        <v>201.59</v>
      </c>
      <c r="U19" s="34">
        <f t="shared" si="9"/>
        <v>13.61</v>
      </c>
      <c r="V19" s="35">
        <f t="shared" si="46"/>
        <v>129.58000000000001</v>
      </c>
      <c r="W19" s="257">
        <f t="shared" si="47"/>
        <v>16.43</v>
      </c>
      <c r="X19" s="254">
        <v>6.2166499628280177E-4</v>
      </c>
      <c r="Y19" s="33">
        <f t="shared" si="10"/>
        <v>201.82</v>
      </c>
      <c r="Z19" s="34">
        <f t="shared" si="11"/>
        <v>13.62</v>
      </c>
      <c r="AA19" s="35">
        <f t="shared" si="48"/>
        <v>129.72999999999999</v>
      </c>
      <c r="AB19" s="36">
        <f t="shared" si="49"/>
        <v>16.45</v>
      </c>
      <c r="AC19" s="26">
        <v>6.4288736192673172E-4</v>
      </c>
      <c r="AD19" s="33">
        <f t="shared" si="12"/>
        <v>208.71</v>
      </c>
      <c r="AE19" s="34">
        <f t="shared" si="13"/>
        <v>14.09</v>
      </c>
      <c r="AF19" s="35">
        <f t="shared" si="50"/>
        <v>134.16</v>
      </c>
      <c r="AG19" s="257">
        <f t="shared" si="51"/>
        <v>17.010000000000002</v>
      </c>
      <c r="AH19" s="254">
        <v>6.3856491567693488E-4</v>
      </c>
      <c r="AI19" s="33">
        <f t="shared" si="16"/>
        <v>207.31</v>
      </c>
      <c r="AJ19" s="34">
        <f t="shared" si="17"/>
        <v>13.99</v>
      </c>
      <c r="AK19" s="35">
        <f t="shared" si="52"/>
        <v>133.26</v>
      </c>
      <c r="AL19" s="257">
        <f t="shared" si="53"/>
        <v>16.899999999999999</v>
      </c>
      <c r="AM19" s="254">
        <v>6.304934002353236E-4</v>
      </c>
      <c r="AN19" s="33">
        <f t="shared" si="18"/>
        <v>204.69</v>
      </c>
      <c r="AO19" s="34">
        <f t="shared" si="19"/>
        <v>13.82</v>
      </c>
      <c r="AP19" s="35">
        <f t="shared" si="54"/>
        <v>131.57</v>
      </c>
      <c r="AQ19" s="257">
        <f t="shared" si="55"/>
        <v>16.68</v>
      </c>
      <c r="AR19" s="254">
        <v>6.4346083200148409E-4</v>
      </c>
      <c r="AS19" s="33">
        <f t="shared" si="20"/>
        <v>208.9</v>
      </c>
      <c r="AT19" s="34">
        <f t="shared" si="21"/>
        <v>14.1</v>
      </c>
      <c r="AU19" s="35">
        <f t="shared" si="56"/>
        <v>134.28</v>
      </c>
      <c r="AV19" s="36">
        <f t="shared" si="57"/>
        <v>17.02</v>
      </c>
      <c r="AW19" s="254">
        <v>6.2745818732803482E-4</v>
      </c>
      <c r="AX19" s="33">
        <f t="shared" si="22"/>
        <v>203.7</v>
      </c>
      <c r="AY19" s="34">
        <f t="shared" si="23"/>
        <v>13.75</v>
      </c>
      <c r="AZ19" s="35">
        <f t="shared" si="58"/>
        <v>130.94</v>
      </c>
      <c r="BA19" s="257">
        <f t="shared" si="59"/>
        <v>16.600000000000001</v>
      </c>
      <c r="BB19" s="254">
        <v>6.1161768821002375E-4</v>
      </c>
      <c r="BC19" s="33">
        <f t="shared" si="24"/>
        <v>198.56</v>
      </c>
      <c r="BD19" s="34">
        <f t="shared" si="25"/>
        <v>13.4</v>
      </c>
      <c r="BE19" s="35">
        <f t="shared" si="60"/>
        <v>127.63</v>
      </c>
      <c r="BF19" s="257">
        <f t="shared" si="61"/>
        <v>16.18</v>
      </c>
      <c r="BG19" s="254">
        <v>6.4847687050125023E-4</v>
      </c>
      <c r="BH19" s="33">
        <f t="shared" si="26"/>
        <v>210.53</v>
      </c>
      <c r="BI19" s="34">
        <f t="shared" si="27"/>
        <v>14.21</v>
      </c>
      <c r="BJ19" s="35">
        <f t="shared" si="62"/>
        <v>135.32</v>
      </c>
      <c r="BK19" s="36">
        <f t="shared" si="63"/>
        <v>17.16</v>
      </c>
    </row>
    <row r="20" spans="1:63" ht="30" customHeight="1">
      <c r="A20" s="31">
        <v>1412000040</v>
      </c>
      <c r="B20" s="32" t="s">
        <v>25</v>
      </c>
      <c r="C20" s="32" t="s">
        <v>26</v>
      </c>
      <c r="D20" s="26">
        <v>1.1087748732453973E-3</v>
      </c>
      <c r="E20" s="33">
        <f t="shared" si="0"/>
        <v>359.96</v>
      </c>
      <c r="F20" s="34">
        <f t="shared" si="1"/>
        <v>24.3</v>
      </c>
      <c r="G20" s="35">
        <f t="shared" si="2"/>
        <v>244.34</v>
      </c>
      <c r="H20" s="36">
        <f t="shared" si="3"/>
        <v>30.21</v>
      </c>
      <c r="I20" s="26">
        <v>1.0989033549106725E-3</v>
      </c>
      <c r="J20" s="33">
        <f t="shared" si="4"/>
        <v>356.76</v>
      </c>
      <c r="K20" s="34">
        <f t="shared" si="5"/>
        <v>24.08</v>
      </c>
      <c r="L20" s="35">
        <f t="shared" si="6"/>
        <v>229.32</v>
      </c>
      <c r="M20" s="257">
        <f t="shared" si="28"/>
        <v>29.08</v>
      </c>
      <c r="N20" s="254">
        <v>1.0992251519666087E-3</v>
      </c>
      <c r="O20" s="33">
        <f t="shared" si="29"/>
        <v>356.86</v>
      </c>
      <c r="P20" s="34">
        <f t="shared" si="7"/>
        <v>24.09</v>
      </c>
      <c r="Q20" s="35">
        <f t="shared" si="44"/>
        <v>229.39</v>
      </c>
      <c r="R20" s="257">
        <f t="shared" si="45"/>
        <v>29.08</v>
      </c>
      <c r="S20" s="254">
        <v>1.0976867608606571E-3</v>
      </c>
      <c r="T20" s="33">
        <f t="shared" si="8"/>
        <v>356.36</v>
      </c>
      <c r="U20" s="34">
        <f t="shared" si="9"/>
        <v>24.05</v>
      </c>
      <c r="V20" s="35">
        <f t="shared" si="46"/>
        <v>229.06</v>
      </c>
      <c r="W20" s="257">
        <f t="shared" si="47"/>
        <v>29.04</v>
      </c>
      <c r="X20" s="254">
        <v>1.0928712847786217E-3</v>
      </c>
      <c r="Y20" s="33">
        <f t="shared" si="10"/>
        <v>354.8</v>
      </c>
      <c r="Z20" s="34">
        <f t="shared" si="11"/>
        <v>23.95</v>
      </c>
      <c r="AA20" s="35">
        <f t="shared" si="48"/>
        <v>228.06</v>
      </c>
      <c r="AB20" s="36">
        <f t="shared" si="49"/>
        <v>28.92</v>
      </c>
      <c r="AC20" s="26">
        <v>1.0924582615183249E-3</v>
      </c>
      <c r="AD20" s="33">
        <f t="shared" si="12"/>
        <v>354.67</v>
      </c>
      <c r="AE20" s="34">
        <f t="shared" si="13"/>
        <v>23.94</v>
      </c>
      <c r="AF20" s="35">
        <f t="shared" si="50"/>
        <v>227.97</v>
      </c>
      <c r="AG20" s="257">
        <f t="shared" si="51"/>
        <v>28.9</v>
      </c>
      <c r="AH20" s="254">
        <v>1.0918611026527524E-3</v>
      </c>
      <c r="AI20" s="33">
        <f t="shared" si="16"/>
        <v>354.47</v>
      </c>
      <c r="AJ20" s="34">
        <f t="shared" si="17"/>
        <v>23.93</v>
      </c>
      <c r="AK20" s="35">
        <f t="shared" si="52"/>
        <v>227.85</v>
      </c>
      <c r="AL20" s="257">
        <f t="shared" si="53"/>
        <v>28.89</v>
      </c>
      <c r="AM20" s="254">
        <v>1.0916920251129838E-3</v>
      </c>
      <c r="AN20" s="33">
        <f t="shared" si="18"/>
        <v>354.42</v>
      </c>
      <c r="AO20" s="34">
        <f t="shared" si="19"/>
        <v>23.92</v>
      </c>
      <c r="AP20" s="35">
        <f t="shared" si="54"/>
        <v>227.81</v>
      </c>
      <c r="AQ20" s="257">
        <f t="shared" si="55"/>
        <v>28.88</v>
      </c>
      <c r="AR20" s="254">
        <v>1.0917902926171096E-3</v>
      </c>
      <c r="AS20" s="33">
        <f t="shared" si="20"/>
        <v>354.45</v>
      </c>
      <c r="AT20" s="34">
        <f t="shared" si="21"/>
        <v>23.92</v>
      </c>
      <c r="AU20" s="35">
        <f t="shared" si="56"/>
        <v>227.83</v>
      </c>
      <c r="AV20" s="36">
        <f t="shared" si="57"/>
        <v>28.89</v>
      </c>
      <c r="AW20" s="254">
        <v>1.0913806270362676E-3</v>
      </c>
      <c r="AX20" s="33">
        <f t="shared" si="22"/>
        <v>354.32</v>
      </c>
      <c r="AY20" s="34">
        <f t="shared" si="23"/>
        <v>23.91</v>
      </c>
      <c r="AZ20" s="35">
        <f t="shared" si="58"/>
        <v>227.75</v>
      </c>
      <c r="BA20" s="257">
        <f t="shared" si="59"/>
        <v>28.88</v>
      </c>
      <c r="BB20" s="254">
        <v>1.0907471362899192E-3</v>
      </c>
      <c r="BC20" s="33">
        <f t="shared" si="24"/>
        <v>354.11</v>
      </c>
      <c r="BD20" s="34">
        <f t="shared" si="25"/>
        <v>23.9</v>
      </c>
      <c r="BE20" s="35">
        <f t="shared" si="60"/>
        <v>227.62</v>
      </c>
      <c r="BF20" s="257">
        <f t="shared" si="61"/>
        <v>28.86</v>
      </c>
      <c r="BG20" s="254">
        <v>1.0914014330011068E-3</v>
      </c>
      <c r="BH20" s="33">
        <f t="shared" si="26"/>
        <v>354.32</v>
      </c>
      <c r="BI20" s="34">
        <f t="shared" si="27"/>
        <v>23.92</v>
      </c>
      <c r="BJ20" s="35">
        <f t="shared" si="62"/>
        <v>227.75</v>
      </c>
      <c r="BK20" s="36">
        <f t="shared" si="63"/>
        <v>28.88</v>
      </c>
    </row>
    <row r="21" spans="1:63" ht="30" customHeight="1">
      <c r="A21" s="329">
        <v>1412000102</v>
      </c>
      <c r="B21" s="329" t="s">
        <v>189</v>
      </c>
      <c r="C21" s="330" t="s">
        <v>188</v>
      </c>
      <c r="D21" s="331">
        <v>4.0823676854536361E-4</v>
      </c>
      <c r="E21" s="332">
        <f>ROUND($E$5*D21,2)</f>
        <v>132.53</v>
      </c>
      <c r="F21" s="333">
        <f>ROUND($F$5*D21,2)</f>
        <v>8.9499999999999993</v>
      </c>
      <c r="G21" s="332">
        <f>ROUND($G$5*D21,2)</f>
        <v>89.96</v>
      </c>
      <c r="H21" s="333">
        <f>ROUND($H$5*D21,2)</f>
        <v>11.12</v>
      </c>
      <c r="I21" s="331">
        <v>4.0356078617628344E-4</v>
      </c>
      <c r="J21" s="332">
        <f>ROUND($E$5*I21,2)</f>
        <v>131.02000000000001</v>
      </c>
      <c r="K21" s="333">
        <f t="shared" ref="K21" si="64">ROUND($F$5*I21,2)</f>
        <v>8.84</v>
      </c>
      <c r="L21" s="332">
        <f t="shared" si="6"/>
        <v>84.21</v>
      </c>
      <c r="M21" s="334">
        <f t="shared" ref="M21" si="65">ROUND($M$5*I21,2)</f>
        <v>10.68</v>
      </c>
      <c r="N21" s="335">
        <v>4.0371321636067421E-4</v>
      </c>
      <c r="O21" s="332">
        <f t="shared" ref="O21" si="66">ROUND($E$5*N21,2)</f>
        <v>131.07</v>
      </c>
      <c r="P21" s="333">
        <f t="shared" ref="P21" si="67">ROUND($F$5*N21,2)</f>
        <v>8.85</v>
      </c>
      <c r="Q21" s="332">
        <f t="shared" si="44"/>
        <v>84.25</v>
      </c>
      <c r="R21" s="334">
        <f t="shared" si="45"/>
        <v>10.68</v>
      </c>
      <c r="S21" s="335">
        <v>4.0298450478417095E-4</v>
      </c>
      <c r="T21" s="332">
        <f t="shared" ref="T21" si="68">ROUND($E$5*S21,2)</f>
        <v>130.83000000000001</v>
      </c>
      <c r="U21" s="333">
        <f t="shared" ref="U21" si="69">ROUND($F$5*S21,2)</f>
        <v>8.83</v>
      </c>
      <c r="V21" s="332">
        <f t="shared" si="46"/>
        <v>84.09</v>
      </c>
      <c r="W21" s="334">
        <f t="shared" si="47"/>
        <v>10.66</v>
      </c>
      <c r="X21" s="335">
        <v>4.007034897979435E-4</v>
      </c>
      <c r="Y21" s="332">
        <f t="shared" ref="Y21" si="70">ROUND($E$5*X21,2)</f>
        <v>130.09</v>
      </c>
      <c r="Z21" s="333">
        <f t="shared" ref="Z21" si="71">ROUND($F$5*X21,2)</f>
        <v>8.7799999999999994</v>
      </c>
      <c r="AA21" s="332">
        <f t="shared" si="48"/>
        <v>83.62</v>
      </c>
      <c r="AB21" s="333">
        <f t="shared" si="49"/>
        <v>10.6</v>
      </c>
      <c r="AC21" s="331">
        <v>4.00507847200961E-4</v>
      </c>
      <c r="AD21" s="332">
        <f t="shared" ref="AD21" si="72">ROUND($E$5*AC21,2)</f>
        <v>130.02000000000001</v>
      </c>
      <c r="AE21" s="333">
        <f t="shared" ref="AE21" si="73">ROUND($F$5*AC21,2)</f>
        <v>8.7799999999999994</v>
      </c>
      <c r="AF21" s="332">
        <f t="shared" si="50"/>
        <v>83.58</v>
      </c>
      <c r="AG21" s="334">
        <f t="shared" si="51"/>
        <v>10.6</v>
      </c>
      <c r="AH21" s="335">
        <v>4.0022498247516326E-4</v>
      </c>
      <c r="AI21" s="332">
        <f t="shared" ref="AI21" si="74">ROUND($E$5*AH21,2)</f>
        <v>129.93</v>
      </c>
      <c r="AJ21" s="333">
        <f t="shared" ref="AJ21" si="75">ROUND($F$5*AH21,2)</f>
        <v>8.77</v>
      </c>
      <c r="AK21" s="332">
        <f t="shared" si="52"/>
        <v>83.52</v>
      </c>
      <c r="AL21" s="334">
        <f t="shared" si="53"/>
        <v>10.59</v>
      </c>
      <c r="AM21" s="335">
        <v>4.0014489311422045E-4</v>
      </c>
      <c r="AN21" s="332">
        <f t="shared" ref="AN21" si="76">ROUND($E$5*AM21,2)</f>
        <v>129.91</v>
      </c>
      <c r="AO21" s="333">
        <f t="shared" ref="AO21" si="77">ROUND($F$5*AM21,2)</f>
        <v>8.77</v>
      </c>
      <c r="AP21" s="332">
        <f t="shared" si="54"/>
        <v>83.5</v>
      </c>
      <c r="AQ21" s="334">
        <f t="shared" si="55"/>
        <v>10.59</v>
      </c>
      <c r="AR21" s="335">
        <v>4.0019144087933265E-4</v>
      </c>
      <c r="AS21" s="332">
        <f t="shared" ref="AS21" si="78">ROUND($E$5*AR21,2)</f>
        <v>129.91999999999999</v>
      </c>
      <c r="AT21" s="333">
        <f t="shared" ref="AT21" si="79">ROUND($F$5*AR21,2)</f>
        <v>8.77</v>
      </c>
      <c r="AU21" s="332">
        <f t="shared" si="56"/>
        <v>83.51</v>
      </c>
      <c r="AV21" s="333">
        <f t="shared" si="57"/>
        <v>10.59</v>
      </c>
      <c r="AW21" s="335">
        <v>3.9999738876209166E-4</v>
      </c>
      <c r="AX21" s="332">
        <f t="shared" ref="AX21" si="80">ROUND($E$5*AW21,2)</f>
        <v>129.86000000000001</v>
      </c>
      <c r="AY21" s="333">
        <f t="shared" ref="AY21" si="81">ROUND($F$5*AW21,2)</f>
        <v>8.76</v>
      </c>
      <c r="AZ21" s="332">
        <f t="shared" si="58"/>
        <v>83.47</v>
      </c>
      <c r="BA21" s="334">
        <f t="shared" si="59"/>
        <v>10.58</v>
      </c>
      <c r="BB21" s="335">
        <v>3.9969731419803192E-4</v>
      </c>
      <c r="BC21" s="332">
        <f t="shared" ref="BC21" si="82">ROUND($E$5*BB21,2)</f>
        <v>129.76</v>
      </c>
      <c r="BD21" s="333">
        <f t="shared" ref="BD21" si="83">ROUND($F$5*BB21,2)</f>
        <v>8.76</v>
      </c>
      <c r="BE21" s="332">
        <f t="shared" si="60"/>
        <v>83.41</v>
      </c>
      <c r="BF21" s="334">
        <f t="shared" si="61"/>
        <v>10.58</v>
      </c>
      <c r="BG21" s="335">
        <v>4.0000724421912075E-4</v>
      </c>
      <c r="BH21" s="332">
        <f t="shared" ref="BH21" si="84">ROUND($E$5*BG21,2)</f>
        <v>129.86000000000001</v>
      </c>
      <c r="BI21" s="333">
        <f t="shared" ref="BI21" si="85">ROUND($F$5*BG21,2)</f>
        <v>8.77</v>
      </c>
      <c r="BJ21" s="332">
        <f t="shared" si="62"/>
        <v>83.47</v>
      </c>
      <c r="BK21" s="333">
        <f t="shared" si="63"/>
        <v>10.58</v>
      </c>
    </row>
    <row r="22" spans="1:63" ht="30" customHeight="1">
      <c r="A22" s="31">
        <v>1412000089</v>
      </c>
      <c r="B22" s="31" t="s">
        <v>113</v>
      </c>
      <c r="C22" s="32" t="s">
        <v>114</v>
      </c>
      <c r="D22" s="26">
        <v>5.5168430231173618E-4</v>
      </c>
      <c r="E22" s="33">
        <f t="shared" si="0"/>
        <v>179.1</v>
      </c>
      <c r="F22" s="34">
        <f t="shared" si="1"/>
        <v>12.09</v>
      </c>
      <c r="G22" s="35">
        <f t="shared" si="2"/>
        <v>121.57</v>
      </c>
      <c r="H22" s="36">
        <f t="shared" si="3"/>
        <v>15.03</v>
      </c>
      <c r="I22" s="26">
        <v>5.4493010555639804E-4</v>
      </c>
      <c r="J22" s="33">
        <f>ROUND($E$5*I22,2)</f>
        <v>176.91</v>
      </c>
      <c r="K22" s="34">
        <f t="shared" si="5"/>
        <v>11.94</v>
      </c>
      <c r="L22" s="35">
        <f t="shared" si="6"/>
        <v>113.72</v>
      </c>
      <c r="M22" s="257">
        <f t="shared" si="28"/>
        <v>14.42</v>
      </c>
      <c r="N22" s="254">
        <v>5.4515028248940697E-4</v>
      </c>
      <c r="O22" s="33">
        <f t="shared" si="29"/>
        <v>176.98</v>
      </c>
      <c r="P22" s="34">
        <f t="shared" si="7"/>
        <v>11.95</v>
      </c>
      <c r="Q22" s="35">
        <f t="shared" si="44"/>
        <v>113.76</v>
      </c>
      <c r="R22" s="257">
        <f t="shared" si="45"/>
        <v>14.42</v>
      </c>
      <c r="S22" s="254">
        <v>5.4409769910112433E-4</v>
      </c>
      <c r="T22" s="33">
        <f t="shared" si="8"/>
        <v>176.64</v>
      </c>
      <c r="U22" s="34">
        <f t="shared" si="9"/>
        <v>11.92</v>
      </c>
      <c r="V22" s="35">
        <f t="shared" si="46"/>
        <v>113.54</v>
      </c>
      <c r="W22" s="257">
        <f t="shared" si="47"/>
        <v>14.4</v>
      </c>
      <c r="X22" s="254">
        <v>5.4080289967657364E-4</v>
      </c>
      <c r="Y22" s="33">
        <f t="shared" si="10"/>
        <v>175.57</v>
      </c>
      <c r="Z22" s="34">
        <f t="shared" si="11"/>
        <v>11.85</v>
      </c>
      <c r="AA22" s="35">
        <f t="shared" si="48"/>
        <v>112.85</v>
      </c>
      <c r="AB22" s="36">
        <f t="shared" si="49"/>
        <v>14.31</v>
      </c>
      <c r="AC22" s="26">
        <v>5.4052030481426569E-4</v>
      </c>
      <c r="AD22" s="33">
        <f t="shared" si="12"/>
        <v>175.48</v>
      </c>
      <c r="AE22" s="34">
        <f t="shared" si="13"/>
        <v>11.84</v>
      </c>
      <c r="AF22" s="35">
        <f t="shared" si="50"/>
        <v>112.8</v>
      </c>
      <c r="AG22" s="257">
        <f t="shared" si="51"/>
        <v>14.3</v>
      </c>
      <c r="AH22" s="254">
        <v>5.4011172243255781E-4</v>
      </c>
      <c r="AI22" s="33">
        <f t="shared" si="16"/>
        <v>175.35</v>
      </c>
      <c r="AJ22" s="34">
        <f t="shared" si="17"/>
        <v>11.84</v>
      </c>
      <c r="AK22" s="35">
        <f t="shared" si="52"/>
        <v>112.71</v>
      </c>
      <c r="AL22" s="257">
        <f t="shared" si="53"/>
        <v>14.29</v>
      </c>
      <c r="AM22" s="254">
        <v>5.3999603780008484E-4</v>
      </c>
      <c r="AN22" s="33">
        <f t="shared" si="18"/>
        <v>175.31</v>
      </c>
      <c r="AO22" s="34">
        <f t="shared" si="19"/>
        <v>11.83</v>
      </c>
      <c r="AP22" s="35">
        <f t="shared" si="54"/>
        <v>112.69</v>
      </c>
      <c r="AQ22" s="257">
        <f t="shared" si="55"/>
        <v>14.29</v>
      </c>
      <c r="AR22" s="254">
        <v>5.4006327346080242E-4</v>
      </c>
      <c r="AS22" s="33">
        <f t="shared" si="20"/>
        <v>175.33</v>
      </c>
      <c r="AT22" s="34">
        <f t="shared" si="21"/>
        <v>11.83</v>
      </c>
      <c r="AU22" s="35">
        <f t="shared" si="56"/>
        <v>112.7</v>
      </c>
      <c r="AV22" s="36">
        <f t="shared" si="57"/>
        <v>14.29</v>
      </c>
      <c r="AW22" s="254">
        <v>5.3978297595812111E-4</v>
      </c>
      <c r="AX22" s="33">
        <f t="shared" si="22"/>
        <v>175.24</v>
      </c>
      <c r="AY22" s="34">
        <f t="shared" si="23"/>
        <v>11.83</v>
      </c>
      <c r="AZ22" s="35">
        <f t="shared" si="58"/>
        <v>112.64</v>
      </c>
      <c r="BA22" s="257">
        <f t="shared" si="59"/>
        <v>14.28</v>
      </c>
      <c r="BB22" s="254">
        <v>5.3934953492114585E-4</v>
      </c>
      <c r="BC22" s="33">
        <f t="shared" si="24"/>
        <v>175.1</v>
      </c>
      <c r="BD22" s="34">
        <f t="shared" si="25"/>
        <v>11.82</v>
      </c>
      <c r="BE22" s="35">
        <f t="shared" si="60"/>
        <v>112.55</v>
      </c>
      <c r="BF22" s="257">
        <f t="shared" si="61"/>
        <v>14.27</v>
      </c>
      <c r="BG22" s="254">
        <v>5.3979721161827418E-4</v>
      </c>
      <c r="BH22" s="33">
        <f t="shared" si="26"/>
        <v>175.24</v>
      </c>
      <c r="BI22" s="34">
        <f t="shared" si="27"/>
        <v>11.83</v>
      </c>
      <c r="BJ22" s="35">
        <f t="shared" si="62"/>
        <v>112.64</v>
      </c>
      <c r="BK22" s="36">
        <f t="shared" si="63"/>
        <v>14.28</v>
      </c>
    </row>
    <row r="23" spans="1:63" ht="30" customHeight="1">
      <c r="A23" s="31">
        <v>1412000039</v>
      </c>
      <c r="B23" s="31" t="s">
        <v>27</v>
      </c>
      <c r="C23" s="32" t="s">
        <v>2</v>
      </c>
      <c r="D23" s="26">
        <v>8.385793698444811E-4</v>
      </c>
      <c r="E23" s="33">
        <f t="shared" si="0"/>
        <v>272.24</v>
      </c>
      <c r="F23" s="34">
        <f t="shared" si="1"/>
        <v>18.38</v>
      </c>
      <c r="G23" s="35">
        <f t="shared" si="2"/>
        <v>184.79</v>
      </c>
      <c r="H23" s="36">
        <f t="shared" si="3"/>
        <v>22.85</v>
      </c>
      <c r="I23" s="26">
        <v>8.9835340400668462E-4</v>
      </c>
      <c r="J23" s="33">
        <f t="shared" si="4"/>
        <v>291.64999999999998</v>
      </c>
      <c r="K23" s="34">
        <f t="shared" si="5"/>
        <v>19.690000000000001</v>
      </c>
      <c r="L23" s="35">
        <f t="shared" si="6"/>
        <v>187.47</v>
      </c>
      <c r="M23" s="257">
        <f t="shared" si="28"/>
        <v>23.77</v>
      </c>
      <c r="N23" s="254">
        <v>8.9874294781123879E-4</v>
      </c>
      <c r="O23" s="33">
        <f t="shared" si="29"/>
        <v>291.77999999999997</v>
      </c>
      <c r="P23" s="34">
        <f t="shared" si="7"/>
        <v>19.690000000000001</v>
      </c>
      <c r="Q23" s="35">
        <f t="shared" si="44"/>
        <v>187.55</v>
      </c>
      <c r="R23" s="257">
        <f t="shared" si="45"/>
        <v>23.78</v>
      </c>
      <c r="S23" s="254">
        <v>8.9688068489350787E-4</v>
      </c>
      <c r="T23" s="33">
        <f t="shared" si="8"/>
        <v>291.17</v>
      </c>
      <c r="U23" s="34">
        <f t="shared" si="9"/>
        <v>19.649999999999999</v>
      </c>
      <c r="V23" s="35">
        <f t="shared" si="46"/>
        <v>187.16</v>
      </c>
      <c r="W23" s="257">
        <f t="shared" si="47"/>
        <v>23.73</v>
      </c>
      <c r="X23" s="254">
        <v>8.9105142437314916E-4</v>
      </c>
      <c r="Y23" s="33">
        <f t="shared" si="10"/>
        <v>289.27999999999997</v>
      </c>
      <c r="Z23" s="34">
        <f t="shared" si="11"/>
        <v>19.53</v>
      </c>
      <c r="AA23" s="35">
        <f t="shared" si="48"/>
        <v>185.94</v>
      </c>
      <c r="AB23" s="36">
        <f t="shared" si="49"/>
        <v>23.58</v>
      </c>
      <c r="AC23" s="26">
        <v>8.9055144884752713E-4</v>
      </c>
      <c r="AD23" s="33">
        <f t="shared" si="12"/>
        <v>289.12</v>
      </c>
      <c r="AE23" s="34">
        <f t="shared" si="13"/>
        <v>19.510000000000002</v>
      </c>
      <c r="AF23" s="35">
        <f t="shared" si="50"/>
        <v>185.84</v>
      </c>
      <c r="AG23" s="257">
        <f t="shared" si="51"/>
        <v>23.56</v>
      </c>
      <c r="AH23" s="254">
        <v>8.8982857232604404E-4</v>
      </c>
      <c r="AI23" s="33">
        <f t="shared" si="16"/>
        <v>288.88</v>
      </c>
      <c r="AJ23" s="34">
        <f t="shared" si="17"/>
        <v>19.5</v>
      </c>
      <c r="AK23" s="35">
        <f t="shared" si="52"/>
        <v>185.69</v>
      </c>
      <c r="AL23" s="257">
        <f t="shared" si="53"/>
        <v>23.54</v>
      </c>
      <c r="AM23" s="254">
        <v>8.8962389951474576E-4</v>
      </c>
      <c r="AN23" s="33">
        <f t="shared" si="18"/>
        <v>288.82</v>
      </c>
      <c r="AO23" s="34">
        <f t="shared" si="19"/>
        <v>19.489999999999998</v>
      </c>
      <c r="AP23" s="35">
        <f t="shared" si="54"/>
        <v>185.65</v>
      </c>
      <c r="AQ23" s="257">
        <f t="shared" si="55"/>
        <v>23.54</v>
      </c>
      <c r="AR23" s="254">
        <v>8.8974285491447689E-4</v>
      </c>
      <c r="AS23" s="33">
        <f t="shared" si="20"/>
        <v>288.85000000000002</v>
      </c>
      <c r="AT23" s="34">
        <f t="shared" si="21"/>
        <v>19.5</v>
      </c>
      <c r="AU23" s="35">
        <f t="shared" si="56"/>
        <v>185.67</v>
      </c>
      <c r="AV23" s="36">
        <f t="shared" si="57"/>
        <v>23.54</v>
      </c>
      <c r="AW23" s="254">
        <v>8.8924694394819435E-4</v>
      </c>
      <c r="AX23" s="33">
        <f t="shared" si="22"/>
        <v>288.69</v>
      </c>
      <c r="AY23" s="34">
        <f t="shared" si="23"/>
        <v>19.489999999999998</v>
      </c>
      <c r="AZ23" s="35">
        <f t="shared" si="58"/>
        <v>185.57</v>
      </c>
      <c r="BA23" s="257">
        <f t="shared" si="59"/>
        <v>23.53</v>
      </c>
      <c r="BB23" s="254">
        <v>8.8848008672893066E-4</v>
      </c>
      <c r="BC23" s="33">
        <f t="shared" si="24"/>
        <v>288.44</v>
      </c>
      <c r="BD23" s="34">
        <f t="shared" si="25"/>
        <v>19.47</v>
      </c>
      <c r="BE23" s="35">
        <f t="shared" si="60"/>
        <v>185.41</v>
      </c>
      <c r="BF23" s="257">
        <f t="shared" si="61"/>
        <v>23.51</v>
      </c>
      <c r="BG23" s="254">
        <v>8.8927213011615763E-4</v>
      </c>
      <c r="BH23" s="33">
        <f t="shared" si="26"/>
        <v>288.7</v>
      </c>
      <c r="BI23" s="34">
        <f t="shared" si="27"/>
        <v>19.489999999999998</v>
      </c>
      <c r="BJ23" s="35">
        <f t="shared" si="62"/>
        <v>185.57</v>
      </c>
      <c r="BK23" s="36">
        <f t="shared" si="63"/>
        <v>23.53</v>
      </c>
    </row>
    <row r="24" spans="1:63" ht="30" customHeight="1">
      <c r="A24" s="31">
        <v>1412000006</v>
      </c>
      <c r="B24" s="31" t="s">
        <v>97</v>
      </c>
      <c r="C24" s="32" t="s">
        <v>3</v>
      </c>
      <c r="D24" s="26">
        <v>6.7302600332435486E-4</v>
      </c>
      <c r="E24" s="33">
        <f t="shared" si="0"/>
        <v>218.5</v>
      </c>
      <c r="F24" s="34">
        <f t="shared" si="1"/>
        <v>14.75</v>
      </c>
      <c r="G24" s="35">
        <f t="shared" si="2"/>
        <v>148.31</v>
      </c>
      <c r="H24" s="36">
        <f t="shared" si="3"/>
        <v>18.34</v>
      </c>
      <c r="I24" s="26">
        <v>6.6575225297245237E-4</v>
      </c>
      <c r="J24" s="33">
        <f t="shared" si="4"/>
        <v>216.14</v>
      </c>
      <c r="K24" s="34">
        <f t="shared" si="5"/>
        <v>14.59</v>
      </c>
      <c r="L24" s="35">
        <f t="shared" si="6"/>
        <v>138.93</v>
      </c>
      <c r="M24" s="257">
        <f t="shared" si="28"/>
        <v>17.61</v>
      </c>
      <c r="N24" s="254">
        <v>6.6598936659261572E-4</v>
      </c>
      <c r="O24" s="33">
        <f t="shared" si="29"/>
        <v>216.21</v>
      </c>
      <c r="P24" s="34">
        <f t="shared" si="7"/>
        <v>14.59</v>
      </c>
      <c r="Q24" s="35">
        <f t="shared" si="44"/>
        <v>138.97999999999999</v>
      </c>
      <c r="R24" s="257">
        <f t="shared" si="45"/>
        <v>17.62</v>
      </c>
      <c r="S24" s="254">
        <v>6.6485581525138832E-4</v>
      </c>
      <c r="T24" s="33">
        <f t="shared" si="8"/>
        <v>215.85</v>
      </c>
      <c r="U24" s="34">
        <f t="shared" si="9"/>
        <v>14.57</v>
      </c>
      <c r="V24" s="35">
        <f t="shared" si="46"/>
        <v>138.74</v>
      </c>
      <c r="W24" s="257">
        <f t="shared" si="47"/>
        <v>17.59</v>
      </c>
      <c r="X24" s="254">
        <v>6.9633242218691436E-4</v>
      </c>
      <c r="Y24" s="33">
        <f t="shared" si="10"/>
        <v>226.06</v>
      </c>
      <c r="Z24" s="34">
        <f t="shared" si="11"/>
        <v>15.26</v>
      </c>
      <c r="AA24" s="35">
        <f t="shared" si="48"/>
        <v>145.31</v>
      </c>
      <c r="AB24" s="36">
        <f t="shared" si="49"/>
        <v>18.420000000000002</v>
      </c>
      <c r="AC24" s="26">
        <v>6.9600635119194346E-4</v>
      </c>
      <c r="AD24" s="33">
        <f t="shared" si="12"/>
        <v>225.96</v>
      </c>
      <c r="AE24" s="34">
        <f t="shared" si="13"/>
        <v>15.25</v>
      </c>
      <c r="AF24" s="35">
        <f t="shared" si="50"/>
        <v>145.24</v>
      </c>
      <c r="AG24" s="257">
        <f t="shared" si="51"/>
        <v>18.420000000000002</v>
      </c>
      <c r="AH24" s="254">
        <v>6.9553490998228076E-4</v>
      </c>
      <c r="AI24" s="33">
        <f t="shared" si="16"/>
        <v>225.81</v>
      </c>
      <c r="AJ24" s="34">
        <f t="shared" si="17"/>
        <v>15.24</v>
      </c>
      <c r="AK24" s="35">
        <f t="shared" si="52"/>
        <v>145.13999999999999</v>
      </c>
      <c r="AL24" s="257">
        <f t="shared" si="53"/>
        <v>18.399999999999999</v>
      </c>
      <c r="AM24" s="254">
        <v>6.9540142771404268E-4</v>
      </c>
      <c r="AN24" s="33">
        <f t="shared" si="18"/>
        <v>225.76</v>
      </c>
      <c r="AO24" s="34">
        <f t="shared" si="19"/>
        <v>15.24</v>
      </c>
      <c r="AP24" s="35">
        <f t="shared" si="54"/>
        <v>145.12</v>
      </c>
      <c r="AQ24" s="257">
        <f t="shared" si="55"/>
        <v>18.399999999999999</v>
      </c>
      <c r="AR24" s="254">
        <v>6.9547900732256295E-4</v>
      </c>
      <c r="AS24" s="33">
        <f t="shared" si="20"/>
        <v>225.79</v>
      </c>
      <c r="AT24" s="34">
        <f t="shared" si="21"/>
        <v>15.24</v>
      </c>
      <c r="AU24" s="35">
        <f t="shared" si="56"/>
        <v>145.13</v>
      </c>
      <c r="AV24" s="36">
        <f t="shared" si="57"/>
        <v>18.399999999999999</v>
      </c>
      <c r="AW24" s="254">
        <v>6.9515558712716138E-4</v>
      </c>
      <c r="AX24" s="33">
        <f t="shared" si="22"/>
        <v>225.68</v>
      </c>
      <c r="AY24" s="34">
        <f t="shared" si="23"/>
        <v>15.23</v>
      </c>
      <c r="AZ24" s="35">
        <f t="shared" si="58"/>
        <v>145.06</v>
      </c>
      <c r="BA24" s="257">
        <f t="shared" si="59"/>
        <v>18.39</v>
      </c>
      <c r="BB24" s="254">
        <v>6.946554628537284E-4</v>
      </c>
      <c r="BC24" s="33">
        <f t="shared" si="24"/>
        <v>225.52</v>
      </c>
      <c r="BD24" s="34">
        <f t="shared" si="25"/>
        <v>15.22</v>
      </c>
      <c r="BE24" s="35">
        <f t="shared" si="60"/>
        <v>144.96</v>
      </c>
      <c r="BF24" s="257">
        <f t="shared" si="61"/>
        <v>18.38</v>
      </c>
      <c r="BG24" s="254">
        <v>6.9517201288887647E-4</v>
      </c>
      <c r="BH24" s="33">
        <f t="shared" si="26"/>
        <v>225.69</v>
      </c>
      <c r="BI24" s="34">
        <f t="shared" si="27"/>
        <v>15.23</v>
      </c>
      <c r="BJ24" s="35">
        <f t="shared" si="62"/>
        <v>145.07</v>
      </c>
      <c r="BK24" s="36">
        <f t="shared" si="63"/>
        <v>18.39</v>
      </c>
    </row>
    <row r="25" spans="1:63" ht="30" customHeight="1">
      <c r="A25" s="31">
        <v>1412000034</v>
      </c>
      <c r="B25" s="31" t="s">
        <v>28</v>
      </c>
      <c r="C25" s="32" t="s">
        <v>29</v>
      </c>
      <c r="D25" s="26">
        <v>3.0482460582030177E-2</v>
      </c>
      <c r="E25" s="33">
        <f t="shared" si="0"/>
        <v>9896.1200000000008</v>
      </c>
      <c r="F25" s="34">
        <f t="shared" si="1"/>
        <v>667.95</v>
      </c>
      <c r="G25" s="35">
        <f t="shared" si="2"/>
        <v>6717.31</v>
      </c>
      <c r="H25" s="36">
        <f t="shared" si="3"/>
        <v>830.56</v>
      </c>
      <c r="I25" s="26">
        <v>3.0579656333546121E-2</v>
      </c>
      <c r="J25" s="33">
        <f t="shared" si="4"/>
        <v>9927.67</v>
      </c>
      <c r="K25" s="34">
        <f t="shared" si="5"/>
        <v>670.08</v>
      </c>
      <c r="L25" s="35">
        <f t="shared" si="6"/>
        <v>6381.34</v>
      </c>
      <c r="M25" s="257">
        <f t="shared" si="28"/>
        <v>809.09</v>
      </c>
      <c r="N25" s="254">
        <v>3.0754917782963138E-2</v>
      </c>
      <c r="O25" s="33">
        <f t="shared" si="29"/>
        <v>9984.57</v>
      </c>
      <c r="P25" s="34">
        <f t="shared" si="7"/>
        <v>673.92</v>
      </c>
      <c r="Q25" s="35">
        <f t="shared" si="44"/>
        <v>6417.91</v>
      </c>
      <c r="R25" s="257">
        <f t="shared" si="45"/>
        <v>813.73</v>
      </c>
      <c r="S25" s="254">
        <v>3.0322895362692497E-2</v>
      </c>
      <c r="T25" s="33">
        <f t="shared" si="8"/>
        <v>9844.32</v>
      </c>
      <c r="U25" s="34">
        <f t="shared" si="9"/>
        <v>664.45</v>
      </c>
      <c r="V25" s="35">
        <f t="shared" si="46"/>
        <v>6327.76</v>
      </c>
      <c r="W25" s="257">
        <f t="shared" si="47"/>
        <v>802.3</v>
      </c>
      <c r="X25" s="254">
        <v>3.0284304420661916E-2</v>
      </c>
      <c r="Y25" s="33">
        <f t="shared" si="10"/>
        <v>9831.7900000000009</v>
      </c>
      <c r="Z25" s="34">
        <f t="shared" si="11"/>
        <v>663.61</v>
      </c>
      <c r="AA25" s="35">
        <f t="shared" si="48"/>
        <v>6319.7</v>
      </c>
      <c r="AB25" s="36">
        <f t="shared" si="49"/>
        <v>801.28</v>
      </c>
      <c r="AC25" s="26">
        <v>3.0397719142984898E-2</v>
      </c>
      <c r="AD25" s="33">
        <f t="shared" si="12"/>
        <v>9868.61</v>
      </c>
      <c r="AE25" s="34">
        <f t="shared" si="13"/>
        <v>666.09</v>
      </c>
      <c r="AF25" s="35">
        <f t="shared" si="50"/>
        <v>6343.37</v>
      </c>
      <c r="AG25" s="257">
        <f t="shared" si="51"/>
        <v>804.28</v>
      </c>
      <c r="AH25" s="254">
        <v>3.0343768610163364E-2</v>
      </c>
      <c r="AI25" s="33">
        <f t="shared" si="16"/>
        <v>9851.09</v>
      </c>
      <c r="AJ25" s="34">
        <f t="shared" si="17"/>
        <v>664.91</v>
      </c>
      <c r="AK25" s="35">
        <f t="shared" si="52"/>
        <v>6332.11</v>
      </c>
      <c r="AL25" s="257">
        <f t="shared" si="53"/>
        <v>802.85</v>
      </c>
      <c r="AM25" s="254">
        <v>3.0243024139651395E-2</v>
      </c>
      <c r="AN25" s="33">
        <f t="shared" si="18"/>
        <v>9818.39</v>
      </c>
      <c r="AO25" s="34">
        <f t="shared" si="19"/>
        <v>662.7</v>
      </c>
      <c r="AP25" s="35">
        <f t="shared" si="54"/>
        <v>6311.09</v>
      </c>
      <c r="AQ25" s="257">
        <f t="shared" si="55"/>
        <v>800.18</v>
      </c>
      <c r="AR25" s="254">
        <v>3.0295648377364936E-2</v>
      </c>
      <c r="AS25" s="33">
        <f t="shared" si="20"/>
        <v>9835.4699999999993</v>
      </c>
      <c r="AT25" s="34">
        <f t="shared" si="21"/>
        <v>663.86</v>
      </c>
      <c r="AU25" s="35">
        <f t="shared" si="56"/>
        <v>6322.07</v>
      </c>
      <c r="AV25" s="36">
        <f t="shared" si="57"/>
        <v>801.58</v>
      </c>
      <c r="AW25" s="254">
        <v>3.0103045118259487E-2</v>
      </c>
      <c r="AX25" s="33">
        <f t="shared" si="22"/>
        <v>9772.94</v>
      </c>
      <c r="AY25" s="34">
        <f t="shared" si="23"/>
        <v>659.63</v>
      </c>
      <c r="AZ25" s="35">
        <f t="shared" si="58"/>
        <v>6281.88</v>
      </c>
      <c r="BA25" s="257">
        <f t="shared" si="59"/>
        <v>796.48</v>
      </c>
      <c r="BB25" s="254">
        <v>2.998853331086546E-2</v>
      </c>
      <c r="BC25" s="33">
        <f t="shared" si="24"/>
        <v>9735.76</v>
      </c>
      <c r="BD25" s="34">
        <f t="shared" si="25"/>
        <v>657.13</v>
      </c>
      <c r="BE25" s="35">
        <f t="shared" si="60"/>
        <v>6257.98</v>
      </c>
      <c r="BF25" s="257">
        <f t="shared" si="61"/>
        <v>793.45</v>
      </c>
      <c r="BG25" s="254">
        <v>3.0238734184671909E-2</v>
      </c>
      <c r="BH25" s="33">
        <f t="shared" si="26"/>
        <v>9816.99</v>
      </c>
      <c r="BI25" s="34">
        <f t="shared" si="27"/>
        <v>662.61</v>
      </c>
      <c r="BJ25" s="35">
        <f t="shared" si="62"/>
        <v>6310.19</v>
      </c>
      <c r="BK25" s="36">
        <f t="shared" si="63"/>
        <v>800.07</v>
      </c>
    </row>
    <row r="26" spans="1:63" ht="30" customHeight="1">
      <c r="A26" s="31">
        <v>1412000048</v>
      </c>
      <c r="B26" s="31" t="s">
        <v>30</v>
      </c>
      <c r="C26" s="32" t="s">
        <v>31</v>
      </c>
      <c r="D26" s="26">
        <v>9.3584282143007813E-4</v>
      </c>
      <c r="E26" s="33">
        <f t="shared" si="0"/>
        <v>303.82</v>
      </c>
      <c r="F26" s="34">
        <f t="shared" si="1"/>
        <v>20.51</v>
      </c>
      <c r="G26" s="35">
        <f t="shared" si="2"/>
        <v>206.23</v>
      </c>
      <c r="H26" s="36">
        <f t="shared" si="3"/>
        <v>25.5</v>
      </c>
      <c r="I26" s="26">
        <v>9.4313250279377293E-4</v>
      </c>
      <c r="J26" s="33">
        <f t="shared" si="4"/>
        <v>306.19</v>
      </c>
      <c r="K26" s="34">
        <f t="shared" si="5"/>
        <v>20.67</v>
      </c>
      <c r="L26" s="35">
        <f t="shared" si="6"/>
        <v>196.81</v>
      </c>
      <c r="M26" s="257">
        <f t="shared" si="28"/>
        <v>24.95</v>
      </c>
      <c r="N26" s="254">
        <v>9.7010091687786942E-4</v>
      </c>
      <c r="O26" s="33">
        <f t="shared" si="29"/>
        <v>314.94</v>
      </c>
      <c r="P26" s="34">
        <f t="shared" si="7"/>
        <v>21.26</v>
      </c>
      <c r="Q26" s="35">
        <f t="shared" si="44"/>
        <v>202.44</v>
      </c>
      <c r="R26" s="257">
        <f t="shared" si="45"/>
        <v>25.67</v>
      </c>
      <c r="S26" s="254">
        <v>9.3645431093778765E-4</v>
      </c>
      <c r="T26" s="33">
        <f t="shared" si="8"/>
        <v>304.02</v>
      </c>
      <c r="U26" s="34">
        <f t="shared" si="9"/>
        <v>20.52</v>
      </c>
      <c r="V26" s="35">
        <f t="shared" si="46"/>
        <v>195.42</v>
      </c>
      <c r="W26" s="257">
        <f t="shared" si="47"/>
        <v>24.78</v>
      </c>
      <c r="X26" s="254">
        <v>9.278851953865839E-4</v>
      </c>
      <c r="Y26" s="33">
        <f t="shared" si="10"/>
        <v>301.24</v>
      </c>
      <c r="Z26" s="34">
        <f t="shared" si="11"/>
        <v>20.329999999999998</v>
      </c>
      <c r="AA26" s="35">
        <f t="shared" si="48"/>
        <v>193.63</v>
      </c>
      <c r="AB26" s="36">
        <f t="shared" si="49"/>
        <v>24.55</v>
      </c>
      <c r="AC26" s="26">
        <v>9.3099930671270532E-4</v>
      </c>
      <c r="AD26" s="33">
        <f t="shared" si="12"/>
        <v>302.25</v>
      </c>
      <c r="AE26" s="34">
        <f t="shared" si="13"/>
        <v>20.399999999999999</v>
      </c>
      <c r="AF26" s="35">
        <f t="shared" si="50"/>
        <v>194.28</v>
      </c>
      <c r="AG26" s="257">
        <f t="shared" si="51"/>
        <v>24.63</v>
      </c>
      <c r="AH26" s="254">
        <v>9.269970416665973E-4</v>
      </c>
      <c r="AI26" s="33">
        <f t="shared" si="16"/>
        <v>300.95</v>
      </c>
      <c r="AJ26" s="34">
        <f t="shared" si="17"/>
        <v>20.309999999999999</v>
      </c>
      <c r="AK26" s="35">
        <f t="shared" si="52"/>
        <v>193.44</v>
      </c>
      <c r="AL26" s="257">
        <f t="shared" si="53"/>
        <v>24.53</v>
      </c>
      <c r="AM26" s="254">
        <v>9.195234162576978E-4</v>
      </c>
      <c r="AN26" s="33">
        <f t="shared" si="18"/>
        <v>298.52</v>
      </c>
      <c r="AO26" s="34">
        <f t="shared" si="19"/>
        <v>20.149999999999999</v>
      </c>
      <c r="AP26" s="35">
        <f t="shared" si="54"/>
        <v>191.89</v>
      </c>
      <c r="AQ26" s="257">
        <f t="shared" si="55"/>
        <v>24.33</v>
      </c>
      <c r="AR26" s="254">
        <v>9.2342729145899842E-4</v>
      </c>
      <c r="AS26" s="33">
        <f t="shared" si="20"/>
        <v>299.79000000000002</v>
      </c>
      <c r="AT26" s="34">
        <f t="shared" si="21"/>
        <v>20.23</v>
      </c>
      <c r="AU26" s="35">
        <f t="shared" si="56"/>
        <v>192.7</v>
      </c>
      <c r="AV26" s="36">
        <f t="shared" si="57"/>
        <v>24.43</v>
      </c>
      <c r="AW26" s="254">
        <v>9.0913921585770443E-4</v>
      </c>
      <c r="AX26" s="33">
        <f t="shared" si="22"/>
        <v>295.14999999999998</v>
      </c>
      <c r="AY26" s="34">
        <f t="shared" si="23"/>
        <v>19.920000000000002</v>
      </c>
      <c r="AZ26" s="35">
        <f t="shared" si="58"/>
        <v>189.72</v>
      </c>
      <c r="BA26" s="257">
        <f t="shared" si="59"/>
        <v>24.05</v>
      </c>
      <c r="BB26" s="254">
        <v>8.9499591307376589E-4</v>
      </c>
      <c r="BC26" s="33">
        <f t="shared" si="24"/>
        <v>290.56</v>
      </c>
      <c r="BD26" s="34">
        <f t="shared" si="25"/>
        <v>19.61</v>
      </c>
      <c r="BE26" s="35">
        <f t="shared" si="60"/>
        <v>186.77</v>
      </c>
      <c r="BF26" s="257">
        <f t="shared" si="61"/>
        <v>23.68</v>
      </c>
      <c r="BG26" s="254">
        <v>9.1302191262754382E-4</v>
      </c>
      <c r="BH26" s="33">
        <f t="shared" si="26"/>
        <v>296.41000000000003</v>
      </c>
      <c r="BI26" s="34">
        <f t="shared" si="27"/>
        <v>20.010000000000002</v>
      </c>
      <c r="BJ26" s="35">
        <f t="shared" si="62"/>
        <v>190.53</v>
      </c>
      <c r="BK26" s="36">
        <f t="shared" si="63"/>
        <v>24.16</v>
      </c>
    </row>
    <row r="27" spans="1:63" ht="30" customHeight="1">
      <c r="A27" s="31">
        <v>1412000063</v>
      </c>
      <c r="B27" s="31" t="s">
        <v>32</v>
      </c>
      <c r="C27" s="32" t="s">
        <v>98</v>
      </c>
      <c r="D27" s="26">
        <v>1.4622406188492904E-4</v>
      </c>
      <c r="E27" s="33">
        <f t="shared" si="0"/>
        <v>47.47</v>
      </c>
      <c r="F27" s="34">
        <f t="shared" si="1"/>
        <v>3.2</v>
      </c>
      <c r="G27" s="35">
        <f t="shared" si="2"/>
        <v>32.22</v>
      </c>
      <c r="H27" s="36">
        <f t="shared" si="3"/>
        <v>3.98</v>
      </c>
      <c r="I27" s="26">
        <v>1.4008682387955547E-4</v>
      </c>
      <c r="J27" s="33">
        <f t="shared" si="4"/>
        <v>45.48</v>
      </c>
      <c r="K27" s="34">
        <f t="shared" si="5"/>
        <v>3.07</v>
      </c>
      <c r="L27" s="35">
        <f t="shared" si="6"/>
        <v>29.23</v>
      </c>
      <c r="M27" s="257">
        <f t="shared" si="28"/>
        <v>3.71</v>
      </c>
      <c r="N27" s="254">
        <v>1.14144337066878E-4</v>
      </c>
      <c r="O27" s="33">
        <f t="shared" si="29"/>
        <v>37.06</v>
      </c>
      <c r="P27" s="34">
        <f t="shared" si="7"/>
        <v>2.5</v>
      </c>
      <c r="Q27" s="35">
        <f t="shared" si="44"/>
        <v>23.82</v>
      </c>
      <c r="R27" s="257">
        <f t="shared" si="45"/>
        <v>3.02</v>
      </c>
      <c r="S27" s="254">
        <v>1.0203155892844853E-4</v>
      </c>
      <c r="T27" s="33">
        <f t="shared" si="8"/>
        <v>33.119999999999997</v>
      </c>
      <c r="U27" s="34">
        <f t="shared" si="9"/>
        <v>2.2400000000000002</v>
      </c>
      <c r="V27" s="35">
        <f t="shared" si="46"/>
        <v>21.29</v>
      </c>
      <c r="W27" s="257">
        <f t="shared" si="47"/>
        <v>2.7</v>
      </c>
      <c r="X27" s="254">
        <v>9.8946677330015166E-5</v>
      </c>
      <c r="Y27" s="33">
        <f t="shared" si="10"/>
        <v>32.119999999999997</v>
      </c>
      <c r="Z27" s="34">
        <f t="shared" si="11"/>
        <v>2.17</v>
      </c>
      <c r="AA27" s="35">
        <f t="shared" si="48"/>
        <v>20.65</v>
      </c>
      <c r="AB27" s="36">
        <f t="shared" si="49"/>
        <v>2.62</v>
      </c>
      <c r="AC27" s="26">
        <v>1.0006775740741894E-4</v>
      </c>
      <c r="AD27" s="33">
        <f t="shared" si="12"/>
        <v>32.49</v>
      </c>
      <c r="AE27" s="34">
        <f t="shared" si="13"/>
        <v>2.19</v>
      </c>
      <c r="AF27" s="35">
        <f t="shared" si="50"/>
        <v>20.88</v>
      </c>
      <c r="AG27" s="257">
        <f t="shared" si="51"/>
        <v>2.65</v>
      </c>
      <c r="AH27" s="254">
        <v>9.8626941990819983E-5</v>
      </c>
      <c r="AI27" s="33">
        <f t="shared" si="16"/>
        <v>32.020000000000003</v>
      </c>
      <c r="AJ27" s="34">
        <f t="shared" si="17"/>
        <v>2.16</v>
      </c>
      <c r="AK27" s="35">
        <f t="shared" si="52"/>
        <v>20.58</v>
      </c>
      <c r="AL27" s="257">
        <f t="shared" si="53"/>
        <v>2.61</v>
      </c>
      <c r="AM27" s="254">
        <v>9.5936436843616237E-5</v>
      </c>
      <c r="AN27" s="33">
        <f t="shared" si="18"/>
        <v>31.15</v>
      </c>
      <c r="AO27" s="34">
        <f t="shared" si="19"/>
        <v>2.1</v>
      </c>
      <c r="AP27" s="35">
        <f t="shared" si="54"/>
        <v>20.02</v>
      </c>
      <c r="AQ27" s="257">
        <f t="shared" si="55"/>
        <v>2.54</v>
      </c>
      <c r="AR27" s="254">
        <v>8.8590585367328479E-5</v>
      </c>
      <c r="AS27" s="33">
        <f t="shared" si="20"/>
        <v>28.76</v>
      </c>
      <c r="AT27" s="34">
        <f t="shared" si="21"/>
        <v>1.94</v>
      </c>
      <c r="AU27" s="35">
        <f t="shared" si="56"/>
        <v>18.489999999999998</v>
      </c>
      <c r="AV27" s="36">
        <f t="shared" si="57"/>
        <v>2.34</v>
      </c>
      <c r="AW27" s="254">
        <v>8.4018401174914409E-5</v>
      </c>
      <c r="AX27" s="33">
        <f t="shared" si="22"/>
        <v>27.28</v>
      </c>
      <c r="AY27" s="34">
        <f t="shared" si="23"/>
        <v>1.84</v>
      </c>
      <c r="AZ27" s="35">
        <f t="shared" si="58"/>
        <v>17.53</v>
      </c>
      <c r="BA27" s="257">
        <f t="shared" si="59"/>
        <v>2.2200000000000002</v>
      </c>
      <c r="BB27" s="254">
        <v>7.949254428405411E-5</v>
      </c>
      <c r="BC27" s="33">
        <f t="shared" si="24"/>
        <v>25.81</v>
      </c>
      <c r="BD27" s="34">
        <f t="shared" si="25"/>
        <v>1.74</v>
      </c>
      <c r="BE27" s="35">
        <f t="shared" si="60"/>
        <v>16.59</v>
      </c>
      <c r="BF27" s="257">
        <f t="shared" si="61"/>
        <v>2.1</v>
      </c>
      <c r="BG27" s="254">
        <v>8.5260864141262921E-5</v>
      </c>
      <c r="BH27" s="33">
        <f t="shared" si="26"/>
        <v>27.68</v>
      </c>
      <c r="BI27" s="34">
        <f t="shared" si="27"/>
        <v>1.87</v>
      </c>
      <c r="BJ27" s="35">
        <f t="shared" si="62"/>
        <v>17.79</v>
      </c>
      <c r="BK27" s="36">
        <f t="shared" si="63"/>
        <v>2.2599999999999998</v>
      </c>
    </row>
    <row r="28" spans="1:63" ht="30" customHeight="1">
      <c r="A28" s="31">
        <v>1412000036</v>
      </c>
      <c r="B28" s="31" t="s">
        <v>131</v>
      </c>
      <c r="C28" s="32" t="s">
        <v>84</v>
      </c>
      <c r="D28" s="26">
        <v>0.26567166694612876</v>
      </c>
      <c r="E28" s="33">
        <f t="shared" si="0"/>
        <v>86250.2</v>
      </c>
      <c r="F28" s="34">
        <f t="shared" si="1"/>
        <v>5821.55</v>
      </c>
      <c r="G28" s="35">
        <f t="shared" si="2"/>
        <v>58545.15</v>
      </c>
      <c r="H28" s="36">
        <f t="shared" si="3"/>
        <v>7238.83</v>
      </c>
      <c r="I28" s="26">
        <v>0.26555691378663338</v>
      </c>
      <c r="J28" s="33">
        <f t="shared" si="4"/>
        <v>86212.94</v>
      </c>
      <c r="K28" s="34">
        <f t="shared" si="5"/>
        <v>5819.03</v>
      </c>
      <c r="L28" s="35">
        <f t="shared" si="6"/>
        <v>55416.19</v>
      </c>
      <c r="M28" s="257">
        <f t="shared" si="28"/>
        <v>7026.22</v>
      </c>
      <c r="N28" s="254">
        <v>0.26555320213030637</v>
      </c>
      <c r="O28" s="33">
        <f t="shared" si="29"/>
        <v>86211.74</v>
      </c>
      <c r="P28" s="34">
        <f t="shared" si="7"/>
        <v>5818.95</v>
      </c>
      <c r="Q28" s="35">
        <f t="shared" si="44"/>
        <v>55415.42</v>
      </c>
      <c r="R28" s="257">
        <f t="shared" si="45"/>
        <v>7026.12</v>
      </c>
      <c r="S28" s="254">
        <v>0.26518616841323017</v>
      </c>
      <c r="T28" s="33">
        <f t="shared" si="8"/>
        <v>86092.58</v>
      </c>
      <c r="U28" s="34">
        <f t="shared" si="9"/>
        <v>5810.91</v>
      </c>
      <c r="V28" s="35">
        <f t="shared" si="46"/>
        <v>55338.83</v>
      </c>
      <c r="W28" s="257">
        <f t="shared" si="47"/>
        <v>7016.41</v>
      </c>
      <c r="X28" s="254">
        <v>0.26504059111781475</v>
      </c>
      <c r="Y28" s="33">
        <f t="shared" si="10"/>
        <v>86045.32</v>
      </c>
      <c r="Z28" s="34">
        <f t="shared" si="11"/>
        <v>5807.72</v>
      </c>
      <c r="AA28" s="35">
        <f t="shared" si="48"/>
        <v>55308.45</v>
      </c>
      <c r="AB28" s="36">
        <f t="shared" si="49"/>
        <v>7012.56</v>
      </c>
      <c r="AC28" s="26">
        <v>0.26464241562901181</v>
      </c>
      <c r="AD28" s="33">
        <f t="shared" si="12"/>
        <v>85916.05</v>
      </c>
      <c r="AE28" s="34">
        <f t="shared" si="13"/>
        <v>5798.99</v>
      </c>
      <c r="AF28" s="35">
        <f t="shared" si="50"/>
        <v>55225.36</v>
      </c>
      <c r="AG28" s="257">
        <f t="shared" si="51"/>
        <v>7002.02</v>
      </c>
      <c r="AH28" s="254">
        <v>0.26425635897949729</v>
      </c>
      <c r="AI28" s="33">
        <f t="shared" si="16"/>
        <v>85790.720000000001</v>
      </c>
      <c r="AJ28" s="34">
        <f t="shared" si="17"/>
        <v>5790.53</v>
      </c>
      <c r="AK28" s="35">
        <f t="shared" si="52"/>
        <v>55144.800000000003</v>
      </c>
      <c r="AL28" s="257">
        <f t="shared" si="53"/>
        <v>6991.81</v>
      </c>
      <c r="AM28" s="254">
        <v>0.2642282266387313</v>
      </c>
      <c r="AN28" s="33">
        <f t="shared" si="18"/>
        <v>85781.58</v>
      </c>
      <c r="AO28" s="34">
        <f t="shared" si="19"/>
        <v>5789.92</v>
      </c>
      <c r="AP28" s="35">
        <f t="shared" si="54"/>
        <v>55138.92</v>
      </c>
      <c r="AQ28" s="257">
        <f t="shared" si="55"/>
        <v>6991.06</v>
      </c>
      <c r="AR28" s="254">
        <v>0.26422163338152077</v>
      </c>
      <c r="AS28" s="33">
        <f t="shared" si="20"/>
        <v>85779.44</v>
      </c>
      <c r="AT28" s="34">
        <f t="shared" si="21"/>
        <v>5789.77</v>
      </c>
      <c r="AU28" s="35">
        <f t="shared" si="56"/>
        <v>55137.55</v>
      </c>
      <c r="AV28" s="36">
        <f t="shared" si="57"/>
        <v>6990.89</v>
      </c>
      <c r="AW28" s="254">
        <v>0.26429118074643276</v>
      </c>
      <c r="AX28" s="33">
        <f t="shared" si="22"/>
        <v>85802.02</v>
      </c>
      <c r="AY28" s="34">
        <f t="shared" si="23"/>
        <v>5791.3</v>
      </c>
      <c r="AZ28" s="35">
        <f t="shared" si="58"/>
        <v>55152.06</v>
      </c>
      <c r="BA28" s="257">
        <f t="shared" si="59"/>
        <v>6992.73</v>
      </c>
      <c r="BB28" s="254">
        <v>0.2641830939063024</v>
      </c>
      <c r="BC28" s="33">
        <f t="shared" si="24"/>
        <v>85766.93</v>
      </c>
      <c r="BD28" s="34">
        <f t="shared" si="25"/>
        <v>5788.93</v>
      </c>
      <c r="BE28" s="35">
        <f t="shared" si="60"/>
        <v>55129.51</v>
      </c>
      <c r="BF28" s="257">
        <f t="shared" si="61"/>
        <v>6989.87</v>
      </c>
      <c r="BG28" s="254">
        <v>0.26435884009668209</v>
      </c>
      <c r="BH28" s="33">
        <f t="shared" si="26"/>
        <v>85823.99</v>
      </c>
      <c r="BI28" s="34">
        <f t="shared" si="27"/>
        <v>5792.78</v>
      </c>
      <c r="BJ28" s="35">
        <f t="shared" si="62"/>
        <v>55166.18</v>
      </c>
      <c r="BK28" s="36">
        <f t="shared" si="63"/>
        <v>6994.52</v>
      </c>
    </row>
    <row r="29" spans="1:63" ht="30" customHeight="1">
      <c r="A29" s="31">
        <v>1412000072</v>
      </c>
      <c r="B29" s="31" t="s">
        <v>132</v>
      </c>
      <c r="C29" s="32" t="s">
        <v>83</v>
      </c>
      <c r="D29" s="26">
        <v>0.11218701836725144</v>
      </c>
      <c r="E29" s="33">
        <f t="shared" si="0"/>
        <v>36421.47</v>
      </c>
      <c r="F29" s="34">
        <f t="shared" si="1"/>
        <v>2458.3000000000002</v>
      </c>
      <c r="G29" s="35">
        <f t="shared" si="2"/>
        <v>24722.27</v>
      </c>
      <c r="H29" s="36">
        <f t="shared" si="3"/>
        <v>3056.79</v>
      </c>
      <c r="I29" s="26">
        <v>0.11217875670398872</v>
      </c>
      <c r="J29" s="33">
        <f t="shared" si="4"/>
        <v>36418.79</v>
      </c>
      <c r="K29" s="34">
        <f t="shared" si="5"/>
        <v>2458.12</v>
      </c>
      <c r="L29" s="35">
        <f t="shared" si="6"/>
        <v>23409.37</v>
      </c>
      <c r="M29" s="257">
        <f t="shared" si="28"/>
        <v>2968.07</v>
      </c>
      <c r="N29" s="254">
        <v>0.11217301036237397</v>
      </c>
      <c r="O29" s="33">
        <f t="shared" si="29"/>
        <v>36416.92</v>
      </c>
      <c r="P29" s="34">
        <f t="shared" si="7"/>
        <v>2458</v>
      </c>
      <c r="Q29" s="35">
        <f t="shared" si="44"/>
        <v>23408.17</v>
      </c>
      <c r="R29" s="257">
        <f t="shared" si="45"/>
        <v>2967.92</v>
      </c>
      <c r="S29" s="254">
        <v>0.11211369018346341</v>
      </c>
      <c r="T29" s="33">
        <f t="shared" si="8"/>
        <v>36397.660000000003</v>
      </c>
      <c r="U29" s="34">
        <f t="shared" si="9"/>
        <v>2456.6999999999998</v>
      </c>
      <c r="V29" s="35">
        <f t="shared" si="46"/>
        <v>23395.79</v>
      </c>
      <c r="W29" s="257">
        <f t="shared" si="47"/>
        <v>2966.35</v>
      </c>
      <c r="X29" s="254">
        <v>0.11207883168812939</v>
      </c>
      <c r="Y29" s="33">
        <f t="shared" si="10"/>
        <v>36386.35</v>
      </c>
      <c r="Z29" s="34">
        <f t="shared" si="11"/>
        <v>2455.9299999999998</v>
      </c>
      <c r="AA29" s="35">
        <f t="shared" si="48"/>
        <v>23388.52</v>
      </c>
      <c r="AB29" s="36">
        <f t="shared" si="49"/>
        <v>2965.43</v>
      </c>
      <c r="AC29" s="26">
        <v>0.11201366578045012</v>
      </c>
      <c r="AD29" s="33">
        <f t="shared" si="12"/>
        <v>36365.19</v>
      </c>
      <c r="AE29" s="34">
        <f t="shared" si="13"/>
        <v>2454.5100000000002</v>
      </c>
      <c r="AF29" s="35">
        <f t="shared" si="50"/>
        <v>23374.92</v>
      </c>
      <c r="AG29" s="257">
        <f t="shared" si="51"/>
        <v>2963.71</v>
      </c>
      <c r="AH29" s="254">
        <v>0.11195975909068316</v>
      </c>
      <c r="AI29" s="33">
        <f t="shared" si="16"/>
        <v>36347.69</v>
      </c>
      <c r="AJ29" s="34">
        <f t="shared" si="17"/>
        <v>2453.3200000000002</v>
      </c>
      <c r="AK29" s="35">
        <f t="shared" si="52"/>
        <v>23363.67</v>
      </c>
      <c r="AL29" s="257">
        <f t="shared" si="53"/>
        <v>2962.28</v>
      </c>
      <c r="AM29" s="254">
        <v>0.1119563052822598</v>
      </c>
      <c r="AN29" s="33">
        <f t="shared" si="18"/>
        <v>36346.57</v>
      </c>
      <c r="AO29" s="34">
        <f t="shared" si="19"/>
        <v>2453.25</v>
      </c>
      <c r="AP29" s="35">
        <f t="shared" si="54"/>
        <v>23362.95</v>
      </c>
      <c r="AQ29" s="257">
        <f t="shared" si="55"/>
        <v>2962.19</v>
      </c>
      <c r="AR29" s="254">
        <v>0.11194995026044972</v>
      </c>
      <c r="AS29" s="33">
        <f t="shared" si="20"/>
        <v>36344.5</v>
      </c>
      <c r="AT29" s="34">
        <f t="shared" si="21"/>
        <v>2453.11</v>
      </c>
      <c r="AU29" s="35">
        <f t="shared" si="56"/>
        <v>23361.62</v>
      </c>
      <c r="AV29" s="36">
        <f t="shared" si="57"/>
        <v>2962.02</v>
      </c>
      <c r="AW29" s="254">
        <v>0.11194472262728376</v>
      </c>
      <c r="AX29" s="33">
        <f t="shared" si="22"/>
        <v>36342.81</v>
      </c>
      <c r="AY29" s="34">
        <f t="shared" si="23"/>
        <v>2453</v>
      </c>
      <c r="AZ29" s="35">
        <f t="shared" si="58"/>
        <v>23360.53</v>
      </c>
      <c r="BA29" s="257">
        <f t="shared" si="59"/>
        <v>2961.88</v>
      </c>
      <c r="BB29" s="254">
        <v>0.11191713958566293</v>
      </c>
      <c r="BC29" s="33">
        <f t="shared" si="24"/>
        <v>36333.85</v>
      </c>
      <c r="BD29" s="34">
        <f t="shared" si="25"/>
        <v>2452.39</v>
      </c>
      <c r="BE29" s="35">
        <f t="shared" si="60"/>
        <v>23354.77</v>
      </c>
      <c r="BF29" s="257">
        <f t="shared" si="61"/>
        <v>2961.15</v>
      </c>
      <c r="BG29" s="254">
        <v>0.11193943263124102</v>
      </c>
      <c r="BH29" s="33">
        <f t="shared" si="26"/>
        <v>36341.089999999997</v>
      </c>
      <c r="BI29" s="34">
        <f t="shared" si="27"/>
        <v>2452.88</v>
      </c>
      <c r="BJ29" s="35">
        <f t="shared" si="62"/>
        <v>23359.43</v>
      </c>
      <c r="BK29" s="36">
        <f t="shared" si="63"/>
        <v>2961.74</v>
      </c>
    </row>
    <row r="30" spans="1:63" ht="30" customHeight="1">
      <c r="A30" s="31">
        <v>1412000073</v>
      </c>
      <c r="B30" s="31" t="s">
        <v>66</v>
      </c>
      <c r="C30" s="32" t="s">
        <v>67</v>
      </c>
      <c r="D30" s="26">
        <v>6.4592687741175784E-4</v>
      </c>
      <c r="E30" s="33">
        <f t="shared" si="0"/>
        <v>209.7</v>
      </c>
      <c r="F30" s="34">
        <f t="shared" si="1"/>
        <v>14.15</v>
      </c>
      <c r="G30" s="35">
        <f t="shared" si="2"/>
        <v>142.34</v>
      </c>
      <c r="H30" s="36">
        <f t="shared" si="3"/>
        <v>17.600000000000001</v>
      </c>
      <c r="I30" s="26">
        <v>6.5139413843452894E-4</v>
      </c>
      <c r="J30" s="33">
        <f t="shared" si="4"/>
        <v>211.47</v>
      </c>
      <c r="K30" s="34">
        <f t="shared" si="5"/>
        <v>14.27</v>
      </c>
      <c r="L30" s="35">
        <f t="shared" si="6"/>
        <v>135.93</v>
      </c>
      <c r="M30" s="257">
        <f t="shared" si="28"/>
        <v>17.23</v>
      </c>
      <c r="N30" s="254">
        <v>6.6097690922097571E-4</v>
      </c>
      <c r="O30" s="33">
        <f t="shared" si="29"/>
        <v>214.59</v>
      </c>
      <c r="P30" s="34">
        <f t="shared" si="7"/>
        <v>14.48</v>
      </c>
      <c r="Q30" s="35">
        <f t="shared" si="44"/>
        <v>137.93</v>
      </c>
      <c r="R30" s="257">
        <f t="shared" si="45"/>
        <v>17.489999999999998</v>
      </c>
      <c r="S30" s="254">
        <v>6.3675135294411682E-4</v>
      </c>
      <c r="T30" s="33">
        <f t="shared" si="8"/>
        <v>206.72</v>
      </c>
      <c r="U30" s="34">
        <f t="shared" si="9"/>
        <v>13.95</v>
      </c>
      <c r="V30" s="35">
        <f t="shared" si="46"/>
        <v>132.88</v>
      </c>
      <c r="W30" s="257">
        <f t="shared" si="47"/>
        <v>16.850000000000001</v>
      </c>
      <c r="X30" s="254">
        <v>6.3058158974725023E-4</v>
      </c>
      <c r="Y30" s="33">
        <f t="shared" si="10"/>
        <v>204.72</v>
      </c>
      <c r="Z30" s="34">
        <f t="shared" si="11"/>
        <v>13.82</v>
      </c>
      <c r="AA30" s="35">
        <f t="shared" si="48"/>
        <v>131.59</v>
      </c>
      <c r="AB30" s="36">
        <f t="shared" si="49"/>
        <v>16.68</v>
      </c>
      <c r="AC30" s="26">
        <v>6.3282374990205757E-4</v>
      </c>
      <c r="AD30" s="33">
        <f t="shared" si="12"/>
        <v>205.45</v>
      </c>
      <c r="AE30" s="34">
        <f t="shared" si="13"/>
        <v>13.87</v>
      </c>
      <c r="AF30" s="35">
        <f t="shared" si="50"/>
        <v>132.06</v>
      </c>
      <c r="AG30" s="257">
        <f t="shared" si="51"/>
        <v>16.739999999999998</v>
      </c>
      <c r="AH30" s="254">
        <v>6.2533575180374423E-4</v>
      </c>
      <c r="AI30" s="33">
        <f t="shared" si="16"/>
        <v>203.01</v>
      </c>
      <c r="AJ30" s="34">
        <f t="shared" si="17"/>
        <v>13.7</v>
      </c>
      <c r="AK30" s="35">
        <f t="shared" si="52"/>
        <v>130.49</v>
      </c>
      <c r="AL30" s="257">
        <f t="shared" si="53"/>
        <v>16.55</v>
      </c>
      <c r="AM30" s="254">
        <v>6.1995474150933661E-4</v>
      </c>
      <c r="AN30" s="33">
        <f t="shared" si="18"/>
        <v>201.27</v>
      </c>
      <c r="AO30" s="34">
        <f t="shared" si="19"/>
        <v>13.58</v>
      </c>
      <c r="AP30" s="35">
        <f t="shared" si="54"/>
        <v>129.37</v>
      </c>
      <c r="AQ30" s="257">
        <f t="shared" si="55"/>
        <v>16.399999999999999</v>
      </c>
      <c r="AR30" s="254">
        <v>6.2276553165427297E-4</v>
      </c>
      <c r="AS30" s="33">
        <f t="shared" si="20"/>
        <v>202.18</v>
      </c>
      <c r="AT30" s="34">
        <f t="shared" si="21"/>
        <v>13.65</v>
      </c>
      <c r="AU30" s="35">
        <f t="shared" si="56"/>
        <v>129.96</v>
      </c>
      <c r="AV30" s="36">
        <f t="shared" si="57"/>
        <v>16.48</v>
      </c>
      <c r="AW30" s="254">
        <v>6.1247811722134132E-4</v>
      </c>
      <c r="AX30" s="33">
        <f t="shared" si="22"/>
        <v>198.84</v>
      </c>
      <c r="AY30" s="34">
        <f t="shared" si="23"/>
        <v>13.42</v>
      </c>
      <c r="AZ30" s="35">
        <f t="shared" si="58"/>
        <v>127.81</v>
      </c>
      <c r="BA30" s="257">
        <f t="shared" si="59"/>
        <v>16.21</v>
      </c>
      <c r="BB30" s="254">
        <v>6.022949392169056E-4</v>
      </c>
      <c r="BC30" s="33">
        <f t="shared" si="24"/>
        <v>195.53</v>
      </c>
      <c r="BD30" s="34">
        <f t="shared" si="25"/>
        <v>13.2</v>
      </c>
      <c r="BE30" s="35">
        <f t="shared" si="60"/>
        <v>125.69</v>
      </c>
      <c r="BF30" s="257">
        <f t="shared" si="61"/>
        <v>15.94</v>
      </c>
      <c r="BG30" s="254">
        <v>6.1527365889562583E-4</v>
      </c>
      <c r="BH30" s="33">
        <f t="shared" si="26"/>
        <v>199.75</v>
      </c>
      <c r="BI30" s="34">
        <f t="shared" si="27"/>
        <v>13.48</v>
      </c>
      <c r="BJ30" s="35">
        <f t="shared" si="62"/>
        <v>128.38999999999999</v>
      </c>
      <c r="BK30" s="36">
        <f t="shared" si="63"/>
        <v>16.28</v>
      </c>
    </row>
    <row r="31" spans="1:63" ht="30" customHeight="1">
      <c r="A31" s="31">
        <v>1412000008</v>
      </c>
      <c r="B31" s="31" t="s">
        <v>33</v>
      </c>
      <c r="C31" s="32" t="s">
        <v>34</v>
      </c>
      <c r="D31" s="26">
        <v>2.8661615472864093E-4</v>
      </c>
      <c r="E31" s="33">
        <f t="shared" si="0"/>
        <v>93.05</v>
      </c>
      <c r="F31" s="34">
        <f t="shared" si="1"/>
        <v>6.28</v>
      </c>
      <c r="G31" s="35">
        <f t="shared" si="2"/>
        <v>63.16</v>
      </c>
      <c r="H31" s="36">
        <f t="shared" si="3"/>
        <v>7.81</v>
      </c>
      <c r="I31" s="26">
        <v>2.8885901764915311E-4</v>
      </c>
      <c r="J31" s="33">
        <f t="shared" si="4"/>
        <v>93.78</v>
      </c>
      <c r="K31" s="34">
        <f t="shared" si="5"/>
        <v>6.33</v>
      </c>
      <c r="L31" s="35">
        <f t="shared" si="6"/>
        <v>60.28</v>
      </c>
      <c r="M31" s="257">
        <f t="shared" si="28"/>
        <v>7.64</v>
      </c>
      <c r="N31" s="254">
        <v>2.9471515535198179E-4</v>
      </c>
      <c r="O31" s="33">
        <f t="shared" si="29"/>
        <v>95.68</v>
      </c>
      <c r="P31" s="34">
        <f t="shared" si="7"/>
        <v>6.46</v>
      </c>
      <c r="Q31" s="35">
        <f t="shared" si="44"/>
        <v>61.5</v>
      </c>
      <c r="R31" s="257">
        <f t="shared" si="45"/>
        <v>7.8</v>
      </c>
      <c r="S31" s="254">
        <v>2.7991064873834578E-4</v>
      </c>
      <c r="T31" s="33">
        <f t="shared" si="8"/>
        <v>90.87</v>
      </c>
      <c r="U31" s="34">
        <f t="shared" si="9"/>
        <v>6.13</v>
      </c>
      <c r="V31" s="35">
        <f t="shared" si="46"/>
        <v>58.41</v>
      </c>
      <c r="W31" s="257">
        <f t="shared" si="47"/>
        <v>7.41</v>
      </c>
      <c r="X31" s="254">
        <v>2.7614023789581613E-4</v>
      </c>
      <c r="Y31" s="33">
        <f t="shared" si="10"/>
        <v>89.65</v>
      </c>
      <c r="Z31" s="34">
        <f t="shared" si="11"/>
        <v>6.05</v>
      </c>
      <c r="AA31" s="35">
        <f t="shared" si="48"/>
        <v>57.62</v>
      </c>
      <c r="AB31" s="36">
        <f t="shared" si="49"/>
        <v>7.31</v>
      </c>
      <c r="AC31" s="26">
        <v>2.7751044687930962E-4</v>
      </c>
      <c r="AD31" s="33">
        <f t="shared" si="12"/>
        <v>90.09</v>
      </c>
      <c r="AE31" s="34">
        <f t="shared" si="13"/>
        <v>6.08</v>
      </c>
      <c r="AF31" s="35">
        <f t="shared" si="50"/>
        <v>57.91</v>
      </c>
      <c r="AG31" s="257">
        <f t="shared" si="51"/>
        <v>7.34</v>
      </c>
      <c r="AH31" s="254">
        <v>2.7466460240456247E-4</v>
      </c>
      <c r="AI31" s="33">
        <f t="shared" si="16"/>
        <v>89.17</v>
      </c>
      <c r="AJ31" s="34">
        <f t="shared" si="17"/>
        <v>6.02</v>
      </c>
      <c r="AK31" s="35">
        <f t="shared" si="52"/>
        <v>57.32</v>
      </c>
      <c r="AL31" s="257">
        <f t="shared" si="53"/>
        <v>7.27</v>
      </c>
      <c r="AM31" s="254">
        <v>2.7137620722464677E-4</v>
      </c>
      <c r="AN31" s="33">
        <f t="shared" si="18"/>
        <v>88.1</v>
      </c>
      <c r="AO31" s="34">
        <f t="shared" si="19"/>
        <v>5.95</v>
      </c>
      <c r="AP31" s="35">
        <f t="shared" si="54"/>
        <v>56.63</v>
      </c>
      <c r="AQ31" s="257">
        <f t="shared" si="55"/>
        <v>7.18</v>
      </c>
      <c r="AR31" s="254">
        <v>2.7309391231321903E-4</v>
      </c>
      <c r="AS31" s="33">
        <f t="shared" si="20"/>
        <v>88.66</v>
      </c>
      <c r="AT31" s="34">
        <f t="shared" si="21"/>
        <v>5.98</v>
      </c>
      <c r="AU31" s="35">
        <f t="shared" si="56"/>
        <v>56.99</v>
      </c>
      <c r="AV31" s="36">
        <f t="shared" si="57"/>
        <v>7.23</v>
      </c>
      <c r="AW31" s="254">
        <v>2.6680715904864961E-4</v>
      </c>
      <c r="AX31" s="33">
        <f t="shared" si="22"/>
        <v>86.62</v>
      </c>
      <c r="AY31" s="34">
        <f t="shared" si="23"/>
        <v>5.85</v>
      </c>
      <c r="AZ31" s="35">
        <f t="shared" si="58"/>
        <v>55.68</v>
      </c>
      <c r="BA31" s="257">
        <f t="shared" si="59"/>
        <v>7.06</v>
      </c>
      <c r="BB31" s="254">
        <v>2.6058410582371672E-4</v>
      </c>
      <c r="BC31" s="33">
        <f t="shared" si="24"/>
        <v>84.6</v>
      </c>
      <c r="BD31" s="34">
        <f t="shared" si="25"/>
        <v>5.71</v>
      </c>
      <c r="BE31" s="35">
        <f t="shared" si="60"/>
        <v>54.38</v>
      </c>
      <c r="BF31" s="257">
        <f t="shared" si="61"/>
        <v>6.89</v>
      </c>
      <c r="BG31" s="254">
        <v>2.6851554562737888E-4</v>
      </c>
      <c r="BH31" s="33">
        <f t="shared" si="26"/>
        <v>87.17</v>
      </c>
      <c r="BI31" s="34">
        <f t="shared" si="27"/>
        <v>5.88</v>
      </c>
      <c r="BJ31" s="35">
        <f t="shared" si="62"/>
        <v>56.03</v>
      </c>
      <c r="BK31" s="36">
        <f t="shared" si="63"/>
        <v>7.1</v>
      </c>
    </row>
    <row r="32" spans="1:63" ht="30" customHeight="1">
      <c r="A32" s="31">
        <v>1412000054</v>
      </c>
      <c r="B32" s="31" t="s">
        <v>35</v>
      </c>
      <c r="C32" s="32" t="s">
        <v>4</v>
      </c>
      <c r="D32" s="26">
        <v>4.168962250598413E-4</v>
      </c>
      <c r="E32" s="33">
        <f t="shared" si="0"/>
        <v>135.35</v>
      </c>
      <c r="F32" s="34">
        <f t="shared" si="1"/>
        <v>9.14</v>
      </c>
      <c r="G32" s="35">
        <f t="shared" si="2"/>
        <v>91.87</v>
      </c>
      <c r="H32" s="36">
        <f t="shared" si="3"/>
        <v>11.36</v>
      </c>
      <c r="I32" s="26">
        <v>4.4641848182141845E-4</v>
      </c>
      <c r="J32" s="33">
        <f t="shared" si="4"/>
        <v>144.93</v>
      </c>
      <c r="K32" s="34">
        <f t="shared" si="5"/>
        <v>9.7799999999999994</v>
      </c>
      <c r="L32" s="35">
        <f t="shared" si="6"/>
        <v>93.16</v>
      </c>
      <c r="M32" s="257">
        <f t="shared" si="28"/>
        <v>11.81</v>
      </c>
      <c r="N32" s="254">
        <v>4.5546887645306274E-4</v>
      </c>
      <c r="O32" s="33">
        <f t="shared" si="29"/>
        <v>147.87</v>
      </c>
      <c r="P32" s="34">
        <f t="shared" si="7"/>
        <v>9.98</v>
      </c>
      <c r="Q32" s="35">
        <f t="shared" si="44"/>
        <v>95.05</v>
      </c>
      <c r="R32" s="257">
        <f t="shared" si="45"/>
        <v>12.05</v>
      </c>
      <c r="S32" s="254">
        <v>4.3258918441380708E-4</v>
      </c>
      <c r="T32" s="33">
        <f t="shared" si="8"/>
        <v>140.44</v>
      </c>
      <c r="U32" s="34">
        <f t="shared" si="9"/>
        <v>9.48</v>
      </c>
      <c r="V32" s="35">
        <f t="shared" si="46"/>
        <v>90.27</v>
      </c>
      <c r="W32" s="257">
        <f t="shared" si="47"/>
        <v>11.45</v>
      </c>
      <c r="X32" s="254">
        <v>4.2676218583898853E-4</v>
      </c>
      <c r="Y32" s="33">
        <f t="shared" si="10"/>
        <v>138.55000000000001</v>
      </c>
      <c r="Z32" s="34">
        <f t="shared" si="11"/>
        <v>9.35</v>
      </c>
      <c r="AA32" s="35">
        <f t="shared" si="48"/>
        <v>89.06</v>
      </c>
      <c r="AB32" s="36">
        <f t="shared" si="49"/>
        <v>11.29</v>
      </c>
      <c r="AC32" s="26">
        <v>4.2887978154075118E-4</v>
      </c>
      <c r="AD32" s="33">
        <f t="shared" si="12"/>
        <v>139.24</v>
      </c>
      <c r="AE32" s="34">
        <f t="shared" si="13"/>
        <v>9.4</v>
      </c>
      <c r="AF32" s="35">
        <f t="shared" si="50"/>
        <v>89.5</v>
      </c>
      <c r="AG32" s="257">
        <f t="shared" si="51"/>
        <v>11.35</v>
      </c>
      <c r="AH32" s="254">
        <v>4.2448165826159659E-4</v>
      </c>
      <c r="AI32" s="33">
        <f t="shared" si="16"/>
        <v>137.81</v>
      </c>
      <c r="AJ32" s="34">
        <f t="shared" si="17"/>
        <v>9.3000000000000007</v>
      </c>
      <c r="AK32" s="35">
        <f t="shared" si="52"/>
        <v>88.58</v>
      </c>
      <c r="AL32" s="257">
        <f t="shared" si="53"/>
        <v>11.23</v>
      </c>
      <c r="AM32" s="254">
        <v>4.193995929835449E-4</v>
      </c>
      <c r="AN32" s="33">
        <f t="shared" si="18"/>
        <v>136.16</v>
      </c>
      <c r="AO32" s="34">
        <f t="shared" si="19"/>
        <v>9.19</v>
      </c>
      <c r="AP32" s="35">
        <f t="shared" si="54"/>
        <v>87.52</v>
      </c>
      <c r="AQ32" s="257">
        <f t="shared" si="55"/>
        <v>11.1</v>
      </c>
      <c r="AR32" s="254">
        <v>4.2205422812042933E-4</v>
      </c>
      <c r="AS32" s="33">
        <f t="shared" si="20"/>
        <v>137.02000000000001</v>
      </c>
      <c r="AT32" s="34">
        <f t="shared" si="21"/>
        <v>9.25</v>
      </c>
      <c r="AU32" s="35">
        <f t="shared" si="56"/>
        <v>88.07</v>
      </c>
      <c r="AV32" s="36">
        <f t="shared" si="57"/>
        <v>11.17</v>
      </c>
      <c r="AW32" s="254">
        <v>4.1233833671154943E-4</v>
      </c>
      <c r="AX32" s="33">
        <f t="shared" si="22"/>
        <v>133.87</v>
      </c>
      <c r="AY32" s="34">
        <f t="shared" si="23"/>
        <v>9.0399999999999991</v>
      </c>
      <c r="AZ32" s="35">
        <f t="shared" si="58"/>
        <v>86.05</v>
      </c>
      <c r="BA32" s="257">
        <f t="shared" si="59"/>
        <v>10.91</v>
      </c>
      <c r="BB32" s="254">
        <v>4.0272089081847125E-4</v>
      </c>
      <c r="BC32" s="33">
        <f t="shared" si="24"/>
        <v>130.74</v>
      </c>
      <c r="BD32" s="34">
        <f t="shared" si="25"/>
        <v>8.82</v>
      </c>
      <c r="BE32" s="35">
        <f t="shared" si="60"/>
        <v>84.04</v>
      </c>
      <c r="BF32" s="257">
        <f t="shared" si="61"/>
        <v>10.66</v>
      </c>
      <c r="BG32" s="254">
        <v>4.1497857051504009E-4</v>
      </c>
      <c r="BH32" s="33">
        <f t="shared" si="26"/>
        <v>134.72</v>
      </c>
      <c r="BI32" s="34">
        <f t="shared" si="27"/>
        <v>9.09</v>
      </c>
      <c r="BJ32" s="35">
        <f t="shared" si="62"/>
        <v>86.6</v>
      </c>
      <c r="BK32" s="36">
        <f t="shared" si="63"/>
        <v>10.98</v>
      </c>
    </row>
    <row r="33" spans="1:63" ht="30" customHeight="1">
      <c r="A33" s="31">
        <v>1412000010</v>
      </c>
      <c r="B33" s="31" t="s">
        <v>36</v>
      </c>
      <c r="C33" s="32" t="s">
        <v>37</v>
      </c>
      <c r="D33" s="26">
        <v>1.5633608439744048E-4</v>
      </c>
      <c r="E33" s="33">
        <f t="shared" si="0"/>
        <v>50.75</v>
      </c>
      <c r="F33" s="34">
        <f t="shared" si="1"/>
        <v>3.43</v>
      </c>
      <c r="G33" s="35">
        <f t="shared" si="2"/>
        <v>34.450000000000003</v>
      </c>
      <c r="H33" s="36">
        <f t="shared" si="3"/>
        <v>4.26</v>
      </c>
      <c r="I33" s="26">
        <v>1.5755946417226534E-4</v>
      </c>
      <c r="J33" s="33">
        <f t="shared" si="4"/>
        <v>51.15</v>
      </c>
      <c r="K33" s="34">
        <f t="shared" si="5"/>
        <v>3.45</v>
      </c>
      <c r="L33" s="35">
        <f t="shared" si="6"/>
        <v>32.880000000000003</v>
      </c>
      <c r="M33" s="257">
        <f t="shared" si="28"/>
        <v>4.17</v>
      </c>
      <c r="N33" s="254">
        <v>1.6075372110108097E-4</v>
      </c>
      <c r="O33" s="33">
        <f t="shared" si="29"/>
        <v>52.19</v>
      </c>
      <c r="P33" s="34">
        <f t="shared" si="7"/>
        <v>3.52</v>
      </c>
      <c r="Q33" s="35">
        <f t="shared" si="44"/>
        <v>33.549999999999997</v>
      </c>
      <c r="R33" s="257">
        <f t="shared" si="45"/>
        <v>4.25</v>
      </c>
      <c r="S33" s="254">
        <v>1.5267853567546135E-4</v>
      </c>
      <c r="T33" s="33">
        <f t="shared" si="8"/>
        <v>49.57</v>
      </c>
      <c r="U33" s="34">
        <f t="shared" si="9"/>
        <v>3.35</v>
      </c>
      <c r="V33" s="35">
        <f t="shared" si="46"/>
        <v>31.86</v>
      </c>
      <c r="W33" s="257">
        <f t="shared" si="47"/>
        <v>4.04</v>
      </c>
      <c r="X33" s="254">
        <v>1.5062194794317242E-4</v>
      </c>
      <c r="Y33" s="33">
        <f t="shared" si="10"/>
        <v>48.9</v>
      </c>
      <c r="Z33" s="34">
        <f t="shared" si="11"/>
        <v>3.3</v>
      </c>
      <c r="AA33" s="35">
        <f t="shared" si="48"/>
        <v>31.43</v>
      </c>
      <c r="AB33" s="36">
        <f t="shared" si="49"/>
        <v>3.99</v>
      </c>
      <c r="AC33" s="26">
        <v>1.5136933466144162E-4</v>
      </c>
      <c r="AD33" s="33">
        <f t="shared" si="12"/>
        <v>49.14</v>
      </c>
      <c r="AE33" s="34">
        <f t="shared" si="13"/>
        <v>3.32</v>
      </c>
      <c r="AF33" s="35">
        <f t="shared" si="50"/>
        <v>31.59</v>
      </c>
      <c r="AG33" s="257">
        <f t="shared" si="51"/>
        <v>4</v>
      </c>
      <c r="AH33" s="254">
        <v>1.4981705585703409E-4</v>
      </c>
      <c r="AI33" s="33">
        <f t="shared" si="16"/>
        <v>48.64</v>
      </c>
      <c r="AJ33" s="34">
        <f t="shared" si="17"/>
        <v>3.28</v>
      </c>
      <c r="AK33" s="35">
        <f t="shared" si="52"/>
        <v>31.26</v>
      </c>
      <c r="AL33" s="257">
        <f t="shared" si="53"/>
        <v>3.96</v>
      </c>
      <c r="AM33" s="254">
        <v>1.4802338575889822E-4</v>
      </c>
      <c r="AN33" s="33">
        <f t="shared" si="18"/>
        <v>48.06</v>
      </c>
      <c r="AO33" s="34">
        <f t="shared" si="19"/>
        <v>3.24</v>
      </c>
      <c r="AP33" s="35">
        <f t="shared" si="54"/>
        <v>30.89</v>
      </c>
      <c r="AQ33" s="257">
        <f t="shared" si="55"/>
        <v>3.92</v>
      </c>
      <c r="AR33" s="254">
        <v>1.4896031580721036E-4</v>
      </c>
      <c r="AS33" s="33">
        <f t="shared" si="20"/>
        <v>48.36</v>
      </c>
      <c r="AT33" s="34">
        <f t="shared" si="21"/>
        <v>3.26</v>
      </c>
      <c r="AU33" s="35">
        <f t="shared" si="56"/>
        <v>31.08</v>
      </c>
      <c r="AV33" s="36">
        <f t="shared" si="57"/>
        <v>3.94</v>
      </c>
      <c r="AW33" s="254">
        <v>1.4553117766289979E-4</v>
      </c>
      <c r="AX33" s="33">
        <f t="shared" si="22"/>
        <v>47.25</v>
      </c>
      <c r="AY33" s="34">
        <f t="shared" si="23"/>
        <v>3.19</v>
      </c>
      <c r="AZ33" s="35">
        <f t="shared" si="58"/>
        <v>30.37</v>
      </c>
      <c r="BA33" s="257">
        <f t="shared" si="59"/>
        <v>3.85</v>
      </c>
      <c r="BB33" s="254">
        <v>1.4213678499475457E-4</v>
      </c>
      <c r="BC33" s="33">
        <f t="shared" si="24"/>
        <v>46.14</v>
      </c>
      <c r="BD33" s="34">
        <f t="shared" si="25"/>
        <v>3.11</v>
      </c>
      <c r="BE33" s="35">
        <f t="shared" si="60"/>
        <v>29.66</v>
      </c>
      <c r="BF33" s="257">
        <f t="shared" si="61"/>
        <v>3.76</v>
      </c>
      <c r="BG33" s="254">
        <v>1.4646302488766124E-4</v>
      </c>
      <c r="BH33" s="33">
        <f t="shared" si="26"/>
        <v>47.55</v>
      </c>
      <c r="BI33" s="34">
        <f t="shared" si="27"/>
        <v>3.21</v>
      </c>
      <c r="BJ33" s="35">
        <f t="shared" si="62"/>
        <v>30.56</v>
      </c>
      <c r="BK33" s="36">
        <f t="shared" si="63"/>
        <v>3.88</v>
      </c>
    </row>
    <row r="34" spans="1:63" s="40" customFormat="1" ht="30" customHeight="1">
      <c r="A34" s="65">
        <v>1412000094</v>
      </c>
      <c r="B34" s="70" t="s">
        <v>129</v>
      </c>
      <c r="C34" s="66" t="s">
        <v>155</v>
      </c>
      <c r="D34" s="67">
        <v>7.8168042198720241E-5</v>
      </c>
      <c r="E34" s="68">
        <f t="shared" si="0"/>
        <v>25.38</v>
      </c>
      <c r="F34" s="69">
        <f t="shared" si="1"/>
        <v>1.71</v>
      </c>
      <c r="G34" s="68">
        <f t="shared" si="2"/>
        <v>17.23</v>
      </c>
      <c r="H34" s="69">
        <f t="shared" si="3"/>
        <v>2.13</v>
      </c>
      <c r="I34" s="67">
        <v>7.8779732086132668E-5</v>
      </c>
      <c r="J34" s="68">
        <f t="shared" si="4"/>
        <v>25.58</v>
      </c>
      <c r="K34" s="69">
        <f t="shared" si="5"/>
        <v>1.73</v>
      </c>
      <c r="L34" s="68">
        <f t="shared" si="6"/>
        <v>16.440000000000001</v>
      </c>
      <c r="M34" s="258">
        <f t="shared" si="28"/>
        <v>2.08</v>
      </c>
      <c r="N34" s="255">
        <v>8.0376860550540486E-5</v>
      </c>
      <c r="O34" s="68">
        <f t="shared" si="29"/>
        <v>26.09</v>
      </c>
      <c r="P34" s="69">
        <f t="shared" si="7"/>
        <v>1.76</v>
      </c>
      <c r="Q34" s="68">
        <f t="shared" si="44"/>
        <v>16.77</v>
      </c>
      <c r="R34" s="258">
        <f t="shared" si="45"/>
        <v>2.13</v>
      </c>
      <c r="S34" s="255">
        <v>7.6339267837730675E-5</v>
      </c>
      <c r="T34" s="68">
        <f t="shared" si="8"/>
        <v>24.78</v>
      </c>
      <c r="U34" s="69">
        <f t="shared" si="9"/>
        <v>1.67</v>
      </c>
      <c r="V34" s="68">
        <f t="shared" si="46"/>
        <v>15.93</v>
      </c>
      <c r="W34" s="258">
        <f t="shared" si="47"/>
        <v>2.02</v>
      </c>
      <c r="X34" s="255">
        <v>7.5310973971586212E-5</v>
      </c>
      <c r="Y34" s="68">
        <f t="shared" si="10"/>
        <v>24.45</v>
      </c>
      <c r="Z34" s="69">
        <f t="shared" si="11"/>
        <v>1.65</v>
      </c>
      <c r="AA34" s="68">
        <f t="shared" si="48"/>
        <v>15.72</v>
      </c>
      <c r="AB34" s="69">
        <f t="shared" si="49"/>
        <v>1.99</v>
      </c>
      <c r="AC34" s="67">
        <v>7.5684667330720809E-5</v>
      </c>
      <c r="AD34" s="68">
        <f t="shared" si="12"/>
        <v>24.57</v>
      </c>
      <c r="AE34" s="69">
        <f t="shared" si="13"/>
        <v>1.66</v>
      </c>
      <c r="AF34" s="68">
        <f t="shared" si="50"/>
        <v>15.79</v>
      </c>
      <c r="AG34" s="258">
        <f t="shared" si="51"/>
        <v>2</v>
      </c>
      <c r="AH34" s="255">
        <v>7.4908527928517046E-5</v>
      </c>
      <c r="AI34" s="68">
        <f t="shared" si="16"/>
        <v>24.32</v>
      </c>
      <c r="AJ34" s="69">
        <f t="shared" si="17"/>
        <v>1.64</v>
      </c>
      <c r="AK34" s="68">
        <f t="shared" si="52"/>
        <v>15.63</v>
      </c>
      <c r="AL34" s="258">
        <f t="shared" si="53"/>
        <v>1.98</v>
      </c>
      <c r="AM34" s="255">
        <v>7.4011692879449108E-5</v>
      </c>
      <c r="AN34" s="68">
        <f t="shared" si="18"/>
        <v>24.03</v>
      </c>
      <c r="AO34" s="69">
        <f t="shared" si="19"/>
        <v>1.62</v>
      </c>
      <c r="AP34" s="68">
        <f t="shared" si="54"/>
        <v>15.44</v>
      </c>
      <c r="AQ34" s="258">
        <f t="shared" si="55"/>
        <v>1.96</v>
      </c>
      <c r="AR34" s="255">
        <v>7.4480157903605181E-5</v>
      </c>
      <c r="AS34" s="68">
        <f t="shared" si="20"/>
        <v>24.18</v>
      </c>
      <c r="AT34" s="69">
        <f t="shared" si="21"/>
        <v>1.63</v>
      </c>
      <c r="AU34" s="68">
        <f t="shared" si="56"/>
        <v>15.54</v>
      </c>
      <c r="AV34" s="69">
        <f t="shared" si="57"/>
        <v>1.97</v>
      </c>
      <c r="AW34" s="255">
        <v>7.2765588831449893E-5</v>
      </c>
      <c r="AX34" s="68">
        <f t="shared" si="22"/>
        <v>23.62</v>
      </c>
      <c r="AY34" s="69">
        <f t="shared" si="23"/>
        <v>1.59</v>
      </c>
      <c r="AZ34" s="68">
        <f t="shared" si="58"/>
        <v>15.18</v>
      </c>
      <c r="BA34" s="258">
        <f t="shared" si="59"/>
        <v>1.93</v>
      </c>
      <c r="BB34" s="255">
        <v>7.1068392497377283E-5</v>
      </c>
      <c r="BC34" s="68">
        <f t="shared" si="24"/>
        <v>23.07</v>
      </c>
      <c r="BD34" s="69">
        <f t="shared" si="25"/>
        <v>1.56</v>
      </c>
      <c r="BE34" s="68">
        <f t="shared" si="60"/>
        <v>14.83</v>
      </c>
      <c r="BF34" s="258">
        <f t="shared" si="61"/>
        <v>1.88</v>
      </c>
      <c r="BG34" s="255">
        <v>7.3231512443830619E-5</v>
      </c>
      <c r="BH34" s="68">
        <f t="shared" si="26"/>
        <v>23.77</v>
      </c>
      <c r="BI34" s="69">
        <f t="shared" si="27"/>
        <v>1.6</v>
      </c>
      <c r="BJ34" s="68">
        <f t="shared" si="62"/>
        <v>15.28</v>
      </c>
      <c r="BK34" s="69">
        <f t="shared" si="63"/>
        <v>1.94</v>
      </c>
    </row>
    <row r="35" spans="1:63" ht="30" customHeight="1">
      <c r="A35" s="31">
        <v>1412000013</v>
      </c>
      <c r="B35" s="44" t="s">
        <v>118</v>
      </c>
      <c r="C35" s="32" t="s">
        <v>120</v>
      </c>
      <c r="D35" s="26">
        <v>4.1410123537641902E-3</v>
      </c>
      <c r="E35" s="33">
        <f t="shared" si="0"/>
        <v>1344.38</v>
      </c>
      <c r="F35" s="34">
        <f t="shared" si="1"/>
        <v>90.74</v>
      </c>
      <c r="G35" s="35">
        <f t="shared" si="2"/>
        <v>912.54</v>
      </c>
      <c r="H35" s="36">
        <f t="shared" si="3"/>
        <v>112.83</v>
      </c>
      <c r="I35" s="26">
        <v>4.1222476815147195E-3</v>
      </c>
      <c r="J35" s="33">
        <f t="shared" si="4"/>
        <v>1338.29</v>
      </c>
      <c r="K35" s="34">
        <f t="shared" si="5"/>
        <v>90.33</v>
      </c>
      <c r="L35" s="35">
        <f t="shared" si="6"/>
        <v>860.23</v>
      </c>
      <c r="M35" s="257">
        <f t="shared" si="28"/>
        <v>109.07</v>
      </c>
      <c r="N35" s="254">
        <v>4.1268976240170568E-3</v>
      </c>
      <c r="O35" s="33">
        <f t="shared" si="29"/>
        <v>1339.8</v>
      </c>
      <c r="P35" s="34">
        <f t="shared" si="7"/>
        <v>90.43</v>
      </c>
      <c r="Q35" s="35">
        <f t="shared" si="44"/>
        <v>861.2</v>
      </c>
      <c r="R35" s="257">
        <f t="shared" si="45"/>
        <v>109.19</v>
      </c>
      <c r="S35" s="254">
        <v>4.0319410536999983E-3</v>
      </c>
      <c r="T35" s="33">
        <f t="shared" si="8"/>
        <v>1308.97</v>
      </c>
      <c r="U35" s="34">
        <f t="shared" si="9"/>
        <v>88.35</v>
      </c>
      <c r="V35" s="35">
        <f t="shared" si="46"/>
        <v>841.38</v>
      </c>
      <c r="W35" s="257">
        <f t="shared" si="47"/>
        <v>106.68</v>
      </c>
      <c r="X35" s="254">
        <v>3.9909475395219565E-3</v>
      </c>
      <c r="Y35" s="33">
        <f t="shared" si="10"/>
        <v>1295.6600000000001</v>
      </c>
      <c r="Z35" s="34">
        <f t="shared" si="11"/>
        <v>87.45</v>
      </c>
      <c r="AA35" s="35">
        <f t="shared" si="48"/>
        <v>832.83</v>
      </c>
      <c r="AB35" s="36">
        <f t="shared" si="49"/>
        <v>105.59</v>
      </c>
      <c r="AC35" s="26">
        <v>3.8788466694142467E-3</v>
      </c>
      <c r="AD35" s="33">
        <f t="shared" si="12"/>
        <v>1259.27</v>
      </c>
      <c r="AE35" s="34">
        <f t="shared" si="13"/>
        <v>85</v>
      </c>
      <c r="AF35" s="35">
        <f t="shared" si="50"/>
        <v>809.43</v>
      </c>
      <c r="AG35" s="257">
        <f t="shared" si="51"/>
        <v>102.63</v>
      </c>
      <c r="AH35" s="254">
        <v>3.7732680598041649E-3</v>
      </c>
      <c r="AI35" s="33">
        <f t="shared" si="16"/>
        <v>1224.99</v>
      </c>
      <c r="AJ35" s="34">
        <f t="shared" si="17"/>
        <v>82.68</v>
      </c>
      <c r="AK35" s="35">
        <f t="shared" si="52"/>
        <v>787.4</v>
      </c>
      <c r="AL35" s="257">
        <f t="shared" si="53"/>
        <v>99.83</v>
      </c>
      <c r="AM35" s="254">
        <v>3.7711381996414959E-3</v>
      </c>
      <c r="AN35" s="33">
        <f t="shared" si="18"/>
        <v>1224.3</v>
      </c>
      <c r="AO35" s="34">
        <f t="shared" si="19"/>
        <v>82.64</v>
      </c>
      <c r="AP35" s="35">
        <f t="shared" si="54"/>
        <v>786.96</v>
      </c>
      <c r="AQ35" s="257">
        <f t="shared" si="55"/>
        <v>99.78</v>
      </c>
      <c r="AR35" s="254">
        <v>3.7740881553390507E-3</v>
      </c>
      <c r="AS35" s="33">
        <f t="shared" si="20"/>
        <v>1225.26</v>
      </c>
      <c r="AT35" s="34">
        <f t="shared" si="21"/>
        <v>82.7</v>
      </c>
      <c r="AU35" s="35">
        <f t="shared" si="56"/>
        <v>787.57</v>
      </c>
      <c r="AV35" s="36">
        <f t="shared" si="57"/>
        <v>99.86</v>
      </c>
      <c r="AW35" s="254">
        <v>3.7543617106468199E-3</v>
      </c>
      <c r="AX35" s="33">
        <f t="shared" si="22"/>
        <v>1218.8499999999999</v>
      </c>
      <c r="AY35" s="34">
        <f t="shared" si="23"/>
        <v>82.27</v>
      </c>
      <c r="AZ35" s="35">
        <f t="shared" si="58"/>
        <v>783.46</v>
      </c>
      <c r="BA35" s="257">
        <f t="shared" si="59"/>
        <v>99.33</v>
      </c>
      <c r="BB35" s="254">
        <v>3.6906376249404632E-3</v>
      </c>
      <c r="BC35" s="33">
        <f t="shared" si="24"/>
        <v>1198.1600000000001</v>
      </c>
      <c r="BD35" s="34">
        <f t="shared" si="25"/>
        <v>80.87</v>
      </c>
      <c r="BE35" s="35">
        <f t="shared" si="60"/>
        <v>770.16</v>
      </c>
      <c r="BF35" s="257">
        <f t="shared" si="61"/>
        <v>97.65</v>
      </c>
      <c r="BG35" s="254">
        <v>3.7410361516759518E-3</v>
      </c>
      <c r="BH35" s="33">
        <f t="shared" si="26"/>
        <v>1214.53</v>
      </c>
      <c r="BI35" s="34">
        <f t="shared" si="27"/>
        <v>81.98</v>
      </c>
      <c r="BJ35" s="35">
        <f t="shared" si="62"/>
        <v>780.68</v>
      </c>
      <c r="BK35" s="36">
        <f t="shared" si="63"/>
        <v>98.98</v>
      </c>
    </row>
    <row r="36" spans="1:63" ht="30" customHeight="1">
      <c r="A36" s="31">
        <v>1412000092</v>
      </c>
      <c r="B36" s="24" t="s">
        <v>119</v>
      </c>
      <c r="C36" s="32" t="s">
        <v>121</v>
      </c>
      <c r="D36" s="26">
        <v>3.1309146473576968E-3</v>
      </c>
      <c r="E36" s="33">
        <f t="shared" si="0"/>
        <v>1016.45</v>
      </c>
      <c r="F36" s="34">
        <f t="shared" si="1"/>
        <v>68.61</v>
      </c>
      <c r="G36" s="35">
        <f t="shared" si="2"/>
        <v>689.95</v>
      </c>
      <c r="H36" s="36">
        <f t="shared" si="3"/>
        <v>85.31</v>
      </c>
      <c r="I36" s="26">
        <v>3.1227953180189842E-3</v>
      </c>
      <c r="J36" s="33">
        <f t="shared" si="4"/>
        <v>1013.81</v>
      </c>
      <c r="K36" s="34">
        <f t="shared" si="5"/>
        <v>68.430000000000007</v>
      </c>
      <c r="L36" s="35">
        <f t="shared" si="6"/>
        <v>651.66</v>
      </c>
      <c r="M36" s="257">
        <f t="shared" si="28"/>
        <v>82.62</v>
      </c>
      <c r="N36" s="254">
        <v>3.1497145472705202E-3</v>
      </c>
      <c r="O36" s="33">
        <f t="shared" si="29"/>
        <v>1022.55</v>
      </c>
      <c r="P36" s="34">
        <f t="shared" si="7"/>
        <v>69.02</v>
      </c>
      <c r="Q36" s="35">
        <f t="shared" si="44"/>
        <v>657.28</v>
      </c>
      <c r="R36" s="257">
        <f t="shared" si="45"/>
        <v>83.34</v>
      </c>
      <c r="S36" s="254">
        <v>3.1068014818387731E-3</v>
      </c>
      <c r="T36" s="33">
        <f t="shared" si="8"/>
        <v>1008.62</v>
      </c>
      <c r="U36" s="34">
        <f t="shared" si="9"/>
        <v>68.08</v>
      </c>
      <c r="V36" s="35">
        <f t="shared" si="46"/>
        <v>648.32000000000005</v>
      </c>
      <c r="W36" s="257">
        <f t="shared" si="47"/>
        <v>82.2</v>
      </c>
      <c r="X36" s="254">
        <v>3.088275566777543E-3</v>
      </c>
      <c r="Y36" s="33">
        <f t="shared" si="10"/>
        <v>1002.61</v>
      </c>
      <c r="Z36" s="34">
        <f t="shared" si="11"/>
        <v>67.67</v>
      </c>
      <c r="AA36" s="35">
        <f t="shared" si="48"/>
        <v>644.46</v>
      </c>
      <c r="AB36" s="36">
        <f t="shared" si="49"/>
        <v>81.709999999999994</v>
      </c>
      <c r="AC36" s="26">
        <v>3.0376145966327121E-3</v>
      </c>
      <c r="AD36" s="33">
        <f t="shared" si="12"/>
        <v>986.16</v>
      </c>
      <c r="AE36" s="34">
        <f t="shared" si="13"/>
        <v>66.56</v>
      </c>
      <c r="AF36" s="35">
        <f t="shared" si="50"/>
        <v>633.89</v>
      </c>
      <c r="AG36" s="257">
        <f t="shared" si="51"/>
        <v>80.37</v>
      </c>
      <c r="AH36" s="254">
        <v>2.9899011865204637E-3</v>
      </c>
      <c r="AI36" s="33">
        <f t="shared" si="16"/>
        <v>970.67</v>
      </c>
      <c r="AJ36" s="34">
        <f t="shared" si="17"/>
        <v>65.52</v>
      </c>
      <c r="AK36" s="35">
        <f t="shared" si="52"/>
        <v>623.92999999999995</v>
      </c>
      <c r="AL36" s="257">
        <f t="shared" si="53"/>
        <v>79.11</v>
      </c>
      <c r="AM36" s="254">
        <v>2.988938653562334E-3</v>
      </c>
      <c r="AN36" s="33">
        <f t="shared" si="18"/>
        <v>970.36</v>
      </c>
      <c r="AO36" s="34">
        <f t="shared" si="19"/>
        <v>65.5</v>
      </c>
      <c r="AP36" s="35">
        <f t="shared" si="54"/>
        <v>623.73</v>
      </c>
      <c r="AQ36" s="257">
        <f t="shared" si="55"/>
        <v>79.08</v>
      </c>
      <c r="AR36" s="254">
        <v>2.99027180661796E-3</v>
      </c>
      <c r="AS36" s="33">
        <f t="shared" si="20"/>
        <v>970.79</v>
      </c>
      <c r="AT36" s="34">
        <f t="shared" si="21"/>
        <v>65.52</v>
      </c>
      <c r="AU36" s="35">
        <f t="shared" si="56"/>
        <v>624.01</v>
      </c>
      <c r="AV36" s="36">
        <f t="shared" si="57"/>
        <v>79.12</v>
      </c>
      <c r="AW36" s="254">
        <v>2.9813569710358942E-3</v>
      </c>
      <c r="AX36" s="33">
        <f t="shared" si="22"/>
        <v>967.9</v>
      </c>
      <c r="AY36" s="34">
        <f t="shared" si="23"/>
        <v>65.33</v>
      </c>
      <c r="AZ36" s="35">
        <f t="shared" si="58"/>
        <v>622.15</v>
      </c>
      <c r="BA36" s="257">
        <f t="shared" si="59"/>
        <v>78.88</v>
      </c>
      <c r="BB36" s="254">
        <v>2.9525585861493674E-3</v>
      </c>
      <c r="BC36" s="33">
        <f t="shared" si="24"/>
        <v>958.55</v>
      </c>
      <c r="BD36" s="34">
        <f t="shared" si="25"/>
        <v>64.7</v>
      </c>
      <c r="BE36" s="35">
        <f t="shared" si="60"/>
        <v>616.14</v>
      </c>
      <c r="BF36" s="257">
        <f t="shared" si="61"/>
        <v>78.12</v>
      </c>
      <c r="BG36" s="254">
        <v>2.9753348434240602E-3</v>
      </c>
      <c r="BH36" s="33">
        <f t="shared" si="26"/>
        <v>965.94</v>
      </c>
      <c r="BI36" s="34">
        <f t="shared" si="27"/>
        <v>65.2</v>
      </c>
      <c r="BJ36" s="35">
        <f t="shared" si="62"/>
        <v>620.89</v>
      </c>
      <c r="BK36" s="36">
        <f t="shared" si="63"/>
        <v>78.72</v>
      </c>
    </row>
    <row r="37" spans="1:63" ht="30" customHeight="1">
      <c r="A37" s="31">
        <v>1412000035</v>
      </c>
      <c r="B37" s="31" t="s">
        <v>68</v>
      </c>
      <c r="C37" s="32" t="s">
        <v>69</v>
      </c>
      <c r="D37" s="26">
        <v>1.5539491385009603E-3</v>
      </c>
      <c r="E37" s="33">
        <f t="shared" si="0"/>
        <v>504.49</v>
      </c>
      <c r="F37" s="34">
        <f t="shared" si="1"/>
        <v>34.049999999999997</v>
      </c>
      <c r="G37" s="35">
        <f t="shared" si="2"/>
        <v>342.44</v>
      </c>
      <c r="H37" s="36">
        <f t="shared" si="3"/>
        <v>42.34</v>
      </c>
      <c r="I37" s="26">
        <v>1.5835366077504827E-3</v>
      </c>
      <c r="J37" s="33">
        <f t="shared" si="4"/>
        <v>514.09</v>
      </c>
      <c r="K37" s="34">
        <f t="shared" si="5"/>
        <v>34.700000000000003</v>
      </c>
      <c r="L37" s="35">
        <f t="shared" si="6"/>
        <v>330.45</v>
      </c>
      <c r="M37" s="257">
        <f t="shared" si="28"/>
        <v>41.9</v>
      </c>
      <c r="N37" s="254">
        <v>1.6223414039899895E-3</v>
      </c>
      <c r="O37" s="33">
        <f t="shared" si="29"/>
        <v>526.69000000000005</v>
      </c>
      <c r="P37" s="34">
        <f t="shared" si="7"/>
        <v>35.549999999999997</v>
      </c>
      <c r="Q37" s="35">
        <f t="shared" si="44"/>
        <v>338.55</v>
      </c>
      <c r="R37" s="257">
        <f t="shared" si="45"/>
        <v>42.92</v>
      </c>
      <c r="S37" s="254">
        <v>1.584508483001783E-3</v>
      </c>
      <c r="T37" s="33">
        <f t="shared" si="8"/>
        <v>514.41</v>
      </c>
      <c r="U37" s="34">
        <f t="shared" si="9"/>
        <v>34.72</v>
      </c>
      <c r="V37" s="35">
        <f t="shared" si="46"/>
        <v>330.65</v>
      </c>
      <c r="W37" s="257">
        <f t="shared" si="47"/>
        <v>41.92</v>
      </c>
      <c r="X37" s="254">
        <v>1.5721689566080496E-3</v>
      </c>
      <c r="Y37" s="33">
        <f t="shared" si="10"/>
        <v>510.4</v>
      </c>
      <c r="Z37" s="34">
        <f t="shared" si="11"/>
        <v>34.450000000000003</v>
      </c>
      <c r="AA37" s="35">
        <f t="shared" si="48"/>
        <v>328.08</v>
      </c>
      <c r="AB37" s="36">
        <f t="shared" si="49"/>
        <v>41.6</v>
      </c>
      <c r="AC37" s="26">
        <v>1.5857074040765686E-3</v>
      </c>
      <c r="AD37" s="33">
        <f t="shared" si="12"/>
        <v>514.79999999999995</v>
      </c>
      <c r="AE37" s="34">
        <f t="shared" si="13"/>
        <v>34.75</v>
      </c>
      <c r="AF37" s="35">
        <f t="shared" si="50"/>
        <v>330.9</v>
      </c>
      <c r="AG37" s="257">
        <f t="shared" si="51"/>
        <v>41.96</v>
      </c>
      <c r="AH37" s="254">
        <v>1.5886780883653886E-3</v>
      </c>
      <c r="AI37" s="33">
        <f t="shared" si="16"/>
        <v>515.76</v>
      </c>
      <c r="AJ37" s="34">
        <f t="shared" si="17"/>
        <v>34.81</v>
      </c>
      <c r="AK37" s="35">
        <f t="shared" si="52"/>
        <v>331.52</v>
      </c>
      <c r="AL37" s="257">
        <f t="shared" si="53"/>
        <v>42.03</v>
      </c>
      <c r="AM37" s="254">
        <v>1.5773181777438614E-3</v>
      </c>
      <c r="AN37" s="33">
        <f t="shared" si="18"/>
        <v>512.08000000000004</v>
      </c>
      <c r="AO37" s="34">
        <f t="shared" si="19"/>
        <v>34.56</v>
      </c>
      <c r="AP37" s="35">
        <f t="shared" si="54"/>
        <v>329.15</v>
      </c>
      <c r="AQ37" s="257">
        <f t="shared" si="55"/>
        <v>41.73</v>
      </c>
      <c r="AR37" s="254">
        <v>1.5832520680498384E-3</v>
      </c>
      <c r="AS37" s="33">
        <f t="shared" si="20"/>
        <v>514</v>
      </c>
      <c r="AT37" s="34">
        <f t="shared" si="21"/>
        <v>34.69</v>
      </c>
      <c r="AU37" s="35">
        <f t="shared" si="56"/>
        <v>330.39</v>
      </c>
      <c r="AV37" s="36">
        <f t="shared" si="57"/>
        <v>41.89</v>
      </c>
      <c r="AW37" s="254">
        <v>1.5615341931358715E-3</v>
      </c>
      <c r="AX37" s="33">
        <f t="shared" si="22"/>
        <v>506.95</v>
      </c>
      <c r="AY37" s="34">
        <f t="shared" si="23"/>
        <v>34.22</v>
      </c>
      <c r="AZ37" s="35">
        <f t="shared" si="58"/>
        <v>325.86</v>
      </c>
      <c r="BA37" s="257">
        <f t="shared" si="59"/>
        <v>41.32</v>
      </c>
      <c r="BB37" s="254">
        <v>1.5400363729042848E-3</v>
      </c>
      <c r="BC37" s="33">
        <f t="shared" si="24"/>
        <v>499.97</v>
      </c>
      <c r="BD37" s="34">
        <f t="shared" si="25"/>
        <v>33.75</v>
      </c>
      <c r="BE37" s="35">
        <f t="shared" si="60"/>
        <v>321.37</v>
      </c>
      <c r="BF37" s="257">
        <f t="shared" si="61"/>
        <v>40.75</v>
      </c>
      <c r="BG37" s="254">
        <v>1.5674358922260273E-3</v>
      </c>
      <c r="BH37" s="33">
        <f t="shared" si="26"/>
        <v>508.87</v>
      </c>
      <c r="BI37" s="34">
        <f t="shared" si="27"/>
        <v>34.35</v>
      </c>
      <c r="BJ37" s="35">
        <f t="shared" si="62"/>
        <v>327.08999999999997</v>
      </c>
      <c r="BK37" s="36">
        <f t="shared" si="63"/>
        <v>41.47</v>
      </c>
    </row>
    <row r="38" spans="1:63" ht="30" customHeight="1">
      <c r="A38" s="32">
        <v>1412000080</v>
      </c>
      <c r="B38" s="45" t="s">
        <v>130</v>
      </c>
      <c r="C38" s="32" t="s">
        <v>122</v>
      </c>
      <c r="D38" s="26">
        <v>2.2498780980608079E-4</v>
      </c>
      <c r="E38" s="33">
        <f t="shared" si="0"/>
        <v>73.040000000000006</v>
      </c>
      <c r="F38" s="34">
        <f t="shared" si="1"/>
        <v>4.93</v>
      </c>
      <c r="G38" s="35">
        <f t="shared" si="2"/>
        <v>49.58</v>
      </c>
      <c r="H38" s="36">
        <f t="shared" si="3"/>
        <v>6.13</v>
      </c>
      <c r="I38" s="26">
        <v>2.3197375444628819E-4</v>
      </c>
      <c r="J38" s="33">
        <f t="shared" si="4"/>
        <v>75.31</v>
      </c>
      <c r="K38" s="34">
        <f t="shared" si="5"/>
        <v>5.08</v>
      </c>
      <c r="L38" s="35">
        <f t="shared" si="6"/>
        <v>48.41</v>
      </c>
      <c r="M38" s="257">
        <f t="shared" si="28"/>
        <v>6.14</v>
      </c>
      <c r="N38" s="254">
        <v>2.4421840600674833E-4</v>
      </c>
      <c r="O38" s="33">
        <f t="shared" si="29"/>
        <v>79.290000000000006</v>
      </c>
      <c r="P38" s="34">
        <f t="shared" si="7"/>
        <v>5.35</v>
      </c>
      <c r="Q38" s="35">
        <f t="shared" si="44"/>
        <v>50.96</v>
      </c>
      <c r="R38" s="257">
        <f t="shared" si="45"/>
        <v>6.46</v>
      </c>
      <c r="S38" s="254">
        <v>2.1326352854187297E-4</v>
      </c>
      <c r="T38" s="33">
        <f t="shared" si="8"/>
        <v>69.239999999999995</v>
      </c>
      <c r="U38" s="34">
        <f t="shared" si="9"/>
        <v>4.67</v>
      </c>
      <c r="V38" s="35">
        <f t="shared" si="46"/>
        <v>44.5</v>
      </c>
      <c r="W38" s="257">
        <f t="shared" si="47"/>
        <v>5.64</v>
      </c>
      <c r="X38" s="254">
        <v>2.2323906764648427E-4</v>
      </c>
      <c r="Y38" s="33">
        <f t="shared" si="10"/>
        <v>72.47</v>
      </c>
      <c r="Z38" s="34">
        <f t="shared" si="11"/>
        <v>4.8899999999999997</v>
      </c>
      <c r="AA38" s="35">
        <f t="shared" si="48"/>
        <v>46.59</v>
      </c>
      <c r="AB38" s="36">
        <f t="shared" si="49"/>
        <v>5.91</v>
      </c>
      <c r="AC38" s="26">
        <v>2.2635317897260588E-4</v>
      </c>
      <c r="AD38" s="33">
        <f t="shared" si="12"/>
        <v>73.489999999999995</v>
      </c>
      <c r="AE38" s="34">
        <f t="shared" si="13"/>
        <v>4.96</v>
      </c>
      <c r="AF38" s="35">
        <f t="shared" si="50"/>
        <v>47.24</v>
      </c>
      <c r="AG38" s="257">
        <f t="shared" si="51"/>
        <v>5.99</v>
      </c>
      <c r="AH38" s="254">
        <v>2.2235091392649762E-4</v>
      </c>
      <c r="AI38" s="33">
        <f t="shared" si="16"/>
        <v>72.19</v>
      </c>
      <c r="AJ38" s="34">
        <f t="shared" si="17"/>
        <v>4.87</v>
      </c>
      <c r="AK38" s="35">
        <f t="shared" si="52"/>
        <v>46.4</v>
      </c>
      <c r="AL38" s="257">
        <f t="shared" si="53"/>
        <v>5.88</v>
      </c>
      <c r="AM38" s="254">
        <v>2.1487728851759839E-4</v>
      </c>
      <c r="AN38" s="33">
        <f t="shared" si="18"/>
        <v>69.760000000000005</v>
      </c>
      <c r="AO38" s="34">
        <f t="shared" si="19"/>
        <v>4.71</v>
      </c>
      <c r="AP38" s="35">
        <f t="shared" si="54"/>
        <v>44.84</v>
      </c>
      <c r="AQ38" s="257">
        <f t="shared" si="55"/>
        <v>5.69</v>
      </c>
      <c r="AR38" s="254">
        <v>2.1878116371889885E-4</v>
      </c>
      <c r="AS38" s="33">
        <f t="shared" si="20"/>
        <v>71.03</v>
      </c>
      <c r="AT38" s="34">
        <f t="shared" si="21"/>
        <v>4.79</v>
      </c>
      <c r="AU38" s="35">
        <f t="shared" si="56"/>
        <v>45.66</v>
      </c>
      <c r="AV38" s="36">
        <f t="shared" si="57"/>
        <v>5.79</v>
      </c>
      <c r="AW38" s="254">
        <v>2.0449308811760488E-4</v>
      </c>
      <c r="AX38" s="33">
        <f t="shared" si="22"/>
        <v>66.39</v>
      </c>
      <c r="AY38" s="34">
        <f t="shared" si="23"/>
        <v>4.4800000000000004</v>
      </c>
      <c r="AZ38" s="35">
        <f t="shared" si="58"/>
        <v>42.67</v>
      </c>
      <c r="BA38" s="257">
        <f t="shared" si="59"/>
        <v>5.41</v>
      </c>
      <c r="BB38" s="254">
        <v>1.9034978533366648E-4</v>
      </c>
      <c r="BC38" s="33">
        <f t="shared" si="24"/>
        <v>61.8</v>
      </c>
      <c r="BD38" s="34">
        <f t="shared" si="25"/>
        <v>4.17</v>
      </c>
      <c r="BE38" s="35">
        <f t="shared" si="60"/>
        <v>39.72</v>
      </c>
      <c r="BF38" s="257">
        <f t="shared" si="61"/>
        <v>5.04</v>
      </c>
      <c r="BG38" s="254">
        <v>2.0837578488744395E-4</v>
      </c>
      <c r="BH38" s="33">
        <f t="shared" si="26"/>
        <v>67.650000000000006</v>
      </c>
      <c r="BI38" s="34">
        <f t="shared" si="27"/>
        <v>4.57</v>
      </c>
      <c r="BJ38" s="35">
        <f t="shared" si="62"/>
        <v>43.48</v>
      </c>
      <c r="BK38" s="36">
        <f t="shared" si="63"/>
        <v>5.51</v>
      </c>
    </row>
    <row r="39" spans="1:63" ht="30" customHeight="1">
      <c r="A39" s="31">
        <v>1412000016</v>
      </c>
      <c r="B39" s="31" t="s">
        <v>60</v>
      </c>
      <c r="C39" s="32" t="s">
        <v>62</v>
      </c>
      <c r="D39" s="26">
        <v>1.317243684589055E-3</v>
      </c>
      <c r="E39" s="33">
        <f t="shared" si="0"/>
        <v>427.64</v>
      </c>
      <c r="F39" s="34">
        <f t="shared" si="1"/>
        <v>28.86</v>
      </c>
      <c r="G39" s="35">
        <f t="shared" si="2"/>
        <v>290.27999999999997</v>
      </c>
      <c r="H39" s="36">
        <f t="shared" si="3"/>
        <v>35.89</v>
      </c>
      <c r="I39" s="26">
        <v>1.350099640370421E-3</v>
      </c>
      <c r="J39" s="33">
        <f t="shared" si="4"/>
        <v>438.31</v>
      </c>
      <c r="K39" s="34">
        <f t="shared" si="5"/>
        <v>29.58</v>
      </c>
      <c r="L39" s="35">
        <f t="shared" si="6"/>
        <v>281.74</v>
      </c>
      <c r="M39" s="257">
        <f t="shared" si="28"/>
        <v>35.72</v>
      </c>
      <c r="N39" s="254">
        <v>1.350404500739202E-3</v>
      </c>
      <c r="O39" s="33">
        <f t="shared" si="29"/>
        <v>438.41</v>
      </c>
      <c r="P39" s="34">
        <f t="shared" si="7"/>
        <v>29.59</v>
      </c>
      <c r="Q39" s="35">
        <f t="shared" si="44"/>
        <v>281.8</v>
      </c>
      <c r="R39" s="257">
        <f t="shared" si="45"/>
        <v>35.729999999999997</v>
      </c>
      <c r="S39" s="254">
        <v>1.3341172153920314E-3</v>
      </c>
      <c r="T39" s="33">
        <f t="shared" si="8"/>
        <v>433.12</v>
      </c>
      <c r="U39" s="34">
        <f t="shared" si="9"/>
        <v>29.23</v>
      </c>
      <c r="V39" s="35">
        <f t="shared" si="46"/>
        <v>278.39999999999998</v>
      </c>
      <c r="W39" s="257">
        <f t="shared" si="47"/>
        <v>35.299999999999997</v>
      </c>
      <c r="X39" s="254">
        <v>1.3334057855141255E-3</v>
      </c>
      <c r="Y39" s="33">
        <f t="shared" si="10"/>
        <v>432.89</v>
      </c>
      <c r="Z39" s="34">
        <f t="shared" si="11"/>
        <v>29.22</v>
      </c>
      <c r="AA39" s="35">
        <f t="shared" si="48"/>
        <v>278.25</v>
      </c>
      <c r="AB39" s="36">
        <f t="shared" si="49"/>
        <v>35.28</v>
      </c>
      <c r="AC39" s="26">
        <v>1.3330145003201603E-3</v>
      </c>
      <c r="AD39" s="33">
        <f t="shared" si="12"/>
        <v>432.76</v>
      </c>
      <c r="AE39" s="34">
        <f t="shared" si="13"/>
        <v>29.21</v>
      </c>
      <c r="AF39" s="35">
        <f t="shared" si="50"/>
        <v>278.17</v>
      </c>
      <c r="AG39" s="257">
        <f t="shared" si="51"/>
        <v>35.270000000000003</v>
      </c>
      <c r="AH39" s="254">
        <v>1.3324487708685649E-3</v>
      </c>
      <c r="AI39" s="33">
        <f t="shared" si="16"/>
        <v>432.58</v>
      </c>
      <c r="AJ39" s="34">
        <f t="shared" si="17"/>
        <v>29.2</v>
      </c>
      <c r="AK39" s="35">
        <f t="shared" si="52"/>
        <v>278.05</v>
      </c>
      <c r="AL39" s="257">
        <f t="shared" si="53"/>
        <v>35.25</v>
      </c>
      <c r="AM39" s="254">
        <v>1.332288592146679E-3</v>
      </c>
      <c r="AN39" s="33">
        <f t="shared" si="18"/>
        <v>432.53</v>
      </c>
      <c r="AO39" s="34">
        <f t="shared" si="19"/>
        <v>29.19</v>
      </c>
      <c r="AP39" s="35">
        <f t="shared" si="54"/>
        <v>278.02</v>
      </c>
      <c r="AQ39" s="257">
        <f t="shared" si="55"/>
        <v>35.25</v>
      </c>
      <c r="AR39" s="254">
        <v>1.3323816876769036E-3</v>
      </c>
      <c r="AS39" s="33">
        <f t="shared" si="20"/>
        <v>432.56</v>
      </c>
      <c r="AT39" s="34">
        <f t="shared" si="21"/>
        <v>29.2</v>
      </c>
      <c r="AU39" s="35">
        <f t="shared" si="56"/>
        <v>278.04000000000002</v>
      </c>
      <c r="AV39" s="36">
        <f t="shared" si="57"/>
        <v>35.25</v>
      </c>
      <c r="AW39" s="254">
        <v>1.3319935834424216E-3</v>
      </c>
      <c r="AX39" s="33">
        <f t="shared" si="22"/>
        <v>432.43</v>
      </c>
      <c r="AY39" s="34">
        <f t="shared" si="23"/>
        <v>29.19</v>
      </c>
      <c r="AZ39" s="35">
        <f t="shared" si="58"/>
        <v>277.95999999999998</v>
      </c>
      <c r="BA39" s="257">
        <f t="shared" si="59"/>
        <v>35.24</v>
      </c>
      <c r="BB39" s="254">
        <v>1.3313934343143019E-3</v>
      </c>
      <c r="BC39" s="33">
        <f t="shared" si="24"/>
        <v>432.24</v>
      </c>
      <c r="BD39" s="34">
        <f t="shared" si="25"/>
        <v>29.17</v>
      </c>
      <c r="BE39" s="35">
        <f t="shared" si="60"/>
        <v>277.83</v>
      </c>
      <c r="BF39" s="257">
        <f t="shared" si="61"/>
        <v>35.229999999999997</v>
      </c>
      <c r="BG39" s="254">
        <v>1.3320132943564801E-3</v>
      </c>
      <c r="BH39" s="33">
        <f t="shared" si="26"/>
        <v>432.44</v>
      </c>
      <c r="BI39" s="34">
        <f t="shared" si="27"/>
        <v>29.19</v>
      </c>
      <c r="BJ39" s="35">
        <f t="shared" si="62"/>
        <v>277.95999999999998</v>
      </c>
      <c r="BK39" s="36">
        <f t="shared" si="63"/>
        <v>35.24</v>
      </c>
    </row>
    <row r="40" spans="1:63" ht="30" customHeight="1">
      <c r="A40" s="31">
        <v>1412000069</v>
      </c>
      <c r="B40" s="31" t="s">
        <v>61</v>
      </c>
      <c r="C40" s="32" t="s">
        <v>63</v>
      </c>
      <c r="D40" s="26">
        <v>1.0548885972494772E-3</v>
      </c>
      <c r="E40" s="33">
        <f t="shared" si="0"/>
        <v>342.47</v>
      </c>
      <c r="F40" s="34">
        <f t="shared" si="1"/>
        <v>23.12</v>
      </c>
      <c r="G40" s="35">
        <f t="shared" si="2"/>
        <v>232.46</v>
      </c>
      <c r="H40" s="36">
        <f t="shared" si="3"/>
        <v>28.74</v>
      </c>
      <c r="I40" s="26">
        <v>1.0950151379505244E-3</v>
      </c>
      <c r="J40" s="33">
        <f t="shared" si="4"/>
        <v>355.5</v>
      </c>
      <c r="K40" s="34">
        <f t="shared" si="5"/>
        <v>23.99</v>
      </c>
      <c r="L40" s="35">
        <f t="shared" si="6"/>
        <v>228.51</v>
      </c>
      <c r="M40" s="257">
        <f t="shared" si="28"/>
        <v>28.97</v>
      </c>
      <c r="N40" s="254">
        <v>1.0952522515706876E-3</v>
      </c>
      <c r="O40" s="33">
        <f t="shared" si="29"/>
        <v>355.57</v>
      </c>
      <c r="P40" s="34">
        <f t="shared" si="7"/>
        <v>24</v>
      </c>
      <c r="Q40" s="35">
        <f t="shared" si="44"/>
        <v>228.56</v>
      </c>
      <c r="R40" s="257">
        <f t="shared" si="45"/>
        <v>28.98</v>
      </c>
      <c r="S40" s="254">
        <v>1.0825843629673326E-3</v>
      </c>
      <c r="T40" s="33">
        <f t="shared" si="8"/>
        <v>351.46</v>
      </c>
      <c r="U40" s="34">
        <f t="shared" si="9"/>
        <v>23.72</v>
      </c>
      <c r="V40" s="35">
        <f t="shared" si="46"/>
        <v>225.91</v>
      </c>
      <c r="W40" s="257">
        <f t="shared" si="47"/>
        <v>28.64</v>
      </c>
      <c r="X40" s="254">
        <v>1.0820310286178503E-3</v>
      </c>
      <c r="Y40" s="33">
        <f t="shared" si="10"/>
        <v>351.28</v>
      </c>
      <c r="Z40" s="34">
        <f t="shared" si="11"/>
        <v>23.71</v>
      </c>
      <c r="AA40" s="35">
        <f t="shared" si="48"/>
        <v>225.8</v>
      </c>
      <c r="AB40" s="36">
        <f t="shared" si="49"/>
        <v>28.63</v>
      </c>
      <c r="AC40" s="26">
        <v>1.0817266956892105E-3</v>
      </c>
      <c r="AD40" s="33">
        <f t="shared" si="12"/>
        <v>351.18</v>
      </c>
      <c r="AE40" s="34">
        <f t="shared" si="13"/>
        <v>23.7</v>
      </c>
      <c r="AF40" s="35">
        <f t="shared" si="50"/>
        <v>225.73</v>
      </c>
      <c r="AG40" s="257">
        <f t="shared" si="51"/>
        <v>28.62</v>
      </c>
      <c r="AH40" s="254">
        <v>1.0812866838935255E-3</v>
      </c>
      <c r="AI40" s="33">
        <f t="shared" si="16"/>
        <v>351.04</v>
      </c>
      <c r="AJ40" s="34">
        <f t="shared" si="17"/>
        <v>23.69</v>
      </c>
      <c r="AK40" s="35">
        <f t="shared" si="52"/>
        <v>225.64</v>
      </c>
      <c r="AL40" s="257">
        <f t="shared" si="53"/>
        <v>28.61</v>
      </c>
      <c r="AM40" s="254">
        <v>1.0811621004431697E-3</v>
      </c>
      <c r="AN40" s="33">
        <f t="shared" si="18"/>
        <v>351</v>
      </c>
      <c r="AO40" s="34">
        <f t="shared" si="19"/>
        <v>23.69</v>
      </c>
      <c r="AP40" s="35">
        <f t="shared" si="54"/>
        <v>225.62</v>
      </c>
      <c r="AQ40" s="257">
        <f t="shared" si="55"/>
        <v>28.61</v>
      </c>
      <c r="AR40" s="254">
        <v>1.0812345080777888E-3</v>
      </c>
      <c r="AS40" s="33">
        <f t="shared" si="20"/>
        <v>351.02</v>
      </c>
      <c r="AT40" s="34">
        <f t="shared" si="21"/>
        <v>23.69</v>
      </c>
      <c r="AU40" s="35">
        <f t="shared" si="56"/>
        <v>225.63</v>
      </c>
      <c r="AV40" s="36">
        <f t="shared" si="57"/>
        <v>28.61</v>
      </c>
      <c r="AW40" s="254">
        <v>1.0809326492287473E-3</v>
      </c>
      <c r="AX40" s="33">
        <f t="shared" si="22"/>
        <v>350.92</v>
      </c>
      <c r="AY40" s="34">
        <f t="shared" si="23"/>
        <v>23.69</v>
      </c>
      <c r="AZ40" s="35">
        <f t="shared" si="58"/>
        <v>225.57</v>
      </c>
      <c r="BA40" s="257">
        <f t="shared" si="59"/>
        <v>28.6</v>
      </c>
      <c r="BB40" s="254">
        <v>1.080465866573543E-3</v>
      </c>
      <c r="BC40" s="33">
        <f t="shared" si="24"/>
        <v>350.77</v>
      </c>
      <c r="BD40" s="34">
        <f t="shared" si="25"/>
        <v>23.68</v>
      </c>
      <c r="BE40" s="35">
        <f t="shared" si="60"/>
        <v>225.47</v>
      </c>
      <c r="BF40" s="257">
        <f t="shared" si="61"/>
        <v>28.59</v>
      </c>
      <c r="BG40" s="254">
        <v>1.0809479799396816E-3</v>
      </c>
      <c r="BH40" s="33">
        <f t="shared" si="26"/>
        <v>350.93</v>
      </c>
      <c r="BI40" s="34">
        <f t="shared" si="27"/>
        <v>23.69</v>
      </c>
      <c r="BJ40" s="35">
        <f t="shared" si="62"/>
        <v>225.57</v>
      </c>
      <c r="BK40" s="36">
        <f t="shared" si="63"/>
        <v>28.6</v>
      </c>
    </row>
    <row r="41" spans="1:63" ht="30" customHeight="1">
      <c r="A41" s="31">
        <v>1412000084</v>
      </c>
      <c r="B41" s="31" t="s">
        <v>106</v>
      </c>
      <c r="C41" s="32" t="s">
        <v>107</v>
      </c>
      <c r="D41" s="26">
        <v>1.6450508885288574E-3</v>
      </c>
      <c r="E41" s="33">
        <f t="shared" si="0"/>
        <v>534.07000000000005</v>
      </c>
      <c r="F41" s="34">
        <f t="shared" si="1"/>
        <v>36.049999999999997</v>
      </c>
      <c r="G41" s="35">
        <f t="shared" si="2"/>
        <v>362.51</v>
      </c>
      <c r="H41" s="36">
        <f t="shared" si="3"/>
        <v>44.82</v>
      </c>
      <c r="I41" s="26">
        <v>1.6050626714706111E-3</v>
      </c>
      <c r="J41" s="33">
        <f t="shared" si="4"/>
        <v>521.08000000000004</v>
      </c>
      <c r="K41" s="34">
        <f t="shared" si="5"/>
        <v>35.17</v>
      </c>
      <c r="L41" s="35">
        <f t="shared" si="6"/>
        <v>334.94</v>
      </c>
      <c r="M41" s="257">
        <f t="shared" si="28"/>
        <v>42.47</v>
      </c>
      <c r="N41" s="254">
        <v>1.6054352785880102E-3</v>
      </c>
      <c r="O41" s="33">
        <f t="shared" si="29"/>
        <v>521.20000000000005</v>
      </c>
      <c r="P41" s="34">
        <f t="shared" si="7"/>
        <v>35.18</v>
      </c>
      <c r="Q41" s="35">
        <f t="shared" si="44"/>
        <v>335.02</v>
      </c>
      <c r="R41" s="257">
        <f t="shared" si="45"/>
        <v>42.48</v>
      </c>
      <c r="S41" s="254">
        <v>1.6483966256882353E-3</v>
      </c>
      <c r="T41" s="33">
        <f t="shared" si="8"/>
        <v>535.15</v>
      </c>
      <c r="U41" s="34">
        <f t="shared" si="9"/>
        <v>36.119999999999997</v>
      </c>
      <c r="V41" s="35">
        <f t="shared" si="46"/>
        <v>343.99</v>
      </c>
      <c r="W41" s="257">
        <f t="shared" si="47"/>
        <v>43.61</v>
      </c>
      <c r="X41" s="254">
        <v>1.6474875763998001E-3</v>
      </c>
      <c r="Y41" s="33">
        <f t="shared" si="10"/>
        <v>534.86</v>
      </c>
      <c r="Z41" s="34">
        <f t="shared" si="11"/>
        <v>36.1</v>
      </c>
      <c r="AA41" s="35">
        <f t="shared" si="48"/>
        <v>343.8</v>
      </c>
      <c r="AB41" s="36">
        <f t="shared" si="49"/>
        <v>43.59</v>
      </c>
      <c r="AC41" s="26">
        <v>1.6469876008741776E-3</v>
      </c>
      <c r="AD41" s="33">
        <f t="shared" si="12"/>
        <v>534.69000000000005</v>
      </c>
      <c r="AE41" s="34">
        <f t="shared" si="13"/>
        <v>36.090000000000003</v>
      </c>
      <c r="AF41" s="35">
        <f t="shared" si="50"/>
        <v>343.69</v>
      </c>
      <c r="AG41" s="257">
        <f t="shared" si="51"/>
        <v>43.58</v>
      </c>
      <c r="AH41" s="254">
        <v>1.6462647243526949E-3</v>
      </c>
      <c r="AI41" s="33">
        <f t="shared" si="16"/>
        <v>534.46</v>
      </c>
      <c r="AJ41" s="34">
        <f t="shared" si="17"/>
        <v>36.07</v>
      </c>
      <c r="AK41" s="35">
        <f t="shared" si="52"/>
        <v>343.54</v>
      </c>
      <c r="AL41" s="257">
        <f t="shared" si="53"/>
        <v>43.56</v>
      </c>
      <c r="AM41" s="254">
        <v>1.6460600515413961E-3</v>
      </c>
      <c r="AN41" s="33">
        <f t="shared" si="18"/>
        <v>534.39</v>
      </c>
      <c r="AO41" s="34">
        <f t="shared" si="19"/>
        <v>36.07</v>
      </c>
      <c r="AP41" s="35">
        <f t="shared" si="54"/>
        <v>343.5</v>
      </c>
      <c r="AQ41" s="257">
        <f t="shared" si="55"/>
        <v>43.55</v>
      </c>
      <c r="AR41" s="254">
        <v>1.6461790069411276E-3</v>
      </c>
      <c r="AS41" s="33">
        <f t="shared" si="20"/>
        <v>534.42999999999995</v>
      </c>
      <c r="AT41" s="34">
        <f t="shared" si="21"/>
        <v>36.07</v>
      </c>
      <c r="AU41" s="35">
        <f t="shared" si="56"/>
        <v>343.52</v>
      </c>
      <c r="AV41" s="36">
        <f t="shared" si="57"/>
        <v>43.56</v>
      </c>
      <c r="AW41" s="254">
        <v>1.645683095974845E-3</v>
      </c>
      <c r="AX41" s="33">
        <f t="shared" si="22"/>
        <v>534.27</v>
      </c>
      <c r="AY41" s="34">
        <f t="shared" si="23"/>
        <v>36.06</v>
      </c>
      <c r="AZ41" s="35">
        <f t="shared" si="58"/>
        <v>343.42</v>
      </c>
      <c r="BA41" s="257">
        <f t="shared" si="59"/>
        <v>43.54</v>
      </c>
      <c r="BB41" s="254">
        <v>1.644916238755581E-3</v>
      </c>
      <c r="BC41" s="33">
        <f t="shared" si="24"/>
        <v>534.02</v>
      </c>
      <c r="BD41" s="34">
        <f t="shared" si="25"/>
        <v>36.04</v>
      </c>
      <c r="BE41" s="35">
        <f t="shared" si="60"/>
        <v>343.26</v>
      </c>
      <c r="BF41" s="257">
        <f t="shared" si="61"/>
        <v>43.52</v>
      </c>
      <c r="BG41" s="254">
        <v>1.6457082821428083E-3</v>
      </c>
      <c r="BH41" s="33">
        <f t="shared" si="26"/>
        <v>534.28</v>
      </c>
      <c r="BI41" s="34">
        <f t="shared" si="27"/>
        <v>36.06</v>
      </c>
      <c r="BJ41" s="35">
        <f t="shared" si="62"/>
        <v>343.43</v>
      </c>
      <c r="BK41" s="36">
        <f t="shared" si="63"/>
        <v>43.54</v>
      </c>
    </row>
    <row r="42" spans="1:63" ht="30" customHeight="1">
      <c r="A42" s="31">
        <v>1412000018</v>
      </c>
      <c r="B42" s="31" t="s">
        <v>39</v>
      </c>
      <c r="C42" s="32" t="s">
        <v>40</v>
      </c>
      <c r="D42" s="26">
        <v>2.7160868627384826E-3</v>
      </c>
      <c r="E42" s="33">
        <f t="shared" si="0"/>
        <v>881.78</v>
      </c>
      <c r="F42" s="34">
        <f t="shared" si="1"/>
        <v>59.52</v>
      </c>
      <c r="G42" s="35">
        <f t="shared" si="2"/>
        <v>598.53</v>
      </c>
      <c r="H42" s="36">
        <f t="shared" si="3"/>
        <v>74.010000000000005</v>
      </c>
      <c r="I42" s="26">
        <v>2.7203391768673055E-3</v>
      </c>
      <c r="J42" s="33">
        <f t="shared" si="4"/>
        <v>883.16</v>
      </c>
      <c r="K42" s="34">
        <f t="shared" si="5"/>
        <v>59.61</v>
      </c>
      <c r="L42" s="35">
        <f t="shared" si="6"/>
        <v>567.67999999999995</v>
      </c>
      <c r="M42" s="257">
        <f t="shared" si="28"/>
        <v>71.98</v>
      </c>
      <c r="N42" s="254">
        <v>2.7277924430345406E-3</v>
      </c>
      <c r="O42" s="33">
        <f t="shared" si="29"/>
        <v>885.58</v>
      </c>
      <c r="P42" s="34">
        <f t="shared" si="7"/>
        <v>59.77</v>
      </c>
      <c r="Q42" s="35">
        <f t="shared" si="44"/>
        <v>569.23</v>
      </c>
      <c r="R42" s="257">
        <f t="shared" si="45"/>
        <v>72.17</v>
      </c>
      <c r="S42" s="254">
        <v>2.7089503437080957E-3</v>
      </c>
      <c r="T42" s="33">
        <f t="shared" si="8"/>
        <v>879.46</v>
      </c>
      <c r="U42" s="34">
        <f t="shared" si="9"/>
        <v>59.36</v>
      </c>
      <c r="V42" s="35">
        <f t="shared" si="46"/>
        <v>565.29999999999995</v>
      </c>
      <c r="W42" s="257">
        <f t="shared" si="47"/>
        <v>71.67</v>
      </c>
      <c r="X42" s="254">
        <v>2.7041516389994221E-3</v>
      </c>
      <c r="Y42" s="33">
        <f t="shared" si="10"/>
        <v>877.9</v>
      </c>
      <c r="Z42" s="34">
        <f t="shared" si="11"/>
        <v>59.25</v>
      </c>
      <c r="AA42" s="35">
        <f t="shared" si="48"/>
        <v>564.29999999999995</v>
      </c>
      <c r="AB42" s="36">
        <f t="shared" si="49"/>
        <v>71.55</v>
      </c>
      <c r="AC42" s="26">
        <v>2.7058955413420491E-3</v>
      </c>
      <c r="AD42" s="33">
        <f t="shared" si="12"/>
        <v>878.47</v>
      </c>
      <c r="AE42" s="34">
        <f t="shared" si="13"/>
        <v>59.29</v>
      </c>
      <c r="AF42" s="35">
        <f t="shared" si="50"/>
        <v>564.66</v>
      </c>
      <c r="AG42" s="257">
        <f t="shared" si="51"/>
        <v>71.59</v>
      </c>
      <c r="AH42" s="254">
        <v>2.7000715428211392E-3</v>
      </c>
      <c r="AI42" s="33">
        <f t="shared" si="16"/>
        <v>876.58</v>
      </c>
      <c r="AJ42" s="34">
        <f t="shared" si="17"/>
        <v>59.17</v>
      </c>
      <c r="AK42" s="35">
        <f t="shared" si="52"/>
        <v>563.45000000000005</v>
      </c>
      <c r="AL42" s="257">
        <f t="shared" si="53"/>
        <v>71.44</v>
      </c>
      <c r="AM42" s="254">
        <v>2.6958863125921546E-3</v>
      </c>
      <c r="AN42" s="33">
        <f t="shared" si="18"/>
        <v>875.22</v>
      </c>
      <c r="AO42" s="34">
        <f t="shared" si="19"/>
        <v>59.07</v>
      </c>
      <c r="AP42" s="35">
        <f t="shared" si="54"/>
        <v>562.58000000000004</v>
      </c>
      <c r="AQ42" s="257">
        <f t="shared" si="55"/>
        <v>71.33</v>
      </c>
      <c r="AR42" s="254">
        <v>2.6980724827048836E-3</v>
      </c>
      <c r="AS42" s="33">
        <f t="shared" si="20"/>
        <v>875.93</v>
      </c>
      <c r="AT42" s="34">
        <f t="shared" si="21"/>
        <v>59.12</v>
      </c>
      <c r="AU42" s="35">
        <f t="shared" si="56"/>
        <v>563.03</v>
      </c>
      <c r="AV42" s="36">
        <f t="shared" si="57"/>
        <v>71.39</v>
      </c>
      <c r="AW42" s="254">
        <v>2.6900711603681589E-3</v>
      </c>
      <c r="AX42" s="33">
        <f t="shared" si="22"/>
        <v>873.33</v>
      </c>
      <c r="AY42" s="34">
        <f t="shared" si="23"/>
        <v>58.95</v>
      </c>
      <c r="AZ42" s="35">
        <f t="shared" si="58"/>
        <v>561.36</v>
      </c>
      <c r="BA42" s="257">
        <f t="shared" si="59"/>
        <v>71.180000000000007</v>
      </c>
      <c r="BB42" s="254">
        <v>2.6821509108091528E-3</v>
      </c>
      <c r="BC42" s="33">
        <f t="shared" si="24"/>
        <v>870.76</v>
      </c>
      <c r="BD42" s="34">
        <f t="shared" si="25"/>
        <v>58.77</v>
      </c>
      <c r="BE42" s="35">
        <f t="shared" si="60"/>
        <v>559.71</v>
      </c>
      <c r="BF42" s="257">
        <f t="shared" si="61"/>
        <v>70.97</v>
      </c>
      <c r="BG42" s="254">
        <v>2.6922454705592697E-3</v>
      </c>
      <c r="BH42" s="33">
        <f t="shared" si="26"/>
        <v>874.04</v>
      </c>
      <c r="BI42" s="34">
        <f t="shared" si="27"/>
        <v>58.99</v>
      </c>
      <c r="BJ42" s="35">
        <f t="shared" si="62"/>
        <v>561.82000000000005</v>
      </c>
      <c r="BK42" s="36">
        <f t="shared" si="63"/>
        <v>71.23</v>
      </c>
    </row>
    <row r="43" spans="1:63" ht="30" customHeight="1">
      <c r="A43" s="31">
        <v>1412000019</v>
      </c>
      <c r="B43" s="31" t="s">
        <v>102</v>
      </c>
      <c r="C43" s="32" t="s">
        <v>41</v>
      </c>
      <c r="D43" s="26">
        <v>4.9376880545431651E-3</v>
      </c>
      <c r="E43" s="33">
        <f t="shared" si="0"/>
        <v>1603.02</v>
      </c>
      <c r="F43" s="34">
        <f t="shared" si="1"/>
        <v>108.2</v>
      </c>
      <c r="G43" s="35">
        <f t="shared" si="2"/>
        <v>1088.0999999999999</v>
      </c>
      <c r="H43" s="36">
        <f t="shared" si="3"/>
        <v>134.54</v>
      </c>
      <c r="I43" s="26">
        <v>4.9295687252044534E-3</v>
      </c>
      <c r="J43" s="33">
        <f t="shared" si="4"/>
        <v>1600.38</v>
      </c>
      <c r="K43" s="34">
        <f t="shared" si="5"/>
        <v>108.02</v>
      </c>
      <c r="L43" s="35">
        <f t="shared" si="6"/>
        <v>1028.7</v>
      </c>
      <c r="M43" s="257">
        <f t="shared" si="28"/>
        <v>130.43</v>
      </c>
      <c r="N43" s="254">
        <v>4.9315807195564245E-3</v>
      </c>
      <c r="O43" s="33">
        <f t="shared" si="29"/>
        <v>1601.04</v>
      </c>
      <c r="P43" s="34">
        <f t="shared" si="7"/>
        <v>108.06</v>
      </c>
      <c r="Q43" s="35">
        <f t="shared" si="44"/>
        <v>1029.1199999999999</v>
      </c>
      <c r="R43" s="257">
        <f t="shared" si="45"/>
        <v>130.47999999999999</v>
      </c>
      <c r="S43" s="254">
        <v>4.8904937420153902E-3</v>
      </c>
      <c r="T43" s="33">
        <f t="shared" si="8"/>
        <v>1587.7</v>
      </c>
      <c r="U43" s="34">
        <f t="shared" si="9"/>
        <v>107.16</v>
      </c>
      <c r="V43" s="35">
        <f t="shared" si="46"/>
        <v>1020.54</v>
      </c>
      <c r="W43" s="257">
        <f t="shared" si="47"/>
        <v>129.38999999999999</v>
      </c>
      <c r="X43" s="254">
        <v>4.8950489739630117E-3</v>
      </c>
      <c r="Y43" s="33">
        <f t="shared" si="10"/>
        <v>1589.18</v>
      </c>
      <c r="Z43" s="34">
        <f t="shared" si="11"/>
        <v>107.26</v>
      </c>
      <c r="AA43" s="35">
        <f t="shared" si="48"/>
        <v>1021.49</v>
      </c>
      <c r="AB43" s="36">
        <f t="shared" si="49"/>
        <v>129.52000000000001</v>
      </c>
      <c r="AC43" s="26">
        <v>4.84438800381818E-3</v>
      </c>
      <c r="AD43" s="33">
        <f t="shared" si="12"/>
        <v>1572.73</v>
      </c>
      <c r="AE43" s="34">
        <f t="shared" si="13"/>
        <v>106.15</v>
      </c>
      <c r="AF43" s="35">
        <f t="shared" si="50"/>
        <v>1010.92</v>
      </c>
      <c r="AG43" s="257">
        <f t="shared" si="51"/>
        <v>128.16999999999999</v>
      </c>
      <c r="AH43" s="254">
        <v>4.7966745937059324E-3</v>
      </c>
      <c r="AI43" s="33">
        <f t="shared" si="16"/>
        <v>1557.24</v>
      </c>
      <c r="AJ43" s="34">
        <f t="shared" si="17"/>
        <v>105.11</v>
      </c>
      <c r="AK43" s="35">
        <f t="shared" si="52"/>
        <v>1000.97</v>
      </c>
      <c r="AL43" s="257">
        <f t="shared" si="53"/>
        <v>126.91</v>
      </c>
      <c r="AM43" s="254">
        <v>4.7957120607478015E-3</v>
      </c>
      <c r="AN43" s="33">
        <f t="shared" si="18"/>
        <v>1556.93</v>
      </c>
      <c r="AO43" s="34">
        <f t="shared" si="19"/>
        <v>105.09</v>
      </c>
      <c r="AP43" s="35">
        <f t="shared" si="54"/>
        <v>1000.77</v>
      </c>
      <c r="AQ43" s="257">
        <f t="shared" si="55"/>
        <v>126.89</v>
      </c>
      <c r="AR43" s="254">
        <v>4.7970452138034279E-3</v>
      </c>
      <c r="AS43" s="33">
        <f t="shared" si="20"/>
        <v>1557.36</v>
      </c>
      <c r="AT43" s="34">
        <f t="shared" si="21"/>
        <v>105.12</v>
      </c>
      <c r="AU43" s="35">
        <f t="shared" si="56"/>
        <v>1001.04</v>
      </c>
      <c r="AV43" s="36">
        <f t="shared" si="57"/>
        <v>126.92</v>
      </c>
      <c r="AW43" s="254">
        <v>4.7881303782213629E-3</v>
      </c>
      <c r="AX43" s="33">
        <f t="shared" si="22"/>
        <v>1554.46</v>
      </c>
      <c r="AY43" s="34">
        <f t="shared" si="23"/>
        <v>104.92</v>
      </c>
      <c r="AZ43" s="35">
        <f t="shared" si="58"/>
        <v>999.18</v>
      </c>
      <c r="BA43" s="257">
        <f t="shared" si="59"/>
        <v>126.69</v>
      </c>
      <c r="BB43" s="254">
        <v>4.7593319933348349E-3</v>
      </c>
      <c r="BC43" s="33">
        <f t="shared" si="24"/>
        <v>1545.12</v>
      </c>
      <c r="BD43" s="34">
        <f t="shared" si="25"/>
        <v>104.29</v>
      </c>
      <c r="BE43" s="35">
        <f t="shared" si="60"/>
        <v>993.17</v>
      </c>
      <c r="BF43" s="257">
        <f t="shared" si="61"/>
        <v>125.92</v>
      </c>
      <c r="BG43" s="254">
        <v>4.782108250609529E-3</v>
      </c>
      <c r="BH43" s="33">
        <f t="shared" si="26"/>
        <v>1552.51</v>
      </c>
      <c r="BI43" s="34">
        <f t="shared" si="27"/>
        <v>104.79</v>
      </c>
      <c r="BJ43" s="35">
        <f t="shared" si="62"/>
        <v>997.93</v>
      </c>
      <c r="BK43" s="36">
        <f t="shared" si="63"/>
        <v>126.53</v>
      </c>
    </row>
    <row r="44" spans="1:63" ht="30" customHeight="1">
      <c r="A44" s="31">
        <v>1412000070</v>
      </c>
      <c r="B44" s="31" t="s">
        <v>64</v>
      </c>
      <c r="C44" s="32" t="s">
        <v>65</v>
      </c>
      <c r="D44" s="26">
        <v>4.6657692268005303E-4</v>
      </c>
      <c r="E44" s="33">
        <f t="shared" si="0"/>
        <v>151.47</v>
      </c>
      <c r="F44" s="34">
        <f t="shared" si="1"/>
        <v>10.220000000000001</v>
      </c>
      <c r="G44" s="35">
        <f t="shared" si="2"/>
        <v>102.82</v>
      </c>
      <c r="H44" s="36">
        <f t="shared" si="3"/>
        <v>12.71</v>
      </c>
      <c r="I44" s="26">
        <v>4.6404113055850243E-4</v>
      </c>
      <c r="J44" s="33">
        <f t="shared" si="4"/>
        <v>150.65</v>
      </c>
      <c r="K44" s="34">
        <f t="shared" si="5"/>
        <v>10.17</v>
      </c>
      <c r="L44" s="35">
        <f t="shared" si="6"/>
        <v>96.84</v>
      </c>
      <c r="M44" s="257">
        <f t="shared" si="28"/>
        <v>12.28</v>
      </c>
      <c r="N44" s="254">
        <v>4.6417662405573863E-4</v>
      </c>
      <c r="O44" s="33">
        <f t="shared" si="29"/>
        <v>150.69</v>
      </c>
      <c r="P44" s="34">
        <f t="shared" si="7"/>
        <v>10.17</v>
      </c>
      <c r="Q44" s="35">
        <f t="shared" si="44"/>
        <v>96.86</v>
      </c>
      <c r="R44" s="257">
        <f t="shared" si="45"/>
        <v>12.28</v>
      </c>
      <c r="S44" s="254">
        <v>4.6368832004364076E-4</v>
      </c>
      <c r="T44" s="33">
        <f t="shared" si="8"/>
        <v>150.54</v>
      </c>
      <c r="U44" s="34">
        <f t="shared" si="9"/>
        <v>10.16</v>
      </c>
      <c r="V44" s="35">
        <f t="shared" si="46"/>
        <v>96.76</v>
      </c>
      <c r="W44" s="257">
        <f t="shared" si="47"/>
        <v>12.27</v>
      </c>
      <c r="X44" s="254">
        <v>4.6353121070911524E-4</v>
      </c>
      <c r="Y44" s="33">
        <f t="shared" si="10"/>
        <v>150.49</v>
      </c>
      <c r="Z44" s="34">
        <f t="shared" si="11"/>
        <v>10.16</v>
      </c>
      <c r="AA44" s="35">
        <f t="shared" si="48"/>
        <v>96.73</v>
      </c>
      <c r="AB44" s="36">
        <f t="shared" si="49"/>
        <v>12.26</v>
      </c>
      <c r="AC44" s="26">
        <v>4.5637854998664912E-4</v>
      </c>
      <c r="AD44" s="33">
        <f t="shared" si="12"/>
        <v>148.16</v>
      </c>
      <c r="AE44" s="34">
        <f t="shared" si="13"/>
        <v>10</v>
      </c>
      <c r="AF44" s="35">
        <f t="shared" si="50"/>
        <v>95.24</v>
      </c>
      <c r="AG44" s="257">
        <f t="shared" si="51"/>
        <v>12.08</v>
      </c>
      <c r="AH44" s="254">
        <v>4.5430007594637087E-4</v>
      </c>
      <c r="AI44" s="33">
        <f t="shared" si="16"/>
        <v>147.49</v>
      </c>
      <c r="AJ44" s="34">
        <f t="shared" si="17"/>
        <v>9.9499999999999993</v>
      </c>
      <c r="AK44" s="35">
        <f t="shared" si="52"/>
        <v>94.8</v>
      </c>
      <c r="AL44" s="257">
        <f t="shared" si="53"/>
        <v>12.02</v>
      </c>
      <c r="AM44" s="254">
        <v>4.5422888540331055E-4</v>
      </c>
      <c r="AN44" s="33">
        <f t="shared" si="18"/>
        <v>147.47</v>
      </c>
      <c r="AO44" s="34">
        <f t="shared" si="19"/>
        <v>9.9499999999999993</v>
      </c>
      <c r="AP44" s="35">
        <f t="shared" si="54"/>
        <v>94.79</v>
      </c>
      <c r="AQ44" s="257">
        <f t="shared" si="55"/>
        <v>12.02</v>
      </c>
      <c r="AR44" s="254">
        <v>4.5427026119452141E-4</v>
      </c>
      <c r="AS44" s="33">
        <f t="shared" si="20"/>
        <v>147.47999999999999</v>
      </c>
      <c r="AT44" s="34">
        <f t="shared" si="21"/>
        <v>9.9499999999999993</v>
      </c>
      <c r="AU44" s="35">
        <f t="shared" si="56"/>
        <v>94.8</v>
      </c>
      <c r="AV44" s="36">
        <f t="shared" si="57"/>
        <v>12.02</v>
      </c>
      <c r="AW44" s="254">
        <v>4.5409777042364056E-4</v>
      </c>
      <c r="AX44" s="33">
        <f t="shared" si="22"/>
        <v>147.41999999999999</v>
      </c>
      <c r="AY44" s="34">
        <f t="shared" si="23"/>
        <v>9.9499999999999993</v>
      </c>
      <c r="AZ44" s="35">
        <f t="shared" si="58"/>
        <v>94.76</v>
      </c>
      <c r="BA44" s="257">
        <f t="shared" si="59"/>
        <v>12.01</v>
      </c>
      <c r="BB44" s="254">
        <v>4.5383103747780962E-4</v>
      </c>
      <c r="BC44" s="33">
        <f t="shared" si="24"/>
        <v>147.34</v>
      </c>
      <c r="BD44" s="34">
        <f t="shared" si="25"/>
        <v>9.94</v>
      </c>
      <c r="BE44" s="35">
        <f t="shared" si="60"/>
        <v>94.71</v>
      </c>
      <c r="BF44" s="257">
        <f t="shared" si="61"/>
        <v>12.01</v>
      </c>
      <c r="BG44" s="254">
        <v>4.5410653082988864E-4</v>
      </c>
      <c r="BH44" s="33">
        <f t="shared" si="26"/>
        <v>147.43</v>
      </c>
      <c r="BI44" s="34">
        <f t="shared" si="27"/>
        <v>9.9499999999999993</v>
      </c>
      <c r="BJ44" s="35">
        <f t="shared" si="62"/>
        <v>94.76</v>
      </c>
      <c r="BK44" s="36">
        <f t="shared" si="63"/>
        <v>12.01</v>
      </c>
    </row>
    <row r="45" spans="1:63" ht="30" customHeight="1">
      <c r="A45" s="31">
        <v>1412000021</v>
      </c>
      <c r="B45" s="31" t="s">
        <v>42</v>
      </c>
      <c r="C45" s="32" t="s">
        <v>43</v>
      </c>
      <c r="D45" s="26">
        <v>4.0825480734504638E-4</v>
      </c>
      <c r="E45" s="33">
        <f t="shared" si="0"/>
        <v>132.54</v>
      </c>
      <c r="F45" s="34">
        <f t="shared" si="1"/>
        <v>8.9499999999999993</v>
      </c>
      <c r="G45" s="35">
        <f t="shared" si="2"/>
        <v>89.97</v>
      </c>
      <c r="H45" s="36">
        <f t="shared" si="3"/>
        <v>11.12</v>
      </c>
      <c r="I45" s="26">
        <v>4.0603598923868962E-4</v>
      </c>
      <c r="J45" s="33">
        <f t="shared" si="4"/>
        <v>131.82</v>
      </c>
      <c r="K45" s="34">
        <f t="shared" si="5"/>
        <v>8.9</v>
      </c>
      <c r="L45" s="35">
        <f t="shared" si="6"/>
        <v>84.73</v>
      </c>
      <c r="M45" s="257">
        <f t="shared" si="28"/>
        <v>10.74</v>
      </c>
      <c r="N45" s="254">
        <v>4.0615454604877124E-4</v>
      </c>
      <c r="O45" s="33">
        <f t="shared" si="29"/>
        <v>131.86000000000001</v>
      </c>
      <c r="P45" s="34">
        <f t="shared" si="7"/>
        <v>8.9</v>
      </c>
      <c r="Q45" s="35">
        <f t="shared" si="44"/>
        <v>84.76</v>
      </c>
      <c r="R45" s="257">
        <f t="shared" si="45"/>
        <v>10.75</v>
      </c>
      <c r="S45" s="254">
        <v>4.0572728003818566E-4</v>
      </c>
      <c r="T45" s="33">
        <f t="shared" si="8"/>
        <v>131.72</v>
      </c>
      <c r="U45" s="34">
        <f t="shared" si="9"/>
        <v>8.89</v>
      </c>
      <c r="V45" s="35">
        <f t="shared" si="46"/>
        <v>84.67</v>
      </c>
      <c r="W45" s="257">
        <f t="shared" si="47"/>
        <v>10.73</v>
      </c>
      <c r="X45" s="254">
        <v>4.0558980937047579E-4</v>
      </c>
      <c r="Y45" s="33">
        <f t="shared" si="10"/>
        <v>131.66999999999999</v>
      </c>
      <c r="Z45" s="34">
        <f t="shared" si="11"/>
        <v>8.89</v>
      </c>
      <c r="AA45" s="35">
        <f t="shared" si="48"/>
        <v>84.64</v>
      </c>
      <c r="AB45" s="36">
        <f t="shared" si="49"/>
        <v>10.73</v>
      </c>
      <c r="AC45" s="26">
        <v>3.9933123123831799E-4</v>
      </c>
      <c r="AD45" s="33">
        <f t="shared" si="12"/>
        <v>129.63999999999999</v>
      </c>
      <c r="AE45" s="34">
        <f t="shared" si="13"/>
        <v>8.75</v>
      </c>
      <c r="AF45" s="35">
        <f t="shared" si="50"/>
        <v>83.33</v>
      </c>
      <c r="AG45" s="257">
        <f t="shared" si="51"/>
        <v>10.57</v>
      </c>
      <c r="AH45" s="254">
        <v>3.9751256645307459E-4</v>
      </c>
      <c r="AI45" s="33">
        <f t="shared" si="16"/>
        <v>129.05000000000001</v>
      </c>
      <c r="AJ45" s="34">
        <f t="shared" si="17"/>
        <v>8.7100000000000009</v>
      </c>
      <c r="AK45" s="35">
        <f t="shared" si="52"/>
        <v>82.95</v>
      </c>
      <c r="AL45" s="257">
        <f t="shared" si="53"/>
        <v>10.52</v>
      </c>
      <c r="AM45" s="254">
        <v>3.9745027472789672E-4</v>
      </c>
      <c r="AN45" s="33">
        <f t="shared" si="18"/>
        <v>129.03</v>
      </c>
      <c r="AO45" s="34">
        <f t="shared" si="19"/>
        <v>8.7100000000000009</v>
      </c>
      <c r="AP45" s="35">
        <f t="shared" si="54"/>
        <v>82.94</v>
      </c>
      <c r="AQ45" s="257">
        <f t="shared" si="55"/>
        <v>10.52</v>
      </c>
      <c r="AR45" s="254">
        <v>3.9748647854520624E-4</v>
      </c>
      <c r="AS45" s="33">
        <f t="shared" si="20"/>
        <v>129.04</v>
      </c>
      <c r="AT45" s="34">
        <f t="shared" si="21"/>
        <v>8.7100000000000009</v>
      </c>
      <c r="AU45" s="35">
        <f t="shared" si="56"/>
        <v>82.95</v>
      </c>
      <c r="AV45" s="36">
        <f t="shared" si="57"/>
        <v>10.52</v>
      </c>
      <c r="AW45" s="254">
        <v>3.9733554912068546E-4</v>
      </c>
      <c r="AX45" s="33">
        <f t="shared" si="22"/>
        <v>128.99</v>
      </c>
      <c r="AY45" s="34">
        <f t="shared" si="23"/>
        <v>8.7100000000000009</v>
      </c>
      <c r="AZ45" s="35">
        <f t="shared" si="58"/>
        <v>82.92</v>
      </c>
      <c r="BA45" s="257">
        <f t="shared" si="59"/>
        <v>10.51</v>
      </c>
      <c r="BB45" s="254">
        <v>3.9710215779308343E-4</v>
      </c>
      <c r="BC45" s="33">
        <f t="shared" si="24"/>
        <v>128.91999999999999</v>
      </c>
      <c r="BD45" s="34">
        <f t="shared" si="25"/>
        <v>8.6999999999999993</v>
      </c>
      <c r="BE45" s="35">
        <f t="shared" si="60"/>
        <v>82.87</v>
      </c>
      <c r="BF45" s="257">
        <f t="shared" si="61"/>
        <v>10.51</v>
      </c>
      <c r="BG45" s="254">
        <v>3.9734321447615258E-4</v>
      </c>
      <c r="BH45" s="33">
        <f t="shared" si="26"/>
        <v>129</v>
      </c>
      <c r="BI45" s="34">
        <f t="shared" si="27"/>
        <v>8.7100000000000009</v>
      </c>
      <c r="BJ45" s="35">
        <f t="shared" si="62"/>
        <v>82.92</v>
      </c>
      <c r="BK45" s="36">
        <f t="shared" si="63"/>
        <v>10.51</v>
      </c>
    </row>
    <row r="46" spans="1:63" ht="30" customHeight="1">
      <c r="A46" s="31">
        <v>1412000022</v>
      </c>
      <c r="B46" s="31" t="s">
        <v>44</v>
      </c>
      <c r="C46" s="32" t="s">
        <v>45</v>
      </c>
      <c r="D46" s="26">
        <v>3.4993269201003978E-4</v>
      </c>
      <c r="E46" s="33">
        <f t="shared" si="0"/>
        <v>113.61</v>
      </c>
      <c r="F46" s="34">
        <f t="shared" si="1"/>
        <v>7.67</v>
      </c>
      <c r="G46" s="35">
        <f t="shared" si="2"/>
        <v>77.11</v>
      </c>
      <c r="H46" s="36">
        <f t="shared" si="3"/>
        <v>9.5299999999999994</v>
      </c>
      <c r="I46" s="26">
        <v>3.4803084791887675E-4</v>
      </c>
      <c r="J46" s="33">
        <f t="shared" si="4"/>
        <v>112.99</v>
      </c>
      <c r="K46" s="34">
        <f t="shared" si="5"/>
        <v>7.63</v>
      </c>
      <c r="L46" s="35">
        <f t="shared" si="6"/>
        <v>72.63</v>
      </c>
      <c r="M46" s="257">
        <f t="shared" si="28"/>
        <v>9.2100000000000009</v>
      </c>
      <c r="N46" s="254">
        <v>3.481324680418039E-4</v>
      </c>
      <c r="O46" s="33">
        <f t="shared" si="29"/>
        <v>113.02</v>
      </c>
      <c r="P46" s="34">
        <f t="shared" si="7"/>
        <v>7.63</v>
      </c>
      <c r="Q46" s="35">
        <f t="shared" si="44"/>
        <v>72.650000000000006</v>
      </c>
      <c r="R46" s="257">
        <f t="shared" si="45"/>
        <v>9.2100000000000009</v>
      </c>
      <c r="S46" s="254">
        <v>3.4776624003273057E-4</v>
      </c>
      <c r="T46" s="33">
        <f t="shared" si="8"/>
        <v>112.9</v>
      </c>
      <c r="U46" s="34">
        <f t="shared" si="9"/>
        <v>7.62</v>
      </c>
      <c r="V46" s="35">
        <f t="shared" si="46"/>
        <v>72.569999999999993</v>
      </c>
      <c r="W46" s="257">
        <f t="shared" si="47"/>
        <v>9.1999999999999993</v>
      </c>
      <c r="X46" s="254">
        <v>3.4764840803183639E-4</v>
      </c>
      <c r="Y46" s="33">
        <f t="shared" si="10"/>
        <v>112.86</v>
      </c>
      <c r="Z46" s="34">
        <f t="shared" si="11"/>
        <v>7.62</v>
      </c>
      <c r="AA46" s="35">
        <f t="shared" si="48"/>
        <v>72.55</v>
      </c>
      <c r="AB46" s="36">
        <f t="shared" si="49"/>
        <v>9.1999999999999993</v>
      </c>
      <c r="AC46" s="26">
        <v>3.4228391248998687E-4</v>
      </c>
      <c r="AD46" s="33">
        <f t="shared" si="12"/>
        <v>111.12</v>
      </c>
      <c r="AE46" s="34">
        <f t="shared" si="13"/>
        <v>7.5</v>
      </c>
      <c r="AF46" s="35">
        <f t="shared" si="50"/>
        <v>71.430000000000007</v>
      </c>
      <c r="AG46" s="257">
        <f t="shared" si="51"/>
        <v>9.06</v>
      </c>
      <c r="AH46" s="254">
        <v>3.407250569597782E-4</v>
      </c>
      <c r="AI46" s="33">
        <f t="shared" si="16"/>
        <v>110.62</v>
      </c>
      <c r="AJ46" s="34">
        <f t="shared" si="17"/>
        <v>7.47</v>
      </c>
      <c r="AK46" s="35">
        <f t="shared" si="52"/>
        <v>71.099999999999994</v>
      </c>
      <c r="AL46" s="257">
        <f t="shared" si="53"/>
        <v>9.02</v>
      </c>
      <c r="AM46" s="254">
        <v>3.4067166405248294E-4</v>
      </c>
      <c r="AN46" s="33">
        <f t="shared" si="18"/>
        <v>110.6</v>
      </c>
      <c r="AO46" s="34">
        <f t="shared" si="19"/>
        <v>7.46</v>
      </c>
      <c r="AP46" s="35">
        <f t="shared" si="54"/>
        <v>71.09</v>
      </c>
      <c r="AQ46" s="257">
        <f t="shared" si="55"/>
        <v>9.01</v>
      </c>
      <c r="AR46" s="254">
        <v>3.4070269589589112E-4</v>
      </c>
      <c r="AS46" s="33">
        <f t="shared" si="20"/>
        <v>110.61</v>
      </c>
      <c r="AT46" s="34">
        <f t="shared" si="21"/>
        <v>7.47</v>
      </c>
      <c r="AU46" s="35">
        <f t="shared" si="56"/>
        <v>71.099999999999994</v>
      </c>
      <c r="AV46" s="36">
        <f t="shared" si="57"/>
        <v>9.01</v>
      </c>
      <c r="AW46" s="254">
        <v>3.4057332781773047E-4</v>
      </c>
      <c r="AX46" s="33">
        <f t="shared" si="22"/>
        <v>110.57</v>
      </c>
      <c r="AY46" s="34">
        <f t="shared" si="23"/>
        <v>7.46</v>
      </c>
      <c r="AZ46" s="35">
        <f t="shared" si="58"/>
        <v>71.069999999999993</v>
      </c>
      <c r="BA46" s="257">
        <f t="shared" si="59"/>
        <v>9.01</v>
      </c>
      <c r="BB46" s="254">
        <v>3.4037327810835724E-4</v>
      </c>
      <c r="BC46" s="33">
        <f t="shared" si="24"/>
        <v>110.5</v>
      </c>
      <c r="BD46" s="34">
        <f t="shared" si="25"/>
        <v>7.46</v>
      </c>
      <c r="BE46" s="35">
        <f t="shared" si="60"/>
        <v>71.03</v>
      </c>
      <c r="BF46" s="257">
        <f t="shared" si="61"/>
        <v>9.01</v>
      </c>
      <c r="BG46" s="254">
        <v>3.4057989812241648E-4</v>
      </c>
      <c r="BH46" s="33">
        <f t="shared" si="26"/>
        <v>110.57</v>
      </c>
      <c r="BI46" s="34">
        <f t="shared" si="27"/>
        <v>7.46</v>
      </c>
      <c r="BJ46" s="35">
        <f t="shared" si="62"/>
        <v>71.069999999999993</v>
      </c>
      <c r="BK46" s="36">
        <f t="shared" si="63"/>
        <v>9.01</v>
      </c>
    </row>
    <row r="47" spans="1:63" ht="30" customHeight="1">
      <c r="A47" s="31">
        <v>1412000042</v>
      </c>
      <c r="B47" s="31" t="s">
        <v>46</v>
      </c>
      <c r="C47" s="32" t="s">
        <v>47</v>
      </c>
      <c r="D47" s="26">
        <v>2.9161057667503317E-4</v>
      </c>
      <c r="E47" s="33">
        <f t="shared" si="0"/>
        <v>94.67</v>
      </c>
      <c r="F47" s="34">
        <f t="shared" si="1"/>
        <v>6.39</v>
      </c>
      <c r="G47" s="35">
        <f t="shared" si="2"/>
        <v>64.260000000000005</v>
      </c>
      <c r="H47" s="36">
        <f t="shared" si="3"/>
        <v>7.95</v>
      </c>
      <c r="I47" s="26">
        <v>2.9002570659906405E-4</v>
      </c>
      <c r="J47" s="33">
        <f t="shared" si="4"/>
        <v>94.16</v>
      </c>
      <c r="K47" s="34">
        <f t="shared" si="5"/>
        <v>6.36</v>
      </c>
      <c r="L47" s="35">
        <f t="shared" si="6"/>
        <v>60.52</v>
      </c>
      <c r="M47" s="257">
        <f t="shared" si="28"/>
        <v>7.67</v>
      </c>
      <c r="N47" s="254">
        <v>2.9011039003483668E-4</v>
      </c>
      <c r="O47" s="33">
        <f t="shared" si="29"/>
        <v>94.18</v>
      </c>
      <c r="P47" s="34">
        <f t="shared" si="7"/>
        <v>6.36</v>
      </c>
      <c r="Q47" s="35">
        <f t="shared" si="44"/>
        <v>60.54</v>
      </c>
      <c r="R47" s="257">
        <f t="shared" si="45"/>
        <v>7.68</v>
      </c>
      <c r="S47" s="254">
        <v>2.8980520002727553E-4</v>
      </c>
      <c r="T47" s="33">
        <f t="shared" si="8"/>
        <v>94.09</v>
      </c>
      <c r="U47" s="34">
        <f t="shared" si="9"/>
        <v>6.35</v>
      </c>
      <c r="V47" s="35">
        <f t="shared" si="46"/>
        <v>60.48</v>
      </c>
      <c r="W47" s="257">
        <f t="shared" si="47"/>
        <v>7.67</v>
      </c>
      <c r="X47" s="254">
        <v>2.8970700669319705E-4</v>
      </c>
      <c r="Y47" s="33">
        <f t="shared" si="10"/>
        <v>94.05</v>
      </c>
      <c r="Z47" s="34">
        <f t="shared" si="11"/>
        <v>6.35</v>
      </c>
      <c r="AA47" s="35">
        <f t="shared" si="48"/>
        <v>60.46</v>
      </c>
      <c r="AB47" s="36">
        <f t="shared" si="49"/>
        <v>7.67</v>
      </c>
      <c r="AC47" s="26">
        <v>2.8523659374165569E-4</v>
      </c>
      <c r="AD47" s="33">
        <f t="shared" si="12"/>
        <v>92.6</v>
      </c>
      <c r="AE47" s="34">
        <f t="shared" si="13"/>
        <v>6.25</v>
      </c>
      <c r="AF47" s="35">
        <f t="shared" si="50"/>
        <v>59.52</v>
      </c>
      <c r="AG47" s="257">
        <f t="shared" si="51"/>
        <v>7.55</v>
      </c>
      <c r="AH47" s="254">
        <v>2.8393754746648182E-4</v>
      </c>
      <c r="AI47" s="33">
        <f t="shared" si="16"/>
        <v>92.18</v>
      </c>
      <c r="AJ47" s="34">
        <f t="shared" si="17"/>
        <v>6.22</v>
      </c>
      <c r="AK47" s="35">
        <f t="shared" si="52"/>
        <v>59.25</v>
      </c>
      <c r="AL47" s="257">
        <f t="shared" si="53"/>
        <v>7.51</v>
      </c>
      <c r="AM47" s="254">
        <v>2.8389305337706911E-4</v>
      </c>
      <c r="AN47" s="33">
        <f t="shared" si="18"/>
        <v>92.17</v>
      </c>
      <c r="AO47" s="34">
        <f t="shared" si="19"/>
        <v>6.22</v>
      </c>
      <c r="AP47" s="35">
        <f t="shared" si="54"/>
        <v>59.24</v>
      </c>
      <c r="AQ47" s="257">
        <f t="shared" si="55"/>
        <v>7.51</v>
      </c>
      <c r="AR47" s="254">
        <v>2.8391891324657588E-4</v>
      </c>
      <c r="AS47" s="33">
        <f t="shared" si="20"/>
        <v>92.17</v>
      </c>
      <c r="AT47" s="34">
        <f t="shared" si="21"/>
        <v>6.22</v>
      </c>
      <c r="AU47" s="35">
        <f t="shared" si="56"/>
        <v>59.25</v>
      </c>
      <c r="AV47" s="36">
        <f t="shared" si="57"/>
        <v>7.51</v>
      </c>
      <c r="AW47" s="254">
        <v>2.8381110651477532E-4</v>
      </c>
      <c r="AX47" s="33">
        <f t="shared" si="22"/>
        <v>92.14</v>
      </c>
      <c r="AY47" s="34">
        <f t="shared" si="23"/>
        <v>6.22</v>
      </c>
      <c r="AZ47" s="35">
        <f t="shared" si="58"/>
        <v>59.23</v>
      </c>
      <c r="BA47" s="257">
        <f t="shared" si="59"/>
        <v>7.51</v>
      </c>
      <c r="BB47" s="254">
        <v>2.8364439842363105E-4</v>
      </c>
      <c r="BC47" s="33">
        <f t="shared" si="24"/>
        <v>92.09</v>
      </c>
      <c r="BD47" s="34">
        <f t="shared" si="25"/>
        <v>6.22</v>
      </c>
      <c r="BE47" s="35">
        <f t="shared" si="60"/>
        <v>59.19</v>
      </c>
      <c r="BF47" s="257">
        <f t="shared" si="61"/>
        <v>7.5</v>
      </c>
      <c r="BG47" s="254">
        <v>2.8381658176868042E-4</v>
      </c>
      <c r="BH47" s="33">
        <f t="shared" si="26"/>
        <v>92.14</v>
      </c>
      <c r="BI47" s="34">
        <f t="shared" si="27"/>
        <v>6.22</v>
      </c>
      <c r="BJ47" s="35">
        <f t="shared" si="62"/>
        <v>59.23</v>
      </c>
      <c r="BK47" s="36">
        <f t="shared" si="63"/>
        <v>7.51</v>
      </c>
    </row>
    <row r="48" spans="1:63" ht="30" customHeight="1">
      <c r="A48" s="31">
        <v>1412000058</v>
      </c>
      <c r="B48" s="31" t="s">
        <v>49</v>
      </c>
      <c r="C48" s="32" t="s">
        <v>48</v>
      </c>
      <c r="D48" s="26">
        <v>1.2484418789688182E-3</v>
      </c>
      <c r="E48" s="33">
        <f t="shared" si="0"/>
        <v>405.31</v>
      </c>
      <c r="F48" s="34">
        <f t="shared" si="1"/>
        <v>27.36</v>
      </c>
      <c r="G48" s="35">
        <f t="shared" si="2"/>
        <v>275.11</v>
      </c>
      <c r="H48" s="36">
        <f t="shared" si="3"/>
        <v>34.020000000000003</v>
      </c>
      <c r="I48" s="26">
        <v>1.2427363466953295E-3</v>
      </c>
      <c r="J48" s="33">
        <f t="shared" si="4"/>
        <v>403.45</v>
      </c>
      <c r="K48" s="34">
        <f t="shared" si="5"/>
        <v>27.23</v>
      </c>
      <c r="L48" s="35">
        <f t="shared" si="6"/>
        <v>259.33</v>
      </c>
      <c r="M48" s="257">
        <f t="shared" si="28"/>
        <v>32.880000000000003</v>
      </c>
      <c r="N48" s="254">
        <v>1.2430412070641105E-3</v>
      </c>
      <c r="O48" s="33">
        <f t="shared" si="29"/>
        <v>403.55</v>
      </c>
      <c r="P48" s="34">
        <f t="shared" si="7"/>
        <v>27.24</v>
      </c>
      <c r="Q48" s="35">
        <f t="shared" si="44"/>
        <v>259.39999999999998</v>
      </c>
      <c r="R48" s="257">
        <f t="shared" si="45"/>
        <v>32.89</v>
      </c>
      <c r="S48" s="254">
        <v>1.2419425230368905E-3</v>
      </c>
      <c r="T48" s="33">
        <f t="shared" si="8"/>
        <v>403.2</v>
      </c>
      <c r="U48" s="34">
        <f t="shared" si="9"/>
        <v>27.21</v>
      </c>
      <c r="V48" s="35">
        <f t="shared" si="46"/>
        <v>259.17</v>
      </c>
      <c r="W48" s="257">
        <f t="shared" si="47"/>
        <v>32.86</v>
      </c>
      <c r="X48" s="254">
        <v>1.241589027034208E-3</v>
      </c>
      <c r="Y48" s="33">
        <f t="shared" si="10"/>
        <v>403.08</v>
      </c>
      <c r="Z48" s="34">
        <f t="shared" si="11"/>
        <v>27.21</v>
      </c>
      <c r="AA48" s="35">
        <f t="shared" si="48"/>
        <v>259.08999999999997</v>
      </c>
      <c r="AB48" s="36">
        <f t="shared" si="49"/>
        <v>32.85</v>
      </c>
      <c r="AC48" s="26">
        <v>1.2254955404086591E-3</v>
      </c>
      <c r="AD48" s="33">
        <f t="shared" si="12"/>
        <v>397.86</v>
      </c>
      <c r="AE48" s="34">
        <f t="shared" si="13"/>
        <v>26.85</v>
      </c>
      <c r="AF48" s="35">
        <f t="shared" si="50"/>
        <v>255.74</v>
      </c>
      <c r="AG48" s="257">
        <f t="shared" si="51"/>
        <v>32.42</v>
      </c>
      <c r="AH48" s="254">
        <v>1.2208189738180332E-3</v>
      </c>
      <c r="AI48" s="33">
        <f t="shared" si="16"/>
        <v>396.34</v>
      </c>
      <c r="AJ48" s="34">
        <f t="shared" si="17"/>
        <v>26.75</v>
      </c>
      <c r="AK48" s="35">
        <f t="shared" si="52"/>
        <v>254.76</v>
      </c>
      <c r="AL48" s="257">
        <f t="shared" si="53"/>
        <v>32.299999999999997</v>
      </c>
      <c r="AM48" s="254">
        <v>1.2206587950961472E-3</v>
      </c>
      <c r="AN48" s="33">
        <f t="shared" si="18"/>
        <v>396.29</v>
      </c>
      <c r="AO48" s="34">
        <f t="shared" si="19"/>
        <v>26.75</v>
      </c>
      <c r="AP48" s="35">
        <f t="shared" si="54"/>
        <v>254.73</v>
      </c>
      <c r="AQ48" s="257">
        <f t="shared" si="55"/>
        <v>32.299999999999997</v>
      </c>
      <c r="AR48" s="254">
        <v>1.2207518906263717E-3</v>
      </c>
      <c r="AS48" s="33">
        <f t="shared" si="20"/>
        <v>396.32</v>
      </c>
      <c r="AT48" s="34">
        <f t="shared" si="21"/>
        <v>26.75</v>
      </c>
      <c r="AU48" s="35">
        <f t="shared" si="56"/>
        <v>254.75</v>
      </c>
      <c r="AV48" s="36">
        <f t="shared" si="57"/>
        <v>32.299999999999997</v>
      </c>
      <c r="AW48" s="254">
        <v>1.2203637863918899E-3</v>
      </c>
      <c r="AX48" s="33">
        <f t="shared" si="22"/>
        <v>396.19</v>
      </c>
      <c r="AY48" s="34">
        <f t="shared" si="23"/>
        <v>26.74</v>
      </c>
      <c r="AZ48" s="35">
        <f t="shared" si="58"/>
        <v>254.66</v>
      </c>
      <c r="BA48" s="257">
        <f t="shared" si="59"/>
        <v>32.29</v>
      </c>
      <c r="BB48" s="254">
        <v>1.2197636372637702E-3</v>
      </c>
      <c r="BC48" s="33">
        <f t="shared" si="24"/>
        <v>396</v>
      </c>
      <c r="BD48" s="34">
        <f t="shared" si="25"/>
        <v>26.73</v>
      </c>
      <c r="BE48" s="35">
        <f t="shared" si="60"/>
        <v>254.54</v>
      </c>
      <c r="BF48" s="257">
        <f t="shared" si="61"/>
        <v>32.270000000000003</v>
      </c>
      <c r="BG48" s="254">
        <v>1.2203834973059484E-3</v>
      </c>
      <c r="BH48" s="33">
        <f t="shared" si="26"/>
        <v>396.2</v>
      </c>
      <c r="BI48" s="34">
        <f t="shared" si="27"/>
        <v>26.74</v>
      </c>
      <c r="BJ48" s="35">
        <f t="shared" si="62"/>
        <v>254.67</v>
      </c>
      <c r="BK48" s="36">
        <f t="shared" si="63"/>
        <v>32.29</v>
      </c>
    </row>
    <row r="49" spans="1:63" s="40" customFormat="1" ht="30" customHeight="1">
      <c r="A49" s="42">
        <v>1412000024</v>
      </c>
      <c r="B49" s="31" t="s">
        <v>50</v>
      </c>
      <c r="C49" s="43" t="s">
        <v>51</v>
      </c>
      <c r="D49" s="26">
        <v>5.6206598677425848E-2</v>
      </c>
      <c r="E49" s="38">
        <f t="shared" si="0"/>
        <v>18247.45</v>
      </c>
      <c r="F49" s="39">
        <f t="shared" si="1"/>
        <v>1231.6300000000001</v>
      </c>
      <c r="G49" s="35">
        <f t="shared" si="2"/>
        <v>12386.05</v>
      </c>
      <c r="H49" s="36">
        <f t="shared" si="3"/>
        <v>1531.48</v>
      </c>
      <c r="I49" s="26">
        <v>5.6259215260487376E-2</v>
      </c>
      <c r="J49" s="38">
        <f t="shared" si="4"/>
        <v>18264.53</v>
      </c>
      <c r="K49" s="39">
        <f t="shared" si="5"/>
        <v>1232.78</v>
      </c>
      <c r="L49" s="35">
        <f t="shared" si="6"/>
        <v>11740.13</v>
      </c>
      <c r="M49" s="257">
        <f t="shared" si="28"/>
        <v>1488.53</v>
      </c>
      <c r="N49" s="254">
        <v>5.6259520120856131E-2</v>
      </c>
      <c r="O49" s="38">
        <f t="shared" si="29"/>
        <v>18264.63</v>
      </c>
      <c r="P49" s="39">
        <f t="shared" si="7"/>
        <v>1232.79</v>
      </c>
      <c r="Q49" s="35">
        <f t="shared" si="44"/>
        <v>11740.19</v>
      </c>
      <c r="R49" s="257">
        <f t="shared" si="45"/>
        <v>1488.54</v>
      </c>
      <c r="S49" s="254">
        <v>5.6258421436828923E-2</v>
      </c>
      <c r="T49" s="38">
        <f t="shared" si="8"/>
        <v>18264.27</v>
      </c>
      <c r="U49" s="39">
        <f t="shared" si="9"/>
        <v>1232.77</v>
      </c>
      <c r="V49" s="35">
        <f t="shared" si="46"/>
        <v>11739.96</v>
      </c>
      <c r="W49" s="257">
        <f t="shared" si="47"/>
        <v>1488.51</v>
      </c>
      <c r="X49" s="254">
        <v>5.6258067940826252E-2</v>
      </c>
      <c r="Y49" s="38">
        <f t="shared" si="10"/>
        <v>18264.16</v>
      </c>
      <c r="Z49" s="39">
        <f t="shared" si="11"/>
        <v>1232.76</v>
      </c>
      <c r="AA49" s="35">
        <f t="shared" si="48"/>
        <v>11739.89</v>
      </c>
      <c r="AB49" s="36">
        <f t="shared" si="49"/>
        <v>1488.5</v>
      </c>
      <c r="AC49" s="26">
        <v>5.6241974454200684E-2</v>
      </c>
      <c r="AD49" s="38">
        <f t="shared" si="12"/>
        <v>18258.93</v>
      </c>
      <c r="AE49" s="39">
        <f t="shared" si="13"/>
        <v>1232.4100000000001</v>
      </c>
      <c r="AF49" s="35">
        <f t="shared" si="50"/>
        <v>11736.53</v>
      </c>
      <c r="AG49" s="257">
        <f t="shared" si="51"/>
        <v>1488.07</v>
      </c>
      <c r="AH49" s="254">
        <v>5.6237297887610074E-2</v>
      </c>
      <c r="AI49" s="38">
        <f t="shared" si="16"/>
        <v>18257.419999999998</v>
      </c>
      <c r="AJ49" s="39">
        <f t="shared" si="17"/>
        <v>1232.3</v>
      </c>
      <c r="AK49" s="35">
        <f t="shared" si="52"/>
        <v>11735.55</v>
      </c>
      <c r="AL49" s="257">
        <f t="shared" si="53"/>
        <v>1487.95</v>
      </c>
      <c r="AM49" s="254">
        <v>5.6237137708888163E-2</v>
      </c>
      <c r="AN49" s="38">
        <f t="shared" si="18"/>
        <v>18257.36</v>
      </c>
      <c r="AO49" s="39">
        <f t="shared" si="19"/>
        <v>1232.3</v>
      </c>
      <c r="AP49" s="35">
        <f t="shared" si="54"/>
        <v>11735.52</v>
      </c>
      <c r="AQ49" s="257">
        <f t="shared" si="55"/>
        <v>1487.95</v>
      </c>
      <c r="AR49" s="254">
        <v>5.6237230804418406E-2</v>
      </c>
      <c r="AS49" s="38">
        <f t="shared" si="20"/>
        <v>18257.39</v>
      </c>
      <c r="AT49" s="39">
        <f t="shared" si="21"/>
        <v>1232.3</v>
      </c>
      <c r="AU49" s="35">
        <f t="shared" si="56"/>
        <v>11735.54</v>
      </c>
      <c r="AV49" s="36">
        <f t="shared" si="57"/>
        <v>1487.95</v>
      </c>
      <c r="AW49" s="254">
        <v>5.623684270018392E-2</v>
      </c>
      <c r="AX49" s="38">
        <f t="shared" si="22"/>
        <v>18257.27</v>
      </c>
      <c r="AY49" s="39">
        <f t="shared" si="23"/>
        <v>1232.29</v>
      </c>
      <c r="AZ49" s="35">
        <f t="shared" si="58"/>
        <v>11735.46</v>
      </c>
      <c r="BA49" s="257">
        <f t="shared" si="59"/>
        <v>1487.94</v>
      </c>
      <c r="BB49" s="254">
        <v>5.623624255105579E-2</v>
      </c>
      <c r="BC49" s="38">
        <f t="shared" si="24"/>
        <v>18257.07</v>
      </c>
      <c r="BD49" s="39">
        <f t="shared" si="25"/>
        <v>1232.28</v>
      </c>
      <c r="BE49" s="35">
        <f t="shared" si="60"/>
        <v>11735.33</v>
      </c>
      <c r="BF49" s="257">
        <f t="shared" si="61"/>
        <v>1487.92</v>
      </c>
      <c r="BG49" s="254">
        <v>5.6236862411097994E-2</v>
      </c>
      <c r="BH49" s="38">
        <f t="shared" si="26"/>
        <v>18257.27</v>
      </c>
      <c r="BI49" s="39">
        <f t="shared" si="27"/>
        <v>1232.29</v>
      </c>
      <c r="BJ49" s="35">
        <f t="shared" si="62"/>
        <v>11735.46</v>
      </c>
      <c r="BK49" s="36">
        <f t="shared" si="63"/>
        <v>1487.94</v>
      </c>
    </row>
    <row r="50" spans="1:63" ht="30" customHeight="1">
      <c r="A50" s="31">
        <v>1412000025</v>
      </c>
      <c r="B50" s="31" t="s">
        <v>53</v>
      </c>
      <c r="C50" s="32" t="s">
        <v>5</v>
      </c>
      <c r="D50" s="26">
        <v>3.5182048107548439E-3</v>
      </c>
      <c r="E50" s="33">
        <f t="shared" si="0"/>
        <v>1142.18</v>
      </c>
      <c r="F50" s="34">
        <f t="shared" si="1"/>
        <v>77.09</v>
      </c>
      <c r="G50" s="35">
        <f t="shared" si="2"/>
        <v>775.29</v>
      </c>
      <c r="H50" s="36">
        <f t="shared" si="3"/>
        <v>95.86</v>
      </c>
      <c r="I50" s="26">
        <v>3.4544941371615428E-3</v>
      </c>
      <c r="J50" s="33">
        <f t="shared" si="4"/>
        <v>1121.5</v>
      </c>
      <c r="K50" s="34">
        <f t="shared" si="5"/>
        <v>75.7</v>
      </c>
      <c r="L50" s="35">
        <f t="shared" si="6"/>
        <v>720.88</v>
      </c>
      <c r="M50" s="257">
        <f t="shared" si="28"/>
        <v>91.4</v>
      </c>
      <c r="N50" s="254">
        <v>3.4547820608431677E-3</v>
      </c>
      <c r="O50" s="33">
        <f t="shared" si="29"/>
        <v>1121.5899999999999</v>
      </c>
      <c r="P50" s="34">
        <f t="shared" si="7"/>
        <v>75.7</v>
      </c>
      <c r="Q50" s="35">
        <f t="shared" si="44"/>
        <v>720.94</v>
      </c>
      <c r="R50" s="257">
        <f t="shared" si="45"/>
        <v>91.41</v>
      </c>
      <c r="S50" s="254">
        <v>3.4537444148174615E-3</v>
      </c>
      <c r="T50" s="33">
        <f t="shared" si="8"/>
        <v>1121.26</v>
      </c>
      <c r="U50" s="34">
        <f t="shared" si="9"/>
        <v>75.680000000000007</v>
      </c>
      <c r="V50" s="35">
        <f t="shared" si="46"/>
        <v>720.72</v>
      </c>
      <c r="W50" s="257">
        <f t="shared" si="47"/>
        <v>91.38</v>
      </c>
      <c r="X50" s="254">
        <v>3.4534105574815944E-3</v>
      </c>
      <c r="Y50" s="33">
        <f t="shared" si="10"/>
        <v>1121.1500000000001</v>
      </c>
      <c r="Z50" s="34">
        <f t="shared" si="11"/>
        <v>75.67</v>
      </c>
      <c r="AA50" s="35">
        <f t="shared" si="48"/>
        <v>720.65</v>
      </c>
      <c r="AB50" s="36">
        <f t="shared" si="49"/>
        <v>91.37</v>
      </c>
      <c r="AC50" s="26">
        <v>3.4382111534463529E-3</v>
      </c>
      <c r="AD50" s="33">
        <f t="shared" si="12"/>
        <v>1116.21</v>
      </c>
      <c r="AE50" s="34">
        <f t="shared" si="13"/>
        <v>75.34</v>
      </c>
      <c r="AF50" s="35">
        <f t="shared" si="50"/>
        <v>717.48</v>
      </c>
      <c r="AG50" s="257">
        <f t="shared" si="51"/>
        <v>90.97</v>
      </c>
      <c r="AH50" s="254">
        <v>3.4337943961107631E-3</v>
      </c>
      <c r="AI50" s="33">
        <f t="shared" si="16"/>
        <v>1114.78</v>
      </c>
      <c r="AJ50" s="34">
        <f t="shared" si="17"/>
        <v>75.239999999999995</v>
      </c>
      <c r="AK50" s="35">
        <f t="shared" si="52"/>
        <v>716.56</v>
      </c>
      <c r="AL50" s="257">
        <f t="shared" si="53"/>
        <v>90.85</v>
      </c>
      <c r="AM50" s="254">
        <v>3.4336431162067583E-3</v>
      </c>
      <c r="AN50" s="33">
        <f t="shared" si="18"/>
        <v>1114.73</v>
      </c>
      <c r="AO50" s="34">
        <f t="shared" si="19"/>
        <v>75.239999999999995</v>
      </c>
      <c r="AP50" s="35">
        <f t="shared" si="54"/>
        <v>716.53</v>
      </c>
      <c r="AQ50" s="257">
        <f t="shared" si="55"/>
        <v>90.85</v>
      </c>
      <c r="AR50" s="254">
        <v>3.4337310397630823E-3</v>
      </c>
      <c r="AS50" s="33">
        <f t="shared" si="20"/>
        <v>1114.76</v>
      </c>
      <c r="AT50" s="34">
        <f t="shared" si="21"/>
        <v>75.239999999999995</v>
      </c>
      <c r="AU50" s="35">
        <f t="shared" si="56"/>
        <v>716.55</v>
      </c>
      <c r="AV50" s="36">
        <f t="shared" si="57"/>
        <v>90.85</v>
      </c>
      <c r="AW50" s="254">
        <v>3.43336449687496E-3</v>
      </c>
      <c r="AX50" s="33">
        <f t="shared" si="22"/>
        <v>1114.6400000000001</v>
      </c>
      <c r="AY50" s="34">
        <f t="shared" si="23"/>
        <v>75.23</v>
      </c>
      <c r="AZ50" s="35">
        <f t="shared" si="58"/>
        <v>716.47</v>
      </c>
      <c r="BA50" s="257">
        <f t="shared" si="59"/>
        <v>90.84</v>
      </c>
      <c r="BB50" s="254">
        <v>3.432797689365069E-3</v>
      </c>
      <c r="BC50" s="33">
        <f t="shared" si="24"/>
        <v>1114.46</v>
      </c>
      <c r="BD50" s="34">
        <f t="shared" si="25"/>
        <v>75.22</v>
      </c>
      <c r="BE50" s="35">
        <f t="shared" si="60"/>
        <v>716.35</v>
      </c>
      <c r="BF50" s="257">
        <f t="shared" si="61"/>
        <v>90.83</v>
      </c>
      <c r="BG50" s="254">
        <v>3.4333831127382388E-3</v>
      </c>
      <c r="BH50" s="33">
        <f t="shared" si="26"/>
        <v>1114.6500000000001</v>
      </c>
      <c r="BI50" s="34">
        <f t="shared" si="27"/>
        <v>75.23</v>
      </c>
      <c r="BJ50" s="35">
        <f t="shared" si="62"/>
        <v>716.48</v>
      </c>
      <c r="BK50" s="36">
        <f t="shared" si="63"/>
        <v>90.84</v>
      </c>
    </row>
    <row r="51" spans="1:63" ht="30" customHeight="1">
      <c r="A51" s="31">
        <v>1412000091</v>
      </c>
      <c r="B51" s="31" t="s">
        <v>116</v>
      </c>
      <c r="C51" s="32" t="s">
        <v>117</v>
      </c>
      <c r="D51" s="26">
        <v>1.3996682730913648E-3</v>
      </c>
      <c r="E51" s="33">
        <f t="shared" si="0"/>
        <v>454.4</v>
      </c>
      <c r="F51" s="34">
        <f t="shared" si="1"/>
        <v>30.67</v>
      </c>
      <c r="G51" s="35">
        <f t="shared" si="2"/>
        <v>308.44</v>
      </c>
      <c r="H51" s="36">
        <f t="shared" si="3"/>
        <v>38.14</v>
      </c>
      <c r="I51" s="26">
        <v>1.3867651162824764E-3</v>
      </c>
      <c r="J51" s="33">
        <f t="shared" si="4"/>
        <v>450.21</v>
      </c>
      <c r="K51" s="34">
        <f t="shared" si="5"/>
        <v>30.39</v>
      </c>
      <c r="L51" s="35">
        <f t="shared" si="6"/>
        <v>289.39</v>
      </c>
      <c r="M51" s="257">
        <f t="shared" si="28"/>
        <v>36.69</v>
      </c>
      <c r="N51" s="254">
        <v>1.389839336677546E-3</v>
      </c>
      <c r="O51" s="33">
        <f t="shared" si="29"/>
        <v>451.21</v>
      </c>
      <c r="P51" s="34">
        <f t="shared" si="7"/>
        <v>30.45</v>
      </c>
      <c r="Q51" s="35">
        <f t="shared" si="44"/>
        <v>290.02999999999997</v>
      </c>
      <c r="R51" s="257">
        <f t="shared" si="45"/>
        <v>36.770000000000003</v>
      </c>
      <c r="S51" s="254">
        <v>1.3276302723902894E-3</v>
      </c>
      <c r="T51" s="33">
        <f t="shared" si="8"/>
        <v>431.01</v>
      </c>
      <c r="U51" s="34">
        <f t="shared" si="9"/>
        <v>29.09</v>
      </c>
      <c r="V51" s="35">
        <f t="shared" si="46"/>
        <v>277.05</v>
      </c>
      <c r="W51" s="257">
        <f t="shared" si="47"/>
        <v>35.130000000000003</v>
      </c>
      <c r="X51" s="254">
        <v>1.3007875434787085E-3</v>
      </c>
      <c r="Y51" s="33">
        <f t="shared" si="10"/>
        <v>422.3</v>
      </c>
      <c r="Z51" s="34">
        <f t="shared" si="11"/>
        <v>28.5</v>
      </c>
      <c r="AA51" s="35">
        <f t="shared" si="48"/>
        <v>271.45</v>
      </c>
      <c r="AB51" s="36">
        <f t="shared" si="49"/>
        <v>34.42</v>
      </c>
      <c r="AC51" s="26">
        <v>1.2257026555353588E-3</v>
      </c>
      <c r="AD51" s="33">
        <f t="shared" si="12"/>
        <v>397.92</v>
      </c>
      <c r="AE51" s="34">
        <f t="shared" si="13"/>
        <v>26.86</v>
      </c>
      <c r="AF51" s="35">
        <f t="shared" si="50"/>
        <v>255.78</v>
      </c>
      <c r="AG51" s="257">
        <f t="shared" si="51"/>
        <v>32.43</v>
      </c>
      <c r="AH51" s="254">
        <v>1.1561508692033123E-3</v>
      </c>
      <c r="AI51" s="33">
        <f t="shared" si="16"/>
        <v>375.34</v>
      </c>
      <c r="AJ51" s="34">
        <f t="shared" si="17"/>
        <v>25.33</v>
      </c>
      <c r="AK51" s="35">
        <f t="shared" si="52"/>
        <v>241.26</v>
      </c>
      <c r="AL51" s="257">
        <f t="shared" si="53"/>
        <v>30.59</v>
      </c>
      <c r="AM51" s="254">
        <v>1.1547404706919564E-3</v>
      </c>
      <c r="AN51" s="33">
        <f t="shared" si="18"/>
        <v>374.89</v>
      </c>
      <c r="AO51" s="34">
        <f t="shared" si="19"/>
        <v>25.3</v>
      </c>
      <c r="AP51" s="35">
        <f t="shared" si="54"/>
        <v>240.97</v>
      </c>
      <c r="AQ51" s="257">
        <f t="shared" si="55"/>
        <v>30.55</v>
      </c>
      <c r="AR51" s="254">
        <v>1.1566796318266215E-3</v>
      </c>
      <c r="AS51" s="33">
        <f t="shared" si="20"/>
        <v>375.52</v>
      </c>
      <c r="AT51" s="34">
        <f t="shared" si="21"/>
        <v>25.35</v>
      </c>
      <c r="AU51" s="35">
        <f t="shared" si="56"/>
        <v>241.37</v>
      </c>
      <c r="AV51" s="36">
        <f t="shared" si="57"/>
        <v>30.6</v>
      </c>
      <c r="AW51" s="254">
        <v>1.1437384491428276E-3</v>
      </c>
      <c r="AX51" s="33">
        <f t="shared" si="22"/>
        <v>371.31</v>
      </c>
      <c r="AY51" s="34">
        <f t="shared" si="23"/>
        <v>25.06</v>
      </c>
      <c r="AZ51" s="35">
        <f t="shared" si="58"/>
        <v>238.67</v>
      </c>
      <c r="BA51" s="257">
        <f t="shared" si="59"/>
        <v>30.26</v>
      </c>
      <c r="BB51" s="254">
        <v>1.1020060175599062E-3</v>
      </c>
      <c r="BC51" s="33">
        <f t="shared" si="24"/>
        <v>357.77</v>
      </c>
      <c r="BD51" s="34">
        <f t="shared" si="25"/>
        <v>24.15</v>
      </c>
      <c r="BE51" s="35">
        <f t="shared" si="60"/>
        <v>229.97</v>
      </c>
      <c r="BF51" s="257">
        <f t="shared" si="61"/>
        <v>29.16</v>
      </c>
      <c r="BG51" s="254">
        <v>1.1350277737634364E-3</v>
      </c>
      <c r="BH51" s="33">
        <f t="shared" si="26"/>
        <v>368.49</v>
      </c>
      <c r="BI51" s="34">
        <f t="shared" si="27"/>
        <v>24.87</v>
      </c>
      <c r="BJ51" s="35">
        <f t="shared" si="62"/>
        <v>236.86</v>
      </c>
      <c r="BK51" s="36">
        <f t="shared" si="63"/>
        <v>30.03</v>
      </c>
    </row>
    <row r="52" spans="1:63" s="40" customFormat="1" ht="30" customHeight="1">
      <c r="A52" s="42">
        <v>1412000093</v>
      </c>
      <c r="B52" s="31" t="s">
        <v>123</v>
      </c>
      <c r="C52" s="43" t="s">
        <v>154</v>
      </c>
      <c r="D52" s="26">
        <v>3.4993269201003978E-4</v>
      </c>
      <c r="E52" s="38">
        <f t="shared" si="0"/>
        <v>113.61</v>
      </c>
      <c r="F52" s="39">
        <f t="shared" si="1"/>
        <v>7.67</v>
      </c>
      <c r="G52" s="35">
        <f t="shared" si="2"/>
        <v>77.11</v>
      </c>
      <c r="H52" s="36">
        <f t="shared" si="3"/>
        <v>9.5299999999999994</v>
      </c>
      <c r="I52" s="26">
        <v>4.0603598923868962E-4</v>
      </c>
      <c r="J52" s="38">
        <f t="shared" si="4"/>
        <v>131.82</v>
      </c>
      <c r="K52" s="39">
        <f t="shared" si="5"/>
        <v>8.9</v>
      </c>
      <c r="L52" s="35">
        <f t="shared" si="6"/>
        <v>84.73</v>
      </c>
      <c r="M52" s="257">
        <f t="shared" si="28"/>
        <v>10.74</v>
      </c>
      <c r="N52" s="254">
        <v>4.0615454604877124E-4</v>
      </c>
      <c r="O52" s="38">
        <f t="shared" si="29"/>
        <v>131.86000000000001</v>
      </c>
      <c r="P52" s="39">
        <f t="shared" si="7"/>
        <v>8.9</v>
      </c>
      <c r="Q52" s="35">
        <f t="shared" si="44"/>
        <v>84.76</v>
      </c>
      <c r="R52" s="257">
        <f t="shared" si="45"/>
        <v>10.75</v>
      </c>
      <c r="S52" s="254">
        <v>4.0572728003818566E-4</v>
      </c>
      <c r="T52" s="38">
        <f t="shared" si="8"/>
        <v>131.72</v>
      </c>
      <c r="U52" s="39">
        <f t="shared" si="9"/>
        <v>8.89</v>
      </c>
      <c r="V52" s="35">
        <f t="shared" si="46"/>
        <v>84.67</v>
      </c>
      <c r="W52" s="257">
        <f t="shared" si="47"/>
        <v>10.73</v>
      </c>
      <c r="X52" s="254">
        <v>4.0558980937047579E-4</v>
      </c>
      <c r="Y52" s="38">
        <f t="shared" si="10"/>
        <v>131.66999999999999</v>
      </c>
      <c r="Z52" s="39">
        <f t="shared" si="11"/>
        <v>8.89</v>
      </c>
      <c r="AA52" s="35">
        <f t="shared" si="48"/>
        <v>84.64</v>
      </c>
      <c r="AB52" s="36">
        <f t="shared" si="49"/>
        <v>10.73</v>
      </c>
      <c r="AC52" s="26">
        <v>3.9933123123831799E-4</v>
      </c>
      <c r="AD52" s="38">
        <f t="shared" si="12"/>
        <v>129.63999999999999</v>
      </c>
      <c r="AE52" s="39">
        <f t="shared" si="13"/>
        <v>8.75</v>
      </c>
      <c r="AF52" s="35">
        <f t="shared" si="50"/>
        <v>83.33</v>
      </c>
      <c r="AG52" s="257">
        <f t="shared" si="51"/>
        <v>10.57</v>
      </c>
      <c r="AH52" s="254">
        <v>3.9751256645307459E-4</v>
      </c>
      <c r="AI52" s="38">
        <f t="shared" si="16"/>
        <v>129.05000000000001</v>
      </c>
      <c r="AJ52" s="39">
        <f t="shared" si="17"/>
        <v>8.7100000000000009</v>
      </c>
      <c r="AK52" s="35">
        <f t="shared" si="52"/>
        <v>82.95</v>
      </c>
      <c r="AL52" s="257">
        <f t="shared" si="53"/>
        <v>10.52</v>
      </c>
      <c r="AM52" s="254">
        <v>3.9745027472789672E-4</v>
      </c>
      <c r="AN52" s="38">
        <f t="shared" si="18"/>
        <v>129.03</v>
      </c>
      <c r="AO52" s="39">
        <f t="shared" si="19"/>
        <v>8.7100000000000009</v>
      </c>
      <c r="AP52" s="35">
        <f t="shared" si="54"/>
        <v>82.94</v>
      </c>
      <c r="AQ52" s="257">
        <f t="shared" si="55"/>
        <v>10.52</v>
      </c>
      <c r="AR52" s="254">
        <v>3.9748647854520624E-4</v>
      </c>
      <c r="AS52" s="38">
        <f t="shared" si="20"/>
        <v>129.04</v>
      </c>
      <c r="AT52" s="39">
        <f t="shared" si="21"/>
        <v>8.7100000000000009</v>
      </c>
      <c r="AU52" s="35">
        <f t="shared" si="56"/>
        <v>82.95</v>
      </c>
      <c r="AV52" s="36">
        <f t="shared" si="57"/>
        <v>10.52</v>
      </c>
      <c r="AW52" s="254">
        <v>3.9733554912068546E-4</v>
      </c>
      <c r="AX52" s="38">
        <f t="shared" si="22"/>
        <v>128.99</v>
      </c>
      <c r="AY52" s="39">
        <f t="shared" si="23"/>
        <v>8.7100000000000009</v>
      </c>
      <c r="AZ52" s="35">
        <f t="shared" si="58"/>
        <v>82.92</v>
      </c>
      <c r="BA52" s="257">
        <f t="shared" si="59"/>
        <v>10.51</v>
      </c>
      <c r="BB52" s="254">
        <v>3.9710215779308343E-4</v>
      </c>
      <c r="BC52" s="38">
        <f t="shared" si="24"/>
        <v>128.91999999999999</v>
      </c>
      <c r="BD52" s="39">
        <f t="shared" si="25"/>
        <v>8.6999999999999993</v>
      </c>
      <c r="BE52" s="35">
        <f t="shared" si="60"/>
        <v>82.87</v>
      </c>
      <c r="BF52" s="257">
        <f t="shared" si="61"/>
        <v>10.51</v>
      </c>
      <c r="BG52" s="254">
        <v>3.9734321447615258E-4</v>
      </c>
      <c r="BH52" s="38">
        <f t="shared" si="26"/>
        <v>129</v>
      </c>
      <c r="BI52" s="39">
        <f t="shared" si="27"/>
        <v>8.7100000000000009</v>
      </c>
      <c r="BJ52" s="35">
        <f t="shared" si="62"/>
        <v>82.92</v>
      </c>
      <c r="BK52" s="36">
        <f t="shared" si="63"/>
        <v>10.51</v>
      </c>
    </row>
    <row r="53" spans="1:63" s="48" customFormat="1" ht="30" customHeight="1">
      <c r="A53" s="322">
        <v>1412000026</v>
      </c>
      <c r="B53" s="322" t="s">
        <v>54</v>
      </c>
      <c r="C53" s="323" t="s">
        <v>6</v>
      </c>
      <c r="D53" s="324">
        <v>0.16315828656305192</v>
      </c>
      <c r="E53" s="325">
        <f>ROUND($E$5*D53,2)-0.01+0.05-0.05-0.01+0.07-0.05</f>
        <v>52969.26999999999</v>
      </c>
      <c r="F53" s="326">
        <f>ROUND($F$5*D53,2)-0.03+0.05-0.01-0.06</f>
        <v>3575.1699999999996</v>
      </c>
      <c r="G53" s="325">
        <f>ROUND($G$5*D53,2)-0.01+0.04-0.03-0.01+0.03+0.01</f>
        <v>35954.659999999996</v>
      </c>
      <c r="H53" s="327">
        <f>ROUND($H$5*D53,2)+0.02-0.04-0.01+0.02+0.01+0.02</f>
        <v>4445.6400000000012</v>
      </c>
      <c r="I53" s="328">
        <v>0.16315065404382012</v>
      </c>
      <c r="J53" s="325">
        <f>ROUND($E$5*I53,2)+0.02</f>
        <v>52966.81</v>
      </c>
      <c r="K53" s="326">
        <f>ROUND($F$5*I53,2)-0.04</f>
        <v>3575.01</v>
      </c>
      <c r="L53" s="325">
        <f>ROUND($L$5*I53,2)-0.02</f>
        <v>34046.120000000003</v>
      </c>
      <c r="M53" s="327">
        <f>ROUND($M$5*I53,2)+0.02-0.01</f>
        <v>4316.72</v>
      </c>
      <c r="N53" s="328">
        <v>0.16315446435224346</v>
      </c>
      <c r="O53" s="325">
        <f>ROUND($E$5*N53,2)</f>
        <v>52968.03</v>
      </c>
      <c r="P53" s="326">
        <f>ROUND($F$5*N53,2)-0.01+0.02</f>
        <v>3575.14</v>
      </c>
      <c r="Q53" s="325">
        <f>ROUND($L$5*N53,2)-0.04</f>
        <v>34046.9</v>
      </c>
      <c r="R53" s="327">
        <f>ROUND($M$5*N53,2)+0.02</f>
        <v>4316.8300000000008</v>
      </c>
      <c r="S53" s="328">
        <v>0.16315360982022234</v>
      </c>
      <c r="T53" s="325">
        <f>ROUND($E$5*S53,2)-0.01</f>
        <v>52967.74</v>
      </c>
      <c r="U53" s="326">
        <f>ROUND($F$5*S53,2)-0.01+0.04</f>
        <v>3575.14</v>
      </c>
      <c r="V53" s="325">
        <f>ROUND($L$5*S53,2)+0.03</f>
        <v>34046.79</v>
      </c>
      <c r="W53" s="327">
        <f t="shared" si="47"/>
        <v>4316.79</v>
      </c>
      <c r="X53" s="328">
        <v>0.16315333487888697</v>
      </c>
      <c r="Y53" s="325">
        <f>ROUND($E$5*X53,2)-0.02</f>
        <v>52967.640000000007</v>
      </c>
      <c r="Z53" s="326">
        <f>ROUND($F$5*X53,2)-0.03</f>
        <v>3575.08</v>
      </c>
      <c r="AA53" s="325">
        <f t="shared" si="48"/>
        <v>34046.699999999997</v>
      </c>
      <c r="AB53" s="326">
        <f>ROUND($M$5*X53,2)-0.02</f>
        <v>4316.7599999999993</v>
      </c>
      <c r="AC53" s="328">
        <v>0.16314081772262259</v>
      </c>
      <c r="AD53" s="325">
        <f>ROUND($E$5*AC53,2)-0.02</f>
        <v>52963.58</v>
      </c>
      <c r="AE53" s="326">
        <f>ROUND($F$5*AC53,2)+0.01</f>
        <v>3574.84</v>
      </c>
      <c r="AF53" s="325">
        <f>ROUND($L$5*AC53,2)+0.01</f>
        <v>34044.1</v>
      </c>
      <c r="AG53" s="327">
        <f t="shared" si="51"/>
        <v>4316.45</v>
      </c>
      <c r="AH53" s="328">
        <v>0.16314221356938116</v>
      </c>
      <c r="AI53" s="325">
        <f>ROUND($E$5*AH53,2)-0.02</f>
        <v>52964.030000000006</v>
      </c>
      <c r="AJ53" s="326">
        <f>ROUND($F$5*AH53,2)-0.01+0.04</f>
        <v>3574.89</v>
      </c>
      <c r="AK53" s="325">
        <f>ROUND($L$5*AH53,2)+0.01</f>
        <v>34044.39</v>
      </c>
      <c r="AL53" s="327">
        <f>ROUND($M$5*AH53,2)+0.01</f>
        <v>4316.5</v>
      </c>
      <c r="AM53" s="328">
        <v>0.16314208898593077</v>
      </c>
      <c r="AN53" s="325">
        <f>ROUND($E$5*AM53,2)-0.04</f>
        <v>52963.97</v>
      </c>
      <c r="AO53" s="326">
        <f>ROUND($F$5*AM53,2)</f>
        <v>3574.86</v>
      </c>
      <c r="AP53" s="325">
        <f>ROUND($L$5*AM53,2)-0.01</f>
        <v>34044.339999999997</v>
      </c>
      <c r="AQ53" s="327">
        <f>ROUND($M$5*AM53,2)-0.01</f>
        <v>4316.4699999999993</v>
      </c>
      <c r="AR53" s="328">
        <v>0.16314216139356544</v>
      </c>
      <c r="AS53" s="325">
        <f>ROUND($E$5*AR53,2)+0.01</f>
        <v>52964.04</v>
      </c>
      <c r="AT53" s="326">
        <f>ROUND($F$5*AR53,2)+0.01</f>
        <v>3574.8700000000003</v>
      </c>
      <c r="AU53" s="325">
        <f t="shared" si="56"/>
        <v>34044.370000000003</v>
      </c>
      <c r="AV53" s="326">
        <f>ROUND($M$5*AR53,2)-0.02</f>
        <v>4316.4699999999993</v>
      </c>
      <c r="AW53" s="328">
        <v>0.16314185953471638</v>
      </c>
      <c r="AX53" s="325">
        <f>ROUND($E$5*AW53,2)</f>
        <v>52963.94</v>
      </c>
      <c r="AY53" s="326">
        <f>ROUND($F$5*AW53,2)</f>
        <v>3574.86</v>
      </c>
      <c r="AZ53" s="325">
        <f>ROUND($L$5*AW53,2)+0.02</f>
        <v>34044.329999999994</v>
      </c>
      <c r="BA53" s="327">
        <f>ROUND($M$5*AW53,2)+0.01</f>
        <v>4316.49</v>
      </c>
      <c r="BB53" s="328">
        <v>0.16314139275206116</v>
      </c>
      <c r="BC53" s="325">
        <f>ROUND($E$5*BB53,2)-0.01</f>
        <v>52963.77</v>
      </c>
      <c r="BD53" s="326">
        <f>ROUND($F$5*BB53,2)+0.01</f>
        <v>3574.86</v>
      </c>
      <c r="BE53" s="325">
        <f>ROUND($L$5*BB53,2)-0.01</f>
        <v>34044.199999999997</v>
      </c>
      <c r="BF53" s="327">
        <f>ROUND($M$5*BB53,2)-0.02</f>
        <v>4316.45</v>
      </c>
      <c r="BG53" s="328">
        <v>0.16314187486542742</v>
      </c>
      <c r="BH53" s="325">
        <f>ROUND($E$5*BG53,2)</f>
        <v>52963.94</v>
      </c>
      <c r="BI53" s="326">
        <f>ROUND($F$5*BG53,2)</f>
        <v>3574.86</v>
      </c>
      <c r="BJ53" s="325">
        <f>ROUND($L$5*BG53,2)-0.01</f>
        <v>34044.299999999996</v>
      </c>
      <c r="BK53" s="326">
        <f>ROUND($M$5*BG53,2)+0.03</f>
        <v>4316.5099999999993</v>
      </c>
    </row>
    <row r="54" spans="1:63" ht="30" customHeight="1">
      <c r="A54" s="31">
        <v>1412000057</v>
      </c>
      <c r="B54" s="31" t="s">
        <v>71</v>
      </c>
      <c r="C54" s="32" t="s">
        <v>72</v>
      </c>
      <c r="D54" s="26">
        <v>4.5950824355883957E-4</v>
      </c>
      <c r="E54" s="33">
        <f t="shared" ref="E54:E59" si="86">ROUND($E$5*D54,2)</f>
        <v>149.18</v>
      </c>
      <c r="F54" s="34">
        <f t="shared" ref="F54:F59" si="87">ROUND($F$5*D54,2)</f>
        <v>10.07</v>
      </c>
      <c r="G54" s="35">
        <f t="shared" ref="G54:G59" si="88">ROUND($G$5*D54,2)</f>
        <v>101.26</v>
      </c>
      <c r="H54" s="36">
        <f t="shared" ref="H54:H59" si="89">ROUND($H$5*D54,2)</f>
        <v>12.52</v>
      </c>
      <c r="I54" s="26">
        <v>4.5881615148119642E-4</v>
      </c>
      <c r="J54" s="33">
        <f t="shared" ref="J54:J66" si="90">ROUND($E$5*I54,2)</f>
        <v>148.94999999999999</v>
      </c>
      <c r="K54" s="34">
        <f t="shared" ref="K54:K66" si="91">ROUND($F$5*I54,2)</f>
        <v>10.050000000000001</v>
      </c>
      <c r="L54" s="35">
        <f t="shared" ref="L54:L66" si="92">ROUND($L$5*I54,2)</f>
        <v>95.75</v>
      </c>
      <c r="M54" s="257">
        <f t="shared" ref="M54:M66" si="93">ROUND($M$5*I54,2)</f>
        <v>12.14</v>
      </c>
      <c r="N54" s="254">
        <v>4.5896858166558714E-4</v>
      </c>
      <c r="O54" s="33">
        <f t="shared" ref="O54:O66" si="94">ROUND($E$5*N54,2)</f>
        <v>149</v>
      </c>
      <c r="P54" s="34">
        <f t="shared" ref="P54:P66" si="95">ROUND($F$5*N54,2)</f>
        <v>10.06</v>
      </c>
      <c r="Q54" s="35">
        <f t="shared" si="44"/>
        <v>95.78</v>
      </c>
      <c r="R54" s="257">
        <f t="shared" si="45"/>
        <v>12.14</v>
      </c>
      <c r="S54" s="254">
        <v>4.5841923965197703E-4</v>
      </c>
      <c r="T54" s="33">
        <f t="shared" ref="T54:T66" si="96">ROUND($E$5*S54,2)</f>
        <v>148.83000000000001</v>
      </c>
      <c r="U54" s="34">
        <f t="shared" ref="U54:U66" si="97">ROUND($F$5*S54,2)</f>
        <v>10.050000000000001</v>
      </c>
      <c r="V54" s="35">
        <f t="shared" si="46"/>
        <v>95.66</v>
      </c>
      <c r="W54" s="257">
        <f t="shared" si="47"/>
        <v>12.13</v>
      </c>
      <c r="X54" s="254">
        <v>4.5824249165063582E-4</v>
      </c>
      <c r="Y54" s="33">
        <f t="shared" ref="Y54:Y61" si="98">ROUND($E$5*X54,2)</f>
        <v>148.77000000000001</v>
      </c>
      <c r="Z54" s="34">
        <f t="shared" ref="Z54:Z61" si="99">ROUND($F$5*X54,2)</f>
        <v>10.039999999999999</v>
      </c>
      <c r="AA54" s="35">
        <f t="shared" si="48"/>
        <v>95.63</v>
      </c>
      <c r="AB54" s="36">
        <f t="shared" si="49"/>
        <v>12.12</v>
      </c>
      <c r="AC54" s="26">
        <v>4.8348885500971989E-4</v>
      </c>
      <c r="AD54" s="33">
        <f t="shared" ref="AD54:AD66" si="100">ROUND($E$5*AC54,2)</f>
        <v>156.96</v>
      </c>
      <c r="AE54" s="34">
        <f t="shared" ref="AE54:AE66" si="101">ROUND($F$5*AC54,2)</f>
        <v>10.59</v>
      </c>
      <c r="AF54" s="35">
        <f t="shared" si="50"/>
        <v>100.89</v>
      </c>
      <c r="AG54" s="257">
        <f t="shared" si="51"/>
        <v>12.79</v>
      </c>
      <c r="AH54" s="254">
        <v>4.7344319656146983E-4</v>
      </c>
      <c r="AI54" s="33">
        <f t="shared" ref="AI54:AI66" si="102">ROUND($E$5*AH54,2)</f>
        <v>153.69999999999999</v>
      </c>
      <c r="AJ54" s="34">
        <f t="shared" ref="AJ54:AJ66" si="103">ROUND($F$5*AH54,2)</f>
        <v>10.37</v>
      </c>
      <c r="AK54" s="35">
        <f t="shared" si="52"/>
        <v>98.8</v>
      </c>
      <c r="AL54" s="257">
        <f t="shared" si="53"/>
        <v>12.53</v>
      </c>
      <c r="AM54" s="254">
        <v>4.7335420838264441E-4</v>
      </c>
      <c r="AN54" s="33">
        <f t="shared" ref="AN54:AN66" si="104">ROUND($E$5*AM54,2)</f>
        <v>153.66999999999999</v>
      </c>
      <c r="AO54" s="34">
        <f t="shared" ref="AO54:AO66" si="105">ROUND($F$5*AM54,2)</f>
        <v>10.37</v>
      </c>
      <c r="AP54" s="35">
        <f t="shared" si="54"/>
        <v>98.78</v>
      </c>
      <c r="AQ54" s="257">
        <f t="shared" si="55"/>
        <v>12.52</v>
      </c>
      <c r="AR54" s="254">
        <v>4.7340592812165796E-4</v>
      </c>
      <c r="AS54" s="33">
        <f t="shared" ref="AS54:AS66" si="106">ROUND($E$5*AR54,2)</f>
        <v>153.69</v>
      </c>
      <c r="AT54" s="34">
        <f t="shared" ref="AT54:AT66" si="107">ROUND($F$5*AR54,2)</f>
        <v>10.37</v>
      </c>
      <c r="AU54" s="35">
        <f t="shared" si="56"/>
        <v>98.79</v>
      </c>
      <c r="AV54" s="36">
        <f t="shared" si="57"/>
        <v>12.53</v>
      </c>
      <c r="AW54" s="254">
        <v>4.7319031465805684E-4</v>
      </c>
      <c r="AX54" s="33">
        <f t="shared" ref="AX54:AX66" si="108">ROUND($E$5*AW54,2)</f>
        <v>153.62</v>
      </c>
      <c r="AY54" s="34">
        <f t="shared" ref="AY54:AY66" si="109">ROUND($F$5*AW54,2)</f>
        <v>10.37</v>
      </c>
      <c r="AZ54" s="35">
        <f t="shared" si="58"/>
        <v>98.74</v>
      </c>
      <c r="BA54" s="257">
        <f t="shared" si="59"/>
        <v>12.52</v>
      </c>
      <c r="BB54" s="254">
        <v>4.728568984757683E-4</v>
      </c>
      <c r="BC54" s="33">
        <f t="shared" ref="BC54:BC66" si="110">ROUND($E$5*BB54,2)</f>
        <v>153.51</v>
      </c>
      <c r="BD54" s="34">
        <f t="shared" ref="BD54:BD66" si="111">ROUND($F$5*BB54,2)</f>
        <v>10.36</v>
      </c>
      <c r="BE54" s="35">
        <f t="shared" si="60"/>
        <v>98.68</v>
      </c>
      <c r="BF54" s="257">
        <f t="shared" si="61"/>
        <v>12.51</v>
      </c>
      <c r="BG54" s="254">
        <v>4.7320126516586694E-4</v>
      </c>
      <c r="BH54" s="33">
        <f t="shared" ref="BH54:BH66" si="112">ROUND($E$5*BG54,2)</f>
        <v>153.62</v>
      </c>
      <c r="BI54" s="34">
        <f t="shared" ref="BI54:BI66" si="113">ROUND($F$5*BG54,2)</f>
        <v>10.37</v>
      </c>
      <c r="BJ54" s="35">
        <f t="shared" si="62"/>
        <v>98.75</v>
      </c>
      <c r="BK54" s="36">
        <f t="shared" si="63"/>
        <v>12.52</v>
      </c>
    </row>
    <row r="55" spans="1:63" ht="30" customHeight="1">
      <c r="A55" s="314">
        <v>1412000101</v>
      </c>
      <c r="B55" s="314" t="s">
        <v>73</v>
      </c>
      <c r="C55" s="315" t="s">
        <v>190</v>
      </c>
      <c r="D55" s="321">
        <v>4.0845177205230181E-4</v>
      </c>
      <c r="E55" s="317">
        <f>ROUND($E$5*D55,2)</f>
        <v>132.6</v>
      </c>
      <c r="F55" s="318">
        <f>ROUND($F$5*D55,2)</f>
        <v>8.9499999999999993</v>
      </c>
      <c r="G55" s="317">
        <f>ROUND($G$5*D55,2)</f>
        <v>90.01</v>
      </c>
      <c r="H55" s="318">
        <f>ROUND($H$5*D55,2)</f>
        <v>11.13</v>
      </c>
      <c r="I55" s="321">
        <v>4.078365790943968E-4</v>
      </c>
      <c r="J55" s="317">
        <f t="shared" ref="J55" si="114">ROUND($E$5*I55,2)</f>
        <v>132.4</v>
      </c>
      <c r="K55" s="318">
        <f t="shared" ref="K55" si="115">ROUND($F$5*I55,2)</f>
        <v>8.94</v>
      </c>
      <c r="L55" s="317">
        <f t="shared" si="92"/>
        <v>85.11</v>
      </c>
      <c r="M55" s="319">
        <f t="shared" ref="M55" si="116">ROUND($M$5*I55,2)</f>
        <v>10.79</v>
      </c>
      <c r="N55" s="320">
        <v>4.0797207259163305E-4</v>
      </c>
      <c r="O55" s="317">
        <f t="shared" ref="O55" si="117">ROUND($E$5*N55,2)</f>
        <v>132.44999999999999</v>
      </c>
      <c r="P55" s="318">
        <f t="shared" ref="P55" si="118">ROUND($F$5*N55,2)</f>
        <v>8.94</v>
      </c>
      <c r="Q55" s="317">
        <f t="shared" si="44"/>
        <v>85.14</v>
      </c>
      <c r="R55" s="319">
        <f t="shared" si="45"/>
        <v>10.79</v>
      </c>
      <c r="S55" s="320">
        <v>4.0748376857953518E-4</v>
      </c>
      <c r="T55" s="317">
        <f t="shared" ref="T55" si="119">ROUND($E$5*S55,2)</f>
        <v>132.29</v>
      </c>
      <c r="U55" s="318">
        <f t="shared" ref="U55" si="120">ROUND($F$5*S55,2)</f>
        <v>8.93</v>
      </c>
      <c r="V55" s="317">
        <f t="shared" si="46"/>
        <v>85.03</v>
      </c>
      <c r="W55" s="319">
        <f t="shared" si="47"/>
        <v>10.78</v>
      </c>
      <c r="X55" s="320">
        <v>4.0732665924500967E-4</v>
      </c>
      <c r="Y55" s="317">
        <f t="shared" ref="Y55" si="121">ROUND($E$5*X55,2)</f>
        <v>132.24</v>
      </c>
      <c r="Z55" s="318">
        <f t="shared" ref="Z55" si="122">ROUND($F$5*X55,2)</f>
        <v>8.93</v>
      </c>
      <c r="AA55" s="317">
        <f t="shared" si="48"/>
        <v>85</v>
      </c>
      <c r="AB55" s="318">
        <f t="shared" si="49"/>
        <v>10.78</v>
      </c>
      <c r="AC55" s="321">
        <v>4.3513996950874788E-4</v>
      </c>
      <c r="AD55" s="317">
        <f t="shared" ref="AD55" si="123">ROUND($E$5*AC55,2)</f>
        <v>141.27000000000001</v>
      </c>
      <c r="AE55" s="318">
        <f t="shared" ref="AE55" si="124">ROUND($F$5*AC55,2)</f>
        <v>9.5399999999999991</v>
      </c>
      <c r="AF55" s="317">
        <f t="shared" si="50"/>
        <v>90.8</v>
      </c>
      <c r="AG55" s="319">
        <f t="shared" si="51"/>
        <v>11.51</v>
      </c>
      <c r="AH55" s="320">
        <v>4.2609887690532285E-4</v>
      </c>
      <c r="AI55" s="317">
        <f t="shared" ref="AI55" si="125">ROUND($E$5*AH55,2)</f>
        <v>138.33000000000001</v>
      </c>
      <c r="AJ55" s="318">
        <f t="shared" ref="AJ55" si="126">ROUND($F$5*AH55,2)</f>
        <v>9.34</v>
      </c>
      <c r="AK55" s="317">
        <f t="shared" si="52"/>
        <v>88.92</v>
      </c>
      <c r="AL55" s="319">
        <f t="shared" si="53"/>
        <v>11.27</v>
      </c>
      <c r="AM55" s="320">
        <v>4.2601878754437993E-4</v>
      </c>
      <c r="AN55" s="317">
        <f t="shared" ref="AN55" si="127">ROUND($E$5*AM55,2)</f>
        <v>138.31</v>
      </c>
      <c r="AO55" s="318">
        <f t="shared" ref="AO55" si="128">ROUND($F$5*AM55,2)</f>
        <v>9.34</v>
      </c>
      <c r="AP55" s="317">
        <f t="shared" si="54"/>
        <v>88.9</v>
      </c>
      <c r="AQ55" s="319">
        <f t="shared" si="55"/>
        <v>11.27</v>
      </c>
      <c r="AR55" s="320">
        <v>4.2606533530949213E-4</v>
      </c>
      <c r="AS55" s="317">
        <f t="shared" ref="AS55" si="129">ROUND($E$5*AR55,2)</f>
        <v>138.32</v>
      </c>
      <c r="AT55" s="318">
        <f t="shared" ref="AT55" si="130">ROUND($F$5*AR55,2)</f>
        <v>9.34</v>
      </c>
      <c r="AU55" s="317">
        <f t="shared" si="56"/>
        <v>88.91</v>
      </c>
      <c r="AV55" s="318">
        <f t="shared" si="57"/>
        <v>11.27</v>
      </c>
      <c r="AW55" s="320">
        <v>4.2587128319225115E-4</v>
      </c>
      <c r="AX55" s="317">
        <f t="shared" ref="AX55" si="131">ROUND($E$5*AW55,2)</f>
        <v>138.26</v>
      </c>
      <c r="AY55" s="318">
        <f t="shared" ref="AY55" si="132">ROUND($F$5*AW55,2)</f>
        <v>9.33</v>
      </c>
      <c r="AZ55" s="317">
        <f t="shared" si="58"/>
        <v>88.87</v>
      </c>
      <c r="BA55" s="319">
        <f t="shared" si="59"/>
        <v>11.27</v>
      </c>
      <c r="BB55" s="320">
        <v>4.2557120862819141E-4</v>
      </c>
      <c r="BC55" s="317">
        <f t="shared" ref="BC55" si="133">ROUND($E$5*BB55,2)</f>
        <v>138.16</v>
      </c>
      <c r="BD55" s="318">
        <f t="shared" ref="BD55" si="134">ROUND($F$5*BB55,2)</f>
        <v>9.33</v>
      </c>
      <c r="BE55" s="317">
        <f t="shared" si="60"/>
        <v>88.81</v>
      </c>
      <c r="BF55" s="319">
        <f t="shared" si="61"/>
        <v>11.26</v>
      </c>
      <c r="BG55" s="320">
        <v>4.2588113864928029E-4</v>
      </c>
      <c r="BH55" s="317">
        <f t="shared" ref="BH55" si="135">ROUND($E$5*BG55,2)</f>
        <v>138.26</v>
      </c>
      <c r="BI55" s="318">
        <f t="shared" ref="BI55" si="136">ROUND($F$5*BG55,2)</f>
        <v>9.33</v>
      </c>
      <c r="BJ55" s="317">
        <f t="shared" si="62"/>
        <v>88.87</v>
      </c>
      <c r="BK55" s="318">
        <f t="shared" si="63"/>
        <v>11.27</v>
      </c>
    </row>
    <row r="56" spans="1:63" ht="30" customHeight="1">
      <c r="A56" s="31">
        <v>1412000078</v>
      </c>
      <c r="B56" s="31" t="s">
        <v>115</v>
      </c>
      <c r="C56" s="32" t="s">
        <v>74</v>
      </c>
      <c r="D56" s="26">
        <v>6.1267765807845268E-4</v>
      </c>
      <c r="E56" s="33">
        <f t="shared" si="86"/>
        <v>198.91</v>
      </c>
      <c r="F56" s="34">
        <f t="shared" si="87"/>
        <v>13.43</v>
      </c>
      <c r="G56" s="35">
        <f t="shared" si="88"/>
        <v>135.01</v>
      </c>
      <c r="H56" s="36">
        <f t="shared" si="89"/>
        <v>16.690000000000001</v>
      </c>
      <c r="I56" s="26">
        <v>6.1175486864159523E-4</v>
      </c>
      <c r="J56" s="33">
        <f t="shared" si="90"/>
        <v>198.61</v>
      </c>
      <c r="K56" s="34">
        <f t="shared" si="91"/>
        <v>13.41</v>
      </c>
      <c r="L56" s="35">
        <f t="shared" si="92"/>
        <v>127.66</v>
      </c>
      <c r="M56" s="257">
        <f t="shared" si="93"/>
        <v>16.190000000000001</v>
      </c>
      <c r="N56" s="254">
        <v>6.1195810888744952E-4</v>
      </c>
      <c r="O56" s="33">
        <f t="shared" si="94"/>
        <v>198.67</v>
      </c>
      <c r="P56" s="34">
        <f t="shared" si="95"/>
        <v>13.41</v>
      </c>
      <c r="Q56" s="35">
        <f t="shared" si="44"/>
        <v>127.7</v>
      </c>
      <c r="R56" s="257">
        <f t="shared" si="45"/>
        <v>16.190000000000001</v>
      </c>
      <c r="S56" s="254">
        <v>6.1122565286930274E-4</v>
      </c>
      <c r="T56" s="33">
        <f t="shared" si="96"/>
        <v>198.43</v>
      </c>
      <c r="U56" s="34">
        <f t="shared" si="97"/>
        <v>13.39</v>
      </c>
      <c r="V56" s="35">
        <f t="shared" si="46"/>
        <v>127.55</v>
      </c>
      <c r="W56" s="257">
        <f t="shared" si="47"/>
        <v>16.170000000000002</v>
      </c>
      <c r="X56" s="254">
        <v>6.109899888675145E-4</v>
      </c>
      <c r="Y56" s="33">
        <f t="shared" si="98"/>
        <v>198.36</v>
      </c>
      <c r="Z56" s="34">
        <f t="shared" si="99"/>
        <v>13.39</v>
      </c>
      <c r="AA56" s="35">
        <f t="shared" si="48"/>
        <v>127.5</v>
      </c>
      <c r="AB56" s="36">
        <f t="shared" si="49"/>
        <v>16.170000000000002</v>
      </c>
      <c r="AC56" s="26">
        <v>6.7688439701360796E-4</v>
      </c>
      <c r="AD56" s="33">
        <f t="shared" si="100"/>
        <v>219.75</v>
      </c>
      <c r="AE56" s="34">
        <f t="shared" si="101"/>
        <v>14.83</v>
      </c>
      <c r="AF56" s="35">
        <f t="shared" si="50"/>
        <v>141.25</v>
      </c>
      <c r="AG56" s="257">
        <f t="shared" si="51"/>
        <v>17.91</v>
      </c>
      <c r="AH56" s="254">
        <v>7.1016479484220464E-4</v>
      </c>
      <c r="AI56" s="33">
        <f t="shared" si="102"/>
        <v>230.55</v>
      </c>
      <c r="AJ56" s="34">
        <f t="shared" si="103"/>
        <v>15.56</v>
      </c>
      <c r="AK56" s="35">
        <f t="shared" si="52"/>
        <v>148.19999999999999</v>
      </c>
      <c r="AL56" s="257">
        <f t="shared" si="53"/>
        <v>18.79</v>
      </c>
      <c r="AM56" s="254">
        <v>7.1003131257396657E-4</v>
      </c>
      <c r="AN56" s="33">
        <f t="shared" si="104"/>
        <v>230.51</v>
      </c>
      <c r="AO56" s="34">
        <f t="shared" si="105"/>
        <v>15.56</v>
      </c>
      <c r="AP56" s="35">
        <f t="shared" si="54"/>
        <v>148.16999999999999</v>
      </c>
      <c r="AQ56" s="257">
        <f t="shared" si="55"/>
        <v>18.79</v>
      </c>
      <c r="AR56" s="254">
        <v>7.1010889218248695E-4</v>
      </c>
      <c r="AS56" s="33">
        <f t="shared" si="106"/>
        <v>230.54</v>
      </c>
      <c r="AT56" s="34">
        <f t="shared" si="107"/>
        <v>15.56</v>
      </c>
      <c r="AU56" s="35">
        <f t="shared" si="56"/>
        <v>148.18</v>
      </c>
      <c r="AV56" s="36">
        <f t="shared" si="57"/>
        <v>18.79</v>
      </c>
      <c r="AW56" s="254">
        <v>7.0978547198708526E-4</v>
      </c>
      <c r="AX56" s="33">
        <f t="shared" si="108"/>
        <v>230.43</v>
      </c>
      <c r="AY56" s="34">
        <f t="shared" si="109"/>
        <v>15.55</v>
      </c>
      <c r="AZ56" s="35">
        <f t="shared" si="58"/>
        <v>148.12</v>
      </c>
      <c r="BA56" s="257">
        <f t="shared" si="59"/>
        <v>18.78</v>
      </c>
      <c r="BB56" s="254">
        <v>7.092853477136524E-4</v>
      </c>
      <c r="BC56" s="33">
        <f t="shared" si="110"/>
        <v>230.27</v>
      </c>
      <c r="BD56" s="34">
        <f t="shared" si="111"/>
        <v>15.54</v>
      </c>
      <c r="BE56" s="35">
        <f t="shared" si="60"/>
        <v>148.01</v>
      </c>
      <c r="BF56" s="257">
        <f t="shared" si="61"/>
        <v>18.77</v>
      </c>
      <c r="BG56" s="254">
        <v>7.0980189774880035E-4</v>
      </c>
      <c r="BH56" s="33">
        <f t="shared" si="112"/>
        <v>230.44</v>
      </c>
      <c r="BI56" s="34">
        <f t="shared" si="113"/>
        <v>15.55</v>
      </c>
      <c r="BJ56" s="35">
        <f t="shared" si="62"/>
        <v>148.12</v>
      </c>
      <c r="BK56" s="36">
        <f t="shared" si="63"/>
        <v>18.78</v>
      </c>
    </row>
    <row r="57" spans="1:63" ht="30" customHeight="1">
      <c r="A57" s="31">
        <v>1412000096</v>
      </c>
      <c r="B57" s="42" t="s">
        <v>124</v>
      </c>
      <c r="C57" s="32" t="s">
        <v>74</v>
      </c>
      <c r="D57" s="26">
        <v>5.1056471506537727E-4</v>
      </c>
      <c r="E57" s="33">
        <f t="shared" si="86"/>
        <v>165.75</v>
      </c>
      <c r="F57" s="34">
        <f t="shared" si="87"/>
        <v>11.19</v>
      </c>
      <c r="G57" s="35">
        <f t="shared" si="88"/>
        <v>112.51</v>
      </c>
      <c r="H57" s="36">
        <f t="shared" si="89"/>
        <v>13.91</v>
      </c>
      <c r="I57" s="26">
        <v>5.0979572386799599E-4</v>
      </c>
      <c r="J57" s="33">
        <f t="shared" si="90"/>
        <v>165.5</v>
      </c>
      <c r="K57" s="34">
        <f t="shared" si="91"/>
        <v>11.17</v>
      </c>
      <c r="L57" s="35">
        <f t="shared" si="92"/>
        <v>106.38</v>
      </c>
      <c r="M57" s="257">
        <f t="shared" si="93"/>
        <v>13.49</v>
      </c>
      <c r="N57" s="254">
        <v>5.0996509073954134E-4</v>
      </c>
      <c r="O57" s="33">
        <f t="shared" si="94"/>
        <v>165.56</v>
      </c>
      <c r="P57" s="34">
        <f t="shared" si="95"/>
        <v>11.17</v>
      </c>
      <c r="Q57" s="35">
        <f t="shared" si="44"/>
        <v>106.42</v>
      </c>
      <c r="R57" s="257">
        <f t="shared" si="45"/>
        <v>13.49</v>
      </c>
      <c r="S57" s="254">
        <v>5.0935471072441894E-4</v>
      </c>
      <c r="T57" s="33">
        <f t="shared" si="96"/>
        <v>165.36</v>
      </c>
      <c r="U57" s="34">
        <f t="shared" si="97"/>
        <v>11.16</v>
      </c>
      <c r="V57" s="35">
        <f t="shared" si="46"/>
        <v>106.29</v>
      </c>
      <c r="W57" s="257">
        <f t="shared" si="47"/>
        <v>13.48</v>
      </c>
      <c r="X57" s="254">
        <v>5.0915832405626208E-4</v>
      </c>
      <c r="Y57" s="33">
        <f t="shared" si="98"/>
        <v>165.3</v>
      </c>
      <c r="Z57" s="34">
        <f t="shared" si="99"/>
        <v>11.16</v>
      </c>
      <c r="AA57" s="35">
        <f t="shared" si="48"/>
        <v>106.25</v>
      </c>
      <c r="AB57" s="36">
        <f t="shared" si="49"/>
        <v>13.47</v>
      </c>
      <c r="AC57" s="26">
        <v>5.8018662601166395E-4</v>
      </c>
      <c r="AD57" s="33">
        <f t="shared" si="100"/>
        <v>188.36</v>
      </c>
      <c r="AE57" s="34">
        <f t="shared" si="101"/>
        <v>12.71</v>
      </c>
      <c r="AF57" s="35">
        <f t="shared" si="50"/>
        <v>121.07</v>
      </c>
      <c r="AG57" s="257">
        <f t="shared" si="51"/>
        <v>15.35</v>
      </c>
      <c r="AH57" s="254">
        <v>5.681318358737638E-4</v>
      </c>
      <c r="AI57" s="33">
        <f t="shared" si="102"/>
        <v>184.44</v>
      </c>
      <c r="AJ57" s="34">
        <f t="shared" si="103"/>
        <v>12.45</v>
      </c>
      <c r="AK57" s="35">
        <f t="shared" si="52"/>
        <v>118.56</v>
      </c>
      <c r="AL57" s="257">
        <f t="shared" si="53"/>
        <v>15.03</v>
      </c>
      <c r="AM57" s="254">
        <v>5.6802505005917327E-4</v>
      </c>
      <c r="AN57" s="33">
        <f t="shared" si="104"/>
        <v>184.41</v>
      </c>
      <c r="AO57" s="34">
        <f t="shared" si="105"/>
        <v>12.45</v>
      </c>
      <c r="AP57" s="35">
        <f t="shared" si="54"/>
        <v>118.53</v>
      </c>
      <c r="AQ57" s="257">
        <f t="shared" si="55"/>
        <v>15.03</v>
      </c>
      <c r="AR57" s="254">
        <v>5.6808711374598951E-4</v>
      </c>
      <c r="AS57" s="33">
        <f t="shared" si="106"/>
        <v>184.43</v>
      </c>
      <c r="AT57" s="34">
        <f t="shared" si="107"/>
        <v>12.45</v>
      </c>
      <c r="AU57" s="35">
        <f t="shared" si="56"/>
        <v>118.55</v>
      </c>
      <c r="AV57" s="36">
        <f t="shared" si="57"/>
        <v>15.03</v>
      </c>
      <c r="AW57" s="254">
        <v>5.6782837758966823E-4</v>
      </c>
      <c r="AX57" s="33">
        <f t="shared" si="108"/>
        <v>184.35</v>
      </c>
      <c r="AY57" s="34">
        <f t="shared" si="109"/>
        <v>12.44</v>
      </c>
      <c r="AZ57" s="35">
        <f t="shared" si="58"/>
        <v>118.49</v>
      </c>
      <c r="BA57" s="257">
        <f t="shared" si="59"/>
        <v>15.02</v>
      </c>
      <c r="BB57" s="254">
        <v>5.6742827817092198E-4</v>
      </c>
      <c r="BC57" s="33">
        <f t="shared" si="110"/>
        <v>184.22</v>
      </c>
      <c r="BD57" s="34">
        <f t="shared" si="111"/>
        <v>12.43</v>
      </c>
      <c r="BE57" s="35">
        <f t="shared" si="60"/>
        <v>118.41</v>
      </c>
      <c r="BF57" s="257">
        <f t="shared" si="61"/>
        <v>15.01</v>
      </c>
      <c r="BG57" s="254">
        <v>5.6784151819904035E-4</v>
      </c>
      <c r="BH57" s="33">
        <f t="shared" si="112"/>
        <v>184.35</v>
      </c>
      <c r="BI57" s="34">
        <f t="shared" si="113"/>
        <v>12.44</v>
      </c>
      <c r="BJ57" s="35">
        <f t="shared" si="62"/>
        <v>118.5</v>
      </c>
      <c r="BK57" s="36">
        <f t="shared" si="63"/>
        <v>15.02</v>
      </c>
    </row>
    <row r="58" spans="1:63" ht="30" customHeight="1">
      <c r="A58" s="31">
        <v>1412000050</v>
      </c>
      <c r="B58" s="31" t="s">
        <v>75</v>
      </c>
      <c r="C58" s="32" t="s">
        <v>76</v>
      </c>
      <c r="D58" s="26">
        <v>4.0845177205230181E-4</v>
      </c>
      <c r="E58" s="33">
        <f t="shared" si="86"/>
        <v>132.6</v>
      </c>
      <c r="F58" s="34">
        <f t="shared" si="87"/>
        <v>8.9499999999999993</v>
      </c>
      <c r="G58" s="35">
        <f t="shared" si="88"/>
        <v>90.01</v>
      </c>
      <c r="H58" s="36">
        <f t="shared" si="89"/>
        <v>11.13</v>
      </c>
      <c r="I58" s="26">
        <v>4.078365790943968E-4</v>
      </c>
      <c r="J58" s="33">
        <f t="shared" si="90"/>
        <v>132.4</v>
      </c>
      <c r="K58" s="34">
        <f t="shared" si="91"/>
        <v>8.94</v>
      </c>
      <c r="L58" s="35">
        <f t="shared" si="92"/>
        <v>85.11</v>
      </c>
      <c r="M58" s="257">
        <f t="shared" si="93"/>
        <v>10.79</v>
      </c>
      <c r="N58" s="254">
        <v>4.0797207259163305E-4</v>
      </c>
      <c r="O58" s="33">
        <f t="shared" si="94"/>
        <v>132.44999999999999</v>
      </c>
      <c r="P58" s="34">
        <f t="shared" si="95"/>
        <v>8.94</v>
      </c>
      <c r="Q58" s="35">
        <f t="shared" si="44"/>
        <v>85.14</v>
      </c>
      <c r="R58" s="257">
        <f t="shared" si="45"/>
        <v>10.79</v>
      </c>
      <c r="S58" s="254">
        <v>4.0748376857953518E-4</v>
      </c>
      <c r="T58" s="33">
        <f t="shared" si="96"/>
        <v>132.29</v>
      </c>
      <c r="U58" s="34">
        <f t="shared" si="97"/>
        <v>8.93</v>
      </c>
      <c r="V58" s="35">
        <f t="shared" si="46"/>
        <v>85.03</v>
      </c>
      <c r="W58" s="257">
        <f t="shared" si="47"/>
        <v>10.78</v>
      </c>
      <c r="X58" s="254">
        <v>4.0732665924500967E-4</v>
      </c>
      <c r="Y58" s="33">
        <f t="shared" si="98"/>
        <v>132.24</v>
      </c>
      <c r="Z58" s="34">
        <f t="shared" si="99"/>
        <v>8.93</v>
      </c>
      <c r="AA58" s="35">
        <f t="shared" si="48"/>
        <v>85</v>
      </c>
      <c r="AB58" s="36">
        <f t="shared" si="49"/>
        <v>10.78</v>
      </c>
      <c r="AC58" s="26">
        <v>4.3513996950874788E-4</v>
      </c>
      <c r="AD58" s="33">
        <f t="shared" si="100"/>
        <v>141.27000000000001</v>
      </c>
      <c r="AE58" s="34">
        <f t="shared" si="101"/>
        <v>9.5399999999999991</v>
      </c>
      <c r="AF58" s="35">
        <f t="shared" si="50"/>
        <v>90.8</v>
      </c>
      <c r="AG58" s="257">
        <f t="shared" si="51"/>
        <v>11.51</v>
      </c>
      <c r="AH58" s="254">
        <v>4.2609887690532285E-4</v>
      </c>
      <c r="AI58" s="33">
        <f t="shared" si="102"/>
        <v>138.33000000000001</v>
      </c>
      <c r="AJ58" s="34">
        <f t="shared" si="103"/>
        <v>9.34</v>
      </c>
      <c r="AK58" s="35">
        <f t="shared" si="52"/>
        <v>88.92</v>
      </c>
      <c r="AL58" s="257">
        <f t="shared" si="53"/>
        <v>11.27</v>
      </c>
      <c r="AM58" s="254">
        <v>4.2601878754437993E-4</v>
      </c>
      <c r="AN58" s="33">
        <f t="shared" si="104"/>
        <v>138.31</v>
      </c>
      <c r="AO58" s="34">
        <f t="shared" si="105"/>
        <v>9.34</v>
      </c>
      <c r="AP58" s="35">
        <f t="shared" si="54"/>
        <v>88.9</v>
      </c>
      <c r="AQ58" s="257">
        <f t="shared" si="55"/>
        <v>11.27</v>
      </c>
      <c r="AR58" s="254">
        <v>4.2606533530949213E-4</v>
      </c>
      <c r="AS58" s="33">
        <f t="shared" si="106"/>
        <v>138.32</v>
      </c>
      <c r="AT58" s="34">
        <f t="shared" si="107"/>
        <v>9.34</v>
      </c>
      <c r="AU58" s="35">
        <f t="shared" si="56"/>
        <v>88.91</v>
      </c>
      <c r="AV58" s="36">
        <f t="shared" si="57"/>
        <v>11.27</v>
      </c>
      <c r="AW58" s="254">
        <v>4.2587128319225115E-4</v>
      </c>
      <c r="AX58" s="33">
        <f t="shared" si="108"/>
        <v>138.26</v>
      </c>
      <c r="AY58" s="34">
        <f t="shared" si="109"/>
        <v>9.33</v>
      </c>
      <c r="AZ58" s="35">
        <f t="shared" si="58"/>
        <v>88.87</v>
      </c>
      <c r="BA58" s="257">
        <f t="shared" si="59"/>
        <v>11.27</v>
      </c>
      <c r="BB58" s="254">
        <v>4.2557120862819141E-4</v>
      </c>
      <c r="BC58" s="33">
        <f t="shared" si="110"/>
        <v>138.16</v>
      </c>
      <c r="BD58" s="34">
        <f t="shared" si="111"/>
        <v>9.33</v>
      </c>
      <c r="BE58" s="35">
        <f t="shared" si="60"/>
        <v>88.81</v>
      </c>
      <c r="BF58" s="257">
        <f t="shared" si="61"/>
        <v>11.26</v>
      </c>
      <c r="BG58" s="254">
        <v>4.2588113864928029E-4</v>
      </c>
      <c r="BH58" s="33">
        <f t="shared" si="112"/>
        <v>138.26</v>
      </c>
      <c r="BI58" s="34">
        <f t="shared" si="113"/>
        <v>9.33</v>
      </c>
      <c r="BJ58" s="35">
        <f t="shared" si="62"/>
        <v>88.87</v>
      </c>
      <c r="BK58" s="36">
        <f t="shared" si="63"/>
        <v>11.27</v>
      </c>
    </row>
    <row r="59" spans="1:63" ht="30" customHeight="1">
      <c r="A59" s="31">
        <v>1412000077</v>
      </c>
      <c r="B59" s="31" t="s">
        <v>77</v>
      </c>
      <c r="C59" s="32" t="s">
        <v>78</v>
      </c>
      <c r="D59" s="26">
        <v>9.1901648711767913E-4</v>
      </c>
      <c r="E59" s="33">
        <f t="shared" si="86"/>
        <v>298.36</v>
      </c>
      <c r="F59" s="34">
        <f t="shared" si="87"/>
        <v>20.14</v>
      </c>
      <c r="G59" s="35">
        <f t="shared" si="88"/>
        <v>202.52</v>
      </c>
      <c r="H59" s="36">
        <f t="shared" si="89"/>
        <v>25.04</v>
      </c>
      <c r="I59" s="26">
        <v>9.1763230296239284E-4</v>
      </c>
      <c r="J59" s="33">
        <f t="shared" si="90"/>
        <v>297.91000000000003</v>
      </c>
      <c r="K59" s="34">
        <f t="shared" si="91"/>
        <v>20.11</v>
      </c>
      <c r="L59" s="35">
        <f t="shared" si="92"/>
        <v>191.49</v>
      </c>
      <c r="M59" s="257">
        <f t="shared" si="93"/>
        <v>24.28</v>
      </c>
      <c r="N59" s="254">
        <v>9.1793716333117429E-4</v>
      </c>
      <c r="O59" s="33">
        <f t="shared" si="94"/>
        <v>298.01</v>
      </c>
      <c r="P59" s="34">
        <f t="shared" si="95"/>
        <v>20.11</v>
      </c>
      <c r="Q59" s="35">
        <f t="shared" si="44"/>
        <v>191.55</v>
      </c>
      <c r="R59" s="257">
        <f t="shared" si="45"/>
        <v>24.29</v>
      </c>
      <c r="S59" s="254">
        <v>9.1683847930395406E-4</v>
      </c>
      <c r="T59" s="33">
        <f t="shared" si="96"/>
        <v>297.64999999999998</v>
      </c>
      <c r="U59" s="34">
        <f t="shared" si="97"/>
        <v>20.09</v>
      </c>
      <c r="V59" s="35">
        <f t="shared" si="46"/>
        <v>191.33</v>
      </c>
      <c r="W59" s="257">
        <f t="shared" si="47"/>
        <v>24.26</v>
      </c>
      <c r="X59" s="254">
        <v>9.1648498330127164E-4</v>
      </c>
      <c r="Y59" s="33">
        <f t="shared" si="98"/>
        <v>297.54000000000002</v>
      </c>
      <c r="Z59" s="34">
        <f t="shared" si="99"/>
        <v>20.079999999999998</v>
      </c>
      <c r="AA59" s="35">
        <f t="shared" si="48"/>
        <v>191.25</v>
      </c>
      <c r="AB59" s="36">
        <f t="shared" si="49"/>
        <v>24.25</v>
      </c>
      <c r="AC59" s="26">
        <v>8.7027993901749577E-4</v>
      </c>
      <c r="AD59" s="33">
        <f t="shared" si="100"/>
        <v>282.54000000000002</v>
      </c>
      <c r="AE59" s="34">
        <f t="shared" si="101"/>
        <v>19.07</v>
      </c>
      <c r="AF59" s="35">
        <f t="shared" si="50"/>
        <v>181.61</v>
      </c>
      <c r="AG59" s="257">
        <f t="shared" si="51"/>
        <v>23.03</v>
      </c>
      <c r="AH59" s="254">
        <v>9.4688639312293967E-4</v>
      </c>
      <c r="AI59" s="33">
        <f t="shared" si="102"/>
        <v>307.41000000000003</v>
      </c>
      <c r="AJ59" s="34">
        <f t="shared" si="103"/>
        <v>20.75</v>
      </c>
      <c r="AK59" s="35">
        <f t="shared" si="52"/>
        <v>197.6</v>
      </c>
      <c r="AL59" s="257">
        <f t="shared" si="53"/>
        <v>25.05</v>
      </c>
      <c r="AM59" s="254">
        <v>9.4670841676528883E-4</v>
      </c>
      <c r="AN59" s="33">
        <f t="shared" si="104"/>
        <v>307.35000000000002</v>
      </c>
      <c r="AO59" s="34">
        <f t="shared" si="105"/>
        <v>20.74</v>
      </c>
      <c r="AP59" s="35">
        <f t="shared" si="54"/>
        <v>197.56</v>
      </c>
      <c r="AQ59" s="257">
        <f t="shared" si="55"/>
        <v>25.05</v>
      </c>
      <c r="AR59" s="254">
        <v>9.4681185624331593E-4</v>
      </c>
      <c r="AS59" s="33">
        <f t="shared" si="106"/>
        <v>307.38</v>
      </c>
      <c r="AT59" s="34">
        <f t="shared" si="107"/>
        <v>20.75</v>
      </c>
      <c r="AU59" s="35">
        <f t="shared" si="56"/>
        <v>197.58</v>
      </c>
      <c r="AV59" s="36">
        <f t="shared" si="57"/>
        <v>25.05</v>
      </c>
      <c r="AW59" s="254">
        <v>9.4638062931611368E-4</v>
      </c>
      <c r="AX59" s="33">
        <f t="shared" si="108"/>
        <v>307.24</v>
      </c>
      <c r="AY59" s="34">
        <f t="shared" si="109"/>
        <v>20.74</v>
      </c>
      <c r="AZ59" s="35">
        <f t="shared" si="58"/>
        <v>197.49</v>
      </c>
      <c r="BA59" s="257">
        <f t="shared" si="59"/>
        <v>25.04</v>
      </c>
      <c r="BB59" s="254">
        <v>9.457137969515366E-4</v>
      </c>
      <c r="BC59" s="33">
        <f t="shared" si="110"/>
        <v>307.02999999999997</v>
      </c>
      <c r="BD59" s="34">
        <f t="shared" si="111"/>
        <v>20.72</v>
      </c>
      <c r="BE59" s="35">
        <f t="shared" si="60"/>
        <v>197.35</v>
      </c>
      <c r="BF59" s="257">
        <f t="shared" si="61"/>
        <v>25.02</v>
      </c>
      <c r="BG59" s="254">
        <v>9.4640253033173387E-4</v>
      </c>
      <c r="BH59" s="33">
        <f t="shared" si="112"/>
        <v>307.25</v>
      </c>
      <c r="BI59" s="34">
        <f t="shared" si="113"/>
        <v>20.74</v>
      </c>
      <c r="BJ59" s="35">
        <f t="shared" si="62"/>
        <v>197.49</v>
      </c>
      <c r="BK59" s="36">
        <f t="shared" si="63"/>
        <v>25.04</v>
      </c>
    </row>
    <row r="60" spans="1:63" ht="30" customHeight="1">
      <c r="A60" s="31">
        <v>1412000083</v>
      </c>
      <c r="B60" s="31" t="s">
        <v>104</v>
      </c>
      <c r="C60" s="32" t="s">
        <v>105</v>
      </c>
      <c r="D60" s="26">
        <v>6.1267765807845268E-4</v>
      </c>
      <c r="E60" s="33">
        <f>ROUND($E$5*D60,2)</f>
        <v>198.91</v>
      </c>
      <c r="F60" s="34">
        <f>ROUND($F$5*D60,2)</f>
        <v>13.43</v>
      </c>
      <c r="G60" s="35">
        <f>ROUND($G$5*D60,2)</f>
        <v>135.01</v>
      </c>
      <c r="H60" s="36">
        <f>ROUND($H$5*D60,2)</f>
        <v>16.690000000000001</v>
      </c>
      <c r="I60" s="26">
        <v>6.1175486864159523E-4</v>
      </c>
      <c r="J60" s="33">
        <f t="shared" si="90"/>
        <v>198.61</v>
      </c>
      <c r="K60" s="34">
        <f t="shared" si="91"/>
        <v>13.41</v>
      </c>
      <c r="L60" s="35">
        <f t="shared" si="92"/>
        <v>127.66</v>
      </c>
      <c r="M60" s="257">
        <f t="shared" si="93"/>
        <v>16.190000000000001</v>
      </c>
      <c r="N60" s="254">
        <v>6.1195810888744952E-4</v>
      </c>
      <c r="O60" s="33">
        <f t="shared" si="94"/>
        <v>198.67</v>
      </c>
      <c r="P60" s="34">
        <f t="shared" si="95"/>
        <v>13.41</v>
      </c>
      <c r="Q60" s="35">
        <f t="shared" si="44"/>
        <v>127.7</v>
      </c>
      <c r="R60" s="257">
        <f t="shared" si="45"/>
        <v>16.190000000000001</v>
      </c>
      <c r="S60" s="254">
        <v>6.1122565286930274E-4</v>
      </c>
      <c r="T60" s="33">
        <f t="shared" si="96"/>
        <v>198.43</v>
      </c>
      <c r="U60" s="34">
        <f t="shared" si="97"/>
        <v>13.39</v>
      </c>
      <c r="V60" s="35">
        <f t="shared" si="46"/>
        <v>127.55</v>
      </c>
      <c r="W60" s="257">
        <f t="shared" si="47"/>
        <v>16.170000000000002</v>
      </c>
      <c r="X60" s="254">
        <v>6.109899888675145E-4</v>
      </c>
      <c r="Y60" s="33">
        <f t="shared" si="98"/>
        <v>198.36</v>
      </c>
      <c r="Z60" s="34">
        <f t="shared" si="99"/>
        <v>13.39</v>
      </c>
      <c r="AA60" s="35">
        <f t="shared" si="48"/>
        <v>127.5</v>
      </c>
      <c r="AB60" s="36">
        <f t="shared" si="49"/>
        <v>16.170000000000002</v>
      </c>
      <c r="AC60" s="26">
        <v>5.8018662601166395E-4</v>
      </c>
      <c r="AD60" s="33">
        <f t="shared" si="100"/>
        <v>188.36</v>
      </c>
      <c r="AE60" s="34">
        <f t="shared" si="101"/>
        <v>12.71</v>
      </c>
      <c r="AF60" s="35">
        <f t="shared" si="50"/>
        <v>121.07</v>
      </c>
      <c r="AG60" s="257">
        <f t="shared" si="51"/>
        <v>15.35</v>
      </c>
      <c r="AH60" s="254">
        <v>5.681318358737638E-4</v>
      </c>
      <c r="AI60" s="33">
        <f t="shared" si="102"/>
        <v>184.44</v>
      </c>
      <c r="AJ60" s="34">
        <f t="shared" si="103"/>
        <v>12.45</v>
      </c>
      <c r="AK60" s="35">
        <f t="shared" si="52"/>
        <v>118.56</v>
      </c>
      <c r="AL60" s="257">
        <f t="shared" si="53"/>
        <v>15.03</v>
      </c>
      <c r="AM60" s="254">
        <v>5.6802505005917327E-4</v>
      </c>
      <c r="AN60" s="33">
        <f t="shared" si="104"/>
        <v>184.41</v>
      </c>
      <c r="AO60" s="34">
        <f t="shared" si="105"/>
        <v>12.45</v>
      </c>
      <c r="AP60" s="35">
        <f t="shared" si="54"/>
        <v>118.53</v>
      </c>
      <c r="AQ60" s="257">
        <f t="shared" si="55"/>
        <v>15.03</v>
      </c>
      <c r="AR60" s="254">
        <v>5.6808711374598951E-4</v>
      </c>
      <c r="AS60" s="33">
        <f t="shared" si="106"/>
        <v>184.43</v>
      </c>
      <c r="AT60" s="34">
        <f t="shared" si="107"/>
        <v>12.45</v>
      </c>
      <c r="AU60" s="35">
        <f t="shared" si="56"/>
        <v>118.55</v>
      </c>
      <c r="AV60" s="36">
        <f t="shared" si="57"/>
        <v>15.03</v>
      </c>
      <c r="AW60" s="254">
        <v>5.6782837758966823E-4</v>
      </c>
      <c r="AX60" s="33">
        <f t="shared" si="108"/>
        <v>184.35</v>
      </c>
      <c r="AY60" s="34">
        <f t="shared" si="109"/>
        <v>12.44</v>
      </c>
      <c r="AZ60" s="35">
        <f t="shared" si="58"/>
        <v>118.49</v>
      </c>
      <c r="BA60" s="257">
        <f t="shared" si="59"/>
        <v>15.02</v>
      </c>
      <c r="BB60" s="254">
        <v>5.6742827817092198E-4</v>
      </c>
      <c r="BC60" s="33">
        <f t="shared" si="110"/>
        <v>184.22</v>
      </c>
      <c r="BD60" s="34">
        <f t="shared" si="111"/>
        <v>12.43</v>
      </c>
      <c r="BE60" s="35">
        <f t="shared" si="60"/>
        <v>118.41</v>
      </c>
      <c r="BF60" s="257">
        <f t="shared" si="61"/>
        <v>15.01</v>
      </c>
      <c r="BG60" s="254">
        <v>5.6784151819904035E-4</v>
      </c>
      <c r="BH60" s="33">
        <f t="shared" si="112"/>
        <v>184.35</v>
      </c>
      <c r="BI60" s="34">
        <f t="shared" si="113"/>
        <v>12.44</v>
      </c>
      <c r="BJ60" s="35">
        <f t="shared" si="62"/>
        <v>118.5</v>
      </c>
      <c r="BK60" s="36">
        <f t="shared" si="63"/>
        <v>15.02</v>
      </c>
    </row>
    <row r="61" spans="1:63" ht="30" customHeight="1">
      <c r="A61" s="31">
        <v>1412000099</v>
      </c>
      <c r="B61" s="31" t="s">
        <v>126</v>
      </c>
      <c r="C61" s="32" t="s">
        <v>127</v>
      </c>
      <c r="D61" s="49">
        <v>8.1690354410460361E-4</v>
      </c>
      <c r="E61" s="33">
        <f t="shared" ref="E61:E66" si="137">ROUND($E$5*D61,2)</f>
        <v>265.20999999999998</v>
      </c>
      <c r="F61" s="34">
        <f t="shared" ref="F61:F66" si="138">ROUND($F$5*D61,2)</f>
        <v>17.899999999999999</v>
      </c>
      <c r="G61" s="35">
        <f t="shared" ref="G61:G66" si="139">ROUND($G$5*D61,2)</f>
        <v>180.02</v>
      </c>
      <c r="H61" s="36">
        <f t="shared" ref="H61:H66" si="140">ROUND($H$5*D61,2)</f>
        <v>22.26</v>
      </c>
      <c r="I61" s="49">
        <v>8.156731581887936E-4</v>
      </c>
      <c r="J61" s="33">
        <f t="shared" si="90"/>
        <v>264.81</v>
      </c>
      <c r="K61" s="34">
        <f t="shared" si="91"/>
        <v>17.87</v>
      </c>
      <c r="L61" s="35">
        <f t="shared" si="92"/>
        <v>170.21</v>
      </c>
      <c r="M61" s="257">
        <f>ROUND($M$5*I61,2)</f>
        <v>21.58</v>
      </c>
      <c r="N61" s="254">
        <v>8.159441451832661E-4</v>
      </c>
      <c r="O61" s="33">
        <f t="shared" si="94"/>
        <v>264.89999999999998</v>
      </c>
      <c r="P61" s="34">
        <f t="shared" si="95"/>
        <v>17.88</v>
      </c>
      <c r="Q61" s="35">
        <f t="shared" si="44"/>
        <v>170.27</v>
      </c>
      <c r="R61" s="257">
        <f t="shared" si="45"/>
        <v>21.59</v>
      </c>
      <c r="S61" s="254">
        <v>8.1496753715907036E-4</v>
      </c>
      <c r="T61" s="33">
        <f t="shared" si="96"/>
        <v>264.58</v>
      </c>
      <c r="U61" s="34">
        <f t="shared" si="97"/>
        <v>17.86</v>
      </c>
      <c r="V61" s="35">
        <f t="shared" si="46"/>
        <v>170.07</v>
      </c>
      <c r="W61" s="257">
        <f t="shared" si="47"/>
        <v>21.56</v>
      </c>
      <c r="X61" s="254">
        <v>8.1465331849001933E-4</v>
      </c>
      <c r="Y61" s="33">
        <f t="shared" si="98"/>
        <v>264.48</v>
      </c>
      <c r="Z61" s="34">
        <f t="shared" si="99"/>
        <v>17.850000000000001</v>
      </c>
      <c r="AA61" s="35">
        <f t="shared" si="48"/>
        <v>170</v>
      </c>
      <c r="AB61" s="36">
        <f t="shared" si="49"/>
        <v>21.55</v>
      </c>
      <c r="AC61" s="49">
        <v>7.7358216801555176E-4</v>
      </c>
      <c r="AD61" s="33">
        <f t="shared" si="100"/>
        <v>251.14</v>
      </c>
      <c r="AE61" s="34">
        <f t="shared" si="101"/>
        <v>16.95</v>
      </c>
      <c r="AF61" s="35">
        <f t="shared" si="50"/>
        <v>161.43</v>
      </c>
      <c r="AG61" s="257">
        <f t="shared" si="51"/>
        <v>20.47</v>
      </c>
      <c r="AH61" s="254">
        <v>7.5750911449835162E-4</v>
      </c>
      <c r="AI61" s="33">
        <f t="shared" si="102"/>
        <v>245.93</v>
      </c>
      <c r="AJ61" s="34">
        <f t="shared" si="103"/>
        <v>16.600000000000001</v>
      </c>
      <c r="AK61" s="35">
        <f t="shared" si="52"/>
        <v>158.08000000000001</v>
      </c>
      <c r="AL61" s="257">
        <f t="shared" si="53"/>
        <v>20.04</v>
      </c>
      <c r="AM61" s="254">
        <v>7.57366733412231E-4</v>
      </c>
      <c r="AN61" s="33">
        <f t="shared" si="104"/>
        <v>245.88</v>
      </c>
      <c r="AO61" s="34">
        <f t="shared" si="105"/>
        <v>16.600000000000001</v>
      </c>
      <c r="AP61" s="35">
        <f t="shared" si="54"/>
        <v>158.05000000000001</v>
      </c>
      <c r="AQ61" s="257">
        <f t="shared" si="55"/>
        <v>20.04</v>
      </c>
      <c r="AR61" s="254">
        <v>7.5744948499465272E-4</v>
      </c>
      <c r="AS61" s="33">
        <f t="shared" si="106"/>
        <v>245.91</v>
      </c>
      <c r="AT61" s="34">
        <f t="shared" si="107"/>
        <v>16.600000000000001</v>
      </c>
      <c r="AU61" s="35">
        <f t="shared" si="56"/>
        <v>158.06</v>
      </c>
      <c r="AV61" s="36">
        <f t="shared" si="57"/>
        <v>20.04</v>
      </c>
      <c r="AW61" s="254">
        <v>7.5710450345289101E-4</v>
      </c>
      <c r="AX61" s="33">
        <f t="shared" si="108"/>
        <v>245.79</v>
      </c>
      <c r="AY61" s="34">
        <f t="shared" si="109"/>
        <v>16.59</v>
      </c>
      <c r="AZ61" s="35">
        <f t="shared" si="58"/>
        <v>157.99</v>
      </c>
      <c r="BA61" s="257">
        <f t="shared" si="59"/>
        <v>20.03</v>
      </c>
      <c r="BB61" s="254">
        <v>7.5657103756122913E-4</v>
      </c>
      <c r="BC61" s="33">
        <f t="shared" si="110"/>
        <v>245.62</v>
      </c>
      <c r="BD61" s="34">
        <f t="shared" si="111"/>
        <v>16.579999999999998</v>
      </c>
      <c r="BE61" s="35">
        <f t="shared" si="60"/>
        <v>157.88</v>
      </c>
      <c r="BF61" s="257">
        <f t="shared" si="61"/>
        <v>20.02</v>
      </c>
      <c r="BG61" s="254">
        <v>7.5712202426538706E-4</v>
      </c>
      <c r="BH61" s="33">
        <f t="shared" si="112"/>
        <v>245.8</v>
      </c>
      <c r="BI61" s="34">
        <f t="shared" si="113"/>
        <v>16.59</v>
      </c>
      <c r="BJ61" s="35">
        <f t="shared" si="62"/>
        <v>158</v>
      </c>
      <c r="BK61" s="36">
        <f t="shared" si="63"/>
        <v>20.03</v>
      </c>
    </row>
    <row r="62" spans="1:63" ht="30" customHeight="1">
      <c r="A62" s="314">
        <v>1412000100</v>
      </c>
      <c r="B62" s="314" t="s">
        <v>191</v>
      </c>
      <c r="C62" s="315" t="s">
        <v>192</v>
      </c>
      <c r="D62" s="316">
        <v>4.0845177205230181E-4</v>
      </c>
      <c r="E62" s="317">
        <f>ROUND($E$5*D62,2)</f>
        <v>132.6</v>
      </c>
      <c r="F62" s="318">
        <f>ROUND($F$5*D62,2)</f>
        <v>8.9499999999999993</v>
      </c>
      <c r="G62" s="317">
        <f t="shared" ref="G62" si="141">ROUND($G$5*D62,2)</f>
        <v>90.01</v>
      </c>
      <c r="H62" s="318">
        <f t="shared" ref="H62" si="142">ROUND($H$5*D62,2)</f>
        <v>11.13</v>
      </c>
      <c r="I62" s="316">
        <v>4.078365790943968E-4</v>
      </c>
      <c r="J62" s="317">
        <f t="shared" ref="J62" si="143">ROUND($E$5*I62,2)</f>
        <v>132.4</v>
      </c>
      <c r="K62" s="318">
        <f t="shared" ref="K62" si="144">ROUND($F$5*I62,2)</f>
        <v>8.94</v>
      </c>
      <c r="L62" s="317">
        <f t="shared" si="92"/>
        <v>85.11</v>
      </c>
      <c r="M62" s="319">
        <f>ROUND($M$5*I62,2)</f>
        <v>10.79</v>
      </c>
      <c r="N62" s="320">
        <v>4.0797207259163305E-4</v>
      </c>
      <c r="O62" s="317">
        <f t="shared" ref="O62" si="145">ROUND($E$5*N62,2)</f>
        <v>132.44999999999999</v>
      </c>
      <c r="P62" s="318">
        <f t="shared" ref="P62" si="146">ROUND($F$5*N62,2)</f>
        <v>8.94</v>
      </c>
      <c r="Q62" s="317">
        <f t="shared" si="44"/>
        <v>85.14</v>
      </c>
      <c r="R62" s="319">
        <f t="shared" si="45"/>
        <v>10.79</v>
      </c>
      <c r="S62" s="320">
        <v>4.0748376857953518E-4</v>
      </c>
      <c r="T62" s="317">
        <f t="shared" ref="T62" si="147">ROUND($E$5*S62,2)</f>
        <v>132.29</v>
      </c>
      <c r="U62" s="318">
        <f t="shared" ref="U62" si="148">ROUND($F$5*S62,2)</f>
        <v>8.93</v>
      </c>
      <c r="V62" s="317">
        <f t="shared" si="46"/>
        <v>85.03</v>
      </c>
      <c r="W62" s="319">
        <f t="shared" si="47"/>
        <v>10.78</v>
      </c>
      <c r="X62" s="320">
        <v>4.0732665924500967E-4</v>
      </c>
      <c r="Y62" s="317">
        <f t="shared" ref="Y62" si="149">ROUND($E$5*X62,2)</f>
        <v>132.24</v>
      </c>
      <c r="Z62" s="318">
        <f t="shared" ref="Z62" si="150">ROUND($F$5*X62,2)</f>
        <v>8.93</v>
      </c>
      <c r="AA62" s="317">
        <f t="shared" si="48"/>
        <v>85</v>
      </c>
      <c r="AB62" s="318">
        <f t="shared" si="49"/>
        <v>10.78</v>
      </c>
      <c r="AC62" s="316">
        <v>3.8679108400777588E-4</v>
      </c>
      <c r="AD62" s="317">
        <f t="shared" ref="AD62" si="151">ROUND($E$5*AC62,2)</f>
        <v>125.57</v>
      </c>
      <c r="AE62" s="318">
        <f t="shared" ref="AE62" si="152">ROUND($F$5*AC62,2)</f>
        <v>8.48</v>
      </c>
      <c r="AF62" s="317">
        <f t="shared" si="50"/>
        <v>80.72</v>
      </c>
      <c r="AG62" s="319">
        <f t="shared" si="51"/>
        <v>10.23</v>
      </c>
      <c r="AH62" s="320">
        <v>3.7875455724917581E-4</v>
      </c>
      <c r="AI62" s="317">
        <f t="shared" ref="AI62" si="153">ROUND($E$5*AH62,2)</f>
        <v>122.96</v>
      </c>
      <c r="AJ62" s="318">
        <f t="shared" ref="AJ62" si="154">ROUND($F$5*AH62,2)</f>
        <v>8.3000000000000007</v>
      </c>
      <c r="AK62" s="317">
        <f t="shared" si="52"/>
        <v>79.040000000000006</v>
      </c>
      <c r="AL62" s="319">
        <f t="shared" si="53"/>
        <v>10.02</v>
      </c>
      <c r="AM62" s="320">
        <v>3.786833667061155E-4</v>
      </c>
      <c r="AN62" s="317">
        <f t="shared" ref="AN62" si="155">ROUND($E$5*AM62,2)</f>
        <v>122.94</v>
      </c>
      <c r="AO62" s="318">
        <f t="shared" ref="AO62" si="156">ROUND($F$5*AM62,2)</f>
        <v>8.3000000000000007</v>
      </c>
      <c r="AP62" s="317">
        <f t="shared" si="54"/>
        <v>79.02</v>
      </c>
      <c r="AQ62" s="319">
        <f t="shared" si="55"/>
        <v>10.02</v>
      </c>
      <c r="AR62" s="320">
        <v>3.7872474249732636E-4</v>
      </c>
      <c r="AS62" s="317">
        <f t="shared" ref="AS62" si="157">ROUND($E$5*AR62,2)</f>
        <v>122.95</v>
      </c>
      <c r="AT62" s="318">
        <f t="shared" ref="AT62" si="158">ROUND($F$5*AR62,2)</f>
        <v>8.3000000000000007</v>
      </c>
      <c r="AU62" s="317">
        <f t="shared" si="56"/>
        <v>79.03</v>
      </c>
      <c r="AV62" s="318">
        <f t="shared" si="57"/>
        <v>10.02</v>
      </c>
      <c r="AW62" s="320">
        <v>3.7855225172644551E-4</v>
      </c>
      <c r="AX62" s="317">
        <f t="shared" ref="AX62" si="159">ROUND($E$5*AW62,2)</f>
        <v>122.9</v>
      </c>
      <c r="AY62" s="318">
        <f t="shared" ref="AY62" si="160">ROUND($F$5*AW62,2)</f>
        <v>8.3000000000000007</v>
      </c>
      <c r="AZ62" s="317">
        <f t="shared" si="58"/>
        <v>79</v>
      </c>
      <c r="BA62" s="319">
        <f t="shared" si="59"/>
        <v>10.02</v>
      </c>
      <c r="BB62" s="320">
        <v>3.7828551878061456E-4</v>
      </c>
      <c r="BC62" s="317">
        <f t="shared" ref="BC62" si="161">ROUND($E$5*BB62,2)</f>
        <v>122.81</v>
      </c>
      <c r="BD62" s="318">
        <f t="shared" ref="BD62" si="162">ROUND($F$5*BB62,2)</f>
        <v>8.2899999999999991</v>
      </c>
      <c r="BE62" s="317">
        <f t="shared" si="60"/>
        <v>78.94</v>
      </c>
      <c r="BF62" s="319">
        <f t="shared" si="61"/>
        <v>10.01</v>
      </c>
      <c r="BG62" s="320">
        <v>3.7856101213269353E-4</v>
      </c>
      <c r="BH62" s="317">
        <f t="shared" ref="BH62" si="163">ROUND($E$5*BG62,2)</f>
        <v>122.9</v>
      </c>
      <c r="BI62" s="318">
        <f t="shared" ref="BI62" si="164">ROUND($F$5*BG62,2)</f>
        <v>8.3000000000000007</v>
      </c>
      <c r="BJ62" s="317">
        <f t="shared" si="62"/>
        <v>79</v>
      </c>
      <c r="BK62" s="318">
        <f t="shared" si="63"/>
        <v>10.02</v>
      </c>
    </row>
    <row r="63" spans="1:63" ht="30" customHeight="1">
      <c r="A63" s="31">
        <v>1412000028</v>
      </c>
      <c r="B63" s="31" t="s">
        <v>55</v>
      </c>
      <c r="C63" s="32" t="s">
        <v>7</v>
      </c>
      <c r="D63" s="50">
        <v>8.474305427742712E-4</v>
      </c>
      <c r="E63" s="33">
        <f t="shared" si="137"/>
        <v>275.12</v>
      </c>
      <c r="F63" s="34">
        <f t="shared" si="138"/>
        <v>18.57</v>
      </c>
      <c r="G63" s="35">
        <f t="shared" si="139"/>
        <v>186.75</v>
      </c>
      <c r="H63" s="36">
        <f t="shared" si="140"/>
        <v>23.09</v>
      </c>
      <c r="I63" s="26">
        <v>8.4362685459194527E-4</v>
      </c>
      <c r="J63" s="33">
        <f t="shared" si="90"/>
        <v>273.88</v>
      </c>
      <c r="K63" s="34">
        <f t="shared" si="91"/>
        <v>18.489999999999998</v>
      </c>
      <c r="L63" s="35">
        <f t="shared" si="92"/>
        <v>176.05</v>
      </c>
      <c r="M63" s="257">
        <f t="shared" si="93"/>
        <v>22.32</v>
      </c>
      <c r="N63" s="254">
        <v>8.4383009483779945E-4</v>
      </c>
      <c r="O63" s="33">
        <f t="shared" si="94"/>
        <v>273.95</v>
      </c>
      <c r="P63" s="34">
        <f t="shared" si="95"/>
        <v>18.489999999999998</v>
      </c>
      <c r="Q63" s="35">
        <f t="shared" si="44"/>
        <v>176.09</v>
      </c>
      <c r="R63" s="257">
        <f t="shared" si="45"/>
        <v>22.33</v>
      </c>
      <c r="S63" s="254">
        <v>8.4309763881965278E-4</v>
      </c>
      <c r="T63" s="33">
        <f t="shared" si="96"/>
        <v>273.70999999999998</v>
      </c>
      <c r="U63" s="34">
        <f t="shared" si="97"/>
        <v>18.47</v>
      </c>
      <c r="V63" s="35">
        <f t="shared" si="46"/>
        <v>175.94</v>
      </c>
      <c r="W63" s="257">
        <f t="shared" si="47"/>
        <v>22.31</v>
      </c>
      <c r="X63" s="254">
        <v>8.4286197481786454E-4</v>
      </c>
      <c r="Y63" s="33">
        <f t="shared" ref="Y63:Y66" si="165">ROUND($E$5*X63,2)</f>
        <v>273.63</v>
      </c>
      <c r="Z63" s="34">
        <f t="shared" ref="Z63:Z66" si="166">ROUND($F$5*X63,2)</f>
        <v>18.47</v>
      </c>
      <c r="AA63" s="35">
        <f t="shared" si="48"/>
        <v>175.89</v>
      </c>
      <c r="AB63" s="36">
        <f t="shared" si="49"/>
        <v>22.3</v>
      </c>
      <c r="AC63" s="26">
        <v>8.3213298373416538E-4</v>
      </c>
      <c r="AD63" s="33">
        <f t="shared" si="100"/>
        <v>270.14999999999998</v>
      </c>
      <c r="AE63" s="34">
        <f t="shared" si="101"/>
        <v>18.23</v>
      </c>
      <c r="AF63" s="35">
        <f t="shared" si="50"/>
        <v>173.65</v>
      </c>
      <c r="AG63" s="257">
        <f t="shared" si="51"/>
        <v>22.02</v>
      </c>
      <c r="AH63" s="254">
        <v>8.2901527267374806E-4</v>
      </c>
      <c r="AI63" s="33">
        <f t="shared" si="102"/>
        <v>269.14</v>
      </c>
      <c r="AJ63" s="34">
        <f t="shared" si="103"/>
        <v>18.170000000000002</v>
      </c>
      <c r="AK63" s="35">
        <f t="shared" si="52"/>
        <v>173</v>
      </c>
      <c r="AL63" s="257">
        <f t="shared" si="53"/>
        <v>21.93</v>
      </c>
      <c r="AM63" s="254">
        <v>8.2890848685915753E-4</v>
      </c>
      <c r="AN63" s="33">
        <f t="shared" si="104"/>
        <v>269.10000000000002</v>
      </c>
      <c r="AO63" s="34">
        <f t="shared" si="105"/>
        <v>18.16</v>
      </c>
      <c r="AP63" s="35">
        <f t="shared" si="54"/>
        <v>172.98</v>
      </c>
      <c r="AQ63" s="257">
        <f t="shared" si="55"/>
        <v>21.93</v>
      </c>
      <c r="AR63" s="254">
        <v>8.2897055054597388E-4</v>
      </c>
      <c r="AS63" s="33">
        <f t="shared" si="106"/>
        <v>269.12</v>
      </c>
      <c r="AT63" s="34">
        <f t="shared" si="107"/>
        <v>18.16</v>
      </c>
      <c r="AU63" s="35">
        <f t="shared" si="56"/>
        <v>172.99</v>
      </c>
      <c r="AV63" s="36">
        <f t="shared" si="57"/>
        <v>21.93</v>
      </c>
      <c r="AW63" s="254">
        <v>8.287118143896526E-4</v>
      </c>
      <c r="AX63" s="33">
        <f t="shared" si="108"/>
        <v>269.04000000000002</v>
      </c>
      <c r="AY63" s="34">
        <f t="shared" si="109"/>
        <v>18.16</v>
      </c>
      <c r="AZ63" s="35">
        <f t="shared" si="58"/>
        <v>172.93</v>
      </c>
      <c r="BA63" s="257">
        <f t="shared" si="59"/>
        <v>21.93</v>
      </c>
      <c r="BB63" s="254">
        <v>8.2831171497090613E-4</v>
      </c>
      <c r="BC63" s="33">
        <f t="shared" si="110"/>
        <v>268.91000000000003</v>
      </c>
      <c r="BD63" s="34">
        <f t="shared" si="111"/>
        <v>18.149999999999999</v>
      </c>
      <c r="BE63" s="35">
        <f t="shared" si="60"/>
        <v>172.85</v>
      </c>
      <c r="BF63" s="257">
        <f t="shared" si="61"/>
        <v>21.92</v>
      </c>
      <c r="BG63" s="254">
        <v>8.2872495499902461E-4</v>
      </c>
      <c r="BH63" s="33">
        <f t="shared" si="112"/>
        <v>269.05</v>
      </c>
      <c r="BI63" s="34">
        <f t="shared" si="113"/>
        <v>18.16</v>
      </c>
      <c r="BJ63" s="35">
        <f t="shared" si="62"/>
        <v>172.94</v>
      </c>
      <c r="BK63" s="36">
        <f t="shared" si="63"/>
        <v>21.93</v>
      </c>
    </row>
    <row r="64" spans="1:63" ht="30" customHeight="1">
      <c r="A64" s="31">
        <v>1412000029</v>
      </c>
      <c r="B64" s="31" t="s">
        <v>56</v>
      </c>
      <c r="C64" s="32" t="s">
        <v>8</v>
      </c>
      <c r="D64" s="26">
        <v>8.9238976462121481E-4</v>
      </c>
      <c r="E64" s="33">
        <f t="shared" si="137"/>
        <v>289.70999999999998</v>
      </c>
      <c r="F64" s="34">
        <f t="shared" si="138"/>
        <v>19.55</v>
      </c>
      <c r="G64" s="35">
        <f t="shared" si="139"/>
        <v>196.65</v>
      </c>
      <c r="H64" s="36">
        <f t="shared" si="140"/>
        <v>24.32</v>
      </c>
      <c r="I64" s="26">
        <v>8.901816458256668E-4</v>
      </c>
      <c r="J64" s="33">
        <f t="shared" si="90"/>
        <v>289</v>
      </c>
      <c r="K64" s="34">
        <f t="shared" si="91"/>
        <v>19.510000000000002</v>
      </c>
      <c r="L64" s="35">
        <f t="shared" si="92"/>
        <v>185.76</v>
      </c>
      <c r="M64" s="257">
        <f t="shared" si="93"/>
        <v>23.55</v>
      </c>
      <c r="N64" s="254">
        <v>8.903340760100573E-4</v>
      </c>
      <c r="O64" s="33">
        <f t="shared" si="94"/>
        <v>289.05</v>
      </c>
      <c r="P64" s="34">
        <f t="shared" si="95"/>
        <v>19.510000000000002</v>
      </c>
      <c r="Q64" s="35">
        <f t="shared" si="44"/>
        <v>185.79</v>
      </c>
      <c r="R64" s="257">
        <f t="shared" si="45"/>
        <v>23.56</v>
      </c>
      <c r="S64" s="254">
        <v>8.897847339964473E-4</v>
      </c>
      <c r="T64" s="33">
        <f t="shared" si="96"/>
        <v>288.87</v>
      </c>
      <c r="U64" s="34">
        <f t="shared" si="97"/>
        <v>19.5</v>
      </c>
      <c r="V64" s="35">
        <f t="shared" si="46"/>
        <v>185.68</v>
      </c>
      <c r="W64" s="257">
        <f t="shared" si="47"/>
        <v>23.54</v>
      </c>
      <c r="X64" s="254">
        <v>8.8960798599510603E-4</v>
      </c>
      <c r="Y64" s="33">
        <f t="shared" si="165"/>
        <v>288.81</v>
      </c>
      <c r="Z64" s="34">
        <f t="shared" si="166"/>
        <v>19.489999999999998</v>
      </c>
      <c r="AA64" s="35">
        <f t="shared" si="48"/>
        <v>185.64</v>
      </c>
      <c r="AB64" s="36">
        <f t="shared" si="49"/>
        <v>23.54</v>
      </c>
      <c r="AC64" s="26">
        <v>8.833059317302854E-4</v>
      </c>
      <c r="AD64" s="33">
        <f t="shared" si="100"/>
        <v>286.76</v>
      </c>
      <c r="AE64" s="34">
        <f t="shared" si="101"/>
        <v>19.36</v>
      </c>
      <c r="AF64" s="35">
        <f t="shared" si="50"/>
        <v>184.33</v>
      </c>
      <c r="AG64" s="257">
        <f t="shared" si="51"/>
        <v>23.37</v>
      </c>
      <c r="AH64" s="254">
        <v>8.8142440811708701E-4</v>
      </c>
      <c r="AI64" s="33">
        <f t="shared" si="102"/>
        <v>286.14999999999998</v>
      </c>
      <c r="AJ64" s="34">
        <f t="shared" si="103"/>
        <v>19.309999999999999</v>
      </c>
      <c r="AK64" s="35">
        <f t="shared" si="52"/>
        <v>183.93</v>
      </c>
      <c r="AL64" s="257">
        <f t="shared" si="53"/>
        <v>23.32</v>
      </c>
      <c r="AM64" s="254">
        <v>8.8134431875614404E-4</v>
      </c>
      <c r="AN64" s="33">
        <f t="shared" si="104"/>
        <v>286.13</v>
      </c>
      <c r="AO64" s="34">
        <f t="shared" si="105"/>
        <v>19.309999999999999</v>
      </c>
      <c r="AP64" s="35">
        <f t="shared" si="54"/>
        <v>183.92</v>
      </c>
      <c r="AQ64" s="257">
        <f t="shared" si="55"/>
        <v>23.32</v>
      </c>
      <c r="AR64" s="254">
        <v>8.8139086652125635E-4</v>
      </c>
      <c r="AS64" s="33">
        <f t="shared" si="106"/>
        <v>286.14</v>
      </c>
      <c r="AT64" s="34">
        <f t="shared" si="107"/>
        <v>19.309999999999999</v>
      </c>
      <c r="AU64" s="35">
        <f t="shared" si="56"/>
        <v>183.93</v>
      </c>
      <c r="AV64" s="36">
        <f t="shared" si="57"/>
        <v>23.32</v>
      </c>
      <c r="AW64" s="254">
        <v>8.8119681440401536E-4</v>
      </c>
      <c r="AX64" s="33">
        <f t="shared" si="108"/>
        <v>286.08</v>
      </c>
      <c r="AY64" s="34">
        <f t="shared" si="109"/>
        <v>19.309999999999999</v>
      </c>
      <c r="AZ64" s="35">
        <f t="shared" si="58"/>
        <v>183.89</v>
      </c>
      <c r="BA64" s="257">
        <f t="shared" si="59"/>
        <v>23.32</v>
      </c>
      <c r="BB64" s="254">
        <v>8.8089673983995551E-4</v>
      </c>
      <c r="BC64" s="33">
        <f t="shared" si="110"/>
        <v>285.98</v>
      </c>
      <c r="BD64" s="34">
        <f t="shared" si="111"/>
        <v>19.3</v>
      </c>
      <c r="BE64" s="35">
        <f t="shared" si="60"/>
        <v>183.82</v>
      </c>
      <c r="BF64" s="257">
        <f t="shared" si="61"/>
        <v>23.31</v>
      </c>
      <c r="BG64" s="254">
        <v>8.8120666986104461E-4</v>
      </c>
      <c r="BH64" s="33">
        <f t="shared" si="112"/>
        <v>286.08</v>
      </c>
      <c r="BI64" s="34">
        <f t="shared" si="113"/>
        <v>19.309999999999999</v>
      </c>
      <c r="BJ64" s="35">
        <f t="shared" si="62"/>
        <v>183.89</v>
      </c>
      <c r="BK64" s="36">
        <f t="shared" si="63"/>
        <v>23.32</v>
      </c>
    </row>
    <row r="65" spans="1:63" ht="30" customHeight="1">
      <c r="A65" s="31">
        <v>1412000030</v>
      </c>
      <c r="B65" s="31" t="s">
        <v>103</v>
      </c>
      <c r="C65" s="32" t="s">
        <v>9</v>
      </c>
      <c r="D65" s="26">
        <v>1.2472107993987303E-3</v>
      </c>
      <c r="E65" s="33">
        <f t="shared" si="137"/>
        <v>404.91</v>
      </c>
      <c r="F65" s="34">
        <f t="shared" si="138"/>
        <v>27.33</v>
      </c>
      <c r="G65" s="35">
        <f t="shared" si="139"/>
        <v>274.83999999999997</v>
      </c>
      <c r="H65" s="36">
        <f t="shared" si="140"/>
        <v>33.979999999999997</v>
      </c>
      <c r="I65" s="26">
        <v>1.2415052671252414E-3</v>
      </c>
      <c r="J65" s="33">
        <f t="shared" si="90"/>
        <v>403.05</v>
      </c>
      <c r="K65" s="34">
        <f t="shared" si="91"/>
        <v>27.2</v>
      </c>
      <c r="L65" s="35">
        <f t="shared" si="92"/>
        <v>259.08</v>
      </c>
      <c r="M65" s="257">
        <f t="shared" si="93"/>
        <v>32.85</v>
      </c>
      <c r="N65" s="254">
        <v>1.2418101274940226E-3</v>
      </c>
      <c r="O65" s="33">
        <f t="shared" si="94"/>
        <v>403.15</v>
      </c>
      <c r="P65" s="34">
        <f t="shared" si="95"/>
        <v>27.21</v>
      </c>
      <c r="Q65" s="35">
        <f t="shared" si="44"/>
        <v>259.14</v>
      </c>
      <c r="R65" s="257">
        <f t="shared" si="45"/>
        <v>32.86</v>
      </c>
      <c r="S65" s="254">
        <v>1.2407114434668026E-3</v>
      </c>
      <c r="T65" s="33">
        <f t="shared" si="96"/>
        <v>402.8</v>
      </c>
      <c r="U65" s="34">
        <f t="shared" si="97"/>
        <v>27.19</v>
      </c>
      <c r="V65" s="35">
        <f t="shared" si="46"/>
        <v>258.91000000000003</v>
      </c>
      <c r="W65" s="257">
        <f t="shared" si="47"/>
        <v>32.83</v>
      </c>
      <c r="X65" s="254">
        <v>1.2403579474641201E-3</v>
      </c>
      <c r="Y65" s="33">
        <f t="shared" si="165"/>
        <v>402.68</v>
      </c>
      <c r="Z65" s="34">
        <f t="shared" si="166"/>
        <v>27.18</v>
      </c>
      <c r="AA65" s="35">
        <f t="shared" si="48"/>
        <v>258.83999999999997</v>
      </c>
      <c r="AB65" s="36">
        <f t="shared" si="49"/>
        <v>32.82</v>
      </c>
      <c r="AC65" s="26">
        <v>1.2242644608385712E-3</v>
      </c>
      <c r="AD65" s="33">
        <f t="shared" si="100"/>
        <v>397.46</v>
      </c>
      <c r="AE65" s="34">
        <f t="shared" si="101"/>
        <v>26.83</v>
      </c>
      <c r="AF65" s="35">
        <f t="shared" si="50"/>
        <v>255.48</v>
      </c>
      <c r="AG65" s="257">
        <f t="shared" si="51"/>
        <v>32.39</v>
      </c>
      <c r="AH65" s="254">
        <v>1.2195878942479453E-3</v>
      </c>
      <c r="AI65" s="33">
        <f t="shared" si="102"/>
        <v>395.94</v>
      </c>
      <c r="AJ65" s="34">
        <f t="shared" si="103"/>
        <v>26.72</v>
      </c>
      <c r="AK65" s="35">
        <f t="shared" si="52"/>
        <v>254.5</v>
      </c>
      <c r="AL65" s="257">
        <f t="shared" si="53"/>
        <v>32.270000000000003</v>
      </c>
      <c r="AM65" s="254">
        <v>1.2194277155260593E-3</v>
      </c>
      <c r="AN65" s="33">
        <f t="shared" si="104"/>
        <v>395.89</v>
      </c>
      <c r="AO65" s="34">
        <f t="shared" si="105"/>
        <v>26.72</v>
      </c>
      <c r="AP65" s="35">
        <f t="shared" si="54"/>
        <v>254.47</v>
      </c>
      <c r="AQ65" s="257">
        <f t="shared" si="55"/>
        <v>32.26</v>
      </c>
      <c r="AR65" s="254">
        <v>1.2195208110562837E-3</v>
      </c>
      <c r="AS65" s="33">
        <f t="shared" si="106"/>
        <v>395.92</v>
      </c>
      <c r="AT65" s="34">
        <f t="shared" si="107"/>
        <v>26.72</v>
      </c>
      <c r="AU65" s="35">
        <f t="shared" si="56"/>
        <v>254.49</v>
      </c>
      <c r="AV65" s="36">
        <f t="shared" si="57"/>
        <v>32.270000000000003</v>
      </c>
      <c r="AW65" s="254">
        <v>1.219132706821802E-3</v>
      </c>
      <c r="AX65" s="33">
        <f t="shared" si="108"/>
        <v>395.79</v>
      </c>
      <c r="AY65" s="34">
        <f t="shared" si="109"/>
        <v>26.71</v>
      </c>
      <c r="AZ65" s="35">
        <f t="shared" si="58"/>
        <v>254.41</v>
      </c>
      <c r="BA65" s="257">
        <f t="shared" si="59"/>
        <v>32.26</v>
      </c>
      <c r="BB65" s="254">
        <v>1.2185325576936823E-3</v>
      </c>
      <c r="BC65" s="33">
        <f t="shared" si="110"/>
        <v>395.6</v>
      </c>
      <c r="BD65" s="34">
        <f t="shared" si="111"/>
        <v>26.7</v>
      </c>
      <c r="BE65" s="35">
        <f t="shared" si="60"/>
        <v>254.28</v>
      </c>
      <c r="BF65" s="257">
        <f t="shared" si="61"/>
        <v>32.24</v>
      </c>
      <c r="BG65" s="254">
        <v>1.2191524177358603E-3</v>
      </c>
      <c r="BH65" s="33">
        <f t="shared" si="112"/>
        <v>395.8</v>
      </c>
      <c r="BI65" s="34">
        <f t="shared" si="113"/>
        <v>26.71</v>
      </c>
      <c r="BJ65" s="35">
        <f t="shared" si="62"/>
        <v>254.41</v>
      </c>
      <c r="BK65" s="36">
        <f t="shared" si="63"/>
        <v>32.26</v>
      </c>
    </row>
    <row r="66" spans="1:63" ht="30" customHeight="1">
      <c r="A66" s="51">
        <v>1412000086</v>
      </c>
      <c r="B66" s="51" t="s">
        <v>0</v>
      </c>
      <c r="C66" s="51" t="s">
        <v>10</v>
      </c>
      <c r="D66" s="26">
        <v>1.5613277274221606E-3</v>
      </c>
      <c r="E66" s="33">
        <f t="shared" si="137"/>
        <v>506.88</v>
      </c>
      <c r="F66" s="34">
        <f t="shared" si="138"/>
        <v>34.21</v>
      </c>
      <c r="G66" s="35">
        <f t="shared" si="139"/>
        <v>344.06</v>
      </c>
      <c r="H66" s="36">
        <f t="shared" si="140"/>
        <v>42.54</v>
      </c>
      <c r="I66" s="26">
        <v>1.5568900912094476E-3</v>
      </c>
      <c r="J66" s="52">
        <f t="shared" si="90"/>
        <v>505.44</v>
      </c>
      <c r="K66" s="34">
        <f t="shared" si="91"/>
        <v>34.119999999999997</v>
      </c>
      <c r="L66" s="261">
        <f t="shared" si="92"/>
        <v>324.89</v>
      </c>
      <c r="M66" s="257">
        <f t="shared" si="93"/>
        <v>41.19</v>
      </c>
      <c r="N66" s="254">
        <v>1.5571272048296103E-3</v>
      </c>
      <c r="O66" s="52">
        <f t="shared" si="94"/>
        <v>505.52</v>
      </c>
      <c r="P66" s="34">
        <f t="shared" si="95"/>
        <v>34.119999999999997</v>
      </c>
      <c r="Q66" s="35">
        <f t="shared" si="44"/>
        <v>324.94</v>
      </c>
      <c r="R66" s="257">
        <f t="shared" si="45"/>
        <v>41.2</v>
      </c>
      <c r="S66" s="254">
        <v>1.5562726728084396E-3</v>
      </c>
      <c r="T66" s="52">
        <f t="shared" si="96"/>
        <v>505.24</v>
      </c>
      <c r="U66" s="34">
        <f t="shared" si="97"/>
        <v>34.1</v>
      </c>
      <c r="V66" s="35">
        <f t="shared" si="46"/>
        <v>324.76</v>
      </c>
      <c r="W66" s="257">
        <f t="shared" si="47"/>
        <v>41.18</v>
      </c>
      <c r="X66" s="254">
        <v>1.5559977314730197E-3</v>
      </c>
      <c r="Y66" s="52">
        <f t="shared" si="165"/>
        <v>505.15</v>
      </c>
      <c r="Z66" s="34">
        <f t="shared" si="166"/>
        <v>34.1</v>
      </c>
      <c r="AA66" s="35">
        <f t="shared" si="48"/>
        <v>324.7</v>
      </c>
      <c r="AB66" s="36">
        <f t="shared" si="49"/>
        <v>41.17</v>
      </c>
      <c r="AC66" s="26">
        <v>1.6005278939570349E-3</v>
      </c>
      <c r="AD66" s="52">
        <f t="shared" si="100"/>
        <v>519.61</v>
      </c>
      <c r="AE66" s="34">
        <f t="shared" si="101"/>
        <v>35.07</v>
      </c>
      <c r="AF66" s="35">
        <f t="shared" si="50"/>
        <v>334</v>
      </c>
      <c r="AG66" s="257">
        <f t="shared" si="51"/>
        <v>42.35</v>
      </c>
      <c r="AH66" s="254">
        <v>1.5966307551315137E-3</v>
      </c>
      <c r="AI66" s="52">
        <f t="shared" si="102"/>
        <v>518.35</v>
      </c>
      <c r="AJ66" s="34">
        <f t="shared" si="103"/>
        <v>34.99</v>
      </c>
      <c r="AK66" s="35">
        <f t="shared" si="52"/>
        <v>333.18</v>
      </c>
      <c r="AL66" s="257">
        <f t="shared" si="53"/>
        <v>42.24</v>
      </c>
      <c r="AM66" s="254">
        <v>1.5964972728632753E-3</v>
      </c>
      <c r="AN66" s="52">
        <f t="shared" si="104"/>
        <v>518.29999999999995</v>
      </c>
      <c r="AO66" s="34">
        <f t="shared" si="105"/>
        <v>34.979999999999997</v>
      </c>
      <c r="AP66" s="35">
        <f t="shared" si="54"/>
        <v>333.16</v>
      </c>
      <c r="AQ66" s="257">
        <f t="shared" si="55"/>
        <v>42.24</v>
      </c>
      <c r="AR66" s="254">
        <v>1.5965748524717955E-3</v>
      </c>
      <c r="AS66" s="52">
        <f t="shared" si="106"/>
        <v>518.33000000000004</v>
      </c>
      <c r="AT66" s="34">
        <f t="shared" si="107"/>
        <v>34.99</v>
      </c>
      <c r="AU66" s="35">
        <f t="shared" si="56"/>
        <v>333.17</v>
      </c>
      <c r="AV66" s="36">
        <f t="shared" si="57"/>
        <v>42.24</v>
      </c>
      <c r="AW66" s="254">
        <v>1.5962514322763941E-3</v>
      </c>
      <c r="AX66" s="52">
        <f t="shared" si="108"/>
        <v>518.22</v>
      </c>
      <c r="AY66" s="34">
        <f t="shared" si="109"/>
        <v>34.979999999999997</v>
      </c>
      <c r="AZ66" s="35">
        <f t="shared" si="58"/>
        <v>333.1</v>
      </c>
      <c r="BA66" s="257">
        <f t="shared" si="59"/>
        <v>42.23</v>
      </c>
      <c r="BB66" s="254">
        <v>1.5957513080029609E-3</v>
      </c>
      <c r="BC66" s="52">
        <f t="shared" si="110"/>
        <v>518.05999999999995</v>
      </c>
      <c r="BD66" s="34">
        <f t="shared" si="111"/>
        <v>34.97</v>
      </c>
      <c r="BE66" s="35">
        <f t="shared" si="60"/>
        <v>333</v>
      </c>
      <c r="BF66" s="257">
        <f t="shared" si="61"/>
        <v>42.22</v>
      </c>
      <c r="BG66" s="254">
        <v>1.5962678580381095E-3</v>
      </c>
      <c r="BH66" s="52">
        <f t="shared" si="112"/>
        <v>518.23</v>
      </c>
      <c r="BI66" s="34">
        <f t="shared" si="113"/>
        <v>34.979999999999997</v>
      </c>
      <c r="BJ66" s="35">
        <f t="shared" si="62"/>
        <v>333.11</v>
      </c>
      <c r="BK66" s="36">
        <f t="shared" si="63"/>
        <v>42.23</v>
      </c>
    </row>
    <row r="67" spans="1:63">
      <c r="A67" s="17"/>
      <c r="B67" s="17"/>
      <c r="C67" s="17" t="s">
        <v>19</v>
      </c>
      <c r="D67" s="53"/>
      <c r="E67" s="54">
        <f>SUM(E7:E66)</f>
        <v>324649.57999999996</v>
      </c>
      <c r="F67" s="55">
        <f t="shared" ref="F67:W67" si="167">SUM(F7:F66)</f>
        <v>21912.559999999994</v>
      </c>
      <c r="G67" s="56">
        <f t="shared" si="167"/>
        <v>220366.55000000002</v>
      </c>
      <c r="H67" s="57">
        <f t="shared" si="167"/>
        <v>27247.280000000006</v>
      </c>
      <c r="I67" s="53"/>
      <c r="J67" s="54">
        <f t="shared" si="167"/>
        <v>324649.58</v>
      </c>
      <c r="K67" s="55">
        <f t="shared" si="167"/>
        <v>21912.560000000001</v>
      </c>
      <c r="L67" s="56">
        <f>SUM(L7:L66)</f>
        <v>208679.16</v>
      </c>
      <c r="M67" s="56">
        <f t="shared" si="167"/>
        <v>26458.430000000004</v>
      </c>
      <c r="N67" s="53"/>
      <c r="O67" s="54">
        <f t="shared" si="167"/>
        <v>324649.57999999996</v>
      </c>
      <c r="P67" s="55">
        <f t="shared" si="167"/>
        <v>21912.560000000001</v>
      </c>
      <c r="Q67" s="56">
        <f t="shared" si="167"/>
        <v>208679.16</v>
      </c>
      <c r="R67" s="259">
        <f t="shared" si="167"/>
        <v>26458.43</v>
      </c>
      <c r="S67" s="53"/>
      <c r="T67" s="54">
        <f t="shared" si="167"/>
        <v>324649.57999999996</v>
      </c>
      <c r="U67" s="55">
        <f t="shared" si="167"/>
        <v>21912.559999999994</v>
      </c>
      <c r="V67" s="262">
        <f t="shared" si="167"/>
        <v>208679.16</v>
      </c>
      <c r="W67" s="57">
        <f t="shared" si="167"/>
        <v>26458.429999999993</v>
      </c>
      <c r="X67" s="53"/>
      <c r="Y67" s="54">
        <f t="shared" ref="Y67:AG67" si="168">SUM(Y7:Y66)</f>
        <v>324649.5799999999</v>
      </c>
      <c r="Z67" s="55">
        <f t="shared" si="168"/>
        <v>21912.55999999999</v>
      </c>
      <c r="AA67" s="56">
        <f t="shared" si="168"/>
        <v>208679.15999999995</v>
      </c>
      <c r="AB67" s="57">
        <f t="shared" si="168"/>
        <v>26458.429999999986</v>
      </c>
      <c r="AC67" s="53"/>
      <c r="AD67" s="54">
        <f t="shared" si="168"/>
        <v>324649.58000000019</v>
      </c>
      <c r="AE67" s="55">
        <f t="shared" si="168"/>
        <v>21912.560000000005</v>
      </c>
      <c r="AF67" s="56">
        <f t="shared" si="168"/>
        <v>208679.15999999995</v>
      </c>
      <c r="AG67" s="56">
        <f t="shared" si="168"/>
        <v>26458.429999999993</v>
      </c>
      <c r="AH67" s="53"/>
      <c r="AI67" s="54">
        <f t="shared" ref="AI67:AV67" si="169">SUM(AI7:AI66)</f>
        <v>324649.58000000013</v>
      </c>
      <c r="AJ67" s="55">
        <f t="shared" si="169"/>
        <v>21912.560000000005</v>
      </c>
      <c r="AK67" s="56">
        <f t="shared" si="169"/>
        <v>208679.16</v>
      </c>
      <c r="AL67" s="259">
        <f t="shared" si="169"/>
        <v>26458.43</v>
      </c>
      <c r="AM67" s="53"/>
      <c r="AN67" s="54">
        <f t="shared" si="169"/>
        <v>324649.5799999999</v>
      </c>
      <c r="AO67" s="55">
        <f t="shared" si="169"/>
        <v>21912.560000000001</v>
      </c>
      <c r="AP67" s="262">
        <f t="shared" si="169"/>
        <v>208679.15999999997</v>
      </c>
      <c r="AQ67" s="57">
        <f t="shared" si="169"/>
        <v>26458.429999999997</v>
      </c>
      <c r="AR67" s="53"/>
      <c r="AS67" s="54">
        <f t="shared" si="169"/>
        <v>324649.5799999999</v>
      </c>
      <c r="AT67" s="55">
        <f t="shared" si="169"/>
        <v>21912.559999999998</v>
      </c>
      <c r="AU67" s="56">
        <f t="shared" si="169"/>
        <v>208679.15999999997</v>
      </c>
      <c r="AV67" s="57">
        <f t="shared" si="169"/>
        <v>26458.429999999993</v>
      </c>
      <c r="AW67" s="53"/>
      <c r="AX67" s="54">
        <f t="shared" ref="AX67:BK67" si="170">SUM(AX7:AX66)</f>
        <v>324649.5799999999</v>
      </c>
      <c r="AY67" s="55">
        <f t="shared" si="170"/>
        <v>21912.560000000005</v>
      </c>
      <c r="AZ67" s="56">
        <f t="shared" si="170"/>
        <v>208679.15999999997</v>
      </c>
      <c r="BA67" s="259">
        <f t="shared" si="170"/>
        <v>26458.429999999993</v>
      </c>
      <c r="BB67" s="53"/>
      <c r="BC67" s="54">
        <f t="shared" si="170"/>
        <v>324649.5799999999</v>
      </c>
      <c r="BD67" s="55">
        <f t="shared" si="170"/>
        <v>21912.560000000012</v>
      </c>
      <c r="BE67" s="262">
        <f t="shared" si="170"/>
        <v>208679.16000000006</v>
      </c>
      <c r="BF67" s="57">
        <f t="shared" si="170"/>
        <v>26458.429999999993</v>
      </c>
      <c r="BG67" s="53"/>
      <c r="BH67" s="54">
        <f t="shared" si="170"/>
        <v>324649.58</v>
      </c>
      <c r="BI67" s="55">
        <f t="shared" si="170"/>
        <v>21912.560000000001</v>
      </c>
      <c r="BJ67" s="56">
        <f t="shared" si="170"/>
        <v>208679.16000000003</v>
      </c>
      <c r="BK67" s="57">
        <f t="shared" si="170"/>
        <v>26458.429999999982</v>
      </c>
    </row>
    <row r="68" spans="1:63">
      <c r="E68" s="58">
        <f>E67-E5</f>
        <v>0</v>
      </c>
      <c r="F68" s="59">
        <f>F67-F5</f>
        <v>0</v>
      </c>
      <c r="G68" s="60">
        <f>G67-G5</f>
        <v>0</v>
      </c>
      <c r="H68" s="61">
        <f>H67-H5</f>
        <v>0</v>
      </c>
      <c r="J68" s="58">
        <f>J67-J5</f>
        <v>0</v>
      </c>
      <c r="K68" s="59">
        <f>K67-K5</f>
        <v>0</v>
      </c>
      <c r="L68" s="60">
        <f>L67-L5</f>
        <v>0</v>
      </c>
      <c r="M68" s="60">
        <f>M67-M5</f>
        <v>0</v>
      </c>
      <c r="O68" s="58">
        <f>O67-O5</f>
        <v>0</v>
      </c>
      <c r="P68" s="59">
        <f>P67-P5</f>
        <v>0</v>
      </c>
      <c r="Q68" s="60">
        <f>Q67-Q5</f>
        <v>0</v>
      </c>
      <c r="R68" s="260">
        <f>R67-R5</f>
        <v>0</v>
      </c>
      <c r="T68" s="58">
        <f>T67-T5</f>
        <v>0</v>
      </c>
      <c r="U68" s="59">
        <f>U67-U5</f>
        <v>0</v>
      </c>
      <c r="V68" s="60">
        <f>V67-V5</f>
        <v>0</v>
      </c>
      <c r="W68" s="61">
        <f>W67-W5</f>
        <v>0</v>
      </c>
      <c r="Y68" s="58">
        <f>Y67-Y5</f>
        <v>0</v>
      </c>
      <c r="Z68" s="59">
        <f>Z67-Z5</f>
        <v>0</v>
      </c>
      <c r="AA68" s="60">
        <f>AA67-AA5</f>
        <v>0</v>
      </c>
      <c r="AB68" s="61">
        <f>AB67-AB5</f>
        <v>0</v>
      </c>
      <c r="AD68" s="58">
        <f>AD67-AD5</f>
        <v>0</v>
      </c>
      <c r="AE68" s="59">
        <f>AE67-AE5</f>
        <v>0</v>
      </c>
      <c r="AF68" s="60">
        <f>AF67-AF5</f>
        <v>0</v>
      </c>
      <c r="AG68" s="60">
        <f>AG67-AG5</f>
        <v>0</v>
      </c>
      <c r="AI68" s="58">
        <f>AI67-AI5</f>
        <v>0</v>
      </c>
      <c r="AJ68" s="59">
        <f>AJ67-AJ5</f>
        <v>0</v>
      </c>
      <c r="AK68" s="60">
        <f>AK67-AK5</f>
        <v>0</v>
      </c>
      <c r="AL68" s="260">
        <f>AL67-AL5</f>
        <v>0</v>
      </c>
      <c r="AN68" s="58">
        <f>AN67-AN5</f>
        <v>0</v>
      </c>
      <c r="AO68" s="59">
        <f>AO67-AO5</f>
        <v>0</v>
      </c>
      <c r="AP68" s="60">
        <f>AP67-AP5</f>
        <v>0</v>
      </c>
      <c r="AQ68" s="61">
        <f>AQ67-AQ5</f>
        <v>0</v>
      </c>
      <c r="AS68" s="58">
        <f>AS67-AS5</f>
        <v>0</v>
      </c>
      <c r="AT68" s="59">
        <f>AT67-AT5</f>
        <v>0</v>
      </c>
      <c r="AU68" s="60">
        <f>AU67-AU5</f>
        <v>0</v>
      </c>
      <c r="AV68" s="61">
        <f>AV67-AV5</f>
        <v>0</v>
      </c>
      <c r="AX68" s="58">
        <f>AX67-AX5</f>
        <v>0</v>
      </c>
      <c r="AY68" s="59">
        <f>AY67-AY5</f>
        <v>0</v>
      </c>
      <c r="AZ68" s="60">
        <f>AZ67-AZ5</f>
        <v>0</v>
      </c>
      <c r="BA68" s="260">
        <f>BA67-BA5</f>
        <v>0</v>
      </c>
      <c r="BC68" s="58">
        <f>BC67-BC5</f>
        <v>0</v>
      </c>
      <c r="BD68" s="59">
        <f>BD67-BD5</f>
        <v>0</v>
      </c>
      <c r="BE68" s="60">
        <f>BE67-BE5</f>
        <v>0</v>
      </c>
      <c r="BF68" s="61">
        <f>BF67-BF5</f>
        <v>0</v>
      </c>
      <c r="BH68" s="58">
        <f>BH67-BH5</f>
        <v>0</v>
      </c>
      <c r="BI68" s="59">
        <f>BI67-BI5</f>
        <v>0</v>
      </c>
      <c r="BJ68" s="60">
        <f>BJ67-BJ5</f>
        <v>0</v>
      </c>
      <c r="BK68" s="61">
        <f>BK67-BK5</f>
        <v>0</v>
      </c>
    </row>
    <row r="69" spans="1:63" ht="14.15" customHeight="1">
      <c r="C69" s="2" t="s">
        <v>20</v>
      </c>
      <c r="G69" s="62">
        <f>SUM(G7:G66)-G53</f>
        <v>184411.89</v>
      </c>
      <c r="H69" s="62">
        <f>SUM(H7:H66)-H53</f>
        <v>22801.640000000007</v>
      </c>
      <c r="I69" s="313">
        <f>SUM(I7:I67)</f>
        <v>1.0000000000000002</v>
      </c>
    </row>
    <row r="70" spans="1:63" ht="14.15" customHeight="1"/>
    <row r="71" spans="1:63" ht="14.15" customHeight="1">
      <c r="B71" s="63"/>
      <c r="C71" s="63"/>
    </row>
    <row r="74" spans="1:63">
      <c r="G74" s="64"/>
      <c r="H74" s="64"/>
    </row>
    <row r="77" spans="1:63" ht="23.5" customHeight="1"/>
    <row r="78" spans="1:63" ht="23.5" customHeight="1"/>
    <row r="79" spans="1:63" ht="23.5" customHeight="1"/>
    <row r="80" spans="1:63" ht="23.5" customHeight="1"/>
    <row r="81" ht="23.5" customHeight="1"/>
    <row r="82" ht="23.5" customHeight="1"/>
    <row r="83" ht="23.5" customHeight="1"/>
    <row r="84" ht="23.5" customHeight="1"/>
  </sheetData>
  <autoFilter ref="A6:Z69" xr:uid="{00000000-0009-0000-0000-000002000000}"/>
  <mergeCells count="12">
    <mergeCell ref="Y3:AB3"/>
    <mergeCell ref="E3:H3"/>
    <mergeCell ref="J3:M3"/>
    <mergeCell ref="O3:R3"/>
    <mergeCell ref="T3:W3"/>
    <mergeCell ref="BC3:BF3"/>
    <mergeCell ref="BH3:BK3"/>
    <mergeCell ref="AD3:AG3"/>
    <mergeCell ref="AI3:AL3"/>
    <mergeCell ref="AN3:AQ3"/>
    <mergeCell ref="AS3:AV3"/>
    <mergeCell ref="AX3:BA3"/>
  </mergeCells>
  <phoneticPr fontId="5"/>
  <pageMargins left="0.25" right="0.25" top="0.75" bottom="0.75" header="0.3" footer="0.3"/>
  <pageSetup paperSize="9" scale="40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691AC-CCD6-433C-9F24-82B73A3784BD}">
  <sheetPr codeName="Sheet5"/>
  <dimension ref="A1:AD126"/>
  <sheetViews>
    <sheetView topLeftCell="R1" zoomScale="70" zoomScaleNormal="70" workbookViewId="0">
      <pane ySplit="6" topLeftCell="A56" activePane="bottomLeft" state="frozen"/>
      <selection pane="bottomLeft" activeCell="A7" sqref="A7:A66"/>
    </sheetView>
  </sheetViews>
  <sheetFormatPr defaultRowHeight="14.5"/>
  <cols>
    <col min="1" max="1" width="11.6328125" style="2" bestFit="1" customWidth="1"/>
    <col min="2" max="2" width="28" style="2" customWidth="1"/>
    <col min="3" max="3" width="18.08984375" style="2" customWidth="1"/>
    <col min="4" max="4" width="14.453125" hidden="1" customWidth="1"/>
    <col min="5" max="5" width="10.26953125" style="194" hidden="1" customWidth="1"/>
    <col min="6" max="6" width="9.1796875" style="196" hidden="1" customWidth="1"/>
    <col min="7" max="11" width="16.1796875" customWidth="1"/>
    <col min="12" max="12" width="19" customWidth="1"/>
    <col min="13" max="17" width="16.1796875" customWidth="1"/>
    <col min="18" max="18" width="20.90625" bestFit="1" customWidth="1"/>
    <col min="19" max="19" width="16.1796875" customWidth="1"/>
    <col min="20" max="20" width="19" customWidth="1"/>
    <col min="21" max="21" width="16.1796875" customWidth="1"/>
    <col min="22" max="22" width="20.90625" bestFit="1" customWidth="1"/>
    <col min="23" max="25" width="16.1796875" customWidth="1"/>
    <col min="26" max="26" width="19" customWidth="1"/>
    <col min="27" max="27" width="16.1796875" customWidth="1"/>
    <col min="28" max="28" width="20.90625" bestFit="1" customWidth="1"/>
    <col min="29" max="30" width="16.1796875" customWidth="1"/>
  </cols>
  <sheetData>
    <row r="1" spans="1:30" ht="18.649999999999999" customHeight="1">
      <c r="D1" s="197"/>
      <c r="E1" s="198"/>
      <c r="F1" s="198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197"/>
      <c r="AD1" s="197"/>
    </row>
    <row r="2" spans="1:30" ht="28" customHeight="1">
      <c r="B2" s="4"/>
      <c r="D2" s="197"/>
      <c r="E2" s="199"/>
      <c r="F2" s="199"/>
      <c r="G2" s="375">
        <v>45748</v>
      </c>
      <c r="H2" s="376"/>
      <c r="I2" s="377">
        <f>IF(MONTH(G2)=12,EDATE(G2,1),EDATE(G2,1))</f>
        <v>45778</v>
      </c>
      <c r="J2" s="378"/>
      <c r="K2" s="375">
        <f t="shared" ref="K2" si="0">IF(MONTH(I2)=12,EDATE(I2,1),EDATE(I2,1))</f>
        <v>45809</v>
      </c>
      <c r="L2" s="376"/>
      <c r="M2" s="377">
        <f t="shared" ref="M2" si="1">IF(MONTH(K2)=12,EDATE(K2,1),EDATE(K2,1))</f>
        <v>45839</v>
      </c>
      <c r="N2" s="378"/>
      <c r="O2" s="375">
        <f t="shared" ref="O2" si="2">IF(MONTH(M2)=12,EDATE(M2,1),EDATE(M2,1))</f>
        <v>45870</v>
      </c>
      <c r="P2" s="376"/>
      <c r="Q2" s="377">
        <f t="shared" ref="Q2" si="3">IF(MONTH(O2)=12,EDATE(O2,1),EDATE(O2,1))</f>
        <v>45901</v>
      </c>
      <c r="R2" s="378"/>
      <c r="S2" s="375">
        <f t="shared" ref="S2" si="4">IF(MONTH(Q2)=12,EDATE(Q2,1),EDATE(Q2,1))</f>
        <v>45931</v>
      </c>
      <c r="T2" s="376"/>
      <c r="U2" s="377">
        <f t="shared" ref="U2" si="5">IF(MONTH(S2)=12,EDATE(S2,1),EDATE(S2,1))</f>
        <v>45962</v>
      </c>
      <c r="V2" s="378"/>
      <c r="W2" s="375">
        <f t="shared" ref="W2" si="6">IF(MONTH(U2)=12,EDATE(U2,1),EDATE(U2,1))</f>
        <v>45992</v>
      </c>
      <c r="X2" s="376"/>
      <c r="Y2" s="377">
        <f t="shared" ref="Y2" si="7">IF(MONTH(W2)=12,EDATE(W2,1),EDATE(W2,1))</f>
        <v>46023</v>
      </c>
      <c r="Z2" s="378"/>
      <c r="AA2" s="375">
        <f t="shared" ref="AA2" si="8">IF(MONTH(Y2)=12,EDATE(Y2,1),EDATE(Y2,1))</f>
        <v>46054</v>
      </c>
      <c r="AB2" s="376"/>
      <c r="AC2" s="377">
        <f t="shared" ref="AC2" si="9">IF(MONTH(AA2)=12,EDATE(AA2,1),EDATE(AA2,1))</f>
        <v>46082</v>
      </c>
      <c r="AD2" s="378"/>
    </row>
    <row r="3" spans="1:30" ht="21.5" customHeight="1">
      <c r="B3" s="4"/>
      <c r="C3" s="6"/>
      <c r="D3" s="200"/>
      <c r="E3" s="200"/>
      <c r="F3" s="201"/>
      <c r="G3" s="202" t="s">
        <v>178</v>
      </c>
      <c r="H3" s="203" t="s">
        <v>179</v>
      </c>
      <c r="I3" s="202" t="s">
        <v>178</v>
      </c>
      <c r="J3" s="203" t="s">
        <v>179</v>
      </c>
      <c r="K3" s="202" t="s">
        <v>178</v>
      </c>
      <c r="L3" s="203" t="s">
        <v>179</v>
      </c>
      <c r="M3" s="202" t="s">
        <v>178</v>
      </c>
      <c r="N3" s="203" t="s">
        <v>179</v>
      </c>
      <c r="O3" s="202" t="s">
        <v>178</v>
      </c>
      <c r="P3" s="203" t="s">
        <v>179</v>
      </c>
      <c r="Q3" s="202" t="s">
        <v>178</v>
      </c>
      <c r="R3" s="203" t="s">
        <v>179</v>
      </c>
      <c r="S3" s="202" t="s">
        <v>178</v>
      </c>
      <c r="T3" s="203" t="s">
        <v>179</v>
      </c>
      <c r="U3" s="202" t="s">
        <v>178</v>
      </c>
      <c r="V3" s="203" t="s">
        <v>179</v>
      </c>
      <c r="W3" s="202" t="s">
        <v>178</v>
      </c>
      <c r="X3" s="203" t="s">
        <v>179</v>
      </c>
      <c r="Y3" s="202" t="s">
        <v>178</v>
      </c>
      <c r="Z3" s="203" t="s">
        <v>179</v>
      </c>
      <c r="AA3" s="202" t="s">
        <v>178</v>
      </c>
      <c r="AB3" s="203" t="s">
        <v>179</v>
      </c>
      <c r="AC3" s="202" t="s">
        <v>178</v>
      </c>
      <c r="AD3" s="203" t="s">
        <v>179</v>
      </c>
    </row>
    <row r="4" spans="1:30">
      <c r="B4" s="4"/>
      <c r="C4" s="6"/>
      <c r="D4" s="204" t="s">
        <v>180</v>
      </c>
      <c r="E4" s="205" t="s">
        <v>181</v>
      </c>
      <c r="F4" s="206">
        <f>E67</f>
        <v>0</v>
      </c>
      <c r="G4" s="202" t="s">
        <v>133</v>
      </c>
      <c r="H4" s="203" t="s">
        <v>133</v>
      </c>
      <c r="I4" s="202" t="s">
        <v>133</v>
      </c>
      <c r="J4" s="203" t="s">
        <v>133</v>
      </c>
      <c r="K4" s="202" t="s">
        <v>133</v>
      </c>
      <c r="L4" s="203" t="s">
        <v>133</v>
      </c>
      <c r="M4" s="202" t="s">
        <v>133</v>
      </c>
      <c r="N4" s="203" t="s">
        <v>133</v>
      </c>
      <c r="O4" s="202" t="s">
        <v>133</v>
      </c>
      <c r="P4" s="203" t="s">
        <v>133</v>
      </c>
      <c r="Q4" s="202" t="s">
        <v>133</v>
      </c>
      <c r="R4" s="203" t="s">
        <v>133</v>
      </c>
      <c r="S4" s="202" t="s">
        <v>133</v>
      </c>
      <c r="T4" s="203" t="s">
        <v>133</v>
      </c>
      <c r="U4" s="202" t="s">
        <v>133</v>
      </c>
      <c r="V4" s="203" t="s">
        <v>133</v>
      </c>
      <c r="W4" s="202" t="s">
        <v>133</v>
      </c>
      <c r="X4" s="203" t="s">
        <v>133</v>
      </c>
      <c r="Y4" s="202" t="s">
        <v>133</v>
      </c>
      <c r="Z4" s="203" t="s">
        <v>133</v>
      </c>
      <c r="AA4" s="202" t="s">
        <v>133</v>
      </c>
      <c r="AB4" s="203" t="s">
        <v>133</v>
      </c>
      <c r="AC4" s="202" t="s">
        <v>133</v>
      </c>
      <c r="AD4" s="203" t="s">
        <v>133</v>
      </c>
    </row>
    <row r="5" spans="1:30">
      <c r="B5" s="4"/>
      <c r="D5" s="207" t="s">
        <v>182</v>
      </c>
      <c r="E5" s="208"/>
      <c r="F5" s="209"/>
      <c r="G5" s="210">
        <v>2231942061</v>
      </c>
      <c r="H5" s="246">
        <v>168478800</v>
      </c>
      <c r="I5" s="210">
        <v>2281942059</v>
      </c>
      <c r="J5" s="211">
        <v>184783200</v>
      </c>
      <c r="K5" s="210">
        <v>2875524677</v>
      </c>
      <c r="L5" s="211">
        <v>203805000</v>
      </c>
      <c r="M5" s="210">
        <v>3096718887</v>
      </c>
      <c r="N5" s="211">
        <v>317935800</v>
      </c>
      <c r="O5" s="210">
        <v>3207315989</v>
      </c>
      <c r="P5" s="211">
        <v>293479200</v>
      </c>
      <c r="Q5" s="210">
        <v>2941882945</v>
      </c>
      <c r="R5" s="211">
        <v>263587800</v>
      </c>
      <c r="S5" s="210">
        <v>2957385007</v>
      </c>
      <c r="T5" s="211">
        <v>190218000</v>
      </c>
      <c r="U5" s="210">
        <v>2654330471</v>
      </c>
      <c r="V5" s="211">
        <v>269022600</v>
      </c>
      <c r="W5" s="210">
        <v>2543733369</v>
      </c>
      <c r="X5" s="211">
        <v>266305200</v>
      </c>
      <c r="Y5" s="210">
        <v>2240678832</v>
      </c>
      <c r="Z5" s="211">
        <v>187500600</v>
      </c>
      <c r="AA5" s="210">
        <v>2267206634</v>
      </c>
      <c r="AB5" s="211">
        <v>149457000</v>
      </c>
      <c r="AC5" s="210">
        <v>1769553649</v>
      </c>
      <c r="AD5" s="211">
        <v>163044000</v>
      </c>
    </row>
    <row r="6" spans="1:30">
      <c r="A6" s="17" t="s">
        <v>13</v>
      </c>
      <c r="B6" s="17" t="s">
        <v>14</v>
      </c>
      <c r="C6" s="17" t="s">
        <v>15</v>
      </c>
      <c r="D6" s="17" t="s">
        <v>183</v>
      </c>
      <c r="E6" s="212" t="s">
        <v>184</v>
      </c>
      <c r="F6" s="213" t="s">
        <v>185</v>
      </c>
      <c r="G6" s="214" t="s">
        <v>186</v>
      </c>
      <c r="H6" s="215" t="s">
        <v>187</v>
      </c>
      <c r="I6" s="214" t="s">
        <v>186</v>
      </c>
      <c r="J6" s="215" t="s">
        <v>187</v>
      </c>
      <c r="K6" s="214" t="s">
        <v>186</v>
      </c>
      <c r="L6" s="215" t="s">
        <v>187</v>
      </c>
      <c r="M6" s="214" t="s">
        <v>186</v>
      </c>
      <c r="N6" s="215" t="s">
        <v>187</v>
      </c>
      <c r="O6" s="214" t="s">
        <v>186</v>
      </c>
      <c r="P6" s="215" t="s">
        <v>187</v>
      </c>
      <c r="Q6" s="214" t="s">
        <v>186</v>
      </c>
      <c r="R6" s="215" t="s">
        <v>187</v>
      </c>
      <c r="S6" s="214" t="s">
        <v>186</v>
      </c>
      <c r="T6" s="215" t="s">
        <v>187</v>
      </c>
      <c r="U6" s="214" t="s">
        <v>186</v>
      </c>
      <c r="V6" s="215" t="s">
        <v>187</v>
      </c>
      <c r="W6" s="214" t="s">
        <v>186</v>
      </c>
      <c r="X6" s="215" t="s">
        <v>187</v>
      </c>
      <c r="Y6" s="214" t="s">
        <v>186</v>
      </c>
      <c r="Z6" s="215" t="s">
        <v>187</v>
      </c>
      <c r="AA6" s="214" t="s">
        <v>186</v>
      </c>
      <c r="AB6" s="215" t="s">
        <v>187</v>
      </c>
      <c r="AC6" s="214" t="s">
        <v>186</v>
      </c>
      <c r="AD6" s="215" t="s">
        <v>187</v>
      </c>
    </row>
    <row r="7" spans="1:30" ht="25.9" customHeight="1">
      <c r="A7" s="23">
        <v>1412000005</v>
      </c>
      <c r="B7" s="24" t="s">
        <v>86</v>
      </c>
      <c r="C7" s="25" t="s">
        <v>87</v>
      </c>
      <c r="D7" s="216"/>
      <c r="E7" s="217"/>
      <c r="F7" s="218"/>
      <c r="G7" s="219">
        <v>124845814</v>
      </c>
      <c r="H7" s="220">
        <v>46907846</v>
      </c>
      <c r="I7" s="219">
        <v>129186697</v>
      </c>
      <c r="J7" s="220">
        <v>49913626</v>
      </c>
      <c r="K7" s="219">
        <v>162294104</v>
      </c>
      <c r="L7" s="220">
        <v>55068706</v>
      </c>
      <c r="M7" s="219">
        <v>174778266</v>
      </c>
      <c r="N7" s="220">
        <v>90816597</v>
      </c>
      <c r="O7" s="219">
        <v>181020347</v>
      </c>
      <c r="P7" s="220">
        <v>83705372</v>
      </c>
      <c r="Q7" s="219">
        <v>166039352</v>
      </c>
      <c r="R7" s="220">
        <v>69731796</v>
      </c>
      <c r="S7" s="219">
        <v>162311094</v>
      </c>
      <c r="T7" s="220">
        <v>48981756</v>
      </c>
      <c r="U7" s="219">
        <v>149809942</v>
      </c>
      <c r="V7" s="220">
        <v>72105586</v>
      </c>
      <c r="W7" s="219">
        <v>143567861</v>
      </c>
      <c r="X7" s="220">
        <v>70211571</v>
      </c>
      <c r="Y7" s="219">
        <v>131066709</v>
      </c>
      <c r="Z7" s="220">
        <v>51876814</v>
      </c>
      <c r="AA7" s="219">
        <v>130314545</v>
      </c>
      <c r="AB7" s="220">
        <v>41787873</v>
      </c>
      <c r="AC7" s="219">
        <v>99873295</v>
      </c>
      <c r="AD7" s="220">
        <v>42908702</v>
      </c>
    </row>
    <row r="8" spans="1:30" ht="25.9" customHeight="1">
      <c r="A8" s="31">
        <v>1412000081</v>
      </c>
      <c r="B8" s="31" t="s">
        <v>88</v>
      </c>
      <c r="C8" s="32" t="s">
        <v>89</v>
      </c>
      <c r="D8" s="221"/>
      <c r="E8" s="217"/>
      <c r="F8" s="218"/>
      <c r="G8" s="219">
        <v>337577294</v>
      </c>
      <c r="H8" s="220">
        <v>32114727</v>
      </c>
      <c r="I8" s="219">
        <v>345812776</v>
      </c>
      <c r="J8" s="220">
        <v>34721126</v>
      </c>
      <c r="K8" s="219">
        <v>433498485</v>
      </c>
      <c r="L8" s="220">
        <v>35769265</v>
      </c>
      <c r="M8" s="219">
        <v>466844523</v>
      </c>
      <c r="N8" s="220">
        <v>57194252</v>
      </c>
      <c r="O8" s="219">
        <v>483517541</v>
      </c>
      <c r="P8" s="220">
        <v>53267055</v>
      </c>
      <c r="Q8" s="219">
        <v>443502297</v>
      </c>
      <c r="R8" s="220">
        <v>46702589</v>
      </c>
      <c r="S8" s="219">
        <v>450169147</v>
      </c>
      <c r="T8" s="220">
        <v>31909849</v>
      </c>
      <c r="U8" s="219">
        <v>400152448</v>
      </c>
      <c r="V8" s="220">
        <v>44484959</v>
      </c>
      <c r="W8" s="219">
        <v>383479429</v>
      </c>
      <c r="X8" s="220">
        <v>44160393</v>
      </c>
      <c r="Y8" s="219">
        <v>333462730</v>
      </c>
      <c r="Z8" s="220">
        <v>31063649</v>
      </c>
      <c r="AA8" s="219">
        <v>333462445</v>
      </c>
      <c r="AB8" s="220">
        <v>24717663</v>
      </c>
      <c r="AC8" s="219">
        <v>266768299</v>
      </c>
      <c r="AD8" s="220">
        <v>27699120</v>
      </c>
    </row>
    <row r="9" spans="1:30" ht="25.9" customHeight="1">
      <c r="A9" s="31">
        <v>1412000066</v>
      </c>
      <c r="B9" s="37" t="s">
        <v>57</v>
      </c>
      <c r="C9" s="32" t="s">
        <v>58</v>
      </c>
      <c r="D9" s="222"/>
      <c r="E9" s="217"/>
      <c r="F9" s="218"/>
      <c r="G9" s="223">
        <v>9450856</v>
      </c>
      <c r="H9" s="220">
        <v>0</v>
      </c>
      <c r="I9" s="223">
        <v>9681403</v>
      </c>
      <c r="J9" s="220">
        <v>0</v>
      </c>
      <c r="K9" s="223">
        <v>12136256</v>
      </c>
      <c r="L9" s="220">
        <v>0</v>
      </c>
      <c r="M9" s="223">
        <v>13069814</v>
      </c>
      <c r="N9" s="220">
        <v>0</v>
      </c>
      <c r="O9" s="223">
        <v>13536593</v>
      </c>
      <c r="P9" s="220">
        <v>0</v>
      </c>
      <c r="Q9" s="223">
        <v>12416324</v>
      </c>
      <c r="R9" s="220">
        <v>0</v>
      </c>
      <c r="S9" s="223">
        <v>12603035</v>
      </c>
      <c r="T9" s="220">
        <v>0</v>
      </c>
      <c r="U9" s="223">
        <v>11202698</v>
      </c>
      <c r="V9" s="220">
        <v>0</v>
      </c>
      <c r="W9" s="223">
        <v>10735919</v>
      </c>
      <c r="X9" s="220">
        <v>0</v>
      </c>
      <c r="Y9" s="223">
        <v>9335582</v>
      </c>
      <c r="Z9" s="220">
        <v>0</v>
      </c>
      <c r="AA9" s="223">
        <v>9335582</v>
      </c>
      <c r="AB9" s="220">
        <v>0</v>
      </c>
      <c r="AC9" s="223">
        <v>7468465</v>
      </c>
      <c r="AD9" s="220">
        <v>0</v>
      </c>
    </row>
    <row r="10" spans="1:30" s="195" customFormat="1" ht="25.9" customHeight="1">
      <c r="A10" s="31">
        <v>1412000044</v>
      </c>
      <c r="B10" s="32" t="s">
        <v>21</v>
      </c>
      <c r="C10" s="32" t="s">
        <v>22</v>
      </c>
      <c r="D10" s="224"/>
      <c r="E10" s="217"/>
      <c r="F10" s="218"/>
      <c r="G10" s="219">
        <v>84002483</v>
      </c>
      <c r="H10" s="220">
        <v>988145</v>
      </c>
      <c r="I10" s="219">
        <v>86925654</v>
      </c>
      <c r="J10" s="220">
        <v>1092061</v>
      </c>
      <c r="K10" s="219">
        <v>109203228</v>
      </c>
      <c r="L10" s="220">
        <v>1233423</v>
      </c>
      <c r="M10" s="219">
        <v>117603476</v>
      </c>
      <c r="N10" s="220">
        <v>1761417</v>
      </c>
      <c r="O10" s="219">
        <v>121803600</v>
      </c>
      <c r="P10" s="220">
        <v>1577596</v>
      </c>
      <c r="Q10" s="219">
        <v>111723302</v>
      </c>
      <c r="R10" s="220">
        <v>1368869</v>
      </c>
      <c r="S10" s="219">
        <v>109203228</v>
      </c>
      <c r="T10" s="220">
        <v>937714</v>
      </c>
      <c r="U10" s="219">
        <v>100802980</v>
      </c>
      <c r="V10" s="220">
        <v>1306121</v>
      </c>
      <c r="W10" s="219">
        <v>96602855</v>
      </c>
      <c r="X10" s="220">
        <v>1304477</v>
      </c>
      <c r="Y10" s="219">
        <v>88202607</v>
      </c>
      <c r="Z10" s="220">
        <v>884560</v>
      </c>
      <c r="AA10" s="219">
        <v>87695116</v>
      </c>
      <c r="AB10" s="220">
        <v>663300</v>
      </c>
      <c r="AC10" s="219">
        <v>67201986</v>
      </c>
      <c r="AD10" s="220">
        <v>770679</v>
      </c>
    </row>
    <row r="11" spans="1:30" s="195" customFormat="1" ht="25.9" customHeight="1">
      <c r="A11" s="31">
        <v>1412000087</v>
      </c>
      <c r="B11" s="32" t="s">
        <v>109</v>
      </c>
      <c r="C11" s="32" t="s">
        <v>111</v>
      </c>
      <c r="D11" s="224"/>
      <c r="E11" s="217"/>
      <c r="F11" s="218"/>
      <c r="G11" s="225">
        <v>2418785</v>
      </c>
      <c r="H11" s="220">
        <v>261568</v>
      </c>
      <c r="I11" s="225">
        <v>2502955</v>
      </c>
      <c r="J11" s="220">
        <v>289075</v>
      </c>
      <c r="K11" s="225">
        <v>3144420</v>
      </c>
      <c r="L11" s="220">
        <v>326494</v>
      </c>
      <c r="M11" s="225">
        <v>3386298</v>
      </c>
      <c r="N11" s="220">
        <v>466257</v>
      </c>
      <c r="O11" s="225">
        <v>3507238</v>
      </c>
      <c r="P11" s="220">
        <v>417599</v>
      </c>
      <c r="Q11" s="225">
        <v>3216983</v>
      </c>
      <c r="R11" s="220">
        <v>362348</v>
      </c>
      <c r="S11" s="225">
        <v>3144420</v>
      </c>
      <c r="T11" s="220">
        <v>248218</v>
      </c>
      <c r="U11" s="225">
        <v>2902541</v>
      </c>
      <c r="V11" s="220">
        <v>345738</v>
      </c>
      <c r="W11" s="225">
        <v>2781602</v>
      </c>
      <c r="X11" s="220">
        <v>345303</v>
      </c>
      <c r="Y11" s="225">
        <v>2539724</v>
      </c>
      <c r="Z11" s="220">
        <v>234148</v>
      </c>
      <c r="AA11" s="225">
        <v>2525111</v>
      </c>
      <c r="AB11" s="220">
        <v>175579</v>
      </c>
      <c r="AC11" s="225">
        <v>1935028</v>
      </c>
      <c r="AD11" s="220">
        <v>204003</v>
      </c>
    </row>
    <row r="12" spans="1:30" s="195" customFormat="1" ht="25.9" customHeight="1">
      <c r="A12" s="31">
        <v>1412000088</v>
      </c>
      <c r="B12" s="32" t="s">
        <v>110</v>
      </c>
      <c r="C12" s="32" t="s">
        <v>112</v>
      </c>
      <c r="D12" s="224"/>
      <c r="E12" s="217"/>
      <c r="F12" s="218"/>
      <c r="G12" s="225">
        <v>6974374</v>
      </c>
      <c r="H12" s="220">
        <v>726578</v>
      </c>
      <c r="I12" s="225">
        <v>7057665</v>
      </c>
      <c r="J12" s="220">
        <v>802986</v>
      </c>
      <c r="K12" s="225">
        <v>8958407</v>
      </c>
      <c r="L12" s="220">
        <v>906929</v>
      </c>
      <c r="M12" s="225">
        <v>9647515</v>
      </c>
      <c r="N12" s="220">
        <v>1295160</v>
      </c>
      <c r="O12" s="225">
        <v>9992070</v>
      </c>
      <c r="P12" s="220">
        <v>1159997</v>
      </c>
      <c r="Q12" s="225">
        <v>9165140</v>
      </c>
      <c r="R12" s="220">
        <v>1006521</v>
      </c>
      <c r="S12" s="225">
        <v>9302961</v>
      </c>
      <c r="T12" s="220">
        <v>689495</v>
      </c>
      <c r="U12" s="225">
        <v>8269299</v>
      </c>
      <c r="V12" s="220">
        <v>960383</v>
      </c>
      <c r="W12" s="225">
        <v>7924745</v>
      </c>
      <c r="X12" s="220">
        <v>959174</v>
      </c>
      <c r="Y12" s="225">
        <v>6891082</v>
      </c>
      <c r="Z12" s="220">
        <v>650411</v>
      </c>
      <c r="AA12" s="225">
        <v>7140957</v>
      </c>
      <c r="AB12" s="220">
        <v>487720</v>
      </c>
      <c r="AC12" s="225">
        <v>5512866</v>
      </c>
      <c r="AD12" s="220">
        <v>566676</v>
      </c>
    </row>
    <row r="13" spans="1:30" s="195" customFormat="1" ht="25.9" customHeight="1">
      <c r="A13" s="31">
        <v>1412000056</v>
      </c>
      <c r="B13" s="32" t="s">
        <v>23</v>
      </c>
      <c r="C13" s="32" t="s">
        <v>24</v>
      </c>
      <c r="D13" s="224"/>
      <c r="E13" s="217"/>
      <c r="F13" s="218"/>
      <c r="G13" s="225">
        <v>559347176</v>
      </c>
      <c r="H13" s="220">
        <v>4126960</v>
      </c>
      <c r="I13" s="225">
        <v>567557414</v>
      </c>
      <c r="J13" s="220">
        <v>4560962</v>
      </c>
      <c r="K13" s="225">
        <v>719506755</v>
      </c>
      <c r="L13" s="220">
        <v>5151355</v>
      </c>
      <c r="M13" s="225">
        <v>774853428</v>
      </c>
      <c r="N13" s="220">
        <v>7356507</v>
      </c>
      <c r="O13" s="225">
        <v>802526765</v>
      </c>
      <c r="P13" s="220">
        <v>6588782</v>
      </c>
      <c r="Q13" s="225">
        <v>736110757</v>
      </c>
      <c r="R13" s="220">
        <v>5717041</v>
      </c>
      <c r="S13" s="225">
        <v>743832550</v>
      </c>
      <c r="T13" s="220">
        <v>3916334</v>
      </c>
      <c r="U13" s="225">
        <v>664160081</v>
      </c>
      <c r="V13" s="220">
        <v>5454978</v>
      </c>
      <c r="W13" s="225">
        <v>636486745</v>
      </c>
      <c r="X13" s="220">
        <v>5448111</v>
      </c>
      <c r="Y13" s="225">
        <v>556814276</v>
      </c>
      <c r="Z13" s="220">
        <v>3694337</v>
      </c>
      <c r="AA13" s="225">
        <v>574051124</v>
      </c>
      <c r="AB13" s="220">
        <v>2770251</v>
      </c>
      <c r="AC13" s="225">
        <v>442773388</v>
      </c>
      <c r="AD13" s="220">
        <v>3218719</v>
      </c>
    </row>
    <row r="14" spans="1:30" ht="25.9" customHeight="1">
      <c r="A14" s="31">
        <v>1412000004</v>
      </c>
      <c r="B14" s="32" t="s">
        <v>90</v>
      </c>
      <c r="C14" s="32" t="s">
        <v>91</v>
      </c>
      <c r="D14" s="221"/>
      <c r="E14" s="217"/>
      <c r="F14" s="218"/>
      <c r="G14" s="219">
        <v>113868724</v>
      </c>
      <c r="H14" s="220">
        <v>29266543</v>
      </c>
      <c r="I14" s="219">
        <v>116516285</v>
      </c>
      <c r="J14" s="220">
        <v>33532707</v>
      </c>
      <c r="K14" s="219">
        <v>147131134</v>
      </c>
      <c r="L14" s="220">
        <v>37728231</v>
      </c>
      <c r="M14" s="219">
        <v>158448914</v>
      </c>
      <c r="N14" s="220">
        <v>61753214</v>
      </c>
      <c r="O14" s="219">
        <v>164107803</v>
      </c>
      <c r="P14" s="220">
        <v>59020639</v>
      </c>
      <c r="Q14" s="219">
        <v>150526468</v>
      </c>
      <c r="R14" s="220">
        <v>61880930</v>
      </c>
      <c r="S14" s="219">
        <v>149988707</v>
      </c>
      <c r="T14" s="220">
        <v>50691704</v>
      </c>
      <c r="U14" s="219">
        <v>135813355</v>
      </c>
      <c r="V14" s="220">
        <v>70837880</v>
      </c>
      <c r="W14" s="219">
        <v>130154465</v>
      </c>
      <c r="X14" s="220">
        <v>70556874</v>
      </c>
      <c r="Y14" s="219">
        <v>115979112</v>
      </c>
      <c r="Z14" s="220">
        <v>48572724</v>
      </c>
      <c r="AA14" s="219">
        <v>117692441</v>
      </c>
      <c r="AB14" s="220">
        <v>40129624</v>
      </c>
      <c r="AC14" s="219">
        <v>90542236</v>
      </c>
      <c r="AD14" s="220">
        <v>42704698</v>
      </c>
    </row>
    <row r="15" spans="1:30" ht="25.9" customHeight="1">
      <c r="A15" s="65">
        <v>1412000098</v>
      </c>
      <c r="B15" s="66" t="s">
        <v>128</v>
      </c>
      <c r="C15" s="66" t="s">
        <v>125</v>
      </c>
      <c r="D15" s="226"/>
      <c r="E15" s="227"/>
      <c r="F15" s="228"/>
      <c r="G15" s="229">
        <v>11934652</v>
      </c>
      <c r="H15" s="230">
        <v>900956</v>
      </c>
      <c r="I15" s="229">
        <v>12349961</v>
      </c>
      <c r="J15" s="230">
        <v>995703</v>
      </c>
      <c r="K15" s="229">
        <v>15515048</v>
      </c>
      <c r="L15" s="230">
        <v>1124591</v>
      </c>
      <c r="M15" s="229">
        <v>16708513</v>
      </c>
      <c r="N15" s="230">
        <v>2383094</v>
      </c>
      <c r="O15" s="229">
        <v>17305245</v>
      </c>
      <c r="P15" s="230">
        <v>2134394</v>
      </c>
      <c r="Q15" s="229">
        <v>15873087</v>
      </c>
      <c r="R15" s="230">
        <v>1851999</v>
      </c>
      <c r="S15" s="229">
        <v>15515048</v>
      </c>
      <c r="T15" s="230">
        <v>1296251</v>
      </c>
      <c r="U15" s="229">
        <v>14321582</v>
      </c>
      <c r="V15" s="230">
        <v>1805521</v>
      </c>
      <c r="W15" s="229">
        <v>13724850</v>
      </c>
      <c r="X15" s="230">
        <v>1803248</v>
      </c>
      <c r="Y15" s="229">
        <v>12531385</v>
      </c>
      <c r="Z15" s="230">
        <v>1560987</v>
      </c>
      <c r="AA15" s="229">
        <v>12459283</v>
      </c>
      <c r="AB15" s="230">
        <v>1170529</v>
      </c>
      <c r="AC15" s="229">
        <v>9547722</v>
      </c>
      <c r="AD15" s="230">
        <v>1360022</v>
      </c>
    </row>
    <row r="16" spans="1:30" ht="25.9" customHeight="1">
      <c r="A16" s="31">
        <v>1412000062</v>
      </c>
      <c r="B16" s="41" t="s">
        <v>92</v>
      </c>
      <c r="C16" s="32" t="s">
        <v>93</v>
      </c>
      <c r="D16" s="221"/>
      <c r="E16" s="217"/>
      <c r="F16" s="218"/>
      <c r="G16" s="219">
        <v>1146698</v>
      </c>
      <c r="H16" s="220">
        <v>813767</v>
      </c>
      <c r="I16" s="219">
        <v>1174671</v>
      </c>
      <c r="J16" s="220">
        <v>899345</v>
      </c>
      <c r="K16" s="219">
        <v>1472525</v>
      </c>
      <c r="L16" s="220">
        <v>1015760</v>
      </c>
      <c r="M16" s="219">
        <v>1585796</v>
      </c>
      <c r="N16" s="220">
        <v>1450579</v>
      </c>
      <c r="O16" s="219">
        <v>1642431</v>
      </c>
      <c r="P16" s="220">
        <v>1299196</v>
      </c>
      <c r="Q16" s="219">
        <v>1506506</v>
      </c>
      <c r="R16" s="220">
        <v>1127304</v>
      </c>
      <c r="S16" s="219">
        <v>1529160</v>
      </c>
      <c r="T16" s="220">
        <v>772235</v>
      </c>
      <c r="U16" s="219">
        <v>1359253</v>
      </c>
      <c r="V16" s="220">
        <v>1075629</v>
      </c>
      <c r="W16" s="219">
        <v>1302618</v>
      </c>
      <c r="X16" s="220">
        <v>1074275</v>
      </c>
      <c r="Y16" s="219">
        <v>1132711</v>
      </c>
      <c r="Z16" s="220">
        <v>728461</v>
      </c>
      <c r="AA16" s="219">
        <v>1132711</v>
      </c>
      <c r="AB16" s="220">
        <v>546247</v>
      </c>
      <c r="AC16" s="219">
        <v>906169</v>
      </c>
      <c r="AD16" s="220">
        <v>634677</v>
      </c>
    </row>
    <row r="17" spans="1:30" ht="25.9" customHeight="1">
      <c r="A17" s="31">
        <v>1412000053</v>
      </c>
      <c r="B17" s="32" t="s">
        <v>94</v>
      </c>
      <c r="C17" s="32" t="s">
        <v>81</v>
      </c>
      <c r="D17" s="221"/>
      <c r="E17" s="217"/>
      <c r="F17" s="218"/>
      <c r="G17" s="219">
        <v>5698137</v>
      </c>
      <c r="H17" s="220">
        <v>5754494</v>
      </c>
      <c r="I17" s="219">
        <v>5847114</v>
      </c>
      <c r="J17" s="220">
        <v>6359651</v>
      </c>
      <c r="K17" s="219">
        <v>7337765</v>
      </c>
      <c r="L17" s="220">
        <v>7182875</v>
      </c>
      <c r="M17" s="219">
        <v>7902209</v>
      </c>
      <c r="N17" s="220">
        <v>10257665</v>
      </c>
      <c r="O17" s="219">
        <v>8184431</v>
      </c>
      <c r="P17" s="220">
        <v>9187175</v>
      </c>
      <c r="Q17" s="219">
        <v>7507098</v>
      </c>
      <c r="R17" s="220">
        <v>7971649</v>
      </c>
      <c r="S17" s="219">
        <v>7555512</v>
      </c>
      <c r="T17" s="220">
        <v>5571123</v>
      </c>
      <c r="U17" s="219">
        <v>6773322</v>
      </c>
      <c r="V17" s="220">
        <v>7759898</v>
      </c>
      <c r="W17" s="219">
        <v>6491100</v>
      </c>
      <c r="X17" s="220">
        <v>7750130</v>
      </c>
      <c r="Y17" s="219">
        <v>5708910</v>
      </c>
      <c r="Z17" s="220">
        <v>5281341</v>
      </c>
      <c r="AA17" s="219">
        <v>5711023</v>
      </c>
      <c r="AB17" s="220">
        <v>4291938</v>
      </c>
      <c r="AC17" s="219">
        <v>4515548</v>
      </c>
      <c r="AD17" s="220">
        <v>4986748</v>
      </c>
    </row>
    <row r="18" spans="1:30" ht="25.9" customHeight="1">
      <c r="A18" s="31">
        <v>1412000075</v>
      </c>
      <c r="B18" s="32" t="s">
        <v>95</v>
      </c>
      <c r="C18" s="32" t="s">
        <v>82</v>
      </c>
      <c r="D18" s="221"/>
      <c r="E18" s="217"/>
      <c r="F18" s="218"/>
      <c r="G18" s="219">
        <v>1834716</v>
      </c>
      <c r="H18" s="220">
        <v>232505</v>
      </c>
      <c r="I18" s="219">
        <v>1879473</v>
      </c>
      <c r="J18" s="220">
        <v>256956</v>
      </c>
      <c r="K18" s="219">
        <v>2356039</v>
      </c>
      <c r="L18" s="220">
        <v>290217</v>
      </c>
      <c r="M18" s="219">
        <v>2537273</v>
      </c>
      <c r="N18" s="220">
        <v>414451</v>
      </c>
      <c r="O18" s="219">
        <v>2627890</v>
      </c>
      <c r="P18" s="220">
        <v>371199</v>
      </c>
      <c r="Q18" s="219">
        <v>2410409</v>
      </c>
      <c r="R18" s="220">
        <v>322087</v>
      </c>
      <c r="S18" s="219">
        <v>2446656</v>
      </c>
      <c r="T18" s="220">
        <v>248218</v>
      </c>
      <c r="U18" s="219">
        <v>2174805</v>
      </c>
      <c r="V18" s="220">
        <v>345738</v>
      </c>
      <c r="W18" s="219">
        <v>2084189</v>
      </c>
      <c r="X18" s="220">
        <v>345303</v>
      </c>
      <c r="Y18" s="219">
        <v>1812338</v>
      </c>
      <c r="Z18" s="220">
        <v>234148</v>
      </c>
      <c r="AA18" s="219">
        <v>1812338</v>
      </c>
      <c r="AB18" s="220">
        <v>175579</v>
      </c>
      <c r="AC18" s="219">
        <v>1449870</v>
      </c>
      <c r="AD18" s="220">
        <v>204003</v>
      </c>
    </row>
    <row r="19" spans="1:30" ht="25.9" customHeight="1">
      <c r="A19" s="31">
        <v>1412000055</v>
      </c>
      <c r="B19" s="32" t="s">
        <v>96</v>
      </c>
      <c r="C19" s="32" t="s">
        <v>85</v>
      </c>
      <c r="D19" s="221"/>
      <c r="E19" s="217"/>
      <c r="F19" s="218"/>
      <c r="G19" s="219">
        <v>1111650</v>
      </c>
      <c r="H19" s="220">
        <v>726578</v>
      </c>
      <c r="I19" s="219">
        <v>1124926</v>
      </c>
      <c r="J19" s="220">
        <v>802986</v>
      </c>
      <c r="K19" s="219">
        <v>1427886</v>
      </c>
      <c r="L19" s="220">
        <v>906929</v>
      </c>
      <c r="M19" s="219">
        <v>1537724</v>
      </c>
      <c r="N19" s="220">
        <v>1243353</v>
      </c>
      <c r="O19" s="219">
        <v>1592642</v>
      </c>
      <c r="P19" s="220">
        <v>1159997</v>
      </c>
      <c r="Q19" s="219">
        <v>1460838</v>
      </c>
      <c r="R19" s="220">
        <v>1087043</v>
      </c>
      <c r="S19" s="219">
        <v>1482805</v>
      </c>
      <c r="T19" s="220">
        <v>744655</v>
      </c>
      <c r="U19" s="219">
        <v>1318049</v>
      </c>
      <c r="V19" s="220">
        <v>1037214</v>
      </c>
      <c r="W19" s="219">
        <v>1263130</v>
      </c>
      <c r="X19" s="220">
        <v>1074275</v>
      </c>
      <c r="Y19" s="219">
        <v>1098374</v>
      </c>
      <c r="Z19" s="220">
        <v>728461</v>
      </c>
      <c r="AA19" s="219">
        <v>1138202</v>
      </c>
      <c r="AB19" s="220">
        <v>546247</v>
      </c>
      <c r="AC19" s="219">
        <v>878699</v>
      </c>
      <c r="AD19" s="220">
        <v>680011</v>
      </c>
    </row>
    <row r="20" spans="1:30" ht="25.9" customHeight="1">
      <c r="A20" s="31">
        <v>1412000040</v>
      </c>
      <c r="B20" s="32" t="s">
        <v>25</v>
      </c>
      <c r="C20" s="32" t="s">
        <v>26</v>
      </c>
      <c r="D20" s="221"/>
      <c r="E20" s="217"/>
      <c r="F20" s="218"/>
      <c r="G20" s="219">
        <v>1593516</v>
      </c>
      <c r="H20" s="220">
        <v>552199</v>
      </c>
      <c r="I20" s="219">
        <v>1620675</v>
      </c>
      <c r="J20" s="220">
        <v>610270</v>
      </c>
      <c r="K20" s="219">
        <v>2031620</v>
      </c>
      <c r="L20" s="220">
        <v>689266</v>
      </c>
      <c r="M20" s="219">
        <v>2187898</v>
      </c>
      <c r="N20" s="220">
        <v>984321</v>
      </c>
      <c r="O20" s="219">
        <v>2258155</v>
      </c>
      <c r="P20" s="220">
        <v>881598</v>
      </c>
      <c r="Q20" s="219">
        <v>2071273</v>
      </c>
      <c r="R20" s="220">
        <v>764956</v>
      </c>
      <c r="S20" s="219">
        <v>2102420</v>
      </c>
      <c r="T20" s="220">
        <v>524017</v>
      </c>
      <c r="U20" s="219">
        <v>1868818</v>
      </c>
      <c r="V20" s="220">
        <v>729891</v>
      </c>
      <c r="W20" s="219">
        <v>1790950</v>
      </c>
      <c r="X20" s="220">
        <v>728973</v>
      </c>
      <c r="Y20" s="219">
        <v>1557348</v>
      </c>
      <c r="Z20" s="220">
        <v>494313</v>
      </c>
      <c r="AA20" s="219">
        <v>1557348</v>
      </c>
      <c r="AB20" s="220">
        <v>370667</v>
      </c>
      <c r="AC20" s="219">
        <v>1245878</v>
      </c>
      <c r="AD20" s="220">
        <v>430674</v>
      </c>
    </row>
    <row r="21" spans="1:30" ht="25.9" customHeight="1">
      <c r="A21" s="277">
        <v>1412000102</v>
      </c>
      <c r="B21" s="277" t="s">
        <v>189</v>
      </c>
      <c r="C21" s="278" t="s">
        <v>188</v>
      </c>
      <c r="D21" s="279"/>
      <c r="E21" s="280"/>
      <c r="F21" s="281"/>
      <c r="G21" s="282">
        <v>523419</v>
      </c>
      <c r="H21" s="283">
        <v>261568</v>
      </c>
      <c r="I21" s="282">
        <v>528554</v>
      </c>
      <c r="J21" s="283">
        <v>289075</v>
      </c>
      <c r="K21" s="282">
        <v>662576</v>
      </c>
      <c r="L21" s="283">
        <v>326494</v>
      </c>
      <c r="M21" s="282">
        <v>713543</v>
      </c>
      <c r="N21" s="283">
        <v>466257</v>
      </c>
      <c r="O21" s="282">
        <v>733889</v>
      </c>
      <c r="P21" s="283">
        <v>417599</v>
      </c>
      <c r="Q21" s="282">
        <v>673153</v>
      </c>
      <c r="R21" s="283">
        <v>362348</v>
      </c>
      <c r="S21" s="282">
        <v>683276</v>
      </c>
      <c r="T21" s="283">
        <v>248218</v>
      </c>
      <c r="U21" s="282">
        <v>607357</v>
      </c>
      <c r="V21" s="283">
        <v>345738</v>
      </c>
      <c r="W21" s="282">
        <v>582050</v>
      </c>
      <c r="X21" s="283">
        <v>345303</v>
      </c>
      <c r="Y21" s="282">
        <v>506130</v>
      </c>
      <c r="Z21" s="283">
        <v>234148</v>
      </c>
      <c r="AA21" s="282">
        <v>506130</v>
      </c>
      <c r="AB21" s="283">
        <v>175579</v>
      </c>
      <c r="AC21" s="282">
        <v>404904</v>
      </c>
      <c r="AD21" s="283">
        <v>204003</v>
      </c>
    </row>
    <row r="22" spans="1:30" ht="25.9" customHeight="1">
      <c r="A22" s="31">
        <v>1412000089</v>
      </c>
      <c r="B22" s="31" t="s">
        <v>113</v>
      </c>
      <c r="C22" s="32" t="s">
        <v>114</v>
      </c>
      <c r="D22" s="221"/>
      <c r="E22" s="217"/>
      <c r="F22" s="218"/>
      <c r="G22" s="219">
        <v>537913</v>
      </c>
      <c r="H22" s="220">
        <v>377820</v>
      </c>
      <c r="I22" s="219">
        <v>543020</v>
      </c>
      <c r="J22" s="220">
        <v>417553</v>
      </c>
      <c r="K22" s="219">
        <v>680711</v>
      </c>
      <c r="L22" s="220">
        <v>471603</v>
      </c>
      <c r="M22" s="219">
        <v>733073</v>
      </c>
      <c r="N22" s="220">
        <v>673483</v>
      </c>
      <c r="O22" s="219">
        <v>753861</v>
      </c>
      <c r="P22" s="220">
        <v>603198</v>
      </c>
      <c r="Q22" s="219">
        <v>691472</v>
      </c>
      <c r="R22" s="220">
        <v>523391</v>
      </c>
      <c r="S22" s="219">
        <v>701870</v>
      </c>
      <c r="T22" s="220">
        <v>358538</v>
      </c>
      <c r="U22" s="219">
        <v>623885</v>
      </c>
      <c r="V22" s="220">
        <v>499399</v>
      </c>
      <c r="W22" s="219">
        <v>597889</v>
      </c>
      <c r="X22" s="220">
        <v>498771</v>
      </c>
      <c r="Y22" s="219">
        <v>519904</v>
      </c>
      <c r="Z22" s="220">
        <v>338214</v>
      </c>
      <c r="AA22" s="219">
        <v>519904</v>
      </c>
      <c r="AB22" s="220">
        <v>253615</v>
      </c>
      <c r="AC22" s="219">
        <v>415923</v>
      </c>
      <c r="AD22" s="220">
        <v>294671</v>
      </c>
    </row>
    <row r="23" spans="1:30" ht="25.9" customHeight="1">
      <c r="A23" s="31">
        <v>1412000039</v>
      </c>
      <c r="B23" s="31" t="s">
        <v>27</v>
      </c>
      <c r="C23" s="32" t="s">
        <v>2</v>
      </c>
      <c r="D23" s="221"/>
      <c r="E23" s="217"/>
      <c r="F23" s="218"/>
      <c r="G23" s="219">
        <v>728530</v>
      </c>
      <c r="H23" s="220">
        <v>610325</v>
      </c>
      <c r="I23" s="219">
        <v>780939</v>
      </c>
      <c r="J23" s="220">
        <v>738747</v>
      </c>
      <c r="K23" s="219">
        <v>978957</v>
      </c>
      <c r="L23" s="220">
        <v>834374</v>
      </c>
      <c r="M23" s="219">
        <v>1054261</v>
      </c>
      <c r="N23" s="220">
        <v>1191547</v>
      </c>
      <c r="O23" s="219">
        <v>1082371</v>
      </c>
      <c r="P23" s="220">
        <v>1067197</v>
      </c>
      <c r="Q23" s="219">
        <v>992796</v>
      </c>
      <c r="R23" s="220">
        <v>926000</v>
      </c>
      <c r="S23" s="219">
        <v>1007725</v>
      </c>
      <c r="T23" s="220">
        <v>634336</v>
      </c>
      <c r="U23" s="219">
        <v>895755</v>
      </c>
      <c r="V23" s="220">
        <v>883553</v>
      </c>
      <c r="W23" s="219">
        <v>858432</v>
      </c>
      <c r="X23" s="220">
        <v>882441</v>
      </c>
      <c r="Y23" s="219">
        <v>746463</v>
      </c>
      <c r="Z23" s="220">
        <v>598378</v>
      </c>
      <c r="AA23" s="219">
        <v>746463</v>
      </c>
      <c r="AB23" s="220">
        <v>448703</v>
      </c>
      <c r="AC23" s="219">
        <v>597170</v>
      </c>
      <c r="AD23" s="220">
        <v>521342</v>
      </c>
    </row>
    <row r="24" spans="1:30" ht="25.9" customHeight="1">
      <c r="A24" s="31">
        <v>1412000006</v>
      </c>
      <c r="B24" s="31" t="s">
        <v>97</v>
      </c>
      <c r="C24" s="32" t="s">
        <v>3</v>
      </c>
      <c r="D24" s="221"/>
      <c r="E24" s="217"/>
      <c r="F24" s="218"/>
      <c r="G24" s="219">
        <v>789900</v>
      </c>
      <c r="H24" s="220">
        <v>406883</v>
      </c>
      <c r="I24" s="219">
        <v>800538</v>
      </c>
      <c r="J24" s="220">
        <v>449672</v>
      </c>
      <c r="K24" s="219">
        <v>1003526</v>
      </c>
      <c r="L24" s="220">
        <v>507880</v>
      </c>
      <c r="M24" s="219">
        <v>1080720</v>
      </c>
      <c r="N24" s="220">
        <v>725289</v>
      </c>
      <c r="O24" s="219">
        <v>1146360</v>
      </c>
      <c r="P24" s="220">
        <v>695998</v>
      </c>
      <c r="Q24" s="219">
        <v>1051489</v>
      </c>
      <c r="R24" s="220">
        <v>603913</v>
      </c>
      <c r="S24" s="219">
        <v>1067300</v>
      </c>
      <c r="T24" s="220">
        <v>413697</v>
      </c>
      <c r="U24" s="219">
        <v>948711</v>
      </c>
      <c r="V24" s="220">
        <v>576230</v>
      </c>
      <c r="W24" s="219">
        <v>909182</v>
      </c>
      <c r="X24" s="220">
        <v>575505</v>
      </c>
      <c r="Y24" s="219">
        <v>790593</v>
      </c>
      <c r="Z24" s="220">
        <v>390247</v>
      </c>
      <c r="AA24" s="219">
        <v>790593</v>
      </c>
      <c r="AB24" s="220">
        <v>292632</v>
      </c>
      <c r="AC24" s="219">
        <v>632474</v>
      </c>
      <c r="AD24" s="220">
        <v>340006</v>
      </c>
    </row>
    <row r="25" spans="1:30" ht="25.9" customHeight="1">
      <c r="A25" s="31">
        <v>1412000034</v>
      </c>
      <c r="B25" s="31" t="s">
        <v>28</v>
      </c>
      <c r="C25" s="32" t="s">
        <v>29</v>
      </c>
      <c r="D25" s="221"/>
      <c r="E25" s="217"/>
      <c r="F25" s="218"/>
      <c r="G25" s="219">
        <v>146844629</v>
      </c>
      <c r="H25" s="220">
        <v>9300193</v>
      </c>
      <c r="I25" s="219">
        <v>148598320</v>
      </c>
      <c r="J25" s="220">
        <v>10278224</v>
      </c>
      <c r="K25" s="219">
        <v>188618219</v>
      </c>
      <c r="L25" s="220">
        <v>11644964</v>
      </c>
      <c r="M25" s="219">
        <v>203127312</v>
      </c>
      <c r="N25" s="220">
        <v>16629850</v>
      </c>
      <c r="O25" s="219">
        <v>210381859</v>
      </c>
      <c r="P25" s="220">
        <v>15265558</v>
      </c>
      <c r="Q25" s="219">
        <v>192970947</v>
      </c>
      <c r="R25" s="220">
        <v>13567907</v>
      </c>
      <c r="S25" s="219">
        <v>195872765</v>
      </c>
      <c r="T25" s="220">
        <v>9294398</v>
      </c>
      <c r="U25" s="219">
        <v>174109125</v>
      </c>
      <c r="V25" s="220">
        <v>12945968</v>
      </c>
      <c r="W25" s="219">
        <v>166854578</v>
      </c>
      <c r="X25" s="220">
        <v>12929672</v>
      </c>
      <c r="Y25" s="219">
        <v>145090937</v>
      </c>
      <c r="Z25" s="220">
        <v>8767546</v>
      </c>
      <c r="AA25" s="219">
        <v>150352011</v>
      </c>
      <c r="AB25" s="220">
        <v>6769557</v>
      </c>
      <c r="AC25" s="219">
        <v>116072750</v>
      </c>
      <c r="AD25" s="220">
        <v>7865462</v>
      </c>
    </row>
    <row r="26" spans="1:30" ht="25.9" customHeight="1">
      <c r="A26" s="31">
        <v>1412000048</v>
      </c>
      <c r="B26" s="31" t="s">
        <v>30</v>
      </c>
      <c r="C26" s="32" t="s">
        <v>31</v>
      </c>
      <c r="D26" s="221"/>
      <c r="E26" s="217"/>
      <c r="F26" s="218"/>
      <c r="G26" s="219">
        <v>1583866</v>
      </c>
      <c r="H26" s="220">
        <v>697514</v>
      </c>
      <c r="I26" s="219">
        <v>1602781</v>
      </c>
      <c r="J26" s="220">
        <v>770867</v>
      </c>
      <c r="K26" s="219">
        <v>2034435</v>
      </c>
      <c r="L26" s="220">
        <v>906929</v>
      </c>
      <c r="M26" s="219">
        <v>2190930</v>
      </c>
      <c r="N26" s="220">
        <v>1295160</v>
      </c>
      <c r="O26" s="219">
        <v>2269178</v>
      </c>
      <c r="P26" s="220">
        <v>1159997</v>
      </c>
      <c r="Q26" s="219">
        <v>2081384</v>
      </c>
      <c r="R26" s="220">
        <v>1006521</v>
      </c>
      <c r="S26" s="219">
        <v>2112683</v>
      </c>
      <c r="T26" s="220">
        <v>689495</v>
      </c>
      <c r="U26" s="219">
        <v>1877940</v>
      </c>
      <c r="V26" s="220">
        <v>960383</v>
      </c>
      <c r="W26" s="219">
        <v>1799693</v>
      </c>
      <c r="X26" s="220">
        <v>959174</v>
      </c>
      <c r="Y26" s="219">
        <v>1564950</v>
      </c>
      <c r="Z26" s="220">
        <v>650411</v>
      </c>
      <c r="AA26" s="219">
        <v>1621696</v>
      </c>
      <c r="AB26" s="220">
        <v>487720</v>
      </c>
      <c r="AC26" s="219">
        <v>1251960</v>
      </c>
      <c r="AD26" s="220">
        <v>566676</v>
      </c>
    </row>
    <row r="27" spans="1:30" ht="25.9" customHeight="1">
      <c r="A27" s="31">
        <v>1412000063</v>
      </c>
      <c r="B27" s="31" t="s">
        <v>32</v>
      </c>
      <c r="C27" s="32" t="s">
        <v>98</v>
      </c>
      <c r="D27" s="221"/>
      <c r="E27" s="217"/>
      <c r="F27" s="218"/>
      <c r="G27" s="219">
        <v>84787</v>
      </c>
      <c r="H27" s="220">
        <v>377820</v>
      </c>
      <c r="I27" s="219">
        <v>85799</v>
      </c>
      <c r="J27" s="220">
        <v>385433</v>
      </c>
      <c r="K27" s="219">
        <v>108907</v>
      </c>
      <c r="L27" s="220">
        <v>326494</v>
      </c>
      <c r="M27" s="219">
        <v>117284</v>
      </c>
      <c r="N27" s="220">
        <v>466257</v>
      </c>
      <c r="O27" s="219">
        <v>121473</v>
      </c>
      <c r="P27" s="220">
        <v>417599</v>
      </c>
      <c r="Q27" s="219">
        <v>111420</v>
      </c>
      <c r="R27" s="220">
        <v>362348</v>
      </c>
      <c r="S27" s="219">
        <v>113095</v>
      </c>
      <c r="T27" s="220">
        <v>248218</v>
      </c>
      <c r="U27" s="219">
        <v>100529</v>
      </c>
      <c r="V27" s="220">
        <v>345738</v>
      </c>
      <c r="W27" s="219">
        <v>96340</v>
      </c>
      <c r="X27" s="220">
        <v>306936</v>
      </c>
      <c r="Y27" s="219">
        <v>83774</v>
      </c>
      <c r="Z27" s="220">
        <v>208132</v>
      </c>
      <c r="AA27" s="219">
        <v>86812</v>
      </c>
      <c r="AB27" s="220">
        <v>156070</v>
      </c>
      <c r="AC27" s="219">
        <v>67019</v>
      </c>
      <c r="AD27" s="220">
        <v>181336</v>
      </c>
    </row>
    <row r="28" spans="1:30" ht="25.9" customHeight="1">
      <c r="A28" s="31">
        <v>1412000036</v>
      </c>
      <c r="B28" s="31" t="s">
        <v>131</v>
      </c>
      <c r="C28" s="32" t="s">
        <v>84</v>
      </c>
      <c r="D28" s="221"/>
      <c r="E28" s="217"/>
      <c r="F28" s="218"/>
      <c r="G28" s="219">
        <v>363738755</v>
      </c>
      <c r="H28" s="220">
        <v>11131168</v>
      </c>
      <c r="I28" s="219">
        <v>372855902</v>
      </c>
      <c r="J28" s="220">
        <v>12173272</v>
      </c>
      <c r="K28" s="219">
        <v>468272716</v>
      </c>
      <c r="L28" s="220">
        <v>13676484</v>
      </c>
      <c r="M28" s="219">
        <v>504293694</v>
      </c>
      <c r="N28" s="220">
        <v>19427395</v>
      </c>
      <c r="O28" s="219">
        <v>522304184</v>
      </c>
      <c r="P28" s="220">
        <v>17399953</v>
      </c>
      <c r="Q28" s="219">
        <v>479079010</v>
      </c>
      <c r="R28" s="220">
        <v>15057559</v>
      </c>
      <c r="S28" s="219">
        <v>482606300</v>
      </c>
      <c r="T28" s="220">
        <v>10259692</v>
      </c>
      <c r="U28" s="219">
        <v>432251738</v>
      </c>
      <c r="V28" s="220">
        <v>14213674</v>
      </c>
      <c r="W28" s="219">
        <v>414241249</v>
      </c>
      <c r="X28" s="220">
        <v>14119048</v>
      </c>
      <c r="Y28" s="219">
        <v>363886687</v>
      </c>
      <c r="Z28" s="220">
        <v>9990319</v>
      </c>
      <c r="AA28" s="219">
        <v>364941892</v>
      </c>
      <c r="AB28" s="220">
        <v>7784016</v>
      </c>
      <c r="AC28" s="219">
        <v>288167825</v>
      </c>
      <c r="AD28" s="220">
        <v>8998814</v>
      </c>
    </row>
    <row r="29" spans="1:30" ht="25.9" customHeight="1">
      <c r="A29" s="31">
        <v>1412000072</v>
      </c>
      <c r="B29" s="31" t="s">
        <v>132</v>
      </c>
      <c r="C29" s="32" t="s">
        <v>83</v>
      </c>
      <c r="D29" s="221"/>
      <c r="E29" s="217"/>
      <c r="F29" s="218"/>
      <c r="G29" s="219">
        <v>153031554</v>
      </c>
      <c r="H29" s="220">
        <v>1860039</v>
      </c>
      <c r="I29" s="219">
        <v>156907203</v>
      </c>
      <c r="J29" s="220">
        <v>2055645</v>
      </c>
      <c r="K29" s="219">
        <v>196910121</v>
      </c>
      <c r="L29" s="220">
        <v>2285460</v>
      </c>
      <c r="M29" s="219">
        <v>212057053</v>
      </c>
      <c r="N29" s="220">
        <v>3263802</v>
      </c>
      <c r="O29" s="219">
        <v>219630519</v>
      </c>
      <c r="P29" s="220">
        <v>2876792</v>
      </c>
      <c r="Q29" s="219">
        <v>201454201</v>
      </c>
      <c r="R29" s="220">
        <v>2455912</v>
      </c>
      <c r="S29" s="219">
        <v>203245712</v>
      </c>
      <c r="T29" s="220">
        <v>1682369</v>
      </c>
      <c r="U29" s="219">
        <v>181763188</v>
      </c>
      <c r="V29" s="220">
        <v>2343336</v>
      </c>
      <c r="W29" s="219">
        <v>174189722</v>
      </c>
      <c r="X29" s="220">
        <v>2302019</v>
      </c>
      <c r="Y29" s="219">
        <v>152707199</v>
      </c>
      <c r="Z29" s="220">
        <v>1587004</v>
      </c>
      <c r="AA29" s="219">
        <v>152888645</v>
      </c>
      <c r="AB29" s="220">
        <v>1209546</v>
      </c>
      <c r="AC29" s="219">
        <v>121175459</v>
      </c>
      <c r="AD29" s="220">
        <v>1382689</v>
      </c>
    </row>
    <row r="30" spans="1:30" ht="25.9" customHeight="1">
      <c r="A30" s="31">
        <v>1412000073</v>
      </c>
      <c r="B30" s="31" t="s">
        <v>66</v>
      </c>
      <c r="C30" s="32" t="s">
        <v>67</v>
      </c>
      <c r="D30" s="221"/>
      <c r="E30" s="217"/>
      <c r="F30" s="218"/>
      <c r="G30" s="219">
        <v>1376037</v>
      </c>
      <c r="H30" s="220">
        <v>523136</v>
      </c>
      <c r="I30" s="219">
        <v>1409605</v>
      </c>
      <c r="J30" s="220">
        <v>578150</v>
      </c>
      <c r="K30" s="219">
        <v>1767029</v>
      </c>
      <c r="L30" s="220">
        <v>652989</v>
      </c>
      <c r="M30" s="219">
        <v>1902955</v>
      </c>
      <c r="N30" s="220">
        <v>932515</v>
      </c>
      <c r="O30" s="219">
        <v>1970917</v>
      </c>
      <c r="P30" s="220">
        <v>835198</v>
      </c>
      <c r="Q30" s="219">
        <v>1807807</v>
      </c>
      <c r="R30" s="220">
        <v>724695</v>
      </c>
      <c r="S30" s="219">
        <v>1834992</v>
      </c>
      <c r="T30" s="220">
        <v>496437</v>
      </c>
      <c r="U30" s="219">
        <v>1631104</v>
      </c>
      <c r="V30" s="220">
        <v>691476</v>
      </c>
      <c r="W30" s="219">
        <v>1563141</v>
      </c>
      <c r="X30" s="220">
        <v>690606</v>
      </c>
      <c r="Y30" s="219">
        <v>1359253</v>
      </c>
      <c r="Z30" s="220">
        <v>468296</v>
      </c>
      <c r="AA30" s="219">
        <v>1359253</v>
      </c>
      <c r="AB30" s="220">
        <v>351159</v>
      </c>
      <c r="AC30" s="219">
        <v>1087403</v>
      </c>
      <c r="AD30" s="220">
        <v>408007</v>
      </c>
    </row>
    <row r="31" spans="1:30" ht="25.9" customHeight="1">
      <c r="A31" s="31">
        <v>1412000008</v>
      </c>
      <c r="B31" s="31" t="s">
        <v>33</v>
      </c>
      <c r="C31" s="32" t="s">
        <v>34</v>
      </c>
      <c r="D31" s="221"/>
      <c r="E31" s="217"/>
      <c r="F31" s="218"/>
      <c r="G31" s="219">
        <v>2093418</v>
      </c>
      <c r="H31" s="220">
        <v>319694</v>
      </c>
      <c r="I31" s="219">
        <v>2146277</v>
      </c>
      <c r="J31" s="220">
        <v>353314</v>
      </c>
      <c r="K31" s="219">
        <v>2692818</v>
      </c>
      <c r="L31" s="220">
        <v>399049</v>
      </c>
      <c r="M31" s="219">
        <v>2899958</v>
      </c>
      <c r="N31" s="220">
        <v>569870</v>
      </c>
      <c r="O31" s="219">
        <v>2999765</v>
      </c>
      <c r="P31" s="220">
        <v>510399</v>
      </c>
      <c r="Q31" s="219">
        <v>2748701</v>
      </c>
      <c r="R31" s="220">
        <v>442869</v>
      </c>
      <c r="S31" s="219">
        <v>2748999</v>
      </c>
      <c r="T31" s="220">
        <v>303378</v>
      </c>
      <c r="U31" s="219">
        <v>2480031</v>
      </c>
      <c r="V31" s="220">
        <v>422569</v>
      </c>
      <c r="W31" s="219">
        <v>2376696</v>
      </c>
      <c r="X31" s="220">
        <v>422037</v>
      </c>
      <c r="Y31" s="219">
        <v>2107728</v>
      </c>
      <c r="Z31" s="220">
        <v>286181</v>
      </c>
      <c r="AA31" s="219">
        <v>2102770</v>
      </c>
      <c r="AB31" s="220">
        <v>214597</v>
      </c>
      <c r="AC31" s="219">
        <v>1653354</v>
      </c>
      <c r="AD31" s="220">
        <v>249337</v>
      </c>
    </row>
    <row r="32" spans="1:30" ht="25.9" customHeight="1">
      <c r="A32" s="31">
        <v>1412000054</v>
      </c>
      <c r="B32" s="31" t="s">
        <v>35</v>
      </c>
      <c r="C32" s="32" t="s">
        <v>4</v>
      </c>
      <c r="D32" s="221"/>
      <c r="E32" s="217"/>
      <c r="F32" s="218"/>
      <c r="G32" s="219">
        <v>2930301</v>
      </c>
      <c r="H32" s="220">
        <v>465010</v>
      </c>
      <c r="I32" s="219">
        <v>3082040</v>
      </c>
      <c r="J32" s="220">
        <v>546031</v>
      </c>
      <c r="K32" s="219">
        <v>3867123</v>
      </c>
      <c r="L32" s="220">
        <v>616711</v>
      </c>
      <c r="M32" s="219">
        <v>4164594</v>
      </c>
      <c r="N32" s="220">
        <v>880709</v>
      </c>
      <c r="O32" s="219">
        <v>4307514</v>
      </c>
      <c r="P32" s="220">
        <v>788798</v>
      </c>
      <c r="Q32" s="219">
        <v>3946691</v>
      </c>
      <c r="R32" s="220">
        <v>684434</v>
      </c>
      <c r="S32" s="219">
        <v>3942621</v>
      </c>
      <c r="T32" s="220">
        <v>468857</v>
      </c>
      <c r="U32" s="219">
        <v>3560924</v>
      </c>
      <c r="V32" s="220">
        <v>653061</v>
      </c>
      <c r="W32" s="219">
        <v>3412552</v>
      </c>
      <c r="X32" s="220">
        <v>652239</v>
      </c>
      <c r="Y32" s="219">
        <v>3030855</v>
      </c>
      <c r="Z32" s="220">
        <v>442280</v>
      </c>
      <c r="AA32" s="219">
        <v>3023193</v>
      </c>
      <c r="AB32" s="220">
        <v>331650</v>
      </c>
      <c r="AC32" s="219">
        <v>2373949</v>
      </c>
      <c r="AD32" s="220">
        <v>385340</v>
      </c>
    </row>
    <row r="33" spans="1:30" ht="25.9" customHeight="1">
      <c r="A33" s="31">
        <v>1412000010</v>
      </c>
      <c r="B33" s="31" t="s">
        <v>36</v>
      </c>
      <c r="C33" s="32" t="s">
        <v>37</v>
      </c>
      <c r="D33" s="221"/>
      <c r="E33" s="217"/>
      <c r="F33" s="218"/>
      <c r="G33" s="219">
        <v>1141864</v>
      </c>
      <c r="H33" s="220">
        <v>174379</v>
      </c>
      <c r="I33" s="219">
        <v>1170697</v>
      </c>
      <c r="J33" s="220">
        <v>192717</v>
      </c>
      <c r="K33" s="219">
        <v>1468810</v>
      </c>
      <c r="L33" s="220">
        <v>217663</v>
      </c>
      <c r="M33" s="219">
        <v>1581795</v>
      </c>
      <c r="N33" s="220">
        <v>310838</v>
      </c>
      <c r="O33" s="219">
        <v>1636235</v>
      </c>
      <c r="P33" s="220">
        <v>278399</v>
      </c>
      <c r="Q33" s="219">
        <v>1499291</v>
      </c>
      <c r="R33" s="220">
        <v>241565</v>
      </c>
      <c r="S33" s="219">
        <v>1499454</v>
      </c>
      <c r="T33" s="220">
        <v>165479</v>
      </c>
      <c r="U33" s="219">
        <v>1352744</v>
      </c>
      <c r="V33" s="220">
        <v>230492</v>
      </c>
      <c r="W33" s="219">
        <v>1296380</v>
      </c>
      <c r="X33" s="220">
        <v>230202</v>
      </c>
      <c r="Y33" s="219">
        <v>1149670</v>
      </c>
      <c r="Z33" s="220">
        <v>156099</v>
      </c>
      <c r="AA33" s="219">
        <v>1146965</v>
      </c>
      <c r="AB33" s="220">
        <v>117053</v>
      </c>
      <c r="AC33" s="219">
        <v>901829</v>
      </c>
      <c r="AD33" s="220">
        <v>136002</v>
      </c>
    </row>
    <row r="34" spans="1:30" ht="25.9" customHeight="1">
      <c r="A34" s="65">
        <v>1412000094</v>
      </c>
      <c r="B34" s="70" t="s">
        <v>129</v>
      </c>
      <c r="C34" s="66" t="s">
        <v>155</v>
      </c>
      <c r="D34" s="231"/>
      <c r="E34" s="227"/>
      <c r="F34" s="228"/>
      <c r="G34" s="232">
        <v>114670</v>
      </c>
      <c r="H34" s="230">
        <v>87189</v>
      </c>
      <c r="I34" s="232">
        <v>117467</v>
      </c>
      <c r="J34" s="230">
        <v>96358</v>
      </c>
      <c r="K34" s="232">
        <v>147252</v>
      </c>
      <c r="L34" s="230">
        <v>108831</v>
      </c>
      <c r="M34" s="232">
        <v>158580</v>
      </c>
      <c r="N34" s="230">
        <v>155419</v>
      </c>
      <c r="O34" s="232">
        <v>164243</v>
      </c>
      <c r="P34" s="230">
        <v>139200</v>
      </c>
      <c r="Q34" s="232">
        <v>150651</v>
      </c>
      <c r="R34" s="230">
        <v>120783</v>
      </c>
      <c r="S34" s="232">
        <v>152916</v>
      </c>
      <c r="T34" s="230">
        <v>82739</v>
      </c>
      <c r="U34" s="232">
        <v>135925</v>
      </c>
      <c r="V34" s="230">
        <v>115246</v>
      </c>
      <c r="W34" s="232">
        <v>130262</v>
      </c>
      <c r="X34" s="230">
        <v>115101</v>
      </c>
      <c r="Y34" s="232">
        <v>113271</v>
      </c>
      <c r="Z34" s="230">
        <v>78049</v>
      </c>
      <c r="AA34" s="232">
        <v>113271</v>
      </c>
      <c r="AB34" s="230">
        <v>58526</v>
      </c>
      <c r="AC34" s="232">
        <v>90617</v>
      </c>
      <c r="AD34" s="230">
        <v>68001</v>
      </c>
    </row>
    <row r="35" spans="1:30" ht="25.9" customHeight="1">
      <c r="A35" s="31">
        <v>1412000013</v>
      </c>
      <c r="B35" s="44" t="s">
        <v>118</v>
      </c>
      <c r="C35" s="32" t="s">
        <v>120</v>
      </c>
      <c r="D35" s="221"/>
      <c r="E35" s="217"/>
      <c r="F35" s="218"/>
      <c r="G35" s="219">
        <v>5303814</v>
      </c>
      <c r="H35" s="220">
        <v>3022563</v>
      </c>
      <c r="I35" s="219">
        <v>5451084</v>
      </c>
      <c r="J35" s="220">
        <v>3340423</v>
      </c>
      <c r="K35" s="219">
        <v>6841077</v>
      </c>
      <c r="L35" s="220">
        <v>3772823</v>
      </c>
      <c r="M35" s="219">
        <v>7367314</v>
      </c>
      <c r="N35" s="220">
        <v>5387864</v>
      </c>
      <c r="O35" s="219">
        <v>7630432</v>
      </c>
      <c r="P35" s="220">
        <v>4825587</v>
      </c>
      <c r="Q35" s="219">
        <v>6998948</v>
      </c>
      <c r="R35" s="220">
        <v>4187129</v>
      </c>
      <c r="S35" s="219">
        <v>7009067</v>
      </c>
      <c r="T35" s="220">
        <v>2868301</v>
      </c>
      <c r="U35" s="219">
        <v>6314841</v>
      </c>
      <c r="V35" s="220">
        <v>3995195</v>
      </c>
      <c r="W35" s="219">
        <v>6051722</v>
      </c>
      <c r="X35" s="220">
        <v>3990166</v>
      </c>
      <c r="Y35" s="219">
        <v>5357496</v>
      </c>
      <c r="Z35" s="220">
        <v>2705711</v>
      </c>
      <c r="AA35" s="219">
        <v>5351490</v>
      </c>
      <c r="AB35" s="220">
        <v>2028916</v>
      </c>
      <c r="AC35" s="219">
        <v>4209894</v>
      </c>
      <c r="AD35" s="220">
        <v>2357372</v>
      </c>
    </row>
    <row r="36" spans="1:30" ht="25.9" customHeight="1">
      <c r="A36" s="31">
        <v>1412000092</v>
      </c>
      <c r="B36" s="24" t="s">
        <v>119</v>
      </c>
      <c r="C36" s="32" t="s">
        <v>121</v>
      </c>
      <c r="D36" s="221"/>
      <c r="E36" s="217"/>
      <c r="F36" s="218"/>
      <c r="G36" s="219">
        <v>5350731</v>
      </c>
      <c r="H36" s="220">
        <v>1307840</v>
      </c>
      <c r="I36" s="219">
        <v>5481258</v>
      </c>
      <c r="J36" s="220">
        <v>1445375</v>
      </c>
      <c r="K36" s="219">
        <v>6871107</v>
      </c>
      <c r="L36" s="220">
        <v>1705026</v>
      </c>
      <c r="M36" s="219">
        <v>7399653</v>
      </c>
      <c r="N36" s="220">
        <v>2434900</v>
      </c>
      <c r="O36" s="219">
        <v>7663927</v>
      </c>
      <c r="P36" s="220">
        <v>2180794</v>
      </c>
      <c r="Q36" s="219">
        <v>7029671</v>
      </c>
      <c r="R36" s="220">
        <v>1892260</v>
      </c>
      <c r="S36" s="219">
        <v>7135380</v>
      </c>
      <c r="T36" s="220">
        <v>1296251</v>
      </c>
      <c r="U36" s="219">
        <v>6342560</v>
      </c>
      <c r="V36" s="220">
        <v>1805521</v>
      </c>
      <c r="W36" s="219">
        <v>6078287</v>
      </c>
      <c r="X36" s="220">
        <v>1803248</v>
      </c>
      <c r="Y36" s="219">
        <v>5285467</v>
      </c>
      <c r="Z36" s="220">
        <v>1222773</v>
      </c>
      <c r="AA36" s="219">
        <v>5285467</v>
      </c>
      <c r="AB36" s="220">
        <v>916914</v>
      </c>
      <c r="AC36" s="219">
        <v>4228373</v>
      </c>
      <c r="AD36" s="220">
        <v>1065351</v>
      </c>
    </row>
    <row r="37" spans="1:30" ht="25.9" customHeight="1">
      <c r="A37" s="31">
        <v>1412000035</v>
      </c>
      <c r="B37" s="31" t="s">
        <v>68</v>
      </c>
      <c r="C37" s="32" t="s">
        <v>69</v>
      </c>
      <c r="D37" s="221"/>
      <c r="E37" s="217"/>
      <c r="F37" s="218"/>
      <c r="G37" s="219">
        <v>1487149</v>
      </c>
      <c r="H37" s="220">
        <v>900956</v>
      </c>
      <c r="I37" s="219">
        <v>1523427</v>
      </c>
      <c r="J37" s="220">
        <v>1059942</v>
      </c>
      <c r="K37" s="219">
        <v>1909712</v>
      </c>
      <c r="L37" s="220">
        <v>1269700</v>
      </c>
      <c r="M37" s="219">
        <v>2056613</v>
      </c>
      <c r="N37" s="220">
        <v>1865030</v>
      </c>
      <c r="O37" s="219">
        <v>2130064</v>
      </c>
      <c r="P37" s="220">
        <v>1670395</v>
      </c>
      <c r="Q37" s="219">
        <v>1953783</v>
      </c>
      <c r="R37" s="220">
        <v>1489652</v>
      </c>
      <c r="S37" s="219">
        <v>1983163</v>
      </c>
      <c r="T37" s="220">
        <v>1048033</v>
      </c>
      <c r="U37" s="219">
        <v>1762811</v>
      </c>
      <c r="V37" s="220">
        <v>1459783</v>
      </c>
      <c r="W37" s="219">
        <v>1689361</v>
      </c>
      <c r="X37" s="220">
        <v>1457945</v>
      </c>
      <c r="Y37" s="219">
        <v>1469010</v>
      </c>
      <c r="Z37" s="220">
        <v>988625</v>
      </c>
      <c r="AA37" s="219">
        <v>1469010</v>
      </c>
      <c r="AB37" s="220">
        <v>741335</v>
      </c>
      <c r="AC37" s="219">
        <v>1175208</v>
      </c>
      <c r="AD37" s="220">
        <v>861347</v>
      </c>
    </row>
    <row r="38" spans="1:30" ht="25.9" customHeight="1">
      <c r="A38" s="32">
        <v>1412000080</v>
      </c>
      <c r="B38" s="45" t="s">
        <v>130</v>
      </c>
      <c r="C38" s="32" t="s">
        <v>122</v>
      </c>
      <c r="D38" s="226"/>
      <c r="E38" s="227"/>
      <c r="F38" s="228"/>
      <c r="G38" s="229">
        <v>414518</v>
      </c>
      <c r="H38" s="230">
        <v>668451</v>
      </c>
      <c r="I38" s="229">
        <v>424630</v>
      </c>
      <c r="J38" s="230">
        <v>738747</v>
      </c>
      <c r="K38" s="229">
        <v>532301</v>
      </c>
      <c r="L38" s="230">
        <v>834374</v>
      </c>
      <c r="M38" s="229">
        <v>573247</v>
      </c>
      <c r="N38" s="230">
        <v>1191547</v>
      </c>
      <c r="O38" s="229">
        <v>593720</v>
      </c>
      <c r="P38" s="230">
        <v>1159997</v>
      </c>
      <c r="Q38" s="229">
        <v>544584</v>
      </c>
      <c r="R38" s="230">
        <v>1006521</v>
      </c>
      <c r="S38" s="229">
        <v>552774</v>
      </c>
      <c r="T38" s="230">
        <v>689495</v>
      </c>
      <c r="U38" s="229">
        <v>491354</v>
      </c>
      <c r="V38" s="230">
        <v>960383</v>
      </c>
      <c r="W38" s="229">
        <v>470881</v>
      </c>
      <c r="X38" s="230">
        <v>959174</v>
      </c>
      <c r="Y38" s="229">
        <v>409462</v>
      </c>
      <c r="Z38" s="230">
        <v>650411</v>
      </c>
      <c r="AA38" s="229">
        <v>409462</v>
      </c>
      <c r="AB38" s="230">
        <v>487720</v>
      </c>
      <c r="AC38" s="229">
        <v>327570</v>
      </c>
      <c r="AD38" s="230">
        <v>566676</v>
      </c>
    </row>
    <row r="39" spans="1:30" ht="25.9" customHeight="1">
      <c r="A39" s="31">
        <v>1412000016</v>
      </c>
      <c r="B39" s="31" t="s">
        <v>60</v>
      </c>
      <c r="C39" s="32" t="s">
        <v>62</v>
      </c>
      <c r="D39" s="221"/>
      <c r="E39" s="217"/>
      <c r="F39" s="218"/>
      <c r="G39" s="219">
        <v>1651763</v>
      </c>
      <c r="H39" s="220">
        <v>494073</v>
      </c>
      <c r="I39" s="219">
        <v>1717520</v>
      </c>
      <c r="J39" s="220">
        <v>578150</v>
      </c>
      <c r="K39" s="219">
        <v>2155319</v>
      </c>
      <c r="L39" s="220">
        <v>652989</v>
      </c>
      <c r="M39" s="219">
        <v>2299699</v>
      </c>
      <c r="N39" s="220">
        <v>932515</v>
      </c>
      <c r="O39" s="219">
        <v>2381958</v>
      </c>
      <c r="P39" s="220">
        <v>835198</v>
      </c>
      <c r="Q39" s="219">
        <v>2184830</v>
      </c>
      <c r="R39" s="220">
        <v>724695</v>
      </c>
      <c r="S39" s="219">
        <v>2176851</v>
      </c>
      <c r="T39" s="220">
        <v>496437</v>
      </c>
      <c r="U39" s="219">
        <v>1971275</v>
      </c>
      <c r="V39" s="220">
        <v>691476</v>
      </c>
      <c r="W39" s="219">
        <v>1889139</v>
      </c>
      <c r="X39" s="220">
        <v>690606</v>
      </c>
      <c r="Y39" s="219">
        <v>1683563</v>
      </c>
      <c r="Z39" s="220">
        <v>468296</v>
      </c>
      <c r="AA39" s="219">
        <v>1678629</v>
      </c>
      <c r="AB39" s="220">
        <v>351159</v>
      </c>
      <c r="AC39" s="219">
        <v>1314184</v>
      </c>
      <c r="AD39" s="220">
        <v>408007</v>
      </c>
    </row>
    <row r="40" spans="1:30" ht="25.9" customHeight="1">
      <c r="A40" s="31">
        <v>1412000069</v>
      </c>
      <c r="B40" s="31" t="s">
        <v>61</v>
      </c>
      <c r="C40" s="32" t="s">
        <v>63</v>
      </c>
      <c r="D40" s="221"/>
      <c r="E40" s="217"/>
      <c r="F40" s="218"/>
      <c r="G40" s="219">
        <v>1455269</v>
      </c>
      <c r="H40" s="220">
        <v>377820</v>
      </c>
      <c r="I40" s="219">
        <v>1523645</v>
      </c>
      <c r="J40" s="220">
        <v>449672</v>
      </c>
      <c r="K40" s="219">
        <v>1912284</v>
      </c>
      <c r="L40" s="220">
        <v>507880</v>
      </c>
      <c r="M40" s="219">
        <v>2042728</v>
      </c>
      <c r="N40" s="220">
        <v>725289</v>
      </c>
      <c r="O40" s="219">
        <v>2115781</v>
      </c>
      <c r="P40" s="220">
        <v>649598</v>
      </c>
      <c r="Q40" s="219">
        <v>1940682</v>
      </c>
      <c r="R40" s="220">
        <v>563652</v>
      </c>
      <c r="S40" s="219">
        <v>1929032</v>
      </c>
      <c r="T40" s="220">
        <v>386117</v>
      </c>
      <c r="U40" s="219">
        <v>1750991</v>
      </c>
      <c r="V40" s="220">
        <v>537815</v>
      </c>
      <c r="W40" s="219">
        <v>1678033</v>
      </c>
      <c r="X40" s="220">
        <v>537138</v>
      </c>
      <c r="Y40" s="219">
        <v>1499992</v>
      </c>
      <c r="Z40" s="220">
        <v>364230</v>
      </c>
      <c r="AA40" s="219">
        <v>1495059</v>
      </c>
      <c r="AB40" s="220">
        <v>273123</v>
      </c>
      <c r="AC40" s="219">
        <v>1167327</v>
      </c>
      <c r="AD40" s="220">
        <v>317339</v>
      </c>
    </row>
    <row r="41" spans="1:30" ht="25.9" customHeight="1">
      <c r="A41" s="31">
        <v>1412000084</v>
      </c>
      <c r="B41" s="31" t="s">
        <v>106</v>
      </c>
      <c r="C41" s="32" t="s">
        <v>107</v>
      </c>
      <c r="D41" s="221"/>
      <c r="E41" s="217"/>
      <c r="F41" s="218"/>
      <c r="G41" s="219">
        <v>1080717</v>
      </c>
      <c r="H41" s="220">
        <v>639388</v>
      </c>
      <c r="I41" s="219">
        <v>1066313</v>
      </c>
      <c r="J41" s="220">
        <v>706628</v>
      </c>
      <c r="K41" s="219">
        <v>1336691</v>
      </c>
      <c r="L41" s="220">
        <v>798097</v>
      </c>
      <c r="M41" s="219">
        <v>1477583</v>
      </c>
      <c r="N41" s="220">
        <v>1191547</v>
      </c>
      <c r="O41" s="219">
        <v>1530516</v>
      </c>
      <c r="P41" s="220">
        <v>1067197</v>
      </c>
      <c r="Q41" s="219">
        <v>1403853</v>
      </c>
      <c r="R41" s="220">
        <v>926000</v>
      </c>
      <c r="S41" s="219">
        <v>1424963</v>
      </c>
      <c r="T41" s="220">
        <v>634336</v>
      </c>
      <c r="U41" s="219">
        <v>1266634</v>
      </c>
      <c r="V41" s="220">
        <v>883553</v>
      </c>
      <c r="W41" s="219">
        <v>1213858</v>
      </c>
      <c r="X41" s="220">
        <v>882441</v>
      </c>
      <c r="Y41" s="219">
        <v>1055528</v>
      </c>
      <c r="Z41" s="220">
        <v>598378</v>
      </c>
      <c r="AA41" s="219">
        <v>1055528</v>
      </c>
      <c r="AB41" s="220">
        <v>448703</v>
      </c>
      <c r="AC41" s="219">
        <v>844423</v>
      </c>
      <c r="AD41" s="220">
        <v>521342</v>
      </c>
    </row>
    <row r="42" spans="1:30" ht="25.9" customHeight="1">
      <c r="A42" s="31">
        <v>1412000018</v>
      </c>
      <c r="B42" s="31" t="s">
        <v>39</v>
      </c>
      <c r="C42" s="32" t="s">
        <v>40</v>
      </c>
      <c r="D42" s="221"/>
      <c r="E42" s="217"/>
      <c r="F42" s="218"/>
      <c r="G42" s="219">
        <v>14005071</v>
      </c>
      <c r="H42" s="220">
        <v>406883</v>
      </c>
      <c r="I42" s="219">
        <v>14476918</v>
      </c>
      <c r="J42" s="220">
        <v>449672</v>
      </c>
      <c r="K42" s="219">
        <v>18182955</v>
      </c>
      <c r="L42" s="220">
        <v>507880</v>
      </c>
      <c r="M42" s="219">
        <v>19581644</v>
      </c>
      <c r="N42" s="220">
        <v>725289</v>
      </c>
      <c r="O42" s="219">
        <v>20280988</v>
      </c>
      <c r="P42" s="220">
        <v>649598</v>
      </c>
      <c r="Q42" s="219">
        <v>18602561</v>
      </c>
      <c r="R42" s="220">
        <v>563652</v>
      </c>
      <c r="S42" s="219">
        <v>18256581</v>
      </c>
      <c r="T42" s="220">
        <v>386117</v>
      </c>
      <c r="U42" s="219">
        <v>16784266</v>
      </c>
      <c r="V42" s="220">
        <v>537815</v>
      </c>
      <c r="W42" s="219">
        <v>16084922</v>
      </c>
      <c r="X42" s="220">
        <v>537138</v>
      </c>
      <c r="Y42" s="219">
        <v>14612607</v>
      </c>
      <c r="Z42" s="220">
        <v>364230</v>
      </c>
      <c r="AA42" s="219">
        <v>14537002</v>
      </c>
      <c r="AB42" s="220">
        <v>273123</v>
      </c>
      <c r="AC42" s="219">
        <v>11189511</v>
      </c>
      <c r="AD42" s="220">
        <v>317339</v>
      </c>
    </row>
    <row r="43" spans="1:30" ht="25.9" customHeight="1">
      <c r="A43" s="31">
        <v>1412000019</v>
      </c>
      <c r="B43" s="31" t="s">
        <v>102</v>
      </c>
      <c r="C43" s="32" t="s">
        <v>41</v>
      </c>
      <c r="D43" s="221"/>
      <c r="E43" s="217"/>
      <c r="F43" s="218"/>
      <c r="G43" s="219">
        <v>8305528</v>
      </c>
      <c r="H43" s="220">
        <v>1307840</v>
      </c>
      <c r="I43" s="219">
        <v>8527336</v>
      </c>
      <c r="J43" s="220">
        <v>1445375</v>
      </c>
      <c r="K43" s="219">
        <v>10695838</v>
      </c>
      <c r="L43" s="220">
        <v>1632472</v>
      </c>
      <c r="M43" s="219">
        <v>11518595</v>
      </c>
      <c r="N43" s="220">
        <v>2331287</v>
      </c>
      <c r="O43" s="219">
        <v>11930395</v>
      </c>
      <c r="P43" s="220">
        <v>2180794</v>
      </c>
      <c r="Q43" s="219">
        <v>10943052</v>
      </c>
      <c r="R43" s="220">
        <v>1892260</v>
      </c>
      <c r="S43" s="219">
        <v>11014459</v>
      </c>
      <c r="T43" s="220">
        <v>1296251</v>
      </c>
      <c r="U43" s="219">
        <v>9873430</v>
      </c>
      <c r="V43" s="220">
        <v>1805521</v>
      </c>
      <c r="W43" s="219">
        <v>9462037</v>
      </c>
      <c r="X43" s="220">
        <v>1803248</v>
      </c>
      <c r="Y43" s="219">
        <v>8321008</v>
      </c>
      <c r="Z43" s="220">
        <v>1222773</v>
      </c>
      <c r="AA43" s="219">
        <v>8312081</v>
      </c>
      <c r="AB43" s="220">
        <v>916914</v>
      </c>
      <c r="AC43" s="219">
        <v>6582287</v>
      </c>
      <c r="AD43" s="220">
        <v>1065351</v>
      </c>
    </row>
    <row r="44" spans="1:30" ht="25.9" customHeight="1">
      <c r="A44" s="31">
        <v>1412000070</v>
      </c>
      <c r="B44" s="31" t="s">
        <v>64</v>
      </c>
      <c r="C44" s="32" t="s">
        <v>65</v>
      </c>
      <c r="D44" s="221"/>
      <c r="E44" s="217"/>
      <c r="F44" s="218"/>
      <c r="G44" s="219">
        <v>622880</v>
      </c>
      <c r="H44" s="220">
        <v>232505</v>
      </c>
      <c r="I44" s="219">
        <v>639562</v>
      </c>
      <c r="J44" s="220">
        <v>256956</v>
      </c>
      <c r="K44" s="219">
        <v>803471</v>
      </c>
      <c r="L44" s="220">
        <v>290217</v>
      </c>
      <c r="M44" s="219">
        <v>865277</v>
      </c>
      <c r="N44" s="220">
        <v>414451</v>
      </c>
      <c r="O44" s="219">
        <v>893443</v>
      </c>
      <c r="P44" s="220">
        <v>371199</v>
      </c>
      <c r="Q44" s="219">
        <v>817461</v>
      </c>
      <c r="R44" s="220">
        <v>322087</v>
      </c>
      <c r="S44" s="219">
        <v>799022</v>
      </c>
      <c r="T44" s="220">
        <v>220639</v>
      </c>
      <c r="U44" s="219">
        <v>737559</v>
      </c>
      <c r="V44" s="220">
        <v>307323</v>
      </c>
      <c r="W44" s="219">
        <v>706827</v>
      </c>
      <c r="X44" s="220">
        <v>306936</v>
      </c>
      <c r="Y44" s="219">
        <v>645364</v>
      </c>
      <c r="Z44" s="220">
        <v>208132</v>
      </c>
      <c r="AA44" s="219">
        <v>641651</v>
      </c>
      <c r="AB44" s="220">
        <v>156070</v>
      </c>
      <c r="AC44" s="219">
        <v>491706</v>
      </c>
      <c r="AD44" s="220">
        <v>181336</v>
      </c>
    </row>
    <row r="45" spans="1:30" ht="25.9" customHeight="1">
      <c r="A45" s="31">
        <v>1412000021</v>
      </c>
      <c r="B45" s="31" t="s">
        <v>42</v>
      </c>
      <c r="C45" s="32" t="s">
        <v>43</v>
      </c>
      <c r="D45" s="221"/>
      <c r="E45" s="217"/>
      <c r="F45" s="218"/>
      <c r="G45" s="219">
        <v>547239</v>
      </c>
      <c r="H45" s="220">
        <v>203442</v>
      </c>
      <c r="I45" s="219">
        <v>561913</v>
      </c>
      <c r="J45" s="220">
        <v>224836</v>
      </c>
      <c r="K45" s="219">
        <v>705922</v>
      </c>
      <c r="L45" s="220">
        <v>253940</v>
      </c>
      <c r="M45" s="219">
        <v>760224</v>
      </c>
      <c r="N45" s="220">
        <v>362645</v>
      </c>
      <c r="O45" s="219">
        <v>784980</v>
      </c>
      <c r="P45" s="220">
        <v>324799</v>
      </c>
      <c r="Q45" s="219">
        <v>718230</v>
      </c>
      <c r="R45" s="220">
        <v>281826</v>
      </c>
      <c r="S45" s="219">
        <v>702029</v>
      </c>
      <c r="T45" s="220">
        <v>193059</v>
      </c>
      <c r="U45" s="219">
        <v>648027</v>
      </c>
      <c r="V45" s="220">
        <v>268907</v>
      </c>
      <c r="W45" s="219">
        <v>621026</v>
      </c>
      <c r="X45" s="220">
        <v>268569</v>
      </c>
      <c r="Y45" s="219">
        <v>567023</v>
      </c>
      <c r="Z45" s="220">
        <v>182115</v>
      </c>
      <c r="AA45" s="219">
        <v>563761</v>
      </c>
      <c r="AB45" s="220">
        <v>136562</v>
      </c>
      <c r="AC45" s="219">
        <v>432018</v>
      </c>
      <c r="AD45" s="220">
        <v>158669</v>
      </c>
    </row>
    <row r="46" spans="1:30" ht="25.9" customHeight="1">
      <c r="A46" s="31">
        <v>1412000022</v>
      </c>
      <c r="B46" s="31" t="s">
        <v>44</v>
      </c>
      <c r="C46" s="32" t="s">
        <v>45</v>
      </c>
      <c r="D46" s="221"/>
      <c r="E46" s="217"/>
      <c r="F46" s="218"/>
      <c r="G46" s="219">
        <v>471598</v>
      </c>
      <c r="H46" s="220">
        <v>174379</v>
      </c>
      <c r="I46" s="219">
        <v>484264</v>
      </c>
      <c r="J46" s="220">
        <v>192717</v>
      </c>
      <c r="K46" s="219">
        <v>608373</v>
      </c>
      <c r="L46" s="220">
        <v>217663</v>
      </c>
      <c r="M46" s="219">
        <v>655171</v>
      </c>
      <c r="N46" s="220">
        <v>310838</v>
      </c>
      <c r="O46" s="219">
        <v>676517</v>
      </c>
      <c r="P46" s="220">
        <v>278399</v>
      </c>
      <c r="Q46" s="219">
        <v>618998</v>
      </c>
      <c r="R46" s="220">
        <v>241565</v>
      </c>
      <c r="S46" s="219">
        <v>605036</v>
      </c>
      <c r="T46" s="220">
        <v>165479</v>
      </c>
      <c r="U46" s="219">
        <v>558495</v>
      </c>
      <c r="V46" s="220">
        <v>230492</v>
      </c>
      <c r="W46" s="219">
        <v>535224</v>
      </c>
      <c r="X46" s="220">
        <v>230202</v>
      </c>
      <c r="Y46" s="219">
        <v>488683</v>
      </c>
      <c r="Z46" s="220">
        <v>156099</v>
      </c>
      <c r="AA46" s="219">
        <v>485871</v>
      </c>
      <c r="AB46" s="220">
        <v>117053</v>
      </c>
      <c r="AC46" s="219">
        <v>372330</v>
      </c>
      <c r="AD46" s="220">
        <v>136002</v>
      </c>
    </row>
    <row r="47" spans="1:30" ht="25.9" customHeight="1">
      <c r="A47" s="31">
        <v>1412000042</v>
      </c>
      <c r="B47" s="31" t="s">
        <v>46</v>
      </c>
      <c r="C47" s="32" t="s">
        <v>47</v>
      </c>
      <c r="D47" s="221"/>
      <c r="E47" s="217"/>
      <c r="F47" s="218"/>
      <c r="G47" s="219">
        <v>395957</v>
      </c>
      <c r="H47" s="220">
        <v>145316</v>
      </c>
      <c r="I47" s="219">
        <v>406615</v>
      </c>
      <c r="J47" s="220">
        <v>160597</v>
      </c>
      <c r="K47" s="219">
        <v>510824</v>
      </c>
      <c r="L47" s="220">
        <v>181386</v>
      </c>
      <c r="M47" s="219">
        <v>550118</v>
      </c>
      <c r="N47" s="220">
        <v>259032</v>
      </c>
      <c r="O47" s="219">
        <v>568055</v>
      </c>
      <c r="P47" s="220">
        <v>231999</v>
      </c>
      <c r="Q47" s="219">
        <v>519767</v>
      </c>
      <c r="R47" s="220">
        <v>201304</v>
      </c>
      <c r="S47" s="219">
        <v>508043</v>
      </c>
      <c r="T47" s="220">
        <v>137899</v>
      </c>
      <c r="U47" s="219">
        <v>468963</v>
      </c>
      <c r="V47" s="220">
        <v>192077</v>
      </c>
      <c r="W47" s="219">
        <v>449423</v>
      </c>
      <c r="X47" s="220">
        <v>191835</v>
      </c>
      <c r="Y47" s="219">
        <v>410342</v>
      </c>
      <c r="Z47" s="220">
        <v>130082</v>
      </c>
      <c r="AA47" s="219">
        <v>407981</v>
      </c>
      <c r="AB47" s="220">
        <v>97544</v>
      </c>
      <c r="AC47" s="219">
        <v>312642</v>
      </c>
      <c r="AD47" s="220">
        <v>113335</v>
      </c>
    </row>
    <row r="48" spans="1:30" ht="25.9" customHeight="1">
      <c r="A48" s="31">
        <v>1412000058</v>
      </c>
      <c r="B48" s="31" t="s">
        <v>49</v>
      </c>
      <c r="C48" s="32" t="s">
        <v>48</v>
      </c>
      <c r="D48" s="221"/>
      <c r="E48" s="217"/>
      <c r="F48" s="218"/>
      <c r="G48" s="219">
        <v>1379289</v>
      </c>
      <c r="H48" s="220">
        <v>523136</v>
      </c>
      <c r="I48" s="219">
        <v>1416053</v>
      </c>
      <c r="J48" s="220">
        <v>578150</v>
      </c>
      <c r="K48" s="219">
        <v>1778963</v>
      </c>
      <c r="L48" s="220">
        <v>652989</v>
      </c>
      <c r="M48" s="219">
        <v>1915807</v>
      </c>
      <c r="N48" s="220">
        <v>932515</v>
      </c>
      <c r="O48" s="219">
        <v>1978070</v>
      </c>
      <c r="P48" s="220">
        <v>835198</v>
      </c>
      <c r="Q48" s="219">
        <v>1809774</v>
      </c>
      <c r="R48" s="220">
        <v>724695</v>
      </c>
      <c r="S48" s="219">
        <v>1768952</v>
      </c>
      <c r="T48" s="220">
        <v>496437</v>
      </c>
      <c r="U48" s="219">
        <v>1632879</v>
      </c>
      <c r="V48" s="220">
        <v>691476</v>
      </c>
      <c r="W48" s="219">
        <v>1564842</v>
      </c>
      <c r="X48" s="220">
        <v>690606</v>
      </c>
      <c r="Y48" s="219">
        <v>1428769</v>
      </c>
      <c r="Z48" s="220">
        <v>468296</v>
      </c>
      <c r="AA48" s="219">
        <v>1420548</v>
      </c>
      <c r="AB48" s="220">
        <v>351159</v>
      </c>
      <c r="AC48" s="219">
        <v>1088586</v>
      </c>
      <c r="AD48" s="220">
        <v>408007</v>
      </c>
    </row>
    <row r="49" spans="1:30" ht="25.9" customHeight="1">
      <c r="A49" s="42">
        <v>1412000024</v>
      </c>
      <c r="B49" s="31" t="s">
        <v>50</v>
      </c>
      <c r="C49" s="43" t="s">
        <v>51</v>
      </c>
      <c r="D49" s="221"/>
      <c r="E49" s="217"/>
      <c r="F49" s="218"/>
      <c r="G49" s="219">
        <v>118935307</v>
      </c>
      <c r="H49" s="220">
        <v>494073</v>
      </c>
      <c r="I49" s="219">
        <v>121902360</v>
      </c>
      <c r="J49" s="220">
        <v>578150</v>
      </c>
      <c r="K49" s="219">
        <v>153792013</v>
      </c>
      <c r="L49" s="220">
        <v>652989</v>
      </c>
      <c r="M49" s="219">
        <v>165622168</v>
      </c>
      <c r="N49" s="220">
        <v>932515</v>
      </c>
      <c r="O49" s="219">
        <v>171537139</v>
      </c>
      <c r="P49" s="220">
        <v>835198</v>
      </c>
      <c r="Q49" s="219">
        <v>157335827</v>
      </c>
      <c r="R49" s="220">
        <v>724695</v>
      </c>
      <c r="S49" s="219">
        <v>156675555</v>
      </c>
      <c r="T49" s="220">
        <v>496437</v>
      </c>
      <c r="U49" s="219">
        <v>141957137</v>
      </c>
      <c r="V49" s="220">
        <v>691476</v>
      </c>
      <c r="W49" s="219">
        <v>136042256</v>
      </c>
      <c r="X49" s="220">
        <v>690606</v>
      </c>
      <c r="Y49" s="219">
        <v>121323837</v>
      </c>
      <c r="Z49" s="220">
        <v>468296</v>
      </c>
      <c r="AA49" s="219">
        <v>122777190</v>
      </c>
      <c r="AB49" s="220">
        <v>351159</v>
      </c>
      <c r="AC49" s="219">
        <v>94638091</v>
      </c>
      <c r="AD49" s="220">
        <v>408007</v>
      </c>
    </row>
    <row r="50" spans="1:30" ht="25.9" customHeight="1">
      <c r="A50" s="31">
        <v>1412000025</v>
      </c>
      <c r="B50" s="31" t="s">
        <v>53</v>
      </c>
      <c r="C50" s="32" t="s">
        <v>5</v>
      </c>
      <c r="D50" s="221"/>
      <c r="E50" s="217"/>
      <c r="F50" s="218"/>
      <c r="G50" s="219">
        <v>6228511</v>
      </c>
      <c r="H50" s="220">
        <v>523136</v>
      </c>
      <c r="I50" s="219">
        <v>6277514</v>
      </c>
      <c r="J50" s="220">
        <v>546031</v>
      </c>
      <c r="K50" s="219">
        <v>7886334</v>
      </c>
      <c r="L50" s="220">
        <v>616711</v>
      </c>
      <c r="M50" s="219">
        <v>8492976</v>
      </c>
      <c r="N50" s="220">
        <v>880709</v>
      </c>
      <c r="O50" s="219">
        <v>8785570</v>
      </c>
      <c r="P50" s="220">
        <v>788798</v>
      </c>
      <c r="Q50" s="219">
        <v>8050445</v>
      </c>
      <c r="R50" s="220">
        <v>684434</v>
      </c>
      <c r="S50" s="219">
        <v>7868856</v>
      </c>
      <c r="T50" s="220">
        <v>468857</v>
      </c>
      <c r="U50" s="219">
        <v>7263560</v>
      </c>
      <c r="V50" s="220">
        <v>653061</v>
      </c>
      <c r="W50" s="219">
        <v>6960911</v>
      </c>
      <c r="X50" s="220">
        <v>652239</v>
      </c>
      <c r="Y50" s="219">
        <v>6355615</v>
      </c>
      <c r="Z50" s="220">
        <v>442280</v>
      </c>
      <c r="AA50" s="219">
        <v>6319046</v>
      </c>
      <c r="AB50" s="220">
        <v>331650</v>
      </c>
      <c r="AC50" s="219">
        <v>4842373</v>
      </c>
      <c r="AD50" s="220">
        <v>385340</v>
      </c>
    </row>
    <row r="51" spans="1:30" ht="25.9" customHeight="1">
      <c r="A51" s="31">
        <v>1412000091</v>
      </c>
      <c r="B51" s="31" t="s">
        <v>116</v>
      </c>
      <c r="C51" s="32" t="s">
        <v>117</v>
      </c>
      <c r="D51" s="221"/>
      <c r="E51" s="217"/>
      <c r="F51" s="218"/>
      <c r="G51" s="219">
        <v>11574004</v>
      </c>
      <c r="H51" s="220">
        <v>2034417</v>
      </c>
      <c r="I51" s="219">
        <v>11874032</v>
      </c>
      <c r="J51" s="220">
        <v>2248362</v>
      </c>
      <c r="K51" s="219">
        <v>14928656</v>
      </c>
      <c r="L51" s="220">
        <v>2539400</v>
      </c>
      <c r="M51" s="219">
        <v>16077014</v>
      </c>
      <c r="N51" s="220">
        <v>3626447</v>
      </c>
      <c r="O51" s="219">
        <v>16627246</v>
      </c>
      <c r="P51" s="220">
        <v>3247991</v>
      </c>
      <c r="Q51" s="219">
        <v>15233332</v>
      </c>
      <c r="R51" s="220">
        <v>2818260</v>
      </c>
      <c r="S51" s="219">
        <v>15086399</v>
      </c>
      <c r="T51" s="220">
        <v>1930587</v>
      </c>
      <c r="U51" s="219">
        <v>13744360</v>
      </c>
      <c r="V51" s="220">
        <v>2689074</v>
      </c>
      <c r="W51" s="219">
        <v>13171678</v>
      </c>
      <c r="X51" s="220">
        <v>2685689</v>
      </c>
      <c r="Y51" s="219">
        <v>11829639</v>
      </c>
      <c r="Z51" s="220">
        <v>1821152</v>
      </c>
      <c r="AA51" s="219">
        <v>11834900</v>
      </c>
      <c r="AB51" s="220">
        <v>1365617</v>
      </c>
      <c r="AC51" s="219">
        <v>9162907</v>
      </c>
      <c r="AD51" s="220">
        <v>1586693</v>
      </c>
    </row>
    <row r="52" spans="1:30" ht="25.9" customHeight="1">
      <c r="A52" s="42">
        <v>1412000093</v>
      </c>
      <c r="B52" s="31" t="s">
        <v>123</v>
      </c>
      <c r="C52" s="43" t="s">
        <v>154</v>
      </c>
      <c r="D52" s="221"/>
      <c r="E52" s="217"/>
      <c r="F52" s="218"/>
      <c r="G52" s="219">
        <v>453846</v>
      </c>
      <c r="H52" s="220">
        <v>174379</v>
      </c>
      <c r="I52" s="219">
        <v>543543</v>
      </c>
      <c r="J52" s="220">
        <v>224836</v>
      </c>
      <c r="K52" s="219">
        <v>682844</v>
      </c>
      <c r="L52" s="220">
        <v>253940</v>
      </c>
      <c r="M52" s="219">
        <v>735371</v>
      </c>
      <c r="N52" s="220">
        <v>362645</v>
      </c>
      <c r="O52" s="219">
        <v>759239</v>
      </c>
      <c r="P52" s="220">
        <v>324799</v>
      </c>
      <c r="Q52" s="219">
        <v>694619</v>
      </c>
      <c r="R52" s="220">
        <v>281826</v>
      </c>
      <c r="S52" s="219">
        <v>678951</v>
      </c>
      <c r="T52" s="220">
        <v>193059</v>
      </c>
      <c r="U52" s="219">
        <v>626724</v>
      </c>
      <c r="V52" s="220">
        <v>268907</v>
      </c>
      <c r="W52" s="219">
        <v>600611</v>
      </c>
      <c r="X52" s="220">
        <v>268569</v>
      </c>
      <c r="Y52" s="219">
        <v>548384</v>
      </c>
      <c r="Z52" s="220">
        <v>182115</v>
      </c>
      <c r="AA52" s="219">
        <v>545228</v>
      </c>
      <c r="AB52" s="220">
        <v>136562</v>
      </c>
      <c r="AC52" s="219">
        <v>417816</v>
      </c>
      <c r="AD52" s="220">
        <v>158669</v>
      </c>
    </row>
    <row r="53" spans="1:30" ht="25.9" customHeight="1">
      <c r="A53" s="46">
        <v>1412000026</v>
      </c>
      <c r="B53" s="46" t="s">
        <v>54</v>
      </c>
      <c r="C53" s="47" t="s">
        <v>6</v>
      </c>
      <c r="D53" s="233"/>
      <c r="E53" s="234"/>
      <c r="F53" s="235"/>
      <c r="G53" s="236">
        <v>100091971</v>
      </c>
      <c r="H53" s="237">
        <v>406881</v>
      </c>
      <c r="I53" s="236">
        <v>102376163</v>
      </c>
      <c r="J53" s="237">
        <v>449674</v>
      </c>
      <c r="K53" s="236">
        <v>128799786</v>
      </c>
      <c r="L53" s="237">
        <v>507878</v>
      </c>
      <c r="M53" s="236">
        <v>138707462</v>
      </c>
      <c r="N53" s="237">
        <v>725294</v>
      </c>
      <c r="O53" s="236">
        <v>143656952</v>
      </c>
      <c r="P53" s="237">
        <v>649598</v>
      </c>
      <c r="Q53" s="236">
        <v>131764487</v>
      </c>
      <c r="R53" s="237">
        <v>563651</v>
      </c>
      <c r="S53" s="236">
        <v>132896854</v>
      </c>
      <c r="T53" s="237">
        <v>386120</v>
      </c>
      <c r="U53" s="236">
        <v>118885252</v>
      </c>
      <c r="V53" s="237">
        <v>537816</v>
      </c>
      <c r="W53" s="236">
        <v>113931700</v>
      </c>
      <c r="X53" s="237">
        <v>537129</v>
      </c>
      <c r="Y53" s="236">
        <v>99920098</v>
      </c>
      <c r="Z53" s="237">
        <v>364234</v>
      </c>
      <c r="AA53" s="236">
        <v>100754625</v>
      </c>
      <c r="AB53" s="237">
        <v>273124</v>
      </c>
      <c r="AC53" s="236">
        <v>79256835</v>
      </c>
      <c r="AD53" s="237">
        <v>317340</v>
      </c>
    </row>
    <row r="54" spans="1:30" ht="25.9" customHeight="1">
      <c r="A54" s="31">
        <v>1412000057</v>
      </c>
      <c r="B54" s="31" t="s">
        <v>71</v>
      </c>
      <c r="C54" s="32" t="s">
        <v>72</v>
      </c>
      <c r="D54" s="221"/>
      <c r="E54" s="217"/>
      <c r="F54" s="218"/>
      <c r="G54" s="219">
        <v>893934</v>
      </c>
      <c r="H54" s="220">
        <v>261568</v>
      </c>
      <c r="I54" s="219">
        <v>932254</v>
      </c>
      <c r="J54" s="220">
        <v>289075</v>
      </c>
      <c r="K54" s="219">
        <v>1171175</v>
      </c>
      <c r="L54" s="220">
        <v>326494</v>
      </c>
      <c r="M54" s="219">
        <v>1261265</v>
      </c>
      <c r="N54" s="220">
        <v>466257</v>
      </c>
      <c r="O54" s="219">
        <v>1314013</v>
      </c>
      <c r="P54" s="220">
        <v>417599</v>
      </c>
      <c r="Q54" s="219">
        <v>1243357</v>
      </c>
      <c r="R54" s="220">
        <v>402609</v>
      </c>
      <c r="S54" s="219">
        <v>1186730</v>
      </c>
      <c r="T54" s="220">
        <v>275798</v>
      </c>
      <c r="U54" s="219">
        <v>1095443</v>
      </c>
      <c r="V54" s="220">
        <v>384153</v>
      </c>
      <c r="W54" s="219">
        <v>1049800</v>
      </c>
      <c r="X54" s="220">
        <v>383670</v>
      </c>
      <c r="Y54" s="219">
        <v>958513</v>
      </c>
      <c r="Z54" s="220">
        <v>260165</v>
      </c>
      <c r="AA54" s="219">
        <v>952998</v>
      </c>
      <c r="AB54" s="220">
        <v>195088</v>
      </c>
      <c r="AC54" s="219">
        <v>730295</v>
      </c>
      <c r="AD54" s="220">
        <v>226670</v>
      </c>
    </row>
    <row r="55" spans="1:30" ht="25.9" customHeight="1">
      <c r="A55" s="298">
        <v>1412000101</v>
      </c>
      <c r="B55" s="298" t="s">
        <v>73</v>
      </c>
      <c r="C55" s="299" t="s">
        <v>190</v>
      </c>
      <c r="D55" s="300"/>
      <c r="E55" s="301"/>
      <c r="F55" s="302"/>
      <c r="G55" s="303">
        <v>686700</v>
      </c>
      <c r="H55" s="304">
        <v>232505</v>
      </c>
      <c r="I55" s="303">
        <v>717007</v>
      </c>
      <c r="J55" s="304">
        <v>256956</v>
      </c>
      <c r="K55" s="303">
        <v>900764</v>
      </c>
      <c r="L55" s="304">
        <v>290217</v>
      </c>
      <c r="M55" s="303">
        <v>970054</v>
      </c>
      <c r="N55" s="304">
        <v>414451</v>
      </c>
      <c r="O55" s="303">
        <v>1011546</v>
      </c>
      <c r="P55" s="304">
        <v>371199</v>
      </c>
      <c r="Q55" s="303">
        <v>973710</v>
      </c>
      <c r="R55" s="304">
        <v>362348</v>
      </c>
      <c r="S55" s="303">
        <v>926024</v>
      </c>
      <c r="T55" s="304">
        <v>248218</v>
      </c>
      <c r="U55" s="303">
        <v>854791</v>
      </c>
      <c r="V55" s="304">
        <v>345738</v>
      </c>
      <c r="W55" s="303">
        <v>819175</v>
      </c>
      <c r="X55" s="304">
        <v>345303</v>
      </c>
      <c r="Y55" s="303">
        <v>747942</v>
      </c>
      <c r="Z55" s="304">
        <v>234148</v>
      </c>
      <c r="AA55" s="303">
        <v>743639</v>
      </c>
      <c r="AB55" s="304">
        <v>175579</v>
      </c>
      <c r="AC55" s="303">
        <v>569861</v>
      </c>
      <c r="AD55" s="304">
        <v>204003</v>
      </c>
    </row>
    <row r="56" spans="1:30" ht="25.9" customHeight="1">
      <c r="A56" s="31">
        <v>1412000078</v>
      </c>
      <c r="B56" s="31" t="s">
        <v>115</v>
      </c>
      <c r="C56" s="32" t="s">
        <v>74</v>
      </c>
      <c r="D56" s="221"/>
      <c r="E56" s="217"/>
      <c r="F56" s="218"/>
      <c r="G56" s="219">
        <v>1151446</v>
      </c>
      <c r="H56" s="220">
        <v>348757</v>
      </c>
      <c r="I56" s="219">
        <v>1201132</v>
      </c>
      <c r="J56" s="220">
        <v>385433</v>
      </c>
      <c r="K56" s="219">
        <v>1508961</v>
      </c>
      <c r="L56" s="220">
        <v>435326</v>
      </c>
      <c r="M56" s="219">
        <v>1625035</v>
      </c>
      <c r="N56" s="220">
        <v>621677</v>
      </c>
      <c r="O56" s="219">
        <v>1693343</v>
      </c>
      <c r="P56" s="220">
        <v>556798</v>
      </c>
      <c r="Q56" s="219">
        <v>1676117</v>
      </c>
      <c r="R56" s="220">
        <v>563652</v>
      </c>
      <c r="S56" s="219">
        <v>1701188</v>
      </c>
      <c r="T56" s="220">
        <v>413697</v>
      </c>
      <c r="U56" s="219">
        <v>1570327</v>
      </c>
      <c r="V56" s="220">
        <v>576230</v>
      </c>
      <c r="W56" s="219">
        <v>1504897</v>
      </c>
      <c r="X56" s="220">
        <v>575505</v>
      </c>
      <c r="Y56" s="219">
        <v>1374036</v>
      </c>
      <c r="Z56" s="220">
        <v>390247</v>
      </c>
      <c r="AA56" s="219">
        <v>1366131</v>
      </c>
      <c r="AB56" s="220">
        <v>292632</v>
      </c>
      <c r="AC56" s="219">
        <v>1046885</v>
      </c>
      <c r="AD56" s="220">
        <v>340006</v>
      </c>
    </row>
    <row r="57" spans="1:30" ht="25.9" customHeight="1">
      <c r="A57" s="31">
        <v>1412000096</v>
      </c>
      <c r="B57" s="42" t="s">
        <v>124</v>
      </c>
      <c r="C57" s="32" t="s">
        <v>74</v>
      </c>
      <c r="D57" s="226"/>
      <c r="E57" s="227"/>
      <c r="F57" s="228"/>
      <c r="G57" s="229">
        <v>979771</v>
      </c>
      <c r="H57" s="230">
        <v>290631</v>
      </c>
      <c r="I57" s="229">
        <v>1021880</v>
      </c>
      <c r="J57" s="230">
        <v>321195</v>
      </c>
      <c r="K57" s="229">
        <v>1283770</v>
      </c>
      <c r="L57" s="230">
        <v>362771</v>
      </c>
      <c r="M57" s="229">
        <v>1382522</v>
      </c>
      <c r="N57" s="230">
        <v>518064</v>
      </c>
      <c r="O57" s="229">
        <v>1440456</v>
      </c>
      <c r="P57" s="230">
        <v>463999</v>
      </c>
      <c r="Q57" s="229">
        <v>1459737</v>
      </c>
      <c r="R57" s="230">
        <v>483130</v>
      </c>
      <c r="S57" s="229">
        <v>1392513</v>
      </c>
      <c r="T57" s="230">
        <v>330958</v>
      </c>
      <c r="U57" s="229">
        <v>1285397</v>
      </c>
      <c r="V57" s="230">
        <v>460984</v>
      </c>
      <c r="W57" s="229">
        <v>1231839</v>
      </c>
      <c r="X57" s="230">
        <v>460404</v>
      </c>
      <c r="Y57" s="229">
        <v>1124722</v>
      </c>
      <c r="Z57" s="230">
        <v>312197</v>
      </c>
      <c r="AA57" s="229">
        <v>1118251</v>
      </c>
      <c r="AB57" s="230">
        <v>234106</v>
      </c>
      <c r="AC57" s="229">
        <v>856931</v>
      </c>
      <c r="AD57" s="230">
        <v>272004</v>
      </c>
    </row>
    <row r="58" spans="1:30" ht="25.9" customHeight="1">
      <c r="A58" s="31">
        <v>1412000050</v>
      </c>
      <c r="B58" s="31" t="s">
        <v>75</v>
      </c>
      <c r="C58" s="32" t="s">
        <v>76</v>
      </c>
      <c r="D58" s="221"/>
      <c r="E58" s="217"/>
      <c r="F58" s="218"/>
      <c r="G58" s="219">
        <v>808096</v>
      </c>
      <c r="H58" s="220">
        <v>232505</v>
      </c>
      <c r="I58" s="219">
        <v>842628</v>
      </c>
      <c r="J58" s="220">
        <v>256956</v>
      </c>
      <c r="K58" s="219">
        <v>1058579</v>
      </c>
      <c r="L58" s="220">
        <v>290217</v>
      </c>
      <c r="M58" s="219">
        <v>1140008</v>
      </c>
      <c r="N58" s="220">
        <v>414451</v>
      </c>
      <c r="O58" s="219">
        <v>1187570</v>
      </c>
      <c r="P58" s="220">
        <v>371199</v>
      </c>
      <c r="Q58" s="219">
        <v>1135167</v>
      </c>
      <c r="R58" s="220">
        <v>362348</v>
      </c>
      <c r="S58" s="219">
        <v>1083839</v>
      </c>
      <c r="T58" s="220">
        <v>248218</v>
      </c>
      <c r="U58" s="219">
        <v>1000466</v>
      </c>
      <c r="V58" s="220">
        <v>345738</v>
      </c>
      <c r="W58" s="219">
        <v>958780</v>
      </c>
      <c r="X58" s="220">
        <v>345303</v>
      </c>
      <c r="Y58" s="219">
        <v>875408</v>
      </c>
      <c r="Z58" s="220">
        <v>234148</v>
      </c>
      <c r="AA58" s="219">
        <v>870371</v>
      </c>
      <c r="AB58" s="220">
        <v>175579</v>
      </c>
      <c r="AC58" s="219">
        <v>666978</v>
      </c>
      <c r="AD58" s="220">
        <v>204003</v>
      </c>
    </row>
    <row r="59" spans="1:30" ht="25.9" customHeight="1">
      <c r="A59" s="31">
        <v>1412000077</v>
      </c>
      <c r="B59" s="31" t="s">
        <v>77</v>
      </c>
      <c r="C59" s="32" t="s">
        <v>78</v>
      </c>
      <c r="D59" s="221"/>
      <c r="E59" s="217"/>
      <c r="F59" s="218"/>
      <c r="G59" s="219">
        <v>1666472</v>
      </c>
      <c r="H59" s="220">
        <v>523136</v>
      </c>
      <c r="I59" s="219">
        <v>1738887</v>
      </c>
      <c r="J59" s="220">
        <v>578150</v>
      </c>
      <c r="K59" s="219">
        <v>2184535</v>
      </c>
      <c r="L59" s="220">
        <v>652989</v>
      </c>
      <c r="M59" s="219">
        <v>2352576</v>
      </c>
      <c r="N59" s="220">
        <v>932515</v>
      </c>
      <c r="O59" s="219">
        <v>2452002</v>
      </c>
      <c r="P59" s="220">
        <v>835198</v>
      </c>
      <c r="Q59" s="219">
        <v>2108877</v>
      </c>
      <c r="R59" s="220">
        <v>724695</v>
      </c>
      <c r="S59" s="219">
        <v>2215645</v>
      </c>
      <c r="T59" s="220">
        <v>551596</v>
      </c>
      <c r="U59" s="219">
        <v>2045211</v>
      </c>
      <c r="V59" s="220">
        <v>768307</v>
      </c>
      <c r="W59" s="219">
        <v>1959994</v>
      </c>
      <c r="X59" s="220">
        <v>767340</v>
      </c>
      <c r="Y59" s="219">
        <v>1789560</v>
      </c>
      <c r="Z59" s="220">
        <v>520329</v>
      </c>
      <c r="AA59" s="219">
        <v>1779263</v>
      </c>
      <c r="AB59" s="220">
        <v>390176</v>
      </c>
      <c r="AC59" s="219">
        <v>1363474</v>
      </c>
      <c r="AD59" s="220">
        <v>453341</v>
      </c>
    </row>
    <row r="60" spans="1:30" ht="25.9" customHeight="1">
      <c r="A60" s="31">
        <v>1412000083</v>
      </c>
      <c r="B60" s="31" t="s">
        <v>104</v>
      </c>
      <c r="C60" s="32" t="s">
        <v>105</v>
      </c>
      <c r="D60" s="221"/>
      <c r="E60" s="217"/>
      <c r="F60" s="218"/>
      <c r="G60" s="219">
        <v>1030050</v>
      </c>
      <c r="H60" s="220">
        <v>348757</v>
      </c>
      <c r="I60" s="219">
        <v>1075511</v>
      </c>
      <c r="J60" s="220">
        <v>385433</v>
      </c>
      <c r="K60" s="219">
        <v>1351147</v>
      </c>
      <c r="L60" s="220">
        <v>435326</v>
      </c>
      <c r="M60" s="219">
        <v>1455081</v>
      </c>
      <c r="N60" s="220">
        <v>621677</v>
      </c>
      <c r="O60" s="219">
        <v>1517318</v>
      </c>
      <c r="P60" s="220">
        <v>556798</v>
      </c>
      <c r="Q60" s="219">
        <v>1298280</v>
      </c>
      <c r="R60" s="220">
        <v>483130</v>
      </c>
      <c r="S60" s="219">
        <v>1234698</v>
      </c>
      <c r="T60" s="220">
        <v>330958</v>
      </c>
      <c r="U60" s="219">
        <v>1139722</v>
      </c>
      <c r="V60" s="220">
        <v>460984</v>
      </c>
      <c r="W60" s="219">
        <v>1092233</v>
      </c>
      <c r="X60" s="220">
        <v>460404</v>
      </c>
      <c r="Y60" s="219">
        <v>997256</v>
      </c>
      <c r="Z60" s="220">
        <v>312197</v>
      </c>
      <c r="AA60" s="219">
        <v>991518</v>
      </c>
      <c r="AB60" s="220">
        <v>234106</v>
      </c>
      <c r="AC60" s="219">
        <v>759814</v>
      </c>
      <c r="AD60" s="220">
        <v>272004</v>
      </c>
    </row>
    <row r="61" spans="1:30" ht="25.9" customHeight="1">
      <c r="A61" s="31">
        <v>1412000099</v>
      </c>
      <c r="B61" s="31" t="s">
        <v>126</v>
      </c>
      <c r="C61" s="32" t="s">
        <v>127</v>
      </c>
      <c r="D61" s="226"/>
      <c r="E61" s="227"/>
      <c r="F61" s="228"/>
      <c r="G61" s="229">
        <v>1373400</v>
      </c>
      <c r="H61" s="230">
        <v>465010</v>
      </c>
      <c r="I61" s="229">
        <v>1434015</v>
      </c>
      <c r="J61" s="230">
        <v>513911</v>
      </c>
      <c r="K61" s="229">
        <v>1801529</v>
      </c>
      <c r="L61" s="230">
        <v>580434</v>
      </c>
      <c r="M61" s="229">
        <v>1940108</v>
      </c>
      <c r="N61" s="230">
        <v>828902</v>
      </c>
      <c r="O61" s="229">
        <v>2023091</v>
      </c>
      <c r="P61" s="230">
        <v>742398</v>
      </c>
      <c r="Q61" s="229">
        <v>1731040</v>
      </c>
      <c r="R61" s="230">
        <v>644174</v>
      </c>
      <c r="S61" s="229">
        <v>1646264</v>
      </c>
      <c r="T61" s="230">
        <v>441277</v>
      </c>
      <c r="U61" s="229">
        <v>1519629</v>
      </c>
      <c r="V61" s="230">
        <v>614645</v>
      </c>
      <c r="W61" s="229">
        <v>1456311</v>
      </c>
      <c r="X61" s="230">
        <v>613872</v>
      </c>
      <c r="Y61" s="229">
        <v>1329675</v>
      </c>
      <c r="Z61" s="230">
        <v>416263</v>
      </c>
      <c r="AA61" s="229">
        <v>1322025</v>
      </c>
      <c r="AB61" s="230">
        <v>312141</v>
      </c>
      <c r="AC61" s="229">
        <v>1013086</v>
      </c>
      <c r="AD61" s="230">
        <v>362673</v>
      </c>
    </row>
    <row r="62" spans="1:30" ht="25.9" customHeight="1">
      <c r="A62" s="298">
        <v>1412000100</v>
      </c>
      <c r="B62" s="298" t="s">
        <v>191</v>
      </c>
      <c r="C62" s="299" t="s">
        <v>192</v>
      </c>
      <c r="D62" s="300"/>
      <c r="E62" s="301"/>
      <c r="F62" s="302"/>
      <c r="G62" s="303">
        <v>686700</v>
      </c>
      <c r="H62" s="304">
        <v>232505</v>
      </c>
      <c r="I62" s="303">
        <v>717007</v>
      </c>
      <c r="J62" s="304">
        <v>256956</v>
      </c>
      <c r="K62" s="303">
        <v>900764</v>
      </c>
      <c r="L62" s="304">
        <v>290217</v>
      </c>
      <c r="M62" s="303">
        <v>970054</v>
      </c>
      <c r="N62" s="304">
        <v>414451</v>
      </c>
      <c r="O62" s="303">
        <v>1011546</v>
      </c>
      <c r="P62" s="304">
        <v>371199</v>
      </c>
      <c r="Q62" s="303">
        <v>865520</v>
      </c>
      <c r="R62" s="304">
        <v>322087</v>
      </c>
      <c r="S62" s="303">
        <v>823132</v>
      </c>
      <c r="T62" s="304">
        <v>220639</v>
      </c>
      <c r="U62" s="303">
        <v>759814</v>
      </c>
      <c r="V62" s="304">
        <v>307323</v>
      </c>
      <c r="W62" s="303">
        <v>728155</v>
      </c>
      <c r="X62" s="304">
        <v>306936</v>
      </c>
      <c r="Y62" s="303">
        <v>664838</v>
      </c>
      <c r="Z62" s="304">
        <v>208132</v>
      </c>
      <c r="AA62" s="303">
        <v>661012</v>
      </c>
      <c r="AB62" s="304">
        <v>156070</v>
      </c>
      <c r="AC62" s="303">
        <v>506543</v>
      </c>
      <c r="AD62" s="304">
        <v>181336</v>
      </c>
    </row>
    <row r="63" spans="1:30" ht="25.9" customHeight="1">
      <c r="A63" s="31">
        <v>1412000028</v>
      </c>
      <c r="B63" s="31" t="s">
        <v>55</v>
      </c>
      <c r="C63" s="32" t="s">
        <v>7</v>
      </c>
      <c r="D63" s="221"/>
      <c r="E63" s="217"/>
      <c r="F63" s="218"/>
      <c r="G63" s="219">
        <v>907691</v>
      </c>
      <c r="H63" s="220">
        <v>348757</v>
      </c>
      <c r="I63" s="219">
        <v>931789</v>
      </c>
      <c r="J63" s="220">
        <v>385433</v>
      </c>
      <c r="K63" s="219">
        <v>1170590</v>
      </c>
      <c r="L63" s="220">
        <v>435326</v>
      </c>
      <c r="M63" s="219">
        <v>1260636</v>
      </c>
      <c r="N63" s="220">
        <v>621677</v>
      </c>
      <c r="O63" s="219">
        <v>1301553</v>
      </c>
      <c r="P63" s="220">
        <v>556798</v>
      </c>
      <c r="Q63" s="219">
        <v>1190776</v>
      </c>
      <c r="R63" s="220">
        <v>483130</v>
      </c>
      <c r="S63" s="219">
        <v>1163916</v>
      </c>
      <c r="T63" s="220">
        <v>330958</v>
      </c>
      <c r="U63" s="219">
        <v>1074384</v>
      </c>
      <c r="V63" s="220">
        <v>460984</v>
      </c>
      <c r="W63" s="219">
        <v>1029618</v>
      </c>
      <c r="X63" s="220">
        <v>460404</v>
      </c>
      <c r="Y63" s="219">
        <v>940086</v>
      </c>
      <c r="Z63" s="220">
        <v>312197</v>
      </c>
      <c r="AA63" s="219">
        <v>934677</v>
      </c>
      <c r="AB63" s="220">
        <v>234106</v>
      </c>
      <c r="AC63" s="219">
        <v>716256</v>
      </c>
      <c r="AD63" s="220">
        <v>272004</v>
      </c>
    </row>
    <row r="64" spans="1:30" ht="25.9" customHeight="1">
      <c r="A64" s="31">
        <v>1412000029</v>
      </c>
      <c r="B64" s="31" t="s">
        <v>56</v>
      </c>
      <c r="C64" s="32" t="s">
        <v>8</v>
      </c>
      <c r="D64" s="221"/>
      <c r="E64" s="217"/>
      <c r="F64" s="218"/>
      <c r="G64" s="219">
        <v>938341</v>
      </c>
      <c r="H64" s="220">
        <v>261568</v>
      </c>
      <c r="I64" s="219">
        <v>959490</v>
      </c>
      <c r="J64" s="220">
        <v>289075</v>
      </c>
      <c r="K64" s="219">
        <v>1208788</v>
      </c>
      <c r="L64" s="220">
        <v>326494</v>
      </c>
      <c r="M64" s="219">
        <v>1301771</v>
      </c>
      <c r="N64" s="220">
        <v>466257</v>
      </c>
      <c r="O64" s="219">
        <v>1345184</v>
      </c>
      <c r="P64" s="220">
        <v>417599</v>
      </c>
      <c r="Q64" s="219">
        <v>1231562</v>
      </c>
      <c r="R64" s="220">
        <v>362348</v>
      </c>
      <c r="S64" s="219">
        <v>1216507</v>
      </c>
      <c r="T64" s="220">
        <v>248218</v>
      </c>
      <c r="U64" s="219">
        <v>1111183</v>
      </c>
      <c r="V64" s="220">
        <v>345738</v>
      </c>
      <c r="W64" s="219">
        <v>1064884</v>
      </c>
      <c r="X64" s="220">
        <v>345303</v>
      </c>
      <c r="Y64" s="219">
        <v>959561</v>
      </c>
      <c r="Z64" s="220">
        <v>234148</v>
      </c>
      <c r="AA64" s="219">
        <v>964732</v>
      </c>
      <c r="AB64" s="220">
        <v>175579</v>
      </c>
      <c r="AC64" s="219">
        <v>740789</v>
      </c>
      <c r="AD64" s="220">
        <v>204003</v>
      </c>
    </row>
    <row r="65" spans="1:30" ht="25.9" customHeight="1">
      <c r="A65" s="31">
        <v>1412000030</v>
      </c>
      <c r="B65" s="31" t="s">
        <v>103</v>
      </c>
      <c r="C65" s="32" t="s">
        <v>9</v>
      </c>
      <c r="D65" s="221"/>
      <c r="E65" s="217"/>
      <c r="F65" s="218"/>
      <c r="G65" s="219">
        <v>1361537</v>
      </c>
      <c r="H65" s="220">
        <v>523136</v>
      </c>
      <c r="I65" s="219">
        <v>1397683</v>
      </c>
      <c r="J65" s="220">
        <v>578150</v>
      </c>
      <c r="K65" s="219">
        <v>1755885</v>
      </c>
      <c r="L65" s="220">
        <v>652989</v>
      </c>
      <c r="M65" s="219">
        <v>1890954</v>
      </c>
      <c r="N65" s="220">
        <v>932515</v>
      </c>
      <c r="O65" s="219">
        <v>1952330</v>
      </c>
      <c r="P65" s="220">
        <v>835198</v>
      </c>
      <c r="Q65" s="219">
        <v>1786164</v>
      </c>
      <c r="R65" s="220">
        <v>724695</v>
      </c>
      <c r="S65" s="219">
        <v>1745874</v>
      </c>
      <c r="T65" s="220">
        <v>496437</v>
      </c>
      <c r="U65" s="219">
        <v>1611576</v>
      </c>
      <c r="V65" s="220">
        <v>691476</v>
      </c>
      <c r="W65" s="219">
        <v>1544427</v>
      </c>
      <c r="X65" s="220">
        <v>690606</v>
      </c>
      <c r="Y65" s="219">
        <v>1410129</v>
      </c>
      <c r="Z65" s="220">
        <v>468296</v>
      </c>
      <c r="AA65" s="219">
        <v>1402016</v>
      </c>
      <c r="AB65" s="220">
        <v>351159</v>
      </c>
      <c r="AC65" s="219">
        <v>1074384</v>
      </c>
      <c r="AD65" s="220">
        <v>408007</v>
      </c>
    </row>
    <row r="66" spans="1:30" ht="25.9" customHeight="1">
      <c r="A66" s="51">
        <v>1412000086</v>
      </c>
      <c r="B66" s="51" t="s">
        <v>0</v>
      </c>
      <c r="C66" s="51" t="s">
        <v>10</v>
      </c>
      <c r="D66" s="238"/>
      <c r="E66" s="217"/>
      <c r="F66" s="218"/>
      <c r="G66" s="239">
        <v>2378243</v>
      </c>
      <c r="H66" s="220">
        <v>406883</v>
      </c>
      <c r="I66" s="239">
        <v>2431815</v>
      </c>
      <c r="J66" s="220">
        <v>449672</v>
      </c>
      <c r="K66" s="239">
        <v>3066848</v>
      </c>
      <c r="L66" s="220">
        <v>507880</v>
      </c>
      <c r="M66" s="239">
        <v>3302760</v>
      </c>
      <c r="N66" s="220">
        <v>725289</v>
      </c>
      <c r="O66" s="239">
        <v>3415926</v>
      </c>
      <c r="P66" s="220">
        <v>649598</v>
      </c>
      <c r="Q66" s="239">
        <v>3228887</v>
      </c>
      <c r="R66" s="220">
        <v>603913</v>
      </c>
      <c r="S66" s="239">
        <v>3200259</v>
      </c>
      <c r="T66" s="220">
        <v>413697</v>
      </c>
      <c r="U66" s="239">
        <v>2913281</v>
      </c>
      <c r="V66" s="220">
        <v>576230</v>
      </c>
      <c r="W66" s="239">
        <v>2791894</v>
      </c>
      <c r="X66" s="220">
        <v>575505</v>
      </c>
      <c r="Y66" s="239">
        <v>2504917</v>
      </c>
      <c r="Z66" s="220">
        <v>390247</v>
      </c>
      <c r="AA66" s="239">
        <v>2527648</v>
      </c>
      <c r="AB66" s="220">
        <v>292632</v>
      </c>
      <c r="AC66" s="239">
        <v>1942187</v>
      </c>
      <c r="AD66" s="220">
        <v>340006</v>
      </c>
    </row>
    <row r="67" spans="1:30" ht="30" customHeight="1">
      <c r="A67" s="17"/>
      <c r="B67" s="17"/>
      <c r="C67" s="17" t="s">
        <v>19</v>
      </c>
      <c r="D67" s="240">
        <f t="shared" ref="D67:P67" si="10">SUM(D7:D66)</f>
        <v>0</v>
      </c>
      <c r="E67" s="241">
        <f t="shared" si="10"/>
        <v>0</v>
      </c>
      <c r="F67" s="242">
        <f t="shared" si="10"/>
        <v>0</v>
      </c>
      <c r="G67" s="243">
        <f t="shared" si="10"/>
        <v>2231942061</v>
      </c>
      <c r="H67" s="243">
        <f t="shared" si="10"/>
        <v>168478800</v>
      </c>
      <c r="I67" s="243">
        <f t="shared" si="10"/>
        <v>2281942059</v>
      </c>
      <c r="J67" s="243">
        <f t="shared" si="10"/>
        <v>184783200</v>
      </c>
      <c r="K67" s="243">
        <f>SUM(K7:K66)</f>
        <v>2875524677</v>
      </c>
      <c r="L67" s="243">
        <f t="shared" si="10"/>
        <v>203805000</v>
      </c>
      <c r="M67" s="243">
        <f t="shared" si="10"/>
        <v>3096718887</v>
      </c>
      <c r="N67" s="243">
        <f t="shared" si="10"/>
        <v>317935800</v>
      </c>
      <c r="O67" s="243">
        <f t="shared" si="10"/>
        <v>3207315989</v>
      </c>
      <c r="P67" s="243">
        <f t="shared" si="10"/>
        <v>293479200</v>
      </c>
      <c r="Q67" s="243">
        <f t="shared" ref="Q67:R67" si="11">SUM(Q7:Q66)</f>
        <v>2941882945</v>
      </c>
      <c r="R67" s="243">
        <f t="shared" si="11"/>
        <v>263587800</v>
      </c>
      <c r="S67" s="243">
        <f>SUM(S7:S66)</f>
        <v>2957385007</v>
      </c>
      <c r="T67" s="243">
        <f t="shared" ref="T67:X67" si="12">SUM(T7:T66)</f>
        <v>190218000</v>
      </c>
      <c r="U67" s="243">
        <f t="shared" si="12"/>
        <v>2654330471</v>
      </c>
      <c r="V67" s="243">
        <f t="shared" si="12"/>
        <v>269022600</v>
      </c>
      <c r="W67" s="243">
        <f t="shared" si="12"/>
        <v>2543733369</v>
      </c>
      <c r="X67" s="243">
        <f t="shared" si="12"/>
        <v>266305200</v>
      </c>
      <c r="Y67" s="243">
        <f>SUM(Y7:Y66)</f>
        <v>2240678832</v>
      </c>
      <c r="Z67" s="243">
        <f t="shared" ref="Z67:AD67" si="13">SUM(Z7:Z66)</f>
        <v>187500600</v>
      </c>
      <c r="AA67" s="243">
        <f t="shared" si="13"/>
        <v>2267206634</v>
      </c>
      <c r="AB67" s="243">
        <f t="shared" si="13"/>
        <v>149457000</v>
      </c>
      <c r="AC67" s="243">
        <f t="shared" si="13"/>
        <v>1769553649</v>
      </c>
      <c r="AD67" s="243">
        <f t="shared" si="13"/>
        <v>163044000</v>
      </c>
    </row>
    <row r="68" spans="1:30" ht="30" customHeight="1">
      <c r="D68" s="2"/>
      <c r="E68" s="199"/>
      <c r="F68" s="244"/>
      <c r="G68" s="245">
        <f t="shared" ref="G68" si="14">G67-G5</f>
        <v>0</v>
      </c>
      <c r="H68" s="220">
        <f>H67-H5</f>
        <v>0</v>
      </c>
      <c r="I68" s="245">
        <f t="shared" ref="I68" si="15">I67-I5</f>
        <v>0</v>
      </c>
      <c r="J68" s="220">
        <f>J67-J5</f>
        <v>0</v>
      </c>
      <c r="K68" s="245">
        <f t="shared" ref="K68" si="16">K67-K5</f>
        <v>0</v>
      </c>
      <c r="L68" s="220">
        <f>L67-L5</f>
        <v>0</v>
      </c>
      <c r="M68" s="245">
        <f t="shared" ref="M68" si="17">M67-M5</f>
        <v>0</v>
      </c>
      <c r="N68" s="220">
        <f>N67-N5</f>
        <v>0</v>
      </c>
      <c r="O68" s="245">
        <f t="shared" ref="O68" si="18">O67-O5</f>
        <v>0</v>
      </c>
      <c r="P68" s="220">
        <f>P67-P5</f>
        <v>0</v>
      </c>
      <c r="Q68" s="245">
        <f t="shared" ref="Q68" si="19">Q67-Q5</f>
        <v>0</v>
      </c>
      <c r="R68" s="220">
        <f>R67-R5</f>
        <v>0</v>
      </c>
      <c r="S68" s="245">
        <f t="shared" ref="S68" si="20">S67-S5</f>
        <v>0</v>
      </c>
      <c r="T68" s="220">
        <f>T67-T5</f>
        <v>0</v>
      </c>
      <c r="U68" s="245">
        <f t="shared" ref="U68" si="21">U67-U5</f>
        <v>0</v>
      </c>
      <c r="V68" s="220">
        <f>V67-V5</f>
        <v>0</v>
      </c>
      <c r="W68" s="245">
        <f t="shared" ref="W68" si="22">W67-W5</f>
        <v>0</v>
      </c>
      <c r="X68" s="220">
        <f>X67-X5</f>
        <v>0</v>
      </c>
      <c r="Y68" s="245">
        <f t="shared" ref="Y68" si="23">Y67-Y5</f>
        <v>0</v>
      </c>
      <c r="Z68" s="220">
        <f>Z67-Z5</f>
        <v>0</v>
      </c>
      <c r="AA68" s="245">
        <f t="shared" ref="AA68" si="24">AA67-AA5</f>
        <v>0</v>
      </c>
      <c r="AB68" s="220">
        <f>AB67-AB5</f>
        <v>0</v>
      </c>
      <c r="AC68" s="245">
        <f t="shared" ref="AC68" si="25">AC67-AC5</f>
        <v>0</v>
      </c>
      <c r="AD68" s="220">
        <f>AD67-AD5</f>
        <v>0</v>
      </c>
    </row>
    <row r="69" spans="1:30">
      <c r="C69" s="2" t="s">
        <v>20</v>
      </c>
      <c r="D69" s="2"/>
      <c r="E69" s="199"/>
      <c r="F69" s="244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1" spans="1:30" ht="19.899999999999999" customHeight="1">
      <c r="B71" s="63"/>
      <c r="C71" s="63"/>
      <c r="D71" s="1"/>
    </row>
    <row r="72" spans="1:30" ht="19.899999999999999" customHeight="1"/>
    <row r="73" spans="1:30" ht="19.899999999999999" customHeight="1">
      <c r="G73" s="193"/>
      <c r="H73" s="193"/>
      <c r="I73" s="193"/>
      <c r="J73" s="193"/>
      <c r="K73" s="193"/>
      <c r="L73" s="193"/>
      <c r="M73" s="193"/>
      <c r="N73" s="193"/>
      <c r="O73" s="193"/>
      <c r="P73" s="193"/>
      <c r="Q73" s="193"/>
      <c r="R73" s="193"/>
      <c r="S73" s="193"/>
      <c r="T73" s="193"/>
      <c r="U73" s="193"/>
      <c r="V73" s="193"/>
      <c r="W73" s="193"/>
      <c r="X73" s="193"/>
      <c r="Y73" s="193"/>
      <c r="Z73" s="193"/>
      <c r="AA73" s="193"/>
      <c r="AB73" s="193"/>
      <c r="AC73" s="193"/>
      <c r="AD73" s="193"/>
    </row>
    <row r="74" spans="1:30" ht="19.899999999999999" customHeight="1">
      <c r="G74" s="193"/>
      <c r="H74" s="193"/>
      <c r="I74" s="193"/>
      <c r="J74" s="193"/>
      <c r="K74" s="193"/>
      <c r="L74" s="193"/>
      <c r="M74" s="193"/>
      <c r="N74" s="193"/>
      <c r="O74" s="193"/>
      <c r="P74" s="193"/>
      <c r="Q74" s="193"/>
      <c r="R74" s="193"/>
      <c r="S74" s="193"/>
      <c r="T74" s="193"/>
      <c r="U74" s="193"/>
      <c r="V74" s="193"/>
      <c r="W74" s="193"/>
      <c r="X74" s="193"/>
      <c r="Y74" s="193"/>
      <c r="Z74" s="193"/>
      <c r="AA74" s="193"/>
      <c r="AB74" s="193"/>
      <c r="AC74" s="193"/>
      <c r="AD74" s="193"/>
    </row>
    <row r="75" spans="1:30" ht="19.899999999999999" customHeight="1">
      <c r="G75" s="193"/>
      <c r="H75" s="193"/>
      <c r="I75" s="193"/>
      <c r="J75" s="193"/>
      <c r="K75" s="193"/>
      <c r="L75" s="193"/>
      <c r="M75" s="193"/>
      <c r="N75" s="193"/>
      <c r="O75" s="193"/>
      <c r="P75" s="193"/>
      <c r="Q75" s="193"/>
      <c r="R75" s="193"/>
      <c r="S75" s="193"/>
      <c r="T75" s="193"/>
      <c r="U75" s="193"/>
      <c r="V75" s="193"/>
      <c r="W75" s="193"/>
      <c r="X75" s="193"/>
      <c r="Y75" s="193"/>
      <c r="Z75" s="193"/>
      <c r="AA75" s="193"/>
      <c r="AB75" s="193"/>
      <c r="AC75" s="193"/>
      <c r="AD75" s="193"/>
    </row>
    <row r="76" spans="1:30" ht="19.899999999999999" customHeight="1">
      <c r="G76" s="193"/>
      <c r="H76" s="193"/>
      <c r="I76" s="193"/>
      <c r="J76" s="193"/>
      <c r="K76" s="193"/>
      <c r="L76" s="193"/>
      <c r="M76" s="193"/>
      <c r="N76" s="193"/>
      <c r="O76" s="193"/>
      <c r="P76" s="193"/>
      <c r="Q76" s="193"/>
      <c r="R76" s="193"/>
      <c r="S76" s="193"/>
      <c r="T76" s="193"/>
      <c r="U76" s="193"/>
      <c r="V76" s="193"/>
      <c r="W76" s="193"/>
      <c r="X76" s="193"/>
      <c r="Y76" s="193"/>
      <c r="Z76" s="193"/>
      <c r="AA76" s="193"/>
      <c r="AB76" s="193"/>
      <c r="AC76" s="193"/>
      <c r="AD76" s="193"/>
    </row>
    <row r="77" spans="1:30" ht="19.899999999999999" customHeight="1">
      <c r="G77" s="193"/>
      <c r="H77" s="193"/>
      <c r="I77" s="193"/>
      <c r="J77" s="193"/>
      <c r="K77" s="193"/>
      <c r="L77" s="193"/>
      <c r="M77" s="193"/>
      <c r="N77" s="193"/>
      <c r="O77" s="193"/>
      <c r="P77" s="193"/>
      <c r="Q77" s="193"/>
      <c r="R77" s="193"/>
      <c r="S77" s="193"/>
      <c r="T77" s="193"/>
      <c r="U77" s="193"/>
      <c r="V77" s="193"/>
      <c r="W77" s="193"/>
      <c r="X77" s="193"/>
      <c r="Y77" s="193"/>
      <c r="Z77" s="193"/>
      <c r="AA77" s="193"/>
      <c r="AB77" s="193"/>
      <c r="AC77" s="193"/>
      <c r="AD77" s="193"/>
    </row>
    <row r="78" spans="1:30" ht="19.899999999999999" customHeight="1">
      <c r="B78" s="2" t="s">
        <v>86</v>
      </c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  <c r="AB78" s="193"/>
      <c r="AC78" s="193"/>
      <c r="AD78" s="193"/>
    </row>
    <row r="79" spans="1:30" ht="19.899999999999999" customHeight="1">
      <c r="B79" s="2" t="s">
        <v>88</v>
      </c>
      <c r="G79" s="193"/>
      <c r="H79" s="193"/>
      <c r="I79" s="193"/>
      <c r="J79" s="193"/>
      <c r="K79" s="193"/>
      <c r="L79" s="193"/>
      <c r="M79" s="193"/>
      <c r="N79" s="193"/>
      <c r="O79" s="193"/>
      <c r="P79" s="193"/>
      <c r="Q79" s="193"/>
      <c r="R79" s="193"/>
      <c r="S79" s="193"/>
      <c r="T79" s="193"/>
      <c r="U79" s="193"/>
      <c r="V79" s="193"/>
      <c r="W79" s="193"/>
      <c r="X79" s="193"/>
      <c r="Y79" s="193"/>
      <c r="Z79" s="193"/>
      <c r="AA79" s="193"/>
      <c r="AB79" s="193"/>
      <c r="AC79" s="193"/>
      <c r="AD79" s="193"/>
    </row>
    <row r="80" spans="1:30" ht="19.899999999999999" customHeight="1">
      <c r="B80" s="2" t="s">
        <v>57</v>
      </c>
      <c r="G80" s="193"/>
      <c r="H80" s="193"/>
      <c r="I80" s="193"/>
      <c r="J80" s="193"/>
      <c r="K80" s="193"/>
      <c r="L80" s="193"/>
      <c r="M80" s="193"/>
      <c r="N80" s="193"/>
      <c r="O80" s="193"/>
      <c r="P80" s="193"/>
      <c r="Q80" s="193"/>
      <c r="R80" s="193"/>
      <c r="S80" s="193"/>
      <c r="T80" s="193"/>
      <c r="U80" s="193"/>
      <c r="V80" s="193"/>
      <c r="W80" s="193"/>
      <c r="X80" s="193"/>
      <c r="Y80" s="193"/>
      <c r="Z80" s="193"/>
      <c r="AA80" s="193"/>
      <c r="AB80" s="193"/>
      <c r="AC80" s="193"/>
      <c r="AD80" s="193"/>
    </row>
    <row r="81" spans="2:30" ht="19.899999999999999" customHeight="1">
      <c r="B81" s="2" t="s">
        <v>21</v>
      </c>
      <c r="G81" s="193"/>
      <c r="H81" s="193"/>
      <c r="I81" s="193"/>
      <c r="J81" s="193"/>
      <c r="K81" s="193"/>
      <c r="L81" s="193"/>
      <c r="M81" s="193"/>
      <c r="N81" s="193"/>
      <c r="O81" s="193"/>
      <c r="P81" s="193"/>
      <c r="Q81" s="193"/>
      <c r="R81" s="193"/>
      <c r="S81" s="193"/>
      <c r="T81" s="193"/>
      <c r="U81" s="193"/>
      <c r="V81" s="193"/>
      <c r="W81" s="193"/>
      <c r="X81" s="193"/>
      <c r="Y81" s="193"/>
      <c r="Z81" s="193"/>
      <c r="AA81" s="193"/>
      <c r="AB81" s="193"/>
      <c r="AC81" s="193"/>
      <c r="AD81" s="193"/>
    </row>
    <row r="82" spans="2:30" ht="19.899999999999999" customHeight="1">
      <c r="B82" s="2" t="s">
        <v>23</v>
      </c>
      <c r="G82" s="193"/>
      <c r="H82" s="193"/>
      <c r="I82" s="193"/>
      <c r="J82" s="193"/>
      <c r="K82" s="193"/>
      <c r="L82" s="193"/>
      <c r="M82" s="193"/>
      <c r="N82" s="193"/>
      <c r="O82" s="193"/>
      <c r="P82" s="193"/>
      <c r="Q82" s="193"/>
      <c r="R82" s="193"/>
      <c r="S82" s="193"/>
      <c r="T82" s="193"/>
      <c r="U82" s="193"/>
      <c r="V82" s="193"/>
      <c r="W82" s="193"/>
      <c r="X82" s="193"/>
      <c r="Y82" s="193"/>
      <c r="Z82" s="193"/>
      <c r="AA82" s="193"/>
      <c r="AB82" s="193"/>
      <c r="AC82" s="193"/>
      <c r="AD82" s="193"/>
    </row>
    <row r="83" spans="2:30" ht="19.899999999999999" customHeight="1">
      <c r="B83" s="2" t="s">
        <v>90</v>
      </c>
      <c r="G83" s="193"/>
      <c r="H83" s="193"/>
      <c r="I83" s="193"/>
      <c r="J83" s="193"/>
      <c r="K83" s="193"/>
      <c r="L83" s="193"/>
      <c r="M83" s="193"/>
      <c r="N83" s="193"/>
      <c r="O83" s="193"/>
      <c r="P83" s="193"/>
      <c r="Q83" s="193"/>
      <c r="R83" s="193"/>
      <c r="S83" s="193"/>
      <c r="T83" s="193"/>
      <c r="U83" s="193"/>
      <c r="V83" s="193"/>
      <c r="W83" s="193"/>
      <c r="X83" s="193"/>
      <c r="Y83" s="193"/>
      <c r="Z83" s="193"/>
      <c r="AA83" s="193"/>
      <c r="AB83" s="193"/>
      <c r="AC83" s="193"/>
      <c r="AD83" s="193"/>
    </row>
    <row r="84" spans="2:30" ht="19.899999999999999" customHeight="1">
      <c r="B84" s="2" t="s">
        <v>92</v>
      </c>
      <c r="G84" s="193"/>
      <c r="H84" s="193"/>
      <c r="I84" s="193"/>
      <c r="J84" s="193"/>
      <c r="K84" s="193"/>
      <c r="L84" s="193"/>
      <c r="M84" s="193"/>
      <c r="N84" s="193"/>
      <c r="O84" s="193"/>
      <c r="P84" s="193"/>
      <c r="Q84" s="193"/>
      <c r="R84" s="193"/>
      <c r="S84" s="193"/>
      <c r="T84" s="193"/>
      <c r="U84" s="193"/>
      <c r="V84" s="193"/>
      <c r="W84" s="193"/>
      <c r="X84" s="193"/>
      <c r="Y84" s="193"/>
      <c r="Z84" s="193"/>
      <c r="AA84" s="193"/>
      <c r="AB84" s="193"/>
      <c r="AC84" s="193"/>
      <c r="AD84" s="193"/>
    </row>
    <row r="85" spans="2:30" ht="19.899999999999999" customHeight="1">
      <c r="B85" s="2" t="s">
        <v>94</v>
      </c>
      <c r="G85" s="193"/>
      <c r="H85" s="193"/>
      <c r="I85" s="193"/>
      <c r="J85" s="193"/>
      <c r="K85" s="193"/>
      <c r="L85" s="193"/>
      <c r="M85" s="193"/>
      <c r="N85" s="193"/>
      <c r="O85" s="193"/>
      <c r="P85" s="193"/>
      <c r="Q85" s="193"/>
      <c r="R85" s="193"/>
      <c r="S85" s="193"/>
      <c r="T85" s="193"/>
      <c r="U85" s="193"/>
      <c r="V85" s="193"/>
      <c r="W85" s="193"/>
      <c r="X85" s="193"/>
      <c r="Y85" s="193"/>
      <c r="Z85" s="193"/>
      <c r="AA85" s="193"/>
      <c r="AB85" s="193"/>
      <c r="AC85" s="193"/>
      <c r="AD85" s="193"/>
    </row>
    <row r="86" spans="2:30" ht="19.899999999999999" customHeight="1">
      <c r="B86" s="2" t="s">
        <v>95</v>
      </c>
      <c r="G86" s="193"/>
      <c r="H86" s="193"/>
      <c r="I86" s="193"/>
      <c r="J86" s="193"/>
      <c r="K86" s="193"/>
      <c r="L86" s="193"/>
      <c r="M86" s="193"/>
      <c r="N86" s="193"/>
      <c r="O86" s="193"/>
      <c r="P86" s="193"/>
      <c r="Q86" s="193"/>
      <c r="R86" s="193"/>
      <c r="S86" s="193"/>
      <c r="T86" s="193"/>
      <c r="U86" s="193"/>
      <c r="V86" s="193"/>
      <c r="W86" s="193"/>
      <c r="X86" s="193"/>
      <c r="Y86" s="193"/>
      <c r="Z86" s="193"/>
      <c r="AA86" s="193"/>
      <c r="AB86" s="193"/>
      <c r="AC86" s="193"/>
      <c r="AD86" s="193"/>
    </row>
    <row r="87" spans="2:30" ht="19.899999999999999" customHeight="1">
      <c r="B87" s="2" t="s">
        <v>96</v>
      </c>
      <c r="G87" s="193"/>
      <c r="H87" s="193"/>
      <c r="I87" s="193"/>
      <c r="J87" s="193"/>
      <c r="K87" s="193"/>
      <c r="L87" s="193"/>
      <c r="M87" s="193"/>
      <c r="N87" s="193"/>
      <c r="O87" s="193"/>
      <c r="P87" s="193"/>
      <c r="Q87" s="193"/>
      <c r="R87" s="193"/>
      <c r="S87" s="193"/>
      <c r="T87" s="193"/>
      <c r="U87" s="193"/>
      <c r="V87" s="193"/>
      <c r="W87" s="193"/>
      <c r="X87" s="193"/>
      <c r="Y87" s="193"/>
      <c r="Z87" s="193"/>
      <c r="AA87" s="193"/>
      <c r="AB87" s="193"/>
      <c r="AC87" s="193"/>
      <c r="AD87" s="193"/>
    </row>
    <row r="88" spans="2:30" ht="19.899999999999999" customHeight="1">
      <c r="B88" s="2" t="s">
        <v>25</v>
      </c>
      <c r="G88" s="193"/>
      <c r="H88" s="193"/>
      <c r="I88" s="193"/>
      <c r="J88" s="193"/>
      <c r="K88" s="193"/>
      <c r="L88" s="193"/>
      <c r="M88" s="193"/>
      <c r="N88" s="193"/>
      <c r="O88" s="193"/>
      <c r="P88" s="193"/>
      <c r="Q88" s="193"/>
      <c r="R88" s="193"/>
      <c r="S88" s="193"/>
      <c r="T88" s="193"/>
      <c r="U88" s="193"/>
      <c r="V88" s="193"/>
      <c r="W88" s="193"/>
      <c r="X88" s="193"/>
      <c r="Y88" s="193"/>
      <c r="Z88" s="193"/>
      <c r="AA88" s="193"/>
      <c r="AB88" s="193"/>
      <c r="AC88" s="193"/>
      <c r="AD88" s="193"/>
    </row>
    <row r="89" spans="2:30" ht="19.899999999999999" customHeight="1">
      <c r="B89" s="2" t="s">
        <v>27</v>
      </c>
      <c r="G89" s="193"/>
      <c r="H89" s="193"/>
      <c r="I89" s="193"/>
      <c r="J89" s="193"/>
      <c r="K89" s="193"/>
      <c r="L89" s="193"/>
      <c r="M89" s="193"/>
      <c r="N89" s="193"/>
      <c r="O89" s="193"/>
      <c r="P89" s="193"/>
      <c r="Q89" s="193"/>
      <c r="R89" s="193"/>
      <c r="S89" s="193"/>
      <c r="T89" s="193"/>
      <c r="U89" s="193"/>
      <c r="V89" s="193"/>
      <c r="W89" s="193"/>
      <c r="X89" s="193"/>
      <c r="Y89" s="193"/>
      <c r="Z89" s="193"/>
      <c r="AA89" s="193"/>
      <c r="AB89" s="193"/>
      <c r="AC89" s="193"/>
      <c r="AD89" s="193"/>
    </row>
    <row r="90" spans="2:30" ht="19.899999999999999" customHeight="1">
      <c r="B90" s="2" t="s">
        <v>97</v>
      </c>
      <c r="G90" s="193"/>
      <c r="H90" s="193"/>
      <c r="I90" s="193"/>
      <c r="J90" s="193"/>
      <c r="K90" s="193"/>
      <c r="L90" s="193"/>
      <c r="M90" s="193"/>
      <c r="N90" s="193"/>
      <c r="O90" s="193"/>
      <c r="P90" s="193"/>
      <c r="Q90" s="193"/>
      <c r="R90" s="193"/>
      <c r="S90" s="193"/>
      <c r="T90" s="193"/>
      <c r="U90" s="193"/>
      <c r="V90" s="193"/>
      <c r="W90" s="193"/>
      <c r="X90" s="193"/>
      <c r="Y90" s="193"/>
      <c r="Z90" s="193"/>
      <c r="AA90" s="193"/>
      <c r="AB90" s="193"/>
      <c r="AC90" s="193"/>
      <c r="AD90" s="193"/>
    </row>
    <row r="91" spans="2:30" ht="19.899999999999999" customHeight="1">
      <c r="B91" s="2" t="s">
        <v>28</v>
      </c>
      <c r="G91" s="193"/>
      <c r="H91" s="193"/>
      <c r="I91" s="193"/>
      <c r="J91" s="193"/>
      <c r="K91" s="193"/>
      <c r="L91" s="193"/>
      <c r="M91" s="193"/>
      <c r="N91" s="193"/>
      <c r="O91" s="193"/>
      <c r="P91" s="193"/>
      <c r="Q91" s="193"/>
      <c r="R91" s="193"/>
      <c r="S91" s="193"/>
      <c r="T91" s="193"/>
      <c r="U91" s="193"/>
      <c r="V91" s="193"/>
      <c r="W91" s="193"/>
      <c r="X91" s="193"/>
      <c r="Y91" s="193"/>
      <c r="Z91" s="193"/>
      <c r="AA91" s="193"/>
      <c r="AB91" s="193"/>
      <c r="AC91" s="193"/>
      <c r="AD91" s="193"/>
    </row>
    <row r="92" spans="2:30" ht="19.899999999999999" customHeight="1">
      <c r="B92" s="2" t="s">
        <v>30</v>
      </c>
      <c r="G92" s="193"/>
      <c r="H92" s="193"/>
      <c r="I92" s="193"/>
      <c r="J92" s="193"/>
      <c r="K92" s="193"/>
      <c r="L92" s="193"/>
      <c r="M92" s="193"/>
      <c r="N92" s="193"/>
      <c r="O92" s="193"/>
      <c r="P92" s="193"/>
      <c r="Q92" s="193"/>
      <c r="R92" s="193"/>
      <c r="S92" s="193"/>
      <c r="T92" s="193"/>
      <c r="U92" s="193"/>
      <c r="V92" s="193"/>
      <c r="W92" s="193"/>
      <c r="X92" s="193"/>
      <c r="Y92" s="193"/>
      <c r="Z92" s="193"/>
      <c r="AA92" s="193"/>
      <c r="AB92" s="193"/>
      <c r="AC92" s="193"/>
      <c r="AD92" s="193"/>
    </row>
    <row r="93" spans="2:30" ht="19.899999999999999" customHeight="1">
      <c r="B93" s="2" t="s">
        <v>32</v>
      </c>
      <c r="G93" s="193"/>
      <c r="H93" s="193"/>
      <c r="I93" s="193"/>
      <c r="J93" s="193"/>
      <c r="K93" s="193"/>
      <c r="L93" s="193"/>
      <c r="M93" s="193"/>
      <c r="N93" s="193"/>
      <c r="O93" s="193"/>
      <c r="P93" s="193"/>
      <c r="Q93" s="193"/>
      <c r="R93" s="193"/>
      <c r="S93" s="193"/>
      <c r="T93" s="193"/>
      <c r="U93" s="193"/>
      <c r="V93" s="193"/>
      <c r="W93" s="193"/>
      <c r="X93" s="193"/>
      <c r="Y93" s="193"/>
      <c r="Z93" s="193"/>
      <c r="AA93" s="193"/>
      <c r="AB93" s="193"/>
      <c r="AC93" s="193"/>
      <c r="AD93" s="193"/>
    </row>
    <row r="94" spans="2:30" ht="19.899999999999999" customHeight="1">
      <c r="B94" s="2" t="s">
        <v>99</v>
      </c>
      <c r="G94" s="193"/>
      <c r="H94" s="193"/>
      <c r="I94" s="193"/>
      <c r="J94" s="193"/>
      <c r="K94" s="193"/>
      <c r="L94" s="193"/>
      <c r="M94" s="193"/>
      <c r="N94" s="193"/>
      <c r="O94" s="193"/>
      <c r="P94" s="193"/>
      <c r="Q94" s="193"/>
      <c r="R94" s="193"/>
      <c r="S94" s="193"/>
      <c r="T94" s="193"/>
      <c r="U94" s="193"/>
      <c r="V94" s="193"/>
      <c r="W94" s="193"/>
      <c r="X94" s="193"/>
      <c r="Y94" s="193"/>
      <c r="Z94" s="193"/>
      <c r="AA94" s="193"/>
      <c r="AB94" s="193"/>
      <c r="AC94" s="193"/>
      <c r="AD94" s="193"/>
    </row>
    <row r="95" spans="2:30" ht="19.899999999999999" customHeight="1">
      <c r="B95" s="2" t="s">
        <v>100</v>
      </c>
      <c r="G95" s="193"/>
      <c r="H95" s="193"/>
      <c r="I95" s="193"/>
      <c r="J95" s="193"/>
      <c r="K95" s="193"/>
      <c r="L95" s="193"/>
      <c r="M95" s="193"/>
      <c r="N95" s="193"/>
      <c r="O95" s="193"/>
      <c r="P95" s="193"/>
      <c r="Q95" s="193"/>
      <c r="R95" s="193"/>
      <c r="S95" s="193"/>
      <c r="T95" s="193"/>
      <c r="U95" s="193"/>
      <c r="V95" s="193"/>
      <c r="W95" s="193"/>
      <c r="X95" s="193"/>
      <c r="Y95" s="193"/>
      <c r="Z95" s="193"/>
      <c r="AA95" s="193"/>
      <c r="AB95" s="193"/>
      <c r="AC95" s="193"/>
      <c r="AD95" s="193"/>
    </row>
    <row r="96" spans="2:30" ht="19.899999999999999" customHeight="1">
      <c r="B96" s="2" t="s">
        <v>66</v>
      </c>
      <c r="G96" s="193"/>
      <c r="H96" s="193"/>
      <c r="I96" s="193"/>
      <c r="J96" s="193"/>
      <c r="K96" s="193"/>
      <c r="L96" s="193"/>
      <c r="M96" s="193"/>
      <c r="N96" s="193"/>
      <c r="O96" s="193"/>
      <c r="P96" s="193"/>
      <c r="Q96" s="193"/>
      <c r="R96" s="193"/>
      <c r="S96" s="193"/>
      <c r="T96" s="193"/>
      <c r="U96" s="193"/>
      <c r="V96" s="193"/>
      <c r="W96" s="193"/>
      <c r="X96" s="193"/>
      <c r="Y96" s="193"/>
      <c r="Z96" s="193"/>
      <c r="AA96" s="193"/>
      <c r="AB96" s="193"/>
      <c r="AC96" s="193"/>
      <c r="AD96" s="193"/>
    </row>
    <row r="97" spans="2:30" ht="19.899999999999999" customHeight="1">
      <c r="B97" s="2" t="s">
        <v>33</v>
      </c>
      <c r="G97" s="193"/>
      <c r="H97" s="193"/>
      <c r="I97" s="193"/>
      <c r="J97" s="193"/>
      <c r="K97" s="193"/>
      <c r="L97" s="193"/>
      <c r="M97" s="193"/>
      <c r="N97" s="193"/>
      <c r="O97" s="193"/>
      <c r="P97" s="193"/>
      <c r="Q97" s="193"/>
      <c r="R97" s="193"/>
      <c r="S97" s="193"/>
      <c r="T97" s="193"/>
      <c r="U97" s="193"/>
      <c r="V97" s="193"/>
      <c r="W97" s="193"/>
      <c r="X97" s="193"/>
      <c r="Y97" s="193"/>
      <c r="Z97" s="193"/>
      <c r="AA97" s="193"/>
      <c r="AB97" s="193"/>
      <c r="AC97" s="193"/>
      <c r="AD97" s="193"/>
    </row>
    <row r="98" spans="2:30" ht="19.899999999999999" customHeight="1">
      <c r="B98" s="2" t="s">
        <v>35</v>
      </c>
      <c r="G98" s="193"/>
      <c r="H98" s="193"/>
      <c r="I98" s="193"/>
      <c r="J98" s="193"/>
      <c r="K98" s="193"/>
      <c r="L98" s="193"/>
      <c r="M98" s="193"/>
      <c r="N98" s="193"/>
      <c r="O98" s="193"/>
      <c r="P98" s="193"/>
      <c r="Q98" s="193"/>
      <c r="R98" s="193"/>
      <c r="S98" s="193"/>
      <c r="T98" s="193"/>
      <c r="U98" s="193"/>
      <c r="V98" s="193"/>
      <c r="W98" s="193"/>
      <c r="X98" s="193"/>
      <c r="Y98" s="193"/>
      <c r="Z98" s="193"/>
      <c r="AA98" s="193"/>
      <c r="AB98" s="193"/>
      <c r="AC98" s="193"/>
      <c r="AD98" s="193"/>
    </row>
    <row r="99" spans="2:30" ht="19.899999999999999" customHeight="1">
      <c r="B99" s="2" t="s">
        <v>36</v>
      </c>
      <c r="G99" s="193"/>
      <c r="H99" s="193"/>
      <c r="I99" s="193"/>
      <c r="J99" s="193"/>
      <c r="K99" s="193"/>
      <c r="L99" s="193"/>
      <c r="M99" s="193"/>
      <c r="N99" s="193"/>
      <c r="O99" s="193"/>
      <c r="P99" s="193"/>
      <c r="Q99" s="193"/>
      <c r="R99" s="193"/>
      <c r="S99" s="193"/>
      <c r="T99" s="193"/>
      <c r="U99" s="193"/>
      <c r="V99" s="193"/>
      <c r="W99" s="193"/>
      <c r="X99" s="193"/>
      <c r="Y99" s="193"/>
      <c r="Z99" s="193"/>
      <c r="AA99" s="193"/>
      <c r="AB99" s="193"/>
      <c r="AC99" s="193"/>
      <c r="AD99" s="193"/>
    </row>
    <row r="100" spans="2:30" ht="19.899999999999999" customHeight="1">
      <c r="B100" s="2" t="s">
        <v>38</v>
      </c>
      <c r="G100" s="193"/>
      <c r="H100" s="193"/>
      <c r="I100" s="193"/>
      <c r="J100" s="193"/>
      <c r="K100" s="193"/>
      <c r="L100" s="193"/>
      <c r="M100" s="193"/>
      <c r="N100" s="193"/>
      <c r="O100" s="193"/>
      <c r="P100" s="193"/>
      <c r="Q100" s="193"/>
      <c r="R100" s="193"/>
      <c r="S100" s="193"/>
      <c r="T100" s="193"/>
      <c r="U100" s="193"/>
      <c r="V100" s="193"/>
      <c r="W100" s="193"/>
      <c r="X100" s="193"/>
      <c r="Y100" s="193"/>
      <c r="Z100" s="193"/>
      <c r="AA100" s="193"/>
      <c r="AB100" s="193"/>
      <c r="AC100" s="193"/>
      <c r="AD100" s="193"/>
    </row>
    <row r="101" spans="2:30" ht="19.899999999999999" customHeight="1">
      <c r="B101" s="2" t="s">
        <v>68</v>
      </c>
      <c r="G101" s="193"/>
      <c r="H101" s="193"/>
      <c r="I101" s="193"/>
      <c r="J101" s="193"/>
      <c r="K101" s="193"/>
      <c r="L101" s="193"/>
      <c r="M101" s="193"/>
      <c r="N101" s="193"/>
      <c r="O101" s="193"/>
      <c r="P101" s="193"/>
      <c r="Q101" s="193"/>
      <c r="R101" s="193"/>
      <c r="S101" s="193"/>
      <c r="T101" s="193"/>
      <c r="U101" s="193"/>
      <c r="V101" s="193"/>
      <c r="W101" s="193"/>
      <c r="X101" s="193"/>
      <c r="Y101" s="193"/>
      <c r="Z101" s="193"/>
      <c r="AA101" s="193"/>
      <c r="AB101" s="193"/>
      <c r="AC101" s="193"/>
      <c r="AD101" s="193"/>
    </row>
    <row r="102" spans="2:30" ht="19.899999999999999" customHeight="1">
      <c r="B102" s="2" t="s">
        <v>101</v>
      </c>
      <c r="G102" s="193"/>
      <c r="H102" s="193"/>
      <c r="I102" s="193"/>
      <c r="J102" s="193"/>
      <c r="K102" s="193"/>
      <c r="L102" s="193"/>
      <c r="M102" s="193"/>
      <c r="N102" s="193"/>
      <c r="O102" s="193"/>
      <c r="P102" s="193"/>
      <c r="Q102" s="193"/>
      <c r="R102" s="193"/>
      <c r="S102" s="193"/>
      <c r="T102" s="193"/>
      <c r="U102" s="193"/>
      <c r="V102" s="193"/>
      <c r="W102" s="193"/>
      <c r="X102" s="193"/>
      <c r="Y102" s="193"/>
      <c r="Z102" s="193"/>
      <c r="AA102" s="193"/>
      <c r="AB102" s="193"/>
      <c r="AC102" s="193"/>
      <c r="AD102" s="193"/>
    </row>
    <row r="103" spans="2:30" ht="19.899999999999999" customHeight="1">
      <c r="B103" s="2" t="s">
        <v>70</v>
      </c>
      <c r="G103" s="193"/>
      <c r="H103" s="193"/>
      <c r="I103" s="193"/>
      <c r="J103" s="193"/>
      <c r="K103" s="193"/>
      <c r="L103" s="193"/>
      <c r="M103" s="193"/>
      <c r="N103" s="193"/>
      <c r="O103" s="193"/>
      <c r="P103" s="193"/>
      <c r="Q103" s="193"/>
      <c r="R103" s="193"/>
      <c r="S103" s="193"/>
      <c r="T103" s="193"/>
      <c r="U103" s="193"/>
      <c r="V103" s="193"/>
      <c r="W103" s="193"/>
      <c r="X103" s="193"/>
      <c r="Y103" s="193"/>
      <c r="Z103" s="193"/>
      <c r="AA103" s="193"/>
      <c r="AB103" s="193"/>
      <c r="AC103" s="193"/>
      <c r="AD103" s="193"/>
    </row>
    <row r="104" spans="2:30" ht="19.899999999999999" customHeight="1">
      <c r="B104" s="2" t="s">
        <v>60</v>
      </c>
      <c r="G104" s="193"/>
      <c r="H104" s="193"/>
      <c r="I104" s="193"/>
      <c r="J104" s="193"/>
      <c r="K104" s="193"/>
      <c r="L104" s="193"/>
      <c r="M104" s="193"/>
      <c r="N104" s="193"/>
      <c r="O104" s="193"/>
      <c r="P104" s="193"/>
      <c r="Q104" s="193"/>
      <c r="R104" s="193"/>
      <c r="S104" s="193"/>
      <c r="T104" s="193"/>
      <c r="U104" s="193"/>
      <c r="V104" s="193"/>
      <c r="W104" s="193"/>
      <c r="X104" s="193"/>
      <c r="Y104" s="193"/>
      <c r="Z104" s="193"/>
      <c r="AA104" s="193"/>
      <c r="AB104" s="193"/>
      <c r="AC104" s="193"/>
      <c r="AD104" s="193"/>
    </row>
    <row r="105" spans="2:30" ht="19.899999999999999" customHeight="1">
      <c r="B105" s="2" t="s">
        <v>61</v>
      </c>
      <c r="G105" s="193"/>
      <c r="H105" s="193"/>
      <c r="I105" s="193"/>
      <c r="J105" s="193"/>
      <c r="K105" s="193"/>
      <c r="L105" s="193"/>
      <c r="M105" s="193"/>
      <c r="N105" s="193"/>
      <c r="O105" s="193"/>
      <c r="P105" s="193"/>
      <c r="Q105" s="193"/>
      <c r="R105" s="193"/>
      <c r="S105" s="193"/>
      <c r="T105" s="193"/>
      <c r="U105" s="193"/>
      <c r="V105" s="193"/>
      <c r="W105" s="193"/>
      <c r="X105" s="193"/>
      <c r="Y105" s="193"/>
      <c r="Z105" s="193"/>
      <c r="AA105" s="193"/>
      <c r="AB105" s="193"/>
      <c r="AC105" s="193"/>
      <c r="AD105" s="193"/>
    </row>
    <row r="106" spans="2:30" ht="19.899999999999999" customHeight="1">
      <c r="B106" s="2" t="s">
        <v>106</v>
      </c>
      <c r="G106" s="193"/>
      <c r="H106" s="193"/>
      <c r="I106" s="193"/>
      <c r="J106" s="193"/>
      <c r="K106" s="193"/>
      <c r="L106" s="193"/>
      <c r="M106" s="193"/>
      <c r="N106" s="193"/>
      <c r="O106" s="193"/>
      <c r="P106" s="193"/>
      <c r="Q106" s="193"/>
      <c r="R106" s="193"/>
      <c r="S106" s="193"/>
      <c r="T106" s="193"/>
      <c r="U106" s="193"/>
      <c r="V106" s="193"/>
      <c r="W106" s="193"/>
      <c r="X106" s="193"/>
      <c r="Y106" s="193"/>
      <c r="Z106" s="193"/>
      <c r="AA106" s="193"/>
      <c r="AB106" s="193"/>
      <c r="AC106" s="193"/>
      <c r="AD106" s="193"/>
    </row>
    <row r="107" spans="2:30" ht="19.899999999999999" customHeight="1">
      <c r="B107" s="2" t="s">
        <v>39</v>
      </c>
      <c r="G107" s="193"/>
      <c r="H107" s="193"/>
      <c r="I107" s="193"/>
      <c r="J107" s="193"/>
      <c r="K107" s="193"/>
      <c r="L107" s="193"/>
      <c r="M107" s="193"/>
      <c r="N107" s="193"/>
      <c r="O107" s="193"/>
      <c r="P107" s="193"/>
      <c r="Q107" s="193"/>
      <c r="R107" s="193"/>
      <c r="S107" s="193"/>
      <c r="T107" s="193"/>
      <c r="U107" s="193"/>
      <c r="V107" s="193"/>
      <c r="W107" s="193"/>
      <c r="X107" s="193"/>
      <c r="Y107" s="193"/>
      <c r="Z107" s="193"/>
      <c r="AA107" s="193"/>
      <c r="AB107" s="193"/>
      <c r="AC107" s="193"/>
      <c r="AD107" s="193"/>
    </row>
    <row r="108" spans="2:30" ht="19.899999999999999" customHeight="1">
      <c r="B108" s="2" t="s">
        <v>102</v>
      </c>
      <c r="G108" s="193"/>
      <c r="H108" s="193"/>
      <c r="I108" s="193"/>
      <c r="J108" s="193"/>
      <c r="K108" s="193"/>
      <c r="L108" s="193"/>
      <c r="M108" s="193"/>
      <c r="N108" s="193"/>
      <c r="O108" s="193"/>
      <c r="P108" s="193"/>
      <c r="Q108" s="193"/>
      <c r="R108" s="193"/>
      <c r="S108" s="193"/>
      <c r="T108" s="193"/>
      <c r="U108" s="193"/>
      <c r="V108" s="193"/>
      <c r="W108" s="193"/>
      <c r="X108" s="193"/>
      <c r="Y108" s="193"/>
      <c r="Z108" s="193"/>
      <c r="AA108" s="193"/>
      <c r="AB108" s="193"/>
      <c r="AC108" s="193"/>
      <c r="AD108" s="193"/>
    </row>
    <row r="109" spans="2:30" ht="19.899999999999999" customHeight="1">
      <c r="B109" s="2" t="s">
        <v>64</v>
      </c>
      <c r="G109" s="193"/>
      <c r="H109" s="193"/>
      <c r="I109" s="193"/>
      <c r="J109" s="193"/>
      <c r="K109" s="193"/>
      <c r="L109" s="193"/>
      <c r="M109" s="193"/>
      <c r="N109" s="193"/>
      <c r="O109" s="193"/>
      <c r="P109" s="193"/>
      <c r="Q109" s="193"/>
      <c r="R109" s="193"/>
      <c r="S109" s="193"/>
      <c r="T109" s="193"/>
      <c r="U109" s="193"/>
      <c r="V109" s="193"/>
      <c r="W109" s="193"/>
      <c r="X109" s="193"/>
      <c r="Y109" s="193"/>
      <c r="Z109" s="193"/>
      <c r="AA109" s="193"/>
      <c r="AB109" s="193"/>
      <c r="AC109" s="193"/>
      <c r="AD109" s="193"/>
    </row>
    <row r="110" spans="2:30" ht="19.899999999999999" customHeight="1">
      <c r="B110" s="2" t="s">
        <v>42</v>
      </c>
      <c r="G110" s="193"/>
      <c r="H110" s="193"/>
      <c r="I110" s="193"/>
      <c r="J110" s="193"/>
      <c r="K110" s="193"/>
      <c r="L110" s="193"/>
      <c r="M110" s="193"/>
      <c r="N110" s="193"/>
      <c r="O110" s="193"/>
      <c r="P110" s="193"/>
      <c r="Q110" s="193"/>
      <c r="R110" s="193"/>
      <c r="S110" s="193"/>
      <c r="T110" s="193"/>
      <c r="U110" s="193"/>
      <c r="V110" s="193"/>
      <c r="W110" s="193"/>
      <c r="X110" s="193"/>
      <c r="Y110" s="193"/>
      <c r="Z110" s="193"/>
      <c r="AA110" s="193"/>
      <c r="AB110" s="193"/>
      <c r="AC110" s="193"/>
      <c r="AD110" s="193"/>
    </row>
    <row r="111" spans="2:30" ht="19.899999999999999" customHeight="1">
      <c r="B111" s="2" t="s">
        <v>44</v>
      </c>
      <c r="G111" s="193"/>
      <c r="H111" s="193"/>
      <c r="I111" s="193"/>
      <c r="J111" s="193"/>
      <c r="K111" s="193"/>
      <c r="L111" s="193"/>
      <c r="M111" s="193"/>
      <c r="N111" s="193"/>
      <c r="O111" s="193"/>
      <c r="P111" s="193"/>
      <c r="Q111" s="193"/>
      <c r="R111" s="193"/>
      <c r="S111" s="193"/>
      <c r="T111" s="193"/>
      <c r="U111" s="193"/>
      <c r="V111" s="193"/>
      <c r="W111" s="193"/>
      <c r="X111" s="193"/>
      <c r="Y111" s="193"/>
      <c r="Z111" s="193"/>
      <c r="AA111" s="193"/>
      <c r="AB111" s="193"/>
      <c r="AC111" s="193"/>
      <c r="AD111" s="193"/>
    </row>
    <row r="112" spans="2:30" ht="19.899999999999999" customHeight="1">
      <c r="B112" s="2" t="s">
        <v>46</v>
      </c>
      <c r="G112" s="193"/>
      <c r="H112" s="193"/>
      <c r="I112" s="193"/>
      <c r="J112" s="193"/>
      <c r="K112" s="193"/>
      <c r="L112" s="193"/>
      <c r="M112" s="193"/>
      <c r="N112" s="193"/>
      <c r="O112" s="193"/>
      <c r="P112" s="193"/>
      <c r="Q112" s="193"/>
      <c r="R112" s="193"/>
      <c r="S112" s="193"/>
      <c r="T112" s="193"/>
      <c r="U112" s="193"/>
      <c r="V112" s="193"/>
      <c r="W112" s="193"/>
      <c r="X112" s="193"/>
      <c r="Y112" s="193"/>
      <c r="Z112" s="193"/>
      <c r="AA112" s="193"/>
      <c r="AB112" s="193"/>
      <c r="AC112" s="193"/>
      <c r="AD112" s="193"/>
    </row>
    <row r="113" spans="2:30" ht="19.899999999999999" customHeight="1">
      <c r="B113" s="2" t="s">
        <v>49</v>
      </c>
      <c r="G113" s="193"/>
      <c r="H113" s="193"/>
      <c r="I113" s="193"/>
      <c r="J113" s="193"/>
      <c r="K113" s="193"/>
      <c r="L113" s="193"/>
      <c r="M113" s="193"/>
      <c r="N113" s="193"/>
      <c r="O113" s="193"/>
      <c r="P113" s="193"/>
      <c r="Q113" s="193"/>
      <c r="R113" s="193"/>
      <c r="S113" s="193"/>
      <c r="T113" s="193"/>
      <c r="U113" s="193"/>
      <c r="V113" s="193"/>
      <c r="W113" s="193"/>
      <c r="X113" s="193"/>
      <c r="Y113" s="193"/>
      <c r="Z113" s="193"/>
      <c r="AA113" s="193"/>
      <c r="AB113" s="193"/>
      <c r="AC113" s="193"/>
      <c r="AD113" s="193"/>
    </row>
    <row r="114" spans="2:30" ht="19.899999999999999" customHeight="1">
      <c r="B114" s="2" t="s">
        <v>50</v>
      </c>
      <c r="G114" s="193"/>
      <c r="H114" s="193"/>
      <c r="I114" s="193"/>
      <c r="J114" s="193"/>
      <c r="K114" s="193"/>
      <c r="L114" s="193"/>
      <c r="M114" s="193"/>
      <c r="N114" s="193"/>
      <c r="O114" s="193"/>
      <c r="P114" s="193"/>
      <c r="Q114" s="193"/>
      <c r="R114" s="193"/>
      <c r="S114" s="193"/>
      <c r="T114" s="193"/>
      <c r="U114" s="193"/>
      <c r="V114" s="193"/>
      <c r="W114" s="193"/>
      <c r="X114" s="193"/>
      <c r="Y114" s="193"/>
      <c r="Z114" s="193"/>
      <c r="AA114" s="193"/>
      <c r="AB114" s="193"/>
      <c r="AC114" s="193"/>
      <c r="AD114" s="193"/>
    </row>
    <row r="115" spans="2:30" ht="19.899999999999999" customHeight="1">
      <c r="B115" s="2" t="s">
        <v>52</v>
      </c>
      <c r="G115" s="193"/>
      <c r="H115" s="193"/>
      <c r="I115" s="193"/>
      <c r="J115" s="193"/>
      <c r="K115" s="193"/>
      <c r="L115" s="193"/>
      <c r="M115" s="193"/>
      <c r="N115" s="193"/>
      <c r="O115" s="193"/>
      <c r="P115" s="193"/>
      <c r="Q115" s="193"/>
      <c r="R115" s="193"/>
      <c r="S115" s="193"/>
      <c r="T115" s="193"/>
      <c r="U115" s="193"/>
      <c r="V115" s="193"/>
      <c r="W115" s="193"/>
      <c r="X115" s="193"/>
      <c r="Y115" s="193"/>
      <c r="Z115" s="193"/>
      <c r="AA115" s="193"/>
      <c r="AB115" s="193"/>
      <c r="AC115" s="193"/>
      <c r="AD115" s="193"/>
    </row>
    <row r="116" spans="2:30" ht="19.899999999999999" customHeight="1">
      <c r="B116" s="2" t="s">
        <v>53</v>
      </c>
      <c r="G116" s="193"/>
      <c r="H116" s="193"/>
      <c r="I116" s="193"/>
      <c r="J116" s="193"/>
      <c r="K116" s="193"/>
      <c r="L116" s="193"/>
      <c r="M116" s="193"/>
      <c r="N116" s="193"/>
      <c r="O116" s="193"/>
      <c r="P116" s="193"/>
      <c r="Q116" s="193"/>
      <c r="R116" s="193"/>
      <c r="S116" s="193"/>
      <c r="T116" s="193"/>
      <c r="U116" s="193"/>
      <c r="V116" s="193"/>
      <c r="W116" s="193"/>
      <c r="X116" s="193"/>
      <c r="Y116" s="193"/>
      <c r="Z116" s="193"/>
      <c r="AA116" s="193"/>
      <c r="AB116" s="193"/>
      <c r="AC116" s="193"/>
      <c r="AD116" s="193"/>
    </row>
    <row r="117" spans="2:30" ht="19.899999999999999" customHeight="1">
      <c r="B117" s="2" t="s">
        <v>54</v>
      </c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  <c r="V117" s="193"/>
      <c r="W117" s="193"/>
      <c r="X117" s="193"/>
      <c r="Y117" s="193"/>
      <c r="Z117" s="193"/>
      <c r="AA117" s="193"/>
      <c r="AB117" s="193"/>
      <c r="AC117" s="193"/>
      <c r="AD117" s="193"/>
    </row>
    <row r="118" spans="2:30" ht="19.899999999999999" customHeight="1">
      <c r="B118" s="2" t="s">
        <v>71</v>
      </c>
      <c r="G118" s="193"/>
      <c r="H118" s="193"/>
      <c r="I118" s="193"/>
      <c r="J118" s="193"/>
      <c r="K118" s="193"/>
      <c r="L118" s="193"/>
      <c r="M118" s="193"/>
      <c r="N118" s="193"/>
      <c r="O118" s="193"/>
      <c r="P118" s="193"/>
      <c r="Q118" s="193"/>
      <c r="R118" s="193"/>
      <c r="S118" s="193"/>
      <c r="T118" s="193"/>
      <c r="U118" s="193"/>
      <c r="V118" s="193"/>
      <c r="W118" s="193"/>
      <c r="X118" s="193"/>
      <c r="Y118" s="193"/>
      <c r="Z118" s="193"/>
      <c r="AA118" s="193"/>
      <c r="AB118" s="193"/>
      <c r="AC118" s="193"/>
      <c r="AD118" s="193"/>
    </row>
    <row r="119" spans="2:30" ht="19.899999999999999" customHeight="1">
      <c r="B119" s="2" t="s">
        <v>73</v>
      </c>
      <c r="G119" s="193"/>
      <c r="H119" s="193"/>
      <c r="I119" s="193"/>
      <c r="J119" s="193"/>
      <c r="K119" s="193"/>
      <c r="L119" s="193"/>
      <c r="M119" s="193"/>
      <c r="N119" s="193"/>
      <c r="O119" s="193"/>
      <c r="P119" s="193"/>
      <c r="Q119" s="193"/>
      <c r="R119" s="193"/>
      <c r="S119" s="193"/>
      <c r="T119" s="193"/>
      <c r="U119" s="193"/>
      <c r="V119" s="193"/>
      <c r="W119" s="193"/>
      <c r="X119" s="193"/>
      <c r="Y119" s="193"/>
      <c r="Z119" s="193"/>
      <c r="AA119" s="193"/>
      <c r="AB119" s="193"/>
      <c r="AC119" s="193"/>
      <c r="AD119" s="193"/>
    </row>
    <row r="120" spans="2:30" ht="19.899999999999999" customHeight="1">
      <c r="B120" s="2" t="s">
        <v>75</v>
      </c>
      <c r="G120" s="193"/>
      <c r="H120" s="193"/>
      <c r="I120" s="193"/>
      <c r="J120" s="193"/>
      <c r="K120" s="193"/>
      <c r="L120" s="193"/>
      <c r="M120" s="193"/>
      <c r="N120" s="193"/>
      <c r="O120" s="193"/>
      <c r="P120" s="193"/>
      <c r="Q120" s="193"/>
      <c r="R120" s="193"/>
      <c r="S120" s="193"/>
      <c r="T120" s="193"/>
      <c r="U120" s="193"/>
      <c r="V120" s="193"/>
      <c r="W120" s="193"/>
      <c r="X120" s="193"/>
      <c r="Y120" s="193"/>
      <c r="Z120" s="193"/>
      <c r="AA120" s="193"/>
      <c r="AB120" s="193"/>
      <c r="AC120" s="193"/>
      <c r="AD120" s="193"/>
    </row>
    <row r="121" spans="2:30" ht="19.899999999999999" customHeight="1">
      <c r="B121" s="2" t="s">
        <v>77</v>
      </c>
      <c r="G121" s="193"/>
      <c r="H121" s="193"/>
      <c r="I121" s="193"/>
      <c r="J121" s="193"/>
      <c r="K121" s="193"/>
      <c r="L121" s="193"/>
      <c r="M121" s="193"/>
      <c r="N121" s="193"/>
      <c r="O121" s="193"/>
      <c r="P121" s="193"/>
      <c r="Q121" s="193"/>
      <c r="R121" s="193"/>
      <c r="S121" s="193"/>
      <c r="T121" s="193"/>
      <c r="U121" s="193"/>
      <c r="V121" s="193"/>
      <c r="W121" s="193"/>
      <c r="X121" s="193"/>
      <c r="Y121" s="193"/>
      <c r="Z121" s="193"/>
      <c r="AA121" s="193"/>
      <c r="AB121" s="193"/>
      <c r="AC121" s="193"/>
      <c r="AD121" s="193"/>
    </row>
    <row r="122" spans="2:30" ht="19.899999999999999" customHeight="1">
      <c r="B122" s="2" t="s">
        <v>104</v>
      </c>
      <c r="G122" s="193"/>
      <c r="H122" s="193"/>
      <c r="I122" s="193"/>
      <c r="J122" s="193"/>
      <c r="K122" s="193"/>
      <c r="L122" s="193"/>
      <c r="M122" s="193"/>
      <c r="N122" s="193"/>
      <c r="O122" s="193"/>
      <c r="P122" s="193"/>
      <c r="Q122" s="193"/>
      <c r="R122" s="193"/>
      <c r="S122" s="193"/>
      <c r="T122" s="193"/>
      <c r="U122" s="193"/>
      <c r="V122" s="193"/>
      <c r="W122" s="193"/>
      <c r="X122" s="193"/>
      <c r="Y122" s="193"/>
      <c r="Z122" s="193"/>
      <c r="AA122" s="193"/>
      <c r="AB122" s="193"/>
      <c r="AC122" s="193"/>
      <c r="AD122" s="193"/>
    </row>
    <row r="123" spans="2:30" ht="19.899999999999999" customHeight="1">
      <c r="B123" s="2" t="s">
        <v>55</v>
      </c>
    </row>
    <row r="124" spans="2:30" ht="19.899999999999999" customHeight="1">
      <c r="B124" s="2" t="s">
        <v>56</v>
      </c>
    </row>
    <row r="125" spans="2:30">
      <c r="B125" s="2" t="s">
        <v>103</v>
      </c>
    </row>
    <row r="126" spans="2:30">
      <c r="B126" s="2" t="s">
        <v>0</v>
      </c>
    </row>
  </sheetData>
  <mergeCells count="12">
    <mergeCell ref="G2:H2"/>
    <mergeCell ref="I2:J2"/>
    <mergeCell ref="K2:L2"/>
    <mergeCell ref="M2:N2"/>
    <mergeCell ref="O2:P2"/>
    <mergeCell ref="AA2:AB2"/>
    <mergeCell ref="AC2:AD2"/>
    <mergeCell ref="Q2:R2"/>
    <mergeCell ref="S2:T2"/>
    <mergeCell ref="U2:V2"/>
    <mergeCell ref="W2:X2"/>
    <mergeCell ref="Y2:Z2"/>
  </mergeCells>
  <pageMargins left="0.70866141732283505" right="0.70866141732283505" top="0.74803149606299202" bottom="0.74803149606299202" header="0.31496062992126" footer="0.31496062992126"/>
  <pageSetup paperSize="9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B24EDB465323845A68F49B67C0FBEEF" ma:contentTypeVersion="17" ma:contentTypeDescription="Tạo tài liệu mới." ma:contentTypeScope="" ma:versionID="fb78d401d9d72b8ffc92b58cc6f078ab">
  <xsd:schema xmlns:xsd="http://www.w3.org/2001/XMLSchema" xmlns:xs="http://www.w3.org/2001/XMLSchema" xmlns:p="http://schemas.microsoft.com/office/2006/metadata/properties" xmlns:ns2="c3666f02-6a17-4b93-8e4f-4f8c851bed15" xmlns:ns3="a67f3886-f84f-4ade-a9df-8a61292dc710" targetNamespace="http://schemas.microsoft.com/office/2006/metadata/properties" ma:root="true" ma:fieldsID="d56795d3e0d57429ef35d8f83f88288a" ns2:_="" ns3:_="">
    <xsd:import namespace="c3666f02-6a17-4b93-8e4f-4f8c851bed15"/>
    <xsd:import namespace="a67f3886-f84f-4ade-a9df-8a61292dc7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666f02-6a17-4b93-8e4f-4f8c851bed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f3886-f84f-4ade-a9df-8a61292dc71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014EA23-C326-46D1-9B48-015CB0DBBDF0}"/>
</file>

<file path=customXml/itemProps2.xml><?xml version="1.0" encoding="utf-8"?>
<ds:datastoreItem xmlns:ds="http://schemas.openxmlformats.org/officeDocument/2006/customXml" ds:itemID="{33DB6C3A-8D0B-4CB1-B2F6-C1662DBD3E1F}"/>
</file>

<file path=customXml/itemProps3.xml><?xml version="1.0" encoding="utf-8"?>
<ds:datastoreItem xmlns:ds="http://schemas.openxmlformats.org/officeDocument/2006/customXml" ds:itemID="{754E5AE2-9D09-491E-AF8E-6916310878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減価償却費（Depreciation）</vt:lpstr>
      <vt:lpstr>固定資産金利（Interest）</vt:lpstr>
      <vt:lpstr>水道光熱費（Electric &amp; Water）</vt:lpstr>
      <vt:lpstr>B&amp;L</vt:lpstr>
      <vt:lpstr>E&amp;W</vt:lpstr>
      <vt:lpstr>'B&amp;L'!Print_Area</vt:lpstr>
      <vt:lpstr>'E&amp;W'!Print_Area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Morita，Kiyohide(守田清秀)</dc:creator>
  <cp:lastModifiedBy>Nguyễn Thị Thiện Duyên(Nguyen Thi Thien Duyen)</cp:lastModifiedBy>
  <cp:lastPrinted>2024-11-19T03:06:29Z</cp:lastPrinted>
  <dcterms:created xsi:type="dcterms:W3CDTF">2013-02-01T02:30:29Z</dcterms:created>
  <dcterms:modified xsi:type="dcterms:W3CDTF">2025-01-03T10:32:22Z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0x010100DB24EDB465323845A68F49B67C0FBEEF</vt:lpwstr>
  </property>
</Properties>
</file>