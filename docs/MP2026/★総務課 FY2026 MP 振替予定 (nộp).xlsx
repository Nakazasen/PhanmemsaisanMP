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227"/>
  <workbookPr defaultThemeVersion="124226"/>
  <mc:AlternateContent xmlns:mc="http://schemas.openxmlformats.org/markup-compatibility/2006">
    <mc:Choice Requires="x15">
      <x15ac:absPath xmlns:x15ac="http://schemas.microsoft.com/office/spreadsheetml/2010/11/ac" url="https://kdcf.sharepoint.com/sites/kdtvn_PCD/K hoch chi ph/02  ◆FY2026 MP ◆換算レート（Tỷ giá ngoại tệ ）=25,390VND/"/>
    </mc:Choice>
  </mc:AlternateContent>
  <xr:revisionPtr revIDLastSave="3" documentId="13_ncr:1_{BA825AB2-3228-45F0-8D13-2892802DDD7A}" xr6:coauthVersionLast="47" xr6:coauthVersionMax="47" xr10:uidLastSave="{D8A177E7-EA76-43F7-9377-73E35878315F}"/>
  <bookViews>
    <workbookView xWindow="-120" yWindow="-120" windowWidth="29040" windowHeight="15720" xr2:uid="{00000000-000D-0000-FFFF-FFFF00000000}"/>
  </bookViews>
  <sheets>
    <sheet name="FY2026予定" sheetId="1" r:id="rId1"/>
    <sheet name="Cách tính phân bổ 振替計算" sheetId="2" r:id="rId2"/>
    <sheet name="Tính gas" sheetId="4" state="hidden" r:id="rId3"/>
    <sheet name="Tính NRT, GVS" sheetId="11" state="hidden" r:id="rId4"/>
    <sheet name="Tính bus VN" sheetId="10" state="hidden" r:id="rId5"/>
    <sheet name="Dự kiến tuyển dụng" sheetId="7" state="hidden" r:id="rId6"/>
    <sheet name="Số ngày xe bus" sheetId="3" state="hidden" r:id="rId7"/>
  </sheets>
  <externalReferences>
    <externalReference r:id="rId8"/>
    <externalReference r:id="rId9"/>
    <externalReference r:id="rId10"/>
    <externalReference r:id="rId11"/>
    <externalReference r:id="rId12"/>
    <externalReference r:id="rId13"/>
  </externalReferences>
  <definedNames>
    <definedName name="____DAT1" localSheetId="4">#REF!</definedName>
    <definedName name="____DAT1" localSheetId="3">#REF!</definedName>
    <definedName name="____DAT1">#REF!</definedName>
    <definedName name="____DAT10" localSheetId="4">#REF!</definedName>
    <definedName name="____DAT10" localSheetId="3">#REF!</definedName>
    <definedName name="____DAT10">#REF!</definedName>
    <definedName name="____DAT11" localSheetId="4">#REF!</definedName>
    <definedName name="____DAT11" localSheetId="3">#REF!</definedName>
    <definedName name="____DAT11">#REF!</definedName>
    <definedName name="____DAT12" localSheetId="4">#REF!</definedName>
    <definedName name="____DAT12" localSheetId="3">#REF!</definedName>
    <definedName name="____DAT12">#REF!</definedName>
    <definedName name="____DAT2" localSheetId="4">#REF!</definedName>
    <definedName name="____DAT2" localSheetId="3">#REF!</definedName>
    <definedName name="____DAT2">#REF!</definedName>
    <definedName name="____DAT3" localSheetId="4">#REF!</definedName>
    <definedName name="____DAT3" localSheetId="3">#REF!</definedName>
    <definedName name="____DAT3">#REF!</definedName>
    <definedName name="____DAT4" localSheetId="4">#REF!</definedName>
    <definedName name="____DAT4" localSheetId="3">#REF!</definedName>
    <definedName name="____DAT4">#REF!</definedName>
    <definedName name="____DAT5" localSheetId="4">#REF!</definedName>
    <definedName name="____DAT5" localSheetId="3">#REF!</definedName>
    <definedName name="____DAT5">#REF!</definedName>
    <definedName name="____DAT6" localSheetId="4">#REF!</definedName>
    <definedName name="____DAT6" localSheetId="3">#REF!</definedName>
    <definedName name="____DAT6">#REF!</definedName>
    <definedName name="____DAT7" localSheetId="4">#REF!</definedName>
    <definedName name="____DAT7" localSheetId="3">#REF!</definedName>
    <definedName name="____DAT7">#REF!</definedName>
    <definedName name="____DAT8" localSheetId="4">#REF!</definedName>
    <definedName name="____DAT8" localSheetId="3">#REF!</definedName>
    <definedName name="____DAT8">#REF!</definedName>
    <definedName name="____DAT9" localSheetId="4">#REF!</definedName>
    <definedName name="____DAT9" localSheetId="3">#REF!</definedName>
    <definedName name="____DAT9">#REF!</definedName>
    <definedName name="___DAT1" localSheetId="4">#REF!</definedName>
    <definedName name="___DAT1" localSheetId="3">#REF!</definedName>
    <definedName name="___DAT1">#REF!</definedName>
    <definedName name="___DAT10" localSheetId="4">#REF!</definedName>
    <definedName name="___DAT10" localSheetId="3">#REF!</definedName>
    <definedName name="___DAT10">#REF!</definedName>
    <definedName name="___DAT11" localSheetId="4">#REF!</definedName>
    <definedName name="___DAT11" localSheetId="3">#REF!</definedName>
    <definedName name="___DAT11">#REF!</definedName>
    <definedName name="___DAT12" localSheetId="4">#REF!</definedName>
    <definedName name="___DAT12" localSheetId="3">#REF!</definedName>
    <definedName name="___DAT12">#REF!</definedName>
    <definedName name="___DAT2" localSheetId="4">#REF!</definedName>
    <definedName name="___DAT2" localSheetId="3">#REF!</definedName>
    <definedName name="___DAT2">#REF!</definedName>
    <definedName name="___DAT3" localSheetId="4">#REF!</definedName>
    <definedName name="___DAT3" localSheetId="3">#REF!</definedName>
    <definedName name="___DAT3">#REF!</definedName>
    <definedName name="___DAT4" localSheetId="4">#REF!</definedName>
    <definedName name="___DAT4" localSheetId="3">#REF!</definedName>
    <definedName name="___DAT4">#REF!</definedName>
    <definedName name="___DAT5" localSheetId="4">#REF!</definedName>
    <definedName name="___DAT5" localSheetId="3">#REF!</definedName>
    <definedName name="___DAT5">#REF!</definedName>
    <definedName name="___DAT6" localSheetId="4">#REF!</definedName>
    <definedName name="___DAT6" localSheetId="3">#REF!</definedName>
    <definedName name="___DAT6">#REF!</definedName>
    <definedName name="___DAT7" localSheetId="4">#REF!</definedName>
    <definedName name="___DAT7" localSheetId="3">#REF!</definedName>
    <definedName name="___DAT7">#REF!</definedName>
    <definedName name="___DAT8" localSheetId="4">#REF!</definedName>
    <definedName name="___DAT8" localSheetId="3">#REF!</definedName>
    <definedName name="___DAT8">#REF!</definedName>
    <definedName name="___DAT9" localSheetId="4">#REF!</definedName>
    <definedName name="___DAT9" localSheetId="3">#REF!</definedName>
    <definedName name="___DAT9">#REF!</definedName>
    <definedName name="__DAT1" localSheetId="4">#REF!</definedName>
    <definedName name="__DAT1" localSheetId="3">#REF!</definedName>
    <definedName name="__DAT1">#REF!</definedName>
    <definedName name="__DAT10" localSheetId="4">#REF!</definedName>
    <definedName name="__DAT10" localSheetId="3">#REF!</definedName>
    <definedName name="__DAT10">#REF!</definedName>
    <definedName name="__DAT11" localSheetId="4">#REF!</definedName>
    <definedName name="__DAT11" localSheetId="3">#REF!</definedName>
    <definedName name="__DAT11">#REF!</definedName>
    <definedName name="__DAT12" localSheetId="4">#REF!</definedName>
    <definedName name="__DAT12" localSheetId="3">#REF!</definedName>
    <definedName name="__DAT12">#REF!</definedName>
    <definedName name="__DAT2" localSheetId="4">#REF!</definedName>
    <definedName name="__DAT2" localSheetId="3">#REF!</definedName>
    <definedName name="__DAT2">#REF!</definedName>
    <definedName name="__DAT3" localSheetId="4">#REF!</definedName>
    <definedName name="__DAT3" localSheetId="3">#REF!</definedName>
    <definedName name="__DAT3">#REF!</definedName>
    <definedName name="__DAT4" localSheetId="4">#REF!</definedName>
    <definedName name="__DAT4" localSheetId="3">#REF!</definedName>
    <definedName name="__DAT4">#REF!</definedName>
    <definedName name="__DAT5" localSheetId="4">#REF!</definedName>
    <definedName name="__DAT5" localSheetId="3">#REF!</definedName>
    <definedName name="__DAT5">#REF!</definedName>
    <definedName name="__DAT6" localSheetId="4">#REF!</definedName>
    <definedName name="__DAT6" localSheetId="3">#REF!</definedName>
    <definedName name="__DAT6">#REF!</definedName>
    <definedName name="__DAT7" localSheetId="4">#REF!</definedName>
    <definedName name="__DAT7" localSheetId="3">#REF!</definedName>
    <definedName name="__DAT7">#REF!</definedName>
    <definedName name="__DAT8" localSheetId="4">#REF!</definedName>
    <definedName name="__DAT8" localSheetId="3">#REF!</definedName>
    <definedName name="__DAT8">#REF!</definedName>
    <definedName name="__DAT9" localSheetId="4">#REF!</definedName>
    <definedName name="__DAT9" localSheetId="3">#REF!</definedName>
    <definedName name="__DAT9">#REF!</definedName>
    <definedName name="_DAT1" localSheetId="4">#REF!</definedName>
    <definedName name="_DAT1" localSheetId="3">#REF!</definedName>
    <definedName name="_DAT1">#REF!</definedName>
    <definedName name="_DAT10" localSheetId="4">#REF!</definedName>
    <definedName name="_DAT10" localSheetId="3">#REF!</definedName>
    <definedName name="_DAT10">#REF!</definedName>
    <definedName name="_DAT11" localSheetId="4">#REF!</definedName>
    <definedName name="_DAT11" localSheetId="3">#REF!</definedName>
    <definedName name="_DAT11">#REF!</definedName>
    <definedName name="_DAT12" localSheetId="4">#REF!</definedName>
    <definedName name="_DAT12" localSheetId="3">#REF!</definedName>
    <definedName name="_DAT12">#REF!</definedName>
    <definedName name="_DAT2" localSheetId="4">#REF!</definedName>
    <definedName name="_DAT2" localSheetId="3">#REF!</definedName>
    <definedName name="_DAT2">#REF!</definedName>
    <definedName name="_DAT3" localSheetId="4">#REF!</definedName>
    <definedName name="_DAT3" localSheetId="3">#REF!</definedName>
    <definedName name="_DAT3">#REF!</definedName>
    <definedName name="_DAT4" localSheetId="4">#REF!</definedName>
    <definedName name="_DAT4" localSheetId="3">#REF!</definedName>
    <definedName name="_DAT4">#REF!</definedName>
    <definedName name="_DAT5" localSheetId="4">#REF!</definedName>
    <definedName name="_DAT5" localSheetId="3">#REF!</definedName>
    <definedName name="_DAT5">#REF!</definedName>
    <definedName name="_DAT6" localSheetId="4">#REF!</definedName>
    <definedName name="_DAT6" localSheetId="3">#REF!</definedName>
    <definedName name="_DAT6">#REF!</definedName>
    <definedName name="_DAT7" localSheetId="4">#REF!</definedName>
    <definedName name="_DAT7" localSheetId="3">#REF!</definedName>
    <definedName name="_DAT7">#REF!</definedName>
    <definedName name="_DAT8" localSheetId="4">#REF!</definedName>
    <definedName name="_DAT8" localSheetId="3">#REF!</definedName>
    <definedName name="_DAT8">#REF!</definedName>
    <definedName name="_DAT9" localSheetId="4">#REF!</definedName>
    <definedName name="_DAT9" localSheetId="3">#REF!</definedName>
    <definedName name="_DAT9">#REF!</definedName>
    <definedName name="_Fill" localSheetId="4" hidden="1">#REF!</definedName>
    <definedName name="_Fill" localSheetId="3" hidden="1">#REF!</definedName>
    <definedName name="_Fill" hidden="1">#REF!</definedName>
    <definedName name="_xlnm._FilterDatabase" localSheetId="1" hidden="1">'Cách tính phân bổ 振替計算'!$A$4:$B$44</definedName>
    <definedName name="_xlnm._FilterDatabase" localSheetId="0" hidden="1">FY2026予定!$A$4:$A$9</definedName>
    <definedName name="_Key1" localSheetId="4" hidden="1">#REF!</definedName>
    <definedName name="_Key1" localSheetId="3" hidden="1">#REF!</definedName>
    <definedName name="_Key1" hidden="1">#REF!</definedName>
    <definedName name="_Order1" hidden="1">255</definedName>
    <definedName name="_Sort" localSheetId="4" hidden="1">#REF!</definedName>
    <definedName name="_Sort" localSheetId="3" hidden="1">#REF!</definedName>
    <definedName name="_Sort" hidden="1">#REF!</definedName>
    <definedName name="a" localSheetId="1">[1]SALＡRY!#REF!</definedName>
    <definedName name="a" localSheetId="0">[2]SALＡRY!#REF!</definedName>
    <definedName name="a" localSheetId="4">[2]SALＡRY!#REF!</definedName>
    <definedName name="a" localSheetId="3">[2]SALＡRY!#REF!</definedName>
    <definedName name="a">[2]SALＡRY!#REF!</definedName>
    <definedName name="CODE" localSheetId="4">#REF!</definedName>
    <definedName name="CODE" localSheetId="3">#REF!</definedName>
    <definedName name="CODE">#REF!</definedName>
    <definedName name="DAY" localSheetId="4">#REF!</definedName>
    <definedName name="DAY" localSheetId="3">#REF!</definedName>
    <definedName name="DAY">#REF!</definedName>
    <definedName name="KYO" localSheetId="1">#REF!</definedName>
    <definedName name="KYO" localSheetId="0">#REF!</definedName>
    <definedName name="KYO" localSheetId="4">#REF!</definedName>
    <definedName name="KYO" localSheetId="3">#REF!</definedName>
    <definedName name="KYO">#REF!</definedName>
    <definedName name="Moss_headin" localSheetId="4">#REF!</definedName>
    <definedName name="Moss_headin" localSheetId="3">#REF!</definedName>
    <definedName name="Moss_headin">#REF!</definedName>
    <definedName name="Moss_heading" localSheetId="4">#REF!</definedName>
    <definedName name="Moss_heading" localSheetId="3">#REF!</definedName>
    <definedName name="Moss_heading">#REF!</definedName>
    <definedName name="NAME" localSheetId="4">#REF!</definedName>
    <definedName name="NAME" localSheetId="3">#REF!</definedName>
    <definedName name="NAME">#REF!</definedName>
    <definedName name="NO.1_Factory" localSheetId="1">[3]SALＡRY!#REF!</definedName>
    <definedName name="NO.1_Factory" localSheetId="0">[4]SALＡRY!#REF!</definedName>
    <definedName name="NO.1_Factory" localSheetId="4">[4]SALＡRY!#REF!</definedName>
    <definedName name="NO.1_Factory" localSheetId="3">[4]SALＡRY!#REF!</definedName>
    <definedName name="NO.1_Factory">[4]SALＡRY!#REF!</definedName>
    <definedName name="NO.1_Factory_" localSheetId="1">[5]SALＡRY!#REF!</definedName>
    <definedName name="NO.1_Factory_" localSheetId="0">[6]SALＡRY!#REF!</definedName>
    <definedName name="NO.1_Factory_" localSheetId="4">[6]SALＡRY!#REF!</definedName>
    <definedName name="NO.1_Factory_" localSheetId="3">[6]SALＡRY!#REF!</definedName>
    <definedName name="NO.1_Factory_">[6]SALＡRY!#REF!</definedName>
    <definedName name="NO.2_Factory_" localSheetId="1">[5]SALＡRY!#REF!</definedName>
    <definedName name="NO.2_Factory_" localSheetId="0">[6]SALＡRY!#REF!</definedName>
    <definedName name="NO.2_Factory_" localSheetId="4">[6]SALＡRY!#REF!</definedName>
    <definedName name="NO.2_Factory_" localSheetId="3">[6]SALＡRY!#REF!</definedName>
    <definedName name="NO.2_Factory_">[6]SALＡRY!#REF!</definedName>
    <definedName name="_xlnm.Print_Area" localSheetId="3">'Tính NRT, GVS'!$B$27:$P$42</definedName>
    <definedName name="Print_Tiles" localSheetId="4">#REF!</definedName>
    <definedName name="Print_Tiles" localSheetId="3">#REF!</definedName>
    <definedName name="Print_Tiles">#REF!</definedName>
    <definedName name="Q_ﾄﾞﾗﾑ社内売_塗工出荷_製品_" localSheetId="4">#REF!</definedName>
    <definedName name="Q_ﾄﾞﾗﾑ社内売_塗工出荷_製品_" localSheetId="3">#REF!</definedName>
    <definedName name="Q_ﾄﾞﾗﾑ社内売_塗工出荷_製品_">#REF!</definedName>
    <definedName name="Q_ドラム総_梱包出荷額_製品_" localSheetId="4">#REF!</definedName>
    <definedName name="Q_ドラム総_梱包出荷額_製品_" localSheetId="3">#REF!</definedName>
    <definedName name="Q_ドラム総_梱包出荷額_製品_">#REF!</definedName>
    <definedName name="Q_塗工出荷額_製品当り_ﾄﾞﾗﾑ_" localSheetId="4">#REF!</definedName>
    <definedName name="Q_塗工出荷額_製品当り_ﾄﾞﾗﾑ_" localSheetId="3">#REF!</definedName>
    <definedName name="Q_塗工出荷額_製品当り_ﾄﾞﾗﾑ_">#REF!</definedName>
    <definedName name="TEST0" localSheetId="4">#REF!</definedName>
    <definedName name="TEST0" localSheetId="3">#REF!</definedName>
    <definedName name="TEST0">#REF!</definedName>
    <definedName name="TEST1" localSheetId="4">#REF!</definedName>
    <definedName name="TEST1" localSheetId="3">#REF!</definedName>
    <definedName name="TEST1">#REF!</definedName>
    <definedName name="TESTKEYS" localSheetId="4">#REF!</definedName>
    <definedName name="TESTKEYS" localSheetId="3">#REF!</definedName>
    <definedName name="TESTKEYS">#REF!</definedName>
    <definedName name="TESTVKEY" localSheetId="4">#REF!</definedName>
    <definedName name="TESTVKEY" localSheetId="3">#REF!</definedName>
    <definedName name="TESTVKEY">#REF!</definedName>
    <definedName name="クエリー4" localSheetId="4">#REF!</definedName>
    <definedName name="クエリー4" localSheetId="3">#REF!</definedName>
    <definedName name="クエリー4">#REF!</definedName>
    <definedName name="採算表累積表" localSheetId="4">#REF!</definedName>
    <definedName name="採算表累積表" localSheetId="3">#REF!</definedName>
    <definedName name="採算表累積表">#REF!</definedName>
    <definedName name="採算表累積表1" localSheetId="4">#REF!</definedName>
    <definedName name="採算表累積表1" localSheetId="3">#REF!</definedName>
    <definedName name="採算表累積表1">#REF!</definedName>
    <definedName name="採算表累積表2" localSheetId="4">#REF!</definedName>
    <definedName name="採算表累積表2" localSheetId="3">#REF!</definedName>
    <definedName name="採算表累積表2">#REF!</definedName>
    <definedName name="採算表累積表3" localSheetId="4">#REF!</definedName>
    <definedName name="採算表累積表3" localSheetId="3">#REF!</definedName>
    <definedName name="採算表累積表3">#REF!</definedName>
    <definedName name="支給率Ａ">4.3</definedName>
    <definedName name="支給率Ｂ">6.3</definedName>
    <definedName name="実績予定表" localSheetId="4">#REF!</definedName>
    <definedName name="実績予定表" localSheetId="3">#REF!</definedName>
    <definedName name="実績予定表">#REF!</definedName>
    <definedName name="実績予定表1" localSheetId="4">#REF!</definedName>
    <definedName name="実績予定表1" localSheetId="3">#REF!</definedName>
    <definedName name="実績予定表1">#REF!</definedName>
    <definedName name="実績予定表2" localSheetId="4">#REF!</definedName>
    <definedName name="実績予定表2" localSheetId="3">#REF!</definedName>
    <definedName name="実績予定表2">#REF!</definedName>
    <definedName name="消費税" localSheetId="4">-INT(#REF!/1.05*0.05)</definedName>
    <definedName name="消費税" localSheetId="3">-INT(#REF!/1.05*0.05)</definedName>
    <definedName name="消費税">-INT(#REF!/1.05*0.05)</definedName>
    <definedName name="消費税率Ａ">1.03</definedName>
    <definedName name="消費税率Ｂ">1.05</definedName>
    <definedName name="生産5" localSheetId="4">#REF!</definedName>
    <definedName name="生産5" localSheetId="3">#REF!</definedName>
    <definedName name="生産5">#REF!</definedName>
    <definedName name="生産6" localSheetId="4">#REF!</definedName>
    <definedName name="生産6" localSheetId="3">#REF!</definedName>
    <definedName name="生産6">#REF!</definedName>
    <definedName name="生産７" localSheetId="4">#REF!</definedName>
    <definedName name="生産７" localSheetId="3">#REF!</definedName>
    <definedName name="生産７">#REF!</definedName>
    <definedName name="売上5" localSheetId="4">#REF!</definedName>
    <definedName name="売上5" localSheetId="3">#REF!</definedName>
    <definedName name="売上5">#REF!</definedName>
    <definedName name="売上6" localSheetId="4">#REF!</definedName>
    <definedName name="売上6" localSheetId="3">#REF!</definedName>
    <definedName name="売上6">#REF!</definedName>
    <definedName name="売上7" localSheetId="4">#REF!</definedName>
    <definedName name="売上7" localSheetId="3">#REF!</definedName>
    <definedName name="売上7">#REF!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8" i="2" l="1"/>
  <c r="M18" i="2"/>
  <c r="L18" i="2"/>
  <c r="K18" i="2"/>
  <c r="J18" i="2"/>
  <c r="I18" i="2"/>
  <c r="H18" i="2"/>
  <c r="G18" i="2"/>
  <c r="F18" i="2"/>
  <c r="E18" i="2"/>
  <c r="D18" i="2"/>
  <c r="C18" i="2"/>
  <c r="C21" i="2"/>
  <c r="N21" i="2" l="1"/>
  <c r="M21" i="2"/>
  <c r="L21" i="2"/>
  <c r="K21" i="2"/>
  <c r="J21" i="2"/>
  <c r="I21" i="2"/>
  <c r="H21" i="2"/>
  <c r="G21" i="2"/>
  <c r="F21" i="2"/>
  <c r="E21" i="2"/>
  <c r="D21" i="2"/>
  <c r="O40" i="11" l="1"/>
  <c r="N40" i="11"/>
  <c r="M40" i="11"/>
  <c r="L40" i="11"/>
  <c r="K40" i="11"/>
  <c r="J40" i="11"/>
  <c r="I40" i="11"/>
  <c r="H40" i="11"/>
  <c r="G40" i="11"/>
  <c r="F40" i="11"/>
  <c r="E40" i="11"/>
  <c r="D40" i="11"/>
  <c r="O33" i="11"/>
  <c r="O34" i="11" s="1"/>
  <c r="O35" i="11" s="1"/>
  <c r="N33" i="11"/>
  <c r="N34" i="11" s="1"/>
  <c r="N35" i="11" s="1"/>
  <c r="M33" i="11"/>
  <c r="M34" i="11" s="1"/>
  <c r="M35" i="11" s="1"/>
  <c r="L33" i="11"/>
  <c r="L34" i="11" s="1"/>
  <c r="L35" i="11" s="1"/>
  <c r="K33" i="11"/>
  <c r="K34" i="11" s="1"/>
  <c r="K35" i="11" s="1"/>
  <c r="J33" i="11"/>
  <c r="J34" i="11" s="1"/>
  <c r="J35" i="11" s="1"/>
  <c r="I33" i="11"/>
  <c r="I34" i="11" s="1"/>
  <c r="I35" i="11" s="1"/>
  <c r="H33" i="11"/>
  <c r="H34" i="11" s="1"/>
  <c r="H35" i="11" s="1"/>
  <c r="G33" i="11"/>
  <c r="G34" i="11" s="1"/>
  <c r="G35" i="11" s="1"/>
  <c r="F33" i="11"/>
  <c r="F34" i="11" s="1"/>
  <c r="F35" i="11" s="1"/>
  <c r="E33" i="11"/>
  <c r="E34" i="11" s="1"/>
  <c r="E35" i="11" s="1"/>
  <c r="D33" i="11"/>
  <c r="D34" i="11" s="1"/>
  <c r="D35" i="11" s="1"/>
  <c r="B33" i="11"/>
  <c r="O24" i="11"/>
  <c r="O25" i="11" s="1"/>
  <c r="I24" i="11"/>
  <c r="I25" i="11" s="1"/>
  <c r="H24" i="11"/>
  <c r="H25" i="11" s="1"/>
  <c r="G24" i="11"/>
  <c r="G25" i="11" s="1"/>
  <c r="D24" i="11"/>
  <c r="D25" i="11" s="1"/>
  <c r="O21" i="11"/>
  <c r="O22" i="11" s="1"/>
  <c r="N21" i="11"/>
  <c r="N22" i="11" s="1"/>
  <c r="N23" i="11" s="1"/>
  <c r="N24" i="11" s="1"/>
  <c r="N25" i="11" s="1"/>
  <c r="M21" i="11"/>
  <c r="M22" i="11" s="1"/>
  <c r="M23" i="11" s="1"/>
  <c r="M24" i="11" s="1"/>
  <c r="M25" i="11" s="1"/>
  <c r="L21" i="11"/>
  <c r="L22" i="11" s="1"/>
  <c r="L23" i="11" s="1"/>
  <c r="L24" i="11" s="1"/>
  <c r="L25" i="11" s="1"/>
  <c r="K21" i="11"/>
  <c r="K22" i="11" s="1"/>
  <c r="K23" i="11" s="1"/>
  <c r="K24" i="11" s="1"/>
  <c r="K25" i="11" s="1"/>
  <c r="J21" i="11"/>
  <c r="J22" i="11" s="1"/>
  <c r="J23" i="11" s="1"/>
  <c r="J24" i="11" s="1"/>
  <c r="J25" i="11" s="1"/>
  <c r="I21" i="11"/>
  <c r="I22" i="11" s="1"/>
  <c r="H21" i="11"/>
  <c r="H22" i="11" s="1"/>
  <c r="G21" i="11"/>
  <c r="G22" i="11" s="1"/>
  <c r="F21" i="11"/>
  <c r="F22" i="11" s="1"/>
  <c r="F23" i="11" s="1"/>
  <c r="F24" i="11" s="1"/>
  <c r="F25" i="11" s="1"/>
  <c r="E21" i="11"/>
  <c r="E22" i="11" s="1"/>
  <c r="E23" i="11" s="1"/>
  <c r="E24" i="11" s="1"/>
  <c r="E25" i="11" s="1"/>
  <c r="D21" i="11"/>
  <c r="D22" i="11" s="1"/>
  <c r="H14" i="11"/>
  <c r="H16" i="11" s="1"/>
  <c r="G14" i="11"/>
  <c r="G16" i="11" s="1"/>
  <c r="F14" i="11"/>
  <c r="F16" i="11" s="1"/>
  <c r="F36" i="11" l="1"/>
  <c r="F37" i="11"/>
  <c r="F38" i="11" s="1"/>
  <c r="F39" i="11" s="1"/>
  <c r="N36" i="11"/>
  <c r="N37" i="11"/>
  <c r="N38" i="11" s="1"/>
  <c r="N39" i="11" s="1"/>
  <c r="G36" i="11"/>
  <c r="G37" i="11"/>
  <c r="G38" i="11" s="1"/>
  <c r="G39" i="11" s="1"/>
  <c r="O36" i="11"/>
  <c r="O37" i="11"/>
  <c r="O38" i="11" s="1"/>
  <c r="O39" i="11" s="1"/>
  <c r="H37" i="11"/>
  <c r="H38" i="11" s="1"/>
  <c r="H39" i="11" s="1"/>
  <c r="H36" i="11"/>
  <c r="I36" i="11"/>
  <c r="I37" i="11"/>
  <c r="I38" i="11" s="1"/>
  <c r="I39" i="11" s="1"/>
  <c r="J37" i="11"/>
  <c r="J38" i="11" s="1"/>
  <c r="J39" i="11" s="1"/>
  <c r="J36" i="11"/>
  <c r="E36" i="11"/>
  <c r="E37" i="11"/>
  <c r="E38" i="11" s="1"/>
  <c r="E39" i="11" s="1"/>
  <c r="M36" i="11"/>
  <c r="M37" i="11"/>
  <c r="M38" i="11" s="1"/>
  <c r="M39" i="11" s="1"/>
  <c r="K37" i="11"/>
  <c r="K38" i="11" s="1"/>
  <c r="K39" i="11" s="1"/>
  <c r="K36" i="11"/>
  <c r="D36" i="11"/>
  <c r="D37" i="11"/>
  <c r="D38" i="11" s="1"/>
  <c r="D39" i="11" s="1"/>
  <c r="L36" i="11"/>
  <c r="L37" i="11"/>
  <c r="L38" i="11" s="1"/>
  <c r="L39" i="11" s="1"/>
  <c r="D7" i="2"/>
  <c r="E7" i="2"/>
  <c r="F7" i="2"/>
  <c r="G7" i="2"/>
  <c r="H7" i="2"/>
  <c r="I7" i="2"/>
  <c r="J7" i="2"/>
  <c r="K7" i="2"/>
  <c r="L7" i="2"/>
  <c r="M7" i="2"/>
  <c r="N7" i="2"/>
  <c r="C7" i="2"/>
  <c r="C18" i="10" l="1"/>
  <c r="M18" i="10"/>
  <c r="L18" i="10"/>
  <c r="K18" i="10"/>
  <c r="J18" i="10"/>
  <c r="I18" i="10"/>
  <c r="H18" i="10"/>
  <c r="G18" i="10"/>
  <c r="F18" i="10"/>
  <c r="E18" i="10"/>
  <c r="D18" i="10"/>
  <c r="M12" i="10"/>
  <c r="L12" i="10"/>
  <c r="K12" i="10"/>
  <c r="J12" i="10"/>
  <c r="I12" i="10"/>
  <c r="H12" i="10"/>
  <c r="G12" i="10"/>
  <c r="F12" i="10"/>
  <c r="E12" i="10"/>
  <c r="D12" i="10"/>
  <c r="C12" i="10"/>
  <c r="B12" i="10"/>
  <c r="M11" i="10"/>
  <c r="M15" i="10" s="1"/>
  <c r="L11" i="10"/>
  <c r="L15" i="10" s="1"/>
  <c r="K11" i="10"/>
  <c r="J11" i="10"/>
  <c r="I11" i="10"/>
  <c r="H11" i="10"/>
  <c r="G11" i="10"/>
  <c r="G15" i="10" s="1"/>
  <c r="F11" i="10"/>
  <c r="F15" i="10" s="1"/>
  <c r="E11" i="10"/>
  <c r="E15" i="10" s="1"/>
  <c r="D11" i="10"/>
  <c r="D15" i="10" s="1"/>
  <c r="C11" i="10"/>
  <c r="B11" i="10"/>
  <c r="M5" i="10"/>
  <c r="K5" i="10"/>
  <c r="J5" i="10"/>
  <c r="I5" i="10"/>
  <c r="E5" i="10"/>
  <c r="C5" i="10"/>
  <c r="I4" i="10"/>
  <c r="H4" i="10"/>
  <c r="G4" i="10"/>
  <c r="F4" i="10"/>
  <c r="L3" i="10"/>
  <c r="L5" i="10" s="1"/>
  <c r="K3" i="10"/>
  <c r="J3" i="10"/>
  <c r="I3" i="10"/>
  <c r="H3" i="10"/>
  <c r="H5" i="10" s="1"/>
  <c r="G3" i="10"/>
  <c r="G5" i="10" s="1"/>
  <c r="F3" i="10"/>
  <c r="F5" i="10" s="1"/>
  <c r="E3" i="10"/>
  <c r="D3" i="10"/>
  <c r="D5" i="10" s="1"/>
  <c r="C3" i="10"/>
  <c r="B3" i="10"/>
  <c r="B5" i="10" s="1"/>
  <c r="M2" i="10"/>
  <c r="M4" i="10" s="1"/>
  <c r="M8" i="10" s="1"/>
  <c r="M16" i="10" s="1"/>
  <c r="L2" i="10"/>
  <c r="L4" i="10" s="1"/>
  <c r="K2" i="10"/>
  <c r="K4" i="10" s="1"/>
  <c r="K8" i="10" s="1"/>
  <c r="J2" i="10"/>
  <c r="J4" i="10" s="1"/>
  <c r="J8" i="10" s="1"/>
  <c r="I2" i="10"/>
  <c r="H2" i="10"/>
  <c r="G2" i="10"/>
  <c r="F2" i="10"/>
  <c r="E2" i="10"/>
  <c r="E4" i="10" s="1"/>
  <c r="E8" i="10" s="1"/>
  <c r="E16" i="10" s="1"/>
  <c r="D2" i="10"/>
  <c r="D4" i="10" s="1"/>
  <c r="C2" i="10"/>
  <c r="C4" i="10" s="1"/>
  <c r="C8" i="10" s="1"/>
  <c r="B2" i="10"/>
  <c r="B4" i="10" s="1"/>
  <c r="B8" i="10" l="1"/>
  <c r="D8" i="10"/>
  <c r="I15" i="10"/>
  <c r="B15" i="10"/>
  <c r="J15" i="10"/>
  <c r="J16" i="10" s="1"/>
  <c r="J19" i="10" s="1"/>
  <c r="C15" i="10"/>
  <c r="K15" i="10"/>
  <c r="L8" i="10"/>
  <c r="I8" i="10"/>
  <c r="I16" i="10" s="1"/>
  <c r="I19" i="10" s="1"/>
  <c r="H15" i="10"/>
  <c r="K16" i="10"/>
  <c r="K19" i="10" s="1"/>
  <c r="C16" i="10"/>
  <c r="C19" i="10" s="1"/>
  <c r="H8" i="10"/>
  <c r="M19" i="10"/>
  <c r="G8" i="10"/>
  <c r="E19" i="10"/>
  <c r="F8" i="10"/>
  <c r="F16" i="10" l="1"/>
  <c r="F19" i="10" s="1"/>
  <c r="G16" i="10"/>
  <c r="G19" i="10" s="1"/>
  <c r="L16" i="10"/>
  <c r="L19" i="10" s="1"/>
  <c r="D19" i="10"/>
  <c r="D16" i="10"/>
  <c r="H16" i="10"/>
  <c r="H19" i="10" s="1"/>
  <c r="B16" i="10"/>
  <c r="B19" i="10" s="1"/>
  <c r="B13" i="4"/>
  <c r="C8" i="2" l="1"/>
  <c r="C13" i="4"/>
  <c r="D13" i="4"/>
  <c r="E13" i="4"/>
  <c r="F13" i="4"/>
  <c r="G13" i="4"/>
  <c r="H13" i="4"/>
  <c r="I13" i="4"/>
  <c r="J13" i="4"/>
  <c r="K13" i="4"/>
  <c r="L13" i="4"/>
  <c r="M13" i="4"/>
  <c r="M5" i="7" l="1"/>
  <c r="L5" i="7"/>
  <c r="K5" i="7"/>
  <c r="J5" i="7"/>
  <c r="I5" i="7"/>
  <c r="H5" i="7"/>
  <c r="G5" i="7"/>
  <c r="F5" i="7"/>
  <c r="E5" i="7"/>
  <c r="D5" i="7"/>
  <c r="C5" i="7"/>
  <c r="B5" i="7"/>
  <c r="N4" i="7"/>
  <c r="N3" i="7"/>
  <c r="N5" i="7" l="1"/>
  <c r="B5" i="4"/>
  <c r="B6" i="4" s="1"/>
  <c r="H10" i="4" l="1"/>
  <c r="H11" i="4" s="1"/>
  <c r="F10" i="4"/>
  <c r="F11" i="4" s="1"/>
  <c r="M10" i="4"/>
  <c r="M11" i="4" s="1"/>
  <c r="E10" i="4"/>
  <c r="E11" i="4" s="1"/>
  <c r="L10" i="4"/>
  <c r="L11" i="4" s="1"/>
  <c r="D10" i="4"/>
  <c r="D11" i="4" s="1"/>
  <c r="K10" i="4"/>
  <c r="K11" i="4" s="1"/>
  <c r="C10" i="4"/>
  <c r="C11" i="4" s="1"/>
  <c r="J10" i="4"/>
  <c r="J11" i="4" s="1"/>
  <c r="B10" i="4"/>
  <c r="B11" i="4" s="1"/>
  <c r="I10" i="4"/>
  <c r="I11" i="4" s="1"/>
  <c r="G10" i="4"/>
  <c r="G11" i="4" s="1"/>
  <c r="B2" i="3"/>
  <c r="C2" i="3"/>
  <c r="D2" i="3"/>
  <c r="E2" i="3"/>
  <c r="F2" i="3"/>
  <c r="G2" i="3"/>
  <c r="H2" i="3"/>
  <c r="I2" i="3"/>
  <c r="J2" i="3"/>
  <c r="K2" i="3"/>
  <c r="L2" i="3"/>
  <c r="M2" i="3"/>
  <c r="N36" i="2" l="1"/>
  <c r="N38" i="2" s="1"/>
  <c r="N39" i="2" s="1"/>
  <c r="M10" i="1" s="1"/>
  <c r="M36" i="2"/>
  <c r="M38" i="2" s="1"/>
  <c r="M39" i="2" s="1"/>
  <c r="L10" i="1" s="1"/>
  <c r="L36" i="2"/>
  <c r="L38" i="2" s="1"/>
  <c r="L39" i="2" s="1"/>
  <c r="K10" i="1" s="1"/>
  <c r="K36" i="2"/>
  <c r="K38" i="2" s="1"/>
  <c r="K39" i="2" s="1"/>
  <c r="J10" i="1" s="1"/>
  <c r="N27" i="2"/>
  <c r="N29" i="2" s="1"/>
  <c r="N30" i="2" s="1"/>
  <c r="M9" i="1" s="1"/>
  <c r="M27" i="2"/>
  <c r="M29" i="2" s="1"/>
  <c r="M30" i="2" s="1"/>
  <c r="L9" i="1" s="1"/>
  <c r="L27" i="2"/>
  <c r="L29" i="2" s="1"/>
  <c r="L30" i="2" s="1"/>
  <c r="K9" i="1" s="1"/>
  <c r="K27" i="2"/>
  <c r="K29" i="2" s="1"/>
  <c r="K30" i="2" s="1"/>
  <c r="J9" i="1" s="1"/>
  <c r="N22" i="2"/>
  <c r="N23" i="2" s="1"/>
  <c r="M8" i="1" s="1"/>
  <c r="M22" i="2"/>
  <c r="M23" i="2" s="1"/>
  <c r="L8" i="1" s="1"/>
  <c r="L22" i="2"/>
  <c r="L23" i="2" s="1"/>
  <c r="K8" i="1" s="1"/>
  <c r="K22" i="2"/>
  <c r="K23" i="2" s="1"/>
  <c r="J8" i="1" s="1"/>
  <c r="N19" i="2"/>
  <c r="N20" i="2" s="1"/>
  <c r="M7" i="1" s="1"/>
  <c r="M19" i="2"/>
  <c r="M20" i="2" s="1"/>
  <c r="L7" i="1" s="1"/>
  <c r="L19" i="2"/>
  <c r="L20" i="2" s="1"/>
  <c r="K7" i="1" s="1"/>
  <c r="K19" i="2"/>
  <c r="K20" i="2" s="1"/>
  <c r="J7" i="1" s="1"/>
  <c r="N16" i="2"/>
  <c r="N17" i="2" s="1"/>
  <c r="M16" i="2"/>
  <c r="M17" i="2" s="1"/>
  <c r="L16" i="2"/>
  <c r="L17" i="2" s="1"/>
  <c r="K16" i="2"/>
  <c r="K17" i="2" s="1"/>
  <c r="N12" i="2"/>
  <c r="N13" i="2" s="1"/>
  <c r="N14" i="2" s="1"/>
  <c r="M6" i="1" s="1"/>
  <c r="M12" i="2"/>
  <c r="M13" i="2" s="1"/>
  <c r="M14" i="2" s="1"/>
  <c r="L6" i="1" s="1"/>
  <c r="L12" i="2"/>
  <c r="L13" i="2" s="1"/>
  <c r="L14" i="2" s="1"/>
  <c r="K6" i="1" s="1"/>
  <c r="K12" i="2"/>
  <c r="K13" i="2" s="1"/>
  <c r="K14" i="2" s="1"/>
  <c r="J6" i="1" s="1"/>
  <c r="N8" i="2"/>
  <c r="N9" i="2" s="1"/>
  <c r="M5" i="1" s="1"/>
  <c r="M8" i="2"/>
  <c r="M9" i="2" s="1"/>
  <c r="L5" i="1" s="1"/>
  <c r="L8" i="2"/>
  <c r="L9" i="2" s="1"/>
  <c r="K5" i="1" s="1"/>
  <c r="K8" i="2"/>
  <c r="K9" i="2" s="1"/>
  <c r="J5" i="1" s="1"/>
  <c r="J36" i="2"/>
  <c r="J38" i="2" s="1"/>
  <c r="J39" i="2" s="1"/>
  <c r="I10" i="1" s="1"/>
  <c r="I36" i="2"/>
  <c r="I38" i="2" s="1"/>
  <c r="I39" i="2" s="1"/>
  <c r="H10" i="1" s="1"/>
  <c r="H36" i="2"/>
  <c r="H38" i="2" s="1"/>
  <c r="H39" i="2" s="1"/>
  <c r="G10" i="1" s="1"/>
  <c r="G36" i="2"/>
  <c r="G38" i="2" s="1"/>
  <c r="G39" i="2" s="1"/>
  <c r="F10" i="1" s="1"/>
  <c r="J27" i="2"/>
  <c r="J29" i="2" s="1"/>
  <c r="J30" i="2" s="1"/>
  <c r="I9" i="1" s="1"/>
  <c r="I27" i="2"/>
  <c r="I29" i="2" s="1"/>
  <c r="I30" i="2" s="1"/>
  <c r="H9" i="1" s="1"/>
  <c r="H27" i="2"/>
  <c r="H29" i="2" s="1"/>
  <c r="H30" i="2" s="1"/>
  <c r="G9" i="1" s="1"/>
  <c r="G27" i="2"/>
  <c r="G29" i="2" s="1"/>
  <c r="G30" i="2" s="1"/>
  <c r="F9" i="1" s="1"/>
  <c r="J22" i="2"/>
  <c r="J23" i="2" s="1"/>
  <c r="I8" i="1" s="1"/>
  <c r="I22" i="2"/>
  <c r="I23" i="2" s="1"/>
  <c r="H8" i="1" s="1"/>
  <c r="H22" i="2"/>
  <c r="H23" i="2" s="1"/>
  <c r="G8" i="1" s="1"/>
  <c r="G22" i="2"/>
  <c r="G23" i="2" s="1"/>
  <c r="F8" i="1" s="1"/>
  <c r="J19" i="2"/>
  <c r="J20" i="2" s="1"/>
  <c r="I7" i="1" s="1"/>
  <c r="I19" i="2"/>
  <c r="I20" i="2" s="1"/>
  <c r="H7" i="1" s="1"/>
  <c r="H19" i="2"/>
  <c r="H20" i="2" s="1"/>
  <c r="G7" i="1" s="1"/>
  <c r="G19" i="2"/>
  <c r="G20" i="2" s="1"/>
  <c r="F7" i="1" s="1"/>
  <c r="J16" i="2"/>
  <c r="J17" i="2" s="1"/>
  <c r="I16" i="2"/>
  <c r="I17" i="2" s="1"/>
  <c r="H16" i="2"/>
  <c r="H17" i="2" s="1"/>
  <c r="G16" i="2"/>
  <c r="G17" i="2" s="1"/>
  <c r="J12" i="2"/>
  <c r="J13" i="2" s="1"/>
  <c r="J14" i="2" s="1"/>
  <c r="I6" i="1" s="1"/>
  <c r="I12" i="2"/>
  <c r="I13" i="2" s="1"/>
  <c r="I14" i="2" s="1"/>
  <c r="H6" i="1" s="1"/>
  <c r="H12" i="2"/>
  <c r="H13" i="2" s="1"/>
  <c r="H14" i="2" s="1"/>
  <c r="G6" i="1" s="1"/>
  <c r="G12" i="2"/>
  <c r="G13" i="2" s="1"/>
  <c r="G14" i="2" s="1"/>
  <c r="F6" i="1" s="1"/>
  <c r="J8" i="2"/>
  <c r="J9" i="2" s="1"/>
  <c r="I5" i="1" s="1"/>
  <c r="I8" i="2"/>
  <c r="I9" i="2" s="1"/>
  <c r="H5" i="1" s="1"/>
  <c r="H8" i="2"/>
  <c r="H9" i="2" s="1"/>
  <c r="G5" i="1" s="1"/>
  <c r="G8" i="2"/>
  <c r="G9" i="2" s="1"/>
  <c r="F5" i="1" s="1"/>
  <c r="D36" i="2" l="1"/>
  <c r="D38" i="2" s="1"/>
  <c r="D39" i="2" s="1"/>
  <c r="C10" i="1" s="1"/>
  <c r="D27" i="2"/>
  <c r="D29" i="2" s="1"/>
  <c r="D30" i="2" s="1"/>
  <c r="C9" i="1" s="1"/>
  <c r="D22" i="2"/>
  <c r="D23" i="2" s="1"/>
  <c r="C8" i="1" s="1"/>
  <c r="D19" i="2"/>
  <c r="D20" i="2" s="1"/>
  <c r="C7" i="1" s="1"/>
  <c r="D16" i="2"/>
  <c r="D17" i="2" s="1"/>
  <c r="D12" i="2"/>
  <c r="D13" i="2" s="1"/>
  <c r="D14" i="2" s="1"/>
  <c r="C6" i="1" s="1"/>
  <c r="D8" i="2"/>
  <c r="D9" i="2" s="1"/>
  <c r="C5" i="1" s="1"/>
  <c r="F36" i="2" l="1"/>
  <c r="F38" i="2" s="1"/>
  <c r="F39" i="2" s="1"/>
  <c r="E10" i="1" s="1"/>
  <c r="F27" i="2"/>
  <c r="F29" i="2" s="1"/>
  <c r="F30" i="2" s="1"/>
  <c r="E9" i="1" s="1"/>
  <c r="F22" i="2"/>
  <c r="F23" i="2" s="1"/>
  <c r="E8" i="1" s="1"/>
  <c r="F19" i="2"/>
  <c r="F20" i="2" s="1"/>
  <c r="E7" i="1" s="1"/>
  <c r="F16" i="2"/>
  <c r="F17" i="2" s="1"/>
  <c r="F12" i="2"/>
  <c r="F13" i="2" s="1"/>
  <c r="F14" i="2" s="1"/>
  <c r="E6" i="1" s="1"/>
  <c r="F8" i="2"/>
  <c r="F9" i="2" s="1"/>
  <c r="E5" i="1" s="1"/>
  <c r="E36" i="2"/>
  <c r="E38" i="2" s="1"/>
  <c r="E39" i="2" s="1"/>
  <c r="D10" i="1" s="1"/>
  <c r="E27" i="2"/>
  <c r="E29" i="2" s="1"/>
  <c r="E30" i="2" s="1"/>
  <c r="D9" i="1" s="1"/>
  <c r="E22" i="2"/>
  <c r="E23" i="2" s="1"/>
  <c r="D8" i="1" s="1"/>
  <c r="E19" i="2"/>
  <c r="E20" i="2" s="1"/>
  <c r="D7" i="1" s="1"/>
  <c r="E16" i="2"/>
  <c r="E17" i="2" s="1"/>
  <c r="E12" i="2"/>
  <c r="E13" i="2" s="1"/>
  <c r="E14" i="2" s="1"/>
  <c r="D6" i="1" s="1"/>
  <c r="E8" i="2"/>
  <c r="E9" i="2" s="1"/>
  <c r="D5" i="1" s="1"/>
  <c r="C36" i="2" l="1"/>
  <c r="C38" i="2" s="1"/>
  <c r="C19" i="2" l="1"/>
  <c r="C39" i="2" l="1"/>
  <c r="C27" i="2"/>
  <c r="C29" i="2" s="1"/>
  <c r="C30" i="2" s="1"/>
  <c r="C22" i="2"/>
  <c r="C23" i="2" s="1"/>
  <c r="C20" i="2"/>
  <c r="B7" i="1" s="1"/>
  <c r="C16" i="2"/>
  <c r="C17" i="2" s="1"/>
  <c r="C12" i="2"/>
  <c r="C13" i="2" s="1"/>
  <c r="C14" i="2" s="1"/>
  <c r="B6" i="1" s="1"/>
  <c r="C9" i="2"/>
  <c r="B10" i="1" l="1"/>
  <c r="B8" i="1"/>
  <c r="B9" i="1"/>
  <c r="B5" i="1"/>
</calcChain>
</file>

<file path=xl/sharedStrings.xml><?xml version="1.0" encoding="utf-8"?>
<sst xmlns="http://schemas.openxmlformats.org/spreadsheetml/2006/main" count="205" uniqueCount="146">
  <si>
    <t>項目</t>
    <rPh sb="0" eb="2">
      <t>コウモク</t>
    </rPh>
    <phoneticPr fontId="16"/>
  </si>
  <si>
    <t>備考</t>
    <rPh sb="0" eb="2">
      <t>ビコウ</t>
    </rPh>
    <phoneticPr fontId="16"/>
  </si>
  <si>
    <t>一人当たり</t>
    <rPh sb="0" eb="3">
      <t>ヒトリア</t>
    </rPh>
    <phoneticPr fontId="16"/>
  </si>
  <si>
    <t>※食堂燃料費購入単価は、政府発表の市場価格に基づき、毎月3日改定されます。</t>
    <phoneticPr fontId="16"/>
  </si>
  <si>
    <t>計上基準</t>
  </si>
  <si>
    <t>人員数 Số người dự kiến</t>
  </si>
  <si>
    <t>ガス
Gas</t>
    <phoneticPr fontId="71"/>
  </si>
  <si>
    <t>単価 Đơn giá</t>
  </si>
  <si>
    <t>数量 Số lượng</t>
  </si>
  <si>
    <t>手洗い洗剤
Handwashing</t>
    <phoneticPr fontId="71"/>
  </si>
  <si>
    <t>合計 total</t>
    <phoneticPr fontId="71"/>
  </si>
  <si>
    <t>合計 Total VND</t>
    <phoneticPr fontId="71"/>
  </si>
  <si>
    <t>一人当たり 1 người VND</t>
  </si>
  <si>
    <t>清掃費
cleaning</t>
    <phoneticPr fontId="71"/>
  </si>
  <si>
    <t>合計 Tổng tiền VND</t>
  </si>
  <si>
    <t>Trung Kien</t>
  </si>
  <si>
    <t>人数 Số người</t>
  </si>
  <si>
    <t>Hai Anh</t>
  </si>
  <si>
    <t>※出向者送迎費は、これまで 一人一日あたり の人頭比を配信していましたが、</t>
  </si>
  <si>
    <t>※各人頭比の按分基準は 一人当たり です。</t>
  </si>
  <si>
    <t>トイレットペーパー
Toiletpaper</t>
  </si>
  <si>
    <t>Staff者送迎費
Bus cho CNV</t>
  </si>
  <si>
    <r>
      <rPr>
        <b/>
        <sz val="10"/>
        <color indexed="10"/>
        <rFont val="Times New Roman"/>
        <family val="1"/>
      </rPr>
      <t>一人当たり（一ヶ月分）</t>
    </r>
    <r>
      <rPr>
        <sz val="10"/>
        <color indexed="8"/>
        <rFont val="Times New Roman"/>
        <family val="1"/>
      </rPr>
      <t>の予定数字として連絡する方法に変更いたします。</t>
    </r>
  </si>
  <si>
    <t>Đơn giá gas thay đổi theo giá công bố của nhà nước. Thường được cập nhật vào ngày 03 hàng tháng.</t>
  </si>
  <si>
    <t>Hoang Anh</t>
  </si>
  <si>
    <t>アルコール消毒
Cồn khử trùng</t>
  </si>
  <si>
    <t>製造コード</t>
  </si>
  <si>
    <t>間接コード</t>
  </si>
  <si>
    <t>販売コード</t>
  </si>
  <si>
    <t>稼働日 Số ngày làm việc</t>
  </si>
  <si>
    <r>
      <t xml:space="preserve">一人当たり 1 người </t>
    </r>
    <r>
      <rPr>
        <b/>
        <sz val="10"/>
        <color rgb="FFFF0000"/>
        <rFont val="Times New Roman"/>
        <family val="1"/>
      </rPr>
      <t>VND</t>
    </r>
  </si>
  <si>
    <r>
      <t xml:space="preserve">合計 Tổng tiền </t>
    </r>
    <r>
      <rPr>
        <b/>
        <sz val="10"/>
        <color rgb="FFFF0000"/>
        <rFont val="Times New Roman"/>
        <family val="1"/>
      </rPr>
      <t>VND</t>
    </r>
  </si>
  <si>
    <r>
      <t xml:space="preserve">単価 Đơn giá </t>
    </r>
    <r>
      <rPr>
        <b/>
        <sz val="10"/>
        <color rgb="FFFF0000"/>
        <rFont val="Times New Roman"/>
        <family val="1"/>
      </rPr>
      <t>VND</t>
    </r>
  </si>
  <si>
    <t>配信金額 Số tiền phân bổ VND</t>
  </si>
  <si>
    <t>共通経費（総務課配賦分）</t>
  </si>
  <si>
    <t>消耗品費</t>
  </si>
  <si>
    <t>採算科目</t>
  </si>
  <si>
    <t>手数料</t>
  </si>
  <si>
    <t>水道光熱費</t>
  </si>
  <si>
    <t>福利厚生費</t>
  </si>
  <si>
    <t>食堂燃料費
Gas</t>
  </si>
  <si>
    <t>手洗い洗剤
Nước rửa tay</t>
  </si>
  <si>
    <t>トイレットペーパー
Giấy vệ sinh</t>
  </si>
  <si>
    <t>清掃費
Chi phí làm sạch</t>
  </si>
  <si>
    <t>出向者送迎費
Xe đưa đón người Nhật</t>
  </si>
  <si>
    <t>ローカル社員送迎費
Xe đưa đón người Việt</t>
  </si>
  <si>
    <t>Ngoc Quang</t>
  </si>
  <si>
    <t>T4</t>
  </si>
  <si>
    <t>T5</t>
  </si>
  <si>
    <t>T6</t>
  </si>
  <si>
    <t>T7</t>
  </si>
  <si>
    <t>T8</t>
  </si>
  <si>
    <t>T9</t>
  </si>
  <si>
    <t>T10</t>
  </si>
  <si>
    <t>T11</t>
  </si>
  <si>
    <t>T12</t>
  </si>
  <si>
    <t>FY2025</t>
  </si>
  <si>
    <t>T1</t>
  </si>
  <si>
    <t>T2</t>
  </si>
  <si>
    <t>T3</t>
  </si>
  <si>
    <t>Số tiền trung bình từ tháng 4.2023 đến tháng 1.2024</t>
  </si>
  <si>
    <t>Số tiền phân bổ thực tế/người/tháng</t>
  </si>
  <si>
    <t>người/tháng</t>
  </si>
  <si>
    <t>người/ngày</t>
  </si>
  <si>
    <t>Số ngày làm việc của FY2025</t>
  </si>
  <si>
    <t>Số người FY2025</t>
  </si>
  <si>
    <t>Tổng số bình dự tính mua cho FY25 (Dự phòng 10 bình)</t>
  </si>
  <si>
    <t>1 ngày</t>
  </si>
  <si>
    <t>Hải Anh</t>
  </si>
  <si>
    <t>Ngọc Quang</t>
  </si>
  <si>
    <t>Hành chính</t>
  </si>
  <si>
    <t>HC/ Ngày</t>
  </si>
  <si>
    <t>Đi ca</t>
  </si>
  <si>
    <t>Ca/ Ngày</t>
  </si>
  <si>
    <t>Tiền HC</t>
  </si>
  <si>
    <t>Tiền ca</t>
  </si>
  <si>
    <t>Tiền tăng ca</t>
  </si>
  <si>
    <t>Tiền sự kiện</t>
  </si>
  <si>
    <t>Tổng HA</t>
  </si>
  <si>
    <t>Tổng NQ</t>
  </si>
  <si>
    <t>Người</t>
  </si>
  <si>
    <t>Số người bus</t>
  </si>
  <si>
    <t>Tiền/người</t>
  </si>
  <si>
    <t>HC</t>
  </si>
  <si>
    <t>Ca</t>
  </si>
  <si>
    <t>4</t>
  </si>
  <si>
    <t>5</t>
  </si>
  <si>
    <t>6</t>
  </si>
  <si>
    <t>7</t>
  </si>
  <si>
    <t>8</t>
  </si>
  <si>
    <t>9</t>
  </si>
  <si>
    <t>10</t>
  </si>
  <si>
    <t>11</t>
  </si>
  <si>
    <t>12</t>
  </si>
  <si>
    <t>1</t>
  </si>
  <si>
    <t>2</t>
  </si>
  <si>
    <t>3</t>
  </si>
  <si>
    <t>合</t>
  </si>
  <si>
    <t>G5 以上</t>
  </si>
  <si>
    <t>G6, G7</t>
  </si>
  <si>
    <t>SỐ NGƯỜI</t>
  </si>
  <si>
    <t>Hand wash</t>
  </si>
  <si>
    <t xml:space="preserve">GIẤY VS </t>
  </si>
  <si>
    <t>Làm sạch</t>
  </si>
  <si>
    <t>T4.2023</t>
  </si>
  <si>
    <t>T5.2023</t>
  </si>
  <si>
    <t>T6.2023</t>
  </si>
  <si>
    <t>T7.2023</t>
  </si>
  <si>
    <t>T8.2023</t>
  </si>
  <si>
    <t>T9.2023</t>
  </si>
  <si>
    <t>T10.2023</t>
  </si>
  <si>
    <t>T11.2023</t>
  </si>
  <si>
    <t>T12.2023</t>
  </si>
  <si>
    <t>Trung bình 1 người/ tháng</t>
  </si>
  <si>
    <t>Thang 4</t>
  </si>
  <si>
    <t>Thang 5</t>
  </si>
  <si>
    <t>Thang 6</t>
  </si>
  <si>
    <t>Thang 7</t>
  </si>
  <si>
    <t>Thang 8</t>
  </si>
  <si>
    <t>Thang 9</t>
  </si>
  <si>
    <t>Thang 10</t>
  </si>
  <si>
    <t>Thang 11</t>
  </si>
  <si>
    <t>Thang 12</t>
  </si>
  <si>
    <t>Thang 1</t>
  </si>
  <si>
    <t>Thang 2</t>
  </si>
  <si>
    <t>Thang 3</t>
  </si>
  <si>
    <t>Giay ve sinh</t>
  </si>
  <si>
    <t>số người đi ca</t>
  </si>
  <si>
    <t>số tiền làm ngày nghỉ</t>
  </si>
  <si>
    <t>更新日：2024年12月24日</t>
  </si>
  <si>
    <t>2025年
4月予定
Yotei 4
VND</t>
  </si>
  <si>
    <t>2025年
5月予定
Yotei 5
VND</t>
  </si>
  <si>
    <t>2025年
6月予定
Yotei 6
VND</t>
  </si>
  <si>
    <t>2025年
7月予定
Yotei 7
VND</t>
  </si>
  <si>
    <t>2025年
8月予定
Yotei 8
VND</t>
  </si>
  <si>
    <t>2025年
9月予定
Yotei 9
VND</t>
  </si>
  <si>
    <t>2025年
10月予定
Yotei 10
VND</t>
  </si>
  <si>
    <t>2025年
11月予定
Yotei 11
VND</t>
  </si>
  <si>
    <t>2025年
12月予定
Yotei 12
VND</t>
  </si>
  <si>
    <t>2026年
1月予定
Yotei 1
VND</t>
  </si>
  <si>
    <t>2026年
2月予定
Yotei 2
VND</t>
  </si>
  <si>
    <t>2026年
3月予定
Yotei 3
VND</t>
  </si>
  <si>
    <t>Gia Vu</t>
  </si>
  <si>
    <r>
      <t>振替単価は予定と同額とし、当月1日～末日購入分を前月末の実績人数（当月初の人事課の人員データ）に応じ各部門に振替。
Đ</t>
    </r>
    <r>
      <rPr>
        <sz val="10"/>
        <color theme="1"/>
        <rFont val="Calibri"/>
        <family val="2"/>
      </rPr>
      <t>ơ</t>
    </r>
    <r>
      <rPr>
        <sz val="10"/>
        <color theme="1"/>
        <rFont val="ＭＳ Ｐゴシック"/>
        <family val="3"/>
        <charset val="128"/>
        <scheme val="minor"/>
      </rPr>
      <t>n giá phân b</t>
    </r>
    <r>
      <rPr>
        <sz val="10"/>
        <color theme="1"/>
        <rFont val="Calibri"/>
        <family val="2"/>
      </rPr>
      <t>ổ</t>
    </r>
    <r>
      <rPr>
        <sz val="10"/>
        <color theme="1"/>
        <rFont val="ＭＳ Ｐゴシック"/>
        <family val="3"/>
        <charset val="128"/>
        <scheme val="minor"/>
      </rPr>
      <t xml:space="preserve"> th</t>
    </r>
    <r>
      <rPr>
        <sz val="10"/>
        <color theme="1"/>
        <rFont val="Calibri"/>
        <family val="2"/>
      </rPr>
      <t>ự</t>
    </r>
    <r>
      <rPr>
        <sz val="10"/>
        <color theme="1"/>
        <rFont val="ＭＳ Ｐゴシック"/>
        <family val="3"/>
        <charset val="128"/>
        <scheme val="minor"/>
      </rPr>
      <t>c tích gi</t>
    </r>
    <r>
      <rPr>
        <sz val="10"/>
        <color theme="1"/>
        <rFont val="Calibri"/>
        <family val="2"/>
      </rPr>
      <t>ố</t>
    </r>
    <r>
      <rPr>
        <sz val="10"/>
        <color theme="1"/>
        <rFont val="ＭＳ Ｐゴシック"/>
        <family val="3"/>
        <charset val="128"/>
        <scheme val="minor"/>
      </rPr>
      <t>ng nh</t>
    </r>
    <r>
      <rPr>
        <sz val="10"/>
        <color theme="1"/>
        <rFont val="Calibri"/>
        <family val="2"/>
      </rPr>
      <t>ư</t>
    </r>
    <r>
      <rPr>
        <sz val="10"/>
        <color theme="1"/>
        <rFont val="ＭＳ Ｐゴシック"/>
        <family val="3"/>
        <charset val="128"/>
        <scheme val="minor"/>
      </rPr>
      <t xml:space="preserve"> đ</t>
    </r>
    <r>
      <rPr>
        <sz val="10"/>
        <color theme="1"/>
        <rFont val="Calibri"/>
        <family val="2"/>
      </rPr>
      <t>ơ</t>
    </r>
    <r>
      <rPr>
        <sz val="10"/>
        <color theme="1"/>
        <rFont val="ＭＳ Ｐゴシック"/>
        <family val="3"/>
        <charset val="128"/>
        <scheme val="minor"/>
      </rPr>
      <t>n giá d</t>
    </r>
    <r>
      <rPr>
        <sz val="10"/>
        <color theme="1"/>
        <rFont val="Calibri"/>
        <family val="2"/>
      </rPr>
      <t>ự</t>
    </r>
    <r>
      <rPr>
        <sz val="10"/>
        <color theme="1"/>
        <rFont val="ＭＳ Ｐゴシック"/>
        <family val="3"/>
        <charset val="128"/>
        <scheme val="minor"/>
      </rPr>
      <t xml:space="preserve"> đ</t>
    </r>
    <r>
      <rPr>
        <sz val="10"/>
        <color theme="1"/>
        <rFont val="Calibri"/>
        <family val="2"/>
      </rPr>
      <t>ị</t>
    </r>
    <r>
      <rPr>
        <sz val="10"/>
        <color theme="1"/>
        <rFont val="ＭＳ Ｐゴシック"/>
        <family val="3"/>
        <charset val="128"/>
        <scheme val="minor"/>
      </rPr>
      <t>nh, phân b</t>
    </r>
    <r>
      <rPr>
        <sz val="10"/>
        <color theme="1"/>
        <rFont val="Calibri"/>
        <family val="2"/>
      </rPr>
      <t>ổ</t>
    </r>
    <r>
      <rPr>
        <sz val="10"/>
        <color theme="1"/>
        <rFont val="ＭＳ Ｐゴシック"/>
        <family val="3"/>
        <charset val="128"/>
        <scheme val="minor"/>
      </rPr>
      <t xml:space="preserve"> s</t>
    </r>
    <r>
      <rPr>
        <sz val="10"/>
        <color theme="1"/>
        <rFont val="Calibri"/>
        <family val="2"/>
      </rPr>
      <t>ố</t>
    </r>
    <r>
      <rPr>
        <sz val="10"/>
        <color theme="1"/>
        <rFont val="ＭＳ Ｐゴシック"/>
        <family val="3"/>
        <charset val="128"/>
        <scheme val="minor"/>
      </rPr>
      <t xml:space="preserve"> ti</t>
    </r>
    <r>
      <rPr>
        <sz val="10"/>
        <color theme="1"/>
        <rFont val="Calibri"/>
        <family val="2"/>
      </rPr>
      <t>ề</t>
    </r>
    <r>
      <rPr>
        <sz val="10"/>
        <color theme="1"/>
        <rFont val="ＭＳ Ｐゴシック"/>
        <family val="3"/>
        <charset val="128"/>
        <scheme val="minor"/>
      </rPr>
      <t>n mua trong tháng cho s</t>
    </r>
    <r>
      <rPr>
        <sz val="10"/>
        <color theme="1"/>
        <rFont val="Calibri"/>
        <family val="2"/>
      </rPr>
      <t>ố</t>
    </r>
    <r>
      <rPr>
        <sz val="10"/>
        <color theme="1"/>
        <rFont val="ＭＳ Ｐゴシック"/>
        <family val="3"/>
        <charset val="128"/>
        <scheme val="minor"/>
      </rPr>
      <t xml:space="preserve"> ng</t>
    </r>
    <r>
      <rPr>
        <sz val="10"/>
        <color theme="1"/>
        <rFont val="Calibri"/>
        <family val="2"/>
      </rPr>
      <t>ườ</t>
    </r>
    <r>
      <rPr>
        <sz val="10"/>
        <color theme="1"/>
        <rFont val="ＭＳ Ｐゴシック"/>
        <family val="3"/>
        <charset val="128"/>
        <scheme val="minor"/>
      </rPr>
      <t>i th</t>
    </r>
    <r>
      <rPr>
        <sz val="10"/>
        <color theme="1"/>
        <rFont val="Calibri"/>
        <family val="2"/>
      </rPr>
      <t>ự</t>
    </r>
    <r>
      <rPr>
        <sz val="10"/>
        <color theme="1"/>
        <rFont val="ＭＳ Ｐゴシック"/>
        <family val="3"/>
        <charset val="128"/>
        <scheme val="minor"/>
      </rPr>
      <t>c t</t>
    </r>
    <r>
      <rPr>
        <sz val="10"/>
        <color theme="1"/>
        <rFont val="Calibri"/>
        <family val="2"/>
      </rPr>
      <t>ế</t>
    </r>
    <r>
      <rPr>
        <sz val="10"/>
        <color theme="1"/>
        <rFont val="ＭＳ Ｐゴシック"/>
        <family val="3"/>
        <charset val="128"/>
        <scheme val="minor"/>
      </rPr>
      <t xml:space="preserve"> c</t>
    </r>
    <r>
      <rPr>
        <sz val="10"/>
        <color theme="1"/>
        <rFont val="Calibri"/>
        <family val="2"/>
      </rPr>
      <t>ủ</t>
    </r>
    <r>
      <rPr>
        <sz val="10"/>
        <color theme="1"/>
        <rFont val="ＭＳ Ｐゴシック"/>
        <family val="3"/>
        <charset val="128"/>
        <scheme val="minor"/>
      </rPr>
      <t>a các phòng ban cu</t>
    </r>
    <r>
      <rPr>
        <sz val="10"/>
        <color theme="1"/>
        <rFont val="Calibri"/>
        <family val="2"/>
      </rPr>
      <t>ố</t>
    </r>
    <r>
      <rPr>
        <sz val="10"/>
        <color theme="1"/>
        <rFont val="ＭＳ Ｐゴシック"/>
        <family val="3"/>
        <charset val="128"/>
        <scheme val="minor"/>
      </rPr>
      <t>i tháng tr</t>
    </r>
    <r>
      <rPr>
        <sz val="10"/>
        <color theme="1"/>
        <rFont val="Calibri"/>
        <family val="2"/>
      </rPr>
      <t>ướ</t>
    </r>
    <r>
      <rPr>
        <sz val="10"/>
        <color theme="1"/>
        <rFont val="ＭＳ Ｐゴシック"/>
        <family val="3"/>
        <charset val="128"/>
        <scheme val="minor"/>
      </rPr>
      <t>c (s</t>
    </r>
    <r>
      <rPr>
        <sz val="10"/>
        <color theme="1"/>
        <rFont val="Calibri"/>
        <family val="2"/>
      </rPr>
      <t>ố</t>
    </r>
    <r>
      <rPr>
        <sz val="10"/>
        <color theme="1"/>
        <rFont val="ＭＳ Ｐゴシック"/>
        <family val="3"/>
        <charset val="128"/>
        <scheme val="minor"/>
      </rPr>
      <t xml:space="preserve"> li</t>
    </r>
    <r>
      <rPr>
        <sz val="10"/>
        <color theme="1"/>
        <rFont val="Calibri"/>
        <family val="2"/>
      </rPr>
      <t>ệ</t>
    </r>
    <r>
      <rPr>
        <sz val="10"/>
        <color theme="1"/>
        <rFont val="ＭＳ Ｐゴシック"/>
        <family val="3"/>
        <charset val="128"/>
        <scheme val="minor"/>
      </rPr>
      <t>u c</t>
    </r>
    <r>
      <rPr>
        <sz val="10"/>
        <color theme="1"/>
        <rFont val="Calibri"/>
        <family val="2"/>
      </rPr>
      <t>ủ</t>
    </r>
    <r>
      <rPr>
        <sz val="10"/>
        <color theme="1"/>
        <rFont val="ＭＳ Ｐゴシック"/>
        <family val="3"/>
        <charset val="128"/>
        <scheme val="minor"/>
      </rPr>
      <t>a phòng nhân s</t>
    </r>
    <r>
      <rPr>
        <sz val="10"/>
        <color theme="1"/>
        <rFont val="Calibri"/>
        <family val="2"/>
      </rPr>
      <t>ự</t>
    </r>
    <r>
      <rPr>
        <sz val="10"/>
        <color theme="1"/>
        <rFont val="ＭＳ Ｐゴシック"/>
        <family val="3"/>
        <charset val="128"/>
        <scheme val="minor"/>
      </rPr>
      <t xml:space="preserve"> cung c</t>
    </r>
    <r>
      <rPr>
        <sz val="10"/>
        <color theme="1"/>
        <rFont val="Calibri"/>
        <family val="2"/>
      </rPr>
      <t>ấ</t>
    </r>
    <r>
      <rPr>
        <sz val="10"/>
        <color theme="1"/>
        <rFont val="ＭＳ Ｐゴシック"/>
        <family val="3"/>
        <charset val="128"/>
        <scheme val="minor"/>
      </rPr>
      <t>p vào đ</t>
    </r>
    <r>
      <rPr>
        <sz val="10"/>
        <color theme="1"/>
        <rFont val="Calibri"/>
        <family val="2"/>
      </rPr>
      <t>ầ</t>
    </r>
    <r>
      <rPr>
        <sz val="10"/>
        <color theme="1"/>
        <rFont val="ＭＳ Ｐゴシック"/>
        <family val="3"/>
        <charset val="128"/>
        <scheme val="minor"/>
      </rPr>
      <t>u tháng sau khi ch</t>
    </r>
    <r>
      <rPr>
        <sz val="10"/>
        <color theme="1"/>
        <rFont val="Calibri"/>
        <family val="2"/>
      </rPr>
      <t>ố</t>
    </r>
    <r>
      <rPr>
        <sz val="10"/>
        <color theme="1"/>
        <rFont val="ＭＳ Ｐゴシック"/>
        <family val="3"/>
        <charset val="128"/>
        <scheme val="minor"/>
      </rPr>
      <t>t Cost center)
計上月に組織変更がある部署は総務課までに連絡しなければなりません。総務課は該当の部署にて連絡された人数をベースに振り替えます。
Trong tháng phân b</t>
    </r>
    <r>
      <rPr>
        <sz val="10"/>
        <color theme="1"/>
        <rFont val="Calibri"/>
        <family val="2"/>
      </rPr>
      <t>ổ</t>
    </r>
    <r>
      <rPr>
        <sz val="10"/>
        <color theme="1"/>
        <rFont val="ＭＳ Ｐゴシック"/>
        <family val="3"/>
        <charset val="128"/>
        <scheme val="minor"/>
      </rPr>
      <t>, các phòng ban có s</t>
    </r>
    <r>
      <rPr>
        <sz val="10"/>
        <color theme="1"/>
        <rFont val="Calibri"/>
        <family val="2"/>
      </rPr>
      <t>ự</t>
    </r>
    <r>
      <rPr>
        <sz val="10"/>
        <color theme="1"/>
        <rFont val="ＭＳ Ｐゴシック"/>
        <family val="3"/>
        <charset val="128"/>
        <scheme val="minor"/>
      </rPr>
      <t xml:space="preserve"> thay đ</t>
    </r>
    <r>
      <rPr>
        <sz val="10"/>
        <color theme="1"/>
        <rFont val="Calibri"/>
        <family val="2"/>
      </rPr>
      <t>ổ</t>
    </r>
    <r>
      <rPr>
        <sz val="10"/>
        <color theme="1"/>
        <rFont val="ＭＳ Ｐゴシック"/>
        <family val="3"/>
        <charset val="128"/>
        <scheme val="minor"/>
      </rPr>
      <t>i v</t>
    </r>
    <r>
      <rPr>
        <sz val="10"/>
        <color theme="1"/>
        <rFont val="Calibri"/>
        <family val="2"/>
      </rPr>
      <t>ề</t>
    </r>
    <r>
      <rPr>
        <sz val="10"/>
        <color theme="1"/>
        <rFont val="ＭＳ Ｐゴシック"/>
        <family val="3"/>
        <charset val="128"/>
        <scheme val="minor"/>
      </rPr>
      <t xml:space="preserve"> s</t>
    </r>
    <r>
      <rPr>
        <sz val="10"/>
        <color theme="1"/>
        <rFont val="Calibri"/>
        <family val="2"/>
      </rPr>
      <t>ơ</t>
    </r>
    <r>
      <rPr>
        <sz val="10"/>
        <color theme="1"/>
        <rFont val="ＭＳ Ｐゴシック"/>
        <family val="3"/>
        <charset val="128"/>
        <scheme val="minor"/>
      </rPr>
      <t xml:space="preserve"> đ</t>
    </r>
    <r>
      <rPr>
        <sz val="10"/>
        <color theme="1"/>
        <rFont val="Calibri"/>
        <family val="2"/>
      </rPr>
      <t>ồ</t>
    </r>
    <r>
      <rPr>
        <sz val="10"/>
        <color theme="1"/>
        <rFont val="ＭＳ Ｐゴシック"/>
        <family val="3"/>
        <charset val="128"/>
        <scheme val="minor"/>
      </rPr>
      <t xml:space="preserve"> t</t>
    </r>
    <r>
      <rPr>
        <sz val="10"/>
        <color theme="1"/>
        <rFont val="Calibri"/>
        <family val="2"/>
      </rPr>
      <t>ổ</t>
    </r>
    <r>
      <rPr>
        <sz val="10"/>
        <color theme="1"/>
        <rFont val="ＭＳ Ｐゴシック"/>
        <family val="3"/>
        <charset val="128"/>
        <scheme val="minor"/>
      </rPr>
      <t xml:space="preserve"> ch</t>
    </r>
    <r>
      <rPr>
        <sz val="10"/>
        <color theme="1"/>
        <rFont val="Calibri"/>
        <family val="2"/>
      </rPr>
      <t>ứ</t>
    </r>
    <r>
      <rPr>
        <sz val="10"/>
        <color theme="1"/>
        <rFont val="ＭＳ Ｐゴシック"/>
        <family val="3"/>
        <charset val="128"/>
        <scheme val="minor"/>
      </rPr>
      <t>c ph</t>
    </r>
    <r>
      <rPr>
        <sz val="10"/>
        <color theme="1"/>
        <rFont val="Calibri"/>
        <family val="2"/>
      </rPr>
      <t>ả</t>
    </r>
    <r>
      <rPr>
        <sz val="10"/>
        <color theme="1"/>
        <rFont val="ＭＳ Ｐゴシック"/>
        <family val="3"/>
        <charset val="128"/>
        <scheme val="minor"/>
      </rPr>
      <t>i liên l</t>
    </r>
    <r>
      <rPr>
        <sz val="10"/>
        <color theme="1"/>
        <rFont val="Calibri"/>
        <family val="2"/>
      </rPr>
      <t>ạ</t>
    </r>
    <r>
      <rPr>
        <sz val="10"/>
        <color theme="1"/>
        <rFont val="ＭＳ Ｐゴシック"/>
        <family val="3"/>
        <charset val="128"/>
        <scheme val="minor"/>
      </rPr>
      <t>c cho phòng hành chính. Phòng hành chính s</t>
    </r>
    <r>
      <rPr>
        <sz val="10"/>
        <color theme="1"/>
        <rFont val="Calibri"/>
        <family val="2"/>
      </rPr>
      <t>ẽ</t>
    </r>
    <r>
      <rPr>
        <sz val="10"/>
        <color theme="1"/>
        <rFont val="ＭＳ Ｐゴシック"/>
        <family val="3"/>
        <charset val="128"/>
        <scheme val="minor"/>
      </rPr>
      <t xml:space="preserve"> phân b</t>
    </r>
    <r>
      <rPr>
        <sz val="10"/>
        <color theme="1"/>
        <rFont val="Calibri"/>
        <family val="2"/>
      </rPr>
      <t>ổ</t>
    </r>
    <r>
      <rPr>
        <sz val="10"/>
        <color theme="1"/>
        <rFont val="ＭＳ Ｐゴシック"/>
        <family val="3"/>
        <charset val="128"/>
        <scheme val="minor"/>
      </rPr>
      <t xml:space="preserve"> chi phí d</t>
    </r>
    <r>
      <rPr>
        <sz val="10"/>
        <color theme="1"/>
        <rFont val="Calibri"/>
        <family val="2"/>
      </rPr>
      <t>ự</t>
    </r>
    <r>
      <rPr>
        <sz val="10"/>
        <color theme="1"/>
        <rFont val="ＭＳ Ｐゴシック"/>
        <family val="3"/>
        <charset val="128"/>
        <scheme val="minor"/>
      </rPr>
      <t>a trên s</t>
    </r>
    <r>
      <rPr>
        <sz val="10"/>
        <color theme="1"/>
        <rFont val="Calibri"/>
        <family val="2"/>
      </rPr>
      <t>ố</t>
    </r>
    <r>
      <rPr>
        <sz val="10"/>
        <color theme="1"/>
        <rFont val="ＭＳ Ｐゴシック"/>
        <family val="3"/>
        <charset val="128"/>
        <scheme val="minor"/>
      </rPr>
      <t xml:space="preserve"> l</t>
    </r>
    <r>
      <rPr>
        <sz val="10"/>
        <color theme="1"/>
        <rFont val="Calibri"/>
        <family val="2"/>
      </rPr>
      <t>ượ</t>
    </r>
    <r>
      <rPr>
        <sz val="10"/>
        <color theme="1"/>
        <rFont val="ＭＳ Ｐゴシック"/>
        <family val="3"/>
        <charset val="128"/>
        <scheme val="minor"/>
      </rPr>
      <t>ng ng</t>
    </r>
    <r>
      <rPr>
        <sz val="10"/>
        <color theme="1"/>
        <rFont val="Calibri"/>
        <family val="2"/>
      </rPr>
      <t>ườ</t>
    </r>
    <r>
      <rPr>
        <sz val="10"/>
        <color theme="1"/>
        <rFont val="ＭＳ Ｐゴシック"/>
        <family val="3"/>
        <charset val="128"/>
        <scheme val="minor"/>
      </rPr>
      <t>i đ</t>
    </r>
    <r>
      <rPr>
        <sz val="10"/>
        <color theme="1"/>
        <rFont val="Calibri"/>
        <family val="2"/>
      </rPr>
      <t>ượ</t>
    </r>
    <r>
      <rPr>
        <sz val="10"/>
        <color theme="1"/>
        <rFont val="ＭＳ Ｐゴシック"/>
        <family val="3"/>
        <charset val="128"/>
        <scheme val="minor"/>
      </rPr>
      <t>c phòng ban thông báo.
*L</t>
    </r>
    <r>
      <rPr>
        <sz val="10"/>
        <color theme="1"/>
        <rFont val="Calibri"/>
        <family val="2"/>
      </rPr>
      <t>ư</t>
    </r>
    <r>
      <rPr>
        <sz val="10"/>
        <color theme="1"/>
        <rFont val="ＭＳ Ｐゴシック"/>
        <family val="3"/>
        <charset val="128"/>
        <scheme val="minor"/>
      </rPr>
      <t>u ý: Ch</t>
    </r>
    <r>
      <rPr>
        <sz val="10"/>
        <color theme="1"/>
        <rFont val="Calibri"/>
        <family val="2"/>
      </rPr>
      <t>ỉ</t>
    </r>
    <r>
      <rPr>
        <sz val="10"/>
        <color theme="1"/>
        <rFont val="ＭＳ Ｐゴシック"/>
        <family val="3"/>
        <charset val="128"/>
        <scheme val="minor"/>
      </rPr>
      <t xml:space="preserve"> tính nhân viên chính th</t>
    </r>
    <r>
      <rPr>
        <sz val="10"/>
        <color theme="1"/>
        <rFont val="Calibri"/>
        <family val="2"/>
      </rPr>
      <t>ứ</t>
    </r>
    <r>
      <rPr>
        <sz val="10"/>
        <color theme="1"/>
        <rFont val="ＭＳ Ｐゴシック"/>
        <family val="3"/>
        <charset val="128"/>
        <scheme val="minor"/>
      </rPr>
      <t>c c</t>
    </r>
    <r>
      <rPr>
        <sz val="10"/>
        <color theme="1"/>
        <rFont val="Calibri"/>
        <family val="2"/>
      </rPr>
      <t>ủ</t>
    </r>
    <r>
      <rPr>
        <sz val="10"/>
        <color theme="1"/>
        <rFont val="ＭＳ Ｐゴシック"/>
        <family val="3"/>
        <charset val="128"/>
        <scheme val="minor"/>
      </rPr>
      <t>a KDTVN (bao g</t>
    </r>
    <r>
      <rPr>
        <sz val="10"/>
        <color theme="1"/>
        <rFont val="Calibri"/>
        <family val="2"/>
      </rPr>
      <t>ồ</t>
    </r>
    <r>
      <rPr>
        <sz val="10"/>
        <color theme="1"/>
        <rFont val="ＭＳ Ｐゴシック"/>
        <family val="3"/>
        <charset val="128"/>
        <scheme val="minor"/>
      </rPr>
      <t>m bi</t>
    </r>
    <r>
      <rPr>
        <sz val="10"/>
        <color theme="1"/>
        <rFont val="Calibri"/>
        <family val="2"/>
      </rPr>
      <t>ệ</t>
    </r>
    <r>
      <rPr>
        <sz val="10"/>
        <color theme="1"/>
        <rFont val="ＭＳ Ｐゴシック"/>
        <family val="3"/>
        <charset val="128"/>
        <scheme val="minor"/>
      </rPr>
      <t>t phái) căn c</t>
    </r>
    <r>
      <rPr>
        <sz val="10"/>
        <color theme="1"/>
        <rFont val="Calibri"/>
        <family val="2"/>
      </rPr>
      <t>ứ</t>
    </r>
    <r>
      <rPr>
        <sz val="10"/>
        <color theme="1"/>
        <rFont val="ＭＳ Ｐゴシック"/>
        <family val="3"/>
        <charset val="128"/>
        <scheme val="minor"/>
      </rPr>
      <t xml:space="preserve"> trên d</t>
    </r>
    <r>
      <rPr>
        <sz val="10"/>
        <color theme="1"/>
        <rFont val="Calibri"/>
        <family val="2"/>
      </rPr>
      <t>ữ</t>
    </r>
    <r>
      <rPr>
        <sz val="10"/>
        <color theme="1"/>
        <rFont val="ＭＳ Ｐゴシック"/>
        <family val="3"/>
        <charset val="128"/>
        <scheme val="minor"/>
      </rPr>
      <t xml:space="preserve"> li</t>
    </r>
    <r>
      <rPr>
        <sz val="10"/>
        <color theme="1"/>
        <rFont val="Calibri"/>
        <family val="2"/>
      </rPr>
      <t>ệ</t>
    </r>
    <r>
      <rPr>
        <sz val="10"/>
        <color theme="1"/>
        <rFont val="ＭＳ Ｐゴシック"/>
        <family val="3"/>
        <charset val="128"/>
        <scheme val="minor"/>
      </rPr>
      <t>u do phòng Nhân s</t>
    </r>
    <r>
      <rPr>
        <sz val="10"/>
        <color theme="1"/>
        <rFont val="Calibri"/>
        <family val="2"/>
      </rPr>
      <t>ự</t>
    </r>
    <r>
      <rPr>
        <sz val="10"/>
        <color theme="1"/>
        <rFont val="ＭＳ Ｐゴシック"/>
        <family val="3"/>
        <charset val="128"/>
        <scheme val="minor"/>
      </rPr>
      <t xml:space="preserve"> cung c</t>
    </r>
    <r>
      <rPr>
        <sz val="10"/>
        <color theme="1"/>
        <rFont val="Calibri"/>
        <family val="2"/>
      </rPr>
      <t>ấ</t>
    </r>
    <r>
      <rPr>
        <sz val="10"/>
        <color theme="1"/>
        <rFont val="ＭＳ Ｐゴシック"/>
        <family val="3"/>
        <charset val="128"/>
        <scheme val="minor"/>
      </rPr>
      <t>p ch</t>
    </r>
    <r>
      <rPr>
        <sz val="10"/>
        <color theme="1"/>
        <rFont val="Calibri"/>
        <family val="2"/>
      </rPr>
      <t>ố</t>
    </r>
    <r>
      <rPr>
        <sz val="10"/>
        <color theme="1"/>
        <rFont val="ＭＳ Ｐゴシック"/>
        <family val="3"/>
        <charset val="128"/>
        <scheme val="minor"/>
      </rPr>
      <t>t Cost Center
注：人事課の人員データにはKDTVNの正社員（日本人を含む）のみ</t>
    </r>
    <phoneticPr fontId="16"/>
  </si>
  <si>
    <r>
      <t>振替単価は予定と同額とし、前月末の実績人数（当月初の人事課の人員データ）に応じ各部門に振替。 Đ</t>
    </r>
    <r>
      <rPr>
        <sz val="10"/>
        <color theme="1"/>
        <rFont val="Calibri"/>
        <family val="2"/>
      </rPr>
      <t>ơ</t>
    </r>
    <r>
      <rPr>
        <sz val="10"/>
        <color theme="1"/>
        <rFont val="ＭＳ Ｐゴシック"/>
        <family val="3"/>
        <charset val="128"/>
        <scheme val="minor"/>
      </rPr>
      <t>n giá phân b</t>
    </r>
    <r>
      <rPr>
        <sz val="10"/>
        <color theme="1"/>
        <rFont val="Calibri"/>
        <family val="2"/>
      </rPr>
      <t>ổ</t>
    </r>
    <r>
      <rPr>
        <sz val="10"/>
        <color theme="1"/>
        <rFont val="ＭＳ Ｐゴシック"/>
        <family val="3"/>
        <charset val="128"/>
        <scheme val="minor"/>
      </rPr>
      <t xml:space="preserve"> th</t>
    </r>
    <r>
      <rPr>
        <sz val="10"/>
        <color theme="1"/>
        <rFont val="Calibri"/>
        <family val="2"/>
      </rPr>
      <t>ự</t>
    </r>
    <r>
      <rPr>
        <sz val="10"/>
        <color theme="1"/>
        <rFont val="ＭＳ Ｐゴシック"/>
        <family val="3"/>
        <charset val="128"/>
        <scheme val="minor"/>
      </rPr>
      <t>c tích gi</t>
    </r>
    <r>
      <rPr>
        <sz val="10"/>
        <color theme="1"/>
        <rFont val="Calibri"/>
        <family val="2"/>
      </rPr>
      <t>ố</t>
    </r>
    <r>
      <rPr>
        <sz val="10"/>
        <color theme="1"/>
        <rFont val="ＭＳ Ｐゴシック"/>
        <family val="3"/>
        <charset val="128"/>
        <scheme val="minor"/>
      </rPr>
      <t>ng nh</t>
    </r>
    <r>
      <rPr>
        <sz val="10"/>
        <color theme="1"/>
        <rFont val="Calibri"/>
        <family val="2"/>
      </rPr>
      <t>ư</t>
    </r>
    <r>
      <rPr>
        <sz val="10"/>
        <color theme="1"/>
        <rFont val="ＭＳ Ｐゴシック"/>
        <family val="3"/>
        <charset val="128"/>
        <scheme val="minor"/>
      </rPr>
      <t xml:space="preserve"> đ</t>
    </r>
    <r>
      <rPr>
        <sz val="10"/>
        <color theme="1"/>
        <rFont val="Calibri"/>
        <family val="2"/>
      </rPr>
      <t>ơ</t>
    </r>
    <r>
      <rPr>
        <sz val="10"/>
        <color theme="1"/>
        <rFont val="ＭＳ Ｐゴシック"/>
        <family val="3"/>
        <charset val="128"/>
        <scheme val="minor"/>
      </rPr>
      <t>n giá d</t>
    </r>
    <r>
      <rPr>
        <sz val="10"/>
        <color theme="1"/>
        <rFont val="Calibri"/>
        <family val="2"/>
      </rPr>
      <t>ự</t>
    </r>
    <r>
      <rPr>
        <sz val="10"/>
        <color theme="1"/>
        <rFont val="ＭＳ Ｐゴシック"/>
        <family val="3"/>
        <charset val="128"/>
        <scheme val="minor"/>
      </rPr>
      <t xml:space="preserve"> đ</t>
    </r>
    <r>
      <rPr>
        <sz val="10"/>
        <color theme="1"/>
        <rFont val="Calibri"/>
        <family val="2"/>
      </rPr>
      <t>ị</t>
    </r>
    <r>
      <rPr>
        <sz val="10"/>
        <color theme="1"/>
        <rFont val="ＭＳ Ｐゴシック"/>
        <family val="3"/>
        <charset val="128"/>
        <scheme val="minor"/>
      </rPr>
      <t>nh, phân b</t>
    </r>
    <r>
      <rPr>
        <sz val="10"/>
        <color theme="1"/>
        <rFont val="Calibri"/>
        <family val="2"/>
      </rPr>
      <t>ổ</t>
    </r>
    <r>
      <rPr>
        <sz val="10"/>
        <color theme="1"/>
        <rFont val="ＭＳ Ｐゴシック"/>
        <family val="3"/>
        <charset val="128"/>
        <scheme val="minor"/>
      </rPr>
      <t xml:space="preserve"> cho s</t>
    </r>
    <r>
      <rPr>
        <sz val="10"/>
        <color theme="1"/>
        <rFont val="Calibri"/>
        <family val="2"/>
      </rPr>
      <t>ố</t>
    </r>
    <r>
      <rPr>
        <sz val="10"/>
        <color theme="1"/>
        <rFont val="ＭＳ Ｐゴシック"/>
        <family val="3"/>
        <charset val="128"/>
        <scheme val="minor"/>
      </rPr>
      <t xml:space="preserve"> ng</t>
    </r>
    <r>
      <rPr>
        <sz val="10"/>
        <color theme="1"/>
        <rFont val="Calibri"/>
        <family val="2"/>
      </rPr>
      <t>ườ</t>
    </r>
    <r>
      <rPr>
        <sz val="10"/>
        <color theme="1"/>
        <rFont val="ＭＳ Ｐゴシック"/>
        <family val="3"/>
        <charset val="128"/>
        <scheme val="minor"/>
      </rPr>
      <t>i th</t>
    </r>
    <r>
      <rPr>
        <sz val="10"/>
        <color theme="1"/>
        <rFont val="Calibri"/>
        <family val="2"/>
      </rPr>
      <t>ự</t>
    </r>
    <r>
      <rPr>
        <sz val="10"/>
        <color theme="1"/>
        <rFont val="ＭＳ Ｐゴシック"/>
        <family val="3"/>
        <charset val="128"/>
        <scheme val="minor"/>
      </rPr>
      <t>c t</t>
    </r>
    <r>
      <rPr>
        <sz val="10"/>
        <color theme="1"/>
        <rFont val="Calibri"/>
        <family val="2"/>
      </rPr>
      <t>ế</t>
    </r>
    <r>
      <rPr>
        <sz val="10"/>
        <color theme="1"/>
        <rFont val="ＭＳ Ｐゴシック"/>
        <family val="3"/>
        <charset val="128"/>
        <scheme val="minor"/>
      </rPr>
      <t xml:space="preserve"> c</t>
    </r>
    <r>
      <rPr>
        <sz val="10"/>
        <color theme="1"/>
        <rFont val="Calibri"/>
        <family val="2"/>
      </rPr>
      <t>ủ</t>
    </r>
    <r>
      <rPr>
        <sz val="10"/>
        <color theme="1"/>
        <rFont val="ＭＳ Ｐゴシック"/>
        <family val="3"/>
        <charset val="128"/>
        <scheme val="minor"/>
      </rPr>
      <t>a các phòng ban cu</t>
    </r>
    <r>
      <rPr>
        <sz val="10"/>
        <color theme="1"/>
        <rFont val="Calibri"/>
        <family val="2"/>
      </rPr>
      <t>ố</t>
    </r>
    <r>
      <rPr>
        <sz val="10"/>
        <color theme="1"/>
        <rFont val="ＭＳ Ｐゴシック"/>
        <family val="3"/>
        <charset val="128"/>
        <scheme val="minor"/>
      </rPr>
      <t>i tháng tr</t>
    </r>
    <r>
      <rPr>
        <sz val="10"/>
        <color theme="1"/>
        <rFont val="Calibri"/>
        <family val="2"/>
      </rPr>
      <t>ướ</t>
    </r>
    <r>
      <rPr>
        <sz val="10"/>
        <color theme="1"/>
        <rFont val="ＭＳ Ｐゴシック"/>
        <family val="3"/>
        <charset val="128"/>
        <scheme val="minor"/>
      </rPr>
      <t>c (s</t>
    </r>
    <r>
      <rPr>
        <sz val="10"/>
        <color theme="1"/>
        <rFont val="Calibri"/>
        <family val="2"/>
      </rPr>
      <t>ố</t>
    </r>
    <r>
      <rPr>
        <sz val="10"/>
        <color theme="1"/>
        <rFont val="ＭＳ Ｐゴシック"/>
        <family val="3"/>
        <charset val="128"/>
        <scheme val="minor"/>
      </rPr>
      <t xml:space="preserve"> li</t>
    </r>
    <r>
      <rPr>
        <sz val="10"/>
        <color theme="1"/>
        <rFont val="Calibri"/>
        <family val="2"/>
      </rPr>
      <t>ệ</t>
    </r>
    <r>
      <rPr>
        <sz val="10"/>
        <color theme="1"/>
        <rFont val="ＭＳ Ｐゴシック"/>
        <family val="3"/>
        <charset val="128"/>
        <scheme val="minor"/>
      </rPr>
      <t>u c</t>
    </r>
    <r>
      <rPr>
        <sz val="10"/>
        <color theme="1"/>
        <rFont val="Calibri"/>
        <family val="2"/>
      </rPr>
      <t>ủ</t>
    </r>
    <r>
      <rPr>
        <sz val="10"/>
        <color theme="1"/>
        <rFont val="ＭＳ Ｐゴシック"/>
        <family val="3"/>
        <charset val="128"/>
        <scheme val="minor"/>
      </rPr>
      <t>a phòng nhân s</t>
    </r>
    <r>
      <rPr>
        <sz val="10"/>
        <color theme="1"/>
        <rFont val="Calibri"/>
        <family val="2"/>
      </rPr>
      <t>ự</t>
    </r>
    <r>
      <rPr>
        <sz val="10"/>
        <color theme="1"/>
        <rFont val="ＭＳ Ｐゴシック"/>
        <family val="3"/>
        <charset val="128"/>
        <scheme val="minor"/>
      </rPr>
      <t xml:space="preserve"> cung c</t>
    </r>
    <r>
      <rPr>
        <sz val="10"/>
        <color theme="1"/>
        <rFont val="Calibri"/>
        <family val="2"/>
      </rPr>
      <t>ấ</t>
    </r>
    <r>
      <rPr>
        <sz val="10"/>
        <color theme="1"/>
        <rFont val="ＭＳ Ｐゴシック"/>
        <family val="3"/>
        <charset val="128"/>
        <scheme val="minor"/>
      </rPr>
      <t>p vào đ</t>
    </r>
    <r>
      <rPr>
        <sz val="10"/>
        <color theme="1"/>
        <rFont val="Calibri"/>
        <family val="2"/>
      </rPr>
      <t>ầ</t>
    </r>
    <r>
      <rPr>
        <sz val="10"/>
        <color theme="1"/>
        <rFont val="ＭＳ Ｐゴシック"/>
        <family val="3"/>
        <charset val="128"/>
        <scheme val="minor"/>
      </rPr>
      <t>u tháng sau khi ch</t>
    </r>
    <r>
      <rPr>
        <sz val="10"/>
        <color theme="1"/>
        <rFont val="Calibri"/>
        <family val="2"/>
      </rPr>
      <t>ố</t>
    </r>
    <r>
      <rPr>
        <sz val="10"/>
        <color theme="1"/>
        <rFont val="ＭＳ Ｐゴシック"/>
        <family val="3"/>
        <charset val="128"/>
        <scheme val="minor"/>
      </rPr>
      <t>t Cost center)
計上月に組織変更がある部署は総務課までに連絡しなければなりません。総務課は該当の部署にて連絡された人数をベースに振り替えます。
Trong tháng phân b</t>
    </r>
    <r>
      <rPr>
        <sz val="10"/>
        <color theme="1"/>
        <rFont val="Calibri"/>
        <family val="2"/>
      </rPr>
      <t>ổ</t>
    </r>
    <r>
      <rPr>
        <sz val="10"/>
        <color theme="1"/>
        <rFont val="ＭＳ Ｐゴシック"/>
        <family val="3"/>
        <charset val="128"/>
        <scheme val="minor"/>
      </rPr>
      <t>, các phòng ban có s</t>
    </r>
    <r>
      <rPr>
        <sz val="10"/>
        <color theme="1"/>
        <rFont val="Calibri"/>
        <family val="2"/>
      </rPr>
      <t>ự</t>
    </r>
    <r>
      <rPr>
        <sz val="10"/>
        <color theme="1"/>
        <rFont val="ＭＳ Ｐゴシック"/>
        <family val="3"/>
        <charset val="128"/>
        <scheme val="minor"/>
      </rPr>
      <t xml:space="preserve"> thay đ</t>
    </r>
    <r>
      <rPr>
        <sz val="10"/>
        <color theme="1"/>
        <rFont val="Calibri"/>
        <family val="2"/>
      </rPr>
      <t>ổ</t>
    </r>
    <r>
      <rPr>
        <sz val="10"/>
        <color theme="1"/>
        <rFont val="ＭＳ Ｐゴシック"/>
        <family val="3"/>
        <charset val="128"/>
        <scheme val="minor"/>
      </rPr>
      <t>i v</t>
    </r>
    <r>
      <rPr>
        <sz val="10"/>
        <color theme="1"/>
        <rFont val="Calibri"/>
        <family val="2"/>
      </rPr>
      <t>ề</t>
    </r>
    <r>
      <rPr>
        <sz val="10"/>
        <color theme="1"/>
        <rFont val="ＭＳ Ｐゴシック"/>
        <family val="3"/>
        <charset val="128"/>
        <scheme val="minor"/>
      </rPr>
      <t xml:space="preserve"> s</t>
    </r>
    <r>
      <rPr>
        <sz val="10"/>
        <color theme="1"/>
        <rFont val="Calibri"/>
        <family val="2"/>
      </rPr>
      <t>ơ</t>
    </r>
    <r>
      <rPr>
        <sz val="10"/>
        <color theme="1"/>
        <rFont val="ＭＳ Ｐゴシック"/>
        <family val="3"/>
        <charset val="128"/>
        <scheme val="minor"/>
      </rPr>
      <t xml:space="preserve"> đ</t>
    </r>
    <r>
      <rPr>
        <sz val="10"/>
        <color theme="1"/>
        <rFont val="Calibri"/>
        <family val="2"/>
      </rPr>
      <t>ồ</t>
    </r>
    <r>
      <rPr>
        <sz val="10"/>
        <color theme="1"/>
        <rFont val="ＭＳ Ｐゴシック"/>
        <family val="3"/>
        <charset val="128"/>
        <scheme val="minor"/>
      </rPr>
      <t xml:space="preserve"> t</t>
    </r>
    <r>
      <rPr>
        <sz val="10"/>
        <color theme="1"/>
        <rFont val="Calibri"/>
        <family val="2"/>
      </rPr>
      <t>ổ</t>
    </r>
    <r>
      <rPr>
        <sz val="10"/>
        <color theme="1"/>
        <rFont val="ＭＳ Ｐゴシック"/>
        <family val="3"/>
        <charset val="128"/>
        <scheme val="minor"/>
      </rPr>
      <t xml:space="preserve"> ch</t>
    </r>
    <r>
      <rPr>
        <sz val="10"/>
        <color theme="1"/>
        <rFont val="Calibri"/>
        <family val="2"/>
      </rPr>
      <t>ứ</t>
    </r>
    <r>
      <rPr>
        <sz val="10"/>
        <color theme="1"/>
        <rFont val="ＭＳ Ｐゴシック"/>
        <family val="3"/>
        <charset val="128"/>
        <scheme val="minor"/>
      </rPr>
      <t>c ph</t>
    </r>
    <r>
      <rPr>
        <sz val="10"/>
        <color theme="1"/>
        <rFont val="Calibri"/>
        <family val="2"/>
      </rPr>
      <t>ả</t>
    </r>
    <r>
      <rPr>
        <sz val="10"/>
        <color theme="1"/>
        <rFont val="ＭＳ Ｐゴシック"/>
        <family val="3"/>
        <charset val="128"/>
        <scheme val="minor"/>
      </rPr>
      <t>i liên l</t>
    </r>
    <r>
      <rPr>
        <sz val="10"/>
        <color theme="1"/>
        <rFont val="Calibri"/>
        <family val="2"/>
      </rPr>
      <t>ạ</t>
    </r>
    <r>
      <rPr>
        <sz val="10"/>
        <color theme="1"/>
        <rFont val="ＭＳ Ｐゴシック"/>
        <family val="3"/>
        <charset val="128"/>
        <scheme val="minor"/>
      </rPr>
      <t>c cho phòng hành chính. Phòng hành chính s</t>
    </r>
    <r>
      <rPr>
        <sz val="10"/>
        <color theme="1"/>
        <rFont val="Calibri"/>
        <family val="2"/>
      </rPr>
      <t>ẽ</t>
    </r>
    <r>
      <rPr>
        <sz val="10"/>
        <color theme="1"/>
        <rFont val="ＭＳ Ｐゴシック"/>
        <family val="3"/>
        <charset val="128"/>
        <scheme val="minor"/>
      </rPr>
      <t xml:space="preserve"> phân b</t>
    </r>
    <r>
      <rPr>
        <sz val="10"/>
        <color theme="1"/>
        <rFont val="Calibri"/>
        <family val="2"/>
      </rPr>
      <t>ổ</t>
    </r>
    <r>
      <rPr>
        <sz val="10"/>
        <color theme="1"/>
        <rFont val="ＭＳ Ｐゴシック"/>
        <family val="3"/>
        <charset val="128"/>
        <scheme val="minor"/>
      </rPr>
      <t xml:space="preserve"> chi phí d</t>
    </r>
    <r>
      <rPr>
        <sz val="10"/>
        <color theme="1"/>
        <rFont val="Calibri"/>
        <family val="2"/>
      </rPr>
      <t>ự</t>
    </r>
    <r>
      <rPr>
        <sz val="10"/>
        <color theme="1"/>
        <rFont val="ＭＳ Ｐゴシック"/>
        <family val="3"/>
        <charset val="128"/>
        <scheme val="minor"/>
      </rPr>
      <t>a trên s</t>
    </r>
    <r>
      <rPr>
        <sz val="10"/>
        <color theme="1"/>
        <rFont val="Calibri"/>
        <family val="2"/>
      </rPr>
      <t>ố</t>
    </r>
    <r>
      <rPr>
        <sz val="10"/>
        <color theme="1"/>
        <rFont val="ＭＳ Ｐゴシック"/>
        <family val="3"/>
        <charset val="128"/>
        <scheme val="minor"/>
      </rPr>
      <t xml:space="preserve"> l</t>
    </r>
    <r>
      <rPr>
        <sz val="10"/>
        <color theme="1"/>
        <rFont val="Calibri"/>
        <family val="2"/>
      </rPr>
      <t>ượ</t>
    </r>
    <r>
      <rPr>
        <sz val="10"/>
        <color theme="1"/>
        <rFont val="ＭＳ Ｐゴシック"/>
        <family val="3"/>
        <charset val="128"/>
        <scheme val="minor"/>
      </rPr>
      <t>ng ng</t>
    </r>
    <r>
      <rPr>
        <sz val="10"/>
        <color theme="1"/>
        <rFont val="Calibri"/>
        <family val="2"/>
      </rPr>
      <t>ườ</t>
    </r>
    <r>
      <rPr>
        <sz val="10"/>
        <color theme="1"/>
        <rFont val="ＭＳ Ｐゴシック"/>
        <family val="3"/>
        <charset val="128"/>
        <scheme val="minor"/>
      </rPr>
      <t>i đ</t>
    </r>
    <r>
      <rPr>
        <sz val="10"/>
        <color theme="1"/>
        <rFont val="Calibri"/>
        <family val="2"/>
      </rPr>
      <t>ượ</t>
    </r>
    <r>
      <rPr>
        <sz val="10"/>
        <color theme="1"/>
        <rFont val="ＭＳ Ｐゴシック"/>
        <family val="3"/>
        <charset val="128"/>
        <scheme val="minor"/>
      </rPr>
      <t>c phòng ban thông báo.</t>
    </r>
    <phoneticPr fontId="16"/>
  </si>
  <si>
    <r>
      <t>・通常出勤・シフト出勤のバス代：前月16日～当月15日分を実際使用人数で按分翌月に振替する（バス使用の場合のみ）
・シフト・残業・休日出勤のタクシー代：前月16日～当月15日分を各部門での使用実績に応じて部門で按分翌月に振替する（タクシー使用の場合のみ）
タクシー費用は毎日ポータルにアップデートされ、採算の作成時に振替額を確定する（B</t>
    </r>
    <r>
      <rPr>
        <sz val="10"/>
        <color theme="1"/>
        <rFont val="Calibri"/>
        <family val="2"/>
      </rPr>
      <t>ả</t>
    </r>
    <r>
      <rPr>
        <sz val="10"/>
        <color theme="1"/>
        <rFont val="ＭＳ Ｐゴシック"/>
        <family val="3"/>
        <charset val="128"/>
        <scheme val="minor"/>
      </rPr>
      <t>ng kê chi phí taxiタクシー費用一覧表）
・Đ</t>
    </r>
    <r>
      <rPr>
        <sz val="10"/>
        <color theme="1"/>
        <rFont val="Calibri"/>
        <family val="2"/>
      </rPr>
      <t>ố</t>
    </r>
    <r>
      <rPr>
        <sz val="10"/>
        <color theme="1"/>
        <rFont val="ＭＳ Ｐゴシック"/>
        <family val="3"/>
        <charset val="128"/>
        <scheme val="minor"/>
      </rPr>
      <t>i v</t>
    </r>
    <r>
      <rPr>
        <sz val="10"/>
        <color theme="1"/>
        <rFont val="Calibri"/>
        <family val="2"/>
      </rPr>
      <t>ớ</t>
    </r>
    <r>
      <rPr>
        <sz val="10"/>
        <color theme="1"/>
        <rFont val="ＭＳ Ｐゴシック"/>
        <family val="3"/>
        <charset val="128"/>
        <scheme val="minor"/>
      </rPr>
      <t>i chi phí xe bus đi làm ngày th</t>
    </r>
    <r>
      <rPr>
        <sz val="10"/>
        <color theme="1"/>
        <rFont val="Calibri"/>
        <family val="2"/>
      </rPr>
      <t>ườ</t>
    </r>
    <r>
      <rPr>
        <sz val="10"/>
        <color theme="1"/>
        <rFont val="ＭＳ Ｐゴシック"/>
        <family val="3"/>
        <charset val="128"/>
        <scheme val="minor"/>
      </rPr>
      <t>ng và làm ca: Phân b</t>
    </r>
    <r>
      <rPr>
        <sz val="10"/>
        <color theme="1"/>
        <rFont val="Calibri"/>
        <family val="2"/>
      </rPr>
      <t>ổ</t>
    </r>
    <r>
      <rPr>
        <sz val="10"/>
        <color theme="1"/>
        <rFont val="ＭＳ Ｐゴシック"/>
        <family val="3"/>
        <charset val="128"/>
        <scheme val="minor"/>
      </rPr>
      <t xml:space="preserve"> chi phí t</t>
    </r>
    <r>
      <rPr>
        <sz val="10"/>
        <color theme="1"/>
        <rFont val="Calibri"/>
        <family val="2"/>
      </rPr>
      <t>ừ</t>
    </r>
    <r>
      <rPr>
        <sz val="10"/>
        <color theme="1"/>
        <rFont val="ＭＳ Ｐゴシック"/>
        <family val="3"/>
        <charset val="128"/>
        <scheme val="minor"/>
      </rPr>
      <t xml:space="preserve"> ngày 16 tháng tr</t>
    </r>
    <r>
      <rPr>
        <sz val="10"/>
        <color theme="1"/>
        <rFont val="Calibri"/>
        <family val="2"/>
      </rPr>
      <t>ướ</t>
    </r>
    <r>
      <rPr>
        <sz val="10"/>
        <color theme="1"/>
        <rFont val="ＭＳ Ｐゴシック"/>
        <family val="3"/>
        <charset val="128"/>
        <scheme val="minor"/>
      </rPr>
      <t>c đ</t>
    </r>
    <r>
      <rPr>
        <sz val="10"/>
        <color theme="1"/>
        <rFont val="Calibri"/>
        <family val="2"/>
      </rPr>
      <t>ế</t>
    </r>
    <r>
      <rPr>
        <sz val="10"/>
        <color theme="1"/>
        <rFont val="ＭＳ Ｐゴシック"/>
        <family val="3"/>
        <charset val="128"/>
        <scheme val="minor"/>
      </rPr>
      <t>n ngày 15 tháng hi</t>
    </r>
    <r>
      <rPr>
        <sz val="10"/>
        <color theme="1"/>
        <rFont val="Calibri"/>
        <family val="2"/>
      </rPr>
      <t>ệ</t>
    </r>
    <r>
      <rPr>
        <sz val="10"/>
        <color theme="1"/>
        <rFont val="ＭＳ Ｐゴシック"/>
        <family val="3"/>
        <charset val="128"/>
        <scheme val="minor"/>
      </rPr>
      <t>n t</t>
    </r>
    <r>
      <rPr>
        <sz val="10"/>
        <color theme="1"/>
        <rFont val="Calibri"/>
        <family val="2"/>
      </rPr>
      <t>ạ</t>
    </r>
    <r>
      <rPr>
        <sz val="10"/>
        <color theme="1"/>
        <rFont val="ＭＳ Ｐゴシック"/>
        <family val="3"/>
        <charset val="128"/>
        <scheme val="minor"/>
      </rPr>
      <t>i vào tháng ti</t>
    </r>
    <r>
      <rPr>
        <sz val="10"/>
        <color theme="1"/>
        <rFont val="Calibri"/>
        <family val="2"/>
      </rPr>
      <t>ế</t>
    </r>
    <r>
      <rPr>
        <sz val="10"/>
        <color theme="1"/>
        <rFont val="ＭＳ Ｐゴシック"/>
        <family val="3"/>
        <charset val="128"/>
        <scheme val="minor"/>
      </rPr>
      <t>p theo cho s</t>
    </r>
    <r>
      <rPr>
        <sz val="10"/>
        <color theme="1"/>
        <rFont val="Calibri"/>
        <family val="2"/>
      </rPr>
      <t>ố</t>
    </r>
    <r>
      <rPr>
        <sz val="10"/>
        <color theme="1"/>
        <rFont val="ＭＳ Ｐゴシック"/>
        <family val="3"/>
        <charset val="128"/>
        <scheme val="minor"/>
      </rPr>
      <t xml:space="preserve"> ng</t>
    </r>
    <r>
      <rPr>
        <sz val="10"/>
        <color theme="1"/>
        <rFont val="Calibri"/>
        <family val="2"/>
      </rPr>
      <t>ườ</t>
    </r>
    <r>
      <rPr>
        <sz val="10"/>
        <color theme="1"/>
        <rFont val="ＭＳ Ｐゴシック"/>
        <family val="3"/>
        <charset val="128"/>
        <scheme val="minor"/>
      </rPr>
      <t>i s</t>
    </r>
    <r>
      <rPr>
        <sz val="10"/>
        <color theme="1"/>
        <rFont val="Calibri"/>
        <family val="2"/>
      </rPr>
      <t>ử</t>
    </r>
    <r>
      <rPr>
        <sz val="10"/>
        <color theme="1"/>
        <rFont val="ＭＳ Ｐゴシック"/>
        <family val="3"/>
        <charset val="128"/>
        <scheme val="minor"/>
      </rPr>
      <t xml:space="preserve"> d</t>
    </r>
    <r>
      <rPr>
        <sz val="10"/>
        <color theme="1"/>
        <rFont val="Calibri"/>
        <family val="2"/>
      </rPr>
      <t>ụ</t>
    </r>
    <r>
      <rPr>
        <sz val="10"/>
        <color theme="1"/>
        <rFont val="ＭＳ Ｐゴシック"/>
        <family val="3"/>
        <charset val="128"/>
        <scheme val="minor"/>
      </rPr>
      <t>ng xe bus c</t>
    </r>
    <r>
      <rPr>
        <sz val="10"/>
        <color theme="1"/>
        <rFont val="Calibri"/>
        <family val="2"/>
      </rPr>
      <t>ủ</t>
    </r>
    <r>
      <rPr>
        <sz val="10"/>
        <color theme="1"/>
        <rFont val="ＭＳ Ｐゴシック"/>
        <family val="3"/>
        <charset val="128"/>
        <scheme val="minor"/>
      </rPr>
      <t>a toàn công ty  (ch</t>
    </r>
    <r>
      <rPr>
        <sz val="10"/>
        <color theme="1"/>
        <rFont val="Calibri"/>
        <family val="2"/>
      </rPr>
      <t>ỉ</t>
    </r>
    <r>
      <rPr>
        <sz val="10"/>
        <color theme="1"/>
        <rFont val="ＭＳ Ｐゴシック"/>
        <family val="3"/>
        <charset val="128"/>
        <scheme val="minor"/>
      </rPr>
      <t xml:space="preserve"> áp d</t>
    </r>
    <r>
      <rPr>
        <sz val="10"/>
        <color theme="1"/>
        <rFont val="Calibri"/>
        <family val="2"/>
      </rPr>
      <t>ụ</t>
    </r>
    <r>
      <rPr>
        <sz val="10"/>
        <color theme="1"/>
        <rFont val="ＭＳ Ｐゴシック"/>
        <family val="3"/>
        <charset val="128"/>
        <scheme val="minor"/>
      </rPr>
      <t>ng cho xe bus)
・Đ</t>
    </r>
    <r>
      <rPr>
        <sz val="10"/>
        <color theme="1"/>
        <rFont val="Calibri"/>
        <family val="2"/>
      </rPr>
      <t>ố</t>
    </r>
    <r>
      <rPr>
        <sz val="10"/>
        <color theme="1"/>
        <rFont val="ＭＳ Ｐゴシック"/>
        <family val="3"/>
        <charset val="128"/>
        <scheme val="minor"/>
      </rPr>
      <t>i v</t>
    </r>
    <r>
      <rPr>
        <sz val="10"/>
        <color theme="1"/>
        <rFont val="Calibri"/>
        <family val="2"/>
      </rPr>
      <t>ớ</t>
    </r>
    <r>
      <rPr>
        <sz val="10"/>
        <color theme="1"/>
        <rFont val="ＭＳ Ｐゴシック"/>
        <family val="3"/>
        <charset val="128"/>
        <scheme val="minor"/>
      </rPr>
      <t>i chi phí xe taxi đi làm ca, tăng ca, đi làm ngày ngh</t>
    </r>
    <r>
      <rPr>
        <sz val="10"/>
        <color theme="1"/>
        <rFont val="Calibri"/>
        <family val="2"/>
      </rPr>
      <t>ỉ</t>
    </r>
    <r>
      <rPr>
        <sz val="10"/>
        <color theme="1"/>
        <rFont val="ＭＳ Ｐゴシック"/>
        <family val="3"/>
        <charset val="128"/>
        <scheme val="minor"/>
      </rPr>
      <t>: Phân b</t>
    </r>
    <r>
      <rPr>
        <sz val="10"/>
        <color theme="1"/>
        <rFont val="Calibri"/>
        <family val="2"/>
      </rPr>
      <t>ổ</t>
    </r>
    <r>
      <rPr>
        <sz val="10"/>
        <color theme="1"/>
        <rFont val="ＭＳ Ｐゴシック"/>
        <family val="3"/>
        <charset val="128"/>
        <scheme val="minor"/>
      </rPr>
      <t xml:space="preserve"> chi phí t</t>
    </r>
    <r>
      <rPr>
        <sz val="10"/>
        <color theme="1"/>
        <rFont val="Calibri"/>
        <family val="2"/>
      </rPr>
      <t>ừ</t>
    </r>
    <r>
      <rPr>
        <sz val="10"/>
        <color theme="1"/>
        <rFont val="ＭＳ Ｐゴシック"/>
        <family val="3"/>
        <charset val="128"/>
        <scheme val="minor"/>
      </rPr>
      <t xml:space="preserve"> ngày 16 tháng tr</t>
    </r>
    <r>
      <rPr>
        <sz val="10"/>
        <color theme="1"/>
        <rFont val="Calibri"/>
        <family val="2"/>
      </rPr>
      <t>ướ</t>
    </r>
    <r>
      <rPr>
        <sz val="10"/>
        <color theme="1"/>
        <rFont val="ＭＳ Ｐゴシック"/>
        <family val="3"/>
        <charset val="128"/>
        <scheme val="minor"/>
      </rPr>
      <t>c đ</t>
    </r>
    <r>
      <rPr>
        <sz val="10"/>
        <color theme="1"/>
        <rFont val="Calibri"/>
        <family val="2"/>
      </rPr>
      <t>ế</t>
    </r>
    <r>
      <rPr>
        <sz val="10"/>
        <color theme="1"/>
        <rFont val="ＭＳ Ｐゴシック"/>
        <family val="3"/>
        <charset val="128"/>
        <scheme val="minor"/>
      </rPr>
      <t>n ngày 15 tháng hi</t>
    </r>
    <r>
      <rPr>
        <sz val="10"/>
        <color theme="1"/>
        <rFont val="Calibri"/>
        <family val="2"/>
      </rPr>
      <t>ệ</t>
    </r>
    <r>
      <rPr>
        <sz val="10"/>
        <color theme="1"/>
        <rFont val="ＭＳ Ｐゴシック"/>
        <family val="3"/>
        <charset val="128"/>
        <scheme val="minor"/>
      </rPr>
      <t>n t</t>
    </r>
    <r>
      <rPr>
        <sz val="10"/>
        <color theme="1"/>
        <rFont val="Calibri"/>
        <family val="2"/>
      </rPr>
      <t>ạ</t>
    </r>
    <r>
      <rPr>
        <sz val="10"/>
        <color theme="1"/>
        <rFont val="ＭＳ Ｐゴシック"/>
        <family val="3"/>
        <charset val="128"/>
        <scheme val="minor"/>
      </rPr>
      <t>i vào tháng ti</t>
    </r>
    <r>
      <rPr>
        <sz val="10"/>
        <color theme="1"/>
        <rFont val="Calibri"/>
        <family val="2"/>
      </rPr>
      <t>ế</t>
    </r>
    <r>
      <rPr>
        <sz val="10"/>
        <color theme="1"/>
        <rFont val="ＭＳ Ｐゴシック"/>
        <family val="3"/>
        <charset val="128"/>
        <scheme val="minor"/>
      </rPr>
      <t>p theo cho th</t>
    </r>
    <r>
      <rPr>
        <sz val="10"/>
        <color theme="1"/>
        <rFont val="Calibri"/>
        <family val="2"/>
      </rPr>
      <t>ự</t>
    </r>
    <r>
      <rPr>
        <sz val="10"/>
        <color theme="1"/>
        <rFont val="ＭＳ Ｐゴシック"/>
        <family val="3"/>
        <charset val="128"/>
        <scheme val="minor"/>
      </rPr>
      <t>c tích s</t>
    </r>
    <r>
      <rPr>
        <sz val="10"/>
        <color theme="1"/>
        <rFont val="Calibri"/>
        <family val="2"/>
      </rPr>
      <t>ử</t>
    </r>
    <r>
      <rPr>
        <sz val="10"/>
        <color theme="1"/>
        <rFont val="ＭＳ Ｐゴシック"/>
        <family val="3"/>
        <charset val="128"/>
        <scheme val="minor"/>
      </rPr>
      <t xml:space="preserve"> d</t>
    </r>
    <r>
      <rPr>
        <sz val="10"/>
        <color theme="1"/>
        <rFont val="Calibri"/>
        <family val="2"/>
      </rPr>
      <t>ụ</t>
    </r>
    <r>
      <rPr>
        <sz val="10"/>
        <color theme="1"/>
        <rFont val="ＭＳ Ｐゴシック"/>
        <family val="3"/>
        <charset val="128"/>
        <scheme val="minor"/>
      </rPr>
      <t>ng c</t>
    </r>
    <r>
      <rPr>
        <sz val="10"/>
        <color theme="1"/>
        <rFont val="Calibri"/>
        <family val="2"/>
      </rPr>
      <t>ủ</t>
    </r>
    <r>
      <rPr>
        <sz val="10"/>
        <color theme="1"/>
        <rFont val="ＭＳ Ｐゴシック"/>
        <family val="3"/>
        <charset val="128"/>
        <scheme val="minor"/>
      </rPr>
      <t>a các phòng ban (ch</t>
    </r>
    <r>
      <rPr>
        <sz val="10"/>
        <color theme="1"/>
        <rFont val="Calibri"/>
        <family val="2"/>
      </rPr>
      <t>ỉ</t>
    </r>
    <r>
      <rPr>
        <sz val="10"/>
        <color theme="1"/>
        <rFont val="ＭＳ Ｐゴシック"/>
        <family val="3"/>
        <charset val="128"/>
        <scheme val="minor"/>
      </rPr>
      <t xml:space="preserve"> áp d</t>
    </r>
    <r>
      <rPr>
        <sz val="10"/>
        <color theme="1"/>
        <rFont val="Calibri"/>
        <family val="2"/>
      </rPr>
      <t>ụ</t>
    </r>
    <r>
      <rPr>
        <sz val="10"/>
        <color theme="1"/>
        <rFont val="ＭＳ Ｐゴシック"/>
        <family val="3"/>
        <charset val="128"/>
        <scheme val="minor"/>
      </rPr>
      <t>ng cho xe taxi)
Chi phí taxi s</t>
    </r>
    <r>
      <rPr>
        <sz val="10"/>
        <color theme="1"/>
        <rFont val="Calibri"/>
        <family val="2"/>
      </rPr>
      <t>ử</t>
    </r>
    <r>
      <rPr>
        <sz val="10"/>
        <color theme="1"/>
        <rFont val="ＭＳ Ｐゴシック"/>
        <family val="3"/>
        <charset val="128"/>
        <scheme val="minor"/>
      </rPr>
      <t xml:space="preserve"> d</t>
    </r>
    <r>
      <rPr>
        <sz val="10"/>
        <color theme="1"/>
        <rFont val="Calibri"/>
        <family val="2"/>
      </rPr>
      <t>ụ</t>
    </r>
    <r>
      <rPr>
        <sz val="10"/>
        <color theme="1"/>
        <rFont val="ＭＳ Ｐゴシック"/>
        <family val="3"/>
        <charset val="128"/>
        <scheme val="minor"/>
      </rPr>
      <t>ng th</t>
    </r>
    <r>
      <rPr>
        <sz val="10"/>
        <color theme="1"/>
        <rFont val="Calibri"/>
        <family val="2"/>
      </rPr>
      <t>ự</t>
    </r>
    <r>
      <rPr>
        <sz val="10"/>
        <color theme="1"/>
        <rFont val="ＭＳ Ｐゴシック"/>
        <family val="3"/>
        <charset val="128"/>
        <scheme val="minor"/>
      </rPr>
      <t>c t</t>
    </r>
    <r>
      <rPr>
        <sz val="10"/>
        <color theme="1"/>
        <rFont val="Calibri"/>
        <family val="2"/>
      </rPr>
      <t>ế</t>
    </r>
    <r>
      <rPr>
        <sz val="10"/>
        <color theme="1"/>
        <rFont val="ＭＳ Ｐゴシック"/>
        <family val="3"/>
        <charset val="128"/>
        <scheme val="minor"/>
      </rPr>
      <t xml:space="preserve"> c</t>
    </r>
    <r>
      <rPr>
        <sz val="10"/>
        <color theme="1"/>
        <rFont val="Calibri"/>
        <family val="2"/>
      </rPr>
      <t>ủ</t>
    </r>
    <r>
      <rPr>
        <sz val="10"/>
        <color theme="1"/>
        <rFont val="ＭＳ Ｐゴシック"/>
        <family val="3"/>
        <charset val="128"/>
        <scheme val="minor"/>
      </rPr>
      <t>a các phòng ban s</t>
    </r>
    <r>
      <rPr>
        <sz val="10"/>
        <color theme="1"/>
        <rFont val="Calibri"/>
        <family val="2"/>
      </rPr>
      <t>ẽ</t>
    </r>
    <r>
      <rPr>
        <sz val="10"/>
        <color theme="1"/>
        <rFont val="ＭＳ Ｐゴシック"/>
        <family val="3"/>
        <charset val="128"/>
        <scheme val="minor"/>
      </rPr>
      <t xml:space="preserve"> đ</t>
    </r>
    <r>
      <rPr>
        <sz val="10"/>
        <color theme="1"/>
        <rFont val="Calibri"/>
        <family val="2"/>
      </rPr>
      <t>ượ</t>
    </r>
    <r>
      <rPr>
        <sz val="10"/>
        <color theme="1"/>
        <rFont val="ＭＳ Ｐゴシック"/>
        <family val="3"/>
        <charset val="128"/>
        <scheme val="minor"/>
      </rPr>
      <t>c c</t>
    </r>
    <r>
      <rPr>
        <sz val="10"/>
        <color theme="1"/>
        <rFont val="Calibri"/>
        <family val="2"/>
      </rPr>
      <t>ậ</t>
    </r>
    <r>
      <rPr>
        <sz val="10"/>
        <color theme="1"/>
        <rFont val="ＭＳ Ｐゴシック"/>
        <family val="3"/>
        <charset val="128"/>
        <scheme val="minor"/>
      </rPr>
      <t>p nh</t>
    </r>
    <r>
      <rPr>
        <sz val="10"/>
        <color theme="1"/>
        <rFont val="Calibri"/>
        <family val="2"/>
      </rPr>
      <t>ậ</t>
    </r>
    <r>
      <rPr>
        <sz val="10"/>
        <color theme="1"/>
        <rFont val="ＭＳ Ｐゴシック"/>
        <family val="3"/>
        <charset val="128"/>
        <scheme val="minor"/>
      </rPr>
      <t>t hàng ngày trên portal ( Link bên d</t>
    </r>
    <r>
      <rPr>
        <sz val="10"/>
        <color theme="1"/>
        <rFont val="Calibri"/>
        <family val="2"/>
      </rPr>
      <t>ướ</t>
    </r>
    <r>
      <rPr>
        <sz val="10"/>
        <color theme="1"/>
        <rFont val="ＭＳ Ｐゴシック"/>
        <family val="3"/>
        <charset val="128"/>
        <scheme val="minor"/>
      </rPr>
      <t>i)
 (B</t>
    </r>
    <r>
      <rPr>
        <sz val="10"/>
        <color theme="1"/>
        <rFont val="Calibri"/>
        <family val="2"/>
      </rPr>
      <t>ả</t>
    </r>
    <r>
      <rPr>
        <sz val="10"/>
        <color theme="1"/>
        <rFont val="ＭＳ Ｐゴシック"/>
        <family val="3"/>
        <charset val="128"/>
        <scheme val="minor"/>
      </rPr>
      <t>ng kê chi phí taxiタクシー費用一覧表), các phòng ban hãy xác nh</t>
    </r>
    <r>
      <rPr>
        <sz val="10"/>
        <color theme="1"/>
        <rFont val="Calibri"/>
        <family val="2"/>
      </rPr>
      <t>ậ</t>
    </r>
    <r>
      <rPr>
        <sz val="10"/>
        <color theme="1"/>
        <rFont val="ＭＳ Ｐゴシック"/>
        <family val="3"/>
        <charset val="128"/>
        <scheme val="minor"/>
      </rPr>
      <t>n đ</t>
    </r>
    <r>
      <rPr>
        <sz val="10"/>
        <color theme="1"/>
        <rFont val="Calibri"/>
        <family val="2"/>
      </rPr>
      <t>ể</t>
    </r>
    <r>
      <rPr>
        <sz val="10"/>
        <color theme="1"/>
        <rFont val="ＭＳ Ｐゴシック"/>
        <family val="3"/>
        <charset val="128"/>
        <scheme val="minor"/>
      </rPr>
      <t xml:space="preserve"> d</t>
    </r>
    <r>
      <rPr>
        <sz val="10"/>
        <color theme="1"/>
        <rFont val="Calibri"/>
        <family val="2"/>
      </rPr>
      <t>ự</t>
    </r>
    <r>
      <rPr>
        <sz val="10"/>
        <color theme="1"/>
        <rFont val="ＭＳ Ｐゴシック"/>
        <family val="3"/>
        <charset val="128"/>
        <scheme val="minor"/>
      </rPr>
      <t xml:space="preserve"> tính chi phí c</t>
    </r>
    <r>
      <rPr>
        <sz val="10"/>
        <color theme="1"/>
        <rFont val="Calibri"/>
        <family val="2"/>
      </rPr>
      <t>ủ</t>
    </r>
    <r>
      <rPr>
        <sz val="10"/>
        <color theme="1"/>
        <rFont val="ＭＳ Ｐゴシック"/>
        <family val="3"/>
        <charset val="128"/>
        <scheme val="minor"/>
      </rPr>
      <t>a phòng ban mình.
*L</t>
    </r>
    <r>
      <rPr>
        <sz val="10"/>
        <color theme="1"/>
        <rFont val="Calibri"/>
        <family val="2"/>
      </rPr>
      <t>ư</t>
    </r>
    <r>
      <rPr>
        <sz val="10"/>
        <color theme="1"/>
        <rFont val="ＭＳ Ｐゴシック"/>
        <family val="3"/>
        <charset val="128"/>
        <scheme val="minor"/>
      </rPr>
      <t>u ý: Chi phí xe đ</t>
    </r>
    <r>
      <rPr>
        <sz val="10"/>
        <color theme="1"/>
        <rFont val="Calibri"/>
        <family val="2"/>
      </rPr>
      <t>ư</t>
    </r>
    <r>
      <rPr>
        <sz val="10"/>
        <color theme="1"/>
        <rFont val="ＭＳ Ｐゴシック"/>
        <family val="3"/>
        <charset val="128"/>
        <scheme val="minor"/>
      </rPr>
      <t>a đón phân b</t>
    </r>
    <r>
      <rPr>
        <sz val="10"/>
        <color theme="1"/>
        <rFont val="Calibri"/>
        <family val="2"/>
      </rPr>
      <t>ổ</t>
    </r>
    <r>
      <rPr>
        <sz val="10"/>
        <color theme="1"/>
        <rFont val="ＭＳ Ｐゴシック"/>
        <family val="3"/>
        <charset val="128"/>
        <scheme val="minor"/>
      </rPr>
      <t xml:space="preserve"> cho t</t>
    </r>
    <r>
      <rPr>
        <sz val="10"/>
        <color theme="1"/>
        <rFont val="Calibri"/>
        <family val="2"/>
      </rPr>
      <t>ấ</t>
    </r>
    <r>
      <rPr>
        <sz val="10"/>
        <color theme="1"/>
        <rFont val="ＭＳ Ｐゴシック"/>
        <family val="3"/>
        <charset val="128"/>
        <scheme val="minor"/>
      </rPr>
      <t>t c</t>
    </r>
    <r>
      <rPr>
        <sz val="10"/>
        <color theme="1"/>
        <rFont val="Calibri"/>
        <family val="2"/>
      </rPr>
      <t>ả</t>
    </r>
    <r>
      <rPr>
        <sz val="10"/>
        <color theme="1"/>
        <rFont val="ＭＳ Ｐゴシック"/>
        <family val="3"/>
        <charset val="128"/>
        <scheme val="minor"/>
      </rPr>
      <t xml:space="preserve"> nh</t>
    </r>
    <r>
      <rPr>
        <sz val="10"/>
        <color theme="1"/>
        <rFont val="Calibri"/>
        <family val="2"/>
      </rPr>
      <t>ữ</t>
    </r>
    <r>
      <rPr>
        <sz val="10"/>
        <color theme="1"/>
        <rFont val="ＭＳ Ｐゴシック"/>
        <family val="3"/>
        <charset val="128"/>
        <scheme val="minor"/>
      </rPr>
      <t>ng tr</t>
    </r>
    <r>
      <rPr>
        <sz val="10"/>
        <color theme="1"/>
        <rFont val="Calibri"/>
        <family val="2"/>
      </rPr>
      <t>ườ</t>
    </r>
    <r>
      <rPr>
        <sz val="10"/>
        <color theme="1"/>
        <rFont val="ＭＳ Ｐゴシック"/>
        <family val="3"/>
        <charset val="128"/>
        <scheme val="minor"/>
      </rPr>
      <t>ng h</t>
    </r>
    <r>
      <rPr>
        <sz val="10"/>
        <color theme="1"/>
        <rFont val="Calibri"/>
        <family val="2"/>
      </rPr>
      <t>ợ</t>
    </r>
    <r>
      <rPr>
        <sz val="10"/>
        <color theme="1"/>
        <rFont val="ＭＳ Ｐゴシック"/>
        <family val="3"/>
        <charset val="128"/>
        <scheme val="minor"/>
      </rPr>
      <t>p s</t>
    </r>
    <r>
      <rPr>
        <sz val="10"/>
        <color theme="1"/>
        <rFont val="Calibri"/>
        <family val="2"/>
      </rPr>
      <t>ử</t>
    </r>
    <r>
      <rPr>
        <sz val="10"/>
        <color theme="1"/>
        <rFont val="ＭＳ Ｐゴシック"/>
        <family val="3"/>
        <charset val="128"/>
        <scheme val="minor"/>
      </rPr>
      <t xml:space="preserve"> d</t>
    </r>
    <r>
      <rPr>
        <sz val="10"/>
        <color theme="1"/>
        <rFont val="Calibri"/>
        <family val="2"/>
      </rPr>
      <t>ụ</t>
    </r>
    <r>
      <rPr>
        <sz val="10"/>
        <color theme="1"/>
        <rFont val="ＭＳ Ｐゴシック"/>
        <family val="3"/>
        <charset val="128"/>
        <scheme val="minor"/>
      </rPr>
      <t>ng th</t>
    </r>
    <r>
      <rPr>
        <sz val="10"/>
        <color theme="1"/>
        <rFont val="Calibri"/>
        <family val="2"/>
      </rPr>
      <t>ự</t>
    </r>
    <r>
      <rPr>
        <sz val="10"/>
        <color theme="1"/>
        <rFont val="ＭＳ Ｐゴシック"/>
        <family val="3"/>
        <charset val="128"/>
        <scheme val="minor"/>
      </rPr>
      <t>c t</t>
    </r>
    <r>
      <rPr>
        <sz val="10"/>
        <color theme="1"/>
        <rFont val="Calibri"/>
        <family val="2"/>
      </rPr>
      <t>ế</t>
    </r>
    <r>
      <rPr>
        <sz val="10"/>
        <color theme="1"/>
        <rFont val="ＭＳ Ｐゴシック"/>
        <family val="3"/>
        <charset val="128"/>
        <scheme val="minor"/>
      </rPr>
      <t>.
注：送迎費：全ての実際使用場合に振替する</t>
    </r>
    <phoneticPr fontId="1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</si>
</sst>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6" formatCode="&quot;¥&quot;#,##0;[Red]&quot;¥&quot;\-#,##0"/>
    <numFmt numFmtId="176" formatCode="_(* #,##0.00_);_(* \(#,##0.00\);_(* &quot;-&quot;??_);_(@_)"/>
    <numFmt numFmtId="177" formatCode="_-* #,##0_-;\-* #,##0_-;_-* &quot;-&quot;_-;_-@_-"/>
    <numFmt numFmtId="178" formatCode="_-* #,##0.00_-;\-* #,##0.00_-;_-* &quot;-&quot;??_-;_-@_-"/>
    <numFmt numFmtId="179" formatCode="[$$-409]#,##0.00;[$$-409]#,##0.00"/>
    <numFmt numFmtId="180" formatCode="_(* #,##0_);_(* \(#,##0\);_(* &quot;-&quot;??_);_(@_)"/>
    <numFmt numFmtId="181" formatCode="_-* #,##0_-;\-* #,##0_-;_-* &quot;-&quot;??_-;_-@_-"/>
    <numFmt numFmtId="182" formatCode="[$-409]mmm\-yy;@"/>
    <numFmt numFmtId="183" formatCode="&quot;Đơn giá gas tại T1/2024&quot;\ _-* #,##0_-;\-* #,##0_-;_-* &quot;-&quot;??_-;_-@_-"/>
    <numFmt numFmtId="184" formatCode="_(* #,##0.0_);_(* \(#,##0.0\);_(* &quot;-&quot;??_);_(@_)"/>
  </numFmts>
  <fonts count="99">
    <font>
      <sz val="11"/>
      <color theme="1"/>
      <name val="ＭＳ Ｐゴシック"/>
      <family val="2"/>
      <charset val="128"/>
      <scheme val="minor"/>
    </font>
    <font>
      <sz val="11"/>
      <color theme="1"/>
      <name val="ＭＳ Ｐゴシック"/>
      <family val="2"/>
      <scheme val="minor"/>
    </font>
    <font>
      <sz val="11"/>
      <color theme="1"/>
      <name val="ＭＳ Ｐゴシック"/>
      <family val="2"/>
      <scheme val="minor"/>
    </font>
    <font>
      <sz val="11"/>
      <color theme="1"/>
      <name val="ＭＳ Ｐゴシック"/>
      <family val="2"/>
      <scheme val="minor"/>
    </font>
    <font>
      <sz val="11"/>
      <color theme="1"/>
      <name val="ＭＳ Ｐゴシック"/>
      <family val="2"/>
      <scheme val="minor"/>
    </font>
    <font>
      <sz val="11"/>
      <color theme="1"/>
      <name val="ＭＳ Ｐゴシック"/>
      <family val="2"/>
      <scheme val="minor"/>
    </font>
    <font>
      <sz val="11"/>
      <color theme="1"/>
      <name val="ＭＳ Ｐゴシック"/>
      <family val="2"/>
      <scheme val="minor"/>
    </font>
    <font>
      <sz val="11"/>
      <color theme="1"/>
      <name val="ＭＳ Ｐゴシック"/>
      <family val="2"/>
      <scheme val="minor"/>
    </font>
    <font>
      <sz val="11"/>
      <color theme="1"/>
      <name val="ＭＳ Ｐゴシック"/>
      <family val="2"/>
      <scheme val="minor"/>
    </font>
    <font>
      <sz val="11"/>
      <color theme="1"/>
      <name val="ＭＳ Ｐゴシック"/>
      <family val="2"/>
      <scheme val="minor"/>
    </font>
    <font>
      <sz val="11"/>
      <color theme="1"/>
      <name val="ＭＳ Ｐゴシック"/>
      <family val="2"/>
      <scheme val="minor"/>
    </font>
    <font>
      <sz val="11"/>
      <color theme="1"/>
      <name val="ＭＳ Ｐゴシック"/>
      <family val="2"/>
      <scheme val="minor"/>
    </font>
    <font>
      <sz val="11"/>
      <color theme="1"/>
      <name val="ＭＳ Ｐゴシック"/>
      <family val="2"/>
      <scheme val="minor"/>
    </font>
    <font>
      <sz val="11"/>
      <color theme="1"/>
      <name val="ＭＳ Ｐゴシック"/>
      <family val="2"/>
      <scheme val="minor"/>
    </font>
    <font>
      <sz val="11"/>
      <color theme="1"/>
      <name val="ＭＳ Ｐゴシック"/>
      <family val="2"/>
      <scheme val="minor"/>
    </font>
    <font>
      <sz val="11"/>
      <color theme="1"/>
      <name val="ＭＳ Ｐゴシック"/>
      <family val="2"/>
      <charset val="128"/>
      <scheme val="minor"/>
    </font>
    <font>
      <sz val="6"/>
      <name val="ＭＳ Ｐゴシック"/>
      <family val="2"/>
      <charset val="128"/>
      <scheme val="minor"/>
    </font>
    <font>
      <sz val="11"/>
      <color theme="1"/>
      <name val="ＭＳ Ｐゴシック"/>
      <family val="3"/>
      <charset val="128"/>
      <scheme val="minor"/>
    </font>
    <font>
      <sz val="10"/>
      <color theme="1"/>
      <name val="Times New Roman"/>
      <family val="1"/>
    </font>
    <font>
      <sz val="11"/>
      <color indexed="8"/>
      <name val="Arial"/>
      <family val="2"/>
    </font>
    <font>
      <sz val="11"/>
      <color indexed="9"/>
      <name val="Arial"/>
      <family val="2"/>
    </font>
    <font>
      <sz val="11"/>
      <color indexed="20"/>
      <name val="Arial"/>
      <family val="2"/>
    </font>
    <font>
      <b/>
      <sz val="11"/>
      <color indexed="52"/>
      <name val="Arial"/>
      <family val="2"/>
    </font>
    <font>
      <b/>
      <sz val="11"/>
      <color indexed="9"/>
      <name val="Arial"/>
      <family val="2"/>
    </font>
    <font>
      <sz val="10"/>
      <color theme="1"/>
      <name val="Arial"/>
      <family val="2"/>
    </font>
    <font>
      <sz val="11"/>
      <name val="ＭＳ Ｐゴシック"/>
      <family val="3"/>
      <charset val="128"/>
    </font>
    <font>
      <sz val="10"/>
      <name val="Arial"/>
      <family val="2"/>
    </font>
    <font>
      <sz val="11"/>
      <color indexed="8"/>
      <name val="Calibri"/>
      <family val="2"/>
    </font>
    <font>
      <i/>
      <sz val="11"/>
      <color indexed="23"/>
      <name val="Arial"/>
      <family val="2"/>
    </font>
    <font>
      <sz val="11"/>
      <color indexed="17"/>
      <name val="Arial"/>
      <family val="2"/>
    </font>
    <font>
      <b/>
      <sz val="15"/>
      <color indexed="56"/>
      <name val="Arial"/>
      <family val="2"/>
    </font>
    <font>
      <b/>
      <sz val="13"/>
      <color indexed="56"/>
      <name val="Arial"/>
      <family val="2"/>
    </font>
    <font>
      <b/>
      <sz val="11"/>
      <color indexed="56"/>
      <name val="Arial"/>
      <family val="2"/>
    </font>
    <font>
      <sz val="11"/>
      <color indexed="62"/>
      <name val="Arial"/>
      <family val="2"/>
    </font>
    <font>
      <sz val="11"/>
      <color indexed="52"/>
      <name val="Arial"/>
      <family val="2"/>
    </font>
    <font>
      <sz val="11"/>
      <color indexed="60"/>
      <name val="Arial"/>
      <family val="2"/>
    </font>
    <font>
      <sz val="10"/>
      <name val="Arial"/>
      <family val="2"/>
      <charset val="163"/>
    </font>
    <font>
      <sz val="10"/>
      <color indexed="8"/>
      <name val="Arial"/>
      <family val="2"/>
    </font>
    <font>
      <sz val="12"/>
      <name val="Times New Roman"/>
      <family val="1"/>
    </font>
    <font>
      <sz val="11"/>
      <color theme="1"/>
      <name val="ＭＳ Ｐゴシック"/>
      <family val="2"/>
      <scheme val="minor"/>
    </font>
    <font>
      <b/>
      <sz val="11"/>
      <color indexed="63"/>
      <name val="Arial"/>
      <family val="2"/>
    </font>
    <font>
      <b/>
      <sz val="18"/>
      <color indexed="56"/>
      <name val="Times New Roman"/>
      <family val="1"/>
    </font>
    <font>
      <b/>
      <sz val="11"/>
      <color indexed="8"/>
      <name val="Arial"/>
      <family val="2"/>
    </font>
    <font>
      <sz val="11"/>
      <color indexed="10"/>
      <name val="Arial"/>
      <family val="2"/>
    </font>
    <font>
      <sz val="12"/>
      <name val=".VnTime"/>
      <family val="2"/>
    </font>
    <font>
      <sz val="10"/>
      <color theme="1"/>
      <name val="ＭＳ Ｐゴシック"/>
      <family val="2"/>
      <scheme val="minor"/>
    </font>
    <font>
      <sz val="12"/>
      <name val="ＭＳ Ｐゴシック"/>
      <family val="3"/>
      <charset val="128"/>
    </font>
    <font>
      <sz val="10"/>
      <color indexed="8"/>
      <name val="Times New Roman"/>
      <family val="1"/>
    </font>
    <font>
      <b/>
      <sz val="10"/>
      <color indexed="8"/>
      <name val="Times New Roman"/>
      <family val="1"/>
    </font>
    <font>
      <sz val="11"/>
      <color indexed="8"/>
      <name val="ＭＳ Ｐゴシック"/>
      <family val="2"/>
      <charset val="128"/>
    </font>
    <font>
      <b/>
      <sz val="10"/>
      <color rgb="FFFF0000"/>
      <name val="Times New Roman"/>
      <family val="1"/>
    </font>
    <font>
      <b/>
      <sz val="10"/>
      <name val="Times New Roman"/>
      <family val="1"/>
    </font>
    <font>
      <b/>
      <sz val="10"/>
      <color indexed="10"/>
      <name val="Times New Roman"/>
      <family val="1"/>
    </font>
    <font>
      <sz val="10"/>
      <name val="Arial"/>
      <family val="2"/>
      <charset val="134"/>
    </font>
    <font>
      <sz val="11"/>
      <color indexed="8"/>
      <name val="ＭＳ Ｐゴシック"/>
      <family val="3"/>
      <charset val="128"/>
    </font>
    <font>
      <sz val="11"/>
      <color indexed="9"/>
      <name val="ＭＳ Ｐゴシック"/>
      <family val="3"/>
      <charset val="128"/>
    </font>
    <font>
      <sz val="11"/>
      <color indexed="60"/>
      <name val="ＭＳ Ｐゴシック"/>
      <family val="3"/>
      <charset val="128"/>
    </font>
    <font>
      <b/>
      <sz val="11"/>
      <color indexed="52"/>
      <name val="ＭＳ Ｐゴシック"/>
      <family val="3"/>
      <charset val="128"/>
    </font>
    <font>
      <b/>
      <sz val="11"/>
      <color indexed="9"/>
      <name val="ＭＳ Ｐゴシック"/>
      <family val="3"/>
      <charset val="128"/>
    </font>
    <font>
      <i/>
      <sz val="11"/>
      <color indexed="23"/>
      <name val="ＭＳ Ｐゴシック"/>
      <family val="3"/>
      <charset val="128"/>
    </font>
    <font>
      <sz val="11"/>
      <color indexed="17"/>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u/>
      <sz val="12"/>
      <color theme="10"/>
      <name val="ＭＳ Ｐゴシック"/>
      <family val="3"/>
      <charset val="128"/>
    </font>
    <font>
      <sz val="11"/>
      <color indexed="62"/>
      <name val="ＭＳ Ｐゴシック"/>
      <family val="3"/>
      <charset val="128"/>
    </font>
    <font>
      <sz val="11"/>
      <color indexed="52"/>
      <name val="ＭＳ Ｐゴシック"/>
      <family val="3"/>
      <charset val="128"/>
    </font>
    <font>
      <b/>
      <sz val="11"/>
      <color indexed="63"/>
      <name val="ＭＳ Ｐゴシック"/>
      <family val="3"/>
      <charset val="128"/>
    </font>
    <font>
      <b/>
      <sz val="18"/>
      <color indexed="62"/>
      <name val="ＭＳ Ｐゴシック"/>
      <family val="3"/>
      <charset val="128"/>
    </font>
    <font>
      <b/>
      <sz val="11"/>
      <color indexed="8"/>
      <name val="ＭＳ Ｐゴシック"/>
      <family val="3"/>
      <charset val="128"/>
    </font>
    <font>
      <sz val="11"/>
      <color indexed="10"/>
      <name val="ＭＳ Ｐゴシック"/>
      <family val="3"/>
      <charset val="128"/>
    </font>
    <font>
      <b/>
      <sz val="18"/>
      <color indexed="56"/>
      <name val="ＭＳ Ｐゴシック"/>
      <family val="3"/>
      <charset val="128"/>
    </font>
    <font>
      <sz val="11"/>
      <color indexed="20"/>
      <name val="ＭＳ Ｐゴシック"/>
      <family val="3"/>
      <charset val="128"/>
    </font>
    <font>
      <sz val="14"/>
      <name val="ＭＳ 明朝"/>
      <family val="1"/>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11"/>
      <name val="ＭＳ Ｐゴシック"/>
      <family val="2"/>
    </font>
    <font>
      <sz val="12"/>
      <color theme="1"/>
      <name val="Times New Roman"/>
      <family val="2"/>
    </font>
    <font>
      <b/>
      <sz val="10"/>
      <color theme="1"/>
      <name val="ＭＳ Ｐゴシック"/>
      <family val="2"/>
      <scheme val="minor"/>
    </font>
    <font>
      <b/>
      <sz val="10"/>
      <name val="ＭＳ Ｐゴシック"/>
      <family val="2"/>
      <scheme val="minor"/>
    </font>
    <font>
      <b/>
      <u/>
      <sz val="14"/>
      <color theme="1"/>
      <name val="ＭＳ Ｐゴシック"/>
      <family val="2"/>
      <scheme val="minor"/>
    </font>
    <font>
      <sz val="10"/>
      <name val="ＭＳ Ｐゴシック"/>
      <family val="2"/>
      <scheme val="minor"/>
    </font>
    <font>
      <sz val="10"/>
      <color indexed="8"/>
      <name val="ＭＳ Ｐゴシック"/>
      <family val="2"/>
      <scheme val="minor"/>
    </font>
    <font>
      <b/>
      <sz val="10"/>
      <color theme="1"/>
      <name val="Times New Roman"/>
      <family val="1"/>
    </font>
    <font>
      <b/>
      <sz val="11"/>
      <color theme="1"/>
      <name val="ＭＳ Ｐゴシック"/>
      <family val="2"/>
      <scheme val="minor"/>
    </font>
    <font>
      <sz val="11"/>
      <color rgb="FFFF0000"/>
      <name val="ＭＳ Ｐゴシック"/>
      <family val="2"/>
      <scheme val="minor"/>
    </font>
    <font>
      <sz val="11"/>
      <color theme="1"/>
      <name val="Times New Roman"/>
      <family val="1"/>
    </font>
    <font>
      <b/>
      <sz val="11"/>
      <color theme="1"/>
      <name val="Times New Roman"/>
      <family val="1"/>
    </font>
    <font>
      <b/>
      <sz val="11"/>
      <color rgb="FFFF0000"/>
      <name val="Times New Roman"/>
      <family val="1"/>
    </font>
    <font>
      <b/>
      <sz val="11"/>
      <color rgb="FFFF0000"/>
      <name val="ＭＳ Ｐゴシック"/>
      <family val="2"/>
      <scheme val="minor"/>
    </font>
    <font>
      <b/>
      <sz val="11"/>
      <color rgb="FF0070C0"/>
      <name val="ＭＳ Ｐゴシック"/>
      <family val="2"/>
      <scheme val="minor"/>
    </font>
    <font>
      <sz val="11"/>
      <color rgb="FFFF0000"/>
      <name val="ＭＳ Ｐゴシック"/>
      <family val="2"/>
      <charset val="128"/>
      <scheme val="minor"/>
    </font>
    <font>
      <sz val="11"/>
      <color theme="1"/>
      <name val="Meiryo UI"/>
      <family val="2"/>
    </font>
    <font>
      <b/>
      <sz val="11"/>
      <color theme="1"/>
      <name val="Meiryo UI"/>
      <family val="2"/>
    </font>
    <font>
      <b/>
      <sz val="11"/>
      <name val="Times New Roman"/>
      <family val="1"/>
    </font>
    <font>
      <sz val="9"/>
      <color theme="1"/>
      <name val="ＭＳ Ｐゴシック"/>
      <family val="3"/>
      <charset val="128"/>
    </font>
    <font>
      <sz val="10"/>
      <color theme="1"/>
      <name val="ＭＳ Ｐゴシック"/>
      <family val="3"/>
      <charset val="128"/>
      <scheme val="minor"/>
    </font>
    <font>
      <sz val="10"/>
      <color theme="1"/>
      <name val="Calibri"/>
      <family val="2"/>
    </font>
  </fonts>
  <fills count="70">
    <fill>
      <patternFill patternType="none"/>
    </fill>
    <fill>
      <patternFill patternType="gray125"/>
    </fill>
    <fill>
      <patternFill patternType="solid">
        <fgColor theme="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indexed="42"/>
        <bgColor indexed="64"/>
      </patternFill>
    </fill>
    <fill>
      <patternFill patternType="solid">
        <fgColor rgb="FFFFFF00"/>
        <bgColor indexed="64"/>
      </patternFill>
    </fill>
    <fill>
      <patternFill patternType="solid">
        <fgColor indexed="13"/>
        <bgColor indexed="64"/>
      </patternFill>
    </fill>
    <fill>
      <patternFill patternType="solid">
        <fgColor indexed="51"/>
        <bgColor indexed="64"/>
      </patternFill>
    </fill>
    <fill>
      <patternFill patternType="solid">
        <fgColor indexed="31"/>
        <bgColor indexed="64"/>
      </patternFill>
    </fill>
    <fill>
      <patternFill patternType="solid">
        <fgColor indexed="29"/>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5"/>
        <bgColor indexed="64"/>
      </patternFill>
    </fill>
    <fill>
      <patternFill patternType="solid">
        <fgColor indexed="44"/>
        <bgColor indexed="64"/>
      </patternFill>
    </fill>
    <fill>
      <patternFill patternType="solid">
        <fgColor indexed="1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10"/>
        <bgColor indexed="64"/>
      </patternFill>
    </fill>
    <fill>
      <patternFill patternType="solid">
        <fgColor indexed="57"/>
        <bgColor indexed="64"/>
      </patternFill>
    </fill>
    <fill>
      <patternFill patternType="solid">
        <fgColor indexed="25"/>
        <bgColor indexed="64"/>
      </patternFill>
    </fill>
    <fill>
      <patternFill patternType="solid">
        <fgColor indexed="53"/>
        <bgColor indexed="64"/>
      </patternFill>
    </fill>
    <fill>
      <patternFill patternType="solid">
        <fgColor indexed="9"/>
        <bgColor indexed="64"/>
      </patternFill>
    </fill>
    <fill>
      <patternFill patternType="solid">
        <fgColor indexed="55"/>
        <bgColor indexed="64"/>
      </patternFill>
    </fill>
    <fill>
      <patternFill patternType="solid">
        <fgColor indexed="43"/>
        <bgColor indexed="64"/>
      </patternFill>
    </fill>
    <fill>
      <patternFill patternType="solid">
        <fgColor indexed="26"/>
        <bgColor indexed="64"/>
      </patternFill>
    </fill>
    <fill>
      <patternFill patternType="solid">
        <fgColor indexed="62"/>
        <bgColor indexed="64"/>
      </patternFill>
    </fill>
    <fill>
      <patternFill patternType="solid">
        <fgColor indexed="2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rgb="FFCCFFFF"/>
        <bgColor indexed="64"/>
      </patternFill>
    </fill>
    <fill>
      <patternFill patternType="solid">
        <fgColor rgb="FF92D050"/>
        <bgColor indexed="64"/>
      </patternFill>
    </fill>
    <fill>
      <patternFill patternType="solid">
        <fgColor rgb="FFFF0000"/>
        <bgColor indexed="64"/>
      </patternFill>
    </fill>
  </fills>
  <borders count="4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rgb="FFB2B2B2"/>
      </left>
      <right style="thin">
        <color rgb="FFB2B2B2"/>
      </right>
      <top style="thin">
        <color rgb="FFB2B2B2"/>
      </top>
      <bottom style="thin">
        <color rgb="FFB2B2B2"/>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bottom/>
      <diagonal/>
    </border>
    <border>
      <left/>
      <right style="thin">
        <color indexed="64"/>
      </right>
      <top style="hair">
        <color indexed="64"/>
      </top>
      <bottom style="hair">
        <color indexed="64"/>
      </bottom>
      <diagonal/>
    </border>
    <border>
      <left/>
      <right style="thin">
        <color indexed="64"/>
      </right>
      <top/>
      <bottom/>
      <diagonal/>
    </border>
    <border>
      <left style="thin">
        <color indexed="64"/>
      </left>
      <right style="thin">
        <color indexed="64"/>
      </right>
      <top style="thin">
        <color indexed="64"/>
      </top>
      <bottom style="hair">
        <color indexed="64"/>
      </bottom>
      <diagonal/>
    </border>
    <border>
      <left/>
      <right/>
      <top/>
      <bottom style="thick">
        <color indexed="49"/>
      </bottom>
      <diagonal/>
    </border>
    <border>
      <left/>
      <right/>
      <top/>
      <bottom style="thick">
        <color indexed="44"/>
      </bottom>
      <diagonal/>
    </border>
    <border>
      <left/>
      <right/>
      <top/>
      <bottom style="medium">
        <color indexed="44"/>
      </bottom>
      <diagonal/>
    </border>
    <border>
      <left/>
      <right/>
      <top style="thin">
        <color indexed="49"/>
      </top>
      <bottom style="double">
        <color indexed="49"/>
      </bottom>
      <diagonal/>
    </border>
    <border>
      <left style="thin">
        <color indexed="64"/>
      </left>
      <right style="thin">
        <color indexed="64"/>
      </right>
      <top style="thin">
        <color auto="1"/>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hair">
        <color indexed="64"/>
      </top>
      <bottom/>
      <diagonal/>
    </border>
    <border>
      <left style="thin">
        <color indexed="64"/>
      </left>
      <right style="thin">
        <color indexed="64"/>
      </right>
      <top style="thin">
        <color auto="1"/>
      </top>
      <bottom style="thin">
        <color indexed="64"/>
      </bottom>
      <diagonal/>
    </border>
    <border>
      <left style="hair">
        <color auto="1"/>
      </left>
      <right style="hair">
        <color auto="1"/>
      </right>
      <top style="hair">
        <color auto="1"/>
      </top>
      <bottom style="hair">
        <color auto="1"/>
      </bottom>
      <diagonal/>
    </border>
    <border>
      <left/>
      <right style="thin">
        <color indexed="64"/>
      </right>
      <top style="thin">
        <color indexed="64"/>
      </top>
      <bottom/>
      <diagonal/>
    </border>
    <border>
      <left/>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hair">
        <color indexed="64"/>
      </top>
      <bottom style="hair">
        <color indexed="64"/>
      </bottom>
      <diagonal/>
    </border>
  </borders>
  <cellStyleXfs count="8450">
    <xf numFmtId="0" fontId="0" fillId="0" borderId="0">
      <alignment vertical="center"/>
    </xf>
    <xf numFmtId="0" fontId="19" fillId="3" borderId="0" applyNumberFormat="0" applyBorder="0" applyAlignment="0" applyProtection="0"/>
    <xf numFmtId="0" fontId="19" fillId="4" borderId="0" applyNumberFormat="0" applyBorder="0" applyAlignment="0" applyProtection="0"/>
    <xf numFmtId="0" fontId="19" fillId="5" borderId="0" applyNumberFormat="0" applyBorder="0" applyAlignment="0" applyProtection="0"/>
    <xf numFmtId="0" fontId="19" fillId="6" borderId="0" applyNumberFormat="0" applyBorder="0" applyAlignment="0" applyProtection="0"/>
    <xf numFmtId="0" fontId="19" fillId="7" borderId="0" applyNumberFormat="0" applyBorder="0" applyAlignment="0" applyProtection="0"/>
    <xf numFmtId="0" fontId="19" fillId="8"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6" borderId="0" applyNumberFormat="0" applyBorder="0" applyAlignment="0" applyProtection="0"/>
    <xf numFmtId="0" fontId="19" fillId="9" borderId="0" applyNumberFormat="0" applyBorder="0" applyAlignment="0" applyProtection="0"/>
    <xf numFmtId="0" fontId="19" fillId="12" borderId="0" applyNumberFormat="0" applyBorder="0" applyAlignment="0" applyProtection="0"/>
    <xf numFmtId="0" fontId="20" fillId="13" borderId="0" applyNumberFormat="0" applyBorder="0" applyAlignment="0" applyProtection="0"/>
    <xf numFmtId="0" fontId="20" fillId="10" borderId="0" applyNumberFormat="0" applyBorder="0" applyAlignment="0" applyProtection="0"/>
    <xf numFmtId="0" fontId="20" fillId="11" borderId="0" applyNumberFormat="0" applyBorder="0" applyAlignment="0" applyProtection="0"/>
    <xf numFmtId="0" fontId="20" fillId="14"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20" fillId="14" borderId="0" applyNumberFormat="0" applyBorder="0" applyAlignment="0" applyProtection="0"/>
    <xf numFmtId="0" fontId="20" fillId="15" borderId="0" applyNumberFormat="0" applyBorder="0" applyAlignment="0" applyProtection="0"/>
    <xf numFmtId="0" fontId="20" fillId="20" borderId="0" applyNumberFormat="0" applyBorder="0" applyAlignment="0" applyProtection="0"/>
    <xf numFmtId="0" fontId="21" fillId="4" borderId="0" applyNumberFormat="0" applyBorder="0" applyAlignment="0" applyProtection="0"/>
    <xf numFmtId="0" fontId="22" fillId="21" borderId="5" applyNumberFormat="0" applyAlignment="0" applyProtection="0"/>
    <xf numFmtId="0" fontId="23" fillId="22" borderId="6" applyNumberFormat="0" applyAlignment="0" applyProtection="0"/>
    <xf numFmtId="177" fontId="24" fillId="0" borderId="0" applyFont="0" applyFill="0" applyBorder="0" applyAlignment="0" applyProtection="0"/>
    <xf numFmtId="38" fontId="25" fillId="0" borderId="0" applyFont="0" applyFill="0" applyBorder="0" applyAlignment="0" applyProtection="0"/>
    <xf numFmtId="40" fontId="25" fillId="0" borderId="0" applyFont="0" applyFill="0" applyBorder="0" applyAlignment="0" applyProtection="0">
      <alignment vertical="center"/>
    </xf>
    <xf numFmtId="40" fontId="25" fillId="0" borderId="0" applyFont="0" applyFill="0" applyBorder="0" applyAlignment="0" applyProtection="0">
      <alignment vertical="center"/>
    </xf>
    <xf numFmtId="176" fontId="26" fillId="0" borderId="0" applyFont="0" applyFill="0" applyBorder="0" applyAlignment="0" applyProtection="0"/>
    <xf numFmtId="176" fontId="27" fillId="0" borderId="0" applyFont="0" applyFill="0" applyBorder="0" applyAlignment="0" applyProtection="0"/>
    <xf numFmtId="40" fontId="25" fillId="0" borderId="0" applyFont="0" applyFill="0" applyBorder="0" applyAlignment="0" applyProtection="0">
      <alignment vertical="center"/>
    </xf>
    <xf numFmtId="178" fontId="24" fillId="0" borderId="0" applyFont="0" applyFill="0" applyBorder="0" applyAlignment="0" applyProtection="0"/>
    <xf numFmtId="178" fontId="24" fillId="0" borderId="0" applyFont="0" applyFill="0" applyBorder="0" applyAlignment="0" applyProtection="0"/>
    <xf numFmtId="176" fontId="17" fillId="0" borderId="0" applyFont="0" applyFill="0" applyBorder="0" applyAlignment="0" applyProtection="0"/>
    <xf numFmtId="176" fontId="17" fillId="0" borderId="0" applyFont="0" applyFill="0" applyBorder="0" applyAlignment="0" applyProtection="0"/>
    <xf numFmtId="40" fontId="25" fillId="0" borderId="0" applyFont="0" applyFill="0" applyBorder="0" applyAlignment="0" applyProtection="0">
      <alignment vertical="center"/>
    </xf>
    <xf numFmtId="40" fontId="25" fillId="0" borderId="0" applyFont="0" applyFill="0" applyBorder="0" applyAlignment="0" applyProtection="0">
      <alignment vertical="center"/>
    </xf>
    <xf numFmtId="0" fontId="28" fillId="0" borderId="0" applyNumberFormat="0" applyFill="0" applyBorder="0" applyAlignment="0" applyProtection="0"/>
    <xf numFmtId="0" fontId="29" fillId="5" borderId="0" applyNumberFormat="0" applyBorder="0" applyAlignment="0" applyProtection="0"/>
    <xf numFmtId="0" fontId="30" fillId="0" borderId="7" applyNumberFormat="0" applyFill="0" applyAlignment="0" applyProtection="0"/>
    <xf numFmtId="0" fontId="31" fillId="0" borderId="8" applyNumberFormat="0" applyFill="0" applyAlignment="0" applyProtection="0"/>
    <xf numFmtId="0" fontId="32" fillId="0" borderId="9" applyNumberFormat="0" applyFill="0" applyAlignment="0" applyProtection="0"/>
    <xf numFmtId="0" fontId="32" fillId="0" borderId="0" applyNumberFormat="0" applyFill="0" applyBorder="0" applyAlignment="0" applyProtection="0"/>
    <xf numFmtId="0" fontId="33" fillId="8" borderId="5" applyNumberFormat="0" applyAlignment="0" applyProtection="0"/>
    <xf numFmtId="0" fontId="34" fillId="0" borderId="10" applyNumberFormat="0" applyFill="0" applyAlignment="0" applyProtection="0"/>
    <xf numFmtId="0" fontId="35" fillId="23" borderId="0" applyNumberFormat="0" applyBorder="0" applyAlignment="0" applyProtection="0"/>
    <xf numFmtId="0" fontId="36" fillId="0" borderId="0"/>
    <xf numFmtId="0" fontId="37" fillId="0" borderId="0">
      <alignment vertical="top"/>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17" fillId="0" borderId="0">
      <alignment vertical="center"/>
    </xf>
    <xf numFmtId="0" fontId="36" fillId="0" borderId="0"/>
    <xf numFmtId="0" fontId="26" fillId="0" borderId="0"/>
    <xf numFmtId="0" fontId="17" fillId="0" borderId="0"/>
    <xf numFmtId="0" fontId="17" fillId="0" borderId="0"/>
    <xf numFmtId="0" fontId="37" fillId="0" borderId="0">
      <alignment vertical="top"/>
    </xf>
    <xf numFmtId="0" fontId="26" fillId="0" borderId="0"/>
    <xf numFmtId="0" fontId="38" fillId="0" borderId="0"/>
    <xf numFmtId="0" fontId="39" fillId="0" borderId="0"/>
    <xf numFmtId="0" fontId="17" fillId="0" borderId="0"/>
    <xf numFmtId="0" fontId="17" fillId="0" borderId="0"/>
    <xf numFmtId="0" fontId="17" fillId="0" borderId="0"/>
    <xf numFmtId="0" fontId="25" fillId="24" borderId="11" applyNumberFormat="0" applyFont="0" applyAlignment="0" applyProtection="0"/>
    <xf numFmtId="0" fontId="40" fillId="21" borderId="12" applyNumberFormat="0" applyAlignment="0" applyProtection="0"/>
    <xf numFmtId="9" fontId="38" fillId="0" borderId="0" applyFont="0" applyFill="0" applyBorder="0" applyAlignment="0" applyProtection="0"/>
    <xf numFmtId="0" fontId="41" fillId="0" borderId="0" applyNumberFormat="0" applyFill="0" applyBorder="0" applyAlignment="0" applyProtection="0"/>
    <xf numFmtId="0" fontId="42" fillId="0" borderId="13" applyNumberFormat="0" applyFill="0" applyAlignment="0" applyProtection="0"/>
    <xf numFmtId="0" fontId="43" fillId="0" borderId="0" applyNumberFormat="0" applyFill="0" applyBorder="0" applyAlignment="0" applyProtection="0"/>
    <xf numFmtId="9" fontId="15" fillId="0" borderId="0" applyFont="0" applyFill="0" applyBorder="0" applyAlignment="0" applyProtection="0">
      <alignment vertical="center"/>
    </xf>
    <xf numFmtId="0" fontId="25" fillId="0" borderId="0"/>
    <xf numFmtId="40" fontId="25" fillId="0" borderId="0" applyFont="0" applyFill="0" applyBorder="0" applyAlignment="0" applyProtection="0">
      <alignment vertical="center"/>
    </xf>
    <xf numFmtId="176" fontId="15" fillId="0" borderId="0" applyFont="0" applyFill="0" applyBorder="0" applyAlignment="0" applyProtection="0"/>
    <xf numFmtId="176" fontId="26" fillId="0" borderId="0" applyFont="0" applyFill="0" applyBorder="0" applyAlignment="0" applyProtection="0"/>
    <xf numFmtId="176" fontId="39" fillId="0" borderId="0" applyFont="0" applyFill="0" applyBorder="0" applyAlignment="0" applyProtection="0"/>
    <xf numFmtId="38" fontId="25" fillId="0" borderId="0" applyFont="0" applyFill="0" applyBorder="0" applyAlignment="0" applyProtection="0"/>
    <xf numFmtId="38" fontId="26" fillId="0" borderId="0" applyFont="0" applyFill="0" applyBorder="0" applyAlignment="0" applyProtection="0">
      <alignment vertical="center"/>
    </xf>
    <xf numFmtId="38" fontId="15" fillId="0" borderId="0" applyFont="0" applyFill="0" applyBorder="0" applyAlignment="0" applyProtection="0">
      <alignment vertical="center"/>
    </xf>
    <xf numFmtId="38" fontId="25" fillId="0" borderId="0" applyFont="0" applyFill="0" applyBorder="0" applyAlignment="0" applyProtection="0"/>
    <xf numFmtId="38" fontId="39" fillId="0" borderId="0" applyFont="0" applyFill="0" applyBorder="0" applyAlignment="0" applyProtection="0">
      <alignment vertical="center"/>
    </xf>
    <xf numFmtId="0" fontId="44" fillId="0" borderId="0"/>
    <xf numFmtId="0" fontId="15" fillId="0" borderId="0">
      <alignment vertical="center"/>
    </xf>
    <xf numFmtId="0" fontId="25" fillId="0" borderId="0">
      <alignment vertical="center"/>
    </xf>
    <xf numFmtId="0" fontId="15" fillId="0" borderId="0">
      <alignment vertical="center"/>
    </xf>
    <xf numFmtId="0" fontId="25" fillId="0" borderId="0"/>
    <xf numFmtId="0" fontId="39" fillId="0" borderId="0"/>
    <xf numFmtId="0" fontId="26" fillId="0" borderId="0"/>
    <xf numFmtId="38" fontId="46" fillId="0" borderId="0" applyFont="0" applyFill="0" applyBorder="0" applyAlignment="0" applyProtection="0">
      <alignment vertical="center"/>
    </xf>
    <xf numFmtId="179" fontId="49" fillId="0" borderId="0">
      <alignment vertical="center"/>
    </xf>
    <xf numFmtId="9" fontId="46" fillId="0" borderId="0" applyFont="0" applyFill="0" applyBorder="0" applyAlignment="0" applyProtection="0">
      <alignment vertical="center"/>
    </xf>
    <xf numFmtId="6" fontId="46" fillId="0" borderId="0" applyFont="0" applyFill="0" applyBorder="0" applyAlignment="0" applyProtection="0">
      <alignment vertical="center"/>
    </xf>
    <xf numFmtId="176" fontId="46" fillId="0" borderId="0" applyFont="0" applyFill="0" applyBorder="0" applyAlignment="0" applyProtection="0"/>
    <xf numFmtId="179" fontId="53" fillId="0" borderId="0" applyNumberFormat="0" applyFill="0" applyBorder="0" applyAlignment="0" applyProtection="0">
      <alignment vertical="center"/>
    </xf>
    <xf numFmtId="0" fontId="26" fillId="0" borderId="0" applyBorder="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179" fontId="54" fillId="42" borderId="0" applyNumberFormat="0" applyBorder="0" applyAlignment="0" applyProtection="0">
      <alignment vertical="center"/>
    </xf>
    <xf numFmtId="179" fontId="54" fillId="42" borderId="0" applyNumberFormat="0" applyBorder="0" applyAlignment="0" applyProtection="0">
      <alignment vertical="center"/>
    </xf>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179" fontId="54" fillId="43" borderId="0" applyNumberFormat="0" applyBorder="0" applyAlignment="0" applyProtection="0">
      <alignment vertical="center"/>
    </xf>
    <xf numFmtId="179" fontId="54" fillId="43" borderId="0" applyNumberFormat="0" applyBorder="0" applyAlignment="0" applyProtection="0">
      <alignment vertical="center"/>
    </xf>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30" borderId="0" applyNumberFormat="0" applyBorder="0" applyAlignment="0" applyProtection="0"/>
    <xf numFmtId="0" fontId="14" fillId="30" borderId="0" applyNumberFormat="0" applyBorder="0" applyAlignment="0" applyProtection="0"/>
    <xf numFmtId="0" fontId="14" fillId="30" borderId="0" applyNumberFormat="0" applyBorder="0" applyAlignment="0" applyProtection="0"/>
    <xf numFmtId="0" fontId="14" fillId="30" borderId="0" applyNumberFormat="0" applyBorder="0" applyAlignment="0" applyProtection="0"/>
    <xf numFmtId="0" fontId="14" fillId="30" borderId="0" applyNumberFormat="0" applyBorder="0" applyAlignment="0" applyProtection="0"/>
    <xf numFmtId="0" fontId="14" fillId="30" borderId="0" applyNumberFormat="0" applyBorder="0" applyAlignment="0" applyProtection="0"/>
    <xf numFmtId="0" fontId="14" fillId="30" borderId="0" applyNumberFormat="0" applyBorder="0" applyAlignment="0" applyProtection="0"/>
    <xf numFmtId="0" fontId="14" fillId="30" borderId="0" applyNumberFormat="0" applyBorder="0" applyAlignment="0" applyProtection="0"/>
    <xf numFmtId="179" fontId="54" fillId="38" borderId="0" applyNumberFormat="0" applyBorder="0" applyAlignment="0" applyProtection="0">
      <alignment vertical="center"/>
    </xf>
    <xf numFmtId="179" fontId="54" fillId="38" borderId="0" applyNumberFormat="0" applyBorder="0" applyAlignment="0" applyProtection="0">
      <alignment vertical="center"/>
    </xf>
    <xf numFmtId="0" fontId="14" fillId="30" borderId="0" applyNumberFormat="0" applyBorder="0" applyAlignment="0" applyProtection="0"/>
    <xf numFmtId="0" fontId="14" fillId="30" borderId="0" applyNumberFormat="0" applyBorder="0" applyAlignment="0" applyProtection="0"/>
    <xf numFmtId="0" fontId="14" fillId="30" borderId="0" applyNumberFormat="0" applyBorder="0" applyAlignment="0" applyProtection="0"/>
    <xf numFmtId="0" fontId="14" fillId="30" borderId="0" applyNumberFormat="0" applyBorder="0" applyAlignment="0" applyProtection="0"/>
    <xf numFmtId="0" fontId="14" fillId="30" borderId="0" applyNumberFormat="0" applyBorder="0" applyAlignment="0" applyProtection="0"/>
    <xf numFmtId="0" fontId="14" fillId="30" borderId="0" applyNumberFormat="0" applyBorder="0" applyAlignment="0" applyProtection="0"/>
    <xf numFmtId="0" fontId="14" fillId="30" borderId="0" applyNumberFormat="0" applyBorder="0" applyAlignment="0" applyProtection="0"/>
    <xf numFmtId="0" fontId="14" fillId="30" borderId="0" applyNumberFormat="0" applyBorder="0" applyAlignment="0" applyProtection="0"/>
    <xf numFmtId="0" fontId="14" fillId="30" borderId="0" applyNumberFormat="0" applyBorder="0" applyAlignment="0" applyProtection="0"/>
    <xf numFmtId="0" fontId="14" fillId="30" borderId="0" applyNumberFormat="0" applyBorder="0" applyAlignment="0" applyProtection="0"/>
    <xf numFmtId="0" fontId="14" fillId="30" borderId="0" applyNumberFormat="0" applyBorder="0" applyAlignment="0" applyProtection="0"/>
    <xf numFmtId="0" fontId="14" fillId="30"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179" fontId="54" fillId="44" borderId="0" applyNumberFormat="0" applyBorder="0" applyAlignment="0" applyProtection="0">
      <alignment vertical="center"/>
    </xf>
    <xf numFmtId="179" fontId="54" fillId="44" borderId="0" applyNumberFormat="0" applyBorder="0" applyAlignment="0" applyProtection="0">
      <alignment vertical="center"/>
    </xf>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4" borderId="0" applyNumberFormat="0" applyBorder="0" applyAlignment="0" applyProtection="0"/>
    <xf numFmtId="0" fontId="14" fillId="34" borderId="0" applyNumberFormat="0" applyBorder="0" applyAlignment="0" applyProtection="0"/>
    <xf numFmtId="0" fontId="14" fillId="34" borderId="0" applyNumberFormat="0" applyBorder="0" applyAlignment="0" applyProtection="0"/>
    <xf numFmtId="0" fontId="14" fillId="34" borderId="0" applyNumberFormat="0" applyBorder="0" applyAlignment="0" applyProtection="0"/>
    <xf numFmtId="0" fontId="14" fillId="34" borderId="0" applyNumberFormat="0" applyBorder="0" applyAlignment="0" applyProtection="0"/>
    <xf numFmtId="0" fontId="14" fillId="34" borderId="0" applyNumberFormat="0" applyBorder="0" applyAlignment="0" applyProtection="0"/>
    <xf numFmtId="0" fontId="14" fillId="34" borderId="0" applyNumberFormat="0" applyBorder="0" applyAlignment="0" applyProtection="0"/>
    <xf numFmtId="0" fontId="14" fillId="34" borderId="0" applyNumberFormat="0" applyBorder="0" applyAlignment="0" applyProtection="0"/>
    <xf numFmtId="179" fontId="54" fillId="45" borderId="0" applyNumberFormat="0" applyBorder="0" applyAlignment="0" applyProtection="0">
      <alignment vertical="center"/>
    </xf>
    <xf numFmtId="179" fontId="54" fillId="45" borderId="0" applyNumberFormat="0" applyBorder="0" applyAlignment="0" applyProtection="0">
      <alignment vertical="center"/>
    </xf>
    <xf numFmtId="0" fontId="14" fillId="34" borderId="0" applyNumberFormat="0" applyBorder="0" applyAlignment="0" applyProtection="0"/>
    <xf numFmtId="0" fontId="14" fillId="34" borderId="0" applyNumberFormat="0" applyBorder="0" applyAlignment="0" applyProtection="0"/>
    <xf numFmtId="0" fontId="14" fillId="34" borderId="0" applyNumberFormat="0" applyBorder="0" applyAlignment="0" applyProtection="0"/>
    <xf numFmtId="0" fontId="14" fillId="34" borderId="0" applyNumberFormat="0" applyBorder="0" applyAlignment="0" applyProtection="0"/>
    <xf numFmtId="0" fontId="14" fillId="34" borderId="0" applyNumberFormat="0" applyBorder="0" applyAlignment="0" applyProtection="0"/>
    <xf numFmtId="0" fontId="14" fillId="34" borderId="0" applyNumberFormat="0" applyBorder="0" applyAlignment="0" applyProtection="0"/>
    <xf numFmtId="0" fontId="14" fillId="34" borderId="0" applyNumberFormat="0" applyBorder="0" applyAlignment="0" applyProtection="0"/>
    <xf numFmtId="0" fontId="14" fillId="34" borderId="0" applyNumberFormat="0" applyBorder="0" applyAlignment="0" applyProtection="0"/>
    <xf numFmtId="0" fontId="14" fillId="34" borderId="0" applyNumberFormat="0" applyBorder="0" applyAlignment="0" applyProtection="0"/>
    <xf numFmtId="0" fontId="14" fillId="34" borderId="0" applyNumberFormat="0" applyBorder="0" applyAlignment="0" applyProtection="0"/>
    <xf numFmtId="0" fontId="14" fillId="34" borderId="0" applyNumberFormat="0" applyBorder="0" applyAlignment="0" applyProtection="0"/>
    <xf numFmtId="0" fontId="14" fillId="34"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179" fontId="54" fillId="46" borderId="0" applyNumberFormat="0" applyBorder="0" applyAlignment="0" applyProtection="0">
      <alignment vertical="center"/>
    </xf>
    <xf numFmtId="179" fontId="54" fillId="46" borderId="0" applyNumberFormat="0" applyBorder="0" applyAlignment="0" applyProtection="0">
      <alignment vertical="center"/>
    </xf>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54" fillId="3" borderId="0" applyNumberFormat="0" applyBorder="0" applyAlignment="0" applyProtection="0">
      <alignment vertical="center"/>
    </xf>
    <xf numFmtId="179" fontId="54" fillId="42" borderId="0" applyNumberFormat="0" applyBorder="0" applyAlignment="0" applyProtection="0">
      <alignment vertical="center"/>
    </xf>
    <xf numFmtId="179" fontId="54" fillId="42" borderId="0" applyNumberFormat="0" applyBorder="0" applyAlignment="0" applyProtection="0">
      <alignment vertical="center"/>
    </xf>
    <xf numFmtId="179" fontId="54" fillId="42" borderId="0" applyNumberFormat="0" applyBorder="0" applyAlignment="0" applyProtection="0">
      <alignment vertical="center"/>
    </xf>
    <xf numFmtId="0" fontId="54" fillId="4" borderId="0" applyNumberFormat="0" applyBorder="0" applyAlignment="0" applyProtection="0">
      <alignment vertical="center"/>
    </xf>
    <xf numFmtId="179" fontId="54" fillId="43" borderId="0" applyNumberFormat="0" applyBorder="0" applyAlignment="0" applyProtection="0">
      <alignment vertical="center"/>
    </xf>
    <xf numFmtId="179" fontId="54" fillId="43" borderId="0" applyNumberFormat="0" applyBorder="0" applyAlignment="0" applyProtection="0">
      <alignment vertical="center"/>
    </xf>
    <xf numFmtId="179" fontId="54" fillId="47" borderId="0" applyNumberFormat="0" applyBorder="0" applyAlignment="0" applyProtection="0">
      <alignment vertical="center"/>
    </xf>
    <xf numFmtId="0" fontId="54" fillId="5" borderId="0" applyNumberFormat="0" applyBorder="0" applyAlignment="0" applyProtection="0">
      <alignment vertical="center"/>
    </xf>
    <xf numFmtId="179" fontId="54" fillId="38" borderId="0" applyNumberFormat="0" applyBorder="0" applyAlignment="0" applyProtection="0">
      <alignment vertical="center"/>
    </xf>
    <xf numFmtId="179" fontId="54" fillId="38" borderId="0" applyNumberFormat="0" applyBorder="0" applyAlignment="0" applyProtection="0">
      <alignment vertical="center"/>
    </xf>
    <xf numFmtId="179" fontId="54" fillId="38" borderId="0" applyNumberFormat="0" applyBorder="0" applyAlignment="0" applyProtection="0">
      <alignment vertical="center"/>
    </xf>
    <xf numFmtId="0" fontId="54" fillId="6" borderId="0" applyNumberFormat="0" applyBorder="0" applyAlignment="0" applyProtection="0">
      <alignment vertical="center"/>
    </xf>
    <xf numFmtId="179" fontId="54" fillId="44" borderId="0" applyNumberFormat="0" applyBorder="0" applyAlignment="0" applyProtection="0">
      <alignment vertical="center"/>
    </xf>
    <xf numFmtId="179" fontId="54" fillId="44" borderId="0" applyNumberFormat="0" applyBorder="0" applyAlignment="0" applyProtection="0">
      <alignment vertical="center"/>
    </xf>
    <xf numFmtId="179" fontId="54" fillId="44" borderId="0" applyNumberFormat="0" applyBorder="0" applyAlignment="0" applyProtection="0">
      <alignment vertical="center"/>
    </xf>
    <xf numFmtId="0" fontId="54" fillId="7" borderId="0" applyNumberFormat="0" applyBorder="0" applyAlignment="0" applyProtection="0">
      <alignment vertical="center"/>
    </xf>
    <xf numFmtId="179" fontId="54" fillId="45" borderId="0" applyNumberFormat="0" applyBorder="0" applyAlignment="0" applyProtection="0">
      <alignment vertical="center"/>
    </xf>
    <xf numFmtId="179" fontId="54" fillId="45" borderId="0" applyNumberFormat="0" applyBorder="0" applyAlignment="0" applyProtection="0">
      <alignment vertical="center"/>
    </xf>
    <xf numFmtId="179" fontId="54" fillId="45" borderId="0" applyNumberFormat="0" applyBorder="0" applyAlignment="0" applyProtection="0">
      <alignment vertical="center"/>
    </xf>
    <xf numFmtId="0" fontId="54" fillId="8" borderId="0" applyNumberFormat="0" applyBorder="0" applyAlignment="0" applyProtection="0">
      <alignment vertical="center"/>
    </xf>
    <xf numFmtId="179" fontId="54" fillId="46" borderId="0" applyNumberFormat="0" applyBorder="0" applyAlignment="0" applyProtection="0">
      <alignment vertical="center"/>
    </xf>
    <xf numFmtId="179" fontId="54" fillId="46" borderId="0" applyNumberFormat="0" applyBorder="0" applyAlignment="0" applyProtection="0">
      <alignment vertical="center"/>
    </xf>
    <xf numFmtId="179" fontId="54" fillId="46" borderId="0" applyNumberFormat="0" applyBorder="0" applyAlignment="0" applyProtection="0">
      <alignment vertical="center"/>
    </xf>
    <xf numFmtId="0" fontId="26" fillId="0" borderId="0" applyBorder="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179" fontId="54" fillId="48" borderId="0" applyNumberFormat="0" applyBorder="0" applyAlignment="0" applyProtection="0">
      <alignment vertical="center"/>
    </xf>
    <xf numFmtId="179" fontId="54" fillId="48" borderId="0" applyNumberFormat="0" applyBorder="0" applyAlignment="0" applyProtection="0">
      <alignment vertical="center"/>
    </xf>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9" borderId="0" applyNumberFormat="0" applyBorder="0" applyAlignment="0" applyProtection="0"/>
    <xf numFmtId="0" fontId="14" fillId="29" borderId="0" applyNumberFormat="0" applyBorder="0" applyAlignment="0" applyProtection="0"/>
    <xf numFmtId="0" fontId="14" fillId="29" borderId="0" applyNumberFormat="0" applyBorder="0" applyAlignment="0" applyProtection="0"/>
    <xf numFmtId="0" fontId="14" fillId="29" borderId="0" applyNumberFormat="0" applyBorder="0" applyAlignment="0" applyProtection="0"/>
    <xf numFmtId="0" fontId="14" fillId="29" borderId="0" applyNumberFormat="0" applyBorder="0" applyAlignment="0" applyProtection="0"/>
    <xf numFmtId="0" fontId="14" fillId="29" borderId="0" applyNumberFormat="0" applyBorder="0" applyAlignment="0" applyProtection="0"/>
    <xf numFmtId="0" fontId="14" fillId="29" borderId="0" applyNumberFormat="0" applyBorder="0" applyAlignment="0" applyProtection="0"/>
    <xf numFmtId="0" fontId="14" fillId="29" borderId="0" applyNumberFormat="0" applyBorder="0" applyAlignment="0" applyProtection="0"/>
    <xf numFmtId="179" fontId="54" fillId="43" borderId="0" applyNumberFormat="0" applyBorder="0" applyAlignment="0" applyProtection="0">
      <alignment vertical="center"/>
    </xf>
    <xf numFmtId="179" fontId="54" fillId="43" borderId="0" applyNumberFormat="0" applyBorder="0" applyAlignment="0" applyProtection="0">
      <alignment vertical="center"/>
    </xf>
    <xf numFmtId="0" fontId="14" fillId="29" borderId="0" applyNumberFormat="0" applyBorder="0" applyAlignment="0" applyProtection="0"/>
    <xf numFmtId="0" fontId="14" fillId="29" borderId="0" applyNumberFormat="0" applyBorder="0" applyAlignment="0" applyProtection="0"/>
    <xf numFmtId="0" fontId="14" fillId="29" borderId="0" applyNumberFormat="0" applyBorder="0" applyAlignment="0" applyProtection="0"/>
    <xf numFmtId="0" fontId="14" fillId="29" borderId="0" applyNumberFormat="0" applyBorder="0" applyAlignment="0" applyProtection="0"/>
    <xf numFmtId="0" fontId="14" fillId="29" borderId="0" applyNumberFormat="0" applyBorder="0" applyAlignment="0" applyProtection="0"/>
    <xf numFmtId="0" fontId="14" fillId="29" borderId="0" applyNumberFormat="0" applyBorder="0" applyAlignment="0" applyProtection="0"/>
    <xf numFmtId="0" fontId="14" fillId="29" borderId="0" applyNumberFormat="0" applyBorder="0" applyAlignment="0" applyProtection="0"/>
    <xf numFmtId="0" fontId="14" fillId="29" borderId="0" applyNumberFormat="0" applyBorder="0" applyAlignment="0" applyProtection="0"/>
    <xf numFmtId="0" fontId="14" fillId="29" borderId="0" applyNumberFormat="0" applyBorder="0" applyAlignment="0" applyProtection="0"/>
    <xf numFmtId="0" fontId="14" fillId="29" borderId="0" applyNumberFormat="0" applyBorder="0" applyAlignment="0" applyProtection="0"/>
    <xf numFmtId="0" fontId="14" fillId="29" borderId="0" applyNumberFormat="0" applyBorder="0" applyAlignment="0" applyProtection="0"/>
    <xf numFmtId="0" fontId="14" fillId="29"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179" fontId="54" fillId="38" borderId="0" applyNumberFormat="0" applyBorder="0" applyAlignment="0" applyProtection="0">
      <alignment vertical="center"/>
    </xf>
    <xf numFmtId="179" fontId="54" fillId="38" borderId="0" applyNumberFormat="0" applyBorder="0" applyAlignment="0" applyProtection="0">
      <alignment vertical="center"/>
    </xf>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179" fontId="54" fillId="44" borderId="0" applyNumberFormat="0" applyBorder="0" applyAlignment="0" applyProtection="0">
      <alignment vertical="center"/>
    </xf>
    <xf numFmtId="179" fontId="54" fillId="44" borderId="0" applyNumberFormat="0" applyBorder="0" applyAlignment="0" applyProtection="0">
      <alignment vertical="center"/>
    </xf>
    <xf numFmtId="0" fontId="14" fillId="33"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5" borderId="0" applyNumberFormat="0" applyBorder="0" applyAlignment="0" applyProtection="0"/>
    <xf numFmtId="0" fontId="14" fillId="35" borderId="0" applyNumberFormat="0" applyBorder="0" applyAlignment="0" applyProtection="0"/>
    <xf numFmtId="0" fontId="14" fillId="35" borderId="0" applyNumberFormat="0" applyBorder="0" applyAlignment="0" applyProtection="0"/>
    <xf numFmtId="0" fontId="14" fillId="35" borderId="0" applyNumberFormat="0" applyBorder="0" applyAlignment="0" applyProtection="0"/>
    <xf numFmtId="0" fontId="14" fillId="35" borderId="0" applyNumberFormat="0" applyBorder="0" applyAlignment="0" applyProtection="0"/>
    <xf numFmtId="0" fontId="14" fillId="35" borderId="0" applyNumberFormat="0" applyBorder="0" applyAlignment="0" applyProtection="0"/>
    <xf numFmtId="0" fontId="14" fillId="35" borderId="0" applyNumberFormat="0" applyBorder="0" applyAlignment="0" applyProtection="0"/>
    <xf numFmtId="0" fontId="14" fillId="35" borderId="0" applyNumberFormat="0" applyBorder="0" applyAlignment="0" applyProtection="0"/>
    <xf numFmtId="179" fontId="54" fillId="48" borderId="0" applyNumberFormat="0" applyBorder="0" applyAlignment="0" applyProtection="0">
      <alignment vertical="center"/>
    </xf>
    <xf numFmtId="179" fontId="54" fillId="48" borderId="0" applyNumberFormat="0" applyBorder="0" applyAlignment="0" applyProtection="0">
      <alignment vertical="center"/>
    </xf>
    <xf numFmtId="0" fontId="14" fillId="35" borderId="0" applyNumberFormat="0" applyBorder="0" applyAlignment="0" applyProtection="0"/>
    <xf numFmtId="0" fontId="14" fillId="35" borderId="0" applyNumberFormat="0" applyBorder="0" applyAlignment="0" applyProtection="0"/>
    <xf numFmtId="0" fontId="14" fillId="35" borderId="0" applyNumberFormat="0" applyBorder="0" applyAlignment="0" applyProtection="0"/>
    <xf numFmtId="0" fontId="14" fillId="35" borderId="0" applyNumberFormat="0" applyBorder="0" applyAlignment="0" applyProtection="0"/>
    <xf numFmtId="0" fontId="14" fillId="35" borderId="0" applyNumberFormat="0" applyBorder="0" applyAlignment="0" applyProtection="0"/>
    <xf numFmtId="0" fontId="14" fillId="35" borderId="0" applyNumberFormat="0" applyBorder="0" applyAlignment="0" applyProtection="0"/>
    <xf numFmtId="0" fontId="14" fillId="35" borderId="0" applyNumberFormat="0" applyBorder="0" applyAlignment="0" applyProtection="0"/>
    <xf numFmtId="0" fontId="14" fillId="35" borderId="0" applyNumberFormat="0" applyBorder="0" applyAlignment="0" applyProtection="0"/>
    <xf numFmtId="0" fontId="14" fillId="35" borderId="0" applyNumberFormat="0" applyBorder="0" applyAlignment="0" applyProtection="0"/>
    <xf numFmtId="0" fontId="14" fillId="35" borderId="0" applyNumberFormat="0" applyBorder="0" applyAlignment="0" applyProtection="0"/>
    <xf numFmtId="0" fontId="14" fillId="35" borderId="0" applyNumberFormat="0" applyBorder="0" applyAlignment="0" applyProtection="0"/>
    <xf numFmtId="0" fontId="14" fillId="35"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179" fontId="54" fillId="46" borderId="0" applyNumberFormat="0" applyBorder="0" applyAlignment="0" applyProtection="0">
      <alignment vertical="center"/>
    </xf>
    <xf numFmtId="179" fontId="54" fillId="46" borderId="0" applyNumberFormat="0" applyBorder="0" applyAlignment="0" applyProtection="0">
      <alignment vertical="center"/>
    </xf>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54" fillId="9" borderId="0" applyNumberFormat="0" applyBorder="0" applyAlignment="0" applyProtection="0">
      <alignment vertical="center"/>
    </xf>
    <xf numFmtId="179" fontId="54" fillId="48" borderId="0" applyNumberFormat="0" applyBorder="0" applyAlignment="0" applyProtection="0">
      <alignment vertical="center"/>
    </xf>
    <xf numFmtId="179" fontId="54" fillId="48" borderId="0" applyNumberFormat="0" applyBorder="0" applyAlignment="0" applyProtection="0">
      <alignment vertical="center"/>
    </xf>
    <xf numFmtId="179" fontId="54" fillId="48" borderId="0" applyNumberFormat="0" applyBorder="0" applyAlignment="0" applyProtection="0">
      <alignment vertical="center"/>
    </xf>
    <xf numFmtId="0" fontId="54" fillId="10" borderId="0" applyNumberFormat="0" applyBorder="0" applyAlignment="0" applyProtection="0">
      <alignment vertical="center"/>
    </xf>
    <xf numFmtId="179" fontId="54" fillId="43" borderId="0" applyNumberFormat="0" applyBorder="0" applyAlignment="0" applyProtection="0">
      <alignment vertical="center"/>
    </xf>
    <xf numFmtId="179" fontId="54" fillId="43" borderId="0" applyNumberFormat="0" applyBorder="0" applyAlignment="0" applyProtection="0">
      <alignment vertical="center"/>
    </xf>
    <xf numFmtId="179" fontId="54" fillId="43" borderId="0" applyNumberFormat="0" applyBorder="0" applyAlignment="0" applyProtection="0">
      <alignment vertical="center"/>
    </xf>
    <xf numFmtId="0" fontId="54" fillId="11" borderId="0" applyNumberFormat="0" applyBorder="0" applyAlignment="0" applyProtection="0">
      <alignment vertical="center"/>
    </xf>
    <xf numFmtId="179" fontId="54" fillId="38" borderId="0" applyNumberFormat="0" applyBorder="0" applyAlignment="0" applyProtection="0">
      <alignment vertical="center"/>
    </xf>
    <xf numFmtId="179" fontId="54" fillId="38" borderId="0" applyNumberFormat="0" applyBorder="0" applyAlignment="0" applyProtection="0">
      <alignment vertical="center"/>
    </xf>
    <xf numFmtId="179" fontId="54" fillId="49" borderId="0" applyNumberFormat="0" applyBorder="0" applyAlignment="0" applyProtection="0">
      <alignment vertical="center"/>
    </xf>
    <xf numFmtId="0" fontId="54" fillId="6" borderId="0" applyNumberFormat="0" applyBorder="0" applyAlignment="0" applyProtection="0">
      <alignment vertical="center"/>
    </xf>
    <xf numFmtId="179" fontId="54" fillId="44" borderId="0" applyNumberFormat="0" applyBorder="0" applyAlignment="0" applyProtection="0">
      <alignment vertical="center"/>
    </xf>
    <xf numFmtId="179" fontId="54" fillId="44" borderId="0" applyNumberFormat="0" applyBorder="0" applyAlignment="0" applyProtection="0">
      <alignment vertical="center"/>
    </xf>
    <xf numFmtId="179" fontId="54" fillId="44" borderId="0" applyNumberFormat="0" applyBorder="0" applyAlignment="0" applyProtection="0">
      <alignment vertical="center"/>
    </xf>
    <xf numFmtId="0" fontId="54" fillId="9" borderId="0" applyNumberFormat="0" applyBorder="0" applyAlignment="0" applyProtection="0">
      <alignment vertical="center"/>
    </xf>
    <xf numFmtId="179" fontId="54" fillId="48" borderId="0" applyNumberFormat="0" applyBorder="0" applyAlignment="0" applyProtection="0">
      <alignment vertical="center"/>
    </xf>
    <xf numFmtId="179" fontId="54" fillId="48" borderId="0" applyNumberFormat="0" applyBorder="0" applyAlignment="0" applyProtection="0">
      <alignment vertical="center"/>
    </xf>
    <xf numFmtId="179" fontId="54" fillId="48" borderId="0" applyNumberFormat="0" applyBorder="0" applyAlignment="0" applyProtection="0">
      <alignment vertical="center"/>
    </xf>
    <xf numFmtId="0" fontId="54" fillId="12" borderId="0" applyNumberFormat="0" applyBorder="0" applyAlignment="0" applyProtection="0">
      <alignment vertical="center"/>
    </xf>
    <xf numFmtId="179" fontId="54" fillId="46" borderId="0" applyNumberFormat="0" applyBorder="0" applyAlignment="0" applyProtection="0">
      <alignment vertical="center"/>
    </xf>
    <xf numFmtId="179" fontId="54" fillId="46" borderId="0" applyNumberFormat="0" applyBorder="0" applyAlignment="0" applyProtection="0">
      <alignment vertical="center"/>
    </xf>
    <xf numFmtId="179" fontId="54" fillId="41" borderId="0" applyNumberFormat="0" applyBorder="0" applyAlignment="0" applyProtection="0">
      <alignment vertical="center"/>
    </xf>
    <xf numFmtId="179" fontId="55" fillId="48" borderId="0" applyNumberFormat="0" applyBorder="0" applyAlignment="0" applyProtection="0">
      <alignment vertical="center"/>
    </xf>
    <xf numFmtId="179" fontId="55" fillId="43" borderId="0" applyNumberFormat="0" applyBorder="0" applyAlignment="0" applyProtection="0">
      <alignment vertical="center"/>
    </xf>
    <xf numFmtId="179" fontId="55" fillId="38" borderId="0" applyNumberFormat="0" applyBorder="0" applyAlignment="0" applyProtection="0">
      <alignment vertical="center"/>
    </xf>
    <xf numFmtId="179" fontId="55" fillId="44" borderId="0" applyNumberFormat="0" applyBorder="0" applyAlignment="0" applyProtection="0">
      <alignment vertical="center"/>
    </xf>
    <xf numFmtId="179" fontId="55" fillId="48" borderId="0" applyNumberFormat="0" applyBorder="0" applyAlignment="0" applyProtection="0">
      <alignment vertical="center"/>
    </xf>
    <xf numFmtId="179" fontId="55" fillId="46" borderId="0" applyNumberFormat="0" applyBorder="0" applyAlignment="0" applyProtection="0">
      <alignment vertical="center"/>
    </xf>
    <xf numFmtId="0" fontId="55" fillId="13" borderId="0" applyNumberFormat="0" applyBorder="0" applyAlignment="0" applyProtection="0">
      <alignment vertical="center"/>
    </xf>
    <xf numFmtId="179" fontId="55" fillId="48" borderId="0" applyNumberFormat="0" applyBorder="0" applyAlignment="0" applyProtection="0">
      <alignment vertical="center"/>
    </xf>
    <xf numFmtId="179" fontId="55" fillId="48" borderId="0" applyNumberFormat="0" applyBorder="0" applyAlignment="0" applyProtection="0">
      <alignment vertical="center"/>
    </xf>
    <xf numFmtId="179" fontId="55" fillId="50" borderId="0" applyNumberFormat="0" applyBorder="0" applyAlignment="0" applyProtection="0">
      <alignment vertical="center"/>
    </xf>
    <xf numFmtId="0" fontId="55" fillId="10" borderId="0" applyNumberFormat="0" applyBorder="0" applyAlignment="0" applyProtection="0">
      <alignment vertical="center"/>
    </xf>
    <xf numFmtId="179" fontId="55" fillId="43" borderId="0" applyNumberFormat="0" applyBorder="0" applyAlignment="0" applyProtection="0">
      <alignment vertical="center"/>
    </xf>
    <xf numFmtId="179" fontId="55" fillId="43" borderId="0" applyNumberFormat="0" applyBorder="0" applyAlignment="0" applyProtection="0">
      <alignment vertical="center"/>
    </xf>
    <xf numFmtId="179" fontId="55" fillId="43" borderId="0" applyNumberFormat="0" applyBorder="0" applyAlignment="0" applyProtection="0">
      <alignment vertical="center"/>
    </xf>
    <xf numFmtId="0" fontId="55" fillId="11" borderId="0" applyNumberFormat="0" applyBorder="0" applyAlignment="0" applyProtection="0">
      <alignment vertical="center"/>
    </xf>
    <xf numFmtId="179" fontId="55" fillId="38" borderId="0" applyNumberFormat="0" applyBorder="0" applyAlignment="0" applyProtection="0">
      <alignment vertical="center"/>
    </xf>
    <xf numFmtId="179" fontId="55" fillId="38" borderId="0" applyNumberFormat="0" applyBorder="0" applyAlignment="0" applyProtection="0">
      <alignment vertical="center"/>
    </xf>
    <xf numFmtId="179" fontId="55" fillId="49" borderId="0" applyNumberFormat="0" applyBorder="0" applyAlignment="0" applyProtection="0">
      <alignment vertical="center"/>
    </xf>
    <xf numFmtId="0" fontId="55" fillId="14" borderId="0" applyNumberFormat="0" applyBorder="0" applyAlignment="0" applyProtection="0">
      <alignment vertical="center"/>
    </xf>
    <xf numFmtId="179" fontId="55" fillId="44" borderId="0" applyNumberFormat="0" applyBorder="0" applyAlignment="0" applyProtection="0">
      <alignment vertical="center"/>
    </xf>
    <xf numFmtId="179" fontId="55" fillId="44" borderId="0" applyNumberFormat="0" applyBorder="0" applyAlignment="0" applyProtection="0">
      <alignment vertical="center"/>
    </xf>
    <xf numFmtId="179" fontId="55" fillId="51" borderId="0" applyNumberFormat="0" applyBorder="0" applyAlignment="0" applyProtection="0">
      <alignment vertical="center"/>
    </xf>
    <xf numFmtId="0" fontId="55" fillId="15" borderId="0" applyNumberFormat="0" applyBorder="0" applyAlignment="0" applyProtection="0">
      <alignment vertical="center"/>
    </xf>
    <xf numFmtId="179" fontId="55" fillId="48" borderId="0" applyNumberFormat="0" applyBorder="0" applyAlignment="0" applyProtection="0">
      <alignment vertical="center"/>
    </xf>
    <xf numFmtId="179" fontId="55" fillId="48" borderId="0" applyNumberFormat="0" applyBorder="0" applyAlignment="0" applyProtection="0">
      <alignment vertical="center"/>
    </xf>
    <xf numFmtId="179" fontId="55" fillId="52" borderId="0" applyNumberFormat="0" applyBorder="0" applyAlignment="0" applyProtection="0">
      <alignment vertical="center"/>
    </xf>
    <xf numFmtId="0" fontId="55" fillId="16" borderId="0" applyNumberFormat="0" applyBorder="0" applyAlignment="0" applyProtection="0">
      <alignment vertical="center"/>
    </xf>
    <xf numFmtId="179" fontId="55" fillId="46" borderId="0" applyNumberFormat="0" applyBorder="0" applyAlignment="0" applyProtection="0">
      <alignment vertical="center"/>
    </xf>
    <xf numFmtId="179" fontId="55" fillId="46" borderId="0" applyNumberFormat="0" applyBorder="0" applyAlignment="0" applyProtection="0">
      <alignment vertical="center"/>
    </xf>
    <xf numFmtId="179" fontId="55" fillId="53" borderId="0" applyNumberFormat="0" applyBorder="0" applyAlignment="0" applyProtection="0">
      <alignment vertical="center"/>
    </xf>
    <xf numFmtId="179" fontId="55" fillId="52" borderId="0" applyNumberFormat="0" applyBorder="0" applyAlignment="0" applyProtection="0">
      <alignment vertical="center"/>
    </xf>
    <xf numFmtId="179" fontId="55" fillId="54" borderId="0" applyNumberFormat="0" applyBorder="0" applyAlignment="0" applyProtection="0">
      <alignment vertical="center"/>
    </xf>
    <xf numFmtId="179" fontId="55" fillId="55" borderId="0" applyNumberFormat="0" applyBorder="0" applyAlignment="0" applyProtection="0">
      <alignment vertical="center"/>
    </xf>
    <xf numFmtId="179" fontId="55" fillId="56" borderId="0" applyNumberFormat="0" applyBorder="0" applyAlignment="0" applyProtection="0">
      <alignment vertical="center"/>
    </xf>
    <xf numFmtId="179" fontId="55" fillId="52" borderId="0" applyNumberFormat="0" applyBorder="0" applyAlignment="0" applyProtection="0">
      <alignment vertical="center"/>
    </xf>
    <xf numFmtId="179" fontId="55" fillId="57" borderId="0" applyNumberFormat="0" applyBorder="0" applyAlignment="0" applyProtection="0">
      <alignment vertical="center"/>
    </xf>
    <xf numFmtId="179" fontId="56" fillId="43" borderId="0" applyNumberFormat="0" applyBorder="0" applyAlignment="0" applyProtection="0">
      <alignment vertical="center"/>
    </xf>
    <xf numFmtId="179" fontId="57" fillId="58" borderId="5" applyNumberFormat="0" applyAlignment="0" applyProtection="0">
      <alignment vertical="center"/>
    </xf>
    <xf numFmtId="179" fontId="58" fillId="59" borderId="6" applyNumberFormat="0" applyAlignment="0" applyProtection="0">
      <alignment vertical="center"/>
    </xf>
    <xf numFmtId="38" fontId="46" fillId="0" borderId="0" applyFont="0" applyFill="0" applyBorder="0" applyAlignment="0" applyProtection="0">
      <alignment vertical="center"/>
    </xf>
    <xf numFmtId="38" fontId="25" fillId="0" borderId="0" applyFont="0" applyFill="0" applyBorder="0" applyAlignment="0" applyProtection="0"/>
    <xf numFmtId="176" fontId="46" fillId="0" borderId="0" applyFont="0" applyFill="0" applyBorder="0" applyAlignment="0" applyProtection="0"/>
    <xf numFmtId="40" fontId="25" fillId="0" borderId="0" applyFont="0" applyFill="0" applyBorder="0" applyAlignment="0" applyProtection="0"/>
    <xf numFmtId="179" fontId="59" fillId="0" borderId="0" applyNumberFormat="0" applyFill="0" applyBorder="0" applyAlignment="0" applyProtection="0">
      <alignment vertical="center"/>
    </xf>
    <xf numFmtId="179" fontId="60" fillId="38" borderId="0" applyNumberFormat="0" applyBorder="0" applyAlignment="0" applyProtection="0">
      <alignment vertical="center"/>
    </xf>
    <xf numFmtId="179" fontId="61" fillId="0" borderId="23" applyNumberFormat="0" applyFill="0" applyAlignment="0" applyProtection="0">
      <alignment vertical="center"/>
    </xf>
    <xf numFmtId="179" fontId="62" fillId="0" borderId="24" applyNumberFormat="0" applyFill="0" applyAlignment="0" applyProtection="0">
      <alignment vertical="center"/>
    </xf>
    <xf numFmtId="179" fontId="63" fillId="0" borderId="25" applyNumberFormat="0" applyFill="0" applyAlignment="0" applyProtection="0">
      <alignment vertical="center"/>
    </xf>
    <xf numFmtId="179" fontId="63" fillId="0" borderId="0" applyNumberFormat="0" applyFill="0" applyBorder="0" applyAlignment="0" applyProtection="0">
      <alignment vertical="center"/>
    </xf>
    <xf numFmtId="179" fontId="64" fillId="0" borderId="0" applyNumberFormat="0" applyFill="0" applyBorder="0" applyAlignment="0" applyProtection="0">
      <alignment vertical="center"/>
    </xf>
    <xf numFmtId="179" fontId="65" fillId="46" borderId="5" applyNumberFormat="0" applyAlignment="0" applyProtection="0">
      <alignment vertical="center"/>
    </xf>
    <xf numFmtId="179" fontId="66" fillId="0" borderId="10" applyNumberFormat="0" applyFill="0" applyAlignment="0" applyProtection="0">
      <alignment vertical="center"/>
    </xf>
    <xf numFmtId="179" fontId="56" fillId="60" borderId="0" applyNumberFormat="0" applyBorder="0" applyAlignment="0" applyProtection="0">
      <alignment vertical="center"/>
    </xf>
    <xf numFmtId="179" fontId="46" fillId="0" borderId="0">
      <alignment vertical="center"/>
    </xf>
    <xf numFmtId="0" fontId="25" fillId="0" borderId="0" applyBorder="0"/>
    <xf numFmtId="179" fontId="54" fillId="0" borderId="0">
      <alignment vertical="center"/>
    </xf>
    <xf numFmtId="179" fontId="25" fillId="0" borderId="0" applyBorder="0">
      <alignment vertical="center"/>
    </xf>
    <xf numFmtId="179" fontId="53" fillId="0" borderId="0">
      <alignment vertical="center"/>
    </xf>
    <xf numFmtId="0" fontId="25" fillId="0" borderId="0"/>
    <xf numFmtId="0" fontId="14" fillId="25" borderId="16" applyNumberFormat="0" applyFont="0" applyAlignment="0" applyProtection="0"/>
    <xf numFmtId="0" fontId="14" fillId="25" borderId="16" applyNumberFormat="0" applyFont="0" applyAlignment="0" applyProtection="0"/>
    <xf numFmtId="0" fontId="14" fillId="25" borderId="16" applyNumberFormat="0" applyFont="0" applyAlignment="0" applyProtection="0"/>
    <xf numFmtId="0" fontId="14" fillId="25" borderId="16" applyNumberFormat="0" applyFont="0" applyAlignment="0" applyProtection="0"/>
    <xf numFmtId="0" fontId="14" fillId="25" borderId="16" applyNumberFormat="0" applyFont="0" applyAlignment="0" applyProtection="0"/>
    <xf numFmtId="0" fontId="14" fillId="25" borderId="16" applyNumberFormat="0" applyFont="0" applyAlignment="0" applyProtection="0"/>
    <xf numFmtId="0" fontId="14" fillId="25" borderId="16" applyNumberFormat="0" applyFont="0" applyAlignment="0" applyProtection="0"/>
    <xf numFmtId="0" fontId="14" fillId="25" borderId="16" applyNumberFormat="0" applyFont="0" applyAlignment="0" applyProtection="0"/>
    <xf numFmtId="179" fontId="46" fillId="61" borderId="11" applyNumberFormat="0" applyFont="0" applyAlignment="0" applyProtection="0">
      <alignment vertical="center"/>
    </xf>
    <xf numFmtId="179" fontId="46" fillId="61" borderId="11" applyNumberFormat="0" applyFont="0" applyAlignment="0" applyProtection="0">
      <alignment vertical="center"/>
    </xf>
    <xf numFmtId="0" fontId="14" fillId="25" borderId="16" applyNumberFormat="0" applyFont="0" applyAlignment="0" applyProtection="0"/>
    <xf numFmtId="0" fontId="14" fillId="25" borderId="16" applyNumberFormat="0" applyFont="0" applyAlignment="0" applyProtection="0"/>
    <xf numFmtId="0" fontId="14" fillId="25" borderId="16" applyNumberFormat="0" applyFont="0" applyAlignment="0" applyProtection="0"/>
    <xf numFmtId="0" fontId="14" fillId="25" borderId="16" applyNumberFormat="0" applyFont="0" applyAlignment="0" applyProtection="0"/>
    <xf numFmtId="0" fontId="14" fillId="25" borderId="16" applyNumberFormat="0" applyFont="0" applyAlignment="0" applyProtection="0"/>
    <xf numFmtId="0" fontId="14" fillId="25" borderId="16" applyNumberFormat="0" applyFont="0" applyAlignment="0" applyProtection="0"/>
    <xf numFmtId="0" fontId="14" fillId="25" borderId="16" applyNumberFormat="0" applyFont="0" applyAlignment="0" applyProtection="0"/>
    <xf numFmtId="0" fontId="14" fillId="25" borderId="16" applyNumberFormat="0" applyFont="0" applyAlignment="0" applyProtection="0"/>
    <xf numFmtId="0" fontId="14" fillId="25" borderId="16" applyNumberFormat="0" applyFont="0" applyAlignment="0" applyProtection="0"/>
    <xf numFmtId="0" fontId="14" fillId="25" borderId="16" applyNumberFormat="0" applyFont="0" applyAlignment="0" applyProtection="0"/>
    <xf numFmtId="0" fontId="14" fillId="25" borderId="16" applyNumberFormat="0" applyFont="0" applyAlignment="0" applyProtection="0"/>
    <xf numFmtId="0" fontId="14" fillId="25" borderId="16" applyNumberFormat="0" applyFont="0" applyAlignment="0" applyProtection="0"/>
    <xf numFmtId="179" fontId="67" fillId="58" borderId="12" applyNumberFormat="0" applyAlignment="0" applyProtection="0">
      <alignment vertical="center"/>
    </xf>
    <xf numFmtId="179" fontId="68" fillId="0" borderId="0" applyNumberFormat="0" applyFill="0" applyBorder="0" applyAlignment="0" applyProtection="0">
      <alignment vertical="center"/>
    </xf>
    <xf numFmtId="179" fontId="69" fillId="0" borderId="26" applyNumberFormat="0" applyFill="0" applyAlignment="0" applyProtection="0">
      <alignment vertical="center"/>
    </xf>
    <xf numFmtId="179" fontId="70" fillId="0" borderId="0" applyNumberFormat="0" applyFill="0" applyBorder="0" applyAlignment="0" applyProtection="0">
      <alignment vertical="center"/>
    </xf>
    <xf numFmtId="0" fontId="55" fillId="17" borderId="0" applyNumberFormat="0" applyBorder="0" applyAlignment="0" applyProtection="0">
      <alignment vertical="center"/>
    </xf>
    <xf numFmtId="179" fontId="55" fillId="52" borderId="0" applyNumberFormat="0" applyBorder="0" applyAlignment="0" applyProtection="0">
      <alignment vertical="center"/>
    </xf>
    <xf numFmtId="179" fontId="55" fillId="52" borderId="0" applyNumberFormat="0" applyBorder="0" applyAlignment="0" applyProtection="0">
      <alignment vertical="center"/>
    </xf>
    <xf numFmtId="179" fontId="55" fillId="62" borderId="0" applyNumberFormat="0" applyBorder="0" applyAlignment="0" applyProtection="0">
      <alignment vertical="center"/>
    </xf>
    <xf numFmtId="0" fontId="55" fillId="18" borderId="0" applyNumberFormat="0" applyBorder="0" applyAlignment="0" applyProtection="0">
      <alignment vertical="center"/>
    </xf>
    <xf numFmtId="179" fontId="55" fillId="54" borderId="0" applyNumberFormat="0" applyBorder="0" applyAlignment="0" applyProtection="0">
      <alignment vertical="center"/>
    </xf>
    <xf numFmtId="179" fontId="55" fillId="54" borderId="0" applyNumberFormat="0" applyBorder="0" applyAlignment="0" applyProtection="0">
      <alignment vertical="center"/>
    </xf>
    <xf numFmtId="179" fontId="55" fillId="54" borderId="0" applyNumberFormat="0" applyBorder="0" applyAlignment="0" applyProtection="0">
      <alignment vertical="center"/>
    </xf>
    <xf numFmtId="0" fontId="55" fillId="19" borderId="0" applyNumberFormat="0" applyBorder="0" applyAlignment="0" applyProtection="0">
      <alignment vertical="center"/>
    </xf>
    <xf numFmtId="179" fontId="55" fillId="55" borderId="0" applyNumberFormat="0" applyBorder="0" applyAlignment="0" applyProtection="0">
      <alignment vertical="center"/>
    </xf>
    <xf numFmtId="179" fontId="55" fillId="55" borderId="0" applyNumberFormat="0" applyBorder="0" applyAlignment="0" applyProtection="0">
      <alignment vertical="center"/>
    </xf>
    <xf numFmtId="179" fontId="55" fillId="55" borderId="0" applyNumberFormat="0" applyBorder="0" applyAlignment="0" applyProtection="0">
      <alignment vertical="center"/>
    </xf>
    <xf numFmtId="0" fontId="55" fillId="14" borderId="0" applyNumberFormat="0" applyBorder="0" applyAlignment="0" applyProtection="0">
      <alignment vertical="center"/>
    </xf>
    <xf numFmtId="179" fontId="55" fillId="56" borderId="0" applyNumberFormat="0" applyBorder="0" applyAlignment="0" applyProtection="0">
      <alignment vertical="center"/>
    </xf>
    <xf numFmtId="179" fontId="55" fillId="56" borderId="0" applyNumberFormat="0" applyBorder="0" applyAlignment="0" applyProtection="0">
      <alignment vertical="center"/>
    </xf>
    <xf numFmtId="179" fontId="55" fillId="51" borderId="0" applyNumberFormat="0" applyBorder="0" applyAlignment="0" applyProtection="0">
      <alignment vertical="center"/>
    </xf>
    <xf numFmtId="0" fontId="55" fillId="15" borderId="0" applyNumberFormat="0" applyBorder="0" applyAlignment="0" applyProtection="0">
      <alignment vertical="center"/>
    </xf>
    <xf numFmtId="179" fontId="55" fillId="52" borderId="0" applyNumberFormat="0" applyBorder="0" applyAlignment="0" applyProtection="0">
      <alignment vertical="center"/>
    </xf>
    <xf numFmtId="179" fontId="55" fillId="52" borderId="0" applyNumberFormat="0" applyBorder="0" applyAlignment="0" applyProtection="0">
      <alignment vertical="center"/>
    </xf>
    <xf numFmtId="179" fontId="55" fillId="52" borderId="0" applyNumberFormat="0" applyBorder="0" applyAlignment="0" applyProtection="0">
      <alignment vertical="center"/>
    </xf>
    <xf numFmtId="0" fontId="55" fillId="20" borderId="0" applyNumberFormat="0" applyBorder="0" applyAlignment="0" applyProtection="0">
      <alignment vertical="center"/>
    </xf>
    <xf numFmtId="179" fontId="55" fillId="57" borderId="0" applyNumberFormat="0" applyBorder="0" applyAlignment="0" applyProtection="0">
      <alignment vertical="center"/>
    </xf>
    <xf numFmtId="179" fontId="55" fillId="57" borderId="0" applyNumberFormat="0" applyBorder="0" applyAlignment="0" applyProtection="0">
      <alignment vertical="center"/>
    </xf>
    <xf numFmtId="179" fontId="55" fillId="57" borderId="0" applyNumberFormat="0" applyBorder="0" applyAlignment="0" applyProtection="0">
      <alignment vertical="center"/>
    </xf>
    <xf numFmtId="0" fontId="71" fillId="0" borderId="0" applyNumberFormat="0" applyFill="0" applyBorder="0" applyAlignment="0" applyProtection="0">
      <alignment vertical="center"/>
    </xf>
    <xf numFmtId="179" fontId="68" fillId="0" borderId="0" applyNumberFormat="0" applyFill="0" applyBorder="0" applyAlignment="0" applyProtection="0">
      <alignment vertical="center"/>
    </xf>
    <xf numFmtId="179" fontId="68" fillId="0" borderId="0" applyNumberFormat="0" applyFill="0" applyBorder="0" applyAlignment="0" applyProtection="0">
      <alignment vertical="center"/>
    </xf>
    <xf numFmtId="179" fontId="71" fillId="0" borderId="0" applyNumberFormat="0" applyFill="0" applyBorder="0" applyAlignment="0" applyProtection="0">
      <alignment vertical="center"/>
    </xf>
    <xf numFmtId="0" fontId="58" fillId="22" borderId="6" applyNumberFormat="0" applyAlignment="0" applyProtection="0">
      <alignment vertical="center"/>
    </xf>
    <xf numFmtId="179" fontId="58" fillId="59" borderId="6" applyNumberFormat="0" applyAlignment="0" applyProtection="0">
      <alignment vertical="center"/>
    </xf>
    <xf numFmtId="179" fontId="58" fillId="59" borderId="6" applyNumberFormat="0" applyAlignment="0" applyProtection="0">
      <alignment vertical="center"/>
    </xf>
    <xf numFmtId="179" fontId="58" fillId="59" borderId="6" applyNumberFormat="0" applyAlignment="0" applyProtection="0">
      <alignment vertical="center"/>
    </xf>
    <xf numFmtId="0" fontId="56" fillId="23" borderId="0" applyNumberFormat="0" applyBorder="0" applyAlignment="0" applyProtection="0">
      <alignment vertical="center"/>
    </xf>
    <xf numFmtId="179" fontId="56" fillId="60" borderId="0" applyNumberFormat="0" applyBorder="0" applyAlignment="0" applyProtection="0">
      <alignment vertical="center"/>
    </xf>
    <xf numFmtId="179" fontId="56" fillId="60" borderId="0" applyNumberFormat="0" applyBorder="0" applyAlignment="0" applyProtection="0">
      <alignment vertical="center"/>
    </xf>
    <xf numFmtId="179" fontId="56" fillId="60" borderId="0" applyNumberFormat="0" applyBorder="0" applyAlignment="0" applyProtection="0">
      <alignment vertical="center"/>
    </xf>
    <xf numFmtId="9" fontId="17" fillId="0" borderId="0" applyFont="0" applyFill="0" applyBorder="0" applyAlignment="0" applyProtection="0">
      <alignment vertical="center"/>
    </xf>
    <xf numFmtId="9" fontId="25" fillId="0" borderId="0" applyFont="0" applyFill="0" applyBorder="0" applyAlignment="0" applyProtection="0"/>
    <xf numFmtId="179" fontId="64" fillId="0" borderId="0" applyNumberFormat="0" applyFill="0" applyBorder="0" applyAlignment="0" applyProtection="0">
      <alignment vertical="center"/>
    </xf>
    <xf numFmtId="0" fontId="25" fillId="24" borderId="11" applyNumberFormat="0" applyFont="0" applyAlignment="0" applyProtection="0">
      <alignment vertical="center"/>
    </xf>
    <xf numFmtId="179" fontId="46" fillId="61" borderId="11" applyNumberFormat="0" applyFont="0" applyAlignment="0" applyProtection="0">
      <alignment vertical="center"/>
    </xf>
    <xf numFmtId="179" fontId="46" fillId="61" borderId="11" applyNumberFormat="0" applyFont="0" applyAlignment="0" applyProtection="0">
      <alignment vertical="center"/>
    </xf>
    <xf numFmtId="179" fontId="46" fillId="61" borderId="11" applyNumberFormat="0" applyFont="0" applyAlignment="0" applyProtection="0">
      <alignment vertical="center"/>
    </xf>
    <xf numFmtId="179" fontId="46" fillId="61" borderId="11" applyNumberFormat="0" applyFont="0" applyAlignment="0" applyProtection="0">
      <alignment vertical="center"/>
    </xf>
    <xf numFmtId="0" fontId="66" fillId="0" borderId="10" applyNumberFormat="0" applyFill="0" applyAlignment="0" applyProtection="0">
      <alignment vertical="center"/>
    </xf>
    <xf numFmtId="179" fontId="66" fillId="0" borderId="10" applyNumberFormat="0" applyFill="0" applyAlignment="0" applyProtection="0">
      <alignment vertical="center"/>
    </xf>
    <xf numFmtId="179" fontId="66" fillId="0" borderId="10" applyNumberFormat="0" applyFill="0" applyAlignment="0" applyProtection="0">
      <alignment vertical="center"/>
    </xf>
    <xf numFmtId="179" fontId="66" fillId="0" borderId="10" applyNumberFormat="0" applyFill="0" applyAlignment="0" applyProtection="0">
      <alignment vertical="center"/>
    </xf>
    <xf numFmtId="0" fontId="65" fillId="8" borderId="5" applyNumberFormat="0" applyAlignment="0" applyProtection="0">
      <alignment vertical="center"/>
    </xf>
    <xf numFmtId="179" fontId="65" fillId="46" borderId="5" applyNumberFormat="0" applyAlignment="0" applyProtection="0">
      <alignment vertical="center"/>
    </xf>
    <xf numFmtId="179" fontId="65" fillId="46" borderId="5" applyNumberFormat="0" applyAlignment="0" applyProtection="0">
      <alignment vertical="center"/>
    </xf>
    <xf numFmtId="179" fontId="65" fillId="46" borderId="5" applyNumberFormat="0" applyAlignment="0" applyProtection="0">
      <alignment vertical="center"/>
    </xf>
    <xf numFmtId="0" fontId="67" fillId="21" borderId="12" applyNumberFormat="0" applyAlignment="0" applyProtection="0">
      <alignment vertical="center"/>
    </xf>
    <xf numFmtId="179" fontId="67" fillId="58" borderId="12" applyNumberFormat="0" applyAlignment="0" applyProtection="0">
      <alignment vertical="center"/>
    </xf>
    <xf numFmtId="179" fontId="67" fillId="58" borderId="12" applyNumberFormat="0" applyAlignment="0" applyProtection="0">
      <alignment vertical="center"/>
    </xf>
    <xf numFmtId="179" fontId="67" fillId="63" borderId="12" applyNumberFormat="0" applyAlignment="0" applyProtection="0">
      <alignment vertical="center"/>
    </xf>
    <xf numFmtId="0" fontId="46" fillId="0" borderId="0"/>
    <xf numFmtId="0" fontId="72" fillId="4" borderId="0" applyNumberFormat="0" applyBorder="0" applyAlignment="0" applyProtection="0">
      <alignment vertical="center"/>
    </xf>
    <xf numFmtId="179" fontId="56" fillId="43" borderId="0" applyNumberFormat="0" applyBorder="0" applyAlignment="0" applyProtection="0">
      <alignment vertical="center"/>
    </xf>
    <xf numFmtId="179" fontId="56" fillId="43" borderId="0" applyNumberFormat="0" applyBorder="0" applyAlignment="0" applyProtection="0">
      <alignment vertical="center"/>
    </xf>
    <xf numFmtId="179" fontId="72" fillId="47" borderId="0" applyNumberFormat="0" applyBorder="0" applyAlignment="0" applyProtection="0">
      <alignment vertical="center"/>
    </xf>
    <xf numFmtId="179" fontId="73" fillId="0" borderId="0">
      <alignment vertical="center"/>
    </xf>
    <xf numFmtId="40" fontId="25" fillId="0" borderId="0" applyFont="0" applyFill="0" applyBorder="0" applyAlignment="0" applyProtection="0">
      <alignment vertical="center"/>
    </xf>
    <xf numFmtId="40" fontId="17" fillId="0" borderId="0" applyFont="0" applyFill="0" applyBorder="0" applyAlignment="0" applyProtection="0">
      <alignment vertical="center"/>
    </xf>
    <xf numFmtId="40" fontId="25" fillId="0" borderId="0" applyFont="0" applyFill="0" applyBorder="0" applyAlignment="0" applyProtection="0"/>
    <xf numFmtId="38" fontId="26" fillId="0" borderId="0" applyFont="0" applyFill="0" applyBorder="0" applyAlignment="0" applyProtection="0">
      <alignment vertical="center"/>
    </xf>
    <xf numFmtId="38" fontId="25" fillId="0" borderId="0" applyFont="0" applyFill="0" applyBorder="0" applyAlignment="0" applyProtection="0"/>
    <xf numFmtId="0" fontId="15" fillId="0" borderId="0">
      <alignment vertical="center"/>
    </xf>
    <xf numFmtId="179" fontId="46" fillId="0" borderId="0">
      <alignment vertical="center"/>
    </xf>
    <xf numFmtId="0" fontId="25" fillId="0" borderId="0" applyNumberFormat="0" applyFill="0" applyBorder="0" applyAlignment="0" applyProtection="0"/>
    <xf numFmtId="0" fontId="25" fillId="0" borderId="0" applyBorder="0"/>
    <xf numFmtId="0" fontId="25" fillId="0" borderId="0"/>
    <xf numFmtId="179" fontId="25" fillId="0" borderId="0" applyBorder="0">
      <alignment vertical="center"/>
    </xf>
    <xf numFmtId="0" fontId="25" fillId="0" borderId="0" applyBorder="0"/>
    <xf numFmtId="0" fontId="15" fillId="0" borderId="0">
      <alignment vertical="center"/>
    </xf>
    <xf numFmtId="0" fontId="15" fillId="0" borderId="0">
      <alignment vertical="center"/>
    </xf>
    <xf numFmtId="0" fontId="60" fillId="5" borderId="0" applyNumberFormat="0" applyBorder="0" applyAlignment="0" applyProtection="0">
      <alignment vertical="center"/>
    </xf>
    <xf numFmtId="179" fontId="60" fillId="38" borderId="0" applyNumberFormat="0" applyBorder="0" applyAlignment="0" applyProtection="0">
      <alignment vertical="center"/>
    </xf>
    <xf numFmtId="179" fontId="60" fillId="38" borderId="0" applyNumberFormat="0" applyBorder="0" applyAlignment="0" applyProtection="0">
      <alignment vertical="center"/>
    </xf>
    <xf numFmtId="179" fontId="60" fillId="38" borderId="0" applyNumberFormat="0" applyBorder="0" applyAlignment="0" applyProtection="0">
      <alignment vertical="center"/>
    </xf>
    <xf numFmtId="0" fontId="74" fillId="0" borderId="7" applyNumberFormat="0" applyFill="0" applyAlignment="0" applyProtection="0">
      <alignment vertical="center"/>
    </xf>
    <xf numFmtId="179" fontId="61" fillId="0" borderId="23" applyNumberFormat="0" applyFill="0" applyAlignment="0" applyProtection="0">
      <alignment vertical="center"/>
    </xf>
    <xf numFmtId="179" fontId="61" fillId="0" borderId="23" applyNumberFormat="0" applyFill="0" applyAlignment="0" applyProtection="0">
      <alignment vertical="center"/>
    </xf>
    <xf numFmtId="179" fontId="74" fillId="0" borderId="7" applyNumberFormat="0" applyFill="0" applyAlignment="0" applyProtection="0">
      <alignment vertical="center"/>
    </xf>
    <xf numFmtId="0" fontId="75" fillId="0" borderId="8" applyNumberFormat="0" applyFill="0" applyAlignment="0" applyProtection="0">
      <alignment vertical="center"/>
    </xf>
    <xf numFmtId="179" fontId="62" fillId="0" borderId="24" applyNumberFormat="0" applyFill="0" applyAlignment="0" applyProtection="0">
      <alignment vertical="center"/>
    </xf>
    <xf numFmtId="179" fontId="62" fillId="0" borderId="24" applyNumberFormat="0" applyFill="0" applyAlignment="0" applyProtection="0">
      <alignment vertical="center"/>
    </xf>
    <xf numFmtId="179" fontId="75" fillId="0" borderId="8" applyNumberFormat="0" applyFill="0" applyAlignment="0" applyProtection="0">
      <alignment vertical="center"/>
    </xf>
    <xf numFmtId="0" fontId="76" fillId="0" borderId="9" applyNumberFormat="0" applyFill="0" applyAlignment="0" applyProtection="0">
      <alignment vertical="center"/>
    </xf>
    <xf numFmtId="179" fontId="63" fillId="0" borderId="25" applyNumberFormat="0" applyFill="0" applyAlignment="0" applyProtection="0">
      <alignment vertical="center"/>
    </xf>
    <xf numFmtId="179" fontId="63" fillId="0" borderId="25" applyNumberFormat="0" applyFill="0" applyAlignment="0" applyProtection="0">
      <alignment vertical="center"/>
    </xf>
    <xf numFmtId="179" fontId="76" fillId="0" borderId="9" applyNumberFormat="0" applyFill="0" applyAlignment="0" applyProtection="0">
      <alignment vertical="center"/>
    </xf>
    <xf numFmtId="0" fontId="76" fillId="0" borderId="0" applyNumberFormat="0" applyFill="0" applyBorder="0" applyAlignment="0" applyProtection="0">
      <alignment vertical="center"/>
    </xf>
    <xf numFmtId="179" fontId="63" fillId="0" borderId="0" applyNumberFormat="0" applyFill="0" applyBorder="0" applyAlignment="0" applyProtection="0">
      <alignment vertical="center"/>
    </xf>
    <xf numFmtId="179" fontId="63" fillId="0" borderId="0" applyNumberFormat="0" applyFill="0" applyBorder="0" applyAlignment="0" applyProtection="0">
      <alignment vertical="center"/>
    </xf>
    <xf numFmtId="179" fontId="76" fillId="0" borderId="0" applyNumberFormat="0" applyFill="0" applyBorder="0" applyAlignment="0" applyProtection="0">
      <alignment vertical="center"/>
    </xf>
    <xf numFmtId="0" fontId="57" fillId="21" borderId="5" applyNumberFormat="0" applyAlignment="0" applyProtection="0">
      <alignment vertical="center"/>
    </xf>
    <xf numFmtId="179" fontId="57" fillId="58" borderId="5" applyNumberFormat="0" applyAlignment="0" applyProtection="0">
      <alignment vertical="center"/>
    </xf>
    <xf numFmtId="179" fontId="57" fillId="58" borderId="5" applyNumberFormat="0" applyAlignment="0" applyProtection="0">
      <alignment vertical="center"/>
    </xf>
    <xf numFmtId="179" fontId="57" fillId="63" borderId="5" applyNumberFormat="0" applyAlignment="0" applyProtection="0">
      <alignment vertical="center"/>
    </xf>
    <xf numFmtId="0" fontId="59" fillId="0" borderId="0" applyNumberFormat="0" applyFill="0" applyBorder="0" applyAlignment="0" applyProtection="0">
      <alignment vertical="center"/>
    </xf>
    <xf numFmtId="179" fontId="59" fillId="0" borderId="0" applyNumberFormat="0" applyFill="0" applyBorder="0" applyAlignment="0" applyProtection="0">
      <alignment vertical="center"/>
    </xf>
    <xf numFmtId="179" fontId="59" fillId="0" borderId="0" applyNumberFormat="0" applyFill="0" applyBorder="0" applyAlignment="0" applyProtection="0">
      <alignment vertical="center"/>
    </xf>
    <xf numFmtId="179" fontId="59" fillId="0" borderId="0" applyNumberFormat="0" applyFill="0" applyBorder="0" applyAlignment="0" applyProtection="0">
      <alignment vertical="center"/>
    </xf>
    <xf numFmtId="0" fontId="70" fillId="0" borderId="0" applyNumberFormat="0" applyFill="0" applyBorder="0" applyAlignment="0" applyProtection="0">
      <alignment vertical="center"/>
    </xf>
    <xf numFmtId="179" fontId="70" fillId="0" borderId="0" applyNumberFormat="0" applyFill="0" applyBorder="0" applyAlignment="0" applyProtection="0">
      <alignment vertical="center"/>
    </xf>
    <xf numFmtId="179" fontId="70" fillId="0" borderId="0" applyNumberFormat="0" applyFill="0" applyBorder="0" applyAlignment="0" applyProtection="0">
      <alignment vertical="center"/>
    </xf>
    <xf numFmtId="179" fontId="70" fillId="0" borderId="0" applyNumberFormat="0" applyFill="0" applyBorder="0" applyAlignment="0" applyProtection="0">
      <alignment vertical="center"/>
    </xf>
    <xf numFmtId="6" fontId="25" fillId="0" borderId="0" applyFont="0" applyFill="0" applyBorder="0" applyAlignment="0" applyProtection="0"/>
    <xf numFmtId="6" fontId="25" fillId="0" borderId="0" applyFont="0" applyFill="0" applyBorder="0" applyAlignment="0" applyProtection="0"/>
    <xf numFmtId="0" fontId="69" fillId="0" borderId="13" applyNumberFormat="0" applyFill="0" applyAlignment="0" applyProtection="0">
      <alignment vertical="center"/>
    </xf>
    <xf numFmtId="179" fontId="69" fillId="0" borderId="26" applyNumberFormat="0" applyFill="0" applyAlignment="0" applyProtection="0">
      <alignment vertical="center"/>
    </xf>
    <xf numFmtId="179" fontId="69" fillId="0" borderId="26" applyNumberFormat="0" applyFill="0" applyAlignment="0" applyProtection="0">
      <alignment vertical="center"/>
    </xf>
    <xf numFmtId="179" fontId="69" fillId="0" borderId="13" applyNumberFormat="0" applyFill="0" applyAlignment="0" applyProtection="0">
      <alignment vertical="center"/>
    </xf>
    <xf numFmtId="0" fontId="13" fillId="0" borderId="0"/>
    <xf numFmtId="176" fontId="13" fillId="0" borderId="0" applyFont="0" applyFill="0" applyBorder="0" applyAlignment="0" applyProtection="0"/>
    <xf numFmtId="38" fontId="13" fillId="0" borderId="0" applyFont="0" applyFill="0" applyBorder="0" applyAlignment="0" applyProtection="0">
      <alignment vertical="center"/>
    </xf>
    <xf numFmtId="0" fontId="13" fillId="0" borderId="0"/>
    <xf numFmtId="0" fontId="13" fillId="26" borderId="0" applyNumberFormat="0" applyBorder="0" applyAlignment="0" applyProtection="0"/>
    <xf numFmtId="0" fontId="13" fillId="26" borderId="0" applyNumberFormat="0" applyBorder="0" applyAlignment="0" applyProtection="0"/>
    <xf numFmtId="0" fontId="13" fillId="26" borderId="0" applyNumberFormat="0" applyBorder="0" applyAlignment="0" applyProtection="0"/>
    <xf numFmtId="0" fontId="13" fillId="26" borderId="0" applyNumberFormat="0" applyBorder="0" applyAlignment="0" applyProtection="0"/>
    <xf numFmtId="0" fontId="13" fillId="26" borderId="0" applyNumberFormat="0" applyBorder="0" applyAlignment="0" applyProtection="0"/>
    <xf numFmtId="0" fontId="13" fillId="26" borderId="0" applyNumberFormat="0" applyBorder="0" applyAlignment="0" applyProtection="0"/>
    <xf numFmtId="0" fontId="13" fillId="26" borderId="0" applyNumberFormat="0" applyBorder="0" applyAlignment="0" applyProtection="0"/>
    <xf numFmtId="0" fontId="13" fillId="26" borderId="0" applyNumberFormat="0" applyBorder="0" applyAlignment="0" applyProtection="0"/>
    <xf numFmtId="0" fontId="13" fillId="26" borderId="0" applyNumberFormat="0" applyBorder="0" applyAlignment="0" applyProtection="0"/>
    <xf numFmtId="0" fontId="13" fillId="26" borderId="0" applyNumberFormat="0" applyBorder="0" applyAlignment="0" applyProtection="0"/>
    <xf numFmtId="0" fontId="13" fillId="26" borderId="0" applyNumberFormat="0" applyBorder="0" applyAlignment="0" applyProtection="0"/>
    <xf numFmtId="0" fontId="13" fillId="26" borderId="0" applyNumberFormat="0" applyBorder="0" applyAlignment="0" applyProtection="0"/>
    <xf numFmtId="0" fontId="13" fillId="26" borderId="0" applyNumberFormat="0" applyBorder="0" applyAlignment="0" applyProtection="0"/>
    <xf numFmtId="0" fontId="13" fillId="26" borderId="0" applyNumberFormat="0" applyBorder="0" applyAlignment="0" applyProtection="0"/>
    <xf numFmtId="0" fontId="13" fillId="26" borderId="0" applyNumberFormat="0" applyBorder="0" applyAlignment="0" applyProtection="0"/>
    <xf numFmtId="0" fontId="13" fillId="26" borderId="0" applyNumberFormat="0" applyBorder="0" applyAlignment="0" applyProtection="0"/>
    <xf numFmtId="0" fontId="13" fillId="26" borderId="0" applyNumberFormat="0" applyBorder="0" applyAlignment="0" applyProtection="0"/>
    <xf numFmtId="0" fontId="13" fillId="26" borderId="0" applyNumberFormat="0" applyBorder="0" applyAlignment="0" applyProtection="0"/>
    <xf numFmtId="0" fontId="13" fillId="26" borderId="0" applyNumberFormat="0" applyBorder="0" applyAlignment="0" applyProtection="0"/>
    <xf numFmtId="0" fontId="13" fillId="26"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30" borderId="0" applyNumberFormat="0" applyBorder="0" applyAlignment="0" applyProtection="0"/>
    <xf numFmtId="0" fontId="13" fillId="30" borderId="0" applyNumberFormat="0" applyBorder="0" applyAlignment="0" applyProtection="0"/>
    <xf numFmtId="0" fontId="13" fillId="30" borderId="0" applyNumberFormat="0" applyBorder="0" applyAlignment="0" applyProtection="0"/>
    <xf numFmtId="0" fontId="13" fillId="30" borderId="0" applyNumberFormat="0" applyBorder="0" applyAlignment="0" applyProtection="0"/>
    <xf numFmtId="0" fontId="13" fillId="30" borderId="0" applyNumberFormat="0" applyBorder="0" applyAlignment="0" applyProtection="0"/>
    <xf numFmtId="0" fontId="13" fillId="30" borderId="0" applyNumberFormat="0" applyBorder="0" applyAlignment="0" applyProtection="0"/>
    <xf numFmtId="0" fontId="13" fillId="30" borderId="0" applyNumberFormat="0" applyBorder="0" applyAlignment="0" applyProtection="0"/>
    <xf numFmtId="0" fontId="13" fillId="30" borderId="0" applyNumberFormat="0" applyBorder="0" applyAlignment="0" applyProtection="0"/>
    <xf numFmtId="0" fontId="13" fillId="30" borderId="0" applyNumberFormat="0" applyBorder="0" applyAlignment="0" applyProtection="0"/>
    <xf numFmtId="0" fontId="13" fillId="30" borderId="0" applyNumberFormat="0" applyBorder="0" applyAlignment="0" applyProtection="0"/>
    <xf numFmtId="0" fontId="13" fillId="30" borderId="0" applyNumberFormat="0" applyBorder="0" applyAlignment="0" applyProtection="0"/>
    <xf numFmtId="0" fontId="13" fillId="30" borderId="0" applyNumberFormat="0" applyBorder="0" applyAlignment="0" applyProtection="0"/>
    <xf numFmtId="0" fontId="13" fillId="30" borderId="0" applyNumberFormat="0" applyBorder="0" applyAlignment="0" applyProtection="0"/>
    <xf numFmtId="0" fontId="13" fillId="30" borderId="0" applyNumberFormat="0" applyBorder="0" applyAlignment="0" applyProtection="0"/>
    <xf numFmtId="0" fontId="13" fillId="30" borderId="0" applyNumberFormat="0" applyBorder="0" applyAlignment="0" applyProtection="0"/>
    <xf numFmtId="0" fontId="13" fillId="30" borderId="0" applyNumberFormat="0" applyBorder="0" applyAlignment="0" applyProtection="0"/>
    <xf numFmtId="0" fontId="13" fillId="30" borderId="0" applyNumberFormat="0" applyBorder="0" applyAlignment="0" applyProtection="0"/>
    <xf numFmtId="0" fontId="13" fillId="30" borderId="0" applyNumberFormat="0" applyBorder="0" applyAlignment="0" applyProtection="0"/>
    <xf numFmtId="0" fontId="13" fillId="30" borderId="0" applyNumberFormat="0" applyBorder="0" applyAlignment="0" applyProtection="0"/>
    <xf numFmtId="0" fontId="13" fillId="30"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4" borderId="0" applyNumberFormat="0" applyBorder="0" applyAlignment="0" applyProtection="0"/>
    <xf numFmtId="0" fontId="13" fillId="34" borderId="0" applyNumberFormat="0" applyBorder="0" applyAlignment="0" applyProtection="0"/>
    <xf numFmtId="0" fontId="13" fillId="34" borderId="0" applyNumberFormat="0" applyBorder="0" applyAlignment="0" applyProtection="0"/>
    <xf numFmtId="0" fontId="13" fillId="34" borderId="0" applyNumberFormat="0" applyBorder="0" applyAlignment="0" applyProtection="0"/>
    <xf numFmtId="0" fontId="13" fillId="34" borderId="0" applyNumberFormat="0" applyBorder="0" applyAlignment="0" applyProtection="0"/>
    <xf numFmtId="0" fontId="13" fillId="34" borderId="0" applyNumberFormat="0" applyBorder="0" applyAlignment="0" applyProtection="0"/>
    <xf numFmtId="0" fontId="13" fillId="34" borderId="0" applyNumberFormat="0" applyBorder="0" applyAlignment="0" applyProtection="0"/>
    <xf numFmtId="0" fontId="13" fillId="34" borderId="0" applyNumberFormat="0" applyBorder="0" applyAlignment="0" applyProtection="0"/>
    <xf numFmtId="0" fontId="13" fillId="34" borderId="0" applyNumberFormat="0" applyBorder="0" applyAlignment="0" applyProtection="0"/>
    <xf numFmtId="0" fontId="13" fillId="34" borderId="0" applyNumberFormat="0" applyBorder="0" applyAlignment="0" applyProtection="0"/>
    <xf numFmtId="0" fontId="13" fillId="34" borderId="0" applyNumberFormat="0" applyBorder="0" applyAlignment="0" applyProtection="0"/>
    <xf numFmtId="0" fontId="13" fillId="34" borderId="0" applyNumberFormat="0" applyBorder="0" applyAlignment="0" applyProtection="0"/>
    <xf numFmtId="0" fontId="13" fillId="34" borderId="0" applyNumberFormat="0" applyBorder="0" applyAlignment="0" applyProtection="0"/>
    <xf numFmtId="0" fontId="13" fillId="34" borderId="0" applyNumberFormat="0" applyBorder="0" applyAlignment="0" applyProtection="0"/>
    <xf numFmtId="0" fontId="13" fillId="34" borderId="0" applyNumberFormat="0" applyBorder="0" applyAlignment="0" applyProtection="0"/>
    <xf numFmtId="0" fontId="13" fillId="34" borderId="0" applyNumberFormat="0" applyBorder="0" applyAlignment="0" applyProtection="0"/>
    <xf numFmtId="0" fontId="13" fillId="34" borderId="0" applyNumberFormat="0" applyBorder="0" applyAlignment="0" applyProtection="0"/>
    <xf numFmtId="0" fontId="13" fillId="34" borderId="0" applyNumberFormat="0" applyBorder="0" applyAlignment="0" applyProtection="0"/>
    <xf numFmtId="0" fontId="13" fillId="34" borderId="0" applyNumberFormat="0" applyBorder="0" applyAlignment="0" applyProtection="0"/>
    <xf numFmtId="0" fontId="13" fillId="34"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9" borderId="0" applyNumberFormat="0" applyBorder="0" applyAlignment="0" applyProtection="0"/>
    <xf numFmtId="0" fontId="13" fillId="29" borderId="0" applyNumberFormat="0" applyBorder="0" applyAlignment="0" applyProtection="0"/>
    <xf numFmtId="0" fontId="13" fillId="29" borderId="0" applyNumberFormat="0" applyBorder="0" applyAlignment="0" applyProtection="0"/>
    <xf numFmtId="0" fontId="13" fillId="29" borderId="0" applyNumberFormat="0" applyBorder="0" applyAlignment="0" applyProtection="0"/>
    <xf numFmtId="0" fontId="13" fillId="29" borderId="0" applyNumberFormat="0" applyBorder="0" applyAlignment="0" applyProtection="0"/>
    <xf numFmtId="0" fontId="13" fillId="29" borderId="0" applyNumberFormat="0" applyBorder="0" applyAlignment="0" applyProtection="0"/>
    <xf numFmtId="0" fontId="13" fillId="29" borderId="0" applyNumberFormat="0" applyBorder="0" applyAlignment="0" applyProtection="0"/>
    <xf numFmtId="0" fontId="13" fillId="29" borderId="0" applyNumberFormat="0" applyBorder="0" applyAlignment="0" applyProtection="0"/>
    <xf numFmtId="0" fontId="13" fillId="29" borderId="0" applyNumberFormat="0" applyBorder="0" applyAlignment="0" applyProtection="0"/>
    <xf numFmtId="0" fontId="13" fillId="29" borderId="0" applyNumberFormat="0" applyBorder="0" applyAlignment="0" applyProtection="0"/>
    <xf numFmtId="0" fontId="13" fillId="29" borderId="0" applyNumberFormat="0" applyBorder="0" applyAlignment="0" applyProtection="0"/>
    <xf numFmtId="0" fontId="13" fillId="29" borderId="0" applyNumberFormat="0" applyBorder="0" applyAlignment="0" applyProtection="0"/>
    <xf numFmtId="0" fontId="13" fillId="29" borderId="0" applyNumberFormat="0" applyBorder="0" applyAlignment="0" applyProtection="0"/>
    <xf numFmtId="0" fontId="13" fillId="29" borderId="0" applyNumberFormat="0" applyBorder="0" applyAlignment="0" applyProtection="0"/>
    <xf numFmtId="0" fontId="13" fillId="29" borderId="0" applyNumberFormat="0" applyBorder="0" applyAlignment="0" applyProtection="0"/>
    <xf numFmtId="0" fontId="13" fillId="29" borderId="0" applyNumberFormat="0" applyBorder="0" applyAlignment="0" applyProtection="0"/>
    <xf numFmtId="0" fontId="13" fillId="29" borderId="0" applyNumberFormat="0" applyBorder="0" applyAlignment="0" applyProtection="0"/>
    <xf numFmtId="0" fontId="13" fillId="29" borderId="0" applyNumberFormat="0" applyBorder="0" applyAlignment="0" applyProtection="0"/>
    <xf numFmtId="0" fontId="13" fillId="29" borderId="0" applyNumberFormat="0" applyBorder="0" applyAlignment="0" applyProtection="0"/>
    <xf numFmtId="0" fontId="13" fillId="29"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3" borderId="0" applyNumberFormat="0" applyBorder="0" applyAlignment="0" applyProtection="0"/>
    <xf numFmtId="0" fontId="13" fillId="33" borderId="0" applyNumberFormat="0" applyBorder="0" applyAlignment="0" applyProtection="0"/>
    <xf numFmtId="0" fontId="13" fillId="33" borderId="0" applyNumberFormat="0" applyBorder="0" applyAlignment="0" applyProtection="0"/>
    <xf numFmtId="0" fontId="13" fillId="33" borderId="0" applyNumberFormat="0" applyBorder="0" applyAlignment="0" applyProtection="0"/>
    <xf numFmtId="0" fontId="13" fillId="33" borderId="0" applyNumberFormat="0" applyBorder="0" applyAlignment="0" applyProtection="0"/>
    <xf numFmtId="0" fontId="13" fillId="33" borderId="0" applyNumberFormat="0" applyBorder="0" applyAlignment="0" applyProtection="0"/>
    <xf numFmtId="0" fontId="13" fillId="33" borderId="0" applyNumberFormat="0" applyBorder="0" applyAlignment="0" applyProtection="0"/>
    <xf numFmtId="0" fontId="13" fillId="33" borderId="0" applyNumberFormat="0" applyBorder="0" applyAlignment="0" applyProtection="0"/>
    <xf numFmtId="0" fontId="13" fillId="33" borderId="0" applyNumberFormat="0" applyBorder="0" applyAlignment="0" applyProtection="0"/>
    <xf numFmtId="0" fontId="13" fillId="33" borderId="0" applyNumberFormat="0" applyBorder="0" applyAlignment="0" applyProtection="0"/>
    <xf numFmtId="0" fontId="13" fillId="33" borderId="0" applyNumberFormat="0" applyBorder="0" applyAlignment="0" applyProtection="0"/>
    <xf numFmtId="0" fontId="13" fillId="33" borderId="0" applyNumberFormat="0" applyBorder="0" applyAlignment="0" applyProtection="0"/>
    <xf numFmtId="0" fontId="13" fillId="33" borderId="0" applyNumberFormat="0" applyBorder="0" applyAlignment="0" applyProtection="0"/>
    <xf numFmtId="0" fontId="13" fillId="33" borderId="0" applyNumberFormat="0" applyBorder="0" applyAlignment="0" applyProtection="0"/>
    <xf numFmtId="0" fontId="13" fillId="33" borderId="0" applyNumberFormat="0" applyBorder="0" applyAlignment="0" applyProtection="0"/>
    <xf numFmtId="0" fontId="13" fillId="33" borderId="0" applyNumberFormat="0" applyBorder="0" applyAlignment="0" applyProtection="0"/>
    <xf numFmtId="0" fontId="13" fillId="33" borderId="0" applyNumberFormat="0" applyBorder="0" applyAlignment="0" applyProtection="0"/>
    <xf numFmtId="0" fontId="13" fillId="33" borderId="0" applyNumberFormat="0" applyBorder="0" applyAlignment="0" applyProtection="0"/>
    <xf numFmtId="0" fontId="13" fillId="33" borderId="0" applyNumberFormat="0" applyBorder="0" applyAlignment="0" applyProtection="0"/>
    <xf numFmtId="0" fontId="13" fillId="33"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13" fillId="37" borderId="0" applyNumberFormat="0" applyBorder="0" applyAlignment="0" applyProtection="0"/>
    <xf numFmtId="0" fontId="13" fillId="37" borderId="0" applyNumberFormat="0" applyBorder="0" applyAlignment="0" applyProtection="0"/>
    <xf numFmtId="0" fontId="13" fillId="37" borderId="0" applyNumberFormat="0" applyBorder="0" applyAlignment="0" applyProtection="0"/>
    <xf numFmtId="0" fontId="13" fillId="37" borderId="0" applyNumberFormat="0" applyBorder="0" applyAlignment="0" applyProtection="0"/>
    <xf numFmtId="0" fontId="13" fillId="37" borderId="0" applyNumberFormat="0" applyBorder="0" applyAlignment="0" applyProtection="0"/>
    <xf numFmtId="0" fontId="13" fillId="37" borderId="0" applyNumberFormat="0" applyBorder="0" applyAlignment="0" applyProtection="0"/>
    <xf numFmtId="0" fontId="13" fillId="37" borderId="0" applyNumberFormat="0" applyBorder="0" applyAlignment="0" applyProtection="0"/>
    <xf numFmtId="0" fontId="13" fillId="37" borderId="0" applyNumberFormat="0" applyBorder="0" applyAlignment="0" applyProtection="0"/>
    <xf numFmtId="0" fontId="13" fillId="37" borderId="0" applyNumberFormat="0" applyBorder="0" applyAlignment="0" applyProtection="0"/>
    <xf numFmtId="0" fontId="13" fillId="37" borderId="0" applyNumberFormat="0" applyBorder="0" applyAlignment="0" applyProtection="0"/>
    <xf numFmtId="0" fontId="13" fillId="37" borderId="0" applyNumberFormat="0" applyBorder="0" applyAlignment="0" applyProtection="0"/>
    <xf numFmtId="0" fontId="13" fillId="37" borderId="0" applyNumberFormat="0" applyBorder="0" applyAlignment="0" applyProtection="0"/>
    <xf numFmtId="0" fontId="13" fillId="37" borderId="0" applyNumberFormat="0" applyBorder="0" applyAlignment="0" applyProtection="0"/>
    <xf numFmtId="0" fontId="13" fillId="37" borderId="0" applyNumberFormat="0" applyBorder="0" applyAlignment="0" applyProtection="0"/>
    <xf numFmtId="0" fontId="13" fillId="37" borderId="0" applyNumberFormat="0" applyBorder="0" applyAlignment="0" applyProtection="0"/>
    <xf numFmtId="0" fontId="13" fillId="37" borderId="0" applyNumberFormat="0" applyBorder="0" applyAlignment="0" applyProtection="0"/>
    <xf numFmtId="0" fontId="13" fillId="37" borderId="0" applyNumberFormat="0" applyBorder="0" applyAlignment="0" applyProtection="0"/>
    <xf numFmtId="0" fontId="13" fillId="37" borderId="0" applyNumberFormat="0" applyBorder="0" applyAlignment="0" applyProtection="0"/>
    <xf numFmtId="0" fontId="13" fillId="37" borderId="0" applyNumberFormat="0" applyBorder="0" applyAlignment="0" applyProtection="0"/>
    <xf numFmtId="0" fontId="13" fillId="37" borderId="0" applyNumberFormat="0" applyBorder="0" applyAlignment="0" applyProtection="0"/>
    <xf numFmtId="0" fontId="13" fillId="25" borderId="16" applyNumberFormat="0" applyFont="0" applyAlignment="0" applyProtection="0"/>
    <xf numFmtId="0" fontId="13" fillId="25" borderId="16" applyNumberFormat="0" applyFont="0" applyAlignment="0" applyProtection="0"/>
    <xf numFmtId="0" fontId="13" fillId="25" borderId="16" applyNumberFormat="0" applyFont="0" applyAlignment="0" applyProtection="0"/>
    <xf numFmtId="0" fontId="13" fillId="25" borderId="16" applyNumberFormat="0" applyFont="0" applyAlignment="0" applyProtection="0"/>
    <xf numFmtId="0" fontId="13" fillId="25" borderId="16" applyNumberFormat="0" applyFont="0" applyAlignment="0" applyProtection="0"/>
    <xf numFmtId="0" fontId="13" fillId="25" borderId="16" applyNumberFormat="0" applyFont="0" applyAlignment="0" applyProtection="0"/>
    <xf numFmtId="0" fontId="13" fillId="25" borderId="16" applyNumberFormat="0" applyFont="0" applyAlignment="0" applyProtection="0"/>
    <xf numFmtId="0" fontId="13" fillId="25" borderId="16" applyNumberFormat="0" applyFont="0" applyAlignment="0" applyProtection="0"/>
    <xf numFmtId="0" fontId="13" fillId="25" borderId="16" applyNumberFormat="0" applyFont="0" applyAlignment="0" applyProtection="0"/>
    <xf numFmtId="0" fontId="13" fillId="25" borderId="16" applyNumberFormat="0" applyFont="0" applyAlignment="0" applyProtection="0"/>
    <xf numFmtId="0" fontId="13" fillId="25" borderId="16" applyNumberFormat="0" applyFont="0" applyAlignment="0" applyProtection="0"/>
    <xf numFmtId="0" fontId="13" fillId="25" borderId="16" applyNumberFormat="0" applyFont="0" applyAlignment="0" applyProtection="0"/>
    <xf numFmtId="0" fontId="13" fillId="25" borderId="16" applyNumberFormat="0" applyFont="0" applyAlignment="0" applyProtection="0"/>
    <xf numFmtId="0" fontId="13" fillId="25" borderId="16" applyNumberFormat="0" applyFont="0" applyAlignment="0" applyProtection="0"/>
    <xf numFmtId="0" fontId="13" fillId="25" borderId="16" applyNumberFormat="0" applyFont="0" applyAlignment="0" applyProtection="0"/>
    <xf numFmtId="0" fontId="13" fillId="25" borderId="16" applyNumberFormat="0" applyFont="0" applyAlignment="0" applyProtection="0"/>
    <xf numFmtId="0" fontId="13" fillId="25" borderId="16" applyNumberFormat="0" applyFont="0" applyAlignment="0" applyProtection="0"/>
    <xf numFmtId="0" fontId="13" fillId="25" borderId="16" applyNumberFormat="0" applyFont="0" applyAlignment="0" applyProtection="0"/>
    <xf numFmtId="0" fontId="13" fillId="25" borderId="16" applyNumberFormat="0" applyFont="0" applyAlignment="0" applyProtection="0"/>
    <xf numFmtId="0" fontId="13" fillId="25" borderId="16" applyNumberFormat="0" applyFont="0" applyAlignment="0" applyProtection="0"/>
    <xf numFmtId="0" fontId="12" fillId="0" borderId="0"/>
    <xf numFmtId="176" fontId="12" fillId="0" borderId="0" applyFont="0" applyFill="0" applyBorder="0" applyAlignment="0" applyProtection="0"/>
    <xf numFmtId="38" fontId="12" fillId="0" borderId="0" applyFont="0" applyFill="0" applyBorder="0" applyAlignment="0" applyProtection="0">
      <alignment vertical="center"/>
    </xf>
    <xf numFmtId="0" fontId="12" fillId="0" borderId="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0" borderId="0"/>
    <xf numFmtId="176" fontId="12" fillId="0" borderId="0" applyFont="0" applyFill="0" applyBorder="0" applyAlignment="0" applyProtection="0"/>
    <xf numFmtId="38" fontId="12" fillId="0" borderId="0" applyFont="0" applyFill="0" applyBorder="0" applyAlignment="0" applyProtection="0">
      <alignment vertical="center"/>
    </xf>
    <xf numFmtId="0" fontId="12" fillId="0" borderId="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2" fillId="25" borderId="16" applyNumberFormat="0" applyFont="0" applyAlignment="0" applyProtection="0"/>
    <xf numFmtId="0" fontId="11" fillId="0" borderId="0"/>
    <xf numFmtId="176" fontId="11" fillId="0" borderId="0" applyFont="0" applyFill="0" applyBorder="0" applyAlignment="0" applyProtection="0"/>
    <xf numFmtId="38" fontId="11" fillId="0" borderId="0" applyFont="0" applyFill="0" applyBorder="0" applyAlignment="0" applyProtection="0">
      <alignment vertical="center"/>
    </xf>
    <xf numFmtId="0" fontId="11" fillId="0" borderId="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0" borderId="0"/>
    <xf numFmtId="176" fontId="11" fillId="0" borderId="0" applyFont="0" applyFill="0" applyBorder="0" applyAlignment="0" applyProtection="0"/>
    <xf numFmtId="38" fontId="11" fillId="0" borderId="0" applyFont="0" applyFill="0" applyBorder="0" applyAlignment="0" applyProtection="0">
      <alignment vertical="center"/>
    </xf>
    <xf numFmtId="0" fontId="11" fillId="0" borderId="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1" fillId="25" borderId="16" applyNumberFormat="0" applyFont="0" applyAlignment="0" applyProtection="0"/>
    <xf numFmtId="0" fontId="10" fillId="0" borderId="0"/>
    <xf numFmtId="176" fontId="10" fillId="0" borderId="0" applyFont="0" applyFill="0" applyBorder="0" applyAlignment="0" applyProtection="0"/>
    <xf numFmtId="38" fontId="10" fillId="0" borderId="0" applyFont="0" applyFill="0" applyBorder="0" applyAlignment="0" applyProtection="0">
      <alignment vertical="center"/>
    </xf>
    <xf numFmtId="0" fontId="10" fillId="0" borderId="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0" borderId="0"/>
    <xf numFmtId="176" fontId="10" fillId="0" borderId="0" applyFont="0" applyFill="0" applyBorder="0" applyAlignment="0" applyProtection="0"/>
    <xf numFmtId="38" fontId="10" fillId="0" borderId="0" applyFont="0" applyFill="0" applyBorder="0" applyAlignment="0" applyProtection="0">
      <alignment vertical="center"/>
    </xf>
    <xf numFmtId="0" fontId="10" fillId="0" borderId="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0" borderId="0"/>
    <xf numFmtId="176" fontId="10" fillId="0" borderId="0" applyFont="0" applyFill="0" applyBorder="0" applyAlignment="0" applyProtection="0"/>
    <xf numFmtId="38" fontId="10" fillId="0" borderId="0" applyFont="0" applyFill="0" applyBorder="0" applyAlignment="0" applyProtection="0">
      <alignment vertical="center"/>
    </xf>
    <xf numFmtId="0" fontId="10" fillId="0" borderId="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0" borderId="0"/>
    <xf numFmtId="176" fontId="10" fillId="0" borderId="0" applyFont="0" applyFill="0" applyBorder="0" applyAlignment="0" applyProtection="0"/>
    <xf numFmtId="38" fontId="10" fillId="0" borderId="0" applyFont="0" applyFill="0" applyBorder="0" applyAlignment="0" applyProtection="0">
      <alignment vertical="center"/>
    </xf>
    <xf numFmtId="0" fontId="10" fillId="0" borderId="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0" borderId="0"/>
    <xf numFmtId="176" fontId="10" fillId="0" borderId="0" applyFont="0" applyFill="0" applyBorder="0" applyAlignment="0" applyProtection="0"/>
    <xf numFmtId="38" fontId="10" fillId="0" borderId="0" applyFont="0" applyFill="0" applyBorder="0" applyAlignment="0" applyProtection="0">
      <alignment vertical="center"/>
    </xf>
    <xf numFmtId="0" fontId="10" fillId="0" borderId="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0" borderId="0"/>
    <xf numFmtId="176" fontId="10" fillId="0" borderId="0" applyFont="0" applyFill="0" applyBorder="0" applyAlignment="0" applyProtection="0"/>
    <xf numFmtId="38" fontId="10" fillId="0" borderId="0" applyFont="0" applyFill="0" applyBorder="0" applyAlignment="0" applyProtection="0">
      <alignment vertical="center"/>
    </xf>
    <xf numFmtId="0" fontId="10" fillId="0" borderId="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0" fontId="10" fillId="25" borderId="16" applyNumberFormat="0" applyFont="0" applyAlignment="0" applyProtection="0"/>
    <xf numFmtId="38" fontId="46" fillId="0" borderId="0" applyFont="0" applyFill="0" applyBorder="0" applyAlignment="0" applyProtection="0">
      <alignment vertical="center"/>
    </xf>
    <xf numFmtId="0" fontId="9" fillId="0" borderId="0"/>
    <xf numFmtId="176" fontId="9" fillId="0" borderId="0" applyFont="0" applyFill="0" applyBorder="0" applyAlignment="0" applyProtection="0"/>
    <xf numFmtId="38" fontId="9" fillId="0" borderId="0" applyFont="0" applyFill="0" applyBorder="0" applyAlignment="0" applyProtection="0">
      <alignment vertical="center"/>
    </xf>
    <xf numFmtId="0" fontId="9" fillId="0" borderId="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0" borderId="0"/>
    <xf numFmtId="176" fontId="9" fillId="0" borderId="0" applyFont="0" applyFill="0" applyBorder="0" applyAlignment="0" applyProtection="0"/>
    <xf numFmtId="38" fontId="9" fillId="0" borderId="0" applyFont="0" applyFill="0" applyBorder="0" applyAlignment="0" applyProtection="0">
      <alignment vertical="center"/>
    </xf>
    <xf numFmtId="0" fontId="9" fillId="0" borderId="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0" borderId="0"/>
    <xf numFmtId="176" fontId="9" fillId="0" borderId="0" applyFont="0" applyFill="0" applyBorder="0" applyAlignment="0" applyProtection="0"/>
    <xf numFmtId="38" fontId="9" fillId="0" borderId="0" applyFont="0" applyFill="0" applyBorder="0" applyAlignment="0" applyProtection="0">
      <alignment vertical="center"/>
    </xf>
    <xf numFmtId="0" fontId="9" fillId="0" borderId="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0" borderId="0"/>
    <xf numFmtId="176" fontId="9" fillId="0" borderId="0" applyFont="0" applyFill="0" applyBorder="0" applyAlignment="0" applyProtection="0"/>
    <xf numFmtId="38" fontId="9" fillId="0" borderId="0" applyFont="0" applyFill="0" applyBorder="0" applyAlignment="0" applyProtection="0">
      <alignment vertical="center"/>
    </xf>
    <xf numFmtId="0" fontId="9" fillId="0" borderId="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0" borderId="0"/>
    <xf numFmtId="176" fontId="9" fillId="0" borderId="0" applyFont="0" applyFill="0" applyBorder="0" applyAlignment="0" applyProtection="0"/>
    <xf numFmtId="38" fontId="9" fillId="0" borderId="0" applyFont="0" applyFill="0" applyBorder="0" applyAlignment="0" applyProtection="0">
      <alignment vertical="center"/>
    </xf>
    <xf numFmtId="0" fontId="9" fillId="0" borderId="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0" borderId="0"/>
    <xf numFmtId="176" fontId="9" fillId="0" borderId="0" applyFont="0" applyFill="0" applyBorder="0" applyAlignment="0" applyProtection="0"/>
    <xf numFmtId="38" fontId="9" fillId="0" borderId="0" applyFont="0" applyFill="0" applyBorder="0" applyAlignment="0" applyProtection="0">
      <alignment vertical="center"/>
    </xf>
    <xf numFmtId="0" fontId="9" fillId="0" borderId="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0" borderId="0"/>
    <xf numFmtId="176" fontId="9" fillId="0" borderId="0" applyFont="0" applyFill="0" applyBorder="0" applyAlignment="0" applyProtection="0"/>
    <xf numFmtId="38" fontId="9" fillId="0" borderId="0" applyFont="0" applyFill="0" applyBorder="0" applyAlignment="0" applyProtection="0">
      <alignment vertical="center"/>
    </xf>
    <xf numFmtId="0" fontId="9" fillId="0" borderId="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0" borderId="0"/>
    <xf numFmtId="176" fontId="9" fillId="0" borderId="0" applyFont="0" applyFill="0" applyBorder="0" applyAlignment="0" applyProtection="0"/>
    <xf numFmtId="38" fontId="9" fillId="0" borderId="0" applyFont="0" applyFill="0" applyBorder="0" applyAlignment="0" applyProtection="0">
      <alignment vertical="center"/>
    </xf>
    <xf numFmtId="0" fontId="9" fillId="0" borderId="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0" borderId="0"/>
    <xf numFmtId="176" fontId="9" fillId="0" borderId="0" applyFont="0" applyFill="0" applyBorder="0" applyAlignment="0" applyProtection="0"/>
    <xf numFmtId="38" fontId="9" fillId="0" borderId="0" applyFont="0" applyFill="0" applyBorder="0" applyAlignment="0" applyProtection="0">
      <alignment vertical="center"/>
    </xf>
    <xf numFmtId="0" fontId="9" fillId="0" borderId="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0" borderId="0"/>
    <xf numFmtId="176" fontId="9" fillId="0" borderId="0" applyFont="0" applyFill="0" applyBorder="0" applyAlignment="0" applyProtection="0"/>
    <xf numFmtId="38" fontId="9" fillId="0" borderId="0" applyFont="0" applyFill="0" applyBorder="0" applyAlignment="0" applyProtection="0">
      <alignment vertical="center"/>
    </xf>
    <xf numFmtId="0" fontId="9" fillId="0" borderId="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0" borderId="0"/>
    <xf numFmtId="176" fontId="9" fillId="0" borderId="0" applyFont="0" applyFill="0" applyBorder="0" applyAlignment="0" applyProtection="0"/>
    <xf numFmtId="38" fontId="9" fillId="0" borderId="0" applyFont="0" applyFill="0" applyBorder="0" applyAlignment="0" applyProtection="0">
      <alignment vertical="center"/>
    </xf>
    <xf numFmtId="0" fontId="9" fillId="0" borderId="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0" borderId="0"/>
    <xf numFmtId="176" fontId="9" fillId="0" borderId="0" applyFont="0" applyFill="0" applyBorder="0" applyAlignment="0" applyProtection="0"/>
    <xf numFmtId="38" fontId="9" fillId="0" borderId="0" applyFont="0" applyFill="0" applyBorder="0" applyAlignment="0" applyProtection="0">
      <alignment vertical="center"/>
    </xf>
    <xf numFmtId="0" fontId="9" fillId="0" borderId="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37" borderId="0" applyNumberFormat="0" applyBorder="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0" fontId="9" fillId="25" borderId="16" applyNumberFormat="0" applyFont="0" applyAlignment="0" applyProtection="0"/>
    <xf numFmtId="178" fontId="15" fillId="0" borderId="0" applyFont="0" applyFill="0" applyBorder="0" applyAlignment="0" applyProtection="0"/>
    <xf numFmtId="0" fontId="42" fillId="0" borderId="35" applyNumberFormat="0" applyFill="0" applyAlignment="0" applyProtection="0"/>
    <xf numFmtId="0" fontId="40" fillId="21" borderId="34" applyNumberFormat="0" applyAlignment="0" applyProtection="0"/>
    <xf numFmtId="0" fontId="25" fillId="24" borderId="33" applyNumberFormat="0" applyFont="0" applyAlignment="0" applyProtection="0"/>
    <xf numFmtId="0" fontId="22" fillId="21" borderId="28" applyNumberFormat="0" applyAlignment="0" applyProtection="0"/>
    <xf numFmtId="38" fontId="25" fillId="0" borderId="0" applyFont="0" applyFill="0" applyBorder="0" applyAlignment="0" applyProtection="0">
      <alignment vertical="center"/>
    </xf>
    <xf numFmtId="0" fontId="33" fillId="8" borderId="32" applyNumberFormat="0" applyAlignment="0" applyProtection="0"/>
    <xf numFmtId="0" fontId="33" fillId="8" borderId="28" applyNumberFormat="0" applyAlignment="0" applyProtection="0"/>
    <xf numFmtId="0" fontId="22" fillId="21" borderId="32" applyNumberFormat="0" applyAlignment="0" applyProtection="0"/>
    <xf numFmtId="0" fontId="26" fillId="0" borderId="0"/>
    <xf numFmtId="0" fontId="8" fillId="0" borderId="0"/>
    <xf numFmtId="0" fontId="25" fillId="24" borderId="29" applyNumberFormat="0" applyFont="0" applyAlignment="0" applyProtection="0"/>
    <xf numFmtId="0" fontId="40" fillId="21" borderId="30" applyNumberFormat="0" applyAlignment="0" applyProtection="0"/>
    <xf numFmtId="0" fontId="42" fillId="0" borderId="31" applyNumberFormat="0" applyFill="0" applyAlignment="0" applyProtection="0"/>
    <xf numFmtId="176" fontId="8" fillId="0" borderId="0" applyFont="0" applyFill="0" applyBorder="0" applyAlignment="0" applyProtection="0"/>
    <xf numFmtId="38" fontId="25" fillId="0" borderId="0" applyFont="0" applyFill="0" applyBorder="0" applyAlignment="0" applyProtection="0">
      <alignment vertical="center"/>
    </xf>
    <xf numFmtId="38" fontId="8" fillId="0" borderId="0" applyFont="0" applyFill="0" applyBorder="0" applyAlignment="0" applyProtection="0">
      <alignment vertical="center"/>
    </xf>
    <xf numFmtId="0" fontId="8" fillId="0" borderId="0"/>
    <xf numFmtId="0" fontId="33" fillId="8" borderId="28" applyNumberFormat="0" applyAlignment="0" applyProtection="0"/>
    <xf numFmtId="0" fontId="22" fillId="21" borderId="28" applyNumberFormat="0" applyAlignment="0" applyProtection="0"/>
    <xf numFmtId="0" fontId="22" fillId="21" borderId="28" applyNumberFormat="0" applyAlignment="0" applyProtection="0"/>
    <xf numFmtId="0" fontId="33" fillId="8" borderId="28" applyNumberFormat="0" applyAlignment="0" applyProtection="0"/>
    <xf numFmtId="0" fontId="8" fillId="0" borderId="0"/>
    <xf numFmtId="0" fontId="25" fillId="24" borderId="29" applyNumberFormat="0" applyFont="0" applyAlignment="0" applyProtection="0"/>
    <xf numFmtId="0" fontId="40" fillId="21" borderId="30" applyNumberFormat="0" applyAlignment="0" applyProtection="0"/>
    <xf numFmtId="0" fontId="42" fillId="0" borderId="31" applyNumberFormat="0" applyFill="0" applyAlignment="0" applyProtection="0"/>
    <xf numFmtId="176" fontId="8" fillId="0" borderId="0" applyFont="0" applyFill="0" applyBorder="0" applyAlignment="0" applyProtection="0"/>
    <xf numFmtId="38" fontId="8" fillId="0" borderId="0" applyFont="0" applyFill="0" applyBorder="0" applyAlignment="0" applyProtection="0">
      <alignment vertical="center"/>
    </xf>
    <xf numFmtId="0" fontId="8" fillId="0" borderId="0"/>
    <xf numFmtId="0" fontId="25" fillId="24" borderId="29" applyNumberFormat="0" applyFont="0" applyAlignment="0" applyProtection="0"/>
    <xf numFmtId="0" fontId="40" fillId="21" borderId="30" applyNumberFormat="0" applyAlignment="0" applyProtection="0"/>
    <xf numFmtId="0" fontId="42" fillId="0" borderId="31" applyNumberFormat="0" applyFill="0" applyAlignment="0" applyProtection="0"/>
    <xf numFmtId="9" fontId="8" fillId="0" borderId="0" applyFont="0" applyFill="0" applyBorder="0" applyAlignment="0" applyProtection="0"/>
    <xf numFmtId="176" fontId="27" fillId="0" borderId="0" applyFont="0" applyFill="0" applyBorder="0" applyAlignment="0" applyProtection="0"/>
    <xf numFmtId="178" fontId="78" fillId="0" borderId="0" applyFont="0" applyFill="0" applyBorder="0" applyAlignment="0" applyProtection="0"/>
    <xf numFmtId="0" fontId="8" fillId="0" borderId="0"/>
    <xf numFmtId="0" fontId="26" fillId="0" borderId="0"/>
    <xf numFmtId="0" fontId="78" fillId="0" borderId="0"/>
    <xf numFmtId="0" fontId="15" fillId="0" borderId="0">
      <alignment vertical="center"/>
    </xf>
    <xf numFmtId="0" fontId="22" fillId="21" borderId="28" applyNumberFormat="0" applyAlignment="0" applyProtection="0"/>
    <xf numFmtId="0" fontId="33" fillId="8" borderId="28" applyNumberFormat="0" applyAlignment="0" applyProtection="0"/>
    <xf numFmtId="0" fontId="8" fillId="0" borderId="0"/>
    <xf numFmtId="0" fontId="25" fillId="24" borderId="29" applyNumberFormat="0" applyFont="0" applyAlignment="0" applyProtection="0"/>
    <xf numFmtId="0" fontId="40" fillId="21" borderId="30" applyNumberFormat="0" applyAlignment="0" applyProtection="0"/>
    <xf numFmtId="0" fontId="42" fillId="0" borderId="31" applyNumberFormat="0" applyFill="0" applyAlignment="0" applyProtection="0"/>
    <xf numFmtId="176" fontId="8" fillId="0" borderId="0" applyFont="0" applyFill="0" applyBorder="0" applyAlignment="0" applyProtection="0"/>
    <xf numFmtId="38" fontId="8" fillId="0" borderId="0" applyFont="0" applyFill="0" applyBorder="0" applyAlignment="0" applyProtection="0">
      <alignment vertical="center"/>
    </xf>
    <xf numFmtId="0" fontId="8" fillId="0" borderId="0"/>
    <xf numFmtId="0" fontId="8" fillId="0" borderId="0"/>
    <xf numFmtId="9" fontId="26" fillId="0" borderId="0" applyFont="0" applyFill="0" applyBorder="0" applyAlignment="0" applyProtection="0"/>
    <xf numFmtId="0" fontId="15" fillId="0" borderId="0">
      <alignment vertical="center"/>
    </xf>
    <xf numFmtId="0" fontId="8" fillId="0" borderId="0"/>
    <xf numFmtId="0" fontId="8" fillId="0" borderId="0"/>
    <xf numFmtId="0" fontId="77" fillId="0" borderId="0">
      <alignment vertical="center"/>
    </xf>
    <xf numFmtId="0" fontId="22" fillId="21" borderId="28" applyNumberFormat="0" applyAlignment="0" applyProtection="0"/>
    <xf numFmtId="0" fontId="33" fillId="8" borderId="28" applyNumberFormat="0" applyAlignment="0" applyProtection="0"/>
    <xf numFmtId="0" fontId="8" fillId="0" borderId="0"/>
    <xf numFmtId="0" fontId="25" fillId="24" borderId="29" applyNumberFormat="0" applyFont="0" applyAlignment="0" applyProtection="0"/>
    <xf numFmtId="0" fontId="40" fillId="21" borderId="30" applyNumberFormat="0" applyAlignment="0" applyProtection="0"/>
    <xf numFmtId="0" fontId="42" fillId="0" borderId="31" applyNumberFormat="0" applyFill="0" applyAlignment="0" applyProtection="0"/>
    <xf numFmtId="176" fontId="8" fillId="0" borderId="0" applyFont="0" applyFill="0" applyBorder="0" applyAlignment="0" applyProtection="0"/>
    <xf numFmtId="38" fontId="8" fillId="0" borderId="0" applyFont="0" applyFill="0" applyBorder="0" applyAlignment="0" applyProtection="0">
      <alignment vertical="center"/>
    </xf>
    <xf numFmtId="0" fontId="8" fillId="0" borderId="0"/>
    <xf numFmtId="0" fontId="33" fillId="8" borderId="28" applyNumberFormat="0" applyAlignment="0" applyProtection="0"/>
    <xf numFmtId="0" fontId="22" fillId="21" borderId="28" applyNumberFormat="0" applyAlignment="0" applyProtection="0"/>
    <xf numFmtId="0" fontId="22" fillId="21" borderId="28" applyNumberFormat="0" applyAlignment="0" applyProtection="0"/>
    <xf numFmtId="0" fontId="33" fillId="8" borderId="28" applyNumberFormat="0" applyAlignment="0" applyProtection="0"/>
    <xf numFmtId="0" fontId="8" fillId="0" borderId="0"/>
    <xf numFmtId="0" fontId="25" fillId="24" borderId="29" applyNumberFormat="0" applyFont="0" applyAlignment="0" applyProtection="0"/>
    <xf numFmtId="0" fontId="40" fillId="21" borderId="30" applyNumberFormat="0" applyAlignment="0" applyProtection="0"/>
    <xf numFmtId="0" fontId="42" fillId="0" borderId="31" applyNumberFormat="0" applyFill="0" applyAlignment="0" applyProtection="0"/>
    <xf numFmtId="176" fontId="8" fillId="0" borderId="0" applyFont="0" applyFill="0" applyBorder="0" applyAlignment="0" applyProtection="0"/>
    <xf numFmtId="38" fontId="8" fillId="0" borderId="0" applyFont="0" applyFill="0" applyBorder="0" applyAlignment="0" applyProtection="0">
      <alignment vertical="center"/>
    </xf>
    <xf numFmtId="0" fontId="8" fillId="0" borderId="0"/>
    <xf numFmtId="0" fontId="25" fillId="24" borderId="29" applyNumberFormat="0" applyFont="0" applyAlignment="0" applyProtection="0"/>
    <xf numFmtId="0" fontId="40" fillId="21" borderId="30" applyNumberFormat="0" applyAlignment="0" applyProtection="0"/>
    <xf numFmtId="0" fontId="42" fillId="0" borderId="31" applyNumberFormat="0" applyFill="0" applyAlignment="0" applyProtection="0"/>
    <xf numFmtId="9" fontId="8" fillId="0" borderId="0" applyFont="0" applyFill="0" applyBorder="0" applyAlignment="0" applyProtection="0"/>
    <xf numFmtId="0" fontId="8" fillId="0" borderId="0"/>
    <xf numFmtId="0" fontId="22" fillId="21" borderId="28" applyNumberFormat="0" applyAlignment="0" applyProtection="0"/>
    <xf numFmtId="0" fontId="33" fillId="8" borderId="28" applyNumberFormat="0" applyAlignment="0" applyProtection="0"/>
    <xf numFmtId="0" fontId="8" fillId="0" borderId="0"/>
    <xf numFmtId="0" fontId="25" fillId="24" borderId="29" applyNumberFormat="0" applyFont="0" applyAlignment="0" applyProtection="0"/>
    <xf numFmtId="0" fontId="40" fillId="21" borderId="30" applyNumberFormat="0" applyAlignment="0" applyProtection="0"/>
    <xf numFmtId="0" fontId="42" fillId="0" borderId="31" applyNumberFormat="0" applyFill="0" applyAlignment="0" applyProtection="0"/>
    <xf numFmtId="176" fontId="8" fillId="0" borderId="0" applyFont="0" applyFill="0" applyBorder="0" applyAlignment="0" applyProtection="0"/>
    <xf numFmtId="38" fontId="8" fillId="0" borderId="0" applyFont="0" applyFill="0" applyBorder="0" applyAlignment="0" applyProtection="0">
      <alignment vertical="center"/>
    </xf>
    <xf numFmtId="0" fontId="8" fillId="0" borderId="0"/>
    <xf numFmtId="0" fontId="8" fillId="0" borderId="0"/>
    <xf numFmtId="0" fontId="8" fillId="0" borderId="0"/>
    <xf numFmtId="0" fontId="8" fillId="0" borderId="0"/>
    <xf numFmtId="0" fontId="33" fillId="8" borderId="32" applyNumberFormat="0" applyAlignment="0" applyProtection="0"/>
    <xf numFmtId="0" fontId="22" fillId="21" borderId="32" applyNumberFormat="0" applyAlignment="0" applyProtection="0"/>
    <xf numFmtId="0" fontId="22" fillId="21" borderId="32" applyNumberFormat="0" applyAlignment="0" applyProtection="0"/>
    <xf numFmtId="0" fontId="33" fillId="8" borderId="32" applyNumberForma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22" fillId="21" borderId="32" applyNumberFormat="0" applyAlignment="0" applyProtection="0"/>
    <xf numFmtId="0" fontId="33" fillId="8" borderId="32" applyNumberForma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22" fillId="21" borderId="32" applyNumberFormat="0" applyAlignment="0" applyProtection="0"/>
    <xf numFmtId="0" fontId="33" fillId="8" borderId="32" applyNumberForma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33" fillId="8" borderId="32" applyNumberFormat="0" applyAlignment="0" applyProtection="0"/>
    <xf numFmtId="0" fontId="22" fillId="21" borderId="32" applyNumberFormat="0" applyAlignment="0" applyProtection="0"/>
    <xf numFmtId="0" fontId="22" fillId="21" borderId="32" applyNumberFormat="0" applyAlignment="0" applyProtection="0"/>
    <xf numFmtId="0" fontId="33" fillId="8" borderId="32" applyNumberForma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22" fillId="21" borderId="32" applyNumberFormat="0" applyAlignment="0" applyProtection="0"/>
    <xf numFmtId="0" fontId="33" fillId="8" borderId="32" applyNumberForma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178" fontId="15" fillId="0" borderId="0" applyFont="0" applyFill="0" applyBorder="0" applyAlignment="0" applyProtection="0"/>
    <xf numFmtId="0" fontId="7" fillId="0" borderId="0"/>
    <xf numFmtId="176" fontId="7" fillId="0" borderId="0" applyFont="0" applyFill="0" applyBorder="0" applyAlignment="0" applyProtection="0"/>
    <xf numFmtId="38" fontId="7" fillId="0" borderId="0" applyFont="0" applyFill="0" applyBorder="0" applyAlignment="0" applyProtection="0">
      <alignment vertical="center"/>
    </xf>
    <xf numFmtId="0" fontId="7" fillId="0" borderId="0"/>
    <xf numFmtId="0" fontId="7" fillId="0" borderId="0"/>
    <xf numFmtId="176" fontId="7" fillId="0" borderId="0" applyFont="0" applyFill="0" applyBorder="0" applyAlignment="0" applyProtection="0"/>
    <xf numFmtId="38" fontId="7" fillId="0" borderId="0" applyFont="0" applyFill="0" applyBorder="0" applyAlignment="0" applyProtection="0">
      <alignment vertical="center"/>
    </xf>
    <xf numFmtId="0" fontId="7" fillId="0" borderId="0"/>
    <xf numFmtId="9" fontId="7" fillId="0" borderId="0" applyFont="0" applyFill="0" applyBorder="0" applyAlignment="0" applyProtection="0"/>
    <xf numFmtId="0" fontId="7" fillId="0" borderId="0"/>
    <xf numFmtId="0" fontId="7" fillId="0" borderId="0"/>
    <xf numFmtId="176" fontId="7" fillId="0" borderId="0" applyFont="0" applyFill="0" applyBorder="0" applyAlignment="0" applyProtection="0"/>
    <xf numFmtId="38" fontId="7" fillId="0" borderId="0" applyFont="0" applyFill="0" applyBorder="0" applyAlignment="0" applyProtection="0">
      <alignment vertical="center"/>
    </xf>
    <xf numFmtId="0" fontId="7" fillId="0" borderId="0"/>
    <xf numFmtId="0" fontId="7" fillId="0" borderId="0"/>
    <xf numFmtId="0" fontId="7" fillId="0" borderId="0"/>
    <xf numFmtId="0" fontId="7" fillId="0" borderId="0"/>
    <xf numFmtId="0" fontId="7" fillId="0" borderId="0"/>
    <xf numFmtId="176" fontId="7" fillId="0" borderId="0" applyFont="0" applyFill="0" applyBorder="0" applyAlignment="0" applyProtection="0"/>
    <xf numFmtId="38" fontId="7" fillId="0" borderId="0" applyFont="0" applyFill="0" applyBorder="0" applyAlignment="0" applyProtection="0">
      <alignment vertical="center"/>
    </xf>
    <xf numFmtId="0" fontId="7" fillId="0" borderId="0"/>
    <xf numFmtId="0" fontId="7" fillId="0" borderId="0"/>
    <xf numFmtId="176" fontId="7" fillId="0" borderId="0" applyFont="0" applyFill="0" applyBorder="0" applyAlignment="0" applyProtection="0"/>
    <xf numFmtId="38" fontId="7" fillId="0" borderId="0" applyFont="0" applyFill="0" applyBorder="0" applyAlignment="0" applyProtection="0">
      <alignment vertical="center"/>
    </xf>
    <xf numFmtId="0" fontId="7" fillId="0" borderId="0"/>
    <xf numFmtId="9" fontId="7" fillId="0" borderId="0" applyFont="0" applyFill="0" applyBorder="0" applyAlignment="0" applyProtection="0"/>
    <xf numFmtId="0" fontId="7" fillId="0" borderId="0"/>
    <xf numFmtId="0" fontId="7" fillId="0" borderId="0"/>
    <xf numFmtId="176" fontId="7" fillId="0" borderId="0" applyFont="0" applyFill="0" applyBorder="0" applyAlignment="0" applyProtection="0"/>
    <xf numFmtId="38" fontId="7" fillId="0" borderId="0" applyFont="0" applyFill="0" applyBorder="0" applyAlignment="0" applyProtection="0">
      <alignment vertical="center"/>
    </xf>
    <xf numFmtId="0" fontId="7" fillId="0" borderId="0"/>
    <xf numFmtId="0" fontId="7" fillId="0" borderId="0"/>
    <xf numFmtId="0" fontId="7" fillId="0" borderId="0"/>
    <xf numFmtId="0" fontId="7" fillId="0" borderId="0"/>
    <xf numFmtId="0" fontId="22" fillId="21" borderId="32" applyNumberFormat="0" applyAlignment="0" applyProtection="0"/>
    <xf numFmtId="0" fontId="33" fillId="8" borderId="32" applyNumberFormat="0" applyAlignment="0" applyProtection="0"/>
    <xf numFmtId="0" fontId="7" fillId="0" borderId="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176" fontId="7" fillId="0" borderId="0" applyFont="0" applyFill="0" applyBorder="0" applyAlignment="0" applyProtection="0"/>
    <xf numFmtId="38" fontId="7" fillId="0" borderId="0" applyFont="0" applyFill="0" applyBorder="0" applyAlignment="0" applyProtection="0">
      <alignment vertical="center"/>
    </xf>
    <xf numFmtId="0" fontId="7" fillId="0" borderId="0"/>
    <xf numFmtId="0" fontId="7" fillId="0" borderId="0"/>
    <xf numFmtId="0" fontId="25" fillId="24" borderId="33" applyNumberFormat="0" applyFont="0" applyAlignment="0" applyProtection="0"/>
    <xf numFmtId="176" fontId="7" fillId="0" borderId="0" applyFont="0" applyFill="0" applyBorder="0" applyAlignment="0" applyProtection="0"/>
    <xf numFmtId="38" fontId="7" fillId="0" borderId="0" applyFont="0" applyFill="0" applyBorder="0" applyAlignment="0" applyProtection="0">
      <alignment vertical="center"/>
    </xf>
    <xf numFmtId="0" fontId="7" fillId="0" borderId="0"/>
    <xf numFmtId="9" fontId="7" fillId="0" borderId="0" applyFont="0" applyFill="0" applyBorder="0" applyAlignment="0" applyProtection="0"/>
    <xf numFmtId="0" fontId="7" fillId="0" borderId="0"/>
    <xf numFmtId="0" fontId="7" fillId="0" borderId="0"/>
    <xf numFmtId="176" fontId="7" fillId="0" borderId="0" applyFont="0" applyFill="0" applyBorder="0" applyAlignment="0" applyProtection="0"/>
    <xf numFmtId="38" fontId="7" fillId="0" borderId="0" applyFont="0" applyFill="0" applyBorder="0" applyAlignment="0" applyProtection="0">
      <alignment vertical="center"/>
    </xf>
    <xf numFmtId="0" fontId="7" fillId="0" borderId="0"/>
    <xf numFmtId="0" fontId="7" fillId="0" borderId="0"/>
    <xf numFmtId="0" fontId="7" fillId="0" borderId="0"/>
    <xf numFmtId="0" fontId="7" fillId="0" borderId="0"/>
    <xf numFmtId="0" fontId="7" fillId="0" borderId="0"/>
    <xf numFmtId="176" fontId="7" fillId="0" borderId="0" applyFont="0" applyFill="0" applyBorder="0" applyAlignment="0" applyProtection="0"/>
    <xf numFmtId="38" fontId="7" fillId="0" borderId="0" applyFont="0" applyFill="0" applyBorder="0" applyAlignment="0" applyProtection="0">
      <alignment vertical="center"/>
    </xf>
    <xf numFmtId="0" fontId="7" fillId="0" borderId="0"/>
    <xf numFmtId="0" fontId="7" fillId="0" borderId="0"/>
    <xf numFmtId="176" fontId="7" fillId="0" borderId="0" applyFont="0" applyFill="0" applyBorder="0" applyAlignment="0" applyProtection="0"/>
    <xf numFmtId="38" fontId="7" fillId="0" borderId="0" applyFont="0" applyFill="0" applyBorder="0" applyAlignment="0" applyProtection="0">
      <alignment vertical="center"/>
    </xf>
    <xf numFmtId="0" fontId="7" fillId="0" borderId="0"/>
    <xf numFmtId="9" fontId="7" fillId="0" borderId="0" applyFont="0" applyFill="0" applyBorder="0" applyAlignment="0" applyProtection="0"/>
    <xf numFmtId="0" fontId="7" fillId="0" borderId="0"/>
    <xf numFmtId="0" fontId="7" fillId="0" borderId="0"/>
    <xf numFmtId="176" fontId="7" fillId="0" borderId="0" applyFont="0" applyFill="0" applyBorder="0" applyAlignment="0" applyProtection="0"/>
    <xf numFmtId="38" fontId="7" fillId="0" borderId="0" applyFont="0" applyFill="0" applyBorder="0" applyAlignment="0" applyProtection="0">
      <alignment vertical="center"/>
    </xf>
    <xf numFmtId="0" fontId="7" fillId="0" borderId="0"/>
    <xf numFmtId="0" fontId="7" fillId="0" borderId="0"/>
    <xf numFmtId="0" fontId="7" fillId="0" borderId="0"/>
    <xf numFmtId="0" fontId="7" fillId="0" borderId="0"/>
    <xf numFmtId="0" fontId="7" fillId="0" borderId="0"/>
    <xf numFmtId="176" fontId="7" fillId="0" borderId="0" applyFont="0" applyFill="0" applyBorder="0" applyAlignment="0" applyProtection="0"/>
    <xf numFmtId="38" fontId="7" fillId="0" borderId="0" applyFont="0" applyFill="0" applyBorder="0" applyAlignment="0" applyProtection="0">
      <alignment vertical="center"/>
    </xf>
    <xf numFmtId="0" fontId="7" fillId="0" borderId="0"/>
    <xf numFmtId="0" fontId="33" fillId="8" borderId="32" applyNumberFormat="0" applyAlignment="0" applyProtection="0"/>
    <xf numFmtId="0" fontId="22" fillId="21" borderId="32" applyNumberFormat="0" applyAlignment="0" applyProtection="0"/>
    <xf numFmtId="0" fontId="22" fillId="21" borderId="32" applyNumberFormat="0" applyAlignment="0" applyProtection="0"/>
    <xf numFmtId="0" fontId="33" fillId="8" borderId="32" applyNumberFormat="0" applyAlignment="0" applyProtection="0"/>
    <xf numFmtId="0" fontId="7" fillId="0" borderId="0"/>
    <xf numFmtId="0" fontId="40" fillId="21" borderId="34" applyNumberFormat="0" applyAlignment="0" applyProtection="0"/>
    <xf numFmtId="0" fontId="42" fillId="0" borderId="35" applyNumberFormat="0" applyFill="0" applyAlignment="0" applyProtection="0"/>
    <xf numFmtId="176" fontId="7" fillId="0" borderId="0" applyFont="0" applyFill="0" applyBorder="0" applyAlignment="0" applyProtection="0"/>
    <xf numFmtId="38" fontId="7" fillId="0" borderId="0" applyFont="0" applyFill="0" applyBorder="0" applyAlignment="0" applyProtection="0">
      <alignment vertical="center"/>
    </xf>
    <xf numFmtId="0" fontId="7" fillId="0" borderId="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9" fontId="7" fillId="0" borderId="0" applyFont="0" applyFill="0" applyBorder="0" applyAlignment="0" applyProtection="0"/>
    <xf numFmtId="0" fontId="7" fillId="0" borderId="0"/>
    <xf numFmtId="0" fontId="22" fillId="21" borderId="32" applyNumberFormat="0" applyAlignment="0" applyProtection="0"/>
    <xf numFmtId="0" fontId="33" fillId="8" borderId="32" applyNumberFormat="0" applyAlignment="0" applyProtection="0"/>
    <xf numFmtId="0" fontId="7" fillId="0" borderId="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176" fontId="7" fillId="0" borderId="0" applyFont="0" applyFill="0" applyBorder="0" applyAlignment="0" applyProtection="0"/>
    <xf numFmtId="38" fontId="7" fillId="0" borderId="0" applyFont="0" applyFill="0" applyBorder="0" applyAlignment="0" applyProtection="0">
      <alignment vertical="center"/>
    </xf>
    <xf numFmtId="0" fontId="7" fillId="0" borderId="0"/>
    <xf numFmtId="0" fontId="7" fillId="0" borderId="0"/>
    <xf numFmtId="0" fontId="7" fillId="0" borderId="0"/>
    <xf numFmtId="0" fontId="7" fillId="0" borderId="0"/>
    <xf numFmtId="0" fontId="22" fillId="21" borderId="32" applyNumberFormat="0" applyAlignment="0" applyProtection="0"/>
    <xf numFmtId="0" fontId="33" fillId="8" borderId="32" applyNumberFormat="0" applyAlignment="0" applyProtection="0"/>
    <xf numFmtId="0" fontId="7" fillId="0" borderId="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176" fontId="7" fillId="0" borderId="0" applyFont="0" applyFill="0" applyBorder="0" applyAlignment="0" applyProtection="0"/>
    <xf numFmtId="38" fontId="7" fillId="0" borderId="0" applyFont="0" applyFill="0" applyBorder="0" applyAlignment="0" applyProtection="0">
      <alignment vertical="center"/>
    </xf>
    <xf numFmtId="0" fontId="7" fillId="0" borderId="0"/>
    <xf numFmtId="0" fontId="33" fillId="8" borderId="32" applyNumberFormat="0" applyAlignment="0" applyProtection="0"/>
    <xf numFmtId="0" fontId="22" fillId="21" borderId="32" applyNumberFormat="0" applyAlignment="0" applyProtection="0"/>
    <xf numFmtId="0" fontId="22" fillId="21" borderId="32" applyNumberFormat="0" applyAlignment="0" applyProtection="0"/>
    <xf numFmtId="0" fontId="33" fillId="8" borderId="32" applyNumberFormat="0" applyAlignment="0" applyProtection="0"/>
    <xf numFmtId="0" fontId="7" fillId="0" borderId="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176" fontId="7" fillId="0" borderId="0" applyFont="0" applyFill="0" applyBorder="0" applyAlignment="0" applyProtection="0"/>
    <xf numFmtId="38" fontId="7" fillId="0" borderId="0" applyFont="0" applyFill="0" applyBorder="0" applyAlignment="0" applyProtection="0">
      <alignment vertical="center"/>
    </xf>
    <xf numFmtId="0" fontId="7" fillId="0" borderId="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9" fontId="7" fillId="0" borderId="0" applyFont="0" applyFill="0" applyBorder="0" applyAlignment="0" applyProtection="0"/>
    <xf numFmtId="0" fontId="7" fillId="0" borderId="0"/>
    <xf numFmtId="0" fontId="22" fillId="21" borderId="32" applyNumberFormat="0" applyAlignment="0" applyProtection="0"/>
    <xf numFmtId="0" fontId="33" fillId="8" borderId="32" applyNumberFormat="0" applyAlignment="0" applyProtection="0"/>
    <xf numFmtId="0" fontId="7" fillId="0" borderId="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176" fontId="7" fillId="0" borderId="0" applyFont="0" applyFill="0" applyBorder="0" applyAlignment="0" applyProtection="0"/>
    <xf numFmtId="38" fontId="7" fillId="0" borderId="0" applyFont="0" applyFill="0" applyBorder="0" applyAlignment="0" applyProtection="0">
      <alignment vertical="center"/>
    </xf>
    <xf numFmtId="0" fontId="7" fillId="0" borderId="0"/>
    <xf numFmtId="0" fontId="7" fillId="0" borderId="0"/>
    <xf numFmtId="0" fontId="7" fillId="0" borderId="0"/>
    <xf numFmtId="0" fontId="7" fillId="0" borderId="0"/>
    <xf numFmtId="0" fontId="22" fillId="21" borderId="32" applyNumberFormat="0" applyAlignment="0" applyProtection="0"/>
    <xf numFmtId="0" fontId="33" fillId="8" borderId="32" applyNumberFormat="0" applyAlignment="0" applyProtection="0"/>
    <xf numFmtId="0" fontId="7" fillId="0" borderId="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176" fontId="7" fillId="0" borderId="0" applyFont="0" applyFill="0" applyBorder="0" applyAlignment="0" applyProtection="0"/>
    <xf numFmtId="38" fontId="7" fillId="0" borderId="0" applyFont="0" applyFill="0" applyBorder="0" applyAlignment="0" applyProtection="0">
      <alignment vertical="center"/>
    </xf>
    <xf numFmtId="0" fontId="7" fillId="0" borderId="0"/>
    <xf numFmtId="0" fontId="33" fillId="8" borderId="32" applyNumberFormat="0" applyAlignment="0" applyProtection="0"/>
    <xf numFmtId="0" fontId="22" fillId="21" borderId="32" applyNumberFormat="0" applyAlignment="0" applyProtection="0"/>
    <xf numFmtId="0" fontId="22" fillId="21" borderId="32" applyNumberFormat="0" applyAlignment="0" applyProtection="0"/>
    <xf numFmtId="0" fontId="33" fillId="8" borderId="32" applyNumberFormat="0" applyAlignment="0" applyProtection="0"/>
    <xf numFmtId="0" fontId="7" fillId="0" borderId="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176" fontId="7" fillId="0" borderId="0" applyFont="0" applyFill="0" applyBorder="0" applyAlignment="0" applyProtection="0"/>
    <xf numFmtId="38" fontId="7" fillId="0" borderId="0" applyFont="0" applyFill="0" applyBorder="0" applyAlignment="0" applyProtection="0">
      <alignment vertical="center"/>
    </xf>
    <xf numFmtId="0" fontId="7" fillId="0" borderId="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9" fontId="7" fillId="0" borderId="0" applyFont="0" applyFill="0" applyBorder="0" applyAlignment="0" applyProtection="0"/>
    <xf numFmtId="0" fontId="7" fillId="0" borderId="0"/>
    <xf numFmtId="0" fontId="22" fillId="21" borderId="32" applyNumberFormat="0" applyAlignment="0" applyProtection="0"/>
    <xf numFmtId="0" fontId="33" fillId="8" borderId="32" applyNumberFormat="0" applyAlignment="0" applyProtection="0"/>
    <xf numFmtId="0" fontId="7" fillId="0" borderId="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176" fontId="7" fillId="0" borderId="0" applyFont="0" applyFill="0" applyBorder="0" applyAlignment="0" applyProtection="0"/>
    <xf numFmtId="38" fontId="7" fillId="0" borderId="0" applyFont="0" applyFill="0" applyBorder="0" applyAlignment="0" applyProtection="0">
      <alignment vertical="center"/>
    </xf>
    <xf numFmtId="0" fontId="7" fillId="0" borderId="0"/>
    <xf numFmtId="0" fontId="7" fillId="0" borderId="0"/>
    <xf numFmtId="0" fontId="7" fillId="0" borderId="0"/>
    <xf numFmtId="0" fontId="7" fillId="0" borderId="0"/>
    <xf numFmtId="0" fontId="22" fillId="21" borderId="32" applyNumberFormat="0" applyAlignment="0" applyProtection="0"/>
    <xf numFmtId="0" fontId="33" fillId="8" borderId="32" applyNumberFormat="0" applyAlignment="0" applyProtection="0"/>
    <xf numFmtId="0" fontId="7" fillId="0" borderId="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176" fontId="7" fillId="0" borderId="0" applyFont="0" applyFill="0" applyBorder="0" applyAlignment="0" applyProtection="0"/>
    <xf numFmtId="38" fontId="7" fillId="0" borderId="0" applyFont="0" applyFill="0" applyBorder="0" applyAlignment="0" applyProtection="0">
      <alignment vertical="center"/>
    </xf>
    <xf numFmtId="0" fontId="7" fillId="0" borderId="0"/>
    <xf numFmtId="0" fontId="33" fillId="8" borderId="32" applyNumberFormat="0" applyAlignment="0" applyProtection="0"/>
    <xf numFmtId="0" fontId="22" fillId="21" borderId="32" applyNumberFormat="0" applyAlignment="0" applyProtection="0"/>
    <xf numFmtId="0" fontId="22" fillId="21" borderId="32" applyNumberFormat="0" applyAlignment="0" applyProtection="0"/>
    <xf numFmtId="0" fontId="33" fillId="8" borderId="32" applyNumberFormat="0" applyAlignment="0" applyProtection="0"/>
    <xf numFmtId="0" fontId="7" fillId="0" borderId="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176" fontId="7" fillId="0" borderId="0" applyFont="0" applyFill="0" applyBorder="0" applyAlignment="0" applyProtection="0"/>
    <xf numFmtId="38" fontId="7" fillId="0" borderId="0" applyFont="0" applyFill="0" applyBorder="0" applyAlignment="0" applyProtection="0">
      <alignment vertical="center"/>
    </xf>
    <xf numFmtId="0" fontId="7" fillId="0" borderId="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9" fontId="7" fillId="0" borderId="0" applyFont="0" applyFill="0" applyBorder="0" applyAlignment="0" applyProtection="0"/>
    <xf numFmtId="0" fontId="7" fillId="0" borderId="0"/>
    <xf numFmtId="0" fontId="22" fillId="21" borderId="32" applyNumberFormat="0" applyAlignment="0" applyProtection="0"/>
    <xf numFmtId="0" fontId="33" fillId="8" borderId="32" applyNumberFormat="0" applyAlignment="0" applyProtection="0"/>
    <xf numFmtId="0" fontId="7" fillId="0" borderId="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176" fontId="7" fillId="0" borderId="0" applyFont="0" applyFill="0" applyBorder="0" applyAlignment="0" applyProtection="0"/>
    <xf numFmtId="38" fontId="7" fillId="0" borderId="0" applyFont="0" applyFill="0" applyBorder="0" applyAlignment="0" applyProtection="0">
      <alignment vertical="center"/>
    </xf>
    <xf numFmtId="0" fontId="7" fillId="0" borderId="0"/>
    <xf numFmtId="0" fontId="7" fillId="0" borderId="0"/>
    <xf numFmtId="0" fontId="7" fillId="0" borderId="0"/>
    <xf numFmtId="0" fontId="7" fillId="0" borderId="0"/>
    <xf numFmtId="0" fontId="42" fillId="0" borderId="35" applyNumberFormat="0" applyFill="0" applyAlignment="0" applyProtection="0"/>
    <xf numFmtId="0" fontId="22" fillId="21" borderId="32" applyNumberFormat="0" applyAlignment="0" applyProtection="0"/>
    <xf numFmtId="0" fontId="25" fillId="24" borderId="33" applyNumberFormat="0" applyFont="0" applyAlignment="0" applyProtection="0"/>
    <xf numFmtId="0" fontId="33" fillId="8" borderId="32" applyNumberFormat="0" applyAlignment="0" applyProtection="0"/>
    <xf numFmtId="0" fontId="22" fillId="21" borderId="32" applyNumberFormat="0" applyAlignment="0" applyProtection="0"/>
    <xf numFmtId="0" fontId="25" fillId="24" borderId="33" applyNumberFormat="0" applyFont="0" applyAlignment="0" applyProtection="0"/>
    <xf numFmtId="0" fontId="42" fillId="0" borderId="35" applyNumberFormat="0" applyFill="0" applyAlignment="0" applyProtection="0"/>
    <xf numFmtId="0" fontId="22" fillId="21" borderId="32" applyNumberFormat="0" applyAlignment="0" applyProtection="0"/>
    <xf numFmtId="0" fontId="22" fillId="21" borderId="32" applyNumberFormat="0" applyAlignment="0" applyProtection="0"/>
    <xf numFmtId="0" fontId="22" fillId="21" borderId="32" applyNumberFormat="0" applyAlignment="0" applyProtection="0"/>
    <xf numFmtId="0" fontId="33" fillId="8" borderId="32" applyNumberFormat="0" applyAlignment="0" applyProtection="0"/>
    <xf numFmtId="0" fontId="22" fillId="21" borderId="32" applyNumberFormat="0" applyAlignment="0" applyProtection="0"/>
    <xf numFmtId="0" fontId="22" fillId="21" borderId="32" applyNumberFormat="0" applyAlignment="0" applyProtection="0"/>
    <xf numFmtId="0" fontId="40" fillId="21" borderId="34" applyNumberFormat="0" applyAlignment="0" applyProtection="0"/>
    <xf numFmtId="0" fontId="33" fillId="8" borderId="32" applyNumberFormat="0" applyAlignment="0" applyProtection="0"/>
    <xf numFmtId="0" fontId="22" fillId="21" borderId="32" applyNumberFormat="0" applyAlignment="0" applyProtection="0"/>
    <xf numFmtId="0" fontId="42" fillId="0" borderId="35" applyNumberFormat="0" applyFill="0" applyAlignment="0" applyProtection="0"/>
    <xf numFmtId="0" fontId="42" fillId="0" borderId="35" applyNumberFormat="0" applyFill="0" applyAlignment="0" applyProtection="0"/>
    <xf numFmtId="0" fontId="40" fillId="21" borderId="34" applyNumberFormat="0" applyAlignment="0" applyProtection="0"/>
    <xf numFmtId="0" fontId="42" fillId="0" borderId="35" applyNumberFormat="0" applyFill="0" applyAlignment="0" applyProtection="0"/>
    <xf numFmtId="0" fontId="33" fillId="8" borderId="32" applyNumberFormat="0" applyAlignment="0" applyProtection="0"/>
    <xf numFmtId="0" fontId="33" fillId="8" borderId="32" applyNumberFormat="0" applyAlignment="0" applyProtection="0"/>
    <xf numFmtId="0" fontId="40" fillId="21" borderId="34" applyNumberFormat="0" applyAlignment="0" applyProtection="0"/>
    <xf numFmtId="0" fontId="25" fillId="24" borderId="33" applyNumberFormat="0" applyFont="0" applyAlignment="0" applyProtection="0"/>
    <xf numFmtId="0" fontId="33" fillId="8" borderId="32" applyNumberFormat="0" applyAlignment="0" applyProtection="0"/>
    <xf numFmtId="0" fontId="33" fillId="8" borderId="32" applyNumberFormat="0" applyAlignment="0" applyProtection="0"/>
    <xf numFmtId="0" fontId="22" fillId="21" borderId="32" applyNumberFormat="0" applyAlignment="0" applyProtection="0"/>
    <xf numFmtId="0" fontId="33" fillId="8" borderId="32" applyNumberFormat="0" applyAlignment="0" applyProtection="0"/>
    <xf numFmtId="0" fontId="22" fillId="21" borderId="32" applyNumberFormat="0" applyAlignment="0" applyProtection="0"/>
    <xf numFmtId="0" fontId="22" fillId="21" borderId="32" applyNumberFormat="0" applyAlignment="0" applyProtection="0"/>
    <xf numFmtId="0" fontId="25" fillId="24" borderId="33" applyNumberFormat="0" applyFont="0" applyAlignment="0" applyProtection="0"/>
    <xf numFmtId="0" fontId="25" fillId="24" borderId="33" applyNumberFormat="0" applyFont="0" applyAlignment="0" applyProtection="0"/>
    <xf numFmtId="0" fontId="40" fillId="21" borderId="34" applyNumberFormat="0" applyAlignment="0" applyProtection="0"/>
    <xf numFmtId="0" fontId="33" fillId="8" borderId="32" applyNumberFormat="0" applyAlignment="0" applyProtection="0"/>
    <xf numFmtId="0" fontId="40" fillId="21" borderId="34" applyNumberFormat="0" applyAlignment="0" applyProtection="0"/>
    <xf numFmtId="0" fontId="42" fillId="0" borderId="35" applyNumberFormat="0" applyFill="0" applyAlignment="0" applyProtection="0"/>
    <xf numFmtId="0" fontId="40" fillId="21" borderId="34" applyNumberFormat="0" applyAlignment="0" applyProtection="0"/>
    <xf numFmtId="0" fontId="40" fillId="21" borderId="34" applyNumberFormat="0" applyAlignment="0" applyProtection="0"/>
    <xf numFmtId="0" fontId="25" fillId="24" borderId="33" applyNumberFormat="0" applyFont="0" applyAlignment="0" applyProtection="0"/>
    <xf numFmtId="0" fontId="33" fillId="8" borderId="32" applyNumberFormat="0" applyAlignment="0" applyProtection="0"/>
    <xf numFmtId="0" fontId="22" fillId="21" borderId="32" applyNumberFormat="0" applyAlignment="0" applyProtection="0"/>
    <xf numFmtId="0" fontId="22" fillId="21" borderId="32" applyNumberFormat="0" applyAlignment="0" applyProtection="0"/>
    <xf numFmtId="0" fontId="25" fillId="24" borderId="33" applyNumberFormat="0" applyFont="0" applyAlignment="0" applyProtection="0"/>
    <xf numFmtId="0" fontId="25" fillId="24" borderId="33" applyNumberFormat="0" applyFont="0" applyAlignment="0" applyProtection="0"/>
    <xf numFmtId="0" fontId="33" fillId="8" borderId="32" applyNumberFormat="0" applyAlignment="0" applyProtection="0"/>
    <xf numFmtId="0" fontId="42" fillId="0" borderId="35" applyNumberFormat="0" applyFill="0" applyAlignment="0" applyProtection="0"/>
    <xf numFmtId="0" fontId="33" fillId="8" borderId="32" applyNumberFormat="0" applyAlignment="0" applyProtection="0"/>
    <xf numFmtId="0" fontId="42" fillId="0" borderId="35" applyNumberFormat="0" applyFill="0" applyAlignment="0" applyProtection="0"/>
    <xf numFmtId="0" fontId="22" fillId="21" borderId="32" applyNumberFormat="0" applyAlignment="0" applyProtection="0"/>
    <xf numFmtId="0" fontId="33" fillId="8" borderId="32" applyNumberFormat="0" applyAlignment="0" applyProtection="0"/>
    <xf numFmtId="0" fontId="40" fillId="21" borderId="34" applyNumberFormat="0" applyAlignment="0" applyProtection="0"/>
    <xf numFmtId="0" fontId="42" fillId="0" borderId="35" applyNumberFormat="0" applyFill="0" applyAlignment="0" applyProtection="0"/>
    <xf numFmtId="0" fontId="22" fillId="21" borderId="32" applyNumberFormat="0" applyAlignment="0" applyProtection="0"/>
    <xf numFmtId="0" fontId="22" fillId="21" borderId="32" applyNumberFormat="0" applyAlignment="0" applyProtection="0"/>
    <xf numFmtId="0" fontId="33" fillId="8" borderId="32" applyNumberFormat="0" applyAlignment="0" applyProtection="0"/>
    <xf numFmtId="0" fontId="22" fillId="21" borderId="32" applyNumberForma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22" fillId="21" borderId="32" applyNumberFormat="0" applyAlignment="0" applyProtection="0"/>
    <xf numFmtId="0" fontId="25" fillId="24" borderId="33" applyNumberFormat="0" applyFont="0" applyAlignment="0" applyProtection="0"/>
    <xf numFmtId="0" fontId="42" fillId="0" borderId="35" applyNumberFormat="0" applyFill="0" applyAlignment="0" applyProtection="0"/>
    <xf numFmtId="0" fontId="25" fillId="24" borderId="33" applyNumberFormat="0" applyFont="0" applyAlignment="0" applyProtection="0"/>
    <xf numFmtId="0" fontId="22" fillId="21" borderId="32" applyNumberFormat="0" applyAlignment="0" applyProtection="0"/>
    <xf numFmtId="0" fontId="22" fillId="21" borderId="32" applyNumberFormat="0" applyAlignment="0" applyProtection="0"/>
    <xf numFmtId="0" fontId="33" fillId="8" borderId="32" applyNumberFormat="0" applyAlignment="0" applyProtection="0"/>
    <xf numFmtId="0" fontId="7" fillId="0" borderId="0"/>
    <xf numFmtId="0" fontId="25" fillId="24" borderId="33" applyNumberFormat="0" applyFont="0" applyAlignment="0" applyProtection="0"/>
    <xf numFmtId="0" fontId="40" fillId="21" borderId="34" applyNumberForma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25" fillId="24" borderId="33" applyNumberFormat="0" applyFont="0" applyAlignment="0" applyProtection="0"/>
    <xf numFmtId="0" fontId="42" fillId="0" borderId="35" applyNumberFormat="0" applyFill="0" applyAlignment="0" applyProtection="0"/>
    <xf numFmtId="0" fontId="33" fillId="8" borderId="32" applyNumberFormat="0" applyAlignment="0" applyProtection="0"/>
    <xf numFmtId="0" fontId="22" fillId="21" borderId="32" applyNumberFormat="0" applyAlignment="0" applyProtection="0"/>
    <xf numFmtId="0" fontId="22" fillId="21" borderId="32" applyNumberFormat="0" applyAlignment="0" applyProtection="0"/>
    <xf numFmtId="0" fontId="40" fillId="21" borderId="34" applyNumberFormat="0" applyAlignment="0" applyProtection="0"/>
    <xf numFmtId="0" fontId="40" fillId="21" borderId="34" applyNumberFormat="0" applyAlignment="0" applyProtection="0"/>
    <xf numFmtId="176" fontId="7" fillId="0" borderId="0" applyFont="0" applyFill="0" applyBorder="0" applyAlignment="0" applyProtection="0"/>
    <xf numFmtId="0" fontId="42" fillId="0" borderId="35" applyNumberFormat="0" applyFill="0" applyAlignment="0" applyProtection="0"/>
    <xf numFmtId="0" fontId="42" fillId="0" borderId="35" applyNumberFormat="0" applyFill="0" applyAlignment="0" applyProtection="0"/>
    <xf numFmtId="0" fontId="40" fillId="21" borderId="34" applyNumberFormat="0" applyAlignment="0" applyProtection="0"/>
    <xf numFmtId="0" fontId="42" fillId="0" borderId="35" applyNumberFormat="0" applyFill="0" applyAlignment="0" applyProtection="0"/>
    <xf numFmtId="38" fontId="7" fillId="0" borderId="0" applyFont="0" applyFill="0" applyBorder="0" applyAlignment="0" applyProtection="0">
      <alignment vertical="center"/>
    </xf>
    <xf numFmtId="0" fontId="40" fillId="21" borderId="34" applyNumberFormat="0" applyAlignment="0" applyProtection="0"/>
    <xf numFmtId="0" fontId="42" fillId="0" borderId="35" applyNumberFormat="0" applyFill="0" applyAlignment="0" applyProtection="0"/>
    <xf numFmtId="0" fontId="25" fillId="24" borderId="33" applyNumberFormat="0" applyFont="0" applyAlignment="0" applyProtection="0"/>
    <xf numFmtId="0" fontId="22" fillId="21" borderId="32" applyNumberFormat="0" applyAlignment="0" applyProtection="0"/>
    <xf numFmtId="0" fontId="7" fillId="0" borderId="0"/>
    <xf numFmtId="0" fontId="33" fillId="8" borderId="32" applyNumberFormat="0" applyAlignment="0" applyProtection="0"/>
    <xf numFmtId="0" fontId="25" fillId="24" borderId="33" applyNumberFormat="0" applyFont="0" applyAlignment="0" applyProtection="0"/>
    <xf numFmtId="0" fontId="33" fillId="8" borderId="32" applyNumberFormat="0" applyAlignment="0" applyProtection="0"/>
    <xf numFmtId="0" fontId="22" fillId="21" borderId="32" applyNumberFormat="0" applyAlignment="0" applyProtection="0"/>
    <xf numFmtId="0" fontId="22" fillId="21" borderId="32" applyNumberFormat="0" applyAlignment="0" applyProtection="0"/>
    <xf numFmtId="0" fontId="33" fillId="8" borderId="32" applyNumberFormat="0" applyAlignment="0" applyProtection="0"/>
    <xf numFmtId="0" fontId="7" fillId="0" borderId="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176" fontId="7" fillId="0" borderId="0" applyFont="0" applyFill="0" applyBorder="0" applyAlignment="0" applyProtection="0"/>
    <xf numFmtId="38" fontId="7" fillId="0" borderId="0" applyFont="0" applyFill="0" applyBorder="0" applyAlignment="0" applyProtection="0">
      <alignment vertical="center"/>
    </xf>
    <xf numFmtId="0" fontId="7" fillId="0" borderId="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9" fontId="7" fillId="0" borderId="0" applyFont="0" applyFill="0" applyBorder="0" applyAlignment="0" applyProtection="0"/>
    <xf numFmtId="0" fontId="33" fillId="8" borderId="32" applyNumberFormat="0" applyAlignment="0" applyProtection="0"/>
    <xf numFmtId="0" fontId="25" fillId="24" borderId="33" applyNumberFormat="0" applyFont="0" applyAlignment="0" applyProtection="0"/>
    <xf numFmtId="0" fontId="7" fillId="0" borderId="0"/>
    <xf numFmtId="0" fontId="25" fillId="24" borderId="33" applyNumberFormat="0" applyFont="0" applyAlignment="0" applyProtection="0"/>
    <xf numFmtId="0" fontId="25" fillId="24" borderId="33" applyNumberFormat="0" applyFont="0" applyAlignment="0" applyProtection="0"/>
    <xf numFmtId="0" fontId="22" fillId="21" borderId="32" applyNumberFormat="0" applyAlignment="0" applyProtection="0"/>
    <xf numFmtId="0" fontId="33" fillId="8" borderId="32" applyNumberFormat="0" applyAlignment="0" applyProtection="0"/>
    <xf numFmtId="0" fontId="7" fillId="0" borderId="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176" fontId="7" fillId="0" borderId="0" applyFont="0" applyFill="0" applyBorder="0" applyAlignment="0" applyProtection="0"/>
    <xf numFmtId="38" fontId="7" fillId="0" borderId="0" applyFont="0" applyFill="0" applyBorder="0" applyAlignment="0" applyProtection="0">
      <alignment vertical="center"/>
    </xf>
    <xf numFmtId="0" fontId="7" fillId="0" borderId="0"/>
    <xf numFmtId="0" fontId="7" fillId="0" borderId="0"/>
    <xf numFmtId="0" fontId="42" fillId="0" borderId="35" applyNumberFormat="0" applyFill="0" applyAlignment="0" applyProtection="0"/>
    <xf numFmtId="0" fontId="7" fillId="0" borderId="0"/>
    <xf numFmtId="0" fontId="7" fillId="0" borderId="0"/>
    <xf numFmtId="0" fontId="25" fillId="24" borderId="33" applyNumberFormat="0" applyFont="0" applyAlignment="0" applyProtection="0"/>
    <xf numFmtId="0" fontId="22" fillId="21" borderId="32" applyNumberFormat="0" applyAlignment="0" applyProtection="0"/>
    <xf numFmtId="0" fontId="33" fillId="8" borderId="32" applyNumberFormat="0" applyAlignment="0" applyProtection="0"/>
    <xf numFmtId="0" fontId="7" fillId="0" borderId="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176" fontId="7" fillId="0" borderId="0" applyFont="0" applyFill="0" applyBorder="0" applyAlignment="0" applyProtection="0"/>
    <xf numFmtId="38" fontId="7" fillId="0" borderId="0" applyFont="0" applyFill="0" applyBorder="0" applyAlignment="0" applyProtection="0">
      <alignment vertical="center"/>
    </xf>
    <xf numFmtId="0" fontId="7" fillId="0" borderId="0"/>
    <xf numFmtId="0" fontId="33" fillId="8" borderId="32" applyNumberFormat="0" applyAlignment="0" applyProtection="0"/>
    <xf numFmtId="0" fontId="22" fillId="21" borderId="32" applyNumberFormat="0" applyAlignment="0" applyProtection="0"/>
    <xf numFmtId="0" fontId="22" fillId="21" borderId="32" applyNumberFormat="0" applyAlignment="0" applyProtection="0"/>
    <xf numFmtId="0" fontId="33" fillId="8" borderId="32" applyNumberFormat="0" applyAlignment="0" applyProtection="0"/>
    <xf numFmtId="0" fontId="7" fillId="0" borderId="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176" fontId="7" fillId="0" borderId="0" applyFont="0" applyFill="0" applyBorder="0" applyAlignment="0" applyProtection="0"/>
    <xf numFmtId="38" fontId="7" fillId="0" borderId="0" applyFont="0" applyFill="0" applyBorder="0" applyAlignment="0" applyProtection="0">
      <alignment vertical="center"/>
    </xf>
    <xf numFmtId="0" fontId="7" fillId="0" borderId="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9" fontId="7" fillId="0" borderId="0" applyFont="0" applyFill="0" applyBorder="0" applyAlignment="0" applyProtection="0"/>
    <xf numFmtId="0" fontId="7" fillId="0" borderId="0"/>
    <xf numFmtId="0" fontId="22" fillId="21" borderId="32" applyNumberFormat="0" applyAlignment="0" applyProtection="0"/>
    <xf numFmtId="0" fontId="33" fillId="8" borderId="32" applyNumberFormat="0" applyAlignment="0" applyProtection="0"/>
    <xf numFmtId="0" fontId="7" fillId="0" borderId="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176" fontId="7" fillId="0" borderId="0" applyFont="0" applyFill="0" applyBorder="0" applyAlignment="0" applyProtection="0"/>
    <xf numFmtId="38" fontId="7" fillId="0" borderId="0" applyFont="0" applyFill="0" applyBorder="0" applyAlignment="0" applyProtection="0">
      <alignment vertical="center"/>
    </xf>
    <xf numFmtId="0" fontId="7" fillId="0" borderId="0"/>
    <xf numFmtId="0" fontId="7" fillId="0" borderId="0"/>
    <xf numFmtId="0" fontId="7" fillId="0" borderId="0"/>
    <xf numFmtId="0" fontId="7" fillId="0" borderId="0"/>
    <xf numFmtId="0" fontId="22" fillId="21" borderId="32" applyNumberFormat="0" applyAlignment="0" applyProtection="0"/>
    <xf numFmtId="0" fontId="33" fillId="8" borderId="32" applyNumberFormat="0" applyAlignment="0" applyProtection="0"/>
    <xf numFmtId="0" fontId="7" fillId="0" borderId="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176" fontId="7" fillId="0" borderId="0" applyFont="0" applyFill="0" applyBorder="0" applyAlignment="0" applyProtection="0"/>
    <xf numFmtId="38" fontId="7" fillId="0" borderId="0" applyFont="0" applyFill="0" applyBorder="0" applyAlignment="0" applyProtection="0">
      <alignment vertical="center"/>
    </xf>
    <xf numFmtId="0" fontId="7" fillId="0" borderId="0"/>
    <xf numFmtId="0" fontId="33" fillId="8" borderId="32" applyNumberFormat="0" applyAlignment="0" applyProtection="0"/>
    <xf numFmtId="0" fontId="22" fillId="21" borderId="32" applyNumberFormat="0" applyAlignment="0" applyProtection="0"/>
    <xf numFmtId="0" fontId="22" fillId="21" borderId="32" applyNumberFormat="0" applyAlignment="0" applyProtection="0"/>
    <xf numFmtId="0" fontId="33" fillId="8" borderId="32" applyNumberFormat="0" applyAlignment="0" applyProtection="0"/>
    <xf numFmtId="0" fontId="7" fillId="0" borderId="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176" fontId="7" fillId="0" borderId="0" applyFont="0" applyFill="0" applyBorder="0" applyAlignment="0" applyProtection="0"/>
    <xf numFmtId="38" fontId="7" fillId="0" borderId="0" applyFont="0" applyFill="0" applyBorder="0" applyAlignment="0" applyProtection="0">
      <alignment vertical="center"/>
    </xf>
    <xf numFmtId="0" fontId="7" fillId="0" borderId="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9" fontId="7" fillId="0" borderId="0" applyFont="0" applyFill="0" applyBorder="0" applyAlignment="0" applyProtection="0"/>
    <xf numFmtId="0" fontId="7" fillId="0" borderId="0"/>
    <xf numFmtId="0" fontId="22" fillId="21" borderId="32" applyNumberFormat="0" applyAlignment="0" applyProtection="0"/>
    <xf numFmtId="0" fontId="33" fillId="8" borderId="32" applyNumberFormat="0" applyAlignment="0" applyProtection="0"/>
    <xf numFmtId="0" fontId="7" fillId="0" borderId="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176" fontId="7" fillId="0" borderId="0" applyFont="0" applyFill="0" applyBorder="0" applyAlignment="0" applyProtection="0"/>
    <xf numFmtId="38" fontId="7" fillId="0" borderId="0" applyFont="0" applyFill="0" applyBorder="0" applyAlignment="0" applyProtection="0">
      <alignment vertical="center"/>
    </xf>
    <xf numFmtId="0" fontId="7" fillId="0" borderId="0"/>
    <xf numFmtId="0" fontId="7" fillId="0" borderId="0"/>
    <xf numFmtId="0" fontId="7" fillId="0" borderId="0"/>
    <xf numFmtId="0" fontId="7" fillId="0" borderId="0"/>
    <xf numFmtId="0" fontId="22" fillId="21" borderId="32" applyNumberFormat="0" applyAlignment="0" applyProtection="0"/>
    <xf numFmtId="0" fontId="33" fillId="8" borderId="32" applyNumberFormat="0" applyAlignment="0" applyProtection="0"/>
    <xf numFmtId="0" fontId="7" fillId="0" borderId="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176" fontId="7" fillId="0" borderId="0" applyFont="0" applyFill="0" applyBorder="0" applyAlignment="0" applyProtection="0"/>
    <xf numFmtId="38" fontId="7" fillId="0" borderId="0" applyFont="0" applyFill="0" applyBorder="0" applyAlignment="0" applyProtection="0">
      <alignment vertical="center"/>
    </xf>
    <xf numFmtId="0" fontId="7" fillId="0" borderId="0"/>
    <xf numFmtId="0" fontId="33" fillId="8" borderId="32" applyNumberFormat="0" applyAlignment="0" applyProtection="0"/>
    <xf numFmtId="0" fontId="22" fillId="21" borderId="32" applyNumberFormat="0" applyAlignment="0" applyProtection="0"/>
    <xf numFmtId="0" fontId="22" fillId="21" borderId="32" applyNumberFormat="0" applyAlignment="0" applyProtection="0"/>
    <xf numFmtId="0" fontId="33" fillId="8" borderId="32" applyNumberFormat="0" applyAlignment="0" applyProtection="0"/>
    <xf numFmtId="0" fontId="7" fillId="0" borderId="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176" fontId="7" fillId="0" borderId="0" applyFont="0" applyFill="0" applyBorder="0" applyAlignment="0" applyProtection="0"/>
    <xf numFmtId="38" fontId="7" fillId="0" borderId="0" applyFont="0" applyFill="0" applyBorder="0" applyAlignment="0" applyProtection="0">
      <alignment vertical="center"/>
    </xf>
    <xf numFmtId="0" fontId="7" fillId="0" borderId="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9" fontId="7" fillId="0" borderId="0" applyFont="0" applyFill="0" applyBorder="0" applyAlignment="0" applyProtection="0"/>
    <xf numFmtId="0" fontId="7" fillId="0" borderId="0"/>
    <xf numFmtId="0" fontId="22" fillId="21" borderId="32" applyNumberFormat="0" applyAlignment="0" applyProtection="0"/>
    <xf numFmtId="0" fontId="33" fillId="8" borderId="32" applyNumberFormat="0" applyAlignment="0" applyProtection="0"/>
    <xf numFmtId="0" fontId="7" fillId="0" borderId="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176" fontId="7" fillId="0" borderId="0" applyFont="0" applyFill="0" applyBorder="0" applyAlignment="0" applyProtection="0"/>
    <xf numFmtId="38" fontId="7" fillId="0" borderId="0" applyFont="0" applyFill="0" applyBorder="0" applyAlignment="0" applyProtection="0">
      <alignment vertical="center"/>
    </xf>
    <xf numFmtId="0" fontId="7" fillId="0" borderId="0"/>
    <xf numFmtId="0" fontId="7" fillId="0" borderId="0"/>
    <xf numFmtId="0" fontId="7" fillId="0" borderId="0"/>
    <xf numFmtId="0" fontId="7" fillId="0" borderId="0"/>
    <xf numFmtId="0" fontId="22" fillId="21" borderId="32" applyNumberFormat="0" applyAlignment="0" applyProtection="0"/>
    <xf numFmtId="0" fontId="33" fillId="8" borderId="32" applyNumberFormat="0" applyAlignment="0" applyProtection="0"/>
    <xf numFmtId="0" fontId="7" fillId="0" borderId="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176" fontId="7" fillId="0" borderId="0" applyFont="0" applyFill="0" applyBorder="0" applyAlignment="0" applyProtection="0"/>
    <xf numFmtId="38" fontId="7" fillId="0" borderId="0" applyFont="0" applyFill="0" applyBorder="0" applyAlignment="0" applyProtection="0">
      <alignment vertical="center"/>
    </xf>
    <xf numFmtId="0" fontId="7" fillId="0" borderId="0"/>
    <xf numFmtId="0" fontId="33" fillId="8" borderId="32" applyNumberFormat="0" applyAlignment="0" applyProtection="0"/>
    <xf numFmtId="0" fontId="22" fillId="21" borderId="32" applyNumberFormat="0" applyAlignment="0" applyProtection="0"/>
    <xf numFmtId="0" fontId="22" fillId="21" borderId="32" applyNumberFormat="0" applyAlignment="0" applyProtection="0"/>
    <xf numFmtId="0" fontId="33" fillId="8" borderId="32" applyNumberFormat="0" applyAlignment="0" applyProtection="0"/>
    <xf numFmtId="0" fontId="7" fillId="0" borderId="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176" fontId="7" fillId="0" borderId="0" applyFont="0" applyFill="0" applyBorder="0" applyAlignment="0" applyProtection="0"/>
    <xf numFmtId="38" fontId="7" fillId="0" borderId="0" applyFont="0" applyFill="0" applyBorder="0" applyAlignment="0" applyProtection="0">
      <alignment vertical="center"/>
    </xf>
    <xf numFmtId="0" fontId="7" fillId="0" borderId="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9" fontId="7" fillId="0" borderId="0" applyFont="0" applyFill="0" applyBorder="0" applyAlignment="0" applyProtection="0"/>
    <xf numFmtId="0" fontId="7" fillId="0" borderId="0"/>
    <xf numFmtId="0" fontId="22" fillId="21" borderId="32" applyNumberFormat="0" applyAlignment="0" applyProtection="0"/>
    <xf numFmtId="0" fontId="33" fillId="8" borderId="32" applyNumberFormat="0" applyAlignment="0" applyProtection="0"/>
    <xf numFmtId="0" fontId="7" fillId="0" borderId="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176" fontId="7" fillId="0" borderId="0" applyFont="0" applyFill="0" applyBorder="0" applyAlignment="0" applyProtection="0"/>
    <xf numFmtId="38" fontId="7" fillId="0" borderId="0" applyFont="0" applyFill="0" applyBorder="0" applyAlignment="0" applyProtection="0">
      <alignment vertical="center"/>
    </xf>
    <xf numFmtId="0" fontId="7" fillId="0" borderId="0"/>
    <xf numFmtId="0" fontId="7" fillId="0" borderId="0"/>
    <xf numFmtId="0" fontId="7" fillId="0" borderId="0"/>
    <xf numFmtId="0" fontId="7" fillId="0" borderId="0"/>
    <xf numFmtId="0" fontId="22" fillId="21" borderId="32" applyNumberFormat="0" applyAlignment="0" applyProtection="0"/>
    <xf numFmtId="0" fontId="33" fillId="8" borderId="32" applyNumberFormat="0" applyAlignment="0" applyProtection="0"/>
    <xf numFmtId="0" fontId="7" fillId="0" borderId="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176" fontId="7" fillId="0" borderId="0" applyFont="0" applyFill="0" applyBorder="0" applyAlignment="0" applyProtection="0"/>
    <xf numFmtId="38" fontId="7" fillId="0" borderId="0" applyFont="0" applyFill="0" applyBorder="0" applyAlignment="0" applyProtection="0">
      <alignment vertical="center"/>
    </xf>
    <xf numFmtId="0" fontId="7" fillId="0" borderId="0"/>
    <xf numFmtId="0" fontId="33" fillId="8" borderId="32" applyNumberFormat="0" applyAlignment="0" applyProtection="0"/>
    <xf numFmtId="0" fontId="22" fillId="21" borderId="32" applyNumberFormat="0" applyAlignment="0" applyProtection="0"/>
    <xf numFmtId="0" fontId="22" fillId="21" borderId="32" applyNumberFormat="0" applyAlignment="0" applyProtection="0"/>
    <xf numFmtId="0" fontId="33" fillId="8" borderId="32" applyNumberFormat="0" applyAlignment="0" applyProtection="0"/>
    <xf numFmtId="0" fontId="7" fillId="0" borderId="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176" fontId="7" fillId="0" borderId="0" applyFont="0" applyFill="0" applyBorder="0" applyAlignment="0" applyProtection="0"/>
    <xf numFmtId="38" fontId="7" fillId="0" borderId="0" applyFont="0" applyFill="0" applyBorder="0" applyAlignment="0" applyProtection="0">
      <alignment vertical="center"/>
    </xf>
    <xf numFmtId="0" fontId="7" fillId="0" borderId="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9" fontId="7" fillId="0" borderId="0" applyFont="0" applyFill="0" applyBorder="0" applyAlignment="0" applyProtection="0"/>
    <xf numFmtId="0" fontId="7" fillId="0" borderId="0"/>
    <xf numFmtId="0" fontId="22" fillId="21" borderId="32" applyNumberFormat="0" applyAlignment="0" applyProtection="0"/>
    <xf numFmtId="0" fontId="33" fillId="8" borderId="32" applyNumberFormat="0" applyAlignment="0" applyProtection="0"/>
    <xf numFmtId="0" fontId="7" fillId="0" borderId="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176" fontId="7" fillId="0" borderId="0" applyFont="0" applyFill="0" applyBorder="0" applyAlignment="0" applyProtection="0"/>
    <xf numFmtId="38" fontId="7" fillId="0" borderId="0" applyFont="0" applyFill="0" applyBorder="0" applyAlignment="0" applyProtection="0">
      <alignment vertical="center"/>
    </xf>
    <xf numFmtId="0" fontId="7" fillId="0" borderId="0"/>
    <xf numFmtId="0" fontId="7" fillId="0" borderId="0"/>
    <xf numFmtId="0" fontId="7" fillId="0" borderId="0"/>
    <xf numFmtId="0" fontId="7" fillId="0" borderId="0"/>
    <xf numFmtId="0" fontId="22" fillId="21" borderId="32" applyNumberFormat="0" applyAlignment="0" applyProtection="0"/>
    <xf numFmtId="0" fontId="33" fillId="8" borderId="32" applyNumberFormat="0" applyAlignment="0" applyProtection="0"/>
    <xf numFmtId="0" fontId="7" fillId="0" borderId="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176" fontId="7" fillId="0" borderId="0" applyFont="0" applyFill="0" applyBorder="0" applyAlignment="0" applyProtection="0"/>
    <xf numFmtId="38" fontId="7" fillId="0" borderId="0" applyFont="0" applyFill="0" applyBorder="0" applyAlignment="0" applyProtection="0">
      <alignment vertical="center"/>
    </xf>
    <xf numFmtId="0" fontId="7" fillId="0" borderId="0"/>
    <xf numFmtId="0" fontId="33" fillId="8" borderId="32" applyNumberFormat="0" applyAlignment="0" applyProtection="0"/>
    <xf numFmtId="0" fontId="22" fillId="21" borderId="32" applyNumberFormat="0" applyAlignment="0" applyProtection="0"/>
    <xf numFmtId="0" fontId="22" fillId="21" borderId="32" applyNumberFormat="0" applyAlignment="0" applyProtection="0"/>
    <xf numFmtId="0" fontId="33" fillId="8" borderId="32" applyNumberFormat="0" applyAlignment="0" applyProtection="0"/>
    <xf numFmtId="0" fontId="7" fillId="0" borderId="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176" fontId="7" fillId="0" borderId="0" applyFont="0" applyFill="0" applyBorder="0" applyAlignment="0" applyProtection="0"/>
    <xf numFmtId="38" fontId="7" fillId="0" borderId="0" applyFont="0" applyFill="0" applyBorder="0" applyAlignment="0" applyProtection="0">
      <alignment vertical="center"/>
    </xf>
    <xf numFmtId="0" fontId="7" fillId="0" borderId="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9" fontId="7" fillId="0" borderId="0" applyFont="0" applyFill="0" applyBorder="0" applyAlignment="0" applyProtection="0"/>
    <xf numFmtId="0" fontId="7" fillId="0" borderId="0"/>
    <xf numFmtId="0" fontId="22" fillId="21" borderId="32" applyNumberFormat="0" applyAlignment="0" applyProtection="0"/>
    <xf numFmtId="0" fontId="33" fillId="8" borderId="32" applyNumberFormat="0" applyAlignment="0" applyProtection="0"/>
    <xf numFmtId="0" fontId="7" fillId="0" borderId="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176" fontId="7" fillId="0" borderId="0" applyFont="0" applyFill="0" applyBorder="0" applyAlignment="0" applyProtection="0"/>
    <xf numFmtId="38" fontId="7" fillId="0" borderId="0" applyFont="0" applyFill="0" applyBorder="0" applyAlignment="0" applyProtection="0">
      <alignment vertical="center"/>
    </xf>
    <xf numFmtId="0" fontId="7" fillId="0" borderId="0"/>
    <xf numFmtId="0" fontId="7" fillId="0" borderId="0"/>
    <xf numFmtId="0" fontId="7" fillId="0" borderId="0"/>
    <xf numFmtId="0" fontId="7" fillId="0" borderId="0"/>
    <xf numFmtId="0" fontId="22" fillId="21" borderId="32" applyNumberFormat="0" applyAlignment="0" applyProtection="0"/>
    <xf numFmtId="0" fontId="33" fillId="8" borderId="32" applyNumberFormat="0" applyAlignment="0" applyProtection="0"/>
    <xf numFmtId="0" fontId="7" fillId="0" borderId="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176" fontId="7" fillId="0" borderId="0" applyFont="0" applyFill="0" applyBorder="0" applyAlignment="0" applyProtection="0"/>
    <xf numFmtId="38" fontId="7" fillId="0" borderId="0" applyFont="0" applyFill="0" applyBorder="0" applyAlignment="0" applyProtection="0">
      <alignment vertical="center"/>
    </xf>
    <xf numFmtId="0" fontId="7" fillId="0" borderId="0"/>
    <xf numFmtId="0" fontId="33" fillId="8" borderId="32" applyNumberFormat="0" applyAlignment="0" applyProtection="0"/>
    <xf numFmtId="0" fontId="22" fillId="21" borderId="32" applyNumberFormat="0" applyAlignment="0" applyProtection="0"/>
    <xf numFmtId="0" fontId="22" fillId="21" borderId="32" applyNumberFormat="0" applyAlignment="0" applyProtection="0"/>
    <xf numFmtId="0" fontId="33" fillId="8" borderId="32" applyNumberFormat="0" applyAlignment="0" applyProtection="0"/>
    <xf numFmtId="0" fontId="7" fillId="0" borderId="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176" fontId="7" fillId="0" borderId="0" applyFont="0" applyFill="0" applyBorder="0" applyAlignment="0" applyProtection="0"/>
    <xf numFmtId="38" fontId="7" fillId="0" borderId="0" applyFont="0" applyFill="0" applyBorder="0" applyAlignment="0" applyProtection="0">
      <alignment vertical="center"/>
    </xf>
    <xf numFmtId="0" fontId="7" fillId="0" borderId="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9" fontId="7" fillId="0" borderId="0" applyFont="0" applyFill="0" applyBorder="0" applyAlignment="0" applyProtection="0"/>
    <xf numFmtId="0" fontId="7" fillId="0" borderId="0"/>
    <xf numFmtId="0" fontId="22" fillId="21" borderId="32" applyNumberFormat="0" applyAlignment="0" applyProtection="0"/>
    <xf numFmtId="0" fontId="33" fillId="8" borderId="32" applyNumberFormat="0" applyAlignment="0" applyProtection="0"/>
    <xf numFmtId="0" fontId="7" fillId="0" borderId="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176" fontId="7" fillId="0" borderId="0" applyFont="0" applyFill="0" applyBorder="0" applyAlignment="0" applyProtection="0"/>
    <xf numFmtId="38" fontId="7" fillId="0" borderId="0" applyFont="0" applyFill="0" applyBorder="0" applyAlignment="0" applyProtection="0">
      <alignment vertical="center"/>
    </xf>
    <xf numFmtId="0" fontId="7" fillId="0" borderId="0"/>
    <xf numFmtId="0" fontId="7" fillId="0" borderId="0"/>
    <xf numFmtId="0" fontId="7" fillId="0" borderId="0"/>
    <xf numFmtId="0" fontId="7" fillId="0" borderId="0"/>
    <xf numFmtId="0" fontId="22" fillId="21" borderId="32" applyNumberFormat="0" applyAlignment="0" applyProtection="0"/>
    <xf numFmtId="0" fontId="40" fillId="21" borderId="34" applyNumberFormat="0" applyAlignment="0" applyProtection="0"/>
    <xf numFmtId="0" fontId="33" fillId="8" borderId="32" applyNumberFormat="0" applyAlignment="0" applyProtection="0"/>
    <xf numFmtId="0" fontId="22" fillId="21" borderId="32" applyNumberFormat="0" applyAlignment="0" applyProtection="0"/>
    <xf numFmtId="0" fontId="22" fillId="21" borderId="32" applyNumberFormat="0" applyAlignment="0" applyProtection="0"/>
    <xf numFmtId="0" fontId="33" fillId="8" borderId="32" applyNumberFormat="0" applyAlignment="0" applyProtection="0"/>
    <xf numFmtId="0" fontId="22" fillId="21" borderId="32" applyNumberForma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25" fillId="24" borderId="33" applyNumberFormat="0" applyFont="0" applyAlignment="0" applyProtection="0"/>
    <xf numFmtId="0" fontId="25" fillId="24" borderId="33" applyNumberFormat="0" applyFont="0" applyAlignment="0" applyProtection="0"/>
    <xf numFmtId="0" fontId="25" fillId="24" borderId="33" applyNumberFormat="0" applyFon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40" fillId="21" borderId="34" applyNumberFormat="0" applyAlignment="0" applyProtection="0"/>
    <xf numFmtId="0" fontId="33" fillId="8" borderId="32" applyNumberFormat="0" applyAlignment="0" applyProtection="0"/>
    <xf numFmtId="0" fontId="22" fillId="21" borderId="32" applyNumberFormat="0" applyAlignment="0" applyProtection="0"/>
    <xf numFmtId="0" fontId="33" fillId="8" borderId="32" applyNumberFormat="0" applyAlignment="0" applyProtection="0"/>
    <xf numFmtId="0" fontId="22" fillId="21" borderId="32" applyNumberFormat="0" applyAlignment="0" applyProtection="0"/>
    <xf numFmtId="0" fontId="33" fillId="8" borderId="32" applyNumberFormat="0" applyAlignment="0" applyProtection="0"/>
    <xf numFmtId="0" fontId="33" fillId="8" borderId="32" applyNumberFormat="0" applyAlignment="0" applyProtection="0"/>
    <xf numFmtId="0" fontId="22" fillId="21" borderId="32" applyNumberFormat="0" applyAlignment="0" applyProtection="0"/>
    <xf numFmtId="0" fontId="33" fillId="8" borderId="32" applyNumberFormat="0" applyAlignment="0" applyProtection="0"/>
    <xf numFmtId="0" fontId="22" fillId="21" borderId="32" applyNumberForma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33" fillId="8" borderId="32" applyNumberFormat="0" applyAlignment="0" applyProtection="0"/>
    <xf numFmtId="0" fontId="40" fillId="21" borderId="34" applyNumberFormat="0" applyAlignment="0" applyProtection="0"/>
    <xf numFmtId="0" fontId="22" fillId="21" borderId="32" applyNumberFormat="0" applyAlignment="0" applyProtection="0"/>
    <xf numFmtId="0" fontId="22" fillId="21" borderId="32" applyNumberFormat="0" applyAlignment="0" applyProtection="0"/>
    <xf numFmtId="0" fontId="22" fillId="21" borderId="32" applyNumberFormat="0" applyAlignment="0" applyProtection="0"/>
    <xf numFmtId="0" fontId="42" fillId="0" borderId="35" applyNumberFormat="0" applyFill="0" applyAlignment="0" applyProtection="0"/>
    <xf numFmtId="0" fontId="25" fillId="24" borderId="33" applyNumberFormat="0" applyFont="0" applyAlignment="0" applyProtection="0"/>
    <xf numFmtId="0" fontId="25" fillId="24" borderId="33" applyNumberFormat="0" applyFont="0" applyAlignment="0" applyProtection="0"/>
    <xf numFmtId="0" fontId="22" fillId="21" borderId="32" applyNumberFormat="0" applyAlignment="0" applyProtection="0"/>
    <xf numFmtId="0" fontId="33" fillId="8" borderId="32" applyNumberFormat="0" applyAlignment="0" applyProtection="0"/>
    <xf numFmtId="0" fontId="22" fillId="21" borderId="32" applyNumberForma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40" fillId="21" borderId="34" applyNumberFormat="0" applyAlignment="0" applyProtection="0"/>
    <xf numFmtId="0" fontId="42" fillId="0" borderId="35" applyNumberFormat="0" applyFill="0" applyAlignment="0" applyProtection="0"/>
    <xf numFmtId="0" fontId="22" fillId="21" borderId="32" applyNumberFormat="0" applyAlignment="0" applyProtection="0"/>
    <xf numFmtId="0" fontId="33" fillId="8" borderId="32" applyNumberFormat="0" applyAlignment="0" applyProtection="0"/>
    <xf numFmtId="0" fontId="22" fillId="21" borderId="32" applyNumberFormat="0" applyAlignment="0" applyProtection="0"/>
    <xf numFmtId="0" fontId="22" fillId="21" borderId="32" applyNumberFormat="0" applyAlignment="0" applyProtection="0"/>
    <xf numFmtId="0" fontId="33" fillId="8" borderId="32" applyNumberFormat="0" applyAlignment="0" applyProtection="0"/>
    <xf numFmtId="0" fontId="22" fillId="21" borderId="32" applyNumberForma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25" fillId="24" borderId="33" applyNumberFormat="0" applyFont="0" applyAlignment="0" applyProtection="0"/>
    <xf numFmtId="0" fontId="40" fillId="21" borderId="34" applyNumberForma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25" fillId="24" borderId="33" applyNumberFormat="0" applyFont="0" applyAlignment="0" applyProtection="0"/>
    <xf numFmtId="0" fontId="22" fillId="21" borderId="32" applyNumberFormat="0" applyAlignment="0" applyProtection="0"/>
    <xf numFmtId="0" fontId="22" fillId="21" borderId="32" applyNumberFormat="0" applyAlignment="0" applyProtection="0"/>
    <xf numFmtId="0" fontId="33" fillId="8" borderId="32" applyNumberFormat="0" applyAlignment="0" applyProtection="0"/>
    <xf numFmtId="0" fontId="25" fillId="24" borderId="33" applyNumberFormat="0" applyFon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22" fillId="21" borderId="32" applyNumberFormat="0" applyAlignment="0" applyProtection="0"/>
    <xf numFmtId="0" fontId="33" fillId="8" borderId="32" applyNumberFormat="0" applyAlignment="0" applyProtection="0"/>
    <xf numFmtId="0" fontId="25" fillId="24" borderId="33" applyNumberFormat="0" applyFont="0" applyAlignment="0" applyProtection="0"/>
    <xf numFmtId="0" fontId="33" fillId="8" borderId="32" applyNumberFormat="0" applyAlignment="0" applyProtection="0"/>
    <xf numFmtId="0" fontId="25" fillId="24" borderId="33" applyNumberFormat="0" applyFont="0" applyAlignment="0" applyProtection="0"/>
    <xf numFmtId="0" fontId="33" fillId="8" borderId="32" applyNumberFormat="0" applyAlignment="0" applyProtection="0"/>
    <xf numFmtId="0" fontId="22" fillId="21" borderId="32" applyNumberFormat="0" applyAlignment="0" applyProtection="0"/>
    <xf numFmtId="0" fontId="33" fillId="8" borderId="32" applyNumberFormat="0" applyAlignment="0" applyProtection="0"/>
    <xf numFmtId="0" fontId="25" fillId="24" borderId="33" applyNumberFormat="0" applyFon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40" fillId="21" borderId="34" applyNumberFormat="0" applyAlignment="0" applyProtection="0"/>
    <xf numFmtId="0" fontId="40" fillId="21" borderId="34" applyNumberFormat="0" applyAlignment="0" applyProtection="0"/>
    <xf numFmtId="0" fontId="40" fillId="21" borderId="34" applyNumberFormat="0" applyAlignment="0" applyProtection="0"/>
    <xf numFmtId="0" fontId="33" fillId="8" borderId="32" applyNumberFormat="0" applyAlignment="0" applyProtection="0"/>
    <xf numFmtId="0" fontId="22" fillId="21" borderId="32" applyNumberFormat="0" applyAlignment="0" applyProtection="0"/>
    <xf numFmtId="0" fontId="22" fillId="21" borderId="32" applyNumberFormat="0" applyAlignment="0" applyProtection="0"/>
    <xf numFmtId="0" fontId="33" fillId="8" borderId="32" applyNumberFormat="0" applyAlignment="0" applyProtection="0"/>
    <xf numFmtId="0" fontId="25" fillId="24" borderId="33" applyNumberFormat="0" applyFon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22" fillId="21" borderId="32" applyNumberFormat="0" applyAlignment="0" applyProtection="0"/>
    <xf numFmtId="0" fontId="42" fillId="0" borderId="35" applyNumberFormat="0" applyFill="0" applyAlignment="0" applyProtection="0"/>
    <xf numFmtId="0" fontId="40" fillId="21" borderId="34" applyNumberForma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42" fillId="0" borderId="35" applyNumberFormat="0" applyFill="0" applyAlignment="0" applyProtection="0"/>
    <xf numFmtId="0" fontId="42" fillId="0" borderId="35" applyNumberFormat="0" applyFill="0" applyAlignment="0" applyProtection="0"/>
    <xf numFmtId="0" fontId="22" fillId="21" borderId="32" applyNumberFormat="0" applyAlignment="0" applyProtection="0"/>
    <xf numFmtId="0" fontId="33" fillId="8" borderId="32" applyNumberFormat="0" applyAlignment="0" applyProtection="0"/>
    <xf numFmtId="0" fontId="22" fillId="21" borderId="32" applyNumberForma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22" fillId="21" borderId="32" applyNumberFormat="0" applyAlignment="0" applyProtection="0"/>
    <xf numFmtId="0" fontId="25" fillId="24" borderId="33" applyNumberFormat="0" applyFont="0" applyAlignment="0" applyProtection="0"/>
    <xf numFmtId="0" fontId="25" fillId="24" borderId="33" applyNumberFormat="0" applyFont="0" applyAlignment="0" applyProtection="0"/>
    <xf numFmtId="0" fontId="42" fillId="0" borderId="35" applyNumberFormat="0" applyFill="0" applyAlignment="0" applyProtection="0"/>
    <xf numFmtId="0" fontId="25" fillId="24" borderId="33" applyNumberFormat="0" applyFont="0" applyAlignment="0" applyProtection="0"/>
    <xf numFmtId="0" fontId="33" fillId="8" borderId="32" applyNumberFormat="0" applyAlignment="0" applyProtection="0"/>
    <xf numFmtId="0" fontId="22" fillId="21" borderId="32" applyNumberFormat="0" applyAlignment="0" applyProtection="0"/>
    <xf numFmtId="0" fontId="33" fillId="8" borderId="32" applyNumberFormat="0" applyAlignment="0" applyProtection="0"/>
    <xf numFmtId="0" fontId="40" fillId="21" borderId="34" applyNumberForma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42" fillId="0" borderId="35" applyNumberFormat="0" applyFill="0" applyAlignment="0" applyProtection="0"/>
    <xf numFmtId="0" fontId="22" fillId="21" borderId="32" applyNumberFormat="0" applyAlignment="0" applyProtection="0"/>
    <xf numFmtId="0" fontId="25" fillId="24" borderId="33" applyNumberFormat="0" applyFont="0" applyAlignment="0" applyProtection="0"/>
    <xf numFmtId="0" fontId="33" fillId="8" borderId="32" applyNumberFormat="0" applyAlignment="0" applyProtection="0"/>
    <xf numFmtId="0" fontId="22" fillId="21" borderId="32" applyNumberFormat="0" applyAlignment="0" applyProtection="0"/>
    <xf numFmtId="0" fontId="22" fillId="21" borderId="32" applyNumberFormat="0" applyAlignment="0" applyProtection="0"/>
    <xf numFmtId="0" fontId="33" fillId="8" borderId="32" applyNumberFormat="0" applyAlignment="0" applyProtection="0"/>
    <xf numFmtId="0" fontId="33" fillId="8" borderId="32" applyNumberForma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22" fillId="21" borderId="32" applyNumberFormat="0" applyAlignment="0" applyProtection="0"/>
    <xf numFmtId="0" fontId="40" fillId="21" borderId="34" applyNumberFormat="0" applyAlignment="0" applyProtection="0"/>
    <xf numFmtId="0" fontId="42" fillId="0" borderId="35" applyNumberFormat="0" applyFill="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25" fillId="24" borderId="33" applyNumberFormat="0" applyFont="0" applyAlignment="0" applyProtection="0"/>
    <xf numFmtId="0" fontId="25" fillId="24" borderId="33" applyNumberFormat="0" applyFont="0" applyAlignment="0" applyProtection="0"/>
    <xf numFmtId="0" fontId="22" fillId="21" borderId="32" applyNumberFormat="0" applyAlignment="0" applyProtection="0"/>
    <xf numFmtId="0" fontId="33" fillId="8" borderId="32" applyNumberFormat="0" applyAlignment="0" applyProtection="0"/>
    <xf numFmtId="0" fontId="25" fillId="24" borderId="33" applyNumberFormat="0" applyFon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22" fillId="21" borderId="32" applyNumberFormat="0" applyAlignment="0" applyProtection="0"/>
    <xf numFmtId="0" fontId="42" fillId="0" borderId="35" applyNumberFormat="0" applyFill="0" applyAlignment="0" applyProtection="0"/>
    <xf numFmtId="0" fontId="40" fillId="21" borderId="34" applyNumberFormat="0" applyAlignment="0" applyProtection="0"/>
    <xf numFmtId="0" fontId="33" fillId="8" borderId="32" applyNumberFormat="0" applyAlignment="0" applyProtection="0"/>
    <xf numFmtId="0" fontId="22" fillId="21" borderId="32" applyNumberFormat="0" applyAlignment="0" applyProtection="0"/>
    <xf numFmtId="0" fontId="22" fillId="21" borderId="32" applyNumberFormat="0" applyAlignment="0" applyProtection="0"/>
    <xf numFmtId="0" fontId="33" fillId="8" borderId="32" applyNumberFormat="0" applyAlignment="0" applyProtection="0"/>
    <xf numFmtId="0" fontId="33" fillId="8" borderId="32" applyNumberForma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42" fillId="0" borderId="35" applyNumberFormat="0" applyFill="0" applyAlignment="0" applyProtection="0"/>
    <xf numFmtId="0" fontId="42" fillId="0" borderId="35" applyNumberFormat="0" applyFill="0" applyAlignment="0" applyProtection="0"/>
    <xf numFmtId="0" fontId="22" fillId="21" borderId="32" applyNumberFormat="0" applyAlignment="0" applyProtection="0"/>
    <xf numFmtId="0" fontId="33" fillId="8" borderId="32" applyNumberFormat="0" applyAlignment="0" applyProtection="0"/>
    <xf numFmtId="0" fontId="22" fillId="21" borderId="32" applyNumberFormat="0" applyAlignment="0" applyProtection="0"/>
    <xf numFmtId="0" fontId="22" fillId="21" borderId="32" applyNumberFormat="0" applyAlignment="0" applyProtection="0"/>
    <xf numFmtId="0" fontId="33" fillId="8" borderId="32" applyNumberFormat="0" applyAlignment="0" applyProtection="0"/>
    <xf numFmtId="0" fontId="33" fillId="8" borderId="32" applyNumberForma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22" fillId="21" borderId="32" applyNumberFormat="0" applyAlignment="0" applyProtection="0"/>
    <xf numFmtId="0" fontId="22" fillId="21" borderId="32" applyNumberForma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25" fillId="24" borderId="33" applyNumberFormat="0" applyFont="0" applyAlignment="0" applyProtection="0"/>
    <xf numFmtId="0" fontId="25" fillId="24" borderId="33" applyNumberFormat="0" applyFont="0" applyAlignment="0" applyProtection="0"/>
    <xf numFmtId="0" fontId="22" fillId="21" borderId="32" applyNumberFormat="0" applyAlignment="0" applyProtection="0"/>
    <xf numFmtId="0" fontId="33" fillId="8" borderId="32" applyNumberFormat="0" applyAlignment="0" applyProtection="0"/>
    <xf numFmtId="0" fontId="25" fillId="24" borderId="33" applyNumberFormat="0" applyFon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42" fillId="0" borderId="35" applyNumberFormat="0" applyFill="0" applyAlignment="0" applyProtection="0"/>
    <xf numFmtId="0" fontId="42" fillId="0" borderId="35" applyNumberFormat="0" applyFill="0" applyAlignment="0" applyProtection="0"/>
    <xf numFmtId="0" fontId="33" fillId="8" borderId="32" applyNumberFormat="0" applyAlignment="0" applyProtection="0"/>
    <xf numFmtId="0" fontId="40" fillId="21" borderId="34" applyNumberFormat="0" applyAlignment="0" applyProtection="0"/>
    <xf numFmtId="0" fontId="33" fillId="8" borderId="32" applyNumberFormat="0" applyAlignment="0" applyProtection="0"/>
    <xf numFmtId="0" fontId="22" fillId="21" borderId="32" applyNumberFormat="0" applyAlignment="0" applyProtection="0"/>
    <xf numFmtId="0" fontId="33" fillId="8" borderId="32" applyNumberFormat="0" applyAlignment="0" applyProtection="0"/>
    <xf numFmtId="0" fontId="40" fillId="21" borderId="34" applyNumberForma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33" fillId="8" borderId="32" applyNumberFormat="0" applyAlignment="0" applyProtection="0"/>
    <xf numFmtId="0" fontId="25" fillId="24" borderId="33" applyNumberFormat="0" applyFont="0" applyAlignment="0" applyProtection="0"/>
    <xf numFmtId="0" fontId="42" fillId="0" borderId="35" applyNumberFormat="0" applyFill="0" applyAlignment="0" applyProtection="0"/>
    <xf numFmtId="0" fontId="33" fillId="8" borderId="32" applyNumberFormat="0" applyAlignment="0" applyProtection="0"/>
    <xf numFmtId="0" fontId="22" fillId="21" borderId="32" applyNumberFormat="0" applyAlignment="0" applyProtection="0"/>
    <xf numFmtId="0" fontId="22" fillId="21" borderId="32" applyNumberFormat="0" applyAlignment="0" applyProtection="0"/>
    <xf numFmtId="0" fontId="33" fillId="8" borderId="32" applyNumberFormat="0" applyAlignment="0" applyProtection="0"/>
    <xf numFmtId="0" fontId="40" fillId="21" borderId="34" applyNumberForma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42" fillId="0" borderId="35" applyNumberFormat="0" applyFill="0" applyAlignment="0" applyProtection="0"/>
    <xf numFmtId="0" fontId="22" fillId="21" borderId="32" applyNumberFormat="0" applyAlignment="0" applyProtection="0"/>
    <xf numFmtId="0" fontId="33" fillId="8" borderId="32" applyNumberFormat="0" applyAlignment="0" applyProtection="0"/>
    <xf numFmtId="0" fontId="22" fillId="21" borderId="32" applyNumberForma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33" fillId="8" borderId="32" applyNumberFormat="0" applyAlignment="0" applyProtection="0"/>
    <xf numFmtId="0" fontId="25" fillId="24" borderId="33" applyNumberFormat="0" applyFont="0" applyAlignment="0" applyProtection="0"/>
    <xf numFmtId="0" fontId="40" fillId="21" borderId="34" applyNumberFormat="0" applyAlignment="0" applyProtection="0"/>
    <xf numFmtId="0" fontId="40" fillId="21" borderId="34" applyNumberFormat="0" applyAlignment="0" applyProtection="0"/>
    <xf numFmtId="0" fontId="33" fillId="8" borderId="32" applyNumberFormat="0" applyAlignment="0" applyProtection="0"/>
    <xf numFmtId="0" fontId="22" fillId="21" borderId="32" applyNumberFormat="0" applyAlignment="0" applyProtection="0"/>
    <xf numFmtId="0" fontId="22" fillId="21" borderId="32" applyNumberFormat="0" applyAlignment="0" applyProtection="0"/>
    <xf numFmtId="0" fontId="33" fillId="8" borderId="32" applyNumberFormat="0" applyAlignment="0" applyProtection="0"/>
    <xf numFmtId="0" fontId="22" fillId="21" borderId="32" applyNumberForma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25" fillId="24" borderId="33" applyNumberFormat="0" applyFont="0" applyAlignment="0" applyProtection="0"/>
    <xf numFmtId="0" fontId="42" fillId="0" borderId="35" applyNumberFormat="0" applyFill="0" applyAlignment="0" applyProtection="0"/>
    <xf numFmtId="0" fontId="40" fillId="21" borderId="34" applyNumberFormat="0" applyAlignment="0" applyProtection="0"/>
    <xf numFmtId="0" fontId="33" fillId="8" borderId="32" applyNumberFormat="0" applyAlignment="0" applyProtection="0"/>
    <xf numFmtId="0" fontId="22" fillId="21" borderId="32" applyNumberFormat="0" applyAlignment="0" applyProtection="0"/>
    <xf numFmtId="0" fontId="22" fillId="21" borderId="32" applyNumberFormat="0" applyAlignment="0" applyProtection="0"/>
    <xf numFmtId="0" fontId="33" fillId="8" borderId="32" applyNumberForma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22" fillId="21" borderId="32" applyNumberFormat="0" applyAlignment="0" applyProtection="0"/>
    <xf numFmtId="0" fontId="40" fillId="21" borderId="34" applyNumberFormat="0" applyAlignment="0" applyProtection="0"/>
    <xf numFmtId="0" fontId="33" fillId="8" borderId="32" applyNumberForma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40" fillId="21" borderId="34" applyNumberFormat="0" applyAlignment="0" applyProtection="0"/>
    <xf numFmtId="0" fontId="40" fillId="21" borderId="34" applyNumberFormat="0" applyAlignment="0" applyProtection="0"/>
    <xf numFmtId="0" fontId="22" fillId="21" borderId="32" applyNumberFormat="0" applyAlignment="0" applyProtection="0"/>
    <xf numFmtId="0" fontId="33" fillId="8" borderId="32" applyNumberFormat="0" applyAlignment="0" applyProtection="0"/>
    <xf numFmtId="0" fontId="22" fillId="21" borderId="32" applyNumberForma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33" fillId="8" borderId="32" applyNumberFormat="0" applyAlignment="0" applyProtection="0"/>
    <xf numFmtId="0" fontId="33" fillId="8" borderId="32" applyNumberFormat="0" applyAlignment="0" applyProtection="0"/>
    <xf numFmtId="0" fontId="42" fillId="0" borderId="35" applyNumberFormat="0" applyFill="0" applyAlignment="0" applyProtection="0"/>
    <xf numFmtId="0" fontId="42" fillId="0" borderId="35" applyNumberFormat="0" applyFill="0" applyAlignment="0" applyProtection="0"/>
    <xf numFmtId="0" fontId="22" fillId="21" borderId="32" applyNumberFormat="0" applyAlignment="0" applyProtection="0"/>
    <xf numFmtId="0" fontId="33" fillId="8" borderId="32" applyNumberFormat="0" applyAlignment="0" applyProtection="0"/>
    <xf numFmtId="0" fontId="42" fillId="0" borderId="35" applyNumberFormat="0" applyFill="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33" fillId="8" borderId="32" applyNumberFormat="0" applyAlignment="0" applyProtection="0"/>
    <xf numFmtId="0" fontId="25" fillId="24" borderId="33" applyNumberFormat="0" applyFont="0" applyAlignment="0" applyProtection="0"/>
    <xf numFmtId="0" fontId="40" fillId="21" borderId="34" applyNumberFormat="0" applyAlignment="0" applyProtection="0"/>
    <xf numFmtId="0" fontId="33" fillId="8" borderId="32" applyNumberFormat="0" applyAlignment="0" applyProtection="0"/>
    <xf numFmtId="0" fontId="22" fillId="21" borderId="32" applyNumberFormat="0" applyAlignment="0" applyProtection="0"/>
    <xf numFmtId="0" fontId="22" fillId="21" borderId="32" applyNumberFormat="0" applyAlignment="0" applyProtection="0"/>
    <xf numFmtId="0" fontId="33" fillId="8" borderId="32" applyNumberFormat="0" applyAlignment="0" applyProtection="0"/>
    <xf numFmtId="0" fontId="42" fillId="0" borderId="35" applyNumberFormat="0" applyFill="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33" fillId="8" borderId="32" applyNumberFormat="0" applyAlignment="0" applyProtection="0"/>
    <xf numFmtId="0" fontId="42" fillId="0" borderId="35" applyNumberFormat="0" applyFill="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25" fillId="24" borderId="33" applyNumberFormat="0" applyFont="0" applyAlignment="0" applyProtection="0"/>
    <xf numFmtId="0" fontId="40" fillId="21" borderId="34" applyNumberFormat="0" applyAlignment="0" applyProtection="0"/>
    <xf numFmtId="0" fontId="22" fillId="21" borderId="32" applyNumberFormat="0" applyAlignment="0" applyProtection="0"/>
    <xf numFmtId="0" fontId="33" fillId="8" borderId="32" applyNumberFormat="0" applyAlignment="0" applyProtection="0"/>
    <xf numFmtId="0" fontId="42" fillId="0" borderId="35" applyNumberFormat="0" applyFill="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40" fillId="21" borderId="34" applyNumberFormat="0" applyAlignment="0" applyProtection="0"/>
    <xf numFmtId="0" fontId="22" fillId="21" borderId="32" applyNumberFormat="0" applyAlignment="0" applyProtection="0"/>
    <xf numFmtId="0" fontId="42" fillId="0" borderId="35" applyNumberFormat="0" applyFill="0" applyAlignment="0" applyProtection="0"/>
    <xf numFmtId="0" fontId="25" fillId="24" borderId="33" applyNumberFormat="0" applyFont="0" applyAlignment="0" applyProtection="0"/>
    <xf numFmtId="0" fontId="22" fillId="21" borderId="32" applyNumberFormat="0" applyAlignment="0" applyProtection="0"/>
    <xf numFmtId="0" fontId="33" fillId="8" borderId="32" applyNumberFormat="0" applyAlignment="0" applyProtection="0"/>
    <xf numFmtId="0" fontId="22" fillId="21" borderId="32" applyNumberFormat="0" applyAlignment="0" applyProtection="0"/>
    <xf numFmtId="0" fontId="33" fillId="8" borderId="32" applyNumberFormat="0" applyAlignment="0" applyProtection="0"/>
    <xf numFmtId="0" fontId="42" fillId="0" borderId="35" applyNumberFormat="0" applyFill="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33" fillId="8" borderId="32" applyNumberFormat="0" applyAlignment="0" applyProtection="0"/>
    <xf numFmtId="0" fontId="22" fillId="21" borderId="32" applyNumberFormat="0" applyAlignment="0" applyProtection="0"/>
    <xf numFmtId="0" fontId="25" fillId="24" borderId="33" applyNumberFormat="0" applyFont="0" applyAlignment="0" applyProtection="0"/>
    <xf numFmtId="0" fontId="25" fillId="24" borderId="33" applyNumberFormat="0" applyFont="0" applyAlignment="0" applyProtection="0"/>
    <xf numFmtId="0" fontId="33" fillId="8" borderId="32" applyNumberFormat="0" applyAlignment="0" applyProtection="0"/>
    <xf numFmtId="0" fontId="22" fillId="21" borderId="32" applyNumberFormat="0" applyAlignment="0" applyProtection="0"/>
    <xf numFmtId="0" fontId="22" fillId="21" borderId="32" applyNumberFormat="0" applyAlignment="0" applyProtection="0"/>
    <xf numFmtId="0" fontId="33" fillId="8" borderId="32" applyNumberFormat="0" applyAlignment="0" applyProtection="0"/>
    <xf numFmtId="0" fontId="33" fillId="8" borderId="32" applyNumberForma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42" fillId="0" borderId="35" applyNumberFormat="0" applyFill="0" applyAlignment="0" applyProtection="0"/>
    <xf numFmtId="0" fontId="33" fillId="8" borderId="32" applyNumberFormat="0" applyAlignment="0" applyProtection="0"/>
    <xf numFmtId="0" fontId="33" fillId="8" borderId="32" applyNumberFormat="0" applyAlignment="0" applyProtection="0"/>
    <xf numFmtId="0" fontId="22" fillId="21" borderId="32" applyNumberFormat="0" applyAlignment="0" applyProtection="0"/>
    <xf numFmtId="0" fontId="22" fillId="21" borderId="32" applyNumberFormat="0" applyAlignment="0" applyProtection="0"/>
    <xf numFmtId="0" fontId="33" fillId="8" borderId="32" applyNumberFormat="0" applyAlignment="0" applyProtection="0"/>
    <xf numFmtId="0" fontId="33" fillId="8" borderId="32" applyNumberForma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33" fillId="8" borderId="32" applyNumberFormat="0" applyAlignment="0" applyProtection="0"/>
    <xf numFmtId="0" fontId="33" fillId="8" borderId="32" applyNumberFormat="0" applyAlignment="0" applyProtection="0"/>
    <xf numFmtId="0" fontId="22" fillId="21" borderId="32" applyNumberForma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25" fillId="24" borderId="33" applyNumberFormat="0" applyFont="0" applyAlignment="0" applyProtection="0"/>
    <xf numFmtId="0" fontId="33" fillId="8" borderId="32" applyNumberFormat="0" applyAlignment="0" applyProtection="0"/>
    <xf numFmtId="0" fontId="22" fillId="21" borderId="32" applyNumberFormat="0" applyAlignment="0" applyProtection="0"/>
    <xf numFmtId="0" fontId="33" fillId="8" borderId="32" applyNumberFormat="0" applyAlignment="0" applyProtection="0"/>
    <xf numFmtId="0" fontId="42" fillId="0" borderId="35" applyNumberFormat="0" applyFill="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42" fillId="0" borderId="35" applyNumberFormat="0" applyFill="0" applyAlignment="0" applyProtection="0"/>
    <xf numFmtId="0" fontId="42" fillId="0" borderId="35" applyNumberFormat="0" applyFill="0" applyAlignment="0" applyProtection="0"/>
    <xf numFmtId="0" fontId="33" fillId="8" borderId="32" applyNumberFormat="0" applyAlignment="0" applyProtection="0"/>
    <xf numFmtId="0" fontId="25" fillId="24" borderId="33" applyNumberFormat="0" applyFont="0" applyAlignment="0" applyProtection="0"/>
    <xf numFmtId="0" fontId="40" fillId="21" borderId="34" applyNumberFormat="0" applyAlignment="0" applyProtection="0"/>
    <xf numFmtId="0" fontId="22" fillId="21" borderId="32" applyNumberFormat="0" applyAlignment="0" applyProtection="0"/>
    <xf numFmtId="0" fontId="33" fillId="8" borderId="32" applyNumberFormat="0" applyAlignment="0" applyProtection="0"/>
    <xf numFmtId="0" fontId="40" fillId="21" borderId="34" applyNumberForma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25" fillId="24" borderId="33" applyNumberFormat="0" applyFont="0" applyAlignment="0" applyProtection="0"/>
    <xf numFmtId="0" fontId="25" fillId="24" borderId="33" applyNumberFormat="0" applyFont="0" applyAlignment="0" applyProtection="0"/>
    <xf numFmtId="0" fontId="42" fillId="0" borderId="35" applyNumberFormat="0" applyFill="0" applyAlignment="0" applyProtection="0"/>
    <xf numFmtId="0" fontId="33" fillId="8" borderId="32" applyNumberFormat="0" applyAlignment="0" applyProtection="0"/>
    <xf numFmtId="0" fontId="22" fillId="21" borderId="32" applyNumberFormat="0" applyAlignment="0" applyProtection="0"/>
    <xf numFmtId="0" fontId="22" fillId="21" borderId="32" applyNumberFormat="0" applyAlignment="0" applyProtection="0"/>
    <xf numFmtId="0" fontId="33" fillId="8" borderId="32" applyNumberFormat="0" applyAlignment="0" applyProtection="0"/>
    <xf numFmtId="0" fontId="40" fillId="21" borderId="34" applyNumberForma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42" fillId="0" borderId="35" applyNumberFormat="0" applyFill="0" applyAlignment="0" applyProtection="0"/>
    <xf numFmtId="0" fontId="40" fillId="21" borderId="34" applyNumberForma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40" fillId="21" borderId="34" applyNumberFormat="0" applyAlignment="0" applyProtection="0"/>
    <xf numFmtId="0" fontId="42" fillId="0" borderId="35" applyNumberFormat="0" applyFill="0" applyAlignment="0" applyProtection="0"/>
    <xf numFmtId="0" fontId="22" fillId="21" borderId="32" applyNumberFormat="0" applyAlignment="0" applyProtection="0"/>
    <xf numFmtId="0" fontId="33" fillId="8" borderId="32" applyNumberFormat="0" applyAlignment="0" applyProtection="0"/>
    <xf numFmtId="0" fontId="22" fillId="21" borderId="32" applyNumberForma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33" fillId="8" borderId="32" applyNumberFormat="0" applyAlignment="0" applyProtection="0"/>
    <xf numFmtId="0" fontId="40" fillId="21" borderId="34" applyNumberFormat="0" applyAlignment="0" applyProtection="0"/>
    <xf numFmtId="0" fontId="40" fillId="21" borderId="34" applyNumberFormat="0" applyAlignment="0" applyProtection="0"/>
    <xf numFmtId="0" fontId="40" fillId="21" borderId="34" applyNumberFormat="0" applyAlignment="0" applyProtection="0"/>
    <xf numFmtId="0" fontId="22" fillId="21" borderId="32" applyNumberFormat="0" applyAlignment="0" applyProtection="0"/>
    <xf numFmtId="0" fontId="22" fillId="21" borderId="32" applyNumberFormat="0" applyAlignment="0" applyProtection="0"/>
    <xf numFmtId="0" fontId="33" fillId="8" borderId="32" applyNumberFormat="0" applyAlignment="0" applyProtection="0"/>
    <xf numFmtId="0" fontId="22" fillId="21" borderId="32" applyNumberForma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25" fillId="24" borderId="33" applyNumberFormat="0" applyFont="0" applyAlignment="0" applyProtection="0"/>
    <xf numFmtId="0" fontId="42" fillId="0" borderId="35" applyNumberFormat="0" applyFill="0" applyAlignment="0" applyProtection="0"/>
    <xf numFmtId="0" fontId="33" fillId="8" borderId="32" applyNumberFormat="0" applyAlignment="0" applyProtection="0"/>
    <xf numFmtId="0" fontId="22" fillId="21" borderId="32" applyNumberFormat="0" applyAlignment="0" applyProtection="0"/>
    <xf numFmtId="0" fontId="22" fillId="21" borderId="32" applyNumberFormat="0" applyAlignment="0" applyProtection="0"/>
    <xf numFmtId="0" fontId="33" fillId="8" borderId="32" applyNumberFormat="0" applyAlignment="0" applyProtection="0"/>
    <xf numFmtId="0" fontId="42" fillId="0" borderId="35" applyNumberFormat="0" applyFill="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33" fillId="8" borderId="32" applyNumberFormat="0" applyAlignment="0" applyProtection="0"/>
    <xf numFmtId="0" fontId="42" fillId="0" borderId="35" applyNumberFormat="0" applyFill="0" applyAlignment="0" applyProtection="0"/>
    <xf numFmtId="0" fontId="33" fillId="8" borderId="32" applyNumberForma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40" fillId="21" borderId="34" applyNumberFormat="0" applyAlignment="0" applyProtection="0"/>
    <xf numFmtId="0" fontId="22" fillId="21" borderId="32" applyNumberFormat="0" applyAlignment="0" applyProtection="0"/>
    <xf numFmtId="0" fontId="33" fillId="8" borderId="32" applyNumberFormat="0" applyAlignment="0" applyProtection="0"/>
    <xf numFmtId="0" fontId="22" fillId="21" borderId="32" applyNumberForma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33" fillId="8" borderId="32" applyNumberFormat="0" applyAlignment="0" applyProtection="0"/>
    <xf numFmtId="0" fontId="25" fillId="24" borderId="33" applyNumberFormat="0" applyFont="0" applyAlignment="0" applyProtection="0"/>
    <xf numFmtId="0" fontId="22" fillId="21" borderId="32" applyNumberFormat="0" applyAlignment="0" applyProtection="0"/>
    <xf numFmtId="0" fontId="42" fillId="0" borderId="35" applyNumberFormat="0" applyFill="0" applyAlignment="0" applyProtection="0"/>
    <xf numFmtId="0" fontId="33" fillId="8" borderId="32" applyNumberFormat="0" applyAlignment="0" applyProtection="0"/>
    <xf numFmtId="0" fontId="22" fillId="21" borderId="32" applyNumberFormat="0" applyAlignment="0" applyProtection="0"/>
    <xf numFmtId="0" fontId="33" fillId="8" borderId="32" applyNumberFormat="0" applyAlignment="0" applyProtection="0"/>
    <xf numFmtId="0" fontId="42" fillId="0" borderId="35" applyNumberFormat="0" applyFill="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42" fillId="0" borderId="35" applyNumberFormat="0" applyFill="0" applyAlignment="0" applyProtection="0"/>
    <xf numFmtId="0" fontId="25" fillId="24" borderId="33" applyNumberFormat="0" applyFont="0" applyAlignment="0" applyProtection="0"/>
    <xf numFmtId="0" fontId="40" fillId="21" borderId="34" applyNumberFormat="0" applyAlignment="0" applyProtection="0"/>
    <xf numFmtId="0" fontId="33" fillId="8" borderId="32" applyNumberFormat="0" applyAlignment="0" applyProtection="0"/>
    <xf numFmtId="0" fontId="22" fillId="21" borderId="32" applyNumberFormat="0" applyAlignment="0" applyProtection="0"/>
    <xf numFmtId="0" fontId="22" fillId="21" borderId="32" applyNumberFormat="0" applyAlignment="0" applyProtection="0"/>
    <xf numFmtId="0" fontId="33" fillId="8" borderId="32" applyNumberFormat="0" applyAlignment="0" applyProtection="0"/>
    <xf numFmtId="0" fontId="42" fillId="0" borderId="35" applyNumberFormat="0" applyFill="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33" fillId="8" borderId="32" applyNumberFormat="0" applyAlignment="0" applyProtection="0"/>
    <xf numFmtId="0" fontId="22" fillId="21" borderId="32" applyNumberFormat="0" applyAlignment="0" applyProtection="0"/>
    <xf numFmtId="0" fontId="22" fillId="21" borderId="32" applyNumberForma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42" fillId="0" borderId="35" applyNumberFormat="0" applyFill="0" applyAlignment="0" applyProtection="0"/>
    <xf numFmtId="0" fontId="40" fillId="21" borderId="34" applyNumberFormat="0" applyAlignment="0" applyProtection="0"/>
    <xf numFmtId="0" fontId="22" fillId="21" borderId="32" applyNumberFormat="0" applyAlignment="0" applyProtection="0"/>
    <xf numFmtId="0" fontId="33" fillId="8" borderId="32" applyNumberFormat="0" applyAlignment="0" applyProtection="0"/>
    <xf numFmtId="0" fontId="42" fillId="0" borderId="35" applyNumberFormat="0" applyFill="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25" fillId="24" borderId="33" applyNumberFormat="0" applyFont="0" applyAlignment="0" applyProtection="0"/>
    <xf numFmtId="0" fontId="22" fillId="21" borderId="32" applyNumberFormat="0" applyAlignment="0" applyProtection="0"/>
    <xf numFmtId="0" fontId="42" fillId="0" borderId="35" applyNumberFormat="0" applyFill="0" applyAlignment="0" applyProtection="0"/>
    <xf numFmtId="0" fontId="25" fillId="24" borderId="33" applyNumberFormat="0" applyFont="0" applyAlignment="0" applyProtection="0"/>
    <xf numFmtId="0" fontId="22" fillId="21" borderId="32" applyNumberFormat="0" applyAlignment="0" applyProtection="0"/>
    <xf numFmtId="0" fontId="33" fillId="8" borderId="32" applyNumberFormat="0" applyAlignment="0" applyProtection="0"/>
    <xf numFmtId="0" fontId="22" fillId="21" borderId="32" applyNumberFormat="0" applyAlignment="0" applyProtection="0"/>
    <xf numFmtId="0" fontId="33" fillId="8" borderId="32" applyNumberFormat="0" applyAlignment="0" applyProtection="0"/>
    <xf numFmtId="0" fontId="22" fillId="21" borderId="32" applyNumberForma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42" fillId="0" borderId="35" applyNumberFormat="0" applyFill="0" applyAlignment="0" applyProtection="0"/>
    <xf numFmtId="0" fontId="42" fillId="0" borderId="35" applyNumberFormat="0" applyFill="0" applyAlignment="0" applyProtection="0"/>
    <xf numFmtId="0" fontId="42" fillId="0" borderId="35" applyNumberFormat="0" applyFill="0" applyAlignment="0" applyProtection="0"/>
    <xf numFmtId="0" fontId="25" fillId="24" borderId="33" applyNumberFormat="0" applyFont="0" applyAlignment="0" applyProtection="0"/>
    <xf numFmtId="0" fontId="33" fillId="8" borderId="32" applyNumberFormat="0" applyAlignment="0" applyProtection="0"/>
    <xf numFmtId="0" fontId="22" fillId="21" borderId="32" applyNumberFormat="0" applyAlignment="0" applyProtection="0"/>
    <xf numFmtId="0" fontId="22" fillId="21" borderId="32" applyNumberFormat="0" applyAlignment="0" applyProtection="0"/>
    <xf numFmtId="0" fontId="33" fillId="8" borderId="32" applyNumberFormat="0" applyAlignment="0" applyProtection="0"/>
    <xf numFmtId="0" fontId="33" fillId="8" borderId="32" applyNumberForma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33" fillId="8" borderId="32" applyNumberFormat="0" applyAlignment="0" applyProtection="0"/>
    <xf numFmtId="0" fontId="42" fillId="0" borderId="35" applyNumberFormat="0" applyFill="0" applyAlignment="0" applyProtection="0"/>
    <xf numFmtId="0" fontId="40" fillId="21" borderId="34" applyNumberFormat="0" applyAlignment="0" applyProtection="0"/>
    <xf numFmtId="0" fontId="33" fillId="8" borderId="32" applyNumberFormat="0" applyAlignment="0" applyProtection="0"/>
    <xf numFmtId="0" fontId="22" fillId="21" borderId="32" applyNumberFormat="0" applyAlignment="0" applyProtection="0"/>
    <xf numFmtId="0" fontId="22" fillId="21" borderId="32" applyNumberFormat="0" applyAlignment="0" applyProtection="0"/>
    <xf numFmtId="0" fontId="33" fillId="8" borderId="32" applyNumberFormat="0" applyAlignment="0" applyProtection="0"/>
    <xf numFmtId="0" fontId="33" fillId="8" borderId="32" applyNumberForma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33" fillId="8" borderId="32" applyNumberFormat="0" applyAlignment="0" applyProtection="0"/>
    <xf numFmtId="0" fontId="40" fillId="21" borderId="34" applyNumberFormat="0" applyAlignment="0" applyProtection="0"/>
    <xf numFmtId="0" fontId="25" fillId="24" borderId="33" applyNumberFormat="0" applyFon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25" fillId="24" borderId="33" applyNumberFormat="0" applyFont="0" applyAlignment="0" applyProtection="0"/>
    <xf numFmtId="0" fontId="22" fillId="21" borderId="32" applyNumberFormat="0" applyAlignment="0" applyProtection="0"/>
    <xf numFmtId="0" fontId="22" fillId="21" borderId="32" applyNumberFormat="0" applyAlignment="0" applyProtection="0"/>
    <xf numFmtId="0" fontId="33" fillId="8" borderId="32" applyNumberFormat="0" applyAlignment="0" applyProtection="0"/>
    <xf numFmtId="0" fontId="40" fillId="21" borderId="34" applyNumberForma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33" fillId="8" borderId="32" applyNumberFormat="0" applyAlignment="0" applyProtection="0"/>
    <xf numFmtId="0" fontId="40" fillId="21" borderId="34" applyNumberFormat="0" applyAlignment="0" applyProtection="0"/>
    <xf numFmtId="0" fontId="33" fillId="8" borderId="32" applyNumberFormat="0" applyAlignment="0" applyProtection="0"/>
    <xf numFmtId="0" fontId="40" fillId="21" borderId="34" applyNumberFormat="0" applyAlignment="0" applyProtection="0"/>
    <xf numFmtId="0" fontId="40" fillId="21" borderId="34" applyNumberFormat="0" applyAlignment="0" applyProtection="0"/>
    <xf numFmtId="0" fontId="40" fillId="21" borderId="34" applyNumberFormat="0" applyAlignment="0" applyProtection="0"/>
    <xf numFmtId="0" fontId="22" fillId="21" borderId="32" applyNumberFormat="0" applyAlignment="0" applyProtection="0"/>
    <xf numFmtId="0" fontId="33" fillId="8" borderId="32" applyNumberFormat="0" applyAlignment="0" applyProtection="0"/>
    <xf numFmtId="0" fontId="40" fillId="21" borderId="34" applyNumberForma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33" fillId="8" borderId="32" applyNumberFormat="0" applyAlignment="0" applyProtection="0"/>
    <xf numFmtId="0" fontId="33" fillId="8" borderId="32" applyNumberFormat="0" applyAlignment="0" applyProtection="0"/>
    <xf numFmtId="0" fontId="25" fillId="24" borderId="33" applyNumberFormat="0" applyFont="0" applyAlignment="0" applyProtection="0"/>
    <xf numFmtId="0" fontId="33" fillId="8" borderId="32" applyNumberFormat="0" applyAlignment="0" applyProtection="0"/>
    <xf numFmtId="0" fontId="22" fillId="21" borderId="32" applyNumberFormat="0" applyAlignment="0" applyProtection="0"/>
    <xf numFmtId="0" fontId="22" fillId="21" borderId="32" applyNumberFormat="0" applyAlignment="0" applyProtection="0"/>
    <xf numFmtId="0" fontId="33" fillId="8" borderId="32" applyNumberFormat="0" applyAlignment="0" applyProtection="0"/>
    <xf numFmtId="0" fontId="40" fillId="21" borderId="34" applyNumberForma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25" fillId="24" borderId="33" applyNumberFormat="0" applyFont="0" applyAlignment="0" applyProtection="0"/>
    <xf numFmtId="0" fontId="42" fillId="0" borderId="35" applyNumberFormat="0" applyFill="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42" fillId="0" borderId="35" applyNumberFormat="0" applyFill="0" applyAlignment="0" applyProtection="0"/>
    <xf numFmtId="0" fontId="25" fillId="24" borderId="33" applyNumberFormat="0" applyFont="0" applyAlignment="0" applyProtection="0"/>
    <xf numFmtId="0" fontId="22" fillId="21" borderId="32" applyNumberFormat="0" applyAlignment="0" applyProtection="0"/>
    <xf numFmtId="0" fontId="33" fillId="8" borderId="32" applyNumberFormat="0" applyAlignment="0" applyProtection="0"/>
    <xf numFmtId="0" fontId="22" fillId="21" borderId="32" applyNumberForma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42" fillId="0" borderId="35" applyNumberFormat="0" applyFill="0" applyAlignment="0" applyProtection="0"/>
    <xf numFmtId="0" fontId="22" fillId="21" borderId="32" applyNumberFormat="0" applyAlignment="0" applyProtection="0"/>
    <xf numFmtId="0" fontId="40" fillId="21" borderId="34" applyNumberFormat="0" applyAlignment="0" applyProtection="0"/>
    <xf numFmtId="0" fontId="42" fillId="0" borderId="35" applyNumberFormat="0" applyFill="0" applyAlignment="0" applyProtection="0"/>
    <xf numFmtId="0" fontId="40" fillId="21" borderId="34" applyNumberFormat="0" applyAlignment="0" applyProtection="0"/>
    <xf numFmtId="0" fontId="40" fillId="21" borderId="34" applyNumberFormat="0" applyAlignment="0" applyProtection="0"/>
    <xf numFmtId="0" fontId="22" fillId="21" borderId="32" applyNumberFormat="0" applyAlignment="0" applyProtection="0"/>
    <xf numFmtId="0" fontId="33" fillId="8" borderId="32" applyNumberFormat="0" applyAlignment="0" applyProtection="0"/>
    <xf numFmtId="0" fontId="40" fillId="21" borderId="34" applyNumberForma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25" fillId="24" borderId="33" applyNumberFormat="0" applyFont="0" applyAlignment="0" applyProtection="0"/>
    <xf numFmtId="0" fontId="25" fillId="24" borderId="33" applyNumberFormat="0" applyFont="0" applyAlignment="0" applyProtection="0"/>
    <xf numFmtId="0" fontId="33" fillId="8" borderId="32" applyNumberFormat="0" applyAlignment="0" applyProtection="0"/>
    <xf numFmtId="0" fontId="22" fillId="21" borderId="32" applyNumberFormat="0" applyAlignment="0" applyProtection="0"/>
    <xf numFmtId="0" fontId="22" fillId="21" borderId="32" applyNumberFormat="0" applyAlignment="0" applyProtection="0"/>
    <xf numFmtId="0" fontId="33" fillId="8" borderId="32" applyNumberForma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40" fillId="21" borderId="34" applyNumberFormat="0" applyAlignment="0" applyProtection="0"/>
    <xf numFmtId="0" fontId="25" fillId="24" borderId="33" applyNumberFormat="0" applyFon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40" fillId="21" borderId="34" applyNumberFormat="0" applyAlignment="0" applyProtection="0"/>
    <xf numFmtId="0" fontId="25" fillId="24" borderId="33" applyNumberFormat="0" applyFont="0" applyAlignment="0" applyProtection="0"/>
    <xf numFmtId="0" fontId="22" fillId="21" borderId="32" applyNumberFormat="0" applyAlignment="0" applyProtection="0"/>
    <xf numFmtId="0" fontId="33" fillId="8" borderId="32" applyNumberForma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42" fillId="0" borderId="35" applyNumberFormat="0" applyFill="0" applyAlignment="0" applyProtection="0"/>
    <xf numFmtId="0" fontId="33" fillId="8" borderId="32" applyNumberFormat="0" applyAlignment="0" applyProtection="0"/>
    <xf numFmtId="0" fontId="42" fillId="0" borderId="35" applyNumberFormat="0" applyFill="0" applyAlignment="0" applyProtection="0"/>
    <xf numFmtId="0" fontId="25" fillId="24" borderId="33" applyNumberFormat="0" applyFont="0" applyAlignment="0" applyProtection="0"/>
    <xf numFmtId="0" fontId="22" fillId="21" borderId="32" applyNumberFormat="0" applyAlignment="0" applyProtection="0"/>
    <xf numFmtId="0" fontId="33" fillId="8" borderId="32" applyNumberFormat="0" applyAlignment="0" applyProtection="0"/>
    <xf numFmtId="0" fontId="42" fillId="0" borderId="35" applyNumberFormat="0" applyFill="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33" fillId="8" borderId="32" applyNumberFormat="0" applyAlignment="0" applyProtection="0"/>
    <xf numFmtId="0" fontId="22" fillId="21" borderId="32" applyNumberFormat="0" applyAlignment="0" applyProtection="0"/>
    <xf numFmtId="0" fontId="33" fillId="8" borderId="32" applyNumberFormat="0" applyAlignment="0" applyProtection="0"/>
    <xf numFmtId="0" fontId="22" fillId="21" borderId="32" applyNumberFormat="0" applyAlignment="0" applyProtection="0"/>
    <xf numFmtId="0" fontId="22" fillId="21" borderId="32" applyNumberFormat="0" applyAlignment="0" applyProtection="0"/>
    <xf numFmtId="0" fontId="33" fillId="8" borderId="32" applyNumberFormat="0" applyAlignment="0" applyProtection="0"/>
    <xf numFmtId="0" fontId="42" fillId="0" borderId="35" applyNumberFormat="0" applyFill="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42" fillId="0" borderId="35" applyNumberFormat="0" applyFill="0" applyAlignment="0" applyProtection="0"/>
    <xf numFmtId="0" fontId="42" fillId="0" borderId="35" applyNumberFormat="0" applyFill="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42" fillId="0" borderId="35" applyNumberFormat="0" applyFill="0" applyAlignment="0" applyProtection="0"/>
    <xf numFmtId="0" fontId="25" fillId="24" borderId="33" applyNumberFormat="0" applyFont="0" applyAlignment="0" applyProtection="0"/>
    <xf numFmtId="0" fontId="22" fillId="21" borderId="32" applyNumberFormat="0" applyAlignment="0" applyProtection="0"/>
    <xf numFmtId="0" fontId="33" fillId="8" borderId="32" applyNumberForma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33" fillId="8" borderId="32" applyNumberFormat="0" applyAlignment="0" applyProtection="0"/>
    <xf numFmtId="0" fontId="42" fillId="0" borderId="35" applyNumberFormat="0" applyFill="0" applyAlignment="0" applyProtection="0"/>
    <xf numFmtId="0" fontId="42" fillId="0" borderId="35" applyNumberFormat="0" applyFill="0" applyAlignment="0" applyProtection="0"/>
    <xf numFmtId="0" fontId="22" fillId="21" borderId="32" applyNumberFormat="0" applyAlignment="0" applyProtection="0"/>
    <xf numFmtId="0" fontId="22" fillId="21" borderId="32" applyNumberFormat="0" applyAlignment="0" applyProtection="0"/>
    <xf numFmtId="0" fontId="40" fillId="21" borderId="34" applyNumberFormat="0" applyAlignment="0" applyProtection="0"/>
    <xf numFmtId="0" fontId="22" fillId="21" borderId="32" applyNumberFormat="0" applyAlignment="0" applyProtection="0"/>
    <xf numFmtId="0" fontId="33" fillId="8" borderId="32" applyNumberForma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40" fillId="21" borderId="34" applyNumberFormat="0" applyAlignment="0" applyProtection="0"/>
    <xf numFmtId="0" fontId="33" fillId="8" borderId="32" applyNumberFormat="0" applyAlignment="0" applyProtection="0"/>
    <xf numFmtId="0" fontId="22" fillId="21" borderId="32" applyNumberFormat="0" applyAlignment="0" applyProtection="0"/>
    <xf numFmtId="0" fontId="40" fillId="21" borderId="34" applyNumberFormat="0" applyAlignment="0" applyProtection="0"/>
    <xf numFmtId="0" fontId="22" fillId="21" borderId="32" applyNumberFormat="0" applyAlignment="0" applyProtection="0"/>
    <xf numFmtId="0" fontId="33" fillId="8" borderId="32" applyNumberFormat="0" applyAlignment="0" applyProtection="0"/>
    <xf numFmtId="0" fontId="25" fillId="24" borderId="33" applyNumberFormat="0" applyFon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42" fillId="0" borderId="35" applyNumberFormat="0" applyFill="0" applyAlignment="0" applyProtection="0"/>
    <xf numFmtId="0" fontId="25" fillId="24" borderId="33" applyNumberFormat="0" applyFont="0" applyAlignment="0" applyProtection="0"/>
    <xf numFmtId="0" fontId="33" fillId="8" borderId="32" applyNumberFormat="0" applyAlignment="0" applyProtection="0"/>
    <xf numFmtId="0" fontId="22" fillId="21" borderId="32" applyNumberFormat="0" applyAlignment="0" applyProtection="0"/>
    <xf numFmtId="0" fontId="22" fillId="21" borderId="32" applyNumberFormat="0" applyAlignment="0" applyProtection="0"/>
    <xf numFmtId="0" fontId="33" fillId="8" borderId="32" applyNumberForma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22" fillId="21" borderId="32" applyNumberFormat="0" applyAlignment="0" applyProtection="0"/>
    <xf numFmtId="0" fontId="40" fillId="21" borderId="34" applyNumberFormat="0" applyAlignment="0" applyProtection="0"/>
    <xf numFmtId="0" fontId="42" fillId="0" borderId="35" applyNumberFormat="0" applyFill="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22" fillId="21" borderId="32" applyNumberFormat="0" applyAlignment="0" applyProtection="0"/>
    <xf numFmtId="0" fontId="33" fillId="8" borderId="32" applyNumberFormat="0" applyAlignment="0" applyProtection="0"/>
    <xf numFmtId="0" fontId="40" fillId="21" borderId="34" applyNumberForma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42" fillId="0" borderId="35" applyNumberFormat="0" applyFill="0" applyAlignment="0" applyProtection="0"/>
    <xf numFmtId="0" fontId="40" fillId="21" borderId="34" applyNumberFormat="0" applyAlignment="0" applyProtection="0"/>
    <xf numFmtId="0" fontId="40" fillId="21" borderId="34" applyNumberFormat="0" applyAlignment="0" applyProtection="0"/>
    <xf numFmtId="0" fontId="42" fillId="0" borderId="35" applyNumberFormat="0" applyFill="0" applyAlignment="0" applyProtection="0"/>
    <xf numFmtId="0" fontId="33" fillId="8" borderId="32" applyNumberFormat="0" applyAlignment="0" applyProtection="0"/>
    <xf numFmtId="0" fontId="22" fillId="21" borderId="32" applyNumberFormat="0" applyAlignment="0" applyProtection="0"/>
    <xf numFmtId="0" fontId="33" fillId="8" borderId="32" applyNumberFormat="0" applyAlignment="0" applyProtection="0"/>
    <xf numFmtId="0" fontId="25" fillId="24" borderId="33" applyNumberFormat="0" applyFon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22" fillId="21" borderId="32" applyNumberFormat="0" applyAlignment="0" applyProtection="0"/>
    <xf numFmtId="0" fontId="33" fillId="8" borderId="32" applyNumberFormat="0" applyAlignment="0" applyProtection="0"/>
    <xf numFmtId="0" fontId="22" fillId="21" borderId="32" applyNumberFormat="0" applyAlignment="0" applyProtection="0"/>
    <xf numFmtId="0" fontId="22" fillId="21" borderId="32" applyNumberFormat="0" applyAlignment="0" applyProtection="0"/>
    <xf numFmtId="0" fontId="33" fillId="8" borderId="32" applyNumberFormat="0" applyAlignment="0" applyProtection="0"/>
    <xf numFmtId="0" fontId="25" fillId="24" borderId="33" applyNumberFormat="0" applyFon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33" fillId="8" borderId="32" applyNumberFormat="0" applyAlignment="0" applyProtection="0"/>
    <xf numFmtId="0" fontId="42" fillId="0" borderId="35" applyNumberFormat="0" applyFill="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22" fillId="21" borderId="32" applyNumberFormat="0" applyAlignment="0" applyProtection="0"/>
    <xf numFmtId="0" fontId="22" fillId="21" borderId="32" applyNumberFormat="0" applyAlignment="0" applyProtection="0"/>
    <xf numFmtId="0" fontId="33" fillId="8" borderId="32" applyNumberFormat="0" applyAlignment="0" applyProtection="0"/>
    <xf numFmtId="0" fontId="40" fillId="21" borderId="34" applyNumberForma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33" fillId="8" borderId="32" applyNumberFormat="0" applyAlignment="0" applyProtection="0"/>
    <xf numFmtId="0" fontId="40" fillId="21" borderId="34" applyNumberFormat="0" applyAlignment="0" applyProtection="0"/>
    <xf numFmtId="0" fontId="40" fillId="21" borderId="34" applyNumberFormat="0" applyAlignment="0" applyProtection="0"/>
    <xf numFmtId="0" fontId="40" fillId="21" borderId="34" applyNumberFormat="0" applyAlignment="0" applyProtection="0"/>
    <xf numFmtId="0" fontId="33" fillId="8" borderId="32" applyNumberFormat="0" applyAlignment="0" applyProtection="0"/>
    <xf numFmtId="0" fontId="22" fillId="21" borderId="32" applyNumberFormat="0" applyAlignment="0" applyProtection="0"/>
    <xf numFmtId="0" fontId="33" fillId="8" borderId="32" applyNumberFormat="0" applyAlignment="0" applyProtection="0"/>
    <xf numFmtId="0" fontId="42" fillId="0" borderId="35" applyNumberFormat="0" applyFill="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25" fillId="24" borderId="33" applyNumberFormat="0" applyFont="0" applyAlignment="0" applyProtection="0"/>
    <xf numFmtId="0" fontId="22" fillId="21" borderId="32" applyNumberFormat="0" applyAlignment="0" applyProtection="0"/>
    <xf numFmtId="0" fontId="33" fillId="8" borderId="32" applyNumberFormat="0" applyAlignment="0" applyProtection="0"/>
    <xf numFmtId="0" fontId="22" fillId="21" borderId="32" applyNumberFormat="0" applyAlignment="0" applyProtection="0"/>
    <xf numFmtId="0" fontId="22" fillId="21" borderId="32" applyNumberFormat="0" applyAlignment="0" applyProtection="0"/>
    <xf numFmtId="0" fontId="33" fillId="8" borderId="32" applyNumberFormat="0" applyAlignment="0" applyProtection="0"/>
    <xf numFmtId="0" fontId="25" fillId="24" borderId="33" applyNumberFormat="0" applyFon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22" fillId="21" borderId="32" applyNumberFormat="0" applyAlignment="0" applyProtection="0"/>
    <xf numFmtId="0" fontId="25" fillId="24" borderId="33" applyNumberFormat="0" applyFont="0" applyAlignment="0" applyProtection="0"/>
    <xf numFmtId="0" fontId="40" fillId="21" borderId="34" applyNumberForma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25" fillId="24" borderId="33" applyNumberFormat="0" applyFont="0" applyAlignment="0" applyProtection="0"/>
    <xf numFmtId="0" fontId="33" fillId="8" borderId="32" applyNumberFormat="0" applyAlignment="0" applyProtection="0"/>
    <xf numFmtId="0" fontId="22" fillId="21" borderId="32" applyNumberFormat="0" applyAlignment="0" applyProtection="0"/>
    <xf numFmtId="0" fontId="33" fillId="8" borderId="32" applyNumberFormat="0" applyAlignment="0" applyProtection="0"/>
    <xf numFmtId="0" fontId="22" fillId="21" borderId="32" applyNumberForma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40" fillId="21" borderId="34" applyNumberFormat="0" applyAlignment="0" applyProtection="0"/>
    <xf numFmtId="0" fontId="40" fillId="21" borderId="34" applyNumberFormat="0" applyAlignment="0" applyProtection="0"/>
    <xf numFmtId="0" fontId="22" fillId="21" borderId="32" applyNumberFormat="0" applyAlignment="0" applyProtection="0"/>
    <xf numFmtId="0" fontId="25" fillId="24" borderId="33" applyNumberFormat="0" applyFont="0" applyAlignment="0" applyProtection="0"/>
    <xf numFmtId="0" fontId="22" fillId="21" borderId="32" applyNumberFormat="0" applyAlignment="0" applyProtection="0"/>
    <xf numFmtId="0" fontId="33" fillId="8" borderId="32" applyNumberForma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22" fillId="21" borderId="32" applyNumberFormat="0" applyAlignment="0" applyProtection="0"/>
    <xf numFmtId="0" fontId="33" fillId="8" borderId="32" applyNumberFormat="0" applyAlignment="0" applyProtection="0"/>
    <xf numFmtId="0" fontId="42" fillId="0" borderId="35" applyNumberFormat="0" applyFill="0" applyAlignment="0" applyProtection="0"/>
    <xf numFmtId="0" fontId="33" fillId="8" borderId="32" applyNumberFormat="0" applyAlignment="0" applyProtection="0"/>
    <xf numFmtId="0" fontId="22" fillId="21" borderId="32" applyNumberFormat="0" applyAlignment="0" applyProtection="0"/>
    <xf numFmtId="0" fontId="22" fillId="21" borderId="32" applyNumberFormat="0" applyAlignment="0" applyProtection="0"/>
    <xf numFmtId="0" fontId="33" fillId="8" borderId="32" applyNumberFormat="0" applyAlignment="0" applyProtection="0"/>
    <xf numFmtId="0" fontId="22" fillId="21" borderId="32" applyNumberForma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42" fillId="0" borderId="35" applyNumberFormat="0" applyFill="0" applyAlignment="0" applyProtection="0"/>
    <xf numFmtId="0" fontId="42" fillId="0" borderId="35" applyNumberFormat="0" applyFill="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25" fillId="24" borderId="33" applyNumberFormat="0" applyFont="0" applyAlignment="0" applyProtection="0"/>
    <xf numFmtId="0" fontId="33" fillId="8" borderId="32" applyNumberFormat="0" applyAlignment="0" applyProtection="0"/>
    <xf numFmtId="0" fontId="22" fillId="21" borderId="32" applyNumberFormat="0" applyAlignment="0" applyProtection="0"/>
    <xf numFmtId="0" fontId="33" fillId="8" borderId="32" applyNumberFormat="0" applyAlignment="0" applyProtection="0"/>
    <xf numFmtId="0" fontId="40" fillId="21" borderId="34" applyNumberForma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40" fillId="21" borderId="34" applyNumberFormat="0" applyAlignment="0" applyProtection="0"/>
    <xf numFmtId="0" fontId="33" fillId="8" borderId="32" applyNumberFormat="0" applyAlignment="0" applyProtection="0"/>
    <xf numFmtId="0" fontId="33" fillId="8" borderId="32" applyNumberFormat="0" applyAlignment="0" applyProtection="0"/>
    <xf numFmtId="0" fontId="42" fillId="0" borderId="35" applyNumberFormat="0" applyFill="0" applyAlignment="0" applyProtection="0"/>
    <xf numFmtId="0" fontId="25" fillId="24" borderId="33" applyNumberFormat="0" applyFont="0" applyAlignment="0" applyProtection="0"/>
    <xf numFmtId="0" fontId="40" fillId="21" borderId="34" applyNumberFormat="0" applyAlignment="0" applyProtection="0"/>
    <xf numFmtId="0" fontId="33" fillId="8" borderId="32" applyNumberFormat="0" applyAlignment="0" applyProtection="0"/>
    <xf numFmtId="0" fontId="25" fillId="24" borderId="33" applyNumberFormat="0" applyFont="0" applyAlignment="0" applyProtection="0"/>
    <xf numFmtId="0" fontId="40" fillId="21" borderId="34" applyNumberFormat="0" applyAlignment="0" applyProtection="0"/>
    <xf numFmtId="0" fontId="33" fillId="8" borderId="32" applyNumberFormat="0" applyAlignment="0" applyProtection="0"/>
    <xf numFmtId="0" fontId="22" fillId="21" borderId="32" applyNumberFormat="0" applyAlignment="0" applyProtection="0"/>
    <xf numFmtId="0" fontId="33" fillId="8" borderId="32" applyNumberFormat="0" applyAlignment="0" applyProtection="0"/>
    <xf numFmtId="0" fontId="42" fillId="0" borderId="35" applyNumberFormat="0" applyFill="0" applyAlignment="0" applyProtection="0"/>
    <xf numFmtId="0" fontId="22" fillId="21" borderId="32" applyNumberFormat="0" applyAlignment="0" applyProtection="0"/>
    <xf numFmtId="0" fontId="42" fillId="0" borderId="35" applyNumberFormat="0" applyFill="0" applyAlignment="0" applyProtection="0"/>
    <xf numFmtId="0" fontId="22" fillId="21" borderId="32" applyNumberFormat="0" applyAlignment="0" applyProtection="0"/>
    <xf numFmtId="0" fontId="33" fillId="8" borderId="32" applyNumberFormat="0" applyAlignment="0" applyProtection="0"/>
    <xf numFmtId="0" fontId="25" fillId="24" borderId="33" applyNumberFormat="0" applyFont="0" applyAlignment="0" applyProtection="0"/>
    <xf numFmtId="0" fontId="33" fillId="8" borderId="32" applyNumberFormat="0" applyAlignment="0" applyProtection="0"/>
    <xf numFmtId="0" fontId="40" fillId="21" borderId="34" applyNumberFormat="0" applyAlignment="0" applyProtection="0"/>
    <xf numFmtId="0" fontId="40" fillId="21" borderId="34" applyNumberFormat="0" applyAlignment="0" applyProtection="0"/>
    <xf numFmtId="0" fontId="25" fillId="24" borderId="33" applyNumberFormat="0" applyFont="0" applyAlignment="0" applyProtection="0"/>
    <xf numFmtId="0" fontId="33" fillId="8" borderId="32" applyNumberFormat="0" applyAlignment="0" applyProtection="0"/>
    <xf numFmtId="0" fontId="22" fillId="21" borderId="32" applyNumberFormat="0" applyAlignment="0" applyProtection="0"/>
    <xf numFmtId="0" fontId="33" fillId="8" borderId="32" applyNumberFormat="0" applyAlignment="0" applyProtection="0"/>
    <xf numFmtId="0" fontId="22" fillId="21" borderId="32" applyNumberFormat="0" applyAlignment="0" applyProtection="0"/>
    <xf numFmtId="0" fontId="42" fillId="0" borderId="35" applyNumberFormat="0" applyFill="0" applyAlignment="0" applyProtection="0"/>
    <xf numFmtId="0" fontId="40" fillId="21" borderId="34" applyNumberFormat="0" applyAlignment="0" applyProtection="0"/>
    <xf numFmtId="0" fontId="22" fillId="21" borderId="32" applyNumberForma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40" fillId="21" borderId="34" applyNumberFormat="0" applyAlignment="0" applyProtection="0"/>
    <xf numFmtId="0" fontId="33" fillId="8" borderId="32" applyNumberFormat="0" applyAlignment="0" applyProtection="0"/>
    <xf numFmtId="0" fontId="42" fillId="0" borderId="35" applyNumberFormat="0" applyFill="0" applyAlignment="0" applyProtection="0"/>
    <xf numFmtId="0" fontId="42" fillId="0" borderId="35" applyNumberFormat="0" applyFill="0" applyAlignment="0" applyProtection="0"/>
    <xf numFmtId="0" fontId="33" fillId="8" borderId="32" applyNumberFormat="0" applyAlignment="0" applyProtection="0"/>
    <xf numFmtId="0" fontId="25" fillId="24" borderId="33" applyNumberFormat="0" applyFont="0" applyAlignment="0" applyProtection="0"/>
    <xf numFmtId="0" fontId="25" fillId="24" borderId="33" applyNumberFormat="0" applyFont="0" applyAlignment="0" applyProtection="0"/>
    <xf numFmtId="0" fontId="22" fillId="21" borderId="32" applyNumberFormat="0" applyAlignment="0" applyProtection="0"/>
    <xf numFmtId="0" fontId="33" fillId="8" borderId="32" applyNumberFormat="0" applyAlignment="0" applyProtection="0"/>
    <xf numFmtId="0" fontId="22" fillId="21" borderId="32" applyNumberFormat="0" applyAlignment="0" applyProtection="0"/>
    <xf numFmtId="0" fontId="25" fillId="24" borderId="33" applyNumberFormat="0" applyFont="0" applyAlignment="0" applyProtection="0"/>
    <xf numFmtId="0" fontId="42" fillId="0" borderId="35" applyNumberFormat="0" applyFill="0" applyAlignment="0" applyProtection="0"/>
    <xf numFmtId="0" fontId="25" fillId="24" borderId="33" applyNumberFormat="0" applyFont="0" applyAlignment="0" applyProtection="0"/>
    <xf numFmtId="0" fontId="42" fillId="0" borderId="35" applyNumberFormat="0" applyFill="0" applyAlignment="0" applyProtection="0"/>
    <xf numFmtId="0" fontId="33" fillId="8" borderId="32" applyNumberFormat="0" applyAlignment="0" applyProtection="0"/>
    <xf numFmtId="0" fontId="33" fillId="8" borderId="32" applyNumberFormat="0" applyAlignment="0" applyProtection="0"/>
    <xf numFmtId="0" fontId="25" fillId="24" borderId="33" applyNumberFormat="0" applyFont="0" applyAlignment="0" applyProtection="0"/>
    <xf numFmtId="0" fontId="42" fillId="0" borderId="35" applyNumberFormat="0" applyFill="0" applyAlignment="0" applyProtection="0"/>
    <xf numFmtId="0" fontId="40" fillId="21" borderId="34" applyNumberFormat="0" applyAlignment="0" applyProtection="0"/>
    <xf numFmtId="0" fontId="42" fillId="0" borderId="35" applyNumberFormat="0" applyFill="0" applyAlignment="0" applyProtection="0"/>
    <xf numFmtId="0" fontId="42" fillId="0" borderId="35" applyNumberFormat="0" applyFill="0" applyAlignment="0" applyProtection="0"/>
    <xf numFmtId="0" fontId="22" fillId="21" borderId="32" applyNumberFormat="0" applyAlignment="0" applyProtection="0"/>
    <xf numFmtId="0" fontId="25" fillId="24" borderId="33" applyNumberFormat="0" applyFont="0" applyAlignment="0" applyProtection="0"/>
    <xf numFmtId="0" fontId="33" fillId="8" borderId="32" applyNumberFormat="0" applyAlignment="0" applyProtection="0"/>
    <xf numFmtId="0" fontId="40" fillId="21" borderId="34" applyNumberFormat="0" applyAlignment="0" applyProtection="0"/>
    <xf numFmtId="0" fontId="33" fillId="8" borderId="32" applyNumberFormat="0" applyAlignment="0" applyProtection="0"/>
    <xf numFmtId="0" fontId="22" fillId="21" borderId="32" applyNumberFormat="0" applyAlignment="0" applyProtection="0"/>
    <xf numFmtId="0" fontId="40" fillId="21" borderId="34" applyNumberFormat="0" applyAlignment="0" applyProtection="0"/>
    <xf numFmtId="0" fontId="33" fillId="8" borderId="32" applyNumberFormat="0" applyAlignment="0" applyProtection="0"/>
    <xf numFmtId="0" fontId="25" fillId="24" borderId="33" applyNumberFormat="0" applyFont="0" applyAlignment="0" applyProtection="0"/>
    <xf numFmtId="0" fontId="42" fillId="0" borderId="35" applyNumberFormat="0" applyFill="0" applyAlignment="0" applyProtection="0"/>
    <xf numFmtId="0" fontId="33" fillId="8" borderId="32" applyNumberFormat="0" applyAlignment="0" applyProtection="0"/>
    <xf numFmtId="0" fontId="33" fillId="8" borderId="32" applyNumberFormat="0" applyAlignment="0" applyProtection="0"/>
    <xf numFmtId="0" fontId="22" fillId="21" borderId="32" applyNumberFormat="0" applyAlignment="0" applyProtection="0"/>
    <xf numFmtId="0" fontId="40" fillId="21" borderId="34" applyNumberFormat="0" applyAlignment="0" applyProtection="0"/>
    <xf numFmtId="0" fontId="22" fillId="21" borderId="32" applyNumberFormat="0" applyAlignment="0" applyProtection="0"/>
    <xf numFmtId="0" fontId="25" fillId="24" borderId="33" applyNumberFormat="0" applyFont="0" applyAlignment="0" applyProtection="0"/>
    <xf numFmtId="0" fontId="42" fillId="0" borderId="35" applyNumberFormat="0" applyFill="0" applyAlignment="0" applyProtection="0"/>
    <xf numFmtId="0" fontId="42" fillId="0" borderId="35" applyNumberFormat="0" applyFill="0" applyAlignment="0" applyProtection="0"/>
    <xf numFmtId="0" fontId="40" fillId="21" borderId="34" applyNumberFormat="0" applyAlignment="0" applyProtection="0"/>
    <xf numFmtId="0" fontId="40" fillId="21" borderId="34" applyNumberFormat="0" applyAlignment="0" applyProtection="0"/>
    <xf numFmtId="0" fontId="25" fillId="24" borderId="33" applyNumberFormat="0" applyFont="0" applyAlignment="0" applyProtection="0"/>
    <xf numFmtId="0" fontId="33" fillId="8" borderId="32" applyNumberFormat="0" applyAlignment="0" applyProtection="0"/>
    <xf numFmtId="0" fontId="25" fillId="24" borderId="33" applyNumberFormat="0" applyFont="0" applyAlignment="0" applyProtection="0"/>
    <xf numFmtId="0" fontId="22" fillId="21" borderId="32" applyNumberFormat="0" applyAlignment="0" applyProtection="0"/>
    <xf numFmtId="0" fontId="25" fillId="24" borderId="33" applyNumberFormat="0" applyFont="0" applyAlignment="0" applyProtection="0"/>
    <xf numFmtId="0" fontId="33" fillId="8" borderId="32" applyNumberFormat="0" applyAlignment="0" applyProtection="0"/>
    <xf numFmtId="0" fontId="22" fillId="21" borderId="32" applyNumberFormat="0" applyAlignment="0" applyProtection="0"/>
    <xf numFmtId="0" fontId="42" fillId="0" borderId="35" applyNumberFormat="0" applyFill="0" applyAlignment="0" applyProtection="0"/>
    <xf numFmtId="0" fontId="33" fillId="8" borderId="32" applyNumberFormat="0" applyAlignment="0" applyProtection="0"/>
    <xf numFmtId="0" fontId="40" fillId="21" borderId="34" applyNumberFormat="0" applyAlignment="0" applyProtection="0"/>
    <xf numFmtId="0" fontId="33" fillId="8" borderId="32" applyNumberFormat="0" applyAlignment="0" applyProtection="0"/>
    <xf numFmtId="0" fontId="22" fillId="21" borderId="32" applyNumberFormat="0" applyAlignment="0" applyProtection="0"/>
    <xf numFmtId="0" fontId="40" fillId="21" borderId="34" applyNumberFormat="0" applyAlignment="0" applyProtection="0"/>
    <xf numFmtId="0" fontId="42" fillId="0" borderId="35" applyNumberFormat="0" applyFill="0" applyAlignment="0" applyProtection="0"/>
    <xf numFmtId="0" fontId="42" fillId="0" borderId="35" applyNumberFormat="0" applyFill="0" applyAlignment="0" applyProtection="0"/>
    <xf numFmtId="0" fontId="22" fillId="21" borderId="32" applyNumberFormat="0" applyAlignment="0" applyProtection="0"/>
    <xf numFmtId="0" fontId="33" fillId="8" borderId="32" applyNumberFormat="0" applyAlignment="0" applyProtection="0"/>
    <xf numFmtId="0" fontId="33" fillId="8" borderId="32" applyNumberFormat="0" applyAlignment="0" applyProtection="0"/>
    <xf numFmtId="0" fontId="42" fillId="0" borderId="35" applyNumberFormat="0" applyFill="0" applyAlignment="0" applyProtection="0"/>
    <xf numFmtId="0" fontId="40" fillId="21" borderId="34" applyNumberFormat="0" applyAlignment="0" applyProtection="0"/>
    <xf numFmtId="0" fontId="40" fillId="21" borderId="34" applyNumberFormat="0" applyAlignment="0" applyProtection="0"/>
    <xf numFmtId="0" fontId="33" fillId="8" borderId="32" applyNumberFormat="0" applyAlignment="0" applyProtection="0"/>
    <xf numFmtId="0" fontId="25" fillId="24" borderId="33" applyNumberFormat="0" applyFont="0" applyAlignment="0" applyProtection="0"/>
    <xf numFmtId="0" fontId="22" fillId="21" borderId="32" applyNumberFormat="0" applyAlignment="0" applyProtection="0"/>
    <xf numFmtId="0" fontId="22" fillId="21" borderId="32" applyNumberFormat="0" applyAlignment="0" applyProtection="0"/>
    <xf numFmtId="0" fontId="40" fillId="21" borderId="34" applyNumberFormat="0" applyAlignment="0" applyProtection="0"/>
    <xf numFmtId="0" fontId="33" fillId="8" borderId="32" applyNumberFormat="0" applyAlignment="0" applyProtection="0"/>
    <xf numFmtId="0" fontId="40" fillId="21" borderId="34" applyNumberFormat="0" applyAlignment="0" applyProtection="0"/>
    <xf numFmtId="0" fontId="42" fillId="0" borderId="35" applyNumberFormat="0" applyFill="0" applyAlignment="0" applyProtection="0"/>
    <xf numFmtId="0" fontId="25" fillId="24" borderId="33" applyNumberFormat="0" applyFont="0" applyAlignment="0" applyProtection="0"/>
    <xf numFmtId="0" fontId="40" fillId="21" borderId="34" applyNumberFormat="0" applyAlignment="0" applyProtection="0"/>
    <xf numFmtId="0" fontId="25" fillId="24" borderId="33" applyNumberFormat="0" applyFont="0" applyAlignment="0" applyProtection="0"/>
    <xf numFmtId="0" fontId="22" fillId="21" borderId="32" applyNumberFormat="0" applyAlignment="0" applyProtection="0"/>
    <xf numFmtId="0" fontId="40" fillId="21" borderId="34" applyNumberFormat="0" applyAlignment="0" applyProtection="0"/>
    <xf numFmtId="0" fontId="25" fillId="24" borderId="33" applyNumberFormat="0" applyFont="0" applyAlignment="0" applyProtection="0"/>
    <xf numFmtId="0" fontId="22" fillId="21" borderId="32" applyNumberFormat="0" applyAlignment="0" applyProtection="0"/>
    <xf numFmtId="0" fontId="42" fillId="0" borderId="35" applyNumberFormat="0" applyFill="0" applyAlignment="0" applyProtection="0"/>
    <xf numFmtId="0" fontId="25" fillId="24" borderId="33" applyNumberFormat="0" applyFont="0" applyAlignment="0" applyProtection="0"/>
    <xf numFmtId="0" fontId="22" fillId="21" borderId="32" applyNumberFormat="0" applyAlignment="0" applyProtection="0"/>
    <xf numFmtId="0" fontId="33" fillId="8" borderId="32" applyNumberFormat="0" applyAlignment="0" applyProtection="0"/>
    <xf numFmtId="0" fontId="25" fillId="24" borderId="33" applyNumberFormat="0" applyFont="0" applyAlignment="0" applyProtection="0"/>
    <xf numFmtId="0" fontId="22" fillId="21" borderId="32" applyNumberFormat="0" applyAlignment="0" applyProtection="0"/>
    <xf numFmtId="0" fontId="40" fillId="21" borderId="34" applyNumberFormat="0" applyAlignment="0" applyProtection="0"/>
    <xf numFmtId="0" fontId="22" fillId="21" borderId="32" applyNumberFormat="0" applyAlignment="0" applyProtection="0"/>
    <xf numFmtId="0" fontId="33" fillId="8" borderId="32" applyNumberForma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42" fillId="0" borderId="35" applyNumberFormat="0" applyFill="0" applyAlignment="0" applyProtection="0"/>
    <xf numFmtId="0" fontId="22" fillId="21" borderId="32" applyNumberFormat="0" applyAlignment="0" applyProtection="0"/>
    <xf numFmtId="0" fontId="22" fillId="21" borderId="32" applyNumberFormat="0" applyAlignment="0" applyProtection="0"/>
    <xf numFmtId="0" fontId="33" fillId="8" borderId="32" applyNumberFormat="0" applyAlignment="0" applyProtection="0"/>
    <xf numFmtId="0" fontId="22" fillId="21" borderId="32" applyNumberForma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33" fillId="8" borderId="32" applyNumberFormat="0" applyAlignment="0" applyProtection="0"/>
    <xf numFmtId="0" fontId="22" fillId="21" borderId="32" applyNumberFormat="0" applyAlignment="0" applyProtection="0"/>
    <xf numFmtId="0" fontId="22" fillId="21" borderId="32" applyNumberFormat="0" applyAlignment="0" applyProtection="0"/>
    <xf numFmtId="0" fontId="33" fillId="8" borderId="32" applyNumberFormat="0" applyAlignment="0" applyProtection="0"/>
    <xf numFmtId="0" fontId="22" fillId="21" borderId="32" applyNumberForma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22" fillId="21" borderId="32" applyNumberFormat="0" applyAlignment="0" applyProtection="0"/>
    <xf numFmtId="0" fontId="33" fillId="8" borderId="32" applyNumberForma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22" fillId="21" borderId="32" applyNumberFormat="0" applyAlignment="0" applyProtection="0"/>
    <xf numFmtId="0" fontId="25" fillId="24" borderId="33" applyNumberFormat="0" applyFont="0" applyAlignment="0" applyProtection="0"/>
    <xf numFmtId="0" fontId="22" fillId="21" borderId="32" applyNumberFormat="0" applyAlignment="0" applyProtection="0"/>
    <xf numFmtId="0" fontId="33" fillId="8" borderId="32" applyNumberFormat="0" applyAlignment="0" applyProtection="0"/>
    <xf numFmtId="0" fontId="25" fillId="24" borderId="33" applyNumberFormat="0" applyFon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40" fillId="21" borderId="34" applyNumberFormat="0" applyAlignment="0" applyProtection="0"/>
    <xf numFmtId="0" fontId="33" fillId="8" borderId="32" applyNumberFormat="0" applyAlignment="0" applyProtection="0"/>
    <xf numFmtId="0" fontId="22" fillId="21" borderId="32" applyNumberFormat="0" applyAlignment="0" applyProtection="0"/>
    <xf numFmtId="0" fontId="22" fillId="21" borderId="32" applyNumberFormat="0" applyAlignment="0" applyProtection="0"/>
    <xf numFmtId="0" fontId="33" fillId="8" borderId="32" applyNumberFormat="0" applyAlignment="0" applyProtection="0"/>
    <xf numFmtId="0" fontId="25" fillId="24" borderId="33" applyNumberFormat="0" applyFon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42" fillId="0" borderId="35" applyNumberFormat="0" applyFill="0" applyAlignment="0" applyProtection="0"/>
    <xf numFmtId="0" fontId="22" fillId="21" borderId="32" applyNumberFormat="0" applyAlignment="0" applyProtection="0"/>
    <xf numFmtId="0" fontId="33" fillId="8" borderId="32" applyNumberForma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25" fillId="24" borderId="33" applyNumberFormat="0" applyFont="0" applyAlignment="0" applyProtection="0"/>
    <xf numFmtId="0" fontId="22" fillId="21" borderId="32" applyNumberFormat="0" applyAlignment="0" applyProtection="0"/>
    <xf numFmtId="0" fontId="33" fillId="8" borderId="32" applyNumberFormat="0" applyAlignment="0" applyProtection="0"/>
    <xf numFmtId="0" fontId="33" fillId="8" borderId="32" applyNumberForma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33" fillId="8" borderId="32" applyNumberFormat="0" applyAlignment="0" applyProtection="0"/>
    <xf numFmtId="0" fontId="22" fillId="21" borderId="32" applyNumberFormat="0" applyAlignment="0" applyProtection="0"/>
    <xf numFmtId="0" fontId="22" fillId="21" borderId="32" applyNumberFormat="0" applyAlignment="0" applyProtection="0"/>
    <xf numFmtId="0" fontId="33" fillId="8" borderId="32" applyNumberFormat="0" applyAlignment="0" applyProtection="0"/>
    <xf numFmtId="0" fontId="33" fillId="8" borderId="32" applyNumberForma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25" fillId="24" borderId="33" applyNumberFormat="0" applyFont="0" applyAlignment="0" applyProtection="0"/>
    <xf numFmtId="0" fontId="22" fillId="21" borderId="32" applyNumberFormat="0" applyAlignment="0" applyProtection="0"/>
    <xf numFmtId="0" fontId="33" fillId="8" borderId="32" applyNumberForma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33" fillId="8" borderId="32" applyNumberFormat="0" applyAlignment="0" applyProtection="0"/>
    <xf numFmtId="0" fontId="40" fillId="21" borderId="34" applyNumberFormat="0" applyAlignment="0" applyProtection="0"/>
    <xf numFmtId="0" fontId="22" fillId="21" borderId="32" applyNumberFormat="0" applyAlignment="0" applyProtection="0"/>
    <xf numFmtId="0" fontId="33" fillId="8" borderId="32" applyNumberFormat="0" applyAlignment="0" applyProtection="0"/>
    <xf numFmtId="0" fontId="40" fillId="21" borderId="34" applyNumberForma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33" fillId="8" borderId="32" applyNumberFormat="0" applyAlignment="0" applyProtection="0"/>
    <xf numFmtId="0" fontId="22" fillId="21" borderId="32" applyNumberFormat="0" applyAlignment="0" applyProtection="0"/>
    <xf numFmtId="0" fontId="22" fillId="21" borderId="32" applyNumberFormat="0" applyAlignment="0" applyProtection="0"/>
    <xf numFmtId="0" fontId="33" fillId="8" borderId="32" applyNumberFormat="0" applyAlignment="0" applyProtection="0"/>
    <xf numFmtId="0" fontId="40" fillId="21" borderId="34" applyNumberForma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22" fillId="21" borderId="32" applyNumberFormat="0" applyAlignment="0" applyProtection="0"/>
    <xf numFmtId="0" fontId="33" fillId="8" borderId="32" applyNumberForma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40" fillId="21" borderId="34" applyNumberFormat="0" applyAlignment="0" applyProtection="0"/>
    <xf numFmtId="0" fontId="22" fillId="21" borderId="32" applyNumberFormat="0" applyAlignment="0" applyProtection="0"/>
    <xf numFmtId="0" fontId="33" fillId="8" borderId="32" applyNumberForma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22" fillId="21" borderId="32" applyNumberFormat="0" applyAlignment="0" applyProtection="0"/>
    <xf numFmtId="0" fontId="33" fillId="8" borderId="32" applyNumberForma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33" fillId="8" borderId="32" applyNumberFormat="0" applyAlignment="0" applyProtection="0"/>
    <xf numFmtId="0" fontId="22" fillId="21" borderId="32" applyNumberFormat="0" applyAlignment="0" applyProtection="0"/>
    <xf numFmtId="0" fontId="22" fillId="21" borderId="32" applyNumberFormat="0" applyAlignment="0" applyProtection="0"/>
    <xf numFmtId="0" fontId="33" fillId="8" borderId="32" applyNumberForma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22" fillId="21" borderId="32" applyNumberFormat="0" applyAlignment="0" applyProtection="0"/>
    <xf numFmtId="0" fontId="33" fillId="8" borderId="32" applyNumberForma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22" fillId="21" borderId="32" applyNumberFormat="0" applyAlignment="0" applyProtection="0"/>
    <xf numFmtId="0" fontId="33" fillId="8" borderId="32" applyNumberForma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33" fillId="8" borderId="32" applyNumberFormat="0" applyAlignment="0" applyProtection="0"/>
    <xf numFmtId="0" fontId="22" fillId="21" borderId="32" applyNumberFormat="0" applyAlignment="0" applyProtection="0"/>
    <xf numFmtId="0" fontId="22" fillId="21" borderId="32" applyNumberFormat="0" applyAlignment="0" applyProtection="0"/>
    <xf numFmtId="0" fontId="33" fillId="8" borderId="32" applyNumberForma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22" fillId="21" borderId="32" applyNumberFormat="0" applyAlignment="0" applyProtection="0"/>
    <xf numFmtId="0" fontId="33" fillId="8" borderId="32" applyNumberForma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22" fillId="21" borderId="32" applyNumberFormat="0" applyAlignment="0" applyProtection="0"/>
    <xf numFmtId="0" fontId="33" fillId="8" borderId="32" applyNumberForma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33" fillId="8" borderId="32" applyNumberFormat="0" applyAlignment="0" applyProtection="0"/>
    <xf numFmtId="0" fontId="22" fillId="21" borderId="32" applyNumberFormat="0" applyAlignment="0" applyProtection="0"/>
    <xf numFmtId="0" fontId="22" fillId="21" borderId="32" applyNumberFormat="0" applyAlignment="0" applyProtection="0"/>
    <xf numFmtId="0" fontId="33" fillId="8" borderId="32" applyNumberForma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22" fillId="21" borderId="32" applyNumberFormat="0" applyAlignment="0" applyProtection="0"/>
    <xf numFmtId="0" fontId="33" fillId="8" borderId="32" applyNumberForma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22" fillId="21" borderId="32" applyNumberFormat="0" applyAlignment="0" applyProtection="0"/>
    <xf numFmtId="0" fontId="33" fillId="8" borderId="32" applyNumberForma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33" fillId="8" borderId="32" applyNumberFormat="0" applyAlignment="0" applyProtection="0"/>
    <xf numFmtId="0" fontId="22" fillId="21" borderId="32" applyNumberFormat="0" applyAlignment="0" applyProtection="0"/>
    <xf numFmtId="0" fontId="22" fillId="21" borderId="32" applyNumberFormat="0" applyAlignment="0" applyProtection="0"/>
    <xf numFmtId="0" fontId="33" fillId="8" borderId="32" applyNumberForma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22" fillId="21" borderId="32" applyNumberFormat="0" applyAlignment="0" applyProtection="0"/>
    <xf numFmtId="0" fontId="33" fillId="8" borderId="32" applyNumberFormat="0" applyAlignment="0" applyProtection="0"/>
    <xf numFmtId="0" fontId="25" fillId="24" borderId="33" applyNumberFormat="0" applyFont="0" applyAlignment="0" applyProtection="0"/>
    <xf numFmtId="0" fontId="40" fillId="21" borderId="34" applyNumberFormat="0" applyAlignment="0" applyProtection="0"/>
    <xf numFmtId="0" fontId="42" fillId="0" borderId="35" applyNumberFormat="0" applyFill="0" applyAlignment="0" applyProtection="0"/>
    <xf numFmtId="0" fontId="6" fillId="0" borderId="0"/>
    <xf numFmtId="38" fontId="25" fillId="0" borderId="0" applyFont="0" applyFill="0" applyBorder="0" applyAlignment="0" applyProtection="0">
      <alignment vertical="center"/>
    </xf>
    <xf numFmtId="178" fontId="15" fillId="0" borderId="0" applyFont="0" applyFill="0" applyBorder="0" applyAlignment="0" applyProtection="0"/>
    <xf numFmtId="0" fontId="4" fillId="0" borderId="0"/>
    <xf numFmtId="176" fontId="4" fillId="0" borderId="0" applyFont="0" applyFill="0" applyBorder="0" applyAlignment="0" applyProtection="0"/>
    <xf numFmtId="176" fontId="2" fillId="0" borderId="0" applyFont="0" applyFill="0" applyBorder="0" applyAlignment="0" applyProtection="0"/>
    <xf numFmtId="38" fontId="25" fillId="0" borderId="0" applyFont="0" applyFill="0" applyBorder="0" applyAlignment="0" applyProtection="0"/>
  </cellStyleXfs>
  <cellXfs count="149">
    <xf numFmtId="0" fontId="0" fillId="0" borderId="0" xfId="0">
      <alignment vertical="center"/>
    </xf>
    <xf numFmtId="38" fontId="47" fillId="38" borderId="0" xfId="92" applyFont="1" applyFill="1" applyBorder="1">
      <alignment vertical="center"/>
    </xf>
    <xf numFmtId="179" fontId="47" fillId="38" borderId="0" xfId="93" applyFont="1" applyFill="1">
      <alignment vertical="center"/>
    </xf>
    <xf numFmtId="179" fontId="47" fillId="38" borderId="1" xfId="93" applyFont="1" applyFill="1" applyBorder="1">
      <alignment vertical="center"/>
    </xf>
    <xf numFmtId="179" fontId="47" fillId="38" borderId="17" xfId="93" applyFont="1" applyFill="1" applyBorder="1">
      <alignment vertical="center"/>
    </xf>
    <xf numFmtId="179" fontId="47" fillId="38" borderId="18" xfId="93" applyFont="1" applyFill="1" applyBorder="1">
      <alignment vertical="center"/>
    </xf>
    <xf numFmtId="179" fontId="47" fillId="38" borderId="3" xfId="93" applyFont="1" applyFill="1" applyBorder="1">
      <alignment vertical="center"/>
    </xf>
    <xf numFmtId="179" fontId="47" fillId="38" borderId="21" xfId="93" applyFont="1" applyFill="1" applyBorder="1">
      <alignment vertical="center"/>
    </xf>
    <xf numFmtId="179" fontId="47" fillId="38" borderId="20" xfId="93" applyFont="1" applyFill="1" applyBorder="1">
      <alignment vertical="center"/>
    </xf>
    <xf numFmtId="38" fontId="47" fillId="38" borderId="3" xfId="92" applyFont="1" applyFill="1" applyBorder="1" applyAlignment="1">
      <alignment vertical="center"/>
    </xf>
    <xf numFmtId="179" fontId="50" fillId="39" borderId="20" xfId="93" applyFont="1" applyFill="1" applyBorder="1">
      <alignment vertical="center"/>
    </xf>
    <xf numFmtId="179" fontId="48" fillId="38" borderId="21" xfId="93" applyFont="1" applyFill="1" applyBorder="1">
      <alignment vertical="center"/>
    </xf>
    <xf numFmtId="179" fontId="47" fillId="38" borderId="22" xfId="93" applyFont="1" applyFill="1" applyBorder="1">
      <alignment vertical="center"/>
    </xf>
    <xf numFmtId="179" fontId="50" fillId="40" borderId="3" xfId="93" applyFont="1" applyFill="1" applyBorder="1">
      <alignment vertical="center"/>
    </xf>
    <xf numFmtId="179" fontId="47" fillId="38" borderId="15" xfId="93" applyFont="1" applyFill="1" applyBorder="1">
      <alignment vertical="center"/>
    </xf>
    <xf numFmtId="179" fontId="50" fillId="39" borderId="14" xfId="93" applyFont="1" applyFill="1" applyBorder="1">
      <alignment vertical="center"/>
    </xf>
    <xf numFmtId="38" fontId="50" fillId="39" borderId="0" xfId="92" applyFont="1" applyFill="1" applyBorder="1">
      <alignment vertical="center"/>
    </xf>
    <xf numFmtId="38" fontId="47" fillId="0" borderId="20" xfId="3515" applyFont="1" applyFill="1" applyBorder="1" applyAlignment="1">
      <alignment vertical="center" wrapText="1"/>
    </xf>
    <xf numFmtId="38" fontId="47" fillId="0" borderId="3" xfId="92" applyFont="1" applyFill="1" applyBorder="1">
      <alignment vertical="center"/>
    </xf>
    <xf numFmtId="180" fontId="47" fillId="0" borderId="22" xfId="6810" applyNumberFormat="1" applyFont="1" applyFill="1" applyBorder="1" applyAlignment="1">
      <alignment vertical="center"/>
    </xf>
    <xf numFmtId="180" fontId="47" fillId="0" borderId="3" xfId="6810" applyNumberFormat="1" applyFont="1" applyFill="1" applyBorder="1" applyAlignment="1">
      <alignment vertical="center"/>
    </xf>
    <xf numFmtId="179" fontId="50" fillId="40" borderId="14" xfId="93" applyFont="1" applyFill="1" applyBorder="1">
      <alignment vertical="center"/>
    </xf>
    <xf numFmtId="38" fontId="48" fillId="0" borderId="3" xfId="92" applyFont="1" applyFill="1" applyBorder="1">
      <alignment vertical="center"/>
    </xf>
    <xf numFmtId="0" fontId="79" fillId="2" borderId="1" xfId="0" applyFont="1" applyFill="1" applyBorder="1" applyAlignment="1">
      <alignment horizontal="center" vertical="center"/>
    </xf>
    <xf numFmtId="181" fontId="79" fillId="2" borderId="1" xfId="6684" applyNumberFormat="1" applyFont="1" applyFill="1" applyBorder="1" applyAlignment="1">
      <alignment horizontal="center" vertical="center" wrapText="1"/>
    </xf>
    <xf numFmtId="0" fontId="80" fillId="2" borderId="27" xfId="0" applyFont="1" applyFill="1" applyBorder="1" applyAlignment="1">
      <alignment horizontal="center" vertical="center"/>
    </xf>
    <xf numFmtId="38" fontId="18" fillId="0" borderId="37" xfId="0" applyNumberFormat="1" applyFont="1" applyBorder="1" applyAlignment="1" applyProtection="1">
      <alignment horizontal="right" vertical="center"/>
      <protection locked="0"/>
    </xf>
    <xf numFmtId="38" fontId="47" fillId="2" borderId="0" xfId="92" applyFont="1" applyFill="1" applyBorder="1">
      <alignment vertical="center"/>
    </xf>
    <xf numFmtId="179" fontId="47" fillId="2" borderId="0" xfId="93" applyFont="1" applyFill="1">
      <alignment vertical="center"/>
    </xf>
    <xf numFmtId="179" fontId="47" fillId="2" borderId="0" xfId="93" applyFont="1" applyFill="1" applyAlignment="1">
      <alignment horizontal="center" vertical="center"/>
    </xf>
    <xf numFmtId="179" fontId="48" fillId="2" borderId="0" xfId="93" applyFont="1" applyFill="1">
      <alignment vertical="center"/>
    </xf>
    <xf numFmtId="14" fontId="51" fillId="38" borderId="37" xfId="92" applyNumberFormat="1" applyFont="1" applyFill="1" applyBorder="1" applyAlignment="1">
      <alignment horizontal="center" vertical="center" wrapText="1"/>
    </xf>
    <xf numFmtId="38" fontId="47" fillId="2" borderId="37" xfId="451" applyFont="1" applyFill="1" applyBorder="1" applyAlignment="1">
      <alignment vertical="center" wrapText="1"/>
    </xf>
    <xf numFmtId="38" fontId="48" fillId="38" borderId="37" xfId="92" applyFont="1" applyFill="1" applyBorder="1" applyAlignment="1">
      <alignment vertical="center"/>
    </xf>
    <xf numFmtId="38" fontId="50" fillId="39" borderId="37" xfId="92" applyFont="1" applyFill="1" applyBorder="1" applyAlignment="1">
      <alignment vertical="center"/>
    </xf>
    <xf numFmtId="38" fontId="47" fillId="0" borderId="37" xfId="92" applyFont="1" applyFill="1" applyBorder="1" applyAlignment="1">
      <alignment vertical="center"/>
    </xf>
    <xf numFmtId="38" fontId="50" fillId="40" borderId="37" xfId="92" applyFont="1" applyFill="1" applyBorder="1" applyAlignment="1">
      <alignment vertical="center"/>
    </xf>
    <xf numFmtId="180" fontId="47" fillId="2" borderId="37" xfId="6684" applyNumberFormat="1" applyFont="1" applyFill="1" applyBorder="1" applyAlignment="1">
      <alignment vertical="center"/>
    </xf>
    <xf numFmtId="38" fontId="48" fillId="38" borderId="37" xfId="92" applyFont="1" applyFill="1" applyBorder="1">
      <alignment vertical="center"/>
    </xf>
    <xf numFmtId="0" fontId="81" fillId="2" borderId="0" xfId="0" applyFont="1" applyFill="1">
      <alignment vertical="center"/>
    </xf>
    <xf numFmtId="181" fontId="45" fillId="2" borderId="0" xfId="6684" applyNumberFormat="1" applyFont="1" applyFill="1" applyBorder="1" applyAlignment="1">
      <alignment vertical="center"/>
    </xf>
    <xf numFmtId="0" fontId="45" fillId="2" borderId="0" xfId="0" applyFont="1" applyFill="1">
      <alignment vertical="center"/>
    </xf>
    <xf numFmtId="0" fontId="45" fillId="2" borderId="0" xfId="0" applyFont="1" applyFill="1" applyAlignment="1">
      <alignment horizontal="center" vertical="center"/>
    </xf>
    <xf numFmtId="0" fontId="45" fillId="2" borderId="2" xfId="0" applyFont="1" applyFill="1" applyBorder="1" applyAlignment="1">
      <alignment horizontal="center" vertical="center" wrapText="1"/>
    </xf>
    <xf numFmtId="181" fontId="45" fillId="2" borderId="22" xfId="6684" applyNumberFormat="1" applyFont="1" applyFill="1" applyBorder="1" applyAlignment="1">
      <alignment horizontal="right" vertical="center"/>
    </xf>
    <xf numFmtId="0" fontId="45" fillId="2" borderId="2" xfId="0" applyFont="1" applyFill="1" applyBorder="1" applyAlignment="1">
      <alignment horizontal="center" vertical="center"/>
    </xf>
    <xf numFmtId="0" fontId="82" fillId="0" borderId="22" xfId="0" applyFont="1" applyBorder="1" applyAlignment="1">
      <alignment horizontal="center" vertical="center"/>
    </xf>
    <xf numFmtId="0" fontId="79" fillId="2" borderId="0" xfId="0" applyFont="1" applyFill="1">
      <alignment vertical="center"/>
    </xf>
    <xf numFmtId="0" fontId="45" fillId="2" borderId="3" xfId="0" applyFont="1" applyFill="1" applyBorder="1" applyAlignment="1">
      <alignment horizontal="center" vertical="center" wrapText="1"/>
    </xf>
    <xf numFmtId="181" fontId="45" fillId="2" borderId="3" xfId="6684" applyNumberFormat="1" applyFont="1" applyFill="1" applyBorder="1" applyAlignment="1">
      <alignment horizontal="right" vertical="center"/>
    </xf>
    <xf numFmtId="0" fontId="45" fillId="2" borderId="3" xfId="0" applyFont="1" applyFill="1" applyBorder="1" applyAlignment="1">
      <alignment horizontal="center" vertical="center"/>
    </xf>
    <xf numFmtId="0" fontId="82" fillId="0" borderId="3" xfId="0" applyFont="1" applyBorder="1" applyAlignment="1">
      <alignment horizontal="center" vertical="center" wrapText="1"/>
    </xf>
    <xf numFmtId="0" fontId="45" fillId="2" borderId="14" xfId="0" applyFont="1" applyFill="1" applyBorder="1" applyAlignment="1">
      <alignment horizontal="center" vertical="center" wrapText="1"/>
    </xf>
    <xf numFmtId="181" fontId="45" fillId="2" borderId="14" xfId="6684" applyNumberFormat="1" applyFont="1" applyFill="1" applyBorder="1" applyAlignment="1">
      <alignment horizontal="right" vertical="center"/>
    </xf>
    <xf numFmtId="0" fontId="45" fillId="2" borderId="14" xfId="0" applyFont="1" applyFill="1" applyBorder="1" applyAlignment="1">
      <alignment horizontal="center" vertical="center"/>
    </xf>
    <xf numFmtId="0" fontId="82" fillId="0" borderId="14" xfId="0" applyFont="1" applyBorder="1" applyAlignment="1">
      <alignment horizontal="center" vertical="center" wrapText="1"/>
    </xf>
    <xf numFmtId="38" fontId="83" fillId="0" borderId="0" xfId="92" applyFont="1" applyFill="1" applyBorder="1">
      <alignment vertical="center"/>
    </xf>
    <xf numFmtId="38" fontId="47" fillId="0" borderId="37" xfId="451" applyFont="1" applyFill="1" applyBorder="1" applyAlignment="1">
      <alignment vertical="center" wrapText="1"/>
    </xf>
    <xf numFmtId="38" fontId="47" fillId="64" borderId="37" xfId="92" applyFont="1" applyFill="1" applyBorder="1" applyAlignment="1">
      <alignment vertical="center"/>
    </xf>
    <xf numFmtId="38" fontId="47" fillId="64" borderId="37" xfId="92" applyFont="1" applyFill="1" applyBorder="1">
      <alignment vertical="center"/>
    </xf>
    <xf numFmtId="180" fontId="47" fillId="0" borderId="15" xfId="6810" applyNumberFormat="1" applyFont="1" applyFill="1" applyBorder="1" applyAlignment="1">
      <alignment vertical="center"/>
    </xf>
    <xf numFmtId="38" fontId="84" fillId="0" borderId="37" xfId="0" applyNumberFormat="1" applyFont="1" applyBorder="1" applyAlignment="1" applyProtection="1">
      <alignment horizontal="right" vertical="center"/>
      <protection locked="0"/>
    </xf>
    <xf numFmtId="0" fontId="45" fillId="0" borderId="3" xfId="0" applyFont="1" applyBorder="1" applyAlignment="1">
      <alignment horizontal="left" vertical="center" wrapText="1"/>
    </xf>
    <xf numFmtId="38" fontId="47" fillId="0" borderId="20" xfId="92" applyFont="1" applyFill="1" applyBorder="1" applyAlignment="1">
      <alignment vertical="center" wrapText="1"/>
    </xf>
    <xf numFmtId="181" fontId="50" fillId="39" borderId="0" xfId="6684" applyNumberFormat="1" applyFont="1" applyFill="1" applyBorder="1" applyAlignment="1">
      <alignment horizontal="right" vertical="center"/>
    </xf>
    <xf numFmtId="1" fontId="47" fillId="2" borderId="0" xfId="93" applyNumberFormat="1" applyFont="1" applyFill="1">
      <alignment vertical="center"/>
    </xf>
    <xf numFmtId="3" fontId="47" fillId="2" borderId="0" xfId="93" applyNumberFormat="1" applyFont="1" applyFill="1">
      <alignment vertical="center"/>
    </xf>
    <xf numFmtId="16" fontId="0" fillId="0" borderId="0" xfId="0" applyNumberFormat="1" applyAlignment="1">
      <alignment horizontal="center" vertical="center"/>
    </xf>
    <xf numFmtId="0" fontId="0" fillId="0" borderId="0" xfId="0" applyAlignment="1">
      <alignment horizontal="center" vertical="center"/>
    </xf>
    <xf numFmtId="0" fontId="85" fillId="0" borderId="0" xfId="0" applyFont="1" applyAlignment="1">
      <alignment horizontal="center" vertical="center"/>
    </xf>
    <xf numFmtId="0" fontId="5" fillId="64" borderId="0" xfId="0" applyFont="1" applyFill="1" applyAlignment="1">
      <alignment horizontal="center" vertical="center"/>
    </xf>
    <xf numFmtId="0" fontId="87" fillId="0" borderId="0" xfId="0" applyFont="1">
      <alignment vertical="center"/>
    </xf>
    <xf numFmtId="181" fontId="87" fillId="0" borderId="0" xfId="6684" applyNumberFormat="1" applyFont="1" applyAlignment="1">
      <alignment horizontal="right" vertical="center"/>
    </xf>
    <xf numFmtId="181" fontId="87" fillId="0" borderId="0" xfId="6684" applyNumberFormat="1" applyFont="1" applyAlignment="1">
      <alignment vertical="center"/>
    </xf>
    <xf numFmtId="180" fontId="87" fillId="0" borderId="0" xfId="0" applyNumberFormat="1" applyFont="1">
      <alignment vertical="center"/>
    </xf>
    <xf numFmtId="0" fontId="88" fillId="0" borderId="0" xfId="0" applyFont="1">
      <alignment vertical="center"/>
    </xf>
    <xf numFmtId="0" fontId="88" fillId="0" borderId="0" xfId="0" applyFont="1" applyAlignment="1">
      <alignment horizontal="right" vertical="center"/>
    </xf>
    <xf numFmtId="181" fontId="87" fillId="0" borderId="0" xfId="0" applyNumberFormat="1" applyFont="1">
      <alignment vertical="center"/>
    </xf>
    <xf numFmtId="1" fontId="87" fillId="0" borderId="0" xfId="0" applyNumberFormat="1" applyFont="1">
      <alignment vertical="center"/>
    </xf>
    <xf numFmtId="0" fontId="87" fillId="0" borderId="0" xfId="0" applyFont="1" applyAlignment="1">
      <alignment horizontal="right" vertical="center"/>
    </xf>
    <xf numFmtId="0" fontId="87" fillId="0" borderId="37" xfId="0" applyFont="1" applyBorder="1">
      <alignment vertical="center"/>
    </xf>
    <xf numFmtId="182" fontId="87" fillId="0" borderId="37" xfId="6684" applyNumberFormat="1" applyFont="1" applyBorder="1" applyAlignment="1">
      <alignment horizontal="right" vertical="center"/>
    </xf>
    <xf numFmtId="0" fontId="87" fillId="0" borderId="37" xfId="0" applyFont="1" applyBorder="1" applyAlignment="1">
      <alignment horizontal="right" vertical="center"/>
    </xf>
    <xf numFmtId="181" fontId="87" fillId="0" borderId="37" xfId="6684" applyNumberFormat="1" applyFont="1" applyBorder="1" applyAlignment="1">
      <alignment horizontal="right" vertical="center"/>
    </xf>
    <xf numFmtId="0" fontId="87" fillId="0" borderId="0" xfId="0" quotePrefix="1" applyFont="1">
      <alignment vertical="center"/>
    </xf>
    <xf numFmtId="183" fontId="87" fillId="0" borderId="0" xfId="6684" applyNumberFormat="1" applyFont="1" applyAlignment="1">
      <alignment horizontal="right" vertical="center"/>
    </xf>
    <xf numFmtId="180" fontId="89" fillId="39" borderId="0" xfId="0" applyNumberFormat="1" applyFont="1" applyFill="1">
      <alignment vertical="center"/>
    </xf>
    <xf numFmtId="0" fontId="89" fillId="39" borderId="0" xfId="0" applyFont="1" applyFill="1">
      <alignment vertical="center"/>
    </xf>
    <xf numFmtId="0" fontId="0" fillId="39" borderId="0" xfId="0" applyFill="1">
      <alignment vertical="center"/>
    </xf>
    <xf numFmtId="0" fontId="85" fillId="39" borderId="0" xfId="0" applyFont="1" applyFill="1" applyAlignment="1">
      <alignment horizontal="center" vertical="center"/>
    </xf>
    <xf numFmtId="0" fontId="85" fillId="64" borderId="0" xfId="0" applyFont="1" applyFill="1">
      <alignment vertical="center"/>
    </xf>
    <xf numFmtId="0" fontId="85" fillId="64" borderId="38" xfId="0" applyFont="1" applyFill="1" applyBorder="1" applyAlignment="1">
      <alignment horizontal="center" vertical="center"/>
    </xf>
    <xf numFmtId="181" fontId="0" fillId="0" borderId="0" xfId="6684" applyNumberFormat="1" applyFont="1" applyAlignment="1">
      <alignment vertical="center"/>
    </xf>
    <xf numFmtId="0" fontId="0" fillId="64" borderId="0" xfId="0" applyFill="1">
      <alignment vertical="center"/>
    </xf>
    <xf numFmtId="181" fontId="0" fillId="64" borderId="38" xfId="6684" applyNumberFormat="1" applyFont="1" applyFill="1" applyBorder="1" applyAlignment="1">
      <alignment vertical="center"/>
    </xf>
    <xf numFmtId="0" fontId="90" fillId="64" borderId="0" xfId="0" applyFont="1" applyFill="1">
      <alignment vertical="center"/>
    </xf>
    <xf numFmtId="181" fontId="86" fillId="64" borderId="38" xfId="6684" applyNumberFormat="1" applyFont="1" applyFill="1" applyBorder="1" applyAlignment="1">
      <alignment horizontal="center" vertical="center"/>
    </xf>
    <xf numFmtId="0" fontId="85" fillId="65" borderId="0" xfId="0" applyFont="1" applyFill="1">
      <alignment vertical="center"/>
    </xf>
    <xf numFmtId="0" fontId="85" fillId="65" borderId="38" xfId="0" applyFont="1" applyFill="1" applyBorder="1" applyAlignment="1">
      <alignment horizontal="center" vertical="center"/>
    </xf>
    <xf numFmtId="0" fontId="0" fillId="65" borderId="0" xfId="0" applyFill="1">
      <alignment vertical="center"/>
    </xf>
    <xf numFmtId="181" fontId="0" fillId="65" borderId="38" xfId="6684" applyNumberFormat="1" applyFont="1" applyFill="1" applyBorder="1" applyAlignment="1">
      <alignment vertical="center"/>
    </xf>
    <xf numFmtId="0" fontId="90" fillId="65" borderId="0" xfId="0" applyFont="1" applyFill="1">
      <alignment vertical="center"/>
    </xf>
    <xf numFmtId="181" fontId="86" fillId="65" borderId="38" xfId="6684" applyNumberFormat="1" applyFont="1" applyFill="1" applyBorder="1" applyAlignment="1">
      <alignment horizontal="center" vertical="center"/>
    </xf>
    <xf numFmtId="0" fontId="90" fillId="39" borderId="0" xfId="0" applyFont="1" applyFill="1">
      <alignment vertical="center"/>
    </xf>
    <xf numFmtId="181" fontId="91" fillId="39" borderId="0" xfId="6684" applyNumberFormat="1" applyFont="1" applyFill="1" applyBorder="1" applyAlignment="1">
      <alignment horizontal="center" vertical="center"/>
    </xf>
    <xf numFmtId="0" fontId="90" fillId="66" borderId="0" xfId="0" applyFont="1" applyFill="1">
      <alignment vertical="center"/>
    </xf>
    <xf numFmtId="181" fontId="90" fillId="66" borderId="0" xfId="6684" applyNumberFormat="1" applyFont="1" applyFill="1" applyBorder="1" applyAlignment="1">
      <alignment horizontal="center" vertical="center"/>
    </xf>
    <xf numFmtId="0" fontId="90" fillId="0" borderId="0" xfId="0" applyFont="1">
      <alignment vertical="center"/>
    </xf>
    <xf numFmtId="181" fontId="86" fillId="0" borderId="0" xfId="6684" applyNumberFormat="1" applyFont="1" applyFill="1" applyBorder="1" applyAlignment="1">
      <alignment horizontal="center" vertical="center"/>
    </xf>
    <xf numFmtId="16" fontId="92" fillId="0" borderId="0" xfId="0" applyNumberFormat="1" applyFont="1" applyAlignment="1">
      <alignment horizontal="center" vertical="center"/>
    </xf>
    <xf numFmtId="0" fontId="0" fillId="39" borderId="0" xfId="0" applyFill="1" applyAlignment="1">
      <alignment horizontal="center" vertical="center"/>
    </xf>
    <xf numFmtId="0" fontId="93" fillId="0" borderId="0" xfId="8446" applyFont="1" applyAlignment="1">
      <alignment horizontal="center"/>
    </xf>
    <xf numFmtId="180" fontId="93" fillId="0" borderId="0" xfId="8447" applyNumberFormat="1" applyFont="1" applyAlignment="1">
      <alignment horizontal="right"/>
    </xf>
    <xf numFmtId="180" fontId="94" fillId="0" borderId="0" xfId="8447" applyNumberFormat="1" applyFont="1" applyAlignment="1">
      <alignment horizontal="right"/>
    </xf>
    <xf numFmtId="181" fontId="3" fillId="64" borderId="38" xfId="6684" applyNumberFormat="1" applyFont="1" applyFill="1" applyBorder="1" applyAlignment="1">
      <alignment horizontal="center" vertical="center"/>
    </xf>
    <xf numFmtId="181" fontId="3" fillId="65" borderId="38" xfId="6684" applyNumberFormat="1" applyFont="1" applyFill="1" applyBorder="1" applyAlignment="1">
      <alignment horizontal="center" vertical="center"/>
    </xf>
    <xf numFmtId="0" fontId="51" fillId="0" borderId="39" xfId="0" applyFont="1" applyBorder="1" applyAlignment="1">
      <alignment horizontal="center" vertical="center"/>
    </xf>
    <xf numFmtId="180" fontId="51" fillId="0" borderId="39" xfId="6684" applyNumberFormat="1" applyFont="1" applyBorder="1" applyAlignment="1">
      <alignment horizontal="center" vertical="center"/>
    </xf>
    <xf numFmtId="184" fontId="51" fillId="0" borderId="40" xfId="6684" applyNumberFormat="1" applyFont="1" applyBorder="1" applyAlignment="1">
      <alignment horizontal="center" vertical="center"/>
    </xf>
    <xf numFmtId="180" fontId="51" fillId="0" borderId="27" xfId="6684" applyNumberFormat="1" applyFont="1" applyBorder="1" applyAlignment="1">
      <alignment horizontal="center" vertical="center"/>
    </xf>
    <xf numFmtId="184" fontId="51" fillId="0" borderId="41" xfId="6684" applyNumberFormat="1" applyFont="1" applyBorder="1" applyAlignment="1">
      <alignment horizontal="center" vertical="center"/>
    </xf>
    <xf numFmtId="0" fontId="95" fillId="0" borderId="21" xfId="0" applyFont="1" applyBorder="1" applyAlignment="1">
      <alignment horizontal="right"/>
    </xf>
    <xf numFmtId="180" fontId="95" fillId="39" borderId="21" xfId="6684" applyNumberFormat="1" applyFont="1" applyFill="1" applyBorder="1" applyAlignment="1">
      <alignment horizontal="right"/>
    </xf>
    <xf numFmtId="180" fontId="95" fillId="39" borderId="0" xfId="6684" applyNumberFormat="1" applyFont="1" applyFill="1" applyAlignment="1">
      <alignment horizontal="right"/>
    </xf>
    <xf numFmtId="180" fontId="95" fillId="39" borderId="19" xfId="8448" applyNumberFormat="1" applyFont="1" applyFill="1" applyBorder="1" applyProtection="1"/>
    <xf numFmtId="180" fontId="0" fillId="39" borderId="0" xfId="0" applyNumberFormat="1" applyFill="1">
      <alignment vertical="center"/>
    </xf>
    <xf numFmtId="176" fontId="0" fillId="0" borderId="0" xfId="0" applyNumberFormat="1">
      <alignment vertical="center"/>
    </xf>
    <xf numFmtId="176" fontId="0" fillId="39" borderId="0" xfId="0" applyNumberFormat="1" applyFill="1">
      <alignment vertical="center"/>
    </xf>
    <xf numFmtId="180" fontId="0" fillId="0" borderId="0" xfId="0" applyNumberFormat="1">
      <alignment vertical="center"/>
    </xf>
    <xf numFmtId="38" fontId="96" fillId="67" borderId="42" xfId="8449" applyFont="1" applyFill="1" applyBorder="1" applyAlignment="1" applyProtection="1">
      <alignment horizontal="right"/>
      <protection locked="0"/>
    </xf>
    <xf numFmtId="0" fontId="95" fillId="0" borderId="0" xfId="0" applyFont="1" applyAlignment="1">
      <alignment horizontal="right"/>
    </xf>
    <xf numFmtId="0" fontId="0" fillId="0" borderId="0" xfId="0" applyAlignment="1">
      <alignment horizontal="right" vertical="center"/>
    </xf>
    <xf numFmtId="1" fontId="0" fillId="0" borderId="0" xfId="0" applyNumberFormat="1">
      <alignment vertical="center"/>
    </xf>
    <xf numFmtId="181" fontId="0" fillId="0" borderId="0" xfId="6684" applyNumberFormat="1" applyFont="1" applyAlignment="1">
      <alignment horizontal="right" vertical="center"/>
    </xf>
    <xf numFmtId="181" fontId="0" fillId="68" borderId="0" xfId="6684" applyNumberFormat="1" applyFont="1" applyFill="1" applyAlignment="1">
      <alignment vertical="center"/>
    </xf>
    <xf numFmtId="180" fontId="0" fillId="69" borderId="0" xfId="0" applyNumberFormat="1" applyFill="1">
      <alignment vertical="center"/>
    </xf>
    <xf numFmtId="181" fontId="0" fillId="69" borderId="0" xfId="6684" applyNumberFormat="1" applyFont="1" applyFill="1" applyAlignment="1">
      <alignment vertical="center"/>
    </xf>
    <xf numFmtId="0" fontId="1" fillId="2" borderId="0" xfId="0" applyFont="1" applyFill="1">
      <alignment vertical="center"/>
    </xf>
    <xf numFmtId="0" fontId="45" fillId="2" borderId="36" xfId="0" applyFont="1" applyFill="1" applyBorder="1" applyAlignment="1">
      <alignment horizontal="left" vertical="center" wrapText="1"/>
    </xf>
    <xf numFmtId="0" fontId="45" fillId="2" borderId="4" xfId="0" applyFont="1" applyFill="1" applyBorder="1" applyAlignment="1">
      <alignment horizontal="left" vertical="center" wrapText="1"/>
    </xf>
    <xf numFmtId="0" fontId="45" fillId="2" borderId="27" xfId="0" applyFont="1" applyFill="1" applyBorder="1" applyAlignment="1">
      <alignment horizontal="left" vertical="center" wrapText="1"/>
    </xf>
    <xf numFmtId="0" fontId="45" fillId="2" borderId="19" xfId="0" applyFont="1" applyFill="1" applyBorder="1" applyAlignment="1">
      <alignment horizontal="left" vertical="center" wrapText="1"/>
    </xf>
    <xf numFmtId="179" fontId="47" fillId="38" borderId="22" xfId="93" applyFont="1" applyFill="1" applyBorder="1" applyAlignment="1">
      <alignment horizontal="center" vertical="center" wrapText="1"/>
    </xf>
    <xf numFmtId="179" fontId="47" fillId="38" borderId="15" xfId="93" applyFont="1" applyFill="1" applyBorder="1" applyAlignment="1">
      <alignment horizontal="center" vertical="center" wrapText="1"/>
    </xf>
    <xf numFmtId="179" fontId="47" fillId="38" borderId="3" xfId="93" applyFont="1" applyFill="1" applyBorder="1" applyAlignment="1">
      <alignment horizontal="center" vertical="center" wrapText="1"/>
    </xf>
    <xf numFmtId="179" fontId="47" fillId="38" borderId="14" xfId="93" applyFont="1" applyFill="1" applyBorder="1" applyAlignment="1">
      <alignment horizontal="center" vertical="center" wrapText="1"/>
    </xf>
    <xf numFmtId="179" fontId="47" fillId="38" borderId="2" xfId="93" applyFont="1" applyFill="1" applyBorder="1" applyAlignment="1">
      <alignment horizontal="center" vertical="center" wrapText="1"/>
    </xf>
    <xf numFmtId="179" fontId="47" fillId="38" borderId="19" xfId="93" applyFont="1" applyFill="1" applyBorder="1" applyAlignment="1">
      <alignment horizontal="center" vertical="center" wrapText="1"/>
    </xf>
    <xf numFmtId="179" fontId="47" fillId="38" borderId="4" xfId="93" applyFont="1" applyFill="1" applyBorder="1" applyAlignment="1">
      <alignment horizontal="center" vertical="center" wrapText="1"/>
    </xf>
  </cellXfs>
  <cellStyles count="8450">
    <cellStyle name="_○○.KDTVN ○○課_採算明細_2012○○月○○(120921改訂分)" xfId="97" xr:uid="{00000000-0005-0000-0000-000000000000}"/>
    <cellStyle name="_FY2014 MP作成依頼（KDTCN).1207(3)" xfId="98" xr:uid="{00000000-0005-0000-0000-000001000000}"/>
    <cellStyle name="20% - Accent1 10" xfId="99" xr:uid="{00000000-0005-0000-0000-000002000000}"/>
    <cellStyle name="20% - Accent1 10 2" xfId="100" xr:uid="{00000000-0005-0000-0000-000003000000}"/>
    <cellStyle name="20% - Accent1 10 2 2" xfId="616" xr:uid="{00000000-0005-0000-0000-000004000000}"/>
    <cellStyle name="20% - Accent1 10 2 2 2" xfId="1144" xr:uid="{00000000-0005-0000-0000-000005000000}"/>
    <cellStyle name="20% - Accent1 10 2 2 2 2" xfId="2728" xr:uid="{00000000-0005-0000-0000-000006000000}"/>
    <cellStyle name="20% - Accent1 10 2 2 2 2 2" xfId="5897" xr:uid="{00000000-0005-0000-0000-000007000000}"/>
    <cellStyle name="20% - Accent1 10 2 2 2 3" xfId="4313" xr:uid="{00000000-0005-0000-0000-000008000000}"/>
    <cellStyle name="20% - Accent1 10 2 2 3" xfId="1672" xr:uid="{00000000-0005-0000-0000-000009000000}"/>
    <cellStyle name="20% - Accent1 10 2 2 3 2" xfId="3256" xr:uid="{00000000-0005-0000-0000-00000A000000}"/>
    <cellStyle name="20% - Accent1 10 2 2 3 2 2" xfId="6425" xr:uid="{00000000-0005-0000-0000-00000B000000}"/>
    <cellStyle name="20% - Accent1 10 2 2 3 3" xfId="4841" xr:uid="{00000000-0005-0000-0000-00000C000000}"/>
    <cellStyle name="20% - Accent1 10 2 2 4" xfId="2200" xr:uid="{00000000-0005-0000-0000-00000D000000}"/>
    <cellStyle name="20% - Accent1 10 2 2 4 2" xfId="5369" xr:uid="{00000000-0005-0000-0000-00000E000000}"/>
    <cellStyle name="20% - Accent1 10 2 2 5" xfId="3785" xr:uid="{00000000-0005-0000-0000-00000F000000}"/>
    <cellStyle name="20% - Accent1 10 2 3" xfId="880" xr:uid="{00000000-0005-0000-0000-000010000000}"/>
    <cellStyle name="20% - Accent1 10 2 3 2" xfId="2464" xr:uid="{00000000-0005-0000-0000-000011000000}"/>
    <cellStyle name="20% - Accent1 10 2 3 2 2" xfId="5633" xr:uid="{00000000-0005-0000-0000-000012000000}"/>
    <cellStyle name="20% - Accent1 10 2 3 3" xfId="4049" xr:uid="{00000000-0005-0000-0000-000013000000}"/>
    <cellStyle name="20% - Accent1 10 2 4" xfId="1408" xr:uid="{00000000-0005-0000-0000-000014000000}"/>
    <cellStyle name="20% - Accent1 10 2 4 2" xfId="2992" xr:uid="{00000000-0005-0000-0000-000015000000}"/>
    <cellStyle name="20% - Accent1 10 2 4 2 2" xfId="6161" xr:uid="{00000000-0005-0000-0000-000016000000}"/>
    <cellStyle name="20% - Accent1 10 2 4 3" xfId="4577" xr:uid="{00000000-0005-0000-0000-000017000000}"/>
    <cellStyle name="20% - Accent1 10 2 5" xfId="1936" xr:uid="{00000000-0005-0000-0000-000018000000}"/>
    <cellStyle name="20% - Accent1 10 2 5 2" xfId="5105" xr:uid="{00000000-0005-0000-0000-000019000000}"/>
    <cellStyle name="20% - Accent1 10 2 6" xfId="3521" xr:uid="{00000000-0005-0000-0000-00001A000000}"/>
    <cellStyle name="20% - Accent1 10 3" xfId="615" xr:uid="{00000000-0005-0000-0000-00001B000000}"/>
    <cellStyle name="20% - Accent1 10 3 2" xfId="1143" xr:uid="{00000000-0005-0000-0000-00001C000000}"/>
    <cellStyle name="20% - Accent1 10 3 2 2" xfId="2727" xr:uid="{00000000-0005-0000-0000-00001D000000}"/>
    <cellStyle name="20% - Accent1 10 3 2 2 2" xfId="5896" xr:uid="{00000000-0005-0000-0000-00001E000000}"/>
    <cellStyle name="20% - Accent1 10 3 2 3" xfId="4312" xr:uid="{00000000-0005-0000-0000-00001F000000}"/>
    <cellStyle name="20% - Accent1 10 3 3" xfId="1671" xr:uid="{00000000-0005-0000-0000-000020000000}"/>
    <cellStyle name="20% - Accent1 10 3 3 2" xfId="3255" xr:uid="{00000000-0005-0000-0000-000021000000}"/>
    <cellStyle name="20% - Accent1 10 3 3 2 2" xfId="6424" xr:uid="{00000000-0005-0000-0000-000022000000}"/>
    <cellStyle name="20% - Accent1 10 3 3 3" xfId="4840" xr:uid="{00000000-0005-0000-0000-000023000000}"/>
    <cellStyle name="20% - Accent1 10 3 4" xfId="2199" xr:uid="{00000000-0005-0000-0000-000024000000}"/>
    <cellStyle name="20% - Accent1 10 3 4 2" xfId="5368" xr:uid="{00000000-0005-0000-0000-000025000000}"/>
    <cellStyle name="20% - Accent1 10 3 5" xfId="3784" xr:uid="{00000000-0005-0000-0000-000026000000}"/>
    <cellStyle name="20% - Accent1 10 4" xfId="879" xr:uid="{00000000-0005-0000-0000-000027000000}"/>
    <cellStyle name="20% - Accent1 10 4 2" xfId="2463" xr:uid="{00000000-0005-0000-0000-000028000000}"/>
    <cellStyle name="20% - Accent1 10 4 2 2" xfId="5632" xr:uid="{00000000-0005-0000-0000-000029000000}"/>
    <cellStyle name="20% - Accent1 10 4 3" xfId="4048" xr:uid="{00000000-0005-0000-0000-00002A000000}"/>
    <cellStyle name="20% - Accent1 10 5" xfId="1407" xr:uid="{00000000-0005-0000-0000-00002B000000}"/>
    <cellStyle name="20% - Accent1 10 5 2" xfId="2991" xr:uid="{00000000-0005-0000-0000-00002C000000}"/>
    <cellStyle name="20% - Accent1 10 5 2 2" xfId="6160" xr:uid="{00000000-0005-0000-0000-00002D000000}"/>
    <cellStyle name="20% - Accent1 10 5 3" xfId="4576" xr:uid="{00000000-0005-0000-0000-00002E000000}"/>
    <cellStyle name="20% - Accent1 10 6" xfId="1935" xr:uid="{00000000-0005-0000-0000-00002F000000}"/>
    <cellStyle name="20% - Accent1 10 6 2" xfId="5104" xr:uid="{00000000-0005-0000-0000-000030000000}"/>
    <cellStyle name="20% - Accent1 10 7" xfId="3520" xr:uid="{00000000-0005-0000-0000-000031000000}"/>
    <cellStyle name="20% - Accent1 11" xfId="101" xr:uid="{00000000-0005-0000-0000-000032000000}"/>
    <cellStyle name="20% - Accent1 11 2" xfId="617" xr:uid="{00000000-0005-0000-0000-000033000000}"/>
    <cellStyle name="20% - Accent1 11 2 2" xfId="1145" xr:uid="{00000000-0005-0000-0000-000034000000}"/>
    <cellStyle name="20% - Accent1 11 2 2 2" xfId="2729" xr:uid="{00000000-0005-0000-0000-000035000000}"/>
    <cellStyle name="20% - Accent1 11 2 2 2 2" xfId="5898" xr:uid="{00000000-0005-0000-0000-000036000000}"/>
    <cellStyle name="20% - Accent1 11 2 2 3" xfId="4314" xr:uid="{00000000-0005-0000-0000-000037000000}"/>
    <cellStyle name="20% - Accent1 11 2 3" xfId="1673" xr:uid="{00000000-0005-0000-0000-000038000000}"/>
    <cellStyle name="20% - Accent1 11 2 3 2" xfId="3257" xr:uid="{00000000-0005-0000-0000-000039000000}"/>
    <cellStyle name="20% - Accent1 11 2 3 2 2" xfId="6426" xr:uid="{00000000-0005-0000-0000-00003A000000}"/>
    <cellStyle name="20% - Accent1 11 2 3 3" xfId="4842" xr:uid="{00000000-0005-0000-0000-00003B000000}"/>
    <cellStyle name="20% - Accent1 11 2 4" xfId="2201" xr:uid="{00000000-0005-0000-0000-00003C000000}"/>
    <cellStyle name="20% - Accent1 11 2 4 2" xfId="5370" xr:uid="{00000000-0005-0000-0000-00003D000000}"/>
    <cellStyle name="20% - Accent1 11 2 5" xfId="3786" xr:uid="{00000000-0005-0000-0000-00003E000000}"/>
    <cellStyle name="20% - Accent1 11 3" xfId="881" xr:uid="{00000000-0005-0000-0000-00003F000000}"/>
    <cellStyle name="20% - Accent1 11 3 2" xfId="2465" xr:uid="{00000000-0005-0000-0000-000040000000}"/>
    <cellStyle name="20% - Accent1 11 3 2 2" xfId="5634" xr:uid="{00000000-0005-0000-0000-000041000000}"/>
    <cellStyle name="20% - Accent1 11 3 3" xfId="4050" xr:uid="{00000000-0005-0000-0000-000042000000}"/>
    <cellStyle name="20% - Accent1 11 4" xfId="1409" xr:uid="{00000000-0005-0000-0000-000043000000}"/>
    <cellStyle name="20% - Accent1 11 4 2" xfId="2993" xr:uid="{00000000-0005-0000-0000-000044000000}"/>
    <cellStyle name="20% - Accent1 11 4 2 2" xfId="6162" xr:uid="{00000000-0005-0000-0000-000045000000}"/>
    <cellStyle name="20% - Accent1 11 4 3" xfId="4578" xr:uid="{00000000-0005-0000-0000-000046000000}"/>
    <cellStyle name="20% - Accent1 11 5" xfId="1937" xr:uid="{00000000-0005-0000-0000-000047000000}"/>
    <cellStyle name="20% - Accent1 11 5 2" xfId="5106" xr:uid="{00000000-0005-0000-0000-000048000000}"/>
    <cellStyle name="20% - Accent1 11 6" xfId="3522" xr:uid="{00000000-0005-0000-0000-000049000000}"/>
    <cellStyle name="20% - Accent1 12" xfId="102" xr:uid="{00000000-0005-0000-0000-00004A000000}"/>
    <cellStyle name="20% - Accent1 12 2" xfId="618" xr:uid="{00000000-0005-0000-0000-00004B000000}"/>
    <cellStyle name="20% - Accent1 12 2 2" xfId="1146" xr:uid="{00000000-0005-0000-0000-00004C000000}"/>
    <cellStyle name="20% - Accent1 12 2 2 2" xfId="2730" xr:uid="{00000000-0005-0000-0000-00004D000000}"/>
    <cellStyle name="20% - Accent1 12 2 2 2 2" xfId="5899" xr:uid="{00000000-0005-0000-0000-00004E000000}"/>
    <cellStyle name="20% - Accent1 12 2 2 3" xfId="4315" xr:uid="{00000000-0005-0000-0000-00004F000000}"/>
    <cellStyle name="20% - Accent1 12 2 3" xfId="1674" xr:uid="{00000000-0005-0000-0000-000050000000}"/>
    <cellStyle name="20% - Accent1 12 2 3 2" xfId="3258" xr:uid="{00000000-0005-0000-0000-000051000000}"/>
    <cellStyle name="20% - Accent1 12 2 3 2 2" xfId="6427" xr:uid="{00000000-0005-0000-0000-000052000000}"/>
    <cellStyle name="20% - Accent1 12 2 3 3" xfId="4843" xr:uid="{00000000-0005-0000-0000-000053000000}"/>
    <cellStyle name="20% - Accent1 12 2 4" xfId="2202" xr:uid="{00000000-0005-0000-0000-000054000000}"/>
    <cellStyle name="20% - Accent1 12 2 4 2" xfId="5371" xr:uid="{00000000-0005-0000-0000-000055000000}"/>
    <cellStyle name="20% - Accent1 12 2 5" xfId="3787" xr:uid="{00000000-0005-0000-0000-000056000000}"/>
    <cellStyle name="20% - Accent1 12 3" xfId="882" xr:uid="{00000000-0005-0000-0000-000057000000}"/>
    <cellStyle name="20% - Accent1 12 3 2" xfId="2466" xr:uid="{00000000-0005-0000-0000-000058000000}"/>
    <cellStyle name="20% - Accent1 12 3 2 2" xfId="5635" xr:uid="{00000000-0005-0000-0000-000059000000}"/>
    <cellStyle name="20% - Accent1 12 3 3" xfId="4051" xr:uid="{00000000-0005-0000-0000-00005A000000}"/>
    <cellStyle name="20% - Accent1 12 4" xfId="1410" xr:uid="{00000000-0005-0000-0000-00005B000000}"/>
    <cellStyle name="20% - Accent1 12 4 2" xfId="2994" xr:uid="{00000000-0005-0000-0000-00005C000000}"/>
    <cellStyle name="20% - Accent1 12 4 2 2" xfId="6163" xr:uid="{00000000-0005-0000-0000-00005D000000}"/>
    <cellStyle name="20% - Accent1 12 4 3" xfId="4579" xr:uid="{00000000-0005-0000-0000-00005E000000}"/>
    <cellStyle name="20% - Accent1 12 5" xfId="1938" xr:uid="{00000000-0005-0000-0000-00005F000000}"/>
    <cellStyle name="20% - Accent1 12 5 2" xfId="5107" xr:uid="{00000000-0005-0000-0000-000060000000}"/>
    <cellStyle name="20% - Accent1 12 6" xfId="3523" xr:uid="{00000000-0005-0000-0000-000061000000}"/>
    <cellStyle name="20% - Accent1 13" xfId="103" xr:uid="{00000000-0005-0000-0000-000062000000}"/>
    <cellStyle name="20% - Accent1 13 2" xfId="619" xr:uid="{00000000-0005-0000-0000-000063000000}"/>
    <cellStyle name="20% - Accent1 13 2 2" xfId="1147" xr:uid="{00000000-0005-0000-0000-000064000000}"/>
    <cellStyle name="20% - Accent1 13 2 2 2" xfId="2731" xr:uid="{00000000-0005-0000-0000-000065000000}"/>
    <cellStyle name="20% - Accent1 13 2 2 2 2" xfId="5900" xr:uid="{00000000-0005-0000-0000-000066000000}"/>
    <cellStyle name="20% - Accent1 13 2 2 3" xfId="4316" xr:uid="{00000000-0005-0000-0000-000067000000}"/>
    <cellStyle name="20% - Accent1 13 2 3" xfId="1675" xr:uid="{00000000-0005-0000-0000-000068000000}"/>
    <cellStyle name="20% - Accent1 13 2 3 2" xfId="3259" xr:uid="{00000000-0005-0000-0000-000069000000}"/>
    <cellStyle name="20% - Accent1 13 2 3 2 2" xfId="6428" xr:uid="{00000000-0005-0000-0000-00006A000000}"/>
    <cellStyle name="20% - Accent1 13 2 3 3" xfId="4844" xr:uid="{00000000-0005-0000-0000-00006B000000}"/>
    <cellStyle name="20% - Accent1 13 2 4" xfId="2203" xr:uid="{00000000-0005-0000-0000-00006C000000}"/>
    <cellStyle name="20% - Accent1 13 2 4 2" xfId="5372" xr:uid="{00000000-0005-0000-0000-00006D000000}"/>
    <cellStyle name="20% - Accent1 13 2 5" xfId="3788" xr:uid="{00000000-0005-0000-0000-00006E000000}"/>
    <cellStyle name="20% - Accent1 13 3" xfId="883" xr:uid="{00000000-0005-0000-0000-00006F000000}"/>
    <cellStyle name="20% - Accent1 13 3 2" xfId="2467" xr:uid="{00000000-0005-0000-0000-000070000000}"/>
    <cellStyle name="20% - Accent1 13 3 2 2" xfId="5636" xr:uid="{00000000-0005-0000-0000-000071000000}"/>
    <cellStyle name="20% - Accent1 13 3 3" xfId="4052" xr:uid="{00000000-0005-0000-0000-000072000000}"/>
    <cellStyle name="20% - Accent1 13 4" xfId="1411" xr:uid="{00000000-0005-0000-0000-000073000000}"/>
    <cellStyle name="20% - Accent1 13 4 2" xfId="2995" xr:uid="{00000000-0005-0000-0000-000074000000}"/>
    <cellStyle name="20% - Accent1 13 4 2 2" xfId="6164" xr:uid="{00000000-0005-0000-0000-000075000000}"/>
    <cellStyle name="20% - Accent1 13 4 3" xfId="4580" xr:uid="{00000000-0005-0000-0000-000076000000}"/>
    <cellStyle name="20% - Accent1 13 5" xfId="1939" xr:uid="{00000000-0005-0000-0000-000077000000}"/>
    <cellStyle name="20% - Accent1 13 5 2" xfId="5108" xr:uid="{00000000-0005-0000-0000-000078000000}"/>
    <cellStyle name="20% - Accent1 13 6" xfId="3524" xr:uid="{00000000-0005-0000-0000-000079000000}"/>
    <cellStyle name="20% - Accent1 14" xfId="104" xr:uid="{00000000-0005-0000-0000-00007A000000}"/>
    <cellStyle name="20% - Accent1 14 2" xfId="620" xr:uid="{00000000-0005-0000-0000-00007B000000}"/>
    <cellStyle name="20% - Accent1 14 2 2" xfId="1148" xr:uid="{00000000-0005-0000-0000-00007C000000}"/>
    <cellStyle name="20% - Accent1 14 2 2 2" xfId="2732" xr:uid="{00000000-0005-0000-0000-00007D000000}"/>
    <cellStyle name="20% - Accent1 14 2 2 2 2" xfId="5901" xr:uid="{00000000-0005-0000-0000-00007E000000}"/>
    <cellStyle name="20% - Accent1 14 2 2 3" xfId="4317" xr:uid="{00000000-0005-0000-0000-00007F000000}"/>
    <cellStyle name="20% - Accent1 14 2 3" xfId="1676" xr:uid="{00000000-0005-0000-0000-000080000000}"/>
    <cellStyle name="20% - Accent1 14 2 3 2" xfId="3260" xr:uid="{00000000-0005-0000-0000-000081000000}"/>
    <cellStyle name="20% - Accent1 14 2 3 2 2" xfId="6429" xr:uid="{00000000-0005-0000-0000-000082000000}"/>
    <cellStyle name="20% - Accent1 14 2 3 3" xfId="4845" xr:uid="{00000000-0005-0000-0000-000083000000}"/>
    <cellStyle name="20% - Accent1 14 2 4" xfId="2204" xr:uid="{00000000-0005-0000-0000-000084000000}"/>
    <cellStyle name="20% - Accent1 14 2 4 2" xfId="5373" xr:uid="{00000000-0005-0000-0000-000085000000}"/>
    <cellStyle name="20% - Accent1 14 2 5" xfId="3789" xr:uid="{00000000-0005-0000-0000-000086000000}"/>
    <cellStyle name="20% - Accent1 14 3" xfId="884" xr:uid="{00000000-0005-0000-0000-000087000000}"/>
    <cellStyle name="20% - Accent1 14 3 2" xfId="2468" xr:uid="{00000000-0005-0000-0000-000088000000}"/>
    <cellStyle name="20% - Accent1 14 3 2 2" xfId="5637" xr:uid="{00000000-0005-0000-0000-000089000000}"/>
    <cellStyle name="20% - Accent1 14 3 3" xfId="4053" xr:uid="{00000000-0005-0000-0000-00008A000000}"/>
    <cellStyle name="20% - Accent1 14 4" xfId="1412" xr:uid="{00000000-0005-0000-0000-00008B000000}"/>
    <cellStyle name="20% - Accent1 14 4 2" xfId="2996" xr:uid="{00000000-0005-0000-0000-00008C000000}"/>
    <cellStyle name="20% - Accent1 14 4 2 2" xfId="6165" xr:uid="{00000000-0005-0000-0000-00008D000000}"/>
    <cellStyle name="20% - Accent1 14 4 3" xfId="4581" xr:uid="{00000000-0005-0000-0000-00008E000000}"/>
    <cellStyle name="20% - Accent1 14 5" xfId="1940" xr:uid="{00000000-0005-0000-0000-00008F000000}"/>
    <cellStyle name="20% - Accent1 14 5 2" xfId="5109" xr:uid="{00000000-0005-0000-0000-000090000000}"/>
    <cellStyle name="20% - Accent1 14 6" xfId="3525" xr:uid="{00000000-0005-0000-0000-000091000000}"/>
    <cellStyle name="20% - Accent1 15" xfId="105" xr:uid="{00000000-0005-0000-0000-000092000000}"/>
    <cellStyle name="20% - Accent1 15 2" xfId="621" xr:uid="{00000000-0005-0000-0000-000093000000}"/>
    <cellStyle name="20% - Accent1 15 2 2" xfId="1149" xr:uid="{00000000-0005-0000-0000-000094000000}"/>
    <cellStyle name="20% - Accent1 15 2 2 2" xfId="2733" xr:uid="{00000000-0005-0000-0000-000095000000}"/>
    <cellStyle name="20% - Accent1 15 2 2 2 2" xfId="5902" xr:uid="{00000000-0005-0000-0000-000096000000}"/>
    <cellStyle name="20% - Accent1 15 2 2 3" xfId="4318" xr:uid="{00000000-0005-0000-0000-000097000000}"/>
    <cellStyle name="20% - Accent1 15 2 3" xfId="1677" xr:uid="{00000000-0005-0000-0000-000098000000}"/>
    <cellStyle name="20% - Accent1 15 2 3 2" xfId="3261" xr:uid="{00000000-0005-0000-0000-000099000000}"/>
    <cellStyle name="20% - Accent1 15 2 3 2 2" xfId="6430" xr:uid="{00000000-0005-0000-0000-00009A000000}"/>
    <cellStyle name="20% - Accent1 15 2 3 3" xfId="4846" xr:uid="{00000000-0005-0000-0000-00009B000000}"/>
    <cellStyle name="20% - Accent1 15 2 4" xfId="2205" xr:uid="{00000000-0005-0000-0000-00009C000000}"/>
    <cellStyle name="20% - Accent1 15 2 4 2" xfId="5374" xr:uid="{00000000-0005-0000-0000-00009D000000}"/>
    <cellStyle name="20% - Accent1 15 2 5" xfId="3790" xr:uid="{00000000-0005-0000-0000-00009E000000}"/>
    <cellStyle name="20% - Accent1 15 3" xfId="885" xr:uid="{00000000-0005-0000-0000-00009F000000}"/>
    <cellStyle name="20% - Accent1 15 3 2" xfId="2469" xr:uid="{00000000-0005-0000-0000-0000A0000000}"/>
    <cellStyle name="20% - Accent1 15 3 2 2" xfId="5638" xr:uid="{00000000-0005-0000-0000-0000A1000000}"/>
    <cellStyle name="20% - Accent1 15 3 3" xfId="4054" xr:uid="{00000000-0005-0000-0000-0000A2000000}"/>
    <cellStyle name="20% - Accent1 15 4" xfId="1413" xr:uid="{00000000-0005-0000-0000-0000A3000000}"/>
    <cellStyle name="20% - Accent1 15 4 2" xfId="2997" xr:uid="{00000000-0005-0000-0000-0000A4000000}"/>
    <cellStyle name="20% - Accent1 15 4 2 2" xfId="6166" xr:uid="{00000000-0005-0000-0000-0000A5000000}"/>
    <cellStyle name="20% - Accent1 15 4 3" xfId="4582" xr:uid="{00000000-0005-0000-0000-0000A6000000}"/>
    <cellStyle name="20% - Accent1 15 5" xfId="1941" xr:uid="{00000000-0005-0000-0000-0000A7000000}"/>
    <cellStyle name="20% - Accent1 15 5 2" xfId="5110" xr:uid="{00000000-0005-0000-0000-0000A8000000}"/>
    <cellStyle name="20% - Accent1 15 6" xfId="3526" xr:uid="{00000000-0005-0000-0000-0000A9000000}"/>
    <cellStyle name="20% - Accent1 16" xfId="106" xr:uid="{00000000-0005-0000-0000-0000AA000000}"/>
    <cellStyle name="20% - Accent1 16 2" xfId="622" xr:uid="{00000000-0005-0000-0000-0000AB000000}"/>
    <cellStyle name="20% - Accent1 16 2 2" xfId="1150" xr:uid="{00000000-0005-0000-0000-0000AC000000}"/>
    <cellStyle name="20% - Accent1 16 2 2 2" xfId="2734" xr:uid="{00000000-0005-0000-0000-0000AD000000}"/>
    <cellStyle name="20% - Accent1 16 2 2 2 2" xfId="5903" xr:uid="{00000000-0005-0000-0000-0000AE000000}"/>
    <cellStyle name="20% - Accent1 16 2 2 3" xfId="4319" xr:uid="{00000000-0005-0000-0000-0000AF000000}"/>
    <cellStyle name="20% - Accent1 16 2 3" xfId="1678" xr:uid="{00000000-0005-0000-0000-0000B0000000}"/>
    <cellStyle name="20% - Accent1 16 2 3 2" xfId="3262" xr:uid="{00000000-0005-0000-0000-0000B1000000}"/>
    <cellStyle name="20% - Accent1 16 2 3 2 2" xfId="6431" xr:uid="{00000000-0005-0000-0000-0000B2000000}"/>
    <cellStyle name="20% - Accent1 16 2 3 3" xfId="4847" xr:uid="{00000000-0005-0000-0000-0000B3000000}"/>
    <cellStyle name="20% - Accent1 16 2 4" xfId="2206" xr:uid="{00000000-0005-0000-0000-0000B4000000}"/>
    <cellStyle name="20% - Accent1 16 2 4 2" xfId="5375" xr:uid="{00000000-0005-0000-0000-0000B5000000}"/>
    <cellStyle name="20% - Accent1 16 2 5" xfId="3791" xr:uid="{00000000-0005-0000-0000-0000B6000000}"/>
    <cellStyle name="20% - Accent1 16 3" xfId="886" xr:uid="{00000000-0005-0000-0000-0000B7000000}"/>
    <cellStyle name="20% - Accent1 16 3 2" xfId="2470" xr:uid="{00000000-0005-0000-0000-0000B8000000}"/>
    <cellStyle name="20% - Accent1 16 3 2 2" xfId="5639" xr:uid="{00000000-0005-0000-0000-0000B9000000}"/>
    <cellStyle name="20% - Accent1 16 3 3" xfId="4055" xr:uid="{00000000-0005-0000-0000-0000BA000000}"/>
    <cellStyle name="20% - Accent1 16 4" xfId="1414" xr:uid="{00000000-0005-0000-0000-0000BB000000}"/>
    <cellStyle name="20% - Accent1 16 4 2" xfId="2998" xr:uid="{00000000-0005-0000-0000-0000BC000000}"/>
    <cellStyle name="20% - Accent1 16 4 2 2" xfId="6167" xr:uid="{00000000-0005-0000-0000-0000BD000000}"/>
    <cellStyle name="20% - Accent1 16 4 3" xfId="4583" xr:uid="{00000000-0005-0000-0000-0000BE000000}"/>
    <cellStyle name="20% - Accent1 16 5" xfId="1942" xr:uid="{00000000-0005-0000-0000-0000BF000000}"/>
    <cellStyle name="20% - Accent1 16 5 2" xfId="5111" xr:uid="{00000000-0005-0000-0000-0000C0000000}"/>
    <cellStyle name="20% - Accent1 16 6" xfId="3527" xr:uid="{00000000-0005-0000-0000-0000C1000000}"/>
    <cellStyle name="20% - Accent1 2" xfId="1" xr:uid="{00000000-0005-0000-0000-0000C2000000}"/>
    <cellStyle name="20% - Accent1 2 2" xfId="107" xr:uid="{00000000-0005-0000-0000-0000C3000000}"/>
    <cellStyle name="20% - Accent1 3" xfId="108" xr:uid="{00000000-0005-0000-0000-0000C4000000}"/>
    <cellStyle name="20% - Accent1 4" xfId="109" xr:uid="{00000000-0005-0000-0000-0000C5000000}"/>
    <cellStyle name="20% - Accent1 4 2" xfId="110" xr:uid="{00000000-0005-0000-0000-0000C6000000}"/>
    <cellStyle name="20% - Accent1 4 2 2" xfId="624" xr:uid="{00000000-0005-0000-0000-0000C7000000}"/>
    <cellStyle name="20% - Accent1 4 2 2 2" xfId="1152" xr:uid="{00000000-0005-0000-0000-0000C8000000}"/>
    <cellStyle name="20% - Accent1 4 2 2 2 2" xfId="2736" xr:uid="{00000000-0005-0000-0000-0000C9000000}"/>
    <cellStyle name="20% - Accent1 4 2 2 2 2 2" xfId="5905" xr:uid="{00000000-0005-0000-0000-0000CA000000}"/>
    <cellStyle name="20% - Accent1 4 2 2 2 3" xfId="4321" xr:uid="{00000000-0005-0000-0000-0000CB000000}"/>
    <cellStyle name="20% - Accent1 4 2 2 3" xfId="1680" xr:uid="{00000000-0005-0000-0000-0000CC000000}"/>
    <cellStyle name="20% - Accent1 4 2 2 3 2" xfId="3264" xr:uid="{00000000-0005-0000-0000-0000CD000000}"/>
    <cellStyle name="20% - Accent1 4 2 2 3 2 2" xfId="6433" xr:uid="{00000000-0005-0000-0000-0000CE000000}"/>
    <cellStyle name="20% - Accent1 4 2 2 3 3" xfId="4849" xr:uid="{00000000-0005-0000-0000-0000CF000000}"/>
    <cellStyle name="20% - Accent1 4 2 2 4" xfId="2208" xr:uid="{00000000-0005-0000-0000-0000D0000000}"/>
    <cellStyle name="20% - Accent1 4 2 2 4 2" xfId="5377" xr:uid="{00000000-0005-0000-0000-0000D1000000}"/>
    <cellStyle name="20% - Accent1 4 2 2 5" xfId="3793" xr:uid="{00000000-0005-0000-0000-0000D2000000}"/>
    <cellStyle name="20% - Accent1 4 2 3" xfId="888" xr:uid="{00000000-0005-0000-0000-0000D3000000}"/>
    <cellStyle name="20% - Accent1 4 2 3 2" xfId="2472" xr:uid="{00000000-0005-0000-0000-0000D4000000}"/>
    <cellStyle name="20% - Accent1 4 2 3 2 2" xfId="5641" xr:uid="{00000000-0005-0000-0000-0000D5000000}"/>
    <cellStyle name="20% - Accent1 4 2 3 3" xfId="4057" xr:uid="{00000000-0005-0000-0000-0000D6000000}"/>
    <cellStyle name="20% - Accent1 4 2 4" xfId="1416" xr:uid="{00000000-0005-0000-0000-0000D7000000}"/>
    <cellStyle name="20% - Accent1 4 2 4 2" xfId="3000" xr:uid="{00000000-0005-0000-0000-0000D8000000}"/>
    <cellStyle name="20% - Accent1 4 2 4 2 2" xfId="6169" xr:uid="{00000000-0005-0000-0000-0000D9000000}"/>
    <cellStyle name="20% - Accent1 4 2 4 3" xfId="4585" xr:uid="{00000000-0005-0000-0000-0000DA000000}"/>
    <cellStyle name="20% - Accent1 4 2 5" xfId="1944" xr:uid="{00000000-0005-0000-0000-0000DB000000}"/>
    <cellStyle name="20% - Accent1 4 2 5 2" xfId="5113" xr:uid="{00000000-0005-0000-0000-0000DC000000}"/>
    <cellStyle name="20% - Accent1 4 2 6" xfId="3529" xr:uid="{00000000-0005-0000-0000-0000DD000000}"/>
    <cellStyle name="20% - Accent1 4 3" xfId="623" xr:uid="{00000000-0005-0000-0000-0000DE000000}"/>
    <cellStyle name="20% - Accent1 4 3 2" xfId="1151" xr:uid="{00000000-0005-0000-0000-0000DF000000}"/>
    <cellStyle name="20% - Accent1 4 3 2 2" xfId="2735" xr:uid="{00000000-0005-0000-0000-0000E0000000}"/>
    <cellStyle name="20% - Accent1 4 3 2 2 2" xfId="5904" xr:uid="{00000000-0005-0000-0000-0000E1000000}"/>
    <cellStyle name="20% - Accent1 4 3 2 3" xfId="4320" xr:uid="{00000000-0005-0000-0000-0000E2000000}"/>
    <cellStyle name="20% - Accent1 4 3 3" xfId="1679" xr:uid="{00000000-0005-0000-0000-0000E3000000}"/>
    <cellStyle name="20% - Accent1 4 3 3 2" xfId="3263" xr:uid="{00000000-0005-0000-0000-0000E4000000}"/>
    <cellStyle name="20% - Accent1 4 3 3 2 2" xfId="6432" xr:uid="{00000000-0005-0000-0000-0000E5000000}"/>
    <cellStyle name="20% - Accent1 4 3 3 3" xfId="4848" xr:uid="{00000000-0005-0000-0000-0000E6000000}"/>
    <cellStyle name="20% - Accent1 4 3 4" xfId="2207" xr:uid="{00000000-0005-0000-0000-0000E7000000}"/>
    <cellStyle name="20% - Accent1 4 3 4 2" xfId="5376" xr:uid="{00000000-0005-0000-0000-0000E8000000}"/>
    <cellStyle name="20% - Accent1 4 3 5" xfId="3792" xr:uid="{00000000-0005-0000-0000-0000E9000000}"/>
    <cellStyle name="20% - Accent1 4 4" xfId="887" xr:uid="{00000000-0005-0000-0000-0000EA000000}"/>
    <cellStyle name="20% - Accent1 4 4 2" xfId="2471" xr:uid="{00000000-0005-0000-0000-0000EB000000}"/>
    <cellStyle name="20% - Accent1 4 4 2 2" xfId="5640" xr:uid="{00000000-0005-0000-0000-0000EC000000}"/>
    <cellStyle name="20% - Accent1 4 4 3" xfId="4056" xr:uid="{00000000-0005-0000-0000-0000ED000000}"/>
    <cellStyle name="20% - Accent1 4 5" xfId="1415" xr:uid="{00000000-0005-0000-0000-0000EE000000}"/>
    <cellStyle name="20% - Accent1 4 5 2" xfId="2999" xr:uid="{00000000-0005-0000-0000-0000EF000000}"/>
    <cellStyle name="20% - Accent1 4 5 2 2" xfId="6168" xr:uid="{00000000-0005-0000-0000-0000F0000000}"/>
    <cellStyle name="20% - Accent1 4 5 3" xfId="4584" xr:uid="{00000000-0005-0000-0000-0000F1000000}"/>
    <cellStyle name="20% - Accent1 4 6" xfId="1943" xr:uid="{00000000-0005-0000-0000-0000F2000000}"/>
    <cellStyle name="20% - Accent1 4 6 2" xfId="5112" xr:uid="{00000000-0005-0000-0000-0000F3000000}"/>
    <cellStyle name="20% - Accent1 4 7" xfId="3528" xr:uid="{00000000-0005-0000-0000-0000F4000000}"/>
    <cellStyle name="20% - Accent1 5" xfId="111" xr:uid="{00000000-0005-0000-0000-0000F5000000}"/>
    <cellStyle name="20% - Accent1 5 2" xfId="112" xr:uid="{00000000-0005-0000-0000-0000F6000000}"/>
    <cellStyle name="20% - Accent1 5 2 2" xfId="626" xr:uid="{00000000-0005-0000-0000-0000F7000000}"/>
    <cellStyle name="20% - Accent1 5 2 2 2" xfId="1154" xr:uid="{00000000-0005-0000-0000-0000F8000000}"/>
    <cellStyle name="20% - Accent1 5 2 2 2 2" xfId="2738" xr:uid="{00000000-0005-0000-0000-0000F9000000}"/>
    <cellStyle name="20% - Accent1 5 2 2 2 2 2" xfId="5907" xr:uid="{00000000-0005-0000-0000-0000FA000000}"/>
    <cellStyle name="20% - Accent1 5 2 2 2 3" xfId="4323" xr:uid="{00000000-0005-0000-0000-0000FB000000}"/>
    <cellStyle name="20% - Accent1 5 2 2 3" xfId="1682" xr:uid="{00000000-0005-0000-0000-0000FC000000}"/>
    <cellStyle name="20% - Accent1 5 2 2 3 2" xfId="3266" xr:uid="{00000000-0005-0000-0000-0000FD000000}"/>
    <cellStyle name="20% - Accent1 5 2 2 3 2 2" xfId="6435" xr:uid="{00000000-0005-0000-0000-0000FE000000}"/>
    <cellStyle name="20% - Accent1 5 2 2 3 3" xfId="4851" xr:uid="{00000000-0005-0000-0000-0000FF000000}"/>
    <cellStyle name="20% - Accent1 5 2 2 4" xfId="2210" xr:uid="{00000000-0005-0000-0000-000000010000}"/>
    <cellStyle name="20% - Accent1 5 2 2 4 2" xfId="5379" xr:uid="{00000000-0005-0000-0000-000001010000}"/>
    <cellStyle name="20% - Accent1 5 2 2 5" xfId="3795" xr:uid="{00000000-0005-0000-0000-000002010000}"/>
    <cellStyle name="20% - Accent1 5 2 3" xfId="890" xr:uid="{00000000-0005-0000-0000-000003010000}"/>
    <cellStyle name="20% - Accent1 5 2 3 2" xfId="2474" xr:uid="{00000000-0005-0000-0000-000004010000}"/>
    <cellStyle name="20% - Accent1 5 2 3 2 2" xfId="5643" xr:uid="{00000000-0005-0000-0000-000005010000}"/>
    <cellStyle name="20% - Accent1 5 2 3 3" xfId="4059" xr:uid="{00000000-0005-0000-0000-000006010000}"/>
    <cellStyle name="20% - Accent1 5 2 4" xfId="1418" xr:uid="{00000000-0005-0000-0000-000007010000}"/>
    <cellStyle name="20% - Accent1 5 2 4 2" xfId="3002" xr:uid="{00000000-0005-0000-0000-000008010000}"/>
    <cellStyle name="20% - Accent1 5 2 4 2 2" xfId="6171" xr:uid="{00000000-0005-0000-0000-000009010000}"/>
    <cellStyle name="20% - Accent1 5 2 4 3" xfId="4587" xr:uid="{00000000-0005-0000-0000-00000A010000}"/>
    <cellStyle name="20% - Accent1 5 2 5" xfId="1946" xr:uid="{00000000-0005-0000-0000-00000B010000}"/>
    <cellStyle name="20% - Accent1 5 2 5 2" xfId="5115" xr:uid="{00000000-0005-0000-0000-00000C010000}"/>
    <cellStyle name="20% - Accent1 5 2 6" xfId="3531" xr:uid="{00000000-0005-0000-0000-00000D010000}"/>
    <cellStyle name="20% - Accent1 5 3" xfId="625" xr:uid="{00000000-0005-0000-0000-00000E010000}"/>
    <cellStyle name="20% - Accent1 5 3 2" xfId="1153" xr:uid="{00000000-0005-0000-0000-00000F010000}"/>
    <cellStyle name="20% - Accent1 5 3 2 2" xfId="2737" xr:uid="{00000000-0005-0000-0000-000010010000}"/>
    <cellStyle name="20% - Accent1 5 3 2 2 2" xfId="5906" xr:uid="{00000000-0005-0000-0000-000011010000}"/>
    <cellStyle name="20% - Accent1 5 3 2 3" xfId="4322" xr:uid="{00000000-0005-0000-0000-000012010000}"/>
    <cellStyle name="20% - Accent1 5 3 3" xfId="1681" xr:uid="{00000000-0005-0000-0000-000013010000}"/>
    <cellStyle name="20% - Accent1 5 3 3 2" xfId="3265" xr:uid="{00000000-0005-0000-0000-000014010000}"/>
    <cellStyle name="20% - Accent1 5 3 3 2 2" xfId="6434" xr:uid="{00000000-0005-0000-0000-000015010000}"/>
    <cellStyle name="20% - Accent1 5 3 3 3" xfId="4850" xr:uid="{00000000-0005-0000-0000-000016010000}"/>
    <cellStyle name="20% - Accent1 5 3 4" xfId="2209" xr:uid="{00000000-0005-0000-0000-000017010000}"/>
    <cellStyle name="20% - Accent1 5 3 4 2" xfId="5378" xr:uid="{00000000-0005-0000-0000-000018010000}"/>
    <cellStyle name="20% - Accent1 5 3 5" xfId="3794" xr:uid="{00000000-0005-0000-0000-000019010000}"/>
    <cellStyle name="20% - Accent1 5 4" xfId="889" xr:uid="{00000000-0005-0000-0000-00001A010000}"/>
    <cellStyle name="20% - Accent1 5 4 2" xfId="2473" xr:uid="{00000000-0005-0000-0000-00001B010000}"/>
    <cellStyle name="20% - Accent1 5 4 2 2" xfId="5642" xr:uid="{00000000-0005-0000-0000-00001C010000}"/>
    <cellStyle name="20% - Accent1 5 4 3" xfId="4058" xr:uid="{00000000-0005-0000-0000-00001D010000}"/>
    <cellStyle name="20% - Accent1 5 5" xfId="1417" xr:uid="{00000000-0005-0000-0000-00001E010000}"/>
    <cellStyle name="20% - Accent1 5 5 2" xfId="3001" xr:uid="{00000000-0005-0000-0000-00001F010000}"/>
    <cellStyle name="20% - Accent1 5 5 2 2" xfId="6170" xr:uid="{00000000-0005-0000-0000-000020010000}"/>
    <cellStyle name="20% - Accent1 5 5 3" xfId="4586" xr:uid="{00000000-0005-0000-0000-000021010000}"/>
    <cellStyle name="20% - Accent1 5 6" xfId="1945" xr:uid="{00000000-0005-0000-0000-000022010000}"/>
    <cellStyle name="20% - Accent1 5 6 2" xfId="5114" xr:uid="{00000000-0005-0000-0000-000023010000}"/>
    <cellStyle name="20% - Accent1 5 7" xfId="3530" xr:uid="{00000000-0005-0000-0000-000024010000}"/>
    <cellStyle name="20% - Accent1 6" xfId="113" xr:uid="{00000000-0005-0000-0000-000025010000}"/>
    <cellStyle name="20% - Accent1 6 2" xfId="114" xr:uid="{00000000-0005-0000-0000-000026010000}"/>
    <cellStyle name="20% - Accent1 6 2 2" xfId="628" xr:uid="{00000000-0005-0000-0000-000027010000}"/>
    <cellStyle name="20% - Accent1 6 2 2 2" xfId="1156" xr:uid="{00000000-0005-0000-0000-000028010000}"/>
    <cellStyle name="20% - Accent1 6 2 2 2 2" xfId="2740" xr:uid="{00000000-0005-0000-0000-000029010000}"/>
    <cellStyle name="20% - Accent1 6 2 2 2 2 2" xfId="5909" xr:uid="{00000000-0005-0000-0000-00002A010000}"/>
    <cellStyle name="20% - Accent1 6 2 2 2 3" xfId="4325" xr:uid="{00000000-0005-0000-0000-00002B010000}"/>
    <cellStyle name="20% - Accent1 6 2 2 3" xfId="1684" xr:uid="{00000000-0005-0000-0000-00002C010000}"/>
    <cellStyle name="20% - Accent1 6 2 2 3 2" xfId="3268" xr:uid="{00000000-0005-0000-0000-00002D010000}"/>
    <cellStyle name="20% - Accent1 6 2 2 3 2 2" xfId="6437" xr:uid="{00000000-0005-0000-0000-00002E010000}"/>
    <cellStyle name="20% - Accent1 6 2 2 3 3" xfId="4853" xr:uid="{00000000-0005-0000-0000-00002F010000}"/>
    <cellStyle name="20% - Accent1 6 2 2 4" xfId="2212" xr:uid="{00000000-0005-0000-0000-000030010000}"/>
    <cellStyle name="20% - Accent1 6 2 2 4 2" xfId="5381" xr:uid="{00000000-0005-0000-0000-000031010000}"/>
    <cellStyle name="20% - Accent1 6 2 2 5" xfId="3797" xr:uid="{00000000-0005-0000-0000-000032010000}"/>
    <cellStyle name="20% - Accent1 6 2 3" xfId="892" xr:uid="{00000000-0005-0000-0000-000033010000}"/>
    <cellStyle name="20% - Accent1 6 2 3 2" xfId="2476" xr:uid="{00000000-0005-0000-0000-000034010000}"/>
    <cellStyle name="20% - Accent1 6 2 3 2 2" xfId="5645" xr:uid="{00000000-0005-0000-0000-000035010000}"/>
    <cellStyle name="20% - Accent1 6 2 3 3" xfId="4061" xr:uid="{00000000-0005-0000-0000-000036010000}"/>
    <cellStyle name="20% - Accent1 6 2 4" xfId="1420" xr:uid="{00000000-0005-0000-0000-000037010000}"/>
    <cellStyle name="20% - Accent1 6 2 4 2" xfId="3004" xr:uid="{00000000-0005-0000-0000-000038010000}"/>
    <cellStyle name="20% - Accent1 6 2 4 2 2" xfId="6173" xr:uid="{00000000-0005-0000-0000-000039010000}"/>
    <cellStyle name="20% - Accent1 6 2 4 3" xfId="4589" xr:uid="{00000000-0005-0000-0000-00003A010000}"/>
    <cellStyle name="20% - Accent1 6 2 5" xfId="1948" xr:uid="{00000000-0005-0000-0000-00003B010000}"/>
    <cellStyle name="20% - Accent1 6 2 5 2" xfId="5117" xr:uid="{00000000-0005-0000-0000-00003C010000}"/>
    <cellStyle name="20% - Accent1 6 2 6" xfId="3533" xr:uid="{00000000-0005-0000-0000-00003D010000}"/>
    <cellStyle name="20% - Accent1 6 3" xfId="627" xr:uid="{00000000-0005-0000-0000-00003E010000}"/>
    <cellStyle name="20% - Accent1 6 3 2" xfId="1155" xr:uid="{00000000-0005-0000-0000-00003F010000}"/>
    <cellStyle name="20% - Accent1 6 3 2 2" xfId="2739" xr:uid="{00000000-0005-0000-0000-000040010000}"/>
    <cellStyle name="20% - Accent1 6 3 2 2 2" xfId="5908" xr:uid="{00000000-0005-0000-0000-000041010000}"/>
    <cellStyle name="20% - Accent1 6 3 2 3" xfId="4324" xr:uid="{00000000-0005-0000-0000-000042010000}"/>
    <cellStyle name="20% - Accent1 6 3 3" xfId="1683" xr:uid="{00000000-0005-0000-0000-000043010000}"/>
    <cellStyle name="20% - Accent1 6 3 3 2" xfId="3267" xr:uid="{00000000-0005-0000-0000-000044010000}"/>
    <cellStyle name="20% - Accent1 6 3 3 2 2" xfId="6436" xr:uid="{00000000-0005-0000-0000-000045010000}"/>
    <cellStyle name="20% - Accent1 6 3 3 3" xfId="4852" xr:uid="{00000000-0005-0000-0000-000046010000}"/>
    <cellStyle name="20% - Accent1 6 3 4" xfId="2211" xr:uid="{00000000-0005-0000-0000-000047010000}"/>
    <cellStyle name="20% - Accent1 6 3 4 2" xfId="5380" xr:uid="{00000000-0005-0000-0000-000048010000}"/>
    <cellStyle name="20% - Accent1 6 3 5" xfId="3796" xr:uid="{00000000-0005-0000-0000-000049010000}"/>
    <cellStyle name="20% - Accent1 6 4" xfId="891" xr:uid="{00000000-0005-0000-0000-00004A010000}"/>
    <cellStyle name="20% - Accent1 6 4 2" xfId="2475" xr:uid="{00000000-0005-0000-0000-00004B010000}"/>
    <cellStyle name="20% - Accent1 6 4 2 2" xfId="5644" xr:uid="{00000000-0005-0000-0000-00004C010000}"/>
    <cellStyle name="20% - Accent1 6 4 3" xfId="4060" xr:uid="{00000000-0005-0000-0000-00004D010000}"/>
    <cellStyle name="20% - Accent1 6 5" xfId="1419" xr:uid="{00000000-0005-0000-0000-00004E010000}"/>
    <cellStyle name="20% - Accent1 6 5 2" xfId="3003" xr:uid="{00000000-0005-0000-0000-00004F010000}"/>
    <cellStyle name="20% - Accent1 6 5 2 2" xfId="6172" xr:uid="{00000000-0005-0000-0000-000050010000}"/>
    <cellStyle name="20% - Accent1 6 5 3" xfId="4588" xr:uid="{00000000-0005-0000-0000-000051010000}"/>
    <cellStyle name="20% - Accent1 6 6" xfId="1947" xr:uid="{00000000-0005-0000-0000-000052010000}"/>
    <cellStyle name="20% - Accent1 6 6 2" xfId="5116" xr:uid="{00000000-0005-0000-0000-000053010000}"/>
    <cellStyle name="20% - Accent1 6 7" xfId="3532" xr:uid="{00000000-0005-0000-0000-000054010000}"/>
    <cellStyle name="20% - Accent1 7" xfId="115" xr:uid="{00000000-0005-0000-0000-000055010000}"/>
    <cellStyle name="20% - Accent1 7 2" xfId="116" xr:uid="{00000000-0005-0000-0000-000056010000}"/>
    <cellStyle name="20% - Accent1 7 2 2" xfId="630" xr:uid="{00000000-0005-0000-0000-000057010000}"/>
    <cellStyle name="20% - Accent1 7 2 2 2" xfId="1158" xr:uid="{00000000-0005-0000-0000-000058010000}"/>
    <cellStyle name="20% - Accent1 7 2 2 2 2" xfId="2742" xr:uid="{00000000-0005-0000-0000-000059010000}"/>
    <cellStyle name="20% - Accent1 7 2 2 2 2 2" xfId="5911" xr:uid="{00000000-0005-0000-0000-00005A010000}"/>
    <cellStyle name="20% - Accent1 7 2 2 2 3" xfId="4327" xr:uid="{00000000-0005-0000-0000-00005B010000}"/>
    <cellStyle name="20% - Accent1 7 2 2 3" xfId="1686" xr:uid="{00000000-0005-0000-0000-00005C010000}"/>
    <cellStyle name="20% - Accent1 7 2 2 3 2" xfId="3270" xr:uid="{00000000-0005-0000-0000-00005D010000}"/>
    <cellStyle name="20% - Accent1 7 2 2 3 2 2" xfId="6439" xr:uid="{00000000-0005-0000-0000-00005E010000}"/>
    <cellStyle name="20% - Accent1 7 2 2 3 3" xfId="4855" xr:uid="{00000000-0005-0000-0000-00005F010000}"/>
    <cellStyle name="20% - Accent1 7 2 2 4" xfId="2214" xr:uid="{00000000-0005-0000-0000-000060010000}"/>
    <cellStyle name="20% - Accent1 7 2 2 4 2" xfId="5383" xr:uid="{00000000-0005-0000-0000-000061010000}"/>
    <cellStyle name="20% - Accent1 7 2 2 5" xfId="3799" xr:uid="{00000000-0005-0000-0000-000062010000}"/>
    <cellStyle name="20% - Accent1 7 2 3" xfId="894" xr:uid="{00000000-0005-0000-0000-000063010000}"/>
    <cellStyle name="20% - Accent1 7 2 3 2" xfId="2478" xr:uid="{00000000-0005-0000-0000-000064010000}"/>
    <cellStyle name="20% - Accent1 7 2 3 2 2" xfId="5647" xr:uid="{00000000-0005-0000-0000-000065010000}"/>
    <cellStyle name="20% - Accent1 7 2 3 3" xfId="4063" xr:uid="{00000000-0005-0000-0000-000066010000}"/>
    <cellStyle name="20% - Accent1 7 2 4" xfId="1422" xr:uid="{00000000-0005-0000-0000-000067010000}"/>
    <cellStyle name="20% - Accent1 7 2 4 2" xfId="3006" xr:uid="{00000000-0005-0000-0000-000068010000}"/>
    <cellStyle name="20% - Accent1 7 2 4 2 2" xfId="6175" xr:uid="{00000000-0005-0000-0000-000069010000}"/>
    <cellStyle name="20% - Accent1 7 2 4 3" xfId="4591" xr:uid="{00000000-0005-0000-0000-00006A010000}"/>
    <cellStyle name="20% - Accent1 7 2 5" xfId="1950" xr:uid="{00000000-0005-0000-0000-00006B010000}"/>
    <cellStyle name="20% - Accent1 7 2 5 2" xfId="5119" xr:uid="{00000000-0005-0000-0000-00006C010000}"/>
    <cellStyle name="20% - Accent1 7 2 6" xfId="3535" xr:uid="{00000000-0005-0000-0000-00006D010000}"/>
    <cellStyle name="20% - Accent1 7 3" xfId="629" xr:uid="{00000000-0005-0000-0000-00006E010000}"/>
    <cellStyle name="20% - Accent1 7 3 2" xfId="1157" xr:uid="{00000000-0005-0000-0000-00006F010000}"/>
    <cellStyle name="20% - Accent1 7 3 2 2" xfId="2741" xr:uid="{00000000-0005-0000-0000-000070010000}"/>
    <cellStyle name="20% - Accent1 7 3 2 2 2" xfId="5910" xr:uid="{00000000-0005-0000-0000-000071010000}"/>
    <cellStyle name="20% - Accent1 7 3 2 3" xfId="4326" xr:uid="{00000000-0005-0000-0000-000072010000}"/>
    <cellStyle name="20% - Accent1 7 3 3" xfId="1685" xr:uid="{00000000-0005-0000-0000-000073010000}"/>
    <cellStyle name="20% - Accent1 7 3 3 2" xfId="3269" xr:uid="{00000000-0005-0000-0000-000074010000}"/>
    <cellStyle name="20% - Accent1 7 3 3 2 2" xfId="6438" xr:uid="{00000000-0005-0000-0000-000075010000}"/>
    <cellStyle name="20% - Accent1 7 3 3 3" xfId="4854" xr:uid="{00000000-0005-0000-0000-000076010000}"/>
    <cellStyle name="20% - Accent1 7 3 4" xfId="2213" xr:uid="{00000000-0005-0000-0000-000077010000}"/>
    <cellStyle name="20% - Accent1 7 3 4 2" xfId="5382" xr:uid="{00000000-0005-0000-0000-000078010000}"/>
    <cellStyle name="20% - Accent1 7 3 5" xfId="3798" xr:uid="{00000000-0005-0000-0000-000079010000}"/>
    <cellStyle name="20% - Accent1 7 4" xfId="893" xr:uid="{00000000-0005-0000-0000-00007A010000}"/>
    <cellStyle name="20% - Accent1 7 4 2" xfId="2477" xr:uid="{00000000-0005-0000-0000-00007B010000}"/>
    <cellStyle name="20% - Accent1 7 4 2 2" xfId="5646" xr:uid="{00000000-0005-0000-0000-00007C010000}"/>
    <cellStyle name="20% - Accent1 7 4 3" xfId="4062" xr:uid="{00000000-0005-0000-0000-00007D010000}"/>
    <cellStyle name="20% - Accent1 7 5" xfId="1421" xr:uid="{00000000-0005-0000-0000-00007E010000}"/>
    <cellStyle name="20% - Accent1 7 5 2" xfId="3005" xr:uid="{00000000-0005-0000-0000-00007F010000}"/>
    <cellStyle name="20% - Accent1 7 5 2 2" xfId="6174" xr:uid="{00000000-0005-0000-0000-000080010000}"/>
    <cellStyle name="20% - Accent1 7 5 3" xfId="4590" xr:uid="{00000000-0005-0000-0000-000081010000}"/>
    <cellStyle name="20% - Accent1 7 6" xfId="1949" xr:uid="{00000000-0005-0000-0000-000082010000}"/>
    <cellStyle name="20% - Accent1 7 6 2" xfId="5118" xr:uid="{00000000-0005-0000-0000-000083010000}"/>
    <cellStyle name="20% - Accent1 7 7" xfId="3534" xr:uid="{00000000-0005-0000-0000-000084010000}"/>
    <cellStyle name="20% - Accent1 8" xfId="117" xr:uid="{00000000-0005-0000-0000-000085010000}"/>
    <cellStyle name="20% - Accent1 8 2" xfId="118" xr:uid="{00000000-0005-0000-0000-000086010000}"/>
    <cellStyle name="20% - Accent1 8 2 2" xfId="632" xr:uid="{00000000-0005-0000-0000-000087010000}"/>
    <cellStyle name="20% - Accent1 8 2 2 2" xfId="1160" xr:uid="{00000000-0005-0000-0000-000088010000}"/>
    <cellStyle name="20% - Accent1 8 2 2 2 2" xfId="2744" xr:uid="{00000000-0005-0000-0000-000089010000}"/>
    <cellStyle name="20% - Accent1 8 2 2 2 2 2" xfId="5913" xr:uid="{00000000-0005-0000-0000-00008A010000}"/>
    <cellStyle name="20% - Accent1 8 2 2 2 3" xfId="4329" xr:uid="{00000000-0005-0000-0000-00008B010000}"/>
    <cellStyle name="20% - Accent1 8 2 2 3" xfId="1688" xr:uid="{00000000-0005-0000-0000-00008C010000}"/>
    <cellStyle name="20% - Accent1 8 2 2 3 2" xfId="3272" xr:uid="{00000000-0005-0000-0000-00008D010000}"/>
    <cellStyle name="20% - Accent1 8 2 2 3 2 2" xfId="6441" xr:uid="{00000000-0005-0000-0000-00008E010000}"/>
    <cellStyle name="20% - Accent1 8 2 2 3 3" xfId="4857" xr:uid="{00000000-0005-0000-0000-00008F010000}"/>
    <cellStyle name="20% - Accent1 8 2 2 4" xfId="2216" xr:uid="{00000000-0005-0000-0000-000090010000}"/>
    <cellStyle name="20% - Accent1 8 2 2 4 2" xfId="5385" xr:uid="{00000000-0005-0000-0000-000091010000}"/>
    <cellStyle name="20% - Accent1 8 2 2 5" xfId="3801" xr:uid="{00000000-0005-0000-0000-000092010000}"/>
    <cellStyle name="20% - Accent1 8 2 3" xfId="896" xr:uid="{00000000-0005-0000-0000-000093010000}"/>
    <cellStyle name="20% - Accent1 8 2 3 2" xfId="2480" xr:uid="{00000000-0005-0000-0000-000094010000}"/>
    <cellStyle name="20% - Accent1 8 2 3 2 2" xfId="5649" xr:uid="{00000000-0005-0000-0000-000095010000}"/>
    <cellStyle name="20% - Accent1 8 2 3 3" xfId="4065" xr:uid="{00000000-0005-0000-0000-000096010000}"/>
    <cellStyle name="20% - Accent1 8 2 4" xfId="1424" xr:uid="{00000000-0005-0000-0000-000097010000}"/>
    <cellStyle name="20% - Accent1 8 2 4 2" xfId="3008" xr:uid="{00000000-0005-0000-0000-000098010000}"/>
    <cellStyle name="20% - Accent1 8 2 4 2 2" xfId="6177" xr:uid="{00000000-0005-0000-0000-000099010000}"/>
    <cellStyle name="20% - Accent1 8 2 4 3" xfId="4593" xr:uid="{00000000-0005-0000-0000-00009A010000}"/>
    <cellStyle name="20% - Accent1 8 2 5" xfId="1952" xr:uid="{00000000-0005-0000-0000-00009B010000}"/>
    <cellStyle name="20% - Accent1 8 2 5 2" xfId="5121" xr:uid="{00000000-0005-0000-0000-00009C010000}"/>
    <cellStyle name="20% - Accent1 8 2 6" xfId="3537" xr:uid="{00000000-0005-0000-0000-00009D010000}"/>
    <cellStyle name="20% - Accent1 8 3" xfId="631" xr:uid="{00000000-0005-0000-0000-00009E010000}"/>
    <cellStyle name="20% - Accent1 8 3 2" xfId="1159" xr:uid="{00000000-0005-0000-0000-00009F010000}"/>
    <cellStyle name="20% - Accent1 8 3 2 2" xfId="2743" xr:uid="{00000000-0005-0000-0000-0000A0010000}"/>
    <cellStyle name="20% - Accent1 8 3 2 2 2" xfId="5912" xr:uid="{00000000-0005-0000-0000-0000A1010000}"/>
    <cellStyle name="20% - Accent1 8 3 2 3" xfId="4328" xr:uid="{00000000-0005-0000-0000-0000A2010000}"/>
    <cellStyle name="20% - Accent1 8 3 3" xfId="1687" xr:uid="{00000000-0005-0000-0000-0000A3010000}"/>
    <cellStyle name="20% - Accent1 8 3 3 2" xfId="3271" xr:uid="{00000000-0005-0000-0000-0000A4010000}"/>
    <cellStyle name="20% - Accent1 8 3 3 2 2" xfId="6440" xr:uid="{00000000-0005-0000-0000-0000A5010000}"/>
    <cellStyle name="20% - Accent1 8 3 3 3" xfId="4856" xr:uid="{00000000-0005-0000-0000-0000A6010000}"/>
    <cellStyle name="20% - Accent1 8 3 4" xfId="2215" xr:uid="{00000000-0005-0000-0000-0000A7010000}"/>
    <cellStyle name="20% - Accent1 8 3 4 2" xfId="5384" xr:uid="{00000000-0005-0000-0000-0000A8010000}"/>
    <cellStyle name="20% - Accent1 8 3 5" xfId="3800" xr:uid="{00000000-0005-0000-0000-0000A9010000}"/>
    <cellStyle name="20% - Accent1 8 4" xfId="895" xr:uid="{00000000-0005-0000-0000-0000AA010000}"/>
    <cellStyle name="20% - Accent1 8 4 2" xfId="2479" xr:uid="{00000000-0005-0000-0000-0000AB010000}"/>
    <cellStyle name="20% - Accent1 8 4 2 2" xfId="5648" xr:uid="{00000000-0005-0000-0000-0000AC010000}"/>
    <cellStyle name="20% - Accent1 8 4 3" xfId="4064" xr:uid="{00000000-0005-0000-0000-0000AD010000}"/>
    <cellStyle name="20% - Accent1 8 5" xfId="1423" xr:uid="{00000000-0005-0000-0000-0000AE010000}"/>
    <cellStyle name="20% - Accent1 8 5 2" xfId="3007" xr:uid="{00000000-0005-0000-0000-0000AF010000}"/>
    <cellStyle name="20% - Accent1 8 5 2 2" xfId="6176" xr:uid="{00000000-0005-0000-0000-0000B0010000}"/>
    <cellStyle name="20% - Accent1 8 5 3" xfId="4592" xr:uid="{00000000-0005-0000-0000-0000B1010000}"/>
    <cellStyle name="20% - Accent1 8 6" xfId="1951" xr:uid="{00000000-0005-0000-0000-0000B2010000}"/>
    <cellStyle name="20% - Accent1 8 6 2" xfId="5120" xr:uid="{00000000-0005-0000-0000-0000B3010000}"/>
    <cellStyle name="20% - Accent1 8 7" xfId="3536" xr:uid="{00000000-0005-0000-0000-0000B4010000}"/>
    <cellStyle name="20% - Accent1 9" xfId="119" xr:uid="{00000000-0005-0000-0000-0000B5010000}"/>
    <cellStyle name="20% - Accent1 9 2" xfId="120" xr:uid="{00000000-0005-0000-0000-0000B6010000}"/>
    <cellStyle name="20% - Accent1 9 2 2" xfId="634" xr:uid="{00000000-0005-0000-0000-0000B7010000}"/>
    <cellStyle name="20% - Accent1 9 2 2 2" xfId="1162" xr:uid="{00000000-0005-0000-0000-0000B8010000}"/>
    <cellStyle name="20% - Accent1 9 2 2 2 2" xfId="2746" xr:uid="{00000000-0005-0000-0000-0000B9010000}"/>
    <cellStyle name="20% - Accent1 9 2 2 2 2 2" xfId="5915" xr:uid="{00000000-0005-0000-0000-0000BA010000}"/>
    <cellStyle name="20% - Accent1 9 2 2 2 3" xfId="4331" xr:uid="{00000000-0005-0000-0000-0000BB010000}"/>
    <cellStyle name="20% - Accent1 9 2 2 3" xfId="1690" xr:uid="{00000000-0005-0000-0000-0000BC010000}"/>
    <cellStyle name="20% - Accent1 9 2 2 3 2" xfId="3274" xr:uid="{00000000-0005-0000-0000-0000BD010000}"/>
    <cellStyle name="20% - Accent1 9 2 2 3 2 2" xfId="6443" xr:uid="{00000000-0005-0000-0000-0000BE010000}"/>
    <cellStyle name="20% - Accent1 9 2 2 3 3" xfId="4859" xr:uid="{00000000-0005-0000-0000-0000BF010000}"/>
    <cellStyle name="20% - Accent1 9 2 2 4" xfId="2218" xr:uid="{00000000-0005-0000-0000-0000C0010000}"/>
    <cellStyle name="20% - Accent1 9 2 2 4 2" xfId="5387" xr:uid="{00000000-0005-0000-0000-0000C1010000}"/>
    <cellStyle name="20% - Accent1 9 2 2 5" xfId="3803" xr:uid="{00000000-0005-0000-0000-0000C2010000}"/>
    <cellStyle name="20% - Accent1 9 2 3" xfId="898" xr:uid="{00000000-0005-0000-0000-0000C3010000}"/>
    <cellStyle name="20% - Accent1 9 2 3 2" xfId="2482" xr:uid="{00000000-0005-0000-0000-0000C4010000}"/>
    <cellStyle name="20% - Accent1 9 2 3 2 2" xfId="5651" xr:uid="{00000000-0005-0000-0000-0000C5010000}"/>
    <cellStyle name="20% - Accent1 9 2 3 3" xfId="4067" xr:uid="{00000000-0005-0000-0000-0000C6010000}"/>
    <cellStyle name="20% - Accent1 9 2 4" xfId="1426" xr:uid="{00000000-0005-0000-0000-0000C7010000}"/>
    <cellStyle name="20% - Accent1 9 2 4 2" xfId="3010" xr:uid="{00000000-0005-0000-0000-0000C8010000}"/>
    <cellStyle name="20% - Accent1 9 2 4 2 2" xfId="6179" xr:uid="{00000000-0005-0000-0000-0000C9010000}"/>
    <cellStyle name="20% - Accent1 9 2 4 3" xfId="4595" xr:uid="{00000000-0005-0000-0000-0000CA010000}"/>
    <cellStyle name="20% - Accent1 9 2 5" xfId="1954" xr:uid="{00000000-0005-0000-0000-0000CB010000}"/>
    <cellStyle name="20% - Accent1 9 2 5 2" xfId="5123" xr:uid="{00000000-0005-0000-0000-0000CC010000}"/>
    <cellStyle name="20% - Accent1 9 2 6" xfId="3539" xr:uid="{00000000-0005-0000-0000-0000CD010000}"/>
    <cellStyle name="20% - Accent1 9 3" xfId="633" xr:uid="{00000000-0005-0000-0000-0000CE010000}"/>
    <cellStyle name="20% - Accent1 9 3 2" xfId="1161" xr:uid="{00000000-0005-0000-0000-0000CF010000}"/>
    <cellStyle name="20% - Accent1 9 3 2 2" xfId="2745" xr:uid="{00000000-0005-0000-0000-0000D0010000}"/>
    <cellStyle name="20% - Accent1 9 3 2 2 2" xfId="5914" xr:uid="{00000000-0005-0000-0000-0000D1010000}"/>
    <cellStyle name="20% - Accent1 9 3 2 3" xfId="4330" xr:uid="{00000000-0005-0000-0000-0000D2010000}"/>
    <cellStyle name="20% - Accent1 9 3 3" xfId="1689" xr:uid="{00000000-0005-0000-0000-0000D3010000}"/>
    <cellStyle name="20% - Accent1 9 3 3 2" xfId="3273" xr:uid="{00000000-0005-0000-0000-0000D4010000}"/>
    <cellStyle name="20% - Accent1 9 3 3 2 2" xfId="6442" xr:uid="{00000000-0005-0000-0000-0000D5010000}"/>
    <cellStyle name="20% - Accent1 9 3 3 3" xfId="4858" xr:uid="{00000000-0005-0000-0000-0000D6010000}"/>
    <cellStyle name="20% - Accent1 9 3 4" xfId="2217" xr:uid="{00000000-0005-0000-0000-0000D7010000}"/>
    <cellStyle name="20% - Accent1 9 3 4 2" xfId="5386" xr:uid="{00000000-0005-0000-0000-0000D8010000}"/>
    <cellStyle name="20% - Accent1 9 3 5" xfId="3802" xr:uid="{00000000-0005-0000-0000-0000D9010000}"/>
    <cellStyle name="20% - Accent1 9 4" xfId="897" xr:uid="{00000000-0005-0000-0000-0000DA010000}"/>
    <cellStyle name="20% - Accent1 9 4 2" xfId="2481" xr:uid="{00000000-0005-0000-0000-0000DB010000}"/>
    <cellStyle name="20% - Accent1 9 4 2 2" xfId="5650" xr:uid="{00000000-0005-0000-0000-0000DC010000}"/>
    <cellStyle name="20% - Accent1 9 4 3" xfId="4066" xr:uid="{00000000-0005-0000-0000-0000DD010000}"/>
    <cellStyle name="20% - Accent1 9 5" xfId="1425" xr:uid="{00000000-0005-0000-0000-0000DE010000}"/>
    <cellStyle name="20% - Accent1 9 5 2" xfId="3009" xr:uid="{00000000-0005-0000-0000-0000DF010000}"/>
    <cellStyle name="20% - Accent1 9 5 2 2" xfId="6178" xr:uid="{00000000-0005-0000-0000-0000E0010000}"/>
    <cellStyle name="20% - Accent1 9 5 3" xfId="4594" xr:uid="{00000000-0005-0000-0000-0000E1010000}"/>
    <cellStyle name="20% - Accent1 9 6" xfId="1953" xr:uid="{00000000-0005-0000-0000-0000E2010000}"/>
    <cellStyle name="20% - Accent1 9 6 2" xfId="5122" xr:uid="{00000000-0005-0000-0000-0000E3010000}"/>
    <cellStyle name="20% - Accent1 9 7" xfId="3538" xr:uid="{00000000-0005-0000-0000-0000E4010000}"/>
    <cellStyle name="20% - Accent2 10" xfId="121" xr:uid="{00000000-0005-0000-0000-0000E5010000}"/>
    <cellStyle name="20% - Accent2 10 2" xfId="122" xr:uid="{00000000-0005-0000-0000-0000E6010000}"/>
    <cellStyle name="20% - Accent2 10 2 2" xfId="636" xr:uid="{00000000-0005-0000-0000-0000E7010000}"/>
    <cellStyle name="20% - Accent2 10 2 2 2" xfId="1164" xr:uid="{00000000-0005-0000-0000-0000E8010000}"/>
    <cellStyle name="20% - Accent2 10 2 2 2 2" xfId="2748" xr:uid="{00000000-0005-0000-0000-0000E9010000}"/>
    <cellStyle name="20% - Accent2 10 2 2 2 2 2" xfId="5917" xr:uid="{00000000-0005-0000-0000-0000EA010000}"/>
    <cellStyle name="20% - Accent2 10 2 2 2 3" xfId="4333" xr:uid="{00000000-0005-0000-0000-0000EB010000}"/>
    <cellStyle name="20% - Accent2 10 2 2 3" xfId="1692" xr:uid="{00000000-0005-0000-0000-0000EC010000}"/>
    <cellStyle name="20% - Accent2 10 2 2 3 2" xfId="3276" xr:uid="{00000000-0005-0000-0000-0000ED010000}"/>
    <cellStyle name="20% - Accent2 10 2 2 3 2 2" xfId="6445" xr:uid="{00000000-0005-0000-0000-0000EE010000}"/>
    <cellStyle name="20% - Accent2 10 2 2 3 3" xfId="4861" xr:uid="{00000000-0005-0000-0000-0000EF010000}"/>
    <cellStyle name="20% - Accent2 10 2 2 4" xfId="2220" xr:uid="{00000000-0005-0000-0000-0000F0010000}"/>
    <cellStyle name="20% - Accent2 10 2 2 4 2" xfId="5389" xr:uid="{00000000-0005-0000-0000-0000F1010000}"/>
    <cellStyle name="20% - Accent2 10 2 2 5" xfId="3805" xr:uid="{00000000-0005-0000-0000-0000F2010000}"/>
    <cellStyle name="20% - Accent2 10 2 3" xfId="900" xr:uid="{00000000-0005-0000-0000-0000F3010000}"/>
    <cellStyle name="20% - Accent2 10 2 3 2" xfId="2484" xr:uid="{00000000-0005-0000-0000-0000F4010000}"/>
    <cellStyle name="20% - Accent2 10 2 3 2 2" xfId="5653" xr:uid="{00000000-0005-0000-0000-0000F5010000}"/>
    <cellStyle name="20% - Accent2 10 2 3 3" xfId="4069" xr:uid="{00000000-0005-0000-0000-0000F6010000}"/>
    <cellStyle name="20% - Accent2 10 2 4" xfId="1428" xr:uid="{00000000-0005-0000-0000-0000F7010000}"/>
    <cellStyle name="20% - Accent2 10 2 4 2" xfId="3012" xr:uid="{00000000-0005-0000-0000-0000F8010000}"/>
    <cellStyle name="20% - Accent2 10 2 4 2 2" xfId="6181" xr:uid="{00000000-0005-0000-0000-0000F9010000}"/>
    <cellStyle name="20% - Accent2 10 2 4 3" xfId="4597" xr:uid="{00000000-0005-0000-0000-0000FA010000}"/>
    <cellStyle name="20% - Accent2 10 2 5" xfId="1956" xr:uid="{00000000-0005-0000-0000-0000FB010000}"/>
    <cellStyle name="20% - Accent2 10 2 5 2" xfId="5125" xr:uid="{00000000-0005-0000-0000-0000FC010000}"/>
    <cellStyle name="20% - Accent2 10 2 6" xfId="3541" xr:uid="{00000000-0005-0000-0000-0000FD010000}"/>
    <cellStyle name="20% - Accent2 10 3" xfId="635" xr:uid="{00000000-0005-0000-0000-0000FE010000}"/>
    <cellStyle name="20% - Accent2 10 3 2" xfId="1163" xr:uid="{00000000-0005-0000-0000-0000FF010000}"/>
    <cellStyle name="20% - Accent2 10 3 2 2" xfId="2747" xr:uid="{00000000-0005-0000-0000-000000020000}"/>
    <cellStyle name="20% - Accent2 10 3 2 2 2" xfId="5916" xr:uid="{00000000-0005-0000-0000-000001020000}"/>
    <cellStyle name="20% - Accent2 10 3 2 3" xfId="4332" xr:uid="{00000000-0005-0000-0000-000002020000}"/>
    <cellStyle name="20% - Accent2 10 3 3" xfId="1691" xr:uid="{00000000-0005-0000-0000-000003020000}"/>
    <cellStyle name="20% - Accent2 10 3 3 2" xfId="3275" xr:uid="{00000000-0005-0000-0000-000004020000}"/>
    <cellStyle name="20% - Accent2 10 3 3 2 2" xfId="6444" xr:uid="{00000000-0005-0000-0000-000005020000}"/>
    <cellStyle name="20% - Accent2 10 3 3 3" xfId="4860" xr:uid="{00000000-0005-0000-0000-000006020000}"/>
    <cellStyle name="20% - Accent2 10 3 4" xfId="2219" xr:uid="{00000000-0005-0000-0000-000007020000}"/>
    <cellStyle name="20% - Accent2 10 3 4 2" xfId="5388" xr:uid="{00000000-0005-0000-0000-000008020000}"/>
    <cellStyle name="20% - Accent2 10 3 5" xfId="3804" xr:uid="{00000000-0005-0000-0000-000009020000}"/>
    <cellStyle name="20% - Accent2 10 4" xfId="899" xr:uid="{00000000-0005-0000-0000-00000A020000}"/>
    <cellStyle name="20% - Accent2 10 4 2" xfId="2483" xr:uid="{00000000-0005-0000-0000-00000B020000}"/>
    <cellStyle name="20% - Accent2 10 4 2 2" xfId="5652" xr:uid="{00000000-0005-0000-0000-00000C020000}"/>
    <cellStyle name="20% - Accent2 10 4 3" xfId="4068" xr:uid="{00000000-0005-0000-0000-00000D020000}"/>
    <cellStyle name="20% - Accent2 10 5" xfId="1427" xr:uid="{00000000-0005-0000-0000-00000E020000}"/>
    <cellStyle name="20% - Accent2 10 5 2" xfId="3011" xr:uid="{00000000-0005-0000-0000-00000F020000}"/>
    <cellStyle name="20% - Accent2 10 5 2 2" xfId="6180" xr:uid="{00000000-0005-0000-0000-000010020000}"/>
    <cellStyle name="20% - Accent2 10 5 3" xfId="4596" xr:uid="{00000000-0005-0000-0000-000011020000}"/>
    <cellStyle name="20% - Accent2 10 6" xfId="1955" xr:uid="{00000000-0005-0000-0000-000012020000}"/>
    <cellStyle name="20% - Accent2 10 6 2" xfId="5124" xr:uid="{00000000-0005-0000-0000-000013020000}"/>
    <cellStyle name="20% - Accent2 10 7" xfId="3540" xr:uid="{00000000-0005-0000-0000-000014020000}"/>
    <cellStyle name="20% - Accent2 11" xfId="123" xr:uid="{00000000-0005-0000-0000-000015020000}"/>
    <cellStyle name="20% - Accent2 11 2" xfId="637" xr:uid="{00000000-0005-0000-0000-000016020000}"/>
    <cellStyle name="20% - Accent2 11 2 2" xfId="1165" xr:uid="{00000000-0005-0000-0000-000017020000}"/>
    <cellStyle name="20% - Accent2 11 2 2 2" xfId="2749" xr:uid="{00000000-0005-0000-0000-000018020000}"/>
    <cellStyle name="20% - Accent2 11 2 2 2 2" xfId="5918" xr:uid="{00000000-0005-0000-0000-000019020000}"/>
    <cellStyle name="20% - Accent2 11 2 2 3" xfId="4334" xr:uid="{00000000-0005-0000-0000-00001A020000}"/>
    <cellStyle name="20% - Accent2 11 2 3" xfId="1693" xr:uid="{00000000-0005-0000-0000-00001B020000}"/>
    <cellStyle name="20% - Accent2 11 2 3 2" xfId="3277" xr:uid="{00000000-0005-0000-0000-00001C020000}"/>
    <cellStyle name="20% - Accent2 11 2 3 2 2" xfId="6446" xr:uid="{00000000-0005-0000-0000-00001D020000}"/>
    <cellStyle name="20% - Accent2 11 2 3 3" xfId="4862" xr:uid="{00000000-0005-0000-0000-00001E020000}"/>
    <cellStyle name="20% - Accent2 11 2 4" xfId="2221" xr:uid="{00000000-0005-0000-0000-00001F020000}"/>
    <cellStyle name="20% - Accent2 11 2 4 2" xfId="5390" xr:uid="{00000000-0005-0000-0000-000020020000}"/>
    <cellStyle name="20% - Accent2 11 2 5" xfId="3806" xr:uid="{00000000-0005-0000-0000-000021020000}"/>
    <cellStyle name="20% - Accent2 11 3" xfId="901" xr:uid="{00000000-0005-0000-0000-000022020000}"/>
    <cellStyle name="20% - Accent2 11 3 2" xfId="2485" xr:uid="{00000000-0005-0000-0000-000023020000}"/>
    <cellStyle name="20% - Accent2 11 3 2 2" xfId="5654" xr:uid="{00000000-0005-0000-0000-000024020000}"/>
    <cellStyle name="20% - Accent2 11 3 3" xfId="4070" xr:uid="{00000000-0005-0000-0000-000025020000}"/>
    <cellStyle name="20% - Accent2 11 4" xfId="1429" xr:uid="{00000000-0005-0000-0000-000026020000}"/>
    <cellStyle name="20% - Accent2 11 4 2" xfId="3013" xr:uid="{00000000-0005-0000-0000-000027020000}"/>
    <cellStyle name="20% - Accent2 11 4 2 2" xfId="6182" xr:uid="{00000000-0005-0000-0000-000028020000}"/>
    <cellStyle name="20% - Accent2 11 4 3" xfId="4598" xr:uid="{00000000-0005-0000-0000-000029020000}"/>
    <cellStyle name="20% - Accent2 11 5" xfId="1957" xr:uid="{00000000-0005-0000-0000-00002A020000}"/>
    <cellStyle name="20% - Accent2 11 5 2" xfId="5126" xr:uid="{00000000-0005-0000-0000-00002B020000}"/>
    <cellStyle name="20% - Accent2 11 6" xfId="3542" xr:uid="{00000000-0005-0000-0000-00002C020000}"/>
    <cellStyle name="20% - Accent2 12" xfId="124" xr:uid="{00000000-0005-0000-0000-00002D020000}"/>
    <cellStyle name="20% - Accent2 12 2" xfId="638" xr:uid="{00000000-0005-0000-0000-00002E020000}"/>
    <cellStyle name="20% - Accent2 12 2 2" xfId="1166" xr:uid="{00000000-0005-0000-0000-00002F020000}"/>
    <cellStyle name="20% - Accent2 12 2 2 2" xfId="2750" xr:uid="{00000000-0005-0000-0000-000030020000}"/>
    <cellStyle name="20% - Accent2 12 2 2 2 2" xfId="5919" xr:uid="{00000000-0005-0000-0000-000031020000}"/>
    <cellStyle name="20% - Accent2 12 2 2 3" xfId="4335" xr:uid="{00000000-0005-0000-0000-000032020000}"/>
    <cellStyle name="20% - Accent2 12 2 3" xfId="1694" xr:uid="{00000000-0005-0000-0000-000033020000}"/>
    <cellStyle name="20% - Accent2 12 2 3 2" xfId="3278" xr:uid="{00000000-0005-0000-0000-000034020000}"/>
    <cellStyle name="20% - Accent2 12 2 3 2 2" xfId="6447" xr:uid="{00000000-0005-0000-0000-000035020000}"/>
    <cellStyle name="20% - Accent2 12 2 3 3" xfId="4863" xr:uid="{00000000-0005-0000-0000-000036020000}"/>
    <cellStyle name="20% - Accent2 12 2 4" xfId="2222" xr:uid="{00000000-0005-0000-0000-000037020000}"/>
    <cellStyle name="20% - Accent2 12 2 4 2" xfId="5391" xr:uid="{00000000-0005-0000-0000-000038020000}"/>
    <cellStyle name="20% - Accent2 12 2 5" xfId="3807" xr:uid="{00000000-0005-0000-0000-000039020000}"/>
    <cellStyle name="20% - Accent2 12 3" xfId="902" xr:uid="{00000000-0005-0000-0000-00003A020000}"/>
    <cellStyle name="20% - Accent2 12 3 2" xfId="2486" xr:uid="{00000000-0005-0000-0000-00003B020000}"/>
    <cellStyle name="20% - Accent2 12 3 2 2" xfId="5655" xr:uid="{00000000-0005-0000-0000-00003C020000}"/>
    <cellStyle name="20% - Accent2 12 3 3" xfId="4071" xr:uid="{00000000-0005-0000-0000-00003D020000}"/>
    <cellStyle name="20% - Accent2 12 4" xfId="1430" xr:uid="{00000000-0005-0000-0000-00003E020000}"/>
    <cellStyle name="20% - Accent2 12 4 2" xfId="3014" xr:uid="{00000000-0005-0000-0000-00003F020000}"/>
    <cellStyle name="20% - Accent2 12 4 2 2" xfId="6183" xr:uid="{00000000-0005-0000-0000-000040020000}"/>
    <cellStyle name="20% - Accent2 12 4 3" xfId="4599" xr:uid="{00000000-0005-0000-0000-000041020000}"/>
    <cellStyle name="20% - Accent2 12 5" xfId="1958" xr:uid="{00000000-0005-0000-0000-000042020000}"/>
    <cellStyle name="20% - Accent2 12 5 2" xfId="5127" xr:uid="{00000000-0005-0000-0000-000043020000}"/>
    <cellStyle name="20% - Accent2 12 6" xfId="3543" xr:uid="{00000000-0005-0000-0000-000044020000}"/>
    <cellStyle name="20% - Accent2 13" xfId="125" xr:uid="{00000000-0005-0000-0000-000045020000}"/>
    <cellStyle name="20% - Accent2 13 2" xfId="639" xr:uid="{00000000-0005-0000-0000-000046020000}"/>
    <cellStyle name="20% - Accent2 13 2 2" xfId="1167" xr:uid="{00000000-0005-0000-0000-000047020000}"/>
    <cellStyle name="20% - Accent2 13 2 2 2" xfId="2751" xr:uid="{00000000-0005-0000-0000-000048020000}"/>
    <cellStyle name="20% - Accent2 13 2 2 2 2" xfId="5920" xr:uid="{00000000-0005-0000-0000-000049020000}"/>
    <cellStyle name="20% - Accent2 13 2 2 3" xfId="4336" xr:uid="{00000000-0005-0000-0000-00004A020000}"/>
    <cellStyle name="20% - Accent2 13 2 3" xfId="1695" xr:uid="{00000000-0005-0000-0000-00004B020000}"/>
    <cellStyle name="20% - Accent2 13 2 3 2" xfId="3279" xr:uid="{00000000-0005-0000-0000-00004C020000}"/>
    <cellStyle name="20% - Accent2 13 2 3 2 2" xfId="6448" xr:uid="{00000000-0005-0000-0000-00004D020000}"/>
    <cellStyle name="20% - Accent2 13 2 3 3" xfId="4864" xr:uid="{00000000-0005-0000-0000-00004E020000}"/>
    <cellStyle name="20% - Accent2 13 2 4" xfId="2223" xr:uid="{00000000-0005-0000-0000-00004F020000}"/>
    <cellStyle name="20% - Accent2 13 2 4 2" xfId="5392" xr:uid="{00000000-0005-0000-0000-000050020000}"/>
    <cellStyle name="20% - Accent2 13 2 5" xfId="3808" xr:uid="{00000000-0005-0000-0000-000051020000}"/>
    <cellStyle name="20% - Accent2 13 3" xfId="903" xr:uid="{00000000-0005-0000-0000-000052020000}"/>
    <cellStyle name="20% - Accent2 13 3 2" xfId="2487" xr:uid="{00000000-0005-0000-0000-000053020000}"/>
    <cellStyle name="20% - Accent2 13 3 2 2" xfId="5656" xr:uid="{00000000-0005-0000-0000-000054020000}"/>
    <cellStyle name="20% - Accent2 13 3 3" xfId="4072" xr:uid="{00000000-0005-0000-0000-000055020000}"/>
    <cellStyle name="20% - Accent2 13 4" xfId="1431" xr:uid="{00000000-0005-0000-0000-000056020000}"/>
    <cellStyle name="20% - Accent2 13 4 2" xfId="3015" xr:uid="{00000000-0005-0000-0000-000057020000}"/>
    <cellStyle name="20% - Accent2 13 4 2 2" xfId="6184" xr:uid="{00000000-0005-0000-0000-000058020000}"/>
    <cellStyle name="20% - Accent2 13 4 3" xfId="4600" xr:uid="{00000000-0005-0000-0000-000059020000}"/>
    <cellStyle name="20% - Accent2 13 5" xfId="1959" xr:uid="{00000000-0005-0000-0000-00005A020000}"/>
    <cellStyle name="20% - Accent2 13 5 2" xfId="5128" xr:uid="{00000000-0005-0000-0000-00005B020000}"/>
    <cellStyle name="20% - Accent2 13 6" xfId="3544" xr:uid="{00000000-0005-0000-0000-00005C020000}"/>
    <cellStyle name="20% - Accent2 14" xfId="126" xr:uid="{00000000-0005-0000-0000-00005D020000}"/>
    <cellStyle name="20% - Accent2 14 2" xfId="640" xr:uid="{00000000-0005-0000-0000-00005E020000}"/>
    <cellStyle name="20% - Accent2 14 2 2" xfId="1168" xr:uid="{00000000-0005-0000-0000-00005F020000}"/>
    <cellStyle name="20% - Accent2 14 2 2 2" xfId="2752" xr:uid="{00000000-0005-0000-0000-000060020000}"/>
    <cellStyle name="20% - Accent2 14 2 2 2 2" xfId="5921" xr:uid="{00000000-0005-0000-0000-000061020000}"/>
    <cellStyle name="20% - Accent2 14 2 2 3" xfId="4337" xr:uid="{00000000-0005-0000-0000-000062020000}"/>
    <cellStyle name="20% - Accent2 14 2 3" xfId="1696" xr:uid="{00000000-0005-0000-0000-000063020000}"/>
    <cellStyle name="20% - Accent2 14 2 3 2" xfId="3280" xr:uid="{00000000-0005-0000-0000-000064020000}"/>
    <cellStyle name="20% - Accent2 14 2 3 2 2" xfId="6449" xr:uid="{00000000-0005-0000-0000-000065020000}"/>
    <cellStyle name="20% - Accent2 14 2 3 3" xfId="4865" xr:uid="{00000000-0005-0000-0000-000066020000}"/>
    <cellStyle name="20% - Accent2 14 2 4" xfId="2224" xr:uid="{00000000-0005-0000-0000-000067020000}"/>
    <cellStyle name="20% - Accent2 14 2 4 2" xfId="5393" xr:uid="{00000000-0005-0000-0000-000068020000}"/>
    <cellStyle name="20% - Accent2 14 2 5" xfId="3809" xr:uid="{00000000-0005-0000-0000-000069020000}"/>
    <cellStyle name="20% - Accent2 14 3" xfId="904" xr:uid="{00000000-0005-0000-0000-00006A020000}"/>
    <cellStyle name="20% - Accent2 14 3 2" xfId="2488" xr:uid="{00000000-0005-0000-0000-00006B020000}"/>
    <cellStyle name="20% - Accent2 14 3 2 2" xfId="5657" xr:uid="{00000000-0005-0000-0000-00006C020000}"/>
    <cellStyle name="20% - Accent2 14 3 3" xfId="4073" xr:uid="{00000000-0005-0000-0000-00006D020000}"/>
    <cellStyle name="20% - Accent2 14 4" xfId="1432" xr:uid="{00000000-0005-0000-0000-00006E020000}"/>
    <cellStyle name="20% - Accent2 14 4 2" xfId="3016" xr:uid="{00000000-0005-0000-0000-00006F020000}"/>
    <cellStyle name="20% - Accent2 14 4 2 2" xfId="6185" xr:uid="{00000000-0005-0000-0000-000070020000}"/>
    <cellStyle name="20% - Accent2 14 4 3" xfId="4601" xr:uid="{00000000-0005-0000-0000-000071020000}"/>
    <cellStyle name="20% - Accent2 14 5" xfId="1960" xr:uid="{00000000-0005-0000-0000-000072020000}"/>
    <cellStyle name="20% - Accent2 14 5 2" xfId="5129" xr:uid="{00000000-0005-0000-0000-000073020000}"/>
    <cellStyle name="20% - Accent2 14 6" xfId="3545" xr:uid="{00000000-0005-0000-0000-000074020000}"/>
    <cellStyle name="20% - Accent2 15" xfId="127" xr:uid="{00000000-0005-0000-0000-000075020000}"/>
    <cellStyle name="20% - Accent2 15 2" xfId="641" xr:uid="{00000000-0005-0000-0000-000076020000}"/>
    <cellStyle name="20% - Accent2 15 2 2" xfId="1169" xr:uid="{00000000-0005-0000-0000-000077020000}"/>
    <cellStyle name="20% - Accent2 15 2 2 2" xfId="2753" xr:uid="{00000000-0005-0000-0000-000078020000}"/>
    <cellStyle name="20% - Accent2 15 2 2 2 2" xfId="5922" xr:uid="{00000000-0005-0000-0000-000079020000}"/>
    <cellStyle name="20% - Accent2 15 2 2 3" xfId="4338" xr:uid="{00000000-0005-0000-0000-00007A020000}"/>
    <cellStyle name="20% - Accent2 15 2 3" xfId="1697" xr:uid="{00000000-0005-0000-0000-00007B020000}"/>
    <cellStyle name="20% - Accent2 15 2 3 2" xfId="3281" xr:uid="{00000000-0005-0000-0000-00007C020000}"/>
    <cellStyle name="20% - Accent2 15 2 3 2 2" xfId="6450" xr:uid="{00000000-0005-0000-0000-00007D020000}"/>
    <cellStyle name="20% - Accent2 15 2 3 3" xfId="4866" xr:uid="{00000000-0005-0000-0000-00007E020000}"/>
    <cellStyle name="20% - Accent2 15 2 4" xfId="2225" xr:uid="{00000000-0005-0000-0000-00007F020000}"/>
    <cellStyle name="20% - Accent2 15 2 4 2" xfId="5394" xr:uid="{00000000-0005-0000-0000-000080020000}"/>
    <cellStyle name="20% - Accent2 15 2 5" xfId="3810" xr:uid="{00000000-0005-0000-0000-000081020000}"/>
    <cellStyle name="20% - Accent2 15 3" xfId="905" xr:uid="{00000000-0005-0000-0000-000082020000}"/>
    <cellStyle name="20% - Accent2 15 3 2" xfId="2489" xr:uid="{00000000-0005-0000-0000-000083020000}"/>
    <cellStyle name="20% - Accent2 15 3 2 2" xfId="5658" xr:uid="{00000000-0005-0000-0000-000084020000}"/>
    <cellStyle name="20% - Accent2 15 3 3" xfId="4074" xr:uid="{00000000-0005-0000-0000-000085020000}"/>
    <cellStyle name="20% - Accent2 15 4" xfId="1433" xr:uid="{00000000-0005-0000-0000-000086020000}"/>
    <cellStyle name="20% - Accent2 15 4 2" xfId="3017" xr:uid="{00000000-0005-0000-0000-000087020000}"/>
    <cellStyle name="20% - Accent2 15 4 2 2" xfId="6186" xr:uid="{00000000-0005-0000-0000-000088020000}"/>
    <cellStyle name="20% - Accent2 15 4 3" xfId="4602" xr:uid="{00000000-0005-0000-0000-000089020000}"/>
    <cellStyle name="20% - Accent2 15 5" xfId="1961" xr:uid="{00000000-0005-0000-0000-00008A020000}"/>
    <cellStyle name="20% - Accent2 15 5 2" xfId="5130" xr:uid="{00000000-0005-0000-0000-00008B020000}"/>
    <cellStyle name="20% - Accent2 15 6" xfId="3546" xr:uid="{00000000-0005-0000-0000-00008C020000}"/>
    <cellStyle name="20% - Accent2 16" xfId="128" xr:uid="{00000000-0005-0000-0000-00008D020000}"/>
    <cellStyle name="20% - Accent2 16 2" xfId="642" xr:uid="{00000000-0005-0000-0000-00008E020000}"/>
    <cellStyle name="20% - Accent2 16 2 2" xfId="1170" xr:uid="{00000000-0005-0000-0000-00008F020000}"/>
    <cellStyle name="20% - Accent2 16 2 2 2" xfId="2754" xr:uid="{00000000-0005-0000-0000-000090020000}"/>
    <cellStyle name="20% - Accent2 16 2 2 2 2" xfId="5923" xr:uid="{00000000-0005-0000-0000-000091020000}"/>
    <cellStyle name="20% - Accent2 16 2 2 3" xfId="4339" xr:uid="{00000000-0005-0000-0000-000092020000}"/>
    <cellStyle name="20% - Accent2 16 2 3" xfId="1698" xr:uid="{00000000-0005-0000-0000-000093020000}"/>
    <cellStyle name="20% - Accent2 16 2 3 2" xfId="3282" xr:uid="{00000000-0005-0000-0000-000094020000}"/>
    <cellStyle name="20% - Accent2 16 2 3 2 2" xfId="6451" xr:uid="{00000000-0005-0000-0000-000095020000}"/>
    <cellStyle name="20% - Accent2 16 2 3 3" xfId="4867" xr:uid="{00000000-0005-0000-0000-000096020000}"/>
    <cellStyle name="20% - Accent2 16 2 4" xfId="2226" xr:uid="{00000000-0005-0000-0000-000097020000}"/>
    <cellStyle name="20% - Accent2 16 2 4 2" xfId="5395" xr:uid="{00000000-0005-0000-0000-000098020000}"/>
    <cellStyle name="20% - Accent2 16 2 5" xfId="3811" xr:uid="{00000000-0005-0000-0000-000099020000}"/>
    <cellStyle name="20% - Accent2 16 3" xfId="906" xr:uid="{00000000-0005-0000-0000-00009A020000}"/>
    <cellStyle name="20% - Accent2 16 3 2" xfId="2490" xr:uid="{00000000-0005-0000-0000-00009B020000}"/>
    <cellStyle name="20% - Accent2 16 3 2 2" xfId="5659" xr:uid="{00000000-0005-0000-0000-00009C020000}"/>
    <cellStyle name="20% - Accent2 16 3 3" xfId="4075" xr:uid="{00000000-0005-0000-0000-00009D020000}"/>
    <cellStyle name="20% - Accent2 16 4" xfId="1434" xr:uid="{00000000-0005-0000-0000-00009E020000}"/>
    <cellStyle name="20% - Accent2 16 4 2" xfId="3018" xr:uid="{00000000-0005-0000-0000-00009F020000}"/>
    <cellStyle name="20% - Accent2 16 4 2 2" xfId="6187" xr:uid="{00000000-0005-0000-0000-0000A0020000}"/>
    <cellStyle name="20% - Accent2 16 4 3" xfId="4603" xr:uid="{00000000-0005-0000-0000-0000A1020000}"/>
    <cellStyle name="20% - Accent2 16 5" xfId="1962" xr:uid="{00000000-0005-0000-0000-0000A2020000}"/>
    <cellStyle name="20% - Accent2 16 5 2" xfId="5131" xr:uid="{00000000-0005-0000-0000-0000A3020000}"/>
    <cellStyle name="20% - Accent2 16 6" xfId="3547" xr:uid="{00000000-0005-0000-0000-0000A4020000}"/>
    <cellStyle name="20% - Accent2 2" xfId="2" xr:uid="{00000000-0005-0000-0000-0000A5020000}"/>
    <cellStyle name="20% - Accent2 2 2" xfId="129" xr:uid="{00000000-0005-0000-0000-0000A6020000}"/>
    <cellStyle name="20% - Accent2 3" xfId="130" xr:uid="{00000000-0005-0000-0000-0000A7020000}"/>
    <cellStyle name="20% - Accent2 4" xfId="131" xr:uid="{00000000-0005-0000-0000-0000A8020000}"/>
    <cellStyle name="20% - Accent2 4 2" xfId="132" xr:uid="{00000000-0005-0000-0000-0000A9020000}"/>
    <cellStyle name="20% - Accent2 4 2 2" xfId="644" xr:uid="{00000000-0005-0000-0000-0000AA020000}"/>
    <cellStyle name="20% - Accent2 4 2 2 2" xfId="1172" xr:uid="{00000000-0005-0000-0000-0000AB020000}"/>
    <cellStyle name="20% - Accent2 4 2 2 2 2" xfId="2756" xr:uid="{00000000-0005-0000-0000-0000AC020000}"/>
    <cellStyle name="20% - Accent2 4 2 2 2 2 2" xfId="5925" xr:uid="{00000000-0005-0000-0000-0000AD020000}"/>
    <cellStyle name="20% - Accent2 4 2 2 2 3" xfId="4341" xr:uid="{00000000-0005-0000-0000-0000AE020000}"/>
    <cellStyle name="20% - Accent2 4 2 2 3" xfId="1700" xr:uid="{00000000-0005-0000-0000-0000AF020000}"/>
    <cellStyle name="20% - Accent2 4 2 2 3 2" xfId="3284" xr:uid="{00000000-0005-0000-0000-0000B0020000}"/>
    <cellStyle name="20% - Accent2 4 2 2 3 2 2" xfId="6453" xr:uid="{00000000-0005-0000-0000-0000B1020000}"/>
    <cellStyle name="20% - Accent2 4 2 2 3 3" xfId="4869" xr:uid="{00000000-0005-0000-0000-0000B2020000}"/>
    <cellStyle name="20% - Accent2 4 2 2 4" xfId="2228" xr:uid="{00000000-0005-0000-0000-0000B3020000}"/>
    <cellStyle name="20% - Accent2 4 2 2 4 2" xfId="5397" xr:uid="{00000000-0005-0000-0000-0000B4020000}"/>
    <cellStyle name="20% - Accent2 4 2 2 5" xfId="3813" xr:uid="{00000000-0005-0000-0000-0000B5020000}"/>
    <cellStyle name="20% - Accent2 4 2 3" xfId="908" xr:uid="{00000000-0005-0000-0000-0000B6020000}"/>
    <cellStyle name="20% - Accent2 4 2 3 2" xfId="2492" xr:uid="{00000000-0005-0000-0000-0000B7020000}"/>
    <cellStyle name="20% - Accent2 4 2 3 2 2" xfId="5661" xr:uid="{00000000-0005-0000-0000-0000B8020000}"/>
    <cellStyle name="20% - Accent2 4 2 3 3" xfId="4077" xr:uid="{00000000-0005-0000-0000-0000B9020000}"/>
    <cellStyle name="20% - Accent2 4 2 4" xfId="1436" xr:uid="{00000000-0005-0000-0000-0000BA020000}"/>
    <cellStyle name="20% - Accent2 4 2 4 2" xfId="3020" xr:uid="{00000000-0005-0000-0000-0000BB020000}"/>
    <cellStyle name="20% - Accent2 4 2 4 2 2" xfId="6189" xr:uid="{00000000-0005-0000-0000-0000BC020000}"/>
    <cellStyle name="20% - Accent2 4 2 4 3" xfId="4605" xr:uid="{00000000-0005-0000-0000-0000BD020000}"/>
    <cellStyle name="20% - Accent2 4 2 5" xfId="1964" xr:uid="{00000000-0005-0000-0000-0000BE020000}"/>
    <cellStyle name="20% - Accent2 4 2 5 2" xfId="5133" xr:uid="{00000000-0005-0000-0000-0000BF020000}"/>
    <cellStyle name="20% - Accent2 4 2 6" xfId="3549" xr:uid="{00000000-0005-0000-0000-0000C0020000}"/>
    <cellStyle name="20% - Accent2 4 3" xfId="643" xr:uid="{00000000-0005-0000-0000-0000C1020000}"/>
    <cellStyle name="20% - Accent2 4 3 2" xfId="1171" xr:uid="{00000000-0005-0000-0000-0000C2020000}"/>
    <cellStyle name="20% - Accent2 4 3 2 2" xfId="2755" xr:uid="{00000000-0005-0000-0000-0000C3020000}"/>
    <cellStyle name="20% - Accent2 4 3 2 2 2" xfId="5924" xr:uid="{00000000-0005-0000-0000-0000C4020000}"/>
    <cellStyle name="20% - Accent2 4 3 2 3" xfId="4340" xr:uid="{00000000-0005-0000-0000-0000C5020000}"/>
    <cellStyle name="20% - Accent2 4 3 3" xfId="1699" xr:uid="{00000000-0005-0000-0000-0000C6020000}"/>
    <cellStyle name="20% - Accent2 4 3 3 2" xfId="3283" xr:uid="{00000000-0005-0000-0000-0000C7020000}"/>
    <cellStyle name="20% - Accent2 4 3 3 2 2" xfId="6452" xr:uid="{00000000-0005-0000-0000-0000C8020000}"/>
    <cellStyle name="20% - Accent2 4 3 3 3" xfId="4868" xr:uid="{00000000-0005-0000-0000-0000C9020000}"/>
    <cellStyle name="20% - Accent2 4 3 4" xfId="2227" xr:uid="{00000000-0005-0000-0000-0000CA020000}"/>
    <cellStyle name="20% - Accent2 4 3 4 2" xfId="5396" xr:uid="{00000000-0005-0000-0000-0000CB020000}"/>
    <cellStyle name="20% - Accent2 4 3 5" xfId="3812" xr:uid="{00000000-0005-0000-0000-0000CC020000}"/>
    <cellStyle name="20% - Accent2 4 4" xfId="907" xr:uid="{00000000-0005-0000-0000-0000CD020000}"/>
    <cellStyle name="20% - Accent2 4 4 2" xfId="2491" xr:uid="{00000000-0005-0000-0000-0000CE020000}"/>
    <cellStyle name="20% - Accent2 4 4 2 2" xfId="5660" xr:uid="{00000000-0005-0000-0000-0000CF020000}"/>
    <cellStyle name="20% - Accent2 4 4 3" xfId="4076" xr:uid="{00000000-0005-0000-0000-0000D0020000}"/>
    <cellStyle name="20% - Accent2 4 5" xfId="1435" xr:uid="{00000000-0005-0000-0000-0000D1020000}"/>
    <cellStyle name="20% - Accent2 4 5 2" xfId="3019" xr:uid="{00000000-0005-0000-0000-0000D2020000}"/>
    <cellStyle name="20% - Accent2 4 5 2 2" xfId="6188" xr:uid="{00000000-0005-0000-0000-0000D3020000}"/>
    <cellStyle name="20% - Accent2 4 5 3" xfId="4604" xr:uid="{00000000-0005-0000-0000-0000D4020000}"/>
    <cellStyle name="20% - Accent2 4 6" xfId="1963" xr:uid="{00000000-0005-0000-0000-0000D5020000}"/>
    <cellStyle name="20% - Accent2 4 6 2" xfId="5132" xr:uid="{00000000-0005-0000-0000-0000D6020000}"/>
    <cellStyle name="20% - Accent2 4 7" xfId="3548" xr:uid="{00000000-0005-0000-0000-0000D7020000}"/>
    <cellStyle name="20% - Accent2 5" xfId="133" xr:uid="{00000000-0005-0000-0000-0000D8020000}"/>
    <cellStyle name="20% - Accent2 5 2" xfId="134" xr:uid="{00000000-0005-0000-0000-0000D9020000}"/>
    <cellStyle name="20% - Accent2 5 2 2" xfId="646" xr:uid="{00000000-0005-0000-0000-0000DA020000}"/>
    <cellStyle name="20% - Accent2 5 2 2 2" xfId="1174" xr:uid="{00000000-0005-0000-0000-0000DB020000}"/>
    <cellStyle name="20% - Accent2 5 2 2 2 2" xfId="2758" xr:uid="{00000000-0005-0000-0000-0000DC020000}"/>
    <cellStyle name="20% - Accent2 5 2 2 2 2 2" xfId="5927" xr:uid="{00000000-0005-0000-0000-0000DD020000}"/>
    <cellStyle name="20% - Accent2 5 2 2 2 3" xfId="4343" xr:uid="{00000000-0005-0000-0000-0000DE020000}"/>
    <cellStyle name="20% - Accent2 5 2 2 3" xfId="1702" xr:uid="{00000000-0005-0000-0000-0000DF020000}"/>
    <cellStyle name="20% - Accent2 5 2 2 3 2" xfId="3286" xr:uid="{00000000-0005-0000-0000-0000E0020000}"/>
    <cellStyle name="20% - Accent2 5 2 2 3 2 2" xfId="6455" xr:uid="{00000000-0005-0000-0000-0000E1020000}"/>
    <cellStyle name="20% - Accent2 5 2 2 3 3" xfId="4871" xr:uid="{00000000-0005-0000-0000-0000E2020000}"/>
    <cellStyle name="20% - Accent2 5 2 2 4" xfId="2230" xr:uid="{00000000-0005-0000-0000-0000E3020000}"/>
    <cellStyle name="20% - Accent2 5 2 2 4 2" xfId="5399" xr:uid="{00000000-0005-0000-0000-0000E4020000}"/>
    <cellStyle name="20% - Accent2 5 2 2 5" xfId="3815" xr:uid="{00000000-0005-0000-0000-0000E5020000}"/>
    <cellStyle name="20% - Accent2 5 2 3" xfId="910" xr:uid="{00000000-0005-0000-0000-0000E6020000}"/>
    <cellStyle name="20% - Accent2 5 2 3 2" xfId="2494" xr:uid="{00000000-0005-0000-0000-0000E7020000}"/>
    <cellStyle name="20% - Accent2 5 2 3 2 2" xfId="5663" xr:uid="{00000000-0005-0000-0000-0000E8020000}"/>
    <cellStyle name="20% - Accent2 5 2 3 3" xfId="4079" xr:uid="{00000000-0005-0000-0000-0000E9020000}"/>
    <cellStyle name="20% - Accent2 5 2 4" xfId="1438" xr:uid="{00000000-0005-0000-0000-0000EA020000}"/>
    <cellStyle name="20% - Accent2 5 2 4 2" xfId="3022" xr:uid="{00000000-0005-0000-0000-0000EB020000}"/>
    <cellStyle name="20% - Accent2 5 2 4 2 2" xfId="6191" xr:uid="{00000000-0005-0000-0000-0000EC020000}"/>
    <cellStyle name="20% - Accent2 5 2 4 3" xfId="4607" xr:uid="{00000000-0005-0000-0000-0000ED020000}"/>
    <cellStyle name="20% - Accent2 5 2 5" xfId="1966" xr:uid="{00000000-0005-0000-0000-0000EE020000}"/>
    <cellStyle name="20% - Accent2 5 2 5 2" xfId="5135" xr:uid="{00000000-0005-0000-0000-0000EF020000}"/>
    <cellStyle name="20% - Accent2 5 2 6" xfId="3551" xr:uid="{00000000-0005-0000-0000-0000F0020000}"/>
    <cellStyle name="20% - Accent2 5 3" xfId="645" xr:uid="{00000000-0005-0000-0000-0000F1020000}"/>
    <cellStyle name="20% - Accent2 5 3 2" xfId="1173" xr:uid="{00000000-0005-0000-0000-0000F2020000}"/>
    <cellStyle name="20% - Accent2 5 3 2 2" xfId="2757" xr:uid="{00000000-0005-0000-0000-0000F3020000}"/>
    <cellStyle name="20% - Accent2 5 3 2 2 2" xfId="5926" xr:uid="{00000000-0005-0000-0000-0000F4020000}"/>
    <cellStyle name="20% - Accent2 5 3 2 3" xfId="4342" xr:uid="{00000000-0005-0000-0000-0000F5020000}"/>
    <cellStyle name="20% - Accent2 5 3 3" xfId="1701" xr:uid="{00000000-0005-0000-0000-0000F6020000}"/>
    <cellStyle name="20% - Accent2 5 3 3 2" xfId="3285" xr:uid="{00000000-0005-0000-0000-0000F7020000}"/>
    <cellStyle name="20% - Accent2 5 3 3 2 2" xfId="6454" xr:uid="{00000000-0005-0000-0000-0000F8020000}"/>
    <cellStyle name="20% - Accent2 5 3 3 3" xfId="4870" xr:uid="{00000000-0005-0000-0000-0000F9020000}"/>
    <cellStyle name="20% - Accent2 5 3 4" xfId="2229" xr:uid="{00000000-0005-0000-0000-0000FA020000}"/>
    <cellStyle name="20% - Accent2 5 3 4 2" xfId="5398" xr:uid="{00000000-0005-0000-0000-0000FB020000}"/>
    <cellStyle name="20% - Accent2 5 3 5" xfId="3814" xr:uid="{00000000-0005-0000-0000-0000FC020000}"/>
    <cellStyle name="20% - Accent2 5 4" xfId="909" xr:uid="{00000000-0005-0000-0000-0000FD020000}"/>
    <cellStyle name="20% - Accent2 5 4 2" xfId="2493" xr:uid="{00000000-0005-0000-0000-0000FE020000}"/>
    <cellStyle name="20% - Accent2 5 4 2 2" xfId="5662" xr:uid="{00000000-0005-0000-0000-0000FF020000}"/>
    <cellStyle name="20% - Accent2 5 4 3" xfId="4078" xr:uid="{00000000-0005-0000-0000-000000030000}"/>
    <cellStyle name="20% - Accent2 5 5" xfId="1437" xr:uid="{00000000-0005-0000-0000-000001030000}"/>
    <cellStyle name="20% - Accent2 5 5 2" xfId="3021" xr:uid="{00000000-0005-0000-0000-000002030000}"/>
    <cellStyle name="20% - Accent2 5 5 2 2" xfId="6190" xr:uid="{00000000-0005-0000-0000-000003030000}"/>
    <cellStyle name="20% - Accent2 5 5 3" xfId="4606" xr:uid="{00000000-0005-0000-0000-000004030000}"/>
    <cellStyle name="20% - Accent2 5 6" xfId="1965" xr:uid="{00000000-0005-0000-0000-000005030000}"/>
    <cellStyle name="20% - Accent2 5 6 2" xfId="5134" xr:uid="{00000000-0005-0000-0000-000006030000}"/>
    <cellStyle name="20% - Accent2 5 7" xfId="3550" xr:uid="{00000000-0005-0000-0000-000007030000}"/>
    <cellStyle name="20% - Accent2 6" xfId="135" xr:uid="{00000000-0005-0000-0000-000008030000}"/>
    <cellStyle name="20% - Accent2 6 2" xfId="136" xr:uid="{00000000-0005-0000-0000-000009030000}"/>
    <cellStyle name="20% - Accent2 6 2 2" xfId="648" xr:uid="{00000000-0005-0000-0000-00000A030000}"/>
    <cellStyle name="20% - Accent2 6 2 2 2" xfId="1176" xr:uid="{00000000-0005-0000-0000-00000B030000}"/>
    <cellStyle name="20% - Accent2 6 2 2 2 2" xfId="2760" xr:uid="{00000000-0005-0000-0000-00000C030000}"/>
    <cellStyle name="20% - Accent2 6 2 2 2 2 2" xfId="5929" xr:uid="{00000000-0005-0000-0000-00000D030000}"/>
    <cellStyle name="20% - Accent2 6 2 2 2 3" xfId="4345" xr:uid="{00000000-0005-0000-0000-00000E030000}"/>
    <cellStyle name="20% - Accent2 6 2 2 3" xfId="1704" xr:uid="{00000000-0005-0000-0000-00000F030000}"/>
    <cellStyle name="20% - Accent2 6 2 2 3 2" xfId="3288" xr:uid="{00000000-0005-0000-0000-000010030000}"/>
    <cellStyle name="20% - Accent2 6 2 2 3 2 2" xfId="6457" xr:uid="{00000000-0005-0000-0000-000011030000}"/>
    <cellStyle name="20% - Accent2 6 2 2 3 3" xfId="4873" xr:uid="{00000000-0005-0000-0000-000012030000}"/>
    <cellStyle name="20% - Accent2 6 2 2 4" xfId="2232" xr:uid="{00000000-0005-0000-0000-000013030000}"/>
    <cellStyle name="20% - Accent2 6 2 2 4 2" xfId="5401" xr:uid="{00000000-0005-0000-0000-000014030000}"/>
    <cellStyle name="20% - Accent2 6 2 2 5" xfId="3817" xr:uid="{00000000-0005-0000-0000-000015030000}"/>
    <cellStyle name="20% - Accent2 6 2 3" xfId="912" xr:uid="{00000000-0005-0000-0000-000016030000}"/>
    <cellStyle name="20% - Accent2 6 2 3 2" xfId="2496" xr:uid="{00000000-0005-0000-0000-000017030000}"/>
    <cellStyle name="20% - Accent2 6 2 3 2 2" xfId="5665" xr:uid="{00000000-0005-0000-0000-000018030000}"/>
    <cellStyle name="20% - Accent2 6 2 3 3" xfId="4081" xr:uid="{00000000-0005-0000-0000-000019030000}"/>
    <cellStyle name="20% - Accent2 6 2 4" xfId="1440" xr:uid="{00000000-0005-0000-0000-00001A030000}"/>
    <cellStyle name="20% - Accent2 6 2 4 2" xfId="3024" xr:uid="{00000000-0005-0000-0000-00001B030000}"/>
    <cellStyle name="20% - Accent2 6 2 4 2 2" xfId="6193" xr:uid="{00000000-0005-0000-0000-00001C030000}"/>
    <cellStyle name="20% - Accent2 6 2 4 3" xfId="4609" xr:uid="{00000000-0005-0000-0000-00001D030000}"/>
    <cellStyle name="20% - Accent2 6 2 5" xfId="1968" xr:uid="{00000000-0005-0000-0000-00001E030000}"/>
    <cellStyle name="20% - Accent2 6 2 5 2" xfId="5137" xr:uid="{00000000-0005-0000-0000-00001F030000}"/>
    <cellStyle name="20% - Accent2 6 2 6" xfId="3553" xr:uid="{00000000-0005-0000-0000-000020030000}"/>
    <cellStyle name="20% - Accent2 6 3" xfId="647" xr:uid="{00000000-0005-0000-0000-000021030000}"/>
    <cellStyle name="20% - Accent2 6 3 2" xfId="1175" xr:uid="{00000000-0005-0000-0000-000022030000}"/>
    <cellStyle name="20% - Accent2 6 3 2 2" xfId="2759" xr:uid="{00000000-0005-0000-0000-000023030000}"/>
    <cellStyle name="20% - Accent2 6 3 2 2 2" xfId="5928" xr:uid="{00000000-0005-0000-0000-000024030000}"/>
    <cellStyle name="20% - Accent2 6 3 2 3" xfId="4344" xr:uid="{00000000-0005-0000-0000-000025030000}"/>
    <cellStyle name="20% - Accent2 6 3 3" xfId="1703" xr:uid="{00000000-0005-0000-0000-000026030000}"/>
    <cellStyle name="20% - Accent2 6 3 3 2" xfId="3287" xr:uid="{00000000-0005-0000-0000-000027030000}"/>
    <cellStyle name="20% - Accent2 6 3 3 2 2" xfId="6456" xr:uid="{00000000-0005-0000-0000-000028030000}"/>
    <cellStyle name="20% - Accent2 6 3 3 3" xfId="4872" xr:uid="{00000000-0005-0000-0000-000029030000}"/>
    <cellStyle name="20% - Accent2 6 3 4" xfId="2231" xr:uid="{00000000-0005-0000-0000-00002A030000}"/>
    <cellStyle name="20% - Accent2 6 3 4 2" xfId="5400" xr:uid="{00000000-0005-0000-0000-00002B030000}"/>
    <cellStyle name="20% - Accent2 6 3 5" xfId="3816" xr:uid="{00000000-0005-0000-0000-00002C030000}"/>
    <cellStyle name="20% - Accent2 6 4" xfId="911" xr:uid="{00000000-0005-0000-0000-00002D030000}"/>
    <cellStyle name="20% - Accent2 6 4 2" xfId="2495" xr:uid="{00000000-0005-0000-0000-00002E030000}"/>
    <cellStyle name="20% - Accent2 6 4 2 2" xfId="5664" xr:uid="{00000000-0005-0000-0000-00002F030000}"/>
    <cellStyle name="20% - Accent2 6 4 3" xfId="4080" xr:uid="{00000000-0005-0000-0000-000030030000}"/>
    <cellStyle name="20% - Accent2 6 5" xfId="1439" xr:uid="{00000000-0005-0000-0000-000031030000}"/>
    <cellStyle name="20% - Accent2 6 5 2" xfId="3023" xr:uid="{00000000-0005-0000-0000-000032030000}"/>
    <cellStyle name="20% - Accent2 6 5 2 2" xfId="6192" xr:uid="{00000000-0005-0000-0000-000033030000}"/>
    <cellStyle name="20% - Accent2 6 5 3" xfId="4608" xr:uid="{00000000-0005-0000-0000-000034030000}"/>
    <cellStyle name="20% - Accent2 6 6" xfId="1967" xr:uid="{00000000-0005-0000-0000-000035030000}"/>
    <cellStyle name="20% - Accent2 6 6 2" xfId="5136" xr:uid="{00000000-0005-0000-0000-000036030000}"/>
    <cellStyle name="20% - Accent2 6 7" xfId="3552" xr:uid="{00000000-0005-0000-0000-000037030000}"/>
    <cellStyle name="20% - Accent2 7" xfId="137" xr:uid="{00000000-0005-0000-0000-000038030000}"/>
    <cellStyle name="20% - Accent2 7 2" xfId="138" xr:uid="{00000000-0005-0000-0000-000039030000}"/>
    <cellStyle name="20% - Accent2 7 2 2" xfId="650" xr:uid="{00000000-0005-0000-0000-00003A030000}"/>
    <cellStyle name="20% - Accent2 7 2 2 2" xfId="1178" xr:uid="{00000000-0005-0000-0000-00003B030000}"/>
    <cellStyle name="20% - Accent2 7 2 2 2 2" xfId="2762" xr:uid="{00000000-0005-0000-0000-00003C030000}"/>
    <cellStyle name="20% - Accent2 7 2 2 2 2 2" xfId="5931" xr:uid="{00000000-0005-0000-0000-00003D030000}"/>
    <cellStyle name="20% - Accent2 7 2 2 2 3" xfId="4347" xr:uid="{00000000-0005-0000-0000-00003E030000}"/>
    <cellStyle name="20% - Accent2 7 2 2 3" xfId="1706" xr:uid="{00000000-0005-0000-0000-00003F030000}"/>
    <cellStyle name="20% - Accent2 7 2 2 3 2" xfId="3290" xr:uid="{00000000-0005-0000-0000-000040030000}"/>
    <cellStyle name="20% - Accent2 7 2 2 3 2 2" xfId="6459" xr:uid="{00000000-0005-0000-0000-000041030000}"/>
    <cellStyle name="20% - Accent2 7 2 2 3 3" xfId="4875" xr:uid="{00000000-0005-0000-0000-000042030000}"/>
    <cellStyle name="20% - Accent2 7 2 2 4" xfId="2234" xr:uid="{00000000-0005-0000-0000-000043030000}"/>
    <cellStyle name="20% - Accent2 7 2 2 4 2" xfId="5403" xr:uid="{00000000-0005-0000-0000-000044030000}"/>
    <cellStyle name="20% - Accent2 7 2 2 5" xfId="3819" xr:uid="{00000000-0005-0000-0000-000045030000}"/>
    <cellStyle name="20% - Accent2 7 2 3" xfId="914" xr:uid="{00000000-0005-0000-0000-000046030000}"/>
    <cellStyle name="20% - Accent2 7 2 3 2" xfId="2498" xr:uid="{00000000-0005-0000-0000-000047030000}"/>
    <cellStyle name="20% - Accent2 7 2 3 2 2" xfId="5667" xr:uid="{00000000-0005-0000-0000-000048030000}"/>
    <cellStyle name="20% - Accent2 7 2 3 3" xfId="4083" xr:uid="{00000000-0005-0000-0000-000049030000}"/>
    <cellStyle name="20% - Accent2 7 2 4" xfId="1442" xr:uid="{00000000-0005-0000-0000-00004A030000}"/>
    <cellStyle name="20% - Accent2 7 2 4 2" xfId="3026" xr:uid="{00000000-0005-0000-0000-00004B030000}"/>
    <cellStyle name="20% - Accent2 7 2 4 2 2" xfId="6195" xr:uid="{00000000-0005-0000-0000-00004C030000}"/>
    <cellStyle name="20% - Accent2 7 2 4 3" xfId="4611" xr:uid="{00000000-0005-0000-0000-00004D030000}"/>
    <cellStyle name="20% - Accent2 7 2 5" xfId="1970" xr:uid="{00000000-0005-0000-0000-00004E030000}"/>
    <cellStyle name="20% - Accent2 7 2 5 2" xfId="5139" xr:uid="{00000000-0005-0000-0000-00004F030000}"/>
    <cellStyle name="20% - Accent2 7 2 6" xfId="3555" xr:uid="{00000000-0005-0000-0000-000050030000}"/>
    <cellStyle name="20% - Accent2 7 3" xfId="649" xr:uid="{00000000-0005-0000-0000-000051030000}"/>
    <cellStyle name="20% - Accent2 7 3 2" xfId="1177" xr:uid="{00000000-0005-0000-0000-000052030000}"/>
    <cellStyle name="20% - Accent2 7 3 2 2" xfId="2761" xr:uid="{00000000-0005-0000-0000-000053030000}"/>
    <cellStyle name="20% - Accent2 7 3 2 2 2" xfId="5930" xr:uid="{00000000-0005-0000-0000-000054030000}"/>
    <cellStyle name="20% - Accent2 7 3 2 3" xfId="4346" xr:uid="{00000000-0005-0000-0000-000055030000}"/>
    <cellStyle name="20% - Accent2 7 3 3" xfId="1705" xr:uid="{00000000-0005-0000-0000-000056030000}"/>
    <cellStyle name="20% - Accent2 7 3 3 2" xfId="3289" xr:uid="{00000000-0005-0000-0000-000057030000}"/>
    <cellStyle name="20% - Accent2 7 3 3 2 2" xfId="6458" xr:uid="{00000000-0005-0000-0000-000058030000}"/>
    <cellStyle name="20% - Accent2 7 3 3 3" xfId="4874" xr:uid="{00000000-0005-0000-0000-000059030000}"/>
    <cellStyle name="20% - Accent2 7 3 4" xfId="2233" xr:uid="{00000000-0005-0000-0000-00005A030000}"/>
    <cellStyle name="20% - Accent2 7 3 4 2" xfId="5402" xr:uid="{00000000-0005-0000-0000-00005B030000}"/>
    <cellStyle name="20% - Accent2 7 3 5" xfId="3818" xr:uid="{00000000-0005-0000-0000-00005C030000}"/>
    <cellStyle name="20% - Accent2 7 4" xfId="913" xr:uid="{00000000-0005-0000-0000-00005D030000}"/>
    <cellStyle name="20% - Accent2 7 4 2" xfId="2497" xr:uid="{00000000-0005-0000-0000-00005E030000}"/>
    <cellStyle name="20% - Accent2 7 4 2 2" xfId="5666" xr:uid="{00000000-0005-0000-0000-00005F030000}"/>
    <cellStyle name="20% - Accent2 7 4 3" xfId="4082" xr:uid="{00000000-0005-0000-0000-000060030000}"/>
    <cellStyle name="20% - Accent2 7 5" xfId="1441" xr:uid="{00000000-0005-0000-0000-000061030000}"/>
    <cellStyle name="20% - Accent2 7 5 2" xfId="3025" xr:uid="{00000000-0005-0000-0000-000062030000}"/>
    <cellStyle name="20% - Accent2 7 5 2 2" xfId="6194" xr:uid="{00000000-0005-0000-0000-000063030000}"/>
    <cellStyle name="20% - Accent2 7 5 3" xfId="4610" xr:uid="{00000000-0005-0000-0000-000064030000}"/>
    <cellStyle name="20% - Accent2 7 6" xfId="1969" xr:uid="{00000000-0005-0000-0000-000065030000}"/>
    <cellStyle name="20% - Accent2 7 6 2" xfId="5138" xr:uid="{00000000-0005-0000-0000-000066030000}"/>
    <cellStyle name="20% - Accent2 7 7" xfId="3554" xr:uid="{00000000-0005-0000-0000-000067030000}"/>
    <cellStyle name="20% - Accent2 8" xfId="139" xr:uid="{00000000-0005-0000-0000-000068030000}"/>
    <cellStyle name="20% - Accent2 8 2" xfId="140" xr:uid="{00000000-0005-0000-0000-000069030000}"/>
    <cellStyle name="20% - Accent2 8 2 2" xfId="652" xr:uid="{00000000-0005-0000-0000-00006A030000}"/>
    <cellStyle name="20% - Accent2 8 2 2 2" xfId="1180" xr:uid="{00000000-0005-0000-0000-00006B030000}"/>
    <cellStyle name="20% - Accent2 8 2 2 2 2" xfId="2764" xr:uid="{00000000-0005-0000-0000-00006C030000}"/>
    <cellStyle name="20% - Accent2 8 2 2 2 2 2" xfId="5933" xr:uid="{00000000-0005-0000-0000-00006D030000}"/>
    <cellStyle name="20% - Accent2 8 2 2 2 3" xfId="4349" xr:uid="{00000000-0005-0000-0000-00006E030000}"/>
    <cellStyle name="20% - Accent2 8 2 2 3" xfId="1708" xr:uid="{00000000-0005-0000-0000-00006F030000}"/>
    <cellStyle name="20% - Accent2 8 2 2 3 2" xfId="3292" xr:uid="{00000000-0005-0000-0000-000070030000}"/>
    <cellStyle name="20% - Accent2 8 2 2 3 2 2" xfId="6461" xr:uid="{00000000-0005-0000-0000-000071030000}"/>
    <cellStyle name="20% - Accent2 8 2 2 3 3" xfId="4877" xr:uid="{00000000-0005-0000-0000-000072030000}"/>
    <cellStyle name="20% - Accent2 8 2 2 4" xfId="2236" xr:uid="{00000000-0005-0000-0000-000073030000}"/>
    <cellStyle name="20% - Accent2 8 2 2 4 2" xfId="5405" xr:uid="{00000000-0005-0000-0000-000074030000}"/>
    <cellStyle name="20% - Accent2 8 2 2 5" xfId="3821" xr:uid="{00000000-0005-0000-0000-000075030000}"/>
    <cellStyle name="20% - Accent2 8 2 3" xfId="916" xr:uid="{00000000-0005-0000-0000-000076030000}"/>
    <cellStyle name="20% - Accent2 8 2 3 2" xfId="2500" xr:uid="{00000000-0005-0000-0000-000077030000}"/>
    <cellStyle name="20% - Accent2 8 2 3 2 2" xfId="5669" xr:uid="{00000000-0005-0000-0000-000078030000}"/>
    <cellStyle name="20% - Accent2 8 2 3 3" xfId="4085" xr:uid="{00000000-0005-0000-0000-000079030000}"/>
    <cellStyle name="20% - Accent2 8 2 4" xfId="1444" xr:uid="{00000000-0005-0000-0000-00007A030000}"/>
    <cellStyle name="20% - Accent2 8 2 4 2" xfId="3028" xr:uid="{00000000-0005-0000-0000-00007B030000}"/>
    <cellStyle name="20% - Accent2 8 2 4 2 2" xfId="6197" xr:uid="{00000000-0005-0000-0000-00007C030000}"/>
    <cellStyle name="20% - Accent2 8 2 4 3" xfId="4613" xr:uid="{00000000-0005-0000-0000-00007D030000}"/>
    <cellStyle name="20% - Accent2 8 2 5" xfId="1972" xr:uid="{00000000-0005-0000-0000-00007E030000}"/>
    <cellStyle name="20% - Accent2 8 2 5 2" xfId="5141" xr:uid="{00000000-0005-0000-0000-00007F030000}"/>
    <cellStyle name="20% - Accent2 8 2 6" xfId="3557" xr:uid="{00000000-0005-0000-0000-000080030000}"/>
    <cellStyle name="20% - Accent2 8 3" xfId="651" xr:uid="{00000000-0005-0000-0000-000081030000}"/>
    <cellStyle name="20% - Accent2 8 3 2" xfId="1179" xr:uid="{00000000-0005-0000-0000-000082030000}"/>
    <cellStyle name="20% - Accent2 8 3 2 2" xfId="2763" xr:uid="{00000000-0005-0000-0000-000083030000}"/>
    <cellStyle name="20% - Accent2 8 3 2 2 2" xfId="5932" xr:uid="{00000000-0005-0000-0000-000084030000}"/>
    <cellStyle name="20% - Accent2 8 3 2 3" xfId="4348" xr:uid="{00000000-0005-0000-0000-000085030000}"/>
    <cellStyle name="20% - Accent2 8 3 3" xfId="1707" xr:uid="{00000000-0005-0000-0000-000086030000}"/>
    <cellStyle name="20% - Accent2 8 3 3 2" xfId="3291" xr:uid="{00000000-0005-0000-0000-000087030000}"/>
    <cellStyle name="20% - Accent2 8 3 3 2 2" xfId="6460" xr:uid="{00000000-0005-0000-0000-000088030000}"/>
    <cellStyle name="20% - Accent2 8 3 3 3" xfId="4876" xr:uid="{00000000-0005-0000-0000-000089030000}"/>
    <cellStyle name="20% - Accent2 8 3 4" xfId="2235" xr:uid="{00000000-0005-0000-0000-00008A030000}"/>
    <cellStyle name="20% - Accent2 8 3 4 2" xfId="5404" xr:uid="{00000000-0005-0000-0000-00008B030000}"/>
    <cellStyle name="20% - Accent2 8 3 5" xfId="3820" xr:uid="{00000000-0005-0000-0000-00008C030000}"/>
    <cellStyle name="20% - Accent2 8 4" xfId="915" xr:uid="{00000000-0005-0000-0000-00008D030000}"/>
    <cellStyle name="20% - Accent2 8 4 2" xfId="2499" xr:uid="{00000000-0005-0000-0000-00008E030000}"/>
    <cellStyle name="20% - Accent2 8 4 2 2" xfId="5668" xr:uid="{00000000-0005-0000-0000-00008F030000}"/>
    <cellStyle name="20% - Accent2 8 4 3" xfId="4084" xr:uid="{00000000-0005-0000-0000-000090030000}"/>
    <cellStyle name="20% - Accent2 8 5" xfId="1443" xr:uid="{00000000-0005-0000-0000-000091030000}"/>
    <cellStyle name="20% - Accent2 8 5 2" xfId="3027" xr:uid="{00000000-0005-0000-0000-000092030000}"/>
    <cellStyle name="20% - Accent2 8 5 2 2" xfId="6196" xr:uid="{00000000-0005-0000-0000-000093030000}"/>
    <cellStyle name="20% - Accent2 8 5 3" xfId="4612" xr:uid="{00000000-0005-0000-0000-000094030000}"/>
    <cellStyle name="20% - Accent2 8 6" xfId="1971" xr:uid="{00000000-0005-0000-0000-000095030000}"/>
    <cellStyle name="20% - Accent2 8 6 2" xfId="5140" xr:uid="{00000000-0005-0000-0000-000096030000}"/>
    <cellStyle name="20% - Accent2 8 7" xfId="3556" xr:uid="{00000000-0005-0000-0000-000097030000}"/>
    <cellStyle name="20% - Accent2 9" xfId="141" xr:uid="{00000000-0005-0000-0000-000098030000}"/>
    <cellStyle name="20% - Accent2 9 2" xfId="142" xr:uid="{00000000-0005-0000-0000-000099030000}"/>
    <cellStyle name="20% - Accent2 9 2 2" xfId="654" xr:uid="{00000000-0005-0000-0000-00009A030000}"/>
    <cellStyle name="20% - Accent2 9 2 2 2" xfId="1182" xr:uid="{00000000-0005-0000-0000-00009B030000}"/>
    <cellStyle name="20% - Accent2 9 2 2 2 2" xfId="2766" xr:uid="{00000000-0005-0000-0000-00009C030000}"/>
    <cellStyle name="20% - Accent2 9 2 2 2 2 2" xfId="5935" xr:uid="{00000000-0005-0000-0000-00009D030000}"/>
    <cellStyle name="20% - Accent2 9 2 2 2 3" xfId="4351" xr:uid="{00000000-0005-0000-0000-00009E030000}"/>
    <cellStyle name="20% - Accent2 9 2 2 3" xfId="1710" xr:uid="{00000000-0005-0000-0000-00009F030000}"/>
    <cellStyle name="20% - Accent2 9 2 2 3 2" xfId="3294" xr:uid="{00000000-0005-0000-0000-0000A0030000}"/>
    <cellStyle name="20% - Accent2 9 2 2 3 2 2" xfId="6463" xr:uid="{00000000-0005-0000-0000-0000A1030000}"/>
    <cellStyle name="20% - Accent2 9 2 2 3 3" xfId="4879" xr:uid="{00000000-0005-0000-0000-0000A2030000}"/>
    <cellStyle name="20% - Accent2 9 2 2 4" xfId="2238" xr:uid="{00000000-0005-0000-0000-0000A3030000}"/>
    <cellStyle name="20% - Accent2 9 2 2 4 2" xfId="5407" xr:uid="{00000000-0005-0000-0000-0000A4030000}"/>
    <cellStyle name="20% - Accent2 9 2 2 5" xfId="3823" xr:uid="{00000000-0005-0000-0000-0000A5030000}"/>
    <cellStyle name="20% - Accent2 9 2 3" xfId="918" xr:uid="{00000000-0005-0000-0000-0000A6030000}"/>
    <cellStyle name="20% - Accent2 9 2 3 2" xfId="2502" xr:uid="{00000000-0005-0000-0000-0000A7030000}"/>
    <cellStyle name="20% - Accent2 9 2 3 2 2" xfId="5671" xr:uid="{00000000-0005-0000-0000-0000A8030000}"/>
    <cellStyle name="20% - Accent2 9 2 3 3" xfId="4087" xr:uid="{00000000-0005-0000-0000-0000A9030000}"/>
    <cellStyle name="20% - Accent2 9 2 4" xfId="1446" xr:uid="{00000000-0005-0000-0000-0000AA030000}"/>
    <cellStyle name="20% - Accent2 9 2 4 2" xfId="3030" xr:uid="{00000000-0005-0000-0000-0000AB030000}"/>
    <cellStyle name="20% - Accent2 9 2 4 2 2" xfId="6199" xr:uid="{00000000-0005-0000-0000-0000AC030000}"/>
    <cellStyle name="20% - Accent2 9 2 4 3" xfId="4615" xr:uid="{00000000-0005-0000-0000-0000AD030000}"/>
    <cellStyle name="20% - Accent2 9 2 5" xfId="1974" xr:uid="{00000000-0005-0000-0000-0000AE030000}"/>
    <cellStyle name="20% - Accent2 9 2 5 2" xfId="5143" xr:uid="{00000000-0005-0000-0000-0000AF030000}"/>
    <cellStyle name="20% - Accent2 9 2 6" xfId="3559" xr:uid="{00000000-0005-0000-0000-0000B0030000}"/>
    <cellStyle name="20% - Accent2 9 3" xfId="653" xr:uid="{00000000-0005-0000-0000-0000B1030000}"/>
    <cellStyle name="20% - Accent2 9 3 2" xfId="1181" xr:uid="{00000000-0005-0000-0000-0000B2030000}"/>
    <cellStyle name="20% - Accent2 9 3 2 2" xfId="2765" xr:uid="{00000000-0005-0000-0000-0000B3030000}"/>
    <cellStyle name="20% - Accent2 9 3 2 2 2" xfId="5934" xr:uid="{00000000-0005-0000-0000-0000B4030000}"/>
    <cellStyle name="20% - Accent2 9 3 2 3" xfId="4350" xr:uid="{00000000-0005-0000-0000-0000B5030000}"/>
    <cellStyle name="20% - Accent2 9 3 3" xfId="1709" xr:uid="{00000000-0005-0000-0000-0000B6030000}"/>
    <cellStyle name="20% - Accent2 9 3 3 2" xfId="3293" xr:uid="{00000000-0005-0000-0000-0000B7030000}"/>
    <cellStyle name="20% - Accent2 9 3 3 2 2" xfId="6462" xr:uid="{00000000-0005-0000-0000-0000B8030000}"/>
    <cellStyle name="20% - Accent2 9 3 3 3" xfId="4878" xr:uid="{00000000-0005-0000-0000-0000B9030000}"/>
    <cellStyle name="20% - Accent2 9 3 4" xfId="2237" xr:uid="{00000000-0005-0000-0000-0000BA030000}"/>
    <cellStyle name="20% - Accent2 9 3 4 2" xfId="5406" xr:uid="{00000000-0005-0000-0000-0000BB030000}"/>
    <cellStyle name="20% - Accent2 9 3 5" xfId="3822" xr:uid="{00000000-0005-0000-0000-0000BC030000}"/>
    <cellStyle name="20% - Accent2 9 4" xfId="917" xr:uid="{00000000-0005-0000-0000-0000BD030000}"/>
    <cellStyle name="20% - Accent2 9 4 2" xfId="2501" xr:uid="{00000000-0005-0000-0000-0000BE030000}"/>
    <cellStyle name="20% - Accent2 9 4 2 2" xfId="5670" xr:uid="{00000000-0005-0000-0000-0000BF030000}"/>
    <cellStyle name="20% - Accent2 9 4 3" xfId="4086" xr:uid="{00000000-0005-0000-0000-0000C0030000}"/>
    <cellStyle name="20% - Accent2 9 5" xfId="1445" xr:uid="{00000000-0005-0000-0000-0000C1030000}"/>
    <cellStyle name="20% - Accent2 9 5 2" xfId="3029" xr:uid="{00000000-0005-0000-0000-0000C2030000}"/>
    <cellStyle name="20% - Accent2 9 5 2 2" xfId="6198" xr:uid="{00000000-0005-0000-0000-0000C3030000}"/>
    <cellStyle name="20% - Accent2 9 5 3" xfId="4614" xr:uid="{00000000-0005-0000-0000-0000C4030000}"/>
    <cellStyle name="20% - Accent2 9 6" xfId="1973" xr:uid="{00000000-0005-0000-0000-0000C5030000}"/>
    <cellStyle name="20% - Accent2 9 6 2" xfId="5142" xr:uid="{00000000-0005-0000-0000-0000C6030000}"/>
    <cellStyle name="20% - Accent2 9 7" xfId="3558" xr:uid="{00000000-0005-0000-0000-0000C7030000}"/>
    <cellStyle name="20% - Accent3 10" xfId="143" xr:uid="{00000000-0005-0000-0000-0000C8030000}"/>
    <cellStyle name="20% - Accent3 10 2" xfId="144" xr:uid="{00000000-0005-0000-0000-0000C9030000}"/>
    <cellStyle name="20% - Accent3 10 2 2" xfId="656" xr:uid="{00000000-0005-0000-0000-0000CA030000}"/>
    <cellStyle name="20% - Accent3 10 2 2 2" xfId="1184" xr:uid="{00000000-0005-0000-0000-0000CB030000}"/>
    <cellStyle name="20% - Accent3 10 2 2 2 2" xfId="2768" xr:uid="{00000000-0005-0000-0000-0000CC030000}"/>
    <cellStyle name="20% - Accent3 10 2 2 2 2 2" xfId="5937" xr:uid="{00000000-0005-0000-0000-0000CD030000}"/>
    <cellStyle name="20% - Accent3 10 2 2 2 3" xfId="4353" xr:uid="{00000000-0005-0000-0000-0000CE030000}"/>
    <cellStyle name="20% - Accent3 10 2 2 3" xfId="1712" xr:uid="{00000000-0005-0000-0000-0000CF030000}"/>
    <cellStyle name="20% - Accent3 10 2 2 3 2" xfId="3296" xr:uid="{00000000-0005-0000-0000-0000D0030000}"/>
    <cellStyle name="20% - Accent3 10 2 2 3 2 2" xfId="6465" xr:uid="{00000000-0005-0000-0000-0000D1030000}"/>
    <cellStyle name="20% - Accent3 10 2 2 3 3" xfId="4881" xr:uid="{00000000-0005-0000-0000-0000D2030000}"/>
    <cellStyle name="20% - Accent3 10 2 2 4" xfId="2240" xr:uid="{00000000-0005-0000-0000-0000D3030000}"/>
    <cellStyle name="20% - Accent3 10 2 2 4 2" xfId="5409" xr:uid="{00000000-0005-0000-0000-0000D4030000}"/>
    <cellStyle name="20% - Accent3 10 2 2 5" xfId="3825" xr:uid="{00000000-0005-0000-0000-0000D5030000}"/>
    <cellStyle name="20% - Accent3 10 2 3" xfId="920" xr:uid="{00000000-0005-0000-0000-0000D6030000}"/>
    <cellStyle name="20% - Accent3 10 2 3 2" xfId="2504" xr:uid="{00000000-0005-0000-0000-0000D7030000}"/>
    <cellStyle name="20% - Accent3 10 2 3 2 2" xfId="5673" xr:uid="{00000000-0005-0000-0000-0000D8030000}"/>
    <cellStyle name="20% - Accent3 10 2 3 3" xfId="4089" xr:uid="{00000000-0005-0000-0000-0000D9030000}"/>
    <cellStyle name="20% - Accent3 10 2 4" xfId="1448" xr:uid="{00000000-0005-0000-0000-0000DA030000}"/>
    <cellStyle name="20% - Accent3 10 2 4 2" xfId="3032" xr:uid="{00000000-0005-0000-0000-0000DB030000}"/>
    <cellStyle name="20% - Accent3 10 2 4 2 2" xfId="6201" xr:uid="{00000000-0005-0000-0000-0000DC030000}"/>
    <cellStyle name="20% - Accent3 10 2 4 3" xfId="4617" xr:uid="{00000000-0005-0000-0000-0000DD030000}"/>
    <cellStyle name="20% - Accent3 10 2 5" xfId="1976" xr:uid="{00000000-0005-0000-0000-0000DE030000}"/>
    <cellStyle name="20% - Accent3 10 2 5 2" xfId="5145" xr:uid="{00000000-0005-0000-0000-0000DF030000}"/>
    <cellStyle name="20% - Accent3 10 2 6" xfId="3561" xr:uid="{00000000-0005-0000-0000-0000E0030000}"/>
    <cellStyle name="20% - Accent3 10 3" xfId="655" xr:uid="{00000000-0005-0000-0000-0000E1030000}"/>
    <cellStyle name="20% - Accent3 10 3 2" xfId="1183" xr:uid="{00000000-0005-0000-0000-0000E2030000}"/>
    <cellStyle name="20% - Accent3 10 3 2 2" xfId="2767" xr:uid="{00000000-0005-0000-0000-0000E3030000}"/>
    <cellStyle name="20% - Accent3 10 3 2 2 2" xfId="5936" xr:uid="{00000000-0005-0000-0000-0000E4030000}"/>
    <cellStyle name="20% - Accent3 10 3 2 3" xfId="4352" xr:uid="{00000000-0005-0000-0000-0000E5030000}"/>
    <cellStyle name="20% - Accent3 10 3 3" xfId="1711" xr:uid="{00000000-0005-0000-0000-0000E6030000}"/>
    <cellStyle name="20% - Accent3 10 3 3 2" xfId="3295" xr:uid="{00000000-0005-0000-0000-0000E7030000}"/>
    <cellStyle name="20% - Accent3 10 3 3 2 2" xfId="6464" xr:uid="{00000000-0005-0000-0000-0000E8030000}"/>
    <cellStyle name="20% - Accent3 10 3 3 3" xfId="4880" xr:uid="{00000000-0005-0000-0000-0000E9030000}"/>
    <cellStyle name="20% - Accent3 10 3 4" xfId="2239" xr:uid="{00000000-0005-0000-0000-0000EA030000}"/>
    <cellStyle name="20% - Accent3 10 3 4 2" xfId="5408" xr:uid="{00000000-0005-0000-0000-0000EB030000}"/>
    <cellStyle name="20% - Accent3 10 3 5" xfId="3824" xr:uid="{00000000-0005-0000-0000-0000EC030000}"/>
    <cellStyle name="20% - Accent3 10 4" xfId="919" xr:uid="{00000000-0005-0000-0000-0000ED030000}"/>
    <cellStyle name="20% - Accent3 10 4 2" xfId="2503" xr:uid="{00000000-0005-0000-0000-0000EE030000}"/>
    <cellStyle name="20% - Accent3 10 4 2 2" xfId="5672" xr:uid="{00000000-0005-0000-0000-0000EF030000}"/>
    <cellStyle name="20% - Accent3 10 4 3" xfId="4088" xr:uid="{00000000-0005-0000-0000-0000F0030000}"/>
    <cellStyle name="20% - Accent3 10 5" xfId="1447" xr:uid="{00000000-0005-0000-0000-0000F1030000}"/>
    <cellStyle name="20% - Accent3 10 5 2" xfId="3031" xr:uid="{00000000-0005-0000-0000-0000F2030000}"/>
    <cellStyle name="20% - Accent3 10 5 2 2" xfId="6200" xr:uid="{00000000-0005-0000-0000-0000F3030000}"/>
    <cellStyle name="20% - Accent3 10 5 3" xfId="4616" xr:uid="{00000000-0005-0000-0000-0000F4030000}"/>
    <cellStyle name="20% - Accent3 10 6" xfId="1975" xr:uid="{00000000-0005-0000-0000-0000F5030000}"/>
    <cellStyle name="20% - Accent3 10 6 2" xfId="5144" xr:uid="{00000000-0005-0000-0000-0000F6030000}"/>
    <cellStyle name="20% - Accent3 10 7" xfId="3560" xr:uid="{00000000-0005-0000-0000-0000F7030000}"/>
    <cellStyle name="20% - Accent3 11" xfId="145" xr:uid="{00000000-0005-0000-0000-0000F8030000}"/>
    <cellStyle name="20% - Accent3 11 2" xfId="657" xr:uid="{00000000-0005-0000-0000-0000F9030000}"/>
    <cellStyle name="20% - Accent3 11 2 2" xfId="1185" xr:uid="{00000000-0005-0000-0000-0000FA030000}"/>
    <cellStyle name="20% - Accent3 11 2 2 2" xfId="2769" xr:uid="{00000000-0005-0000-0000-0000FB030000}"/>
    <cellStyle name="20% - Accent3 11 2 2 2 2" xfId="5938" xr:uid="{00000000-0005-0000-0000-0000FC030000}"/>
    <cellStyle name="20% - Accent3 11 2 2 3" xfId="4354" xr:uid="{00000000-0005-0000-0000-0000FD030000}"/>
    <cellStyle name="20% - Accent3 11 2 3" xfId="1713" xr:uid="{00000000-0005-0000-0000-0000FE030000}"/>
    <cellStyle name="20% - Accent3 11 2 3 2" xfId="3297" xr:uid="{00000000-0005-0000-0000-0000FF030000}"/>
    <cellStyle name="20% - Accent3 11 2 3 2 2" xfId="6466" xr:uid="{00000000-0005-0000-0000-000000040000}"/>
    <cellStyle name="20% - Accent3 11 2 3 3" xfId="4882" xr:uid="{00000000-0005-0000-0000-000001040000}"/>
    <cellStyle name="20% - Accent3 11 2 4" xfId="2241" xr:uid="{00000000-0005-0000-0000-000002040000}"/>
    <cellStyle name="20% - Accent3 11 2 4 2" xfId="5410" xr:uid="{00000000-0005-0000-0000-000003040000}"/>
    <cellStyle name="20% - Accent3 11 2 5" xfId="3826" xr:uid="{00000000-0005-0000-0000-000004040000}"/>
    <cellStyle name="20% - Accent3 11 3" xfId="921" xr:uid="{00000000-0005-0000-0000-000005040000}"/>
    <cellStyle name="20% - Accent3 11 3 2" xfId="2505" xr:uid="{00000000-0005-0000-0000-000006040000}"/>
    <cellStyle name="20% - Accent3 11 3 2 2" xfId="5674" xr:uid="{00000000-0005-0000-0000-000007040000}"/>
    <cellStyle name="20% - Accent3 11 3 3" xfId="4090" xr:uid="{00000000-0005-0000-0000-000008040000}"/>
    <cellStyle name="20% - Accent3 11 4" xfId="1449" xr:uid="{00000000-0005-0000-0000-000009040000}"/>
    <cellStyle name="20% - Accent3 11 4 2" xfId="3033" xr:uid="{00000000-0005-0000-0000-00000A040000}"/>
    <cellStyle name="20% - Accent3 11 4 2 2" xfId="6202" xr:uid="{00000000-0005-0000-0000-00000B040000}"/>
    <cellStyle name="20% - Accent3 11 4 3" xfId="4618" xr:uid="{00000000-0005-0000-0000-00000C040000}"/>
    <cellStyle name="20% - Accent3 11 5" xfId="1977" xr:uid="{00000000-0005-0000-0000-00000D040000}"/>
    <cellStyle name="20% - Accent3 11 5 2" xfId="5146" xr:uid="{00000000-0005-0000-0000-00000E040000}"/>
    <cellStyle name="20% - Accent3 11 6" xfId="3562" xr:uid="{00000000-0005-0000-0000-00000F040000}"/>
    <cellStyle name="20% - Accent3 12" xfId="146" xr:uid="{00000000-0005-0000-0000-000010040000}"/>
    <cellStyle name="20% - Accent3 12 2" xfId="658" xr:uid="{00000000-0005-0000-0000-000011040000}"/>
    <cellStyle name="20% - Accent3 12 2 2" xfId="1186" xr:uid="{00000000-0005-0000-0000-000012040000}"/>
    <cellStyle name="20% - Accent3 12 2 2 2" xfId="2770" xr:uid="{00000000-0005-0000-0000-000013040000}"/>
    <cellStyle name="20% - Accent3 12 2 2 2 2" xfId="5939" xr:uid="{00000000-0005-0000-0000-000014040000}"/>
    <cellStyle name="20% - Accent3 12 2 2 3" xfId="4355" xr:uid="{00000000-0005-0000-0000-000015040000}"/>
    <cellStyle name="20% - Accent3 12 2 3" xfId="1714" xr:uid="{00000000-0005-0000-0000-000016040000}"/>
    <cellStyle name="20% - Accent3 12 2 3 2" xfId="3298" xr:uid="{00000000-0005-0000-0000-000017040000}"/>
    <cellStyle name="20% - Accent3 12 2 3 2 2" xfId="6467" xr:uid="{00000000-0005-0000-0000-000018040000}"/>
    <cellStyle name="20% - Accent3 12 2 3 3" xfId="4883" xr:uid="{00000000-0005-0000-0000-000019040000}"/>
    <cellStyle name="20% - Accent3 12 2 4" xfId="2242" xr:uid="{00000000-0005-0000-0000-00001A040000}"/>
    <cellStyle name="20% - Accent3 12 2 4 2" xfId="5411" xr:uid="{00000000-0005-0000-0000-00001B040000}"/>
    <cellStyle name="20% - Accent3 12 2 5" xfId="3827" xr:uid="{00000000-0005-0000-0000-00001C040000}"/>
    <cellStyle name="20% - Accent3 12 3" xfId="922" xr:uid="{00000000-0005-0000-0000-00001D040000}"/>
    <cellStyle name="20% - Accent3 12 3 2" xfId="2506" xr:uid="{00000000-0005-0000-0000-00001E040000}"/>
    <cellStyle name="20% - Accent3 12 3 2 2" xfId="5675" xr:uid="{00000000-0005-0000-0000-00001F040000}"/>
    <cellStyle name="20% - Accent3 12 3 3" xfId="4091" xr:uid="{00000000-0005-0000-0000-000020040000}"/>
    <cellStyle name="20% - Accent3 12 4" xfId="1450" xr:uid="{00000000-0005-0000-0000-000021040000}"/>
    <cellStyle name="20% - Accent3 12 4 2" xfId="3034" xr:uid="{00000000-0005-0000-0000-000022040000}"/>
    <cellStyle name="20% - Accent3 12 4 2 2" xfId="6203" xr:uid="{00000000-0005-0000-0000-000023040000}"/>
    <cellStyle name="20% - Accent3 12 4 3" xfId="4619" xr:uid="{00000000-0005-0000-0000-000024040000}"/>
    <cellStyle name="20% - Accent3 12 5" xfId="1978" xr:uid="{00000000-0005-0000-0000-000025040000}"/>
    <cellStyle name="20% - Accent3 12 5 2" xfId="5147" xr:uid="{00000000-0005-0000-0000-000026040000}"/>
    <cellStyle name="20% - Accent3 12 6" xfId="3563" xr:uid="{00000000-0005-0000-0000-000027040000}"/>
    <cellStyle name="20% - Accent3 13" xfId="147" xr:uid="{00000000-0005-0000-0000-000028040000}"/>
    <cellStyle name="20% - Accent3 13 2" xfId="659" xr:uid="{00000000-0005-0000-0000-000029040000}"/>
    <cellStyle name="20% - Accent3 13 2 2" xfId="1187" xr:uid="{00000000-0005-0000-0000-00002A040000}"/>
    <cellStyle name="20% - Accent3 13 2 2 2" xfId="2771" xr:uid="{00000000-0005-0000-0000-00002B040000}"/>
    <cellStyle name="20% - Accent3 13 2 2 2 2" xfId="5940" xr:uid="{00000000-0005-0000-0000-00002C040000}"/>
    <cellStyle name="20% - Accent3 13 2 2 3" xfId="4356" xr:uid="{00000000-0005-0000-0000-00002D040000}"/>
    <cellStyle name="20% - Accent3 13 2 3" xfId="1715" xr:uid="{00000000-0005-0000-0000-00002E040000}"/>
    <cellStyle name="20% - Accent3 13 2 3 2" xfId="3299" xr:uid="{00000000-0005-0000-0000-00002F040000}"/>
    <cellStyle name="20% - Accent3 13 2 3 2 2" xfId="6468" xr:uid="{00000000-0005-0000-0000-000030040000}"/>
    <cellStyle name="20% - Accent3 13 2 3 3" xfId="4884" xr:uid="{00000000-0005-0000-0000-000031040000}"/>
    <cellStyle name="20% - Accent3 13 2 4" xfId="2243" xr:uid="{00000000-0005-0000-0000-000032040000}"/>
    <cellStyle name="20% - Accent3 13 2 4 2" xfId="5412" xr:uid="{00000000-0005-0000-0000-000033040000}"/>
    <cellStyle name="20% - Accent3 13 2 5" xfId="3828" xr:uid="{00000000-0005-0000-0000-000034040000}"/>
    <cellStyle name="20% - Accent3 13 3" xfId="923" xr:uid="{00000000-0005-0000-0000-000035040000}"/>
    <cellStyle name="20% - Accent3 13 3 2" xfId="2507" xr:uid="{00000000-0005-0000-0000-000036040000}"/>
    <cellStyle name="20% - Accent3 13 3 2 2" xfId="5676" xr:uid="{00000000-0005-0000-0000-000037040000}"/>
    <cellStyle name="20% - Accent3 13 3 3" xfId="4092" xr:uid="{00000000-0005-0000-0000-000038040000}"/>
    <cellStyle name="20% - Accent3 13 4" xfId="1451" xr:uid="{00000000-0005-0000-0000-000039040000}"/>
    <cellStyle name="20% - Accent3 13 4 2" xfId="3035" xr:uid="{00000000-0005-0000-0000-00003A040000}"/>
    <cellStyle name="20% - Accent3 13 4 2 2" xfId="6204" xr:uid="{00000000-0005-0000-0000-00003B040000}"/>
    <cellStyle name="20% - Accent3 13 4 3" xfId="4620" xr:uid="{00000000-0005-0000-0000-00003C040000}"/>
    <cellStyle name="20% - Accent3 13 5" xfId="1979" xr:uid="{00000000-0005-0000-0000-00003D040000}"/>
    <cellStyle name="20% - Accent3 13 5 2" xfId="5148" xr:uid="{00000000-0005-0000-0000-00003E040000}"/>
    <cellStyle name="20% - Accent3 13 6" xfId="3564" xr:uid="{00000000-0005-0000-0000-00003F040000}"/>
    <cellStyle name="20% - Accent3 14" xfId="148" xr:uid="{00000000-0005-0000-0000-000040040000}"/>
    <cellStyle name="20% - Accent3 14 2" xfId="660" xr:uid="{00000000-0005-0000-0000-000041040000}"/>
    <cellStyle name="20% - Accent3 14 2 2" xfId="1188" xr:uid="{00000000-0005-0000-0000-000042040000}"/>
    <cellStyle name="20% - Accent3 14 2 2 2" xfId="2772" xr:uid="{00000000-0005-0000-0000-000043040000}"/>
    <cellStyle name="20% - Accent3 14 2 2 2 2" xfId="5941" xr:uid="{00000000-0005-0000-0000-000044040000}"/>
    <cellStyle name="20% - Accent3 14 2 2 3" xfId="4357" xr:uid="{00000000-0005-0000-0000-000045040000}"/>
    <cellStyle name="20% - Accent3 14 2 3" xfId="1716" xr:uid="{00000000-0005-0000-0000-000046040000}"/>
    <cellStyle name="20% - Accent3 14 2 3 2" xfId="3300" xr:uid="{00000000-0005-0000-0000-000047040000}"/>
    <cellStyle name="20% - Accent3 14 2 3 2 2" xfId="6469" xr:uid="{00000000-0005-0000-0000-000048040000}"/>
    <cellStyle name="20% - Accent3 14 2 3 3" xfId="4885" xr:uid="{00000000-0005-0000-0000-000049040000}"/>
    <cellStyle name="20% - Accent3 14 2 4" xfId="2244" xr:uid="{00000000-0005-0000-0000-00004A040000}"/>
    <cellStyle name="20% - Accent3 14 2 4 2" xfId="5413" xr:uid="{00000000-0005-0000-0000-00004B040000}"/>
    <cellStyle name="20% - Accent3 14 2 5" xfId="3829" xr:uid="{00000000-0005-0000-0000-00004C040000}"/>
    <cellStyle name="20% - Accent3 14 3" xfId="924" xr:uid="{00000000-0005-0000-0000-00004D040000}"/>
    <cellStyle name="20% - Accent3 14 3 2" xfId="2508" xr:uid="{00000000-0005-0000-0000-00004E040000}"/>
    <cellStyle name="20% - Accent3 14 3 2 2" xfId="5677" xr:uid="{00000000-0005-0000-0000-00004F040000}"/>
    <cellStyle name="20% - Accent3 14 3 3" xfId="4093" xr:uid="{00000000-0005-0000-0000-000050040000}"/>
    <cellStyle name="20% - Accent3 14 4" xfId="1452" xr:uid="{00000000-0005-0000-0000-000051040000}"/>
    <cellStyle name="20% - Accent3 14 4 2" xfId="3036" xr:uid="{00000000-0005-0000-0000-000052040000}"/>
    <cellStyle name="20% - Accent3 14 4 2 2" xfId="6205" xr:uid="{00000000-0005-0000-0000-000053040000}"/>
    <cellStyle name="20% - Accent3 14 4 3" xfId="4621" xr:uid="{00000000-0005-0000-0000-000054040000}"/>
    <cellStyle name="20% - Accent3 14 5" xfId="1980" xr:uid="{00000000-0005-0000-0000-000055040000}"/>
    <cellStyle name="20% - Accent3 14 5 2" xfId="5149" xr:uid="{00000000-0005-0000-0000-000056040000}"/>
    <cellStyle name="20% - Accent3 14 6" xfId="3565" xr:uid="{00000000-0005-0000-0000-000057040000}"/>
    <cellStyle name="20% - Accent3 15" xfId="149" xr:uid="{00000000-0005-0000-0000-000058040000}"/>
    <cellStyle name="20% - Accent3 15 2" xfId="661" xr:uid="{00000000-0005-0000-0000-000059040000}"/>
    <cellStyle name="20% - Accent3 15 2 2" xfId="1189" xr:uid="{00000000-0005-0000-0000-00005A040000}"/>
    <cellStyle name="20% - Accent3 15 2 2 2" xfId="2773" xr:uid="{00000000-0005-0000-0000-00005B040000}"/>
    <cellStyle name="20% - Accent3 15 2 2 2 2" xfId="5942" xr:uid="{00000000-0005-0000-0000-00005C040000}"/>
    <cellStyle name="20% - Accent3 15 2 2 3" xfId="4358" xr:uid="{00000000-0005-0000-0000-00005D040000}"/>
    <cellStyle name="20% - Accent3 15 2 3" xfId="1717" xr:uid="{00000000-0005-0000-0000-00005E040000}"/>
    <cellStyle name="20% - Accent3 15 2 3 2" xfId="3301" xr:uid="{00000000-0005-0000-0000-00005F040000}"/>
    <cellStyle name="20% - Accent3 15 2 3 2 2" xfId="6470" xr:uid="{00000000-0005-0000-0000-000060040000}"/>
    <cellStyle name="20% - Accent3 15 2 3 3" xfId="4886" xr:uid="{00000000-0005-0000-0000-000061040000}"/>
    <cellStyle name="20% - Accent3 15 2 4" xfId="2245" xr:uid="{00000000-0005-0000-0000-000062040000}"/>
    <cellStyle name="20% - Accent3 15 2 4 2" xfId="5414" xr:uid="{00000000-0005-0000-0000-000063040000}"/>
    <cellStyle name="20% - Accent3 15 2 5" xfId="3830" xr:uid="{00000000-0005-0000-0000-000064040000}"/>
    <cellStyle name="20% - Accent3 15 3" xfId="925" xr:uid="{00000000-0005-0000-0000-000065040000}"/>
    <cellStyle name="20% - Accent3 15 3 2" xfId="2509" xr:uid="{00000000-0005-0000-0000-000066040000}"/>
    <cellStyle name="20% - Accent3 15 3 2 2" xfId="5678" xr:uid="{00000000-0005-0000-0000-000067040000}"/>
    <cellStyle name="20% - Accent3 15 3 3" xfId="4094" xr:uid="{00000000-0005-0000-0000-000068040000}"/>
    <cellStyle name="20% - Accent3 15 4" xfId="1453" xr:uid="{00000000-0005-0000-0000-000069040000}"/>
    <cellStyle name="20% - Accent3 15 4 2" xfId="3037" xr:uid="{00000000-0005-0000-0000-00006A040000}"/>
    <cellStyle name="20% - Accent3 15 4 2 2" xfId="6206" xr:uid="{00000000-0005-0000-0000-00006B040000}"/>
    <cellStyle name="20% - Accent3 15 4 3" xfId="4622" xr:uid="{00000000-0005-0000-0000-00006C040000}"/>
    <cellStyle name="20% - Accent3 15 5" xfId="1981" xr:uid="{00000000-0005-0000-0000-00006D040000}"/>
    <cellStyle name="20% - Accent3 15 5 2" xfId="5150" xr:uid="{00000000-0005-0000-0000-00006E040000}"/>
    <cellStyle name="20% - Accent3 15 6" xfId="3566" xr:uid="{00000000-0005-0000-0000-00006F040000}"/>
    <cellStyle name="20% - Accent3 16" xfId="150" xr:uid="{00000000-0005-0000-0000-000070040000}"/>
    <cellStyle name="20% - Accent3 16 2" xfId="662" xr:uid="{00000000-0005-0000-0000-000071040000}"/>
    <cellStyle name="20% - Accent3 16 2 2" xfId="1190" xr:uid="{00000000-0005-0000-0000-000072040000}"/>
    <cellStyle name="20% - Accent3 16 2 2 2" xfId="2774" xr:uid="{00000000-0005-0000-0000-000073040000}"/>
    <cellStyle name="20% - Accent3 16 2 2 2 2" xfId="5943" xr:uid="{00000000-0005-0000-0000-000074040000}"/>
    <cellStyle name="20% - Accent3 16 2 2 3" xfId="4359" xr:uid="{00000000-0005-0000-0000-000075040000}"/>
    <cellStyle name="20% - Accent3 16 2 3" xfId="1718" xr:uid="{00000000-0005-0000-0000-000076040000}"/>
    <cellStyle name="20% - Accent3 16 2 3 2" xfId="3302" xr:uid="{00000000-0005-0000-0000-000077040000}"/>
    <cellStyle name="20% - Accent3 16 2 3 2 2" xfId="6471" xr:uid="{00000000-0005-0000-0000-000078040000}"/>
    <cellStyle name="20% - Accent3 16 2 3 3" xfId="4887" xr:uid="{00000000-0005-0000-0000-000079040000}"/>
    <cellStyle name="20% - Accent3 16 2 4" xfId="2246" xr:uid="{00000000-0005-0000-0000-00007A040000}"/>
    <cellStyle name="20% - Accent3 16 2 4 2" xfId="5415" xr:uid="{00000000-0005-0000-0000-00007B040000}"/>
    <cellStyle name="20% - Accent3 16 2 5" xfId="3831" xr:uid="{00000000-0005-0000-0000-00007C040000}"/>
    <cellStyle name="20% - Accent3 16 3" xfId="926" xr:uid="{00000000-0005-0000-0000-00007D040000}"/>
    <cellStyle name="20% - Accent3 16 3 2" xfId="2510" xr:uid="{00000000-0005-0000-0000-00007E040000}"/>
    <cellStyle name="20% - Accent3 16 3 2 2" xfId="5679" xr:uid="{00000000-0005-0000-0000-00007F040000}"/>
    <cellStyle name="20% - Accent3 16 3 3" xfId="4095" xr:uid="{00000000-0005-0000-0000-000080040000}"/>
    <cellStyle name="20% - Accent3 16 4" xfId="1454" xr:uid="{00000000-0005-0000-0000-000081040000}"/>
    <cellStyle name="20% - Accent3 16 4 2" xfId="3038" xr:uid="{00000000-0005-0000-0000-000082040000}"/>
    <cellStyle name="20% - Accent3 16 4 2 2" xfId="6207" xr:uid="{00000000-0005-0000-0000-000083040000}"/>
    <cellStyle name="20% - Accent3 16 4 3" xfId="4623" xr:uid="{00000000-0005-0000-0000-000084040000}"/>
    <cellStyle name="20% - Accent3 16 5" xfId="1982" xr:uid="{00000000-0005-0000-0000-000085040000}"/>
    <cellStyle name="20% - Accent3 16 5 2" xfId="5151" xr:uid="{00000000-0005-0000-0000-000086040000}"/>
    <cellStyle name="20% - Accent3 16 6" xfId="3567" xr:uid="{00000000-0005-0000-0000-000087040000}"/>
    <cellStyle name="20% - Accent3 2" xfId="3" xr:uid="{00000000-0005-0000-0000-000088040000}"/>
    <cellStyle name="20% - Accent3 2 2" xfId="151" xr:uid="{00000000-0005-0000-0000-000089040000}"/>
    <cellStyle name="20% - Accent3 3" xfId="152" xr:uid="{00000000-0005-0000-0000-00008A040000}"/>
    <cellStyle name="20% - Accent3 4" xfId="153" xr:uid="{00000000-0005-0000-0000-00008B040000}"/>
    <cellStyle name="20% - Accent3 4 2" xfId="154" xr:uid="{00000000-0005-0000-0000-00008C040000}"/>
    <cellStyle name="20% - Accent3 4 2 2" xfId="664" xr:uid="{00000000-0005-0000-0000-00008D040000}"/>
    <cellStyle name="20% - Accent3 4 2 2 2" xfId="1192" xr:uid="{00000000-0005-0000-0000-00008E040000}"/>
    <cellStyle name="20% - Accent3 4 2 2 2 2" xfId="2776" xr:uid="{00000000-0005-0000-0000-00008F040000}"/>
    <cellStyle name="20% - Accent3 4 2 2 2 2 2" xfId="5945" xr:uid="{00000000-0005-0000-0000-000090040000}"/>
    <cellStyle name="20% - Accent3 4 2 2 2 3" xfId="4361" xr:uid="{00000000-0005-0000-0000-000091040000}"/>
    <cellStyle name="20% - Accent3 4 2 2 3" xfId="1720" xr:uid="{00000000-0005-0000-0000-000092040000}"/>
    <cellStyle name="20% - Accent3 4 2 2 3 2" xfId="3304" xr:uid="{00000000-0005-0000-0000-000093040000}"/>
    <cellStyle name="20% - Accent3 4 2 2 3 2 2" xfId="6473" xr:uid="{00000000-0005-0000-0000-000094040000}"/>
    <cellStyle name="20% - Accent3 4 2 2 3 3" xfId="4889" xr:uid="{00000000-0005-0000-0000-000095040000}"/>
    <cellStyle name="20% - Accent3 4 2 2 4" xfId="2248" xr:uid="{00000000-0005-0000-0000-000096040000}"/>
    <cellStyle name="20% - Accent3 4 2 2 4 2" xfId="5417" xr:uid="{00000000-0005-0000-0000-000097040000}"/>
    <cellStyle name="20% - Accent3 4 2 2 5" xfId="3833" xr:uid="{00000000-0005-0000-0000-000098040000}"/>
    <cellStyle name="20% - Accent3 4 2 3" xfId="928" xr:uid="{00000000-0005-0000-0000-000099040000}"/>
    <cellStyle name="20% - Accent3 4 2 3 2" xfId="2512" xr:uid="{00000000-0005-0000-0000-00009A040000}"/>
    <cellStyle name="20% - Accent3 4 2 3 2 2" xfId="5681" xr:uid="{00000000-0005-0000-0000-00009B040000}"/>
    <cellStyle name="20% - Accent3 4 2 3 3" xfId="4097" xr:uid="{00000000-0005-0000-0000-00009C040000}"/>
    <cellStyle name="20% - Accent3 4 2 4" xfId="1456" xr:uid="{00000000-0005-0000-0000-00009D040000}"/>
    <cellStyle name="20% - Accent3 4 2 4 2" xfId="3040" xr:uid="{00000000-0005-0000-0000-00009E040000}"/>
    <cellStyle name="20% - Accent3 4 2 4 2 2" xfId="6209" xr:uid="{00000000-0005-0000-0000-00009F040000}"/>
    <cellStyle name="20% - Accent3 4 2 4 3" xfId="4625" xr:uid="{00000000-0005-0000-0000-0000A0040000}"/>
    <cellStyle name="20% - Accent3 4 2 5" xfId="1984" xr:uid="{00000000-0005-0000-0000-0000A1040000}"/>
    <cellStyle name="20% - Accent3 4 2 5 2" xfId="5153" xr:uid="{00000000-0005-0000-0000-0000A2040000}"/>
    <cellStyle name="20% - Accent3 4 2 6" xfId="3569" xr:uid="{00000000-0005-0000-0000-0000A3040000}"/>
    <cellStyle name="20% - Accent3 4 3" xfId="663" xr:uid="{00000000-0005-0000-0000-0000A4040000}"/>
    <cellStyle name="20% - Accent3 4 3 2" xfId="1191" xr:uid="{00000000-0005-0000-0000-0000A5040000}"/>
    <cellStyle name="20% - Accent3 4 3 2 2" xfId="2775" xr:uid="{00000000-0005-0000-0000-0000A6040000}"/>
    <cellStyle name="20% - Accent3 4 3 2 2 2" xfId="5944" xr:uid="{00000000-0005-0000-0000-0000A7040000}"/>
    <cellStyle name="20% - Accent3 4 3 2 3" xfId="4360" xr:uid="{00000000-0005-0000-0000-0000A8040000}"/>
    <cellStyle name="20% - Accent3 4 3 3" xfId="1719" xr:uid="{00000000-0005-0000-0000-0000A9040000}"/>
    <cellStyle name="20% - Accent3 4 3 3 2" xfId="3303" xr:uid="{00000000-0005-0000-0000-0000AA040000}"/>
    <cellStyle name="20% - Accent3 4 3 3 2 2" xfId="6472" xr:uid="{00000000-0005-0000-0000-0000AB040000}"/>
    <cellStyle name="20% - Accent3 4 3 3 3" xfId="4888" xr:uid="{00000000-0005-0000-0000-0000AC040000}"/>
    <cellStyle name="20% - Accent3 4 3 4" xfId="2247" xr:uid="{00000000-0005-0000-0000-0000AD040000}"/>
    <cellStyle name="20% - Accent3 4 3 4 2" xfId="5416" xr:uid="{00000000-0005-0000-0000-0000AE040000}"/>
    <cellStyle name="20% - Accent3 4 3 5" xfId="3832" xr:uid="{00000000-0005-0000-0000-0000AF040000}"/>
    <cellStyle name="20% - Accent3 4 4" xfId="927" xr:uid="{00000000-0005-0000-0000-0000B0040000}"/>
    <cellStyle name="20% - Accent3 4 4 2" xfId="2511" xr:uid="{00000000-0005-0000-0000-0000B1040000}"/>
    <cellStyle name="20% - Accent3 4 4 2 2" xfId="5680" xr:uid="{00000000-0005-0000-0000-0000B2040000}"/>
    <cellStyle name="20% - Accent3 4 4 3" xfId="4096" xr:uid="{00000000-0005-0000-0000-0000B3040000}"/>
    <cellStyle name="20% - Accent3 4 5" xfId="1455" xr:uid="{00000000-0005-0000-0000-0000B4040000}"/>
    <cellStyle name="20% - Accent3 4 5 2" xfId="3039" xr:uid="{00000000-0005-0000-0000-0000B5040000}"/>
    <cellStyle name="20% - Accent3 4 5 2 2" xfId="6208" xr:uid="{00000000-0005-0000-0000-0000B6040000}"/>
    <cellStyle name="20% - Accent3 4 5 3" xfId="4624" xr:uid="{00000000-0005-0000-0000-0000B7040000}"/>
    <cellStyle name="20% - Accent3 4 6" xfId="1983" xr:uid="{00000000-0005-0000-0000-0000B8040000}"/>
    <cellStyle name="20% - Accent3 4 6 2" xfId="5152" xr:uid="{00000000-0005-0000-0000-0000B9040000}"/>
    <cellStyle name="20% - Accent3 4 7" xfId="3568" xr:uid="{00000000-0005-0000-0000-0000BA040000}"/>
    <cellStyle name="20% - Accent3 5" xfId="155" xr:uid="{00000000-0005-0000-0000-0000BB040000}"/>
    <cellStyle name="20% - Accent3 5 2" xfId="156" xr:uid="{00000000-0005-0000-0000-0000BC040000}"/>
    <cellStyle name="20% - Accent3 5 2 2" xfId="666" xr:uid="{00000000-0005-0000-0000-0000BD040000}"/>
    <cellStyle name="20% - Accent3 5 2 2 2" xfId="1194" xr:uid="{00000000-0005-0000-0000-0000BE040000}"/>
    <cellStyle name="20% - Accent3 5 2 2 2 2" xfId="2778" xr:uid="{00000000-0005-0000-0000-0000BF040000}"/>
    <cellStyle name="20% - Accent3 5 2 2 2 2 2" xfId="5947" xr:uid="{00000000-0005-0000-0000-0000C0040000}"/>
    <cellStyle name="20% - Accent3 5 2 2 2 3" xfId="4363" xr:uid="{00000000-0005-0000-0000-0000C1040000}"/>
    <cellStyle name="20% - Accent3 5 2 2 3" xfId="1722" xr:uid="{00000000-0005-0000-0000-0000C2040000}"/>
    <cellStyle name="20% - Accent3 5 2 2 3 2" xfId="3306" xr:uid="{00000000-0005-0000-0000-0000C3040000}"/>
    <cellStyle name="20% - Accent3 5 2 2 3 2 2" xfId="6475" xr:uid="{00000000-0005-0000-0000-0000C4040000}"/>
    <cellStyle name="20% - Accent3 5 2 2 3 3" xfId="4891" xr:uid="{00000000-0005-0000-0000-0000C5040000}"/>
    <cellStyle name="20% - Accent3 5 2 2 4" xfId="2250" xr:uid="{00000000-0005-0000-0000-0000C6040000}"/>
    <cellStyle name="20% - Accent3 5 2 2 4 2" xfId="5419" xr:uid="{00000000-0005-0000-0000-0000C7040000}"/>
    <cellStyle name="20% - Accent3 5 2 2 5" xfId="3835" xr:uid="{00000000-0005-0000-0000-0000C8040000}"/>
    <cellStyle name="20% - Accent3 5 2 3" xfId="930" xr:uid="{00000000-0005-0000-0000-0000C9040000}"/>
    <cellStyle name="20% - Accent3 5 2 3 2" xfId="2514" xr:uid="{00000000-0005-0000-0000-0000CA040000}"/>
    <cellStyle name="20% - Accent3 5 2 3 2 2" xfId="5683" xr:uid="{00000000-0005-0000-0000-0000CB040000}"/>
    <cellStyle name="20% - Accent3 5 2 3 3" xfId="4099" xr:uid="{00000000-0005-0000-0000-0000CC040000}"/>
    <cellStyle name="20% - Accent3 5 2 4" xfId="1458" xr:uid="{00000000-0005-0000-0000-0000CD040000}"/>
    <cellStyle name="20% - Accent3 5 2 4 2" xfId="3042" xr:uid="{00000000-0005-0000-0000-0000CE040000}"/>
    <cellStyle name="20% - Accent3 5 2 4 2 2" xfId="6211" xr:uid="{00000000-0005-0000-0000-0000CF040000}"/>
    <cellStyle name="20% - Accent3 5 2 4 3" xfId="4627" xr:uid="{00000000-0005-0000-0000-0000D0040000}"/>
    <cellStyle name="20% - Accent3 5 2 5" xfId="1986" xr:uid="{00000000-0005-0000-0000-0000D1040000}"/>
    <cellStyle name="20% - Accent3 5 2 5 2" xfId="5155" xr:uid="{00000000-0005-0000-0000-0000D2040000}"/>
    <cellStyle name="20% - Accent3 5 2 6" xfId="3571" xr:uid="{00000000-0005-0000-0000-0000D3040000}"/>
    <cellStyle name="20% - Accent3 5 3" xfId="665" xr:uid="{00000000-0005-0000-0000-0000D4040000}"/>
    <cellStyle name="20% - Accent3 5 3 2" xfId="1193" xr:uid="{00000000-0005-0000-0000-0000D5040000}"/>
    <cellStyle name="20% - Accent3 5 3 2 2" xfId="2777" xr:uid="{00000000-0005-0000-0000-0000D6040000}"/>
    <cellStyle name="20% - Accent3 5 3 2 2 2" xfId="5946" xr:uid="{00000000-0005-0000-0000-0000D7040000}"/>
    <cellStyle name="20% - Accent3 5 3 2 3" xfId="4362" xr:uid="{00000000-0005-0000-0000-0000D8040000}"/>
    <cellStyle name="20% - Accent3 5 3 3" xfId="1721" xr:uid="{00000000-0005-0000-0000-0000D9040000}"/>
    <cellStyle name="20% - Accent3 5 3 3 2" xfId="3305" xr:uid="{00000000-0005-0000-0000-0000DA040000}"/>
    <cellStyle name="20% - Accent3 5 3 3 2 2" xfId="6474" xr:uid="{00000000-0005-0000-0000-0000DB040000}"/>
    <cellStyle name="20% - Accent3 5 3 3 3" xfId="4890" xr:uid="{00000000-0005-0000-0000-0000DC040000}"/>
    <cellStyle name="20% - Accent3 5 3 4" xfId="2249" xr:uid="{00000000-0005-0000-0000-0000DD040000}"/>
    <cellStyle name="20% - Accent3 5 3 4 2" xfId="5418" xr:uid="{00000000-0005-0000-0000-0000DE040000}"/>
    <cellStyle name="20% - Accent3 5 3 5" xfId="3834" xr:uid="{00000000-0005-0000-0000-0000DF040000}"/>
    <cellStyle name="20% - Accent3 5 4" xfId="929" xr:uid="{00000000-0005-0000-0000-0000E0040000}"/>
    <cellStyle name="20% - Accent3 5 4 2" xfId="2513" xr:uid="{00000000-0005-0000-0000-0000E1040000}"/>
    <cellStyle name="20% - Accent3 5 4 2 2" xfId="5682" xr:uid="{00000000-0005-0000-0000-0000E2040000}"/>
    <cellStyle name="20% - Accent3 5 4 3" xfId="4098" xr:uid="{00000000-0005-0000-0000-0000E3040000}"/>
    <cellStyle name="20% - Accent3 5 5" xfId="1457" xr:uid="{00000000-0005-0000-0000-0000E4040000}"/>
    <cellStyle name="20% - Accent3 5 5 2" xfId="3041" xr:uid="{00000000-0005-0000-0000-0000E5040000}"/>
    <cellStyle name="20% - Accent3 5 5 2 2" xfId="6210" xr:uid="{00000000-0005-0000-0000-0000E6040000}"/>
    <cellStyle name="20% - Accent3 5 5 3" xfId="4626" xr:uid="{00000000-0005-0000-0000-0000E7040000}"/>
    <cellStyle name="20% - Accent3 5 6" xfId="1985" xr:uid="{00000000-0005-0000-0000-0000E8040000}"/>
    <cellStyle name="20% - Accent3 5 6 2" xfId="5154" xr:uid="{00000000-0005-0000-0000-0000E9040000}"/>
    <cellStyle name="20% - Accent3 5 7" xfId="3570" xr:uid="{00000000-0005-0000-0000-0000EA040000}"/>
    <cellStyle name="20% - Accent3 6" xfId="157" xr:uid="{00000000-0005-0000-0000-0000EB040000}"/>
    <cellStyle name="20% - Accent3 6 2" xfId="158" xr:uid="{00000000-0005-0000-0000-0000EC040000}"/>
    <cellStyle name="20% - Accent3 6 2 2" xfId="668" xr:uid="{00000000-0005-0000-0000-0000ED040000}"/>
    <cellStyle name="20% - Accent3 6 2 2 2" xfId="1196" xr:uid="{00000000-0005-0000-0000-0000EE040000}"/>
    <cellStyle name="20% - Accent3 6 2 2 2 2" xfId="2780" xr:uid="{00000000-0005-0000-0000-0000EF040000}"/>
    <cellStyle name="20% - Accent3 6 2 2 2 2 2" xfId="5949" xr:uid="{00000000-0005-0000-0000-0000F0040000}"/>
    <cellStyle name="20% - Accent3 6 2 2 2 3" xfId="4365" xr:uid="{00000000-0005-0000-0000-0000F1040000}"/>
    <cellStyle name="20% - Accent3 6 2 2 3" xfId="1724" xr:uid="{00000000-0005-0000-0000-0000F2040000}"/>
    <cellStyle name="20% - Accent3 6 2 2 3 2" xfId="3308" xr:uid="{00000000-0005-0000-0000-0000F3040000}"/>
    <cellStyle name="20% - Accent3 6 2 2 3 2 2" xfId="6477" xr:uid="{00000000-0005-0000-0000-0000F4040000}"/>
    <cellStyle name="20% - Accent3 6 2 2 3 3" xfId="4893" xr:uid="{00000000-0005-0000-0000-0000F5040000}"/>
    <cellStyle name="20% - Accent3 6 2 2 4" xfId="2252" xr:uid="{00000000-0005-0000-0000-0000F6040000}"/>
    <cellStyle name="20% - Accent3 6 2 2 4 2" xfId="5421" xr:uid="{00000000-0005-0000-0000-0000F7040000}"/>
    <cellStyle name="20% - Accent3 6 2 2 5" xfId="3837" xr:uid="{00000000-0005-0000-0000-0000F8040000}"/>
    <cellStyle name="20% - Accent3 6 2 3" xfId="932" xr:uid="{00000000-0005-0000-0000-0000F9040000}"/>
    <cellStyle name="20% - Accent3 6 2 3 2" xfId="2516" xr:uid="{00000000-0005-0000-0000-0000FA040000}"/>
    <cellStyle name="20% - Accent3 6 2 3 2 2" xfId="5685" xr:uid="{00000000-0005-0000-0000-0000FB040000}"/>
    <cellStyle name="20% - Accent3 6 2 3 3" xfId="4101" xr:uid="{00000000-0005-0000-0000-0000FC040000}"/>
    <cellStyle name="20% - Accent3 6 2 4" xfId="1460" xr:uid="{00000000-0005-0000-0000-0000FD040000}"/>
    <cellStyle name="20% - Accent3 6 2 4 2" xfId="3044" xr:uid="{00000000-0005-0000-0000-0000FE040000}"/>
    <cellStyle name="20% - Accent3 6 2 4 2 2" xfId="6213" xr:uid="{00000000-0005-0000-0000-0000FF040000}"/>
    <cellStyle name="20% - Accent3 6 2 4 3" xfId="4629" xr:uid="{00000000-0005-0000-0000-000000050000}"/>
    <cellStyle name="20% - Accent3 6 2 5" xfId="1988" xr:uid="{00000000-0005-0000-0000-000001050000}"/>
    <cellStyle name="20% - Accent3 6 2 5 2" xfId="5157" xr:uid="{00000000-0005-0000-0000-000002050000}"/>
    <cellStyle name="20% - Accent3 6 2 6" xfId="3573" xr:uid="{00000000-0005-0000-0000-000003050000}"/>
    <cellStyle name="20% - Accent3 6 3" xfId="667" xr:uid="{00000000-0005-0000-0000-000004050000}"/>
    <cellStyle name="20% - Accent3 6 3 2" xfId="1195" xr:uid="{00000000-0005-0000-0000-000005050000}"/>
    <cellStyle name="20% - Accent3 6 3 2 2" xfId="2779" xr:uid="{00000000-0005-0000-0000-000006050000}"/>
    <cellStyle name="20% - Accent3 6 3 2 2 2" xfId="5948" xr:uid="{00000000-0005-0000-0000-000007050000}"/>
    <cellStyle name="20% - Accent3 6 3 2 3" xfId="4364" xr:uid="{00000000-0005-0000-0000-000008050000}"/>
    <cellStyle name="20% - Accent3 6 3 3" xfId="1723" xr:uid="{00000000-0005-0000-0000-000009050000}"/>
    <cellStyle name="20% - Accent3 6 3 3 2" xfId="3307" xr:uid="{00000000-0005-0000-0000-00000A050000}"/>
    <cellStyle name="20% - Accent3 6 3 3 2 2" xfId="6476" xr:uid="{00000000-0005-0000-0000-00000B050000}"/>
    <cellStyle name="20% - Accent3 6 3 3 3" xfId="4892" xr:uid="{00000000-0005-0000-0000-00000C050000}"/>
    <cellStyle name="20% - Accent3 6 3 4" xfId="2251" xr:uid="{00000000-0005-0000-0000-00000D050000}"/>
    <cellStyle name="20% - Accent3 6 3 4 2" xfId="5420" xr:uid="{00000000-0005-0000-0000-00000E050000}"/>
    <cellStyle name="20% - Accent3 6 3 5" xfId="3836" xr:uid="{00000000-0005-0000-0000-00000F050000}"/>
    <cellStyle name="20% - Accent3 6 4" xfId="931" xr:uid="{00000000-0005-0000-0000-000010050000}"/>
    <cellStyle name="20% - Accent3 6 4 2" xfId="2515" xr:uid="{00000000-0005-0000-0000-000011050000}"/>
    <cellStyle name="20% - Accent3 6 4 2 2" xfId="5684" xr:uid="{00000000-0005-0000-0000-000012050000}"/>
    <cellStyle name="20% - Accent3 6 4 3" xfId="4100" xr:uid="{00000000-0005-0000-0000-000013050000}"/>
    <cellStyle name="20% - Accent3 6 5" xfId="1459" xr:uid="{00000000-0005-0000-0000-000014050000}"/>
    <cellStyle name="20% - Accent3 6 5 2" xfId="3043" xr:uid="{00000000-0005-0000-0000-000015050000}"/>
    <cellStyle name="20% - Accent3 6 5 2 2" xfId="6212" xr:uid="{00000000-0005-0000-0000-000016050000}"/>
    <cellStyle name="20% - Accent3 6 5 3" xfId="4628" xr:uid="{00000000-0005-0000-0000-000017050000}"/>
    <cellStyle name="20% - Accent3 6 6" xfId="1987" xr:uid="{00000000-0005-0000-0000-000018050000}"/>
    <cellStyle name="20% - Accent3 6 6 2" xfId="5156" xr:uid="{00000000-0005-0000-0000-000019050000}"/>
    <cellStyle name="20% - Accent3 6 7" xfId="3572" xr:uid="{00000000-0005-0000-0000-00001A050000}"/>
    <cellStyle name="20% - Accent3 7" xfId="159" xr:uid="{00000000-0005-0000-0000-00001B050000}"/>
    <cellStyle name="20% - Accent3 7 2" xfId="160" xr:uid="{00000000-0005-0000-0000-00001C050000}"/>
    <cellStyle name="20% - Accent3 7 2 2" xfId="670" xr:uid="{00000000-0005-0000-0000-00001D050000}"/>
    <cellStyle name="20% - Accent3 7 2 2 2" xfId="1198" xr:uid="{00000000-0005-0000-0000-00001E050000}"/>
    <cellStyle name="20% - Accent3 7 2 2 2 2" xfId="2782" xr:uid="{00000000-0005-0000-0000-00001F050000}"/>
    <cellStyle name="20% - Accent3 7 2 2 2 2 2" xfId="5951" xr:uid="{00000000-0005-0000-0000-000020050000}"/>
    <cellStyle name="20% - Accent3 7 2 2 2 3" xfId="4367" xr:uid="{00000000-0005-0000-0000-000021050000}"/>
    <cellStyle name="20% - Accent3 7 2 2 3" xfId="1726" xr:uid="{00000000-0005-0000-0000-000022050000}"/>
    <cellStyle name="20% - Accent3 7 2 2 3 2" xfId="3310" xr:uid="{00000000-0005-0000-0000-000023050000}"/>
    <cellStyle name="20% - Accent3 7 2 2 3 2 2" xfId="6479" xr:uid="{00000000-0005-0000-0000-000024050000}"/>
    <cellStyle name="20% - Accent3 7 2 2 3 3" xfId="4895" xr:uid="{00000000-0005-0000-0000-000025050000}"/>
    <cellStyle name="20% - Accent3 7 2 2 4" xfId="2254" xr:uid="{00000000-0005-0000-0000-000026050000}"/>
    <cellStyle name="20% - Accent3 7 2 2 4 2" xfId="5423" xr:uid="{00000000-0005-0000-0000-000027050000}"/>
    <cellStyle name="20% - Accent3 7 2 2 5" xfId="3839" xr:uid="{00000000-0005-0000-0000-000028050000}"/>
    <cellStyle name="20% - Accent3 7 2 3" xfId="934" xr:uid="{00000000-0005-0000-0000-000029050000}"/>
    <cellStyle name="20% - Accent3 7 2 3 2" xfId="2518" xr:uid="{00000000-0005-0000-0000-00002A050000}"/>
    <cellStyle name="20% - Accent3 7 2 3 2 2" xfId="5687" xr:uid="{00000000-0005-0000-0000-00002B050000}"/>
    <cellStyle name="20% - Accent3 7 2 3 3" xfId="4103" xr:uid="{00000000-0005-0000-0000-00002C050000}"/>
    <cellStyle name="20% - Accent3 7 2 4" xfId="1462" xr:uid="{00000000-0005-0000-0000-00002D050000}"/>
    <cellStyle name="20% - Accent3 7 2 4 2" xfId="3046" xr:uid="{00000000-0005-0000-0000-00002E050000}"/>
    <cellStyle name="20% - Accent3 7 2 4 2 2" xfId="6215" xr:uid="{00000000-0005-0000-0000-00002F050000}"/>
    <cellStyle name="20% - Accent3 7 2 4 3" xfId="4631" xr:uid="{00000000-0005-0000-0000-000030050000}"/>
    <cellStyle name="20% - Accent3 7 2 5" xfId="1990" xr:uid="{00000000-0005-0000-0000-000031050000}"/>
    <cellStyle name="20% - Accent3 7 2 5 2" xfId="5159" xr:uid="{00000000-0005-0000-0000-000032050000}"/>
    <cellStyle name="20% - Accent3 7 2 6" xfId="3575" xr:uid="{00000000-0005-0000-0000-000033050000}"/>
    <cellStyle name="20% - Accent3 7 3" xfId="669" xr:uid="{00000000-0005-0000-0000-000034050000}"/>
    <cellStyle name="20% - Accent3 7 3 2" xfId="1197" xr:uid="{00000000-0005-0000-0000-000035050000}"/>
    <cellStyle name="20% - Accent3 7 3 2 2" xfId="2781" xr:uid="{00000000-0005-0000-0000-000036050000}"/>
    <cellStyle name="20% - Accent3 7 3 2 2 2" xfId="5950" xr:uid="{00000000-0005-0000-0000-000037050000}"/>
    <cellStyle name="20% - Accent3 7 3 2 3" xfId="4366" xr:uid="{00000000-0005-0000-0000-000038050000}"/>
    <cellStyle name="20% - Accent3 7 3 3" xfId="1725" xr:uid="{00000000-0005-0000-0000-000039050000}"/>
    <cellStyle name="20% - Accent3 7 3 3 2" xfId="3309" xr:uid="{00000000-0005-0000-0000-00003A050000}"/>
    <cellStyle name="20% - Accent3 7 3 3 2 2" xfId="6478" xr:uid="{00000000-0005-0000-0000-00003B050000}"/>
    <cellStyle name="20% - Accent3 7 3 3 3" xfId="4894" xr:uid="{00000000-0005-0000-0000-00003C050000}"/>
    <cellStyle name="20% - Accent3 7 3 4" xfId="2253" xr:uid="{00000000-0005-0000-0000-00003D050000}"/>
    <cellStyle name="20% - Accent3 7 3 4 2" xfId="5422" xr:uid="{00000000-0005-0000-0000-00003E050000}"/>
    <cellStyle name="20% - Accent3 7 3 5" xfId="3838" xr:uid="{00000000-0005-0000-0000-00003F050000}"/>
    <cellStyle name="20% - Accent3 7 4" xfId="933" xr:uid="{00000000-0005-0000-0000-000040050000}"/>
    <cellStyle name="20% - Accent3 7 4 2" xfId="2517" xr:uid="{00000000-0005-0000-0000-000041050000}"/>
    <cellStyle name="20% - Accent3 7 4 2 2" xfId="5686" xr:uid="{00000000-0005-0000-0000-000042050000}"/>
    <cellStyle name="20% - Accent3 7 4 3" xfId="4102" xr:uid="{00000000-0005-0000-0000-000043050000}"/>
    <cellStyle name="20% - Accent3 7 5" xfId="1461" xr:uid="{00000000-0005-0000-0000-000044050000}"/>
    <cellStyle name="20% - Accent3 7 5 2" xfId="3045" xr:uid="{00000000-0005-0000-0000-000045050000}"/>
    <cellStyle name="20% - Accent3 7 5 2 2" xfId="6214" xr:uid="{00000000-0005-0000-0000-000046050000}"/>
    <cellStyle name="20% - Accent3 7 5 3" xfId="4630" xr:uid="{00000000-0005-0000-0000-000047050000}"/>
    <cellStyle name="20% - Accent3 7 6" xfId="1989" xr:uid="{00000000-0005-0000-0000-000048050000}"/>
    <cellStyle name="20% - Accent3 7 6 2" xfId="5158" xr:uid="{00000000-0005-0000-0000-000049050000}"/>
    <cellStyle name="20% - Accent3 7 7" xfId="3574" xr:uid="{00000000-0005-0000-0000-00004A050000}"/>
    <cellStyle name="20% - Accent3 8" xfId="161" xr:uid="{00000000-0005-0000-0000-00004B050000}"/>
    <cellStyle name="20% - Accent3 8 2" xfId="162" xr:uid="{00000000-0005-0000-0000-00004C050000}"/>
    <cellStyle name="20% - Accent3 8 2 2" xfId="672" xr:uid="{00000000-0005-0000-0000-00004D050000}"/>
    <cellStyle name="20% - Accent3 8 2 2 2" xfId="1200" xr:uid="{00000000-0005-0000-0000-00004E050000}"/>
    <cellStyle name="20% - Accent3 8 2 2 2 2" xfId="2784" xr:uid="{00000000-0005-0000-0000-00004F050000}"/>
    <cellStyle name="20% - Accent3 8 2 2 2 2 2" xfId="5953" xr:uid="{00000000-0005-0000-0000-000050050000}"/>
    <cellStyle name="20% - Accent3 8 2 2 2 3" xfId="4369" xr:uid="{00000000-0005-0000-0000-000051050000}"/>
    <cellStyle name="20% - Accent3 8 2 2 3" xfId="1728" xr:uid="{00000000-0005-0000-0000-000052050000}"/>
    <cellStyle name="20% - Accent3 8 2 2 3 2" xfId="3312" xr:uid="{00000000-0005-0000-0000-000053050000}"/>
    <cellStyle name="20% - Accent3 8 2 2 3 2 2" xfId="6481" xr:uid="{00000000-0005-0000-0000-000054050000}"/>
    <cellStyle name="20% - Accent3 8 2 2 3 3" xfId="4897" xr:uid="{00000000-0005-0000-0000-000055050000}"/>
    <cellStyle name="20% - Accent3 8 2 2 4" xfId="2256" xr:uid="{00000000-0005-0000-0000-000056050000}"/>
    <cellStyle name="20% - Accent3 8 2 2 4 2" xfId="5425" xr:uid="{00000000-0005-0000-0000-000057050000}"/>
    <cellStyle name="20% - Accent3 8 2 2 5" xfId="3841" xr:uid="{00000000-0005-0000-0000-000058050000}"/>
    <cellStyle name="20% - Accent3 8 2 3" xfId="936" xr:uid="{00000000-0005-0000-0000-000059050000}"/>
    <cellStyle name="20% - Accent3 8 2 3 2" xfId="2520" xr:uid="{00000000-0005-0000-0000-00005A050000}"/>
    <cellStyle name="20% - Accent3 8 2 3 2 2" xfId="5689" xr:uid="{00000000-0005-0000-0000-00005B050000}"/>
    <cellStyle name="20% - Accent3 8 2 3 3" xfId="4105" xr:uid="{00000000-0005-0000-0000-00005C050000}"/>
    <cellStyle name="20% - Accent3 8 2 4" xfId="1464" xr:uid="{00000000-0005-0000-0000-00005D050000}"/>
    <cellStyle name="20% - Accent3 8 2 4 2" xfId="3048" xr:uid="{00000000-0005-0000-0000-00005E050000}"/>
    <cellStyle name="20% - Accent3 8 2 4 2 2" xfId="6217" xr:uid="{00000000-0005-0000-0000-00005F050000}"/>
    <cellStyle name="20% - Accent3 8 2 4 3" xfId="4633" xr:uid="{00000000-0005-0000-0000-000060050000}"/>
    <cellStyle name="20% - Accent3 8 2 5" xfId="1992" xr:uid="{00000000-0005-0000-0000-000061050000}"/>
    <cellStyle name="20% - Accent3 8 2 5 2" xfId="5161" xr:uid="{00000000-0005-0000-0000-000062050000}"/>
    <cellStyle name="20% - Accent3 8 2 6" xfId="3577" xr:uid="{00000000-0005-0000-0000-000063050000}"/>
    <cellStyle name="20% - Accent3 8 3" xfId="671" xr:uid="{00000000-0005-0000-0000-000064050000}"/>
    <cellStyle name="20% - Accent3 8 3 2" xfId="1199" xr:uid="{00000000-0005-0000-0000-000065050000}"/>
    <cellStyle name="20% - Accent3 8 3 2 2" xfId="2783" xr:uid="{00000000-0005-0000-0000-000066050000}"/>
    <cellStyle name="20% - Accent3 8 3 2 2 2" xfId="5952" xr:uid="{00000000-0005-0000-0000-000067050000}"/>
    <cellStyle name="20% - Accent3 8 3 2 3" xfId="4368" xr:uid="{00000000-0005-0000-0000-000068050000}"/>
    <cellStyle name="20% - Accent3 8 3 3" xfId="1727" xr:uid="{00000000-0005-0000-0000-000069050000}"/>
    <cellStyle name="20% - Accent3 8 3 3 2" xfId="3311" xr:uid="{00000000-0005-0000-0000-00006A050000}"/>
    <cellStyle name="20% - Accent3 8 3 3 2 2" xfId="6480" xr:uid="{00000000-0005-0000-0000-00006B050000}"/>
    <cellStyle name="20% - Accent3 8 3 3 3" xfId="4896" xr:uid="{00000000-0005-0000-0000-00006C050000}"/>
    <cellStyle name="20% - Accent3 8 3 4" xfId="2255" xr:uid="{00000000-0005-0000-0000-00006D050000}"/>
    <cellStyle name="20% - Accent3 8 3 4 2" xfId="5424" xr:uid="{00000000-0005-0000-0000-00006E050000}"/>
    <cellStyle name="20% - Accent3 8 3 5" xfId="3840" xr:uid="{00000000-0005-0000-0000-00006F050000}"/>
    <cellStyle name="20% - Accent3 8 4" xfId="935" xr:uid="{00000000-0005-0000-0000-000070050000}"/>
    <cellStyle name="20% - Accent3 8 4 2" xfId="2519" xr:uid="{00000000-0005-0000-0000-000071050000}"/>
    <cellStyle name="20% - Accent3 8 4 2 2" xfId="5688" xr:uid="{00000000-0005-0000-0000-000072050000}"/>
    <cellStyle name="20% - Accent3 8 4 3" xfId="4104" xr:uid="{00000000-0005-0000-0000-000073050000}"/>
    <cellStyle name="20% - Accent3 8 5" xfId="1463" xr:uid="{00000000-0005-0000-0000-000074050000}"/>
    <cellStyle name="20% - Accent3 8 5 2" xfId="3047" xr:uid="{00000000-0005-0000-0000-000075050000}"/>
    <cellStyle name="20% - Accent3 8 5 2 2" xfId="6216" xr:uid="{00000000-0005-0000-0000-000076050000}"/>
    <cellStyle name="20% - Accent3 8 5 3" xfId="4632" xr:uid="{00000000-0005-0000-0000-000077050000}"/>
    <cellStyle name="20% - Accent3 8 6" xfId="1991" xr:uid="{00000000-0005-0000-0000-000078050000}"/>
    <cellStyle name="20% - Accent3 8 6 2" xfId="5160" xr:uid="{00000000-0005-0000-0000-000079050000}"/>
    <cellStyle name="20% - Accent3 8 7" xfId="3576" xr:uid="{00000000-0005-0000-0000-00007A050000}"/>
    <cellStyle name="20% - Accent3 9" xfId="163" xr:uid="{00000000-0005-0000-0000-00007B050000}"/>
    <cellStyle name="20% - Accent3 9 2" xfId="164" xr:uid="{00000000-0005-0000-0000-00007C050000}"/>
    <cellStyle name="20% - Accent3 9 2 2" xfId="674" xr:uid="{00000000-0005-0000-0000-00007D050000}"/>
    <cellStyle name="20% - Accent3 9 2 2 2" xfId="1202" xr:uid="{00000000-0005-0000-0000-00007E050000}"/>
    <cellStyle name="20% - Accent3 9 2 2 2 2" xfId="2786" xr:uid="{00000000-0005-0000-0000-00007F050000}"/>
    <cellStyle name="20% - Accent3 9 2 2 2 2 2" xfId="5955" xr:uid="{00000000-0005-0000-0000-000080050000}"/>
    <cellStyle name="20% - Accent3 9 2 2 2 3" xfId="4371" xr:uid="{00000000-0005-0000-0000-000081050000}"/>
    <cellStyle name="20% - Accent3 9 2 2 3" xfId="1730" xr:uid="{00000000-0005-0000-0000-000082050000}"/>
    <cellStyle name="20% - Accent3 9 2 2 3 2" xfId="3314" xr:uid="{00000000-0005-0000-0000-000083050000}"/>
    <cellStyle name="20% - Accent3 9 2 2 3 2 2" xfId="6483" xr:uid="{00000000-0005-0000-0000-000084050000}"/>
    <cellStyle name="20% - Accent3 9 2 2 3 3" xfId="4899" xr:uid="{00000000-0005-0000-0000-000085050000}"/>
    <cellStyle name="20% - Accent3 9 2 2 4" xfId="2258" xr:uid="{00000000-0005-0000-0000-000086050000}"/>
    <cellStyle name="20% - Accent3 9 2 2 4 2" xfId="5427" xr:uid="{00000000-0005-0000-0000-000087050000}"/>
    <cellStyle name="20% - Accent3 9 2 2 5" xfId="3843" xr:uid="{00000000-0005-0000-0000-000088050000}"/>
    <cellStyle name="20% - Accent3 9 2 3" xfId="938" xr:uid="{00000000-0005-0000-0000-000089050000}"/>
    <cellStyle name="20% - Accent3 9 2 3 2" xfId="2522" xr:uid="{00000000-0005-0000-0000-00008A050000}"/>
    <cellStyle name="20% - Accent3 9 2 3 2 2" xfId="5691" xr:uid="{00000000-0005-0000-0000-00008B050000}"/>
    <cellStyle name="20% - Accent3 9 2 3 3" xfId="4107" xr:uid="{00000000-0005-0000-0000-00008C050000}"/>
    <cellStyle name="20% - Accent3 9 2 4" xfId="1466" xr:uid="{00000000-0005-0000-0000-00008D050000}"/>
    <cellStyle name="20% - Accent3 9 2 4 2" xfId="3050" xr:uid="{00000000-0005-0000-0000-00008E050000}"/>
    <cellStyle name="20% - Accent3 9 2 4 2 2" xfId="6219" xr:uid="{00000000-0005-0000-0000-00008F050000}"/>
    <cellStyle name="20% - Accent3 9 2 4 3" xfId="4635" xr:uid="{00000000-0005-0000-0000-000090050000}"/>
    <cellStyle name="20% - Accent3 9 2 5" xfId="1994" xr:uid="{00000000-0005-0000-0000-000091050000}"/>
    <cellStyle name="20% - Accent3 9 2 5 2" xfId="5163" xr:uid="{00000000-0005-0000-0000-000092050000}"/>
    <cellStyle name="20% - Accent3 9 2 6" xfId="3579" xr:uid="{00000000-0005-0000-0000-000093050000}"/>
    <cellStyle name="20% - Accent3 9 3" xfId="673" xr:uid="{00000000-0005-0000-0000-000094050000}"/>
    <cellStyle name="20% - Accent3 9 3 2" xfId="1201" xr:uid="{00000000-0005-0000-0000-000095050000}"/>
    <cellStyle name="20% - Accent3 9 3 2 2" xfId="2785" xr:uid="{00000000-0005-0000-0000-000096050000}"/>
    <cellStyle name="20% - Accent3 9 3 2 2 2" xfId="5954" xr:uid="{00000000-0005-0000-0000-000097050000}"/>
    <cellStyle name="20% - Accent3 9 3 2 3" xfId="4370" xr:uid="{00000000-0005-0000-0000-000098050000}"/>
    <cellStyle name="20% - Accent3 9 3 3" xfId="1729" xr:uid="{00000000-0005-0000-0000-000099050000}"/>
    <cellStyle name="20% - Accent3 9 3 3 2" xfId="3313" xr:uid="{00000000-0005-0000-0000-00009A050000}"/>
    <cellStyle name="20% - Accent3 9 3 3 2 2" xfId="6482" xr:uid="{00000000-0005-0000-0000-00009B050000}"/>
    <cellStyle name="20% - Accent3 9 3 3 3" xfId="4898" xr:uid="{00000000-0005-0000-0000-00009C050000}"/>
    <cellStyle name="20% - Accent3 9 3 4" xfId="2257" xr:uid="{00000000-0005-0000-0000-00009D050000}"/>
    <cellStyle name="20% - Accent3 9 3 4 2" xfId="5426" xr:uid="{00000000-0005-0000-0000-00009E050000}"/>
    <cellStyle name="20% - Accent3 9 3 5" xfId="3842" xr:uid="{00000000-0005-0000-0000-00009F050000}"/>
    <cellStyle name="20% - Accent3 9 4" xfId="937" xr:uid="{00000000-0005-0000-0000-0000A0050000}"/>
    <cellStyle name="20% - Accent3 9 4 2" xfId="2521" xr:uid="{00000000-0005-0000-0000-0000A1050000}"/>
    <cellStyle name="20% - Accent3 9 4 2 2" xfId="5690" xr:uid="{00000000-0005-0000-0000-0000A2050000}"/>
    <cellStyle name="20% - Accent3 9 4 3" xfId="4106" xr:uid="{00000000-0005-0000-0000-0000A3050000}"/>
    <cellStyle name="20% - Accent3 9 5" xfId="1465" xr:uid="{00000000-0005-0000-0000-0000A4050000}"/>
    <cellStyle name="20% - Accent3 9 5 2" xfId="3049" xr:uid="{00000000-0005-0000-0000-0000A5050000}"/>
    <cellStyle name="20% - Accent3 9 5 2 2" xfId="6218" xr:uid="{00000000-0005-0000-0000-0000A6050000}"/>
    <cellStyle name="20% - Accent3 9 5 3" xfId="4634" xr:uid="{00000000-0005-0000-0000-0000A7050000}"/>
    <cellStyle name="20% - Accent3 9 6" xfId="1993" xr:uid="{00000000-0005-0000-0000-0000A8050000}"/>
    <cellStyle name="20% - Accent3 9 6 2" xfId="5162" xr:uid="{00000000-0005-0000-0000-0000A9050000}"/>
    <cellStyle name="20% - Accent3 9 7" xfId="3578" xr:uid="{00000000-0005-0000-0000-0000AA050000}"/>
    <cellStyle name="20% - Accent4 10" xfId="165" xr:uid="{00000000-0005-0000-0000-0000AB050000}"/>
    <cellStyle name="20% - Accent4 10 2" xfId="166" xr:uid="{00000000-0005-0000-0000-0000AC050000}"/>
    <cellStyle name="20% - Accent4 10 2 2" xfId="676" xr:uid="{00000000-0005-0000-0000-0000AD050000}"/>
    <cellStyle name="20% - Accent4 10 2 2 2" xfId="1204" xr:uid="{00000000-0005-0000-0000-0000AE050000}"/>
    <cellStyle name="20% - Accent4 10 2 2 2 2" xfId="2788" xr:uid="{00000000-0005-0000-0000-0000AF050000}"/>
    <cellStyle name="20% - Accent4 10 2 2 2 2 2" xfId="5957" xr:uid="{00000000-0005-0000-0000-0000B0050000}"/>
    <cellStyle name="20% - Accent4 10 2 2 2 3" xfId="4373" xr:uid="{00000000-0005-0000-0000-0000B1050000}"/>
    <cellStyle name="20% - Accent4 10 2 2 3" xfId="1732" xr:uid="{00000000-0005-0000-0000-0000B2050000}"/>
    <cellStyle name="20% - Accent4 10 2 2 3 2" xfId="3316" xr:uid="{00000000-0005-0000-0000-0000B3050000}"/>
    <cellStyle name="20% - Accent4 10 2 2 3 2 2" xfId="6485" xr:uid="{00000000-0005-0000-0000-0000B4050000}"/>
    <cellStyle name="20% - Accent4 10 2 2 3 3" xfId="4901" xr:uid="{00000000-0005-0000-0000-0000B5050000}"/>
    <cellStyle name="20% - Accent4 10 2 2 4" xfId="2260" xr:uid="{00000000-0005-0000-0000-0000B6050000}"/>
    <cellStyle name="20% - Accent4 10 2 2 4 2" xfId="5429" xr:uid="{00000000-0005-0000-0000-0000B7050000}"/>
    <cellStyle name="20% - Accent4 10 2 2 5" xfId="3845" xr:uid="{00000000-0005-0000-0000-0000B8050000}"/>
    <cellStyle name="20% - Accent4 10 2 3" xfId="940" xr:uid="{00000000-0005-0000-0000-0000B9050000}"/>
    <cellStyle name="20% - Accent4 10 2 3 2" xfId="2524" xr:uid="{00000000-0005-0000-0000-0000BA050000}"/>
    <cellStyle name="20% - Accent4 10 2 3 2 2" xfId="5693" xr:uid="{00000000-0005-0000-0000-0000BB050000}"/>
    <cellStyle name="20% - Accent4 10 2 3 3" xfId="4109" xr:uid="{00000000-0005-0000-0000-0000BC050000}"/>
    <cellStyle name="20% - Accent4 10 2 4" xfId="1468" xr:uid="{00000000-0005-0000-0000-0000BD050000}"/>
    <cellStyle name="20% - Accent4 10 2 4 2" xfId="3052" xr:uid="{00000000-0005-0000-0000-0000BE050000}"/>
    <cellStyle name="20% - Accent4 10 2 4 2 2" xfId="6221" xr:uid="{00000000-0005-0000-0000-0000BF050000}"/>
    <cellStyle name="20% - Accent4 10 2 4 3" xfId="4637" xr:uid="{00000000-0005-0000-0000-0000C0050000}"/>
    <cellStyle name="20% - Accent4 10 2 5" xfId="1996" xr:uid="{00000000-0005-0000-0000-0000C1050000}"/>
    <cellStyle name="20% - Accent4 10 2 5 2" xfId="5165" xr:uid="{00000000-0005-0000-0000-0000C2050000}"/>
    <cellStyle name="20% - Accent4 10 2 6" xfId="3581" xr:uid="{00000000-0005-0000-0000-0000C3050000}"/>
    <cellStyle name="20% - Accent4 10 3" xfId="675" xr:uid="{00000000-0005-0000-0000-0000C4050000}"/>
    <cellStyle name="20% - Accent4 10 3 2" xfId="1203" xr:uid="{00000000-0005-0000-0000-0000C5050000}"/>
    <cellStyle name="20% - Accent4 10 3 2 2" xfId="2787" xr:uid="{00000000-0005-0000-0000-0000C6050000}"/>
    <cellStyle name="20% - Accent4 10 3 2 2 2" xfId="5956" xr:uid="{00000000-0005-0000-0000-0000C7050000}"/>
    <cellStyle name="20% - Accent4 10 3 2 3" xfId="4372" xr:uid="{00000000-0005-0000-0000-0000C8050000}"/>
    <cellStyle name="20% - Accent4 10 3 3" xfId="1731" xr:uid="{00000000-0005-0000-0000-0000C9050000}"/>
    <cellStyle name="20% - Accent4 10 3 3 2" xfId="3315" xr:uid="{00000000-0005-0000-0000-0000CA050000}"/>
    <cellStyle name="20% - Accent4 10 3 3 2 2" xfId="6484" xr:uid="{00000000-0005-0000-0000-0000CB050000}"/>
    <cellStyle name="20% - Accent4 10 3 3 3" xfId="4900" xr:uid="{00000000-0005-0000-0000-0000CC050000}"/>
    <cellStyle name="20% - Accent4 10 3 4" xfId="2259" xr:uid="{00000000-0005-0000-0000-0000CD050000}"/>
    <cellStyle name="20% - Accent4 10 3 4 2" xfId="5428" xr:uid="{00000000-0005-0000-0000-0000CE050000}"/>
    <cellStyle name="20% - Accent4 10 3 5" xfId="3844" xr:uid="{00000000-0005-0000-0000-0000CF050000}"/>
    <cellStyle name="20% - Accent4 10 4" xfId="939" xr:uid="{00000000-0005-0000-0000-0000D0050000}"/>
    <cellStyle name="20% - Accent4 10 4 2" xfId="2523" xr:uid="{00000000-0005-0000-0000-0000D1050000}"/>
    <cellStyle name="20% - Accent4 10 4 2 2" xfId="5692" xr:uid="{00000000-0005-0000-0000-0000D2050000}"/>
    <cellStyle name="20% - Accent4 10 4 3" xfId="4108" xr:uid="{00000000-0005-0000-0000-0000D3050000}"/>
    <cellStyle name="20% - Accent4 10 5" xfId="1467" xr:uid="{00000000-0005-0000-0000-0000D4050000}"/>
    <cellStyle name="20% - Accent4 10 5 2" xfId="3051" xr:uid="{00000000-0005-0000-0000-0000D5050000}"/>
    <cellStyle name="20% - Accent4 10 5 2 2" xfId="6220" xr:uid="{00000000-0005-0000-0000-0000D6050000}"/>
    <cellStyle name="20% - Accent4 10 5 3" xfId="4636" xr:uid="{00000000-0005-0000-0000-0000D7050000}"/>
    <cellStyle name="20% - Accent4 10 6" xfId="1995" xr:uid="{00000000-0005-0000-0000-0000D8050000}"/>
    <cellStyle name="20% - Accent4 10 6 2" xfId="5164" xr:uid="{00000000-0005-0000-0000-0000D9050000}"/>
    <cellStyle name="20% - Accent4 10 7" xfId="3580" xr:uid="{00000000-0005-0000-0000-0000DA050000}"/>
    <cellStyle name="20% - Accent4 11" xfId="167" xr:uid="{00000000-0005-0000-0000-0000DB050000}"/>
    <cellStyle name="20% - Accent4 11 2" xfId="677" xr:uid="{00000000-0005-0000-0000-0000DC050000}"/>
    <cellStyle name="20% - Accent4 11 2 2" xfId="1205" xr:uid="{00000000-0005-0000-0000-0000DD050000}"/>
    <cellStyle name="20% - Accent4 11 2 2 2" xfId="2789" xr:uid="{00000000-0005-0000-0000-0000DE050000}"/>
    <cellStyle name="20% - Accent4 11 2 2 2 2" xfId="5958" xr:uid="{00000000-0005-0000-0000-0000DF050000}"/>
    <cellStyle name="20% - Accent4 11 2 2 3" xfId="4374" xr:uid="{00000000-0005-0000-0000-0000E0050000}"/>
    <cellStyle name="20% - Accent4 11 2 3" xfId="1733" xr:uid="{00000000-0005-0000-0000-0000E1050000}"/>
    <cellStyle name="20% - Accent4 11 2 3 2" xfId="3317" xr:uid="{00000000-0005-0000-0000-0000E2050000}"/>
    <cellStyle name="20% - Accent4 11 2 3 2 2" xfId="6486" xr:uid="{00000000-0005-0000-0000-0000E3050000}"/>
    <cellStyle name="20% - Accent4 11 2 3 3" xfId="4902" xr:uid="{00000000-0005-0000-0000-0000E4050000}"/>
    <cellStyle name="20% - Accent4 11 2 4" xfId="2261" xr:uid="{00000000-0005-0000-0000-0000E5050000}"/>
    <cellStyle name="20% - Accent4 11 2 4 2" xfId="5430" xr:uid="{00000000-0005-0000-0000-0000E6050000}"/>
    <cellStyle name="20% - Accent4 11 2 5" xfId="3846" xr:uid="{00000000-0005-0000-0000-0000E7050000}"/>
    <cellStyle name="20% - Accent4 11 3" xfId="941" xr:uid="{00000000-0005-0000-0000-0000E8050000}"/>
    <cellStyle name="20% - Accent4 11 3 2" xfId="2525" xr:uid="{00000000-0005-0000-0000-0000E9050000}"/>
    <cellStyle name="20% - Accent4 11 3 2 2" xfId="5694" xr:uid="{00000000-0005-0000-0000-0000EA050000}"/>
    <cellStyle name="20% - Accent4 11 3 3" xfId="4110" xr:uid="{00000000-0005-0000-0000-0000EB050000}"/>
    <cellStyle name="20% - Accent4 11 4" xfId="1469" xr:uid="{00000000-0005-0000-0000-0000EC050000}"/>
    <cellStyle name="20% - Accent4 11 4 2" xfId="3053" xr:uid="{00000000-0005-0000-0000-0000ED050000}"/>
    <cellStyle name="20% - Accent4 11 4 2 2" xfId="6222" xr:uid="{00000000-0005-0000-0000-0000EE050000}"/>
    <cellStyle name="20% - Accent4 11 4 3" xfId="4638" xr:uid="{00000000-0005-0000-0000-0000EF050000}"/>
    <cellStyle name="20% - Accent4 11 5" xfId="1997" xr:uid="{00000000-0005-0000-0000-0000F0050000}"/>
    <cellStyle name="20% - Accent4 11 5 2" xfId="5166" xr:uid="{00000000-0005-0000-0000-0000F1050000}"/>
    <cellStyle name="20% - Accent4 11 6" xfId="3582" xr:uid="{00000000-0005-0000-0000-0000F2050000}"/>
    <cellStyle name="20% - Accent4 12" xfId="168" xr:uid="{00000000-0005-0000-0000-0000F3050000}"/>
    <cellStyle name="20% - Accent4 12 2" xfId="678" xr:uid="{00000000-0005-0000-0000-0000F4050000}"/>
    <cellStyle name="20% - Accent4 12 2 2" xfId="1206" xr:uid="{00000000-0005-0000-0000-0000F5050000}"/>
    <cellStyle name="20% - Accent4 12 2 2 2" xfId="2790" xr:uid="{00000000-0005-0000-0000-0000F6050000}"/>
    <cellStyle name="20% - Accent4 12 2 2 2 2" xfId="5959" xr:uid="{00000000-0005-0000-0000-0000F7050000}"/>
    <cellStyle name="20% - Accent4 12 2 2 3" xfId="4375" xr:uid="{00000000-0005-0000-0000-0000F8050000}"/>
    <cellStyle name="20% - Accent4 12 2 3" xfId="1734" xr:uid="{00000000-0005-0000-0000-0000F9050000}"/>
    <cellStyle name="20% - Accent4 12 2 3 2" xfId="3318" xr:uid="{00000000-0005-0000-0000-0000FA050000}"/>
    <cellStyle name="20% - Accent4 12 2 3 2 2" xfId="6487" xr:uid="{00000000-0005-0000-0000-0000FB050000}"/>
    <cellStyle name="20% - Accent4 12 2 3 3" xfId="4903" xr:uid="{00000000-0005-0000-0000-0000FC050000}"/>
    <cellStyle name="20% - Accent4 12 2 4" xfId="2262" xr:uid="{00000000-0005-0000-0000-0000FD050000}"/>
    <cellStyle name="20% - Accent4 12 2 4 2" xfId="5431" xr:uid="{00000000-0005-0000-0000-0000FE050000}"/>
    <cellStyle name="20% - Accent4 12 2 5" xfId="3847" xr:uid="{00000000-0005-0000-0000-0000FF050000}"/>
    <cellStyle name="20% - Accent4 12 3" xfId="942" xr:uid="{00000000-0005-0000-0000-000000060000}"/>
    <cellStyle name="20% - Accent4 12 3 2" xfId="2526" xr:uid="{00000000-0005-0000-0000-000001060000}"/>
    <cellStyle name="20% - Accent4 12 3 2 2" xfId="5695" xr:uid="{00000000-0005-0000-0000-000002060000}"/>
    <cellStyle name="20% - Accent4 12 3 3" xfId="4111" xr:uid="{00000000-0005-0000-0000-000003060000}"/>
    <cellStyle name="20% - Accent4 12 4" xfId="1470" xr:uid="{00000000-0005-0000-0000-000004060000}"/>
    <cellStyle name="20% - Accent4 12 4 2" xfId="3054" xr:uid="{00000000-0005-0000-0000-000005060000}"/>
    <cellStyle name="20% - Accent4 12 4 2 2" xfId="6223" xr:uid="{00000000-0005-0000-0000-000006060000}"/>
    <cellStyle name="20% - Accent4 12 4 3" xfId="4639" xr:uid="{00000000-0005-0000-0000-000007060000}"/>
    <cellStyle name="20% - Accent4 12 5" xfId="1998" xr:uid="{00000000-0005-0000-0000-000008060000}"/>
    <cellStyle name="20% - Accent4 12 5 2" xfId="5167" xr:uid="{00000000-0005-0000-0000-000009060000}"/>
    <cellStyle name="20% - Accent4 12 6" xfId="3583" xr:uid="{00000000-0005-0000-0000-00000A060000}"/>
    <cellStyle name="20% - Accent4 13" xfId="169" xr:uid="{00000000-0005-0000-0000-00000B060000}"/>
    <cellStyle name="20% - Accent4 13 2" xfId="679" xr:uid="{00000000-0005-0000-0000-00000C060000}"/>
    <cellStyle name="20% - Accent4 13 2 2" xfId="1207" xr:uid="{00000000-0005-0000-0000-00000D060000}"/>
    <cellStyle name="20% - Accent4 13 2 2 2" xfId="2791" xr:uid="{00000000-0005-0000-0000-00000E060000}"/>
    <cellStyle name="20% - Accent4 13 2 2 2 2" xfId="5960" xr:uid="{00000000-0005-0000-0000-00000F060000}"/>
    <cellStyle name="20% - Accent4 13 2 2 3" xfId="4376" xr:uid="{00000000-0005-0000-0000-000010060000}"/>
    <cellStyle name="20% - Accent4 13 2 3" xfId="1735" xr:uid="{00000000-0005-0000-0000-000011060000}"/>
    <cellStyle name="20% - Accent4 13 2 3 2" xfId="3319" xr:uid="{00000000-0005-0000-0000-000012060000}"/>
    <cellStyle name="20% - Accent4 13 2 3 2 2" xfId="6488" xr:uid="{00000000-0005-0000-0000-000013060000}"/>
    <cellStyle name="20% - Accent4 13 2 3 3" xfId="4904" xr:uid="{00000000-0005-0000-0000-000014060000}"/>
    <cellStyle name="20% - Accent4 13 2 4" xfId="2263" xr:uid="{00000000-0005-0000-0000-000015060000}"/>
    <cellStyle name="20% - Accent4 13 2 4 2" xfId="5432" xr:uid="{00000000-0005-0000-0000-000016060000}"/>
    <cellStyle name="20% - Accent4 13 2 5" xfId="3848" xr:uid="{00000000-0005-0000-0000-000017060000}"/>
    <cellStyle name="20% - Accent4 13 3" xfId="943" xr:uid="{00000000-0005-0000-0000-000018060000}"/>
    <cellStyle name="20% - Accent4 13 3 2" xfId="2527" xr:uid="{00000000-0005-0000-0000-000019060000}"/>
    <cellStyle name="20% - Accent4 13 3 2 2" xfId="5696" xr:uid="{00000000-0005-0000-0000-00001A060000}"/>
    <cellStyle name="20% - Accent4 13 3 3" xfId="4112" xr:uid="{00000000-0005-0000-0000-00001B060000}"/>
    <cellStyle name="20% - Accent4 13 4" xfId="1471" xr:uid="{00000000-0005-0000-0000-00001C060000}"/>
    <cellStyle name="20% - Accent4 13 4 2" xfId="3055" xr:uid="{00000000-0005-0000-0000-00001D060000}"/>
    <cellStyle name="20% - Accent4 13 4 2 2" xfId="6224" xr:uid="{00000000-0005-0000-0000-00001E060000}"/>
    <cellStyle name="20% - Accent4 13 4 3" xfId="4640" xr:uid="{00000000-0005-0000-0000-00001F060000}"/>
    <cellStyle name="20% - Accent4 13 5" xfId="1999" xr:uid="{00000000-0005-0000-0000-000020060000}"/>
    <cellStyle name="20% - Accent4 13 5 2" xfId="5168" xr:uid="{00000000-0005-0000-0000-000021060000}"/>
    <cellStyle name="20% - Accent4 13 6" xfId="3584" xr:uid="{00000000-0005-0000-0000-000022060000}"/>
    <cellStyle name="20% - Accent4 14" xfId="170" xr:uid="{00000000-0005-0000-0000-000023060000}"/>
    <cellStyle name="20% - Accent4 14 2" xfId="680" xr:uid="{00000000-0005-0000-0000-000024060000}"/>
    <cellStyle name="20% - Accent4 14 2 2" xfId="1208" xr:uid="{00000000-0005-0000-0000-000025060000}"/>
    <cellStyle name="20% - Accent4 14 2 2 2" xfId="2792" xr:uid="{00000000-0005-0000-0000-000026060000}"/>
    <cellStyle name="20% - Accent4 14 2 2 2 2" xfId="5961" xr:uid="{00000000-0005-0000-0000-000027060000}"/>
    <cellStyle name="20% - Accent4 14 2 2 3" xfId="4377" xr:uid="{00000000-0005-0000-0000-000028060000}"/>
    <cellStyle name="20% - Accent4 14 2 3" xfId="1736" xr:uid="{00000000-0005-0000-0000-000029060000}"/>
    <cellStyle name="20% - Accent4 14 2 3 2" xfId="3320" xr:uid="{00000000-0005-0000-0000-00002A060000}"/>
    <cellStyle name="20% - Accent4 14 2 3 2 2" xfId="6489" xr:uid="{00000000-0005-0000-0000-00002B060000}"/>
    <cellStyle name="20% - Accent4 14 2 3 3" xfId="4905" xr:uid="{00000000-0005-0000-0000-00002C060000}"/>
    <cellStyle name="20% - Accent4 14 2 4" xfId="2264" xr:uid="{00000000-0005-0000-0000-00002D060000}"/>
    <cellStyle name="20% - Accent4 14 2 4 2" xfId="5433" xr:uid="{00000000-0005-0000-0000-00002E060000}"/>
    <cellStyle name="20% - Accent4 14 2 5" xfId="3849" xr:uid="{00000000-0005-0000-0000-00002F060000}"/>
    <cellStyle name="20% - Accent4 14 3" xfId="944" xr:uid="{00000000-0005-0000-0000-000030060000}"/>
    <cellStyle name="20% - Accent4 14 3 2" xfId="2528" xr:uid="{00000000-0005-0000-0000-000031060000}"/>
    <cellStyle name="20% - Accent4 14 3 2 2" xfId="5697" xr:uid="{00000000-0005-0000-0000-000032060000}"/>
    <cellStyle name="20% - Accent4 14 3 3" xfId="4113" xr:uid="{00000000-0005-0000-0000-000033060000}"/>
    <cellStyle name="20% - Accent4 14 4" xfId="1472" xr:uid="{00000000-0005-0000-0000-000034060000}"/>
    <cellStyle name="20% - Accent4 14 4 2" xfId="3056" xr:uid="{00000000-0005-0000-0000-000035060000}"/>
    <cellStyle name="20% - Accent4 14 4 2 2" xfId="6225" xr:uid="{00000000-0005-0000-0000-000036060000}"/>
    <cellStyle name="20% - Accent4 14 4 3" xfId="4641" xr:uid="{00000000-0005-0000-0000-000037060000}"/>
    <cellStyle name="20% - Accent4 14 5" xfId="2000" xr:uid="{00000000-0005-0000-0000-000038060000}"/>
    <cellStyle name="20% - Accent4 14 5 2" xfId="5169" xr:uid="{00000000-0005-0000-0000-000039060000}"/>
    <cellStyle name="20% - Accent4 14 6" xfId="3585" xr:uid="{00000000-0005-0000-0000-00003A060000}"/>
    <cellStyle name="20% - Accent4 15" xfId="171" xr:uid="{00000000-0005-0000-0000-00003B060000}"/>
    <cellStyle name="20% - Accent4 15 2" xfId="681" xr:uid="{00000000-0005-0000-0000-00003C060000}"/>
    <cellStyle name="20% - Accent4 15 2 2" xfId="1209" xr:uid="{00000000-0005-0000-0000-00003D060000}"/>
    <cellStyle name="20% - Accent4 15 2 2 2" xfId="2793" xr:uid="{00000000-0005-0000-0000-00003E060000}"/>
    <cellStyle name="20% - Accent4 15 2 2 2 2" xfId="5962" xr:uid="{00000000-0005-0000-0000-00003F060000}"/>
    <cellStyle name="20% - Accent4 15 2 2 3" xfId="4378" xr:uid="{00000000-0005-0000-0000-000040060000}"/>
    <cellStyle name="20% - Accent4 15 2 3" xfId="1737" xr:uid="{00000000-0005-0000-0000-000041060000}"/>
    <cellStyle name="20% - Accent4 15 2 3 2" xfId="3321" xr:uid="{00000000-0005-0000-0000-000042060000}"/>
    <cellStyle name="20% - Accent4 15 2 3 2 2" xfId="6490" xr:uid="{00000000-0005-0000-0000-000043060000}"/>
    <cellStyle name="20% - Accent4 15 2 3 3" xfId="4906" xr:uid="{00000000-0005-0000-0000-000044060000}"/>
    <cellStyle name="20% - Accent4 15 2 4" xfId="2265" xr:uid="{00000000-0005-0000-0000-000045060000}"/>
    <cellStyle name="20% - Accent4 15 2 4 2" xfId="5434" xr:uid="{00000000-0005-0000-0000-000046060000}"/>
    <cellStyle name="20% - Accent4 15 2 5" xfId="3850" xr:uid="{00000000-0005-0000-0000-000047060000}"/>
    <cellStyle name="20% - Accent4 15 3" xfId="945" xr:uid="{00000000-0005-0000-0000-000048060000}"/>
    <cellStyle name="20% - Accent4 15 3 2" xfId="2529" xr:uid="{00000000-0005-0000-0000-000049060000}"/>
    <cellStyle name="20% - Accent4 15 3 2 2" xfId="5698" xr:uid="{00000000-0005-0000-0000-00004A060000}"/>
    <cellStyle name="20% - Accent4 15 3 3" xfId="4114" xr:uid="{00000000-0005-0000-0000-00004B060000}"/>
    <cellStyle name="20% - Accent4 15 4" xfId="1473" xr:uid="{00000000-0005-0000-0000-00004C060000}"/>
    <cellStyle name="20% - Accent4 15 4 2" xfId="3057" xr:uid="{00000000-0005-0000-0000-00004D060000}"/>
    <cellStyle name="20% - Accent4 15 4 2 2" xfId="6226" xr:uid="{00000000-0005-0000-0000-00004E060000}"/>
    <cellStyle name="20% - Accent4 15 4 3" xfId="4642" xr:uid="{00000000-0005-0000-0000-00004F060000}"/>
    <cellStyle name="20% - Accent4 15 5" xfId="2001" xr:uid="{00000000-0005-0000-0000-000050060000}"/>
    <cellStyle name="20% - Accent4 15 5 2" xfId="5170" xr:uid="{00000000-0005-0000-0000-000051060000}"/>
    <cellStyle name="20% - Accent4 15 6" xfId="3586" xr:uid="{00000000-0005-0000-0000-000052060000}"/>
    <cellStyle name="20% - Accent4 16" xfId="172" xr:uid="{00000000-0005-0000-0000-000053060000}"/>
    <cellStyle name="20% - Accent4 16 2" xfId="682" xr:uid="{00000000-0005-0000-0000-000054060000}"/>
    <cellStyle name="20% - Accent4 16 2 2" xfId="1210" xr:uid="{00000000-0005-0000-0000-000055060000}"/>
    <cellStyle name="20% - Accent4 16 2 2 2" xfId="2794" xr:uid="{00000000-0005-0000-0000-000056060000}"/>
    <cellStyle name="20% - Accent4 16 2 2 2 2" xfId="5963" xr:uid="{00000000-0005-0000-0000-000057060000}"/>
    <cellStyle name="20% - Accent4 16 2 2 3" xfId="4379" xr:uid="{00000000-0005-0000-0000-000058060000}"/>
    <cellStyle name="20% - Accent4 16 2 3" xfId="1738" xr:uid="{00000000-0005-0000-0000-000059060000}"/>
    <cellStyle name="20% - Accent4 16 2 3 2" xfId="3322" xr:uid="{00000000-0005-0000-0000-00005A060000}"/>
    <cellStyle name="20% - Accent4 16 2 3 2 2" xfId="6491" xr:uid="{00000000-0005-0000-0000-00005B060000}"/>
    <cellStyle name="20% - Accent4 16 2 3 3" xfId="4907" xr:uid="{00000000-0005-0000-0000-00005C060000}"/>
    <cellStyle name="20% - Accent4 16 2 4" xfId="2266" xr:uid="{00000000-0005-0000-0000-00005D060000}"/>
    <cellStyle name="20% - Accent4 16 2 4 2" xfId="5435" xr:uid="{00000000-0005-0000-0000-00005E060000}"/>
    <cellStyle name="20% - Accent4 16 2 5" xfId="3851" xr:uid="{00000000-0005-0000-0000-00005F060000}"/>
    <cellStyle name="20% - Accent4 16 3" xfId="946" xr:uid="{00000000-0005-0000-0000-000060060000}"/>
    <cellStyle name="20% - Accent4 16 3 2" xfId="2530" xr:uid="{00000000-0005-0000-0000-000061060000}"/>
    <cellStyle name="20% - Accent4 16 3 2 2" xfId="5699" xr:uid="{00000000-0005-0000-0000-000062060000}"/>
    <cellStyle name="20% - Accent4 16 3 3" xfId="4115" xr:uid="{00000000-0005-0000-0000-000063060000}"/>
    <cellStyle name="20% - Accent4 16 4" xfId="1474" xr:uid="{00000000-0005-0000-0000-000064060000}"/>
    <cellStyle name="20% - Accent4 16 4 2" xfId="3058" xr:uid="{00000000-0005-0000-0000-000065060000}"/>
    <cellStyle name="20% - Accent4 16 4 2 2" xfId="6227" xr:uid="{00000000-0005-0000-0000-000066060000}"/>
    <cellStyle name="20% - Accent4 16 4 3" xfId="4643" xr:uid="{00000000-0005-0000-0000-000067060000}"/>
    <cellStyle name="20% - Accent4 16 5" xfId="2002" xr:uid="{00000000-0005-0000-0000-000068060000}"/>
    <cellStyle name="20% - Accent4 16 5 2" xfId="5171" xr:uid="{00000000-0005-0000-0000-000069060000}"/>
    <cellStyle name="20% - Accent4 16 6" xfId="3587" xr:uid="{00000000-0005-0000-0000-00006A060000}"/>
    <cellStyle name="20% - Accent4 2" xfId="4" xr:uid="{00000000-0005-0000-0000-00006B060000}"/>
    <cellStyle name="20% - Accent4 2 2" xfId="173" xr:uid="{00000000-0005-0000-0000-00006C060000}"/>
    <cellStyle name="20% - Accent4 3" xfId="174" xr:uid="{00000000-0005-0000-0000-00006D060000}"/>
    <cellStyle name="20% - Accent4 4" xfId="175" xr:uid="{00000000-0005-0000-0000-00006E060000}"/>
    <cellStyle name="20% - Accent4 4 2" xfId="176" xr:uid="{00000000-0005-0000-0000-00006F060000}"/>
    <cellStyle name="20% - Accent4 4 2 2" xfId="684" xr:uid="{00000000-0005-0000-0000-000070060000}"/>
    <cellStyle name="20% - Accent4 4 2 2 2" xfId="1212" xr:uid="{00000000-0005-0000-0000-000071060000}"/>
    <cellStyle name="20% - Accent4 4 2 2 2 2" xfId="2796" xr:uid="{00000000-0005-0000-0000-000072060000}"/>
    <cellStyle name="20% - Accent4 4 2 2 2 2 2" xfId="5965" xr:uid="{00000000-0005-0000-0000-000073060000}"/>
    <cellStyle name="20% - Accent4 4 2 2 2 3" xfId="4381" xr:uid="{00000000-0005-0000-0000-000074060000}"/>
    <cellStyle name="20% - Accent4 4 2 2 3" xfId="1740" xr:uid="{00000000-0005-0000-0000-000075060000}"/>
    <cellStyle name="20% - Accent4 4 2 2 3 2" xfId="3324" xr:uid="{00000000-0005-0000-0000-000076060000}"/>
    <cellStyle name="20% - Accent4 4 2 2 3 2 2" xfId="6493" xr:uid="{00000000-0005-0000-0000-000077060000}"/>
    <cellStyle name="20% - Accent4 4 2 2 3 3" xfId="4909" xr:uid="{00000000-0005-0000-0000-000078060000}"/>
    <cellStyle name="20% - Accent4 4 2 2 4" xfId="2268" xr:uid="{00000000-0005-0000-0000-000079060000}"/>
    <cellStyle name="20% - Accent4 4 2 2 4 2" xfId="5437" xr:uid="{00000000-0005-0000-0000-00007A060000}"/>
    <cellStyle name="20% - Accent4 4 2 2 5" xfId="3853" xr:uid="{00000000-0005-0000-0000-00007B060000}"/>
    <cellStyle name="20% - Accent4 4 2 3" xfId="948" xr:uid="{00000000-0005-0000-0000-00007C060000}"/>
    <cellStyle name="20% - Accent4 4 2 3 2" xfId="2532" xr:uid="{00000000-0005-0000-0000-00007D060000}"/>
    <cellStyle name="20% - Accent4 4 2 3 2 2" xfId="5701" xr:uid="{00000000-0005-0000-0000-00007E060000}"/>
    <cellStyle name="20% - Accent4 4 2 3 3" xfId="4117" xr:uid="{00000000-0005-0000-0000-00007F060000}"/>
    <cellStyle name="20% - Accent4 4 2 4" xfId="1476" xr:uid="{00000000-0005-0000-0000-000080060000}"/>
    <cellStyle name="20% - Accent4 4 2 4 2" xfId="3060" xr:uid="{00000000-0005-0000-0000-000081060000}"/>
    <cellStyle name="20% - Accent4 4 2 4 2 2" xfId="6229" xr:uid="{00000000-0005-0000-0000-000082060000}"/>
    <cellStyle name="20% - Accent4 4 2 4 3" xfId="4645" xr:uid="{00000000-0005-0000-0000-000083060000}"/>
    <cellStyle name="20% - Accent4 4 2 5" xfId="2004" xr:uid="{00000000-0005-0000-0000-000084060000}"/>
    <cellStyle name="20% - Accent4 4 2 5 2" xfId="5173" xr:uid="{00000000-0005-0000-0000-000085060000}"/>
    <cellStyle name="20% - Accent4 4 2 6" xfId="3589" xr:uid="{00000000-0005-0000-0000-000086060000}"/>
    <cellStyle name="20% - Accent4 4 3" xfId="683" xr:uid="{00000000-0005-0000-0000-000087060000}"/>
    <cellStyle name="20% - Accent4 4 3 2" xfId="1211" xr:uid="{00000000-0005-0000-0000-000088060000}"/>
    <cellStyle name="20% - Accent4 4 3 2 2" xfId="2795" xr:uid="{00000000-0005-0000-0000-000089060000}"/>
    <cellStyle name="20% - Accent4 4 3 2 2 2" xfId="5964" xr:uid="{00000000-0005-0000-0000-00008A060000}"/>
    <cellStyle name="20% - Accent4 4 3 2 3" xfId="4380" xr:uid="{00000000-0005-0000-0000-00008B060000}"/>
    <cellStyle name="20% - Accent4 4 3 3" xfId="1739" xr:uid="{00000000-0005-0000-0000-00008C060000}"/>
    <cellStyle name="20% - Accent4 4 3 3 2" xfId="3323" xr:uid="{00000000-0005-0000-0000-00008D060000}"/>
    <cellStyle name="20% - Accent4 4 3 3 2 2" xfId="6492" xr:uid="{00000000-0005-0000-0000-00008E060000}"/>
    <cellStyle name="20% - Accent4 4 3 3 3" xfId="4908" xr:uid="{00000000-0005-0000-0000-00008F060000}"/>
    <cellStyle name="20% - Accent4 4 3 4" xfId="2267" xr:uid="{00000000-0005-0000-0000-000090060000}"/>
    <cellStyle name="20% - Accent4 4 3 4 2" xfId="5436" xr:uid="{00000000-0005-0000-0000-000091060000}"/>
    <cellStyle name="20% - Accent4 4 3 5" xfId="3852" xr:uid="{00000000-0005-0000-0000-000092060000}"/>
    <cellStyle name="20% - Accent4 4 4" xfId="947" xr:uid="{00000000-0005-0000-0000-000093060000}"/>
    <cellStyle name="20% - Accent4 4 4 2" xfId="2531" xr:uid="{00000000-0005-0000-0000-000094060000}"/>
    <cellStyle name="20% - Accent4 4 4 2 2" xfId="5700" xr:uid="{00000000-0005-0000-0000-000095060000}"/>
    <cellStyle name="20% - Accent4 4 4 3" xfId="4116" xr:uid="{00000000-0005-0000-0000-000096060000}"/>
    <cellStyle name="20% - Accent4 4 5" xfId="1475" xr:uid="{00000000-0005-0000-0000-000097060000}"/>
    <cellStyle name="20% - Accent4 4 5 2" xfId="3059" xr:uid="{00000000-0005-0000-0000-000098060000}"/>
    <cellStyle name="20% - Accent4 4 5 2 2" xfId="6228" xr:uid="{00000000-0005-0000-0000-000099060000}"/>
    <cellStyle name="20% - Accent4 4 5 3" xfId="4644" xr:uid="{00000000-0005-0000-0000-00009A060000}"/>
    <cellStyle name="20% - Accent4 4 6" xfId="2003" xr:uid="{00000000-0005-0000-0000-00009B060000}"/>
    <cellStyle name="20% - Accent4 4 6 2" xfId="5172" xr:uid="{00000000-0005-0000-0000-00009C060000}"/>
    <cellStyle name="20% - Accent4 4 7" xfId="3588" xr:uid="{00000000-0005-0000-0000-00009D060000}"/>
    <cellStyle name="20% - Accent4 5" xfId="177" xr:uid="{00000000-0005-0000-0000-00009E060000}"/>
    <cellStyle name="20% - Accent4 5 2" xfId="178" xr:uid="{00000000-0005-0000-0000-00009F060000}"/>
    <cellStyle name="20% - Accent4 5 2 2" xfId="686" xr:uid="{00000000-0005-0000-0000-0000A0060000}"/>
    <cellStyle name="20% - Accent4 5 2 2 2" xfId="1214" xr:uid="{00000000-0005-0000-0000-0000A1060000}"/>
    <cellStyle name="20% - Accent4 5 2 2 2 2" xfId="2798" xr:uid="{00000000-0005-0000-0000-0000A2060000}"/>
    <cellStyle name="20% - Accent4 5 2 2 2 2 2" xfId="5967" xr:uid="{00000000-0005-0000-0000-0000A3060000}"/>
    <cellStyle name="20% - Accent4 5 2 2 2 3" xfId="4383" xr:uid="{00000000-0005-0000-0000-0000A4060000}"/>
    <cellStyle name="20% - Accent4 5 2 2 3" xfId="1742" xr:uid="{00000000-0005-0000-0000-0000A5060000}"/>
    <cellStyle name="20% - Accent4 5 2 2 3 2" xfId="3326" xr:uid="{00000000-0005-0000-0000-0000A6060000}"/>
    <cellStyle name="20% - Accent4 5 2 2 3 2 2" xfId="6495" xr:uid="{00000000-0005-0000-0000-0000A7060000}"/>
    <cellStyle name="20% - Accent4 5 2 2 3 3" xfId="4911" xr:uid="{00000000-0005-0000-0000-0000A8060000}"/>
    <cellStyle name="20% - Accent4 5 2 2 4" xfId="2270" xr:uid="{00000000-0005-0000-0000-0000A9060000}"/>
    <cellStyle name="20% - Accent4 5 2 2 4 2" xfId="5439" xr:uid="{00000000-0005-0000-0000-0000AA060000}"/>
    <cellStyle name="20% - Accent4 5 2 2 5" xfId="3855" xr:uid="{00000000-0005-0000-0000-0000AB060000}"/>
    <cellStyle name="20% - Accent4 5 2 3" xfId="950" xr:uid="{00000000-0005-0000-0000-0000AC060000}"/>
    <cellStyle name="20% - Accent4 5 2 3 2" xfId="2534" xr:uid="{00000000-0005-0000-0000-0000AD060000}"/>
    <cellStyle name="20% - Accent4 5 2 3 2 2" xfId="5703" xr:uid="{00000000-0005-0000-0000-0000AE060000}"/>
    <cellStyle name="20% - Accent4 5 2 3 3" xfId="4119" xr:uid="{00000000-0005-0000-0000-0000AF060000}"/>
    <cellStyle name="20% - Accent4 5 2 4" xfId="1478" xr:uid="{00000000-0005-0000-0000-0000B0060000}"/>
    <cellStyle name="20% - Accent4 5 2 4 2" xfId="3062" xr:uid="{00000000-0005-0000-0000-0000B1060000}"/>
    <cellStyle name="20% - Accent4 5 2 4 2 2" xfId="6231" xr:uid="{00000000-0005-0000-0000-0000B2060000}"/>
    <cellStyle name="20% - Accent4 5 2 4 3" xfId="4647" xr:uid="{00000000-0005-0000-0000-0000B3060000}"/>
    <cellStyle name="20% - Accent4 5 2 5" xfId="2006" xr:uid="{00000000-0005-0000-0000-0000B4060000}"/>
    <cellStyle name="20% - Accent4 5 2 5 2" xfId="5175" xr:uid="{00000000-0005-0000-0000-0000B5060000}"/>
    <cellStyle name="20% - Accent4 5 2 6" xfId="3591" xr:uid="{00000000-0005-0000-0000-0000B6060000}"/>
    <cellStyle name="20% - Accent4 5 3" xfId="685" xr:uid="{00000000-0005-0000-0000-0000B7060000}"/>
    <cellStyle name="20% - Accent4 5 3 2" xfId="1213" xr:uid="{00000000-0005-0000-0000-0000B8060000}"/>
    <cellStyle name="20% - Accent4 5 3 2 2" xfId="2797" xr:uid="{00000000-0005-0000-0000-0000B9060000}"/>
    <cellStyle name="20% - Accent4 5 3 2 2 2" xfId="5966" xr:uid="{00000000-0005-0000-0000-0000BA060000}"/>
    <cellStyle name="20% - Accent4 5 3 2 3" xfId="4382" xr:uid="{00000000-0005-0000-0000-0000BB060000}"/>
    <cellStyle name="20% - Accent4 5 3 3" xfId="1741" xr:uid="{00000000-0005-0000-0000-0000BC060000}"/>
    <cellStyle name="20% - Accent4 5 3 3 2" xfId="3325" xr:uid="{00000000-0005-0000-0000-0000BD060000}"/>
    <cellStyle name="20% - Accent4 5 3 3 2 2" xfId="6494" xr:uid="{00000000-0005-0000-0000-0000BE060000}"/>
    <cellStyle name="20% - Accent4 5 3 3 3" xfId="4910" xr:uid="{00000000-0005-0000-0000-0000BF060000}"/>
    <cellStyle name="20% - Accent4 5 3 4" xfId="2269" xr:uid="{00000000-0005-0000-0000-0000C0060000}"/>
    <cellStyle name="20% - Accent4 5 3 4 2" xfId="5438" xr:uid="{00000000-0005-0000-0000-0000C1060000}"/>
    <cellStyle name="20% - Accent4 5 3 5" xfId="3854" xr:uid="{00000000-0005-0000-0000-0000C2060000}"/>
    <cellStyle name="20% - Accent4 5 4" xfId="949" xr:uid="{00000000-0005-0000-0000-0000C3060000}"/>
    <cellStyle name="20% - Accent4 5 4 2" xfId="2533" xr:uid="{00000000-0005-0000-0000-0000C4060000}"/>
    <cellStyle name="20% - Accent4 5 4 2 2" xfId="5702" xr:uid="{00000000-0005-0000-0000-0000C5060000}"/>
    <cellStyle name="20% - Accent4 5 4 3" xfId="4118" xr:uid="{00000000-0005-0000-0000-0000C6060000}"/>
    <cellStyle name="20% - Accent4 5 5" xfId="1477" xr:uid="{00000000-0005-0000-0000-0000C7060000}"/>
    <cellStyle name="20% - Accent4 5 5 2" xfId="3061" xr:uid="{00000000-0005-0000-0000-0000C8060000}"/>
    <cellStyle name="20% - Accent4 5 5 2 2" xfId="6230" xr:uid="{00000000-0005-0000-0000-0000C9060000}"/>
    <cellStyle name="20% - Accent4 5 5 3" xfId="4646" xr:uid="{00000000-0005-0000-0000-0000CA060000}"/>
    <cellStyle name="20% - Accent4 5 6" xfId="2005" xr:uid="{00000000-0005-0000-0000-0000CB060000}"/>
    <cellStyle name="20% - Accent4 5 6 2" xfId="5174" xr:uid="{00000000-0005-0000-0000-0000CC060000}"/>
    <cellStyle name="20% - Accent4 5 7" xfId="3590" xr:uid="{00000000-0005-0000-0000-0000CD060000}"/>
    <cellStyle name="20% - Accent4 6" xfId="179" xr:uid="{00000000-0005-0000-0000-0000CE060000}"/>
    <cellStyle name="20% - Accent4 6 2" xfId="180" xr:uid="{00000000-0005-0000-0000-0000CF060000}"/>
    <cellStyle name="20% - Accent4 6 2 2" xfId="688" xr:uid="{00000000-0005-0000-0000-0000D0060000}"/>
    <cellStyle name="20% - Accent4 6 2 2 2" xfId="1216" xr:uid="{00000000-0005-0000-0000-0000D1060000}"/>
    <cellStyle name="20% - Accent4 6 2 2 2 2" xfId="2800" xr:uid="{00000000-0005-0000-0000-0000D2060000}"/>
    <cellStyle name="20% - Accent4 6 2 2 2 2 2" xfId="5969" xr:uid="{00000000-0005-0000-0000-0000D3060000}"/>
    <cellStyle name="20% - Accent4 6 2 2 2 3" xfId="4385" xr:uid="{00000000-0005-0000-0000-0000D4060000}"/>
    <cellStyle name="20% - Accent4 6 2 2 3" xfId="1744" xr:uid="{00000000-0005-0000-0000-0000D5060000}"/>
    <cellStyle name="20% - Accent4 6 2 2 3 2" xfId="3328" xr:uid="{00000000-0005-0000-0000-0000D6060000}"/>
    <cellStyle name="20% - Accent4 6 2 2 3 2 2" xfId="6497" xr:uid="{00000000-0005-0000-0000-0000D7060000}"/>
    <cellStyle name="20% - Accent4 6 2 2 3 3" xfId="4913" xr:uid="{00000000-0005-0000-0000-0000D8060000}"/>
    <cellStyle name="20% - Accent4 6 2 2 4" xfId="2272" xr:uid="{00000000-0005-0000-0000-0000D9060000}"/>
    <cellStyle name="20% - Accent4 6 2 2 4 2" xfId="5441" xr:uid="{00000000-0005-0000-0000-0000DA060000}"/>
    <cellStyle name="20% - Accent4 6 2 2 5" xfId="3857" xr:uid="{00000000-0005-0000-0000-0000DB060000}"/>
    <cellStyle name="20% - Accent4 6 2 3" xfId="952" xr:uid="{00000000-0005-0000-0000-0000DC060000}"/>
    <cellStyle name="20% - Accent4 6 2 3 2" xfId="2536" xr:uid="{00000000-0005-0000-0000-0000DD060000}"/>
    <cellStyle name="20% - Accent4 6 2 3 2 2" xfId="5705" xr:uid="{00000000-0005-0000-0000-0000DE060000}"/>
    <cellStyle name="20% - Accent4 6 2 3 3" xfId="4121" xr:uid="{00000000-0005-0000-0000-0000DF060000}"/>
    <cellStyle name="20% - Accent4 6 2 4" xfId="1480" xr:uid="{00000000-0005-0000-0000-0000E0060000}"/>
    <cellStyle name="20% - Accent4 6 2 4 2" xfId="3064" xr:uid="{00000000-0005-0000-0000-0000E1060000}"/>
    <cellStyle name="20% - Accent4 6 2 4 2 2" xfId="6233" xr:uid="{00000000-0005-0000-0000-0000E2060000}"/>
    <cellStyle name="20% - Accent4 6 2 4 3" xfId="4649" xr:uid="{00000000-0005-0000-0000-0000E3060000}"/>
    <cellStyle name="20% - Accent4 6 2 5" xfId="2008" xr:uid="{00000000-0005-0000-0000-0000E4060000}"/>
    <cellStyle name="20% - Accent4 6 2 5 2" xfId="5177" xr:uid="{00000000-0005-0000-0000-0000E5060000}"/>
    <cellStyle name="20% - Accent4 6 2 6" xfId="3593" xr:uid="{00000000-0005-0000-0000-0000E6060000}"/>
    <cellStyle name="20% - Accent4 6 3" xfId="687" xr:uid="{00000000-0005-0000-0000-0000E7060000}"/>
    <cellStyle name="20% - Accent4 6 3 2" xfId="1215" xr:uid="{00000000-0005-0000-0000-0000E8060000}"/>
    <cellStyle name="20% - Accent4 6 3 2 2" xfId="2799" xr:uid="{00000000-0005-0000-0000-0000E9060000}"/>
    <cellStyle name="20% - Accent4 6 3 2 2 2" xfId="5968" xr:uid="{00000000-0005-0000-0000-0000EA060000}"/>
    <cellStyle name="20% - Accent4 6 3 2 3" xfId="4384" xr:uid="{00000000-0005-0000-0000-0000EB060000}"/>
    <cellStyle name="20% - Accent4 6 3 3" xfId="1743" xr:uid="{00000000-0005-0000-0000-0000EC060000}"/>
    <cellStyle name="20% - Accent4 6 3 3 2" xfId="3327" xr:uid="{00000000-0005-0000-0000-0000ED060000}"/>
    <cellStyle name="20% - Accent4 6 3 3 2 2" xfId="6496" xr:uid="{00000000-0005-0000-0000-0000EE060000}"/>
    <cellStyle name="20% - Accent4 6 3 3 3" xfId="4912" xr:uid="{00000000-0005-0000-0000-0000EF060000}"/>
    <cellStyle name="20% - Accent4 6 3 4" xfId="2271" xr:uid="{00000000-0005-0000-0000-0000F0060000}"/>
    <cellStyle name="20% - Accent4 6 3 4 2" xfId="5440" xr:uid="{00000000-0005-0000-0000-0000F1060000}"/>
    <cellStyle name="20% - Accent4 6 3 5" xfId="3856" xr:uid="{00000000-0005-0000-0000-0000F2060000}"/>
    <cellStyle name="20% - Accent4 6 4" xfId="951" xr:uid="{00000000-0005-0000-0000-0000F3060000}"/>
    <cellStyle name="20% - Accent4 6 4 2" xfId="2535" xr:uid="{00000000-0005-0000-0000-0000F4060000}"/>
    <cellStyle name="20% - Accent4 6 4 2 2" xfId="5704" xr:uid="{00000000-0005-0000-0000-0000F5060000}"/>
    <cellStyle name="20% - Accent4 6 4 3" xfId="4120" xr:uid="{00000000-0005-0000-0000-0000F6060000}"/>
    <cellStyle name="20% - Accent4 6 5" xfId="1479" xr:uid="{00000000-0005-0000-0000-0000F7060000}"/>
    <cellStyle name="20% - Accent4 6 5 2" xfId="3063" xr:uid="{00000000-0005-0000-0000-0000F8060000}"/>
    <cellStyle name="20% - Accent4 6 5 2 2" xfId="6232" xr:uid="{00000000-0005-0000-0000-0000F9060000}"/>
    <cellStyle name="20% - Accent4 6 5 3" xfId="4648" xr:uid="{00000000-0005-0000-0000-0000FA060000}"/>
    <cellStyle name="20% - Accent4 6 6" xfId="2007" xr:uid="{00000000-0005-0000-0000-0000FB060000}"/>
    <cellStyle name="20% - Accent4 6 6 2" xfId="5176" xr:uid="{00000000-0005-0000-0000-0000FC060000}"/>
    <cellStyle name="20% - Accent4 6 7" xfId="3592" xr:uid="{00000000-0005-0000-0000-0000FD060000}"/>
    <cellStyle name="20% - Accent4 7" xfId="181" xr:uid="{00000000-0005-0000-0000-0000FE060000}"/>
    <cellStyle name="20% - Accent4 7 2" xfId="182" xr:uid="{00000000-0005-0000-0000-0000FF060000}"/>
    <cellStyle name="20% - Accent4 7 2 2" xfId="690" xr:uid="{00000000-0005-0000-0000-000000070000}"/>
    <cellStyle name="20% - Accent4 7 2 2 2" xfId="1218" xr:uid="{00000000-0005-0000-0000-000001070000}"/>
    <cellStyle name="20% - Accent4 7 2 2 2 2" xfId="2802" xr:uid="{00000000-0005-0000-0000-000002070000}"/>
    <cellStyle name="20% - Accent4 7 2 2 2 2 2" xfId="5971" xr:uid="{00000000-0005-0000-0000-000003070000}"/>
    <cellStyle name="20% - Accent4 7 2 2 2 3" xfId="4387" xr:uid="{00000000-0005-0000-0000-000004070000}"/>
    <cellStyle name="20% - Accent4 7 2 2 3" xfId="1746" xr:uid="{00000000-0005-0000-0000-000005070000}"/>
    <cellStyle name="20% - Accent4 7 2 2 3 2" xfId="3330" xr:uid="{00000000-0005-0000-0000-000006070000}"/>
    <cellStyle name="20% - Accent4 7 2 2 3 2 2" xfId="6499" xr:uid="{00000000-0005-0000-0000-000007070000}"/>
    <cellStyle name="20% - Accent4 7 2 2 3 3" xfId="4915" xr:uid="{00000000-0005-0000-0000-000008070000}"/>
    <cellStyle name="20% - Accent4 7 2 2 4" xfId="2274" xr:uid="{00000000-0005-0000-0000-000009070000}"/>
    <cellStyle name="20% - Accent4 7 2 2 4 2" xfId="5443" xr:uid="{00000000-0005-0000-0000-00000A070000}"/>
    <cellStyle name="20% - Accent4 7 2 2 5" xfId="3859" xr:uid="{00000000-0005-0000-0000-00000B070000}"/>
    <cellStyle name="20% - Accent4 7 2 3" xfId="954" xr:uid="{00000000-0005-0000-0000-00000C070000}"/>
    <cellStyle name="20% - Accent4 7 2 3 2" xfId="2538" xr:uid="{00000000-0005-0000-0000-00000D070000}"/>
    <cellStyle name="20% - Accent4 7 2 3 2 2" xfId="5707" xr:uid="{00000000-0005-0000-0000-00000E070000}"/>
    <cellStyle name="20% - Accent4 7 2 3 3" xfId="4123" xr:uid="{00000000-0005-0000-0000-00000F070000}"/>
    <cellStyle name="20% - Accent4 7 2 4" xfId="1482" xr:uid="{00000000-0005-0000-0000-000010070000}"/>
    <cellStyle name="20% - Accent4 7 2 4 2" xfId="3066" xr:uid="{00000000-0005-0000-0000-000011070000}"/>
    <cellStyle name="20% - Accent4 7 2 4 2 2" xfId="6235" xr:uid="{00000000-0005-0000-0000-000012070000}"/>
    <cellStyle name="20% - Accent4 7 2 4 3" xfId="4651" xr:uid="{00000000-0005-0000-0000-000013070000}"/>
    <cellStyle name="20% - Accent4 7 2 5" xfId="2010" xr:uid="{00000000-0005-0000-0000-000014070000}"/>
    <cellStyle name="20% - Accent4 7 2 5 2" xfId="5179" xr:uid="{00000000-0005-0000-0000-000015070000}"/>
    <cellStyle name="20% - Accent4 7 2 6" xfId="3595" xr:uid="{00000000-0005-0000-0000-000016070000}"/>
    <cellStyle name="20% - Accent4 7 3" xfId="689" xr:uid="{00000000-0005-0000-0000-000017070000}"/>
    <cellStyle name="20% - Accent4 7 3 2" xfId="1217" xr:uid="{00000000-0005-0000-0000-000018070000}"/>
    <cellStyle name="20% - Accent4 7 3 2 2" xfId="2801" xr:uid="{00000000-0005-0000-0000-000019070000}"/>
    <cellStyle name="20% - Accent4 7 3 2 2 2" xfId="5970" xr:uid="{00000000-0005-0000-0000-00001A070000}"/>
    <cellStyle name="20% - Accent4 7 3 2 3" xfId="4386" xr:uid="{00000000-0005-0000-0000-00001B070000}"/>
    <cellStyle name="20% - Accent4 7 3 3" xfId="1745" xr:uid="{00000000-0005-0000-0000-00001C070000}"/>
    <cellStyle name="20% - Accent4 7 3 3 2" xfId="3329" xr:uid="{00000000-0005-0000-0000-00001D070000}"/>
    <cellStyle name="20% - Accent4 7 3 3 2 2" xfId="6498" xr:uid="{00000000-0005-0000-0000-00001E070000}"/>
    <cellStyle name="20% - Accent4 7 3 3 3" xfId="4914" xr:uid="{00000000-0005-0000-0000-00001F070000}"/>
    <cellStyle name="20% - Accent4 7 3 4" xfId="2273" xr:uid="{00000000-0005-0000-0000-000020070000}"/>
    <cellStyle name="20% - Accent4 7 3 4 2" xfId="5442" xr:uid="{00000000-0005-0000-0000-000021070000}"/>
    <cellStyle name="20% - Accent4 7 3 5" xfId="3858" xr:uid="{00000000-0005-0000-0000-000022070000}"/>
    <cellStyle name="20% - Accent4 7 4" xfId="953" xr:uid="{00000000-0005-0000-0000-000023070000}"/>
    <cellStyle name="20% - Accent4 7 4 2" xfId="2537" xr:uid="{00000000-0005-0000-0000-000024070000}"/>
    <cellStyle name="20% - Accent4 7 4 2 2" xfId="5706" xr:uid="{00000000-0005-0000-0000-000025070000}"/>
    <cellStyle name="20% - Accent4 7 4 3" xfId="4122" xr:uid="{00000000-0005-0000-0000-000026070000}"/>
    <cellStyle name="20% - Accent4 7 5" xfId="1481" xr:uid="{00000000-0005-0000-0000-000027070000}"/>
    <cellStyle name="20% - Accent4 7 5 2" xfId="3065" xr:uid="{00000000-0005-0000-0000-000028070000}"/>
    <cellStyle name="20% - Accent4 7 5 2 2" xfId="6234" xr:uid="{00000000-0005-0000-0000-000029070000}"/>
    <cellStyle name="20% - Accent4 7 5 3" xfId="4650" xr:uid="{00000000-0005-0000-0000-00002A070000}"/>
    <cellStyle name="20% - Accent4 7 6" xfId="2009" xr:uid="{00000000-0005-0000-0000-00002B070000}"/>
    <cellStyle name="20% - Accent4 7 6 2" xfId="5178" xr:uid="{00000000-0005-0000-0000-00002C070000}"/>
    <cellStyle name="20% - Accent4 7 7" xfId="3594" xr:uid="{00000000-0005-0000-0000-00002D070000}"/>
    <cellStyle name="20% - Accent4 8" xfId="183" xr:uid="{00000000-0005-0000-0000-00002E070000}"/>
    <cellStyle name="20% - Accent4 8 2" xfId="184" xr:uid="{00000000-0005-0000-0000-00002F070000}"/>
    <cellStyle name="20% - Accent4 8 2 2" xfId="692" xr:uid="{00000000-0005-0000-0000-000030070000}"/>
    <cellStyle name="20% - Accent4 8 2 2 2" xfId="1220" xr:uid="{00000000-0005-0000-0000-000031070000}"/>
    <cellStyle name="20% - Accent4 8 2 2 2 2" xfId="2804" xr:uid="{00000000-0005-0000-0000-000032070000}"/>
    <cellStyle name="20% - Accent4 8 2 2 2 2 2" xfId="5973" xr:uid="{00000000-0005-0000-0000-000033070000}"/>
    <cellStyle name="20% - Accent4 8 2 2 2 3" xfId="4389" xr:uid="{00000000-0005-0000-0000-000034070000}"/>
    <cellStyle name="20% - Accent4 8 2 2 3" xfId="1748" xr:uid="{00000000-0005-0000-0000-000035070000}"/>
    <cellStyle name="20% - Accent4 8 2 2 3 2" xfId="3332" xr:uid="{00000000-0005-0000-0000-000036070000}"/>
    <cellStyle name="20% - Accent4 8 2 2 3 2 2" xfId="6501" xr:uid="{00000000-0005-0000-0000-000037070000}"/>
    <cellStyle name="20% - Accent4 8 2 2 3 3" xfId="4917" xr:uid="{00000000-0005-0000-0000-000038070000}"/>
    <cellStyle name="20% - Accent4 8 2 2 4" xfId="2276" xr:uid="{00000000-0005-0000-0000-000039070000}"/>
    <cellStyle name="20% - Accent4 8 2 2 4 2" xfId="5445" xr:uid="{00000000-0005-0000-0000-00003A070000}"/>
    <cellStyle name="20% - Accent4 8 2 2 5" xfId="3861" xr:uid="{00000000-0005-0000-0000-00003B070000}"/>
    <cellStyle name="20% - Accent4 8 2 3" xfId="956" xr:uid="{00000000-0005-0000-0000-00003C070000}"/>
    <cellStyle name="20% - Accent4 8 2 3 2" xfId="2540" xr:uid="{00000000-0005-0000-0000-00003D070000}"/>
    <cellStyle name="20% - Accent4 8 2 3 2 2" xfId="5709" xr:uid="{00000000-0005-0000-0000-00003E070000}"/>
    <cellStyle name="20% - Accent4 8 2 3 3" xfId="4125" xr:uid="{00000000-0005-0000-0000-00003F070000}"/>
    <cellStyle name="20% - Accent4 8 2 4" xfId="1484" xr:uid="{00000000-0005-0000-0000-000040070000}"/>
    <cellStyle name="20% - Accent4 8 2 4 2" xfId="3068" xr:uid="{00000000-0005-0000-0000-000041070000}"/>
    <cellStyle name="20% - Accent4 8 2 4 2 2" xfId="6237" xr:uid="{00000000-0005-0000-0000-000042070000}"/>
    <cellStyle name="20% - Accent4 8 2 4 3" xfId="4653" xr:uid="{00000000-0005-0000-0000-000043070000}"/>
    <cellStyle name="20% - Accent4 8 2 5" xfId="2012" xr:uid="{00000000-0005-0000-0000-000044070000}"/>
    <cellStyle name="20% - Accent4 8 2 5 2" xfId="5181" xr:uid="{00000000-0005-0000-0000-000045070000}"/>
    <cellStyle name="20% - Accent4 8 2 6" xfId="3597" xr:uid="{00000000-0005-0000-0000-000046070000}"/>
    <cellStyle name="20% - Accent4 8 3" xfId="691" xr:uid="{00000000-0005-0000-0000-000047070000}"/>
    <cellStyle name="20% - Accent4 8 3 2" xfId="1219" xr:uid="{00000000-0005-0000-0000-000048070000}"/>
    <cellStyle name="20% - Accent4 8 3 2 2" xfId="2803" xr:uid="{00000000-0005-0000-0000-000049070000}"/>
    <cellStyle name="20% - Accent4 8 3 2 2 2" xfId="5972" xr:uid="{00000000-0005-0000-0000-00004A070000}"/>
    <cellStyle name="20% - Accent4 8 3 2 3" xfId="4388" xr:uid="{00000000-0005-0000-0000-00004B070000}"/>
    <cellStyle name="20% - Accent4 8 3 3" xfId="1747" xr:uid="{00000000-0005-0000-0000-00004C070000}"/>
    <cellStyle name="20% - Accent4 8 3 3 2" xfId="3331" xr:uid="{00000000-0005-0000-0000-00004D070000}"/>
    <cellStyle name="20% - Accent4 8 3 3 2 2" xfId="6500" xr:uid="{00000000-0005-0000-0000-00004E070000}"/>
    <cellStyle name="20% - Accent4 8 3 3 3" xfId="4916" xr:uid="{00000000-0005-0000-0000-00004F070000}"/>
    <cellStyle name="20% - Accent4 8 3 4" xfId="2275" xr:uid="{00000000-0005-0000-0000-000050070000}"/>
    <cellStyle name="20% - Accent4 8 3 4 2" xfId="5444" xr:uid="{00000000-0005-0000-0000-000051070000}"/>
    <cellStyle name="20% - Accent4 8 3 5" xfId="3860" xr:uid="{00000000-0005-0000-0000-000052070000}"/>
    <cellStyle name="20% - Accent4 8 4" xfId="955" xr:uid="{00000000-0005-0000-0000-000053070000}"/>
    <cellStyle name="20% - Accent4 8 4 2" xfId="2539" xr:uid="{00000000-0005-0000-0000-000054070000}"/>
    <cellStyle name="20% - Accent4 8 4 2 2" xfId="5708" xr:uid="{00000000-0005-0000-0000-000055070000}"/>
    <cellStyle name="20% - Accent4 8 4 3" xfId="4124" xr:uid="{00000000-0005-0000-0000-000056070000}"/>
    <cellStyle name="20% - Accent4 8 5" xfId="1483" xr:uid="{00000000-0005-0000-0000-000057070000}"/>
    <cellStyle name="20% - Accent4 8 5 2" xfId="3067" xr:uid="{00000000-0005-0000-0000-000058070000}"/>
    <cellStyle name="20% - Accent4 8 5 2 2" xfId="6236" xr:uid="{00000000-0005-0000-0000-000059070000}"/>
    <cellStyle name="20% - Accent4 8 5 3" xfId="4652" xr:uid="{00000000-0005-0000-0000-00005A070000}"/>
    <cellStyle name="20% - Accent4 8 6" xfId="2011" xr:uid="{00000000-0005-0000-0000-00005B070000}"/>
    <cellStyle name="20% - Accent4 8 6 2" xfId="5180" xr:uid="{00000000-0005-0000-0000-00005C070000}"/>
    <cellStyle name="20% - Accent4 8 7" xfId="3596" xr:uid="{00000000-0005-0000-0000-00005D070000}"/>
    <cellStyle name="20% - Accent4 9" xfId="185" xr:uid="{00000000-0005-0000-0000-00005E070000}"/>
    <cellStyle name="20% - Accent4 9 2" xfId="186" xr:uid="{00000000-0005-0000-0000-00005F070000}"/>
    <cellStyle name="20% - Accent4 9 2 2" xfId="694" xr:uid="{00000000-0005-0000-0000-000060070000}"/>
    <cellStyle name="20% - Accent4 9 2 2 2" xfId="1222" xr:uid="{00000000-0005-0000-0000-000061070000}"/>
    <cellStyle name="20% - Accent4 9 2 2 2 2" xfId="2806" xr:uid="{00000000-0005-0000-0000-000062070000}"/>
    <cellStyle name="20% - Accent4 9 2 2 2 2 2" xfId="5975" xr:uid="{00000000-0005-0000-0000-000063070000}"/>
    <cellStyle name="20% - Accent4 9 2 2 2 3" xfId="4391" xr:uid="{00000000-0005-0000-0000-000064070000}"/>
    <cellStyle name="20% - Accent4 9 2 2 3" xfId="1750" xr:uid="{00000000-0005-0000-0000-000065070000}"/>
    <cellStyle name="20% - Accent4 9 2 2 3 2" xfId="3334" xr:uid="{00000000-0005-0000-0000-000066070000}"/>
    <cellStyle name="20% - Accent4 9 2 2 3 2 2" xfId="6503" xr:uid="{00000000-0005-0000-0000-000067070000}"/>
    <cellStyle name="20% - Accent4 9 2 2 3 3" xfId="4919" xr:uid="{00000000-0005-0000-0000-000068070000}"/>
    <cellStyle name="20% - Accent4 9 2 2 4" xfId="2278" xr:uid="{00000000-0005-0000-0000-000069070000}"/>
    <cellStyle name="20% - Accent4 9 2 2 4 2" xfId="5447" xr:uid="{00000000-0005-0000-0000-00006A070000}"/>
    <cellStyle name="20% - Accent4 9 2 2 5" xfId="3863" xr:uid="{00000000-0005-0000-0000-00006B070000}"/>
    <cellStyle name="20% - Accent4 9 2 3" xfId="958" xr:uid="{00000000-0005-0000-0000-00006C070000}"/>
    <cellStyle name="20% - Accent4 9 2 3 2" xfId="2542" xr:uid="{00000000-0005-0000-0000-00006D070000}"/>
    <cellStyle name="20% - Accent4 9 2 3 2 2" xfId="5711" xr:uid="{00000000-0005-0000-0000-00006E070000}"/>
    <cellStyle name="20% - Accent4 9 2 3 3" xfId="4127" xr:uid="{00000000-0005-0000-0000-00006F070000}"/>
    <cellStyle name="20% - Accent4 9 2 4" xfId="1486" xr:uid="{00000000-0005-0000-0000-000070070000}"/>
    <cellStyle name="20% - Accent4 9 2 4 2" xfId="3070" xr:uid="{00000000-0005-0000-0000-000071070000}"/>
    <cellStyle name="20% - Accent4 9 2 4 2 2" xfId="6239" xr:uid="{00000000-0005-0000-0000-000072070000}"/>
    <cellStyle name="20% - Accent4 9 2 4 3" xfId="4655" xr:uid="{00000000-0005-0000-0000-000073070000}"/>
    <cellStyle name="20% - Accent4 9 2 5" xfId="2014" xr:uid="{00000000-0005-0000-0000-000074070000}"/>
    <cellStyle name="20% - Accent4 9 2 5 2" xfId="5183" xr:uid="{00000000-0005-0000-0000-000075070000}"/>
    <cellStyle name="20% - Accent4 9 2 6" xfId="3599" xr:uid="{00000000-0005-0000-0000-000076070000}"/>
    <cellStyle name="20% - Accent4 9 3" xfId="693" xr:uid="{00000000-0005-0000-0000-000077070000}"/>
    <cellStyle name="20% - Accent4 9 3 2" xfId="1221" xr:uid="{00000000-0005-0000-0000-000078070000}"/>
    <cellStyle name="20% - Accent4 9 3 2 2" xfId="2805" xr:uid="{00000000-0005-0000-0000-000079070000}"/>
    <cellStyle name="20% - Accent4 9 3 2 2 2" xfId="5974" xr:uid="{00000000-0005-0000-0000-00007A070000}"/>
    <cellStyle name="20% - Accent4 9 3 2 3" xfId="4390" xr:uid="{00000000-0005-0000-0000-00007B070000}"/>
    <cellStyle name="20% - Accent4 9 3 3" xfId="1749" xr:uid="{00000000-0005-0000-0000-00007C070000}"/>
    <cellStyle name="20% - Accent4 9 3 3 2" xfId="3333" xr:uid="{00000000-0005-0000-0000-00007D070000}"/>
    <cellStyle name="20% - Accent4 9 3 3 2 2" xfId="6502" xr:uid="{00000000-0005-0000-0000-00007E070000}"/>
    <cellStyle name="20% - Accent4 9 3 3 3" xfId="4918" xr:uid="{00000000-0005-0000-0000-00007F070000}"/>
    <cellStyle name="20% - Accent4 9 3 4" xfId="2277" xr:uid="{00000000-0005-0000-0000-000080070000}"/>
    <cellStyle name="20% - Accent4 9 3 4 2" xfId="5446" xr:uid="{00000000-0005-0000-0000-000081070000}"/>
    <cellStyle name="20% - Accent4 9 3 5" xfId="3862" xr:uid="{00000000-0005-0000-0000-000082070000}"/>
    <cellStyle name="20% - Accent4 9 4" xfId="957" xr:uid="{00000000-0005-0000-0000-000083070000}"/>
    <cellStyle name="20% - Accent4 9 4 2" xfId="2541" xr:uid="{00000000-0005-0000-0000-000084070000}"/>
    <cellStyle name="20% - Accent4 9 4 2 2" xfId="5710" xr:uid="{00000000-0005-0000-0000-000085070000}"/>
    <cellStyle name="20% - Accent4 9 4 3" xfId="4126" xr:uid="{00000000-0005-0000-0000-000086070000}"/>
    <cellStyle name="20% - Accent4 9 5" xfId="1485" xr:uid="{00000000-0005-0000-0000-000087070000}"/>
    <cellStyle name="20% - Accent4 9 5 2" xfId="3069" xr:uid="{00000000-0005-0000-0000-000088070000}"/>
    <cellStyle name="20% - Accent4 9 5 2 2" xfId="6238" xr:uid="{00000000-0005-0000-0000-000089070000}"/>
    <cellStyle name="20% - Accent4 9 5 3" xfId="4654" xr:uid="{00000000-0005-0000-0000-00008A070000}"/>
    <cellStyle name="20% - Accent4 9 6" xfId="2013" xr:uid="{00000000-0005-0000-0000-00008B070000}"/>
    <cellStyle name="20% - Accent4 9 6 2" xfId="5182" xr:uid="{00000000-0005-0000-0000-00008C070000}"/>
    <cellStyle name="20% - Accent4 9 7" xfId="3598" xr:uid="{00000000-0005-0000-0000-00008D070000}"/>
    <cellStyle name="20% - Accent5 10" xfId="187" xr:uid="{00000000-0005-0000-0000-00008E070000}"/>
    <cellStyle name="20% - Accent5 10 2" xfId="188" xr:uid="{00000000-0005-0000-0000-00008F070000}"/>
    <cellStyle name="20% - Accent5 10 2 2" xfId="696" xr:uid="{00000000-0005-0000-0000-000090070000}"/>
    <cellStyle name="20% - Accent5 10 2 2 2" xfId="1224" xr:uid="{00000000-0005-0000-0000-000091070000}"/>
    <cellStyle name="20% - Accent5 10 2 2 2 2" xfId="2808" xr:uid="{00000000-0005-0000-0000-000092070000}"/>
    <cellStyle name="20% - Accent5 10 2 2 2 2 2" xfId="5977" xr:uid="{00000000-0005-0000-0000-000093070000}"/>
    <cellStyle name="20% - Accent5 10 2 2 2 3" xfId="4393" xr:uid="{00000000-0005-0000-0000-000094070000}"/>
    <cellStyle name="20% - Accent5 10 2 2 3" xfId="1752" xr:uid="{00000000-0005-0000-0000-000095070000}"/>
    <cellStyle name="20% - Accent5 10 2 2 3 2" xfId="3336" xr:uid="{00000000-0005-0000-0000-000096070000}"/>
    <cellStyle name="20% - Accent5 10 2 2 3 2 2" xfId="6505" xr:uid="{00000000-0005-0000-0000-000097070000}"/>
    <cellStyle name="20% - Accent5 10 2 2 3 3" xfId="4921" xr:uid="{00000000-0005-0000-0000-000098070000}"/>
    <cellStyle name="20% - Accent5 10 2 2 4" xfId="2280" xr:uid="{00000000-0005-0000-0000-000099070000}"/>
    <cellStyle name="20% - Accent5 10 2 2 4 2" xfId="5449" xr:uid="{00000000-0005-0000-0000-00009A070000}"/>
    <cellStyle name="20% - Accent5 10 2 2 5" xfId="3865" xr:uid="{00000000-0005-0000-0000-00009B070000}"/>
    <cellStyle name="20% - Accent5 10 2 3" xfId="960" xr:uid="{00000000-0005-0000-0000-00009C070000}"/>
    <cellStyle name="20% - Accent5 10 2 3 2" xfId="2544" xr:uid="{00000000-0005-0000-0000-00009D070000}"/>
    <cellStyle name="20% - Accent5 10 2 3 2 2" xfId="5713" xr:uid="{00000000-0005-0000-0000-00009E070000}"/>
    <cellStyle name="20% - Accent5 10 2 3 3" xfId="4129" xr:uid="{00000000-0005-0000-0000-00009F070000}"/>
    <cellStyle name="20% - Accent5 10 2 4" xfId="1488" xr:uid="{00000000-0005-0000-0000-0000A0070000}"/>
    <cellStyle name="20% - Accent5 10 2 4 2" xfId="3072" xr:uid="{00000000-0005-0000-0000-0000A1070000}"/>
    <cellStyle name="20% - Accent5 10 2 4 2 2" xfId="6241" xr:uid="{00000000-0005-0000-0000-0000A2070000}"/>
    <cellStyle name="20% - Accent5 10 2 4 3" xfId="4657" xr:uid="{00000000-0005-0000-0000-0000A3070000}"/>
    <cellStyle name="20% - Accent5 10 2 5" xfId="2016" xr:uid="{00000000-0005-0000-0000-0000A4070000}"/>
    <cellStyle name="20% - Accent5 10 2 5 2" xfId="5185" xr:uid="{00000000-0005-0000-0000-0000A5070000}"/>
    <cellStyle name="20% - Accent5 10 2 6" xfId="3601" xr:uid="{00000000-0005-0000-0000-0000A6070000}"/>
    <cellStyle name="20% - Accent5 10 3" xfId="695" xr:uid="{00000000-0005-0000-0000-0000A7070000}"/>
    <cellStyle name="20% - Accent5 10 3 2" xfId="1223" xr:uid="{00000000-0005-0000-0000-0000A8070000}"/>
    <cellStyle name="20% - Accent5 10 3 2 2" xfId="2807" xr:uid="{00000000-0005-0000-0000-0000A9070000}"/>
    <cellStyle name="20% - Accent5 10 3 2 2 2" xfId="5976" xr:uid="{00000000-0005-0000-0000-0000AA070000}"/>
    <cellStyle name="20% - Accent5 10 3 2 3" xfId="4392" xr:uid="{00000000-0005-0000-0000-0000AB070000}"/>
    <cellStyle name="20% - Accent5 10 3 3" xfId="1751" xr:uid="{00000000-0005-0000-0000-0000AC070000}"/>
    <cellStyle name="20% - Accent5 10 3 3 2" xfId="3335" xr:uid="{00000000-0005-0000-0000-0000AD070000}"/>
    <cellStyle name="20% - Accent5 10 3 3 2 2" xfId="6504" xr:uid="{00000000-0005-0000-0000-0000AE070000}"/>
    <cellStyle name="20% - Accent5 10 3 3 3" xfId="4920" xr:uid="{00000000-0005-0000-0000-0000AF070000}"/>
    <cellStyle name="20% - Accent5 10 3 4" xfId="2279" xr:uid="{00000000-0005-0000-0000-0000B0070000}"/>
    <cellStyle name="20% - Accent5 10 3 4 2" xfId="5448" xr:uid="{00000000-0005-0000-0000-0000B1070000}"/>
    <cellStyle name="20% - Accent5 10 3 5" xfId="3864" xr:uid="{00000000-0005-0000-0000-0000B2070000}"/>
    <cellStyle name="20% - Accent5 10 4" xfId="959" xr:uid="{00000000-0005-0000-0000-0000B3070000}"/>
    <cellStyle name="20% - Accent5 10 4 2" xfId="2543" xr:uid="{00000000-0005-0000-0000-0000B4070000}"/>
    <cellStyle name="20% - Accent5 10 4 2 2" xfId="5712" xr:uid="{00000000-0005-0000-0000-0000B5070000}"/>
    <cellStyle name="20% - Accent5 10 4 3" xfId="4128" xr:uid="{00000000-0005-0000-0000-0000B6070000}"/>
    <cellStyle name="20% - Accent5 10 5" xfId="1487" xr:uid="{00000000-0005-0000-0000-0000B7070000}"/>
    <cellStyle name="20% - Accent5 10 5 2" xfId="3071" xr:uid="{00000000-0005-0000-0000-0000B8070000}"/>
    <cellStyle name="20% - Accent5 10 5 2 2" xfId="6240" xr:uid="{00000000-0005-0000-0000-0000B9070000}"/>
    <cellStyle name="20% - Accent5 10 5 3" xfId="4656" xr:uid="{00000000-0005-0000-0000-0000BA070000}"/>
    <cellStyle name="20% - Accent5 10 6" xfId="2015" xr:uid="{00000000-0005-0000-0000-0000BB070000}"/>
    <cellStyle name="20% - Accent5 10 6 2" xfId="5184" xr:uid="{00000000-0005-0000-0000-0000BC070000}"/>
    <cellStyle name="20% - Accent5 10 7" xfId="3600" xr:uid="{00000000-0005-0000-0000-0000BD070000}"/>
    <cellStyle name="20% - Accent5 11" xfId="189" xr:uid="{00000000-0005-0000-0000-0000BE070000}"/>
    <cellStyle name="20% - Accent5 11 2" xfId="697" xr:uid="{00000000-0005-0000-0000-0000BF070000}"/>
    <cellStyle name="20% - Accent5 11 2 2" xfId="1225" xr:uid="{00000000-0005-0000-0000-0000C0070000}"/>
    <cellStyle name="20% - Accent5 11 2 2 2" xfId="2809" xr:uid="{00000000-0005-0000-0000-0000C1070000}"/>
    <cellStyle name="20% - Accent5 11 2 2 2 2" xfId="5978" xr:uid="{00000000-0005-0000-0000-0000C2070000}"/>
    <cellStyle name="20% - Accent5 11 2 2 3" xfId="4394" xr:uid="{00000000-0005-0000-0000-0000C3070000}"/>
    <cellStyle name="20% - Accent5 11 2 3" xfId="1753" xr:uid="{00000000-0005-0000-0000-0000C4070000}"/>
    <cellStyle name="20% - Accent5 11 2 3 2" xfId="3337" xr:uid="{00000000-0005-0000-0000-0000C5070000}"/>
    <cellStyle name="20% - Accent5 11 2 3 2 2" xfId="6506" xr:uid="{00000000-0005-0000-0000-0000C6070000}"/>
    <cellStyle name="20% - Accent5 11 2 3 3" xfId="4922" xr:uid="{00000000-0005-0000-0000-0000C7070000}"/>
    <cellStyle name="20% - Accent5 11 2 4" xfId="2281" xr:uid="{00000000-0005-0000-0000-0000C8070000}"/>
    <cellStyle name="20% - Accent5 11 2 4 2" xfId="5450" xr:uid="{00000000-0005-0000-0000-0000C9070000}"/>
    <cellStyle name="20% - Accent5 11 2 5" xfId="3866" xr:uid="{00000000-0005-0000-0000-0000CA070000}"/>
    <cellStyle name="20% - Accent5 11 3" xfId="961" xr:uid="{00000000-0005-0000-0000-0000CB070000}"/>
    <cellStyle name="20% - Accent5 11 3 2" xfId="2545" xr:uid="{00000000-0005-0000-0000-0000CC070000}"/>
    <cellStyle name="20% - Accent5 11 3 2 2" xfId="5714" xr:uid="{00000000-0005-0000-0000-0000CD070000}"/>
    <cellStyle name="20% - Accent5 11 3 3" xfId="4130" xr:uid="{00000000-0005-0000-0000-0000CE070000}"/>
    <cellStyle name="20% - Accent5 11 4" xfId="1489" xr:uid="{00000000-0005-0000-0000-0000CF070000}"/>
    <cellStyle name="20% - Accent5 11 4 2" xfId="3073" xr:uid="{00000000-0005-0000-0000-0000D0070000}"/>
    <cellStyle name="20% - Accent5 11 4 2 2" xfId="6242" xr:uid="{00000000-0005-0000-0000-0000D1070000}"/>
    <cellStyle name="20% - Accent5 11 4 3" xfId="4658" xr:uid="{00000000-0005-0000-0000-0000D2070000}"/>
    <cellStyle name="20% - Accent5 11 5" xfId="2017" xr:uid="{00000000-0005-0000-0000-0000D3070000}"/>
    <cellStyle name="20% - Accent5 11 5 2" xfId="5186" xr:uid="{00000000-0005-0000-0000-0000D4070000}"/>
    <cellStyle name="20% - Accent5 11 6" xfId="3602" xr:uid="{00000000-0005-0000-0000-0000D5070000}"/>
    <cellStyle name="20% - Accent5 12" xfId="190" xr:uid="{00000000-0005-0000-0000-0000D6070000}"/>
    <cellStyle name="20% - Accent5 12 2" xfId="698" xr:uid="{00000000-0005-0000-0000-0000D7070000}"/>
    <cellStyle name="20% - Accent5 12 2 2" xfId="1226" xr:uid="{00000000-0005-0000-0000-0000D8070000}"/>
    <cellStyle name="20% - Accent5 12 2 2 2" xfId="2810" xr:uid="{00000000-0005-0000-0000-0000D9070000}"/>
    <cellStyle name="20% - Accent5 12 2 2 2 2" xfId="5979" xr:uid="{00000000-0005-0000-0000-0000DA070000}"/>
    <cellStyle name="20% - Accent5 12 2 2 3" xfId="4395" xr:uid="{00000000-0005-0000-0000-0000DB070000}"/>
    <cellStyle name="20% - Accent5 12 2 3" xfId="1754" xr:uid="{00000000-0005-0000-0000-0000DC070000}"/>
    <cellStyle name="20% - Accent5 12 2 3 2" xfId="3338" xr:uid="{00000000-0005-0000-0000-0000DD070000}"/>
    <cellStyle name="20% - Accent5 12 2 3 2 2" xfId="6507" xr:uid="{00000000-0005-0000-0000-0000DE070000}"/>
    <cellStyle name="20% - Accent5 12 2 3 3" xfId="4923" xr:uid="{00000000-0005-0000-0000-0000DF070000}"/>
    <cellStyle name="20% - Accent5 12 2 4" xfId="2282" xr:uid="{00000000-0005-0000-0000-0000E0070000}"/>
    <cellStyle name="20% - Accent5 12 2 4 2" xfId="5451" xr:uid="{00000000-0005-0000-0000-0000E1070000}"/>
    <cellStyle name="20% - Accent5 12 2 5" xfId="3867" xr:uid="{00000000-0005-0000-0000-0000E2070000}"/>
    <cellStyle name="20% - Accent5 12 3" xfId="962" xr:uid="{00000000-0005-0000-0000-0000E3070000}"/>
    <cellStyle name="20% - Accent5 12 3 2" xfId="2546" xr:uid="{00000000-0005-0000-0000-0000E4070000}"/>
    <cellStyle name="20% - Accent5 12 3 2 2" xfId="5715" xr:uid="{00000000-0005-0000-0000-0000E5070000}"/>
    <cellStyle name="20% - Accent5 12 3 3" xfId="4131" xr:uid="{00000000-0005-0000-0000-0000E6070000}"/>
    <cellStyle name="20% - Accent5 12 4" xfId="1490" xr:uid="{00000000-0005-0000-0000-0000E7070000}"/>
    <cellStyle name="20% - Accent5 12 4 2" xfId="3074" xr:uid="{00000000-0005-0000-0000-0000E8070000}"/>
    <cellStyle name="20% - Accent5 12 4 2 2" xfId="6243" xr:uid="{00000000-0005-0000-0000-0000E9070000}"/>
    <cellStyle name="20% - Accent5 12 4 3" xfId="4659" xr:uid="{00000000-0005-0000-0000-0000EA070000}"/>
    <cellStyle name="20% - Accent5 12 5" xfId="2018" xr:uid="{00000000-0005-0000-0000-0000EB070000}"/>
    <cellStyle name="20% - Accent5 12 5 2" xfId="5187" xr:uid="{00000000-0005-0000-0000-0000EC070000}"/>
    <cellStyle name="20% - Accent5 12 6" xfId="3603" xr:uid="{00000000-0005-0000-0000-0000ED070000}"/>
    <cellStyle name="20% - Accent5 13" xfId="191" xr:uid="{00000000-0005-0000-0000-0000EE070000}"/>
    <cellStyle name="20% - Accent5 13 2" xfId="699" xr:uid="{00000000-0005-0000-0000-0000EF070000}"/>
    <cellStyle name="20% - Accent5 13 2 2" xfId="1227" xr:uid="{00000000-0005-0000-0000-0000F0070000}"/>
    <cellStyle name="20% - Accent5 13 2 2 2" xfId="2811" xr:uid="{00000000-0005-0000-0000-0000F1070000}"/>
    <cellStyle name="20% - Accent5 13 2 2 2 2" xfId="5980" xr:uid="{00000000-0005-0000-0000-0000F2070000}"/>
    <cellStyle name="20% - Accent5 13 2 2 3" xfId="4396" xr:uid="{00000000-0005-0000-0000-0000F3070000}"/>
    <cellStyle name="20% - Accent5 13 2 3" xfId="1755" xr:uid="{00000000-0005-0000-0000-0000F4070000}"/>
    <cellStyle name="20% - Accent5 13 2 3 2" xfId="3339" xr:uid="{00000000-0005-0000-0000-0000F5070000}"/>
    <cellStyle name="20% - Accent5 13 2 3 2 2" xfId="6508" xr:uid="{00000000-0005-0000-0000-0000F6070000}"/>
    <cellStyle name="20% - Accent5 13 2 3 3" xfId="4924" xr:uid="{00000000-0005-0000-0000-0000F7070000}"/>
    <cellStyle name="20% - Accent5 13 2 4" xfId="2283" xr:uid="{00000000-0005-0000-0000-0000F8070000}"/>
    <cellStyle name="20% - Accent5 13 2 4 2" xfId="5452" xr:uid="{00000000-0005-0000-0000-0000F9070000}"/>
    <cellStyle name="20% - Accent5 13 2 5" xfId="3868" xr:uid="{00000000-0005-0000-0000-0000FA070000}"/>
    <cellStyle name="20% - Accent5 13 3" xfId="963" xr:uid="{00000000-0005-0000-0000-0000FB070000}"/>
    <cellStyle name="20% - Accent5 13 3 2" xfId="2547" xr:uid="{00000000-0005-0000-0000-0000FC070000}"/>
    <cellStyle name="20% - Accent5 13 3 2 2" xfId="5716" xr:uid="{00000000-0005-0000-0000-0000FD070000}"/>
    <cellStyle name="20% - Accent5 13 3 3" xfId="4132" xr:uid="{00000000-0005-0000-0000-0000FE070000}"/>
    <cellStyle name="20% - Accent5 13 4" xfId="1491" xr:uid="{00000000-0005-0000-0000-0000FF070000}"/>
    <cellStyle name="20% - Accent5 13 4 2" xfId="3075" xr:uid="{00000000-0005-0000-0000-000000080000}"/>
    <cellStyle name="20% - Accent5 13 4 2 2" xfId="6244" xr:uid="{00000000-0005-0000-0000-000001080000}"/>
    <cellStyle name="20% - Accent5 13 4 3" xfId="4660" xr:uid="{00000000-0005-0000-0000-000002080000}"/>
    <cellStyle name="20% - Accent5 13 5" xfId="2019" xr:uid="{00000000-0005-0000-0000-000003080000}"/>
    <cellStyle name="20% - Accent5 13 5 2" xfId="5188" xr:uid="{00000000-0005-0000-0000-000004080000}"/>
    <cellStyle name="20% - Accent5 13 6" xfId="3604" xr:uid="{00000000-0005-0000-0000-000005080000}"/>
    <cellStyle name="20% - Accent5 14" xfId="192" xr:uid="{00000000-0005-0000-0000-000006080000}"/>
    <cellStyle name="20% - Accent5 14 2" xfId="700" xr:uid="{00000000-0005-0000-0000-000007080000}"/>
    <cellStyle name="20% - Accent5 14 2 2" xfId="1228" xr:uid="{00000000-0005-0000-0000-000008080000}"/>
    <cellStyle name="20% - Accent5 14 2 2 2" xfId="2812" xr:uid="{00000000-0005-0000-0000-000009080000}"/>
    <cellStyle name="20% - Accent5 14 2 2 2 2" xfId="5981" xr:uid="{00000000-0005-0000-0000-00000A080000}"/>
    <cellStyle name="20% - Accent5 14 2 2 3" xfId="4397" xr:uid="{00000000-0005-0000-0000-00000B080000}"/>
    <cellStyle name="20% - Accent5 14 2 3" xfId="1756" xr:uid="{00000000-0005-0000-0000-00000C080000}"/>
    <cellStyle name="20% - Accent5 14 2 3 2" xfId="3340" xr:uid="{00000000-0005-0000-0000-00000D080000}"/>
    <cellStyle name="20% - Accent5 14 2 3 2 2" xfId="6509" xr:uid="{00000000-0005-0000-0000-00000E080000}"/>
    <cellStyle name="20% - Accent5 14 2 3 3" xfId="4925" xr:uid="{00000000-0005-0000-0000-00000F080000}"/>
    <cellStyle name="20% - Accent5 14 2 4" xfId="2284" xr:uid="{00000000-0005-0000-0000-000010080000}"/>
    <cellStyle name="20% - Accent5 14 2 4 2" xfId="5453" xr:uid="{00000000-0005-0000-0000-000011080000}"/>
    <cellStyle name="20% - Accent5 14 2 5" xfId="3869" xr:uid="{00000000-0005-0000-0000-000012080000}"/>
    <cellStyle name="20% - Accent5 14 3" xfId="964" xr:uid="{00000000-0005-0000-0000-000013080000}"/>
    <cellStyle name="20% - Accent5 14 3 2" xfId="2548" xr:uid="{00000000-0005-0000-0000-000014080000}"/>
    <cellStyle name="20% - Accent5 14 3 2 2" xfId="5717" xr:uid="{00000000-0005-0000-0000-000015080000}"/>
    <cellStyle name="20% - Accent5 14 3 3" xfId="4133" xr:uid="{00000000-0005-0000-0000-000016080000}"/>
    <cellStyle name="20% - Accent5 14 4" xfId="1492" xr:uid="{00000000-0005-0000-0000-000017080000}"/>
    <cellStyle name="20% - Accent5 14 4 2" xfId="3076" xr:uid="{00000000-0005-0000-0000-000018080000}"/>
    <cellStyle name="20% - Accent5 14 4 2 2" xfId="6245" xr:uid="{00000000-0005-0000-0000-000019080000}"/>
    <cellStyle name="20% - Accent5 14 4 3" xfId="4661" xr:uid="{00000000-0005-0000-0000-00001A080000}"/>
    <cellStyle name="20% - Accent5 14 5" xfId="2020" xr:uid="{00000000-0005-0000-0000-00001B080000}"/>
    <cellStyle name="20% - Accent5 14 5 2" xfId="5189" xr:uid="{00000000-0005-0000-0000-00001C080000}"/>
    <cellStyle name="20% - Accent5 14 6" xfId="3605" xr:uid="{00000000-0005-0000-0000-00001D080000}"/>
    <cellStyle name="20% - Accent5 15" xfId="193" xr:uid="{00000000-0005-0000-0000-00001E080000}"/>
    <cellStyle name="20% - Accent5 15 2" xfId="701" xr:uid="{00000000-0005-0000-0000-00001F080000}"/>
    <cellStyle name="20% - Accent5 15 2 2" xfId="1229" xr:uid="{00000000-0005-0000-0000-000020080000}"/>
    <cellStyle name="20% - Accent5 15 2 2 2" xfId="2813" xr:uid="{00000000-0005-0000-0000-000021080000}"/>
    <cellStyle name="20% - Accent5 15 2 2 2 2" xfId="5982" xr:uid="{00000000-0005-0000-0000-000022080000}"/>
    <cellStyle name="20% - Accent5 15 2 2 3" xfId="4398" xr:uid="{00000000-0005-0000-0000-000023080000}"/>
    <cellStyle name="20% - Accent5 15 2 3" xfId="1757" xr:uid="{00000000-0005-0000-0000-000024080000}"/>
    <cellStyle name="20% - Accent5 15 2 3 2" xfId="3341" xr:uid="{00000000-0005-0000-0000-000025080000}"/>
    <cellStyle name="20% - Accent5 15 2 3 2 2" xfId="6510" xr:uid="{00000000-0005-0000-0000-000026080000}"/>
    <cellStyle name="20% - Accent5 15 2 3 3" xfId="4926" xr:uid="{00000000-0005-0000-0000-000027080000}"/>
    <cellStyle name="20% - Accent5 15 2 4" xfId="2285" xr:uid="{00000000-0005-0000-0000-000028080000}"/>
    <cellStyle name="20% - Accent5 15 2 4 2" xfId="5454" xr:uid="{00000000-0005-0000-0000-000029080000}"/>
    <cellStyle name="20% - Accent5 15 2 5" xfId="3870" xr:uid="{00000000-0005-0000-0000-00002A080000}"/>
    <cellStyle name="20% - Accent5 15 3" xfId="965" xr:uid="{00000000-0005-0000-0000-00002B080000}"/>
    <cellStyle name="20% - Accent5 15 3 2" xfId="2549" xr:uid="{00000000-0005-0000-0000-00002C080000}"/>
    <cellStyle name="20% - Accent5 15 3 2 2" xfId="5718" xr:uid="{00000000-0005-0000-0000-00002D080000}"/>
    <cellStyle name="20% - Accent5 15 3 3" xfId="4134" xr:uid="{00000000-0005-0000-0000-00002E080000}"/>
    <cellStyle name="20% - Accent5 15 4" xfId="1493" xr:uid="{00000000-0005-0000-0000-00002F080000}"/>
    <cellStyle name="20% - Accent5 15 4 2" xfId="3077" xr:uid="{00000000-0005-0000-0000-000030080000}"/>
    <cellStyle name="20% - Accent5 15 4 2 2" xfId="6246" xr:uid="{00000000-0005-0000-0000-000031080000}"/>
    <cellStyle name="20% - Accent5 15 4 3" xfId="4662" xr:uid="{00000000-0005-0000-0000-000032080000}"/>
    <cellStyle name="20% - Accent5 15 5" xfId="2021" xr:uid="{00000000-0005-0000-0000-000033080000}"/>
    <cellStyle name="20% - Accent5 15 5 2" xfId="5190" xr:uid="{00000000-0005-0000-0000-000034080000}"/>
    <cellStyle name="20% - Accent5 15 6" xfId="3606" xr:uid="{00000000-0005-0000-0000-000035080000}"/>
    <cellStyle name="20% - Accent5 16" xfId="194" xr:uid="{00000000-0005-0000-0000-000036080000}"/>
    <cellStyle name="20% - Accent5 16 2" xfId="702" xr:uid="{00000000-0005-0000-0000-000037080000}"/>
    <cellStyle name="20% - Accent5 16 2 2" xfId="1230" xr:uid="{00000000-0005-0000-0000-000038080000}"/>
    <cellStyle name="20% - Accent5 16 2 2 2" xfId="2814" xr:uid="{00000000-0005-0000-0000-000039080000}"/>
    <cellStyle name="20% - Accent5 16 2 2 2 2" xfId="5983" xr:uid="{00000000-0005-0000-0000-00003A080000}"/>
    <cellStyle name="20% - Accent5 16 2 2 3" xfId="4399" xr:uid="{00000000-0005-0000-0000-00003B080000}"/>
    <cellStyle name="20% - Accent5 16 2 3" xfId="1758" xr:uid="{00000000-0005-0000-0000-00003C080000}"/>
    <cellStyle name="20% - Accent5 16 2 3 2" xfId="3342" xr:uid="{00000000-0005-0000-0000-00003D080000}"/>
    <cellStyle name="20% - Accent5 16 2 3 2 2" xfId="6511" xr:uid="{00000000-0005-0000-0000-00003E080000}"/>
    <cellStyle name="20% - Accent5 16 2 3 3" xfId="4927" xr:uid="{00000000-0005-0000-0000-00003F080000}"/>
    <cellStyle name="20% - Accent5 16 2 4" xfId="2286" xr:uid="{00000000-0005-0000-0000-000040080000}"/>
    <cellStyle name="20% - Accent5 16 2 4 2" xfId="5455" xr:uid="{00000000-0005-0000-0000-000041080000}"/>
    <cellStyle name="20% - Accent5 16 2 5" xfId="3871" xr:uid="{00000000-0005-0000-0000-000042080000}"/>
    <cellStyle name="20% - Accent5 16 3" xfId="966" xr:uid="{00000000-0005-0000-0000-000043080000}"/>
    <cellStyle name="20% - Accent5 16 3 2" xfId="2550" xr:uid="{00000000-0005-0000-0000-000044080000}"/>
    <cellStyle name="20% - Accent5 16 3 2 2" xfId="5719" xr:uid="{00000000-0005-0000-0000-000045080000}"/>
    <cellStyle name="20% - Accent5 16 3 3" xfId="4135" xr:uid="{00000000-0005-0000-0000-000046080000}"/>
    <cellStyle name="20% - Accent5 16 4" xfId="1494" xr:uid="{00000000-0005-0000-0000-000047080000}"/>
    <cellStyle name="20% - Accent5 16 4 2" xfId="3078" xr:uid="{00000000-0005-0000-0000-000048080000}"/>
    <cellStyle name="20% - Accent5 16 4 2 2" xfId="6247" xr:uid="{00000000-0005-0000-0000-000049080000}"/>
    <cellStyle name="20% - Accent5 16 4 3" xfId="4663" xr:uid="{00000000-0005-0000-0000-00004A080000}"/>
    <cellStyle name="20% - Accent5 16 5" xfId="2022" xr:uid="{00000000-0005-0000-0000-00004B080000}"/>
    <cellStyle name="20% - Accent5 16 5 2" xfId="5191" xr:uid="{00000000-0005-0000-0000-00004C080000}"/>
    <cellStyle name="20% - Accent5 16 6" xfId="3607" xr:uid="{00000000-0005-0000-0000-00004D080000}"/>
    <cellStyle name="20% - Accent5 2" xfId="5" xr:uid="{00000000-0005-0000-0000-00004E080000}"/>
    <cellStyle name="20% - Accent5 2 2" xfId="195" xr:uid="{00000000-0005-0000-0000-00004F080000}"/>
    <cellStyle name="20% - Accent5 3" xfId="196" xr:uid="{00000000-0005-0000-0000-000050080000}"/>
    <cellStyle name="20% - Accent5 4" xfId="197" xr:uid="{00000000-0005-0000-0000-000051080000}"/>
    <cellStyle name="20% - Accent5 4 2" xfId="198" xr:uid="{00000000-0005-0000-0000-000052080000}"/>
    <cellStyle name="20% - Accent5 4 2 2" xfId="704" xr:uid="{00000000-0005-0000-0000-000053080000}"/>
    <cellStyle name="20% - Accent5 4 2 2 2" xfId="1232" xr:uid="{00000000-0005-0000-0000-000054080000}"/>
    <cellStyle name="20% - Accent5 4 2 2 2 2" xfId="2816" xr:uid="{00000000-0005-0000-0000-000055080000}"/>
    <cellStyle name="20% - Accent5 4 2 2 2 2 2" xfId="5985" xr:uid="{00000000-0005-0000-0000-000056080000}"/>
    <cellStyle name="20% - Accent5 4 2 2 2 3" xfId="4401" xr:uid="{00000000-0005-0000-0000-000057080000}"/>
    <cellStyle name="20% - Accent5 4 2 2 3" xfId="1760" xr:uid="{00000000-0005-0000-0000-000058080000}"/>
    <cellStyle name="20% - Accent5 4 2 2 3 2" xfId="3344" xr:uid="{00000000-0005-0000-0000-000059080000}"/>
    <cellStyle name="20% - Accent5 4 2 2 3 2 2" xfId="6513" xr:uid="{00000000-0005-0000-0000-00005A080000}"/>
    <cellStyle name="20% - Accent5 4 2 2 3 3" xfId="4929" xr:uid="{00000000-0005-0000-0000-00005B080000}"/>
    <cellStyle name="20% - Accent5 4 2 2 4" xfId="2288" xr:uid="{00000000-0005-0000-0000-00005C080000}"/>
    <cellStyle name="20% - Accent5 4 2 2 4 2" xfId="5457" xr:uid="{00000000-0005-0000-0000-00005D080000}"/>
    <cellStyle name="20% - Accent5 4 2 2 5" xfId="3873" xr:uid="{00000000-0005-0000-0000-00005E080000}"/>
    <cellStyle name="20% - Accent5 4 2 3" xfId="968" xr:uid="{00000000-0005-0000-0000-00005F080000}"/>
    <cellStyle name="20% - Accent5 4 2 3 2" xfId="2552" xr:uid="{00000000-0005-0000-0000-000060080000}"/>
    <cellStyle name="20% - Accent5 4 2 3 2 2" xfId="5721" xr:uid="{00000000-0005-0000-0000-000061080000}"/>
    <cellStyle name="20% - Accent5 4 2 3 3" xfId="4137" xr:uid="{00000000-0005-0000-0000-000062080000}"/>
    <cellStyle name="20% - Accent5 4 2 4" xfId="1496" xr:uid="{00000000-0005-0000-0000-000063080000}"/>
    <cellStyle name="20% - Accent5 4 2 4 2" xfId="3080" xr:uid="{00000000-0005-0000-0000-000064080000}"/>
    <cellStyle name="20% - Accent5 4 2 4 2 2" xfId="6249" xr:uid="{00000000-0005-0000-0000-000065080000}"/>
    <cellStyle name="20% - Accent5 4 2 4 3" xfId="4665" xr:uid="{00000000-0005-0000-0000-000066080000}"/>
    <cellStyle name="20% - Accent5 4 2 5" xfId="2024" xr:uid="{00000000-0005-0000-0000-000067080000}"/>
    <cellStyle name="20% - Accent5 4 2 5 2" xfId="5193" xr:uid="{00000000-0005-0000-0000-000068080000}"/>
    <cellStyle name="20% - Accent5 4 2 6" xfId="3609" xr:uid="{00000000-0005-0000-0000-000069080000}"/>
    <cellStyle name="20% - Accent5 4 3" xfId="703" xr:uid="{00000000-0005-0000-0000-00006A080000}"/>
    <cellStyle name="20% - Accent5 4 3 2" xfId="1231" xr:uid="{00000000-0005-0000-0000-00006B080000}"/>
    <cellStyle name="20% - Accent5 4 3 2 2" xfId="2815" xr:uid="{00000000-0005-0000-0000-00006C080000}"/>
    <cellStyle name="20% - Accent5 4 3 2 2 2" xfId="5984" xr:uid="{00000000-0005-0000-0000-00006D080000}"/>
    <cellStyle name="20% - Accent5 4 3 2 3" xfId="4400" xr:uid="{00000000-0005-0000-0000-00006E080000}"/>
    <cellStyle name="20% - Accent5 4 3 3" xfId="1759" xr:uid="{00000000-0005-0000-0000-00006F080000}"/>
    <cellStyle name="20% - Accent5 4 3 3 2" xfId="3343" xr:uid="{00000000-0005-0000-0000-000070080000}"/>
    <cellStyle name="20% - Accent5 4 3 3 2 2" xfId="6512" xr:uid="{00000000-0005-0000-0000-000071080000}"/>
    <cellStyle name="20% - Accent5 4 3 3 3" xfId="4928" xr:uid="{00000000-0005-0000-0000-000072080000}"/>
    <cellStyle name="20% - Accent5 4 3 4" xfId="2287" xr:uid="{00000000-0005-0000-0000-000073080000}"/>
    <cellStyle name="20% - Accent5 4 3 4 2" xfId="5456" xr:uid="{00000000-0005-0000-0000-000074080000}"/>
    <cellStyle name="20% - Accent5 4 3 5" xfId="3872" xr:uid="{00000000-0005-0000-0000-000075080000}"/>
    <cellStyle name="20% - Accent5 4 4" xfId="967" xr:uid="{00000000-0005-0000-0000-000076080000}"/>
    <cellStyle name="20% - Accent5 4 4 2" xfId="2551" xr:uid="{00000000-0005-0000-0000-000077080000}"/>
    <cellStyle name="20% - Accent5 4 4 2 2" xfId="5720" xr:uid="{00000000-0005-0000-0000-000078080000}"/>
    <cellStyle name="20% - Accent5 4 4 3" xfId="4136" xr:uid="{00000000-0005-0000-0000-000079080000}"/>
    <cellStyle name="20% - Accent5 4 5" xfId="1495" xr:uid="{00000000-0005-0000-0000-00007A080000}"/>
    <cellStyle name="20% - Accent5 4 5 2" xfId="3079" xr:uid="{00000000-0005-0000-0000-00007B080000}"/>
    <cellStyle name="20% - Accent5 4 5 2 2" xfId="6248" xr:uid="{00000000-0005-0000-0000-00007C080000}"/>
    <cellStyle name="20% - Accent5 4 5 3" xfId="4664" xr:uid="{00000000-0005-0000-0000-00007D080000}"/>
    <cellStyle name="20% - Accent5 4 6" xfId="2023" xr:uid="{00000000-0005-0000-0000-00007E080000}"/>
    <cellStyle name="20% - Accent5 4 6 2" xfId="5192" xr:uid="{00000000-0005-0000-0000-00007F080000}"/>
    <cellStyle name="20% - Accent5 4 7" xfId="3608" xr:uid="{00000000-0005-0000-0000-000080080000}"/>
    <cellStyle name="20% - Accent5 5" xfId="199" xr:uid="{00000000-0005-0000-0000-000081080000}"/>
    <cellStyle name="20% - Accent5 5 2" xfId="200" xr:uid="{00000000-0005-0000-0000-000082080000}"/>
    <cellStyle name="20% - Accent5 5 2 2" xfId="706" xr:uid="{00000000-0005-0000-0000-000083080000}"/>
    <cellStyle name="20% - Accent5 5 2 2 2" xfId="1234" xr:uid="{00000000-0005-0000-0000-000084080000}"/>
    <cellStyle name="20% - Accent5 5 2 2 2 2" xfId="2818" xr:uid="{00000000-0005-0000-0000-000085080000}"/>
    <cellStyle name="20% - Accent5 5 2 2 2 2 2" xfId="5987" xr:uid="{00000000-0005-0000-0000-000086080000}"/>
    <cellStyle name="20% - Accent5 5 2 2 2 3" xfId="4403" xr:uid="{00000000-0005-0000-0000-000087080000}"/>
    <cellStyle name="20% - Accent5 5 2 2 3" xfId="1762" xr:uid="{00000000-0005-0000-0000-000088080000}"/>
    <cellStyle name="20% - Accent5 5 2 2 3 2" xfId="3346" xr:uid="{00000000-0005-0000-0000-000089080000}"/>
    <cellStyle name="20% - Accent5 5 2 2 3 2 2" xfId="6515" xr:uid="{00000000-0005-0000-0000-00008A080000}"/>
    <cellStyle name="20% - Accent5 5 2 2 3 3" xfId="4931" xr:uid="{00000000-0005-0000-0000-00008B080000}"/>
    <cellStyle name="20% - Accent5 5 2 2 4" xfId="2290" xr:uid="{00000000-0005-0000-0000-00008C080000}"/>
    <cellStyle name="20% - Accent5 5 2 2 4 2" xfId="5459" xr:uid="{00000000-0005-0000-0000-00008D080000}"/>
    <cellStyle name="20% - Accent5 5 2 2 5" xfId="3875" xr:uid="{00000000-0005-0000-0000-00008E080000}"/>
    <cellStyle name="20% - Accent5 5 2 3" xfId="970" xr:uid="{00000000-0005-0000-0000-00008F080000}"/>
    <cellStyle name="20% - Accent5 5 2 3 2" xfId="2554" xr:uid="{00000000-0005-0000-0000-000090080000}"/>
    <cellStyle name="20% - Accent5 5 2 3 2 2" xfId="5723" xr:uid="{00000000-0005-0000-0000-000091080000}"/>
    <cellStyle name="20% - Accent5 5 2 3 3" xfId="4139" xr:uid="{00000000-0005-0000-0000-000092080000}"/>
    <cellStyle name="20% - Accent5 5 2 4" xfId="1498" xr:uid="{00000000-0005-0000-0000-000093080000}"/>
    <cellStyle name="20% - Accent5 5 2 4 2" xfId="3082" xr:uid="{00000000-0005-0000-0000-000094080000}"/>
    <cellStyle name="20% - Accent5 5 2 4 2 2" xfId="6251" xr:uid="{00000000-0005-0000-0000-000095080000}"/>
    <cellStyle name="20% - Accent5 5 2 4 3" xfId="4667" xr:uid="{00000000-0005-0000-0000-000096080000}"/>
    <cellStyle name="20% - Accent5 5 2 5" xfId="2026" xr:uid="{00000000-0005-0000-0000-000097080000}"/>
    <cellStyle name="20% - Accent5 5 2 5 2" xfId="5195" xr:uid="{00000000-0005-0000-0000-000098080000}"/>
    <cellStyle name="20% - Accent5 5 2 6" xfId="3611" xr:uid="{00000000-0005-0000-0000-000099080000}"/>
    <cellStyle name="20% - Accent5 5 3" xfId="705" xr:uid="{00000000-0005-0000-0000-00009A080000}"/>
    <cellStyle name="20% - Accent5 5 3 2" xfId="1233" xr:uid="{00000000-0005-0000-0000-00009B080000}"/>
    <cellStyle name="20% - Accent5 5 3 2 2" xfId="2817" xr:uid="{00000000-0005-0000-0000-00009C080000}"/>
    <cellStyle name="20% - Accent5 5 3 2 2 2" xfId="5986" xr:uid="{00000000-0005-0000-0000-00009D080000}"/>
    <cellStyle name="20% - Accent5 5 3 2 3" xfId="4402" xr:uid="{00000000-0005-0000-0000-00009E080000}"/>
    <cellStyle name="20% - Accent5 5 3 3" xfId="1761" xr:uid="{00000000-0005-0000-0000-00009F080000}"/>
    <cellStyle name="20% - Accent5 5 3 3 2" xfId="3345" xr:uid="{00000000-0005-0000-0000-0000A0080000}"/>
    <cellStyle name="20% - Accent5 5 3 3 2 2" xfId="6514" xr:uid="{00000000-0005-0000-0000-0000A1080000}"/>
    <cellStyle name="20% - Accent5 5 3 3 3" xfId="4930" xr:uid="{00000000-0005-0000-0000-0000A2080000}"/>
    <cellStyle name="20% - Accent5 5 3 4" xfId="2289" xr:uid="{00000000-0005-0000-0000-0000A3080000}"/>
    <cellStyle name="20% - Accent5 5 3 4 2" xfId="5458" xr:uid="{00000000-0005-0000-0000-0000A4080000}"/>
    <cellStyle name="20% - Accent5 5 3 5" xfId="3874" xr:uid="{00000000-0005-0000-0000-0000A5080000}"/>
    <cellStyle name="20% - Accent5 5 4" xfId="969" xr:uid="{00000000-0005-0000-0000-0000A6080000}"/>
    <cellStyle name="20% - Accent5 5 4 2" xfId="2553" xr:uid="{00000000-0005-0000-0000-0000A7080000}"/>
    <cellStyle name="20% - Accent5 5 4 2 2" xfId="5722" xr:uid="{00000000-0005-0000-0000-0000A8080000}"/>
    <cellStyle name="20% - Accent5 5 4 3" xfId="4138" xr:uid="{00000000-0005-0000-0000-0000A9080000}"/>
    <cellStyle name="20% - Accent5 5 5" xfId="1497" xr:uid="{00000000-0005-0000-0000-0000AA080000}"/>
    <cellStyle name="20% - Accent5 5 5 2" xfId="3081" xr:uid="{00000000-0005-0000-0000-0000AB080000}"/>
    <cellStyle name="20% - Accent5 5 5 2 2" xfId="6250" xr:uid="{00000000-0005-0000-0000-0000AC080000}"/>
    <cellStyle name="20% - Accent5 5 5 3" xfId="4666" xr:uid="{00000000-0005-0000-0000-0000AD080000}"/>
    <cellStyle name="20% - Accent5 5 6" xfId="2025" xr:uid="{00000000-0005-0000-0000-0000AE080000}"/>
    <cellStyle name="20% - Accent5 5 6 2" xfId="5194" xr:uid="{00000000-0005-0000-0000-0000AF080000}"/>
    <cellStyle name="20% - Accent5 5 7" xfId="3610" xr:uid="{00000000-0005-0000-0000-0000B0080000}"/>
    <cellStyle name="20% - Accent5 6" xfId="201" xr:uid="{00000000-0005-0000-0000-0000B1080000}"/>
    <cellStyle name="20% - Accent5 6 2" xfId="202" xr:uid="{00000000-0005-0000-0000-0000B2080000}"/>
    <cellStyle name="20% - Accent5 6 2 2" xfId="708" xr:uid="{00000000-0005-0000-0000-0000B3080000}"/>
    <cellStyle name="20% - Accent5 6 2 2 2" xfId="1236" xr:uid="{00000000-0005-0000-0000-0000B4080000}"/>
    <cellStyle name="20% - Accent5 6 2 2 2 2" xfId="2820" xr:uid="{00000000-0005-0000-0000-0000B5080000}"/>
    <cellStyle name="20% - Accent5 6 2 2 2 2 2" xfId="5989" xr:uid="{00000000-0005-0000-0000-0000B6080000}"/>
    <cellStyle name="20% - Accent5 6 2 2 2 3" xfId="4405" xr:uid="{00000000-0005-0000-0000-0000B7080000}"/>
    <cellStyle name="20% - Accent5 6 2 2 3" xfId="1764" xr:uid="{00000000-0005-0000-0000-0000B8080000}"/>
    <cellStyle name="20% - Accent5 6 2 2 3 2" xfId="3348" xr:uid="{00000000-0005-0000-0000-0000B9080000}"/>
    <cellStyle name="20% - Accent5 6 2 2 3 2 2" xfId="6517" xr:uid="{00000000-0005-0000-0000-0000BA080000}"/>
    <cellStyle name="20% - Accent5 6 2 2 3 3" xfId="4933" xr:uid="{00000000-0005-0000-0000-0000BB080000}"/>
    <cellStyle name="20% - Accent5 6 2 2 4" xfId="2292" xr:uid="{00000000-0005-0000-0000-0000BC080000}"/>
    <cellStyle name="20% - Accent5 6 2 2 4 2" xfId="5461" xr:uid="{00000000-0005-0000-0000-0000BD080000}"/>
    <cellStyle name="20% - Accent5 6 2 2 5" xfId="3877" xr:uid="{00000000-0005-0000-0000-0000BE080000}"/>
    <cellStyle name="20% - Accent5 6 2 3" xfId="972" xr:uid="{00000000-0005-0000-0000-0000BF080000}"/>
    <cellStyle name="20% - Accent5 6 2 3 2" xfId="2556" xr:uid="{00000000-0005-0000-0000-0000C0080000}"/>
    <cellStyle name="20% - Accent5 6 2 3 2 2" xfId="5725" xr:uid="{00000000-0005-0000-0000-0000C1080000}"/>
    <cellStyle name="20% - Accent5 6 2 3 3" xfId="4141" xr:uid="{00000000-0005-0000-0000-0000C2080000}"/>
    <cellStyle name="20% - Accent5 6 2 4" xfId="1500" xr:uid="{00000000-0005-0000-0000-0000C3080000}"/>
    <cellStyle name="20% - Accent5 6 2 4 2" xfId="3084" xr:uid="{00000000-0005-0000-0000-0000C4080000}"/>
    <cellStyle name="20% - Accent5 6 2 4 2 2" xfId="6253" xr:uid="{00000000-0005-0000-0000-0000C5080000}"/>
    <cellStyle name="20% - Accent5 6 2 4 3" xfId="4669" xr:uid="{00000000-0005-0000-0000-0000C6080000}"/>
    <cellStyle name="20% - Accent5 6 2 5" xfId="2028" xr:uid="{00000000-0005-0000-0000-0000C7080000}"/>
    <cellStyle name="20% - Accent5 6 2 5 2" xfId="5197" xr:uid="{00000000-0005-0000-0000-0000C8080000}"/>
    <cellStyle name="20% - Accent5 6 2 6" xfId="3613" xr:uid="{00000000-0005-0000-0000-0000C9080000}"/>
    <cellStyle name="20% - Accent5 6 3" xfId="707" xr:uid="{00000000-0005-0000-0000-0000CA080000}"/>
    <cellStyle name="20% - Accent5 6 3 2" xfId="1235" xr:uid="{00000000-0005-0000-0000-0000CB080000}"/>
    <cellStyle name="20% - Accent5 6 3 2 2" xfId="2819" xr:uid="{00000000-0005-0000-0000-0000CC080000}"/>
    <cellStyle name="20% - Accent5 6 3 2 2 2" xfId="5988" xr:uid="{00000000-0005-0000-0000-0000CD080000}"/>
    <cellStyle name="20% - Accent5 6 3 2 3" xfId="4404" xr:uid="{00000000-0005-0000-0000-0000CE080000}"/>
    <cellStyle name="20% - Accent5 6 3 3" xfId="1763" xr:uid="{00000000-0005-0000-0000-0000CF080000}"/>
    <cellStyle name="20% - Accent5 6 3 3 2" xfId="3347" xr:uid="{00000000-0005-0000-0000-0000D0080000}"/>
    <cellStyle name="20% - Accent5 6 3 3 2 2" xfId="6516" xr:uid="{00000000-0005-0000-0000-0000D1080000}"/>
    <cellStyle name="20% - Accent5 6 3 3 3" xfId="4932" xr:uid="{00000000-0005-0000-0000-0000D2080000}"/>
    <cellStyle name="20% - Accent5 6 3 4" xfId="2291" xr:uid="{00000000-0005-0000-0000-0000D3080000}"/>
    <cellStyle name="20% - Accent5 6 3 4 2" xfId="5460" xr:uid="{00000000-0005-0000-0000-0000D4080000}"/>
    <cellStyle name="20% - Accent5 6 3 5" xfId="3876" xr:uid="{00000000-0005-0000-0000-0000D5080000}"/>
    <cellStyle name="20% - Accent5 6 4" xfId="971" xr:uid="{00000000-0005-0000-0000-0000D6080000}"/>
    <cellStyle name="20% - Accent5 6 4 2" xfId="2555" xr:uid="{00000000-0005-0000-0000-0000D7080000}"/>
    <cellStyle name="20% - Accent5 6 4 2 2" xfId="5724" xr:uid="{00000000-0005-0000-0000-0000D8080000}"/>
    <cellStyle name="20% - Accent5 6 4 3" xfId="4140" xr:uid="{00000000-0005-0000-0000-0000D9080000}"/>
    <cellStyle name="20% - Accent5 6 5" xfId="1499" xr:uid="{00000000-0005-0000-0000-0000DA080000}"/>
    <cellStyle name="20% - Accent5 6 5 2" xfId="3083" xr:uid="{00000000-0005-0000-0000-0000DB080000}"/>
    <cellStyle name="20% - Accent5 6 5 2 2" xfId="6252" xr:uid="{00000000-0005-0000-0000-0000DC080000}"/>
    <cellStyle name="20% - Accent5 6 5 3" xfId="4668" xr:uid="{00000000-0005-0000-0000-0000DD080000}"/>
    <cellStyle name="20% - Accent5 6 6" xfId="2027" xr:uid="{00000000-0005-0000-0000-0000DE080000}"/>
    <cellStyle name="20% - Accent5 6 6 2" xfId="5196" xr:uid="{00000000-0005-0000-0000-0000DF080000}"/>
    <cellStyle name="20% - Accent5 6 7" xfId="3612" xr:uid="{00000000-0005-0000-0000-0000E0080000}"/>
    <cellStyle name="20% - Accent5 7" xfId="203" xr:uid="{00000000-0005-0000-0000-0000E1080000}"/>
    <cellStyle name="20% - Accent5 7 2" xfId="204" xr:uid="{00000000-0005-0000-0000-0000E2080000}"/>
    <cellStyle name="20% - Accent5 7 2 2" xfId="710" xr:uid="{00000000-0005-0000-0000-0000E3080000}"/>
    <cellStyle name="20% - Accent5 7 2 2 2" xfId="1238" xr:uid="{00000000-0005-0000-0000-0000E4080000}"/>
    <cellStyle name="20% - Accent5 7 2 2 2 2" xfId="2822" xr:uid="{00000000-0005-0000-0000-0000E5080000}"/>
    <cellStyle name="20% - Accent5 7 2 2 2 2 2" xfId="5991" xr:uid="{00000000-0005-0000-0000-0000E6080000}"/>
    <cellStyle name="20% - Accent5 7 2 2 2 3" xfId="4407" xr:uid="{00000000-0005-0000-0000-0000E7080000}"/>
    <cellStyle name="20% - Accent5 7 2 2 3" xfId="1766" xr:uid="{00000000-0005-0000-0000-0000E8080000}"/>
    <cellStyle name="20% - Accent5 7 2 2 3 2" xfId="3350" xr:uid="{00000000-0005-0000-0000-0000E9080000}"/>
    <cellStyle name="20% - Accent5 7 2 2 3 2 2" xfId="6519" xr:uid="{00000000-0005-0000-0000-0000EA080000}"/>
    <cellStyle name="20% - Accent5 7 2 2 3 3" xfId="4935" xr:uid="{00000000-0005-0000-0000-0000EB080000}"/>
    <cellStyle name="20% - Accent5 7 2 2 4" xfId="2294" xr:uid="{00000000-0005-0000-0000-0000EC080000}"/>
    <cellStyle name="20% - Accent5 7 2 2 4 2" xfId="5463" xr:uid="{00000000-0005-0000-0000-0000ED080000}"/>
    <cellStyle name="20% - Accent5 7 2 2 5" xfId="3879" xr:uid="{00000000-0005-0000-0000-0000EE080000}"/>
    <cellStyle name="20% - Accent5 7 2 3" xfId="974" xr:uid="{00000000-0005-0000-0000-0000EF080000}"/>
    <cellStyle name="20% - Accent5 7 2 3 2" xfId="2558" xr:uid="{00000000-0005-0000-0000-0000F0080000}"/>
    <cellStyle name="20% - Accent5 7 2 3 2 2" xfId="5727" xr:uid="{00000000-0005-0000-0000-0000F1080000}"/>
    <cellStyle name="20% - Accent5 7 2 3 3" xfId="4143" xr:uid="{00000000-0005-0000-0000-0000F2080000}"/>
    <cellStyle name="20% - Accent5 7 2 4" xfId="1502" xr:uid="{00000000-0005-0000-0000-0000F3080000}"/>
    <cellStyle name="20% - Accent5 7 2 4 2" xfId="3086" xr:uid="{00000000-0005-0000-0000-0000F4080000}"/>
    <cellStyle name="20% - Accent5 7 2 4 2 2" xfId="6255" xr:uid="{00000000-0005-0000-0000-0000F5080000}"/>
    <cellStyle name="20% - Accent5 7 2 4 3" xfId="4671" xr:uid="{00000000-0005-0000-0000-0000F6080000}"/>
    <cellStyle name="20% - Accent5 7 2 5" xfId="2030" xr:uid="{00000000-0005-0000-0000-0000F7080000}"/>
    <cellStyle name="20% - Accent5 7 2 5 2" xfId="5199" xr:uid="{00000000-0005-0000-0000-0000F8080000}"/>
    <cellStyle name="20% - Accent5 7 2 6" xfId="3615" xr:uid="{00000000-0005-0000-0000-0000F9080000}"/>
    <cellStyle name="20% - Accent5 7 3" xfId="709" xr:uid="{00000000-0005-0000-0000-0000FA080000}"/>
    <cellStyle name="20% - Accent5 7 3 2" xfId="1237" xr:uid="{00000000-0005-0000-0000-0000FB080000}"/>
    <cellStyle name="20% - Accent5 7 3 2 2" xfId="2821" xr:uid="{00000000-0005-0000-0000-0000FC080000}"/>
    <cellStyle name="20% - Accent5 7 3 2 2 2" xfId="5990" xr:uid="{00000000-0005-0000-0000-0000FD080000}"/>
    <cellStyle name="20% - Accent5 7 3 2 3" xfId="4406" xr:uid="{00000000-0005-0000-0000-0000FE080000}"/>
    <cellStyle name="20% - Accent5 7 3 3" xfId="1765" xr:uid="{00000000-0005-0000-0000-0000FF080000}"/>
    <cellStyle name="20% - Accent5 7 3 3 2" xfId="3349" xr:uid="{00000000-0005-0000-0000-000000090000}"/>
    <cellStyle name="20% - Accent5 7 3 3 2 2" xfId="6518" xr:uid="{00000000-0005-0000-0000-000001090000}"/>
    <cellStyle name="20% - Accent5 7 3 3 3" xfId="4934" xr:uid="{00000000-0005-0000-0000-000002090000}"/>
    <cellStyle name="20% - Accent5 7 3 4" xfId="2293" xr:uid="{00000000-0005-0000-0000-000003090000}"/>
    <cellStyle name="20% - Accent5 7 3 4 2" xfId="5462" xr:uid="{00000000-0005-0000-0000-000004090000}"/>
    <cellStyle name="20% - Accent5 7 3 5" xfId="3878" xr:uid="{00000000-0005-0000-0000-000005090000}"/>
    <cellStyle name="20% - Accent5 7 4" xfId="973" xr:uid="{00000000-0005-0000-0000-000006090000}"/>
    <cellStyle name="20% - Accent5 7 4 2" xfId="2557" xr:uid="{00000000-0005-0000-0000-000007090000}"/>
    <cellStyle name="20% - Accent5 7 4 2 2" xfId="5726" xr:uid="{00000000-0005-0000-0000-000008090000}"/>
    <cellStyle name="20% - Accent5 7 4 3" xfId="4142" xr:uid="{00000000-0005-0000-0000-000009090000}"/>
    <cellStyle name="20% - Accent5 7 5" xfId="1501" xr:uid="{00000000-0005-0000-0000-00000A090000}"/>
    <cellStyle name="20% - Accent5 7 5 2" xfId="3085" xr:uid="{00000000-0005-0000-0000-00000B090000}"/>
    <cellStyle name="20% - Accent5 7 5 2 2" xfId="6254" xr:uid="{00000000-0005-0000-0000-00000C090000}"/>
    <cellStyle name="20% - Accent5 7 5 3" xfId="4670" xr:uid="{00000000-0005-0000-0000-00000D090000}"/>
    <cellStyle name="20% - Accent5 7 6" xfId="2029" xr:uid="{00000000-0005-0000-0000-00000E090000}"/>
    <cellStyle name="20% - Accent5 7 6 2" xfId="5198" xr:uid="{00000000-0005-0000-0000-00000F090000}"/>
    <cellStyle name="20% - Accent5 7 7" xfId="3614" xr:uid="{00000000-0005-0000-0000-000010090000}"/>
    <cellStyle name="20% - Accent5 8" xfId="205" xr:uid="{00000000-0005-0000-0000-000011090000}"/>
    <cellStyle name="20% - Accent5 8 2" xfId="206" xr:uid="{00000000-0005-0000-0000-000012090000}"/>
    <cellStyle name="20% - Accent5 8 2 2" xfId="712" xr:uid="{00000000-0005-0000-0000-000013090000}"/>
    <cellStyle name="20% - Accent5 8 2 2 2" xfId="1240" xr:uid="{00000000-0005-0000-0000-000014090000}"/>
    <cellStyle name="20% - Accent5 8 2 2 2 2" xfId="2824" xr:uid="{00000000-0005-0000-0000-000015090000}"/>
    <cellStyle name="20% - Accent5 8 2 2 2 2 2" xfId="5993" xr:uid="{00000000-0005-0000-0000-000016090000}"/>
    <cellStyle name="20% - Accent5 8 2 2 2 3" xfId="4409" xr:uid="{00000000-0005-0000-0000-000017090000}"/>
    <cellStyle name="20% - Accent5 8 2 2 3" xfId="1768" xr:uid="{00000000-0005-0000-0000-000018090000}"/>
    <cellStyle name="20% - Accent5 8 2 2 3 2" xfId="3352" xr:uid="{00000000-0005-0000-0000-000019090000}"/>
    <cellStyle name="20% - Accent5 8 2 2 3 2 2" xfId="6521" xr:uid="{00000000-0005-0000-0000-00001A090000}"/>
    <cellStyle name="20% - Accent5 8 2 2 3 3" xfId="4937" xr:uid="{00000000-0005-0000-0000-00001B090000}"/>
    <cellStyle name="20% - Accent5 8 2 2 4" xfId="2296" xr:uid="{00000000-0005-0000-0000-00001C090000}"/>
    <cellStyle name="20% - Accent5 8 2 2 4 2" xfId="5465" xr:uid="{00000000-0005-0000-0000-00001D090000}"/>
    <cellStyle name="20% - Accent5 8 2 2 5" xfId="3881" xr:uid="{00000000-0005-0000-0000-00001E090000}"/>
    <cellStyle name="20% - Accent5 8 2 3" xfId="976" xr:uid="{00000000-0005-0000-0000-00001F090000}"/>
    <cellStyle name="20% - Accent5 8 2 3 2" xfId="2560" xr:uid="{00000000-0005-0000-0000-000020090000}"/>
    <cellStyle name="20% - Accent5 8 2 3 2 2" xfId="5729" xr:uid="{00000000-0005-0000-0000-000021090000}"/>
    <cellStyle name="20% - Accent5 8 2 3 3" xfId="4145" xr:uid="{00000000-0005-0000-0000-000022090000}"/>
    <cellStyle name="20% - Accent5 8 2 4" xfId="1504" xr:uid="{00000000-0005-0000-0000-000023090000}"/>
    <cellStyle name="20% - Accent5 8 2 4 2" xfId="3088" xr:uid="{00000000-0005-0000-0000-000024090000}"/>
    <cellStyle name="20% - Accent5 8 2 4 2 2" xfId="6257" xr:uid="{00000000-0005-0000-0000-000025090000}"/>
    <cellStyle name="20% - Accent5 8 2 4 3" xfId="4673" xr:uid="{00000000-0005-0000-0000-000026090000}"/>
    <cellStyle name="20% - Accent5 8 2 5" xfId="2032" xr:uid="{00000000-0005-0000-0000-000027090000}"/>
    <cellStyle name="20% - Accent5 8 2 5 2" xfId="5201" xr:uid="{00000000-0005-0000-0000-000028090000}"/>
    <cellStyle name="20% - Accent5 8 2 6" xfId="3617" xr:uid="{00000000-0005-0000-0000-000029090000}"/>
    <cellStyle name="20% - Accent5 8 3" xfId="711" xr:uid="{00000000-0005-0000-0000-00002A090000}"/>
    <cellStyle name="20% - Accent5 8 3 2" xfId="1239" xr:uid="{00000000-0005-0000-0000-00002B090000}"/>
    <cellStyle name="20% - Accent5 8 3 2 2" xfId="2823" xr:uid="{00000000-0005-0000-0000-00002C090000}"/>
    <cellStyle name="20% - Accent5 8 3 2 2 2" xfId="5992" xr:uid="{00000000-0005-0000-0000-00002D090000}"/>
    <cellStyle name="20% - Accent5 8 3 2 3" xfId="4408" xr:uid="{00000000-0005-0000-0000-00002E090000}"/>
    <cellStyle name="20% - Accent5 8 3 3" xfId="1767" xr:uid="{00000000-0005-0000-0000-00002F090000}"/>
    <cellStyle name="20% - Accent5 8 3 3 2" xfId="3351" xr:uid="{00000000-0005-0000-0000-000030090000}"/>
    <cellStyle name="20% - Accent5 8 3 3 2 2" xfId="6520" xr:uid="{00000000-0005-0000-0000-000031090000}"/>
    <cellStyle name="20% - Accent5 8 3 3 3" xfId="4936" xr:uid="{00000000-0005-0000-0000-000032090000}"/>
    <cellStyle name="20% - Accent5 8 3 4" xfId="2295" xr:uid="{00000000-0005-0000-0000-000033090000}"/>
    <cellStyle name="20% - Accent5 8 3 4 2" xfId="5464" xr:uid="{00000000-0005-0000-0000-000034090000}"/>
    <cellStyle name="20% - Accent5 8 3 5" xfId="3880" xr:uid="{00000000-0005-0000-0000-000035090000}"/>
    <cellStyle name="20% - Accent5 8 4" xfId="975" xr:uid="{00000000-0005-0000-0000-000036090000}"/>
    <cellStyle name="20% - Accent5 8 4 2" xfId="2559" xr:uid="{00000000-0005-0000-0000-000037090000}"/>
    <cellStyle name="20% - Accent5 8 4 2 2" xfId="5728" xr:uid="{00000000-0005-0000-0000-000038090000}"/>
    <cellStyle name="20% - Accent5 8 4 3" xfId="4144" xr:uid="{00000000-0005-0000-0000-000039090000}"/>
    <cellStyle name="20% - Accent5 8 5" xfId="1503" xr:uid="{00000000-0005-0000-0000-00003A090000}"/>
    <cellStyle name="20% - Accent5 8 5 2" xfId="3087" xr:uid="{00000000-0005-0000-0000-00003B090000}"/>
    <cellStyle name="20% - Accent5 8 5 2 2" xfId="6256" xr:uid="{00000000-0005-0000-0000-00003C090000}"/>
    <cellStyle name="20% - Accent5 8 5 3" xfId="4672" xr:uid="{00000000-0005-0000-0000-00003D090000}"/>
    <cellStyle name="20% - Accent5 8 6" xfId="2031" xr:uid="{00000000-0005-0000-0000-00003E090000}"/>
    <cellStyle name="20% - Accent5 8 6 2" xfId="5200" xr:uid="{00000000-0005-0000-0000-00003F090000}"/>
    <cellStyle name="20% - Accent5 8 7" xfId="3616" xr:uid="{00000000-0005-0000-0000-000040090000}"/>
    <cellStyle name="20% - Accent5 9" xfId="207" xr:uid="{00000000-0005-0000-0000-000041090000}"/>
    <cellStyle name="20% - Accent5 9 2" xfId="208" xr:uid="{00000000-0005-0000-0000-000042090000}"/>
    <cellStyle name="20% - Accent5 9 2 2" xfId="714" xr:uid="{00000000-0005-0000-0000-000043090000}"/>
    <cellStyle name="20% - Accent5 9 2 2 2" xfId="1242" xr:uid="{00000000-0005-0000-0000-000044090000}"/>
    <cellStyle name="20% - Accent5 9 2 2 2 2" xfId="2826" xr:uid="{00000000-0005-0000-0000-000045090000}"/>
    <cellStyle name="20% - Accent5 9 2 2 2 2 2" xfId="5995" xr:uid="{00000000-0005-0000-0000-000046090000}"/>
    <cellStyle name="20% - Accent5 9 2 2 2 3" xfId="4411" xr:uid="{00000000-0005-0000-0000-000047090000}"/>
    <cellStyle name="20% - Accent5 9 2 2 3" xfId="1770" xr:uid="{00000000-0005-0000-0000-000048090000}"/>
    <cellStyle name="20% - Accent5 9 2 2 3 2" xfId="3354" xr:uid="{00000000-0005-0000-0000-000049090000}"/>
    <cellStyle name="20% - Accent5 9 2 2 3 2 2" xfId="6523" xr:uid="{00000000-0005-0000-0000-00004A090000}"/>
    <cellStyle name="20% - Accent5 9 2 2 3 3" xfId="4939" xr:uid="{00000000-0005-0000-0000-00004B090000}"/>
    <cellStyle name="20% - Accent5 9 2 2 4" xfId="2298" xr:uid="{00000000-0005-0000-0000-00004C090000}"/>
    <cellStyle name="20% - Accent5 9 2 2 4 2" xfId="5467" xr:uid="{00000000-0005-0000-0000-00004D090000}"/>
    <cellStyle name="20% - Accent5 9 2 2 5" xfId="3883" xr:uid="{00000000-0005-0000-0000-00004E090000}"/>
    <cellStyle name="20% - Accent5 9 2 3" xfId="978" xr:uid="{00000000-0005-0000-0000-00004F090000}"/>
    <cellStyle name="20% - Accent5 9 2 3 2" xfId="2562" xr:uid="{00000000-0005-0000-0000-000050090000}"/>
    <cellStyle name="20% - Accent5 9 2 3 2 2" xfId="5731" xr:uid="{00000000-0005-0000-0000-000051090000}"/>
    <cellStyle name="20% - Accent5 9 2 3 3" xfId="4147" xr:uid="{00000000-0005-0000-0000-000052090000}"/>
    <cellStyle name="20% - Accent5 9 2 4" xfId="1506" xr:uid="{00000000-0005-0000-0000-000053090000}"/>
    <cellStyle name="20% - Accent5 9 2 4 2" xfId="3090" xr:uid="{00000000-0005-0000-0000-000054090000}"/>
    <cellStyle name="20% - Accent5 9 2 4 2 2" xfId="6259" xr:uid="{00000000-0005-0000-0000-000055090000}"/>
    <cellStyle name="20% - Accent5 9 2 4 3" xfId="4675" xr:uid="{00000000-0005-0000-0000-000056090000}"/>
    <cellStyle name="20% - Accent5 9 2 5" xfId="2034" xr:uid="{00000000-0005-0000-0000-000057090000}"/>
    <cellStyle name="20% - Accent5 9 2 5 2" xfId="5203" xr:uid="{00000000-0005-0000-0000-000058090000}"/>
    <cellStyle name="20% - Accent5 9 2 6" xfId="3619" xr:uid="{00000000-0005-0000-0000-000059090000}"/>
    <cellStyle name="20% - Accent5 9 3" xfId="713" xr:uid="{00000000-0005-0000-0000-00005A090000}"/>
    <cellStyle name="20% - Accent5 9 3 2" xfId="1241" xr:uid="{00000000-0005-0000-0000-00005B090000}"/>
    <cellStyle name="20% - Accent5 9 3 2 2" xfId="2825" xr:uid="{00000000-0005-0000-0000-00005C090000}"/>
    <cellStyle name="20% - Accent5 9 3 2 2 2" xfId="5994" xr:uid="{00000000-0005-0000-0000-00005D090000}"/>
    <cellStyle name="20% - Accent5 9 3 2 3" xfId="4410" xr:uid="{00000000-0005-0000-0000-00005E090000}"/>
    <cellStyle name="20% - Accent5 9 3 3" xfId="1769" xr:uid="{00000000-0005-0000-0000-00005F090000}"/>
    <cellStyle name="20% - Accent5 9 3 3 2" xfId="3353" xr:uid="{00000000-0005-0000-0000-000060090000}"/>
    <cellStyle name="20% - Accent5 9 3 3 2 2" xfId="6522" xr:uid="{00000000-0005-0000-0000-000061090000}"/>
    <cellStyle name="20% - Accent5 9 3 3 3" xfId="4938" xr:uid="{00000000-0005-0000-0000-000062090000}"/>
    <cellStyle name="20% - Accent5 9 3 4" xfId="2297" xr:uid="{00000000-0005-0000-0000-000063090000}"/>
    <cellStyle name="20% - Accent5 9 3 4 2" xfId="5466" xr:uid="{00000000-0005-0000-0000-000064090000}"/>
    <cellStyle name="20% - Accent5 9 3 5" xfId="3882" xr:uid="{00000000-0005-0000-0000-000065090000}"/>
    <cellStyle name="20% - Accent5 9 4" xfId="977" xr:uid="{00000000-0005-0000-0000-000066090000}"/>
    <cellStyle name="20% - Accent5 9 4 2" xfId="2561" xr:uid="{00000000-0005-0000-0000-000067090000}"/>
    <cellStyle name="20% - Accent5 9 4 2 2" xfId="5730" xr:uid="{00000000-0005-0000-0000-000068090000}"/>
    <cellStyle name="20% - Accent5 9 4 3" xfId="4146" xr:uid="{00000000-0005-0000-0000-000069090000}"/>
    <cellStyle name="20% - Accent5 9 5" xfId="1505" xr:uid="{00000000-0005-0000-0000-00006A090000}"/>
    <cellStyle name="20% - Accent5 9 5 2" xfId="3089" xr:uid="{00000000-0005-0000-0000-00006B090000}"/>
    <cellStyle name="20% - Accent5 9 5 2 2" xfId="6258" xr:uid="{00000000-0005-0000-0000-00006C090000}"/>
    <cellStyle name="20% - Accent5 9 5 3" xfId="4674" xr:uid="{00000000-0005-0000-0000-00006D090000}"/>
    <cellStyle name="20% - Accent5 9 6" xfId="2033" xr:uid="{00000000-0005-0000-0000-00006E090000}"/>
    <cellStyle name="20% - Accent5 9 6 2" xfId="5202" xr:uid="{00000000-0005-0000-0000-00006F090000}"/>
    <cellStyle name="20% - Accent5 9 7" xfId="3618" xr:uid="{00000000-0005-0000-0000-000070090000}"/>
    <cellStyle name="20% - Accent6 10" xfId="209" xr:uid="{00000000-0005-0000-0000-000071090000}"/>
    <cellStyle name="20% - Accent6 10 2" xfId="210" xr:uid="{00000000-0005-0000-0000-000072090000}"/>
    <cellStyle name="20% - Accent6 10 2 2" xfId="716" xr:uid="{00000000-0005-0000-0000-000073090000}"/>
    <cellStyle name="20% - Accent6 10 2 2 2" xfId="1244" xr:uid="{00000000-0005-0000-0000-000074090000}"/>
    <cellStyle name="20% - Accent6 10 2 2 2 2" xfId="2828" xr:uid="{00000000-0005-0000-0000-000075090000}"/>
    <cellStyle name="20% - Accent6 10 2 2 2 2 2" xfId="5997" xr:uid="{00000000-0005-0000-0000-000076090000}"/>
    <cellStyle name="20% - Accent6 10 2 2 2 3" xfId="4413" xr:uid="{00000000-0005-0000-0000-000077090000}"/>
    <cellStyle name="20% - Accent6 10 2 2 3" xfId="1772" xr:uid="{00000000-0005-0000-0000-000078090000}"/>
    <cellStyle name="20% - Accent6 10 2 2 3 2" xfId="3356" xr:uid="{00000000-0005-0000-0000-000079090000}"/>
    <cellStyle name="20% - Accent6 10 2 2 3 2 2" xfId="6525" xr:uid="{00000000-0005-0000-0000-00007A090000}"/>
    <cellStyle name="20% - Accent6 10 2 2 3 3" xfId="4941" xr:uid="{00000000-0005-0000-0000-00007B090000}"/>
    <cellStyle name="20% - Accent6 10 2 2 4" xfId="2300" xr:uid="{00000000-0005-0000-0000-00007C090000}"/>
    <cellStyle name="20% - Accent6 10 2 2 4 2" xfId="5469" xr:uid="{00000000-0005-0000-0000-00007D090000}"/>
    <cellStyle name="20% - Accent6 10 2 2 5" xfId="3885" xr:uid="{00000000-0005-0000-0000-00007E090000}"/>
    <cellStyle name="20% - Accent6 10 2 3" xfId="980" xr:uid="{00000000-0005-0000-0000-00007F090000}"/>
    <cellStyle name="20% - Accent6 10 2 3 2" xfId="2564" xr:uid="{00000000-0005-0000-0000-000080090000}"/>
    <cellStyle name="20% - Accent6 10 2 3 2 2" xfId="5733" xr:uid="{00000000-0005-0000-0000-000081090000}"/>
    <cellStyle name="20% - Accent6 10 2 3 3" xfId="4149" xr:uid="{00000000-0005-0000-0000-000082090000}"/>
    <cellStyle name="20% - Accent6 10 2 4" xfId="1508" xr:uid="{00000000-0005-0000-0000-000083090000}"/>
    <cellStyle name="20% - Accent6 10 2 4 2" xfId="3092" xr:uid="{00000000-0005-0000-0000-000084090000}"/>
    <cellStyle name="20% - Accent6 10 2 4 2 2" xfId="6261" xr:uid="{00000000-0005-0000-0000-000085090000}"/>
    <cellStyle name="20% - Accent6 10 2 4 3" xfId="4677" xr:uid="{00000000-0005-0000-0000-000086090000}"/>
    <cellStyle name="20% - Accent6 10 2 5" xfId="2036" xr:uid="{00000000-0005-0000-0000-000087090000}"/>
    <cellStyle name="20% - Accent6 10 2 5 2" xfId="5205" xr:uid="{00000000-0005-0000-0000-000088090000}"/>
    <cellStyle name="20% - Accent6 10 2 6" xfId="3621" xr:uid="{00000000-0005-0000-0000-000089090000}"/>
    <cellStyle name="20% - Accent6 10 3" xfId="715" xr:uid="{00000000-0005-0000-0000-00008A090000}"/>
    <cellStyle name="20% - Accent6 10 3 2" xfId="1243" xr:uid="{00000000-0005-0000-0000-00008B090000}"/>
    <cellStyle name="20% - Accent6 10 3 2 2" xfId="2827" xr:uid="{00000000-0005-0000-0000-00008C090000}"/>
    <cellStyle name="20% - Accent6 10 3 2 2 2" xfId="5996" xr:uid="{00000000-0005-0000-0000-00008D090000}"/>
    <cellStyle name="20% - Accent6 10 3 2 3" xfId="4412" xr:uid="{00000000-0005-0000-0000-00008E090000}"/>
    <cellStyle name="20% - Accent6 10 3 3" xfId="1771" xr:uid="{00000000-0005-0000-0000-00008F090000}"/>
    <cellStyle name="20% - Accent6 10 3 3 2" xfId="3355" xr:uid="{00000000-0005-0000-0000-000090090000}"/>
    <cellStyle name="20% - Accent6 10 3 3 2 2" xfId="6524" xr:uid="{00000000-0005-0000-0000-000091090000}"/>
    <cellStyle name="20% - Accent6 10 3 3 3" xfId="4940" xr:uid="{00000000-0005-0000-0000-000092090000}"/>
    <cellStyle name="20% - Accent6 10 3 4" xfId="2299" xr:uid="{00000000-0005-0000-0000-000093090000}"/>
    <cellStyle name="20% - Accent6 10 3 4 2" xfId="5468" xr:uid="{00000000-0005-0000-0000-000094090000}"/>
    <cellStyle name="20% - Accent6 10 3 5" xfId="3884" xr:uid="{00000000-0005-0000-0000-000095090000}"/>
    <cellStyle name="20% - Accent6 10 4" xfId="979" xr:uid="{00000000-0005-0000-0000-000096090000}"/>
    <cellStyle name="20% - Accent6 10 4 2" xfId="2563" xr:uid="{00000000-0005-0000-0000-000097090000}"/>
    <cellStyle name="20% - Accent6 10 4 2 2" xfId="5732" xr:uid="{00000000-0005-0000-0000-000098090000}"/>
    <cellStyle name="20% - Accent6 10 4 3" xfId="4148" xr:uid="{00000000-0005-0000-0000-000099090000}"/>
    <cellStyle name="20% - Accent6 10 5" xfId="1507" xr:uid="{00000000-0005-0000-0000-00009A090000}"/>
    <cellStyle name="20% - Accent6 10 5 2" xfId="3091" xr:uid="{00000000-0005-0000-0000-00009B090000}"/>
    <cellStyle name="20% - Accent6 10 5 2 2" xfId="6260" xr:uid="{00000000-0005-0000-0000-00009C090000}"/>
    <cellStyle name="20% - Accent6 10 5 3" xfId="4676" xr:uid="{00000000-0005-0000-0000-00009D090000}"/>
    <cellStyle name="20% - Accent6 10 6" xfId="2035" xr:uid="{00000000-0005-0000-0000-00009E090000}"/>
    <cellStyle name="20% - Accent6 10 6 2" xfId="5204" xr:uid="{00000000-0005-0000-0000-00009F090000}"/>
    <cellStyle name="20% - Accent6 10 7" xfId="3620" xr:uid="{00000000-0005-0000-0000-0000A0090000}"/>
    <cellStyle name="20% - Accent6 11" xfId="211" xr:uid="{00000000-0005-0000-0000-0000A1090000}"/>
    <cellStyle name="20% - Accent6 11 2" xfId="717" xr:uid="{00000000-0005-0000-0000-0000A2090000}"/>
    <cellStyle name="20% - Accent6 11 2 2" xfId="1245" xr:uid="{00000000-0005-0000-0000-0000A3090000}"/>
    <cellStyle name="20% - Accent6 11 2 2 2" xfId="2829" xr:uid="{00000000-0005-0000-0000-0000A4090000}"/>
    <cellStyle name="20% - Accent6 11 2 2 2 2" xfId="5998" xr:uid="{00000000-0005-0000-0000-0000A5090000}"/>
    <cellStyle name="20% - Accent6 11 2 2 3" xfId="4414" xr:uid="{00000000-0005-0000-0000-0000A6090000}"/>
    <cellStyle name="20% - Accent6 11 2 3" xfId="1773" xr:uid="{00000000-0005-0000-0000-0000A7090000}"/>
    <cellStyle name="20% - Accent6 11 2 3 2" xfId="3357" xr:uid="{00000000-0005-0000-0000-0000A8090000}"/>
    <cellStyle name="20% - Accent6 11 2 3 2 2" xfId="6526" xr:uid="{00000000-0005-0000-0000-0000A9090000}"/>
    <cellStyle name="20% - Accent6 11 2 3 3" xfId="4942" xr:uid="{00000000-0005-0000-0000-0000AA090000}"/>
    <cellStyle name="20% - Accent6 11 2 4" xfId="2301" xr:uid="{00000000-0005-0000-0000-0000AB090000}"/>
    <cellStyle name="20% - Accent6 11 2 4 2" xfId="5470" xr:uid="{00000000-0005-0000-0000-0000AC090000}"/>
    <cellStyle name="20% - Accent6 11 2 5" xfId="3886" xr:uid="{00000000-0005-0000-0000-0000AD090000}"/>
    <cellStyle name="20% - Accent6 11 3" xfId="981" xr:uid="{00000000-0005-0000-0000-0000AE090000}"/>
    <cellStyle name="20% - Accent6 11 3 2" xfId="2565" xr:uid="{00000000-0005-0000-0000-0000AF090000}"/>
    <cellStyle name="20% - Accent6 11 3 2 2" xfId="5734" xr:uid="{00000000-0005-0000-0000-0000B0090000}"/>
    <cellStyle name="20% - Accent6 11 3 3" xfId="4150" xr:uid="{00000000-0005-0000-0000-0000B1090000}"/>
    <cellStyle name="20% - Accent6 11 4" xfId="1509" xr:uid="{00000000-0005-0000-0000-0000B2090000}"/>
    <cellStyle name="20% - Accent6 11 4 2" xfId="3093" xr:uid="{00000000-0005-0000-0000-0000B3090000}"/>
    <cellStyle name="20% - Accent6 11 4 2 2" xfId="6262" xr:uid="{00000000-0005-0000-0000-0000B4090000}"/>
    <cellStyle name="20% - Accent6 11 4 3" xfId="4678" xr:uid="{00000000-0005-0000-0000-0000B5090000}"/>
    <cellStyle name="20% - Accent6 11 5" xfId="2037" xr:uid="{00000000-0005-0000-0000-0000B6090000}"/>
    <cellStyle name="20% - Accent6 11 5 2" xfId="5206" xr:uid="{00000000-0005-0000-0000-0000B7090000}"/>
    <cellStyle name="20% - Accent6 11 6" xfId="3622" xr:uid="{00000000-0005-0000-0000-0000B8090000}"/>
    <cellStyle name="20% - Accent6 12" xfId="212" xr:uid="{00000000-0005-0000-0000-0000B9090000}"/>
    <cellStyle name="20% - Accent6 12 2" xfId="718" xr:uid="{00000000-0005-0000-0000-0000BA090000}"/>
    <cellStyle name="20% - Accent6 12 2 2" xfId="1246" xr:uid="{00000000-0005-0000-0000-0000BB090000}"/>
    <cellStyle name="20% - Accent6 12 2 2 2" xfId="2830" xr:uid="{00000000-0005-0000-0000-0000BC090000}"/>
    <cellStyle name="20% - Accent6 12 2 2 2 2" xfId="5999" xr:uid="{00000000-0005-0000-0000-0000BD090000}"/>
    <cellStyle name="20% - Accent6 12 2 2 3" xfId="4415" xr:uid="{00000000-0005-0000-0000-0000BE090000}"/>
    <cellStyle name="20% - Accent6 12 2 3" xfId="1774" xr:uid="{00000000-0005-0000-0000-0000BF090000}"/>
    <cellStyle name="20% - Accent6 12 2 3 2" xfId="3358" xr:uid="{00000000-0005-0000-0000-0000C0090000}"/>
    <cellStyle name="20% - Accent6 12 2 3 2 2" xfId="6527" xr:uid="{00000000-0005-0000-0000-0000C1090000}"/>
    <cellStyle name="20% - Accent6 12 2 3 3" xfId="4943" xr:uid="{00000000-0005-0000-0000-0000C2090000}"/>
    <cellStyle name="20% - Accent6 12 2 4" xfId="2302" xr:uid="{00000000-0005-0000-0000-0000C3090000}"/>
    <cellStyle name="20% - Accent6 12 2 4 2" xfId="5471" xr:uid="{00000000-0005-0000-0000-0000C4090000}"/>
    <cellStyle name="20% - Accent6 12 2 5" xfId="3887" xr:uid="{00000000-0005-0000-0000-0000C5090000}"/>
    <cellStyle name="20% - Accent6 12 3" xfId="982" xr:uid="{00000000-0005-0000-0000-0000C6090000}"/>
    <cellStyle name="20% - Accent6 12 3 2" xfId="2566" xr:uid="{00000000-0005-0000-0000-0000C7090000}"/>
    <cellStyle name="20% - Accent6 12 3 2 2" xfId="5735" xr:uid="{00000000-0005-0000-0000-0000C8090000}"/>
    <cellStyle name="20% - Accent6 12 3 3" xfId="4151" xr:uid="{00000000-0005-0000-0000-0000C9090000}"/>
    <cellStyle name="20% - Accent6 12 4" xfId="1510" xr:uid="{00000000-0005-0000-0000-0000CA090000}"/>
    <cellStyle name="20% - Accent6 12 4 2" xfId="3094" xr:uid="{00000000-0005-0000-0000-0000CB090000}"/>
    <cellStyle name="20% - Accent6 12 4 2 2" xfId="6263" xr:uid="{00000000-0005-0000-0000-0000CC090000}"/>
    <cellStyle name="20% - Accent6 12 4 3" xfId="4679" xr:uid="{00000000-0005-0000-0000-0000CD090000}"/>
    <cellStyle name="20% - Accent6 12 5" xfId="2038" xr:uid="{00000000-0005-0000-0000-0000CE090000}"/>
    <cellStyle name="20% - Accent6 12 5 2" xfId="5207" xr:uid="{00000000-0005-0000-0000-0000CF090000}"/>
    <cellStyle name="20% - Accent6 12 6" xfId="3623" xr:uid="{00000000-0005-0000-0000-0000D0090000}"/>
    <cellStyle name="20% - Accent6 13" xfId="213" xr:uid="{00000000-0005-0000-0000-0000D1090000}"/>
    <cellStyle name="20% - Accent6 13 2" xfId="719" xr:uid="{00000000-0005-0000-0000-0000D2090000}"/>
    <cellStyle name="20% - Accent6 13 2 2" xfId="1247" xr:uid="{00000000-0005-0000-0000-0000D3090000}"/>
    <cellStyle name="20% - Accent6 13 2 2 2" xfId="2831" xr:uid="{00000000-0005-0000-0000-0000D4090000}"/>
    <cellStyle name="20% - Accent6 13 2 2 2 2" xfId="6000" xr:uid="{00000000-0005-0000-0000-0000D5090000}"/>
    <cellStyle name="20% - Accent6 13 2 2 3" xfId="4416" xr:uid="{00000000-0005-0000-0000-0000D6090000}"/>
    <cellStyle name="20% - Accent6 13 2 3" xfId="1775" xr:uid="{00000000-0005-0000-0000-0000D7090000}"/>
    <cellStyle name="20% - Accent6 13 2 3 2" xfId="3359" xr:uid="{00000000-0005-0000-0000-0000D8090000}"/>
    <cellStyle name="20% - Accent6 13 2 3 2 2" xfId="6528" xr:uid="{00000000-0005-0000-0000-0000D9090000}"/>
    <cellStyle name="20% - Accent6 13 2 3 3" xfId="4944" xr:uid="{00000000-0005-0000-0000-0000DA090000}"/>
    <cellStyle name="20% - Accent6 13 2 4" xfId="2303" xr:uid="{00000000-0005-0000-0000-0000DB090000}"/>
    <cellStyle name="20% - Accent6 13 2 4 2" xfId="5472" xr:uid="{00000000-0005-0000-0000-0000DC090000}"/>
    <cellStyle name="20% - Accent6 13 2 5" xfId="3888" xr:uid="{00000000-0005-0000-0000-0000DD090000}"/>
    <cellStyle name="20% - Accent6 13 3" xfId="983" xr:uid="{00000000-0005-0000-0000-0000DE090000}"/>
    <cellStyle name="20% - Accent6 13 3 2" xfId="2567" xr:uid="{00000000-0005-0000-0000-0000DF090000}"/>
    <cellStyle name="20% - Accent6 13 3 2 2" xfId="5736" xr:uid="{00000000-0005-0000-0000-0000E0090000}"/>
    <cellStyle name="20% - Accent6 13 3 3" xfId="4152" xr:uid="{00000000-0005-0000-0000-0000E1090000}"/>
    <cellStyle name="20% - Accent6 13 4" xfId="1511" xr:uid="{00000000-0005-0000-0000-0000E2090000}"/>
    <cellStyle name="20% - Accent6 13 4 2" xfId="3095" xr:uid="{00000000-0005-0000-0000-0000E3090000}"/>
    <cellStyle name="20% - Accent6 13 4 2 2" xfId="6264" xr:uid="{00000000-0005-0000-0000-0000E4090000}"/>
    <cellStyle name="20% - Accent6 13 4 3" xfId="4680" xr:uid="{00000000-0005-0000-0000-0000E5090000}"/>
    <cellStyle name="20% - Accent6 13 5" xfId="2039" xr:uid="{00000000-0005-0000-0000-0000E6090000}"/>
    <cellStyle name="20% - Accent6 13 5 2" xfId="5208" xr:uid="{00000000-0005-0000-0000-0000E7090000}"/>
    <cellStyle name="20% - Accent6 13 6" xfId="3624" xr:uid="{00000000-0005-0000-0000-0000E8090000}"/>
    <cellStyle name="20% - Accent6 14" xfId="214" xr:uid="{00000000-0005-0000-0000-0000E9090000}"/>
    <cellStyle name="20% - Accent6 14 2" xfId="720" xr:uid="{00000000-0005-0000-0000-0000EA090000}"/>
    <cellStyle name="20% - Accent6 14 2 2" xfId="1248" xr:uid="{00000000-0005-0000-0000-0000EB090000}"/>
    <cellStyle name="20% - Accent6 14 2 2 2" xfId="2832" xr:uid="{00000000-0005-0000-0000-0000EC090000}"/>
    <cellStyle name="20% - Accent6 14 2 2 2 2" xfId="6001" xr:uid="{00000000-0005-0000-0000-0000ED090000}"/>
    <cellStyle name="20% - Accent6 14 2 2 3" xfId="4417" xr:uid="{00000000-0005-0000-0000-0000EE090000}"/>
    <cellStyle name="20% - Accent6 14 2 3" xfId="1776" xr:uid="{00000000-0005-0000-0000-0000EF090000}"/>
    <cellStyle name="20% - Accent6 14 2 3 2" xfId="3360" xr:uid="{00000000-0005-0000-0000-0000F0090000}"/>
    <cellStyle name="20% - Accent6 14 2 3 2 2" xfId="6529" xr:uid="{00000000-0005-0000-0000-0000F1090000}"/>
    <cellStyle name="20% - Accent6 14 2 3 3" xfId="4945" xr:uid="{00000000-0005-0000-0000-0000F2090000}"/>
    <cellStyle name="20% - Accent6 14 2 4" xfId="2304" xr:uid="{00000000-0005-0000-0000-0000F3090000}"/>
    <cellStyle name="20% - Accent6 14 2 4 2" xfId="5473" xr:uid="{00000000-0005-0000-0000-0000F4090000}"/>
    <cellStyle name="20% - Accent6 14 2 5" xfId="3889" xr:uid="{00000000-0005-0000-0000-0000F5090000}"/>
    <cellStyle name="20% - Accent6 14 3" xfId="984" xr:uid="{00000000-0005-0000-0000-0000F6090000}"/>
    <cellStyle name="20% - Accent6 14 3 2" xfId="2568" xr:uid="{00000000-0005-0000-0000-0000F7090000}"/>
    <cellStyle name="20% - Accent6 14 3 2 2" xfId="5737" xr:uid="{00000000-0005-0000-0000-0000F8090000}"/>
    <cellStyle name="20% - Accent6 14 3 3" xfId="4153" xr:uid="{00000000-0005-0000-0000-0000F9090000}"/>
    <cellStyle name="20% - Accent6 14 4" xfId="1512" xr:uid="{00000000-0005-0000-0000-0000FA090000}"/>
    <cellStyle name="20% - Accent6 14 4 2" xfId="3096" xr:uid="{00000000-0005-0000-0000-0000FB090000}"/>
    <cellStyle name="20% - Accent6 14 4 2 2" xfId="6265" xr:uid="{00000000-0005-0000-0000-0000FC090000}"/>
    <cellStyle name="20% - Accent6 14 4 3" xfId="4681" xr:uid="{00000000-0005-0000-0000-0000FD090000}"/>
    <cellStyle name="20% - Accent6 14 5" xfId="2040" xr:uid="{00000000-0005-0000-0000-0000FE090000}"/>
    <cellStyle name="20% - Accent6 14 5 2" xfId="5209" xr:uid="{00000000-0005-0000-0000-0000FF090000}"/>
    <cellStyle name="20% - Accent6 14 6" xfId="3625" xr:uid="{00000000-0005-0000-0000-0000000A0000}"/>
    <cellStyle name="20% - Accent6 15" xfId="215" xr:uid="{00000000-0005-0000-0000-0000010A0000}"/>
    <cellStyle name="20% - Accent6 15 2" xfId="721" xr:uid="{00000000-0005-0000-0000-0000020A0000}"/>
    <cellStyle name="20% - Accent6 15 2 2" xfId="1249" xr:uid="{00000000-0005-0000-0000-0000030A0000}"/>
    <cellStyle name="20% - Accent6 15 2 2 2" xfId="2833" xr:uid="{00000000-0005-0000-0000-0000040A0000}"/>
    <cellStyle name="20% - Accent6 15 2 2 2 2" xfId="6002" xr:uid="{00000000-0005-0000-0000-0000050A0000}"/>
    <cellStyle name="20% - Accent6 15 2 2 3" xfId="4418" xr:uid="{00000000-0005-0000-0000-0000060A0000}"/>
    <cellStyle name="20% - Accent6 15 2 3" xfId="1777" xr:uid="{00000000-0005-0000-0000-0000070A0000}"/>
    <cellStyle name="20% - Accent6 15 2 3 2" xfId="3361" xr:uid="{00000000-0005-0000-0000-0000080A0000}"/>
    <cellStyle name="20% - Accent6 15 2 3 2 2" xfId="6530" xr:uid="{00000000-0005-0000-0000-0000090A0000}"/>
    <cellStyle name="20% - Accent6 15 2 3 3" xfId="4946" xr:uid="{00000000-0005-0000-0000-00000A0A0000}"/>
    <cellStyle name="20% - Accent6 15 2 4" xfId="2305" xr:uid="{00000000-0005-0000-0000-00000B0A0000}"/>
    <cellStyle name="20% - Accent6 15 2 4 2" xfId="5474" xr:uid="{00000000-0005-0000-0000-00000C0A0000}"/>
    <cellStyle name="20% - Accent6 15 2 5" xfId="3890" xr:uid="{00000000-0005-0000-0000-00000D0A0000}"/>
    <cellStyle name="20% - Accent6 15 3" xfId="985" xr:uid="{00000000-0005-0000-0000-00000E0A0000}"/>
    <cellStyle name="20% - Accent6 15 3 2" xfId="2569" xr:uid="{00000000-0005-0000-0000-00000F0A0000}"/>
    <cellStyle name="20% - Accent6 15 3 2 2" xfId="5738" xr:uid="{00000000-0005-0000-0000-0000100A0000}"/>
    <cellStyle name="20% - Accent6 15 3 3" xfId="4154" xr:uid="{00000000-0005-0000-0000-0000110A0000}"/>
    <cellStyle name="20% - Accent6 15 4" xfId="1513" xr:uid="{00000000-0005-0000-0000-0000120A0000}"/>
    <cellStyle name="20% - Accent6 15 4 2" xfId="3097" xr:uid="{00000000-0005-0000-0000-0000130A0000}"/>
    <cellStyle name="20% - Accent6 15 4 2 2" xfId="6266" xr:uid="{00000000-0005-0000-0000-0000140A0000}"/>
    <cellStyle name="20% - Accent6 15 4 3" xfId="4682" xr:uid="{00000000-0005-0000-0000-0000150A0000}"/>
    <cellStyle name="20% - Accent6 15 5" xfId="2041" xr:uid="{00000000-0005-0000-0000-0000160A0000}"/>
    <cellStyle name="20% - Accent6 15 5 2" xfId="5210" xr:uid="{00000000-0005-0000-0000-0000170A0000}"/>
    <cellStyle name="20% - Accent6 15 6" xfId="3626" xr:uid="{00000000-0005-0000-0000-0000180A0000}"/>
    <cellStyle name="20% - Accent6 16" xfId="216" xr:uid="{00000000-0005-0000-0000-0000190A0000}"/>
    <cellStyle name="20% - Accent6 16 2" xfId="722" xr:uid="{00000000-0005-0000-0000-00001A0A0000}"/>
    <cellStyle name="20% - Accent6 16 2 2" xfId="1250" xr:uid="{00000000-0005-0000-0000-00001B0A0000}"/>
    <cellStyle name="20% - Accent6 16 2 2 2" xfId="2834" xr:uid="{00000000-0005-0000-0000-00001C0A0000}"/>
    <cellStyle name="20% - Accent6 16 2 2 2 2" xfId="6003" xr:uid="{00000000-0005-0000-0000-00001D0A0000}"/>
    <cellStyle name="20% - Accent6 16 2 2 3" xfId="4419" xr:uid="{00000000-0005-0000-0000-00001E0A0000}"/>
    <cellStyle name="20% - Accent6 16 2 3" xfId="1778" xr:uid="{00000000-0005-0000-0000-00001F0A0000}"/>
    <cellStyle name="20% - Accent6 16 2 3 2" xfId="3362" xr:uid="{00000000-0005-0000-0000-0000200A0000}"/>
    <cellStyle name="20% - Accent6 16 2 3 2 2" xfId="6531" xr:uid="{00000000-0005-0000-0000-0000210A0000}"/>
    <cellStyle name="20% - Accent6 16 2 3 3" xfId="4947" xr:uid="{00000000-0005-0000-0000-0000220A0000}"/>
    <cellStyle name="20% - Accent6 16 2 4" xfId="2306" xr:uid="{00000000-0005-0000-0000-0000230A0000}"/>
    <cellStyle name="20% - Accent6 16 2 4 2" xfId="5475" xr:uid="{00000000-0005-0000-0000-0000240A0000}"/>
    <cellStyle name="20% - Accent6 16 2 5" xfId="3891" xr:uid="{00000000-0005-0000-0000-0000250A0000}"/>
    <cellStyle name="20% - Accent6 16 3" xfId="986" xr:uid="{00000000-0005-0000-0000-0000260A0000}"/>
    <cellStyle name="20% - Accent6 16 3 2" xfId="2570" xr:uid="{00000000-0005-0000-0000-0000270A0000}"/>
    <cellStyle name="20% - Accent6 16 3 2 2" xfId="5739" xr:uid="{00000000-0005-0000-0000-0000280A0000}"/>
    <cellStyle name="20% - Accent6 16 3 3" xfId="4155" xr:uid="{00000000-0005-0000-0000-0000290A0000}"/>
    <cellStyle name="20% - Accent6 16 4" xfId="1514" xr:uid="{00000000-0005-0000-0000-00002A0A0000}"/>
    <cellStyle name="20% - Accent6 16 4 2" xfId="3098" xr:uid="{00000000-0005-0000-0000-00002B0A0000}"/>
    <cellStyle name="20% - Accent6 16 4 2 2" xfId="6267" xr:uid="{00000000-0005-0000-0000-00002C0A0000}"/>
    <cellStyle name="20% - Accent6 16 4 3" xfId="4683" xr:uid="{00000000-0005-0000-0000-00002D0A0000}"/>
    <cellStyle name="20% - Accent6 16 5" xfId="2042" xr:uid="{00000000-0005-0000-0000-00002E0A0000}"/>
    <cellStyle name="20% - Accent6 16 5 2" xfId="5211" xr:uid="{00000000-0005-0000-0000-00002F0A0000}"/>
    <cellStyle name="20% - Accent6 16 6" xfId="3627" xr:uid="{00000000-0005-0000-0000-0000300A0000}"/>
    <cellStyle name="20% - Accent6 2" xfId="6" xr:uid="{00000000-0005-0000-0000-0000310A0000}"/>
    <cellStyle name="20% - Accent6 2 2" xfId="217" xr:uid="{00000000-0005-0000-0000-0000320A0000}"/>
    <cellStyle name="20% - Accent6 3" xfId="218" xr:uid="{00000000-0005-0000-0000-0000330A0000}"/>
    <cellStyle name="20% - Accent6 4" xfId="219" xr:uid="{00000000-0005-0000-0000-0000340A0000}"/>
    <cellStyle name="20% - Accent6 4 2" xfId="220" xr:uid="{00000000-0005-0000-0000-0000350A0000}"/>
    <cellStyle name="20% - Accent6 4 2 2" xfId="724" xr:uid="{00000000-0005-0000-0000-0000360A0000}"/>
    <cellStyle name="20% - Accent6 4 2 2 2" xfId="1252" xr:uid="{00000000-0005-0000-0000-0000370A0000}"/>
    <cellStyle name="20% - Accent6 4 2 2 2 2" xfId="2836" xr:uid="{00000000-0005-0000-0000-0000380A0000}"/>
    <cellStyle name="20% - Accent6 4 2 2 2 2 2" xfId="6005" xr:uid="{00000000-0005-0000-0000-0000390A0000}"/>
    <cellStyle name="20% - Accent6 4 2 2 2 3" xfId="4421" xr:uid="{00000000-0005-0000-0000-00003A0A0000}"/>
    <cellStyle name="20% - Accent6 4 2 2 3" xfId="1780" xr:uid="{00000000-0005-0000-0000-00003B0A0000}"/>
    <cellStyle name="20% - Accent6 4 2 2 3 2" xfId="3364" xr:uid="{00000000-0005-0000-0000-00003C0A0000}"/>
    <cellStyle name="20% - Accent6 4 2 2 3 2 2" xfId="6533" xr:uid="{00000000-0005-0000-0000-00003D0A0000}"/>
    <cellStyle name="20% - Accent6 4 2 2 3 3" xfId="4949" xr:uid="{00000000-0005-0000-0000-00003E0A0000}"/>
    <cellStyle name="20% - Accent6 4 2 2 4" xfId="2308" xr:uid="{00000000-0005-0000-0000-00003F0A0000}"/>
    <cellStyle name="20% - Accent6 4 2 2 4 2" xfId="5477" xr:uid="{00000000-0005-0000-0000-0000400A0000}"/>
    <cellStyle name="20% - Accent6 4 2 2 5" xfId="3893" xr:uid="{00000000-0005-0000-0000-0000410A0000}"/>
    <cellStyle name="20% - Accent6 4 2 3" xfId="988" xr:uid="{00000000-0005-0000-0000-0000420A0000}"/>
    <cellStyle name="20% - Accent6 4 2 3 2" xfId="2572" xr:uid="{00000000-0005-0000-0000-0000430A0000}"/>
    <cellStyle name="20% - Accent6 4 2 3 2 2" xfId="5741" xr:uid="{00000000-0005-0000-0000-0000440A0000}"/>
    <cellStyle name="20% - Accent6 4 2 3 3" xfId="4157" xr:uid="{00000000-0005-0000-0000-0000450A0000}"/>
    <cellStyle name="20% - Accent6 4 2 4" xfId="1516" xr:uid="{00000000-0005-0000-0000-0000460A0000}"/>
    <cellStyle name="20% - Accent6 4 2 4 2" xfId="3100" xr:uid="{00000000-0005-0000-0000-0000470A0000}"/>
    <cellStyle name="20% - Accent6 4 2 4 2 2" xfId="6269" xr:uid="{00000000-0005-0000-0000-0000480A0000}"/>
    <cellStyle name="20% - Accent6 4 2 4 3" xfId="4685" xr:uid="{00000000-0005-0000-0000-0000490A0000}"/>
    <cellStyle name="20% - Accent6 4 2 5" xfId="2044" xr:uid="{00000000-0005-0000-0000-00004A0A0000}"/>
    <cellStyle name="20% - Accent6 4 2 5 2" xfId="5213" xr:uid="{00000000-0005-0000-0000-00004B0A0000}"/>
    <cellStyle name="20% - Accent6 4 2 6" xfId="3629" xr:uid="{00000000-0005-0000-0000-00004C0A0000}"/>
    <cellStyle name="20% - Accent6 4 3" xfId="723" xr:uid="{00000000-0005-0000-0000-00004D0A0000}"/>
    <cellStyle name="20% - Accent6 4 3 2" xfId="1251" xr:uid="{00000000-0005-0000-0000-00004E0A0000}"/>
    <cellStyle name="20% - Accent6 4 3 2 2" xfId="2835" xr:uid="{00000000-0005-0000-0000-00004F0A0000}"/>
    <cellStyle name="20% - Accent6 4 3 2 2 2" xfId="6004" xr:uid="{00000000-0005-0000-0000-0000500A0000}"/>
    <cellStyle name="20% - Accent6 4 3 2 3" xfId="4420" xr:uid="{00000000-0005-0000-0000-0000510A0000}"/>
    <cellStyle name="20% - Accent6 4 3 3" xfId="1779" xr:uid="{00000000-0005-0000-0000-0000520A0000}"/>
    <cellStyle name="20% - Accent6 4 3 3 2" xfId="3363" xr:uid="{00000000-0005-0000-0000-0000530A0000}"/>
    <cellStyle name="20% - Accent6 4 3 3 2 2" xfId="6532" xr:uid="{00000000-0005-0000-0000-0000540A0000}"/>
    <cellStyle name="20% - Accent6 4 3 3 3" xfId="4948" xr:uid="{00000000-0005-0000-0000-0000550A0000}"/>
    <cellStyle name="20% - Accent6 4 3 4" xfId="2307" xr:uid="{00000000-0005-0000-0000-0000560A0000}"/>
    <cellStyle name="20% - Accent6 4 3 4 2" xfId="5476" xr:uid="{00000000-0005-0000-0000-0000570A0000}"/>
    <cellStyle name="20% - Accent6 4 3 5" xfId="3892" xr:uid="{00000000-0005-0000-0000-0000580A0000}"/>
    <cellStyle name="20% - Accent6 4 4" xfId="987" xr:uid="{00000000-0005-0000-0000-0000590A0000}"/>
    <cellStyle name="20% - Accent6 4 4 2" xfId="2571" xr:uid="{00000000-0005-0000-0000-00005A0A0000}"/>
    <cellStyle name="20% - Accent6 4 4 2 2" xfId="5740" xr:uid="{00000000-0005-0000-0000-00005B0A0000}"/>
    <cellStyle name="20% - Accent6 4 4 3" xfId="4156" xr:uid="{00000000-0005-0000-0000-00005C0A0000}"/>
    <cellStyle name="20% - Accent6 4 5" xfId="1515" xr:uid="{00000000-0005-0000-0000-00005D0A0000}"/>
    <cellStyle name="20% - Accent6 4 5 2" xfId="3099" xr:uid="{00000000-0005-0000-0000-00005E0A0000}"/>
    <cellStyle name="20% - Accent6 4 5 2 2" xfId="6268" xr:uid="{00000000-0005-0000-0000-00005F0A0000}"/>
    <cellStyle name="20% - Accent6 4 5 3" xfId="4684" xr:uid="{00000000-0005-0000-0000-0000600A0000}"/>
    <cellStyle name="20% - Accent6 4 6" xfId="2043" xr:uid="{00000000-0005-0000-0000-0000610A0000}"/>
    <cellStyle name="20% - Accent6 4 6 2" xfId="5212" xr:uid="{00000000-0005-0000-0000-0000620A0000}"/>
    <cellStyle name="20% - Accent6 4 7" xfId="3628" xr:uid="{00000000-0005-0000-0000-0000630A0000}"/>
    <cellStyle name="20% - Accent6 5" xfId="221" xr:uid="{00000000-0005-0000-0000-0000640A0000}"/>
    <cellStyle name="20% - Accent6 5 2" xfId="222" xr:uid="{00000000-0005-0000-0000-0000650A0000}"/>
    <cellStyle name="20% - Accent6 5 2 2" xfId="726" xr:uid="{00000000-0005-0000-0000-0000660A0000}"/>
    <cellStyle name="20% - Accent6 5 2 2 2" xfId="1254" xr:uid="{00000000-0005-0000-0000-0000670A0000}"/>
    <cellStyle name="20% - Accent6 5 2 2 2 2" xfId="2838" xr:uid="{00000000-0005-0000-0000-0000680A0000}"/>
    <cellStyle name="20% - Accent6 5 2 2 2 2 2" xfId="6007" xr:uid="{00000000-0005-0000-0000-0000690A0000}"/>
    <cellStyle name="20% - Accent6 5 2 2 2 3" xfId="4423" xr:uid="{00000000-0005-0000-0000-00006A0A0000}"/>
    <cellStyle name="20% - Accent6 5 2 2 3" xfId="1782" xr:uid="{00000000-0005-0000-0000-00006B0A0000}"/>
    <cellStyle name="20% - Accent6 5 2 2 3 2" xfId="3366" xr:uid="{00000000-0005-0000-0000-00006C0A0000}"/>
    <cellStyle name="20% - Accent6 5 2 2 3 2 2" xfId="6535" xr:uid="{00000000-0005-0000-0000-00006D0A0000}"/>
    <cellStyle name="20% - Accent6 5 2 2 3 3" xfId="4951" xr:uid="{00000000-0005-0000-0000-00006E0A0000}"/>
    <cellStyle name="20% - Accent6 5 2 2 4" xfId="2310" xr:uid="{00000000-0005-0000-0000-00006F0A0000}"/>
    <cellStyle name="20% - Accent6 5 2 2 4 2" xfId="5479" xr:uid="{00000000-0005-0000-0000-0000700A0000}"/>
    <cellStyle name="20% - Accent6 5 2 2 5" xfId="3895" xr:uid="{00000000-0005-0000-0000-0000710A0000}"/>
    <cellStyle name="20% - Accent6 5 2 3" xfId="990" xr:uid="{00000000-0005-0000-0000-0000720A0000}"/>
    <cellStyle name="20% - Accent6 5 2 3 2" xfId="2574" xr:uid="{00000000-0005-0000-0000-0000730A0000}"/>
    <cellStyle name="20% - Accent6 5 2 3 2 2" xfId="5743" xr:uid="{00000000-0005-0000-0000-0000740A0000}"/>
    <cellStyle name="20% - Accent6 5 2 3 3" xfId="4159" xr:uid="{00000000-0005-0000-0000-0000750A0000}"/>
    <cellStyle name="20% - Accent6 5 2 4" xfId="1518" xr:uid="{00000000-0005-0000-0000-0000760A0000}"/>
    <cellStyle name="20% - Accent6 5 2 4 2" xfId="3102" xr:uid="{00000000-0005-0000-0000-0000770A0000}"/>
    <cellStyle name="20% - Accent6 5 2 4 2 2" xfId="6271" xr:uid="{00000000-0005-0000-0000-0000780A0000}"/>
    <cellStyle name="20% - Accent6 5 2 4 3" xfId="4687" xr:uid="{00000000-0005-0000-0000-0000790A0000}"/>
    <cellStyle name="20% - Accent6 5 2 5" xfId="2046" xr:uid="{00000000-0005-0000-0000-00007A0A0000}"/>
    <cellStyle name="20% - Accent6 5 2 5 2" xfId="5215" xr:uid="{00000000-0005-0000-0000-00007B0A0000}"/>
    <cellStyle name="20% - Accent6 5 2 6" xfId="3631" xr:uid="{00000000-0005-0000-0000-00007C0A0000}"/>
    <cellStyle name="20% - Accent6 5 3" xfId="725" xr:uid="{00000000-0005-0000-0000-00007D0A0000}"/>
    <cellStyle name="20% - Accent6 5 3 2" xfId="1253" xr:uid="{00000000-0005-0000-0000-00007E0A0000}"/>
    <cellStyle name="20% - Accent6 5 3 2 2" xfId="2837" xr:uid="{00000000-0005-0000-0000-00007F0A0000}"/>
    <cellStyle name="20% - Accent6 5 3 2 2 2" xfId="6006" xr:uid="{00000000-0005-0000-0000-0000800A0000}"/>
    <cellStyle name="20% - Accent6 5 3 2 3" xfId="4422" xr:uid="{00000000-0005-0000-0000-0000810A0000}"/>
    <cellStyle name="20% - Accent6 5 3 3" xfId="1781" xr:uid="{00000000-0005-0000-0000-0000820A0000}"/>
    <cellStyle name="20% - Accent6 5 3 3 2" xfId="3365" xr:uid="{00000000-0005-0000-0000-0000830A0000}"/>
    <cellStyle name="20% - Accent6 5 3 3 2 2" xfId="6534" xr:uid="{00000000-0005-0000-0000-0000840A0000}"/>
    <cellStyle name="20% - Accent6 5 3 3 3" xfId="4950" xr:uid="{00000000-0005-0000-0000-0000850A0000}"/>
    <cellStyle name="20% - Accent6 5 3 4" xfId="2309" xr:uid="{00000000-0005-0000-0000-0000860A0000}"/>
    <cellStyle name="20% - Accent6 5 3 4 2" xfId="5478" xr:uid="{00000000-0005-0000-0000-0000870A0000}"/>
    <cellStyle name="20% - Accent6 5 3 5" xfId="3894" xr:uid="{00000000-0005-0000-0000-0000880A0000}"/>
    <cellStyle name="20% - Accent6 5 4" xfId="989" xr:uid="{00000000-0005-0000-0000-0000890A0000}"/>
    <cellStyle name="20% - Accent6 5 4 2" xfId="2573" xr:uid="{00000000-0005-0000-0000-00008A0A0000}"/>
    <cellStyle name="20% - Accent6 5 4 2 2" xfId="5742" xr:uid="{00000000-0005-0000-0000-00008B0A0000}"/>
    <cellStyle name="20% - Accent6 5 4 3" xfId="4158" xr:uid="{00000000-0005-0000-0000-00008C0A0000}"/>
    <cellStyle name="20% - Accent6 5 5" xfId="1517" xr:uid="{00000000-0005-0000-0000-00008D0A0000}"/>
    <cellStyle name="20% - Accent6 5 5 2" xfId="3101" xr:uid="{00000000-0005-0000-0000-00008E0A0000}"/>
    <cellStyle name="20% - Accent6 5 5 2 2" xfId="6270" xr:uid="{00000000-0005-0000-0000-00008F0A0000}"/>
    <cellStyle name="20% - Accent6 5 5 3" xfId="4686" xr:uid="{00000000-0005-0000-0000-0000900A0000}"/>
    <cellStyle name="20% - Accent6 5 6" xfId="2045" xr:uid="{00000000-0005-0000-0000-0000910A0000}"/>
    <cellStyle name="20% - Accent6 5 6 2" xfId="5214" xr:uid="{00000000-0005-0000-0000-0000920A0000}"/>
    <cellStyle name="20% - Accent6 5 7" xfId="3630" xr:uid="{00000000-0005-0000-0000-0000930A0000}"/>
    <cellStyle name="20% - Accent6 6" xfId="223" xr:uid="{00000000-0005-0000-0000-0000940A0000}"/>
    <cellStyle name="20% - Accent6 6 2" xfId="224" xr:uid="{00000000-0005-0000-0000-0000950A0000}"/>
    <cellStyle name="20% - Accent6 6 2 2" xfId="728" xr:uid="{00000000-0005-0000-0000-0000960A0000}"/>
    <cellStyle name="20% - Accent6 6 2 2 2" xfId="1256" xr:uid="{00000000-0005-0000-0000-0000970A0000}"/>
    <cellStyle name="20% - Accent6 6 2 2 2 2" xfId="2840" xr:uid="{00000000-0005-0000-0000-0000980A0000}"/>
    <cellStyle name="20% - Accent6 6 2 2 2 2 2" xfId="6009" xr:uid="{00000000-0005-0000-0000-0000990A0000}"/>
    <cellStyle name="20% - Accent6 6 2 2 2 3" xfId="4425" xr:uid="{00000000-0005-0000-0000-00009A0A0000}"/>
    <cellStyle name="20% - Accent6 6 2 2 3" xfId="1784" xr:uid="{00000000-0005-0000-0000-00009B0A0000}"/>
    <cellStyle name="20% - Accent6 6 2 2 3 2" xfId="3368" xr:uid="{00000000-0005-0000-0000-00009C0A0000}"/>
    <cellStyle name="20% - Accent6 6 2 2 3 2 2" xfId="6537" xr:uid="{00000000-0005-0000-0000-00009D0A0000}"/>
    <cellStyle name="20% - Accent6 6 2 2 3 3" xfId="4953" xr:uid="{00000000-0005-0000-0000-00009E0A0000}"/>
    <cellStyle name="20% - Accent6 6 2 2 4" xfId="2312" xr:uid="{00000000-0005-0000-0000-00009F0A0000}"/>
    <cellStyle name="20% - Accent6 6 2 2 4 2" xfId="5481" xr:uid="{00000000-0005-0000-0000-0000A00A0000}"/>
    <cellStyle name="20% - Accent6 6 2 2 5" xfId="3897" xr:uid="{00000000-0005-0000-0000-0000A10A0000}"/>
    <cellStyle name="20% - Accent6 6 2 3" xfId="992" xr:uid="{00000000-0005-0000-0000-0000A20A0000}"/>
    <cellStyle name="20% - Accent6 6 2 3 2" xfId="2576" xr:uid="{00000000-0005-0000-0000-0000A30A0000}"/>
    <cellStyle name="20% - Accent6 6 2 3 2 2" xfId="5745" xr:uid="{00000000-0005-0000-0000-0000A40A0000}"/>
    <cellStyle name="20% - Accent6 6 2 3 3" xfId="4161" xr:uid="{00000000-0005-0000-0000-0000A50A0000}"/>
    <cellStyle name="20% - Accent6 6 2 4" xfId="1520" xr:uid="{00000000-0005-0000-0000-0000A60A0000}"/>
    <cellStyle name="20% - Accent6 6 2 4 2" xfId="3104" xr:uid="{00000000-0005-0000-0000-0000A70A0000}"/>
    <cellStyle name="20% - Accent6 6 2 4 2 2" xfId="6273" xr:uid="{00000000-0005-0000-0000-0000A80A0000}"/>
    <cellStyle name="20% - Accent6 6 2 4 3" xfId="4689" xr:uid="{00000000-0005-0000-0000-0000A90A0000}"/>
    <cellStyle name="20% - Accent6 6 2 5" xfId="2048" xr:uid="{00000000-0005-0000-0000-0000AA0A0000}"/>
    <cellStyle name="20% - Accent6 6 2 5 2" xfId="5217" xr:uid="{00000000-0005-0000-0000-0000AB0A0000}"/>
    <cellStyle name="20% - Accent6 6 2 6" xfId="3633" xr:uid="{00000000-0005-0000-0000-0000AC0A0000}"/>
    <cellStyle name="20% - Accent6 6 3" xfId="727" xr:uid="{00000000-0005-0000-0000-0000AD0A0000}"/>
    <cellStyle name="20% - Accent6 6 3 2" xfId="1255" xr:uid="{00000000-0005-0000-0000-0000AE0A0000}"/>
    <cellStyle name="20% - Accent6 6 3 2 2" xfId="2839" xr:uid="{00000000-0005-0000-0000-0000AF0A0000}"/>
    <cellStyle name="20% - Accent6 6 3 2 2 2" xfId="6008" xr:uid="{00000000-0005-0000-0000-0000B00A0000}"/>
    <cellStyle name="20% - Accent6 6 3 2 3" xfId="4424" xr:uid="{00000000-0005-0000-0000-0000B10A0000}"/>
    <cellStyle name="20% - Accent6 6 3 3" xfId="1783" xr:uid="{00000000-0005-0000-0000-0000B20A0000}"/>
    <cellStyle name="20% - Accent6 6 3 3 2" xfId="3367" xr:uid="{00000000-0005-0000-0000-0000B30A0000}"/>
    <cellStyle name="20% - Accent6 6 3 3 2 2" xfId="6536" xr:uid="{00000000-0005-0000-0000-0000B40A0000}"/>
    <cellStyle name="20% - Accent6 6 3 3 3" xfId="4952" xr:uid="{00000000-0005-0000-0000-0000B50A0000}"/>
    <cellStyle name="20% - Accent6 6 3 4" xfId="2311" xr:uid="{00000000-0005-0000-0000-0000B60A0000}"/>
    <cellStyle name="20% - Accent6 6 3 4 2" xfId="5480" xr:uid="{00000000-0005-0000-0000-0000B70A0000}"/>
    <cellStyle name="20% - Accent6 6 3 5" xfId="3896" xr:uid="{00000000-0005-0000-0000-0000B80A0000}"/>
    <cellStyle name="20% - Accent6 6 4" xfId="991" xr:uid="{00000000-0005-0000-0000-0000B90A0000}"/>
    <cellStyle name="20% - Accent6 6 4 2" xfId="2575" xr:uid="{00000000-0005-0000-0000-0000BA0A0000}"/>
    <cellStyle name="20% - Accent6 6 4 2 2" xfId="5744" xr:uid="{00000000-0005-0000-0000-0000BB0A0000}"/>
    <cellStyle name="20% - Accent6 6 4 3" xfId="4160" xr:uid="{00000000-0005-0000-0000-0000BC0A0000}"/>
    <cellStyle name="20% - Accent6 6 5" xfId="1519" xr:uid="{00000000-0005-0000-0000-0000BD0A0000}"/>
    <cellStyle name="20% - Accent6 6 5 2" xfId="3103" xr:uid="{00000000-0005-0000-0000-0000BE0A0000}"/>
    <cellStyle name="20% - Accent6 6 5 2 2" xfId="6272" xr:uid="{00000000-0005-0000-0000-0000BF0A0000}"/>
    <cellStyle name="20% - Accent6 6 5 3" xfId="4688" xr:uid="{00000000-0005-0000-0000-0000C00A0000}"/>
    <cellStyle name="20% - Accent6 6 6" xfId="2047" xr:uid="{00000000-0005-0000-0000-0000C10A0000}"/>
    <cellStyle name="20% - Accent6 6 6 2" xfId="5216" xr:uid="{00000000-0005-0000-0000-0000C20A0000}"/>
    <cellStyle name="20% - Accent6 6 7" xfId="3632" xr:uid="{00000000-0005-0000-0000-0000C30A0000}"/>
    <cellStyle name="20% - Accent6 7" xfId="225" xr:uid="{00000000-0005-0000-0000-0000C40A0000}"/>
    <cellStyle name="20% - Accent6 7 2" xfId="226" xr:uid="{00000000-0005-0000-0000-0000C50A0000}"/>
    <cellStyle name="20% - Accent6 7 2 2" xfId="730" xr:uid="{00000000-0005-0000-0000-0000C60A0000}"/>
    <cellStyle name="20% - Accent6 7 2 2 2" xfId="1258" xr:uid="{00000000-0005-0000-0000-0000C70A0000}"/>
    <cellStyle name="20% - Accent6 7 2 2 2 2" xfId="2842" xr:uid="{00000000-0005-0000-0000-0000C80A0000}"/>
    <cellStyle name="20% - Accent6 7 2 2 2 2 2" xfId="6011" xr:uid="{00000000-0005-0000-0000-0000C90A0000}"/>
    <cellStyle name="20% - Accent6 7 2 2 2 3" xfId="4427" xr:uid="{00000000-0005-0000-0000-0000CA0A0000}"/>
    <cellStyle name="20% - Accent6 7 2 2 3" xfId="1786" xr:uid="{00000000-0005-0000-0000-0000CB0A0000}"/>
    <cellStyle name="20% - Accent6 7 2 2 3 2" xfId="3370" xr:uid="{00000000-0005-0000-0000-0000CC0A0000}"/>
    <cellStyle name="20% - Accent6 7 2 2 3 2 2" xfId="6539" xr:uid="{00000000-0005-0000-0000-0000CD0A0000}"/>
    <cellStyle name="20% - Accent6 7 2 2 3 3" xfId="4955" xr:uid="{00000000-0005-0000-0000-0000CE0A0000}"/>
    <cellStyle name="20% - Accent6 7 2 2 4" xfId="2314" xr:uid="{00000000-0005-0000-0000-0000CF0A0000}"/>
    <cellStyle name="20% - Accent6 7 2 2 4 2" xfId="5483" xr:uid="{00000000-0005-0000-0000-0000D00A0000}"/>
    <cellStyle name="20% - Accent6 7 2 2 5" xfId="3899" xr:uid="{00000000-0005-0000-0000-0000D10A0000}"/>
    <cellStyle name="20% - Accent6 7 2 3" xfId="994" xr:uid="{00000000-0005-0000-0000-0000D20A0000}"/>
    <cellStyle name="20% - Accent6 7 2 3 2" xfId="2578" xr:uid="{00000000-0005-0000-0000-0000D30A0000}"/>
    <cellStyle name="20% - Accent6 7 2 3 2 2" xfId="5747" xr:uid="{00000000-0005-0000-0000-0000D40A0000}"/>
    <cellStyle name="20% - Accent6 7 2 3 3" xfId="4163" xr:uid="{00000000-0005-0000-0000-0000D50A0000}"/>
    <cellStyle name="20% - Accent6 7 2 4" xfId="1522" xr:uid="{00000000-0005-0000-0000-0000D60A0000}"/>
    <cellStyle name="20% - Accent6 7 2 4 2" xfId="3106" xr:uid="{00000000-0005-0000-0000-0000D70A0000}"/>
    <cellStyle name="20% - Accent6 7 2 4 2 2" xfId="6275" xr:uid="{00000000-0005-0000-0000-0000D80A0000}"/>
    <cellStyle name="20% - Accent6 7 2 4 3" xfId="4691" xr:uid="{00000000-0005-0000-0000-0000D90A0000}"/>
    <cellStyle name="20% - Accent6 7 2 5" xfId="2050" xr:uid="{00000000-0005-0000-0000-0000DA0A0000}"/>
    <cellStyle name="20% - Accent6 7 2 5 2" xfId="5219" xr:uid="{00000000-0005-0000-0000-0000DB0A0000}"/>
    <cellStyle name="20% - Accent6 7 2 6" xfId="3635" xr:uid="{00000000-0005-0000-0000-0000DC0A0000}"/>
    <cellStyle name="20% - Accent6 7 3" xfId="729" xr:uid="{00000000-0005-0000-0000-0000DD0A0000}"/>
    <cellStyle name="20% - Accent6 7 3 2" xfId="1257" xr:uid="{00000000-0005-0000-0000-0000DE0A0000}"/>
    <cellStyle name="20% - Accent6 7 3 2 2" xfId="2841" xr:uid="{00000000-0005-0000-0000-0000DF0A0000}"/>
    <cellStyle name="20% - Accent6 7 3 2 2 2" xfId="6010" xr:uid="{00000000-0005-0000-0000-0000E00A0000}"/>
    <cellStyle name="20% - Accent6 7 3 2 3" xfId="4426" xr:uid="{00000000-0005-0000-0000-0000E10A0000}"/>
    <cellStyle name="20% - Accent6 7 3 3" xfId="1785" xr:uid="{00000000-0005-0000-0000-0000E20A0000}"/>
    <cellStyle name="20% - Accent6 7 3 3 2" xfId="3369" xr:uid="{00000000-0005-0000-0000-0000E30A0000}"/>
    <cellStyle name="20% - Accent6 7 3 3 2 2" xfId="6538" xr:uid="{00000000-0005-0000-0000-0000E40A0000}"/>
    <cellStyle name="20% - Accent6 7 3 3 3" xfId="4954" xr:uid="{00000000-0005-0000-0000-0000E50A0000}"/>
    <cellStyle name="20% - Accent6 7 3 4" xfId="2313" xr:uid="{00000000-0005-0000-0000-0000E60A0000}"/>
    <cellStyle name="20% - Accent6 7 3 4 2" xfId="5482" xr:uid="{00000000-0005-0000-0000-0000E70A0000}"/>
    <cellStyle name="20% - Accent6 7 3 5" xfId="3898" xr:uid="{00000000-0005-0000-0000-0000E80A0000}"/>
    <cellStyle name="20% - Accent6 7 4" xfId="993" xr:uid="{00000000-0005-0000-0000-0000E90A0000}"/>
    <cellStyle name="20% - Accent6 7 4 2" xfId="2577" xr:uid="{00000000-0005-0000-0000-0000EA0A0000}"/>
    <cellStyle name="20% - Accent6 7 4 2 2" xfId="5746" xr:uid="{00000000-0005-0000-0000-0000EB0A0000}"/>
    <cellStyle name="20% - Accent6 7 4 3" xfId="4162" xr:uid="{00000000-0005-0000-0000-0000EC0A0000}"/>
    <cellStyle name="20% - Accent6 7 5" xfId="1521" xr:uid="{00000000-0005-0000-0000-0000ED0A0000}"/>
    <cellStyle name="20% - Accent6 7 5 2" xfId="3105" xr:uid="{00000000-0005-0000-0000-0000EE0A0000}"/>
    <cellStyle name="20% - Accent6 7 5 2 2" xfId="6274" xr:uid="{00000000-0005-0000-0000-0000EF0A0000}"/>
    <cellStyle name="20% - Accent6 7 5 3" xfId="4690" xr:uid="{00000000-0005-0000-0000-0000F00A0000}"/>
    <cellStyle name="20% - Accent6 7 6" xfId="2049" xr:uid="{00000000-0005-0000-0000-0000F10A0000}"/>
    <cellStyle name="20% - Accent6 7 6 2" xfId="5218" xr:uid="{00000000-0005-0000-0000-0000F20A0000}"/>
    <cellStyle name="20% - Accent6 7 7" xfId="3634" xr:uid="{00000000-0005-0000-0000-0000F30A0000}"/>
    <cellStyle name="20% - Accent6 8" xfId="227" xr:uid="{00000000-0005-0000-0000-0000F40A0000}"/>
    <cellStyle name="20% - Accent6 8 2" xfId="228" xr:uid="{00000000-0005-0000-0000-0000F50A0000}"/>
    <cellStyle name="20% - Accent6 8 2 2" xfId="732" xr:uid="{00000000-0005-0000-0000-0000F60A0000}"/>
    <cellStyle name="20% - Accent6 8 2 2 2" xfId="1260" xr:uid="{00000000-0005-0000-0000-0000F70A0000}"/>
    <cellStyle name="20% - Accent6 8 2 2 2 2" xfId="2844" xr:uid="{00000000-0005-0000-0000-0000F80A0000}"/>
    <cellStyle name="20% - Accent6 8 2 2 2 2 2" xfId="6013" xr:uid="{00000000-0005-0000-0000-0000F90A0000}"/>
    <cellStyle name="20% - Accent6 8 2 2 2 3" xfId="4429" xr:uid="{00000000-0005-0000-0000-0000FA0A0000}"/>
    <cellStyle name="20% - Accent6 8 2 2 3" xfId="1788" xr:uid="{00000000-0005-0000-0000-0000FB0A0000}"/>
    <cellStyle name="20% - Accent6 8 2 2 3 2" xfId="3372" xr:uid="{00000000-0005-0000-0000-0000FC0A0000}"/>
    <cellStyle name="20% - Accent6 8 2 2 3 2 2" xfId="6541" xr:uid="{00000000-0005-0000-0000-0000FD0A0000}"/>
    <cellStyle name="20% - Accent6 8 2 2 3 3" xfId="4957" xr:uid="{00000000-0005-0000-0000-0000FE0A0000}"/>
    <cellStyle name="20% - Accent6 8 2 2 4" xfId="2316" xr:uid="{00000000-0005-0000-0000-0000FF0A0000}"/>
    <cellStyle name="20% - Accent6 8 2 2 4 2" xfId="5485" xr:uid="{00000000-0005-0000-0000-0000000B0000}"/>
    <cellStyle name="20% - Accent6 8 2 2 5" xfId="3901" xr:uid="{00000000-0005-0000-0000-0000010B0000}"/>
    <cellStyle name="20% - Accent6 8 2 3" xfId="996" xr:uid="{00000000-0005-0000-0000-0000020B0000}"/>
    <cellStyle name="20% - Accent6 8 2 3 2" xfId="2580" xr:uid="{00000000-0005-0000-0000-0000030B0000}"/>
    <cellStyle name="20% - Accent6 8 2 3 2 2" xfId="5749" xr:uid="{00000000-0005-0000-0000-0000040B0000}"/>
    <cellStyle name="20% - Accent6 8 2 3 3" xfId="4165" xr:uid="{00000000-0005-0000-0000-0000050B0000}"/>
    <cellStyle name="20% - Accent6 8 2 4" xfId="1524" xr:uid="{00000000-0005-0000-0000-0000060B0000}"/>
    <cellStyle name="20% - Accent6 8 2 4 2" xfId="3108" xr:uid="{00000000-0005-0000-0000-0000070B0000}"/>
    <cellStyle name="20% - Accent6 8 2 4 2 2" xfId="6277" xr:uid="{00000000-0005-0000-0000-0000080B0000}"/>
    <cellStyle name="20% - Accent6 8 2 4 3" xfId="4693" xr:uid="{00000000-0005-0000-0000-0000090B0000}"/>
    <cellStyle name="20% - Accent6 8 2 5" xfId="2052" xr:uid="{00000000-0005-0000-0000-00000A0B0000}"/>
    <cellStyle name="20% - Accent6 8 2 5 2" xfId="5221" xr:uid="{00000000-0005-0000-0000-00000B0B0000}"/>
    <cellStyle name="20% - Accent6 8 2 6" xfId="3637" xr:uid="{00000000-0005-0000-0000-00000C0B0000}"/>
    <cellStyle name="20% - Accent6 8 3" xfId="731" xr:uid="{00000000-0005-0000-0000-00000D0B0000}"/>
    <cellStyle name="20% - Accent6 8 3 2" xfId="1259" xr:uid="{00000000-0005-0000-0000-00000E0B0000}"/>
    <cellStyle name="20% - Accent6 8 3 2 2" xfId="2843" xr:uid="{00000000-0005-0000-0000-00000F0B0000}"/>
    <cellStyle name="20% - Accent6 8 3 2 2 2" xfId="6012" xr:uid="{00000000-0005-0000-0000-0000100B0000}"/>
    <cellStyle name="20% - Accent6 8 3 2 3" xfId="4428" xr:uid="{00000000-0005-0000-0000-0000110B0000}"/>
    <cellStyle name="20% - Accent6 8 3 3" xfId="1787" xr:uid="{00000000-0005-0000-0000-0000120B0000}"/>
    <cellStyle name="20% - Accent6 8 3 3 2" xfId="3371" xr:uid="{00000000-0005-0000-0000-0000130B0000}"/>
    <cellStyle name="20% - Accent6 8 3 3 2 2" xfId="6540" xr:uid="{00000000-0005-0000-0000-0000140B0000}"/>
    <cellStyle name="20% - Accent6 8 3 3 3" xfId="4956" xr:uid="{00000000-0005-0000-0000-0000150B0000}"/>
    <cellStyle name="20% - Accent6 8 3 4" xfId="2315" xr:uid="{00000000-0005-0000-0000-0000160B0000}"/>
    <cellStyle name="20% - Accent6 8 3 4 2" xfId="5484" xr:uid="{00000000-0005-0000-0000-0000170B0000}"/>
    <cellStyle name="20% - Accent6 8 3 5" xfId="3900" xr:uid="{00000000-0005-0000-0000-0000180B0000}"/>
    <cellStyle name="20% - Accent6 8 4" xfId="995" xr:uid="{00000000-0005-0000-0000-0000190B0000}"/>
    <cellStyle name="20% - Accent6 8 4 2" xfId="2579" xr:uid="{00000000-0005-0000-0000-00001A0B0000}"/>
    <cellStyle name="20% - Accent6 8 4 2 2" xfId="5748" xr:uid="{00000000-0005-0000-0000-00001B0B0000}"/>
    <cellStyle name="20% - Accent6 8 4 3" xfId="4164" xr:uid="{00000000-0005-0000-0000-00001C0B0000}"/>
    <cellStyle name="20% - Accent6 8 5" xfId="1523" xr:uid="{00000000-0005-0000-0000-00001D0B0000}"/>
    <cellStyle name="20% - Accent6 8 5 2" xfId="3107" xr:uid="{00000000-0005-0000-0000-00001E0B0000}"/>
    <cellStyle name="20% - Accent6 8 5 2 2" xfId="6276" xr:uid="{00000000-0005-0000-0000-00001F0B0000}"/>
    <cellStyle name="20% - Accent6 8 5 3" xfId="4692" xr:uid="{00000000-0005-0000-0000-0000200B0000}"/>
    <cellStyle name="20% - Accent6 8 6" xfId="2051" xr:uid="{00000000-0005-0000-0000-0000210B0000}"/>
    <cellStyle name="20% - Accent6 8 6 2" xfId="5220" xr:uid="{00000000-0005-0000-0000-0000220B0000}"/>
    <cellStyle name="20% - Accent6 8 7" xfId="3636" xr:uid="{00000000-0005-0000-0000-0000230B0000}"/>
    <cellStyle name="20% - Accent6 9" xfId="229" xr:uid="{00000000-0005-0000-0000-0000240B0000}"/>
    <cellStyle name="20% - Accent6 9 2" xfId="230" xr:uid="{00000000-0005-0000-0000-0000250B0000}"/>
    <cellStyle name="20% - Accent6 9 2 2" xfId="734" xr:uid="{00000000-0005-0000-0000-0000260B0000}"/>
    <cellStyle name="20% - Accent6 9 2 2 2" xfId="1262" xr:uid="{00000000-0005-0000-0000-0000270B0000}"/>
    <cellStyle name="20% - Accent6 9 2 2 2 2" xfId="2846" xr:uid="{00000000-0005-0000-0000-0000280B0000}"/>
    <cellStyle name="20% - Accent6 9 2 2 2 2 2" xfId="6015" xr:uid="{00000000-0005-0000-0000-0000290B0000}"/>
    <cellStyle name="20% - Accent6 9 2 2 2 3" xfId="4431" xr:uid="{00000000-0005-0000-0000-00002A0B0000}"/>
    <cellStyle name="20% - Accent6 9 2 2 3" xfId="1790" xr:uid="{00000000-0005-0000-0000-00002B0B0000}"/>
    <cellStyle name="20% - Accent6 9 2 2 3 2" xfId="3374" xr:uid="{00000000-0005-0000-0000-00002C0B0000}"/>
    <cellStyle name="20% - Accent6 9 2 2 3 2 2" xfId="6543" xr:uid="{00000000-0005-0000-0000-00002D0B0000}"/>
    <cellStyle name="20% - Accent6 9 2 2 3 3" xfId="4959" xr:uid="{00000000-0005-0000-0000-00002E0B0000}"/>
    <cellStyle name="20% - Accent6 9 2 2 4" xfId="2318" xr:uid="{00000000-0005-0000-0000-00002F0B0000}"/>
    <cellStyle name="20% - Accent6 9 2 2 4 2" xfId="5487" xr:uid="{00000000-0005-0000-0000-0000300B0000}"/>
    <cellStyle name="20% - Accent6 9 2 2 5" xfId="3903" xr:uid="{00000000-0005-0000-0000-0000310B0000}"/>
    <cellStyle name="20% - Accent6 9 2 3" xfId="998" xr:uid="{00000000-0005-0000-0000-0000320B0000}"/>
    <cellStyle name="20% - Accent6 9 2 3 2" xfId="2582" xr:uid="{00000000-0005-0000-0000-0000330B0000}"/>
    <cellStyle name="20% - Accent6 9 2 3 2 2" xfId="5751" xr:uid="{00000000-0005-0000-0000-0000340B0000}"/>
    <cellStyle name="20% - Accent6 9 2 3 3" xfId="4167" xr:uid="{00000000-0005-0000-0000-0000350B0000}"/>
    <cellStyle name="20% - Accent6 9 2 4" xfId="1526" xr:uid="{00000000-0005-0000-0000-0000360B0000}"/>
    <cellStyle name="20% - Accent6 9 2 4 2" xfId="3110" xr:uid="{00000000-0005-0000-0000-0000370B0000}"/>
    <cellStyle name="20% - Accent6 9 2 4 2 2" xfId="6279" xr:uid="{00000000-0005-0000-0000-0000380B0000}"/>
    <cellStyle name="20% - Accent6 9 2 4 3" xfId="4695" xr:uid="{00000000-0005-0000-0000-0000390B0000}"/>
    <cellStyle name="20% - Accent6 9 2 5" xfId="2054" xr:uid="{00000000-0005-0000-0000-00003A0B0000}"/>
    <cellStyle name="20% - Accent6 9 2 5 2" xfId="5223" xr:uid="{00000000-0005-0000-0000-00003B0B0000}"/>
    <cellStyle name="20% - Accent6 9 2 6" xfId="3639" xr:uid="{00000000-0005-0000-0000-00003C0B0000}"/>
    <cellStyle name="20% - Accent6 9 3" xfId="733" xr:uid="{00000000-0005-0000-0000-00003D0B0000}"/>
    <cellStyle name="20% - Accent6 9 3 2" xfId="1261" xr:uid="{00000000-0005-0000-0000-00003E0B0000}"/>
    <cellStyle name="20% - Accent6 9 3 2 2" xfId="2845" xr:uid="{00000000-0005-0000-0000-00003F0B0000}"/>
    <cellStyle name="20% - Accent6 9 3 2 2 2" xfId="6014" xr:uid="{00000000-0005-0000-0000-0000400B0000}"/>
    <cellStyle name="20% - Accent6 9 3 2 3" xfId="4430" xr:uid="{00000000-0005-0000-0000-0000410B0000}"/>
    <cellStyle name="20% - Accent6 9 3 3" xfId="1789" xr:uid="{00000000-0005-0000-0000-0000420B0000}"/>
    <cellStyle name="20% - Accent6 9 3 3 2" xfId="3373" xr:uid="{00000000-0005-0000-0000-0000430B0000}"/>
    <cellStyle name="20% - Accent6 9 3 3 2 2" xfId="6542" xr:uid="{00000000-0005-0000-0000-0000440B0000}"/>
    <cellStyle name="20% - Accent6 9 3 3 3" xfId="4958" xr:uid="{00000000-0005-0000-0000-0000450B0000}"/>
    <cellStyle name="20% - Accent6 9 3 4" xfId="2317" xr:uid="{00000000-0005-0000-0000-0000460B0000}"/>
    <cellStyle name="20% - Accent6 9 3 4 2" xfId="5486" xr:uid="{00000000-0005-0000-0000-0000470B0000}"/>
    <cellStyle name="20% - Accent6 9 3 5" xfId="3902" xr:uid="{00000000-0005-0000-0000-0000480B0000}"/>
    <cellStyle name="20% - Accent6 9 4" xfId="997" xr:uid="{00000000-0005-0000-0000-0000490B0000}"/>
    <cellStyle name="20% - Accent6 9 4 2" xfId="2581" xr:uid="{00000000-0005-0000-0000-00004A0B0000}"/>
    <cellStyle name="20% - Accent6 9 4 2 2" xfId="5750" xr:uid="{00000000-0005-0000-0000-00004B0B0000}"/>
    <cellStyle name="20% - Accent6 9 4 3" xfId="4166" xr:uid="{00000000-0005-0000-0000-00004C0B0000}"/>
    <cellStyle name="20% - Accent6 9 5" xfId="1525" xr:uid="{00000000-0005-0000-0000-00004D0B0000}"/>
    <cellStyle name="20% - Accent6 9 5 2" xfId="3109" xr:uid="{00000000-0005-0000-0000-00004E0B0000}"/>
    <cellStyle name="20% - Accent6 9 5 2 2" xfId="6278" xr:uid="{00000000-0005-0000-0000-00004F0B0000}"/>
    <cellStyle name="20% - Accent6 9 5 3" xfId="4694" xr:uid="{00000000-0005-0000-0000-0000500B0000}"/>
    <cellStyle name="20% - Accent6 9 6" xfId="2053" xr:uid="{00000000-0005-0000-0000-0000510B0000}"/>
    <cellStyle name="20% - Accent6 9 6 2" xfId="5222" xr:uid="{00000000-0005-0000-0000-0000520B0000}"/>
    <cellStyle name="20% - Accent6 9 7" xfId="3638" xr:uid="{00000000-0005-0000-0000-0000530B0000}"/>
    <cellStyle name="20% - アクセント 1" xfId="231" xr:uid="{00000000-0005-0000-0000-0000540B0000}"/>
    <cellStyle name="20% - アクセント 1 2" xfId="232" xr:uid="{00000000-0005-0000-0000-0000550B0000}"/>
    <cellStyle name="20% - アクセント 1 3" xfId="233" xr:uid="{00000000-0005-0000-0000-0000560B0000}"/>
    <cellStyle name="20% - アクセント 1 4" xfId="234" xr:uid="{00000000-0005-0000-0000-0000570B0000}"/>
    <cellStyle name="20% - アクセント 2" xfId="235" xr:uid="{00000000-0005-0000-0000-0000580B0000}"/>
    <cellStyle name="20% - アクセント 2 2" xfId="236" xr:uid="{00000000-0005-0000-0000-0000590B0000}"/>
    <cellStyle name="20% - アクセント 2 3" xfId="237" xr:uid="{00000000-0005-0000-0000-00005A0B0000}"/>
    <cellStyle name="20% - アクセント 2 4" xfId="238" xr:uid="{00000000-0005-0000-0000-00005B0B0000}"/>
    <cellStyle name="20% - アクセント 3" xfId="239" xr:uid="{00000000-0005-0000-0000-00005C0B0000}"/>
    <cellStyle name="20% - アクセント 3 2" xfId="240" xr:uid="{00000000-0005-0000-0000-00005D0B0000}"/>
    <cellStyle name="20% - アクセント 3 3" xfId="241" xr:uid="{00000000-0005-0000-0000-00005E0B0000}"/>
    <cellStyle name="20% - アクセント 3 4" xfId="242" xr:uid="{00000000-0005-0000-0000-00005F0B0000}"/>
    <cellStyle name="20% - アクセント 4" xfId="243" xr:uid="{00000000-0005-0000-0000-0000600B0000}"/>
    <cellStyle name="20% - アクセント 4 2" xfId="244" xr:uid="{00000000-0005-0000-0000-0000610B0000}"/>
    <cellStyle name="20% - アクセント 4 3" xfId="245" xr:uid="{00000000-0005-0000-0000-0000620B0000}"/>
    <cellStyle name="20% - アクセント 4 4" xfId="246" xr:uid="{00000000-0005-0000-0000-0000630B0000}"/>
    <cellStyle name="20% - アクセント 5" xfId="247" xr:uid="{00000000-0005-0000-0000-0000640B0000}"/>
    <cellStyle name="20% - アクセント 5 2" xfId="248" xr:uid="{00000000-0005-0000-0000-0000650B0000}"/>
    <cellStyle name="20% - アクセント 5 3" xfId="249" xr:uid="{00000000-0005-0000-0000-0000660B0000}"/>
    <cellStyle name="20% - アクセント 5 4" xfId="250" xr:uid="{00000000-0005-0000-0000-0000670B0000}"/>
    <cellStyle name="20% - アクセント 6" xfId="251" xr:uid="{00000000-0005-0000-0000-0000680B0000}"/>
    <cellStyle name="20% - アクセント 6 2" xfId="252" xr:uid="{00000000-0005-0000-0000-0000690B0000}"/>
    <cellStyle name="20% - アクセント 6 3" xfId="253" xr:uid="{00000000-0005-0000-0000-00006A0B0000}"/>
    <cellStyle name="20% - アクセント 6 4" xfId="254" xr:uid="{00000000-0005-0000-0000-00006B0B0000}"/>
    <cellStyle name="3232" xfId="255" xr:uid="{00000000-0005-0000-0000-00006C0B0000}"/>
    <cellStyle name="40% - Accent1 10" xfId="256" xr:uid="{00000000-0005-0000-0000-00006D0B0000}"/>
    <cellStyle name="40% - Accent1 10 2" xfId="257" xr:uid="{00000000-0005-0000-0000-00006E0B0000}"/>
    <cellStyle name="40% - Accent1 10 2 2" xfId="736" xr:uid="{00000000-0005-0000-0000-00006F0B0000}"/>
    <cellStyle name="40% - Accent1 10 2 2 2" xfId="1264" xr:uid="{00000000-0005-0000-0000-0000700B0000}"/>
    <cellStyle name="40% - Accent1 10 2 2 2 2" xfId="2848" xr:uid="{00000000-0005-0000-0000-0000710B0000}"/>
    <cellStyle name="40% - Accent1 10 2 2 2 2 2" xfId="6017" xr:uid="{00000000-0005-0000-0000-0000720B0000}"/>
    <cellStyle name="40% - Accent1 10 2 2 2 3" xfId="4433" xr:uid="{00000000-0005-0000-0000-0000730B0000}"/>
    <cellStyle name="40% - Accent1 10 2 2 3" xfId="1792" xr:uid="{00000000-0005-0000-0000-0000740B0000}"/>
    <cellStyle name="40% - Accent1 10 2 2 3 2" xfId="3376" xr:uid="{00000000-0005-0000-0000-0000750B0000}"/>
    <cellStyle name="40% - Accent1 10 2 2 3 2 2" xfId="6545" xr:uid="{00000000-0005-0000-0000-0000760B0000}"/>
    <cellStyle name="40% - Accent1 10 2 2 3 3" xfId="4961" xr:uid="{00000000-0005-0000-0000-0000770B0000}"/>
    <cellStyle name="40% - Accent1 10 2 2 4" xfId="2320" xr:uid="{00000000-0005-0000-0000-0000780B0000}"/>
    <cellStyle name="40% - Accent1 10 2 2 4 2" xfId="5489" xr:uid="{00000000-0005-0000-0000-0000790B0000}"/>
    <cellStyle name="40% - Accent1 10 2 2 5" xfId="3905" xr:uid="{00000000-0005-0000-0000-00007A0B0000}"/>
    <cellStyle name="40% - Accent1 10 2 3" xfId="1000" xr:uid="{00000000-0005-0000-0000-00007B0B0000}"/>
    <cellStyle name="40% - Accent1 10 2 3 2" xfId="2584" xr:uid="{00000000-0005-0000-0000-00007C0B0000}"/>
    <cellStyle name="40% - Accent1 10 2 3 2 2" xfId="5753" xr:uid="{00000000-0005-0000-0000-00007D0B0000}"/>
    <cellStyle name="40% - Accent1 10 2 3 3" xfId="4169" xr:uid="{00000000-0005-0000-0000-00007E0B0000}"/>
    <cellStyle name="40% - Accent1 10 2 4" xfId="1528" xr:uid="{00000000-0005-0000-0000-00007F0B0000}"/>
    <cellStyle name="40% - Accent1 10 2 4 2" xfId="3112" xr:uid="{00000000-0005-0000-0000-0000800B0000}"/>
    <cellStyle name="40% - Accent1 10 2 4 2 2" xfId="6281" xr:uid="{00000000-0005-0000-0000-0000810B0000}"/>
    <cellStyle name="40% - Accent1 10 2 4 3" xfId="4697" xr:uid="{00000000-0005-0000-0000-0000820B0000}"/>
    <cellStyle name="40% - Accent1 10 2 5" xfId="2056" xr:uid="{00000000-0005-0000-0000-0000830B0000}"/>
    <cellStyle name="40% - Accent1 10 2 5 2" xfId="5225" xr:uid="{00000000-0005-0000-0000-0000840B0000}"/>
    <cellStyle name="40% - Accent1 10 2 6" xfId="3641" xr:uid="{00000000-0005-0000-0000-0000850B0000}"/>
    <cellStyle name="40% - Accent1 10 3" xfId="735" xr:uid="{00000000-0005-0000-0000-0000860B0000}"/>
    <cellStyle name="40% - Accent1 10 3 2" xfId="1263" xr:uid="{00000000-0005-0000-0000-0000870B0000}"/>
    <cellStyle name="40% - Accent1 10 3 2 2" xfId="2847" xr:uid="{00000000-0005-0000-0000-0000880B0000}"/>
    <cellStyle name="40% - Accent1 10 3 2 2 2" xfId="6016" xr:uid="{00000000-0005-0000-0000-0000890B0000}"/>
    <cellStyle name="40% - Accent1 10 3 2 3" xfId="4432" xr:uid="{00000000-0005-0000-0000-00008A0B0000}"/>
    <cellStyle name="40% - Accent1 10 3 3" xfId="1791" xr:uid="{00000000-0005-0000-0000-00008B0B0000}"/>
    <cellStyle name="40% - Accent1 10 3 3 2" xfId="3375" xr:uid="{00000000-0005-0000-0000-00008C0B0000}"/>
    <cellStyle name="40% - Accent1 10 3 3 2 2" xfId="6544" xr:uid="{00000000-0005-0000-0000-00008D0B0000}"/>
    <cellStyle name="40% - Accent1 10 3 3 3" xfId="4960" xr:uid="{00000000-0005-0000-0000-00008E0B0000}"/>
    <cellStyle name="40% - Accent1 10 3 4" xfId="2319" xr:uid="{00000000-0005-0000-0000-00008F0B0000}"/>
    <cellStyle name="40% - Accent1 10 3 4 2" xfId="5488" xr:uid="{00000000-0005-0000-0000-0000900B0000}"/>
    <cellStyle name="40% - Accent1 10 3 5" xfId="3904" xr:uid="{00000000-0005-0000-0000-0000910B0000}"/>
    <cellStyle name="40% - Accent1 10 4" xfId="999" xr:uid="{00000000-0005-0000-0000-0000920B0000}"/>
    <cellStyle name="40% - Accent1 10 4 2" xfId="2583" xr:uid="{00000000-0005-0000-0000-0000930B0000}"/>
    <cellStyle name="40% - Accent1 10 4 2 2" xfId="5752" xr:uid="{00000000-0005-0000-0000-0000940B0000}"/>
    <cellStyle name="40% - Accent1 10 4 3" xfId="4168" xr:uid="{00000000-0005-0000-0000-0000950B0000}"/>
    <cellStyle name="40% - Accent1 10 5" xfId="1527" xr:uid="{00000000-0005-0000-0000-0000960B0000}"/>
    <cellStyle name="40% - Accent1 10 5 2" xfId="3111" xr:uid="{00000000-0005-0000-0000-0000970B0000}"/>
    <cellStyle name="40% - Accent1 10 5 2 2" xfId="6280" xr:uid="{00000000-0005-0000-0000-0000980B0000}"/>
    <cellStyle name="40% - Accent1 10 5 3" xfId="4696" xr:uid="{00000000-0005-0000-0000-0000990B0000}"/>
    <cellStyle name="40% - Accent1 10 6" xfId="2055" xr:uid="{00000000-0005-0000-0000-00009A0B0000}"/>
    <cellStyle name="40% - Accent1 10 6 2" xfId="5224" xr:uid="{00000000-0005-0000-0000-00009B0B0000}"/>
    <cellStyle name="40% - Accent1 10 7" xfId="3640" xr:uid="{00000000-0005-0000-0000-00009C0B0000}"/>
    <cellStyle name="40% - Accent1 11" xfId="258" xr:uid="{00000000-0005-0000-0000-00009D0B0000}"/>
    <cellStyle name="40% - Accent1 11 2" xfId="737" xr:uid="{00000000-0005-0000-0000-00009E0B0000}"/>
    <cellStyle name="40% - Accent1 11 2 2" xfId="1265" xr:uid="{00000000-0005-0000-0000-00009F0B0000}"/>
    <cellStyle name="40% - Accent1 11 2 2 2" xfId="2849" xr:uid="{00000000-0005-0000-0000-0000A00B0000}"/>
    <cellStyle name="40% - Accent1 11 2 2 2 2" xfId="6018" xr:uid="{00000000-0005-0000-0000-0000A10B0000}"/>
    <cellStyle name="40% - Accent1 11 2 2 3" xfId="4434" xr:uid="{00000000-0005-0000-0000-0000A20B0000}"/>
    <cellStyle name="40% - Accent1 11 2 3" xfId="1793" xr:uid="{00000000-0005-0000-0000-0000A30B0000}"/>
    <cellStyle name="40% - Accent1 11 2 3 2" xfId="3377" xr:uid="{00000000-0005-0000-0000-0000A40B0000}"/>
    <cellStyle name="40% - Accent1 11 2 3 2 2" xfId="6546" xr:uid="{00000000-0005-0000-0000-0000A50B0000}"/>
    <cellStyle name="40% - Accent1 11 2 3 3" xfId="4962" xr:uid="{00000000-0005-0000-0000-0000A60B0000}"/>
    <cellStyle name="40% - Accent1 11 2 4" xfId="2321" xr:uid="{00000000-0005-0000-0000-0000A70B0000}"/>
    <cellStyle name="40% - Accent1 11 2 4 2" xfId="5490" xr:uid="{00000000-0005-0000-0000-0000A80B0000}"/>
    <cellStyle name="40% - Accent1 11 2 5" xfId="3906" xr:uid="{00000000-0005-0000-0000-0000A90B0000}"/>
    <cellStyle name="40% - Accent1 11 3" xfId="1001" xr:uid="{00000000-0005-0000-0000-0000AA0B0000}"/>
    <cellStyle name="40% - Accent1 11 3 2" xfId="2585" xr:uid="{00000000-0005-0000-0000-0000AB0B0000}"/>
    <cellStyle name="40% - Accent1 11 3 2 2" xfId="5754" xr:uid="{00000000-0005-0000-0000-0000AC0B0000}"/>
    <cellStyle name="40% - Accent1 11 3 3" xfId="4170" xr:uid="{00000000-0005-0000-0000-0000AD0B0000}"/>
    <cellStyle name="40% - Accent1 11 4" xfId="1529" xr:uid="{00000000-0005-0000-0000-0000AE0B0000}"/>
    <cellStyle name="40% - Accent1 11 4 2" xfId="3113" xr:uid="{00000000-0005-0000-0000-0000AF0B0000}"/>
    <cellStyle name="40% - Accent1 11 4 2 2" xfId="6282" xr:uid="{00000000-0005-0000-0000-0000B00B0000}"/>
    <cellStyle name="40% - Accent1 11 4 3" xfId="4698" xr:uid="{00000000-0005-0000-0000-0000B10B0000}"/>
    <cellStyle name="40% - Accent1 11 5" xfId="2057" xr:uid="{00000000-0005-0000-0000-0000B20B0000}"/>
    <cellStyle name="40% - Accent1 11 5 2" xfId="5226" xr:uid="{00000000-0005-0000-0000-0000B30B0000}"/>
    <cellStyle name="40% - Accent1 11 6" xfId="3642" xr:uid="{00000000-0005-0000-0000-0000B40B0000}"/>
    <cellStyle name="40% - Accent1 12" xfId="259" xr:uid="{00000000-0005-0000-0000-0000B50B0000}"/>
    <cellStyle name="40% - Accent1 12 2" xfId="738" xr:uid="{00000000-0005-0000-0000-0000B60B0000}"/>
    <cellStyle name="40% - Accent1 12 2 2" xfId="1266" xr:uid="{00000000-0005-0000-0000-0000B70B0000}"/>
    <cellStyle name="40% - Accent1 12 2 2 2" xfId="2850" xr:uid="{00000000-0005-0000-0000-0000B80B0000}"/>
    <cellStyle name="40% - Accent1 12 2 2 2 2" xfId="6019" xr:uid="{00000000-0005-0000-0000-0000B90B0000}"/>
    <cellStyle name="40% - Accent1 12 2 2 3" xfId="4435" xr:uid="{00000000-0005-0000-0000-0000BA0B0000}"/>
    <cellStyle name="40% - Accent1 12 2 3" xfId="1794" xr:uid="{00000000-0005-0000-0000-0000BB0B0000}"/>
    <cellStyle name="40% - Accent1 12 2 3 2" xfId="3378" xr:uid="{00000000-0005-0000-0000-0000BC0B0000}"/>
    <cellStyle name="40% - Accent1 12 2 3 2 2" xfId="6547" xr:uid="{00000000-0005-0000-0000-0000BD0B0000}"/>
    <cellStyle name="40% - Accent1 12 2 3 3" xfId="4963" xr:uid="{00000000-0005-0000-0000-0000BE0B0000}"/>
    <cellStyle name="40% - Accent1 12 2 4" xfId="2322" xr:uid="{00000000-0005-0000-0000-0000BF0B0000}"/>
    <cellStyle name="40% - Accent1 12 2 4 2" xfId="5491" xr:uid="{00000000-0005-0000-0000-0000C00B0000}"/>
    <cellStyle name="40% - Accent1 12 2 5" xfId="3907" xr:uid="{00000000-0005-0000-0000-0000C10B0000}"/>
    <cellStyle name="40% - Accent1 12 3" xfId="1002" xr:uid="{00000000-0005-0000-0000-0000C20B0000}"/>
    <cellStyle name="40% - Accent1 12 3 2" xfId="2586" xr:uid="{00000000-0005-0000-0000-0000C30B0000}"/>
    <cellStyle name="40% - Accent1 12 3 2 2" xfId="5755" xr:uid="{00000000-0005-0000-0000-0000C40B0000}"/>
    <cellStyle name="40% - Accent1 12 3 3" xfId="4171" xr:uid="{00000000-0005-0000-0000-0000C50B0000}"/>
    <cellStyle name="40% - Accent1 12 4" xfId="1530" xr:uid="{00000000-0005-0000-0000-0000C60B0000}"/>
    <cellStyle name="40% - Accent1 12 4 2" xfId="3114" xr:uid="{00000000-0005-0000-0000-0000C70B0000}"/>
    <cellStyle name="40% - Accent1 12 4 2 2" xfId="6283" xr:uid="{00000000-0005-0000-0000-0000C80B0000}"/>
    <cellStyle name="40% - Accent1 12 4 3" xfId="4699" xr:uid="{00000000-0005-0000-0000-0000C90B0000}"/>
    <cellStyle name="40% - Accent1 12 5" xfId="2058" xr:uid="{00000000-0005-0000-0000-0000CA0B0000}"/>
    <cellStyle name="40% - Accent1 12 5 2" xfId="5227" xr:uid="{00000000-0005-0000-0000-0000CB0B0000}"/>
    <cellStyle name="40% - Accent1 12 6" xfId="3643" xr:uid="{00000000-0005-0000-0000-0000CC0B0000}"/>
    <cellStyle name="40% - Accent1 13" xfId="260" xr:uid="{00000000-0005-0000-0000-0000CD0B0000}"/>
    <cellStyle name="40% - Accent1 13 2" xfId="739" xr:uid="{00000000-0005-0000-0000-0000CE0B0000}"/>
    <cellStyle name="40% - Accent1 13 2 2" xfId="1267" xr:uid="{00000000-0005-0000-0000-0000CF0B0000}"/>
    <cellStyle name="40% - Accent1 13 2 2 2" xfId="2851" xr:uid="{00000000-0005-0000-0000-0000D00B0000}"/>
    <cellStyle name="40% - Accent1 13 2 2 2 2" xfId="6020" xr:uid="{00000000-0005-0000-0000-0000D10B0000}"/>
    <cellStyle name="40% - Accent1 13 2 2 3" xfId="4436" xr:uid="{00000000-0005-0000-0000-0000D20B0000}"/>
    <cellStyle name="40% - Accent1 13 2 3" xfId="1795" xr:uid="{00000000-0005-0000-0000-0000D30B0000}"/>
    <cellStyle name="40% - Accent1 13 2 3 2" xfId="3379" xr:uid="{00000000-0005-0000-0000-0000D40B0000}"/>
    <cellStyle name="40% - Accent1 13 2 3 2 2" xfId="6548" xr:uid="{00000000-0005-0000-0000-0000D50B0000}"/>
    <cellStyle name="40% - Accent1 13 2 3 3" xfId="4964" xr:uid="{00000000-0005-0000-0000-0000D60B0000}"/>
    <cellStyle name="40% - Accent1 13 2 4" xfId="2323" xr:uid="{00000000-0005-0000-0000-0000D70B0000}"/>
    <cellStyle name="40% - Accent1 13 2 4 2" xfId="5492" xr:uid="{00000000-0005-0000-0000-0000D80B0000}"/>
    <cellStyle name="40% - Accent1 13 2 5" xfId="3908" xr:uid="{00000000-0005-0000-0000-0000D90B0000}"/>
    <cellStyle name="40% - Accent1 13 3" xfId="1003" xr:uid="{00000000-0005-0000-0000-0000DA0B0000}"/>
    <cellStyle name="40% - Accent1 13 3 2" xfId="2587" xr:uid="{00000000-0005-0000-0000-0000DB0B0000}"/>
    <cellStyle name="40% - Accent1 13 3 2 2" xfId="5756" xr:uid="{00000000-0005-0000-0000-0000DC0B0000}"/>
    <cellStyle name="40% - Accent1 13 3 3" xfId="4172" xr:uid="{00000000-0005-0000-0000-0000DD0B0000}"/>
    <cellStyle name="40% - Accent1 13 4" xfId="1531" xr:uid="{00000000-0005-0000-0000-0000DE0B0000}"/>
    <cellStyle name="40% - Accent1 13 4 2" xfId="3115" xr:uid="{00000000-0005-0000-0000-0000DF0B0000}"/>
    <cellStyle name="40% - Accent1 13 4 2 2" xfId="6284" xr:uid="{00000000-0005-0000-0000-0000E00B0000}"/>
    <cellStyle name="40% - Accent1 13 4 3" xfId="4700" xr:uid="{00000000-0005-0000-0000-0000E10B0000}"/>
    <cellStyle name="40% - Accent1 13 5" xfId="2059" xr:uid="{00000000-0005-0000-0000-0000E20B0000}"/>
    <cellStyle name="40% - Accent1 13 5 2" xfId="5228" xr:uid="{00000000-0005-0000-0000-0000E30B0000}"/>
    <cellStyle name="40% - Accent1 13 6" xfId="3644" xr:uid="{00000000-0005-0000-0000-0000E40B0000}"/>
    <cellStyle name="40% - Accent1 14" xfId="261" xr:uid="{00000000-0005-0000-0000-0000E50B0000}"/>
    <cellStyle name="40% - Accent1 14 2" xfId="740" xr:uid="{00000000-0005-0000-0000-0000E60B0000}"/>
    <cellStyle name="40% - Accent1 14 2 2" xfId="1268" xr:uid="{00000000-0005-0000-0000-0000E70B0000}"/>
    <cellStyle name="40% - Accent1 14 2 2 2" xfId="2852" xr:uid="{00000000-0005-0000-0000-0000E80B0000}"/>
    <cellStyle name="40% - Accent1 14 2 2 2 2" xfId="6021" xr:uid="{00000000-0005-0000-0000-0000E90B0000}"/>
    <cellStyle name="40% - Accent1 14 2 2 3" xfId="4437" xr:uid="{00000000-0005-0000-0000-0000EA0B0000}"/>
    <cellStyle name="40% - Accent1 14 2 3" xfId="1796" xr:uid="{00000000-0005-0000-0000-0000EB0B0000}"/>
    <cellStyle name="40% - Accent1 14 2 3 2" xfId="3380" xr:uid="{00000000-0005-0000-0000-0000EC0B0000}"/>
    <cellStyle name="40% - Accent1 14 2 3 2 2" xfId="6549" xr:uid="{00000000-0005-0000-0000-0000ED0B0000}"/>
    <cellStyle name="40% - Accent1 14 2 3 3" xfId="4965" xr:uid="{00000000-0005-0000-0000-0000EE0B0000}"/>
    <cellStyle name="40% - Accent1 14 2 4" xfId="2324" xr:uid="{00000000-0005-0000-0000-0000EF0B0000}"/>
    <cellStyle name="40% - Accent1 14 2 4 2" xfId="5493" xr:uid="{00000000-0005-0000-0000-0000F00B0000}"/>
    <cellStyle name="40% - Accent1 14 2 5" xfId="3909" xr:uid="{00000000-0005-0000-0000-0000F10B0000}"/>
    <cellStyle name="40% - Accent1 14 3" xfId="1004" xr:uid="{00000000-0005-0000-0000-0000F20B0000}"/>
    <cellStyle name="40% - Accent1 14 3 2" xfId="2588" xr:uid="{00000000-0005-0000-0000-0000F30B0000}"/>
    <cellStyle name="40% - Accent1 14 3 2 2" xfId="5757" xr:uid="{00000000-0005-0000-0000-0000F40B0000}"/>
    <cellStyle name="40% - Accent1 14 3 3" xfId="4173" xr:uid="{00000000-0005-0000-0000-0000F50B0000}"/>
    <cellStyle name="40% - Accent1 14 4" xfId="1532" xr:uid="{00000000-0005-0000-0000-0000F60B0000}"/>
    <cellStyle name="40% - Accent1 14 4 2" xfId="3116" xr:uid="{00000000-0005-0000-0000-0000F70B0000}"/>
    <cellStyle name="40% - Accent1 14 4 2 2" xfId="6285" xr:uid="{00000000-0005-0000-0000-0000F80B0000}"/>
    <cellStyle name="40% - Accent1 14 4 3" xfId="4701" xr:uid="{00000000-0005-0000-0000-0000F90B0000}"/>
    <cellStyle name="40% - Accent1 14 5" xfId="2060" xr:uid="{00000000-0005-0000-0000-0000FA0B0000}"/>
    <cellStyle name="40% - Accent1 14 5 2" xfId="5229" xr:uid="{00000000-0005-0000-0000-0000FB0B0000}"/>
    <cellStyle name="40% - Accent1 14 6" xfId="3645" xr:uid="{00000000-0005-0000-0000-0000FC0B0000}"/>
    <cellStyle name="40% - Accent1 15" xfId="262" xr:uid="{00000000-0005-0000-0000-0000FD0B0000}"/>
    <cellStyle name="40% - Accent1 15 2" xfId="741" xr:uid="{00000000-0005-0000-0000-0000FE0B0000}"/>
    <cellStyle name="40% - Accent1 15 2 2" xfId="1269" xr:uid="{00000000-0005-0000-0000-0000FF0B0000}"/>
    <cellStyle name="40% - Accent1 15 2 2 2" xfId="2853" xr:uid="{00000000-0005-0000-0000-0000000C0000}"/>
    <cellStyle name="40% - Accent1 15 2 2 2 2" xfId="6022" xr:uid="{00000000-0005-0000-0000-0000010C0000}"/>
    <cellStyle name="40% - Accent1 15 2 2 3" xfId="4438" xr:uid="{00000000-0005-0000-0000-0000020C0000}"/>
    <cellStyle name="40% - Accent1 15 2 3" xfId="1797" xr:uid="{00000000-0005-0000-0000-0000030C0000}"/>
    <cellStyle name="40% - Accent1 15 2 3 2" xfId="3381" xr:uid="{00000000-0005-0000-0000-0000040C0000}"/>
    <cellStyle name="40% - Accent1 15 2 3 2 2" xfId="6550" xr:uid="{00000000-0005-0000-0000-0000050C0000}"/>
    <cellStyle name="40% - Accent1 15 2 3 3" xfId="4966" xr:uid="{00000000-0005-0000-0000-0000060C0000}"/>
    <cellStyle name="40% - Accent1 15 2 4" xfId="2325" xr:uid="{00000000-0005-0000-0000-0000070C0000}"/>
    <cellStyle name="40% - Accent1 15 2 4 2" xfId="5494" xr:uid="{00000000-0005-0000-0000-0000080C0000}"/>
    <cellStyle name="40% - Accent1 15 2 5" xfId="3910" xr:uid="{00000000-0005-0000-0000-0000090C0000}"/>
    <cellStyle name="40% - Accent1 15 3" xfId="1005" xr:uid="{00000000-0005-0000-0000-00000A0C0000}"/>
    <cellStyle name="40% - Accent1 15 3 2" xfId="2589" xr:uid="{00000000-0005-0000-0000-00000B0C0000}"/>
    <cellStyle name="40% - Accent1 15 3 2 2" xfId="5758" xr:uid="{00000000-0005-0000-0000-00000C0C0000}"/>
    <cellStyle name="40% - Accent1 15 3 3" xfId="4174" xr:uid="{00000000-0005-0000-0000-00000D0C0000}"/>
    <cellStyle name="40% - Accent1 15 4" xfId="1533" xr:uid="{00000000-0005-0000-0000-00000E0C0000}"/>
    <cellStyle name="40% - Accent1 15 4 2" xfId="3117" xr:uid="{00000000-0005-0000-0000-00000F0C0000}"/>
    <cellStyle name="40% - Accent1 15 4 2 2" xfId="6286" xr:uid="{00000000-0005-0000-0000-0000100C0000}"/>
    <cellStyle name="40% - Accent1 15 4 3" xfId="4702" xr:uid="{00000000-0005-0000-0000-0000110C0000}"/>
    <cellStyle name="40% - Accent1 15 5" xfId="2061" xr:uid="{00000000-0005-0000-0000-0000120C0000}"/>
    <cellStyle name="40% - Accent1 15 5 2" xfId="5230" xr:uid="{00000000-0005-0000-0000-0000130C0000}"/>
    <cellStyle name="40% - Accent1 15 6" xfId="3646" xr:uid="{00000000-0005-0000-0000-0000140C0000}"/>
    <cellStyle name="40% - Accent1 16" xfId="263" xr:uid="{00000000-0005-0000-0000-0000150C0000}"/>
    <cellStyle name="40% - Accent1 16 2" xfId="742" xr:uid="{00000000-0005-0000-0000-0000160C0000}"/>
    <cellStyle name="40% - Accent1 16 2 2" xfId="1270" xr:uid="{00000000-0005-0000-0000-0000170C0000}"/>
    <cellStyle name="40% - Accent1 16 2 2 2" xfId="2854" xr:uid="{00000000-0005-0000-0000-0000180C0000}"/>
    <cellStyle name="40% - Accent1 16 2 2 2 2" xfId="6023" xr:uid="{00000000-0005-0000-0000-0000190C0000}"/>
    <cellStyle name="40% - Accent1 16 2 2 3" xfId="4439" xr:uid="{00000000-0005-0000-0000-00001A0C0000}"/>
    <cellStyle name="40% - Accent1 16 2 3" xfId="1798" xr:uid="{00000000-0005-0000-0000-00001B0C0000}"/>
    <cellStyle name="40% - Accent1 16 2 3 2" xfId="3382" xr:uid="{00000000-0005-0000-0000-00001C0C0000}"/>
    <cellStyle name="40% - Accent1 16 2 3 2 2" xfId="6551" xr:uid="{00000000-0005-0000-0000-00001D0C0000}"/>
    <cellStyle name="40% - Accent1 16 2 3 3" xfId="4967" xr:uid="{00000000-0005-0000-0000-00001E0C0000}"/>
    <cellStyle name="40% - Accent1 16 2 4" xfId="2326" xr:uid="{00000000-0005-0000-0000-00001F0C0000}"/>
    <cellStyle name="40% - Accent1 16 2 4 2" xfId="5495" xr:uid="{00000000-0005-0000-0000-0000200C0000}"/>
    <cellStyle name="40% - Accent1 16 2 5" xfId="3911" xr:uid="{00000000-0005-0000-0000-0000210C0000}"/>
    <cellStyle name="40% - Accent1 16 3" xfId="1006" xr:uid="{00000000-0005-0000-0000-0000220C0000}"/>
    <cellStyle name="40% - Accent1 16 3 2" xfId="2590" xr:uid="{00000000-0005-0000-0000-0000230C0000}"/>
    <cellStyle name="40% - Accent1 16 3 2 2" xfId="5759" xr:uid="{00000000-0005-0000-0000-0000240C0000}"/>
    <cellStyle name="40% - Accent1 16 3 3" xfId="4175" xr:uid="{00000000-0005-0000-0000-0000250C0000}"/>
    <cellStyle name="40% - Accent1 16 4" xfId="1534" xr:uid="{00000000-0005-0000-0000-0000260C0000}"/>
    <cellStyle name="40% - Accent1 16 4 2" xfId="3118" xr:uid="{00000000-0005-0000-0000-0000270C0000}"/>
    <cellStyle name="40% - Accent1 16 4 2 2" xfId="6287" xr:uid="{00000000-0005-0000-0000-0000280C0000}"/>
    <cellStyle name="40% - Accent1 16 4 3" xfId="4703" xr:uid="{00000000-0005-0000-0000-0000290C0000}"/>
    <cellStyle name="40% - Accent1 16 5" xfId="2062" xr:uid="{00000000-0005-0000-0000-00002A0C0000}"/>
    <cellStyle name="40% - Accent1 16 5 2" xfId="5231" xr:uid="{00000000-0005-0000-0000-00002B0C0000}"/>
    <cellStyle name="40% - Accent1 16 6" xfId="3647" xr:uid="{00000000-0005-0000-0000-00002C0C0000}"/>
    <cellStyle name="40% - Accent1 2" xfId="7" xr:uid="{00000000-0005-0000-0000-00002D0C0000}"/>
    <cellStyle name="40% - Accent1 2 2" xfId="264" xr:uid="{00000000-0005-0000-0000-00002E0C0000}"/>
    <cellStyle name="40% - Accent1 3" xfId="265" xr:uid="{00000000-0005-0000-0000-00002F0C0000}"/>
    <cellStyle name="40% - Accent1 4" xfId="266" xr:uid="{00000000-0005-0000-0000-0000300C0000}"/>
    <cellStyle name="40% - Accent1 4 2" xfId="267" xr:uid="{00000000-0005-0000-0000-0000310C0000}"/>
    <cellStyle name="40% - Accent1 4 2 2" xfId="744" xr:uid="{00000000-0005-0000-0000-0000320C0000}"/>
    <cellStyle name="40% - Accent1 4 2 2 2" xfId="1272" xr:uid="{00000000-0005-0000-0000-0000330C0000}"/>
    <cellStyle name="40% - Accent1 4 2 2 2 2" xfId="2856" xr:uid="{00000000-0005-0000-0000-0000340C0000}"/>
    <cellStyle name="40% - Accent1 4 2 2 2 2 2" xfId="6025" xr:uid="{00000000-0005-0000-0000-0000350C0000}"/>
    <cellStyle name="40% - Accent1 4 2 2 2 3" xfId="4441" xr:uid="{00000000-0005-0000-0000-0000360C0000}"/>
    <cellStyle name="40% - Accent1 4 2 2 3" xfId="1800" xr:uid="{00000000-0005-0000-0000-0000370C0000}"/>
    <cellStyle name="40% - Accent1 4 2 2 3 2" xfId="3384" xr:uid="{00000000-0005-0000-0000-0000380C0000}"/>
    <cellStyle name="40% - Accent1 4 2 2 3 2 2" xfId="6553" xr:uid="{00000000-0005-0000-0000-0000390C0000}"/>
    <cellStyle name="40% - Accent1 4 2 2 3 3" xfId="4969" xr:uid="{00000000-0005-0000-0000-00003A0C0000}"/>
    <cellStyle name="40% - Accent1 4 2 2 4" xfId="2328" xr:uid="{00000000-0005-0000-0000-00003B0C0000}"/>
    <cellStyle name="40% - Accent1 4 2 2 4 2" xfId="5497" xr:uid="{00000000-0005-0000-0000-00003C0C0000}"/>
    <cellStyle name="40% - Accent1 4 2 2 5" xfId="3913" xr:uid="{00000000-0005-0000-0000-00003D0C0000}"/>
    <cellStyle name="40% - Accent1 4 2 3" xfId="1008" xr:uid="{00000000-0005-0000-0000-00003E0C0000}"/>
    <cellStyle name="40% - Accent1 4 2 3 2" xfId="2592" xr:uid="{00000000-0005-0000-0000-00003F0C0000}"/>
    <cellStyle name="40% - Accent1 4 2 3 2 2" xfId="5761" xr:uid="{00000000-0005-0000-0000-0000400C0000}"/>
    <cellStyle name="40% - Accent1 4 2 3 3" xfId="4177" xr:uid="{00000000-0005-0000-0000-0000410C0000}"/>
    <cellStyle name="40% - Accent1 4 2 4" xfId="1536" xr:uid="{00000000-0005-0000-0000-0000420C0000}"/>
    <cellStyle name="40% - Accent1 4 2 4 2" xfId="3120" xr:uid="{00000000-0005-0000-0000-0000430C0000}"/>
    <cellStyle name="40% - Accent1 4 2 4 2 2" xfId="6289" xr:uid="{00000000-0005-0000-0000-0000440C0000}"/>
    <cellStyle name="40% - Accent1 4 2 4 3" xfId="4705" xr:uid="{00000000-0005-0000-0000-0000450C0000}"/>
    <cellStyle name="40% - Accent1 4 2 5" xfId="2064" xr:uid="{00000000-0005-0000-0000-0000460C0000}"/>
    <cellStyle name="40% - Accent1 4 2 5 2" xfId="5233" xr:uid="{00000000-0005-0000-0000-0000470C0000}"/>
    <cellStyle name="40% - Accent1 4 2 6" xfId="3649" xr:uid="{00000000-0005-0000-0000-0000480C0000}"/>
    <cellStyle name="40% - Accent1 4 3" xfId="743" xr:uid="{00000000-0005-0000-0000-0000490C0000}"/>
    <cellStyle name="40% - Accent1 4 3 2" xfId="1271" xr:uid="{00000000-0005-0000-0000-00004A0C0000}"/>
    <cellStyle name="40% - Accent1 4 3 2 2" xfId="2855" xr:uid="{00000000-0005-0000-0000-00004B0C0000}"/>
    <cellStyle name="40% - Accent1 4 3 2 2 2" xfId="6024" xr:uid="{00000000-0005-0000-0000-00004C0C0000}"/>
    <cellStyle name="40% - Accent1 4 3 2 3" xfId="4440" xr:uid="{00000000-0005-0000-0000-00004D0C0000}"/>
    <cellStyle name="40% - Accent1 4 3 3" xfId="1799" xr:uid="{00000000-0005-0000-0000-00004E0C0000}"/>
    <cellStyle name="40% - Accent1 4 3 3 2" xfId="3383" xr:uid="{00000000-0005-0000-0000-00004F0C0000}"/>
    <cellStyle name="40% - Accent1 4 3 3 2 2" xfId="6552" xr:uid="{00000000-0005-0000-0000-0000500C0000}"/>
    <cellStyle name="40% - Accent1 4 3 3 3" xfId="4968" xr:uid="{00000000-0005-0000-0000-0000510C0000}"/>
    <cellStyle name="40% - Accent1 4 3 4" xfId="2327" xr:uid="{00000000-0005-0000-0000-0000520C0000}"/>
    <cellStyle name="40% - Accent1 4 3 4 2" xfId="5496" xr:uid="{00000000-0005-0000-0000-0000530C0000}"/>
    <cellStyle name="40% - Accent1 4 3 5" xfId="3912" xr:uid="{00000000-0005-0000-0000-0000540C0000}"/>
    <cellStyle name="40% - Accent1 4 4" xfId="1007" xr:uid="{00000000-0005-0000-0000-0000550C0000}"/>
    <cellStyle name="40% - Accent1 4 4 2" xfId="2591" xr:uid="{00000000-0005-0000-0000-0000560C0000}"/>
    <cellStyle name="40% - Accent1 4 4 2 2" xfId="5760" xr:uid="{00000000-0005-0000-0000-0000570C0000}"/>
    <cellStyle name="40% - Accent1 4 4 3" xfId="4176" xr:uid="{00000000-0005-0000-0000-0000580C0000}"/>
    <cellStyle name="40% - Accent1 4 5" xfId="1535" xr:uid="{00000000-0005-0000-0000-0000590C0000}"/>
    <cellStyle name="40% - Accent1 4 5 2" xfId="3119" xr:uid="{00000000-0005-0000-0000-00005A0C0000}"/>
    <cellStyle name="40% - Accent1 4 5 2 2" xfId="6288" xr:uid="{00000000-0005-0000-0000-00005B0C0000}"/>
    <cellStyle name="40% - Accent1 4 5 3" xfId="4704" xr:uid="{00000000-0005-0000-0000-00005C0C0000}"/>
    <cellStyle name="40% - Accent1 4 6" xfId="2063" xr:uid="{00000000-0005-0000-0000-00005D0C0000}"/>
    <cellStyle name="40% - Accent1 4 6 2" xfId="5232" xr:uid="{00000000-0005-0000-0000-00005E0C0000}"/>
    <cellStyle name="40% - Accent1 4 7" xfId="3648" xr:uid="{00000000-0005-0000-0000-00005F0C0000}"/>
    <cellStyle name="40% - Accent1 5" xfId="268" xr:uid="{00000000-0005-0000-0000-0000600C0000}"/>
    <cellStyle name="40% - Accent1 5 2" xfId="269" xr:uid="{00000000-0005-0000-0000-0000610C0000}"/>
    <cellStyle name="40% - Accent1 5 2 2" xfId="746" xr:uid="{00000000-0005-0000-0000-0000620C0000}"/>
    <cellStyle name="40% - Accent1 5 2 2 2" xfId="1274" xr:uid="{00000000-0005-0000-0000-0000630C0000}"/>
    <cellStyle name="40% - Accent1 5 2 2 2 2" xfId="2858" xr:uid="{00000000-0005-0000-0000-0000640C0000}"/>
    <cellStyle name="40% - Accent1 5 2 2 2 2 2" xfId="6027" xr:uid="{00000000-0005-0000-0000-0000650C0000}"/>
    <cellStyle name="40% - Accent1 5 2 2 2 3" xfId="4443" xr:uid="{00000000-0005-0000-0000-0000660C0000}"/>
    <cellStyle name="40% - Accent1 5 2 2 3" xfId="1802" xr:uid="{00000000-0005-0000-0000-0000670C0000}"/>
    <cellStyle name="40% - Accent1 5 2 2 3 2" xfId="3386" xr:uid="{00000000-0005-0000-0000-0000680C0000}"/>
    <cellStyle name="40% - Accent1 5 2 2 3 2 2" xfId="6555" xr:uid="{00000000-0005-0000-0000-0000690C0000}"/>
    <cellStyle name="40% - Accent1 5 2 2 3 3" xfId="4971" xr:uid="{00000000-0005-0000-0000-00006A0C0000}"/>
    <cellStyle name="40% - Accent1 5 2 2 4" xfId="2330" xr:uid="{00000000-0005-0000-0000-00006B0C0000}"/>
    <cellStyle name="40% - Accent1 5 2 2 4 2" xfId="5499" xr:uid="{00000000-0005-0000-0000-00006C0C0000}"/>
    <cellStyle name="40% - Accent1 5 2 2 5" xfId="3915" xr:uid="{00000000-0005-0000-0000-00006D0C0000}"/>
    <cellStyle name="40% - Accent1 5 2 3" xfId="1010" xr:uid="{00000000-0005-0000-0000-00006E0C0000}"/>
    <cellStyle name="40% - Accent1 5 2 3 2" xfId="2594" xr:uid="{00000000-0005-0000-0000-00006F0C0000}"/>
    <cellStyle name="40% - Accent1 5 2 3 2 2" xfId="5763" xr:uid="{00000000-0005-0000-0000-0000700C0000}"/>
    <cellStyle name="40% - Accent1 5 2 3 3" xfId="4179" xr:uid="{00000000-0005-0000-0000-0000710C0000}"/>
    <cellStyle name="40% - Accent1 5 2 4" xfId="1538" xr:uid="{00000000-0005-0000-0000-0000720C0000}"/>
    <cellStyle name="40% - Accent1 5 2 4 2" xfId="3122" xr:uid="{00000000-0005-0000-0000-0000730C0000}"/>
    <cellStyle name="40% - Accent1 5 2 4 2 2" xfId="6291" xr:uid="{00000000-0005-0000-0000-0000740C0000}"/>
    <cellStyle name="40% - Accent1 5 2 4 3" xfId="4707" xr:uid="{00000000-0005-0000-0000-0000750C0000}"/>
    <cellStyle name="40% - Accent1 5 2 5" xfId="2066" xr:uid="{00000000-0005-0000-0000-0000760C0000}"/>
    <cellStyle name="40% - Accent1 5 2 5 2" xfId="5235" xr:uid="{00000000-0005-0000-0000-0000770C0000}"/>
    <cellStyle name="40% - Accent1 5 2 6" xfId="3651" xr:uid="{00000000-0005-0000-0000-0000780C0000}"/>
    <cellStyle name="40% - Accent1 5 3" xfId="745" xr:uid="{00000000-0005-0000-0000-0000790C0000}"/>
    <cellStyle name="40% - Accent1 5 3 2" xfId="1273" xr:uid="{00000000-0005-0000-0000-00007A0C0000}"/>
    <cellStyle name="40% - Accent1 5 3 2 2" xfId="2857" xr:uid="{00000000-0005-0000-0000-00007B0C0000}"/>
    <cellStyle name="40% - Accent1 5 3 2 2 2" xfId="6026" xr:uid="{00000000-0005-0000-0000-00007C0C0000}"/>
    <cellStyle name="40% - Accent1 5 3 2 3" xfId="4442" xr:uid="{00000000-0005-0000-0000-00007D0C0000}"/>
    <cellStyle name="40% - Accent1 5 3 3" xfId="1801" xr:uid="{00000000-0005-0000-0000-00007E0C0000}"/>
    <cellStyle name="40% - Accent1 5 3 3 2" xfId="3385" xr:uid="{00000000-0005-0000-0000-00007F0C0000}"/>
    <cellStyle name="40% - Accent1 5 3 3 2 2" xfId="6554" xr:uid="{00000000-0005-0000-0000-0000800C0000}"/>
    <cellStyle name="40% - Accent1 5 3 3 3" xfId="4970" xr:uid="{00000000-0005-0000-0000-0000810C0000}"/>
    <cellStyle name="40% - Accent1 5 3 4" xfId="2329" xr:uid="{00000000-0005-0000-0000-0000820C0000}"/>
    <cellStyle name="40% - Accent1 5 3 4 2" xfId="5498" xr:uid="{00000000-0005-0000-0000-0000830C0000}"/>
    <cellStyle name="40% - Accent1 5 3 5" xfId="3914" xr:uid="{00000000-0005-0000-0000-0000840C0000}"/>
    <cellStyle name="40% - Accent1 5 4" xfId="1009" xr:uid="{00000000-0005-0000-0000-0000850C0000}"/>
    <cellStyle name="40% - Accent1 5 4 2" xfId="2593" xr:uid="{00000000-0005-0000-0000-0000860C0000}"/>
    <cellStyle name="40% - Accent1 5 4 2 2" xfId="5762" xr:uid="{00000000-0005-0000-0000-0000870C0000}"/>
    <cellStyle name="40% - Accent1 5 4 3" xfId="4178" xr:uid="{00000000-0005-0000-0000-0000880C0000}"/>
    <cellStyle name="40% - Accent1 5 5" xfId="1537" xr:uid="{00000000-0005-0000-0000-0000890C0000}"/>
    <cellStyle name="40% - Accent1 5 5 2" xfId="3121" xr:uid="{00000000-0005-0000-0000-00008A0C0000}"/>
    <cellStyle name="40% - Accent1 5 5 2 2" xfId="6290" xr:uid="{00000000-0005-0000-0000-00008B0C0000}"/>
    <cellStyle name="40% - Accent1 5 5 3" xfId="4706" xr:uid="{00000000-0005-0000-0000-00008C0C0000}"/>
    <cellStyle name="40% - Accent1 5 6" xfId="2065" xr:uid="{00000000-0005-0000-0000-00008D0C0000}"/>
    <cellStyle name="40% - Accent1 5 6 2" xfId="5234" xr:uid="{00000000-0005-0000-0000-00008E0C0000}"/>
    <cellStyle name="40% - Accent1 5 7" xfId="3650" xr:uid="{00000000-0005-0000-0000-00008F0C0000}"/>
    <cellStyle name="40% - Accent1 6" xfId="270" xr:uid="{00000000-0005-0000-0000-0000900C0000}"/>
    <cellStyle name="40% - Accent1 6 2" xfId="271" xr:uid="{00000000-0005-0000-0000-0000910C0000}"/>
    <cellStyle name="40% - Accent1 6 2 2" xfId="748" xr:uid="{00000000-0005-0000-0000-0000920C0000}"/>
    <cellStyle name="40% - Accent1 6 2 2 2" xfId="1276" xr:uid="{00000000-0005-0000-0000-0000930C0000}"/>
    <cellStyle name="40% - Accent1 6 2 2 2 2" xfId="2860" xr:uid="{00000000-0005-0000-0000-0000940C0000}"/>
    <cellStyle name="40% - Accent1 6 2 2 2 2 2" xfId="6029" xr:uid="{00000000-0005-0000-0000-0000950C0000}"/>
    <cellStyle name="40% - Accent1 6 2 2 2 3" xfId="4445" xr:uid="{00000000-0005-0000-0000-0000960C0000}"/>
    <cellStyle name="40% - Accent1 6 2 2 3" xfId="1804" xr:uid="{00000000-0005-0000-0000-0000970C0000}"/>
    <cellStyle name="40% - Accent1 6 2 2 3 2" xfId="3388" xr:uid="{00000000-0005-0000-0000-0000980C0000}"/>
    <cellStyle name="40% - Accent1 6 2 2 3 2 2" xfId="6557" xr:uid="{00000000-0005-0000-0000-0000990C0000}"/>
    <cellStyle name="40% - Accent1 6 2 2 3 3" xfId="4973" xr:uid="{00000000-0005-0000-0000-00009A0C0000}"/>
    <cellStyle name="40% - Accent1 6 2 2 4" xfId="2332" xr:uid="{00000000-0005-0000-0000-00009B0C0000}"/>
    <cellStyle name="40% - Accent1 6 2 2 4 2" xfId="5501" xr:uid="{00000000-0005-0000-0000-00009C0C0000}"/>
    <cellStyle name="40% - Accent1 6 2 2 5" xfId="3917" xr:uid="{00000000-0005-0000-0000-00009D0C0000}"/>
    <cellStyle name="40% - Accent1 6 2 3" xfId="1012" xr:uid="{00000000-0005-0000-0000-00009E0C0000}"/>
    <cellStyle name="40% - Accent1 6 2 3 2" xfId="2596" xr:uid="{00000000-0005-0000-0000-00009F0C0000}"/>
    <cellStyle name="40% - Accent1 6 2 3 2 2" xfId="5765" xr:uid="{00000000-0005-0000-0000-0000A00C0000}"/>
    <cellStyle name="40% - Accent1 6 2 3 3" xfId="4181" xr:uid="{00000000-0005-0000-0000-0000A10C0000}"/>
    <cellStyle name="40% - Accent1 6 2 4" xfId="1540" xr:uid="{00000000-0005-0000-0000-0000A20C0000}"/>
    <cellStyle name="40% - Accent1 6 2 4 2" xfId="3124" xr:uid="{00000000-0005-0000-0000-0000A30C0000}"/>
    <cellStyle name="40% - Accent1 6 2 4 2 2" xfId="6293" xr:uid="{00000000-0005-0000-0000-0000A40C0000}"/>
    <cellStyle name="40% - Accent1 6 2 4 3" xfId="4709" xr:uid="{00000000-0005-0000-0000-0000A50C0000}"/>
    <cellStyle name="40% - Accent1 6 2 5" xfId="2068" xr:uid="{00000000-0005-0000-0000-0000A60C0000}"/>
    <cellStyle name="40% - Accent1 6 2 5 2" xfId="5237" xr:uid="{00000000-0005-0000-0000-0000A70C0000}"/>
    <cellStyle name="40% - Accent1 6 2 6" xfId="3653" xr:uid="{00000000-0005-0000-0000-0000A80C0000}"/>
    <cellStyle name="40% - Accent1 6 3" xfId="747" xr:uid="{00000000-0005-0000-0000-0000A90C0000}"/>
    <cellStyle name="40% - Accent1 6 3 2" xfId="1275" xr:uid="{00000000-0005-0000-0000-0000AA0C0000}"/>
    <cellStyle name="40% - Accent1 6 3 2 2" xfId="2859" xr:uid="{00000000-0005-0000-0000-0000AB0C0000}"/>
    <cellStyle name="40% - Accent1 6 3 2 2 2" xfId="6028" xr:uid="{00000000-0005-0000-0000-0000AC0C0000}"/>
    <cellStyle name="40% - Accent1 6 3 2 3" xfId="4444" xr:uid="{00000000-0005-0000-0000-0000AD0C0000}"/>
    <cellStyle name="40% - Accent1 6 3 3" xfId="1803" xr:uid="{00000000-0005-0000-0000-0000AE0C0000}"/>
    <cellStyle name="40% - Accent1 6 3 3 2" xfId="3387" xr:uid="{00000000-0005-0000-0000-0000AF0C0000}"/>
    <cellStyle name="40% - Accent1 6 3 3 2 2" xfId="6556" xr:uid="{00000000-0005-0000-0000-0000B00C0000}"/>
    <cellStyle name="40% - Accent1 6 3 3 3" xfId="4972" xr:uid="{00000000-0005-0000-0000-0000B10C0000}"/>
    <cellStyle name="40% - Accent1 6 3 4" xfId="2331" xr:uid="{00000000-0005-0000-0000-0000B20C0000}"/>
    <cellStyle name="40% - Accent1 6 3 4 2" xfId="5500" xr:uid="{00000000-0005-0000-0000-0000B30C0000}"/>
    <cellStyle name="40% - Accent1 6 3 5" xfId="3916" xr:uid="{00000000-0005-0000-0000-0000B40C0000}"/>
    <cellStyle name="40% - Accent1 6 4" xfId="1011" xr:uid="{00000000-0005-0000-0000-0000B50C0000}"/>
    <cellStyle name="40% - Accent1 6 4 2" xfId="2595" xr:uid="{00000000-0005-0000-0000-0000B60C0000}"/>
    <cellStyle name="40% - Accent1 6 4 2 2" xfId="5764" xr:uid="{00000000-0005-0000-0000-0000B70C0000}"/>
    <cellStyle name="40% - Accent1 6 4 3" xfId="4180" xr:uid="{00000000-0005-0000-0000-0000B80C0000}"/>
    <cellStyle name="40% - Accent1 6 5" xfId="1539" xr:uid="{00000000-0005-0000-0000-0000B90C0000}"/>
    <cellStyle name="40% - Accent1 6 5 2" xfId="3123" xr:uid="{00000000-0005-0000-0000-0000BA0C0000}"/>
    <cellStyle name="40% - Accent1 6 5 2 2" xfId="6292" xr:uid="{00000000-0005-0000-0000-0000BB0C0000}"/>
    <cellStyle name="40% - Accent1 6 5 3" xfId="4708" xr:uid="{00000000-0005-0000-0000-0000BC0C0000}"/>
    <cellStyle name="40% - Accent1 6 6" xfId="2067" xr:uid="{00000000-0005-0000-0000-0000BD0C0000}"/>
    <cellStyle name="40% - Accent1 6 6 2" xfId="5236" xr:uid="{00000000-0005-0000-0000-0000BE0C0000}"/>
    <cellStyle name="40% - Accent1 6 7" xfId="3652" xr:uid="{00000000-0005-0000-0000-0000BF0C0000}"/>
    <cellStyle name="40% - Accent1 7" xfId="272" xr:uid="{00000000-0005-0000-0000-0000C00C0000}"/>
    <cellStyle name="40% - Accent1 7 2" xfId="273" xr:uid="{00000000-0005-0000-0000-0000C10C0000}"/>
    <cellStyle name="40% - Accent1 7 2 2" xfId="750" xr:uid="{00000000-0005-0000-0000-0000C20C0000}"/>
    <cellStyle name="40% - Accent1 7 2 2 2" xfId="1278" xr:uid="{00000000-0005-0000-0000-0000C30C0000}"/>
    <cellStyle name="40% - Accent1 7 2 2 2 2" xfId="2862" xr:uid="{00000000-0005-0000-0000-0000C40C0000}"/>
    <cellStyle name="40% - Accent1 7 2 2 2 2 2" xfId="6031" xr:uid="{00000000-0005-0000-0000-0000C50C0000}"/>
    <cellStyle name="40% - Accent1 7 2 2 2 3" xfId="4447" xr:uid="{00000000-0005-0000-0000-0000C60C0000}"/>
    <cellStyle name="40% - Accent1 7 2 2 3" xfId="1806" xr:uid="{00000000-0005-0000-0000-0000C70C0000}"/>
    <cellStyle name="40% - Accent1 7 2 2 3 2" xfId="3390" xr:uid="{00000000-0005-0000-0000-0000C80C0000}"/>
    <cellStyle name="40% - Accent1 7 2 2 3 2 2" xfId="6559" xr:uid="{00000000-0005-0000-0000-0000C90C0000}"/>
    <cellStyle name="40% - Accent1 7 2 2 3 3" xfId="4975" xr:uid="{00000000-0005-0000-0000-0000CA0C0000}"/>
    <cellStyle name="40% - Accent1 7 2 2 4" xfId="2334" xr:uid="{00000000-0005-0000-0000-0000CB0C0000}"/>
    <cellStyle name="40% - Accent1 7 2 2 4 2" xfId="5503" xr:uid="{00000000-0005-0000-0000-0000CC0C0000}"/>
    <cellStyle name="40% - Accent1 7 2 2 5" xfId="3919" xr:uid="{00000000-0005-0000-0000-0000CD0C0000}"/>
    <cellStyle name="40% - Accent1 7 2 3" xfId="1014" xr:uid="{00000000-0005-0000-0000-0000CE0C0000}"/>
    <cellStyle name="40% - Accent1 7 2 3 2" xfId="2598" xr:uid="{00000000-0005-0000-0000-0000CF0C0000}"/>
    <cellStyle name="40% - Accent1 7 2 3 2 2" xfId="5767" xr:uid="{00000000-0005-0000-0000-0000D00C0000}"/>
    <cellStyle name="40% - Accent1 7 2 3 3" xfId="4183" xr:uid="{00000000-0005-0000-0000-0000D10C0000}"/>
    <cellStyle name="40% - Accent1 7 2 4" xfId="1542" xr:uid="{00000000-0005-0000-0000-0000D20C0000}"/>
    <cellStyle name="40% - Accent1 7 2 4 2" xfId="3126" xr:uid="{00000000-0005-0000-0000-0000D30C0000}"/>
    <cellStyle name="40% - Accent1 7 2 4 2 2" xfId="6295" xr:uid="{00000000-0005-0000-0000-0000D40C0000}"/>
    <cellStyle name="40% - Accent1 7 2 4 3" xfId="4711" xr:uid="{00000000-0005-0000-0000-0000D50C0000}"/>
    <cellStyle name="40% - Accent1 7 2 5" xfId="2070" xr:uid="{00000000-0005-0000-0000-0000D60C0000}"/>
    <cellStyle name="40% - Accent1 7 2 5 2" xfId="5239" xr:uid="{00000000-0005-0000-0000-0000D70C0000}"/>
    <cellStyle name="40% - Accent1 7 2 6" xfId="3655" xr:uid="{00000000-0005-0000-0000-0000D80C0000}"/>
    <cellStyle name="40% - Accent1 7 3" xfId="749" xr:uid="{00000000-0005-0000-0000-0000D90C0000}"/>
    <cellStyle name="40% - Accent1 7 3 2" xfId="1277" xr:uid="{00000000-0005-0000-0000-0000DA0C0000}"/>
    <cellStyle name="40% - Accent1 7 3 2 2" xfId="2861" xr:uid="{00000000-0005-0000-0000-0000DB0C0000}"/>
    <cellStyle name="40% - Accent1 7 3 2 2 2" xfId="6030" xr:uid="{00000000-0005-0000-0000-0000DC0C0000}"/>
    <cellStyle name="40% - Accent1 7 3 2 3" xfId="4446" xr:uid="{00000000-0005-0000-0000-0000DD0C0000}"/>
    <cellStyle name="40% - Accent1 7 3 3" xfId="1805" xr:uid="{00000000-0005-0000-0000-0000DE0C0000}"/>
    <cellStyle name="40% - Accent1 7 3 3 2" xfId="3389" xr:uid="{00000000-0005-0000-0000-0000DF0C0000}"/>
    <cellStyle name="40% - Accent1 7 3 3 2 2" xfId="6558" xr:uid="{00000000-0005-0000-0000-0000E00C0000}"/>
    <cellStyle name="40% - Accent1 7 3 3 3" xfId="4974" xr:uid="{00000000-0005-0000-0000-0000E10C0000}"/>
    <cellStyle name="40% - Accent1 7 3 4" xfId="2333" xr:uid="{00000000-0005-0000-0000-0000E20C0000}"/>
    <cellStyle name="40% - Accent1 7 3 4 2" xfId="5502" xr:uid="{00000000-0005-0000-0000-0000E30C0000}"/>
    <cellStyle name="40% - Accent1 7 3 5" xfId="3918" xr:uid="{00000000-0005-0000-0000-0000E40C0000}"/>
    <cellStyle name="40% - Accent1 7 4" xfId="1013" xr:uid="{00000000-0005-0000-0000-0000E50C0000}"/>
    <cellStyle name="40% - Accent1 7 4 2" xfId="2597" xr:uid="{00000000-0005-0000-0000-0000E60C0000}"/>
    <cellStyle name="40% - Accent1 7 4 2 2" xfId="5766" xr:uid="{00000000-0005-0000-0000-0000E70C0000}"/>
    <cellStyle name="40% - Accent1 7 4 3" xfId="4182" xr:uid="{00000000-0005-0000-0000-0000E80C0000}"/>
    <cellStyle name="40% - Accent1 7 5" xfId="1541" xr:uid="{00000000-0005-0000-0000-0000E90C0000}"/>
    <cellStyle name="40% - Accent1 7 5 2" xfId="3125" xr:uid="{00000000-0005-0000-0000-0000EA0C0000}"/>
    <cellStyle name="40% - Accent1 7 5 2 2" xfId="6294" xr:uid="{00000000-0005-0000-0000-0000EB0C0000}"/>
    <cellStyle name="40% - Accent1 7 5 3" xfId="4710" xr:uid="{00000000-0005-0000-0000-0000EC0C0000}"/>
    <cellStyle name="40% - Accent1 7 6" xfId="2069" xr:uid="{00000000-0005-0000-0000-0000ED0C0000}"/>
    <cellStyle name="40% - Accent1 7 6 2" xfId="5238" xr:uid="{00000000-0005-0000-0000-0000EE0C0000}"/>
    <cellStyle name="40% - Accent1 7 7" xfId="3654" xr:uid="{00000000-0005-0000-0000-0000EF0C0000}"/>
    <cellStyle name="40% - Accent1 8" xfId="274" xr:uid="{00000000-0005-0000-0000-0000F00C0000}"/>
    <cellStyle name="40% - Accent1 8 2" xfId="275" xr:uid="{00000000-0005-0000-0000-0000F10C0000}"/>
    <cellStyle name="40% - Accent1 8 2 2" xfId="752" xr:uid="{00000000-0005-0000-0000-0000F20C0000}"/>
    <cellStyle name="40% - Accent1 8 2 2 2" xfId="1280" xr:uid="{00000000-0005-0000-0000-0000F30C0000}"/>
    <cellStyle name="40% - Accent1 8 2 2 2 2" xfId="2864" xr:uid="{00000000-0005-0000-0000-0000F40C0000}"/>
    <cellStyle name="40% - Accent1 8 2 2 2 2 2" xfId="6033" xr:uid="{00000000-0005-0000-0000-0000F50C0000}"/>
    <cellStyle name="40% - Accent1 8 2 2 2 3" xfId="4449" xr:uid="{00000000-0005-0000-0000-0000F60C0000}"/>
    <cellStyle name="40% - Accent1 8 2 2 3" xfId="1808" xr:uid="{00000000-0005-0000-0000-0000F70C0000}"/>
    <cellStyle name="40% - Accent1 8 2 2 3 2" xfId="3392" xr:uid="{00000000-0005-0000-0000-0000F80C0000}"/>
    <cellStyle name="40% - Accent1 8 2 2 3 2 2" xfId="6561" xr:uid="{00000000-0005-0000-0000-0000F90C0000}"/>
    <cellStyle name="40% - Accent1 8 2 2 3 3" xfId="4977" xr:uid="{00000000-0005-0000-0000-0000FA0C0000}"/>
    <cellStyle name="40% - Accent1 8 2 2 4" xfId="2336" xr:uid="{00000000-0005-0000-0000-0000FB0C0000}"/>
    <cellStyle name="40% - Accent1 8 2 2 4 2" xfId="5505" xr:uid="{00000000-0005-0000-0000-0000FC0C0000}"/>
    <cellStyle name="40% - Accent1 8 2 2 5" xfId="3921" xr:uid="{00000000-0005-0000-0000-0000FD0C0000}"/>
    <cellStyle name="40% - Accent1 8 2 3" xfId="1016" xr:uid="{00000000-0005-0000-0000-0000FE0C0000}"/>
    <cellStyle name="40% - Accent1 8 2 3 2" xfId="2600" xr:uid="{00000000-0005-0000-0000-0000FF0C0000}"/>
    <cellStyle name="40% - Accent1 8 2 3 2 2" xfId="5769" xr:uid="{00000000-0005-0000-0000-0000000D0000}"/>
    <cellStyle name="40% - Accent1 8 2 3 3" xfId="4185" xr:uid="{00000000-0005-0000-0000-0000010D0000}"/>
    <cellStyle name="40% - Accent1 8 2 4" xfId="1544" xr:uid="{00000000-0005-0000-0000-0000020D0000}"/>
    <cellStyle name="40% - Accent1 8 2 4 2" xfId="3128" xr:uid="{00000000-0005-0000-0000-0000030D0000}"/>
    <cellStyle name="40% - Accent1 8 2 4 2 2" xfId="6297" xr:uid="{00000000-0005-0000-0000-0000040D0000}"/>
    <cellStyle name="40% - Accent1 8 2 4 3" xfId="4713" xr:uid="{00000000-0005-0000-0000-0000050D0000}"/>
    <cellStyle name="40% - Accent1 8 2 5" xfId="2072" xr:uid="{00000000-0005-0000-0000-0000060D0000}"/>
    <cellStyle name="40% - Accent1 8 2 5 2" xfId="5241" xr:uid="{00000000-0005-0000-0000-0000070D0000}"/>
    <cellStyle name="40% - Accent1 8 2 6" xfId="3657" xr:uid="{00000000-0005-0000-0000-0000080D0000}"/>
    <cellStyle name="40% - Accent1 8 3" xfId="751" xr:uid="{00000000-0005-0000-0000-0000090D0000}"/>
    <cellStyle name="40% - Accent1 8 3 2" xfId="1279" xr:uid="{00000000-0005-0000-0000-00000A0D0000}"/>
    <cellStyle name="40% - Accent1 8 3 2 2" xfId="2863" xr:uid="{00000000-0005-0000-0000-00000B0D0000}"/>
    <cellStyle name="40% - Accent1 8 3 2 2 2" xfId="6032" xr:uid="{00000000-0005-0000-0000-00000C0D0000}"/>
    <cellStyle name="40% - Accent1 8 3 2 3" xfId="4448" xr:uid="{00000000-0005-0000-0000-00000D0D0000}"/>
    <cellStyle name="40% - Accent1 8 3 3" xfId="1807" xr:uid="{00000000-0005-0000-0000-00000E0D0000}"/>
    <cellStyle name="40% - Accent1 8 3 3 2" xfId="3391" xr:uid="{00000000-0005-0000-0000-00000F0D0000}"/>
    <cellStyle name="40% - Accent1 8 3 3 2 2" xfId="6560" xr:uid="{00000000-0005-0000-0000-0000100D0000}"/>
    <cellStyle name="40% - Accent1 8 3 3 3" xfId="4976" xr:uid="{00000000-0005-0000-0000-0000110D0000}"/>
    <cellStyle name="40% - Accent1 8 3 4" xfId="2335" xr:uid="{00000000-0005-0000-0000-0000120D0000}"/>
    <cellStyle name="40% - Accent1 8 3 4 2" xfId="5504" xr:uid="{00000000-0005-0000-0000-0000130D0000}"/>
    <cellStyle name="40% - Accent1 8 3 5" xfId="3920" xr:uid="{00000000-0005-0000-0000-0000140D0000}"/>
    <cellStyle name="40% - Accent1 8 4" xfId="1015" xr:uid="{00000000-0005-0000-0000-0000150D0000}"/>
    <cellStyle name="40% - Accent1 8 4 2" xfId="2599" xr:uid="{00000000-0005-0000-0000-0000160D0000}"/>
    <cellStyle name="40% - Accent1 8 4 2 2" xfId="5768" xr:uid="{00000000-0005-0000-0000-0000170D0000}"/>
    <cellStyle name="40% - Accent1 8 4 3" xfId="4184" xr:uid="{00000000-0005-0000-0000-0000180D0000}"/>
    <cellStyle name="40% - Accent1 8 5" xfId="1543" xr:uid="{00000000-0005-0000-0000-0000190D0000}"/>
    <cellStyle name="40% - Accent1 8 5 2" xfId="3127" xr:uid="{00000000-0005-0000-0000-00001A0D0000}"/>
    <cellStyle name="40% - Accent1 8 5 2 2" xfId="6296" xr:uid="{00000000-0005-0000-0000-00001B0D0000}"/>
    <cellStyle name="40% - Accent1 8 5 3" xfId="4712" xr:uid="{00000000-0005-0000-0000-00001C0D0000}"/>
    <cellStyle name="40% - Accent1 8 6" xfId="2071" xr:uid="{00000000-0005-0000-0000-00001D0D0000}"/>
    <cellStyle name="40% - Accent1 8 6 2" xfId="5240" xr:uid="{00000000-0005-0000-0000-00001E0D0000}"/>
    <cellStyle name="40% - Accent1 8 7" xfId="3656" xr:uid="{00000000-0005-0000-0000-00001F0D0000}"/>
    <cellStyle name="40% - Accent1 9" xfId="276" xr:uid="{00000000-0005-0000-0000-0000200D0000}"/>
    <cellStyle name="40% - Accent1 9 2" xfId="277" xr:uid="{00000000-0005-0000-0000-0000210D0000}"/>
    <cellStyle name="40% - Accent1 9 2 2" xfId="754" xr:uid="{00000000-0005-0000-0000-0000220D0000}"/>
    <cellStyle name="40% - Accent1 9 2 2 2" xfId="1282" xr:uid="{00000000-0005-0000-0000-0000230D0000}"/>
    <cellStyle name="40% - Accent1 9 2 2 2 2" xfId="2866" xr:uid="{00000000-0005-0000-0000-0000240D0000}"/>
    <cellStyle name="40% - Accent1 9 2 2 2 2 2" xfId="6035" xr:uid="{00000000-0005-0000-0000-0000250D0000}"/>
    <cellStyle name="40% - Accent1 9 2 2 2 3" xfId="4451" xr:uid="{00000000-0005-0000-0000-0000260D0000}"/>
    <cellStyle name="40% - Accent1 9 2 2 3" xfId="1810" xr:uid="{00000000-0005-0000-0000-0000270D0000}"/>
    <cellStyle name="40% - Accent1 9 2 2 3 2" xfId="3394" xr:uid="{00000000-0005-0000-0000-0000280D0000}"/>
    <cellStyle name="40% - Accent1 9 2 2 3 2 2" xfId="6563" xr:uid="{00000000-0005-0000-0000-0000290D0000}"/>
    <cellStyle name="40% - Accent1 9 2 2 3 3" xfId="4979" xr:uid="{00000000-0005-0000-0000-00002A0D0000}"/>
    <cellStyle name="40% - Accent1 9 2 2 4" xfId="2338" xr:uid="{00000000-0005-0000-0000-00002B0D0000}"/>
    <cellStyle name="40% - Accent1 9 2 2 4 2" xfId="5507" xr:uid="{00000000-0005-0000-0000-00002C0D0000}"/>
    <cellStyle name="40% - Accent1 9 2 2 5" xfId="3923" xr:uid="{00000000-0005-0000-0000-00002D0D0000}"/>
    <cellStyle name="40% - Accent1 9 2 3" xfId="1018" xr:uid="{00000000-0005-0000-0000-00002E0D0000}"/>
    <cellStyle name="40% - Accent1 9 2 3 2" xfId="2602" xr:uid="{00000000-0005-0000-0000-00002F0D0000}"/>
    <cellStyle name="40% - Accent1 9 2 3 2 2" xfId="5771" xr:uid="{00000000-0005-0000-0000-0000300D0000}"/>
    <cellStyle name="40% - Accent1 9 2 3 3" xfId="4187" xr:uid="{00000000-0005-0000-0000-0000310D0000}"/>
    <cellStyle name="40% - Accent1 9 2 4" xfId="1546" xr:uid="{00000000-0005-0000-0000-0000320D0000}"/>
    <cellStyle name="40% - Accent1 9 2 4 2" xfId="3130" xr:uid="{00000000-0005-0000-0000-0000330D0000}"/>
    <cellStyle name="40% - Accent1 9 2 4 2 2" xfId="6299" xr:uid="{00000000-0005-0000-0000-0000340D0000}"/>
    <cellStyle name="40% - Accent1 9 2 4 3" xfId="4715" xr:uid="{00000000-0005-0000-0000-0000350D0000}"/>
    <cellStyle name="40% - Accent1 9 2 5" xfId="2074" xr:uid="{00000000-0005-0000-0000-0000360D0000}"/>
    <cellStyle name="40% - Accent1 9 2 5 2" xfId="5243" xr:uid="{00000000-0005-0000-0000-0000370D0000}"/>
    <cellStyle name="40% - Accent1 9 2 6" xfId="3659" xr:uid="{00000000-0005-0000-0000-0000380D0000}"/>
    <cellStyle name="40% - Accent1 9 3" xfId="753" xr:uid="{00000000-0005-0000-0000-0000390D0000}"/>
    <cellStyle name="40% - Accent1 9 3 2" xfId="1281" xr:uid="{00000000-0005-0000-0000-00003A0D0000}"/>
    <cellStyle name="40% - Accent1 9 3 2 2" xfId="2865" xr:uid="{00000000-0005-0000-0000-00003B0D0000}"/>
    <cellStyle name="40% - Accent1 9 3 2 2 2" xfId="6034" xr:uid="{00000000-0005-0000-0000-00003C0D0000}"/>
    <cellStyle name="40% - Accent1 9 3 2 3" xfId="4450" xr:uid="{00000000-0005-0000-0000-00003D0D0000}"/>
    <cellStyle name="40% - Accent1 9 3 3" xfId="1809" xr:uid="{00000000-0005-0000-0000-00003E0D0000}"/>
    <cellStyle name="40% - Accent1 9 3 3 2" xfId="3393" xr:uid="{00000000-0005-0000-0000-00003F0D0000}"/>
    <cellStyle name="40% - Accent1 9 3 3 2 2" xfId="6562" xr:uid="{00000000-0005-0000-0000-0000400D0000}"/>
    <cellStyle name="40% - Accent1 9 3 3 3" xfId="4978" xr:uid="{00000000-0005-0000-0000-0000410D0000}"/>
    <cellStyle name="40% - Accent1 9 3 4" xfId="2337" xr:uid="{00000000-0005-0000-0000-0000420D0000}"/>
    <cellStyle name="40% - Accent1 9 3 4 2" xfId="5506" xr:uid="{00000000-0005-0000-0000-0000430D0000}"/>
    <cellStyle name="40% - Accent1 9 3 5" xfId="3922" xr:uid="{00000000-0005-0000-0000-0000440D0000}"/>
    <cellStyle name="40% - Accent1 9 4" xfId="1017" xr:uid="{00000000-0005-0000-0000-0000450D0000}"/>
    <cellStyle name="40% - Accent1 9 4 2" xfId="2601" xr:uid="{00000000-0005-0000-0000-0000460D0000}"/>
    <cellStyle name="40% - Accent1 9 4 2 2" xfId="5770" xr:uid="{00000000-0005-0000-0000-0000470D0000}"/>
    <cellStyle name="40% - Accent1 9 4 3" xfId="4186" xr:uid="{00000000-0005-0000-0000-0000480D0000}"/>
    <cellStyle name="40% - Accent1 9 5" xfId="1545" xr:uid="{00000000-0005-0000-0000-0000490D0000}"/>
    <cellStyle name="40% - Accent1 9 5 2" xfId="3129" xr:uid="{00000000-0005-0000-0000-00004A0D0000}"/>
    <cellStyle name="40% - Accent1 9 5 2 2" xfId="6298" xr:uid="{00000000-0005-0000-0000-00004B0D0000}"/>
    <cellStyle name="40% - Accent1 9 5 3" xfId="4714" xr:uid="{00000000-0005-0000-0000-00004C0D0000}"/>
    <cellStyle name="40% - Accent1 9 6" xfId="2073" xr:uid="{00000000-0005-0000-0000-00004D0D0000}"/>
    <cellStyle name="40% - Accent1 9 6 2" xfId="5242" xr:uid="{00000000-0005-0000-0000-00004E0D0000}"/>
    <cellStyle name="40% - Accent1 9 7" xfId="3658" xr:uid="{00000000-0005-0000-0000-00004F0D0000}"/>
    <cellStyle name="40% - Accent2 10" xfId="278" xr:uid="{00000000-0005-0000-0000-0000500D0000}"/>
    <cellStyle name="40% - Accent2 10 2" xfId="279" xr:uid="{00000000-0005-0000-0000-0000510D0000}"/>
    <cellStyle name="40% - Accent2 10 2 2" xfId="756" xr:uid="{00000000-0005-0000-0000-0000520D0000}"/>
    <cellStyle name="40% - Accent2 10 2 2 2" xfId="1284" xr:uid="{00000000-0005-0000-0000-0000530D0000}"/>
    <cellStyle name="40% - Accent2 10 2 2 2 2" xfId="2868" xr:uid="{00000000-0005-0000-0000-0000540D0000}"/>
    <cellStyle name="40% - Accent2 10 2 2 2 2 2" xfId="6037" xr:uid="{00000000-0005-0000-0000-0000550D0000}"/>
    <cellStyle name="40% - Accent2 10 2 2 2 3" xfId="4453" xr:uid="{00000000-0005-0000-0000-0000560D0000}"/>
    <cellStyle name="40% - Accent2 10 2 2 3" xfId="1812" xr:uid="{00000000-0005-0000-0000-0000570D0000}"/>
    <cellStyle name="40% - Accent2 10 2 2 3 2" xfId="3396" xr:uid="{00000000-0005-0000-0000-0000580D0000}"/>
    <cellStyle name="40% - Accent2 10 2 2 3 2 2" xfId="6565" xr:uid="{00000000-0005-0000-0000-0000590D0000}"/>
    <cellStyle name="40% - Accent2 10 2 2 3 3" xfId="4981" xr:uid="{00000000-0005-0000-0000-00005A0D0000}"/>
    <cellStyle name="40% - Accent2 10 2 2 4" xfId="2340" xr:uid="{00000000-0005-0000-0000-00005B0D0000}"/>
    <cellStyle name="40% - Accent2 10 2 2 4 2" xfId="5509" xr:uid="{00000000-0005-0000-0000-00005C0D0000}"/>
    <cellStyle name="40% - Accent2 10 2 2 5" xfId="3925" xr:uid="{00000000-0005-0000-0000-00005D0D0000}"/>
    <cellStyle name="40% - Accent2 10 2 3" xfId="1020" xr:uid="{00000000-0005-0000-0000-00005E0D0000}"/>
    <cellStyle name="40% - Accent2 10 2 3 2" xfId="2604" xr:uid="{00000000-0005-0000-0000-00005F0D0000}"/>
    <cellStyle name="40% - Accent2 10 2 3 2 2" xfId="5773" xr:uid="{00000000-0005-0000-0000-0000600D0000}"/>
    <cellStyle name="40% - Accent2 10 2 3 3" xfId="4189" xr:uid="{00000000-0005-0000-0000-0000610D0000}"/>
    <cellStyle name="40% - Accent2 10 2 4" xfId="1548" xr:uid="{00000000-0005-0000-0000-0000620D0000}"/>
    <cellStyle name="40% - Accent2 10 2 4 2" xfId="3132" xr:uid="{00000000-0005-0000-0000-0000630D0000}"/>
    <cellStyle name="40% - Accent2 10 2 4 2 2" xfId="6301" xr:uid="{00000000-0005-0000-0000-0000640D0000}"/>
    <cellStyle name="40% - Accent2 10 2 4 3" xfId="4717" xr:uid="{00000000-0005-0000-0000-0000650D0000}"/>
    <cellStyle name="40% - Accent2 10 2 5" xfId="2076" xr:uid="{00000000-0005-0000-0000-0000660D0000}"/>
    <cellStyle name="40% - Accent2 10 2 5 2" xfId="5245" xr:uid="{00000000-0005-0000-0000-0000670D0000}"/>
    <cellStyle name="40% - Accent2 10 2 6" xfId="3661" xr:uid="{00000000-0005-0000-0000-0000680D0000}"/>
    <cellStyle name="40% - Accent2 10 3" xfId="755" xr:uid="{00000000-0005-0000-0000-0000690D0000}"/>
    <cellStyle name="40% - Accent2 10 3 2" xfId="1283" xr:uid="{00000000-0005-0000-0000-00006A0D0000}"/>
    <cellStyle name="40% - Accent2 10 3 2 2" xfId="2867" xr:uid="{00000000-0005-0000-0000-00006B0D0000}"/>
    <cellStyle name="40% - Accent2 10 3 2 2 2" xfId="6036" xr:uid="{00000000-0005-0000-0000-00006C0D0000}"/>
    <cellStyle name="40% - Accent2 10 3 2 3" xfId="4452" xr:uid="{00000000-0005-0000-0000-00006D0D0000}"/>
    <cellStyle name="40% - Accent2 10 3 3" xfId="1811" xr:uid="{00000000-0005-0000-0000-00006E0D0000}"/>
    <cellStyle name="40% - Accent2 10 3 3 2" xfId="3395" xr:uid="{00000000-0005-0000-0000-00006F0D0000}"/>
    <cellStyle name="40% - Accent2 10 3 3 2 2" xfId="6564" xr:uid="{00000000-0005-0000-0000-0000700D0000}"/>
    <cellStyle name="40% - Accent2 10 3 3 3" xfId="4980" xr:uid="{00000000-0005-0000-0000-0000710D0000}"/>
    <cellStyle name="40% - Accent2 10 3 4" xfId="2339" xr:uid="{00000000-0005-0000-0000-0000720D0000}"/>
    <cellStyle name="40% - Accent2 10 3 4 2" xfId="5508" xr:uid="{00000000-0005-0000-0000-0000730D0000}"/>
    <cellStyle name="40% - Accent2 10 3 5" xfId="3924" xr:uid="{00000000-0005-0000-0000-0000740D0000}"/>
    <cellStyle name="40% - Accent2 10 4" xfId="1019" xr:uid="{00000000-0005-0000-0000-0000750D0000}"/>
    <cellStyle name="40% - Accent2 10 4 2" xfId="2603" xr:uid="{00000000-0005-0000-0000-0000760D0000}"/>
    <cellStyle name="40% - Accent2 10 4 2 2" xfId="5772" xr:uid="{00000000-0005-0000-0000-0000770D0000}"/>
    <cellStyle name="40% - Accent2 10 4 3" xfId="4188" xr:uid="{00000000-0005-0000-0000-0000780D0000}"/>
    <cellStyle name="40% - Accent2 10 5" xfId="1547" xr:uid="{00000000-0005-0000-0000-0000790D0000}"/>
    <cellStyle name="40% - Accent2 10 5 2" xfId="3131" xr:uid="{00000000-0005-0000-0000-00007A0D0000}"/>
    <cellStyle name="40% - Accent2 10 5 2 2" xfId="6300" xr:uid="{00000000-0005-0000-0000-00007B0D0000}"/>
    <cellStyle name="40% - Accent2 10 5 3" xfId="4716" xr:uid="{00000000-0005-0000-0000-00007C0D0000}"/>
    <cellStyle name="40% - Accent2 10 6" xfId="2075" xr:uid="{00000000-0005-0000-0000-00007D0D0000}"/>
    <cellStyle name="40% - Accent2 10 6 2" xfId="5244" xr:uid="{00000000-0005-0000-0000-00007E0D0000}"/>
    <cellStyle name="40% - Accent2 10 7" xfId="3660" xr:uid="{00000000-0005-0000-0000-00007F0D0000}"/>
    <cellStyle name="40% - Accent2 11" xfId="280" xr:uid="{00000000-0005-0000-0000-0000800D0000}"/>
    <cellStyle name="40% - Accent2 11 2" xfId="757" xr:uid="{00000000-0005-0000-0000-0000810D0000}"/>
    <cellStyle name="40% - Accent2 11 2 2" xfId="1285" xr:uid="{00000000-0005-0000-0000-0000820D0000}"/>
    <cellStyle name="40% - Accent2 11 2 2 2" xfId="2869" xr:uid="{00000000-0005-0000-0000-0000830D0000}"/>
    <cellStyle name="40% - Accent2 11 2 2 2 2" xfId="6038" xr:uid="{00000000-0005-0000-0000-0000840D0000}"/>
    <cellStyle name="40% - Accent2 11 2 2 3" xfId="4454" xr:uid="{00000000-0005-0000-0000-0000850D0000}"/>
    <cellStyle name="40% - Accent2 11 2 3" xfId="1813" xr:uid="{00000000-0005-0000-0000-0000860D0000}"/>
    <cellStyle name="40% - Accent2 11 2 3 2" xfId="3397" xr:uid="{00000000-0005-0000-0000-0000870D0000}"/>
    <cellStyle name="40% - Accent2 11 2 3 2 2" xfId="6566" xr:uid="{00000000-0005-0000-0000-0000880D0000}"/>
    <cellStyle name="40% - Accent2 11 2 3 3" xfId="4982" xr:uid="{00000000-0005-0000-0000-0000890D0000}"/>
    <cellStyle name="40% - Accent2 11 2 4" xfId="2341" xr:uid="{00000000-0005-0000-0000-00008A0D0000}"/>
    <cellStyle name="40% - Accent2 11 2 4 2" xfId="5510" xr:uid="{00000000-0005-0000-0000-00008B0D0000}"/>
    <cellStyle name="40% - Accent2 11 2 5" xfId="3926" xr:uid="{00000000-0005-0000-0000-00008C0D0000}"/>
    <cellStyle name="40% - Accent2 11 3" xfId="1021" xr:uid="{00000000-0005-0000-0000-00008D0D0000}"/>
    <cellStyle name="40% - Accent2 11 3 2" xfId="2605" xr:uid="{00000000-0005-0000-0000-00008E0D0000}"/>
    <cellStyle name="40% - Accent2 11 3 2 2" xfId="5774" xr:uid="{00000000-0005-0000-0000-00008F0D0000}"/>
    <cellStyle name="40% - Accent2 11 3 3" xfId="4190" xr:uid="{00000000-0005-0000-0000-0000900D0000}"/>
    <cellStyle name="40% - Accent2 11 4" xfId="1549" xr:uid="{00000000-0005-0000-0000-0000910D0000}"/>
    <cellStyle name="40% - Accent2 11 4 2" xfId="3133" xr:uid="{00000000-0005-0000-0000-0000920D0000}"/>
    <cellStyle name="40% - Accent2 11 4 2 2" xfId="6302" xr:uid="{00000000-0005-0000-0000-0000930D0000}"/>
    <cellStyle name="40% - Accent2 11 4 3" xfId="4718" xr:uid="{00000000-0005-0000-0000-0000940D0000}"/>
    <cellStyle name="40% - Accent2 11 5" xfId="2077" xr:uid="{00000000-0005-0000-0000-0000950D0000}"/>
    <cellStyle name="40% - Accent2 11 5 2" xfId="5246" xr:uid="{00000000-0005-0000-0000-0000960D0000}"/>
    <cellStyle name="40% - Accent2 11 6" xfId="3662" xr:uid="{00000000-0005-0000-0000-0000970D0000}"/>
    <cellStyle name="40% - Accent2 12" xfId="281" xr:uid="{00000000-0005-0000-0000-0000980D0000}"/>
    <cellStyle name="40% - Accent2 12 2" xfId="758" xr:uid="{00000000-0005-0000-0000-0000990D0000}"/>
    <cellStyle name="40% - Accent2 12 2 2" xfId="1286" xr:uid="{00000000-0005-0000-0000-00009A0D0000}"/>
    <cellStyle name="40% - Accent2 12 2 2 2" xfId="2870" xr:uid="{00000000-0005-0000-0000-00009B0D0000}"/>
    <cellStyle name="40% - Accent2 12 2 2 2 2" xfId="6039" xr:uid="{00000000-0005-0000-0000-00009C0D0000}"/>
    <cellStyle name="40% - Accent2 12 2 2 3" xfId="4455" xr:uid="{00000000-0005-0000-0000-00009D0D0000}"/>
    <cellStyle name="40% - Accent2 12 2 3" xfId="1814" xr:uid="{00000000-0005-0000-0000-00009E0D0000}"/>
    <cellStyle name="40% - Accent2 12 2 3 2" xfId="3398" xr:uid="{00000000-0005-0000-0000-00009F0D0000}"/>
    <cellStyle name="40% - Accent2 12 2 3 2 2" xfId="6567" xr:uid="{00000000-0005-0000-0000-0000A00D0000}"/>
    <cellStyle name="40% - Accent2 12 2 3 3" xfId="4983" xr:uid="{00000000-0005-0000-0000-0000A10D0000}"/>
    <cellStyle name="40% - Accent2 12 2 4" xfId="2342" xr:uid="{00000000-0005-0000-0000-0000A20D0000}"/>
    <cellStyle name="40% - Accent2 12 2 4 2" xfId="5511" xr:uid="{00000000-0005-0000-0000-0000A30D0000}"/>
    <cellStyle name="40% - Accent2 12 2 5" xfId="3927" xr:uid="{00000000-0005-0000-0000-0000A40D0000}"/>
    <cellStyle name="40% - Accent2 12 3" xfId="1022" xr:uid="{00000000-0005-0000-0000-0000A50D0000}"/>
    <cellStyle name="40% - Accent2 12 3 2" xfId="2606" xr:uid="{00000000-0005-0000-0000-0000A60D0000}"/>
    <cellStyle name="40% - Accent2 12 3 2 2" xfId="5775" xr:uid="{00000000-0005-0000-0000-0000A70D0000}"/>
    <cellStyle name="40% - Accent2 12 3 3" xfId="4191" xr:uid="{00000000-0005-0000-0000-0000A80D0000}"/>
    <cellStyle name="40% - Accent2 12 4" xfId="1550" xr:uid="{00000000-0005-0000-0000-0000A90D0000}"/>
    <cellStyle name="40% - Accent2 12 4 2" xfId="3134" xr:uid="{00000000-0005-0000-0000-0000AA0D0000}"/>
    <cellStyle name="40% - Accent2 12 4 2 2" xfId="6303" xr:uid="{00000000-0005-0000-0000-0000AB0D0000}"/>
    <cellStyle name="40% - Accent2 12 4 3" xfId="4719" xr:uid="{00000000-0005-0000-0000-0000AC0D0000}"/>
    <cellStyle name="40% - Accent2 12 5" xfId="2078" xr:uid="{00000000-0005-0000-0000-0000AD0D0000}"/>
    <cellStyle name="40% - Accent2 12 5 2" xfId="5247" xr:uid="{00000000-0005-0000-0000-0000AE0D0000}"/>
    <cellStyle name="40% - Accent2 12 6" xfId="3663" xr:uid="{00000000-0005-0000-0000-0000AF0D0000}"/>
    <cellStyle name="40% - Accent2 13" xfId="282" xr:uid="{00000000-0005-0000-0000-0000B00D0000}"/>
    <cellStyle name="40% - Accent2 13 2" xfId="759" xr:uid="{00000000-0005-0000-0000-0000B10D0000}"/>
    <cellStyle name="40% - Accent2 13 2 2" xfId="1287" xr:uid="{00000000-0005-0000-0000-0000B20D0000}"/>
    <cellStyle name="40% - Accent2 13 2 2 2" xfId="2871" xr:uid="{00000000-0005-0000-0000-0000B30D0000}"/>
    <cellStyle name="40% - Accent2 13 2 2 2 2" xfId="6040" xr:uid="{00000000-0005-0000-0000-0000B40D0000}"/>
    <cellStyle name="40% - Accent2 13 2 2 3" xfId="4456" xr:uid="{00000000-0005-0000-0000-0000B50D0000}"/>
    <cellStyle name="40% - Accent2 13 2 3" xfId="1815" xr:uid="{00000000-0005-0000-0000-0000B60D0000}"/>
    <cellStyle name="40% - Accent2 13 2 3 2" xfId="3399" xr:uid="{00000000-0005-0000-0000-0000B70D0000}"/>
    <cellStyle name="40% - Accent2 13 2 3 2 2" xfId="6568" xr:uid="{00000000-0005-0000-0000-0000B80D0000}"/>
    <cellStyle name="40% - Accent2 13 2 3 3" xfId="4984" xr:uid="{00000000-0005-0000-0000-0000B90D0000}"/>
    <cellStyle name="40% - Accent2 13 2 4" xfId="2343" xr:uid="{00000000-0005-0000-0000-0000BA0D0000}"/>
    <cellStyle name="40% - Accent2 13 2 4 2" xfId="5512" xr:uid="{00000000-0005-0000-0000-0000BB0D0000}"/>
    <cellStyle name="40% - Accent2 13 2 5" xfId="3928" xr:uid="{00000000-0005-0000-0000-0000BC0D0000}"/>
    <cellStyle name="40% - Accent2 13 3" xfId="1023" xr:uid="{00000000-0005-0000-0000-0000BD0D0000}"/>
    <cellStyle name="40% - Accent2 13 3 2" xfId="2607" xr:uid="{00000000-0005-0000-0000-0000BE0D0000}"/>
    <cellStyle name="40% - Accent2 13 3 2 2" xfId="5776" xr:uid="{00000000-0005-0000-0000-0000BF0D0000}"/>
    <cellStyle name="40% - Accent2 13 3 3" xfId="4192" xr:uid="{00000000-0005-0000-0000-0000C00D0000}"/>
    <cellStyle name="40% - Accent2 13 4" xfId="1551" xr:uid="{00000000-0005-0000-0000-0000C10D0000}"/>
    <cellStyle name="40% - Accent2 13 4 2" xfId="3135" xr:uid="{00000000-0005-0000-0000-0000C20D0000}"/>
    <cellStyle name="40% - Accent2 13 4 2 2" xfId="6304" xr:uid="{00000000-0005-0000-0000-0000C30D0000}"/>
    <cellStyle name="40% - Accent2 13 4 3" xfId="4720" xr:uid="{00000000-0005-0000-0000-0000C40D0000}"/>
    <cellStyle name="40% - Accent2 13 5" xfId="2079" xr:uid="{00000000-0005-0000-0000-0000C50D0000}"/>
    <cellStyle name="40% - Accent2 13 5 2" xfId="5248" xr:uid="{00000000-0005-0000-0000-0000C60D0000}"/>
    <cellStyle name="40% - Accent2 13 6" xfId="3664" xr:uid="{00000000-0005-0000-0000-0000C70D0000}"/>
    <cellStyle name="40% - Accent2 14" xfId="283" xr:uid="{00000000-0005-0000-0000-0000C80D0000}"/>
    <cellStyle name="40% - Accent2 14 2" xfId="760" xr:uid="{00000000-0005-0000-0000-0000C90D0000}"/>
    <cellStyle name="40% - Accent2 14 2 2" xfId="1288" xr:uid="{00000000-0005-0000-0000-0000CA0D0000}"/>
    <cellStyle name="40% - Accent2 14 2 2 2" xfId="2872" xr:uid="{00000000-0005-0000-0000-0000CB0D0000}"/>
    <cellStyle name="40% - Accent2 14 2 2 2 2" xfId="6041" xr:uid="{00000000-0005-0000-0000-0000CC0D0000}"/>
    <cellStyle name="40% - Accent2 14 2 2 3" xfId="4457" xr:uid="{00000000-0005-0000-0000-0000CD0D0000}"/>
    <cellStyle name="40% - Accent2 14 2 3" xfId="1816" xr:uid="{00000000-0005-0000-0000-0000CE0D0000}"/>
    <cellStyle name="40% - Accent2 14 2 3 2" xfId="3400" xr:uid="{00000000-0005-0000-0000-0000CF0D0000}"/>
    <cellStyle name="40% - Accent2 14 2 3 2 2" xfId="6569" xr:uid="{00000000-0005-0000-0000-0000D00D0000}"/>
    <cellStyle name="40% - Accent2 14 2 3 3" xfId="4985" xr:uid="{00000000-0005-0000-0000-0000D10D0000}"/>
    <cellStyle name="40% - Accent2 14 2 4" xfId="2344" xr:uid="{00000000-0005-0000-0000-0000D20D0000}"/>
    <cellStyle name="40% - Accent2 14 2 4 2" xfId="5513" xr:uid="{00000000-0005-0000-0000-0000D30D0000}"/>
    <cellStyle name="40% - Accent2 14 2 5" xfId="3929" xr:uid="{00000000-0005-0000-0000-0000D40D0000}"/>
    <cellStyle name="40% - Accent2 14 3" xfId="1024" xr:uid="{00000000-0005-0000-0000-0000D50D0000}"/>
    <cellStyle name="40% - Accent2 14 3 2" xfId="2608" xr:uid="{00000000-0005-0000-0000-0000D60D0000}"/>
    <cellStyle name="40% - Accent2 14 3 2 2" xfId="5777" xr:uid="{00000000-0005-0000-0000-0000D70D0000}"/>
    <cellStyle name="40% - Accent2 14 3 3" xfId="4193" xr:uid="{00000000-0005-0000-0000-0000D80D0000}"/>
    <cellStyle name="40% - Accent2 14 4" xfId="1552" xr:uid="{00000000-0005-0000-0000-0000D90D0000}"/>
    <cellStyle name="40% - Accent2 14 4 2" xfId="3136" xr:uid="{00000000-0005-0000-0000-0000DA0D0000}"/>
    <cellStyle name="40% - Accent2 14 4 2 2" xfId="6305" xr:uid="{00000000-0005-0000-0000-0000DB0D0000}"/>
    <cellStyle name="40% - Accent2 14 4 3" xfId="4721" xr:uid="{00000000-0005-0000-0000-0000DC0D0000}"/>
    <cellStyle name="40% - Accent2 14 5" xfId="2080" xr:uid="{00000000-0005-0000-0000-0000DD0D0000}"/>
    <cellStyle name="40% - Accent2 14 5 2" xfId="5249" xr:uid="{00000000-0005-0000-0000-0000DE0D0000}"/>
    <cellStyle name="40% - Accent2 14 6" xfId="3665" xr:uid="{00000000-0005-0000-0000-0000DF0D0000}"/>
    <cellStyle name="40% - Accent2 15" xfId="284" xr:uid="{00000000-0005-0000-0000-0000E00D0000}"/>
    <cellStyle name="40% - Accent2 15 2" xfId="761" xr:uid="{00000000-0005-0000-0000-0000E10D0000}"/>
    <cellStyle name="40% - Accent2 15 2 2" xfId="1289" xr:uid="{00000000-0005-0000-0000-0000E20D0000}"/>
    <cellStyle name="40% - Accent2 15 2 2 2" xfId="2873" xr:uid="{00000000-0005-0000-0000-0000E30D0000}"/>
    <cellStyle name="40% - Accent2 15 2 2 2 2" xfId="6042" xr:uid="{00000000-0005-0000-0000-0000E40D0000}"/>
    <cellStyle name="40% - Accent2 15 2 2 3" xfId="4458" xr:uid="{00000000-0005-0000-0000-0000E50D0000}"/>
    <cellStyle name="40% - Accent2 15 2 3" xfId="1817" xr:uid="{00000000-0005-0000-0000-0000E60D0000}"/>
    <cellStyle name="40% - Accent2 15 2 3 2" xfId="3401" xr:uid="{00000000-0005-0000-0000-0000E70D0000}"/>
    <cellStyle name="40% - Accent2 15 2 3 2 2" xfId="6570" xr:uid="{00000000-0005-0000-0000-0000E80D0000}"/>
    <cellStyle name="40% - Accent2 15 2 3 3" xfId="4986" xr:uid="{00000000-0005-0000-0000-0000E90D0000}"/>
    <cellStyle name="40% - Accent2 15 2 4" xfId="2345" xr:uid="{00000000-0005-0000-0000-0000EA0D0000}"/>
    <cellStyle name="40% - Accent2 15 2 4 2" xfId="5514" xr:uid="{00000000-0005-0000-0000-0000EB0D0000}"/>
    <cellStyle name="40% - Accent2 15 2 5" xfId="3930" xr:uid="{00000000-0005-0000-0000-0000EC0D0000}"/>
    <cellStyle name="40% - Accent2 15 3" xfId="1025" xr:uid="{00000000-0005-0000-0000-0000ED0D0000}"/>
    <cellStyle name="40% - Accent2 15 3 2" xfId="2609" xr:uid="{00000000-0005-0000-0000-0000EE0D0000}"/>
    <cellStyle name="40% - Accent2 15 3 2 2" xfId="5778" xr:uid="{00000000-0005-0000-0000-0000EF0D0000}"/>
    <cellStyle name="40% - Accent2 15 3 3" xfId="4194" xr:uid="{00000000-0005-0000-0000-0000F00D0000}"/>
    <cellStyle name="40% - Accent2 15 4" xfId="1553" xr:uid="{00000000-0005-0000-0000-0000F10D0000}"/>
    <cellStyle name="40% - Accent2 15 4 2" xfId="3137" xr:uid="{00000000-0005-0000-0000-0000F20D0000}"/>
    <cellStyle name="40% - Accent2 15 4 2 2" xfId="6306" xr:uid="{00000000-0005-0000-0000-0000F30D0000}"/>
    <cellStyle name="40% - Accent2 15 4 3" xfId="4722" xr:uid="{00000000-0005-0000-0000-0000F40D0000}"/>
    <cellStyle name="40% - Accent2 15 5" xfId="2081" xr:uid="{00000000-0005-0000-0000-0000F50D0000}"/>
    <cellStyle name="40% - Accent2 15 5 2" xfId="5250" xr:uid="{00000000-0005-0000-0000-0000F60D0000}"/>
    <cellStyle name="40% - Accent2 15 6" xfId="3666" xr:uid="{00000000-0005-0000-0000-0000F70D0000}"/>
    <cellStyle name="40% - Accent2 16" xfId="285" xr:uid="{00000000-0005-0000-0000-0000F80D0000}"/>
    <cellStyle name="40% - Accent2 16 2" xfId="762" xr:uid="{00000000-0005-0000-0000-0000F90D0000}"/>
    <cellStyle name="40% - Accent2 16 2 2" xfId="1290" xr:uid="{00000000-0005-0000-0000-0000FA0D0000}"/>
    <cellStyle name="40% - Accent2 16 2 2 2" xfId="2874" xr:uid="{00000000-0005-0000-0000-0000FB0D0000}"/>
    <cellStyle name="40% - Accent2 16 2 2 2 2" xfId="6043" xr:uid="{00000000-0005-0000-0000-0000FC0D0000}"/>
    <cellStyle name="40% - Accent2 16 2 2 3" xfId="4459" xr:uid="{00000000-0005-0000-0000-0000FD0D0000}"/>
    <cellStyle name="40% - Accent2 16 2 3" xfId="1818" xr:uid="{00000000-0005-0000-0000-0000FE0D0000}"/>
    <cellStyle name="40% - Accent2 16 2 3 2" xfId="3402" xr:uid="{00000000-0005-0000-0000-0000FF0D0000}"/>
    <cellStyle name="40% - Accent2 16 2 3 2 2" xfId="6571" xr:uid="{00000000-0005-0000-0000-0000000E0000}"/>
    <cellStyle name="40% - Accent2 16 2 3 3" xfId="4987" xr:uid="{00000000-0005-0000-0000-0000010E0000}"/>
    <cellStyle name="40% - Accent2 16 2 4" xfId="2346" xr:uid="{00000000-0005-0000-0000-0000020E0000}"/>
    <cellStyle name="40% - Accent2 16 2 4 2" xfId="5515" xr:uid="{00000000-0005-0000-0000-0000030E0000}"/>
    <cellStyle name="40% - Accent2 16 2 5" xfId="3931" xr:uid="{00000000-0005-0000-0000-0000040E0000}"/>
    <cellStyle name="40% - Accent2 16 3" xfId="1026" xr:uid="{00000000-0005-0000-0000-0000050E0000}"/>
    <cellStyle name="40% - Accent2 16 3 2" xfId="2610" xr:uid="{00000000-0005-0000-0000-0000060E0000}"/>
    <cellStyle name="40% - Accent2 16 3 2 2" xfId="5779" xr:uid="{00000000-0005-0000-0000-0000070E0000}"/>
    <cellStyle name="40% - Accent2 16 3 3" xfId="4195" xr:uid="{00000000-0005-0000-0000-0000080E0000}"/>
    <cellStyle name="40% - Accent2 16 4" xfId="1554" xr:uid="{00000000-0005-0000-0000-0000090E0000}"/>
    <cellStyle name="40% - Accent2 16 4 2" xfId="3138" xr:uid="{00000000-0005-0000-0000-00000A0E0000}"/>
    <cellStyle name="40% - Accent2 16 4 2 2" xfId="6307" xr:uid="{00000000-0005-0000-0000-00000B0E0000}"/>
    <cellStyle name="40% - Accent2 16 4 3" xfId="4723" xr:uid="{00000000-0005-0000-0000-00000C0E0000}"/>
    <cellStyle name="40% - Accent2 16 5" xfId="2082" xr:uid="{00000000-0005-0000-0000-00000D0E0000}"/>
    <cellStyle name="40% - Accent2 16 5 2" xfId="5251" xr:uid="{00000000-0005-0000-0000-00000E0E0000}"/>
    <cellStyle name="40% - Accent2 16 6" xfId="3667" xr:uid="{00000000-0005-0000-0000-00000F0E0000}"/>
    <cellStyle name="40% - Accent2 2" xfId="8" xr:uid="{00000000-0005-0000-0000-0000100E0000}"/>
    <cellStyle name="40% - Accent2 2 2" xfId="286" xr:uid="{00000000-0005-0000-0000-0000110E0000}"/>
    <cellStyle name="40% - Accent2 3" xfId="287" xr:uid="{00000000-0005-0000-0000-0000120E0000}"/>
    <cellStyle name="40% - Accent2 4" xfId="288" xr:uid="{00000000-0005-0000-0000-0000130E0000}"/>
    <cellStyle name="40% - Accent2 4 2" xfId="289" xr:uid="{00000000-0005-0000-0000-0000140E0000}"/>
    <cellStyle name="40% - Accent2 4 2 2" xfId="764" xr:uid="{00000000-0005-0000-0000-0000150E0000}"/>
    <cellStyle name="40% - Accent2 4 2 2 2" xfId="1292" xr:uid="{00000000-0005-0000-0000-0000160E0000}"/>
    <cellStyle name="40% - Accent2 4 2 2 2 2" xfId="2876" xr:uid="{00000000-0005-0000-0000-0000170E0000}"/>
    <cellStyle name="40% - Accent2 4 2 2 2 2 2" xfId="6045" xr:uid="{00000000-0005-0000-0000-0000180E0000}"/>
    <cellStyle name="40% - Accent2 4 2 2 2 3" xfId="4461" xr:uid="{00000000-0005-0000-0000-0000190E0000}"/>
    <cellStyle name="40% - Accent2 4 2 2 3" xfId="1820" xr:uid="{00000000-0005-0000-0000-00001A0E0000}"/>
    <cellStyle name="40% - Accent2 4 2 2 3 2" xfId="3404" xr:uid="{00000000-0005-0000-0000-00001B0E0000}"/>
    <cellStyle name="40% - Accent2 4 2 2 3 2 2" xfId="6573" xr:uid="{00000000-0005-0000-0000-00001C0E0000}"/>
    <cellStyle name="40% - Accent2 4 2 2 3 3" xfId="4989" xr:uid="{00000000-0005-0000-0000-00001D0E0000}"/>
    <cellStyle name="40% - Accent2 4 2 2 4" xfId="2348" xr:uid="{00000000-0005-0000-0000-00001E0E0000}"/>
    <cellStyle name="40% - Accent2 4 2 2 4 2" xfId="5517" xr:uid="{00000000-0005-0000-0000-00001F0E0000}"/>
    <cellStyle name="40% - Accent2 4 2 2 5" xfId="3933" xr:uid="{00000000-0005-0000-0000-0000200E0000}"/>
    <cellStyle name="40% - Accent2 4 2 3" xfId="1028" xr:uid="{00000000-0005-0000-0000-0000210E0000}"/>
    <cellStyle name="40% - Accent2 4 2 3 2" xfId="2612" xr:uid="{00000000-0005-0000-0000-0000220E0000}"/>
    <cellStyle name="40% - Accent2 4 2 3 2 2" xfId="5781" xr:uid="{00000000-0005-0000-0000-0000230E0000}"/>
    <cellStyle name="40% - Accent2 4 2 3 3" xfId="4197" xr:uid="{00000000-0005-0000-0000-0000240E0000}"/>
    <cellStyle name="40% - Accent2 4 2 4" xfId="1556" xr:uid="{00000000-0005-0000-0000-0000250E0000}"/>
    <cellStyle name="40% - Accent2 4 2 4 2" xfId="3140" xr:uid="{00000000-0005-0000-0000-0000260E0000}"/>
    <cellStyle name="40% - Accent2 4 2 4 2 2" xfId="6309" xr:uid="{00000000-0005-0000-0000-0000270E0000}"/>
    <cellStyle name="40% - Accent2 4 2 4 3" xfId="4725" xr:uid="{00000000-0005-0000-0000-0000280E0000}"/>
    <cellStyle name="40% - Accent2 4 2 5" xfId="2084" xr:uid="{00000000-0005-0000-0000-0000290E0000}"/>
    <cellStyle name="40% - Accent2 4 2 5 2" xfId="5253" xr:uid="{00000000-0005-0000-0000-00002A0E0000}"/>
    <cellStyle name="40% - Accent2 4 2 6" xfId="3669" xr:uid="{00000000-0005-0000-0000-00002B0E0000}"/>
    <cellStyle name="40% - Accent2 4 3" xfId="763" xr:uid="{00000000-0005-0000-0000-00002C0E0000}"/>
    <cellStyle name="40% - Accent2 4 3 2" xfId="1291" xr:uid="{00000000-0005-0000-0000-00002D0E0000}"/>
    <cellStyle name="40% - Accent2 4 3 2 2" xfId="2875" xr:uid="{00000000-0005-0000-0000-00002E0E0000}"/>
    <cellStyle name="40% - Accent2 4 3 2 2 2" xfId="6044" xr:uid="{00000000-0005-0000-0000-00002F0E0000}"/>
    <cellStyle name="40% - Accent2 4 3 2 3" xfId="4460" xr:uid="{00000000-0005-0000-0000-0000300E0000}"/>
    <cellStyle name="40% - Accent2 4 3 3" xfId="1819" xr:uid="{00000000-0005-0000-0000-0000310E0000}"/>
    <cellStyle name="40% - Accent2 4 3 3 2" xfId="3403" xr:uid="{00000000-0005-0000-0000-0000320E0000}"/>
    <cellStyle name="40% - Accent2 4 3 3 2 2" xfId="6572" xr:uid="{00000000-0005-0000-0000-0000330E0000}"/>
    <cellStyle name="40% - Accent2 4 3 3 3" xfId="4988" xr:uid="{00000000-0005-0000-0000-0000340E0000}"/>
    <cellStyle name="40% - Accent2 4 3 4" xfId="2347" xr:uid="{00000000-0005-0000-0000-0000350E0000}"/>
    <cellStyle name="40% - Accent2 4 3 4 2" xfId="5516" xr:uid="{00000000-0005-0000-0000-0000360E0000}"/>
    <cellStyle name="40% - Accent2 4 3 5" xfId="3932" xr:uid="{00000000-0005-0000-0000-0000370E0000}"/>
    <cellStyle name="40% - Accent2 4 4" xfId="1027" xr:uid="{00000000-0005-0000-0000-0000380E0000}"/>
    <cellStyle name="40% - Accent2 4 4 2" xfId="2611" xr:uid="{00000000-0005-0000-0000-0000390E0000}"/>
    <cellStyle name="40% - Accent2 4 4 2 2" xfId="5780" xr:uid="{00000000-0005-0000-0000-00003A0E0000}"/>
    <cellStyle name="40% - Accent2 4 4 3" xfId="4196" xr:uid="{00000000-0005-0000-0000-00003B0E0000}"/>
    <cellStyle name="40% - Accent2 4 5" xfId="1555" xr:uid="{00000000-0005-0000-0000-00003C0E0000}"/>
    <cellStyle name="40% - Accent2 4 5 2" xfId="3139" xr:uid="{00000000-0005-0000-0000-00003D0E0000}"/>
    <cellStyle name="40% - Accent2 4 5 2 2" xfId="6308" xr:uid="{00000000-0005-0000-0000-00003E0E0000}"/>
    <cellStyle name="40% - Accent2 4 5 3" xfId="4724" xr:uid="{00000000-0005-0000-0000-00003F0E0000}"/>
    <cellStyle name="40% - Accent2 4 6" xfId="2083" xr:uid="{00000000-0005-0000-0000-0000400E0000}"/>
    <cellStyle name="40% - Accent2 4 6 2" xfId="5252" xr:uid="{00000000-0005-0000-0000-0000410E0000}"/>
    <cellStyle name="40% - Accent2 4 7" xfId="3668" xr:uid="{00000000-0005-0000-0000-0000420E0000}"/>
    <cellStyle name="40% - Accent2 5" xfId="290" xr:uid="{00000000-0005-0000-0000-0000430E0000}"/>
    <cellStyle name="40% - Accent2 5 2" xfId="291" xr:uid="{00000000-0005-0000-0000-0000440E0000}"/>
    <cellStyle name="40% - Accent2 5 2 2" xfId="766" xr:uid="{00000000-0005-0000-0000-0000450E0000}"/>
    <cellStyle name="40% - Accent2 5 2 2 2" xfId="1294" xr:uid="{00000000-0005-0000-0000-0000460E0000}"/>
    <cellStyle name="40% - Accent2 5 2 2 2 2" xfId="2878" xr:uid="{00000000-0005-0000-0000-0000470E0000}"/>
    <cellStyle name="40% - Accent2 5 2 2 2 2 2" xfId="6047" xr:uid="{00000000-0005-0000-0000-0000480E0000}"/>
    <cellStyle name="40% - Accent2 5 2 2 2 3" xfId="4463" xr:uid="{00000000-0005-0000-0000-0000490E0000}"/>
    <cellStyle name="40% - Accent2 5 2 2 3" xfId="1822" xr:uid="{00000000-0005-0000-0000-00004A0E0000}"/>
    <cellStyle name="40% - Accent2 5 2 2 3 2" xfId="3406" xr:uid="{00000000-0005-0000-0000-00004B0E0000}"/>
    <cellStyle name="40% - Accent2 5 2 2 3 2 2" xfId="6575" xr:uid="{00000000-0005-0000-0000-00004C0E0000}"/>
    <cellStyle name="40% - Accent2 5 2 2 3 3" xfId="4991" xr:uid="{00000000-0005-0000-0000-00004D0E0000}"/>
    <cellStyle name="40% - Accent2 5 2 2 4" xfId="2350" xr:uid="{00000000-0005-0000-0000-00004E0E0000}"/>
    <cellStyle name="40% - Accent2 5 2 2 4 2" xfId="5519" xr:uid="{00000000-0005-0000-0000-00004F0E0000}"/>
    <cellStyle name="40% - Accent2 5 2 2 5" xfId="3935" xr:uid="{00000000-0005-0000-0000-0000500E0000}"/>
    <cellStyle name="40% - Accent2 5 2 3" xfId="1030" xr:uid="{00000000-0005-0000-0000-0000510E0000}"/>
    <cellStyle name="40% - Accent2 5 2 3 2" xfId="2614" xr:uid="{00000000-0005-0000-0000-0000520E0000}"/>
    <cellStyle name="40% - Accent2 5 2 3 2 2" xfId="5783" xr:uid="{00000000-0005-0000-0000-0000530E0000}"/>
    <cellStyle name="40% - Accent2 5 2 3 3" xfId="4199" xr:uid="{00000000-0005-0000-0000-0000540E0000}"/>
    <cellStyle name="40% - Accent2 5 2 4" xfId="1558" xr:uid="{00000000-0005-0000-0000-0000550E0000}"/>
    <cellStyle name="40% - Accent2 5 2 4 2" xfId="3142" xr:uid="{00000000-0005-0000-0000-0000560E0000}"/>
    <cellStyle name="40% - Accent2 5 2 4 2 2" xfId="6311" xr:uid="{00000000-0005-0000-0000-0000570E0000}"/>
    <cellStyle name="40% - Accent2 5 2 4 3" xfId="4727" xr:uid="{00000000-0005-0000-0000-0000580E0000}"/>
    <cellStyle name="40% - Accent2 5 2 5" xfId="2086" xr:uid="{00000000-0005-0000-0000-0000590E0000}"/>
    <cellStyle name="40% - Accent2 5 2 5 2" xfId="5255" xr:uid="{00000000-0005-0000-0000-00005A0E0000}"/>
    <cellStyle name="40% - Accent2 5 2 6" xfId="3671" xr:uid="{00000000-0005-0000-0000-00005B0E0000}"/>
    <cellStyle name="40% - Accent2 5 3" xfId="765" xr:uid="{00000000-0005-0000-0000-00005C0E0000}"/>
    <cellStyle name="40% - Accent2 5 3 2" xfId="1293" xr:uid="{00000000-0005-0000-0000-00005D0E0000}"/>
    <cellStyle name="40% - Accent2 5 3 2 2" xfId="2877" xr:uid="{00000000-0005-0000-0000-00005E0E0000}"/>
    <cellStyle name="40% - Accent2 5 3 2 2 2" xfId="6046" xr:uid="{00000000-0005-0000-0000-00005F0E0000}"/>
    <cellStyle name="40% - Accent2 5 3 2 3" xfId="4462" xr:uid="{00000000-0005-0000-0000-0000600E0000}"/>
    <cellStyle name="40% - Accent2 5 3 3" xfId="1821" xr:uid="{00000000-0005-0000-0000-0000610E0000}"/>
    <cellStyle name="40% - Accent2 5 3 3 2" xfId="3405" xr:uid="{00000000-0005-0000-0000-0000620E0000}"/>
    <cellStyle name="40% - Accent2 5 3 3 2 2" xfId="6574" xr:uid="{00000000-0005-0000-0000-0000630E0000}"/>
    <cellStyle name="40% - Accent2 5 3 3 3" xfId="4990" xr:uid="{00000000-0005-0000-0000-0000640E0000}"/>
    <cellStyle name="40% - Accent2 5 3 4" xfId="2349" xr:uid="{00000000-0005-0000-0000-0000650E0000}"/>
    <cellStyle name="40% - Accent2 5 3 4 2" xfId="5518" xr:uid="{00000000-0005-0000-0000-0000660E0000}"/>
    <cellStyle name="40% - Accent2 5 3 5" xfId="3934" xr:uid="{00000000-0005-0000-0000-0000670E0000}"/>
    <cellStyle name="40% - Accent2 5 4" xfId="1029" xr:uid="{00000000-0005-0000-0000-0000680E0000}"/>
    <cellStyle name="40% - Accent2 5 4 2" xfId="2613" xr:uid="{00000000-0005-0000-0000-0000690E0000}"/>
    <cellStyle name="40% - Accent2 5 4 2 2" xfId="5782" xr:uid="{00000000-0005-0000-0000-00006A0E0000}"/>
    <cellStyle name="40% - Accent2 5 4 3" xfId="4198" xr:uid="{00000000-0005-0000-0000-00006B0E0000}"/>
    <cellStyle name="40% - Accent2 5 5" xfId="1557" xr:uid="{00000000-0005-0000-0000-00006C0E0000}"/>
    <cellStyle name="40% - Accent2 5 5 2" xfId="3141" xr:uid="{00000000-0005-0000-0000-00006D0E0000}"/>
    <cellStyle name="40% - Accent2 5 5 2 2" xfId="6310" xr:uid="{00000000-0005-0000-0000-00006E0E0000}"/>
    <cellStyle name="40% - Accent2 5 5 3" xfId="4726" xr:uid="{00000000-0005-0000-0000-00006F0E0000}"/>
    <cellStyle name="40% - Accent2 5 6" xfId="2085" xr:uid="{00000000-0005-0000-0000-0000700E0000}"/>
    <cellStyle name="40% - Accent2 5 6 2" xfId="5254" xr:uid="{00000000-0005-0000-0000-0000710E0000}"/>
    <cellStyle name="40% - Accent2 5 7" xfId="3670" xr:uid="{00000000-0005-0000-0000-0000720E0000}"/>
    <cellStyle name="40% - Accent2 6" xfId="292" xr:uid="{00000000-0005-0000-0000-0000730E0000}"/>
    <cellStyle name="40% - Accent2 6 2" xfId="293" xr:uid="{00000000-0005-0000-0000-0000740E0000}"/>
    <cellStyle name="40% - Accent2 6 2 2" xfId="768" xr:uid="{00000000-0005-0000-0000-0000750E0000}"/>
    <cellStyle name="40% - Accent2 6 2 2 2" xfId="1296" xr:uid="{00000000-0005-0000-0000-0000760E0000}"/>
    <cellStyle name="40% - Accent2 6 2 2 2 2" xfId="2880" xr:uid="{00000000-0005-0000-0000-0000770E0000}"/>
    <cellStyle name="40% - Accent2 6 2 2 2 2 2" xfId="6049" xr:uid="{00000000-0005-0000-0000-0000780E0000}"/>
    <cellStyle name="40% - Accent2 6 2 2 2 3" xfId="4465" xr:uid="{00000000-0005-0000-0000-0000790E0000}"/>
    <cellStyle name="40% - Accent2 6 2 2 3" xfId="1824" xr:uid="{00000000-0005-0000-0000-00007A0E0000}"/>
    <cellStyle name="40% - Accent2 6 2 2 3 2" xfId="3408" xr:uid="{00000000-0005-0000-0000-00007B0E0000}"/>
    <cellStyle name="40% - Accent2 6 2 2 3 2 2" xfId="6577" xr:uid="{00000000-0005-0000-0000-00007C0E0000}"/>
    <cellStyle name="40% - Accent2 6 2 2 3 3" xfId="4993" xr:uid="{00000000-0005-0000-0000-00007D0E0000}"/>
    <cellStyle name="40% - Accent2 6 2 2 4" xfId="2352" xr:uid="{00000000-0005-0000-0000-00007E0E0000}"/>
    <cellStyle name="40% - Accent2 6 2 2 4 2" xfId="5521" xr:uid="{00000000-0005-0000-0000-00007F0E0000}"/>
    <cellStyle name="40% - Accent2 6 2 2 5" xfId="3937" xr:uid="{00000000-0005-0000-0000-0000800E0000}"/>
    <cellStyle name="40% - Accent2 6 2 3" xfId="1032" xr:uid="{00000000-0005-0000-0000-0000810E0000}"/>
    <cellStyle name="40% - Accent2 6 2 3 2" xfId="2616" xr:uid="{00000000-0005-0000-0000-0000820E0000}"/>
    <cellStyle name="40% - Accent2 6 2 3 2 2" xfId="5785" xr:uid="{00000000-0005-0000-0000-0000830E0000}"/>
    <cellStyle name="40% - Accent2 6 2 3 3" xfId="4201" xr:uid="{00000000-0005-0000-0000-0000840E0000}"/>
    <cellStyle name="40% - Accent2 6 2 4" xfId="1560" xr:uid="{00000000-0005-0000-0000-0000850E0000}"/>
    <cellStyle name="40% - Accent2 6 2 4 2" xfId="3144" xr:uid="{00000000-0005-0000-0000-0000860E0000}"/>
    <cellStyle name="40% - Accent2 6 2 4 2 2" xfId="6313" xr:uid="{00000000-0005-0000-0000-0000870E0000}"/>
    <cellStyle name="40% - Accent2 6 2 4 3" xfId="4729" xr:uid="{00000000-0005-0000-0000-0000880E0000}"/>
    <cellStyle name="40% - Accent2 6 2 5" xfId="2088" xr:uid="{00000000-0005-0000-0000-0000890E0000}"/>
    <cellStyle name="40% - Accent2 6 2 5 2" xfId="5257" xr:uid="{00000000-0005-0000-0000-00008A0E0000}"/>
    <cellStyle name="40% - Accent2 6 2 6" xfId="3673" xr:uid="{00000000-0005-0000-0000-00008B0E0000}"/>
    <cellStyle name="40% - Accent2 6 3" xfId="767" xr:uid="{00000000-0005-0000-0000-00008C0E0000}"/>
    <cellStyle name="40% - Accent2 6 3 2" xfId="1295" xr:uid="{00000000-0005-0000-0000-00008D0E0000}"/>
    <cellStyle name="40% - Accent2 6 3 2 2" xfId="2879" xr:uid="{00000000-0005-0000-0000-00008E0E0000}"/>
    <cellStyle name="40% - Accent2 6 3 2 2 2" xfId="6048" xr:uid="{00000000-0005-0000-0000-00008F0E0000}"/>
    <cellStyle name="40% - Accent2 6 3 2 3" xfId="4464" xr:uid="{00000000-0005-0000-0000-0000900E0000}"/>
    <cellStyle name="40% - Accent2 6 3 3" xfId="1823" xr:uid="{00000000-0005-0000-0000-0000910E0000}"/>
    <cellStyle name="40% - Accent2 6 3 3 2" xfId="3407" xr:uid="{00000000-0005-0000-0000-0000920E0000}"/>
    <cellStyle name="40% - Accent2 6 3 3 2 2" xfId="6576" xr:uid="{00000000-0005-0000-0000-0000930E0000}"/>
    <cellStyle name="40% - Accent2 6 3 3 3" xfId="4992" xr:uid="{00000000-0005-0000-0000-0000940E0000}"/>
    <cellStyle name="40% - Accent2 6 3 4" xfId="2351" xr:uid="{00000000-0005-0000-0000-0000950E0000}"/>
    <cellStyle name="40% - Accent2 6 3 4 2" xfId="5520" xr:uid="{00000000-0005-0000-0000-0000960E0000}"/>
    <cellStyle name="40% - Accent2 6 3 5" xfId="3936" xr:uid="{00000000-0005-0000-0000-0000970E0000}"/>
    <cellStyle name="40% - Accent2 6 4" xfId="1031" xr:uid="{00000000-0005-0000-0000-0000980E0000}"/>
    <cellStyle name="40% - Accent2 6 4 2" xfId="2615" xr:uid="{00000000-0005-0000-0000-0000990E0000}"/>
    <cellStyle name="40% - Accent2 6 4 2 2" xfId="5784" xr:uid="{00000000-0005-0000-0000-00009A0E0000}"/>
    <cellStyle name="40% - Accent2 6 4 3" xfId="4200" xr:uid="{00000000-0005-0000-0000-00009B0E0000}"/>
    <cellStyle name="40% - Accent2 6 5" xfId="1559" xr:uid="{00000000-0005-0000-0000-00009C0E0000}"/>
    <cellStyle name="40% - Accent2 6 5 2" xfId="3143" xr:uid="{00000000-0005-0000-0000-00009D0E0000}"/>
    <cellStyle name="40% - Accent2 6 5 2 2" xfId="6312" xr:uid="{00000000-0005-0000-0000-00009E0E0000}"/>
    <cellStyle name="40% - Accent2 6 5 3" xfId="4728" xr:uid="{00000000-0005-0000-0000-00009F0E0000}"/>
    <cellStyle name="40% - Accent2 6 6" xfId="2087" xr:uid="{00000000-0005-0000-0000-0000A00E0000}"/>
    <cellStyle name="40% - Accent2 6 6 2" xfId="5256" xr:uid="{00000000-0005-0000-0000-0000A10E0000}"/>
    <cellStyle name="40% - Accent2 6 7" xfId="3672" xr:uid="{00000000-0005-0000-0000-0000A20E0000}"/>
    <cellStyle name="40% - Accent2 7" xfId="294" xr:uid="{00000000-0005-0000-0000-0000A30E0000}"/>
    <cellStyle name="40% - Accent2 7 2" xfId="295" xr:uid="{00000000-0005-0000-0000-0000A40E0000}"/>
    <cellStyle name="40% - Accent2 7 2 2" xfId="770" xr:uid="{00000000-0005-0000-0000-0000A50E0000}"/>
    <cellStyle name="40% - Accent2 7 2 2 2" xfId="1298" xr:uid="{00000000-0005-0000-0000-0000A60E0000}"/>
    <cellStyle name="40% - Accent2 7 2 2 2 2" xfId="2882" xr:uid="{00000000-0005-0000-0000-0000A70E0000}"/>
    <cellStyle name="40% - Accent2 7 2 2 2 2 2" xfId="6051" xr:uid="{00000000-0005-0000-0000-0000A80E0000}"/>
    <cellStyle name="40% - Accent2 7 2 2 2 3" xfId="4467" xr:uid="{00000000-0005-0000-0000-0000A90E0000}"/>
    <cellStyle name="40% - Accent2 7 2 2 3" xfId="1826" xr:uid="{00000000-0005-0000-0000-0000AA0E0000}"/>
    <cellStyle name="40% - Accent2 7 2 2 3 2" xfId="3410" xr:uid="{00000000-0005-0000-0000-0000AB0E0000}"/>
    <cellStyle name="40% - Accent2 7 2 2 3 2 2" xfId="6579" xr:uid="{00000000-0005-0000-0000-0000AC0E0000}"/>
    <cellStyle name="40% - Accent2 7 2 2 3 3" xfId="4995" xr:uid="{00000000-0005-0000-0000-0000AD0E0000}"/>
    <cellStyle name="40% - Accent2 7 2 2 4" xfId="2354" xr:uid="{00000000-0005-0000-0000-0000AE0E0000}"/>
    <cellStyle name="40% - Accent2 7 2 2 4 2" xfId="5523" xr:uid="{00000000-0005-0000-0000-0000AF0E0000}"/>
    <cellStyle name="40% - Accent2 7 2 2 5" xfId="3939" xr:uid="{00000000-0005-0000-0000-0000B00E0000}"/>
    <cellStyle name="40% - Accent2 7 2 3" xfId="1034" xr:uid="{00000000-0005-0000-0000-0000B10E0000}"/>
    <cellStyle name="40% - Accent2 7 2 3 2" xfId="2618" xr:uid="{00000000-0005-0000-0000-0000B20E0000}"/>
    <cellStyle name="40% - Accent2 7 2 3 2 2" xfId="5787" xr:uid="{00000000-0005-0000-0000-0000B30E0000}"/>
    <cellStyle name="40% - Accent2 7 2 3 3" xfId="4203" xr:uid="{00000000-0005-0000-0000-0000B40E0000}"/>
    <cellStyle name="40% - Accent2 7 2 4" xfId="1562" xr:uid="{00000000-0005-0000-0000-0000B50E0000}"/>
    <cellStyle name="40% - Accent2 7 2 4 2" xfId="3146" xr:uid="{00000000-0005-0000-0000-0000B60E0000}"/>
    <cellStyle name="40% - Accent2 7 2 4 2 2" xfId="6315" xr:uid="{00000000-0005-0000-0000-0000B70E0000}"/>
    <cellStyle name="40% - Accent2 7 2 4 3" xfId="4731" xr:uid="{00000000-0005-0000-0000-0000B80E0000}"/>
    <cellStyle name="40% - Accent2 7 2 5" xfId="2090" xr:uid="{00000000-0005-0000-0000-0000B90E0000}"/>
    <cellStyle name="40% - Accent2 7 2 5 2" xfId="5259" xr:uid="{00000000-0005-0000-0000-0000BA0E0000}"/>
    <cellStyle name="40% - Accent2 7 2 6" xfId="3675" xr:uid="{00000000-0005-0000-0000-0000BB0E0000}"/>
    <cellStyle name="40% - Accent2 7 3" xfId="769" xr:uid="{00000000-0005-0000-0000-0000BC0E0000}"/>
    <cellStyle name="40% - Accent2 7 3 2" xfId="1297" xr:uid="{00000000-0005-0000-0000-0000BD0E0000}"/>
    <cellStyle name="40% - Accent2 7 3 2 2" xfId="2881" xr:uid="{00000000-0005-0000-0000-0000BE0E0000}"/>
    <cellStyle name="40% - Accent2 7 3 2 2 2" xfId="6050" xr:uid="{00000000-0005-0000-0000-0000BF0E0000}"/>
    <cellStyle name="40% - Accent2 7 3 2 3" xfId="4466" xr:uid="{00000000-0005-0000-0000-0000C00E0000}"/>
    <cellStyle name="40% - Accent2 7 3 3" xfId="1825" xr:uid="{00000000-0005-0000-0000-0000C10E0000}"/>
    <cellStyle name="40% - Accent2 7 3 3 2" xfId="3409" xr:uid="{00000000-0005-0000-0000-0000C20E0000}"/>
    <cellStyle name="40% - Accent2 7 3 3 2 2" xfId="6578" xr:uid="{00000000-0005-0000-0000-0000C30E0000}"/>
    <cellStyle name="40% - Accent2 7 3 3 3" xfId="4994" xr:uid="{00000000-0005-0000-0000-0000C40E0000}"/>
    <cellStyle name="40% - Accent2 7 3 4" xfId="2353" xr:uid="{00000000-0005-0000-0000-0000C50E0000}"/>
    <cellStyle name="40% - Accent2 7 3 4 2" xfId="5522" xr:uid="{00000000-0005-0000-0000-0000C60E0000}"/>
    <cellStyle name="40% - Accent2 7 3 5" xfId="3938" xr:uid="{00000000-0005-0000-0000-0000C70E0000}"/>
    <cellStyle name="40% - Accent2 7 4" xfId="1033" xr:uid="{00000000-0005-0000-0000-0000C80E0000}"/>
    <cellStyle name="40% - Accent2 7 4 2" xfId="2617" xr:uid="{00000000-0005-0000-0000-0000C90E0000}"/>
    <cellStyle name="40% - Accent2 7 4 2 2" xfId="5786" xr:uid="{00000000-0005-0000-0000-0000CA0E0000}"/>
    <cellStyle name="40% - Accent2 7 4 3" xfId="4202" xr:uid="{00000000-0005-0000-0000-0000CB0E0000}"/>
    <cellStyle name="40% - Accent2 7 5" xfId="1561" xr:uid="{00000000-0005-0000-0000-0000CC0E0000}"/>
    <cellStyle name="40% - Accent2 7 5 2" xfId="3145" xr:uid="{00000000-0005-0000-0000-0000CD0E0000}"/>
    <cellStyle name="40% - Accent2 7 5 2 2" xfId="6314" xr:uid="{00000000-0005-0000-0000-0000CE0E0000}"/>
    <cellStyle name="40% - Accent2 7 5 3" xfId="4730" xr:uid="{00000000-0005-0000-0000-0000CF0E0000}"/>
    <cellStyle name="40% - Accent2 7 6" xfId="2089" xr:uid="{00000000-0005-0000-0000-0000D00E0000}"/>
    <cellStyle name="40% - Accent2 7 6 2" xfId="5258" xr:uid="{00000000-0005-0000-0000-0000D10E0000}"/>
    <cellStyle name="40% - Accent2 7 7" xfId="3674" xr:uid="{00000000-0005-0000-0000-0000D20E0000}"/>
    <cellStyle name="40% - Accent2 8" xfId="296" xr:uid="{00000000-0005-0000-0000-0000D30E0000}"/>
    <cellStyle name="40% - Accent2 8 2" xfId="297" xr:uid="{00000000-0005-0000-0000-0000D40E0000}"/>
    <cellStyle name="40% - Accent2 8 2 2" xfId="772" xr:uid="{00000000-0005-0000-0000-0000D50E0000}"/>
    <cellStyle name="40% - Accent2 8 2 2 2" xfId="1300" xr:uid="{00000000-0005-0000-0000-0000D60E0000}"/>
    <cellStyle name="40% - Accent2 8 2 2 2 2" xfId="2884" xr:uid="{00000000-0005-0000-0000-0000D70E0000}"/>
    <cellStyle name="40% - Accent2 8 2 2 2 2 2" xfId="6053" xr:uid="{00000000-0005-0000-0000-0000D80E0000}"/>
    <cellStyle name="40% - Accent2 8 2 2 2 3" xfId="4469" xr:uid="{00000000-0005-0000-0000-0000D90E0000}"/>
    <cellStyle name="40% - Accent2 8 2 2 3" xfId="1828" xr:uid="{00000000-0005-0000-0000-0000DA0E0000}"/>
    <cellStyle name="40% - Accent2 8 2 2 3 2" xfId="3412" xr:uid="{00000000-0005-0000-0000-0000DB0E0000}"/>
    <cellStyle name="40% - Accent2 8 2 2 3 2 2" xfId="6581" xr:uid="{00000000-0005-0000-0000-0000DC0E0000}"/>
    <cellStyle name="40% - Accent2 8 2 2 3 3" xfId="4997" xr:uid="{00000000-0005-0000-0000-0000DD0E0000}"/>
    <cellStyle name="40% - Accent2 8 2 2 4" xfId="2356" xr:uid="{00000000-0005-0000-0000-0000DE0E0000}"/>
    <cellStyle name="40% - Accent2 8 2 2 4 2" xfId="5525" xr:uid="{00000000-0005-0000-0000-0000DF0E0000}"/>
    <cellStyle name="40% - Accent2 8 2 2 5" xfId="3941" xr:uid="{00000000-0005-0000-0000-0000E00E0000}"/>
    <cellStyle name="40% - Accent2 8 2 3" xfId="1036" xr:uid="{00000000-0005-0000-0000-0000E10E0000}"/>
    <cellStyle name="40% - Accent2 8 2 3 2" xfId="2620" xr:uid="{00000000-0005-0000-0000-0000E20E0000}"/>
    <cellStyle name="40% - Accent2 8 2 3 2 2" xfId="5789" xr:uid="{00000000-0005-0000-0000-0000E30E0000}"/>
    <cellStyle name="40% - Accent2 8 2 3 3" xfId="4205" xr:uid="{00000000-0005-0000-0000-0000E40E0000}"/>
    <cellStyle name="40% - Accent2 8 2 4" xfId="1564" xr:uid="{00000000-0005-0000-0000-0000E50E0000}"/>
    <cellStyle name="40% - Accent2 8 2 4 2" xfId="3148" xr:uid="{00000000-0005-0000-0000-0000E60E0000}"/>
    <cellStyle name="40% - Accent2 8 2 4 2 2" xfId="6317" xr:uid="{00000000-0005-0000-0000-0000E70E0000}"/>
    <cellStyle name="40% - Accent2 8 2 4 3" xfId="4733" xr:uid="{00000000-0005-0000-0000-0000E80E0000}"/>
    <cellStyle name="40% - Accent2 8 2 5" xfId="2092" xr:uid="{00000000-0005-0000-0000-0000E90E0000}"/>
    <cellStyle name="40% - Accent2 8 2 5 2" xfId="5261" xr:uid="{00000000-0005-0000-0000-0000EA0E0000}"/>
    <cellStyle name="40% - Accent2 8 2 6" xfId="3677" xr:uid="{00000000-0005-0000-0000-0000EB0E0000}"/>
    <cellStyle name="40% - Accent2 8 3" xfId="771" xr:uid="{00000000-0005-0000-0000-0000EC0E0000}"/>
    <cellStyle name="40% - Accent2 8 3 2" xfId="1299" xr:uid="{00000000-0005-0000-0000-0000ED0E0000}"/>
    <cellStyle name="40% - Accent2 8 3 2 2" xfId="2883" xr:uid="{00000000-0005-0000-0000-0000EE0E0000}"/>
    <cellStyle name="40% - Accent2 8 3 2 2 2" xfId="6052" xr:uid="{00000000-0005-0000-0000-0000EF0E0000}"/>
    <cellStyle name="40% - Accent2 8 3 2 3" xfId="4468" xr:uid="{00000000-0005-0000-0000-0000F00E0000}"/>
    <cellStyle name="40% - Accent2 8 3 3" xfId="1827" xr:uid="{00000000-0005-0000-0000-0000F10E0000}"/>
    <cellStyle name="40% - Accent2 8 3 3 2" xfId="3411" xr:uid="{00000000-0005-0000-0000-0000F20E0000}"/>
    <cellStyle name="40% - Accent2 8 3 3 2 2" xfId="6580" xr:uid="{00000000-0005-0000-0000-0000F30E0000}"/>
    <cellStyle name="40% - Accent2 8 3 3 3" xfId="4996" xr:uid="{00000000-0005-0000-0000-0000F40E0000}"/>
    <cellStyle name="40% - Accent2 8 3 4" xfId="2355" xr:uid="{00000000-0005-0000-0000-0000F50E0000}"/>
    <cellStyle name="40% - Accent2 8 3 4 2" xfId="5524" xr:uid="{00000000-0005-0000-0000-0000F60E0000}"/>
    <cellStyle name="40% - Accent2 8 3 5" xfId="3940" xr:uid="{00000000-0005-0000-0000-0000F70E0000}"/>
    <cellStyle name="40% - Accent2 8 4" xfId="1035" xr:uid="{00000000-0005-0000-0000-0000F80E0000}"/>
    <cellStyle name="40% - Accent2 8 4 2" xfId="2619" xr:uid="{00000000-0005-0000-0000-0000F90E0000}"/>
    <cellStyle name="40% - Accent2 8 4 2 2" xfId="5788" xr:uid="{00000000-0005-0000-0000-0000FA0E0000}"/>
    <cellStyle name="40% - Accent2 8 4 3" xfId="4204" xr:uid="{00000000-0005-0000-0000-0000FB0E0000}"/>
    <cellStyle name="40% - Accent2 8 5" xfId="1563" xr:uid="{00000000-0005-0000-0000-0000FC0E0000}"/>
    <cellStyle name="40% - Accent2 8 5 2" xfId="3147" xr:uid="{00000000-0005-0000-0000-0000FD0E0000}"/>
    <cellStyle name="40% - Accent2 8 5 2 2" xfId="6316" xr:uid="{00000000-0005-0000-0000-0000FE0E0000}"/>
    <cellStyle name="40% - Accent2 8 5 3" xfId="4732" xr:uid="{00000000-0005-0000-0000-0000FF0E0000}"/>
    <cellStyle name="40% - Accent2 8 6" xfId="2091" xr:uid="{00000000-0005-0000-0000-0000000F0000}"/>
    <cellStyle name="40% - Accent2 8 6 2" xfId="5260" xr:uid="{00000000-0005-0000-0000-0000010F0000}"/>
    <cellStyle name="40% - Accent2 8 7" xfId="3676" xr:uid="{00000000-0005-0000-0000-0000020F0000}"/>
    <cellStyle name="40% - Accent2 9" xfId="298" xr:uid="{00000000-0005-0000-0000-0000030F0000}"/>
    <cellStyle name="40% - Accent2 9 2" xfId="299" xr:uid="{00000000-0005-0000-0000-0000040F0000}"/>
    <cellStyle name="40% - Accent2 9 2 2" xfId="774" xr:uid="{00000000-0005-0000-0000-0000050F0000}"/>
    <cellStyle name="40% - Accent2 9 2 2 2" xfId="1302" xr:uid="{00000000-0005-0000-0000-0000060F0000}"/>
    <cellStyle name="40% - Accent2 9 2 2 2 2" xfId="2886" xr:uid="{00000000-0005-0000-0000-0000070F0000}"/>
    <cellStyle name="40% - Accent2 9 2 2 2 2 2" xfId="6055" xr:uid="{00000000-0005-0000-0000-0000080F0000}"/>
    <cellStyle name="40% - Accent2 9 2 2 2 3" xfId="4471" xr:uid="{00000000-0005-0000-0000-0000090F0000}"/>
    <cellStyle name="40% - Accent2 9 2 2 3" xfId="1830" xr:uid="{00000000-0005-0000-0000-00000A0F0000}"/>
    <cellStyle name="40% - Accent2 9 2 2 3 2" xfId="3414" xr:uid="{00000000-0005-0000-0000-00000B0F0000}"/>
    <cellStyle name="40% - Accent2 9 2 2 3 2 2" xfId="6583" xr:uid="{00000000-0005-0000-0000-00000C0F0000}"/>
    <cellStyle name="40% - Accent2 9 2 2 3 3" xfId="4999" xr:uid="{00000000-0005-0000-0000-00000D0F0000}"/>
    <cellStyle name="40% - Accent2 9 2 2 4" xfId="2358" xr:uid="{00000000-0005-0000-0000-00000E0F0000}"/>
    <cellStyle name="40% - Accent2 9 2 2 4 2" xfId="5527" xr:uid="{00000000-0005-0000-0000-00000F0F0000}"/>
    <cellStyle name="40% - Accent2 9 2 2 5" xfId="3943" xr:uid="{00000000-0005-0000-0000-0000100F0000}"/>
    <cellStyle name="40% - Accent2 9 2 3" xfId="1038" xr:uid="{00000000-0005-0000-0000-0000110F0000}"/>
    <cellStyle name="40% - Accent2 9 2 3 2" xfId="2622" xr:uid="{00000000-0005-0000-0000-0000120F0000}"/>
    <cellStyle name="40% - Accent2 9 2 3 2 2" xfId="5791" xr:uid="{00000000-0005-0000-0000-0000130F0000}"/>
    <cellStyle name="40% - Accent2 9 2 3 3" xfId="4207" xr:uid="{00000000-0005-0000-0000-0000140F0000}"/>
    <cellStyle name="40% - Accent2 9 2 4" xfId="1566" xr:uid="{00000000-0005-0000-0000-0000150F0000}"/>
    <cellStyle name="40% - Accent2 9 2 4 2" xfId="3150" xr:uid="{00000000-0005-0000-0000-0000160F0000}"/>
    <cellStyle name="40% - Accent2 9 2 4 2 2" xfId="6319" xr:uid="{00000000-0005-0000-0000-0000170F0000}"/>
    <cellStyle name="40% - Accent2 9 2 4 3" xfId="4735" xr:uid="{00000000-0005-0000-0000-0000180F0000}"/>
    <cellStyle name="40% - Accent2 9 2 5" xfId="2094" xr:uid="{00000000-0005-0000-0000-0000190F0000}"/>
    <cellStyle name="40% - Accent2 9 2 5 2" xfId="5263" xr:uid="{00000000-0005-0000-0000-00001A0F0000}"/>
    <cellStyle name="40% - Accent2 9 2 6" xfId="3679" xr:uid="{00000000-0005-0000-0000-00001B0F0000}"/>
    <cellStyle name="40% - Accent2 9 3" xfId="773" xr:uid="{00000000-0005-0000-0000-00001C0F0000}"/>
    <cellStyle name="40% - Accent2 9 3 2" xfId="1301" xr:uid="{00000000-0005-0000-0000-00001D0F0000}"/>
    <cellStyle name="40% - Accent2 9 3 2 2" xfId="2885" xr:uid="{00000000-0005-0000-0000-00001E0F0000}"/>
    <cellStyle name="40% - Accent2 9 3 2 2 2" xfId="6054" xr:uid="{00000000-0005-0000-0000-00001F0F0000}"/>
    <cellStyle name="40% - Accent2 9 3 2 3" xfId="4470" xr:uid="{00000000-0005-0000-0000-0000200F0000}"/>
    <cellStyle name="40% - Accent2 9 3 3" xfId="1829" xr:uid="{00000000-0005-0000-0000-0000210F0000}"/>
    <cellStyle name="40% - Accent2 9 3 3 2" xfId="3413" xr:uid="{00000000-0005-0000-0000-0000220F0000}"/>
    <cellStyle name="40% - Accent2 9 3 3 2 2" xfId="6582" xr:uid="{00000000-0005-0000-0000-0000230F0000}"/>
    <cellStyle name="40% - Accent2 9 3 3 3" xfId="4998" xr:uid="{00000000-0005-0000-0000-0000240F0000}"/>
    <cellStyle name="40% - Accent2 9 3 4" xfId="2357" xr:uid="{00000000-0005-0000-0000-0000250F0000}"/>
    <cellStyle name="40% - Accent2 9 3 4 2" xfId="5526" xr:uid="{00000000-0005-0000-0000-0000260F0000}"/>
    <cellStyle name="40% - Accent2 9 3 5" xfId="3942" xr:uid="{00000000-0005-0000-0000-0000270F0000}"/>
    <cellStyle name="40% - Accent2 9 4" xfId="1037" xr:uid="{00000000-0005-0000-0000-0000280F0000}"/>
    <cellStyle name="40% - Accent2 9 4 2" xfId="2621" xr:uid="{00000000-0005-0000-0000-0000290F0000}"/>
    <cellStyle name="40% - Accent2 9 4 2 2" xfId="5790" xr:uid="{00000000-0005-0000-0000-00002A0F0000}"/>
    <cellStyle name="40% - Accent2 9 4 3" xfId="4206" xr:uid="{00000000-0005-0000-0000-00002B0F0000}"/>
    <cellStyle name="40% - Accent2 9 5" xfId="1565" xr:uid="{00000000-0005-0000-0000-00002C0F0000}"/>
    <cellStyle name="40% - Accent2 9 5 2" xfId="3149" xr:uid="{00000000-0005-0000-0000-00002D0F0000}"/>
    <cellStyle name="40% - Accent2 9 5 2 2" xfId="6318" xr:uid="{00000000-0005-0000-0000-00002E0F0000}"/>
    <cellStyle name="40% - Accent2 9 5 3" xfId="4734" xr:uid="{00000000-0005-0000-0000-00002F0F0000}"/>
    <cellStyle name="40% - Accent2 9 6" xfId="2093" xr:uid="{00000000-0005-0000-0000-0000300F0000}"/>
    <cellStyle name="40% - Accent2 9 6 2" xfId="5262" xr:uid="{00000000-0005-0000-0000-0000310F0000}"/>
    <cellStyle name="40% - Accent2 9 7" xfId="3678" xr:uid="{00000000-0005-0000-0000-0000320F0000}"/>
    <cellStyle name="40% - Accent3 10" xfId="300" xr:uid="{00000000-0005-0000-0000-0000330F0000}"/>
    <cellStyle name="40% - Accent3 10 2" xfId="301" xr:uid="{00000000-0005-0000-0000-0000340F0000}"/>
    <cellStyle name="40% - Accent3 10 2 2" xfId="776" xr:uid="{00000000-0005-0000-0000-0000350F0000}"/>
    <cellStyle name="40% - Accent3 10 2 2 2" xfId="1304" xr:uid="{00000000-0005-0000-0000-0000360F0000}"/>
    <cellStyle name="40% - Accent3 10 2 2 2 2" xfId="2888" xr:uid="{00000000-0005-0000-0000-0000370F0000}"/>
    <cellStyle name="40% - Accent3 10 2 2 2 2 2" xfId="6057" xr:uid="{00000000-0005-0000-0000-0000380F0000}"/>
    <cellStyle name="40% - Accent3 10 2 2 2 3" xfId="4473" xr:uid="{00000000-0005-0000-0000-0000390F0000}"/>
    <cellStyle name="40% - Accent3 10 2 2 3" xfId="1832" xr:uid="{00000000-0005-0000-0000-00003A0F0000}"/>
    <cellStyle name="40% - Accent3 10 2 2 3 2" xfId="3416" xr:uid="{00000000-0005-0000-0000-00003B0F0000}"/>
    <cellStyle name="40% - Accent3 10 2 2 3 2 2" xfId="6585" xr:uid="{00000000-0005-0000-0000-00003C0F0000}"/>
    <cellStyle name="40% - Accent3 10 2 2 3 3" xfId="5001" xr:uid="{00000000-0005-0000-0000-00003D0F0000}"/>
    <cellStyle name="40% - Accent3 10 2 2 4" xfId="2360" xr:uid="{00000000-0005-0000-0000-00003E0F0000}"/>
    <cellStyle name="40% - Accent3 10 2 2 4 2" xfId="5529" xr:uid="{00000000-0005-0000-0000-00003F0F0000}"/>
    <cellStyle name="40% - Accent3 10 2 2 5" xfId="3945" xr:uid="{00000000-0005-0000-0000-0000400F0000}"/>
    <cellStyle name="40% - Accent3 10 2 3" xfId="1040" xr:uid="{00000000-0005-0000-0000-0000410F0000}"/>
    <cellStyle name="40% - Accent3 10 2 3 2" xfId="2624" xr:uid="{00000000-0005-0000-0000-0000420F0000}"/>
    <cellStyle name="40% - Accent3 10 2 3 2 2" xfId="5793" xr:uid="{00000000-0005-0000-0000-0000430F0000}"/>
    <cellStyle name="40% - Accent3 10 2 3 3" xfId="4209" xr:uid="{00000000-0005-0000-0000-0000440F0000}"/>
    <cellStyle name="40% - Accent3 10 2 4" xfId="1568" xr:uid="{00000000-0005-0000-0000-0000450F0000}"/>
    <cellStyle name="40% - Accent3 10 2 4 2" xfId="3152" xr:uid="{00000000-0005-0000-0000-0000460F0000}"/>
    <cellStyle name="40% - Accent3 10 2 4 2 2" xfId="6321" xr:uid="{00000000-0005-0000-0000-0000470F0000}"/>
    <cellStyle name="40% - Accent3 10 2 4 3" xfId="4737" xr:uid="{00000000-0005-0000-0000-0000480F0000}"/>
    <cellStyle name="40% - Accent3 10 2 5" xfId="2096" xr:uid="{00000000-0005-0000-0000-0000490F0000}"/>
    <cellStyle name="40% - Accent3 10 2 5 2" xfId="5265" xr:uid="{00000000-0005-0000-0000-00004A0F0000}"/>
    <cellStyle name="40% - Accent3 10 2 6" xfId="3681" xr:uid="{00000000-0005-0000-0000-00004B0F0000}"/>
    <cellStyle name="40% - Accent3 10 3" xfId="775" xr:uid="{00000000-0005-0000-0000-00004C0F0000}"/>
    <cellStyle name="40% - Accent3 10 3 2" xfId="1303" xr:uid="{00000000-0005-0000-0000-00004D0F0000}"/>
    <cellStyle name="40% - Accent3 10 3 2 2" xfId="2887" xr:uid="{00000000-0005-0000-0000-00004E0F0000}"/>
    <cellStyle name="40% - Accent3 10 3 2 2 2" xfId="6056" xr:uid="{00000000-0005-0000-0000-00004F0F0000}"/>
    <cellStyle name="40% - Accent3 10 3 2 3" xfId="4472" xr:uid="{00000000-0005-0000-0000-0000500F0000}"/>
    <cellStyle name="40% - Accent3 10 3 3" xfId="1831" xr:uid="{00000000-0005-0000-0000-0000510F0000}"/>
    <cellStyle name="40% - Accent3 10 3 3 2" xfId="3415" xr:uid="{00000000-0005-0000-0000-0000520F0000}"/>
    <cellStyle name="40% - Accent3 10 3 3 2 2" xfId="6584" xr:uid="{00000000-0005-0000-0000-0000530F0000}"/>
    <cellStyle name="40% - Accent3 10 3 3 3" xfId="5000" xr:uid="{00000000-0005-0000-0000-0000540F0000}"/>
    <cellStyle name="40% - Accent3 10 3 4" xfId="2359" xr:uid="{00000000-0005-0000-0000-0000550F0000}"/>
    <cellStyle name="40% - Accent3 10 3 4 2" xfId="5528" xr:uid="{00000000-0005-0000-0000-0000560F0000}"/>
    <cellStyle name="40% - Accent3 10 3 5" xfId="3944" xr:uid="{00000000-0005-0000-0000-0000570F0000}"/>
    <cellStyle name="40% - Accent3 10 4" xfId="1039" xr:uid="{00000000-0005-0000-0000-0000580F0000}"/>
    <cellStyle name="40% - Accent3 10 4 2" xfId="2623" xr:uid="{00000000-0005-0000-0000-0000590F0000}"/>
    <cellStyle name="40% - Accent3 10 4 2 2" xfId="5792" xr:uid="{00000000-0005-0000-0000-00005A0F0000}"/>
    <cellStyle name="40% - Accent3 10 4 3" xfId="4208" xr:uid="{00000000-0005-0000-0000-00005B0F0000}"/>
    <cellStyle name="40% - Accent3 10 5" xfId="1567" xr:uid="{00000000-0005-0000-0000-00005C0F0000}"/>
    <cellStyle name="40% - Accent3 10 5 2" xfId="3151" xr:uid="{00000000-0005-0000-0000-00005D0F0000}"/>
    <cellStyle name="40% - Accent3 10 5 2 2" xfId="6320" xr:uid="{00000000-0005-0000-0000-00005E0F0000}"/>
    <cellStyle name="40% - Accent3 10 5 3" xfId="4736" xr:uid="{00000000-0005-0000-0000-00005F0F0000}"/>
    <cellStyle name="40% - Accent3 10 6" xfId="2095" xr:uid="{00000000-0005-0000-0000-0000600F0000}"/>
    <cellStyle name="40% - Accent3 10 6 2" xfId="5264" xr:uid="{00000000-0005-0000-0000-0000610F0000}"/>
    <cellStyle name="40% - Accent3 10 7" xfId="3680" xr:uid="{00000000-0005-0000-0000-0000620F0000}"/>
    <cellStyle name="40% - Accent3 11" xfId="302" xr:uid="{00000000-0005-0000-0000-0000630F0000}"/>
    <cellStyle name="40% - Accent3 11 2" xfId="777" xr:uid="{00000000-0005-0000-0000-0000640F0000}"/>
    <cellStyle name="40% - Accent3 11 2 2" xfId="1305" xr:uid="{00000000-0005-0000-0000-0000650F0000}"/>
    <cellStyle name="40% - Accent3 11 2 2 2" xfId="2889" xr:uid="{00000000-0005-0000-0000-0000660F0000}"/>
    <cellStyle name="40% - Accent3 11 2 2 2 2" xfId="6058" xr:uid="{00000000-0005-0000-0000-0000670F0000}"/>
    <cellStyle name="40% - Accent3 11 2 2 3" xfId="4474" xr:uid="{00000000-0005-0000-0000-0000680F0000}"/>
    <cellStyle name="40% - Accent3 11 2 3" xfId="1833" xr:uid="{00000000-0005-0000-0000-0000690F0000}"/>
    <cellStyle name="40% - Accent3 11 2 3 2" xfId="3417" xr:uid="{00000000-0005-0000-0000-00006A0F0000}"/>
    <cellStyle name="40% - Accent3 11 2 3 2 2" xfId="6586" xr:uid="{00000000-0005-0000-0000-00006B0F0000}"/>
    <cellStyle name="40% - Accent3 11 2 3 3" xfId="5002" xr:uid="{00000000-0005-0000-0000-00006C0F0000}"/>
    <cellStyle name="40% - Accent3 11 2 4" xfId="2361" xr:uid="{00000000-0005-0000-0000-00006D0F0000}"/>
    <cellStyle name="40% - Accent3 11 2 4 2" xfId="5530" xr:uid="{00000000-0005-0000-0000-00006E0F0000}"/>
    <cellStyle name="40% - Accent3 11 2 5" xfId="3946" xr:uid="{00000000-0005-0000-0000-00006F0F0000}"/>
    <cellStyle name="40% - Accent3 11 3" xfId="1041" xr:uid="{00000000-0005-0000-0000-0000700F0000}"/>
    <cellStyle name="40% - Accent3 11 3 2" xfId="2625" xr:uid="{00000000-0005-0000-0000-0000710F0000}"/>
    <cellStyle name="40% - Accent3 11 3 2 2" xfId="5794" xr:uid="{00000000-0005-0000-0000-0000720F0000}"/>
    <cellStyle name="40% - Accent3 11 3 3" xfId="4210" xr:uid="{00000000-0005-0000-0000-0000730F0000}"/>
    <cellStyle name="40% - Accent3 11 4" xfId="1569" xr:uid="{00000000-0005-0000-0000-0000740F0000}"/>
    <cellStyle name="40% - Accent3 11 4 2" xfId="3153" xr:uid="{00000000-0005-0000-0000-0000750F0000}"/>
    <cellStyle name="40% - Accent3 11 4 2 2" xfId="6322" xr:uid="{00000000-0005-0000-0000-0000760F0000}"/>
    <cellStyle name="40% - Accent3 11 4 3" xfId="4738" xr:uid="{00000000-0005-0000-0000-0000770F0000}"/>
    <cellStyle name="40% - Accent3 11 5" xfId="2097" xr:uid="{00000000-0005-0000-0000-0000780F0000}"/>
    <cellStyle name="40% - Accent3 11 5 2" xfId="5266" xr:uid="{00000000-0005-0000-0000-0000790F0000}"/>
    <cellStyle name="40% - Accent3 11 6" xfId="3682" xr:uid="{00000000-0005-0000-0000-00007A0F0000}"/>
    <cellStyle name="40% - Accent3 12" xfId="303" xr:uid="{00000000-0005-0000-0000-00007B0F0000}"/>
    <cellStyle name="40% - Accent3 12 2" xfId="778" xr:uid="{00000000-0005-0000-0000-00007C0F0000}"/>
    <cellStyle name="40% - Accent3 12 2 2" xfId="1306" xr:uid="{00000000-0005-0000-0000-00007D0F0000}"/>
    <cellStyle name="40% - Accent3 12 2 2 2" xfId="2890" xr:uid="{00000000-0005-0000-0000-00007E0F0000}"/>
    <cellStyle name="40% - Accent3 12 2 2 2 2" xfId="6059" xr:uid="{00000000-0005-0000-0000-00007F0F0000}"/>
    <cellStyle name="40% - Accent3 12 2 2 3" xfId="4475" xr:uid="{00000000-0005-0000-0000-0000800F0000}"/>
    <cellStyle name="40% - Accent3 12 2 3" xfId="1834" xr:uid="{00000000-0005-0000-0000-0000810F0000}"/>
    <cellStyle name="40% - Accent3 12 2 3 2" xfId="3418" xr:uid="{00000000-0005-0000-0000-0000820F0000}"/>
    <cellStyle name="40% - Accent3 12 2 3 2 2" xfId="6587" xr:uid="{00000000-0005-0000-0000-0000830F0000}"/>
    <cellStyle name="40% - Accent3 12 2 3 3" xfId="5003" xr:uid="{00000000-0005-0000-0000-0000840F0000}"/>
    <cellStyle name="40% - Accent3 12 2 4" xfId="2362" xr:uid="{00000000-0005-0000-0000-0000850F0000}"/>
    <cellStyle name="40% - Accent3 12 2 4 2" xfId="5531" xr:uid="{00000000-0005-0000-0000-0000860F0000}"/>
    <cellStyle name="40% - Accent3 12 2 5" xfId="3947" xr:uid="{00000000-0005-0000-0000-0000870F0000}"/>
    <cellStyle name="40% - Accent3 12 3" xfId="1042" xr:uid="{00000000-0005-0000-0000-0000880F0000}"/>
    <cellStyle name="40% - Accent3 12 3 2" xfId="2626" xr:uid="{00000000-0005-0000-0000-0000890F0000}"/>
    <cellStyle name="40% - Accent3 12 3 2 2" xfId="5795" xr:uid="{00000000-0005-0000-0000-00008A0F0000}"/>
    <cellStyle name="40% - Accent3 12 3 3" xfId="4211" xr:uid="{00000000-0005-0000-0000-00008B0F0000}"/>
    <cellStyle name="40% - Accent3 12 4" xfId="1570" xr:uid="{00000000-0005-0000-0000-00008C0F0000}"/>
    <cellStyle name="40% - Accent3 12 4 2" xfId="3154" xr:uid="{00000000-0005-0000-0000-00008D0F0000}"/>
    <cellStyle name="40% - Accent3 12 4 2 2" xfId="6323" xr:uid="{00000000-0005-0000-0000-00008E0F0000}"/>
    <cellStyle name="40% - Accent3 12 4 3" xfId="4739" xr:uid="{00000000-0005-0000-0000-00008F0F0000}"/>
    <cellStyle name="40% - Accent3 12 5" xfId="2098" xr:uid="{00000000-0005-0000-0000-0000900F0000}"/>
    <cellStyle name="40% - Accent3 12 5 2" xfId="5267" xr:uid="{00000000-0005-0000-0000-0000910F0000}"/>
    <cellStyle name="40% - Accent3 12 6" xfId="3683" xr:uid="{00000000-0005-0000-0000-0000920F0000}"/>
    <cellStyle name="40% - Accent3 13" xfId="304" xr:uid="{00000000-0005-0000-0000-0000930F0000}"/>
    <cellStyle name="40% - Accent3 13 2" xfId="779" xr:uid="{00000000-0005-0000-0000-0000940F0000}"/>
    <cellStyle name="40% - Accent3 13 2 2" xfId="1307" xr:uid="{00000000-0005-0000-0000-0000950F0000}"/>
    <cellStyle name="40% - Accent3 13 2 2 2" xfId="2891" xr:uid="{00000000-0005-0000-0000-0000960F0000}"/>
    <cellStyle name="40% - Accent3 13 2 2 2 2" xfId="6060" xr:uid="{00000000-0005-0000-0000-0000970F0000}"/>
    <cellStyle name="40% - Accent3 13 2 2 3" xfId="4476" xr:uid="{00000000-0005-0000-0000-0000980F0000}"/>
    <cellStyle name="40% - Accent3 13 2 3" xfId="1835" xr:uid="{00000000-0005-0000-0000-0000990F0000}"/>
    <cellStyle name="40% - Accent3 13 2 3 2" xfId="3419" xr:uid="{00000000-0005-0000-0000-00009A0F0000}"/>
    <cellStyle name="40% - Accent3 13 2 3 2 2" xfId="6588" xr:uid="{00000000-0005-0000-0000-00009B0F0000}"/>
    <cellStyle name="40% - Accent3 13 2 3 3" xfId="5004" xr:uid="{00000000-0005-0000-0000-00009C0F0000}"/>
    <cellStyle name="40% - Accent3 13 2 4" xfId="2363" xr:uid="{00000000-0005-0000-0000-00009D0F0000}"/>
    <cellStyle name="40% - Accent3 13 2 4 2" xfId="5532" xr:uid="{00000000-0005-0000-0000-00009E0F0000}"/>
    <cellStyle name="40% - Accent3 13 2 5" xfId="3948" xr:uid="{00000000-0005-0000-0000-00009F0F0000}"/>
    <cellStyle name="40% - Accent3 13 3" xfId="1043" xr:uid="{00000000-0005-0000-0000-0000A00F0000}"/>
    <cellStyle name="40% - Accent3 13 3 2" xfId="2627" xr:uid="{00000000-0005-0000-0000-0000A10F0000}"/>
    <cellStyle name="40% - Accent3 13 3 2 2" xfId="5796" xr:uid="{00000000-0005-0000-0000-0000A20F0000}"/>
    <cellStyle name="40% - Accent3 13 3 3" xfId="4212" xr:uid="{00000000-0005-0000-0000-0000A30F0000}"/>
    <cellStyle name="40% - Accent3 13 4" xfId="1571" xr:uid="{00000000-0005-0000-0000-0000A40F0000}"/>
    <cellStyle name="40% - Accent3 13 4 2" xfId="3155" xr:uid="{00000000-0005-0000-0000-0000A50F0000}"/>
    <cellStyle name="40% - Accent3 13 4 2 2" xfId="6324" xr:uid="{00000000-0005-0000-0000-0000A60F0000}"/>
    <cellStyle name="40% - Accent3 13 4 3" xfId="4740" xr:uid="{00000000-0005-0000-0000-0000A70F0000}"/>
    <cellStyle name="40% - Accent3 13 5" xfId="2099" xr:uid="{00000000-0005-0000-0000-0000A80F0000}"/>
    <cellStyle name="40% - Accent3 13 5 2" xfId="5268" xr:uid="{00000000-0005-0000-0000-0000A90F0000}"/>
    <cellStyle name="40% - Accent3 13 6" xfId="3684" xr:uid="{00000000-0005-0000-0000-0000AA0F0000}"/>
    <cellStyle name="40% - Accent3 14" xfId="305" xr:uid="{00000000-0005-0000-0000-0000AB0F0000}"/>
    <cellStyle name="40% - Accent3 14 2" xfId="780" xr:uid="{00000000-0005-0000-0000-0000AC0F0000}"/>
    <cellStyle name="40% - Accent3 14 2 2" xfId="1308" xr:uid="{00000000-0005-0000-0000-0000AD0F0000}"/>
    <cellStyle name="40% - Accent3 14 2 2 2" xfId="2892" xr:uid="{00000000-0005-0000-0000-0000AE0F0000}"/>
    <cellStyle name="40% - Accent3 14 2 2 2 2" xfId="6061" xr:uid="{00000000-0005-0000-0000-0000AF0F0000}"/>
    <cellStyle name="40% - Accent3 14 2 2 3" xfId="4477" xr:uid="{00000000-0005-0000-0000-0000B00F0000}"/>
    <cellStyle name="40% - Accent3 14 2 3" xfId="1836" xr:uid="{00000000-0005-0000-0000-0000B10F0000}"/>
    <cellStyle name="40% - Accent3 14 2 3 2" xfId="3420" xr:uid="{00000000-0005-0000-0000-0000B20F0000}"/>
    <cellStyle name="40% - Accent3 14 2 3 2 2" xfId="6589" xr:uid="{00000000-0005-0000-0000-0000B30F0000}"/>
    <cellStyle name="40% - Accent3 14 2 3 3" xfId="5005" xr:uid="{00000000-0005-0000-0000-0000B40F0000}"/>
    <cellStyle name="40% - Accent3 14 2 4" xfId="2364" xr:uid="{00000000-0005-0000-0000-0000B50F0000}"/>
    <cellStyle name="40% - Accent3 14 2 4 2" xfId="5533" xr:uid="{00000000-0005-0000-0000-0000B60F0000}"/>
    <cellStyle name="40% - Accent3 14 2 5" xfId="3949" xr:uid="{00000000-0005-0000-0000-0000B70F0000}"/>
    <cellStyle name="40% - Accent3 14 3" xfId="1044" xr:uid="{00000000-0005-0000-0000-0000B80F0000}"/>
    <cellStyle name="40% - Accent3 14 3 2" xfId="2628" xr:uid="{00000000-0005-0000-0000-0000B90F0000}"/>
    <cellStyle name="40% - Accent3 14 3 2 2" xfId="5797" xr:uid="{00000000-0005-0000-0000-0000BA0F0000}"/>
    <cellStyle name="40% - Accent3 14 3 3" xfId="4213" xr:uid="{00000000-0005-0000-0000-0000BB0F0000}"/>
    <cellStyle name="40% - Accent3 14 4" xfId="1572" xr:uid="{00000000-0005-0000-0000-0000BC0F0000}"/>
    <cellStyle name="40% - Accent3 14 4 2" xfId="3156" xr:uid="{00000000-0005-0000-0000-0000BD0F0000}"/>
    <cellStyle name="40% - Accent3 14 4 2 2" xfId="6325" xr:uid="{00000000-0005-0000-0000-0000BE0F0000}"/>
    <cellStyle name="40% - Accent3 14 4 3" xfId="4741" xr:uid="{00000000-0005-0000-0000-0000BF0F0000}"/>
    <cellStyle name="40% - Accent3 14 5" xfId="2100" xr:uid="{00000000-0005-0000-0000-0000C00F0000}"/>
    <cellStyle name="40% - Accent3 14 5 2" xfId="5269" xr:uid="{00000000-0005-0000-0000-0000C10F0000}"/>
    <cellStyle name="40% - Accent3 14 6" xfId="3685" xr:uid="{00000000-0005-0000-0000-0000C20F0000}"/>
    <cellStyle name="40% - Accent3 15" xfId="306" xr:uid="{00000000-0005-0000-0000-0000C30F0000}"/>
    <cellStyle name="40% - Accent3 15 2" xfId="781" xr:uid="{00000000-0005-0000-0000-0000C40F0000}"/>
    <cellStyle name="40% - Accent3 15 2 2" xfId="1309" xr:uid="{00000000-0005-0000-0000-0000C50F0000}"/>
    <cellStyle name="40% - Accent3 15 2 2 2" xfId="2893" xr:uid="{00000000-0005-0000-0000-0000C60F0000}"/>
    <cellStyle name="40% - Accent3 15 2 2 2 2" xfId="6062" xr:uid="{00000000-0005-0000-0000-0000C70F0000}"/>
    <cellStyle name="40% - Accent3 15 2 2 3" xfId="4478" xr:uid="{00000000-0005-0000-0000-0000C80F0000}"/>
    <cellStyle name="40% - Accent3 15 2 3" xfId="1837" xr:uid="{00000000-0005-0000-0000-0000C90F0000}"/>
    <cellStyle name="40% - Accent3 15 2 3 2" xfId="3421" xr:uid="{00000000-0005-0000-0000-0000CA0F0000}"/>
    <cellStyle name="40% - Accent3 15 2 3 2 2" xfId="6590" xr:uid="{00000000-0005-0000-0000-0000CB0F0000}"/>
    <cellStyle name="40% - Accent3 15 2 3 3" xfId="5006" xr:uid="{00000000-0005-0000-0000-0000CC0F0000}"/>
    <cellStyle name="40% - Accent3 15 2 4" xfId="2365" xr:uid="{00000000-0005-0000-0000-0000CD0F0000}"/>
    <cellStyle name="40% - Accent3 15 2 4 2" xfId="5534" xr:uid="{00000000-0005-0000-0000-0000CE0F0000}"/>
    <cellStyle name="40% - Accent3 15 2 5" xfId="3950" xr:uid="{00000000-0005-0000-0000-0000CF0F0000}"/>
    <cellStyle name="40% - Accent3 15 3" xfId="1045" xr:uid="{00000000-0005-0000-0000-0000D00F0000}"/>
    <cellStyle name="40% - Accent3 15 3 2" xfId="2629" xr:uid="{00000000-0005-0000-0000-0000D10F0000}"/>
    <cellStyle name="40% - Accent3 15 3 2 2" xfId="5798" xr:uid="{00000000-0005-0000-0000-0000D20F0000}"/>
    <cellStyle name="40% - Accent3 15 3 3" xfId="4214" xr:uid="{00000000-0005-0000-0000-0000D30F0000}"/>
    <cellStyle name="40% - Accent3 15 4" xfId="1573" xr:uid="{00000000-0005-0000-0000-0000D40F0000}"/>
    <cellStyle name="40% - Accent3 15 4 2" xfId="3157" xr:uid="{00000000-0005-0000-0000-0000D50F0000}"/>
    <cellStyle name="40% - Accent3 15 4 2 2" xfId="6326" xr:uid="{00000000-0005-0000-0000-0000D60F0000}"/>
    <cellStyle name="40% - Accent3 15 4 3" xfId="4742" xr:uid="{00000000-0005-0000-0000-0000D70F0000}"/>
    <cellStyle name="40% - Accent3 15 5" xfId="2101" xr:uid="{00000000-0005-0000-0000-0000D80F0000}"/>
    <cellStyle name="40% - Accent3 15 5 2" xfId="5270" xr:uid="{00000000-0005-0000-0000-0000D90F0000}"/>
    <cellStyle name="40% - Accent3 15 6" xfId="3686" xr:uid="{00000000-0005-0000-0000-0000DA0F0000}"/>
    <cellStyle name="40% - Accent3 16" xfId="307" xr:uid="{00000000-0005-0000-0000-0000DB0F0000}"/>
    <cellStyle name="40% - Accent3 16 2" xfId="782" xr:uid="{00000000-0005-0000-0000-0000DC0F0000}"/>
    <cellStyle name="40% - Accent3 16 2 2" xfId="1310" xr:uid="{00000000-0005-0000-0000-0000DD0F0000}"/>
    <cellStyle name="40% - Accent3 16 2 2 2" xfId="2894" xr:uid="{00000000-0005-0000-0000-0000DE0F0000}"/>
    <cellStyle name="40% - Accent3 16 2 2 2 2" xfId="6063" xr:uid="{00000000-0005-0000-0000-0000DF0F0000}"/>
    <cellStyle name="40% - Accent3 16 2 2 3" xfId="4479" xr:uid="{00000000-0005-0000-0000-0000E00F0000}"/>
    <cellStyle name="40% - Accent3 16 2 3" xfId="1838" xr:uid="{00000000-0005-0000-0000-0000E10F0000}"/>
    <cellStyle name="40% - Accent3 16 2 3 2" xfId="3422" xr:uid="{00000000-0005-0000-0000-0000E20F0000}"/>
    <cellStyle name="40% - Accent3 16 2 3 2 2" xfId="6591" xr:uid="{00000000-0005-0000-0000-0000E30F0000}"/>
    <cellStyle name="40% - Accent3 16 2 3 3" xfId="5007" xr:uid="{00000000-0005-0000-0000-0000E40F0000}"/>
    <cellStyle name="40% - Accent3 16 2 4" xfId="2366" xr:uid="{00000000-0005-0000-0000-0000E50F0000}"/>
    <cellStyle name="40% - Accent3 16 2 4 2" xfId="5535" xr:uid="{00000000-0005-0000-0000-0000E60F0000}"/>
    <cellStyle name="40% - Accent3 16 2 5" xfId="3951" xr:uid="{00000000-0005-0000-0000-0000E70F0000}"/>
    <cellStyle name="40% - Accent3 16 3" xfId="1046" xr:uid="{00000000-0005-0000-0000-0000E80F0000}"/>
    <cellStyle name="40% - Accent3 16 3 2" xfId="2630" xr:uid="{00000000-0005-0000-0000-0000E90F0000}"/>
    <cellStyle name="40% - Accent3 16 3 2 2" xfId="5799" xr:uid="{00000000-0005-0000-0000-0000EA0F0000}"/>
    <cellStyle name="40% - Accent3 16 3 3" xfId="4215" xr:uid="{00000000-0005-0000-0000-0000EB0F0000}"/>
    <cellStyle name="40% - Accent3 16 4" xfId="1574" xr:uid="{00000000-0005-0000-0000-0000EC0F0000}"/>
    <cellStyle name="40% - Accent3 16 4 2" xfId="3158" xr:uid="{00000000-0005-0000-0000-0000ED0F0000}"/>
    <cellStyle name="40% - Accent3 16 4 2 2" xfId="6327" xr:uid="{00000000-0005-0000-0000-0000EE0F0000}"/>
    <cellStyle name="40% - Accent3 16 4 3" xfId="4743" xr:uid="{00000000-0005-0000-0000-0000EF0F0000}"/>
    <cellStyle name="40% - Accent3 16 5" xfId="2102" xr:uid="{00000000-0005-0000-0000-0000F00F0000}"/>
    <cellStyle name="40% - Accent3 16 5 2" xfId="5271" xr:uid="{00000000-0005-0000-0000-0000F10F0000}"/>
    <cellStyle name="40% - Accent3 16 6" xfId="3687" xr:uid="{00000000-0005-0000-0000-0000F20F0000}"/>
    <cellStyle name="40% - Accent3 2" xfId="9" xr:uid="{00000000-0005-0000-0000-0000F30F0000}"/>
    <cellStyle name="40% - Accent3 2 2" xfId="308" xr:uid="{00000000-0005-0000-0000-0000F40F0000}"/>
    <cellStyle name="40% - Accent3 3" xfId="309" xr:uid="{00000000-0005-0000-0000-0000F50F0000}"/>
    <cellStyle name="40% - Accent3 4" xfId="310" xr:uid="{00000000-0005-0000-0000-0000F60F0000}"/>
    <cellStyle name="40% - Accent3 4 2" xfId="311" xr:uid="{00000000-0005-0000-0000-0000F70F0000}"/>
    <cellStyle name="40% - Accent3 4 2 2" xfId="784" xr:uid="{00000000-0005-0000-0000-0000F80F0000}"/>
    <cellStyle name="40% - Accent3 4 2 2 2" xfId="1312" xr:uid="{00000000-0005-0000-0000-0000F90F0000}"/>
    <cellStyle name="40% - Accent3 4 2 2 2 2" xfId="2896" xr:uid="{00000000-0005-0000-0000-0000FA0F0000}"/>
    <cellStyle name="40% - Accent3 4 2 2 2 2 2" xfId="6065" xr:uid="{00000000-0005-0000-0000-0000FB0F0000}"/>
    <cellStyle name="40% - Accent3 4 2 2 2 3" xfId="4481" xr:uid="{00000000-0005-0000-0000-0000FC0F0000}"/>
    <cellStyle name="40% - Accent3 4 2 2 3" xfId="1840" xr:uid="{00000000-0005-0000-0000-0000FD0F0000}"/>
    <cellStyle name="40% - Accent3 4 2 2 3 2" xfId="3424" xr:uid="{00000000-0005-0000-0000-0000FE0F0000}"/>
    <cellStyle name="40% - Accent3 4 2 2 3 2 2" xfId="6593" xr:uid="{00000000-0005-0000-0000-0000FF0F0000}"/>
    <cellStyle name="40% - Accent3 4 2 2 3 3" xfId="5009" xr:uid="{00000000-0005-0000-0000-000000100000}"/>
    <cellStyle name="40% - Accent3 4 2 2 4" xfId="2368" xr:uid="{00000000-0005-0000-0000-000001100000}"/>
    <cellStyle name="40% - Accent3 4 2 2 4 2" xfId="5537" xr:uid="{00000000-0005-0000-0000-000002100000}"/>
    <cellStyle name="40% - Accent3 4 2 2 5" xfId="3953" xr:uid="{00000000-0005-0000-0000-000003100000}"/>
    <cellStyle name="40% - Accent3 4 2 3" xfId="1048" xr:uid="{00000000-0005-0000-0000-000004100000}"/>
    <cellStyle name="40% - Accent3 4 2 3 2" xfId="2632" xr:uid="{00000000-0005-0000-0000-000005100000}"/>
    <cellStyle name="40% - Accent3 4 2 3 2 2" xfId="5801" xr:uid="{00000000-0005-0000-0000-000006100000}"/>
    <cellStyle name="40% - Accent3 4 2 3 3" xfId="4217" xr:uid="{00000000-0005-0000-0000-000007100000}"/>
    <cellStyle name="40% - Accent3 4 2 4" xfId="1576" xr:uid="{00000000-0005-0000-0000-000008100000}"/>
    <cellStyle name="40% - Accent3 4 2 4 2" xfId="3160" xr:uid="{00000000-0005-0000-0000-000009100000}"/>
    <cellStyle name="40% - Accent3 4 2 4 2 2" xfId="6329" xr:uid="{00000000-0005-0000-0000-00000A100000}"/>
    <cellStyle name="40% - Accent3 4 2 4 3" xfId="4745" xr:uid="{00000000-0005-0000-0000-00000B100000}"/>
    <cellStyle name="40% - Accent3 4 2 5" xfId="2104" xr:uid="{00000000-0005-0000-0000-00000C100000}"/>
    <cellStyle name="40% - Accent3 4 2 5 2" xfId="5273" xr:uid="{00000000-0005-0000-0000-00000D100000}"/>
    <cellStyle name="40% - Accent3 4 2 6" xfId="3689" xr:uid="{00000000-0005-0000-0000-00000E100000}"/>
    <cellStyle name="40% - Accent3 4 3" xfId="783" xr:uid="{00000000-0005-0000-0000-00000F100000}"/>
    <cellStyle name="40% - Accent3 4 3 2" xfId="1311" xr:uid="{00000000-0005-0000-0000-000010100000}"/>
    <cellStyle name="40% - Accent3 4 3 2 2" xfId="2895" xr:uid="{00000000-0005-0000-0000-000011100000}"/>
    <cellStyle name="40% - Accent3 4 3 2 2 2" xfId="6064" xr:uid="{00000000-0005-0000-0000-000012100000}"/>
    <cellStyle name="40% - Accent3 4 3 2 3" xfId="4480" xr:uid="{00000000-0005-0000-0000-000013100000}"/>
    <cellStyle name="40% - Accent3 4 3 3" xfId="1839" xr:uid="{00000000-0005-0000-0000-000014100000}"/>
    <cellStyle name="40% - Accent3 4 3 3 2" xfId="3423" xr:uid="{00000000-0005-0000-0000-000015100000}"/>
    <cellStyle name="40% - Accent3 4 3 3 2 2" xfId="6592" xr:uid="{00000000-0005-0000-0000-000016100000}"/>
    <cellStyle name="40% - Accent3 4 3 3 3" xfId="5008" xr:uid="{00000000-0005-0000-0000-000017100000}"/>
    <cellStyle name="40% - Accent3 4 3 4" xfId="2367" xr:uid="{00000000-0005-0000-0000-000018100000}"/>
    <cellStyle name="40% - Accent3 4 3 4 2" xfId="5536" xr:uid="{00000000-0005-0000-0000-000019100000}"/>
    <cellStyle name="40% - Accent3 4 3 5" xfId="3952" xr:uid="{00000000-0005-0000-0000-00001A100000}"/>
    <cellStyle name="40% - Accent3 4 4" xfId="1047" xr:uid="{00000000-0005-0000-0000-00001B100000}"/>
    <cellStyle name="40% - Accent3 4 4 2" xfId="2631" xr:uid="{00000000-0005-0000-0000-00001C100000}"/>
    <cellStyle name="40% - Accent3 4 4 2 2" xfId="5800" xr:uid="{00000000-0005-0000-0000-00001D100000}"/>
    <cellStyle name="40% - Accent3 4 4 3" xfId="4216" xr:uid="{00000000-0005-0000-0000-00001E100000}"/>
    <cellStyle name="40% - Accent3 4 5" xfId="1575" xr:uid="{00000000-0005-0000-0000-00001F100000}"/>
    <cellStyle name="40% - Accent3 4 5 2" xfId="3159" xr:uid="{00000000-0005-0000-0000-000020100000}"/>
    <cellStyle name="40% - Accent3 4 5 2 2" xfId="6328" xr:uid="{00000000-0005-0000-0000-000021100000}"/>
    <cellStyle name="40% - Accent3 4 5 3" xfId="4744" xr:uid="{00000000-0005-0000-0000-000022100000}"/>
    <cellStyle name="40% - Accent3 4 6" xfId="2103" xr:uid="{00000000-0005-0000-0000-000023100000}"/>
    <cellStyle name="40% - Accent3 4 6 2" xfId="5272" xr:uid="{00000000-0005-0000-0000-000024100000}"/>
    <cellStyle name="40% - Accent3 4 7" xfId="3688" xr:uid="{00000000-0005-0000-0000-000025100000}"/>
    <cellStyle name="40% - Accent3 5" xfId="312" xr:uid="{00000000-0005-0000-0000-000026100000}"/>
    <cellStyle name="40% - Accent3 5 2" xfId="313" xr:uid="{00000000-0005-0000-0000-000027100000}"/>
    <cellStyle name="40% - Accent3 5 2 2" xfId="786" xr:uid="{00000000-0005-0000-0000-000028100000}"/>
    <cellStyle name="40% - Accent3 5 2 2 2" xfId="1314" xr:uid="{00000000-0005-0000-0000-000029100000}"/>
    <cellStyle name="40% - Accent3 5 2 2 2 2" xfId="2898" xr:uid="{00000000-0005-0000-0000-00002A100000}"/>
    <cellStyle name="40% - Accent3 5 2 2 2 2 2" xfId="6067" xr:uid="{00000000-0005-0000-0000-00002B100000}"/>
    <cellStyle name="40% - Accent3 5 2 2 2 3" xfId="4483" xr:uid="{00000000-0005-0000-0000-00002C100000}"/>
    <cellStyle name="40% - Accent3 5 2 2 3" xfId="1842" xr:uid="{00000000-0005-0000-0000-00002D100000}"/>
    <cellStyle name="40% - Accent3 5 2 2 3 2" xfId="3426" xr:uid="{00000000-0005-0000-0000-00002E100000}"/>
    <cellStyle name="40% - Accent3 5 2 2 3 2 2" xfId="6595" xr:uid="{00000000-0005-0000-0000-00002F100000}"/>
    <cellStyle name="40% - Accent3 5 2 2 3 3" xfId="5011" xr:uid="{00000000-0005-0000-0000-000030100000}"/>
    <cellStyle name="40% - Accent3 5 2 2 4" xfId="2370" xr:uid="{00000000-0005-0000-0000-000031100000}"/>
    <cellStyle name="40% - Accent3 5 2 2 4 2" xfId="5539" xr:uid="{00000000-0005-0000-0000-000032100000}"/>
    <cellStyle name="40% - Accent3 5 2 2 5" xfId="3955" xr:uid="{00000000-0005-0000-0000-000033100000}"/>
    <cellStyle name="40% - Accent3 5 2 3" xfId="1050" xr:uid="{00000000-0005-0000-0000-000034100000}"/>
    <cellStyle name="40% - Accent3 5 2 3 2" xfId="2634" xr:uid="{00000000-0005-0000-0000-000035100000}"/>
    <cellStyle name="40% - Accent3 5 2 3 2 2" xfId="5803" xr:uid="{00000000-0005-0000-0000-000036100000}"/>
    <cellStyle name="40% - Accent3 5 2 3 3" xfId="4219" xr:uid="{00000000-0005-0000-0000-000037100000}"/>
    <cellStyle name="40% - Accent3 5 2 4" xfId="1578" xr:uid="{00000000-0005-0000-0000-000038100000}"/>
    <cellStyle name="40% - Accent3 5 2 4 2" xfId="3162" xr:uid="{00000000-0005-0000-0000-000039100000}"/>
    <cellStyle name="40% - Accent3 5 2 4 2 2" xfId="6331" xr:uid="{00000000-0005-0000-0000-00003A100000}"/>
    <cellStyle name="40% - Accent3 5 2 4 3" xfId="4747" xr:uid="{00000000-0005-0000-0000-00003B100000}"/>
    <cellStyle name="40% - Accent3 5 2 5" xfId="2106" xr:uid="{00000000-0005-0000-0000-00003C100000}"/>
    <cellStyle name="40% - Accent3 5 2 5 2" xfId="5275" xr:uid="{00000000-0005-0000-0000-00003D100000}"/>
    <cellStyle name="40% - Accent3 5 2 6" xfId="3691" xr:uid="{00000000-0005-0000-0000-00003E100000}"/>
    <cellStyle name="40% - Accent3 5 3" xfId="785" xr:uid="{00000000-0005-0000-0000-00003F100000}"/>
    <cellStyle name="40% - Accent3 5 3 2" xfId="1313" xr:uid="{00000000-0005-0000-0000-000040100000}"/>
    <cellStyle name="40% - Accent3 5 3 2 2" xfId="2897" xr:uid="{00000000-0005-0000-0000-000041100000}"/>
    <cellStyle name="40% - Accent3 5 3 2 2 2" xfId="6066" xr:uid="{00000000-0005-0000-0000-000042100000}"/>
    <cellStyle name="40% - Accent3 5 3 2 3" xfId="4482" xr:uid="{00000000-0005-0000-0000-000043100000}"/>
    <cellStyle name="40% - Accent3 5 3 3" xfId="1841" xr:uid="{00000000-0005-0000-0000-000044100000}"/>
    <cellStyle name="40% - Accent3 5 3 3 2" xfId="3425" xr:uid="{00000000-0005-0000-0000-000045100000}"/>
    <cellStyle name="40% - Accent3 5 3 3 2 2" xfId="6594" xr:uid="{00000000-0005-0000-0000-000046100000}"/>
    <cellStyle name="40% - Accent3 5 3 3 3" xfId="5010" xr:uid="{00000000-0005-0000-0000-000047100000}"/>
    <cellStyle name="40% - Accent3 5 3 4" xfId="2369" xr:uid="{00000000-0005-0000-0000-000048100000}"/>
    <cellStyle name="40% - Accent3 5 3 4 2" xfId="5538" xr:uid="{00000000-0005-0000-0000-000049100000}"/>
    <cellStyle name="40% - Accent3 5 3 5" xfId="3954" xr:uid="{00000000-0005-0000-0000-00004A100000}"/>
    <cellStyle name="40% - Accent3 5 4" xfId="1049" xr:uid="{00000000-0005-0000-0000-00004B100000}"/>
    <cellStyle name="40% - Accent3 5 4 2" xfId="2633" xr:uid="{00000000-0005-0000-0000-00004C100000}"/>
    <cellStyle name="40% - Accent3 5 4 2 2" xfId="5802" xr:uid="{00000000-0005-0000-0000-00004D100000}"/>
    <cellStyle name="40% - Accent3 5 4 3" xfId="4218" xr:uid="{00000000-0005-0000-0000-00004E100000}"/>
    <cellStyle name="40% - Accent3 5 5" xfId="1577" xr:uid="{00000000-0005-0000-0000-00004F100000}"/>
    <cellStyle name="40% - Accent3 5 5 2" xfId="3161" xr:uid="{00000000-0005-0000-0000-000050100000}"/>
    <cellStyle name="40% - Accent3 5 5 2 2" xfId="6330" xr:uid="{00000000-0005-0000-0000-000051100000}"/>
    <cellStyle name="40% - Accent3 5 5 3" xfId="4746" xr:uid="{00000000-0005-0000-0000-000052100000}"/>
    <cellStyle name="40% - Accent3 5 6" xfId="2105" xr:uid="{00000000-0005-0000-0000-000053100000}"/>
    <cellStyle name="40% - Accent3 5 6 2" xfId="5274" xr:uid="{00000000-0005-0000-0000-000054100000}"/>
    <cellStyle name="40% - Accent3 5 7" xfId="3690" xr:uid="{00000000-0005-0000-0000-000055100000}"/>
    <cellStyle name="40% - Accent3 6" xfId="314" xr:uid="{00000000-0005-0000-0000-000056100000}"/>
    <cellStyle name="40% - Accent3 6 2" xfId="315" xr:uid="{00000000-0005-0000-0000-000057100000}"/>
    <cellStyle name="40% - Accent3 6 2 2" xfId="788" xr:uid="{00000000-0005-0000-0000-000058100000}"/>
    <cellStyle name="40% - Accent3 6 2 2 2" xfId="1316" xr:uid="{00000000-0005-0000-0000-000059100000}"/>
    <cellStyle name="40% - Accent3 6 2 2 2 2" xfId="2900" xr:uid="{00000000-0005-0000-0000-00005A100000}"/>
    <cellStyle name="40% - Accent3 6 2 2 2 2 2" xfId="6069" xr:uid="{00000000-0005-0000-0000-00005B100000}"/>
    <cellStyle name="40% - Accent3 6 2 2 2 3" xfId="4485" xr:uid="{00000000-0005-0000-0000-00005C100000}"/>
    <cellStyle name="40% - Accent3 6 2 2 3" xfId="1844" xr:uid="{00000000-0005-0000-0000-00005D100000}"/>
    <cellStyle name="40% - Accent3 6 2 2 3 2" xfId="3428" xr:uid="{00000000-0005-0000-0000-00005E100000}"/>
    <cellStyle name="40% - Accent3 6 2 2 3 2 2" xfId="6597" xr:uid="{00000000-0005-0000-0000-00005F100000}"/>
    <cellStyle name="40% - Accent3 6 2 2 3 3" xfId="5013" xr:uid="{00000000-0005-0000-0000-000060100000}"/>
    <cellStyle name="40% - Accent3 6 2 2 4" xfId="2372" xr:uid="{00000000-0005-0000-0000-000061100000}"/>
    <cellStyle name="40% - Accent3 6 2 2 4 2" xfId="5541" xr:uid="{00000000-0005-0000-0000-000062100000}"/>
    <cellStyle name="40% - Accent3 6 2 2 5" xfId="3957" xr:uid="{00000000-0005-0000-0000-000063100000}"/>
    <cellStyle name="40% - Accent3 6 2 3" xfId="1052" xr:uid="{00000000-0005-0000-0000-000064100000}"/>
    <cellStyle name="40% - Accent3 6 2 3 2" xfId="2636" xr:uid="{00000000-0005-0000-0000-000065100000}"/>
    <cellStyle name="40% - Accent3 6 2 3 2 2" xfId="5805" xr:uid="{00000000-0005-0000-0000-000066100000}"/>
    <cellStyle name="40% - Accent3 6 2 3 3" xfId="4221" xr:uid="{00000000-0005-0000-0000-000067100000}"/>
    <cellStyle name="40% - Accent3 6 2 4" xfId="1580" xr:uid="{00000000-0005-0000-0000-000068100000}"/>
    <cellStyle name="40% - Accent3 6 2 4 2" xfId="3164" xr:uid="{00000000-0005-0000-0000-000069100000}"/>
    <cellStyle name="40% - Accent3 6 2 4 2 2" xfId="6333" xr:uid="{00000000-0005-0000-0000-00006A100000}"/>
    <cellStyle name="40% - Accent3 6 2 4 3" xfId="4749" xr:uid="{00000000-0005-0000-0000-00006B100000}"/>
    <cellStyle name="40% - Accent3 6 2 5" xfId="2108" xr:uid="{00000000-0005-0000-0000-00006C100000}"/>
    <cellStyle name="40% - Accent3 6 2 5 2" xfId="5277" xr:uid="{00000000-0005-0000-0000-00006D100000}"/>
    <cellStyle name="40% - Accent3 6 2 6" xfId="3693" xr:uid="{00000000-0005-0000-0000-00006E100000}"/>
    <cellStyle name="40% - Accent3 6 3" xfId="787" xr:uid="{00000000-0005-0000-0000-00006F100000}"/>
    <cellStyle name="40% - Accent3 6 3 2" xfId="1315" xr:uid="{00000000-0005-0000-0000-000070100000}"/>
    <cellStyle name="40% - Accent3 6 3 2 2" xfId="2899" xr:uid="{00000000-0005-0000-0000-000071100000}"/>
    <cellStyle name="40% - Accent3 6 3 2 2 2" xfId="6068" xr:uid="{00000000-0005-0000-0000-000072100000}"/>
    <cellStyle name="40% - Accent3 6 3 2 3" xfId="4484" xr:uid="{00000000-0005-0000-0000-000073100000}"/>
    <cellStyle name="40% - Accent3 6 3 3" xfId="1843" xr:uid="{00000000-0005-0000-0000-000074100000}"/>
    <cellStyle name="40% - Accent3 6 3 3 2" xfId="3427" xr:uid="{00000000-0005-0000-0000-000075100000}"/>
    <cellStyle name="40% - Accent3 6 3 3 2 2" xfId="6596" xr:uid="{00000000-0005-0000-0000-000076100000}"/>
    <cellStyle name="40% - Accent3 6 3 3 3" xfId="5012" xr:uid="{00000000-0005-0000-0000-000077100000}"/>
    <cellStyle name="40% - Accent3 6 3 4" xfId="2371" xr:uid="{00000000-0005-0000-0000-000078100000}"/>
    <cellStyle name="40% - Accent3 6 3 4 2" xfId="5540" xr:uid="{00000000-0005-0000-0000-000079100000}"/>
    <cellStyle name="40% - Accent3 6 3 5" xfId="3956" xr:uid="{00000000-0005-0000-0000-00007A100000}"/>
    <cellStyle name="40% - Accent3 6 4" xfId="1051" xr:uid="{00000000-0005-0000-0000-00007B100000}"/>
    <cellStyle name="40% - Accent3 6 4 2" xfId="2635" xr:uid="{00000000-0005-0000-0000-00007C100000}"/>
    <cellStyle name="40% - Accent3 6 4 2 2" xfId="5804" xr:uid="{00000000-0005-0000-0000-00007D100000}"/>
    <cellStyle name="40% - Accent3 6 4 3" xfId="4220" xr:uid="{00000000-0005-0000-0000-00007E100000}"/>
    <cellStyle name="40% - Accent3 6 5" xfId="1579" xr:uid="{00000000-0005-0000-0000-00007F100000}"/>
    <cellStyle name="40% - Accent3 6 5 2" xfId="3163" xr:uid="{00000000-0005-0000-0000-000080100000}"/>
    <cellStyle name="40% - Accent3 6 5 2 2" xfId="6332" xr:uid="{00000000-0005-0000-0000-000081100000}"/>
    <cellStyle name="40% - Accent3 6 5 3" xfId="4748" xr:uid="{00000000-0005-0000-0000-000082100000}"/>
    <cellStyle name="40% - Accent3 6 6" xfId="2107" xr:uid="{00000000-0005-0000-0000-000083100000}"/>
    <cellStyle name="40% - Accent3 6 6 2" xfId="5276" xr:uid="{00000000-0005-0000-0000-000084100000}"/>
    <cellStyle name="40% - Accent3 6 7" xfId="3692" xr:uid="{00000000-0005-0000-0000-000085100000}"/>
    <cellStyle name="40% - Accent3 7" xfId="316" xr:uid="{00000000-0005-0000-0000-000086100000}"/>
    <cellStyle name="40% - Accent3 7 2" xfId="317" xr:uid="{00000000-0005-0000-0000-000087100000}"/>
    <cellStyle name="40% - Accent3 7 2 2" xfId="790" xr:uid="{00000000-0005-0000-0000-000088100000}"/>
    <cellStyle name="40% - Accent3 7 2 2 2" xfId="1318" xr:uid="{00000000-0005-0000-0000-000089100000}"/>
    <cellStyle name="40% - Accent3 7 2 2 2 2" xfId="2902" xr:uid="{00000000-0005-0000-0000-00008A100000}"/>
    <cellStyle name="40% - Accent3 7 2 2 2 2 2" xfId="6071" xr:uid="{00000000-0005-0000-0000-00008B100000}"/>
    <cellStyle name="40% - Accent3 7 2 2 2 3" xfId="4487" xr:uid="{00000000-0005-0000-0000-00008C100000}"/>
    <cellStyle name="40% - Accent3 7 2 2 3" xfId="1846" xr:uid="{00000000-0005-0000-0000-00008D100000}"/>
    <cellStyle name="40% - Accent3 7 2 2 3 2" xfId="3430" xr:uid="{00000000-0005-0000-0000-00008E100000}"/>
    <cellStyle name="40% - Accent3 7 2 2 3 2 2" xfId="6599" xr:uid="{00000000-0005-0000-0000-00008F100000}"/>
    <cellStyle name="40% - Accent3 7 2 2 3 3" xfId="5015" xr:uid="{00000000-0005-0000-0000-000090100000}"/>
    <cellStyle name="40% - Accent3 7 2 2 4" xfId="2374" xr:uid="{00000000-0005-0000-0000-000091100000}"/>
    <cellStyle name="40% - Accent3 7 2 2 4 2" xfId="5543" xr:uid="{00000000-0005-0000-0000-000092100000}"/>
    <cellStyle name="40% - Accent3 7 2 2 5" xfId="3959" xr:uid="{00000000-0005-0000-0000-000093100000}"/>
    <cellStyle name="40% - Accent3 7 2 3" xfId="1054" xr:uid="{00000000-0005-0000-0000-000094100000}"/>
    <cellStyle name="40% - Accent3 7 2 3 2" xfId="2638" xr:uid="{00000000-0005-0000-0000-000095100000}"/>
    <cellStyle name="40% - Accent3 7 2 3 2 2" xfId="5807" xr:uid="{00000000-0005-0000-0000-000096100000}"/>
    <cellStyle name="40% - Accent3 7 2 3 3" xfId="4223" xr:uid="{00000000-0005-0000-0000-000097100000}"/>
    <cellStyle name="40% - Accent3 7 2 4" xfId="1582" xr:uid="{00000000-0005-0000-0000-000098100000}"/>
    <cellStyle name="40% - Accent3 7 2 4 2" xfId="3166" xr:uid="{00000000-0005-0000-0000-000099100000}"/>
    <cellStyle name="40% - Accent3 7 2 4 2 2" xfId="6335" xr:uid="{00000000-0005-0000-0000-00009A100000}"/>
    <cellStyle name="40% - Accent3 7 2 4 3" xfId="4751" xr:uid="{00000000-0005-0000-0000-00009B100000}"/>
    <cellStyle name="40% - Accent3 7 2 5" xfId="2110" xr:uid="{00000000-0005-0000-0000-00009C100000}"/>
    <cellStyle name="40% - Accent3 7 2 5 2" xfId="5279" xr:uid="{00000000-0005-0000-0000-00009D100000}"/>
    <cellStyle name="40% - Accent3 7 2 6" xfId="3695" xr:uid="{00000000-0005-0000-0000-00009E100000}"/>
    <cellStyle name="40% - Accent3 7 3" xfId="789" xr:uid="{00000000-0005-0000-0000-00009F100000}"/>
    <cellStyle name="40% - Accent3 7 3 2" xfId="1317" xr:uid="{00000000-0005-0000-0000-0000A0100000}"/>
    <cellStyle name="40% - Accent3 7 3 2 2" xfId="2901" xr:uid="{00000000-0005-0000-0000-0000A1100000}"/>
    <cellStyle name="40% - Accent3 7 3 2 2 2" xfId="6070" xr:uid="{00000000-0005-0000-0000-0000A2100000}"/>
    <cellStyle name="40% - Accent3 7 3 2 3" xfId="4486" xr:uid="{00000000-0005-0000-0000-0000A3100000}"/>
    <cellStyle name="40% - Accent3 7 3 3" xfId="1845" xr:uid="{00000000-0005-0000-0000-0000A4100000}"/>
    <cellStyle name="40% - Accent3 7 3 3 2" xfId="3429" xr:uid="{00000000-0005-0000-0000-0000A5100000}"/>
    <cellStyle name="40% - Accent3 7 3 3 2 2" xfId="6598" xr:uid="{00000000-0005-0000-0000-0000A6100000}"/>
    <cellStyle name="40% - Accent3 7 3 3 3" xfId="5014" xr:uid="{00000000-0005-0000-0000-0000A7100000}"/>
    <cellStyle name="40% - Accent3 7 3 4" xfId="2373" xr:uid="{00000000-0005-0000-0000-0000A8100000}"/>
    <cellStyle name="40% - Accent3 7 3 4 2" xfId="5542" xr:uid="{00000000-0005-0000-0000-0000A9100000}"/>
    <cellStyle name="40% - Accent3 7 3 5" xfId="3958" xr:uid="{00000000-0005-0000-0000-0000AA100000}"/>
    <cellStyle name="40% - Accent3 7 4" xfId="1053" xr:uid="{00000000-0005-0000-0000-0000AB100000}"/>
    <cellStyle name="40% - Accent3 7 4 2" xfId="2637" xr:uid="{00000000-0005-0000-0000-0000AC100000}"/>
    <cellStyle name="40% - Accent3 7 4 2 2" xfId="5806" xr:uid="{00000000-0005-0000-0000-0000AD100000}"/>
    <cellStyle name="40% - Accent3 7 4 3" xfId="4222" xr:uid="{00000000-0005-0000-0000-0000AE100000}"/>
    <cellStyle name="40% - Accent3 7 5" xfId="1581" xr:uid="{00000000-0005-0000-0000-0000AF100000}"/>
    <cellStyle name="40% - Accent3 7 5 2" xfId="3165" xr:uid="{00000000-0005-0000-0000-0000B0100000}"/>
    <cellStyle name="40% - Accent3 7 5 2 2" xfId="6334" xr:uid="{00000000-0005-0000-0000-0000B1100000}"/>
    <cellStyle name="40% - Accent3 7 5 3" xfId="4750" xr:uid="{00000000-0005-0000-0000-0000B2100000}"/>
    <cellStyle name="40% - Accent3 7 6" xfId="2109" xr:uid="{00000000-0005-0000-0000-0000B3100000}"/>
    <cellStyle name="40% - Accent3 7 6 2" xfId="5278" xr:uid="{00000000-0005-0000-0000-0000B4100000}"/>
    <cellStyle name="40% - Accent3 7 7" xfId="3694" xr:uid="{00000000-0005-0000-0000-0000B5100000}"/>
    <cellStyle name="40% - Accent3 8" xfId="318" xr:uid="{00000000-0005-0000-0000-0000B6100000}"/>
    <cellStyle name="40% - Accent3 8 2" xfId="319" xr:uid="{00000000-0005-0000-0000-0000B7100000}"/>
    <cellStyle name="40% - Accent3 8 2 2" xfId="792" xr:uid="{00000000-0005-0000-0000-0000B8100000}"/>
    <cellStyle name="40% - Accent3 8 2 2 2" xfId="1320" xr:uid="{00000000-0005-0000-0000-0000B9100000}"/>
    <cellStyle name="40% - Accent3 8 2 2 2 2" xfId="2904" xr:uid="{00000000-0005-0000-0000-0000BA100000}"/>
    <cellStyle name="40% - Accent3 8 2 2 2 2 2" xfId="6073" xr:uid="{00000000-0005-0000-0000-0000BB100000}"/>
    <cellStyle name="40% - Accent3 8 2 2 2 3" xfId="4489" xr:uid="{00000000-0005-0000-0000-0000BC100000}"/>
    <cellStyle name="40% - Accent3 8 2 2 3" xfId="1848" xr:uid="{00000000-0005-0000-0000-0000BD100000}"/>
    <cellStyle name="40% - Accent3 8 2 2 3 2" xfId="3432" xr:uid="{00000000-0005-0000-0000-0000BE100000}"/>
    <cellStyle name="40% - Accent3 8 2 2 3 2 2" xfId="6601" xr:uid="{00000000-0005-0000-0000-0000BF100000}"/>
    <cellStyle name="40% - Accent3 8 2 2 3 3" xfId="5017" xr:uid="{00000000-0005-0000-0000-0000C0100000}"/>
    <cellStyle name="40% - Accent3 8 2 2 4" xfId="2376" xr:uid="{00000000-0005-0000-0000-0000C1100000}"/>
    <cellStyle name="40% - Accent3 8 2 2 4 2" xfId="5545" xr:uid="{00000000-0005-0000-0000-0000C2100000}"/>
    <cellStyle name="40% - Accent3 8 2 2 5" xfId="3961" xr:uid="{00000000-0005-0000-0000-0000C3100000}"/>
    <cellStyle name="40% - Accent3 8 2 3" xfId="1056" xr:uid="{00000000-0005-0000-0000-0000C4100000}"/>
    <cellStyle name="40% - Accent3 8 2 3 2" xfId="2640" xr:uid="{00000000-0005-0000-0000-0000C5100000}"/>
    <cellStyle name="40% - Accent3 8 2 3 2 2" xfId="5809" xr:uid="{00000000-0005-0000-0000-0000C6100000}"/>
    <cellStyle name="40% - Accent3 8 2 3 3" xfId="4225" xr:uid="{00000000-0005-0000-0000-0000C7100000}"/>
    <cellStyle name="40% - Accent3 8 2 4" xfId="1584" xr:uid="{00000000-0005-0000-0000-0000C8100000}"/>
    <cellStyle name="40% - Accent3 8 2 4 2" xfId="3168" xr:uid="{00000000-0005-0000-0000-0000C9100000}"/>
    <cellStyle name="40% - Accent3 8 2 4 2 2" xfId="6337" xr:uid="{00000000-0005-0000-0000-0000CA100000}"/>
    <cellStyle name="40% - Accent3 8 2 4 3" xfId="4753" xr:uid="{00000000-0005-0000-0000-0000CB100000}"/>
    <cellStyle name="40% - Accent3 8 2 5" xfId="2112" xr:uid="{00000000-0005-0000-0000-0000CC100000}"/>
    <cellStyle name="40% - Accent3 8 2 5 2" xfId="5281" xr:uid="{00000000-0005-0000-0000-0000CD100000}"/>
    <cellStyle name="40% - Accent3 8 2 6" xfId="3697" xr:uid="{00000000-0005-0000-0000-0000CE100000}"/>
    <cellStyle name="40% - Accent3 8 3" xfId="791" xr:uid="{00000000-0005-0000-0000-0000CF100000}"/>
    <cellStyle name="40% - Accent3 8 3 2" xfId="1319" xr:uid="{00000000-0005-0000-0000-0000D0100000}"/>
    <cellStyle name="40% - Accent3 8 3 2 2" xfId="2903" xr:uid="{00000000-0005-0000-0000-0000D1100000}"/>
    <cellStyle name="40% - Accent3 8 3 2 2 2" xfId="6072" xr:uid="{00000000-0005-0000-0000-0000D2100000}"/>
    <cellStyle name="40% - Accent3 8 3 2 3" xfId="4488" xr:uid="{00000000-0005-0000-0000-0000D3100000}"/>
    <cellStyle name="40% - Accent3 8 3 3" xfId="1847" xr:uid="{00000000-0005-0000-0000-0000D4100000}"/>
    <cellStyle name="40% - Accent3 8 3 3 2" xfId="3431" xr:uid="{00000000-0005-0000-0000-0000D5100000}"/>
    <cellStyle name="40% - Accent3 8 3 3 2 2" xfId="6600" xr:uid="{00000000-0005-0000-0000-0000D6100000}"/>
    <cellStyle name="40% - Accent3 8 3 3 3" xfId="5016" xr:uid="{00000000-0005-0000-0000-0000D7100000}"/>
    <cellStyle name="40% - Accent3 8 3 4" xfId="2375" xr:uid="{00000000-0005-0000-0000-0000D8100000}"/>
    <cellStyle name="40% - Accent3 8 3 4 2" xfId="5544" xr:uid="{00000000-0005-0000-0000-0000D9100000}"/>
    <cellStyle name="40% - Accent3 8 3 5" xfId="3960" xr:uid="{00000000-0005-0000-0000-0000DA100000}"/>
    <cellStyle name="40% - Accent3 8 4" xfId="1055" xr:uid="{00000000-0005-0000-0000-0000DB100000}"/>
    <cellStyle name="40% - Accent3 8 4 2" xfId="2639" xr:uid="{00000000-0005-0000-0000-0000DC100000}"/>
    <cellStyle name="40% - Accent3 8 4 2 2" xfId="5808" xr:uid="{00000000-0005-0000-0000-0000DD100000}"/>
    <cellStyle name="40% - Accent3 8 4 3" xfId="4224" xr:uid="{00000000-0005-0000-0000-0000DE100000}"/>
    <cellStyle name="40% - Accent3 8 5" xfId="1583" xr:uid="{00000000-0005-0000-0000-0000DF100000}"/>
    <cellStyle name="40% - Accent3 8 5 2" xfId="3167" xr:uid="{00000000-0005-0000-0000-0000E0100000}"/>
    <cellStyle name="40% - Accent3 8 5 2 2" xfId="6336" xr:uid="{00000000-0005-0000-0000-0000E1100000}"/>
    <cellStyle name="40% - Accent3 8 5 3" xfId="4752" xr:uid="{00000000-0005-0000-0000-0000E2100000}"/>
    <cellStyle name="40% - Accent3 8 6" xfId="2111" xr:uid="{00000000-0005-0000-0000-0000E3100000}"/>
    <cellStyle name="40% - Accent3 8 6 2" xfId="5280" xr:uid="{00000000-0005-0000-0000-0000E4100000}"/>
    <cellStyle name="40% - Accent3 8 7" xfId="3696" xr:uid="{00000000-0005-0000-0000-0000E5100000}"/>
    <cellStyle name="40% - Accent3 9" xfId="320" xr:uid="{00000000-0005-0000-0000-0000E6100000}"/>
    <cellStyle name="40% - Accent3 9 2" xfId="321" xr:uid="{00000000-0005-0000-0000-0000E7100000}"/>
    <cellStyle name="40% - Accent3 9 2 2" xfId="794" xr:uid="{00000000-0005-0000-0000-0000E8100000}"/>
    <cellStyle name="40% - Accent3 9 2 2 2" xfId="1322" xr:uid="{00000000-0005-0000-0000-0000E9100000}"/>
    <cellStyle name="40% - Accent3 9 2 2 2 2" xfId="2906" xr:uid="{00000000-0005-0000-0000-0000EA100000}"/>
    <cellStyle name="40% - Accent3 9 2 2 2 2 2" xfId="6075" xr:uid="{00000000-0005-0000-0000-0000EB100000}"/>
    <cellStyle name="40% - Accent3 9 2 2 2 3" xfId="4491" xr:uid="{00000000-0005-0000-0000-0000EC100000}"/>
    <cellStyle name="40% - Accent3 9 2 2 3" xfId="1850" xr:uid="{00000000-0005-0000-0000-0000ED100000}"/>
    <cellStyle name="40% - Accent3 9 2 2 3 2" xfId="3434" xr:uid="{00000000-0005-0000-0000-0000EE100000}"/>
    <cellStyle name="40% - Accent3 9 2 2 3 2 2" xfId="6603" xr:uid="{00000000-0005-0000-0000-0000EF100000}"/>
    <cellStyle name="40% - Accent3 9 2 2 3 3" xfId="5019" xr:uid="{00000000-0005-0000-0000-0000F0100000}"/>
    <cellStyle name="40% - Accent3 9 2 2 4" xfId="2378" xr:uid="{00000000-0005-0000-0000-0000F1100000}"/>
    <cellStyle name="40% - Accent3 9 2 2 4 2" xfId="5547" xr:uid="{00000000-0005-0000-0000-0000F2100000}"/>
    <cellStyle name="40% - Accent3 9 2 2 5" xfId="3963" xr:uid="{00000000-0005-0000-0000-0000F3100000}"/>
    <cellStyle name="40% - Accent3 9 2 3" xfId="1058" xr:uid="{00000000-0005-0000-0000-0000F4100000}"/>
    <cellStyle name="40% - Accent3 9 2 3 2" xfId="2642" xr:uid="{00000000-0005-0000-0000-0000F5100000}"/>
    <cellStyle name="40% - Accent3 9 2 3 2 2" xfId="5811" xr:uid="{00000000-0005-0000-0000-0000F6100000}"/>
    <cellStyle name="40% - Accent3 9 2 3 3" xfId="4227" xr:uid="{00000000-0005-0000-0000-0000F7100000}"/>
    <cellStyle name="40% - Accent3 9 2 4" xfId="1586" xr:uid="{00000000-0005-0000-0000-0000F8100000}"/>
    <cellStyle name="40% - Accent3 9 2 4 2" xfId="3170" xr:uid="{00000000-0005-0000-0000-0000F9100000}"/>
    <cellStyle name="40% - Accent3 9 2 4 2 2" xfId="6339" xr:uid="{00000000-0005-0000-0000-0000FA100000}"/>
    <cellStyle name="40% - Accent3 9 2 4 3" xfId="4755" xr:uid="{00000000-0005-0000-0000-0000FB100000}"/>
    <cellStyle name="40% - Accent3 9 2 5" xfId="2114" xr:uid="{00000000-0005-0000-0000-0000FC100000}"/>
    <cellStyle name="40% - Accent3 9 2 5 2" xfId="5283" xr:uid="{00000000-0005-0000-0000-0000FD100000}"/>
    <cellStyle name="40% - Accent3 9 2 6" xfId="3699" xr:uid="{00000000-0005-0000-0000-0000FE100000}"/>
    <cellStyle name="40% - Accent3 9 3" xfId="793" xr:uid="{00000000-0005-0000-0000-0000FF100000}"/>
    <cellStyle name="40% - Accent3 9 3 2" xfId="1321" xr:uid="{00000000-0005-0000-0000-000000110000}"/>
    <cellStyle name="40% - Accent3 9 3 2 2" xfId="2905" xr:uid="{00000000-0005-0000-0000-000001110000}"/>
    <cellStyle name="40% - Accent3 9 3 2 2 2" xfId="6074" xr:uid="{00000000-0005-0000-0000-000002110000}"/>
    <cellStyle name="40% - Accent3 9 3 2 3" xfId="4490" xr:uid="{00000000-0005-0000-0000-000003110000}"/>
    <cellStyle name="40% - Accent3 9 3 3" xfId="1849" xr:uid="{00000000-0005-0000-0000-000004110000}"/>
    <cellStyle name="40% - Accent3 9 3 3 2" xfId="3433" xr:uid="{00000000-0005-0000-0000-000005110000}"/>
    <cellStyle name="40% - Accent3 9 3 3 2 2" xfId="6602" xr:uid="{00000000-0005-0000-0000-000006110000}"/>
    <cellStyle name="40% - Accent3 9 3 3 3" xfId="5018" xr:uid="{00000000-0005-0000-0000-000007110000}"/>
    <cellStyle name="40% - Accent3 9 3 4" xfId="2377" xr:uid="{00000000-0005-0000-0000-000008110000}"/>
    <cellStyle name="40% - Accent3 9 3 4 2" xfId="5546" xr:uid="{00000000-0005-0000-0000-000009110000}"/>
    <cellStyle name="40% - Accent3 9 3 5" xfId="3962" xr:uid="{00000000-0005-0000-0000-00000A110000}"/>
    <cellStyle name="40% - Accent3 9 4" xfId="1057" xr:uid="{00000000-0005-0000-0000-00000B110000}"/>
    <cellStyle name="40% - Accent3 9 4 2" xfId="2641" xr:uid="{00000000-0005-0000-0000-00000C110000}"/>
    <cellStyle name="40% - Accent3 9 4 2 2" xfId="5810" xr:uid="{00000000-0005-0000-0000-00000D110000}"/>
    <cellStyle name="40% - Accent3 9 4 3" xfId="4226" xr:uid="{00000000-0005-0000-0000-00000E110000}"/>
    <cellStyle name="40% - Accent3 9 5" xfId="1585" xr:uid="{00000000-0005-0000-0000-00000F110000}"/>
    <cellStyle name="40% - Accent3 9 5 2" xfId="3169" xr:uid="{00000000-0005-0000-0000-000010110000}"/>
    <cellStyle name="40% - Accent3 9 5 2 2" xfId="6338" xr:uid="{00000000-0005-0000-0000-000011110000}"/>
    <cellStyle name="40% - Accent3 9 5 3" xfId="4754" xr:uid="{00000000-0005-0000-0000-000012110000}"/>
    <cellStyle name="40% - Accent3 9 6" xfId="2113" xr:uid="{00000000-0005-0000-0000-000013110000}"/>
    <cellStyle name="40% - Accent3 9 6 2" xfId="5282" xr:uid="{00000000-0005-0000-0000-000014110000}"/>
    <cellStyle name="40% - Accent3 9 7" xfId="3698" xr:uid="{00000000-0005-0000-0000-000015110000}"/>
    <cellStyle name="40% - Accent4 10" xfId="322" xr:uid="{00000000-0005-0000-0000-000016110000}"/>
    <cellStyle name="40% - Accent4 10 2" xfId="323" xr:uid="{00000000-0005-0000-0000-000017110000}"/>
    <cellStyle name="40% - Accent4 10 2 2" xfId="796" xr:uid="{00000000-0005-0000-0000-000018110000}"/>
    <cellStyle name="40% - Accent4 10 2 2 2" xfId="1324" xr:uid="{00000000-0005-0000-0000-000019110000}"/>
    <cellStyle name="40% - Accent4 10 2 2 2 2" xfId="2908" xr:uid="{00000000-0005-0000-0000-00001A110000}"/>
    <cellStyle name="40% - Accent4 10 2 2 2 2 2" xfId="6077" xr:uid="{00000000-0005-0000-0000-00001B110000}"/>
    <cellStyle name="40% - Accent4 10 2 2 2 3" xfId="4493" xr:uid="{00000000-0005-0000-0000-00001C110000}"/>
    <cellStyle name="40% - Accent4 10 2 2 3" xfId="1852" xr:uid="{00000000-0005-0000-0000-00001D110000}"/>
    <cellStyle name="40% - Accent4 10 2 2 3 2" xfId="3436" xr:uid="{00000000-0005-0000-0000-00001E110000}"/>
    <cellStyle name="40% - Accent4 10 2 2 3 2 2" xfId="6605" xr:uid="{00000000-0005-0000-0000-00001F110000}"/>
    <cellStyle name="40% - Accent4 10 2 2 3 3" xfId="5021" xr:uid="{00000000-0005-0000-0000-000020110000}"/>
    <cellStyle name="40% - Accent4 10 2 2 4" xfId="2380" xr:uid="{00000000-0005-0000-0000-000021110000}"/>
    <cellStyle name="40% - Accent4 10 2 2 4 2" xfId="5549" xr:uid="{00000000-0005-0000-0000-000022110000}"/>
    <cellStyle name="40% - Accent4 10 2 2 5" xfId="3965" xr:uid="{00000000-0005-0000-0000-000023110000}"/>
    <cellStyle name="40% - Accent4 10 2 3" xfId="1060" xr:uid="{00000000-0005-0000-0000-000024110000}"/>
    <cellStyle name="40% - Accent4 10 2 3 2" xfId="2644" xr:uid="{00000000-0005-0000-0000-000025110000}"/>
    <cellStyle name="40% - Accent4 10 2 3 2 2" xfId="5813" xr:uid="{00000000-0005-0000-0000-000026110000}"/>
    <cellStyle name="40% - Accent4 10 2 3 3" xfId="4229" xr:uid="{00000000-0005-0000-0000-000027110000}"/>
    <cellStyle name="40% - Accent4 10 2 4" xfId="1588" xr:uid="{00000000-0005-0000-0000-000028110000}"/>
    <cellStyle name="40% - Accent4 10 2 4 2" xfId="3172" xr:uid="{00000000-0005-0000-0000-000029110000}"/>
    <cellStyle name="40% - Accent4 10 2 4 2 2" xfId="6341" xr:uid="{00000000-0005-0000-0000-00002A110000}"/>
    <cellStyle name="40% - Accent4 10 2 4 3" xfId="4757" xr:uid="{00000000-0005-0000-0000-00002B110000}"/>
    <cellStyle name="40% - Accent4 10 2 5" xfId="2116" xr:uid="{00000000-0005-0000-0000-00002C110000}"/>
    <cellStyle name="40% - Accent4 10 2 5 2" xfId="5285" xr:uid="{00000000-0005-0000-0000-00002D110000}"/>
    <cellStyle name="40% - Accent4 10 2 6" xfId="3701" xr:uid="{00000000-0005-0000-0000-00002E110000}"/>
    <cellStyle name="40% - Accent4 10 3" xfId="795" xr:uid="{00000000-0005-0000-0000-00002F110000}"/>
    <cellStyle name="40% - Accent4 10 3 2" xfId="1323" xr:uid="{00000000-0005-0000-0000-000030110000}"/>
    <cellStyle name="40% - Accent4 10 3 2 2" xfId="2907" xr:uid="{00000000-0005-0000-0000-000031110000}"/>
    <cellStyle name="40% - Accent4 10 3 2 2 2" xfId="6076" xr:uid="{00000000-0005-0000-0000-000032110000}"/>
    <cellStyle name="40% - Accent4 10 3 2 3" xfId="4492" xr:uid="{00000000-0005-0000-0000-000033110000}"/>
    <cellStyle name="40% - Accent4 10 3 3" xfId="1851" xr:uid="{00000000-0005-0000-0000-000034110000}"/>
    <cellStyle name="40% - Accent4 10 3 3 2" xfId="3435" xr:uid="{00000000-0005-0000-0000-000035110000}"/>
    <cellStyle name="40% - Accent4 10 3 3 2 2" xfId="6604" xr:uid="{00000000-0005-0000-0000-000036110000}"/>
    <cellStyle name="40% - Accent4 10 3 3 3" xfId="5020" xr:uid="{00000000-0005-0000-0000-000037110000}"/>
    <cellStyle name="40% - Accent4 10 3 4" xfId="2379" xr:uid="{00000000-0005-0000-0000-000038110000}"/>
    <cellStyle name="40% - Accent4 10 3 4 2" xfId="5548" xr:uid="{00000000-0005-0000-0000-000039110000}"/>
    <cellStyle name="40% - Accent4 10 3 5" xfId="3964" xr:uid="{00000000-0005-0000-0000-00003A110000}"/>
    <cellStyle name="40% - Accent4 10 4" xfId="1059" xr:uid="{00000000-0005-0000-0000-00003B110000}"/>
    <cellStyle name="40% - Accent4 10 4 2" xfId="2643" xr:uid="{00000000-0005-0000-0000-00003C110000}"/>
    <cellStyle name="40% - Accent4 10 4 2 2" xfId="5812" xr:uid="{00000000-0005-0000-0000-00003D110000}"/>
    <cellStyle name="40% - Accent4 10 4 3" xfId="4228" xr:uid="{00000000-0005-0000-0000-00003E110000}"/>
    <cellStyle name="40% - Accent4 10 5" xfId="1587" xr:uid="{00000000-0005-0000-0000-00003F110000}"/>
    <cellStyle name="40% - Accent4 10 5 2" xfId="3171" xr:uid="{00000000-0005-0000-0000-000040110000}"/>
    <cellStyle name="40% - Accent4 10 5 2 2" xfId="6340" xr:uid="{00000000-0005-0000-0000-000041110000}"/>
    <cellStyle name="40% - Accent4 10 5 3" xfId="4756" xr:uid="{00000000-0005-0000-0000-000042110000}"/>
    <cellStyle name="40% - Accent4 10 6" xfId="2115" xr:uid="{00000000-0005-0000-0000-000043110000}"/>
    <cellStyle name="40% - Accent4 10 6 2" xfId="5284" xr:uid="{00000000-0005-0000-0000-000044110000}"/>
    <cellStyle name="40% - Accent4 10 7" xfId="3700" xr:uid="{00000000-0005-0000-0000-000045110000}"/>
    <cellStyle name="40% - Accent4 11" xfId="324" xr:uid="{00000000-0005-0000-0000-000046110000}"/>
    <cellStyle name="40% - Accent4 11 2" xfId="797" xr:uid="{00000000-0005-0000-0000-000047110000}"/>
    <cellStyle name="40% - Accent4 11 2 2" xfId="1325" xr:uid="{00000000-0005-0000-0000-000048110000}"/>
    <cellStyle name="40% - Accent4 11 2 2 2" xfId="2909" xr:uid="{00000000-0005-0000-0000-000049110000}"/>
    <cellStyle name="40% - Accent4 11 2 2 2 2" xfId="6078" xr:uid="{00000000-0005-0000-0000-00004A110000}"/>
    <cellStyle name="40% - Accent4 11 2 2 3" xfId="4494" xr:uid="{00000000-0005-0000-0000-00004B110000}"/>
    <cellStyle name="40% - Accent4 11 2 3" xfId="1853" xr:uid="{00000000-0005-0000-0000-00004C110000}"/>
    <cellStyle name="40% - Accent4 11 2 3 2" xfId="3437" xr:uid="{00000000-0005-0000-0000-00004D110000}"/>
    <cellStyle name="40% - Accent4 11 2 3 2 2" xfId="6606" xr:uid="{00000000-0005-0000-0000-00004E110000}"/>
    <cellStyle name="40% - Accent4 11 2 3 3" xfId="5022" xr:uid="{00000000-0005-0000-0000-00004F110000}"/>
    <cellStyle name="40% - Accent4 11 2 4" xfId="2381" xr:uid="{00000000-0005-0000-0000-000050110000}"/>
    <cellStyle name="40% - Accent4 11 2 4 2" xfId="5550" xr:uid="{00000000-0005-0000-0000-000051110000}"/>
    <cellStyle name="40% - Accent4 11 2 5" xfId="3966" xr:uid="{00000000-0005-0000-0000-000052110000}"/>
    <cellStyle name="40% - Accent4 11 3" xfId="1061" xr:uid="{00000000-0005-0000-0000-000053110000}"/>
    <cellStyle name="40% - Accent4 11 3 2" xfId="2645" xr:uid="{00000000-0005-0000-0000-000054110000}"/>
    <cellStyle name="40% - Accent4 11 3 2 2" xfId="5814" xr:uid="{00000000-0005-0000-0000-000055110000}"/>
    <cellStyle name="40% - Accent4 11 3 3" xfId="4230" xr:uid="{00000000-0005-0000-0000-000056110000}"/>
    <cellStyle name="40% - Accent4 11 4" xfId="1589" xr:uid="{00000000-0005-0000-0000-000057110000}"/>
    <cellStyle name="40% - Accent4 11 4 2" xfId="3173" xr:uid="{00000000-0005-0000-0000-000058110000}"/>
    <cellStyle name="40% - Accent4 11 4 2 2" xfId="6342" xr:uid="{00000000-0005-0000-0000-000059110000}"/>
    <cellStyle name="40% - Accent4 11 4 3" xfId="4758" xr:uid="{00000000-0005-0000-0000-00005A110000}"/>
    <cellStyle name="40% - Accent4 11 5" xfId="2117" xr:uid="{00000000-0005-0000-0000-00005B110000}"/>
    <cellStyle name="40% - Accent4 11 5 2" xfId="5286" xr:uid="{00000000-0005-0000-0000-00005C110000}"/>
    <cellStyle name="40% - Accent4 11 6" xfId="3702" xr:uid="{00000000-0005-0000-0000-00005D110000}"/>
    <cellStyle name="40% - Accent4 12" xfId="325" xr:uid="{00000000-0005-0000-0000-00005E110000}"/>
    <cellStyle name="40% - Accent4 12 2" xfId="798" xr:uid="{00000000-0005-0000-0000-00005F110000}"/>
    <cellStyle name="40% - Accent4 12 2 2" xfId="1326" xr:uid="{00000000-0005-0000-0000-000060110000}"/>
    <cellStyle name="40% - Accent4 12 2 2 2" xfId="2910" xr:uid="{00000000-0005-0000-0000-000061110000}"/>
    <cellStyle name="40% - Accent4 12 2 2 2 2" xfId="6079" xr:uid="{00000000-0005-0000-0000-000062110000}"/>
    <cellStyle name="40% - Accent4 12 2 2 3" xfId="4495" xr:uid="{00000000-0005-0000-0000-000063110000}"/>
    <cellStyle name="40% - Accent4 12 2 3" xfId="1854" xr:uid="{00000000-0005-0000-0000-000064110000}"/>
    <cellStyle name="40% - Accent4 12 2 3 2" xfId="3438" xr:uid="{00000000-0005-0000-0000-000065110000}"/>
    <cellStyle name="40% - Accent4 12 2 3 2 2" xfId="6607" xr:uid="{00000000-0005-0000-0000-000066110000}"/>
    <cellStyle name="40% - Accent4 12 2 3 3" xfId="5023" xr:uid="{00000000-0005-0000-0000-000067110000}"/>
    <cellStyle name="40% - Accent4 12 2 4" xfId="2382" xr:uid="{00000000-0005-0000-0000-000068110000}"/>
    <cellStyle name="40% - Accent4 12 2 4 2" xfId="5551" xr:uid="{00000000-0005-0000-0000-000069110000}"/>
    <cellStyle name="40% - Accent4 12 2 5" xfId="3967" xr:uid="{00000000-0005-0000-0000-00006A110000}"/>
    <cellStyle name="40% - Accent4 12 3" xfId="1062" xr:uid="{00000000-0005-0000-0000-00006B110000}"/>
    <cellStyle name="40% - Accent4 12 3 2" xfId="2646" xr:uid="{00000000-0005-0000-0000-00006C110000}"/>
    <cellStyle name="40% - Accent4 12 3 2 2" xfId="5815" xr:uid="{00000000-0005-0000-0000-00006D110000}"/>
    <cellStyle name="40% - Accent4 12 3 3" xfId="4231" xr:uid="{00000000-0005-0000-0000-00006E110000}"/>
    <cellStyle name="40% - Accent4 12 4" xfId="1590" xr:uid="{00000000-0005-0000-0000-00006F110000}"/>
    <cellStyle name="40% - Accent4 12 4 2" xfId="3174" xr:uid="{00000000-0005-0000-0000-000070110000}"/>
    <cellStyle name="40% - Accent4 12 4 2 2" xfId="6343" xr:uid="{00000000-0005-0000-0000-000071110000}"/>
    <cellStyle name="40% - Accent4 12 4 3" xfId="4759" xr:uid="{00000000-0005-0000-0000-000072110000}"/>
    <cellStyle name="40% - Accent4 12 5" xfId="2118" xr:uid="{00000000-0005-0000-0000-000073110000}"/>
    <cellStyle name="40% - Accent4 12 5 2" xfId="5287" xr:uid="{00000000-0005-0000-0000-000074110000}"/>
    <cellStyle name="40% - Accent4 12 6" xfId="3703" xr:uid="{00000000-0005-0000-0000-000075110000}"/>
    <cellStyle name="40% - Accent4 13" xfId="326" xr:uid="{00000000-0005-0000-0000-000076110000}"/>
    <cellStyle name="40% - Accent4 13 2" xfId="799" xr:uid="{00000000-0005-0000-0000-000077110000}"/>
    <cellStyle name="40% - Accent4 13 2 2" xfId="1327" xr:uid="{00000000-0005-0000-0000-000078110000}"/>
    <cellStyle name="40% - Accent4 13 2 2 2" xfId="2911" xr:uid="{00000000-0005-0000-0000-000079110000}"/>
    <cellStyle name="40% - Accent4 13 2 2 2 2" xfId="6080" xr:uid="{00000000-0005-0000-0000-00007A110000}"/>
    <cellStyle name="40% - Accent4 13 2 2 3" xfId="4496" xr:uid="{00000000-0005-0000-0000-00007B110000}"/>
    <cellStyle name="40% - Accent4 13 2 3" xfId="1855" xr:uid="{00000000-0005-0000-0000-00007C110000}"/>
    <cellStyle name="40% - Accent4 13 2 3 2" xfId="3439" xr:uid="{00000000-0005-0000-0000-00007D110000}"/>
    <cellStyle name="40% - Accent4 13 2 3 2 2" xfId="6608" xr:uid="{00000000-0005-0000-0000-00007E110000}"/>
    <cellStyle name="40% - Accent4 13 2 3 3" xfId="5024" xr:uid="{00000000-0005-0000-0000-00007F110000}"/>
    <cellStyle name="40% - Accent4 13 2 4" xfId="2383" xr:uid="{00000000-0005-0000-0000-000080110000}"/>
    <cellStyle name="40% - Accent4 13 2 4 2" xfId="5552" xr:uid="{00000000-0005-0000-0000-000081110000}"/>
    <cellStyle name="40% - Accent4 13 2 5" xfId="3968" xr:uid="{00000000-0005-0000-0000-000082110000}"/>
    <cellStyle name="40% - Accent4 13 3" xfId="1063" xr:uid="{00000000-0005-0000-0000-000083110000}"/>
    <cellStyle name="40% - Accent4 13 3 2" xfId="2647" xr:uid="{00000000-0005-0000-0000-000084110000}"/>
    <cellStyle name="40% - Accent4 13 3 2 2" xfId="5816" xr:uid="{00000000-0005-0000-0000-000085110000}"/>
    <cellStyle name="40% - Accent4 13 3 3" xfId="4232" xr:uid="{00000000-0005-0000-0000-000086110000}"/>
    <cellStyle name="40% - Accent4 13 4" xfId="1591" xr:uid="{00000000-0005-0000-0000-000087110000}"/>
    <cellStyle name="40% - Accent4 13 4 2" xfId="3175" xr:uid="{00000000-0005-0000-0000-000088110000}"/>
    <cellStyle name="40% - Accent4 13 4 2 2" xfId="6344" xr:uid="{00000000-0005-0000-0000-000089110000}"/>
    <cellStyle name="40% - Accent4 13 4 3" xfId="4760" xr:uid="{00000000-0005-0000-0000-00008A110000}"/>
    <cellStyle name="40% - Accent4 13 5" xfId="2119" xr:uid="{00000000-0005-0000-0000-00008B110000}"/>
    <cellStyle name="40% - Accent4 13 5 2" xfId="5288" xr:uid="{00000000-0005-0000-0000-00008C110000}"/>
    <cellStyle name="40% - Accent4 13 6" xfId="3704" xr:uid="{00000000-0005-0000-0000-00008D110000}"/>
    <cellStyle name="40% - Accent4 14" xfId="327" xr:uid="{00000000-0005-0000-0000-00008E110000}"/>
    <cellStyle name="40% - Accent4 14 2" xfId="800" xr:uid="{00000000-0005-0000-0000-00008F110000}"/>
    <cellStyle name="40% - Accent4 14 2 2" xfId="1328" xr:uid="{00000000-0005-0000-0000-000090110000}"/>
    <cellStyle name="40% - Accent4 14 2 2 2" xfId="2912" xr:uid="{00000000-0005-0000-0000-000091110000}"/>
    <cellStyle name="40% - Accent4 14 2 2 2 2" xfId="6081" xr:uid="{00000000-0005-0000-0000-000092110000}"/>
    <cellStyle name="40% - Accent4 14 2 2 3" xfId="4497" xr:uid="{00000000-0005-0000-0000-000093110000}"/>
    <cellStyle name="40% - Accent4 14 2 3" xfId="1856" xr:uid="{00000000-0005-0000-0000-000094110000}"/>
    <cellStyle name="40% - Accent4 14 2 3 2" xfId="3440" xr:uid="{00000000-0005-0000-0000-000095110000}"/>
    <cellStyle name="40% - Accent4 14 2 3 2 2" xfId="6609" xr:uid="{00000000-0005-0000-0000-000096110000}"/>
    <cellStyle name="40% - Accent4 14 2 3 3" xfId="5025" xr:uid="{00000000-0005-0000-0000-000097110000}"/>
    <cellStyle name="40% - Accent4 14 2 4" xfId="2384" xr:uid="{00000000-0005-0000-0000-000098110000}"/>
    <cellStyle name="40% - Accent4 14 2 4 2" xfId="5553" xr:uid="{00000000-0005-0000-0000-000099110000}"/>
    <cellStyle name="40% - Accent4 14 2 5" xfId="3969" xr:uid="{00000000-0005-0000-0000-00009A110000}"/>
    <cellStyle name="40% - Accent4 14 3" xfId="1064" xr:uid="{00000000-0005-0000-0000-00009B110000}"/>
    <cellStyle name="40% - Accent4 14 3 2" xfId="2648" xr:uid="{00000000-0005-0000-0000-00009C110000}"/>
    <cellStyle name="40% - Accent4 14 3 2 2" xfId="5817" xr:uid="{00000000-0005-0000-0000-00009D110000}"/>
    <cellStyle name="40% - Accent4 14 3 3" xfId="4233" xr:uid="{00000000-0005-0000-0000-00009E110000}"/>
    <cellStyle name="40% - Accent4 14 4" xfId="1592" xr:uid="{00000000-0005-0000-0000-00009F110000}"/>
    <cellStyle name="40% - Accent4 14 4 2" xfId="3176" xr:uid="{00000000-0005-0000-0000-0000A0110000}"/>
    <cellStyle name="40% - Accent4 14 4 2 2" xfId="6345" xr:uid="{00000000-0005-0000-0000-0000A1110000}"/>
    <cellStyle name="40% - Accent4 14 4 3" xfId="4761" xr:uid="{00000000-0005-0000-0000-0000A2110000}"/>
    <cellStyle name="40% - Accent4 14 5" xfId="2120" xr:uid="{00000000-0005-0000-0000-0000A3110000}"/>
    <cellStyle name="40% - Accent4 14 5 2" xfId="5289" xr:uid="{00000000-0005-0000-0000-0000A4110000}"/>
    <cellStyle name="40% - Accent4 14 6" xfId="3705" xr:uid="{00000000-0005-0000-0000-0000A5110000}"/>
    <cellStyle name="40% - Accent4 15" xfId="328" xr:uid="{00000000-0005-0000-0000-0000A6110000}"/>
    <cellStyle name="40% - Accent4 15 2" xfId="801" xr:uid="{00000000-0005-0000-0000-0000A7110000}"/>
    <cellStyle name="40% - Accent4 15 2 2" xfId="1329" xr:uid="{00000000-0005-0000-0000-0000A8110000}"/>
    <cellStyle name="40% - Accent4 15 2 2 2" xfId="2913" xr:uid="{00000000-0005-0000-0000-0000A9110000}"/>
    <cellStyle name="40% - Accent4 15 2 2 2 2" xfId="6082" xr:uid="{00000000-0005-0000-0000-0000AA110000}"/>
    <cellStyle name="40% - Accent4 15 2 2 3" xfId="4498" xr:uid="{00000000-0005-0000-0000-0000AB110000}"/>
    <cellStyle name="40% - Accent4 15 2 3" xfId="1857" xr:uid="{00000000-0005-0000-0000-0000AC110000}"/>
    <cellStyle name="40% - Accent4 15 2 3 2" xfId="3441" xr:uid="{00000000-0005-0000-0000-0000AD110000}"/>
    <cellStyle name="40% - Accent4 15 2 3 2 2" xfId="6610" xr:uid="{00000000-0005-0000-0000-0000AE110000}"/>
    <cellStyle name="40% - Accent4 15 2 3 3" xfId="5026" xr:uid="{00000000-0005-0000-0000-0000AF110000}"/>
    <cellStyle name="40% - Accent4 15 2 4" xfId="2385" xr:uid="{00000000-0005-0000-0000-0000B0110000}"/>
    <cellStyle name="40% - Accent4 15 2 4 2" xfId="5554" xr:uid="{00000000-0005-0000-0000-0000B1110000}"/>
    <cellStyle name="40% - Accent4 15 2 5" xfId="3970" xr:uid="{00000000-0005-0000-0000-0000B2110000}"/>
    <cellStyle name="40% - Accent4 15 3" xfId="1065" xr:uid="{00000000-0005-0000-0000-0000B3110000}"/>
    <cellStyle name="40% - Accent4 15 3 2" xfId="2649" xr:uid="{00000000-0005-0000-0000-0000B4110000}"/>
    <cellStyle name="40% - Accent4 15 3 2 2" xfId="5818" xr:uid="{00000000-0005-0000-0000-0000B5110000}"/>
    <cellStyle name="40% - Accent4 15 3 3" xfId="4234" xr:uid="{00000000-0005-0000-0000-0000B6110000}"/>
    <cellStyle name="40% - Accent4 15 4" xfId="1593" xr:uid="{00000000-0005-0000-0000-0000B7110000}"/>
    <cellStyle name="40% - Accent4 15 4 2" xfId="3177" xr:uid="{00000000-0005-0000-0000-0000B8110000}"/>
    <cellStyle name="40% - Accent4 15 4 2 2" xfId="6346" xr:uid="{00000000-0005-0000-0000-0000B9110000}"/>
    <cellStyle name="40% - Accent4 15 4 3" xfId="4762" xr:uid="{00000000-0005-0000-0000-0000BA110000}"/>
    <cellStyle name="40% - Accent4 15 5" xfId="2121" xr:uid="{00000000-0005-0000-0000-0000BB110000}"/>
    <cellStyle name="40% - Accent4 15 5 2" xfId="5290" xr:uid="{00000000-0005-0000-0000-0000BC110000}"/>
    <cellStyle name="40% - Accent4 15 6" xfId="3706" xr:uid="{00000000-0005-0000-0000-0000BD110000}"/>
    <cellStyle name="40% - Accent4 16" xfId="329" xr:uid="{00000000-0005-0000-0000-0000BE110000}"/>
    <cellStyle name="40% - Accent4 16 2" xfId="802" xr:uid="{00000000-0005-0000-0000-0000BF110000}"/>
    <cellStyle name="40% - Accent4 16 2 2" xfId="1330" xr:uid="{00000000-0005-0000-0000-0000C0110000}"/>
    <cellStyle name="40% - Accent4 16 2 2 2" xfId="2914" xr:uid="{00000000-0005-0000-0000-0000C1110000}"/>
    <cellStyle name="40% - Accent4 16 2 2 2 2" xfId="6083" xr:uid="{00000000-0005-0000-0000-0000C2110000}"/>
    <cellStyle name="40% - Accent4 16 2 2 3" xfId="4499" xr:uid="{00000000-0005-0000-0000-0000C3110000}"/>
    <cellStyle name="40% - Accent4 16 2 3" xfId="1858" xr:uid="{00000000-0005-0000-0000-0000C4110000}"/>
    <cellStyle name="40% - Accent4 16 2 3 2" xfId="3442" xr:uid="{00000000-0005-0000-0000-0000C5110000}"/>
    <cellStyle name="40% - Accent4 16 2 3 2 2" xfId="6611" xr:uid="{00000000-0005-0000-0000-0000C6110000}"/>
    <cellStyle name="40% - Accent4 16 2 3 3" xfId="5027" xr:uid="{00000000-0005-0000-0000-0000C7110000}"/>
    <cellStyle name="40% - Accent4 16 2 4" xfId="2386" xr:uid="{00000000-0005-0000-0000-0000C8110000}"/>
    <cellStyle name="40% - Accent4 16 2 4 2" xfId="5555" xr:uid="{00000000-0005-0000-0000-0000C9110000}"/>
    <cellStyle name="40% - Accent4 16 2 5" xfId="3971" xr:uid="{00000000-0005-0000-0000-0000CA110000}"/>
    <cellStyle name="40% - Accent4 16 3" xfId="1066" xr:uid="{00000000-0005-0000-0000-0000CB110000}"/>
    <cellStyle name="40% - Accent4 16 3 2" xfId="2650" xr:uid="{00000000-0005-0000-0000-0000CC110000}"/>
    <cellStyle name="40% - Accent4 16 3 2 2" xfId="5819" xr:uid="{00000000-0005-0000-0000-0000CD110000}"/>
    <cellStyle name="40% - Accent4 16 3 3" xfId="4235" xr:uid="{00000000-0005-0000-0000-0000CE110000}"/>
    <cellStyle name="40% - Accent4 16 4" xfId="1594" xr:uid="{00000000-0005-0000-0000-0000CF110000}"/>
    <cellStyle name="40% - Accent4 16 4 2" xfId="3178" xr:uid="{00000000-0005-0000-0000-0000D0110000}"/>
    <cellStyle name="40% - Accent4 16 4 2 2" xfId="6347" xr:uid="{00000000-0005-0000-0000-0000D1110000}"/>
    <cellStyle name="40% - Accent4 16 4 3" xfId="4763" xr:uid="{00000000-0005-0000-0000-0000D2110000}"/>
    <cellStyle name="40% - Accent4 16 5" xfId="2122" xr:uid="{00000000-0005-0000-0000-0000D3110000}"/>
    <cellStyle name="40% - Accent4 16 5 2" xfId="5291" xr:uid="{00000000-0005-0000-0000-0000D4110000}"/>
    <cellStyle name="40% - Accent4 16 6" xfId="3707" xr:uid="{00000000-0005-0000-0000-0000D5110000}"/>
    <cellStyle name="40% - Accent4 2" xfId="10" xr:uid="{00000000-0005-0000-0000-0000D6110000}"/>
    <cellStyle name="40% - Accent4 2 2" xfId="330" xr:uid="{00000000-0005-0000-0000-0000D7110000}"/>
    <cellStyle name="40% - Accent4 3" xfId="331" xr:uid="{00000000-0005-0000-0000-0000D8110000}"/>
    <cellStyle name="40% - Accent4 4" xfId="332" xr:uid="{00000000-0005-0000-0000-0000D9110000}"/>
    <cellStyle name="40% - Accent4 4 2" xfId="333" xr:uid="{00000000-0005-0000-0000-0000DA110000}"/>
    <cellStyle name="40% - Accent4 4 2 2" xfId="804" xr:uid="{00000000-0005-0000-0000-0000DB110000}"/>
    <cellStyle name="40% - Accent4 4 2 2 2" xfId="1332" xr:uid="{00000000-0005-0000-0000-0000DC110000}"/>
    <cellStyle name="40% - Accent4 4 2 2 2 2" xfId="2916" xr:uid="{00000000-0005-0000-0000-0000DD110000}"/>
    <cellStyle name="40% - Accent4 4 2 2 2 2 2" xfId="6085" xr:uid="{00000000-0005-0000-0000-0000DE110000}"/>
    <cellStyle name="40% - Accent4 4 2 2 2 3" xfId="4501" xr:uid="{00000000-0005-0000-0000-0000DF110000}"/>
    <cellStyle name="40% - Accent4 4 2 2 3" xfId="1860" xr:uid="{00000000-0005-0000-0000-0000E0110000}"/>
    <cellStyle name="40% - Accent4 4 2 2 3 2" xfId="3444" xr:uid="{00000000-0005-0000-0000-0000E1110000}"/>
    <cellStyle name="40% - Accent4 4 2 2 3 2 2" xfId="6613" xr:uid="{00000000-0005-0000-0000-0000E2110000}"/>
    <cellStyle name="40% - Accent4 4 2 2 3 3" xfId="5029" xr:uid="{00000000-0005-0000-0000-0000E3110000}"/>
    <cellStyle name="40% - Accent4 4 2 2 4" xfId="2388" xr:uid="{00000000-0005-0000-0000-0000E4110000}"/>
    <cellStyle name="40% - Accent4 4 2 2 4 2" xfId="5557" xr:uid="{00000000-0005-0000-0000-0000E5110000}"/>
    <cellStyle name="40% - Accent4 4 2 2 5" xfId="3973" xr:uid="{00000000-0005-0000-0000-0000E6110000}"/>
    <cellStyle name="40% - Accent4 4 2 3" xfId="1068" xr:uid="{00000000-0005-0000-0000-0000E7110000}"/>
    <cellStyle name="40% - Accent4 4 2 3 2" xfId="2652" xr:uid="{00000000-0005-0000-0000-0000E8110000}"/>
    <cellStyle name="40% - Accent4 4 2 3 2 2" xfId="5821" xr:uid="{00000000-0005-0000-0000-0000E9110000}"/>
    <cellStyle name="40% - Accent4 4 2 3 3" xfId="4237" xr:uid="{00000000-0005-0000-0000-0000EA110000}"/>
    <cellStyle name="40% - Accent4 4 2 4" xfId="1596" xr:uid="{00000000-0005-0000-0000-0000EB110000}"/>
    <cellStyle name="40% - Accent4 4 2 4 2" xfId="3180" xr:uid="{00000000-0005-0000-0000-0000EC110000}"/>
    <cellStyle name="40% - Accent4 4 2 4 2 2" xfId="6349" xr:uid="{00000000-0005-0000-0000-0000ED110000}"/>
    <cellStyle name="40% - Accent4 4 2 4 3" xfId="4765" xr:uid="{00000000-0005-0000-0000-0000EE110000}"/>
    <cellStyle name="40% - Accent4 4 2 5" xfId="2124" xr:uid="{00000000-0005-0000-0000-0000EF110000}"/>
    <cellStyle name="40% - Accent4 4 2 5 2" xfId="5293" xr:uid="{00000000-0005-0000-0000-0000F0110000}"/>
    <cellStyle name="40% - Accent4 4 2 6" xfId="3709" xr:uid="{00000000-0005-0000-0000-0000F1110000}"/>
    <cellStyle name="40% - Accent4 4 3" xfId="803" xr:uid="{00000000-0005-0000-0000-0000F2110000}"/>
    <cellStyle name="40% - Accent4 4 3 2" xfId="1331" xr:uid="{00000000-0005-0000-0000-0000F3110000}"/>
    <cellStyle name="40% - Accent4 4 3 2 2" xfId="2915" xr:uid="{00000000-0005-0000-0000-0000F4110000}"/>
    <cellStyle name="40% - Accent4 4 3 2 2 2" xfId="6084" xr:uid="{00000000-0005-0000-0000-0000F5110000}"/>
    <cellStyle name="40% - Accent4 4 3 2 3" xfId="4500" xr:uid="{00000000-0005-0000-0000-0000F6110000}"/>
    <cellStyle name="40% - Accent4 4 3 3" xfId="1859" xr:uid="{00000000-0005-0000-0000-0000F7110000}"/>
    <cellStyle name="40% - Accent4 4 3 3 2" xfId="3443" xr:uid="{00000000-0005-0000-0000-0000F8110000}"/>
    <cellStyle name="40% - Accent4 4 3 3 2 2" xfId="6612" xr:uid="{00000000-0005-0000-0000-0000F9110000}"/>
    <cellStyle name="40% - Accent4 4 3 3 3" xfId="5028" xr:uid="{00000000-0005-0000-0000-0000FA110000}"/>
    <cellStyle name="40% - Accent4 4 3 4" xfId="2387" xr:uid="{00000000-0005-0000-0000-0000FB110000}"/>
    <cellStyle name="40% - Accent4 4 3 4 2" xfId="5556" xr:uid="{00000000-0005-0000-0000-0000FC110000}"/>
    <cellStyle name="40% - Accent4 4 3 5" xfId="3972" xr:uid="{00000000-0005-0000-0000-0000FD110000}"/>
    <cellStyle name="40% - Accent4 4 4" xfId="1067" xr:uid="{00000000-0005-0000-0000-0000FE110000}"/>
    <cellStyle name="40% - Accent4 4 4 2" xfId="2651" xr:uid="{00000000-0005-0000-0000-0000FF110000}"/>
    <cellStyle name="40% - Accent4 4 4 2 2" xfId="5820" xr:uid="{00000000-0005-0000-0000-000000120000}"/>
    <cellStyle name="40% - Accent4 4 4 3" xfId="4236" xr:uid="{00000000-0005-0000-0000-000001120000}"/>
    <cellStyle name="40% - Accent4 4 5" xfId="1595" xr:uid="{00000000-0005-0000-0000-000002120000}"/>
    <cellStyle name="40% - Accent4 4 5 2" xfId="3179" xr:uid="{00000000-0005-0000-0000-000003120000}"/>
    <cellStyle name="40% - Accent4 4 5 2 2" xfId="6348" xr:uid="{00000000-0005-0000-0000-000004120000}"/>
    <cellStyle name="40% - Accent4 4 5 3" xfId="4764" xr:uid="{00000000-0005-0000-0000-000005120000}"/>
    <cellStyle name="40% - Accent4 4 6" xfId="2123" xr:uid="{00000000-0005-0000-0000-000006120000}"/>
    <cellStyle name="40% - Accent4 4 6 2" xfId="5292" xr:uid="{00000000-0005-0000-0000-000007120000}"/>
    <cellStyle name="40% - Accent4 4 7" xfId="3708" xr:uid="{00000000-0005-0000-0000-000008120000}"/>
    <cellStyle name="40% - Accent4 5" xfId="334" xr:uid="{00000000-0005-0000-0000-000009120000}"/>
    <cellStyle name="40% - Accent4 5 2" xfId="335" xr:uid="{00000000-0005-0000-0000-00000A120000}"/>
    <cellStyle name="40% - Accent4 5 2 2" xfId="806" xr:uid="{00000000-0005-0000-0000-00000B120000}"/>
    <cellStyle name="40% - Accent4 5 2 2 2" xfId="1334" xr:uid="{00000000-0005-0000-0000-00000C120000}"/>
    <cellStyle name="40% - Accent4 5 2 2 2 2" xfId="2918" xr:uid="{00000000-0005-0000-0000-00000D120000}"/>
    <cellStyle name="40% - Accent4 5 2 2 2 2 2" xfId="6087" xr:uid="{00000000-0005-0000-0000-00000E120000}"/>
    <cellStyle name="40% - Accent4 5 2 2 2 3" xfId="4503" xr:uid="{00000000-0005-0000-0000-00000F120000}"/>
    <cellStyle name="40% - Accent4 5 2 2 3" xfId="1862" xr:uid="{00000000-0005-0000-0000-000010120000}"/>
    <cellStyle name="40% - Accent4 5 2 2 3 2" xfId="3446" xr:uid="{00000000-0005-0000-0000-000011120000}"/>
    <cellStyle name="40% - Accent4 5 2 2 3 2 2" xfId="6615" xr:uid="{00000000-0005-0000-0000-000012120000}"/>
    <cellStyle name="40% - Accent4 5 2 2 3 3" xfId="5031" xr:uid="{00000000-0005-0000-0000-000013120000}"/>
    <cellStyle name="40% - Accent4 5 2 2 4" xfId="2390" xr:uid="{00000000-0005-0000-0000-000014120000}"/>
    <cellStyle name="40% - Accent4 5 2 2 4 2" xfId="5559" xr:uid="{00000000-0005-0000-0000-000015120000}"/>
    <cellStyle name="40% - Accent4 5 2 2 5" xfId="3975" xr:uid="{00000000-0005-0000-0000-000016120000}"/>
    <cellStyle name="40% - Accent4 5 2 3" xfId="1070" xr:uid="{00000000-0005-0000-0000-000017120000}"/>
    <cellStyle name="40% - Accent4 5 2 3 2" xfId="2654" xr:uid="{00000000-0005-0000-0000-000018120000}"/>
    <cellStyle name="40% - Accent4 5 2 3 2 2" xfId="5823" xr:uid="{00000000-0005-0000-0000-000019120000}"/>
    <cellStyle name="40% - Accent4 5 2 3 3" xfId="4239" xr:uid="{00000000-0005-0000-0000-00001A120000}"/>
    <cellStyle name="40% - Accent4 5 2 4" xfId="1598" xr:uid="{00000000-0005-0000-0000-00001B120000}"/>
    <cellStyle name="40% - Accent4 5 2 4 2" xfId="3182" xr:uid="{00000000-0005-0000-0000-00001C120000}"/>
    <cellStyle name="40% - Accent4 5 2 4 2 2" xfId="6351" xr:uid="{00000000-0005-0000-0000-00001D120000}"/>
    <cellStyle name="40% - Accent4 5 2 4 3" xfId="4767" xr:uid="{00000000-0005-0000-0000-00001E120000}"/>
    <cellStyle name="40% - Accent4 5 2 5" xfId="2126" xr:uid="{00000000-0005-0000-0000-00001F120000}"/>
    <cellStyle name="40% - Accent4 5 2 5 2" xfId="5295" xr:uid="{00000000-0005-0000-0000-000020120000}"/>
    <cellStyle name="40% - Accent4 5 2 6" xfId="3711" xr:uid="{00000000-0005-0000-0000-000021120000}"/>
    <cellStyle name="40% - Accent4 5 3" xfId="805" xr:uid="{00000000-0005-0000-0000-000022120000}"/>
    <cellStyle name="40% - Accent4 5 3 2" xfId="1333" xr:uid="{00000000-0005-0000-0000-000023120000}"/>
    <cellStyle name="40% - Accent4 5 3 2 2" xfId="2917" xr:uid="{00000000-0005-0000-0000-000024120000}"/>
    <cellStyle name="40% - Accent4 5 3 2 2 2" xfId="6086" xr:uid="{00000000-0005-0000-0000-000025120000}"/>
    <cellStyle name="40% - Accent4 5 3 2 3" xfId="4502" xr:uid="{00000000-0005-0000-0000-000026120000}"/>
    <cellStyle name="40% - Accent4 5 3 3" xfId="1861" xr:uid="{00000000-0005-0000-0000-000027120000}"/>
    <cellStyle name="40% - Accent4 5 3 3 2" xfId="3445" xr:uid="{00000000-0005-0000-0000-000028120000}"/>
    <cellStyle name="40% - Accent4 5 3 3 2 2" xfId="6614" xr:uid="{00000000-0005-0000-0000-000029120000}"/>
    <cellStyle name="40% - Accent4 5 3 3 3" xfId="5030" xr:uid="{00000000-0005-0000-0000-00002A120000}"/>
    <cellStyle name="40% - Accent4 5 3 4" xfId="2389" xr:uid="{00000000-0005-0000-0000-00002B120000}"/>
    <cellStyle name="40% - Accent4 5 3 4 2" xfId="5558" xr:uid="{00000000-0005-0000-0000-00002C120000}"/>
    <cellStyle name="40% - Accent4 5 3 5" xfId="3974" xr:uid="{00000000-0005-0000-0000-00002D120000}"/>
    <cellStyle name="40% - Accent4 5 4" xfId="1069" xr:uid="{00000000-0005-0000-0000-00002E120000}"/>
    <cellStyle name="40% - Accent4 5 4 2" xfId="2653" xr:uid="{00000000-0005-0000-0000-00002F120000}"/>
    <cellStyle name="40% - Accent4 5 4 2 2" xfId="5822" xr:uid="{00000000-0005-0000-0000-000030120000}"/>
    <cellStyle name="40% - Accent4 5 4 3" xfId="4238" xr:uid="{00000000-0005-0000-0000-000031120000}"/>
    <cellStyle name="40% - Accent4 5 5" xfId="1597" xr:uid="{00000000-0005-0000-0000-000032120000}"/>
    <cellStyle name="40% - Accent4 5 5 2" xfId="3181" xr:uid="{00000000-0005-0000-0000-000033120000}"/>
    <cellStyle name="40% - Accent4 5 5 2 2" xfId="6350" xr:uid="{00000000-0005-0000-0000-000034120000}"/>
    <cellStyle name="40% - Accent4 5 5 3" xfId="4766" xr:uid="{00000000-0005-0000-0000-000035120000}"/>
    <cellStyle name="40% - Accent4 5 6" xfId="2125" xr:uid="{00000000-0005-0000-0000-000036120000}"/>
    <cellStyle name="40% - Accent4 5 6 2" xfId="5294" xr:uid="{00000000-0005-0000-0000-000037120000}"/>
    <cellStyle name="40% - Accent4 5 7" xfId="3710" xr:uid="{00000000-0005-0000-0000-000038120000}"/>
    <cellStyle name="40% - Accent4 6" xfId="336" xr:uid="{00000000-0005-0000-0000-000039120000}"/>
    <cellStyle name="40% - Accent4 6 2" xfId="337" xr:uid="{00000000-0005-0000-0000-00003A120000}"/>
    <cellStyle name="40% - Accent4 6 2 2" xfId="808" xr:uid="{00000000-0005-0000-0000-00003B120000}"/>
    <cellStyle name="40% - Accent4 6 2 2 2" xfId="1336" xr:uid="{00000000-0005-0000-0000-00003C120000}"/>
    <cellStyle name="40% - Accent4 6 2 2 2 2" xfId="2920" xr:uid="{00000000-0005-0000-0000-00003D120000}"/>
    <cellStyle name="40% - Accent4 6 2 2 2 2 2" xfId="6089" xr:uid="{00000000-0005-0000-0000-00003E120000}"/>
    <cellStyle name="40% - Accent4 6 2 2 2 3" xfId="4505" xr:uid="{00000000-0005-0000-0000-00003F120000}"/>
    <cellStyle name="40% - Accent4 6 2 2 3" xfId="1864" xr:uid="{00000000-0005-0000-0000-000040120000}"/>
    <cellStyle name="40% - Accent4 6 2 2 3 2" xfId="3448" xr:uid="{00000000-0005-0000-0000-000041120000}"/>
    <cellStyle name="40% - Accent4 6 2 2 3 2 2" xfId="6617" xr:uid="{00000000-0005-0000-0000-000042120000}"/>
    <cellStyle name="40% - Accent4 6 2 2 3 3" xfId="5033" xr:uid="{00000000-0005-0000-0000-000043120000}"/>
    <cellStyle name="40% - Accent4 6 2 2 4" xfId="2392" xr:uid="{00000000-0005-0000-0000-000044120000}"/>
    <cellStyle name="40% - Accent4 6 2 2 4 2" xfId="5561" xr:uid="{00000000-0005-0000-0000-000045120000}"/>
    <cellStyle name="40% - Accent4 6 2 2 5" xfId="3977" xr:uid="{00000000-0005-0000-0000-000046120000}"/>
    <cellStyle name="40% - Accent4 6 2 3" xfId="1072" xr:uid="{00000000-0005-0000-0000-000047120000}"/>
    <cellStyle name="40% - Accent4 6 2 3 2" xfId="2656" xr:uid="{00000000-0005-0000-0000-000048120000}"/>
    <cellStyle name="40% - Accent4 6 2 3 2 2" xfId="5825" xr:uid="{00000000-0005-0000-0000-000049120000}"/>
    <cellStyle name="40% - Accent4 6 2 3 3" xfId="4241" xr:uid="{00000000-0005-0000-0000-00004A120000}"/>
    <cellStyle name="40% - Accent4 6 2 4" xfId="1600" xr:uid="{00000000-0005-0000-0000-00004B120000}"/>
    <cellStyle name="40% - Accent4 6 2 4 2" xfId="3184" xr:uid="{00000000-0005-0000-0000-00004C120000}"/>
    <cellStyle name="40% - Accent4 6 2 4 2 2" xfId="6353" xr:uid="{00000000-0005-0000-0000-00004D120000}"/>
    <cellStyle name="40% - Accent4 6 2 4 3" xfId="4769" xr:uid="{00000000-0005-0000-0000-00004E120000}"/>
    <cellStyle name="40% - Accent4 6 2 5" xfId="2128" xr:uid="{00000000-0005-0000-0000-00004F120000}"/>
    <cellStyle name="40% - Accent4 6 2 5 2" xfId="5297" xr:uid="{00000000-0005-0000-0000-000050120000}"/>
    <cellStyle name="40% - Accent4 6 2 6" xfId="3713" xr:uid="{00000000-0005-0000-0000-000051120000}"/>
    <cellStyle name="40% - Accent4 6 3" xfId="807" xr:uid="{00000000-0005-0000-0000-000052120000}"/>
    <cellStyle name="40% - Accent4 6 3 2" xfId="1335" xr:uid="{00000000-0005-0000-0000-000053120000}"/>
    <cellStyle name="40% - Accent4 6 3 2 2" xfId="2919" xr:uid="{00000000-0005-0000-0000-000054120000}"/>
    <cellStyle name="40% - Accent4 6 3 2 2 2" xfId="6088" xr:uid="{00000000-0005-0000-0000-000055120000}"/>
    <cellStyle name="40% - Accent4 6 3 2 3" xfId="4504" xr:uid="{00000000-0005-0000-0000-000056120000}"/>
    <cellStyle name="40% - Accent4 6 3 3" xfId="1863" xr:uid="{00000000-0005-0000-0000-000057120000}"/>
    <cellStyle name="40% - Accent4 6 3 3 2" xfId="3447" xr:uid="{00000000-0005-0000-0000-000058120000}"/>
    <cellStyle name="40% - Accent4 6 3 3 2 2" xfId="6616" xr:uid="{00000000-0005-0000-0000-000059120000}"/>
    <cellStyle name="40% - Accent4 6 3 3 3" xfId="5032" xr:uid="{00000000-0005-0000-0000-00005A120000}"/>
    <cellStyle name="40% - Accent4 6 3 4" xfId="2391" xr:uid="{00000000-0005-0000-0000-00005B120000}"/>
    <cellStyle name="40% - Accent4 6 3 4 2" xfId="5560" xr:uid="{00000000-0005-0000-0000-00005C120000}"/>
    <cellStyle name="40% - Accent4 6 3 5" xfId="3976" xr:uid="{00000000-0005-0000-0000-00005D120000}"/>
    <cellStyle name="40% - Accent4 6 4" xfId="1071" xr:uid="{00000000-0005-0000-0000-00005E120000}"/>
    <cellStyle name="40% - Accent4 6 4 2" xfId="2655" xr:uid="{00000000-0005-0000-0000-00005F120000}"/>
    <cellStyle name="40% - Accent4 6 4 2 2" xfId="5824" xr:uid="{00000000-0005-0000-0000-000060120000}"/>
    <cellStyle name="40% - Accent4 6 4 3" xfId="4240" xr:uid="{00000000-0005-0000-0000-000061120000}"/>
    <cellStyle name="40% - Accent4 6 5" xfId="1599" xr:uid="{00000000-0005-0000-0000-000062120000}"/>
    <cellStyle name="40% - Accent4 6 5 2" xfId="3183" xr:uid="{00000000-0005-0000-0000-000063120000}"/>
    <cellStyle name="40% - Accent4 6 5 2 2" xfId="6352" xr:uid="{00000000-0005-0000-0000-000064120000}"/>
    <cellStyle name="40% - Accent4 6 5 3" xfId="4768" xr:uid="{00000000-0005-0000-0000-000065120000}"/>
    <cellStyle name="40% - Accent4 6 6" xfId="2127" xr:uid="{00000000-0005-0000-0000-000066120000}"/>
    <cellStyle name="40% - Accent4 6 6 2" xfId="5296" xr:uid="{00000000-0005-0000-0000-000067120000}"/>
    <cellStyle name="40% - Accent4 6 7" xfId="3712" xr:uid="{00000000-0005-0000-0000-000068120000}"/>
    <cellStyle name="40% - Accent4 7" xfId="338" xr:uid="{00000000-0005-0000-0000-000069120000}"/>
    <cellStyle name="40% - Accent4 7 2" xfId="339" xr:uid="{00000000-0005-0000-0000-00006A120000}"/>
    <cellStyle name="40% - Accent4 7 2 2" xfId="810" xr:uid="{00000000-0005-0000-0000-00006B120000}"/>
    <cellStyle name="40% - Accent4 7 2 2 2" xfId="1338" xr:uid="{00000000-0005-0000-0000-00006C120000}"/>
    <cellStyle name="40% - Accent4 7 2 2 2 2" xfId="2922" xr:uid="{00000000-0005-0000-0000-00006D120000}"/>
    <cellStyle name="40% - Accent4 7 2 2 2 2 2" xfId="6091" xr:uid="{00000000-0005-0000-0000-00006E120000}"/>
    <cellStyle name="40% - Accent4 7 2 2 2 3" xfId="4507" xr:uid="{00000000-0005-0000-0000-00006F120000}"/>
    <cellStyle name="40% - Accent4 7 2 2 3" xfId="1866" xr:uid="{00000000-0005-0000-0000-000070120000}"/>
    <cellStyle name="40% - Accent4 7 2 2 3 2" xfId="3450" xr:uid="{00000000-0005-0000-0000-000071120000}"/>
    <cellStyle name="40% - Accent4 7 2 2 3 2 2" xfId="6619" xr:uid="{00000000-0005-0000-0000-000072120000}"/>
    <cellStyle name="40% - Accent4 7 2 2 3 3" xfId="5035" xr:uid="{00000000-0005-0000-0000-000073120000}"/>
    <cellStyle name="40% - Accent4 7 2 2 4" xfId="2394" xr:uid="{00000000-0005-0000-0000-000074120000}"/>
    <cellStyle name="40% - Accent4 7 2 2 4 2" xfId="5563" xr:uid="{00000000-0005-0000-0000-000075120000}"/>
    <cellStyle name="40% - Accent4 7 2 2 5" xfId="3979" xr:uid="{00000000-0005-0000-0000-000076120000}"/>
    <cellStyle name="40% - Accent4 7 2 3" xfId="1074" xr:uid="{00000000-0005-0000-0000-000077120000}"/>
    <cellStyle name="40% - Accent4 7 2 3 2" xfId="2658" xr:uid="{00000000-0005-0000-0000-000078120000}"/>
    <cellStyle name="40% - Accent4 7 2 3 2 2" xfId="5827" xr:uid="{00000000-0005-0000-0000-000079120000}"/>
    <cellStyle name="40% - Accent4 7 2 3 3" xfId="4243" xr:uid="{00000000-0005-0000-0000-00007A120000}"/>
    <cellStyle name="40% - Accent4 7 2 4" xfId="1602" xr:uid="{00000000-0005-0000-0000-00007B120000}"/>
    <cellStyle name="40% - Accent4 7 2 4 2" xfId="3186" xr:uid="{00000000-0005-0000-0000-00007C120000}"/>
    <cellStyle name="40% - Accent4 7 2 4 2 2" xfId="6355" xr:uid="{00000000-0005-0000-0000-00007D120000}"/>
    <cellStyle name="40% - Accent4 7 2 4 3" xfId="4771" xr:uid="{00000000-0005-0000-0000-00007E120000}"/>
    <cellStyle name="40% - Accent4 7 2 5" xfId="2130" xr:uid="{00000000-0005-0000-0000-00007F120000}"/>
    <cellStyle name="40% - Accent4 7 2 5 2" xfId="5299" xr:uid="{00000000-0005-0000-0000-000080120000}"/>
    <cellStyle name="40% - Accent4 7 2 6" xfId="3715" xr:uid="{00000000-0005-0000-0000-000081120000}"/>
    <cellStyle name="40% - Accent4 7 3" xfId="809" xr:uid="{00000000-0005-0000-0000-000082120000}"/>
    <cellStyle name="40% - Accent4 7 3 2" xfId="1337" xr:uid="{00000000-0005-0000-0000-000083120000}"/>
    <cellStyle name="40% - Accent4 7 3 2 2" xfId="2921" xr:uid="{00000000-0005-0000-0000-000084120000}"/>
    <cellStyle name="40% - Accent4 7 3 2 2 2" xfId="6090" xr:uid="{00000000-0005-0000-0000-000085120000}"/>
    <cellStyle name="40% - Accent4 7 3 2 3" xfId="4506" xr:uid="{00000000-0005-0000-0000-000086120000}"/>
    <cellStyle name="40% - Accent4 7 3 3" xfId="1865" xr:uid="{00000000-0005-0000-0000-000087120000}"/>
    <cellStyle name="40% - Accent4 7 3 3 2" xfId="3449" xr:uid="{00000000-0005-0000-0000-000088120000}"/>
    <cellStyle name="40% - Accent4 7 3 3 2 2" xfId="6618" xr:uid="{00000000-0005-0000-0000-000089120000}"/>
    <cellStyle name="40% - Accent4 7 3 3 3" xfId="5034" xr:uid="{00000000-0005-0000-0000-00008A120000}"/>
    <cellStyle name="40% - Accent4 7 3 4" xfId="2393" xr:uid="{00000000-0005-0000-0000-00008B120000}"/>
    <cellStyle name="40% - Accent4 7 3 4 2" xfId="5562" xr:uid="{00000000-0005-0000-0000-00008C120000}"/>
    <cellStyle name="40% - Accent4 7 3 5" xfId="3978" xr:uid="{00000000-0005-0000-0000-00008D120000}"/>
    <cellStyle name="40% - Accent4 7 4" xfId="1073" xr:uid="{00000000-0005-0000-0000-00008E120000}"/>
    <cellStyle name="40% - Accent4 7 4 2" xfId="2657" xr:uid="{00000000-0005-0000-0000-00008F120000}"/>
    <cellStyle name="40% - Accent4 7 4 2 2" xfId="5826" xr:uid="{00000000-0005-0000-0000-000090120000}"/>
    <cellStyle name="40% - Accent4 7 4 3" xfId="4242" xr:uid="{00000000-0005-0000-0000-000091120000}"/>
    <cellStyle name="40% - Accent4 7 5" xfId="1601" xr:uid="{00000000-0005-0000-0000-000092120000}"/>
    <cellStyle name="40% - Accent4 7 5 2" xfId="3185" xr:uid="{00000000-0005-0000-0000-000093120000}"/>
    <cellStyle name="40% - Accent4 7 5 2 2" xfId="6354" xr:uid="{00000000-0005-0000-0000-000094120000}"/>
    <cellStyle name="40% - Accent4 7 5 3" xfId="4770" xr:uid="{00000000-0005-0000-0000-000095120000}"/>
    <cellStyle name="40% - Accent4 7 6" xfId="2129" xr:uid="{00000000-0005-0000-0000-000096120000}"/>
    <cellStyle name="40% - Accent4 7 6 2" xfId="5298" xr:uid="{00000000-0005-0000-0000-000097120000}"/>
    <cellStyle name="40% - Accent4 7 7" xfId="3714" xr:uid="{00000000-0005-0000-0000-000098120000}"/>
    <cellStyle name="40% - Accent4 8" xfId="340" xr:uid="{00000000-0005-0000-0000-000099120000}"/>
    <cellStyle name="40% - Accent4 8 2" xfId="341" xr:uid="{00000000-0005-0000-0000-00009A120000}"/>
    <cellStyle name="40% - Accent4 8 2 2" xfId="812" xr:uid="{00000000-0005-0000-0000-00009B120000}"/>
    <cellStyle name="40% - Accent4 8 2 2 2" xfId="1340" xr:uid="{00000000-0005-0000-0000-00009C120000}"/>
    <cellStyle name="40% - Accent4 8 2 2 2 2" xfId="2924" xr:uid="{00000000-0005-0000-0000-00009D120000}"/>
    <cellStyle name="40% - Accent4 8 2 2 2 2 2" xfId="6093" xr:uid="{00000000-0005-0000-0000-00009E120000}"/>
    <cellStyle name="40% - Accent4 8 2 2 2 3" xfId="4509" xr:uid="{00000000-0005-0000-0000-00009F120000}"/>
    <cellStyle name="40% - Accent4 8 2 2 3" xfId="1868" xr:uid="{00000000-0005-0000-0000-0000A0120000}"/>
    <cellStyle name="40% - Accent4 8 2 2 3 2" xfId="3452" xr:uid="{00000000-0005-0000-0000-0000A1120000}"/>
    <cellStyle name="40% - Accent4 8 2 2 3 2 2" xfId="6621" xr:uid="{00000000-0005-0000-0000-0000A2120000}"/>
    <cellStyle name="40% - Accent4 8 2 2 3 3" xfId="5037" xr:uid="{00000000-0005-0000-0000-0000A3120000}"/>
    <cellStyle name="40% - Accent4 8 2 2 4" xfId="2396" xr:uid="{00000000-0005-0000-0000-0000A4120000}"/>
    <cellStyle name="40% - Accent4 8 2 2 4 2" xfId="5565" xr:uid="{00000000-0005-0000-0000-0000A5120000}"/>
    <cellStyle name="40% - Accent4 8 2 2 5" xfId="3981" xr:uid="{00000000-0005-0000-0000-0000A6120000}"/>
    <cellStyle name="40% - Accent4 8 2 3" xfId="1076" xr:uid="{00000000-0005-0000-0000-0000A7120000}"/>
    <cellStyle name="40% - Accent4 8 2 3 2" xfId="2660" xr:uid="{00000000-0005-0000-0000-0000A8120000}"/>
    <cellStyle name="40% - Accent4 8 2 3 2 2" xfId="5829" xr:uid="{00000000-0005-0000-0000-0000A9120000}"/>
    <cellStyle name="40% - Accent4 8 2 3 3" xfId="4245" xr:uid="{00000000-0005-0000-0000-0000AA120000}"/>
    <cellStyle name="40% - Accent4 8 2 4" xfId="1604" xr:uid="{00000000-0005-0000-0000-0000AB120000}"/>
    <cellStyle name="40% - Accent4 8 2 4 2" xfId="3188" xr:uid="{00000000-0005-0000-0000-0000AC120000}"/>
    <cellStyle name="40% - Accent4 8 2 4 2 2" xfId="6357" xr:uid="{00000000-0005-0000-0000-0000AD120000}"/>
    <cellStyle name="40% - Accent4 8 2 4 3" xfId="4773" xr:uid="{00000000-0005-0000-0000-0000AE120000}"/>
    <cellStyle name="40% - Accent4 8 2 5" xfId="2132" xr:uid="{00000000-0005-0000-0000-0000AF120000}"/>
    <cellStyle name="40% - Accent4 8 2 5 2" xfId="5301" xr:uid="{00000000-0005-0000-0000-0000B0120000}"/>
    <cellStyle name="40% - Accent4 8 2 6" xfId="3717" xr:uid="{00000000-0005-0000-0000-0000B1120000}"/>
    <cellStyle name="40% - Accent4 8 3" xfId="811" xr:uid="{00000000-0005-0000-0000-0000B2120000}"/>
    <cellStyle name="40% - Accent4 8 3 2" xfId="1339" xr:uid="{00000000-0005-0000-0000-0000B3120000}"/>
    <cellStyle name="40% - Accent4 8 3 2 2" xfId="2923" xr:uid="{00000000-0005-0000-0000-0000B4120000}"/>
    <cellStyle name="40% - Accent4 8 3 2 2 2" xfId="6092" xr:uid="{00000000-0005-0000-0000-0000B5120000}"/>
    <cellStyle name="40% - Accent4 8 3 2 3" xfId="4508" xr:uid="{00000000-0005-0000-0000-0000B6120000}"/>
    <cellStyle name="40% - Accent4 8 3 3" xfId="1867" xr:uid="{00000000-0005-0000-0000-0000B7120000}"/>
    <cellStyle name="40% - Accent4 8 3 3 2" xfId="3451" xr:uid="{00000000-0005-0000-0000-0000B8120000}"/>
    <cellStyle name="40% - Accent4 8 3 3 2 2" xfId="6620" xr:uid="{00000000-0005-0000-0000-0000B9120000}"/>
    <cellStyle name="40% - Accent4 8 3 3 3" xfId="5036" xr:uid="{00000000-0005-0000-0000-0000BA120000}"/>
    <cellStyle name="40% - Accent4 8 3 4" xfId="2395" xr:uid="{00000000-0005-0000-0000-0000BB120000}"/>
    <cellStyle name="40% - Accent4 8 3 4 2" xfId="5564" xr:uid="{00000000-0005-0000-0000-0000BC120000}"/>
    <cellStyle name="40% - Accent4 8 3 5" xfId="3980" xr:uid="{00000000-0005-0000-0000-0000BD120000}"/>
    <cellStyle name="40% - Accent4 8 4" xfId="1075" xr:uid="{00000000-0005-0000-0000-0000BE120000}"/>
    <cellStyle name="40% - Accent4 8 4 2" xfId="2659" xr:uid="{00000000-0005-0000-0000-0000BF120000}"/>
    <cellStyle name="40% - Accent4 8 4 2 2" xfId="5828" xr:uid="{00000000-0005-0000-0000-0000C0120000}"/>
    <cellStyle name="40% - Accent4 8 4 3" xfId="4244" xr:uid="{00000000-0005-0000-0000-0000C1120000}"/>
    <cellStyle name="40% - Accent4 8 5" xfId="1603" xr:uid="{00000000-0005-0000-0000-0000C2120000}"/>
    <cellStyle name="40% - Accent4 8 5 2" xfId="3187" xr:uid="{00000000-0005-0000-0000-0000C3120000}"/>
    <cellStyle name="40% - Accent4 8 5 2 2" xfId="6356" xr:uid="{00000000-0005-0000-0000-0000C4120000}"/>
    <cellStyle name="40% - Accent4 8 5 3" xfId="4772" xr:uid="{00000000-0005-0000-0000-0000C5120000}"/>
    <cellStyle name="40% - Accent4 8 6" xfId="2131" xr:uid="{00000000-0005-0000-0000-0000C6120000}"/>
    <cellStyle name="40% - Accent4 8 6 2" xfId="5300" xr:uid="{00000000-0005-0000-0000-0000C7120000}"/>
    <cellStyle name="40% - Accent4 8 7" xfId="3716" xr:uid="{00000000-0005-0000-0000-0000C8120000}"/>
    <cellStyle name="40% - Accent4 9" xfId="342" xr:uid="{00000000-0005-0000-0000-0000C9120000}"/>
    <cellStyle name="40% - Accent4 9 2" xfId="343" xr:uid="{00000000-0005-0000-0000-0000CA120000}"/>
    <cellStyle name="40% - Accent4 9 2 2" xfId="814" xr:uid="{00000000-0005-0000-0000-0000CB120000}"/>
    <cellStyle name="40% - Accent4 9 2 2 2" xfId="1342" xr:uid="{00000000-0005-0000-0000-0000CC120000}"/>
    <cellStyle name="40% - Accent4 9 2 2 2 2" xfId="2926" xr:uid="{00000000-0005-0000-0000-0000CD120000}"/>
    <cellStyle name="40% - Accent4 9 2 2 2 2 2" xfId="6095" xr:uid="{00000000-0005-0000-0000-0000CE120000}"/>
    <cellStyle name="40% - Accent4 9 2 2 2 3" xfId="4511" xr:uid="{00000000-0005-0000-0000-0000CF120000}"/>
    <cellStyle name="40% - Accent4 9 2 2 3" xfId="1870" xr:uid="{00000000-0005-0000-0000-0000D0120000}"/>
    <cellStyle name="40% - Accent4 9 2 2 3 2" xfId="3454" xr:uid="{00000000-0005-0000-0000-0000D1120000}"/>
    <cellStyle name="40% - Accent4 9 2 2 3 2 2" xfId="6623" xr:uid="{00000000-0005-0000-0000-0000D2120000}"/>
    <cellStyle name="40% - Accent4 9 2 2 3 3" xfId="5039" xr:uid="{00000000-0005-0000-0000-0000D3120000}"/>
    <cellStyle name="40% - Accent4 9 2 2 4" xfId="2398" xr:uid="{00000000-0005-0000-0000-0000D4120000}"/>
    <cellStyle name="40% - Accent4 9 2 2 4 2" xfId="5567" xr:uid="{00000000-0005-0000-0000-0000D5120000}"/>
    <cellStyle name="40% - Accent4 9 2 2 5" xfId="3983" xr:uid="{00000000-0005-0000-0000-0000D6120000}"/>
    <cellStyle name="40% - Accent4 9 2 3" xfId="1078" xr:uid="{00000000-0005-0000-0000-0000D7120000}"/>
    <cellStyle name="40% - Accent4 9 2 3 2" xfId="2662" xr:uid="{00000000-0005-0000-0000-0000D8120000}"/>
    <cellStyle name="40% - Accent4 9 2 3 2 2" xfId="5831" xr:uid="{00000000-0005-0000-0000-0000D9120000}"/>
    <cellStyle name="40% - Accent4 9 2 3 3" xfId="4247" xr:uid="{00000000-0005-0000-0000-0000DA120000}"/>
    <cellStyle name="40% - Accent4 9 2 4" xfId="1606" xr:uid="{00000000-0005-0000-0000-0000DB120000}"/>
    <cellStyle name="40% - Accent4 9 2 4 2" xfId="3190" xr:uid="{00000000-0005-0000-0000-0000DC120000}"/>
    <cellStyle name="40% - Accent4 9 2 4 2 2" xfId="6359" xr:uid="{00000000-0005-0000-0000-0000DD120000}"/>
    <cellStyle name="40% - Accent4 9 2 4 3" xfId="4775" xr:uid="{00000000-0005-0000-0000-0000DE120000}"/>
    <cellStyle name="40% - Accent4 9 2 5" xfId="2134" xr:uid="{00000000-0005-0000-0000-0000DF120000}"/>
    <cellStyle name="40% - Accent4 9 2 5 2" xfId="5303" xr:uid="{00000000-0005-0000-0000-0000E0120000}"/>
    <cellStyle name="40% - Accent4 9 2 6" xfId="3719" xr:uid="{00000000-0005-0000-0000-0000E1120000}"/>
    <cellStyle name="40% - Accent4 9 3" xfId="813" xr:uid="{00000000-0005-0000-0000-0000E2120000}"/>
    <cellStyle name="40% - Accent4 9 3 2" xfId="1341" xr:uid="{00000000-0005-0000-0000-0000E3120000}"/>
    <cellStyle name="40% - Accent4 9 3 2 2" xfId="2925" xr:uid="{00000000-0005-0000-0000-0000E4120000}"/>
    <cellStyle name="40% - Accent4 9 3 2 2 2" xfId="6094" xr:uid="{00000000-0005-0000-0000-0000E5120000}"/>
    <cellStyle name="40% - Accent4 9 3 2 3" xfId="4510" xr:uid="{00000000-0005-0000-0000-0000E6120000}"/>
    <cellStyle name="40% - Accent4 9 3 3" xfId="1869" xr:uid="{00000000-0005-0000-0000-0000E7120000}"/>
    <cellStyle name="40% - Accent4 9 3 3 2" xfId="3453" xr:uid="{00000000-0005-0000-0000-0000E8120000}"/>
    <cellStyle name="40% - Accent4 9 3 3 2 2" xfId="6622" xr:uid="{00000000-0005-0000-0000-0000E9120000}"/>
    <cellStyle name="40% - Accent4 9 3 3 3" xfId="5038" xr:uid="{00000000-0005-0000-0000-0000EA120000}"/>
    <cellStyle name="40% - Accent4 9 3 4" xfId="2397" xr:uid="{00000000-0005-0000-0000-0000EB120000}"/>
    <cellStyle name="40% - Accent4 9 3 4 2" xfId="5566" xr:uid="{00000000-0005-0000-0000-0000EC120000}"/>
    <cellStyle name="40% - Accent4 9 3 5" xfId="3982" xr:uid="{00000000-0005-0000-0000-0000ED120000}"/>
    <cellStyle name="40% - Accent4 9 4" xfId="1077" xr:uid="{00000000-0005-0000-0000-0000EE120000}"/>
    <cellStyle name="40% - Accent4 9 4 2" xfId="2661" xr:uid="{00000000-0005-0000-0000-0000EF120000}"/>
    <cellStyle name="40% - Accent4 9 4 2 2" xfId="5830" xr:uid="{00000000-0005-0000-0000-0000F0120000}"/>
    <cellStyle name="40% - Accent4 9 4 3" xfId="4246" xr:uid="{00000000-0005-0000-0000-0000F1120000}"/>
    <cellStyle name="40% - Accent4 9 5" xfId="1605" xr:uid="{00000000-0005-0000-0000-0000F2120000}"/>
    <cellStyle name="40% - Accent4 9 5 2" xfId="3189" xr:uid="{00000000-0005-0000-0000-0000F3120000}"/>
    <cellStyle name="40% - Accent4 9 5 2 2" xfId="6358" xr:uid="{00000000-0005-0000-0000-0000F4120000}"/>
    <cellStyle name="40% - Accent4 9 5 3" xfId="4774" xr:uid="{00000000-0005-0000-0000-0000F5120000}"/>
    <cellStyle name="40% - Accent4 9 6" xfId="2133" xr:uid="{00000000-0005-0000-0000-0000F6120000}"/>
    <cellStyle name="40% - Accent4 9 6 2" xfId="5302" xr:uid="{00000000-0005-0000-0000-0000F7120000}"/>
    <cellStyle name="40% - Accent4 9 7" xfId="3718" xr:uid="{00000000-0005-0000-0000-0000F8120000}"/>
    <cellStyle name="40% - Accent5 10" xfId="344" xr:uid="{00000000-0005-0000-0000-0000F9120000}"/>
    <cellStyle name="40% - Accent5 10 2" xfId="345" xr:uid="{00000000-0005-0000-0000-0000FA120000}"/>
    <cellStyle name="40% - Accent5 10 2 2" xfId="816" xr:uid="{00000000-0005-0000-0000-0000FB120000}"/>
    <cellStyle name="40% - Accent5 10 2 2 2" xfId="1344" xr:uid="{00000000-0005-0000-0000-0000FC120000}"/>
    <cellStyle name="40% - Accent5 10 2 2 2 2" xfId="2928" xr:uid="{00000000-0005-0000-0000-0000FD120000}"/>
    <cellStyle name="40% - Accent5 10 2 2 2 2 2" xfId="6097" xr:uid="{00000000-0005-0000-0000-0000FE120000}"/>
    <cellStyle name="40% - Accent5 10 2 2 2 3" xfId="4513" xr:uid="{00000000-0005-0000-0000-0000FF120000}"/>
    <cellStyle name="40% - Accent5 10 2 2 3" xfId="1872" xr:uid="{00000000-0005-0000-0000-000000130000}"/>
    <cellStyle name="40% - Accent5 10 2 2 3 2" xfId="3456" xr:uid="{00000000-0005-0000-0000-000001130000}"/>
    <cellStyle name="40% - Accent5 10 2 2 3 2 2" xfId="6625" xr:uid="{00000000-0005-0000-0000-000002130000}"/>
    <cellStyle name="40% - Accent5 10 2 2 3 3" xfId="5041" xr:uid="{00000000-0005-0000-0000-000003130000}"/>
    <cellStyle name="40% - Accent5 10 2 2 4" xfId="2400" xr:uid="{00000000-0005-0000-0000-000004130000}"/>
    <cellStyle name="40% - Accent5 10 2 2 4 2" xfId="5569" xr:uid="{00000000-0005-0000-0000-000005130000}"/>
    <cellStyle name="40% - Accent5 10 2 2 5" xfId="3985" xr:uid="{00000000-0005-0000-0000-000006130000}"/>
    <cellStyle name="40% - Accent5 10 2 3" xfId="1080" xr:uid="{00000000-0005-0000-0000-000007130000}"/>
    <cellStyle name="40% - Accent5 10 2 3 2" xfId="2664" xr:uid="{00000000-0005-0000-0000-000008130000}"/>
    <cellStyle name="40% - Accent5 10 2 3 2 2" xfId="5833" xr:uid="{00000000-0005-0000-0000-000009130000}"/>
    <cellStyle name="40% - Accent5 10 2 3 3" xfId="4249" xr:uid="{00000000-0005-0000-0000-00000A130000}"/>
    <cellStyle name="40% - Accent5 10 2 4" xfId="1608" xr:uid="{00000000-0005-0000-0000-00000B130000}"/>
    <cellStyle name="40% - Accent5 10 2 4 2" xfId="3192" xr:uid="{00000000-0005-0000-0000-00000C130000}"/>
    <cellStyle name="40% - Accent5 10 2 4 2 2" xfId="6361" xr:uid="{00000000-0005-0000-0000-00000D130000}"/>
    <cellStyle name="40% - Accent5 10 2 4 3" xfId="4777" xr:uid="{00000000-0005-0000-0000-00000E130000}"/>
    <cellStyle name="40% - Accent5 10 2 5" xfId="2136" xr:uid="{00000000-0005-0000-0000-00000F130000}"/>
    <cellStyle name="40% - Accent5 10 2 5 2" xfId="5305" xr:uid="{00000000-0005-0000-0000-000010130000}"/>
    <cellStyle name="40% - Accent5 10 2 6" xfId="3721" xr:uid="{00000000-0005-0000-0000-000011130000}"/>
    <cellStyle name="40% - Accent5 10 3" xfId="815" xr:uid="{00000000-0005-0000-0000-000012130000}"/>
    <cellStyle name="40% - Accent5 10 3 2" xfId="1343" xr:uid="{00000000-0005-0000-0000-000013130000}"/>
    <cellStyle name="40% - Accent5 10 3 2 2" xfId="2927" xr:uid="{00000000-0005-0000-0000-000014130000}"/>
    <cellStyle name="40% - Accent5 10 3 2 2 2" xfId="6096" xr:uid="{00000000-0005-0000-0000-000015130000}"/>
    <cellStyle name="40% - Accent5 10 3 2 3" xfId="4512" xr:uid="{00000000-0005-0000-0000-000016130000}"/>
    <cellStyle name="40% - Accent5 10 3 3" xfId="1871" xr:uid="{00000000-0005-0000-0000-000017130000}"/>
    <cellStyle name="40% - Accent5 10 3 3 2" xfId="3455" xr:uid="{00000000-0005-0000-0000-000018130000}"/>
    <cellStyle name="40% - Accent5 10 3 3 2 2" xfId="6624" xr:uid="{00000000-0005-0000-0000-000019130000}"/>
    <cellStyle name="40% - Accent5 10 3 3 3" xfId="5040" xr:uid="{00000000-0005-0000-0000-00001A130000}"/>
    <cellStyle name="40% - Accent5 10 3 4" xfId="2399" xr:uid="{00000000-0005-0000-0000-00001B130000}"/>
    <cellStyle name="40% - Accent5 10 3 4 2" xfId="5568" xr:uid="{00000000-0005-0000-0000-00001C130000}"/>
    <cellStyle name="40% - Accent5 10 3 5" xfId="3984" xr:uid="{00000000-0005-0000-0000-00001D130000}"/>
    <cellStyle name="40% - Accent5 10 4" xfId="1079" xr:uid="{00000000-0005-0000-0000-00001E130000}"/>
    <cellStyle name="40% - Accent5 10 4 2" xfId="2663" xr:uid="{00000000-0005-0000-0000-00001F130000}"/>
    <cellStyle name="40% - Accent5 10 4 2 2" xfId="5832" xr:uid="{00000000-0005-0000-0000-000020130000}"/>
    <cellStyle name="40% - Accent5 10 4 3" xfId="4248" xr:uid="{00000000-0005-0000-0000-000021130000}"/>
    <cellStyle name="40% - Accent5 10 5" xfId="1607" xr:uid="{00000000-0005-0000-0000-000022130000}"/>
    <cellStyle name="40% - Accent5 10 5 2" xfId="3191" xr:uid="{00000000-0005-0000-0000-000023130000}"/>
    <cellStyle name="40% - Accent5 10 5 2 2" xfId="6360" xr:uid="{00000000-0005-0000-0000-000024130000}"/>
    <cellStyle name="40% - Accent5 10 5 3" xfId="4776" xr:uid="{00000000-0005-0000-0000-000025130000}"/>
    <cellStyle name="40% - Accent5 10 6" xfId="2135" xr:uid="{00000000-0005-0000-0000-000026130000}"/>
    <cellStyle name="40% - Accent5 10 6 2" xfId="5304" xr:uid="{00000000-0005-0000-0000-000027130000}"/>
    <cellStyle name="40% - Accent5 10 7" xfId="3720" xr:uid="{00000000-0005-0000-0000-000028130000}"/>
    <cellStyle name="40% - Accent5 11" xfId="346" xr:uid="{00000000-0005-0000-0000-000029130000}"/>
    <cellStyle name="40% - Accent5 11 2" xfId="817" xr:uid="{00000000-0005-0000-0000-00002A130000}"/>
    <cellStyle name="40% - Accent5 11 2 2" xfId="1345" xr:uid="{00000000-0005-0000-0000-00002B130000}"/>
    <cellStyle name="40% - Accent5 11 2 2 2" xfId="2929" xr:uid="{00000000-0005-0000-0000-00002C130000}"/>
    <cellStyle name="40% - Accent5 11 2 2 2 2" xfId="6098" xr:uid="{00000000-0005-0000-0000-00002D130000}"/>
    <cellStyle name="40% - Accent5 11 2 2 3" xfId="4514" xr:uid="{00000000-0005-0000-0000-00002E130000}"/>
    <cellStyle name="40% - Accent5 11 2 3" xfId="1873" xr:uid="{00000000-0005-0000-0000-00002F130000}"/>
    <cellStyle name="40% - Accent5 11 2 3 2" xfId="3457" xr:uid="{00000000-0005-0000-0000-000030130000}"/>
    <cellStyle name="40% - Accent5 11 2 3 2 2" xfId="6626" xr:uid="{00000000-0005-0000-0000-000031130000}"/>
    <cellStyle name="40% - Accent5 11 2 3 3" xfId="5042" xr:uid="{00000000-0005-0000-0000-000032130000}"/>
    <cellStyle name="40% - Accent5 11 2 4" xfId="2401" xr:uid="{00000000-0005-0000-0000-000033130000}"/>
    <cellStyle name="40% - Accent5 11 2 4 2" xfId="5570" xr:uid="{00000000-0005-0000-0000-000034130000}"/>
    <cellStyle name="40% - Accent5 11 2 5" xfId="3986" xr:uid="{00000000-0005-0000-0000-000035130000}"/>
    <cellStyle name="40% - Accent5 11 3" xfId="1081" xr:uid="{00000000-0005-0000-0000-000036130000}"/>
    <cellStyle name="40% - Accent5 11 3 2" xfId="2665" xr:uid="{00000000-0005-0000-0000-000037130000}"/>
    <cellStyle name="40% - Accent5 11 3 2 2" xfId="5834" xr:uid="{00000000-0005-0000-0000-000038130000}"/>
    <cellStyle name="40% - Accent5 11 3 3" xfId="4250" xr:uid="{00000000-0005-0000-0000-000039130000}"/>
    <cellStyle name="40% - Accent5 11 4" xfId="1609" xr:uid="{00000000-0005-0000-0000-00003A130000}"/>
    <cellStyle name="40% - Accent5 11 4 2" xfId="3193" xr:uid="{00000000-0005-0000-0000-00003B130000}"/>
    <cellStyle name="40% - Accent5 11 4 2 2" xfId="6362" xr:uid="{00000000-0005-0000-0000-00003C130000}"/>
    <cellStyle name="40% - Accent5 11 4 3" xfId="4778" xr:uid="{00000000-0005-0000-0000-00003D130000}"/>
    <cellStyle name="40% - Accent5 11 5" xfId="2137" xr:uid="{00000000-0005-0000-0000-00003E130000}"/>
    <cellStyle name="40% - Accent5 11 5 2" xfId="5306" xr:uid="{00000000-0005-0000-0000-00003F130000}"/>
    <cellStyle name="40% - Accent5 11 6" xfId="3722" xr:uid="{00000000-0005-0000-0000-000040130000}"/>
    <cellStyle name="40% - Accent5 12" xfId="347" xr:uid="{00000000-0005-0000-0000-000041130000}"/>
    <cellStyle name="40% - Accent5 12 2" xfId="818" xr:uid="{00000000-0005-0000-0000-000042130000}"/>
    <cellStyle name="40% - Accent5 12 2 2" xfId="1346" xr:uid="{00000000-0005-0000-0000-000043130000}"/>
    <cellStyle name="40% - Accent5 12 2 2 2" xfId="2930" xr:uid="{00000000-0005-0000-0000-000044130000}"/>
    <cellStyle name="40% - Accent5 12 2 2 2 2" xfId="6099" xr:uid="{00000000-0005-0000-0000-000045130000}"/>
    <cellStyle name="40% - Accent5 12 2 2 3" xfId="4515" xr:uid="{00000000-0005-0000-0000-000046130000}"/>
    <cellStyle name="40% - Accent5 12 2 3" xfId="1874" xr:uid="{00000000-0005-0000-0000-000047130000}"/>
    <cellStyle name="40% - Accent5 12 2 3 2" xfId="3458" xr:uid="{00000000-0005-0000-0000-000048130000}"/>
    <cellStyle name="40% - Accent5 12 2 3 2 2" xfId="6627" xr:uid="{00000000-0005-0000-0000-000049130000}"/>
    <cellStyle name="40% - Accent5 12 2 3 3" xfId="5043" xr:uid="{00000000-0005-0000-0000-00004A130000}"/>
    <cellStyle name="40% - Accent5 12 2 4" xfId="2402" xr:uid="{00000000-0005-0000-0000-00004B130000}"/>
    <cellStyle name="40% - Accent5 12 2 4 2" xfId="5571" xr:uid="{00000000-0005-0000-0000-00004C130000}"/>
    <cellStyle name="40% - Accent5 12 2 5" xfId="3987" xr:uid="{00000000-0005-0000-0000-00004D130000}"/>
    <cellStyle name="40% - Accent5 12 3" xfId="1082" xr:uid="{00000000-0005-0000-0000-00004E130000}"/>
    <cellStyle name="40% - Accent5 12 3 2" xfId="2666" xr:uid="{00000000-0005-0000-0000-00004F130000}"/>
    <cellStyle name="40% - Accent5 12 3 2 2" xfId="5835" xr:uid="{00000000-0005-0000-0000-000050130000}"/>
    <cellStyle name="40% - Accent5 12 3 3" xfId="4251" xr:uid="{00000000-0005-0000-0000-000051130000}"/>
    <cellStyle name="40% - Accent5 12 4" xfId="1610" xr:uid="{00000000-0005-0000-0000-000052130000}"/>
    <cellStyle name="40% - Accent5 12 4 2" xfId="3194" xr:uid="{00000000-0005-0000-0000-000053130000}"/>
    <cellStyle name="40% - Accent5 12 4 2 2" xfId="6363" xr:uid="{00000000-0005-0000-0000-000054130000}"/>
    <cellStyle name="40% - Accent5 12 4 3" xfId="4779" xr:uid="{00000000-0005-0000-0000-000055130000}"/>
    <cellStyle name="40% - Accent5 12 5" xfId="2138" xr:uid="{00000000-0005-0000-0000-000056130000}"/>
    <cellStyle name="40% - Accent5 12 5 2" xfId="5307" xr:uid="{00000000-0005-0000-0000-000057130000}"/>
    <cellStyle name="40% - Accent5 12 6" xfId="3723" xr:uid="{00000000-0005-0000-0000-000058130000}"/>
    <cellStyle name="40% - Accent5 13" xfId="348" xr:uid="{00000000-0005-0000-0000-000059130000}"/>
    <cellStyle name="40% - Accent5 13 2" xfId="819" xr:uid="{00000000-0005-0000-0000-00005A130000}"/>
    <cellStyle name="40% - Accent5 13 2 2" xfId="1347" xr:uid="{00000000-0005-0000-0000-00005B130000}"/>
    <cellStyle name="40% - Accent5 13 2 2 2" xfId="2931" xr:uid="{00000000-0005-0000-0000-00005C130000}"/>
    <cellStyle name="40% - Accent5 13 2 2 2 2" xfId="6100" xr:uid="{00000000-0005-0000-0000-00005D130000}"/>
    <cellStyle name="40% - Accent5 13 2 2 3" xfId="4516" xr:uid="{00000000-0005-0000-0000-00005E130000}"/>
    <cellStyle name="40% - Accent5 13 2 3" xfId="1875" xr:uid="{00000000-0005-0000-0000-00005F130000}"/>
    <cellStyle name="40% - Accent5 13 2 3 2" xfId="3459" xr:uid="{00000000-0005-0000-0000-000060130000}"/>
    <cellStyle name="40% - Accent5 13 2 3 2 2" xfId="6628" xr:uid="{00000000-0005-0000-0000-000061130000}"/>
    <cellStyle name="40% - Accent5 13 2 3 3" xfId="5044" xr:uid="{00000000-0005-0000-0000-000062130000}"/>
    <cellStyle name="40% - Accent5 13 2 4" xfId="2403" xr:uid="{00000000-0005-0000-0000-000063130000}"/>
    <cellStyle name="40% - Accent5 13 2 4 2" xfId="5572" xr:uid="{00000000-0005-0000-0000-000064130000}"/>
    <cellStyle name="40% - Accent5 13 2 5" xfId="3988" xr:uid="{00000000-0005-0000-0000-000065130000}"/>
    <cellStyle name="40% - Accent5 13 3" xfId="1083" xr:uid="{00000000-0005-0000-0000-000066130000}"/>
    <cellStyle name="40% - Accent5 13 3 2" xfId="2667" xr:uid="{00000000-0005-0000-0000-000067130000}"/>
    <cellStyle name="40% - Accent5 13 3 2 2" xfId="5836" xr:uid="{00000000-0005-0000-0000-000068130000}"/>
    <cellStyle name="40% - Accent5 13 3 3" xfId="4252" xr:uid="{00000000-0005-0000-0000-000069130000}"/>
    <cellStyle name="40% - Accent5 13 4" xfId="1611" xr:uid="{00000000-0005-0000-0000-00006A130000}"/>
    <cellStyle name="40% - Accent5 13 4 2" xfId="3195" xr:uid="{00000000-0005-0000-0000-00006B130000}"/>
    <cellStyle name="40% - Accent5 13 4 2 2" xfId="6364" xr:uid="{00000000-0005-0000-0000-00006C130000}"/>
    <cellStyle name="40% - Accent5 13 4 3" xfId="4780" xr:uid="{00000000-0005-0000-0000-00006D130000}"/>
    <cellStyle name="40% - Accent5 13 5" xfId="2139" xr:uid="{00000000-0005-0000-0000-00006E130000}"/>
    <cellStyle name="40% - Accent5 13 5 2" xfId="5308" xr:uid="{00000000-0005-0000-0000-00006F130000}"/>
    <cellStyle name="40% - Accent5 13 6" xfId="3724" xr:uid="{00000000-0005-0000-0000-000070130000}"/>
    <cellStyle name="40% - Accent5 14" xfId="349" xr:uid="{00000000-0005-0000-0000-000071130000}"/>
    <cellStyle name="40% - Accent5 14 2" xfId="820" xr:uid="{00000000-0005-0000-0000-000072130000}"/>
    <cellStyle name="40% - Accent5 14 2 2" xfId="1348" xr:uid="{00000000-0005-0000-0000-000073130000}"/>
    <cellStyle name="40% - Accent5 14 2 2 2" xfId="2932" xr:uid="{00000000-0005-0000-0000-000074130000}"/>
    <cellStyle name="40% - Accent5 14 2 2 2 2" xfId="6101" xr:uid="{00000000-0005-0000-0000-000075130000}"/>
    <cellStyle name="40% - Accent5 14 2 2 3" xfId="4517" xr:uid="{00000000-0005-0000-0000-000076130000}"/>
    <cellStyle name="40% - Accent5 14 2 3" xfId="1876" xr:uid="{00000000-0005-0000-0000-000077130000}"/>
    <cellStyle name="40% - Accent5 14 2 3 2" xfId="3460" xr:uid="{00000000-0005-0000-0000-000078130000}"/>
    <cellStyle name="40% - Accent5 14 2 3 2 2" xfId="6629" xr:uid="{00000000-0005-0000-0000-000079130000}"/>
    <cellStyle name="40% - Accent5 14 2 3 3" xfId="5045" xr:uid="{00000000-0005-0000-0000-00007A130000}"/>
    <cellStyle name="40% - Accent5 14 2 4" xfId="2404" xr:uid="{00000000-0005-0000-0000-00007B130000}"/>
    <cellStyle name="40% - Accent5 14 2 4 2" xfId="5573" xr:uid="{00000000-0005-0000-0000-00007C130000}"/>
    <cellStyle name="40% - Accent5 14 2 5" xfId="3989" xr:uid="{00000000-0005-0000-0000-00007D130000}"/>
    <cellStyle name="40% - Accent5 14 3" xfId="1084" xr:uid="{00000000-0005-0000-0000-00007E130000}"/>
    <cellStyle name="40% - Accent5 14 3 2" xfId="2668" xr:uid="{00000000-0005-0000-0000-00007F130000}"/>
    <cellStyle name="40% - Accent5 14 3 2 2" xfId="5837" xr:uid="{00000000-0005-0000-0000-000080130000}"/>
    <cellStyle name="40% - Accent5 14 3 3" xfId="4253" xr:uid="{00000000-0005-0000-0000-000081130000}"/>
    <cellStyle name="40% - Accent5 14 4" xfId="1612" xr:uid="{00000000-0005-0000-0000-000082130000}"/>
    <cellStyle name="40% - Accent5 14 4 2" xfId="3196" xr:uid="{00000000-0005-0000-0000-000083130000}"/>
    <cellStyle name="40% - Accent5 14 4 2 2" xfId="6365" xr:uid="{00000000-0005-0000-0000-000084130000}"/>
    <cellStyle name="40% - Accent5 14 4 3" xfId="4781" xr:uid="{00000000-0005-0000-0000-000085130000}"/>
    <cellStyle name="40% - Accent5 14 5" xfId="2140" xr:uid="{00000000-0005-0000-0000-000086130000}"/>
    <cellStyle name="40% - Accent5 14 5 2" xfId="5309" xr:uid="{00000000-0005-0000-0000-000087130000}"/>
    <cellStyle name="40% - Accent5 14 6" xfId="3725" xr:uid="{00000000-0005-0000-0000-000088130000}"/>
    <cellStyle name="40% - Accent5 15" xfId="350" xr:uid="{00000000-0005-0000-0000-000089130000}"/>
    <cellStyle name="40% - Accent5 15 2" xfId="821" xr:uid="{00000000-0005-0000-0000-00008A130000}"/>
    <cellStyle name="40% - Accent5 15 2 2" xfId="1349" xr:uid="{00000000-0005-0000-0000-00008B130000}"/>
    <cellStyle name="40% - Accent5 15 2 2 2" xfId="2933" xr:uid="{00000000-0005-0000-0000-00008C130000}"/>
    <cellStyle name="40% - Accent5 15 2 2 2 2" xfId="6102" xr:uid="{00000000-0005-0000-0000-00008D130000}"/>
    <cellStyle name="40% - Accent5 15 2 2 3" xfId="4518" xr:uid="{00000000-0005-0000-0000-00008E130000}"/>
    <cellStyle name="40% - Accent5 15 2 3" xfId="1877" xr:uid="{00000000-0005-0000-0000-00008F130000}"/>
    <cellStyle name="40% - Accent5 15 2 3 2" xfId="3461" xr:uid="{00000000-0005-0000-0000-000090130000}"/>
    <cellStyle name="40% - Accent5 15 2 3 2 2" xfId="6630" xr:uid="{00000000-0005-0000-0000-000091130000}"/>
    <cellStyle name="40% - Accent5 15 2 3 3" xfId="5046" xr:uid="{00000000-0005-0000-0000-000092130000}"/>
    <cellStyle name="40% - Accent5 15 2 4" xfId="2405" xr:uid="{00000000-0005-0000-0000-000093130000}"/>
    <cellStyle name="40% - Accent5 15 2 4 2" xfId="5574" xr:uid="{00000000-0005-0000-0000-000094130000}"/>
    <cellStyle name="40% - Accent5 15 2 5" xfId="3990" xr:uid="{00000000-0005-0000-0000-000095130000}"/>
    <cellStyle name="40% - Accent5 15 3" xfId="1085" xr:uid="{00000000-0005-0000-0000-000096130000}"/>
    <cellStyle name="40% - Accent5 15 3 2" xfId="2669" xr:uid="{00000000-0005-0000-0000-000097130000}"/>
    <cellStyle name="40% - Accent5 15 3 2 2" xfId="5838" xr:uid="{00000000-0005-0000-0000-000098130000}"/>
    <cellStyle name="40% - Accent5 15 3 3" xfId="4254" xr:uid="{00000000-0005-0000-0000-000099130000}"/>
    <cellStyle name="40% - Accent5 15 4" xfId="1613" xr:uid="{00000000-0005-0000-0000-00009A130000}"/>
    <cellStyle name="40% - Accent5 15 4 2" xfId="3197" xr:uid="{00000000-0005-0000-0000-00009B130000}"/>
    <cellStyle name="40% - Accent5 15 4 2 2" xfId="6366" xr:uid="{00000000-0005-0000-0000-00009C130000}"/>
    <cellStyle name="40% - Accent5 15 4 3" xfId="4782" xr:uid="{00000000-0005-0000-0000-00009D130000}"/>
    <cellStyle name="40% - Accent5 15 5" xfId="2141" xr:uid="{00000000-0005-0000-0000-00009E130000}"/>
    <cellStyle name="40% - Accent5 15 5 2" xfId="5310" xr:uid="{00000000-0005-0000-0000-00009F130000}"/>
    <cellStyle name="40% - Accent5 15 6" xfId="3726" xr:uid="{00000000-0005-0000-0000-0000A0130000}"/>
    <cellStyle name="40% - Accent5 16" xfId="351" xr:uid="{00000000-0005-0000-0000-0000A1130000}"/>
    <cellStyle name="40% - Accent5 16 2" xfId="822" xr:uid="{00000000-0005-0000-0000-0000A2130000}"/>
    <cellStyle name="40% - Accent5 16 2 2" xfId="1350" xr:uid="{00000000-0005-0000-0000-0000A3130000}"/>
    <cellStyle name="40% - Accent5 16 2 2 2" xfId="2934" xr:uid="{00000000-0005-0000-0000-0000A4130000}"/>
    <cellStyle name="40% - Accent5 16 2 2 2 2" xfId="6103" xr:uid="{00000000-0005-0000-0000-0000A5130000}"/>
    <cellStyle name="40% - Accent5 16 2 2 3" xfId="4519" xr:uid="{00000000-0005-0000-0000-0000A6130000}"/>
    <cellStyle name="40% - Accent5 16 2 3" xfId="1878" xr:uid="{00000000-0005-0000-0000-0000A7130000}"/>
    <cellStyle name="40% - Accent5 16 2 3 2" xfId="3462" xr:uid="{00000000-0005-0000-0000-0000A8130000}"/>
    <cellStyle name="40% - Accent5 16 2 3 2 2" xfId="6631" xr:uid="{00000000-0005-0000-0000-0000A9130000}"/>
    <cellStyle name="40% - Accent5 16 2 3 3" xfId="5047" xr:uid="{00000000-0005-0000-0000-0000AA130000}"/>
    <cellStyle name="40% - Accent5 16 2 4" xfId="2406" xr:uid="{00000000-0005-0000-0000-0000AB130000}"/>
    <cellStyle name="40% - Accent5 16 2 4 2" xfId="5575" xr:uid="{00000000-0005-0000-0000-0000AC130000}"/>
    <cellStyle name="40% - Accent5 16 2 5" xfId="3991" xr:uid="{00000000-0005-0000-0000-0000AD130000}"/>
    <cellStyle name="40% - Accent5 16 3" xfId="1086" xr:uid="{00000000-0005-0000-0000-0000AE130000}"/>
    <cellStyle name="40% - Accent5 16 3 2" xfId="2670" xr:uid="{00000000-0005-0000-0000-0000AF130000}"/>
    <cellStyle name="40% - Accent5 16 3 2 2" xfId="5839" xr:uid="{00000000-0005-0000-0000-0000B0130000}"/>
    <cellStyle name="40% - Accent5 16 3 3" xfId="4255" xr:uid="{00000000-0005-0000-0000-0000B1130000}"/>
    <cellStyle name="40% - Accent5 16 4" xfId="1614" xr:uid="{00000000-0005-0000-0000-0000B2130000}"/>
    <cellStyle name="40% - Accent5 16 4 2" xfId="3198" xr:uid="{00000000-0005-0000-0000-0000B3130000}"/>
    <cellStyle name="40% - Accent5 16 4 2 2" xfId="6367" xr:uid="{00000000-0005-0000-0000-0000B4130000}"/>
    <cellStyle name="40% - Accent5 16 4 3" xfId="4783" xr:uid="{00000000-0005-0000-0000-0000B5130000}"/>
    <cellStyle name="40% - Accent5 16 5" xfId="2142" xr:uid="{00000000-0005-0000-0000-0000B6130000}"/>
    <cellStyle name="40% - Accent5 16 5 2" xfId="5311" xr:uid="{00000000-0005-0000-0000-0000B7130000}"/>
    <cellStyle name="40% - Accent5 16 6" xfId="3727" xr:uid="{00000000-0005-0000-0000-0000B8130000}"/>
    <cellStyle name="40% - Accent5 2" xfId="11" xr:uid="{00000000-0005-0000-0000-0000B9130000}"/>
    <cellStyle name="40% - Accent5 2 2" xfId="352" xr:uid="{00000000-0005-0000-0000-0000BA130000}"/>
    <cellStyle name="40% - Accent5 3" xfId="353" xr:uid="{00000000-0005-0000-0000-0000BB130000}"/>
    <cellStyle name="40% - Accent5 4" xfId="354" xr:uid="{00000000-0005-0000-0000-0000BC130000}"/>
    <cellStyle name="40% - Accent5 4 2" xfId="355" xr:uid="{00000000-0005-0000-0000-0000BD130000}"/>
    <cellStyle name="40% - Accent5 4 2 2" xfId="824" xr:uid="{00000000-0005-0000-0000-0000BE130000}"/>
    <cellStyle name="40% - Accent5 4 2 2 2" xfId="1352" xr:uid="{00000000-0005-0000-0000-0000BF130000}"/>
    <cellStyle name="40% - Accent5 4 2 2 2 2" xfId="2936" xr:uid="{00000000-0005-0000-0000-0000C0130000}"/>
    <cellStyle name="40% - Accent5 4 2 2 2 2 2" xfId="6105" xr:uid="{00000000-0005-0000-0000-0000C1130000}"/>
    <cellStyle name="40% - Accent5 4 2 2 2 3" xfId="4521" xr:uid="{00000000-0005-0000-0000-0000C2130000}"/>
    <cellStyle name="40% - Accent5 4 2 2 3" xfId="1880" xr:uid="{00000000-0005-0000-0000-0000C3130000}"/>
    <cellStyle name="40% - Accent5 4 2 2 3 2" xfId="3464" xr:uid="{00000000-0005-0000-0000-0000C4130000}"/>
    <cellStyle name="40% - Accent5 4 2 2 3 2 2" xfId="6633" xr:uid="{00000000-0005-0000-0000-0000C5130000}"/>
    <cellStyle name="40% - Accent5 4 2 2 3 3" xfId="5049" xr:uid="{00000000-0005-0000-0000-0000C6130000}"/>
    <cellStyle name="40% - Accent5 4 2 2 4" xfId="2408" xr:uid="{00000000-0005-0000-0000-0000C7130000}"/>
    <cellStyle name="40% - Accent5 4 2 2 4 2" xfId="5577" xr:uid="{00000000-0005-0000-0000-0000C8130000}"/>
    <cellStyle name="40% - Accent5 4 2 2 5" xfId="3993" xr:uid="{00000000-0005-0000-0000-0000C9130000}"/>
    <cellStyle name="40% - Accent5 4 2 3" xfId="1088" xr:uid="{00000000-0005-0000-0000-0000CA130000}"/>
    <cellStyle name="40% - Accent5 4 2 3 2" xfId="2672" xr:uid="{00000000-0005-0000-0000-0000CB130000}"/>
    <cellStyle name="40% - Accent5 4 2 3 2 2" xfId="5841" xr:uid="{00000000-0005-0000-0000-0000CC130000}"/>
    <cellStyle name="40% - Accent5 4 2 3 3" xfId="4257" xr:uid="{00000000-0005-0000-0000-0000CD130000}"/>
    <cellStyle name="40% - Accent5 4 2 4" xfId="1616" xr:uid="{00000000-0005-0000-0000-0000CE130000}"/>
    <cellStyle name="40% - Accent5 4 2 4 2" xfId="3200" xr:uid="{00000000-0005-0000-0000-0000CF130000}"/>
    <cellStyle name="40% - Accent5 4 2 4 2 2" xfId="6369" xr:uid="{00000000-0005-0000-0000-0000D0130000}"/>
    <cellStyle name="40% - Accent5 4 2 4 3" xfId="4785" xr:uid="{00000000-0005-0000-0000-0000D1130000}"/>
    <cellStyle name="40% - Accent5 4 2 5" xfId="2144" xr:uid="{00000000-0005-0000-0000-0000D2130000}"/>
    <cellStyle name="40% - Accent5 4 2 5 2" xfId="5313" xr:uid="{00000000-0005-0000-0000-0000D3130000}"/>
    <cellStyle name="40% - Accent5 4 2 6" xfId="3729" xr:uid="{00000000-0005-0000-0000-0000D4130000}"/>
    <cellStyle name="40% - Accent5 4 3" xfId="823" xr:uid="{00000000-0005-0000-0000-0000D5130000}"/>
    <cellStyle name="40% - Accent5 4 3 2" xfId="1351" xr:uid="{00000000-0005-0000-0000-0000D6130000}"/>
    <cellStyle name="40% - Accent5 4 3 2 2" xfId="2935" xr:uid="{00000000-0005-0000-0000-0000D7130000}"/>
    <cellStyle name="40% - Accent5 4 3 2 2 2" xfId="6104" xr:uid="{00000000-0005-0000-0000-0000D8130000}"/>
    <cellStyle name="40% - Accent5 4 3 2 3" xfId="4520" xr:uid="{00000000-0005-0000-0000-0000D9130000}"/>
    <cellStyle name="40% - Accent5 4 3 3" xfId="1879" xr:uid="{00000000-0005-0000-0000-0000DA130000}"/>
    <cellStyle name="40% - Accent5 4 3 3 2" xfId="3463" xr:uid="{00000000-0005-0000-0000-0000DB130000}"/>
    <cellStyle name="40% - Accent5 4 3 3 2 2" xfId="6632" xr:uid="{00000000-0005-0000-0000-0000DC130000}"/>
    <cellStyle name="40% - Accent5 4 3 3 3" xfId="5048" xr:uid="{00000000-0005-0000-0000-0000DD130000}"/>
    <cellStyle name="40% - Accent5 4 3 4" xfId="2407" xr:uid="{00000000-0005-0000-0000-0000DE130000}"/>
    <cellStyle name="40% - Accent5 4 3 4 2" xfId="5576" xr:uid="{00000000-0005-0000-0000-0000DF130000}"/>
    <cellStyle name="40% - Accent5 4 3 5" xfId="3992" xr:uid="{00000000-0005-0000-0000-0000E0130000}"/>
    <cellStyle name="40% - Accent5 4 4" xfId="1087" xr:uid="{00000000-0005-0000-0000-0000E1130000}"/>
    <cellStyle name="40% - Accent5 4 4 2" xfId="2671" xr:uid="{00000000-0005-0000-0000-0000E2130000}"/>
    <cellStyle name="40% - Accent5 4 4 2 2" xfId="5840" xr:uid="{00000000-0005-0000-0000-0000E3130000}"/>
    <cellStyle name="40% - Accent5 4 4 3" xfId="4256" xr:uid="{00000000-0005-0000-0000-0000E4130000}"/>
    <cellStyle name="40% - Accent5 4 5" xfId="1615" xr:uid="{00000000-0005-0000-0000-0000E5130000}"/>
    <cellStyle name="40% - Accent5 4 5 2" xfId="3199" xr:uid="{00000000-0005-0000-0000-0000E6130000}"/>
    <cellStyle name="40% - Accent5 4 5 2 2" xfId="6368" xr:uid="{00000000-0005-0000-0000-0000E7130000}"/>
    <cellStyle name="40% - Accent5 4 5 3" xfId="4784" xr:uid="{00000000-0005-0000-0000-0000E8130000}"/>
    <cellStyle name="40% - Accent5 4 6" xfId="2143" xr:uid="{00000000-0005-0000-0000-0000E9130000}"/>
    <cellStyle name="40% - Accent5 4 6 2" xfId="5312" xr:uid="{00000000-0005-0000-0000-0000EA130000}"/>
    <cellStyle name="40% - Accent5 4 7" xfId="3728" xr:uid="{00000000-0005-0000-0000-0000EB130000}"/>
    <cellStyle name="40% - Accent5 5" xfId="356" xr:uid="{00000000-0005-0000-0000-0000EC130000}"/>
    <cellStyle name="40% - Accent5 5 2" xfId="357" xr:uid="{00000000-0005-0000-0000-0000ED130000}"/>
    <cellStyle name="40% - Accent5 5 2 2" xfId="826" xr:uid="{00000000-0005-0000-0000-0000EE130000}"/>
    <cellStyle name="40% - Accent5 5 2 2 2" xfId="1354" xr:uid="{00000000-0005-0000-0000-0000EF130000}"/>
    <cellStyle name="40% - Accent5 5 2 2 2 2" xfId="2938" xr:uid="{00000000-0005-0000-0000-0000F0130000}"/>
    <cellStyle name="40% - Accent5 5 2 2 2 2 2" xfId="6107" xr:uid="{00000000-0005-0000-0000-0000F1130000}"/>
    <cellStyle name="40% - Accent5 5 2 2 2 3" xfId="4523" xr:uid="{00000000-0005-0000-0000-0000F2130000}"/>
    <cellStyle name="40% - Accent5 5 2 2 3" xfId="1882" xr:uid="{00000000-0005-0000-0000-0000F3130000}"/>
    <cellStyle name="40% - Accent5 5 2 2 3 2" xfId="3466" xr:uid="{00000000-0005-0000-0000-0000F4130000}"/>
    <cellStyle name="40% - Accent5 5 2 2 3 2 2" xfId="6635" xr:uid="{00000000-0005-0000-0000-0000F5130000}"/>
    <cellStyle name="40% - Accent5 5 2 2 3 3" xfId="5051" xr:uid="{00000000-0005-0000-0000-0000F6130000}"/>
    <cellStyle name="40% - Accent5 5 2 2 4" xfId="2410" xr:uid="{00000000-0005-0000-0000-0000F7130000}"/>
    <cellStyle name="40% - Accent5 5 2 2 4 2" xfId="5579" xr:uid="{00000000-0005-0000-0000-0000F8130000}"/>
    <cellStyle name="40% - Accent5 5 2 2 5" xfId="3995" xr:uid="{00000000-0005-0000-0000-0000F9130000}"/>
    <cellStyle name="40% - Accent5 5 2 3" xfId="1090" xr:uid="{00000000-0005-0000-0000-0000FA130000}"/>
    <cellStyle name="40% - Accent5 5 2 3 2" xfId="2674" xr:uid="{00000000-0005-0000-0000-0000FB130000}"/>
    <cellStyle name="40% - Accent5 5 2 3 2 2" xfId="5843" xr:uid="{00000000-0005-0000-0000-0000FC130000}"/>
    <cellStyle name="40% - Accent5 5 2 3 3" xfId="4259" xr:uid="{00000000-0005-0000-0000-0000FD130000}"/>
    <cellStyle name="40% - Accent5 5 2 4" xfId="1618" xr:uid="{00000000-0005-0000-0000-0000FE130000}"/>
    <cellStyle name="40% - Accent5 5 2 4 2" xfId="3202" xr:uid="{00000000-0005-0000-0000-0000FF130000}"/>
    <cellStyle name="40% - Accent5 5 2 4 2 2" xfId="6371" xr:uid="{00000000-0005-0000-0000-000000140000}"/>
    <cellStyle name="40% - Accent5 5 2 4 3" xfId="4787" xr:uid="{00000000-0005-0000-0000-000001140000}"/>
    <cellStyle name="40% - Accent5 5 2 5" xfId="2146" xr:uid="{00000000-0005-0000-0000-000002140000}"/>
    <cellStyle name="40% - Accent5 5 2 5 2" xfId="5315" xr:uid="{00000000-0005-0000-0000-000003140000}"/>
    <cellStyle name="40% - Accent5 5 2 6" xfId="3731" xr:uid="{00000000-0005-0000-0000-000004140000}"/>
    <cellStyle name="40% - Accent5 5 3" xfId="825" xr:uid="{00000000-0005-0000-0000-000005140000}"/>
    <cellStyle name="40% - Accent5 5 3 2" xfId="1353" xr:uid="{00000000-0005-0000-0000-000006140000}"/>
    <cellStyle name="40% - Accent5 5 3 2 2" xfId="2937" xr:uid="{00000000-0005-0000-0000-000007140000}"/>
    <cellStyle name="40% - Accent5 5 3 2 2 2" xfId="6106" xr:uid="{00000000-0005-0000-0000-000008140000}"/>
    <cellStyle name="40% - Accent5 5 3 2 3" xfId="4522" xr:uid="{00000000-0005-0000-0000-000009140000}"/>
    <cellStyle name="40% - Accent5 5 3 3" xfId="1881" xr:uid="{00000000-0005-0000-0000-00000A140000}"/>
    <cellStyle name="40% - Accent5 5 3 3 2" xfId="3465" xr:uid="{00000000-0005-0000-0000-00000B140000}"/>
    <cellStyle name="40% - Accent5 5 3 3 2 2" xfId="6634" xr:uid="{00000000-0005-0000-0000-00000C140000}"/>
    <cellStyle name="40% - Accent5 5 3 3 3" xfId="5050" xr:uid="{00000000-0005-0000-0000-00000D140000}"/>
    <cellStyle name="40% - Accent5 5 3 4" xfId="2409" xr:uid="{00000000-0005-0000-0000-00000E140000}"/>
    <cellStyle name="40% - Accent5 5 3 4 2" xfId="5578" xr:uid="{00000000-0005-0000-0000-00000F140000}"/>
    <cellStyle name="40% - Accent5 5 3 5" xfId="3994" xr:uid="{00000000-0005-0000-0000-000010140000}"/>
    <cellStyle name="40% - Accent5 5 4" xfId="1089" xr:uid="{00000000-0005-0000-0000-000011140000}"/>
    <cellStyle name="40% - Accent5 5 4 2" xfId="2673" xr:uid="{00000000-0005-0000-0000-000012140000}"/>
    <cellStyle name="40% - Accent5 5 4 2 2" xfId="5842" xr:uid="{00000000-0005-0000-0000-000013140000}"/>
    <cellStyle name="40% - Accent5 5 4 3" xfId="4258" xr:uid="{00000000-0005-0000-0000-000014140000}"/>
    <cellStyle name="40% - Accent5 5 5" xfId="1617" xr:uid="{00000000-0005-0000-0000-000015140000}"/>
    <cellStyle name="40% - Accent5 5 5 2" xfId="3201" xr:uid="{00000000-0005-0000-0000-000016140000}"/>
    <cellStyle name="40% - Accent5 5 5 2 2" xfId="6370" xr:uid="{00000000-0005-0000-0000-000017140000}"/>
    <cellStyle name="40% - Accent5 5 5 3" xfId="4786" xr:uid="{00000000-0005-0000-0000-000018140000}"/>
    <cellStyle name="40% - Accent5 5 6" xfId="2145" xr:uid="{00000000-0005-0000-0000-000019140000}"/>
    <cellStyle name="40% - Accent5 5 6 2" xfId="5314" xr:uid="{00000000-0005-0000-0000-00001A140000}"/>
    <cellStyle name="40% - Accent5 5 7" xfId="3730" xr:uid="{00000000-0005-0000-0000-00001B140000}"/>
    <cellStyle name="40% - Accent5 6" xfId="358" xr:uid="{00000000-0005-0000-0000-00001C140000}"/>
    <cellStyle name="40% - Accent5 6 2" xfId="359" xr:uid="{00000000-0005-0000-0000-00001D140000}"/>
    <cellStyle name="40% - Accent5 6 2 2" xfId="828" xr:uid="{00000000-0005-0000-0000-00001E140000}"/>
    <cellStyle name="40% - Accent5 6 2 2 2" xfId="1356" xr:uid="{00000000-0005-0000-0000-00001F140000}"/>
    <cellStyle name="40% - Accent5 6 2 2 2 2" xfId="2940" xr:uid="{00000000-0005-0000-0000-000020140000}"/>
    <cellStyle name="40% - Accent5 6 2 2 2 2 2" xfId="6109" xr:uid="{00000000-0005-0000-0000-000021140000}"/>
    <cellStyle name="40% - Accent5 6 2 2 2 3" xfId="4525" xr:uid="{00000000-0005-0000-0000-000022140000}"/>
    <cellStyle name="40% - Accent5 6 2 2 3" xfId="1884" xr:uid="{00000000-0005-0000-0000-000023140000}"/>
    <cellStyle name="40% - Accent5 6 2 2 3 2" xfId="3468" xr:uid="{00000000-0005-0000-0000-000024140000}"/>
    <cellStyle name="40% - Accent5 6 2 2 3 2 2" xfId="6637" xr:uid="{00000000-0005-0000-0000-000025140000}"/>
    <cellStyle name="40% - Accent5 6 2 2 3 3" xfId="5053" xr:uid="{00000000-0005-0000-0000-000026140000}"/>
    <cellStyle name="40% - Accent5 6 2 2 4" xfId="2412" xr:uid="{00000000-0005-0000-0000-000027140000}"/>
    <cellStyle name="40% - Accent5 6 2 2 4 2" xfId="5581" xr:uid="{00000000-0005-0000-0000-000028140000}"/>
    <cellStyle name="40% - Accent5 6 2 2 5" xfId="3997" xr:uid="{00000000-0005-0000-0000-000029140000}"/>
    <cellStyle name="40% - Accent5 6 2 3" xfId="1092" xr:uid="{00000000-0005-0000-0000-00002A140000}"/>
    <cellStyle name="40% - Accent5 6 2 3 2" xfId="2676" xr:uid="{00000000-0005-0000-0000-00002B140000}"/>
    <cellStyle name="40% - Accent5 6 2 3 2 2" xfId="5845" xr:uid="{00000000-0005-0000-0000-00002C140000}"/>
    <cellStyle name="40% - Accent5 6 2 3 3" xfId="4261" xr:uid="{00000000-0005-0000-0000-00002D140000}"/>
    <cellStyle name="40% - Accent5 6 2 4" xfId="1620" xr:uid="{00000000-0005-0000-0000-00002E140000}"/>
    <cellStyle name="40% - Accent5 6 2 4 2" xfId="3204" xr:uid="{00000000-0005-0000-0000-00002F140000}"/>
    <cellStyle name="40% - Accent5 6 2 4 2 2" xfId="6373" xr:uid="{00000000-0005-0000-0000-000030140000}"/>
    <cellStyle name="40% - Accent5 6 2 4 3" xfId="4789" xr:uid="{00000000-0005-0000-0000-000031140000}"/>
    <cellStyle name="40% - Accent5 6 2 5" xfId="2148" xr:uid="{00000000-0005-0000-0000-000032140000}"/>
    <cellStyle name="40% - Accent5 6 2 5 2" xfId="5317" xr:uid="{00000000-0005-0000-0000-000033140000}"/>
    <cellStyle name="40% - Accent5 6 2 6" xfId="3733" xr:uid="{00000000-0005-0000-0000-000034140000}"/>
    <cellStyle name="40% - Accent5 6 3" xfId="827" xr:uid="{00000000-0005-0000-0000-000035140000}"/>
    <cellStyle name="40% - Accent5 6 3 2" xfId="1355" xr:uid="{00000000-0005-0000-0000-000036140000}"/>
    <cellStyle name="40% - Accent5 6 3 2 2" xfId="2939" xr:uid="{00000000-0005-0000-0000-000037140000}"/>
    <cellStyle name="40% - Accent5 6 3 2 2 2" xfId="6108" xr:uid="{00000000-0005-0000-0000-000038140000}"/>
    <cellStyle name="40% - Accent5 6 3 2 3" xfId="4524" xr:uid="{00000000-0005-0000-0000-000039140000}"/>
    <cellStyle name="40% - Accent5 6 3 3" xfId="1883" xr:uid="{00000000-0005-0000-0000-00003A140000}"/>
    <cellStyle name="40% - Accent5 6 3 3 2" xfId="3467" xr:uid="{00000000-0005-0000-0000-00003B140000}"/>
    <cellStyle name="40% - Accent5 6 3 3 2 2" xfId="6636" xr:uid="{00000000-0005-0000-0000-00003C140000}"/>
    <cellStyle name="40% - Accent5 6 3 3 3" xfId="5052" xr:uid="{00000000-0005-0000-0000-00003D140000}"/>
    <cellStyle name="40% - Accent5 6 3 4" xfId="2411" xr:uid="{00000000-0005-0000-0000-00003E140000}"/>
    <cellStyle name="40% - Accent5 6 3 4 2" xfId="5580" xr:uid="{00000000-0005-0000-0000-00003F140000}"/>
    <cellStyle name="40% - Accent5 6 3 5" xfId="3996" xr:uid="{00000000-0005-0000-0000-000040140000}"/>
    <cellStyle name="40% - Accent5 6 4" xfId="1091" xr:uid="{00000000-0005-0000-0000-000041140000}"/>
    <cellStyle name="40% - Accent5 6 4 2" xfId="2675" xr:uid="{00000000-0005-0000-0000-000042140000}"/>
    <cellStyle name="40% - Accent5 6 4 2 2" xfId="5844" xr:uid="{00000000-0005-0000-0000-000043140000}"/>
    <cellStyle name="40% - Accent5 6 4 3" xfId="4260" xr:uid="{00000000-0005-0000-0000-000044140000}"/>
    <cellStyle name="40% - Accent5 6 5" xfId="1619" xr:uid="{00000000-0005-0000-0000-000045140000}"/>
    <cellStyle name="40% - Accent5 6 5 2" xfId="3203" xr:uid="{00000000-0005-0000-0000-000046140000}"/>
    <cellStyle name="40% - Accent5 6 5 2 2" xfId="6372" xr:uid="{00000000-0005-0000-0000-000047140000}"/>
    <cellStyle name="40% - Accent5 6 5 3" xfId="4788" xr:uid="{00000000-0005-0000-0000-000048140000}"/>
    <cellStyle name="40% - Accent5 6 6" xfId="2147" xr:uid="{00000000-0005-0000-0000-000049140000}"/>
    <cellStyle name="40% - Accent5 6 6 2" xfId="5316" xr:uid="{00000000-0005-0000-0000-00004A140000}"/>
    <cellStyle name="40% - Accent5 6 7" xfId="3732" xr:uid="{00000000-0005-0000-0000-00004B140000}"/>
    <cellStyle name="40% - Accent5 7" xfId="360" xr:uid="{00000000-0005-0000-0000-00004C140000}"/>
    <cellStyle name="40% - Accent5 7 2" xfId="361" xr:uid="{00000000-0005-0000-0000-00004D140000}"/>
    <cellStyle name="40% - Accent5 7 2 2" xfId="830" xr:uid="{00000000-0005-0000-0000-00004E140000}"/>
    <cellStyle name="40% - Accent5 7 2 2 2" xfId="1358" xr:uid="{00000000-0005-0000-0000-00004F140000}"/>
    <cellStyle name="40% - Accent5 7 2 2 2 2" xfId="2942" xr:uid="{00000000-0005-0000-0000-000050140000}"/>
    <cellStyle name="40% - Accent5 7 2 2 2 2 2" xfId="6111" xr:uid="{00000000-0005-0000-0000-000051140000}"/>
    <cellStyle name="40% - Accent5 7 2 2 2 3" xfId="4527" xr:uid="{00000000-0005-0000-0000-000052140000}"/>
    <cellStyle name="40% - Accent5 7 2 2 3" xfId="1886" xr:uid="{00000000-0005-0000-0000-000053140000}"/>
    <cellStyle name="40% - Accent5 7 2 2 3 2" xfId="3470" xr:uid="{00000000-0005-0000-0000-000054140000}"/>
    <cellStyle name="40% - Accent5 7 2 2 3 2 2" xfId="6639" xr:uid="{00000000-0005-0000-0000-000055140000}"/>
    <cellStyle name="40% - Accent5 7 2 2 3 3" xfId="5055" xr:uid="{00000000-0005-0000-0000-000056140000}"/>
    <cellStyle name="40% - Accent5 7 2 2 4" xfId="2414" xr:uid="{00000000-0005-0000-0000-000057140000}"/>
    <cellStyle name="40% - Accent5 7 2 2 4 2" xfId="5583" xr:uid="{00000000-0005-0000-0000-000058140000}"/>
    <cellStyle name="40% - Accent5 7 2 2 5" xfId="3999" xr:uid="{00000000-0005-0000-0000-000059140000}"/>
    <cellStyle name="40% - Accent5 7 2 3" xfId="1094" xr:uid="{00000000-0005-0000-0000-00005A140000}"/>
    <cellStyle name="40% - Accent5 7 2 3 2" xfId="2678" xr:uid="{00000000-0005-0000-0000-00005B140000}"/>
    <cellStyle name="40% - Accent5 7 2 3 2 2" xfId="5847" xr:uid="{00000000-0005-0000-0000-00005C140000}"/>
    <cellStyle name="40% - Accent5 7 2 3 3" xfId="4263" xr:uid="{00000000-0005-0000-0000-00005D140000}"/>
    <cellStyle name="40% - Accent5 7 2 4" xfId="1622" xr:uid="{00000000-0005-0000-0000-00005E140000}"/>
    <cellStyle name="40% - Accent5 7 2 4 2" xfId="3206" xr:uid="{00000000-0005-0000-0000-00005F140000}"/>
    <cellStyle name="40% - Accent5 7 2 4 2 2" xfId="6375" xr:uid="{00000000-0005-0000-0000-000060140000}"/>
    <cellStyle name="40% - Accent5 7 2 4 3" xfId="4791" xr:uid="{00000000-0005-0000-0000-000061140000}"/>
    <cellStyle name="40% - Accent5 7 2 5" xfId="2150" xr:uid="{00000000-0005-0000-0000-000062140000}"/>
    <cellStyle name="40% - Accent5 7 2 5 2" xfId="5319" xr:uid="{00000000-0005-0000-0000-000063140000}"/>
    <cellStyle name="40% - Accent5 7 2 6" xfId="3735" xr:uid="{00000000-0005-0000-0000-000064140000}"/>
    <cellStyle name="40% - Accent5 7 3" xfId="829" xr:uid="{00000000-0005-0000-0000-000065140000}"/>
    <cellStyle name="40% - Accent5 7 3 2" xfId="1357" xr:uid="{00000000-0005-0000-0000-000066140000}"/>
    <cellStyle name="40% - Accent5 7 3 2 2" xfId="2941" xr:uid="{00000000-0005-0000-0000-000067140000}"/>
    <cellStyle name="40% - Accent5 7 3 2 2 2" xfId="6110" xr:uid="{00000000-0005-0000-0000-000068140000}"/>
    <cellStyle name="40% - Accent5 7 3 2 3" xfId="4526" xr:uid="{00000000-0005-0000-0000-000069140000}"/>
    <cellStyle name="40% - Accent5 7 3 3" xfId="1885" xr:uid="{00000000-0005-0000-0000-00006A140000}"/>
    <cellStyle name="40% - Accent5 7 3 3 2" xfId="3469" xr:uid="{00000000-0005-0000-0000-00006B140000}"/>
    <cellStyle name="40% - Accent5 7 3 3 2 2" xfId="6638" xr:uid="{00000000-0005-0000-0000-00006C140000}"/>
    <cellStyle name="40% - Accent5 7 3 3 3" xfId="5054" xr:uid="{00000000-0005-0000-0000-00006D140000}"/>
    <cellStyle name="40% - Accent5 7 3 4" xfId="2413" xr:uid="{00000000-0005-0000-0000-00006E140000}"/>
    <cellStyle name="40% - Accent5 7 3 4 2" xfId="5582" xr:uid="{00000000-0005-0000-0000-00006F140000}"/>
    <cellStyle name="40% - Accent5 7 3 5" xfId="3998" xr:uid="{00000000-0005-0000-0000-000070140000}"/>
    <cellStyle name="40% - Accent5 7 4" xfId="1093" xr:uid="{00000000-0005-0000-0000-000071140000}"/>
    <cellStyle name="40% - Accent5 7 4 2" xfId="2677" xr:uid="{00000000-0005-0000-0000-000072140000}"/>
    <cellStyle name="40% - Accent5 7 4 2 2" xfId="5846" xr:uid="{00000000-0005-0000-0000-000073140000}"/>
    <cellStyle name="40% - Accent5 7 4 3" xfId="4262" xr:uid="{00000000-0005-0000-0000-000074140000}"/>
    <cellStyle name="40% - Accent5 7 5" xfId="1621" xr:uid="{00000000-0005-0000-0000-000075140000}"/>
    <cellStyle name="40% - Accent5 7 5 2" xfId="3205" xr:uid="{00000000-0005-0000-0000-000076140000}"/>
    <cellStyle name="40% - Accent5 7 5 2 2" xfId="6374" xr:uid="{00000000-0005-0000-0000-000077140000}"/>
    <cellStyle name="40% - Accent5 7 5 3" xfId="4790" xr:uid="{00000000-0005-0000-0000-000078140000}"/>
    <cellStyle name="40% - Accent5 7 6" xfId="2149" xr:uid="{00000000-0005-0000-0000-000079140000}"/>
    <cellStyle name="40% - Accent5 7 6 2" xfId="5318" xr:uid="{00000000-0005-0000-0000-00007A140000}"/>
    <cellStyle name="40% - Accent5 7 7" xfId="3734" xr:uid="{00000000-0005-0000-0000-00007B140000}"/>
    <cellStyle name="40% - Accent5 8" xfId="362" xr:uid="{00000000-0005-0000-0000-00007C140000}"/>
    <cellStyle name="40% - Accent5 8 2" xfId="363" xr:uid="{00000000-0005-0000-0000-00007D140000}"/>
    <cellStyle name="40% - Accent5 8 2 2" xfId="832" xr:uid="{00000000-0005-0000-0000-00007E140000}"/>
    <cellStyle name="40% - Accent5 8 2 2 2" xfId="1360" xr:uid="{00000000-0005-0000-0000-00007F140000}"/>
    <cellStyle name="40% - Accent5 8 2 2 2 2" xfId="2944" xr:uid="{00000000-0005-0000-0000-000080140000}"/>
    <cellStyle name="40% - Accent5 8 2 2 2 2 2" xfId="6113" xr:uid="{00000000-0005-0000-0000-000081140000}"/>
    <cellStyle name="40% - Accent5 8 2 2 2 3" xfId="4529" xr:uid="{00000000-0005-0000-0000-000082140000}"/>
    <cellStyle name="40% - Accent5 8 2 2 3" xfId="1888" xr:uid="{00000000-0005-0000-0000-000083140000}"/>
    <cellStyle name="40% - Accent5 8 2 2 3 2" xfId="3472" xr:uid="{00000000-0005-0000-0000-000084140000}"/>
    <cellStyle name="40% - Accent5 8 2 2 3 2 2" xfId="6641" xr:uid="{00000000-0005-0000-0000-000085140000}"/>
    <cellStyle name="40% - Accent5 8 2 2 3 3" xfId="5057" xr:uid="{00000000-0005-0000-0000-000086140000}"/>
    <cellStyle name="40% - Accent5 8 2 2 4" xfId="2416" xr:uid="{00000000-0005-0000-0000-000087140000}"/>
    <cellStyle name="40% - Accent5 8 2 2 4 2" xfId="5585" xr:uid="{00000000-0005-0000-0000-000088140000}"/>
    <cellStyle name="40% - Accent5 8 2 2 5" xfId="4001" xr:uid="{00000000-0005-0000-0000-000089140000}"/>
    <cellStyle name="40% - Accent5 8 2 3" xfId="1096" xr:uid="{00000000-0005-0000-0000-00008A140000}"/>
    <cellStyle name="40% - Accent5 8 2 3 2" xfId="2680" xr:uid="{00000000-0005-0000-0000-00008B140000}"/>
    <cellStyle name="40% - Accent5 8 2 3 2 2" xfId="5849" xr:uid="{00000000-0005-0000-0000-00008C140000}"/>
    <cellStyle name="40% - Accent5 8 2 3 3" xfId="4265" xr:uid="{00000000-0005-0000-0000-00008D140000}"/>
    <cellStyle name="40% - Accent5 8 2 4" xfId="1624" xr:uid="{00000000-0005-0000-0000-00008E140000}"/>
    <cellStyle name="40% - Accent5 8 2 4 2" xfId="3208" xr:uid="{00000000-0005-0000-0000-00008F140000}"/>
    <cellStyle name="40% - Accent5 8 2 4 2 2" xfId="6377" xr:uid="{00000000-0005-0000-0000-000090140000}"/>
    <cellStyle name="40% - Accent5 8 2 4 3" xfId="4793" xr:uid="{00000000-0005-0000-0000-000091140000}"/>
    <cellStyle name="40% - Accent5 8 2 5" xfId="2152" xr:uid="{00000000-0005-0000-0000-000092140000}"/>
    <cellStyle name="40% - Accent5 8 2 5 2" xfId="5321" xr:uid="{00000000-0005-0000-0000-000093140000}"/>
    <cellStyle name="40% - Accent5 8 2 6" xfId="3737" xr:uid="{00000000-0005-0000-0000-000094140000}"/>
    <cellStyle name="40% - Accent5 8 3" xfId="831" xr:uid="{00000000-0005-0000-0000-000095140000}"/>
    <cellStyle name="40% - Accent5 8 3 2" xfId="1359" xr:uid="{00000000-0005-0000-0000-000096140000}"/>
    <cellStyle name="40% - Accent5 8 3 2 2" xfId="2943" xr:uid="{00000000-0005-0000-0000-000097140000}"/>
    <cellStyle name="40% - Accent5 8 3 2 2 2" xfId="6112" xr:uid="{00000000-0005-0000-0000-000098140000}"/>
    <cellStyle name="40% - Accent5 8 3 2 3" xfId="4528" xr:uid="{00000000-0005-0000-0000-000099140000}"/>
    <cellStyle name="40% - Accent5 8 3 3" xfId="1887" xr:uid="{00000000-0005-0000-0000-00009A140000}"/>
    <cellStyle name="40% - Accent5 8 3 3 2" xfId="3471" xr:uid="{00000000-0005-0000-0000-00009B140000}"/>
    <cellStyle name="40% - Accent5 8 3 3 2 2" xfId="6640" xr:uid="{00000000-0005-0000-0000-00009C140000}"/>
    <cellStyle name="40% - Accent5 8 3 3 3" xfId="5056" xr:uid="{00000000-0005-0000-0000-00009D140000}"/>
    <cellStyle name="40% - Accent5 8 3 4" xfId="2415" xr:uid="{00000000-0005-0000-0000-00009E140000}"/>
    <cellStyle name="40% - Accent5 8 3 4 2" xfId="5584" xr:uid="{00000000-0005-0000-0000-00009F140000}"/>
    <cellStyle name="40% - Accent5 8 3 5" xfId="4000" xr:uid="{00000000-0005-0000-0000-0000A0140000}"/>
    <cellStyle name="40% - Accent5 8 4" xfId="1095" xr:uid="{00000000-0005-0000-0000-0000A1140000}"/>
    <cellStyle name="40% - Accent5 8 4 2" xfId="2679" xr:uid="{00000000-0005-0000-0000-0000A2140000}"/>
    <cellStyle name="40% - Accent5 8 4 2 2" xfId="5848" xr:uid="{00000000-0005-0000-0000-0000A3140000}"/>
    <cellStyle name="40% - Accent5 8 4 3" xfId="4264" xr:uid="{00000000-0005-0000-0000-0000A4140000}"/>
    <cellStyle name="40% - Accent5 8 5" xfId="1623" xr:uid="{00000000-0005-0000-0000-0000A5140000}"/>
    <cellStyle name="40% - Accent5 8 5 2" xfId="3207" xr:uid="{00000000-0005-0000-0000-0000A6140000}"/>
    <cellStyle name="40% - Accent5 8 5 2 2" xfId="6376" xr:uid="{00000000-0005-0000-0000-0000A7140000}"/>
    <cellStyle name="40% - Accent5 8 5 3" xfId="4792" xr:uid="{00000000-0005-0000-0000-0000A8140000}"/>
    <cellStyle name="40% - Accent5 8 6" xfId="2151" xr:uid="{00000000-0005-0000-0000-0000A9140000}"/>
    <cellStyle name="40% - Accent5 8 6 2" xfId="5320" xr:uid="{00000000-0005-0000-0000-0000AA140000}"/>
    <cellStyle name="40% - Accent5 8 7" xfId="3736" xr:uid="{00000000-0005-0000-0000-0000AB140000}"/>
    <cellStyle name="40% - Accent5 9" xfId="364" xr:uid="{00000000-0005-0000-0000-0000AC140000}"/>
    <cellStyle name="40% - Accent5 9 2" xfId="365" xr:uid="{00000000-0005-0000-0000-0000AD140000}"/>
    <cellStyle name="40% - Accent5 9 2 2" xfId="834" xr:uid="{00000000-0005-0000-0000-0000AE140000}"/>
    <cellStyle name="40% - Accent5 9 2 2 2" xfId="1362" xr:uid="{00000000-0005-0000-0000-0000AF140000}"/>
    <cellStyle name="40% - Accent5 9 2 2 2 2" xfId="2946" xr:uid="{00000000-0005-0000-0000-0000B0140000}"/>
    <cellStyle name="40% - Accent5 9 2 2 2 2 2" xfId="6115" xr:uid="{00000000-0005-0000-0000-0000B1140000}"/>
    <cellStyle name="40% - Accent5 9 2 2 2 3" xfId="4531" xr:uid="{00000000-0005-0000-0000-0000B2140000}"/>
    <cellStyle name="40% - Accent5 9 2 2 3" xfId="1890" xr:uid="{00000000-0005-0000-0000-0000B3140000}"/>
    <cellStyle name="40% - Accent5 9 2 2 3 2" xfId="3474" xr:uid="{00000000-0005-0000-0000-0000B4140000}"/>
    <cellStyle name="40% - Accent5 9 2 2 3 2 2" xfId="6643" xr:uid="{00000000-0005-0000-0000-0000B5140000}"/>
    <cellStyle name="40% - Accent5 9 2 2 3 3" xfId="5059" xr:uid="{00000000-0005-0000-0000-0000B6140000}"/>
    <cellStyle name="40% - Accent5 9 2 2 4" xfId="2418" xr:uid="{00000000-0005-0000-0000-0000B7140000}"/>
    <cellStyle name="40% - Accent5 9 2 2 4 2" xfId="5587" xr:uid="{00000000-0005-0000-0000-0000B8140000}"/>
    <cellStyle name="40% - Accent5 9 2 2 5" xfId="4003" xr:uid="{00000000-0005-0000-0000-0000B9140000}"/>
    <cellStyle name="40% - Accent5 9 2 3" xfId="1098" xr:uid="{00000000-0005-0000-0000-0000BA140000}"/>
    <cellStyle name="40% - Accent5 9 2 3 2" xfId="2682" xr:uid="{00000000-0005-0000-0000-0000BB140000}"/>
    <cellStyle name="40% - Accent5 9 2 3 2 2" xfId="5851" xr:uid="{00000000-0005-0000-0000-0000BC140000}"/>
    <cellStyle name="40% - Accent5 9 2 3 3" xfId="4267" xr:uid="{00000000-0005-0000-0000-0000BD140000}"/>
    <cellStyle name="40% - Accent5 9 2 4" xfId="1626" xr:uid="{00000000-0005-0000-0000-0000BE140000}"/>
    <cellStyle name="40% - Accent5 9 2 4 2" xfId="3210" xr:uid="{00000000-0005-0000-0000-0000BF140000}"/>
    <cellStyle name="40% - Accent5 9 2 4 2 2" xfId="6379" xr:uid="{00000000-0005-0000-0000-0000C0140000}"/>
    <cellStyle name="40% - Accent5 9 2 4 3" xfId="4795" xr:uid="{00000000-0005-0000-0000-0000C1140000}"/>
    <cellStyle name="40% - Accent5 9 2 5" xfId="2154" xr:uid="{00000000-0005-0000-0000-0000C2140000}"/>
    <cellStyle name="40% - Accent5 9 2 5 2" xfId="5323" xr:uid="{00000000-0005-0000-0000-0000C3140000}"/>
    <cellStyle name="40% - Accent5 9 2 6" xfId="3739" xr:uid="{00000000-0005-0000-0000-0000C4140000}"/>
    <cellStyle name="40% - Accent5 9 3" xfId="833" xr:uid="{00000000-0005-0000-0000-0000C5140000}"/>
    <cellStyle name="40% - Accent5 9 3 2" xfId="1361" xr:uid="{00000000-0005-0000-0000-0000C6140000}"/>
    <cellStyle name="40% - Accent5 9 3 2 2" xfId="2945" xr:uid="{00000000-0005-0000-0000-0000C7140000}"/>
    <cellStyle name="40% - Accent5 9 3 2 2 2" xfId="6114" xr:uid="{00000000-0005-0000-0000-0000C8140000}"/>
    <cellStyle name="40% - Accent5 9 3 2 3" xfId="4530" xr:uid="{00000000-0005-0000-0000-0000C9140000}"/>
    <cellStyle name="40% - Accent5 9 3 3" xfId="1889" xr:uid="{00000000-0005-0000-0000-0000CA140000}"/>
    <cellStyle name="40% - Accent5 9 3 3 2" xfId="3473" xr:uid="{00000000-0005-0000-0000-0000CB140000}"/>
    <cellStyle name="40% - Accent5 9 3 3 2 2" xfId="6642" xr:uid="{00000000-0005-0000-0000-0000CC140000}"/>
    <cellStyle name="40% - Accent5 9 3 3 3" xfId="5058" xr:uid="{00000000-0005-0000-0000-0000CD140000}"/>
    <cellStyle name="40% - Accent5 9 3 4" xfId="2417" xr:uid="{00000000-0005-0000-0000-0000CE140000}"/>
    <cellStyle name="40% - Accent5 9 3 4 2" xfId="5586" xr:uid="{00000000-0005-0000-0000-0000CF140000}"/>
    <cellStyle name="40% - Accent5 9 3 5" xfId="4002" xr:uid="{00000000-0005-0000-0000-0000D0140000}"/>
    <cellStyle name="40% - Accent5 9 4" xfId="1097" xr:uid="{00000000-0005-0000-0000-0000D1140000}"/>
    <cellStyle name="40% - Accent5 9 4 2" xfId="2681" xr:uid="{00000000-0005-0000-0000-0000D2140000}"/>
    <cellStyle name="40% - Accent5 9 4 2 2" xfId="5850" xr:uid="{00000000-0005-0000-0000-0000D3140000}"/>
    <cellStyle name="40% - Accent5 9 4 3" xfId="4266" xr:uid="{00000000-0005-0000-0000-0000D4140000}"/>
    <cellStyle name="40% - Accent5 9 5" xfId="1625" xr:uid="{00000000-0005-0000-0000-0000D5140000}"/>
    <cellStyle name="40% - Accent5 9 5 2" xfId="3209" xr:uid="{00000000-0005-0000-0000-0000D6140000}"/>
    <cellStyle name="40% - Accent5 9 5 2 2" xfId="6378" xr:uid="{00000000-0005-0000-0000-0000D7140000}"/>
    <cellStyle name="40% - Accent5 9 5 3" xfId="4794" xr:uid="{00000000-0005-0000-0000-0000D8140000}"/>
    <cellStyle name="40% - Accent5 9 6" xfId="2153" xr:uid="{00000000-0005-0000-0000-0000D9140000}"/>
    <cellStyle name="40% - Accent5 9 6 2" xfId="5322" xr:uid="{00000000-0005-0000-0000-0000DA140000}"/>
    <cellStyle name="40% - Accent5 9 7" xfId="3738" xr:uid="{00000000-0005-0000-0000-0000DB140000}"/>
    <cellStyle name="40% - Accent6 10" xfId="366" xr:uid="{00000000-0005-0000-0000-0000DC140000}"/>
    <cellStyle name="40% - Accent6 10 2" xfId="367" xr:uid="{00000000-0005-0000-0000-0000DD140000}"/>
    <cellStyle name="40% - Accent6 10 2 2" xfId="836" xr:uid="{00000000-0005-0000-0000-0000DE140000}"/>
    <cellStyle name="40% - Accent6 10 2 2 2" xfId="1364" xr:uid="{00000000-0005-0000-0000-0000DF140000}"/>
    <cellStyle name="40% - Accent6 10 2 2 2 2" xfId="2948" xr:uid="{00000000-0005-0000-0000-0000E0140000}"/>
    <cellStyle name="40% - Accent6 10 2 2 2 2 2" xfId="6117" xr:uid="{00000000-0005-0000-0000-0000E1140000}"/>
    <cellStyle name="40% - Accent6 10 2 2 2 3" xfId="4533" xr:uid="{00000000-0005-0000-0000-0000E2140000}"/>
    <cellStyle name="40% - Accent6 10 2 2 3" xfId="1892" xr:uid="{00000000-0005-0000-0000-0000E3140000}"/>
    <cellStyle name="40% - Accent6 10 2 2 3 2" xfId="3476" xr:uid="{00000000-0005-0000-0000-0000E4140000}"/>
    <cellStyle name="40% - Accent6 10 2 2 3 2 2" xfId="6645" xr:uid="{00000000-0005-0000-0000-0000E5140000}"/>
    <cellStyle name="40% - Accent6 10 2 2 3 3" xfId="5061" xr:uid="{00000000-0005-0000-0000-0000E6140000}"/>
    <cellStyle name="40% - Accent6 10 2 2 4" xfId="2420" xr:uid="{00000000-0005-0000-0000-0000E7140000}"/>
    <cellStyle name="40% - Accent6 10 2 2 4 2" xfId="5589" xr:uid="{00000000-0005-0000-0000-0000E8140000}"/>
    <cellStyle name="40% - Accent6 10 2 2 5" xfId="4005" xr:uid="{00000000-0005-0000-0000-0000E9140000}"/>
    <cellStyle name="40% - Accent6 10 2 3" xfId="1100" xr:uid="{00000000-0005-0000-0000-0000EA140000}"/>
    <cellStyle name="40% - Accent6 10 2 3 2" xfId="2684" xr:uid="{00000000-0005-0000-0000-0000EB140000}"/>
    <cellStyle name="40% - Accent6 10 2 3 2 2" xfId="5853" xr:uid="{00000000-0005-0000-0000-0000EC140000}"/>
    <cellStyle name="40% - Accent6 10 2 3 3" xfId="4269" xr:uid="{00000000-0005-0000-0000-0000ED140000}"/>
    <cellStyle name="40% - Accent6 10 2 4" xfId="1628" xr:uid="{00000000-0005-0000-0000-0000EE140000}"/>
    <cellStyle name="40% - Accent6 10 2 4 2" xfId="3212" xr:uid="{00000000-0005-0000-0000-0000EF140000}"/>
    <cellStyle name="40% - Accent6 10 2 4 2 2" xfId="6381" xr:uid="{00000000-0005-0000-0000-0000F0140000}"/>
    <cellStyle name="40% - Accent6 10 2 4 3" xfId="4797" xr:uid="{00000000-0005-0000-0000-0000F1140000}"/>
    <cellStyle name="40% - Accent6 10 2 5" xfId="2156" xr:uid="{00000000-0005-0000-0000-0000F2140000}"/>
    <cellStyle name="40% - Accent6 10 2 5 2" xfId="5325" xr:uid="{00000000-0005-0000-0000-0000F3140000}"/>
    <cellStyle name="40% - Accent6 10 2 6" xfId="3741" xr:uid="{00000000-0005-0000-0000-0000F4140000}"/>
    <cellStyle name="40% - Accent6 10 3" xfId="835" xr:uid="{00000000-0005-0000-0000-0000F5140000}"/>
    <cellStyle name="40% - Accent6 10 3 2" xfId="1363" xr:uid="{00000000-0005-0000-0000-0000F6140000}"/>
    <cellStyle name="40% - Accent6 10 3 2 2" xfId="2947" xr:uid="{00000000-0005-0000-0000-0000F7140000}"/>
    <cellStyle name="40% - Accent6 10 3 2 2 2" xfId="6116" xr:uid="{00000000-0005-0000-0000-0000F8140000}"/>
    <cellStyle name="40% - Accent6 10 3 2 3" xfId="4532" xr:uid="{00000000-0005-0000-0000-0000F9140000}"/>
    <cellStyle name="40% - Accent6 10 3 3" xfId="1891" xr:uid="{00000000-0005-0000-0000-0000FA140000}"/>
    <cellStyle name="40% - Accent6 10 3 3 2" xfId="3475" xr:uid="{00000000-0005-0000-0000-0000FB140000}"/>
    <cellStyle name="40% - Accent6 10 3 3 2 2" xfId="6644" xr:uid="{00000000-0005-0000-0000-0000FC140000}"/>
    <cellStyle name="40% - Accent6 10 3 3 3" xfId="5060" xr:uid="{00000000-0005-0000-0000-0000FD140000}"/>
    <cellStyle name="40% - Accent6 10 3 4" xfId="2419" xr:uid="{00000000-0005-0000-0000-0000FE140000}"/>
    <cellStyle name="40% - Accent6 10 3 4 2" xfId="5588" xr:uid="{00000000-0005-0000-0000-0000FF140000}"/>
    <cellStyle name="40% - Accent6 10 3 5" xfId="4004" xr:uid="{00000000-0005-0000-0000-000000150000}"/>
    <cellStyle name="40% - Accent6 10 4" xfId="1099" xr:uid="{00000000-0005-0000-0000-000001150000}"/>
    <cellStyle name="40% - Accent6 10 4 2" xfId="2683" xr:uid="{00000000-0005-0000-0000-000002150000}"/>
    <cellStyle name="40% - Accent6 10 4 2 2" xfId="5852" xr:uid="{00000000-0005-0000-0000-000003150000}"/>
    <cellStyle name="40% - Accent6 10 4 3" xfId="4268" xr:uid="{00000000-0005-0000-0000-000004150000}"/>
    <cellStyle name="40% - Accent6 10 5" xfId="1627" xr:uid="{00000000-0005-0000-0000-000005150000}"/>
    <cellStyle name="40% - Accent6 10 5 2" xfId="3211" xr:uid="{00000000-0005-0000-0000-000006150000}"/>
    <cellStyle name="40% - Accent6 10 5 2 2" xfId="6380" xr:uid="{00000000-0005-0000-0000-000007150000}"/>
    <cellStyle name="40% - Accent6 10 5 3" xfId="4796" xr:uid="{00000000-0005-0000-0000-000008150000}"/>
    <cellStyle name="40% - Accent6 10 6" xfId="2155" xr:uid="{00000000-0005-0000-0000-000009150000}"/>
    <cellStyle name="40% - Accent6 10 6 2" xfId="5324" xr:uid="{00000000-0005-0000-0000-00000A150000}"/>
    <cellStyle name="40% - Accent6 10 7" xfId="3740" xr:uid="{00000000-0005-0000-0000-00000B150000}"/>
    <cellStyle name="40% - Accent6 11" xfId="368" xr:uid="{00000000-0005-0000-0000-00000C150000}"/>
    <cellStyle name="40% - Accent6 11 2" xfId="837" xr:uid="{00000000-0005-0000-0000-00000D150000}"/>
    <cellStyle name="40% - Accent6 11 2 2" xfId="1365" xr:uid="{00000000-0005-0000-0000-00000E150000}"/>
    <cellStyle name="40% - Accent6 11 2 2 2" xfId="2949" xr:uid="{00000000-0005-0000-0000-00000F150000}"/>
    <cellStyle name="40% - Accent6 11 2 2 2 2" xfId="6118" xr:uid="{00000000-0005-0000-0000-000010150000}"/>
    <cellStyle name="40% - Accent6 11 2 2 3" xfId="4534" xr:uid="{00000000-0005-0000-0000-000011150000}"/>
    <cellStyle name="40% - Accent6 11 2 3" xfId="1893" xr:uid="{00000000-0005-0000-0000-000012150000}"/>
    <cellStyle name="40% - Accent6 11 2 3 2" xfId="3477" xr:uid="{00000000-0005-0000-0000-000013150000}"/>
    <cellStyle name="40% - Accent6 11 2 3 2 2" xfId="6646" xr:uid="{00000000-0005-0000-0000-000014150000}"/>
    <cellStyle name="40% - Accent6 11 2 3 3" xfId="5062" xr:uid="{00000000-0005-0000-0000-000015150000}"/>
    <cellStyle name="40% - Accent6 11 2 4" xfId="2421" xr:uid="{00000000-0005-0000-0000-000016150000}"/>
    <cellStyle name="40% - Accent6 11 2 4 2" xfId="5590" xr:uid="{00000000-0005-0000-0000-000017150000}"/>
    <cellStyle name="40% - Accent6 11 2 5" xfId="4006" xr:uid="{00000000-0005-0000-0000-000018150000}"/>
    <cellStyle name="40% - Accent6 11 3" xfId="1101" xr:uid="{00000000-0005-0000-0000-000019150000}"/>
    <cellStyle name="40% - Accent6 11 3 2" xfId="2685" xr:uid="{00000000-0005-0000-0000-00001A150000}"/>
    <cellStyle name="40% - Accent6 11 3 2 2" xfId="5854" xr:uid="{00000000-0005-0000-0000-00001B150000}"/>
    <cellStyle name="40% - Accent6 11 3 3" xfId="4270" xr:uid="{00000000-0005-0000-0000-00001C150000}"/>
    <cellStyle name="40% - Accent6 11 4" xfId="1629" xr:uid="{00000000-0005-0000-0000-00001D150000}"/>
    <cellStyle name="40% - Accent6 11 4 2" xfId="3213" xr:uid="{00000000-0005-0000-0000-00001E150000}"/>
    <cellStyle name="40% - Accent6 11 4 2 2" xfId="6382" xr:uid="{00000000-0005-0000-0000-00001F150000}"/>
    <cellStyle name="40% - Accent6 11 4 3" xfId="4798" xr:uid="{00000000-0005-0000-0000-000020150000}"/>
    <cellStyle name="40% - Accent6 11 5" xfId="2157" xr:uid="{00000000-0005-0000-0000-000021150000}"/>
    <cellStyle name="40% - Accent6 11 5 2" xfId="5326" xr:uid="{00000000-0005-0000-0000-000022150000}"/>
    <cellStyle name="40% - Accent6 11 6" xfId="3742" xr:uid="{00000000-0005-0000-0000-000023150000}"/>
    <cellStyle name="40% - Accent6 12" xfId="369" xr:uid="{00000000-0005-0000-0000-000024150000}"/>
    <cellStyle name="40% - Accent6 12 2" xfId="838" xr:uid="{00000000-0005-0000-0000-000025150000}"/>
    <cellStyle name="40% - Accent6 12 2 2" xfId="1366" xr:uid="{00000000-0005-0000-0000-000026150000}"/>
    <cellStyle name="40% - Accent6 12 2 2 2" xfId="2950" xr:uid="{00000000-0005-0000-0000-000027150000}"/>
    <cellStyle name="40% - Accent6 12 2 2 2 2" xfId="6119" xr:uid="{00000000-0005-0000-0000-000028150000}"/>
    <cellStyle name="40% - Accent6 12 2 2 3" xfId="4535" xr:uid="{00000000-0005-0000-0000-000029150000}"/>
    <cellStyle name="40% - Accent6 12 2 3" xfId="1894" xr:uid="{00000000-0005-0000-0000-00002A150000}"/>
    <cellStyle name="40% - Accent6 12 2 3 2" xfId="3478" xr:uid="{00000000-0005-0000-0000-00002B150000}"/>
    <cellStyle name="40% - Accent6 12 2 3 2 2" xfId="6647" xr:uid="{00000000-0005-0000-0000-00002C150000}"/>
    <cellStyle name="40% - Accent6 12 2 3 3" xfId="5063" xr:uid="{00000000-0005-0000-0000-00002D150000}"/>
    <cellStyle name="40% - Accent6 12 2 4" xfId="2422" xr:uid="{00000000-0005-0000-0000-00002E150000}"/>
    <cellStyle name="40% - Accent6 12 2 4 2" xfId="5591" xr:uid="{00000000-0005-0000-0000-00002F150000}"/>
    <cellStyle name="40% - Accent6 12 2 5" xfId="4007" xr:uid="{00000000-0005-0000-0000-000030150000}"/>
    <cellStyle name="40% - Accent6 12 3" xfId="1102" xr:uid="{00000000-0005-0000-0000-000031150000}"/>
    <cellStyle name="40% - Accent6 12 3 2" xfId="2686" xr:uid="{00000000-0005-0000-0000-000032150000}"/>
    <cellStyle name="40% - Accent6 12 3 2 2" xfId="5855" xr:uid="{00000000-0005-0000-0000-000033150000}"/>
    <cellStyle name="40% - Accent6 12 3 3" xfId="4271" xr:uid="{00000000-0005-0000-0000-000034150000}"/>
    <cellStyle name="40% - Accent6 12 4" xfId="1630" xr:uid="{00000000-0005-0000-0000-000035150000}"/>
    <cellStyle name="40% - Accent6 12 4 2" xfId="3214" xr:uid="{00000000-0005-0000-0000-000036150000}"/>
    <cellStyle name="40% - Accent6 12 4 2 2" xfId="6383" xr:uid="{00000000-0005-0000-0000-000037150000}"/>
    <cellStyle name="40% - Accent6 12 4 3" xfId="4799" xr:uid="{00000000-0005-0000-0000-000038150000}"/>
    <cellStyle name="40% - Accent6 12 5" xfId="2158" xr:uid="{00000000-0005-0000-0000-000039150000}"/>
    <cellStyle name="40% - Accent6 12 5 2" xfId="5327" xr:uid="{00000000-0005-0000-0000-00003A150000}"/>
    <cellStyle name="40% - Accent6 12 6" xfId="3743" xr:uid="{00000000-0005-0000-0000-00003B150000}"/>
    <cellStyle name="40% - Accent6 13" xfId="370" xr:uid="{00000000-0005-0000-0000-00003C150000}"/>
    <cellStyle name="40% - Accent6 13 2" xfId="839" xr:uid="{00000000-0005-0000-0000-00003D150000}"/>
    <cellStyle name="40% - Accent6 13 2 2" xfId="1367" xr:uid="{00000000-0005-0000-0000-00003E150000}"/>
    <cellStyle name="40% - Accent6 13 2 2 2" xfId="2951" xr:uid="{00000000-0005-0000-0000-00003F150000}"/>
    <cellStyle name="40% - Accent6 13 2 2 2 2" xfId="6120" xr:uid="{00000000-0005-0000-0000-000040150000}"/>
    <cellStyle name="40% - Accent6 13 2 2 3" xfId="4536" xr:uid="{00000000-0005-0000-0000-000041150000}"/>
    <cellStyle name="40% - Accent6 13 2 3" xfId="1895" xr:uid="{00000000-0005-0000-0000-000042150000}"/>
    <cellStyle name="40% - Accent6 13 2 3 2" xfId="3479" xr:uid="{00000000-0005-0000-0000-000043150000}"/>
    <cellStyle name="40% - Accent6 13 2 3 2 2" xfId="6648" xr:uid="{00000000-0005-0000-0000-000044150000}"/>
    <cellStyle name="40% - Accent6 13 2 3 3" xfId="5064" xr:uid="{00000000-0005-0000-0000-000045150000}"/>
    <cellStyle name="40% - Accent6 13 2 4" xfId="2423" xr:uid="{00000000-0005-0000-0000-000046150000}"/>
    <cellStyle name="40% - Accent6 13 2 4 2" xfId="5592" xr:uid="{00000000-0005-0000-0000-000047150000}"/>
    <cellStyle name="40% - Accent6 13 2 5" xfId="4008" xr:uid="{00000000-0005-0000-0000-000048150000}"/>
    <cellStyle name="40% - Accent6 13 3" xfId="1103" xr:uid="{00000000-0005-0000-0000-000049150000}"/>
    <cellStyle name="40% - Accent6 13 3 2" xfId="2687" xr:uid="{00000000-0005-0000-0000-00004A150000}"/>
    <cellStyle name="40% - Accent6 13 3 2 2" xfId="5856" xr:uid="{00000000-0005-0000-0000-00004B150000}"/>
    <cellStyle name="40% - Accent6 13 3 3" xfId="4272" xr:uid="{00000000-0005-0000-0000-00004C150000}"/>
    <cellStyle name="40% - Accent6 13 4" xfId="1631" xr:uid="{00000000-0005-0000-0000-00004D150000}"/>
    <cellStyle name="40% - Accent6 13 4 2" xfId="3215" xr:uid="{00000000-0005-0000-0000-00004E150000}"/>
    <cellStyle name="40% - Accent6 13 4 2 2" xfId="6384" xr:uid="{00000000-0005-0000-0000-00004F150000}"/>
    <cellStyle name="40% - Accent6 13 4 3" xfId="4800" xr:uid="{00000000-0005-0000-0000-000050150000}"/>
    <cellStyle name="40% - Accent6 13 5" xfId="2159" xr:uid="{00000000-0005-0000-0000-000051150000}"/>
    <cellStyle name="40% - Accent6 13 5 2" xfId="5328" xr:uid="{00000000-0005-0000-0000-000052150000}"/>
    <cellStyle name="40% - Accent6 13 6" xfId="3744" xr:uid="{00000000-0005-0000-0000-000053150000}"/>
    <cellStyle name="40% - Accent6 14" xfId="371" xr:uid="{00000000-0005-0000-0000-000054150000}"/>
    <cellStyle name="40% - Accent6 14 2" xfId="840" xr:uid="{00000000-0005-0000-0000-000055150000}"/>
    <cellStyle name="40% - Accent6 14 2 2" xfId="1368" xr:uid="{00000000-0005-0000-0000-000056150000}"/>
    <cellStyle name="40% - Accent6 14 2 2 2" xfId="2952" xr:uid="{00000000-0005-0000-0000-000057150000}"/>
    <cellStyle name="40% - Accent6 14 2 2 2 2" xfId="6121" xr:uid="{00000000-0005-0000-0000-000058150000}"/>
    <cellStyle name="40% - Accent6 14 2 2 3" xfId="4537" xr:uid="{00000000-0005-0000-0000-000059150000}"/>
    <cellStyle name="40% - Accent6 14 2 3" xfId="1896" xr:uid="{00000000-0005-0000-0000-00005A150000}"/>
    <cellStyle name="40% - Accent6 14 2 3 2" xfId="3480" xr:uid="{00000000-0005-0000-0000-00005B150000}"/>
    <cellStyle name="40% - Accent6 14 2 3 2 2" xfId="6649" xr:uid="{00000000-0005-0000-0000-00005C150000}"/>
    <cellStyle name="40% - Accent6 14 2 3 3" xfId="5065" xr:uid="{00000000-0005-0000-0000-00005D150000}"/>
    <cellStyle name="40% - Accent6 14 2 4" xfId="2424" xr:uid="{00000000-0005-0000-0000-00005E150000}"/>
    <cellStyle name="40% - Accent6 14 2 4 2" xfId="5593" xr:uid="{00000000-0005-0000-0000-00005F150000}"/>
    <cellStyle name="40% - Accent6 14 2 5" xfId="4009" xr:uid="{00000000-0005-0000-0000-000060150000}"/>
    <cellStyle name="40% - Accent6 14 3" xfId="1104" xr:uid="{00000000-0005-0000-0000-000061150000}"/>
    <cellStyle name="40% - Accent6 14 3 2" xfId="2688" xr:uid="{00000000-0005-0000-0000-000062150000}"/>
    <cellStyle name="40% - Accent6 14 3 2 2" xfId="5857" xr:uid="{00000000-0005-0000-0000-000063150000}"/>
    <cellStyle name="40% - Accent6 14 3 3" xfId="4273" xr:uid="{00000000-0005-0000-0000-000064150000}"/>
    <cellStyle name="40% - Accent6 14 4" xfId="1632" xr:uid="{00000000-0005-0000-0000-000065150000}"/>
    <cellStyle name="40% - Accent6 14 4 2" xfId="3216" xr:uid="{00000000-0005-0000-0000-000066150000}"/>
    <cellStyle name="40% - Accent6 14 4 2 2" xfId="6385" xr:uid="{00000000-0005-0000-0000-000067150000}"/>
    <cellStyle name="40% - Accent6 14 4 3" xfId="4801" xr:uid="{00000000-0005-0000-0000-000068150000}"/>
    <cellStyle name="40% - Accent6 14 5" xfId="2160" xr:uid="{00000000-0005-0000-0000-000069150000}"/>
    <cellStyle name="40% - Accent6 14 5 2" xfId="5329" xr:uid="{00000000-0005-0000-0000-00006A150000}"/>
    <cellStyle name="40% - Accent6 14 6" xfId="3745" xr:uid="{00000000-0005-0000-0000-00006B150000}"/>
    <cellStyle name="40% - Accent6 15" xfId="372" xr:uid="{00000000-0005-0000-0000-00006C150000}"/>
    <cellStyle name="40% - Accent6 15 2" xfId="841" xr:uid="{00000000-0005-0000-0000-00006D150000}"/>
    <cellStyle name="40% - Accent6 15 2 2" xfId="1369" xr:uid="{00000000-0005-0000-0000-00006E150000}"/>
    <cellStyle name="40% - Accent6 15 2 2 2" xfId="2953" xr:uid="{00000000-0005-0000-0000-00006F150000}"/>
    <cellStyle name="40% - Accent6 15 2 2 2 2" xfId="6122" xr:uid="{00000000-0005-0000-0000-000070150000}"/>
    <cellStyle name="40% - Accent6 15 2 2 3" xfId="4538" xr:uid="{00000000-0005-0000-0000-000071150000}"/>
    <cellStyle name="40% - Accent6 15 2 3" xfId="1897" xr:uid="{00000000-0005-0000-0000-000072150000}"/>
    <cellStyle name="40% - Accent6 15 2 3 2" xfId="3481" xr:uid="{00000000-0005-0000-0000-000073150000}"/>
    <cellStyle name="40% - Accent6 15 2 3 2 2" xfId="6650" xr:uid="{00000000-0005-0000-0000-000074150000}"/>
    <cellStyle name="40% - Accent6 15 2 3 3" xfId="5066" xr:uid="{00000000-0005-0000-0000-000075150000}"/>
    <cellStyle name="40% - Accent6 15 2 4" xfId="2425" xr:uid="{00000000-0005-0000-0000-000076150000}"/>
    <cellStyle name="40% - Accent6 15 2 4 2" xfId="5594" xr:uid="{00000000-0005-0000-0000-000077150000}"/>
    <cellStyle name="40% - Accent6 15 2 5" xfId="4010" xr:uid="{00000000-0005-0000-0000-000078150000}"/>
    <cellStyle name="40% - Accent6 15 3" xfId="1105" xr:uid="{00000000-0005-0000-0000-000079150000}"/>
    <cellStyle name="40% - Accent6 15 3 2" xfId="2689" xr:uid="{00000000-0005-0000-0000-00007A150000}"/>
    <cellStyle name="40% - Accent6 15 3 2 2" xfId="5858" xr:uid="{00000000-0005-0000-0000-00007B150000}"/>
    <cellStyle name="40% - Accent6 15 3 3" xfId="4274" xr:uid="{00000000-0005-0000-0000-00007C150000}"/>
    <cellStyle name="40% - Accent6 15 4" xfId="1633" xr:uid="{00000000-0005-0000-0000-00007D150000}"/>
    <cellStyle name="40% - Accent6 15 4 2" xfId="3217" xr:uid="{00000000-0005-0000-0000-00007E150000}"/>
    <cellStyle name="40% - Accent6 15 4 2 2" xfId="6386" xr:uid="{00000000-0005-0000-0000-00007F150000}"/>
    <cellStyle name="40% - Accent6 15 4 3" xfId="4802" xr:uid="{00000000-0005-0000-0000-000080150000}"/>
    <cellStyle name="40% - Accent6 15 5" xfId="2161" xr:uid="{00000000-0005-0000-0000-000081150000}"/>
    <cellStyle name="40% - Accent6 15 5 2" xfId="5330" xr:uid="{00000000-0005-0000-0000-000082150000}"/>
    <cellStyle name="40% - Accent6 15 6" xfId="3746" xr:uid="{00000000-0005-0000-0000-000083150000}"/>
    <cellStyle name="40% - Accent6 16" xfId="373" xr:uid="{00000000-0005-0000-0000-000084150000}"/>
    <cellStyle name="40% - Accent6 16 2" xfId="842" xr:uid="{00000000-0005-0000-0000-000085150000}"/>
    <cellStyle name="40% - Accent6 16 2 2" xfId="1370" xr:uid="{00000000-0005-0000-0000-000086150000}"/>
    <cellStyle name="40% - Accent6 16 2 2 2" xfId="2954" xr:uid="{00000000-0005-0000-0000-000087150000}"/>
    <cellStyle name="40% - Accent6 16 2 2 2 2" xfId="6123" xr:uid="{00000000-0005-0000-0000-000088150000}"/>
    <cellStyle name="40% - Accent6 16 2 2 3" xfId="4539" xr:uid="{00000000-0005-0000-0000-000089150000}"/>
    <cellStyle name="40% - Accent6 16 2 3" xfId="1898" xr:uid="{00000000-0005-0000-0000-00008A150000}"/>
    <cellStyle name="40% - Accent6 16 2 3 2" xfId="3482" xr:uid="{00000000-0005-0000-0000-00008B150000}"/>
    <cellStyle name="40% - Accent6 16 2 3 2 2" xfId="6651" xr:uid="{00000000-0005-0000-0000-00008C150000}"/>
    <cellStyle name="40% - Accent6 16 2 3 3" xfId="5067" xr:uid="{00000000-0005-0000-0000-00008D150000}"/>
    <cellStyle name="40% - Accent6 16 2 4" xfId="2426" xr:uid="{00000000-0005-0000-0000-00008E150000}"/>
    <cellStyle name="40% - Accent6 16 2 4 2" xfId="5595" xr:uid="{00000000-0005-0000-0000-00008F150000}"/>
    <cellStyle name="40% - Accent6 16 2 5" xfId="4011" xr:uid="{00000000-0005-0000-0000-000090150000}"/>
    <cellStyle name="40% - Accent6 16 3" xfId="1106" xr:uid="{00000000-0005-0000-0000-000091150000}"/>
    <cellStyle name="40% - Accent6 16 3 2" xfId="2690" xr:uid="{00000000-0005-0000-0000-000092150000}"/>
    <cellStyle name="40% - Accent6 16 3 2 2" xfId="5859" xr:uid="{00000000-0005-0000-0000-000093150000}"/>
    <cellStyle name="40% - Accent6 16 3 3" xfId="4275" xr:uid="{00000000-0005-0000-0000-000094150000}"/>
    <cellStyle name="40% - Accent6 16 4" xfId="1634" xr:uid="{00000000-0005-0000-0000-000095150000}"/>
    <cellStyle name="40% - Accent6 16 4 2" xfId="3218" xr:uid="{00000000-0005-0000-0000-000096150000}"/>
    <cellStyle name="40% - Accent6 16 4 2 2" xfId="6387" xr:uid="{00000000-0005-0000-0000-000097150000}"/>
    <cellStyle name="40% - Accent6 16 4 3" xfId="4803" xr:uid="{00000000-0005-0000-0000-000098150000}"/>
    <cellStyle name="40% - Accent6 16 5" xfId="2162" xr:uid="{00000000-0005-0000-0000-000099150000}"/>
    <cellStyle name="40% - Accent6 16 5 2" xfId="5331" xr:uid="{00000000-0005-0000-0000-00009A150000}"/>
    <cellStyle name="40% - Accent6 16 6" xfId="3747" xr:uid="{00000000-0005-0000-0000-00009B150000}"/>
    <cellStyle name="40% - Accent6 2" xfId="12" xr:uid="{00000000-0005-0000-0000-00009C150000}"/>
    <cellStyle name="40% - Accent6 2 2" xfId="374" xr:uid="{00000000-0005-0000-0000-00009D150000}"/>
    <cellStyle name="40% - Accent6 3" xfId="375" xr:uid="{00000000-0005-0000-0000-00009E150000}"/>
    <cellStyle name="40% - Accent6 4" xfId="376" xr:uid="{00000000-0005-0000-0000-00009F150000}"/>
    <cellStyle name="40% - Accent6 4 2" xfId="377" xr:uid="{00000000-0005-0000-0000-0000A0150000}"/>
    <cellStyle name="40% - Accent6 4 2 2" xfId="844" xr:uid="{00000000-0005-0000-0000-0000A1150000}"/>
    <cellStyle name="40% - Accent6 4 2 2 2" xfId="1372" xr:uid="{00000000-0005-0000-0000-0000A2150000}"/>
    <cellStyle name="40% - Accent6 4 2 2 2 2" xfId="2956" xr:uid="{00000000-0005-0000-0000-0000A3150000}"/>
    <cellStyle name="40% - Accent6 4 2 2 2 2 2" xfId="6125" xr:uid="{00000000-0005-0000-0000-0000A4150000}"/>
    <cellStyle name="40% - Accent6 4 2 2 2 3" xfId="4541" xr:uid="{00000000-0005-0000-0000-0000A5150000}"/>
    <cellStyle name="40% - Accent6 4 2 2 3" xfId="1900" xr:uid="{00000000-0005-0000-0000-0000A6150000}"/>
    <cellStyle name="40% - Accent6 4 2 2 3 2" xfId="3484" xr:uid="{00000000-0005-0000-0000-0000A7150000}"/>
    <cellStyle name="40% - Accent6 4 2 2 3 2 2" xfId="6653" xr:uid="{00000000-0005-0000-0000-0000A8150000}"/>
    <cellStyle name="40% - Accent6 4 2 2 3 3" xfId="5069" xr:uid="{00000000-0005-0000-0000-0000A9150000}"/>
    <cellStyle name="40% - Accent6 4 2 2 4" xfId="2428" xr:uid="{00000000-0005-0000-0000-0000AA150000}"/>
    <cellStyle name="40% - Accent6 4 2 2 4 2" xfId="5597" xr:uid="{00000000-0005-0000-0000-0000AB150000}"/>
    <cellStyle name="40% - Accent6 4 2 2 5" xfId="4013" xr:uid="{00000000-0005-0000-0000-0000AC150000}"/>
    <cellStyle name="40% - Accent6 4 2 3" xfId="1108" xr:uid="{00000000-0005-0000-0000-0000AD150000}"/>
    <cellStyle name="40% - Accent6 4 2 3 2" xfId="2692" xr:uid="{00000000-0005-0000-0000-0000AE150000}"/>
    <cellStyle name="40% - Accent6 4 2 3 2 2" xfId="5861" xr:uid="{00000000-0005-0000-0000-0000AF150000}"/>
    <cellStyle name="40% - Accent6 4 2 3 3" xfId="4277" xr:uid="{00000000-0005-0000-0000-0000B0150000}"/>
    <cellStyle name="40% - Accent6 4 2 4" xfId="1636" xr:uid="{00000000-0005-0000-0000-0000B1150000}"/>
    <cellStyle name="40% - Accent6 4 2 4 2" xfId="3220" xr:uid="{00000000-0005-0000-0000-0000B2150000}"/>
    <cellStyle name="40% - Accent6 4 2 4 2 2" xfId="6389" xr:uid="{00000000-0005-0000-0000-0000B3150000}"/>
    <cellStyle name="40% - Accent6 4 2 4 3" xfId="4805" xr:uid="{00000000-0005-0000-0000-0000B4150000}"/>
    <cellStyle name="40% - Accent6 4 2 5" xfId="2164" xr:uid="{00000000-0005-0000-0000-0000B5150000}"/>
    <cellStyle name="40% - Accent6 4 2 5 2" xfId="5333" xr:uid="{00000000-0005-0000-0000-0000B6150000}"/>
    <cellStyle name="40% - Accent6 4 2 6" xfId="3749" xr:uid="{00000000-0005-0000-0000-0000B7150000}"/>
    <cellStyle name="40% - Accent6 4 3" xfId="843" xr:uid="{00000000-0005-0000-0000-0000B8150000}"/>
    <cellStyle name="40% - Accent6 4 3 2" xfId="1371" xr:uid="{00000000-0005-0000-0000-0000B9150000}"/>
    <cellStyle name="40% - Accent6 4 3 2 2" xfId="2955" xr:uid="{00000000-0005-0000-0000-0000BA150000}"/>
    <cellStyle name="40% - Accent6 4 3 2 2 2" xfId="6124" xr:uid="{00000000-0005-0000-0000-0000BB150000}"/>
    <cellStyle name="40% - Accent6 4 3 2 3" xfId="4540" xr:uid="{00000000-0005-0000-0000-0000BC150000}"/>
    <cellStyle name="40% - Accent6 4 3 3" xfId="1899" xr:uid="{00000000-0005-0000-0000-0000BD150000}"/>
    <cellStyle name="40% - Accent6 4 3 3 2" xfId="3483" xr:uid="{00000000-0005-0000-0000-0000BE150000}"/>
    <cellStyle name="40% - Accent6 4 3 3 2 2" xfId="6652" xr:uid="{00000000-0005-0000-0000-0000BF150000}"/>
    <cellStyle name="40% - Accent6 4 3 3 3" xfId="5068" xr:uid="{00000000-0005-0000-0000-0000C0150000}"/>
    <cellStyle name="40% - Accent6 4 3 4" xfId="2427" xr:uid="{00000000-0005-0000-0000-0000C1150000}"/>
    <cellStyle name="40% - Accent6 4 3 4 2" xfId="5596" xr:uid="{00000000-0005-0000-0000-0000C2150000}"/>
    <cellStyle name="40% - Accent6 4 3 5" xfId="4012" xr:uid="{00000000-0005-0000-0000-0000C3150000}"/>
    <cellStyle name="40% - Accent6 4 4" xfId="1107" xr:uid="{00000000-0005-0000-0000-0000C4150000}"/>
    <cellStyle name="40% - Accent6 4 4 2" xfId="2691" xr:uid="{00000000-0005-0000-0000-0000C5150000}"/>
    <cellStyle name="40% - Accent6 4 4 2 2" xfId="5860" xr:uid="{00000000-0005-0000-0000-0000C6150000}"/>
    <cellStyle name="40% - Accent6 4 4 3" xfId="4276" xr:uid="{00000000-0005-0000-0000-0000C7150000}"/>
    <cellStyle name="40% - Accent6 4 5" xfId="1635" xr:uid="{00000000-0005-0000-0000-0000C8150000}"/>
    <cellStyle name="40% - Accent6 4 5 2" xfId="3219" xr:uid="{00000000-0005-0000-0000-0000C9150000}"/>
    <cellStyle name="40% - Accent6 4 5 2 2" xfId="6388" xr:uid="{00000000-0005-0000-0000-0000CA150000}"/>
    <cellStyle name="40% - Accent6 4 5 3" xfId="4804" xr:uid="{00000000-0005-0000-0000-0000CB150000}"/>
    <cellStyle name="40% - Accent6 4 6" xfId="2163" xr:uid="{00000000-0005-0000-0000-0000CC150000}"/>
    <cellStyle name="40% - Accent6 4 6 2" xfId="5332" xr:uid="{00000000-0005-0000-0000-0000CD150000}"/>
    <cellStyle name="40% - Accent6 4 7" xfId="3748" xr:uid="{00000000-0005-0000-0000-0000CE150000}"/>
    <cellStyle name="40% - Accent6 5" xfId="378" xr:uid="{00000000-0005-0000-0000-0000CF150000}"/>
    <cellStyle name="40% - Accent6 5 2" xfId="379" xr:uid="{00000000-0005-0000-0000-0000D0150000}"/>
    <cellStyle name="40% - Accent6 5 2 2" xfId="846" xr:uid="{00000000-0005-0000-0000-0000D1150000}"/>
    <cellStyle name="40% - Accent6 5 2 2 2" xfId="1374" xr:uid="{00000000-0005-0000-0000-0000D2150000}"/>
    <cellStyle name="40% - Accent6 5 2 2 2 2" xfId="2958" xr:uid="{00000000-0005-0000-0000-0000D3150000}"/>
    <cellStyle name="40% - Accent6 5 2 2 2 2 2" xfId="6127" xr:uid="{00000000-0005-0000-0000-0000D4150000}"/>
    <cellStyle name="40% - Accent6 5 2 2 2 3" xfId="4543" xr:uid="{00000000-0005-0000-0000-0000D5150000}"/>
    <cellStyle name="40% - Accent6 5 2 2 3" xfId="1902" xr:uid="{00000000-0005-0000-0000-0000D6150000}"/>
    <cellStyle name="40% - Accent6 5 2 2 3 2" xfId="3486" xr:uid="{00000000-0005-0000-0000-0000D7150000}"/>
    <cellStyle name="40% - Accent6 5 2 2 3 2 2" xfId="6655" xr:uid="{00000000-0005-0000-0000-0000D8150000}"/>
    <cellStyle name="40% - Accent6 5 2 2 3 3" xfId="5071" xr:uid="{00000000-0005-0000-0000-0000D9150000}"/>
    <cellStyle name="40% - Accent6 5 2 2 4" xfId="2430" xr:uid="{00000000-0005-0000-0000-0000DA150000}"/>
    <cellStyle name="40% - Accent6 5 2 2 4 2" xfId="5599" xr:uid="{00000000-0005-0000-0000-0000DB150000}"/>
    <cellStyle name="40% - Accent6 5 2 2 5" xfId="4015" xr:uid="{00000000-0005-0000-0000-0000DC150000}"/>
    <cellStyle name="40% - Accent6 5 2 3" xfId="1110" xr:uid="{00000000-0005-0000-0000-0000DD150000}"/>
    <cellStyle name="40% - Accent6 5 2 3 2" xfId="2694" xr:uid="{00000000-0005-0000-0000-0000DE150000}"/>
    <cellStyle name="40% - Accent6 5 2 3 2 2" xfId="5863" xr:uid="{00000000-0005-0000-0000-0000DF150000}"/>
    <cellStyle name="40% - Accent6 5 2 3 3" xfId="4279" xr:uid="{00000000-0005-0000-0000-0000E0150000}"/>
    <cellStyle name="40% - Accent6 5 2 4" xfId="1638" xr:uid="{00000000-0005-0000-0000-0000E1150000}"/>
    <cellStyle name="40% - Accent6 5 2 4 2" xfId="3222" xr:uid="{00000000-0005-0000-0000-0000E2150000}"/>
    <cellStyle name="40% - Accent6 5 2 4 2 2" xfId="6391" xr:uid="{00000000-0005-0000-0000-0000E3150000}"/>
    <cellStyle name="40% - Accent6 5 2 4 3" xfId="4807" xr:uid="{00000000-0005-0000-0000-0000E4150000}"/>
    <cellStyle name="40% - Accent6 5 2 5" xfId="2166" xr:uid="{00000000-0005-0000-0000-0000E5150000}"/>
    <cellStyle name="40% - Accent6 5 2 5 2" xfId="5335" xr:uid="{00000000-0005-0000-0000-0000E6150000}"/>
    <cellStyle name="40% - Accent6 5 2 6" xfId="3751" xr:uid="{00000000-0005-0000-0000-0000E7150000}"/>
    <cellStyle name="40% - Accent6 5 3" xfId="845" xr:uid="{00000000-0005-0000-0000-0000E8150000}"/>
    <cellStyle name="40% - Accent6 5 3 2" xfId="1373" xr:uid="{00000000-0005-0000-0000-0000E9150000}"/>
    <cellStyle name="40% - Accent6 5 3 2 2" xfId="2957" xr:uid="{00000000-0005-0000-0000-0000EA150000}"/>
    <cellStyle name="40% - Accent6 5 3 2 2 2" xfId="6126" xr:uid="{00000000-0005-0000-0000-0000EB150000}"/>
    <cellStyle name="40% - Accent6 5 3 2 3" xfId="4542" xr:uid="{00000000-0005-0000-0000-0000EC150000}"/>
    <cellStyle name="40% - Accent6 5 3 3" xfId="1901" xr:uid="{00000000-0005-0000-0000-0000ED150000}"/>
    <cellStyle name="40% - Accent6 5 3 3 2" xfId="3485" xr:uid="{00000000-0005-0000-0000-0000EE150000}"/>
    <cellStyle name="40% - Accent6 5 3 3 2 2" xfId="6654" xr:uid="{00000000-0005-0000-0000-0000EF150000}"/>
    <cellStyle name="40% - Accent6 5 3 3 3" xfId="5070" xr:uid="{00000000-0005-0000-0000-0000F0150000}"/>
    <cellStyle name="40% - Accent6 5 3 4" xfId="2429" xr:uid="{00000000-0005-0000-0000-0000F1150000}"/>
    <cellStyle name="40% - Accent6 5 3 4 2" xfId="5598" xr:uid="{00000000-0005-0000-0000-0000F2150000}"/>
    <cellStyle name="40% - Accent6 5 3 5" xfId="4014" xr:uid="{00000000-0005-0000-0000-0000F3150000}"/>
    <cellStyle name="40% - Accent6 5 4" xfId="1109" xr:uid="{00000000-0005-0000-0000-0000F4150000}"/>
    <cellStyle name="40% - Accent6 5 4 2" xfId="2693" xr:uid="{00000000-0005-0000-0000-0000F5150000}"/>
    <cellStyle name="40% - Accent6 5 4 2 2" xfId="5862" xr:uid="{00000000-0005-0000-0000-0000F6150000}"/>
    <cellStyle name="40% - Accent6 5 4 3" xfId="4278" xr:uid="{00000000-0005-0000-0000-0000F7150000}"/>
    <cellStyle name="40% - Accent6 5 5" xfId="1637" xr:uid="{00000000-0005-0000-0000-0000F8150000}"/>
    <cellStyle name="40% - Accent6 5 5 2" xfId="3221" xr:uid="{00000000-0005-0000-0000-0000F9150000}"/>
    <cellStyle name="40% - Accent6 5 5 2 2" xfId="6390" xr:uid="{00000000-0005-0000-0000-0000FA150000}"/>
    <cellStyle name="40% - Accent6 5 5 3" xfId="4806" xr:uid="{00000000-0005-0000-0000-0000FB150000}"/>
    <cellStyle name="40% - Accent6 5 6" xfId="2165" xr:uid="{00000000-0005-0000-0000-0000FC150000}"/>
    <cellStyle name="40% - Accent6 5 6 2" xfId="5334" xr:uid="{00000000-0005-0000-0000-0000FD150000}"/>
    <cellStyle name="40% - Accent6 5 7" xfId="3750" xr:uid="{00000000-0005-0000-0000-0000FE150000}"/>
    <cellStyle name="40% - Accent6 6" xfId="380" xr:uid="{00000000-0005-0000-0000-0000FF150000}"/>
    <cellStyle name="40% - Accent6 6 2" xfId="381" xr:uid="{00000000-0005-0000-0000-000000160000}"/>
    <cellStyle name="40% - Accent6 6 2 2" xfId="848" xr:uid="{00000000-0005-0000-0000-000001160000}"/>
    <cellStyle name="40% - Accent6 6 2 2 2" xfId="1376" xr:uid="{00000000-0005-0000-0000-000002160000}"/>
    <cellStyle name="40% - Accent6 6 2 2 2 2" xfId="2960" xr:uid="{00000000-0005-0000-0000-000003160000}"/>
    <cellStyle name="40% - Accent6 6 2 2 2 2 2" xfId="6129" xr:uid="{00000000-0005-0000-0000-000004160000}"/>
    <cellStyle name="40% - Accent6 6 2 2 2 3" xfId="4545" xr:uid="{00000000-0005-0000-0000-000005160000}"/>
    <cellStyle name="40% - Accent6 6 2 2 3" xfId="1904" xr:uid="{00000000-0005-0000-0000-000006160000}"/>
    <cellStyle name="40% - Accent6 6 2 2 3 2" xfId="3488" xr:uid="{00000000-0005-0000-0000-000007160000}"/>
    <cellStyle name="40% - Accent6 6 2 2 3 2 2" xfId="6657" xr:uid="{00000000-0005-0000-0000-000008160000}"/>
    <cellStyle name="40% - Accent6 6 2 2 3 3" xfId="5073" xr:uid="{00000000-0005-0000-0000-000009160000}"/>
    <cellStyle name="40% - Accent6 6 2 2 4" xfId="2432" xr:uid="{00000000-0005-0000-0000-00000A160000}"/>
    <cellStyle name="40% - Accent6 6 2 2 4 2" xfId="5601" xr:uid="{00000000-0005-0000-0000-00000B160000}"/>
    <cellStyle name="40% - Accent6 6 2 2 5" xfId="4017" xr:uid="{00000000-0005-0000-0000-00000C160000}"/>
    <cellStyle name="40% - Accent6 6 2 3" xfId="1112" xr:uid="{00000000-0005-0000-0000-00000D160000}"/>
    <cellStyle name="40% - Accent6 6 2 3 2" xfId="2696" xr:uid="{00000000-0005-0000-0000-00000E160000}"/>
    <cellStyle name="40% - Accent6 6 2 3 2 2" xfId="5865" xr:uid="{00000000-0005-0000-0000-00000F160000}"/>
    <cellStyle name="40% - Accent6 6 2 3 3" xfId="4281" xr:uid="{00000000-0005-0000-0000-000010160000}"/>
    <cellStyle name="40% - Accent6 6 2 4" xfId="1640" xr:uid="{00000000-0005-0000-0000-000011160000}"/>
    <cellStyle name="40% - Accent6 6 2 4 2" xfId="3224" xr:uid="{00000000-0005-0000-0000-000012160000}"/>
    <cellStyle name="40% - Accent6 6 2 4 2 2" xfId="6393" xr:uid="{00000000-0005-0000-0000-000013160000}"/>
    <cellStyle name="40% - Accent6 6 2 4 3" xfId="4809" xr:uid="{00000000-0005-0000-0000-000014160000}"/>
    <cellStyle name="40% - Accent6 6 2 5" xfId="2168" xr:uid="{00000000-0005-0000-0000-000015160000}"/>
    <cellStyle name="40% - Accent6 6 2 5 2" xfId="5337" xr:uid="{00000000-0005-0000-0000-000016160000}"/>
    <cellStyle name="40% - Accent6 6 2 6" xfId="3753" xr:uid="{00000000-0005-0000-0000-000017160000}"/>
    <cellStyle name="40% - Accent6 6 3" xfId="847" xr:uid="{00000000-0005-0000-0000-000018160000}"/>
    <cellStyle name="40% - Accent6 6 3 2" xfId="1375" xr:uid="{00000000-0005-0000-0000-000019160000}"/>
    <cellStyle name="40% - Accent6 6 3 2 2" xfId="2959" xr:uid="{00000000-0005-0000-0000-00001A160000}"/>
    <cellStyle name="40% - Accent6 6 3 2 2 2" xfId="6128" xr:uid="{00000000-0005-0000-0000-00001B160000}"/>
    <cellStyle name="40% - Accent6 6 3 2 3" xfId="4544" xr:uid="{00000000-0005-0000-0000-00001C160000}"/>
    <cellStyle name="40% - Accent6 6 3 3" xfId="1903" xr:uid="{00000000-0005-0000-0000-00001D160000}"/>
    <cellStyle name="40% - Accent6 6 3 3 2" xfId="3487" xr:uid="{00000000-0005-0000-0000-00001E160000}"/>
    <cellStyle name="40% - Accent6 6 3 3 2 2" xfId="6656" xr:uid="{00000000-0005-0000-0000-00001F160000}"/>
    <cellStyle name="40% - Accent6 6 3 3 3" xfId="5072" xr:uid="{00000000-0005-0000-0000-000020160000}"/>
    <cellStyle name="40% - Accent6 6 3 4" xfId="2431" xr:uid="{00000000-0005-0000-0000-000021160000}"/>
    <cellStyle name="40% - Accent6 6 3 4 2" xfId="5600" xr:uid="{00000000-0005-0000-0000-000022160000}"/>
    <cellStyle name="40% - Accent6 6 3 5" xfId="4016" xr:uid="{00000000-0005-0000-0000-000023160000}"/>
    <cellStyle name="40% - Accent6 6 4" xfId="1111" xr:uid="{00000000-0005-0000-0000-000024160000}"/>
    <cellStyle name="40% - Accent6 6 4 2" xfId="2695" xr:uid="{00000000-0005-0000-0000-000025160000}"/>
    <cellStyle name="40% - Accent6 6 4 2 2" xfId="5864" xr:uid="{00000000-0005-0000-0000-000026160000}"/>
    <cellStyle name="40% - Accent6 6 4 3" xfId="4280" xr:uid="{00000000-0005-0000-0000-000027160000}"/>
    <cellStyle name="40% - Accent6 6 5" xfId="1639" xr:uid="{00000000-0005-0000-0000-000028160000}"/>
    <cellStyle name="40% - Accent6 6 5 2" xfId="3223" xr:uid="{00000000-0005-0000-0000-000029160000}"/>
    <cellStyle name="40% - Accent6 6 5 2 2" xfId="6392" xr:uid="{00000000-0005-0000-0000-00002A160000}"/>
    <cellStyle name="40% - Accent6 6 5 3" xfId="4808" xr:uid="{00000000-0005-0000-0000-00002B160000}"/>
    <cellStyle name="40% - Accent6 6 6" xfId="2167" xr:uid="{00000000-0005-0000-0000-00002C160000}"/>
    <cellStyle name="40% - Accent6 6 6 2" xfId="5336" xr:uid="{00000000-0005-0000-0000-00002D160000}"/>
    <cellStyle name="40% - Accent6 6 7" xfId="3752" xr:uid="{00000000-0005-0000-0000-00002E160000}"/>
    <cellStyle name="40% - Accent6 7" xfId="382" xr:uid="{00000000-0005-0000-0000-00002F160000}"/>
    <cellStyle name="40% - Accent6 7 2" xfId="383" xr:uid="{00000000-0005-0000-0000-000030160000}"/>
    <cellStyle name="40% - Accent6 7 2 2" xfId="850" xr:uid="{00000000-0005-0000-0000-000031160000}"/>
    <cellStyle name="40% - Accent6 7 2 2 2" xfId="1378" xr:uid="{00000000-0005-0000-0000-000032160000}"/>
    <cellStyle name="40% - Accent6 7 2 2 2 2" xfId="2962" xr:uid="{00000000-0005-0000-0000-000033160000}"/>
    <cellStyle name="40% - Accent6 7 2 2 2 2 2" xfId="6131" xr:uid="{00000000-0005-0000-0000-000034160000}"/>
    <cellStyle name="40% - Accent6 7 2 2 2 3" xfId="4547" xr:uid="{00000000-0005-0000-0000-000035160000}"/>
    <cellStyle name="40% - Accent6 7 2 2 3" xfId="1906" xr:uid="{00000000-0005-0000-0000-000036160000}"/>
    <cellStyle name="40% - Accent6 7 2 2 3 2" xfId="3490" xr:uid="{00000000-0005-0000-0000-000037160000}"/>
    <cellStyle name="40% - Accent6 7 2 2 3 2 2" xfId="6659" xr:uid="{00000000-0005-0000-0000-000038160000}"/>
    <cellStyle name="40% - Accent6 7 2 2 3 3" xfId="5075" xr:uid="{00000000-0005-0000-0000-000039160000}"/>
    <cellStyle name="40% - Accent6 7 2 2 4" xfId="2434" xr:uid="{00000000-0005-0000-0000-00003A160000}"/>
    <cellStyle name="40% - Accent6 7 2 2 4 2" xfId="5603" xr:uid="{00000000-0005-0000-0000-00003B160000}"/>
    <cellStyle name="40% - Accent6 7 2 2 5" xfId="4019" xr:uid="{00000000-0005-0000-0000-00003C160000}"/>
    <cellStyle name="40% - Accent6 7 2 3" xfId="1114" xr:uid="{00000000-0005-0000-0000-00003D160000}"/>
    <cellStyle name="40% - Accent6 7 2 3 2" xfId="2698" xr:uid="{00000000-0005-0000-0000-00003E160000}"/>
    <cellStyle name="40% - Accent6 7 2 3 2 2" xfId="5867" xr:uid="{00000000-0005-0000-0000-00003F160000}"/>
    <cellStyle name="40% - Accent6 7 2 3 3" xfId="4283" xr:uid="{00000000-0005-0000-0000-000040160000}"/>
    <cellStyle name="40% - Accent6 7 2 4" xfId="1642" xr:uid="{00000000-0005-0000-0000-000041160000}"/>
    <cellStyle name="40% - Accent6 7 2 4 2" xfId="3226" xr:uid="{00000000-0005-0000-0000-000042160000}"/>
    <cellStyle name="40% - Accent6 7 2 4 2 2" xfId="6395" xr:uid="{00000000-0005-0000-0000-000043160000}"/>
    <cellStyle name="40% - Accent6 7 2 4 3" xfId="4811" xr:uid="{00000000-0005-0000-0000-000044160000}"/>
    <cellStyle name="40% - Accent6 7 2 5" xfId="2170" xr:uid="{00000000-0005-0000-0000-000045160000}"/>
    <cellStyle name="40% - Accent6 7 2 5 2" xfId="5339" xr:uid="{00000000-0005-0000-0000-000046160000}"/>
    <cellStyle name="40% - Accent6 7 2 6" xfId="3755" xr:uid="{00000000-0005-0000-0000-000047160000}"/>
    <cellStyle name="40% - Accent6 7 3" xfId="849" xr:uid="{00000000-0005-0000-0000-000048160000}"/>
    <cellStyle name="40% - Accent6 7 3 2" xfId="1377" xr:uid="{00000000-0005-0000-0000-000049160000}"/>
    <cellStyle name="40% - Accent6 7 3 2 2" xfId="2961" xr:uid="{00000000-0005-0000-0000-00004A160000}"/>
    <cellStyle name="40% - Accent6 7 3 2 2 2" xfId="6130" xr:uid="{00000000-0005-0000-0000-00004B160000}"/>
    <cellStyle name="40% - Accent6 7 3 2 3" xfId="4546" xr:uid="{00000000-0005-0000-0000-00004C160000}"/>
    <cellStyle name="40% - Accent6 7 3 3" xfId="1905" xr:uid="{00000000-0005-0000-0000-00004D160000}"/>
    <cellStyle name="40% - Accent6 7 3 3 2" xfId="3489" xr:uid="{00000000-0005-0000-0000-00004E160000}"/>
    <cellStyle name="40% - Accent6 7 3 3 2 2" xfId="6658" xr:uid="{00000000-0005-0000-0000-00004F160000}"/>
    <cellStyle name="40% - Accent6 7 3 3 3" xfId="5074" xr:uid="{00000000-0005-0000-0000-000050160000}"/>
    <cellStyle name="40% - Accent6 7 3 4" xfId="2433" xr:uid="{00000000-0005-0000-0000-000051160000}"/>
    <cellStyle name="40% - Accent6 7 3 4 2" xfId="5602" xr:uid="{00000000-0005-0000-0000-000052160000}"/>
    <cellStyle name="40% - Accent6 7 3 5" xfId="4018" xr:uid="{00000000-0005-0000-0000-000053160000}"/>
    <cellStyle name="40% - Accent6 7 4" xfId="1113" xr:uid="{00000000-0005-0000-0000-000054160000}"/>
    <cellStyle name="40% - Accent6 7 4 2" xfId="2697" xr:uid="{00000000-0005-0000-0000-000055160000}"/>
    <cellStyle name="40% - Accent6 7 4 2 2" xfId="5866" xr:uid="{00000000-0005-0000-0000-000056160000}"/>
    <cellStyle name="40% - Accent6 7 4 3" xfId="4282" xr:uid="{00000000-0005-0000-0000-000057160000}"/>
    <cellStyle name="40% - Accent6 7 5" xfId="1641" xr:uid="{00000000-0005-0000-0000-000058160000}"/>
    <cellStyle name="40% - Accent6 7 5 2" xfId="3225" xr:uid="{00000000-0005-0000-0000-000059160000}"/>
    <cellStyle name="40% - Accent6 7 5 2 2" xfId="6394" xr:uid="{00000000-0005-0000-0000-00005A160000}"/>
    <cellStyle name="40% - Accent6 7 5 3" xfId="4810" xr:uid="{00000000-0005-0000-0000-00005B160000}"/>
    <cellStyle name="40% - Accent6 7 6" xfId="2169" xr:uid="{00000000-0005-0000-0000-00005C160000}"/>
    <cellStyle name="40% - Accent6 7 6 2" xfId="5338" xr:uid="{00000000-0005-0000-0000-00005D160000}"/>
    <cellStyle name="40% - Accent6 7 7" xfId="3754" xr:uid="{00000000-0005-0000-0000-00005E160000}"/>
    <cellStyle name="40% - Accent6 8" xfId="384" xr:uid="{00000000-0005-0000-0000-00005F160000}"/>
    <cellStyle name="40% - Accent6 8 2" xfId="385" xr:uid="{00000000-0005-0000-0000-000060160000}"/>
    <cellStyle name="40% - Accent6 8 2 2" xfId="852" xr:uid="{00000000-0005-0000-0000-000061160000}"/>
    <cellStyle name="40% - Accent6 8 2 2 2" xfId="1380" xr:uid="{00000000-0005-0000-0000-000062160000}"/>
    <cellStyle name="40% - Accent6 8 2 2 2 2" xfId="2964" xr:uid="{00000000-0005-0000-0000-000063160000}"/>
    <cellStyle name="40% - Accent6 8 2 2 2 2 2" xfId="6133" xr:uid="{00000000-0005-0000-0000-000064160000}"/>
    <cellStyle name="40% - Accent6 8 2 2 2 3" xfId="4549" xr:uid="{00000000-0005-0000-0000-000065160000}"/>
    <cellStyle name="40% - Accent6 8 2 2 3" xfId="1908" xr:uid="{00000000-0005-0000-0000-000066160000}"/>
    <cellStyle name="40% - Accent6 8 2 2 3 2" xfId="3492" xr:uid="{00000000-0005-0000-0000-000067160000}"/>
    <cellStyle name="40% - Accent6 8 2 2 3 2 2" xfId="6661" xr:uid="{00000000-0005-0000-0000-000068160000}"/>
    <cellStyle name="40% - Accent6 8 2 2 3 3" xfId="5077" xr:uid="{00000000-0005-0000-0000-000069160000}"/>
    <cellStyle name="40% - Accent6 8 2 2 4" xfId="2436" xr:uid="{00000000-0005-0000-0000-00006A160000}"/>
    <cellStyle name="40% - Accent6 8 2 2 4 2" xfId="5605" xr:uid="{00000000-0005-0000-0000-00006B160000}"/>
    <cellStyle name="40% - Accent6 8 2 2 5" xfId="4021" xr:uid="{00000000-0005-0000-0000-00006C160000}"/>
    <cellStyle name="40% - Accent6 8 2 3" xfId="1116" xr:uid="{00000000-0005-0000-0000-00006D160000}"/>
    <cellStyle name="40% - Accent6 8 2 3 2" xfId="2700" xr:uid="{00000000-0005-0000-0000-00006E160000}"/>
    <cellStyle name="40% - Accent6 8 2 3 2 2" xfId="5869" xr:uid="{00000000-0005-0000-0000-00006F160000}"/>
    <cellStyle name="40% - Accent6 8 2 3 3" xfId="4285" xr:uid="{00000000-0005-0000-0000-000070160000}"/>
    <cellStyle name="40% - Accent6 8 2 4" xfId="1644" xr:uid="{00000000-0005-0000-0000-000071160000}"/>
    <cellStyle name="40% - Accent6 8 2 4 2" xfId="3228" xr:uid="{00000000-0005-0000-0000-000072160000}"/>
    <cellStyle name="40% - Accent6 8 2 4 2 2" xfId="6397" xr:uid="{00000000-0005-0000-0000-000073160000}"/>
    <cellStyle name="40% - Accent6 8 2 4 3" xfId="4813" xr:uid="{00000000-0005-0000-0000-000074160000}"/>
    <cellStyle name="40% - Accent6 8 2 5" xfId="2172" xr:uid="{00000000-0005-0000-0000-000075160000}"/>
    <cellStyle name="40% - Accent6 8 2 5 2" xfId="5341" xr:uid="{00000000-0005-0000-0000-000076160000}"/>
    <cellStyle name="40% - Accent6 8 2 6" xfId="3757" xr:uid="{00000000-0005-0000-0000-000077160000}"/>
    <cellStyle name="40% - Accent6 8 3" xfId="851" xr:uid="{00000000-0005-0000-0000-000078160000}"/>
    <cellStyle name="40% - Accent6 8 3 2" xfId="1379" xr:uid="{00000000-0005-0000-0000-000079160000}"/>
    <cellStyle name="40% - Accent6 8 3 2 2" xfId="2963" xr:uid="{00000000-0005-0000-0000-00007A160000}"/>
    <cellStyle name="40% - Accent6 8 3 2 2 2" xfId="6132" xr:uid="{00000000-0005-0000-0000-00007B160000}"/>
    <cellStyle name="40% - Accent6 8 3 2 3" xfId="4548" xr:uid="{00000000-0005-0000-0000-00007C160000}"/>
    <cellStyle name="40% - Accent6 8 3 3" xfId="1907" xr:uid="{00000000-0005-0000-0000-00007D160000}"/>
    <cellStyle name="40% - Accent6 8 3 3 2" xfId="3491" xr:uid="{00000000-0005-0000-0000-00007E160000}"/>
    <cellStyle name="40% - Accent6 8 3 3 2 2" xfId="6660" xr:uid="{00000000-0005-0000-0000-00007F160000}"/>
    <cellStyle name="40% - Accent6 8 3 3 3" xfId="5076" xr:uid="{00000000-0005-0000-0000-000080160000}"/>
    <cellStyle name="40% - Accent6 8 3 4" xfId="2435" xr:uid="{00000000-0005-0000-0000-000081160000}"/>
    <cellStyle name="40% - Accent6 8 3 4 2" xfId="5604" xr:uid="{00000000-0005-0000-0000-000082160000}"/>
    <cellStyle name="40% - Accent6 8 3 5" xfId="4020" xr:uid="{00000000-0005-0000-0000-000083160000}"/>
    <cellStyle name="40% - Accent6 8 4" xfId="1115" xr:uid="{00000000-0005-0000-0000-000084160000}"/>
    <cellStyle name="40% - Accent6 8 4 2" xfId="2699" xr:uid="{00000000-0005-0000-0000-000085160000}"/>
    <cellStyle name="40% - Accent6 8 4 2 2" xfId="5868" xr:uid="{00000000-0005-0000-0000-000086160000}"/>
    <cellStyle name="40% - Accent6 8 4 3" xfId="4284" xr:uid="{00000000-0005-0000-0000-000087160000}"/>
    <cellStyle name="40% - Accent6 8 5" xfId="1643" xr:uid="{00000000-0005-0000-0000-000088160000}"/>
    <cellStyle name="40% - Accent6 8 5 2" xfId="3227" xr:uid="{00000000-0005-0000-0000-000089160000}"/>
    <cellStyle name="40% - Accent6 8 5 2 2" xfId="6396" xr:uid="{00000000-0005-0000-0000-00008A160000}"/>
    <cellStyle name="40% - Accent6 8 5 3" xfId="4812" xr:uid="{00000000-0005-0000-0000-00008B160000}"/>
    <cellStyle name="40% - Accent6 8 6" xfId="2171" xr:uid="{00000000-0005-0000-0000-00008C160000}"/>
    <cellStyle name="40% - Accent6 8 6 2" xfId="5340" xr:uid="{00000000-0005-0000-0000-00008D160000}"/>
    <cellStyle name="40% - Accent6 8 7" xfId="3756" xr:uid="{00000000-0005-0000-0000-00008E160000}"/>
    <cellStyle name="40% - Accent6 9" xfId="386" xr:uid="{00000000-0005-0000-0000-00008F160000}"/>
    <cellStyle name="40% - Accent6 9 2" xfId="387" xr:uid="{00000000-0005-0000-0000-000090160000}"/>
    <cellStyle name="40% - Accent6 9 2 2" xfId="854" xr:uid="{00000000-0005-0000-0000-000091160000}"/>
    <cellStyle name="40% - Accent6 9 2 2 2" xfId="1382" xr:uid="{00000000-0005-0000-0000-000092160000}"/>
    <cellStyle name="40% - Accent6 9 2 2 2 2" xfId="2966" xr:uid="{00000000-0005-0000-0000-000093160000}"/>
    <cellStyle name="40% - Accent6 9 2 2 2 2 2" xfId="6135" xr:uid="{00000000-0005-0000-0000-000094160000}"/>
    <cellStyle name="40% - Accent6 9 2 2 2 3" xfId="4551" xr:uid="{00000000-0005-0000-0000-000095160000}"/>
    <cellStyle name="40% - Accent6 9 2 2 3" xfId="1910" xr:uid="{00000000-0005-0000-0000-000096160000}"/>
    <cellStyle name="40% - Accent6 9 2 2 3 2" xfId="3494" xr:uid="{00000000-0005-0000-0000-000097160000}"/>
    <cellStyle name="40% - Accent6 9 2 2 3 2 2" xfId="6663" xr:uid="{00000000-0005-0000-0000-000098160000}"/>
    <cellStyle name="40% - Accent6 9 2 2 3 3" xfId="5079" xr:uid="{00000000-0005-0000-0000-000099160000}"/>
    <cellStyle name="40% - Accent6 9 2 2 4" xfId="2438" xr:uid="{00000000-0005-0000-0000-00009A160000}"/>
    <cellStyle name="40% - Accent6 9 2 2 4 2" xfId="5607" xr:uid="{00000000-0005-0000-0000-00009B160000}"/>
    <cellStyle name="40% - Accent6 9 2 2 5" xfId="4023" xr:uid="{00000000-0005-0000-0000-00009C160000}"/>
    <cellStyle name="40% - Accent6 9 2 3" xfId="1118" xr:uid="{00000000-0005-0000-0000-00009D160000}"/>
    <cellStyle name="40% - Accent6 9 2 3 2" xfId="2702" xr:uid="{00000000-0005-0000-0000-00009E160000}"/>
    <cellStyle name="40% - Accent6 9 2 3 2 2" xfId="5871" xr:uid="{00000000-0005-0000-0000-00009F160000}"/>
    <cellStyle name="40% - Accent6 9 2 3 3" xfId="4287" xr:uid="{00000000-0005-0000-0000-0000A0160000}"/>
    <cellStyle name="40% - Accent6 9 2 4" xfId="1646" xr:uid="{00000000-0005-0000-0000-0000A1160000}"/>
    <cellStyle name="40% - Accent6 9 2 4 2" xfId="3230" xr:uid="{00000000-0005-0000-0000-0000A2160000}"/>
    <cellStyle name="40% - Accent6 9 2 4 2 2" xfId="6399" xr:uid="{00000000-0005-0000-0000-0000A3160000}"/>
    <cellStyle name="40% - Accent6 9 2 4 3" xfId="4815" xr:uid="{00000000-0005-0000-0000-0000A4160000}"/>
    <cellStyle name="40% - Accent6 9 2 5" xfId="2174" xr:uid="{00000000-0005-0000-0000-0000A5160000}"/>
    <cellStyle name="40% - Accent6 9 2 5 2" xfId="5343" xr:uid="{00000000-0005-0000-0000-0000A6160000}"/>
    <cellStyle name="40% - Accent6 9 2 6" xfId="3759" xr:uid="{00000000-0005-0000-0000-0000A7160000}"/>
    <cellStyle name="40% - Accent6 9 3" xfId="853" xr:uid="{00000000-0005-0000-0000-0000A8160000}"/>
    <cellStyle name="40% - Accent6 9 3 2" xfId="1381" xr:uid="{00000000-0005-0000-0000-0000A9160000}"/>
    <cellStyle name="40% - Accent6 9 3 2 2" xfId="2965" xr:uid="{00000000-0005-0000-0000-0000AA160000}"/>
    <cellStyle name="40% - Accent6 9 3 2 2 2" xfId="6134" xr:uid="{00000000-0005-0000-0000-0000AB160000}"/>
    <cellStyle name="40% - Accent6 9 3 2 3" xfId="4550" xr:uid="{00000000-0005-0000-0000-0000AC160000}"/>
    <cellStyle name="40% - Accent6 9 3 3" xfId="1909" xr:uid="{00000000-0005-0000-0000-0000AD160000}"/>
    <cellStyle name="40% - Accent6 9 3 3 2" xfId="3493" xr:uid="{00000000-0005-0000-0000-0000AE160000}"/>
    <cellStyle name="40% - Accent6 9 3 3 2 2" xfId="6662" xr:uid="{00000000-0005-0000-0000-0000AF160000}"/>
    <cellStyle name="40% - Accent6 9 3 3 3" xfId="5078" xr:uid="{00000000-0005-0000-0000-0000B0160000}"/>
    <cellStyle name="40% - Accent6 9 3 4" xfId="2437" xr:uid="{00000000-0005-0000-0000-0000B1160000}"/>
    <cellStyle name="40% - Accent6 9 3 4 2" xfId="5606" xr:uid="{00000000-0005-0000-0000-0000B2160000}"/>
    <cellStyle name="40% - Accent6 9 3 5" xfId="4022" xr:uid="{00000000-0005-0000-0000-0000B3160000}"/>
    <cellStyle name="40% - Accent6 9 4" xfId="1117" xr:uid="{00000000-0005-0000-0000-0000B4160000}"/>
    <cellStyle name="40% - Accent6 9 4 2" xfId="2701" xr:uid="{00000000-0005-0000-0000-0000B5160000}"/>
    <cellStyle name="40% - Accent6 9 4 2 2" xfId="5870" xr:uid="{00000000-0005-0000-0000-0000B6160000}"/>
    <cellStyle name="40% - Accent6 9 4 3" xfId="4286" xr:uid="{00000000-0005-0000-0000-0000B7160000}"/>
    <cellStyle name="40% - Accent6 9 5" xfId="1645" xr:uid="{00000000-0005-0000-0000-0000B8160000}"/>
    <cellStyle name="40% - Accent6 9 5 2" xfId="3229" xr:uid="{00000000-0005-0000-0000-0000B9160000}"/>
    <cellStyle name="40% - Accent6 9 5 2 2" xfId="6398" xr:uid="{00000000-0005-0000-0000-0000BA160000}"/>
    <cellStyle name="40% - Accent6 9 5 3" xfId="4814" xr:uid="{00000000-0005-0000-0000-0000BB160000}"/>
    <cellStyle name="40% - Accent6 9 6" xfId="2173" xr:uid="{00000000-0005-0000-0000-0000BC160000}"/>
    <cellStyle name="40% - Accent6 9 6 2" xfId="5342" xr:uid="{00000000-0005-0000-0000-0000BD160000}"/>
    <cellStyle name="40% - Accent6 9 7" xfId="3758" xr:uid="{00000000-0005-0000-0000-0000BE160000}"/>
    <cellStyle name="40% - アクセント 1" xfId="388" xr:uid="{00000000-0005-0000-0000-0000BF160000}"/>
    <cellStyle name="40% - アクセント 1 2" xfId="389" xr:uid="{00000000-0005-0000-0000-0000C0160000}"/>
    <cellStyle name="40% - アクセント 1 3" xfId="390" xr:uid="{00000000-0005-0000-0000-0000C1160000}"/>
    <cellStyle name="40% - アクセント 1 4" xfId="391" xr:uid="{00000000-0005-0000-0000-0000C2160000}"/>
    <cellStyle name="40% - アクセント 2" xfId="392" xr:uid="{00000000-0005-0000-0000-0000C3160000}"/>
    <cellStyle name="40% - アクセント 2 2" xfId="393" xr:uid="{00000000-0005-0000-0000-0000C4160000}"/>
    <cellStyle name="40% - アクセント 2 3" xfId="394" xr:uid="{00000000-0005-0000-0000-0000C5160000}"/>
    <cellStyle name="40% - アクセント 2 4" xfId="395" xr:uid="{00000000-0005-0000-0000-0000C6160000}"/>
    <cellStyle name="40% - アクセント 3" xfId="396" xr:uid="{00000000-0005-0000-0000-0000C7160000}"/>
    <cellStyle name="40% - アクセント 3 2" xfId="397" xr:uid="{00000000-0005-0000-0000-0000C8160000}"/>
    <cellStyle name="40% - アクセント 3 3" xfId="398" xr:uid="{00000000-0005-0000-0000-0000C9160000}"/>
    <cellStyle name="40% - アクセント 3 4" xfId="399" xr:uid="{00000000-0005-0000-0000-0000CA160000}"/>
    <cellStyle name="40% - アクセント 4" xfId="400" xr:uid="{00000000-0005-0000-0000-0000CB160000}"/>
    <cellStyle name="40% - アクセント 4 2" xfId="401" xr:uid="{00000000-0005-0000-0000-0000CC160000}"/>
    <cellStyle name="40% - アクセント 4 3" xfId="402" xr:uid="{00000000-0005-0000-0000-0000CD160000}"/>
    <cellStyle name="40% - アクセント 4 4" xfId="403" xr:uid="{00000000-0005-0000-0000-0000CE160000}"/>
    <cellStyle name="40% - アクセント 5" xfId="404" xr:uid="{00000000-0005-0000-0000-0000CF160000}"/>
    <cellStyle name="40% - アクセント 5 2" xfId="405" xr:uid="{00000000-0005-0000-0000-0000D0160000}"/>
    <cellStyle name="40% - アクセント 5 3" xfId="406" xr:uid="{00000000-0005-0000-0000-0000D1160000}"/>
    <cellStyle name="40% - アクセント 5 4" xfId="407" xr:uid="{00000000-0005-0000-0000-0000D2160000}"/>
    <cellStyle name="40% - アクセント 6" xfId="408" xr:uid="{00000000-0005-0000-0000-0000D3160000}"/>
    <cellStyle name="40% - アクセント 6 2" xfId="409" xr:uid="{00000000-0005-0000-0000-0000D4160000}"/>
    <cellStyle name="40% - アクセント 6 3" xfId="410" xr:uid="{00000000-0005-0000-0000-0000D5160000}"/>
    <cellStyle name="40% - アクセント 6 4" xfId="411" xr:uid="{00000000-0005-0000-0000-0000D6160000}"/>
    <cellStyle name="60% - Accent1 2" xfId="13" xr:uid="{00000000-0005-0000-0000-0000D7160000}"/>
    <cellStyle name="60% - Accent1 3" xfId="412" xr:uid="{00000000-0005-0000-0000-0000D8160000}"/>
    <cellStyle name="60% - Accent2 2" xfId="14" xr:uid="{00000000-0005-0000-0000-0000D9160000}"/>
    <cellStyle name="60% - Accent2 3" xfId="413" xr:uid="{00000000-0005-0000-0000-0000DA160000}"/>
    <cellStyle name="60% - Accent3 2" xfId="15" xr:uid="{00000000-0005-0000-0000-0000DB160000}"/>
    <cellStyle name="60% - Accent3 3" xfId="414" xr:uid="{00000000-0005-0000-0000-0000DC160000}"/>
    <cellStyle name="60% - Accent4 2" xfId="16" xr:uid="{00000000-0005-0000-0000-0000DD160000}"/>
    <cellStyle name="60% - Accent4 3" xfId="415" xr:uid="{00000000-0005-0000-0000-0000DE160000}"/>
    <cellStyle name="60% - Accent5 2" xfId="17" xr:uid="{00000000-0005-0000-0000-0000DF160000}"/>
    <cellStyle name="60% - Accent5 3" xfId="416" xr:uid="{00000000-0005-0000-0000-0000E0160000}"/>
    <cellStyle name="60% - Accent6 2" xfId="18" xr:uid="{00000000-0005-0000-0000-0000E1160000}"/>
    <cellStyle name="60% - Accent6 3" xfId="417" xr:uid="{00000000-0005-0000-0000-0000E2160000}"/>
    <cellStyle name="60% - アクセント 1" xfId="418" xr:uid="{00000000-0005-0000-0000-0000E3160000}"/>
    <cellStyle name="60% - アクセント 1 2" xfId="419" xr:uid="{00000000-0005-0000-0000-0000E4160000}"/>
    <cellStyle name="60% - アクセント 1 3" xfId="420" xr:uid="{00000000-0005-0000-0000-0000E5160000}"/>
    <cellStyle name="60% - アクセント 1 4" xfId="421" xr:uid="{00000000-0005-0000-0000-0000E6160000}"/>
    <cellStyle name="60% - アクセント 2" xfId="422" xr:uid="{00000000-0005-0000-0000-0000E7160000}"/>
    <cellStyle name="60% - アクセント 2 2" xfId="423" xr:uid="{00000000-0005-0000-0000-0000E8160000}"/>
    <cellStyle name="60% - アクセント 2 3" xfId="424" xr:uid="{00000000-0005-0000-0000-0000E9160000}"/>
    <cellStyle name="60% - アクセント 2 4" xfId="425" xr:uid="{00000000-0005-0000-0000-0000EA160000}"/>
    <cellStyle name="60% - アクセント 3" xfId="426" xr:uid="{00000000-0005-0000-0000-0000EB160000}"/>
    <cellStyle name="60% - アクセント 3 2" xfId="427" xr:uid="{00000000-0005-0000-0000-0000EC160000}"/>
    <cellStyle name="60% - アクセント 3 3" xfId="428" xr:uid="{00000000-0005-0000-0000-0000ED160000}"/>
    <cellStyle name="60% - アクセント 3 4" xfId="429" xr:uid="{00000000-0005-0000-0000-0000EE160000}"/>
    <cellStyle name="60% - アクセント 4" xfId="430" xr:uid="{00000000-0005-0000-0000-0000EF160000}"/>
    <cellStyle name="60% - アクセント 4 2" xfId="431" xr:uid="{00000000-0005-0000-0000-0000F0160000}"/>
    <cellStyle name="60% - アクセント 4 3" xfId="432" xr:uid="{00000000-0005-0000-0000-0000F1160000}"/>
    <cellStyle name="60% - アクセント 4 4" xfId="433" xr:uid="{00000000-0005-0000-0000-0000F2160000}"/>
    <cellStyle name="60% - アクセント 5" xfId="434" xr:uid="{00000000-0005-0000-0000-0000F3160000}"/>
    <cellStyle name="60% - アクセント 5 2" xfId="435" xr:uid="{00000000-0005-0000-0000-0000F4160000}"/>
    <cellStyle name="60% - アクセント 5 3" xfId="436" xr:uid="{00000000-0005-0000-0000-0000F5160000}"/>
    <cellStyle name="60% - アクセント 5 4" xfId="437" xr:uid="{00000000-0005-0000-0000-0000F6160000}"/>
    <cellStyle name="60% - アクセント 6" xfId="438" xr:uid="{00000000-0005-0000-0000-0000F7160000}"/>
    <cellStyle name="60% - アクセント 6 2" xfId="439" xr:uid="{00000000-0005-0000-0000-0000F8160000}"/>
    <cellStyle name="60% - アクセント 6 3" xfId="440" xr:uid="{00000000-0005-0000-0000-0000F9160000}"/>
    <cellStyle name="60% - アクセント 6 4" xfId="441" xr:uid="{00000000-0005-0000-0000-0000FA160000}"/>
    <cellStyle name="Accent1 2" xfId="19" xr:uid="{00000000-0005-0000-0000-0000FB160000}"/>
    <cellStyle name="Accent1 3" xfId="442" xr:uid="{00000000-0005-0000-0000-0000FC160000}"/>
    <cellStyle name="Accent2 2" xfId="20" xr:uid="{00000000-0005-0000-0000-0000FD160000}"/>
    <cellStyle name="Accent2 3" xfId="443" xr:uid="{00000000-0005-0000-0000-0000FE160000}"/>
    <cellStyle name="Accent3 2" xfId="21" xr:uid="{00000000-0005-0000-0000-0000FF160000}"/>
    <cellStyle name="Accent3 3" xfId="444" xr:uid="{00000000-0005-0000-0000-000000170000}"/>
    <cellStyle name="Accent4 2" xfId="22" xr:uid="{00000000-0005-0000-0000-000001170000}"/>
    <cellStyle name="Accent4 3" xfId="445" xr:uid="{00000000-0005-0000-0000-000002170000}"/>
    <cellStyle name="Accent5 2" xfId="23" xr:uid="{00000000-0005-0000-0000-000003170000}"/>
    <cellStyle name="Accent5 3" xfId="446" xr:uid="{00000000-0005-0000-0000-000004170000}"/>
    <cellStyle name="Accent6 2" xfId="24" xr:uid="{00000000-0005-0000-0000-000005170000}"/>
    <cellStyle name="Accent6 3" xfId="447" xr:uid="{00000000-0005-0000-0000-000006170000}"/>
    <cellStyle name="Bad 2" xfId="25" xr:uid="{00000000-0005-0000-0000-000007170000}"/>
    <cellStyle name="Bad 3" xfId="448" xr:uid="{00000000-0005-0000-0000-000008170000}"/>
    <cellStyle name="Calculation 2" xfId="26" xr:uid="{00000000-0005-0000-0000-000009170000}"/>
    <cellStyle name="Calculation 2 10" xfId="7432" xr:uid="{00000000-0005-0000-0000-00000A170000}"/>
    <cellStyle name="Calculation 2 11" xfId="7445" xr:uid="{00000000-0005-0000-0000-00000B170000}"/>
    <cellStyle name="Calculation 2 12" xfId="7619" xr:uid="{00000000-0005-0000-0000-00000C170000}"/>
    <cellStyle name="Calculation 2 13" xfId="7927" xr:uid="{00000000-0005-0000-0000-00000D170000}"/>
    <cellStyle name="Calculation 2 14" xfId="8179" xr:uid="{00000000-0005-0000-0000-00000E170000}"/>
    <cellStyle name="Calculation 2 15" xfId="7418" xr:uid="{00000000-0005-0000-0000-00000F170000}"/>
    <cellStyle name="Calculation 2 2" xfId="6703" xr:uid="{00000000-0005-0000-0000-000010170000}"/>
    <cellStyle name="Calculation 2 2 10" xfId="7472" xr:uid="{00000000-0005-0000-0000-000011170000}"/>
    <cellStyle name="Calculation 2 2 11" xfId="8205" xr:uid="{00000000-0005-0000-0000-000012170000}"/>
    <cellStyle name="Calculation 2 2 12" xfId="7412" xr:uid="{00000000-0005-0000-0000-000013170000}"/>
    <cellStyle name="Calculation 2 2 2" xfId="6748" xr:uid="{00000000-0005-0000-0000-000014170000}"/>
    <cellStyle name="Calculation 2 2 2 10" xfId="8026" xr:uid="{00000000-0005-0000-0000-000015170000}"/>
    <cellStyle name="Calculation 2 2 2 11" xfId="8214" xr:uid="{00000000-0005-0000-0000-000016170000}"/>
    <cellStyle name="Calculation 2 2 2 2" xfId="6796" xr:uid="{00000000-0005-0000-0000-000017170000}"/>
    <cellStyle name="Calculation 2 2 2 2 10" xfId="8166" xr:uid="{00000000-0005-0000-0000-000018170000}"/>
    <cellStyle name="Calculation 2 2 2 2 2" xfId="7000" xr:uid="{00000000-0005-0000-0000-000019170000}"/>
    <cellStyle name="Calculation 2 2 2 2 2 2" xfId="7385" xr:uid="{00000000-0005-0000-0000-00001A170000}"/>
    <cellStyle name="Calculation 2 2 2 2 2 3" xfId="7673" xr:uid="{00000000-0005-0000-0000-00001B170000}"/>
    <cellStyle name="Calculation 2 2 2 2 2 4" xfId="7825" xr:uid="{00000000-0005-0000-0000-00001C170000}"/>
    <cellStyle name="Calculation 2 2 2 2 2 5" xfId="7977" xr:uid="{00000000-0005-0000-0000-00001D170000}"/>
    <cellStyle name="Calculation 2 2 2 2 2 6" xfId="8118" xr:uid="{00000000-0005-0000-0000-00001E170000}"/>
    <cellStyle name="Calculation 2 2 2 2 2 7" xfId="7082" xr:uid="{00000000-0005-0000-0000-00001F170000}"/>
    <cellStyle name="Calculation 2 2 2 2 2 8" xfId="8342" xr:uid="{00000000-0005-0000-0000-000020170000}"/>
    <cellStyle name="Calculation 2 2 2 2 2 9" xfId="8429" xr:uid="{00000000-0005-0000-0000-000021170000}"/>
    <cellStyle name="Calculation 2 2 2 2 3" xfId="7237" xr:uid="{00000000-0005-0000-0000-000022170000}"/>
    <cellStyle name="Calculation 2 2 2 2 4" xfId="7532" xr:uid="{00000000-0005-0000-0000-000023170000}"/>
    <cellStyle name="Calculation 2 2 2 2 5" xfId="7102" xr:uid="{00000000-0005-0000-0000-000024170000}"/>
    <cellStyle name="Calculation 2 2 2 2 6" xfId="7576" xr:uid="{00000000-0005-0000-0000-000025170000}"/>
    <cellStyle name="Calculation 2 2 2 2 7" xfId="7729" xr:uid="{00000000-0005-0000-0000-000026170000}"/>
    <cellStyle name="Calculation 2 2 2 2 8" xfId="7854" xr:uid="{00000000-0005-0000-0000-000027170000}"/>
    <cellStyle name="Calculation 2 2 2 2 9" xfId="8163" xr:uid="{00000000-0005-0000-0000-000028170000}"/>
    <cellStyle name="Calculation 2 2 2 3" xfId="6926" xr:uid="{00000000-0005-0000-0000-000029170000}"/>
    <cellStyle name="Calculation 2 2 2 3 2" xfId="7311" xr:uid="{00000000-0005-0000-0000-00002A170000}"/>
    <cellStyle name="Calculation 2 2 2 3 3" xfId="7603" xr:uid="{00000000-0005-0000-0000-00002B170000}"/>
    <cellStyle name="Calculation 2 2 2 3 4" xfId="7756" xr:uid="{00000000-0005-0000-0000-00002C170000}"/>
    <cellStyle name="Calculation 2 2 2 3 5" xfId="7911" xr:uid="{00000000-0005-0000-0000-00002D170000}"/>
    <cellStyle name="Calculation 2 2 2 3 6" xfId="8051" xr:uid="{00000000-0005-0000-0000-00002E170000}"/>
    <cellStyle name="Calculation 2 2 2 3 7" xfId="8191" xr:uid="{00000000-0005-0000-0000-00002F170000}"/>
    <cellStyle name="Calculation 2 2 2 3 8" xfId="8293" xr:uid="{00000000-0005-0000-0000-000030170000}"/>
    <cellStyle name="Calculation 2 2 2 3 9" xfId="8389" xr:uid="{00000000-0005-0000-0000-000031170000}"/>
    <cellStyle name="Calculation 2 2 2 4" xfId="7163" xr:uid="{00000000-0005-0000-0000-000032170000}"/>
    <cellStyle name="Calculation 2 2 2 5" xfId="7459" xr:uid="{00000000-0005-0000-0000-000033170000}"/>
    <cellStyle name="Calculation 2 2 2 6" xfId="7056" xr:uid="{00000000-0005-0000-0000-000034170000}"/>
    <cellStyle name="Calculation 2 2 2 7" xfId="7036" xr:uid="{00000000-0005-0000-0000-000035170000}"/>
    <cellStyle name="Calculation 2 2 2 8" xfId="7575" xr:uid="{00000000-0005-0000-0000-000036170000}"/>
    <cellStyle name="Calculation 2 2 2 9" xfId="7834" xr:uid="{00000000-0005-0000-0000-000037170000}"/>
    <cellStyle name="Calculation 2 2 3" xfId="6776" xr:uid="{00000000-0005-0000-0000-000038170000}"/>
    <cellStyle name="Calculation 2 2 3 10" xfId="7075" xr:uid="{00000000-0005-0000-0000-000039170000}"/>
    <cellStyle name="Calculation 2 2 3 2" xfId="6963" xr:uid="{00000000-0005-0000-0000-00003A170000}"/>
    <cellStyle name="Calculation 2 2 3 2 2" xfId="7348" xr:uid="{00000000-0005-0000-0000-00003B170000}"/>
    <cellStyle name="Calculation 2 2 3 2 3" xfId="7639" xr:uid="{00000000-0005-0000-0000-00003C170000}"/>
    <cellStyle name="Calculation 2 2 3 2 4" xfId="7790" xr:uid="{00000000-0005-0000-0000-00003D170000}"/>
    <cellStyle name="Calculation 2 2 3 2 5" xfId="7946" xr:uid="{00000000-0005-0000-0000-00003E170000}"/>
    <cellStyle name="Calculation 2 2 3 2 6" xfId="8084" xr:uid="{00000000-0005-0000-0000-00003F170000}"/>
    <cellStyle name="Calculation 2 2 3 2 7" xfId="8063" xr:uid="{00000000-0005-0000-0000-000040170000}"/>
    <cellStyle name="Calculation 2 2 3 2 8" xfId="8317" xr:uid="{00000000-0005-0000-0000-000041170000}"/>
    <cellStyle name="Calculation 2 2 3 2 9" xfId="8409" xr:uid="{00000000-0005-0000-0000-000042170000}"/>
    <cellStyle name="Calculation 2 2 3 3" xfId="7200" xr:uid="{00000000-0005-0000-0000-000043170000}"/>
    <cellStyle name="Calculation 2 2 3 4" xfId="7495" xr:uid="{00000000-0005-0000-0000-000044170000}"/>
    <cellStyle name="Calculation 2 2 3 5" xfId="7067" xr:uid="{00000000-0005-0000-0000-000045170000}"/>
    <cellStyle name="Calculation 2 2 3 6" xfId="7553" xr:uid="{00000000-0005-0000-0000-000046170000}"/>
    <cellStyle name="Calculation 2 2 3 7" xfId="7706" xr:uid="{00000000-0005-0000-0000-000047170000}"/>
    <cellStyle name="Calculation 2 2 3 8" xfId="8203" xr:uid="{00000000-0005-0000-0000-000048170000}"/>
    <cellStyle name="Calculation 2 2 3 9" xfId="8148" xr:uid="{00000000-0005-0000-0000-000049170000}"/>
    <cellStyle name="Calculation 2 2 4" xfId="6890" xr:uid="{00000000-0005-0000-0000-00004A170000}"/>
    <cellStyle name="Calculation 2 2 4 2" xfId="7274" xr:uid="{00000000-0005-0000-0000-00004B170000}"/>
    <cellStyle name="Calculation 2 2 4 3" xfId="7568" xr:uid="{00000000-0005-0000-0000-00004C170000}"/>
    <cellStyle name="Calculation 2 2 4 4" xfId="7720" xr:uid="{00000000-0005-0000-0000-00004D170000}"/>
    <cellStyle name="Calculation 2 2 4 5" xfId="7874" xr:uid="{00000000-0005-0000-0000-00004E170000}"/>
    <cellStyle name="Calculation 2 2 4 6" xfId="8020" xr:uid="{00000000-0005-0000-0000-00004F170000}"/>
    <cellStyle name="Calculation 2 2 4 7" xfId="8252" xr:uid="{00000000-0005-0000-0000-000050170000}"/>
    <cellStyle name="Calculation 2 2 4 8" xfId="8268" xr:uid="{00000000-0005-0000-0000-000051170000}"/>
    <cellStyle name="Calculation 2 2 4 9" xfId="8369" xr:uid="{00000000-0005-0000-0000-000052170000}"/>
    <cellStyle name="Calculation 2 2 5" xfId="7120" xr:uid="{00000000-0005-0000-0000-000053170000}"/>
    <cellStyle name="Calculation 2 2 6" xfId="7415" xr:uid="{00000000-0005-0000-0000-000054170000}"/>
    <cellStyle name="Calculation 2 2 7" xfId="7430" xr:uid="{00000000-0005-0000-0000-000055170000}"/>
    <cellStyle name="Calculation 2 2 8" xfId="7444" xr:uid="{00000000-0005-0000-0000-000056170000}"/>
    <cellStyle name="Calculation 2 2 9" xfId="7512" xr:uid="{00000000-0005-0000-0000-000057170000}"/>
    <cellStyle name="Calculation 2 3" xfId="6704" xr:uid="{00000000-0005-0000-0000-000058170000}"/>
    <cellStyle name="Calculation 2 3 10" xfId="7079" xr:uid="{00000000-0005-0000-0000-000059170000}"/>
    <cellStyle name="Calculation 2 3 11" xfId="7115" xr:uid="{00000000-0005-0000-0000-00005A170000}"/>
    <cellStyle name="Calculation 2 3 12" xfId="8235" xr:uid="{00000000-0005-0000-0000-00005B170000}"/>
    <cellStyle name="Calculation 2 3 2" xfId="6749" xr:uid="{00000000-0005-0000-0000-00005C170000}"/>
    <cellStyle name="Calculation 2 3 2 10" xfId="8091" xr:uid="{00000000-0005-0000-0000-00005D170000}"/>
    <cellStyle name="Calculation 2 3 2 11" xfId="8283" xr:uid="{00000000-0005-0000-0000-00005E170000}"/>
    <cellStyle name="Calculation 2 3 2 2" xfId="6797" xr:uid="{00000000-0005-0000-0000-00005F170000}"/>
    <cellStyle name="Calculation 2 3 2 2 10" xfId="7975" xr:uid="{00000000-0005-0000-0000-000060170000}"/>
    <cellStyle name="Calculation 2 3 2 2 2" xfId="7001" xr:uid="{00000000-0005-0000-0000-000061170000}"/>
    <cellStyle name="Calculation 2 3 2 2 2 2" xfId="7386" xr:uid="{00000000-0005-0000-0000-000062170000}"/>
    <cellStyle name="Calculation 2 3 2 2 2 3" xfId="7674" xr:uid="{00000000-0005-0000-0000-000063170000}"/>
    <cellStyle name="Calculation 2 3 2 2 2 4" xfId="7826" xr:uid="{00000000-0005-0000-0000-000064170000}"/>
    <cellStyle name="Calculation 2 3 2 2 2 5" xfId="7978" xr:uid="{00000000-0005-0000-0000-000065170000}"/>
    <cellStyle name="Calculation 2 3 2 2 2 6" xfId="8119" xr:uid="{00000000-0005-0000-0000-000066170000}"/>
    <cellStyle name="Calculation 2 3 2 2 2 7" xfId="7772" xr:uid="{00000000-0005-0000-0000-000067170000}"/>
    <cellStyle name="Calculation 2 3 2 2 2 8" xfId="8343" xr:uid="{00000000-0005-0000-0000-000068170000}"/>
    <cellStyle name="Calculation 2 3 2 2 2 9" xfId="8430" xr:uid="{00000000-0005-0000-0000-000069170000}"/>
    <cellStyle name="Calculation 2 3 2 2 3" xfId="7238" xr:uid="{00000000-0005-0000-0000-00006A170000}"/>
    <cellStyle name="Calculation 2 3 2 2 4" xfId="7533" xr:uid="{00000000-0005-0000-0000-00006B170000}"/>
    <cellStyle name="Calculation 2 3 2 2 5" xfId="7103" xr:uid="{00000000-0005-0000-0000-00006C170000}"/>
    <cellStyle name="Calculation 2 3 2 2 6" xfId="7443" xr:uid="{00000000-0005-0000-0000-00006D170000}"/>
    <cellStyle name="Calculation 2 3 2 2 7" xfId="7655" xr:uid="{00000000-0005-0000-0000-00006E170000}"/>
    <cellStyle name="Calculation 2 3 2 2 8" xfId="8177" xr:uid="{00000000-0005-0000-0000-00006F170000}"/>
    <cellStyle name="Calculation 2 3 2 2 9" xfId="8101" xr:uid="{00000000-0005-0000-0000-000070170000}"/>
    <cellStyle name="Calculation 2 3 2 3" xfId="6927" xr:uid="{00000000-0005-0000-0000-000071170000}"/>
    <cellStyle name="Calculation 2 3 2 3 2" xfId="7312" xr:uid="{00000000-0005-0000-0000-000072170000}"/>
    <cellStyle name="Calculation 2 3 2 3 3" xfId="7604" xr:uid="{00000000-0005-0000-0000-000073170000}"/>
    <cellStyle name="Calculation 2 3 2 3 4" xfId="7757" xr:uid="{00000000-0005-0000-0000-000074170000}"/>
    <cellStyle name="Calculation 2 3 2 3 5" xfId="7912" xr:uid="{00000000-0005-0000-0000-000075170000}"/>
    <cellStyle name="Calculation 2 3 2 3 6" xfId="8052" xr:uid="{00000000-0005-0000-0000-000076170000}"/>
    <cellStyle name="Calculation 2 3 2 3 7" xfId="8243" xr:uid="{00000000-0005-0000-0000-000077170000}"/>
    <cellStyle name="Calculation 2 3 2 3 8" xfId="8294" xr:uid="{00000000-0005-0000-0000-000078170000}"/>
    <cellStyle name="Calculation 2 3 2 3 9" xfId="8390" xr:uid="{00000000-0005-0000-0000-000079170000}"/>
    <cellStyle name="Calculation 2 3 2 4" xfId="7164" xr:uid="{00000000-0005-0000-0000-00007A170000}"/>
    <cellStyle name="Calculation 2 3 2 5" xfId="7460" xr:uid="{00000000-0005-0000-0000-00007B170000}"/>
    <cellStyle name="Calculation 2 3 2 6" xfId="7028" xr:uid="{00000000-0005-0000-0000-00007C170000}"/>
    <cellStyle name="Calculation 2 3 2 7" xfId="7035" xr:uid="{00000000-0005-0000-0000-00007D170000}"/>
    <cellStyle name="Calculation 2 3 2 8" xfId="7645" xr:uid="{00000000-0005-0000-0000-00007E170000}"/>
    <cellStyle name="Calculation 2 3 2 9" xfId="8114" xr:uid="{00000000-0005-0000-0000-00007F170000}"/>
    <cellStyle name="Calculation 2 3 3" xfId="6777" xr:uid="{00000000-0005-0000-0000-000080170000}"/>
    <cellStyle name="Calculation 2 3 3 10" xfId="7457" xr:uid="{00000000-0005-0000-0000-000081170000}"/>
    <cellStyle name="Calculation 2 3 3 2" xfId="6964" xr:uid="{00000000-0005-0000-0000-000082170000}"/>
    <cellStyle name="Calculation 2 3 3 2 2" xfId="7349" xr:uid="{00000000-0005-0000-0000-000083170000}"/>
    <cellStyle name="Calculation 2 3 3 2 3" xfId="7640" xr:uid="{00000000-0005-0000-0000-000084170000}"/>
    <cellStyle name="Calculation 2 3 3 2 4" xfId="7791" xr:uid="{00000000-0005-0000-0000-000085170000}"/>
    <cellStyle name="Calculation 2 3 3 2 5" xfId="7947" xr:uid="{00000000-0005-0000-0000-000086170000}"/>
    <cellStyle name="Calculation 2 3 3 2 6" xfId="8085" xr:uid="{00000000-0005-0000-0000-000087170000}"/>
    <cellStyle name="Calculation 2 3 3 2 7" xfId="7566" xr:uid="{00000000-0005-0000-0000-000088170000}"/>
    <cellStyle name="Calculation 2 3 3 2 8" xfId="8318" xr:uid="{00000000-0005-0000-0000-000089170000}"/>
    <cellStyle name="Calculation 2 3 3 2 9" xfId="8410" xr:uid="{00000000-0005-0000-0000-00008A170000}"/>
    <cellStyle name="Calculation 2 3 3 3" xfId="7201" xr:uid="{00000000-0005-0000-0000-00008B170000}"/>
    <cellStyle name="Calculation 2 3 3 4" xfId="7496" xr:uid="{00000000-0005-0000-0000-00008C170000}"/>
    <cellStyle name="Calculation 2 3 3 5" xfId="7068" xr:uid="{00000000-0005-0000-0000-00008D170000}"/>
    <cellStyle name="Calculation 2 3 3 6" xfId="7694" xr:uid="{00000000-0005-0000-0000-00008E170000}"/>
    <cellStyle name="Calculation 2 3 3 7" xfId="7847" xr:uid="{00000000-0005-0000-0000-00008F170000}"/>
    <cellStyle name="Calculation 2 3 3 8" xfId="7628" xr:uid="{00000000-0005-0000-0000-000090170000}"/>
    <cellStyle name="Calculation 2 3 3 9" xfId="8249" xr:uid="{00000000-0005-0000-0000-000091170000}"/>
    <cellStyle name="Calculation 2 3 4" xfId="6891" xr:uid="{00000000-0005-0000-0000-000092170000}"/>
    <cellStyle name="Calculation 2 3 4 2" xfId="7275" xr:uid="{00000000-0005-0000-0000-000093170000}"/>
    <cellStyle name="Calculation 2 3 4 3" xfId="7569" xr:uid="{00000000-0005-0000-0000-000094170000}"/>
    <cellStyle name="Calculation 2 3 4 4" xfId="7721" xr:uid="{00000000-0005-0000-0000-000095170000}"/>
    <cellStyle name="Calculation 2 3 4 5" xfId="7875" xr:uid="{00000000-0005-0000-0000-000096170000}"/>
    <cellStyle name="Calculation 2 3 4 6" xfId="8021" xr:uid="{00000000-0005-0000-0000-000097170000}"/>
    <cellStyle name="Calculation 2 3 4 7" xfId="8151" xr:uid="{00000000-0005-0000-0000-000098170000}"/>
    <cellStyle name="Calculation 2 3 4 8" xfId="8269" xr:uid="{00000000-0005-0000-0000-000099170000}"/>
    <cellStyle name="Calculation 2 3 4 9" xfId="8370" xr:uid="{00000000-0005-0000-0000-00009A170000}"/>
    <cellStyle name="Calculation 2 3 5" xfId="7121" xr:uid="{00000000-0005-0000-0000-00009B170000}"/>
    <cellStyle name="Calculation 2 3 6" xfId="7416" xr:uid="{00000000-0005-0000-0000-00009C170000}"/>
    <cellStyle name="Calculation 2 3 7" xfId="7042" xr:uid="{00000000-0005-0000-0000-00009D170000}"/>
    <cellStyle name="Calculation 2 3 8" xfId="7516" xr:uid="{00000000-0005-0000-0000-00009E170000}"/>
    <cellStyle name="Calculation 2 3 9" xfId="7086" xr:uid="{00000000-0005-0000-0000-00009F170000}"/>
    <cellStyle name="Calculation 2 4" xfId="6723" xr:uid="{00000000-0005-0000-0000-0000A0170000}"/>
    <cellStyle name="Calculation 2 4 10" xfId="8121" xr:uid="{00000000-0005-0000-0000-0000A1170000}"/>
    <cellStyle name="Calculation 2 4 11" xfId="7833" xr:uid="{00000000-0005-0000-0000-0000A2170000}"/>
    <cellStyle name="Calculation 2 4 12" xfId="8263" xr:uid="{00000000-0005-0000-0000-0000A3170000}"/>
    <cellStyle name="Calculation 2 4 2" xfId="6763" xr:uid="{00000000-0005-0000-0000-0000A4170000}"/>
    <cellStyle name="Calculation 2 4 2 10" xfId="7451" xr:uid="{00000000-0005-0000-0000-0000A5170000}"/>
    <cellStyle name="Calculation 2 4 2 11" xfId="8260" xr:uid="{00000000-0005-0000-0000-0000A6170000}"/>
    <cellStyle name="Calculation 2 4 2 2" xfId="6805" xr:uid="{00000000-0005-0000-0000-0000A7170000}"/>
    <cellStyle name="Calculation 2 4 2 2 10" xfId="8358" xr:uid="{00000000-0005-0000-0000-0000A8170000}"/>
    <cellStyle name="Calculation 2 4 2 2 2" xfId="7015" xr:uid="{00000000-0005-0000-0000-0000A9170000}"/>
    <cellStyle name="Calculation 2 4 2 2 2 2" xfId="7400" xr:uid="{00000000-0005-0000-0000-0000AA170000}"/>
    <cellStyle name="Calculation 2 4 2 2 2 3" xfId="7687" xr:uid="{00000000-0005-0000-0000-0000AB170000}"/>
    <cellStyle name="Calculation 2 4 2 2 2 4" xfId="7840" xr:uid="{00000000-0005-0000-0000-0000AC170000}"/>
    <cellStyle name="Calculation 2 4 2 2 2 5" xfId="7991" xr:uid="{00000000-0005-0000-0000-0000AD170000}"/>
    <cellStyle name="Calculation 2 4 2 2 2 6" xfId="8132" xr:uid="{00000000-0005-0000-0000-0000AE170000}"/>
    <cellStyle name="Calculation 2 4 2 2 2 7" xfId="8009" xr:uid="{00000000-0005-0000-0000-0000AF170000}"/>
    <cellStyle name="Calculation 2 4 2 2 2 8" xfId="8352" xr:uid="{00000000-0005-0000-0000-0000B0170000}"/>
    <cellStyle name="Calculation 2 4 2 2 2 9" xfId="8438" xr:uid="{00000000-0005-0000-0000-0000B1170000}"/>
    <cellStyle name="Calculation 2 4 2 2 3" xfId="7252" xr:uid="{00000000-0005-0000-0000-0000B2170000}"/>
    <cellStyle name="Calculation 2 4 2 2 4" xfId="7547" xr:uid="{00000000-0005-0000-0000-0000B3170000}"/>
    <cellStyle name="Calculation 2 4 2 2 5" xfId="7699" xr:uid="{00000000-0005-0000-0000-0000B4170000}"/>
    <cellStyle name="Calculation 2 4 2 2 6" xfId="7852" xr:uid="{00000000-0005-0000-0000-0000B5170000}"/>
    <cellStyle name="Calculation 2 4 2 2 7" xfId="8002" xr:uid="{00000000-0005-0000-0000-0000B6170000}"/>
    <cellStyle name="Calculation 2 4 2 2 8" xfId="7932" xr:uid="{00000000-0005-0000-0000-0000B7170000}"/>
    <cellStyle name="Calculation 2 4 2 2 9" xfId="8254" xr:uid="{00000000-0005-0000-0000-0000B8170000}"/>
    <cellStyle name="Calculation 2 4 2 3" xfId="6941" xr:uid="{00000000-0005-0000-0000-0000B9170000}"/>
    <cellStyle name="Calculation 2 4 2 3 2" xfId="7326" xr:uid="{00000000-0005-0000-0000-0000BA170000}"/>
    <cellStyle name="Calculation 2 4 2 3 3" xfId="7617" xr:uid="{00000000-0005-0000-0000-0000BB170000}"/>
    <cellStyle name="Calculation 2 4 2 3 4" xfId="7770" xr:uid="{00000000-0005-0000-0000-0000BC170000}"/>
    <cellStyle name="Calculation 2 4 2 3 5" xfId="7925" xr:uid="{00000000-0005-0000-0000-0000BD170000}"/>
    <cellStyle name="Calculation 2 4 2 3 6" xfId="8064" xr:uid="{00000000-0005-0000-0000-0000BE170000}"/>
    <cellStyle name="Calculation 2 4 2 3 7" xfId="7039" xr:uid="{00000000-0005-0000-0000-0000BF170000}"/>
    <cellStyle name="Calculation 2 4 2 3 8" xfId="8304" xr:uid="{00000000-0005-0000-0000-0000C0170000}"/>
    <cellStyle name="Calculation 2 4 2 3 9" xfId="8398" xr:uid="{00000000-0005-0000-0000-0000C1170000}"/>
    <cellStyle name="Calculation 2 4 2 4" xfId="7178" xr:uid="{00000000-0005-0000-0000-0000C2170000}"/>
    <cellStyle name="Calculation 2 4 2 5" xfId="7473" xr:uid="{00000000-0005-0000-0000-0000C3170000}"/>
    <cellStyle name="Calculation 2 4 2 6" xfId="7697" xr:uid="{00000000-0005-0000-0000-0000C4170000}"/>
    <cellStyle name="Calculation 2 4 2 7" xfId="7850" xr:uid="{00000000-0005-0000-0000-0000C5170000}"/>
    <cellStyle name="Calculation 2 4 2 8" xfId="8000" xr:uid="{00000000-0005-0000-0000-0000C6170000}"/>
    <cellStyle name="Calculation 2 4 2 9" xfId="8246" xr:uid="{00000000-0005-0000-0000-0000C7170000}"/>
    <cellStyle name="Calculation 2 4 3" xfId="6785" xr:uid="{00000000-0005-0000-0000-0000C8170000}"/>
    <cellStyle name="Calculation 2 4 3 10" xfId="7529" xr:uid="{00000000-0005-0000-0000-0000C9170000}"/>
    <cellStyle name="Calculation 2 4 3 2" xfId="6978" xr:uid="{00000000-0005-0000-0000-0000CA170000}"/>
    <cellStyle name="Calculation 2 4 3 2 2" xfId="7363" xr:uid="{00000000-0005-0000-0000-0000CB170000}"/>
    <cellStyle name="Calculation 2 4 3 2 3" xfId="7653" xr:uid="{00000000-0005-0000-0000-0000CC170000}"/>
    <cellStyle name="Calculation 2 4 3 2 4" xfId="7804" xr:uid="{00000000-0005-0000-0000-0000CD170000}"/>
    <cellStyle name="Calculation 2 4 3 2 5" xfId="7959" xr:uid="{00000000-0005-0000-0000-0000CE170000}"/>
    <cellStyle name="Calculation 2 4 3 2 6" xfId="8099" xr:uid="{00000000-0005-0000-0000-0000CF170000}"/>
    <cellStyle name="Calculation 2 4 3 2 7" xfId="8222" xr:uid="{00000000-0005-0000-0000-0000D0170000}"/>
    <cellStyle name="Calculation 2 4 3 2 8" xfId="8328" xr:uid="{00000000-0005-0000-0000-0000D1170000}"/>
    <cellStyle name="Calculation 2 4 3 2 9" xfId="8418" xr:uid="{00000000-0005-0000-0000-0000D2170000}"/>
    <cellStyle name="Calculation 2 4 3 3" xfId="7215" xr:uid="{00000000-0005-0000-0000-0000D3170000}"/>
    <cellStyle name="Calculation 2 4 3 4" xfId="7510" xr:uid="{00000000-0005-0000-0000-0000D4170000}"/>
    <cellStyle name="Calculation 2 4 3 5" xfId="7080" xr:uid="{00000000-0005-0000-0000-0000D5170000}"/>
    <cellStyle name="Calculation 2 4 3 6" xfId="7034" xr:uid="{00000000-0005-0000-0000-0000D6170000}"/>
    <cellStyle name="Calculation 2 4 3 7" xfId="7502" xr:uid="{00000000-0005-0000-0000-0000D7170000}"/>
    <cellStyle name="Calculation 2 4 3 8" xfId="8217" xr:uid="{00000000-0005-0000-0000-0000D8170000}"/>
    <cellStyle name="Calculation 2 4 3 9" xfId="7462" xr:uid="{00000000-0005-0000-0000-0000D9170000}"/>
    <cellStyle name="Calculation 2 4 4" xfId="6904" xr:uid="{00000000-0005-0000-0000-0000DA170000}"/>
    <cellStyle name="Calculation 2 4 4 2" xfId="7289" xr:uid="{00000000-0005-0000-0000-0000DB170000}"/>
    <cellStyle name="Calculation 2 4 4 3" xfId="7582" xr:uid="{00000000-0005-0000-0000-0000DC170000}"/>
    <cellStyle name="Calculation 2 4 4 4" xfId="7735" xr:uid="{00000000-0005-0000-0000-0000DD170000}"/>
    <cellStyle name="Calculation 2 4 4 5" xfId="7889" xr:uid="{00000000-0005-0000-0000-0000DE170000}"/>
    <cellStyle name="Calculation 2 4 4 6" xfId="8032" xr:uid="{00000000-0005-0000-0000-0000DF170000}"/>
    <cellStyle name="Calculation 2 4 4 7" xfId="7780" xr:uid="{00000000-0005-0000-0000-0000E0170000}"/>
    <cellStyle name="Calculation 2 4 4 8" xfId="8278" xr:uid="{00000000-0005-0000-0000-0000E1170000}"/>
    <cellStyle name="Calculation 2 4 4 9" xfId="8378" xr:uid="{00000000-0005-0000-0000-0000E2170000}"/>
    <cellStyle name="Calculation 2 4 5" xfId="7139" xr:uid="{00000000-0005-0000-0000-0000E3170000}"/>
    <cellStyle name="Calculation 2 4 6" xfId="7435" xr:uid="{00000000-0005-0000-0000-0000E4170000}"/>
    <cellStyle name="Calculation 2 4 7" xfId="7053" xr:uid="{00000000-0005-0000-0000-0000E5170000}"/>
    <cellStyle name="Calculation 2 4 8" xfId="7038" xr:uid="{00000000-0005-0000-0000-0000E6170000}"/>
    <cellStyle name="Calculation 2 4 9" xfId="7479" xr:uid="{00000000-0005-0000-0000-0000E7170000}"/>
    <cellStyle name="Calculation 2 5" xfId="6738" xr:uid="{00000000-0005-0000-0000-0000E8170000}"/>
    <cellStyle name="Calculation 2 5 10" xfId="8226" xr:uid="{00000000-0005-0000-0000-0000E9170000}"/>
    <cellStyle name="Calculation 2 5 11" xfId="8271" xr:uid="{00000000-0005-0000-0000-0000EA170000}"/>
    <cellStyle name="Calculation 2 5 2" xfId="6790" xr:uid="{00000000-0005-0000-0000-0000EB170000}"/>
    <cellStyle name="Calculation 2 5 2 10" xfId="8234" xr:uid="{00000000-0005-0000-0000-0000EC170000}"/>
    <cellStyle name="Calculation 2 5 2 2" xfId="6990" xr:uid="{00000000-0005-0000-0000-0000ED170000}"/>
    <cellStyle name="Calculation 2 5 2 2 2" xfId="7375" xr:uid="{00000000-0005-0000-0000-0000EE170000}"/>
    <cellStyle name="Calculation 2 5 2 2 3" xfId="7663" xr:uid="{00000000-0005-0000-0000-0000EF170000}"/>
    <cellStyle name="Calculation 2 5 2 2 4" xfId="7815" xr:uid="{00000000-0005-0000-0000-0000F0170000}"/>
    <cellStyle name="Calculation 2 5 2 2 5" xfId="7968" xr:uid="{00000000-0005-0000-0000-0000F1170000}"/>
    <cellStyle name="Calculation 2 5 2 2 6" xfId="8109" xr:uid="{00000000-0005-0000-0000-0000F2170000}"/>
    <cellStyle name="Calculation 2 5 2 2 7" xfId="7806" xr:uid="{00000000-0005-0000-0000-0000F3170000}"/>
    <cellStyle name="Calculation 2 5 2 2 8" xfId="8335" xr:uid="{00000000-0005-0000-0000-0000F4170000}"/>
    <cellStyle name="Calculation 2 5 2 2 9" xfId="8423" xr:uid="{00000000-0005-0000-0000-0000F5170000}"/>
    <cellStyle name="Calculation 2 5 2 3" xfId="7227" xr:uid="{00000000-0005-0000-0000-0000F6170000}"/>
    <cellStyle name="Calculation 2 5 2 4" xfId="7522" xr:uid="{00000000-0005-0000-0000-0000F7170000}"/>
    <cellStyle name="Calculation 2 5 2 5" xfId="7091" xr:uid="{00000000-0005-0000-0000-0000F8170000}"/>
    <cellStyle name="Calculation 2 5 2 6" xfId="7031" xr:uid="{00000000-0005-0000-0000-0000F9170000}"/>
    <cellStyle name="Calculation 2 5 2 7" xfId="7539" xr:uid="{00000000-0005-0000-0000-0000FA170000}"/>
    <cellStyle name="Calculation 2 5 2 8" xfId="7999" xr:uid="{00000000-0005-0000-0000-0000FB170000}"/>
    <cellStyle name="Calculation 2 5 2 9" xfId="7812" xr:uid="{00000000-0005-0000-0000-0000FC170000}"/>
    <cellStyle name="Calculation 2 5 3" xfId="6916" xr:uid="{00000000-0005-0000-0000-0000FD170000}"/>
    <cellStyle name="Calculation 2 5 3 2" xfId="7301" xr:uid="{00000000-0005-0000-0000-0000FE170000}"/>
    <cellStyle name="Calculation 2 5 3 3" xfId="7593" xr:uid="{00000000-0005-0000-0000-0000FF170000}"/>
    <cellStyle name="Calculation 2 5 3 4" xfId="7746" xr:uid="{00000000-0005-0000-0000-000000180000}"/>
    <cellStyle name="Calculation 2 5 3 5" xfId="7901" xr:uid="{00000000-0005-0000-0000-000001180000}"/>
    <cellStyle name="Calculation 2 5 3 6" xfId="8043" xr:uid="{00000000-0005-0000-0000-000002180000}"/>
    <cellStyle name="Calculation 2 5 3 7" xfId="8153" xr:uid="{00000000-0005-0000-0000-000003180000}"/>
    <cellStyle name="Calculation 2 5 3 8" xfId="8285" xr:uid="{00000000-0005-0000-0000-000004180000}"/>
    <cellStyle name="Calculation 2 5 3 9" xfId="8383" xr:uid="{00000000-0005-0000-0000-000005180000}"/>
    <cellStyle name="Calculation 2 5 4" xfId="7153" xr:uid="{00000000-0005-0000-0000-000006180000}"/>
    <cellStyle name="Calculation 2 5 5" xfId="7449" xr:uid="{00000000-0005-0000-0000-000007180000}"/>
    <cellStyle name="Calculation 2 5 6" xfId="7437" xr:uid="{00000000-0005-0000-0000-000008180000}"/>
    <cellStyle name="Calculation 2 5 7" xfId="7631" xr:uid="{00000000-0005-0000-0000-000009180000}"/>
    <cellStyle name="Calculation 2 5 8" xfId="7783" xr:uid="{00000000-0005-0000-0000-00000A180000}"/>
    <cellStyle name="Calculation 2 5 9" xfId="8107" xr:uid="{00000000-0005-0000-0000-00000B180000}"/>
    <cellStyle name="Calculation 2 6" xfId="6688" xr:uid="{00000000-0005-0000-0000-00000C180000}"/>
    <cellStyle name="Calculation 2 6 10" xfId="8082" xr:uid="{00000000-0005-0000-0000-00000D180000}"/>
    <cellStyle name="Calculation 2 6 11" xfId="6845" xr:uid="{00000000-0005-0000-0000-00000E180000}"/>
    <cellStyle name="Calculation 2 6 2" xfId="6953" xr:uid="{00000000-0005-0000-0000-00000F180000}"/>
    <cellStyle name="Calculation 2 6 2 2" xfId="7338" xr:uid="{00000000-0005-0000-0000-000010180000}"/>
    <cellStyle name="Calculation 2 6 2 3" xfId="7629" xr:uid="{00000000-0005-0000-0000-000011180000}"/>
    <cellStyle name="Calculation 2 6 2 4" xfId="7781" xr:uid="{00000000-0005-0000-0000-000012180000}"/>
    <cellStyle name="Calculation 2 6 2 5" xfId="7937" xr:uid="{00000000-0005-0000-0000-000013180000}"/>
    <cellStyle name="Calculation 2 6 2 6" xfId="8075" xr:uid="{00000000-0005-0000-0000-000014180000}"/>
    <cellStyle name="Calculation 2 6 2 7" xfId="8049" xr:uid="{00000000-0005-0000-0000-000015180000}"/>
    <cellStyle name="Calculation 2 6 2 8" xfId="8310" xr:uid="{00000000-0005-0000-0000-000016180000}"/>
    <cellStyle name="Calculation 2 6 2 9" xfId="8403" xr:uid="{00000000-0005-0000-0000-000017180000}"/>
    <cellStyle name="Calculation 2 6 3" xfId="7190" xr:uid="{00000000-0005-0000-0000-000018180000}"/>
    <cellStyle name="Calculation 2 6 4" xfId="7485" xr:uid="{00000000-0005-0000-0000-000019180000}"/>
    <cellStyle name="Calculation 2 6 5" xfId="7557" xr:uid="{00000000-0005-0000-0000-00001A180000}"/>
    <cellStyle name="Calculation 2 6 6" xfId="7710" xr:uid="{00000000-0005-0000-0000-00001B180000}"/>
    <cellStyle name="Calculation 2 6 7" xfId="7863" xr:uid="{00000000-0005-0000-0000-00001C180000}"/>
    <cellStyle name="Calculation 2 6 8" xfId="8161" xr:uid="{00000000-0005-0000-0000-00001D180000}"/>
    <cellStyle name="Calculation 2 6 9" xfId="7888" xr:uid="{00000000-0005-0000-0000-00001E180000}"/>
    <cellStyle name="Calculation 2 7" xfId="6692" xr:uid="{00000000-0005-0000-0000-00001F180000}"/>
    <cellStyle name="Calculation 2 7 2" xfId="7264" xr:uid="{00000000-0005-0000-0000-000020180000}"/>
    <cellStyle name="Calculation 2 7 3" xfId="7558" xr:uid="{00000000-0005-0000-0000-000021180000}"/>
    <cellStyle name="Calculation 2 7 4" xfId="7711" xr:uid="{00000000-0005-0000-0000-000022180000}"/>
    <cellStyle name="Calculation 2 7 5" xfId="7864" xr:uid="{00000000-0005-0000-0000-000023180000}"/>
    <cellStyle name="Calculation 2 7 6" xfId="8011" xr:uid="{00000000-0005-0000-0000-000024180000}"/>
    <cellStyle name="Calculation 2 7 7" xfId="8196" xr:uid="{00000000-0005-0000-0000-000025180000}"/>
    <cellStyle name="Calculation 2 7 8" xfId="8261" xr:uid="{00000000-0005-0000-0000-000026180000}"/>
    <cellStyle name="Calculation 2 7 9" xfId="8363" xr:uid="{00000000-0005-0000-0000-000027180000}"/>
    <cellStyle name="Calculation 2 8" xfId="7055" xr:uid="{00000000-0005-0000-0000-000028180000}"/>
    <cellStyle name="Calculation 2 9" xfId="7090" xr:uid="{00000000-0005-0000-0000-000029180000}"/>
    <cellStyle name="Calculation 3" xfId="449" xr:uid="{00000000-0005-0000-0000-00002A180000}"/>
    <cellStyle name="Check Cell 2" xfId="27" xr:uid="{00000000-0005-0000-0000-00002B180000}"/>
    <cellStyle name="Check Cell 3" xfId="450" xr:uid="{00000000-0005-0000-0000-00002C180000}"/>
    <cellStyle name="Comma [0] 2" xfId="28" xr:uid="{00000000-0005-0000-0000-00002E180000}"/>
    <cellStyle name="Comma [0] 2 2" xfId="451" xr:uid="{00000000-0005-0000-0000-00002F180000}"/>
    <cellStyle name="Comma [0] 2 2 3" xfId="8449" xr:uid="{00000000-0005-0000-0000-000030180000}"/>
    <cellStyle name="Comma [0] 2 3" xfId="452" xr:uid="{00000000-0005-0000-0000-000031180000}"/>
    <cellStyle name="Comma [0] 2 4" xfId="8444" xr:uid="{00000000-0005-0000-0000-000032180000}"/>
    <cellStyle name="Comma [0] 3" xfId="29" xr:uid="{00000000-0005-0000-0000-000033180000}"/>
    <cellStyle name="Comma [0] 3 2" xfId="6689" xr:uid="{00000000-0005-0000-0000-000034180000}"/>
    <cellStyle name="Comma [0] 4" xfId="92" xr:uid="{00000000-0005-0000-0000-000035180000}"/>
    <cellStyle name="Comma [0] 4 2" xfId="3515" xr:uid="{00000000-0005-0000-0000-000036180000}"/>
    <cellStyle name="Comma 10" xfId="30" xr:uid="{00000000-0005-0000-0000-000037180000}"/>
    <cellStyle name="Comma 11" xfId="31" xr:uid="{00000000-0005-0000-0000-000038180000}"/>
    <cellStyle name="Comma 12" xfId="453" xr:uid="{00000000-0005-0000-0000-000039180000}"/>
    <cellStyle name="Comma 13" xfId="454" xr:uid="{00000000-0005-0000-0000-00003A180000}"/>
    <cellStyle name="Comma 14" xfId="8447" xr:uid="{00000000-0005-0000-0000-00003B180000}"/>
    <cellStyle name="Comma 15" xfId="6810" xr:uid="{00000000-0005-0000-0000-00003C180000}"/>
    <cellStyle name="Comma 2" xfId="32" xr:uid="{00000000-0005-0000-0000-00003D180000}"/>
    <cellStyle name="Comma 2 3" xfId="33" xr:uid="{00000000-0005-0000-0000-00003E180000}"/>
    <cellStyle name="Comma 3" xfId="34" xr:uid="{00000000-0005-0000-0000-00003F180000}"/>
    <cellStyle name="Comma 33" xfId="8448" xr:uid="{00000000-0005-0000-0000-000040180000}"/>
    <cellStyle name="Comma 4" xfId="35" xr:uid="{00000000-0005-0000-0000-000041180000}"/>
    <cellStyle name="Comma 5" xfId="36" xr:uid="{00000000-0005-0000-0000-000042180000}"/>
    <cellStyle name="Comma 6" xfId="37" xr:uid="{00000000-0005-0000-0000-000043180000}"/>
    <cellStyle name="Comma 7" xfId="38" xr:uid="{00000000-0005-0000-0000-000044180000}"/>
    <cellStyle name="Comma 73 2" xfId="8445" xr:uid="{00000000-0005-0000-0000-000045180000}"/>
    <cellStyle name="Comma 8" xfId="39" xr:uid="{00000000-0005-0000-0000-000046180000}"/>
    <cellStyle name="Comma 9" xfId="40" xr:uid="{00000000-0005-0000-0000-000047180000}"/>
    <cellStyle name="Currency [0] 2" xfId="95" xr:uid="{00000000-0005-0000-0000-000048180000}"/>
    <cellStyle name="Explanatory Text 2" xfId="41" xr:uid="{00000000-0005-0000-0000-000049180000}"/>
    <cellStyle name="Explanatory Text 3" xfId="455" xr:uid="{00000000-0005-0000-0000-00004A180000}"/>
    <cellStyle name="Good 2" xfId="42" xr:uid="{00000000-0005-0000-0000-00004B180000}"/>
    <cellStyle name="Good 3" xfId="456" xr:uid="{00000000-0005-0000-0000-00004C180000}"/>
    <cellStyle name="Heading 1 2" xfId="43" xr:uid="{00000000-0005-0000-0000-00004D180000}"/>
    <cellStyle name="Heading 1 3" xfId="457" xr:uid="{00000000-0005-0000-0000-00004E180000}"/>
    <cellStyle name="Heading 2 2" xfId="44" xr:uid="{00000000-0005-0000-0000-00004F180000}"/>
    <cellStyle name="Heading 2 3" xfId="458" xr:uid="{00000000-0005-0000-0000-000050180000}"/>
    <cellStyle name="Heading 3 2" xfId="45" xr:uid="{00000000-0005-0000-0000-000051180000}"/>
    <cellStyle name="Heading 3 3" xfId="459" xr:uid="{00000000-0005-0000-0000-000052180000}"/>
    <cellStyle name="Heading 4 2" xfId="46" xr:uid="{00000000-0005-0000-0000-000053180000}"/>
    <cellStyle name="Heading 4 3" xfId="460" xr:uid="{00000000-0005-0000-0000-000054180000}"/>
    <cellStyle name="Hyperlink 2" xfId="461" xr:uid="{00000000-0005-0000-0000-000055180000}"/>
    <cellStyle name="Input 2" xfId="47" xr:uid="{00000000-0005-0000-0000-000056180000}"/>
    <cellStyle name="Input 2 10" xfId="7659" xr:uid="{00000000-0005-0000-0000-000057180000}"/>
    <cellStyle name="Input 2 11" xfId="7810" xr:uid="{00000000-0005-0000-0000-000058180000}"/>
    <cellStyle name="Input 2 12" xfId="7965" xr:uid="{00000000-0005-0000-0000-000059180000}"/>
    <cellStyle name="Input 2 13" xfId="8227" xr:uid="{00000000-0005-0000-0000-00005A180000}"/>
    <cellStyle name="Input 2 14" xfId="8160" xr:uid="{00000000-0005-0000-0000-00005B180000}"/>
    <cellStyle name="Input 2 15" xfId="8221" xr:uid="{00000000-0005-0000-0000-00005C180000}"/>
    <cellStyle name="Input 2 2" xfId="6705" xr:uid="{00000000-0005-0000-0000-00005D180000}"/>
    <cellStyle name="Input 2 2 10" xfId="7974" xr:uid="{00000000-0005-0000-0000-00005E180000}"/>
    <cellStyle name="Input 2 2 11" xfId="8156" xr:uid="{00000000-0005-0000-0000-00005F180000}"/>
    <cellStyle name="Input 2 2 12" xfId="7060" xr:uid="{00000000-0005-0000-0000-000060180000}"/>
    <cellStyle name="Input 2 2 2" xfId="6750" xr:uid="{00000000-0005-0000-0000-000061180000}"/>
    <cellStyle name="Input 2 2 2 10" xfId="8139" xr:uid="{00000000-0005-0000-0000-000062180000}"/>
    <cellStyle name="Input 2 2 2 11" xfId="8333" xr:uid="{00000000-0005-0000-0000-000063180000}"/>
    <cellStyle name="Input 2 2 2 2" xfId="6798" xr:uid="{00000000-0005-0000-0000-000064180000}"/>
    <cellStyle name="Input 2 2 2 2 10" xfId="8174" xr:uid="{00000000-0005-0000-0000-000065180000}"/>
    <cellStyle name="Input 2 2 2 2 2" xfId="7002" xr:uid="{00000000-0005-0000-0000-000066180000}"/>
    <cellStyle name="Input 2 2 2 2 2 2" xfId="7387" xr:uid="{00000000-0005-0000-0000-000067180000}"/>
    <cellStyle name="Input 2 2 2 2 2 3" xfId="7675" xr:uid="{00000000-0005-0000-0000-000068180000}"/>
    <cellStyle name="Input 2 2 2 2 2 4" xfId="7827" xr:uid="{00000000-0005-0000-0000-000069180000}"/>
    <cellStyle name="Input 2 2 2 2 2 5" xfId="7979" xr:uid="{00000000-0005-0000-0000-00006A180000}"/>
    <cellStyle name="Input 2 2 2 2 2 6" xfId="8120" xr:uid="{00000000-0005-0000-0000-00006B180000}"/>
    <cellStyle name="Input 2 2 2 2 2 7" xfId="7660" xr:uid="{00000000-0005-0000-0000-00006C180000}"/>
    <cellStyle name="Input 2 2 2 2 2 8" xfId="8344" xr:uid="{00000000-0005-0000-0000-00006D180000}"/>
    <cellStyle name="Input 2 2 2 2 2 9" xfId="8431" xr:uid="{00000000-0005-0000-0000-00006E180000}"/>
    <cellStyle name="Input 2 2 2 2 3" xfId="7239" xr:uid="{00000000-0005-0000-0000-00006F180000}"/>
    <cellStyle name="Input 2 2 2 2 4" xfId="7534" xr:uid="{00000000-0005-0000-0000-000070180000}"/>
    <cellStyle name="Input 2 2 2 2 5" xfId="7134" xr:uid="{00000000-0005-0000-0000-000071180000}"/>
    <cellStyle name="Input 2 2 2 2 6" xfId="7482" xr:uid="{00000000-0005-0000-0000-000072180000}"/>
    <cellStyle name="Input 2 2 2 2 7" xfId="7521" xr:uid="{00000000-0005-0000-0000-000073180000}"/>
    <cellStyle name="Input 2 2 2 2 8" xfId="8232" xr:uid="{00000000-0005-0000-0000-000074180000}"/>
    <cellStyle name="Input 2 2 2 2 9" xfId="7680" xr:uid="{00000000-0005-0000-0000-000075180000}"/>
    <cellStyle name="Input 2 2 2 3" xfId="6928" xr:uid="{00000000-0005-0000-0000-000076180000}"/>
    <cellStyle name="Input 2 2 2 3 2" xfId="7313" xr:uid="{00000000-0005-0000-0000-000077180000}"/>
    <cellStyle name="Input 2 2 2 3 3" xfId="7605" xr:uid="{00000000-0005-0000-0000-000078180000}"/>
    <cellStyle name="Input 2 2 2 3 4" xfId="7758" xr:uid="{00000000-0005-0000-0000-000079180000}"/>
    <cellStyle name="Input 2 2 2 3 5" xfId="7913" xr:uid="{00000000-0005-0000-0000-00007A180000}"/>
    <cellStyle name="Input 2 2 2 3 6" xfId="8053" xr:uid="{00000000-0005-0000-0000-00007B180000}"/>
    <cellStyle name="Input 2 2 2 3 7" xfId="8144" xr:uid="{00000000-0005-0000-0000-00007C180000}"/>
    <cellStyle name="Input 2 2 2 3 8" xfId="8295" xr:uid="{00000000-0005-0000-0000-00007D180000}"/>
    <cellStyle name="Input 2 2 2 3 9" xfId="8391" xr:uid="{00000000-0005-0000-0000-00007E180000}"/>
    <cellStyle name="Input 2 2 2 4" xfId="7165" xr:uid="{00000000-0005-0000-0000-00007F180000}"/>
    <cellStyle name="Input 2 2 2 5" xfId="7461" xr:uid="{00000000-0005-0000-0000-000080180000}"/>
    <cellStyle name="Input 2 2 2 6" xfId="7590" xr:uid="{00000000-0005-0000-0000-000081180000}"/>
    <cellStyle name="Input 2 2 2 7" xfId="7743" xr:uid="{00000000-0005-0000-0000-000082180000}"/>
    <cellStyle name="Input 2 2 2 8" xfId="7897" xr:uid="{00000000-0005-0000-0000-000083180000}"/>
    <cellStyle name="Input 2 2 2 9" xfId="7627" xr:uid="{00000000-0005-0000-0000-000084180000}"/>
    <cellStyle name="Input 2 2 3" xfId="6778" xr:uid="{00000000-0005-0000-0000-000085180000}"/>
    <cellStyle name="Input 2 2 3 10" xfId="7996" xr:uid="{00000000-0005-0000-0000-000086180000}"/>
    <cellStyle name="Input 2 2 3 2" xfId="6965" xr:uid="{00000000-0005-0000-0000-000087180000}"/>
    <cellStyle name="Input 2 2 3 2 2" xfId="7350" xr:uid="{00000000-0005-0000-0000-000088180000}"/>
    <cellStyle name="Input 2 2 3 2 3" xfId="7641" xr:uid="{00000000-0005-0000-0000-000089180000}"/>
    <cellStyle name="Input 2 2 3 2 4" xfId="7792" xr:uid="{00000000-0005-0000-0000-00008A180000}"/>
    <cellStyle name="Input 2 2 3 2 5" xfId="7948" xr:uid="{00000000-0005-0000-0000-00008B180000}"/>
    <cellStyle name="Input 2 2 3 2 6" xfId="8086" xr:uid="{00000000-0005-0000-0000-00008C180000}"/>
    <cellStyle name="Input 2 2 3 2 7" xfId="8098" xr:uid="{00000000-0005-0000-0000-00008D180000}"/>
    <cellStyle name="Input 2 2 3 2 8" xfId="8319" xr:uid="{00000000-0005-0000-0000-00008E180000}"/>
    <cellStyle name="Input 2 2 3 2 9" xfId="8411" xr:uid="{00000000-0005-0000-0000-00008F180000}"/>
    <cellStyle name="Input 2 2 3 3" xfId="7202" xr:uid="{00000000-0005-0000-0000-000090180000}"/>
    <cellStyle name="Input 2 2 3 4" xfId="7497" xr:uid="{00000000-0005-0000-0000-000091180000}"/>
    <cellStyle name="Input 2 2 3 5" xfId="7117" xr:uid="{00000000-0005-0000-0000-000092180000}"/>
    <cellStyle name="Input 2 2 3 6" xfId="7434" xr:uid="{00000000-0005-0000-0000-000093180000}"/>
    <cellStyle name="Input 2 2 3 7" xfId="7052" xr:uid="{00000000-0005-0000-0000-000094180000}"/>
    <cellStyle name="Input 2 2 3 8" xfId="8178" xr:uid="{00000000-0005-0000-0000-000095180000}"/>
    <cellStyle name="Input 2 2 3 9" xfId="7705" xr:uid="{00000000-0005-0000-0000-000096180000}"/>
    <cellStyle name="Input 2 2 4" xfId="6892" xr:uid="{00000000-0005-0000-0000-000097180000}"/>
    <cellStyle name="Input 2 2 4 2" xfId="7276" xr:uid="{00000000-0005-0000-0000-000098180000}"/>
    <cellStyle name="Input 2 2 4 3" xfId="7570" xr:uid="{00000000-0005-0000-0000-000099180000}"/>
    <cellStyle name="Input 2 2 4 4" xfId="7722" xr:uid="{00000000-0005-0000-0000-00009A180000}"/>
    <cellStyle name="Input 2 2 4 5" xfId="7876" xr:uid="{00000000-0005-0000-0000-00009B180000}"/>
    <cellStyle name="Input 2 2 4 6" xfId="8022" xr:uid="{00000000-0005-0000-0000-00009C180000}"/>
    <cellStyle name="Input 2 2 4 7" xfId="8074" xr:uid="{00000000-0005-0000-0000-00009D180000}"/>
    <cellStyle name="Input 2 2 4 8" xfId="8270" xr:uid="{00000000-0005-0000-0000-00009E180000}"/>
    <cellStyle name="Input 2 2 4 9" xfId="8371" xr:uid="{00000000-0005-0000-0000-00009F180000}"/>
    <cellStyle name="Input 2 2 5" xfId="7122" xr:uid="{00000000-0005-0000-0000-0000A0180000}"/>
    <cellStyle name="Input 2 2 6" xfId="7417" xr:uid="{00000000-0005-0000-0000-0000A1180000}"/>
    <cellStyle name="Input 2 2 7" xfId="7429" xr:uid="{00000000-0005-0000-0000-0000A2180000}"/>
    <cellStyle name="Input 2 2 8" xfId="7047" xr:uid="{00000000-0005-0000-0000-0000A3180000}"/>
    <cellStyle name="Input 2 2 9" xfId="7669" xr:uid="{00000000-0005-0000-0000-0000A4180000}"/>
    <cellStyle name="Input 2 3" xfId="6702" xr:uid="{00000000-0005-0000-0000-0000A5180000}"/>
    <cellStyle name="Input 2 3 10" xfId="8070" xr:uid="{00000000-0005-0000-0000-0000A6180000}"/>
    <cellStyle name="Input 2 3 11" xfId="8195" xr:uid="{00000000-0005-0000-0000-0000A7180000}"/>
    <cellStyle name="Input 2 3 12" xfId="8219" xr:uid="{00000000-0005-0000-0000-0000A8180000}"/>
    <cellStyle name="Input 2 3 2" xfId="6747" xr:uid="{00000000-0005-0000-0000-0000A9180000}"/>
    <cellStyle name="Input 2 3 2 10" xfId="7030" xr:uid="{00000000-0005-0000-0000-0000AA180000}"/>
    <cellStyle name="Input 2 3 2 11" xfId="8162" xr:uid="{00000000-0005-0000-0000-0000AB180000}"/>
    <cellStyle name="Input 2 3 2 2" xfId="6795" xr:uid="{00000000-0005-0000-0000-0000AC180000}"/>
    <cellStyle name="Input 2 3 2 2 10" xfId="7832" xr:uid="{00000000-0005-0000-0000-0000AD180000}"/>
    <cellStyle name="Input 2 3 2 2 2" xfId="6999" xr:uid="{00000000-0005-0000-0000-0000AE180000}"/>
    <cellStyle name="Input 2 3 2 2 2 2" xfId="7384" xr:uid="{00000000-0005-0000-0000-0000AF180000}"/>
    <cellStyle name="Input 2 3 2 2 2 3" xfId="7672" xr:uid="{00000000-0005-0000-0000-0000B0180000}"/>
    <cellStyle name="Input 2 3 2 2 2 4" xfId="7824" xr:uid="{00000000-0005-0000-0000-0000B1180000}"/>
    <cellStyle name="Input 2 3 2 2 2 5" xfId="7976" xr:uid="{00000000-0005-0000-0000-0000B2180000}"/>
    <cellStyle name="Input 2 3 2 2 2 6" xfId="8117" xr:uid="{00000000-0005-0000-0000-0000B3180000}"/>
    <cellStyle name="Input 2 3 2 2 2 7" xfId="7727" xr:uid="{00000000-0005-0000-0000-0000B4180000}"/>
    <cellStyle name="Input 2 3 2 2 2 8" xfId="8341" xr:uid="{00000000-0005-0000-0000-0000B5180000}"/>
    <cellStyle name="Input 2 3 2 2 2 9" xfId="8428" xr:uid="{00000000-0005-0000-0000-0000B6180000}"/>
    <cellStyle name="Input 2 3 2 2 3" xfId="7236" xr:uid="{00000000-0005-0000-0000-0000B7180000}"/>
    <cellStyle name="Input 2 3 2 2 4" xfId="7531" xr:uid="{00000000-0005-0000-0000-0000B8180000}"/>
    <cellStyle name="Input 2 3 2 2 5" xfId="7101" xr:uid="{00000000-0005-0000-0000-0000B9180000}"/>
    <cellStyle name="Input 2 3 2 2 6" xfId="7647" xr:uid="{00000000-0005-0000-0000-0000BA180000}"/>
    <cellStyle name="Input 2 3 2 2 7" xfId="7799" xr:uid="{00000000-0005-0000-0000-0000BB180000}"/>
    <cellStyle name="Input 2 3 2 2 8" xfId="8202" xr:uid="{00000000-0005-0000-0000-0000BC180000}"/>
    <cellStyle name="Input 2 3 2 2 9" xfId="8216" xr:uid="{00000000-0005-0000-0000-0000BD180000}"/>
    <cellStyle name="Input 2 3 2 3" xfId="6925" xr:uid="{00000000-0005-0000-0000-0000BE180000}"/>
    <cellStyle name="Input 2 3 2 3 2" xfId="7310" xr:uid="{00000000-0005-0000-0000-0000BF180000}"/>
    <cellStyle name="Input 2 3 2 3 3" xfId="7602" xr:uid="{00000000-0005-0000-0000-0000C0180000}"/>
    <cellStyle name="Input 2 3 2 3 4" xfId="7755" xr:uid="{00000000-0005-0000-0000-0000C1180000}"/>
    <cellStyle name="Input 2 3 2 3 5" xfId="7910" xr:uid="{00000000-0005-0000-0000-0000C2180000}"/>
    <cellStyle name="Input 2 3 2 3 6" xfId="8050" xr:uid="{00000000-0005-0000-0000-0000C3180000}"/>
    <cellStyle name="Input 2 3 2 3 7" xfId="7599" xr:uid="{00000000-0005-0000-0000-0000C4180000}"/>
    <cellStyle name="Input 2 3 2 3 8" xfId="8292" xr:uid="{00000000-0005-0000-0000-0000C5180000}"/>
    <cellStyle name="Input 2 3 2 3 9" xfId="8388" xr:uid="{00000000-0005-0000-0000-0000C6180000}"/>
    <cellStyle name="Input 2 3 2 4" xfId="7162" xr:uid="{00000000-0005-0000-0000-0000C7180000}"/>
    <cellStyle name="Input 2 3 2 5" xfId="7458" xr:uid="{00000000-0005-0000-0000-0000C8180000}"/>
    <cellStyle name="Input 2 3 2 6" xfId="7054" xr:uid="{00000000-0005-0000-0000-0000C9180000}"/>
    <cellStyle name="Input 2 3 2 7" xfId="7037" xr:uid="{00000000-0005-0000-0000-0000CA180000}"/>
    <cellStyle name="Input 2 3 2 8" xfId="7441" xr:uid="{00000000-0005-0000-0000-0000CB180000}"/>
    <cellStyle name="Input 2 3 2 9" xfId="7718" xr:uid="{00000000-0005-0000-0000-0000CC180000}"/>
    <cellStyle name="Input 2 3 3" xfId="6775" xr:uid="{00000000-0005-0000-0000-0000CD180000}"/>
    <cellStyle name="Input 2 3 3 10" xfId="7881" xr:uid="{00000000-0005-0000-0000-0000CE180000}"/>
    <cellStyle name="Input 2 3 3 2" xfId="6962" xr:uid="{00000000-0005-0000-0000-0000CF180000}"/>
    <cellStyle name="Input 2 3 3 2 2" xfId="7347" xr:uid="{00000000-0005-0000-0000-0000D0180000}"/>
    <cellStyle name="Input 2 3 3 2 3" xfId="7638" xr:uid="{00000000-0005-0000-0000-0000D1180000}"/>
    <cellStyle name="Input 2 3 3 2 4" xfId="7789" xr:uid="{00000000-0005-0000-0000-0000D2180000}"/>
    <cellStyle name="Input 2 3 3 2 5" xfId="7945" xr:uid="{00000000-0005-0000-0000-0000D3180000}"/>
    <cellStyle name="Input 2 3 3 2 6" xfId="8083" xr:uid="{00000000-0005-0000-0000-0000D4180000}"/>
    <cellStyle name="Input 2 3 3 2 7" xfId="8131" xr:uid="{00000000-0005-0000-0000-0000D5180000}"/>
    <cellStyle name="Input 2 3 3 2 8" xfId="8316" xr:uid="{00000000-0005-0000-0000-0000D6180000}"/>
    <cellStyle name="Input 2 3 3 2 9" xfId="8408" xr:uid="{00000000-0005-0000-0000-0000D7180000}"/>
    <cellStyle name="Input 2 3 3 3" xfId="7199" xr:uid="{00000000-0005-0000-0000-0000D8180000}"/>
    <cellStyle name="Input 2 3 3 4" xfId="7494" xr:uid="{00000000-0005-0000-0000-0000D9180000}"/>
    <cellStyle name="Input 2 3 3 5" xfId="7066" xr:uid="{00000000-0005-0000-0000-0000DA180000}"/>
    <cellStyle name="Input 2 3 3 6" xfId="7480" xr:uid="{00000000-0005-0000-0000-0000DB180000}"/>
    <cellStyle name="Input 2 3 3 7" xfId="7592" xr:uid="{00000000-0005-0000-0000-0000DC180000}"/>
    <cellStyle name="Input 2 3 3 8" xfId="8154" xr:uid="{00000000-0005-0000-0000-0000DD180000}"/>
    <cellStyle name="Input 2 3 3 9" xfId="8042" xr:uid="{00000000-0005-0000-0000-0000DE180000}"/>
    <cellStyle name="Input 2 3 4" xfId="6889" xr:uid="{00000000-0005-0000-0000-0000DF180000}"/>
    <cellStyle name="Input 2 3 4 2" xfId="7273" xr:uid="{00000000-0005-0000-0000-0000E0180000}"/>
    <cellStyle name="Input 2 3 4 3" xfId="7567" xr:uid="{00000000-0005-0000-0000-0000E1180000}"/>
    <cellStyle name="Input 2 3 4 4" xfId="7719" xr:uid="{00000000-0005-0000-0000-0000E2180000}"/>
    <cellStyle name="Input 2 3 4 5" xfId="7873" xr:uid="{00000000-0005-0000-0000-0000E3180000}"/>
    <cellStyle name="Input 2 3 4 6" xfId="8019" xr:uid="{00000000-0005-0000-0000-0000E4180000}"/>
    <cellStyle name="Input 2 3 4 7" xfId="8198" xr:uid="{00000000-0005-0000-0000-0000E5180000}"/>
    <cellStyle name="Input 2 3 4 8" xfId="8267" xr:uid="{00000000-0005-0000-0000-0000E6180000}"/>
    <cellStyle name="Input 2 3 4 9" xfId="8368" xr:uid="{00000000-0005-0000-0000-0000E7180000}"/>
    <cellStyle name="Input 2 3 5" xfId="7119" xr:uid="{00000000-0005-0000-0000-0000E8180000}"/>
    <cellStyle name="Input 2 3 6" xfId="7414" xr:uid="{00000000-0005-0000-0000-0000E9180000}"/>
    <cellStyle name="Input 2 3 7" xfId="7041" xr:uid="{00000000-0005-0000-0000-0000EA180000}"/>
    <cellStyle name="Input 2 3 8" xfId="7623" xr:uid="{00000000-0005-0000-0000-0000EB180000}"/>
    <cellStyle name="Input 2 3 9" xfId="7776" xr:uid="{00000000-0005-0000-0000-0000EC180000}"/>
    <cellStyle name="Input 2 4" xfId="6724" xr:uid="{00000000-0005-0000-0000-0000ED180000}"/>
    <cellStyle name="Input 2 4 10" xfId="8171" xr:uid="{00000000-0005-0000-0000-0000EE180000}"/>
    <cellStyle name="Input 2 4 11" xfId="8149" xr:uid="{00000000-0005-0000-0000-0000EF180000}"/>
    <cellStyle name="Input 2 4 12" xfId="8312" xr:uid="{00000000-0005-0000-0000-0000F0180000}"/>
    <cellStyle name="Input 2 4 2" xfId="6764" xr:uid="{00000000-0005-0000-0000-0000F1180000}"/>
    <cellStyle name="Input 2 4 2 10" xfId="8228" xr:uid="{00000000-0005-0000-0000-0000F2180000}"/>
    <cellStyle name="Input 2 4 2 11" xfId="8115" xr:uid="{00000000-0005-0000-0000-0000F3180000}"/>
    <cellStyle name="Input 2 4 2 2" xfId="6806" xr:uid="{00000000-0005-0000-0000-0000F4180000}"/>
    <cellStyle name="Input 2 4 2 2 10" xfId="8359" xr:uid="{00000000-0005-0000-0000-0000F5180000}"/>
    <cellStyle name="Input 2 4 2 2 2" xfId="7016" xr:uid="{00000000-0005-0000-0000-0000F6180000}"/>
    <cellStyle name="Input 2 4 2 2 2 2" xfId="7401" xr:uid="{00000000-0005-0000-0000-0000F7180000}"/>
    <cellStyle name="Input 2 4 2 2 2 3" xfId="7688" xr:uid="{00000000-0005-0000-0000-0000F8180000}"/>
    <cellStyle name="Input 2 4 2 2 2 4" xfId="7841" xr:uid="{00000000-0005-0000-0000-0000F9180000}"/>
    <cellStyle name="Input 2 4 2 2 2 5" xfId="7992" xr:uid="{00000000-0005-0000-0000-0000FA180000}"/>
    <cellStyle name="Input 2 4 2 2 2 6" xfId="8133" xr:uid="{00000000-0005-0000-0000-0000FB180000}"/>
    <cellStyle name="Input 2 4 2 2 2 7" xfId="8140" xr:uid="{00000000-0005-0000-0000-0000FC180000}"/>
    <cellStyle name="Input 2 4 2 2 2 8" xfId="8353" xr:uid="{00000000-0005-0000-0000-0000FD180000}"/>
    <cellStyle name="Input 2 4 2 2 2 9" xfId="8439" xr:uid="{00000000-0005-0000-0000-0000FE180000}"/>
    <cellStyle name="Input 2 4 2 2 3" xfId="7253" xr:uid="{00000000-0005-0000-0000-0000FF180000}"/>
    <cellStyle name="Input 2 4 2 2 4" xfId="7548" xr:uid="{00000000-0005-0000-0000-000000190000}"/>
    <cellStyle name="Input 2 4 2 2 5" xfId="7700" xr:uid="{00000000-0005-0000-0000-000001190000}"/>
    <cellStyle name="Input 2 4 2 2 6" xfId="7853" xr:uid="{00000000-0005-0000-0000-000002190000}"/>
    <cellStyle name="Input 2 4 2 2 7" xfId="8003" xr:uid="{00000000-0005-0000-0000-000003190000}"/>
    <cellStyle name="Input 2 4 2 2 8" xfId="8185" xr:uid="{00000000-0005-0000-0000-000004190000}"/>
    <cellStyle name="Input 2 4 2 2 9" xfId="8255" xr:uid="{00000000-0005-0000-0000-000005190000}"/>
    <cellStyle name="Input 2 4 2 3" xfId="6942" xr:uid="{00000000-0005-0000-0000-000006190000}"/>
    <cellStyle name="Input 2 4 2 3 2" xfId="7327" xr:uid="{00000000-0005-0000-0000-000007190000}"/>
    <cellStyle name="Input 2 4 2 3 3" xfId="7618" xr:uid="{00000000-0005-0000-0000-000008190000}"/>
    <cellStyle name="Input 2 4 2 3 4" xfId="7771" xr:uid="{00000000-0005-0000-0000-000009190000}"/>
    <cellStyle name="Input 2 4 2 3 5" xfId="7926" xr:uid="{00000000-0005-0000-0000-00000A190000}"/>
    <cellStyle name="Input 2 4 2 3 6" xfId="8065" xr:uid="{00000000-0005-0000-0000-00000B190000}"/>
    <cellStyle name="Input 2 4 2 3 7" xfId="8184" xr:uid="{00000000-0005-0000-0000-00000C190000}"/>
    <cellStyle name="Input 2 4 2 3 8" xfId="8305" xr:uid="{00000000-0005-0000-0000-00000D190000}"/>
    <cellStyle name="Input 2 4 2 3 9" xfId="8399" xr:uid="{00000000-0005-0000-0000-00000E190000}"/>
    <cellStyle name="Input 2 4 2 4" xfId="7179" xr:uid="{00000000-0005-0000-0000-00000F190000}"/>
    <cellStyle name="Input 2 4 2 5" xfId="7474" xr:uid="{00000000-0005-0000-0000-000010190000}"/>
    <cellStyle name="Input 2 4 2 6" xfId="7556" xr:uid="{00000000-0005-0000-0000-000011190000}"/>
    <cellStyle name="Input 2 4 2 7" xfId="7709" xr:uid="{00000000-0005-0000-0000-000012190000}"/>
    <cellStyle name="Input 2 4 2 8" xfId="7862" xr:uid="{00000000-0005-0000-0000-000013190000}"/>
    <cellStyle name="Input 2 4 2 9" xfId="8147" xr:uid="{00000000-0005-0000-0000-000014190000}"/>
    <cellStyle name="Input 2 4 3" xfId="6786" xr:uid="{00000000-0005-0000-0000-000015190000}"/>
    <cellStyle name="Input 2 4 3 10" xfId="8193" xr:uid="{00000000-0005-0000-0000-000016190000}"/>
    <cellStyle name="Input 2 4 3 2" xfId="6979" xr:uid="{00000000-0005-0000-0000-000017190000}"/>
    <cellStyle name="Input 2 4 3 2 2" xfId="7364" xr:uid="{00000000-0005-0000-0000-000018190000}"/>
    <cellStyle name="Input 2 4 3 2 3" xfId="7654" xr:uid="{00000000-0005-0000-0000-000019190000}"/>
    <cellStyle name="Input 2 4 3 2 4" xfId="7805" xr:uid="{00000000-0005-0000-0000-00001A190000}"/>
    <cellStyle name="Input 2 4 3 2 5" xfId="7960" xr:uid="{00000000-0005-0000-0000-00001B190000}"/>
    <cellStyle name="Input 2 4 3 2 6" xfId="8100" xr:uid="{00000000-0005-0000-0000-00001C190000}"/>
    <cellStyle name="Input 2 4 3 2 7" xfId="7073" xr:uid="{00000000-0005-0000-0000-00001D190000}"/>
    <cellStyle name="Input 2 4 3 2 8" xfId="8329" xr:uid="{00000000-0005-0000-0000-00001E190000}"/>
    <cellStyle name="Input 2 4 3 2 9" xfId="8419" xr:uid="{00000000-0005-0000-0000-00001F190000}"/>
    <cellStyle name="Input 2 4 3 3" xfId="7216" xr:uid="{00000000-0005-0000-0000-000020190000}"/>
    <cellStyle name="Input 2 4 3 4" xfId="7511" xr:uid="{00000000-0005-0000-0000-000021190000}"/>
    <cellStyle name="Input 2 4 3 5" xfId="7081" xr:uid="{00000000-0005-0000-0000-000022190000}"/>
    <cellStyle name="Input 2 4 3 6" xfId="7431" xr:uid="{00000000-0005-0000-0000-000023190000}"/>
    <cellStyle name="Input 2 4 3 7" xfId="7048" xr:uid="{00000000-0005-0000-0000-000024190000}"/>
    <cellStyle name="Input 2 4 3 8" xfId="7908" xr:uid="{00000000-0005-0000-0000-000025190000}"/>
    <cellStyle name="Input 2 4 3 9" xfId="7907" xr:uid="{00000000-0005-0000-0000-000026190000}"/>
    <cellStyle name="Input 2 4 4" xfId="6905" xr:uid="{00000000-0005-0000-0000-000027190000}"/>
    <cellStyle name="Input 2 4 4 2" xfId="7290" xr:uid="{00000000-0005-0000-0000-000028190000}"/>
    <cellStyle name="Input 2 4 4 3" xfId="7583" xr:uid="{00000000-0005-0000-0000-000029190000}"/>
    <cellStyle name="Input 2 4 4 4" xfId="7736" xr:uid="{00000000-0005-0000-0000-00002A190000}"/>
    <cellStyle name="Input 2 4 4 5" xfId="7890" xr:uid="{00000000-0005-0000-0000-00002B190000}"/>
    <cellStyle name="Input 2 4 4 6" xfId="8033" xr:uid="{00000000-0005-0000-0000-00002C190000}"/>
    <cellStyle name="Input 2 4 4 7" xfId="8058" xr:uid="{00000000-0005-0000-0000-00002D190000}"/>
    <cellStyle name="Input 2 4 4 8" xfId="8279" xr:uid="{00000000-0005-0000-0000-00002E190000}"/>
    <cellStyle name="Input 2 4 4 9" xfId="8379" xr:uid="{00000000-0005-0000-0000-00002F190000}"/>
    <cellStyle name="Input 2 4 5" xfId="7140" xr:uid="{00000000-0005-0000-0000-000030190000}"/>
    <cellStyle name="Input 2 4 6" xfId="7436" xr:uid="{00000000-0005-0000-0000-000031190000}"/>
    <cellStyle name="Input 2 4 7" xfId="7560" xr:uid="{00000000-0005-0000-0000-000032190000}"/>
    <cellStyle name="Input 2 4 8" xfId="7713" xr:uid="{00000000-0005-0000-0000-000033190000}"/>
    <cellStyle name="Input 2 4 9" xfId="7866" xr:uid="{00000000-0005-0000-0000-000034190000}"/>
    <cellStyle name="Input 2 5" xfId="6739" xr:uid="{00000000-0005-0000-0000-000035190000}"/>
    <cellStyle name="Input 2 5 10" xfId="7814" xr:uid="{00000000-0005-0000-0000-000036190000}"/>
    <cellStyle name="Input 2 5 11" xfId="8320" xr:uid="{00000000-0005-0000-0000-000037190000}"/>
    <cellStyle name="Input 2 5 2" xfId="6791" xr:uid="{00000000-0005-0000-0000-000038190000}"/>
    <cellStyle name="Input 2 5 2 10" xfId="8008" xr:uid="{00000000-0005-0000-0000-000039190000}"/>
    <cellStyle name="Input 2 5 2 2" xfId="6991" xr:uid="{00000000-0005-0000-0000-00003A190000}"/>
    <cellStyle name="Input 2 5 2 2 2" xfId="7376" xr:uid="{00000000-0005-0000-0000-00003B190000}"/>
    <cellStyle name="Input 2 5 2 2 3" xfId="7664" xr:uid="{00000000-0005-0000-0000-00003C190000}"/>
    <cellStyle name="Input 2 5 2 2 4" xfId="7816" xr:uid="{00000000-0005-0000-0000-00003D190000}"/>
    <cellStyle name="Input 2 5 2 2 5" xfId="7969" xr:uid="{00000000-0005-0000-0000-00003E190000}"/>
    <cellStyle name="Input 2 5 2 2 6" xfId="8110" xr:uid="{00000000-0005-0000-0000-00003F190000}"/>
    <cellStyle name="Input 2 5 2 2 7" xfId="7797" xr:uid="{00000000-0005-0000-0000-000040190000}"/>
    <cellStyle name="Input 2 5 2 2 8" xfId="8336" xr:uid="{00000000-0005-0000-0000-000041190000}"/>
    <cellStyle name="Input 2 5 2 2 9" xfId="8424" xr:uid="{00000000-0005-0000-0000-000042190000}"/>
    <cellStyle name="Input 2 5 2 3" xfId="7228" xr:uid="{00000000-0005-0000-0000-000043190000}"/>
    <cellStyle name="Input 2 5 2 4" xfId="7523" xr:uid="{00000000-0005-0000-0000-000044190000}"/>
    <cellStyle name="Input 2 5 2 5" xfId="7092" xr:uid="{00000000-0005-0000-0000-000045190000}"/>
    <cellStyle name="Input 2 5 2 6" xfId="7433" xr:uid="{00000000-0005-0000-0000-000046190000}"/>
    <cellStyle name="Input 2 5 2 7" xfId="7051" xr:uid="{00000000-0005-0000-0000-000047190000}"/>
    <cellStyle name="Input 2 5 2 8" xfId="7734" xr:uid="{00000000-0005-0000-0000-000048190000}"/>
    <cellStyle name="Input 2 5 2 9" xfId="7870" xr:uid="{00000000-0005-0000-0000-000049190000}"/>
    <cellStyle name="Input 2 5 3" xfId="6917" xr:uid="{00000000-0005-0000-0000-00004A190000}"/>
    <cellStyle name="Input 2 5 3 2" xfId="7302" xr:uid="{00000000-0005-0000-0000-00004B190000}"/>
    <cellStyle name="Input 2 5 3 3" xfId="7594" xr:uid="{00000000-0005-0000-0000-00004C190000}"/>
    <cellStyle name="Input 2 5 3 4" xfId="7747" xr:uid="{00000000-0005-0000-0000-00004D190000}"/>
    <cellStyle name="Input 2 5 3 5" xfId="7902" xr:uid="{00000000-0005-0000-0000-00004E190000}"/>
    <cellStyle name="Input 2 5 3 6" xfId="8044" xr:uid="{00000000-0005-0000-0000-00004F190000}"/>
    <cellStyle name="Input 2 5 3 7" xfId="8201" xr:uid="{00000000-0005-0000-0000-000050190000}"/>
    <cellStyle name="Input 2 5 3 8" xfId="8286" xr:uid="{00000000-0005-0000-0000-000051190000}"/>
    <cellStyle name="Input 2 5 3 9" xfId="8384" xr:uid="{00000000-0005-0000-0000-000052190000}"/>
    <cellStyle name="Input 2 5 4" xfId="7154" xr:uid="{00000000-0005-0000-0000-000053190000}"/>
    <cellStyle name="Input 2 5 5" xfId="7450" xr:uid="{00000000-0005-0000-0000-000054190000}"/>
    <cellStyle name="Input 2 5 6" xfId="7571" xr:uid="{00000000-0005-0000-0000-000055190000}"/>
    <cellStyle name="Input 2 5 7" xfId="7723" xr:uid="{00000000-0005-0000-0000-000056190000}"/>
    <cellStyle name="Input 2 5 8" xfId="7877" xr:uid="{00000000-0005-0000-0000-000057190000}"/>
    <cellStyle name="Input 2 5 9" xfId="7895" xr:uid="{00000000-0005-0000-0000-000058190000}"/>
    <cellStyle name="Input 2 6" xfId="6691" xr:uid="{00000000-0005-0000-0000-000059190000}"/>
    <cellStyle name="Input 2 6 10" xfId="8237" xr:uid="{00000000-0005-0000-0000-00005A190000}"/>
    <cellStyle name="Input 2 6 11" xfId="6846" xr:uid="{00000000-0005-0000-0000-00005B190000}"/>
    <cellStyle name="Input 2 6 2" xfId="6954" xr:uid="{00000000-0005-0000-0000-00005C190000}"/>
    <cellStyle name="Input 2 6 2 2" xfId="7339" xr:uid="{00000000-0005-0000-0000-00005D190000}"/>
    <cellStyle name="Input 2 6 2 3" xfId="7630" xr:uid="{00000000-0005-0000-0000-00005E190000}"/>
    <cellStyle name="Input 2 6 2 4" xfId="7782" xr:uid="{00000000-0005-0000-0000-00005F190000}"/>
    <cellStyle name="Input 2 6 2 5" xfId="7938" xr:uid="{00000000-0005-0000-0000-000060190000}"/>
    <cellStyle name="Input 2 6 2 6" xfId="8076" xr:uid="{00000000-0005-0000-0000-000061190000}"/>
    <cellStyle name="Input 2 6 2 7" xfId="7728" xr:uid="{00000000-0005-0000-0000-000062190000}"/>
    <cellStyle name="Input 2 6 2 8" xfId="8311" xr:uid="{00000000-0005-0000-0000-000063190000}"/>
    <cellStyle name="Input 2 6 2 9" xfId="8404" xr:uid="{00000000-0005-0000-0000-000064190000}"/>
    <cellStyle name="Input 2 6 3" xfId="7191" xr:uid="{00000000-0005-0000-0000-000065190000}"/>
    <cellStyle name="Input 2 6 4" xfId="7486" xr:uid="{00000000-0005-0000-0000-000066190000}"/>
    <cellStyle name="Input 2 6 5" xfId="7484" xr:uid="{00000000-0005-0000-0000-000067190000}"/>
    <cellStyle name="Input 2 6 6" xfId="7698" xr:uid="{00000000-0005-0000-0000-000068190000}"/>
    <cellStyle name="Input 2 6 7" xfId="7851" xr:uid="{00000000-0005-0000-0000-000069190000}"/>
    <cellStyle name="Input 2 6 8" xfId="8212" xr:uid="{00000000-0005-0000-0000-00006A190000}"/>
    <cellStyle name="Input 2 6 9" xfId="7535" xr:uid="{00000000-0005-0000-0000-00006B190000}"/>
    <cellStyle name="Input 2 7" xfId="6690" xr:uid="{00000000-0005-0000-0000-00006C190000}"/>
    <cellStyle name="Input 2 7 2" xfId="7265" xr:uid="{00000000-0005-0000-0000-00006D190000}"/>
    <cellStyle name="Input 2 7 3" xfId="7559" xr:uid="{00000000-0005-0000-0000-00006E190000}"/>
    <cellStyle name="Input 2 7 4" xfId="7712" xr:uid="{00000000-0005-0000-0000-00006F190000}"/>
    <cellStyle name="Input 2 7 5" xfId="7865" xr:uid="{00000000-0005-0000-0000-000070190000}"/>
    <cellStyle name="Input 2 7 6" xfId="8012" xr:uid="{00000000-0005-0000-0000-000071190000}"/>
    <cellStyle name="Input 2 7 7" xfId="8250" xr:uid="{00000000-0005-0000-0000-000072190000}"/>
    <cellStyle name="Input 2 7 8" xfId="8262" xr:uid="{00000000-0005-0000-0000-000073190000}"/>
    <cellStyle name="Input 2 7 9" xfId="8364" xr:uid="{00000000-0005-0000-0000-000074190000}"/>
    <cellStyle name="Input 2 8" xfId="7076" xr:uid="{00000000-0005-0000-0000-000075190000}"/>
    <cellStyle name="Input 2 9" xfId="7071" xr:uid="{00000000-0005-0000-0000-000076190000}"/>
    <cellStyle name="Input 3" xfId="462" xr:uid="{00000000-0005-0000-0000-000077190000}"/>
    <cellStyle name="Linked Cell 2" xfId="48" xr:uid="{00000000-0005-0000-0000-000078190000}"/>
    <cellStyle name="Linked Cell 3" xfId="463" xr:uid="{00000000-0005-0000-0000-000079190000}"/>
    <cellStyle name="Neutral 2" xfId="49" xr:uid="{00000000-0005-0000-0000-00007A190000}"/>
    <cellStyle name="Neutral 3" xfId="464" xr:uid="{00000000-0005-0000-0000-00007B190000}"/>
    <cellStyle name="Normal - Style1" xfId="50" xr:uid="{00000000-0005-0000-0000-00007D190000}"/>
    <cellStyle name="Normal 10" xfId="51" xr:uid="{00000000-0005-0000-0000-00007E190000}"/>
    <cellStyle name="Normal 11" xfId="52" xr:uid="{00000000-0005-0000-0000-00007F190000}"/>
    <cellStyle name="Normal 12" xfId="53" xr:uid="{00000000-0005-0000-0000-000080190000}"/>
    <cellStyle name="Normal 13" xfId="54" xr:uid="{00000000-0005-0000-0000-000081190000}"/>
    <cellStyle name="Normal 14" xfId="55" xr:uid="{00000000-0005-0000-0000-000082190000}"/>
    <cellStyle name="Normal 15" xfId="465" xr:uid="{00000000-0005-0000-0000-000083190000}"/>
    <cellStyle name="Normal 16" xfId="466" xr:uid="{00000000-0005-0000-0000-000084190000}"/>
    <cellStyle name="Normal 17" xfId="8443" xr:uid="{00000000-0005-0000-0000-000085190000}"/>
    <cellStyle name="Normal 18" xfId="8446" xr:uid="{00000000-0005-0000-0000-000086190000}"/>
    <cellStyle name="Normal 2" xfId="56" xr:uid="{00000000-0005-0000-0000-000087190000}"/>
    <cellStyle name="Normal 2 10" xfId="57" xr:uid="{00000000-0005-0000-0000-000088190000}"/>
    <cellStyle name="Normal 2 2" xfId="467" xr:uid="{00000000-0005-0000-0000-000089190000}"/>
    <cellStyle name="Normal 2 2 2" xfId="468" xr:uid="{00000000-0005-0000-0000-00008A190000}"/>
    <cellStyle name="Normal 2 2 3" xfId="6737" xr:uid="{00000000-0005-0000-0000-00008B190000}"/>
    <cellStyle name="Normal 2 3" xfId="469" xr:uid="{00000000-0005-0000-0000-00008C190000}"/>
    <cellStyle name="Normal 2 3 2" xfId="6774" xr:uid="{00000000-0005-0000-0000-00008D190000}"/>
    <cellStyle name="Normal 2 3 2 2" xfId="6884" xr:uid="{00000000-0005-0000-0000-00008E190000}"/>
    <cellStyle name="Normal 2 3 2 2 2" xfId="7026" xr:uid="{00000000-0005-0000-0000-00008F190000}"/>
    <cellStyle name="Normal 2 3 2 2 2 2" xfId="7411" xr:uid="{00000000-0005-0000-0000-000090190000}"/>
    <cellStyle name="Normal 2 3 2 2 3" xfId="7263" xr:uid="{00000000-0005-0000-0000-000091190000}"/>
    <cellStyle name="Normal 2 3 2 3" xfId="6952" xr:uid="{00000000-0005-0000-0000-000092190000}"/>
    <cellStyle name="Normal 2 3 2 3 2" xfId="7337" xr:uid="{00000000-0005-0000-0000-000093190000}"/>
    <cellStyle name="Normal 2 3 2 4" xfId="7189" xr:uid="{00000000-0005-0000-0000-000094190000}"/>
    <cellStyle name="Normal 2 3 2 5" xfId="6844" xr:uid="{00000000-0005-0000-0000-000095190000}"/>
    <cellStyle name="Normal 2 3 3" xfId="6736" xr:uid="{00000000-0005-0000-0000-000096190000}"/>
    <cellStyle name="Normal 2 3 3 2" xfId="6989" xr:uid="{00000000-0005-0000-0000-000097190000}"/>
    <cellStyle name="Normal 2 3 3 2 2" xfId="7374" xr:uid="{00000000-0005-0000-0000-000098190000}"/>
    <cellStyle name="Normal 2 3 3 3" xfId="7226" xr:uid="{00000000-0005-0000-0000-000099190000}"/>
    <cellStyle name="Normal 2 3 3 4" xfId="6867" xr:uid="{00000000-0005-0000-0000-00009A190000}"/>
    <cellStyle name="Normal 2 3 4" xfId="6915" xr:uid="{00000000-0005-0000-0000-00009B190000}"/>
    <cellStyle name="Normal 2 3 4 2" xfId="7300" xr:uid="{00000000-0005-0000-0000-00009C190000}"/>
    <cellStyle name="Normal 2 3 5" xfId="7151" xr:uid="{00000000-0005-0000-0000-00009D190000}"/>
    <cellStyle name="Normal 2 3 6" xfId="6827" xr:uid="{00000000-0005-0000-0000-00009E190000}"/>
    <cellStyle name="Normal 2 4" xfId="6693" xr:uid="{00000000-0005-0000-0000-00009F190000}"/>
    <cellStyle name="Normal 3" xfId="58" xr:uid="{00000000-0005-0000-0000-0000A0190000}"/>
    <cellStyle name="Normal 3 2" xfId="470" xr:uid="{00000000-0005-0000-0000-0000A1190000}"/>
    <cellStyle name="Normal 3 2 2" xfId="59" xr:uid="{00000000-0005-0000-0000-0000A2190000}"/>
    <cellStyle name="Normal 3 2 2 2" xfId="60" xr:uid="{00000000-0005-0000-0000-0000A3190000}"/>
    <cellStyle name="Normal 3 2 3" xfId="6773" xr:uid="{00000000-0005-0000-0000-0000A4190000}"/>
    <cellStyle name="Normal 3 2 3 2" xfId="6883" xr:uid="{00000000-0005-0000-0000-0000A5190000}"/>
    <cellStyle name="Normal 3 2 3 2 2" xfId="7025" xr:uid="{00000000-0005-0000-0000-0000A6190000}"/>
    <cellStyle name="Normal 3 2 3 2 2 2" xfId="7410" xr:uid="{00000000-0005-0000-0000-0000A7190000}"/>
    <cellStyle name="Normal 3 2 3 2 3" xfId="7262" xr:uid="{00000000-0005-0000-0000-0000A8190000}"/>
    <cellStyle name="Normal 3 2 3 3" xfId="6951" xr:uid="{00000000-0005-0000-0000-0000A9190000}"/>
    <cellStyle name="Normal 3 2 3 3 2" xfId="7336" xr:uid="{00000000-0005-0000-0000-0000AA190000}"/>
    <cellStyle name="Normal 3 2 3 4" xfId="7188" xr:uid="{00000000-0005-0000-0000-0000AB190000}"/>
    <cellStyle name="Normal 3 2 3 5" xfId="6843" xr:uid="{00000000-0005-0000-0000-0000AC190000}"/>
    <cellStyle name="Normal 3 2 4" xfId="6735" xr:uid="{00000000-0005-0000-0000-0000AD190000}"/>
    <cellStyle name="Normal 3 2 4 2" xfId="6988" xr:uid="{00000000-0005-0000-0000-0000AE190000}"/>
    <cellStyle name="Normal 3 2 4 2 2" xfId="7373" xr:uid="{00000000-0005-0000-0000-0000AF190000}"/>
    <cellStyle name="Normal 3 2 4 3" xfId="7225" xr:uid="{00000000-0005-0000-0000-0000B0190000}"/>
    <cellStyle name="Normal 3 2 4 4" xfId="6866" xr:uid="{00000000-0005-0000-0000-0000B1190000}"/>
    <cellStyle name="Normal 3 2 5" xfId="6914" xr:uid="{00000000-0005-0000-0000-0000B2190000}"/>
    <cellStyle name="Normal 3 2 5 2" xfId="7299" xr:uid="{00000000-0005-0000-0000-0000B3190000}"/>
    <cellStyle name="Normal 3 2 6" xfId="7150" xr:uid="{00000000-0005-0000-0000-0000B4190000}"/>
    <cellStyle name="Normal 3 2 7" xfId="6826" xr:uid="{00000000-0005-0000-0000-0000B5190000}"/>
    <cellStyle name="Normal 4" xfId="61" xr:uid="{00000000-0005-0000-0000-0000B6190000}"/>
    <cellStyle name="Normal 4 2" xfId="6731" xr:uid="{00000000-0005-0000-0000-0000B7190000}"/>
    <cellStyle name="Normal 4 2 2" xfId="6771" xr:uid="{00000000-0005-0000-0000-0000B8190000}"/>
    <cellStyle name="Normal 4 2 2 2" xfId="6881" xr:uid="{00000000-0005-0000-0000-0000B9190000}"/>
    <cellStyle name="Normal 4 2 2 2 2" xfId="7023" xr:uid="{00000000-0005-0000-0000-0000BA190000}"/>
    <cellStyle name="Normal 4 2 2 2 2 2" xfId="7408" xr:uid="{00000000-0005-0000-0000-0000BB190000}"/>
    <cellStyle name="Normal 4 2 2 2 3" xfId="7260" xr:uid="{00000000-0005-0000-0000-0000BC190000}"/>
    <cellStyle name="Normal 4 2 2 3" xfId="6949" xr:uid="{00000000-0005-0000-0000-0000BD190000}"/>
    <cellStyle name="Normal 4 2 2 3 2" xfId="7334" xr:uid="{00000000-0005-0000-0000-0000BE190000}"/>
    <cellStyle name="Normal 4 2 2 4" xfId="7186" xr:uid="{00000000-0005-0000-0000-0000BF190000}"/>
    <cellStyle name="Normal 4 2 2 5" xfId="6841" xr:uid="{00000000-0005-0000-0000-0000C0190000}"/>
    <cellStyle name="Normal 4 2 3" xfId="6864" xr:uid="{00000000-0005-0000-0000-0000C1190000}"/>
    <cellStyle name="Normal 4 2 3 2" xfId="6986" xr:uid="{00000000-0005-0000-0000-0000C2190000}"/>
    <cellStyle name="Normal 4 2 3 2 2" xfId="7371" xr:uid="{00000000-0005-0000-0000-0000C3190000}"/>
    <cellStyle name="Normal 4 2 3 3" xfId="7223" xr:uid="{00000000-0005-0000-0000-0000C4190000}"/>
    <cellStyle name="Normal 4 2 4" xfId="6912" xr:uid="{00000000-0005-0000-0000-0000C5190000}"/>
    <cellStyle name="Normal 4 2 4 2" xfId="7297" xr:uid="{00000000-0005-0000-0000-0000C6190000}"/>
    <cellStyle name="Normal 4 2 5" xfId="7147" xr:uid="{00000000-0005-0000-0000-0000C7190000}"/>
    <cellStyle name="Normal 4 2 6" xfId="6824" xr:uid="{00000000-0005-0000-0000-0000C8190000}"/>
    <cellStyle name="Normal 5" xfId="62" xr:uid="{00000000-0005-0000-0000-0000C9190000}"/>
    <cellStyle name="Normal 5 2" xfId="63" xr:uid="{00000000-0005-0000-0000-0000CA190000}"/>
    <cellStyle name="Normal 6" xfId="64" xr:uid="{00000000-0005-0000-0000-0000CB190000}"/>
    <cellStyle name="Normal 6 2" xfId="611" xr:uid="{00000000-0005-0000-0000-0000CC190000}"/>
    <cellStyle name="Normal 6 2 2" xfId="1139" xr:uid="{00000000-0005-0000-0000-0000CD190000}"/>
    <cellStyle name="Normal 6 2 2 2" xfId="2723" xr:uid="{00000000-0005-0000-0000-0000CE190000}"/>
    <cellStyle name="Normal 6 2 2 2 2" xfId="5892" xr:uid="{00000000-0005-0000-0000-0000CF190000}"/>
    <cellStyle name="Normal 6 2 2 2 2 2" xfId="7388" xr:uid="{00000000-0005-0000-0000-0000D0190000}"/>
    <cellStyle name="Normal 6 2 2 2 2 3" xfId="7003" xr:uid="{00000000-0005-0000-0000-0000D1190000}"/>
    <cellStyle name="Normal 6 2 2 2 3" xfId="7240" xr:uid="{00000000-0005-0000-0000-0000D2190000}"/>
    <cellStyle name="Normal 6 2 2 2 4" xfId="6872" xr:uid="{00000000-0005-0000-0000-0000D3190000}"/>
    <cellStyle name="Normal 6 2 2 3" xfId="4308" xr:uid="{00000000-0005-0000-0000-0000D4190000}"/>
    <cellStyle name="Normal 6 2 2 3 2" xfId="7314" xr:uid="{00000000-0005-0000-0000-0000D5190000}"/>
    <cellStyle name="Normal 6 2 2 3 3" xfId="6929" xr:uid="{00000000-0005-0000-0000-0000D6190000}"/>
    <cellStyle name="Normal 6 2 2 4" xfId="6751" xr:uid="{00000000-0005-0000-0000-0000D7190000}"/>
    <cellStyle name="Normal 6 2 2 4 2" xfId="7166" xr:uid="{00000000-0005-0000-0000-0000D8190000}"/>
    <cellStyle name="Normal 6 2 2 5" xfId="6832" xr:uid="{00000000-0005-0000-0000-0000D9190000}"/>
    <cellStyle name="Normal 6 2 3" xfId="1667" xr:uid="{00000000-0005-0000-0000-0000DA190000}"/>
    <cellStyle name="Normal 6 2 3 2" xfId="3251" xr:uid="{00000000-0005-0000-0000-0000DB190000}"/>
    <cellStyle name="Normal 6 2 3 2 2" xfId="6420" xr:uid="{00000000-0005-0000-0000-0000DC190000}"/>
    <cellStyle name="Normal 6 2 3 2 2 2" xfId="7351" xr:uid="{00000000-0005-0000-0000-0000DD190000}"/>
    <cellStyle name="Normal 6 2 3 2 3" xfId="6966" xr:uid="{00000000-0005-0000-0000-0000DE190000}"/>
    <cellStyle name="Normal 6 2 3 3" xfId="4836" xr:uid="{00000000-0005-0000-0000-0000DF190000}"/>
    <cellStyle name="Normal 6 2 3 3 2" xfId="7203" xr:uid="{00000000-0005-0000-0000-0000E0190000}"/>
    <cellStyle name="Normal 6 2 3 4" xfId="6854" xr:uid="{00000000-0005-0000-0000-0000E1190000}"/>
    <cellStyle name="Normal 6 2 4" xfId="2195" xr:uid="{00000000-0005-0000-0000-0000E2190000}"/>
    <cellStyle name="Normal 6 2 4 2" xfId="5364" xr:uid="{00000000-0005-0000-0000-0000E3190000}"/>
    <cellStyle name="Normal 6 2 4 2 2" xfId="7277" xr:uid="{00000000-0005-0000-0000-0000E4190000}"/>
    <cellStyle name="Normal 6 2 4 3" xfId="6893" xr:uid="{00000000-0005-0000-0000-0000E5190000}"/>
    <cellStyle name="Normal 6 2 5" xfId="3780" xr:uid="{00000000-0005-0000-0000-0000E6190000}"/>
    <cellStyle name="Normal 6 2 5 2" xfId="7123" xr:uid="{00000000-0005-0000-0000-0000E7190000}"/>
    <cellStyle name="Normal 6 2 6" xfId="6706" xr:uid="{00000000-0005-0000-0000-0000E8190000}"/>
    <cellStyle name="Normal 6 2 7" xfId="6815" xr:uid="{00000000-0005-0000-0000-0000E9190000}"/>
    <cellStyle name="Normal 6 3" xfId="875" xr:uid="{00000000-0005-0000-0000-0000EA190000}"/>
    <cellStyle name="Normal 6 3 2" xfId="2459" xr:uid="{00000000-0005-0000-0000-0000EB190000}"/>
    <cellStyle name="Normal 6 3 2 2" xfId="5628" xr:uid="{00000000-0005-0000-0000-0000EC190000}"/>
    <cellStyle name="Normal 6 3 2 2 2" xfId="7017" xr:uid="{00000000-0005-0000-0000-0000ED190000}"/>
    <cellStyle name="Normal 6 3 2 2 2 2" xfId="7402" xr:uid="{00000000-0005-0000-0000-0000EE190000}"/>
    <cellStyle name="Normal 6 3 2 2 3" xfId="7254" xr:uid="{00000000-0005-0000-0000-0000EF190000}"/>
    <cellStyle name="Normal 6 3 2 2 4" xfId="6878" xr:uid="{00000000-0005-0000-0000-0000F0190000}"/>
    <cellStyle name="Normal 6 3 2 3" xfId="6765" xr:uid="{00000000-0005-0000-0000-0000F1190000}"/>
    <cellStyle name="Normal 6 3 2 3 2" xfId="7328" xr:uid="{00000000-0005-0000-0000-0000F2190000}"/>
    <cellStyle name="Normal 6 3 2 3 3" xfId="6943" xr:uid="{00000000-0005-0000-0000-0000F3190000}"/>
    <cellStyle name="Normal 6 3 2 4" xfId="7180" xr:uid="{00000000-0005-0000-0000-0000F4190000}"/>
    <cellStyle name="Normal 6 3 2 5" xfId="6838" xr:uid="{00000000-0005-0000-0000-0000F5190000}"/>
    <cellStyle name="Normal 6 3 3" xfId="4044" xr:uid="{00000000-0005-0000-0000-0000F6190000}"/>
    <cellStyle name="Normal 6 3 3 2" xfId="6980" xr:uid="{00000000-0005-0000-0000-0000F7190000}"/>
    <cellStyle name="Normal 6 3 3 2 2" xfId="7365" xr:uid="{00000000-0005-0000-0000-0000F8190000}"/>
    <cellStyle name="Normal 6 3 3 3" xfId="7217" xr:uid="{00000000-0005-0000-0000-0000F9190000}"/>
    <cellStyle name="Normal 6 3 3 4" xfId="6861" xr:uid="{00000000-0005-0000-0000-0000FA190000}"/>
    <cellStyle name="Normal 6 3 4" xfId="6725" xr:uid="{00000000-0005-0000-0000-0000FB190000}"/>
    <cellStyle name="Normal 6 3 4 2" xfId="7291" xr:uid="{00000000-0005-0000-0000-0000FC190000}"/>
    <cellStyle name="Normal 6 3 4 3" xfId="6906" xr:uid="{00000000-0005-0000-0000-0000FD190000}"/>
    <cellStyle name="Normal 6 3 5" xfId="7141" xr:uid="{00000000-0005-0000-0000-0000FE190000}"/>
    <cellStyle name="Normal 6 3 6" xfId="6821" xr:uid="{00000000-0005-0000-0000-0000FF190000}"/>
    <cellStyle name="Normal 6 4" xfId="1403" xr:uid="{00000000-0005-0000-0000-0000001A0000}"/>
    <cellStyle name="Normal 6 4 2" xfId="2987" xr:uid="{00000000-0005-0000-0000-0000011A0000}"/>
    <cellStyle name="Normal 6 4 2 2" xfId="6156" xr:uid="{00000000-0005-0000-0000-0000021A0000}"/>
    <cellStyle name="Normal 6 4 2 2 2" xfId="7377" xr:uid="{00000000-0005-0000-0000-0000031A0000}"/>
    <cellStyle name="Normal 6 4 2 2 3" xfId="6992" xr:uid="{00000000-0005-0000-0000-0000041A0000}"/>
    <cellStyle name="Normal 6 4 2 3" xfId="7229" xr:uid="{00000000-0005-0000-0000-0000051A0000}"/>
    <cellStyle name="Normal 6 4 2 4" xfId="6868" xr:uid="{00000000-0005-0000-0000-0000061A0000}"/>
    <cellStyle name="Normal 6 4 3" xfId="4572" xr:uid="{00000000-0005-0000-0000-0000071A0000}"/>
    <cellStyle name="Normal 6 4 3 2" xfId="7303" xr:uid="{00000000-0005-0000-0000-0000081A0000}"/>
    <cellStyle name="Normal 6 4 3 3" xfId="6918" xr:uid="{00000000-0005-0000-0000-0000091A0000}"/>
    <cellStyle name="Normal 6 4 4" xfId="6740" xr:uid="{00000000-0005-0000-0000-00000A1A0000}"/>
    <cellStyle name="Normal 6 4 4 2" xfId="7155" xr:uid="{00000000-0005-0000-0000-00000B1A0000}"/>
    <cellStyle name="Normal 6 4 5" xfId="6828" xr:uid="{00000000-0005-0000-0000-00000C1A0000}"/>
    <cellStyle name="Normal 6 5" xfId="1931" xr:uid="{00000000-0005-0000-0000-00000D1A0000}"/>
    <cellStyle name="Normal 6 5 2" xfId="5100" xr:uid="{00000000-0005-0000-0000-00000E1A0000}"/>
    <cellStyle name="Normal 6 5 2 2" xfId="7340" xr:uid="{00000000-0005-0000-0000-00000F1A0000}"/>
    <cellStyle name="Normal 6 5 2 3" xfId="6955" xr:uid="{00000000-0005-0000-0000-0000101A0000}"/>
    <cellStyle name="Normal 6 5 3" xfId="7192" xr:uid="{00000000-0005-0000-0000-0000111A0000}"/>
    <cellStyle name="Normal 6 5 4" xfId="6847" xr:uid="{00000000-0005-0000-0000-0000121A0000}"/>
    <cellStyle name="Normal 6 6" xfId="3516" xr:uid="{00000000-0005-0000-0000-0000131A0000}"/>
    <cellStyle name="Normal 6 6 2" xfId="7266" xr:uid="{00000000-0005-0000-0000-0000141A0000}"/>
    <cellStyle name="Normal 6 6 3" xfId="6885" xr:uid="{00000000-0005-0000-0000-0000151A0000}"/>
    <cellStyle name="Normal 6 7" xfId="6694" xr:uid="{00000000-0005-0000-0000-0000161A0000}"/>
    <cellStyle name="Normal 6 7 2" xfId="7093" xr:uid="{00000000-0005-0000-0000-0000171A0000}"/>
    <cellStyle name="Normal 6 8" xfId="6811" xr:uid="{00000000-0005-0000-0000-0000181A0000}"/>
    <cellStyle name="Normal 7" xfId="65" xr:uid="{00000000-0005-0000-0000-0000191A0000}"/>
    <cellStyle name="Normal 8" xfId="66" xr:uid="{00000000-0005-0000-0000-00001A1A0000}"/>
    <cellStyle name="Normal 9" xfId="67" xr:uid="{00000000-0005-0000-0000-00001B1A0000}"/>
    <cellStyle name="Normal 9 2" xfId="6734" xr:uid="{00000000-0005-0000-0000-00001C1A0000}"/>
    <cellStyle name="Note 10" xfId="471" xr:uid="{00000000-0005-0000-0000-00001D1A0000}"/>
    <cellStyle name="Note 10 2" xfId="472" xr:uid="{00000000-0005-0000-0000-00001E1A0000}"/>
    <cellStyle name="Note 10 2 2" xfId="856" xr:uid="{00000000-0005-0000-0000-00001F1A0000}"/>
    <cellStyle name="Note 10 2 2 2" xfId="1384" xr:uid="{00000000-0005-0000-0000-0000201A0000}"/>
    <cellStyle name="Note 10 2 2 2 2" xfId="2968" xr:uid="{00000000-0005-0000-0000-0000211A0000}"/>
    <cellStyle name="Note 10 2 2 2 2 2" xfId="6137" xr:uid="{00000000-0005-0000-0000-0000221A0000}"/>
    <cellStyle name="Note 10 2 2 2 3" xfId="4553" xr:uid="{00000000-0005-0000-0000-0000231A0000}"/>
    <cellStyle name="Note 10 2 2 3" xfId="1912" xr:uid="{00000000-0005-0000-0000-0000241A0000}"/>
    <cellStyle name="Note 10 2 2 3 2" xfId="3496" xr:uid="{00000000-0005-0000-0000-0000251A0000}"/>
    <cellStyle name="Note 10 2 2 3 2 2" xfId="6665" xr:uid="{00000000-0005-0000-0000-0000261A0000}"/>
    <cellStyle name="Note 10 2 2 3 3" xfId="5081" xr:uid="{00000000-0005-0000-0000-0000271A0000}"/>
    <cellStyle name="Note 10 2 2 4" xfId="2440" xr:uid="{00000000-0005-0000-0000-0000281A0000}"/>
    <cellStyle name="Note 10 2 2 4 2" xfId="5609" xr:uid="{00000000-0005-0000-0000-0000291A0000}"/>
    <cellStyle name="Note 10 2 2 5" xfId="4025" xr:uid="{00000000-0005-0000-0000-00002A1A0000}"/>
    <cellStyle name="Note 10 2 3" xfId="1120" xr:uid="{00000000-0005-0000-0000-00002B1A0000}"/>
    <cellStyle name="Note 10 2 3 2" xfId="2704" xr:uid="{00000000-0005-0000-0000-00002C1A0000}"/>
    <cellStyle name="Note 10 2 3 2 2" xfId="5873" xr:uid="{00000000-0005-0000-0000-00002D1A0000}"/>
    <cellStyle name="Note 10 2 3 3" xfId="4289" xr:uid="{00000000-0005-0000-0000-00002E1A0000}"/>
    <cellStyle name="Note 10 2 4" xfId="1648" xr:uid="{00000000-0005-0000-0000-00002F1A0000}"/>
    <cellStyle name="Note 10 2 4 2" xfId="3232" xr:uid="{00000000-0005-0000-0000-0000301A0000}"/>
    <cellStyle name="Note 10 2 4 2 2" xfId="6401" xr:uid="{00000000-0005-0000-0000-0000311A0000}"/>
    <cellStyle name="Note 10 2 4 3" xfId="4817" xr:uid="{00000000-0005-0000-0000-0000321A0000}"/>
    <cellStyle name="Note 10 2 5" xfId="2176" xr:uid="{00000000-0005-0000-0000-0000331A0000}"/>
    <cellStyle name="Note 10 2 5 2" xfId="5345" xr:uid="{00000000-0005-0000-0000-0000341A0000}"/>
    <cellStyle name="Note 10 2 6" xfId="3761" xr:uid="{00000000-0005-0000-0000-0000351A0000}"/>
    <cellStyle name="Note 10 3" xfId="855" xr:uid="{00000000-0005-0000-0000-0000361A0000}"/>
    <cellStyle name="Note 10 3 2" xfId="1383" xr:uid="{00000000-0005-0000-0000-0000371A0000}"/>
    <cellStyle name="Note 10 3 2 2" xfId="2967" xr:uid="{00000000-0005-0000-0000-0000381A0000}"/>
    <cellStyle name="Note 10 3 2 2 2" xfId="6136" xr:uid="{00000000-0005-0000-0000-0000391A0000}"/>
    <cellStyle name="Note 10 3 2 3" xfId="4552" xr:uid="{00000000-0005-0000-0000-00003A1A0000}"/>
    <cellStyle name="Note 10 3 3" xfId="1911" xr:uid="{00000000-0005-0000-0000-00003B1A0000}"/>
    <cellStyle name="Note 10 3 3 2" xfId="3495" xr:uid="{00000000-0005-0000-0000-00003C1A0000}"/>
    <cellStyle name="Note 10 3 3 2 2" xfId="6664" xr:uid="{00000000-0005-0000-0000-00003D1A0000}"/>
    <cellStyle name="Note 10 3 3 3" xfId="5080" xr:uid="{00000000-0005-0000-0000-00003E1A0000}"/>
    <cellStyle name="Note 10 3 4" xfId="2439" xr:uid="{00000000-0005-0000-0000-00003F1A0000}"/>
    <cellStyle name="Note 10 3 4 2" xfId="5608" xr:uid="{00000000-0005-0000-0000-0000401A0000}"/>
    <cellStyle name="Note 10 3 5" xfId="4024" xr:uid="{00000000-0005-0000-0000-0000411A0000}"/>
    <cellStyle name="Note 10 4" xfId="1119" xr:uid="{00000000-0005-0000-0000-0000421A0000}"/>
    <cellStyle name="Note 10 4 2" xfId="2703" xr:uid="{00000000-0005-0000-0000-0000431A0000}"/>
    <cellStyle name="Note 10 4 2 2" xfId="5872" xr:uid="{00000000-0005-0000-0000-0000441A0000}"/>
    <cellStyle name="Note 10 4 3" xfId="4288" xr:uid="{00000000-0005-0000-0000-0000451A0000}"/>
    <cellStyle name="Note 10 5" xfId="1647" xr:uid="{00000000-0005-0000-0000-0000461A0000}"/>
    <cellStyle name="Note 10 5 2" xfId="3231" xr:uid="{00000000-0005-0000-0000-0000471A0000}"/>
    <cellStyle name="Note 10 5 2 2" xfId="6400" xr:uid="{00000000-0005-0000-0000-0000481A0000}"/>
    <cellStyle name="Note 10 5 3" xfId="4816" xr:uid="{00000000-0005-0000-0000-0000491A0000}"/>
    <cellStyle name="Note 10 6" xfId="2175" xr:uid="{00000000-0005-0000-0000-00004A1A0000}"/>
    <cellStyle name="Note 10 6 2" xfId="5344" xr:uid="{00000000-0005-0000-0000-00004B1A0000}"/>
    <cellStyle name="Note 10 7" xfId="3760" xr:uid="{00000000-0005-0000-0000-00004C1A0000}"/>
    <cellStyle name="Note 11" xfId="473" xr:uid="{00000000-0005-0000-0000-00004D1A0000}"/>
    <cellStyle name="Note 11 2" xfId="857" xr:uid="{00000000-0005-0000-0000-00004E1A0000}"/>
    <cellStyle name="Note 11 2 2" xfId="1385" xr:uid="{00000000-0005-0000-0000-00004F1A0000}"/>
    <cellStyle name="Note 11 2 2 2" xfId="2969" xr:uid="{00000000-0005-0000-0000-0000501A0000}"/>
    <cellStyle name="Note 11 2 2 2 2" xfId="6138" xr:uid="{00000000-0005-0000-0000-0000511A0000}"/>
    <cellStyle name="Note 11 2 2 3" xfId="4554" xr:uid="{00000000-0005-0000-0000-0000521A0000}"/>
    <cellStyle name="Note 11 2 3" xfId="1913" xr:uid="{00000000-0005-0000-0000-0000531A0000}"/>
    <cellStyle name="Note 11 2 3 2" xfId="3497" xr:uid="{00000000-0005-0000-0000-0000541A0000}"/>
    <cellStyle name="Note 11 2 3 2 2" xfId="6666" xr:uid="{00000000-0005-0000-0000-0000551A0000}"/>
    <cellStyle name="Note 11 2 3 3" xfId="5082" xr:uid="{00000000-0005-0000-0000-0000561A0000}"/>
    <cellStyle name="Note 11 2 4" xfId="2441" xr:uid="{00000000-0005-0000-0000-0000571A0000}"/>
    <cellStyle name="Note 11 2 4 2" xfId="5610" xr:uid="{00000000-0005-0000-0000-0000581A0000}"/>
    <cellStyle name="Note 11 2 5" xfId="4026" xr:uid="{00000000-0005-0000-0000-0000591A0000}"/>
    <cellStyle name="Note 11 3" xfId="1121" xr:uid="{00000000-0005-0000-0000-00005A1A0000}"/>
    <cellStyle name="Note 11 3 2" xfId="2705" xr:uid="{00000000-0005-0000-0000-00005B1A0000}"/>
    <cellStyle name="Note 11 3 2 2" xfId="5874" xr:uid="{00000000-0005-0000-0000-00005C1A0000}"/>
    <cellStyle name="Note 11 3 3" xfId="4290" xr:uid="{00000000-0005-0000-0000-00005D1A0000}"/>
    <cellStyle name="Note 11 4" xfId="1649" xr:uid="{00000000-0005-0000-0000-00005E1A0000}"/>
    <cellStyle name="Note 11 4 2" xfId="3233" xr:uid="{00000000-0005-0000-0000-00005F1A0000}"/>
    <cellStyle name="Note 11 4 2 2" xfId="6402" xr:uid="{00000000-0005-0000-0000-0000601A0000}"/>
    <cellStyle name="Note 11 4 3" xfId="4818" xr:uid="{00000000-0005-0000-0000-0000611A0000}"/>
    <cellStyle name="Note 11 5" xfId="2177" xr:uid="{00000000-0005-0000-0000-0000621A0000}"/>
    <cellStyle name="Note 11 5 2" xfId="5346" xr:uid="{00000000-0005-0000-0000-0000631A0000}"/>
    <cellStyle name="Note 11 6" xfId="3762" xr:uid="{00000000-0005-0000-0000-0000641A0000}"/>
    <cellStyle name="Note 12" xfId="474" xr:uid="{00000000-0005-0000-0000-0000651A0000}"/>
    <cellStyle name="Note 12 2" xfId="858" xr:uid="{00000000-0005-0000-0000-0000661A0000}"/>
    <cellStyle name="Note 12 2 2" xfId="1386" xr:uid="{00000000-0005-0000-0000-0000671A0000}"/>
    <cellStyle name="Note 12 2 2 2" xfId="2970" xr:uid="{00000000-0005-0000-0000-0000681A0000}"/>
    <cellStyle name="Note 12 2 2 2 2" xfId="6139" xr:uid="{00000000-0005-0000-0000-0000691A0000}"/>
    <cellStyle name="Note 12 2 2 3" xfId="4555" xr:uid="{00000000-0005-0000-0000-00006A1A0000}"/>
    <cellStyle name="Note 12 2 3" xfId="1914" xr:uid="{00000000-0005-0000-0000-00006B1A0000}"/>
    <cellStyle name="Note 12 2 3 2" xfId="3498" xr:uid="{00000000-0005-0000-0000-00006C1A0000}"/>
    <cellStyle name="Note 12 2 3 2 2" xfId="6667" xr:uid="{00000000-0005-0000-0000-00006D1A0000}"/>
    <cellStyle name="Note 12 2 3 3" xfId="5083" xr:uid="{00000000-0005-0000-0000-00006E1A0000}"/>
    <cellStyle name="Note 12 2 4" xfId="2442" xr:uid="{00000000-0005-0000-0000-00006F1A0000}"/>
    <cellStyle name="Note 12 2 4 2" xfId="5611" xr:uid="{00000000-0005-0000-0000-0000701A0000}"/>
    <cellStyle name="Note 12 2 5" xfId="4027" xr:uid="{00000000-0005-0000-0000-0000711A0000}"/>
    <cellStyle name="Note 12 3" xfId="1122" xr:uid="{00000000-0005-0000-0000-0000721A0000}"/>
    <cellStyle name="Note 12 3 2" xfId="2706" xr:uid="{00000000-0005-0000-0000-0000731A0000}"/>
    <cellStyle name="Note 12 3 2 2" xfId="5875" xr:uid="{00000000-0005-0000-0000-0000741A0000}"/>
    <cellStyle name="Note 12 3 3" xfId="4291" xr:uid="{00000000-0005-0000-0000-0000751A0000}"/>
    <cellStyle name="Note 12 4" xfId="1650" xr:uid="{00000000-0005-0000-0000-0000761A0000}"/>
    <cellStyle name="Note 12 4 2" xfId="3234" xr:uid="{00000000-0005-0000-0000-0000771A0000}"/>
    <cellStyle name="Note 12 4 2 2" xfId="6403" xr:uid="{00000000-0005-0000-0000-0000781A0000}"/>
    <cellStyle name="Note 12 4 3" xfId="4819" xr:uid="{00000000-0005-0000-0000-0000791A0000}"/>
    <cellStyle name="Note 12 5" xfId="2178" xr:uid="{00000000-0005-0000-0000-00007A1A0000}"/>
    <cellStyle name="Note 12 5 2" xfId="5347" xr:uid="{00000000-0005-0000-0000-00007B1A0000}"/>
    <cellStyle name="Note 12 6" xfId="3763" xr:uid="{00000000-0005-0000-0000-00007C1A0000}"/>
    <cellStyle name="Note 13" xfId="475" xr:uid="{00000000-0005-0000-0000-00007D1A0000}"/>
    <cellStyle name="Note 13 2" xfId="859" xr:uid="{00000000-0005-0000-0000-00007E1A0000}"/>
    <cellStyle name="Note 13 2 2" xfId="1387" xr:uid="{00000000-0005-0000-0000-00007F1A0000}"/>
    <cellStyle name="Note 13 2 2 2" xfId="2971" xr:uid="{00000000-0005-0000-0000-0000801A0000}"/>
    <cellStyle name="Note 13 2 2 2 2" xfId="6140" xr:uid="{00000000-0005-0000-0000-0000811A0000}"/>
    <cellStyle name="Note 13 2 2 3" xfId="4556" xr:uid="{00000000-0005-0000-0000-0000821A0000}"/>
    <cellStyle name="Note 13 2 3" xfId="1915" xr:uid="{00000000-0005-0000-0000-0000831A0000}"/>
    <cellStyle name="Note 13 2 3 2" xfId="3499" xr:uid="{00000000-0005-0000-0000-0000841A0000}"/>
    <cellStyle name="Note 13 2 3 2 2" xfId="6668" xr:uid="{00000000-0005-0000-0000-0000851A0000}"/>
    <cellStyle name="Note 13 2 3 3" xfId="5084" xr:uid="{00000000-0005-0000-0000-0000861A0000}"/>
    <cellStyle name="Note 13 2 4" xfId="2443" xr:uid="{00000000-0005-0000-0000-0000871A0000}"/>
    <cellStyle name="Note 13 2 4 2" xfId="5612" xr:uid="{00000000-0005-0000-0000-0000881A0000}"/>
    <cellStyle name="Note 13 2 5" xfId="4028" xr:uid="{00000000-0005-0000-0000-0000891A0000}"/>
    <cellStyle name="Note 13 3" xfId="1123" xr:uid="{00000000-0005-0000-0000-00008A1A0000}"/>
    <cellStyle name="Note 13 3 2" xfId="2707" xr:uid="{00000000-0005-0000-0000-00008B1A0000}"/>
    <cellStyle name="Note 13 3 2 2" xfId="5876" xr:uid="{00000000-0005-0000-0000-00008C1A0000}"/>
    <cellStyle name="Note 13 3 3" xfId="4292" xr:uid="{00000000-0005-0000-0000-00008D1A0000}"/>
    <cellStyle name="Note 13 4" xfId="1651" xr:uid="{00000000-0005-0000-0000-00008E1A0000}"/>
    <cellStyle name="Note 13 4 2" xfId="3235" xr:uid="{00000000-0005-0000-0000-00008F1A0000}"/>
    <cellStyle name="Note 13 4 2 2" xfId="6404" xr:uid="{00000000-0005-0000-0000-0000901A0000}"/>
    <cellStyle name="Note 13 4 3" xfId="4820" xr:uid="{00000000-0005-0000-0000-0000911A0000}"/>
    <cellStyle name="Note 13 5" xfId="2179" xr:uid="{00000000-0005-0000-0000-0000921A0000}"/>
    <cellStyle name="Note 13 5 2" xfId="5348" xr:uid="{00000000-0005-0000-0000-0000931A0000}"/>
    <cellStyle name="Note 13 6" xfId="3764" xr:uid="{00000000-0005-0000-0000-0000941A0000}"/>
    <cellStyle name="Note 14" xfId="476" xr:uid="{00000000-0005-0000-0000-0000951A0000}"/>
    <cellStyle name="Note 14 2" xfId="860" xr:uid="{00000000-0005-0000-0000-0000961A0000}"/>
    <cellStyle name="Note 14 2 2" xfId="1388" xr:uid="{00000000-0005-0000-0000-0000971A0000}"/>
    <cellStyle name="Note 14 2 2 2" xfId="2972" xr:uid="{00000000-0005-0000-0000-0000981A0000}"/>
    <cellStyle name="Note 14 2 2 2 2" xfId="6141" xr:uid="{00000000-0005-0000-0000-0000991A0000}"/>
    <cellStyle name="Note 14 2 2 3" xfId="4557" xr:uid="{00000000-0005-0000-0000-00009A1A0000}"/>
    <cellStyle name="Note 14 2 3" xfId="1916" xr:uid="{00000000-0005-0000-0000-00009B1A0000}"/>
    <cellStyle name="Note 14 2 3 2" xfId="3500" xr:uid="{00000000-0005-0000-0000-00009C1A0000}"/>
    <cellStyle name="Note 14 2 3 2 2" xfId="6669" xr:uid="{00000000-0005-0000-0000-00009D1A0000}"/>
    <cellStyle name="Note 14 2 3 3" xfId="5085" xr:uid="{00000000-0005-0000-0000-00009E1A0000}"/>
    <cellStyle name="Note 14 2 4" xfId="2444" xr:uid="{00000000-0005-0000-0000-00009F1A0000}"/>
    <cellStyle name="Note 14 2 4 2" xfId="5613" xr:uid="{00000000-0005-0000-0000-0000A01A0000}"/>
    <cellStyle name="Note 14 2 5" xfId="4029" xr:uid="{00000000-0005-0000-0000-0000A11A0000}"/>
    <cellStyle name="Note 14 3" xfId="1124" xr:uid="{00000000-0005-0000-0000-0000A21A0000}"/>
    <cellStyle name="Note 14 3 2" xfId="2708" xr:uid="{00000000-0005-0000-0000-0000A31A0000}"/>
    <cellStyle name="Note 14 3 2 2" xfId="5877" xr:uid="{00000000-0005-0000-0000-0000A41A0000}"/>
    <cellStyle name="Note 14 3 3" xfId="4293" xr:uid="{00000000-0005-0000-0000-0000A51A0000}"/>
    <cellStyle name="Note 14 4" xfId="1652" xr:uid="{00000000-0005-0000-0000-0000A61A0000}"/>
    <cellStyle name="Note 14 4 2" xfId="3236" xr:uid="{00000000-0005-0000-0000-0000A71A0000}"/>
    <cellStyle name="Note 14 4 2 2" xfId="6405" xr:uid="{00000000-0005-0000-0000-0000A81A0000}"/>
    <cellStyle name="Note 14 4 3" xfId="4821" xr:uid="{00000000-0005-0000-0000-0000A91A0000}"/>
    <cellStyle name="Note 14 5" xfId="2180" xr:uid="{00000000-0005-0000-0000-0000AA1A0000}"/>
    <cellStyle name="Note 14 5 2" xfId="5349" xr:uid="{00000000-0005-0000-0000-0000AB1A0000}"/>
    <cellStyle name="Note 14 6" xfId="3765" xr:uid="{00000000-0005-0000-0000-0000AC1A0000}"/>
    <cellStyle name="Note 15" xfId="477" xr:uid="{00000000-0005-0000-0000-0000AD1A0000}"/>
    <cellStyle name="Note 15 2" xfId="861" xr:uid="{00000000-0005-0000-0000-0000AE1A0000}"/>
    <cellStyle name="Note 15 2 2" xfId="1389" xr:uid="{00000000-0005-0000-0000-0000AF1A0000}"/>
    <cellStyle name="Note 15 2 2 2" xfId="2973" xr:uid="{00000000-0005-0000-0000-0000B01A0000}"/>
    <cellStyle name="Note 15 2 2 2 2" xfId="6142" xr:uid="{00000000-0005-0000-0000-0000B11A0000}"/>
    <cellStyle name="Note 15 2 2 3" xfId="4558" xr:uid="{00000000-0005-0000-0000-0000B21A0000}"/>
    <cellStyle name="Note 15 2 3" xfId="1917" xr:uid="{00000000-0005-0000-0000-0000B31A0000}"/>
    <cellStyle name="Note 15 2 3 2" xfId="3501" xr:uid="{00000000-0005-0000-0000-0000B41A0000}"/>
    <cellStyle name="Note 15 2 3 2 2" xfId="6670" xr:uid="{00000000-0005-0000-0000-0000B51A0000}"/>
    <cellStyle name="Note 15 2 3 3" xfId="5086" xr:uid="{00000000-0005-0000-0000-0000B61A0000}"/>
    <cellStyle name="Note 15 2 4" xfId="2445" xr:uid="{00000000-0005-0000-0000-0000B71A0000}"/>
    <cellStyle name="Note 15 2 4 2" xfId="5614" xr:uid="{00000000-0005-0000-0000-0000B81A0000}"/>
    <cellStyle name="Note 15 2 5" xfId="4030" xr:uid="{00000000-0005-0000-0000-0000B91A0000}"/>
    <cellStyle name="Note 15 3" xfId="1125" xr:uid="{00000000-0005-0000-0000-0000BA1A0000}"/>
    <cellStyle name="Note 15 3 2" xfId="2709" xr:uid="{00000000-0005-0000-0000-0000BB1A0000}"/>
    <cellStyle name="Note 15 3 2 2" xfId="5878" xr:uid="{00000000-0005-0000-0000-0000BC1A0000}"/>
    <cellStyle name="Note 15 3 3" xfId="4294" xr:uid="{00000000-0005-0000-0000-0000BD1A0000}"/>
    <cellStyle name="Note 15 4" xfId="1653" xr:uid="{00000000-0005-0000-0000-0000BE1A0000}"/>
    <cellStyle name="Note 15 4 2" xfId="3237" xr:uid="{00000000-0005-0000-0000-0000BF1A0000}"/>
    <cellStyle name="Note 15 4 2 2" xfId="6406" xr:uid="{00000000-0005-0000-0000-0000C01A0000}"/>
    <cellStyle name="Note 15 4 3" xfId="4822" xr:uid="{00000000-0005-0000-0000-0000C11A0000}"/>
    <cellStyle name="Note 15 5" xfId="2181" xr:uid="{00000000-0005-0000-0000-0000C21A0000}"/>
    <cellStyle name="Note 15 5 2" xfId="5350" xr:uid="{00000000-0005-0000-0000-0000C31A0000}"/>
    <cellStyle name="Note 15 6" xfId="3766" xr:uid="{00000000-0005-0000-0000-0000C41A0000}"/>
    <cellStyle name="Note 16" xfId="478" xr:uid="{00000000-0005-0000-0000-0000C51A0000}"/>
    <cellStyle name="Note 16 2" xfId="862" xr:uid="{00000000-0005-0000-0000-0000C61A0000}"/>
    <cellStyle name="Note 16 2 2" xfId="1390" xr:uid="{00000000-0005-0000-0000-0000C71A0000}"/>
    <cellStyle name="Note 16 2 2 2" xfId="2974" xr:uid="{00000000-0005-0000-0000-0000C81A0000}"/>
    <cellStyle name="Note 16 2 2 2 2" xfId="6143" xr:uid="{00000000-0005-0000-0000-0000C91A0000}"/>
    <cellStyle name="Note 16 2 2 3" xfId="4559" xr:uid="{00000000-0005-0000-0000-0000CA1A0000}"/>
    <cellStyle name="Note 16 2 3" xfId="1918" xr:uid="{00000000-0005-0000-0000-0000CB1A0000}"/>
    <cellStyle name="Note 16 2 3 2" xfId="3502" xr:uid="{00000000-0005-0000-0000-0000CC1A0000}"/>
    <cellStyle name="Note 16 2 3 2 2" xfId="6671" xr:uid="{00000000-0005-0000-0000-0000CD1A0000}"/>
    <cellStyle name="Note 16 2 3 3" xfId="5087" xr:uid="{00000000-0005-0000-0000-0000CE1A0000}"/>
    <cellStyle name="Note 16 2 4" xfId="2446" xr:uid="{00000000-0005-0000-0000-0000CF1A0000}"/>
    <cellStyle name="Note 16 2 4 2" xfId="5615" xr:uid="{00000000-0005-0000-0000-0000D01A0000}"/>
    <cellStyle name="Note 16 2 5" xfId="4031" xr:uid="{00000000-0005-0000-0000-0000D11A0000}"/>
    <cellStyle name="Note 16 3" xfId="1126" xr:uid="{00000000-0005-0000-0000-0000D21A0000}"/>
    <cellStyle name="Note 16 3 2" xfId="2710" xr:uid="{00000000-0005-0000-0000-0000D31A0000}"/>
    <cellStyle name="Note 16 3 2 2" xfId="5879" xr:uid="{00000000-0005-0000-0000-0000D41A0000}"/>
    <cellStyle name="Note 16 3 3" xfId="4295" xr:uid="{00000000-0005-0000-0000-0000D51A0000}"/>
    <cellStyle name="Note 16 4" xfId="1654" xr:uid="{00000000-0005-0000-0000-0000D61A0000}"/>
    <cellStyle name="Note 16 4 2" xfId="3238" xr:uid="{00000000-0005-0000-0000-0000D71A0000}"/>
    <cellStyle name="Note 16 4 2 2" xfId="6407" xr:uid="{00000000-0005-0000-0000-0000D81A0000}"/>
    <cellStyle name="Note 16 4 3" xfId="4823" xr:uid="{00000000-0005-0000-0000-0000D91A0000}"/>
    <cellStyle name="Note 16 5" xfId="2182" xr:uid="{00000000-0005-0000-0000-0000DA1A0000}"/>
    <cellStyle name="Note 16 5 2" xfId="5351" xr:uid="{00000000-0005-0000-0000-0000DB1A0000}"/>
    <cellStyle name="Note 16 6" xfId="3767" xr:uid="{00000000-0005-0000-0000-0000DC1A0000}"/>
    <cellStyle name="Note 2" xfId="68" xr:uid="{00000000-0005-0000-0000-0000DD1A0000}"/>
    <cellStyle name="Note 2 10" xfId="7635" xr:uid="{00000000-0005-0000-0000-0000DE1A0000}"/>
    <cellStyle name="Note 2 11" xfId="7787" xr:uid="{00000000-0005-0000-0000-0000DF1A0000}"/>
    <cellStyle name="Note 2 12" xfId="7943" xr:uid="{00000000-0005-0000-0000-0000E01A0000}"/>
    <cellStyle name="Note 2 13" xfId="8206" xr:uid="{00000000-0005-0000-0000-0000E11A0000}"/>
    <cellStyle name="Note 2 14" xfId="7752" xr:uid="{00000000-0005-0000-0000-0000E21A0000}"/>
    <cellStyle name="Note 2 15" xfId="8215" xr:uid="{00000000-0005-0000-0000-0000E31A0000}"/>
    <cellStyle name="Note 2 2" xfId="479" xr:uid="{00000000-0005-0000-0000-0000E41A0000}"/>
    <cellStyle name="Note 2 2 10" xfId="8167" xr:uid="{00000000-0005-0000-0000-0000E51A0000}"/>
    <cellStyle name="Note 2 2 11" xfId="8142" xr:uid="{00000000-0005-0000-0000-0000E61A0000}"/>
    <cellStyle name="Note 2 2 12" xfId="8327" xr:uid="{00000000-0005-0000-0000-0000E71A0000}"/>
    <cellStyle name="Note 2 2 2" xfId="6752" xr:uid="{00000000-0005-0000-0000-0000E81A0000}"/>
    <cellStyle name="Note 2 2 2 10" xfId="8211" xr:uid="{00000000-0005-0000-0000-0000E91A0000}"/>
    <cellStyle name="Note 2 2 2 11" xfId="8309" xr:uid="{00000000-0005-0000-0000-0000EA1A0000}"/>
    <cellStyle name="Note 2 2 2 2" xfId="6799" xr:uid="{00000000-0005-0000-0000-0000EB1A0000}"/>
    <cellStyle name="Note 2 2 2 2 10" xfId="7811" xr:uid="{00000000-0005-0000-0000-0000EC1A0000}"/>
    <cellStyle name="Note 2 2 2 2 2" xfId="7004" xr:uid="{00000000-0005-0000-0000-0000ED1A0000}"/>
    <cellStyle name="Note 2 2 2 2 2 2" xfId="7389" xr:uid="{00000000-0005-0000-0000-0000EE1A0000}"/>
    <cellStyle name="Note 2 2 2 2 2 3" xfId="7677" xr:uid="{00000000-0005-0000-0000-0000EF1A0000}"/>
    <cellStyle name="Note 2 2 2 2 2 4" xfId="7829" xr:uid="{00000000-0005-0000-0000-0000F01A0000}"/>
    <cellStyle name="Note 2 2 2 2 2 5" xfId="7981" xr:uid="{00000000-0005-0000-0000-0000F11A0000}"/>
    <cellStyle name="Note 2 2 2 2 2 6" xfId="8122" xr:uid="{00000000-0005-0000-0000-0000F21A0000}"/>
    <cellStyle name="Note 2 2 2 2 2 7" xfId="7707" xr:uid="{00000000-0005-0000-0000-0000F31A0000}"/>
    <cellStyle name="Note 2 2 2 2 2 8" xfId="8346" xr:uid="{00000000-0005-0000-0000-0000F41A0000}"/>
    <cellStyle name="Note 2 2 2 2 2 9" xfId="8432" xr:uid="{00000000-0005-0000-0000-0000F51A0000}"/>
    <cellStyle name="Note 2 2 2 2 3" xfId="7241" xr:uid="{00000000-0005-0000-0000-0000F61A0000}"/>
    <cellStyle name="Note 2 2 2 2 4" xfId="7536" xr:uid="{00000000-0005-0000-0000-0000F71A0000}"/>
    <cellStyle name="Note 2 2 2 2 5" xfId="7135" xr:uid="{00000000-0005-0000-0000-0000F81A0000}"/>
    <cellStyle name="Note 2 2 2 2 6" xfId="7696" xr:uid="{00000000-0005-0000-0000-0000F91A0000}"/>
    <cellStyle name="Note 2 2 2 2 7" xfId="7849" xr:uid="{00000000-0005-0000-0000-0000FA1A0000}"/>
    <cellStyle name="Note 2 2 2 2 8" xfId="8087" xr:uid="{00000000-0005-0000-0000-0000FB1A0000}"/>
    <cellStyle name="Note 2 2 2 2 9" xfId="8251" xr:uid="{00000000-0005-0000-0000-0000FC1A0000}"/>
    <cellStyle name="Note 2 2 2 3" xfId="6930" xr:uid="{00000000-0005-0000-0000-0000FD1A0000}"/>
    <cellStyle name="Note 2 2 2 3 2" xfId="7315" xr:uid="{00000000-0005-0000-0000-0000FE1A0000}"/>
    <cellStyle name="Note 2 2 2 3 3" xfId="7607" xr:uid="{00000000-0005-0000-0000-0000FF1A0000}"/>
    <cellStyle name="Note 2 2 2 3 4" xfId="7760" xr:uid="{00000000-0005-0000-0000-0000001B0000}"/>
    <cellStyle name="Note 2 2 2 3 5" xfId="7915" xr:uid="{00000000-0005-0000-0000-0000011B0000}"/>
    <cellStyle name="Note 2 2 2 3 6" xfId="8055" xr:uid="{00000000-0005-0000-0000-0000021B0000}"/>
    <cellStyle name="Note 2 2 2 3 7" xfId="8013" xr:uid="{00000000-0005-0000-0000-0000031B0000}"/>
    <cellStyle name="Note 2 2 2 3 8" xfId="8297" xr:uid="{00000000-0005-0000-0000-0000041B0000}"/>
    <cellStyle name="Note 2 2 2 3 9" xfId="8392" xr:uid="{00000000-0005-0000-0000-0000051B0000}"/>
    <cellStyle name="Note 2 2 2 4" xfId="7167" xr:uid="{00000000-0005-0000-0000-0000061B0000}"/>
    <cellStyle name="Note 2 2 2 5" xfId="7463" xr:uid="{00000000-0005-0000-0000-0000071B0000}"/>
    <cellStyle name="Note 2 2 2 6" xfId="7518" xr:uid="{00000000-0005-0000-0000-0000081B0000}"/>
    <cellStyle name="Note 2 2 2 7" xfId="7087" xr:uid="{00000000-0005-0000-0000-0000091B0000}"/>
    <cellStyle name="Note 2 2 2 8" xfId="7581" xr:uid="{00000000-0005-0000-0000-00000A1B0000}"/>
    <cellStyle name="Note 2 2 2 9" xfId="8155" xr:uid="{00000000-0005-0000-0000-00000B1B0000}"/>
    <cellStyle name="Note 2 2 3" xfId="6707" xr:uid="{00000000-0005-0000-0000-00000C1B0000}"/>
    <cellStyle name="Note 2 2 3 10" xfId="8248" xr:uid="{00000000-0005-0000-0000-00000D1B0000}"/>
    <cellStyle name="Note 2 2 3 11" xfId="6855" xr:uid="{00000000-0005-0000-0000-00000E1B0000}"/>
    <cellStyle name="Note 2 2 3 2" xfId="6967" xr:uid="{00000000-0005-0000-0000-00000F1B0000}"/>
    <cellStyle name="Note 2 2 3 2 2" xfId="7352" xr:uid="{00000000-0005-0000-0000-0000101B0000}"/>
    <cellStyle name="Note 2 2 3 2 3" xfId="7642" xr:uid="{00000000-0005-0000-0000-0000111B0000}"/>
    <cellStyle name="Note 2 2 3 2 4" xfId="7794" xr:uid="{00000000-0005-0000-0000-0000121B0000}"/>
    <cellStyle name="Note 2 2 3 2 5" xfId="7949" xr:uid="{00000000-0005-0000-0000-0000131B0000}"/>
    <cellStyle name="Note 2 2 3 2 6" xfId="8088" xr:uid="{00000000-0005-0000-0000-0000141B0000}"/>
    <cellStyle name="Note 2 2 3 2 7" xfId="7918" xr:uid="{00000000-0005-0000-0000-0000151B0000}"/>
    <cellStyle name="Note 2 2 3 2 8" xfId="8321" xr:uid="{00000000-0005-0000-0000-0000161B0000}"/>
    <cellStyle name="Note 2 2 3 2 9" xfId="8412" xr:uid="{00000000-0005-0000-0000-0000171B0000}"/>
    <cellStyle name="Note 2 2 3 3" xfId="7204" xr:uid="{00000000-0005-0000-0000-0000181B0000}"/>
    <cellStyle name="Note 2 2 3 4" xfId="7499" xr:uid="{00000000-0005-0000-0000-0000191B0000}"/>
    <cellStyle name="Note 2 2 3 5" xfId="7070" xr:uid="{00000000-0005-0000-0000-00001A1B0000}"/>
    <cellStyle name="Note 2 2 3 6" xfId="7517" xr:uid="{00000000-0005-0000-0000-00001B1B0000}"/>
    <cellStyle name="Note 2 2 3 7" xfId="7152" xr:uid="{00000000-0005-0000-0000-00001C1B0000}"/>
    <cellStyle name="Note 2 2 3 8" xfId="7114" xr:uid="{00000000-0005-0000-0000-00001D1B0000}"/>
    <cellStyle name="Note 2 2 3 9" xfId="7958" xr:uid="{00000000-0005-0000-0000-00001E1B0000}"/>
    <cellStyle name="Note 2 2 4" xfId="6779" xr:uid="{00000000-0005-0000-0000-00001F1B0000}"/>
    <cellStyle name="Note 2 2 4 2" xfId="7278" xr:uid="{00000000-0005-0000-0000-0000201B0000}"/>
    <cellStyle name="Note 2 2 4 3" xfId="7572" xr:uid="{00000000-0005-0000-0000-0000211B0000}"/>
    <cellStyle name="Note 2 2 4 4" xfId="7724" xr:uid="{00000000-0005-0000-0000-0000221B0000}"/>
    <cellStyle name="Note 2 2 4 5" xfId="7878" xr:uid="{00000000-0005-0000-0000-0000231B0000}"/>
    <cellStyle name="Note 2 2 4 6" xfId="8023" xr:uid="{00000000-0005-0000-0000-0000241B0000}"/>
    <cellStyle name="Note 2 2 4 7" xfId="7744" xr:uid="{00000000-0005-0000-0000-0000251B0000}"/>
    <cellStyle name="Note 2 2 4 8" xfId="8272" xr:uid="{00000000-0005-0000-0000-0000261B0000}"/>
    <cellStyle name="Note 2 2 4 9" xfId="8372" xr:uid="{00000000-0005-0000-0000-0000271B0000}"/>
    <cellStyle name="Note 2 2 5" xfId="7124" xr:uid="{00000000-0005-0000-0000-0000281B0000}"/>
    <cellStyle name="Note 2 2 6" xfId="7419" xr:uid="{00000000-0005-0000-0000-0000291B0000}"/>
    <cellStyle name="Note 2 2 7" xfId="7580" xr:uid="{00000000-0005-0000-0000-00002A1B0000}"/>
    <cellStyle name="Note 2 2 8" xfId="7733" xr:uid="{00000000-0005-0000-0000-00002B1B0000}"/>
    <cellStyle name="Note 2 2 9" xfId="7887" xr:uid="{00000000-0005-0000-0000-00002C1B0000}"/>
    <cellStyle name="Note 2 3" xfId="6713" xr:uid="{00000000-0005-0000-0000-00002D1B0000}"/>
    <cellStyle name="Note 2 3 10" xfId="7422" xr:uid="{00000000-0005-0000-0000-00002E1B0000}"/>
    <cellStyle name="Note 2 3 11" xfId="7990" xr:uid="{00000000-0005-0000-0000-00002F1B0000}"/>
    <cellStyle name="Note 2 3 12" xfId="7708" xr:uid="{00000000-0005-0000-0000-0000301B0000}"/>
    <cellStyle name="Note 2 3 2" xfId="6758" xr:uid="{00000000-0005-0000-0000-0000311B0000}"/>
    <cellStyle name="Note 2 3 2 10" xfId="8130" xr:uid="{00000000-0005-0000-0000-0000321B0000}"/>
    <cellStyle name="Note 2 3 2 11" xfId="8284" xr:uid="{00000000-0005-0000-0000-0000331B0000}"/>
    <cellStyle name="Note 2 3 2 2" xfId="6802" xr:uid="{00000000-0005-0000-0000-0000341B0000}"/>
    <cellStyle name="Note 2 3 2 2 10" xfId="7883" xr:uid="{00000000-0005-0000-0000-0000351B0000}"/>
    <cellStyle name="Note 2 3 2 2 2" xfId="7010" xr:uid="{00000000-0005-0000-0000-0000361B0000}"/>
    <cellStyle name="Note 2 3 2 2 2 2" xfId="7395" xr:uid="{00000000-0005-0000-0000-0000371B0000}"/>
    <cellStyle name="Note 2 3 2 2 2 3" xfId="7682" xr:uid="{00000000-0005-0000-0000-0000381B0000}"/>
    <cellStyle name="Note 2 3 2 2 2 4" xfId="7835" xr:uid="{00000000-0005-0000-0000-0000391B0000}"/>
    <cellStyle name="Note 2 3 2 2 2 5" xfId="7986" xr:uid="{00000000-0005-0000-0000-00003A1B0000}"/>
    <cellStyle name="Note 2 3 2 2 2 6" xfId="8127" xr:uid="{00000000-0005-0000-0000-00003B1B0000}"/>
    <cellStyle name="Note 2 3 2 2 2 7" xfId="7822" xr:uid="{00000000-0005-0000-0000-00003C1B0000}"/>
    <cellStyle name="Note 2 3 2 2 2 8" xfId="8349" xr:uid="{00000000-0005-0000-0000-00003D1B0000}"/>
    <cellStyle name="Note 2 3 2 2 2 9" xfId="8435" xr:uid="{00000000-0005-0000-0000-00003E1B0000}"/>
    <cellStyle name="Note 2 3 2 2 3" xfId="7247" xr:uid="{00000000-0005-0000-0000-00003F1B0000}"/>
    <cellStyle name="Note 2 3 2 2 4" xfId="7542" xr:uid="{00000000-0005-0000-0000-0000401B0000}"/>
    <cellStyle name="Note 2 3 2 2 5" xfId="7029" xr:uid="{00000000-0005-0000-0000-0000411B0000}"/>
    <cellStyle name="Note 2 3 2 2 6" xfId="7530" xr:uid="{00000000-0005-0000-0000-0000421B0000}"/>
    <cellStyle name="Note 2 3 2 2 7" xfId="7099" xr:uid="{00000000-0005-0000-0000-0000431B0000}"/>
    <cellStyle name="Note 2 3 2 2 8" xfId="8145" xr:uid="{00000000-0005-0000-0000-0000441B0000}"/>
    <cellStyle name="Note 2 3 2 2 9" xfId="7670" xr:uid="{00000000-0005-0000-0000-0000451B0000}"/>
    <cellStyle name="Note 2 3 2 3" xfId="6936" xr:uid="{00000000-0005-0000-0000-0000461B0000}"/>
    <cellStyle name="Note 2 3 2 3 2" xfId="7321" xr:uid="{00000000-0005-0000-0000-0000471B0000}"/>
    <cellStyle name="Note 2 3 2 3 3" xfId="7613" xr:uid="{00000000-0005-0000-0000-0000481B0000}"/>
    <cellStyle name="Note 2 3 2 3 4" xfId="7765" xr:uid="{00000000-0005-0000-0000-0000491B0000}"/>
    <cellStyle name="Note 2 3 2 3 5" xfId="7920" xr:uid="{00000000-0005-0000-0000-00004A1B0000}"/>
    <cellStyle name="Note 2 3 2 3 6" xfId="8060" xr:uid="{00000000-0005-0000-0000-00004B1B0000}"/>
    <cellStyle name="Note 2 3 2 3 7" xfId="7953" xr:uid="{00000000-0005-0000-0000-00004C1B0000}"/>
    <cellStyle name="Note 2 3 2 3 8" xfId="8300" xr:uid="{00000000-0005-0000-0000-00004D1B0000}"/>
    <cellStyle name="Note 2 3 2 3 9" xfId="8395" xr:uid="{00000000-0005-0000-0000-00004E1B0000}"/>
    <cellStyle name="Note 2 3 2 4" xfId="7173" xr:uid="{00000000-0005-0000-0000-00004F1B0000}"/>
    <cellStyle name="Note 2 3 2 5" xfId="7468" xr:uid="{00000000-0005-0000-0000-0000501B0000}"/>
    <cellStyle name="Note 2 3 2 6" xfId="7057" xr:uid="{00000000-0005-0000-0000-0000511B0000}"/>
    <cellStyle name="Note 2 3 2 7" xfId="7423" xr:uid="{00000000-0005-0000-0000-0000521B0000}"/>
    <cellStyle name="Note 2 3 2 8" xfId="7685" xr:uid="{00000000-0005-0000-0000-0000531B0000}"/>
    <cellStyle name="Note 2 3 2 9" xfId="8054" xr:uid="{00000000-0005-0000-0000-0000541B0000}"/>
    <cellStyle name="Note 2 3 3" xfId="6782" xr:uid="{00000000-0005-0000-0000-0000551B0000}"/>
    <cellStyle name="Note 2 3 3 10" xfId="8097" xr:uid="{00000000-0005-0000-0000-0000561B0000}"/>
    <cellStyle name="Note 2 3 3 2" xfId="6973" xr:uid="{00000000-0005-0000-0000-0000571B0000}"/>
    <cellStyle name="Note 2 3 3 2 2" xfId="7358" xr:uid="{00000000-0005-0000-0000-0000581B0000}"/>
    <cellStyle name="Note 2 3 3 2 3" xfId="7648" xr:uid="{00000000-0005-0000-0000-0000591B0000}"/>
    <cellStyle name="Note 2 3 3 2 4" xfId="7800" xr:uid="{00000000-0005-0000-0000-00005A1B0000}"/>
    <cellStyle name="Note 2 3 3 2 5" xfId="7954" xr:uid="{00000000-0005-0000-0000-00005B1B0000}"/>
    <cellStyle name="Note 2 3 3 2 6" xfId="8094" xr:uid="{00000000-0005-0000-0000-00005C1B0000}"/>
    <cellStyle name="Note 2 3 3 2 7" xfId="8175" xr:uid="{00000000-0005-0000-0000-00005D1B0000}"/>
    <cellStyle name="Note 2 3 3 2 8" xfId="8324" xr:uid="{00000000-0005-0000-0000-00005E1B0000}"/>
    <cellStyle name="Note 2 3 3 2 9" xfId="8415" xr:uid="{00000000-0005-0000-0000-00005F1B0000}"/>
    <cellStyle name="Note 2 3 3 3" xfId="7210" xr:uid="{00000000-0005-0000-0000-0000601B0000}"/>
    <cellStyle name="Note 2 3 3 4" xfId="7505" xr:uid="{00000000-0005-0000-0000-0000611B0000}"/>
    <cellStyle name="Note 2 3 3 5" xfId="7118" xr:uid="{00000000-0005-0000-0000-0000621B0000}"/>
    <cellStyle name="Note 2 3 3 6" xfId="7600" xr:uid="{00000000-0005-0000-0000-0000631B0000}"/>
    <cellStyle name="Note 2 3 3 7" xfId="7753" xr:uid="{00000000-0005-0000-0000-0000641B0000}"/>
    <cellStyle name="Note 2 3 3 8" xfId="8245" xr:uid="{00000000-0005-0000-0000-0000651B0000}"/>
    <cellStyle name="Note 2 3 3 9" xfId="8180" xr:uid="{00000000-0005-0000-0000-0000661B0000}"/>
    <cellStyle name="Note 2 3 4" xfId="6899" xr:uid="{00000000-0005-0000-0000-0000671B0000}"/>
    <cellStyle name="Note 2 3 4 2" xfId="7284" xr:uid="{00000000-0005-0000-0000-0000681B0000}"/>
    <cellStyle name="Note 2 3 4 3" xfId="7577" xr:uid="{00000000-0005-0000-0000-0000691B0000}"/>
    <cellStyle name="Note 2 3 4 4" xfId="7730" xr:uid="{00000000-0005-0000-0000-00006A1B0000}"/>
    <cellStyle name="Note 2 3 4 5" xfId="7884" xr:uid="{00000000-0005-0000-0000-00006B1B0000}"/>
    <cellStyle name="Note 2 3 4 6" xfId="8029" xr:uid="{00000000-0005-0000-0000-00006C1B0000}"/>
    <cellStyle name="Note 2 3 4 7" xfId="8199" xr:uid="{00000000-0005-0000-0000-00006D1B0000}"/>
    <cellStyle name="Note 2 3 4 8" xfId="8275" xr:uid="{00000000-0005-0000-0000-00006E1B0000}"/>
    <cellStyle name="Note 2 3 4 9" xfId="8375" xr:uid="{00000000-0005-0000-0000-00006F1B0000}"/>
    <cellStyle name="Note 2 3 5" xfId="7130" xr:uid="{00000000-0005-0000-0000-0000701B0000}"/>
    <cellStyle name="Note 2 3 6" xfId="7425" xr:uid="{00000000-0005-0000-0000-0000711B0000}"/>
    <cellStyle name="Note 2 3 7" xfId="7471" xr:uid="{00000000-0005-0000-0000-0000721B0000}"/>
    <cellStyle name="Note 2 3 8" xfId="7520" xr:uid="{00000000-0005-0000-0000-0000731B0000}"/>
    <cellStyle name="Note 2 3 9" xfId="7138" xr:uid="{00000000-0005-0000-0000-0000741B0000}"/>
    <cellStyle name="Note 2 4" xfId="6726" xr:uid="{00000000-0005-0000-0000-0000751B0000}"/>
    <cellStyle name="Note 2 4 10" xfId="7924" xr:uid="{00000000-0005-0000-0000-0000761B0000}"/>
    <cellStyle name="Note 2 4 11" xfId="7846" xr:uid="{00000000-0005-0000-0000-0000771B0000}"/>
    <cellStyle name="Note 2 4 12" xfId="8287" xr:uid="{00000000-0005-0000-0000-0000781B0000}"/>
    <cellStyle name="Note 2 4 2" xfId="6766" xr:uid="{00000000-0005-0000-0000-0000791B0000}"/>
    <cellStyle name="Note 2 4 2 10" xfId="7967" xr:uid="{00000000-0005-0000-0000-00007A1B0000}"/>
    <cellStyle name="Note 2 4 2 11" xfId="8192" xr:uid="{00000000-0005-0000-0000-00007B1B0000}"/>
    <cellStyle name="Note 2 4 2 2" xfId="6807" xr:uid="{00000000-0005-0000-0000-00007C1B0000}"/>
    <cellStyle name="Note 2 4 2 2 10" xfId="8360" xr:uid="{00000000-0005-0000-0000-00007D1B0000}"/>
    <cellStyle name="Note 2 4 2 2 2" xfId="7018" xr:uid="{00000000-0005-0000-0000-00007E1B0000}"/>
    <cellStyle name="Note 2 4 2 2 2 2" xfId="7403" xr:uid="{00000000-0005-0000-0000-00007F1B0000}"/>
    <cellStyle name="Note 2 4 2 2 2 3" xfId="7690" xr:uid="{00000000-0005-0000-0000-0000801B0000}"/>
    <cellStyle name="Note 2 4 2 2 2 4" xfId="7843" xr:uid="{00000000-0005-0000-0000-0000811B0000}"/>
    <cellStyle name="Note 2 4 2 2 2 5" xfId="7993" xr:uid="{00000000-0005-0000-0000-0000821B0000}"/>
    <cellStyle name="Note 2 4 2 2 2 6" xfId="8135" xr:uid="{00000000-0005-0000-0000-0000831B0000}"/>
    <cellStyle name="Note 2 4 2 2 2 7" xfId="7610" xr:uid="{00000000-0005-0000-0000-0000841B0000}"/>
    <cellStyle name="Note 2 4 2 2 2 8" xfId="8354" xr:uid="{00000000-0005-0000-0000-0000851B0000}"/>
    <cellStyle name="Note 2 4 2 2 2 9" xfId="8440" xr:uid="{00000000-0005-0000-0000-0000861B0000}"/>
    <cellStyle name="Note 2 4 2 2 3" xfId="7255" xr:uid="{00000000-0005-0000-0000-0000871B0000}"/>
    <cellStyle name="Note 2 4 2 2 4" xfId="7550" xr:uid="{00000000-0005-0000-0000-0000881B0000}"/>
    <cellStyle name="Note 2 4 2 2 5" xfId="7702" xr:uid="{00000000-0005-0000-0000-0000891B0000}"/>
    <cellStyle name="Note 2 4 2 2 6" xfId="7855" xr:uid="{00000000-0005-0000-0000-00008A1B0000}"/>
    <cellStyle name="Note 2 4 2 2 7" xfId="8004" xr:uid="{00000000-0005-0000-0000-00008B1B0000}"/>
    <cellStyle name="Note 2 4 2 2 8" xfId="7861" xr:uid="{00000000-0005-0000-0000-00008C1B0000}"/>
    <cellStyle name="Note 2 4 2 2 9" xfId="8256" xr:uid="{00000000-0005-0000-0000-00008D1B0000}"/>
    <cellStyle name="Note 2 4 2 3" xfId="6944" xr:uid="{00000000-0005-0000-0000-00008E1B0000}"/>
    <cellStyle name="Note 2 4 2 3 2" xfId="7329" xr:uid="{00000000-0005-0000-0000-00008F1B0000}"/>
    <cellStyle name="Note 2 4 2 3 3" xfId="7620" xr:uid="{00000000-0005-0000-0000-0000901B0000}"/>
    <cellStyle name="Note 2 4 2 3 4" xfId="7773" xr:uid="{00000000-0005-0000-0000-0000911B0000}"/>
    <cellStyle name="Note 2 4 2 3 5" xfId="7928" xr:uid="{00000000-0005-0000-0000-0000921B0000}"/>
    <cellStyle name="Note 2 4 2 3 6" xfId="8067" xr:uid="{00000000-0005-0000-0000-0000931B0000}"/>
    <cellStyle name="Note 2 4 2 3 7" xfId="7089" xr:uid="{00000000-0005-0000-0000-0000941B0000}"/>
    <cellStyle name="Note 2 4 2 3 8" xfId="8306" xr:uid="{00000000-0005-0000-0000-0000951B0000}"/>
    <cellStyle name="Note 2 4 2 3 9" xfId="8400" xr:uid="{00000000-0005-0000-0000-0000961B0000}"/>
    <cellStyle name="Note 2 4 2 4" xfId="7181" xr:uid="{00000000-0005-0000-0000-0000971B0000}"/>
    <cellStyle name="Note 2 4 2 5" xfId="7476" xr:uid="{00000000-0005-0000-0000-0000981B0000}"/>
    <cellStyle name="Note 2 4 2 6" xfId="7058" xr:uid="{00000000-0005-0000-0000-0000991B0000}"/>
    <cellStyle name="Note 2 4 2 7" xfId="7466" xr:uid="{00000000-0005-0000-0000-00009A1B0000}"/>
    <cellStyle name="Note 2 4 2 8" xfId="7481" xr:uid="{00000000-0005-0000-0000-00009B1B0000}"/>
    <cellStyle name="Note 2 4 2 9" xfId="8045" xr:uid="{00000000-0005-0000-0000-00009C1B0000}"/>
    <cellStyle name="Note 2 4 3" xfId="6787" xr:uid="{00000000-0005-0000-0000-00009D1B0000}"/>
    <cellStyle name="Note 2 4 3 10" xfId="7032" xr:uid="{00000000-0005-0000-0000-00009E1B0000}"/>
    <cellStyle name="Note 2 4 3 2" xfId="6981" xr:uid="{00000000-0005-0000-0000-00009F1B0000}"/>
    <cellStyle name="Note 2 4 3 2 2" xfId="7366" xr:uid="{00000000-0005-0000-0000-0000A01B0000}"/>
    <cellStyle name="Note 2 4 3 2 3" xfId="7656" xr:uid="{00000000-0005-0000-0000-0000A11B0000}"/>
    <cellStyle name="Note 2 4 3 2 4" xfId="7807" xr:uid="{00000000-0005-0000-0000-0000A21B0000}"/>
    <cellStyle name="Note 2 4 3 2 5" xfId="7961" xr:uid="{00000000-0005-0000-0000-0000A31B0000}"/>
    <cellStyle name="Note 2 4 3 2 6" xfId="8102" xr:uid="{00000000-0005-0000-0000-0000A41B0000}"/>
    <cellStyle name="Note 2 4 3 2 7" xfId="8242" xr:uid="{00000000-0005-0000-0000-0000A51B0000}"/>
    <cellStyle name="Note 2 4 3 2 8" xfId="8330" xr:uid="{00000000-0005-0000-0000-0000A61B0000}"/>
    <cellStyle name="Note 2 4 3 2 9" xfId="8420" xr:uid="{00000000-0005-0000-0000-0000A71B0000}"/>
    <cellStyle name="Note 2 4 3 3" xfId="7218" xr:uid="{00000000-0005-0000-0000-0000A81B0000}"/>
    <cellStyle name="Note 2 4 3 4" xfId="7513" xr:uid="{00000000-0005-0000-0000-0000A91B0000}"/>
    <cellStyle name="Note 2 4 3 5" xfId="7083" xr:uid="{00000000-0005-0000-0000-0000AA1B0000}"/>
    <cellStyle name="Note 2 4 3 6" xfId="7546" xr:uid="{00000000-0005-0000-0000-0000AB1B0000}"/>
    <cellStyle name="Note 2 4 3 7" xfId="7137" xr:uid="{00000000-0005-0000-0000-0000AC1B0000}"/>
    <cellStyle name="Note 2 4 3 8" xfId="8240" xr:uid="{00000000-0005-0000-0000-0000AD1B0000}"/>
    <cellStyle name="Note 2 4 3 9" xfId="7944" xr:uid="{00000000-0005-0000-0000-0000AE1B0000}"/>
    <cellStyle name="Note 2 4 4" xfId="6907" xr:uid="{00000000-0005-0000-0000-0000AF1B0000}"/>
    <cellStyle name="Note 2 4 4 2" xfId="7292" xr:uid="{00000000-0005-0000-0000-0000B01B0000}"/>
    <cellStyle name="Note 2 4 4 3" xfId="7585" xr:uid="{00000000-0005-0000-0000-0000B11B0000}"/>
    <cellStyle name="Note 2 4 4 4" xfId="7738" xr:uid="{00000000-0005-0000-0000-0000B21B0000}"/>
    <cellStyle name="Note 2 4 4 5" xfId="7892" xr:uid="{00000000-0005-0000-0000-0000B31B0000}"/>
    <cellStyle name="Note 2 4 4 6" xfId="8035" xr:uid="{00000000-0005-0000-0000-0000B41B0000}"/>
    <cellStyle name="Note 2 4 4 7" xfId="8092" xr:uid="{00000000-0005-0000-0000-0000B51B0000}"/>
    <cellStyle name="Note 2 4 4 8" xfId="8280" xr:uid="{00000000-0005-0000-0000-0000B61B0000}"/>
    <cellStyle name="Note 2 4 4 9" xfId="8380" xr:uid="{00000000-0005-0000-0000-0000B71B0000}"/>
    <cellStyle name="Note 2 4 5" xfId="7142" xr:uid="{00000000-0005-0000-0000-0000B81B0000}"/>
    <cellStyle name="Note 2 4 6" xfId="7438" xr:uid="{00000000-0005-0000-0000-0000B91B0000}"/>
    <cellStyle name="Note 2 4 7" xfId="7487" xr:uid="{00000000-0005-0000-0000-0000BA1B0000}"/>
    <cellStyle name="Note 2 4 8" xfId="7447" xr:uid="{00000000-0005-0000-0000-0000BB1B0000}"/>
    <cellStyle name="Note 2 4 9" xfId="7549" xr:uid="{00000000-0005-0000-0000-0000BC1B0000}"/>
    <cellStyle name="Note 2 5" xfId="6741" xr:uid="{00000000-0005-0000-0000-0000BD1B0000}"/>
    <cellStyle name="Note 2 5 10" xfId="8233" xr:uid="{00000000-0005-0000-0000-0000BE1B0000}"/>
    <cellStyle name="Note 2 5 11" xfId="8296" xr:uid="{00000000-0005-0000-0000-0000BF1B0000}"/>
    <cellStyle name="Note 2 5 2" xfId="6792" xr:uid="{00000000-0005-0000-0000-0000C01B0000}"/>
    <cellStyle name="Note 2 5 2 10" xfId="7584" xr:uid="{00000000-0005-0000-0000-0000C11B0000}"/>
    <cellStyle name="Note 2 5 2 2" xfId="6993" xr:uid="{00000000-0005-0000-0000-0000C21B0000}"/>
    <cellStyle name="Note 2 5 2 2 2" xfId="7378" xr:uid="{00000000-0005-0000-0000-0000C31B0000}"/>
    <cellStyle name="Note 2 5 2 2 3" xfId="7666" xr:uid="{00000000-0005-0000-0000-0000C41B0000}"/>
    <cellStyle name="Note 2 5 2 2 4" xfId="7818" xr:uid="{00000000-0005-0000-0000-0000C51B0000}"/>
    <cellStyle name="Note 2 5 2 2 5" xfId="7971" xr:uid="{00000000-0005-0000-0000-0000C61B0000}"/>
    <cellStyle name="Note 2 5 2 2 6" xfId="8111" xr:uid="{00000000-0005-0000-0000-0000C71B0000}"/>
    <cellStyle name="Note 2 5 2 2 7" xfId="8159" xr:uid="{00000000-0005-0000-0000-0000C81B0000}"/>
    <cellStyle name="Note 2 5 2 2 8" xfId="8338" xr:uid="{00000000-0005-0000-0000-0000C91B0000}"/>
    <cellStyle name="Note 2 5 2 2 9" xfId="8425" xr:uid="{00000000-0005-0000-0000-0000CA1B0000}"/>
    <cellStyle name="Note 2 5 2 3" xfId="7230" xr:uid="{00000000-0005-0000-0000-0000CB1B0000}"/>
    <cellStyle name="Note 2 5 2 4" xfId="7525" xr:uid="{00000000-0005-0000-0000-0000CC1B0000}"/>
    <cellStyle name="Note 2 5 2 5" xfId="7094" xr:uid="{00000000-0005-0000-0000-0000CD1B0000}"/>
    <cellStyle name="Note 2 5 2 6" xfId="7424" xr:uid="{00000000-0005-0000-0000-0000CE1B0000}"/>
    <cellStyle name="Note 2 5 2 7" xfId="7545" xr:uid="{00000000-0005-0000-0000-0000CF1B0000}"/>
    <cellStyle name="Note 2 5 2 8" xfId="8081" xr:uid="{00000000-0005-0000-0000-0000D01B0000}"/>
    <cellStyle name="Note 2 5 2 9" xfId="7065" xr:uid="{00000000-0005-0000-0000-0000D11B0000}"/>
    <cellStyle name="Note 2 5 3" xfId="6919" xr:uid="{00000000-0005-0000-0000-0000D21B0000}"/>
    <cellStyle name="Note 2 5 3 2" xfId="7304" xr:uid="{00000000-0005-0000-0000-0000D31B0000}"/>
    <cellStyle name="Note 2 5 3 3" xfId="7596" xr:uid="{00000000-0005-0000-0000-0000D41B0000}"/>
    <cellStyle name="Note 2 5 3 4" xfId="7749" xr:uid="{00000000-0005-0000-0000-0000D51B0000}"/>
    <cellStyle name="Note 2 5 3 5" xfId="7904" xr:uid="{00000000-0005-0000-0000-0000D61B0000}"/>
    <cellStyle name="Note 2 5 3 6" xfId="8046" xr:uid="{00000000-0005-0000-0000-0000D71B0000}"/>
    <cellStyle name="Note 2 5 3 7" xfId="8176" xr:uid="{00000000-0005-0000-0000-0000D81B0000}"/>
    <cellStyle name="Note 2 5 3 8" xfId="8288" xr:uid="{00000000-0005-0000-0000-0000D91B0000}"/>
    <cellStyle name="Note 2 5 3 9" xfId="8385" xr:uid="{00000000-0005-0000-0000-0000DA1B0000}"/>
    <cellStyle name="Note 2 5 4" xfId="7156" xr:uid="{00000000-0005-0000-0000-0000DB1B0000}"/>
    <cellStyle name="Note 2 5 5" xfId="7452" xr:uid="{00000000-0005-0000-0000-0000DC1B0000}"/>
    <cellStyle name="Note 2 5 6" xfId="7498" xr:uid="{00000000-0005-0000-0000-0000DD1B0000}"/>
    <cellStyle name="Note 2 5 7" xfId="7069" xr:uid="{00000000-0005-0000-0000-0000DE1B0000}"/>
    <cellStyle name="Note 2 5 8" xfId="7624" xr:uid="{00000000-0005-0000-0000-0000DF1B0000}"/>
    <cellStyle name="Note 2 5 9" xfId="8213" xr:uid="{00000000-0005-0000-0000-0000E01B0000}"/>
    <cellStyle name="Note 2 6" xfId="6695" xr:uid="{00000000-0005-0000-0000-0000E11B0000}"/>
    <cellStyle name="Note 2 6 10" xfId="8182" xr:uid="{00000000-0005-0000-0000-0000E21B0000}"/>
    <cellStyle name="Note 2 6 11" xfId="6848" xr:uid="{00000000-0005-0000-0000-0000E31B0000}"/>
    <cellStyle name="Note 2 6 2" xfId="6956" xr:uid="{00000000-0005-0000-0000-0000E41B0000}"/>
    <cellStyle name="Note 2 6 2 2" xfId="7341" xr:uid="{00000000-0005-0000-0000-0000E51B0000}"/>
    <cellStyle name="Note 2 6 2 3" xfId="7632" xr:uid="{00000000-0005-0000-0000-0000E61B0000}"/>
    <cellStyle name="Note 2 6 2 4" xfId="7784" xr:uid="{00000000-0005-0000-0000-0000E71B0000}"/>
    <cellStyle name="Note 2 6 2 5" xfId="7940" xr:uid="{00000000-0005-0000-0000-0000E81B0000}"/>
    <cellStyle name="Note 2 6 2 6" xfId="8078" xr:uid="{00000000-0005-0000-0000-0000E91B0000}"/>
    <cellStyle name="Note 2 6 2 7" xfId="8018" xr:uid="{00000000-0005-0000-0000-0000EA1B0000}"/>
    <cellStyle name="Note 2 6 2 8" xfId="8313" xr:uid="{00000000-0005-0000-0000-0000EB1B0000}"/>
    <cellStyle name="Note 2 6 2 9" xfId="8405" xr:uid="{00000000-0005-0000-0000-0000EC1B0000}"/>
    <cellStyle name="Note 2 6 3" xfId="7193" xr:uid="{00000000-0005-0000-0000-0000ED1B0000}"/>
    <cellStyle name="Note 2 6 4" xfId="7488" xr:uid="{00000000-0005-0000-0000-0000EE1B0000}"/>
    <cellStyle name="Note 2 6 5" xfId="7448" xr:uid="{00000000-0005-0000-0000-0000EF1B0000}"/>
    <cellStyle name="Note 2 6 6" xfId="7475" xr:uid="{00000000-0005-0000-0000-0000F01B0000}"/>
    <cellStyle name="Note 2 6 7" xfId="7483" xr:uid="{00000000-0005-0000-0000-0000F11B0000}"/>
    <cellStyle name="Note 2 6 8" xfId="8186" xr:uid="{00000000-0005-0000-0000-0000F21B0000}"/>
    <cellStyle name="Note 2 6 9" xfId="7909" xr:uid="{00000000-0005-0000-0000-0000F31B0000}"/>
    <cellStyle name="Note 2 7" xfId="6687" xr:uid="{00000000-0005-0000-0000-0000F41B0000}"/>
    <cellStyle name="Note 2 7 2" xfId="7267" xr:uid="{00000000-0005-0000-0000-0000F51B0000}"/>
    <cellStyle name="Note 2 7 3" xfId="7561" xr:uid="{00000000-0005-0000-0000-0000F61B0000}"/>
    <cellStyle name="Note 2 7 4" xfId="7714" xr:uid="{00000000-0005-0000-0000-0000F71B0000}"/>
    <cellStyle name="Note 2 7 5" xfId="7867" xr:uid="{00000000-0005-0000-0000-0000F81B0000}"/>
    <cellStyle name="Note 2 7 6" xfId="8014" xr:uid="{00000000-0005-0000-0000-0000F91B0000}"/>
    <cellStyle name="Note 2 7 7" xfId="8108" xr:uid="{00000000-0005-0000-0000-0000FA1B0000}"/>
    <cellStyle name="Note 2 7 8" xfId="8264" xr:uid="{00000000-0005-0000-0000-0000FB1B0000}"/>
    <cellStyle name="Note 2 7 9" xfId="8365" xr:uid="{00000000-0005-0000-0000-0000FC1B0000}"/>
    <cellStyle name="Note 2 8" xfId="7096" xr:uid="{00000000-0005-0000-0000-0000FD1B0000}"/>
    <cellStyle name="Note 2 9" xfId="7050" xr:uid="{00000000-0005-0000-0000-0000FE1B0000}"/>
    <cellStyle name="Note 3" xfId="480" xr:uid="{00000000-0005-0000-0000-0000FF1B0000}"/>
    <cellStyle name="Note 4" xfId="481" xr:uid="{00000000-0005-0000-0000-0000001C0000}"/>
    <cellStyle name="Note 4 2" xfId="482" xr:uid="{00000000-0005-0000-0000-0000011C0000}"/>
    <cellStyle name="Note 4 2 2" xfId="864" xr:uid="{00000000-0005-0000-0000-0000021C0000}"/>
    <cellStyle name="Note 4 2 2 2" xfId="1392" xr:uid="{00000000-0005-0000-0000-0000031C0000}"/>
    <cellStyle name="Note 4 2 2 2 2" xfId="2976" xr:uid="{00000000-0005-0000-0000-0000041C0000}"/>
    <cellStyle name="Note 4 2 2 2 2 2" xfId="6145" xr:uid="{00000000-0005-0000-0000-0000051C0000}"/>
    <cellStyle name="Note 4 2 2 2 3" xfId="4561" xr:uid="{00000000-0005-0000-0000-0000061C0000}"/>
    <cellStyle name="Note 4 2 2 3" xfId="1920" xr:uid="{00000000-0005-0000-0000-0000071C0000}"/>
    <cellStyle name="Note 4 2 2 3 2" xfId="3504" xr:uid="{00000000-0005-0000-0000-0000081C0000}"/>
    <cellStyle name="Note 4 2 2 3 2 2" xfId="6673" xr:uid="{00000000-0005-0000-0000-0000091C0000}"/>
    <cellStyle name="Note 4 2 2 3 3" xfId="5089" xr:uid="{00000000-0005-0000-0000-00000A1C0000}"/>
    <cellStyle name="Note 4 2 2 4" xfId="2448" xr:uid="{00000000-0005-0000-0000-00000B1C0000}"/>
    <cellStyle name="Note 4 2 2 4 2" xfId="5617" xr:uid="{00000000-0005-0000-0000-00000C1C0000}"/>
    <cellStyle name="Note 4 2 2 5" xfId="4033" xr:uid="{00000000-0005-0000-0000-00000D1C0000}"/>
    <cellStyle name="Note 4 2 3" xfId="1128" xr:uid="{00000000-0005-0000-0000-00000E1C0000}"/>
    <cellStyle name="Note 4 2 3 2" xfId="2712" xr:uid="{00000000-0005-0000-0000-00000F1C0000}"/>
    <cellStyle name="Note 4 2 3 2 2" xfId="5881" xr:uid="{00000000-0005-0000-0000-0000101C0000}"/>
    <cellStyle name="Note 4 2 3 3" xfId="4297" xr:uid="{00000000-0005-0000-0000-0000111C0000}"/>
    <cellStyle name="Note 4 2 4" xfId="1656" xr:uid="{00000000-0005-0000-0000-0000121C0000}"/>
    <cellStyle name="Note 4 2 4 2" xfId="3240" xr:uid="{00000000-0005-0000-0000-0000131C0000}"/>
    <cellStyle name="Note 4 2 4 2 2" xfId="6409" xr:uid="{00000000-0005-0000-0000-0000141C0000}"/>
    <cellStyle name="Note 4 2 4 3" xfId="4825" xr:uid="{00000000-0005-0000-0000-0000151C0000}"/>
    <cellStyle name="Note 4 2 5" xfId="2184" xr:uid="{00000000-0005-0000-0000-0000161C0000}"/>
    <cellStyle name="Note 4 2 5 2" xfId="5353" xr:uid="{00000000-0005-0000-0000-0000171C0000}"/>
    <cellStyle name="Note 4 2 6" xfId="3769" xr:uid="{00000000-0005-0000-0000-0000181C0000}"/>
    <cellStyle name="Note 4 3" xfId="863" xr:uid="{00000000-0005-0000-0000-0000191C0000}"/>
    <cellStyle name="Note 4 3 2" xfId="1391" xr:uid="{00000000-0005-0000-0000-00001A1C0000}"/>
    <cellStyle name="Note 4 3 2 2" xfId="2975" xr:uid="{00000000-0005-0000-0000-00001B1C0000}"/>
    <cellStyle name="Note 4 3 2 2 2" xfId="6144" xr:uid="{00000000-0005-0000-0000-00001C1C0000}"/>
    <cellStyle name="Note 4 3 2 3" xfId="4560" xr:uid="{00000000-0005-0000-0000-00001D1C0000}"/>
    <cellStyle name="Note 4 3 3" xfId="1919" xr:uid="{00000000-0005-0000-0000-00001E1C0000}"/>
    <cellStyle name="Note 4 3 3 2" xfId="3503" xr:uid="{00000000-0005-0000-0000-00001F1C0000}"/>
    <cellStyle name="Note 4 3 3 2 2" xfId="6672" xr:uid="{00000000-0005-0000-0000-0000201C0000}"/>
    <cellStyle name="Note 4 3 3 3" xfId="5088" xr:uid="{00000000-0005-0000-0000-0000211C0000}"/>
    <cellStyle name="Note 4 3 4" xfId="2447" xr:uid="{00000000-0005-0000-0000-0000221C0000}"/>
    <cellStyle name="Note 4 3 4 2" xfId="5616" xr:uid="{00000000-0005-0000-0000-0000231C0000}"/>
    <cellStyle name="Note 4 3 5" xfId="4032" xr:uid="{00000000-0005-0000-0000-0000241C0000}"/>
    <cellStyle name="Note 4 4" xfId="1127" xr:uid="{00000000-0005-0000-0000-0000251C0000}"/>
    <cellStyle name="Note 4 4 2" xfId="2711" xr:uid="{00000000-0005-0000-0000-0000261C0000}"/>
    <cellStyle name="Note 4 4 2 2" xfId="5880" xr:uid="{00000000-0005-0000-0000-0000271C0000}"/>
    <cellStyle name="Note 4 4 3" xfId="4296" xr:uid="{00000000-0005-0000-0000-0000281C0000}"/>
    <cellStyle name="Note 4 5" xfId="1655" xr:uid="{00000000-0005-0000-0000-0000291C0000}"/>
    <cellStyle name="Note 4 5 2" xfId="3239" xr:uid="{00000000-0005-0000-0000-00002A1C0000}"/>
    <cellStyle name="Note 4 5 2 2" xfId="6408" xr:uid="{00000000-0005-0000-0000-00002B1C0000}"/>
    <cellStyle name="Note 4 5 3" xfId="4824" xr:uid="{00000000-0005-0000-0000-00002C1C0000}"/>
    <cellStyle name="Note 4 6" xfId="2183" xr:uid="{00000000-0005-0000-0000-00002D1C0000}"/>
    <cellStyle name="Note 4 6 2" xfId="5352" xr:uid="{00000000-0005-0000-0000-00002E1C0000}"/>
    <cellStyle name="Note 4 7" xfId="3768" xr:uid="{00000000-0005-0000-0000-00002F1C0000}"/>
    <cellStyle name="Note 5" xfId="483" xr:uid="{00000000-0005-0000-0000-0000301C0000}"/>
    <cellStyle name="Note 5 2" xfId="484" xr:uid="{00000000-0005-0000-0000-0000311C0000}"/>
    <cellStyle name="Note 5 2 2" xfId="866" xr:uid="{00000000-0005-0000-0000-0000321C0000}"/>
    <cellStyle name="Note 5 2 2 2" xfId="1394" xr:uid="{00000000-0005-0000-0000-0000331C0000}"/>
    <cellStyle name="Note 5 2 2 2 2" xfId="2978" xr:uid="{00000000-0005-0000-0000-0000341C0000}"/>
    <cellStyle name="Note 5 2 2 2 2 2" xfId="6147" xr:uid="{00000000-0005-0000-0000-0000351C0000}"/>
    <cellStyle name="Note 5 2 2 2 3" xfId="4563" xr:uid="{00000000-0005-0000-0000-0000361C0000}"/>
    <cellStyle name="Note 5 2 2 3" xfId="1922" xr:uid="{00000000-0005-0000-0000-0000371C0000}"/>
    <cellStyle name="Note 5 2 2 3 2" xfId="3506" xr:uid="{00000000-0005-0000-0000-0000381C0000}"/>
    <cellStyle name="Note 5 2 2 3 2 2" xfId="6675" xr:uid="{00000000-0005-0000-0000-0000391C0000}"/>
    <cellStyle name="Note 5 2 2 3 3" xfId="5091" xr:uid="{00000000-0005-0000-0000-00003A1C0000}"/>
    <cellStyle name="Note 5 2 2 4" xfId="2450" xr:uid="{00000000-0005-0000-0000-00003B1C0000}"/>
    <cellStyle name="Note 5 2 2 4 2" xfId="5619" xr:uid="{00000000-0005-0000-0000-00003C1C0000}"/>
    <cellStyle name="Note 5 2 2 5" xfId="4035" xr:uid="{00000000-0005-0000-0000-00003D1C0000}"/>
    <cellStyle name="Note 5 2 3" xfId="1130" xr:uid="{00000000-0005-0000-0000-00003E1C0000}"/>
    <cellStyle name="Note 5 2 3 2" xfId="2714" xr:uid="{00000000-0005-0000-0000-00003F1C0000}"/>
    <cellStyle name="Note 5 2 3 2 2" xfId="5883" xr:uid="{00000000-0005-0000-0000-0000401C0000}"/>
    <cellStyle name="Note 5 2 3 3" xfId="4299" xr:uid="{00000000-0005-0000-0000-0000411C0000}"/>
    <cellStyle name="Note 5 2 4" xfId="1658" xr:uid="{00000000-0005-0000-0000-0000421C0000}"/>
    <cellStyle name="Note 5 2 4 2" xfId="3242" xr:uid="{00000000-0005-0000-0000-0000431C0000}"/>
    <cellStyle name="Note 5 2 4 2 2" xfId="6411" xr:uid="{00000000-0005-0000-0000-0000441C0000}"/>
    <cellStyle name="Note 5 2 4 3" xfId="4827" xr:uid="{00000000-0005-0000-0000-0000451C0000}"/>
    <cellStyle name="Note 5 2 5" xfId="2186" xr:uid="{00000000-0005-0000-0000-0000461C0000}"/>
    <cellStyle name="Note 5 2 5 2" xfId="5355" xr:uid="{00000000-0005-0000-0000-0000471C0000}"/>
    <cellStyle name="Note 5 2 6" xfId="3771" xr:uid="{00000000-0005-0000-0000-0000481C0000}"/>
    <cellStyle name="Note 5 3" xfId="865" xr:uid="{00000000-0005-0000-0000-0000491C0000}"/>
    <cellStyle name="Note 5 3 2" xfId="1393" xr:uid="{00000000-0005-0000-0000-00004A1C0000}"/>
    <cellStyle name="Note 5 3 2 2" xfId="2977" xr:uid="{00000000-0005-0000-0000-00004B1C0000}"/>
    <cellStyle name="Note 5 3 2 2 2" xfId="6146" xr:uid="{00000000-0005-0000-0000-00004C1C0000}"/>
    <cellStyle name="Note 5 3 2 3" xfId="4562" xr:uid="{00000000-0005-0000-0000-00004D1C0000}"/>
    <cellStyle name="Note 5 3 3" xfId="1921" xr:uid="{00000000-0005-0000-0000-00004E1C0000}"/>
    <cellStyle name="Note 5 3 3 2" xfId="3505" xr:uid="{00000000-0005-0000-0000-00004F1C0000}"/>
    <cellStyle name="Note 5 3 3 2 2" xfId="6674" xr:uid="{00000000-0005-0000-0000-0000501C0000}"/>
    <cellStyle name="Note 5 3 3 3" xfId="5090" xr:uid="{00000000-0005-0000-0000-0000511C0000}"/>
    <cellStyle name="Note 5 3 4" xfId="2449" xr:uid="{00000000-0005-0000-0000-0000521C0000}"/>
    <cellStyle name="Note 5 3 4 2" xfId="5618" xr:uid="{00000000-0005-0000-0000-0000531C0000}"/>
    <cellStyle name="Note 5 3 5" xfId="4034" xr:uid="{00000000-0005-0000-0000-0000541C0000}"/>
    <cellStyle name="Note 5 4" xfId="1129" xr:uid="{00000000-0005-0000-0000-0000551C0000}"/>
    <cellStyle name="Note 5 4 2" xfId="2713" xr:uid="{00000000-0005-0000-0000-0000561C0000}"/>
    <cellStyle name="Note 5 4 2 2" xfId="5882" xr:uid="{00000000-0005-0000-0000-0000571C0000}"/>
    <cellStyle name="Note 5 4 3" xfId="4298" xr:uid="{00000000-0005-0000-0000-0000581C0000}"/>
    <cellStyle name="Note 5 5" xfId="1657" xr:uid="{00000000-0005-0000-0000-0000591C0000}"/>
    <cellStyle name="Note 5 5 2" xfId="3241" xr:uid="{00000000-0005-0000-0000-00005A1C0000}"/>
    <cellStyle name="Note 5 5 2 2" xfId="6410" xr:uid="{00000000-0005-0000-0000-00005B1C0000}"/>
    <cellStyle name="Note 5 5 3" xfId="4826" xr:uid="{00000000-0005-0000-0000-00005C1C0000}"/>
    <cellStyle name="Note 5 6" xfId="2185" xr:uid="{00000000-0005-0000-0000-00005D1C0000}"/>
    <cellStyle name="Note 5 6 2" xfId="5354" xr:uid="{00000000-0005-0000-0000-00005E1C0000}"/>
    <cellStyle name="Note 5 7" xfId="3770" xr:uid="{00000000-0005-0000-0000-00005F1C0000}"/>
    <cellStyle name="Note 6" xfId="485" xr:uid="{00000000-0005-0000-0000-0000601C0000}"/>
    <cellStyle name="Note 6 2" xfId="486" xr:uid="{00000000-0005-0000-0000-0000611C0000}"/>
    <cellStyle name="Note 6 2 2" xfId="868" xr:uid="{00000000-0005-0000-0000-0000621C0000}"/>
    <cellStyle name="Note 6 2 2 2" xfId="1396" xr:uid="{00000000-0005-0000-0000-0000631C0000}"/>
    <cellStyle name="Note 6 2 2 2 2" xfId="2980" xr:uid="{00000000-0005-0000-0000-0000641C0000}"/>
    <cellStyle name="Note 6 2 2 2 2 2" xfId="6149" xr:uid="{00000000-0005-0000-0000-0000651C0000}"/>
    <cellStyle name="Note 6 2 2 2 3" xfId="4565" xr:uid="{00000000-0005-0000-0000-0000661C0000}"/>
    <cellStyle name="Note 6 2 2 3" xfId="1924" xr:uid="{00000000-0005-0000-0000-0000671C0000}"/>
    <cellStyle name="Note 6 2 2 3 2" xfId="3508" xr:uid="{00000000-0005-0000-0000-0000681C0000}"/>
    <cellStyle name="Note 6 2 2 3 2 2" xfId="6677" xr:uid="{00000000-0005-0000-0000-0000691C0000}"/>
    <cellStyle name="Note 6 2 2 3 3" xfId="5093" xr:uid="{00000000-0005-0000-0000-00006A1C0000}"/>
    <cellStyle name="Note 6 2 2 4" xfId="2452" xr:uid="{00000000-0005-0000-0000-00006B1C0000}"/>
    <cellStyle name="Note 6 2 2 4 2" xfId="5621" xr:uid="{00000000-0005-0000-0000-00006C1C0000}"/>
    <cellStyle name="Note 6 2 2 5" xfId="4037" xr:uid="{00000000-0005-0000-0000-00006D1C0000}"/>
    <cellStyle name="Note 6 2 3" xfId="1132" xr:uid="{00000000-0005-0000-0000-00006E1C0000}"/>
    <cellStyle name="Note 6 2 3 2" xfId="2716" xr:uid="{00000000-0005-0000-0000-00006F1C0000}"/>
    <cellStyle name="Note 6 2 3 2 2" xfId="5885" xr:uid="{00000000-0005-0000-0000-0000701C0000}"/>
    <cellStyle name="Note 6 2 3 3" xfId="4301" xr:uid="{00000000-0005-0000-0000-0000711C0000}"/>
    <cellStyle name="Note 6 2 4" xfId="1660" xr:uid="{00000000-0005-0000-0000-0000721C0000}"/>
    <cellStyle name="Note 6 2 4 2" xfId="3244" xr:uid="{00000000-0005-0000-0000-0000731C0000}"/>
    <cellStyle name="Note 6 2 4 2 2" xfId="6413" xr:uid="{00000000-0005-0000-0000-0000741C0000}"/>
    <cellStyle name="Note 6 2 4 3" xfId="4829" xr:uid="{00000000-0005-0000-0000-0000751C0000}"/>
    <cellStyle name="Note 6 2 5" xfId="2188" xr:uid="{00000000-0005-0000-0000-0000761C0000}"/>
    <cellStyle name="Note 6 2 5 2" xfId="5357" xr:uid="{00000000-0005-0000-0000-0000771C0000}"/>
    <cellStyle name="Note 6 2 6" xfId="3773" xr:uid="{00000000-0005-0000-0000-0000781C0000}"/>
    <cellStyle name="Note 6 3" xfId="867" xr:uid="{00000000-0005-0000-0000-0000791C0000}"/>
    <cellStyle name="Note 6 3 2" xfId="1395" xr:uid="{00000000-0005-0000-0000-00007A1C0000}"/>
    <cellStyle name="Note 6 3 2 2" xfId="2979" xr:uid="{00000000-0005-0000-0000-00007B1C0000}"/>
    <cellStyle name="Note 6 3 2 2 2" xfId="6148" xr:uid="{00000000-0005-0000-0000-00007C1C0000}"/>
    <cellStyle name="Note 6 3 2 3" xfId="4564" xr:uid="{00000000-0005-0000-0000-00007D1C0000}"/>
    <cellStyle name="Note 6 3 3" xfId="1923" xr:uid="{00000000-0005-0000-0000-00007E1C0000}"/>
    <cellStyle name="Note 6 3 3 2" xfId="3507" xr:uid="{00000000-0005-0000-0000-00007F1C0000}"/>
    <cellStyle name="Note 6 3 3 2 2" xfId="6676" xr:uid="{00000000-0005-0000-0000-0000801C0000}"/>
    <cellStyle name="Note 6 3 3 3" xfId="5092" xr:uid="{00000000-0005-0000-0000-0000811C0000}"/>
    <cellStyle name="Note 6 3 4" xfId="2451" xr:uid="{00000000-0005-0000-0000-0000821C0000}"/>
    <cellStyle name="Note 6 3 4 2" xfId="5620" xr:uid="{00000000-0005-0000-0000-0000831C0000}"/>
    <cellStyle name="Note 6 3 5" xfId="4036" xr:uid="{00000000-0005-0000-0000-0000841C0000}"/>
    <cellStyle name="Note 6 4" xfId="1131" xr:uid="{00000000-0005-0000-0000-0000851C0000}"/>
    <cellStyle name="Note 6 4 2" xfId="2715" xr:uid="{00000000-0005-0000-0000-0000861C0000}"/>
    <cellStyle name="Note 6 4 2 2" xfId="5884" xr:uid="{00000000-0005-0000-0000-0000871C0000}"/>
    <cellStyle name="Note 6 4 3" xfId="4300" xr:uid="{00000000-0005-0000-0000-0000881C0000}"/>
    <cellStyle name="Note 6 5" xfId="1659" xr:uid="{00000000-0005-0000-0000-0000891C0000}"/>
    <cellStyle name="Note 6 5 2" xfId="3243" xr:uid="{00000000-0005-0000-0000-00008A1C0000}"/>
    <cellStyle name="Note 6 5 2 2" xfId="6412" xr:uid="{00000000-0005-0000-0000-00008B1C0000}"/>
    <cellStyle name="Note 6 5 3" xfId="4828" xr:uid="{00000000-0005-0000-0000-00008C1C0000}"/>
    <cellStyle name="Note 6 6" xfId="2187" xr:uid="{00000000-0005-0000-0000-00008D1C0000}"/>
    <cellStyle name="Note 6 6 2" xfId="5356" xr:uid="{00000000-0005-0000-0000-00008E1C0000}"/>
    <cellStyle name="Note 6 7" xfId="3772" xr:uid="{00000000-0005-0000-0000-00008F1C0000}"/>
    <cellStyle name="Note 7" xfId="487" xr:uid="{00000000-0005-0000-0000-0000901C0000}"/>
    <cellStyle name="Note 7 2" xfId="488" xr:uid="{00000000-0005-0000-0000-0000911C0000}"/>
    <cellStyle name="Note 7 2 2" xfId="870" xr:uid="{00000000-0005-0000-0000-0000921C0000}"/>
    <cellStyle name="Note 7 2 2 2" xfId="1398" xr:uid="{00000000-0005-0000-0000-0000931C0000}"/>
    <cellStyle name="Note 7 2 2 2 2" xfId="2982" xr:uid="{00000000-0005-0000-0000-0000941C0000}"/>
    <cellStyle name="Note 7 2 2 2 2 2" xfId="6151" xr:uid="{00000000-0005-0000-0000-0000951C0000}"/>
    <cellStyle name="Note 7 2 2 2 3" xfId="4567" xr:uid="{00000000-0005-0000-0000-0000961C0000}"/>
    <cellStyle name="Note 7 2 2 3" xfId="1926" xr:uid="{00000000-0005-0000-0000-0000971C0000}"/>
    <cellStyle name="Note 7 2 2 3 2" xfId="3510" xr:uid="{00000000-0005-0000-0000-0000981C0000}"/>
    <cellStyle name="Note 7 2 2 3 2 2" xfId="6679" xr:uid="{00000000-0005-0000-0000-0000991C0000}"/>
    <cellStyle name="Note 7 2 2 3 3" xfId="5095" xr:uid="{00000000-0005-0000-0000-00009A1C0000}"/>
    <cellStyle name="Note 7 2 2 4" xfId="2454" xr:uid="{00000000-0005-0000-0000-00009B1C0000}"/>
    <cellStyle name="Note 7 2 2 4 2" xfId="5623" xr:uid="{00000000-0005-0000-0000-00009C1C0000}"/>
    <cellStyle name="Note 7 2 2 5" xfId="4039" xr:uid="{00000000-0005-0000-0000-00009D1C0000}"/>
    <cellStyle name="Note 7 2 3" xfId="1134" xr:uid="{00000000-0005-0000-0000-00009E1C0000}"/>
    <cellStyle name="Note 7 2 3 2" xfId="2718" xr:uid="{00000000-0005-0000-0000-00009F1C0000}"/>
    <cellStyle name="Note 7 2 3 2 2" xfId="5887" xr:uid="{00000000-0005-0000-0000-0000A01C0000}"/>
    <cellStyle name="Note 7 2 3 3" xfId="4303" xr:uid="{00000000-0005-0000-0000-0000A11C0000}"/>
    <cellStyle name="Note 7 2 4" xfId="1662" xr:uid="{00000000-0005-0000-0000-0000A21C0000}"/>
    <cellStyle name="Note 7 2 4 2" xfId="3246" xr:uid="{00000000-0005-0000-0000-0000A31C0000}"/>
    <cellStyle name="Note 7 2 4 2 2" xfId="6415" xr:uid="{00000000-0005-0000-0000-0000A41C0000}"/>
    <cellStyle name="Note 7 2 4 3" xfId="4831" xr:uid="{00000000-0005-0000-0000-0000A51C0000}"/>
    <cellStyle name="Note 7 2 5" xfId="2190" xr:uid="{00000000-0005-0000-0000-0000A61C0000}"/>
    <cellStyle name="Note 7 2 5 2" xfId="5359" xr:uid="{00000000-0005-0000-0000-0000A71C0000}"/>
    <cellStyle name="Note 7 2 6" xfId="3775" xr:uid="{00000000-0005-0000-0000-0000A81C0000}"/>
    <cellStyle name="Note 7 3" xfId="869" xr:uid="{00000000-0005-0000-0000-0000A91C0000}"/>
    <cellStyle name="Note 7 3 2" xfId="1397" xr:uid="{00000000-0005-0000-0000-0000AA1C0000}"/>
    <cellStyle name="Note 7 3 2 2" xfId="2981" xr:uid="{00000000-0005-0000-0000-0000AB1C0000}"/>
    <cellStyle name="Note 7 3 2 2 2" xfId="6150" xr:uid="{00000000-0005-0000-0000-0000AC1C0000}"/>
    <cellStyle name="Note 7 3 2 3" xfId="4566" xr:uid="{00000000-0005-0000-0000-0000AD1C0000}"/>
    <cellStyle name="Note 7 3 3" xfId="1925" xr:uid="{00000000-0005-0000-0000-0000AE1C0000}"/>
    <cellStyle name="Note 7 3 3 2" xfId="3509" xr:uid="{00000000-0005-0000-0000-0000AF1C0000}"/>
    <cellStyle name="Note 7 3 3 2 2" xfId="6678" xr:uid="{00000000-0005-0000-0000-0000B01C0000}"/>
    <cellStyle name="Note 7 3 3 3" xfId="5094" xr:uid="{00000000-0005-0000-0000-0000B11C0000}"/>
    <cellStyle name="Note 7 3 4" xfId="2453" xr:uid="{00000000-0005-0000-0000-0000B21C0000}"/>
    <cellStyle name="Note 7 3 4 2" xfId="5622" xr:uid="{00000000-0005-0000-0000-0000B31C0000}"/>
    <cellStyle name="Note 7 3 5" xfId="4038" xr:uid="{00000000-0005-0000-0000-0000B41C0000}"/>
    <cellStyle name="Note 7 4" xfId="1133" xr:uid="{00000000-0005-0000-0000-0000B51C0000}"/>
    <cellStyle name="Note 7 4 2" xfId="2717" xr:uid="{00000000-0005-0000-0000-0000B61C0000}"/>
    <cellStyle name="Note 7 4 2 2" xfId="5886" xr:uid="{00000000-0005-0000-0000-0000B71C0000}"/>
    <cellStyle name="Note 7 4 3" xfId="4302" xr:uid="{00000000-0005-0000-0000-0000B81C0000}"/>
    <cellStyle name="Note 7 5" xfId="1661" xr:uid="{00000000-0005-0000-0000-0000B91C0000}"/>
    <cellStyle name="Note 7 5 2" xfId="3245" xr:uid="{00000000-0005-0000-0000-0000BA1C0000}"/>
    <cellStyle name="Note 7 5 2 2" xfId="6414" xr:uid="{00000000-0005-0000-0000-0000BB1C0000}"/>
    <cellStyle name="Note 7 5 3" xfId="4830" xr:uid="{00000000-0005-0000-0000-0000BC1C0000}"/>
    <cellStyle name="Note 7 6" xfId="2189" xr:uid="{00000000-0005-0000-0000-0000BD1C0000}"/>
    <cellStyle name="Note 7 6 2" xfId="5358" xr:uid="{00000000-0005-0000-0000-0000BE1C0000}"/>
    <cellStyle name="Note 7 7" xfId="3774" xr:uid="{00000000-0005-0000-0000-0000BF1C0000}"/>
    <cellStyle name="Note 8" xfId="489" xr:uid="{00000000-0005-0000-0000-0000C01C0000}"/>
    <cellStyle name="Note 8 2" xfId="490" xr:uid="{00000000-0005-0000-0000-0000C11C0000}"/>
    <cellStyle name="Note 8 2 2" xfId="872" xr:uid="{00000000-0005-0000-0000-0000C21C0000}"/>
    <cellStyle name="Note 8 2 2 2" xfId="1400" xr:uid="{00000000-0005-0000-0000-0000C31C0000}"/>
    <cellStyle name="Note 8 2 2 2 2" xfId="2984" xr:uid="{00000000-0005-0000-0000-0000C41C0000}"/>
    <cellStyle name="Note 8 2 2 2 2 2" xfId="6153" xr:uid="{00000000-0005-0000-0000-0000C51C0000}"/>
    <cellStyle name="Note 8 2 2 2 3" xfId="4569" xr:uid="{00000000-0005-0000-0000-0000C61C0000}"/>
    <cellStyle name="Note 8 2 2 3" xfId="1928" xr:uid="{00000000-0005-0000-0000-0000C71C0000}"/>
    <cellStyle name="Note 8 2 2 3 2" xfId="3512" xr:uid="{00000000-0005-0000-0000-0000C81C0000}"/>
    <cellStyle name="Note 8 2 2 3 2 2" xfId="6681" xr:uid="{00000000-0005-0000-0000-0000C91C0000}"/>
    <cellStyle name="Note 8 2 2 3 3" xfId="5097" xr:uid="{00000000-0005-0000-0000-0000CA1C0000}"/>
    <cellStyle name="Note 8 2 2 4" xfId="2456" xr:uid="{00000000-0005-0000-0000-0000CB1C0000}"/>
    <cellStyle name="Note 8 2 2 4 2" xfId="5625" xr:uid="{00000000-0005-0000-0000-0000CC1C0000}"/>
    <cellStyle name="Note 8 2 2 5" xfId="4041" xr:uid="{00000000-0005-0000-0000-0000CD1C0000}"/>
    <cellStyle name="Note 8 2 3" xfId="1136" xr:uid="{00000000-0005-0000-0000-0000CE1C0000}"/>
    <cellStyle name="Note 8 2 3 2" xfId="2720" xr:uid="{00000000-0005-0000-0000-0000CF1C0000}"/>
    <cellStyle name="Note 8 2 3 2 2" xfId="5889" xr:uid="{00000000-0005-0000-0000-0000D01C0000}"/>
    <cellStyle name="Note 8 2 3 3" xfId="4305" xr:uid="{00000000-0005-0000-0000-0000D11C0000}"/>
    <cellStyle name="Note 8 2 4" xfId="1664" xr:uid="{00000000-0005-0000-0000-0000D21C0000}"/>
    <cellStyle name="Note 8 2 4 2" xfId="3248" xr:uid="{00000000-0005-0000-0000-0000D31C0000}"/>
    <cellStyle name="Note 8 2 4 2 2" xfId="6417" xr:uid="{00000000-0005-0000-0000-0000D41C0000}"/>
    <cellStyle name="Note 8 2 4 3" xfId="4833" xr:uid="{00000000-0005-0000-0000-0000D51C0000}"/>
    <cellStyle name="Note 8 2 5" xfId="2192" xr:uid="{00000000-0005-0000-0000-0000D61C0000}"/>
    <cellStyle name="Note 8 2 5 2" xfId="5361" xr:uid="{00000000-0005-0000-0000-0000D71C0000}"/>
    <cellStyle name="Note 8 2 6" xfId="3777" xr:uid="{00000000-0005-0000-0000-0000D81C0000}"/>
    <cellStyle name="Note 8 3" xfId="871" xr:uid="{00000000-0005-0000-0000-0000D91C0000}"/>
    <cellStyle name="Note 8 3 2" xfId="1399" xr:uid="{00000000-0005-0000-0000-0000DA1C0000}"/>
    <cellStyle name="Note 8 3 2 2" xfId="2983" xr:uid="{00000000-0005-0000-0000-0000DB1C0000}"/>
    <cellStyle name="Note 8 3 2 2 2" xfId="6152" xr:uid="{00000000-0005-0000-0000-0000DC1C0000}"/>
    <cellStyle name="Note 8 3 2 3" xfId="4568" xr:uid="{00000000-0005-0000-0000-0000DD1C0000}"/>
    <cellStyle name="Note 8 3 3" xfId="1927" xr:uid="{00000000-0005-0000-0000-0000DE1C0000}"/>
    <cellStyle name="Note 8 3 3 2" xfId="3511" xr:uid="{00000000-0005-0000-0000-0000DF1C0000}"/>
    <cellStyle name="Note 8 3 3 2 2" xfId="6680" xr:uid="{00000000-0005-0000-0000-0000E01C0000}"/>
    <cellStyle name="Note 8 3 3 3" xfId="5096" xr:uid="{00000000-0005-0000-0000-0000E11C0000}"/>
    <cellStyle name="Note 8 3 4" xfId="2455" xr:uid="{00000000-0005-0000-0000-0000E21C0000}"/>
    <cellStyle name="Note 8 3 4 2" xfId="5624" xr:uid="{00000000-0005-0000-0000-0000E31C0000}"/>
    <cellStyle name="Note 8 3 5" xfId="4040" xr:uid="{00000000-0005-0000-0000-0000E41C0000}"/>
    <cellStyle name="Note 8 4" xfId="1135" xr:uid="{00000000-0005-0000-0000-0000E51C0000}"/>
    <cellStyle name="Note 8 4 2" xfId="2719" xr:uid="{00000000-0005-0000-0000-0000E61C0000}"/>
    <cellStyle name="Note 8 4 2 2" xfId="5888" xr:uid="{00000000-0005-0000-0000-0000E71C0000}"/>
    <cellStyle name="Note 8 4 3" xfId="4304" xr:uid="{00000000-0005-0000-0000-0000E81C0000}"/>
    <cellStyle name="Note 8 5" xfId="1663" xr:uid="{00000000-0005-0000-0000-0000E91C0000}"/>
    <cellStyle name="Note 8 5 2" xfId="3247" xr:uid="{00000000-0005-0000-0000-0000EA1C0000}"/>
    <cellStyle name="Note 8 5 2 2" xfId="6416" xr:uid="{00000000-0005-0000-0000-0000EB1C0000}"/>
    <cellStyle name="Note 8 5 3" xfId="4832" xr:uid="{00000000-0005-0000-0000-0000EC1C0000}"/>
    <cellStyle name="Note 8 6" xfId="2191" xr:uid="{00000000-0005-0000-0000-0000ED1C0000}"/>
    <cellStyle name="Note 8 6 2" xfId="5360" xr:uid="{00000000-0005-0000-0000-0000EE1C0000}"/>
    <cellStyle name="Note 8 7" xfId="3776" xr:uid="{00000000-0005-0000-0000-0000EF1C0000}"/>
    <cellStyle name="Note 9" xfId="491" xr:uid="{00000000-0005-0000-0000-0000F01C0000}"/>
    <cellStyle name="Note 9 2" xfId="492" xr:uid="{00000000-0005-0000-0000-0000F11C0000}"/>
    <cellStyle name="Note 9 2 2" xfId="874" xr:uid="{00000000-0005-0000-0000-0000F21C0000}"/>
    <cellStyle name="Note 9 2 2 2" xfId="1402" xr:uid="{00000000-0005-0000-0000-0000F31C0000}"/>
    <cellStyle name="Note 9 2 2 2 2" xfId="2986" xr:uid="{00000000-0005-0000-0000-0000F41C0000}"/>
    <cellStyle name="Note 9 2 2 2 2 2" xfId="6155" xr:uid="{00000000-0005-0000-0000-0000F51C0000}"/>
    <cellStyle name="Note 9 2 2 2 3" xfId="4571" xr:uid="{00000000-0005-0000-0000-0000F61C0000}"/>
    <cellStyle name="Note 9 2 2 3" xfId="1930" xr:uid="{00000000-0005-0000-0000-0000F71C0000}"/>
    <cellStyle name="Note 9 2 2 3 2" xfId="3514" xr:uid="{00000000-0005-0000-0000-0000F81C0000}"/>
    <cellStyle name="Note 9 2 2 3 2 2" xfId="6683" xr:uid="{00000000-0005-0000-0000-0000F91C0000}"/>
    <cellStyle name="Note 9 2 2 3 3" xfId="5099" xr:uid="{00000000-0005-0000-0000-0000FA1C0000}"/>
    <cellStyle name="Note 9 2 2 4" xfId="2458" xr:uid="{00000000-0005-0000-0000-0000FB1C0000}"/>
    <cellStyle name="Note 9 2 2 4 2" xfId="5627" xr:uid="{00000000-0005-0000-0000-0000FC1C0000}"/>
    <cellStyle name="Note 9 2 2 5" xfId="4043" xr:uid="{00000000-0005-0000-0000-0000FD1C0000}"/>
    <cellStyle name="Note 9 2 3" xfId="1138" xr:uid="{00000000-0005-0000-0000-0000FE1C0000}"/>
    <cellStyle name="Note 9 2 3 2" xfId="2722" xr:uid="{00000000-0005-0000-0000-0000FF1C0000}"/>
    <cellStyle name="Note 9 2 3 2 2" xfId="5891" xr:uid="{00000000-0005-0000-0000-0000001D0000}"/>
    <cellStyle name="Note 9 2 3 3" xfId="4307" xr:uid="{00000000-0005-0000-0000-0000011D0000}"/>
    <cellStyle name="Note 9 2 4" xfId="1666" xr:uid="{00000000-0005-0000-0000-0000021D0000}"/>
    <cellStyle name="Note 9 2 4 2" xfId="3250" xr:uid="{00000000-0005-0000-0000-0000031D0000}"/>
    <cellStyle name="Note 9 2 4 2 2" xfId="6419" xr:uid="{00000000-0005-0000-0000-0000041D0000}"/>
    <cellStyle name="Note 9 2 4 3" xfId="4835" xr:uid="{00000000-0005-0000-0000-0000051D0000}"/>
    <cellStyle name="Note 9 2 5" xfId="2194" xr:uid="{00000000-0005-0000-0000-0000061D0000}"/>
    <cellStyle name="Note 9 2 5 2" xfId="5363" xr:uid="{00000000-0005-0000-0000-0000071D0000}"/>
    <cellStyle name="Note 9 2 6" xfId="3779" xr:uid="{00000000-0005-0000-0000-0000081D0000}"/>
    <cellStyle name="Note 9 3" xfId="873" xr:uid="{00000000-0005-0000-0000-0000091D0000}"/>
    <cellStyle name="Note 9 3 2" xfId="1401" xr:uid="{00000000-0005-0000-0000-00000A1D0000}"/>
    <cellStyle name="Note 9 3 2 2" xfId="2985" xr:uid="{00000000-0005-0000-0000-00000B1D0000}"/>
    <cellStyle name="Note 9 3 2 2 2" xfId="6154" xr:uid="{00000000-0005-0000-0000-00000C1D0000}"/>
    <cellStyle name="Note 9 3 2 3" xfId="4570" xr:uid="{00000000-0005-0000-0000-00000D1D0000}"/>
    <cellStyle name="Note 9 3 3" xfId="1929" xr:uid="{00000000-0005-0000-0000-00000E1D0000}"/>
    <cellStyle name="Note 9 3 3 2" xfId="3513" xr:uid="{00000000-0005-0000-0000-00000F1D0000}"/>
    <cellStyle name="Note 9 3 3 2 2" xfId="6682" xr:uid="{00000000-0005-0000-0000-0000101D0000}"/>
    <cellStyle name="Note 9 3 3 3" xfId="5098" xr:uid="{00000000-0005-0000-0000-0000111D0000}"/>
    <cellStyle name="Note 9 3 4" xfId="2457" xr:uid="{00000000-0005-0000-0000-0000121D0000}"/>
    <cellStyle name="Note 9 3 4 2" xfId="5626" xr:uid="{00000000-0005-0000-0000-0000131D0000}"/>
    <cellStyle name="Note 9 3 5" xfId="4042" xr:uid="{00000000-0005-0000-0000-0000141D0000}"/>
    <cellStyle name="Note 9 4" xfId="1137" xr:uid="{00000000-0005-0000-0000-0000151D0000}"/>
    <cellStyle name="Note 9 4 2" xfId="2721" xr:uid="{00000000-0005-0000-0000-0000161D0000}"/>
    <cellStyle name="Note 9 4 2 2" xfId="5890" xr:uid="{00000000-0005-0000-0000-0000171D0000}"/>
    <cellStyle name="Note 9 4 3" xfId="4306" xr:uid="{00000000-0005-0000-0000-0000181D0000}"/>
    <cellStyle name="Note 9 5" xfId="1665" xr:uid="{00000000-0005-0000-0000-0000191D0000}"/>
    <cellStyle name="Note 9 5 2" xfId="3249" xr:uid="{00000000-0005-0000-0000-00001A1D0000}"/>
    <cellStyle name="Note 9 5 2 2" xfId="6418" xr:uid="{00000000-0005-0000-0000-00001B1D0000}"/>
    <cellStyle name="Note 9 5 3" xfId="4834" xr:uid="{00000000-0005-0000-0000-00001C1D0000}"/>
    <cellStyle name="Note 9 6" xfId="2193" xr:uid="{00000000-0005-0000-0000-00001D1D0000}"/>
    <cellStyle name="Note 9 6 2" xfId="5362" xr:uid="{00000000-0005-0000-0000-00001E1D0000}"/>
    <cellStyle name="Note 9 7" xfId="3778" xr:uid="{00000000-0005-0000-0000-00001F1D0000}"/>
    <cellStyle name="Output 2" xfId="69" xr:uid="{00000000-0005-0000-0000-0000201D0000}"/>
    <cellStyle name="Output 2 10" xfId="7491" xr:uid="{00000000-0005-0000-0000-0000211D0000}"/>
    <cellStyle name="Output 2 11" xfId="7063" xr:uid="{00000000-0005-0000-0000-0000221D0000}"/>
    <cellStyle name="Output 2 12" xfId="7646" xr:uid="{00000000-0005-0000-0000-0000231D0000}"/>
    <cellStyle name="Output 2 13" xfId="7952" xr:uid="{00000000-0005-0000-0000-0000241D0000}"/>
    <cellStyle name="Output 2 14" xfId="8072" xr:uid="{00000000-0005-0000-0000-0000251D0000}"/>
    <cellStyle name="Output 2 15" xfId="8291" xr:uid="{00000000-0005-0000-0000-0000261D0000}"/>
    <cellStyle name="Output 2 2" xfId="6708" xr:uid="{00000000-0005-0000-0000-0000271D0000}"/>
    <cellStyle name="Output 2 2 10" xfId="8220" xr:uid="{00000000-0005-0000-0000-0000281D0000}"/>
    <cellStyle name="Output 2 2 11" xfId="7939" xr:uid="{00000000-0005-0000-0000-0000291D0000}"/>
    <cellStyle name="Output 2 2 12" xfId="8157" xr:uid="{00000000-0005-0000-0000-00002A1D0000}"/>
    <cellStyle name="Output 2 2 2" xfId="6753" xr:uid="{00000000-0005-0000-0000-00002B1D0000}"/>
    <cellStyle name="Output 2 2 2 10" xfId="8039" xr:uid="{00000000-0005-0000-0000-00002C1D0000}"/>
    <cellStyle name="Output 2 2 2 11" xfId="8357" xr:uid="{00000000-0005-0000-0000-00002D1D0000}"/>
    <cellStyle name="Output 2 2 2 2" xfId="6800" xr:uid="{00000000-0005-0000-0000-00002E1D0000}"/>
    <cellStyle name="Output 2 2 2 2 10" xfId="7652" xr:uid="{00000000-0005-0000-0000-00002F1D0000}"/>
    <cellStyle name="Output 2 2 2 2 2" xfId="7005" xr:uid="{00000000-0005-0000-0000-0000301D0000}"/>
    <cellStyle name="Output 2 2 2 2 2 2" xfId="7390" xr:uid="{00000000-0005-0000-0000-0000311D0000}"/>
    <cellStyle name="Output 2 2 2 2 2 3" xfId="7678" xr:uid="{00000000-0005-0000-0000-0000321D0000}"/>
    <cellStyle name="Output 2 2 2 2 2 4" xfId="7830" xr:uid="{00000000-0005-0000-0000-0000331D0000}"/>
    <cellStyle name="Output 2 2 2 2 2 5" xfId="7982" xr:uid="{00000000-0005-0000-0000-0000341D0000}"/>
    <cellStyle name="Output 2 2 2 2 2 6" xfId="8123" xr:uid="{00000000-0005-0000-0000-0000351D0000}"/>
    <cellStyle name="Output 2 2 2 2 2 7" xfId="7493" xr:uid="{00000000-0005-0000-0000-0000361D0000}"/>
    <cellStyle name="Output 2 2 2 2 2 8" xfId="8347" xr:uid="{00000000-0005-0000-0000-0000371D0000}"/>
    <cellStyle name="Output 2 2 2 2 2 9" xfId="8433" xr:uid="{00000000-0005-0000-0000-0000381D0000}"/>
    <cellStyle name="Output 2 2 2 2 3" xfId="7242" xr:uid="{00000000-0005-0000-0000-0000391D0000}"/>
    <cellStyle name="Output 2 2 2 2 4" xfId="7537" xr:uid="{00000000-0005-0000-0000-00003A1D0000}"/>
    <cellStyle name="Output 2 2 2 2 5" xfId="7105" xr:uid="{00000000-0005-0000-0000-00003B1D0000}"/>
    <cellStyle name="Output 2 2 2 2 6" xfId="7626" xr:uid="{00000000-0005-0000-0000-00003C1D0000}"/>
    <cellStyle name="Output 2 2 2 2 7" xfId="7779" xr:uid="{00000000-0005-0000-0000-00003D1D0000}"/>
    <cellStyle name="Output 2 2 2 2 8" xfId="8168" xr:uid="{00000000-0005-0000-0000-00003E1D0000}"/>
    <cellStyle name="Output 2 2 2 2 9" xfId="8197" xr:uid="{00000000-0005-0000-0000-00003F1D0000}"/>
    <cellStyle name="Output 2 2 2 3" xfId="6931" xr:uid="{00000000-0005-0000-0000-0000401D0000}"/>
    <cellStyle name="Output 2 2 2 3 2" xfId="7316" xr:uid="{00000000-0005-0000-0000-0000411D0000}"/>
    <cellStyle name="Output 2 2 2 3 3" xfId="7608" xr:uid="{00000000-0005-0000-0000-0000421D0000}"/>
    <cellStyle name="Output 2 2 2 3 4" xfId="7761" xr:uid="{00000000-0005-0000-0000-0000431D0000}"/>
    <cellStyle name="Output 2 2 2 3 5" xfId="7916" xr:uid="{00000000-0005-0000-0000-0000441D0000}"/>
    <cellStyle name="Output 2 2 2 3 6" xfId="8056" xr:uid="{00000000-0005-0000-0000-0000451D0000}"/>
    <cellStyle name="Output 2 2 2 3 7" xfId="8158" xr:uid="{00000000-0005-0000-0000-0000461D0000}"/>
    <cellStyle name="Output 2 2 2 3 8" xfId="8298" xr:uid="{00000000-0005-0000-0000-0000471D0000}"/>
    <cellStyle name="Output 2 2 2 3 9" xfId="8393" xr:uid="{00000000-0005-0000-0000-0000481D0000}"/>
    <cellStyle name="Output 2 2 2 4" xfId="7168" xr:uid="{00000000-0005-0000-0000-0000491D0000}"/>
    <cellStyle name="Output 2 2 2 5" xfId="7464" xr:uid="{00000000-0005-0000-0000-00004A1D0000}"/>
    <cellStyle name="Output 2 2 2 6" xfId="7625" xr:uid="{00000000-0005-0000-0000-00004B1D0000}"/>
    <cellStyle name="Output 2 2 2 7" xfId="7778" xr:uid="{00000000-0005-0000-0000-00004C1D0000}"/>
    <cellStyle name="Output 2 2 2 8" xfId="7933" xr:uid="{00000000-0005-0000-0000-00004D1D0000}"/>
    <cellStyle name="Output 2 2 2 9" xfId="8204" xr:uid="{00000000-0005-0000-0000-00004E1D0000}"/>
    <cellStyle name="Output 2 2 3" xfId="6780" xr:uid="{00000000-0005-0000-0000-00004F1D0000}"/>
    <cellStyle name="Output 2 2 3 10" xfId="8007" xr:uid="{00000000-0005-0000-0000-0000501D0000}"/>
    <cellStyle name="Output 2 2 3 2" xfId="6968" xr:uid="{00000000-0005-0000-0000-0000511D0000}"/>
    <cellStyle name="Output 2 2 3 2 2" xfId="7353" xr:uid="{00000000-0005-0000-0000-0000521D0000}"/>
    <cellStyle name="Output 2 2 3 2 3" xfId="7643" xr:uid="{00000000-0005-0000-0000-0000531D0000}"/>
    <cellStyle name="Output 2 2 3 2 4" xfId="7795" xr:uid="{00000000-0005-0000-0000-0000541D0000}"/>
    <cellStyle name="Output 2 2 3 2 5" xfId="7950" xr:uid="{00000000-0005-0000-0000-0000551D0000}"/>
    <cellStyle name="Output 2 2 3 2 6" xfId="8089" xr:uid="{00000000-0005-0000-0000-0000561D0000}"/>
    <cellStyle name="Output 2 2 3 2 7" xfId="7768" xr:uid="{00000000-0005-0000-0000-0000571D0000}"/>
    <cellStyle name="Output 2 2 3 2 8" xfId="8322" xr:uid="{00000000-0005-0000-0000-0000581D0000}"/>
    <cellStyle name="Output 2 2 3 2 9" xfId="8413" xr:uid="{00000000-0005-0000-0000-0000591D0000}"/>
    <cellStyle name="Output 2 2 3 3" xfId="7205" xr:uid="{00000000-0005-0000-0000-00005A1D0000}"/>
    <cellStyle name="Output 2 2 3 4" xfId="7500" xr:uid="{00000000-0005-0000-0000-00005B1D0000}"/>
    <cellStyle name="Output 2 2 3 5" xfId="7413" xr:uid="{00000000-0005-0000-0000-00005C1D0000}"/>
    <cellStyle name="Output 2 2 3 6" xfId="7040" xr:uid="{00000000-0005-0000-0000-00005D1D0000}"/>
    <cellStyle name="Output 2 2 3 7" xfId="7693" xr:uid="{00000000-0005-0000-0000-00005E1D0000}"/>
    <cellStyle name="Output 2 2 3 8" xfId="7777" xr:uid="{00000000-0005-0000-0000-00005F1D0000}"/>
    <cellStyle name="Output 2 2 3 9" xfId="8138" xr:uid="{00000000-0005-0000-0000-0000601D0000}"/>
    <cellStyle name="Output 2 2 4" xfId="6894" xr:uid="{00000000-0005-0000-0000-0000611D0000}"/>
    <cellStyle name="Output 2 2 4 2" xfId="7279" xr:uid="{00000000-0005-0000-0000-0000621D0000}"/>
    <cellStyle name="Output 2 2 4 3" xfId="7573" xr:uid="{00000000-0005-0000-0000-0000631D0000}"/>
    <cellStyle name="Output 2 2 4 4" xfId="7725" xr:uid="{00000000-0005-0000-0000-0000641D0000}"/>
    <cellStyle name="Output 2 2 4 5" xfId="7879" xr:uid="{00000000-0005-0000-0000-0000651D0000}"/>
    <cellStyle name="Output 2 2 4 6" xfId="8024" xr:uid="{00000000-0005-0000-0000-0000661D0000}"/>
    <cellStyle name="Output 2 2 4 7" xfId="8134" xr:uid="{00000000-0005-0000-0000-0000671D0000}"/>
    <cellStyle name="Output 2 2 4 8" xfId="8273" xr:uid="{00000000-0005-0000-0000-0000681D0000}"/>
    <cellStyle name="Output 2 2 4 9" xfId="8373" xr:uid="{00000000-0005-0000-0000-0000691D0000}"/>
    <cellStyle name="Output 2 2 5" xfId="7125" xr:uid="{00000000-0005-0000-0000-00006A1D0000}"/>
    <cellStyle name="Output 2 2 6" xfId="7420" xr:uid="{00000000-0005-0000-0000-00006B1D0000}"/>
    <cellStyle name="Output 2 2 7" xfId="7651" xr:uid="{00000000-0005-0000-0000-00006C1D0000}"/>
    <cellStyle name="Output 2 2 8" xfId="7803" xr:uid="{00000000-0005-0000-0000-00006D1D0000}"/>
    <cellStyle name="Output 2 2 9" xfId="7957" xr:uid="{00000000-0005-0000-0000-00006E1D0000}"/>
    <cellStyle name="Output 2 3" xfId="6714" xr:uid="{00000000-0005-0000-0000-00006F1D0000}"/>
    <cellStyle name="Output 2 3 10" xfId="7104" xr:uid="{00000000-0005-0000-0000-0000701D0000}"/>
    <cellStyle name="Output 2 3 11" xfId="7555" xr:uid="{00000000-0005-0000-0000-0000711D0000}"/>
    <cellStyle name="Output 2 3 12" xfId="7900" xr:uid="{00000000-0005-0000-0000-0000721D0000}"/>
    <cellStyle name="Output 2 3 2" xfId="6759" xr:uid="{00000000-0005-0000-0000-0000731D0000}"/>
    <cellStyle name="Output 2 3 2 10" xfId="8071" xr:uid="{00000000-0005-0000-0000-0000741D0000}"/>
    <cellStyle name="Output 2 3 2 11" xfId="8334" xr:uid="{00000000-0005-0000-0000-0000751D0000}"/>
    <cellStyle name="Output 2 3 2 2" xfId="6803" xr:uid="{00000000-0005-0000-0000-0000761D0000}"/>
    <cellStyle name="Output 2 3 2 2 10" xfId="8223" xr:uid="{00000000-0005-0000-0000-0000771D0000}"/>
    <cellStyle name="Output 2 3 2 2 2" xfId="7011" xr:uid="{00000000-0005-0000-0000-0000781D0000}"/>
    <cellStyle name="Output 2 3 2 2 2 2" xfId="7396" xr:uid="{00000000-0005-0000-0000-0000791D0000}"/>
    <cellStyle name="Output 2 3 2 2 2 3" xfId="7683" xr:uid="{00000000-0005-0000-0000-00007A1D0000}"/>
    <cellStyle name="Output 2 3 2 2 2 4" xfId="7836" xr:uid="{00000000-0005-0000-0000-00007B1D0000}"/>
    <cellStyle name="Output 2 3 2 2 2 5" xfId="7987" xr:uid="{00000000-0005-0000-0000-00007C1D0000}"/>
    <cellStyle name="Output 2 3 2 2 2 6" xfId="8128" xr:uid="{00000000-0005-0000-0000-00007D1D0000}"/>
    <cellStyle name="Output 2 3 2 2 2 7" xfId="8093" xr:uid="{00000000-0005-0000-0000-00007E1D0000}"/>
    <cellStyle name="Output 2 3 2 2 2 8" xfId="8350" xr:uid="{00000000-0005-0000-0000-00007F1D0000}"/>
    <cellStyle name="Output 2 3 2 2 2 9" xfId="8436" xr:uid="{00000000-0005-0000-0000-0000801D0000}"/>
    <cellStyle name="Output 2 3 2 2 3" xfId="7248" xr:uid="{00000000-0005-0000-0000-0000811D0000}"/>
    <cellStyle name="Output 2 3 2 2 4" xfId="7543" xr:uid="{00000000-0005-0000-0000-0000821D0000}"/>
    <cellStyle name="Output 2 3 2 2 5" xfId="7112" xr:uid="{00000000-0005-0000-0000-0000831D0000}"/>
    <cellStyle name="Output 2 3 2 2 6" xfId="7671" xr:uid="{00000000-0005-0000-0000-0000841D0000}"/>
    <cellStyle name="Output 2 3 2 2 7" xfId="7823" xr:uid="{00000000-0005-0000-0000-0000851D0000}"/>
    <cellStyle name="Output 2 3 2 2 8" xfId="7936" xr:uid="{00000000-0005-0000-0000-0000861D0000}"/>
    <cellStyle name="Output 2 3 2 2 9" xfId="8236" xr:uid="{00000000-0005-0000-0000-0000871D0000}"/>
    <cellStyle name="Output 2 3 2 3" xfId="6937" xr:uid="{00000000-0005-0000-0000-0000881D0000}"/>
    <cellStyle name="Output 2 3 2 3 2" xfId="7322" xr:uid="{00000000-0005-0000-0000-0000891D0000}"/>
    <cellStyle name="Output 2 3 2 3 3" xfId="7614" xr:uid="{00000000-0005-0000-0000-00008A1D0000}"/>
    <cellStyle name="Output 2 3 2 3 4" xfId="7766" xr:uid="{00000000-0005-0000-0000-00008B1D0000}"/>
    <cellStyle name="Output 2 3 2 3 5" xfId="7921" xr:uid="{00000000-0005-0000-0000-00008C1D0000}"/>
    <cellStyle name="Output 2 3 2 3 6" xfId="8061" xr:uid="{00000000-0005-0000-0000-00008D1D0000}"/>
    <cellStyle name="Output 2 3 2 3 7" xfId="7524" xr:uid="{00000000-0005-0000-0000-00008E1D0000}"/>
    <cellStyle name="Output 2 3 2 3 8" xfId="8301" xr:uid="{00000000-0005-0000-0000-00008F1D0000}"/>
    <cellStyle name="Output 2 3 2 3 9" xfId="8396" xr:uid="{00000000-0005-0000-0000-0000901D0000}"/>
    <cellStyle name="Output 2 3 2 4" xfId="7174" xr:uid="{00000000-0005-0000-0000-0000911D0000}"/>
    <cellStyle name="Output 2 3 2 5" xfId="7469" xr:uid="{00000000-0005-0000-0000-0000921D0000}"/>
    <cellStyle name="Output 2 3 2 6" xfId="7591" xr:uid="{00000000-0005-0000-0000-0000931D0000}"/>
    <cellStyle name="Output 2 3 2 7" xfId="7745" xr:uid="{00000000-0005-0000-0000-0000941D0000}"/>
    <cellStyle name="Output 2 3 2 8" xfId="7899" xr:uid="{00000000-0005-0000-0000-0000951D0000}"/>
    <cellStyle name="Output 2 3 2 9" xfId="8170" xr:uid="{00000000-0005-0000-0000-0000961D0000}"/>
    <cellStyle name="Output 2 3 3" xfId="6783" xr:uid="{00000000-0005-0000-0000-0000971D0000}"/>
    <cellStyle name="Output 2 3 3 10" xfId="7935" xr:uid="{00000000-0005-0000-0000-0000981D0000}"/>
    <cellStyle name="Output 2 3 3 2" xfId="6974" xr:uid="{00000000-0005-0000-0000-0000991D0000}"/>
    <cellStyle name="Output 2 3 3 2 2" xfId="7359" xr:uid="{00000000-0005-0000-0000-00009A1D0000}"/>
    <cellStyle name="Output 2 3 3 2 3" xfId="7649" xr:uid="{00000000-0005-0000-0000-00009B1D0000}"/>
    <cellStyle name="Output 2 3 3 2 4" xfId="7801" xr:uid="{00000000-0005-0000-0000-00009C1D0000}"/>
    <cellStyle name="Output 2 3 3 2 5" xfId="7955" xr:uid="{00000000-0005-0000-0000-00009D1D0000}"/>
    <cellStyle name="Output 2 3 3 2 6" xfId="8095" xr:uid="{00000000-0005-0000-0000-00009E1D0000}"/>
    <cellStyle name="Output 2 3 3 2 7" xfId="8230" xr:uid="{00000000-0005-0000-0000-00009F1D0000}"/>
    <cellStyle name="Output 2 3 3 2 8" xfId="8325" xr:uid="{00000000-0005-0000-0000-0000A01D0000}"/>
    <cellStyle name="Output 2 3 3 2 9" xfId="8416" xr:uid="{00000000-0005-0000-0000-0000A11D0000}"/>
    <cellStyle name="Output 2 3 3 3" xfId="7211" xr:uid="{00000000-0005-0000-0000-0000A21D0000}"/>
    <cellStyle name="Output 2 3 3 4" xfId="7506" xr:uid="{00000000-0005-0000-0000-0000A31D0000}"/>
    <cellStyle name="Output 2 3 3 5" xfId="7077" xr:uid="{00000000-0005-0000-0000-0000A41D0000}"/>
    <cellStyle name="Output 2 3 3 6" xfId="7492" xr:uid="{00000000-0005-0000-0000-0000A51D0000}"/>
    <cellStyle name="Output 2 3 3 7" xfId="7064" xr:uid="{00000000-0005-0000-0000-0000A61D0000}"/>
    <cellStyle name="Output 2 3 3 8" xfId="8146" xr:uid="{00000000-0005-0000-0000-0000A71D0000}"/>
    <cellStyle name="Output 2 3 3 9" xfId="7882" xr:uid="{00000000-0005-0000-0000-0000A81D0000}"/>
    <cellStyle name="Output 2 3 4" xfId="6900" xr:uid="{00000000-0005-0000-0000-0000A91D0000}"/>
    <cellStyle name="Output 2 3 4 2" xfId="7285" xr:uid="{00000000-0005-0000-0000-0000AA1D0000}"/>
    <cellStyle name="Output 2 3 4 3" xfId="7578" xr:uid="{00000000-0005-0000-0000-0000AB1D0000}"/>
    <cellStyle name="Output 2 3 4 4" xfId="7731" xr:uid="{00000000-0005-0000-0000-0000AC1D0000}"/>
    <cellStyle name="Output 2 3 4 5" xfId="7885" xr:uid="{00000000-0005-0000-0000-0000AD1D0000}"/>
    <cellStyle name="Output 2 3 4 6" xfId="8030" xr:uid="{00000000-0005-0000-0000-0000AE1D0000}"/>
    <cellStyle name="Output 2 3 4 7" xfId="8253" xr:uid="{00000000-0005-0000-0000-0000AF1D0000}"/>
    <cellStyle name="Output 2 3 4 8" xfId="8276" xr:uid="{00000000-0005-0000-0000-0000B01D0000}"/>
    <cellStyle name="Output 2 3 4 9" xfId="8376" xr:uid="{00000000-0005-0000-0000-0000B11D0000}"/>
    <cellStyle name="Output 2 3 5" xfId="7131" xr:uid="{00000000-0005-0000-0000-0000B21D0000}"/>
    <cellStyle name="Output 2 3 6" xfId="7426" xr:uid="{00000000-0005-0000-0000-0000B31D0000}"/>
    <cellStyle name="Output 2 3 7" xfId="7428" xr:uid="{00000000-0005-0000-0000-0000B41D0000}"/>
    <cellStyle name="Output 2 3 8" xfId="7045" xr:uid="{00000000-0005-0000-0000-0000B51D0000}"/>
    <cellStyle name="Output 2 3 9" xfId="7455" xr:uid="{00000000-0005-0000-0000-0000B61D0000}"/>
    <cellStyle name="Output 2 4" xfId="6727" xr:uid="{00000000-0005-0000-0000-0000B71D0000}"/>
    <cellStyle name="Output 2 4 10" xfId="8194" xr:uid="{00000000-0005-0000-0000-0000B81D0000}"/>
    <cellStyle name="Output 2 4 11" xfId="8001" xr:uid="{00000000-0005-0000-0000-0000B91D0000}"/>
    <cellStyle name="Output 2 4 12" xfId="8337" xr:uid="{00000000-0005-0000-0000-0000BA1D0000}"/>
    <cellStyle name="Output 2 4 2" xfId="6767" xr:uid="{00000000-0005-0000-0000-0000BB1D0000}"/>
    <cellStyle name="Output 2 4 2 10" xfId="7898" xr:uid="{00000000-0005-0000-0000-0000BC1D0000}"/>
    <cellStyle name="Output 2 4 2 11" xfId="8073" xr:uid="{00000000-0005-0000-0000-0000BD1D0000}"/>
    <cellStyle name="Output 2 4 2 2" xfId="6808" xr:uid="{00000000-0005-0000-0000-0000BE1D0000}"/>
    <cellStyle name="Output 2 4 2 2 10" xfId="8361" xr:uid="{00000000-0005-0000-0000-0000BF1D0000}"/>
    <cellStyle name="Output 2 4 2 2 2" xfId="7019" xr:uid="{00000000-0005-0000-0000-0000C01D0000}"/>
    <cellStyle name="Output 2 4 2 2 2 2" xfId="7404" xr:uid="{00000000-0005-0000-0000-0000C11D0000}"/>
    <cellStyle name="Output 2 4 2 2 2 3" xfId="7691" xr:uid="{00000000-0005-0000-0000-0000C21D0000}"/>
    <cellStyle name="Output 2 4 2 2 2 4" xfId="7844" xr:uid="{00000000-0005-0000-0000-0000C31D0000}"/>
    <cellStyle name="Output 2 4 2 2 2 5" xfId="7994" xr:uid="{00000000-0005-0000-0000-0000C41D0000}"/>
    <cellStyle name="Output 2 4 2 2 2 6" xfId="8136" xr:uid="{00000000-0005-0000-0000-0000C51D0000}"/>
    <cellStyle name="Output 2 4 2 2 2 7" xfId="8106" xr:uid="{00000000-0005-0000-0000-0000C61D0000}"/>
    <cellStyle name="Output 2 4 2 2 2 8" xfId="8355" xr:uid="{00000000-0005-0000-0000-0000C71D0000}"/>
    <cellStyle name="Output 2 4 2 2 2 9" xfId="8441" xr:uid="{00000000-0005-0000-0000-0000C81D0000}"/>
    <cellStyle name="Output 2 4 2 2 3" xfId="7256" xr:uid="{00000000-0005-0000-0000-0000C91D0000}"/>
    <cellStyle name="Output 2 4 2 2 4" xfId="7551" xr:uid="{00000000-0005-0000-0000-0000CA1D0000}"/>
    <cellStyle name="Output 2 4 2 2 5" xfId="7703" xr:uid="{00000000-0005-0000-0000-0000CB1D0000}"/>
    <cellStyle name="Output 2 4 2 2 6" xfId="7856" xr:uid="{00000000-0005-0000-0000-0000CC1D0000}"/>
    <cellStyle name="Output 2 4 2 2 7" xfId="8005" xr:uid="{00000000-0005-0000-0000-0000CD1D0000}"/>
    <cellStyle name="Output 2 4 2 2 8" xfId="8105" xr:uid="{00000000-0005-0000-0000-0000CE1D0000}"/>
    <cellStyle name="Output 2 4 2 2 9" xfId="8257" xr:uid="{00000000-0005-0000-0000-0000CF1D0000}"/>
    <cellStyle name="Output 2 4 2 3" xfId="6945" xr:uid="{00000000-0005-0000-0000-0000D01D0000}"/>
    <cellStyle name="Output 2 4 2 3 2" xfId="7330" xr:uid="{00000000-0005-0000-0000-0000D11D0000}"/>
    <cellStyle name="Output 2 4 2 3 3" xfId="7621" xr:uid="{00000000-0005-0000-0000-0000D21D0000}"/>
    <cellStyle name="Output 2 4 2 3 4" xfId="7774" xr:uid="{00000000-0005-0000-0000-0000D31D0000}"/>
    <cellStyle name="Output 2 4 2 3 5" xfId="7929" xr:uid="{00000000-0005-0000-0000-0000D41D0000}"/>
    <cellStyle name="Output 2 4 2 3 6" xfId="8068" xr:uid="{00000000-0005-0000-0000-0000D51D0000}"/>
    <cellStyle name="Output 2 4 2 3 7" xfId="8040" xr:uid="{00000000-0005-0000-0000-0000D61D0000}"/>
    <cellStyle name="Output 2 4 2 3 8" xfId="8307" xr:uid="{00000000-0005-0000-0000-0000D71D0000}"/>
    <cellStyle name="Output 2 4 2 3 9" xfId="8401" xr:uid="{00000000-0005-0000-0000-0000D81D0000}"/>
    <cellStyle name="Output 2 4 2 4" xfId="7182" xr:uid="{00000000-0005-0000-0000-0000D91D0000}"/>
    <cellStyle name="Output 2 4 2 5" xfId="7477" xr:uid="{00000000-0005-0000-0000-0000DA1D0000}"/>
    <cellStyle name="Output 2 4 2 6" xfId="7059" xr:uid="{00000000-0005-0000-0000-0000DB1D0000}"/>
    <cellStyle name="Output 2 4 2 7" xfId="7540" xr:uid="{00000000-0005-0000-0000-0000DC1D0000}"/>
    <cellStyle name="Output 2 4 2 8" xfId="7109" xr:uid="{00000000-0005-0000-0000-0000DD1D0000}"/>
    <cellStyle name="Output 2 4 2 9" xfId="8165" xr:uid="{00000000-0005-0000-0000-0000DE1D0000}"/>
    <cellStyle name="Output 2 4 3" xfId="6788" xr:uid="{00000000-0005-0000-0000-0000DF1D0000}"/>
    <cellStyle name="Output 2 4 3 10" xfId="8210" xr:uid="{00000000-0005-0000-0000-0000E01D0000}"/>
    <cellStyle name="Output 2 4 3 2" xfId="6982" xr:uid="{00000000-0005-0000-0000-0000E11D0000}"/>
    <cellStyle name="Output 2 4 3 2 2" xfId="7367" xr:uid="{00000000-0005-0000-0000-0000E21D0000}"/>
    <cellStyle name="Output 2 4 3 2 3" xfId="7657" xr:uid="{00000000-0005-0000-0000-0000E31D0000}"/>
    <cellStyle name="Output 2 4 3 2 4" xfId="7808" xr:uid="{00000000-0005-0000-0000-0000E41D0000}"/>
    <cellStyle name="Output 2 4 3 2 5" xfId="7962" xr:uid="{00000000-0005-0000-0000-0000E51D0000}"/>
    <cellStyle name="Output 2 4 3 2 6" xfId="8103" xr:uid="{00000000-0005-0000-0000-0000E61D0000}"/>
    <cellStyle name="Output 2 4 3 2 7" xfId="8143" xr:uid="{00000000-0005-0000-0000-0000E71D0000}"/>
    <cellStyle name="Output 2 4 3 2 8" xfId="8331" xr:uid="{00000000-0005-0000-0000-0000E81D0000}"/>
    <cellStyle name="Output 2 4 3 2 9" xfId="8421" xr:uid="{00000000-0005-0000-0000-0000E91D0000}"/>
    <cellStyle name="Output 2 4 3 3" xfId="7219" xr:uid="{00000000-0005-0000-0000-0000EA1D0000}"/>
    <cellStyle name="Output 2 4 3 4" xfId="7514" xr:uid="{00000000-0005-0000-0000-0000EB1D0000}"/>
    <cellStyle name="Output 2 4 3 5" xfId="7084" xr:uid="{00000000-0005-0000-0000-0000EC1D0000}"/>
    <cellStyle name="Output 2 4 3 6" xfId="7686" xr:uid="{00000000-0005-0000-0000-0000ED1D0000}"/>
    <cellStyle name="Output 2 4 3 7" xfId="7839" xr:uid="{00000000-0005-0000-0000-0000EE1D0000}"/>
    <cellStyle name="Output 2 4 3 8" xfId="7504" xr:uid="{00000000-0005-0000-0000-0000EF1D0000}"/>
    <cellStyle name="Output 2 4 3 9" xfId="8241" xr:uid="{00000000-0005-0000-0000-0000F01D0000}"/>
    <cellStyle name="Output 2 4 4" xfId="6908" xr:uid="{00000000-0005-0000-0000-0000F11D0000}"/>
    <cellStyle name="Output 2 4 4 2" xfId="7293" xr:uid="{00000000-0005-0000-0000-0000F21D0000}"/>
    <cellStyle name="Output 2 4 4 3" xfId="7586" xr:uid="{00000000-0005-0000-0000-0000F31D0000}"/>
    <cellStyle name="Output 2 4 4 4" xfId="7739" xr:uid="{00000000-0005-0000-0000-0000F41D0000}"/>
    <cellStyle name="Output 2 4 4 5" xfId="7893" xr:uid="{00000000-0005-0000-0000-0000F51D0000}"/>
    <cellStyle name="Output 2 4 4 6" xfId="8036" xr:uid="{00000000-0005-0000-0000-0000F61D0000}"/>
    <cellStyle name="Output 2 4 4 7" xfId="8027" xr:uid="{00000000-0005-0000-0000-0000F71D0000}"/>
    <cellStyle name="Output 2 4 4 8" xfId="8281" xr:uid="{00000000-0005-0000-0000-0000F81D0000}"/>
    <cellStyle name="Output 2 4 4 9" xfId="8381" xr:uid="{00000000-0005-0000-0000-0000F91D0000}"/>
    <cellStyle name="Output 2 4 5" xfId="7143" xr:uid="{00000000-0005-0000-0000-0000FA1D0000}"/>
    <cellStyle name="Output 2 4 6" xfId="7439" xr:uid="{00000000-0005-0000-0000-0000FB1D0000}"/>
    <cellStyle name="Output 2 4 7" xfId="7595" xr:uid="{00000000-0005-0000-0000-0000FC1D0000}"/>
    <cellStyle name="Output 2 4 8" xfId="7748" xr:uid="{00000000-0005-0000-0000-0000FD1D0000}"/>
    <cellStyle name="Output 2 4 9" xfId="7903" xr:uid="{00000000-0005-0000-0000-0000FE1D0000}"/>
    <cellStyle name="Output 2 5" xfId="6742" xr:uid="{00000000-0005-0000-0000-0000FF1D0000}"/>
    <cellStyle name="Output 2 5 10" xfId="8010" xr:uid="{00000000-0005-0000-0000-0000001E0000}"/>
    <cellStyle name="Output 2 5 11" xfId="8345" xr:uid="{00000000-0005-0000-0000-0000011E0000}"/>
    <cellStyle name="Output 2 5 2" xfId="6793" xr:uid="{00000000-0005-0000-0000-0000021E0000}"/>
    <cellStyle name="Output 2 5 2 10" xfId="8244" xr:uid="{00000000-0005-0000-0000-0000031E0000}"/>
    <cellStyle name="Output 2 5 2 2" xfId="6994" xr:uid="{00000000-0005-0000-0000-0000041E0000}"/>
    <cellStyle name="Output 2 5 2 2 2" xfId="7379" xr:uid="{00000000-0005-0000-0000-0000051E0000}"/>
    <cellStyle name="Output 2 5 2 2 3" xfId="7667" xr:uid="{00000000-0005-0000-0000-0000061E0000}"/>
    <cellStyle name="Output 2 5 2 2 4" xfId="7819" xr:uid="{00000000-0005-0000-0000-0000071E0000}"/>
    <cellStyle name="Output 2 5 2 2 5" xfId="7972" xr:uid="{00000000-0005-0000-0000-0000081E0000}"/>
    <cellStyle name="Output 2 5 2 2 6" xfId="8112" xr:uid="{00000000-0005-0000-0000-0000091E0000}"/>
    <cellStyle name="Output 2 5 2 2 7" xfId="8209" xr:uid="{00000000-0005-0000-0000-00000A1E0000}"/>
    <cellStyle name="Output 2 5 2 2 8" xfId="8339" xr:uid="{00000000-0005-0000-0000-00000B1E0000}"/>
    <cellStyle name="Output 2 5 2 2 9" xfId="8426" xr:uid="{00000000-0005-0000-0000-00000C1E0000}"/>
    <cellStyle name="Output 2 5 2 3" xfId="7231" xr:uid="{00000000-0005-0000-0000-00000D1E0000}"/>
    <cellStyle name="Output 2 5 2 4" xfId="7526" xr:uid="{00000000-0005-0000-0000-00000E1E0000}"/>
    <cellStyle name="Output 2 5 2 5" xfId="7095" xr:uid="{00000000-0005-0000-0000-00000F1E0000}"/>
    <cellStyle name="Output 2 5 2 6" xfId="7467" xr:uid="{00000000-0005-0000-0000-0000101E0000}"/>
    <cellStyle name="Output 2 5 2 7" xfId="7442" xr:uid="{00000000-0005-0000-0000-0000111E0000}"/>
    <cellStyle name="Output 2 5 2 8" xfId="8066" xr:uid="{00000000-0005-0000-0000-0000121E0000}"/>
    <cellStyle name="Output 2 5 2 9" xfId="7891" xr:uid="{00000000-0005-0000-0000-0000131E0000}"/>
    <cellStyle name="Output 2 5 3" xfId="6920" xr:uid="{00000000-0005-0000-0000-0000141E0000}"/>
    <cellStyle name="Output 2 5 3 2" xfId="7305" xr:uid="{00000000-0005-0000-0000-0000151E0000}"/>
    <cellStyle name="Output 2 5 3 3" xfId="7597" xr:uid="{00000000-0005-0000-0000-0000161E0000}"/>
    <cellStyle name="Output 2 5 3 4" xfId="7750" xr:uid="{00000000-0005-0000-0000-0000171E0000}"/>
    <cellStyle name="Output 2 5 3 5" xfId="7905" xr:uid="{00000000-0005-0000-0000-0000181E0000}"/>
    <cellStyle name="Output 2 5 3 6" xfId="8047" xr:uid="{00000000-0005-0000-0000-0000191E0000}"/>
    <cellStyle name="Output 2 5 3 7" xfId="8231" xr:uid="{00000000-0005-0000-0000-00001A1E0000}"/>
    <cellStyle name="Output 2 5 3 8" xfId="8289" xr:uid="{00000000-0005-0000-0000-00001B1E0000}"/>
    <cellStyle name="Output 2 5 3 9" xfId="8386" xr:uid="{00000000-0005-0000-0000-00001C1E0000}"/>
    <cellStyle name="Output 2 5 4" xfId="7157" xr:uid="{00000000-0005-0000-0000-00001D1E0000}"/>
    <cellStyle name="Output 2 5 5" xfId="7453" xr:uid="{00000000-0005-0000-0000-00001E1E0000}"/>
    <cellStyle name="Output 2 5 6" xfId="7606" xr:uid="{00000000-0005-0000-0000-00001F1E0000}"/>
    <cellStyle name="Output 2 5 7" xfId="7759" xr:uid="{00000000-0005-0000-0000-0000201E0000}"/>
    <cellStyle name="Output 2 5 8" xfId="7914" xr:uid="{00000000-0005-0000-0000-0000211E0000}"/>
    <cellStyle name="Output 2 5 9" xfId="7896" xr:uid="{00000000-0005-0000-0000-0000221E0000}"/>
    <cellStyle name="Output 2 6" xfId="6696" xr:uid="{00000000-0005-0000-0000-0000231E0000}"/>
    <cellStyle name="Output 2 6 10" xfId="7637" xr:uid="{00000000-0005-0000-0000-0000241E0000}"/>
    <cellStyle name="Output 2 6 11" xfId="6849" xr:uid="{00000000-0005-0000-0000-0000251E0000}"/>
    <cellStyle name="Output 2 6 2" xfId="6957" xr:uid="{00000000-0005-0000-0000-0000261E0000}"/>
    <cellStyle name="Output 2 6 2 2" xfId="7342" xr:uid="{00000000-0005-0000-0000-0000271E0000}"/>
    <cellStyle name="Output 2 6 2 3" xfId="7633" xr:uid="{00000000-0005-0000-0000-0000281E0000}"/>
    <cellStyle name="Output 2 6 2 4" xfId="7785" xr:uid="{00000000-0005-0000-0000-0000291E0000}"/>
    <cellStyle name="Output 2 6 2 5" xfId="7941" xr:uid="{00000000-0005-0000-0000-00002A1E0000}"/>
    <cellStyle name="Output 2 6 2 6" xfId="8079" xr:uid="{00000000-0005-0000-0000-00002B1E0000}"/>
    <cellStyle name="Output 2 6 2 7" xfId="7872" xr:uid="{00000000-0005-0000-0000-00002C1E0000}"/>
    <cellStyle name="Output 2 6 2 8" xfId="8314" xr:uid="{00000000-0005-0000-0000-00002D1E0000}"/>
    <cellStyle name="Output 2 6 2 9" xfId="8406" xr:uid="{00000000-0005-0000-0000-00002E1E0000}"/>
    <cellStyle name="Output 2 6 3" xfId="7194" xr:uid="{00000000-0005-0000-0000-00002F1E0000}"/>
    <cellStyle name="Output 2 6 4" xfId="7489" xr:uid="{00000000-0005-0000-0000-0000301E0000}"/>
    <cellStyle name="Output 2 6 5" xfId="7061" xr:uid="{00000000-0005-0000-0000-0000311E0000}"/>
    <cellStyle name="Output 2 6 6" xfId="7611" xr:uid="{00000000-0005-0000-0000-0000321E0000}"/>
    <cellStyle name="Output 2 6 7" xfId="7764" xr:uid="{00000000-0005-0000-0000-0000331E0000}"/>
    <cellStyle name="Output 2 6 8" xfId="8238" xr:uid="{00000000-0005-0000-0000-0000341E0000}"/>
    <cellStyle name="Output 2 6 9" xfId="8188" xr:uid="{00000000-0005-0000-0000-0000351E0000}"/>
    <cellStyle name="Output 2 7" xfId="6686" xr:uid="{00000000-0005-0000-0000-0000361E0000}"/>
    <cellStyle name="Output 2 7 2" xfId="7268" xr:uid="{00000000-0005-0000-0000-0000371E0000}"/>
    <cellStyle name="Output 2 7 3" xfId="7562" xr:uid="{00000000-0005-0000-0000-0000381E0000}"/>
    <cellStyle name="Output 2 7 4" xfId="7715" xr:uid="{00000000-0005-0000-0000-0000391E0000}"/>
    <cellStyle name="Output 2 7 5" xfId="7868" xr:uid="{00000000-0005-0000-0000-00003A1E0000}"/>
    <cellStyle name="Output 2 7 6" xfId="8015" xr:uid="{00000000-0005-0000-0000-00003B1E0000}"/>
    <cellStyle name="Output 2 7 7" xfId="8034" xr:uid="{00000000-0005-0000-0000-00003C1E0000}"/>
    <cellStyle name="Output 2 7 8" xfId="8265" xr:uid="{00000000-0005-0000-0000-00003D1E0000}"/>
    <cellStyle name="Output 2 7 9" xfId="8366" xr:uid="{00000000-0005-0000-0000-00003E1E0000}"/>
    <cellStyle name="Output 2 8" xfId="7097" xr:uid="{00000000-0005-0000-0000-00003F1E0000}"/>
    <cellStyle name="Output 2 9" xfId="7049" xr:uid="{00000000-0005-0000-0000-0000401E0000}"/>
    <cellStyle name="Output 3" xfId="493" xr:uid="{00000000-0005-0000-0000-0000411E0000}"/>
    <cellStyle name="Percent 2" xfId="70" xr:uid="{00000000-0005-0000-0000-0000421E0000}"/>
    <cellStyle name="Percent 2 2" xfId="6733" xr:uid="{00000000-0005-0000-0000-0000431E0000}"/>
    <cellStyle name="Percent 3" xfId="94" xr:uid="{00000000-0005-0000-0000-0000441E0000}"/>
    <cellStyle name="Title 2" xfId="71" xr:uid="{00000000-0005-0000-0000-0000451E0000}"/>
    <cellStyle name="Title 3" xfId="494" xr:uid="{00000000-0005-0000-0000-0000461E0000}"/>
    <cellStyle name="Total 2" xfId="72" xr:uid="{00000000-0005-0000-0000-0000471E0000}"/>
    <cellStyle name="Total 2 10" xfId="7528" xr:uid="{00000000-0005-0000-0000-0000481E0000}"/>
    <cellStyle name="Total 2 11" xfId="7098" xr:uid="{00000000-0005-0000-0000-0000491E0000}"/>
    <cellStyle name="Total 2 12" xfId="7681" xr:uid="{00000000-0005-0000-0000-00004A1E0000}"/>
    <cellStyle name="Total 2 13" xfId="7985" xr:uid="{00000000-0005-0000-0000-00004B1E0000}"/>
    <cellStyle name="Total 2 14" xfId="7858" xr:uid="{00000000-0005-0000-0000-00004C1E0000}"/>
    <cellStyle name="Total 2 15" xfId="7554" xr:uid="{00000000-0005-0000-0000-00004D1E0000}"/>
    <cellStyle name="Total 2 2" xfId="6709" xr:uid="{00000000-0005-0000-0000-00004E1E0000}"/>
    <cellStyle name="Total 2 2 10" xfId="7871" xr:uid="{00000000-0005-0000-0000-00004F1E0000}"/>
    <cellStyle name="Total 2 2 11" xfId="7701" xr:uid="{00000000-0005-0000-0000-0000501E0000}"/>
    <cellStyle name="Total 2 2 12" xfId="8303" xr:uid="{00000000-0005-0000-0000-0000511E0000}"/>
    <cellStyle name="Total 2 2 2" xfId="6754" xr:uid="{00000000-0005-0000-0000-0000521E0000}"/>
    <cellStyle name="Total 2 2 2 10" xfId="8116" xr:uid="{00000000-0005-0000-0000-0000531E0000}"/>
    <cellStyle name="Total 2 2 2 11" xfId="8259" xr:uid="{00000000-0005-0000-0000-0000541E0000}"/>
    <cellStyle name="Total 2 2 2 2" xfId="6801" xr:uid="{00000000-0005-0000-0000-0000551E0000}"/>
    <cellStyle name="Total 2 2 2 2 10" xfId="7997" xr:uid="{00000000-0005-0000-0000-0000561E0000}"/>
    <cellStyle name="Total 2 2 2 2 2" xfId="7006" xr:uid="{00000000-0005-0000-0000-0000571E0000}"/>
    <cellStyle name="Total 2 2 2 2 2 2" xfId="7391" xr:uid="{00000000-0005-0000-0000-0000581E0000}"/>
    <cellStyle name="Total 2 2 2 2 2 3" xfId="7679" xr:uid="{00000000-0005-0000-0000-0000591E0000}"/>
    <cellStyle name="Total 2 2 2 2 2 4" xfId="7831" xr:uid="{00000000-0005-0000-0000-00005A1E0000}"/>
    <cellStyle name="Total 2 2 2 2 2 5" xfId="7983" xr:uid="{00000000-0005-0000-0000-00005B1E0000}"/>
    <cellStyle name="Total 2 2 2 2 2 6" xfId="8124" xr:uid="{00000000-0005-0000-0000-00005C1E0000}"/>
    <cellStyle name="Total 2 2 2 2 2 7" xfId="7737" xr:uid="{00000000-0005-0000-0000-00005D1E0000}"/>
    <cellStyle name="Total 2 2 2 2 2 8" xfId="8348" xr:uid="{00000000-0005-0000-0000-00005E1E0000}"/>
    <cellStyle name="Total 2 2 2 2 2 9" xfId="8434" xr:uid="{00000000-0005-0000-0000-00005F1E0000}"/>
    <cellStyle name="Total 2 2 2 2 3" xfId="7243" xr:uid="{00000000-0005-0000-0000-0000601E0000}"/>
    <cellStyle name="Total 2 2 2 2 4" xfId="7538" xr:uid="{00000000-0005-0000-0000-0000611E0000}"/>
    <cellStyle name="Total 2 2 2 2 5" xfId="7107" xr:uid="{00000000-0005-0000-0000-0000621E0000}"/>
    <cellStyle name="Total 2 2 2 2 6" xfId="7519" xr:uid="{00000000-0005-0000-0000-0000631E0000}"/>
    <cellStyle name="Total 2 2 2 2 7" xfId="7088" xr:uid="{00000000-0005-0000-0000-0000641E0000}"/>
    <cellStyle name="Total 2 2 2 2 8" xfId="8224" xr:uid="{00000000-0005-0000-0000-0000651E0000}"/>
    <cellStyle name="Total 2 2 2 2 9" xfId="7763" xr:uid="{00000000-0005-0000-0000-0000661E0000}"/>
    <cellStyle name="Total 2 2 2 3" xfId="6932" xr:uid="{00000000-0005-0000-0000-0000671E0000}"/>
    <cellStyle name="Total 2 2 2 3 2" xfId="7317" xr:uid="{00000000-0005-0000-0000-0000681E0000}"/>
    <cellStyle name="Total 2 2 2 3 3" xfId="7609" xr:uid="{00000000-0005-0000-0000-0000691E0000}"/>
    <cellStyle name="Total 2 2 2 3 4" xfId="7762" xr:uid="{00000000-0005-0000-0000-00006A1E0000}"/>
    <cellStyle name="Total 2 2 2 3 5" xfId="7917" xr:uid="{00000000-0005-0000-0000-00006B1E0000}"/>
    <cellStyle name="Total 2 2 2 3 6" xfId="8057" xr:uid="{00000000-0005-0000-0000-00006C1E0000}"/>
    <cellStyle name="Total 2 2 2 3 7" xfId="8208" xr:uid="{00000000-0005-0000-0000-00006D1E0000}"/>
    <cellStyle name="Total 2 2 2 3 8" xfId="8299" xr:uid="{00000000-0005-0000-0000-00006E1E0000}"/>
    <cellStyle name="Total 2 2 2 3 9" xfId="8394" xr:uid="{00000000-0005-0000-0000-00006F1E0000}"/>
    <cellStyle name="Total 2 2 2 4" xfId="7169" xr:uid="{00000000-0005-0000-0000-0000701E0000}"/>
    <cellStyle name="Total 2 2 2 5" xfId="7465" xr:uid="{00000000-0005-0000-0000-0000711E0000}"/>
    <cellStyle name="Total 2 2 2 6" xfId="7695" xr:uid="{00000000-0005-0000-0000-0000721E0000}"/>
    <cellStyle name="Total 2 2 2 7" xfId="7848" xr:uid="{00000000-0005-0000-0000-0000731E0000}"/>
    <cellStyle name="Total 2 2 2 8" xfId="7998" xr:uid="{00000000-0005-0000-0000-0000741E0000}"/>
    <cellStyle name="Total 2 2 2 9" xfId="7919" xr:uid="{00000000-0005-0000-0000-0000751E0000}"/>
    <cellStyle name="Total 2 2 3" xfId="6781" xr:uid="{00000000-0005-0000-0000-0000761E0000}"/>
    <cellStyle name="Total 2 2 3 10" xfId="7033" xr:uid="{00000000-0005-0000-0000-0000771E0000}"/>
    <cellStyle name="Total 2 2 3 2" xfId="6969" xr:uid="{00000000-0005-0000-0000-0000781E0000}"/>
    <cellStyle name="Total 2 2 3 2 2" xfId="7354" xr:uid="{00000000-0005-0000-0000-0000791E0000}"/>
    <cellStyle name="Total 2 2 3 2 3" xfId="7644" xr:uid="{00000000-0005-0000-0000-00007A1E0000}"/>
    <cellStyle name="Total 2 2 3 2 4" xfId="7796" xr:uid="{00000000-0005-0000-0000-00007B1E0000}"/>
    <cellStyle name="Total 2 2 3 2 5" xfId="7951" xr:uid="{00000000-0005-0000-0000-00007C1E0000}"/>
    <cellStyle name="Total 2 2 3 2 6" xfId="8090" xr:uid="{00000000-0005-0000-0000-00007D1E0000}"/>
    <cellStyle name="Total 2 2 3 2 7" xfId="7984" xr:uid="{00000000-0005-0000-0000-00007E1E0000}"/>
    <cellStyle name="Total 2 2 3 2 8" xfId="8323" xr:uid="{00000000-0005-0000-0000-00007F1E0000}"/>
    <cellStyle name="Total 2 2 3 2 9" xfId="8414" xr:uid="{00000000-0005-0000-0000-0000801E0000}"/>
    <cellStyle name="Total 2 2 3 3" xfId="7206" xr:uid="{00000000-0005-0000-0000-0000811E0000}"/>
    <cellStyle name="Total 2 2 3 4" xfId="7501" xr:uid="{00000000-0005-0000-0000-0000821E0000}"/>
    <cellStyle name="Total 2 2 3 5" xfId="7072" xr:uid="{00000000-0005-0000-0000-0000831E0000}"/>
    <cellStyle name="Total 2 2 3 6" xfId="7589" xr:uid="{00000000-0005-0000-0000-0000841E0000}"/>
    <cellStyle name="Total 2 2 3 7" xfId="7742" xr:uid="{00000000-0005-0000-0000-0000851E0000}"/>
    <cellStyle name="Total 2 2 3 8" xfId="8169" xr:uid="{00000000-0005-0000-0000-0000861E0000}"/>
    <cellStyle name="Total 2 2 3 9" xfId="8173" xr:uid="{00000000-0005-0000-0000-0000871E0000}"/>
    <cellStyle name="Total 2 2 4" xfId="6895" xr:uid="{00000000-0005-0000-0000-0000881E0000}"/>
    <cellStyle name="Total 2 2 4 2" xfId="7280" xr:uid="{00000000-0005-0000-0000-0000891E0000}"/>
    <cellStyle name="Total 2 2 4 3" xfId="7574" xr:uid="{00000000-0005-0000-0000-00008A1E0000}"/>
    <cellStyle name="Total 2 2 4 4" xfId="7726" xr:uid="{00000000-0005-0000-0000-00008B1E0000}"/>
    <cellStyle name="Total 2 2 4 5" xfId="7880" xr:uid="{00000000-0005-0000-0000-00008C1E0000}"/>
    <cellStyle name="Total 2 2 4 6" xfId="8025" xr:uid="{00000000-0005-0000-0000-00008D1E0000}"/>
    <cellStyle name="Total 2 2 4 7" xfId="8125" xr:uid="{00000000-0005-0000-0000-00008E1E0000}"/>
    <cellStyle name="Total 2 2 4 8" xfId="8274" xr:uid="{00000000-0005-0000-0000-00008F1E0000}"/>
    <cellStyle name="Total 2 2 4 9" xfId="8374" xr:uid="{00000000-0005-0000-0000-0000901E0000}"/>
    <cellStyle name="Total 2 2 5" xfId="7126" xr:uid="{00000000-0005-0000-0000-0000911E0000}"/>
    <cellStyle name="Total 2 2 6" xfId="7421" xr:uid="{00000000-0005-0000-0000-0000921E0000}"/>
    <cellStyle name="Total 2 2 7" xfId="7508" xr:uid="{00000000-0005-0000-0000-0000931E0000}"/>
    <cellStyle name="Total 2 2 8" xfId="7027" xr:uid="{00000000-0005-0000-0000-0000941E0000}"/>
    <cellStyle name="Total 2 2 9" xfId="7565" xr:uid="{00000000-0005-0000-0000-0000951E0000}"/>
    <cellStyle name="Total 2 3" xfId="6715" xr:uid="{00000000-0005-0000-0000-0000961E0000}"/>
    <cellStyle name="Total 2 3 10" xfId="8038" xr:uid="{00000000-0005-0000-0000-0000971E0000}"/>
    <cellStyle name="Total 2 3 11" xfId="8172" xr:uid="{00000000-0005-0000-0000-0000981E0000}"/>
    <cellStyle name="Total 2 3 12" xfId="8239" xr:uid="{00000000-0005-0000-0000-0000991E0000}"/>
    <cellStyle name="Total 2 3 2" xfId="6760" xr:uid="{00000000-0005-0000-0000-00009A1E0000}"/>
    <cellStyle name="Total 2 3 2 10" xfId="8183" xr:uid="{00000000-0005-0000-0000-00009B1E0000}"/>
    <cellStyle name="Total 2 3 2 11" xfId="7923" xr:uid="{00000000-0005-0000-0000-00009C1E0000}"/>
    <cellStyle name="Total 2 3 2 2" xfId="6804" xr:uid="{00000000-0005-0000-0000-00009D1E0000}"/>
    <cellStyle name="Total 2 3 2 2 10" xfId="7798" xr:uid="{00000000-0005-0000-0000-00009E1E0000}"/>
    <cellStyle name="Total 2 3 2 2 2" xfId="7012" xr:uid="{00000000-0005-0000-0000-00009F1E0000}"/>
    <cellStyle name="Total 2 3 2 2 2 2" xfId="7397" xr:uid="{00000000-0005-0000-0000-0000A01E0000}"/>
    <cellStyle name="Total 2 3 2 2 2 3" xfId="7684" xr:uid="{00000000-0005-0000-0000-0000A11E0000}"/>
    <cellStyle name="Total 2 3 2 2 2 4" xfId="7837" xr:uid="{00000000-0005-0000-0000-0000A21E0000}"/>
    <cellStyle name="Total 2 3 2 2 2 5" xfId="7988" xr:uid="{00000000-0005-0000-0000-0000A31E0000}"/>
    <cellStyle name="Total 2 3 2 2 2 6" xfId="8129" xr:uid="{00000000-0005-0000-0000-0000A41E0000}"/>
    <cellStyle name="Total 2 3 2 2 2 7" xfId="8028" xr:uid="{00000000-0005-0000-0000-0000A51E0000}"/>
    <cellStyle name="Total 2 3 2 2 2 8" xfId="8351" xr:uid="{00000000-0005-0000-0000-0000A61E0000}"/>
    <cellStyle name="Total 2 3 2 2 2 9" xfId="8437" xr:uid="{00000000-0005-0000-0000-0000A71E0000}"/>
    <cellStyle name="Total 2 3 2 2 3" xfId="7249" xr:uid="{00000000-0005-0000-0000-0000A81E0000}"/>
    <cellStyle name="Total 2 3 2 2 4" xfId="7544" xr:uid="{00000000-0005-0000-0000-0000A91E0000}"/>
    <cellStyle name="Total 2 3 2 2 5" xfId="7113" xr:uid="{00000000-0005-0000-0000-0000AA1E0000}"/>
    <cellStyle name="Total 2 3 2 2 6" xfId="7601" xr:uid="{00000000-0005-0000-0000-0000AB1E0000}"/>
    <cellStyle name="Total 2 3 2 2 7" xfId="7754" xr:uid="{00000000-0005-0000-0000-0000AC1E0000}"/>
    <cellStyle name="Total 2 3 2 2 8" xfId="8077" xr:uid="{00000000-0005-0000-0000-0000AD1E0000}"/>
    <cellStyle name="Total 2 3 2 2 9" xfId="8181" xr:uid="{00000000-0005-0000-0000-0000AE1E0000}"/>
    <cellStyle name="Total 2 3 2 3" xfId="6938" xr:uid="{00000000-0005-0000-0000-0000AF1E0000}"/>
    <cellStyle name="Total 2 3 2 3 2" xfId="7323" xr:uid="{00000000-0005-0000-0000-0000B01E0000}"/>
    <cellStyle name="Total 2 3 2 3 3" xfId="7615" xr:uid="{00000000-0005-0000-0000-0000B11E0000}"/>
    <cellStyle name="Total 2 3 2 3 4" xfId="7767" xr:uid="{00000000-0005-0000-0000-0000B21E0000}"/>
    <cellStyle name="Total 2 3 2 3 5" xfId="7922" xr:uid="{00000000-0005-0000-0000-0000B31E0000}"/>
    <cellStyle name="Total 2 3 2 3 6" xfId="8062" xr:uid="{00000000-0005-0000-0000-0000B41E0000}"/>
    <cellStyle name="Total 2 3 2 3 7" xfId="7931" xr:uid="{00000000-0005-0000-0000-0000B51E0000}"/>
    <cellStyle name="Total 2 3 2 3 8" xfId="8302" xr:uid="{00000000-0005-0000-0000-0000B61E0000}"/>
    <cellStyle name="Total 2 3 2 3 9" xfId="8397" xr:uid="{00000000-0005-0000-0000-0000B71E0000}"/>
    <cellStyle name="Total 2 3 2 4" xfId="7175" xr:uid="{00000000-0005-0000-0000-0000B81E0000}"/>
    <cellStyle name="Total 2 3 2 5" xfId="7470" xr:uid="{00000000-0005-0000-0000-0000B91E0000}"/>
    <cellStyle name="Total 2 3 2 6" xfId="7661" xr:uid="{00000000-0005-0000-0000-0000BA1E0000}"/>
    <cellStyle name="Total 2 3 2 7" xfId="7813" xr:uid="{00000000-0005-0000-0000-0000BB1E0000}"/>
    <cellStyle name="Total 2 3 2 8" xfId="7966" xr:uid="{00000000-0005-0000-0000-0000BC1E0000}"/>
    <cellStyle name="Total 2 3 2 9" xfId="8225" xr:uid="{00000000-0005-0000-0000-0000BD1E0000}"/>
    <cellStyle name="Total 2 3 3" xfId="6784" xr:uid="{00000000-0005-0000-0000-0000BE1E0000}"/>
    <cellStyle name="Total 2 3 3 10" xfId="8229" xr:uid="{00000000-0005-0000-0000-0000BF1E0000}"/>
    <cellStyle name="Total 2 3 3 2" xfId="6975" xr:uid="{00000000-0005-0000-0000-0000C01E0000}"/>
    <cellStyle name="Total 2 3 3 2 2" xfId="7360" xr:uid="{00000000-0005-0000-0000-0000C11E0000}"/>
    <cellStyle name="Total 2 3 3 2 3" xfId="7650" xr:uid="{00000000-0005-0000-0000-0000C21E0000}"/>
    <cellStyle name="Total 2 3 3 2 4" xfId="7802" xr:uid="{00000000-0005-0000-0000-0000C31E0000}"/>
    <cellStyle name="Total 2 3 3 2 5" xfId="7956" xr:uid="{00000000-0005-0000-0000-0000C41E0000}"/>
    <cellStyle name="Total 2 3 3 2 6" xfId="8096" xr:uid="{00000000-0005-0000-0000-0000C51E0000}"/>
    <cellStyle name="Total 2 3 3 2 7" xfId="7108" xr:uid="{00000000-0005-0000-0000-0000C61E0000}"/>
    <cellStyle name="Total 2 3 3 2 8" xfId="8326" xr:uid="{00000000-0005-0000-0000-0000C71E0000}"/>
    <cellStyle name="Total 2 3 3 2 9" xfId="8417" xr:uid="{00000000-0005-0000-0000-0000C81E0000}"/>
    <cellStyle name="Total 2 3 3 3" xfId="7212" xr:uid="{00000000-0005-0000-0000-0000C91E0000}"/>
    <cellStyle name="Total 2 3 3 4" xfId="7507" xr:uid="{00000000-0005-0000-0000-0000CA1E0000}"/>
    <cellStyle name="Total 2 3 3 5" xfId="7078" xr:uid="{00000000-0005-0000-0000-0000CB1E0000}"/>
    <cellStyle name="Total 2 3 3 6" xfId="7636" xr:uid="{00000000-0005-0000-0000-0000CC1E0000}"/>
    <cellStyle name="Total 2 3 3 7" xfId="7788" xr:uid="{00000000-0005-0000-0000-0000CD1E0000}"/>
    <cellStyle name="Total 2 3 3 8" xfId="7662" xr:uid="{00000000-0005-0000-0000-0000CE1E0000}"/>
    <cellStyle name="Total 2 3 3 9" xfId="8207" xr:uid="{00000000-0005-0000-0000-0000CF1E0000}"/>
    <cellStyle name="Total 2 3 4" xfId="6901" xr:uid="{00000000-0005-0000-0000-0000D01E0000}"/>
    <cellStyle name="Total 2 3 4 2" xfId="7286" xr:uid="{00000000-0005-0000-0000-0000D11E0000}"/>
    <cellStyle name="Total 2 3 4 3" xfId="7579" xr:uid="{00000000-0005-0000-0000-0000D21E0000}"/>
    <cellStyle name="Total 2 3 4 4" xfId="7732" xr:uid="{00000000-0005-0000-0000-0000D31E0000}"/>
    <cellStyle name="Total 2 3 4 5" xfId="7886" xr:uid="{00000000-0005-0000-0000-0000D41E0000}"/>
    <cellStyle name="Total 2 3 4 6" xfId="8031" xr:uid="{00000000-0005-0000-0000-0000D51E0000}"/>
    <cellStyle name="Total 2 3 4 7" xfId="8152" xr:uid="{00000000-0005-0000-0000-0000D61E0000}"/>
    <cellStyle name="Total 2 3 4 8" xfId="8277" xr:uid="{00000000-0005-0000-0000-0000D71E0000}"/>
    <cellStyle name="Total 2 3 4 9" xfId="8377" xr:uid="{00000000-0005-0000-0000-0000D81E0000}"/>
    <cellStyle name="Total 2 3 5" xfId="7132" xr:uid="{00000000-0005-0000-0000-0000D91E0000}"/>
    <cellStyle name="Total 2 3 6" xfId="7427" xr:uid="{00000000-0005-0000-0000-0000DA1E0000}"/>
    <cellStyle name="Total 2 3 7" xfId="7044" xr:uid="{00000000-0005-0000-0000-0000DB1E0000}"/>
    <cellStyle name="Total 2 3 8" xfId="7588" xr:uid="{00000000-0005-0000-0000-0000DC1E0000}"/>
    <cellStyle name="Total 2 3 9" xfId="7741" xr:uid="{00000000-0005-0000-0000-0000DD1E0000}"/>
    <cellStyle name="Total 2 4" xfId="6728" xr:uid="{00000000-0005-0000-0000-0000DE1E0000}"/>
    <cellStyle name="Total 2 4 10" xfId="8247" xr:uid="{00000000-0005-0000-0000-0000DF1E0000}"/>
    <cellStyle name="Total 2 4 11" xfId="7509" xr:uid="{00000000-0005-0000-0000-0000E01E0000}"/>
    <cellStyle name="Total 2 4 12" xfId="7860" xr:uid="{00000000-0005-0000-0000-0000E11E0000}"/>
    <cellStyle name="Total 2 4 2" xfId="6768" xr:uid="{00000000-0005-0000-0000-0000E21E0000}"/>
    <cellStyle name="Total 2 4 2 10" xfId="8189" xr:uid="{00000000-0005-0000-0000-0000E31E0000}"/>
    <cellStyle name="Total 2 4 2 11" xfId="8126" xr:uid="{00000000-0005-0000-0000-0000E41E0000}"/>
    <cellStyle name="Total 2 4 2 2" xfId="6809" xr:uid="{00000000-0005-0000-0000-0000E51E0000}"/>
    <cellStyle name="Total 2 4 2 2 10" xfId="8362" xr:uid="{00000000-0005-0000-0000-0000E61E0000}"/>
    <cellStyle name="Total 2 4 2 2 2" xfId="7020" xr:uid="{00000000-0005-0000-0000-0000E71E0000}"/>
    <cellStyle name="Total 2 4 2 2 2 2" xfId="7405" xr:uid="{00000000-0005-0000-0000-0000E81E0000}"/>
    <cellStyle name="Total 2 4 2 2 2 3" xfId="7692" xr:uid="{00000000-0005-0000-0000-0000E91E0000}"/>
    <cellStyle name="Total 2 4 2 2 2 4" xfId="7845" xr:uid="{00000000-0005-0000-0000-0000EA1E0000}"/>
    <cellStyle name="Total 2 4 2 2 2 5" xfId="7995" xr:uid="{00000000-0005-0000-0000-0000EB1E0000}"/>
    <cellStyle name="Total 2 4 2 2 2 6" xfId="8137" xr:uid="{00000000-0005-0000-0000-0000EC1E0000}"/>
    <cellStyle name="Total 2 4 2 2 2 7" xfId="8041" xr:uid="{00000000-0005-0000-0000-0000ED1E0000}"/>
    <cellStyle name="Total 2 4 2 2 2 8" xfId="8356" xr:uid="{00000000-0005-0000-0000-0000EE1E0000}"/>
    <cellStyle name="Total 2 4 2 2 2 9" xfId="8442" xr:uid="{00000000-0005-0000-0000-0000EF1E0000}"/>
    <cellStyle name="Total 2 4 2 2 3" xfId="7257" xr:uid="{00000000-0005-0000-0000-0000F01E0000}"/>
    <cellStyle name="Total 2 4 2 2 4" xfId="7552" xr:uid="{00000000-0005-0000-0000-0000F11E0000}"/>
    <cellStyle name="Total 2 4 2 2 5" xfId="7704" xr:uid="{00000000-0005-0000-0000-0000F21E0000}"/>
    <cellStyle name="Total 2 4 2 2 6" xfId="7857" xr:uid="{00000000-0005-0000-0000-0000F31E0000}"/>
    <cellStyle name="Total 2 4 2 2 7" xfId="8006" xr:uid="{00000000-0005-0000-0000-0000F41E0000}"/>
    <cellStyle name="Total 2 4 2 2 8" xfId="7964" xr:uid="{00000000-0005-0000-0000-0000F51E0000}"/>
    <cellStyle name="Total 2 4 2 2 9" xfId="8258" xr:uid="{00000000-0005-0000-0000-0000F61E0000}"/>
    <cellStyle name="Total 2 4 2 3" xfId="6946" xr:uid="{00000000-0005-0000-0000-0000F71E0000}"/>
    <cellStyle name="Total 2 4 2 3 2" xfId="7331" xr:uid="{00000000-0005-0000-0000-0000F81E0000}"/>
    <cellStyle name="Total 2 4 2 3 3" xfId="7622" xr:uid="{00000000-0005-0000-0000-0000F91E0000}"/>
    <cellStyle name="Total 2 4 2 3 4" xfId="7775" xr:uid="{00000000-0005-0000-0000-0000FA1E0000}"/>
    <cellStyle name="Total 2 4 2 3 5" xfId="7930" xr:uid="{00000000-0005-0000-0000-0000FB1E0000}"/>
    <cellStyle name="Total 2 4 2 3 6" xfId="8069" xr:uid="{00000000-0005-0000-0000-0000FC1E0000}"/>
    <cellStyle name="Total 2 4 2 3 7" xfId="7821" xr:uid="{00000000-0005-0000-0000-0000FD1E0000}"/>
    <cellStyle name="Total 2 4 2 3 8" xfId="8308" xr:uid="{00000000-0005-0000-0000-0000FE1E0000}"/>
    <cellStyle name="Total 2 4 2 3 9" xfId="8402" xr:uid="{00000000-0005-0000-0000-0000FF1E0000}"/>
    <cellStyle name="Total 2 4 2 4" xfId="7183" xr:uid="{00000000-0005-0000-0000-0000001F0000}"/>
    <cellStyle name="Total 2 4 2 5" xfId="7478" xr:uid="{00000000-0005-0000-0000-0000011F0000}"/>
    <cellStyle name="Total 2 4 2 6" xfId="7446" xr:uid="{00000000-0005-0000-0000-0000021F0000}"/>
    <cellStyle name="Total 2 4 2 7" xfId="7689" xr:uid="{00000000-0005-0000-0000-0000031F0000}"/>
    <cellStyle name="Total 2 4 2 8" xfId="7842" xr:uid="{00000000-0005-0000-0000-0000041F0000}"/>
    <cellStyle name="Total 2 4 2 9" xfId="8218" xr:uid="{00000000-0005-0000-0000-0000051F0000}"/>
    <cellStyle name="Total 2 4 3" xfId="6789" xr:uid="{00000000-0005-0000-0000-0000061F0000}"/>
    <cellStyle name="Total 2 4 3 10" xfId="8164" xr:uid="{00000000-0005-0000-0000-0000071F0000}"/>
    <cellStyle name="Total 2 4 3 2" xfId="6983" xr:uid="{00000000-0005-0000-0000-0000081F0000}"/>
    <cellStyle name="Total 2 4 3 2 2" xfId="7368" xr:uid="{00000000-0005-0000-0000-0000091F0000}"/>
    <cellStyle name="Total 2 4 3 2 3" xfId="7658" xr:uid="{00000000-0005-0000-0000-00000A1F0000}"/>
    <cellStyle name="Total 2 4 3 2 4" xfId="7809" xr:uid="{00000000-0005-0000-0000-00000B1F0000}"/>
    <cellStyle name="Total 2 4 3 2 5" xfId="7963" xr:uid="{00000000-0005-0000-0000-00000C1F0000}"/>
    <cellStyle name="Total 2 4 3 2 6" xfId="8104" xr:uid="{00000000-0005-0000-0000-00000D1F0000}"/>
    <cellStyle name="Total 2 4 3 2 7" xfId="8141" xr:uid="{00000000-0005-0000-0000-00000E1F0000}"/>
    <cellStyle name="Total 2 4 3 2 8" xfId="8332" xr:uid="{00000000-0005-0000-0000-00000F1F0000}"/>
    <cellStyle name="Total 2 4 3 2 9" xfId="8422" xr:uid="{00000000-0005-0000-0000-0000101F0000}"/>
    <cellStyle name="Total 2 4 3 3" xfId="7220" xr:uid="{00000000-0005-0000-0000-0000111F0000}"/>
    <cellStyle name="Total 2 4 3 4" xfId="7515" xr:uid="{00000000-0005-0000-0000-0000121F0000}"/>
    <cellStyle name="Total 2 4 3 5" xfId="7085" xr:uid="{00000000-0005-0000-0000-0000131F0000}"/>
    <cellStyle name="Total 2 4 3 6" xfId="7616" xr:uid="{00000000-0005-0000-0000-0000141F0000}"/>
    <cellStyle name="Total 2 4 3 7" xfId="7769" xr:uid="{00000000-0005-0000-0000-0000151F0000}"/>
    <cellStyle name="Total 2 4 3 8" xfId="7838" xr:uid="{00000000-0005-0000-0000-0000161F0000}"/>
    <cellStyle name="Total 2 4 3 9" xfId="8190" xr:uid="{00000000-0005-0000-0000-0000171F0000}"/>
    <cellStyle name="Total 2 4 4" xfId="6909" xr:uid="{00000000-0005-0000-0000-0000181F0000}"/>
    <cellStyle name="Total 2 4 4 2" xfId="7294" xr:uid="{00000000-0005-0000-0000-0000191F0000}"/>
    <cellStyle name="Total 2 4 4 3" xfId="7587" xr:uid="{00000000-0005-0000-0000-00001A1F0000}"/>
    <cellStyle name="Total 2 4 4 4" xfId="7740" xr:uid="{00000000-0005-0000-0000-00001B1F0000}"/>
    <cellStyle name="Total 2 4 4 5" xfId="7894" xr:uid="{00000000-0005-0000-0000-00001C1F0000}"/>
    <cellStyle name="Total 2 4 4 6" xfId="8037" xr:uid="{00000000-0005-0000-0000-00001D1F0000}"/>
    <cellStyle name="Total 2 4 4 7" xfId="7793" xr:uid="{00000000-0005-0000-0000-00001E1F0000}"/>
    <cellStyle name="Total 2 4 4 8" xfId="8282" xr:uid="{00000000-0005-0000-0000-00001F1F0000}"/>
    <cellStyle name="Total 2 4 4 9" xfId="8382" xr:uid="{00000000-0005-0000-0000-0000201F0000}"/>
    <cellStyle name="Total 2 4 5" xfId="7144" xr:uid="{00000000-0005-0000-0000-0000211F0000}"/>
    <cellStyle name="Total 2 4 6" xfId="7440" xr:uid="{00000000-0005-0000-0000-0000221F0000}"/>
    <cellStyle name="Total 2 4 7" xfId="7665" xr:uid="{00000000-0005-0000-0000-0000231F0000}"/>
    <cellStyle name="Total 2 4 8" xfId="7817" xr:uid="{00000000-0005-0000-0000-0000241F0000}"/>
    <cellStyle name="Total 2 4 9" xfId="7970" xr:uid="{00000000-0005-0000-0000-0000251F0000}"/>
    <cellStyle name="Total 2 5" xfId="6743" xr:uid="{00000000-0005-0000-0000-0000261F0000}"/>
    <cellStyle name="Total 2 5 10" xfId="7717" xr:uid="{00000000-0005-0000-0000-0000271F0000}"/>
    <cellStyle name="Total 2 5 11" xfId="8150" xr:uid="{00000000-0005-0000-0000-0000281F0000}"/>
    <cellStyle name="Total 2 5 2" xfId="6794" xr:uid="{00000000-0005-0000-0000-0000291F0000}"/>
    <cellStyle name="Total 2 5 2 10" xfId="8059" xr:uid="{00000000-0005-0000-0000-00002A1F0000}"/>
    <cellStyle name="Total 2 5 2 2" xfId="6995" xr:uid="{00000000-0005-0000-0000-00002B1F0000}"/>
    <cellStyle name="Total 2 5 2 2 2" xfId="7380" xr:uid="{00000000-0005-0000-0000-00002C1F0000}"/>
    <cellStyle name="Total 2 5 2 2 3" xfId="7668" xr:uid="{00000000-0005-0000-0000-00002D1F0000}"/>
    <cellStyle name="Total 2 5 2 2 4" xfId="7820" xr:uid="{00000000-0005-0000-0000-00002E1F0000}"/>
    <cellStyle name="Total 2 5 2 2 5" xfId="7973" xr:uid="{00000000-0005-0000-0000-00002F1F0000}"/>
    <cellStyle name="Total 2 5 2 2 6" xfId="8113" xr:uid="{00000000-0005-0000-0000-0000301F0000}"/>
    <cellStyle name="Total 2 5 2 2 7" xfId="7859" xr:uid="{00000000-0005-0000-0000-0000311F0000}"/>
    <cellStyle name="Total 2 5 2 2 8" xfId="8340" xr:uid="{00000000-0005-0000-0000-0000321F0000}"/>
    <cellStyle name="Total 2 5 2 2 9" xfId="8427" xr:uid="{00000000-0005-0000-0000-0000331F0000}"/>
    <cellStyle name="Total 2 5 2 3" xfId="7232" xr:uid="{00000000-0005-0000-0000-0000341F0000}"/>
    <cellStyle name="Total 2 5 2 4" xfId="7527" xr:uid="{00000000-0005-0000-0000-0000351F0000}"/>
    <cellStyle name="Total 2 5 2 5" xfId="7149" xr:uid="{00000000-0005-0000-0000-0000361F0000}"/>
    <cellStyle name="Total 2 5 2 6" xfId="7541" xr:uid="{00000000-0005-0000-0000-0000371F0000}"/>
    <cellStyle name="Total 2 5 2 7" xfId="7110" xr:uid="{00000000-0005-0000-0000-0000381F0000}"/>
    <cellStyle name="Total 2 5 2 8" xfId="8017" xr:uid="{00000000-0005-0000-0000-0000391F0000}"/>
    <cellStyle name="Total 2 5 2 9" xfId="7043" xr:uid="{00000000-0005-0000-0000-00003A1F0000}"/>
    <cellStyle name="Total 2 5 3" xfId="6921" xr:uid="{00000000-0005-0000-0000-00003B1F0000}"/>
    <cellStyle name="Total 2 5 3 2" xfId="7306" xr:uid="{00000000-0005-0000-0000-00003C1F0000}"/>
    <cellStyle name="Total 2 5 3 3" xfId="7598" xr:uid="{00000000-0005-0000-0000-00003D1F0000}"/>
    <cellStyle name="Total 2 5 3 4" xfId="7751" xr:uid="{00000000-0005-0000-0000-00003E1F0000}"/>
    <cellStyle name="Total 2 5 3 5" xfId="7906" xr:uid="{00000000-0005-0000-0000-00003F1F0000}"/>
    <cellStyle name="Total 2 5 3 6" xfId="8048" xr:uid="{00000000-0005-0000-0000-0000401F0000}"/>
    <cellStyle name="Total 2 5 3 7" xfId="7564" xr:uid="{00000000-0005-0000-0000-0000411F0000}"/>
    <cellStyle name="Total 2 5 3 8" xfId="8290" xr:uid="{00000000-0005-0000-0000-0000421F0000}"/>
    <cellStyle name="Total 2 5 3 9" xfId="8387" xr:uid="{00000000-0005-0000-0000-0000431F0000}"/>
    <cellStyle name="Total 2 5 4" xfId="7158" xr:uid="{00000000-0005-0000-0000-0000441F0000}"/>
    <cellStyle name="Total 2 5 5" xfId="7454" xr:uid="{00000000-0005-0000-0000-0000451F0000}"/>
    <cellStyle name="Total 2 5 6" xfId="7676" xr:uid="{00000000-0005-0000-0000-0000461F0000}"/>
    <cellStyle name="Total 2 5 7" xfId="7828" xr:uid="{00000000-0005-0000-0000-0000471F0000}"/>
    <cellStyle name="Total 2 5 8" xfId="7980" xr:uid="{00000000-0005-0000-0000-0000481F0000}"/>
    <cellStyle name="Total 2 5 9" xfId="8187" xr:uid="{00000000-0005-0000-0000-0000491F0000}"/>
    <cellStyle name="Total 2 6" xfId="6697" xr:uid="{00000000-0005-0000-0000-00004A1F0000}"/>
    <cellStyle name="Total 2 6 10" xfId="8200" xr:uid="{00000000-0005-0000-0000-00004B1F0000}"/>
    <cellStyle name="Total 2 6 11" xfId="6850" xr:uid="{00000000-0005-0000-0000-00004C1F0000}"/>
    <cellStyle name="Total 2 6 2" xfId="6958" xr:uid="{00000000-0005-0000-0000-00004D1F0000}"/>
    <cellStyle name="Total 2 6 2 2" xfId="7343" xr:uid="{00000000-0005-0000-0000-00004E1F0000}"/>
    <cellStyle name="Total 2 6 2 3" xfId="7634" xr:uid="{00000000-0005-0000-0000-00004F1F0000}"/>
    <cellStyle name="Total 2 6 2 4" xfId="7786" xr:uid="{00000000-0005-0000-0000-0000501F0000}"/>
    <cellStyle name="Total 2 6 2 5" xfId="7942" xr:uid="{00000000-0005-0000-0000-0000511F0000}"/>
    <cellStyle name="Total 2 6 2 6" xfId="8080" xr:uid="{00000000-0005-0000-0000-0000521F0000}"/>
    <cellStyle name="Total 2 6 2 7" xfId="7456" xr:uid="{00000000-0005-0000-0000-0000531F0000}"/>
    <cellStyle name="Total 2 6 2 8" xfId="8315" xr:uid="{00000000-0005-0000-0000-0000541F0000}"/>
    <cellStyle name="Total 2 6 2 9" xfId="8407" xr:uid="{00000000-0005-0000-0000-0000551F0000}"/>
    <cellStyle name="Total 2 6 3" xfId="7195" xr:uid="{00000000-0005-0000-0000-0000561F0000}"/>
    <cellStyle name="Total 2 6 4" xfId="7490" xr:uid="{00000000-0005-0000-0000-0000571F0000}"/>
    <cellStyle name="Total 2 6 5" xfId="7062" xr:uid="{00000000-0005-0000-0000-0000581F0000}"/>
    <cellStyle name="Total 2 6 6" xfId="7503" xr:uid="{00000000-0005-0000-0000-0000591F0000}"/>
    <cellStyle name="Total 2 6 7" xfId="7074" xr:uid="{00000000-0005-0000-0000-00005A1F0000}"/>
    <cellStyle name="Total 2 6 8" xfId="7934" xr:uid="{00000000-0005-0000-0000-00005B1F0000}"/>
    <cellStyle name="Total 2 6 9" xfId="7612" xr:uid="{00000000-0005-0000-0000-00005C1F0000}"/>
    <cellStyle name="Total 2 7" xfId="6685" xr:uid="{00000000-0005-0000-0000-00005D1F0000}"/>
    <cellStyle name="Total 2 7 2" xfId="7269" xr:uid="{00000000-0005-0000-0000-00005E1F0000}"/>
    <cellStyle name="Total 2 7 3" xfId="7563" xr:uid="{00000000-0005-0000-0000-00005F1F0000}"/>
    <cellStyle name="Total 2 7 4" xfId="7716" xr:uid="{00000000-0005-0000-0000-0000601F0000}"/>
    <cellStyle name="Total 2 7 5" xfId="7869" xr:uid="{00000000-0005-0000-0000-0000611F0000}"/>
    <cellStyle name="Total 2 7 6" xfId="8016" xr:uid="{00000000-0005-0000-0000-0000621F0000}"/>
    <cellStyle name="Total 2 7 7" xfId="7989" xr:uid="{00000000-0005-0000-0000-0000631F0000}"/>
    <cellStyle name="Total 2 7 8" xfId="8266" xr:uid="{00000000-0005-0000-0000-0000641F0000}"/>
    <cellStyle name="Total 2 7 9" xfId="8367" xr:uid="{00000000-0005-0000-0000-0000651F0000}"/>
    <cellStyle name="Total 2 8" xfId="7100" xr:uid="{00000000-0005-0000-0000-0000661F0000}"/>
    <cellStyle name="Total 2 9" xfId="7046" xr:uid="{00000000-0005-0000-0000-0000671F0000}"/>
    <cellStyle name="Total 3" xfId="495" xr:uid="{00000000-0005-0000-0000-0000681F0000}"/>
    <cellStyle name="Warning Text 2" xfId="73" xr:uid="{00000000-0005-0000-0000-0000691F0000}"/>
    <cellStyle name="Warning Text 3" xfId="496" xr:uid="{00000000-0005-0000-0000-00006A1F0000}"/>
    <cellStyle name="アクセント 1" xfId="497" xr:uid="{00000000-0005-0000-0000-00006B1F0000}"/>
    <cellStyle name="アクセント 1 2" xfId="498" xr:uid="{00000000-0005-0000-0000-00006C1F0000}"/>
    <cellStyle name="アクセント 1 3" xfId="499" xr:uid="{00000000-0005-0000-0000-00006D1F0000}"/>
    <cellStyle name="アクセント 1 4" xfId="500" xr:uid="{00000000-0005-0000-0000-00006E1F0000}"/>
    <cellStyle name="アクセント 2" xfId="501" xr:uid="{00000000-0005-0000-0000-00006F1F0000}"/>
    <cellStyle name="アクセント 2 2" xfId="502" xr:uid="{00000000-0005-0000-0000-0000701F0000}"/>
    <cellStyle name="アクセント 2 3" xfId="503" xr:uid="{00000000-0005-0000-0000-0000711F0000}"/>
    <cellStyle name="アクセント 2 4" xfId="504" xr:uid="{00000000-0005-0000-0000-0000721F0000}"/>
    <cellStyle name="アクセント 3" xfId="505" xr:uid="{00000000-0005-0000-0000-0000731F0000}"/>
    <cellStyle name="アクセント 3 2" xfId="506" xr:uid="{00000000-0005-0000-0000-0000741F0000}"/>
    <cellStyle name="アクセント 3 3" xfId="507" xr:uid="{00000000-0005-0000-0000-0000751F0000}"/>
    <cellStyle name="アクセント 3 4" xfId="508" xr:uid="{00000000-0005-0000-0000-0000761F0000}"/>
    <cellStyle name="アクセント 4" xfId="509" xr:uid="{00000000-0005-0000-0000-0000771F0000}"/>
    <cellStyle name="アクセント 4 2" xfId="510" xr:uid="{00000000-0005-0000-0000-0000781F0000}"/>
    <cellStyle name="アクセント 4 3" xfId="511" xr:uid="{00000000-0005-0000-0000-0000791F0000}"/>
    <cellStyle name="アクセント 4 4" xfId="512" xr:uid="{00000000-0005-0000-0000-00007A1F0000}"/>
    <cellStyle name="アクセント 5" xfId="513" xr:uid="{00000000-0005-0000-0000-00007B1F0000}"/>
    <cellStyle name="アクセント 5 2" xfId="514" xr:uid="{00000000-0005-0000-0000-00007C1F0000}"/>
    <cellStyle name="アクセント 5 3" xfId="515" xr:uid="{00000000-0005-0000-0000-00007D1F0000}"/>
    <cellStyle name="アクセント 5 4" xfId="516" xr:uid="{00000000-0005-0000-0000-00007E1F0000}"/>
    <cellStyle name="アクセント 6" xfId="517" xr:uid="{00000000-0005-0000-0000-00007F1F0000}"/>
    <cellStyle name="アクセント 6 2" xfId="518" xr:uid="{00000000-0005-0000-0000-0000801F0000}"/>
    <cellStyle name="アクセント 6 3" xfId="519" xr:uid="{00000000-0005-0000-0000-0000811F0000}"/>
    <cellStyle name="アクセント 6 4" xfId="520" xr:uid="{00000000-0005-0000-0000-0000821F0000}"/>
    <cellStyle name="タイトル" xfId="521" xr:uid="{00000000-0005-0000-0000-0000831F0000}"/>
    <cellStyle name="タイトル 2" xfId="522" xr:uid="{00000000-0005-0000-0000-0000841F0000}"/>
    <cellStyle name="タイトル 3" xfId="523" xr:uid="{00000000-0005-0000-0000-0000851F0000}"/>
    <cellStyle name="タイトル 4" xfId="524" xr:uid="{00000000-0005-0000-0000-0000861F0000}"/>
    <cellStyle name="チェック セル" xfId="525" xr:uid="{00000000-0005-0000-0000-0000871F0000}"/>
    <cellStyle name="チェック セル 2" xfId="526" xr:uid="{00000000-0005-0000-0000-0000881F0000}"/>
    <cellStyle name="チェック セル 3" xfId="527" xr:uid="{00000000-0005-0000-0000-0000891F0000}"/>
    <cellStyle name="チェック セル 4" xfId="528" xr:uid="{00000000-0005-0000-0000-00008A1F0000}"/>
    <cellStyle name="どちらでもない" xfId="529" xr:uid="{00000000-0005-0000-0000-00008B1F0000}"/>
    <cellStyle name="どちらでもない 2" xfId="530" xr:uid="{00000000-0005-0000-0000-00008C1F0000}"/>
    <cellStyle name="どちらでもない 3" xfId="531" xr:uid="{00000000-0005-0000-0000-00008D1F0000}"/>
    <cellStyle name="どちらでもない 4" xfId="532" xr:uid="{00000000-0005-0000-0000-00008E1F0000}"/>
    <cellStyle name="パーセント 2" xfId="74" xr:uid="{00000000-0005-0000-0000-00008F1F0000}"/>
    <cellStyle name="パーセント 2 2" xfId="6716" xr:uid="{00000000-0005-0000-0000-0000901F0000}"/>
    <cellStyle name="パーセント 2 2 2" xfId="6761" xr:uid="{00000000-0005-0000-0000-0000911F0000}"/>
    <cellStyle name="パーセント 2 2 2 2" xfId="6876" xr:uid="{00000000-0005-0000-0000-0000921F0000}"/>
    <cellStyle name="パーセント 2 2 2 2 2" xfId="7013" xr:uid="{00000000-0005-0000-0000-0000931F0000}"/>
    <cellStyle name="パーセント 2 2 2 2 2 2" xfId="7398" xr:uid="{00000000-0005-0000-0000-0000941F0000}"/>
    <cellStyle name="パーセント 2 2 2 2 3" xfId="7250" xr:uid="{00000000-0005-0000-0000-0000951F0000}"/>
    <cellStyle name="パーセント 2 2 2 3" xfId="6939" xr:uid="{00000000-0005-0000-0000-0000961F0000}"/>
    <cellStyle name="パーセント 2 2 2 3 2" xfId="7324" xr:uid="{00000000-0005-0000-0000-0000971F0000}"/>
    <cellStyle name="パーセント 2 2 2 4" xfId="7176" xr:uid="{00000000-0005-0000-0000-0000981F0000}"/>
    <cellStyle name="パーセント 2 2 2 5" xfId="6836" xr:uid="{00000000-0005-0000-0000-0000991F0000}"/>
    <cellStyle name="パーセント 2 2 3" xfId="6859" xr:uid="{00000000-0005-0000-0000-00009A1F0000}"/>
    <cellStyle name="パーセント 2 2 3 2" xfId="6976" xr:uid="{00000000-0005-0000-0000-00009B1F0000}"/>
    <cellStyle name="パーセント 2 2 3 2 2" xfId="7361" xr:uid="{00000000-0005-0000-0000-00009C1F0000}"/>
    <cellStyle name="パーセント 2 2 3 3" xfId="7213" xr:uid="{00000000-0005-0000-0000-00009D1F0000}"/>
    <cellStyle name="パーセント 2 2 4" xfId="6902" xr:uid="{00000000-0005-0000-0000-00009E1F0000}"/>
    <cellStyle name="パーセント 2 2 4 2" xfId="7287" xr:uid="{00000000-0005-0000-0000-00009F1F0000}"/>
    <cellStyle name="パーセント 2 2 5" xfId="7133" xr:uid="{00000000-0005-0000-0000-0000A01F0000}"/>
    <cellStyle name="パーセント 2 2 6" xfId="6819" xr:uid="{00000000-0005-0000-0000-0000A11F0000}"/>
    <cellStyle name="パーセント 3" xfId="533" xr:uid="{00000000-0005-0000-0000-0000A21F0000}"/>
    <cellStyle name="パーセント 3 2" xfId="534" xr:uid="{00000000-0005-0000-0000-0000A31F0000}"/>
    <cellStyle name="ハイパーリンク 2" xfId="535" xr:uid="{00000000-0005-0000-0000-0000A41F0000}"/>
    <cellStyle name="メモ" xfId="536" xr:uid="{00000000-0005-0000-0000-0000A51F0000}"/>
    <cellStyle name="メモ 2" xfId="537" xr:uid="{00000000-0005-0000-0000-0000A61F0000}"/>
    <cellStyle name="メモ 2 2" xfId="538" xr:uid="{00000000-0005-0000-0000-0000A71F0000}"/>
    <cellStyle name="メモ 3" xfId="539" xr:uid="{00000000-0005-0000-0000-0000A81F0000}"/>
    <cellStyle name="メモ 4" xfId="540" xr:uid="{00000000-0005-0000-0000-0000A91F0000}"/>
    <cellStyle name="リンク セル" xfId="541" xr:uid="{00000000-0005-0000-0000-0000AA1F0000}"/>
    <cellStyle name="リンク セル 2" xfId="542" xr:uid="{00000000-0005-0000-0000-0000AB1F0000}"/>
    <cellStyle name="リンク セル 3" xfId="543" xr:uid="{00000000-0005-0000-0000-0000AC1F0000}"/>
    <cellStyle name="リンク セル 4" xfId="544" xr:uid="{00000000-0005-0000-0000-0000AD1F0000}"/>
    <cellStyle name="悪い" xfId="554" xr:uid="{00000000-0005-0000-0000-0000B81F0000}"/>
    <cellStyle name="悪い 2" xfId="555" xr:uid="{00000000-0005-0000-0000-0000B91F0000}"/>
    <cellStyle name="悪い 3" xfId="556" xr:uid="{00000000-0005-0000-0000-0000BA1F0000}"/>
    <cellStyle name="悪い 4" xfId="557" xr:uid="{00000000-0005-0000-0000-0000BB1F0000}"/>
    <cellStyle name="一般_KMHK FY2008 時間当り採算 2007年4月 ( Month Plan )" xfId="75" xr:uid="{00000000-0005-0000-0000-0000AE1F0000}"/>
    <cellStyle name="計算" xfId="593" xr:uid="{00000000-0005-0000-0000-0000F0200000}"/>
    <cellStyle name="計算 2" xfId="594" xr:uid="{00000000-0005-0000-0000-0000F1200000}"/>
    <cellStyle name="計算 3" xfId="595" xr:uid="{00000000-0005-0000-0000-0000F2200000}"/>
    <cellStyle name="計算 4" xfId="596" xr:uid="{00000000-0005-0000-0000-0000F3200000}"/>
    <cellStyle name="警告文" xfId="601" xr:uid="{00000000-0005-0000-0000-0000F8200000}"/>
    <cellStyle name="警告文 2" xfId="602" xr:uid="{00000000-0005-0000-0000-0000F9200000}"/>
    <cellStyle name="警告文 3" xfId="603" xr:uid="{00000000-0005-0000-0000-0000FA200000}"/>
    <cellStyle name="警告文 4" xfId="604" xr:uid="{00000000-0005-0000-0000-0000FB200000}"/>
    <cellStyle name="桁区切り [0.00]" xfId="6684" builtinId="3"/>
    <cellStyle name="桁区切り [0.00] 2" xfId="76" xr:uid="{00000000-0005-0000-0000-0000BD1F0000}"/>
    <cellStyle name="桁区切り [0.00] 2 2" xfId="559" xr:uid="{00000000-0005-0000-0000-0000BE1F0000}"/>
    <cellStyle name="桁区切り [0.00] 2 2 2" xfId="6717" xr:uid="{00000000-0005-0000-0000-0000BF1F0000}"/>
    <cellStyle name="桁区切り [0.00] 2 3" xfId="560" xr:uid="{00000000-0005-0000-0000-0000C01F0000}"/>
    <cellStyle name="桁区切り [0.00] 3" xfId="77" xr:uid="{00000000-0005-0000-0000-0000C11F0000}"/>
    <cellStyle name="桁区切り [0.00] 3 2" xfId="6718" xr:uid="{00000000-0005-0000-0000-0000C21F0000}"/>
    <cellStyle name="桁区切り [0.00] 4" xfId="78" xr:uid="{00000000-0005-0000-0000-0000C31F0000}"/>
    <cellStyle name="桁区切り [0.00] 5" xfId="79" xr:uid="{00000000-0005-0000-0000-0000C41F0000}"/>
    <cellStyle name="桁区切り [0.00] 5 2" xfId="612" xr:uid="{00000000-0005-0000-0000-0000C51F0000}"/>
    <cellStyle name="桁区切り [0.00] 5 2 2" xfId="1140" xr:uid="{00000000-0005-0000-0000-0000C61F0000}"/>
    <cellStyle name="桁区切り [0.00] 5 2 2 2" xfId="2724" xr:uid="{00000000-0005-0000-0000-0000C71F0000}"/>
    <cellStyle name="桁区切り [0.00] 5 2 2 2 2" xfId="5893" xr:uid="{00000000-0005-0000-0000-0000C81F0000}"/>
    <cellStyle name="桁区切り [0.00] 5 2 2 2 2 2" xfId="7392" xr:uid="{00000000-0005-0000-0000-0000C91F0000}"/>
    <cellStyle name="桁区切り [0.00] 5 2 2 2 2 3" xfId="7007" xr:uid="{00000000-0005-0000-0000-0000CA1F0000}"/>
    <cellStyle name="桁区切り [0.00] 5 2 2 2 3" xfId="7244" xr:uid="{00000000-0005-0000-0000-0000CB1F0000}"/>
    <cellStyle name="桁区切り [0.00] 5 2 2 2 4" xfId="6873" xr:uid="{00000000-0005-0000-0000-0000CC1F0000}"/>
    <cellStyle name="桁区切り [0.00] 5 2 2 3" xfId="4309" xr:uid="{00000000-0005-0000-0000-0000CD1F0000}"/>
    <cellStyle name="桁区切り [0.00] 5 2 2 3 2" xfId="7318" xr:uid="{00000000-0005-0000-0000-0000CE1F0000}"/>
    <cellStyle name="桁区切り [0.00] 5 2 2 3 3" xfId="6933" xr:uid="{00000000-0005-0000-0000-0000CF1F0000}"/>
    <cellStyle name="桁区切り [0.00] 5 2 2 4" xfId="6755" xr:uid="{00000000-0005-0000-0000-0000D01F0000}"/>
    <cellStyle name="桁区切り [0.00] 5 2 2 4 2" xfId="7170" xr:uid="{00000000-0005-0000-0000-0000D11F0000}"/>
    <cellStyle name="桁区切り [0.00] 5 2 2 5" xfId="6833" xr:uid="{00000000-0005-0000-0000-0000D21F0000}"/>
    <cellStyle name="桁区切り [0.00] 5 2 3" xfId="1668" xr:uid="{00000000-0005-0000-0000-0000D31F0000}"/>
    <cellStyle name="桁区切り [0.00] 5 2 3 2" xfId="3252" xr:uid="{00000000-0005-0000-0000-0000D41F0000}"/>
    <cellStyle name="桁区切り [0.00] 5 2 3 2 2" xfId="6421" xr:uid="{00000000-0005-0000-0000-0000D51F0000}"/>
    <cellStyle name="桁区切り [0.00] 5 2 3 2 2 2" xfId="7355" xr:uid="{00000000-0005-0000-0000-0000D61F0000}"/>
    <cellStyle name="桁区切り [0.00] 5 2 3 2 3" xfId="6970" xr:uid="{00000000-0005-0000-0000-0000D71F0000}"/>
    <cellStyle name="桁区切り [0.00] 5 2 3 3" xfId="4837" xr:uid="{00000000-0005-0000-0000-0000D81F0000}"/>
    <cellStyle name="桁区切り [0.00] 5 2 3 3 2" xfId="7207" xr:uid="{00000000-0005-0000-0000-0000D91F0000}"/>
    <cellStyle name="桁区切り [0.00] 5 2 3 4" xfId="6856" xr:uid="{00000000-0005-0000-0000-0000DA1F0000}"/>
    <cellStyle name="桁区切り [0.00] 5 2 4" xfId="2196" xr:uid="{00000000-0005-0000-0000-0000DB1F0000}"/>
    <cellStyle name="桁区切り [0.00] 5 2 4 2" xfId="5365" xr:uid="{00000000-0005-0000-0000-0000DC1F0000}"/>
    <cellStyle name="桁区切り [0.00] 5 2 4 2 2" xfId="7281" xr:uid="{00000000-0005-0000-0000-0000DD1F0000}"/>
    <cellStyle name="桁区切り [0.00] 5 2 4 3" xfId="6896" xr:uid="{00000000-0005-0000-0000-0000DE1F0000}"/>
    <cellStyle name="桁区切り [0.00] 5 2 5" xfId="3781" xr:uid="{00000000-0005-0000-0000-0000DF1F0000}"/>
    <cellStyle name="桁区切り [0.00] 5 2 5 2" xfId="7127" xr:uid="{00000000-0005-0000-0000-0000E01F0000}"/>
    <cellStyle name="桁区切り [0.00] 5 2 6" xfId="6710" xr:uid="{00000000-0005-0000-0000-0000E11F0000}"/>
    <cellStyle name="桁区切り [0.00] 5 2 7" xfId="6816" xr:uid="{00000000-0005-0000-0000-0000E21F0000}"/>
    <cellStyle name="桁区切り [0.00] 5 3" xfId="876" xr:uid="{00000000-0005-0000-0000-0000E31F0000}"/>
    <cellStyle name="桁区切り [0.00] 5 3 2" xfId="2460" xr:uid="{00000000-0005-0000-0000-0000E41F0000}"/>
    <cellStyle name="桁区切り [0.00] 5 3 2 2" xfId="5629" xr:uid="{00000000-0005-0000-0000-0000E51F0000}"/>
    <cellStyle name="桁区切り [0.00] 5 3 2 2 2" xfId="7021" xr:uid="{00000000-0005-0000-0000-0000E61F0000}"/>
    <cellStyle name="桁区切り [0.00] 5 3 2 2 2 2" xfId="7406" xr:uid="{00000000-0005-0000-0000-0000E71F0000}"/>
    <cellStyle name="桁区切り [0.00] 5 3 2 2 3" xfId="7258" xr:uid="{00000000-0005-0000-0000-0000E81F0000}"/>
    <cellStyle name="桁区切り [0.00] 5 3 2 2 4" xfId="6879" xr:uid="{00000000-0005-0000-0000-0000E91F0000}"/>
    <cellStyle name="桁区切り [0.00] 5 3 2 3" xfId="6769" xr:uid="{00000000-0005-0000-0000-0000EA1F0000}"/>
    <cellStyle name="桁区切り [0.00] 5 3 2 3 2" xfId="7332" xr:uid="{00000000-0005-0000-0000-0000EB1F0000}"/>
    <cellStyle name="桁区切り [0.00] 5 3 2 3 3" xfId="6947" xr:uid="{00000000-0005-0000-0000-0000EC1F0000}"/>
    <cellStyle name="桁区切り [0.00] 5 3 2 4" xfId="7184" xr:uid="{00000000-0005-0000-0000-0000ED1F0000}"/>
    <cellStyle name="桁区切り [0.00] 5 3 2 5" xfId="6839" xr:uid="{00000000-0005-0000-0000-0000EE1F0000}"/>
    <cellStyle name="桁区切り [0.00] 5 3 3" xfId="4045" xr:uid="{00000000-0005-0000-0000-0000EF1F0000}"/>
    <cellStyle name="桁区切り [0.00] 5 3 3 2" xfId="6984" xr:uid="{00000000-0005-0000-0000-0000F01F0000}"/>
    <cellStyle name="桁区切り [0.00] 5 3 3 2 2" xfId="7369" xr:uid="{00000000-0005-0000-0000-0000F11F0000}"/>
    <cellStyle name="桁区切り [0.00] 5 3 3 3" xfId="7221" xr:uid="{00000000-0005-0000-0000-0000F21F0000}"/>
    <cellStyle name="桁区切り [0.00] 5 3 3 4" xfId="6862" xr:uid="{00000000-0005-0000-0000-0000F31F0000}"/>
    <cellStyle name="桁区切り [0.00] 5 3 4" xfId="6729" xr:uid="{00000000-0005-0000-0000-0000F41F0000}"/>
    <cellStyle name="桁区切り [0.00] 5 3 4 2" xfId="7295" xr:uid="{00000000-0005-0000-0000-0000F51F0000}"/>
    <cellStyle name="桁区切り [0.00] 5 3 4 3" xfId="6910" xr:uid="{00000000-0005-0000-0000-0000F61F0000}"/>
    <cellStyle name="桁区切り [0.00] 5 3 5" xfId="7145" xr:uid="{00000000-0005-0000-0000-0000F71F0000}"/>
    <cellStyle name="桁区切り [0.00] 5 3 6" xfId="6822" xr:uid="{00000000-0005-0000-0000-0000F81F0000}"/>
    <cellStyle name="桁区切り [0.00] 5 4" xfId="1404" xr:uid="{00000000-0005-0000-0000-0000F91F0000}"/>
    <cellStyle name="桁区切り [0.00] 5 4 2" xfId="2988" xr:uid="{00000000-0005-0000-0000-0000FA1F0000}"/>
    <cellStyle name="桁区切り [0.00] 5 4 2 2" xfId="6157" xr:uid="{00000000-0005-0000-0000-0000FB1F0000}"/>
    <cellStyle name="桁区切り [0.00] 5 4 2 2 2" xfId="7381" xr:uid="{00000000-0005-0000-0000-0000FC1F0000}"/>
    <cellStyle name="桁区切り [0.00] 5 4 2 2 3" xfId="6996" xr:uid="{00000000-0005-0000-0000-0000FD1F0000}"/>
    <cellStyle name="桁区切り [0.00] 5 4 2 3" xfId="7233" xr:uid="{00000000-0005-0000-0000-0000FE1F0000}"/>
    <cellStyle name="桁区切り [0.00] 5 4 2 4" xfId="6869" xr:uid="{00000000-0005-0000-0000-0000FF1F0000}"/>
    <cellStyle name="桁区切り [0.00] 5 4 3" xfId="4573" xr:uid="{00000000-0005-0000-0000-000000200000}"/>
    <cellStyle name="桁区切り [0.00] 5 4 3 2" xfId="7307" xr:uid="{00000000-0005-0000-0000-000001200000}"/>
    <cellStyle name="桁区切り [0.00] 5 4 3 3" xfId="6922" xr:uid="{00000000-0005-0000-0000-000002200000}"/>
    <cellStyle name="桁区切り [0.00] 5 4 4" xfId="6744" xr:uid="{00000000-0005-0000-0000-000003200000}"/>
    <cellStyle name="桁区切り [0.00] 5 4 4 2" xfId="7159" xr:uid="{00000000-0005-0000-0000-000004200000}"/>
    <cellStyle name="桁区切り [0.00] 5 4 5" xfId="6829" xr:uid="{00000000-0005-0000-0000-000005200000}"/>
    <cellStyle name="桁区切り [0.00] 5 5" xfId="1932" xr:uid="{00000000-0005-0000-0000-000006200000}"/>
    <cellStyle name="桁区切り [0.00] 5 5 2" xfId="5101" xr:uid="{00000000-0005-0000-0000-000007200000}"/>
    <cellStyle name="桁区切り [0.00] 5 5 2 2" xfId="7344" xr:uid="{00000000-0005-0000-0000-000008200000}"/>
    <cellStyle name="桁区切り [0.00] 5 5 2 3" xfId="6959" xr:uid="{00000000-0005-0000-0000-000009200000}"/>
    <cellStyle name="桁区切り [0.00] 5 5 3" xfId="7196" xr:uid="{00000000-0005-0000-0000-00000A200000}"/>
    <cellStyle name="桁区切り [0.00] 5 5 4" xfId="6851" xr:uid="{00000000-0005-0000-0000-00000B200000}"/>
    <cellStyle name="桁区切り [0.00] 5 6" xfId="3517" xr:uid="{00000000-0005-0000-0000-00000C200000}"/>
    <cellStyle name="桁区切り [0.00] 5 6 2" xfId="7270" xr:uid="{00000000-0005-0000-0000-00000D200000}"/>
    <cellStyle name="桁区切り [0.00] 5 6 3" xfId="6886" xr:uid="{00000000-0005-0000-0000-00000E200000}"/>
    <cellStyle name="桁区切り [0.00] 5 7" xfId="6698" xr:uid="{00000000-0005-0000-0000-00000F200000}"/>
    <cellStyle name="桁区切り [0.00] 5 7 2" xfId="7106" xr:uid="{00000000-0005-0000-0000-000010200000}"/>
    <cellStyle name="桁区切り [0.00] 5 8" xfId="6812" xr:uid="{00000000-0005-0000-0000-000011200000}"/>
    <cellStyle name="桁区切り [0.00] 6" xfId="96" xr:uid="{00000000-0005-0000-0000-000012200000}"/>
    <cellStyle name="桁区切り [0.00] 7" xfId="561" xr:uid="{00000000-0005-0000-0000-000013200000}"/>
    <cellStyle name="桁区切り 2" xfId="80" xr:uid="{00000000-0005-0000-0000-000014200000}"/>
    <cellStyle name="桁区切り 2 2" xfId="81" xr:uid="{00000000-0005-0000-0000-000015200000}"/>
    <cellStyle name="桁区切り 2 3" xfId="82" xr:uid="{00000000-0005-0000-0000-000016200000}"/>
    <cellStyle name="桁区切り 2 4" xfId="6699" xr:uid="{00000000-0005-0000-0000-000017200000}"/>
    <cellStyle name="桁区切り 3" xfId="83" xr:uid="{00000000-0005-0000-0000-000018200000}"/>
    <cellStyle name="桁区切り 4" xfId="84" xr:uid="{00000000-0005-0000-0000-000019200000}"/>
    <cellStyle name="桁区切り 4 2" xfId="613" xr:uid="{00000000-0005-0000-0000-00001A200000}"/>
    <cellStyle name="桁区切り 4 2 2" xfId="1141" xr:uid="{00000000-0005-0000-0000-00001B200000}"/>
    <cellStyle name="桁区切り 4 2 2 2" xfId="2725" xr:uid="{00000000-0005-0000-0000-00001C200000}"/>
    <cellStyle name="桁区切り 4 2 2 2 2" xfId="5894" xr:uid="{00000000-0005-0000-0000-00001D200000}"/>
    <cellStyle name="桁区切り 4 2 2 2 2 2" xfId="7393" xr:uid="{00000000-0005-0000-0000-00001E200000}"/>
    <cellStyle name="桁区切り 4 2 2 2 2 3" xfId="7008" xr:uid="{00000000-0005-0000-0000-00001F200000}"/>
    <cellStyle name="桁区切り 4 2 2 2 3" xfId="7245" xr:uid="{00000000-0005-0000-0000-000020200000}"/>
    <cellStyle name="桁区切り 4 2 2 2 4" xfId="6874" xr:uid="{00000000-0005-0000-0000-000021200000}"/>
    <cellStyle name="桁区切り 4 2 2 3" xfId="4310" xr:uid="{00000000-0005-0000-0000-000022200000}"/>
    <cellStyle name="桁区切り 4 2 2 3 2" xfId="7319" xr:uid="{00000000-0005-0000-0000-000023200000}"/>
    <cellStyle name="桁区切り 4 2 2 3 3" xfId="6934" xr:uid="{00000000-0005-0000-0000-000024200000}"/>
    <cellStyle name="桁区切り 4 2 2 4" xfId="6756" xr:uid="{00000000-0005-0000-0000-000025200000}"/>
    <cellStyle name="桁区切り 4 2 2 4 2" xfId="7171" xr:uid="{00000000-0005-0000-0000-000026200000}"/>
    <cellStyle name="桁区切り 4 2 2 5" xfId="6834" xr:uid="{00000000-0005-0000-0000-000027200000}"/>
    <cellStyle name="桁区切り 4 2 3" xfId="1669" xr:uid="{00000000-0005-0000-0000-000028200000}"/>
    <cellStyle name="桁区切り 4 2 3 2" xfId="3253" xr:uid="{00000000-0005-0000-0000-000029200000}"/>
    <cellStyle name="桁区切り 4 2 3 2 2" xfId="6422" xr:uid="{00000000-0005-0000-0000-00002A200000}"/>
    <cellStyle name="桁区切り 4 2 3 2 2 2" xfId="7356" xr:uid="{00000000-0005-0000-0000-00002B200000}"/>
    <cellStyle name="桁区切り 4 2 3 2 3" xfId="6971" xr:uid="{00000000-0005-0000-0000-00002C200000}"/>
    <cellStyle name="桁区切り 4 2 3 3" xfId="4838" xr:uid="{00000000-0005-0000-0000-00002D200000}"/>
    <cellStyle name="桁区切り 4 2 3 3 2" xfId="7208" xr:uid="{00000000-0005-0000-0000-00002E200000}"/>
    <cellStyle name="桁区切り 4 2 3 4" xfId="6857" xr:uid="{00000000-0005-0000-0000-00002F200000}"/>
    <cellStyle name="桁区切り 4 2 4" xfId="2197" xr:uid="{00000000-0005-0000-0000-000030200000}"/>
    <cellStyle name="桁区切り 4 2 4 2" xfId="5366" xr:uid="{00000000-0005-0000-0000-000031200000}"/>
    <cellStyle name="桁区切り 4 2 4 2 2" xfId="7282" xr:uid="{00000000-0005-0000-0000-000032200000}"/>
    <cellStyle name="桁区切り 4 2 4 3" xfId="6897" xr:uid="{00000000-0005-0000-0000-000033200000}"/>
    <cellStyle name="桁区切り 4 2 5" xfId="3782" xr:uid="{00000000-0005-0000-0000-000034200000}"/>
    <cellStyle name="桁区切り 4 2 5 2" xfId="7128" xr:uid="{00000000-0005-0000-0000-000035200000}"/>
    <cellStyle name="桁区切り 4 2 6" xfId="6711" xr:uid="{00000000-0005-0000-0000-000036200000}"/>
    <cellStyle name="桁区切り 4 2 7" xfId="6817" xr:uid="{00000000-0005-0000-0000-000037200000}"/>
    <cellStyle name="桁区切り 4 3" xfId="877" xr:uid="{00000000-0005-0000-0000-000038200000}"/>
    <cellStyle name="桁区切り 4 3 2" xfId="2461" xr:uid="{00000000-0005-0000-0000-000039200000}"/>
    <cellStyle name="桁区切り 4 3 2 2" xfId="5630" xr:uid="{00000000-0005-0000-0000-00003A200000}"/>
    <cellStyle name="桁区切り 4 3 2 2 2" xfId="7022" xr:uid="{00000000-0005-0000-0000-00003B200000}"/>
    <cellStyle name="桁区切り 4 3 2 2 2 2" xfId="7407" xr:uid="{00000000-0005-0000-0000-00003C200000}"/>
    <cellStyle name="桁区切り 4 3 2 2 3" xfId="7259" xr:uid="{00000000-0005-0000-0000-00003D200000}"/>
    <cellStyle name="桁区切り 4 3 2 2 4" xfId="6880" xr:uid="{00000000-0005-0000-0000-00003E200000}"/>
    <cellStyle name="桁区切り 4 3 2 3" xfId="6770" xr:uid="{00000000-0005-0000-0000-00003F200000}"/>
    <cellStyle name="桁区切り 4 3 2 3 2" xfId="7333" xr:uid="{00000000-0005-0000-0000-000040200000}"/>
    <cellStyle name="桁区切り 4 3 2 3 3" xfId="6948" xr:uid="{00000000-0005-0000-0000-000041200000}"/>
    <cellStyle name="桁区切り 4 3 2 4" xfId="7185" xr:uid="{00000000-0005-0000-0000-000042200000}"/>
    <cellStyle name="桁区切り 4 3 2 5" xfId="6840" xr:uid="{00000000-0005-0000-0000-000043200000}"/>
    <cellStyle name="桁区切り 4 3 3" xfId="4046" xr:uid="{00000000-0005-0000-0000-000044200000}"/>
    <cellStyle name="桁区切り 4 3 3 2" xfId="6985" xr:uid="{00000000-0005-0000-0000-000045200000}"/>
    <cellStyle name="桁区切り 4 3 3 2 2" xfId="7370" xr:uid="{00000000-0005-0000-0000-000046200000}"/>
    <cellStyle name="桁区切り 4 3 3 3" xfId="7222" xr:uid="{00000000-0005-0000-0000-000047200000}"/>
    <cellStyle name="桁区切り 4 3 3 4" xfId="6863" xr:uid="{00000000-0005-0000-0000-000048200000}"/>
    <cellStyle name="桁区切り 4 3 4" xfId="6730" xr:uid="{00000000-0005-0000-0000-000049200000}"/>
    <cellStyle name="桁区切り 4 3 4 2" xfId="7296" xr:uid="{00000000-0005-0000-0000-00004A200000}"/>
    <cellStyle name="桁区切り 4 3 4 3" xfId="6911" xr:uid="{00000000-0005-0000-0000-00004B200000}"/>
    <cellStyle name="桁区切り 4 3 5" xfId="7146" xr:uid="{00000000-0005-0000-0000-00004C200000}"/>
    <cellStyle name="桁区切り 4 3 6" xfId="6823" xr:uid="{00000000-0005-0000-0000-00004D200000}"/>
    <cellStyle name="桁区切り 4 4" xfId="1405" xr:uid="{00000000-0005-0000-0000-00004E200000}"/>
    <cellStyle name="桁区切り 4 4 2" xfId="2989" xr:uid="{00000000-0005-0000-0000-00004F200000}"/>
    <cellStyle name="桁区切り 4 4 2 2" xfId="6158" xr:uid="{00000000-0005-0000-0000-000050200000}"/>
    <cellStyle name="桁区切り 4 4 2 2 2" xfId="7382" xr:uid="{00000000-0005-0000-0000-000051200000}"/>
    <cellStyle name="桁区切り 4 4 2 2 3" xfId="6997" xr:uid="{00000000-0005-0000-0000-000052200000}"/>
    <cellStyle name="桁区切り 4 4 2 3" xfId="7234" xr:uid="{00000000-0005-0000-0000-000053200000}"/>
    <cellStyle name="桁区切り 4 4 2 4" xfId="6870" xr:uid="{00000000-0005-0000-0000-000054200000}"/>
    <cellStyle name="桁区切り 4 4 3" xfId="4574" xr:uid="{00000000-0005-0000-0000-000055200000}"/>
    <cellStyle name="桁区切り 4 4 3 2" xfId="7308" xr:uid="{00000000-0005-0000-0000-000056200000}"/>
    <cellStyle name="桁区切り 4 4 3 3" xfId="6923" xr:uid="{00000000-0005-0000-0000-000057200000}"/>
    <cellStyle name="桁区切り 4 4 4" xfId="6745" xr:uid="{00000000-0005-0000-0000-000058200000}"/>
    <cellStyle name="桁区切り 4 4 4 2" xfId="7160" xr:uid="{00000000-0005-0000-0000-000059200000}"/>
    <cellStyle name="桁区切り 4 4 5" xfId="6830" xr:uid="{00000000-0005-0000-0000-00005A200000}"/>
    <cellStyle name="桁区切り 4 5" xfId="1933" xr:uid="{00000000-0005-0000-0000-00005B200000}"/>
    <cellStyle name="桁区切り 4 5 2" xfId="5102" xr:uid="{00000000-0005-0000-0000-00005C200000}"/>
    <cellStyle name="桁区切り 4 5 2 2" xfId="7345" xr:uid="{00000000-0005-0000-0000-00005D200000}"/>
    <cellStyle name="桁区切り 4 5 2 3" xfId="6960" xr:uid="{00000000-0005-0000-0000-00005E200000}"/>
    <cellStyle name="桁区切り 4 5 3" xfId="7197" xr:uid="{00000000-0005-0000-0000-00005F200000}"/>
    <cellStyle name="桁区切り 4 5 4" xfId="6852" xr:uid="{00000000-0005-0000-0000-000060200000}"/>
    <cellStyle name="桁区切り 4 6" xfId="3518" xr:uid="{00000000-0005-0000-0000-000061200000}"/>
    <cellStyle name="桁区切り 4 6 2" xfId="7271" xr:uid="{00000000-0005-0000-0000-000062200000}"/>
    <cellStyle name="桁区切り 4 6 3" xfId="6887" xr:uid="{00000000-0005-0000-0000-000063200000}"/>
    <cellStyle name="桁区切り 4 7" xfId="6700" xr:uid="{00000000-0005-0000-0000-000064200000}"/>
    <cellStyle name="桁区切り 4 7 2" xfId="7111" xr:uid="{00000000-0005-0000-0000-000065200000}"/>
    <cellStyle name="桁区切り 4 8" xfId="6813" xr:uid="{00000000-0005-0000-0000-000066200000}"/>
    <cellStyle name="桁区切り 5" xfId="562" xr:uid="{00000000-0005-0000-0000-000067200000}"/>
    <cellStyle name="桁区切り 6" xfId="563" xr:uid="{00000000-0005-0000-0000-000068200000}"/>
    <cellStyle name="見出し 1" xfId="577" xr:uid="{00000000-0005-0000-0000-0000E0200000}"/>
    <cellStyle name="見出し 1 2" xfId="578" xr:uid="{00000000-0005-0000-0000-0000E1200000}"/>
    <cellStyle name="見出し 1 3" xfId="579" xr:uid="{00000000-0005-0000-0000-0000E2200000}"/>
    <cellStyle name="見出し 1 4" xfId="580" xr:uid="{00000000-0005-0000-0000-0000E3200000}"/>
    <cellStyle name="見出し 2" xfId="581" xr:uid="{00000000-0005-0000-0000-0000E4200000}"/>
    <cellStyle name="見出し 2 2" xfId="582" xr:uid="{00000000-0005-0000-0000-0000E5200000}"/>
    <cellStyle name="見出し 2 3" xfId="583" xr:uid="{00000000-0005-0000-0000-0000E6200000}"/>
    <cellStyle name="見出し 2 4" xfId="584" xr:uid="{00000000-0005-0000-0000-0000E7200000}"/>
    <cellStyle name="見出し 3" xfId="585" xr:uid="{00000000-0005-0000-0000-0000E8200000}"/>
    <cellStyle name="見出し 3 2" xfId="586" xr:uid="{00000000-0005-0000-0000-0000E9200000}"/>
    <cellStyle name="見出し 3 3" xfId="587" xr:uid="{00000000-0005-0000-0000-0000EA200000}"/>
    <cellStyle name="見出し 3 4" xfId="588" xr:uid="{00000000-0005-0000-0000-0000EB200000}"/>
    <cellStyle name="見出し 4" xfId="589" xr:uid="{00000000-0005-0000-0000-0000EC200000}"/>
    <cellStyle name="見出し 4 2" xfId="590" xr:uid="{00000000-0005-0000-0000-0000ED200000}"/>
    <cellStyle name="見出し 4 3" xfId="591" xr:uid="{00000000-0005-0000-0000-0000EE200000}"/>
    <cellStyle name="見出し 4 4" xfId="592" xr:uid="{00000000-0005-0000-0000-0000EF200000}"/>
    <cellStyle name="集計" xfId="607" xr:uid="{00000000-0005-0000-0000-0000FE200000}"/>
    <cellStyle name="集計 2" xfId="608" xr:uid="{00000000-0005-0000-0000-0000FF200000}"/>
    <cellStyle name="集計 3" xfId="609" xr:uid="{00000000-0005-0000-0000-000000210000}"/>
    <cellStyle name="集計 4" xfId="610" xr:uid="{00000000-0005-0000-0000-000001210000}"/>
    <cellStyle name="出力" xfId="549" xr:uid="{00000000-0005-0000-0000-0000B31F0000}"/>
    <cellStyle name="出力 2" xfId="550" xr:uid="{00000000-0005-0000-0000-0000B41F0000}"/>
    <cellStyle name="出力 3" xfId="551" xr:uid="{00000000-0005-0000-0000-0000B51F0000}"/>
    <cellStyle name="出力 4" xfId="552" xr:uid="{00000000-0005-0000-0000-0000B61F0000}"/>
    <cellStyle name="常规_総生産分析(0605-0606)" xfId="553" xr:uid="{00000000-0005-0000-0000-0000B71F0000}"/>
    <cellStyle name="説明文" xfId="597" xr:uid="{00000000-0005-0000-0000-0000F4200000}"/>
    <cellStyle name="説明文 2" xfId="598" xr:uid="{00000000-0005-0000-0000-0000F5200000}"/>
    <cellStyle name="説明文 3" xfId="599" xr:uid="{00000000-0005-0000-0000-0000F6200000}"/>
    <cellStyle name="説明文 4" xfId="600" xr:uid="{00000000-0005-0000-0000-0000F7200000}"/>
    <cellStyle name="通貨 2" xfId="605" xr:uid="{00000000-0005-0000-0000-0000FC200000}"/>
    <cellStyle name="通貨 3" xfId="606" xr:uid="{00000000-0005-0000-0000-0000FD200000}"/>
    <cellStyle name="入力" xfId="545" xr:uid="{00000000-0005-0000-0000-0000AF1F0000}"/>
    <cellStyle name="入力 2" xfId="546" xr:uid="{00000000-0005-0000-0000-0000B01F0000}"/>
    <cellStyle name="入力 3" xfId="547" xr:uid="{00000000-0005-0000-0000-0000B11F0000}"/>
    <cellStyle name="入力 4" xfId="548" xr:uid="{00000000-0005-0000-0000-0000B21F0000}"/>
    <cellStyle name="標準" xfId="0" builtinId="0"/>
    <cellStyle name="標準 10" xfId="564" xr:uid="{00000000-0005-0000-0000-000069200000}"/>
    <cellStyle name="標準 11" xfId="565" xr:uid="{00000000-0005-0000-0000-00006A200000}"/>
    <cellStyle name="標準 12" xfId="566" xr:uid="{00000000-0005-0000-0000-00006B200000}"/>
    <cellStyle name="標準 2" xfId="85" xr:uid="{00000000-0005-0000-0000-00006C200000}"/>
    <cellStyle name="標準 2 2" xfId="86" xr:uid="{00000000-0005-0000-0000-00006D200000}"/>
    <cellStyle name="標準 2 2 2" xfId="93" xr:uid="{00000000-0005-0000-0000-00006E200000}"/>
    <cellStyle name="標準 2 3" xfId="6719" xr:uid="{00000000-0005-0000-0000-00006F200000}"/>
    <cellStyle name="標準 2 3 2" xfId="6762" xr:uid="{00000000-0005-0000-0000-000070200000}"/>
    <cellStyle name="標準 2 3 2 2" xfId="6877" xr:uid="{00000000-0005-0000-0000-000071200000}"/>
    <cellStyle name="標準 2 3 2 2 2" xfId="7014" xr:uid="{00000000-0005-0000-0000-000072200000}"/>
    <cellStyle name="標準 2 3 2 2 2 2" xfId="7399" xr:uid="{00000000-0005-0000-0000-000073200000}"/>
    <cellStyle name="標準 2 3 2 2 3" xfId="7251" xr:uid="{00000000-0005-0000-0000-000074200000}"/>
    <cellStyle name="標準 2 3 2 3" xfId="6940" xr:uid="{00000000-0005-0000-0000-000075200000}"/>
    <cellStyle name="標準 2 3 2 3 2" xfId="7325" xr:uid="{00000000-0005-0000-0000-000076200000}"/>
    <cellStyle name="標準 2 3 2 4" xfId="7177" xr:uid="{00000000-0005-0000-0000-000077200000}"/>
    <cellStyle name="標準 2 3 2 5" xfId="6837" xr:uid="{00000000-0005-0000-0000-000078200000}"/>
    <cellStyle name="標準 2 3 3" xfId="6860" xr:uid="{00000000-0005-0000-0000-000079200000}"/>
    <cellStyle name="標準 2 3 3 2" xfId="6977" xr:uid="{00000000-0005-0000-0000-00007A200000}"/>
    <cellStyle name="標準 2 3 3 2 2" xfId="7362" xr:uid="{00000000-0005-0000-0000-00007B200000}"/>
    <cellStyle name="標準 2 3 3 3" xfId="7214" xr:uid="{00000000-0005-0000-0000-00007C200000}"/>
    <cellStyle name="標準 2 3 4" xfId="6903" xr:uid="{00000000-0005-0000-0000-00007D200000}"/>
    <cellStyle name="標準 2 3 4 2" xfId="7288" xr:uid="{00000000-0005-0000-0000-00007E200000}"/>
    <cellStyle name="標準 2 3 5" xfId="7136" xr:uid="{00000000-0005-0000-0000-00007F200000}"/>
    <cellStyle name="標準 2 3 6" xfId="6820" xr:uid="{00000000-0005-0000-0000-000080200000}"/>
    <cellStyle name="標準 3" xfId="87" xr:uid="{00000000-0005-0000-0000-000081200000}"/>
    <cellStyle name="標準 3 2" xfId="88" xr:uid="{00000000-0005-0000-0000-000082200000}"/>
    <cellStyle name="標準 3 3" xfId="6720" xr:uid="{00000000-0005-0000-0000-000083200000}"/>
    <cellStyle name="標準 4" xfId="89" xr:uid="{00000000-0005-0000-0000-000084200000}"/>
    <cellStyle name="標準 4 2" xfId="567" xr:uid="{00000000-0005-0000-0000-000085200000}"/>
    <cellStyle name="標準 4 2 2" xfId="6721" xr:uid="{00000000-0005-0000-0000-000086200000}"/>
    <cellStyle name="標準 5" xfId="90" xr:uid="{00000000-0005-0000-0000-000087200000}"/>
    <cellStyle name="標準 5 2" xfId="568" xr:uid="{00000000-0005-0000-0000-000088200000}"/>
    <cellStyle name="標準 5 2 2" xfId="6757" xr:uid="{00000000-0005-0000-0000-000089200000}"/>
    <cellStyle name="標準 5 2 2 2" xfId="6875" xr:uid="{00000000-0005-0000-0000-00008A200000}"/>
    <cellStyle name="標準 5 2 2 2 2" xfId="7009" xr:uid="{00000000-0005-0000-0000-00008B200000}"/>
    <cellStyle name="標準 5 2 2 2 2 2" xfId="7394" xr:uid="{00000000-0005-0000-0000-00008C200000}"/>
    <cellStyle name="標準 5 2 2 2 3" xfId="7246" xr:uid="{00000000-0005-0000-0000-00008D200000}"/>
    <cellStyle name="標準 5 2 2 3" xfId="6935" xr:uid="{00000000-0005-0000-0000-00008E200000}"/>
    <cellStyle name="標準 5 2 2 3 2" xfId="7320" xr:uid="{00000000-0005-0000-0000-00008F200000}"/>
    <cellStyle name="標準 5 2 2 4" xfId="7172" xr:uid="{00000000-0005-0000-0000-000090200000}"/>
    <cellStyle name="標準 5 2 2 5" xfId="6835" xr:uid="{00000000-0005-0000-0000-000091200000}"/>
    <cellStyle name="標準 5 2 3" xfId="6712" xr:uid="{00000000-0005-0000-0000-000092200000}"/>
    <cellStyle name="標準 5 2 3 2" xfId="6972" xr:uid="{00000000-0005-0000-0000-000093200000}"/>
    <cellStyle name="標準 5 2 3 2 2" xfId="7357" xr:uid="{00000000-0005-0000-0000-000094200000}"/>
    <cellStyle name="標準 5 2 3 3" xfId="7209" xr:uid="{00000000-0005-0000-0000-000095200000}"/>
    <cellStyle name="標準 5 2 3 4" xfId="6858" xr:uid="{00000000-0005-0000-0000-000096200000}"/>
    <cellStyle name="標準 5 2 4" xfId="6898" xr:uid="{00000000-0005-0000-0000-000097200000}"/>
    <cellStyle name="標準 5 2 4 2" xfId="7283" xr:uid="{00000000-0005-0000-0000-000098200000}"/>
    <cellStyle name="標準 5 2 5" xfId="7129" xr:uid="{00000000-0005-0000-0000-000099200000}"/>
    <cellStyle name="標準 5 2 6" xfId="6818" xr:uid="{00000000-0005-0000-0000-00009A200000}"/>
    <cellStyle name="標準 5 3" xfId="614" xr:uid="{00000000-0005-0000-0000-00009B200000}"/>
    <cellStyle name="標準 5 3 2" xfId="1142" xr:uid="{00000000-0005-0000-0000-00009C200000}"/>
    <cellStyle name="標準 5 3 2 2" xfId="2726" xr:uid="{00000000-0005-0000-0000-00009D200000}"/>
    <cellStyle name="標準 5 3 2 2 2" xfId="5895" xr:uid="{00000000-0005-0000-0000-00009E200000}"/>
    <cellStyle name="標準 5 3 2 2 2 2" xfId="7409" xr:uid="{00000000-0005-0000-0000-00009F200000}"/>
    <cellStyle name="標準 5 3 2 2 2 3" xfId="7024" xr:uid="{00000000-0005-0000-0000-0000A0200000}"/>
    <cellStyle name="標準 5 3 2 2 3" xfId="7261" xr:uid="{00000000-0005-0000-0000-0000A1200000}"/>
    <cellStyle name="標準 5 3 2 2 4" xfId="6882" xr:uid="{00000000-0005-0000-0000-0000A2200000}"/>
    <cellStyle name="標準 5 3 2 3" xfId="4311" xr:uid="{00000000-0005-0000-0000-0000A3200000}"/>
    <cellStyle name="標準 5 3 2 3 2" xfId="7335" xr:uid="{00000000-0005-0000-0000-0000A4200000}"/>
    <cellStyle name="標準 5 3 2 3 3" xfId="6950" xr:uid="{00000000-0005-0000-0000-0000A5200000}"/>
    <cellStyle name="標準 5 3 2 4" xfId="6772" xr:uid="{00000000-0005-0000-0000-0000A6200000}"/>
    <cellStyle name="標準 5 3 2 4 2" xfId="7187" xr:uid="{00000000-0005-0000-0000-0000A7200000}"/>
    <cellStyle name="標準 5 3 2 5" xfId="6842" xr:uid="{00000000-0005-0000-0000-0000A8200000}"/>
    <cellStyle name="標準 5 3 3" xfId="1670" xr:uid="{00000000-0005-0000-0000-0000A9200000}"/>
    <cellStyle name="標準 5 3 3 2" xfId="3254" xr:uid="{00000000-0005-0000-0000-0000AA200000}"/>
    <cellStyle name="標準 5 3 3 2 2" xfId="6423" xr:uid="{00000000-0005-0000-0000-0000AB200000}"/>
    <cellStyle name="標準 5 3 3 2 2 2" xfId="7372" xr:uid="{00000000-0005-0000-0000-0000AC200000}"/>
    <cellStyle name="標準 5 3 3 2 3" xfId="6987" xr:uid="{00000000-0005-0000-0000-0000AD200000}"/>
    <cellStyle name="標準 5 3 3 3" xfId="4839" xr:uid="{00000000-0005-0000-0000-0000AE200000}"/>
    <cellStyle name="標準 5 3 3 3 2" xfId="7224" xr:uid="{00000000-0005-0000-0000-0000AF200000}"/>
    <cellStyle name="標準 5 3 3 4" xfId="6865" xr:uid="{00000000-0005-0000-0000-0000B0200000}"/>
    <cellStyle name="標準 5 3 4" xfId="2198" xr:uid="{00000000-0005-0000-0000-0000B1200000}"/>
    <cellStyle name="標準 5 3 4 2" xfId="5367" xr:uid="{00000000-0005-0000-0000-0000B2200000}"/>
    <cellStyle name="標準 5 3 4 2 2" xfId="7298" xr:uid="{00000000-0005-0000-0000-0000B3200000}"/>
    <cellStyle name="標準 5 3 4 3" xfId="6913" xr:uid="{00000000-0005-0000-0000-0000B4200000}"/>
    <cellStyle name="標準 5 3 5" xfId="3783" xr:uid="{00000000-0005-0000-0000-0000B5200000}"/>
    <cellStyle name="標準 5 3 5 2" xfId="7148" xr:uid="{00000000-0005-0000-0000-0000B6200000}"/>
    <cellStyle name="標準 5 3 6" xfId="6732" xr:uid="{00000000-0005-0000-0000-0000B7200000}"/>
    <cellStyle name="標準 5 3 7" xfId="6825" xr:uid="{00000000-0005-0000-0000-0000B8200000}"/>
    <cellStyle name="標準 5 4" xfId="878" xr:uid="{00000000-0005-0000-0000-0000B9200000}"/>
    <cellStyle name="標準 5 4 2" xfId="2462" xr:uid="{00000000-0005-0000-0000-0000BA200000}"/>
    <cellStyle name="標準 5 4 2 2" xfId="5631" xr:uid="{00000000-0005-0000-0000-0000BB200000}"/>
    <cellStyle name="標準 5 4 2 2 2" xfId="7383" xr:uid="{00000000-0005-0000-0000-0000BC200000}"/>
    <cellStyle name="標準 5 4 2 2 3" xfId="6998" xr:uid="{00000000-0005-0000-0000-0000BD200000}"/>
    <cellStyle name="標準 5 4 2 3" xfId="7235" xr:uid="{00000000-0005-0000-0000-0000BE200000}"/>
    <cellStyle name="標準 5 4 2 4" xfId="6871" xr:uid="{00000000-0005-0000-0000-0000BF200000}"/>
    <cellStyle name="標準 5 4 3" xfId="4047" xr:uid="{00000000-0005-0000-0000-0000C0200000}"/>
    <cellStyle name="標準 5 4 3 2" xfId="7309" xr:uid="{00000000-0005-0000-0000-0000C1200000}"/>
    <cellStyle name="標準 5 4 3 3" xfId="6924" xr:uid="{00000000-0005-0000-0000-0000C2200000}"/>
    <cellStyle name="標準 5 4 4" xfId="6746" xr:uid="{00000000-0005-0000-0000-0000C3200000}"/>
    <cellStyle name="標準 5 4 4 2" xfId="7161" xr:uid="{00000000-0005-0000-0000-0000C4200000}"/>
    <cellStyle name="標準 5 4 5" xfId="6831" xr:uid="{00000000-0005-0000-0000-0000C5200000}"/>
    <cellStyle name="標準 5 5" xfId="1406" xr:uid="{00000000-0005-0000-0000-0000C6200000}"/>
    <cellStyle name="標準 5 5 2" xfId="2990" xr:uid="{00000000-0005-0000-0000-0000C7200000}"/>
    <cellStyle name="標準 5 5 2 2" xfId="6159" xr:uid="{00000000-0005-0000-0000-0000C8200000}"/>
    <cellStyle name="標準 5 5 2 2 2" xfId="7346" xr:uid="{00000000-0005-0000-0000-0000C9200000}"/>
    <cellStyle name="標準 5 5 2 3" xfId="6961" xr:uid="{00000000-0005-0000-0000-0000CA200000}"/>
    <cellStyle name="標準 5 5 3" xfId="4575" xr:uid="{00000000-0005-0000-0000-0000CB200000}"/>
    <cellStyle name="標準 5 5 3 2" xfId="7198" xr:uid="{00000000-0005-0000-0000-0000CC200000}"/>
    <cellStyle name="標準 5 5 4" xfId="6853" xr:uid="{00000000-0005-0000-0000-0000CD200000}"/>
    <cellStyle name="標準 5 6" xfId="1934" xr:uid="{00000000-0005-0000-0000-0000CE200000}"/>
    <cellStyle name="標準 5 6 2" xfId="5103" xr:uid="{00000000-0005-0000-0000-0000CF200000}"/>
    <cellStyle name="標準 5 6 2 2" xfId="7272" xr:uid="{00000000-0005-0000-0000-0000D0200000}"/>
    <cellStyle name="標準 5 6 3" xfId="6888" xr:uid="{00000000-0005-0000-0000-0000D1200000}"/>
    <cellStyle name="標準 5 7" xfId="3519" xr:uid="{00000000-0005-0000-0000-0000D2200000}"/>
    <cellStyle name="標準 5 7 2" xfId="7116" xr:uid="{00000000-0005-0000-0000-0000D3200000}"/>
    <cellStyle name="標準 5 8" xfId="6701" xr:uid="{00000000-0005-0000-0000-0000D4200000}"/>
    <cellStyle name="標準 5 9" xfId="6814" xr:uid="{00000000-0005-0000-0000-0000D5200000}"/>
    <cellStyle name="標準 6" xfId="91" xr:uid="{00000000-0005-0000-0000-0000D6200000}"/>
    <cellStyle name="標準 6 2" xfId="6722" xr:uid="{00000000-0005-0000-0000-0000D7200000}"/>
    <cellStyle name="標準 7" xfId="569" xr:uid="{00000000-0005-0000-0000-0000D8200000}"/>
    <cellStyle name="標準 8" xfId="570" xr:uid="{00000000-0005-0000-0000-0000D9200000}"/>
    <cellStyle name="標準 9" xfId="571" xr:uid="{00000000-0005-0000-0000-0000DA200000}"/>
    <cellStyle name="標準 9 2" xfId="572" xr:uid="{00000000-0005-0000-0000-0000DB200000}"/>
    <cellStyle name="未定義" xfId="558" xr:uid="{00000000-0005-0000-0000-0000BC1F0000}"/>
    <cellStyle name="良い" xfId="573" xr:uid="{00000000-0005-0000-0000-0000DC200000}"/>
    <cellStyle name="良い 2" xfId="574" xr:uid="{00000000-0005-0000-0000-0000DD200000}"/>
    <cellStyle name="良い 3" xfId="575" xr:uid="{00000000-0005-0000-0000-0000DE200000}"/>
    <cellStyle name="良い 4" xfId="576" xr:uid="{00000000-0005-0000-0000-0000DF200000}"/>
  </cellStyles>
  <dxfs count="16">
    <dxf>
      <font>
        <b val="0"/>
        <i val="0"/>
        <strike val="0"/>
        <condense val="0"/>
        <extend val="0"/>
        <outline val="0"/>
        <shadow val="0"/>
        <u val="none"/>
        <vertAlign val="baseline"/>
        <sz val="11"/>
        <color theme="1"/>
        <name val="Meiryo UI"/>
        <scheme val="none"/>
      </font>
      <numFmt numFmtId="180" formatCode="_(* #,##0_);_(* \(#,##0\);_(* &quot;-&quot;??_);_(@_)"/>
      <alignment horizontal="right" vertical="bottom" textRotation="0" wrapText="0" indent="0" justifyLastLine="0" shrinkToFit="0" readingOrder="0"/>
    </dxf>
    <dxf>
      <font>
        <b val="0"/>
        <i val="0"/>
        <strike val="0"/>
        <condense val="0"/>
        <extend val="0"/>
        <outline val="0"/>
        <shadow val="0"/>
        <u val="none"/>
        <vertAlign val="baseline"/>
        <sz val="11"/>
        <color theme="1"/>
        <name val="Meiryo UI"/>
        <scheme val="none"/>
      </font>
      <numFmt numFmtId="180" formatCode="_(* #,##0_);_(* \(#,##0\);_(* &quot;-&quot;??_);_(@_)"/>
      <alignment horizontal="right" vertical="bottom" textRotation="0" wrapText="0" indent="0" justifyLastLine="0" shrinkToFit="0" readingOrder="0"/>
    </dxf>
    <dxf>
      <font>
        <b val="0"/>
        <i val="0"/>
        <strike val="0"/>
        <condense val="0"/>
        <extend val="0"/>
        <outline val="0"/>
        <shadow val="0"/>
        <u val="none"/>
        <vertAlign val="baseline"/>
        <sz val="11"/>
        <color theme="1"/>
        <name val="Meiryo UI"/>
        <scheme val="none"/>
      </font>
      <numFmt numFmtId="180" formatCode="_(* #,##0_);_(* \(#,##0\);_(* &quot;-&quot;??_);_(@_)"/>
      <alignment horizontal="right" vertical="bottom" textRotation="0" wrapText="0" indent="0" justifyLastLine="0" shrinkToFit="0" readingOrder="0"/>
    </dxf>
    <dxf>
      <font>
        <b val="0"/>
        <i val="0"/>
        <strike val="0"/>
        <condense val="0"/>
        <extend val="0"/>
        <outline val="0"/>
        <shadow val="0"/>
        <u val="none"/>
        <vertAlign val="baseline"/>
        <sz val="11"/>
        <color theme="1"/>
        <name val="Meiryo UI"/>
        <scheme val="none"/>
      </font>
      <numFmt numFmtId="180" formatCode="_(* #,##0_);_(* \(#,##0\);_(* &quot;-&quot;??_);_(@_)"/>
      <alignment horizontal="right" vertical="bottom" textRotation="0" wrapText="0" indent="0" justifyLastLine="0" shrinkToFit="0" readingOrder="0"/>
    </dxf>
    <dxf>
      <font>
        <b val="0"/>
        <i val="0"/>
        <strike val="0"/>
        <condense val="0"/>
        <extend val="0"/>
        <outline val="0"/>
        <shadow val="0"/>
        <u val="none"/>
        <vertAlign val="baseline"/>
        <sz val="11"/>
        <color theme="1"/>
        <name val="Meiryo UI"/>
        <scheme val="none"/>
      </font>
      <numFmt numFmtId="180" formatCode="_(* #,##0_);_(* \(#,##0\);_(* &quot;-&quot;??_);_(@_)"/>
      <alignment horizontal="right" vertical="bottom" textRotation="0" wrapText="0" indent="0" justifyLastLine="0" shrinkToFit="0" readingOrder="0"/>
    </dxf>
    <dxf>
      <font>
        <b val="0"/>
        <i val="0"/>
        <strike val="0"/>
        <condense val="0"/>
        <extend val="0"/>
        <outline val="0"/>
        <shadow val="0"/>
        <u val="none"/>
        <vertAlign val="baseline"/>
        <sz val="11"/>
        <color theme="1"/>
        <name val="Meiryo UI"/>
        <scheme val="none"/>
      </font>
      <numFmt numFmtId="180" formatCode="_(* #,##0_);_(* \(#,##0\);_(* &quot;-&quot;??_);_(@_)"/>
      <alignment horizontal="right" vertical="bottom" textRotation="0" wrapText="0" indent="0" justifyLastLine="0" shrinkToFit="0" readingOrder="0"/>
    </dxf>
    <dxf>
      <font>
        <b val="0"/>
        <i val="0"/>
        <strike val="0"/>
        <condense val="0"/>
        <extend val="0"/>
        <outline val="0"/>
        <shadow val="0"/>
        <u val="none"/>
        <vertAlign val="baseline"/>
        <sz val="11"/>
        <color theme="1"/>
        <name val="Meiryo UI"/>
        <scheme val="none"/>
      </font>
      <numFmt numFmtId="180" formatCode="_(* #,##0_);_(* \(#,##0\);_(* &quot;-&quot;??_);_(@_)"/>
      <alignment horizontal="right" vertical="bottom" textRotation="0" wrapText="0" indent="0" justifyLastLine="0" shrinkToFit="0" readingOrder="0"/>
    </dxf>
    <dxf>
      <font>
        <b val="0"/>
        <i val="0"/>
        <strike val="0"/>
        <condense val="0"/>
        <extend val="0"/>
        <outline val="0"/>
        <shadow val="0"/>
        <u val="none"/>
        <vertAlign val="baseline"/>
        <sz val="11"/>
        <color theme="1"/>
        <name val="Meiryo UI"/>
        <scheme val="none"/>
      </font>
      <numFmt numFmtId="180" formatCode="_(* #,##0_);_(* \(#,##0\);_(* &quot;-&quot;??_);_(@_)"/>
      <alignment horizontal="right" vertical="bottom" textRotation="0" wrapText="0" indent="0" justifyLastLine="0" shrinkToFit="0" readingOrder="0"/>
    </dxf>
    <dxf>
      <font>
        <b val="0"/>
        <i val="0"/>
        <strike val="0"/>
        <condense val="0"/>
        <extend val="0"/>
        <outline val="0"/>
        <shadow val="0"/>
        <u val="none"/>
        <vertAlign val="baseline"/>
        <sz val="11"/>
        <color theme="1"/>
        <name val="Meiryo UI"/>
        <scheme val="none"/>
      </font>
      <numFmt numFmtId="180" formatCode="_(* #,##0_);_(* \(#,##0\);_(* &quot;-&quot;??_);_(@_)"/>
      <alignment horizontal="right" vertical="bottom" textRotation="0" wrapText="0" indent="0" justifyLastLine="0" shrinkToFit="0" readingOrder="0"/>
    </dxf>
    <dxf>
      <font>
        <b val="0"/>
        <i val="0"/>
        <strike val="0"/>
        <condense val="0"/>
        <extend val="0"/>
        <outline val="0"/>
        <shadow val="0"/>
        <u val="none"/>
        <vertAlign val="baseline"/>
        <sz val="11"/>
        <color theme="1"/>
        <name val="Meiryo UI"/>
        <scheme val="none"/>
      </font>
      <numFmt numFmtId="180" formatCode="_(* #,##0_);_(* \(#,##0\);_(* &quot;-&quot;??_);_(@_)"/>
      <alignment horizontal="right" vertical="bottom" textRotation="0" wrapText="0" indent="0" justifyLastLine="0" shrinkToFit="0" readingOrder="0"/>
    </dxf>
    <dxf>
      <font>
        <b val="0"/>
        <i val="0"/>
        <strike val="0"/>
        <condense val="0"/>
        <extend val="0"/>
        <outline val="0"/>
        <shadow val="0"/>
        <u val="none"/>
        <vertAlign val="baseline"/>
        <sz val="11"/>
        <color theme="1"/>
        <name val="Meiryo UI"/>
        <scheme val="none"/>
      </font>
      <numFmt numFmtId="180" formatCode="_(* #,##0_);_(* \(#,##0\);_(* &quot;-&quot;??_);_(@_)"/>
      <alignment horizontal="right" vertical="bottom" textRotation="0" wrapText="0" indent="0" justifyLastLine="0" shrinkToFit="0" readingOrder="0"/>
    </dxf>
    <dxf>
      <font>
        <b val="0"/>
        <i val="0"/>
        <strike val="0"/>
        <condense val="0"/>
        <extend val="0"/>
        <outline val="0"/>
        <shadow val="0"/>
        <u val="none"/>
        <vertAlign val="baseline"/>
        <sz val="11"/>
        <color theme="1"/>
        <name val="Meiryo UI"/>
        <scheme val="none"/>
      </font>
      <numFmt numFmtId="180" formatCode="_(* #,##0_);_(* \(#,##0\);_(* &quot;-&quot;??_);_(@_)"/>
      <alignment horizontal="right" vertical="bottom" textRotation="0" wrapText="0" indent="0" justifyLastLine="0" shrinkToFit="0" readingOrder="0"/>
    </dxf>
    <dxf>
      <font>
        <b val="0"/>
        <i val="0"/>
        <strike val="0"/>
        <condense val="0"/>
        <extend val="0"/>
        <outline val="0"/>
        <shadow val="0"/>
        <u val="none"/>
        <vertAlign val="baseline"/>
        <sz val="11"/>
        <color theme="1"/>
        <name val="Meiryo UI"/>
        <scheme val="none"/>
      </font>
      <numFmt numFmtId="180" formatCode="_(* #,##0_);_(* \(#,##0\);_(* &quot;-&quot;??_);_(@_)"/>
      <alignment horizontal="right" vertical="bottom" textRotation="0" wrapText="0" indent="0" justifyLastLine="0" shrinkToFit="0" readingOrder="0"/>
    </dxf>
    <dxf>
      <font>
        <b val="0"/>
        <i val="0"/>
        <strike val="0"/>
        <condense val="0"/>
        <extend val="0"/>
        <outline val="0"/>
        <shadow val="0"/>
        <u val="none"/>
        <vertAlign val="baseline"/>
        <sz val="11"/>
        <color theme="1"/>
        <name val="Meiryo U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Meiryo U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Meiryo UI"/>
        <scheme val="none"/>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externalLink" Target="externalLinks/externalLink6.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3.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fstvn01\temp\morita\&#24341;&#32153;&#12366;\&#26085;&#26412;&#20154;&#32102;&#19982;\SAL-HK2004.6.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emp/morita/&#24341;&#32153;&#12366;/&#26085;&#26412;&#20154;&#32102;&#19982;/SAL-HK2004.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stvn01\temp\morita\&#24341;&#32153;&#12366;\&#26085;&#26412;&#20154;&#32102;&#19982;\SAL-HK2005.08.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km-square.kdtvn.local/temp/morita/&#24341;&#32153;&#12366;/&#26085;&#26412;&#20154;&#32102;&#19982;/SAL-HK2005.0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stvn01\temp\morita\&#24341;&#32153;&#12366;\&#26085;&#26412;&#20154;&#32102;&#19982;\SAL-HK2004.4.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km-square.kdtvn.local/temp/morita/&#24341;&#32153;&#12366;/&#26085;&#26412;&#20154;&#32102;&#19982;/SAL-HK2004.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C所得税是正"/>
      <sheetName val="中国勤務交通費（1）"/>
      <sheetName val="Adjustment"/>
      <sheetName val="Adjustment (2)"/>
      <sheetName val="Adjustment (3)"/>
      <sheetName val="SALＡRY"/>
      <sheetName val="Drum訂正"/>
      <sheetName val="Transfer Slip-HK POSTAGE"/>
      <sheetName val="Transfer Slip-HK"/>
      <sheetName val="Transfer Slip-JPN"/>
      <sheetName val="Transfer Slip-JPN (2)"/>
      <sheetName val="Transfer Slip-rental"/>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C所得税是正"/>
      <sheetName val="中国勤務交通費（1）"/>
      <sheetName val="Adjustment"/>
      <sheetName val="Adjustment (2)"/>
      <sheetName val="Adjustment (3)"/>
      <sheetName val="SALＡRY"/>
      <sheetName val="Drum訂正"/>
      <sheetName val="Transfer Slip-HK POSTAGE"/>
      <sheetName val="Transfer Slip-HK"/>
      <sheetName val="Transfer Slip-JPN"/>
      <sheetName val="Transfer Slip-JPN (2)"/>
      <sheetName val="Transfer Slip-rental"/>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C所得税是正"/>
      <sheetName val="中国勤務交通費（1）"/>
      <sheetName val="Adjustment"/>
      <sheetName val="Adjustment (2)"/>
      <sheetName val="Adjustment (3)"/>
      <sheetName val="Adjustment (4)"/>
      <sheetName val="Adjustment (5)"/>
      <sheetName val="Adjustment (6)"/>
      <sheetName val="SALＡRY"/>
      <sheetName val="Transfer Slip-HK POSTAGE"/>
      <sheetName val="Transfer Slip-HK"/>
      <sheetName val="Transfer Slip-JPN"/>
      <sheetName val="Transfer Slip-JPN (2)"/>
      <sheetName val="Transfer Slip-rent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C所得税是正"/>
      <sheetName val="中国勤務交通費（1）"/>
      <sheetName val="Adjustment"/>
      <sheetName val="Adjustment (2)"/>
      <sheetName val="Adjustment (3)"/>
      <sheetName val="Adjustment (4)"/>
      <sheetName val="Adjustment (5)"/>
      <sheetName val="Adjustment (6)"/>
      <sheetName val="SALＡRY"/>
      <sheetName val="Transfer Slip-HK POSTAGE"/>
      <sheetName val="Transfer Slip-HK"/>
      <sheetName val="Transfer Slip-JPN"/>
      <sheetName val="Transfer Slip-JPN (2)"/>
      <sheetName val="Transfer Slip-rent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C所得税是正"/>
      <sheetName val="中国勤務交通費（1）"/>
      <sheetName val="Adjustment"/>
      <sheetName val="Adjustment (2)"/>
      <sheetName val="Adjustment (3)"/>
      <sheetName val="SALＡRY"/>
      <sheetName val="Drum訂正"/>
      <sheetName val="Transfer Slip-HK POSTAGE"/>
      <sheetName val="Transfer Slip-HK"/>
      <sheetName val="Transfer Slip-JPN"/>
      <sheetName val="Transfer Slip-JPN (2)"/>
      <sheetName val="Transfer Slip-rental"/>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sheetData sheetId="10"/>
      <sheetData sheetId="1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C所得税是正"/>
      <sheetName val="中国勤務交通費（1）"/>
      <sheetName val="Adjustment"/>
      <sheetName val="Adjustment (2)"/>
      <sheetName val="Adjustment (3)"/>
      <sheetName val="SALＡRY"/>
      <sheetName val="Drum訂正"/>
      <sheetName val="Transfer Slip-HK POSTAGE"/>
      <sheetName val="Transfer Slip-HK"/>
      <sheetName val="Transfer Slip-JPN"/>
      <sheetName val="Transfer Slip-JPN (2)"/>
      <sheetName val="Transfer Slip-rental"/>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sheetData sheetId="10"/>
      <sheetData sheetId="11"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N5" totalsRowShown="0" headerRowDxfId="15" dataDxfId="14">
  <autoFilter ref="A2:N5" xr:uid="{00000000-0009-0000-0100-000001000000}"/>
  <tableColumns count="14">
    <tableColumn id="1" xr3:uid="{00000000-0010-0000-0000-000001000000}" name="FY2025" dataDxfId="13"/>
    <tableColumn id="2" xr3:uid="{00000000-0010-0000-0000-000002000000}" name="4" dataDxfId="12"/>
    <tableColumn id="3" xr3:uid="{00000000-0010-0000-0000-000003000000}" name="5" dataDxfId="11"/>
    <tableColumn id="4" xr3:uid="{00000000-0010-0000-0000-000004000000}" name="6" dataDxfId="10"/>
    <tableColumn id="5" xr3:uid="{00000000-0010-0000-0000-000005000000}" name="7" dataDxfId="9"/>
    <tableColumn id="6" xr3:uid="{00000000-0010-0000-0000-000006000000}" name="8" dataDxfId="8"/>
    <tableColumn id="7" xr3:uid="{00000000-0010-0000-0000-000007000000}" name="9" dataDxfId="7"/>
    <tableColumn id="8" xr3:uid="{00000000-0010-0000-0000-000008000000}" name="10" dataDxfId="6"/>
    <tableColumn id="9" xr3:uid="{00000000-0010-0000-0000-000009000000}" name="11" dataDxfId="5"/>
    <tableColumn id="10" xr3:uid="{00000000-0010-0000-0000-00000A000000}" name="12" dataDxfId="4"/>
    <tableColumn id="11" xr3:uid="{00000000-0010-0000-0000-00000B000000}" name="1" dataDxfId="3"/>
    <tableColumn id="12" xr3:uid="{00000000-0010-0000-0000-00000C000000}" name="2" dataDxfId="2"/>
    <tableColumn id="13" xr3:uid="{00000000-0010-0000-0000-00000D000000}" name="3" dataDxfId="1"/>
    <tableColumn id="14" xr3:uid="{00000000-0010-0000-0000-00000E000000}" name="合" dataDxfId="0">
      <calculatedColumnFormula>SUM(B3:M3)</calculatedColumnFormula>
    </tableColumn>
  </tableColumns>
  <tableStyleInfo name="TableStyleMedium3"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0"/>
  <sheetViews>
    <sheetView tabSelected="1" topLeftCell="A3" zoomScale="90" zoomScaleNormal="90" workbookViewId="0">
      <selection activeCell="O9" sqref="O9:O10"/>
    </sheetView>
  </sheetViews>
  <sheetFormatPr defaultColWidth="9" defaultRowHeight="12"/>
  <cols>
    <col min="1" max="1" width="20.5" style="41" customWidth="1"/>
    <col min="2" max="13" width="11.5" style="40" customWidth="1"/>
    <col min="14" max="14" width="14.875" style="41" customWidth="1"/>
    <col min="15" max="15" width="78.75" style="41" customWidth="1"/>
    <col min="16" max="16" width="19.25" style="42" customWidth="1"/>
    <col min="17" max="18" width="19.25" style="41" customWidth="1"/>
    <col min="19" max="19" width="13.875" style="41" customWidth="1"/>
    <col min="20" max="20" width="9" style="41"/>
    <col min="21" max="21" width="12" style="41" bestFit="1" customWidth="1"/>
    <col min="22" max="16384" width="9" style="41"/>
  </cols>
  <sheetData>
    <row r="1" spans="1:19" ht="17.25">
      <c r="A1" s="39" t="s">
        <v>34</v>
      </c>
    </row>
    <row r="2" spans="1:19" ht="13.5">
      <c r="A2" s="137" t="s">
        <v>129</v>
      </c>
    </row>
    <row r="4" spans="1:19" s="42" customFormat="1" ht="61.5" customHeight="1">
      <c r="A4" s="23" t="s">
        <v>0</v>
      </c>
      <c r="B4" s="24" t="s">
        <v>130</v>
      </c>
      <c r="C4" s="24" t="s">
        <v>131</v>
      </c>
      <c r="D4" s="24" t="s">
        <v>132</v>
      </c>
      <c r="E4" s="24" t="s">
        <v>133</v>
      </c>
      <c r="F4" s="24" t="s">
        <v>134</v>
      </c>
      <c r="G4" s="24" t="s">
        <v>135</v>
      </c>
      <c r="H4" s="24" t="s">
        <v>136</v>
      </c>
      <c r="I4" s="24" t="s">
        <v>137</v>
      </c>
      <c r="J4" s="24" t="s">
        <v>138</v>
      </c>
      <c r="K4" s="24" t="s">
        <v>139</v>
      </c>
      <c r="L4" s="24" t="s">
        <v>140</v>
      </c>
      <c r="M4" s="24" t="s">
        <v>141</v>
      </c>
      <c r="N4" s="23" t="s">
        <v>1</v>
      </c>
      <c r="O4" s="23" t="s">
        <v>4</v>
      </c>
      <c r="P4" s="25" t="s">
        <v>26</v>
      </c>
      <c r="Q4" s="25" t="s">
        <v>27</v>
      </c>
      <c r="R4" s="25" t="s">
        <v>28</v>
      </c>
      <c r="S4" s="25" t="s">
        <v>36</v>
      </c>
    </row>
    <row r="5" spans="1:19" s="47" customFormat="1" ht="45.6" customHeight="1">
      <c r="A5" s="43" t="s">
        <v>40</v>
      </c>
      <c r="B5" s="44">
        <f>'Cách tính phân bổ 振替計算'!C9</f>
        <v>40366</v>
      </c>
      <c r="C5" s="44">
        <f>'Cách tính phân bổ 振替計算'!D9</f>
        <v>39111</v>
      </c>
      <c r="D5" s="44">
        <f>'Cách tính phân bổ 振替計算'!E9</f>
        <v>44856</v>
      </c>
      <c r="E5" s="44">
        <f>'Cách tính phân bổ 振替計算'!F9</f>
        <v>46929</v>
      </c>
      <c r="F5" s="44">
        <f>'Cách tính phân bổ 振替計算'!G9</f>
        <v>42688</v>
      </c>
      <c r="G5" s="44">
        <f>'Cách tính phân bổ 振替計算'!H9</f>
        <v>38491</v>
      </c>
      <c r="H5" s="44">
        <f>'Cách tính phân bổ 振替計算'!I9</f>
        <v>46977</v>
      </c>
      <c r="I5" s="44">
        <f>'Cách tính phân bổ 振替計算'!J9</f>
        <v>41126</v>
      </c>
      <c r="J5" s="44">
        <f>'Cách tính phân bổ 振替計算'!K9</f>
        <v>44086</v>
      </c>
      <c r="K5" s="44">
        <f>'Cách tính phân bổ 振替計算'!L9</f>
        <v>42459</v>
      </c>
      <c r="L5" s="44">
        <f>'Cách tính phân bổ 振替計算'!M9</f>
        <v>32894</v>
      </c>
      <c r="M5" s="44">
        <f>'Cách tính phân bổ 振替計算'!N9</f>
        <v>42542</v>
      </c>
      <c r="N5" s="45" t="s">
        <v>2</v>
      </c>
      <c r="O5" s="140" t="s">
        <v>143</v>
      </c>
      <c r="P5" s="46">
        <v>5005056281</v>
      </c>
      <c r="Q5" s="46">
        <v>6005056625</v>
      </c>
      <c r="R5" s="46">
        <v>6005056543</v>
      </c>
      <c r="S5" s="46" t="s">
        <v>38</v>
      </c>
    </row>
    <row r="6" spans="1:19" s="47" customFormat="1" ht="45.6" customHeight="1">
      <c r="A6" s="48" t="s">
        <v>41</v>
      </c>
      <c r="B6" s="49">
        <f>'Cách tính phân bổ 振替計算'!C14</f>
        <v>1122</v>
      </c>
      <c r="C6" s="49">
        <f>'Cách tính phân bổ 振替計算'!D14</f>
        <v>1130</v>
      </c>
      <c r="D6" s="49">
        <f>'Cách tính phân bổ 振替計算'!E14</f>
        <v>1157</v>
      </c>
      <c r="E6" s="49">
        <f>'Cách tính phân bổ 振替計算'!F14</f>
        <v>1113</v>
      </c>
      <c r="F6" s="49">
        <f>'Cách tính phân bổ 振替計算'!G14</f>
        <v>1080</v>
      </c>
      <c r="G6" s="49">
        <f>'Cách tính phân bổ 振替計算'!H14</f>
        <v>1093</v>
      </c>
      <c r="H6" s="49">
        <f>'Cách tính phân bổ 振替計算'!I14</f>
        <v>1131</v>
      </c>
      <c r="I6" s="49">
        <f>'Cách tính phân bổ 振替計算'!J14</f>
        <v>1114</v>
      </c>
      <c r="J6" s="49">
        <f>'Cách tính phân bổ 振替計算'!K14</f>
        <v>1124</v>
      </c>
      <c r="K6" s="49">
        <f>'Cách tính phân bổ 振替計算'!L14</f>
        <v>1128</v>
      </c>
      <c r="L6" s="49">
        <f>'Cách tính phân bổ 振替計算'!M14</f>
        <v>1146</v>
      </c>
      <c r="M6" s="49">
        <f>'Cách tính phân bổ 振替計算'!N14</f>
        <v>1085</v>
      </c>
      <c r="N6" s="50" t="s">
        <v>2</v>
      </c>
      <c r="O6" s="141"/>
      <c r="P6" s="51">
        <v>5005016372</v>
      </c>
      <c r="Q6" s="51">
        <v>6005016422</v>
      </c>
      <c r="R6" s="51">
        <v>6005016413</v>
      </c>
      <c r="S6" s="51" t="s">
        <v>35</v>
      </c>
    </row>
    <row r="7" spans="1:19" s="47" customFormat="1" ht="45.6" customHeight="1">
      <c r="A7" s="48" t="s">
        <v>42</v>
      </c>
      <c r="B7" s="49">
        <f>'Cách tính phân bổ 振替計算'!C20</f>
        <v>18424</v>
      </c>
      <c r="C7" s="49">
        <f>'Cách tính phân bổ 振替計算'!D20</f>
        <v>17736</v>
      </c>
      <c r="D7" s="49">
        <f>'Cách tính phân bổ 振替計算'!E20</f>
        <v>19401</v>
      </c>
      <c r="E7" s="49">
        <f>'Cách tính phân bổ 振替計算'!F20</f>
        <v>21138</v>
      </c>
      <c r="F7" s="49">
        <f>'Cách tính phân bổ 振替計算'!G20</f>
        <v>18404</v>
      </c>
      <c r="G7" s="49">
        <f>'Cách tính phân bổ 振替計算'!H20</f>
        <v>17500</v>
      </c>
      <c r="H7" s="49">
        <f>'Cách tính phân bổ 振替計算'!I20</f>
        <v>21110</v>
      </c>
      <c r="I7" s="49">
        <f>'Cách tính phân bổ 振替計算'!J20</f>
        <v>18421</v>
      </c>
      <c r="J7" s="49">
        <f>'Cách tính phân bổ 振替計算'!K20</f>
        <v>20254</v>
      </c>
      <c r="K7" s="49">
        <f>'Cách tính phân bổ 振替計算'!L20</f>
        <v>18399</v>
      </c>
      <c r="L7" s="49">
        <f>'Cách tính phân bổ 振替計算'!M20</f>
        <v>13863</v>
      </c>
      <c r="M7" s="49">
        <f>'Cách tính phân bổ 振替計算'!N20</f>
        <v>18435</v>
      </c>
      <c r="N7" s="50" t="s">
        <v>2</v>
      </c>
      <c r="O7" s="141"/>
      <c r="P7" s="51">
        <v>5005016372</v>
      </c>
      <c r="Q7" s="51">
        <v>6005016422</v>
      </c>
      <c r="R7" s="51">
        <v>6005016413</v>
      </c>
      <c r="S7" s="51" t="s">
        <v>35</v>
      </c>
    </row>
    <row r="8" spans="1:19" s="47" customFormat="1" ht="110.1" customHeight="1">
      <c r="A8" s="48" t="s">
        <v>43</v>
      </c>
      <c r="B8" s="49">
        <f>'Cách tính phân bổ 振替計算'!C23</f>
        <v>56247</v>
      </c>
      <c r="C8" s="49">
        <f>'Cách tính phân bổ 振替計算'!D23</f>
        <v>56462</v>
      </c>
      <c r="D8" s="49">
        <f>'Cách tính phân bổ 振替計算'!E23</f>
        <v>58201</v>
      </c>
      <c r="E8" s="49">
        <f>'Cách tính phân bổ 振替計算'!F23</f>
        <v>53306</v>
      </c>
      <c r="F8" s="49">
        <f>'Cách tính phân bổ 振替計算'!G23</f>
        <v>51891</v>
      </c>
      <c r="G8" s="49">
        <f>'Cách tính phân bổ 振替計算'!H23</f>
        <v>49590</v>
      </c>
      <c r="H8" s="49">
        <f>'Cách tính phân bổ 振替計算'!I23</f>
        <v>47432</v>
      </c>
      <c r="I8" s="49">
        <f>'Cách tính phân bổ 振替計算'!J23</f>
        <v>46844</v>
      </c>
      <c r="J8" s="49">
        <f>'Cách tính phân bổ 振替計算'!K23</f>
        <v>46977</v>
      </c>
      <c r="K8" s="49">
        <f>'Cách tính phân bổ 振替計算'!L23</f>
        <v>44968</v>
      </c>
      <c r="L8" s="49">
        <f>'Cách tính phân bổ 振替計算'!M23</f>
        <v>42562</v>
      </c>
      <c r="M8" s="49">
        <f>'Cách tính phân bổ 振替計算'!N23</f>
        <v>44540</v>
      </c>
      <c r="N8" s="50" t="s">
        <v>2</v>
      </c>
      <c r="O8" s="62" t="s">
        <v>144</v>
      </c>
      <c r="P8" s="51">
        <v>5005246286</v>
      </c>
      <c r="Q8" s="51">
        <v>6005246673</v>
      </c>
      <c r="R8" s="51">
        <v>6005246542</v>
      </c>
      <c r="S8" s="51" t="s">
        <v>37</v>
      </c>
    </row>
    <row r="9" spans="1:19" s="47" customFormat="1" ht="120" customHeight="1">
      <c r="A9" s="48" t="s">
        <v>44</v>
      </c>
      <c r="B9" s="49">
        <f>'Cách tính phân bổ 振替計算'!C30</f>
        <v>748000</v>
      </c>
      <c r="C9" s="49">
        <f>'Cách tính phân bổ 振替計算'!D30</f>
        <v>763266</v>
      </c>
      <c r="D9" s="49">
        <f>'Cách tính phân bổ 振替計算'!E30</f>
        <v>740817</v>
      </c>
      <c r="E9" s="49">
        <f>'Cách tính phân bổ 振替計算'!F30</f>
        <v>740817</v>
      </c>
      <c r="F9" s="49">
        <f>'Cách tính phân bổ 振替計算'!G30</f>
        <v>808164</v>
      </c>
      <c r="G9" s="49">
        <f>'Cách tính phân bổ 振替計算'!H30</f>
        <v>763266</v>
      </c>
      <c r="H9" s="49">
        <f>'Cách tính phân bổ 振替計算'!I30</f>
        <v>763266</v>
      </c>
      <c r="I9" s="49">
        <f>'Cách tính phân bổ 振替計算'!J30</f>
        <v>808164</v>
      </c>
      <c r="J9" s="49">
        <f>'Cách tính phân bổ 振替計算'!K30</f>
        <v>763266</v>
      </c>
      <c r="K9" s="49">
        <f>'Cách tính phân bổ 振替計算'!L30</f>
        <v>763266</v>
      </c>
      <c r="L9" s="49">
        <f>'Cách tính phân bổ 振替計算'!M30</f>
        <v>763266</v>
      </c>
      <c r="M9" s="49">
        <f>'Cách tính phân bổ 振替計算'!N30</f>
        <v>477552</v>
      </c>
      <c r="N9" s="50" t="s">
        <v>2</v>
      </c>
      <c r="O9" s="138" t="s">
        <v>145</v>
      </c>
      <c r="P9" s="51">
        <v>5004086291</v>
      </c>
      <c r="Q9" s="51">
        <v>6004086651</v>
      </c>
      <c r="R9" s="51">
        <v>6004086551</v>
      </c>
      <c r="S9" s="51" t="s">
        <v>39</v>
      </c>
    </row>
    <row r="10" spans="1:19" s="47" customFormat="1" ht="120" customHeight="1">
      <c r="A10" s="52" t="s">
        <v>45</v>
      </c>
      <c r="B10" s="53">
        <f>'Cách tính phân bổ 振替計算'!C39</f>
        <v>1374678</v>
      </c>
      <c r="C10" s="53">
        <f>'Cách tính phân bổ 振替計算'!D39</f>
        <v>1586747</v>
      </c>
      <c r="D10" s="53">
        <f>'Cách tính phân bổ 振替計算'!E39</f>
        <v>1418477</v>
      </c>
      <c r="E10" s="53">
        <f>'Cách tính phân bổ 振替計算'!F39</f>
        <v>1487463</v>
      </c>
      <c r="F10" s="53">
        <f>'Cách tính phân bổ 振替計算'!G39</f>
        <v>1588334</v>
      </c>
      <c r="G10" s="53">
        <f>'Cách tính phân bổ 振替計算'!H39</f>
        <v>1593513</v>
      </c>
      <c r="H10" s="53">
        <f>'Cách tính phân bổ 振替計算'!I39</f>
        <v>1194735</v>
      </c>
      <c r="I10" s="53">
        <f>'Cách tính phân bổ 振替計算'!J39</f>
        <v>1452617</v>
      </c>
      <c r="J10" s="53">
        <f>'Cách tính phân bổ 振替計算'!K39</f>
        <v>1465592</v>
      </c>
      <c r="K10" s="53">
        <f>'Cách tính phân bổ 振替計算'!L39</f>
        <v>1378925</v>
      </c>
      <c r="L10" s="53">
        <f>'Cách tính phân bổ 振替計算'!M39</f>
        <v>1253359</v>
      </c>
      <c r="M10" s="53">
        <f>'Cách tính phân bổ 振替計算'!N39</f>
        <v>1296228</v>
      </c>
      <c r="N10" s="54" t="s">
        <v>2</v>
      </c>
      <c r="O10" s="139"/>
      <c r="P10" s="55">
        <v>5004086291</v>
      </c>
      <c r="Q10" s="55">
        <v>6004086651</v>
      </c>
      <c r="R10" s="55">
        <v>6004086551</v>
      </c>
      <c r="S10" s="55" t="s">
        <v>39</v>
      </c>
    </row>
    <row r="13" spans="1:19" hidden="1"/>
    <row r="14" spans="1:19" hidden="1"/>
    <row r="16" spans="1:19" ht="15.75" customHeight="1">
      <c r="A16" s="41" t="s">
        <v>3</v>
      </c>
    </row>
    <row r="17" spans="1:1" ht="15.75" customHeight="1">
      <c r="A17" s="41" t="s">
        <v>23</v>
      </c>
    </row>
    <row r="18" spans="1:1" ht="15.75" customHeight="1">
      <c r="A18" s="56"/>
    </row>
    <row r="19" spans="1:1" ht="15.75" customHeight="1"/>
    <row r="20" spans="1:1" ht="15.75" customHeight="1"/>
  </sheetData>
  <mergeCells count="2">
    <mergeCell ref="O9:O10"/>
    <mergeCell ref="O5:O7"/>
  </mergeCells>
  <phoneticPr fontId="16"/>
  <pageMargins left="0.7" right="0.7" top="0.75" bottom="0.75" header="0.3" footer="0.3"/>
  <pageSetup paperSize="9" scale="62" orientation="landscape" r:id="rId1"/>
  <colBreaks count="1" manualBreakCount="1">
    <brk id="15"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U48"/>
  <sheetViews>
    <sheetView zoomScale="80" zoomScaleNormal="80" workbookViewId="0">
      <pane xSplit="2" ySplit="4" topLeftCell="C31" activePane="bottomRight" state="frozen"/>
      <selection activeCell="N22" sqref="N22"/>
      <selection pane="topRight" activeCell="N22" sqref="N22"/>
      <selection pane="bottomLeft" activeCell="N22" sqref="N22"/>
      <selection pane="bottomRight" activeCell="A31" sqref="A31:A39"/>
    </sheetView>
  </sheetViews>
  <sheetFormatPr defaultColWidth="10.25" defaultRowHeight="12.75"/>
  <cols>
    <col min="1" max="1" width="22.5" style="28" customWidth="1"/>
    <col min="2" max="2" width="29.75" style="28" customWidth="1"/>
    <col min="3" max="14" width="15" style="28" customWidth="1"/>
    <col min="15" max="19" width="10" style="28" customWidth="1"/>
    <col min="20" max="16384" width="10.25" style="28"/>
  </cols>
  <sheetData>
    <row r="1" spans="1:21" ht="25.5" customHeight="1">
      <c r="A1" s="2"/>
      <c r="B1" s="2" t="s">
        <v>29</v>
      </c>
      <c r="C1" s="64">
        <v>20</v>
      </c>
      <c r="D1" s="64">
        <v>19</v>
      </c>
      <c r="E1" s="64">
        <v>21</v>
      </c>
      <c r="F1" s="64">
        <v>23</v>
      </c>
      <c r="G1" s="64">
        <v>20</v>
      </c>
      <c r="H1" s="64">
        <v>19</v>
      </c>
      <c r="I1" s="64">
        <v>23</v>
      </c>
      <c r="J1" s="64">
        <v>20</v>
      </c>
      <c r="K1" s="64">
        <v>22</v>
      </c>
      <c r="L1" s="64">
        <v>20</v>
      </c>
      <c r="M1" s="64">
        <v>15</v>
      </c>
      <c r="N1" s="64">
        <v>20</v>
      </c>
      <c r="O1" s="27"/>
      <c r="P1" s="27"/>
      <c r="Q1" s="27"/>
      <c r="R1" s="27"/>
      <c r="S1" s="27"/>
    </row>
    <row r="2" spans="1:21" ht="25.5" customHeight="1">
      <c r="A2" s="2"/>
      <c r="B2" s="2" t="s">
        <v>5</v>
      </c>
      <c r="C2" s="64">
        <v>5797</v>
      </c>
      <c r="D2" s="64">
        <v>5753</v>
      </c>
      <c r="E2" s="64">
        <v>5618</v>
      </c>
      <c r="F2" s="64">
        <v>6137</v>
      </c>
      <c r="G2" s="64">
        <v>6325</v>
      </c>
      <c r="H2" s="64">
        <v>6547</v>
      </c>
      <c r="I2" s="64">
        <v>6897</v>
      </c>
      <c r="J2" s="64">
        <v>7003</v>
      </c>
      <c r="K2" s="64">
        <v>6941</v>
      </c>
      <c r="L2" s="64">
        <v>7207</v>
      </c>
      <c r="M2" s="64">
        <v>7661</v>
      </c>
      <c r="N2" s="64">
        <v>7193</v>
      </c>
      <c r="O2" s="27"/>
      <c r="P2" s="27"/>
      <c r="Q2" s="27"/>
      <c r="R2" s="27"/>
      <c r="S2" s="27"/>
    </row>
    <row r="3" spans="1:21" ht="25.5" hidden="1" customHeight="1">
      <c r="A3" s="2"/>
      <c r="B3" s="2"/>
      <c r="C3" s="16"/>
      <c r="D3" s="16"/>
      <c r="E3" s="16"/>
      <c r="F3" s="16"/>
      <c r="G3" s="16"/>
      <c r="H3" s="16"/>
      <c r="I3" s="16"/>
      <c r="J3" s="16"/>
      <c r="K3" s="16"/>
      <c r="L3" s="16"/>
      <c r="M3" s="16"/>
      <c r="N3" s="16"/>
      <c r="O3" s="27"/>
      <c r="Q3" s="27"/>
    </row>
    <row r="4" spans="1:21" s="29" customFormat="1" ht="66.75" customHeight="1">
      <c r="A4" s="3"/>
      <c r="B4" s="4"/>
      <c r="C4" s="31" t="s">
        <v>130</v>
      </c>
      <c r="D4" s="31" t="s">
        <v>131</v>
      </c>
      <c r="E4" s="31" t="s">
        <v>132</v>
      </c>
      <c r="F4" s="31" t="s">
        <v>133</v>
      </c>
      <c r="G4" s="31" t="s">
        <v>134</v>
      </c>
      <c r="H4" s="31" t="s">
        <v>135</v>
      </c>
      <c r="I4" s="31" t="s">
        <v>136</v>
      </c>
      <c r="J4" s="31" t="s">
        <v>137</v>
      </c>
      <c r="K4" s="31" t="s">
        <v>138</v>
      </c>
      <c r="L4" s="31" t="s">
        <v>139</v>
      </c>
      <c r="M4" s="31" t="s">
        <v>140</v>
      </c>
      <c r="N4" s="31" t="s">
        <v>141</v>
      </c>
    </row>
    <row r="5" spans="1:21" s="29" customFormat="1" ht="20.25" customHeight="1">
      <c r="A5" s="146" t="s">
        <v>6</v>
      </c>
      <c r="B5" s="5" t="s">
        <v>32</v>
      </c>
      <c r="C5" s="32">
        <v>1800000</v>
      </c>
      <c r="D5" s="32">
        <v>1800000</v>
      </c>
      <c r="E5" s="32">
        <v>1800000</v>
      </c>
      <c r="F5" s="32">
        <v>1800000</v>
      </c>
      <c r="G5" s="32">
        <v>1800000</v>
      </c>
      <c r="H5" s="32">
        <v>1800000</v>
      </c>
      <c r="I5" s="32">
        <v>1800000</v>
      </c>
      <c r="J5" s="32">
        <v>1800000</v>
      </c>
      <c r="K5" s="32">
        <v>1800000</v>
      </c>
      <c r="L5" s="32">
        <v>1800000</v>
      </c>
      <c r="M5" s="32">
        <v>1800000</v>
      </c>
      <c r="N5" s="32">
        <v>1800000</v>
      </c>
    </row>
    <row r="6" spans="1:21" s="29" customFormat="1" ht="20.25" customHeight="1">
      <c r="A6" s="147"/>
      <c r="B6" s="6" t="s">
        <v>8</v>
      </c>
      <c r="C6" s="63">
        <v>130</v>
      </c>
      <c r="D6" s="63">
        <v>125</v>
      </c>
      <c r="E6" s="63">
        <v>140</v>
      </c>
      <c r="F6" s="63">
        <v>160</v>
      </c>
      <c r="G6" s="63">
        <v>150</v>
      </c>
      <c r="H6" s="63">
        <v>140</v>
      </c>
      <c r="I6" s="63">
        <v>180</v>
      </c>
      <c r="J6" s="63">
        <v>160</v>
      </c>
      <c r="K6" s="63">
        <v>170</v>
      </c>
      <c r="L6" s="63">
        <v>170</v>
      </c>
      <c r="M6" s="63">
        <v>140</v>
      </c>
      <c r="N6" s="63">
        <v>170</v>
      </c>
    </row>
    <row r="7" spans="1:21" ht="20.25" customHeight="1">
      <c r="A7" s="147"/>
      <c r="B7" s="7" t="s">
        <v>31</v>
      </c>
      <c r="C7" s="61">
        <f>C5*C6</f>
        <v>234000000</v>
      </c>
      <c r="D7" s="61">
        <f t="shared" ref="D7:N7" si="0">D5*D6</f>
        <v>225000000</v>
      </c>
      <c r="E7" s="61">
        <f t="shared" si="0"/>
        <v>252000000</v>
      </c>
      <c r="F7" s="61">
        <f t="shared" si="0"/>
        <v>288000000</v>
      </c>
      <c r="G7" s="61">
        <f t="shared" si="0"/>
        <v>270000000</v>
      </c>
      <c r="H7" s="61">
        <f t="shared" si="0"/>
        <v>252000000</v>
      </c>
      <c r="I7" s="61">
        <f t="shared" si="0"/>
        <v>324000000</v>
      </c>
      <c r="J7" s="61">
        <f t="shared" si="0"/>
        <v>288000000</v>
      </c>
      <c r="K7" s="61">
        <f t="shared" si="0"/>
        <v>306000000</v>
      </c>
      <c r="L7" s="61">
        <f t="shared" si="0"/>
        <v>306000000</v>
      </c>
      <c r="M7" s="61">
        <f t="shared" si="0"/>
        <v>252000000</v>
      </c>
      <c r="N7" s="61">
        <f t="shared" si="0"/>
        <v>306000000</v>
      </c>
      <c r="P7" s="29"/>
      <c r="Q7" s="65"/>
      <c r="R7" s="65"/>
      <c r="S7" s="65"/>
      <c r="T7" s="65"/>
    </row>
    <row r="8" spans="1:21" ht="20.25" customHeight="1">
      <c r="A8" s="147"/>
      <c r="B8" s="8" t="s">
        <v>30</v>
      </c>
      <c r="C8" s="58">
        <f>ROUNDUP(C7/C$2,0)</f>
        <v>40366</v>
      </c>
      <c r="D8" s="58">
        <f t="shared" ref="D8:N8" si="1">ROUNDUP(D7/D$2,0)</f>
        <v>39111</v>
      </c>
      <c r="E8" s="58">
        <f t="shared" si="1"/>
        <v>44856</v>
      </c>
      <c r="F8" s="58">
        <f t="shared" si="1"/>
        <v>46929</v>
      </c>
      <c r="G8" s="58">
        <f t="shared" si="1"/>
        <v>42688</v>
      </c>
      <c r="H8" s="58">
        <f t="shared" si="1"/>
        <v>38491</v>
      </c>
      <c r="I8" s="58">
        <f t="shared" si="1"/>
        <v>46977</v>
      </c>
      <c r="J8" s="58">
        <f t="shared" si="1"/>
        <v>41126</v>
      </c>
      <c r="K8" s="58">
        <f t="shared" si="1"/>
        <v>44086</v>
      </c>
      <c r="L8" s="58">
        <f t="shared" si="1"/>
        <v>42459</v>
      </c>
      <c r="M8" s="58">
        <f t="shared" si="1"/>
        <v>32894</v>
      </c>
      <c r="N8" s="58">
        <f t="shared" si="1"/>
        <v>42542</v>
      </c>
      <c r="P8" s="29"/>
      <c r="Q8" s="66"/>
      <c r="R8" s="66"/>
      <c r="S8" s="66"/>
      <c r="T8" s="66"/>
    </row>
    <row r="9" spans="1:21" s="30" customFormat="1" ht="20.25" customHeight="1">
      <c r="A9" s="147"/>
      <c r="B9" s="10" t="s">
        <v>33</v>
      </c>
      <c r="C9" s="34">
        <f t="shared" ref="C9:N9" si="2">C8</f>
        <v>40366</v>
      </c>
      <c r="D9" s="34">
        <f t="shared" si="2"/>
        <v>39111</v>
      </c>
      <c r="E9" s="34">
        <f t="shared" si="2"/>
        <v>44856</v>
      </c>
      <c r="F9" s="34">
        <f t="shared" si="2"/>
        <v>46929</v>
      </c>
      <c r="G9" s="34">
        <f t="shared" si="2"/>
        <v>42688</v>
      </c>
      <c r="H9" s="34">
        <f t="shared" si="2"/>
        <v>38491</v>
      </c>
      <c r="I9" s="34">
        <f t="shared" si="2"/>
        <v>46977</v>
      </c>
      <c r="J9" s="34">
        <f t="shared" si="2"/>
        <v>41126</v>
      </c>
      <c r="K9" s="34">
        <f t="shared" si="2"/>
        <v>44086</v>
      </c>
      <c r="L9" s="34">
        <f t="shared" si="2"/>
        <v>42459</v>
      </c>
      <c r="M9" s="34">
        <f t="shared" si="2"/>
        <v>32894</v>
      </c>
      <c r="N9" s="34">
        <f t="shared" si="2"/>
        <v>42542</v>
      </c>
      <c r="P9" s="29"/>
      <c r="Q9" s="66"/>
      <c r="R9" s="66"/>
      <c r="S9" s="66"/>
      <c r="T9" s="66"/>
    </row>
    <row r="10" spans="1:21" s="29" customFormat="1" ht="20.25" customHeight="1">
      <c r="A10" s="146" t="s">
        <v>9</v>
      </c>
      <c r="B10" s="5" t="s">
        <v>7</v>
      </c>
      <c r="C10" s="57">
        <v>325000</v>
      </c>
      <c r="D10" s="57">
        <v>325000</v>
      </c>
      <c r="E10" s="57">
        <v>325000</v>
      </c>
      <c r="F10" s="57">
        <v>325000</v>
      </c>
      <c r="G10" s="57">
        <v>325000</v>
      </c>
      <c r="H10" s="57">
        <v>325000</v>
      </c>
      <c r="I10" s="57">
        <v>325000</v>
      </c>
      <c r="J10" s="57">
        <v>325000</v>
      </c>
      <c r="K10" s="57">
        <v>325000</v>
      </c>
      <c r="L10" s="57">
        <v>325000</v>
      </c>
      <c r="M10" s="57">
        <v>325000</v>
      </c>
      <c r="N10" s="57">
        <v>325000</v>
      </c>
      <c r="Q10" s="65"/>
      <c r="R10" s="65"/>
      <c r="S10" s="65"/>
      <c r="T10" s="65"/>
    </row>
    <row r="11" spans="1:21" s="29" customFormat="1" ht="20.25" customHeight="1">
      <c r="A11" s="147"/>
      <c r="B11" s="6" t="s">
        <v>8</v>
      </c>
      <c r="C11" s="17">
        <v>20</v>
      </c>
      <c r="D11" s="17">
        <v>20</v>
      </c>
      <c r="E11" s="17">
        <v>20</v>
      </c>
      <c r="F11" s="17">
        <v>21</v>
      </c>
      <c r="G11" s="17">
        <v>21</v>
      </c>
      <c r="H11" s="17">
        <v>22</v>
      </c>
      <c r="I11" s="17">
        <v>24</v>
      </c>
      <c r="J11" s="17">
        <v>24</v>
      </c>
      <c r="K11" s="17">
        <v>24</v>
      </c>
      <c r="L11" s="17">
        <v>25</v>
      </c>
      <c r="M11" s="17">
        <v>27</v>
      </c>
      <c r="N11" s="17">
        <v>24</v>
      </c>
      <c r="Q11" s="66"/>
      <c r="R11" s="66"/>
      <c r="S11" s="66"/>
      <c r="T11" s="66"/>
    </row>
    <row r="12" spans="1:21" ht="20.25" customHeight="1">
      <c r="A12" s="147"/>
      <c r="B12" s="11" t="s">
        <v>10</v>
      </c>
      <c r="C12" s="33">
        <f t="shared" ref="C12:N12" si="3">C10*C11</f>
        <v>6500000</v>
      </c>
      <c r="D12" s="33">
        <f t="shared" si="3"/>
        <v>6500000</v>
      </c>
      <c r="E12" s="33">
        <f t="shared" si="3"/>
        <v>6500000</v>
      </c>
      <c r="F12" s="33">
        <f t="shared" si="3"/>
        <v>6825000</v>
      </c>
      <c r="G12" s="33">
        <f t="shared" si="3"/>
        <v>6825000</v>
      </c>
      <c r="H12" s="33">
        <f t="shared" si="3"/>
        <v>7150000</v>
      </c>
      <c r="I12" s="33">
        <f t="shared" si="3"/>
        <v>7800000</v>
      </c>
      <c r="J12" s="33">
        <f t="shared" si="3"/>
        <v>7800000</v>
      </c>
      <c r="K12" s="33">
        <f t="shared" si="3"/>
        <v>7800000</v>
      </c>
      <c r="L12" s="33">
        <f t="shared" si="3"/>
        <v>8125000</v>
      </c>
      <c r="M12" s="33">
        <f t="shared" si="3"/>
        <v>8775000</v>
      </c>
      <c r="N12" s="33">
        <f t="shared" si="3"/>
        <v>7800000</v>
      </c>
      <c r="P12" s="29"/>
      <c r="Q12" s="66"/>
      <c r="R12" s="66"/>
      <c r="S12" s="66"/>
      <c r="T12" s="66"/>
      <c r="U12" s="66"/>
    </row>
    <row r="13" spans="1:21" ht="20.25" customHeight="1">
      <c r="A13" s="147"/>
      <c r="B13" s="8" t="s">
        <v>12</v>
      </c>
      <c r="C13" s="59">
        <f t="shared" ref="C13:N13" si="4">ROUNDUP(C12/C$2,0)</f>
        <v>1122</v>
      </c>
      <c r="D13" s="59">
        <f t="shared" si="4"/>
        <v>1130</v>
      </c>
      <c r="E13" s="59">
        <f t="shared" si="4"/>
        <v>1157</v>
      </c>
      <c r="F13" s="59">
        <f t="shared" si="4"/>
        <v>1113</v>
      </c>
      <c r="G13" s="59">
        <f t="shared" si="4"/>
        <v>1080</v>
      </c>
      <c r="H13" s="59">
        <f t="shared" si="4"/>
        <v>1093</v>
      </c>
      <c r="I13" s="59">
        <f t="shared" si="4"/>
        <v>1131</v>
      </c>
      <c r="J13" s="59">
        <f t="shared" si="4"/>
        <v>1114</v>
      </c>
      <c r="K13" s="59">
        <f t="shared" si="4"/>
        <v>1124</v>
      </c>
      <c r="L13" s="59">
        <f t="shared" si="4"/>
        <v>1128</v>
      </c>
      <c r="M13" s="59">
        <f t="shared" si="4"/>
        <v>1146</v>
      </c>
      <c r="N13" s="59">
        <f t="shared" si="4"/>
        <v>1085</v>
      </c>
      <c r="P13" s="29"/>
    </row>
    <row r="14" spans="1:21" s="30" customFormat="1" ht="20.25" customHeight="1">
      <c r="A14" s="148"/>
      <c r="B14" s="10" t="s">
        <v>33</v>
      </c>
      <c r="C14" s="36">
        <f>C13</f>
        <v>1122</v>
      </c>
      <c r="D14" s="36">
        <f t="shared" ref="D14" si="5">D13</f>
        <v>1130</v>
      </c>
      <c r="E14" s="36">
        <f t="shared" ref="E14:F14" si="6">E13</f>
        <v>1157</v>
      </c>
      <c r="F14" s="36">
        <f t="shared" si="6"/>
        <v>1113</v>
      </c>
      <c r="G14" s="36">
        <f>G13</f>
        <v>1080</v>
      </c>
      <c r="H14" s="36">
        <f t="shared" ref="H14:J14" si="7">H13</f>
        <v>1093</v>
      </c>
      <c r="I14" s="36">
        <f t="shared" si="7"/>
        <v>1131</v>
      </c>
      <c r="J14" s="36">
        <f t="shared" si="7"/>
        <v>1114</v>
      </c>
      <c r="K14" s="36">
        <f>K13</f>
        <v>1124</v>
      </c>
      <c r="L14" s="36">
        <f t="shared" ref="L14:N14" si="8">L13</f>
        <v>1128</v>
      </c>
      <c r="M14" s="36">
        <f t="shared" si="8"/>
        <v>1146</v>
      </c>
      <c r="N14" s="36">
        <f t="shared" si="8"/>
        <v>1085</v>
      </c>
      <c r="P14" s="29"/>
      <c r="Q14" s="66"/>
      <c r="R14" s="66"/>
      <c r="S14" s="66"/>
      <c r="T14" s="66"/>
    </row>
    <row r="15" spans="1:21" s="30" customFormat="1" ht="20.25" hidden="1" customHeight="1">
      <c r="A15" s="146" t="s">
        <v>25</v>
      </c>
      <c r="B15" s="14" t="s">
        <v>11</v>
      </c>
      <c r="C15" s="26"/>
      <c r="D15" s="26"/>
      <c r="E15" s="26"/>
      <c r="F15" s="26"/>
      <c r="G15" s="26"/>
      <c r="H15" s="26"/>
      <c r="I15" s="26"/>
      <c r="J15" s="26"/>
      <c r="K15" s="26"/>
      <c r="L15" s="26"/>
      <c r="M15" s="26"/>
      <c r="N15" s="26"/>
      <c r="P15" s="29"/>
    </row>
    <row r="16" spans="1:21" s="30" customFormat="1" ht="20.25" hidden="1" customHeight="1">
      <c r="A16" s="147"/>
      <c r="B16" s="8" t="s">
        <v>12</v>
      </c>
      <c r="C16" s="35">
        <f>ROUNDUP(C15/C$2,0)</f>
        <v>0</v>
      </c>
      <c r="D16" s="35">
        <f t="shared" ref="D16:E16" si="9">ROUNDUP(D15/D$2,0)</f>
        <v>0</v>
      </c>
      <c r="E16" s="35">
        <f t="shared" si="9"/>
        <v>0</v>
      </c>
      <c r="F16" s="35">
        <f t="shared" ref="F16" si="10">ROUNDUP(F15/F$2,0)</f>
        <v>0</v>
      </c>
      <c r="G16" s="35">
        <f>ROUNDUP(G15/G$2,0)</f>
        <v>0</v>
      </c>
      <c r="H16" s="35">
        <f t="shared" ref="H16:J16" si="11">ROUNDUP(H15/H$2,0)</f>
        <v>0</v>
      </c>
      <c r="I16" s="35">
        <f t="shared" si="11"/>
        <v>0</v>
      </c>
      <c r="J16" s="35">
        <f t="shared" si="11"/>
        <v>0</v>
      </c>
      <c r="K16" s="35">
        <f>ROUNDUP(K15/K$2,0)</f>
        <v>0</v>
      </c>
      <c r="L16" s="35">
        <f t="shared" ref="L16:N16" si="12">ROUNDUP(L15/L$2,0)</f>
        <v>0</v>
      </c>
      <c r="M16" s="35">
        <f t="shared" si="12"/>
        <v>0</v>
      </c>
      <c r="N16" s="35">
        <f t="shared" si="12"/>
        <v>0</v>
      </c>
      <c r="P16" s="29"/>
    </row>
    <row r="17" spans="1:16" s="30" customFormat="1" ht="20.25" hidden="1" customHeight="1">
      <c r="A17" s="148"/>
      <c r="B17" s="15" t="s">
        <v>33</v>
      </c>
      <c r="C17" s="36">
        <f>C16</f>
        <v>0</v>
      </c>
      <c r="D17" s="36">
        <f t="shared" ref="D17:E17" si="13">D16</f>
        <v>0</v>
      </c>
      <c r="E17" s="36">
        <f t="shared" si="13"/>
        <v>0</v>
      </c>
      <c r="F17" s="36">
        <f t="shared" ref="F17" si="14">F16</f>
        <v>0</v>
      </c>
      <c r="G17" s="36">
        <f>G16</f>
        <v>0</v>
      </c>
      <c r="H17" s="36">
        <f t="shared" ref="H17:J17" si="15">H16</f>
        <v>0</v>
      </c>
      <c r="I17" s="36">
        <f t="shared" si="15"/>
        <v>0</v>
      </c>
      <c r="J17" s="36">
        <f t="shared" si="15"/>
        <v>0</v>
      </c>
      <c r="K17" s="36">
        <f>K16</f>
        <v>0</v>
      </c>
      <c r="L17" s="36">
        <f t="shared" ref="L17:N17" si="16">L16</f>
        <v>0</v>
      </c>
      <c r="M17" s="36">
        <f t="shared" si="16"/>
        <v>0</v>
      </c>
      <c r="N17" s="36">
        <f t="shared" si="16"/>
        <v>0</v>
      </c>
      <c r="P17" s="29"/>
    </row>
    <row r="18" spans="1:16" s="30" customFormat="1" ht="20.25" customHeight="1">
      <c r="A18" s="147" t="s">
        <v>20</v>
      </c>
      <c r="B18" s="14" t="s">
        <v>11</v>
      </c>
      <c r="C18" s="61">
        <f>(178*30000*C1)</f>
        <v>106800000</v>
      </c>
      <c r="D18" s="61">
        <f>(179*30000*D1)</f>
        <v>102030000</v>
      </c>
      <c r="E18" s="61">
        <f>(173*30000*E1)</f>
        <v>108990000</v>
      </c>
      <c r="F18" s="61">
        <f>(188*30000*F1)</f>
        <v>129720000</v>
      </c>
      <c r="G18" s="61">
        <f>(194*30000*G1)</f>
        <v>116400000</v>
      </c>
      <c r="H18" s="61">
        <f>(201*30000*H1)</f>
        <v>114570000</v>
      </c>
      <c r="I18" s="61">
        <f>(211*30000*I1)</f>
        <v>145590000</v>
      </c>
      <c r="J18" s="61">
        <f>(215*30000*J1)</f>
        <v>129000000</v>
      </c>
      <c r="K18" s="61">
        <f>(213*30000*K1)</f>
        <v>140580000</v>
      </c>
      <c r="L18" s="61">
        <f>(221*30000*L1)</f>
        <v>132600000</v>
      </c>
      <c r="M18" s="61">
        <f>(236*30000*M1)</f>
        <v>106200000</v>
      </c>
      <c r="N18" s="61">
        <f>(221*30000*N1)</f>
        <v>132600000</v>
      </c>
    </row>
    <row r="19" spans="1:16" ht="20.25" customHeight="1">
      <c r="A19" s="147"/>
      <c r="B19" s="8" t="s">
        <v>12</v>
      </c>
      <c r="C19" s="59">
        <f t="shared" ref="C19:N19" si="17">ROUNDUP(C18/C$2,0)</f>
        <v>18424</v>
      </c>
      <c r="D19" s="59">
        <f t="shared" si="17"/>
        <v>17736</v>
      </c>
      <c r="E19" s="59">
        <f t="shared" si="17"/>
        <v>19401</v>
      </c>
      <c r="F19" s="59">
        <f t="shared" si="17"/>
        <v>21138</v>
      </c>
      <c r="G19" s="59">
        <f t="shared" si="17"/>
        <v>18404</v>
      </c>
      <c r="H19" s="59">
        <f t="shared" si="17"/>
        <v>17500</v>
      </c>
      <c r="I19" s="59">
        <f t="shared" si="17"/>
        <v>21110</v>
      </c>
      <c r="J19" s="59">
        <f t="shared" si="17"/>
        <v>18421</v>
      </c>
      <c r="K19" s="59">
        <f t="shared" si="17"/>
        <v>20254</v>
      </c>
      <c r="L19" s="59">
        <f t="shared" si="17"/>
        <v>18399</v>
      </c>
      <c r="M19" s="59">
        <f t="shared" si="17"/>
        <v>13863</v>
      </c>
      <c r="N19" s="59">
        <f t="shared" si="17"/>
        <v>18435</v>
      </c>
    </row>
    <row r="20" spans="1:16" s="30" customFormat="1" ht="20.25" customHeight="1">
      <c r="A20" s="147"/>
      <c r="B20" s="10" t="s">
        <v>33</v>
      </c>
      <c r="C20" s="36">
        <f>C19</f>
        <v>18424</v>
      </c>
      <c r="D20" s="36">
        <f t="shared" ref="D20:E20" si="18">D19</f>
        <v>17736</v>
      </c>
      <c r="E20" s="36">
        <f t="shared" si="18"/>
        <v>19401</v>
      </c>
      <c r="F20" s="36">
        <f t="shared" ref="F20" si="19">F19</f>
        <v>21138</v>
      </c>
      <c r="G20" s="36">
        <f>G19</f>
        <v>18404</v>
      </c>
      <c r="H20" s="36">
        <f t="shared" ref="H20:J20" si="20">H19</f>
        <v>17500</v>
      </c>
      <c r="I20" s="36">
        <f t="shared" si="20"/>
        <v>21110</v>
      </c>
      <c r="J20" s="36">
        <f t="shared" si="20"/>
        <v>18421</v>
      </c>
      <c r="K20" s="36">
        <f>K19</f>
        <v>20254</v>
      </c>
      <c r="L20" s="36">
        <f t="shared" ref="L20:N20" si="21">L19</f>
        <v>18399</v>
      </c>
      <c r="M20" s="36">
        <f t="shared" si="21"/>
        <v>13863</v>
      </c>
      <c r="N20" s="36">
        <f t="shared" si="21"/>
        <v>18435</v>
      </c>
    </row>
    <row r="21" spans="1:16" ht="20.25" customHeight="1">
      <c r="A21" s="146" t="s">
        <v>13</v>
      </c>
      <c r="B21" s="5" t="s">
        <v>14</v>
      </c>
      <c r="C21" s="61">
        <f>(39*7690000)+(951*27500)</f>
        <v>326062500</v>
      </c>
      <c r="D21" s="61">
        <f>(39*7690000)+(906*27500)</f>
        <v>324825000</v>
      </c>
      <c r="E21" s="61">
        <f>(39*7690000)+(984*27500)</f>
        <v>326970000</v>
      </c>
      <c r="F21" s="61">
        <f>(39*7690000)+(990*27500)</f>
        <v>327135000</v>
      </c>
      <c r="G21" s="61">
        <f>(39*7690000)+(1029*27500)</f>
        <v>328207500</v>
      </c>
      <c r="H21" s="61">
        <f>(39*7690000)+(900*27500)</f>
        <v>324660000</v>
      </c>
      <c r="I21" s="61">
        <f>(39*7690000)+(990*27500)</f>
        <v>327135000</v>
      </c>
      <c r="J21" s="61">
        <f>(39*7690000)+(1023*27500)</f>
        <v>328042500</v>
      </c>
      <c r="K21" s="61">
        <f>(39*7690000)+(951*27500)</f>
        <v>326062500</v>
      </c>
      <c r="L21" s="61">
        <f>(39*7690000)+(879*27500)</f>
        <v>324082500</v>
      </c>
      <c r="M21" s="61">
        <f>(39*7690000)+(951*27500)</f>
        <v>326062500</v>
      </c>
      <c r="N21" s="61">
        <f>(39*7690000)+(744*27500)</f>
        <v>320370000</v>
      </c>
    </row>
    <row r="22" spans="1:16" ht="20.25" customHeight="1">
      <c r="A22" s="147"/>
      <c r="B22" s="8" t="s">
        <v>12</v>
      </c>
      <c r="C22" s="59">
        <f t="shared" ref="C22:N22" si="22">ROUNDUP(C21/C$2,0)</f>
        <v>56247</v>
      </c>
      <c r="D22" s="59">
        <f t="shared" si="22"/>
        <v>56462</v>
      </c>
      <c r="E22" s="59">
        <f t="shared" si="22"/>
        <v>58201</v>
      </c>
      <c r="F22" s="59">
        <f t="shared" si="22"/>
        <v>53306</v>
      </c>
      <c r="G22" s="59">
        <f t="shared" si="22"/>
        <v>51891</v>
      </c>
      <c r="H22" s="59">
        <f t="shared" si="22"/>
        <v>49590</v>
      </c>
      <c r="I22" s="59">
        <f t="shared" si="22"/>
        <v>47432</v>
      </c>
      <c r="J22" s="59">
        <f t="shared" si="22"/>
        <v>46844</v>
      </c>
      <c r="K22" s="59">
        <f t="shared" si="22"/>
        <v>46977</v>
      </c>
      <c r="L22" s="59">
        <f t="shared" si="22"/>
        <v>44968</v>
      </c>
      <c r="M22" s="59">
        <f t="shared" si="22"/>
        <v>42562</v>
      </c>
      <c r="N22" s="59">
        <f t="shared" si="22"/>
        <v>44540</v>
      </c>
    </row>
    <row r="23" spans="1:16" s="30" customFormat="1" ht="20.25" customHeight="1">
      <c r="A23" s="147"/>
      <c r="B23" s="10" t="s">
        <v>33</v>
      </c>
      <c r="C23" s="36">
        <f>C22</f>
        <v>56247</v>
      </c>
      <c r="D23" s="36">
        <f t="shared" ref="D23" si="23">D22</f>
        <v>56462</v>
      </c>
      <c r="E23" s="36">
        <f t="shared" ref="E23:F23" si="24">E22</f>
        <v>58201</v>
      </c>
      <c r="F23" s="36">
        <f t="shared" si="24"/>
        <v>53306</v>
      </c>
      <c r="G23" s="36">
        <f>G22</f>
        <v>51891</v>
      </c>
      <c r="H23" s="36">
        <f t="shared" ref="H23:J23" si="25">H22</f>
        <v>49590</v>
      </c>
      <c r="I23" s="36">
        <f t="shared" si="25"/>
        <v>47432</v>
      </c>
      <c r="J23" s="36">
        <f t="shared" si="25"/>
        <v>46844</v>
      </c>
      <c r="K23" s="36">
        <f>K22</f>
        <v>46977</v>
      </c>
      <c r="L23" s="36">
        <f t="shared" ref="L23:N23" si="26">L22</f>
        <v>44968</v>
      </c>
      <c r="M23" s="36">
        <f t="shared" si="26"/>
        <v>42562</v>
      </c>
      <c r="N23" s="36">
        <f t="shared" si="26"/>
        <v>44540</v>
      </c>
    </row>
    <row r="24" spans="1:16" ht="20.25" customHeight="1">
      <c r="A24" s="143" t="s">
        <v>44</v>
      </c>
      <c r="B24" s="12" t="s">
        <v>17</v>
      </c>
      <c r="C24" s="35">
        <v>35600000</v>
      </c>
      <c r="D24" s="35">
        <v>35600000</v>
      </c>
      <c r="E24" s="35">
        <v>34500000</v>
      </c>
      <c r="F24" s="35">
        <v>34500000</v>
      </c>
      <c r="G24" s="35">
        <v>37800000</v>
      </c>
      <c r="H24" s="35">
        <v>35600000</v>
      </c>
      <c r="I24" s="35">
        <v>35600000</v>
      </c>
      <c r="J24" s="35">
        <v>37800000</v>
      </c>
      <c r="K24" s="35">
        <v>35600000</v>
      </c>
      <c r="L24" s="35">
        <v>35600000</v>
      </c>
      <c r="M24" s="35">
        <v>35600000</v>
      </c>
      <c r="N24" s="35">
        <v>21600000</v>
      </c>
    </row>
    <row r="25" spans="1:16" ht="20.25" customHeight="1">
      <c r="A25" s="144"/>
      <c r="B25" s="6" t="s">
        <v>15</v>
      </c>
      <c r="C25" s="37">
        <v>1800000</v>
      </c>
      <c r="D25" s="37">
        <v>1800000</v>
      </c>
      <c r="E25" s="37">
        <v>1800000</v>
      </c>
      <c r="F25" s="37">
        <v>1800000</v>
      </c>
      <c r="G25" s="37">
        <v>1800000</v>
      </c>
      <c r="H25" s="37">
        <v>1800000</v>
      </c>
      <c r="I25" s="37">
        <v>1800000</v>
      </c>
      <c r="J25" s="37">
        <v>1800000</v>
      </c>
      <c r="K25" s="37">
        <v>1800000</v>
      </c>
      <c r="L25" s="37">
        <v>1800000</v>
      </c>
      <c r="M25" s="37">
        <v>1800000</v>
      </c>
      <c r="N25" s="37">
        <v>1800000</v>
      </c>
    </row>
    <row r="26" spans="1:16" ht="20.100000000000001" customHeight="1">
      <c r="A26" s="144"/>
      <c r="B26" s="6" t="s">
        <v>24</v>
      </c>
      <c r="C26" s="35"/>
      <c r="D26" s="35"/>
      <c r="E26" s="35"/>
      <c r="F26" s="35"/>
      <c r="G26" s="35"/>
      <c r="H26" s="35"/>
      <c r="I26" s="35"/>
      <c r="J26" s="35"/>
      <c r="K26" s="35"/>
      <c r="L26" s="35"/>
      <c r="M26" s="35"/>
      <c r="N26" s="35"/>
    </row>
    <row r="27" spans="1:16" ht="20.25" customHeight="1">
      <c r="A27" s="144"/>
      <c r="B27" s="6" t="s">
        <v>14</v>
      </c>
      <c r="C27" s="38">
        <f t="shared" ref="C27:N27" si="27">SUM(C24:C26)</f>
        <v>37400000</v>
      </c>
      <c r="D27" s="38">
        <f t="shared" si="27"/>
        <v>37400000</v>
      </c>
      <c r="E27" s="38">
        <f t="shared" si="27"/>
        <v>36300000</v>
      </c>
      <c r="F27" s="38">
        <f t="shared" si="27"/>
        <v>36300000</v>
      </c>
      <c r="G27" s="38">
        <f t="shared" si="27"/>
        <v>39600000</v>
      </c>
      <c r="H27" s="38">
        <f t="shared" si="27"/>
        <v>37400000</v>
      </c>
      <c r="I27" s="38">
        <f t="shared" si="27"/>
        <v>37400000</v>
      </c>
      <c r="J27" s="38">
        <f t="shared" si="27"/>
        <v>39600000</v>
      </c>
      <c r="K27" s="38">
        <f t="shared" si="27"/>
        <v>37400000</v>
      </c>
      <c r="L27" s="38">
        <f t="shared" si="27"/>
        <v>37400000</v>
      </c>
      <c r="M27" s="38">
        <f t="shared" si="27"/>
        <v>37400000</v>
      </c>
      <c r="N27" s="38">
        <f t="shared" si="27"/>
        <v>23400000</v>
      </c>
    </row>
    <row r="28" spans="1:16" s="27" customFormat="1" ht="20.25" customHeight="1">
      <c r="A28" s="144"/>
      <c r="B28" s="9" t="s">
        <v>16</v>
      </c>
      <c r="C28" s="22">
        <v>50</v>
      </c>
      <c r="D28" s="22">
        <v>49</v>
      </c>
      <c r="E28" s="22">
        <v>49</v>
      </c>
      <c r="F28" s="22">
        <v>49</v>
      </c>
      <c r="G28" s="22">
        <v>49</v>
      </c>
      <c r="H28" s="22">
        <v>49</v>
      </c>
      <c r="I28" s="22">
        <v>49</v>
      </c>
      <c r="J28" s="22">
        <v>49</v>
      </c>
      <c r="K28" s="22">
        <v>49</v>
      </c>
      <c r="L28" s="22">
        <v>49</v>
      </c>
      <c r="M28" s="22">
        <v>49</v>
      </c>
      <c r="N28" s="22">
        <v>49</v>
      </c>
    </row>
    <row r="29" spans="1:16" ht="20.25" customHeight="1">
      <c r="A29" s="144"/>
      <c r="B29" s="8" t="s">
        <v>12</v>
      </c>
      <c r="C29" s="59">
        <f t="shared" ref="C29:N29" si="28">ROUNDUP(C27/C28,0)</f>
        <v>748000</v>
      </c>
      <c r="D29" s="59">
        <f t="shared" si="28"/>
        <v>763266</v>
      </c>
      <c r="E29" s="59">
        <f t="shared" si="28"/>
        <v>740817</v>
      </c>
      <c r="F29" s="59">
        <f t="shared" si="28"/>
        <v>740817</v>
      </c>
      <c r="G29" s="59">
        <f t="shared" si="28"/>
        <v>808164</v>
      </c>
      <c r="H29" s="59">
        <f t="shared" si="28"/>
        <v>763266</v>
      </c>
      <c r="I29" s="59">
        <f t="shared" si="28"/>
        <v>763266</v>
      </c>
      <c r="J29" s="59">
        <f t="shared" si="28"/>
        <v>808164</v>
      </c>
      <c r="K29" s="59">
        <f t="shared" si="28"/>
        <v>763266</v>
      </c>
      <c r="L29" s="59">
        <f t="shared" si="28"/>
        <v>763266</v>
      </c>
      <c r="M29" s="59">
        <f t="shared" si="28"/>
        <v>763266</v>
      </c>
      <c r="N29" s="59">
        <f t="shared" si="28"/>
        <v>477552</v>
      </c>
    </row>
    <row r="30" spans="1:16" s="30" customFormat="1" ht="20.25" customHeight="1">
      <c r="A30" s="144"/>
      <c r="B30" s="13" t="s">
        <v>33</v>
      </c>
      <c r="C30" s="36">
        <f>C29</f>
        <v>748000</v>
      </c>
      <c r="D30" s="36">
        <f t="shared" ref="D30:E30" si="29">D29</f>
        <v>763266</v>
      </c>
      <c r="E30" s="36">
        <f t="shared" si="29"/>
        <v>740817</v>
      </c>
      <c r="F30" s="36">
        <f t="shared" ref="F30" si="30">F29</f>
        <v>740817</v>
      </c>
      <c r="G30" s="36">
        <f>G29</f>
        <v>808164</v>
      </c>
      <c r="H30" s="36">
        <f t="shared" ref="H30:J30" si="31">H29</f>
        <v>763266</v>
      </c>
      <c r="I30" s="36">
        <f t="shared" si="31"/>
        <v>763266</v>
      </c>
      <c r="J30" s="36">
        <f t="shared" si="31"/>
        <v>808164</v>
      </c>
      <c r="K30" s="36">
        <f>K29</f>
        <v>763266</v>
      </c>
      <c r="L30" s="36">
        <f t="shared" ref="L30:N30" si="32">L29</f>
        <v>763266</v>
      </c>
      <c r="M30" s="36">
        <f t="shared" si="32"/>
        <v>763266</v>
      </c>
      <c r="N30" s="36">
        <f t="shared" si="32"/>
        <v>477552</v>
      </c>
    </row>
    <row r="31" spans="1:16" ht="20.25" customHeight="1">
      <c r="A31" s="142" t="s">
        <v>21</v>
      </c>
      <c r="B31" s="12" t="s">
        <v>142</v>
      </c>
      <c r="C31" s="19">
        <v>162192000</v>
      </c>
      <c r="D31" s="19">
        <v>184224000</v>
      </c>
      <c r="E31" s="19">
        <v>162192000</v>
      </c>
      <c r="F31" s="19">
        <v>184224000</v>
      </c>
      <c r="G31" s="19">
        <v>216568000</v>
      </c>
      <c r="H31" s="19">
        <v>223912000</v>
      </c>
      <c r="I31" s="19">
        <v>184848000</v>
      </c>
      <c r="J31" s="19">
        <v>221568000</v>
      </c>
      <c r="K31" s="19">
        <v>221568000</v>
      </c>
      <c r="L31" s="19">
        <v>224224000</v>
      </c>
      <c r="M31" s="19">
        <v>216880000</v>
      </c>
      <c r="N31" s="19">
        <v>201880000</v>
      </c>
    </row>
    <row r="32" spans="1:16" ht="20.25" customHeight="1">
      <c r="A32" s="143"/>
      <c r="B32" s="14" t="s">
        <v>17</v>
      </c>
      <c r="C32" s="60">
        <v>862397920</v>
      </c>
      <c r="D32" s="60">
        <v>989464240</v>
      </c>
      <c r="E32" s="60">
        <v>862397920</v>
      </c>
      <c r="F32" s="60">
        <v>989464240</v>
      </c>
      <c r="G32" s="60">
        <v>1081819680</v>
      </c>
      <c r="H32" s="60">
        <v>1124175120</v>
      </c>
      <c r="I32" s="60">
        <v>880042480</v>
      </c>
      <c r="J32" s="60">
        <v>1091819680</v>
      </c>
      <c r="K32" s="60">
        <v>1091819680</v>
      </c>
      <c r="L32" s="60">
        <v>1059464240</v>
      </c>
      <c r="M32" s="60">
        <v>1027108800</v>
      </c>
      <c r="N32" s="60">
        <v>1002108800</v>
      </c>
    </row>
    <row r="33" spans="1:14" ht="20.25" customHeight="1">
      <c r="A33" s="143"/>
      <c r="B33" s="14" t="s">
        <v>46</v>
      </c>
      <c r="C33" s="20">
        <v>550790080</v>
      </c>
      <c r="D33" s="60">
        <v>630921760</v>
      </c>
      <c r="E33" s="60">
        <v>550790080</v>
      </c>
      <c r="F33" s="60">
        <v>630921760</v>
      </c>
      <c r="G33" s="20">
        <v>687632320</v>
      </c>
      <c r="H33" s="60">
        <v>714342880</v>
      </c>
      <c r="I33" s="60">
        <v>564079520</v>
      </c>
      <c r="J33" s="60">
        <v>697632320</v>
      </c>
      <c r="K33" s="20">
        <v>697632320</v>
      </c>
      <c r="L33" s="60">
        <v>680921760</v>
      </c>
      <c r="M33" s="60">
        <v>654211200</v>
      </c>
      <c r="N33" s="60">
        <v>639211200</v>
      </c>
    </row>
    <row r="34" spans="1:14" ht="20.25" customHeight="1">
      <c r="A34" s="144"/>
      <c r="B34" s="6" t="s">
        <v>15</v>
      </c>
      <c r="C34" s="20"/>
      <c r="D34" s="20"/>
      <c r="E34" s="20"/>
      <c r="F34" s="20"/>
      <c r="G34" s="20"/>
      <c r="H34" s="20"/>
      <c r="I34" s="20"/>
      <c r="J34" s="20"/>
      <c r="K34" s="20"/>
      <c r="L34" s="20"/>
      <c r="M34" s="20"/>
      <c r="N34" s="20"/>
    </row>
    <row r="35" spans="1:14" ht="20.25" customHeight="1">
      <c r="A35" s="144"/>
      <c r="B35" s="6" t="s">
        <v>24</v>
      </c>
      <c r="C35" s="20"/>
      <c r="D35" s="20"/>
      <c r="E35" s="20"/>
      <c r="F35" s="20"/>
      <c r="G35" s="20"/>
      <c r="H35" s="20"/>
      <c r="I35" s="20"/>
      <c r="J35" s="20"/>
      <c r="K35" s="20"/>
      <c r="L35" s="20"/>
      <c r="M35" s="20"/>
      <c r="N35" s="20"/>
    </row>
    <row r="36" spans="1:14" ht="20.25" customHeight="1">
      <c r="A36" s="144"/>
      <c r="B36" s="6" t="s">
        <v>14</v>
      </c>
      <c r="C36" s="38">
        <f t="shared" ref="C36:N36" si="33">SUM(C31:C35)</f>
        <v>1575380000</v>
      </c>
      <c r="D36" s="38">
        <f t="shared" si="33"/>
        <v>1804610000</v>
      </c>
      <c r="E36" s="38">
        <f t="shared" si="33"/>
        <v>1575380000</v>
      </c>
      <c r="F36" s="38">
        <f t="shared" si="33"/>
        <v>1804610000</v>
      </c>
      <c r="G36" s="38">
        <f t="shared" si="33"/>
        <v>1986020000</v>
      </c>
      <c r="H36" s="38">
        <f t="shared" si="33"/>
        <v>2062430000</v>
      </c>
      <c r="I36" s="38">
        <f t="shared" si="33"/>
        <v>1628970000</v>
      </c>
      <c r="J36" s="38">
        <f t="shared" si="33"/>
        <v>2011020000</v>
      </c>
      <c r="K36" s="38">
        <f t="shared" si="33"/>
        <v>2011020000</v>
      </c>
      <c r="L36" s="38">
        <f t="shared" si="33"/>
        <v>1964610000</v>
      </c>
      <c r="M36" s="38">
        <f t="shared" si="33"/>
        <v>1898200000</v>
      </c>
      <c r="N36" s="38">
        <f t="shared" si="33"/>
        <v>1843200000</v>
      </c>
    </row>
    <row r="37" spans="1:14" s="27" customFormat="1" ht="20.25" customHeight="1">
      <c r="A37" s="144"/>
      <c r="B37" s="9" t="s">
        <v>16</v>
      </c>
      <c r="C37" s="18">
        <v>1146</v>
      </c>
      <c r="D37" s="18">
        <v>1137.3017077798861</v>
      </c>
      <c r="E37" s="18">
        <v>1110.6137657409006</v>
      </c>
      <c r="F37" s="18">
        <v>1213.2140762463343</v>
      </c>
      <c r="G37" s="18">
        <v>1250.3795066413663</v>
      </c>
      <c r="H37" s="18">
        <v>1294.2663446610316</v>
      </c>
      <c r="I37" s="18">
        <v>1363.4573055028463</v>
      </c>
      <c r="J37" s="18">
        <v>1384.4122822149388</v>
      </c>
      <c r="K37" s="18">
        <v>1372.1555977229602</v>
      </c>
      <c r="L37" s="18">
        <v>1424.7407279627394</v>
      </c>
      <c r="M37" s="18">
        <v>1514.4912885975505</v>
      </c>
      <c r="N37" s="18">
        <v>1421.9730895290668</v>
      </c>
    </row>
    <row r="38" spans="1:14" ht="20.25" customHeight="1">
      <c r="A38" s="144"/>
      <c r="B38" s="8" t="s">
        <v>12</v>
      </c>
      <c r="C38" s="59">
        <f t="shared" ref="C38:N38" si="34">ROUNDUP(C36/C37,0)</f>
        <v>1374678</v>
      </c>
      <c r="D38" s="59">
        <f t="shared" si="34"/>
        <v>1586747</v>
      </c>
      <c r="E38" s="59">
        <f t="shared" si="34"/>
        <v>1418477</v>
      </c>
      <c r="F38" s="59">
        <f t="shared" si="34"/>
        <v>1487463</v>
      </c>
      <c r="G38" s="59">
        <f t="shared" si="34"/>
        <v>1588334</v>
      </c>
      <c r="H38" s="59">
        <f t="shared" si="34"/>
        <v>1593513</v>
      </c>
      <c r="I38" s="59">
        <f t="shared" si="34"/>
        <v>1194735</v>
      </c>
      <c r="J38" s="59">
        <f t="shared" si="34"/>
        <v>1452617</v>
      </c>
      <c r="K38" s="59">
        <f t="shared" si="34"/>
        <v>1465592</v>
      </c>
      <c r="L38" s="59">
        <f t="shared" si="34"/>
        <v>1378925</v>
      </c>
      <c r="M38" s="59">
        <f t="shared" si="34"/>
        <v>1253359</v>
      </c>
      <c r="N38" s="59">
        <f t="shared" si="34"/>
        <v>1296228</v>
      </c>
    </row>
    <row r="39" spans="1:14" s="30" customFormat="1" ht="20.25" customHeight="1">
      <c r="A39" s="145"/>
      <c r="B39" s="21" t="s">
        <v>33</v>
      </c>
      <c r="C39" s="36">
        <f>C38</f>
        <v>1374678</v>
      </c>
      <c r="D39" s="36">
        <f t="shared" ref="D39" si="35">D38</f>
        <v>1586747</v>
      </c>
      <c r="E39" s="36">
        <f t="shared" ref="E39:F39" si="36">E38</f>
        <v>1418477</v>
      </c>
      <c r="F39" s="36">
        <f t="shared" si="36"/>
        <v>1487463</v>
      </c>
      <c r="G39" s="36">
        <f>G38</f>
        <v>1588334</v>
      </c>
      <c r="H39" s="36">
        <f t="shared" ref="H39:J39" si="37">H38</f>
        <v>1593513</v>
      </c>
      <c r="I39" s="36">
        <f t="shared" si="37"/>
        <v>1194735</v>
      </c>
      <c r="J39" s="36">
        <f t="shared" si="37"/>
        <v>1452617</v>
      </c>
      <c r="K39" s="36">
        <f>K38</f>
        <v>1465592</v>
      </c>
      <c r="L39" s="36">
        <f t="shared" ref="L39:N39" si="38">L38</f>
        <v>1378925</v>
      </c>
      <c r="M39" s="36">
        <f t="shared" si="38"/>
        <v>1253359</v>
      </c>
      <c r="N39" s="36">
        <f t="shared" si="38"/>
        <v>1296228</v>
      </c>
    </row>
    <row r="40" spans="1:14">
      <c r="A40" s="2"/>
      <c r="B40" s="2"/>
    </row>
    <row r="41" spans="1:14" ht="12.75" customHeight="1">
      <c r="A41" s="1" t="s">
        <v>18</v>
      </c>
      <c r="B41" s="2"/>
    </row>
    <row r="42" spans="1:14">
      <c r="A42" s="1" t="s">
        <v>22</v>
      </c>
      <c r="B42" s="2"/>
    </row>
    <row r="43" spans="1:14">
      <c r="A43" s="1"/>
      <c r="B43" s="2"/>
    </row>
    <row r="44" spans="1:14">
      <c r="A44" s="2" t="s">
        <v>19</v>
      </c>
      <c r="B44" s="2"/>
    </row>
    <row r="45" spans="1:14" ht="12" customHeight="1"/>
    <row r="46" spans="1:14" ht="12" customHeight="1"/>
    <row r="47" spans="1:14" ht="12" customHeight="1">
      <c r="C47" s="66"/>
      <c r="D47" s="66"/>
      <c r="E47" s="66"/>
      <c r="F47" s="66"/>
      <c r="G47" s="66"/>
      <c r="H47" s="66"/>
      <c r="I47" s="66"/>
      <c r="J47" s="66"/>
      <c r="K47" s="66"/>
      <c r="L47" s="66"/>
      <c r="M47" s="66"/>
      <c r="N47" s="66"/>
    </row>
    <row r="48" spans="1:14" ht="12" customHeight="1"/>
  </sheetData>
  <autoFilter ref="A4:B44" xr:uid="{00000000-0009-0000-0000-000001000000}"/>
  <mergeCells count="7">
    <mergeCell ref="A31:A39"/>
    <mergeCell ref="A5:A9"/>
    <mergeCell ref="A10:A14"/>
    <mergeCell ref="A18:A20"/>
    <mergeCell ref="A21:A23"/>
    <mergeCell ref="A24:A30"/>
    <mergeCell ref="A15:A17"/>
  </mergeCells>
  <phoneticPr fontId="16"/>
  <pageMargins left="0.23" right="0.25" top="0.31" bottom="0.34" header="0.3" footer="0.3"/>
  <pageSetup paperSize="9" scale="60"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M13"/>
  <sheetViews>
    <sheetView workbookViewId="0">
      <selection activeCell="D14" sqref="D14"/>
    </sheetView>
  </sheetViews>
  <sheetFormatPr defaultColWidth="8.75" defaultRowHeight="15"/>
  <cols>
    <col min="1" max="1" width="47.75" style="71" customWidth="1"/>
    <col min="2" max="13" width="13.75" style="71" customWidth="1"/>
    <col min="14" max="16384" width="8.75" style="71"/>
  </cols>
  <sheetData>
    <row r="2" spans="1:13">
      <c r="A2" s="80"/>
      <c r="B2" s="81">
        <v>45017</v>
      </c>
      <c r="C2" s="81">
        <v>45047</v>
      </c>
      <c r="D2" s="81">
        <v>45078</v>
      </c>
      <c r="E2" s="81">
        <v>45108</v>
      </c>
      <c r="F2" s="81">
        <v>45139</v>
      </c>
      <c r="G2" s="81">
        <v>45170</v>
      </c>
      <c r="H2" s="81">
        <v>45200</v>
      </c>
      <c r="I2" s="81">
        <v>45231</v>
      </c>
      <c r="J2" s="81">
        <v>45261</v>
      </c>
      <c r="K2" s="81">
        <v>45292</v>
      </c>
    </row>
    <row r="3" spans="1:13">
      <c r="A3" s="82" t="s">
        <v>61</v>
      </c>
      <c r="B3" s="83">
        <v>52658</v>
      </c>
      <c r="C3" s="83">
        <v>36715</v>
      </c>
      <c r="D3" s="83">
        <v>47660</v>
      </c>
      <c r="E3" s="83">
        <v>37572</v>
      </c>
      <c r="F3" s="83">
        <v>43019</v>
      </c>
      <c r="G3" s="83">
        <v>46732</v>
      </c>
      <c r="H3" s="83">
        <v>54893</v>
      </c>
      <c r="I3" s="83">
        <v>60869</v>
      </c>
      <c r="J3" s="83">
        <v>44639</v>
      </c>
      <c r="K3" s="83">
        <v>37975</v>
      </c>
    </row>
    <row r="4" spans="1:13">
      <c r="B4" s="72"/>
      <c r="C4" s="72"/>
      <c r="D4" s="72"/>
      <c r="E4" s="72"/>
      <c r="F4" s="72"/>
      <c r="G4" s="72"/>
      <c r="H4" s="72"/>
      <c r="I4" s="72"/>
      <c r="J4" s="72"/>
      <c r="K4" s="72"/>
    </row>
    <row r="5" spans="1:13">
      <c r="A5" s="71" t="s">
        <v>60</v>
      </c>
      <c r="B5" s="73">
        <f>AVERAGEA(B3:K3)</f>
        <v>46273.2</v>
      </c>
      <c r="C5" s="71" t="s">
        <v>62</v>
      </c>
    </row>
    <row r="6" spans="1:13">
      <c r="B6" s="74">
        <f>B5/20</f>
        <v>2313.66</v>
      </c>
      <c r="C6" s="71" t="s">
        <v>63</v>
      </c>
    </row>
    <row r="7" spans="1:13">
      <c r="A7" s="79" t="s">
        <v>64</v>
      </c>
      <c r="B7" s="71">
        <v>19</v>
      </c>
      <c r="C7" s="84">
        <v>21</v>
      </c>
      <c r="D7" s="71">
        <v>20</v>
      </c>
      <c r="E7" s="71">
        <v>23</v>
      </c>
      <c r="F7" s="71">
        <v>22</v>
      </c>
      <c r="G7" s="71">
        <v>18</v>
      </c>
      <c r="H7" s="71">
        <v>23</v>
      </c>
      <c r="I7" s="71">
        <v>21</v>
      </c>
      <c r="J7" s="71">
        <v>20</v>
      </c>
      <c r="K7" s="71">
        <v>17</v>
      </c>
      <c r="L7" s="71">
        <v>19</v>
      </c>
      <c r="M7" s="71">
        <v>20</v>
      </c>
    </row>
    <row r="8" spans="1:13">
      <c r="A8" s="79" t="s">
        <v>65</v>
      </c>
      <c r="B8" s="71">
        <v>5768</v>
      </c>
      <c r="C8" s="84">
        <v>5444</v>
      </c>
      <c r="D8" s="71">
        <v>5866</v>
      </c>
      <c r="E8" s="71">
        <v>5754</v>
      </c>
      <c r="F8" s="71">
        <v>6181</v>
      </c>
      <c r="G8" s="71">
        <v>6323</v>
      </c>
      <c r="H8" s="71">
        <v>6334</v>
      </c>
      <c r="I8" s="71">
        <v>6275</v>
      </c>
      <c r="J8" s="71">
        <v>6419</v>
      </c>
      <c r="K8" s="71">
        <v>6672</v>
      </c>
      <c r="L8" s="71">
        <v>6136</v>
      </c>
      <c r="M8" s="71">
        <v>6398</v>
      </c>
    </row>
    <row r="9" spans="1:13" s="75" customFormat="1">
      <c r="A9" s="85">
        <v>1862880</v>
      </c>
      <c r="B9" s="76" t="s">
        <v>47</v>
      </c>
      <c r="C9" s="76" t="s">
        <v>48</v>
      </c>
      <c r="D9" s="76" t="s">
        <v>49</v>
      </c>
      <c r="E9" s="76" t="s">
        <v>50</v>
      </c>
      <c r="F9" s="76" t="s">
        <v>51</v>
      </c>
      <c r="G9" s="76" t="s">
        <v>52</v>
      </c>
      <c r="H9" s="76" t="s">
        <v>53</v>
      </c>
      <c r="I9" s="76" t="s">
        <v>54</v>
      </c>
      <c r="J9" s="76" t="s">
        <v>55</v>
      </c>
      <c r="K9" s="76" t="s">
        <v>57</v>
      </c>
      <c r="L9" s="76" t="s">
        <v>58</v>
      </c>
      <c r="M9" s="76" t="s">
        <v>59</v>
      </c>
    </row>
    <row r="10" spans="1:13" ht="23.1" customHeight="1">
      <c r="B10" s="77">
        <f>B6*B7*B8</f>
        <v>253558626.71999997</v>
      </c>
      <c r="C10" s="74">
        <f>B6*C7*C8</f>
        <v>264506865.84</v>
      </c>
      <c r="D10" s="74">
        <f>B6*D7*D8</f>
        <v>271438591.19999999</v>
      </c>
      <c r="E10" s="74">
        <f>B6*E7*E8</f>
        <v>306194391.71999997</v>
      </c>
      <c r="F10" s="74">
        <f>B6*F7*F8</f>
        <v>314616114.12</v>
      </c>
      <c r="G10" s="74">
        <f>B6*G7*G8</f>
        <v>263326899.23999998</v>
      </c>
      <c r="H10" s="74">
        <f>B6*H7*H8</f>
        <v>337058616.11999995</v>
      </c>
      <c r="I10" s="74">
        <f>B6*I7*I8</f>
        <v>304882546.5</v>
      </c>
      <c r="J10" s="74">
        <f>B6*J7*J8</f>
        <v>297027670.79999995</v>
      </c>
      <c r="K10" s="74">
        <f>B6*K7*K8</f>
        <v>262424571.84</v>
      </c>
      <c r="L10" s="74">
        <f>B6*L7*L8</f>
        <v>269735737.43999994</v>
      </c>
      <c r="M10" s="74">
        <f>B6*M7*M8</f>
        <v>296055933.59999996</v>
      </c>
    </row>
    <row r="11" spans="1:13" ht="23.1" customHeight="1">
      <c r="B11" s="78">
        <f>B10/A9</f>
        <v>136.11108966761142</v>
      </c>
      <c r="C11" s="78">
        <f>C10/A9</f>
        <v>141.98813978356094</v>
      </c>
      <c r="D11" s="78">
        <f>D10/A9</f>
        <v>145.70911234217985</v>
      </c>
      <c r="E11" s="78">
        <f>E10/A9</f>
        <v>164.36613830198399</v>
      </c>
      <c r="F11" s="78">
        <f>F10/A9</f>
        <v>168.88694608348365</v>
      </c>
      <c r="G11" s="78">
        <f>G10/A9</f>
        <v>141.35472990208709</v>
      </c>
      <c r="H11" s="78">
        <f>H10/A9</f>
        <v>180.93415363308424</v>
      </c>
      <c r="I11" s="78">
        <f>I10/A9</f>
        <v>163.66193555140427</v>
      </c>
      <c r="J11" s="78">
        <f>J10/A9</f>
        <v>159.44541290904402</v>
      </c>
      <c r="K11" s="78">
        <f>K10/A9</f>
        <v>140.87035763978355</v>
      </c>
      <c r="L11" s="78">
        <f>L10/A9</f>
        <v>144.79501494460186</v>
      </c>
      <c r="M11" s="78">
        <f>M10/A9</f>
        <v>158.92378124194792</v>
      </c>
    </row>
    <row r="12" spans="1:13" ht="23.1" customHeight="1">
      <c r="A12" s="71" t="s">
        <v>66</v>
      </c>
      <c r="B12" s="86">
        <v>150</v>
      </c>
      <c r="C12" s="87">
        <v>150</v>
      </c>
      <c r="D12" s="87">
        <v>160</v>
      </c>
      <c r="E12" s="87">
        <v>180</v>
      </c>
      <c r="F12" s="87">
        <v>180</v>
      </c>
      <c r="G12" s="87">
        <v>150</v>
      </c>
      <c r="H12" s="87">
        <v>190</v>
      </c>
      <c r="I12" s="87">
        <v>180</v>
      </c>
      <c r="J12" s="87">
        <v>170</v>
      </c>
      <c r="K12" s="87">
        <v>150</v>
      </c>
      <c r="L12" s="87">
        <v>160</v>
      </c>
      <c r="M12" s="87">
        <v>170</v>
      </c>
    </row>
    <row r="13" spans="1:13">
      <c r="B13" s="74">
        <f>B12+10</f>
        <v>160</v>
      </c>
      <c r="C13" s="74">
        <f t="shared" ref="C13:M13" si="0">C12+10</f>
        <v>160</v>
      </c>
      <c r="D13" s="74">
        <f t="shared" si="0"/>
        <v>170</v>
      </c>
      <c r="E13" s="74">
        <f t="shared" si="0"/>
        <v>190</v>
      </c>
      <c r="F13" s="74">
        <f t="shared" si="0"/>
        <v>190</v>
      </c>
      <c r="G13" s="74">
        <f t="shared" si="0"/>
        <v>160</v>
      </c>
      <c r="H13" s="74">
        <f t="shared" si="0"/>
        <v>200</v>
      </c>
      <c r="I13" s="74">
        <f t="shared" si="0"/>
        <v>190</v>
      </c>
      <c r="J13" s="74">
        <f t="shared" si="0"/>
        <v>180</v>
      </c>
      <c r="K13" s="74">
        <f t="shared" si="0"/>
        <v>160</v>
      </c>
      <c r="L13" s="74">
        <f t="shared" si="0"/>
        <v>170</v>
      </c>
      <c r="M13" s="74">
        <f t="shared" si="0"/>
        <v>180</v>
      </c>
    </row>
  </sheetData>
  <phoneticPr fontId="16"/>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O50"/>
  <sheetViews>
    <sheetView workbookViewId="0">
      <selection activeCell="D14" sqref="D14"/>
    </sheetView>
  </sheetViews>
  <sheetFormatPr defaultRowHeight="13.5"/>
  <cols>
    <col min="1" max="1" width="18.25" customWidth="1"/>
    <col min="2" max="2" width="13.125" customWidth="1"/>
    <col min="3" max="3" width="3.5" customWidth="1"/>
    <col min="4" max="4" width="14.875" customWidth="1"/>
    <col min="5" max="8" width="16.25" customWidth="1"/>
    <col min="9" max="15" width="14.875" customWidth="1"/>
    <col min="16" max="16" width="11.875" customWidth="1"/>
  </cols>
  <sheetData>
    <row r="3" spans="4:9">
      <c r="D3" s="116" t="s">
        <v>100</v>
      </c>
      <c r="E3" s="117"/>
      <c r="F3" s="118" t="s">
        <v>101</v>
      </c>
      <c r="G3" s="119" t="s">
        <v>102</v>
      </c>
      <c r="H3" s="120" t="s">
        <v>103</v>
      </c>
      <c r="I3" s="92">
        <v>345000</v>
      </c>
    </row>
    <row r="4" spans="4:9" ht="14.25">
      <c r="D4" s="121" t="s">
        <v>104</v>
      </c>
      <c r="E4" s="122">
        <v>5553</v>
      </c>
      <c r="F4" s="123">
        <v>1240</v>
      </c>
      <c r="G4" s="124">
        <v>19321</v>
      </c>
      <c r="H4" s="123">
        <v>57158</v>
      </c>
    </row>
    <row r="5" spans="4:9" ht="14.25">
      <c r="D5" s="121" t="s">
        <v>105</v>
      </c>
      <c r="E5" s="122">
        <v>5507</v>
      </c>
      <c r="F5" s="123">
        <v>1252</v>
      </c>
      <c r="G5" s="124">
        <v>19736</v>
      </c>
      <c r="H5" s="123">
        <v>57499</v>
      </c>
    </row>
    <row r="6" spans="4:9" ht="14.25">
      <c r="D6" s="121" t="s">
        <v>106</v>
      </c>
      <c r="E6" s="122">
        <v>5550</v>
      </c>
      <c r="F6" s="123">
        <v>1247</v>
      </c>
      <c r="G6" s="124">
        <v>20987</v>
      </c>
      <c r="H6" s="123">
        <v>31247</v>
      </c>
    </row>
    <row r="7" spans="4:9" ht="14.25">
      <c r="D7" s="121" t="s">
        <v>107</v>
      </c>
      <c r="E7" s="122">
        <v>5748</v>
      </c>
      <c r="F7" s="123">
        <v>1194</v>
      </c>
      <c r="G7" s="124">
        <v>19177</v>
      </c>
      <c r="H7" s="123">
        <v>55976</v>
      </c>
    </row>
    <row r="8" spans="4:9" ht="14.25">
      <c r="D8" s="121" t="s">
        <v>108</v>
      </c>
      <c r="E8" s="122">
        <v>5674</v>
      </c>
      <c r="F8" s="123">
        <v>1212</v>
      </c>
      <c r="G8" s="124">
        <v>18543</v>
      </c>
      <c r="H8" s="123">
        <v>56235</v>
      </c>
    </row>
    <row r="9" spans="4:9" ht="14.25">
      <c r="D9" s="121" t="s">
        <v>109</v>
      </c>
      <c r="E9" s="122">
        <v>5561</v>
      </c>
      <c r="F9" s="123">
        <v>1051</v>
      </c>
      <c r="G9" s="124">
        <v>17199</v>
      </c>
      <c r="H9" s="123">
        <v>56664</v>
      </c>
    </row>
    <row r="10" spans="4:9" ht="14.25">
      <c r="D10" s="121" t="s">
        <v>110</v>
      </c>
      <c r="E10" s="122">
        <v>5580</v>
      </c>
      <c r="F10" s="123">
        <v>1173</v>
      </c>
      <c r="G10" s="124">
        <v>18639</v>
      </c>
      <c r="H10" s="123">
        <v>56583</v>
      </c>
    </row>
    <row r="11" spans="4:9" ht="14.25">
      <c r="D11" s="121" t="s">
        <v>111</v>
      </c>
      <c r="E11" s="122">
        <v>5709</v>
      </c>
      <c r="F11" s="123">
        <v>1206</v>
      </c>
      <c r="G11" s="124">
        <v>19061</v>
      </c>
      <c r="H11" s="123">
        <v>55229</v>
      </c>
    </row>
    <row r="12" spans="4:9" ht="14.25">
      <c r="D12" s="121" t="s">
        <v>112</v>
      </c>
      <c r="E12" s="122">
        <v>5643</v>
      </c>
      <c r="F12" s="123">
        <v>1162</v>
      </c>
      <c r="G12" s="124">
        <v>18452</v>
      </c>
      <c r="H12" s="123">
        <v>56012</v>
      </c>
    </row>
    <row r="14" spans="4:9" ht="14.25">
      <c r="D14" s="130" t="s">
        <v>113</v>
      </c>
      <c r="F14" s="125">
        <f>AVERAGE(F4:F12)</f>
        <v>1193</v>
      </c>
      <c r="G14" s="125">
        <f>AVERAGE(G4:G12)</f>
        <v>19012.777777777777</v>
      </c>
      <c r="H14" s="125">
        <f>AVERAGE(H4:H12)</f>
        <v>53622.555555555555</v>
      </c>
    </row>
    <row r="16" spans="4:9" ht="14.25">
      <c r="D16" s="130" t="s">
        <v>67</v>
      </c>
      <c r="F16" s="126">
        <f>F14/21</f>
        <v>56.80952380952381</v>
      </c>
      <c r="G16" s="126">
        <f>G14/21</f>
        <v>905.37037037037032</v>
      </c>
      <c r="H16" s="126">
        <f>H14/21</f>
        <v>2553.4550264550262</v>
      </c>
    </row>
    <row r="17" spans="1:15">
      <c r="D17" t="s">
        <v>114</v>
      </c>
      <c r="E17" t="s">
        <v>115</v>
      </c>
      <c r="F17" t="s">
        <v>116</v>
      </c>
      <c r="G17" t="s">
        <v>117</v>
      </c>
      <c r="H17" t="s">
        <v>118</v>
      </c>
      <c r="I17" t="s">
        <v>119</v>
      </c>
      <c r="J17" t="s">
        <v>120</v>
      </c>
      <c r="K17" t="s">
        <v>121</v>
      </c>
      <c r="L17" t="s">
        <v>122</v>
      </c>
      <c r="M17" t="s">
        <v>123</v>
      </c>
      <c r="N17" t="s">
        <v>124</v>
      </c>
      <c r="O17" t="s">
        <v>125</v>
      </c>
    </row>
    <row r="18" spans="1:15">
      <c r="D18" s="64">
        <v>19</v>
      </c>
      <c r="E18" s="64">
        <v>21</v>
      </c>
      <c r="F18" s="64">
        <v>20</v>
      </c>
      <c r="G18" s="64">
        <v>23</v>
      </c>
      <c r="H18" s="64">
        <v>22</v>
      </c>
      <c r="I18" s="64">
        <v>18</v>
      </c>
      <c r="J18" s="64">
        <v>23</v>
      </c>
      <c r="K18" s="64">
        <v>21</v>
      </c>
      <c r="L18" s="64">
        <v>20</v>
      </c>
      <c r="M18" s="64">
        <v>17</v>
      </c>
      <c r="N18" s="64">
        <v>19</v>
      </c>
      <c r="O18" s="64">
        <v>20</v>
      </c>
    </row>
    <row r="19" spans="1:15">
      <c r="D19" s="64">
        <v>5550</v>
      </c>
      <c r="E19" s="64">
        <v>5768</v>
      </c>
      <c r="F19" s="64">
        <v>5444</v>
      </c>
      <c r="G19" s="64">
        <v>5866</v>
      </c>
      <c r="H19" s="64">
        <v>5754</v>
      </c>
      <c r="I19" s="64">
        <v>6181</v>
      </c>
      <c r="J19" s="64">
        <v>6323</v>
      </c>
      <c r="K19" s="64">
        <v>6334</v>
      </c>
      <c r="L19" s="64">
        <v>6275</v>
      </c>
      <c r="M19" s="64">
        <v>6419</v>
      </c>
      <c r="N19" s="64">
        <v>6672</v>
      </c>
      <c r="O19" s="64">
        <v>6136</v>
      </c>
    </row>
    <row r="20" spans="1:15">
      <c r="D20">
        <v>56.81</v>
      </c>
      <c r="E20">
        <v>56.81</v>
      </c>
      <c r="F20">
        <v>56.81</v>
      </c>
      <c r="G20">
        <v>56.81</v>
      </c>
      <c r="H20">
        <v>56.81</v>
      </c>
      <c r="I20">
        <v>56.81</v>
      </c>
      <c r="J20">
        <v>56.81</v>
      </c>
      <c r="K20">
        <v>56.81</v>
      </c>
      <c r="L20">
        <v>56.81</v>
      </c>
      <c r="M20">
        <v>56.81</v>
      </c>
      <c r="N20">
        <v>56.81</v>
      </c>
      <c r="O20">
        <v>56.81</v>
      </c>
    </row>
    <row r="21" spans="1:15">
      <c r="D21" s="126">
        <f>D18*D19*D20</f>
        <v>5990614.5</v>
      </c>
      <c r="E21">
        <f>E18*E19*E20</f>
        <v>6881281.6800000006</v>
      </c>
      <c r="F21">
        <f t="shared" ref="F21:O21" si="0">F18*F19*F20</f>
        <v>6185472.7999999998</v>
      </c>
      <c r="G21">
        <f t="shared" si="0"/>
        <v>7664691.5800000001</v>
      </c>
      <c r="H21">
        <f t="shared" si="0"/>
        <v>7191464.2800000003</v>
      </c>
      <c r="I21">
        <f t="shared" si="0"/>
        <v>6320566.9800000004</v>
      </c>
      <c r="J21">
        <f t="shared" si="0"/>
        <v>8261821.4900000002</v>
      </c>
      <c r="K21">
        <f t="shared" si="0"/>
        <v>7556525.3399999999</v>
      </c>
      <c r="L21">
        <f t="shared" si="0"/>
        <v>7129655</v>
      </c>
      <c r="M21">
        <f t="shared" si="0"/>
        <v>6199277.6299999999</v>
      </c>
      <c r="N21">
        <f t="shared" si="0"/>
        <v>7201690.0800000001</v>
      </c>
      <c r="O21">
        <f t="shared" si="0"/>
        <v>6971723.2000000002</v>
      </c>
    </row>
    <row r="22" spans="1:15">
      <c r="D22" s="126">
        <f>D21/345000</f>
        <v>17.364100000000001</v>
      </c>
      <c r="E22" s="126">
        <f t="shared" ref="E22:O22" si="1">E21/345000</f>
        <v>19.945744000000001</v>
      </c>
      <c r="F22" s="126">
        <f t="shared" si="1"/>
        <v>17.928906666666666</v>
      </c>
      <c r="G22" s="126">
        <f t="shared" si="1"/>
        <v>22.216497333333333</v>
      </c>
      <c r="H22" s="126">
        <f t="shared" si="1"/>
        <v>20.844823999999999</v>
      </c>
      <c r="I22" s="126">
        <f t="shared" si="1"/>
        <v>18.320484</v>
      </c>
      <c r="J22" s="126">
        <f t="shared" si="1"/>
        <v>23.947308666666668</v>
      </c>
      <c r="K22" s="126">
        <f t="shared" si="1"/>
        <v>21.902971999999998</v>
      </c>
      <c r="L22" s="126">
        <f t="shared" si="1"/>
        <v>20.665666666666667</v>
      </c>
      <c r="M22" s="126">
        <f t="shared" si="1"/>
        <v>17.968920666666666</v>
      </c>
      <c r="N22" s="126">
        <f t="shared" si="1"/>
        <v>20.874464</v>
      </c>
      <c r="O22" s="126">
        <f t="shared" si="1"/>
        <v>20.207893333333335</v>
      </c>
    </row>
    <row r="23" spans="1:15">
      <c r="D23" s="127">
        <v>18</v>
      </c>
      <c r="E23" s="127">
        <f t="shared" ref="E23:N23" si="2">ROUND(E22,0)</f>
        <v>20</v>
      </c>
      <c r="F23" s="127">
        <f t="shared" si="2"/>
        <v>18</v>
      </c>
      <c r="G23" s="127">
        <v>23</v>
      </c>
      <c r="H23" s="127">
        <v>21</v>
      </c>
      <c r="I23" s="127">
        <v>19</v>
      </c>
      <c r="J23" s="127">
        <f t="shared" si="2"/>
        <v>24</v>
      </c>
      <c r="K23" s="127">
        <f t="shared" si="2"/>
        <v>22</v>
      </c>
      <c r="L23" s="127">
        <f t="shared" si="2"/>
        <v>21</v>
      </c>
      <c r="M23" s="127">
        <f t="shared" si="2"/>
        <v>18</v>
      </c>
      <c r="N23" s="127">
        <f t="shared" si="2"/>
        <v>21</v>
      </c>
      <c r="O23" s="127">
        <v>21</v>
      </c>
    </row>
    <row r="24" spans="1:15">
      <c r="D24" s="128">
        <f>D23*$I$3</f>
        <v>6210000</v>
      </c>
      <c r="E24" s="128">
        <f t="shared" ref="E24:O24" si="3">E23*$I$3</f>
        <v>6900000</v>
      </c>
      <c r="F24" s="128">
        <f t="shared" si="3"/>
        <v>6210000</v>
      </c>
      <c r="G24" s="128">
        <f t="shared" si="3"/>
        <v>7935000</v>
      </c>
      <c r="H24" s="128">
        <f t="shared" si="3"/>
        <v>7245000</v>
      </c>
      <c r="I24" s="128">
        <f t="shared" si="3"/>
        <v>6555000</v>
      </c>
      <c r="J24" s="128">
        <f t="shared" si="3"/>
        <v>8280000</v>
      </c>
      <c r="K24" s="128">
        <f t="shared" si="3"/>
        <v>7590000</v>
      </c>
      <c r="L24" s="128">
        <f t="shared" si="3"/>
        <v>7245000</v>
      </c>
      <c r="M24" s="128">
        <f t="shared" si="3"/>
        <v>6210000</v>
      </c>
      <c r="N24" s="128">
        <f t="shared" si="3"/>
        <v>7245000</v>
      </c>
      <c r="O24" s="128">
        <f t="shared" si="3"/>
        <v>7245000</v>
      </c>
    </row>
    <row r="25" spans="1:15">
      <c r="D25" s="92">
        <f>D24/D19</f>
        <v>1118.918918918919</v>
      </c>
      <c r="E25" s="92">
        <f t="shared" ref="E25:O25" si="4">E24/E19</f>
        <v>1196.25520110957</v>
      </c>
      <c r="F25" s="92">
        <f t="shared" si="4"/>
        <v>1140.7053637031595</v>
      </c>
      <c r="G25" s="92">
        <f t="shared" si="4"/>
        <v>1352.710535288101</v>
      </c>
      <c r="H25" s="92">
        <f t="shared" si="4"/>
        <v>1259.1240875912408</v>
      </c>
      <c r="I25" s="92">
        <f t="shared" si="4"/>
        <v>1060.5080084128781</v>
      </c>
      <c r="J25" s="92">
        <f t="shared" si="4"/>
        <v>1309.5049818124307</v>
      </c>
      <c r="K25" s="92">
        <f t="shared" si="4"/>
        <v>1198.2949163245974</v>
      </c>
      <c r="L25" s="92">
        <f t="shared" si="4"/>
        <v>1154.5816733067729</v>
      </c>
      <c r="M25" s="92">
        <f t="shared" si="4"/>
        <v>967.44041127901539</v>
      </c>
      <c r="N25" s="92">
        <f t="shared" si="4"/>
        <v>1085.8812949640287</v>
      </c>
      <c r="O25" s="92">
        <f t="shared" si="4"/>
        <v>1180.7366362451107</v>
      </c>
    </row>
    <row r="28" spans="1:15">
      <c r="D28">
        <v>2</v>
      </c>
      <c r="E28">
        <v>2</v>
      </c>
      <c r="F28">
        <v>2</v>
      </c>
      <c r="G28">
        <v>2</v>
      </c>
      <c r="H28">
        <v>2</v>
      </c>
      <c r="I28">
        <v>2</v>
      </c>
      <c r="J28">
        <v>2</v>
      </c>
      <c r="K28">
        <v>2</v>
      </c>
      <c r="L28">
        <v>2</v>
      </c>
      <c r="M28">
        <v>2</v>
      </c>
      <c r="N28">
        <v>2</v>
      </c>
      <c r="O28">
        <v>2</v>
      </c>
    </row>
    <row r="29" spans="1:15">
      <c r="D29" s="131" t="s">
        <v>115</v>
      </c>
      <c r="E29" t="s">
        <v>115</v>
      </c>
      <c r="F29" t="s">
        <v>116</v>
      </c>
      <c r="G29" t="s">
        <v>117</v>
      </c>
      <c r="H29" t="s">
        <v>118</v>
      </c>
      <c r="I29" t="s">
        <v>119</v>
      </c>
      <c r="J29" t="s">
        <v>120</v>
      </c>
      <c r="K29" t="s">
        <v>121</v>
      </c>
      <c r="L29" t="s">
        <v>122</v>
      </c>
      <c r="M29" t="s">
        <v>123</v>
      </c>
      <c r="N29" t="s">
        <v>124</v>
      </c>
      <c r="O29" t="s">
        <v>125</v>
      </c>
    </row>
    <row r="30" spans="1:15">
      <c r="B30" t="s">
        <v>126</v>
      </c>
      <c r="D30" s="64">
        <v>19</v>
      </c>
      <c r="E30" s="64">
        <v>21</v>
      </c>
      <c r="F30" s="64">
        <v>20</v>
      </c>
      <c r="G30" s="64">
        <v>23</v>
      </c>
      <c r="H30" s="64">
        <v>22</v>
      </c>
      <c r="I30" s="64">
        <v>18</v>
      </c>
      <c r="J30" s="64">
        <v>23</v>
      </c>
      <c r="K30" s="64">
        <v>21</v>
      </c>
      <c r="L30" s="64">
        <v>20</v>
      </c>
      <c r="M30" s="64">
        <v>17</v>
      </c>
      <c r="N30" s="64">
        <v>19</v>
      </c>
      <c r="O30" s="64">
        <v>20</v>
      </c>
    </row>
    <row r="31" spans="1:15">
      <c r="B31">
        <v>32000</v>
      </c>
      <c r="D31" s="64">
        <v>5550</v>
      </c>
      <c r="E31" s="64">
        <v>5768</v>
      </c>
      <c r="F31" s="64">
        <v>5444</v>
      </c>
      <c r="G31" s="64">
        <v>5866</v>
      </c>
      <c r="H31" s="64">
        <v>5754</v>
      </c>
      <c r="I31" s="64">
        <v>6181</v>
      </c>
      <c r="J31" s="64">
        <v>6323</v>
      </c>
      <c r="K31" s="64">
        <v>6334</v>
      </c>
      <c r="L31" s="64">
        <v>6275</v>
      </c>
      <c r="M31" s="64">
        <v>6419</v>
      </c>
      <c r="N31" s="64">
        <v>6672</v>
      </c>
      <c r="O31" s="64">
        <v>6136</v>
      </c>
    </row>
    <row r="32" spans="1:15">
      <c r="A32" t="s">
        <v>127</v>
      </c>
      <c r="B32" s="132">
        <v>1000</v>
      </c>
      <c r="D32">
        <v>905.37</v>
      </c>
      <c r="E32">
        <v>905.37</v>
      </c>
      <c r="F32">
        <v>905.37</v>
      </c>
      <c r="G32">
        <v>905.37</v>
      </c>
      <c r="H32">
        <v>905.37</v>
      </c>
      <c r="I32">
        <v>905.37</v>
      </c>
      <c r="J32">
        <v>905.37</v>
      </c>
      <c r="K32">
        <v>905.37</v>
      </c>
      <c r="L32">
        <v>905.37</v>
      </c>
      <c r="M32">
        <v>905.37</v>
      </c>
      <c r="N32">
        <v>905.37</v>
      </c>
      <c r="O32">
        <v>905.37</v>
      </c>
    </row>
    <row r="33" spans="1:15">
      <c r="A33" t="s">
        <v>128</v>
      </c>
      <c r="B33" s="92">
        <f>B32*D32*2</f>
        <v>1810740</v>
      </c>
      <c r="D33" s="92">
        <f>(D30*D31*D32)+(D32*B32*2)</f>
        <v>97282006.5</v>
      </c>
      <c r="E33" s="92">
        <f>(E30*E31*E32)+(E32*B32*E28)</f>
        <v>111476397.36</v>
      </c>
      <c r="F33" s="133">
        <f t="shared" ref="F33:O33" si="5">F30*F31*F32+1810740</f>
        <v>100387425.59999999</v>
      </c>
      <c r="G33" s="92">
        <f t="shared" si="5"/>
        <v>123961449.66</v>
      </c>
      <c r="H33" s="92">
        <f t="shared" si="5"/>
        <v>116419717.56</v>
      </c>
      <c r="I33" s="92">
        <f t="shared" si="5"/>
        <v>102540395.45999999</v>
      </c>
      <c r="J33" s="92">
        <f t="shared" si="5"/>
        <v>133477793.73</v>
      </c>
      <c r="K33" s="92">
        <f t="shared" si="5"/>
        <v>122237625.18000001</v>
      </c>
      <c r="L33" s="92">
        <f t="shared" si="5"/>
        <v>115434675</v>
      </c>
      <c r="M33" s="92">
        <f t="shared" si="5"/>
        <v>100607430.51000001</v>
      </c>
      <c r="N33" s="92">
        <f t="shared" si="5"/>
        <v>116582684.16</v>
      </c>
      <c r="O33" s="92">
        <f t="shared" si="5"/>
        <v>112917746.40000001</v>
      </c>
    </row>
    <row r="34" spans="1:15">
      <c r="D34" s="134">
        <f>D33/$B$31</f>
        <v>3040.0627031250001</v>
      </c>
      <c r="E34" s="134">
        <f t="shared" ref="E34:O34" si="6">E33/$B$31</f>
        <v>3483.6374175000001</v>
      </c>
      <c r="F34" s="134">
        <f t="shared" si="6"/>
        <v>3137.1070499999996</v>
      </c>
      <c r="G34" s="134">
        <f t="shared" si="6"/>
        <v>3873.795301875</v>
      </c>
      <c r="H34" s="134">
        <f t="shared" si="6"/>
        <v>3638.1161737500001</v>
      </c>
      <c r="I34" s="134">
        <f t="shared" si="6"/>
        <v>3204.387358125</v>
      </c>
      <c r="J34" s="134">
        <f t="shared" si="6"/>
        <v>4171.1810540625002</v>
      </c>
      <c r="K34" s="134">
        <f t="shared" si="6"/>
        <v>3819.9257868750001</v>
      </c>
      <c r="L34" s="134">
        <f t="shared" si="6"/>
        <v>3607.3335937500001</v>
      </c>
      <c r="M34" s="92">
        <f t="shared" si="6"/>
        <v>3143.9822034375002</v>
      </c>
      <c r="N34" s="92">
        <f t="shared" si="6"/>
        <v>3643.2088799999997</v>
      </c>
      <c r="O34" s="92">
        <f t="shared" si="6"/>
        <v>3528.6795750000001</v>
      </c>
    </row>
    <row r="35" spans="1:15">
      <c r="D35">
        <f>ROUNDUP(D34,0)</f>
        <v>3041</v>
      </c>
      <c r="E35" s="92">
        <f t="shared" ref="E35:O35" si="7">ROUNDUP(E34,0)</f>
        <v>3484</v>
      </c>
      <c r="F35" s="92">
        <f t="shared" si="7"/>
        <v>3138</v>
      </c>
      <c r="G35" s="92">
        <f t="shared" si="7"/>
        <v>3874</v>
      </c>
      <c r="H35" s="92">
        <f t="shared" si="7"/>
        <v>3639</v>
      </c>
      <c r="I35" s="92">
        <f t="shared" si="7"/>
        <v>3205</v>
      </c>
      <c r="J35" s="92">
        <f t="shared" si="7"/>
        <v>4172</v>
      </c>
      <c r="K35" s="92">
        <f t="shared" si="7"/>
        <v>3820</v>
      </c>
      <c r="L35" s="92">
        <f t="shared" si="7"/>
        <v>3608</v>
      </c>
      <c r="M35" s="92">
        <f t="shared" si="7"/>
        <v>3144</v>
      </c>
      <c r="N35" s="92">
        <f t="shared" si="7"/>
        <v>3644</v>
      </c>
      <c r="O35" s="92">
        <f t="shared" si="7"/>
        <v>3529</v>
      </c>
    </row>
    <row r="36" spans="1:15">
      <c r="D36" s="135">
        <f>D35*$B$31</f>
        <v>97312000</v>
      </c>
      <c r="E36" s="135">
        <f t="shared" ref="E36:O36" si="8">E35*$B$31</f>
        <v>111488000</v>
      </c>
      <c r="F36" s="135">
        <f t="shared" si="8"/>
        <v>100416000</v>
      </c>
      <c r="G36" s="135">
        <f t="shared" si="8"/>
        <v>123968000</v>
      </c>
      <c r="H36" s="135">
        <f t="shared" si="8"/>
        <v>116448000</v>
      </c>
      <c r="I36" s="135">
        <f t="shared" si="8"/>
        <v>102560000</v>
      </c>
      <c r="J36" s="135">
        <f t="shared" si="8"/>
        <v>133504000</v>
      </c>
      <c r="K36" s="135">
        <f t="shared" si="8"/>
        <v>122240000</v>
      </c>
      <c r="L36" s="135">
        <f t="shared" si="8"/>
        <v>115456000</v>
      </c>
      <c r="M36" s="136">
        <f t="shared" si="8"/>
        <v>100608000</v>
      </c>
      <c r="N36" s="136">
        <f t="shared" si="8"/>
        <v>116608000</v>
      </c>
      <c r="O36" s="136">
        <f t="shared" si="8"/>
        <v>112928000</v>
      </c>
    </row>
    <row r="37" spans="1:15">
      <c r="D37">
        <f>+D35/19</f>
        <v>160.05263157894737</v>
      </c>
      <c r="E37">
        <f t="shared" ref="E37:O37" si="9">+E35/19</f>
        <v>183.36842105263159</v>
      </c>
      <c r="F37">
        <f t="shared" si="9"/>
        <v>165.15789473684211</v>
      </c>
      <c r="G37">
        <f t="shared" si="9"/>
        <v>203.89473684210526</v>
      </c>
      <c r="H37">
        <f t="shared" si="9"/>
        <v>191.52631578947367</v>
      </c>
      <c r="I37">
        <f t="shared" si="9"/>
        <v>168.68421052631578</v>
      </c>
      <c r="J37">
        <f t="shared" si="9"/>
        <v>219.57894736842104</v>
      </c>
      <c r="K37">
        <f t="shared" si="9"/>
        <v>201.05263157894737</v>
      </c>
      <c r="L37">
        <f t="shared" si="9"/>
        <v>189.89473684210526</v>
      </c>
      <c r="M37" s="92">
        <f t="shared" si="9"/>
        <v>165.47368421052633</v>
      </c>
      <c r="N37" s="92">
        <f t="shared" si="9"/>
        <v>191.78947368421052</v>
      </c>
      <c r="O37" s="92">
        <f t="shared" si="9"/>
        <v>185.73684210526315</v>
      </c>
    </row>
    <row r="38" spans="1:15">
      <c r="D38" s="88">
        <f>ROUNDUP(D37,0)</f>
        <v>161</v>
      </c>
      <c r="E38" s="88">
        <f t="shared" ref="E38:O38" si="10">ROUNDUP(E37,0)</f>
        <v>184</v>
      </c>
      <c r="F38" s="88">
        <f t="shared" si="10"/>
        <v>166</v>
      </c>
      <c r="G38" s="88">
        <f t="shared" si="10"/>
        <v>204</v>
      </c>
      <c r="H38" s="88">
        <f t="shared" si="10"/>
        <v>192</v>
      </c>
      <c r="I38" s="88">
        <f t="shared" si="10"/>
        <v>169</v>
      </c>
      <c r="J38" s="88">
        <f t="shared" si="10"/>
        <v>220</v>
      </c>
      <c r="K38" s="88">
        <f t="shared" si="10"/>
        <v>202</v>
      </c>
      <c r="L38" s="88">
        <f t="shared" si="10"/>
        <v>190</v>
      </c>
      <c r="M38" s="88">
        <f t="shared" si="10"/>
        <v>166</v>
      </c>
      <c r="N38" s="88">
        <f t="shared" si="10"/>
        <v>192</v>
      </c>
      <c r="O38" s="88">
        <f t="shared" si="10"/>
        <v>186</v>
      </c>
    </row>
    <row r="39" spans="1:15">
      <c r="D39" s="128">
        <f>D38*19*$B$31</f>
        <v>97888000</v>
      </c>
      <c r="E39" s="128">
        <f>E38*19*$B$31</f>
        <v>111872000</v>
      </c>
      <c r="F39" s="128">
        <f t="shared" ref="F39:O39" si="11">F38*19*$B$31</f>
        <v>100928000</v>
      </c>
      <c r="G39" s="128">
        <f t="shared" si="11"/>
        <v>124032000</v>
      </c>
      <c r="H39" s="128">
        <f t="shared" si="11"/>
        <v>116736000</v>
      </c>
      <c r="I39" s="128">
        <f t="shared" si="11"/>
        <v>102752000</v>
      </c>
      <c r="J39" s="128">
        <f t="shared" si="11"/>
        <v>133760000</v>
      </c>
      <c r="K39" s="128">
        <f t="shared" si="11"/>
        <v>122816000</v>
      </c>
      <c r="L39" s="128">
        <f t="shared" si="11"/>
        <v>115520000</v>
      </c>
      <c r="M39" s="128">
        <f t="shared" si="11"/>
        <v>100928000</v>
      </c>
      <c r="N39" s="128">
        <f t="shared" si="11"/>
        <v>116736000</v>
      </c>
      <c r="O39" s="128">
        <f t="shared" si="11"/>
        <v>113088000</v>
      </c>
    </row>
    <row r="40" spans="1:15">
      <c r="D40" s="61">
        <f>162*19*32000</f>
        <v>98496000</v>
      </c>
      <c r="E40" s="61">
        <f>181*19*32000</f>
        <v>110048000</v>
      </c>
      <c r="F40" s="61">
        <f>170*19*32000</f>
        <v>103360000</v>
      </c>
      <c r="G40" s="61">
        <f>205*19*32000</f>
        <v>124640000</v>
      </c>
      <c r="H40" s="61">
        <f>202*19*32000</f>
        <v>122816000</v>
      </c>
      <c r="I40" s="61">
        <f>172*19*32000</f>
        <v>104576000</v>
      </c>
      <c r="J40" s="61">
        <f>220*19*32000</f>
        <v>133760000</v>
      </c>
      <c r="K40" s="61">
        <f>199*19*32000</f>
        <v>120992000</v>
      </c>
      <c r="L40" s="61">
        <f>195*19*32000</f>
        <v>118560000</v>
      </c>
      <c r="M40" s="61">
        <f>169*19*32000</f>
        <v>102752000</v>
      </c>
      <c r="N40" s="61">
        <f>191*19*32000</f>
        <v>116128000</v>
      </c>
      <c r="O40" s="61">
        <f>185*19*32000</f>
        <v>112480000</v>
      </c>
    </row>
    <row r="49" spans="4:15">
      <c r="D49" s="61">
        <v>313020000</v>
      </c>
      <c r="E49" s="61">
        <v>313185000</v>
      </c>
      <c r="F49" s="61">
        <v>314092500</v>
      </c>
      <c r="G49" s="61">
        <v>312112500</v>
      </c>
      <c r="H49" s="61">
        <v>314257500</v>
      </c>
      <c r="I49" s="61">
        <v>313020000</v>
      </c>
      <c r="J49" s="61">
        <v>313185000</v>
      </c>
      <c r="K49" s="61">
        <v>314257500</v>
      </c>
      <c r="L49" s="61">
        <v>311947500</v>
      </c>
      <c r="M49" s="61">
        <v>314257500</v>
      </c>
      <c r="N49" s="61">
        <v>314092500</v>
      </c>
      <c r="O49" s="61">
        <v>311040000</v>
      </c>
    </row>
    <row r="50" spans="4:15">
      <c r="D50" s="129">
        <v>-313020000</v>
      </c>
      <c r="E50" s="129">
        <v>-313185000</v>
      </c>
      <c r="F50" s="129">
        <v>-314092500</v>
      </c>
      <c r="G50" s="129">
        <v>-312112500</v>
      </c>
      <c r="H50" s="129">
        <v>-314257500</v>
      </c>
      <c r="I50" s="129">
        <v>-313020000</v>
      </c>
      <c r="J50" s="129">
        <v>-313185000</v>
      </c>
      <c r="K50" s="129">
        <v>-314257500</v>
      </c>
      <c r="L50" s="129">
        <v>-311947500</v>
      </c>
      <c r="M50" s="129">
        <v>-314257500</v>
      </c>
      <c r="N50" s="129">
        <v>-314092500</v>
      </c>
      <c r="O50" s="129">
        <v>-311040000</v>
      </c>
    </row>
  </sheetData>
  <phoneticPr fontId="16"/>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83"/>
  <sheetViews>
    <sheetView topLeftCell="A4" zoomScaleNormal="100" workbookViewId="0">
      <selection activeCell="D14" sqref="D14"/>
    </sheetView>
  </sheetViews>
  <sheetFormatPr defaultRowHeight="13.5"/>
  <cols>
    <col min="1" max="1" width="16.75" customWidth="1"/>
    <col min="2" max="13" width="14.25" style="68" customWidth="1"/>
    <col min="14" max="14" width="9.875" customWidth="1"/>
    <col min="15" max="16" width="14.25" bestFit="1" customWidth="1"/>
  </cols>
  <sheetData>
    <row r="1" spans="1:16">
      <c r="A1" s="88"/>
      <c r="B1" s="89">
        <v>4</v>
      </c>
      <c r="C1" s="89">
        <v>5</v>
      </c>
      <c r="D1" s="89">
        <v>6</v>
      </c>
      <c r="E1" s="89">
        <v>7</v>
      </c>
      <c r="F1" s="89">
        <v>8</v>
      </c>
      <c r="G1" s="89">
        <v>9</v>
      </c>
      <c r="H1" s="89">
        <v>10</v>
      </c>
      <c r="I1" s="89">
        <v>11</v>
      </c>
      <c r="J1" s="89">
        <v>12</v>
      </c>
      <c r="K1" s="89">
        <v>1</v>
      </c>
      <c r="L1" s="89">
        <v>2</v>
      </c>
      <c r="M1" s="89">
        <v>3</v>
      </c>
      <c r="N1" t="s">
        <v>67</v>
      </c>
      <c r="O1" t="s">
        <v>68</v>
      </c>
      <c r="P1" t="s">
        <v>69</v>
      </c>
    </row>
    <row r="2" spans="1:16">
      <c r="A2" s="90" t="s">
        <v>70</v>
      </c>
      <c r="B2" s="91">
        <f>COUNTA(B21:B51)</f>
        <v>21</v>
      </c>
      <c r="C2" s="91">
        <f t="shared" ref="C2:M2" si="0">COUNTA(C21:C51)</f>
        <v>21</v>
      </c>
      <c r="D2" s="91">
        <f t="shared" si="0"/>
        <v>17</v>
      </c>
      <c r="E2" s="91">
        <f t="shared" si="0"/>
        <v>22</v>
      </c>
      <c r="F2" s="91">
        <f t="shared" si="0"/>
        <v>21</v>
      </c>
      <c r="G2" s="91">
        <f t="shared" si="0"/>
        <v>23</v>
      </c>
      <c r="H2" s="91">
        <f t="shared" si="0"/>
        <v>18</v>
      </c>
      <c r="I2" s="91">
        <f t="shared" si="0"/>
        <v>22</v>
      </c>
      <c r="J2" s="91">
        <f t="shared" si="0"/>
        <v>23</v>
      </c>
      <c r="K2" s="91">
        <f t="shared" si="0"/>
        <v>20</v>
      </c>
      <c r="L2" s="91">
        <f t="shared" si="0"/>
        <v>20</v>
      </c>
      <c r="M2" s="91">
        <f t="shared" si="0"/>
        <v>17</v>
      </c>
      <c r="N2" t="s">
        <v>71</v>
      </c>
      <c r="O2" s="92">
        <v>36720000</v>
      </c>
      <c r="P2" s="92">
        <v>26697000</v>
      </c>
    </row>
    <row r="3" spans="1:16">
      <c r="A3" s="90" t="s">
        <v>72</v>
      </c>
      <c r="B3" s="91">
        <f t="shared" ref="B3:L3" si="1">COUNTA(B53:B83)</f>
        <v>22</v>
      </c>
      <c r="C3" s="91">
        <f t="shared" si="1"/>
        <v>22</v>
      </c>
      <c r="D3" s="91">
        <f t="shared" si="1"/>
        <v>19</v>
      </c>
      <c r="E3" s="91">
        <f t="shared" si="1"/>
        <v>23</v>
      </c>
      <c r="F3" s="91">
        <f t="shared" si="1"/>
        <v>22</v>
      </c>
      <c r="G3" s="91">
        <f t="shared" si="1"/>
        <v>24</v>
      </c>
      <c r="H3" s="91">
        <f t="shared" si="1"/>
        <v>19</v>
      </c>
      <c r="I3" s="91">
        <f t="shared" si="1"/>
        <v>23</v>
      </c>
      <c r="J3" s="91">
        <f t="shared" si="1"/>
        <v>25</v>
      </c>
      <c r="K3" s="91">
        <f t="shared" si="1"/>
        <v>21</v>
      </c>
      <c r="L3" s="91">
        <f t="shared" si="1"/>
        <v>21</v>
      </c>
      <c r="M3" s="91">
        <v>18</v>
      </c>
      <c r="N3" t="s">
        <v>73</v>
      </c>
      <c r="O3" s="92">
        <v>4968000</v>
      </c>
      <c r="P3" s="92">
        <v>2106000</v>
      </c>
    </row>
    <row r="4" spans="1:16">
      <c r="A4" s="93" t="s">
        <v>74</v>
      </c>
      <c r="B4" s="114">
        <f t="shared" ref="B4:M4" si="2">B2*$O$2</f>
        <v>771120000</v>
      </c>
      <c r="C4" s="114">
        <f t="shared" si="2"/>
        <v>771120000</v>
      </c>
      <c r="D4" s="114">
        <f t="shared" si="2"/>
        <v>624240000</v>
      </c>
      <c r="E4" s="114">
        <f t="shared" si="2"/>
        <v>807840000</v>
      </c>
      <c r="F4" s="114">
        <f t="shared" si="2"/>
        <v>771120000</v>
      </c>
      <c r="G4" s="114">
        <f t="shared" si="2"/>
        <v>844560000</v>
      </c>
      <c r="H4" s="114">
        <f t="shared" si="2"/>
        <v>660960000</v>
      </c>
      <c r="I4" s="114">
        <f t="shared" si="2"/>
        <v>807840000</v>
      </c>
      <c r="J4" s="114">
        <f t="shared" si="2"/>
        <v>844560000</v>
      </c>
      <c r="K4" s="114">
        <f t="shared" si="2"/>
        <v>734400000</v>
      </c>
      <c r="L4" s="114">
        <f t="shared" si="2"/>
        <v>734400000</v>
      </c>
      <c r="M4" s="114">
        <f t="shared" si="2"/>
        <v>624240000</v>
      </c>
      <c r="N4" s="92"/>
      <c r="O4" s="92"/>
      <c r="P4" s="92"/>
    </row>
    <row r="5" spans="1:16">
      <c r="A5" s="93" t="s">
        <v>75</v>
      </c>
      <c r="B5" s="114">
        <f>B3*$O$3</f>
        <v>109296000</v>
      </c>
      <c r="C5" s="114">
        <f>C3*$O$3</f>
        <v>109296000</v>
      </c>
      <c r="D5" s="114">
        <f t="shared" ref="D5:M5" si="3">D3*$O$3</f>
        <v>94392000</v>
      </c>
      <c r="E5" s="114">
        <f t="shared" si="3"/>
        <v>114264000</v>
      </c>
      <c r="F5" s="114">
        <f t="shared" si="3"/>
        <v>109296000</v>
      </c>
      <c r="G5" s="114">
        <f t="shared" si="3"/>
        <v>119232000</v>
      </c>
      <c r="H5" s="114">
        <f t="shared" si="3"/>
        <v>94392000</v>
      </c>
      <c r="I5" s="114">
        <f t="shared" si="3"/>
        <v>114264000</v>
      </c>
      <c r="J5" s="114">
        <f t="shared" si="3"/>
        <v>124200000</v>
      </c>
      <c r="K5" s="114">
        <f t="shared" si="3"/>
        <v>104328000</v>
      </c>
      <c r="L5" s="114">
        <f t="shared" si="3"/>
        <v>104328000</v>
      </c>
      <c r="M5" s="114">
        <f t="shared" si="3"/>
        <v>89424000</v>
      </c>
      <c r="N5" s="92"/>
      <c r="O5" s="92"/>
      <c r="P5" s="92"/>
    </row>
    <row r="6" spans="1:16">
      <c r="A6" s="93" t="s">
        <v>76</v>
      </c>
      <c r="B6" s="94">
        <v>15000000</v>
      </c>
      <c r="C6" s="94">
        <v>15000000</v>
      </c>
      <c r="D6" s="94">
        <v>15000000</v>
      </c>
      <c r="E6" s="94">
        <v>15000000</v>
      </c>
      <c r="F6" s="94">
        <v>15000000</v>
      </c>
      <c r="G6" s="94">
        <v>15000000</v>
      </c>
      <c r="H6" s="94">
        <v>15000000</v>
      </c>
      <c r="I6" s="94">
        <v>15000000</v>
      </c>
      <c r="J6" s="94">
        <v>15000000</v>
      </c>
      <c r="K6" s="94">
        <v>15000000</v>
      </c>
      <c r="L6" s="94">
        <v>15000000</v>
      </c>
      <c r="M6" s="94">
        <v>15000000</v>
      </c>
      <c r="N6" s="92"/>
      <c r="O6" s="92"/>
      <c r="P6" s="92"/>
    </row>
    <row r="7" spans="1:16">
      <c r="A7" s="93" t="s">
        <v>77</v>
      </c>
      <c r="B7" s="114"/>
      <c r="C7" s="114"/>
      <c r="D7" s="114">
        <v>35000000</v>
      </c>
      <c r="E7" s="114"/>
      <c r="F7" s="114"/>
      <c r="G7" s="114"/>
      <c r="H7" s="114">
        <v>25000000</v>
      </c>
      <c r="I7" s="114"/>
      <c r="J7" s="114"/>
      <c r="K7" s="114">
        <v>20000000</v>
      </c>
      <c r="L7" s="114"/>
      <c r="M7" s="114"/>
      <c r="N7" s="92"/>
      <c r="O7" s="92"/>
      <c r="P7" s="92"/>
    </row>
    <row r="8" spans="1:16">
      <c r="A8" s="95" t="s">
        <v>78</v>
      </c>
      <c r="B8" s="96">
        <f>SUM(B4:B7)</f>
        <v>895416000</v>
      </c>
      <c r="C8" s="96">
        <f>SUM(C4:C7)+10*1600000</f>
        <v>911416000</v>
      </c>
      <c r="D8" s="96">
        <f>SUM(D4:D7)</f>
        <v>768632000</v>
      </c>
      <c r="E8" s="96">
        <f>SUM(E4:E7)+10*1600000</f>
        <v>953104000</v>
      </c>
      <c r="F8" s="96">
        <f>SUM(F4:F7)+10*1600000</f>
        <v>911416000</v>
      </c>
      <c r="G8" s="96">
        <f>SUM(G4:G7)+20*1600000</f>
        <v>1010792000</v>
      </c>
      <c r="H8" s="96">
        <f>SUM(H4:H7)+30*1600000</f>
        <v>843352000</v>
      </c>
      <c r="I8" s="96">
        <f>SUM(I4:I7)+30*1600000</f>
        <v>985104000</v>
      </c>
      <c r="J8" s="96">
        <f>SUM(J4:J7)+30*1600000</f>
        <v>1031760000</v>
      </c>
      <c r="K8" s="96">
        <f>SUM(K4:K7)+30*1600000</f>
        <v>921728000</v>
      </c>
      <c r="L8" s="96">
        <f>SUM(L4:L7)+50*1600000</f>
        <v>933728000</v>
      </c>
      <c r="M8" s="96">
        <f>SUM(M4:M7)+20*1600000</f>
        <v>760664000</v>
      </c>
      <c r="N8" s="92"/>
      <c r="O8" s="92"/>
      <c r="P8" s="92"/>
    </row>
    <row r="9" spans="1:16">
      <c r="A9" s="97" t="s">
        <v>70</v>
      </c>
      <c r="B9" s="98">
        <v>21</v>
      </c>
      <c r="C9" s="98">
        <v>21</v>
      </c>
      <c r="D9" s="98">
        <v>17</v>
      </c>
      <c r="E9" s="98">
        <v>22</v>
      </c>
      <c r="F9" s="98">
        <v>21</v>
      </c>
      <c r="G9" s="98">
        <v>23</v>
      </c>
      <c r="H9" s="98">
        <v>18</v>
      </c>
      <c r="I9" s="98">
        <v>22</v>
      </c>
      <c r="J9" s="98">
        <v>23</v>
      </c>
      <c r="K9" s="98">
        <v>20</v>
      </c>
      <c r="L9" s="98">
        <v>20</v>
      </c>
      <c r="M9" s="98">
        <v>17</v>
      </c>
    </row>
    <row r="10" spans="1:16">
      <c r="A10" s="97" t="s">
        <v>72</v>
      </c>
      <c r="B10" s="98">
        <v>22</v>
      </c>
      <c r="C10" s="98">
        <v>22</v>
      </c>
      <c r="D10" s="98">
        <v>19</v>
      </c>
      <c r="E10" s="98">
        <v>23</v>
      </c>
      <c r="F10" s="98">
        <v>22</v>
      </c>
      <c r="G10" s="98">
        <v>24</v>
      </c>
      <c r="H10" s="98">
        <v>19</v>
      </c>
      <c r="I10" s="98">
        <v>23</v>
      </c>
      <c r="J10" s="98">
        <v>25</v>
      </c>
      <c r="K10" s="98">
        <v>21</v>
      </c>
      <c r="L10" s="98">
        <v>21</v>
      </c>
      <c r="M10" s="98">
        <v>18</v>
      </c>
    </row>
    <row r="11" spans="1:16">
      <c r="A11" s="99" t="s">
        <v>74</v>
      </c>
      <c r="B11" s="115">
        <f>B9*$P$2</f>
        <v>560637000</v>
      </c>
      <c r="C11" s="115">
        <f t="shared" ref="C11:M11" si="4">C9*$P$2</f>
        <v>560637000</v>
      </c>
      <c r="D11" s="115">
        <f t="shared" si="4"/>
        <v>453849000</v>
      </c>
      <c r="E11" s="115">
        <f t="shared" si="4"/>
        <v>587334000</v>
      </c>
      <c r="F11" s="115">
        <f t="shared" si="4"/>
        <v>560637000</v>
      </c>
      <c r="G11" s="115">
        <f t="shared" si="4"/>
        <v>614031000</v>
      </c>
      <c r="H11" s="115">
        <f t="shared" si="4"/>
        <v>480546000</v>
      </c>
      <c r="I11" s="115">
        <f t="shared" si="4"/>
        <v>587334000</v>
      </c>
      <c r="J11" s="115">
        <f t="shared" si="4"/>
        <v>614031000</v>
      </c>
      <c r="K11" s="115">
        <f t="shared" si="4"/>
        <v>533940000</v>
      </c>
      <c r="L11" s="115">
        <f t="shared" si="4"/>
        <v>533940000</v>
      </c>
      <c r="M11" s="115">
        <f t="shared" si="4"/>
        <v>453849000</v>
      </c>
      <c r="N11" s="92"/>
      <c r="O11" s="92"/>
      <c r="P11" s="92"/>
    </row>
    <row r="12" spans="1:16">
      <c r="A12" s="99" t="s">
        <v>75</v>
      </c>
      <c r="B12" s="115">
        <f>B10*$P$3</f>
        <v>46332000</v>
      </c>
      <c r="C12" s="115">
        <f t="shared" ref="C12:M12" si="5">C10*$P$3</f>
        <v>46332000</v>
      </c>
      <c r="D12" s="115">
        <f t="shared" si="5"/>
        <v>40014000</v>
      </c>
      <c r="E12" s="115">
        <f t="shared" si="5"/>
        <v>48438000</v>
      </c>
      <c r="F12" s="115">
        <f t="shared" si="5"/>
        <v>46332000</v>
      </c>
      <c r="G12" s="115">
        <f t="shared" si="5"/>
        <v>50544000</v>
      </c>
      <c r="H12" s="115">
        <f t="shared" si="5"/>
        <v>40014000</v>
      </c>
      <c r="I12" s="115">
        <f t="shared" si="5"/>
        <v>48438000</v>
      </c>
      <c r="J12" s="115">
        <f t="shared" si="5"/>
        <v>52650000</v>
      </c>
      <c r="K12" s="115">
        <f t="shared" si="5"/>
        <v>44226000</v>
      </c>
      <c r="L12" s="115">
        <f t="shared" si="5"/>
        <v>44226000</v>
      </c>
      <c r="M12" s="115">
        <f t="shared" si="5"/>
        <v>37908000</v>
      </c>
      <c r="N12" s="92"/>
      <c r="O12" s="92"/>
      <c r="P12" s="92"/>
    </row>
    <row r="13" spans="1:16">
      <c r="A13" s="99" t="s">
        <v>76</v>
      </c>
      <c r="B13" s="100">
        <v>10000000</v>
      </c>
      <c r="C13" s="100">
        <v>10000000</v>
      </c>
      <c r="D13" s="100">
        <v>10000000</v>
      </c>
      <c r="E13" s="100">
        <v>10000000</v>
      </c>
      <c r="F13" s="100">
        <v>10000000</v>
      </c>
      <c r="G13" s="100">
        <v>10000000</v>
      </c>
      <c r="H13" s="100">
        <v>10000000</v>
      </c>
      <c r="I13" s="100">
        <v>10000000</v>
      </c>
      <c r="J13" s="100">
        <v>10000000</v>
      </c>
      <c r="K13" s="100">
        <v>10000000</v>
      </c>
      <c r="L13" s="100">
        <v>10000000</v>
      </c>
      <c r="M13" s="100">
        <v>10000000</v>
      </c>
      <c r="N13" s="92"/>
      <c r="O13" s="92"/>
      <c r="P13" s="92"/>
    </row>
    <row r="14" spans="1:16">
      <c r="A14" s="99" t="s">
        <v>77</v>
      </c>
      <c r="B14" s="115"/>
      <c r="C14" s="115"/>
      <c r="D14" s="115">
        <v>25000000</v>
      </c>
      <c r="E14" s="115"/>
      <c r="F14" s="115"/>
      <c r="G14" s="115"/>
      <c r="H14" s="115">
        <v>20000000</v>
      </c>
      <c r="I14" s="115"/>
      <c r="J14" s="115"/>
      <c r="K14" s="115">
        <v>15000000</v>
      </c>
      <c r="L14" s="115"/>
      <c r="M14" s="115"/>
      <c r="N14" s="92"/>
      <c r="O14" s="92"/>
      <c r="P14" s="92"/>
    </row>
    <row r="15" spans="1:16">
      <c r="A15" s="101" t="s">
        <v>79</v>
      </c>
      <c r="B15" s="102">
        <f>SUM(B11:B14)</f>
        <v>616969000</v>
      </c>
      <c r="C15" s="102">
        <f>SUM(C11:C14)+10*1600000</f>
        <v>632969000</v>
      </c>
      <c r="D15" s="102">
        <f>SUM(D11:D14)</f>
        <v>528863000</v>
      </c>
      <c r="E15" s="102">
        <f>SUM(E11:E14)+10*1600000</f>
        <v>661772000</v>
      </c>
      <c r="F15" s="102">
        <f>SUM(F11:F14)+10*1600000</f>
        <v>632969000</v>
      </c>
      <c r="G15" s="102">
        <f>SUM(G11:G14)+20*1600000</f>
        <v>706575000</v>
      </c>
      <c r="H15" s="102">
        <f>SUM(H11:H14)+30*1600000</f>
        <v>598560000</v>
      </c>
      <c r="I15" s="102">
        <f>SUM(I11:I14)+30*1600000</f>
        <v>693772000</v>
      </c>
      <c r="J15" s="102">
        <f>SUM(J11:J14)+30*1600000</f>
        <v>724681000</v>
      </c>
      <c r="K15" s="102">
        <f>SUM(K11:K14)+30*1600000</f>
        <v>651166000</v>
      </c>
      <c r="L15" s="102">
        <f>SUM(L11:L14)+50*1600000</f>
        <v>668166000</v>
      </c>
      <c r="M15" s="102">
        <f>SUM(M11:M14)+20*1600000</f>
        <v>533757000</v>
      </c>
      <c r="N15" s="92"/>
      <c r="O15" s="92"/>
      <c r="P15" s="92"/>
    </row>
    <row r="16" spans="1:16">
      <c r="A16" s="103"/>
      <c r="B16" s="104">
        <f>B8+B15</f>
        <v>1512385000</v>
      </c>
      <c r="C16" s="104">
        <f t="shared" ref="C16:M16" si="6">C8+C15</f>
        <v>1544385000</v>
      </c>
      <c r="D16" s="104">
        <f t="shared" si="6"/>
        <v>1297495000</v>
      </c>
      <c r="E16" s="104">
        <f t="shared" si="6"/>
        <v>1614876000</v>
      </c>
      <c r="F16" s="104">
        <f t="shared" si="6"/>
        <v>1544385000</v>
      </c>
      <c r="G16" s="104">
        <f t="shared" si="6"/>
        <v>1717367000</v>
      </c>
      <c r="H16" s="104">
        <f t="shared" si="6"/>
        <v>1441912000</v>
      </c>
      <c r="I16" s="104">
        <f t="shared" si="6"/>
        <v>1678876000</v>
      </c>
      <c r="J16" s="104">
        <f t="shared" si="6"/>
        <v>1756441000</v>
      </c>
      <c r="K16" s="104">
        <f t="shared" si="6"/>
        <v>1572894000</v>
      </c>
      <c r="L16" s="104">
        <f t="shared" si="6"/>
        <v>1601894000</v>
      </c>
      <c r="M16" s="104">
        <f t="shared" si="6"/>
        <v>1294421000</v>
      </c>
      <c r="N16" s="92"/>
      <c r="O16" s="92"/>
      <c r="P16" s="92"/>
    </row>
    <row r="17" spans="1:16">
      <c r="A17" s="105" t="s">
        <v>80</v>
      </c>
      <c r="B17" s="106">
        <v>5550</v>
      </c>
      <c r="C17" s="106">
        <v>5768</v>
      </c>
      <c r="D17" s="106">
        <v>5444</v>
      </c>
      <c r="E17" s="106">
        <v>5866</v>
      </c>
      <c r="F17" s="106">
        <v>5754</v>
      </c>
      <c r="G17" s="106">
        <v>6181</v>
      </c>
      <c r="H17" s="106">
        <v>6323</v>
      </c>
      <c r="I17" s="106">
        <v>6334</v>
      </c>
      <c r="J17" s="106">
        <v>6275</v>
      </c>
      <c r="K17" s="106">
        <v>6419</v>
      </c>
      <c r="L17" s="106">
        <v>6672</v>
      </c>
      <c r="M17" s="106">
        <v>6136</v>
      </c>
      <c r="N17" s="106"/>
      <c r="O17" s="92"/>
      <c r="P17" s="92"/>
    </row>
    <row r="18" spans="1:16">
      <c r="A18" s="103" t="s">
        <v>81</v>
      </c>
      <c r="B18" s="104">
        <v>880</v>
      </c>
      <c r="C18" s="104">
        <f>ROUNDUP(C17*16%,0)-10</f>
        <v>913</v>
      </c>
      <c r="D18" s="104">
        <f t="shared" ref="D18:L18" si="7">ROUNDUP(D17*16%,0)-10</f>
        <v>862</v>
      </c>
      <c r="E18" s="104">
        <f t="shared" si="7"/>
        <v>929</v>
      </c>
      <c r="F18" s="104">
        <f t="shared" si="7"/>
        <v>911</v>
      </c>
      <c r="G18" s="104">
        <f t="shared" si="7"/>
        <v>979</v>
      </c>
      <c r="H18" s="104">
        <f t="shared" si="7"/>
        <v>1002</v>
      </c>
      <c r="I18" s="104">
        <f t="shared" si="7"/>
        <v>1004</v>
      </c>
      <c r="J18" s="104">
        <f t="shared" si="7"/>
        <v>994</v>
      </c>
      <c r="K18" s="104">
        <f t="shared" si="7"/>
        <v>1018</v>
      </c>
      <c r="L18" s="104">
        <f t="shared" si="7"/>
        <v>1058</v>
      </c>
      <c r="M18" s="104">
        <f>ROUNDUP(M17*16%,0)-20</f>
        <v>962</v>
      </c>
      <c r="N18" s="104"/>
      <c r="O18" s="92"/>
      <c r="P18" s="92"/>
    </row>
    <row r="19" spans="1:16">
      <c r="A19" s="103" t="s">
        <v>82</v>
      </c>
      <c r="B19" s="104">
        <f t="shared" ref="B19:M19" si="8">ROUNDUP(B16/B18,0)</f>
        <v>1718620</v>
      </c>
      <c r="C19" s="104">
        <f t="shared" si="8"/>
        <v>1691550</v>
      </c>
      <c r="D19" s="104">
        <f t="shared" si="8"/>
        <v>1505215</v>
      </c>
      <c r="E19" s="104">
        <f t="shared" si="8"/>
        <v>1738295</v>
      </c>
      <c r="F19" s="104">
        <f t="shared" si="8"/>
        <v>1695264</v>
      </c>
      <c r="G19" s="104">
        <f t="shared" si="8"/>
        <v>1754206</v>
      </c>
      <c r="H19" s="104">
        <f t="shared" si="8"/>
        <v>1439034</v>
      </c>
      <c r="I19" s="104">
        <f t="shared" si="8"/>
        <v>1672188</v>
      </c>
      <c r="J19" s="104">
        <f t="shared" si="8"/>
        <v>1767044</v>
      </c>
      <c r="K19" s="104">
        <f t="shared" si="8"/>
        <v>1545083</v>
      </c>
      <c r="L19" s="104">
        <f t="shared" si="8"/>
        <v>1514078</v>
      </c>
      <c r="M19" s="104">
        <f t="shared" si="8"/>
        <v>1345552</v>
      </c>
      <c r="N19" s="92"/>
      <c r="O19" s="92"/>
      <c r="P19" s="92"/>
    </row>
    <row r="20" spans="1:16">
      <c r="A20" s="107"/>
      <c r="B20" s="108"/>
      <c r="C20" s="108"/>
      <c r="D20" s="108"/>
      <c r="E20" s="108"/>
      <c r="F20" s="108"/>
      <c r="G20" s="108"/>
      <c r="H20" s="108"/>
      <c r="I20" s="108"/>
      <c r="J20" s="108"/>
      <c r="K20" s="108"/>
      <c r="L20" s="108"/>
      <c r="M20" s="108"/>
      <c r="N20" s="92"/>
      <c r="O20" s="92"/>
      <c r="P20" s="92"/>
    </row>
    <row r="21" spans="1:16">
      <c r="A21" s="107" t="s">
        <v>83</v>
      </c>
      <c r="B21" s="67">
        <v>45338</v>
      </c>
      <c r="C21" s="67"/>
      <c r="D21" s="67">
        <v>45398</v>
      </c>
      <c r="E21" s="67">
        <v>45428</v>
      </c>
      <c r="F21" s="67"/>
      <c r="G21" s="67">
        <v>45489</v>
      </c>
      <c r="H21" s="67">
        <v>45520</v>
      </c>
      <c r="I21" s="67">
        <v>45551</v>
      </c>
      <c r="J21" s="67">
        <v>45581</v>
      </c>
      <c r="K21" s="67"/>
      <c r="L21" s="67">
        <v>45642</v>
      </c>
      <c r="M21" s="67">
        <v>45673</v>
      </c>
    </row>
    <row r="22" spans="1:16">
      <c r="B22" s="67">
        <v>45339</v>
      </c>
      <c r="C22" s="67"/>
      <c r="D22" s="67">
        <v>45399</v>
      </c>
      <c r="E22" s="67">
        <v>45429</v>
      </c>
      <c r="F22" s="67">
        <v>45460</v>
      </c>
      <c r="G22" s="67">
        <v>45490</v>
      </c>
      <c r="H22" s="67"/>
      <c r="I22" s="67">
        <v>45552</v>
      </c>
      <c r="J22" s="67">
        <v>45582</v>
      </c>
      <c r="K22" s="67"/>
      <c r="L22" s="67">
        <v>45643</v>
      </c>
      <c r="M22" s="67">
        <v>45674</v>
      </c>
    </row>
    <row r="23" spans="1:16">
      <c r="B23" s="67"/>
      <c r="C23" s="67">
        <v>45369</v>
      </c>
      <c r="D23" s="67"/>
      <c r="E23" s="67"/>
      <c r="F23" s="67">
        <v>45461</v>
      </c>
      <c r="G23" s="67">
        <v>45491</v>
      </c>
      <c r="H23" s="67"/>
      <c r="I23" s="67">
        <v>45553</v>
      </c>
      <c r="J23" s="67">
        <v>45583</v>
      </c>
      <c r="K23" s="67">
        <v>45614</v>
      </c>
      <c r="L23" s="67">
        <v>45644</v>
      </c>
      <c r="M23" s="67"/>
    </row>
    <row r="24" spans="1:16">
      <c r="B24" s="67">
        <v>45341</v>
      </c>
      <c r="C24" s="67">
        <v>45370</v>
      </c>
      <c r="D24" s="67">
        <v>45401</v>
      </c>
      <c r="E24" s="67"/>
      <c r="F24" s="67">
        <v>45462</v>
      </c>
      <c r="G24" s="67">
        <v>45492</v>
      </c>
      <c r="H24" s="67">
        <v>45523</v>
      </c>
      <c r="I24" s="67">
        <v>45554</v>
      </c>
      <c r="J24" s="67"/>
      <c r="K24" s="67">
        <v>45615</v>
      </c>
      <c r="L24" s="67">
        <v>45645</v>
      </c>
      <c r="M24" s="67"/>
    </row>
    <row r="25" spans="1:16">
      <c r="B25" s="67">
        <v>45342</v>
      </c>
      <c r="C25" s="67">
        <v>45371</v>
      </c>
      <c r="D25" s="67"/>
      <c r="E25" s="67">
        <v>45432</v>
      </c>
      <c r="F25" s="67">
        <v>45463</v>
      </c>
      <c r="G25" s="67"/>
      <c r="H25" s="67">
        <v>45524</v>
      </c>
      <c r="I25" s="67">
        <v>45555</v>
      </c>
      <c r="J25" s="67"/>
      <c r="K25" s="67">
        <v>45616</v>
      </c>
      <c r="L25" s="67">
        <v>45646</v>
      </c>
      <c r="M25" s="67">
        <v>45677</v>
      </c>
    </row>
    <row r="26" spans="1:16">
      <c r="B26" s="67">
        <v>45343</v>
      </c>
      <c r="C26" s="67">
        <v>45372</v>
      </c>
      <c r="D26" s="67"/>
      <c r="E26" s="67">
        <v>45433</v>
      </c>
      <c r="F26" s="67">
        <v>45464</v>
      </c>
      <c r="G26" s="67"/>
      <c r="H26" s="67">
        <v>45525</v>
      </c>
      <c r="I26" s="67"/>
      <c r="J26" s="67">
        <v>45586</v>
      </c>
      <c r="K26" s="67">
        <v>45617</v>
      </c>
      <c r="L26" s="67"/>
      <c r="M26" s="67">
        <v>45678</v>
      </c>
    </row>
    <row r="27" spans="1:16">
      <c r="B27" s="67">
        <v>45344</v>
      </c>
      <c r="C27" s="67">
        <v>45373</v>
      </c>
      <c r="D27" s="67">
        <v>45404</v>
      </c>
      <c r="E27" s="67">
        <v>45434</v>
      </c>
      <c r="F27" s="67"/>
      <c r="G27" s="67">
        <v>45495</v>
      </c>
      <c r="H27" s="67">
        <v>45526</v>
      </c>
      <c r="I27" s="67"/>
      <c r="J27" s="67">
        <v>45587</v>
      </c>
      <c r="K27" s="67">
        <v>45618</v>
      </c>
      <c r="L27" s="67"/>
      <c r="M27" s="67">
        <v>45679</v>
      </c>
    </row>
    <row r="28" spans="1:16">
      <c r="B28" s="67">
        <v>45345</v>
      </c>
      <c r="C28" s="67"/>
      <c r="D28" s="67">
        <v>45405</v>
      </c>
      <c r="E28" s="67">
        <v>45435</v>
      </c>
      <c r="F28" s="67"/>
      <c r="G28" s="67">
        <v>45496</v>
      </c>
      <c r="H28" s="67">
        <v>45527</v>
      </c>
      <c r="I28" s="67">
        <v>45558</v>
      </c>
      <c r="J28" s="67">
        <v>45588</v>
      </c>
      <c r="K28" s="67"/>
      <c r="L28" s="67">
        <v>45649</v>
      </c>
      <c r="M28" s="67">
        <v>45680</v>
      </c>
    </row>
    <row r="29" spans="1:16">
      <c r="B29" s="67"/>
      <c r="C29" s="67"/>
      <c r="D29" s="67">
        <v>45406</v>
      </c>
      <c r="E29" s="67">
        <v>45436</v>
      </c>
      <c r="F29" s="67">
        <v>45467</v>
      </c>
      <c r="G29" s="67">
        <v>45497</v>
      </c>
      <c r="H29" s="67"/>
      <c r="I29" s="67">
        <v>45559</v>
      </c>
      <c r="J29" s="67">
        <v>45589</v>
      </c>
      <c r="K29" s="67"/>
      <c r="L29" s="67">
        <v>45650</v>
      </c>
      <c r="M29" s="67">
        <v>45681</v>
      </c>
    </row>
    <row r="30" spans="1:16">
      <c r="B30" s="67"/>
      <c r="C30" s="67">
        <v>45376</v>
      </c>
      <c r="D30" s="67">
        <v>45407</v>
      </c>
      <c r="E30" s="67"/>
      <c r="F30" s="67">
        <v>45468</v>
      </c>
      <c r="G30" s="67">
        <v>45498</v>
      </c>
      <c r="H30" s="67"/>
      <c r="I30" s="67">
        <v>45560</v>
      </c>
      <c r="J30" s="67">
        <v>45590</v>
      </c>
      <c r="K30" s="67">
        <v>45621</v>
      </c>
      <c r="L30" s="67">
        <v>45651</v>
      </c>
      <c r="M30" s="67"/>
    </row>
    <row r="31" spans="1:16">
      <c r="B31" s="67">
        <v>45348</v>
      </c>
      <c r="C31" s="67">
        <v>45377</v>
      </c>
      <c r="D31" s="67">
        <v>45408</v>
      </c>
      <c r="E31" s="67"/>
      <c r="F31" s="67">
        <v>45469</v>
      </c>
      <c r="G31" s="67">
        <v>45499</v>
      </c>
      <c r="H31" s="67">
        <v>45530</v>
      </c>
      <c r="I31" s="67">
        <v>45561</v>
      </c>
      <c r="J31" s="67"/>
      <c r="K31" s="67">
        <v>45622</v>
      </c>
      <c r="L31" s="67">
        <v>45652</v>
      </c>
      <c r="M31" s="67"/>
    </row>
    <row r="32" spans="1:16">
      <c r="B32" s="67">
        <v>45349</v>
      </c>
      <c r="C32" s="67">
        <v>45378</v>
      </c>
      <c r="D32" s="67"/>
      <c r="E32" s="67">
        <v>45439</v>
      </c>
      <c r="F32" s="67">
        <v>45470</v>
      </c>
      <c r="G32" s="67"/>
      <c r="H32" s="67">
        <v>45531</v>
      </c>
      <c r="I32" s="67">
        <v>45562</v>
      </c>
      <c r="J32" s="67"/>
      <c r="K32" s="67">
        <v>45623</v>
      </c>
      <c r="L32" s="67">
        <v>45653</v>
      </c>
      <c r="M32" s="67"/>
    </row>
    <row r="33" spans="2:13">
      <c r="B33" s="67">
        <v>45350</v>
      </c>
      <c r="C33" s="67">
        <v>45379</v>
      </c>
      <c r="D33" s="67"/>
      <c r="E33" s="67">
        <v>45440</v>
      </c>
      <c r="F33" s="67">
        <v>45471</v>
      </c>
      <c r="G33" s="67"/>
      <c r="H33" s="67">
        <v>45532</v>
      </c>
      <c r="I33" s="67"/>
      <c r="J33" s="67">
        <v>45593</v>
      </c>
      <c r="K33" s="67">
        <v>45624</v>
      </c>
      <c r="L33" s="67"/>
      <c r="M33" s="67"/>
    </row>
    <row r="34" spans="2:13">
      <c r="B34" s="67">
        <v>45351</v>
      </c>
      <c r="C34" s="67">
        <v>45380</v>
      </c>
      <c r="D34" s="67"/>
      <c r="E34" s="67">
        <v>45441</v>
      </c>
      <c r="F34" s="67"/>
      <c r="G34" s="67">
        <v>45502</v>
      </c>
      <c r="H34" s="67">
        <v>45533</v>
      </c>
      <c r="I34" s="67"/>
      <c r="J34" s="67">
        <v>45594</v>
      </c>
      <c r="K34" s="67">
        <v>45625</v>
      </c>
      <c r="L34" s="67"/>
      <c r="M34" s="67"/>
    </row>
    <row r="35" spans="2:13">
      <c r="B35" s="67"/>
      <c r="C35" s="67"/>
      <c r="D35" s="67"/>
      <c r="E35" s="67">
        <v>45442</v>
      </c>
      <c r="F35" s="67"/>
      <c r="G35" s="67">
        <v>45503</v>
      </c>
      <c r="H35" s="67">
        <v>45534</v>
      </c>
      <c r="I35" s="67">
        <v>45565</v>
      </c>
      <c r="J35" s="67">
        <v>45595</v>
      </c>
      <c r="K35" s="67"/>
      <c r="L35" s="67"/>
      <c r="M35" s="67"/>
    </row>
    <row r="36" spans="2:13">
      <c r="B36" s="67"/>
      <c r="C36" s="67"/>
      <c r="D36" s="67"/>
      <c r="E36" s="67">
        <v>45443</v>
      </c>
      <c r="F36" s="67">
        <v>45474</v>
      </c>
      <c r="G36" s="67">
        <v>45504</v>
      </c>
      <c r="H36" s="67"/>
      <c r="I36" s="67">
        <v>45566</v>
      </c>
      <c r="J36" s="67">
        <v>45596</v>
      </c>
      <c r="K36" s="67"/>
      <c r="L36" s="67"/>
      <c r="M36" s="67"/>
    </row>
    <row r="37" spans="2:13">
      <c r="B37" s="67"/>
      <c r="C37" s="67">
        <v>45383</v>
      </c>
      <c r="D37" s="67">
        <v>45414</v>
      </c>
      <c r="E37" s="67"/>
      <c r="F37" s="67">
        <v>45475</v>
      </c>
      <c r="G37" s="67">
        <v>45505</v>
      </c>
      <c r="H37" s="67"/>
      <c r="I37" s="67">
        <v>45567</v>
      </c>
      <c r="J37" s="67">
        <v>45597</v>
      </c>
      <c r="K37" s="67">
        <v>45628</v>
      </c>
      <c r="L37" s="67"/>
      <c r="M37" s="67"/>
    </row>
    <row r="38" spans="2:13">
      <c r="B38" s="67">
        <v>45355</v>
      </c>
      <c r="C38" s="67">
        <v>45384</v>
      </c>
      <c r="D38" s="67">
        <v>45415</v>
      </c>
      <c r="E38" s="67"/>
      <c r="F38" s="67">
        <v>45476</v>
      </c>
      <c r="G38" s="67">
        <v>45506</v>
      </c>
      <c r="H38" s="67"/>
      <c r="I38" s="67">
        <v>45568</v>
      </c>
      <c r="J38" s="67"/>
      <c r="K38" s="67">
        <v>45629</v>
      </c>
      <c r="L38" s="67">
        <v>45659</v>
      </c>
      <c r="M38" s="67"/>
    </row>
    <row r="39" spans="2:13">
      <c r="B39" s="67">
        <v>45356</v>
      </c>
      <c r="C39" s="67">
        <v>45385</v>
      </c>
      <c r="D39" s="67"/>
      <c r="E39" s="67">
        <v>45446</v>
      </c>
      <c r="F39" s="67">
        <v>45477</v>
      </c>
      <c r="G39" s="67"/>
      <c r="H39" s="67"/>
      <c r="I39" s="67">
        <v>45569</v>
      </c>
      <c r="J39" s="67"/>
      <c r="K39" s="67">
        <v>45630</v>
      </c>
      <c r="L39" s="67">
        <v>45660</v>
      </c>
      <c r="M39" s="67">
        <v>45691</v>
      </c>
    </row>
    <row r="40" spans="2:13">
      <c r="B40" s="67">
        <v>45357</v>
      </c>
      <c r="C40" s="67">
        <v>45386</v>
      </c>
      <c r="D40" s="67"/>
      <c r="E40" s="67">
        <v>45447</v>
      </c>
      <c r="F40" s="67">
        <v>45478</v>
      </c>
      <c r="G40" s="67"/>
      <c r="H40" s="67"/>
      <c r="I40" s="67"/>
      <c r="J40" s="67">
        <v>45600</v>
      </c>
      <c r="K40" s="67">
        <v>45631</v>
      </c>
      <c r="L40" s="67"/>
      <c r="M40" s="67">
        <v>45692</v>
      </c>
    </row>
    <row r="41" spans="2:13">
      <c r="B41" s="67">
        <v>45358</v>
      </c>
      <c r="C41" s="67">
        <v>45387</v>
      </c>
      <c r="D41" s="67">
        <v>45418</v>
      </c>
      <c r="E41" s="67">
        <v>45448</v>
      </c>
      <c r="F41" s="67"/>
      <c r="G41" s="67">
        <v>45509</v>
      </c>
      <c r="H41" s="67"/>
      <c r="I41" s="67"/>
      <c r="J41" s="67">
        <v>45601</v>
      </c>
      <c r="K41" s="67">
        <v>45632</v>
      </c>
      <c r="L41" s="67"/>
      <c r="M41" s="67">
        <v>45693</v>
      </c>
    </row>
    <row r="42" spans="2:13">
      <c r="B42" s="67">
        <v>45359</v>
      </c>
      <c r="C42" s="67"/>
      <c r="D42" s="67">
        <v>45419</v>
      </c>
      <c r="E42" s="67">
        <v>45449</v>
      </c>
      <c r="F42" s="67"/>
      <c r="G42" s="67">
        <v>45510</v>
      </c>
      <c r="H42" s="67">
        <v>45541</v>
      </c>
      <c r="I42" s="67">
        <v>45572</v>
      </c>
      <c r="J42" s="67">
        <v>45602</v>
      </c>
      <c r="K42" s="67"/>
      <c r="L42" s="67">
        <v>45663</v>
      </c>
      <c r="M42" s="67">
        <v>45694</v>
      </c>
    </row>
    <row r="43" spans="2:13">
      <c r="B43" s="67"/>
      <c r="C43" s="67"/>
      <c r="D43" s="67">
        <v>45420</v>
      </c>
      <c r="E43" s="67">
        <v>45450</v>
      </c>
      <c r="F43" s="67">
        <v>45481</v>
      </c>
      <c r="G43" s="67">
        <v>45511</v>
      </c>
      <c r="H43" s="67">
        <v>45542</v>
      </c>
      <c r="I43" s="67">
        <v>45573</v>
      </c>
      <c r="J43" s="67">
        <v>45603</v>
      </c>
      <c r="K43" s="67"/>
      <c r="L43" s="67">
        <v>45664</v>
      </c>
      <c r="M43" s="67">
        <v>45695</v>
      </c>
    </row>
    <row r="44" spans="2:13">
      <c r="B44" s="67"/>
      <c r="C44" s="67">
        <v>45390</v>
      </c>
      <c r="D44" s="67">
        <v>45421</v>
      </c>
      <c r="E44" s="109"/>
      <c r="F44" s="67">
        <v>45482</v>
      </c>
      <c r="G44" s="67">
        <v>45512</v>
      </c>
      <c r="H44" s="67"/>
      <c r="I44" s="67">
        <v>45574</v>
      </c>
      <c r="J44" s="67">
        <v>45604</v>
      </c>
      <c r="K44" s="67">
        <v>45635</v>
      </c>
      <c r="L44" s="67">
        <v>45665</v>
      </c>
      <c r="M44" s="67"/>
    </row>
    <row r="45" spans="2:13">
      <c r="B45" s="67">
        <v>45362</v>
      </c>
      <c r="C45" s="67">
        <v>45391</v>
      </c>
      <c r="D45" s="67"/>
      <c r="E45" s="67"/>
      <c r="F45" s="67">
        <v>45483</v>
      </c>
      <c r="G45" s="67">
        <v>45513</v>
      </c>
      <c r="H45" s="67">
        <v>45544</v>
      </c>
      <c r="I45" s="67">
        <v>45575</v>
      </c>
      <c r="J45" s="67"/>
      <c r="K45" s="67">
        <v>45636</v>
      </c>
      <c r="L45" s="67">
        <v>45666</v>
      </c>
      <c r="M45" s="67"/>
    </row>
    <row r="46" spans="2:13">
      <c r="B46" s="67">
        <v>45363</v>
      </c>
      <c r="C46" s="67">
        <v>45392</v>
      </c>
      <c r="D46" s="67"/>
      <c r="E46" s="67">
        <v>45453</v>
      </c>
      <c r="F46" s="67">
        <v>45484</v>
      </c>
      <c r="G46" s="67"/>
      <c r="H46" s="67">
        <v>45545</v>
      </c>
      <c r="I46" s="67">
        <v>45576</v>
      </c>
      <c r="J46" s="67"/>
      <c r="K46" s="67">
        <v>45637</v>
      </c>
      <c r="L46" s="67">
        <v>45667</v>
      </c>
      <c r="M46" s="67">
        <v>45698</v>
      </c>
    </row>
    <row r="47" spans="2:13">
      <c r="B47" s="67">
        <v>45364</v>
      </c>
      <c r="C47" s="67">
        <v>45393</v>
      </c>
      <c r="D47" s="67"/>
      <c r="E47" s="67">
        <v>45454</v>
      </c>
      <c r="F47" s="67">
        <v>45485</v>
      </c>
      <c r="G47" s="67"/>
      <c r="H47" s="67">
        <v>45546</v>
      </c>
      <c r="I47" s="67"/>
      <c r="J47" s="67">
        <v>45607</v>
      </c>
      <c r="K47" s="67">
        <v>45638</v>
      </c>
      <c r="L47" s="67"/>
      <c r="M47" s="67">
        <v>45699</v>
      </c>
    </row>
    <row r="48" spans="2:13">
      <c r="B48" s="67">
        <v>45365</v>
      </c>
      <c r="C48" s="67">
        <v>45394</v>
      </c>
      <c r="D48" s="67">
        <v>45425</v>
      </c>
      <c r="E48" s="67">
        <v>45455</v>
      </c>
      <c r="F48" s="67"/>
      <c r="G48" s="67">
        <v>45516</v>
      </c>
      <c r="H48" s="67">
        <v>45547</v>
      </c>
      <c r="I48" s="67"/>
      <c r="J48" s="67">
        <v>45608</v>
      </c>
      <c r="K48" s="67">
        <v>45639</v>
      </c>
      <c r="L48" s="67"/>
      <c r="M48" s="67">
        <v>45700</v>
      </c>
    </row>
    <row r="49" spans="1:13">
      <c r="B49" s="67">
        <v>45366</v>
      </c>
      <c r="C49" s="67"/>
      <c r="D49" s="67">
        <v>45426</v>
      </c>
      <c r="E49" s="67">
        <v>45456</v>
      </c>
      <c r="F49" s="67"/>
      <c r="G49" s="67">
        <v>45517</v>
      </c>
      <c r="H49" s="67">
        <v>45548</v>
      </c>
      <c r="I49" s="67">
        <v>45579</v>
      </c>
      <c r="J49" s="67">
        <v>45609</v>
      </c>
      <c r="K49" s="67"/>
      <c r="L49" s="67">
        <v>45670</v>
      </c>
      <c r="M49" s="67">
        <v>45701</v>
      </c>
    </row>
    <row r="50" spans="1:13">
      <c r="C50" s="67"/>
      <c r="D50" s="67">
        <v>45427</v>
      </c>
      <c r="E50" s="67">
        <v>45457</v>
      </c>
      <c r="F50" s="67">
        <v>45488</v>
      </c>
      <c r="G50" s="67">
        <v>45518</v>
      </c>
      <c r="H50" s="67"/>
      <c r="I50" s="67">
        <v>45580</v>
      </c>
      <c r="J50" s="67">
        <v>45610</v>
      </c>
      <c r="K50" s="67"/>
      <c r="L50" s="67">
        <v>45671</v>
      </c>
      <c r="M50" s="67">
        <v>45702</v>
      </c>
    </row>
    <row r="51" spans="1:13">
      <c r="C51" s="67">
        <v>45397</v>
      </c>
      <c r="E51" s="67"/>
      <c r="G51" s="67">
        <v>45519</v>
      </c>
      <c r="H51" s="67"/>
      <c r="J51" s="67">
        <v>45611</v>
      </c>
      <c r="L51" s="67">
        <v>45672</v>
      </c>
      <c r="M51" s="67"/>
    </row>
    <row r="52" spans="1:13">
      <c r="A52" s="88"/>
      <c r="B52" s="110"/>
      <c r="C52" s="110"/>
      <c r="D52" s="110"/>
      <c r="E52" s="110"/>
      <c r="F52" s="110"/>
      <c r="G52" s="110"/>
      <c r="H52" s="110"/>
      <c r="I52" s="110"/>
      <c r="J52" s="110"/>
      <c r="K52" s="110"/>
      <c r="L52" s="110"/>
      <c r="M52" s="110"/>
    </row>
    <row r="53" spans="1:13">
      <c r="A53" s="107" t="s">
        <v>84</v>
      </c>
      <c r="B53" s="67">
        <v>45338</v>
      </c>
      <c r="C53" s="67"/>
      <c r="D53" s="67">
        <v>45398</v>
      </c>
      <c r="E53" s="67">
        <v>45428</v>
      </c>
      <c r="F53" s="67"/>
      <c r="G53" s="67">
        <v>45489</v>
      </c>
      <c r="H53" s="67">
        <v>45520</v>
      </c>
      <c r="I53" s="67">
        <v>45551</v>
      </c>
      <c r="J53" s="67">
        <v>45581</v>
      </c>
      <c r="K53" s="67"/>
      <c r="L53" s="67">
        <v>45642</v>
      </c>
      <c r="M53" s="67">
        <v>45673</v>
      </c>
    </row>
    <row r="54" spans="1:13">
      <c r="B54" s="67">
        <v>45339</v>
      </c>
      <c r="C54" s="67"/>
      <c r="D54" s="67">
        <v>45399</v>
      </c>
      <c r="E54" s="67">
        <v>45429</v>
      </c>
      <c r="F54" s="67">
        <v>45460</v>
      </c>
      <c r="G54" s="67">
        <v>45490</v>
      </c>
      <c r="H54" s="109">
        <v>45155</v>
      </c>
      <c r="I54" s="67">
        <v>45552</v>
      </c>
      <c r="J54" s="67">
        <v>45582</v>
      </c>
      <c r="K54" s="67"/>
      <c r="L54" s="67">
        <v>45643</v>
      </c>
      <c r="M54" s="67">
        <v>45674</v>
      </c>
    </row>
    <row r="55" spans="1:13">
      <c r="B55" s="67"/>
      <c r="C55" s="67">
        <v>45369</v>
      </c>
      <c r="D55" s="67"/>
      <c r="E55" s="67"/>
      <c r="F55" s="67">
        <v>45461</v>
      </c>
      <c r="G55" s="67">
        <v>45491</v>
      </c>
      <c r="H55" s="67"/>
      <c r="I55" s="67">
        <v>45553</v>
      </c>
      <c r="J55" s="67">
        <v>45583</v>
      </c>
      <c r="K55" s="67">
        <v>45614</v>
      </c>
      <c r="L55" s="67">
        <v>45644</v>
      </c>
      <c r="M55" s="67"/>
    </row>
    <row r="56" spans="1:13">
      <c r="B56" s="67">
        <v>45341</v>
      </c>
      <c r="C56" s="67">
        <v>45370</v>
      </c>
      <c r="D56" s="67">
        <v>45401</v>
      </c>
      <c r="E56" s="67"/>
      <c r="F56" s="67">
        <v>45462</v>
      </c>
      <c r="G56" s="67">
        <v>45492</v>
      </c>
      <c r="H56" s="67">
        <v>45523</v>
      </c>
      <c r="I56" s="67">
        <v>45554</v>
      </c>
      <c r="J56" s="109">
        <v>45218</v>
      </c>
      <c r="K56" s="67">
        <v>45615</v>
      </c>
      <c r="L56" s="67">
        <v>45645</v>
      </c>
      <c r="M56" s="67"/>
    </row>
    <row r="57" spans="1:13">
      <c r="B57" s="67">
        <v>45342</v>
      </c>
      <c r="C57" s="67">
        <v>45371</v>
      </c>
      <c r="D57" s="109">
        <v>45036</v>
      </c>
      <c r="E57" s="67">
        <v>45432</v>
      </c>
      <c r="F57" s="67">
        <v>45463</v>
      </c>
      <c r="G57" s="109">
        <v>45127</v>
      </c>
      <c r="H57" s="67">
        <v>45524</v>
      </c>
      <c r="I57" s="67">
        <v>45555</v>
      </c>
      <c r="J57" s="67"/>
      <c r="K57" s="67">
        <v>45616</v>
      </c>
      <c r="L57" s="67">
        <v>45646</v>
      </c>
      <c r="M57" s="67">
        <v>45677</v>
      </c>
    </row>
    <row r="58" spans="1:13">
      <c r="B58" s="67">
        <v>45343</v>
      </c>
      <c r="C58" s="67">
        <v>45372</v>
      </c>
      <c r="D58" s="67"/>
      <c r="E58" s="67">
        <v>45433</v>
      </c>
      <c r="F58" s="67">
        <v>45464</v>
      </c>
      <c r="G58" s="67"/>
      <c r="H58" s="67">
        <v>45525</v>
      </c>
      <c r="I58" s="109">
        <v>45190</v>
      </c>
      <c r="J58" s="67">
        <v>45586</v>
      </c>
      <c r="K58" s="67">
        <v>45617</v>
      </c>
      <c r="L58" s="109">
        <v>45281</v>
      </c>
      <c r="M58" s="67">
        <v>45678</v>
      </c>
    </row>
    <row r="59" spans="1:13">
      <c r="B59" s="67">
        <v>45344</v>
      </c>
      <c r="C59" s="67">
        <v>45373</v>
      </c>
      <c r="D59" s="67">
        <v>45404</v>
      </c>
      <c r="E59" s="67">
        <v>45434</v>
      </c>
      <c r="F59" s="67"/>
      <c r="G59" s="67">
        <v>45495</v>
      </c>
      <c r="H59" s="67">
        <v>45526</v>
      </c>
      <c r="I59" s="67"/>
      <c r="J59" s="67">
        <v>45587</v>
      </c>
      <c r="K59" s="67">
        <v>45618</v>
      </c>
      <c r="L59" s="67"/>
      <c r="M59" s="67">
        <v>45679</v>
      </c>
    </row>
    <row r="60" spans="1:13">
      <c r="B60" s="67">
        <v>45345</v>
      </c>
      <c r="C60" s="67"/>
      <c r="D60" s="67">
        <v>45405</v>
      </c>
      <c r="E60" s="67">
        <v>45435</v>
      </c>
      <c r="F60" s="67"/>
      <c r="G60" s="67">
        <v>45496</v>
      </c>
      <c r="H60" s="67">
        <v>45527</v>
      </c>
      <c r="I60" s="67">
        <v>45558</v>
      </c>
      <c r="J60" s="67">
        <v>45588</v>
      </c>
      <c r="K60" s="67"/>
      <c r="L60" s="67">
        <v>45649</v>
      </c>
      <c r="M60" s="67">
        <v>45680</v>
      </c>
    </row>
    <row r="61" spans="1:13">
      <c r="B61" s="67"/>
      <c r="C61" s="67"/>
      <c r="D61" s="67">
        <v>45406</v>
      </c>
      <c r="E61" s="67">
        <v>45436</v>
      </c>
      <c r="F61" s="67">
        <v>45467</v>
      </c>
      <c r="G61" s="67">
        <v>45497</v>
      </c>
      <c r="H61" s="67"/>
      <c r="I61" s="67">
        <v>45559</v>
      </c>
      <c r="J61" s="67">
        <v>45589</v>
      </c>
      <c r="K61" s="67"/>
      <c r="L61" s="67">
        <v>45650</v>
      </c>
      <c r="M61" s="67">
        <v>45681</v>
      </c>
    </row>
    <row r="62" spans="1:13">
      <c r="B62" s="67"/>
      <c r="C62" s="67">
        <v>45376</v>
      </c>
      <c r="D62" s="67">
        <v>45407</v>
      </c>
      <c r="E62" s="67"/>
      <c r="F62" s="67">
        <v>45468</v>
      </c>
      <c r="G62" s="67">
        <v>45498</v>
      </c>
      <c r="H62" s="67"/>
      <c r="I62" s="67">
        <v>45560</v>
      </c>
      <c r="J62" s="67">
        <v>45590</v>
      </c>
      <c r="K62" s="67">
        <v>45621</v>
      </c>
      <c r="L62" s="67">
        <v>45651</v>
      </c>
      <c r="M62" s="67"/>
    </row>
    <row r="63" spans="1:13">
      <c r="B63" s="67">
        <v>45348</v>
      </c>
      <c r="C63" s="67">
        <v>45377</v>
      </c>
      <c r="D63" s="67">
        <v>45408</v>
      </c>
      <c r="E63" s="67"/>
      <c r="F63" s="67">
        <v>45469</v>
      </c>
      <c r="G63" s="67">
        <v>45499</v>
      </c>
      <c r="H63" s="67">
        <v>45530</v>
      </c>
      <c r="I63" s="67">
        <v>45561</v>
      </c>
      <c r="J63" s="67"/>
      <c r="K63" s="67">
        <v>45622</v>
      </c>
      <c r="L63" s="67">
        <v>45652</v>
      </c>
      <c r="M63" s="67"/>
    </row>
    <row r="64" spans="1:13">
      <c r="B64" s="67">
        <v>45349</v>
      </c>
      <c r="C64" s="67">
        <v>45378</v>
      </c>
      <c r="D64" s="67"/>
      <c r="E64" s="67">
        <v>45439</v>
      </c>
      <c r="F64" s="67">
        <v>45470</v>
      </c>
      <c r="G64" s="67"/>
      <c r="H64" s="67">
        <v>45531</v>
      </c>
      <c r="I64" s="67">
        <v>45562</v>
      </c>
      <c r="J64" s="67"/>
      <c r="K64" s="67">
        <v>45623</v>
      </c>
      <c r="L64" s="67">
        <v>45653</v>
      </c>
      <c r="M64" s="67"/>
    </row>
    <row r="65" spans="2:13">
      <c r="B65" s="67">
        <v>45350</v>
      </c>
      <c r="C65" s="67">
        <v>45379</v>
      </c>
      <c r="D65" s="67"/>
      <c r="E65" s="67">
        <v>45440</v>
      </c>
      <c r="F65" s="67">
        <v>45471</v>
      </c>
      <c r="G65" s="67"/>
      <c r="H65" s="67">
        <v>45532</v>
      </c>
      <c r="I65" s="67"/>
      <c r="J65" s="67">
        <v>45593</v>
      </c>
      <c r="K65" s="67">
        <v>45624</v>
      </c>
      <c r="L65" s="67"/>
      <c r="M65" s="67"/>
    </row>
    <row r="66" spans="2:13">
      <c r="B66" s="67">
        <v>45351</v>
      </c>
      <c r="C66" s="67">
        <v>45380</v>
      </c>
      <c r="D66" s="67"/>
      <c r="E66" s="67">
        <v>45441</v>
      </c>
      <c r="F66" s="109">
        <v>45106</v>
      </c>
      <c r="G66" s="67">
        <v>45502</v>
      </c>
      <c r="H66" s="67">
        <v>45533</v>
      </c>
      <c r="I66" s="67"/>
      <c r="J66" s="67">
        <v>45594</v>
      </c>
      <c r="K66" s="67">
        <v>45625</v>
      </c>
      <c r="L66" s="67"/>
      <c r="M66" s="67"/>
    </row>
    <row r="67" spans="2:13">
      <c r="B67" s="67"/>
      <c r="C67" s="109">
        <v>45015</v>
      </c>
      <c r="D67" s="67"/>
      <c r="E67" s="67">
        <v>45442</v>
      </c>
      <c r="F67" s="67"/>
      <c r="G67" s="67">
        <v>45503</v>
      </c>
      <c r="H67" s="67">
        <v>45534</v>
      </c>
      <c r="I67" s="67">
        <v>45565</v>
      </c>
      <c r="J67" s="67">
        <v>45595</v>
      </c>
      <c r="K67" s="109">
        <v>45260</v>
      </c>
      <c r="L67" s="67"/>
      <c r="M67" s="67"/>
    </row>
    <row r="68" spans="2:13">
      <c r="B68" s="67"/>
      <c r="C68" s="67"/>
      <c r="D68" s="67"/>
      <c r="E68" s="67">
        <v>45443</v>
      </c>
      <c r="F68" s="67">
        <v>45474</v>
      </c>
      <c r="G68" s="67">
        <v>45504</v>
      </c>
      <c r="H68" s="67"/>
      <c r="I68" s="67">
        <v>45566</v>
      </c>
      <c r="J68" s="67">
        <v>45596</v>
      </c>
      <c r="K68" s="67"/>
      <c r="L68" s="67"/>
      <c r="M68" s="67"/>
    </row>
    <row r="69" spans="2:13">
      <c r="B69" s="67"/>
      <c r="C69" s="67">
        <v>45383</v>
      </c>
      <c r="D69" s="67">
        <v>45414</v>
      </c>
      <c r="E69" s="67"/>
      <c r="F69" s="67">
        <v>45475</v>
      </c>
      <c r="G69" s="67">
        <v>45505</v>
      </c>
      <c r="H69" s="67"/>
      <c r="I69" s="67">
        <v>45567</v>
      </c>
      <c r="J69" s="67">
        <v>45597</v>
      </c>
      <c r="K69" s="67">
        <v>45628</v>
      </c>
      <c r="L69" s="67"/>
      <c r="M69" s="67"/>
    </row>
    <row r="70" spans="2:13">
      <c r="B70" s="67">
        <v>45355</v>
      </c>
      <c r="C70" s="67">
        <v>45384</v>
      </c>
      <c r="D70" s="67">
        <v>45415</v>
      </c>
      <c r="E70" s="67"/>
      <c r="F70" s="67">
        <v>45476</v>
      </c>
      <c r="G70" s="67">
        <v>45506</v>
      </c>
      <c r="H70" s="67"/>
      <c r="I70" s="67">
        <v>45568</v>
      </c>
      <c r="J70" s="67"/>
      <c r="K70" s="67">
        <v>45629</v>
      </c>
      <c r="L70" s="67">
        <v>45659</v>
      </c>
      <c r="M70" s="67"/>
    </row>
    <row r="71" spans="2:13">
      <c r="B71" s="67">
        <v>45356</v>
      </c>
      <c r="C71" s="67">
        <v>45385</v>
      </c>
      <c r="D71" s="109">
        <v>45050</v>
      </c>
      <c r="E71" s="67">
        <v>45446</v>
      </c>
      <c r="F71" s="67">
        <v>45477</v>
      </c>
      <c r="G71" s="67"/>
      <c r="H71" s="67"/>
      <c r="I71" s="67">
        <v>45569</v>
      </c>
      <c r="J71" s="67"/>
      <c r="K71" s="67">
        <v>45630</v>
      </c>
      <c r="L71" s="67">
        <v>45660</v>
      </c>
      <c r="M71" s="67">
        <v>45691</v>
      </c>
    </row>
    <row r="72" spans="2:13">
      <c r="B72" s="67">
        <v>45357</v>
      </c>
      <c r="C72" s="67">
        <v>45386</v>
      </c>
      <c r="D72" s="67"/>
      <c r="E72" s="67">
        <v>45447</v>
      </c>
      <c r="F72" s="67">
        <v>45478</v>
      </c>
      <c r="G72" s="67"/>
      <c r="H72" s="67"/>
      <c r="I72" s="67"/>
      <c r="J72" s="67">
        <v>45600</v>
      </c>
      <c r="K72" s="67">
        <v>45631</v>
      </c>
      <c r="L72" s="67"/>
      <c r="M72" s="67">
        <v>45692</v>
      </c>
    </row>
    <row r="73" spans="2:13">
      <c r="B73" s="67">
        <v>45358</v>
      </c>
      <c r="C73" s="67">
        <v>45387</v>
      </c>
      <c r="D73" s="67">
        <v>45418</v>
      </c>
      <c r="E73" s="67">
        <v>45448</v>
      </c>
      <c r="F73" s="67"/>
      <c r="G73" s="67">
        <v>45509</v>
      </c>
      <c r="H73" s="67"/>
      <c r="I73" s="67"/>
      <c r="J73" s="67">
        <v>45601</v>
      </c>
      <c r="K73" s="67">
        <v>45632</v>
      </c>
      <c r="L73" s="67"/>
      <c r="M73" s="67">
        <v>45693</v>
      </c>
    </row>
    <row r="74" spans="2:13">
      <c r="B74" s="67">
        <v>45359</v>
      </c>
      <c r="C74" s="67"/>
      <c r="D74" s="67">
        <v>45419</v>
      </c>
      <c r="E74" s="67">
        <v>45449</v>
      </c>
      <c r="F74" s="67"/>
      <c r="G74" s="67">
        <v>45510</v>
      </c>
      <c r="H74" s="67">
        <v>45541</v>
      </c>
      <c r="I74" s="67">
        <v>45572</v>
      </c>
      <c r="J74" s="67">
        <v>45602</v>
      </c>
      <c r="K74" s="67"/>
      <c r="L74" s="67">
        <v>45663</v>
      </c>
      <c r="M74" s="67">
        <v>45694</v>
      </c>
    </row>
    <row r="75" spans="2:13">
      <c r="B75" s="109">
        <v>44994</v>
      </c>
      <c r="C75" s="67"/>
      <c r="D75" s="67">
        <v>45420</v>
      </c>
      <c r="E75" s="67">
        <v>45450</v>
      </c>
      <c r="F75" s="67">
        <v>45481</v>
      </c>
      <c r="G75" s="67">
        <v>45511</v>
      </c>
      <c r="H75" s="67">
        <v>45542</v>
      </c>
      <c r="I75" s="67">
        <v>45573</v>
      </c>
      <c r="J75" s="67">
        <v>45603</v>
      </c>
      <c r="K75" s="67"/>
      <c r="L75" s="67">
        <v>45664</v>
      </c>
      <c r="M75" s="67">
        <v>45695</v>
      </c>
    </row>
    <row r="76" spans="2:13">
      <c r="B76" s="67"/>
      <c r="C76" s="67">
        <v>45390</v>
      </c>
      <c r="D76" s="67">
        <v>45421</v>
      </c>
      <c r="E76" s="109">
        <v>45085</v>
      </c>
      <c r="F76" s="67">
        <v>45482</v>
      </c>
      <c r="G76" s="67">
        <v>45512</v>
      </c>
      <c r="H76" s="67"/>
      <c r="I76" s="67">
        <v>45574</v>
      </c>
      <c r="J76" s="67">
        <v>45604</v>
      </c>
      <c r="K76" s="67">
        <v>45635</v>
      </c>
      <c r="L76" s="67">
        <v>45665</v>
      </c>
      <c r="M76" s="67"/>
    </row>
    <row r="77" spans="2:13">
      <c r="B77" s="67">
        <v>45362</v>
      </c>
      <c r="C77" s="67">
        <v>45391</v>
      </c>
      <c r="D77" s="67"/>
      <c r="E77" s="67"/>
      <c r="F77" s="67">
        <v>45483</v>
      </c>
      <c r="G77" s="67">
        <v>45513</v>
      </c>
      <c r="H77" s="67">
        <v>45544</v>
      </c>
      <c r="I77" s="67">
        <v>45575</v>
      </c>
      <c r="J77" s="109">
        <v>45239</v>
      </c>
      <c r="K77" s="67">
        <v>45636</v>
      </c>
      <c r="L77" s="67">
        <v>45666</v>
      </c>
      <c r="M77" s="67"/>
    </row>
    <row r="78" spans="2:13">
      <c r="B78" s="67">
        <v>45363</v>
      </c>
      <c r="C78" s="67">
        <v>45392</v>
      </c>
      <c r="D78" s="67"/>
      <c r="E78" s="67">
        <v>45453</v>
      </c>
      <c r="F78" s="67">
        <v>45484</v>
      </c>
      <c r="G78" s="67"/>
      <c r="H78" s="67">
        <v>45545</v>
      </c>
      <c r="I78" s="67">
        <v>45576</v>
      </c>
      <c r="J78" s="67"/>
      <c r="K78" s="67">
        <v>45637</v>
      </c>
      <c r="L78" s="67">
        <v>45667</v>
      </c>
      <c r="M78" s="67">
        <v>45698</v>
      </c>
    </row>
    <row r="79" spans="2:13">
      <c r="B79" s="67">
        <v>45364</v>
      </c>
      <c r="C79" s="67">
        <v>45393</v>
      </c>
      <c r="D79" s="67"/>
      <c r="E79" s="67">
        <v>45454</v>
      </c>
      <c r="F79" s="67">
        <v>45485</v>
      </c>
      <c r="G79" s="67"/>
      <c r="H79" s="67">
        <v>45546</v>
      </c>
      <c r="I79" s="67"/>
      <c r="J79" s="67">
        <v>45607</v>
      </c>
      <c r="K79" s="67">
        <v>45638</v>
      </c>
      <c r="L79" s="67"/>
      <c r="M79" s="67">
        <v>45699</v>
      </c>
    </row>
    <row r="80" spans="2:13">
      <c r="B80" s="67">
        <v>45365</v>
      </c>
      <c r="C80" s="67">
        <v>45394</v>
      </c>
      <c r="D80" s="67">
        <v>45425</v>
      </c>
      <c r="E80" s="67">
        <v>45455</v>
      </c>
      <c r="F80" s="67"/>
      <c r="G80" s="67">
        <v>45516</v>
      </c>
      <c r="H80" s="67">
        <v>45547</v>
      </c>
      <c r="I80" s="67"/>
      <c r="J80" s="67">
        <v>45608</v>
      </c>
      <c r="K80" s="67">
        <v>45639</v>
      </c>
      <c r="L80" s="67"/>
      <c r="M80" s="67">
        <v>45700</v>
      </c>
    </row>
    <row r="81" spans="2:13">
      <c r="B81" s="67">
        <v>45366</v>
      </c>
      <c r="C81" s="67"/>
      <c r="D81" s="67">
        <v>45426</v>
      </c>
      <c r="E81" s="67">
        <v>45456</v>
      </c>
      <c r="F81" s="67"/>
      <c r="G81" s="67">
        <v>45517</v>
      </c>
      <c r="H81" s="67">
        <v>45548</v>
      </c>
      <c r="I81" s="67">
        <v>45579</v>
      </c>
      <c r="J81" s="67">
        <v>45609</v>
      </c>
      <c r="K81" s="67"/>
      <c r="L81" s="67">
        <v>45670</v>
      </c>
      <c r="M81" s="67">
        <v>45701</v>
      </c>
    </row>
    <row r="82" spans="2:13">
      <c r="C82" s="67"/>
      <c r="D82" s="67">
        <v>45427</v>
      </c>
      <c r="E82" s="67">
        <v>45457</v>
      </c>
      <c r="F82" s="67">
        <v>45488</v>
      </c>
      <c r="G82" s="67">
        <v>45518</v>
      </c>
      <c r="H82" s="67"/>
      <c r="I82" s="67">
        <v>45580</v>
      </c>
      <c r="J82" s="67">
        <v>45610</v>
      </c>
      <c r="K82" s="67"/>
      <c r="L82" s="67">
        <v>45671</v>
      </c>
      <c r="M82" s="67">
        <v>45702</v>
      </c>
    </row>
    <row r="83" spans="2:13">
      <c r="C83" s="67">
        <v>45397</v>
      </c>
      <c r="E83" s="67"/>
      <c r="G83" s="67">
        <v>45519</v>
      </c>
      <c r="H83" s="67"/>
      <c r="J83" s="67">
        <v>45611</v>
      </c>
      <c r="L83" s="67">
        <v>45672</v>
      </c>
      <c r="M83" s="67"/>
    </row>
  </sheetData>
  <phoneticPr fontId="16"/>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N5"/>
  <sheetViews>
    <sheetView workbookViewId="0">
      <selection activeCell="D14" sqref="D14"/>
    </sheetView>
  </sheetViews>
  <sheetFormatPr defaultColWidth="9.125" defaultRowHeight="15.75"/>
  <cols>
    <col min="1" max="1" width="13.25" style="111" customWidth="1"/>
    <col min="2" max="2" width="10.5" style="111" bestFit="1" customWidth="1"/>
    <col min="3" max="3" width="9.25" style="111" bestFit="1" customWidth="1"/>
    <col min="4" max="4" width="10.5" style="111" bestFit="1" customWidth="1"/>
    <col min="5" max="5" width="9.25" style="111" bestFit="1" customWidth="1"/>
    <col min="6" max="7" width="10.5" style="111" bestFit="1" customWidth="1"/>
    <col min="8" max="9" width="9.25" style="111" bestFit="1" customWidth="1"/>
    <col min="10" max="11" width="10.5" style="111" bestFit="1" customWidth="1"/>
    <col min="12" max="13" width="9.25" style="111" bestFit="1" customWidth="1"/>
    <col min="14" max="14" width="12.5" style="111" bestFit="1" customWidth="1"/>
    <col min="15" max="16384" width="9.125" style="111"/>
  </cols>
  <sheetData>
    <row r="2" spans="1:14">
      <c r="A2" s="111" t="s">
        <v>56</v>
      </c>
      <c r="B2" s="111" t="s">
        <v>85</v>
      </c>
      <c r="C2" s="111" t="s">
        <v>86</v>
      </c>
      <c r="D2" s="111" t="s">
        <v>87</v>
      </c>
      <c r="E2" s="111" t="s">
        <v>88</v>
      </c>
      <c r="F2" s="111" t="s">
        <v>89</v>
      </c>
      <c r="G2" s="111" t="s">
        <v>90</v>
      </c>
      <c r="H2" s="111" t="s">
        <v>91</v>
      </c>
      <c r="I2" s="111" t="s">
        <v>92</v>
      </c>
      <c r="J2" s="111" t="s">
        <v>93</v>
      </c>
      <c r="K2" s="111" t="s">
        <v>94</v>
      </c>
      <c r="L2" s="111" t="s">
        <v>95</v>
      </c>
      <c r="M2" s="111" t="s">
        <v>96</v>
      </c>
      <c r="N2" s="111" t="s">
        <v>97</v>
      </c>
    </row>
    <row r="3" spans="1:14">
      <c r="A3" s="111" t="s">
        <v>98</v>
      </c>
      <c r="B3" s="112">
        <v>7</v>
      </c>
      <c r="C3" s="112">
        <v>10</v>
      </c>
      <c r="D3" s="112">
        <v>9</v>
      </c>
      <c r="E3" s="112">
        <v>2</v>
      </c>
      <c r="F3" s="112">
        <v>12</v>
      </c>
      <c r="G3" s="112">
        <v>9</v>
      </c>
      <c r="H3" s="112">
        <v>5</v>
      </c>
      <c r="I3" s="112">
        <v>1</v>
      </c>
      <c r="J3" s="112">
        <v>2</v>
      </c>
      <c r="K3" s="112">
        <v>0</v>
      </c>
      <c r="L3" s="112">
        <v>0</v>
      </c>
      <c r="M3" s="112">
        <v>1</v>
      </c>
      <c r="N3" s="112">
        <f>SUM(B3:M3)</f>
        <v>58</v>
      </c>
    </row>
    <row r="4" spans="1:14">
      <c r="A4" s="111" t="s">
        <v>99</v>
      </c>
      <c r="B4" s="112">
        <v>149</v>
      </c>
      <c r="C4" s="112">
        <v>0</v>
      </c>
      <c r="D4" s="112">
        <v>251</v>
      </c>
      <c r="E4" s="112">
        <v>89</v>
      </c>
      <c r="F4" s="112">
        <v>400</v>
      </c>
      <c r="G4" s="112">
        <v>194</v>
      </c>
      <c r="H4" s="112">
        <v>94</v>
      </c>
      <c r="I4" s="112">
        <v>14</v>
      </c>
      <c r="J4" s="112">
        <v>250</v>
      </c>
      <c r="K4" s="112">
        <v>229</v>
      </c>
      <c r="L4" s="112">
        <v>45</v>
      </c>
      <c r="M4" s="112">
        <v>46</v>
      </c>
      <c r="N4" s="112">
        <f>SUM(B4:M4)</f>
        <v>1761</v>
      </c>
    </row>
    <row r="5" spans="1:14">
      <c r="A5" s="111" t="s">
        <v>97</v>
      </c>
      <c r="B5" s="113">
        <f>SUM(B3:B4)</f>
        <v>156</v>
      </c>
      <c r="C5" s="113">
        <f t="shared" ref="C5:M5" si="0">SUM(C3:C4)</f>
        <v>10</v>
      </c>
      <c r="D5" s="113">
        <f t="shared" si="0"/>
        <v>260</v>
      </c>
      <c r="E5" s="113">
        <f t="shared" si="0"/>
        <v>91</v>
      </c>
      <c r="F5" s="113">
        <f t="shared" si="0"/>
        <v>412</v>
      </c>
      <c r="G5" s="113">
        <f t="shared" si="0"/>
        <v>203</v>
      </c>
      <c r="H5" s="113">
        <f t="shared" si="0"/>
        <v>99</v>
      </c>
      <c r="I5" s="113">
        <f t="shared" si="0"/>
        <v>15</v>
      </c>
      <c r="J5" s="113">
        <f t="shared" si="0"/>
        <v>252</v>
      </c>
      <c r="K5" s="113">
        <f t="shared" si="0"/>
        <v>229</v>
      </c>
      <c r="L5" s="113">
        <f t="shared" si="0"/>
        <v>45</v>
      </c>
      <c r="M5" s="113">
        <f t="shared" si="0"/>
        <v>47</v>
      </c>
      <c r="N5" s="113">
        <f>SUM(B5:M5)</f>
        <v>1819</v>
      </c>
    </row>
  </sheetData>
  <phoneticPr fontId="16"/>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M33"/>
  <sheetViews>
    <sheetView zoomScaleNormal="100" workbookViewId="0">
      <selection activeCell="H20" sqref="H20"/>
    </sheetView>
  </sheetViews>
  <sheetFormatPr defaultRowHeight="13.5"/>
  <cols>
    <col min="2" max="13" width="9.25" style="68"/>
  </cols>
  <sheetData>
    <row r="1" spans="2:13">
      <c r="B1" s="69">
        <v>4</v>
      </c>
      <c r="C1" s="69">
        <v>5</v>
      </c>
      <c r="D1" s="69">
        <v>6</v>
      </c>
      <c r="E1" s="69">
        <v>7</v>
      </c>
      <c r="F1" s="69">
        <v>8</v>
      </c>
      <c r="G1" s="69">
        <v>9</v>
      </c>
      <c r="H1" s="69">
        <v>10</v>
      </c>
      <c r="I1" s="69">
        <v>11</v>
      </c>
      <c r="J1" s="69">
        <v>12</v>
      </c>
      <c r="K1" s="69">
        <v>1</v>
      </c>
      <c r="L1" s="69">
        <v>2</v>
      </c>
      <c r="M1" s="69">
        <v>3</v>
      </c>
    </row>
    <row r="2" spans="2:13">
      <c r="B2" s="70">
        <f>COUNTA(B3:B33)</f>
        <v>21</v>
      </c>
      <c r="C2" s="70">
        <f t="shared" ref="C2:M2" si="0">COUNTA(C3:C33)</f>
        <v>21</v>
      </c>
      <c r="D2" s="70">
        <f t="shared" si="0"/>
        <v>17</v>
      </c>
      <c r="E2" s="70">
        <f t="shared" si="0"/>
        <v>22</v>
      </c>
      <c r="F2" s="70">
        <f t="shared" si="0"/>
        <v>21</v>
      </c>
      <c r="G2" s="70">
        <f t="shared" si="0"/>
        <v>23</v>
      </c>
      <c r="H2" s="70">
        <f t="shared" si="0"/>
        <v>18</v>
      </c>
      <c r="I2" s="70">
        <f t="shared" si="0"/>
        <v>22</v>
      </c>
      <c r="J2" s="70">
        <f t="shared" si="0"/>
        <v>23</v>
      </c>
      <c r="K2" s="70">
        <f t="shared" si="0"/>
        <v>20</v>
      </c>
      <c r="L2" s="70">
        <f t="shared" si="0"/>
        <v>20</v>
      </c>
      <c r="M2" s="70">
        <f t="shared" si="0"/>
        <v>17</v>
      </c>
    </row>
    <row r="3" spans="2:13">
      <c r="B3" s="67">
        <v>45338</v>
      </c>
      <c r="C3" s="67"/>
      <c r="D3" s="67">
        <v>45398</v>
      </c>
      <c r="E3" s="67">
        <v>45428</v>
      </c>
      <c r="F3" s="67"/>
      <c r="G3" s="67">
        <v>45489</v>
      </c>
      <c r="H3" s="67">
        <v>45520</v>
      </c>
      <c r="I3" s="67">
        <v>45551</v>
      </c>
      <c r="J3" s="67">
        <v>45581</v>
      </c>
      <c r="K3" s="67"/>
      <c r="L3" s="67">
        <v>45642</v>
      </c>
      <c r="M3" s="67">
        <v>45673</v>
      </c>
    </row>
    <row r="4" spans="2:13">
      <c r="B4" s="67">
        <v>45339</v>
      </c>
      <c r="C4" s="67"/>
      <c r="D4" s="67">
        <v>45399</v>
      </c>
      <c r="E4" s="67">
        <v>45429</v>
      </c>
      <c r="F4" s="67">
        <v>45460</v>
      </c>
      <c r="G4" s="67">
        <v>45490</v>
      </c>
      <c r="H4" s="67"/>
      <c r="I4" s="67">
        <v>45552</v>
      </c>
      <c r="J4" s="67">
        <v>45582</v>
      </c>
      <c r="K4" s="67"/>
      <c r="L4" s="67">
        <v>45643</v>
      </c>
      <c r="M4" s="67">
        <v>45674</v>
      </c>
    </row>
    <row r="5" spans="2:13">
      <c r="B5" s="67"/>
      <c r="C5" s="67">
        <v>45369</v>
      </c>
      <c r="D5" s="67"/>
      <c r="E5" s="67"/>
      <c r="F5" s="67">
        <v>45461</v>
      </c>
      <c r="G5" s="67">
        <v>45491</v>
      </c>
      <c r="H5" s="67"/>
      <c r="I5" s="67">
        <v>45553</v>
      </c>
      <c r="J5" s="67">
        <v>45583</v>
      </c>
      <c r="K5" s="67">
        <v>45614</v>
      </c>
      <c r="L5" s="67">
        <v>45644</v>
      </c>
      <c r="M5" s="67"/>
    </row>
    <row r="6" spans="2:13">
      <c r="B6" s="67">
        <v>45341</v>
      </c>
      <c r="C6" s="67">
        <v>45370</v>
      </c>
      <c r="D6" s="67">
        <v>45401</v>
      </c>
      <c r="E6" s="67"/>
      <c r="F6" s="67">
        <v>45462</v>
      </c>
      <c r="G6" s="67">
        <v>45492</v>
      </c>
      <c r="H6" s="67">
        <v>45523</v>
      </c>
      <c r="I6" s="67">
        <v>45554</v>
      </c>
      <c r="J6" s="67"/>
      <c r="K6" s="67">
        <v>45615</v>
      </c>
      <c r="L6" s="67">
        <v>45645</v>
      </c>
      <c r="M6" s="67"/>
    </row>
    <row r="7" spans="2:13">
      <c r="B7" s="67">
        <v>45342</v>
      </c>
      <c r="C7" s="67">
        <v>45371</v>
      </c>
      <c r="D7" s="67"/>
      <c r="E7" s="67">
        <v>45432</v>
      </c>
      <c r="F7" s="67">
        <v>45463</v>
      </c>
      <c r="G7" s="67"/>
      <c r="H7" s="67">
        <v>45524</v>
      </c>
      <c r="I7" s="67">
        <v>45555</v>
      </c>
      <c r="J7" s="67"/>
      <c r="K7" s="67">
        <v>45616</v>
      </c>
      <c r="L7" s="67">
        <v>45646</v>
      </c>
      <c r="M7" s="67">
        <v>45677</v>
      </c>
    </row>
    <row r="8" spans="2:13">
      <c r="B8" s="67">
        <v>45343</v>
      </c>
      <c r="C8" s="67">
        <v>45372</v>
      </c>
      <c r="D8" s="67"/>
      <c r="E8" s="67">
        <v>45433</v>
      </c>
      <c r="F8" s="67">
        <v>45464</v>
      </c>
      <c r="G8" s="67"/>
      <c r="H8" s="67">
        <v>45525</v>
      </c>
      <c r="I8" s="67"/>
      <c r="J8" s="67">
        <v>45586</v>
      </c>
      <c r="K8" s="67">
        <v>45617</v>
      </c>
      <c r="L8" s="67"/>
      <c r="M8" s="67">
        <v>45678</v>
      </c>
    </row>
    <row r="9" spans="2:13">
      <c r="B9" s="67">
        <v>45344</v>
      </c>
      <c r="C9" s="67">
        <v>45373</v>
      </c>
      <c r="D9" s="67">
        <v>45404</v>
      </c>
      <c r="E9" s="67">
        <v>45434</v>
      </c>
      <c r="F9" s="67"/>
      <c r="G9" s="67">
        <v>45495</v>
      </c>
      <c r="H9" s="67">
        <v>45526</v>
      </c>
      <c r="I9" s="67"/>
      <c r="J9" s="67">
        <v>45587</v>
      </c>
      <c r="K9" s="67">
        <v>45618</v>
      </c>
      <c r="L9" s="67"/>
      <c r="M9" s="67">
        <v>45679</v>
      </c>
    </row>
    <row r="10" spans="2:13">
      <c r="B10" s="67">
        <v>45345</v>
      </c>
      <c r="C10" s="67"/>
      <c r="D10" s="67">
        <v>45405</v>
      </c>
      <c r="E10" s="67">
        <v>45435</v>
      </c>
      <c r="F10" s="67"/>
      <c r="G10" s="67">
        <v>45496</v>
      </c>
      <c r="H10" s="67">
        <v>45527</v>
      </c>
      <c r="I10" s="67">
        <v>45558</v>
      </c>
      <c r="J10" s="67">
        <v>45588</v>
      </c>
      <c r="K10" s="67"/>
      <c r="L10" s="67">
        <v>45649</v>
      </c>
      <c r="M10" s="67">
        <v>45680</v>
      </c>
    </row>
    <row r="11" spans="2:13">
      <c r="B11" s="67"/>
      <c r="C11" s="67"/>
      <c r="D11" s="67">
        <v>45406</v>
      </c>
      <c r="E11" s="67">
        <v>45436</v>
      </c>
      <c r="F11" s="67">
        <v>45467</v>
      </c>
      <c r="G11" s="67">
        <v>45497</v>
      </c>
      <c r="H11" s="67"/>
      <c r="I11" s="67">
        <v>45559</v>
      </c>
      <c r="J11" s="67">
        <v>45589</v>
      </c>
      <c r="K11" s="67"/>
      <c r="L11" s="67">
        <v>45650</v>
      </c>
      <c r="M11" s="67">
        <v>45681</v>
      </c>
    </row>
    <row r="12" spans="2:13">
      <c r="B12" s="67"/>
      <c r="C12" s="67">
        <v>45376</v>
      </c>
      <c r="D12" s="67">
        <v>45407</v>
      </c>
      <c r="E12" s="67"/>
      <c r="F12" s="67">
        <v>45468</v>
      </c>
      <c r="G12" s="67">
        <v>45498</v>
      </c>
      <c r="H12" s="67"/>
      <c r="I12" s="67">
        <v>45560</v>
      </c>
      <c r="J12" s="67">
        <v>45590</v>
      </c>
      <c r="K12" s="67">
        <v>45621</v>
      </c>
      <c r="L12" s="67">
        <v>45651</v>
      </c>
      <c r="M12" s="67"/>
    </row>
    <row r="13" spans="2:13">
      <c r="B13" s="67">
        <v>45348</v>
      </c>
      <c r="C13" s="67">
        <v>45377</v>
      </c>
      <c r="D13" s="67">
        <v>45408</v>
      </c>
      <c r="E13" s="67"/>
      <c r="F13" s="67">
        <v>45469</v>
      </c>
      <c r="G13" s="67">
        <v>45499</v>
      </c>
      <c r="H13" s="67">
        <v>45530</v>
      </c>
      <c r="I13" s="67">
        <v>45561</v>
      </c>
      <c r="J13" s="67"/>
      <c r="K13" s="67">
        <v>45622</v>
      </c>
      <c r="L13" s="67">
        <v>45652</v>
      </c>
      <c r="M13" s="67"/>
    </row>
    <row r="14" spans="2:13">
      <c r="B14" s="67">
        <v>45349</v>
      </c>
      <c r="C14" s="67">
        <v>45378</v>
      </c>
      <c r="D14" s="67"/>
      <c r="E14" s="67">
        <v>45439</v>
      </c>
      <c r="F14" s="67">
        <v>45470</v>
      </c>
      <c r="G14" s="67"/>
      <c r="H14" s="67">
        <v>45531</v>
      </c>
      <c r="I14" s="67">
        <v>45562</v>
      </c>
      <c r="J14" s="67"/>
      <c r="K14" s="67">
        <v>45623</v>
      </c>
      <c r="L14" s="67">
        <v>45653</v>
      </c>
      <c r="M14" s="67"/>
    </row>
    <row r="15" spans="2:13">
      <c r="B15" s="67">
        <v>45350</v>
      </c>
      <c r="C15" s="67">
        <v>45379</v>
      </c>
      <c r="D15" s="67"/>
      <c r="E15" s="67">
        <v>45440</v>
      </c>
      <c r="F15" s="67">
        <v>45471</v>
      </c>
      <c r="G15" s="67"/>
      <c r="H15" s="67">
        <v>45532</v>
      </c>
      <c r="I15" s="67"/>
      <c r="J15" s="67">
        <v>45593</v>
      </c>
      <c r="K15" s="67">
        <v>45624</v>
      </c>
      <c r="L15" s="67"/>
      <c r="M15" s="67"/>
    </row>
    <row r="16" spans="2:13">
      <c r="B16" s="67">
        <v>45351</v>
      </c>
      <c r="C16" s="67">
        <v>45380</v>
      </c>
      <c r="D16" s="67"/>
      <c r="E16" s="67">
        <v>45441</v>
      </c>
      <c r="F16" s="67"/>
      <c r="G16" s="67">
        <v>45502</v>
      </c>
      <c r="H16" s="67">
        <v>45533</v>
      </c>
      <c r="I16" s="67"/>
      <c r="J16" s="67">
        <v>45594</v>
      </c>
      <c r="K16" s="67">
        <v>45625</v>
      </c>
      <c r="L16" s="67"/>
      <c r="M16" s="67"/>
    </row>
    <row r="17" spans="2:13">
      <c r="B17" s="67"/>
      <c r="C17" s="67"/>
      <c r="D17" s="67"/>
      <c r="E17" s="67">
        <v>45442</v>
      </c>
      <c r="F17" s="67"/>
      <c r="G17" s="67">
        <v>45503</v>
      </c>
      <c r="H17" s="67">
        <v>45534</v>
      </c>
      <c r="I17" s="67">
        <v>45565</v>
      </c>
      <c r="J17" s="67">
        <v>45595</v>
      </c>
      <c r="K17" s="67"/>
      <c r="L17" s="67"/>
      <c r="M17" s="67"/>
    </row>
    <row r="18" spans="2:13">
      <c r="B18" s="67"/>
      <c r="C18" s="67"/>
      <c r="D18" s="67"/>
      <c r="E18" s="67">
        <v>45443</v>
      </c>
      <c r="F18" s="67">
        <v>45474</v>
      </c>
      <c r="G18" s="67">
        <v>45504</v>
      </c>
      <c r="H18" s="67"/>
      <c r="I18" s="67">
        <v>45566</v>
      </c>
      <c r="J18" s="67">
        <v>45596</v>
      </c>
      <c r="K18" s="67"/>
      <c r="L18" s="67"/>
      <c r="M18" s="67"/>
    </row>
    <row r="19" spans="2:13">
      <c r="B19" s="67"/>
      <c r="C19" s="67">
        <v>45383</v>
      </c>
      <c r="D19" s="67">
        <v>45414</v>
      </c>
      <c r="E19" s="67"/>
      <c r="F19" s="67">
        <v>45475</v>
      </c>
      <c r="G19" s="67">
        <v>45505</v>
      </c>
      <c r="H19" s="67"/>
      <c r="I19" s="67">
        <v>45567</v>
      </c>
      <c r="J19" s="67">
        <v>45597</v>
      </c>
      <c r="K19" s="67">
        <v>45628</v>
      </c>
      <c r="L19" s="67"/>
      <c r="M19" s="67"/>
    </row>
    <row r="20" spans="2:13">
      <c r="B20" s="67">
        <v>45355</v>
      </c>
      <c r="C20" s="67">
        <v>45384</v>
      </c>
      <c r="D20" s="67">
        <v>45415</v>
      </c>
      <c r="E20" s="67"/>
      <c r="F20" s="67">
        <v>45476</v>
      </c>
      <c r="G20" s="67">
        <v>45506</v>
      </c>
      <c r="H20" s="67"/>
      <c r="I20" s="67">
        <v>45568</v>
      </c>
      <c r="J20" s="67"/>
      <c r="K20" s="67">
        <v>45629</v>
      </c>
      <c r="L20" s="67">
        <v>45659</v>
      </c>
      <c r="M20" s="67"/>
    </row>
    <row r="21" spans="2:13">
      <c r="B21" s="67">
        <v>45356</v>
      </c>
      <c r="C21" s="67">
        <v>45385</v>
      </c>
      <c r="D21" s="67"/>
      <c r="E21" s="67">
        <v>45446</v>
      </c>
      <c r="F21" s="67">
        <v>45477</v>
      </c>
      <c r="G21" s="67"/>
      <c r="H21" s="67"/>
      <c r="I21" s="67">
        <v>45569</v>
      </c>
      <c r="J21" s="67"/>
      <c r="K21" s="67">
        <v>45630</v>
      </c>
      <c r="L21" s="67">
        <v>45660</v>
      </c>
      <c r="M21" s="67">
        <v>45691</v>
      </c>
    </row>
    <row r="22" spans="2:13">
      <c r="B22" s="67">
        <v>45357</v>
      </c>
      <c r="C22" s="67">
        <v>45386</v>
      </c>
      <c r="D22" s="67"/>
      <c r="E22" s="67">
        <v>45447</v>
      </c>
      <c r="F22" s="67">
        <v>45478</v>
      </c>
      <c r="G22" s="67"/>
      <c r="H22" s="67"/>
      <c r="I22" s="67"/>
      <c r="J22" s="67">
        <v>45600</v>
      </c>
      <c r="K22" s="67">
        <v>45631</v>
      </c>
      <c r="L22" s="67"/>
      <c r="M22" s="67">
        <v>45692</v>
      </c>
    </row>
    <row r="23" spans="2:13">
      <c r="B23" s="67">
        <v>45358</v>
      </c>
      <c r="C23" s="67">
        <v>45387</v>
      </c>
      <c r="D23" s="67">
        <v>45418</v>
      </c>
      <c r="E23" s="67">
        <v>45448</v>
      </c>
      <c r="F23" s="67"/>
      <c r="G23" s="67">
        <v>45509</v>
      </c>
      <c r="H23" s="67"/>
      <c r="I23" s="67"/>
      <c r="J23" s="67">
        <v>45601</v>
      </c>
      <c r="K23" s="67">
        <v>45632</v>
      </c>
      <c r="L23" s="67"/>
      <c r="M23" s="67">
        <v>45693</v>
      </c>
    </row>
    <row r="24" spans="2:13">
      <c r="B24" s="67">
        <v>45359</v>
      </c>
      <c r="C24" s="67"/>
      <c r="D24" s="67">
        <v>45419</v>
      </c>
      <c r="E24" s="67">
        <v>45449</v>
      </c>
      <c r="F24" s="67"/>
      <c r="G24" s="67">
        <v>45510</v>
      </c>
      <c r="H24" s="67">
        <v>45541</v>
      </c>
      <c r="I24" s="67">
        <v>45572</v>
      </c>
      <c r="J24" s="67">
        <v>45602</v>
      </c>
      <c r="K24" s="67"/>
      <c r="L24" s="67">
        <v>45663</v>
      </c>
      <c r="M24" s="67">
        <v>45694</v>
      </c>
    </row>
    <row r="25" spans="2:13">
      <c r="B25" s="67"/>
      <c r="C25" s="67"/>
      <c r="D25" s="67">
        <v>45420</v>
      </c>
      <c r="E25" s="67">
        <v>45450</v>
      </c>
      <c r="F25" s="67">
        <v>45481</v>
      </c>
      <c r="G25" s="67">
        <v>45511</v>
      </c>
      <c r="H25" s="67">
        <v>45542</v>
      </c>
      <c r="I25" s="67">
        <v>45573</v>
      </c>
      <c r="J25" s="67">
        <v>45603</v>
      </c>
      <c r="K25" s="67"/>
      <c r="L25" s="67">
        <v>45664</v>
      </c>
      <c r="M25" s="67">
        <v>45695</v>
      </c>
    </row>
    <row r="26" spans="2:13">
      <c r="B26" s="67"/>
      <c r="C26" s="67">
        <v>45390</v>
      </c>
      <c r="D26" s="67">
        <v>45421</v>
      </c>
      <c r="E26" s="67"/>
      <c r="F26" s="67">
        <v>45482</v>
      </c>
      <c r="G26" s="67">
        <v>45512</v>
      </c>
      <c r="H26" s="67"/>
      <c r="I26" s="67">
        <v>45574</v>
      </c>
      <c r="J26" s="67">
        <v>45604</v>
      </c>
      <c r="K26" s="67">
        <v>45635</v>
      </c>
      <c r="L26" s="67">
        <v>45665</v>
      </c>
      <c r="M26" s="67"/>
    </row>
    <row r="27" spans="2:13">
      <c r="B27" s="67">
        <v>45362</v>
      </c>
      <c r="C27" s="67">
        <v>45391</v>
      </c>
      <c r="D27" s="67"/>
      <c r="E27" s="67"/>
      <c r="F27" s="67">
        <v>45483</v>
      </c>
      <c r="G27" s="67">
        <v>45513</v>
      </c>
      <c r="H27" s="67">
        <v>45544</v>
      </c>
      <c r="I27" s="67">
        <v>45575</v>
      </c>
      <c r="J27" s="67"/>
      <c r="K27" s="67">
        <v>45636</v>
      </c>
      <c r="L27" s="67">
        <v>45666</v>
      </c>
      <c r="M27" s="67"/>
    </row>
    <row r="28" spans="2:13">
      <c r="B28" s="67">
        <v>45363</v>
      </c>
      <c r="C28" s="67">
        <v>45392</v>
      </c>
      <c r="D28" s="67"/>
      <c r="E28" s="67">
        <v>45453</v>
      </c>
      <c r="F28" s="67">
        <v>45484</v>
      </c>
      <c r="G28" s="67"/>
      <c r="H28" s="67">
        <v>45545</v>
      </c>
      <c r="I28" s="67">
        <v>45576</v>
      </c>
      <c r="J28" s="67"/>
      <c r="K28" s="67">
        <v>45637</v>
      </c>
      <c r="L28" s="67">
        <v>45667</v>
      </c>
      <c r="M28" s="67">
        <v>45698</v>
      </c>
    </row>
    <row r="29" spans="2:13">
      <c r="B29" s="67">
        <v>45364</v>
      </c>
      <c r="C29" s="67">
        <v>45393</v>
      </c>
      <c r="D29" s="67"/>
      <c r="E29" s="67">
        <v>45454</v>
      </c>
      <c r="F29" s="67">
        <v>45485</v>
      </c>
      <c r="G29" s="67"/>
      <c r="H29" s="67">
        <v>45546</v>
      </c>
      <c r="I29" s="67"/>
      <c r="J29" s="67">
        <v>45607</v>
      </c>
      <c r="K29" s="67">
        <v>45638</v>
      </c>
      <c r="L29" s="67"/>
      <c r="M29" s="67">
        <v>45699</v>
      </c>
    </row>
    <row r="30" spans="2:13">
      <c r="B30" s="67">
        <v>45365</v>
      </c>
      <c r="C30" s="67">
        <v>45394</v>
      </c>
      <c r="D30" s="67">
        <v>45425</v>
      </c>
      <c r="E30" s="67">
        <v>45455</v>
      </c>
      <c r="F30" s="67"/>
      <c r="G30" s="67">
        <v>45516</v>
      </c>
      <c r="H30" s="67">
        <v>45547</v>
      </c>
      <c r="I30" s="67"/>
      <c r="J30" s="67">
        <v>45608</v>
      </c>
      <c r="K30" s="67">
        <v>45639</v>
      </c>
      <c r="L30" s="67"/>
      <c r="M30" s="67">
        <v>45700</v>
      </c>
    </row>
    <row r="31" spans="2:13">
      <c r="B31" s="67">
        <v>45366</v>
      </c>
      <c r="C31" s="67"/>
      <c r="D31" s="67">
        <v>45426</v>
      </c>
      <c r="E31" s="67">
        <v>45456</v>
      </c>
      <c r="F31" s="67"/>
      <c r="G31" s="67">
        <v>45517</v>
      </c>
      <c r="H31" s="67">
        <v>45548</v>
      </c>
      <c r="I31" s="67">
        <v>45579</v>
      </c>
      <c r="J31" s="67">
        <v>45609</v>
      </c>
      <c r="K31" s="67"/>
      <c r="L31" s="67">
        <v>45670</v>
      </c>
      <c r="M31" s="67">
        <v>45701</v>
      </c>
    </row>
    <row r="32" spans="2:13">
      <c r="C32" s="67"/>
      <c r="D32" s="67">
        <v>45427</v>
      </c>
      <c r="E32" s="67">
        <v>45457</v>
      </c>
      <c r="F32" s="67">
        <v>45488</v>
      </c>
      <c r="G32" s="67">
        <v>45518</v>
      </c>
      <c r="H32" s="67"/>
      <c r="I32" s="67">
        <v>45580</v>
      </c>
      <c r="J32" s="67">
        <v>45610</v>
      </c>
      <c r="K32" s="67"/>
      <c r="L32" s="67">
        <v>45671</v>
      </c>
      <c r="M32" s="67">
        <v>45702</v>
      </c>
    </row>
    <row r="33" spans="3:13">
      <c r="C33" s="67">
        <v>45397</v>
      </c>
      <c r="E33" s="67"/>
      <c r="G33" s="67">
        <v>45519</v>
      </c>
      <c r="H33" s="67"/>
      <c r="J33" s="67">
        <v>45611</v>
      </c>
      <c r="L33" s="67">
        <v>45672</v>
      </c>
      <c r="M33" s="67"/>
    </row>
  </sheetData>
  <phoneticPr fontId="16"/>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file>

<file path=customXml/item2.xml><?xml version="1.0" encoding="utf-8"?>
<ct:contentTypeSchema xmlns:ct="http://schemas.microsoft.com/office/2006/metadata/contentType" xmlns:ma="http://schemas.microsoft.com/office/2006/metadata/properties/metaAttributes" ct:_="" ma:_="" ma:contentTypeName="Tài liệu" ma:contentTypeID="0x010100DB24EDB465323845A68F49B67C0FBEEF" ma:contentTypeVersion="17" ma:contentTypeDescription="Tạo tài liệu mới." ma:contentTypeScope="" ma:versionID="ecb9dd30b4e0dcc90b87f09c6ff1cd6c">
  <xsd:schema xmlns:xsd="http://www.w3.org/2001/XMLSchema" xmlns:xs="http://www.w3.org/2001/XMLSchema" xmlns:p="http://schemas.microsoft.com/office/2006/metadata/properties" xmlns:ns2="c3666f02-6a17-4b93-8e4f-4f8c851bed15" xmlns:ns3="a67f3886-f84f-4ade-a9df-8a61292dc710" targetNamespace="http://schemas.microsoft.com/office/2006/metadata/properties" ma:root="true" ma:fieldsID="076383703b61d7bb966dc44044257bd0" ns2:_="" ns3:_="">
    <xsd:import namespace="c3666f02-6a17-4b93-8e4f-4f8c851bed15"/>
    <xsd:import namespace="a67f3886-f84f-4ade-a9df-8a61292dc71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3666f02-6a17-4b93-8e4f-4f8c851bed1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67f3886-f84f-4ade-a9df-8a61292dc710" elementFormDefault="qualified">
    <xsd:import namespace="http://schemas.microsoft.com/office/2006/documentManagement/types"/>
    <xsd:import namespace="http://schemas.microsoft.com/office/infopath/2007/PartnerControls"/>
    <xsd:element name="SharedWithUsers" ma:index="12" nillable="true" ma:displayName="Chia sẻ Với"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Chia sẻ Có Chi tiết"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documentManagement/>
</p:properties>
</file>

<file path=customXml/itemProps1.xml><?xml version="1.0" encoding="utf-8"?>
<ds:datastoreItem xmlns:ds="http://schemas.openxmlformats.org/officeDocument/2006/customXml" ds:itemID="{1F23E508-2FB2-4934-A2B7-35861E834409}">
  <ds:schemaRefs>
    <ds:schemaRef ds:uri="http://schemas.microsoft.com/sharepoint/v3/contenttype/forms"/>
  </ds:schemaRefs>
</ds:datastoreItem>
</file>

<file path=customXml/itemProps2.xml><?xml version="1.0" encoding="utf-8"?>
<ds:datastoreItem xmlns:ds="http://schemas.openxmlformats.org/officeDocument/2006/customXml" ds:itemID="{27093785-C876-4E34-99E0-CB15F2979926}"/>
</file>

<file path=customXml/itemProps3.xml><?xml version="1.0" encoding="utf-8"?>
<ds:datastoreItem xmlns:ds="http://schemas.openxmlformats.org/officeDocument/2006/customXml" ds:itemID="{3E124651-D4D9-44BC-A391-4AE6F9322FD4}">
  <ds:schemaRef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a67f3886-f84f-4ade-a9df-8a61292dc710"/>
    <ds:schemaRef ds:uri="http://purl.org/dc/terms/"/>
    <ds:schemaRef ds:uri="c3666f02-6a17-4b93-8e4f-4f8c851bed15"/>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vt:i4>
      </vt:variant>
    </vt:vector>
  </HeadingPairs>
  <TitlesOfParts>
    <vt:vector size="8" baseType="lpstr">
      <vt:lpstr>FY2026予定</vt:lpstr>
      <vt:lpstr>Cách tính phân bổ 振替計算</vt:lpstr>
      <vt:lpstr>Tính gas</vt:lpstr>
      <vt:lpstr>Tính NRT, GVS</vt:lpstr>
      <vt:lpstr>Tính bus VN</vt:lpstr>
      <vt:lpstr>Dự kiến tuyển dụng</vt:lpstr>
      <vt:lpstr>Số ngày xe bus</vt:lpstr>
      <vt:lpstr>'Tính NRT, GVS'!Print_Area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Tsuru，Takahiro(水流隆裕)</dc:creator>
  <cp:lastModifiedBy>Kajita，Katsunori(梶田勝徳)</cp:lastModifiedBy>
  <cp:lastPrinted>2021-11-23T03:55:46Z</cp:lastPrinted>
  <dcterms:created xsi:type="dcterms:W3CDTF">2016-11-12T05:13:26Z</dcterms:created>
  <dcterms:modified xsi:type="dcterms:W3CDTF">2025-01-06T02:48:56Z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0x010100DB24EDB465323845A68F49B67C0FBEEF</vt:lpwstr>
  </property>
</Properties>
</file>