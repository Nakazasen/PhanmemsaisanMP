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fstvn01\Data\10_Production Engineering Department(製造技術部)\02.製造技術課\PE Dept\20. OTHERS-その他\FILE cần lưu\PA\Tổng hợp\MP2027\"/>
    </mc:Choice>
  </mc:AlternateContent>
  <xr:revisionPtr revIDLastSave="0" documentId="13_ncr:1_{F88A8E13-8D05-4CEB-880E-9B9CD75ABA6B}" xr6:coauthVersionLast="47" xr6:coauthVersionMax="47" xr10:uidLastSave="{00000000-0000-0000-0000-000000000000}"/>
  <bookViews>
    <workbookView xWindow="-110" yWindow="-110" windowWidth="19420" windowHeight="10300" firstSheet="1" activeTab="1" xr2:uid="{00000000-000D-0000-FFFF-FFFF00000000}"/>
  </bookViews>
  <sheets>
    <sheet name="配賦額一覧" sheetId="1" state="hidden" r:id="rId1"/>
    <sheet name="FY2027配賦額一覧" sheetId="2" r:id="rId2"/>
  </sheets>
  <externalReferences>
    <externalReference r:id="rId3"/>
    <externalReference r:id="rId4"/>
    <externalReference r:id="rId5"/>
  </externalReferences>
  <definedNames>
    <definedName name="_xlnm._FilterDatabase" localSheetId="1" hidden="1">FY2027配賦額一覧!$A$4:$J$72</definedName>
    <definedName name="_xlnm._FilterDatabase" localSheetId="0" hidden="1">配賦額一覧!$A$4:$K$79</definedName>
    <definedName name="a" localSheetId="1">[1]SALＡRY!#REF!</definedName>
    <definedName name="a" localSheetId="0">[1]SALＡRY!#REF!</definedName>
    <definedName name="a">[1]SALＡRY!#REF!</definedName>
    <definedName name="KYO" localSheetId="1">#REF!</definedName>
    <definedName name="KYO" localSheetId="0">#REF!</definedName>
    <definedName name="KYO">#REF!</definedName>
    <definedName name="NO.1_Factory" localSheetId="1">[2]SALＡRY!#REF!</definedName>
    <definedName name="NO.1_Factory" localSheetId="0">[2]SALＡRY!#REF!</definedName>
    <definedName name="NO.1_Factory">[2]SALＡRY!#REF!</definedName>
    <definedName name="NO.1_Factory_" localSheetId="1">[3]SALＡRY!#REF!</definedName>
    <definedName name="NO.1_Factory_" localSheetId="0">[3]SALＡRY!#REF!</definedName>
    <definedName name="NO.1_Factory_">[3]SALＡRY!#REF!</definedName>
    <definedName name="NO.2_Factory_" localSheetId="1">[3]SALＡRY!#REF!</definedName>
    <definedName name="NO.2_Factory_" localSheetId="0">[3]SALＡRY!#REF!</definedName>
    <definedName name="NO.2_Factory_">[3]SALＡRY!#REF!</definedName>
    <definedName name="_xlnm.Print_Area" localSheetId="1">FY2027配賦額一覧!$B$4:$J$71</definedName>
    <definedName name="_xlnm.Print_Area" localSheetId="0">配賦額一覧!$A$1:$J$81</definedName>
    <definedName name="_xlnm.Print_Titles" localSheetId="1">FY2027配賦額一覧!$4:$4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2" l="1"/>
  <c r="H80" i="2" s="1"/>
  <c r="H81" i="2"/>
</calcChain>
</file>

<file path=xl/sharedStrings.xml><?xml version="1.0" encoding="utf-8"?>
<sst xmlns="http://schemas.openxmlformats.org/spreadsheetml/2006/main" count="795" uniqueCount="216">
  <si>
    <t>配布元
Phòng phân bổ</t>
  </si>
  <si>
    <t>内　容
Nội dung</t>
  </si>
  <si>
    <t>科目名称</t>
    <rPh sb="0" eb="2">
      <t>カモク</t>
    </rPh>
    <rPh sb="2" eb="4">
      <t>メイショウ</t>
    </rPh>
    <phoneticPr fontId="0"/>
  </si>
  <si>
    <t>製造コード
Mã tài khoản</t>
  </si>
  <si>
    <t>間接コード
Mã tài khoản</t>
  </si>
  <si>
    <t>販売コード
Mã tài khoản</t>
  </si>
  <si>
    <t>計上月
Tháng phân bổ</t>
  </si>
  <si>
    <t>単価 (vnd)
Đơn giá</t>
  </si>
  <si>
    <t>単位</t>
    <rPh sb="0" eb="2">
      <t>タンイ</t>
    </rPh>
    <phoneticPr fontId="0"/>
  </si>
  <si>
    <t>計上基準</t>
    <rPh sb="0" eb="2">
      <t>ケイジョウ</t>
    </rPh>
    <rPh sb="2" eb="4">
      <t>キジュン</t>
    </rPh>
    <phoneticPr fontId="0"/>
  </si>
  <si>
    <t>人事課 
Phòng nhân sự</t>
  </si>
  <si>
    <t>社員証（新入社員用・再発行時、写真含む）
Thẻ từ chấm công + ảnh　</t>
  </si>
  <si>
    <t>図書印刷費</t>
  </si>
  <si>
    <t>入社月</t>
    <rPh sb="0" eb="2">
      <t>ニュウシャ</t>
    </rPh>
    <rPh sb="2" eb="3">
      <t>ツキ</t>
    </rPh>
    <phoneticPr fontId="0"/>
  </si>
  <si>
    <t>/枚</t>
    <rPh sb="1" eb="2">
      <t>マイ</t>
    </rPh>
    <phoneticPr fontId="0"/>
  </si>
  <si>
    <t>配属人数で入社月に振替 
Phân bổ theo số người vào trong tháng</t>
  </si>
  <si>
    <t>社員証用写真のみ（再発行時）
Ảnh của thẻ từ chấm công (cấp lại)</t>
  </si>
  <si>
    <t>配布月</t>
    <rPh sb="0" eb="3">
      <t>ハイフツキ</t>
    </rPh>
    <phoneticPr fontId="0"/>
  </si>
  <si>
    <t>社員証用ケース Vỏ thẻ + móc thẻ</t>
  </si>
  <si>
    <t>事務用品費</t>
  </si>
  <si>
    <t>/個</t>
    <rPh sb="1" eb="2">
      <t>コ</t>
    </rPh>
    <phoneticPr fontId="0"/>
  </si>
  <si>
    <t>ペン Bút</t>
  </si>
  <si>
    <t>/本</t>
    <rPh sb="1" eb="2">
      <t>ホン</t>
    </rPh>
    <phoneticPr fontId="0"/>
  </si>
  <si>
    <t>ノート Sổ</t>
  </si>
  <si>
    <t>/冊</t>
    <rPh sb="1" eb="2">
      <t>サツ</t>
    </rPh>
    <phoneticPr fontId="0"/>
  </si>
  <si>
    <t>G7社員の配属人数で入社月に振替 
Phân bổ theo số công nhân vào trong tháng</t>
  </si>
  <si>
    <t>スタッフの配属人数で入社月に振替 
Phân bổ theo số nhân viên vào trong tháng</t>
  </si>
  <si>
    <t>図書印刷費</t>
    <phoneticPr fontId="0"/>
  </si>
  <si>
    <t>マイエピソード ～フィロソフィの実践～参加賞
Giải tham gia "Cảm nghĩ về triết lý kinh doanh"</t>
  </si>
  <si>
    <t>福利厚生費</t>
  </si>
  <si>
    <t>7月</t>
  </si>
  <si>
    <t>/人</t>
    <rPh sb="1" eb="2">
      <t>ヒト</t>
    </rPh>
    <phoneticPr fontId="0"/>
  </si>
  <si>
    <t>採用時健診
Khám sức khỏe khi tuyển dụng</t>
  </si>
  <si>
    <t>入社月の翌月</t>
  </si>
  <si>
    <t>※1</t>
  </si>
  <si>
    <t>健康診断（ローカル）
Khám sức khỏe (cho CNV nam)</t>
  </si>
  <si>
    <t>福利厚生費</t>
    <phoneticPr fontId="0"/>
  </si>
  <si>
    <t>12月</t>
  </si>
  <si>
    <t>/人 男性</t>
  </si>
  <si>
    <t>健康診断（ローカル）
Khám sức khỏe (cho CNV nữ)</t>
  </si>
  <si>
    <t>/人 女性</t>
  </si>
  <si>
    <t>慶弔見舞金 Tiền hiếu hỉ, thăm ốm đau</t>
  </si>
  <si>
    <t>申請月</t>
  </si>
  <si>
    <t>-</t>
  </si>
  <si>
    <t>金額は慶弔見舞金規定に準ずる 
Số tiền căn cứ theo quy định hiếu hỉ</t>
  </si>
  <si>
    <t>総務課 Phòng hành chính</t>
  </si>
  <si>
    <t>食堂燃料費 Gas</t>
  </si>
  <si>
    <t>ガス代</t>
  </si>
  <si>
    <t>毎月</t>
    <rPh sb="0" eb="2">
      <t>マイツキ</t>
    </rPh>
    <phoneticPr fontId="0"/>
  </si>
  <si>
    <t>※1</t>
    <phoneticPr fontId="0"/>
  </si>
  <si>
    <t>/人・月</t>
    <rPh sb="1" eb="2">
      <t>ヒト</t>
    </rPh>
    <rPh sb="3" eb="4">
      <t>ツキ</t>
    </rPh>
    <phoneticPr fontId="0"/>
  </si>
  <si>
    <t>トイレットペーパー
Giấy vệ sinh</t>
  </si>
  <si>
    <t>手洗い洗剤
Nước rửa tay</t>
  </si>
  <si>
    <t>清掃費 Phí làm sạch</t>
  </si>
  <si>
    <t>その他手数料</t>
  </si>
  <si>
    <t>社給携帯電話 Điện thoại di động công ty</t>
  </si>
  <si>
    <t>通信費</t>
  </si>
  <si>
    <t>毎月</t>
  </si>
  <si>
    <t>/人・月</t>
  </si>
  <si>
    <t>当月1日～末分を翌月に振替する
Phân bổ chi phí từ đầu tháng đến cuối tháng vào tháng tiếp theo</t>
  </si>
  <si>
    <t>郵送 Chuyển phát nhanh</t>
  </si>
  <si>
    <t>/回・月</t>
  </si>
  <si>
    <t>前月16日～当月15日分を翌月に振替する
Phân bổ chi phí từ ngày 16 tháng trước đến ngày 15 tháng hiện tại vào tháng tiếp theo</t>
  </si>
  <si>
    <t>海外出張の国内交通費
Phí đi lại nước ngoài</t>
  </si>
  <si>
    <t>渡航費</t>
    <rPh sb="0" eb="3">
      <t>トコウヒ</t>
    </rPh>
    <phoneticPr fontId="0"/>
  </si>
  <si>
    <t>前月16日～当月15日分を翌月に振替する 
Phân bổ chi phí từ ngày 16 tháng trước đến ngày 15 tháng hiện tại vào tháng tiếp theo</t>
  </si>
  <si>
    <t>タクシー代 Phí taxi nội địa</t>
  </si>
  <si>
    <t>国内交通費</t>
    <rPh sb="0" eb="2">
      <t>コクナイ</t>
    </rPh>
    <rPh sb="2" eb="5">
      <t>コウツウヒ</t>
    </rPh>
    <phoneticPr fontId="0"/>
  </si>
  <si>
    <t xml:space="preserve">社有車 Xe công ty </t>
  </si>
  <si>
    <t>出向者通勤送迎費
Xe đưa đón cho người Nhật</t>
  </si>
  <si>
    <t>/人</t>
    <rPh sb="1" eb="2">
      <t>ニン</t>
    </rPh>
    <phoneticPr fontId="0"/>
  </si>
  <si>
    <t>・通常出勤・シフト出勤のバス代：前月16日～当月15日分を実際使用人数で按分翌月に振替する（バス使用の場合のみ）
・シフト・残業・休日出勤のタクシー代：前月16日～当月15日分を各部門での使用実績に応じて部門で按分翌月に振替する（タクシー使用の場合のみ）
・Đối với chi phí xe bus đi làm ngày thường và làm ca: Phân bổ chi phí từ ngày 16 tháng trước đến ngày 15 tháng hiện tại vào tháng tiếp theo cho số người sử dụng xe bus của toàn công ty  (chỉ áp dụng cho xe bus)
・Đối với chi phí xe taxi đi làm ca, tăng ca, đi làm ngày nghỉ: Phân bổ chi phí từ ngày 16 tháng trước đến ngày 15 tháng hiện tại vào tháng tiếp theo cho thực tích sử dụng của các phòng ban (chỉ áp dụng cho xe taxi)</t>
  </si>
  <si>
    <t>ローカル通勤送迎費
Xe đưa đón cho người Việt</t>
  </si>
  <si>
    <t>ポケットカレンダー Lịch bỏ túi</t>
  </si>
  <si>
    <t xml:space="preserve">制服（夏） Đồng phục ngắn tay </t>
  </si>
  <si>
    <t>/着</t>
    <rPh sb="1" eb="2">
      <t>チャク</t>
    </rPh>
    <phoneticPr fontId="0"/>
  </si>
  <si>
    <t>前月16日から当月15日までの新入社員と支給依頼者の配布数は当月振替
Phân bổ chi phí cho số người vào hoặc thực tích số lượng cấp đổi của các phòng ban từ ngày 16 tháng trước đến ngày 15 tháng hiện tại vào tháng hiện tại</t>
  </si>
  <si>
    <t>制服（夏）一括支給 Đồng phục ngắn tay ※2</t>
  </si>
  <si>
    <t>2月</t>
    <rPh sb="1" eb="2">
      <t>ガツ</t>
    </rPh>
    <phoneticPr fontId="0"/>
  </si>
  <si>
    <t>制服（冬） Đồng phục dài tay</t>
  </si>
  <si>
    <t>制服（冬）一括支給 Đồng phục dài tay ※2</t>
  </si>
  <si>
    <t>10月</t>
    <rPh sb="2" eb="3">
      <t>ガツ</t>
    </rPh>
    <phoneticPr fontId="0"/>
  </si>
  <si>
    <t>コート制服 Áo khoác</t>
  </si>
  <si>
    <t xml:space="preserve">制服ズボン Quần </t>
  </si>
  <si>
    <t xml:space="preserve">妊婦ズボン Quần bà bầu </t>
  </si>
  <si>
    <t xml:space="preserve">帽子（カラー） Mũ màu </t>
  </si>
  <si>
    <t xml:space="preserve">金型用帽子（白）Mũ trắng tĩnh điện </t>
  </si>
  <si>
    <t>前月16日から当月15日までの新入社員と支給依頼者の制服配布数は当月振替
Phân bổ chi phí cho số người vào hoặc thực tích số lượng cấp đổi của các phòng ban từ ngày 16 tháng trước đến ngày 15 tháng hiện tại vào tháng hiện tại</t>
  </si>
  <si>
    <t xml:space="preserve">シューズ（女性） Giày vải nữ </t>
  </si>
  <si>
    <t>/足</t>
    <rPh sb="1" eb="2">
      <t>ソク</t>
    </rPh>
    <phoneticPr fontId="0"/>
  </si>
  <si>
    <t xml:space="preserve">シューズ（男性） Giày vải nam </t>
  </si>
  <si>
    <t>妊婦用腕章 Băng đeo tay cho người bầu</t>
  </si>
  <si>
    <t>保安課の半袖 Áo ngắn tay phòng an ninh</t>
  </si>
  <si>
    <t>/着</t>
  </si>
  <si>
    <t>保安課の長袖 Áo dài tay phòng an ninh</t>
  </si>
  <si>
    <t>保安課のズボン Quần phòng an ninh</t>
  </si>
  <si>
    <t>保安課のコート Áo khoác có lót phòng an ninh</t>
  </si>
  <si>
    <t>保安課の靴 Giầy phòng an ninh</t>
  </si>
  <si>
    <t>/足</t>
  </si>
  <si>
    <t>保安課の帽子 Mũ phòng an ninh</t>
  </si>
  <si>
    <t>/個</t>
  </si>
  <si>
    <t xml:space="preserve">折りたたみコップ Cốc xếp </t>
  </si>
  <si>
    <t>ロッカーの鍵 Khoá tủ locker</t>
  </si>
  <si>
    <t>前月16日から当月15日までの交換依頼数は当月振替
Phân bổ chi phí theo số lượng yêu cầu thay thế thực tế của các phòng ban từ ngày 16 tháng trước đến ngày 15 tháng hiện tại vào tháng hiện tại</t>
  </si>
  <si>
    <t>下駄箱の鍵 Khóa tủ giày</t>
  </si>
  <si>
    <t>下駄箱の扉 Mica tủ giày</t>
  </si>
  <si>
    <t>Tiệc khuấy động năm tài chính
決起コンパ（対象：全部門）</t>
  </si>
  <si>
    <t>社員旅行 Du lịch công ty</t>
  </si>
  <si>
    <t>5月</t>
  </si>
  <si>
    <t>京セラフェスティバルLễ hội Kyocera</t>
  </si>
  <si>
    <t xml:space="preserve">月餅 Bánh Trung Thu </t>
  </si>
  <si>
    <t>10年勤続記念コンパ 
Tiệc kỷ niệm 10 năm gắn bó</t>
  </si>
  <si>
    <t>10月</t>
  </si>
  <si>
    <t>10年勤続記念品 
Quà kỷ niệm cho CNV 10 năm gắn bó</t>
  </si>
  <si>
    <t>11月</t>
  </si>
  <si>
    <t>/人</t>
  </si>
  <si>
    <t>忘年会補助金 Hỗ trợ tiệc tất niên</t>
  </si>
  <si>
    <t>お年玉 Tiền lì xì</t>
  </si>
  <si>
    <t>2月</t>
  </si>
  <si>
    <t>誕生日会 Tiệc sinh nhật</t>
  </si>
  <si>
    <t>エアーチケット Vé máy bay</t>
  </si>
  <si>
    <t>渡航費</t>
  </si>
  <si>
    <t>海外渡航保険代 Bảo hiểm nước ngoài</t>
  </si>
  <si>
    <t>Phí xin cấp VISA đi Nhật 1 lần (qua dịch vụ)
短期の日本ビザの申請料金（サービス会社を通します）</t>
  </si>
  <si>
    <t>渡航費</t>
    <phoneticPr fontId="0"/>
  </si>
  <si>
    <t>Tùy thuộc vào thời điểm xin VISA, phòng hành chính sẽ thông báo trực tiếp với phòng ban liên quan
ビザを申請する時点により総務課が連関部門に通知します</t>
  </si>
  <si>
    <t>Phí xin cấp VISA đi Nhật nhiều lần (qua dịch vụ)
数次日本ビザの申請料金（サービス会社を通します）</t>
  </si>
  <si>
    <t>Phí xin cấp VISA đi TQ 1 lần (qua dịch vụ)
短期中国ビザの申請料金（サービス会社を通します）</t>
  </si>
  <si>
    <t>旅券申請費用 Chi phí làm hộ chiếu (5 năm)</t>
  </si>
  <si>
    <t>その他手数料</t>
    <rPh sb="2" eb="3">
      <t>タ</t>
    </rPh>
    <rPh sb="3" eb="6">
      <t>テスウリョウ</t>
    </rPh>
    <phoneticPr fontId="0"/>
  </si>
  <si>
    <t>5005246286</t>
  </si>
  <si>
    <t>6005246542</t>
  </si>
  <si>
    <t>取得月</t>
  </si>
  <si>
    <t>5 年の旅券 Giá trị làm 5 năm</t>
  </si>
  <si>
    <t>実施月に振替 Phân bổ trong tháng phát sinh</t>
  </si>
  <si>
    <t>ビザ（滞在カード）取得費用
Phí xin cấp visa hoặc thẻ tạm trú</t>
  </si>
  <si>
    <t>145$</t>
  </si>
  <si>
    <t>実施月に振替 Phân bổ trong tháng phát sinh
状況に応じて取得する種類が異なる場合があります。総務課にお問い合わせください。
Xin hãy liên hệ với phòng hành chính trường hợp phát sinh phí cấp loại giấy tờ khác.</t>
  </si>
  <si>
    <t>労働許可証取得時の健康診断費用
Phí khám sk khi xin cấp GPLĐ</t>
  </si>
  <si>
    <t>労働許可書申請時の関連書類公証費
Công chứng các giấy tờ liên quan khi làm GPLĐ</t>
  </si>
  <si>
    <t>~200,000</t>
  </si>
  <si>
    <t>新規/更新労働許可書申請書類の翻訳費 Tiền dịch thuật và công chứng hồ sơ - khi cấp mới/gia hạn GPLĐ</t>
  </si>
  <si>
    <t>~1,000,000</t>
  </si>
  <si>
    <t>施設課 Phòng thiết bị</t>
  </si>
  <si>
    <t>電気代、水道代、建物、土地の償却費については、MP人数確定後別途案内します。</t>
  </si>
  <si>
    <t>人数は振替月の1日現在の人数と使用面積に基づく
Căn cứ vào số người ở thời điểm đầu tháng và diện tích sử dụng trong tháng phân bổ</t>
  </si>
  <si>
    <t>消耗品費</t>
  </si>
  <si>
    <r>
      <t>運動会 Đại hội thể thao</t>
    </r>
    <r>
      <rPr>
        <sz val="10"/>
        <color rgb="FFFF0000"/>
        <rFont val="Times"/>
        <family val="1"/>
      </rPr>
      <t xml:space="preserve"> </t>
    </r>
  </si>
  <si>
    <t>FY2026　配賦額一覧</t>
  </si>
  <si>
    <t>フィロソフィ手帳1 Sổ tay philosophy quyển 1</t>
  </si>
  <si>
    <t>フィロソフィ手帳2 Sổ tay philosophy quyển 2</t>
  </si>
  <si>
    <t>発生した月に振替。対象者は3月31日の前の入社員です。
Phân bổ vào tháng phát sinh. Đối tượng tham gia: Công nhân viên vào trước ngày 31/3</t>
  </si>
  <si>
    <t>受診者人数に応じて発生した月に振替します。対象者は7月1日の前の入社員です。
Phân bổ theo số người khám vào tháng phát sinh. Đối tượng khám: Công nhân viên vào trước ngày 01/07.</t>
  </si>
  <si>
    <t>ポロ制服 Áo Polo</t>
  </si>
  <si>
    <t>毎月
11月</t>
  </si>
  <si>
    <t>コンパ開催予定月：4月～5月 、振替月：申請月の翌月
対象者：コンパ参加した社員
Tháng tổ chức tiệc dự kiến: Tháng 4 ~ tháng 5.  Tháng phân bổ chi phí: Tháng tiếp theo của tháng đề nghị.
Đối tượng áp dụng: Là cán bộ công nhân viên công ty có tham gia tiệc.</t>
  </si>
  <si>
    <t>毎月
2月
9月</t>
  </si>
  <si>
    <t>同年5月～10月の新入社員を対象に1名につき2着支給し、10月に振替
Cấp phát 2 áo cho người mới vào công ty từ tháng 5 đến tháng 10, phân bổ tiền vào tháng 10.</t>
  </si>
  <si>
    <t>前月16日から当月15日までの新入社員を当月に振替する 
毎月新入社員（ワーカーを主とした個別のコップ保管場所がない方）を対象とする
更に6ヶ月1回再配布・配布した月に振替（ワーカーを主とした個別のコップ保管場所がない方）を対象とする 
Phân bổ chi phí cho số người mới vào của các phòng ban từ ngày 16 tháng trước đến ngày 15 tháng hiện tại vào tháng này.
Đối tượng áp dụng: Công nhân viên không có nơi để cốc uống nước.
Ngoài ra, cấp phát 6 tháng 1 lần, phân bổ vào tháng cấp phát (đối tượng là CNV không có nơi để cốc uống nước)</t>
  </si>
  <si>
    <t>発券日の翌月振替 Phân bổ vào tháng kế tiếp sau khi xuất vé
※特別便のみ、発券月に振替 Chỉ các chuyến bay đặc biệt sẽ phân bổ chi phí trong tháng xuất vé
特別便は海外からベトナムへのフライトで、コロナ感染拡大の時期に運営します。Chuyến bay đặc biệt là các chuyến bay từ nước ngoài như Nhật Bản về Việt Nam trong giai đoạn dịch bệnh Covid-19 lây lan.</t>
  </si>
  <si>
    <t>保険証を渡した月に振替（ローカル社員）
Phân bổ vào tháng đã trao bảo hiểm (Cho nhân viên địa phương)</t>
  </si>
  <si>
    <t>※2. 季節による Phân bổ tùy theo mùa</t>
  </si>
  <si>
    <t>※1. 毎月配信 Gửi thông tin hàng tháng</t>
  </si>
  <si>
    <t>帽子（白） Mũ trắng</t>
  </si>
  <si>
    <t>総額は前月末の実績人数（当月初の人事課の人員データ）で按分し各部門に振替。（開催予定日：11月15日）
計上月に組織変更がある部署は総務課までに連絡しなければなりません。総務課は該当の部署にて連絡された人数をベースに振り替えます。
Phân bổ vào tháng thực hiện cho số người thực tế của các phòng ban cuối tháng trước (số liệu của phòng nhân sự cung cấp vào đầu tháng sau khi chốt Cost center). (Ngày dự kiến tổ chức: 15/11)
Trong tháng phân bổ, các phòng ban có sự thay đổi về sơ đồ tổ chức phải liên lạc cho phòng hành chính. Phòng hành chính sẽ phân bổ chi phí dựa trên số lượng người được phòng ban thông báo.</t>
  </si>
  <si>
    <t>コンパ開催予定月：2026年1月～2026年2月 。振替月：申請月の翌月
対象者：コンパ参加した社員
Tháng tổ chức tiệc dự kiến: Tháng 1/2026 ~ 2/2026. Tháng phân bổ chi phí: Tháng tiếp theo của tháng đề nghị 
Đối tượng áp dụng: Là cán bộ công nhân viên công ty có tham gia tiệc.</t>
  </si>
  <si>
    <t>前月16日から当月15日までの新入社員と支給依頼者の配布数は当月振替
※11月：全員に新年のポケットカレンダーを配布する。配布数で引渡し月に振替。
Phân bổ chi phí cho số người vào hoặc thực tích số lượng cấp đổi của các phòng ban từ ngày 16 tháng trước đến ngày 15 tháng hiện tại vào tháng hiện tại
Tháng 11: Cấp phát lịch bỏ túi của năm mới cho toàn thể CBCNV. Phân bổ vào tháng phát theo số lượng phát thực tế</t>
  </si>
  <si>
    <t>翌月に振替。注意: 各課の振替金額は
・スタッフ以上の場合＝健康診断を受けた病院の単価 x 健康診断を受けた候補者数
・G7社員の場合＝一人当たりの平均金額 x 振替率 x G7社員用の健康診断発生費用
Phân bổ vào tháng tiếp theo. Lưu ý số tiền phân bổ của mỗi phòng ban:
・Đối với nhân viên trở lên = Thực tích số tiền khám tại BV tương ứng × số ứng viên nhân viên đã khám.
・Đối với công nhân = Thực tích số tiền bình quân trên người  × Tỷ lệ phân bổ × Số tiền phát sinh KSK CN tháng trước</t>
  </si>
  <si>
    <t>大シューズ( 44 と 45の サイズ) Giày ngoại cỡ (sz 44 và sz 45)</t>
  </si>
  <si>
    <t>ベトナム入国署申請費用 Chi phí xin công văn chấp thuận nhập cảnh</t>
  </si>
  <si>
    <t>6月</t>
  </si>
  <si>
    <t xml:space="preserve"> 社員旅行不参加対象者へのギフト贈呈 Quà tặng cho CNV không thể tham gia du lịch.</t>
  </si>
  <si>
    <t>配布数で引渡し月に振替
対象者: 
・産休中の従業員.
・長期療養中の従業員.
・仕事対応のため参加できない従業員.
Phân bổ vào tháng phát theo số lượng phát thực tế
Đối tượng áp dụng:
・CNV đang trong chế độ nghỉ thai sản.
・CNV đang điều trị bệnh dài ngày.
・CNV không thể tham gia do đối ứng công việc.</t>
  </si>
  <si>
    <t xml:space="preserve">タイプ1の安全靴 (Old)
Giày bảo hộ loại 1 </t>
  </si>
  <si>
    <t xml:space="preserve">タイプ2の安全靴 (New) ※
Giày bảo hộ loại 2 </t>
  </si>
  <si>
    <t>前月16日から当月15日までの新入社員と支給依頼者の配布数は当月振替
備考：タイプ2の安全靴 単価は注文数によって異なります。1〜50足の注文：価格490,000 VND/足。 50〜200足以上のご注文：450,000 VND/足。 200足以上のご注文の場合: 価格は 410,000 VND/足です。
Phân bổ chi phí cho số người vào hoặc thực tích số lượng cấp đổi của các phòng ban từ ngày 16 tháng trước đến ngày 15 tháng hiện tại vào tháng hiện tại
Lưu ý: Giá giày bảo hộ loại 2 phụ thuộc vào số lượng đơn hàng: Đặt từ 1 ~ 50 đôi: giá 490,000 VND/đôi. Đặt trên 50 ~ 200 đôi: giá 450,000 VND/đôi. Đặt trên 200 đôi: giá 410,000 VND/đôi.</t>
  </si>
  <si>
    <t>振替単価は予定と同額とし、当月1日～末日購入分を前月末の実績人数（当月初の人事課の人員データ）に応じ各部門に振替。計上月に組織変更がある部署は総務課までに連絡しなければなりません。総務課は該当の部署にて連絡された人数をベースに振り替えます。
Đơn giá phân bổ thực tích giống như đơn giá dự định, phân bổ số tiền mua trong tháng cho số người thực tế của các phòng ban tính đến ngày cuối cùng của tháng trước (số liệu của phòng nhân sự cung cấp vào đầu tháng sau khi chốt Cost center)
Trong tháng phân bổ, các phòng ban có sự thay đổi về sơ đồ tổ chức phải liên lạc cho phòng hành chính. Phòng hành chính sẽ phân bổ chi phí dựa trên số lượng người được phòng ban thông báo.</t>
  </si>
  <si>
    <t>同年1月～2月の新入社員を対象に1名につき2着支給し、2月に振替
注意：2025年に限り、4月より新しいデザイン制服に変更します。そのため、2025年1月および2月に入社した新入社員には、2月時点で追加の制服を配布せず、4月に新しいデザイン制服を配布し、費用を4月に振替します。
Cấp phát 2 áo cho người mới vào công ty tháng 1, 2  phân bổ tiền vào tháng 2.
Lưu ý: Riêng năm 2025, thời điểm tháng 4/2025 sẽ thay đổi mẫu áo đồng phục trắng kẻ sang mẫu áo mới. Do vậy với người mới vào trong tháng 1, 2/2025 sẽ không phát áo bổ sung vào tháng 2/2025, mà phát áo và phân bổ chi phí vào thời điểm tháng 4/2025</t>
  </si>
  <si>
    <t>振替単価は予定と同額とし、前月末の実績人数（当月初の人事課の人員データ）に応じ各部門に振替。 
Đơn giá phân bổ thực tích giống như đơn giá dự định, phân bổ cho số người thực tế của các phòng ban tại ngày cuối cùng tháng trước (số liệu của phòng nhân sự cung cấp vào đầu tháng sau khi chốt Cost center). 
Trong tháng phân bổ, các phòng ban có sự thay đổi về sơ đồ tổ chức phải liên lạc cho phòng hành chính. Phòng hành chính sẽ phân bổ chi phí dựa trên số lượng người được phòng ban thông báo.</t>
  </si>
  <si>
    <t>配布数で引渡し月に振替　
対象者：全社員（出向者を含む）、配布当日に入社する場合も対象とする
Phân bổ vào tháng phát theo số lượng phát thực tế
Đối tượng áp dụng: Toàn thể CBCNV công ty (Bao gồm cả nhân viên biệt phái). Trường hợp vào ngày phát bánh có người mới vào, vẫn thuộc đối tượng nhận bánh
Trong tháng phân bổ, các phòng ban có sự thay đổi về sơ đồ tổ chức phải liên lạc cho phòng hành chính. Phòng hành chính sẽ phân bổ chi phí dựa trên số lượng người được phòng ban thông báo.</t>
  </si>
  <si>
    <t>総額を実際参加人数で按分し実施月に振替 （開催予定日：10月24日）
対象：2014.11.01~2015.10.31に入社した従業員、副部長以上
Phân bổ vào tháng thực hiện theo số người tham gia thực tế (Ngày dự kiến tổ chức: 24/10)
Đối tượng áp dụng: Công nhân viên vào công ty từ 01/11/2014 ~ 31/10/2015 và các phó trưởng bộ phận trở lên
Trong tháng phân bổ, các phòng ban có sự thay đổi về sơ đồ tổ chức phải liên lạc cho phòng hành chính. Phòng hành chính sẽ phân bổ chi phí dựa trên số lượng người được phòng ban thông báo.</t>
  </si>
  <si>
    <t>総額を対象者数で按分し実施月に振替 （対象：2014.11.01~2015.10.31に入社した従業員）
Phân bổ vào tháng thực hiện cho những người thuộc đối tượng
Đối tượng: Công nhân viên vào công ty từ 01/11/2014~31/10/2015
Trong tháng phân bổ, các phòng ban có sự thay đổi về sơ đồ tổ chức phải liên lạc cho phòng hành chính. Phòng hành chính sẽ phân bổ chi phí dựa trên số lượng người được phòng ban thông báo.</t>
  </si>
  <si>
    <t>旧正月後の最初の出勤日に在籍している人数に基づいて、その月に振替を行います。
対象者：ローカルの従業員全員（出向者を対象としない）
※注意：産休、休業、病気休暇、有給休暇、疫病休暇、忌引、結婚休暇、兵役検診休暇中の従業員、お年玉を授与する日に入社した新人はすべてお年玉を受け取る対象となります。
Phân bổ vào tháng thực hiện theo số người tồn tại ở thời điểm ngày làm việc đầu tiên sau Tết Nguyên Đán
Đối tượng áp dụng: Toàn thể công nhân viên địa phương của công ty (Không bao gồm nhân viên biệt phái). 
※Lưu ý: Tất cả các trường hợp như: CNV nghỉ sinh, nghỉ chờ việc, nghỉ ốm, nghỉ phép, nghỉ dịch bệnh truyền nhiễm, nghỉ hiếu hỉ, nghỉ khám nghĩa vụ quân sự, người mới vào đúng ngày phát lì xì đều thuộc đối tượng được nhận lì xì
Trong tháng phân bổ, các phòng ban có sự thay đổi về sơ đồ tổ chức phải liên lạc cho phòng hành chính. Phòng hành chính sẽ phân bổ chi phí dựa trên số lượng người được phòng ban thông báo.</t>
  </si>
  <si>
    <r>
      <t xml:space="preserve">Phân bổ vào tháng có người sinh nhật
</t>
    </r>
    <r>
      <rPr>
        <u/>
        <sz val="10"/>
        <color theme="1"/>
        <rFont val="Times"/>
        <family val="1"/>
      </rPr>
      <t>Lưu ý</t>
    </r>
    <r>
      <rPr>
        <sz val="10"/>
        <color theme="1"/>
        <rFont val="Times"/>
        <family val="1"/>
      </rPr>
      <t xml:space="preserve">: 
1. Số tiền phân bổ của mỗi phòng ban sẽ thay đổi tùy thuộc vào số người nhận quà thực tế của phòng ban đó
- Các phòng ban nhận quà đầy đủ thì số tiền phân bổ không thay đổi: </t>
    </r>
    <r>
      <rPr>
        <sz val="10"/>
        <color rgb="FFFF0000"/>
        <rFont val="Times"/>
        <family val="1"/>
      </rPr>
      <t>152,000</t>
    </r>
    <r>
      <rPr>
        <sz val="10"/>
        <color theme="1"/>
        <rFont val="Times"/>
        <family val="1"/>
      </rPr>
      <t xml:space="preserve"> VNĐ/người. 
- Các phòng ban có người không nhận quà đầy đủ thì chi phí bánh sinh nhật (phải mua trong ngày sinh nhật) của những trường hợp không nhận quà sẽ phân bổ vào ban đó: </t>
    </r>
    <r>
      <rPr>
        <sz val="10"/>
        <color rgb="FFFF0000"/>
        <rFont val="Times"/>
        <family val="1"/>
      </rPr>
      <t>37,000</t>
    </r>
    <r>
      <rPr>
        <sz val="10"/>
        <color theme="1"/>
        <rFont val="Times"/>
        <family val="1"/>
      </rPr>
      <t xml:space="preserve"> VND/người
</t>
    </r>
    <r>
      <rPr>
        <sz val="10"/>
        <color rgb="FFFF0000"/>
        <rFont val="Times"/>
        <family val="1"/>
      </rPr>
      <t xml:space="preserve">2. Đối với người quay lại sau kỳ nghỉ sinh: Sẽ nhận quà &amp; phân bổ vào tháng tiếp theo.
</t>
    </r>
    <r>
      <rPr>
        <sz val="10"/>
        <color theme="1"/>
        <rFont val="Times"/>
        <family val="1"/>
      </rPr>
      <t xml:space="preserve">VD: CNV có ngày sinh nhật trong thời gian nghỉ sinh. Tháng quay trở lại đi làm là tháng 4. Tháng nhận quà sinh nhật và phân bổ chi phí là tháng 5. 
</t>
    </r>
    <r>
      <rPr>
        <sz val="10"/>
        <color rgb="FFFF0000"/>
        <rFont val="Times"/>
        <family val="1"/>
      </rPr>
      <t>3. Đối với người mới: nếu người mới có ngày sinh nhật trùng với tháng vào công ty. Sẽ nhận quà &amp; phân bổ vào tháng tiếp theo.</t>
    </r>
    <r>
      <rPr>
        <sz val="10"/>
        <color theme="1"/>
        <rFont val="Times"/>
        <family val="1"/>
      </rPr>
      <t xml:space="preserve">
VD: CNV vào công ty ngày 5/4/2025. Có ngày sinh nhật là 1/4/1990, sẽ được nhận quà sinh nhật và phân bổ chi phí vào tháng 5/2025.
誕生日月に振り替えます。
注意：
1．各部署の振替金額はその部署の実際の人数によって異なります。 
・プレゼントを受け取った部署に対して、振替額は変更なしで1人あたり163,000VNDです。
・プレゼントを受け取らない人がいる場合、その人のケーキ（誕生日当日に購入する）の費用がその部署に振り替えられます。1人あたり37,000VNDです。
2．産休から復帰される人の場合、プレゼントの受け取りと経費の振替は翌月に行われます。 
例: 従業員が産休中に誕生日を迎えました。復職月は4月、プレゼントの受け取りと経費の振替月は5月となります。
3．新人の場合：入社月と誕生日が重なる場合、プレゼントの受け取りと経費振替は翌月になります。 
例: 従業員は 2025 年4月5日に入社しました。
誕生日が 1990 年4月1日の場合、プレゼントの受け取りと経費振替月は2025年5月になります。
Trong tháng phân bổ, các phòng ban có sự thay đổi về sơ đồ tổ chức phải liên lạc cho phòng hành chính. Phòng hành chính sẽ phân bổ chi phí dựa trên số lượng người được phòng ban thông báo.</t>
    </r>
  </si>
  <si>
    <r>
      <rPr>
        <sz val="10"/>
        <color rgb="FFFF0000"/>
        <rFont val="Times"/>
        <family val="1"/>
      </rPr>
      <t>総額を実際の社員旅行参加人数で実施月に振替 （出発日前にキャンセルした人は含まれません）。</t>
    </r>
    <r>
      <rPr>
        <sz val="10"/>
        <color theme="1"/>
        <rFont val="Times"/>
        <family val="1"/>
      </rPr>
      <t xml:space="preserve">
開催予定日：5月9日,10日
対象者：正社員、旅行日の1ヶ月前の入社員
</t>
    </r>
    <r>
      <rPr>
        <sz val="10"/>
        <color rgb="FFFF0000"/>
        <rFont val="Times"/>
        <family val="1"/>
      </rPr>
      <t xml:space="preserve">Phân bổ vào tháng thực hiện theo số người tham gia thực tế (không bao gồm người hủy du lịch trước ngày xuất phát)
</t>
    </r>
    <r>
      <rPr>
        <sz val="10"/>
        <color theme="1"/>
        <rFont val="Times"/>
        <family val="1"/>
      </rPr>
      <t>Thời gian dự kiến tổ chức: 9,10/5
Đối tượng áp dụng: Là cán bộ công nhân viên công ty, vào công ty trước 1 tháng so với ngày tổ chức đi du lịch.</t>
    </r>
  </si>
  <si>
    <t>2025年版：800
2026年版：760</t>
  </si>
  <si>
    <r>
      <t xml:space="preserve">受診者人数に応じて発生した月に振替します。対象者は7月1日の前の入社員です。
Phân bổ theo số người khám vào tháng phát sinh. Đối tượng khám: Công nhân viên vào trước ngày 01/07.
</t>
    </r>
    <r>
      <rPr>
        <b/>
        <sz val="10"/>
        <color rgb="FFFF0000"/>
        <rFont val="Times"/>
        <family val="1"/>
      </rPr>
      <t>留意：女性従業員が妊娠している場合、Ｘ線検査は不要となりますので、採算予定を立てる際に27,000VNDを差し引いてください。</t>
    </r>
    <r>
      <rPr>
        <sz val="10"/>
        <color theme="1"/>
        <rFont val="Times"/>
        <family val="1"/>
      </rPr>
      <t xml:space="preserve">
</t>
    </r>
    <r>
      <rPr>
        <sz val="10"/>
        <color rgb="FFFF0000"/>
        <rFont val="Times"/>
        <family val="1"/>
      </rPr>
      <t>Lưu ý:  Trong trường hợp nữ nhân viên đang mang thai, việc kiểm tra X-quang sẽ không cần thiết, vì vậy khi lập dự toán chi phí xin vui lòng trừ 27.000 VND/người.</t>
    </r>
  </si>
  <si>
    <t xml:space="preserve">đơn giá </t>
  </si>
  <si>
    <t>更新日：2025年12月16日</t>
  </si>
  <si>
    <t>FY2027　配賦額一覧</t>
  </si>
  <si>
    <t>更新日：2025年12月29日</t>
  </si>
  <si>
    <t>同年1月～2月の新入社員を対象に1名につき2着支給し、2月に振替
Cấp phát 2 áo cho người mới vào công ty tháng 1, 2,  phân bổ tiền vào tháng 2.</t>
  </si>
  <si>
    <t>総額は前月末の実績人数（当月初の人事課の人員データ）で按分し各部門に振替。（開催予定日：11月14日）
計上月に組織変更がある部署は総務課までに連絡しなければなりません。総務課は該当の部署にて連絡された人数をベースに振り替えます。
Phân bổ vào tháng thực hiện cho số người thực tế của các phòng ban cuối tháng trước (số liệu của phòng nhân sự cung cấp vào đầu tháng sau khi chốt Cost center). (Ngày dự kiến tổ chức: 14/11)
Trong tháng phân bổ, các phòng ban có sự thay đổi về sơ đồ tổ chức phải liên lạc cho phòng hành chính. Phòng hành chính sẽ phân bổ chi phí dựa trên số lượng người được phòng ban thông báo.</t>
  </si>
  <si>
    <t>毎月
2月
8月</t>
  </si>
  <si>
    <t>4月</t>
  </si>
  <si>
    <t>航空券 Vé máy bay</t>
  </si>
  <si>
    <t>発券日の翌月振替 Phân bổ vào tháng kế tiếp sau khi xuất vé</t>
  </si>
  <si>
    <t>海外渡航保険代 Bảo hiểm công tác nước ngoài</t>
  </si>
  <si>
    <t>9月</t>
  </si>
  <si>
    <t>配布数で引渡し月に振替　
対象者：全社員（出向者を含む）、配布当日に入社する場合も対象とする
計上月に組織変更がある部署は総務課までに連絡しなければなりません。総務課は該当の部署にて連絡された人数をベースに振り替えます。
Phân bổ vào tháng phát theo số lượng phát thực tế
Đối tượng áp dụng: Toàn thể CBCNV công ty (Bao gồm cả nhân viên biệt phái). Trường hợp vào ngày phát bánh có người mới vào, vẫn thuộc đối tượng nhận bánh
Trong tháng phân bổ, các phòng ban có sự thay đổi về sơ đồ tổ chức phải liên lạc cho phòng hành chính. Phòng hành chính sẽ phân bổ chi phí dựa trên số lượng người được phòng ban thông báo.</t>
  </si>
  <si>
    <t>総額を実際の社員旅行参加人数で実施月に振替 （出発日前にキャンセルした人は含まれません）。
開催予定日：5月8日,9日
対象者：正社員、旅行日の1ヶ月前の入社員
Phân bổ vào tháng thực hiện theo số người tham gia thực tế (không bao gồm người hủy du lịch trước ngày xuất phát)
Thời gian dự kiến tổ chức: 8,9/5
Đối tượng áp dụng: Là cán bộ công nhân viên công ty, vào công ty trước 1 tháng so với ngày tổ chức đi du lịch.</t>
  </si>
  <si>
    <t>総額は前月末の実績人数（当月初の人事課の人員データ）で按分し各部門に振替。（開催予定日：9月12日）
計上月に組織変更がある部署は総務課までに連絡しなければなりません。総務課は該当の部署にて連絡された人数をベースに振り替えます。
Phân bổ vào tháng thực hiện cho số người thực tế của các phòng ban cuối tháng trước (số liệu của phòng nhân sự cung cấp vào đầu tháng sau khi chốt Cost center). (Ngày dự kiến tổ chức: 12/9)
Trong tháng phân bổ, các phòng ban có sự thay đổi về sơ đồ tổ chức phải liên lạc cho phòng hành chính. Phòng hành chính sẽ phân bổ chi phí dựa trên số lượng người được phòng ban thông báo.</t>
  </si>
  <si>
    <t>旧正月後の最初の出勤日に在籍している人数に基づいて、その月に振替を行います。
対象者：ローカルの従業員全員（出向者を対象としない）
※注意：産休、休業、病気休暇、有給休暇、疫病休暇、忌引、結婚休暇、兵役検診休暇中の従業員、お年玉を授与する日に入社した新人はすべてお年玉を受け取る対象となります。
計上月に組織変更がある部署は総務課までに連絡しなければなりません。総務課は該当の部署にて連絡された人数をベースに振り替えます。
Phân bổ vào tháng thực hiện theo số người tồn tại ở thời điểm ngày làm việc đầu tiên sau Tết Nguyên Đán
Đối tượng áp dụng: Toàn thể công nhân viên địa phương của công ty (Không bao gồm nhân viên biệt phái). 
※Lưu ý: Tất cả các trường hợp như: CNV nghỉ sinh, nghỉ chờ việc, nghỉ ốm, nghỉ phép, nghỉ dịch bệnh truyền nhiễm, nghỉ hiếu hỉ, nghỉ khám nghĩa vụ quân sự, người mới vào đúng ngày phát lì xì đều thuộc đối tượng được nhận lì xì
Trong tháng phân bổ, các phòng ban có sự thay đổi về sơ đồ tổ chức phải liên lạc cho phòng hành chính. Phòng hành chính sẽ phân bổ chi phí dựa trên số lượng người được phòng ban thông báo.</t>
  </si>
  <si>
    <r>
      <t xml:space="preserve">誕生日月に振り替えます。
注意：
1．各部署の振替金額はその部署の実際の人数によって異なります。 
・プレゼントを受け取った部署に対して、振替額は変更なしで1人あたり163,000VNDです。
・プレゼントを受け取らない人がいる場合、その人のケーキ（誕生日当日に購入する）の費用がその部署に振り替えられます。1人あたり37,000VNDです。
2．産休から復帰される人の場合、プレゼントの受け取りと経費の振替は翌月に行われます。 
例: 従業員が産休中に誕生日を迎えました。復職月は4月、プレゼントの受け取りと経費の振替月は5月となります。
3．新人の場合：入社月と誕生日が重なる場合、プレゼントの受け取りと経費振替は翌月になります。 
例: 従業員は 2025 年4月5日に入社しました。
誕生日が 1990 年4月1日の場合、プレゼントの受け取りと経費振替月は2025年5月になります。
計上月に組織変更がある部署は総務課までに連絡しなければなりません。総務課は該当の部署にて連絡された人数をベースに振り替えます。
Phân bổ vào tháng có người sinh nhật
</t>
    </r>
    <r>
      <rPr>
        <u/>
        <sz val="10"/>
        <color theme="1"/>
        <rFont val="Times"/>
        <family val="1"/>
      </rPr>
      <t>Lưu ý</t>
    </r>
    <r>
      <rPr>
        <sz val="10"/>
        <color theme="1"/>
        <rFont val="Times"/>
        <family val="1"/>
      </rPr>
      <t xml:space="preserve">: 
1. Số tiền phân bổ của mỗi phòng ban sẽ thay đổi tùy thuộc vào số người nhận quà thực tế của phòng ban đó
- Các phòng ban nhận quà đầy đủ thì số tiền phân bổ không thay đổi: 158,000 VNĐ/người. 
- Các phòng ban có người không nhận quà đầy đủ thì chi phí bánh sinh nhật (phải mua trong ngày sinh nhật) của những trường hợp không nhận quà sẽ phân bổ vào ban đó: 37,000 VND/người
2. Đối với người quay lại sau kỳ nghỉ sinh: Sẽ nhận quà &amp; phân bổ vào tháng tiếp theo.
VD: CNV có ngày sinh nhật trong thời gian nghỉ sinh. Tháng quay trở lại đi làm là tháng 4. Tháng nhận quà sinh nhật và phân bổ chi phí là tháng 5. 
3. Đối với người mới: nếu người mới có ngày sinh nhật trùng với tháng vào công ty. Sẽ nhận quà &amp; phân bổ vào tháng tiếp theo.
VD: CNV vào công ty ngày 5/4/2025. Có ngày sinh nhật là 1/4/1990, sẽ được nhận quà sinh nhật và phân bổ chi phí vào tháng 5/2025.
Trong tháng phân bổ, các phòng ban có sự thay đổi về sơ đồ tổ chức phải liên lạc cho phòng hành chính. Phòng hành chính sẽ phân bổ chi phí dựa trên số lượng người được phòng ban thông báo.
</t>
    </r>
  </si>
  <si>
    <t>実際の参加人数で実施月に振替
対象者：係長以上
Phân bổ vào tháng thực hiện theo số người tham gia thực tế
Đối tượng tham gia: Trợ lý trở lên</t>
  </si>
  <si>
    <t>実際の参加人数で実施月に振替
全従業員（出向者を含む）。イベント開催日に入社した新入社員も対象者に含まれます。
注意：
実際の状況により、イベントの実施形態が変更となる場合があります。
（例：感謝食事会の開催、記念品の贈呈、その他のイベント等）
Phân bổ vào tháng thực hiện theo số người tham gia thực tế
Đối tượng tham gia: Toàn thể CBCNV công ty (Bao gồm cả nhân viên biệt phái). Trường hợp vào ngày tổ chức sự kiện có người mới vào, vẫn thuộc đối tượng tham gia.
Lưu ý: Tùy vào tình hình thực tế, hình thức tổ chức sự kiện có thể thay đổi (VD: Tổ chức bữa cơm tri ân cho toàn thể CBCNV công ty hoặc tặng quà kỷ niệm hoặc sự kiện khác)</t>
  </si>
  <si>
    <t>単価 (vnd)
Đơn giá
FY2027</t>
  </si>
  <si>
    <t>総額を対象者数で按分し実施月に振替 （対象：2015.11.01~2016.10.31に入社した従業員）
計上月に組織変更がある部署は総務課までに連絡しなければなりません。総務課は該当の部署にて連絡された人数をベースに振り替えます。
Phân bổ vào tháng thực hiện cho những người thuộc đối tượng
Đối tượng: Công nhân viên vào công ty từ 01/11/2015 đến 31/10/2016
Trong tháng phân bổ, các phòng ban có sự thay đổi về sơ đồ tổ chức phải liên lạc cho phòng hành chính. Phòng hành chính sẽ phân bổ chi phí dựa trên số lượng người được phòng ban thông báo.</t>
  </si>
  <si>
    <t>総額を実際参加人数で按分し実施月に振替 （開催予定日：10月23日）
対象：2015.11.01~2016.10.31に入社した従業員、副部長以上 
（※当該部門に勤続10年の社員がいない場合でも、副部長・部長を含む）
計上月に組織変更がある部署は総務課までに連絡しなければなりません。総務課は該当の部署にて連絡された人数をベースに振り替えます。
Phân bổ vào tháng thực hiện theo số người tham gia thực tế (Ngày dự kiến tổ chức: 23/10)
Đối tượng áp dụng: Công nhân viên vào công ty từ 01/11/2015 đến 31/10/2016 (10 năm)  và các phó trưởng bộ phận trở lên, bao gồm cả phó/trưởng bộ phận của phòng ban không có người 10 năm
Trong tháng phân bổ, các phòng ban có sự thay đổi về sơ đồ tổ chức phải liên lạc cho phòng hành chính. Phòng hành chính sẽ phân bổ chi phí dựa trên số lượng người được phòng ban thông báo.</t>
  </si>
  <si>
    <t>人数は、振替月の前月1日時点の在籍人数および振替月の前月の使用面積に基づく
Căn cứ vào số người ở thời điểm đầu tháng và diện tích sử dụng trong tháng trước tháng phân bổ</t>
  </si>
  <si>
    <r>
      <t>FY2027</t>
    </r>
    <r>
      <rPr>
        <sz val="10"/>
        <color theme="1"/>
        <rFont val="ＭＳ 明朝"/>
        <family val="1"/>
        <charset val="128"/>
      </rPr>
      <t>部門方針発表会後の決起コンパ</t>
    </r>
    <r>
      <rPr>
        <sz val="10"/>
        <color theme="1"/>
        <rFont val="Times"/>
        <family val="1"/>
      </rPr>
      <t xml:space="preserve">  Tiệc chúc mừng sau buổi phát biểu phương châm bộ phận KDTVN FY2027</t>
    </r>
  </si>
  <si>
    <r>
      <rPr>
        <sz val="10"/>
        <color theme="1"/>
        <rFont val="ＭＳ 明朝"/>
        <family val="1"/>
        <charset val="128"/>
      </rPr>
      <t>会社設立記念</t>
    </r>
    <r>
      <rPr>
        <sz val="10"/>
        <color theme="1"/>
        <rFont val="Times"/>
        <family val="1"/>
      </rPr>
      <t xml:space="preserve"> </t>
    </r>
    <r>
      <rPr>
        <sz val="10"/>
        <color theme="1"/>
        <rFont val="ＭＳ 明朝"/>
        <family val="1"/>
        <charset val="128"/>
      </rPr>
      <t>感謝イベント</t>
    </r>
    <r>
      <rPr>
        <sz val="10"/>
        <color theme="1"/>
        <rFont val="Times"/>
        <family val="1"/>
      </rPr>
      <t xml:space="preserve"> Sự kiện tri ân ngày thành lập công ty </t>
    </r>
  </si>
  <si>
    <t>入社月</t>
  </si>
  <si>
    <r>
      <t>コンパ開催予定月：4月～5月 、振替月：申請月の翌月
対象者：コンパ参加した社</t>
    </r>
    <r>
      <rPr>
        <sz val="10"/>
        <color rgb="FFFF0000"/>
        <rFont val="Times"/>
        <family val="1"/>
      </rPr>
      <t>（出向者を含む）</t>
    </r>
    <r>
      <rPr>
        <sz val="10"/>
        <color theme="1"/>
        <rFont val="Times"/>
        <family val="1"/>
      </rPr>
      <t xml:space="preserve">
Tháng tổ chức tiệc dự kiến: Tháng 4 ~ tháng 5.  Tháng phân bổ chi phí: Tháng tiếp theo của tháng đề nghị.
Đối tượng áp dụng: Là cán bộ công nhân viên công ty có tham gia tiệc.</t>
    </r>
    <r>
      <rPr>
        <sz val="10"/>
        <color rgb="FFFF0000"/>
        <rFont val="Times"/>
        <family val="1"/>
      </rPr>
      <t>(Bao gồm cả nhân viên biệt phái)</t>
    </r>
  </si>
  <si>
    <r>
      <t>コンパ開催予定月：2027年1月～2027年2月 。振替月：申請月の翌月
対象者：コンパ参加した社員</t>
    </r>
    <r>
      <rPr>
        <sz val="10"/>
        <color rgb="FFFF0000"/>
        <rFont val="Times"/>
        <family val="1"/>
      </rPr>
      <t>（出向者を含む）</t>
    </r>
    <r>
      <rPr>
        <sz val="10"/>
        <color theme="1"/>
        <rFont val="Times"/>
        <family val="1"/>
      </rPr>
      <t xml:space="preserve">
Tháng tổ chức tiệc dự kiến: Tháng 1/2027 ~ 2/2027. Tháng phân bổ chi phí: Tháng tiếp theo của tháng đề nghị 
Đối tượng áp dụng: Là cán bộ công nhân viên công ty có tham gia tiệc.</t>
    </r>
    <r>
      <rPr>
        <sz val="10"/>
        <color rgb="FFFF0000"/>
        <rFont val="Times"/>
        <family val="1"/>
      </rPr>
      <t>(Bao gồm cả nhân viên biệt phái)</t>
    </r>
  </si>
  <si>
    <t>入社月
入社月の翌月
11月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</si>
</sst>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 #,##0_-;_-* &quot;-&quot;_-;_-@_-"/>
    <numFmt numFmtId="165" formatCode="_-* #,##0.00_-;\-* #,##0.00_-;_-* &quot;-&quot;??_-;_-@_-"/>
    <numFmt numFmtId="166" formatCode="#,##0_);[Red]\-#,##0_)"/>
  </numFmts>
  <fonts count="51">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28"/>
      <scheme val="minor"/>
    </font>
    <font>
      <sz val="12"/>
      <name val=".VnTime"/>
      <family val="2"/>
    </font>
    <font>
      <sz val="11"/>
      <color indexed="8"/>
      <name val="Arial"/>
      <family val="2"/>
    </font>
    <font>
      <sz val="11"/>
      <color indexed="9"/>
      <name val="Arial"/>
      <family val="2"/>
    </font>
    <font>
      <sz val="11"/>
      <color indexed="20"/>
      <name val="Arial"/>
      <family val="2"/>
    </font>
    <font>
      <b/>
      <sz val="11"/>
      <color indexed="52"/>
      <name val="Arial"/>
      <family val="2"/>
    </font>
    <font>
      <b/>
      <sz val="11"/>
      <color indexed="9"/>
      <name val="Arial"/>
      <family val="2"/>
    </font>
    <font>
      <sz val="10"/>
      <color theme="1"/>
      <name val="Arial"/>
      <family val="2"/>
    </font>
    <font>
      <sz val="11"/>
      <name val="ＭＳ Ｐゴシック"/>
      <family val="3"/>
      <charset val="128"/>
    </font>
    <font>
      <sz val="10"/>
      <name val="Arial"/>
      <family val="2"/>
    </font>
    <font>
      <sz val="11"/>
      <color indexed="8"/>
      <name val="Calibri"/>
      <family val="2"/>
    </font>
    <font>
      <sz val="11"/>
      <color theme="1"/>
      <name val="Calibri"/>
      <family val="3"/>
      <charset val="128"/>
      <scheme val="minor"/>
    </font>
    <font>
      <i/>
      <sz val="11"/>
      <color indexed="23"/>
      <name val="Arial"/>
      <family val="2"/>
    </font>
    <font>
      <sz val="11"/>
      <color indexed="17"/>
      <name val="Arial"/>
      <family val="2"/>
    </font>
    <font>
      <b/>
      <sz val="15"/>
      <color indexed="56"/>
      <name val="Arial"/>
      <family val="2"/>
    </font>
    <font>
      <b/>
      <sz val="13"/>
      <color indexed="56"/>
      <name val="Arial"/>
      <family val="2"/>
    </font>
    <font>
      <b/>
      <sz val="11"/>
      <color indexed="56"/>
      <name val="Arial"/>
      <family val="2"/>
    </font>
    <font>
      <sz val="11"/>
      <color indexed="62"/>
      <name val="Arial"/>
      <family val="2"/>
    </font>
    <font>
      <sz val="11"/>
      <color indexed="52"/>
      <name val="Arial"/>
      <family val="2"/>
    </font>
    <font>
      <sz val="11"/>
      <color indexed="60"/>
      <name val="Arial"/>
      <family val="2"/>
    </font>
    <font>
      <sz val="10"/>
      <name val="Arial"/>
      <family val="2"/>
      <charset val="163"/>
    </font>
    <font>
      <sz val="10"/>
      <color indexed="8"/>
      <name val="Arial"/>
      <family val="2"/>
    </font>
    <font>
      <sz val="12"/>
      <name val="Times New Roman"/>
      <family val="1"/>
    </font>
    <font>
      <b/>
      <sz val="11"/>
      <color indexed="63"/>
      <name val="Arial"/>
      <family val="2"/>
    </font>
    <font>
      <b/>
      <sz val="18"/>
      <color indexed="56"/>
      <name val="Times New Roman"/>
      <family val="1"/>
    </font>
    <font>
      <b/>
      <sz val="11"/>
      <color indexed="8"/>
      <name val="Arial"/>
      <family val="2"/>
    </font>
    <font>
      <sz val="11"/>
      <color indexed="10"/>
      <name val="Arial"/>
      <family val="2"/>
    </font>
    <font>
      <u/>
      <sz val="11"/>
      <color theme="10"/>
      <name val="Calibri"/>
      <family val="2"/>
      <charset val="128"/>
      <scheme val="minor"/>
    </font>
    <font>
      <sz val="6"/>
      <name val="Calibri"/>
      <family val="2"/>
      <charset val="128"/>
      <scheme val="minor"/>
    </font>
    <font>
      <sz val="11"/>
      <name val="ＭＳ Ｐゴシック"/>
      <family val="2"/>
    </font>
    <font>
      <sz val="12"/>
      <color theme="1"/>
      <name val="Times New Roman"/>
      <family val="2"/>
    </font>
    <font>
      <b/>
      <u/>
      <sz val="14"/>
      <color theme="1"/>
      <name val="Times"/>
      <family val="1"/>
    </font>
    <font>
      <sz val="11"/>
      <color theme="1"/>
      <name val="Times"/>
      <family val="1"/>
    </font>
    <font>
      <sz val="10"/>
      <color theme="1"/>
      <name val="Times"/>
      <family val="1"/>
    </font>
    <font>
      <u/>
      <sz val="10"/>
      <color theme="1"/>
      <name val="Times"/>
      <family val="1"/>
    </font>
    <font>
      <u/>
      <sz val="11"/>
      <color theme="1"/>
      <name val="Times"/>
      <family val="1"/>
    </font>
    <font>
      <sz val="10"/>
      <color rgb="FFFF0000"/>
      <name val="Times"/>
      <family val="1"/>
    </font>
    <font>
      <sz val="10"/>
      <color theme="1"/>
      <name val="ＭＳ 明朝"/>
      <family val="1"/>
      <charset val="128"/>
    </font>
    <font>
      <b/>
      <sz val="11"/>
      <color rgb="FFFF0000"/>
      <name val="Times"/>
      <family val="1"/>
    </font>
    <font>
      <b/>
      <sz val="10"/>
      <color rgb="FFFF0000"/>
      <name val="Times"/>
      <family val="1"/>
    </font>
    <font>
      <sz val="10"/>
      <color theme="1"/>
      <name val="Times"/>
      <family val="1"/>
    </font>
    <font>
      <sz val="11"/>
      <color theme="1"/>
      <name val="Times"/>
      <family val="1"/>
    </font>
    <font>
      <sz val="10"/>
      <color theme="1"/>
      <name val="Arial"/>
      <family val="1"/>
      <charset val="128"/>
    </font>
  </fonts>
  <fills count="28">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s>
  <borders count="75">
    <border>
      <left/>
      <right/>
      <top/>
      <bottom/>
      <diagonal/>
    </border>
    <border>
      <left style="thin">
        <color auto="1"/>
      </left>
      <right style="thin">
        <color indexed="64"/>
      </right>
      <top style="thin">
        <color auto="1"/>
      </top>
      <bottom style="thin">
        <color indexed="64"/>
      </bottom>
      <diagonal/>
    </border>
    <border>
      <left style="thin">
        <color auto="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804">
    <xf numFmtId="0" fontId="0" fillId="0" borderId="0">
      <alignment vertical="center"/>
    </xf>
    <xf numFmtId="38" fontId="8" fillId="0" borderId="0" applyFont="0" applyFill="0" applyBorder="0" applyAlignment="0" applyProtection="0">
      <alignment vertical="center"/>
    </xf>
    <xf numFmtId="0" fontId="9" fillId="0" borderId="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20" borderId="0" applyNumberFormat="0" applyBorder="0" applyAlignment="0" applyProtection="0"/>
    <xf numFmtId="0" fontId="12" fillId="4" borderId="0" applyNumberFormat="0" applyBorder="0" applyAlignment="0" applyProtection="0"/>
    <xf numFmtId="0" fontId="13" fillId="21" borderId="3" applyNumberFormat="0" applyAlignment="0" applyProtection="0"/>
    <xf numFmtId="0" fontId="14" fillId="22" borderId="4" applyNumberFormat="0" applyAlignment="0" applyProtection="0"/>
    <xf numFmtId="164" fontId="15" fillId="0" borderId="0" applyFont="0" applyFill="0" applyBorder="0" applyAlignment="0" applyProtection="0"/>
    <xf numFmtId="38" fontId="16" fillId="0" borderId="0" applyFont="0" applyFill="0" applyBorder="0" applyAlignment="0" applyProtection="0">
      <alignment vertical="center"/>
    </xf>
    <xf numFmtId="40" fontId="16" fillId="0" borderId="0" applyFont="0" applyFill="0" applyBorder="0" applyAlignment="0" applyProtection="0">
      <alignment vertical="center"/>
    </xf>
    <xf numFmtId="40" fontId="16" fillId="0" borderId="0" applyFont="0" applyFill="0" applyBorder="0" applyAlignment="0" applyProtection="0">
      <alignment vertical="center"/>
    </xf>
    <xf numFmtId="43" fontId="17" fillId="0" borderId="0" applyFont="0" applyFill="0" applyBorder="0" applyAlignment="0" applyProtection="0"/>
    <xf numFmtId="43" fontId="18" fillId="0" borderId="0" applyFont="0" applyFill="0" applyBorder="0" applyAlignment="0" applyProtection="0"/>
    <xf numFmtId="40" fontId="16" fillId="0" borderId="0" applyFont="0" applyFill="0" applyBorder="0" applyAlignment="0" applyProtection="0">
      <alignment vertical="center"/>
    </xf>
    <xf numFmtId="165" fontId="15" fillId="0" borderId="0" applyFont="0" applyFill="0" applyBorder="0" applyAlignment="0" applyProtection="0"/>
    <xf numFmtId="165" fontId="15"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0" fontId="16" fillId="0" borderId="0" applyFont="0" applyFill="0" applyBorder="0" applyAlignment="0" applyProtection="0">
      <alignment vertical="center"/>
    </xf>
    <xf numFmtId="40" fontId="16" fillId="0" borderId="0" applyFont="0" applyFill="0" applyBorder="0" applyAlignment="0" applyProtection="0">
      <alignment vertical="center"/>
    </xf>
    <xf numFmtId="0" fontId="20" fillId="0" borderId="0" applyNumberFormat="0" applyFill="0" applyBorder="0" applyAlignment="0" applyProtection="0"/>
    <xf numFmtId="0" fontId="21" fillId="5" borderId="0" applyNumberFormat="0" applyBorder="0" applyAlignment="0" applyProtection="0"/>
    <xf numFmtId="0" fontId="22" fillId="0" borderId="5" applyNumberFormat="0" applyFill="0" applyAlignment="0" applyProtection="0"/>
    <xf numFmtId="0" fontId="23" fillId="0" borderId="6" applyNumberFormat="0" applyFill="0" applyAlignment="0" applyProtection="0"/>
    <xf numFmtId="0" fontId="24" fillId="0" borderId="7" applyNumberFormat="0" applyFill="0" applyAlignment="0" applyProtection="0"/>
    <xf numFmtId="0" fontId="24" fillId="0" borderId="0" applyNumberFormat="0" applyFill="0" applyBorder="0" applyAlignment="0" applyProtection="0"/>
    <xf numFmtId="0" fontId="25" fillId="8" borderId="8" applyNumberFormat="0" applyAlignment="0" applyProtection="0"/>
    <xf numFmtId="0" fontId="26" fillId="0" borderId="9" applyNumberFormat="0" applyFill="0" applyAlignment="0" applyProtection="0"/>
    <xf numFmtId="0" fontId="27" fillId="23" borderId="0" applyNumberFormat="0" applyBorder="0" applyAlignment="0" applyProtection="0"/>
    <xf numFmtId="0" fontId="28" fillId="0" borderId="0"/>
    <xf numFmtId="0" fontId="29" fillId="0" borderId="0">
      <alignment vertical="top"/>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7" fillId="0" borderId="0"/>
    <xf numFmtId="0" fontId="28" fillId="0" borderId="0"/>
    <xf numFmtId="0" fontId="17" fillId="0" borderId="0"/>
    <xf numFmtId="0" fontId="19" fillId="0" borderId="0"/>
    <xf numFmtId="0" fontId="19" fillId="0" borderId="0"/>
    <xf numFmtId="0" fontId="29" fillId="0" borderId="0">
      <alignment vertical="top"/>
    </xf>
    <xf numFmtId="0" fontId="17" fillId="0" borderId="0"/>
    <xf numFmtId="0" fontId="30" fillId="0" borderId="0"/>
    <xf numFmtId="0" fontId="7" fillId="0" borderId="0"/>
    <xf numFmtId="0" fontId="19" fillId="0" borderId="0"/>
    <xf numFmtId="0" fontId="19" fillId="0" borderId="0"/>
    <xf numFmtId="0" fontId="19" fillId="0" borderId="0"/>
    <xf numFmtId="0" fontId="16" fillId="24" borderId="10" applyNumberFormat="0" applyFont="0" applyAlignment="0" applyProtection="0"/>
    <xf numFmtId="0" fontId="31" fillId="21" borderId="11" applyNumberFormat="0" applyAlignment="0" applyProtection="0"/>
    <xf numFmtId="9" fontId="30" fillId="0" borderId="0" applyFont="0" applyFill="0" applyBorder="0" applyAlignment="0" applyProtection="0"/>
    <xf numFmtId="0" fontId="32" fillId="0" borderId="0" applyNumberFormat="0" applyFill="0" applyBorder="0" applyAlignment="0" applyProtection="0"/>
    <xf numFmtId="0" fontId="33" fillId="0" borderId="12" applyNumberFormat="0" applyFill="0" applyAlignment="0" applyProtection="0"/>
    <xf numFmtId="0" fontId="34" fillId="0" borderId="0" applyNumberFormat="0" applyFill="0" applyBorder="0" applyAlignment="0" applyProtection="0"/>
    <xf numFmtId="9" fontId="8" fillId="0" borderId="0" applyFont="0" applyFill="0" applyBorder="0" applyAlignment="0" applyProtection="0">
      <alignment vertical="center"/>
    </xf>
    <xf numFmtId="40" fontId="16" fillId="0" borderId="0" applyFont="0" applyFill="0" applyBorder="0" applyAlignment="0" applyProtection="0">
      <alignment vertical="center"/>
    </xf>
    <xf numFmtId="43" fontId="8" fillId="0" borderId="0" applyFont="0" applyFill="0" applyBorder="0" applyAlignment="0" applyProtection="0"/>
    <xf numFmtId="43" fontId="17" fillId="0" borderId="0" applyFont="0" applyFill="0" applyBorder="0" applyAlignment="0" applyProtection="0"/>
    <xf numFmtId="43" fontId="7" fillId="0" borderId="0" applyFont="0" applyFill="0" applyBorder="0" applyAlignment="0" applyProtection="0"/>
    <xf numFmtId="38" fontId="16" fillId="0" borderId="0" applyFont="0" applyFill="0" applyBorder="0" applyAlignment="0" applyProtection="0">
      <alignment vertical="center"/>
    </xf>
    <xf numFmtId="38" fontId="17" fillId="0" borderId="0" applyFont="0" applyFill="0" applyBorder="0" applyAlignment="0" applyProtection="0">
      <alignment vertical="center"/>
    </xf>
    <xf numFmtId="38" fontId="8" fillId="0" borderId="0" applyFont="0" applyFill="0" applyBorder="0" applyAlignment="0" applyProtection="0">
      <alignment vertical="center"/>
    </xf>
    <xf numFmtId="38" fontId="16" fillId="0" borderId="0" applyFont="0" applyFill="0" applyBorder="0" applyAlignment="0" applyProtection="0"/>
    <xf numFmtId="38" fontId="7" fillId="0" borderId="0" applyFont="0" applyFill="0" applyBorder="0" applyAlignment="0" applyProtection="0">
      <alignment vertical="center"/>
    </xf>
    <xf numFmtId="0" fontId="8" fillId="0" borderId="0">
      <alignment vertical="center"/>
    </xf>
    <xf numFmtId="0" fontId="16" fillId="0" borderId="0">
      <alignment vertical="center"/>
    </xf>
    <xf numFmtId="0" fontId="8" fillId="0" borderId="0">
      <alignment vertical="center"/>
    </xf>
    <xf numFmtId="0" fontId="16" fillId="0" borderId="0"/>
    <xf numFmtId="0" fontId="7" fillId="0" borderId="0"/>
    <xf numFmtId="0" fontId="17" fillId="0" borderId="0"/>
    <xf numFmtId="0" fontId="35" fillId="0" borderId="0" applyNumberFormat="0" applyFill="0" applyBorder="0" applyAlignment="0" applyProtection="0">
      <alignment vertical="center"/>
    </xf>
    <xf numFmtId="0" fontId="25" fillId="8" borderId="17" applyNumberFormat="0" applyAlignment="0" applyProtection="0"/>
    <xf numFmtId="0" fontId="13" fillId="21" borderId="13" applyNumberFormat="0" applyAlignment="0" applyProtection="0"/>
    <xf numFmtId="0" fontId="13" fillId="21" borderId="17" applyNumberFormat="0" applyAlignment="0" applyProtection="0"/>
    <xf numFmtId="0" fontId="25" fillId="8" borderId="13" applyNumberFormat="0" applyAlignment="0" applyProtection="0"/>
    <xf numFmtId="0" fontId="6" fillId="0" borderId="0"/>
    <xf numFmtId="0" fontId="16" fillId="24" borderId="14" applyNumberFormat="0" applyFont="0" applyAlignment="0" applyProtection="0"/>
    <xf numFmtId="0" fontId="31" fillId="21" borderId="15" applyNumberFormat="0" applyAlignment="0" applyProtection="0"/>
    <xf numFmtId="0" fontId="33" fillId="0" borderId="16" applyNumberFormat="0" applyFill="0" applyAlignment="0" applyProtection="0"/>
    <xf numFmtId="43" fontId="6" fillId="0" borderId="0" applyFont="0" applyFill="0" applyBorder="0" applyAlignment="0" applyProtection="0"/>
    <xf numFmtId="38" fontId="6" fillId="0" borderId="0" applyFont="0" applyFill="0" applyBorder="0" applyAlignment="0" applyProtection="0">
      <alignment vertical="center"/>
    </xf>
    <xf numFmtId="0" fontId="6" fillId="0" borderId="0"/>
    <xf numFmtId="0" fontId="16" fillId="24" borderId="18" applyNumberFormat="0" applyFont="0" applyAlignment="0" applyProtection="0"/>
    <xf numFmtId="0" fontId="31" fillId="21" borderId="19" applyNumberFormat="0" applyAlignment="0" applyProtection="0"/>
    <xf numFmtId="0" fontId="33" fillId="0" borderId="20" applyNumberFormat="0" applyFill="0" applyAlignment="0" applyProtection="0"/>
    <xf numFmtId="9" fontId="5" fillId="0" borderId="0" applyFont="0" applyFill="0" applyBorder="0" applyAlignment="0" applyProtection="0"/>
    <xf numFmtId="43" fontId="18" fillId="0" borderId="0" applyFont="0" applyFill="0" applyBorder="0" applyAlignment="0" applyProtection="0"/>
    <xf numFmtId="165" fontId="38" fillId="0" borderId="0" applyFont="0" applyFill="0" applyBorder="0" applyAlignment="0" applyProtection="0"/>
    <xf numFmtId="0" fontId="5" fillId="0" borderId="0"/>
    <xf numFmtId="0" fontId="17" fillId="0" borderId="0"/>
    <xf numFmtId="0" fontId="38" fillId="0" borderId="0"/>
    <xf numFmtId="0" fontId="8" fillId="0" borderId="0">
      <alignment vertical="center"/>
    </xf>
    <xf numFmtId="0" fontId="13" fillId="21" borderId="21" applyNumberFormat="0" applyAlignment="0" applyProtection="0"/>
    <xf numFmtId="0" fontId="25" fillId="8" borderId="21" applyNumberFormat="0" applyAlignment="0" applyProtection="0"/>
    <xf numFmtId="0" fontId="5" fillId="0" borderId="0"/>
    <xf numFmtId="0" fontId="16" fillId="24" borderId="22" applyNumberFormat="0" applyFont="0" applyAlignment="0" applyProtection="0"/>
    <xf numFmtId="0" fontId="31" fillId="21" borderId="23" applyNumberFormat="0" applyAlignment="0" applyProtection="0"/>
    <xf numFmtId="0" fontId="33" fillId="0" borderId="24" applyNumberFormat="0" applyFill="0" applyAlignment="0" applyProtection="0"/>
    <xf numFmtId="43" fontId="5" fillId="0" borderId="0" applyFont="0" applyFill="0" applyBorder="0" applyAlignment="0" applyProtection="0"/>
    <xf numFmtId="38" fontId="5" fillId="0" borderId="0" applyFont="0" applyFill="0" applyBorder="0" applyAlignment="0" applyProtection="0">
      <alignment vertical="center"/>
    </xf>
    <xf numFmtId="0" fontId="5" fillId="0" borderId="0"/>
    <xf numFmtId="0" fontId="5" fillId="0" borderId="0"/>
    <xf numFmtId="9" fontId="17" fillId="0" borderId="0" applyFont="0" applyFill="0" applyBorder="0" applyAlignment="0" applyProtection="0"/>
    <xf numFmtId="0" fontId="8" fillId="0" borderId="0">
      <alignment vertical="center"/>
    </xf>
    <xf numFmtId="0" fontId="5" fillId="0" borderId="0"/>
    <xf numFmtId="0" fontId="5" fillId="0" borderId="0"/>
    <xf numFmtId="0" fontId="37" fillId="0" borderId="0">
      <alignment vertical="center"/>
    </xf>
    <xf numFmtId="0" fontId="13" fillId="21" borderId="25" applyNumberFormat="0" applyAlignment="0" applyProtection="0"/>
    <xf numFmtId="0" fontId="25" fillId="8" borderId="25" applyNumberFormat="0" applyAlignment="0" applyProtection="0"/>
    <xf numFmtId="0" fontId="4" fillId="0" borderId="0"/>
    <xf numFmtId="0" fontId="16" fillId="24" borderId="26" applyNumberFormat="0" applyFont="0" applyAlignment="0" applyProtection="0"/>
    <xf numFmtId="0" fontId="31" fillId="21" borderId="27" applyNumberFormat="0" applyAlignment="0" applyProtection="0"/>
    <xf numFmtId="0" fontId="33" fillId="0" borderId="28" applyNumberFormat="0" applyFill="0" applyAlignment="0" applyProtection="0"/>
    <xf numFmtId="43" fontId="4" fillId="0" borderId="0" applyFont="0" applyFill="0" applyBorder="0" applyAlignment="0" applyProtection="0"/>
    <xf numFmtId="38" fontId="4" fillId="0" borderId="0" applyFont="0" applyFill="0" applyBorder="0" applyAlignment="0" applyProtection="0">
      <alignment vertical="center"/>
    </xf>
    <xf numFmtId="0" fontId="4" fillId="0" borderId="0"/>
    <xf numFmtId="0" fontId="25" fillId="8" borderId="25" applyNumberFormat="0" applyAlignment="0" applyProtection="0"/>
    <xf numFmtId="0" fontId="13" fillId="21" borderId="25" applyNumberFormat="0" applyAlignment="0" applyProtection="0"/>
    <xf numFmtId="0" fontId="13" fillId="21" borderId="25" applyNumberFormat="0" applyAlignment="0" applyProtection="0"/>
    <xf numFmtId="0" fontId="25" fillId="8" borderId="25" applyNumberFormat="0" applyAlignment="0" applyProtection="0"/>
    <xf numFmtId="0" fontId="4" fillId="0" borderId="0"/>
    <xf numFmtId="0" fontId="16" fillId="24" borderId="26" applyNumberFormat="0" applyFont="0" applyAlignment="0" applyProtection="0"/>
    <xf numFmtId="0" fontId="31" fillId="21" borderId="27" applyNumberFormat="0" applyAlignment="0" applyProtection="0"/>
    <xf numFmtId="0" fontId="33" fillId="0" borderId="28" applyNumberFormat="0" applyFill="0" applyAlignment="0" applyProtection="0"/>
    <xf numFmtId="43" fontId="4" fillId="0" borderId="0" applyFont="0" applyFill="0" applyBorder="0" applyAlignment="0" applyProtection="0"/>
    <xf numFmtId="38" fontId="4" fillId="0" borderId="0" applyFont="0" applyFill="0" applyBorder="0" applyAlignment="0" applyProtection="0">
      <alignment vertical="center"/>
    </xf>
    <xf numFmtId="0" fontId="4" fillId="0" borderId="0"/>
    <xf numFmtId="0" fontId="16" fillId="24" borderId="26" applyNumberFormat="0" applyFont="0" applyAlignment="0" applyProtection="0"/>
    <xf numFmtId="0" fontId="31" fillId="21" borderId="27" applyNumberFormat="0" applyAlignment="0" applyProtection="0"/>
    <xf numFmtId="0" fontId="33" fillId="0" borderId="28" applyNumberFormat="0" applyFill="0" applyAlignment="0" applyProtection="0"/>
    <xf numFmtId="9" fontId="4" fillId="0" borderId="0" applyFont="0" applyFill="0" applyBorder="0" applyAlignment="0" applyProtection="0"/>
    <xf numFmtId="0" fontId="4" fillId="0" borderId="0"/>
    <xf numFmtId="0" fontId="13" fillId="21" borderId="25" applyNumberFormat="0" applyAlignment="0" applyProtection="0"/>
    <xf numFmtId="0" fontId="25" fillId="8" borderId="25" applyNumberFormat="0" applyAlignment="0" applyProtection="0"/>
    <xf numFmtId="0" fontId="4" fillId="0" borderId="0"/>
    <xf numFmtId="0" fontId="16" fillId="24" borderId="26" applyNumberFormat="0" applyFont="0" applyAlignment="0" applyProtection="0"/>
    <xf numFmtId="0" fontId="31" fillId="21" borderId="27" applyNumberFormat="0" applyAlignment="0" applyProtection="0"/>
    <xf numFmtId="0" fontId="33" fillId="0" borderId="28" applyNumberFormat="0" applyFill="0" applyAlignment="0" applyProtection="0"/>
    <xf numFmtId="43" fontId="4" fillId="0" borderId="0" applyFont="0" applyFill="0" applyBorder="0" applyAlignment="0" applyProtection="0"/>
    <xf numFmtId="38" fontId="4" fillId="0" borderId="0" applyFont="0" applyFill="0" applyBorder="0" applyAlignment="0" applyProtection="0">
      <alignment vertical="center"/>
    </xf>
    <xf numFmtId="0" fontId="4" fillId="0" borderId="0"/>
    <xf numFmtId="0" fontId="4" fillId="0" borderId="0"/>
    <xf numFmtId="0" fontId="4" fillId="0" borderId="0"/>
    <xf numFmtId="0" fontId="4" fillId="0" borderId="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25" fillId="8" borderId="29" applyNumberFormat="0" applyAlignment="0" applyProtection="0"/>
    <xf numFmtId="0" fontId="13" fillId="21" borderId="29" applyNumberFormat="0" applyAlignment="0" applyProtection="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9" fontId="3" fillId="0" borderId="0" applyFont="0" applyFill="0" applyBorder="0" applyAlignment="0" applyProtection="0"/>
    <xf numFmtId="0" fontId="3" fillId="0" borderId="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25" fillId="8" borderId="29" applyNumberFormat="0" applyAlignment="0" applyProtection="0"/>
    <xf numFmtId="0" fontId="13" fillId="21" borderId="29" applyNumberFormat="0" applyAlignment="0" applyProtection="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9" fontId="3" fillId="0" borderId="0" applyFont="0" applyFill="0" applyBorder="0" applyAlignment="0" applyProtection="0"/>
    <xf numFmtId="0" fontId="3" fillId="0" borderId="0"/>
    <xf numFmtId="0" fontId="13" fillId="21" borderId="29" applyNumberFormat="0" applyAlignment="0" applyProtection="0"/>
    <xf numFmtId="0" fontId="25" fillId="8" borderId="29" applyNumberFormat="0" applyAlignment="0" applyProtection="0"/>
    <xf numFmtId="0" fontId="3" fillId="0" borderId="0"/>
    <xf numFmtId="0" fontId="16" fillId="24" borderId="30" applyNumberFormat="0" applyFont="0" applyAlignment="0" applyProtection="0"/>
    <xf numFmtId="0" fontId="31" fillId="21" borderId="31" applyNumberFormat="0" applyAlignment="0" applyProtection="0"/>
    <xf numFmtId="0" fontId="33" fillId="0" borderId="32" applyNumberFormat="0" applyFill="0" applyAlignment="0" applyProtection="0"/>
    <xf numFmtId="43" fontId="3" fillId="0" borderId="0" applyFont="0" applyFill="0" applyBorder="0" applyAlignment="0" applyProtection="0"/>
    <xf numFmtId="38"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5" fillId="8" borderId="33" applyNumberFormat="0" applyAlignment="0" applyProtection="0"/>
    <xf numFmtId="0" fontId="13" fillId="21" borderId="33" applyNumberFormat="0" applyAlignment="0" applyProtection="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9" fontId="2" fillId="0" borderId="0" applyFont="0" applyFill="0" applyBorder="0" applyAlignment="0" applyProtection="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 fillId="0" borderId="0"/>
    <xf numFmtId="0" fontId="2" fillId="0" borderId="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5" fillId="8" borderId="33" applyNumberFormat="0" applyAlignment="0" applyProtection="0"/>
    <xf numFmtId="0" fontId="13" fillId="21" borderId="33" applyNumberFormat="0" applyAlignment="0" applyProtection="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9" fontId="2" fillId="0" borderId="0" applyFont="0" applyFill="0" applyBorder="0" applyAlignment="0" applyProtection="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 fillId="0" borderId="0"/>
    <xf numFmtId="0" fontId="2" fillId="0" borderId="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5" fillId="8" borderId="33" applyNumberFormat="0" applyAlignment="0" applyProtection="0"/>
    <xf numFmtId="0" fontId="13" fillId="21" borderId="33" applyNumberFormat="0" applyAlignment="0" applyProtection="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9" fontId="2" fillId="0" borderId="0" applyFont="0" applyFill="0" applyBorder="0" applyAlignment="0" applyProtection="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 fillId="0" borderId="0"/>
    <xf numFmtId="0" fontId="2" fillId="0" borderId="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5" fillId="8" borderId="33" applyNumberFormat="0" applyAlignment="0" applyProtection="0"/>
    <xf numFmtId="0" fontId="13" fillId="21" borderId="33" applyNumberFormat="0" applyAlignment="0" applyProtection="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9" fontId="2" fillId="0" borderId="0" applyFont="0" applyFill="0" applyBorder="0" applyAlignment="0" applyProtection="0"/>
    <xf numFmtId="0" fontId="2" fillId="0" borderId="0"/>
    <xf numFmtId="0" fontId="13" fillId="21" borderId="33" applyNumberFormat="0" applyAlignment="0" applyProtection="0"/>
    <xf numFmtId="0" fontId="25" fillId="8" borderId="33" applyNumberFormat="0" applyAlignment="0" applyProtection="0"/>
    <xf numFmtId="0" fontId="2" fillId="0" borderId="0"/>
    <xf numFmtId="0" fontId="16" fillId="24" borderId="34" applyNumberFormat="0" applyFont="0" applyAlignment="0" applyProtection="0"/>
    <xf numFmtId="0" fontId="31" fillId="21" borderId="35" applyNumberFormat="0" applyAlignment="0" applyProtection="0"/>
    <xf numFmtId="0" fontId="33" fillId="0" borderId="36" applyNumberFormat="0" applyFill="0" applyAlignment="0" applyProtection="0"/>
    <xf numFmtId="43" fontId="2" fillId="0" borderId="0" applyFont="0" applyFill="0" applyBorder="0" applyAlignment="0" applyProtection="0"/>
    <xf numFmtId="38" fontId="2" fillId="0" borderId="0" applyFont="0" applyFill="0" applyBorder="0" applyAlignment="0" applyProtection="0">
      <alignment vertical="center"/>
    </xf>
    <xf numFmtId="0" fontId="2" fillId="0" borderId="0"/>
    <xf numFmtId="0" fontId="2" fillId="0" borderId="0"/>
    <xf numFmtId="0" fontId="2" fillId="0" borderId="0"/>
    <xf numFmtId="0" fontId="2" fillId="0" borderId="0"/>
    <xf numFmtId="0" fontId="33" fillId="0" borderId="52" applyNumberFormat="0" applyFill="0" applyAlignment="0" applyProtection="0"/>
    <xf numFmtId="0" fontId="13" fillId="21" borderId="45" applyNumberFormat="0" applyAlignment="0" applyProtection="0"/>
    <xf numFmtId="0" fontId="16" fillId="24" borderId="46" applyNumberFormat="0" applyFont="0" applyAlignment="0" applyProtection="0"/>
    <xf numFmtId="0" fontId="25" fillId="8" borderId="61" applyNumberFormat="0" applyAlignment="0" applyProtection="0"/>
    <xf numFmtId="0" fontId="13" fillId="21" borderId="49" applyNumberFormat="0" applyAlignment="0" applyProtection="0"/>
    <xf numFmtId="0" fontId="16" fillId="24" borderId="66" applyNumberFormat="0" applyFont="0" applyAlignment="0" applyProtection="0"/>
    <xf numFmtId="0" fontId="33" fillId="0" borderId="68" applyNumberFormat="0" applyFill="0" applyAlignment="0" applyProtection="0"/>
    <xf numFmtId="0" fontId="13" fillId="21" borderId="49" applyNumberFormat="0" applyAlignment="0" applyProtection="0"/>
    <xf numFmtId="0" fontId="13" fillId="21" borderId="49" applyNumberFormat="0" applyAlignment="0" applyProtection="0"/>
    <xf numFmtId="0" fontId="13" fillId="21" borderId="49" applyNumberFormat="0" applyAlignment="0" applyProtection="0"/>
    <xf numFmtId="0" fontId="25" fillId="8" borderId="49" applyNumberFormat="0" applyAlignment="0" applyProtection="0"/>
    <xf numFmtId="0" fontId="13" fillId="21" borderId="49" applyNumberFormat="0" applyAlignment="0" applyProtection="0"/>
    <xf numFmtId="0" fontId="13" fillId="21" borderId="57" applyNumberFormat="0" applyAlignment="0" applyProtection="0"/>
    <xf numFmtId="0" fontId="31" fillId="21" borderId="51" applyNumberFormat="0" applyAlignment="0" applyProtection="0"/>
    <xf numFmtId="0" fontId="25" fillId="8" borderId="45" applyNumberFormat="0" applyAlignment="0" applyProtection="0"/>
    <xf numFmtId="0" fontId="13" fillId="21" borderId="45" applyNumberFormat="0" applyAlignment="0" applyProtection="0"/>
    <xf numFmtId="0" fontId="33" fillId="0" borderId="64" applyNumberFormat="0" applyFill="0" applyAlignment="0" applyProtection="0"/>
    <xf numFmtId="0" fontId="33" fillId="0" borderId="48" applyNumberFormat="0" applyFill="0" applyAlignment="0" applyProtection="0"/>
    <xf numFmtId="0" fontId="31" fillId="21" borderId="51" applyNumberFormat="0" applyAlignment="0" applyProtection="0"/>
    <xf numFmtId="0" fontId="33" fillId="0" borderId="44" applyNumberFormat="0" applyFill="0" applyAlignment="0" applyProtection="0"/>
    <xf numFmtId="0" fontId="25" fillId="8" borderId="49" applyNumberFormat="0" applyAlignment="0" applyProtection="0"/>
    <xf numFmtId="0" fontId="25" fillId="8" borderId="53" applyNumberFormat="0" applyAlignment="0" applyProtection="0"/>
    <xf numFmtId="0" fontId="31" fillId="21" borderId="43" applyNumberFormat="0" applyAlignment="0" applyProtection="0"/>
    <xf numFmtId="0" fontId="16" fillId="24" borderId="42" applyNumberFormat="0" applyFont="0" applyAlignment="0" applyProtection="0"/>
    <xf numFmtId="0" fontId="25" fillId="8" borderId="53" applyNumberFormat="0" applyAlignment="0" applyProtection="0"/>
    <xf numFmtId="0" fontId="25" fillId="8" borderId="53" applyNumberFormat="0" applyAlignment="0" applyProtection="0"/>
    <xf numFmtId="0" fontId="13" fillId="21" borderId="45" applyNumberFormat="0" applyAlignment="0" applyProtection="0"/>
    <xf numFmtId="0" fontId="25" fillId="8" borderId="45" applyNumberFormat="0" applyAlignment="0" applyProtection="0"/>
    <xf numFmtId="0" fontId="13" fillId="21" borderId="37" applyNumberFormat="0" applyAlignment="0" applyProtection="0"/>
    <xf numFmtId="0" fontId="13" fillId="21" borderId="45" applyNumberFormat="0" applyAlignment="0" applyProtection="0"/>
    <xf numFmtId="0" fontId="16" fillId="24" borderId="46" applyNumberFormat="0" applyFont="0" applyAlignment="0" applyProtection="0"/>
    <xf numFmtId="0" fontId="16" fillId="24" borderId="46" applyNumberFormat="0" applyFont="0" applyAlignment="0" applyProtection="0"/>
    <xf numFmtId="0" fontId="31" fillId="21" borderId="47" applyNumberFormat="0" applyAlignment="0" applyProtection="0"/>
    <xf numFmtId="0" fontId="25" fillId="8" borderId="65" applyNumberFormat="0" applyAlignment="0" applyProtection="0"/>
    <xf numFmtId="0" fontId="31" fillId="21" borderId="47" applyNumberFormat="0" applyAlignment="0" applyProtection="0"/>
    <xf numFmtId="0" fontId="33" fillId="0" borderId="48" applyNumberFormat="0" applyFill="0" applyAlignment="0" applyProtection="0"/>
    <xf numFmtId="0" fontId="31" fillId="21" borderId="51" applyNumberFormat="0" applyAlignment="0" applyProtection="0"/>
    <xf numFmtId="0" fontId="31" fillId="21" borderId="55" applyNumberFormat="0" applyAlignment="0" applyProtection="0"/>
    <xf numFmtId="0" fontId="16" fillId="24" borderId="62" applyNumberFormat="0" applyFont="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16" fillId="24" borderId="50" applyNumberFormat="0" applyFont="0" applyAlignment="0" applyProtection="0"/>
    <xf numFmtId="0" fontId="16" fillId="24" borderId="46" applyNumberFormat="0" applyFont="0" applyAlignment="0" applyProtection="0"/>
    <xf numFmtId="0" fontId="25" fillId="8" borderId="41" applyNumberFormat="0" applyAlignment="0" applyProtection="0"/>
    <xf numFmtId="0" fontId="33" fillId="0" borderId="48" applyNumberFormat="0" applyFill="0" applyAlignment="0" applyProtection="0"/>
    <xf numFmtId="0" fontId="25" fillId="8" borderId="57" applyNumberFormat="0" applyAlignment="0" applyProtection="0"/>
    <xf numFmtId="0" fontId="33" fillId="0" borderId="56" applyNumberFormat="0" applyFill="0" applyAlignment="0" applyProtection="0"/>
    <xf numFmtId="0" fontId="13" fillId="21" borderId="65" applyNumberFormat="0" applyAlignment="0" applyProtection="0"/>
    <xf numFmtId="0" fontId="25" fillId="8" borderId="37" applyNumberFormat="0" applyAlignment="0" applyProtection="0"/>
    <xf numFmtId="0" fontId="31" fillId="21" borderId="47" applyNumberFormat="0" applyAlignment="0" applyProtection="0"/>
    <xf numFmtId="0" fontId="33" fillId="0" borderId="48" applyNumberFormat="0" applyFill="0" applyAlignment="0" applyProtection="0"/>
    <xf numFmtId="0" fontId="13" fillId="21" borderId="57" applyNumberFormat="0" applyAlignment="0" applyProtection="0"/>
    <xf numFmtId="0" fontId="13" fillId="21" borderId="45" applyNumberFormat="0" applyAlignment="0" applyProtection="0"/>
    <xf numFmtId="0" fontId="25" fillId="8" borderId="45" applyNumberFormat="0" applyAlignment="0" applyProtection="0"/>
    <xf numFmtId="0" fontId="13" fillId="21" borderId="57"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13" fillId="21" borderId="53" applyNumberFormat="0" applyAlignment="0" applyProtection="0"/>
    <xf numFmtId="0" fontId="16" fillId="24" borderId="50" applyNumberFormat="0" applyFont="0" applyAlignment="0" applyProtection="0"/>
    <xf numFmtId="0" fontId="33" fillId="0" borderId="56" applyNumberFormat="0" applyFill="0" applyAlignment="0" applyProtection="0"/>
    <xf numFmtId="0" fontId="16" fillId="24" borderId="58" applyNumberFormat="0" applyFont="0" applyAlignment="0" applyProtection="0"/>
    <xf numFmtId="0" fontId="13" fillId="21" borderId="41" applyNumberFormat="0" applyAlignment="0" applyProtection="0"/>
    <xf numFmtId="0" fontId="13" fillId="21" borderId="45" applyNumberFormat="0" applyAlignment="0" applyProtection="0"/>
    <xf numFmtId="0" fontId="25" fillId="8" borderId="45" applyNumberFormat="0" applyAlignment="0" applyProtection="0"/>
    <xf numFmtId="0" fontId="1" fillId="0" borderId="0"/>
    <xf numFmtId="0" fontId="16" fillId="24" borderId="46" applyNumberFormat="0" applyFont="0" applyAlignment="0" applyProtection="0"/>
    <xf numFmtId="0" fontId="31" fillId="21" borderId="47" applyNumberFormat="0" applyAlignment="0" applyProtection="0"/>
    <xf numFmtId="0" fontId="16" fillId="24" borderId="38" applyNumberFormat="0" applyFont="0" applyAlignment="0" applyProtection="0"/>
    <xf numFmtId="0" fontId="31" fillId="21" borderId="39" applyNumberFormat="0" applyAlignment="0" applyProtection="0"/>
    <xf numFmtId="0" fontId="33" fillId="0" borderId="52" applyNumberFormat="0" applyFill="0" applyAlignment="0" applyProtection="0"/>
    <xf numFmtId="0" fontId="16" fillId="24" borderId="54" applyNumberFormat="0" applyFont="0" applyAlignment="0" applyProtection="0"/>
    <xf numFmtId="0" fontId="33" fillId="0" borderId="40" applyNumberFormat="0" applyFill="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31" fillId="21" borderId="59" applyNumberFormat="0" applyAlignment="0" applyProtection="0"/>
    <xf numFmtId="0" fontId="31" fillId="21" borderId="47" applyNumberFormat="0" applyAlignment="0" applyProtection="0"/>
    <xf numFmtId="43" fontId="1" fillId="0" borderId="0" applyFont="0" applyFill="0" applyBorder="0" applyAlignment="0" applyProtection="0"/>
    <xf numFmtId="0" fontId="33" fillId="0" borderId="48" applyNumberFormat="0" applyFill="0" applyAlignment="0" applyProtection="0"/>
    <xf numFmtId="0" fontId="33" fillId="0" borderId="60" applyNumberFormat="0" applyFill="0" applyAlignment="0" applyProtection="0"/>
    <xf numFmtId="0" fontId="31" fillId="21" borderId="55" applyNumberFormat="0" applyAlignment="0" applyProtection="0"/>
    <xf numFmtId="0" fontId="33" fillId="0" borderId="56" applyNumberFormat="0" applyFill="0" applyAlignment="0" applyProtection="0"/>
    <xf numFmtId="38" fontId="1" fillId="0" borderId="0" applyFont="0" applyFill="0" applyBorder="0" applyAlignment="0" applyProtection="0">
      <alignment vertical="center"/>
    </xf>
    <xf numFmtId="0" fontId="31" fillId="21" borderId="47" applyNumberFormat="0" applyAlignment="0" applyProtection="0"/>
    <xf numFmtId="0" fontId="33" fillId="0" borderId="48" applyNumberFormat="0" applyFill="0" applyAlignment="0" applyProtection="0"/>
    <xf numFmtId="0" fontId="16" fillId="24" borderId="58" applyNumberFormat="0" applyFont="0" applyAlignment="0" applyProtection="0"/>
    <xf numFmtId="0" fontId="13" fillId="21" borderId="61" applyNumberFormat="0" applyAlignment="0" applyProtection="0"/>
    <xf numFmtId="0" fontId="1" fillId="0" borderId="0"/>
    <xf numFmtId="0" fontId="25" fillId="8" borderId="45" applyNumberFormat="0" applyAlignment="0" applyProtection="0"/>
    <xf numFmtId="0" fontId="16" fillId="24" borderId="46" applyNumberFormat="0" applyFont="0" applyAlignment="0" applyProtection="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25" fillId="8" borderId="45" applyNumberFormat="0" applyAlignment="0" applyProtection="0"/>
    <xf numFmtId="0" fontId="16" fillId="24" borderId="46" applyNumberFormat="0" applyFont="0" applyAlignment="0" applyProtection="0"/>
    <xf numFmtId="0" fontId="1" fillId="0" borderId="0"/>
    <xf numFmtId="0" fontId="16" fillId="24" borderId="54" applyNumberFormat="0" applyFont="0" applyAlignment="0" applyProtection="0"/>
    <xf numFmtId="0" fontId="16" fillId="24" borderId="54" applyNumberFormat="0" applyFon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33" fillId="0" borderId="48" applyNumberFormat="0" applyFill="0" applyAlignment="0" applyProtection="0"/>
    <xf numFmtId="0" fontId="1" fillId="0" borderId="0"/>
    <xf numFmtId="0" fontId="1" fillId="0" borderId="0"/>
    <xf numFmtId="0" fontId="16" fillId="24" borderId="54" applyNumberFormat="0" applyFon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25" fillId="8" borderId="37" applyNumberFormat="0" applyAlignment="0" applyProtection="0"/>
    <xf numFmtId="0" fontId="13" fillId="21" borderId="37" applyNumberFormat="0" applyAlignment="0" applyProtection="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9" fontId="1" fillId="0" borderId="0" applyFont="0" applyFill="0" applyBorder="0" applyAlignment="0" applyProtection="0"/>
    <xf numFmtId="0" fontId="1" fillId="0" borderId="0"/>
    <xf numFmtId="0" fontId="13" fillId="21" borderId="37" applyNumberFormat="0" applyAlignment="0" applyProtection="0"/>
    <xf numFmtId="0" fontId="25" fillId="8" borderId="37" applyNumberFormat="0" applyAlignment="0" applyProtection="0"/>
    <xf numFmtId="0" fontId="1" fillId="0" borderId="0"/>
    <xf numFmtId="0" fontId="16" fillId="24" borderId="38" applyNumberFormat="0" applyFont="0" applyAlignment="0" applyProtection="0"/>
    <xf numFmtId="0" fontId="31" fillId="21" borderId="39" applyNumberFormat="0" applyAlignment="0" applyProtection="0"/>
    <xf numFmtId="0" fontId="33" fillId="0" borderId="40" applyNumberFormat="0" applyFill="0" applyAlignment="0" applyProtection="0"/>
    <xf numFmtId="43" fontId="1" fillId="0" borderId="0" applyFont="0" applyFill="0" applyBorder="0" applyAlignment="0" applyProtection="0"/>
    <xf numFmtId="38"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3" fillId="21" borderId="65" applyNumberFormat="0" applyAlignment="0" applyProtection="0"/>
    <xf numFmtId="0" fontId="31" fillId="21" borderId="47"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13" fillId="21" borderId="65"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58" applyNumberFormat="0" applyFont="0" applyAlignment="0" applyProtection="0"/>
    <xf numFmtId="0" fontId="16" fillId="24" borderId="50" applyNumberFormat="0" applyFont="0" applyAlignment="0" applyProtection="0"/>
    <xf numFmtId="0" fontId="16" fillId="24" borderId="50"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1" fillId="21" borderId="47" applyNumberFormat="0" applyAlignment="0" applyProtection="0"/>
    <xf numFmtId="0" fontId="25" fillId="8" borderId="45" applyNumberFormat="0" applyAlignment="0" applyProtection="0"/>
    <xf numFmtId="0" fontId="13" fillId="21" borderId="45" applyNumberFormat="0" applyAlignment="0" applyProtection="0"/>
    <xf numFmtId="0" fontId="25" fillId="8" borderId="49" applyNumberFormat="0" applyAlignment="0" applyProtection="0"/>
    <xf numFmtId="0" fontId="13" fillId="21" borderId="45" applyNumberFormat="0" applyAlignment="0" applyProtection="0"/>
    <xf numFmtId="0" fontId="25" fillId="8" borderId="49" applyNumberFormat="0" applyAlignment="0" applyProtection="0"/>
    <xf numFmtId="0" fontId="25" fillId="8" borderId="49" applyNumberFormat="0" applyAlignment="0" applyProtection="0"/>
    <xf numFmtId="0" fontId="13" fillId="21" borderId="41" applyNumberFormat="0" applyAlignment="0" applyProtection="0"/>
    <xf numFmtId="0" fontId="25" fillId="8" borderId="41" applyNumberFormat="0" applyAlignment="0" applyProtection="0"/>
    <xf numFmtId="0" fontId="13" fillId="21" borderId="45"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53" applyNumberFormat="0" applyAlignment="0" applyProtection="0"/>
    <xf numFmtId="0" fontId="31" fillId="21" borderId="55" applyNumberFormat="0" applyAlignment="0" applyProtection="0"/>
    <xf numFmtId="0" fontId="13" fillId="21" borderId="49" applyNumberFormat="0" applyAlignment="0" applyProtection="0"/>
    <xf numFmtId="0" fontId="13" fillId="21" borderId="49" applyNumberFormat="0" applyAlignment="0" applyProtection="0"/>
    <xf numFmtId="0" fontId="13" fillId="21" borderId="49" applyNumberFormat="0" applyAlignment="0" applyProtection="0"/>
    <xf numFmtId="0" fontId="33" fillId="0" borderId="48" applyNumberFormat="0" applyFill="0" applyAlignment="0" applyProtection="0"/>
    <xf numFmtId="0" fontId="16" fillId="24" borderId="50" applyNumberFormat="0" applyFont="0" applyAlignment="0" applyProtection="0"/>
    <xf numFmtId="0" fontId="16" fillId="24" borderId="46" applyNumberFormat="0" applyFont="0" applyAlignment="0" applyProtection="0"/>
    <xf numFmtId="0" fontId="13" fillId="21" borderId="41" applyNumberFormat="0" applyAlignment="0" applyProtection="0"/>
    <xf numFmtId="0" fontId="25" fillId="8" borderId="41" applyNumberFormat="0" applyAlignment="0" applyProtection="0"/>
    <xf numFmtId="0" fontId="13" fillId="21" borderId="61"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1" fillId="21" borderId="55" applyNumberFormat="0" applyAlignment="0" applyProtection="0"/>
    <xf numFmtId="0" fontId="33" fillId="0" borderId="60" applyNumberFormat="0" applyFill="0" applyAlignment="0" applyProtection="0"/>
    <xf numFmtId="0" fontId="13" fillId="21" borderId="65"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13" fillId="21" borderId="61"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50" applyNumberFormat="0" applyFont="0" applyAlignment="0" applyProtection="0"/>
    <xf numFmtId="0" fontId="31" fillId="21" borderId="51"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46" applyNumberFormat="0" applyFont="0" applyAlignment="0" applyProtection="0"/>
    <xf numFmtId="0" fontId="13" fillId="21" borderId="57" applyNumberFormat="0" applyAlignment="0" applyProtection="0"/>
    <xf numFmtId="0" fontId="13" fillId="21" borderId="41" applyNumberFormat="0" applyAlignment="0" applyProtection="0"/>
    <xf numFmtId="0" fontId="25" fillId="8" borderId="41" applyNumberFormat="0" applyAlignment="0" applyProtection="0"/>
    <xf numFmtId="0" fontId="16" fillId="24" borderId="50"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53" applyNumberFormat="0" applyAlignment="0" applyProtection="0"/>
    <xf numFmtId="0" fontId="25" fillId="8" borderId="49" applyNumberFormat="0" applyAlignment="0" applyProtection="0"/>
    <xf numFmtId="0" fontId="16" fillId="24" borderId="54" applyNumberFormat="0" applyFont="0" applyAlignment="0" applyProtection="0"/>
    <xf numFmtId="0" fontId="25" fillId="8" borderId="49" applyNumberFormat="0" applyAlignment="0" applyProtection="0"/>
    <xf numFmtId="0" fontId="16" fillId="24" borderId="54" applyNumberFormat="0" applyFont="0" applyAlignment="0" applyProtection="0"/>
    <xf numFmtId="0" fontId="25" fillId="8" borderId="45" applyNumberFormat="0" applyAlignment="0" applyProtection="0"/>
    <xf numFmtId="0" fontId="13" fillId="21" borderId="41" applyNumberFormat="0" applyAlignment="0" applyProtection="0"/>
    <xf numFmtId="0" fontId="25" fillId="8" borderId="41" applyNumberFormat="0" applyAlignment="0" applyProtection="0"/>
    <xf numFmtId="0" fontId="16" fillId="24" borderId="46"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1" fillId="21" borderId="47" applyNumberFormat="0" applyAlignment="0" applyProtection="0"/>
    <xf numFmtId="0" fontId="31" fillId="21" borderId="51" applyNumberFormat="0" applyAlignment="0" applyProtection="0"/>
    <xf numFmtId="0" fontId="31" fillId="21" borderId="59"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16" fillId="24" borderId="46"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53" applyNumberFormat="0" applyAlignment="0" applyProtection="0"/>
    <xf numFmtId="0" fontId="33" fillId="0" borderId="52" applyNumberFormat="0" applyFill="0" applyAlignment="0" applyProtection="0"/>
    <xf numFmtId="0" fontId="31" fillId="21" borderId="59"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3" fillId="0" borderId="48" applyNumberFormat="0" applyFill="0" applyAlignment="0" applyProtection="0"/>
    <xf numFmtId="0" fontId="33" fillId="0" borderId="64" applyNumberFormat="0" applyFill="0" applyAlignment="0" applyProtection="0"/>
    <xf numFmtId="0" fontId="13" fillId="21" borderId="41" applyNumberFormat="0" applyAlignment="0" applyProtection="0"/>
    <xf numFmtId="0" fontId="25" fillId="8" borderId="41" applyNumberFormat="0" applyAlignment="0" applyProtection="0"/>
    <xf numFmtId="0" fontId="13" fillId="21" borderId="53"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49" applyNumberFormat="0" applyAlignment="0" applyProtection="0"/>
    <xf numFmtId="0" fontId="16" fillId="24" borderId="50" applyNumberFormat="0" applyFont="0" applyAlignment="0" applyProtection="0"/>
    <xf numFmtId="0" fontId="16" fillId="24" borderId="46" applyNumberFormat="0" applyFont="0" applyAlignment="0" applyProtection="0"/>
    <xf numFmtId="0" fontId="33" fillId="0" borderId="52" applyNumberFormat="0" applyFill="0" applyAlignment="0" applyProtection="0"/>
    <xf numFmtId="0" fontId="16" fillId="24" borderId="50" applyNumberFormat="0" applyFont="0" applyAlignment="0" applyProtection="0"/>
    <xf numFmtId="0" fontId="25" fillId="8" borderId="53" applyNumberFormat="0" applyAlignment="0" applyProtection="0"/>
    <xf numFmtId="0" fontId="13" fillId="21" borderId="41" applyNumberFormat="0" applyAlignment="0" applyProtection="0"/>
    <xf numFmtId="0" fontId="25" fillId="8" borderId="41" applyNumberFormat="0" applyAlignment="0" applyProtection="0"/>
    <xf numFmtId="0" fontId="31" fillId="21" borderId="59"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3" fillId="0" borderId="48" applyNumberFormat="0" applyFill="0" applyAlignment="0" applyProtection="0"/>
    <xf numFmtId="0" fontId="13" fillId="21" borderId="65" applyNumberFormat="0" applyAlignment="0" applyProtection="0"/>
    <xf numFmtId="0" fontId="16" fillId="24" borderId="50" applyNumberFormat="0" applyFon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25" fillId="8" borderId="61"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53" applyNumberFormat="0" applyAlignment="0" applyProtection="0"/>
    <xf numFmtId="0" fontId="31" fillId="21" borderId="51" applyNumberFormat="0" applyAlignment="0" applyProtection="0"/>
    <xf numFmtId="0" fontId="33" fillId="0" borderId="52"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54" applyNumberFormat="0" applyFont="0" applyAlignment="0" applyProtection="0"/>
    <xf numFmtId="0" fontId="16" fillId="24" borderId="50" applyNumberFormat="0" applyFont="0" applyAlignment="0" applyProtection="0"/>
    <xf numFmtId="0" fontId="13" fillId="21" borderId="41" applyNumberFormat="0" applyAlignment="0" applyProtection="0"/>
    <xf numFmtId="0" fontId="25" fillId="8" borderId="41" applyNumberFormat="0" applyAlignment="0" applyProtection="0"/>
    <xf numFmtId="0" fontId="16" fillId="24" borderId="54"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49" applyNumberFormat="0" applyAlignment="0" applyProtection="0"/>
    <xf numFmtId="0" fontId="33" fillId="0" borderId="68" applyNumberFormat="0" applyFill="0" applyAlignment="0" applyProtection="0"/>
    <xf numFmtId="0" fontId="31" fillId="21" borderId="63" applyNumberFormat="0" applyAlignment="0" applyProtection="0"/>
    <xf numFmtId="0" fontId="25" fillId="8" borderId="45" applyNumberFormat="0" applyAlignment="0" applyProtection="0"/>
    <xf numFmtId="0" fontId="13" fillId="21" borderId="45" applyNumberFormat="0" applyAlignment="0" applyProtection="0"/>
    <xf numFmtId="0" fontId="13" fillId="21" borderId="41" applyNumberFormat="0" applyAlignment="0" applyProtection="0"/>
    <xf numFmtId="0" fontId="25" fillId="8" borderId="41" applyNumberFormat="0" applyAlignment="0" applyProtection="0"/>
    <xf numFmtId="0" fontId="25" fillId="8" borderId="45"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3" fillId="0" borderId="60" applyNumberFormat="0" applyFill="0" applyAlignment="0" applyProtection="0"/>
    <xf numFmtId="0" fontId="33" fillId="0" borderId="56" applyNumberFormat="0" applyFill="0" applyAlignment="0" applyProtection="0"/>
    <xf numFmtId="0" fontId="13" fillId="21" borderId="57"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25" fillId="8" borderId="45"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53" applyNumberFormat="0" applyAlignment="0" applyProtection="0"/>
    <xf numFmtId="0" fontId="13" fillId="21" borderId="49"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46" applyNumberFormat="0" applyFont="0" applyAlignment="0" applyProtection="0"/>
    <xf numFmtId="0" fontId="16" fillId="24" borderId="54" applyNumberFormat="0" applyFont="0" applyAlignment="0" applyProtection="0"/>
    <xf numFmtId="0" fontId="13" fillId="21" borderId="41" applyNumberFormat="0" applyAlignment="0" applyProtection="0"/>
    <xf numFmtId="0" fontId="25" fillId="8" borderId="41" applyNumberFormat="0" applyAlignment="0" applyProtection="0"/>
    <xf numFmtId="0" fontId="16" fillId="24" borderId="66" applyNumberFormat="0" applyFon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3" fillId="0" borderId="52" applyNumberFormat="0" applyFill="0" applyAlignment="0" applyProtection="0"/>
    <xf numFmtId="0" fontId="33" fillId="0" borderId="52" applyNumberFormat="0" applyFill="0" applyAlignment="0" applyProtection="0"/>
    <xf numFmtId="0" fontId="25" fillId="8" borderId="45" applyNumberFormat="0" applyAlignment="0" applyProtection="0"/>
    <xf numFmtId="0" fontId="31" fillId="21" borderId="47" applyNumberFormat="0" applyAlignment="0" applyProtection="0"/>
    <xf numFmtId="0" fontId="25" fillId="8" borderId="53" applyNumberFormat="0" applyAlignment="0" applyProtection="0"/>
    <xf numFmtId="0" fontId="13" fillId="21" borderId="41" applyNumberFormat="0" applyAlignment="0" applyProtection="0"/>
    <xf numFmtId="0" fontId="25" fillId="8" borderId="41" applyNumberFormat="0" applyAlignment="0" applyProtection="0"/>
    <xf numFmtId="0" fontId="31" fillId="21" borderId="47"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57" applyNumberFormat="0" applyAlignment="0" applyProtection="0"/>
    <xf numFmtId="0" fontId="16" fillId="24" borderId="50" applyNumberFormat="0" applyFont="0" applyAlignment="0" applyProtection="0"/>
    <xf numFmtId="0" fontId="33" fillId="0" borderId="52" applyNumberFormat="0" applyFill="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31" fillId="21" borderId="47"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58" applyNumberFormat="0" applyFont="0" applyAlignment="0" applyProtection="0"/>
    <xf numFmtId="0" fontId="31" fillId="21" borderId="51" applyNumberFormat="0" applyAlignment="0" applyProtection="0"/>
    <xf numFmtId="0" fontId="33" fillId="0" borderId="64"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3" fillId="0" borderId="52" applyNumberFormat="0" applyFill="0" applyAlignment="0" applyProtection="0"/>
    <xf numFmtId="0" fontId="13" fillId="21" borderId="41" applyNumberFormat="0" applyAlignment="0" applyProtection="0"/>
    <xf numFmtId="0" fontId="25" fillId="8" borderId="41" applyNumberFormat="0" applyAlignment="0" applyProtection="0"/>
    <xf numFmtId="0" fontId="13" fillId="21" borderId="53"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49" applyNumberFormat="0" applyAlignment="0" applyProtection="0"/>
    <xf numFmtId="0" fontId="16" fillId="24" borderId="54" applyNumberFormat="0" applyFont="0" applyAlignment="0" applyProtection="0"/>
    <xf numFmtId="0" fontId="31" fillId="21" borderId="47" applyNumberFormat="0" applyAlignment="0" applyProtection="0"/>
    <xf numFmtId="0" fontId="31" fillId="21" borderId="51" applyNumberFormat="0" applyAlignment="0" applyProtection="0"/>
    <xf numFmtId="0" fontId="25" fillId="8" borderId="57" applyNumberFormat="0" applyAlignment="0" applyProtection="0"/>
    <xf numFmtId="0" fontId="13" fillId="21" borderId="57" applyNumberFormat="0" applyAlignment="0" applyProtection="0"/>
    <xf numFmtId="0" fontId="13" fillId="21" borderId="41" applyNumberFormat="0" applyAlignment="0" applyProtection="0"/>
    <xf numFmtId="0" fontId="25" fillId="8" borderId="41" applyNumberFormat="0" applyAlignment="0" applyProtection="0"/>
    <xf numFmtId="0" fontId="13" fillId="21" borderId="49"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46" applyNumberFormat="0" applyFont="0" applyAlignment="0" applyProtection="0"/>
    <xf numFmtId="0" fontId="33" fillId="0" borderId="52" applyNumberFormat="0" applyFill="0" applyAlignment="0" applyProtection="0"/>
    <xf numFmtId="0" fontId="31" fillId="21" borderId="67"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3" fillId="21" borderId="53" applyNumberFormat="0" applyAlignment="0" applyProtection="0"/>
    <xf numFmtId="0" fontId="31" fillId="21" borderId="55" applyNumberFormat="0" applyAlignment="0" applyProtection="0"/>
    <xf numFmtId="0" fontId="25" fillId="8" borderId="49"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1" fillId="21" borderId="47" applyNumberFormat="0" applyAlignment="0" applyProtection="0"/>
    <xf numFmtId="0" fontId="31" fillId="21" borderId="67" applyNumberFormat="0" applyAlignment="0" applyProtection="0"/>
    <xf numFmtId="0" fontId="13" fillId="21" borderId="41" applyNumberFormat="0" applyAlignment="0" applyProtection="0"/>
    <xf numFmtId="0" fontId="25" fillId="8" borderId="41" applyNumberFormat="0" applyAlignment="0" applyProtection="0"/>
    <xf numFmtId="0" fontId="13" fillId="21" borderId="53" applyNumberFormat="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45" applyNumberFormat="0" applyAlignment="0" applyProtection="0"/>
    <xf numFmtId="0" fontId="25" fillId="8" borderId="57" applyNumberFormat="0" applyAlignment="0" applyProtection="0"/>
    <xf numFmtId="0" fontId="33" fillId="0" borderId="48" applyNumberFormat="0" applyFill="0" applyAlignment="0" applyProtection="0"/>
    <xf numFmtId="0" fontId="33" fillId="0" borderId="60" applyNumberFormat="0" applyFill="0" applyAlignment="0" applyProtection="0"/>
    <xf numFmtId="0" fontId="13" fillId="21" borderId="41" applyNumberFormat="0" applyAlignment="0" applyProtection="0"/>
    <xf numFmtId="0" fontId="25" fillId="8" borderId="41" applyNumberFormat="0" applyAlignment="0" applyProtection="0"/>
    <xf numFmtId="0" fontId="33" fillId="0" borderId="48"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53" applyNumberFormat="0" applyAlignment="0" applyProtection="0"/>
    <xf numFmtId="0" fontId="16" fillId="24" borderId="62" applyNumberFormat="0" applyFont="0" applyAlignment="0" applyProtection="0"/>
    <xf numFmtId="0" fontId="31" fillId="21" borderId="51" applyNumberFormat="0" applyAlignment="0" applyProtection="0"/>
    <xf numFmtId="0" fontId="25" fillId="8" borderId="41" applyNumberFormat="0" applyAlignment="0" applyProtection="0"/>
    <xf numFmtId="0" fontId="13" fillId="21" borderId="41" applyNumberFormat="0" applyAlignment="0" applyProtection="0"/>
    <xf numFmtId="0" fontId="13" fillId="21" borderId="41" applyNumberFormat="0" applyAlignment="0" applyProtection="0"/>
    <xf numFmtId="0" fontId="25" fillId="8" borderId="41" applyNumberFormat="0" applyAlignment="0" applyProtection="0"/>
    <xf numFmtId="0" fontId="33" fillId="0" borderId="48"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25" fillId="8" borderId="61" applyNumberFormat="0" applyAlignment="0" applyProtection="0"/>
    <xf numFmtId="0" fontId="33" fillId="0" borderId="56"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16" fillId="24" borderId="54" applyNumberFormat="0" applyFont="0" applyAlignment="0" applyProtection="0"/>
    <xf numFmtId="0" fontId="31" fillId="21" borderId="51" applyNumberFormat="0" applyAlignment="0" applyProtection="0"/>
    <xf numFmtId="0" fontId="13" fillId="21" borderId="41" applyNumberFormat="0" applyAlignment="0" applyProtection="0"/>
    <xf numFmtId="0" fontId="25" fillId="8" borderId="41" applyNumberFormat="0" applyAlignment="0" applyProtection="0"/>
    <xf numFmtId="0" fontId="33" fillId="0" borderId="52" applyNumberFormat="0" applyFill="0" applyAlignment="0" applyProtection="0"/>
    <xf numFmtId="0" fontId="16" fillId="24" borderId="42" applyNumberFormat="0" applyFont="0" applyAlignment="0" applyProtection="0"/>
    <xf numFmtId="0" fontId="31" fillId="21" borderId="43" applyNumberFormat="0" applyAlignment="0" applyProtection="0"/>
    <xf numFmtId="0" fontId="33" fillId="0" borderId="44" applyNumberFormat="0" applyFill="0" applyAlignment="0" applyProtection="0"/>
    <xf numFmtId="0" fontId="31" fillId="21" borderId="55" applyNumberFormat="0" applyAlignment="0" applyProtection="0"/>
    <xf numFmtId="0" fontId="13" fillId="21" borderId="49" applyNumberFormat="0" applyAlignment="0" applyProtection="0"/>
    <xf numFmtId="0" fontId="33" fillId="0" borderId="48" applyNumberFormat="0" applyFill="0" applyAlignment="0" applyProtection="0"/>
    <xf numFmtId="0" fontId="16" fillId="24" borderId="50" applyNumberFormat="0" applyFont="0" applyAlignment="0" applyProtection="0"/>
    <xf numFmtId="0" fontId="13" fillId="21" borderId="45" applyNumberFormat="0" applyAlignment="0" applyProtection="0"/>
    <xf numFmtId="0" fontId="25" fillId="8" borderId="49" applyNumberFormat="0" applyAlignment="0" applyProtection="0"/>
    <xf numFmtId="0" fontId="13" fillId="21" borderId="45" applyNumberFormat="0" applyAlignment="0" applyProtection="0"/>
    <xf numFmtId="0" fontId="25" fillId="8" borderId="45" applyNumberFormat="0" applyAlignment="0" applyProtection="0"/>
    <xf numFmtId="0" fontId="33" fillId="0" borderId="64"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61" applyNumberFormat="0" applyAlignment="0" applyProtection="0"/>
    <xf numFmtId="0" fontId="13" fillId="21" borderId="53" applyNumberFormat="0" applyAlignment="0" applyProtection="0"/>
    <xf numFmtId="0" fontId="16" fillId="24" borderId="58" applyNumberFormat="0" applyFont="0" applyAlignment="0" applyProtection="0"/>
    <xf numFmtId="0" fontId="16" fillId="24" borderId="66" applyNumberFormat="0" applyFont="0" applyAlignment="0" applyProtection="0"/>
    <xf numFmtId="0" fontId="25" fillId="8" borderId="49" applyNumberFormat="0" applyAlignment="0" applyProtection="0"/>
    <xf numFmtId="0" fontId="13" fillId="21" borderId="49" applyNumberFormat="0" applyAlignment="0" applyProtection="0"/>
    <xf numFmtId="0" fontId="13" fillId="21" borderId="45" applyNumberFormat="0" applyAlignment="0" applyProtection="0"/>
    <xf numFmtId="0" fontId="25" fillId="8" borderId="45" applyNumberFormat="0" applyAlignment="0" applyProtection="0"/>
    <xf numFmtId="0" fontId="25" fillId="8" borderId="49"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3" fillId="0" borderId="64" applyNumberFormat="0" applyFill="0" applyAlignment="0" applyProtection="0"/>
    <xf numFmtId="0" fontId="25" fillId="8" borderId="57" applyNumberFormat="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25" fillId="8" borderId="45" applyNumberFormat="0" applyAlignment="0" applyProtection="0"/>
    <xf numFmtId="0" fontId="25" fillId="8" borderId="49"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57" applyNumberFormat="0" applyAlignment="0" applyProtection="0"/>
    <xf numFmtId="0" fontId="25" fillId="8" borderId="57" applyNumberFormat="0" applyAlignment="0" applyProtection="0"/>
    <xf numFmtId="0" fontId="13" fillId="21" borderId="53"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16" fillId="24" borderId="50" applyNumberFormat="0" applyFont="0" applyAlignment="0" applyProtection="0"/>
    <xf numFmtId="0" fontId="25" fillId="8" borderId="57" applyNumberFormat="0" applyAlignment="0" applyProtection="0"/>
    <xf numFmtId="0" fontId="13" fillId="21" borderId="45" applyNumberFormat="0" applyAlignment="0" applyProtection="0"/>
    <xf numFmtId="0" fontId="25" fillId="8" borderId="45" applyNumberFormat="0" applyAlignment="0" applyProtection="0"/>
    <xf numFmtId="0" fontId="33" fillId="0" borderId="60"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3" fillId="0" borderId="56" applyNumberFormat="0" applyFill="0" applyAlignment="0" applyProtection="0"/>
    <xf numFmtId="0" fontId="33" fillId="0" borderId="56" applyNumberFormat="0" applyFill="0" applyAlignment="0" applyProtection="0"/>
    <xf numFmtId="0" fontId="25" fillId="8" borderId="49" applyNumberFormat="0" applyAlignment="0" applyProtection="0"/>
    <xf numFmtId="0" fontId="16" fillId="24" borderId="58" applyNumberFormat="0" applyFont="0" applyAlignment="0" applyProtection="0"/>
    <xf numFmtId="0" fontId="31" fillId="21" borderId="51" applyNumberFormat="0" applyAlignment="0" applyProtection="0"/>
    <xf numFmtId="0" fontId="13" fillId="21" borderId="45" applyNumberFormat="0" applyAlignment="0" applyProtection="0"/>
    <xf numFmtId="0" fontId="25" fillId="8" borderId="45" applyNumberFormat="0" applyAlignment="0" applyProtection="0"/>
    <xf numFmtId="0" fontId="31" fillId="21" borderId="51"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16" fillId="24" borderId="62" applyNumberFormat="0" applyFont="0" applyAlignment="0" applyProtection="0"/>
    <xf numFmtId="0" fontId="16" fillId="24" borderId="54" applyNumberFormat="0" applyFont="0" applyAlignment="0" applyProtection="0"/>
    <xf numFmtId="0" fontId="33" fillId="0" borderId="56" applyNumberFormat="0" applyFill="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25" fillId="8" borderId="45" applyNumberFormat="0" applyAlignment="0" applyProtection="0"/>
    <xf numFmtId="0" fontId="31" fillId="21" borderId="51"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3" fillId="0" borderId="64" applyNumberFormat="0" applyFill="0" applyAlignment="0" applyProtection="0"/>
    <xf numFmtId="0" fontId="31" fillId="21" borderId="55"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1" fillId="21" borderId="59" applyNumberFormat="0" applyAlignment="0" applyProtection="0"/>
    <xf numFmtId="0" fontId="33" fillId="0" borderId="56" applyNumberFormat="0" applyFill="0" applyAlignment="0" applyProtection="0"/>
    <xf numFmtId="0" fontId="13" fillId="21" borderId="45" applyNumberFormat="0" applyAlignment="0" applyProtection="0"/>
    <xf numFmtId="0" fontId="25" fillId="8" borderId="45" applyNumberFormat="0" applyAlignment="0" applyProtection="0"/>
    <xf numFmtId="0" fontId="13" fillId="21" borderId="57"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53" applyNumberFormat="0" applyAlignment="0" applyProtection="0"/>
    <xf numFmtId="0" fontId="31" fillId="21" borderId="59" applyNumberFormat="0" applyAlignment="0" applyProtection="0"/>
    <xf numFmtId="0" fontId="31" fillId="21" borderId="51" applyNumberFormat="0" applyAlignment="0" applyProtection="0"/>
    <xf numFmtId="0" fontId="31" fillId="21" borderId="55" applyNumberFormat="0" applyAlignment="0" applyProtection="0"/>
    <xf numFmtId="0" fontId="13" fillId="21" borderId="57" applyNumberFormat="0" applyAlignment="0" applyProtection="0"/>
    <xf numFmtId="0" fontId="13" fillId="21" borderId="45" applyNumberFormat="0" applyAlignment="0" applyProtection="0"/>
    <xf numFmtId="0" fontId="25" fillId="8" borderId="45" applyNumberFormat="0" applyAlignment="0" applyProtection="0"/>
    <xf numFmtId="0" fontId="13" fillId="21" borderId="53"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16" fillId="24" borderId="50" applyNumberFormat="0" applyFont="0" applyAlignment="0" applyProtection="0"/>
    <xf numFmtId="0" fontId="33" fillId="0" borderId="56" applyNumberFormat="0" applyFill="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25" fillId="8" borderId="45" applyNumberFormat="0" applyAlignment="0" applyProtection="0"/>
    <xf numFmtId="0" fontId="33" fillId="0" borderId="60"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57" applyNumberFormat="0" applyAlignment="0" applyProtection="0"/>
    <xf numFmtId="0" fontId="33" fillId="0" borderId="68" applyNumberFormat="0" applyFill="0" applyAlignment="0" applyProtection="0"/>
    <xf numFmtId="0" fontId="25" fillId="8" borderId="53"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1" fillId="21" borderId="51" applyNumberFormat="0" applyAlignment="0" applyProtection="0"/>
    <xf numFmtId="0" fontId="13" fillId="21" borderId="45" applyNumberFormat="0" applyAlignment="0" applyProtection="0"/>
    <xf numFmtId="0" fontId="25" fillId="8" borderId="45" applyNumberFormat="0" applyAlignment="0" applyProtection="0"/>
    <xf numFmtId="0" fontId="13" fillId="21" borderId="57"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49" applyNumberFormat="0" applyAlignment="0" applyProtection="0"/>
    <xf numFmtId="0" fontId="16" fillId="24" borderId="66" applyNumberFormat="0" applyFont="0" applyAlignment="0" applyProtection="0"/>
    <xf numFmtId="0" fontId="13" fillId="21" borderId="61" applyNumberFormat="0" applyAlignment="0" applyProtection="0"/>
    <xf numFmtId="0" fontId="33" fillId="0" borderId="52" applyNumberFormat="0" applyFill="0" applyAlignment="0" applyProtection="0"/>
    <xf numFmtId="0" fontId="25" fillId="8" borderId="61" applyNumberFormat="0" applyAlignment="0" applyProtection="0"/>
    <xf numFmtId="0" fontId="13" fillId="21" borderId="45" applyNumberFormat="0" applyAlignment="0" applyProtection="0"/>
    <xf numFmtId="0" fontId="25" fillId="8" borderId="45" applyNumberFormat="0" applyAlignment="0" applyProtection="0"/>
    <xf numFmtId="0" fontId="33" fillId="0" borderId="52"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3" fillId="0" borderId="60" applyNumberFormat="0" applyFill="0" applyAlignment="0" applyProtection="0"/>
    <xf numFmtId="0" fontId="16" fillId="24" borderId="58" applyNumberFormat="0" applyFont="0" applyAlignment="0" applyProtection="0"/>
    <xf numFmtId="0" fontId="31" fillId="21" borderId="55" applyNumberFormat="0" applyAlignment="0" applyProtection="0"/>
    <xf numFmtId="0" fontId="25" fillId="8" borderId="45" applyNumberFormat="0" applyAlignment="0" applyProtection="0"/>
    <xf numFmtId="0" fontId="13" fillId="21" borderId="45" applyNumberFormat="0" applyAlignment="0" applyProtection="0"/>
    <xf numFmtId="0" fontId="13" fillId="21" borderId="45" applyNumberFormat="0" applyAlignment="0" applyProtection="0"/>
    <xf numFmtId="0" fontId="25" fillId="8" borderId="45" applyNumberFormat="0" applyAlignment="0" applyProtection="0"/>
    <xf numFmtId="0" fontId="33" fillId="0" borderId="52"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25" fillId="8" borderId="65" applyNumberFormat="0" applyAlignment="0" applyProtection="0"/>
    <xf numFmtId="0" fontId="13" fillId="21" borderId="61" applyNumberFormat="0" applyAlignment="0" applyProtection="0"/>
    <xf numFmtId="0" fontId="13" fillId="21" borderId="57" applyNumberFormat="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33" fillId="0" borderId="60" applyNumberFormat="0" applyFill="0" applyAlignment="0" applyProtection="0"/>
    <xf numFmtId="0" fontId="31" fillId="21" borderId="55" applyNumberFormat="0" applyAlignment="0" applyProtection="0"/>
    <xf numFmtId="0" fontId="13" fillId="21" borderId="45" applyNumberFormat="0" applyAlignment="0" applyProtection="0"/>
    <xf numFmtId="0" fontId="25" fillId="8" borderId="45" applyNumberFormat="0" applyAlignment="0" applyProtection="0"/>
    <xf numFmtId="0" fontId="33" fillId="0" borderId="56" applyNumberFormat="0" applyFill="0" applyAlignment="0" applyProtection="0"/>
    <xf numFmtId="0" fontId="16" fillId="24" borderId="46" applyNumberFormat="0" applyFont="0" applyAlignment="0" applyProtection="0"/>
    <xf numFmtId="0" fontId="31" fillId="21" borderId="47" applyNumberFormat="0" applyAlignment="0" applyProtection="0"/>
    <xf numFmtId="0" fontId="33" fillId="0" borderId="48" applyNumberFormat="0" applyFill="0" applyAlignment="0" applyProtection="0"/>
    <xf numFmtId="0" fontId="16" fillId="24" borderId="62" applyNumberFormat="0" applyFont="0" applyAlignment="0" applyProtection="0"/>
    <xf numFmtId="0" fontId="13" fillId="21" borderId="53" applyNumberFormat="0" applyAlignment="0" applyProtection="0"/>
    <xf numFmtId="0" fontId="33" fillId="0" borderId="52" applyNumberFormat="0" applyFill="0" applyAlignment="0" applyProtection="0"/>
    <xf numFmtId="0" fontId="16" fillId="24" borderId="54" applyNumberFormat="0" applyFont="0" applyAlignment="0" applyProtection="0"/>
    <xf numFmtId="0" fontId="13" fillId="21" borderId="49" applyNumberFormat="0" applyAlignment="0" applyProtection="0"/>
    <xf numFmtId="0" fontId="25" fillId="8" borderId="53" applyNumberFormat="0" applyAlignment="0" applyProtection="0"/>
    <xf numFmtId="0" fontId="13" fillId="21" borderId="49" applyNumberFormat="0" applyAlignment="0" applyProtection="0"/>
    <xf numFmtId="0" fontId="25" fillId="8" borderId="49" applyNumberFormat="0" applyAlignment="0" applyProtection="0"/>
    <xf numFmtId="0" fontId="13" fillId="21" borderId="57"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4" applyNumberFormat="0" applyFill="0" applyAlignment="0" applyProtection="0"/>
    <xf numFmtId="0" fontId="33" fillId="0" borderId="60" applyNumberFormat="0" applyFill="0" applyAlignment="0" applyProtection="0"/>
    <xf numFmtId="0" fontId="33" fillId="0" borderId="68" applyNumberFormat="0" applyFill="0" applyAlignment="0" applyProtection="0"/>
    <xf numFmtId="0" fontId="16" fillId="24" borderId="58" applyNumberFormat="0" applyFont="0" applyAlignment="0" applyProtection="0"/>
    <xf numFmtId="0" fontId="25" fillId="8" borderId="53" applyNumberFormat="0" applyAlignment="0" applyProtection="0"/>
    <xf numFmtId="0" fontId="13" fillId="21" borderId="53" applyNumberFormat="0" applyAlignment="0" applyProtection="0"/>
    <xf numFmtId="0" fontId="13" fillId="21" borderId="49" applyNumberFormat="0" applyAlignment="0" applyProtection="0"/>
    <xf numFmtId="0" fontId="25" fillId="8" borderId="49" applyNumberFormat="0" applyAlignment="0" applyProtection="0"/>
    <xf numFmtId="0" fontId="25" fillId="8" borderId="53"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61" applyNumberFormat="0" applyAlignment="0" applyProtection="0"/>
    <xf numFmtId="0" fontId="33" fillId="0" borderId="60" applyNumberFormat="0" applyFill="0" applyAlignment="0" applyProtection="0"/>
    <xf numFmtId="0" fontId="31" fillId="21" borderId="59" applyNumberFormat="0" applyAlignment="0" applyProtection="0"/>
    <xf numFmtId="0" fontId="25" fillId="8" borderId="49" applyNumberFormat="0" applyAlignment="0" applyProtection="0"/>
    <xf numFmtId="0" fontId="13" fillId="21" borderId="49" applyNumberFormat="0" applyAlignment="0" applyProtection="0"/>
    <xf numFmtId="0" fontId="13" fillId="21" borderId="49" applyNumberFormat="0" applyAlignment="0" applyProtection="0"/>
    <xf numFmtId="0" fontId="25" fillId="8" borderId="49" applyNumberFormat="0" applyAlignment="0" applyProtection="0"/>
    <xf numFmtId="0" fontId="25" fillId="8" borderId="53"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65" applyNumberFormat="0" applyAlignment="0" applyProtection="0"/>
    <xf numFmtId="0" fontId="31" fillId="21" borderId="63" applyNumberFormat="0" applyAlignment="0" applyProtection="0"/>
    <xf numFmtId="0" fontId="16" fillId="24" borderId="66" applyNumberFormat="0" applyFon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16" fillId="24" borderId="54" applyNumberFormat="0" applyFont="0" applyAlignment="0" applyProtection="0"/>
    <xf numFmtId="0" fontId="13" fillId="21" borderId="61" applyNumberFormat="0" applyAlignment="0" applyProtection="0"/>
    <xf numFmtId="0" fontId="13" fillId="21" borderId="49" applyNumberFormat="0" applyAlignment="0" applyProtection="0"/>
    <xf numFmtId="0" fontId="25" fillId="8" borderId="49" applyNumberFormat="0" applyAlignment="0" applyProtection="0"/>
    <xf numFmtId="0" fontId="31" fillId="21" borderId="63"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57" applyNumberFormat="0" applyAlignment="0" applyProtection="0"/>
    <xf numFmtId="0" fontId="31" fillId="21" borderId="59" applyNumberFormat="0" applyAlignment="0" applyProtection="0"/>
    <xf numFmtId="0" fontId="25" fillId="8" borderId="53" applyNumberFormat="0" applyAlignment="0" applyProtection="0"/>
    <xf numFmtId="0" fontId="31" fillId="21" borderId="63" applyNumberFormat="0" applyAlignment="0" applyProtection="0"/>
    <xf numFmtId="0" fontId="31" fillId="21" borderId="55" applyNumberFormat="0" applyAlignment="0" applyProtection="0"/>
    <xf numFmtId="0" fontId="31" fillId="21" borderId="67" applyNumberFormat="0" applyAlignment="0" applyProtection="0"/>
    <xf numFmtId="0" fontId="13" fillId="21" borderId="49" applyNumberFormat="0" applyAlignment="0" applyProtection="0"/>
    <xf numFmtId="0" fontId="25" fillId="8" borderId="49" applyNumberFormat="0" applyAlignment="0" applyProtection="0"/>
    <xf numFmtId="0" fontId="31" fillId="21" borderId="55"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61" applyNumberFormat="0" applyAlignment="0" applyProtection="0"/>
    <xf numFmtId="0" fontId="25" fillId="8" borderId="57" applyNumberFormat="0" applyAlignment="0" applyProtection="0"/>
    <xf numFmtId="0" fontId="16" fillId="24" borderId="62" applyNumberFormat="0" applyFont="0" applyAlignment="0" applyProtection="0"/>
    <xf numFmtId="0" fontId="25" fillId="8" borderId="49" applyNumberFormat="0" applyAlignment="0" applyProtection="0"/>
    <xf numFmtId="0" fontId="13" fillId="21" borderId="49" applyNumberFormat="0" applyAlignment="0" applyProtection="0"/>
    <xf numFmtId="0" fontId="13" fillId="21" borderId="49" applyNumberFormat="0" applyAlignment="0" applyProtection="0"/>
    <xf numFmtId="0" fontId="25" fillId="8" borderId="49" applyNumberFormat="0" applyAlignment="0" applyProtection="0"/>
    <xf numFmtId="0" fontId="31" fillId="21" borderId="55"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16" fillId="24" borderId="58" applyNumberFormat="0" applyFont="0" applyAlignment="0" applyProtection="0"/>
    <xf numFmtId="0" fontId="33" fillId="0" borderId="60" applyNumberFormat="0" applyFill="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8" applyNumberFormat="0" applyFill="0" applyAlignment="0" applyProtection="0"/>
    <xf numFmtId="0" fontId="16" fillId="24" borderId="58" applyNumberFormat="0" applyFont="0" applyAlignment="0" applyProtection="0"/>
    <xf numFmtId="0" fontId="13" fillId="21" borderId="49" applyNumberFormat="0" applyAlignment="0" applyProtection="0"/>
    <xf numFmtId="0" fontId="25" fillId="8" borderId="49" applyNumberFormat="0" applyAlignment="0" applyProtection="0"/>
    <xf numFmtId="0" fontId="13" fillId="21" borderId="57"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0" applyNumberFormat="0" applyFill="0" applyAlignment="0" applyProtection="0"/>
    <xf numFmtId="0" fontId="13" fillId="21" borderId="57" applyNumberFormat="0" applyAlignment="0" applyProtection="0"/>
    <xf numFmtId="0" fontId="31" fillId="21" borderId="55" applyNumberFormat="0" applyAlignment="0" applyProtection="0"/>
    <xf numFmtId="0" fontId="33" fillId="0" borderId="60" applyNumberFormat="0" applyFill="0" applyAlignment="0" applyProtection="0"/>
    <xf numFmtId="0" fontId="31" fillId="21" borderId="67" applyNumberFormat="0" applyAlignment="0" applyProtection="0"/>
    <xf numFmtId="0" fontId="31" fillId="21" borderId="59" applyNumberFormat="0" applyAlignment="0" applyProtection="0"/>
    <xf numFmtId="0" fontId="13" fillId="21" borderId="49" applyNumberFormat="0" applyAlignment="0" applyProtection="0"/>
    <xf numFmtId="0" fontId="25" fillId="8" borderId="49" applyNumberFormat="0" applyAlignment="0" applyProtection="0"/>
    <xf numFmtId="0" fontId="31" fillId="21" borderId="63"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16" fillId="24" borderId="54" applyNumberFormat="0" applyFont="0" applyAlignment="0" applyProtection="0"/>
    <xf numFmtId="0" fontId="16" fillId="24" borderId="62" applyNumberFormat="0" applyFont="0" applyAlignment="0" applyProtection="0"/>
    <xf numFmtId="0" fontId="25" fillId="8" borderId="49" applyNumberFormat="0" applyAlignment="0" applyProtection="0"/>
    <xf numFmtId="0" fontId="13" fillId="21" borderId="49" applyNumberFormat="0" applyAlignment="0" applyProtection="0"/>
    <xf numFmtId="0" fontId="13" fillId="21" borderId="49" applyNumberFormat="0" applyAlignment="0" applyProtection="0"/>
    <xf numFmtId="0" fontId="25" fillId="8" borderId="49"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1" fillId="21" borderId="59" applyNumberFormat="0" applyAlignment="0" applyProtection="0"/>
    <xf numFmtId="0" fontId="16" fillId="24" borderId="58" applyNumberFormat="0" applyFon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1" fillId="21" borderId="55" applyNumberFormat="0" applyAlignment="0" applyProtection="0"/>
    <xf numFmtId="0" fontId="16" fillId="24" borderId="62" applyNumberFormat="0" applyFont="0" applyAlignment="0" applyProtection="0"/>
    <xf numFmtId="0" fontId="13" fillId="21" borderId="49" applyNumberFormat="0" applyAlignment="0" applyProtection="0"/>
    <xf numFmtId="0" fontId="25" fillId="8" borderId="49"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0" applyNumberFormat="0" applyFill="0" applyAlignment="0" applyProtection="0"/>
    <xf numFmtId="0" fontId="25" fillId="8" borderId="53" applyNumberFormat="0" applyAlignment="0" applyProtection="0"/>
    <xf numFmtId="0" fontId="33" fillId="0" borderId="56" applyNumberFormat="0" applyFill="0" applyAlignment="0" applyProtection="0"/>
    <xf numFmtId="0" fontId="16" fillId="24" borderId="62" applyNumberFormat="0" applyFont="0" applyAlignment="0" applyProtection="0"/>
    <xf numFmtId="0" fontId="13" fillId="21" borderId="49" applyNumberFormat="0" applyAlignment="0" applyProtection="0"/>
    <xf numFmtId="0" fontId="25" fillId="8" borderId="49" applyNumberFormat="0" applyAlignment="0" applyProtection="0"/>
    <xf numFmtId="0" fontId="33" fillId="0" borderId="56" applyNumberFormat="0" applyFill="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57" applyNumberFormat="0" applyAlignment="0" applyProtection="0"/>
    <xf numFmtId="0" fontId="13" fillId="21" borderId="65" applyNumberFormat="0" applyAlignment="0" applyProtection="0"/>
    <xf numFmtId="0" fontId="25" fillId="8" borderId="49" applyNumberFormat="0" applyAlignment="0" applyProtection="0"/>
    <xf numFmtId="0" fontId="13" fillId="21" borderId="49" applyNumberFormat="0" applyAlignment="0" applyProtection="0"/>
    <xf numFmtId="0" fontId="13" fillId="21" borderId="49" applyNumberFormat="0" applyAlignment="0" applyProtection="0"/>
    <xf numFmtId="0" fontId="25" fillId="8" borderId="49" applyNumberFormat="0" applyAlignment="0" applyProtection="0"/>
    <xf numFmtId="0" fontId="33" fillId="0" borderId="56" applyNumberFormat="0" applyFill="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0" applyNumberFormat="0" applyFill="0" applyAlignment="0" applyProtection="0"/>
    <xf numFmtId="0" fontId="33" fillId="0" borderId="60" applyNumberFormat="0" applyFill="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33" fillId="0" borderId="60" applyNumberFormat="0" applyFill="0" applyAlignment="0" applyProtection="0"/>
    <xf numFmtId="0" fontId="16" fillId="24" borderId="62" applyNumberFormat="0" applyFont="0" applyAlignment="0" applyProtection="0"/>
    <xf numFmtId="0" fontId="13" fillId="21" borderId="49" applyNumberFormat="0" applyAlignment="0" applyProtection="0"/>
    <xf numFmtId="0" fontId="25" fillId="8" borderId="49" applyNumberFormat="0" applyAlignment="0" applyProtection="0"/>
    <xf numFmtId="0" fontId="16" fillId="24" borderId="50" applyNumberFormat="0" applyFont="0" applyAlignment="0" applyProtection="0"/>
    <xf numFmtId="0" fontId="31" fillId="21" borderId="51" applyNumberFormat="0" applyAlignment="0" applyProtection="0"/>
    <xf numFmtId="0" fontId="33" fillId="0" borderId="52" applyNumberFormat="0" applyFill="0" applyAlignment="0" applyProtection="0"/>
    <xf numFmtId="0" fontId="25" fillId="8" borderId="65" applyNumberFormat="0" applyAlignment="0" applyProtection="0"/>
    <xf numFmtId="0" fontId="33" fillId="0" borderId="68" applyNumberFormat="0" applyFill="0" applyAlignment="0" applyProtection="0"/>
    <xf numFmtId="0" fontId="33" fillId="0" borderId="56" applyNumberFormat="0" applyFill="0" applyAlignment="0" applyProtection="0"/>
    <xf numFmtId="0" fontId="13" fillId="21" borderId="57" applyNumberFormat="0" applyAlignment="0" applyProtection="0"/>
    <xf numFmtId="0" fontId="13" fillId="21" borderId="53" applyNumberFormat="0" applyAlignment="0" applyProtection="0"/>
    <xf numFmtId="0" fontId="31" fillId="21" borderId="63"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1" fillId="21" borderId="67" applyNumberFormat="0" applyAlignment="0" applyProtection="0"/>
    <xf numFmtId="0" fontId="25" fillId="8" borderId="65" applyNumberFormat="0" applyAlignment="0" applyProtection="0"/>
    <xf numFmtId="0" fontId="13" fillId="21" borderId="57" applyNumberFormat="0" applyAlignment="0" applyProtection="0"/>
    <xf numFmtId="0" fontId="31" fillId="21" borderId="63"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8" applyNumberFormat="0" applyFon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3" fillId="0" borderId="60" applyNumberFormat="0" applyFill="0" applyAlignment="0" applyProtection="0"/>
    <xf numFmtId="0" fontId="16" fillId="24" borderId="58" applyNumberFormat="0" applyFont="0" applyAlignment="0" applyProtection="0"/>
    <xf numFmtId="0" fontId="25" fillId="8" borderId="53" applyNumberFormat="0" applyAlignment="0" applyProtection="0"/>
    <xf numFmtId="0" fontId="13" fillId="21" borderId="53"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61" applyNumberFormat="0" applyAlignment="0" applyProtection="0"/>
    <xf numFmtId="0" fontId="31" fillId="21" borderId="59" applyNumberFormat="0" applyAlignment="0" applyProtection="0"/>
    <xf numFmtId="0" fontId="33" fillId="0" borderId="60" applyNumberFormat="0" applyFill="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53" applyNumberFormat="0" applyAlignment="0" applyProtection="0"/>
    <xf numFmtId="0" fontId="25" fillId="8" borderId="53" applyNumberFormat="0" applyAlignment="0" applyProtection="0"/>
    <xf numFmtId="0" fontId="31" fillId="21" borderId="59"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3" fillId="0" borderId="60" applyNumberFormat="0" applyFill="0" applyAlignment="0" applyProtection="0"/>
    <xf numFmtId="0" fontId="31" fillId="21" borderId="63" applyNumberFormat="0" applyAlignment="0" applyProtection="0"/>
    <xf numFmtId="0" fontId="31" fillId="21" borderId="59" applyNumberFormat="0" applyAlignment="0" applyProtection="0"/>
    <xf numFmtId="0" fontId="33" fillId="0" borderId="60" applyNumberFormat="0" applyFill="0" applyAlignment="0" applyProtection="0"/>
    <xf numFmtId="0" fontId="25" fillId="8" borderId="61"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8" applyNumberFormat="0" applyFon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57" applyNumberFormat="0" applyAlignment="0" applyProtection="0"/>
    <xf numFmtId="0" fontId="25" fillId="8" borderId="53" applyNumberFormat="0" applyAlignment="0" applyProtection="0"/>
    <xf numFmtId="0" fontId="13" fillId="21" borderId="53"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8" applyNumberFormat="0" applyFon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25" fillId="8" borderId="57" applyNumberFormat="0" applyAlignment="0" applyProtection="0"/>
    <xf numFmtId="0" fontId="33" fillId="0" borderId="68" applyNumberFormat="0" applyFill="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57" applyNumberFormat="0" applyAlignment="0" applyProtection="0"/>
    <xf numFmtId="0" fontId="13" fillId="21" borderId="53" applyNumberFormat="0" applyAlignment="0" applyProtection="0"/>
    <xf numFmtId="0" fontId="25" fillId="8" borderId="53" applyNumberFormat="0" applyAlignment="0" applyProtection="0"/>
    <xf numFmtId="0" fontId="31" fillId="21" borderId="59"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25" fillId="8" borderId="57" applyNumberFormat="0" applyAlignment="0" applyProtection="0"/>
    <xf numFmtId="0" fontId="31" fillId="21" borderId="63" applyNumberFormat="0" applyAlignment="0" applyProtection="0"/>
    <xf numFmtId="0" fontId="31" fillId="21" borderId="63" applyNumberFormat="0" applyAlignment="0" applyProtection="0"/>
    <xf numFmtId="0" fontId="31" fillId="21" borderId="67" applyNumberFormat="0" applyAlignment="0" applyProtection="0"/>
    <xf numFmtId="0" fontId="25" fillId="8" borderId="57" applyNumberFormat="0" applyAlignment="0" applyProtection="0"/>
    <xf numFmtId="0" fontId="13" fillId="21" borderId="53" applyNumberFormat="0" applyAlignment="0" applyProtection="0"/>
    <xf numFmtId="0" fontId="25" fillId="8" borderId="53" applyNumberFormat="0" applyAlignment="0" applyProtection="0"/>
    <xf numFmtId="0" fontId="33" fillId="0" borderId="60" applyNumberFormat="0" applyFill="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6" fillId="24" borderId="58" applyNumberFormat="0" applyFont="0" applyAlignment="0" applyProtection="0"/>
    <xf numFmtId="0" fontId="13" fillId="21" borderId="65" applyNumberFormat="0" applyAlignment="0" applyProtection="0"/>
    <xf numFmtId="0" fontId="25" fillId="8" borderId="53" applyNumberFormat="0" applyAlignment="0" applyProtection="0"/>
    <xf numFmtId="0" fontId="13" fillId="21" borderId="53" applyNumberFormat="0" applyAlignment="0" applyProtection="0"/>
    <xf numFmtId="0" fontId="13" fillId="21" borderId="53" applyNumberFormat="0" applyAlignment="0" applyProtection="0"/>
    <xf numFmtId="0" fontId="25" fillId="8" borderId="53" applyNumberFormat="0" applyAlignment="0" applyProtection="0"/>
    <xf numFmtId="0" fontId="16" fillId="24" borderId="58" applyNumberFormat="0" applyFon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61" applyNumberFormat="0" applyAlignment="0" applyProtection="0"/>
    <xf numFmtId="0" fontId="16" fillId="24" borderId="58" applyNumberFormat="0" applyFont="0" applyAlignment="0" applyProtection="0"/>
    <xf numFmtId="0" fontId="31" fillId="21" borderId="59"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6" fillId="24" borderId="66" applyNumberFormat="0" applyFont="0" applyAlignment="0" applyProtection="0"/>
    <xf numFmtId="0" fontId="25" fillId="8" borderId="57" applyNumberFormat="0" applyAlignment="0" applyProtection="0"/>
    <xf numFmtId="0" fontId="13" fillId="21" borderId="53" applyNumberFormat="0" applyAlignment="0" applyProtection="0"/>
    <xf numFmtId="0" fontId="25" fillId="8" borderId="53" applyNumberFormat="0" applyAlignment="0" applyProtection="0"/>
    <xf numFmtId="0" fontId="13" fillId="21" borderId="61"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1" fillId="21" borderId="59" applyNumberFormat="0" applyAlignment="0" applyProtection="0"/>
    <xf numFmtId="0" fontId="31" fillId="21" borderId="59" applyNumberFormat="0" applyAlignment="0" applyProtection="0"/>
    <xf numFmtId="0" fontId="13" fillId="21" borderId="57" applyNumberFormat="0" applyAlignment="0" applyProtection="0"/>
    <xf numFmtId="0" fontId="16" fillId="24" borderId="58" applyNumberFormat="0" applyFont="0" applyAlignment="0" applyProtection="0"/>
    <xf numFmtId="0" fontId="13" fillId="21" borderId="53" applyNumberFormat="0" applyAlignment="0" applyProtection="0"/>
    <xf numFmtId="0" fontId="25" fillId="8" borderId="53"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3" fillId="21" borderId="57" applyNumberFormat="0" applyAlignment="0" applyProtection="0"/>
    <xf numFmtId="0" fontId="25" fillId="8" borderId="65" applyNumberFormat="0" applyAlignment="0" applyProtection="0"/>
    <xf numFmtId="0" fontId="33" fillId="0" borderId="64" applyNumberFormat="0" applyFill="0" applyAlignment="0" applyProtection="0"/>
    <xf numFmtId="0" fontId="25" fillId="8" borderId="53" applyNumberFormat="0" applyAlignment="0" applyProtection="0"/>
    <xf numFmtId="0" fontId="13" fillId="21" borderId="53" applyNumberFormat="0" applyAlignment="0" applyProtection="0"/>
    <xf numFmtId="0" fontId="13" fillId="21" borderId="53" applyNumberFormat="0" applyAlignment="0" applyProtection="0"/>
    <xf numFmtId="0" fontId="25" fillId="8" borderId="53" applyNumberFormat="0" applyAlignment="0" applyProtection="0"/>
    <xf numFmtId="0" fontId="13" fillId="21" borderId="57"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3" fillId="0" borderId="60" applyNumberFormat="0" applyFill="0" applyAlignment="0" applyProtection="0"/>
    <xf numFmtId="0" fontId="33" fillId="0" borderId="68" applyNumberFormat="0" applyFill="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16" fillId="24" borderId="62" applyNumberFormat="0" applyFont="0" applyAlignment="0" applyProtection="0"/>
    <xf numFmtId="0" fontId="25" fillId="8" borderId="57" applyNumberFormat="0" applyAlignment="0" applyProtection="0"/>
    <xf numFmtId="0" fontId="13" fillId="21" borderId="53" applyNumberFormat="0" applyAlignment="0" applyProtection="0"/>
    <xf numFmtId="0" fontId="25" fillId="8" borderId="53" applyNumberFormat="0" applyAlignment="0" applyProtection="0"/>
    <xf numFmtId="0" fontId="31" fillId="21" borderId="59" applyNumberFormat="0" applyAlignment="0" applyProtection="0"/>
    <xf numFmtId="0" fontId="16" fillId="24" borderId="54" applyNumberFormat="0" applyFont="0" applyAlignment="0" applyProtection="0"/>
    <xf numFmtId="0" fontId="31" fillId="21" borderId="55" applyNumberFormat="0" applyAlignment="0" applyProtection="0"/>
    <xf numFmtId="0" fontId="33" fillId="0" borderId="56" applyNumberFormat="0" applyFill="0" applyAlignment="0" applyProtection="0"/>
    <xf numFmtId="0" fontId="31" fillId="21" borderId="63" applyNumberFormat="0" applyAlignment="0" applyProtection="0"/>
    <xf numFmtId="0" fontId="25" fillId="8" borderId="61" applyNumberFormat="0" applyAlignment="0" applyProtection="0"/>
    <xf numFmtId="0" fontId="25" fillId="8" borderId="57" applyNumberFormat="0" applyAlignment="0" applyProtection="0"/>
    <xf numFmtId="0" fontId="33" fillId="0" borderId="60" applyNumberFormat="0" applyFill="0" applyAlignment="0" applyProtection="0"/>
    <xf numFmtId="0" fontId="16" fillId="24" borderId="62" applyNumberFormat="0" applyFont="0" applyAlignment="0" applyProtection="0"/>
    <xf numFmtId="0" fontId="31" fillId="21" borderId="59" applyNumberFormat="0" applyAlignment="0" applyProtection="0"/>
    <xf numFmtId="0" fontId="25" fillId="8" borderId="57" applyNumberFormat="0" applyAlignment="0" applyProtection="0"/>
    <xf numFmtId="0" fontId="16" fillId="24" borderId="58" applyNumberFormat="0" applyFont="0" applyAlignment="0" applyProtection="0"/>
    <xf numFmtId="0" fontId="31" fillId="21" borderId="59" applyNumberFormat="0" applyAlignment="0" applyProtection="0"/>
    <xf numFmtId="0" fontId="25" fillId="8" borderId="57" applyNumberFormat="0" applyAlignment="0" applyProtection="0"/>
    <xf numFmtId="0" fontId="13" fillId="21" borderId="61" applyNumberFormat="0" applyAlignment="0" applyProtection="0"/>
    <xf numFmtId="0" fontId="25" fillId="8" borderId="61" applyNumberFormat="0" applyAlignment="0" applyProtection="0"/>
    <xf numFmtId="0" fontId="33" fillId="0" borderId="68" applyNumberFormat="0" applyFill="0" applyAlignment="0" applyProtection="0"/>
    <xf numFmtId="0" fontId="13" fillId="21" borderId="57" applyNumberFormat="0" applyAlignment="0" applyProtection="0"/>
    <xf numFmtId="0" fontId="33" fillId="0" borderId="60" applyNumberFormat="0" applyFill="0" applyAlignment="0" applyProtection="0"/>
    <xf numFmtId="0" fontId="13" fillId="21" borderId="57" applyNumberFormat="0" applyAlignment="0" applyProtection="0"/>
    <xf numFmtId="0" fontId="25" fillId="8" borderId="57" applyNumberFormat="0" applyAlignment="0" applyProtection="0"/>
    <xf numFmtId="0" fontId="16" fillId="24" borderId="58" applyNumberFormat="0" applyFont="0" applyAlignment="0" applyProtection="0"/>
    <xf numFmtId="0" fontId="25" fillId="8" borderId="61" applyNumberFormat="0" applyAlignment="0" applyProtection="0"/>
    <xf numFmtId="0" fontId="31" fillId="21" borderId="67" applyNumberFormat="0" applyAlignment="0" applyProtection="0"/>
    <xf numFmtId="0" fontId="31" fillId="21" borderId="59" applyNumberFormat="0" applyAlignment="0" applyProtection="0"/>
    <xf numFmtId="0" fontId="16" fillId="24" borderId="58" applyNumberFormat="0" applyFont="0" applyAlignment="0" applyProtection="0"/>
    <xf numFmtId="0" fontId="25" fillId="8" borderId="61" applyNumberFormat="0" applyAlignment="0" applyProtection="0"/>
    <xf numFmtId="0" fontId="13" fillId="21" borderId="57" applyNumberFormat="0" applyAlignment="0" applyProtection="0"/>
    <xf numFmtId="0" fontId="25" fillId="8" borderId="65" applyNumberFormat="0" applyAlignment="0" applyProtection="0"/>
    <xf numFmtId="0" fontId="13" fillId="21" borderId="61" applyNumberFormat="0" applyAlignment="0" applyProtection="0"/>
    <xf numFmtId="0" fontId="33" fillId="0" borderId="68" applyNumberFormat="0" applyFill="0" applyAlignment="0" applyProtection="0"/>
    <xf numFmtId="0" fontId="31" fillId="21" borderId="59" applyNumberFormat="0" applyAlignment="0" applyProtection="0"/>
    <xf numFmtId="0" fontId="13" fillId="21" borderId="65" applyNumberFormat="0" applyAlignment="0" applyProtection="0"/>
    <xf numFmtId="0" fontId="16" fillId="24" borderId="58" applyNumberFormat="0" applyFont="0" applyAlignment="0" applyProtection="0"/>
    <xf numFmtId="0" fontId="31" fillId="21" borderId="59" applyNumberFormat="0" applyAlignment="0" applyProtection="0"/>
    <xf numFmtId="0" fontId="33" fillId="0" borderId="60" applyNumberFormat="0" applyFill="0" applyAlignment="0" applyProtection="0"/>
    <xf numFmtId="0" fontId="31" fillId="21" borderId="59" applyNumberFormat="0" applyAlignment="0" applyProtection="0"/>
    <xf numFmtId="0" fontId="25" fillId="8" borderId="57" applyNumberFormat="0" applyAlignment="0" applyProtection="0"/>
    <xf numFmtId="0" fontId="33" fillId="0" borderId="64" applyNumberFormat="0" applyFill="0" applyAlignment="0" applyProtection="0"/>
    <xf numFmtId="0" fontId="33" fillId="0" borderId="64" applyNumberFormat="0" applyFill="0" applyAlignment="0" applyProtection="0"/>
    <xf numFmtId="0" fontId="25" fillId="8" borderId="65" applyNumberFormat="0" applyAlignment="0" applyProtection="0"/>
    <xf numFmtId="0" fontId="16" fillId="24" borderId="58" applyNumberFormat="0" applyFont="0" applyAlignment="0" applyProtection="0"/>
    <xf numFmtId="0" fontId="16" fillId="24" borderId="58" applyNumberFormat="0" applyFont="0" applyAlignment="0" applyProtection="0"/>
    <xf numFmtId="0" fontId="13" fillId="21" borderId="57" applyNumberFormat="0" applyAlignment="0" applyProtection="0"/>
    <xf numFmtId="0" fontId="25" fillId="8" borderId="57" applyNumberFormat="0" applyAlignment="0" applyProtection="0"/>
    <xf numFmtId="0" fontId="13" fillId="21" borderId="61" applyNumberFormat="0" applyAlignment="0" applyProtection="0"/>
    <xf numFmtId="0" fontId="16" fillId="24" borderId="62" applyNumberFormat="0" applyFont="0" applyAlignment="0" applyProtection="0"/>
    <xf numFmtId="0" fontId="33" fillId="0" borderId="64" applyNumberFormat="0" applyFill="0" applyAlignment="0" applyProtection="0"/>
    <xf numFmtId="0" fontId="16" fillId="24" borderId="66" applyNumberFormat="0" applyFont="0" applyAlignment="0" applyProtection="0"/>
    <xf numFmtId="0" fontId="33" fillId="0" borderId="64" applyNumberFormat="0" applyFill="0" applyAlignment="0" applyProtection="0"/>
    <xf numFmtId="0" fontId="25" fillId="8" borderId="57" applyNumberFormat="0" applyAlignment="0" applyProtection="0"/>
    <xf numFmtId="0" fontId="25" fillId="8" borderId="57" applyNumberFormat="0" applyAlignment="0" applyProtection="0"/>
    <xf numFmtId="0" fontId="16" fillId="24" borderId="58" applyNumberFormat="0" applyFont="0" applyAlignment="0" applyProtection="0"/>
    <xf numFmtId="0" fontId="33" fillId="0" borderId="60" applyNumberFormat="0" applyFill="0" applyAlignment="0" applyProtection="0"/>
    <xf numFmtId="0" fontId="31" fillId="21" borderId="63" applyNumberFormat="0" applyAlignment="0" applyProtection="0"/>
    <xf numFmtId="0" fontId="33" fillId="0" borderId="64" applyNumberFormat="0" applyFill="0" applyAlignment="0" applyProtection="0"/>
    <xf numFmtId="0" fontId="33" fillId="0" borderId="64" applyNumberFormat="0" applyFill="0" applyAlignment="0" applyProtection="0"/>
    <xf numFmtId="0" fontId="13" fillId="21" borderId="57" applyNumberFormat="0" applyAlignment="0" applyProtection="0"/>
    <xf numFmtId="0" fontId="16" fillId="24" borderId="66" applyNumberFormat="0" applyFont="0" applyAlignment="0" applyProtection="0"/>
    <xf numFmtId="0" fontId="25" fillId="8" borderId="65" applyNumberFormat="0" applyAlignment="0" applyProtection="0"/>
    <xf numFmtId="0" fontId="31" fillId="21" borderId="59" applyNumberFormat="0" applyAlignment="0" applyProtection="0"/>
    <xf numFmtId="0" fontId="25" fillId="8" borderId="61" applyNumberFormat="0" applyAlignment="0" applyProtection="0"/>
    <xf numFmtId="0" fontId="13" fillId="21" borderId="57" applyNumberFormat="0" applyAlignment="0" applyProtection="0"/>
    <xf numFmtId="0" fontId="31" fillId="21" borderId="63" applyNumberFormat="0" applyAlignment="0" applyProtection="0"/>
    <xf numFmtId="0" fontId="25" fillId="8" borderId="57" applyNumberFormat="0" applyAlignment="0" applyProtection="0"/>
    <xf numFmtId="0" fontId="16" fillId="24" borderId="58" applyNumberFormat="0" applyFont="0" applyAlignment="0" applyProtection="0"/>
    <xf numFmtId="0" fontId="33" fillId="0" borderId="68" applyNumberFormat="0" applyFill="0" applyAlignment="0" applyProtection="0"/>
    <xf numFmtId="0" fontId="25" fillId="8" borderId="57" applyNumberFormat="0" applyAlignment="0" applyProtection="0"/>
    <xf numFmtId="0" fontId="25" fillId="8" borderId="57" applyNumberFormat="0" applyAlignment="0" applyProtection="0"/>
    <xf numFmtId="0" fontId="13" fillId="21" borderId="57" applyNumberFormat="0" applyAlignment="0" applyProtection="0"/>
    <xf numFmtId="0" fontId="31" fillId="21" borderId="59" applyNumberFormat="0" applyAlignment="0" applyProtection="0"/>
    <xf numFmtId="0" fontId="13" fillId="21" borderId="61" applyNumberFormat="0" applyAlignment="0" applyProtection="0"/>
    <xf numFmtId="0" fontId="16" fillId="24" borderId="58" applyNumberFormat="0" applyFont="0" applyAlignment="0" applyProtection="0"/>
    <xf numFmtId="0" fontId="33" fillId="0" borderId="64" applyNumberFormat="0" applyFill="0" applyAlignment="0" applyProtection="0"/>
    <xf numFmtId="0" fontId="33" fillId="0" borderId="60" applyNumberFormat="0" applyFill="0" applyAlignment="0" applyProtection="0"/>
    <xf numFmtId="0" fontId="31" fillId="21" borderId="59" applyNumberFormat="0" applyAlignment="0" applyProtection="0"/>
    <xf numFmtId="0" fontId="31" fillId="21" borderId="67" applyNumberFormat="0" applyAlignment="0" applyProtection="0"/>
    <xf numFmtId="0" fontId="16" fillId="24" borderId="62" applyNumberFormat="0" applyFont="0" applyAlignment="0" applyProtection="0"/>
    <xf numFmtId="0" fontId="25" fillId="8" borderId="57" applyNumberFormat="0" applyAlignment="0" applyProtection="0"/>
    <xf numFmtId="0" fontId="16" fillId="24" borderId="58" applyNumberFormat="0" applyFont="0" applyAlignment="0" applyProtection="0"/>
    <xf numFmtId="0" fontId="13" fillId="21" borderId="65" applyNumberFormat="0" applyAlignment="0" applyProtection="0"/>
    <xf numFmtId="0" fontId="16" fillId="24" borderId="66" applyNumberFormat="0" applyFont="0" applyAlignment="0" applyProtection="0"/>
    <xf numFmtId="0" fontId="25" fillId="8" borderId="61" applyNumberFormat="0" applyAlignment="0" applyProtection="0"/>
    <xf numFmtId="0" fontId="13" fillId="21" borderId="57" applyNumberFormat="0" applyAlignment="0" applyProtection="0"/>
    <xf numFmtId="0" fontId="33" fillId="0" borderId="60" applyNumberFormat="0" applyFill="0" applyAlignment="0" applyProtection="0"/>
    <xf numFmtId="0" fontId="25" fillId="8" borderId="65" applyNumberFormat="0" applyAlignment="0" applyProtection="0"/>
    <xf numFmtId="0" fontId="31" fillId="21" borderId="59" applyNumberFormat="0" applyAlignment="0" applyProtection="0"/>
    <xf numFmtId="0" fontId="25" fillId="8" borderId="65" applyNumberFormat="0" applyAlignment="0" applyProtection="0"/>
    <xf numFmtId="0" fontId="13" fillId="21" borderId="57" applyNumberFormat="0" applyAlignment="0" applyProtection="0"/>
    <xf numFmtId="0" fontId="31" fillId="21" borderId="67" applyNumberFormat="0" applyAlignment="0" applyProtection="0"/>
    <xf numFmtId="0" fontId="33" fillId="0" borderId="60" applyNumberFormat="0" applyFill="0" applyAlignment="0" applyProtection="0"/>
    <xf numFmtId="0" fontId="33" fillId="0" borderId="60" applyNumberFormat="0" applyFill="0" applyAlignment="0" applyProtection="0"/>
    <xf numFmtId="0" fontId="13" fillId="21" borderId="61" applyNumberFormat="0" applyAlignment="0" applyProtection="0"/>
    <xf numFmtId="0" fontId="25" fillId="8" borderId="57" applyNumberFormat="0" applyAlignment="0" applyProtection="0"/>
    <xf numFmtId="0" fontId="25" fillId="8" borderId="61" applyNumberFormat="0" applyAlignment="0" applyProtection="0"/>
    <xf numFmtId="0" fontId="33" fillId="0" borderId="68" applyNumberFormat="0" applyFill="0" applyAlignment="0" applyProtection="0"/>
    <xf numFmtId="0" fontId="31" fillId="21" borderId="59" applyNumberFormat="0" applyAlignment="0" applyProtection="0"/>
    <xf numFmtId="0" fontId="31" fillId="21" borderId="59" applyNumberFormat="0" applyAlignment="0" applyProtection="0"/>
    <xf numFmtId="0" fontId="25" fillId="8" borderId="57" applyNumberFormat="0" applyAlignment="0" applyProtection="0"/>
    <xf numFmtId="0" fontId="16" fillId="24" borderId="62" applyNumberFormat="0" applyFont="0" applyAlignment="0" applyProtection="0"/>
    <xf numFmtId="0" fontId="13" fillId="21" borderId="65" applyNumberFormat="0" applyAlignment="0" applyProtection="0"/>
    <xf numFmtId="0" fontId="13" fillId="21" borderId="65" applyNumberFormat="0" applyAlignment="0" applyProtection="0"/>
    <xf numFmtId="0" fontId="31" fillId="21" borderId="63" applyNumberFormat="0" applyAlignment="0" applyProtection="0"/>
    <xf numFmtId="0" fontId="25" fillId="8" borderId="65" applyNumberFormat="0" applyAlignment="0" applyProtection="0"/>
    <xf numFmtId="0" fontId="31" fillId="21" borderId="59" applyNumberFormat="0" applyAlignment="0" applyProtection="0"/>
    <xf numFmtId="0" fontId="33" fillId="0" borderId="68" applyNumberFormat="0" applyFill="0" applyAlignment="0" applyProtection="0"/>
    <xf numFmtId="0" fontId="16" fillId="24" borderId="58" applyNumberFormat="0" applyFont="0" applyAlignment="0" applyProtection="0"/>
    <xf numFmtId="0" fontId="31" fillId="21" borderId="63" applyNumberFormat="0" applyAlignment="0" applyProtection="0"/>
    <xf numFmtId="0" fontId="16" fillId="24" borderId="58" applyNumberFormat="0" applyFont="0" applyAlignment="0" applyProtection="0"/>
    <xf numFmtId="0" fontId="13" fillId="21" borderId="57" applyNumberFormat="0" applyAlignment="0" applyProtection="0"/>
    <xf numFmtId="0" fontId="31" fillId="21" borderId="67" applyNumberFormat="0" applyAlignment="0" applyProtection="0"/>
    <xf numFmtId="0" fontId="16" fillId="24" borderId="58" applyNumberFormat="0" applyFont="0" applyAlignment="0" applyProtection="0"/>
    <xf numFmtId="0" fontId="13" fillId="21" borderId="57" applyNumberFormat="0" applyAlignment="0" applyProtection="0"/>
    <xf numFmtId="0" fontId="33" fillId="0" borderId="60" applyNumberFormat="0" applyFill="0" applyAlignment="0" applyProtection="0"/>
    <xf numFmtId="0" fontId="16" fillId="24" borderId="66" applyNumberFormat="0" applyFont="0" applyAlignment="0" applyProtection="0"/>
    <xf numFmtId="0" fontId="13" fillId="21" borderId="61" applyNumberFormat="0" applyAlignment="0" applyProtection="0"/>
    <xf numFmtId="0" fontId="25" fillId="8" borderId="57" applyNumberFormat="0" applyAlignment="0" applyProtection="0"/>
    <xf numFmtId="0" fontId="16" fillId="24" borderId="62" applyNumberFormat="0" applyFont="0" applyAlignment="0" applyProtection="0"/>
    <xf numFmtId="0" fontId="13" fillId="21" borderId="57" applyNumberFormat="0" applyAlignment="0" applyProtection="0"/>
    <xf numFmtId="0" fontId="31" fillId="21" borderId="59" applyNumberFormat="0" applyAlignment="0" applyProtection="0"/>
    <xf numFmtId="0" fontId="13" fillId="21" borderId="61" applyNumberFormat="0" applyAlignment="0" applyProtection="0"/>
    <xf numFmtId="0" fontId="25" fillId="8" borderId="61"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33" fillId="0" borderId="68" applyNumberFormat="0" applyFill="0" applyAlignment="0" applyProtection="0"/>
    <xf numFmtId="0" fontId="13" fillId="21" borderId="65" applyNumberFormat="0" applyAlignment="0" applyProtection="0"/>
    <xf numFmtId="0" fontId="13" fillId="21" borderId="61" applyNumberFormat="0" applyAlignment="0" applyProtection="0"/>
    <xf numFmtId="0" fontId="25" fillId="8" borderId="61" applyNumberFormat="0" applyAlignment="0" applyProtection="0"/>
    <xf numFmtId="0" fontId="13" fillId="21" borderId="65"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25" fillId="8" borderId="61" applyNumberFormat="0" applyAlignment="0" applyProtection="0"/>
    <xf numFmtId="0" fontId="13" fillId="21" borderId="61" applyNumberFormat="0" applyAlignment="0" applyProtection="0"/>
    <xf numFmtId="0" fontId="13" fillId="21" borderId="61" applyNumberFormat="0" applyAlignment="0" applyProtection="0"/>
    <xf numFmtId="0" fontId="25" fillId="8" borderId="61" applyNumberFormat="0" applyAlignment="0" applyProtection="0"/>
    <xf numFmtId="0" fontId="13" fillId="21" borderId="65"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3" fillId="21" borderId="61" applyNumberFormat="0" applyAlignment="0" applyProtection="0"/>
    <xf numFmtId="0" fontId="25" fillId="8" borderId="61"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3" fillId="21" borderId="65" applyNumberFormat="0" applyAlignment="0" applyProtection="0"/>
    <xf numFmtId="0" fontId="16" fillId="24" borderId="66" applyNumberFormat="0" applyFont="0" applyAlignment="0" applyProtection="0"/>
    <xf numFmtId="0" fontId="13" fillId="21" borderId="61" applyNumberFormat="0" applyAlignment="0" applyProtection="0"/>
    <xf numFmtId="0" fontId="25" fillId="8" borderId="61" applyNumberFormat="0" applyAlignment="0" applyProtection="0"/>
    <xf numFmtId="0" fontId="16" fillId="24" borderId="66" applyNumberFormat="0" applyFon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31" fillId="21" borderId="67" applyNumberFormat="0" applyAlignment="0" applyProtection="0"/>
    <xf numFmtId="0" fontId="25" fillId="8" borderId="61" applyNumberFormat="0" applyAlignment="0" applyProtection="0"/>
    <xf numFmtId="0" fontId="13" fillId="21" borderId="61" applyNumberFormat="0" applyAlignment="0" applyProtection="0"/>
    <xf numFmtId="0" fontId="13" fillId="21" borderId="61" applyNumberFormat="0" applyAlignment="0" applyProtection="0"/>
    <xf numFmtId="0" fontId="25" fillId="8" borderId="61" applyNumberFormat="0" applyAlignment="0" applyProtection="0"/>
    <xf numFmtId="0" fontId="16" fillId="24" borderId="66" applyNumberFormat="0" applyFon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33" fillId="0" borderId="68" applyNumberFormat="0" applyFill="0" applyAlignment="0" applyProtection="0"/>
    <xf numFmtId="0" fontId="13" fillId="21" borderId="61" applyNumberFormat="0" applyAlignment="0" applyProtection="0"/>
    <xf numFmtId="0" fontId="25" fillId="8" borderId="61"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6" applyNumberFormat="0" applyFont="0" applyAlignment="0" applyProtection="0"/>
    <xf numFmtId="0" fontId="13" fillId="21" borderId="61" applyNumberFormat="0" applyAlignment="0" applyProtection="0"/>
    <xf numFmtId="0" fontId="25" fillId="8" borderId="61" applyNumberFormat="0" applyAlignment="0" applyProtection="0"/>
    <xf numFmtId="0" fontId="25" fillId="8" borderId="65"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25" fillId="8" borderId="61" applyNumberFormat="0" applyAlignment="0" applyProtection="0"/>
    <xf numFmtId="0" fontId="13" fillId="21" borderId="61" applyNumberFormat="0" applyAlignment="0" applyProtection="0"/>
    <xf numFmtId="0" fontId="13" fillId="21" borderId="61" applyNumberFormat="0" applyAlignment="0" applyProtection="0"/>
    <xf numFmtId="0" fontId="25" fillId="8" borderId="61" applyNumberFormat="0" applyAlignment="0" applyProtection="0"/>
    <xf numFmtId="0" fontId="25" fillId="8" borderId="65"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6" applyNumberFormat="0" applyFont="0" applyAlignment="0" applyProtection="0"/>
    <xf numFmtId="0" fontId="13" fillId="21" borderId="61" applyNumberFormat="0" applyAlignment="0" applyProtection="0"/>
    <xf numFmtId="0" fontId="25" fillId="8" borderId="61"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25" fillId="8" borderId="65" applyNumberFormat="0" applyAlignment="0" applyProtection="0"/>
    <xf numFmtId="0" fontId="31" fillId="21" borderId="67" applyNumberFormat="0" applyAlignment="0" applyProtection="0"/>
    <xf numFmtId="0" fontId="13" fillId="21" borderId="61" applyNumberFormat="0" applyAlignment="0" applyProtection="0"/>
    <xf numFmtId="0" fontId="25" fillId="8" borderId="61" applyNumberFormat="0" applyAlignment="0" applyProtection="0"/>
    <xf numFmtId="0" fontId="31" fillId="21" borderId="67"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25" fillId="8" borderId="61" applyNumberFormat="0" applyAlignment="0" applyProtection="0"/>
    <xf numFmtId="0" fontId="13" fillId="21" borderId="61" applyNumberFormat="0" applyAlignment="0" applyProtection="0"/>
    <xf numFmtId="0" fontId="13" fillId="21" borderId="61" applyNumberFormat="0" applyAlignment="0" applyProtection="0"/>
    <xf numFmtId="0" fontId="25" fillId="8" borderId="61" applyNumberFormat="0" applyAlignment="0" applyProtection="0"/>
    <xf numFmtId="0" fontId="31" fillId="21" borderId="67"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13" fillId="21" borderId="61" applyNumberFormat="0" applyAlignment="0" applyProtection="0"/>
    <xf numFmtId="0" fontId="25" fillId="8" borderId="61" applyNumberFormat="0" applyAlignment="0" applyProtection="0"/>
    <xf numFmtId="0" fontId="16" fillId="24" borderId="62" applyNumberFormat="0" applyFont="0" applyAlignment="0" applyProtection="0"/>
    <xf numFmtId="0" fontId="31" fillId="21" borderId="63" applyNumberFormat="0" applyAlignment="0" applyProtection="0"/>
    <xf numFmtId="0" fontId="33" fillId="0" borderId="64" applyNumberFormat="0" applyFill="0" applyAlignment="0" applyProtection="0"/>
    <xf numFmtId="0" fontId="31" fillId="21" borderId="67" applyNumberFormat="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25" fillId="8" borderId="65" applyNumberFormat="0" applyAlignment="0" applyProtection="0"/>
    <xf numFmtId="0" fontId="13" fillId="21" borderId="65" applyNumberFormat="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25" fillId="8" borderId="65" applyNumberFormat="0" applyAlignment="0" applyProtection="0"/>
    <xf numFmtId="0" fontId="13" fillId="21" borderId="65" applyNumberFormat="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25" fillId="8" borderId="65" applyNumberFormat="0" applyAlignment="0" applyProtection="0"/>
    <xf numFmtId="0" fontId="13" fillId="21" borderId="65" applyNumberFormat="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25" fillId="8" borderId="65" applyNumberFormat="0" applyAlignment="0" applyProtection="0"/>
    <xf numFmtId="0" fontId="13" fillId="21" borderId="65" applyNumberFormat="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xf numFmtId="0" fontId="13" fillId="21" borderId="65" applyNumberFormat="0" applyAlignment="0" applyProtection="0"/>
    <xf numFmtId="0" fontId="25" fillId="8" borderId="65" applyNumberFormat="0" applyAlignment="0" applyProtection="0"/>
    <xf numFmtId="0" fontId="16" fillId="24" borderId="66" applyNumberFormat="0" applyFont="0" applyAlignment="0" applyProtection="0"/>
    <xf numFmtId="0" fontId="31" fillId="21" borderId="67" applyNumberFormat="0" applyAlignment="0" applyProtection="0"/>
    <xf numFmtId="0" fontId="33" fillId="0" borderId="68" applyNumberFormat="0" applyFill="0" applyAlignment="0" applyProtection="0"/>
  </cellStyleXfs>
  <cellXfs count="102">
    <xf numFmtId="0" fontId="0" fillId="0" borderId="0" xfId="0">
      <alignment vertical="center"/>
    </xf>
    <xf numFmtId="0" fontId="39" fillId="2" borderId="0" xfId="0" applyFont="1" applyFill="1" applyAlignment="1">
      <alignment horizontal="left" vertical="center"/>
    </xf>
    <xf numFmtId="0" fontId="40"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alignment horizontal="left" vertical="center"/>
    </xf>
    <xf numFmtId="38" fontId="40" fillId="2" borderId="0" xfId="0" applyNumberFormat="1" applyFont="1" applyFill="1">
      <alignment vertical="center"/>
    </xf>
    <xf numFmtId="0" fontId="41" fillId="0" borderId="1" xfId="0" applyFont="1" applyBorder="1" applyAlignment="1">
      <alignment horizontal="center" vertical="center"/>
    </xf>
    <xf numFmtId="0" fontId="41" fillId="0" borderId="1" xfId="2" applyFont="1" applyBorder="1" applyAlignment="1">
      <alignment horizontal="left" vertical="center"/>
    </xf>
    <xf numFmtId="0" fontId="41" fillId="0" borderId="1" xfId="0" applyFont="1" applyBorder="1">
      <alignment vertical="center"/>
    </xf>
    <xf numFmtId="38" fontId="41" fillId="0" borderId="1" xfId="1" applyFont="1" applyFill="1" applyBorder="1" applyAlignment="1">
      <alignment horizontal="center" vertical="center"/>
    </xf>
    <xf numFmtId="0" fontId="40" fillId="2" borderId="2" xfId="0" applyFont="1" applyFill="1" applyBorder="1">
      <alignment vertical="center"/>
    </xf>
    <xf numFmtId="0" fontId="41" fillId="0" borderId="1" xfId="0" applyFont="1" applyBorder="1" applyAlignment="1">
      <alignment vertical="center" wrapText="1"/>
    </xf>
    <xf numFmtId="0" fontId="40" fillId="2" borderId="2" xfId="0" applyFont="1" applyFill="1" applyBorder="1" applyAlignment="1">
      <alignment horizontal="left" vertical="center"/>
    </xf>
    <xf numFmtId="38" fontId="40" fillId="2" borderId="0" xfId="1" applyFont="1" applyFill="1" applyAlignment="1">
      <alignment horizontal="center" vertical="center"/>
    </xf>
    <xf numFmtId="0" fontId="41" fillId="2" borderId="0" xfId="0" applyFont="1" applyFill="1" applyAlignment="1"/>
    <xf numFmtId="0" fontId="40" fillId="2" borderId="0" xfId="0" applyFont="1" applyFill="1" applyAlignment="1">
      <alignment horizontal="right" vertical="center"/>
    </xf>
    <xf numFmtId="166" fontId="40" fillId="2" borderId="0" xfId="0" applyNumberFormat="1" applyFont="1" applyFill="1" applyAlignment="1">
      <alignment horizontal="center" vertical="center"/>
    </xf>
    <xf numFmtId="0" fontId="43" fillId="2" borderId="0" xfId="92" applyFont="1" applyFill="1" applyAlignment="1">
      <alignment horizontal="right" vertical="center"/>
    </xf>
    <xf numFmtId="0" fontId="41" fillId="25" borderId="1" xfId="0" applyFont="1" applyFill="1" applyBorder="1" applyAlignment="1">
      <alignment horizontal="center" vertical="center" wrapText="1"/>
    </xf>
    <xf numFmtId="0" fontId="41" fillId="25" borderId="1" xfId="0" applyFont="1" applyFill="1" applyBorder="1" applyAlignment="1">
      <alignment horizontal="center" vertical="center"/>
    </xf>
    <xf numFmtId="38" fontId="41" fillId="25" borderId="1" xfId="1" applyFont="1" applyFill="1" applyBorder="1" applyAlignment="1">
      <alignment horizontal="center" vertical="center" wrapText="1"/>
    </xf>
    <xf numFmtId="0" fontId="41" fillId="2" borderId="69" xfId="2" applyFont="1" applyFill="1" applyBorder="1" applyAlignment="1">
      <alignment horizontal="left" vertical="center" wrapText="1"/>
    </xf>
    <xf numFmtId="0" fontId="41" fillId="2" borderId="69" xfId="0" applyFont="1" applyFill="1" applyBorder="1" applyAlignment="1">
      <alignment horizontal="center" vertical="center"/>
    </xf>
    <xf numFmtId="0" fontId="41" fillId="2" borderId="69" xfId="0" applyFont="1" applyFill="1" applyBorder="1" applyAlignment="1">
      <alignment horizontal="left" vertical="center"/>
    </xf>
    <xf numFmtId="0" fontId="41" fillId="0" borderId="69" xfId="0" applyFont="1" applyBorder="1" applyAlignment="1">
      <alignment horizontal="left" vertical="center" wrapText="1"/>
    </xf>
    <xf numFmtId="0" fontId="41" fillId="0" borderId="70" xfId="0" applyFont="1" applyBorder="1" applyAlignment="1">
      <alignment horizontal="center" vertical="center" wrapText="1"/>
    </xf>
    <xf numFmtId="0" fontId="41" fillId="2" borderId="70" xfId="2" applyFont="1" applyFill="1" applyBorder="1" applyAlignment="1">
      <alignment horizontal="left" vertical="center" wrapText="1"/>
    </xf>
    <xf numFmtId="0" fontId="41" fillId="2" borderId="70" xfId="0" applyFont="1" applyFill="1" applyBorder="1" applyAlignment="1">
      <alignment horizontal="center" vertical="center"/>
    </xf>
    <xf numFmtId="0" fontId="41" fillId="2" borderId="70" xfId="0" applyFont="1" applyFill="1" applyBorder="1" applyAlignment="1">
      <alignment horizontal="left" vertical="center"/>
    </xf>
    <xf numFmtId="0" fontId="41" fillId="0" borderId="70" xfId="0" applyFont="1" applyBorder="1" applyAlignment="1">
      <alignment horizontal="left" vertical="center" wrapText="1"/>
    </xf>
    <xf numFmtId="0" fontId="41" fillId="2" borderId="70" xfId="2" applyFont="1" applyFill="1" applyBorder="1" applyAlignment="1">
      <alignment horizontal="left" vertical="center"/>
    </xf>
    <xf numFmtId="0" fontId="41" fillId="2" borderId="70" xfId="0" applyFont="1" applyFill="1" applyBorder="1">
      <alignment vertical="center"/>
    </xf>
    <xf numFmtId="0" fontId="41" fillId="2" borderId="71" xfId="2" applyFont="1" applyFill="1" applyBorder="1" applyAlignment="1">
      <alignment horizontal="left" vertical="center" wrapText="1"/>
    </xf>
    <xf numFmtId="0" fontId="41" fillId="2" borderId="71" xfId="0" applyFont="1" applyFill="1" applyBorder="1" applyAlignment="1">
      <alignment horizontal="center" vertical="center"/>
    </xf>
    <xf numFmtId="38" fontId="41" fillId="2" borderId="71" xfId="1" quotePrefix="1" applyFont="1" applyFill="1" applyBorder="1" applyAlignment="1">
      <alignment horizontal="center" vertical="center"/>
    </xf>
    <xf numFmtId="0" fontId="41" fillId="2" borderId="71" xfId="0" applyFont="1" applyFill="1" applyBorder="1">
      <alignment vertical="center"/>
    </xf>
    <xf numFmtId="0" fontId="41" fillId="0" borderId="71" xfId="0" applyFont="1" applyBorder="1" applyAlignment="1">
      <alignment horizontal="left" vertical="center" wrapText="1"/>
    </xf>
    <xf numFmtId="38" fontId="41" fillId="2" borderId="69" xfId="1" applyFont="1" applyFill="1" applyBorder="1" applyAlignment="1">
      <alignment horizontal="center" vertical="center"/>
    </xf>
    <xf numFmtId="38" fontId="41" fillId="2" borderId="70" xfId="1" applyFont="1" applyFill="1" applyBorder="1" applyAlignment="1">
      <alignment horizontal="center" vertical="center"/>
    </xf>
    <xf numFmtId="0" fontId="41" fillId="2" borderId="69" xfId="0" applyFont="1" applyFill="1" applyBorder="1">
      <alignment vertical="center"/>
    </xf>
    <xf numFmtId="0" fontId="41" fillId="2" borderId="70" xfId="0" applyFont="1" applyFill="1" applyBorder="1" applyAlignment="1">
      <alignment horizontal="center" vertical="center" wrapText="1"/>
    </xf>
    <xf numFmtId="0" fontId="41" fillId="0" borderId="70" xfId="0" applyFont="1" applyBorder="1" applyAlignment="1">
      <alignment vertical="center" wrapText="1"/>
    </xf>
    <xf numFmtId="0" fontId="41" fillId="0" borderId="70" xfId="2" applyFont="1" applyBorder="1" applyAlignment="1">
      <alignment horizontal="left" vertical="center" wrapText="1"/>
    </xf>
    <xf numFmtId="0" fontId="41" fillId="0" borderId="70" xfId="0" applyFont="1" applyBorder="1" applyAlignment="1">
      <alignment horizontal="center" vertical="center"/>
    </xf>
    <xf numFmtId="38" fontId="41" fillId="0" borderId="70" xfId="1" quotePrefix="1" applyFont="1" applyFill="1" applyBorder="1" applyAlignment="1">
      <alignment horizontal="center" vertical="center"/>
    </xf>
    <xf numFmtId="0" fontId="41" fillId="0" borderId="70" xfId="0" applyFont="1" applyBorder="1">
      <alignment vertical="center"/>
    </xf>
    <xf numFmtId="38" fontId="41" fillId="0" borderId="70" xfId="1" applyFont="1" applyFill="1" applyBorder="1" applyAlignment="1">
      <alignment horizontal="center" vertical="center"/>
    </xf>
    <xf numFmtId="0" fontId="41" fillId="0" borderId="70" xfId="0" applyFont="1" applyBorder="1" applyAlignment="1">
      <alignment horizontal="left" vertical="center"/>
    </xf>
    <xf numFmtId="0" fontId="43" fillId="0" borderId="0" xfId="92" applyFont="1">
      <alignment vertical="center"/>
    </xf>
    <xf numFmtId="0" fontId="41" fillId="0" borderId="1" xfId="0" applyFont="1" applyBorder="1" applyAlignment="1">
      <alignment horizontal="left" vertical="center" wrapText="1"/>
    </xf>
    <xf numFmtId="0" fontId="41" fillId="0" borderId="70" xfId="0" quotePrefix="1" applyFont="1" applyBorder="1" applyAlignment="1">
      <alignment horizontal="center" vertical="center"/>
    </xf>
    <xf numFmtId="0" fontId="41" fillId="26" borderId="70" xfId="0" applyFont="1" applyFill="1" applyBorder="1" applyAlignment="1">
      <alignment horizontal="center" vertical="center"/>
    </xf>
    <xf numFmtId="0" fontId="41" fillId="26" borderId="70" xfId="0" applyFont="1" applyFill="1" applyBorder="1">
      <alignment vertical="center"/>
    </xf>
    <xf numFmtId="38" fontId="44" fillId="0" borderId="70" xfId="1" applyFont="1" applyFill="1" applyBorder="1" applyAlignment="1">
      <alignment horizontal="center" vertical="center"/>
    </xf>
    <xf numFmtId="0" fontId="40" fillId="0" borderId="70" xfId="0" applyFont="1" applyBorder="1" applyAlignment="1">
      <alignment horizontal="center" vertical="center"/>
    </xf>
    <xf numFmtId="0" fontId="41" fillId="0" borderId="70" xfId="0" applyFont="1" applyBorder="1" applyAlignment="1">
      <alignment vertical="top" wrapText="1"/>
    </xf>
    <xf numFmtId="0" fontId="41" fillId="26" borderId="70" xfId="2" applyFont="1" applyFill="1" applyBorder="1" applyAlignment="1">
      <alignment horizontal="left" vertical="center" wrapText="1"/>
    </xf>
    <xf numFmtId="0" fontId="40" fillId="0" borderId="2" xfId="0" applyFont="1" applyBorder="1">
      <alignment vertical="center"/>
    </xf>
    <xf numFmtId="0" fontId="40" fillId="0" borderId="0" xfId="0" applyFont="1">
      <alignment vertical="center"/>
    </xf>
    <xf numFmtId="38" fontId="41" fillId="0" borderId="70" xfId="1" applyFont="1" applyFill="1" applyBorder="1" applyAlignment="1">
      <alignment horizontal="center" vertical="center" wrapText="1"/>
    </xf>
    <xf numFmtId="38" fontId="41" fillId="26" borderId="70" xfId="1" applyFont="1" applyFill="1" applyBorder="1" applyAlignment="1">
      <alignment horizontal="center" vertical="center"/>
    </xf>
    <xf numFmtId="0" fontId="45" fillId="2" borderId="70" xfId="0" applyFont="1" applyFill="1" applyBorder="1" applyAlignment="1">
      <alignment horizontal="center" vertical="center"/>
    </xf>
    <xf numFmtId="0" fontId="41" fillId="26" borderId="70" xfId="0" applyFont="1" applyFill="1" applyBorder="1" applyAlignment="1">
      <alignment horizontal="left" vertical="center" wrapText="1"/>
    </xf>
    <xf numFmtId="14" fontId="46" fillId="2" borderId="0" xfId="0" applyNumberFormat="1" applyFont="1" applyFill="1" applyAlignment="1">
      <alignment horizontal="left" vertical="center"/>
    </xf>
    <xf numFmtId="0" fontId="41" fillId="26" borderId="70" xfId="0" applyFont="1" applyFill="1" applyBorder="1" applyAlignment="1">
      <alignment horizontal="center" vertical="center" wrapText="1"/>
    </xf>
    <xf numFmtId="0" fontId="40" fillId="26" borderId="0" xfId="0" applyFont="1" applyFill="1">
      <alignment vertical="center"/>
    </xf>
    <xf numFmtId="38" fontId="41" fillId="26" borderId="70" xfId="1" quotePrefix="1" applyFont="1" applyFill="1" applyBorder="1" applyAlignment="1">
      <alignment horizontal="center" vertical="center"/>
    </xf>
    <xf numFmtId="0" fontId="48" fillId="0" borderId="70" xfId="0" applyFont="1" applyBorder="1" applyAlignment="1">
      <alignment vertical="center" wrapText="1"/>
    </xf>
    <xf numFmtId="0" fontId="48" fillId="0" borderId="70" xfId="0" applyFont="1" applyBorder="1" applyAlignment="1">
      <alignment horizontal="center" vertical="center"/>
    </xf>
    <xf numFmtId="38" fontId="48" fillId="0" borderId="70" xfId="1" applyFont="1" applyFill="1" applyBorder="1" applyAlignment="1">
      <alignment horizontal="center" vertical="center"/>
    </xf>
    <xf numFmtId="0" fontId="48" fillId="0" borderId="70" xfId="0" applyFont="1" applyBorder="1">
      <alignment vertical="center"/>
    </xf>
    <xf numFmtId="0" fontId="49" fillId="0" borderId="0" xfId="0" applyFont="1">
      <alignment vertical="center"/>
    </xf>
    <xf numFmtId="0" fontId="48" fillId="0" borderId="71" xfId="0" applyFont="1" applyBorder="1" applyAlignment="1">
      <alignment vertical="center" wrapText="1"/>
    </xf>
    <xf numFmtId="0" fontId="48" fillId="0" borderId="71" xfId="0" applyFont="1" applyBorder="1" applyAlignment="1">
      <alignment horizontal="center" vertical="center"/>
    </xf>
    <xf numFmtId="38" fontId="48" fillId="0" borderId="71" xfId="1" applyFont="1" applyFill="1" applyBorder="1" applyAlignment="1">
      <alignment horizontal="center" vertical="center"/>
    </xf>
    <xf numFmtId="0" fontId="48" fillId="0" borderId="71" xfId="0" applyFont="1" applyBorder="1">
      <alignment vertical="center"/>
    </xf>
    <xf numFmtId="0" fontId="41" fillId="25" borderId="72" xfId="0" applyFont="1" applyFill="1" applyBorder="1" applyAlignment="1">
      <alignment horizontal="center" vertical="center" wrapText="1"/>
    </xf>
    <xf numFmtId="0" fontId="41" fillId="25" borderId="72" xfId="0" applyFont="1" applyFill="1" applyBorder="1" applyAlignment="1">
      <alignment horizontal="center" vertical="center"/>
    </xf>
    <xf numFmtId="38" fontId="41" fillId="0" borderId="69" xfId="1" applyFont="1" applyFill="1" applyBorder="1" applyAlignment="1">
      <alignment horizontal="center" vertical="center"/>
    </xf>
    <xf numFmtId="0" fontId="40" fillId="2" borderId="0" xfId="0" applyFont="1" applyFill="1" applyAlignment="1">
      <alignment vertical="center" wrapText="1"/>
    </xf>
    <xf numFmtId="0" fontId="50" fillId="0" borderId="0" xfId="0" applyFont="1">
      <alignment vertical="center"/>
    </xf>
    <xf numFmtId="0" fontId="44" fillId="0" borderId="70" xfId="0" applyFont="1" applyBorder="1" applyAlignment="1">
      <alignment horizontal="left" vertical="center" wrapText="1"/>
    </xf>
    <xf numFmtId="38" fontId="44" fillId="2" borderId="70" xfId="1" applyFont="1" applyFill="1" applyBorder="1" applyAlignment="1">
      <alignment horizontal="center" vertical="center"/>
    </xf>
    <xf numFmtId="0" fontId="41" fillId="26" borderId="70" xfId="0" applyFont="1" applyFill="1" applyBorder="1" applyAlignment="1">
      <alignment vertical="center" wrapText="1"/>
    </xf>
    <xf numFmtId="0" fontId="41" fillId="26" borderId="70" xfId="0" quotePrefix="1" applyFont="1" applyFill="1" applyBorder="1" applyAlignment="1">
      <alignment horizontal="center" vertical="center"/>
    </xf>
    <xf numFmtId="38" fontId="41" fillId="27" borderId="70" xfId="1" applyFont="1" applyFill="1" applyBorder="1" applyAlignment="1">
      <alignment horizontal="center" vertical="center"/>
    </xf>
    <xf numFmtId="38" fontId="44" fillId="27" borderId="70" xfId="1" applyFont="1" applyFill="1" applyBorder="1" applyAlignment="1">
      <alignment horizontal="center" vertical="center"/>
    </xf>
    <xf numFmtId="38" fontId="41" fillId="27" borderId="70" xfId="1" quotePrefix="1" applyFont="1" applyFill="1" applyBorder="1" applyAlignment="1">
      <alignment horizontal="center" vertical="center"/>
    </xf>
    <xf numFmtId="2" fontId="40" fillId="2" borderId="0" xfId="0" applyNumberFormat="1" applyFont="1" applyFill="1">
      <alignment vertical="center"/>
    </xf>
    <xf numFmtId="0" fontId="49" fillId="26" borderId="0" xfId="0" applyFont="1" applyFill="1">
      <alignment vertical="center"/>
    </xf>
    <xf numFmtId="0" fontId="41" fillId="0" borderId="70" xfId="0" applyFont="1" applyBorder="1" applyAlignment="1">
      <alignment horizontal="left" vertical="center" wrapText="1"/>
    </xf>
    <xf numFmtId="0" fontId="41" fillId="0" borderId="69" xfId="0" applyFont="1" applyBorder="1" applyAlignment="1">
      <alignment horizontal="left" vertical="center" wrapText="1"/>
    </xf>
    <xf numFmtId="0" fontId="41" fillId="0" borderId="72" xfId="0" applyFont="1" applyBorder="1" applyAlignment="1">
      <alignment horizontal="center" vertical="top" wrapText="1"/>
    </xf>
    <xf numFmtId="0" fontId="41" fillId="0" borderId="73" xfId="0" applyFont="1" applyBorder="1" applyAlignment="1">
      <alignment horizontal="center" vertical="top" wrapText="1"/>
    </xf>
    <xf numFmtId="0" fontId="41" fillId="0" borderId="74" xfId="0" applyFont="1" applyBorder="1" applyAlignment="1">
      <alignment horizontal="center" vertical="top" wrapText="1"/>
    </xf>
    <xf numFmtId="0" fontId="41" fillId="2" borderId="70" xfId="2" applyFont="1" applyFill="1" applyBorder="1" applyAlignment="1">
      <alignment horizontal="left" vertical="center"/>
    </xf>
    <xf numFmtId="0" fontId="41" fillId="2" borderId="70" xfId="58" applyFont="1" applyFill="1" applyBorder="1" applyAlignment="1">
      <alignment horizontal="left" vertical="center"/>
    </xf>
    <xf numFmtId="0" fontId="41" fillId="2" borderId="70" xfId="0" applyFont="1" applyFill="1" applyBorder="1" applyAlignment="1">
      <alignment horizontal="center" vertical="center"/>
    </xf>
    <xf numFmtId="0" fontId="41" fillId="0" borderId="69" xfId="0" applyFont="1" applyBorder="1" applyAlignment="1">
      <alignment vertical="center" wrapText="1"/>
    </xf>
    <xf numFmtId="0" fontId="41" fillId="0" borderId="70" xfId="0" applyFont="1" applyBorder="1" applyAlignment="1">
      <alignment vertical="center" wrapText="1"/>
    </xf>
    <xf numFmtId="0" fontId="41" fillId="26" borderId="70" xfId="0" applyFont="1" applyFill="1" applyBorder="1" applyAlignment="1">
      <alignment horizontal="left" vertical="center" wrapText="1"/>
    </xf>
    <xf numFmtId="0" fontId="41" fillId="0" borderId="71" xfId="0" applyFont="1" applyBorder="1" applyAlignment="1">
      <alignment horizontal="left" vertical="center" wrapText="1"/>
    </xf>
  </cellXfs>
  <cellStyles count="1804">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Calculation 2" xfId="28" xr:uid="{00000000-0005-0000-0000-000019000000}"/>
    <cellStyle name="Calculation 2 10" xfId="793" xr:uid="{00000000-0005-0000-0000-00001A000000}"/>
    <cellStyle name="Calculation 2 11" xfId="806" xr:uid="{00000000-0005-0000-0000-00001B000000}"/>
    <cellStyle name="Calculation 2 12" xfId="980" xr:uid="{00000000-0005-0000-0000-00001C000000}"/>
    <cellStyle name="Calculation 2 13" xfId="1288" xr:uid="{00000000-0005-0000-0000-00001D000000}"/>
    <cellStyle name="Calculation 2 14" xfId="1540" xr:uid="{00000000-0005-0000-0000-00001E000000}"/>
    <cellStyle name="Calculation 2 15" xfId="779" xr:uid="{00000000-0005-0000-0000-00001F000000}"/>
    <cellStyle name="Calculation 2 2" xfId="94" xr:uid="{00000000-0005-0000-0000-000020000000}"/>
    <cellStyle name="Calculation 2 2 10" xfId="833" xr:uid="{00000000-0005-0000-0000-000021000000}"/>
    <cellStyle name="Calculation 2 2 11" xfId="1566" xr:uid="{00000000-0005-0000-0000-000022000000}"/>
    <cellStyle name="Calculation 2 2 12" xfId="773" xr:uid="{00000000-0005-0000-0000-000023000000}"/>
    <cellStyle name="Calculation 2 2 2" xfId="139" xr:uid="{00000000-0005-0000-0000-000024000000}"/>
    <cellStyle name="Calculation 2 2 2 10" xfId="1387" xr:uid="{00000000-0005-0000-0000-000025000000}"/>
    <cellStyle name="Calculation 2 2 2 11" xfId="1575" xr:uid="{00000000-0005-0000-0000-000026000000}"/>
    <cellStyle name="Calculation 2 2 2 2" xfId="213" xr:uid="{00000000-0005-0000-0000-000027000000}"/>
    <cellStyle name="Calculation 2 2 2 2 10" xfId="1527" xr:uid="{00000000-0005-0000-0000-000028000000}"/>
    <cellStyle name="Calculation 2 2 2 2 2" xfId="361" xr:uid="{00000000-0005-0000-0000-000029000000}"/>
    <cellStyle name="Calculation 2 2 2 2 2 2" xfId="746" xr:uid="{00000000-0005-0000-0000-00002A000000}"/>
    <cellStyle name="Calculation 2 2 2 2 2 3" xfId="1034" xr:uid="{00000000-0005-0000-0000-00002B000000}"/>
    <cellStyle name="Calculation 2 2 2 2 2 4" xfId="1186" xr:uid="{00000000-0005-0000-0000-00002C000000}"/>
    <cellStyle name="Calculation 2 2 2 2 2 5" xfId="1338" xr:uid="{00000000-0005-0000-0000-00002D000000}"/>
    <cellStyle name="Calculation 2 2 2 2 2 6" xfId="1479" xr:uid="{00000000-0005-0000-0000-00002E000000}"/>
    <cellStyle name="Calculation 2 2 2 2 2 7" xfId="443" xr:uid="{00000000-0005-0000-0000-00002F000000}"/>
    <cellStyle name="Calculation 2 2 2 2 2 8" xfId="1703" xr:uid="{00000000-0005-0000-0000-000030000000}"/>
    <cellStyle name="Calculation 2 2 2 2 2 9" xfId="1790" xr:uid="{00000000-0005-0000-0000-000031000000}"/>
    <cellStyle name="Calculation 2 2 2 2 3" xfId="598" xr:uid="{00000000-0005-0000-0000-000032000000}"/>
    <cellStyle name="Calculation 2 2 2 2 4" xfId="893" xr:uid="{00000000-0005-0000-0000-000033000000}"/>
    <cellStyle name="Calculation 2 2 2 2 5" xfId="463" xr:uid="{00000000-0005-0000-0000-000034000000}"/>
    <cellStyle name="Calculation 2 2 2 2 6" xfId="937" xr:uid="{00000000-0005-0000-0000-000035000000}"/>
    <cellStyle name="Calculation 2 2 2 2 7" xfId="1090" xr:uid="{00000000-0005-0000-0000-000036000000}"/>
    <cellStyle name="Calculation 2 2 2 2 8" xfId="1215" xr:uid="{00000000-0005-0000-0000-000037000000}"/>
    <cellStyle name="Calculation 2 2 2 2 9" xfId="1524" xr:uid="{00000000-0005-0000-0000-000038000000}"/>
    <cellStyle name="Calculation 2 2 2 3" xfId="287" xr:uid="{00000000-0005-0000-0000-000039000000}"/>
    <cellStyle name="Calculation 2 2 2 3 2" xfId="672" xr:uid="{00000000-0005-0000-0000-00003A000000}"/>
    <cellStyle name="Calculation 2 2 2 3 3" xfId="964" xr:uid="{00000000-0005-0000-0000-00003B000000}"/>
    <cellStyle name="Calculation 2 2 2 3 4" xfId="1117" xr:uid="{00000000-0005-0000-0000-00003C000000}"/>
    <cellStyle name="Calculation 2 2 2 3 5" xfId="1272" xr:uid="{00000000-0005-0000-0000-00003D000000}"/>
    <cellStyle name="Calculation 2 2 2 3 6" xfId="1412" xr:uid="{00000000-0005-0000-0000-00003E000000}"/>
    <cellStyle name="Calculation 2 2 2 3 7" xfId="1552" xr:uid="{00000000-0005-0000-0000-00003F000000}"/>
    <cellStyle name="Calculation 2 2 2 3 8" xfId="1654" xr:uid="{00000000-0005-0000-0000-000040000000}"/>
    <cellStyle name="Calculation 2 2 2 3 9" xfId="1750" xr:uid="{00000000-0005-0000-0000-000041000000}"/>
    <cellStyle name="Calculation 2 2 2 4" xfId="524" xr:uid="{00000000-0005-0000-0000-000042000000}"/>
    <cellStyle name="Calculation 2 2 2 5" xfId="820" xr:uid="{00000000-0005-0000-0000-000043000000}"/>
    <cellStyle name="Calculation 2 2 2 6" xfId="417" xr:uid="{00000000-0005-0000-0000-000044000000}"/>
    <cellStyle name="Calculation 2 2 2 7" xfId="397" xr:uid="{00000000-0005-0000-0000-000045000000}"/>
    <cellStyle name="Calculation 2 2 2 8" xfId="936" xr:uid="{00000000-0005-0000-0000-000046000000}"/>
    <cellStyle name="Calculation 2 2 2 9" xfId="1195" xr:uid="{00000000-0005-0000-0000-000047000000}"/>
    <cellStyle name="Calculation 2 2 3" xfId="176" xr:uid="{00000000-0005-0000-0000-000048000000}"/>
    <cellStyle name="Calculation 2 2 3 10" xfId="436" xr:uid="{00000000-0005-0000-0000-000049000000}"/>
    <cellStyle name="Calculation 2 2 3 2" xfId="324" xr:uid="{00000000-0005-0000-0000-00004A000000}"/>
    <cellStyle name="Calculation 2 2 3 2 2" xfId="709" xr:uid="{00000000-0005-0000-0000-00004B000000}"/>
    <cellStyle name="Calculation 2 2 3 2 3" xfId="1000" xr:uid="{00000000-0005-0000-0000-00004C000000}"/>
    <cellStyle name="Calculation 2 2 3 2 4" xfId="1151" xr:uid="{00000000-0005-0000-0000-00004D000000}"/>
    <cellStyle name="Calculation 2 2 3 2 5" xfId="1307" xr:uid="{00000000-0005-0000-0000-00004E000000}"/>
    <cellStyle name="Calculation 2 2 3 2 6" xfId="1445" xr:uid="{00000000-0005-0000-0000-00004F000000}"/>
    <cellStyle name="Calculation 2 2 3 2 7" xfId="1424" xr:uid="{00000000-0005-0000-0000-000050000000}"/>
    <cellStyle name="Calculation 2 2 3 2 8" xfId="1678" xr:uid="{00000000-0005-0000-0000-000051000000}"/>
    <cellStyle name="Calculation 2 2 3 2 9" xfId="1770" xr:uid="{00000000-0005-0000-0000-000052000000}"/>
    <cellStyle name="Calculation 2 2 3 3" xfId="561" xr:uid="{00000000-0005-0000-0000-000053000000}"/>
    <cellStyle name="Calculation 2 2 3 4" xfId="856" xr:uid="{00000000-0005-0000-0000-000054000000}"/>
    <cellStyle name="Calculation 2 2 3 5" xfId="428" xr:uid="{00000000-0005-0000-0000-000055000000}"/>
    <cellStyle name="Calculation 2 2 3 6" xfId="914" xr:uid="{00000000-0005-0000-0000-000056000000}"/>
    <cellStyle name="Calculation 2 2 3 7" xfId="1067" xr:uid="{00000000-0005-0000-0000-000057000000}"/>
    <cellStyle name="Calculation 2 2 3 8" xfId="1564" xr:uid="{00000000-0005-0000-0000-000058000000}"/>
    <cellStyle name="Calculation 2 2 3 9" xfId="1509" xr:uid="{00000000-0005-0000-0000-000059000000}"/>
    <cellStyle name="Calculation 2 2 4" xfId="250" xr:uid="{00000000-0005-0000-0000-00005A000000}"/>
    <cellStyle name="Calculation 2 2 4 2" xfId="635" xr:uid="{00000000-0005-0000-0000-00005B000000}"/>
    <cellStyle name="Calculation 2 2 4 3" xfId="929" xr:uid="{00000000-0005-0000-0000-00005C000000}"/>
    <cellStyle name="Calculation 2 2 4 4" xfId="1081" xr:uid="{00000000-0005-0000-0000-00005D000000}"/>
    <cellStyle name="Calculation 2 2 4 5" xfId="1235" xr:uid="{00000000-0005-0000-0000-00005E000000}"/>
    <cellStyle name="Calculation 2 2 4 6" xfId="1381" xr:uid="{00000000-0005-0000-0000-00005F000000}"/>
    <cellStyle name="Calculation 2 2 4 7" xfId="1613" xr:uid="{00000000-0005-0000-0000-000060000000}"/>
    <cellStyle name="Calculation 2 2 4 8" xfId="1629" xr:uid="{00000000-0005-0000-0000-000061000000}"/>
    <cellStyle name="Calculation 2 2 4 9" xfId="1730" xr:uid="{00000000-0005-0000-0000-000062000000}"/>
    <cellStyle name="Calculation 2 2 5" xfId="481" xr:uid="{00000000-0005-0000-0000-000063000000}"/>
    <cellStyle name="Calculation 2 2 6" xfId="776" xr:uid="{00000000-0005-0000-0000-000064000000}"/>
    <cellStyle name="Calculation 2 2 7" xfId="791" xr:uid="{00000000-0005-0000-0000-000065000000}"/>
    <cellStyle name="Calculation 2 2 8" xfId="805" xr:uid="{00000000-0005-0000-0000-000066000000}"/>
    <cellStyle name="Calculation 2 2 9" xfId="873" xr:uid="{00000000-0005-0000-0000-000067000000}"/>
    <cellStyle name="Calculation 2 3" xfId="95" xr:uid="{00000000-0005-0000-0000-000068000000}"/>
    <cellStyle name="Calculation 2 3 10" xfId="440" xr:uid="{00000000-0005-0000-0000-000069000000}"/>
    <cellStyle name="Calculation 2 3 11" xfId="476" xr:uid="{00000000-0005-0000-0000-00006A000000}"/>
    <cellStyle name="Calculation 2 3 12" xfId="1596" xr:uid="{00000000-0005-0000-0000-00006B000000}"/>
    <cellStyle name="Calculation 2 3 2" xfId="140" xr:uid="{00000000-0005-0000-0000-00006C000000}"/>
    <cellStyle name="Calculation 2 3 2 10" xfId="1452" xr:uid="{00000000-0005-0000-0000-00006D000000}"/>
    <cellStyle name="Calculation 2 3 2 11" xfId="1644" xr:uid="{00000000-0005-0000-0000-00006E000000}"/>
    <cellStyle name="Calculation 2 3 2 2" xfId="214" xr:uid="{00000000-0005-0000-0000-00006F000000}"/>
    <cellStyle name="Calculation 2 3 2 2 10" xfId="1336" xr:uid="{00000000-0005-0000-0000-000070000000}"/>
    <cellStyle name="Calculation 2 3 2 2 2" xfId="362" xr:uid="{00000000-0005-0000-0000-000071000000}"/>
    <cellStyle name="Calculation 2 3 2 2 2 2" xfId="747" xr:uid="{00000000-0005-0000-0000-000072000000}"/>
    <cellStyle name="Calculation 2 3 2 2 2 3" xfId="1035" xr:uid="{00000000-0005-0000-0000-000073000000}"/>
    <cellStyle name="Calculation 2 3 2 2 2 4" xfId="1187" xr:uid="{00000000-0005-0000-0000-000074000000}"/>
    <cellStyle name="Calculation 2 3 2 2 2 5" xfId="1339" xr:uid="{00000000-0005-0000-0000-000075000000}"/>
    <cellStyle name="Calculation 2 3 2 2 2 6" xfId="1480" xr:uid="{00000000-0005-0000-0000-000076000000}"/>
    <cellStyle name="Calculation 2 3 2 2 2 7" xfId="1133" xr:uid="{00000000-0005-0000-0000-000077000000}"/>
    <cellStyle name="Calculation 2 3 2 2 2 8" xfId="1704" xr:uid="{00000000-0005-0000-0000-000078000000}"/>
    <cellStyle name="Calculation 2 3 2 2 2 9" xfId="1791" xr:uid="{00000000-0005-0000-0000-000079000000}"/>
    <cellStyle name="Calculation 2 3 2 2 3" xfId="599" xr:uid="{00000000-0005-0000-0000-00007A000000}"/>
    <cellStyle name="Calculation 2 3 2 2 4" xfId="894" xr:uid="{00000000-0005-0000-0000-00007B000000}"/>
    <cellStyle name="Calculation 2 3 2 2 5" xfId="464" xr:uid="{00000000-0005-0000-0000-00007C000000}"/>
    <cellStyle name="Calculation 2 3 2 2 6" xfId="804" xr:uid="{00000000-0005-0000-0000-00007D000000}"/>
    <cellStyle name="Calculation 2 3 2 2 7" xfId="1016" xr:uid="{00000000-0005-0000-0000-00007E000000}"/>
    <cellStyle name="Calculation 2 3 2 2 8" xfId="1538" xr:uid="{00000000-0005-0000-0000-00007F000000}"/>
    <cellStyle name="Calculation 2 3 2 2 9" xfId="1462" xr:uid="{00000000-0005-0000-0000-000080000000}"/>
    <cellStyle name="Calculation 2 3 2 3" xfId="288" xr:uid="{00000000-0005-0000-0000-000081000000}"/>
    <cellStyle name="Calculation 2 3 2 3 2" xfId="673" xr:uid="{00000000-0005-0000-0000-000082000000}"/>
    <cellStyle name="Calculation 2 3 2 3 3" xfId="965" xr:uid="{00000000-0005-0000-0000-000083000000}"/>
    <cellStyle name="Calculation 2 3 2 3 4" xfId="1118" xr:uid="{00000000-0005-0000-0000-000084000000}"/>
    <cellStyle name="Calculation 2 3 2 3 5" xfId="1273" xr:uid="{00000000-0005-0000-0000-000085000000}"/>
    <cellStyle name="Calculation 2 3 2 3 6" xfId="1413" xr:uid="{00000000-0005-0000-0000-000086000000}"/>
    <cellStyle name="Calculation 2 3 2 3 7" xfId="1604" xr:uid="{00000000-0005-0000-0000-000087000000}"/>
    <cellStyle name="Calculation 2 3 2 3 8" xfId="1655" xr:uid="{00000000-0005-0000-0000-000088000000}"/>
    <cellStyle name="Calculation 2 3 2 3 9" xfId="1751" xr:uid="{00000000-0005-0000-0000-000089000000}"/>
    <cellStyle name="Calculation 2 3 2 4" xfId="525" xr:uid="{00000000-0005-0000-0000-00008A000000}"/>
    <cellStyle name="Calculation 2 3 2 5" xfId="821" xr:uid="{00000000-0005-0000-0000-00008B000000}"/>
    <cellStyle name="Calculation 2 3 2 6" xfId="389" xr:uid="{00000000-0005-0000-0000-00008C000000}"/>
    <cellStyle name="Calculation 2 3 2 7" xfId="396" xr:uid="{00000000-0005-0000-0000-00008D000000}"/>
    <cellStyle name="Calculation 2 3 2 8" xfId="1006" xr:uid="{00000000-0005-0000-0000-00008E000000}"/>
    <cellStyle name="Calculation 2 3 2 9" xfId="1475" xr:uid="{00000000-0005-0000-0000-00008F000000}"/>
    <cellStyle name="Calculation 2 3 3" xfId="177" xr:uid="{00000000-0005-0000-0000-000090000000}"/>
    <cellStyle name="Calculation 2 3 3 10" xfId="818" xr:uid="{00000000-0005-0000-0000-000091000000}"/>
    <cellStyle name="Calculation 2 3 3 2" xfId="325" xr:uid="{00000000-0005-0000-0000-000092000000}"/>
    <cellStyle name="Calculation 2 3 3 2 2" xfId="710" xr:uid="{00000000-0005-0000-0000-000093000000}"/>
    <cellStyle name="Calculation 2 3 3 2 3" xfId="1001" xr:uid="{00000000-0005-0000-0000-000094000000}"/>
    <cellStyle name="Calculation 2 3 3 2 4" xfId="1152" xr:uid="{00000000-0005-0000-0000-000095000000}"/>
    <cellStyle name="Calculation 2 3 3 2 5" xfId="1308" xr:uid="{00000000-0005-0000-0000-000096000000}"/>
    <cellStyle name="Calculation 2 3 3 2 6" xfId="1446" xr:uid="{00000000-0005-0000-0000-000097000000}"/>
    <cellStyle name="Calculation 2 3 3 2 7" xfId="927" xr:uid="{00000000-0005-0000-0000-000098000000}"/>
    <cellStyle name="Calculation 2 3 3 2 8" xfId="1679" xr:uid="{00000000-0005-0000-0000-000099000000}"/>
    <cellStyle name="Calculation 2 3 3 2 9" xfId="1771" xr:uid="{00000000-0005-0000-0000-00009A000000}"/>
    <cellStyle name="Calculation 2 3 3 3" xfId="562" xr:uid="{00000000-0005-0000-0000-00009B000000}"/>
    <cellStyle name="Calculation 2 3 3 4" xfId="857" xr:uid="{00000000-0005-0000-0000-00009C000000}"/>
    <cellStyle name="Calculation 2 3 3 5" xfId="429" xr:uid="{00000000-0005-0000-0000-00009D000000}"/>
    <cellStyle name="Calculation 2 3 3 6" xfId="1055" xr:uid="{00000000-0005-0000-0000-00009E000000}"/>
    <cellStyle name="Calculation 2 3 3 7" xfId="1208" xr:uid="{00000000-0005-0000-0000-00009F000000}"/>
    <cellStyle name="Calculation 2 3 3 8" xfId="989" xr:uid="{00000000-0005-0000-0000-0000A0000000}"/>
    <cellStyle name="Calculation 2 3 3 9" xfId="1610" xr:uid="{00000000-0005-0000-0000-0000A1000000}"/>
    <cellStyle name="Calculation 2 3 4" xfId="251" xr:uid="{00000000-0005-0000-0000-0000A2000000}"/>
    <cellStyle name="Calculation 2 3 4 2" xfId="636" xr:uid="{00000000-0005-0000-0000-0000A3000000}"/>
    <cellStyle name="Calculation 2 3 4 3" xfId="930" xr:uid="{00000000-0005-0000-0000-0000A4000000}"/>
    <cellStyle name="Calculation 2 3 4 4" xfId="1082" xr:uid="{00000000-0005-0000-0000-0000A5000000}"/>
    <cellStyle name="Calculation 2 3 4 5" xfId="1236" xr:uid="{00000000-0005-0000-0000-0000A6000000}"/>
    <cellStyle name="Calculation 2 3 4 6" xfId="1382" xr:uid="{00000000-0005-0000-0000-0000A7000000}"/>
    <cellStyle name="Calculation 2 3 4 7" xfId="1512" xr:uid="{00000000-0005-0000-0000-0000A8000000}"/>
    <cellStyle name="Calculation 2 3 4 8" xfId="1630" xr:uid="{00000000-0005-0000-0000-0000A9000000}"/>
    <cellStyle name="Calculation 2 3 4 9" xfId="1731" xr:uid="{00000000-0005-0000-0000-0000AA000000}"/>
    <cellStyle name="Calculation 2 3 5" xfId="482" xr:uid="{00000000-0005-0000-0000-0000AB000000}"/>
    <cellStyle name="Calculation 2 3 6" xfId="777" xr:uid="{00000000-0005-0000-0000-0000AC000000}"/>
    <cellStyle name="Calculation 2 3 7" xfId="403" xr:uid="{00000000-0005-0000-0000-0000AD000000}"/>
    <cellStyle name="Calculation 2 3 8" xfId="877" xr:uid="{00000000-0005-0000-0000-0000AE000000}"/>
    <cellStyle name="Calculation 2 3 9" xfId="447" xr:uid="{00000000-0005-0000-0000-0000AF000000}"/>
    <cellStyle name="Calculation 2 4" xfId="114" xr:uid="{00000000-0005-0000-0000-0000B0000000}"/>
    <cellStyle name="Calculation 2 4 10" xfId="1482" xr:uid="{00000000-0005-0000-0000-0000B1000000}"/>
    <cellStyle name="Calculation 2 4 11" xfId="1194" xr:uid="{00000000-0005-0000-0000-0000B2000000}"/>
    <cellStyle name="Calculation 2 4 12" xfId="1624" xr:uid="{00000000-0005-0000-0000-0000B3000000}"/>
    <cellStyle name="Calculation 2 4 2" xfId="154" xr:uid="{00000000-0005-0000-0000-0000B4000000}"/>
    <cellStyle name="Calculation 2 4 2 10" xfId="812" xr:uid="{00000000-0005-0000-0000-0000B5000000}"/>
    <cellStyle name="Calculation 2 4 2 11" xfId="1621" xr:uid="{00000000-0005-0000-0000-0000B6000000}"/>
    <cellStyle name="Calculation 2 4 2 2" xfId="228" xr:uid="{00000000-0005-0000-0000-0000B7000000}"/>
    <cellStyle name="Calculation 2 4 2 2 10" xfId="1719" xr:uid="{00000000-0005-0000-0000-0000B8000000}"/>
    <cellStyle name="Calculation 2 4 2 2 2" xfId="376" xr:uid="{00000000-0005-0000-0000-0000B9000000}"/>
    <cellStyle name="Calculation 2 4 2 2 2 2" xfId="761" xr:uid="{00000000-0005-0000-0000-0000BA000000}"/>
    <cellStyle name="Calculation 2 4 2 2 2 3" xfId="1048" xr:uid="{00000000-0005-0000-0000-0000BB000000}"/>
    <cellStyle name="Calculation 2 4 2 2 2 4" xfId="1201" xr:uid="{00000000-0005-0000-0000-0000BC000000}"/>
    <cellStyle name="Calculation 2 4 2 2 2 5" xfId="1352" xr:uid="{00000000-0005-0000-0000-0000BD000000}"/>
    <cellStyle name="Calculation 2 4 2 2 2 6" xfId="1493" xr:uid="{00000000-0005-0000-0000-0000BE000000}"/>
    <cellStyle name="Calculation 2 4 2 2 2 7" xfId="1370" xr:uid="{00000000-0005-0000-0000-0000BF000000}"/>
    <cellStyle name="Calculation 2 4 2 2 2 8" xfId="1713" xr:uid="{00000000-0005-0000-0000-0000C0000000}"/>
    <cellStyle name="Calculation 2 4 2 2 2 9" xfId="1799" xr:uid="{00000000-0005-0000-0000-0000C1000000}"/>
    <cellStyle name="Calculation 2 4 2 2 3" xfId="613" xr:uid="{00000000-0005-0000-0000-0000C2000000}"/>
    <cellStyle name="Calculation 2 4 2 2 4" xfId="908" xr:uid="{00000000-0005-0000-0000-0000C3000000}"/>
    <cellStyle name="Calculation 2 4 2 2 5" xfId="1060" xr:uid="{00000000-0005-0000-0000-0000C4000000}"/>
    <cellStyle name="Calculation 2 4 2 2 6" xfId="1213" xr:uid="{00000000-0005-0000-0000-0000C5000000}"/>
    <cellStyle name="Calculation 2 4 2 2 7" xfId="1363" xr:uid="{00000000-0005-0000-0000-0000C6000000}"/>
    <cellStyle name="Calculation 2 4 2 2 8" xfId="1293" xr:uid="{00000000-0005-0000-0000-0000C7000000}"/>
    <cellStyle name="Calculation 2 4 2 2 9" xfId="1615" xr:uid="{00000000-0005-0000-0000-0000C8000000}"/>
    <cellStyle name="Calculation 2 4 2 3" xfId="302" xr:uid="{00000000-0005-0000-0000-0000C9000000}"/>
    <cellStyle name="Calculation 2 4 2 3 2" xfId="687" xr:uid="{00000000-0005-0000-0000-0000CA000000}"/>
    <cellStyle name="Calculation 2 4 2 3 3" xfId="978" xr:uid="{00000000-0005-0000-0000-0000CB000000}"/>
    <cellStyle name="Calculation 2 4 2 3 4" xfId="1131" xr:uid="{00000000-0005-0000-0000-0000CC000000}"/>
    <cellStyle name="Calculation 2 4 2 3 5" xfId="1286" xr:uid="{00000000-0005-0000-0000-0000CD000000}"/>
    <cellStyle name="Calculation 2 4 2 3 6" xfId="1425" xr:uid="{00000000-0005-0000-0000-0000CE000000}"/>
    <cellStyle name="Calculation 2 4 2 3 7" xfId="400" xr:uid="{00000000-0005-0000-0000-0000CF000000}"/>
    <cellStyle name="Calculation 2 4 2 3 8" xfId="1665" xr:uid="{00000000-0005-0000-0000-0000D0000000}"/>
    <cellStyle name="Calculation 2 4 2 3 9" xfId="1759" xr:uid="{00000000-0005-0000-0000-0000D1000000}"/>
    <cellStyle name="Calculation 2 4 2 4" xfId="539" xr:uid="{00000000-0005-0000-0000-0000D2000000}"/>
    <cellStyle name="Calculation 2 4 2 5" xfId="834" xr:uid="{00000000-0005-0000-0000-0000D3000000}"/>
    <cellStyle name="Calculation 2 4 2 6" xfId="1058" xr:uid="{00000000-0005-0000-0000-0000D4000000}"/>
    <cellStyle name="Calculation 2 4 2 7" xfId="1211" xr:uid="{00000000-0005-0000-0000-0000D5000000}"/>
    <cellStyle name="Calculation 2 4 2 8" xfId="1361" xr:uid="{00000000-0005-0000-0000-0000D6000000}"/>
    <cellStyle name="Calculation 2 4 2 9" xfId="1607" xr:uid="{00000000-0005-0000-0000-0000D7000000}"/>
    <cellStyle name="Calculation 2 4 3" xfId="191" xr:uid="{00000000-0005-0000-0000-0000D8000000}"/>
    <cellStyle name="Calculation 2 4 3 10" xfId="890" xr:uid="{00000000-0005-0000-0000-0000D9000000}"/>
    <cellStyle name="Calculation 2 4 3 2" xfId="339" xr:uid="{00000000-0005-0000-0000-0000DA000000}"/>
    <cellStyle name="Calculation 2 4 3 2 2" xfId="724" xr:uid="{00000000-0005-0000-0000-0000DB000000}"/>
    <cellStyle name="Calculation 2 4 3 2 3" xfId="1014" xr:uid="{00000000-0005-0000-0000-0000DC000000}"/>
    <cellStyle name="Calculation 2 4 3 2 4" xfId="1165" xr:uid="{00000000-0005-0000-0000-0000DD000000}"/>
    <cellStyle name="Calculation 2 4 3 2 5" xfId="1320" xr:uid="{00000000-0005-0000-0000-0000DE000000}"/>
    <cellStyle name="Calculation 2 4 3 2 6" xfId="1460" xr:uid="{00000000-0005-0000-0000-0000DF000000}"/>
    <cellStyle name="Calculation 2 4 3 2 7" xfId="1583" xr:uid="{00000000-0005-0000-0000-0000E0000000}"/>
    <cellStyle name="Calculation 2 4 3 2 8" xfId="1689" xr:uid="{00000000-0005-0000-0000-0000E1000000}"/>
    <cellStyle name="Calculation 2 4 3 2 9" xfId="1779" xr:uid="{00000000-0005-0000-0000-0000E2000000}"/>
    <cellStyle name="Calculation 2 4 3 3" xfId="576" xr:uid="{00000000-0005-0000-0000-0000E3000000}"/>
    <cellStyle name="Calculation 2 4 3 4" xfId="871" xr:uid="{00000000-0005-0000-0000-0000E4000000}"/>
    <cellStyle name="Calculation 2 4 3 5" xfId="441" xr:uid="{00000000-0005-0000-0000-0000E5000000}"/>
    <cellStyle name="Calculation 2 4 3 6" xfId="395" xr:uid="{00000000-0005-0000-0000-0000E6000000}"/>
    <cellStyle name="Calculation 2 4 3 7" xfId="863" xr:uid="{00000000-0005-0000-0000-0000E7000000}"/>
    <cellStyle name="Calculation 2 4 3 8" xfId="1578" xr:uid="{00000000-0005-0000-0000-0000E8000000}"/>
    <cellStyle name="Calculation 2 4 3 9" xfId="823" xr:uid="{00000000-0005-0000-0000-0000E9000000}"/>
    <cellStyle name="Calculation 2 4 4" xfId="265" xr:uid="{00000000-0005-0000-0000-0000EA000000}"/>
    <cellStyle name="Calculation 2 4 4 2" xfId="650" xr:uid="{00000000-0005-0000-0000-0000EB000000}"/>
    <cellStyle name="Calculation 2 4 4 3" xfId="943" xr:uid="{00000000-0005-0000-0000-0000EC000000}"/>
    <cellStyle name="Calculation 2 4 4 4" xfId="1096" xr:uid="{00000000-0005-0000-0000-0000ED000000}"/>
    <cellStyle name="Calculation 2 4 4 5" xfId="1250" xr:uid="{00000000-0005-0000-0000-0000EE000000}"/>
    <cellStyle name="Calculation 2 4 4 6" xfId="1393" xr:uid="{00000000-0005-0000-0000-0000EF000000}"/>
    <cellStyle name="Calculation 2 4 4 7" xfId="1141" xr:uid="{00000000-0005-0000-0000-0000F0000000}"/>
    <cellStyle name="Calculation 2 4 4 8" xfId="1639" xr:uid="{00000000-0005-0000-0000-0000F1000000}"/>
    <cellStyle name="Calculation 2 4 4 9" xfId="1739" xr:uid="{00000000-0005-0000-0000-0000F2000000}"/>
    <cellStyle name="Calculation 2 4 5" xfId="500" xr:uid="{00000000-0005-0000-0000-0000F3000000}"/>
    <cellStyle name="Calculation 2 4 6" xfId="796" xr:uid="{00000000-0005-0000-0000-0000F4000000}"/>
    <cellStyle name="Calculation 2 4 7" xfId="414" xr:uid="{00000000-0005-0000-0000-0000F5000000}"/>
    <cellStyle name="Calculation 2 4 8" xfId="399" xr:uid="{00000000-0005-0000-0000-0000F6000000}"/>
    <cellStyle name="Calculation 2 4 9" xfId="840" xr:uid="{00000000-0005-0000-0000-0000F7000000}"/>
    <cellStyle name="Calculation 2 5" xfId="129" xr:uid="{00000000-0005-0000-0000-0000F8000000}"/>
    <cellStyle name="Calculation 2 5 10" xfId="1587" xr:uid="{00000000-0005-0000-0000-0000F9000000}"/>
    <cellStyle name="Calculation 2 5 11" xfId="1632" xr:uid="{00000000-0005-0000-0000-0000FA000000}"/>
    <cellStyle name="Calculation 2 5 2" xfId="203" xr:uid="{00000000-0005-0000-0000-0000FB000000}"/>
    <cellStyle name="Calculation 2 5 2 10" xfId="1595" xr:uid="{00000000-0005-0000-0000-0000FC000000}"/>
    <cellStyle name="Calculation 2 5 2 2" xfId="351" xr:uid="{00000000-0005-0000-0000-0000FD000000}"/>
    <cellStyle name="Calculation 2 5 2 2 2" xfId="736" xr:uid="{00000000-0005-0000-0000-0000FE000000}"/>
    <cellStyle name="Calculation 2 5 2 2 3" xfId="1024" xr:uid="{00000000-0005-0000-0000-0000FF000000}"/>
    <cellStyle name="Calculation 2 5 2 2 4" xfId="1176" xr:uid="{00000000-0005-0000-0000-000000010000}"/>
    <cellStyle name="Calculation 2 5 2 2 5" xfId="1329" xr:uid="{00000000-0005-0000-0000-000001010000}"/>
    <cellStyle name="Calculation 2 5 2 2 6" xfId="1470" xr:uid="{00000000-0005-0000-0000-000002010000}"/>
    <cellStyle name="Calculation 2 5 2 2 7" xfId="1167" xr:uid="{00000000-0005-0000-0000-000003010000}"/>
    <cellStyle name="Calculation 2 5 2 2 8" xfId="1696" xr:uid="{00000000-0005-0000-0000-000004010000}"/>
    <cellStyle name="Calculation 2 5 2 2 9" xfId="1784" xr:uid="{00000000-0005-0000-0000-000005010000}"/>
    <cellStyle name="Calculation 2 5 2 3" xfId="588" xr:uid="{00000000-0005-0000-0000-000006010000}"/>
    <cellStyle name="Calculation 2 5 2 4" xfId="883" xr:uid="{00000000-0005-0000-0000-000007010000}"/>
    <cellStyle name="Calculation 2 5 2 5" xfId="452" xr:uid="{00000000-0005-0000-0000-000008010000}"/>
    <cellStyle name="Calculation 2 5 2 6" xfId="392" xr:uid="{00000000-0005-0000-0000-000009010000}"/>
    <cellStyle name="Calculation 2 5 2 7" xfId="900" xr:uid="{00000000-0005-0000-0000-00000A010000}"/>
    <cellStyle name="Calculation 2 5 2 8" xfId="1360" xr:uid="{00000000-0005-0000-0000-00000B010000}"/>
    <cellStyle name="Calculation 2 5 2 9" xfId="1173" xr:uid="{00000000-0005-0000-0000-00000C010000}"/>
    <cellStyle name="Calculation 2 5 3" xfId="277" xr:uid="{00000000-0005-0000-0000-00000D010000}"/>
    <cellStyle name="Calculation 2 5 3 2" xfId="662" xr:uid="{00000000-0005-0000-0000-00000E010000}"/>
    <cellStyle name="Calculation 2 5 3 3" xfId="954" xr:uid="{00000000-0005-0000-0000-00000F010000}"/>
    <cellStyle name="Calculation 2 5 3 4" xfId="1107" xr:uid="{00000000-0005-0000-0000-000010010000}"/>
    <cellStyle name="Calculation 2 5 3 5" xfId="1262" xr:uid="{00000000-0005-0000-0000-000011010000}"/>
    <cellStyle name="Calculation 2 5 3 6" xfId="1404" xr:uid="{00000000-0005-0000-0000-000012010000}"/>
    <cellStyle name="Calculation 2 5 3 7" xfId="1514" xr:uid="{00000000-0005-0000-0000-000013010000}"/>
    <cellStyle name="Calculation 2 5 3 8" xfId="1646" xr:uid="{00000000-0005-0000-0000-000014010000}"/>
    <cellStyle name="Calculation 2 5 3 9" xfId="1744" xr:uid="{00000000-0005-0000-0000-000015010000}"/>
    <cellStyle name="Calculation 2 5 4" xfId="514" xr:uid="{00000000-0005-0000-0000-000016010000}"/>
    <cellStyle name="Calculation 2 5 5" xfId="810" xr:uid="{00000000-0005-0000-0000-000017010000}"/>
    <cellStyle name="Calculation 2 5 6" xfId="798" xr:uid="{00000000-0005-0000-0000-000018010000}"/>
    <cellStyle name="Calculation 2 5 7" xfId="992" xr:uid="{00000000-0005-0000-0000-000019010000}"/>
    <cellStyle name="Calculation 2 5 8" xfId="1144" xr:uid="{00000000-0005-0000-0000-00001A010000}"/>
    <cellStyle name="Calculation 2 5 9" xfId="1468" xr:uid="{00000000-0005-0000-0000-00001B010000}"/>
    <cellStyle name="Calculation 2 6" xfId="166" xr:uid="{00000000-0005-0000-0000-00001C010000}"/>
    <cellStyle name="Calculation 2 6 10" xfId="1443" xr:uid="{00000000-0005-0000-0000-00001D010000}"/>
    <cellStyle name="Calculation 2 6 2" xfId="314" xr:uid="{00000000-0005-0000-0000-00001E010000}"/>
    <cellStyle name="Calculation 2 6 2 2" xfId="699" xr:uid="{00000000-0005-0000-0000-00001F010000}"/>
    <cellStyle name="Calculation 2 6 2 3" xfId="990" xr:uid="{00000000-0005-0000-0000-000020010000}"/>
    <cellStyle name="Calculation 2 6 2 4" xfId="1142" xr:uid="{00000000-0005-0000-0000-000021010000}"/>
    <cellStyle name="Calculation 2 6 2 5" xfId="1298" xr:uid="{00000000-0005-0000-0000-000022010000}"/>
    <cellStyle name="Calculation 2 6 2 6" xfId="1436" xr:uid="{00000000-0005-0000-0000-000023010000}"/>
    <cellStyle name="Calculation 2 6 2 7" xfId="1410" xr:uid="{00000000-0005-0000-0000-000024010000}"/>
    <cellStyle name="Calculation 2 6 2 8" xfId="1671" xr:uid="{00000000-0005-0000-0000-000025010000}"/>
    <cellStyle name="Calculation 2 6 2 9" xfId="1764" xr:uid="{00000000-0005-0000-0000-000026010000}"/>
    <cellStyle name="Calculation 2 6 3" xfId="551" xr:uid="{00000000-0005-0000-0000-000027010000}"/>
    <cellStyle name="Calculation 2 6 4" xfId="846" xr:uid="{00000000-0005-0000-0000-000028010000}"/>
    <cellStyle name="Calculation 2 6 5" xfId="918" xr:uid="{00000000-0005-0000-0000-000029010000}"/>
    <cellStyle name="Calculation 2 6 6" xfId="1071" xr:uid="{00000000-0005-0000-0000-00002A010000}"/>
    <cellStyle name="Calculation 2 6 7" xfId="1224" xr:uid="{00000000-0005-0000-0000-00002B010000}"/>
    <cellStyle name="Calculation 2 6 8" xfId="1522" xr:uid="{00000000-0005-0000-0000-00002C010000}"/>
    <cellStyle name="Calculation 2 6 9" xfId="1249" xr:uid="{00000000-0005-0000-0000-00002D010000}"/>
    <cellStyle name="Calculation 2 7" xfId="240" xr:uid="{00000000-0005-0000-0000-00002E010000}"/>
    <cellStyle name="Calculation 2 7 2" xfId="625" xr:uid="{00000000-0005-0000-0000-00002F010000}"/>
    <cellStyle name="Calculation 2 7 3" xfId="919" xr:uid="{00000000-0005-0000-0000-000030010000}"/>
    <cellStyle name="Calculation 2 7 4" xfId="1072" xr:uid="{00000000-0005-0000-0000-000031010000}"/>
    <cellStyle name="Calculation 2 7 5" xfId="1225" xr:uid="{00000000-0005-0000-0000-000032010000}"/>
    <cellStyle name="Calculation 2 7 6" xfId="1372" xr:uid="{00000000-0005-0000-0000-000033010000}"/>
    <cellStyle name="Calculation 2 7 7" xfId="1557" xr:uid="{00000000-0005-0000-0000-000034010000}"/>
    <cellStyle name="Calculation 2 7 8" xfId="1622" xr:uid="{00000000-0005-0000-0000-000035010000}"/>
    <cellStyle name="Calculation 2 7 9" xfId="1724" xr:uid="{00000000-0005-0000-0000-000036010000}"/>
    <cellStyle name="Calculation 2 8" xfId="416" xr:uid="{00000000-0005-0000-0000-000037010000}"/>
    <cellStyle name="Calculation 2 9" xfId="451" xr:uid="{00000000-0005-0000-0000-000038010000}"/>
    <cellStyle name="Check Cell 2" xfId="29" xr:uid="{00000000-0005-0000-0000-000039010000}"/>
    <cellStyle name="Comma [0]" xfId="1" builtinId="6"/>
    <cellStyle name="Comma [0] 2" xfId="30" xr:uid="{00000000-0005-0000-0000-00003B010000}"/>
    <cellStyle name="Comma [0] 3" xfId="31" xr:uid="{00000000-0005-0000-0000-00003C010000}"/>
    <cellStyle name="Comma 10" xfId="32" xr:uid="{00000000-0005-0000-0000-00003D010000}"/>
    <cellStyle name="Comma 11" xfId="33" xr:uid="{00000000-0005-0000-0000-00003E010000}"/>
    <cellStyle name="Comma 2" xfId="34" xr:uid="{00000000-0005-0000-0000-00003F010000}"/>
    <cellStyle name="Comma 2 3" xfId="35" xr:uid="{00000000-0005-0000-0000-000040010000}"/>
    <cellStyle name="Comma 3" xfId="36" xr:uid="{00000000-0005-0000-0000-000041010000}"/>
    <cellStyle name="Comma 4" xfId="37" xr:uid="{00000000-0005-0000-0000-000042010000}"/>
    <cellStyle name="Comma 5" xfId="38" xr:uid="{00000000-0005-0000-0000-000043010000}"/>
    <cellStyle name="Comma 6" xfId="39" xr:uid="{00000000-0005-0000-0000-000044010000}"/>
    <cellStyle name="Comma 7" xfId="40" xr:uid="{00000000-0005-0000-0000-000045010000}"/>
    <cellStyle name="Comma 8" xfId="41" xr:uid="{00000000-0005-0000-0000-000046010000}"/>
    <cellStyle name="Comma 9" xfId="42" xr:uid="{00000000-0005-0000-0000-000047010000}"/>
    <cellStyle name="Explanatory Text 2" xfId="43" xr:uid="{00000000-0005-0000-0000-000048010000}"/>
    <cellStyle name="Good 2" xfId="44" xr:uid="{00000000-0005-0000-0000-000049010000}"/>
    <cellStyle name="Heading 1 2" xfId="45" xr:uid="{00000000-0005-0000-0000-00004A010000}"/>
    <cellStyle name="Heading 2 2" xfId="46" xr:uid="{00000000-0005-0000-0000-00004B010000}"/>
    <cellStyle name="Heading 3 2" xfId="47" xr:uid="{00000000-0005-0000-0000-00004C010000}"/>
    <cellStyle name="Heading 4 2" xfId="48" xr:uid="{00000000-0005-0000-0000-00004D010000}"/>
    <cellStyle name="Hyperlink" xfId="92" builtinId="8"/>
    <cellStyle name="Input 2" xfId="49" xr:uid="{00000000-0005-0000-0000-00004F010000}"/>
    <cellStyle name="Input 2 10" xfId="1020" xr:uid="{00000000-0005-0000-0000-000050010000}"/>
    <cellStyle name="Input 2 11" xfId="1171" xr:uid="{00000000-0005-0000-0000-000051010000}"/>
    <cellStyle name="Input 2 12" xfId="1326" xr:uid="{00000000-0005-0000-0000-000052010000}"/>
    <cellStyle name="Input 2 13" xfId="1588" xr:uid="{00000000-0005-0000-0000-000053010000}"/>
    <cellStyle name="Input 2 14" xfId="1521" xr:uid="{00000000-0005-0000-0000-000054010000}"/>
    <cellStyle name="Input 2 15" xfId="1582" xr:uid="{00000000-0005-0000-0000-000055010000}"/>
    <cellStyle name="Input 2 2" xfId="96" xr:uid="{00000000-0005-0000-0000-000056010000}"/>
    <cellStyle name="Input 2 2 10" xfId="1335" xr:uid="{00000000-0005-0000-0000-000057010000}"/>
    <cellStyle name="Input 2 2 11" xfId="1517" xr:uid="{00000000-0005-0000-0000-000058010000}"/>
    <cellStyle name="Input 2 2 12" xfId="421" xr:uid="{00000000-0005-0000-0000-000059010000}"/>
    <cellStyle name="Input 2 2 2" xfId="141" xr:uid="{00000000-0005-0000-0000-00005A010000}"/>
    <cellStyle name="Input 2 2 2 10" xfId="1500" xr:uid="{00000000-0005-0000-0000-00005B010000}"/>
    <cellStyle name="Input 2 2 2 11" xfId="1694" xr:uid="{00000000-0005-0000-0000-00005C010000}"/>
    <cellStyle name="Input 2 2 2 2" xfId="215" xr:uid="{00000000-0005-0000-0000-00005D010000}"/>
    <cellStyle name="Input 2 2 2 2 10" xfId="1535" xr:uid="{00000000-0005-0000-0000-00005E010000}"/>
    <cellStyle name="Input 2 2 2 2 2" xfId="363" xr:uid="{00000000-0005-0000-0000-00005F010000}"/>
    <cellStyle name="Input 2 2 2 2 2 2" xfId="748" xr:uid="{00000000-0005-0000-0000-000060010000}"/>
    <cellStyle name="Input 2 2 2 2 2 3" xfId="1036" xr:uid="{00000000-0005-0000-0000-000061010000}"/>
    <cellStyle name="Input 2 2 2 2 2 4" xfId="1188" xr:uid="{00000000-0005-0000-0000-000062010000}"/>
    <cellStyle name="Input 2 2 2 2 2 5" xfId="1340" xr:uid="{00000000-0005-0000-0000-000063010000}"/>
    <cellStyle name="Input 2 2 2 2 2 6" xfId="1481" xr:uid="{00000000-0005-0000-0000-000064010000}"/>
    <cellStyle name="Input 2 2 2 2 2 7" xfId="1021" xr:uid="{00000000-0005-0000-0000-000065010000}"/>
    <cellStyle name="Input 2 2 2 2 2 8" xfId="1705" xr:uid="{00000000-0005-0000-0000-000066010000}"/>
    <cellStyle name="Input 2 2 2 2 2 9" xfId="1792" xr:uid="{00000000-0005-0000-0000-000067010000}"/>
    <cellStyle name="Input 2 2 2 2 3" xfId="600" xr:uid="{00000000-0005-0000-0000-000068010000}"/>
    <cellStyle name="Input 2 2 2 2 4" xfId="895" xr:uid="{00000000-0005-0000-0000-000069010000}"/>
    <cellStyle name="Input 2 2 2 2 5" xfId="495" xr:uid="{00000000-0005-0000-0000-00006A010000}"/>
    <cellStyle name="Input 2 2 2 2 6" xfId="843" xr:uid="{00000000-0005-0000-0000-00006B010000}"/>
    <cellStyle name="Input 2 2 2 2 7" xfId="882" xr:uid="{00000000-0005-0000-0000-00006C010000}"/>
    <cellStyle name="Input 2 2 2 2 8" xfId="1593" xr:uid="{00000000-0005-0000-0000-00006D010000}"/>
    <cellStyle name="Input 2 2 2 2 9" xfId="1041" xr:uid="{00000000-0005-0000-0000-00006E010000}"/>
    <cellStyle name="Input 2 2 2 3" xfId="289" xr:uid="{00000000-0005-0000-0000-00006F010000}"/>
    <cellStyle name="Input 2 2 2 3 2" xfId="674" xr:uid="{00000000-0005-0000-0000-000070010000}"/>
    <cellStyle name="Input 2 2 2 3 3" xfId="966" xr:uid="{00000000-0005-0000-0000-000071010000}"/>
    <cellStyle name="Input 2 2 2 3 4" xfId="1119" xr:uid="{00000000-0005-0000-0000-000072010000}"/>
    <cellStyle name="Input 2 2 2 3 5" xfId="1274" xr:uid="{00000000-0005-0000-0000-000073010000}"/>
    <cellStyle name="Input 2 2 2 3 6" xfId="1414" xr:uid="{00000000-0005-0000-0000-000074010000}"/>
    <cellStyle name="Input 2 2 2 3 7" xfId="1505" xr:uid="{00000000-0005-0000-0000-000075010000}"/>
    <cellStyle name="Input 2 2 2 3 8" xfId="1656" xr:uid="{00000000-0005-0000-0000-000076010000}"/>
    <cellStyle name="Input 2 2 2 3 9" xfId="1752" xr:uid="{00000000-0005-0000-0000-000077010000}"/>
    <cellStyle name="Input 2 2 2 4" xfId="526" xr:uid="{00000000-0005-0000-0000-000078010000}"/>
    <cellStyle name="Input 2 2 2 5" xfId="822" xr:uid="{00000000-0005-0000-0000-000079010000}"/>
    <cellStyle name="Input 2 2 2 6" xfId="951" xr:uid="{00000000-0005-0000-0000-00007A010000}"/>
    <cellStyle name="Input 2 2 2 7" xfId="1104" xr:uid="{00000000-0005-0000-0000-00007B010000}"/>
    <cellStyle name="Input 2 2 2 8" xfId="1258" xr:uid="{00000000-0005-0000-0000-00007C010000}"/>
    <cellStyle name="Input 2 2 2 9" xfId="988" xr:uid="{00000000-0005-0000-0000-00007D010000}"/>
    <cellStyle name="Input 2 2 3" xfId="178" xr:uid="{00000000-0005-0000-0000-00007E010000}"/>
    <cellStyle name="Input 2 2 3 10" xfId="1357" xr:uid="{00000000-0005-0000-0000-00007F010000}"/>
    <cellStyle name="Input 2 2 3 2" xfId="326" xr:uid="{00000000-0005-0000-0000-000080010000}"/>
    <cellStyle name="Input 2 2 3 2 2" xfId="711" xr:uid="{00000000-0005-0000-0000-000081010000}"/>
    <cellStyle name="Input 2 2 3 2 3" xfId="1002" xr:uid="{00000000-0005-0000-0000-000082010000}"/>
    <cellStyle name="Input 2 2 3 2 4" xfId="1153" xr:uid="{00000000-0005-0000-0000-000083010000}"/>
    <cellStyle name="Input 2 2 3 2 5" xfId="1309" xr:uid="{00000000-0005-0000-0000-000084010000}"/>
    <cellStyle name="Input 2 2 3 2 6" xfId="1447" xr:uid="{00000000-0005-0000-0000-000085010000}"/>
    <cellStyle name="Input 2 2 3 2 7" xfId="1459" xr:uid="{00000000-0005-0000-0000-000086010000}"/>
    <cellStyle name="Input 2 2 3 2 8" xfId="1680" xr:uid="{00000000-0005-0000-0000-000087010000}"/>
    <cellStyle name="Input 2 2 3 2 9" xfId="1772" xr:uid="{00000000-0005-0000-0000-000088010000}"/>
    <cellStyle name="Input 2 2 3 3" xfId="563" xr:uid="{00000000-0005-0000-0000-000089010000}"/>
    <cellStyle name="Input 2 2 3 4" xfId="858" xr:uid="{00000000-0005-0000-0000-00008A010000}"/>
    <cellStyle name="Input 2 2 3 5" xfId="478" xr:uid="{00000000-0005-0000-0000-00008B010000}"/>
    <cellStyle name="Input 2 2 3 6" xfId="795" xr:uid="{00000000-0005-0000-0000-00008C010000}"/>
    <cellStyle name="Input 2 2 3 7" xfId="413" xr:uid="{00000000-0005-0000-0000-00008D010000}"/>
    <cellStyle name="Input 2 2 3 8" xfId="1539" xr:uid="{00000000-0005-0000-0000-00008E010000}"/>
    <cellStyle name="Input 2 2 3 9" xfId="1066" xr:uid="{00000000-0005-0000-0000-00008F010000}"/>
    <cellStyle name="Input 2 2 4" xfId="252" xr:uid="{00000000-0005-0000-0000-000090010000}"/>
    <cellStyle name="Input 2 2 4 2" xfId="637" xr:uid="{00000000-0005-0000-0000-000091010000}"/>
    <cellStyle name="Input 2 2 4 3" xfId="931" xr:uid="{00000000-0005-0000-0000-000092010000}"/>
    <cellStyle name="Input 2 2 4 4" xfId="1083" xr:uid="{00000000-0005-0000-0000-000093010000}"/>
    <cellStyle name="Input 2 2 4 5" xfId="1237" xr:uid="{00000000-0005-0000-0000-000094010000}"/>
    <cellStyle name="Input 2 2 4 6" xfId="1383" xr:uid="{00000000-0005-0000-0000-000095010000}"/>
    <cellStyle name="Input 2 2 4 7" xfId="1435" xr:uid="{00000000-0005-0000-0000-000096010000}"/>
    <cellStyle name="Input 2 2 4 8" xfId="1631" xr:uid="{00000000-0005-0000-0000-000097010000}"/>
    <cellStyle name="Input 2 2 4 9" xfId="1732" xr:uid="{00000000-0005-0000-0000-000098010000}"/>
    <cellStyle name="Input 2 2 5" xfId="483" xr:uid="{00000000-0005-0000-0000-000099010000}"/>
    <cellStyle name="Input 2 2 6" xfId="778" xr:uid="{00000000-0005-0000-0000-00009A010000}"/>
    <cellStyle name="Input 2 2 7" xfId="790" xr:uid="{00000000-0005-0000-0000-00009B010000}"/>
    <cellStyle name="Input 2 2 8" xfId="408" xr:uid="{00000000-0005-0000-0000-00009C010000}"/>
    <cellStyle name="Input 2 2 9" xfId="1030" xr:uid="{00000000-0005-0000-0000-00009D010000}"/>
    <cellStyle name="Input 2 3" xfId="93" xr:uid="{00000000-0005-0000-0000-00009E010000}"/>
    <cellStyle name="Input 2 3 10" xfId="1431" xr:uid="{00000000-0005-0000-0000-00009F010000}"/>
    <cellStyle name="Input 2 3 11" xfId="1556" xr:uid="{00000000-0005-0000-0000-0000A0010000}"/>
    <cellStyle name="Input 2 3 12" xfId="1580" xr:uid="{00000000-0005-0000-0000-0000A1010000}"/>
    <cellStyle name="Input 2 3 2" xfId="138" xr:uid="{00000000-0005-0000-0000-0000A2010000}"/>
    <cellStyle name="Input 2 3 2 10" xfId="391" xr:uid="{00000000-0005-0000-0000-0000A3010000}"/>
    <cellStyle name="Input 2 3 2 11" xfId="1523" xr:uid="{00000000-0005-0000-0000-0000A4010000}"/>
    <cellStyle name="Input 2 3 2 2" xfId="212" xr:uid="{00000000-0005-0000-0000-0000A5010000}"/>
    <cellStyle name="Input 2 3 2 2 10" xfId="1193" xr:uid="{00000000-0005-0000-0000-0000A6010000}"/>
    <cellStyle name="Input 2 3 2 2 2" xfId="360" xr:uid="{00000000-0005-0000-0000-0000A7010000}"/>
    <cellStyle name="Input 2 3 2 2 2 2" xfId="745" xr:uid="{00000000-0005-0000-0000-0000A8010000}"/>
    <cellStyle name="Input 2 3 2 2 2 3" xfId="1033" xr:uid="{00000000-0005-0000-0000-0000A9010000}"/>
    <cellStyle name="Input 2 3 2 2 2 4" xfId="1185" xr:uid="{00000000-0005-0000-0000-0000AA010000}"/>
    <cellStyle name="Input 2 3 2 2 2 5" xfId="1337" xr:uid="{00000000-0005-0000-0000-0000AB010000}"/>
    <cellStyle name="Input 2 3 2 2 2 6" xfId="1478" xr:uid="{00000000-0005-0000-0000-0000AC010000}"/>
    <cellStyle name="Input 2 3 2 2 2 7" xfId="1088" xr:uid="{00000000-0005-0000-0000-0000AD010000}"/>
    <cellStyle name="Input 2 3 2 2 2 8" xfId="1702" xr:uid="{00000000-0005-0000-0000-0000AE010000}"/>
    <cellStyle name="Input 2 3 2 2 2 9" xfId="1789" xr:uid="{00000000-0005-0000-0000-0000AF010000}"/>
    <cellStyle name="Input 2 3 2 2 3" xfId="597" xr:uid="{00000000-0005-0000-0000-0000B0010000}"/>
    <cellStyle name="Input 2 3 2 2 4" xfId="892" xr:uid="{00000000-0005-0000-0000-0000B1010000}"/>
    <cellStyle name="Input 2 3 2 2 5" xfId="462" xr:uid="{00000000-0005-0000-0000-0000B2010000}"/>
    <cellStyle name="Input 2 3 2 2 6" xfId="1008" xr:uid="{00000000-0005-0000-0000-0000B3010000}"/>
    <cellStyle name="Input 2 3 2 2 7" xfId="1160" xr:uid="{00000000-0005-0000-0000-0000B4010000}"/>
    <cellStyle name="Input 2 3 2 2 8" xfId="1563" xr:uid="{00000000-0005-0000-0000-0000B5010000}"/>
    <cellStyle name="Input 2 3 2 2 9" xfId="1577" xr:uid="{00000000-0005-0000-0000-0000B6010000}"/>
    <cellStyle name="Input 2 3 2 3" xfId="286" xr:uid="{00000000-0005-0000-0000-0000B7010000}"/>
    <cellStyle name="Input 2 3 2 3 2" xfId="671" xr:uid="{00000000-0005-0000-0000-0000B8010000}"/>
    <cellStyle name="Input 2 3 2 3 3" xfId="963" xr:uid="{00000000-0005-0000-0000-0000B9010000}"/>
    <cellStyle name="Input 2 3 2 3 4" xfId="1116" xr:uid="{00000000-0005-0000-0000-0000BA010000}"/>
    <cellStyle name="Input 2 3 2 3 5" xfId="1271" xr:uid="{00000000-0005-0000-0000-0000BB010000}"/>
    <cellStyle name="Input 2 3 2 3 6" xfId="1411" xr:uid="{00000000-0005-0000-0000-0000BC010000}"/>
    <cellStyle name="Input 2 3 2 3 7" xfId="960" xr:uid="{00000000-0005-0000-0000-0000BD010000}"/>
    <cellStyle name="Input 2 3 2 3 8" xfId="1653" xr:uid="{00000000-0005-0000-0000-0000BE010000}"/>
    <cellStyle name="Input 2 3 2 3 9" xfId="1749" xr:uid="{00000000-0005-0000-0000-0000BF010000}"/>
    <cellStyle name="Input 2 3 2 4" xfId="523" xr:uid="{00000000-0005-0000-0000-0000C0010000}"/>
    <cellStyle name="Input 2 3 2 5" xfId="819" xr:uid="{00000000-0005-0000-0000-0000C1010000}"/>
    <cellStyle name="Input 2 3 2 6" xfId="415" xr:uid="{00000000-0005-0000-0000-0000C2010000}"/>
    <cellStyle name="Input 2 3 2 7" xfId="398" xr:uid="{00000000-0005-0000-0000-0000C3010000}"/>
    <cellStyle name="Input 2 3 2 8" xfId="802" xr:uid="{00000000-0005-0000-0000-0000C4010000}"/>
    <cellStyle name="Input 2 3 2 9" xfId="1079" xr:uid="{00000000-0005-0000-0000-0000C5010000}"/>
    <cellStyle name="Input 2 3 3" xfId="175" xr:uid="{00000000-0005-0000-0000-0000C6010000}"/>
    <cellStyle name="Input 2 3 3 10" xfId="1242" xr:uid="{00000000-0005-0000-0000-0000C7010000}"/>
    <cellStyle name="Input 2 3 3 2" xfId="323" xr:uid="{00000000-0005-0000-0000-0000C8010000}"/>
    <cellStyle name="Input 2 3 3 2 2" xfId="708" xr:uid="{00000000-0005-0000-0000-0000C9010000}"/>
    <cellStyle name="Input 2 3 3 2 3" xfId="999" xr:uid="{00000000-0005-0000-0000-0000CA010000}"/>
    <cellStyle name="Input 2 3 3 2 4" xfId="1150" xr:uid="{00000000-0005-0000-0000-0000CB010000}"/>
    <cellStyle name="Input 2 3 3 2 5" xfId="1306" xr:uid="{00000000-0005-0000-0000-0000CC010000}"/>
    <cellStyle name="Input 2 3 3 2 6" xfId="1444" xr:uid="{00000000-0005-0000-0000-0000CD010000}"/>
    <cellStyle name="Input 2 3 3 2 7" xfId="1492" xr:uid="{00000000-0005-0000-0000-0000CE010000}"/>
    <cellStyle name="Input 2 3 3 2 8" xfId="1677" xr:uid="{00000000-0005-0000-0000-0000CF010000}"/>
    <cellStyle name="Input 2 3 3 2 9" xfId="1769" xr:uid="{00000000-0005-0000-0000-0000D0010000}"/>
    <cellStyle name="Input 2 3 3 3" xfId="560" xr:uid="{00000000-0005-0000-0000-0000D1010000}"/>
    <cellStyle name="Input 2 3 3 4" xfId="855" xr:uid="{00000000-0005-0000-0000-0000D2010000}"/>
    <cellStyle name="Input 2 3 3 5" xfId="427" xr:uid="{00000000-0005-0000-0000-0000D3010000}"/>
    <cellStyle name="Input 2 3 3 6" xfId="841" xr:uid="{00000000-0005-0000-0000-0000D4010000}"/>
    <cellStyle name="Input 2 3 3 7" xfId="953" xr:uid="{00000000-0005-0000-0000-0000D5010000}"/>
    <cellStyle name="Input 2 3 3 8" xfId="1515" xr:uid="{00000000-0005-0000-0000-0000D6010000}"/>
    <cellStyle name="Input 2 3 3 9" xfId="1403" xr:uid="{00000000-0005-0000-0000-0000D7010000}"/>
    <cellStyle name="Input 2 3 4" xfId="249" xr:uid="{00000000-0005-0000-0000-0000D8010000}"/>
    <cellStyle name="Input 2 3 4 2" xfId="634" xr:uid="{00000000-0005-0000-0000-0000D9010000}"/>
    <cellStyle name="Input 2 3 4 3" xfId="928" xr:uid="{00000000-0005-0000-0000-0000DA010000}"/>
    <cellStyle name="Input 2 3 4 4" xfId="1080" xr:uid="{00000000-0005-0000-0000-0000DB010000}"/>
    <cellStyle name="Input 2 3 4 5" xfId="1234" xr:uid="{00000000-0005-0000-0000-0000DC010000}"/>
    <cellStyle name="Input 2 3 4 6" xfId="1380" xr:uid="{00000000-0005-0000-0000-0000DD010000}"/>
    <cellStyle name="Input 2 3 4 7" xfId="1559" xr:uid="{00000000-0005-0000-0000-0000DE010000}"/>
    <cellStyle name="Input 2 3 4 8" xfId="1628" xr:uid="{00000000-0005-0000-0000-0000DF010000}"/>
    <cellStyle name="Input 2 3 4 9" xfId="1729" xr:uid="{00000000-0005-0000-0000-0000E0010000}"/>
    <cellStyle name="Input 2 3 5" xfId="480" xr:uid="{00000000-0005-0000-0000-0000E1010000}"/>
    <cellStyle name="Input 2 3 6" xfId="775" xr:uid="{00000000-0005-0000-0000-0000E2010000}"/>
    <cellStyle name="Input 2 3 7" xfId="402" xr:uid="{00000000-0005-0000-0000-0000E3010000}"/>
    <cellStyle name="Input 2 3 8" xfId="984" xr:uid="{00000000-0005-0000-0000-0000E4010000}"/>
    <cellStyle name="Input 2 3 9" xfId="1137" xr:uid="{00000000-0005-0000-0000-0000E5010000}"/>
    <cellStyle name="Input 2 4" xfId="115" xr:uid="{00000000-0005-0000-0000-0000E6010000}"/>
    <cellStyle name="Input 2 4 10" xfId="1532" xr:uid="{00000000-0005-0000-0000-0000E7010000}"/>
    <cellStyle name="Input 2 4 11" xfId="1510" xr:uid="{00000000-0005-0000-0000-0000E8010000}"/>
    <cellStyle name="Input 2 4 12" xfId="1673" xr:uid="{00000000-0005-0000-0000-0000E9010000}"/>
    <cellStyle name="Input 2 4 2" xfId="155" xr:uid="{00000000-0005-0000-0000-0000EA010000}"/>
    <cellStyle name="Input 2 4 2 10" xfId="1589" xr:uid="{00000000-0005-0000-0000-0000EB010000}"/>
    <cellStyle name="Input 2 4 2 11" xfId="1476" xr:uid="{00000000-0005-0000-0000-0000EC010000}"/>
    <cellStyle name="Input 2 4 2 2" xfId="229" xr:uid="{00000000-0005-0000-0000-0000ED010000}"/>
    <cellStyle name="Input 2 4 2 2 10" xfId="1720" xr:uid="{00000000-0005-0000-0000-0000EE010000}"/>
    <cellStyle name="Input 2 4 2 2 2" xfId="377" xr:uid="{00000000-0005-0000-0000-0000EF010000}"/>
    <cellStyle name="Input 2 4 2 2 2 2" xfId="762" xr:uid="{00000000-0005-0000-0000-0000F0010000}"/>
    <cellStyle name="Input 2 4 2 2 2 3" xfId="1049" xr:uid="{00000000-0005-0000-0000-0000F1010000}"/>
    <cellStyle name="Input 2 4 2 2 2 4" xfId="1202" xr:uid="{00000000-0005-0000-0000-0000F2010000}"/>
    <cellStyle name="Input 2 4 2 2 2 5" xfId="1353" xr:uid="{00000000-0005-0000-0000-0000F3010000}"/>
    <cellStyle name="Input 2 4 2 2 2 6" xfId="1494" xr:uid="{00000000-0005-0000-0000-0000F4010000}"/>
    <cellStyle name="Input 2 4 2 2 2 7" xfId="1501" xr:uid="{00000000-0005-0000-0000-0000F5010000}"/>
    <cellStyle name="Input 2 4 2 2 2 8" xfId="1714" xr:uid="{00000000-0005-0000-0000-0000F6010000}"/>
    <cellStyle name="Input 2 4 2 2 2 9" xfId="1800" xr:uid="{00000000-0005-0000-0000-0000F7010000}"/>
    <cellStyle name="Input 2 4 2 2 3" xfId="614" xr:uid="{00000000-0005-0000-0000-0000F8010000}"/>
    <cellStyle name="Input 2 4 2 2 4" xfId="909" xr:uid="{00000000-0005-0000-0000-0000F9010000}"/>
    <cellStyle name="Input 2 4 2 2 5" xfId="1061" xr:uid="{00000000-0005-0000-0000-0000FA010000}"/>
    <cellStyle name="Input 2 4 2 2 6" xfId="1214" xr:uid="{00000000-0005-0000-0000-0000FB010000}"/>
    <cellStyle name="Input 2 4 2 2 7" xfId="1364" xr:uid="{00000000-0005-0000-0000-0000FC010000}"/>
    <cellStyle name="Input 2 4 2 2 8" xfId="1546" xr:uid="{00000000-0005-0000-0000-0000FD010000}"/>
    <cellStyle name="Input 2 4 2 2 9" xfId="1616" xr:uid="{00000000-0005-0000-0000-0000FE010000}"/>
    <cellStyle name="Input 2 4 2 3" xfId="303" xr:uid="{00000000-0005-0000-0000-0000FF010000}"/>
    <cellStyle name="Input 2 4 2 3 2" xfId="688" xr:uid="{00000000-0005-0000-0000-000000020000}"/>
    <cellStyle name="Input 2 4 2 3 3" xfId="979" xr:uid="{00000000-0005-0000-0000-000001020000}"/>
    <cellStyle name="Input 2 4 2 3 4" xfId="1132" xr:uid="{00000000-0005-0000-0000-000002020000}"/>
    <cellStyle name="Input 2 4 2 3 5" xfId="1287" xr:uid="{00000000-0005-0000-0000-000003020000}"/>
    <cellStyle name="Input 2 4 2 3 6" xfId="1426" xr:uid="{00000000-0005-0000-0000-000004020000}"/>
    <cellStyle name="Input 2 4 2 3 7" xfId="1545" xr:uid="{00000000-0005-0000-0000-000005020000}"/>
    <cellStyle name="Input 2 4 2 3 8" xfId="1666" xr:uid="{00000000-0005-0000-0000-000006020000}"/>
    <cellStyle name="Input 2 4 2 3 9" xfId="1760" xr:uid="{00000000-0005-0000-0000-000007020000}"/>
    <cellStyle name="Input 2 4 2 4" xfId="540" xr:uid="{00000000-0005-0000-0000-000008020000}"/>
    <cellStyle name="Input 2 4 2 5" xfId="835" xr:uid="{00000000-0005-0000-0000-000009020000}"/>
    <cellStyle name="Input 2 4 2 6" xfId="917" xr:uid="{00000000-0005-0000-0000-00000A020000}"/>
    <cellStyle name="Input 2 4 2 7" xfId="1070" xr:uid="{00000000-0005-0000-0000-00000B020000}"/>
    <cellStyle name="Input 2 4 2 8" xfId="1223" xr:uid="{00000000-0005-0000-0000-00000C020000}"/>
    <cellStyle name="Input 2 4 2 9" xfId="1508" xr:uid="{00000000-0005-0000-0000-00000D020000}"/>
    <cellStyle name="Input 2 4 3" xfId="192" xr:uid="{00000000-0005-0000-0000-00000E020000}"/>
    <cellStyle name="Input 2 4 3 10" xfId="1554" xr:uid="{00000000-0005-0000-0000-00000F020000}"/>
    <cellStyle name="Input 2 4 3 2" xfId="340" xr:uid="{00000000-0005-0000-0000-000010020000}"/>
    <cellStyle name="Input 2 4 3 2 2" xfId="725" xr:uid="{00000000-0005-0000-0000-000011020000}"/>
    <cellStyle name="Input 2 4 3 2 3" xfId="1015" xr:uid="{00000000-0005-0000-0000-000012020000}"/>
    <cellStyle name="Input 2 4 3 2 4" xfId="1166" xr:uid="{00000000-0005-0000-0000-000013020000}"/>
    <cellStyle name="Input 2 4 3 2 5" xfId="1321" xr:uid="{00000000-0005-0000-0000-000014020000}"/>
    <cellStyle name="Input 2 4 3 2 6" xfId="1461" xr:uid="{00000000-0005-0000-0000-000015020000}"/>
    <cellStyle name="Input 2 4 3 2 7" xfId="434" xr:uid="{00000000-0005-0000-0000-000016020000}"/>
    <cellStyle name="Input 2 4 3 2 8" xfId="1690" xr:uid="{00000000-0005-0000-0000-000017020000}"/>
    <cellStyle name="Input 2 4 3 2 9" xfId="1780" xr:uid="{00000000-0005-0000-0000-000018020000}"/>
    <cellStyle name="Input 2 4 3 3" xfId="577" xr:uid="{00000000-0005-0000-0000-000019020000}"/>
    <cellStyle name="Input 2 4 3 4" xfId="872" xr:uid="{00000000-0005-0000-0000-00001A020000}"/>
    <cellStyle name="Input 2 4 3 5" xfId="442" xr:uid="{00000000-0005-0000-0000-00001B020000}"/>
    <cellStyle name="Input 2 4 3 6" xfId="792" xr:uid="{00000000-0005-0000-0000-00001C020000}"/>
    <cellStyle name="Input 2 4 3 7" xfId="409" xr:uid="{00000000-0005-0000-0000-00001D020000}"/>
    <cellStyle name="Input 2 4 3 8" xfId="1269" xr:uid="{00000000-0005-0000-0000-00001E020000}"/>
    <cellStyle name="Input 2 4 3 9" xfId="1268" xr:uid="{00000000-0005-0000-0000-00001F020000}"/>
    <cellStyle name="Input 2 4 4" xfId="266" xr:uid="{00000000-0005-0000-0000-000020020000}"/>
    <cellStyle name="Input 2 4 4 2" xfId="651" xr:uid="{00000000-0005-0000-0000-000021020000}"/>
    <cellStyle name="Input 2 4 4 3" xfId="944" xr:uid="{00000000-0005-0000-0000-000022020000}"/>
    <cellStyle name="Input 2 4 4 4" xfId="1097" xr:uid="{00000000-0005-0000-0000-000023020000}"/>
    <cellStyle name="Input 2 4 4 5" xfId="1251" xr:uid="{00000000-0005-0000-0000-000024020000}"/>
    <cellStyle name="Input 2 4 4 6" xfId="1394" xr:uid="{00000000-0005-0000-0000-000025020000}"/>
    <cellStyle name="Input 2 4 4 7" xfId="1419" xr:uid="{00000000-0005-0000-0000-000026020000}"/>
    <cellStyle name="Input 2 4 4 8" xfId="1640" xr:uid="{00000000-0005-0000-0000-000027020000}"/>
    <cellStyle name="Input 2 4 4 9" xfId="1740" xr:uid="{00000000-0005-0000-0000-000028020000}"/>
    <cellStyle name="Input 2 4 5" xfId="501" xr:uid="{00000000-0005-0000-0000-000029020000}"/>
    <cellStyle name="Input 2 4 6" xfId="797" xr:uid="{00000000-0005-0000-0000-00002A020000}"/>
    <cellStyle name="Input 2 4 7" xfId="921" xr:uid="{00000000-0005-0000-0000-00002B020000}"/>
    <cellStyle name="Input 2 4 8" xfId="1074" xr:uid="{00000000-0005-0000-0000-00002C020000}"/>
    <cellStyle name="Input 2 4 9" xfId="1227" xr:uid="{00000000-0005-0000-0000-00002D020000}"/>
    <cellStyle name="Input 2 5" xfId="130" xr:uid="{00000000-0005-0000-0000-00002E020000}"/>
    <cellStyle name="Input 2 5 10" xfId="1175" xr:uid="{00000000-0005-0000-0000-00002F020000}"/>
    <cellStyle name="Input 2 5 11" xfId="1681" xr:uid="{00000000-0005-0000-0000-000030020000}"/>
    <cellStyle name="Input 2 5 2" xfId="204" xr:uid="{00000000-0005-0000-0000-000031020000}"/>
    <cellStyle name="Input 2 5 2 10" xfId="1369" xr:uid="{00000000-0005-0000-0000-000032020000}"/>
    <cellStyle name="Input 2 5 2 2" xfId="352" xr:uid="{00000000-0005-0000-0000-000033020000}"/>
    <cellStyle name="Input 2 5 2 2 2" xfId="737" xr:uid="{00000000-0005-0000-0000-000034020000}"/>
    <cellStyle name="Input 2 5 2 2 3" xfId="1025" xr:uid="{00000000-0005-0000-0000-000035020000}"/>
    <cellStyle name="Input 2 5 2 2 4" xfId="1177" xr:uid="{00000000-0005-0000-0000-000036020000}"/>
    <cellStyle name="Input 2 5 2 2 5" xfId="1330" xr:uid="{00000000-0005-0000-0000-000037020000}"/>
    <cellStyle name="Input 2 5 2 2 6" xfId="1471" xr:uid="{00000000-0005-0000-0000-000038020000}"/>
    <cellStyle name="Input 2 5 2 2 7" xfId="1158" xr:uid="{00000000-0005-0000-0000-000039020000}"/>
    <cellStyle name="Input 2 5 2 2 8" xfId="1697" xr:uid="{00000000-0005-0000-0000-00003A020000}"/>
    <cellStyle name="Input 2 5 2 2 9" xfId="1785" xr:uid="{00000000-0005-0000-0000-00003B020000}"/>
    <cellStyle name="Input 2 5 2 3" xfId="589" xr:uid="{00000000-0005-0000-0000-00003C020000}"/>
    <cellStyle name="Input 2 5 2 4" xfId="884" xr:uid="{00000000-0005-0000-0000-00003D020000}"/>
    <cellStyle name="Input 2 5 2 5" xfId="453" xr:uid="{00000000-0005-0000-0000-00003E020000}"/>
    <cellStyle name="Input 2 5 2 6" xfId="794" xr:uid="{00000000-0005-0000-0000-00003F020000}"/>
    <cellStyle name="Input 2 5 2 7" xfId="412" xr:uid="{00000000-0005-0000-0000-000040020000}"/>
    <cellStyle name="Input 2 5 2 8" xfId="1095" xr:uid="{00000000-0005-0000-0000-000041020000}"/>
    <cellStyle name="Input 2 5 2 9" xfId="1231" xr:uid="{00000000-0005-0000-0000-000042020000}"/>
    <cellStyle name="Input 2 5 3" xfId="278" xr:uid="{00000000-0005-0000-0000-000043020000}"/>
    <cellStyle name="Input 2 5 3 2" xfId="663" xr:uid="{00000000-0005-0000-0000-000044020000}"/>
    <cellStyle name="Input 2 5 3 3" xfId="955" xr:uid="{00000000-0005-0000-0000-000045020000}"/>
    <cellStyle name="Input 2 5 3 4" xfId="1108" xr:uid="{00000000-0005-0000-0000-000046020000}"/>
    <cellStyle name="Input 2 5 3 5" xfId="1263" xr:uid="{00000000-0005-0000-0000-000047020000}"/>
    <cellStyle name="Input 2 5 3 6" xfId="1405" xr:uid="{00000000-0005-0000-0000-000048020000}"/>
    <cellStyle name="Input 2 5 3 7" xfId="1562" xr:uid="{00000000-0005-0000-0000-000049020000}"/>
    <cellStyle name="Input 2 5 3 8" xfId="1647" xr:uid="{00000000-0005-0000-0000-00004A020000}"/>
    <cellStyle name="Input 2 5 3 9" xfId="1745" xr:uid="{00000000-0005-0000-0000-00004B020000}"/>
    <cellStyle name="Input 2 5 4" xfId="515" xr:uid="{00000000-0005-0000-0000-00004C020000}"/>
    <cellStyle name="Input 2 5 5" xfId="811" xr:uid="{00000000-0005-0000-0000-00004D020000}"/>
    <cellStyle name="Input 2 5 6" xfId="932" xr:uid="{00000000-0005-0000-0000-00004E020000}"/>
    <cellStyle name="Input 2 5 7" xfId="1084" xr:uid="{00000000-0005-0000-0000-00004F020000}"/>
    <cellStyle name="Input 2 5 8" xfId="1238" xr:uid="{00000000-0005-0000-0000-000050020000}"/>
    <cellStyle name="Input 2 5 9" xfId="1256" xr:uid="{00000000-0005-0000-0000-000051020000}"/>
    <cellStyle name="Input 2 6" xfId="167" xr:uid="{00000000-0005-0000-0000-000052020000}"/>
    <cellStyle name="Input 2 6 10" xfId="1598" xr:uid="{00000000-0005-0000-0000-000053020000}"/>
    <cellStyle name="Input 2 6 2" xfId="315" xr:uid="{00000000-0005-0000-0000-000054020000}"/>
    <cellStyle name="Input 2 6 2 2" xfId="700" xr:uid="{00000000-0005-0000-0000-000055020000}"/>
    <cellStyle name="Input 2 6 2 3" xfId="991" xr:uid="{00000000-0005-0000-0000-000056020000}"/>
    <cellStyle name="Input 2 6 2 4" xfId="1143" xr:uid="{00000000-0005-0000-0000-000057020000}"/>
    <cellStyle name="Input 2 6 2 5" xfId="1299" xr:uid="{00000000-0005-0000-0000-000058020000}"/>
    <cellStyle name="Input 2 6 2 6" xfId="1437" xr:uid="{00000000-0005-0000-0000-000059020000}"/>
    <cellStyle name="Input 2 6 2 7" xfId="1089" xr:uid="{00000000-0005-0000-0000-00005A020000}"/>
    <cellStyle name="Input 2 6 2 8" xfId="1672" xr:uid="{00000000-0005-0000-0000-00005B020000}"/>
    <cellStyle name="Input 2 6 2 9" xfId="1765" xr:uid="{00000000-0005-0000-0000-00005C020000}"/>
    <cellStyle name="Input 2 6 3" xfId="552" xr:uid="{00000000-0005-0000-0000-00005D020000}"/>
    <cellStyle name="Input 2 6 4" xfId="847" xr:uid="{00000000-0005-0000-0000-00005E020000}"/>
    <cellStyle name="Input 2 6 5" xfId="845" xr:uid="{00000000-0005-0000-0000-00005F020000}"/>
    <cellStyle name="Input 2 6 6" xfId="1059" xr:uid="{00000000-0005-0000-0000-000060020000}"/>
    <cellStyle name="Input 2 6 7" xfId="1212" xr:uid="{00000000-0005-0000-0000-000061020000}"/>
    <cellStyle name="Input 2 6 8" xfId="1573" xr:uid="{00000000-0005-0000-0000-000062020000}"/>
    <cellStyle name="Input 2 6 9" xfId="896" xr:uid="{00000000-0005-0000-0000-000063020000}"/>
    <cellStyle name="Input 2 7" xfId="241" xr:uid="{00000000-0005-0000-0000-000064020000}"/>
    <cellStyle name="Input 2 7 2" xfId="626" xr:uid="{00000000-0005-0000-0000-000065020000}"/>
    <cellStyle name="Input 2 7 3" xfId="920" xr:uid="{00000000-0005-0000-0000-000066020000}"/>
    <cellStyle name="Input 2 7 4" xfId="1073" xr:uid="{00000000-0005-0000-0000-000067020000}"/>
    <cellStyle name="Input 2 7 5" xfId="1226" xr:uid="{00000000-0005-0000-0000-000068020000}"/>
    <cellStyle name="Input 2 7 6" xfId="1373" xr:uid="{00000000-0005-0000-0000-000069020000}"/>
    <cellStyle name="Input 2 7 7" xfId="1611" xr:uid="{00000000-0005-0000-0000-00006A020000}"/>
    <cellStyle name="Input 2 7 8" xfId="1623" xr:uid="{00000000-0005-0000-0000-00006B020000}"/>
    <cellStyle name="Input 2 7 9" xfId="1725" xr:uid="{00000000-0005-0000-0000-00006C020000}"/>
    <cellStyle name="Input 2 8" xfId="437" xr:uid="{00000000-0005-0000-0000-00006D020000}"/>
    <cellStyle name="Input 2 9" xfId="432" xr:uid="{00000000-0005-0000-0000-00006E020000}"/>
    <cellStyle name="Linked Cell 2" xfId="50" xr:uid="{00000000-0005-0000-0000-00006F020000}"/>
    <cellStyle name="Neutral 2" xfId="51" xr:uid="{00000000-0005-0000-0000-000070020000}"/>
    <cellStyle name="Normal" xfId="0" builtinId="0"/>
    <cellStyle name="Normal - Style1" xfId="52" xr:uid="{00000000-0005-0000-0000-000072020000}"/>
    <cellStyle name="Normal 10" xfId="53" xr:uid="{00000000-0005-0000-0000-000073020000}"/>
    <cellStyle name="Normal 11" xfId="54" xr:uid="{00000000-0005-0000-0000-000074020000}"/>
    <cellStyle name="Normal 12" xfId="55" xr:uid="{00000000-0005-0000-0000-000075020000}"/>
    <cellStyle name="Normal 13" xfId="56" xr:uid="{00000000-0005-0000-0000-000076020000}"/>
    <cellStyle name="Normal 14" xfId="57" xr:uid="{00000000-0005-0000-0000-000077020000}"/>
    <cellStyle name="Normal 2" xfId="58" xr:uid="{00000000-0005-0000-0000-000078020000}"/>
    <cellStyle name="Normal 2 10" xfId="59" xr:uid="{00000000-0005-0000-0000-000079020000}"/>
    <cellStyle name="Normal 2 2" xfId="128" xr:uid="{00000000-0005-0000-0000-00007A020000}"/>
    <cellStyle name="Normal 2 3" xfId="127" xr:uid="{00000000-0005-0000-0000-00007B020000}"/>
    <cellStyle name="Normal 2 3 2" xfId="165" xr:uid="{00000000-0005-0000-0000-00007C020000}"/>
    <cellStyle name="Normal 2 3 2 2" xfId="239" xr:uid="{00000000-0005-0000-0000-00007D020000}"/>
    <cellStyle name="Normal 2 3 2 2 2" xfId="387" xr:uid="{00000000-0005-0000-0000-00007E020000}"/>
    <cellStyle name="Normal 2 3 2 2 2 2" xfId="772" xr:uid="{00000000-0005-0000-0000-00007F020000}"/>
    <cellStyle name="Normal 2 3 2 2 3" xfId="624" xr:uid="{00000000-0005-0000-0000-000080020000}"/>
    <cellStyle name="Normal 2 3 2 3" xfId="313" xr:uid="{00000000-0005-0000-0000-000081020000}"/>
    <cellStyle name="Normal 2 3 2 3 2" xfId="698" xr:uid="{00000000-0005-0000-0000-000082020000}"/>
    <cellStyle name="Normal 2 3 2 4" xfId="550" xr:uid="{00000000-0005-0000-0000-000083020000}"/>
    <cellStyle name="Normal 2 3 3" xfId="202" xr:uid="{00000000-0005-0000-0000-000084020000}"/>
    <cellStyle name="Normal 2 3 3 2" xfId="350" xr:uid="{00000000-0005-0000-0000-000085020000}"/>
    <cellStyle name="Normal 2 3 3 2 2" xfId="735" xr:uid="{00000000-0005-0000-0000-000086020000}"/>
    <cellStyle name="Normal 2 3 3 3" xfId="587" xr:uid="{00000000-0005-0000-0000-000087020000}"/>
    <cellStyle name="Normal 2 3 4" xfId="276" xr:uid="{00000000-0005-0000-0000-000088020000}"/>
    <cellStyle name="Normal 2 3 4 2" xfId="661" xr:uid="{00000000-0005-0000-0000-000089020000}"/>
    <cellStyle name="Normal 2 3 5" xfId="512" xr:uid="{00000000-0005-0000-0000-00008A020000}"/>
    <cellStyle name="Normal 3" xfId="60" xr:uid="{00000000-0005-0000-0000-00008B020000}"/>
    <cellStyle name="Normal 3 2" xfId="126" xr:uid="{00000000-0005-0000-0000-00008C020000}"/>
    <cellStyle name="Normal 3 2 2" xfId="61" xr:uid="{00000000-0005-0000-0000-00008D020000}"/>
    <cellStyle name="Normal 3 2 2 2" xfId="62" xr:uid="{00000000-0005-0000-0000-00008E020000}"/>
    <cellStyle name="Normal 3 2 3" xfId="164" xr:uid="{00000000-0005-0000-0000-00008F020000}"/>
    <cellStyle name="Normal 3 2 3 2" xfId="238" xr:uid="{00000000-0005-0000-0000-000090020000}"/>
    <cellStyle name="Normal 3 2 3 2 2" xfId="386" xr:uid="{00000000-0005-0000-0000-000091020000}"/>
    <cellStyle name="Normal 3 2 3 2 2 2" xfId="771" xr:uid="{00000000-0005-0000-0000-000092020000}"/>
    <cellStyle name="Normal 3 2 3 2 3" xfId="623" xr:uid="{00000000-0005-0000-0000-000093020000}"/>
    <cellStyle name="Normal 3 2 3 3" xfId="312" xr:uid="{00000000-0005-0000-0000-000094020000}"/>
    <cellStyle name="Normal 3 2 3 3 2" xfId="697" xr:uid="{00000000-0005-0000-0000-000095020000}"/>
    <cellStyle name="Normal 3 2 3 4" xfId="549" xr:uid="{00000000-0005-0000-0000-000096020000}"/>
    <cellStyle name="Normal 3 2 4" xfId="201" xr:uid="{00000000-0005-0000-0000-000097020000}"/>
    <cellStyle name="Normal 3 2 4 2" xfId="349" xr:uid="{00000000-0005-0000-0000-000098020000}"/>
    <cellStyle name="Normal 3 2 4 2 2" xfId="734" xr:uid="{00000000-0005-0000-0000-000099020000}"/>
    <cellStyle name="Normal 3 2 4 3" xfId="586" xr:uid="{00000000-0005-0000-0000-00009A020000}"/>
    <cellStyle name="Normal 3 2 5" xfId="275" xr:uid="{00000000-0005-0000-0000-00009B020000}"/>
    <cellStyle name="Normal 3 2 5 2" xfId="660" xr:uid="{00000000-0005-0000-0000-00009C020000}"/>
    <cellStyle name="Normal 3 2 6" xfId="511" xr:uid="{00000000-0005-0000-0000-00009D020000}"/>
    <cellStyle name="Normal 4" xfId="63" xr:uid="{00000000-0005-0000-0000-00009E020000}"/>
    <cellStyle name="Normal 4 2" xfId="122" xr:uid="{00000000-0005-0000-0000-00009F020000}"/>
    <cellStyle name="Normal 4 2 2" xfId="162" xr:uid="{00000000-0005-0000-0000-0000A0020000}"/>
    <cellStyle name="Normal 4 2 2 2" xfId="236" xr:uid="{00000000-0005-0000-0000-0000A1020000}"/>
    <cellStyle name="Normal 4 2 2 2 2" xfId="384" xr:uid="{00000000-0005-0000-0000-0000A2020000}"/>
    <cellStyle name="Normal 4 2 2 2 2 2" xfId="769" xr:uid="{00000000-0005-0000-0000-0000A3020000}"/>
    <cellStyle name="Normal 4 2 2 2 3" xfId="621" xr:uid="{00000000-0005-0000-0000-0000A4020000}"/>
    <cellStyle name="Normal 4 2 2 3" xfId="310" xr:uid="{00000000-0005-0000-0000-0000A5020000}"/>
    <cellStyle name="Normal 4 2 2 3 2" xfId="695" xr:uid="{00000000-0005-0000-0000-0000A6020000}"/>
    <cellStyle name="Normal 4 2 2 4" xfId="547" xr:uid="{00000000-0005-0000-0000-0000A7020000}"/>
    <cellStyle name="Normal 4 2 3" xfId="199" xr:uid="{00000000-0005-0000-0000-0000A8020000}"/>
    <cellStyle name="Normal 4 2 3 2" xfId="347" xr:uid="{00000000-0005-0000-0000-0000A9020000}"/>
    <cellStyle name="Normal 4 2 3 2 2" xfId="732" xr:uid="{00000000-0005-0000-0000-0000AA020000}"/>
    <cellStyle name="Normal 4 2 3 3" xfId="584" xr:uid="{00000000-0005-0000-0000-0000AB020000}"/>
    <cellStyle name="Normal 4 2 4" xfId="273" xr:uid="{00000000-0005-0000-0000-0000AC020000}"/>
    <cellStyle name="Normal 4 2 4 2" xfId="658" xr:uid="{00000000-0005-0000-0000-0000AD020000}"/>
    <cellStyle name="Normal 4 2 5" xfId="508" xr:uid="{00000000-0005-0000-0000-0000AE020000}"/>
    <cellStyle name="Normal 5" xfId="64" xr:uid="{00000000-0005-0000-0000-0000AF020000}"/>
    <cellStyle name="Normal 5 2" xfId="65" xr:uid="{00000000-0005-0000-0000-0000B0020000}"/>
    <cellStyle name="Normal 6" xfId="66" xr:uid="{00000000-0005-0000-0000-0000B1020000}"/>
    <cellStyle name="Normal 6 2" xfId="97" xr:uid="{00000000-0005-0000-0000-0000B2020000}"/>
    <cellStyle name="Normal 6 2 2" xfId="142" xr:uid="{00000000-0005-0000-0000-0000B3020000}"/>
    <cellStyle name="Normal 6 2 2 2" xfId="216" xr:uid="{00000000-0005-0000-0000-0000B4020000}"/>
    <cellStyle name="Normal 6 2 2 2 2" xfId="364" xr:uid="{00000000-0005-0000-0000-0000B5020000}"/>
    <cellStyle name="Normal 6 2 2 2 2 2" xfId="749" xr:uid="{00000000-0005-0000-0000-0000B6020000}"/>
    <cellStyle name="Normal 6 2 2 2 3" xfId="601" xr:uid="{00000000-0005-0000-0000-0000B7020000}"/>
    <cellStyle name="Normal 6 2 2 3" xfId="290" xr:uid="{00000000-0005-0000-0000-0000B8020000}"/>
    <cellStyle name="Normal 6 2 2 3 2" xfId="675" xr:uid="{00000000-0005-0000-0000-0000B9020000}"/>
    <cellStyle name="Normal 6 2 2 4" xfId="527" xr:uid="{00000000-0005-0000-0000-0000BA020000}"/>
    <cellStyle name="Normal 6 2 3" xfId="179" xr:uid="{00000000-0005-0000-0000-0000BB020000}"/>
    <cellStyle name="Normal 6 2 3 2" xfId="327" xr:uid="{00000000-0005-0000-0000-0000BC020000}"/>
    <cellStyle name="Normal 6 2 3 2 2" xfId="712" xr:uid="{00000000-0005-0000-0000-0000BD020000}"/>
    <cellStyle name="Normal 6 2 3 3" xfId="564" xr:uid="{00000000-0005-0000-0000-0000BE020000}"/>
    <cellStyle name="Normal 6 2 4" xfId="253" xr:uid="{00000000-0005-0000-0000-0000BF020000}"/>
    <cellStyle name="Normal 6 2 4 2" xfId="638" xr:uid="{00000000-0005-0000-0000-0000C0020000}"/>
    <cellStyle name="Normal 6 2 5" xfId="484" xr:uid="{00000000-0005-0000-0000-0000C1020000}"/>
    <cellStyle name="Normal 6 3" xfId="116" xr:uid="{00000000-0005-0000-0000-0000C2020000}"/>
    <cellStyle name="Normal 6 3 2" xfId="156" xr:uid="{00000000-0005-0000-0000-0000C3020000}"/>
    <cellStyle name="Normal 6 3 2 2" xfId="230" xr:uid="{00000000-0005-0000-0000-0000C4020000}"/>
    <cellStyle name="Normal 6 3 2 2 2" xfId="378" xr:uid="{00000000-0005-0000-0000-0000C5020000}"/>
    <cellStyle name="Normal 6 3 2 2 2 2" xfId="763" xr:uid="{00000000-0005-0000-0000-0000C6020000}"/>
    <cellStyle name="Normal 6 3 2 2 3" xfId="615" xr:uid="{00000000-0005-0000-0000-0000C7020000}"/>
    <cellStyle name="Normal 6 3 2 3" xfId="304" xr:uid="{00000000-0005-0000-0000-0000C8020000}"/>
    <cellStyle name="Normal 6 3 2 3 2" xfId="689" xr:uid="{00000000-0005-0000-0000-0000C9020000}"/>
    <cellStyle name="Normal 6 3 2 4" xfId="541" xr:uid="{00000000-0005-0000-0000-0000CA020000}"/>
    <cellStyle name="Normal 6 3 3" xfId="193" xr:uid="{00000000-0005-0000-0000-0000CB020000}"/>
    <cellStyle name="Normal 6 3 3 2" xfId="341" xr:uid="{00000000-0005-0000-0000-0000CC020000}"/>
    <cellStyle name="Normal 6 3 3 2 2" xfId="726" xr:uid="{00000000-0005-0000-0000-0000CD020000}"/>
    <cellStyle name="Normal 6 3 3 3" xfId="578" xr:uid="{00000000-0005-0000-0000-0000CE020000}"/>
    <cellStyle name="Normal 6 3 4" xfId="267" xr:uid="{00000000-0005-0000-0000-0000CF020000}"/>
    <cellStyle name="Normal 6 3 4 2" xfId="652" xr:uid="{00000000-0005-0000-0000-0000D0020000}"/>
    <cellStyle name="Normal 6 3 5" xfId="502" xr:uid="{00000000-0005-0000-0000-0000D1020000}"/>
    <cellStyle name="Normal 6 4" xfId="131" xr:uid="{00000000-0005-0000-0000-0000D2020000}"/>
    <cellStyle name="Normal 6 4 2" xfId="205" xr:uid="{00000000-0005-0000-0000-0000D3020000}"/>
    <cellStyle name="Normal 6 4 2 2" xfId="353" xr:uid="{00000000-0005-0000-0000-0000D4020000}"/>
    <cellStyle name="Normal 6 4 2 2 2" xfId="738" xr:uid="{00000000-0005-0000-0000-0000D5020000}"/>
    <cellStyle name="Normal 6 4 2 3" xfId="590" xr:uid="{00000000-0005-0000-0000-0000D6020000}"/>
    <cellStyle name="Normal 6 4 3" xfId="279" xr:uid="{00000000-0005-0000-0000-0000D7020000}"/>
    <cellStyle name="Normal 6 4 3 2" xfId="664" xr:uid="{00000000-0005-0000-0000-0000D8020000}"/>
    <cellStyle name="Normal 6 4 4" xfId="516" xr:uid="{00000000-0005-0000-0000-0000D9020000}"/>
    <cellStyle name="Normal 6 5" xfId="168" xr:uid="{00000000-0005-0000-0000-0000DA020000}"/>
    <cellStyle name="Normal 6 5 2" xfId="316" xr:uid="{00000000-0005-0000-0000-0000DB020000}"/>
    <cellStyle name="Normal 6 5 2 2" xfId="701" xr:uid="{00000000-0005-0000-0000-0000DC020000}"/>
    <cellStyle name="Normal 6 5 3" xfId="553" xr:uid="{00000000-0005-0000-0000-0000DD020000}"/>
    <cellStyle name="Normal 6 6" xfId="242" xr:uid="{00000000-0005-0000-0000-0000DE020000}"/>
    <cellStyle name="Normal 6 6 2" xfId="627" xr:uid="{00000000-0005-0000-0000-0000DF020000}"/>
    <cellStyle name="Normal 6 7" xfId="454" xr:uid="{00000000-0005-0000-0000-0000E0020000}"/>
    <cellStyle name="Normal 7" xfId="67" xr:uid="{00000000-0005-0000-0000-0000E1020000}"/>
    <cellStyle name="Normal 8" xfId="68" xr:uid="{00000000-0005-0000-0000-0000E2020000}"/>
    <cellStyle name="Normal 9" xfId="69" xr:uid="{00000000-0005-0000-0000-0000E3020000}"/>
    <cellStyle name="Normal 9 2" xfId="125" xr:uid="{00000000-0005-0000-0000-0000E4020000}"/>
    <cellStyle name="Note 2" xfId="70" xr:uid="{00000000-0005-0000-0000-0000E5020000}"/>
    <cellStyle name="Note 2 10" xfId="996" xr:uid="{00000000-0005-0000-0000-0000E6020000}"/>
    <cellStyle name="Note 2 11" xfId="1148" xr:uid="{00000000-0005-0000-0000-0000E7020000}"/>
    <cellStyle name="Note 2 12" xfId="1304" xr:uid="{00000000-0005-0000-0000-0000E8020000}"/>
    <cellStyle name="Note 2 13" xfId="1567" xr:uid="{00000000-0005-0000-0000-0000E9020000}"/>
    <cellStyle name="Note 2 14" xfId="1113" xr:uid="{00000000-0005-0000-0000-0000EA020000}"/>
    <cellStyle name="Note 2 15" xfId="1576" xr:uid="{00000000-0005-0000-0000-0000EB020000}"/>
    <cellStyle name="Note 2 2" xfId="98" xr:uid="{00000000-0005-0000-0000-0000EC020000}"/>
    <cellStyle name="Note 2 2 10" xfId="1528" xr:uid="{00000000-0005-0000-0000-0000ED020000}"/>
    <cellStyle name="Note 2 2 11" xfId="1503" xr:uid="{00000000-0005-0000-0000-0000EE020000}"/>
    <cellStyle name="Note 2 2 12" xfId="1688" xr:uid="{00000000-0005-0000-0000-0000EF020000}"/>
    <cellStyle name="Note 2 2 2" xfId="143" xr:uid="{00000000-0005-0000-0000-0000F0020000}"/>
    <cellStyle name="Note 2 2 2 10" xfId="1572" xr:uid="{00000000-0005-0000-0000-0000F1020000}"/>
    <cellStyle name="Note 2 2 2 11" xfId="1670" xr:uid="{00000000-0005-0000-0000-0000F2020000}"/>
    <cellStyle name="Note 2 2 2 2" xfId="217" xr:uid="{00000000-0005-0000-0000-0000F3020000}"/>
    <cellStyle name="Note 2 2 2 2 10" xfId="1172" xr:uid="{00000000-0005-0000-0000-0000F4020000}"/>
    <cellStyle name="Note 2 2 2 2 2" xfId="365" xr:uid="{00000000-0005-0000-0000-0000F5020000}"/>
    <cellStyle name="Note 2 2 2 2 2 2" xfId="750" xr:uid="{00000000-0005-0000-0000-0000F6020000}"/>
    <cellStyle name="Note 2 2 2 2 2 3" xfId="1038" xr:uid="{00000000-0005-0000-0000-0000F7020000}"/>
    <cellStyle name="Note 2 2 2 2 2 4" xfId="1190" xr:uid="{00000000-0005-0000-0000-0000F8020000}"/>
    <cellStyle name="Note 2 2 2 2 2 5" xfId="1342" xr:uid="{00000000-0005-0000-0000-0000F9020000}"/>
    <cellStyle name="Note 2 2 2 2 2 6" xfId="1483" xr:uid="{00000000-0005-0000-0000-0000FA020000}"/>
    <cellStyle name="Note 2 2 2 2 2 7" xfId="1068" xr:uid="{00000000-0005-0000-0000-0000FB020000}"/>
    <cellStyle name="Note 2 2 2 2 2 8" xfId="1707" xr:uid="{00000000-0005-0000-0000-0000FC020000}"/>
    <cellStyle name="Note 2 2 2 2 2 9" xfId="1793" xr:uid="{00000000-0005-0000-0000-0000FD020000}"/>
    <cellStyle name="Note 2 2 2 2 3" xfId="602" xr:uid="{00000000-0005-0000-0000-0000FE020000}"/>
    <cellStyle name="Note 2 2 2 2 4" xfId="897" xr:uid="{00000000-0005-0000-0000-0000FF020000}"/>
    <cellStyle name="Note 2 2 2 2 5" xfId="496" xr:uid="{00000000-0005-0000-0000-000000030000}"/>
    <cellStyle name="Note 2 2 2 2 6" xfId="1057" xr:uid="{00000000-0005-0000-0000-000001030000}"/>
    <cellStyle name="Note 2 2 2 2 7" xfId="1210" xr:uid="{00000000-0005-0000-0000-000002030000}"/>
    <cellStyle name="Note 2 2 2 2 8" xfId="1448" xr:uid="{00000000-0005-0000-0000-000003030000}"/>
    <cellStyle name="Note 2 2 2 2 9" xfId="1612" xr:uid="{00000000-0005-0000-0000-000004030000}"/>
    <cellStyle name="Note 2 2 2 3" xfId="291" xr:uid="{00000000-0005-0000-0000-000005030000}"/>
    <cellStyle name="Note 2 2 2 3 2" xfId="676" xr:uid="{00000000-0005-0000-0000-000006030000}"/>
    <cellStyle name="Note 2 2 2 3 3" xfId="968" xr:uid="{00000000-0005-0000-0000-000007030000}"/>
    <cellStyle name="Note 2 2 2 3 4" xfId="1121" xr:uid="{00000000-0005-0000-0000-000008030000}"/>
    <cellStyle name="Note 2 2 2 3 5" xfId="1276" xr:uid="{00000000-0005-0000-0000-000009030000}"/>
    <cellStyle name="Note 2 2 2 3 6" xfId="1416" xr:uid="{00000000-0005-0000-0000-00000A030000}"/>
    <cellStyle name="Note 2 2 2 3 7" xfId="1374" xr:uid="{00000000-0005-0000-0000-00000B030000}"/>
    <cellStyle name="Note 2 2 2 3 8" xfId="1658" xr:uid="{00000000-0005-0000-0000-00000C030000}"/>
    <cellStyle name="Note 2 2 2 3 9" xfId="1753" xr:uid="{00000000-0005-0000-0000-00000D030000}"/>
    <cellStyle name="Note 2 2 2 4" xfId="528" xr:uid="{00000000-0005-0000-0000-00000E030000}"/>
    <cellStyle name="Note 2 2 2 5" xfId="824" xr:uid="{00000000-0005-0000-0000-00000F030000}"/>
    <cellStyle name="Note 2 2 2 6" xfId="879" xr:uid="{00000000-0005-0000-0000-000010030000}"/>
    <cellStyle name="Note 2 2 2 7" xfId="448" xr:uid="{00000000-0005-0000-0000-000011030000}"/>
    <cellStyle name="Note 2 2 2 8" xfId="942" xr:uid="{00000000-0005-0000-0000-000012030000}"/>
    <cellStyle name="Note 2 2 2 9" xfId="1516" xr:uid="{00000000-0005-0000-0000-000013030000}"/>
    <cellStyle name="Note 2 2 3" xfId="180" xr:uid="{00000000-0005-0000-0000-000014030000}"/>
    <cellStyle name="Note 2 2 3 10" xfId="1609" xr:uid="{00000000-0005-0000-0000-000015030000}"/>
    <cellStyle name="Note 2 2 3 2" xfId="328" xr:uid="{00000000-0005-0000-0000-000016030000}"/>
    <cellStyle name="Note 2 2 3 2 2" xfId="713" xr:uid="{00000000-0005-0000-0000-000017030000}"/>
    <cellStyle name="Note 2 2 3 2 3" xfId="1003" xr:uid="{00000000-0005-0000-0000-000018030000}"/>
    <cellStyle name="Note 2 2 3 2 4" xfId="1155" xr:uid="{00000000-0005-0000-0000-000019030000}"/>
    <cellStyle name="Note 2 2 3 2 5" xfId="1310" xr:uid="{00000000-0005-0000-0000-00001A030000}"/>
    <cellStyle name="Note 2 2 3 2 6" xfId="1449" xr:uid="{00000000-0005-0000-0000-00001B030000}"/>
    <cellStyle name="Note 2 2 3 2 7" xfId="1279" xr:uid="{00000000-0005-0000-0000-00001C030000}"/>
    <cellStyle name="Note 2 2 3 2 8" xfId="1682" xr:uid="{00000000-0005-0000-0000-00001D030000}"/>
    <cellStyle name="Note 2 2 3 2 9" xfId="1773" xr:uid="{00000000-0005-0000-0000-00001E030000}"/>
    <cellStyle name="Note 2 2 3 3" xfId="565" xr:uid="{00000000-0005-0000-0000-00001F030000}"/>
    <cellStyle name="Note 2 2 3 4" xfId="860" xr:uid="{00000000-0005-0000-0000-000020030000}"/>
    <cellStyle name="Note 2 2 3 5" xfId="431" xr:uid="{00000000-0005-0000-0000-000021030000}"/>
    <cellStyle name="Note 2 2 3 6" xfId="878" xr:uid="{00000000-0005-0000-0000-000022030000}"/>
    <cellStyle name="Note 2 2 3 7" xfId="513" xr:uid="{00000000-0005-0000-0000-000023030000}"/>
    <cellStyle name="Note 2 2 3 8" xfId="475" xr:uid="{00000000-0005-0000-0000-000024030000}"/>
    <cellStyle name="Note 2 2 3 9" xfId="1319" xr:uid="{00000000-0005-0000-0000-000025030000}"/>
    <cellStyle name="Note 2 2 4" xfId="254" xr:uid="{00000000-0005-0000-0000-000026030000}"/>
    <cellStyle name="Note 2 2 4 2" xfId="639" xr:uid="{00000000-0005-0000-0000-000027030000}"/>
    <cellStyle name="Note 2 2 4 3" xfId="933" xr:uid="{00000000-0005-0000-0000-000028030000}"/>
    <cellStyle name="Note 2 2 4 4" xfId="1085" xr:uid="{00000000-0005-0000-0000-000029030000}"/>
    <cellStyle name="Note 2 2 4 5" xfId="1239" xr:uid="{00000000-0005-0000-0000-00002A030000}"/>
    <cellStyle name="Note 2 2 4 6" xfId="1384" xr:uid="{00000000-0005-0000-0000-00002B030000}"/>
    <cellStyle name="Note 2 2 4 7" xfId="1105" xr:uid="{00000000-0005-0000-0000-00002C030000}"/>
    <cellStyle name="Note 2 2 4 8" xfId="1633" xr:uid="{00000000-0005-0000-0000-00002D030000}"/>
    <cellStyle name="Note 2 2 4 9" xfId="1733" xr:uid="{00000000-0005-0000-0000-00002E030000}"/>
    <cellStyle name="Note 2 2 5" xfId="485" xr:uid="{00000000-0005-0000-0000-00002F030000}"/>
    <cellStyle name="Note 2 2 6" xfId="780" xr:uid="{00000000-0005-0000-0000-000030030000}"/>
    <cellStyle name="Note 2 2 7" xfId="941" xr:uid="{00000000-0005-0000-0000-000031030000}"/>
    <cellStyle name="Note 2 2 8" xfId="1094" xr:uid="{00000000-0005-0000-0000-000032030000}"/>
    <cellStyle name="Note 2 2 9" xfId="1248" xr:uid="{00000000-0005-0000-0000-000033030000}"/>
    <cellStyle name="Note 2 3" xfId="104" xr:uid="{00000000-0005-0000-0000-000034030000}"/>
    <cellStyle name="Note 2 3 10" xfId="783" xr:uid="{00000000-0005-0000-0000-000035030000}"/>
    <cellStyle name="Note 2 3 11" xfId="1351" xr:uid="{00000000-0005-0000-0000-000036030000}"/>
    <cellStyle name="Note 2 3 12" xfId="1069" xr:uid="{00000000-0005-0000-0000-000037030000}"/>
    <cellStyle name="Note 2 3 2" xfId="149" xr:uid="{00000000-0005-0000-0000-000038030000}"/>
    <cellStyle name="Note 2 3 2 10" xfId="1491" xr:uid="{00000000-0005-0000-0000-000039030000}"/>
    <cellStyle name="Note 2 3 2 11" xfId="1645" xr:uid="{00000000-0005-0000-0000-00003A030000}"/>
    <cellStyle name="Note 2 3 2 2" xfId="223" xr:uid="{00000000-0005-0000-0000-00003B030000}"/>
    <cellStyle name="Note 2 3 2 2 10" xfId="1244" xr:uid="{00000000-0005-0000-0000-00003C030000}"/>
    <cellStyle name="Note 2 3 2 2 2" xfId="371" xr:uid="{00000000-0005-0000-0000-00003D030000}"/>
    <cellStyle name="Note 2 3 2 2 2 2" xfId="756" xr:uid="{00000000-0005-0000-0000-00003E030000}"/>
    <cellStyle name="Note 2 3 2 2 2 3" xfId="1043" xr:uid="{00000000-0005-0000-0000-00003F030000}"/>
    <cellStyle name="Note 2 3 2 2 2 4" xfId="1196" xr:uid="{00000000-0005-0000-0000-000040030000}"/>
    <cellStyle name="Note 2 3 2 2 2 5" xfId="1347" xr:uid="{00000000-0005-0000-0000-000041030000}"/>
    <cellStyle name="Note 2 3 2 2 2 6" xfId="1488" xr:uid="{00000000-0005-0000-0000-000042030000}"/>
    <cellStyle name="Note 2 3 2 2 2 7" xfId="1183" xr:uid="{00000000-0005-0000-0000-000043030000}"/>
    <cellStyle name="Note 2 3 2 2 2 8" xfId="1710" xr:uid="{00000000-0005-0000-0000-000044030000}"/>
    <cellStyle name="Note 2 3 2 2 2 9" xfId="1796" xr:uid="{00000000-0005-0000-0000-000045030000}"/>
    <cellStyle name="Note 2 3 2 2 3" xfId="608" xr:uid="{00000000-0005-0000-0000-000046030000}"/>
    <cellStyle name="Note 2 3 2 2 4" xfId="903" xr:uid="{00000000-0005-0000-0000-000047030000}"/>
    <cellStyle name="Note 2 3 2 2 5" xfId="390" xr:uid="{00000000-0005-0000-0000-000048030000}"/>
    <cellStyle name="Note 2 3 2 2 6" xfId="891" xr:uid="{00000000-0005-0000-0000-000049030000}"/>
    <cellStyle name="Note 2 3 2 2 7" xfId="460" xr:uid="{00000000-0005-0000-0000-00004A030000}"/>
    <cellStyle name="Note 2 3 2 2 8" xfId="1506" xr:uid="{00000000-0005-0000-0000-00004B030000}"/>
    <cellStyle name="Note 2 3 2 2 9" xfId="1031" xr:uid="{00000000-0005-0000-0000-00004C030000}"/>
    <cellStyle name="Note 2 3 2 3" xfId="297" xr:uid="{00000000-0005-0000-0000-00004D030000}"/>
    <cellStyle name="Note 2 3 2 3 2" xfId="682" xr:uid="{00000000-0005-0000-0000-00004E030000}"/>
    <cellStyle name="Note 2 3 2 3 3" xfId="974" xr:uid="{00000000-0005-0000-0000-00004F030000}"/>
    <cellStyle name="Note 2 3 2 3 4" xfId="1126" xr:uid="{00000000-0005-0000-0000-000050030000}"/>
    <cellStyle name="Note 2 3 2 3 5" xfId="1281" xr:uid="{00000000-0005-0000-0000-000051030000}"/>
    <cellStyle name="Note 2 3 2 3 6" xfId="1421" xr:uid="{00000000-0005-0000-0000-000052030000}"/>
    <cellStyle name="Note 2 3 2 3 7" xfId="1314" xr:uid="{00000000-0005-0000-0000-000053030000}"/>
    <cellStyle name="Note 2 3 2 3 8" xfId="1661" xr:uid="{00000000-0005-0000-0000-000054030000}"/>
    <cellStyle name="Note 2 3 2 3 9" xfId="1756" xr:uid="{00000000-0005-0000-0000-000055030000}"/>
    <cellStyle name="Note 2 3 2 4" xfId="534" xr:uid="{00000000-0005-0000-0000-000056030000}"/>
    <cellStyle name="Note 2 3 2 5" xfId="829" xr:uid="{00000000-0005-0000-0000-000057030000}"/>
    <cellStyle name="Note 2 3 2 6" xfId="418" xr:uid="{00000000-0005-0000-0000-000058030000}"/>
    <cellStyle name="Note 2 3 2 7" xfId="784" xr:uid="{00000000-0005-0000-0000-000059030000}"/>
    <cellStyle name="Note 2 3 2 8" xfId="1046" xr:uid="{00000000-0005-0000-0000-00005A030000}"/>
    <cellStyle name="Note 2 3 2 9" xfId="1415" xr:uid="{00000000-0005-0000-0000-00005B030000}"/>
    <cellStyle name="Note 2 3 3" xfId="186" xr:uid="{00000000-0005-0000-0000-00005C030000}"/>
    <cellStyle name="Note 2 3 3 10" xfId="1458" xr:uid="{00000000-0005-0000-0000-00005D030000}"/>
    <cellStyle name="Note 2 3 3 2" xfId="334" xr:uid="{00000000-0005-0000-0000-00005E030000}"/>
    <cellStyle name="Note 2 3 3 2 2" xfId="719" xr:uid="{00000000-0005-0000-0000-00005F030000}"/>
    <cellStyle name="Note 2 3 3 2 3" xfId="1009" xr:uid="{00000000-0005-0000-0000-000060030000}"/>
    <cellStyle name="Note 2 3 3 2 4" xfId="1161" xr:uid="{00000000-0005-0000-0000-000061030000}"/>
    <cellStyle name="Note 2 3 3 2 5" xfId="1315" xr:uid="{00000000-0005-0000-0000-000062030000}"/>
    <cellStyle name="Note 2 3 3 2 6" xfId="1455" xr:uid="{00000000-0005-0000-0000-000063030000}"/>
    <cellStyle name="Note 2 3 3 2 7" xfId="1536" xr:uid="{00000000-0005-0000-0000-000064030000}"/>
    <cellStyle name="Note 2 3 3 2 8" xfId="1685" xr:uid="{00000000-0005-0000-0000-000065030000}"/>
    <cellStyle name="Note 2 3 3 2 9" xfId="1776" xr:uid="{00000000-0005-0000-0000-000066030000}"/>
    <cellStyle name="Note 2 3 3 3" xfId="571" xr:uid="{00000000-0005-0000-0000-000067030000}"/>
    <cellStyle name="Note 2 3 3 4" xfId="866" xr:uid="{00000000-0005-0000-0000-000068030000}"/>
    <cellStyle name="Note 2 3 3 5" xfId="479" xr:uid="{00000000-0005-0000-0000-000069030000}"/>
    <cellStyle name="Note 2 3 3 6" xfId="961" xr:uid="{00000000-0005-0000-0000-00006A030000}"/>
    <cellStyle name="Note 2 3 3 7" xfId="1114" xr:uid="{00000000-0005-0000-0000-00006B030000}"/>
    <cellStyle name="Note 2 3 3 8" xfId="1606" xr:uid="{00000000-0005-0000-0000-00006C030000}"/>
    <cellStyle name="Note 2 3 3 9" xfId="1541" xr:uid="{00000000-0005-0000-0000-00006D030000}"/>
    <cellStyle name="Note 2 3 4" xfId="260" xr:uid="{00000000-0005-0000-0000-00006E030000}"/>
    <cellStyle name="Note 2 3 4 2" xfId="645" xr:uid="{00000000-0005-0000-0000-00006F030000}"/>
    <cellStyle name="Note 2 3 4 3" xfId="938" xr:uid="{00000000-0005-0000-0000-000070030000}"/>
    <cellStyle name="Note 2 3 4 4" xfId="1091" xr:uid="{00000000-0005-0000-0000-000071030000}"/>
    <cellStyle name="Note 2 3 4 5" xfId="1245" xr:uid="{00000000-0005-0000-0000-000072030000}"/>
    <cellStyle name="Note 2 3 4 6" xfId="1390" xr:uid="{00000000-0005-0000-0000-000073030000}"/>
    <cellStyle name="Note 2 3 4 7" xfId="1560" xr:uid="{00000000-0005-0000-0000-000074030000}"/>
    <cellStyle name="Note 2 3 4 8" xfId="1636" xr:uid="{00000000-0005-0000-0000-000075030000}"/>
    <cellStyle name="Note 2 3 4 9" xfId="1736" xr:uid="{00000000-0005-0000-0000-000076030000}"/>
    <cellStyle name="Note 2 3 5" xfId="491" xr:uid="{00000000-0005-0000-0000-000077030000}"/>
    <cellStyle name="Note 2 3 6" xfId="786" xr:uid="{00000000-0005-0000-0000-000078030000}"/>
    <cellStyle name="Note 2 3 7" xfId="832" xr:uid="{00000000-0005-0000-0000-000079030000}"/>
    <cellStyle name="Note 2 3 8" xfId="881" xr:uid="{00000000-0005-0000-0000-00007A030000}"/>
    <cellStyle name="Note 2 3 9" xfId="499" xr:uid="{00000000-0005-0000-0000-00007B030000}"/>
    <cellStyle name="Note 2 4" xfId="117" xr:uid="{00000000-0005-0000-0000-00007C030000}"/>
    <cellStyle name="Note 2 4 10" xfId="1285" xr:uid="{00000000-0005-0000-0000-00007D030000}"/>
    <cellStyle name="Note 2 4 11" xfId="1207" xr:uid="{00000000-0005-0000-0000-00007E030000}"/>
    <cellStyle name="Note 2 4 12" xfId="1648" xr:uid="{00000000-0005-0000-0000-00007F030000}"/>
    <cellStyle name="Note 2 4 2" xfId="157" xr:uid="{00000000-0005-0000-0000-000080030000}"/>
    <cellStyle name="Note 2 4 2 10" xfId="1328" xr:uid="{00000000-0005-0000-0000-000081030000}"/>
    <cellStyle name="Note 2 4 2 11" xfId="1553" xr:uid="{00000000-0005-0000-0000-000082030000}"/>
    <cellStyle name="Note 2 4 2 2" xfId="231" xr:uid="{00000000-0005-0000-0000-000083030000}"/>
    <cellStyle name="Note 2 4 2 2 10" xfId="1721" xr:uid="{00000000-0005-0000-0000-000084030000}"/>
    <cellStyle name="Note 2 4 2 2 2" xfId="379" xr:uid="{00000000-0005-0000-0000-000085030000}"/>
    <cellStyle name="Note 2 4 2 2 2 2" xfId="764" xr:uid="{00000000-0005-0000-0000-000086030000}"/>
    <cellStyle name="Note 2 4 2 2 2 3" xfId="1051" xr:uid="{00000000-0005-0000-0000-000087030000}"/>
    <cellStyle name="Note 2 4 2 2 2 4" xfId="1204" xr:uid="{00000000-0005-0000-0000-000088030000}"/>
    <cellStyle name="Note 2 4 2 2 2 5" xfId="1354" xr:uid="{00000000-0005-0000-0000-000089030000}"/>
    <cellStyle name="Note 2 4 2 2 2 6" xfId="1496" xr:uid="{00000000-0005-0000-0000-00008A030000}"/>
    <cellStyle name="Note 2 4 2 2 2 7" xfId="971" xr:uid="{00000000-0005-0000-0000-00008B030000}"/>
    <cellStyle name="Note 2 4 2 2 2 8" xfId="1715" xr:uid="{00000000-0005-0000-0000-00008C030000}"/>
    <cellStyle name="Note 2 4 2 2 2 9" xfId="1801" xr:uid="{00000000-0005-0000-0000-00008D030000}"/>
    <cellStyle name="Note 2 4 2 2 3" xfId="616" xr:uid="{00000000-0005-0000-0000-00008E030000}"/>
    <cellStyle name="Note 2 4 2 2 4" xfId="911" xr:uid="{00000000-0005-0000-0000-00008F030000}"/>
    <cellStyle name="Note 2 4 2 2 5" xfId="1063" xr:uid="{00000000-0005-0000-0000-000090030000}"/>
    <cellStyle name="Note 2 4 2 2 6" xfId="1216" xr:uid="{00000000-0005-0000-0000-000091030000}"/>
    <cellStyle name="Note 2 4 2 2 7" xfId="1365" xr:uid="{00000000-0005-0000-0000-000092030000}"/>
    <cellStyle name="Note 2 4 2 2 8" xfId="1222" xr:uid="{00000000-0005-0000-0000-000093030000}"/>
    <cellStyle name="Note 2 4 2 2 9" xfId="1617" xr:uid="{00000000-0005-0000-0000-000094030000}"/>
    <cellStyle name="Note 2 4 2 3" xfId="305" xr:uid="{00000000-0005-0000-0000-000095030000}"/>
    <cellStyle name="Note 2 4 2 3 2" xfId="690" xr:uid="{00000000-0005-0000-0000-000096030000}"/>
    <cellStyle name="Note 2 4 2 3 3" xfId="981" xr:uid="{00000000-0005-0000-0000-000097030000}"/>
    <cellStyle name="Note 2 4 2 3 4" xfId="1134" xr:uid="{00000000-0005-0000-0000-000098030000}"/>
    <cellStyle name="Note 2 4 2 3 5" xfId="1289" xr:uid="{00000000-0005-0000-0000-000099030000}"/>
    <cellStyle name="Note 2 4 2 3 6" xfId="1428" xr:uid="{00000000-0005-0000-0000-00009A030000}"/>
    <cellStyle name="Note 2 4 2 3 7" xfId="450" xr:uid="{00000000-0005-0000-0000-00009B030000}"/>
    <cellStyle name="Note 2 4 2 3 8" xfId="1667" xr:uid="{00000000-0005-0000-0000-00009C030000}"/>
    <cellStyle name="Note 2 4 2 3 9" xfId="1761" xr:uid="{00000000-0005-0000-0000-00009D030000}"/>
    <cellStyle name="Note 2 4 2 4" xfId="542" xr:uid="{00000000-0005-0000-0000-00009E030000}"/>
    <cellStyle name="Note 2 4 2 5" xfId="837" xr:uid="{00000000-0005-0000-0000-00009F030000}"/>
    <cellStyle name="Note 2 4 2 6" xfId="419" xr:uid="{00000000-0005-0000-0000-0000A0030000}"/>
    <cellStyle name="Note 2 4 2 7" xfId="827" xr:uid="{00000000-0005-0000-0000-0000A1030000}"/>
    <cellStyle name="Note 2 4 2 8" xfId="842" xr:uid="{00000000-0005-0000-0000-0000A2030000}"/>
    <cellStyle name="Note 2 4 2 9" xfId="1406" xr:uid="{00000000-0005-0000-0000-0000A3030000}"/>
    <cellStyle name="Note 2 4 3" xfId="194" xr:uid="{00000000-0005-0000-0000-0000A4030000}"/>
    <cellStyle name="Note 2 4 3 10" xfId="393" xr:uid="{00000000-0005-0000-0000-0000A5030000}"/>
    <cellStyle name="Note 2 4 3 2" xfId="342" xr:uid="{00000000-0005-0000-0000-0000A6030000}"/>
    <cellStyle name="Note 2 4 3 2 2" xfId="727" xr:uid="{00000000-0005-0000-0000-0000A7030000}"/>
    <cellStyle name="Note 2 4 3 2 3" xfId="1017" xr:uid="{00000000-0005-0000-0000-0000A8030000}"/>
    <cellStyle name="Note 2 4 3 2 4" xfId="1168" xr:uid="{00000000-0005-0000-0000-0000A9030000}"/>
    <cellStyle name="Note 2 4 3 2 5" xfId="1322" xr:uid="{00000000-0005-0000-0000-0000AA030000}"/>
    <cellStyle name="Note 2 4 3 2 6" xfId="1463" xr:uid="{00000000-0005-0000-0000-0000AB030000}"/>
    <cellStyle name="Note 2 4 3 2 7" xfId="1603" xr:uid="{00000000-0005-0000-0000-0000AC030000}"/>
    <cellStyle name="Note 2 4 3 2 8" xfId="1691" xr:uid="{00000000-0005-0000-0000-0000AD030000}"/>
    <cellStyle name="Note 2 4 3 2 9" xfId="1781" xr:uid="{00000000-0005-0000-0000-0000AE030000}"/>
    <cellStyle name="Note 2 4 3 3" xfId="579" xr:uid="{00000000-0005-0000-0000-0000AF030000}"/>
    <cellStyle name="Note 2 4 3 4" xfId="874" xr:uid="{00000000-0005-0000-0000-0000B0030000}"/>
    <cellStyle name="Note 2 4 3 5" xfId="444" xr:uid="{00000000-0005-0000-0000-0000B1030000}"/>
    <cellStyle name="Note 2 4 3 6" xfId="907" xr:uid="{00000000-0005-0000-0000-0000B2030000}"/>
    <cellStyle name="Note 2 4 3 7" xfId="498" xr:uid="{00000000-0005-0000-0000-0000B3030000}"/>
    <cellStyle name="Note 2 4 3 8" xfId="1601" xr:uid="{00000000-0005-0000-0000-0000B4030000}"/>
    <cellStyle name="Note 2 4 3 9" xfId="1305" xr:uid="{00000000-0005-0000-0000-0000B5030000}"/>
    <cellStyle name="Note 2 4 4" xfId="268" xr:uid="{00000000-0005-0000-0000-0000B6030000}"/>
    <cellStyle name="Note 2 4 4 2" xfId="653" xr:uid="{00000000-0005-0000-0000-0000B7030000}"/>
    <cellStyle name="Note 2 4 4 3" xfId="946" xr:uid="{00000000-0005-0000-0000-0000B8030000}"/>
    <cellStyle name="Note 2 4 4 4" xfId="1099" xr:uid="{00000000-0005-0000-0000-0000B9030000}"/>
    <cellStyle name="Note 2 4 4 5" xfId="1253" xr:uid="{00000000-0005-0000-0000-0000BA030000}"/>
    <cellStyle name="Note 2 4 4 6" xfId="1396" xr:uid="{00000000-0005-0000-0000-0000BB030000}"/>
    <cellStyle name="Note 2 4 4 7" xfId="1453" xr:uid="{00000000-0005-0000-0000-0000BC030000}"/>
    <cellStyle name="Note 2 4 4 8" xfId="1641" xr:uid="{00000000-0005-0000-0000-0000BD030000}"/>
    <cellStyle name="Note 2 4 4 9" xfId="1741" xr:uid="{00000000-0005-0000-0000-0000BE030000}"/>
    <cellStyle name="Note 2 4 5" xfId="503" xr:uid="{00000000-0005-0000-0000-0000BF030000}"/>
    <cellStyle name="Note 2 4 6" xfId="799" xr:uid="{00000000-0005-0000-0000-0000C0030000}"/>
    <cellStyle name="Note 2 4 7" xfId="848" xr:uid="{00000000-0005-0000-0000-0000C1030000}"/>
    <cellStyle name="Note 2 4 8" xfId="808" xr:uid="{00000000-0005-0000-0000-0000C2030000}"/>
    <cellStyle name="Note 2 4 9" xfId="910" xr:uid="{00000000-0005-0000-0000-0000C3030000}"/>
    <cellStyle name="Note 2 5" xfId="132" xr:uid="{00000000-0005-0000-0000-0000C4030000}"/>
    <cellStyle name="Note 2 5 10" xfId="1594" xr:uid="{00000000-0005-0000-0000-0000C5030000}"/>
    <cellStyle name="Note 2 5 11" xfId="1657" xr:uid="{00000000-0005-0000-0000-0000C6030000}"/>
    <cellStyle name="Note 2 5 2" xfId="206" xr:uid="{00000000-0005-0000-0000-0000C7030000}"/>
    <cellStyle name="Note 2 5 2 10" xfId="945" xr:uid="{00000000-0005-0000-0000-0000C8030000}"/>
    <cellStyle name="Note 2 5 2 2" xfId="354" xr:uid="{00000000-0005-0000-0000-0000C9030000}"/>
    <cellStyle name="Note 2 5 2 2 2" xfId="739" xr:uid="{00000000-0005-0000-0000-0000CA030000}"/>
    <cellStyle name="Note 2 5 2 2 3" xfId="1027" xr:uid="{00000000-0005-0000-0000-0000CB030000}"/>
    <cellStyle name="Note 2 5 2 2 4" xfId="1179" xr:uid="{00000000-0005-0000-0000-0000CC030000}"/>
    <cellStyle name="Note 2 5 2 2 5" xfId="1332" xr:uid="{00000000-0005-0000-0000-0000CD030000}"/>
    <cellStyle name="Note 2 5 2 2 6" xfId="1472" xr:uid="{00000000-0005-0000-0000-0000CE030000}"/>
    <cellStyle name="Note 2 5 2 2 7" xfId="1520" xr:uid="{00000000-0005-0000-0000-0000CF030000}"/>
    <cellStyle name="Note 2 5 2 2 8" xfId="1699" xr:uid="{00000000-0005-0000-0000-0000D0030000}"/>
    <cellStyle name="Note 2 5 2 2 9" xfId="1786" xr:uid="{00000000-0005-0000-0000-0000D1030000}"/>
    <cellStyle name="Note 2 5 2 3" xfId="591" xr:uid="{00000000-0005-0000-0000-0000D2030000}"/>
    <cellStyle name="Note 2 5 2 4" xfId="886" xr:uid="{00000000-0005-0000-0000-0000D3030000}"/>
    <cellStyle name="Note 2 5 2 5" xfId="455" xr:uid="{00000000-0005-0000-0000-0000D4030000}"/>
    <cellStyle name="Note 2 5 2 6" xfId="785" xr:uid="{00000000-0005-0000-0000-0000D5030000}"/>
    <cellStyle name="Note 2 5 2 7" xfId="906" xr:uid="{00000000-0005-0000-0000-0000D6030000}"/>
    <cellStyle name="Note 2 5 2 8" xfId="1442" xr:uid="{00000000-0005-0000-0000-0000D7030000}"/>
    <cellStyle name="Note 2 5 2 9" xfId="426" xr:uid="{00000000-0005-0000-0000-0000D8030000}"/>
    <cellStyle name="Note 2 5 3" xfId="280" xr:uid="{00000000-0005-0000-0000-0000D9030000}"/>
    <cellStyle name="Note 2 5 3 2" xfId="665" xr:uid="{00000000-0005-0000-0000-0000DA030000}"/>
    <cellStyle name="Note 2 5 3 3" xfId="957" xr:uid="{00000000-0005-0000-0000-0000DB030000}"/>
    <cellStyle name="Note 2 5 3 4" xfId="1110" xr:uid="{00000000-0005-0000-0000-0000DC030000}"/>
    <cellStyle name="Note 2 5 3 5" xfId="1265" xr:uid="{00000000-0005-0000-0000-0000DD030000}"/>
    <cellStyle name="Note 2 5 3 6" xfId="1407" xr:uid="{00000000-0005-0000-0000-0000DE030000}"/>
    <cellStyle name="Note 2 5 3 7" xfId="1537" xr:uid="{00000000-0005-0000-0000-0000DF030000}"/>
    <cellStyle name="Note 2 5 3 8" xfId="1649" xr:uid="{00000000-0005-0000-0000-0000E0030000}"/>
    <cellStyle name="Note 2 5 3 9" xfId="1746" xr:uid="{00000000-0005-0000-0000-0000E1030000}"/>
    <cellStyle name="Note 2 5 4" xfId="517" xr:uid="{00000000-0005-0000-0000-0000E2030000}"/>
    <cellStyle name="Note 2 5 5" xfId="813" xr:uid="{00000000-0005-0000-0000-0000E3030000}"/>
    <cellStyle name="Note 2 5 6" xfId="859" xr:uid="{00000000-0005-0000-0000-0000E4030000}"/>
    <cellStyle name="Note 2 5 7" xfId="430" xr:uid="{00000000-0005-0000-0000-0000E5030000}"/>
    <cellStyle name="Note 2 5 8" xfId="985" xr:uid="{00000000-0005-0000-0000-0000E6030000}"/>
    <cellStyle name="Note 2 5 9" xfId="1574" xr:uid="{00000000-0005-0000-0000-0000E7030000}"/>
    <cellStyle name="Note 2 6" xfId="169" xr:uid="{00000000-0005-0000-0000-0000E8030000}"/>
    <cellStyle name="Note 2 6 10" xfId="1543" xr:uid="{00000000-0005-0000-0000-0000E9030000}"/>
    <cellStyle name="Note 2 6 2" xfId="317" xr:uid="{00000000-0005-0000-0000-0000EA030000}"/>
    <cellStyle name="Note 2 6 2 2" xfId="702" xr:uid="{00000000-0005-0000-0000-0000EB030000}"/>
    <cellStyle name="Note 2 6 2 3" xfId="993" xr:uid="{00000000-0005-0000-0000-0000EC030000}"/>
    <cellStyle name="Note 2 6 2 4" xfId="1145" xr:uid="{00000000-0005-0000-0000-0000ED030000}"/>
    <cellStyle name="Note 2 6 2 5" xfId="1301" xr:uid="{00000000-0005-0000-0000-0000EE030000}"/>
    <cellStyle name="Note 2 6 2 6" xfId="1439" xr:uid="{00000000-0005-0000-0000-0000EF030000}"/>
    <cellStyle name="Note 2 6 2 7" xfId="1379" xr:uid="{00000000-0005-0000-0000-0000F0030000}"/>
    <cellStyle name="Note 2 6 2 8" xfId="1674" xr:uid="{00000000-0005-0000-0000-0000F1030000}"/>
    <cellStyle name="Note 2 6 2 9" xfId="1766" xr:uid="{00000000-0005-0000-0000-0000F2030000}"/>
    <cellStyle name="Note 2 6 3" xfId="554" xr:uid="{00000000-0005-0000-0000-0000F3030000}"/>
    <cellStyle name="Note 2 6 4" xfId="849" xr:uid="{00000000-0005-0000-0000-0000F4030000}"/>
    <cellStyle name="Note 2 6 5" xfId="809" xr:uid="{00000000-0005-0000-0000-0000F5030000}"/>
    <cellStyle name="Note 2 6 6" xfId="836" xr:uid="{00000000-0005-0000-0000-0000F6030000}"/>
    <cellStyle name="Note 2 6 7" xfId="844" xr:uid="{00000000-0005-0000-0000-0000F7030000}"/>
    <cellStyle name="Note 2 6 8" xfId="1547" xr:uid="{00000000-0005-0000-0000-0000F8030000}"/>
    <cellStyle name="Note 2 6 9" xfId="1270" xr:uid="{00000000-0005-0000-0000-0000F9030000}"/>
    <cellStyle name="Note 2 7" xfId="243" xr:uid="{00000000-0005-0000-0000-0000FA030000}"/>
    <cellStyle name="Note 2 7 2" xfId="628" xr:uid="{00000000-0005-0000-0000-0000FB030000}"/>
    <cellStyle name="Note 2 7 3" xfId="922" xr:uid="{00000000-0005-0000-0000-0000FC030000}"/>
    <cellStyle name="Note 2 7 4" xfId="1075" xr:uid="{00000000-0005-0000-0000-0000FD030000}"/>
    <cellStyle name="Note 2 7 5" xfId="1228" xr:uid="{00000000-0005-0000-0000-0000FE030000}"/>
    <cellStyle name="Note 2 7 6" xfId="1375" xr:uid="{00000000-0005-0000-0000-0000FF030000}"/>
    <cellStyle name="Note 2 7 7" xfId="1469" xr:uid="{00000000-0005-0000-0000-000000040000}"/>
    <cellStyle name="Note 2 7 8" xfId="1625" xr:uid="{00000000-0005-0000-0000-000001040000}"/>
    <cellStyle name="Note 2 7 9" xfId="1726" xr:uid="{00000000-0005-0000-0000-000002040000}"/>
    <cellStyle name="Note 2 8" xfId="457" xr:uid="{00000000-0005-0000-0000-000003040000}"/>
    <cellStyle name="Note 2 9" xfId="411" xr:uid="{00000000-0005-0000-0000-000004040000}"/>
    <cellStyle name="Output 2" xfId="71" xr:uid="{00000000-0005-0000-0000-000005040000}"/>
    <cellStyle name="Output 2 10" xfId="852" xr:uid="{00000000-0005-0000-0000-000006040000}"/>
    <cellStyle name="Output 2 11" xfId="424" xr:uid="{00000000-0005-0000-0000-000007040000}"/>
    <cellStyle name="Output 2 12" xfId="1007" xr:uid="{00000000-0005-0000-0000-000008040000}"/>
    <cellStyle name="Output 2 13" xfId="1313" xr:uid="{00000000-0005-0000-0000-000009040000}"/>
    <cellStyle name="Output 2 14" xfId="1433" xr:uid="{00000000-0005-0000-0000-00000A040000}"/>
    <cellStyle name="Output 2 15" xfId="1652" xr:uid="{00000000-0005-0000-0000-00000B040000}"/>
    <cellStyle name="Output 2 2" xfId="99" xr:uid="{00000000-0005-0000-0000-00000C040000}"/>
    <cellStyle name="Output 2 2 10" xfId="1581" xr:uid="{00000000-0005-0000-0000-00000D040000}"/>
    <cellStyle name="Output 2 2 11" xfId="1300" xr:uid="{00000000-0005-0000-0000-00000E040000}"/>
    <cellStyle name="Output 2 2 12" xfId="1518" xr:uid="{00000000-0005-0000-0000-00000F040000}"/>
    <cellStyle name="Output 2 2 2" xfId="144" xr:uid="{00000000-0005-0000-0000-000010040000}"/>
    <cellStyle name="Output 2 2 2 10" xfId="1400" xr:uid="{00000000-0005-0000-0000-000011040000}"/>
    <cellStyle name="Output 2 2 2 11" xfId="1718" xr:uid="{00000000-0005-0000-0000-000012040000}"/>
    <cellStyle name="Output 2 2 2 2" xfId="218" xr:uid="{00000000-0005-0000-0000-000013040000}"/>
    <cellStyle name="Output 2 2 2 2 10" xfId="1013" xr:uid="{00000000-0005-0000-0000-000014040000}"/>
    <cellStyle name="Output 2 2 2 2 2" xfId="366" xr:uid="{00000000-0005-0000-0000-000015040000}"/>
    <cellStyle name="Output 2 2 2 2 2 2" xfId="751" xr:uid="{00000000-0005-0000-0000-000016040000}"/>
    <cellStyle name="Output 2 2 2 2 2 3" xfId="1039" xr:uid="{00000000-0005-0000-0000-000017040000}"/>
    <cellStyle name="Output 2 2 2 2 2 4" xfId="1191" xr:uid="{00000000-0005-0000-0000-000018040000}"/>
    <cellStyle name="Output 2 2 2 2 2 5" xfId="1343" xr:uid="{00000000-0005-0000-0000-000019040000}"/>
    <cellStyle name="Output 2 2 2 2 2 6" xfId="1484" xr:uid="{00000000-0005-0000-0000-00001A040000}"/>
    <cellStyle name="Output 2 2 2 2 2 7" xfId="854" xr:uid="{00000000-0005-0000-0000-00001B040000}"/>
    <cellStyle name="Output 2 2 2 2 2 8" xfId="1708" xr:uid="{00000000-0005-0000-0000-00001C040000}"/>
    <cellStyle name="Output 2 2 2 2 2 9" xfId="1794" xr:uid="{00000000-0005-0000-0000-00001D040000}"/>
    <cellStyle name="Output 2 2 2 2 3" xfId="603" xr:uid="{00000000-0005-0000-0000-00001E040000}"/>
    <cellStyle name="Output 2 2 2 2 4" xfId="898" xr:uid="{00000000-0005-0000-0000-00001F040000}"/>
    <cellStyle name="Output 2 2 2 2 5" xfId="466" xr:uid="{00000000-0005-0000-0000-000020040000}"/>
    <cellStyle name="Output 2 2 2 2 6" xfId="987" xr:uid="{00000000-0005-0000-0000-000021040000}"/>
    <cellStyle name="Output 2 2 2 2 7" xfId="1140" xr:uid="{00000000-0005-0000-0000-000022040000}"/>
    <cellStyle name="Output 2 2 2 2 8" xfId="1529" xr:uid="{00000000-0005-0000-0000-000023040000}"/>
    <cellStyle name="Output 2 2 2 2 9" xfId="1558" xr:uid="{00000000-0005-0000-0000-000024040000}"/>
    <cellStyle name="Output 2 2 2 3" xfId="292" xr:uid="{00000000-0005-0000-0000-000025040000}"/>
    <cellStyle name="Output 2 2 2 3 2" xfId="677" xr:uid="{00000000-0005-0000-0000-000026040000}"/>
    <cellStyle name="Output 2 2 2 3 3" xfId="969" xr:uid="{00000000-0005-0000-0000-000027040000}"/>
    <cellStyle name="Output 2 2 2 3 4" xfId="1122" xr:uid="{00000000-0005-0000-0000-000028040000}"/>
    <cellStyle name="Output 2 2 2 3 5" xfId="1277" xr:uid="{00000000-0005-0000-0000-000029040000}"/>
    <cellStyle name="Output 2 2 2 3 6" xfId="1417" xr:uid="{00000000-0005-0000-0000-00002A040000}"/>
    <cellStyle name="Output 2 2 2 3 7" xfId="1519" xr:uid="{00000000-0005-0000-0000-00002B040000}"/>
    <cellStyle name="Output 2 2 2 3 8" xfId="1659" xr:uid="{00000000-0005-0000-0000-00002C040000}"/>
    <cellStyle name="Output 2 2 2 3 9" xfId="1754" xr:uid="{00000000-0005-0000-0000-00002D040000}"/>
    <cellStyle name="Output 2 2 2 4" xfId="529" xr:uid="{00000000-0005-0000-0000-00002E040000}"/>
    <cellStyle name="Output 2 2 2 5" xfId="825" xr:uid="{00000000-0005-0000-0000-00002F040000}"/>
    <cellStyle name="Output 2 2 2 6" xfId="986" xr:uid="{00000000-0005-0000-0000-000030040000}"/>
    <cellStyle name="Output 2 2 2 7" xfId="1139" xr:uid="{00000000-0005-0000-0000-000031040000}"/>
    <cellStyle name="Output 2 2 2 8" xfId="1294" xr:uid="{00000000-0005-0000-0000-000032040000}"/>
    <cellStyle name="Output 2 2 2 9" xfId="1565" xr:uid="{00000000-0005-0000-0000-000033040000}"/>
    <cellStyle name="Output 2 2 3" xfId="181" xr:uid="{00000000-0005-0000-0000-000034040000}"/>
    <cellStyle name="Output 2 2 3 10" xfId="1368" xr:uid="{00000000-0005-0000-0000-000035040000}"/>
    <cellStyle name="Output 2 2 3 2" xfId="329" xr:uid="{00000000-0005-0000-0000-000036040000}"/>
    <cellStyle name="Output 2 2 3 2 2" xfId="714" xr:uid="{00000000-0005-0000-0000-000037040000}"/>
    <cellStyle name="Output 2 2 3 2 3" xfId="1004" xr:uid="{00000000-0005-0000-0000-000038040000}"/>
    <cellStyle name="Output 2 2 3 2 4" xfId="1156" xr:uid="{00000000-0005-0000-0000-000039040000}"/>
    <cellStyle name="Output 2 2 3 2 5" xfId="1311" xr:uid="{00000000-0005-0000-0000-00003A040000}"/>
    <cellStyle name="Output 2 2 3 2 6" xfId="1450" xr:uid="{00000000-0005-0000-0000-00003B040000}"/>
    <cellStyle name="Output 2 2 3 2 7" xfId="1129" xr:uid="{00000000-0005-0000-0000-00003C040000}"/>
    <cellStyle name="Output 2 2 3 2 8" xfId="1683" xr:uid="{00000000-0005-0000-0000-00003D040000}"/>
    <cellStyle name="Output 2 2 3 2 9" xfId="1774" xr:uid="{00000000-0005-0000-0000-00003E040000}"/>
    <cellStyle name="Output 2 2 3 3" xfId="566" xr:uid="{00000000-0005-0000-0000-00003F040000}"/>
    <cellStyle name="Output 2 2 3 4" xfId="861" xr:uid="{00000000-0005-0000-0000-000040040000}"/>
    <cellStyle name="Output 2 2 3 5" xfId="774" xr:uid="{00000000-0005-0000-0000-000041040000}"/>
    <cellStyle name="Output 2 2 3 6" xfId="401" xr:uid="{00000000-0005-0000-0000-000042040000}"/>
    <cellStyle name="Output 2 2 3 7" xfId="1054" xr:uid="{00000000-0005-0000-0000-000043040000}"/>
    <cellStyle name="Output 2 2 3 8" xfId="1138" xr:uid="{00000000-0005-0000-0000-000044040000}"/>
    <cellStyle name="Output 2 2 3 9" xfId="1499" xr:uid="{00000000-0005-0000-0000-000045040000}"/>
    <cellStyle name="Output 2 2 4" xfId="255" xr:uid="{00000000-0005-0000-0000-000046040000}"/>
    <cellStyle name="Output 2 2 4 2" xfId="640" xr:uid="{00000000-0005-0000-0000-000047040000}"/>
    <cellStyle name="Output 2 2 4 3" xfId="934" xr:uid="{00000000-0005-0000-0000-000048040000}"/>
    <cellStyle name="Output 2 2 4 4" xfId="1086" xr:uid="{00000000-0005-0000-0000-000049040000}"/>
    <cellStyle name="Output 2 2 4 5" xfId="1240" xr:uid="{00000000-0005-0000-0000-00004A040000}"/>
    <cellStyle name="Output 2 2 4 6" xfId="1385" xr:uid="{00000000-0005-0000-0000-00004B040000}"/>
    <cellStyle name="Output 2 2 4 7" xfId="1495" xr:uid="{00000000-0005-0000-0000-00004C040000}"/>
    <cellStyle name="Output 2 2 4 8" xfId="1634" xr:uid="{00000000-0005-0000-0000-00004D040000}"/>
    <cellStyle name="Output 2 2 4 9" xfId="1734" xr:uid="{00000000-0005-0000-0000-00004E040000}"/>
    <cellStyle name="Output 2 2 5" xfId="486" xr:uid="{00000000-0005-0000-0000-00004F040000}"/>
    <cellStyle name="Output 2 2 6" xfId="781" xr:uid="{00000000-0005-0000-0000-000050040000}"/>
    <cellStyle name="Output 2 2 7" xfId="1012" xr:uid="{00000000-0005-0000-0000-000051040000}"/>
    <cellStyle name="Output 2 2 8" xfId="1164" xr:uid="{00000000-0005-0000-0000-000052040000}"/>
    <cellStyle name="Output 2 2 9" xfId="1318" xr:uid="{00000000-0005-0000-0000-000053040000}"/>
    <cellStyle name="Output 2 3" xfId="105" xr:uid="{00000000-0005-0000-0000-000054040000}"/>
    <cellStyle name="Output 2 3 10" xfId="465" xr:uid="{00000000-0005-0000-0000-000055040000}"/>
    <cellStyle name="Output 2 3 11" xfId="916" xr:uid="{00000000-0005-0000-0000-000056040000}"/>
    <cellStyle name="Output 2 3 12" xfId="1261" xr:uid="{00000000-0005-0000-0000-000057040000}"/>
    <cellStyle name="Output 2 3 2" xfId="150" xr:uid="{00000000-0005-0000-0000-000058040000}"/>
    <cellStyle name="Output 2 3 2 10" xfId="1432" xr:uid="{00000000-0005-0000-0000-000059040000}"/>
    <cellStyle name="Output 2 3 2 11" xfId="1695" xr:uid="{00000000-0005-0000-0000-00005A040000}"/>
    <cellStyle name="Output 2 3 2 2" xfId="224" xr:uid="{00000000-0005-0000-0000-00005B040000}"/>
    <cellStyle name="Output 2 3 2 2 10" xfId="1584" xr:uid="{00000000-0005-0000-0000-00005C040000}"/>
    <cellStyle name="Output 2 3 2 2 2" xfId="372" xr:uid="{00000000-0005-0000-0000-00005D040000}"/>
    <cellStyle name="Output 2 3 2 2 2 2" xfId="757" xr:uid="{00000000-0005-0000-0000-00005E040000}"/>
    <cellStyle name="Output 2 3 2 2 2 3" xfId="1044" xr:uid="{00000000-0005-0000-0000-00005F040000}"/>
    <cellStyle name="Output 2 3 2 2 2 4" xfId="1197" xr:uid="{00000000-0005-0000-0000-000060040000}"/>
    <cellStyle name="Output 2 3 2 2 2 5" xfId="1348" xr:uid="{00000000-0005-0000-0000-000061040000}"/>
    <cellStyle name="Output 2 3 2 2 2 6" xfId="1489" xr:uid="{00000000-0005-0000-0000-000062040000}"/>
    <cellStyle name="Output 2 3 2 2 2 7" xfId="1454" xr:uid="{00000000-0005-0000-0000-000063040000}"/>
    <cellStyle name="Output 2 3 2 2 2 8" xfId="1711" xr:uid="{00000000-0005-0000-0000-000064040000}"/>
    <cellStyle name="Output 2 3 2 2 2 9" xfId="1797" xr:uid="{00000000-0005-0000-0000-000065040000}"/>
    <cellStyle name="Output 2 3 2 2 3" xfId="609" xr:uid="{00000000-0005-0000-0000-000066040000}"/>
    <cellStyle name="Output 2 3 2 2 4" xfId="904" xr:uid="{00000000-0005-0000-0000-000067040000}"/>
    <cellStyle name="Output 2 3 2 2 5" xfId="473" xr:uid="{00000000-0005-0000-0000-000068040000}"/>
    <cellStyle name="Output 2 3 2 2 6" xfId="1032" xr:uid="{00000000-0005-0000-0000-000069040000}"/>
    <cellStyle name="Output 2 3 2 2 7" xfId="1184" xr:uid="{00000000-0005-0000-0000-00006A040000}"/>
    <cellStyle name="Output 2 3 2 2 8" xfId="1297" xr:uid="{00000000-0005-0000-0000-00006B040000}"/>
    <cellStyle name="Output 2 3 2 2 9" xfId="1597" xr:uid="{00000000-0005-0000-0000-00006C040000}"/>
    <cellStyle name="Output 2 3 2 3" xfId="298" xr:uid="{00000000-0005-0000-0000-00006D040000}"/>
    <cellStyle name="Output 2 3 2 3 2" xfId="683" xr:uid="{00000000-0005-0000-0000-00006E040000}"/>
    <cellStyle name="Output 2 3 2 3 3" xfId="975" xr:uid="{00000000-0005-0000-0000-00006F040000}"/>
    <cellStyle name="Output 2 3 2 3 4" xfId="1127" xr:uid="{00000000-0005-0000-0000-000070040000}"/>
    <cellStyle name="Output 2 3 2 3 5" xfId="1282" xr:uid="{00000000-0005-0000-0000-000071040000}"/>
    <cellStyle name="Output 2 3 2 3 6" xfId="1422" xr:uid="{00000000-0005-0000-0000-000072040000}"/>
    <cellStyle name="Output 2 3 2 3 7" xfId="885" xr:uid="{00000000-0005-0000-0000-000073040000}"/>
    <cellStyle name="Output 2 3 2 3 8" xfId="1662" xr:uid="{00000000-0005-0000-0000-000074040000}"/>
    <cellStyle name="Output 2 3 2 3 9" xfId="1757" xr:uid="{00000000-0005-0000-0000-000075040000}"/>
    <cellStyle name="Output 2 3 2 4" xfId="535" xr:uid="{00000000-0005-0000-0000-000076040000}"/>
    <cellStyle name="Output 2 3 2 5" xfId="830" xr:uid="{00000000-0005-0000-0000-000077040000}"/>
    <cellStyle name="Output 2 3 2 6" xfId="952" xr:uid="{00000000-0005-0000-0000-000078040000}"/>
    <cellStyle name="Output 2 3 2 7" xfId="1106" xr:uid="{00000000-0005-0000-0000-000079040000}"/>
    <cellStyle name="Output 2 3 2 8" xfId="1260" xr:uid="{00000000-0005-0000-0000-00007A040000}"/>
    <cellStyle name="Output 2 3 2 9" xfId="1531" xr:uid="{00000000-0005-0000-0000-00007B040000}"/>
    <cellStyle name="Output 2 3 3" xfId="187" xr:uid="{00000000-0005-0000-0000-00007C040000}"/>
    <cellStyle name="Output 2 3 3 10" xfId="1296" xr:uid="{00000000-0005-0000-0000-00007D040000}"/>
    <cellStyle name="Output 2 3 3 2" xfId="335" xr:uid="{00000000-0005-0000-0000-00007E040000}"/>
    <cellStyle name="Output 2 3 3 2 2" xfId="720" xr:uid="{00000000-0005-0000-0000-00007F040000}"/>
    <cellStyle name="Output 2 3 3 2 3" xfId="1010" xr:uid="{00000000-0005-0000-0000-000080040000}"/>
    <cellStyle name="Output 2 3 3 2 4" xfId="1162" xr:uid="{00000000-0005-0000-0000-000081040000}"/>
    <cellStyle name="Output 2 3 3 2 5" xfId="1316" xr:uid="{00000000-0005-0000-0000-000082040000}"/>
    <cellStyle name="Output 2 3 3 2 6" xfId="1456" xr:uid="{00000000-0005-0000-0000-000083040000}"/>
    <cellStyle name="Output 2 3 3 2 7" xfId="1591" xr:uid="{00000000-0005-0000-0000-000084040000}"/>
    <cellStyle name="Output 2 3 3 2 8" xfId="1686" xr:uid="{00000000-0005-0000-0000-000085040000}"/>
    <cellStyle name="Output 2 3 3 2 9" xfId="1777" xr:uid="{00000000-0005-0000-0000-000086040000}"/>
    <cellStyle name="Output 2 3 3 3" xfId="572" xr:uid="{00000000-0005-0000-0000-000087040000}"/>
    <cellStyle name="Output 2 3 3 4" xfId="867" xr:uid="{00000000-0005-0000-0000-000088040000}"/>
    <cellStyle name="Output 2 3 3 5" xfId="438" xr:uid="{00000000-0005-0000-0000-000089040000}"/>
    <cellStyle name="Output 2 3 3 6" xfId="853" xr:uid="{00000000-0005-0000-0000-00008A040000}"/>
    <cellStyle name="Output 2 3 3 7" xfId="425" xr:uid="{00000000-0005-0000-0000-00008B040000}"/>
    <cellStyle name="Output 2 3 3 8" xfId="1507" xr:uid="{00000000-0005-0000-0000-00008C040000}"/>
    <cellStyle name="Output 2 3 3 9" xfId="1243" xr:uid="{00000000-0005-0000-0000-00008D040000}"/>
    <cellStyle name="Output 2 3 4" xfId="261" xr:uid="{00000000-0005-0000-0000-00008E040000}"/>
    <cellStyle name="Output 2 3 4 2" xfId="646" xr:uid="{00000000-0005-0000-0000-00008F040000}"/>
    <cellStyle name="Output 2 3 4 3" xfId="939" xr:uid="{00000000-0005-0000-0000-000090040000}"/>
    <cellStyle name="Output 2 3 4 4" xfId="1092" xr:uid="{00000000-0005-0000-0000-000091040000}"/>
    <cellStyle name="Output 2 3 4 5" xfId="1246" xr:uid="{00000000-0005-0000-0000-000092040000}"/>
    <cellStyle name="Output 2 3 4 6" xfId="1391" xr:uid="{00000000-0005-0000-0000-000093040000}"/>
    <cellStyle name="Output 2 3 4 7" xfId="1614" xr:uid="{00000000-0005-0000-0000-000094040000}"/>
    <cellStyle name="Output 2 3 4 8" xfId="1637" xr:uid="{00000000-0005-0000-0000-000095040000}"/>
    <cellStyle name="Output 2 3 4 9" xfId="1737" xr:uid="{00000000-0005-0000-0000-000096040000}"/>
    <cellStyle name="Output 2 3 5" xfId="492" xr:uid="{00000000-0005-0000-0000-000097040000}"/>
    <cellStyle name="Output 2 3 6" xfId="787" xr:uid="{00000000-0005-0000-0000-000098040000}"/>
    <cellStyle name="Output 2 3 7" xfId="789" xr:uid="{00000000-0005-0000-0000-000099040000}"/>
    <cellStyle name="Output 2 3 8" xfId="406" xr:uid="{00000000-0005-0000-0000-00009A040000}"/>
    <cellStyle name="Output 2 3 9" xfId="816" xr:uid="{00000000-0005-0000-0000-00009B040000}"/>
    <cellStyle name="Output 2 4" xfId="118" xr:uid="{00000000-0005-0000-0000-00009C040000}"/>
    <cellStyle name="Output 2 4 10" xfId="1555" xr:uid="{00000000-0005-0000-0000-00009D040000}"/>
    <cellStyle name="Output 2 4 11" xfId="1362" xr:uid="{00000000-0005-0000-0000-00009E040000}"/>
    <cellStyle name="Output 2 4 12" xfId="1698" xr:uid="{00000000-0005-0000-0000-00009F040000}"/>
    <cellStyle name="Output 2 4 2" xfId="158" xr:uid="{00000000-0005-0000-0000-0000A0040000}"/>
    <cellStyle name="Output 2 4 2 10" xfId="1259" xr:uid="{00000000-0005-0000-0000-0000A1040000}"/>
    <cellStyle name="Output 2 4 2 11" xfId="1434" xr:uid="{00000000-0005-0000-0000-0000A2040000}"/>
    <cellStyle name="Output 2 4 2 2" xfId="232" xr:uid="{00000000-0005-0000-0000-0000A3040000}"/>
    <cellStyle name="Output 2 4 2 2 10" xfId="1722" xr:uid="{00000000-0005-0000-0000-0000A4040000}"/>
    <cellStyle name="Output 2 4 2 2 2" xfId="380" xr:uid="{00000000-0005-0000-0000-0000A5040000}"/>
    <cellStyle name="Output 2 4 2 2 2 2" xfId="765" xr:uid="{00000000-0005-0000-0000-0000A6040000}"/>
    <cellStyle name="Output 2 4 2 2 2 3" xfId="1052" xr:uid="{00000000-0005-0000-0000-0000A7040000}"/>
    <cellStyle name="Output 2 4 2 2 2 4" xfId="1205" xr:uid="{00000000-0005-0000-0000-0000A8040000}"/>
    <cellStyle name="Output 2 4 2 2 2 5" xfId="1355" xr:uid="{00000000-0005-0000-0000-0000A9040000}"/>
    <cellStyle name="Output 2 4 2 2 2 6" xfId="1497" xr:uid="{00000000-0005-0000-0000-0000AA040000}"/>
    <cellStyle name="Output 2 4 2 2 2 7" xfId="1467" xr:uid="{00000000-0005-0000-0000-0000AB040000}"/>
    <cellStyle name="Output 2 4 2 2 2 8" xfId="1716" xr:uid="{00000000-0005-0000-0000-0000AC040000}"/>
    <cellStyle name="Output 2 4 2 2 2 9" xfId="1802" xr:uid="{00000000-0005-0000-0000-0000AD040000}"/>
    <cellStyle name="Output 2 4 2 2 3" xfId="617" xr:uid="{00000000-0005-0000-0000-0000AE040000}"/>
    <cellStyle name="Output 2 4 2 2 4" xfId="912" xr:uid="{00000000-0005-0000-0000-0000AF040000}"/>
    <cellStyle name="Output 2 4 2 2 5" xfId="1064" xr:uid="{00000000-0005-0000-0000-0000B0040000}"/>
    <cellStyle name="Output 2 4 2 2 6" xfId="1217" xr:uid="{00000000-0005-0000-0000-0000B1040000}"/>
    <cellStyle name="Output 2 4 2 2 7" xfId="1366" xr:uid="{00000000-0005-0000-0000-0000B2040000}"/>
    <cellStyle name="Output 2 4 2 2 8" xfId="1466" xr:uid="{00000000-0005-0000-0000-0000B3040000}"/>
    <cellStyle name="Output 2 4 2 2 9" xfId="1618" xr:uid="{00000000-0005-0000-0000-0000B4040000}"/>
    <cellStyle name="Output 2 4 2 3" xfId="306" xr:uid="{00000000-0005-0000-0000-0000B5040000}"/>
    <cellStyle name="Output 2 4 2 3 2" xfId="691" xr:uid="{00000000-0005-0000-0000-0000B6040000}"/>
    <cellStyle name="Output 2 4 2 3 3" xfId="982" xr:uid="{00000000-0005-0000-0000-0000B7040000}"/>
    <cellStyle name="Output 2 4 2 3 4" xfId="1135" xr:uid="{00000000-0005-0000-0000-0000B8040000}"/>
    <cellStyle name="Output 2 4 2 3 5" xfId="1290" xr:uid="{00000000-0005-0000-0000-0000B9040000}"/>
    <cellStyle name="Output 2 4 2 3 6" xfId="1429" xr:uid="{00000000-0005-0000-0000-0000BA040000}"/>
    <cellStyle name="Output 2 4 2 3 7" xfId="1401" xr:uid="{00000000-0005-0000-0000-0000BB040000}"/>
    <cellStyle name="Output 2 4 2 3 8" xfId="1668" xr:uid="{00000000-0005-0000-0000-0000BC040000}"/>
    <cellStyle name="Output 2 4 2 3 9" xfId="1762" xr:uid="{00000000-0005-0000-0000-0000BD040000}"/>
    <cellStyle name="Output 2 4 2 4" xfId="543" xr:uid="{00000000-0005-0000-0000-0000BE040000}"/>
    <cellStyle name="Output 2 4 2 5" xfId="838" xr:uid="{00000000-0005-0000-0000-0000BF040000}"/>
    <cellStyle name="Output 2 4 2 6" xfId="420" xr:uid="{00000000-0005-0000-0000-0000C0040000}"/>
    <cellStyle name="Output 2 4 2 7" xfId="901" xr:uid="{00000000-0005-0000-0000-0000C1040000}"/>
    <cellStyle name="Output 2 4 2 8" xfId="470" xr:uid="{00000000-0005-0000-0000-0000C2040000}"/>
    <cellStyle name="Output 2 4 2 9" xfId="1526" xr:uid="{00000000-0005-0000-0000-0000C3040000}"/>
    <cellStyle name="Output 2 4 3" xfId="195" xr:uid="{00000000-0005-0000-0000-0000C4040000}"/>
    <cellStyle name="Output 2 4 3 10" xfId="1571" xr:uid="{00000000-0005-0000-0000-0000C5040000}"/>
    <cellStyle name="Output 2 4 3 2" xfId="343" xr:uid="{00000000-0005-0000-0000-0000C6040000}"/>
    <cellStyle name="Output 2 4 3 2 2" xfId="728" xr:uid="{00000000-0005-0000-0000-0000C7040000}"/>
    <cellStyle name="Output 2 4 3 2 3" xfId="1018" xr:uid="{00000000-0005-0000-0000-0000C8040000}"/>
    <cellStyle name="Output 2 4 3 2 4" xfId="1169" xr:uid="{00000000-0005-0000-0000-0000C9040000}"/>
    <cellStyle name="Output 2 4 3 2 5" xfId="1323" xr:uid="{00000000-0005-0000-0000-0000CA040000}"/>
    <cellStyle name="Output 2 4 3 2 6" xfId="1464" xr:uid="{00000000-0005-0000-0000-0000CB040000}"/>
    <cellStyle name="Output 2 4 3 2 7" xfId="1504" xr:uid="{00000000-0005-0000-0000-0000CC040000}"/>
    <cellStyle name="Output 2 4 3 2 8" xfId="1692" xr:uid="{00000000-0005-0000-0000-0000CD040000}"/>
    <cellStyle name="Output 2 4 3 2 9" xfId="1782" xr:uid="{00000000-0005-0000-0000-0000CE040000}"/>
    <cellStyle name="Output 2 4 3 3" xfId="580" xr:uid="{00000000-0005-0000-0000-0000CF040000}"/>
    <cellStyle name="Output 2 4 3 4" xfId="875" xr:uid="{00000000-0005-0000-0000-0000D0040000}"/>
    <cellStyle name="Output 2 4 3 5" xfId="445" xr:uid="{00000000-0005-0000-0000-0000D1040000}"/>
    <cellStyle name="Output 2 4 3 6" xfId="1047" xr:uid="{00000000-0005-0000-0000-0000D2040000}"/>
    <cellStyle name="Output 2 4 3 7" xfId="1200" xr:uid="{00000000-0005-0000-0000-0000D3040000}"/>
    <cellStyle name="Output 2 4 3 8" xfId="865" xr:uid="{00000000-0005-0000-0000-0000D4040000}"/>
    <cellStyle name="Output 2 4 3 9" xfId="1602" xr:uid="{00000000-0005-0000-0000-0000D5040000}"/>
    <cellStyle name="Output 2 4 4" xfId="269" xr:uid="{00000000-0005-0000-0000-0000D6040000}"/>
    <cellStyle name="Output 2 4 4 2" xfId="654" xr:uid="{00000000-0005-0000-0000-0000D7040000}"/>
    <cellStyle name="Output 2 4 4 3" xfId="947" xr:uid="{00000000-0005-0000-0000-0000D8040000}"/>
    <cellStyle name="Output 2 4 4 4" xfId="1100" xr:uid="{00000000-0005-0000-0000-0000D9040000}"/>
    <cellStyle name="Output 2 4 4 5" xfId="1254" xr:uid="{00000000-0005-0000-0000-0000DA040000}"/>
    <cellStyle name="Output 2 4 4 6" xfId="1397" xr:uid="{00000000-0005-0000-0000-0000DB040000}"/>
    <cellStyle name="Output 2 4 4 7" xfId="1388" xr:uid="{00000000-0005-0000-0000-0000DC040000}"/>
    <cellStyle name="Output 2 4 4 8" xfId="1642" xr:uid="{00000000-0005-0000-0000-0000DD040000}"/>
    <cellStyle name="Output 2 4 4 9" xfId="1742" xr:uid="{00000000-0005-0000-0000-0000DE040000}"/>
    <cellStyle name="Output 2 4 5" xfId="504" xr:uid="{00000000-0005-0000-0000-0000DF040000}"/>
    <cellStyle name="Output 2 4 6" xfId="800" xr:uid="{00000000-0005-0000-0000-0000E0040000}"/>
    <cellStyle name="Output 2 4 7" xfId="956" xr:uid="{00000000-0005-0000-0000-0000E1040000}"/>
    <cellStyle name="Output 2 4 8" xfId="1109" xr:uid="{00000000-0005-0000-0000-0000E2040000}"/>
    <cellStyle name="Output 2 4 9" xfId="1264" xr:uid="{00000000-0005-0000-0000-0000E3040000}"/>
    <cellStyle name="Output 2 5" xfId="133" xr:uid="{00000000-0005-0000-0000-0000E4040000}"/>
    <cellStyle name="Output 2 5 10" xfId="1371" xr:uid="{00000000-0005-0000-0000-0000E5040000}"/>
    <cellStyle name="Output 2 5 11" xfId="1706" xr:uid="{00000000-0005-0000-0000-0000E6040000}"/>
    <cellStyle name="Output 2 5 2" xfId="207" xr:uid="{00000000-0005-0000-0000-0000E7040000}"/>
    <cellStyle name="Output 2 5 2 10" xfId="1605" xr:uid="{00000000-0005-0000-0000-0000E8040000}"/>
    <cellStyle name="Output 2 5 2 2" xfId="355" xr:uid="{00000000-0005-0000-0000-0000E9040000}"/>
    <cellStyle name="Output 2 5 2 2 2" xfId="740" xr:uid="{00000000-0005-0000-0000-0000EA040000}"/>
    <cellStyle name="Output 2 5 2 2 3" xfId="1028" xr:uid="{00000000-0005-0000-0000-0000EB040000}"/>
    <cellStyle name="Output 2 5 2 2 4" xfId="1180" xr:uid="{00000000-0005-0000-0000-0000EC040000}"/>
    <cellStyle name="Output 2 5 2 2 5" xfId="1333" xr:uid="{00000000-0005-0000-0000-0000ED040000}"/>
    <cellStyle name="Output 2 5 2 2 6" xfId="1473" xr:uid="{00000000-0005-0000-0000-0000EE040000}"/>
    <cellStyle name="Output 2 5 2 2 7" xfId="1570" xr:uid="{00000000-0005-0000-0000-0000EF040000}"/>
    <cellStyle name="Output 2 5 2 2 8" xfId="1700" xr:uid="{00000000-0005-0000-0000-0000F0040000}"/>
    <cellStyle name="Output 2 5 2 2 9" xfId="1787" xr:uid="{00000000-0005-0000-0000-0000F1040000}"/>
    <cellStyle name="Output 2 5 2 3" xfId="592" xr:uid="{00000000-0005-0000-0000-0000F2040000}"/>
    <cellStyle name="Output 2 5 2 4" xfId="887" xr:uid="{00000000-0005-0000-0000-0000F3040000}"/>
    <cellStyle name="Output 2 5 2 5" xfId="456" xr:uid="{00000000-0005-0000-0000-0000F4040000}"/>
    <cellStyle name="Output 2 5 2 6" xfId="828" xr:uid="{00000000-0005-0000-0000-0000F5040000}"/>
    <cellStyle name="Output 2 5 2 7" xfId="803" xr:uid="{00000000-0005-0000-0000-0000F6040000}"/>
    <cellStyle name="Output 2 5 2 8" xfId="1427" xr:uid="{00000000-0005-0000-0000-0000F7040000}"/>
    <cellStyle name="Output 2 5 2 9" xfId="1252" xr:uid="{00000000-0005-0000-0000-0000F8040000}"/>
    <cellStyle name="Output 2 5 3" xfId="281" xr:uid="{00000000-0005-0000-0000-0000F9040000}"/>
    <cellStyle name="Output 2 5 3 2" xfId="666" xr:uid="{00000000-0005-0000-0000-0000FA040000}"/>
    <cellStyle name="Output 2 5 3 3" xfId="958" xr:uid="{00000000-0005-0000-0000-0000FB040000}"/>
    <cellStyle name="Output 2 5 3 4" xfId="1111" xr:uid="{00000000-0005-0000-0000-0000FC040000}"/>
    <cellStyle name="Output 2 5 3 5" xfId="1266" xr:uid="{00000000-0005-0000-0000-0000FD040000}"/>
    <cellStyle name="Output 2 5 3 6" xfId="1408" xr:uid="{00000000-0005-0000-0000-0000FE040000}"/>
    <cellStyle name="Output 2 5 3 7" xfId="1592" xr:uid="{00000000-0005-0000-0000-0000FF040000}"/>
    <cellStyle name="Output 2 5 3 8" xfId="1650" xr:uid="{00000000-0005-0000-0000-000000050000}"/>
    <cellStyle name="Output 2 5 3 9" xfId="1747" xr:uid="{00000000-0005-0000-0000-000001050000}"/>
    <cellStyle name="Output 2 5 4" xfId="518" xr:uid="{00000000-0005-0000-0000-000002050000}"/>
    <cellStyle name="Output 2 5 5" xfId="814" xr:uid="{00000000-0005-0000-0000-000003050000}"/>
    <cellStyle name="Output 2 5 6" xfId="967" xr:uid="{00000000-0005-0000-0000-000004050000}"/>
    <cellStyle name="Output 2 5 7" xfId="1120" xr:uid="{00000000-0005-0000-0000-000005050000}"/>
    <cellStyle name="Output 2 5 8" xfId="1275" xr:uid="{00000000-0005-0000-0000-000006050000}"/>
    <cellStyle name="Output 2 5 9" xfId="1257" xr:uid="{00000000-0005-0000-0000-000007050000}"/>
    <cellStyle name="Output 2 6" xfId="170" xr:uid="{00000000-0005-0000-0000-000008050000}"/>
    <cellStyle name="Output 2 6 10" xfId="998" xr:uid="{00000000-0005-0000-0000-000009050000}"/>
    <cellStyle name="Output 2 6 2" xfId="318" xr:uid="{00000000-0005-0000-0000-00000A050000}"/>
    <cellStyle name="Output 2 6 2 2" xfId="703" xr:uid="{00000000-0005-0000-0000-00000B050000}"/>
    <cellStyle name="Output 2 6 2 3" xfId="994" xr:uid="{00000000-0005-0000-0000-00000C050000}"/>
    <cellStyle name="Output 2 6 2 4" xfId="1146" xr:uid="{00000000-0005-0000-0000-00000D050000}"/>
    <cellStyle name="Output 2 6 2 5" xfId="1302" xr:uid="{00000000-0005-0000-0000-00000E050000}"/>
    <cellStyle name="Output 2 6 2 6" xfId="1440" xr:uid="{00000000-0005-0000-0000-00000F050000}"/>
    <cellStyle name="Output 2 6 2 7" xfId="1233" xr:uid="{00000000-0005-0000-0000-000010050000}"/>
    <cellStyle name="Output 2 6 2 8" xfId="1675" xr:uid="{00000000-0005-0000-0000-000011050000}"/>
    <cellStyle name="Output 2 6 2 9" xfId="1767" xr:uid="{00000000-0005-0000-0000-000012050000}"/>
    <cellStyle name="Output 2 6 3" xfId="555" xr:uid="{00000000-0005-0000-0000-000013050000}"/>
    <cellStyle name="Output 2 6 4" xfId="850" xr:uid="{00000000-0005-0000-0000-000014050000}"/>
    <cellStyle name="Output 2 6 5" xfId="422" xr:uid="{00000000-0005-0000-0000-000015050000}"/>
    <cellStyle name="Output 2 6 6" xfId="972" xr:uid="{00000000-0005-0000-0000-000016050000}"/>
    <cellStyle name="Output 2 6 7" xfId="1125" xr:uid="{00000000-0005-0000-0000-000017050000}"/>
    <cellStyle name="Output 2 6 8" xfId="1599" xr:uid="{00000000-0005-0000-0000-000018050000}"/>
    <cellStyle name="Output 2 6 9" xfId="1549" xr:uid="{00000000-0005-0000-0000-000019050000}"/>
    <cellStyle name="Output 2 7" xfId="244" xr:uid="{00000000-0005-0000-0000-00001A050000}"/>
    <cellStyle name="Output 2 7 2" xfId="629" xr:uid="{00000000-0005-0000-0000-00001B050000}"/>
    <cellStyle name="Output 2 7 3" xfId="923" xr:uid="{00000000-0005-0000-0000-00001C050000}"/>
    <cellStyle name="Output 2 7 4" xfId="1076" xr:uid="{00000000-0005-0000-0000-00001D050000}"/>
    <cellStyle name="Output 2 7 5" xfId="1229" xr:uid="{00000000-0005-0000-0000-00001E050000}"/>
    <cellStyle name="Output 2 7 6" xfId="1376" xr:uid="{00000000-0005-0000-0000-00001F050000}"/>
    <cellStyle name="Output 2 7 7" xfId="1395" xr:uid="{00000000-0005-0000-0000-000020050000}"/>
    <cellStyle name="Output 2 7 8" xfId="1626" xr:uid="{00000000-0005-0000-0000-000021050000}"/>
    <cellStyle name="Output 2 7 9" xfId="1727" xr:uid="{00000000-0005-0000-0000-000022050000}"/>
    <cellStyle name="Output 2 8" xfId="458" xr:uid="{00000000-0005-0000-0000-000023050000}"/>
    <cellStyle name="Output 2 9" xfId="410" xr:uid="{00000000-0005-0000-0000-000024050000}"/>
    <cellStyle name="Percent 2" xfId="72" xr:uid="{00000000-0005-0000-0000-000025050000}"/>
    <cellStyle name="Percent 2 2" xfId="124" xr:uid="{00000000-0005-0000-0000-000026050000}"/>
    <cellStyle name="Title 2" xfId="73" xr:uid="{00000000-0005-0000-0000-000027050000}"/>
    <cellStyle name="Total 2" xfId="74" xr:uid="{00000000-0005-0000-0000-000028050000}"/>
    <cellStyle name="Total 2 10" xfId="889" xr:uid="{00000000-0005-0000-0000-000029050000}"/>
    <cellStyle name="Total 2 11" xfId="459" xr:uid="{00000000-0005-0000-0000-00002A050000}"/>
    <cellStyle name="Total 2 12" xfId="1042" xr:uid="{00000000-0005-0000-0000-00002B050000}"/>
    <cellStyle name="Total 2 13" xfId="1346" xr:uid="{00000000-0005-0000-0000-00002C050000}"/>
    <cellStyle name="Total 2 14" xfId="1219" xr:uid="{00000000-0005-0000-0000-00002D050000}"/>
    <cellStyle name="Total 2 15" xfId="915" xr:uid="{00000000-0005-0000-0000-00002E050000}"/>
    <cellStyle name="Total 2 2" xfId="100" xr:uid="{00000000-0005-0000-0000-00002F050000}"/>
    <cellStyle name="Total 2 2 10" xfId="1232" xr:uid="{00000000-0005-0000-0000-000030050000}"/>
    <cellStyle name="Total 2 2 11" xfId="1062" xr:uid="{00000000-0005-0000-0000-000031050000}"/>
    <cellStyle name="Total 2 2 12" xfId="1664" xr:uid="{00000000-0005-0000-0000-000032050000}"/>
    <cellStyle name="Total 2 2 2" xfId="145" xr:uid="{00000000-0005-0000-0000-000033050000}"/>
    <cellStyle name="Total 2 2 2 10" xfId="1477" xr:uid="{00000000-0005-0000-0000-000034050000}"/>
    <cellStyle name="Total 2 2 2 11" xfId="1620" xr:uid="{00000000-0005-0000-0000-000035050000}"/>
    <cellStyle name="Total 2 2 2 2" xfId="219" xr:uid="{00000000-0005-0000-0000-000036050000}"/>
    <cellStyle name="Total 2 2 2 2 10" xfId="1358" xr:uid="{00000000-0005-0000-0000-000037050000}"/>
    <cellStyle name="Total 2 2 2 2 2" xfId="367" xr:uid="{00000000-0005-0000-0000-000038050000}"/>
    <cellStyle name="Total 2 2 2 2 2 2" xfId="752" xr:uid="{00000000-0005-0000-0000-000039050000}"/>
    <cellStyle name="Total 2 2 2 2 2 3" xfId="1040" xr:uid="{00000000-0005-0000-0000-00003A050000}"/>
    <cellStyle name="Total 2 2 2 2 2 4" xfId="1192" xr:uid="{00000000-0005-0000-0000-00003B050000}"/>
    <cellStyle name="Total 2 2 2 2 2 5" xfId="1344" xr:uid="{00000000-0005-0000-0000-00003C050000}"/>
    <cellStyle name="Total 2 2 2 2 2 6" xfId="1485" xr:uid="{00000000-0005-0000-0000-00003D050000}"/>
    <cellStyle name="Total 2 2 2 2 2 7" xfId="1098" xr:uid="{00000000-0005-0000-0000-00003E050000}"/>
    <cellStyle name="Total 2 2 2 2 2 8" xfId="1709" xr:uid="{00000000-0005-0000-0000-00003F050000}"/>
    <cellStyle name="Total 2 2 2 2 2 9" xfId="1795" xr:uid="{00000000-0005-0000-0000-000040050000}"/>
    <cellStyle name="Total 2 2 2 2 3" xfId="604" xr:uid="{00000000-0005-0000-0000-000041050000}"/>
    <cellStyle name="Total 2 2 2 2 4" xfId="899" xr:uid="{00000000-0005-0000-0000-000042050000}"/>
    <cellStyle name="Total 2 2 2 2 5" xfId="468" xr:uid="{00000000-0005-0000-0000-000043050000}"/>
    <cellStyle name="Total 2 2 2 2 6" xfId="880" xr:uid="{00000000-0005-0000-0000-000044050000}"/>
    <cellStyle name="Total 2 2 2 2 7" xfId="449" xr:uid="{00000000-0005-0000-0000-000045050000}"/>
    <cellStyle name="Total 2 2 2 2 8" xfId="1585" xr:uid="{00000000-0005-0000-0000-000046050000}"/>
    <cellStyle name="Total 2 2 2 2 9" xfId="1124" xr:uid="{00000000-0005-0000-0000-000047050000}"/>
    <cellStyle name="Total 2 2 2 3" xfId="293" xr:uid="{00000000-0005-0000-0000-000048050000}"/>
    <cellStyle name="Total 2 2 2 3 2" xfId="678" xr:uid="{00000000-0005-0000-0000-000049050000}"/>
    <cellStyle name="Total 2 2 2 3 3" xfId="970" xr:uid="{00000000-0005-0000-0000-00004A050000}"/>
    <cellStyle name="Total 2 2 2 3 4" xfId="1123" xr:uid="{00000000-0005-0000-0000-00004B050000}"/>
    <cellStyle name="Total 2 2 2 3 5" xfId="1278" xr:uid="{00000000-0005-0000-0000-00004C050000}"/>
    <cellStyle name="Total 2 2 2 3 6" xfId="1418" xr:uid="{00000000-0005-0000-0000-00004D050000}"/>
    <cellStyle name="Total 2 2 2 3 7" xfId="1569" xr:uid="{00000000-0005-0000-0000-00004E050000}"/>
    <cellStyle name="Total 2 2 2 3 8" xfId="1660" xr:uid="{00000000-0005-0000-0000-00004F050000}"/>
    <cellStyle name="Total 2 2 2 3 9" xfId="1755" xr:uid="{00000000-0005-0000-0000-000050050000}"/>
    <cellStyle name="Total 2 2 2 4" xfId="530" xr:uid="{00000000-0005-0000-0000-000051050000}"/>
    <cellStyle name="Total 2 2 2 5" xfId="826" xr:uid="{00000000-0005-0000-0000-000052050000}"/>
    <cellStyle name="Total 2 2 2 6" xfId="1056" xr:uid="{00000000-0005-0000-0000-000053050000}"/>
    <cellStyle name="Total 2 2 2 7" xfId="1209" xr:uid="{00000000-0005-0000-0000-000054050000}"/>
    <cellStyle name="Total 2 2 2 8" xfId="1359" xr:uid="{00000000-0005-0000-0000-000055050000}"/>
    <cellStyle name="Total 2 2 2 9" xfId="1280" xr:uid="{00000000-0005-0000-0000-000056050000}"/>
    <cellStyle name="Total 2 2 3" xfId="182" xr:uid="{00000000-0005-0000-0000-000057050000}"/>
    <cellStyle name="Total 2 2 3 10" xfId="394" xr:uid="{00000000-0005-0000-0000-000058050000}"/>
    <cellStyle name="Total 2 2 3 2" xfId="330" xr:uid="{00000000-0005-0000-0000-000059050000}"/>
    <cellStyle name="Total 2 2 3 2 2" xfId="715" xr:uid="{00000000-0005-0000-0000-00005A050000}"/>
    <cellStyle name="Total 2 2 3 2 3" xfId="1005" xr:uid="{00000000-0005-0000-0000-00005B050000}"/>
    <cellStyle name="Total 2 2 3 2 4" xfId="1157" xr:uid="{00000000-0005-0000-0000-00005C050000}"/>
    <cellStyle name="Total 2 2 3 2 5" xfId="1312" xr:uid="{00000000-0005-0000-0000-00005D050000}"/>
    <cellStyle name="Total 2 2 3 2 6" xfId="1451" xr:uid="{00000000-0005-0000-0000-00005E050000}"/>
    <cellStyle name="Total 2 2 3 2 7" xfId="1345" xr:uid="{00000000-0005-0000-0000-00005F050000}"/>
    <cellStyle name="Total 2 2 3 2 8" xfId="1684" xr:uid="{00000000-0005-0000-0000-000060050000}"/>
    <cellStyle name="Total 2 2 3 2 9" xfId="1775" xr:uid="{00000000-0005-0000-0000-000061050000}"/>
    <cellStyle name="Total 2 2 3 3" xfId="567" xr:uid="{00000000-0005-0000-0000-000062050000}"/>
    <cellStyle name="Total 2 2 3 4" xfId="862" xr:uid="{00000000-0005-0000-0000-000063050000}"/>
    <cellStyle name="Total 2 2 3 5" xfId="433" xr:uid="{00000000-0005-0000-0000-000064050000}"/>
    <cellStyle name="Total 2 2 3 6" xfId="950" xr:uid="{00000000-0005-0000-0000-000065050000}"/>
    <cellStyle name="Total 2 2 3 7" xfId="1103" xr:uid="{00000000-0005-0000-0000-000066050000}"/>
    <cellStyle name="Total 2 2 3 8" xfId="1530" xr:uid="{00000000-0005-0000-0000-000067050000}"/>
    <cellStyle name="Total 2 2 3 9" xfId="1534" xr:uid="{00000000-0005-0000-0000-000068050000}"/>
    <cellStyle name="Total 2 2 4" xfId="256" xr:uid="{00000000-0005-0000-0000-000069050000}"/>
    <cellStyle name="Total 2 2 4 2" xfId="641" xr:uid="{00000000-0005-0000-0000-00006A050000}"/>
    <cellStyle name="Total 2 2 4 3" xfId="935" xr:uid="{00000000-0005-0000-0000-00006B050000}"/>
    <cellStyle name="Total 2 2 4 4" xfId="1087" xr:uid="{00000000-0005-0000-0000-00006C050000}"/>
    <cellStyle name="Total 2 2 4 5" xfId="1241" xr:uid="{00000000-0005-0000-0000-00006D050000}"/>
    <cellStyle name="Total 2 2 4 6" xfId="1386" xr:uid="{00000000-0005-0000-0000-00006E050000}"/>
    <cellStyle name="Total 2 2 4 7" xfId="1486" xr:uid="{00000000-0005-0000-0000-00006F050000}"/>
    <cellStyle name="Total 2 2 4 8" xfId="1635" xr:uid="{00000000-0005-0000-0000-000070050000}"/>
    <cellStyle name="Total 2 2 4 9" xfId="1735" xr:uid="{00000000-0005-0000-0000-000071050000}"/>
    <cellStyle name="Total 2 2 5" xfId="487" xr:uid="{00000000-0005-0000-0000-000072050000}"/>
    <cellStyle name="Total 2 2 6" xfId="782" xr:uid="{00000000-0005-0000-0000-000073050000}"/>
    <cellStyle name="Total 2 2 7" xfId="869" xr:uid="{00000000-0005-0000-0000-000074050000}"/>
    <cellStyle name="Total 2 2 8" xfId="388" xr:uid="{00000000-0005-0000-0000-000075050000}"/>
    <cellStyle name="Total 2 2 9" xfId="926" xr:uid="{00000000-0005-0000-0000-000076050000}"/>
    <cellStyle name="Total 2 3" xfId="106" xr:uid="{00000000-0005-0000-0000-000077050000}"/>
    <cellStyle name="Total 2 3 10" xfId="1399" xr:uid="{00000000-0005-0000-0000-000078050000}"/>
    <cellStyle name="Total 2 3 11" xfId="1533" xr:uid="{00000000-0005-0000-0000-000079050000}"/>
    <cellStyle name="Total 2 3 12" xfId="1600" xr:uid="{00000000-0005-0000-0000-00007A050000}"/>
    <cellStyle name="Total 2 3 2" xfId="151" xr:uid="{00000000-0005-0000-0000-00007B050000}"/>
    <cellStyle name="Total 2 3 2 10" xfId="1544" xr:uid="{00000000-0005-0000-0000-00007C050000}"/>
    <cellStyle name="Total 2 3 2 11" xfId="1284" xr:uid="{00000000-0005-0000-0000-00007D050000}"/>
    <cellStyle name="Total 2 3 2 2" xfId="225" xr:uid="{00000000-0005-0000-0000-00007E050000}"/>
    <cellStyle name="Total 2 3 2 2 10" xfId="1159" xr:uid="{00000000-0005-0000-0000-00007F050000}"/>
    <cellStyle name="Total 2 3 2 2 2" xfId="373" xr:uid="{00000000-0005-0000-0000-000080050000}"/>
    <cellStyle name="Total 2 3 2 2 2 2" xfId="758" xr:uid="{00000000-0005-0000-0000-000081050000}"/>
    <cellStyle name="Total 2 3 2 2 2 3" xfId="1045" xr:uid="{00000000-0005-0000-0000-000082050000}"/>
    <cellStyle name="Total 2 3 2 2 2 4" xfId="1198" xr:uid="{00000000-0005-0000-0000-000083050000}"/>
    <cellStyle name="Total 2 3 2 2 2 5" xfId="1349" xr:uid="{00000000-0005-0000-0000-000084050000}"/>
    <cellStyle name="Total 2 3 2 2 2 6" xfId="1490" xr:uid="{00000000-0005-0000-0000-000085050000}"/>
    <cellStyle name="Total 2 3 2 2 2 7" xfId="1389" xr:uid="{00000000-0005-0000-0000-000086050000}"/>
    <cellStyle name="Total 2 3 2 2 2 8" xfId="1712" xr:uid="{00000000-0005-0000-0000-000087050000}"/>
    <cellStyle name="Total 2 3 2 2 2 9" xfId="1798" xr:uid="{00000000-0005-0000-0000-000088050000}"/>
    <cellStyle name="Total 2 3 2 2 3" xfId="610" xr:uid="{00000000-0005-0000-0000-000089050000}"/>
    <cellStyle name="Total 2 3 2 2 4" xfId="905" xr:uid="{00000000-0005-0000-0000-00008A050000}"/>
    <cellStyle name="Total 2 3 2 2 5" xfId="474" xr:uid="{00000000-0005-0000-0000-00008B050000}"/>
    <cellStyle name="Total 2 3 2 2 6" xfId="962" xr:uid="{00000000-0005-0000-0000-00008C050000}"/>
    <cellStyle name="Total 2 3 2 2 7" xfId="1115" xr:uid="{00000000-0005-0000-0000-00008D050000}"/>
    <cellStyle name="Total 2 3 2 2 8" xfId="1438" xr:uid="{00000000-0005-0000-0000-00008E050000}"/>
    <cellStyle name="Total 2 3 2 2 9" xfId="1542" xr:uid="{00000000-0005-0000-0000-00008F050000}"/>
    <cellStyle name="Total 2 3 2 3" xfId="299" xr:uid="{00000000-0005-0000-0000-000090050000}"/>
    <cellStyle name="Total 2 3 2 3 2" xfId="684" xr:uid="{00000000-0005-0000-0000-000091050000}"/>
    <cellStyle name="Total 2 3 2 3 3" xfId="976" xr:uid="{00000000-0005-0000-0000-000092050000}"/>
    <cellStyle name="Total 2 3 2 3 4" xfId="1128" xr:uid="{00000000-0005-0000-0000-000093050000}"/>
    <cellStyle name="Total 2 3 2 3 5" xfId="1283" xr:uid="{00000000-0005-0000-0000-000094050000}"/>
    <cellStyle name="Total 2 3 2 3 6" xfId="1423" xr:uid="{00000000-0005-0000-0000-000095050000}"/>
    <cellStyle name="Total 2 3 2 3 7" xfId="1292" xr:uid="{00000000-0005-0000-0000-000096050000}"/>
    <cellStyle name="Total 2 3 2 3 8" xfId="1663" xr:uid="{00000000-0005-0000-0000-000097050000}"/>
    <cellStyle name="Total 2 3 2 3 9" xfId="1758" xr:uid="{00000000-0005-0000-0000-000098050000}"/>
    <cellStyle name="Total 2 3 2 4" xfId="536" xr:uid="{00000000-0005-0000-0000-000099050000}"/>
    <cellStyle name="Total 2 3 2 5" xfId="831" xr:uid="{00000000-0005-0000-0000-00009A050000}"/>
    <cellStyle name="Total 2 3 2 6" xfId="1022" xr:uid="{00000000-0005-0000-0000-00009B050000}"/>
    <cellStyle name="Total 2 3 2 7" xfId="1174" xr:uid="{00000000-0005-0000-0000-00009C050000}"/>
    <cellStyle name="Total 2 3 2 8" xfId="1327" xr:uid="{00000000-0005-0000-0000-00009D050000}"/>
    <cellStyle name="Total 2 3 2 9" xfId="1586" xr:uid="{00000000-0005-0000-0000-00009E050000}"/>
    <cellStyle name="Total 2 3 3" xfId="188" xr:uid="{00000000-0005-0000-0000-00009F050000}"/>
    <cellStyle name="Total 2 3 3 10" xfId="1590" xr:uid="{00000000-0005-0000-0000-0000A0050000}"/>
    <cellStyle name="Total 2 3 3 2" xfId="336" xr:uid="{00000000-0005-0000-0000-0000A1050000}"/>
    <cellStyle name="Total 2 3 3 2 2" xfId="721" xr:uid="{00000000-0005-0000-0000-0000A2050000}"/>
    <cellStyle name="Total 2 3 3 2 3" xfId="1011" xr:uid="{00000000-0005-0000-0000-0000A3050000}"/>
    <cellStyle name="Total 2 3 3 2 4" xfId="1163" xr:uid="{00000000-0005-0000-0000-0000A4050000}"/>
    <cellStyle name="Total 2 3 3 2 5" xfId="1317" xr:uid="{00000000-0005-0000-0000-0000A5050000}"/>
    <cellStyle name="Total 2 3 3 2 6" xfId="1457" xr:uid="{00000000-0005-0000-0000-0000A6050000}"/>
    <cellStyle name="Total 2 3 3 2 7" xfId="469" xr:uid="{00000000-0005-0000-0000-0000A7050000}"/>
    <cellStyle name="Total 2 3 3 2 8" xfId="1687" xr:uid="{00000000-0005-0000-0000-0000A8050000}"/>
    <cellStyle name="Total 2 3 3 2 9" xfId="1778" xr:uid="{00000000-0005-0000-0000-0000A9050000}"/>
    <cellStyle name="Total 2 3 3 3" xfId="573" xr:uid="{00000000-0005-0000-0000-0000AA050000}"/>
    <cellStyle name="Total 2 3 3 4" xfId="868" xr:uid="{00000000-0005-0000-0000-0000AB050000}"/>
    <cellStyle name="Total 2 3 3 5" xfId="439" xr:uid="{00000000-0005-0000-0000-0000AC050000}"/>
    <cellStyle name="Total 2 3 3 6" xfId="997" xr:uid="{00000000-0005-0000-0000-0000AD050000}"/>
    <cellStyle name="Total 2 3 3 7" xfId="1149" xr:uid="{00000000-0005-0000-0000-0000AE050000}"/>
    <cellStyle name="Total 2 3 3 8" xfId="1023" xr:uid="{00000000-0005-0000-0000-0000AF050000}"/>
    <cellStyle name="Total 2 3 3 9" xfId="1568" xr:uid="{00000000-0005-0000-0000-0000B0050000}"/>
    <cellStyle name="Total 2 3 4" xfId="262" xr:uid="{00000000-0005-0000-0000-0000B1050000}"/>
    <cellStyle name="Total 2 3 4 2" xfId="647" xr:uid="{00000000-0005-0000-0000-0000B2050000}"/>
    <cellStyle name="Total 2 3 4 3" xfId="940" xr:uid="{00000000-0005-0000-0000-0000B3050000}"/>
    <cellStyle name="Total 2 3 4 4" xfId="1093" xr:uid="{00000000-0005-0000-0000-0000B4050000}"/>
    <cellStyle name="Total 2 3 4 5" xfId="1247" xr:uid="{00000000-0005-0000-0000-0000B5050000}"/>
    <cellStyle name="Total 2 3 4 6" xfId="1392" xr:uid="{00000000-0005-0000-0000-0000B6050000}"/>
    <cellStyle name="Total 2 3 4 7" xfId="1513" xr:uid="{00000000-0005-0000-0000-0000B7050000}"/>
    <cellStyle name="Total 2 3 4 8" xfId="1638" xr:uid="{00000000-0005-0000-0000-0000B8050000}"/>
    <cellStyle name="Total 2 3 4 9" xfId="1738" xr:uid="{00000000-0005-0000-0000-0000B9050000}"/>
    <cellStyle name="Total 2 3 5" xfId="493" xr:uid="{00000000-0005-0000-0000-0000BA050000}"/>
    <cellStyle name="Total 2 3 6" xfId="788" xr:uid="{00000000-0005-0000-0000-0000BB050000}"/>
    <cellStyle name="Total 2 3 7" xfId="405" xr:uid="{00000000-0005-0000-0000-0000BC050000}"/>
    <cellStyle name="Total 2 3 8" xfId="949" xr:uid="{00000000-0005-0000-0000-0000BD050000}"/>
    <cellStyle name="Total 2 3 9" xfId="1102" xr:uid="{00000000-0005-0000-0000-0000BE050000}"/>
    <cellStyle name="Total 2 4" xfId="119" xr:uid="{00000000-0005-0000-0000-0000BF050000}"/>
    <cellStyle name="Total 2 4 10" xfId="1608" xr:uid="{00000000-0005-0000-0000-0000C0050000}"/>
    <cellStyle name="Total 2 4 11" xfId="870" xr:uid="{00000000-0005-0000-0000-0000C1050000}"/>
    <cellStyle name="Total 2 4 12" xfId="1221" xr:uid="{00000000-0005-0000-0000-0000C2050000}"/>
    <cellStyle name="Total 2 4 2" xfId="159" xr:uid="{00000000-0005-0000-0000-0000C3050000}"/>
    <cellStyle name="Total 2 4 2 10" xfId="1550" xr:uid="{00000000-0005-0000-0000-0000C4050000}"/>
    <cellStyle name="Total 2 4 2 11" xfId="1487" xr:uid="{00000000-0005-0000-0000-0000C5050000}"/>
    <cellStyle name="Total 2 4 2 2" xfId="233" xr:uid="{00000000-0005-0000-0000-0000C6050000}"/>
    <cellStyle name="Total 2 4 2 2 10" xfId="1723" xr:uid="{00000000-0005-0000-0000-0000C7050000}"/>
    <cellStyle name="Total 2 4 2 2 2" xfId="381" xr:uid="{00000000-0005-0000-0000-0000C8050000}"/>
    <cellStyle name="Total 2 4 2 2 2 2" xfId="766" xr:uid="{00000000-0005-0000-0000-0000C9050000}"/>
    <cellStyle name="Total 2 4 2 2 2 3" xfId="1053" xr:uid="{00000000-0005-0000-0000-0000CA050000}"/>
    <cellStyle name="Total 2 4 2 2 2 4" xfId="1206" xr:uid="{00000000-0005-0000-0000-0000CB050000}"/>
    <cellStyle name="Total 2 4 2 2 2 5" xfId="1356" xr:uid="{00000000-0005-0000-0000-0000CC050000}"/>
    <cellStyle name="Total 2 4 2 2 2 6" xfId="1498" xr:uid="{00000000-0005-0000-0000-0000CD050000}"/>
    <cellStyle name="Total 2 4 2 2 2 7" xfId="1402" xr:uid="{00000000-0005-0000-0000-0000CE050000}"/>
    <cellStyle name="Total 2 4 2 2 2 8" xfId="1717" xr:uid="{00000000-0005-0000-0000-0000CF050000}"/>
    <cellStyle name="Total 2 4 2 2 2 9" xfId="1803" xr:uid="{00000000-0005-0000-0000-0000D0050000}"/>
    <cellStyle name="Total 2 4 2 2 3" xfId="618" xr:uid="{00000000-0005-0000-0000-0000D1050000}"/>
    <cellStyle name="Total 2 4 2 2 4" xfId="913" xr:uid="{00000000-0005-0000-0000-0000D2050000}"/>
    <cellStyle name="Total 2 4 2 2 5" xfId="1065" xr:uid="{00000000-0005-0000-0000-0000D3050000}"/>
    <cellStyle name="Total 2 4 2 2 6" xfId="1218" xr:uid="{00000000-0005-0000-0000-0000D4050000}"/>
    <cellStyle name="Total 2 4 2 2 7" xfId="1367" xr:uid="{00000000-0005-0000-0000-0000D5050000}"/>
    <cellStyle name="Total 2 4 2 2 8" xfId="1325" xr:uid="{00000000-0005-0000-0000-0000D6050000}"/>
    <cellStyle name="Total 2 4 2 2 9" xfId="1619" xr:uid="{00000000-0005-0000-0000-0000D7050000}"/>
    <cellStyle name="Total 2 4 2 3" xfId="307" xr:uid="{00000000-0005-0000-0000-0000D8050000}"/>
    <cellStyle name="Total 2 4 2 3 2" xfId="692" xr:uid="{00000000-0005-0000-0000-0000D9050000}"/>
    <cellStyle name="Total 2 4 2 3 3" xfId="983" xr:uid="{00000000-0005-0000-0000-0000DA050000}"/>
    <cellStyle name="Total 2 4 2 3 4" xfId="1136" xr:uid="{00000000-0005-0000-0000-0000DB050000}"/>
    <cellStyle name="Total 2 4 2 3 5" xfId="1291" xr:uid="{00000000-0005-0000-0000-0000DC050000}"/>
    <cellStyle name="Total 2 4 2 3 6" xfId="1430" xr:uid="{00000000-0005-0000-0000-0000DD050000}"/>
    <cellStyle name="Total 2 4 2 3 7" xfId="1182" xr:uid="{00000000-0005-0000-0000-0000DE050000}"/>
    <cellStyle name="Total 2 4 2 3 8" xfId="1669" xr:uid="{00000000-0005-0000-0000-0000DF050000}"/>
    <cellStyle name="Total 2 4 2 3 9" xfId="1763" xr:uid="{00000000-0005-0000-0000-0000E0050000}"/>
    <cellStyle name="Total 2 4 2 4" xfId="544" xr:uid="{00000000-0005-0000-0000-0000E1050000}"/>
    <cellStyle name="Total 2 4 2 5" xfId="839" xr:uid="{00000000-0005-0000-0000-0000E2050000}"/>
    <cellStyle name="Total 2 4 2 6" xfId="807" xr:uid="{00000000-0005-0000-0000-0000E3050000}"/>
    <cellStyle name="Total 2 4 2 7" xfId="1050" xr:uid="{00000000-0005-0000-0000-0000E4050000}"/>
    <cellStyle name="Total 2 4 2 8" xfId="1203" xr:uid="{00000000-0005-0000-0000-0000E5050000}"/>
    <cellStyle name="Total 2 4 2 9" xfId="1579" xr:uid="{00000000-0005-0000-0000-0000E6050000}"/>
    <cellStyle name="Total 2 4 3" xfId="196" xr:uid="{00000000-0005-0000-0000-0000E7050000}"/>
    <cellStyle name="Total 2 4 3 10" xfId="1525" xr:uid="{00000000-0005-0000-0000-0000E8050000}"/>
    <cellStyle name="Total 2 4 3 2" xfId="344" xr:uid="{00000000-0005-0000-0000-0000E9050000}"/>
    <cellStyle name="Total 2 4 3 2 2" xfId="729" xr:uid="{00000000-0005-0000-0000-0000EA050000}"/>
    <cellStyle name="Total 2 4 3 2 3" xfId="1019" xr:uid="{00000000-0005-0000-0000-0000EB050000}"/>
    <cellStyle name="Total 2 4 3 2 4" xfId="1170" xr:uid="{00000000-0005-0000-0000-0000EC050000}"/>
    <cellStyle name="Total 2 4 3 2 5" xfId="1324" xr:uid="{00000000-0005-0000-0000-0000ED050000}"/>
    <cellStyle name="Total 2 4 3 2 6" xfId="1465" xr:uid="{00000000-0005-0000-0000-0000EE050000}"/>
    <cellStyle name="Total 2 4 3 2 7" xfId="1502" xr:uid="{00000000-0005-0000-0000-0000EF050000}"/>
    <cellStyle name="Total 2 4 3 2 8" xfId="1693" xr:uid="{00000000-0005-0000-0000-0000F0050000}"/>
    <cellStyle name="Total 2 4 3 2 9" xfId="1783" xr:uid="{00000000-0005-0000-0000-0000F1050000}"/>
    <cellStyle name="Total 2 4 3 3" xfId="581" xr:uid="{00000000-0005-0000-0000-0000F2050000}"/>
    <cellStyle name="Total 2 4 3 4" xfId="876" xr:uid="{00000000-0005-0000-0000-0000F3050000}"/>
    <cellStyle name="Total 2 4 3 5" xfId="446" xr:uid="{00000000-0005-0000-0000-0000F4050000}"/>
    <cellStyle name="Total 2 4 3 6" xfId="977" xr:uid="{00000000-0005-0000-0000-0000F5050000}"/>
    <cellStyle name="Total 2 4 3 7" xfId="1130" xr:uid="{00000000-0005-0000-0000-0000F6050000}"/>
    <cellStyle name="Total 2 4 3 8" xfId="1199" xr:uid="{00000000-0005-0000-0000-0000F7050000}"/>
    <cellStyle name="Total 2 4 3 9" xfId="1551" xr:uid="{00000000-0005-0000-0000-0000F8050000}"/>
    <cellStyle name="Total 2 4 4" xfId="270" xr:uid="{00000000-0005-0000-0000-0000F9050000}"/>
    <cellStyle name="Total 2 4 4 2" xfId="655" xr:uid="{00000000-0005-0000-0000-0000FA050000}"/>
    <cellStyle name="Total 2 4 4 3" xfId="948" xr:uid="{00000000-0005-0000-0000-0000FB050000}"/>
    <cellStyle name="Total 2 4 4 4" xfId="1101" xr:uid="{00000000-0005-0000-0000-0000FC050000}"/>
    <cellStyle name="Total 2 4 4 5" xfId="1255" xr:uid="{00000000-0005-0000-0000-0000FD050000}"/>
    <cellStyle name="Total 2 4 4 6" xfId="1398" xr:uid="{00000000-0005-0000-0000-0000FE050000}"/>
    <cellStyle name="Total 2 4 4 7" xfId="1154" xr:uid="{00000000-0005-0000-0000-0000FF050000}"/>
    <cellStyle name="Total 2 4 4 8" xfId="1643" xr:uid="{00000000-0005-0000-0000-000000060000}"/>
    <cellStyle name="Total 2 4 4 9" xfId="1743" xr:uid="{00000000-0005-0000-0000-000001060000}"/>
    <cellStyle name="Total 2 4 5" xfId="505" xr:uid="{00000000-0005-0000-0000-000002060000}"/>
    <cellStyle name="Total 2 4 6" xfId="801" xr:uid="{00000000-0005-0000-0000-000003060000}"/>
    <cellStyle name="Total 2 4 7" xfId="1026" xr:uid="{00000000-0005-0000-0000-000004060000}"/>
    <cellStyle name="Total 2 4 8" xfId="1178" xr:uid="{00000000-0005-0000-0000-000005060000}"/>
    <cellStyle name="Total 2 4 9" xfId="1331" xr:uid="{00000000-0005-0000-0000-000006060000}"/>
    <cellStyle name="Total 2 5" xfId="134" xr:uid="{00000000-0005-0000-0000-000007060000}"/>
    <cellStyle name="Total 2 5 10" xfId="1078" xr:uid="{00000000-0005-0000-0000-000008060000}"/>
    <cellStyle name="Total 2 5 11" xfId="1511" xr:uid="{00000000-0005-0000-0000-000009060000}"/>
    <cellStyle name="Total 2 5 2" xfId="208" xr:uid="{00000000-0005-0000-0000-00000A060000}"/>
    <cellStyle name="Total 2 5 2 10" xfId="1420" xr:uid="{00000000-0005-0000-0000-00000B060000}"/>
    <cellStyle name="Total 2 5 2 2" xfId="356" xr:uid="{00000000-0005-0000-0000-00000C060000}"/>
    <cellStyle name="Total 2 5 2 2 2" xfId="741" xr:uid="{00000000-0005-0000-0000-00000D060000}"/>
    <cellStyle name="Total 2 5 2 2 3" xfId="1029" xr:uid="{00000000-0005-0000-0000-00000E060000}"/>
    <cellStyle name="Total 2 5 2 2 4" xfId="1181" xr:uid="{00000000-0005-0000-0000-00000F060000}"/>
    <cellStyle name="Total 2 5 2 2 5" xfId="1334" xr:uid="{00000000-0005-0000-0000-000010060000}"/>
    <cellStyle name="Total 2 5 2 2 6" xfId="1474" xr:uid="{00000000-0005-0000-0000-000011060000}"/>
    <cellStyle name="Total 2 5 2 2 7" xfId="1220" xr:uid="{00000000-0005-0000-0000-000012060000}"/>
    <cellStyle name="Total 2 5 2 2 8" xfId="1701" xr:uid="{00000000-0005-0000-0000-000013060000}"/>
    <cellStyle name="Total 2 5 2 2 9" xfId="1788" xr:uid="{00000000-0005-0000-0000-000014060000}"/>
    <cellStyle name="Total 2 5 2 3" xfId="593" xr:uid="{00000000-0005-0000-0000-000015060000}"/>
    <cellStyle name="Total 2 5 2 4" xfId="888" xr:uid="{00000000-0005-0000-0000-000016060000}"/>
    <cellStyle name="Total 2 5 2 5" xfId="510" xr:uid="{00000000-0005-0000-0000-000017060000}"/>
    <cellStyle name="Total 2 5 2 6" xfId="902" xr:uid="{00000000-0005-0000-0000-000018060000}"/>
    <cellStyle name="Total 2 5 2 7" xfId="471" xr:uid="{00000000-0005-0000-0000-000019060000}"/>
    <cellStyle name="Total 2 5 2 8" xfId="1378" xr:uid="{00000000-0005-0000-0000-00001A060000}"/>
    <cellStyle name="Total 2 5 2 9" xfId="404" xr:uid="{00000000-0005-0000-0000-00001B060000}"/>
    <cellStyle name="Total 2 5 3" xfId="282" xr:uid="{00000000-0005-0000-0000-00001C060000}"/>
    <cellStyle name="Total 2 5 3 2" xfId="667" xr:uid="{00000000-0005-0000-0000-00001D060000}"/>
    <cellStyle name="Total 2 5 3 3" xfId="959" xr:uid="{00000000-0005-0000-0000-00001E060000}"/>
    <cellStyle name="Total 2 5 3 4" xfId="1112" xr:uid="{00000000-0005-0000-0000-00001F060000}"/>
    <cellStyle name="Total 2 5 3 5" xfId="1267" xr:uid="{00000000-0005-0000-0000-000020060000}"/>
    <cellStyle name="Total 2 5 3 6" xfId="1409" xr:uid="{00000000-0005-0000-0000-000021060000}"/>
    <cellStyle name="Total 2 5 3 7" xfId="925" xr:uid="{00000000-0005-0000-0000-000022060000}"/>
    <cellStyle name="Total 2 5 3 8" xfId="1651" xr:uid="{00000000-0005-0000-0000-000023060000}"/>
    <cellStyle name="Total 2 5 3 9" xfId="1748" xr:uid="{00000000-0005-0000-0000-000024060000}"/>
    <cellStyle name="Total 2 5 4" xfId="519" xr:uid="{00000000-0005-0000-0000-000025060000}"/>
    <cellStyle name="Total 2 5 5" xfId="815" xr:uid="{00000000-0005-0000-0000-000026060000}"/>
    <cellStyle name="Total 2 5 6" xfId="1037" xr:uid="{00000000-0005-0000-0000-000027060000}"/>
    <cellStyle name="Total 2 5 7" xfId="1189" xr:uid="{00000000-0005-0000-0000-000028060000}"/>
    <cellStyle name="Total 2 5 8" xfId="1341" xr:uid="{00000000-0005-0000-0000-000029060000}"/>
    <cellStyle name="Total 2 5 9" xfId="1548" xr:uid="{00000000-0005-0000-0000-00002A060000}"/>
    <cellStyle name="Total 2 6" xfId="171" xr:uid="{00000000-0005-0000-0000-00002B060000}"/>
    <cellStyle name="Total 2 6 10" xfId="1561" xr:uid="{00000000-0005-0000-0000-00002C060000}"/>
    <cellStyle name="Total 2 6 2" xfId="319" xr:uid="{00000000-0005-0000-0000-00002D060000}"/>
    <cellStyle name="Total 2 6 2 2" xfId="704" xr:uid="{00000000-0005-0000-0000-00002E060000}"/>
    <cellStyle name="Total 2 6 2 3" xfId="995" xr:uid="{00000000-0005-0000-0000-00002F060000}"/>
    <cellStyle name="Total 2 6 2 4" xfId="1147" xr:uid="{00000000-0005-0000-0000-000030060000}"/>
    <cellStyle name="Total 2 6 2 5" xfId="1303" xr:uid="{00000000-0005-0000-0000-000031060000}"/>
    <cellStyle name="Total 2 6 2 6" xfId="1441" xr:uid="{00000000-0005-0000-0000-000032060000}"/>
    <cellStyle name="Total 2 6 2 7" xfId="817" xr:uid="{00000000-0005-0000-0000-000033060000}"/>
    <cellStyle name="Total 2 6 2 8" xfId="1676" xr:uid="{00000000-0005-0000-0000-000034060000}"/>
    <cellStyle name="Total 2 6 2 9" xfId="1768" xr:uid="{00000000-0005-0000-0000-000035060000}"/>
    <cellStyle name="Total 2 6 3" xfId="556" xr:uid="{00000000-0005-0000-0000-000036060000}"/>
    <cellStyle name="Total 2 6 4" xfId="851" xr:uid="{00000000-0005-0000-0000-000037060000}"/>
    <cellStyle name="Total 2 6 5" xfId="423" xr:uid="{00000000-0005-0000-0000-000038060000}"/>
    <cellStyle name="Total 2 6 6" xfId="864" xr:uid="{00000000-0005-0000-0000-000039060000}"/>
    <cellStyle name="Total 2 6 7" xfId="435" xr:uid="{00000000-0005-0000-0000-00003A060000}"/>
    <cellStyle name="Total 2 6 8" xfId="1295" xr:uid="{00000000-0005-0000-0000-00003B060000}"/>
    <cellStyle name="Total 2 6 9" xfId="973" xr:uid="{00000000-0005-0000-0000-00003C060000}"/>
    <cellStyle name="Total 2 7" xfId="245" xr:uid="{00000000-0005-0000-0000-00003D060000}"/>
    <cellStyle name="Total 2 7 2" xfId="630" xr:uid="{00000000-0005-0000-0000-00003E060000}"/>
    <cellStyle name="Total 2 7 3" xfId="924" xr:uid="{00000000-0005-0000-0000-00003F060000}"/>
    <cellStyle name="Total 2 7 4" xfId="1077" xr:uid="{00000000-0005-0000-0000-000040060000}"/>
    <cellStyle name="Total 2 7 5" xfId="1230" xr:uid="{00000000-0005-0000-0000-000041060000}"/>
    <cellStyle name="Total 2 7 6" xfId="1377" xr:uid="{00000000-0005-0000-0000-000042060000}"/>
    <cellStyle name="Total 2 7 7" xfId="1350" xr:uid="{00000000-0005-0000-0000-000043060000}"/>
    <cellStyle name="Total 2 7 8" xfId="1627" xr:uid="{00000000-0005-0000-0000-000044060000}"/>
    <cellStyle name="Total 2 7 9" xfId="1728" xr:uid="{00000000-0005-0000-0000-000045060000}"/>
    <cellStyle name="Total 2 8" xfId="461" xr:uid="{00000000-0005-0000-0000-000046060000}"/>
    <cellStyle name="Total 2 9" xfId="407" xr:uid="{00000000-0005-0000-0000-000047060000}"/>
    <cellStyle name="Warning Text 2" xfId="75" xr:uid="{00000000-0005-0000-0000-000048060000}"/>
    <cellStyle name="パーセント 2" xfId="76" xr:uid="{00000000-0005-0000-0000-000049060000}"/>
    <cellStyle name="パーセント 2 2" xfId="107" xr:uid="{00000000-0005-0000-0000-00004A060000}"/>
    <cellStyle name="パーセント 2 2 2" xfId="152" xr:uid="{00000000-0005-0000-0000-00004B060000}"/>
    <cellStyle name="パーセント 2 2 2 2" xfId="226" xr:uid="{00000000-0005-0000-0000-00004C060000}"/>
    <cellStyle name="パーセント 2 2 2 2 2" xfId="374" xr:uid="{00000000-0005-0000-0000-00004D060000}"/>
    <cellStyle name="パーセント 2 2 2 2 2 2" xfId="759" xr:uid="{00000000-0005-0000-0000-00004E060000}"/>
    <cellStyle name="パーセント 2 2 2 2 3" xfId="611" xr:uid="{00000000-0005-0000-0000-00004F060000}"/>
    <cellStyle name="パーセント 2 2 2 3" xfId="300" xr:uid="{00000000-0005-0000-0000-000050060000}"/>
    <cellStyle name="パーセント 2 2 2 3 2" xfId="685" xr:uid="{00000000-0005-0000-0000-000051060000}"/>
    <cellStyle name="パーセント 2 2 2 4" xfId="537" xr:uid="{00000000-0005-0000-0000-000052060000}"/>
    <cellStyle name="パーセント 2 2 3" xfId="189" xr:uid="{00000000-0005-0000-0000-000053060000}"/>
    <cellStyle name="パーセント 2 2 3 2" xfId="337" xr:uid="{00000000-0005-0000-0000-000054060000}"/>
    <cellStyle name="パーセント 2 2 3 2 2" xfId="722" xr:uid="{00000000-0005-0000-0000-000055060000}"/>
    <cellStyle name="パーセント 2 2 3 3" xfId="574" xr:uid="{00000000-0005-0000-0000-000056060000}"/>
    <cellStyle name="パーセント 2 2 4" xfId="263" xr:uid="{00000000-0005-0000-0000-000057060000}"/>
    <cellStyle name="パーセント 2 2 4 2" xfId="648" xr:uid="{00000000-0005-0000-0000-000058060000}"/>
    <cellStyle name="パーセント 2 2 5" xfId="494" xr:uid="{00000000-0005-0000-0000-000059060000}"/>
    <cellStyle name="桁区切り [0.00] 2" xfId="77" xr:uid="{00000000-0005-0000-0000-00005A060000}"/>
    <cellStyle name="桁区切り [0.00] 2 2" xfId="108" xr:uid="{00000000-0005-0000-0000-00005B060000}"/>
    <cellStyle name="桁区切り [0.00] 3" xfId="78" xr:uid="{00000000-0005-0000-0000-00005C060000}"/>
    <cellStyle name="桁区切り [0.00] 3 2" xfId="109" xr:uid="{00000000-0005-0000-0000-00005D060000}"/>
    <cellStyle name="桁区切り [0.00] 4" xfId="79" xr:uid="{00000000-0005-0000-0000-00005E060000}"/>
    <cellStyle name="桁区切り [0.00] 5" xfId="80" xr:uid="{00000000-0005-0000-0000-00005F060000}"/>
    <cellStyle name="桁区切り [0.00] 5 2" xfId="101" xr:uid="{00000000-0005-0000-0000-000060060000}"/>
    <cellStyle name="桁区切り [0.00] 5 2 2" xfId="146" xr:uid="{00000000-0005-0000-0000-000061060000}"/>
    <cellStyle name="桁区切り [0.00] 5 2 2 2" xfId="220" xr:uid="{00000000-0005-0000-0000-000062060000}"/>
    <cellStyle name="桁区切り [0.00] 5 2 2 2 2" xfId="368" xr:uid="{00000000-0005-0000-0000-000063060000}"/>
    <cellStyle name="桁区切り [0.00] 5 2 2 2 2 2" xfId="753" xr:uid="{00000000-0005-0000-0000-000064060000}"/>
    <cellStyle name="桁区切り [0.00] 5 2 2 2 3" xfId="605" xr:uid="{00000000-0005-0000-0000-000065060000}"/>
    <cellStyle name="桁区切り [0.00] 5 2 2 3" xfId="294" xr:uid="{00000000-0005-0000-0000-000066060000}"/>
    <cellStyle name="桁区切り [0.00] 5 2 2 3 2" xfId="679" xr:uid="{00000000-0005-0000-0000-000067060000}"/>
    <cellStyle name="桁区切り [0.00] 5 2 2 4" xfId="531" xr:uid="{00000000-0005-0000-0000-000068060000}"/>
    <cellStyle name="桁区切り [0.00] 5 2 3" xfId="183" xr:uid="{00000000-0005-0000-0000-000069060000}"/>
    <cellStyle name="桁区切り [0.00] 5 2 3 2" xfId="331" xr:uid="{00000000-0005-0000-0000-00006A060000}"/>
    <cellStyle name="桁区切り [0.00] 5 2 3 2 2" xfId="716" xr:uid="{00000000-0005-0000-0000-00006B060000}"/>
    <cellStyle name="桁区切り [0.00] 5 2 3 3" xfId="568" xr:uid="{00000000-0005-0000-0000-00006C060000}"/>
    <cellStyle name="桁区切り [0.00] 5 2 4" xfId="257" xr:uid="{00000000-0005-0000-0000-00006D060000}"/>
    <cellStyle name="桁区切り [0.00] 5 2 4 2" xfId="642" xr:uid="{00000000-0005-0000-0000-00006E060000}"/>
    <cellStyle name="桁区切り [0.00] 5 2 5" xfId="488" xr:uid="{00000000-0005-0000-0000-00006F060000}"/>
    <cellStyle name="桁区切り [0.00] 5 3" xfId="120" xr:uid="{00000000-0005-0000-0000-000070060000}"/>
    <cellStyle name="桁区切り [0.00] 5 3 2" xfId="160" xr:uid="{00000000-0005-0000-0000-000071060000}"/>
    <cellStyle name="桁区切り [0.00] 5 3 2 2" xfId="234" xr:uid="{00000000-0005-0000-0000-000072060000}"/>
    <cellStyle name="桁区切り [0.00] 5 3 2 2 2" xfId="382" xr:uid="{00000000-0005-0000-0000-000073060000}"/>
    <cellStyle name="桁区切り [0.00] 5 3 2 2 2 2" xfId="767" xr:uid="{00000000-0005-0000-0000-000074060000}"/>
    <cellStyle name="桁区切り [0.00] 5 3 2 2 3" xfId="619" xr:uid="{00000000-0005-0000-0000-000075060000}"/>
    <cellStyle name="桁区切り [0.00] 5 3 2 3" xfId="308" xr:uid="{00000000-0005-0000-0000-000076060000}"/>
    <cellStyle name="桁区切り [0.00] 5 3 2 3 2" xfId="693" xr:uid="{00000000-0005-0000-0000-000077060000}"/>
    <cellStyle name="桁区切り [0.00] 5 3 2 4" xfId="545" xr:uid="{00000000-0005-0000-0000-000078060000}"/>
    <cellStyle name="桁区切り [0.00] 5 3 3" xfId="197" xr:uid="{00000000-0005-0000-0000-000079060000}"/>
    <cellStyle name="桁区切り [0.00] 5 3 3 2" xfId="345" xr:uid="{00000000-0005-0000-0000-00007A060000}"/>
    <cellStyle name="桁区切り [0.00] 5 3 3 2 2" xfId="730" xr:uid="{00000000-0005-0000-0000-00007B060000}"/>
    <cellStyle name="桁区切り [0.00] 5 3 3 3" xfId="582" xr:uid="{00000000-0005-0000-0000-00007C060000}"/>
    <cellStyle name="桁区切り [0.00] 5 3 4" xfId="271" xr:uid="{00000000-0005-0000-0000-00007D060000}"/>
    <cellStyle name="桁区切り [0.00] 5 3 4 2" xfId="656" xr:uid="{00000000-0005-0000-0000-00007E060000}"/>
    <cellStyle name="桁区切り [0.00] 5 3 5" xfId="506" xr:uid="{00000000-0005-0000-0000-00007F060000}"/>
    <cellStyle name="桁区切り [0.00] 5 4" xfId="135" xr:uid="{00000000-0005-0000-0000-000080060000}"/>
    <cellStyle name="桁区切り [0.00] 5 4 2" xfId="209" xr:uid="{00000000-0005-0000-0000-000081060000}"/>
    <cellStyle name="桁区切り [0.00] 5 4 2 2" xfId="357" xr:uid="{00000000-0005-0000-0000-000082060000}"/>
    <cellStyle name="桁区切り [0.00] 5 4 2 2 2" xfId="742" xr:uid="{00000000-0005-0000-0000-000083060000}"/>
    <cellStyle name="桁区切り [0.00] 5 4 2 3" xfId="594" xr:uid="{00000000-0005-0000-0000-000084060000}"/>
    <cellStyle name="桁区切り [0.00] 5 4 3" xfId="283" xr:uid="{00000000-0005-0000-0000-000085060000}"/>
    <cellStyle name="桁区切り [0.00] 5 4 3 2" xfId="668" xr:uid="{00000000-0005-0000-0000-000086060000}"/>
    <cellStyle name="桁区切り [0.00] 5 4 4" xfId="520" xr:uid="{00000000-0005-0000-0000-000087060000}"/>
    <cellStyle name="桁区切り [0.00] 5 5" xfId="172" xr:uid="{00000000-0005-0000-0000-000088060000}"/>
    <cellStyle name="桁区切り [0.00] 5 5 2" xfId="320" xr:uid="{00000000-0005-0000-0000-000089060000}"/>
    <cellStyle name="桁区切り [0.00] 5 5 2 2" xfId="705" xr:uid="{00000000-0005-0000-0000-00008A060000}"/>
    <cellStyle name="桁区切り [0.00] 5 5 3" xfId="557" xr:uid="{00000000-0005-0000-0000-00008B060000}"/>
    <cellStyle name="桁区切り [0.00] 5 6" xfId="246" xr:uid="{00000000-0005-0000-0000-00008C060000}"/>
    <cellStyle name="桁区切り [0.00] 5 6 2" xfId="631" xr:uid="{00000000-0005-0000-0000-00008D060000}"/>
    <cellStyle name="桁区切り [0.00] 5 7" xfId="467" xr:uid="{00000000-0005-0000-0000-00008E060000}"/>
    <cellStyle name="桁区切り 2" xfId="81" xr:uid="{00000000-0005-0000-0000-00008F060000}"/>
    <cellStyle name="桁区切り 2 2" xfId="82" xr:uid="{00000000-0005-0000-0000-000090060000}"/>
    <cellStyle name="桁区切り 2 3" xfId="83" xr:uid="{00000000-0005-0000-0000-000091060000}"/>
    <cellStyle name="桁区切り 3" xfId="84" xr:uid="{00000000-0005-0000-0000-000092060000}"/>
    <cellStyle name="桁区切り 4" xfId="85" xr:uid="{00000000-0005-0000-0000-000093060000}"/>
    <cellStyle name="桁区切り 4 2" xfId="102" xr:uid="{00000000-0005-0000-0000-000094060000}"/>
    <cellStyle name="桁区切り 4 2 2" xfId="147" xr:uid="{00000000-0005-0000-0000-000095060000}"/>
    <cellStyle name="桁区切り 4 2 2 2" xfId="221" xr:uid="{00000000-0005-0000-0000-000096060000}"/>
    <cellStyle name="桁区切り 4 2 2 2 2" xfId="369" xr:uid="{00000000-0005-0000-0000-000097060000}"/>
    <cellStyle name="桁区切り 4 2 2 2 2 2" xfId="754" xr:uid="{00000000-0005-0000-0000-000098060000}"/>
    <cellStyle name="桁区切り 4 2 2 2 3" xfId="606" xr:uid="{00000000-0005-0000-0000-000099060000}"/>
    <cellStyle name="桁区切り 4 2 2 3" xfId="295" xr:uid="{00000000-0005-0000-0000-00009A060000}"/>
    <cellStyle name="桁区切り 4 2 2 3 2" xfId="680" xr:uid="{00000000-0005-0000-0000-00009B060000}"/>
    <cellStyle name="桁区切り 4 2 2 4" xfId="532" xr:uid="{00000000-0005-0000-0000-00009C060000}"/>
    <cellStyle name="桁区切り 4 2 3" xfId="184" xr:uid="{00000000-0005-0000-0000-00009D060000}"/>
    <cellStyle name="桁区切り 4 2 3 2" xfId="332" xr:uid="{00000000-0005-0000-0000-00009E060000}"/>
    <cellStyle name="桁区切り 4 2 3 2 2" xfId="717" xr:uid="{00000000-0005-0000-0000-00009F060000}"/>
    <cellStyle name="桁区切り 4 2 3 3" xfId="569" xr:uid="{00000000-0005-0000-0000-0000A0060000}"/>
    <cellStyle name="桁区切り 4 2 4" xfId="258" xr:uid="{00000000-0005-0000-0000-0000A1060000}"/>
    <cellStyle name="桁区切り 4 2 4 2" xfId="643" xr:uid="{00000000-0005-0000-0000-0000A2060000}"/>
    <cellStyle name="桁区切り 4 2 5" xfId="489" xr:uid="{00000000-0005-0000-0000-0000A3060000}"/>
    <cellStyle name="桁区切り 4 3" xfId="121" xr:uid="{00000000-0005-0000-0000-0000A4060000}"/>
    <cellStyle name="桁区切り 4 3 2" xfId="161" xr:uid="{00000000-0005-0000-0000-0000A5060000}"/>
    <cellStyle name="桁区切り 4 3 2 2" xfId="235" xr:uid="{00000000-0005-0000-0000-0000A6060000}"/>
    <cellStyle name="桁区切り 4 3 2 2 2" xfId="383" xr:uid="{00000000-0005-0000-0000-0000A7060000}"/>
    <cellStyle name="桁区切り 4 3 2 2 2 2" xfId="768" xr:uid="{00000000-0005-0000-0000-0000A8060000}"/>
    <cellStyle name="桁区切り 4 3 2 2 3" xfId="620" xr:uid="{00000000-0005-0000-0000-0000A9060000}"/>
    <cellStyle name="桁区切り 4 3 2 3" xfId="309" xr:uid="{00000000-0005-0000-0000-0000AA060000}"/>
    <cellStyle name="桁区切り 4 3 2 3 2" xfId="694" xr:uid="{00000000-0005-0000-0000-0000AB060000}"/>
    <cellStyle name="桁区切り 4 3 2 4" xfId="546" xr:uid="{00000000-0005-0000-0000-0000AC060000}"/>
    <cellStyle name="桁区切り 4 3 3" xfId="198" xr:uid="{00000000-0005-0000-0000-0000AD060000}"/>
    <cellStyle name="桁区切り 4 3 3 2" xfId="346" xr:uid="{00000000-0005-0000-0000-0000AE060000}"/>
    <cellStyle name="桁区切り 4 3 3 2 2" xfId="731" xr:uid="{00000000-0005-0000-0000-0000AF060000}"/>
    <cellStyle name="桁区切り 4 3 3 3" xfId="583" xr:uid="{00000000-0005-0000-0000-0000B0060000}"/>
    <cellStyle name="桁区切り 4 3 4" xfId="272" xr:uid="{00000000-0005-0000-0000-0000B1060000}"/>
    <cellStyle name="桁区切り 4 3 4 2" xfId="657" xr:uid="{00000000-0005-0000-0000-0000B2060000}"/>
    <cellStyle name="桁区切り 4 3 5" xfId="507" xr:uid="{00000000-0005-0000-0000-0000B3060000}"/>
    <cellStyle name="桁区切り 4 4" xfId="136" xr:uid="{00000000-0005-0000-0000-0000B4060000}"/>
    <cellStyle name="桁区切り 4 4 2" xfId="210" xr:uid="{00000000-0005-0000-0000-0000B5060000}"/>
    <cellStyle name="桁区切り 4 4 2 2" xfId="358" xr:uid="{00000000-0005-0000-0000-0000B6060000}"/>
    <cellStyle name="桁区切り 4 4 2 2 2" xfId="743" xr:uid="{00000000-0005-0000-0000-0000B7060000}"/>
    <cellStyle name="桁区切り 4 4 2 3" xfId="595" xr:uid="{00000000-0005-0000-0000-0000B8060000}"/>
    <cellStyle name="桁区切り 4 4 3" xfId="284" xr:uid="{00000000-0005-0000-0000-0000B9060000}"/>
    <cellStyle name="桁区切り 4 4 3 2" xfId="669" xr:uid="{00000000-0005-0000-0000-0000BA060000}"/>
    <cellStyle name="桁区切り 4 4 4" xfId="521" xr:uid="{00000000-0005-0000-0000-0000BB060000}"/>
    <cellStyle name="桁区切り 4 5" xfId="173" xr:uid="{00000000-0005-0000-0000-0000BC060000}"/>
    <cellStyle name="桁区切り 4 5 2" xfId="321" xr:uid="{00000000-0005-0000-0000-0000BD060000}"/>
    <cellStyle name="桁区切り 4 5 2 2" xfId="706" xr:uid="{00000000-0005-0000-0000-0000BE060000}"/>
    <cellStyle name="桁区切り 4 5 3" xfId="558" xr:uid="{00000000-0005-0000-0000-0000BF060000}"/>
    <cellStyle name="桁区切り 4 6" xfId="247" xr:uid="{00000000-0005-0000-0000-0000C0060000}"/>
    <cellStyle name="桁区切り 4 6 2" xfId="632" xr:uid="{00000000-0005-0000-0000-0000C1060000}"/>
    <cellStyle name="桁区切り 4 7" xfId="472" xr:uid="{00000000-0005-0000-0000-0000C2060000}"/>
    <cellStyle name="標準 2" xfId="2" xr:uid="{00000000-0005-0000-0000-0000C3060000}"/>
    <cellStyle name="標準 2 2" xfId="86" xr:uid="{00000000-0005-0000-0000-0000C4060000}"/>
    <cellStyle name="標準 2 3" xfId="110" xr:uid="{00000000-0005-0000-0000-0000C5060000}"/>
    <cellStyle name="標準 2 3 2" xfId="153" xr:uid="{00000000-0005-0000-0000-0000C6060000}"/>
    <cellStyle name="標準 2 3 2 2" xfId="227" xr:uid="{00000000-0005-0000-0000-0000C7060000}"/>
    <cellStyle name="標準 2 3 2 2 2" xfId="375" xr:uid="{00000000-0005-0000-0000-0000C8060000}"/>
    <cellStyle name="標準 2 3 2 2 2 2" xfId="760" xr:uid="{00000000-0005-0000-0000-0000C9060000}"/>
    <cellStyle name="標準 2 3 2 2 3" xfId="612" xr:uid="{00000000-0005-0000-0000-0000CA060000}"/>
    <cellStyle name="標準 2 3 2 3" xfId="301" xr:uid="{00000000-0005-0000-0000-0000CB060000}"/>
    <cellStyle name="標準 2 3 2 3 2" xfId="686" xr:uid="{00000000-0005-0000-0000-0000CC060000}"/>
    <cellStyle name="標準 2 3 2 4" xfId="538" xr:uid="{00000000-0005-0000-0000-0000CD060000}"/>
    <cellStyle name="標準 2 3 3" xfId="190" xr:uid="{00000000-0005-0000-0000-0000CE060000}"/>
    <cellStyle name="標準 2 3 3 2" xfId="338" xr:uid="{00000000-0005-0000-0000-0000CF060000}"/>
    <cellStyle name="標準 2 3 3 2 2" xfId="723" xr:uid="{00000000-0005-0000-0000-0000D0060000}"/>
    <cellStyle name="標準 2 3 3 3" xfId="575" xr:uid="{00000000-0005-0000-0000-0000D1060000}"/>
    <cellStyle name="標準 2 3 4" xfId="264" xr:uid="{00000000-0005-0000-0000-0000D2060000}"/>
    <cellStyle name="標準 2 3 4 2" xfId="649" xr:uid="{00000000-0005-0000-0000-0000D3060000}"/>
    <cellStyle name="標準 2 3 5" xfId="497" xr:uid="{00000000-0005-0000-0000-0000D4060000}"/>
    <cellStyle name="標準 3" xfId="87" xr:uid="{00000000-0005-0000-0000-0000D5060000}"/>
    <cellStyle name="標準 3 2" xfId="88" xr:uid="{00000000-0005-0000-0000-0000D6060000}"/>
    <cellStyle name="標準 3 3" xfId="111" xr:uid="{00000000-0005-0000-0000-0000D7060000}"/>
    <cellStyle name="標準 4" xfId="89" xr:uid="{00000000-0005-0000-0000-0000D8060000}"/>
    <cellStyle name="標準 4 2" xfId="112" xr:uid="{00000000-0005-0000-0000-0000D9060000}"/>
    <cellStyle name="標準 5" xfId="90" xr:uid="{00000000-0005-0000-0000-0000DA060000}"/>
    <cellStyle name="標準 5 2" xfId="103" xr:uid="{00000000-0005-0000-0000-0000DB060000}"/>
    <cellStyle name="標準 5 2 2" xfId="148" xr:uid="{00000000-0005-0000-0000-0000DC060000}"/>
    <cellStyle name="標準 5 2 2 2" xfId="222" xr:uid="{00000000-0005-0000-0000-0000DD060000}"/>
    <cellStyle name="標準 5 2 2 2 2" xfId="370" xr:uid="{00000000-0005-0000-0000-0000DE060000}"/>
    <cellStyle name="標準 5 2 2 2 2 2" xfId="755" xr:uid="{00000000-0005-0000-0000-0000DF060000}"/>
    <cellStyle name="標準 5 2 2 2 3" xfId="607" xr:uid="{00000000-0005-0000-0000-0000E0060000}"/>
    <cellStyle name="標準 5 2 2 3" xfId="296" xr:uid="{00000000-0005-0000-0000-0000E1060000}"/>
    <cellStyle name="標準 5 2 2 3 2" xfId="681" xr:uid="{00000000-0005-0000-0000-0000E2060000}"/>
    <cellStyle name="標準 5 2 2 4" xfId="533" xr:uid="{00000000-0005-0000-0000-0000E3060000}"/>
    <cellStyle name="標準 5 2 3" xfId="185" xr:uid="{00000000-0005-0000-0000-0000E4060000}"/>
    <cellStyle name="標準 5 2 3 2" xfId="333" xr:uid="{00000000-0005-0000-0000-0000E5060000}"/>
    <cellStyle name="標準 5 2 3 2 2" xfId="718" xr:uid="{00000000-0005-0000-0000-0000E6060000}"/>
    <cellStyle name="標準 5 2 3 3" xfId="570" xr:uid="{00000000-0005-0000-0000-0000E7060000}"/>
    <cellStyle name="標準 5 2 4" xfId="259" xr:uid="{00000000-0005-0000-0000-0000E8060000}"/>
    <cellStyle name="標準 5 2 4 2" xfId="644" xr:uid="{00000000-0005-0000-0000-0000E9060000}"/>
    <cellStyle name="標準 5 2 5" xfId="490" xr:uid="{00000000-0005-0000-0000-0000EA060000}"/>
    <cellStyle name="標準 5 3" xfId="123" xr:uid="{00000000-0005-0000-0000-0000EB060000}"/>
    <cellStyle name="標準 5 3 2" xfId="163" xr:uid="{00000000-0005-0000-0000-0000EC060000}"/>
    <cellStyle name="標準 5 3 2 2" xfId="237" xr:uid="{00000000-0005-0000-0000-0000ED060000}"/>
    <cellStyle name="標準 5 3 2 2 2" xfId="385" xr:uid="{00000000-0005-0000-0000-0000EE060000}"/>
    <cellStyle name="標準 5 3 2 2 2 2" xfId="770" xr:uid="{00000000-0005-0000-0000-0000EF060000}"/>
    <cellStyle name="標準 5 3 2 2 3" xfId="622" xr:uid="{00000000-0005-0000-0000-0000F0060000}"/>
    <cellStyle name="標準 5 3 2 3" xfId="311" xr:uid="{00000000-0005-0000-0000-0000F1060000}"/>
    <cellStyle name="標準 5 3 2 3 2" xfId="696" xr:uid="{00000000-0005-0000-0000-0000F2060000}"/>
    <cellStyle name="標準 5 3 2 4" xfId="548" xr:uid="{00000000-0005-0000-0000-0000F3060000}"/>
    <cellStyle name="標準 5 3 3" xfId="200" xr:uid="{00000000-0005-0000-0000-0000F4060000}"/>
    <cellStyle name="標準 5 3 3 2" xfId="348" xr:uid="{00000000-0005-0000-0000-0000F5060000}"/>
    <cellStyle name="標準 5 3 3 2 2" xfId="733" xr:uid="{00000000-0005-0000-0000-0000F6060000}"/>
    <cellStyle name="標準 5 3 3 3" xfId="585" xr:uid="{00000000-0005-0000-0000-0000F7060000}"/>
    <cellStyle name="標準 5 3 4" xfId="274" xr:uid="{00000000-0005-0000-0000-0000F8060000}"/>
    <cellStyle name="標準 5 3 4 2" xfId="659" xr:uid="{00000000-0005-0000-0000-0000F9060000}"/>
    <cellStyle name="標準 5 3 5" xfId="509" xr:uid="{00000000-0005-0000-0000-0000FA060000}"/>
    <cellStyle name="標準 5 4" xfId="137" xr:uid="{00000000-0005-0000-0000-0000FB060000}"/>
    <cellStyle name="標準 5 4 2" xfId="211" xr:uid="{00000000-0005-0000-0000-0000FC060000}"/>
    <cellStyle name="標準 5 4 2 2" xfId="359" xr:uid="{00000000-0005-0000-0000-0000FD060000}"/>
    <cellStyle name="標準 5 4 2 2 2" xfId="744" xr:uid="{00000000-0005-0000-0000-0000FE060000}"/>
    <cellStyle name="標準 5 4 2 3" xfId="596" xr:uid="{00000000-0005-0000-0000-0000FF060000}"/>
    <cellStyle name="標準 5 4 3" xfId="285" xr:uid="{00000000-0005-0000-0000-000000070000}"/>
    <cellStyle name="標準 5 4 3 2" xfId="670" xr:uid="{00000000-0005-0000-0000-000001070000}"/>
    <cellStyle name="標準 5 4 4" xfId="522" xr:uid="{00000000-0005-0000-0000-000002070000}"/>
    <cellStyle name="標準 5 5" xfId="174" xr:uid="{00000000-0005-0000-0000-000003070000}"/>
    <cellStyle name="標準 5 5 2" xfId="322" xr:uid="{00000000-0005-0000-0000-000004070000}"/>
    <cellStyle name="標準 5 5 2 2" xfId="707" xr:uid="{00000000-0005-0000-0000-000005070000}"/>
    <cellStyle name="標準 5 5 3" xfId="559" xr:uid="{00000000-0005-0000-0000-000006070000}"/>
    <cellStyle name="標準 5 6" xfId="248" xr:uid="{00000000-0005-0000-0000-000007070000}"/>
    <cellStyle name="標準 5 6 2" xfId="633" xr:uid="{00000000-0005-0000-0000-000008070000}"/>
    <cellStyle name="標準 5 7" xfId="477" xr:uid="{00000000-0005-0000-0000-000009070000}"/>
    <cellStyle name="標準 6" xfId="91" xr:uid="{00000000-0005-0000-0000-00000A070000}"/>
    <cellStyle name="標準 6 2" xfId="113" xr:uid="{00000000-0005-0000-0000-00000B07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3.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4.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5.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km-square.kdtvn.local/temp/morita/&#24341;&#32153;&#12366;/&#26085;&#26412;&#20154;&#32102;&#19982;/SAL-HK2004.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Adjustment (4)"/>
      <sheetName val="Adjustment (5)"/>
      <sheetName val="Adjustment (6)"/>
      <sheetName val="SALＡRY"/>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C所得税是正"/>
      <sheetName val="中国勤務交通費（1）"/>
      <sheetName val="Adjustment"/>
      <sheetName val="Adjustment (2)"/>
      <sheetName val="Adjustment (3)"/>
      <sheetName val="SALＡRY"/>
      <sheetName val="Drum訂正"/>
      <sheetName val="Transfer Slip-HK POSTAGE"/>
      <sheetName val="Transfer Slip-HK"/>
      <sheetName val="Transfer Slip-JPN"/>
      <sheetName val="Transfer Slip-JPN (2)"/>
      <sheetName val="Transfer Slip-renta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85"/>
  <sheetViews>
    <sheetView zoomScaleNormal="100" zoomScaleSheetLayoutView="85" workbookViewId="0">
      <pane xSplit="2" ySplit="4" topLeftCell="C5" activePane="bottomRight" state="frozen"/>
      <selection pane="topRight" activeCell="C1" sqref="C1"/>
      <selection pane="bottomLeft" activeCell="A6" sqref="A6"/>
      <selection pane="bottomRight" activeCell="B5" sqref="B5"/>
    </sheetView>
  </sheetViews>
  <sheetFormatPr defaultColWidth="9" defaultRowHeight="14"/>
  <cols>
    <col min="1" max="1" width="13" style="3" customWidth="1"/>
    <col min="2" max="2" width="26.36328125" style="2" customWidth="1"/>
    <col min="3" max="3" width="17.26953125" style="2" customWidth="1"/>
    <col min="4" max="4" width="13" style="3" customWidth="1"/>
    <col min="5" max="6" width="15.26953125" style="3" customWidth="1"/>
    <col min="7" max="7" width="12.36328125" style="2" customWidth="1"/>
    <col min="8" max="8" width="13.7265625" style="2" customWidth="1"/>
    <col min="9" max="9" width="9.7265625" style="2" customWidth="1"/>
    <col min="10" max="10" width="110" style="2" customWidth="1"/>
    <col min="11" max="11" width="10.7265625" style="2" bestFit="1" customWidth="1"/>
    <col min="12" max="16384" width="9" style="2"/>
  </cols>
  <sheetData>
    <row r="1" spans="1:10" ht="17.5">
      <c r="A1" s="1" t="s">
        <v>148</v>
      </c>
      <c r="C1" s="3"/>
      <c r="F1" s="4"/>
      <c r="H1" s="13"/>
    </row>
    <row r="2" spans="1:10">
      <c r="C2" s="3"/>
      <c r="F2" s="4"/>
      <c r="H2" s="13"/>
      <c r="J2" s="5"/>
    </row>
    <row r="3" spans="1:10" ht="15" customHeight="1">
      <c r="A3" s="63" t="s">
        <v>188</v>
      </c>
      <c r="C3" s="3"/>
      <c r="H3" s="13"/>
    </row>
    <row r="4" spans="1:10" ht="40.5" customHeight="1">
      <c r="A4" s="18" t="s">
        <v>0</v>
      </c>
      <c r="B4" s="18" t="s">
        <v>1</v>
      </c>
      <c r="C4" s="19" t="s">
        <v>2</v>
      </c>
      <c r="D4" s="18" t="s">
        <v>3</v>
      </c>
      <c r="E4" s="18" t="s">
        <v>4</v>
      </c>
      <c r="F4" s="18" t="s">
        <v>5</v>
      </c>
      <c r="G4" s="18" t="s">
        <v>6</v>
      </c>
      <c r="H4" s="20" t="s">
        <v>7</v>
      </c>
      <c r="I4" s="19" t="s">
        <v>8</v>
      </c>
      <c r="J4" s="19" t="s">
        <v>9</v>
      </c>
    </row>
    <row r="5" spans="1:10" ht="45.65" customHeight="1">
      <c r="A5" s="91" t="s">
        <v>10</v>
      </c>
      <c r="B5" s="21" t="s">
        <v>11</v>
      </c>
      <c r="C5" s="22" t="s">
        <v>12</v>
      </c>
      <c r="D5" s="22">
        <v>5005246281</v>
      </c>
      <c r="E5" s="22">
        <v>6005146627</v>
      </c>
      <c r="F5" s="22">
        <v>6005146541</v>
      </c>
      <c r="G5" s="22" t="s">
        <v>13</v>
      </c>
      <c r="H5" s="37">
        <v>58000</v>
      </c>
      <c r="I5" s="23" t="s">
        <v>14</v>
      </c>
      <c r="J5" s="24" t="s">
        <v>15</v>
      </c>
    </row>
    <row r="6" spans="1:10" ht="31.5" customHeight="1">
      <c r="A6" s="90"/>
      <c r="B6" s="26" t="s">
        <v>16</v>
      </c>
      <c r="C6" s="27" t="s">
        <v>12</v>
      </c>
      <c r="D6" s="27">
        <v>5005246281</v>
      </c>
      <c r="E6" s="27">
        <v>6005146627</v>
      </c>
      <c r="F6" s="27">
        <v>6005146541</v>
      </c>
      <c r="G6" s="27" t="s">
        <v>17</v>
      </c>
      <c r="H6" s="38">
        <v>500</v>
      </c>
      <c r="I6" s="28" t="s">
        <v>14</v>
      </c>
      <c r="J6" s="29" t="s">
        <v>15</v>
      </c>
    </row>
    <row r="7" spans="1:10" ht="31.5" customHeight="1">
      <c r="A7" s="90"/>
      <c r="B7" s="26" t="s">
        <v>18</v>
      </c>
      <c r="C7" s="27" t="s">
        <v>19</v>
      </c>
      <c r="D7" s="27">
        <v>5005246288</v>
      </c>
      <c r="E7" s="27">
        <v>6005126423</v>
      </c>
      <c r="F7" s="27">
        <v>6005246544</v>
      </c>
      <c r="G7" s="27" t="s">
        <v>13</v>
      </c>
      <c r="H7" s="38">
        <v>3600</v>
      </c>
      <c r="I7" s="28" t="s">
        <v>20</v>
      </c>
      <c r="J7" s="29" t="s">
        <v>15</v>
      </c>
    </row>
    <row r="8" spans="1:10" ht="31.5" customHeight="1">
      <c r="A8" s="90"/>
      <c r="B8" s="30" t="s">
        <v>21</v>
      </c>
      <c r="C8" s="27" t="s">
        <v>19</v>
      </c>
      <c r="D8" s="27">
        <v>5005246288</v>
      </c>
      <c r="E8" s="27">
        <v>6005126423</v>
      </c>
      <c r="F8" s="27">
        <v>6005246544</v>
      </c>
      <c r="G8" s="27" t="s">
        <v>13</v>
      </c>
      <c r="H8" s="38">
        <v>3000</v>
      </c>
      <c r="I8" s="31" t="s">
        <v>22</v>
      </c>
      <c r="J8" s="29" t="s">
        <v>15</v>
      </c>
    </row>
    <row r="9" spans="1:10" ht="31.5" customHeight="1">
      <c r="A9" s="90"/>
      <c r="B9" s="95" t="s">
        <v>23</v>
      </c>
      <c r="C9" s="97" t="s">
        <v>19</v>
      </c>
      <c r="D9" s="97">
        <v>5005246288</v>
      </c>
      <c r="E9" s="97">
        <v>6005126423</v>
      </c>
      <c r="F9" s="97">
        <v>6005246544</v>
      </c>
      <c r="G9" s="97" t="s">
        <v>13</v>
      </c>
      <c r="H9" s="38">
        <v>4000</v>
      </c>
      <c r="I9" s="31" t="s">
        <v>24</v>
      </c>
      <c r="J9" s="29" t="s">
        <v>25</v>
      </c>
    </row>
    <row r="10" spans="1:10" ht="31.5" customHeight="1">
      <c r="A10" s="90"/>
      <c r="B10" s="96"/>
      <c r="C10" s="97"/>
      <c r="D10" s="97"/>
      <c r="E10" s="97"/>
      <c r="F10" s="97"/>
      <c r="G10" s="97"/>
      <c r="H10" s="38">
        <v>9100</v>
      </c>
      <c r="I10" s="31" t="s">
        <v>24</v>
      </c>
      <c r="J10" s="29" t="s">
        <v>26</v>
      </c>
    </row>
    <row r="11" spans="1:10" ht="33.75" customHeight="1">
      <c r="A11" s="90"/>
      <c r="B11" s="26" t="s">
        <v>149</v>
      </c>
      <c r="C11" s="27" t="s">
        <v>27</v>
      </c>
      <c r="D11" s="27">
        <v>5005246281</v>
      </c>
      <c r="E11" s="27">
        <v>6005146627</v>
      </c>
      <c r="F11" s="27">
        <v>6005146541</v>
      </c>
      <c r="G11" s="27" t="s">
        <v>13</v>
      </c>
      <c r="H11" s="38">
        <v>18000</v>
      </c>
      <c r="I11" s="31" t="s">
        <v>24</v>
      </c>
      <c r="J11" s="29" t="s">
        <v>15</v>
      </c>
    </row>
    <row r="12" spans="1:10" ht="33.75" customHeight="1">
      <c r="A12" s="90"/>
      <c r="B12" s="26" t="s">
        <v>150</v>
      </c>
      <c r="C12" s="27" t="s">
        <v>27</v>
      </c>
      <c r="D12" s="27">
        <v>5005246281</v>
      </c>
      <c r="E12" s="27">
        <v>6005146627</v>
      </c>
      <c r="F12" s="27">
        <v>6005146541</v>
      </c>
      <c r="G12" s="27" t="s">
        <v>13</v>
      </c>
      <c r="H12" s="38">
        <v>9200</v>
      </c>
      <c r="I12" s="31" t="s">
        <v>24</v>
      </c>
      <c r="J12" s="29" t="s">
        <v>15</v>
      </c>
    </row>
    <row r="13" spans="1:10" ht="33" customHeight="1">
      <c r="A13" s="100"/>
      <c r="B13" s="26" t="s">
        <v>28</v>
      </c>
      <c r="C13" s="27" t="s">
        <v>29</v>
      </c>
      <c r="D13" s="27">
        <v>5004086291</v>
      </c>
      <c r="E13" s="27">
        <v>6004086651</v>
      </c>
      <c r="F13" s="27">
        <v>6004086551</v>
      </c>
      <c r="G13" s="27" t="s">
        <v>30</v>
      </c>
      <c r="H13" s="38">
        <v>100000</v>
      </c>
      <c r="I13" s="31" t="s">
        <v>31</v>
      </c>
      <c r="J13" s="29" t="s">
        <v>151</v>
      </c>
    </row>
    <row r="14" spans="1:10" ht="88.5" customHeight="1">
      <c r="A14" s="90"/>
      <c r="B14" s="42" t="s">
        <v>32</v>
      </c>
      <c r="C14" s="43" t="s">
        <v>29</v>
      </c>
      <c r="D14" s="43">
        <v>5004086291</v>
      </c>
      <c r="E14" s="43">
        <v>6004086651</v>
      </c>
      <c r="F14" s="43">
        <v>6004086551</v>
      </c>
      <c r="G14" s="43" t="s">
        <v>33</v>
      </c>
      <c r="H14" s="43" t="s">
        <v>34</v>
      </c>
      <c r="I14" s="45" t="s">
        <v>31</v>
      </c>
      <c r="J14" s="29" t="s">
        <v>167</v>
      </c>
    </row>
    <row r="15" spans="1:10" ht="34.5" customHeight="1">
      <c r="A15" s="90"/>
      <c r="B15" s="56" t="s">
        <v>35</v>
      </c>
      <c r="C15" s="51" t="s">
        <v>36</v>
      </c>
      <c r="D15" s="51">
        <v>5004086291</v>
      </c>
      <c r="E15" s="51">
        <v>6004086651</v>
      </c>
      <c r="F15" s="51">
        <v>6004086551</v>
      </c>
      <c r="G15" s="51" t="s">
        <v>37</v>
      </c>
      <c r="H15" s="60">
        <v>156600</v>
      </c>
      <c r="I15" s="52" t="s">
        <v>38</v>
      </c>
      <c r="J15" s="62" t="s">
        <v>152</v>
      </c>
    </row>
    <row r="16" spans="1:10" ht="79.150000000000006" customHeight="1">
      <c r="A16" s="90"/>
      <c r="B16" s="56" t="s">
        <v>39</v>
      </c>
      <c r="C16" s="51" t="s">
        <v>36</v>
      </c>
      <c r="D16" s="51">
        <v>5004086291</v>
      </c>
      <c r="E16" s="51">
        <v>6004086651</v>
      </c>
      <c r="F16" s="51">
        <v>6004086551</v>
      </c>
      <c r="G16" s="51" t="s">
        <v>37</v>
      </c>
      <c r="H16" s="60">
        <v>170100</v>
      </c>
      <c r="I16" s="52" t="s">
        <v>40</v>
      </c>
      <c r="J16" s="62" t="s">
        <v>186</v>
      </c>
    </row>
    <row r="17" spans="1:11" ht="34.5" customHeight="1">
      <c r="A17" s="101"/>
      <c r="B17" s="32" t="s">
        <v>41</v>
      </c>
      <c r="C17" s="33" t="s">
        <v>29</v>
      </c>
      <c r="D17" s="33">
        <v>5004086291</v>
      </c>
      <c r="E17" s="33">
        <v>6004086651</v>
      </c>
      <c r="F17" s="33">
        <v>6004086551</v>
      </c>
      <c r="G17" s="33" t="s">
        <v>42</v>
      </c>
      <c r="H17" s="34" t="s">
        <v>43</v>
      </c>
      <c r="I17" s="35" t="s">
        <v>31</v>
      </c>
      <c r="J17" s="36" t="s">
        <v>44</v>
      </c>
    </row>
    <row r="18" spans="1:11" ht="36.75" customHeight="1">
      <c r="A18" s="91" t="s">
        <v>45</v>
      </c>
      <c r="B18" s="21" t="s">
        <v>46</v>
      </c>
      <c r="C18" s="22" t="s">
        <v>47</v>
      </c>
      <c r="D18" s="22">
        <v>5005056281</v>
      </c>
      <c r="E18" s="22">
        <v>6005056625</v>
      </c>
      <c r="F18" s="22">
        <v>6005056543</v>
      </c>
      <c r="G18" s="22" t="s">
        <v>48</v>
      </c>
      <c r="H18" s="37" t="s">
        <v>49</v>
      </c>
      <c r="I18" s="39" t="s">
        <v>50</v>
      </c>
      <c r="J18" s="98" t="s">
        <v>176</v>
      </c>
      <c r="K18" s="10"/>
    </row>
    <row r="19" spans="1:11" ht="36.75" customHeight="1">
      <c r="A19" s="90"/>
      <c r="B19" s="26" t="s">
        <v>51</v>
      </c>
      <c r="C19" s="40" t="s">
        <v>146</v>
      </c>
      <c r="D19" s="40">
        <v>5005016372</v>
      </c>
      <c r="E19" s="40">
        <v>6005016422</v>
      </c>
      <c r="F19" s="40">
        <v>6005016413</v>
      </c>
      <c r="G19" s="27" t="s">
        <v>48</v>
      </c>
      <c r="H19" s="38" t="s">
        <v>34</v>
      </c>
      <c r="I19" s="31" t="s">
        <v>50</v>
      </c>
      <c r="J19" s="99"/>
      <c r="K19" s="10" t="s">
        <v>187</v>
      </c>
    </row>
    <row r="20" spans="1:11" ht="36.75" customHeight="1">
      <c r="A20" s="90"/>
      <c r="B20" s="26" t="s">
        <v>52</v>
      </c>
      <c r="C20" s="40" t="s">
        <v>146</v>
      </c>
      <c r="D20" s="40">
        <v>5005016372</v>
      </c>
      <c r="E20" s="40">
        <v>6005016422</v>
      </c>
      <c r="F20" s="40">
        <v>6005016413</v>
      </c>
      <c r="G20" s="27" t="s">
        <v>48</v>
      </c>
      <c r="H20" s="38" t="s">
        <v>34</v>
      </c>
      <c r="I20" s="31" t="s">
        <v>50</v>
      </c>
      <c r="J20" s="99"/>
      <c r="K20" s="10"/>
    </row>
    <row r="21" spans="1:11" ht="85.5" customHeight="1">
      <c r="A21" s="90"/>
      <c r="B21" s="26" t="s">
        <v>53</v>
      </c>
      <c r="C21" s="27" t="s">
        <v>54</v>
      </c>
      <c r="D21" s="27">
        <v>5005246286</v>
      </c>
      <c r="E21" s="27">
        <v>6005246673</v>
      </c>
      <c r="F21" s="27">
        <v>6005246542</v>
      </c>
      <c r="G21" s="27" t="s">
        <v>48</v>
      </c>
      <c r="H21" s="38" t="s">
        <v>34</v>
      </c>
      <c r="I21" s="31" t="s">
        <v>50</v>
      </c>
      <c r="J21" s="41" t="s">
        <v>178</v>
      </c>
      <c r="K21" s="12"/>
    </row>
    <row r="22" spans="1:11" ht="36.75" customHeight="1">
      <c r="A22" s="90"/>
      <c r="B22" s="26" t="s">
        <v>55</v>
      </c>
      <c r="C22" s="27" t="s">
        <v>56</v>
      </c>
      <c r="D22" s="27">
        <v>5005136281</v>
      </c>
      <c r="E22" s="27">
        <v>6005136626</v>
      </c>
      <c r="F22" s="27">
        <v>6005136541</v>
      </c>
      <c r="G22" s="27" t="s">
        <v>57</v>
      </c>
      <c r="H22" s="38" t="s">
        <v>34</v>
      </c>
      <c r="I22" s="31" t="s">
        <v>58</v>
      </c>
      <c r="J22" s="41" t="s">
        <v>59</v>
      </c>
    </row>
    <row r="23" spans="1:11" ht="36.75" customHeight="1">
      <c r="A23" s="90"/>
      <c r="B23" s="26" t="s">
        <v>60</v>
      </c>
      <c r="C23" s="27" t="s">
        <v>56</v>
      </c>
      <c r="D23" s="27">
        <v>5005136291</v>
      </c>
      <c r="E23" s="27">
        <v>6005136657</v>
      </c>
      <c r="F23" s="27">
        <v>6005136551</v>
      </c>
      <c r="G23" s="27" t="s">
        <v>57</v>
      </c>
      <c r="H23" s="38" t="s">
        <v>34</v>
      </c>
      <c r="I23" s="31" t="s">
        <v>61</v>
      </c>
      <c r="J23" s="41" t="s">
        <v>62</v>
      </c>
    </row>
    <row r="24" spans="1:11" ht="36.75" customHeight="1">
      <c r="A24" s="90"/>
      <c r="B24" s="26" t="s">
        <v>63</v>
      </c>
      <c r="C24" s="27" t="s">
        <v>64</v>
      </c>
      <c r="D24" s="27">
        <v>5005116292</v>
      </c>
      <c r="E24" s="27">
        <v>6005116655</v>
      </c>
      <c r="F24" s="27">
        <v>6005116552</v>
      </c>
      <c r="G24" s="27" t="s">
        <v>43</v>
      </c>
      <c r="H24" s="38" t="s">
        <v>43</v>
      </c>
      <c r="I24" s="31"/>
      <c r="J24" s="41" t="s">
        <v>65</v>
      </c>
    </row>
    <row r="25" spans="1:11" ht="36.75" customHeight="1">
      <c r="A25" s="90"/>
      <c r="B25" s="30" t="s">
        <v>66</v>
      </c>
      <c r="C25" s="27" t="s">
        <v>67</v>
      </c>
      <c r="D25" s="27">
        <v>5005116291</v>
      </c>
      <c r="E25" s="27">
        <v>6005116654</v>
      </c>
      <c r="F25" s="27">
        <v>6005116551</v>
      </c>
      <c r="G25" s="27" t="s">
        <v>43</v>
      </c>
      <c r="H25" s="38" t="s">
        <v>43</v>
      </c>
      <c r="I25" s="31"/>
      <c r="J25" s="41" t="s">
        <v>65</v>
      </c>
    </row>
    <row r="26" spans="1:11" ht="36.75" customHeight="1">
      <c r="A26" s="90"/>
      <c r="B26" s="30" t="s">
        <v>68</v>
      </c>
      <c r="C26" s="27" t="s">
        <v>67</v>
      </c>
      <c r="D26" s="27">
        <v>5005116291</v>
      </c>
      <c r="E26" s="27">
        <v>6005116654</v>
      </c>
      <c r="F26" s="27">
        <v>6005116551</v>
      </c>
      <c r="G26" s="27" t="s">
        <v>43</v>
      </c>
      <c r="H26" s="38" t="s">
        <v>43</v>
      </c>
      <c r="I26" s="31"/>
      <c r="J26" s="41" t="s">
        <v>65</v>
      </c>
    </row>
    <row r="27" spans="1:11" ht="46.5" customHeight="1">
      <c r="A27" s="90"/>
      <c r="B27" s="26" t="s">
        <v>69</v>
      </c>
      <c r="C27" s="27" t="s">
        <v>29</v>
      </c>
      <c r="D27" s="27">
        <v>5004086291</v>
      </c>
      <c r="E27" s="27">
        <v>6004086651</v>
      </c>
      <c r="F27" s="27">
        <v>6004086551</v>
      </c>
      <c r="G27" s="61" t="s">
        <v>48</v>
      </c>
      <c r="H27" s="38" t="s">
        <v>34</v>
      </c>
      <c r="I27" s="31" t="s">
        <v>70</v>
      </c>
      <c r="J27" s="90" t="s">
        <v>71</v>
      </c>
      <c r="K27" s="10"/>
    </row>
    <row r="28" spans="1:11" ht="46.5" customHeight="1">
      <c r="A28" s="90"/>
      <c r="B28" s="26" t="s">
        <v>72</v>
      </c>
      <c r="C28" s="27" t="s">
        <v>29</v>
      </c>
      <c r="D28" s="27">
        <v>5004086291</v>
      </c>
      <c r="E28" s="27">
        <v>6004086651</v>
      </c>
      <c r="F28" s="27">
        <v>6004086551</v>
      </c>
      <c r="G28" s="27" t="s">
        <v>48</v>
      </c>
      <c r="H28" s="38" t="s">
        <v>34</v>
      </c>
      <c r="I28" s="31" t="s">
        <v>70</v>
      </c>
      <c r="J28" s="90"/>
      <c r="K28" s="10"/>
    </row>
    <row r="29" spans="1:11" s="58" customFormat="1" ht="66" customHeight="1">
      <c r="A29" s="90"/>
      <c r="B29" s="42" t="s">
        <v>73</v>
      </c>
      <c r="C29" s="43" t="s">
        <v>12</v>
      </c>
      <c r="D29" s="43">
        <v>5005246281</v>
      </c>
      <c r="E29" s="43">
        <v>6005146627</v>
      </c>
      <c r="F29" s="43">
        <v>6005146541</v>
      </c>
      <c r="G29" s="25" t="s">
        <v>154</v>
      </c>
      <c r="H29" s="59" t="s">
        <v>185</v>
      </c>
      <c r="I29" s="45" t="s">
        <v>31</v>
      </c>
      <c r="J29" s="41" t="s">
        <v>166</v>
      </c>
      <c r="K29" s="57"/>
    </row>
    <row r="30" spans="1:11" ht="43.5" customHeight="1">
      <c r="A30" s="90"/>
      <c r="B30" s="26" t="s">
        <v>74</v>
      </c>
      <c r="C30" s="27" t="s">
        <v>29</v>
      </c>
      <c r="D30" s="27">
        <v>5004086291</v>
      </c>
      <c r="E30" s="27">
        <v>6004086651</v>
      </c>
      <c r="F30" s="27">
        <v>6004086551</v>
      </c>
      <c r="G30" s="27" t="s">
        <v>57</v>
      </c>
      <c r="H30" s="38">
        <v>165000</v>
      </c>
      <c r="I30" s="31" t="s">
        <v>75</v>
      </c>
      <c r="J30" s="41" t="s">
        <v>76</v>
      </c>
    </row>
    <row r="31" spans="1:11" ht="93" customHeight="1">
      <c r="A31" s="90"/>
      <c r="B31" s="26" t="s">
        <v>77</v>
      </c>
      <c r="C31" s="27" t="s">
        <v>29</v>
      </c>
      <c r="D31" s="27">
        <v>5004086291</v>
      </c>
      <c r="E31" s="27">
        <v>6004086651</v>
      </c>
      <c r="F31" s="27">
        <v>6004086551</v>
      </c>
      <c r="G31" s="27" t="s">
        <v>78</v>
      </c>
      <c r="H31" s="38">
        <v>165000</v>
      </c>
      <c r="I31" s="31" t="s">
        <v>75</v>
      </c>
      <c r="J31" s="41" t="s">
        <v>177</v>
      </c>
    </row>
    <row r="32" spans="1:11" ht="39.75" customHeight="1">
      <c r="A32" s="90"/>
      <c r="B32" s="26" t="s">
        <v>79</v>
      </c>
      <c r="C32" s="27" t="s">
        <v>29</v>
      </c>
      <c r="D32" s="27">
        <v>5004086291</v>
      </c>
      <c r="E32" s="27">
        <v>6004086651</v>
      </c>
      <c r="F32" s="27">
        <v>6004086551</v>
      </c>
      <c r="G32" s="27" t="s">
        <v>57</v>
      </c>
      <c r="H32" s="38">
        <v>175000</v>
      </c>
      <c r="I32" s="31" t="s">
        <v>75</v>
      </c>
      <c r="J32" s="41" t="s">
        <v>76</v>
      </c>
    </row>
    <row r="33" spans="1:10" ht="39.75" customHeight="1">
      <c r="A33" s="90"/>
      <c r="B33" s="26" t="s">
        <v>80</v>
      </c>
      <c r="C33" s="27" t="s">
        <v>29</v>
      </c>
      <c r="D33" s="27">
        <v>5004086291</v>
      </c>
      <c r="E33" s="27">
        <v>6004086651</v>
      </c>
      <c r="F33" s="27">
        <v>6004086551</v>
      </c>
      <c r="G33" s="27" t="s">
        <v>81</v>
      </c>
      <c r="H33" s="46">
        <v>175000</v>
      </c>
      <c r="I33" s="31" t="s">
        <v>75</v>
      </c>
      <c r="J33" s="41" t="s">
        <v>157</v>
      </c>
    </row>
    <row r="34" spans="1:10" ht="39.75" customHeight="1">
      <c r="A34" s="90"/>
      <c r="B34" s="26" t="s">
        <v>153</v>
      </c>
      <c r="C34" s="27" t="s">
        <v>29</v>
      </c>
      <c r="D34" s="27">
        <v>5004086291</v>
      </c>
      <c r="E34" s="27">
        <v>6004086651</v>
      </c>
      <c r="F34" s="27">
        <v>6004086551</v>
      </c>
      <c r="G34" s="27" t="s">
        <v>57</v>
      </c>
      <c r="H34" s="46">
        <v>139000</v>
      </c>
      <c r="I34" s="31" t="s">
        <v>75</v>
      </c>
      <c r="J34" s="41" t="s">
        <v>76</v>
      </c>
    </row>
    <row r="35" spans="1:10" ht="39.75" customHeight="1">
      <c r="A35" s="90"/>
      <c r="B35" s="26" t="s">
        <v>82</v>
      </c>
      <c r="C35" s="27" t="s">
        <v>29</v>
      </c>
      <c r="D35" s="27">
        <v>5004086291</v>
      </c>
      <c r="E35" s="27">
        <v>6004086651</v>
      </c>
      <c r="F35" s="27">
        <v>6004086551</v>
      </c>
      <c r="G35" s="27" t="s">
        <v>57</v>
      </c>
      <c r="H35" s="46">
        <v>240000</v>
      </c>
      <c r="I35" s="31" t="s">
        <v>75</v>
      </c>
      <c r="J35" s="41" t="s">
        <v>76</v>
      </c>
    </row>
    <row r="36" spans="1:10" ht="39.75" customHeight="1">
      <c r="A36" s="90"/>
      <c r="B36" s="26" t="s">
        <v>83</v>
      </c>
      <c r="C36" s="27" t="s">
        <v>29</v>
      </c>
      <c r="D36" s="27">
        <v>5004086291</v>
      </c>
      <c r="E36" s="27">
        <v>6004086651</v>
      </c>
      <c r="F36" s="27">
        <v>6004086551</v>
      </c>
      <c r="G36" s="27" t="s">
        <v>57</v>
      </c>
      <c r="H36" s="46">
        <v>116000</v>
      </c>
      <c r="I36" s="31" t="s">
        <v>75</v>
      </c>
      <c r="J36" s="41" t="s">
        <v>76</v>
      </c>
    </row>
    <row r="37" spans="1:10" ht="39.75" customHeight="1">
      <c r="A37" s="90"/>
      <c r="B37" s="26" t="s">
        <v>84</v>
      </c>
      <c r="C37" s="27" t="s">
        <v>29</v>
      </c>
      <c r="D37" s="27">
        <v>5004086291</v>
      </c>
      <c r="E37" s="27">
        <v>6004086651</v>
      </c>
      <c r="F37" s="27">
        <v>6004086551</v>
      </c>
      <c r="G37" s="27" t="s">
        <v>57</v>
      </c>
      <c r="H37" s="46">
        <v>124500</v>
      </c>
      <c r="I37" s="31" t="s">
        <v>75</v>
      </c>
      <c r="J37" s="41" t="s">
        <v>76</v>
      </c>
    </row>
    <row r="38" spans="1:10" ht="39.75" customHeight="1">
      <c r="A38" s="90"/>
      <c r="B38" s="26" t="s">
        <v>163</v>
      </c>
      <c r="C38" s="27" t="s">
        <v>29</v>
      </c>
      <c r="D38" s="27">
        <v>5004086291</v>
      </c>
      <c r="E38" s="27">
        <v>6004086651</v>
      </c>
      <c r="F38" s="27">
        <v>6004086551</v>
      </c>
      <c r="G38" s="27" t="s">
        <v>57</v>
      </c>
      <c r="H38" s="46">
        <v>33500</v>
      </c>
      <c r="I38" s="31" t="s">
        <v>20</v>
      </c>
      <c r="J38" s="41" t="s">
        <v>76</v>
      </c>
    </row>
    <row r="39" spans="1:10" ht="39.75" customHeight="1">
      <c r="A39" s="90"/>
      <c r="B39" s="26" t="s">
        <v>85</v>
      </c>
      <c r="C39" s="27" t="s">
        <v>29</v>
      </c>
      <c r="D39" s="27">
        <v>5004086291</v>
      </c>
      <c r="E39" s="27">
        <v>6004086651</v>
      </c>
      <c r="F39" s="27">
        <v>6004086551</v>
      </c>
      <c r="G39" s="27" t="s">
        <v>57</v>
      </c>
      <c r="H39" s="46">
        <v>39000</v>
      </c>
      <c r="I39" s="31" t="s">
        <v>20</v>
      </c>
      <c r="J39" s="41" t="s">
        <v>76</v>
      </c>
    </row>
    <row r="40" spans="1:10" ht="39.75" customHeight="1">
      <c r="A40" s="90"/>
      <c r="B40" s="26" t="s">
        <v>86</v>
      </c>
      <c r="C40" s="27" t="s">
        <v>29</v>
      </c>
      <c r="D40" s="27">
        <v>5004086291</v>
      </c>
      <c r="E40" s="27">
        <v>6004086651</v>
      </c>
      <c r="F40" s="27">
        <v>6004086551</v>
      </c>
      <c r="G40" s="27" t="s">
        <v>57</v>
      </c>
      <c r="H40" s="46">
        <v>47000</v>
      </c>
      <c r="I40" s="31" t="s">
        <v>20</v>
      </c>
      <c r="J40" s="41" t="s">
        <v>87</v>
      </c>
    </row>
    <row r="41" spans="1:10" ht="39.75" customHeight="1">
      <c r="A41" s="90"/>
      <c r="B41" s="26" t="s">
        <v>88</v>
      </c>
      <c r="C41" s="27" t="s">
        <v>29</v>
      </c>
      <c r="D41" s="27">
        <v>5004086291</v>
      </c>
      <c r="E41" s="27">
        <v>6004086651</v>
      </c>
      <c r="F41" s="27">
        <v>6004086551</v>
      </c>
      <c r="G41" s="27" t="s">
        <v>57</v>
      </c>
      <c r="H41" s="46">
        <v>82000</v>
      </c>
      <c r="I41" s="31" t="s">
        <v>89</v>
      </c>
      <c r="J41" s="41" t="s">
        <v>76</v>
      </c>
    </row>
    <row r="42" spans="1:10" ht="39.75" customHeight="1">
      <c r="A42" s="90"/>
      <c r="B42" s="26" t="s">
        <v>90</v>
      </c>
      <c r="C42" s="27" t="s">
        <v>29</v>
      </c>
      <c r="D42" s="27">
        <v>5004086291</v>
      </c>
      <c r="E42" s="27">
        <v>6004086651</v>
      </c>
      <c r="F42" s="27">
        <v>6004086551</v>
      </c>
      <c r="G42" s="27" t="s">
        <v>57</v>
      </c>
      <c r="H42" s="46">
        <v>84000</v>
      </c>
      <c r="I42" s="31" t="s">
        <v>89</v>
      </c>
      <c r="J42" s="41" t="s">
        <v>76</v>
      </c>
    </row>
    <row r="43" spans="1:10" ht="39.75" customHeight="1">
      <c r="A43" s="90"/>
      <c r="B43" s="42" t="s">
        <v>168</v>
      </c>
      <c r="C43" s="43" t="s">
        <v>29</v>
      </c>
      <c r="D43" s="43">
        <v>5004086291</v>
      </c>
      <c r="E43" s="43">
        <v>6004086651</v>
      </c>
      <c r="F43" s="43">
        <v>6004086551</v>
      </c>
      <c r="G43" s="43" t="s">
        <v>57</v>
      </c>
      <c r="H43" s="46">
        <v>120000</v>
      </c>
      <c r="I43" s="45" t="s">
        <v>89</v>
      </c>
      <c r="J43" s="41" t="s">
        <v>76</v>
      </c>
    </row>
    <row r="44" spans="1:10" ht="42" customHeight="1">
      <c r="A44" s="90"/>
      <c r="B44" s="26" t="s">
        <v>173</v>
      </c>
      <c r="C44" s="43" t="s">
        <v>29</v>
      </c>
      <c r="D44" s="43">
        <v>5004086291</v>
      </c>
      <c r="E44" s="43">
        <v>6004086651</v>
      </c>
      <c r="F44" s="43">
        <v>6004086551</v>
      </c>
      <c r="G44" s="43" t="s">
        <v>57</v>
      </c>
      <c r="H44" s="46">
        <v>410000</v>
      </c>
      <c r="I44" s="31" t="s">
        <v>89</v>
      </c>
      <c r="J44" s="41" t="s">
        <v>76</v>
      </c>
    </row>
    <row r="45" spans="1:10" ht="99.75" customHeight="1">
      <c r="A45" s="90"/>
      <c r="B45" s="42" t="s">
        <v>174</v>
      </c>
      <c r="C45" s="43" t="s">
        <v>29</v>
      </c>
      <c r="D45" s="43">
        <v>5004086291</v>
      </c>
      <c r="E45" s="43">
        <v>6004086651</v>
      </c>
      <c r="F45" s="43">
        <v>6004086551</v>
      </c>
      <c r="G45" s="43" t="s">
        <v>57</v>
      </c>
      <c r="H45" s="44" t="s">
        <v>43</v>
      </c>
      <c r="I45" s="45" t="s">
        <v>89</v>
      </c>
      <c r="J45" s="29" t="s">
        <v>175</v>
      </c>
    </row>
    <row r="46" spans="1:10" ht="42" customHeight="1">
      <c r="A46" s="90"/>
      <c r="B46" s="26" t="s">
        <v>91</v>
      </c>
      <c r="C46" s="27" t="s">
        <v>29</v>
      </c>
      <c r="D46" s="27">
        <v>5004086291</v>
      </c>
      <c r="E46" s="27">
        <v>6004086651</v>
      </c>
      <c r="F46" s="27">
        <v>6004086551</v>
      </c>
      <c r="G46" s="27" t="s">
        <v>57</v>
      </c>
      <c r="H46" s="46">
        <v>27000</v>
      </c>
      <c r="I46" s="31" t="s">
        <v>20</v>
      </c>
      <c r="J46" s="41" t="s">
        <v>76</v>
      </c>
    </row>
    <row r="47" spans="1:10" ht="42" customHeight="1">
      <c r="A47" s="90"/>
      <c r="B47" s="26" t="s">
        <v>92</v>
      </c>
      <c r="C47" s="27" t="s">
        <v>29</v>
      </c>
      <c r="D47" s="27" t="s">
        <v>43</v>
      </c>
      <c r="E47" s="27">
        <v>6004086651</v>
      </c>
      <c r="F47" s="27" t="s">
        <v>43</v>
      </c>
      <c r="G47" s="27" t="s">
        <v>57</v>
      </c>
      <c r="H47" s="46">
        <v>250500</v>
      </c>
      <c r="I47" s="31" t="s">
        <v>93</v>
      </c>
      <c r="J47" s="41" t="s">
        <v>76</v>
      </c>
    </row>
    <row r="48" spans="1:10" ht="42" customHeight="1">
      <c r="A48" s="90"/>
      <c r="B48" s="26" t="s">
        <v>94</v>
      </c>
      <c r="C48" s="27" t="s">
        <v>29</v>
      </c>
      <c r="D48" s="27" t="s">
        <v>43</v>
      </c>
      <c r="E48" s="27">
        <v>6004086651</v>
      </c>
      <c r="F48" s="27" t="s">
        <v>43</v>
      </c>
      <c r="G48" s="27" t="s">
        <v>57</v>
      </c>
      <c r="H48" s="46">
        <v>265000</v>
      </c>
      <c r="I48" s="31" t="s">
        <v>93</v>
      </c>
      <c r="J48" s="41" t="s">
        <v>76</v>
      </c>
    </row>
    <row r="49" spans="1:11" ht="42.75" customHeight="1">
      <c r="A49" s="90"/>
      <c r="B49" s="26" t="s">
        <v>95</v>
      </c>
      <c r="C49" s="27" t="s">
        <v>29</v>
      </c>
      <c r="D49" s="27" t="s">
        <v>43</v>
      </c>
      <c r="E49" s="27">
        <v>6004086651</v>
      </c>
      <c r="F49" s="27" t="s">
        <v>43</v>
      </c>
      <c r="G49" s="27" t="s">
        <v>57</v>
      </c>
      <c r="H49" s="46">
        <v>129500</v>
      </c>
      <c r="I49" s="31" t="s">
        <v>93</v>
      </c>
      <c r="J49" s="41" t="s">
        <v>76</v>
      </c>
    </row>
    <row r="50" spans="1:11" ht="42.75" customHeight="1">
      <c r="A50" s="90"/>
      <c r="B50" s="26" t="s">
        <v>96</v>
      </c>
      <c r="C50" s="27" t="s">
        <v>29</v>
      </c>
      <c r="D50" s="27" t="s">
        <v>43</v>
      </c>
      <c r="E50" s="27">
        <v>6004086651</v>
      </c>
      <c r="F50" s="27" t="s">
        <v>43</v>
      </c>
      <c r="G50" s="27" t="s">
        <v>57</v>
      </c>
      <c r="H50" s="46">
        <v>240000</v>
      </c>
      <c r="I50" s="31" t="s">
        <v>93</v>
      </c>
      <c r="J50" s="41" t="s">
        <v>76</v>
      </c>
    </row>
    <row r="51" spans="1:11" ht="42.75" customHeight="1">
      <c r="A51" s="90"/>
      <c r="B51" s="26" t="s">
        <v>97</v>
      </c>
      <c r="C51" s="27" t="s">
        <v>29</v>
      </c>
      <c r="D51" s="27" t="s">
        <v>43</v>
      </c>
      <c r="E51" s="27">
        <v>6004086651</v>
      </c>
      <c r="F51" s="27" t="s">
        <v>43</v>
      </c>
      <c r="G51" s="27" t="s">
        <v>57</v>
      </c>
      <c r="H51" s="46">
        <v>297600</v>
      </c>
      <c r="I51" s="31" t="s">
        <v>98</v>
      </c>
      <c r="J51" s="41" t="s">
        <v>76</v>
      </c>
    </row>
    <row r="52" spans="1:11" ht="42.75" customHeight="1">
      <c r="A52" s="90"/>
      <c r="B52" s="26" t="s">
        <v>99</v>
      </c>
      <c r="C52" s="27" t="s">
        <v>29</v>
      </c>
      <c r="D52" s="27" t="s">
        <v>43</v>
      </c>
      <c r="E52" s="27">
        <v>6004086651</v>
      </c>
      <c r="F52" s="27" t="s">
        <v>43</v>
      </c>
      <c r="G52" s="27" t="s">
        <v>57</v>
      </c>
      <c r="H52" s="46">
        <v>43200</v>
      </c>
      <c r="I52" s="31" t="s">
        <v>100</v>
      </c>
      <c r="J52" s="41" t="s">
        <v>76</v>
      </c>
    </row>
    <row r="53" spans="1:11" s="65" customFormat="1" ht="85.5" customHeight="1">
      <c r="A53" s="90"/>
      <c r="B53" s="56" t="s">
        <v>101</v>
      </c>
      <c r="C53" s="51" t="s">
        <v>29</v>
      </c>
      <c r="D53" s="51">
        <v>5004086291</v>
      </c>
      <c r="E53" s="51">
        <v>6004086651</v>
      </c>
      <c r="F53" s="51">
        <v>6004086551</v>
      </c>
      <c r="G53" s="64" t="s">
        <v>156</v>
      </c>
      <c r="H53" s="66">
        <v>8500</v>
      </c>
      <c r="I53" s="52" t="s">
        <v>100</v>
      </c>
      <c r="J53" s="62" t="s">
        <v>158</v>
      </c>
    </row>
    <row r="54" spans="1:11" ht="34.5" customHeight="1">
      <c r="A54" s="90"/>
      <c r="B54" s="42" t="s">
        <v>102</v>
      </c>
      <c r="C54" s="43" t="s">
        <v>29</v>
      </c>
      <c r="D54" s="43">
        <v>5004086291</v>
      </c>
      <c r="E54" s="43">
        <v>6004086651</v>
      </c>
      <c r="F54" s="43">
        <v>6004086551</v>
      </c>
      <c r="G54" s="43" t="s">
        <v>43</v>
      </c>
      <c r="H54" s="44">
        <v>45000</v>
      </c>
      <c r="I54" s="45" t="s">
        <v>100</v>
      </c>
      <c r="J54" s="41" t="s">
        <v>103</v>
      </c>
    </row>
    <row r="55" spans="1:11" ht="34.5" customHeight="1">
      <c r="A55" s="90"/>
      <c r="B55" s="42" t="s">
        <v>104</v>
      </c>
      <c r="C55" s="43" t="s">
        <v>29</v>
      </c>
      <c r="D55" s="43">
        <v>5004086291</v>
      </c>
      <c r="E55" s="43">
        <v>6004086651</v>
      </c>
      <c r="F55" s="43">
        <v>6004086551</v>
      </c>
      <c r="G55" s="43" t="s">
        <v>43</v>
      </c>
      <c r="H55" s="44">
        <v>34000</v>
      </c>
      <c r="I55" s="45" t="s">
        <v>100</v>
      </c>
      <c r="J55" s="41" t="s">
        <v>103</v>
      </c>
    </row>
    <row r="56" spans="1:11" ht="34.5" customHeight="1">
      <c r="A56" s="90"/>
      <c r="B56" s="42" t="s">
        <v>105</v>
      </c>
      <c r="C56" s="43" t="s">
        <v>29</v>
      </c>
      <c r="D56" s="43">
        <v>5004086291</v>
      </c>
      <c r="E56" s="43">
        <v>6004086651</v>
      </c>
      <c r="F56" s="43">
        <v>6004086551</v>
      </c>
      <c r="G56" s="43" t="s">
        <v>43</v>
      </c>
      <c r="H56" s="44">
        <v>70000</v>
      </c>
      <c r="I56" s="45" t="s">
        <v>100</v>
      </c>
      <c r="J56" s="41" t="s">
        <v>103</v>
      </c>
    </row>
    <row r="57" spans="1:11" ht="54.75" customHeight="1">
      <c r="A57" s="90"/>
      <c r="B57" s="42" t="s">
        <v>106</v>
      </c>
      <c r="C57" s="43" t="s">
        <v>29</v>
      </c>
      <c r="D57" s="43">
        <v>5004086291</v>
      </c>
      <c r="E57" s="43">
        <v>6004086651</v>
      </c>
      <c r="F57" s="43">
        <v>6004086551</v>
      </c>
      <c r="G57" s="43" t="s">
        <v>43</v>
      </c>
      <c r="H57" s="46">
        <v>300000</v>
      </c>
      <c r="I57" s="45" t="s">
        <v>31</v>
      </c>
      <c r="J57" s="41" t="s">
        <v>155</v>
      </c>
    </row>
    <row r="58" spans="1:11" ht="114" customHeight="1">
      <c r="A58" s="90"/>
      <c r="B58" s="42" t="s">
        <v>107</v>
      </c>
      <c r="C58" s="43" t="s">
        <v>29</v>
      </c>
      <c r="D58" s="43">
        <v>5004086291</v>
      </c>
      <c r="E58" s="43">
        <v>6004086651</v>
      </c>
      <c r="F58" s="43">
        <v>6004086551</v>
      </c>
      <c r="G58" s="25" t="s">
        <v>108</v>
      </c>
      <c r="H58" s="53">
        <v>1874000</v>
      </c>
      <c r="I58" s="45" t="s">
        <v>31</v>
      </c>
      <c r="J58" s="41" t="s">
        <v>184</v>
      </c>
    </row>
    <row r="59" spans="1:11" ht="139.15" customHeight="1">
      <c r="A59" s="90"/>
      <c r="B59" s="42" t="s">
        <v>171</v>
      </c>
      <c r="C59" s="43" t="s">
        <v>29</v>
      </c>
      <c r="D59" s="43">
        <v>5004086291</v>
      </c>
      <c r="E59" s="43">
        <v>6004086651</v>
      </c>
      <c r="F59" s="43">
        <v>6004086551</v>
      </c>
      <c r="G59" s="25" t="s">
        <v>170</v>
      </c>
      <c r="H59" s="46">
        <v>1312500</v>
      </c>
      <c r="I59" s="45" t="s">
        <v>31</v>
      </c>
      <c r="J59" s="29" t="s">
        <v>172</v>
      </c>
    </row>
    <row r="60" spans="1:11" s="58" customFormat="1" ht="93.75" customHeight="1">
      <c r="A60" s="90"/>
      <c r="B60" s="42" t="s">
        <v>109</v>
      </c>
      <c r="C60" s="43" t="s">
        <v>29</v>
      </c>
      <c r="D60" s="43">
        <v>5004086291</v>
      </c>
      <c r="E60" s="43">
        <v>6004086651</v>
      </c>
      <c r="F60" s="43">
        <v>6004086551</v>
      </c>
      <c r="G60" s="25" t="s">
        <v>114</v>
      </c>
      <c r="H60" s="46">
        <v>140500</v>
      </c>
      <c r="I60" s="45" t="s">
        <v>31</v>
      </c>
      <c r="J60" s="41" t="s">
        <v>164</v>
      </c>
      <c r="K60" s="57"/>
    </row>
    <row r="61" spans="1:11" ht="92.15" customHeight="1">
      <c r="A61" s="90"/>
      <c r="B61" s="42" t="s">
        <v>110</v>
      </c>
      <c r="C61" s="43" t="s">
        <v>29</v>
      </c>
      <c r="D61" s="43">
        <v>5004086291</v>
      </c>
      <c r="E61" s="43">
        <v>6004086651</v>
      </c>
      <c r="F61" s="43">
        <v>6004086551</v>
      </c>
      <c r="G61" s="43" t="s">
        <v>112</v>
      </c>
      <c r="H61" s="44">
        <v>0</v>
      </c>
      <c r="I61" s="45" t="s">
        <v>31</v>
      </c>
      <c r="J61" s="41" t="s">
        <v>179</v>
      </c>
      <c r="K61" s="10"/>
    </row>
    <row r="62" spans="1:11" ht="82.15" customHeight="1">
      <c r="A62" s="90"/>
      <c r="B62" s="41" t="s">
        <v>111</v>
      </c>
      <c r="C62" s="43" t="s">
        <v>29</v>
      </c>
      <c r="D62" s="43">
        <v>5004086291</v>
      </c>
      <c r="E62" s="43">
        <v>6004086651</v>
      </c>
      <c r="F62" s="43">
        <v>6004086551</v>
      </c>
      <c r="G62" s="25" t="s">
        <v>112</v>
      </c>
      <c r="H62" s="46">
        <v>481230</v>
      </c>
      <c r="I62" s="45" t="s">
        <v>31</v>
      </c>
      <c r="J62" s="41" t="s">
        <v>180</v>
      </c>
      <c r="K62" s="10"/>
    </row>
    <row r="63" spans="1:11" ht="70.5" customHeight="1">
      <c r="A63" s="90"/>
      <c r="B63" s="41" t="s">
        <v>113</v>
      </c>
      <c r="C63" s="43" t="s">
        <v>29</v>
      </c>
      <c r="D63" s="43">
        <v>5004086291</v>
      </c>
      <c r="E63" s="43">
        <v>6004086651</v>
      </c>
      <c r="F63" s="43">
        <v>6004086551</v>
      </c>
      <c r="G63" s="25" t="s">
        <v>112</v>
      </c>
      <c r="H63" s="46">
        <v>303600</v>
      </c>
      <c r="I63" s="45" t="s">
        <v>31</v>
      </c>
      <c r="J63" s="41" t="s">
        <v>181</v>
      </c>
      <c r="K63" s="10"/>
    </row>
    <row r="64" spans="1:11" ht="95.25" customHeight="1">
      <c r="A64" s="90"/>
      <c r="B64" s="42" t="s">
        <v>147</v>
      </c>
      <c r="C64" s="43" t="s">
        <v>29</v>
      </c>
      <c r="D64" s="43">
        <v>5004086291</v>
      </c>
      <c r="E64" s="43">
        <v>6004086651</v>
      </c>
      <c r="F64" s="43">
        <v>6004086551</v>
      </c>
      <c r="G64" s="25" t="s">
        <v>114</v>
      </c>
      <c r="H64" s="46">
        <v>0</v>
      </c>
      <c r="I64" s="45" t="s">
        <v>115</v>
      </c>
      <c r="J64" s="41" t="s">
        <v>164</v>
      </c>
      <c r="K64" s="10"/>
    </row>
    <row r="65" spans="1:11" ht="60" customHeight="1">
      <c r="A65" s="90"/>
      <c r="B65" s="42" t="s">
        <v>116</v>
      </c>
      <c r="C65" s="43" t="s">
        <v>29</v>
      </c>
      <c r="D65" s="43">
        <v>5004086291</v>
      </c>
      <c r="E65" s="43">
        <v>6004086651</v>
      </c>
      <c r="F65" s="43">
        <v>6004086551</v>
      </c>
      <c r="G65" s="50" t="s">
        <v>43</v>
      </c>
      <c r="H65" s="46">
        <v>300000</v>
      </c>
      <c r="I65" s="45" t="s">
        <v>31</v>
      </c>
      <c r="J65" s="41" t="s">
        <v>165</v>
      </c>
      <c r="K65" s="10"/>
    </row>
    <row r="66" spans="1:11" ht="138.65" customHeight="1">
      <c r="A66" s="90"/>
      <c r="B66" s="42" t="s">
        <v>117</v>
      </c>
      <c r="C66" s="43" t="s">
        <v>29</v>
      </c>
      <c r="D66" s="43">
        <v>5004086291</v>
      </c>
      <c r="E66" s="43">
        <v>6004086651</v>
      </c>
      <c r="F66" s="43">
        <v>6004086551</v>
      </c>
      <c r="G66" s="43" t="s">
        <v>118</v>
      </c>
      <c r="H66" s="46">
        <v>100000</v>
      </c>
      <c r="I66" s="45" t="s">
        <v>31</v>
      </c>
      <c r="J66" s="41" t="s">
        <v>182</v>
      </c>
      <c r="K66" s="10"/>
    </row>
    <row r="67" spans="1:11" ht="314.14999999999998" customHeight="1">
      <c r="A67" s="90"/>
      <c r="B67" s="42" t="s">
        <v>119</v>
      </c>
      <c r="C67" s="43" t="s">
        <v>29</v>
      </c>
      <c r="D67" s="43">
        <v>5004086291</v>
      </c>
      <c r="E67" s="54">
        <v>6004086651</v>
      </c>
      <c r="F67" s="43">
        <v>6004086551</v>
      </c>
      <c r="G67" s="43" t="s">
        <v>48</v>
      </c>
      <c r="H67" s="46">
        <v>152000</v>
      </c>
      <c r="I67" s="45" t="s">
        <v>31</v>
      </c>
      <c r="J67" s="55" t="s">
        <v>183</v>
      </c>
      <c r="K67" s="10"/>
    </row>
    <row r="68" spans="1:11" ht="64.900000000000006" customHeight="1">
      <c r="A68" s="90"/>
      <c r="B68" s="42" t="s">
        <v>120</v>
      </c>
      <c r="C68" s="43" t="s">
        <v>121</v>
      </c>
      <c r="D68" s="43">
        <v>5005116292</v>
      </c>
      <c r="E68" s="43">
        <v>6005116655</v>
      </c>
      <c r="F68" s="43">
        <v>6005116552</v>
      </c>
      <c r="G68" s="46" t="s">
        <v>43</v>
      </c>
      <c r="H68" s="46" t="s">
        <v>43</v>
      </c>
      <c r="I68" s="45"/>
      <c r="J68" s="41" t="s">
        <v>159</v>
      </c>
    </row>
    <row r="69" spans="1:11" ht="31.5" customHeight="1">
      <c r="A69" s="90"/>
      <c r="B69" s="42" t="s">
        <v>122</v>
      </c>
      <c r="C69" s="43" t="s">
        <v>64</v>
      </c>
      <c r="D69" s="43">
        <v>5005116292</v>
      </c>
      <c r="E69" s="43">
        <v>6005116655</v>
      </c>
      <c r="F69" s="43">
        <v>6005116552</v>
      </c>
      <c r="G69" s="46" t="s">
        <v>43</v>
      </c>
      <c r="H69" s="46" t="s">
        <v>43</v>
      </c>
      <c r="I69" s="45"/>
      <c r="J69" s="41" t="s">
        <v>160</v>
      </c>
    </row>
    <row r="70" spans="1:11" ht="31.5" customHeight="1">
      <c r="A70" s="90"/>
      <c r="B70" s="42" t="s">
        <v>123</v>
      </c>
      <c r="C70" s="43" t="s">
        <v>124</v>
      </c>
      <c r="D70" s="43">
        <v>5005116292</v>
      </c>
      <c r="E70" s="43">
        <v>6005116655</v>
      </c>
      <c r="F70" s="43">
        <v>6005116552</v>
      </c>
      <c r="G70" s="46" t="s">
        <v>43</v>
      </c>
      <c r="H70" s="46" t="s">
        <v>136</v>
      </c>
      <c r="I70" s="45" t="s">
        <v>31</v>
      </c>
      <c r="J70" s="41" t="s">
        <v>125</v>
      </c>
    </row>
    <row r="71" spans="1:11" ht="31.5" customHeight="1">
      <c r="A71" s="90"/>
      <c r="B71" s="42" t="s">
        <v>126</v>
      </c>
      <c r="C71" s="43" t="s">
        <v>124</v>
      </c>
      <c r="D71" s="43">
        <v>5005116292</v>
      </c>
      <c r="E71" s="43">
        <v>6005116655</v>
      </c>
      <c r="F71" s="43">
        <v>6005116552</v>
      </c>
      <c r="G71" s="46" t="s">
        <v>43</v>
      </c>
      <c r="H71" s="46" t="s">
        <v>136</v>
      </c>
      <c r="I71" s="45" t="s">
        <v>31</v>
      </c>
      <c r="J71" s="41" t="s">
        <v>125</v>
      </c>
    </row>
    <row r="72" spans="1:11" ht="31.5" customHeight="1">
      <c r="A72" s="90"/>
      <c r="B72" s="42" t="s">
        <v>127</v>
      </c>
      <c r="C72" s="43" t="s">
        <v>124</v>
      </c>
      <c r="D72" s="43">
        <v>5005116292</v>
      </c>
      <c r="E72" s="43">
        <v>6005116655</v>
      </c>
      <c r="F72" s="43">
        <v>6005116552</v>
      </c>
      <c r="G72" s="46" t="s">
        <v>43</v>
      </c>
      <c r="H72" s="46" t="s">
        <v>136</v>
      </c>
      <c r="I72" s="45" t="s">
        <v>31</v>
      </c>
      <c r="J72" s="41" t="s">
        <v>125</v>
      </c>
    </row>
    <row r="73" spans="1:11" ht="45" customHeight="1">
      <c r="A73" s="90"/>
      <c r="B73" s="42" t="s">
        <v>135</v>
      </c>
      <c r="C73" s="43" t="s">
        <v>129</v>
      </c>
      <c r="D73" s="43" t="s">
        <v>130</v>
      </c>
      <c r="E73" s="43">
        <v>6005246673</v>
      </c>
      <c r="F73" s="43" t="s">
        <v>131</v>
      </c>
      <c r="G73" s="43" t="s">
        <v>132</v>
      </c>
      <c r="H73" s="46" t="s">
        <v>136</v>
      </c>
      <c r="I73" s="45" t="s">
        <v>31</v>
      </c>
      <c r="J73" s="29" t="s">
        <v>137</v>
      </c>
    </row>
    <row r="74" spans="1:11" ht="28.5" customHeight="1">
      <c r="A74" s="90"/>
      <c r="B74" s="42" t="s">
        <v>169</v>
      </c>
      <c r="C74" s="43" t="s">
        <v>129</v>
      </c>
      <c r="D74" s="43" t="s">
        <v>130</v>
      </c>
      <c r="E74" s="43">
        <v>6005246673</v>
      </c>
      <c r="F74" s="43" t="s">
        <v>131</v>
      </c>
      <c r="G74" s="43" t="s">
        <v>132</v>
      </c>
      <c r="H74" s="46">
        <v>3000000</v>
      </c>
      <c r="I74" s="45" t="s">
        <v>31</v>
      </c>
      <c r="J74" s="29" t="s">
        <v>134</v>
      </c>
      <c r="K74" s="5"/>
    </row>
    <row r="75" spans="1:11" ht="28.5" customHeight="1">
      <c r="A75" s="90"/>
      <c r="B75" s="42" t="s">
        <v>128</v>
      </c>
      <c r="C75" s="43" t="s">
        <v>129</v>
      </c>
      <c r="D75" s="43" t="s">
        <v>130</v>
      </c>
      <c r="E75" s="43">
        <v>6005246673</v>
      </c>
      <c r="F75" s="43" t="s">
        <v>131</v>
      </c>
      <c r="G75" s="43" t="s">
        <v>132</v>
      </c>
      <c r="H75" s="46">
        <v>1900000</v>
      </c>
      <c r="I75" s="45" t="s">
        <v>31</v>
      </c>
      <c r="J75" s="29" t="s">
        <v>133</v>
      </c>
      <c r="K75" s="5"/>
    </row>
    <row r="76" spans="1:11" ht="32.25" customHeight="1">
      <c r="A76" s="90"/>
      <c r="B76" s="42" t="s">
        <v>138</v>
      </c>
      <c r="C76" s="43" t="s">
        <v>129</v>
      </c>
      <c r="D76" s="43" t="s">
        <v>130</v>
      </c>
      <c r="E76" s="43">
        <v>6005246673</v>
      </c>
      <c r="F76" s="43" t="s">
        <v>131</v>
      </c>
      <c r="G76" s="43" t="s">
        <v>132</v>
      </c>
      <c r="H76" s="46">
        <v>1259500</v>
      </c>
      <c r="I76" s="45" t="s">
        <v>31</v>
      </c>
      <c r="J76" s="47" t="s">
        <v>134</v>
      </c>
    </row>
    <row r="77" spans="1:11" ht="32.25" customHeight="1">
      <c r="A77" s="90"/>
      <c r="B77" s="42" t="s">
        <v>139</v>
      </c>
      <c r="C77" s="43" t="s">
        <v>129</v>
      </c>
      <c r="D77" s="43" t="s">
        <v>130</v>
      </c>
      <c r="E77" s="43">
        <v>6005246673</v>
      </c>
      <c r="F77" s="43" t="s">
        <v>131</v>
      </c>
      <c r="G77" s="43" t="s">
        <v>132</v>
      </c>
      <c r="H77" s="46" t="s">
        <v>140</v>
      </c>
      <c r="I77" s="45" t="s">
        <v>31</v>
      </c>
      <c r="J77" s="47" t="s">
        <v>134</v>
      </c>
    </row>
    <row r="78" spans="1:11" ht="30" customHeight="1">
      <c r="A78" s="90"/>
      <c r="B78" s="42" t="s">
        <v>141</v>
      </c>
      <c r="C78" s="43" t="s">
        <v>129</v>
      </c>
      <c r="D78" s="43" t="s">
        <v>130</v>
      </c>
      <c r="E78" s="43">
        <v>6005246673</v>
      </c>
      <c r="F78" s="43" t="s">
        <v>131</v>
      </c>
      <c r="G78" s="43" t="s">
        <v>132</v>
      </c>
      <c r="H78" s="46" t="s">
        <v>142</v>
      </c>
      <c r="I78" s="45" t="s">
        <v>31</v>
      </c>
      <c r="J78" s="47" t="s">
        <v>134</v>
      </c>
    </row>
    <row r="79" spans="1:11" ht="42" customHeight="1">
      <c r="A79" s="49" t="s">
        <v>143</v>
      </c>
      <c r="B79" s="7" t="s">
        <v>144</v>
      </c>
      <c r="C79" s="8"/>
      <c r="D79" s="6"/>
      <c r="E79" s="6"/>
      <c r="F79" s="6"/>
      <c r="G79" s="8"/>
      <c r="H79" s="9"/>
      <c r="I79" s="8"/>
      <c r="J79" s="11" t="s">
        <v>145</v>
      </c>
    </row>
    <row r="80" spans="1:11" ht="9.75" customHeight="1"/>
    <row r="81" spans="1:8">
      <c r="A81" s="2" t="s">
        <v>162</v>
      </c>
      <c r="C81" s="3"/>
      <c r="D81" s="13"/>
      <c r="E81" s="13"/>
      <c r="F81" s="2"/>
      <c r="G81" s="14"/>
      <c r="H81" s="14"/>
    </row>
    <row r="82" spans="1:8">
      <c r="A82" s="2" t="s">
        <v>161</v>
      </c>
      <c r="C82" s="15"/>
      <c r="D82" s="16"/>
      <c r="E82" s="13"/>
    </row>
    <row r="83" spans="1:8">
      <c r="A83" s="2"/>
      <c r="B83" s="48"/>
      <c r="C83" s="17"/>
      <c r="D83" s="16"/>
      <c r="E83" s="13"/>
    </row>
    <row r="84" spans="1:8">
      <c r="A84" s="2"/>
      <c r="C84" s="15"/>
      <c r="D84" s="16"/>
      <c r="E84" s="13"/>
    </row>
    <row r="85" spans="1:8">
      <c r="A85" s="2"/>
      <c r="C85" s="15"/>
      <c r="D85" s="16"/>
      <c r="E85" s="13"/>
    </row>
  </sheetData>
  <autoFilter ref="A4:K79" xr:uid="{00000000-0009-0000-0000-000000000000}"/>
  <mergeCells count="10">
    <mergeCell ref="J27:J28"/>
    <mergeCell ref="J18:J20"/>
    <mergeCell ref="A18:A78"/>
    <mergeCell ref="G9:G10"/>
    <mergeCell ref="B9:B10"/>
    <mergeCell ref="C9:C10"/>
    <mergeCell ref="D9:D10"/>
    <mergeCell ref="E9:E10"/>
    <mergeCell ref="F9:F10"/>
    <mergeCell ref="A5:A17"/>
  </mergeCells>
  <phoneticPr fontId="36"/>
  <printOptions horizontalCentered="1"/>
  <pageMargins left="3.9370078740157501E-2" right="0" top="0" bottom="0" header="0" footer="0"/>
  <pageSetup paperSize="9"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C98E-CB01-4B60-A47C-329C8F19C7E5}">
  <sheetPr codeName="Sheet2">
    <pageSetUpPr fitToPage="1"/>
  </sheetPr>
  <dimension ref="A1:K81"/>
  <sheetViews>
    <sheetView tabSelected="1" zoomScale="85" zoomScaleNormal="85" zoomScaleSheetLayoutView="85" workbookViewId="0">
      <pane xSplit="2" ySplit="4" topLeftCell="C43" activePane="bottomRight" state="frozen"/>
      <selection pane="topRight" activeCell="C1" sqref="C1"/>
      <selection pane="bottomLeft" activeCell="A5" sqref="A5"/>
      <selection pane="bottomRight" activeCell="C45" sqref="C45"/>
    </sheetView>
  </sheetViews>
  <sheetFormatPr defaultColWidth="9" defaultRowHeight="14"/>
  <cols>
    <col min="1" max="1" width="13" style="3" customWidth="1"/>
    <col min="2" max="2" width="35.26953125" style="2" customWidth="1"/>
    <col min="3" max="3" width="14.7265625" style="2" customWidth="1"/>
    <col min="4" max="4" width="13" style="3" customWidth="1"/>
    <col min="5" max="5" width="14.7265625" style="3" customWidth="1"/>
    <col min="6" max="6" width="15.26953125" style="3" customWidth="1"/>
    <col min="7" max="7" width="12.36328125" style="2" customWidth="1"/>
    <col min="8" max="8" width="12.26953125" style="2" customWidth="1"/>
    <col min="9" max="9" width="9.7265625" style="2" customWidth="1"/>
    <col min="10" max="10" width="113.36328125" style="2" customWidth="1"/>
    <col min="11" max="16384" width="9" style="2"/>
  </cols>
  <sheetData>
    <row r="1" spans="1:11" ht="17.5">
      <c r="A1" s="1" t="s">
        <v>189</v>
      </c>
      <c r="C1" s="3"/>
      <c r="F1" s="4"/>
      <c r="H1" s="13"/>
    </row>
    <row r="2" spans="1:11">
      <c r="C2" s="3"/>
      <c r="F2" s="4"/>
      <c r="H2" s="13"/>
      <c r="J2" s="5"/>
    </row>
    <row r="3" spans="1:11" ht="15" customHeight="1">
      <c r="A3" s="63" t="s">
        <v>190</v>
      </c>
      <c r="C3" s="3"/>
      <c r="H3" s="13"/>
    </row>
    <row r="4" spans="1:11" ht="40.5" customHeight="1">
      <c r="A4" s="76" t="s">
        <v>0</v>
      </c>
      <c r="B4" s="76" t="s">
        <v>1</v>
      </c>
      <c r="C4" s="77" t="s">
        <v>2</v>
      </c>
      <c r="D4" s="76" t="s">
        <v>3</v>
      </c>
      <c r="E4" s="76" t="s">
        <v>4</v>
      </c>
      <c r="F4" s="76" t="s">
        <v>5</v>
      </c>
      <c r="G4" s="76" t="s">
        <v>6</v>
      </c>
      <c r="H4" s="76" t="s">
        <v>206</v>
      </c>
      <c r="I4" s="77" t="s">
        <v>8</v>
      </c>
      <c r="J4" s="77" t="s">
        <v>9</v>
      </c>
    </row>
    <row r="5" spans="1:11" s="58" customFormat="1" ht="38.5" customHeight="1">
      <c r="A5" s="92" t="s">
        <v>10</v>
      </c>
      <c r="B5" s="21" t="s">
        <v>11</v>
      </c>
      <c r="C5" s="22" t="s">
        <v>12</v>
      </c>
      <c r="D5" s="22">
        <v>5005246281</v>
      </c>
      <c r="E5" s="22">
        <v>6005146627</v>
      </c>
      <c r="F5" s="22">
        <v>6005146541</v>
      </c>
      <c r="G5" s="22" t="s">
        <v>212</v>
      </c>
      <c r="H5" s="37">
        <v>58000</v>
      </c>
      <c r="I5" s="23" t="s">
        <v>14</v>
      </c>
      <c r="J5" s="24" t="s">
        <v>15</v>
      </c>
      <c r="K5" s="65"/>
    </row>
    <row r="6" spans="1:11" s="58" customFormat="1" ht="28.5" customHeight="1">
      <c r="A6" s="93"/>
      <c r="B6" s="26" t="s">
        <v>16</v>
      </c>
      <c r="C6" s="27" t="s">
        <v>12</v>
      </c>
      <c r="D6" s="27">
        <v>5005246281</v>
      </c>
      <c r="E6" s="27">
        <v>6005146627</v>
      </c>
      <c r="F6" s="27">
        <v>6005146541</v>
      </c>
      <c r="G6" s="27" t="s">
        <v>17</v>
      </c>
      <c r="H6" s="38">
        <v>500</v>
      </c>
      <c r="I6" s="28" t="s">
        <v>14</v>
      </c>
      <c r="J6" s="29" t="s">
        <v>15</v>
      </c>
    </row>
    <row r="7" spans="1:11" s="58" customFormat="1" ht="28.5" customHeight="1">
      <c r="A7" s="93"/>
      <c r="B7" s="26" t="s">
        <v>18</v>
      </c>
      <c r="C7" s="27" t="s">
        <v>19</v>
      </c>
      <c r="D7" s="27">
        <v>5005246288</v>
      </c>
      <c r="E7" s="27">
        <v>6005126423</v>
      </c>
      <c r="F7" s="27">
        <v>6005246544</v>
      </c>
      <c r="G7" s="27" t="s">
        <v>13</v>
      </c>
      <c r="H7" s="38">
        <v>3600</v>
      </c>
      <c r="I7" s="28" t="s">
        <v>20</v>
      </c>
      <c r="J7" s="29" t="s">
        <v>15</v>
      </c>
      <c r="K7" s="65"/>
    </row>
    <row r="8" spans="1:11" s="58" customFormat="1" ht="28.5" customHeight="1">
      <c r="A8" s="93"/>
      <c r="B8" s="30" t="s">
        <v>21</v>
      </c>
      <c r="C8" s="27" t="s">
        <v>19</v>
      </c>
      <c r="D8" s="27">
        <v>5005246288</v>
      </c>
      <c r="E8" s="27">
        <v>6005126423</v>
      </c>
      <c r="F8" s="27">
        <v>6005246544</v>
      </c>
      <c r="G8" s="27" t="s">
        <v>212</v>
      </c>
      <c r="H8" s="38">
        <v>3000</v>
      </c>
      <c r="I8" s="31" t="s">
        <v>22</v>
      </c>
      <c r="J8" s="29" t="s">
        <v>15</v>
      </c>
      <c r="K8" s="65"/>
    </row>
    <row r="9" spans="1:11" s="58" customFormat="1" ht="28.5" customHeight="1">
      <c r="A9" s="93"/>
      <c r="B9" s="95" t="s">
        <v>23</v>
      </c>
      <c r="C9" s="97" t="s">
        <v>19</v>
      </c>
      <c r="D9" s="97">
        <v>5005246288</v>
      </c>
      <c r="E9" s="97">
        <v>6005126423</v>
      </c>
      <c r="F9" s="97">
        <v>6005246544</v>
      </c>
      <c r="G9" s="97" t="s">
        <v>13</v>
      </c>
      <c r="H9" s="38">
        <v>4000</v>
      </c>
      <c r="I9" s="31" t="s">
        <v>24</v>
      </c>
      <c r="J9" s="29" t="s">
        <v>25</v>
      </c>
    </row>
    <row r="10" spans="1:11" s="58" customFormat="1" ht="28.5" customHeight="1">
      <c r="A10" s="93"/>
      <c r="B10" s="96"/>
      <c r="C10" s="97"/>
      <c r="D10" s="97"/>
      <c r="E10" s="97"/>
      <c r="F10" s="97"/>
      <c r="G10" s="97"/>
      <c r="H10" s="38">
        <v>9100</v>
      </c>
      <c r="I10" s="31" t="s">
        <v>24</v>
      </c>
      <c r="J10" s="29" t="s">
        <v>26</v>
      </c>
      <c r="K10" s="65"/>
    </row>
    <row r="11" spans="1:11" s="58" customFormat="1" ht="28.5" customHeight="1">
      <c r="A11" s="93"/>
      <c r="B11" s="26" t="s">
        <v>149</v>
      </c>
      <c r="C11" s="27" t="s">
        <v>27</v>
      </c>
      <c r="D11" s="27">
        <v>5005246281</v>
      </c>
      <c r="E11" s="27">
        <v>6005146627</v>
      </c>
      <c r="F11" s="27">
        <v>6005146541</v>
      </c>
      <c r="G11" s="27" t="s">
        <v>13</v>
      </c>
      <c r="H11" s="38">
        <v>18000</v>
      </c>
      <c r="I11" s="31" t="s">
        <v>24</v>
      </c>
      <c r="J11" s="29" t="s">
        <v>15</v>
      </c>
      <c r="K11" s="65"/>
    </row>
    <row r="12" spans="1:11" s="58" customFormat="1" ht="28.5" customHeight="1">
      <c r="A12" s="93"/>
      <c r="B12" s="26" t="s">
        <v>150</v>
      </c>
      <c r="C12" s="27" t="s">
        <v>27</v>
      </c>
      <c r="D12" s="27">
        <v>5005246281</v>
      </c>
      <c r="E12" s="27">
        <v>6005146627</v>
      </c>
      <c r="F12" s="27">
        <v>6005146541</v>
      </c>
      <c r="G12" s="27" t="s">
        <v>13</v>
      </c>
      <c r="H12" s="38">
        <v>9200</v>
      </c>
      <c r="I12" s="31" t="s">
        <v>24</v>
      </c>
      <c r="J12" s="29" t="s">
        <v>15</v>
      </c>
      <c r="K12" s="65"/>
    </row>
    <row r="13" spans="1:11" s="58" customFormat="1" ht="38" customHeight="1">
      <c r="A13" s="93"/>
      <c r="B13" s="26" t="s">
        <v>28</v>
      </c>
      <c r="C13" s="27" t="s">
        <v>29</v>
      </c>
      <c r="D13" s="27">
        <v>5004086291</v>
      </c>
      <c r="E13" s="27">
        <v>6004086651</v>
      </c>
      <c r="F13" s="27">
        <v>6004086551</v>
      </c>
      <c r="G13" s="27" t="s">
        <v>30</v>
      </c>
      <c r="H13" s="82">
        <v>100000</v>
      </c>
      <c r="I13" s="31" t="s">
        <v>31</v>
      </c>
      <c r="J13" s="81" t="s">
        <v>151</v>
      </c>
      <c r="K13" s="65"/>
    </row>
    <row r="14" spans="1:11" s="58" customFormat="1" ht="83.25" customHeight="1">
      <c r="A14" s="93"/>
      <c r="B14" s="42" t="s">
        <v>32</v>
      </c>
      <c r="C14" s="43" t="s">
        <v>29</v>
      </c>
      <c r="D14" s="43">
        <v>5004086291</v>
      </c>
      <c r="E14" s="43">
        <v>6004086651</v>
      </c>
      <c r="F14" s="43">
        <v>6004086551</v>
      </c>
      <c r="G14" s="43" t="s">
        <v>33</v>
      </c>
      <c r="H14" s="43" t="s">
        <v>34</v>
      </c>
      <c r="I14" s="45" t="s">
        <v>31</v>
      </c>
      <c r="J14" s="29" t="s">
        <v>167</v>
      </c>
    </row>
    <row r="15" spans="1:11" s="58" customFormat="1" ht="28.5" customHeight="1">
      <c r="A15" s="93"/>
      <c r="B15" s="42" t="s">
        <v>35</v>
      </c>
      <c r="C15" s="43" t="s">
        <v>36</v>
      </c>
      <c r="D15" s="43">
        <v>5004086291</v>
      </c>
      <c r="E15" s="43">
        <v>6004086651</v>
      </c>
      <c r="F15" s="43">
        <v>6004086551</v>
      </c>
      <c r="G15" s="43" t="s">
        <v>37</v>
      </c>
      <c r="H15" s="85">
        <v>156600</v>
      </c>
      <c r="I15" s="45" t="s">
        <v>38</v>
      </c>
      <c r="J15" s="29" t="s">
        <v>152</v>
      </c>
      <c r="K15" s="65"/>
    </row>
    <row r="16" spans="1:11" s="58" customFormat="1" ht="84" customHeight="1">
      <c r="A16" s="93"/>
      <c r="B16" s="42" t="s">
        <v>39</v>
      </c>
      <c r="C16" s="43" t="s">
        <v>36</v>
      </c>
      <c r="D16" s="43">
        <v>5004086291</v>
      </c>
      <c r="E16" s="43">
        <v>6004086651</v>
      </c>
      <c r="F16" s="43">
        <v>6004086551</v>
      </c>
      <c r="G16" s="43" t="s">
        <v>37</v>
      </c>
      <c r="H16" s="86">
        <v>170100</v>
      </c>
      <c r="I16" s="45" t="s">
        <v>40</v>
      </c>
      <c r="J16" s="29" t="s">
        <v>186</v>
      </c>
    </row>
    <row r="17" spans="1:11" s="58" customFormat="1" ht="28.5" customHeight="1">
      <c r="A17" s="94"/>
      <c r="B17" s="32" t="s">
        <v>41</v>
      </c>
      <c r="C17" s="33" t="s">
        <v>29</v>
      </c>
      <c r="D17" s="33">
        <v>5004086291</v>
      </c>
      <c r="E17" s="33">
        <v>6004086651</v>
      </c>
      <c r="F17" s="33">
        <v>6004086551</v>
      </c>
      <c r="G17" s="33" t="s">
        <v>42</v>
      </c>
      <c r="H17" s="34" t="s">
        <v>43</v>
      </c>
      <c r="I17" s="35" t="s">
        <v>31</v>
      </c>
      <c r="J17" s="36" t="s">
        <v>44</v>
      </c>
    </row>
    <row r="18" spans="1:11" ht="36.75" customHeight="1">
      <c r="A18" s="92" t="s">
        <v>45</v>
      </c>
      <c r="B18" s="21" t="s">
        <v>46</v>
      </c>
      <c r="C18" s="22" t="s">
        <v>47</v>
      </c>
      <c r="D18" s="22">
        <v>5005056281</v>
      </c>
      <c r="E18" s="22">
        <v>6005056625</v>
      </c>
      <c r="F18" s="22">
        <v>6005056543</v>
      </c>
      <c r="G18" s="22" t="s">
        <v>48</v>
      </c>
      <c r="H18" s="78" t="s">
        <v>49</v>
      </c>
      <c r="I18" s="39" t="s">
        <v>50</v>
      </c>
      <c r="J18" s="91" t="s">
        <v>176</v>
      </c>
      <c r="K18" s="65"/>
    </row>
    <row r="19" spans="1:11" ht="36.75" customHeight="1">
      <c r="A19" s="93"/>
      <c r="B19" s="26" t="s">
        <v>51</v>
      </c>
      <c r="C19" s="40" t="s">
        <v>146</v>
      </c>
      <c r="D19" s="40">
        <v>5005016372</v>
      </c>
      <c r="E19" s="40">
        <v>6005016422</v>
      </c>
      <c r="F19" s="40">
        <v>6005016413</v>
      </c>
      <c r="G19" s="27" t="s">
        <v>48</v>
      </c>
      <c r="H19" s="46" t="s">
        <v>34</v>
      </c>
      <c r="I19" s="31" t="s">
        <v>50</v>
      </c>
      <c r="J19" s="90"/>
      <c r="K19" s="65"/>
    </row>
    <row r="20" spans="1:11" ht="36.75" customHeight="1">
      <c r="A20" s="93"/>
      <c r="B20" s="26" t="s">
        <v>52</v>
      </c>
      <c r="C20" s="40" t="s">
        <v>146</v>
      </c>
      <c r="D20" s="40">
        <v>5005016372</v>
      </c>
      <c r="E20" s="40">
        <v>6005016422</v>
      </c>
      <c r="F20" s="40">
        <v>6005016413</v>
      </c>
      <c r="G20" s="27" t="s">
        <v>48</v>
      </c>
      <c r="H20" s="46" t="s">
        <v>34</v>
      </c>
      <c r="I20" s="31" t="s">
        <v>50</v>
      </c>
      <c r="J20" s="90"/>
      <c r="K20" s="65"/>
    </row>
    <row r="21" spans="1:11" ht="85.5" customHeight="1">
      <c r="A21" s="93"/>
      <c r="B21" s="26" t="s">
        <v>53</v>
      </c>
      <c r="C21" s="27" t="s">
        <v>54</v>
      </c>
      <c r="D21" s="27">
        <v>5005246286</v>
      </c>
      <c r="E21" s="27">
        <v>6005246673</v>
      </c>
      <c r="F21" s="27">
        <v>6005246542</v>
      </c>
      <c r="G21" s="27" t="s">
        <v>48</v>
      </c>
      <c r="H21" s="46" t="s">
        <v>34</v>
      </c>
      <c r="I21" s="31" t="s">
        <v>50</v>
      </c>
      <c r="J21" s="90"/>
      <c r="K21" s="65"/>
    </row>
    <row r="22" spans="1:11" ht="36.75" customHeight="1">
      <c r="A22" s="93"/>
      <c r="B22" s="26" t="s">
        <v>55</v>
      </c>
      <c r="C22" s="27" t="s">
        <v>56</v>
      </c>
      <c r="D22" s="27">
        <v>5005136281</v>
      </c>
      <c r="E22" s="27">
        <v>6005136626</v>
      </c>
      <c r="F22" s="27">
        <v>6005136541</v>
      </c>
      <c r="G22" s="27" t="s">
        <v>57</v>
      </c>
      <c r="H22" s="46" t="s">
        <v>34</v>
      </c>
      <c r="I22" s="31" t="s">
        <v>58</v>
      </c>
      <c r="J22" s="41" t="s">
        <v>59</v>
      </c>
    </row>
    <row r="23" spans="1:11" ht="36.75" customHeight="1">
      <c r="A23" s="93"/>
      <c r="B23" s="26" t="s">
        <v>60</v>
      </c>
      <c r="C23" s="27" t="s">
        <v>56</v>
      </c>
      <c r="D23" s="27">
        <v>5005136291</v>
      </c>
      <c r="E23" s="27">
        <v>6005136657</v>
      </c>
      <c r="F23" s="27">
        <v>6005136551</v>
      </c>
      <c r="G23" s="27" t="s">
        <v>57</v>
      </c>
      <c r="H23" s="46" t="s">
        <v>34</v>
      </c>
      <c r="I23" s="31" t="s">
        <v>61</v>
      </c>
      <c r="J23" s="41" t="s">
        <v>62</v>
      </c>
    </row>
    <row r="24" spans="1:11" ht="34.5" customHeight="1">
      <c r="A24" s="93"/>
      <c r="B24" s="26" t="s">
        <v>195</v>
      </c>
      <c r="C24" s="43" t="s">
        <v>121</v>
      </c>
      <c r="D24" s="43">
        <v>5005116292</v>
      </c>
      <c r="E24" s="43">
        <v>6005116655</v>
      </c>
      <c r="F24" s="43">
        <v>6005116552</v>
      </c>
      <c r="G24" s="46" t="s">
        <v>43</v>
      </c>
      <c r="H24" s="46" t="s">
        <v>43</v>
      </c>
      <c r="I24" s="45"/>
      <c r="J24" s="41" t="s">
        <v>196</v>
      </c>
    </row>
    <row r="25" spans="1:11" ht="36.75" customHeight="1">
      <c r="A25" s="93"/>
      <c r="B25" s="26" t="s">
        <v>63</v>
      </c>
      <c r="C25" s="27" t="s">
        <v>121</v>
      </c>
      <c r="D25" s="27">
        <v>5005116292</v>
      </c>
      <c r="E25" s="27">
        <v>6005116655</v>
      </c>
      <c r="F25" s="27">
        <v>6005116552</v>
      </c>
      <c r="G25" s="27" t="s">
        <v>43</v>
      </c>
      <c r="H25" s="46" t="s">
        <v>43</v>
      </c>
      <c r="I25" s="31"/>
      <c r="J25" s="41" t="s">
        <v>65</v>
      </c>
    </row>
    <row r="26" spans="1:11" ht="31.5" customHeight="1">
      <c r="A26" s="93"/>
      <c r="B26" s="42" t="s">
        <v>197</v>
      </c>
      <c r="C26" s="43" t="s">
        <v>64</v>
      </c>
      <c r="D26" s="43">
        <v>5005116292</v>
      </c>
      <c r="E26" s="43">
        <v>6005116655</v>
      </c>
      <c r="F26" s="43">
        <v>6005116552</v>
      </c>
      <c r="G26" s="46" t="s">
        <v>43</v>
      </c>
      <c r="H26" s="46" t="s">
        <v>43</v>
      </c>
      <c r="I26" s="45"/>
      <c r="J26" s="41" t="s">
        <v>160</v>
      </c>
    </row>
    <row r="27" spans="1:11" ht="36.75" customHeight="1">
      <c r="A27" s="93"/>
      <c r="B27" s="30" t="s">
        <v>66</v>
      </c>
      <c r="C27" s="27" t="s">
        <v>67</v>
      </c>
      <c r="D27" s="27">
        <v>5005116291</v>
      </c>
      <c r="E27" s="27">
        <v>6005116654</v>
      </c>
      <c r="F27" s="27">
        <v>6005116551</v>
      </c>
      <c r="G27" s="27" t="s">
        <v>43</v>
      </c>
      <c r="H27" s="46" t="s">
        <v>43</v>
      </c>
      <c r="I27" s="31"/>
      <c r="J27" s="41" t="s">
        <v>65</v>
      </c>
    </row>
    <row r="28" spans="1:11" ht="36.75" customHeight="1">
      <c r="A28" s="93"/>
      <c r="B28" s="30" t="s">
        <v>68</v>
      </c>
      <c r="C28" s="27" t="s">
        <v>67</v>
      </c>
      <c r="D28" s="27">
        <v>5005116291</v>
      </c>
      <c r="E28" s="27">
        <v>6005116654</v>
      </c>
      <c r="F28" s="27">
        <v>6005116551</v>
      </c>
      <c r="G28" s="27" t="s">
        <v>43</v>
      </c>
      <c r="H28" s="46" t="s">
        <v>43</v>
      </c>
      <c r="I28" s="31"/>
      <c r="J28" s="41" t="s">
        <v>65</v>
      </c>
    </row>
    <row r="29" spans="1:11" ht="46.5" customHeight="1">
      <c r="A29" s="93"/>
      <c r="B29" s="26" t="s">
        <v>69</v>
      </c>
      <c r="C29" s="27" t="s">
        <v>29</v>
      </c>
      <c r="D29" s="27">
        <v>5004086291</v>
      </c>
      <c r="E29" s="27">
        <v>6004086651</v>
      </c>
      <c r="F29" s="27">
        <v>6004086551</v>
      </c>
      <c r="G29" s="61" t="s">
        <v>48</v>
      </c>
      <c r="H29" s="46" t="s">
        <v>34</v>
      </c>
      <c r="I29" s="31" t="s">
        <v>70</v>
      </c>
      <c r="J29" s="90" t="s">
        <v>71</v>
      </c>
      <c r="K29" s="65"/>
    </row>
    <row r="30" spans="1:11" ht="46.5" customHeight="1">
      <c r="A30" s="93"/>
      <c r="B30" s="26" t="s">
        <v>72</v>
      </c>
      <c r="C30" s="27" t="s">
        <v>29</v>
      </c>
      <c r="D30" s="27">
        <v>5004086291</v>
      </c>
      <c r="E30" s="27">
        <v>6004086651</v>
      </c>
      <c r="F30" s="27">
        <v>6004086551</v>
      </c>
      <c r="G30" s="27" t="s">
        <v>48</v>
      </c>
      <c r="H30" s="46" t="s">
        <v>34</v>
      </c>
      <c r="I30" s="31" t="s">
        <v>70</v>
      </c>
      <c r="J30" s="90"/>
      <c r="K30" s="65"/>
    </row>
    <row r="31" spans="1:11" s="58" customFormat="1" ht="66" customHeight="1">
      <c r="A31" s="93"/>
      <c r="B31" s="42" t="s">
        <v>73</v>
      </c>
      <c r="C31" s="43" t="s">
        <v>12</v>
      </c>
      <c r="D31" s="43">
        <v>5005246281</v>
      </c>
      <c r="E31" s="43">
        <v>6005146627</v>
      </c>
      <c r="F31" s="43">
        <v>6005146541</v>
      </c>
      <c r="G31" s="25" t="s">
        <v>215</v>
      </c>
      <c r="H31" s="59">
        <v>760</v>
      </c>
      <c r="I31" s="45" t="s">
        <v>31</v>
      </c>
      <c r="J31" s="41" t="s">
        <v>166</v>
      </c>
      <c r="K31" s="65"/>
    </row>
    <row r="32" spans="1:11" ht="43.5" customHeight="1">
      <c r="A32" s="93"/>
      <c r="B32" s="26" t="s">
        <v>74</v>
      </c>
      <c r="C32" s="27" t="s">
        <v>29</v>
      </c>
      <c r="D32" s="27">
        <v>5004086291</v>
      </c>
      <c r="E32" s="27">
        <v>6004086651</v>
      </c>
      <c r="F32" s="27">
        <v>6004086551</v>
      </c>
      <c r="G32" s="27" t="s">
        <v>57</v>
      </c>
      <c r="H32" s="46">
        <v>165000</v>
      </c>
      <c r="I32" s="31" t="s">
        <v>75</v>
      </c>
      <c r="J32" s="41" t="s">
        <v>76</v>
      </c>
    </row>
    <row r="33" spans="1:10" ht="40.5" customHeight="1">
      <c r="A33" s="93"/>
      <c r="B33" s="26" t="s">
        <v>77</v>
      </c>
      <c r="C33" s="27" t="s">
        <v>29</v>
      </c>
      <c r="D33" s="27">
        <v>5004086291</v>
      </c>
      <c r="E33" s="27">
        <v>6004086651</v>
      </c>
      <c r="F33" s="27">
        <v>6004086551</v>
      </c>
      <c r="G33" s="27" t="s">
        <v>78</v>
      </c>
      <c r="H33" s="46">
        <v>165000</v>
      </c>
      <c r="I33" s="31" t="s">
        <v>75</v>
      </c>
      <c r="J33" s="41" t="s">
        <v>191</v>
      </c>
    </row>
    <row r="34" spans="1:10" ht="39.75" customHeight="1">
      <c r="A34" s="93"/>
      <c r="B34" s="26" t="s">
        <v>79</v>
      </c>
      <c r="C34" s="27" t="s">
        <v>29</v>
      </c>
      <c r="D34" s="27">
        <v>5004086291</v>
      </c>
      <c r="E34" s="27">
        <v>6004086651</v>
      </c>
      <c r="F34" s="27">
        <v>6004086551</v>
      </c>
      <c r="G34" s="27" t="s">
        <v>57</v>
      </c>
      <c r="H34" s="46">
        <v>175000</v>
      </c>
      <c r="I34" s="31" t="s">
        <v>75</v>
      </c>
      <c r="J34" s="41" t="s">
        <v>76</v>
      </c>
    </row>
    <row r="35" spans="1:10" ht="39.75" customHeight="1">
      <c r="A35" s="93"/>
      <c r="B35" s="26" t="s">
        <v>80</v>
      </c>
      <c r="C35" s="27" t="s">
        <v>29</v>
      </c>
      <c r="D35" s="27">
        <v>5004086291</v>
      </c>
      <c r="E35" s="27">
        <v>6004086651</v>
      </c>
      <c r="F35" s="27">
        <v>6004086551</v>
      </c>
      <c r="G35" s="27" t="s">
        <v>81</v>
      </c>
      <c r="H35" s="46">
        <v>175000</v>
      </c>
      <c r="I35" s="31" t="s">
        <v>93</v>
      </c>
      <c r="J35" s="41" t="s">
        <v>157</v>
      </c>
    </row>
    <row r="36" spans="1:10" ht="39.75" customHeight="1">
      <c r="A36" s="93"/>
      <c r="B36" s="26" t="s">
        <v>153</v>
      </c>
      <c r="C36" s="27" t="s">
        <v>29</v>
      </c>
      <c r="D36" s="27">
        <v>5004086291</v>
      </c>
      <c r="E36" s="27">
        <v>6004086651</v>
      </c>
      <c r="F36" s="27">
        <v>6004086551</v>
      </c>
      <c r="G36" s="27" t="s">
        <v>57</v>
      </c>
      <c r="H36" s="46">
        <v>139000</v>
      </c>
      <c r="I36" s="31" t="s">
        <v>75</v>
      </c>
      <c r="J36" s="41" t="s">
        <v>76</v>
      </c>
    </row>
    <row r="37" spans="1:10" ht="39.75" customHeight="1">
      <c r="A37" s="93"/>
      <c r="B37" s="26" t="s">
        <v>82</v>
      </c>
      <c r="C37" s="27" t="s">
        <v>29</v>
      </c>
      <c r="D37" s="27">
        <v>5004086291</v>
      </c>
      <c r="E37" s="27">
        <v>6004086651</v>
      </c>
      <c r="F37" s="27">
        <v>6004086551</v>
      </c>
      <c r="G37" s="27" t="s">
        <v>57</v>
      </c>
      <c r="H37" s="46">
        <v>240000</v>
      </c>
      <c r="I37" s="31" t="s">
        <v>75</v>
      </c>
      <c r="J37" s="41" t="s">
        <v>76</v>
      </c>
    </row>
    <row r="38" spans="1:10" ht="39.75" customHeight="1">
      <c r="A38" s="93"/>
      <c r="B38" s="26" t="s">
        <v>83</v>
      </c>
      <c r="C38" s="27" t="s">
        <v>29</v>
      </c>
      <c r="D38" s="27">
        <v>5004086291</v>
      </c>
      <c r="E38" s="27">
        <v>6004086651</v>
      </c>
      <c r="F38" s="27">
        <v>6004086551</v>
      </c>
      <c r="G38" s="27" t="s">
        <v>57</v>
      </c>
      <c r="H38" s="46">
        <v>116000</v>
      </c>
      <c r="I38" s="31" t="s">
        <v>75</v>
      </c>
      <c r="J38" s="41" t="s">
        <v>76</v>
      </c>
    </row>
    <row r="39" spans="1:10" ht="39.75" customHeight="1">
      <c r="A39" s="93"/>
      <c r="B39" s="26" t="s">
        <v>84</v>
      </c>
      <c r="C39" s="27" t="s">
        <v>29</v>
      </c>
      <c r="D39" s="27">
        <v>5004086291</v>
      </c>
      <c r="E39" s="27">
        <v>6004086651</v>
      </c>
      <c r="F39" s="27">
        <v>6004086551</v>
      </c>
      <c r="G39" s="27" t="s">
        <v>57</v>
      </c>
      <c r="H39" s="46">
        <v>124500</v>
      </c>
      <c r="I39" s="31" t="s">
        <v>75</v>
      </c>
      <c r="J39" s="41" t="s">
        <v>76</v>
      </c>
    </row>
    <row r="40" spans="1:10" ht="39.75" customHeight="1">
      <c r="A40" s="93"/>
      <c r="B40" s="26" t="s">
        <v>163</v>
      </c>
      <c r="C40" s="27" t="s">
        <v>29</v>
      </c>
      <c r="D40" s="27">
        <v>5004086291</v>
      </c>
      <c r="E40" s="27">
        <v>6004086651</v>
      </c>
      <c r="F40" s="27">
        <v>6004086551</v>
      </c>
      <c r="G40" s="27" t="s">
        <v>57</v>
      </c>
      <c r="H40" s="46">
        <v>33500</v>
      </c>
      <c r="I40" s="31" t="s">
        <v>100</v>
      </c>
      <c r="J40" s="41" t="s">
        <v>76</v>
      </c>
    </row>
    <row r="41" spans="1:10" ht="39.75" customHeight="1">
      <c r="A41" s="93"/>
      <c r="B41" s="26" t="s">
        <v>85</v>
      </c>
      <c r="C41" s="27" t="s">
        <v>29</v>
      </c>
      <c r="D41" s="27">
        <v>5004086291</v>
      </c>
      <c r="E41" s="27">
        <v>6004086651</v>
      </c>
      <c r="F41" s="27">
        <v>6004086551</v>
      </c>
      <c r="G41" s="27" t="s">
        <v>57</v>
      </c>
      <c r="H41" s="46">
        <v>39000</v>
      </c>
      <c r="I41" s="31" t="s">
        <v>20</v>
      </c>
      <c r="J41" s="41" t="s">
        <v>76</v>
      </c>
    </row>
    <row r="42" spans="1:10" ht="39.75" customHeight="1">
      <c r="A42" s="93"/>
      <c r="B42" s="26" t="s">
        <v>86</v>
      </c>
      <c r="C42" s="27" t="s">
        <v>29</v>
      </c>
      <c r="D42" s="27">
        <v>5004086291</v>
      </c>
      <c r="E42" s="27">
        <v>6004086651</v>
      </c>
      <c r="F42" s="27">
        <v>6004086551</v>
      </c>
      <c r="G42" s="27" t="s">
        <v>57</v>
      </c>
      <c r="H42" s="46">
        <v>47000</v>
      </c>
      <c r="I42" s="31" t="s">
        <v>20</v>
      </c>
      <c r="J42" s="41" t="s">
        <v>87</v>
      </c>
    </row>
    <row r="43" spans="1:10" ht="39.75" customHeight="1">
      <c r="A43" s="93"/>
      <c r="B43" s="26" t="s">
        <v>88</v>
      </c>
      <c r="C43" s="27" t="s">
        <v>29</v>
      </c>
      <c r="D43" s="27">
        <v>5004086291</v>
      </c>
      <c r="E43" s="27">
        <v>6004086651</v>
      </c>
      <c r="F43" s="27">
        <v>6004086551</v>
      </c>
      <c r="G43" s="27" t="s">
        <v>57</v>
      </c>
      <c r="H43" s="46">
        <v>82000</v>
      </c>
      <c r="I43" s="31" t="s">
        <v>89</v>
      </c>
      <c r="J43" s="41" t="s">
        <v>76</v>
      </c>
    </row>
    <row r="44" spans="1:10" ht="39.75" customHeight="1">
      <c r="A44" s="93"/>
      <c r="B44" s="26" t="s">
        <v>90</v>
      </c>
      <c r="C44" s="27" t="s">
        <v>29</v>
      </c>
      <c r="D44" s="27">
        <v>5004086291</v>
      </c>
      <c r="E44" s="27">
        <v>6004086651</v>
      </c>
      <c r="F44" s="27">
        <v>6004086551</v>
      </c>
      <c r="G44" s="27" t="s">
        <v>57</v>
      </c>
      <c r="H44" s="46">
        <v>84000</v>
      </c>
      <c r="I44" s="31" t="s">
        <v>98</v>
      </c>
      <c r="J44" s="41" t="s">
        <v>76</v>
      </c>
    </row>
    <row r="45" spans="1:10" ht="39.75" customHeight="1">
      <c r="A45" s="93"/>
      <c r="B45" s="42" t="s">
        <v>168</v>
      </c>
      <c r="C45" s="43" t="s">
        <v>29</v>
      </c>
      <c r="D45" s="43">
        <v>5004086291</v>
      </c>
      <c r="E45" s="43">
        <v>6004086651</v>
      </c>
      <c r="F45" s="43">
        <v>6004086551</v>
      </c>
      <c r="G45" s="43" t="s">
        <v>57</v>
      </c>
      <c r="H45" s="46">
        <v>120000</v>
      </c>
      <c r="I45" s="45" t="s">
        <v>89</v>
      </c>
      <c r="J45" s="41" t="s">
        <v>76</v>
      </c>
    </row>
    <row r="46" spans="1:10" ht="42" customHeight="1">
      <c r="A46" s="93"/>
      <c r="B46" s="26" t="s">
        <v>173</v>
      </c>
      <c r="C46" s="43" t="s">
        <v>29</v>
      </c>
      <c r="D46" s="43">
        <v>5004086291</v>
      </c>
      <c r="E46" s="43">
        <v>6004086651</v>
      </c>
      <c r="F46" s="43">
        <v>6004086551</v>
      </c>
      <c r="G46" s="43" t="s">
        <v>57</v>
      </c>
      <c r="H46" s="46">
        <v>465480</v>
      </c>
      <c r="I46" s="31" t="s">
        <v>89</v>
      </c>
      <c r="J46" s="41" t="s">
        <v>76</v>
      </c>
    </row>
    <row r="47" spans="1:10" ht="99.75" customHeight="1">
      <c r="A47" s="93"/>
      <c r="B47" s="42" t="s">
        <v>174</v>
      </c>
      <c r="C47" s="43" t="s">
        <v>29</v>
      </c>
      <c r="D47" s="43">
        <v>5004086291</v>
      </c>
      <c r="E47" s="43">
        <v>6004086651</v>
      </c>
      <c r="F47" s="43">
        <v>6004086551</v>
      </c>
      <c r="G47" s="43" t="s">
        <v>57</v>
      </c>
      <c r="H47" s="44">
        <v>480000</v>
      </c>
      <c r="I47" s="45" t="s">
        <v>89</v>
      </c>
      <c r="J47" s="29" t="s">
        <v>175</v>
      </c>
    </row>
    <row r="48" spans="1:10" ht="42" customHeight="1">
      <c r="A48" s="93"/>
      <c r="B48" s="26" t="s">
        <v>91</v>
      </c>
      <c r="C48" s="27" t="s">
        <v>29</v>
      </c>
      <c r="D48" s="27">
        <v>5004086291</v>
      </c>
      <c r="E48" s="27">
        <v>6004086651</v>
      </c>
      <c r="F48" s="27">
        <v>6004086551</v>
      </c>
      <c r="G48" s="27" t="s">
        <v>57</v>
      </c>
      <c r="H48" s="46">
        <v>27000</v>
      </c>
      <c r="I48" s="31" t="s">
        <v>20</v>
      </c>
      <c r="J48" s="41" t="s">
        <v>76</v>
      </c>
    </row>
    <row r="49" spans="1:11" ht="42" customHeight="1">
      <c r="A49" s="93"/>
      <c r="B49" s="26" t="s">
        <v>92</v>
      </c>
      <c r="C49" s="27" t="s">
        <v>29</v>
      </c>
      <c r="D49" s="27" t="s">
        <v>43</v>
      </c>
      <c r="E49" s="27">
        <v>6004086651</v>
      </c>
      <c r="F49" s="27" t="s">
        <v>43</v>
      </c>
      <c r="G49" s="27" t="s">
        <v>57</v>
      </c>
      <c r="H49" s="46">
        <v>250500</v>
      </c>
      <c r="I49" s="31" t="s">
        <v>93</v>
      </c>
      <c r="J49" s="41" t="s">
        <v>76</v>
      </c>
    </row>
    <row r="50" spans="1:11" ht="42" customHeight="1">
      <c r="A50" s="93"/>
      <c r="B50" s="26" t="s">
        <v>94</v>
      </c>
      <c r="C50" s="27" t="s">
        <v>29</v>
      </c>
      <c r="D50" s="27" t="s">
        <v>43</v>
      </c>
      <c r="E50" s="27">
        <v>6004086651</v>
      </c>
      <c r="F50" s="27" t="s">
        <v>43</v>
      </c>
      <c r="G50" s="27" t="s">
        <v>57</v>
      </c>
      <c r="H50" s="46">
        <v>265000</v>
      </c>
      <c r="I50" s="31" t="s">
        <v>93</v>
      </c>
      <c r="J50" s="41" t="s">
        <v>76</v>
      </c>
    </row>
    <row r="51" spans="1:11" ht="42.75" customHeight="1">
      <c r="A51" s="93"/>
      <c r="B51" s="26" t="s">
        <v>95</v>
      </c>
      <c r="C51" s="27" t="s">
        <v>29</v>
      </c>
      <c r="D51" s="27" t="s">
        <v>43</v>
      </c>
      <c r="E51" s="27">
        <v>6004086651</v>
      </c>
      <c r="F51" s="27" t="s">
        <v>43</v>
      </c>
      <c r="G51" s="27" t="s">
        <v>57</v>
      </c>
      <c r="H51" s="46">
        <v>129500</v>
      </c>
      <c r="I51" s="31" t="s">
        <v>93</v>
      </c>
      <c r="J51" s="41" t="s">
        <v>76</v>
      </c>
    </row>
    <row r="52" spans="1:11" ht="42.75" customHeight="1">
      <c r="A52" s="93"/>
      <c r="B52" s="26" t="s">
        <v>96</v>
      </c>
      <c r="C52" s="27" t="s">
        <v>29</v>
      </c>
      <c r="D52" s="27" t="s">
        <v>43</v>
      </c>
      <c r="E52" s="27">
        <v>6004086651</v>
      </c>
      <c r="F52" s="27" t="s">
        <v>43</v>
      </c>
      <c r="G52" s="27" t="s">
        <v>57</v>
      </c>
      <c r="H52" s="46">
        <v>240000</v>
      </c>
      <c r="I52" s="31" t="s">
        <v>93</v>
      </c>
      <c r="J52" s="41" t="s">
        <v>76</v>
      </c>
    </row>
    <row r="53" spans="1:11" ht="42.75" customHeight="1">
      <c r="A53" s="93"/>
      <c r="B53" s="26" t="s">
        <v>97</v>
      </c>
      <c r="C53" s="27" t="s">
        <v>29</v>
      </c>
      <c r="D53" s="27" t="s">
        <v>43</v>
      </c>
      <c r="E53" s="27">
        <v>6004086651</v>
      </c>
      <c r="F53" s="27" t="s">
        <v>43</v>
      </c>
      <c r="G53" s="27" t="s">
        <v>57</v>
      </c>
      <c r="H53" s="46">
        <v>297600</v>
      </c>
      <c r="I53" s="31" t="s">
        <v>98</v>
      </c>
      <c r="J53" s="41" t="s">
        <v>76</v>
      </c>
    </row>
    <row r="54" spans="1:11" ht="42.75" customHeight="1">
      <c r="A54" s="93"/>
      <c r="B54" s="26" t="s">
        <v>99</v>
      </c>
      <c r="C54" s="27" t="s">
        <v>29</v>
      </c>
      <c r="D54" s="27" t="s">
        <v>43</v>
      </c>
      <c r="E54" s="27">
        <v>6004086651</v>
      </c>
      <c r="F54" s="27" t="s">
        <v>43</v>
      </c>
      <c r="G54" s="27" t="s">
        <v>57</v>
      </c>
      <c r="H54" s="46">
        <v>43200</v>
      </c>
      <c r="I54" s="31" t="s">
        <v>100</v>
      </c>
      <c r="J54" s="41" t="s">
        <v>76</v>
      </c>
    </row>
    <row r="55" spans="1:11" s="58" customFormat="1" ht="85.5" customHeight="1">
      <c r="A55" s="93"/>
      <c r="B55" s="42" t="s">
        <v>101</v>
      </c>
      <c r="C55" s="43" t="s">
        <v>29</v>
      </c>
      <c r="D55" s="43">
        <v>5004086291</v>
      </c>
      <c r="E55" s="43">
        <v>6004086651</v>
      </c>
      <c r="F55" s="43">
        <v>6004086551</v>
      </c>
      <c r="G55" s="25" t="s">
        <v>193</v>
      </c>
      <c r="H55" s="44">
        <v>8500</v>
      </c>
      <c r="I55" s="45" t="s">
        <v>100</v>
      </c>
      <c r="J55" s="29" t="s">
        <v>158</v>
      </c>
    </row>
    <row r="56" spans="1:11" ht="34.5" customHeight="1">
      <c r="A56" s="93"/>
      <c r="B56" s="42" t="s">
        <v>102</v>
      </c>
      <c r="C56" s="43" t="s">
        <v>29</v>
      </c>
      <c r="D56" s="43">
        <v>5004086291</v>
      </c>
      <c r="E56" s="43">
        <v>6004086651</v>
      </c>
      <c r="F56" s="43">
        <v>6004086551</v>
      </c>
      <c r="G56" s="43" t="s">
        <v>43</v>
      </c>
      <c r="H56" s="44">
        <v>45000</v>
      </c>
      <c r="I56" s="45" t="s">
        <v>100</v>
      </c>
      <c r="J56" s="41" t="s">
        <v>103</v>
      </c>
    </row>
    <row r="57" spans="1:11" ht="34.5" customHeight="1">
      <c r="A57" s="93"/>
      <c r="B57" s="42" t="s">
        <v>104</v>
      </c>
      <c r="C57" s="43" t="s">
        <v>29</v>
      </c>
      <c r="D57" s="43">
        <v>5004086291</v>
      </c>
      <c r="E57" s="43">
        <v>6004086651</v>
      </c>
      <c r="F57" s="43">
        <v>6004086551</v>
      </c>
      <c r="G57" s="43" t="s">
        <v>43</v>
      </c>
      <c r="H57" s="44">
        <v>34000</v>
      </c>
      <c r="I57" s="45" t="s">
        <v>100</v>
      </c>
      <c r="J57" s="41" t="s">
        <v>103</v>
      </c>
    </row>
    <row r="58" spans="1:11" ht="34.5" customHeight="1">
      <c r="A58" s="93"/>
      <c r="B58" s="42" t="s">
        <v>105</v>
      </c>
      <c r="C58" s="43" t="s">
        <v>29</v>
      </c>
      <c r="D58" s="43">
        <v>5004086291</v>
      </c>
      <c r="E58" s="43">
        <v>6004086651</v>
      </c>
      <c r="F58" s="43">
        <v>6004086551</v>
      </c>
      <c r="G58" s="43" t="s">
        <v>43</v>
      </c>
      <c r="H58" s="44">
        <v>60000</v>
      </c>
      <c r="I58" s="45" t="s">
        <v>100</v>
      </c>
      <c r="J58" s="41" t="s">
        <v>103</v>
      </c>
    </row>
    <row r="59" spans="1:11" s="65" customFormat="1" ht="54.75" customHeight="1">
      <c r="A59" s="93"/>
      <c r="B59" s="56" t="s">
        <v>106</v>
      </c>
      <c r="C59" s="51" t="s">
        <v>29</v>
      </c>
      <c r="D59" s="51">
        <v>5004086291</v>
      </c>
      <c r="E59" s="51">
        <v>6004086651</v>
      </c>
      <c r="F59" s="51">
        <v>6004086551</v>
      </c>
      <c r="G59" s="51" t="s">
        <v>43</v>
      </c>
      <c r="H59" s="60">
        <v>200000</v>
      </c>
      <c r="I59" s="52" t="s">
        <v>31</v>
      </c>
      <c r="J59" s="83" t="s">
        <v>213</v>
      </c>
    </row>
    <row r="60" spans="1:11" s="71" customFormat="1" ht="60" customHeight="1">
      <c r="A60" s="93"/>
      <c r="B60" s="42" t="s">
        <v>210</v>
      </c>
      <c r="C60" s="68" t="s">
        <v>29</v>
      </c>
      <c r="D60" s="68">
        <v>5004086291</v>
      </c>
      <c r="E60" s="68">
        <v>6004086651</v>
      </c>
      <c r="F60" s="68">
        <v>6004086551</v>
      </c>
      <c r="G60" s="68" t="s">
        <v>194</v>
      </c>
      <c r="H60" s="69">
        <v>562000</v>
      </c>
      <c r="I60" s="70" t="s">
        <v>31</v>
      </c>
      <c r="J60" s="41" t="s">
        <v>204</v>
      </c>
      <c r="K60" s="89"/>
    </row>
    <row r="61" spans="1:11" ht="114" customHeight="1">
      <c r="A61" s="93"/>
      <c r="B61" s="42" t="s">
        <v>107</v>
      </c>
      <c r="C61" s="43" t="s">
        <v>29</v>
      </c>
      <c r="D61" s="43">
        <v>5004086291</v>
      </c>
      <c r="E61" s="43">
        <v>6004086651</v>
      </c>
      <c r="F61" s="43">
        <v>6004086551</v>
      </c>
      <c r="G61" s="25" t="s">
        <v>108</v>
      </c>
      <c r="H61" s="46">
        <v>2061000</v>
      </c>
      <c r="I61" s="45" t="s">
        <v>31</v>
      </c>
      <c r="J61" s="67" t="s">
        <v>200</v>
      </c>
      <c r="K61" s="65"/>
    </row>
    <row r="62" spans="1:11" ht="139.15" customHeight="1">
      <c r="A62" s="93"/>
      <c r="B62" s="42" t="s">
        <v>171</v>
      </c>
      <c r="C62" s="43" t="s">
        <v>29</v>
      </c>
      <c r="D62" s="43">
        <v>5004086291</v>
      </c>
      <c r="E62" s="43">
        <v>6004086651</v>
      </c>
      <c r="F62" s="43">
        <v>6004086551</v>
      </c>
      <c r="G62" s="25" t="s">
        <v>170</v>
      </c>
      <c r="H62" s="46">
        <v>1443000</v>
      </c>
      <c r="I62" s="45" t="s">
        <v>31</v>
      </c>
      <c r="J62" s="29" t="s">
        <v>172</v>
      </c>
      <c r="K62" s="65"/>
    </row>
    <row r="63" spans="1:11" s="58" customFormat="1" ht="93.75" customHeight="1">
      <c r="A63" s="93"/>
      <c r="B63" s="42" t="s">
        <v>109</v>
      </c>
      <c r="C63" s="43" t="s">
        <v>29</v>
      </c>
      <c r="D63" s="43">
        <v>5004086291</v>
      </c>
      <c r="E63" s="43">
        <v>6004086651</v>
      </c>
      <c r="F63" s="43">
        <v>6004086551</v>
      </c>
      <c r="G63" s="25" t="s">
        <v>198</v>
      </c>
      <c r="H63" s="85">
        <v>126000</v>
      </c>
      <c r="I63" s="45" t="s">
        <v>31</v>
      </c>
      <c r="J63" s="41" t="s">
        <v>201</v>
      </c>
      <c r="K63" s="65"/>
    </row>
    <row r="64" spans="1:11" ht="135" customHeight="1">
      <c r="A64" s="93"/>
      <c r="B64" s="42" t="s">
        <v>110</v>
      </c>
      <c r="C64" s="43" t="s">
        <v>29</v>
      </c>
      <c r="D64" s="43">
        <v>5004086291</v>
      </c>
      <c r="E64" s="43">
        <v>6004086651</v>
      </c>
      <c r="F64" s="43">
        <v>6004086551</v>
      </c>
      <c r="G64" s="43" t="s">
        <v>198</v>
      </c>
      <c r="H64" s="87">
        <v>56000</v>
      </c>
      <c r="I64" s="45" t="s">
        <v>31</v>
      </c>
      <c r="J64" s="41" t="s">
        <v>199</v>
      </c>
      <c r="K64" s="65"/>
    </row>
    <row r="65" spans="1:11" ht="138" customHeight="1">
      <c r="A65" s="93"/>
      <c r="B65" s="41" t="s">
        <v>111</v>
      </c>
      <c r="C65" s="43" t="s">
        <v>29</v>
      </c>
      <c r="D65" s="43">
        <v>5004086291</v>
      </c>
      <c r="E65" s="43">
        <v>6004086651</v>
      </c>
      <c r="F65" s="43">
        <v>6004086551</v>
      </c>
      <c r="G65" s="25" t="s">
        <v>112</v>
      </c>
      <c r="H65" s="85">
        <v>518000</v>
      </c>
      <c r="I65" s="45" t="s">
        <v>31</v>
      </c>
      <c r="J65" s="41" t="s">
        <v>208</v>
      </c>
      <c r="K65" s="65"/>
    </row>
    <row r="66" spans="1:11" ht="96" customHeight="1">
      <c r="A66" s="93"/>
      <c r="B66" s="41" t="s">
        <v>113</v>
      </c>
      <c r="C66" s="43" t="s">
        <v>29</v>
      </c>
      <c r="D66" s="43">
        <v>5004086291</v>
      </c>
      <c r="E66" s="43">
        <v>6004086651</v>
      </c>
      <c r="F66" s="43">
        <v>6004086551</v>
      </c>
      <c r="G66" s="25" t="s">
        <v>112</v>
      </c>
      <c r="H66" s="85">
        <v>304000</v>
      </c>
      <c r="I66" s="45" t="s">
        <v>31</v>
      </c>
      <c r="J66" s="67" t="s">
        <v>207</v>
      </c>
      <c r="K66" s="65"/>
    </row>
    <row r="67" spans="1:11" ht="95.25" customHeight="1">
      <c r="A67" s="93"/>
      <c r="B67" s="42" t="s">
        <v>147</v>
      </c>
      <c r="C67" s="43" t="s">
        <v>29</v>
      </c>
      <c r="D67" s="43">
        <v>5004086291</v>
      </c>
      <c r="E67" s="43">
        <v>6004086651</v>
      </c>
      <c r="F67" s="43">
        <v>6004086551</v>
      </c>
      <c r="G67" s="25" t="s">
        <v>114</v>
      </c>
      <c r="H67" s="85">
        <v>107000</v>
      </c>
      <c r="I67" s="45" t="s">
        <v>115</v>
      </c>
      <c r="J67" s="41" t="s">
        <v>192</v>
      </c>
      <c r="K67" s="65"/>
    </row>
    <row r="68" spans="1:11" s="65" customFormat="1" ht="60" customHeight="1">
      <c r="A68" s="93"/>
      <c r="B68" s="56" t="s">
        <v>116</v>
      </c>
      <c r="C68" s="51" t="s">
        <v>29</v>
      </c>
      <c r="D68" s="51">
        <v>5004086291</v>
      </c>
      <c r="E68" s="51">
        <v>6004086651</v>
      </c>
      <c r="F68" s="51">
        <v>6004086551</v>
      </c>
      <c r="G68" s="84" t="s">
        <v>43</v>
      </c>
      <c r="H68" s="85">
        <v>300000</v>
      </c>
      <c r="I68" s="52" t="s">
        <v>31</v>
      </c>
      <c r="J68" s="83" t="s">
        <v>214</v>
      </c>
    </row>
    <row r="69" spans="1:11" ht="163.5" customHeight="1">
      <c r="A69" s="93"/>
      <c r="B69" s="42" t="s">
        <v>117</v>
      </c>
      <c r="C69" s="43" t="s">
        <v>29</v>
      </c>
      <c r="D69" s="43">
        <v>5004086291</v>
      </c>
      <c r="E69" s="43">
        <v>6004086651</v>
      </c>
      <c r="F69" s="43">
        <v>6004086551</v>
      </c>
      <c r="G69" s="43" t="s">
        <v>118</v>
      </c>
      <c r="H69" s="85">
        <v>100000</v>
      </c>
      <c r="I69" s="45" t="s">
        <v>31</v>
      </c>
      <c r="J69" s="41" t="s">
        <v>202</v>
      </c>
      <c r="K69" s="65"/>
    </row>
    <row r="70" spans="1:11" ht="334.5" customHeight="1">
      <c r="A70" s="93"/>
      <c r="B70" s="42" t="s">
        <v>119</v>
      </c>
      <c r="C70" s="43" t="s">
        <v>29</v>
      </c>
      <c r="D70" s="43">
        <v>5004086291</v>
      </c>
      <c r="E70" s="54">
        <v>6004086651</v>
      </c>
      <c r="F70" s="43">
        <v>6004086551</v>
      </c>
      <c r="G70" s="43" t="s">
        <v>48</v>
      </c>
      <c r="H70" s="46">
        <v>152000</v>
      </c>
      <c r="I70" s="45" t="s">
        <v>31</v>
      </c>
      <c r="J70" s="55" t="s">
        <v>203</v>
      </c>
      <c r="K70" s="65"/>
    </row>
    <row r="71" spans="1:11" s="71" customFormat="1" ht="150" customHeight="1">
      <c r="A71" s="94"/>
      <c r="B71" s="80" t="s">
        <v>211</v>
      </c>
      <c r="C71" s="73" t="s">
        <v>29</v>
      </c>
      <c r="D71" s="73">
        <v>5004086291</v>
      </c>
      <c r="E71" s="73">
        <v>6004086651</v>
      </c>
      <c r="F71" s="73">
        <v>6004086551</v>
      </c>
      <c r="G71" s="73" t="s">
        <v>112</v>
      </c>
      <c r="H71" s="74">
        <v>100000</v>
      </c>
      <c r="I71" s="75" t="s">
        <v>31</v>
      </c>
      <c r="J71" s="72" t="s">
        <v>205</v>
      </c>
      <c r="K71" s="65"/>
    </row>
    <row r="72" spans="1:11" s="58" customFormat="1" ht="42" customHeight="1">
      <c r="A72" s="49" t="s">
        <v>143</v>
      </c>
      <c r="B72" s="7" t="s">
        <v>144</v>
      </c>
      <c r="C72" s="8"/>
      <c r="D72" s="6"/>
      <c r="E72" s="6"/>
      <c r="F72" s="6"/>
      <c r="G72" s="8"/>
      <c r="H72" s="9"/>
      <c r="I72" s="8"/>
      <c r="J72" s="11" t="s">
        <v>209</v>
      </c>
      <c r="K72" s="65"/>
    </row>
    <row r="73" spans="1:11" ht="32.25" customHeight="1">
      <c r="J73" s="79"/>
    </row>
    <row r="74" spans="1:11">
      <c r="A74" s="2" t="s">
        <v>162</v>
      </c>
      <c r="C74" s="3"/>
      <c r="D74" s="13"/>
      <c r="E74" s="13"/>
      <c r="F74" s="2"/>
      <c r="G74" s="14"/>
      <c r="H74" s="14"/>
    </row>
    <row r="75" spans="1:11">
      <c r="A75" s="2" t="s">
        <v>161</v>
      </c>
      <c r="C75" s="15"/>
      <c r="D75" s="16"/>
      <c r="E75" s="13"/>
    </row>
    <row r="76" spans="1:11">
      <c r="A76" s="2"/>
      <c r="B76" s="48"/>
      <c r="C76" s="17"/>
      <c r="D76" s="16"/>
      <c r="E76" s="13"/>
    </row>
    <row r="77" spans="1:11">
      <c r="A77" s="2"/>
      <c r="C77" s="15"/>
      <c r="D77" s="16"/>
      <c r="E77" s="13"/>
    </row>
    <row r="78" spans="1:11">
      <c r="A78" s="2"/>
      <c r="C78" s="15"/>
      <c r="D78" s="16"/>
      <c r="E78" s="13"/>
    </row>
    <row r="79" spans="1:11">
      <c r="H79" s="2">
        <f>832.17/100</f>
        <v>8.3216999999999999</v>
      </c>
    </row>
    <row r="80" spans="1:11">
      <c r="H80" s="88">
        <f>H79*3</f>
        <v>24.9651</v>
      </c>
    </row>
    <row r="81" spans="8:8">
      <c r="H81" s="2">
        <f>26500*5</f>
        <v>132500</v>
      </c>
    </row>
  </sheetData>
  <autoFilter ref="A4:J72" xr:uid="{BA32C98E-CB01-4B60-A47C-329C8F19C7E5}"/>
  <mergeCells count="10">
    <mergeCell ref="J29:J30"/>
    <mergeCell ref="J18:J21"/>
    <mergeCell ref="A5:A17"/>
    <mergeCell ref="B9:B10"/>
    <mergeCell ref="C9:C10"/>
    <mergeCell ref="D9:D10"/>
    <mergeCell ref="E9:E10"/>
    <mergeCell ref="F9:F10"/>
    <mergeCell ref="G9:G10"/>
    <mergeCell ref="A18:A71"/>
  </mergeCells>
  <phoneticPr fontId="36"/>
  <printOptions horizontalCentered="1"/>
  <pageMargins left="3.937007874015748E-2" right="0" top="0" bottom="0" header="0" footer="0"/>
  <pageSetup paperSize="9" scale="3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Tài liệu" ma:contentTypeID="0x010100DB24EDB465323845A68F49B67C0FBEEF" ma:contentTypeVersion="17" ma:contentTypeDescription="Tạo tài liệu mới." ma:contentTypeScope="" ma:versionID="23f0dc0ab5ad78d6e6291fdb2fe26642">
  <xsd:schema xmlns:xsd="http://www.w3.org/2001/XMLSchema" xmlns:xs="http://www.w3.org/2001/XMLSchema" xmlns:p="http://schemas.microsoft.com/office/2006/metadata/properties" xmlns:ns2="c3666f02-6a17-4b93-8e4f-4f8c851bed15" xmlns:ns3="a67f3886-f84f-4ade-a9df-8a61292dc710" targetNamespace="http://schemas.microsoft.com/office/2006/metadata/properties" ma:root="true" ma:fieldsID="c7e7713e468ce5fe561a860222c69c2e" ns2:_="" ns3:_="">
    <xsd:import namespace="c3666f02-6a17-4b93-8e4f-4f8c851bed15"/>
    <xsd:import namespace="a67f3886-f84f-4ade-a9df-8a61292dc7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66f02-6a17-4b93-8e4f-4f8c851bed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7f3886-f84f-4ade-a9df-8a61292dc710" elementFormDefault="qualified">
    <xsd:import namespace="http://schemas.microsoft.com/office/2006/documentManagement/types"/>
    <xsd:import namespace="http://schemas.microsoft.com/office/infopath/2007/PartnerControls"/>
    <xsd:element name="SharedWithUsers" ma:index="12"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A0B11-CE17-4EF2-86D1-BF1E203BBB04}">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a67f3886-f84f-4ade-a9df-8a61292dc710"/>
    <ds:schemaRef ds:uri="c3666f02-6a17-4b93-8e4f-4f8c851bed15"/>
    <ds:schemaRef ds:uri="http://www.w3.org/XML/1998/namespace"/>
  </ds:schemaRefs>
</ds:datastoreItem>
</file>

<file path=customXml/itemProps2.xml><?xml version="1.0" encoding="utf-8"?>
<ds:datastoreItem xmlns:ds="http://schemas.openxmlformats.org/officeDocument/2006/customXml" ds:itemID="{EFC0FACC-084E-4CA6-AB6A-54805DEE3D3C}">
  <ds:schemaRefs>
    <ds:schemaRef ds:uri="http://schemas.microsoft.com/sharepoint/v3/contenttype/forms"/>
  </ds:schemaRefs>
</ds:datastoreItem>
</file>

<file path=customXml/itemProps3.xml><?xml version="1.0" encoding="utf-8"?>
<ds:datastoreItem xmlns:ds="http://schemas.openxmlformats.org/officeDocument/2006/customXml" ds:itemID="{CC458EFE-CB2F-4B14-8A64-8A5C4D5C5C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666f02-6a17-4b93-8e4f-4f8c851bed15"/>
    <ds:schemaRef ds:uri="a67f3886-f84f-4ade-a9df-8a61292dc7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配賦額一覧</vt:lpstr>
      <vt:lpstr>FY2027配賦額一覧</vt:lpstr>
      <vt:lpstr>FY2027配賦額一覧!Print_Area</vt:lpstr>
      <vt:lpstr>配賦額一覧!Print_Area</vt:lpstr>
      <vt:lpstr>FY2027配賦額一覧!Print_Titles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Thị Thu Hằng(Tran Thi Thu Hang)</dc:creator>
  <cp:keywords/>
  <dc:description/>
  <cp:lastModifiedBy>Nguyễn Thị Phương Anh(Nguyen Thi Phuong Anh)</cp:lastModifiedBy>
  <cp:revision/>
  <cp:lastPrinted>2025-12-30T01:42:46Z</cp:lastPrinted>
  <dcterms:created xsi:type="dcterms:W3CDTF">2018-03-15T05:08:25Z</dcterms:created>
  <dcterms:modified xsi:type="dcterms:W3CDTF">2026-07-15T09:22:58Z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0x010100DB24EDB465323845A68F49B67C0FBEEF</vt:lpwstr>
  </property>
</Properties>
</file>