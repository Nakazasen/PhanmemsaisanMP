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tup\Desktop\"/>
    </mc:Choice>
  </mc:AlternateContent>
  <xr:revisionPtr revIDLastSave="0" documentId="13_ncr:1_{E0108720-FCCF-4318-9E6A-BF7438C18090}" xr6:coauthVersionLast="47" xr6:coauthVersionMax="47" xr10:uidLastSave="{00000000-0000-0000-0000-000000000000}"/>
  <bookViews>
    <workbookView xWindow="-19310" yWindow="1950" windowWidth="19420" windowHeight="10300" tabRatio="702" firstSheet="2" activeTab="2" xr2:uid="{00000000-000D-0000-FFFF-FFFF00000000}"/>
  </bookViews>
  <sheets>
    <sheet name="採算表(USD)" sheetId="1" r:id="rId1"/>
    <sheet name="採算表(VND)" sheetId="2" r:id="rId2"/>
    <sheet name="内訳ﾘｽﾄ(4～3月)" sheetId="3" r:id="rId3"/>
    <sheet name="設備投資計画" sheetId="4" r:id="rId4"/>
    <sheet name="勘定科目" sheetId="5" r:id="rId5"/>
    <sheet name="原価センタ" sheetId="6" r:id="rId6"/>
    <sheet name="稼働日" sheetId="7" r:id="rId7"/>
  </sheets>
  <definedNames>
    <definedName name="_Fill" hidden="1">#REF!</definedName>
    <definedName name="_xlnm._FilterDatabase" localSheetId="2" hidden="1">'内訳ﾘｽﾄ(4～3月)'!$A$7:$T$814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G2" i="5"/>
  <c r="F2" i="5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N98" i="2"/>
  <c r="M98" i="2"/>
  <c r="L98" i="2"/>
  <c r="K98" i="2"/>
  <c r="J98" i="2"/>
  <c r="I98" i="2"/>
  <c r="H98" i="2"/>
  <c r="G98" i="2"/>
  <c r="F98" i="2"/>
  <c r="E98" i="2"/>
  <c r="D98" i="2"/>
  <c r="C98" i="2"/>
  <c r="N97" i="2"/>
  <c r="N99" i="2" s="1"/>
  <c r="M97" i="2"/>
  <c r="M99" i="2" s="1"/>
  <c r="L97" i="2"/>
  <c r="L99" i="2" s="1"/>
  <c r="K97" i="2"/>
  <c r="K99" i="2" s="1"/>
  <c r="J97" i="2"/>
  <c r="J99" i="2" s="1"/>
  <c r="I97" i="2"/>
  <c r="I99" i="2" s="1"/>
  <c r="H97" i="2"/>
  <c r="H99" i="2" s="1"/>
  <c r="G97" i="2"/>
  <c r="G99" i="2" s="1"/>
  <c r="F97" i="2"/>
  <c r="F99" i="2" s="1"/>
  <c r="E97" i="2"/>
  <c r="E99" i="2" s="1"/>
  <c r="D97" i="2"/>
  <c r="D99" i="2" s="1"/>
  <c r="C97" i="2"/>
  <c r="C99" i="2" s="1"/>
  <c r="N93" i="2"/>
  <c r="M93" i="2"/>
  <c r="L93" i="2"/>
  <c r="K93" i="2"/>
  <c r="J93" i="2"/>
  <c r="I93" i="2"/>
  <c r="H93" i="2"/>
  <c r="G93" i="2"/>
  <c r="F93" i="2"/>
  <c r="E93" i="2"/>
  <c r="D93" i="2"/>
  <c r="C93" i="2"/>
  <c r="N92" i="2"/>
  <c r="N94" i="2" s="1"/>
  <c r="M92" i="2"/>
  <c r="M94" i="2" s="1"/>
  <c r="L92" i="2"/>
  <c r="L94" i="2" s="1"/>
  <c r="K92" i="2"/>
  <c r="K94" i="2" s="1"/>
  <c r="J92" i="2"/>
  <c r="J94" i="2" s="1"/>
  <c r="I92" i="2"/>
  <c r="I94" i="2" s="1"/>
  <c r="H92" i="2"/>
  <c r="H94" i="2" s="1"/>
  <c r="G92" i="2"/>
  <c r="G94" i="2" s="1"/>
  <c r="F92" i="2"/>
  <c r="F94" i="2" s="1"/>
  <c r="E92" i="2"/>
  <c r="E94" i="2" s="1"/>
  <c r="D92" i="2"/>
  <c r="D94" i="2" s="1"/>
  <c r="C92" i="2"/>
  <c r="C94" i="2" s="1"/>
  <c r="N88" i="2"/>
  <c r="M88" i="2"/>
  <c r="L88" i="2"/>
  <c r="K88" i="2"/>
  <c r="J88" i="2"/>
  <c r="I88" i="2"/>
  <c r="H88" i="2"/>
  <c r="G88" i="2"/>
  <c r="F88" i="2"/>
  <c r="E88" i="2"/>
  <c r="D88" i="2"/>
  <c r="C88" i="2"/>
  <c r="N87" i="2"/>
  <c r="N89" i="2" s="1"/>
  <c r="M87" i="2"/>
  <c r="M89" i="2" s="1"/>
  <c r="L87" i="2"/>
  <c r="L89" i="2" s="1"/>
  <c r="K87" i="2"/>
  <c r="K89" i="2" s="1"/>
  <c r="J87" i="2"/>
  <c r="J89" i="2" s="1"/>
  <c r="I87" i="2"/>
  <c r="I89" i="2" s="1"/>
  <c r="H87" i="2"/>
  <c r="H89" i="2" s="1"/>
  <c r="G87" i="2"/>
  <c r="G89" i="2" s="1"/>
  <c r="F87" i="2"/>
  <c r="F89" i="2" s="1"/>
  <c r="E87" i="2"/>
  <c r="E89" i="2" s="1"/>
  <c r="D87" i="2"/>
  <c r="D89" i="2" s="1"/>
  <c r="C87" i="2"/>
  <c r="C89" i="2" s="1"/>
  <c r="N74" i="2"/>
  <c r="M74" i="2"/>
  <c r="L74" i="2"/>
  <c r="K74" i="2"/>
  <c r="J74" i="2"/>
  <c r="I74" i="2"/>
  <c r="H74" i="2"/>
  <c r="G74" i="2"/>
  <c r="F74" i="2"/>
  <c r="E74" i="2"/>
  <c r="D74" i="2"/>
  <c r="C74" i="2"/>
  <c r="N68" i="2"/>
  <c r="M68" i="2"/>
  <c r="L68" i="2"/>
  <c r="K68" i="2"/>
  <c r="J68" i="2"/>
  <c r="I68" i="2"/>
  <c r="H68" i="2"/>
  <c r="G68" i="2"/>
  <c r="F68" i="2"/>
  <c r="E68" i="2"/>
  <c r="D68" i="2"/>
  <c r="C68" i="2"/>
  <c r="C4" i="2"/>
  <c r="C1" i="2"/>
  <c r="N98" i="1"/>
  <c r="M98" i="1"/>
  <c r="L98" i="1"/>
  <c r="K98" i="1"/>
  <c r="J98" i="1"/>
  <c r="I98" i="1"/>
  <c r="H98" i="1"/>
  <c r="G98" i="1"/>
  <c r="F98" i="1"/>
  <c r="E98" i="1"/>
  <c r="D98" i="1"/>
  <c r="C98" i="1"/>
  <c r="O98" i="1" s="1"/>
  <c r="N97" i="1"/>
  <c r="N99" i="1" s="1"/>
  <c r="M97" i="1"/>
  <c r="M99" i="1" s="1"/>
  <c r="L97" i="1"/>
  <c r="L99" i="1" s="1"/>
  <c r="K97" i="1"/>
  <c r="K99" i="1" s="1"/>
  <c r="J97" i="1"/>
  <c r="J99" i="1" s="1"/>
  <c r="I97" i="1"/>
  <c r="I99" i="1" s="1"/>
  <c r="H97" i="1"/>
  <c r="H99" i="1" s="1"/>
  <c r="G97" i="1"/>
  <c r="G99" i="1" s="1"/>
  <c r="F97" i="1"/>
  <c r="F99" i="1" s="1"/>
  <c r="E97" i="1"/>
  <c r="E99" i="1" s="1"/>
  <c r="D97" i="1"/>
  <c r="D99" i="1" s="1"/>
  <c r="C97" i="1"/>
  <c r="N93" i="1"/>
  <c r="M93" i="1"/>
  <c r="L93" i="1"/>
  <c r="K93" i="1"/>
  <c r="J93" i="1"/>
  <c r="I93" i="1"/>
  <c r="H93" i="1"/>
  <c r="G93" i="1"/>
  <c r="F93" i="1"/>
  <c r="E93" i="1"/>
  <c r="D93" i="1"/>
  <c r="C93" i="1"/>
  <c r="O93" i="1" s="1"/>
  <c r="N92" i="1"/>
  <c r="N94" i="1" s="1"/>
  <c r="M92" i="1"/>
  <c r="M94" i="1" s="1"/>
  <c r="L92" i="1"/>
  <c r="L94" i="1" s="1"/>
  <c r="K92" i="1"/>
  <c r="K94" i="1" s="1"/>
  <c r="J92" i="1"/>
  <c r="J94" i="1" s="1"/>
  <c r="I92" i="1"/>
  <c r="I94" i="1" s="1"/>
  <c r="H92" i="1"/>
  <c r="H94" i="1" s="1"/>
  <c r="G92" i="1"/>
  <c r="G94" i="1" s="1"/>
  <c r="F92" i="1"/>
  <c r="F94" i="1" s="1"/>
  <c r="E92" i="1"/>
  <c r="E94" i="1" s="1"/>
  <c r="D92" i="1"/>
  <c r="D94" i="1" s="1"/>
  <c r="C92" i="1"/>
  <c r="N88" i="1"/>
  <c r="M88" i="1"/>
  <c r="L88" i="1"/>
  <c r="K88" i="1"/>
  <c r="J88" i="1"/>
  <c r="I88" i="1"/>
  <c r="H88" i="1"/>
  <c r="G88" i="1"/>
  <c r="F88" i="1"/>
  <c r="E88" i="1"/>
  <c r="D88" i="1"/>
  <c r="C88" i="1"/>
  <c r="O88" i="1" s="1"/>
  <c r="N87" i="1"/>
  <c r="N89" i="1" s="1"/>
  <c r="M87" i="1"/>
  <c r="M89" i="1" s="1"/>
  <c r="L87" i="1"/>
  <c r="L89" i="1" s="1"/>
  <c r="K87" i="1"/>
  <c r="K89" i="1" s="1"/>
  <c r="J87" i="1"/>
  <c r="J89" i="1" s="1"/>
  <c r="I87" i="1"/>
  <c r="I89" i="1" s="1"/>
  <c r="H87" i="1"/>
  <c r="H89" i="1" s="1"/>
  <c r="G87" i="1"/>
  <c r="G89" i="1" s="1"/>
  <c r="F87" i="1"/>
  <c r="F89" i="1" s="1"/>
  <c r="E87" i="1"/>
  <c r="E89" i="1" s="1"/>
  <c r="D87" i="1"/>
  <c r="D89" i="1" s="1"/>
  <c r="C87" i="1"/>
  <c r="N74" i="1"/>
  <c r="M74" i="1"/>
  <c r="L74" i="1"/>
  <c r="K74" i="1"/>
  <c r="J74" i="1"/>
  <c r="I74" i="1"/>
  <c r="H74" i="1"/>
  <c r="G74" i="1"/>
  <c r="F74" i="1"/>
  <c r="E74" i="1"/>
  <c r="D74" i="1"/>
  <c r="C74" i="1"/>
  <c r="N68" i="1"/>
  <c r="M68" i="1"/>
  <c r="L68" i="1"/>
  <c r="K68" i="1"/>
  <c r="J68" i="1"/>
  <c r="I68" i="1"/>
  <c r="H68" i="1"/>
  <c r="G68" i="1"/>
  <c r="F68" i="1"/>
  <c r="E68" i="1"/>
  <c r="D68" i="1"/>
  <c r="C68" i="1"/>
  <c r="O4" i="1"/>
  <c r="N4" i="1"/>
  <c r="M4" i="1"/>
  <c r="L4" i="1"/>
  <c r="K4" i="1"/>
  <c r="J4" i="1"/>
  <c r="I4" i="1"/>
  <c r="H4" i="1"/>
  <c r="G4" i="1"/>
  <c r="F4" i="1"/>
  <c r="E4" i="1"/>
  <c r="D4" i="1"/>
  <c r="C4" i="1"/>
  <c r="N1" i="1"/>
  <c r="C1" i="1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49" i="3"/>
  <c r="R48" i="3"/>
  <c r="R47" i="3"/>
  <c r="R46" i="3"/>
  <c r="R45" i="3"/>
  <c r="R44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Q29" i="3"/>
  <c r="P29" i="3"/>
  <c r="O29" i="3"/>
  <c r="N29" i="3"/>
  <c r="M29" i="3"/>
  <c r="L29" i="3"/>
  <c r="K29" i="3"/>
  <c r="J29" i="3"/>
  <c r="I29" i="3"/>
  <c r="H29" i="3"/>
  <c r="G29" i="3"/>
  <c r="F29" i="3"/>
  <c r="R29" i="3" s="1"/>
  <c r="Q28" i="3"/>
  <c r="P28" i="3"/>
  <c r="O28" i="3"/>
  <c r="N28" i="3"/>
  <c r="M28" i="3"/>
  <c r="L28" i="3"/>
  <c r="K28" i="3"/>
  <c r="J28" i="3"/>
  <c r="I28" i="3"/>
  <c r="H28" i="3"/>
  <c r="G28" i="3"/>
  <c r="F28" i="3"/>
  <c r="R28" i="3" s="1"/>
  <c r="Q27" i="3"/>
  <c r="P27" i="3"/>
  <c r="O27" i="3"/>
  <c r="N27" i="3"/>
  <c r="M27" i="3"/>
  <c r="L27" i="3"/>
  <c r="K27" i="3"/>
  <c r="J27" i="3"/>
  <c r="I27" i="3"/>
  <c r="H27" i="3"/>
  <c r="G27" i="3"/>
  <c r="F27" i="3"/>
  <c r="R27" i="3" s="1"/>
  <c r="Q26" i="3"/>
  <c r="P26" i="3"/>
  <c r="O26" i="3"/>
  <c r="N26" i="3"/>
  <c r="M26" i="3"/>
  <c r="L26" i="3"/>
  <c r="K26" i="3"/>
  <c r="J26" i="3"/>
  <c r="I26" i="3"/>
  <c r="H26" i="3"/>
  <c r="G26" i="3"/>
  <c r="F26" i="3"/>
  <c r="R26" i="3" s="1"/>
  <c r="R25" i="3"/>
  <c r="O88" i="2" s="1"/>
  <c r="R24" i="3"/>
  <c r="O87" i="2" s="1"/>
  <c r="O89" i="2" s="1"/>
  <c r="R23" i="3"/>
  <c r="R22" i="3"/>
  <c r="R21" i="3"/>
  <c r="R20" i="3"/>
  <c r="R19" i="3"/>
  <c r="R18" i="3"/>
  <c r="R17" i="3"/>
  <c r="O98" i="2" s="1"/>
  <c r="R16" i="3"/>
  <c r="R15" i="3"/>
  <c r="R14" i="3"/>
  <c r="R13" i="3"/>
  <c r="R12" i="3"/>
  <c r="R11" i="3"/>
  <c r="R10" i="3"/>
  <c r="R9" i="3"/>
  <c r="O93" i="2" s="1"/>
  <c r="R8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Q3" i="3" a="1"/>
  <c r="Q3" i="3"/>
  <c r="P3" i="3" a="1"/>
  <c r="P3" i="3"/>
  <c r="O3" i="3" a="1"/>
  <c r="O3" i="3"/>
  <c r="N3" i="3" a="1"/>
  <c r="N3" i="3"/>
  <c r="M3" i="3" a="1"/>
  <c r="M3" i="3"/>
  <c r="L3" i="3" a="1"/>
  <c r="L3" i="3"/>
  <c r="K3" i="3" a="1"/>
  <c r="K3" i="3"/>
  <c r="J3" i="3" a="1"/>
  <c r="J3" i="3"/>
  <c r="I3" i="3" a="1"/>
  <c r="I3" i="3"/>
  <c r="H3" i="3" a="1"/>
  <c r="H3" i="3"/>
  <c r="G3" i="3" a="1"/>
  <c r="G3" i="3"/>
  <c r="F3" i="3" a="1"/>
  <c r="F3" i="3"/>
  <c r="Q2" i="3"/>
  <c r="P2" i="3"/>
  <c r="O2" i="3"/>
  <c r="N2" i="3"/>
  <c r="M2" i="3"/>
  <c r="L2" i="3"/>
  <c r="K2" i="3"/>
  <c r="J2" i="3"/>
  <c r="I2" i="3"/>
  <c r="H2" i="3"/>
  <c r="G2" i="3"/>
  <c r="F2" i="3"/>
  <c r="D1" i="4" l="1"/>
  <c r="B2" i="2"/>
  <c r="B2" i="1" s="1"/>
  <c r="O78" i="2"/>
  <c r="N78" i="2"/>
  <c r="N78" i="1" s="1"/>
  <c r="M78" i="2"/>
  <c r="M78" i="1" s="1"/>
  <c r="L78" i="2"/>
  <c r="L78" i="1" s="1"/>
  <c r="K78" i="2"/>
  <c r="K78" i="1" s="1"/>
  <c r="J78" i="2"/>
  <c r="J78" i="1" s="1"/>
  <c r="I78" i="2"/>
  <c r="I78" i="1" s="1"/>
  <c r="H78" i="2"/>
  <c r="H78" i="1" s="1"/>
  <c r="G78" i="2"/>
  <c r="G78" i="1" s="1"/>
  <c r="F78" i="2"/>
  <c r="F78" i="1" s="1"/>
  <c r="E78" i="2"/>
  <c r="E78" i="1" s="1"/>
  <c r="D78" i="2"/>
  <c r="D78" i="1" s="1"/>
  <c r="C78" i="2"/>
  <c r="C78" i="1" s="1"/>
  <c r="O78" i="1" s="1"/>
  <c r="O77" i="2"/>
  <c r="N77" i="2"/>
  <c r="N77" i="1" s="1"/>
  <c r="M77" i="2"/>
  <c r="M77" i="1" s="1"/>
  <c r="L77" i="2"/>
  <c r="L77" i="1" s="1"/>
  <c r="K77" i="2"/>
  <c r="K77" i="1" s="1"/>
  <c r="J77" i="2"/>
  <c r="J77" i="1" s="1"/>
  <c r="I77" i="2"/>
  <c r="I77" i="1" s="1"/>
  <c r="H77" i="2"/>
  <c r="H77" i="1" s="1"/>
  <c r="G77" i="2"/>
  <c r="G77" i="1" s="1"/>
  <c r="F77" i="2"/>
  <c r="F77" i="1" s="1"/>
  <c r="E77" i="2"/>
  <c r="E77" i="1" s="1"/>
  <c r="D77" i="2"/>
  <c r="D77" i="1" s="1"/>
  <c r="C77" i="2"/>
  <c r="C77" i="1" s="1"/>
  <c r="O77" i="1" s="1"/>
  <c r="O76" i="2"/>
  <c r="N76" i="2"/>
  <c r="N76" i="1" s="1"/>
  <c r="M76" i="2"/>
  <c r="M76" i="1" s="1"/>
  <c r="L76" i="2"/>
  <c r="L76" i="1" s="1"/>
  <c r="K76" i="2"/>
  <c r="K76" i="1" s="1"/>
  <c r="J76" i="2"/>
  <c r="J76" i="1" s="1"/>
  <c r="I76" i="2"/>
  <c r="I76" i="1" s="1"/>
  <c r="H76" i="2"/>
  <c r="H76" i="1" s="1"/>
  <c r="G76" i="2"/>
  <c r="G76" i="1" s="1"/>
  <c r="F76" i="2"/>
  <c r="F76" i="1" s="1"/>
  <c r="E76" i="2"/>
  <c r="E76" i="1" s="1"/>
  <c r="D76" i="2"/>
  <c r="D76" i="1" s="1"/>
  <c r="C76" i="2"/>
  <c r="C76" i="1" s="1"/>
  <c r="O76" i="1" s="1"/>
  <c r="O75" i="2"/>
  <c r="N75" i="2"/>
  <c r="N75" i="1" s="1"/>
  <c r="M75" i="2"/>
  <c r="M75" i="1" s="1"/>
  <c r="L75" i="2"/>
  <c r="L75" i="1" s="1"/>
  <c r="K75" i="2"/>
  <c r="K75" i="1" s="1"/>
  <c r="J75" i="2"/>
  <c r="J75" i="1" s="1"/>
  <c r="I75" i="2"/>
  <c r="I75" i="1" s="1"/>
  <c r="H75" i="2"/>
  <c r="H75" i="1" s="1"/>
  <c r="G75" i="2"/>
  <c r="G75" i="1" s="1"/>
  <c r="F75" i="2"/>
  <c r="F75" i="1" s="1"/>
  <c r="E75" i="2"/>
  <c r="E75" i="1" s="1"/>
  <c r="D75" i="2"/>
  <c r="D75" i="1" s="1"/>
  <c r="C75" i="2"/>
  <c r="C75" i="1" s="1"/>
  <c r="O75" i="1" s="1"/>
  <c r="O72" i="2"/>
  <c r="N72" i="2"/>
  <c r="N72" i="1" s="1"/>
  <c r="M72" i="2"/>
  <c r="M72" i="1" s="1"/>
  <c r="L72" i="2"/>
  <c r="L72" i="1" s="1"/>
  <c r="K72" i="2"/>
  <c r="K72" i="1" s="1"/>
  <c r="J72" i="2"/>
  <c r="J72" i="1" s="1"/>
  <c r="I72" i="2"/>
  <c r="I72" i="1" s="1"/>
  <c r="H72" i="2"/>
  <c r="H72" i="1" s="1"/>
  <c r="G72" i="2"/>
  <c r="G72" i="1" s="1"/>
  <c r="F72" i="2"/>
  <c r="F72" i="1" s="1"/>
  <c r="E72" i="2"/>
  <c r="E72" i="1" s="1"/>
  <c r="D72" i="2"/>
  <c r="D72" i="1" s="1"/>
  <c r="C72" i="2"/>
  <c r="C72" i="1" s="1"/>
  <c r="O72" i="1" s="1"/>
  <c r="O71" i="2"/>
  <c r="N71" i="2"/>
  <c r="N71" i="1" s="1"/>
  <c r="M71" i="2"/>
  <c r="M71" i="1" s="1"/>
  <c r="L71" i="2"/>
  <c r="L71" i="1" s="1"/>
  <c r="K71" i="2"/>
  <c r="K71" i="1" s="1"/>
  <c r="J71" i="2"/>
  <c r="J71" i="1" s="1"/>
  <c r="I71" i="2"/>
  <c r="I71" i="1" s="1"/>
  <c r="H71" i="2"/>
  <c r="H71" i="1" s="1"/>
  <c r="G71" i="2"/>
  <c r="G71" i="1" s="1"/>
  <c r="F71" i="2"/>
  <c r="F71" i="1" s="1"/>
  <c r="E71" i="2"/>
  <c r="E71" i="1" s="1"/>
  <c r="D71" i="2"/>
  <c r="D71" i="1" s="1"/>
  <c r="C71" i="2"/>
  <c r="C71" i="1" s="1"/>
  <c r="O71" i="1" s="1"/>
  <c r="O70" i="2"/>
  <c r="N70" i="2"/>
  <c r="N70" i="1" s="1"/>
  <c r="M70" i="2"/>
  <c r="M70" i="1" s="1"/>
  <c r="L70" i="2"/>
  <c r="L70" i="1" s="1"/>
  <c r="K70" i="2"/>
  <c r="K70" i="1" s="1"/>
  <c r="J70" i="2"/>
  <c r="J70" i="1" s="1"/>
  <c r="I70" i="2"/>
  <c r="I70" i="1" s="1"/>
  <c r="H70" i="2"/>
  <c r="H70" i="1" s="1"/>
  <c r="G70" i="2"/>
  <c r="G70" i="1" s="1"/>
  <c r="F70" i="2"/>
  <c r="F70" i="1" s="1"/>
  <c r="E70" i="2"/>
  <c r="E70" i="1" s="1"/>
  <c r="D70" i="2"/>
  <c r="D70" i="1" s="1"/>
  <c r="C70" i="2"/>
  <c r="C70" i="1" s="1"/>
  <c r="O70" i="1" s="1"/>
  <c r="O69" i="2"/>
  <c r="N69" i="2"/>
  <c r="N69" i="1" s="1"/>
  <c r="M69" i="2"/>
  <c r="M69" i="1" s="1"/>
  <c r="L69" i="2"/>
  <c r="L69" i="1" s="1"/>
  <c r="K69" i="2"/>
  <c r="K69" i="1" s="1"/>
  <c r="J69" i="2"/>
  <c r="J69" i="1" s="1"/>
  <c r="I69" i="2"/>
  <c r="I69" i="1" s="1"/>
  <c r="H69" i="2"/>
  <c r="H69" i="1" s="1"/>
  <c r="G69" i="2"/>
  <c r="G69" i="1" s="1"/>
  <c r="F69" i="2"/>
  <c r="F69" i="1" s="1"/>
  <c r="E69" i="2"/>
  <c r="E69" i="1" s="1"/>
  <c r="D69" i="2"/>
  <c r="D69" i="1" s="1"/>
  <c r="C69" i="2"/>
  <c r="C69" i="1" s="1"/>
  <c r="O69" i="1" s="1"/>
  <c r="O64" i="2"/>
  <c r="N64" i="2"/>
  <c r="N64" i="1" s="1"/>
  <c r="M64" i="2"/>
  <c r="M64" i="1" s="1"/>
  <c r="L64" i="2"/>
  <c r="L64" i="1" s="1"/>
  <c r="K64" i="2"/>
  <c r="K64" i="1" s="1"/>
  <c r="J64" i="2"/>
  <c r="J64" i="1" s="1"/>
  <c r="I64" i="2"/>
  <c r="I64" i="1" s="1"/>
  <c r="H64" i="2"/>
  <c r="H64" i="1" s="1"/>
  <c r="G64" i="2"/>
  <c r="G64" i="1" s="1"/>
  <c r="F64" i="2"/>
  <c r="F64" i="1" s="1"/>
  <c r="E64" i="2"/>
  <c r="E64" i="1" s="1"/>
  <c r="D64" i="2"/>
  <c r="D64" i="1" s="1"/>
  <c r="C64" i="2"/>
  <c r="C64" i="1" s="1"/>
  <c r="O64" i="1" s="1"/>
  <c r="O63" i="2"/>
  <c r="N63" i="2"/>
  <c r="N63" i="1" s="1"/>
  <c r="M63" i="2"/>
  <c r="M63" i="1" s="1"/>
  <c r="L63" i="2"/>
  <c r="L63" i="1" s="1"/>
  <c r="K63" i="2"/>
  <c r="K63" i="1" s="1"/>
  <c r="J63" i="2"/>
  <c r="J63" i="1" s="1"/>
  <c r="I63" i="2"/>
  <c r="I63" i="1" s="1"/>
  <c r="H63" i="2"/>
  <c r="H63" i="1" s="1"/>
  <c r="G63" i="2"/>
  <c r="G63" i="1" s="1"/>
  <c r="F63" i="2"/>
  <c r="F63" i="1" s="1"/>
  <c r="E63" i="2"/>
  <c r="E63" i="1" s="1"/>
  <c r="D63" i="2"/>
  <c r="D63" i="1" s="1"/>
  <c r="C63" i="2"/>
  <c r="C63" i="1" s="1"/>
  <c r="O63" i="1" s="1"/>
  <c r="O62" i="2"/>
  <c r="N62" i="2"/>
  <c r="N62" i="1" s="1"/>
  <c r="M62" i="2"/>
  <c r="M62" i="1" s="1"/>
  <c r="L62" i="2"/>
  <c r="L62" i="1" s="1"/>
  <c r="K62" i="2"/>
  <c r="K62" i="1" s="1"/>
  <c r="J62" i="2"/>
  <c r="J62" i="1" s="1"/>
  <c r="I62" i="2"/>
  <c r="I62" i="1" s="1"/>
  <c r="H62" i="2"/>
  <c r="H62" i="1" s="1"/>
  <c r="G62" i="2"/>
  <c r="G62" i="1" s="1"/>
  <c r="F62" i="2"/>
  <c r="F62" i="1" s="1"/>
  <c r="E62" i="2"/>
  <c r="E62" i="1" s="1"/>
  <c r="D62" i="2"/>
  <c r="D62" i="1" s="1"/>
  <c r="C62" i="2"/>
  <c r="C62" i="1" s="1"/>
  <c r="O62" i="1" s="1"/>
  <c r="O61" i="2"/>
  <c r="N61" i="2"/>
  <c r="N61" i="1" s="1"/>
  <c r="M61" i="2"/>
  <c r="M61" i="1" s="1"/>
  <c r="L61" i="2"/>
  <c r="L61" i="1" s="1"/>
  <c r="K61" i="2"/>
  <c r="K61" i="1" s="1"/>
  <c r="J61" i="2"/>
  <c r="J61" i="1" s="1"/>
  <c r="I61" i="2"/>
  <c r="I61" i="1" s="1"/>
  <c r="H61" i="2"/>
  <c r="H61" i="1" s="1"/>
  <c r="G61" i="2"/>
  <c r="G61" i="1" s="1"/>
  <c r="F61" i="2"/>
  <c r="F61" i="1" s="1"/>
  <c r="E61" i="2"/>
  <c r="E61" i="1" s="1"/>
  <c r="D61" i="2"/>
  <c r="D61" i="1" s="1"/>
  <c r="C61" i="2"/>
  <c r="C61" i="1" s="1"/>
  <c r="O61" i="1" s="1"/>
  <c r="C1015" i="3"/>
  <c r="D1015" i="3" s="1"/>
  <c r="C1014" i="3"/>
  <c r="D1014" i="3" s="1"/>
  <c r="C1013" i="3"/>
  <c r="D1013" i="3" s="1"/>
  <c r="C1012" i="3"/>
  <c r="D1012" i="3" s="1"/>
  <c r="C1011" i="3"/>
  <c r="D1011" i="3" s="1"/>
  <c r="C1010" i="3"/>
  <c r="D1010" i="3" s="1"/>
  <c r="C1009" i="3"/>
  <c r="D1009" i="3" s="1"/>
  <c r="C1008" i="3"/>
  <c r="D1008" i="3" s="1"/>
  <c r="C1007" i="3"/>
  <c r="D1007" i="3" s="1"/>
  <c r="C1006" i="3"/>
  <c r="D1006" i="3" s="1"/>
  <c r="C1005" i="3"/>
  <c r="D1005" i="3" s="1"/>
  <c r="C1004" i="3"/>
  <c r="D1004" i="3" s="1"/>
  <c r="C1003" i="3"/>
  <c r="D1003" i="3" s="1"/>
  <c r="C1002" i="3"/>
  <c r="D1002" i="3" s="1"/>
  <c r="C1001" i="3"/>
  <c r="D1001" i="3" s="1"/>
  <c r="C1000" i="3"/>
  <c r="D1000" i="3" s="1"/>
  <c r="C999" i="3"/>
  <c r="D999" i="3" s="1"/>
  <c r="C998" i="3"/>
  <c r="D998" i="3" s="1"/>
  <c r="C997" i="3"/>
  <c r="D997" i="3" s="1"/>
  <c r="C996" i="3"/>
  <c r="D996" i="3" s="1"/>
  <c r="C995" i="3"/>
  <c r="D995" i="3" s="1"/>
  <c r="C994" i="3"/>
  <c r="D994" i="3" s="1"/>
  <c r="C993" i="3"/>
  <c r="D993" i="3" s="1"/>
  <c r="C992" i="3"/>
  <c r="D992" i="3" s="1"/>
  <c r="C991" i="3"/>
  <c r="D991" i="3" s="1"/>
  <c r="C990" i="3"/>
  <c r="D990" i="3" s="1"/>
  <c r="C989" i="3"/>
  <c r="D989" i="3" s="1"/>
  <c r="C988" i="3"/>
  <c r="D988" i="3" s="1"/>
  <c r="C987" i="3"/>
  <c r="D987" i="3" s="1"/>
  <c r="C986" i="3"/>
  <c r="D986" i="3" s="1"/>
  <c r="C985" i="3"/>
  <c r="D985" i="3" s="1"/>
  <c r="C984" i="3"/>
  <c r="D984" i="3" s="1"/>
  <c r="C983" i="3"/>
  <c r="D983" i="3" s="1"/>
  <c r="C982" i="3"/>
  <c r="D982" i="3" s="1"/>
  <c r="C981" i="3"/>
  <c r="D981" i="3" s="1"/>
  <c r="C980" i="3"/>
  <c r="D980" i="3" s="1"/>
  <c r="C979" i="3"/>
  <c r="D979" i="3" s="1"/>
  <c r="C978" i="3"/>
  <c r="D978" i="3" s="1"/>
  <c r="C977" i="3"/>
  <c r="D977" i="3" s="1"/>
  <c r="C976" i="3"/>
  <c r="D976" i="3" s="1"/>
  <c r="C975" i="3"/>
  <c r="D975" i="3" s="1"/>
  <c r="C974" i="3"/>
  <c r="D974" i="3" s="1"/>
  <c r="C973" i="3"/>
  <c r="D973" i="3" s="1"/>
  <c r="C972" i="3"/>
  <c r="D972" i="3" s="1"/>
  <c r="C971" i="3"/>
  <c r="D971" i="3" s="1"/>
  <c r="C970" i="3"/>
  <c r="D970" i="3" s="1"/>
  <c r="C969" i="3"/>
  <c r="D969" i="3" s="1"/>
  <c r="C968" i="3"/>
  <c r="D968" i="3" s="1"/>
  <c r="C967" i="3"/>
  <c r="D967" i="3" s="1"/>
  <c r="C966" i="3"/>
  <c r="D966" i="3" s="1"/>
  <c r="C965" i="3"/>
  <c r="D965" i="3" s="1"/>
  <c r="C964" i="3"/>
  <c r="D964" i="3" s="1"/>
  <c r="C963" i="3"/>
  <c r="D963" i="3" s="1"/>
  <c r="C962" i="3"/>
  <c r="D962" i="3" s="1"/>
  <c r="C961" i="3"/>
  <c r="D961" i="3" s="1"/>
  <c r="C960" i="3"/>
  <c r="D960" i="3" s="1"/>
  <c r="C959" i="3"/>
  <c r="D959" i="3" s="1"/>
  <c r="C958" i="3"/>
  <c r="D958" i="3" s="1"/>
  <c r="C957" i="3"/>
  <c r="D957" i="3" s="1"/>
  <c r="C956" i="3"/>
  <c r="D956" i="3" s="1"/>
  <c r="C955" i="3"/>
  <c r="D955" i="3" s="1"/>
  <c r="C954" i="3"/>
  <c r="D954" i="3" s="1"/>
  <c r="C953" i="3"/>
  <c r="D953" i="3" s="1"/>
  <c r="C952" i="3"/>
  <c r="D952" i="3" s="1"/>
  <c r="C951" i="3"/>
  <c r="D951" i="3" s="1"/>
  <c r="C950" i="3"/>
  <c r="D950" i="3" s="1"/>
  <c r="C949" i="3"/>
  <c r="D949" i="3" s="1"/>
  <c r="C948" i="3"/>
  <c r="D948" i="3" s="1"/>
  <c r="C947" i="3"/>
  <c r="D947" i="3" s="1"/>
  <c r="C946" i="3"/>
  <c r="D946" i="3" s="1"/>
  <c r="C945" i="3"/>
  <c r="D945" i="3" s="1"/>
  <c r="C944" i="3"/>
  <c r="D944" i="3" s="1"/>
  <c r="C943" i="3"/>
  <c r="D943" i="3" s="1"/>
  <c r="C942" i="3"/>
  <c r="D942" i="3" s="1"/>
  <c r="C941" i="3"/>
  <c r="D941" i="3" s="1"/>
  <c r="C940" i="3"/>
  <c r="D940" i="3" s="1"/>
  <c r="C939" i="3"/>
  <c r="D939" i="3" s="1"/>
  <c r="C938" i="3"/>
  <c r="D938" i="3" s="1"/>
  <c r="C937" i="3"/>
  <c r="D937" i="3" s="1"/>
  <c r="C936" i="3"/>
  <c r="D936" i="3" s="1"/>
  <c r="C935" i="3"/>
  <c r="D935" i="3" s="1"/>
  <c r="C934" i="3"/>
  <c r="D934" i="3" s="1"/>
  <c r="C933" i="3"/>
  <c r="D933" i="3" s="1"/>
  <c r="C932" i="3"/>
  <c r="D932" i="3" s="1"/>
  <c r="C931" i="3"/>
  <c r="D931" i="3" s="1"/>
  <c r="C930" i="3"/>
  <c r="D930" i="3" s="1"/>
  <c r="C929" i="3"/>
  <c r="D929" i="3" s="1"/>
  <c r="C928" i="3"/>
  <c r="D928" i="3" s="1"/>
  <c r="C927" i="3"/>
  <c r="D927" i="3" s="1"/>
  <c r="C926" i="3"/>
  <c r="D926" i="3" s="1"/>
  <c r="C925" i="3"/>
  <c r="D925" i="3" s="1"/>
  <c r="C924" i="3"/>
  <c r="D924" i="3" s="1"/>
  <c r="C923" i="3"/>
  <c r="D923" i="3" s="1"/>
  <c r="C922" i="3"/>
  <c r="D922" i="3" s="1"/>
  <c r="C921" i="3"/>
  <c r="D921" i="3" s="1"/>
  <c r="C920" i="3"/>
  <c r="D920" i="3" s="1"/>
  <c r="C919" i="3"/>
  <c r="D919" i="3" s="1"/>
  <c r="C918" i="3"/>
  <c r="D918" i="3" s="1"/>
  <c r="C917" i="3"/>
  <c r="D917" i="3" s="1"/>
  <c r="C916" i="3"/>
  <c r="D916" i="3" s="1"/>
  <c r="C915" i="3"/>
  <c r="D915" i="3" s="1"/>
  <c r="C914" i="3"/>
  <c r="D914" i="3" s="1"/>
  <c r="C913" i="3"/>
  <c r="D913" i="3" s="1"/>
  <c r="C912" i="3"/>
  <c r="D912" i="3" s="1"/>
  <c r="C911" i="3"/>
  <c r="D911" i="3" s="1"/>
  <c r="C910" i="3"/>
  <c r="D910" i="3" s="1"/>
  <c r="C909" i="3"/>
  <c r="D909" i="3" s="1"/>
  <c r="C908" i="3"/>
  <c r="D908" i="3" s="1"/>
  <c r="C907" i="3"/>
  <c r="D907" i="3" s="1"/>
  <c r="C906" i="3"/>
  <c r="D906" i="3" s="1"/>
  <c r="C905" i="3"/>
  <c r="D905" i="3" s="1"/>
  <c r="C904" i="3"/>
  <c r="D904" i="3" s="1"/>
  <c r="C903" i="3"/>
  <c r="D903" i="3" s="1"/>
  <c r="C902" i="3"/>
  <c r="D902" i="3" s="1"/>
  <c r="C901" i="3"/>
  <c r="D901" i="3" s="1"/>
  <c r="C900" i="3"/>
  <c r="D900" i="3" s="1"/>
  <c r="C899" i="3"/>
  <c r="D899" i="3" s="1"/>
  <c r="C898" i="3"/>
  <c r="D898" i="3" s="1"/>
  <c r="C897" i="3"/>
  <c r="D897" i="3" s="1"/>
  <c r="C896" i="3"/>
  <c r="D896" i="3" s="1"/>
  <c r="C895" i="3"/>
  <c r="D895" i="3" s="1"/>
  <c r="C894" i="3"/>
  <c r="D894" i="3" s="1"/>
  <c r="C893" i="3"/>
  <c r="D893" i="3" s="1"/>
  <c r="C892" i="3"/>
  <c r="D892" i="3" s="1"/>
  <c r="C891" i="3"/>
  <c r="D891" i="3" s="1"/>
  <c r="C890" i="3"/>
  <c r="D890" i="3" s="1"/>
  <c r="C889" i="3"/>
  <c r="D889" i="3" s="1"/>
  <c r="C888" i="3"/>
  <c r="D888" i="3" s="1"/>
  <c r="C887" i="3"/>
  <c r="D887" i="3" s="1"/>
  <c r="C886" i="3"/>
  <c r="D886" i="3" s="1"/>
  <c r="C885" i="3"/>
  <c r="D885" i="3" s="1"/>
  <c r="C884" i="3"/>
  <c r="D884" i="3" s="1"/>
  <c r="C883" i="3"/>
  <c r="D883" i="3" s="1"/>
  <c r="C882" i="3"/>
  <c r="D882" i="3" s="1"/>
  <c r="C881" i="3"/>
  <c r="D881" i="3" s="1"/>
  <c r="C880" i="3"/>
  <c r="D880" i="3" s="1"/>
  <c r="C879" i="3"/>
  <c r="D879" i="3" s="1"/>
  <c r="C878" i="3"/>
  <c r="D878" i="3" s="1"/>
  <c r="C877" i="3"/>
  <c r="D877" i="3" s="1"/>
  <c r="C876" i="3"/>
  <c r="D876" i="3" s="1"/>
  <c r="C875" i="3"/>
  <c r="D875" i="3" s="1"/>
  <c r="C874" i="3"/>
  <c r="D874" i="3" s="1"/>
  <c r="C873" i="3"/>
  <c r="D873" i="3" s="1"/>
  <c r="C872" i="3"/>
  <c r="D872" i="3" s="1"/>
  <c r="C871" i="3"/>
  <c r="D871" i="3" s="1"/>
  <c r="C870" i="3"/>
  <c r="D870" i="3" s="1"/>
  <c r="C869" i="3"/>
  <c r="D869" i="3" s="1"/>
  <c r="C868" i="3"/>
  <c r="D868" i="3" s="1"/>
  <c r="C867" i="3"/>
  <c r="D867" i="3" s="1"/>
  <c r="C866" i="3"/>
  <c r="D866" i="3" s="1"/>
  <c r="C865" i="3"/>
  <c r="D865" i="3" s="1"/>
  <c r="C864" i="3"/>
  <c r="D864" i="3" s="1"/>
  <c r="C863" i="3"/>
  <c r="D863" i="3" s="1"/>
  <c r="C862" i="3"/>
  <c r="D862" i="3" s="1"/>
  <c r="C861" i="3"/>
  <c r="D861" i="3" s="1"/>
  <c r="C860" i="3"/>
  <c r="D860" i="3" s="1"/>
  <c r="C859" i="3"/>
  <c r="D859" i="3" s="1"/>
  <c r="C858" i="3"/>
  <c r="D858" i="3" s="1"/>
  <c r="C857" i="3"/>
  <c r="D857" i="3" s="1"/>
  <c r="C856" i="3"/>
  <c r="D856" i="3" s="1"/>
  <c r="C855" i="3"/>
  <c r="D855" i="3" s="1"/>
  <c r="C854" i="3"/>
  <c r="D854" i="3" s="1"/>
  <c r="C853" i="3"/>
  <c r="D853" i="3" s="1"/>
  <c r="C852" i="3"/>
  <c r="D852" i="3" s="1"/>
  <c r="C851" i="3"/>
  <c r="D851" i="3" s="1"/>
  <c r="C850" i="3"/>
  <c r="D850" i="3" s="1"/>
  <c r="C849" i="3"/>
  <c r="D849" i="3" s="1"/>
  <c r="C848" i="3"/>
  <c r="D848" i="3" s="1"/>
  <c r="C847" i="3"/>
  <c r="D847" i="3" s="1"/>
  <c r="C846" i="3"/>
  <c r="D846" i="3" s="1"/>
  <c r="C845" i="3"/>
  <c r="D845" i="3" s="1"/>
  <c r="C844" i="3"/>
  <c r="D844" i="3" s="1"/>
  <c r="C843" i="3"/>
  <c r="D843" i="3" s="1"/>
  <c r="C842" i="3"/>
  <c r="D842" i="3" s="1"/>
  <c r="C841" i="3"/>
  <c r="D841" i="3" s="1"/>
  <c r="C840" i="3"/>
  <c r="D840" i="3" s="1"/>
  <c r="C839" i="3"/>
  <c r="D839" i="3" s="1"/>
  <c r="C838" i="3"/>
  <c r="D838" i="3" s="1"/>
  <c r="C837" i="3"/>
  <c r="D837" i="3" s="1"/>
  <c r="C836" i="3"/>
  <c r="D836" i="3" s="1"/>
  <c r="C835" i="3"/>
  <c r="D835" i="3" s="1"/>
  <c r="C834" i="3"/>
  <c r="D834" i="3" s="1"/>
  <c r="C833" i="3"/>
  <c r="D833" i="3" s="1"/>
  <c r="C832" i="3"/>
  <c r="D832" i="3" s="1"/>
  <c r="C831" i="3"/>
  <c r="D831" i="3" s="1"/>
  <c r="C830" i="3"/>
  <c r="D830" i="3" s="1"/>
  <c r="C829" i="3"/>
  <c r="D829" i="3" s="1"/>
  <c r="C828" i="3"/>
  <c r="D828" i="3" s="1"/>
  <c r="C827" i="3"/>
  <c r="D827" i="3" s="1"/>
  <c r="C826" i="3"/>
  <c r="D826" i="3" s="1"/>
  <c r="C825" i="3"/>
  <c r="D825" i="3" s="1"/>
  <c r="C824" i="3"/>
  <c r="D824" i="3" s="1"/>
  <c r="C823" i="3"/>
  <c r="D823" i="3" s="1"/>
  <c r="C822" i="3"/>
  <c r="D822" i="3" s="1"/>
  <c r="C821" i="3"/>
  <c r="D821" i="3" s="1"/>
  <c r="C820" i="3"/>
  <c r="D820" i="3" s="1"/>
  <c r="C819" i="3"/>
  <c r="D819" i="3" s="1"/>
  <c r="C818" i="3"/>
  <c r="D818" i="3" s="1"/>
  <c r="C817" i="3"/>
  <c r="D817" i="3" s="1"/>
  <c r="C816" i="3"/>
  <c r="D816" i="3" s="1"/>
  <c r="C815" i="3"/>
  <c r="D815" i="3" s="1"/>
  <c r="C814" i="3"/>
  <c r="D814" i="3" s="1"/>
  <c r="C813" i="3"/>
  <c r="D813" i="3" s="1"/>
  <c r="C812" i="3"/>
  <c r="D812" i="3" s="1"/>
  <c r="C811" i="3"/>
  <c r="D811" i="3" s="1"/>
  <c r="C810" i="3"/>
  <c r="D810" i="3" s="1"/>
  <c r="C809" i="3"/>
  <c r="D809" i="3" s="1"/>
  <c r="C808" i="3"/>
  <c r="D808" i="3" s="1"/>
  <c r="C807" i="3"/>
  <c r="D807" i="3" s="1"/>
  <c r="C806" i="3"/>
  <c r="D806" i="3" s="1"/>
  <c r="C805" i="3"/>
  <c r="D805" i="3" s="1"/>
  <c r="C804" i="3"/>
  <c r="D804" i="3" s="1"/>
  <c r="C803" i="3"/>
  <c r="D803" i="3" s="1"/>
  <c r="C802" i="3"/>
  <c r="D802" i="3" s="1"/>
  <c r="C801" i="3"/>
  <c r="D801" i="3" s="1"/>
  <c r="C800" i="3"/>
  <c r="D800" i="3" s="1"/>
  <c r="C799" i="3"/>
  <c r="D799" i="3" s="1"/>
  <c r="C798" i="3"/>
  <c r="D798" i="3" s="1"/>
  <c r="C797" i="3"/>
  <c r="D797" i="3" s="1"/>
  <c r="C796" i="3"/>
  <c r="D796" i="3" s="1"/>
  <c r="C795" i="3"/>
  <c r="D795" i="3" s="1"/>
  <c r="C794" i="3"/>
  <c r="D794" i="3" s="1"/>
  <c r="C793" i="3"/>
  <c r="D793" i="3" s="1"/>
  <c r="C792" i="3"/>
  <c r="D792" i="3" s="1"/>
  <c r="C791" i="3"/>
  <c r="D791" i="3" s="1"/>
  <c r="C790" i="3"/>
  <c r="D790" i="3" s="1"/>
  <c r="C789" i="3"/>
  <c r="D789" i="3" s="1"/>
  <c r="C788" i="3"/>
  <c r="D788" i="3" s="1"/>
  <c r="C787" i="3"/>
  <c r="D787" i="3" s="1"/>
  <c r="C786" i="3"/>
  <c r="D786" i="3" s="1"/>
  <c r="C785" i="3"/>
  <c r="D785" i="3" s="1"/>
  <c r="C784" i="3"/>
  <c r="D784" i="3" s="1"/>
  <c r="C783" i="3"/>
  <c r="D783" i="3" s="1"/>
  <c r="C782" i="3"/>
  <c r="D782" i="3" s="1"/>
  <c r="C781" i="3"/>
  <c r="D781" i="3" s="1"/>
  <c r="C780" i="3"/>
  <c r="D780" i="3" s="1"/>
  <c r="C779" i="3"/>
  <c r="D779" i="3" s="1"/>
  <c r="C778" i="3"/>
  <c r="D778" i="3" s="1"/>
  <c r="C777" i="3"/>
  <c r="D777" i="3" s="1"/>
  <c r="C776" i="3"/>
  <c r="D776" i="3" s="1"/>
  <c r="C775" i="3"/>
  <c r="D775" i="3" s="1"/>
  <c r="C774" i="3"/>
  <c r="D774" i="3" s="1"/>
  <c r="C773" i="3"/>
  <c r="D773" i="3" s="1"/>
  <c r="C772" i="3"/>
  <c r="D772" i="3" s="1"/>
  <c r="C771" i="3"/>
  <c r="D771" i="3" s="1"/>
  <c r="C770" i="3"/>
  <c r="D770" i="3" s="1"/>
  <c r="C769" i="3"/>
  <c r="D769" i="3" s="1"/>
  <c r="C768" i="3"/>
  <c r="D768" i="3" s="1"/>
  <c r="C767" i="3"/>
  <c r="D767" i="3" s="1"/>
  <c r="C766" i="3"/>
  <c r="D766" i="3" s="1"/>
  <c r="C765" i="3"/>
  <c r="D765" i="3" s="1"/>
  <c r="C764" i="3"/>
  <c r="D764" i="3" s="1"/>
  <c r="C763" i="3"/>
  <c r="D763" i="3" s="1"/>
  <c r="C762" i="3"/>
  <c r="D762" i="3" s="1"/>
  <c r="C761" i="3"/>
  <c r="D761" i="3" s="1"/>
  <c r="C760" i="3"/>
  <c r="D760" i="3" s="1"/>
  <c r="C759" i="3"/>
  <c r="D759" i="3" s="1"/>
  <c r="C758" i="3"/>
  <c r="D758" i="3" s="1"/>
  <c r="C757" i="3"/>
  <c r="D757" i="3" s="1"/>
  <c r="C756" i="3"/>
  <c r="D756" i="3" s="1"/>
  <c r="C755" i="3"/>
  <c r="D755" i="3" s="1"/>
  <c r="C754" i="3"/>
  <c r="D754" i="3" s="1"/>
  <c r="C753" i="3"/>
  <c r="D753" i="3" s="1"/>
  <c r="C752" i="3"/>
  <c r="D752" i="3" s="1"/>
  <c r="C751" i="3"/>
  <c r="D751" i="3" s="1"/>
  <c r="C750" i="3"/>
  <c r="D750" i="3" s="1"/>
  <c r="C749" i="3"/>
  <c r="D749" i="3" s="1"/>
  <c r="C748" i="3"/>
  <c r="D748" i="3" s="1"/>
  <c r="C747" i="3"/>
  <c r="D747" i="3" s="1"/>
  <c r="C746" i="3"/>
  <c r="D746" i="3" s="1"/>
  <c r="C745" i="3"/>
  <c r="D745" i="3" s="1"/>
  <c r="C744" i="3"/>
  <c r="D744" i="3" s="1"/>
  <c r="C743" i="3"/>
  <c r="D743" i="3" s="1"/>
  <c r="C742" i="3"/>
  <c r="D742" i="3" s="1"/>
  <c r="C741" i="3"/>
  <c r="D741" i="3" s="1"/>
  <c r="C740" i="3"/>
  <c r="D740" i="3" s="1"/>
  <c r="C739" i="3"/>
  <c r="D739" i="3" s="1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D733" i="3" s="1"/>
  <c r="C732" i="3"/>
  <c r="D732" i="3" s="1"/>
  <c r="C731" i="3"/>
  <c r="D731" i="3" s="1"/>
  <c r="C730" i="3"/>
  <c r="D730" i="3" s="1"/>
  <c r="C729" i="3"/>
  <c r="D729" i="3" s="1"/>
  <c r="C728" i="3"/>
  <c r="D728" i="3" s="1"/>
  <c r="C727" i="3"/>
  <c r="D727" i="3" s="1"/>
  <c r="C726" i="3"/>
  <c r="D726" i="3" s="1"/>
  <c r="C725" i="3"/>
  <c r="D725" i="3" s="1"/>
  <c r="C724" i="3"/>
  <c r="D724" i="3" s="1"/>
  <c r="C723" i="3"/>
  <c r="D723" i="3" s="1"/>
  <c r="C722" i="3"/>
  <c r="D722" i="3" s="1"/>
  <c r="C721" i="3"/>
  <c r="D721" i="3" s="1"/>
  <c r="C720" i="3"/>
  <c r="D720" i="3" s="1"/>
  <c r="C719" i="3"/>
  <c r="D719" i="3" s="1"/>
  <c r="C718" i="3"/>
  <c r="D718" i="3" s="1"/>
  <c r="C717" i="3"/>
  <c r="D717" i="3" s="1"/>
  <c r="C716" i="3"/>
  <c r="D716" i="3" s="1"/>
  <c r="C715" i="3"/>
  <c r="D715" i="3" s="1"/>
  <c r="C714" i="3"/>
  <c r="D714" i="3" s="1"/>
  <c r="C713" i="3"/>
  <c r="D713" i="3" s="1"/>
  <c r="C712" i="3"/>
  <c r="D712" i="3" s="1"/>
  <c r="C711" i="3"/>
  <c r="D711" i="3" s="1"/>
  <c r="C710" i="3"/>
  <c r="D710" i="3" s="1"/>
  <c r="C709" i="3"/>
  <c r="D709" i="3" s="1"/>
  <c r="C708" i="3"/>
  <c r="D708" i="3" s="1"/>
  <c r="C707" i="3"/>
  <c r="D707" i="3" s="1"/>
  <c r="C706" i="3"/>
  <c r="D706" i="3" s="1"/>
  <c r="C705" i="3"/>
  <c r="D705" i="3" s="1"/>
  <c r="C704" i="3"/>
  <c r="D704" i="3" s="1"/>
  <c r="C703" i="3"/>
  <c r="D703" i="3" s="1"/>
  <c r="C702" i="3"/>
  <c r="D702" i="3" s="1"/>
  <c r="C701" i="3"/>
  <c r="D701" i="3" s="1"/>
  <c r="C700" i="3"/>
  <c r="D700" i="3" s="1"/>
  <c r="C699" i="3"/>
  <c r="D699" i="3" s="1"/>
  <c r="C698" i="3"/>
  <c r="D698" i="3" s="1"/>
  <c r="C697" i="3"/>
  <c r="D697" i="3" s="1"/>
  <c r="C696" i="3"/>
  <c r="D696" i="3" s="1"/>
  <c r="C695" i="3"/>
  <c r="D695" i="3" s="1"/>
  <c r="C694" i="3"/>
  <c r="D694" i="3" s="1"/>
  <c r="C693" i="3"/>
  <c r="D693" i="3" s="1"/>
  <c r="C692" i="3"/>
  <c r="D692" i="3" s="1"/>
  <c r="C691" i="3"/>
  <c r="D691" i="3" s="1"/>
  <c r="C690" i="3"/>
  <c r="D690" i="3" s="1"/>
  <c r="C689" i="3"/>
  <c r="D689" i="3" s="1"/>
  <c r="C688" i="3"/>
  <c r="D688" i="3" s="1"/>
  <c r="C687" i="3"/>
  <c r="D687" i="3" s="1"/>
  <c r="C686" i="3"/>
  <c r="D686" i="3" s="1"/>
  <c r="C685" i="3"/>
  <c r="D685" i="3" s="1"/>
  <c r="C684" i="3"/>
  <c r="D684" i="3" s="1"/>
  <c r="C683" i="3"/>
  <c r="D683" i="3" s="1"/>
  <c r="C682" i="3"/>
  <c r="D682" i="3" s="1"/>
  <c r="C681" i="3"/>
  <c r="D681" i="3" s="1"/>
  <c r="C680" i="3"/>
  <c r="D680" i="3" s="1"/>
  <c r="C679" i="3"/>
  <c r="D679" i="3" s="1"/>
  <c r="C678" i="3"/>
  <c r="D678" i="3" s="1"/>
  <c r="C677" i="3"/>
  <c r="D677" i="3" s="1"/>
  <c r="C676" i="3"/>
  <c r="D676" i="3" s="1"/>
  <c r="C675" i="3"/>
  <c r="D675" i="3" s="1"/>
  <c r="C674" i="3"/>
  <c r="D674" i="3" s="1"/>
  <c r="C673" i="3"/>
  <c r="D673" i="3" s="1"/>
  <c r="C672" i="3"/>
  <c r="D672" i="3" s="1"/>
  <c r="C671" i="3"/>
  <c r="D671" i="3" s="1"/>
  <c r="C670" i="3"/>
  <c r="D670" i="3" s="1"/>
  <c r="C669" i="3"/>
  <c r="D669" i="3" s="1"/>
  <c r="C668" i="3"/>
  <c r="D668" i="3" s="1"/>
  <c r="C667" i="3"/>
  <c r="D667" i="3" s="1"/>
  <c r="C666" i="3"/>
  <c r="D666" i="3" s="1"/>
  <c r="C665" i="3"/>
  <c r="D665" i="3" s="1"/>
  <c r="C664" i="3"/>
  <c r="D664" i="3" s="1"/>
  <c r="C663" i="3"/>
  <c r="D663" i="3" s="1"/>
  <c r="C662" i="3"/>
  <c r="D662" i="3" s="1"/>
  <c r="C661" i="3"/>
  <c r="D661" i="3" s="1"/>
  <c r="C660" i="3"/>
  <c r="D660" i="3" s="1"/>
  <c r="C659" i="3"/>
  <c r="D659" i="3" s="1"/>
  <c r="C658" i="3"/>
  <c r="D658" i="3" s="1"/>
  <c r="C657" i="3"/>
  <c r="D657" i="3" s="1"/>
  <c r="C656" i="3"/>
  <c r="D656" i="3" s="1"/>
  <c r="C655" i="3"/>
  <c r="D655" i="3" s="1"/>
  <c r="C654" i="3"/>
  <c r="D654" i="3" s="1"/>
  <c r="C653" i="3"/>
  <c r="D653" i="3" s="1"/>
  <c r="C652" i="3"/>
  <c r="D652" i="3" s="1"/>
  <c r="C651" i="3"/>
  <c r="D651" i="3" s="1"/>
  <c r="C650" i="3"/>
  <c r="D650" i="3" s="1"/>
  <c r="C649" i="3"/>
  <c r="D649" i="3" s="1"/>
  <c r="C648" i="3"/>
  <c r="D648" i="3" s="1"/>
  <c r="C647" i="3"/>
  <c r="D647" i="3" s="1"/>
  <c r="C646" i="3"/>
  <c r="D646" i="3" s="1"/>
  <c r="C645" i="3"/>
  <c r="D645" i="3" s="1"/>
  <c r="C644" i="3"/>
  <c r="D644" i="3" s="1"/>
  <c r="C643" i="3"/>
  <c r="D643" i="3" s="1"/>
  <c r="C642" i="3"/>
  <c r="D642" i="3" s="1"/>
  <c r="C641" i="3"/>
  <c r="D641" i="3" s="1"/>
  <c r="C640" i="3"/>
  <c r="D640" i="3" s="1"/>
  <c r="C639" i="3"/>
  <c r="D639" i="3" s="1"/>
  <c r="C638" i="3"/>
  <c r="D638" i="3" s="1"/>
  <c r="C637" i="3"/>
  <c r="D637" i="3" s="1"/>
  <c r="C636" i="3"/>
  <c r="D636" i="3" s="1"/>
  <c r="C635" i="3"/>
  <c r="D635" i="3" s="1"/>
  <c r="C634" i="3"/>
  <c r="D634" i="3" s="1"/>
  <c r="C633" i="3"/>
  <c r="D633" i="3" s="1"/>
  <c r="C632" i="3"/>
  <c r="D632" i="3" s="1"/>
  <c r="C631" i="3"/>
  <c r="D631" i="3" s="1"/>
  <c r="C630" i="3"/>
  <c r="D630" i="3" s="1"/>
  <c r="C629" i="3"/>
  <c r="D629" i="3" s="1"/>
  <c r="C628" i="3"/>
  <c r="D628" i="3" s="1"/>
  <c r="C627" i="3"/>
  <c r="D627" i="3" s="1"/>
  <c r="C626" i="3"/>
  <c r="D626" i="3" s="1"/>
  <c r="C625" i="3"/>
  <c r="D625" i="3" s="1"/>
  <c r="C624" i="3"/>
  <c r="D624" i="3" s="1"/>
  <c r="C623" i="3"/>
  <c r="D623" i="3" s="1"/>
  <c r="C622" i="3"/>
  <c r="D622" i="3" s="1"/>
  <c r="C621" i="3"/>
  <c r="D621" i="3" s="1"/>
  <c r="C620" i="3"/>
  <c r="D620" i="3" s="1"/>
  <c r="C619" i="3"/>
  <c r="D619" i="3" s="1"/>
  <c r="C618" i="3"/>
  <c r="D618" i="3" s="1"/>
  <c r="C617" i="3"/>
  <c r="D617" i="3" s="1"/>
  <c r="C616" i="3"/>
  <c r="D616" i="3" s="1"/>
  <c r="C615" i="3"/>
  <c r="D615" i="3" s="1"/>
  <c r="C614" i="3"/>
  <c r="D614" i="3" s="1"/>
  <c r="C613" i="3"/>
  <c r="D613" i="3" s="1"/>
  <c r="C612" i="3"/>
  <c r="D612" i="3" s="1"/>
  <c r="C611" i="3"/>
  <c r="D611" i="3" s="1"/>
  <c r="C610" i="3"/>
  <c r="D610" i="3" s="1"/>
  <c r="C609" i="3"/>
  <c r="D609" i="3" s="1"/>
  <c r="C608" i="3"/>
  <c r="D608" i="3" s="1"/>
  <c r="C607" i="3"/>
  <c r="D607" i="3" s="1"/>
  <c r="C606" i="3"/>
  <c r="D606" i="3" s="1"/>
  <c r="C605" i="3"/>
  <c r="D605" i="3" s="1"/>
  <c r="C604" i="3"/>
  <c r="D604" i="3" s="1"/>
  <c r="C603" i="3"/>
  <c r="D603" i="3" s="1"/>
  <c r="C602" i="3"/>
  <c r="D602" i="3" s="1"/>
  <c r="C601" i="3"/>
  <c r="D601" i="3" s="1"/>
  <c r="C600" i="3"/>
  <c r="D600" i="3" s="1"/>
  <c r="C599" i="3"/>
  <c r="D599" i="3" s="1"/>
  <c r="C598" i="3"/>
  <c r="D598" i="3" s="1"/>
  <c r="C597" i="3"/>
  <c r="D597" i="3" s="1"/>
  <c r="C596" i="3"/>
  <c r="D596" i="3" s="1"/>
  <c r="C595" i="3"/>
  <c r="D595" i="3" s="1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D589" i="3" s="1"/>
  <c r="C588" i="3"/>
  <c r="D588" i="3" s="1"/>
  <c r="C587" i="3"/>
  <c r="D587" i="3" s="1"/>
  <c r="C586" i="3"/>
  <c r="D586" i="3" s="1"/>
  <c r="C585" i="3"/>
  <c r="D585" i="3" s="1"/>
  <c r="C584" i="3"/>
  <c r="D584" i="3" s="1"/>
  <c r="C583" i="3"/>
  <c r="D583" i="3" s="1"/>
  <c r="C582" i="3"/>
  <c r="D582" i="3" s="1"/>
  <c r="C581" i="3"/>
  <c r="D581" i="3" s="1"/>
  <c r="C580" i="3"/>
  <c r="D580" i="3" s="1"/>
  <c r="C579" i="3"/>
  <c r="D579" i="3" s="1"/>
  <c r="C578" i="3"/>
  <c r="D578" i="3" s="1"/>
  <c r="C577" i="3"/>
  <c r="D577" i="3" s="1"/>
  <c r="C576" i="3"/>
  <c r="D576" i="3" s="1"/>
  <c r="C575" i="3"/>
  <c r="D575" i="3" s="1"/>
  <c r="C574" i="3"/>
  <c r="D574" i="3" s="1"/>
  <c r="C573" i="3"/>
  <c r="D573" i="3" s="1"/>
  <c r="C572" i="3"/>
  <c r="D572" i="3" s="1"/>
  <c r="C571" i="3"/>
  <c r="D571" i="3" s="1"/>
  <c r="C570" i="3"/>
  <c r="D570" i="3" s="1"/>
  <c r="C569" i="3"/>
  <c r="D569" i="3" s="1"/>
  <c r="C568" i="3"/>
  <c r="D568" i="3" s="1"/>
  <c r="C567" i="3"/>
  <c r="D567" i="3" s="1"/>
  <c r="C566" i="3"/>
  <c r="D566" i="3" s="1"/>
  <c r="C565" i="3"/>
  <c r="D565" i="3" s="1"/>
  <c r="C564" i="3"/>
  <c r="D564" i="3" s="1"/>
  <c r="C563" i="3"/>
  <c r="D563" i="3" s="1"/>
  <c r="C562" i="3"/>
  <c r="D562" i="3" s="1"/>
  <c r="C561" i="3"/>
  <c r="D561" i="3" s="1"/>
  <c r="C560" i="3"/>
  <c r="D560" i="3" s="1"/>
  <c r="C559" i="3"/>
  <c r="D559" i="3" s="1"/>
  <c r="C558" i="3"/>
  <c r="D558" i="3" s="1"/>
  <c r="C557" i="3"/>
  <c r="D557" i="3" s="1"/>
  <c r="C556" i="3"/>
  <c r="D556" i="3" s="1"/>
  <c r="C555" i="3"/>
  <c r="D555" i="3" s="1"/>
  <c r="C554" i="3"/>
  <c r="D554" i="3" s="1"/>
  <c r="C553" i="3"/>
  <c r="D553" i="3" s="1"/>
  <c r="C552" i="3"/>
  <c r="D552" i="3" s="1"/>
  <c r="C551" i="3"/>
  <c r="D551" i="3" s="1"/>
  <c r="C550" i="3"/>
  <c r="D550" i="3" s="1"/>
  <c r="C549" i="3"/>
  <c r="D549" i="3" s="1"/>
  <c r="C548" i="3"/>
  <c r="D548" i="3" s="1"/>
  <c r="C547" i="3"/>
  <c r="D547" i="3" s="1"/>
  <c r="C546" i="3"/>
  <c r="D546" i="3" s="1"/>
  <c r="C545" i="3"/>
  <c r="D545" i="3" s="1"/>
  <c r="C544" i="3"/>
  <c r="D544" i="3" s="1"/>
  <c r="C543" i="3"/>
  <c r="D543" i="3" s="1"/>
  <c r="C542" i="3"/>
  <c r="D542" i="3" s="1"/>
  <c r="C541" i="3"/>
  <c r="D541" i="3" s="1"/>
  <c r="C540" i="3"/>
  <c r="D540" i="3" s="1"/>
  <c r="C539" i="3"/>
  <c r="D539" i="3" s="1"/>
  <c r="C538" i="3"/>
  <c r="D538" i="3" s="1"/>
  <c r="C537" i="3"/>
  <c r="D537" i="3" s="1"/>
  <c r="C536" i="3"/>
  <c r="D536" i="3" s="1"/>
  <c r="C535" i="3"/>
  <c r="D535" i="3" s="1"/>
  <c r="C534" i="3"/>
  <c r="D534" i="3" s="1"/>
  <c r="C533" i="3"/>
  <c r="D533" i="3" s="1"/>
  <c r="C532" i="3"/>
  <c r="D532" i="3" s="1"/>
  <c r="C531" i="3"/>
  <c r="D531" i="3" s="1"/>
  <c r="C530" i="3"/>
  <c r="D530" i="3" s="1"/>
  <c r="C529" i="3"/>
  <c r="D529" i="3" s="1"/>
  <c r="C528" i="3"/>
  <c r="D528" i="3" s="1"/>
  <c r="C527" i="3"/>
  <c r="D527" i="3" s="1"/>
  <c r="C526" i="3"/>
  <c r="D526" i="3" s="1"/>
  <c r="C525" i="3"/>
  <c r="D525" i="3" s="1"/>
  <c r="C524" i="3"/>
  <c r="D524" i="3" s="1"/>
  <c r="C523" i="3"/>
  <c r="D523" i="3" s="1"/>
  <c r="C522" i="3"/>
  <c r="D522" i="3" s="1"/>
  <c r="C521" i="3"/>
  <c r="D521" i="3" s="1"/>
  <c r="C520" i="3"/>
  <c r="D520" i="3" s="1"/>
  <c r="C519" i="3"/>
  <c r="D519" i="3" s="1"/>
  <c r="C518" i="3"/>
  <c r="D518" i="3" s="1"/>
  <c r="C517" i="3"/>
  <c r="D517" i="3" s="1"/>
  <c r="C516" i="3"/>
  <c r="D516" i="3" s="1"/>
  <c r="C515" i="3"/>
  <c r="D515" i="3" s="1"/>
  <c r="C514" i="3"/>
  <c r="D514" i="3" s="1"/>
  <c r="C513" i="3"/>
  <c r="D513" i="3" s="1"/>
  <c r="C512" i="3"/>
  <c r="D512" i="3" s="1"/>
  <c r="C511" i="3"/>
  <c r="D511" i="3" s="1"/>
  <c r="C510" i="3"/>
  <c r="D510" i="3" s="1"/>
  <c r="C509" i="3"/>
  <c r="D509" i="3" s="1"/>
  <c r="C508" i="3"/>
  <c r="D508" i="3" s="1"/>
  <c r="C507" i="3"/>
  <c r="D507" i="3" s="1"/>
  <c r="C506" i="3"/>
  <c r="D506" i="3" s="1"/>
  <c r="C505" i="3"/>
  <c r="D505" i="3" s="1"/>
  <c r="C504" i="3"/>
  <c r="D504" i="3" s="1"/>
  <c r="C503" i="3"/>
  <c r="D503" i="3" s="1"/>
  <c r="C502" i="3"/>
  <c r="D502" i="3" s="1"/>
  <c r="C501" i="3"/>
  <c r="D501" i="3" s="1"/>
  <c r="C500" i="3"/>
  <c r="D500" i="3" s="1"/>
  <c r="C499" i="3"/>
  <c r="D499" i="3" s="1"/>
  <c r="C498" i="3"/>
  <c r="D498" i="3" s="1"/>
  <c r="C497" i="3"/>
  <c r="D497" i="3" s="1"/>
  <c r="C496" i="3"/>
  <c r="D496" i="3" s="1"/>
  <c r="C495" i="3"/>
  <c r="D495" i="3" s="1"/>
  <c r="C494" i="3"/>
  <c r="D494" i="3" s="1"/>
  <c r="C493" i="3"/>
  <c r="D493" i="3" s="1"/>
  <c r="C492" i="3"/>
  <c r="D492" i="3" s="1"/>
  <c r="C491" i="3"/>
  <c r="D491" i="3" s="1"/>
  <c r="C490" i="3"/>
  <c r="D490" i="3" s="1"/>
  <c r="C489" i="3"/>
  <c r="D489" i="3" s="1"/>
  <c r="C488" i="3"/>
  <c r="D488" i="3" s="1"/>
  <c r="C487" i="3"/>
  <c r="D487" i="3" s="1"/>
  <c r="C486" i="3"/>
  <c r="D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D480" i="3" s="1"/>
  <c r="C479" i="3"/>
  <c r="D479" i="3" s="1"/>
  <c r="C478" i="3"/>
  <c r="D478" i="3" s="1"/>
  <c r="C477" i="3"/>
  <c r="D477" i="3" s="1"/>
  <c r="C476" i="3"/>
  <c r="D476" i="3" s="1"/>
  <c r="C475" i="3"/>
  <c r="D475" i="3" s="1"/>
  <c r="C474" i="3"/>
  <c r="D474" i="3" s="1"/>
  <c r="C473" i="3"/>
  <c r="D473" i="3" s="1"/>
  <c r="C472" i="3"/>
  <c r="D472" i="3" s="1"/>
  <c r="C471" i="3"/>
  <c r="D471" i="3" s="1"/>
  <c r="C470" i="3"/>
  <c r="D470" i="3" s="1"/>
  <c r="C469" i="3"/>
  <c r="D469" i="3" s="1"/>
  <c r="C468" i="3"/>
  <c r="D468" i="3" s="1"/>
  <c r="C467" i="3"/>
  <c r="D467" i="3" s="1"/>
  <c r="C466" i="3"/>
  <c r="D466" i="3" s="1"/>
  <c r="C465" i="3"/>
  <c r="D465" i="3" s="1"/>
  <c r="C464" i="3"/>
  <c r="D464" i="3" s="1"/>
  <c r="C463" i="3"/>
  <c r="D463" i="3" s="1"/>
  <c r="C462" i="3"/>
  <c r="D462" i="3" s="1"/>
  <c r="C461" i="3"/>
  <c r="D461" i="3" s="1"/>
  <c r="C460" i="3"/>
  <c r="D460" i="3" s="1"/>
  <c r="C459" i="3"/>
  <c r="D459" i="3" s="1"/>
  <c r="C458" i="3"/>
  <c r="D458" i="3" s="1"/>
  <c r="C457" i="3"/>
  <c r="D457" i="3" s="1"/>
  <c r="C456" i="3"/>
  <c r="D456" i="3" s="1"/>
  <c r="C455" i="3"/>
  <c r="D455" i="3" s="1"/>
  <c r="C454" i="3"/>
  <c r="D454" i="3" s="1"/>
  <c r="C453" i="3"/>
  <c r="D453" i="3" s="1"/>
  <c r="C452" i="3"/>
  <c r="D452" i="3" s="1"/>
  <c r="C451" i="3"/>
  <c r="D451" i="3" s="1"/>
  <c r="C450" i="3"/>
  <c r="D450" i="3" s="1"/>
  <c r="C449" i="3"/>
  <c r="D449" i="3" s="1"/>
  <c r="C448" i="3"/>
  <c r="D448" i="3" s="1"/>
  <c r="C447" i="3"/>
  <c r="D447" i="3" s="1"/>
  <c r="C446" i="3"/>
  <c r="D446" i="3" s="1"/>
  <c r="C445" i="3"/>
  <c r="D445" i="3" s="1"/>
  <c r="C444" i="3"/>
  <c r="D444" i="3" s="1"/>
  <c r="C443" i="3"/>
  <c r="D443" i="3" s="1"/>
  <c r="C442" i="3"/>
  <c r="D442" i="3" s="1"/>
  <c r="C441" i="3"/>
  <c r="D441" i="3" s="1"/>
  <c r="C440" i="3"/>
  <c r="D440" i="3" s="1"/>
  <c r="C439" i="3"/>
  <c r="D439" i="3" s="1"/>
  <c r="C438" i="3"/>
  <c r="D438" i="3" s="1"/>
  <c r="C437" i="3"/>
  <c r="D437" i="3" s="1"/>
  <c r="C436" i="3"/>
  <c r="D436" i="3" s="1"/>
  <c r="C435" i="3"/>
  <c r="D435" i="3" s="1"/>
  <c r="C434" i="3"/>
  <c r="D434" i="3" s="1"/>
  <c r="C433" i="3"/>
  <c r="D433" i="3" s="1"/>
  <c r="C432" i="3"/>
  <c r="D432" i="3" s="1"/>
  <c r="C431" i="3"/>
  <c r="D431" i="3" s="1"/>
  <c r="C430" i="3"/>
  <c r="D430" i="3" s="1"/>
  <c r="C429" i="3"/>
  <c r="D429" i="3" s="1"/>
  <c r="C428" i="3"/>
  <c r="D428" i="3" s="1"/>
  <c r="C427" i="3"/>
  <c r="D427" i="3" s="1"/>
  <c r="C426" i="3"/>
  <c r="D426" i="3" s="1"/>
  <c r="C425" i="3"/>
  <c r="D425" i="3" s="1"/>
  <c r="C424" i="3"/>
  <c r="D424" i="3" s="1"/>
  <c r="C423" i="3"/>
  <c r="D423" i="3" s="1"/>
  <c r="C422" i="3"/>
  <c r="D422" i="3" s="1"/>
  <c r="C421" i="3"/>
  <c r="D421" i="3" s="1"/>
  <c r="C420" i="3"/>
  <c r="D420" i="3" s="1"/>
  <c r="C419" i="3"/>
  <c r="D419" i="3" s="1"/>
  <c r="C418" i="3"/>
  <c r="D418" i="3" s="1"/>
  <c r="C417" i="3"/>
  <c r="D417" i="3" s="1"/>
  <c r="C416" i="3"/>
  <c r="D416" i="3" s="1"/>
  <c r="C415" i="3"/>
  <c r="D415" i="3" s="1"/>
  <c r="C414" i="3"/>
  <c r="D414" i="3" s="1"/>
  <c r="C413" i="3"/>
  <c r="D413" i="3" s="1"/>
  <c r="C412" i="3"/>
  <c r="D412" i="3" s="1"/>
  <c r="C411" i="3"/>
  <c r="D411" i="3" s="1"/>
  <c r="C410" i="3"/>
  <c r="D410" i="3" s="1"/>
  <c r="C409" i="3"/>
  <c r="D409" i="3" s="1"/>
  <c r="C408" i="3"/>
  <c r="D408" i="3" s="1"/>
  <c r="C407" i="3"/>
  <c r="D407" i="3" s="1"/>
  <c r="C406" i="3"/>
  <c r="D406" i="3" s="1"/>
  <c r="C405" i="3"/>
  <c r="D405" i="3" s="1"/>
  <c r="C404" i="3"/>
  <c r="D404" i="3" s="1"/>
  <c r="C403" i="3"/>
  <c r="D403" i="3" s="1"/>
  <c r="C402" i="3"/>
  <c r="D402" i="3" s="1"/>
  <c r="C401" i="3"/>
  <c r="D401" i="3" s="1"/>
  <c r="C400" i="3"/>
  <c r="D400" i="3" s="1"/>
  <c r="C399" i="3"/>
  <c r="D399" i="3" s="1"/>
  <c r="C398" i="3"/>
  <c r="D398" i="3" s="1"/>
  <c r="C397" i="3"/>
  <c r="D397" i="3" s="1"/>
  <c r="C396" i="3"/>
  <c r="D396" i="3" s="1"/>
  <c r="C395" i="3"/>
  <c r="D395" i="3" s="1"/>
  <c r="C394" i="3"/>
  <c r="D394" i="3" s="1"/>
  <c r="C393" i="3"/>
  <c r="D393" i="3" s="1"/>
  <c r="C392" i="3"/>
  <c r="D392" i="3" s="1"/>
  <c r="C391" i="3"/>
  <c r="D391" i="3" s="1"/>
  <c r="C390" i="3"/>
  <c r="D390" i="3" s="1"/>
  <c r="C389" i="3"/>
  <c r="D389" i="3" s="1"/>
  <c r="C388" i="3"/>
  <c r="D388" i="3" s="1"/>
  <c r="C387" i="3"/>
  <c r="D387" i="3" s="1"/>
  <c r="C386" i="3"/>
  <c r="D386" i="3" s="1"/>
  <c r="C385" i="3"/>
  <c r="D385" i="3" s="1"/>
  <c r="C384" i="3"/>
  <c r="D384" i="3" s="1"/>
  <c r="C383" i="3"/>
  <c r="D383" i="3" s="1"/>
  <c r="C382" i="3"/>
  <c r="D382" i="3" s="1"/>
  <c r="C381" i="3"/>
  <c r="D381" i="3" s="1"/>
  <c r="C380" i="3"/>
  <c r="D380" i="3" s="1"/>
  <c r="C379" i="3"/>
  <c r="D379" i="3" s="1"/>
  <c r="C378" i="3"/>
  <c r="D378" i="3" s="1"/>
  <c r="C377" i="3"/>
  <c r="D377" i="3" s="1"/>
  <c r="C376" i="3"/>
  <c r="D376" i="3" s="1"/>
  <c r="C375" i="3"/>
  <c r="D375" i="3" s="1"/>
  <c r="C374" i="3"/>
  <c r="D374" i="3" s="1"/>
  <c r="C373" i="3"/>
  <c r="D373" i="3" s="1"/>
  <c r="C372" i="3"/>
  <c r="D372" i="3" s="1"/>
  <c r="C371" i="3"/>
  <c r="D371" i="3" s="1"/>
  <c r="C370" i="3"/>
  <c r="D370" i="3" s="1"/>
  <c r="C369" i="3"/>
  <c r="D369" i="3" s="1"/>
  <c r="C368" i="3"/>
  <c r="D368" i="3" s="1"/>
  <c r="C367" i="3"/>
  <c r="D367" i="3" s="1"/>
  <c r="C366" i="3"/>
  <c r="D366" i="3" s="1"/>
  <c r="C365" i="3"/>
  <c r="D365" i="3" s="1"/>
  <c r="C364" i="3"/>
  <c r="D364" i="3" s="1"/>
  <c r="C363" i="3"/>
  <c r="D363" i="3" s="1"/>
  <c r="C362" i="3"/>
  <c r="D362" i="3" s="1"/>
  <c r="C361" i="3"/>
  <c r="D361" i="3" s="1"/>
  <c r="C360" i="3"/>
  <c r="D360" i="3" s="1"/>
  <c r="C359" i="3"/>
  <c r="D359" i="3" s="1"/>
  <c r="C358" i="3"/>
  <c r="D358" i="3" s="1"/>
  <c r="C357" i="3"/>
  <c r="D357" i="3" s="1"/>
  <c r="C356" i="3"/>
  <c r="D356" i="3" s="1"/>
  <c r="C355" i="3"/>
  <c r="D355" i="3" s="1"/>
  <c r="C354" i="3"/>
  <c r="D354" i="3" s="1"/>
  <c r="C353" i="3"/>
  <c r="D353" i="3" s="1"/>
  <c r="C352" i="3"/>
  <c r="D352" i="3" s="1"/>
  <c r="C351" i="3"/>
  <c r="D351" i="3" s="1"/>
  <c r="C350" i="3"/>
  <c r="D350" i="3" s="1"/>
  <c r="C349" i="3"/>
  <c r="D349" i="3" s="1"/>
  <c r="C348" i="3"/>
  <c r="D348" i="3" s="1"/>
  <c r="C347" i="3"/>
  <c r="D347" i="3" s="1"/>
  <c r="C346" i="3"/>
  <c r="D346" i="3" s="1"/>
  <c r="C345" i="3"/>
  <c r="D345" i="3" s="1"/>
  <c r="C344" i="3"/>
  <c r="D344" i="3" s="1"/>
  <c r="C343" i="3"/>
  <c r="D343" i="3" s="1"/>
  <c r="C342" i="3"/>
  <c r="D342" i="3" s="1"/>
  <c r="C341" i="3"/>
  <c r="D341" i="3" s="1"/>
  <c r="C340" i="3"/>
  <c r="D340" i="3" s="1"/>
  <c r="C339" i="3"/>
  <c r="D339" i="3" s="1"/>
  <c r="C338" i="3"/>
  <c r="D338" i="3" s="1"/>
  <c r="C337" i="3"/>
  <c r="D337" i="3" s="1"/>
  <c r="C336" i="3"/>
  <c r="D336" i="3" s="1"/>
  <c r="C335" i="3"/>
  <c r="D335" i="3" s="1"/>
  <c r="C334" i="3"/>
  <c r="D334" i="3" s="1"/>
  <c r="C333" i="3"/>
  <c r="D333" i="3" s="1"/>
  <c r="C332" i="3"/>
  <c r="D332" i="3" s="1"/>
  <c r="C331" i="3"/>
  <c r="D331" i="3" s="1"/>
  <c r="C330" i="3"/>
  <c r="D330" i="3" s="1"/>
  <c r="C329" i="3"/>
  <c r="D329" i="3" s="1"/>
  <c r="C328" i="3"/>
  <c r="D328" i="3" s="1"/>
  <c r="C327" i="3"/>
  <c r="D327" i="3" s="1"/>
  <c r="C326" i="3"/>
  <c r="D326" i="3" s="1"/>
  <c r="C325" i="3"/>
  <c r="D325" i="3" s="1"/>
  <c r="C324" i="3"/>
  <c r="D324" i="3" s="1"/>
  <c r="C323" i="3"/>
  <c r="D323" i="3" s="1"/>
  <c r="C322" i="3"/>
  <c r="D322" i="3" s="1"/>
  <c r="C321" i="3"/>
  <c r="D321" i="3" s="1"/>
  <c r="C320" i="3"/>
  <c r="D320" i="3" s="1"/>
  <c r="C319" i="3"/>
  <c r="D319" i="3" s="1"/>
  <c r="C318" i="3"/>
  <c r="D318" i="3" s="1"/>
  <c r="C317" i="3"/>
  <c r="D317" i="3" s="1"/>
  <c r="C316" i="3"/>
  <c r="D316" i="3" s="1"/>
  <c r="C315" i="3"/>
  <c r="D315" i="3" s="1"/>
  <c r="C314" i="3"/>
  <c r="D314" i="3" s="1"/>
  <c r="C313" i="3"/>
  <c r="D313" i="3" s="1"/>
  <c r="C312" i="3"/>
  <c r="D312" i="3" s="1"/>
  <c r="C311" i="3"/>
  <c r="D311" i="3" s="1"/>
  <c r="C310" i="3"/>
  <c r="D310" i="3" s="1"/>
  <c r="C309" i="3"/>
  <c r="D309" i="3" s="1"/>
  <c r="C308" i="3"/>
  <c r="D308" i="3" s="1"/>
  <c r="C307" i="3"/>
  <c r="D307" i="3" s="1"/>
  <c r="C306" i="3"/>
  <c r="D306" i="3" s="1"/>
  <c r="C305" i="3"/>
  <c r="D305" i="3" s="1"/>
  <c r="C304" i="3"/>
  <c r="D304" i="3" s="1"/>
  <c r="C303" i="3"/>
  <c r="D303" i="3" s="1"/>
  <c r="C302" i="3"/>
  <c r="D302" i="3" s="1"/>
  <c r="C301" i="3"/>
  <c r="D301" i="3" s="1"/>
  <c r="C300" i="3"/>
  <c r="D300" i="3" s="1"/>
  <c r="C299" i="3"/>
  <c r="D299" i="3" s="1"/>
  <c r="C298" i="3"/>
  <c r="D298" i="3" s="1"/>
  <c r="C297" i="3"/>
  <c r="D297" i="3" s="1"/>
  <c r="C296" i="3"/>
  <c r="D296" i="3" s="1"/>
  <c r="C295" i="3"/>
  <c r="D295" i="3" s="1"/>
  <c r="C294" i="3"/>
  <c r="D294" i="3" s="1"/>
  <c r="C293" i="3"/>
  <c r="D293" i="3" s="1"/>
  <c r="C292" i="3"/>
  <c r="D292" i="3" s="1"/>
  <c r="C291" i="3"/>
  <c r="D291" i="3" s="1"/>
  <c r="C290" i="3"/>
  <c r="D290" i="3" s="1"/>
  <c r="C289" i="3"/>
  <c r="D289" i="3" s="1"/>
  <c r="C288" i="3"/>
  <c r="D288" i="3" s="1"/>
  <c r="C287" i="3"/>
  <c r="D287" i="3" s="1"/>
  <c r="C286" i="3"/>
  <c r="D286" i="3" s="1"/>
  <c r="C285" i="3"/>
  <c r="D285" i="3" s="1"/>
  <c r="C284" i="3"/>
  <c r="D284" i="3" s="1"/>
  <c r="C283" i="3"/>
  <c r="D283" i="3" s="1"/>
  <c r="C282" i="3"/>
  <c r="D282" i="3" s="1"/>
  <c r="C281" i="3"/>
  <c r="D281" i="3" s="1"/>
  <c r="C280" i="3"/>
  <c r="D280" i="3" s="1"/>
  <c r="C279" i="3"/>
  <c r="D279" i="3" s="1"/>
  <c r="C278" i="3"/>
  <c r="D278" i="3" s="1"/>
  <c r="C277" i="3"/>
  <c r="D277" i="3" s="1"/>
  <c r="C276" i="3"/>
  <c r="D276" i="3" s="1"/>
  <c r="C275" i="3"/>
  <c r="D275" i="3" s="1"/>
  <c r="C274" i="3"/>
  <c r="D274" i="3" s="1"/>
  <c r="C273" i="3"/>
  <c r="D273" i="3" s="1"/>
  <c r="C272" i="3"/>
  <c r="D272" i="3" s="1"/>
  <c r="C271" i="3"/>
  <c r="D271" i="3" s="1"/>
  <c r="C270" i="3"/>
  <c r="D270" i="3" s="1"/>
  <c r="C269" i="3"/>
  <c r="D269" i="3" s="1"/>
  <c r="C268" i="3"/>
  <c r="D268" i="3" s="1"/>
  <c r="C267" i="3"/>
  <c r="D267" i="3" s="1"/>
  <c r="C266" i="3"/>
  <c r="D266" i="3" s="1"/>
  <c r="C265" i="3"/>
  <c r="D265" i="3" s="1"/>
  <c r="C264" i="3"/>
  <c r="D264" i="3" s="1"/>
  <c r="C263" i="3"/>
  <c r="D263" i="3" s="1"/>
  <c r="C262" i="3"/>
  <c r="D262" i="3" s="1"/>
  <c r="C261" i="3"/>
  <c r="D261" i="3" s="1"/>
  <c r="C260" i="3"/>
  <c r="D260" i="3" s="1"/>
  <c r="C259" i="3"/>
  <c r="D259" i="3" s="1"/>
  <c r="C258" i="3"/>
  <c r="D258" i="3" s="1"/>
  <c r="C257" i="3"/>
  <c r="D257" i="3" s="1"/>
  <c r="C256" i="3"/>
  <c r="D256" i="3" s="1"/>
  <c r="C255" i="3"/>
  <c r="D255" i="3" s="1"/>
  <c r="C254" i="3"/>
  <c r="D254" i="3" s="1"/>
  <c r="C253" i="3"/>
  <c r="D253" i="3" s="1"/>
  <c r="C252" i="3"/>
  <c r="D252" i="3" s="1"/>
  <c r="C251" i="3"/>
  <c r="D251" i="3" s="1"/>
  <c r="C250" i="3"/>
  <c r="D250" i="3" s="1"/>
  <c r="C249" i="3"/>
  <c r="D249" i="3" s="1"/>
  <c r="C248" i="3"/>
  <c r="D248" i="3" s="1"/>
  <c r="C247" i="3"/>
  <c r="D247" i="3" s="1"/>
  <c r="C246" i="3"/>
  <c r="D246" i="3" s="1"/>
  <c r="C245" i="3"/>
  <c r="D245" i="3" s="1"/>
  <c r="C244" i="3"/>
  <c r="D244" i="3" s="1"/>
  <c r="C243" i="3"/>
  <c r="D243" i="3" s="1"/>
  <c r="C242" i="3"/>
  <c r="D242" i="3" s="1"/>
  <c r="C241" i="3"/>
  <c r="D241" i="3" s="1"/>
  <c r="C240" i="3"/>
  <c r="D240" i="3" s="1"/>
  <c r="C239" i="3"/>
  <c r="D239" i="3" s="1"/>
  <c r="C238" i="3"/>
  <c r="D238" i="3" s="1"/>
  <c r="C237" i="3"/>
  <c r="D237" i="3" s="1"/>
  <c r="C236" i="3"/>
  <c r="D236" i="3" s="1"/>
  <c r="C235" i="3"/>
  <c r="D235" i="3" s="1"/>
  <c r="C234" i="3"/>
  <c r="D234" i="3" s="1"/>
  <c r="C233" i="3"/>
  <c r="D233" i="3" s="1"/>
  <c r="C232" i="3"/>
  <c r="D232" i="3" s="1"/>
  <c r="C231" i="3"/>
  <c r="D231" i="3" s="1"/>
  <c r="C230" i="3"/>
  <c r="D230" i="3" s="1"/>
  <c r="C229" i="3"/>
  <c r="D229" i="3" s="1"/>
  <c r="C228" i="3"/>
  <c r="D228" i="3" s="1"/>
  <c r="C227" i="3"/>
  <c r="D227" i="3" s="1"/>
  <c r="C226" i="3"/>
  <c r="D226" i="3" s="1"/>
  <c r="C225" i="3"/>
  <c r="D225" i="3" s="1"/>
  <c r="C224" i="3"/>
  <c r="D224" i="3" s="1"/>
  <c r="C223" i="3"/>
  <c r="D223" i="3" s="1"/>
  <c r="C222" i="3"/>
  <c r="D222" i="3" s="1"/>
  <c r="C221" i="3"/>
  <c r="D221" i="3" s="1"/>
  <c r="C220" i="3"/>
  <c r="D220" i="3" s="1"/>
  <c r="C219" i="3"/>
  <c r="D219" i="3" s="1"/>
  <c r="C218" i="3"/>
  <c r="D218" i="3" s="1"/>
  <c r="C217" i="3"/>
  <c r="D217" i="3" s="1"/>
  <c r="C216" i="3"/>
  <c r="D216" i="3" s="1"/>
  <c r="C215" i="3"/>
  <c r="D215" i="3" s="1"/>
  <c r="C214" i="3"/>
  <c r="D214" i="3" s="1"/>
  <c r="C213" i="3"/>
  <c r="D213" i="3" s="1"/>
  <c r="C212" i="3"/>
  <c r="D212" i="3" s="1"/>
  <c r="C211" i="3"/>
  <c r="D211" i="3" s="1"/>
  <c r="C210" i="3"/>
  <c r="D210" i="3" s="1"/>
  <c r="C209" i="3"/>
  <c r="D209" i="3" s="1"/>
  <c r="C208" i="3"/>
  <c r="D208" i="3" s="1"/>
  <c r="C207" i="3"/>
  <c r="D207" i="3" s="1"/>
  <c r="C206" i="3"/>
  <c r="D206" i="3" s="1"/>
  <c r="C205" i="3"/>
  <c r="D205" i="3" s="1"/>
  <c r="C204" i="3"/>
  <c r="D204" i="3" s="1"/>
  <c r="C203" i="3"/>
  <c r="D203" i="3" s="1"/>
  <c r="C202" i="3"/>
  <c r="D202" i="3" s="1"/>
  <c r="C201" i="3"/>
  <c r="D201" i="3" s="1"/>
  <c r="C200" i="3"/>
  <c r="D200" i="3" s="1"/>
  <c r="C199" i="3"/>
  <c r="D199" i="3" s="1"/>
  <c r="C198" i="3"/>
  <c r="D198" i="3" s="1"/>
  <c r="C197" i="3"/>
  <c r="D197" i="3" s="1"/>
  <c r="C196" i="3"/>
  <c r="D196" i="3" s="1"/>
  <c r="C195" i="3"/>
  <c r="D195" i="3" s="1"/>
  <c r="C194" i="3"/>
  <c r="D194" i="3" s="1"/>
  <c r="C193" i="3"/>
  <c r="D193" i="3" s="1"/>
  <c r="C192" i="3"/>
  <c r="D192" i="3" s="1"/>
  <c r="C191" i="3"/>
  <c r="D191" i="3" s="1"/>
  <c r="C190" i="3"/>
  <c r="D190" i="3" s="1"/>
  <c r="C189" i="3"/>
  <c r="D189" i="3" s="1"/>
  <c r="C188" i="3"/>
  <c r="D188" i="3" s="1"/>
  <c r="C187" i="3"/>
  <c r="D187" i="3" s="1"/>
  <c r="C186" i="3"/>
  <c r="D186" i="3" s="1"/>
  <c r="C185" i="3"/>
  <c r="D185" i="3" s="1"/>
  <c r="C184" i="3"/>
  <c r="D184" i="3" s="1"/>
  <c r="C183" i="3"/>
  <c r="D183" i="3" s="1"/>
  <c r="C182" i="3"/>
  <c r="D182" i="3" s="1"/>
  <c r="C181" i="3"/>
  <c r="D181" i="3" s="1"/>
  <c r="C180" i="3"/>
  <c r="D180" i="3" s="1"/>
  <c r="C179" i="3"/>
  <c r="D179" i="3" s="1"/>
  <c r="C178" i="3"/>
  <c r="D178" i="3" s="1"/>
  <c r="C177" i="3"/>
  <c r="D177" i="3" s="1"/>
  <c r="C176" i="3"/>
  <c r="D176" i="3" s="1"/>
  <c r="C175" i="3"/>
  <c r="D175" i="3" s="1"/>
  <c r="C174" i="3"/>
  <c r="D174" i="3" s="1"/>
  <c r="C173" i="3"/>
  <c r="D173" i="3" s="1"/>
  <c r="C172" i="3"/>
  <c r="D172" i="3" s="1"/>
  <c r="C171" i="3"/>
  <c r="D171" i="3" s="1"/>
  <c r="C170" i="3"/>
  <c r="D170" i="3" s="1"/>
  <c r="C169" i="3"/>
  <c r="D169" i="3" s="1"/>
  <c r="C168" i="3"/>
  <c r="D168" i="3" s="1"/>
  <c r="C167" i="3"/>
  <c r="D167" i="3" s="1"/>
  <c r="C166" i="3"/>
  <c r="D166" i="3" s="1"/>
  <c r="C165" i="3"/>
  <c r="D165" i="3" s="1"/>
  <c r="C164" i="3"/>
  <c r="D164" i="3" s="1"/>
  <c r="C163" i="3"/>
  <c r="D163" i="3" s="1"/>
  <c r="C162" i="3"/>
  <c r="D162" i="3" s="1"/>
  <c r="C161" i="3"/>
  <c r="D161" i="3" s="1"/>
  <c r="C160" i="3"/>
  <c r="D160" i="3" s="1"/>
  <c r="C159" i="3"/>
  <c r="D159" i="3" s="1"/>
  <c r="C158" i="3"/>
  <c r="D158" i="3" s="1"/>
  <c r="C157" i="3"/>
  <c r="D157" i="3" s="1"/>
  <c r="C156" i="3"/>
  <c r="D156" i="3" s="1"/>
  <c r="C155" i="3"/>
  <c r="D155" i="3" s="1"/>
  <c r="C154" i="3"/>
  <c r="D154" i="3" s="1"/>
  <c r="C152" i="3"/>
  <c r="D152" i="3" s="1"/>
  <c r="C151" i="3"/>
  <c r="D151" i="3" s="1"/>
  <c r="C150" i="3"/>
  <c r="D150" i="3" s="1"/>
  <c r="C149" i="3"/>
  <c r="D149" i="3" s="1"/>
  <c r="C148" i="3"/>
  <c r="D148" i="3" s="1"/>
  <c r="C147" i="3"/>
  <c r="D147" i="3" s="1"/>
  <c r="C146" i="3"/>
  <c r="D146" i="3" s="1"/>
  <c r="C145" i="3"/>
  <c r="D145" i="3" s="1"/>
  <c r="C144" i="3"/>
  <c r="D144" i="3" s="1"/>
  <c r="C143" i="3"/>
  <c r="D143" i="3" s="1"/>
  <c r="C142" i="3"/>
  <c r="D142" i="3" s="1"/>
  <c r="C141" i="3"/>
  <c r="D141" i="3" s="1"/>
  <c r="C140" i="3"/>
  <c r="D140" i="3" s="1"/>
  <c r="C139" i="3"/>
  <c r="D139" i="3" s="1"/>
  <c r="C138" i="3"/>
  <c r="D138" i="3" s="1"/>
  <c r="C137" i="3"/>
  <c r="D137" i="3" s="1"/>
  <c r="C136" i="3"/>
  <c r="D136" i="3" s="1"/>
  <c r="C135" i="3"/>
  <c r="D135" i="3" s="1"/>
  <c r="C134" i="3"/>
  <c r="D134" i="3" s="1"/>
  <c r="C133" i="3"/>
  <c r="D133" i="3" s="1"/>
  <c r="C132" i="3"/>
  <c r="D132" i="3" s="1"/>
  <c r="C131" i="3"/>
  <c r="D131" i="3" s="1"/>
  <c r="C130" i="3"/>
  <c r="D130" i="3" s="1"/>
  <c r="C129" i="3"/>
  <c r="D129" i="3" s="1"/>
  <c r="C128" i="3"/>
  <c r="D128" i="3" s="1"/>
  <c r="C127" i="3"/>
  <c r="D127" i="3" s="1"/>
  <c r="C125" i="3"/>
  <c r="D125" i="3" s="1"/>
  <c r="C124" i="3"/>
  <c r="D124" i="3" s="1"/>
  <c r="C123" i="3"/>
  <c r="D123" i="3" s="1"/>
  <c r="C121" i="3"/>
  <c r="D121" i="3" s="1"/>
  <c r="C120" i="3"/>
  <c r="D120" i="3" s="1"/>
  <c r="C119" i="3"/>
  <c r="D119" i="3" s="1"/>
  <c r="C118" i="3"/>
  <c r="D118" i="3" s="1"/>
  <c r="C117" i="3"/>
  <c r="D117" i="3" s="1"/>
  <c r="C116" i="3"/>
  <c r="D116" i="3" s="1"/>
  <c r="C115" i="3"/>
  <c r="D115" i="3" s="1"/>
  <c r="C114" i="3"/>
  <c r="D114" i="3" s="1"/>
  <c r="C112" i="3"/>
  <c r="D112" i="3" s="1"/>
  <c r="C111" i="3"/>
  <c r="D111" i="3" s="1"/>
  <c r="C110" i="3"/>
  <c r="D110" i="3" s="1"/>
  <c r="C109" i="3"/>
  <c r="D109" i="3" s="1"/>
  <c r="C107" i="3"/>
  <c r="D107" i="3" s="1"/>
  <c r="C106" i="3"/>
  <c r="D106" i="3" s="1"/>
  <c r="C105" i="3"/>
  <c r="D105" i="3" s="1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C98" i="3"/>
  <c r="D98" i="3" s="1"/>
  <c r="C97" i="3"/>
  <c r="D97" i="3" s="1"/>
  <c r="C96" i="3"/>
  <c r="D96" i="3" s="1"/>
  <c r="C95" i="3"/>
  <c r="D95" i="3" s="1"/>
  <c r="C94" i="3"/>
  <c r="D94" i="3" s="1"/>
  <c r="C93" i="3"/>
  <c r="D93" i="3" s="1"/>
  <c r="C92" i="3"/>
  <c r="D92" i="3" s="1"/>
  <c r="C91" i="3"/>
  <c r="D91" i="3" s="1"/>
  <c r="C90" i="3"/>
  <c r="D90" i="3" s="1"/>
  <c r="C88" i="3"/>
  <c r="D88" i="3" s="1"/>
  <c r="C87" i="3"/>
  <c r="D87" i="3" s="1"/>
  <c r="C84" i="3"/>
  <c r="D84" i="3" s="1"/>
  <c r="C83" i="3"/>
  <c r="D83" i="3" s="1"/>
  <c r="C82" i="3"/>
  <c r="D82" i="3" s="1"/>
  <c r="C81" i="3"/>
  <c r="D81" i="3" s="1"/>
  <c r="C80" i="3"/>
  <c r="D80" i="3" s="1"/>
  <c r="C79" i="3"/>
  <c r="D79" i="3" s="1"/>
  <c r="C78" i="3"/>
  <c r="D78" i="3" s="1"/>
  <c r="C77" i="3"/>
  <c r="D77" i="3" s="1"/>
  <c r="C76" i="3"/>
  <c r="D76" i="3" s="1"/>
  <c r="C75" i="3"/>
  <c r="D75" i="3" s="1"/>
  <c r="C73" i="3"/>
  <c r="D73" i="3" s="1"/>
  <c r="C72" i="3"/>
  <c r="D72" i="3" s="1"/>
  <c r="C71" i="3"/>
  <c r="D71" i="3" s="1"/>
  <c r="C70" i="3"/>
  <c r="D70" i="3" s="1"/>
  <c r="C69" i="3"/>
  <c r="D69" i="3" s="1"/>
  <c r="C68" i="3"/>
  <c r="D68" i="3" s="1"/>
  <c r="C67" i="3"/>
  <c r="D67" i="3" s="1"/>
  <c r="C66" i="3"/>
  <c r="D66" i="3" s="1"/>
  <c r="C65" i="3"/>
  <c r="D65" i="3" s="1"/>
  <c r="C64" i="3"/>
  <c r="D64" i="3" s="1"/>
  <c r="C63" i="3"/>
  <c r="D63" i="3" s="1"/>
  <c r="C62" i="3"/>
  <c r="D62" i="3" s="1"/>
  <c r="C61" i="3"/>
  <c r="D61" i="3" s="1"/>
  <c r="C60" i="3"/>
  <c r="D60" i="3" s="1"/>
  <c r="C59" i="3"/>
  <c r="D59" i="3" s="1"/>
  <c r="C58" i="3"/>
  <c r="D58" i="3" s="1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0" i="3"/>
  <c r="D30" i="3" s="1"/>
  <c r="O92" i="2"/>
  <c r="O94" i="2" s="1"/>
  <c r="O68" i="2"/>
  <c r="O73" i="2" s="1"/>
  <c r="O97" i="2"/>
  <c r="O99" i="2" s="1"/>
  <c r="O74" i="2"/>
  <c r="D79" i="1"/>
  <c r="D73" i="1"/>
  <c r="D67" i="1"/>
  <c r="E79" i="1"/>
  <c r="E73" i="1"/>
  <c r="E67" i="1"/>
  <c r="F79" i="1"/>
  <c r="F73" i="1"/>
  <c r="F67" i="1"/>
  <c r="G79" i="1"/>
  <c r="G73" i="1"/>
  <c r="G67" i="1"/>
  <c r="H79" i="1"/>
  <c r="H73" i="1"/>
  <c r="H67" i="1"/>
  <c r="I79" i="1"/>
  <c r="I73" i="1"/>
  <c r="I67" i="1"/>
  <c r="J79" i="1"/>
  <c r="J73" i="1"/>
  <c r="J67" i="1"/>
  <c r="K79" i="1"/>
  <c r="K73" i="1"/>
  <c r="K67" i="1"/>
  <c r="L79" i="1"/>
  <c r="L73" i="1"/>
  <c r="L67" i="1"/>
  <c r="M79" i="1"/>
  <c r="M73" i="1"/>
  <c r="M67" i="1"/>
  <c r="N79" i="1"/>
  <c r="N73" i="1"/>
  <c r="N67" i="1"/>
  <c r="C73" i="1"/>
  <c r="O68" i="1"/>
  <c r="O73" i="1" s="1"/>
  <c r="C79" i="1"/>
  <c r="O74" i="1"/>
  <c r="O79" i="1" s="1"/>
  <c r="C89" i="1"/>
  <c r="O87" i="1"/>
  <c r="O89" i="1" s="1"/>
  <c r="C94" i="1"/>
  <c r="O92" i="1"/>
  <c r="O94" i="1" s="1"/>
  <c r="C99" i="1"/>
  <c r="O97" i="1"/>
  <c r="O99" i="1" s="1"/>
  <c r="C73" i="2"/>
  <c r="D73" i="2"/>
  <c r="E73" i="2"/>
  <c r="F73" i="2"/>
  <c r="G73" i="2"/>
  <c r="H73" i="2"/>
  <c r="I73" i="2"/>
  <c r="J73" i="2"/>
  <c r="K73" i="2"/>
  <c r="L73" i="2"/>
  <c r="M73" i="2"/>
  <c r="N73" i="2"/>
  <c r="C79" i="2"/>
  <c r="D79" i="2"/>
  <c r="E79" i="2"/>
  <c r="F79" i="2"/>
  <c r="G79" i="2"/>
  <c r="H79" i="2"/>
  <c r="I79" i="2"/>
  <c r="J79" i="2"/>
  <c r="K79" i="2"/>
  <c r="L79" i="2"/>
  <c r="M79" i="2"/>
  <c r="N79" i="2"/>
  <c r="N67" i="2" l="1"/>
  <c r="M67" i="2"/>
  <c r="L67" i="2"/>
  <c r="K67" i="2"/>
  <c r="J67" i="2"/>
  <c r="I67" i="2"/>
  <c r="H67" i="2"/>
  <c r="G67" i="2"/>
  <c r="F67" i="2"/>
  <c r="E67" i="2"/>
  <c r="D67" i="2"/>
  <c r="C67" i="2"/>
  <c r="O67" i="1"/>
  <c r="C67" i="1"/>
  <c r="O65" i="2"/>
  <c r="N65" i="2"/>
  <c r="N65" i="1" s="1"/>
  <c r="M65" i="2"/>
  <c r="M65" i="1" s="1"/>
  <c r="L65" i="2"/>
  <c r="L65" i="1" s="1"/>
  <c r="K65" i="2"/>
  <c r="K65" i="1" s="1"/>
  <c r="J65" i="2"/>
  <c r="J65" i="1" s="1"/>
  <c r="I65" i="2"/>
  <c r="I65" i="1" s="1"/>
  <c r="H65" i="2"/>
  <c r="H65" i="1" s="1"/>
  <c r="G65" i="2"/>
  <c r="G65" i="1" s="1"/>
  <c r="F65" i="2"/>
  <c r="F65" i="1" s="1"/>
  <c r="E65" i="2"/>
  <c r="E65" i="1" s="1"/>
  <c r="D65" i="2"/>
  <c r="D65" i="1" s="1"/>
  <c r="C65" i="2"/>
  <c r="C65" i="1" s="1"/>
  <c r="O65" i="1" s="1"/>
  <c r="O60" i="2"/>
  <c r="N60" i="2"/>
  <c r="N60" i="1" s="1"/>
  <c r="M60" i="2"/>
  <c r="M60" i="1" s="1"/>
  <c r="L60" i="2"/>
  <c r="L60" i="1" s="1"/>
  <c r="K60" i="2"/>
  <c r="K60" i="1" s="1"/>
  <c r="J60" i="2"/>
  <c r="J60" i="1" s="1"/>
  <c r="I60" i="2"/>
  <c r="I60" i="1" s="1"/>
  <c r="H60" i="2"/>
  <c r="H60" i="1" s="1"/>
  <c r="G60" i="2"/>
  <c r="G60" i="1" s="1"/>
  <c r="F60" i="2"/>
  <c r="F60" i="1" s="1"/>
  <c r="E60" i="2"/>
  <c r="E60" i="1" s="1"/>
  <c r="D60" i="2"/>
  <c r="D60" i="1" s="1"/>
  <c r="C60" i="2"/>
  <c r="C60" i="1" s="1"/>
  <c r="O60" i="1" s="1"/>
  <c r="O59" i="2"/>
  <c r="N59" i="2"/>
  <c r="N59" i="1" s="1"/>
  <c r="M59" i="2"/>
  <c r="M59" i="1" s="1"/>
  <c r="L59" i="2"/>
  <c r="L59" i="1" s="1"/>
  <c r="K59" i="2"/>
  <c r="K59" i="1" s="1"/>
  <c r="J59" i="2"/>
  <c r="J59" i="1" s="1"/>
  <c r="I59" i="2"/>
  <c r="I59" i="1" s="1"/>
  <c r="H59" i="2"/>
  <c r="H59" i="1" s="1"/>
  <c r="G59" i="2"/>
  <c r="G59" i="1" s="1"/>
  <c r="F59" i="2"/>
  <c r="F59" i="1" s="1"/>
  <c r="E59" i="2"/>
  <c r="E59" i="1" s="1"/>
  <c r="D59" i="2"/>
  <c r="D59" i="1" s="1"/>
  <c r="C59" i="2"/>
  <c r="C59" i="1" s="1"/>
  <c r="O59" i="1" s="1"/>
  <c r="O58" i="2"/>
  <c r="N58" i="2"/>
  <c r="N58" i="1" s="1"/>
  <c r="M58" i="2"/>
  <c r="M58" i="1" s="1"/>
  <c r="L58" i="2"/>
  <c r="L58" i="1" s="1"/>
  <c r="K58" i="2"/>
  <c r="K58" i="1" s="1"/>
  <c r="J58" i="2"/>
  <c r="J58" i="1" s="1"/>
  <c r="I58" i="2"/>
  <c r="I58" i="1" s="1"/>
  <c r="H58" i="2"/>
  <c r="H58" i="1" s="1"/>
  <c r="G58" i="2"/>
  <c r="G58" i="1" s="1"/>
  <c r="F58" i="2"/>
  <c r="F58" i="1" s="1"/>
  <c r="E58" i="2"/>
  <c r="E58" i="1" s="1"/>
  <c r="D58" i="2"/>
  <c r="D58" i="1" s="1"/>
  <c r="C58" i="2"/>
  <c r="C58" i="1" s="1"/>
  <c r="O58" i="1" s="1"/>
  <c r="O57" i="2"/>
  <c r="N57" i="2"/>
  <c r="N57" i="1" s="1"/>
  <c r="M57" i="2"/>
  <c r="M57" i="1" s="1"/>
  <c r="L57" i="2"/>
  <c r="L57" i="1" s="1"/>
  <c r="K57" i="2"/>
  <c r="K57" i="1" s="1"/>
  <c r="J57" i="2"/>
  <c r="J57" i="1" s="1"/>
  <c r="I57" i="2"/>
  <c r="I57" i="1" s="1"/>
  <c r="H57" i="2"/>
  <c r="H57" i="1" s="1"/>
  <c r="G57" i="2"/>
  <c r="G57" i="1" s="1"/>
  <c r="F57" i="2"/>
  <c r="F57" i="1" s="1"/>
  <c r="E57" i="2"/>
  <c r="E57" i="1" s="1"/>
  <c r="D57" i="2"/>
  <c r="D57" i="1" s="1"/>
  <c r="C57" i="2"/>
  <c r="C57" i="1" s="1"/>
  <c r="O57" i="1" s="1"/>
  <c r="O56" i="2"/>
  <c r="N56" i="2"/>
  <c r="N56" i="1" s="1"/>
  <c r="M56" i="2"/>
  <c r="M56" i="1" s="1"/>
  <c r="L56" i="2"/>
  <c r="L56" i="1" s="1"/>
  <c r="K56" i="2"/>
  <c r="K56" i="1" s="1"/>
  <c r="J56" i="2"/>
  <c r="J56" i="1" s="1"/>
  <c r="I56" i="2"/>
  <c r="I56" i="1" s="1"/>
  <c r="H56" i="2"/>
  <c r="H56" i="1" s="1"/>
  <c r="G56" i="2"/>
  <c r="G56" i="1" s="1"/>
  <c r="F56" i="2"/>
  <c r="F56" i="1" s="1"/>
  <c r="E56" i="2"/>
  <c r="E56" i="1" s="1"/>
  <c r="D56" i="2"/>
  <c r="D56" i="1" s="1"/>
  <c r="C56" i="2"/>
  <c r="C56" i="1" s="1"/>
  <c r="O56" i="1" s="1"/>
  <c r="O55" i="2"/>
  <c r="N55" i="2"/>
  <c r="N55" i="1" s="1"/>
  <c r="M55" i="2"/>
  <c r="M55" i="1" s="1"/>
  <c r="L55" i="2"/>
  <c r="L55" i="1" s="1"/>
  <c r="K55" i="2"/>
  <c r="K55" i="1" s="1"/>
  <c r="J55" i="2"/>
  <c r="J55" i="1" s="1"/>
  <c r="I55" i="2"/>
  <c r="I55" i="1" s="1"/>
  <c r="H55" i="2"/>
  <c r="H55" i="1" s="1"/>
  <c r="G55" i="2"/>
  <c r="G55" i="1" s="1"/>
  <c r="F55" i="2"/>
  <c r="F55" i="1" s="1"/>
  <c r="E55" i="2"/>
  <c r="E55" i="1" s="1"/>
  <c r="D55" i="2"/>
  <c r="D55" i="1" s="1"/>
  <c r="C55" i="2"/>
  <c r="C55" i="1" s="1"/>
  <c r="O55" i="1" s="1"/>
  <c r="O54" i="2"/>
  <c r="N54" i="2"/>
  <c r="N54" i="1" s="1"/>
  <c r="M54" i="2"/>
  <c r="M54" i="1" s="1"/>
  <c r="L54" i="2"/>
  <c r="L54" i="1" s="1"/>
  <c r="K54" i="2"/>
  <c r="K54" i="1" s="1"/>
  <c r="J54" i="2"/>
  <c r="J54" i="1" s="1"/>
  <c r="I54" i="2"/>
  <c r="I54" i="1" s="1"/>
  <c r="H54" i="2"/>
  <c r="H54" i="1" s="1"/>
  <c r="G54" i="2"/>
  <c r="G54" i="1" s="1"/>
  <c r="F54" i="2"/>
  <c r="F54" i="1" s="1"/>
  <c r="E54" i="2"/>
  <c r="E54" i="1" s="1"/>
  <c r="D54" i="2"/>
  <c r="D54" i="1" s="1"/>
  <c r="C54" i="2"/>
  <c r="C54" i="1" s="1"/>
  <c r="O54" i="1" s="1"/>
  <c r="O53" i="2"/>
  <c r="N53" i="2"/>
  <c r="N53" i="1" s="1"/>
  <c r="M53" i="2"/>
  <c r="M53" i="1" s="1"/>
  <c r="L53" i="2"/>
  <c r="L53" i="1" s="1"/>
  <c r="K53" i="2"/>
  <c r="K53" i="1" s="1"/>
  <c r="J53" i="2"/>
  <c r="J53" i="1" s="1"/>
  <c r="I53" i="2"/>
  <c r="I53" i="1" s="1"/>
  <c r="H53" i="2"/>
  <c r="H53" i="1" s="1"/>
  <c r="G53" i="2"/>
  <c r="G53" i="1" s="1"/>
  <c r="F53" i="2"/>
  <c r="F53" i="1" s="1"/>
  <c r="E53" i="2"/>
  <c r="E53" i="1" s="1"/>
  <c r="D53" i="2"/>
  <c r="D53" i="1" s="1"/>
  <c r="C53" i="2"/>
  <c r="C53" i="1" s="1"/>
  <c r="O53" i="1" s="1"/>
  <c r="O52" i="2"/>
  <c r="N52" i="2"/>
  <c r="N52" i="1" s="1"/>
  <c r="M52" i="2"/>
  <c r="M52" i="1" s="1"/>
  <c r="L52" i="2"/>
  <c r="L52" i="1" s="1"/>
  <c r="K52" i="2"/>
  <c r="K52" i="1" s="1"/>
  <c r="J52" i="2"/>
  <c r="J52" i="1" s="1"/>
  <c r="I52" i="2"/>
  <c r="I52" i="1" s="1"/>
  <c r="H52" i="2"/>
  <c r="H52" i="1" s="1"/>
  <c r="G52" i="2"/>
  <c r="G52" i="1" s="1"/>
  <c r="F52" i="2"/>
  <c r="F52" i="1" s="1"/>
  <c r="E52" i="2"/>
  <c r="E52" i="1" s="1"/>
  <c r="D52" i="2"/>
  <c r="D52" i="1" s="1"/>
  <c r="C52" i="2"/>
  <c r="C52" i="1" s="1"/>
  <c r="O52" i="1" s="1"/>
  <c r="O51" i="2"/>
  <c r="N51" i="2"/>
  <c r="N51" i="1" s="1"/>
  <c r="M51" i="2"/>
  <c r="M51" i="1" s="1"/>
  <c r="L51" i="2"/>
  <c r="L51" i="1" s="1"/>
  <c r="K51" i="2"/>
  <c r="K51" i="1" s="1"/>
  <c r="J51" i="2"/>
  <c r="J51" i="1" s="1"/>
  <c r="I51" i="2"/>
  <c r="I51" i="1" s="1"/>
  <c r="H51" i="2"/>
  <c r="H51" i="1" s="1"/>
  <c r="G51" i="2"/>
  <c r="G51" i="1" s="1"/>
  <c r="F51" i="2"/>
  <c r="F51" i="1" s="1"/>
  <c r="E51" i="2"/>
  <c r="E51" i="1" s="1"/>
  <c r="D51" i="2"/>
  <c r="D51" i="1" s="1"/>
  <c r="C51" i="2"/>
  <c r="C51" i="1" s="1"/>
  <c r="O51" i="1" s="1"/>
  <c r="O50" i="2"/>
  <c r="N50" i="2"/>
  <c r="N50" i="1" s="1"/>
  <c r="M50" i="2"/>
  <c r="M50" i="1" s="1"/>
  <c r="L50" i="2"/>
  <c r="L50" i="1" s="1"/>
  <c r="K50" i="2"/>
  <c r="K50" i="1" s="1"/>
  <c r="J50" i="2"/>
  <c r="J50" i="1" s="1"/>
  <c r="I50" i="2"/>
  <c r="I50" i="1" s="1"/>
  <c r="H50" i="2"/>
  <c r="H50" i="1" s="1"/>
  <c r="G50" i="2"/>
  <c r="G50" i="1" s="1"/>
  <c r="F50" i="2"/>
  <c r="F50" i="1" s="1"/>
  <c r="E50" i="2"/>
  <c r="E50" i="1" s="1"/>
  <c r="D50" i="2"/>
  <c r="D50" i="1" s="1"/>
  <c r="C50" i="2"/>
  <c r="C50" i="1" s="1"/>
  <c r="O50" i="1" s="1"/>
  <c r="O49" i="2"/>
  <c r="N49" i="2"/>
  <c r="N49" i="1" s="1"/>
  <c r="M49" i="2"/>
  <c r="M49" i="1" s="1"/>
  <c r="L49" i="2"/>
  <c r="L49" i="1" s="1"/>
  <c r="K49" i="2"/>
  <c r="K49" i="1" s="1"/>
  <c r="J49" i="2"/>
  <c r="J49" i="1" s="1"/>
  <c r="I49" i="2"/>
  <c r="I49" i="1" s="1"/>
  <c r="H49" i="2"/>
  <c r="H49" i="1" s="1"/>
  <c r="G49" i="2"/>
  <c r="G49" i="1" s="1"/>
  <c r="F49" i="2"/>
  <c r="F49" i="1" s="1"/>
  <c r="E49" i="2"/>
  <c r="E49" i="1" s="1"/>
  <c r="D49" i="2"/>
  <c r="D49" i="1" s="1"/>
  <c r="C49" i="2"/>
  <c r="C49" i="1" s="1"/>
  <c r="O49" i="1" s="1"/>
  <c r="O48" i="2"/>
  <c r="N48" i="2"/>
  <c r="N48" i="1" s="1"/>
  <c r="M48" i="2"/>
  <c r="M48" i="1" s="1"/>
  <c r="L48" i="2"/>
  <c r="L48" i="1" s="1"/>
  <c r="K48" i="2"/>
  <c r="K48" i="1" s="1"/>
  <c r="J48" i="2"/>
  <c r="J48" i="1" s="1"/>
  <c r="I48" i="2"/>
  <c r="I48" i="1" s="1"/>
  <c r="H48" i="2"/>
  <c r="H48" i="1" s="1"/>
  <c r="G48" i="2"/>
  <c r="G48" i="1" s="1"/>
  <c r="F48" i="2"/>
  <c r="F48" i="1" s="1"/>
  <c r="E48" i="2"/>
  <c r="E48" i="1" s="1"/>
  <c r="D48" i="2"/>
  <c r="D48" i="1" s="1"/>
  <c r="C48" i="2"/>
  <c r="C48" i="1" s="1"/>
  <c r="O48" i="1" s="1"/>
  <c r="O47" i="2"/>
  <c r="N47" i="2"/>
  <c r="N47" i="1" s="1"/>
  <c r="M47" i="2"/>
  <c r="M47" i="1" s="1"/>
  <c r="L47" i="2"/>
  <c r="L47" i="1" s="1"/>
  <c r="K47" i="2"/>
  <c r="K47" i="1" s="1"/>
  <c r="J47" i="2"/>
  <c r="J47" i="1" s="1"/>
  <c r="I47" i="2"/>
  <c r="I47" i="1" s="1"/>
  <c r="H47" i="2"/>
  <c r="H47" i="1" s="1"/>
  <c r="G47" i="2"/>
  <c r="G47" i="1" s="1"/>
  <c r="F47" i="2"/>
  <c r="F47" i="1" s="1"/>
  <c r="E47" i="2"/>
  <c r="E47" i="1" s="1"/>
  <c r="D47" i="2"/>
  <c r="D47" i="1" s="1"/>
  <c r="C47" i="2"/>
  <c r="C47" i="1" s="1"/>
  <c r="O47" i="1" s="1"/>
  <c r="O46" i="2"/>
  <c r="N46" i="2"/>
  <c r="N46" i="1" s="1"/>
  <c r="M46" i="2"/>
  <c r="M46" i="1" s="1"/>
  <c r="L46" i="2"/>
  <c r="L46" i="1" s="1"/>
  <c r="K46" i="2"/>
  <c r="K46" i="1" s="1"/>
  <c r="J46" i="2"/>
  <c r="J46" i="1" s="1"/>
  <c r="I46" i="2"/>
  <c r="I46" i="1" s="1"/>
  <c r="H46" i="2"/>
  <c r="H46" i="1" s="1"/>
  <c r="G46" i="2"/>
  <c r="G46" i="1" s="1"/>
  <c r="F46" i="2"/>
  <c r="F46" i="1" s="1"/>
  <c r="E46" i="2"/>
  <c r="E46" i="1" s="1"/>
  <c r="D46" i="2"/>
  <c r="D46" i="1" s="1"/>
  <c r="C46" i="2"/>
  <c r="C46" i="1" s="1"/>
  <c r="O46" i="1" s="1"/>
  <c r="O45" i="2"/>
  <c r="N45" i="2"/>
  <c r="N45" i="1" s="1"/>
  <c r="M45" i="2"/>
  <c r="M45" i="1" s="1"/>
  <c r="L45" i="2"/>
  <c r="L45" i="1" s="1"/>
  <c r="K45" i="2"/>
  <c r="K45" i="1" s="1"/>
  <c r="J45" i="2"/>
  <c r="J45" i="1" s="1"/>
  <c r="I45" i="2"/>
  <c r="I45" i="1" s="1"/>
  <c r="H45" i="2"/>
  <c r="H45" i="1" s="1"/>
  <c r="G45" i="2"/>
  <c r="G45" i="1" s="1"/>
  <c r="F45" i="2"/>
  <c r="F45" i="1" s="1"/>
  <c r="E45" i="2"/>
  <c r="E45" i="1" s="1"/>
  <c r="D45" i="2"/>
  <c r="D45" i="1" s="1"/>
  <c r="C45" i="2"/>
  <c r="C45" i="1" s="1"/>
  <c r="O45" i="1" s="1"/>
  <c r="O44" i="2"/>
  <c r="N44" i="2"/>
  <c r="N44" i="1" s="1"/>
  <c r="M44" i="2"/>
  <c r="M44" i="1" s="1"/>
  <c r="L44" i="2"/>
  <c r="L44" i="1" s="1"/>
  <c r="K44" i="2"/>
  <c r="K44" i="1" s="1"/>
  <c r="J44" i="2"/>
  <c r="J44" i="1" s="1"/>
  <c r="I44" i="2"/>
  <c r="I44" i="1" s="1"/>
  <c r="H44" i="2"/>
  <c r="H44" i="1" s="1"/>
  <c r="G44" i="2"/>
  <c r="G44" i="1" s="1"/>
  <c r="F44" i="2"/>
  <c r="F44" i="1" s="1"/>
  <c r="E44" i="2"/>
  <c r="E44" i="1" s="1"/>
  <c r="D44" i="2"/>
  <c r="D44" i="1" s="1"/>
  <c r="C44" i="2"/>
  <c r="C44" i="1" s="1"/>
  <c r="O44" i="1" s="1"/>
  <c r="O43" i="2"/>
  <c r="N43" i="2"/>
  <c r="N43" i="1" s="1"/>
  <c r="M43" i="2"/>
  <c r="M43" i="1" s="1"/>
  <c r="L43" i="2"/>
  <c r="L43" i="1" s="1"/>
  <c r="K43" i="2"/>
  <c r="K43" i="1" s="1"/>
  <c r="J43" i="2"/>
  <c r="J43" i="1" s="1"/>
  <c r="I43" i="2"/>
  <c r="I43" i="1" s="1"/>
  <c r="H43" i="2"/>
  <c r="H43" i="1" s="1"/>
  <c r="G43" i="2"/>
  <c r="G43" i="1" s="1"/>
  <c r="F43" i="2"/>
  <c r="F43" i="1" s="1"/>
  <c r="E43" i="2"/>
  <c r="E43" i="1" s="1"/>
  <c r="D43" i="2"/>
  <c r="D43" i="1" s="1"/>
  <c r="C43" i="2"/>
  <c r="C43" i="1" s="1"/>
  <c r="O43" i="1" s="1"/>
  <c r="O42" i="2"/>
  <c r="N42" i="2"/>
  <c r="N42" i="1" s="1"/>
  <c r="M42" i="2"/>
  <c r="M42" i="1" s="1"/>
  <c r="L42" i="2"/>
  <c r="L42" i="1" s="1"/>
  <c r="K42" i="2"/>
  <c r="K42" i="1" s="1"/>
  <c r="J42" i="2"/>
  <c r="J42" i="1" s="1"/>
  <c r="I42" i="2"/>
  <c r="I42" i="1" s="1"/>
  <c r="H42" i="2"/>
  <c r="H42" i="1" s="1"/>
  <c r="G42" i="2"/>
  <c r="G42" i="1" s="1"/>
  <c r="F42" i="2"/>
  <c r="F42" i="1" s="1"/>
  <c r="E42" i="2"/>
  <c r="E42" i="1" s="1"/>
  <c r="D42" i="2"/>
  <c r="D42" i="1" s="1"/>
  <c r="C42" i="2"/>
  <c r="C42" i="1" s="1"/>
  <c r="O42" i="1" s="1"/>
  <c r="O41" i="2"/>
  <c r="N41" i="2"/>
  <c r="N41" i="1" s="1"/>
  <c r="M41" i="2"/>
  <c r="M41" i="1" s="1"/>
  <c r="L41" i="2"/>
  <c r="L41" i="1" s="1"/>
  <c r="K41" i="2"/>
  <c r="K41" i="1" s="1"/>
  <c r="J41" i="2"/>
  <c r="J41" i="1" s="1"/>
  <c r="I41" i="2"/>
  <c r="I41" i="1" s="1"/>
  <c r="H41" i="2"/>
  <c r="H41" i="1" s="1"/>
  <c r="G41" i="2"/>
  <c r="G41" i="1" s="1"/>
  <c r="F41" i="2"/>
  <c r="F41" i="1" s="1"/>
  <c r="E41" i="2"/>
  <c r="E41" i="1" s="1"/>
  <c r="D41" i="2"/>
  <c r="D41" i="1" s="1"/>
  <c r="C41" i="2"/>
  <c r="C41" i="1" s="1"/>
  <c r="O41" i="1" s="1"/>
  <c r="O40" i="2"/>
  <c r="N40" i="2"/>
  <c r="N40" i="1" s="1"/>
  <c r="M40" i="2"/>
  <c r="M40" i="1" s="1"/>
  <c r="L40" i="2"/>
  <c r="L40" i="1" s="1"/>
  <c r="K40" i="2"/>
  <c r="K40" i="1" s="1"/>
  <c r="J40" i="2"/>
  <c r="J40" i="1" s="1"/>
  <c r="I40" i="2"/>
  <c r="I40" i="1" s="1"/>
  <c r="H40" i="2"/>
  <c r="H40" i="1" s="1"/>
  <c r="G40" i="2"/>
  <c r="G40" i="1" s="1"/>
  <c r="F40" i="2"/>
  <c r="F40" i="1" s="1"/>
  <c r="E40" i="2"/>
  <c r="E40" i="1" s="1"/>
  <c r="D40" i="2"/>
  <c r="D40" i="1" s="1"/>
  <c r="C40" i="2"/>
  <c r="C40" i="1" s="1"/>
  <c r="O40" i="1" s="1"/>
  <c r="O39" i="2"/>
  <c r="N39" i="2"/>
  <c r="N39" i="1" s="1"/>
  <c r="M39" i="2"/>
  <c r="M39" i="1" s="1"/>
  <c r="L39" i="2"/>
  <c r="L39" i="1" s="1"/>
  <c r="K39" i="2"/>
  <c r="K39" i="1" s="1"/>
  <c r="J39" i="2"/>
  <c r="J39" i="1" s="1"/>
  <c r="I39" i="2"/>
  <c r="I39" i="1" s="1"/>
  <c r="H39" i="2"/>
  <c r="H39" i="1" s="1"/>
  <c r="G39" i="2"/>
  <c r="G39" i="1" s="1"/>
  <c r="F39" i="2"/>
  <c r="F39" i="1" s="1"/>
  <c r="E39" i="2"/>
  <c r="E39" i="1" s="1"/>
  <c r="D39" i="2"/>
  <c r="D39" i="1" s="1"/>
  <c r="C39" i="2"/>
  <c r="C39" i="1" s="1"/>
  <c r="O39" i="1" s="1"/>
  <c r="O38" i="2"/>
  <c r="N38" i="2"/>
  <c r="N38" i="1" s="1"/>
  <c r="M38" i="2"/>
  <c r="M38" i="1" s="1"/>
  <c r="L38" i="2"/>
  <c r="L38" i="1" s="1"/>
  <c r="K38" i="2"/>
  <c r="K38" i="1" s="1"/>
  <c r="J38" i="2"/>
  <c r="J38" i="1" s="1"/>
  <c r="I38" i="2"/>
  <c r="I38" i="1" s="1"/>
  <c r="H38" i="2"/>
  <c r="H38" i="1" s="1"/>
  <c r="G38" i="2"/>
  <c r="G38" i="1" s="1"/>
  <c r="F38" i="2"/>
  <c r="F38" i="1" s="1"/>
  <c r="E38" i="2"/>
  <c r="E38" i="1" s="1"/>
  <c r="D38" i="2"/>
  <c r="D38" i="1" s="1"/>
  <c r="C38" i="2"/>
  <c r="C38" i="1" s="1"/>
  <c r="O38" i="1" s="1"/>
  <c r="O37" i="2"/>
  <c r="N37" i="2"/>
  <c r="N37" i="1" s="1"/>
  <c r="M37" i="2"/>
  <c r="M37" i="1" s="1"/>
  <c r="L37" i="2"/>
  <c r="L37" i="1" s="1"/>
  <c r="K37" i="2"/>
  <c r="K37" i="1" s="1"/>
  <c r="J37" i="2"/>
  <c r="J37" i="1" s="1"/>
  <c r="I37" i="2"/>
  <c r="I37" i="1" s="1"/>
  <c r="H37" i="2"/>
  <c r="H37" i="1" s="1"/>
  <c r="G37" i="2"/>
  <c r="G37" i="1" s="1"/>
  <c r="F37" i="2"/>
  <c r="F37" i="1" s="1"/>
  <c r="E37" i="2"/>
  <c r="E37" i="1" s="1"/>
  <c r="D37" i="2"/>
  <c r="D37" i="1" s="1"/>
  <c r="C37" i="2"/>
  <c r="C37" i="1" s="1"/>
  <c r="O37" i="1" s="1"/>
  <c r="O36" i="2"/>
  <c r="N36" i="2"/>
  <c r="N36" i="1" s="1"/>
  <c r="M36" i="2"/>
  <c r="M36" i="1" s="1"/>
  <c r="L36" i="2"/>
  <c r="L36" i="1" s="1"/>
  <c r="K36" i="2"/>
  <c r="K36" i="1" s="1"/>
  <c r="J36" i="2"/>
  <c r="J36" i="1" s="1"/>
  <c r="I36" i="2"/>
  <c r="I36" i="1" s="1"/>
  <c r="H36" i="2"/>
  <c r="H36" i="1" s="1"/>
  <c r="G36" i="2"/>
  <c r="G36" i="1" s="1"/>
  <c r="F36" i="2"/>
  <c r="F36" i="1" s="1"/>
  <c r="E36" i="2"/>
  <c r="E36" i="1" s="1"/>
  <c r="D36" i="2"/>
  <c r="D36" i="1" s="1"/>
  <c r="C36" i="2"/>
  <c r="C36" i="1" s="1"/>
  <c r="O36" i="1" s="1"/>
  <c r="O35" i="2"/>
  <c r="N35" i="2"/>
  <c r="N35" i="1" s="1"/>
  <c r="M35" i="2"/>
  <c r="M35" i="1" s="1"/>
  <c r="L35" i="2"/>
  <c r="L35" i="1" s="1"/>
  <c r="K35" i="2"/>
  <c r="K35" i="1" s="1"/>
  <c r="J35" i="2"/>
  <c r="J35" i="1" s="1"/>
  <c r="I35" i="2"/>
  <c r="I35" i="1" s="1"/>
  <c r="H35" i="2"/>
  <c r="H35" i="1" s="1"/>
  <c r="G35" i="2"/>
  <c r="G35" i="1" s="1"/>
  <c r="F35" i="2"/>
  <c r="F35" i="1" s="1"/>
  <c r="E35" i="2"/>
  <c r="E35" i="1" s="1"/>
  <c r="D35" i="2"/>
  <c r="D35" i="1" s="1"/>
  <c r="C35" i="2"/>
  <c r="C35" i="1" s="1"/>
  <c r="O35" i="1" s="1"/>
  <c r="O34" i="2"/>
  <c r="N34" i="2"/>
  <c r="N34" i="1" s="1"/>
  <c r="M34" i="2"/>
  <c r="M34" i="1" s="1"/>
  <c r="L34" i="2"/>
  <c r="L34" i="1" s="1"/>
  <c r="K34" i="2"/>
  <c r="K34" i="1" s="1"/>
  <c r="J34" i="2"/>
  <c r="J34" i="1" s="1"/>
  <c r="I34" i="2"/>
  <c r="I34" i="1" s="1"/>
  <c r="H34" i="2"/>
  <c r="H34" i="1" s="1"/>
  <c r="G34" i="2"/>
  <c r="G34" i="1" s="1"/>
  <c r="F34" i="2"/>
  <c r="F34" i="1" s="1"/>
  <c r="E34" i="2"/>
  <c r="E34" i="1" s="1"/>
  <c r="D34" i="2"/>
  <c r="D34" i="1" s="1"/>
  <c r="C34" i="2"/>
  <c r="C34" i="1" s="1"/>
  <c r="O34" i="1" s="1"/>
  <c r="O33" i="2"/>
  <c r="N33" i="2"/>
  <c r="N33" i="1" s="1"/>
  <c r="M33" i="2"/>
  <c r="M33" i="1" s="1"/>
  <c r="L33" i="2"/>
  <c r="L33" i="1" s="1"/>
  <c r="K33" i="2"/>
  <c r="K33" i="1" s="1"/>
  <c r="J33" i="2"/>
  <c r="J33" i="1" s="1"/>
  <c r="I33" i="2"/>
  <c r="I33" i="1" s="1"/>
  <c r="H33" i="2"/>
  <c r="H33" i="1" s="1"/>
  <c r="G33" i="2"/>
  <c r="G33" i="1" s="1"/>
  <c r="F33" i="2"/>
  <c r="F33" i="1" s="1"/>
  <c r="E33" i="2"/>
  <c r="E33" i="1" s="1"/>
  <c r="D33" i="2"/>
  <c r="D33" i="1" s="1"/>
  <c r="C33" i="2"/>
  <c r="C33" i="1" s="1"/>
  <c r="O33" i="1" s="1"/>
  <c r="O32" i="2"/>
  <c r="N32" i="2"/>
  <c r="N32" i="1" s="1"/>
  <c r="M32" i="2"/>
  <c r="M32" i="1" s="1"/>
  <c r="L32" i="2"/>
  <c r="L32" i="1" s="1"/>
  <c r="K32" i="2"/>
  <c r="K32" i="1" s="1"/>
  <c r="J32" i="2"/>
  <c r="J32" i="1" s="1"/>
  <c r="I32" i="2"/>
  <c r="I32" i="1" s="1"/>
  <c r="H32" i="2"/>
  <c r="H32" i="1" s="1"/>
  <c r="G32" i="2"/>
  <c r="G32" i="1" s="1"/>
  <c r="F32" i="2"/>
  <c r="F32" i="1" s="1"/>
  <c r="E32" i="2"/>
  <c r="E32" i="1" s="1"/>
  <c r="D32" i="2"/>
  <c r="D32" i="1" s="1"/>
  <c r="C32" i="2"/>
  <c r="C32" i="1" s="1"/>
  <c r="O32" i="1" s="1"/>
  <c r="O31" i="2"/>
  <c r="N31" i="2"/>
  <c r="N31" i="1" s="1"/>
  <c r="M31" i="2"/>
  <c r="M31" i="1" s="1"/>
  <c r="L31" i="2"/>
  <c r="L31" i="1" s="1"/>
  <c r="K31" i="2"/>
  <c r="K31" i="1" s="1"/>
  <c r="J31" i="2"/>
  <c r="J31" i="1" s="1"/>
  <c r="I31" i="2"/>
  <c r="I31" i="1" s="1"/>
  <c r="H31" i="2"/>
  <c r="H31" i="1" s="1"/>
  <c r="G31" i="2"/>
  <c r="G31" i="1" s="1"/>
  <c r="F31" i="2"/>
  <c r="F31" i="1" s="1"/>
  <c r="E31" i="2"/>
  <c r="E31" i="1" s="1"/>
  <c r="D31" i="2"/>
  <c r="D31" i="1" s="1"/>
  <c r="C31" i="2"/>
  <c r="C31" i="1" s="1"/>
  <c r="O31" i="1" s="1"/>
  <c r="O30" i="2"/>
  <c r="N30" i="2"/>
  <c r="N30" i="1" s="1"/>
  <c r="M30" i="2"/>
  <c r="M30" i="1" s="1"/>
  <c r="L30" i="2"/>
  <c r="L30" i="1" s="1"/>
  <c r="K30" i="2"/>
  <c r="K30" i="1" s="1"/>
  <c r="J30" i="2"/>
  <c r="J30" i="1" s="1"/>
  <c r="I30" i="2"/>
  <c r="I30" i="1" s="1"/>
  <c r="H30" i="2"/>
  <c r="H30" i="1" s="1"/>
  <c r="G30" i="2"/>
  <c r="G30" i="1" s="1"/>
  <c r="F30" i="2"/>
  <c r="F30" i="1" s="1"/>
  <c r="E30" i="2"/>
  <c r="E30" i="1" s="1"/>
  <c r="D30" i="2"/>
  <c r="D30" i="1" s="1"/>
  <c r="C30" i="2"/>
  <c r="C30" i="1" s="1"/>
  <c r="O30" i="1" s="1"/>
  <c r="O29" i="2"/>
  <c r="N29" i="2"/>
  <c r="N29" i="1" s="1"/>
  <c r="M29" i="2"/>
  <c r="M29" i="1" s="1"/>
  <c r="L29" i="2"/>
  <c r="L29" i="1" s="1"/>
  <c r="K29" i="2"/>
  <c r="K29" i="1" s="1"/>
  <c r="J29" i="2"/>
  <c r="J29" i="1" s="1"/>
  <c r="I29" i="2"/>
  <c r="I29" i="1" s="1"/>
  <c r="H29" i="2"/>
  <c r="H29" i="1" s="1"/>
  <c r="G29" i="2"/>
  <c r="G29" i="1" s="1"/>
  <c r="F29" i="2"/>
  <c r="F29" i="1" s="1"/>
  <c r="E29" i="2"/>
  <c r="E29" i="1" s="1"/>
  <c r="D29" i="2"/>
  <c r="D29" i="1" s="1"/>
  <c r="C29" i="2"/>
  <c r="C29" i="1" s="1"/>
  <c r="O29" i="1" s="1"/>
  <c r="O28" i="2"/>
  <c r="N28" i="2"/>
  <c r="N28" i="1" s="1"/>
  <c r="M28" i="2"/>
  <c r="M28" i="1" s="1"/>
  <c r="L28" i="2"/>
  <c r="L28" i="1" s="1"/>
  <c r="K28" i="2"/>
  <c r="K28" i="1" s="1"/>
  <c r="J28" i="2"/>
  <c r="J28" i="1" s="1"/>
  <c r="I28" i="2"/>
  <c r="I28" i="1" s="1"/>
  <c r="H28" i="2"/>
  <c r="H28" i="1" s="1"/>
  <c r="G28" i="2"/>
  <c r="G28" i="1" s="1"/>
  <c r="F28" i="2"/>
  <c r="F28" i="1" s="1"/>
  <c r="E28" i="2"/>
  <c r="E28" i="1" s="1"/>
  <c r="D28" i="2"/>
  <c r="D28" i="1" s="1"/>
  <c r="C28" i="2"/>
  <c r="C28" i="1" s="1"/>
  <c r="O28" i="1" s="1"/>
  <c r="O27" i="2"/>
  <c r="N27" i="2"/>
  <c r="N27" i="1" s="1"/>
  <c r="M27" i="2"/>
  <c r="M27" i="1" s="1"/>
  <c r="L27" i="2"/>
  <c r="L27" i="1" s="1"/>
  <c r="K27" i="2"/>
  <c r="K27" i="1" s="1"/>
  <c r="J27" i="2"/>
  <c r="J27" i="1" s="1"/>
  <c r="I27" i="2"/>
  <c r="I27" i="1" s="1"/>
  <c r="H27" i="2"/>
  <c r="H27" i="1" s="1"/>
  <c r="G27" i="2"/>
  <c r="G27" i="1" s="1"/>
  <c r="F27" i="2"/>
  <c r="F27" i="1" s="1"/>
  <c r="E27" i="2"/>
  <c r="E27" i="1" s="1"/>
  <c r="D27" i="2"/>
  <c r="D27" i="1" s="1"/>
  <c r="C27" i="2"/>
  <c r="C27" i="1" s="1"/>
  <c r="O27" i="1" s="1"/>
  <c r="O26" i="2"/>
  <c r="N26" i="2"/>
  <c r="N26" i="1" s="1"/>
  <c r="M26" i="2"/>
  <c r="M26" i="1" s="1"/>
  <c r="L26" i="2"/>
  <c r="L26" i="1" s="1"/>
  <c r="K26" i="2"/>
  <c r="K26" i="1" s="1"/>
  <c r="J26" i="2"/>
  <c r="J26" i="1" s="1"/>
  <c r="I26" i="2"/>
  <c r="I26" i="1" s="1"/>
  <c r="H26" i="2"/>
  <c r="H26" i="1" s="1"/>
  <c r="G26" i="2"/>
  <c r="G26" i="1" s="1"/>
  <c r="F26" i="2"/>
  <c r="F26" i="1" s="1"/>
  <c r="E26" i="2"/>
  <c r="E26" i="1" s="1"/>
  <c r="D26" i="2"/>
  <c r="D26" i="1" s="1"/>
  <c r="C26" i="2"/>
  <c r="C26" i="1" s="1"/>
  <c r="O26" i="1" s="1"/>
  <c r="O25" i="2"/>
  <c r="N25" i="2"/>
  <c r="N25" i="1" s="1"/>
  <c r="M25" i="2"/>
  <c r="M25" i="1" s="1"/>
  <c r="L25" i="2"/>
  <c r="L25" i="1" s="1"/>
  <c r="K25" i="2"/>
  <c r="K25" i="1" s="1"/>
  <c r="J25" i="2"/>
  <c r="J25" i="1" s="1"/>
  <c r="I25" i="2"/>
  <c r="I25" i="1" s="1"/>
  <c r="H25" i="2"/>
  <c r="H25" i="1" s="1"/>
  <c r="G25" i="2"/>
  <c r="G25" i="1" s="1"/>
  <c r="F25" i="2"/>
  <c r="F25" i="1" s="1"/>
  <c r="E25" i="2"/>
  <c r="E25" i="1" s="1"/>
  <c r="D25" i="2"/>
  <c r="D25" i="1" s="1"/>
  <c r="C25" i="2"/>
  <c r="C25" i="1" s="1"/>
  <c r="O25" i="1" s="1"/>
  <c r="O24" i="2"/>
  <c r="N24" i="2"/>
  <c r="N24" i="1" s="1"/>
  <c r="M24" i="2"/>
  <c r="M24" i="1" s="1"/>
  <c r="L24" i="2"/>
  <c r="L24" i="1" s="1"/>
  <c r="K24" i="2"/>
  <c r="K24" i="1" s="1"/>
  <c r="J24" i="2"/>
  <c r="J24" i="1" s="1"/>
  <c r="I24" i="2"/>
  <c r="I24" i="1" s="1"/>
  <c r="H24" i="2"/>
  <c r="H24" i="1" s="1"/>
  <c r="G24" i="2"/>
  <c r="G24" i="1" s="1"/>
  <c r="F24" i="2"/>
  <c r="F24" i="1" s="1"/>
  <c r="E24" i="2"/>
  <c r="E24" i="1" s="1"/>
  <c r="D24" i="2"/>
  <c r="D24" i="1" s="1"/>
  <c r="C24" i="2"/>
  <c r="C24" i="1" s="1"/>
  <c r="O24" i="1" s="1"/>
  <c r="O23" i="2"/>
  <c r="N23" i="2"/>
  <c r="N23" i="1" s="1"/>
  <c r="M23" i="2"/>
  <c r="M23" i="1" s="1"/>
  <c r="L23" i="2"/>
  <c r="L23" i="1" s="1"/>
  <c r="K23" i="2"/>
  <c r="K23" i="1" s="1"/>
  <c r="J23" i="2"/>
  <c r="J23" i="1" s="1"/>
  <c r="I23" i="2"/>
  <c r="I23" i="1" s="1"/>
  <c r="H23" i="2"/>
  <c r="H23" i="1" s="1"/>
  <c r="G23" i="2"/>
  <c r="G23" i="1" s="1"/>
  <c r="F23" i="2"/>
  <c r="F23" i="1" s="1"/>
  <c r="E23" i="2"/>
  <c r="E23" i="1" s="1"/>
  <c r="D23" i="2"/>
  <c r="D23" i="1" s="1"/>
  <c r="C23" i="2"/>
  <c r="C23" i="1" s="1"/>
  <c r="O23" i="1" s="1"/>
  <c r="O22" i="2"/>
  <c r="N22" i="2"/>
  <c r="N22" i="1" s="1"/>
  <c r="M22" i="2"/>
  <c r="M22" i="1" s="1"/>
  <c r="L22" i="2"/>
  <c r="L22" i="1" s="1"/>
  <c r="K22" i="2"/>
  <c r="K22" i="1" s="1"/>
  <c r="J22" i="2"/>
  <c r="J22" i="1" s="1"/>
  <c r="I22" i="2"/>
  <c r="I22" i="1" s="1"/>
  <c r="H22" i="2"/>
  <c r="H22" i="1" s="1"/>
  <c r="G22" i="2"/>
  <c r="G22" i="1" s="1"/>
  <c r="F22" i="2"/>
  <c r="F22" i="1" s="1"/>
  <c r="E22" i="2"/>
  <c r="E22" i="1" s="1"/>
  <c r="D22" i="2"/>
  <c r="D22" i="1" s="1"/>
  <c r="C22" i="2"/>
  <c r="C22" i="1" s="1"/>
  <c r="O22" i="1" s="1"/>
  <c r="O21" i="2"/>
  <c r="N21" i="2"/>
  <c r="N21" i="1" s="1"/>
  <c r="M21" i="2"/>
  <c r="M21" i="1" s="1"/>
  <c r="L21" i="2"/>
  <c r="L21" i="1" s="1"/>
  <c r="K21" i="2"/>
  <c r="K21" i="1" s="1"/>
  <c r="J21" i="2"/>
  <c r="J21" i="1" s="1"/>
  <c r="I21" i="2"/>
  <c r="I21" i="1" s="1"/>
  <c r="H21" i="2"/>
  <c r="H21" i="1" s="1"/>
  <c r="G21" i="2"/>
  <c r="G21" i="1" s="1"/>
  <c r="F21" i="2"/>
  <c r="F21" i="1" s="1"/>
  <c r="E21" i="2"/>
  <c r="E21" i="1" s="1"/>
  <c r="D21" i="2"/>
  <c r="D21" i="1" s="1"/>
  <c r="C21" i="2"/>
  <c r="C21" i="1" s="1"/>
  <c r="O21" i="1" s="1"/>
  <c r="O20" i="2"/>
  <c r="N20" i="2"/>
  <c r="N20" i="1" s="1"/>
  <c r="M20" i="2"/>
  <c r="M20" i="1" s="1"/>
  <c r="L20" i="2"/>
  <c r="L20" i="1" s="1"/>
  <c r="K20" i="2"/>
  <c r="K20" i="1" s="1"/>
  <c r="J20" i="2"/>
  <c r="J20" i="1" s="1"/>
  <c r="I20" i="2"/>
  <c r="I20" i="1" s="1"/>
  <c r="H20" i="2"/>
  <c r="H20" i="1" s="1"/>
  <c r="G20" i="2"/>
  <c r="G20" i="1" s="1"/>
  <c r="F20" i="2"/>
  <c r="F20" i="1" s="1"/>
  <c r="E20" i="2"/>
  <c r="E20" i="1" s="1"/>
  <c r="D20" i="2"/>
  <c r="D20" i="1" s="1"/>
  <c r="C20" i="2"/>
  <c r="C20" i="1" s="1"/>
  <c r="O20" i="1" s="1"/>
  <c r="O19" i="2"/>
  <c r="N19" i="2"/>
  <c r="N19" i="1" s="1"/>
  <c r="M19" i="2"/>
  <c r="M19" i="1" s="1"/>
  <c r="L19" i="2"/>
  <c r="L19" i="1" s="1"/>
  <c r="K19" i="2"/>
  <c r="K19" i="1" s="1"/>
  <c r="J19" i="2"/>
  <c r="J19" i="1" s="1"/>
  <c r="I19" i="2"/>
  <c r="I19" i="1" s="1"/>
  <c r="H19" i="2"/>
  <c r="H19" i="1" s="1"/>
  <c r="G19" i="2"/>
  <c r="G19" i="1" s="1"/>
  <c r="F19" i="2"/>
  <c r="F19" i="1" s="1"/>
  <c r="E19" i="2"/>
  <c r="E19" i="1" s="1"/>
  <c r="D19" i="2"/>
  <c r="D19" i="1" s="1"/>
  <c r="C19" i="2"/>
  <c r="C19" i="1" s="1"/>
  <c r="O19" i="1" s="1"/>
  <c r="O18" i="2"/>
  <c r="N18" i="2"/>
  <c r="N18" i="1" s="1"/>
  <c r="M18" i="2"/>
  <c r="M18" i="1" s="1"/>
  <c r="L18" i="2"/>
  <c r="L18" i="1" s="1"/>
  <c r="K18" i="2"/>
  <c r="K18" i="1" s="1"/>
  <c r="J18" i="2"/>
  <c r="J18" i="1" s="1"/>
  <c r="I18" i="2"/>
  <c r="I18" i="1" s="1"/>
  <c r="H18" i="2"/>
  <c r="H18" i="1" s="1"/>
  <c r="G18" i="2"/>
  <c r="G18" i="1" s="1"/>
  <c r="F18" i="2"/>
  <c r="F18" i="1" s="1"/>
  <c r="E18" i="2"/>
  <c r="E18" i="1" s="1"/>
  <c r="D18" i="2"/>
  <c r="D18" i="1" s="1"/>
  <c r="C18" i="2"/>
  <c r="C18" i="1" s="1"/>
  <c r="O18" i="1" s="1"/>
  <c r="O17" i="2"/>
  <c r="N17" i="2"/>
  <c r="N17" i="1" s="1"/>
  <c r="M17" i="2"/>
  <c r="M17" i="1" s="1"/>
  <c r="L17" i="2"/>
  <c r="L17" i="1" s="1"/>
  <c r="K17" i="2"/>
  <c r="K17" i="1" s="1"/>
  <c r="J17" i="2"/>
  <c r="J17" i="1" s="1"/>
  <c r="I17" i="2"/>
  <c r="I17" i="1" s="1"/>
  <c r="H17" i="2"/>
  <c r="H17" i="1" s="1"/>
  <c r="G17" i="2"/>
  <c r="G17" i="1" s="1"/>
  <c r="F17" i="2"/>
  <c r="F17" i="1" s="1"/>
  <c r="E17" i="2"/>
  <c r="E17" i="1" s="1"/>
  <c r="D17" i="2"/>
  <c r="D17" i="1" s="1"/>
  <c r="C17" i="2"/>
  <c r="C17" i="1" s="1"/>
  <c r="O17" i="1" s="1"/>
  <c r="O16" i="2"/>
  <c r="N16" i="2"/>
  <c r="N16" i="1" s="1"/>
  <c r="M16" i="2"/>
  <c r="M16" i="1" s="1"/>
  <c r="L16" i="2"/>
  <c r="L16" i="1" s="1"/>
  <c r="K16" i="2"/>
  <c r="K16" i="1" s="1"/>
  <c r="J16" i="2"/>
  <c r="J16" i="1" s="1"/>
  <c r="I16" i="2"/>
  <c r="I16" i="1" s="1"/>
  <c r="H16" i="2"/>
  <c r="H16" i="1" s="1"/>
  <c r="G16" i="2"/>
  <c r="G16" i="1" s="1"/>
  <c r="F16" i="2"/>
  <c r="F16" i="1" s="1"/>
  <c r="E16" i="2"/>
  <c r="E16" i="1" s="1"/>
  <c r="D16" i="2"/>
  <c r="D16" i="1" s="1"/>
  <c r="C16" i="2"/>
  <c r="C16" i="1" s="1"/>
  <c r="O16" i="1" s="1"/>
  <c r="O15" i="2"/>
  <c r="N15" i="2"/>
  <c r="N15" i="1" s="1"/>
  <c r="M15" i="2"/>
  <c r="M15" i="1" s="1"/>
  <c r="L15" i="2"/>
  <c r="L15" i="1" s="1"/>
  <c r="K15" i="2"/>
  <c r="K15" i="1" s="1"/>
  <c r="J15" i="2"/>
  <c r="J15" i="1" s="1"/>
  <c r="I15" i="2"/>
  <c r="I15" i="1" s="1"/>
  <c r="H15" i="2"/>
  <c r="H15" i="1" s="1"/>
  <c r="G15" i="2"/>
  <c r="G15" i="1" s="1"/>
  <c r="F15" i="2"/>
  <c r="F15" i="1" s="1"/>
  <c r="E15" i="2"/>
  <c r="E15" i="1" s="1"/>
  <c r="D15" i="2"/>
  <c r="D15" i="1" s="1"/>
  <c r="C15" i="2"/>
  <c r="C15" i="1" s="1"/>
  <c r="O15" i="1" s="1"/>
  <c r="O14" i="2"/>
  <c r="O13" i="2" s="1"/>
  <c r="N14" i="2"/>
  <c r="M14" i="2"/>
  <c r="L14" i="2"/>
  <c r="K14" i="2"/>
  <c r="J14" i="2"/>
  <c r="I14" i="2"/>
  <c r="H14" i="2"/>
  <c r="G14" i="2"/>
  <c r="F14" i="2"/>
  <c r="E14" i="2"/>
  <c r="D14" i="2"/>
  <c r="C14" i="2"/>
  <c r="O10" i="2"/>
  <c r="O79" i="2" s="1"/>
  <c r="O67" i="2" s="1"/>
  <c r="N10" i="2"/>
  <c r="N10" i="1" s="1"/>
  <c r="M10" i="2"/>
  <c r="M10" i="1" s="1"/>
  <c r="L10" i="2"/>
  <c r="L10" i="1" s="1"/>
  <c r="K10" i="2"/>
  <c r="K10" i="1" s="1"/>
  <c r="J10" i="2"/>
  <c r="J10" i="1" s="1"/>
  <c r="I10" i="2"/>
  <c r="I10" i="1" s="1"/>
  <c r="H10" i="2"/>
  <c r="H10" i="1" s="1"/>
  <c r="G10" i="2"/>
  <c r="G10" i="1" s="1"/>
  <c r="F10" i="2"/>
  <c r="F10" i="1" s="1"/>
  <c r="E10" i="2"/>
  <c r="E10" i="1" s="1"/>
  <c r="D10" i="2"/>
  <c r="D10" i="1" s="1"/>
  <c r="C10" i="2"/>
  <c r="C10" i="1" s="1"/>
  <c r="O10" i="1" s="1"/>
  <c r="O9" i="2"/>
  <c r="N9" i="2"/>
  <c r="N9" i="1" s="1"/>
  <c r="M9" i="2"/>
  <c r="M9" i="1" s="1"/>
  <c r="L9" i="2"/>
  <c r="L9" i="1" s="1"/>
  <c r="K9" i="2"/>
  <c r="K9" i="1" s="1"/>
  <c r="J9" i="2"/>
  <c r="J9" i="1" s="1"/>
  <c r="I9" i="2"/>
  <c r="I9" i="1" s="1"/>
  <c r="H9" i="2"/>
  <c r="H9" i="1" s="1"/>
  <c r="G9" i="2"/>
  <c r="G9" i="1" s="1"/>
  <c r="F9" i="2"/>
  <c r="F9" i="1" s="1"/>
  <c r="E9" i="2"/>
  <c r="E9" i="1" s="1"/>
  <c r="D9" i="2"/>
  <c r="D9" i="1" s="1"/>
  <c r="C9" i="2"/>
  <c r="C9" i="1" s="1"/>
  <c r="O9" i="1" s="1"/>
  <c r="O7" i="2"/>
  <c r="N7" i="2"/>
  <c r="N7" i="1" s="1"/>
  <c r="M7" i="2"/>
  <c r="M7" i="1" s="1"/>
  <c r="L7" i="2"/>
  <c r="L7" i="1" s="1"/>
  <c r="K7" i="2"/>
  <c r="K7" i="1" s="1"/>
  <c r="J7" i="2"/>
  <c r="J7" i="1" s="1"/>
  <c r="I7" i="2"/>
  <c r="I7" i="1" s="1"/>
  <c r="H7" i="2"/>
  <c r="H7" i="1" s="1"/>
  <c r="G7" i="2"/>
  <c r="G7" i="1" s="1"/>
  <c r="F7" i="2"/>
  <c r="F7" i="1" s="1"/>
  <c r="E7" i="2"/>
  <c r="E7" i="1" s="1"/>
  <c r="D7" i="2"/>
  <c r="D7" i="1" s="1"/>
  <c r="C7" i="2"/>
  <c r="C7" i="1" s="1"/>
  <c r="O7" i="1" s="1"/>
  <c r="O6" i="2"/>
  <c r="O8" i="2" s="1"/>
  <c r="O5" i="2" s="1"/>
  <c r="O12" i="2" s="1"/>
  <c r="N6" i="2"/>
  <c r="M6" i="2"/>
  <c r="L6" i="2"/>
  <c r="K6" i="2"/>
  <c r="J6" i="2"/>
  <c r="I6" i="2"/>
  <c r="H6" i="2"/>
  <c r="G6" i="2"/>
  <c r="F6" i="2"/>
  <c r="E6" i="2"/>
  <c r="D6" i="2"/>
  <c r="C6" i="2"/>
  <c r="C8" i="2" l="1"/>
  <c r="C5" i="2" s="1"/>
  <c r="C12" i="2" s="1"/>
  <c r="C6" i="1"/>
  <c r="D8" i="2"/>
  <c r="D5" i="2" s="1"/>
  <c r="D12" i="2" s="1"/>
  <c r="D6" i="1"/>
  <c r="D8" i="1" s="1"/>
  <c r="D5" i="1" s="1"/>
  <c r="D12" i="1" s="1"/>
  <c r="E8" i="2"/>
  <c r="E5" i="2" s="1"/>
  <c r="E12" i="2" s="1"/>
  <c r="E6" i="1"/>
  <c r="E8" i="1" s="1"/>
  <c r="E5" i="1" s="1"/>
  <c r="E12" i="1" s="1"/>
  <c r="F8" i="2"/>
  <c r="F5" i="2" s="1"/>
  <c r="F12" i="2" s="1"/>
  <c r="F6" i="1"/>
  <c r="F8" i="1" s="1"/>
  <c r="F5" i="1" s="1"/>
  <c r="F12" i="1" s="1"/>
  <c r="G8" i="2"/>
  <c r="G5" i="2" s="1"/>
  <c r="G12" i="2" s="1"/>
  <c r="G6" i="1"/>
  <c r="G8" i="1" s="1"/>
  <c r="G5" i="1" s="1"/>
  <c r="G12" i="1" s="1"/>
  <c r="H8" i="2"/>
  <c r="H5" i="2" s="1"/>
  <c r="H12" i="2" s="1"/>
  <c r="H6" i="1"/>
  <c r="H8" i="1" s="1"/>
  <c r="H5" i="1" s="1"/>
  <c r="H12" i="1" s="1"/>
  <c r="I8" i="2"/>
  <c r="I5" i="2" s="1"/>
  <c r="I12" i="2" s="1"/>
  <c r="I6" i="1"/>
  <c r="I8" i="1" s="1"/>
  <c r="I5" i="1" s="1"/>
  <c r="I12" i="1" s="1"/>
  <c r="J8" i="2"/>
  <c r="J5" i="2" s="1"/>
  <c r="J12" i="2" s="1"/>
  <c r="J6" i="1"/>
  <c r="J8" i="1" s="1"/>
  <c r="J5" i="1" s="1"/>
  <c r="J12" i="1" s="1"/>
  <c r="K8" i="2"/>
  <c r="K5" i="2" s="1"/>
  <c r="K12" i="2" s="1"/>
  <c r="K6" i="1"/>
  <c r="K8" i="1" s="1"/>
  <c r="K5" i="1" s="1"/>
  <c r="K12" i="1" s="1"/>
  <c r="L8" i="2"/>
  <c r="L5" i="2" s="1"/>
  <c r="L12" i="2" s="1"/>
  <c r="L6" i="1"/>
  <c r="L8" i="1" s="1"/>
  <c r="L5" i="1" s="1"/>
  <c r="L12" i="1" s="1"/>
  <c r="M8" i="2"/>
  <c r="M5" i="2" s="1"/>
  <c r="M12" i="2" s="1"/>
  <c r="M6" i="1"/>
  <c r="M8" i="1" s="1"/>
  <c r="M5" i="1" s="1"/>
  <c r="M12" i="1" s="1"/>
  <c r="N8" i="2"/>
  <c r="N5" i="2" s="1"/>
  <c r="N12" i="2" s="1"/>
  <c r="N6" i="1"/>
  <c r="N8" i="1" s="1"/>
  <c r="N5" i="1" s="1"/>
  <c r="N12" i="1" s="1"/>
  <c r="O81" i="2"/>
  <c r="O66" i="2"/>
  <c r="O80" i="2" s="1"/>
  <c r="C13" i="2"/>
  <c r="C14" i="1"/>
  <c r="D13" i="2"/>
  <c r="D14" i="1"/>
  <c r="D13" i="1" s="1"/>
  <c r="E13" i="2"/>
  <c r="E14" i="1"/>
  <c r="E13" i="1" s="1"/>
  <c r="F13" i="2"/>
  <c r="F14" i="1"/>
  <c r="F13" i="1" s="1"/>
  <c r="G13" i="2"/>
  <c r="G14" i="1"/>
  <c r="G13" i="1" s="1"/>
  <c r="H13" i="2"/>
  <c r="H14" i="1"/>
  <c r="H13" i="1" s="1"/>
  <c r="I13" i="2"/>
  <c r="I14" i="1"/>
  <c r="I13" i="1" s="1"/>
  <c r="J13" i="2"/>
  <c r="J14" i="1"/>
  <c r="J13" i="1" s="1"/>
  <c r="K13" i="2"/>
  <c r="K14" i="1"/>
  <c r="K13" i="1" s="1"/>
  <c r="L13" i="2"/>
  <c r="L14" i="1"/>
  <c r="L13" i="1" s="1"/>
  <c r="M13" i="2"/>
  <c r="M14" i="1"/>
  <c r="M13" i="1" s="1"/>
  <c r="N13" i="2"/>
  <c r="N14" i="1"/>
  <c r="N13" i="1" s="1"/>
  <c r="O14" i="1" l="1"/>
  <c r="O13" i="1" s="1"/>
  <c r="C13" i="1"/>
  <c r="N81" i="1"/>
  <c r="N66" i="1"/>
  <c r="N80" i="1" s="1"/>
  <c r="N81" i="2"/>
  <c r="N66" i="2"/>
  <c r="N80" i="2" s="1"/>
  <c r="M81" i="1"/>
  <c r="M66" i="1"/>
  <c r="M80" i="1" s="1"/>
  <c r="M81" i="2"/>
  <c r="M66" i="2"/>
  <c r="M80" i="2" s="1"/>
  <c r="L81" i="1"/>
  <c r="L66" i="1"/>
  <c r="L80" i="1" s="1"/>
  <c r="L81" i="2"/>
  <c r="L66" i="2"/>
  <c r="L80" i="2" s="1"/>
  <c r="K81" i="1"/>
  <c r="K66" i="1"/>
  <c r="K80" i="1" s="1"/>
  <c r="K81" i="2"/>
  <c r="K66" i="2"/>
  <c r="K80" i="2" s="1"/>
  <c r="J81" i="1"/>
  <c r="J66" i="1"/>
  <c r="J80" i="1" s="1"/>
  <c r="J81" i="2"/>
  <c r="J66" i="2"/>
  <c r="J80" i="2" s="1"/>
  <c r="I81" i="1"/>
  <c r="I66" i="1"/>
  <c r="I80" i="1" s="1"/>
  <c r="I81" i="2"/>
  <c r="I66" i="2"/>
  <c r="I80" i="2" s="1"/>
  <c r="H81" i="1"/>
  <c r="H66" i="1"/>
  <c r="H80" i="1" s="1"/>
  <c r="H81" i="2"/>
  <c r="H66" i="2"/>
  <c r="H80" i="2" s="1"/>
  <c r="G81" i="1"/>
  <c r="G66" i="1"/>
  <c r="G80" i="1" s="1"/>
  <c r="G81" i="2"/>
  <c r="G66" i="2"/>
  <c r="G80" i="2" s="1"/>
  <c r="F81" i="1"/>
  <c r="F66" i="1"/>
  <c r="F80" i="1" s="1"/>
  <c r="F81" i="2"/>
  <c r="F66" i="2"/>
  <c r="F80" i="2" s="1"/>
  <c r="E81" i="1"/>
  <c r="E66" i="1"/>
  <c r="E80" i="1" s="1"/>
  <c r="E81" i="2"/>
  <c r="E66" i="2"/>
  <c r="E80" i="2" s="1"/>
  <c r="D81" i="1"/>
  <c r="D66" i="1"/>
  <c r="D80" i="1" s="1"/>
  <c r="D81" i="2"/>
  <c r="D66" i="2"/>
  <c r="D80" i="2" s="1"/>
  <c r="C8" i="1"/>
  <c r="C5" i="1" s="1"/>
  <c r="C12" i="1" s="1"/>
  <c r="O6" i="1"/>
  <c r="O8" i="1" s="1"/>
  <c r="O5" i="1" s="1"/>
  <c r="O12" i="1" s="1"/>
  <c r="C81" i="2"/>
  <c r="C66" i="2"/>
  <c r="C80" i="2" s="1"/>
  <c r="O81" i="1" l="1"/>
  <c r="O66" i="1"/>
  <c r="O80" i="1" s="1"/>
  <c r="C81" i="1"/>
  <c r="C66" i="1"/>
  <c r="C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>ご注意：3行目にCHECK場所で
経費➝少数点になると経費の数字は少数点がある
経費➝NGになると採算科目（D列）場所で確認してください
時間➝NGになると時間分は0.25とか0.5の倍数では無い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<sst xmlns="http://schemas.openxmlformats.org/spreadsheetml/2006/main" count="1662" uniqueCount="700">
  <si>
    <t>組織名</t>
  </si>
  <si>
    <t>項目 ＼ 部門</t>
  </si>
  <si>
    <t>総出荷</t>
  </si>
  <si>
    <t>社外出荷</t>
  </si>
  <si>
    <t>販売支援</t>
  </si>
  <si>
    <t>社外出荷合計</t>
  </si>
  <si>
    <t>社内売</t>
  </si>
  <si>
    <t>社内買</t>
  </si>
  <si>
    <t>総生産</t>
  </si>
  <si>
    <t>控除額</t>
  </si>
  <si>
    <t>材料費</t>
  </si>
  <si>
    <t>設計変更材料費</t>
  </si>
  <si>
    <t>仕掛仕損</t>
  </si>
  <si>
    <t>仕入製商品費</t>
  </si>
  <si>
    <t>内製品有償支給原価</t>
  </si>
  <si>
    <t>外注加工費</t>
  </si>
  <si>
    <t>減価償却費</t>
  </si>
  <si>
    <t>金型償却費</t>
  </si>
  <si>
    <t>賃借料</t>
  </si>
  <si>
    <t>保険料</t>
  </si>
  <si>
    <t>設計委託費</t>
  </si>
  <si>
    <t>消耗品費</t>
  </si>
  <si>
    <t>消耗工具器具備品費</t>
  </si>
  <si>
    <t>消耗金型費</t>
  </si>
  <si>
    <t>旅費交通費</t>
  </si>
  <si>
    <t>渡航費</t>
  </si>
  <si>
    <t>水道光熱費</t>
  </si>
  <si>
    <t>修繕費</t>
  </si>
  <si>
    <t>荷造運賃</t>
  </si>
  <si>
    <t>荷造用品費</t>
  </si>
  <si>
    <t>補修サービス費</t>
  </si>
  <si>
    <t>技術料</t>
  </si>
  <si>
    <t>試験研究費</t>
  </si>
  <si>
    <t>雑給</t>
  </si>
  <si>
    <t>公租公課</t>
  </si>
  <si>
    <t>手数料</t>
  </si>
  <si>
    <t>委嘱報酬</t>
  </si>
  <si>
    <t>通信費</t>
  </si>
  <si>
    <t>図書及び事務費</t>
  </si>
  <si>
    <t>会費及び会議費</t>
  </si>
  <si>
    <t>福利厚生費</t>
  </si>
  <si>
    <t>募集教育費</t>
  </si>
  <si>
    <t>雑収入</t>
  </si>
  <si>
    <t>雑損失</t>
  </si>
  <si>
    <t>接待交際費</t>
  </si>
  <si>
    <t>雑費</t>
  </si>
  <si>
    <t>棚卸減耗費</t>
  </si>
  <si>
    <t>棚卸資産廃棄損</t>
  </si>
  <si>
    <t>特別利益</t>
  </si>
  <si>
    <t>特別損失</t>
  </si>
  <si>
    <t>内部諸経費</t>
  </si>
  <si>
    <t>製造口銭</t>
  </si>
  <si>
    <t>社内システム使用料</t>
  </si>
  <si>
    <t>固定資産金利</t>
  </si>
  <si>
    <t>在庫金利</t>
  </si>
  <si>
    <t>営業経費</t>
  </si>
  <si>
    <t>内部技術料</t>
  </si>
  <si>
    <t>部内間接経費</t>
  </si>
  <si>
    <t>部外間接1経費</t>
  </si>
  <si>
    <t>部外間接2経費</t>
  </si>
  <si>
    <t>工場間接経費</t>
  </si>
  <si>
    <t>本社機構経費</t>
  </si>
  <si>
    <t>差引収益</t>
  </si>
  <si>
    <t>総時間</t>
  </si>
  <si>
    <t>直接部門</t>
  </si>
  <si>
    <t>部内間接部門</t>
  </si>
  <si>
    <t>部外間接部門1</t>
  </si>
  <si>
    <t>部外間接部門2</t>
  </si>
  <si>
    <t>工場間接部門</t>
  </si>
  <si>
    <t>定時間合計</t>
  </si>
  <si>
    <t>残業時間合計</t>
  </si>
  <si>
    <t>当月時間当り</t>
  </si>
  <si>
    <t>時間当り生産高</t>
  </si>
  <si>
    <t>■人員</t>
  </si>
  <si>
    <t>出向社員(人)</t>
  </si>
  <si>
    <t>ローカル社員(人)</t>
  </si>
  <si>
    <t>人員計</t>
  </si>
  <si>
    <t>■定時間</t>
  </si>
  <si>
    <t>出向社員定時</t>
  </si>
  <si>
    <t>ローカル社員定時</t>
  </si>
  <si>
    <t>■残業時間</t>
  </si>
  <si>
    <t>出向社員残業</t>
  </si>
  <si>
    <t>ローカル社員残業</t>
  </si>
  <si>
    <t>合計</t>
  </si>
  <si>
    <t>部外間接経費1</t>
  </si>
  <si>
    <t>部外間接経費2</t>
  </si>
  <si>
    <t>MP FY2027_各予定</t>
  </si>
  <si>
    <t>稼働日数</t>
  </si>
  <si>
    <t>CHECK</t>
  </si>
  <si>
    <t>原価センター</t>
  </si>
  <si>
    <t>採算区分</t>
  </si>
  <si>
    <t>原価区分</t>
  </si>
  <si>
    <t>※MEBIUS経費になると　"V02V0800"　は　T列に　反映お願いします</t>
  </si>
  <si>
    <t>勘定科目名称</t>
  </si>
  <si>
    <t>採算科目</t>
  </si>
  <si>
    <t>ﾃｰﾏｺｰﾄﾞ</t>
  </si>
  <si>
    <t>MP</t>
  </si>
  <si>
    <t>備考</t>
  </si>
  <si>
    <t>WBS</t>
  </si>
  <si>
    <t>定時間（日本社員）</t>
  </si>
  <si>
    <t>定時間（ベトナム社員）</t>
  </si>
  <si>
    <t>定時間（移動分日本社員）</t>
  </si>
  <si>
    <t>定時間（移動分ベトナム社員）</t>
  </si>
  <si>
    <t>定時間（部内間接部門）</t>
  </si>
  <si>
    <t>この分には間接部門から直接部門に配賦された数字</t>
  </si>
  <si>
    <t>定時間（部外間接部門1）</t>
  </si>
  <si>
    <t>定時間（部外間接部門2）</t>
  </si>
  <si>
    <t>定時間（工場間接部門）</t>
  </si>
  <si>
    <t>残業時間（日本社員）</t>
  </si>
  <si>
    <t>残業時間（ベトナム社員）</t>
  </si>
  <si>
    <t>残業時間（移動分日本社員）</t>
  </si>
  <si>
    <t>残業時間（移動分ベトナム社員）</t>
  </si>
  <si>
    <t>残業時間（部内間接部門）</t>
  </si>
  <si>
    <t>残業時間（部外間接部門1）</t>
  </si>
  <si>
    <t>残業時間（部外間接部門2）</t>
  </si>
  <si>
    <t>残業時間（工場間接部門）</t>
  </si>
  <si>
    <t>材料費(指図出庫）</t>
  </si>
  <si>
    <t> </t>
  </si>
  <si>
    <t>社内金利（在庫）</t>
  </si>
  <si>
    <t>設備投資金額一覧表</t>
  </si>
  <si>
    <t>(単位： VND)</t>
  </si>
  <si>
    <t>部門ｺｰﾄﾞ</t>
  </si>
  <si>
    <t>購入物品名</t>
  </si>
  <si>
    <t>目     的</t>
  </si>
  <si>
    <t>償却期間
(ヶ月)</t>
  </si>
  <si>
    <t>購入金額合計</t>
  </si>
  <si>
    <t>TOTAL</t>
  </si>
  <si>
    <t>＊設備投資は、30,000,000VND以上、且つ1年以上使用するものが対象となります。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</si>
  <si>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</si>
  <si>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</si>
  <si>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</si>
  <si>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Account_Code</t>
  </si>
  <si>
    <t>JPN (50cha)</t>
  </si>
  <si>
    <t>Tiếng Việt_Tên tài khoản kế toán</t>
  </si>
  <si>
    <t>JP_Name</t>
  </si>
  <si>
    <t>Tiếng Việt_Hạng mục lợi nhuận</t>
  </si>
  <si>
    <t>製造</t>
  </si>
  <si>
    <t>一般</t>
  </si>
  <si>
    <t>販売</t>
  </si>
  <si>
    <t>REMARK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</si>
  <si>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</si>
  <si>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</si>
  <si>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</si>
  <si>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</si>
  <si>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</si>
  <si>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</si>
  <si>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</si>
  <si>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</si>
  <si>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</si>
  <si>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</si>
  <si>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</si>
  <si>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</si>
  <si>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</si>
  <si>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</si>
  <si>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</si>
  <si>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</si>
  <si>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</si>
  <si>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</si>
  <si>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</si>
  <si>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</si>
  <si>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</si>
  <si>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</si>
  <si>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</si>
  <si>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</si>
  <si>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</si>
  <si>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</si>
  <si>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</si>
  <si>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</si>
  <si>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</si>
  <si>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</si>
  <si>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</si>
  <si>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</si>
  <si>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</si>
  <si>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</si>
  <si>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</si>
  <si>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</si>
  <si>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</si>
  <si>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</si>
  <si>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</si>
  <si>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</si>
  <si>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</si>
  <si>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</si>
  <si>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</si>
  <si>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Chi phí sử dụng công cụ,đồ đạc</t>
  </si>
  <si>
    <t>5005026371</t>
  </si>
  <si>
    <t>消耗金型代（製）</t>
  </si>
  <si>
    <t>Chi phí tiêu hao khuôn</t>
  </si>
  <si>
    <t>5005026372</t>
  </si>
  <si>
    <t>減価償却費（製）　建物</t>
  </si>
  <si>
    <t>Chi phí khấu hao TSCĐ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</si>
  <si>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</si>
  <si>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</si>
  <si>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</si>
  <si>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</si>
  <si>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</si>
  <si>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</si>
  <si>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</si>
  <si>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</si>
  <si>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</si>
  <si>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</si>
  <si>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</si>
  <si>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</si>
  <si>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</si>
  <si>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</si>
  <si>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</si>
  <si>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</si>
  <si>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</si>
  <si>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</si>
  <si>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</si>
  <si>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</si>
  <si>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</si>
  <si>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</si>
  <si>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</si>
  <si>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</si>
  <si>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</si>
  <si>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</si>
  <si>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</si>
  <si>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</si>
  <si>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</si>
  <si>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</si>
  <si>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</si>
  <si>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</si>
  <si>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</si>
  <si>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</si>
  <si>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</si>
  <si>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</si>
  <si>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</si>
  <si>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</si>
  <si>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</si>
  <si>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</si>
  <si>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</si>
  <si>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</si>
  <si>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</si>
  <si>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</si>
  <si>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</si>
  <si>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Chi phí tuyển dụng,đào tạo</t>
  </si>
  <si>
    <t>5004096281</t>
  </si>
  <si>
    <t>機械設備修繕費（製）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</si>
  <si>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</si>
  <si>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</si>
  <si>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</si>
  <si>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</si>
  <si>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</si>
  <si>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</si>
  <si>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</si>
  <si>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</si>
  <si>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</si>
  <si>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</si>
  <si>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</si>
  <si>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</si>
  <si>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</si>
  <si>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</si>
  <si>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</si>
  <si>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</si>
  <si>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</si>
  <si>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</si>
  <si>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</si>
  <si>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</si>
  <si>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</si>
  <si>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</si>
  <si>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</si>
  <si>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</si>
  <si>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</si>
  <si>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</si>
  <si>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</si>
  <si>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</si>
  <si>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</si>
  <si>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</si>
  <si>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</si>
  <si>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</si>
  <si>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</si>
  <si>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</si>
  <si>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</si>
  <si>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</si>
  <si>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</si>
  <si>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</si>
  <si>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</si>
  <si>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</si>
  <si>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</si>
  <si>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</si>
  <si>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</si>
  <si>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</si>
  <si>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Phí kỹ thuật</t>
  </si>
  <si>
    <t>5005086281</t>
  </si>
  <si>
    <t>通信費（製）</t>
  </si>
  <si>
    <t>Chi phí điện thoại</t>
  </si>
  <si>
    <t>5005136281</t>
  </si>
  <si>
    <t>図書印刷費（製）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</si>
  <si>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</si>
  <si>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</si>
  <si>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</si>
  <si>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</si>
  <si>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</si>
  <si>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</si>
  <si>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</si>
  <si>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Chi phí cuộc họp</t>
  </si>
  <si>
    <t>5005246284</t>
  </si>
  <si>
    <t>委嘱報酬・設計委託費（製）</t>
  </si>
  <si>
    <t>Thù lao ủy thác,phí hoa hồng</t>
  </si>
  <si>
    <t>5005216281</t>
  </si>
  <si>
    <t>保険料（製）</t>
  </si>
  <si>
    <t>Chi phí bảo hiểm</t>
  </si>
  <si>
    <t>5005226281</t>
  </si>
  <si>
    <t>事務所賃借料（製）</t>
  </si>
  <si>
    <t>Chi phí thuê</t>
  </si>
  <si>
    <t>5005236281</t>
  </si>
  <si>
    <t>倉庫賃借料（製）</t>
  </si>
  <si>
    <t>5005236282</t>
  </si>
  <si>
    <t>取扱手数料（製）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</si>
  <si>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</si>
  <si>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</si>
  <si>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</si>
  <si>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</si>
  <si>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</si>
  <si>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</si>
  <si>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</si>
  <si>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</si>
  <si>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</si>
  <si>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</si>
  <si>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Chi phí phúc lợi</t>
  </si>
  <si>
    <t>5004086291</t>
  </si>
  <si>
    <t>教育訓練費（製）</t>
  </si>
  <si>
    <t>5004086293</t>
  </si>
  <si>
    <t>ベトナム国内交通費（製）</t>
  </si>
  <si>
    <t>Chi phí di chuyển</t>
  </si>
  <si>
    <t>5005116291</t>
  </si>
  <si>
    <t>海外渡航費（製）</t>
  </si>
  <si>
    <t>Chi phí di chuyển(nước ngoài)</t>
  </si>
  <si>
    <t>5005116292</t>
  </si>
  <si>
    <t>郵送代（製）</t>
  </si>
  <si>
    <t>5005136291</t>
  </si>
  <si>
    <t>接待交際費（製）</t>
  </si>
  <si>
    <t>Chi phí tiếp khách</t>
  </si>
  <si>
    <t>5005166291</t>
  </si>
  <si>
    <t>その他税金（製）</t>
  </si>
  <si>
    <t>Thuế,phí công cộng</t>
  </si>
  <si>
    <t>5005186292</t>
  </si>
  <si>
    <t>試験研究用材料費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</si>
  <si>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</si>
  <si>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</si>
  <si>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</si>
  <si>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</si>
  <si>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</si>
  <si>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</si>
  <si>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</si>
  <si>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</si>
  <si>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</si>
  <si>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</si>
  <si>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</si>
  <si>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</si>
  <si>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</si>
  <si>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Chi phí hao hụt sau kiểm kê</t>
  </si>
  <si>
    <t>5005256291</t>
  </si>
  <si>
    <t>製商品仕入諸掛</t>
  </si>
  <si>
    <t>Giá vốn hàng bán</t>
  </si>
  <si>
    <t>Chi phí bán hàng</t>
  </si>
  <si>
    <t>5101016174</t>
  </si>
  <si>
    <t>製品品目外注加工費</t>
  </si>
  <si>
    <t>Chi phí gia công ngoài</t>
  </si>
  <si>
    <t>5101016179</t>
  </si>
  <si>
    <t>製商品在庫廃棄損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</si>
  <si>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</si>
  <si>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</si>
  <si>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</si>
  <si>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</si>
  <si>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</si>
  <si>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</si>
  <si>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</si>
  <si>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</si>
  <si>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</si>
  <si>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</si>
  <si>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</si>
  <si>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</si>
  <si>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</si>
  <si>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</si>
  <si>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</si>
  <si>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</si>
  <si>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</si>
  <si>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</si>
  <si>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</si>
  <si>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</si>
  <si>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</si>
  <si>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</si>
  <si>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</si>
  <si>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</si>
  <si>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</si>
  <si>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</si>
  <si>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</si>
  <si>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</si>
  <si>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</si>
  <si>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</si>
  <si>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</si>
  <si>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</si>
  <si>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</si>
  <si>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</si>
  <si>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</si>
  <si>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</si>
  <si>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</si>
  <si>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</si>
  <si>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</si>
  <si>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</si>
  <si>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</si>
  <si>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</si>
  <si>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</si>
  <si>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</si>
  <si>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</si>
  <si>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</si>
  <si>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</si>
  <si>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</si>
  <si>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</si>
  <si>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</si>
  <si>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</si>
  <si>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</si>
  <si>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</si>
  <si>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</si>
  <si>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</si>
  <si>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</si>
  <si>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</si>
  <si>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</si>
  <si>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</si>
  <si>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</si>
  <si>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</si>
  <si>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</si>
  <si>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</si>
  <si>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</si>
  <si>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</si>
  <si>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</si>
  <si>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</si>
  <si>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</si>
  <si>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</si>
  <si>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</si>
  <si>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</si>
  <si>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</si>
  <si>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</si>
  <si>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</si>
  <si>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</si>
  <si>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</si>
  <si>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</si>
  <si>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</si>
  <si>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</si>
  <si>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</si>
  <si>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</si>
  <si>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</si>
  <si>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</si>
  <si>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</si>
  <si>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</si>
  <si>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</si>
  <si>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</si>
  <si>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</si>
  <si>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</si>
  <si>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</si>
  <si>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</si>
  <si>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</si>
  <si>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</si>
  <si>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</si>
  <si>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</si>
  <si>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</si>
  <si>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</si>
  <si>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</si>
  <si>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</si>
  <si>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</si>
  <si>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</si>
  <si>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</si>
  <si>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</si>
  <si>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</si>
  <si>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</si>
  <si>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</si>
  <si>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</si>
  <si>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</si>
  <si>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</si>
  <si>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</si>
  <si>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</si>
  <si>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</si>
  <si>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</si>
  <si>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</si>
  <si>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</si>
  <si>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</si>
  <si>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</si>
  <si>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</si>
  <si>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</si>
  <si>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</si>
  <si>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</si>
  <si>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</si>
  <si>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</si>
  <si>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</si>
  <si>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</si>
  <si>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</si>
  <si>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</si>
  <si>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</si>
  <si>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</si>
  <si>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</si>
  <si>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</si>
  <si>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</si>
  <si>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</si>
  <si>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</si>
  <si>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</si>
  <si>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</si>
  <si>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</si>
  <si>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</si>
  <si>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</si>
  <si>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</si>
  <si>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</si>
  <si>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</si>
  <si>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</si>
  <si>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</si>
  <si>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</si>
  <si>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</si>
  <si>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</si>
  <si>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</si>
  <si>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</si>
  <si>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</si>
  <si>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</si>
  <si>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</si>
  <si>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</si>
  <si>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</si>
  <si>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</si>
  <si>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</si>
  <si>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</si>
  <si>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</si>
  <si>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</si>
  <si>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</si>
  <si>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</si>
  <si>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</si>
  <si>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Tổn thất tài sản hư hỏng sau kiểm kê</t>
  </si>
  <si>
    <t>7002048112</t>
  </si>
  <si>
    <t>固定資産売却損・除却損</t>
  </si>
  <si>
    <t>Lỗ đặc biệt</t>
  </si>
  <si>
    <t>8002018111</t>
  </si>
  <si>
    <t>前期損益修正損</t>
  </si>
  <si>
    <t>8002028111</t>
  </si>
  <si>
    <t>その他特別損失</t>
  </si>
  <si>
    <t>8002038111</t>
  </si>
  <si>
    <t>Xuất hàng ra ngoài</t>
  </si>
  <si>
    <t>9114120002</t>
  </si>
  <si>
    <t>Bán hàng nội bộ</t>
  </si>
  <si>
    <t>9114120004</t>
  </si>
  <si>
    <t>支払営業口銭</t>
  </si>
  <si>
    <t>Chi phí hoạt động</t>
  </si>
  <si>
    <t>9114120005</t>
  </si>
  <si>
    <t>9114120006</t>
  </si>
  <si>
    <t>社内金利（固定資産）</t>
  </si>
  <si>
    <t>Lãi suất tài sản cố định</t>
  </si>
  <si>
    <t>9114120007</t>
  </si>
  <si>
    <t>9114120008</t>
  </si>
  <si>
    <t>Lãi suất tồn kho</t>
  </si>
  <si>
    <t>9114120009</t>
  </si>
  <si>
    <t>Chi phí nội bộ</t>
  </si>
  <si>
    <t>9114120011</t>
  </si>
  <si>
    <t>Mua hàng nội bộ</t>
  </si>
  <si>
    <t>9114120014</t>
  </si>
  <si>
    <t>Chi phí trong bộ phận(gián tiếp)</t>
  </si>
  <si>
    <t>9114120018</t>
  </si>
  <si>
    <t xml:space="preserve">Chi phí nhà máy(gián tiếp) </t>
  </si>
  <si>
    <t>9114120021</t>
  </si>
  <si>
    <t>Phí sử dụng phần mềm nội bộ</t>
  </si>
  <si>
    <t>9114120028</t>
  </si>
  <si>
    <t>Chi phí ngoài bộ phận(gián tiếp 1)</t>
  </si>
  <si>
    <t>9114120029</t>
  </si>
  <si>
    <t>Chi phí ngoài bộ phận(gián tiếp 2)</t>
  </si>
  <si>
    <t>9114120030</t>
  </si>
  <si>
    <t>原価センタ</t>
  </si>
  <si>
    <t>テキスト</t>
  </si>
  <si>
    <t>No.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</si>
  <si>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</si>
  <si>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</si>
  <si>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</si>
  <si>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</si>
  <si>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</si>
  <si>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</si>
  <si>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</si>
  <si>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</si>
  <si>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</si>
  <si>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</si>
  <si>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</si>
  <si>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</si>
  <si>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</si>
  <si>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</si>
  <si>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</si>
  <si>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</si>
  <si>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</si>
  <si>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</si>
  <si>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</si>
  <si>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</si>
  <si>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</si>
  <si>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</si>
  <si>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</si>
  <si>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</si>
  <si>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</si>
  <si>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部品管理1課</t>
  </si>
  <si>
    <t>13.</t>
  </si>
  <si>
    <t>部品管理2課</t>
  </si>
  <si>
    <t>69.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</si>
  <si>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</si>
  <si>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</si>
  <si>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</si>
  <si>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</si>
  <si>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</si>
  <si>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</si>
  <si>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</si>
  <si>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</si>
  <si>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</si>
  <si>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</si>
  <si>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部品在庫管理課</t>
  </si>
  <si>
    <t>61.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</si>
  <si>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</si>
  <si>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</si>
  <si>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</si>
  <si>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</si>
  <si>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</si>
  <si>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</si>
  <si>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</si>
  <si>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</si>
  <si>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</si>
  <si>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</si>
  <si>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</si>
  <si>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</si>
  <si>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工程品質管理3課</t>
  </si>
  <si>
    <t>70.</t>
  </si>
  <si>
    <t>工程品質管理4課</t>
  </si>
  <si>
    <t>71.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</si>
  <si>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</si>
  <si>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</si>
  <si>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</si>
  <si>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</si>
  <si>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</si>
  <si>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</si>
  <si>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</si>
  <si>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</si>
  <si>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</si>
  <si>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</si>
  <si>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</si>
  <si>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部品品質管理1課</t>
  </si>
  <si>
    <t>40.</t>
  </si>
  <si>
    <t>部品品質管理2課</t>
  </si>
  <si>
    <t>74.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</si>
  <si>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</si>
  <si>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</si>
  <si>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</si>
  <si>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</si>
  <si>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</si>
  <si>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</si>
  <si>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</si>
  <si>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</si>
  <si>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</si>
  <si>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</si>
  <si>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</si>
  <si>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</si>
  <si>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</si>
  <si>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</si>
  <si>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</si>
  <si>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</si>
  <si>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</si>
  <si>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</si>
  <si>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</si>
  <si>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</si>
  <si>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</si>
  <si>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</si>
  <si>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</si>
  <si>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</si>
  <si>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</si>
  <si>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</si>
  <si>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</si>
  <si>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</si>
  <si>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</si>
  <si>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</si>
  <si>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</si>
  <si>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</si>
  <si>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</si>
  <si>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</si>
  <si>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</si>
  <si>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</si>
  <si>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</si>
  <si>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</si>
  <si>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</si>
  <si>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</si>
  <si>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</si>
  <si>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</si>
  <si>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</si>
  <si>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</si>
  <si>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</si>
  <si>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</si>
  <si>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</si>
  <si>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</si>
  <si>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</si>
  <si>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</si>
  <si>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</si>
  <si>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</si>
  <si>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</si>
  <si>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電工製造課</t>
  </si>
  <si>
    <t>64.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</si>
  <si>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</si>
  <si>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</si>
  <si>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</si>
  <si>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</si>
  <si>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</si>
  <si>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</si>
  <si>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</si>
  <si>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</si>
  <si>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FY2027</t>
  </si>
  <si>
    <t>稼働日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</si>
</sst>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;[Red]&quot;¥&quot;\-#,##0"/>
    <numFmt numFmtId="165" formatCode="_ * #,##0.00_ ;_ * \-#,##0.00_ ;_ * &quot;-&quot;??_ ;_ @_ "/>
    <numFmt numFmtId="166" formatCode="&quot;　　&quot;General"/>
    <numFmt numFmtId="167" formatCode="0&quot;日&quot;"/>
    <numFmt numFmtId="168" formatCode="0&quot;月度&quot;"/>
    <numFmt numFmtId="169" formatCode="0&quot;月&quot;"/>
    <numFmt numFmtId="170" formatCode="#,##0.0_);[Red]\(#,##0.0\)"/>
    <numFmt numFmtId="171" formatCode="0.0"/>
    <numFmt numFmtId="172" formatCode="#,##0.000_);[Red]\(#,##0.000\)"/>
    <numFmt numFmtId="173" formatCode="#,##0.0000_);[Red]\(#,##0.0000\)"/>
    <numFmt numFmtId="174" formatCode="0_ "/>
    <numFmt numFmtId="175" formatCode="&quot;1US$=&quot;0&quot;VND&quot;"/>
    <numFmt numFmtId="176" formatCode="&quot;換算Rate：1US$=&quot;0,000&quot;VND&quot;"/>
    <numFmt numFmtId="177" formatCode="&quot;1USD  =  &quot;#,#00&quot; VND&quot;"/>
    <numFmt numFmtId="178" formatCode="#,##0_);[Red]\-#,##0_)"/>
    <numFmt numFmtId="179" formatCode="#,##0.0;[Red]\-#,##0.0"/>
    <numFmt numFmtId="180" formatCode="yyyy&quot;年&quot;m&quot;月&quot;;@"/>
    <numFmt numFmtId="181" formatCode="#,##0."/>
    <numFmt numFmtId="182" formatCode="&quot;1USD = &quot;#,#00&quot; VND&quot;"/>
    <numFmt numFmtId="183" formatCode="&quot;NT$&quot;#,##0;[Red]\-&quot;NT$&quot;#,##0"/>
  </numFmts>
  <fonts count="80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5">
    <xf numFmtId="0" fontId="0" fillId="0" borderId="0"/>
    <xf numFmtId="0" fontId="14" fillId="0" borderId="0"/>
    <xf numFmtId="0" fontId="37" fillId="2" borderId="0"/>
    <xf numFmtId="0" fontId="37" fillId="3" borderId="0"/>
    <xf numFmtId="0" fontId="37" fillId="4" borderId="0"/>
    <xf numFmtId="0" fontId="37" fillId="5" borderId="0"/>
    <xf numFmtId="0" fontId="37" fillId="6" borderId="0"/>
    <xf numFmtId="0" fontId="37" fillId="7" borderId="0"/>
    <xf numFmtId="0" fontId="1" fillId="2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4" fillId="0" borderId="0"/>
    <xf numFmtId="0" fontId="37" fillId="8" borderId="0"/>
    <xf numFmtId="0" fontId="37" fillId="9" borderId="0"/>
    <xf numFmtId="0" fontId="37" fillId="10" borderId="0"/>
    <xf numFmtId="0" fontId="37" fillId="5" borderId="0"/>
    <xf numFmtId="0" fontId="37" fillId="8" borderId="0"/>
    <xf numFmtId="0" fontId="37" fillId="11" borderId="0"/>
    <xf numFmtId="0" fontId="1" fillId="8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41" fillId="12" borderId="0"/>
    <xf numFmtId="0" fontId="41" fillId="9" borderId="0"/>
    <xf numFmtId="0" fontId="41" fillId="10" borderId="0"/>
    <xf numFmtId="0" fontId="41" fillId="13" borderId="0"/>
    <xf numFmtId="0" fontId="41" fillId="14" borderId="0"/>
    <xf numFmtId="0" fontId="41" fillId="15" borderId="0"/>
    <xf numFmtId="0" fontId="15" fillId="12" borderId="0">
      <alignment vertical="center"/>
    </xf>
    <xf numFmtId="0" fontId="15" fillId="12" borderId="0">
      <alignment vertical="center"/>
    </xf>
    <xf numFmtId="0" fontId="15" fillId="9" borderId="0">
      <alignment vertical="center"/>
    </xf>
    <xf numFmtId="0" fontId="15" fillId="9" borderId="0">
      <alignment vertical="center"/>
    </xf>
    <xf numFmtId="0" fontId="15" fillId="10" borderId="0">
      <alignment vertical="center"/>
    </xf>
    <xf numFmtId="0" fontId="15" fillId="10" borderId="0">
      <alignment vertical="center"/>
    </xf>
    <xf numFmtId="0" fontId="15" fillId="13" borderId="0">
      <alignment vertical="center"/>
    </xf>
    <xf numFmtId="0" fontId="15" fillId="13" borderId="0">
      <alignment vertical="center"/>
    </xf>
    <xf numFmtId="0" fontId="15" fillId="14" borderId="0">
      <alignment vertical="center"/>
    </xf>
    <xf numFmtId="0" fontId="15" fillId="14" borderId="0">
      <alignment vertical="center"/>
    </xf>
    <xf numFmtId="0" fontId="15" fillId="15" borderId="0">
      <alignment vertical="center"/>
    </xf>
    <xf numFmtId="0" fontId="15" fillId="15" borderId="0">
      <alignment vertical="center"/>
    </xf>
    <xf numFmtId="0" fontId="41" fillId="16" borderId="0"/>
    <xf numFmtId="0" fontId="41" fillId="17" borderId="0"/>
    <xf numFmtId="0" fontId="41" fillId="18" borderId="0"/>
    <xf numFmtId="0" fontId="41" fillId="13" borderId="0"/>
    <xf numFmtId="0" fontId="41" fillId="14" borderId="0"/>
    <xf numFmtId="0" fontId="41" fillId="19" borderId="0"/>
    <xf numFmtId="0" fontId="42" fillId="3" borderId="0"/>
    <xf numFmtId="0" fontId="43" fillId="20" borderId="1"/>
    <xf numFmtId="0" fontId="44" fillId="21" borderId="2"/>
    <xf numFmtId="40" fontId="19" fillId="0" borderId="0"/>
    <xf numFmtId="38" fontId="19" fillId="0" borderId="0"/>
    <xf numFmtId="38" fontId="19" fillId="0" borderId="0"/>
    <xf numFmtId="38" fontId="19" fillId="0" borderId="0"/>
    <xf numFmtId="38" fontId="66" fillId="0" borderId="0">
      <alignment vertical="center"/>
    </xf>
    <xf numFmtId="38" fontId="19" fillId="0" borderId="0">
      <alignment vertical="center"/>
    </xf>
    <xf numFmtId="40" fontId="19" fillId="0" borderId="0"/>
    <xf numFmtId="165" fontId="37" fillId="0" borderId="0"/>
    <xf numFmtId="40" fontId="19" fillId="0" borderId="0">
      <alignment vertical="center"/>
    </xf>
    <xf numFmtId="165" fontId="66" fillId="0" borderId="0"/>
    <xf numFmtId="40" fontId="19" fillId="0" borderId="0">
      <alignment vertical="center"/>
    </xf>
    <xf numFmtId="40" fontId="19" fillId="0" borderId="0"/>
    <xf numFmtId="40" fontId="19" fillId="0" borderId="0"/>
    <xf numFmtId="183" fontId="19" fillId="0" borderId="0">
      <alignment vertical="center"/>
    </xf>
    <xf numFmtId="0" fontId="45" fillId="0" borderId="0"/>
    <xf numFmtId="0" fontId="46" fillId="4" borderId="0"/>
    <xf numFmtId="0" fontId="47" fillId="0" borderId="3"/>
    <xf numFmtId="0" fontId="48" fillId="0" borderId="4"/>
    <xf numFmtId="0" fontId="49" fillId="0" borderId="5"/>
    <xf numFmtId="0" fontId="49" fillId="0" borderId="0"/>
    <xf numFmtId="0" fontId="50" fillId="7" borderId="1"/>
    <xf numFmtId="0" fontId="51" fillId="0" borderId="6"/>
    <xf numFmtId="0" fontId="52" fillId="22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23" borderId="7"/>
    <xf numFmtId="0" fontId="53" fillId="20" borderId="8"/>
    <xf numFmtId="9" fontId="19" fillId="0" borderId="0"/>
    <xf numFmtId="9" fontId="19" fillId="0" borderId="0">
      <alignment vertical="center"/>
    </xf>
    <xf numFmtId="0" fontId="54" fillId="0" borderId="0"/>
    <xf numFmtId="0" fontId="55" fillId="0" borderId="9"/>
    <xf numFmtId="0" fontId="56" fillId="0" borderId="0"/>
    <xf numFmtId="0" fontId="15" fillId="16" borderId="0">
      <alignment vertical="center"/>
    </xf>
    <xf numFmtId="0" fontId="15" fillId="16" borderId="0">
      <alignment vertical="center"/>
    </xf>
    <xf numFmtId="0" fontId="15" fillId="17" borderId="0">
      <alignment vertical="center"/>
    </xf>
    <xf numFmtId="0" fontId="15" fillId="17" borderId="0">
      <alignment vertical="center"/>
    </xf>
    <xf numFmtId="0" fontId="15" fillId="18" borderId="0">
      <alignment vertical="center"/>
    </xf>
    <xf numFmtId="0" fontId="15" fillId="18" borderId="0">
      <alignment vertical="center"/>
    </xf>
    <xf numFmtId="0" fontId="15" fillId="13" borderId="0">
      <alignment vertical="center"/>
    </xf>
    <xf numFmtId="0" fontId="15" fillId="13" borderId="0">
      <alignment vertical="center"/>
    </xf>
    <xf numFmtId="0" fontId="15" fillId="14" borderId="0">
      <alignment vertical="center"/>
    </xf>
    <xf numFmtId="0" fontId="15" fillId="14" borderId="0">
      <alignment vertical="center"/>
    </xf>
    <xf numFmtId="0" fontId="15" fillId="19" borderId="0">
      <alignment vertical="center"/>
    </xf>
    <xf numFmtId="0" fontId="15" fillId="19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21" borderId="2">
      <alignment vertical="center"/>
    </xf>
    <xf numFmtId="0" fontId="17" fillId="21" borderId="2">
      <alignment vertical="center"/>
    </xf>
    <xf numFmtId="0" fontId="18" fillId="22" borderId="0">
      <alignment vertical="center"/>
    </xf>
    <xf numFmtId="0" fontId="18" fillId="22" borderId="0">
      <alignment vertical="center"/>
    </xf>
    <xf numFmtId="9" fontId="19" fillId="0" borderId="0"/>
    <xf numFmtId="9" fontId="66" fillId="0" borderId="0">
      <alignment vertical="center"/>
    </xf>
    <xf numFmtId="9" fontId="19" fillId="0" borderId="0"/>
    <xf numFmtId="0" fontId="19" fillId="23" borderId="7">
      <alignment vertical="center"/>
    </xf>
    <xf numFmtId="0" fontId="19" fillId="23" borderId="7">
      <alignment vertical="center"/>
    </xf>
    <xf numFmtId="0" fontId="20" fillId="0" borderId="6">
      <alignment vertical="center"/>
    </xf>
    <xf numFmtId="0" fontId="20" fillId="0" borderId="6">
      <alignment vertical="center"/>
    </xf>
    <xf numFmtId="0" fontId="21" fillId="3" borderId="0">
      <alignment vertical="center"/>
    </xf>
    <xf numFmtId="0" fontId="21" fillId="3" borderId="0">
      <alignment vertical="center"/>
    </xf>
    <xf numFmtId="0" fontId="19" fillId="0" borderId="0"/>
    <xf numFmtId="0" fontId="19" fillId="0" borderId="0"/>
    <xf numFmtId="0" fontId="22" fillId="20" borderId="1">
      <alignment vertical="center"/>
    </xf>
    <xf numFmtId="0" fontId="22" fillId="20" borderId="1">
      <alignment vertical="center"/>
    </xf>
    <xf numFmtId="0" fontId="12" fillId="0" borderId="0">
      <alignment vertical="center"/>
    </xf>
    <xf numFmtId="0" fontId="12" fillId="0" borderId="0">
      <alignment vertical="center"/>
    </xf>
    <xf numFmtId="40" fontId="19" fillId="0" borderId="0"/>
    <xf numFmtId="40" fontId="19" fillId="0" borderId="0">
      <alignment vertical="center"/>
    </xf>
    <xf numFmtId="40" fontId="66" fillId="0" borderId="0">
      <alignment vertical="center"/>
    </xf>
    <xf numFmtId="38" fontId="19" fillId="0" borderId="0"/>
    <xf numFmtId="38" fontId="14" fillId="0" borderId="0">
      <alignment vertical="center"/>
    </xf>
    <xf numFmtId="38" fontId="19" fillId="0" borderId="0">
      <alignment vertical="center"/>
    </xf>
    <xf numFmtId="38" fontId="19" fillId="0" borderId="0"/>
    <xf numFmtId="38" fontId="66" fillId="0" borderId="0">
      <alignment vertical="center"/>
    </xf>
    <xf numFmtId="38" fontId="66" fillId="0" borderId="0">
      <alignment vertical="center"/>
    </xf>
    <xf numFmtId="38" fontId="66" fillId="0" borderId="0">
      <alignment vertical="center"/>
    </xf>
    <xf numFmtId="0" fontId="23" fillId="0" borderId="3">
      <alignment vertical="center"/>
    </xf>
    <xf numFmtId="0" fontId="23" fillId="0" borderId="3">
      <alignment vertical="center"/>
    </xf>
    <xf numFmtId="0" fontId="24" fillId="0" borderId="4">
      <alignment vertical="center"/>
    </xf>
    <xf numFmtId="0" fontId="24" fillId="0" borderId="4">
      <alignment vertical="center"/>
    </xf>
    <xf numFmtId="0" fontId="25" fillId="0" borderId="5">
      <alignment vertical="center"/>
    </xf>
    <xf numFmtId="0" fontId="25" fillId="0" borderId="5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9">
      <alignment vertical="center"/>
    </xf>
    <xf numFmtId="0" fontId="26" fillId="0" borderId="9">
      <alignment vertical="center"/>
    </xf>
    <xf numFmtId="0" fontId="27" fillId="20" borderId="8">
      <alignment vertical="center"/>
    </xf>
    <xf numFmtId="0" fontId="27" fillId="20" borderId="8">
      <alignment vertical="center"/>
    </xf>
    <xf numFmtId="0" fontId="58" fillId="0" borderId="0"/>
    <xf numFmtId="0" fontId="28" fillId="0" borderId="0">
      <alignment vertical="center"/>
    </xf>
    <xf numFmtId="0" fontId="28" fillId="0" borderId="0">
      <alignment vertical="center"/>
    </xf>
    <xf numFmtId="164" fontId="19" fillId="0" borderId="0"/>
    <xf numFmtId="164" fontId="19" fillId="0" borderId="0"/>
    <xf numFmtId="0" fontId="29" fillId="7" borderId="1">
      <alignment vertical="center"/>
    </xf>
    <xf numFmtId="0" fontId="29" fillId="7" borderId="1">
      <alignment vertical="center"/>
    </xf>
    <xf numFmtId="0" fontId="19" fillId="0" borderId="0">
      <alignment vertical="center"/>
    </xf>
    <xf numFmtId="0" fontId="19" fillId="0" borderId="0"/>
    <xf numFmtId="0" fontId="66" fillId="0" borderId="0">
      <alignment vertical="center"/>
    </xf>
    <xf numFmtId="0" fontId="19" fillId="0" borderId="0"/>
    <xf numFmtId="0" fontId="66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0" fillId="0" borderId="0"/>
    <xf numFmtId="0" fontId="31" fillId="4" borderId="0">
      <alignment vertical="center"/>
    </xf>
    <xf numFmtId="0" fontId="31" fillId="4" borderId="0">
      <alignment vertical="center"/>
    </xf>
  </cellStyleXfs>
  <cellXfs count="293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24" borderId="10" xfId="0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7" fillId="25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7" fillId="25" borderId="10" xfId="0" applyFont="1" applyFill="1" applyBorder="1" applyAlignment="1">
      <alignment horizontal="center" vertical="center"/>
    </xf>
    <xf numFmtId="49" fontId="7" fillId="25" borderId="12" xfId="0" applyNumberFormat="1" applyFont="1" applyFill="1" applyBorder="1" applyAlignment="1">
      <alignment horizontal="center" vertical="center" wrapText="1"/>
    </xf>
    <xf numFmtId="38" fontId="7" fillId="25" borderId="10" xfId="67" applyFont="1" applyFill="1" applyBorder="1" applyAlignment="1">
      <alignment horizontal="center" vertical="center"/>
    </xf>
    <xf numFmtId="0" fontId="7" fillId="25" borderId="12" xfId="0" applyFont="1" applyFill="1" applyBorder="1" applyAlignment="1">
      <alignment horizontal="center" vertical="center"/>
    </xf>
    <xf numFmtId="0" fontId="33" fillId="0" borderId="0" xfId="0" applyFont="1" applyProtection="1">
      <protection locked="0"/>
    </xf>
    <xf numFmtId="0" fontId="33" fillId="25" borderId="10" xfId="0" applyFont="1" applyFill="1" applyBorder="1" applyAlignment="1">
      <alignment horizontal="center"/>
    </xf>
    <xf numFmtId="0" fontId="35" fillId="26" borderId="0" xfId="0" applyFont="1" applyFill="1" applyProtection="1">
      <protection locked="0"/>
    </xf>
    <xf numFmtId="0" fontId="35" fillId="0" borderId="0" xfId="0" applyFont="1" applyProtection="1">
      <protection locked="0"/>
    </xf>
    <xf numFmtId="0" fontId="35" fillId="0" borderId="0" xfId="0" applyFont="1" applyAlignment="1" applyProtection="1">
      <alignment horizontal="left"/>
      <protection locked="0"/>
    </xf>
    <xf numFmtId="0" fontId="35" fillId="0" borderId="10" xfId="0" applyFont="1" applyBorder="1" applyAlignment="1">
      <alignment horizontal="center"/>
    </xf>
    <xf numFmtId="0" fontId="33" fillId="26" borderId="0" xfId="0" applyFont="1" applyFill="1" applyAlignment="1" applyProtection="1">
      <alignment horizontal="centerContinuous"/>
      <protection locked="0"/>
    </xf>
    <xf numFmtId="49" fontId="35" fillId="0" borderId="0" xfId="0" applyNumberFormat="1" applyFont="1"/>
    <xf numFmtId="0" fontId="35" fillId="0" borderId="13" xfId="0" applyFont="1" applyBorder="1" applyAlignment="1">
      <alignment horizontal="centerContinuous" vertical="center"/>
    </xf>
    <xf numFmtId="0" fontId="35" fillId="0" borderId="14" xfId="0" applyFont="1" applyBorder="1" applyAlignment="1">
      <alignment horizontal="distributed"/>
    </xf>
    <xf numFmtId="0" fontId="35" fillId="0" borderId="15" xfId="0" applyFont="1" applyBorder="1" applyAlignment="1">
      <alignment horizontal="distributed"/>
    </xf>
    <xf numFmtId="0" fontId="35" fillId="0" borderId="13" xfId="0" applyFont="1" applyBorder="1" applyAlignment="1">
      <alignment horizontal="distributed"/>
    </xf>
    <xf numFmtId="0" fontId="35" fillId="24" borderId="16" xfId="0" applyFont="1" applyFill="1" applyBorder="1" applyAlignment="1">
      <alignment horizontal="distributed"/>
    </xf>
    <xf numFmtId="0" fontId="35" fillId="24" borderId="17" xfId="0" applyFont="1" applyFill="1" applyBorder="1" applyAlignment="1">
      <alignment horizontal="distributed"/>
    </xf>
    <xf numFmtId="0" fontId="35" fillId="24" borderId="14" xfId="0" applyFont="1" applyFill="1" applyBorder="1" applyAlignment="1">
      <alignment horizontal="distributed"/>
    </xf>
    <xf numFmtId="0" fontId="35" fillId="24" borderId="13" xfId="0" applyFont="1" applyFill="1" applyBorder="1" applyAlignment="1">
      <alignment horizontal="distributed"/>
    </xf>
    <xf numFmtId="0" fontId="35" fillId="0" borderId="18" xfId="0" applyFont="1" applyBorder="1" applyAlignment="1">
      <alignment horizontal="distributed"/>
    </xf>
    <xf numFmtId="0" fontId="35" fillId="0" borderId="14" xfId="0" applyFont="1" applyBorder="1"/>
    <xf numFmtId="0" fontId="35" fillId="0" borderId="19" xfId="0" applyFont="1" applyBorder="1"/>
    <xf numFmtId="0" fontId="35" fillId="0" borderId="20" xfId="0" applyFont="1" applyBorder="1"/>
    <xf numFmtId="0" fontId="35" fillId="0" borderId="20" xfId="0" applyFont="1" applyBorder="1" applyAlignment="1">
      <alignment horizontal="left"/>
    </xf>
    <xf numFmtId="0" fontId="35" fillId="0" borderId="14" xfId="0" applyFont="1" applyBorder="1" applyAlignment="1">
      <alignment horizontal="left"/>
    </xf>
    <xf numFmtId="0" fontId="35" fillId="0" borderId="19" xfId="0" applyFont="1" applyBorder="1" applyAlignment="1">
      <alignment horizontal="left"/>
    </xf>
    <xf numFmtId="0" fontId="35" fillId="0" borderId="17" xfId="0" applyFont="1" applyBorder="1" applyAlignment="1">
      <alignment horizontal="left"/>
    </xf>
    <xf numFmtId="0" fontId="35" fillId="0" borderId="21" xfId="0" applyFont="1" applyBorder="1" applyAlignment="1">
      <alignment horizontal="left"/>
    </xf>
    <xf numFmtId="0" fontId="35" fillId="0" borderId="21" xfId="0" applyFont="1" applyBorder="1" applyAlignment="1">
      <alignment horizontal="distributed"/>
    </xf>
    <xf numFmtId="0" fontId="35" fillId="0" borderId="0" xfId="0" applyFont="1" applyAlignment="1" applyProtection="1">
      <alignment horizontal="center"/>
      <protection locked="0"/>
    </xf>
    <xf numFmtId="0" fontId="35" fillId="0" borderId="0" xfId="0" applyFont="1" applyAlignment="1">
      <alignment horizontal="distributed"/>
    </xf>
    <xf numFmtId="0" fontId="35" fillId="0" borderId="16" xfId="0" applyFont="1" applyBorder="1" applyAlignment="1">
      <alignment horizontal="left"/>
    </xf>
    <xf numFmtId="166" fontId="35" fillId="0" borderId="19" xfId="0" applyNumberFormat="1" applyFont="1" applyBorder="1" applyAlignment="1">
      <alignment horizontal="left"/>
    </xf>
    <xf numFmtId="166" fontId="35" fillId="0" borderId="20" xfId="0" applyNumberFormat="1" applyFont="1" applyBorder="1" applyAlignment="1">
      <alignment horizontal="left"/>
    </xf>
    <xf numFmtId="0" fontId="19" fillId="0" borderId="0" xfId="129"/>
    <xf numFmtId="49" fontId="36" fillId="0" borderId="0" xfId="0" applyNumberFormat="1" applyFont="1" applyAlignment="1">
      <alignment horizontal="right"/>
    </xf>
    <xf numFmtId="167" fontId="4" fillId="0" borderId="0" xfId="67" applyNumberFormat="1" applyFont="1"/>
    <xf numFmtId="0" fontId="35" fillId="0" borderId="13" xfId="0" applyFont="1" applyBorder="1" applyAlignment="1" applyProtection="1">
      <alignment horizontal="center" wrapText="1"/>
      <protection locked="0"/>
    </xf>
    <xf numFmtId="0" fontId="10" fillId="26" borderId="0" xfId="0" applyFont="1" applyFill="1" applyProtection="1">
      <protection locked="0"/>
    </xf>
    <xf numFmtId="0" fontId="38" fillId="0" borderId="0" xfId="129" applyFont="1"/>
    <xf numFmtId="0" fontId="39" fillId="0" borderId="0" xfId="129" applyFont="1"/>
    <xf numFmtId="38" fontId="19" fillId="0" borderId="0" xfId="67" applyAlignment="1">
      <alignment horizontal="right"/>
    </xf>
    <xf numFmtId="0" fontId="19" fillId="0" borderId="22" xfId="129" applyBorder="1"/>
    <xf numFmtId="38" fontId="19" fillId="0" borderId="0" xfId="67"/>
    <xf numFmtId="0" fontId="35" fillId="0" borderId="13" xfId="0" applyFont="1" applyBorder="1" applyAlignment="1">
      <alignment horizontal="left"/>
    </xf>
    <xf numFmtId="0" fontId="35" fillId="27" borderId="21" xfId="0" applyFont="1" applyFill="1" applyBorder="1" applyAlignment="1">
      <alignment horizontal="distributed"/>
    </xf>
    <xf numFmtId="0" fontId="35" fillId="27" borderId="13" xfId="0" applyFont="1" applyFill="1" applyBorder="1" applyAlignment="1">
      <alignment horizontal="distributed"/>
    </xf>
    <xf numFmtId="0" fontId="4" fillId="24" borderId="23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19" fillId="0" borderId="24" xfId="129" applyBorder="1" applyProtection="1">
      <protection locked="0"/>
    </xf>
    <xf numFmtId="0" fontId="19" fillId="0" borderId="24" xfId="129" applyBorder="1" applyAlignment="1" applyProtection="1">
      <alignment horizontal="center"/>
      <protection locked="0"/>
    </xf>
    <xf numFmtId="38" fontId="40" fillId="28" borderId="25" xfId="170" applyNumberFormat="1" applyFont="1" applyFill="1" applyBorder="1" applyProtection="1">
      <alignment vertical="center"/>
      <protection locked="0"/>
    </xf>
    <xf numFmtId="0" fontId="19" fillId="0" borderId="26" xfId="129" applyBorder="1" applyProtection="1">
      <protection locked="0"/>
    </xf>
    <xf numFmtId="168" fontId="4" fillId="0" borderId="0" xfId="67" applyNumberFormat="1" applyFont="1"/>
    <xf numFmtId="169" fontId="35" fillId="0" borderId="13" xfId="0" applyNumberFormat="1" applyFont="1" applyBorder="1" applyAlignment="1" applyProtection="1">
      <alignment horizontal="center" wrapText="1"/>
      <protection locked="0"/>
    </xf>
    <xf numFmtId="168" fontId="35" fillId="0" borderId="0" xfId="67" applyNumberFormat="1" applyFont="1"/>
    <xf numFmtId="38" fontId="35" fillId="0" borderId="0" xfId="0" applyNumberFormat="1" applyFont="1" applyProtection="1">
      <protection locked="0"/>
    </xf>
    <xf numFmtId="170" fontId="35" fillId="0" borderId="0" xfId="0" applyNumberFormat="1" applyFont="1" applyProtection="1">
      <protection locked="0"/>
    </xf>
    <xf numFmtId="171" fontId="35" fillId="0" borderId="0" xfId="0" applyNumberFormat="1" applyFont="1" applyProtection="1">
      <protection locked="0"/>
    </xf>
    <xf numFmtId="4" fontId="35" fillId="0" borderId="0" xfId="0" applyNumberFormat="1" applyFont="1" applyProtection="1">
      <protection locked="0"/>
    </xf>
    <xf numFmtId="172" fontId="35" fillId="0" borderId="0" xfId="0" applyNumberFormat="1" applyFont="1" applyProtection="1">
      <protection locked="0"/>
    </xf>
    <xf numFmtId="173" fontId="35" fillId="0" borderId="0" xfId="0" applyNumberFormat="1" applyFont="1" applyProtection="1">
      <protection locked="0"/>
    </xf>
    <xf numFmtId="174" fontId="32" fillId="29" borderId="27" xfId="169" applyNumberFormat="1" applyFont="1" applyFill="1" applyBorder="1" applyAlignment="1">
      <alignment horizontal="center" vertical="center"/>
    </xf>
    <xf numFmtId="49" fontId="32" fillId="29" borderId="27" xfId="169" applyNumberFormat="1" applyFont="1" applyFill="1" applyBorder="1" applyAlignment="1">
      <alignment horizontal="center" vertical="center"/>
    </xf>
    <xf numFmtId="49" fontId="32" fillId="30" borderId="28" xfId="169" applyNumberFormat="1" applyFont="1" applyFill="1" applyBorder="1" applyAlignment="1">
      <alignment horizontal="center" vertical="center"/>
    </xf>
    <xf numFmtId="49" fontId="32" fillId="30" borderId="29" xfId="169" applyNumberFormat="1" applyFont="1" applyFill="1" applyBorder="1" applyAlignment="1">
      <alignment horizontal="center" vertical="center"/>
    </xf>
    <xf numFmtId="49" fontId="4" fillId="0" borderId="0" xfId="163" applyNumberFormat="1" applyFont="1">
      <alignment vertical="center"/>
    </xf>
    <xf numFmtId="38" fontId="67" fillId="0" borderId="0" xfId="67" applyFont="1" applyAlignment="1">
      <alignment horizontal="center" vertical="center"/>
    </xf>
    <xf numFmtId="167" fontId="67" fillId="0" borderId="0" xfId="67" applyNumberFormat="1" applyFont="1" applyAlignment="1">
      <alignment horizontal="center" vertical="center"/>
    </xf>
    <xf numFmtId="169" fontId="68" fillId="25" borderId="10" xfId="67" applyNumberFormat="1" applyFont="1" applyFill="1" applyBorder="1" applyAlignment="1">
      <alignment horizontal="center" vertical="center"/>
    </xf>
    <xf numFmtId="169" fontId="68" fillId="25" borderId="30" xfId="67" applyNumberFormat="1" applyFont="1" applyFill="1" applyBorder="1" applyAlignment="1">
      <alignment horizontal="center" vertical="center"/>
    </xf>
    <xf numFmtId="38" fontId="68" fillId="25" borderId="11" xfId="67" applyFont="1" applyFill="1" applyBorder="1" applyAlignment="1">
      <alignment horizontal="center" vertical="center"/>
    </xf>
    <xf numFmtId="38" fontId="68" fillId="25" borderId="12" xfId="67" applyFont="1" applyFill="1" applyBorder="1" applyAlignment="1">
      <alignment horizontal="center" vertical="center"/>
    </xf>
    <xf numFmtId="167" fontId="67" fillId="0" borderId="0" xfId="68" applyNumberFormat="1" applyFont="1" applyAlignment="1">
      <alignment horizontal="center" vertical="center"/>
    </xf>
    <xf numFmtId="169" fontId="69" fillId="0" borderId="0" xfId="0" applyNumberFormat="1" applyFont="1"/>
    <xf numFmtId="0" fontId="0" fillId="0" borderId="0" xfId="129" applyFont="1"/>
    <xf numFmtId="40" fontId="67" fillId="0" borderId="0" xfId="66" applyFont="1" applyAlignment="1">
      <alignment horizontal="center" vertical="center"/>
    </xf>
    <xf numFmtId="0" fontId="33" fillId="26" borderId="0" xfId="0" applyFont="1" applyFill="1" applyProtection="1">
      <protection locked="0"/>
    </xf>
    <xf numFmtId="175" fontId="57" fillId="31" borderId="0" xfId="0" applyNumberFormat="1" applyFont="1" applyFill="1" applyAlignment="1" applyProtection="1">
      <alignment horizontal="centerContinuous"/>
      <protection locked="0"/>
    </xf>
    <xf numFmtId="176" fontId="10" fillId="31" borderId="0" xfId="0" applyNumberFormat="1" applyFont="1" applyFill="1" applyAlignment="1" applyProtection="1">
      <alignment horizontal="centerContinuous"/>
      <protection locked="0"/>
    </xf>
    <xf numFmtId="168" fontId="59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Alignment="1" applyProtection="1">
      <alignment horizontal="centerContinuous"/>
      <protection locked="0"/>
    </xf>
    <xf numFmtId="168" fontId="34" fillId="26" borderId="0" xfId="0" applyNumberFormat="1" applyFont="1" applyFill="1" applyAlignment="1">
      <alignment horizontal="centerContinuous"/>
    </xf>
    <xf numFmtId="49" fontId="11" fillId="0" borderId="0" xfId="0" applyNumberFormat="1" applyFont="1"/>
    <xf numFmtId="0" fontId="13" fillId="0" borderId="0" xfId="0" applyFont="1"/>
    <xf numFmtId="177" fontId="10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4" fillId="0" borderId="0" xfId="163" applyFont="1" applyAlignment="1">
      <alignment horizontal="left" vertical="center"/>
    </xf>
    <xf numFmtId="174" fontId="60" fillId="0" borderId="0" xfId="169" applyNumberFormat="1" applyFont="1" applyAlignment="1">
      <alignment horizontal="center" vertical="center"/>
    </xf>
    <xf numFmtId="49" fontId="60" fillId="0" borderId="0" xfId="169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38" fontId="9" fillId="0" borderId="0" xfId="67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70" fillId="0" borderId="0" xfId="0" applyNumberFormat="1" applyFont="1"/>
    <xf numFmtId="0" fontId="71" fillId="0" borderId="0" xfId="0" applyFont="1"/>
    <xf numFmtId="38" fontId="71" fillId="0" borderId="0" xfId="67" applyFont="1" applyAlignment="1">
      <alignment horizontal="center" vertical="center"/>
    </xf>
    <xf numFmtId="38" fontId="71" fillId="0" borderId="0" xfId="67" applyFont="1"/>
    <xf numFmtId="0" fontId="60" fillId="0" borderId="0" xfId="169" applyFont="1" applyAlignment="1">
      <alignment horizontal="center" vertical="center"/>
    </xf>
    <xf numFmtId="0" fontId="61" fillId="32" borderId="0" xfId="0" applyFont="1" applyFill="1"/>
    <xf numFmtId="178" fontId="67" fillId="0" borderId="0" xfId="67" applyNumberFormat="1" applyFont="1" applyAlignment="1">
      <alignment horizontal="center" vertical="center"/>
    </xf>
    <xf numFmtId="178" fontId="67" fillId="0" borderId="0" xfId="66" applyNumberFormat="1" applyFont="1" applyAlignment="1">
      <alignment horizontal="center" vertical="center"/>
    </xf>
    <xf numFmtId="178" fontId="4" fillId="0" borderId="0" xfId="67" applyNumberFormat="1" applyFont="1"/>
    <xf numFmtId="38" fontId="35" fillId="0" borderId="0" xfId="68" applyFont="1" applyProtection="1">
      <protection locked="0"/>
    </xf>
    <xf numFmtId="40" fontId="35" fillId="0" borderId="31" xfId="68" applyNumberFormat="1" applyFont="1" applyBorder="1"/>
    <xf numFmtId="40" fontId="35" fillId="24" borderId="16" xfId="68" applyNumberFormat="1" applyFont="1" applyFill="1" applyBorder="1"/>
    <xf numFmtId="40" fontId="35" fillId="24" borderId="17" xfId="68" applyNumberFormat="1" applyFont="1" applyFill="1" applyBorder="1"/>
    <xf numFmtId="40" fontId="35" fillId="24" borderId="13" xfId="68" applyNumberFormat="1" applyFont="1" applyFill="1" applyBorder="1" applyProtection="1">
      <protection locked="0"/>
    </xf>
    <xf numFmtId="40" fontId="35" fillId="0" borderId="13" xfId="68" applyNumberFormat="1" applyFont="1" applyBorder="1"/>
    <xf numFmtId="40" fontId="35" fillId="24" borderId="13" xfId="68" applyNumberFormat="1" applyFont="1" applyFill="1" applyBorder="1"/>
    <xf numFmtId="40" fontId="35" fillId="0" borderId="19" xfId="68" applyNumberFormat="1" applyFont="1" applyBorder="1" applyProtection="1">
      <protection locked="0"/>
    </xf>
    <xf numFmtId="40" fontId="35" fillId="0" borderId="20" xfId="68" applyNumberFormat="1" applyFont="1" applyBorder="1" applyProtection="1">
      <protection locked="0"/>
    </xf>
    <xf numFmtId="40" fontId="35" fillId="0" borderId="16" xfId="68" applyNumberFormat="1" applyFont="1" applyBorder="1"/>
    <xf numFmtId="40" fontId="35" fillId="0" borderId="19" xfId="68" applyNumberFormat="1" applyFont="1" applyBorder="1"/>
    <xf numFmtId="40" fontId="35" fillId="0" borderId="20" xfId="68" applyNumberFormat="1" applyFont="1" applyBorder="1"/>
    <xf numFmtId="40" fontId="35" fillId="0" borderId="32" xfId="68" applyNumberFormat="1" applyFont="1" applyBorder="1" applyProtection="1">
      <protection locked="0"/>
    </xf>
    <xf numFmtId="40" fontId="35" fillId="0" borderId="17" xfId="68" applyNumberFormat="1" applyFont="1" applyBorder="1" applyProtection="1">
      <protection locked="0"/>
    </xf>
    <xf numFmtId="40" fontId="35" fillId="0" borderId="21" xfId="68" applyNumberFormat="1" applyFont="1" applyBorder="1"/>
    <xf numFmtId="40" fontId="35" fillId="24" borderId="13" xfId="72" applyFont="1" applyFill="1" applyBorder="1"/>
    <xf numFmtId="40" fontId="35" fillId="0" borderId="21" xfId="72" applyFont="1" applyBorder="1"/>
    <xf numFmtId="40" fontId="35" fillId="27" borderId="13" xfId="68" applyNumberFormat="1" applyFont="1" applyFill="1" applyBorder="1"/>
    <xf numFmtId="40" fontId="35" fillId="0" borderId="0" xfId="0" applyNumberFormat="1" applyFont="1" applyProtection="1">
      <protection locked="0"/>
    </xf>
    <xf numFmtId="40" fontId="35" fillId="0" borderId="0" xfId="68" applyNumberFormat="1" applyFont="1" applyProtection="1">
      <protection locked="0"/>
    </xf>
    <xf numFmtId="38" fontId="35" fillId="0" borderId="13" xfId="68" applyFont="1" applyBorder="1"/>
    <xf numFmtId="38" fontId="35" fillId="27" borderId="13" xfId="68" applyFont="1" applyFill="1" applyBorder="1"/>
    <xf numFmtId="38" fontId="35" fillId="0" borderId="31" xfId="68" applyFont="1" applyBorder="1"/>
    <xf numFmtId="38" fontId="35" fillId="24" borderId="16" xfId="68" applyFont="1" applyFill="1" applyBorder="1"/>
    <xf numFmtId="38" fontId="35" fillId="24" borderId="17" xfId="68" applyFont="1" applyFill="1" applyBorder="1"/>
    <xf numFmtId="38" fontId="35" fillId="24" borderId="13" xfId="68" applyFont="1" applyFill="1" applyBorder="1" applyProtection="1">
      <protection locked="0"/>
    </xf>
    <xf numFmtId="38" fontId="35" fillId="24" borderId="13" xfId="68" applyFont="1" applyFill="1" applyBorder="1"/>
    <xf numFmtId="38" fontId="35" fillId="0" borderId="19" xfId="68" applyFont="1" applyBorder="1" applyProtection="1">
      <protection locked="0"/>
    </xf>
    <xf numFmtId="38" fontId="35" fillId="0" borderId="20" xfId="68" applyFont="1" applyBorder="1" applyProtection="1">
      <protection locked="0"/>
    </xf>
    <xf numFmtId="38" fontId="35" fillId="0" borderId="19" xfId="68" applyFont="1" applyBorder="1"/>
    <xf numFmtId="38" fontId="35" fillId="0" borderId="20" xfId="68" applyFont="1" applyBorder="1"/>
    <xf numFmtId="179" fontId="35" fillId="0" borderId="13" xfId="68" applyNumberFormat="1" applyFont="1" applyBorder="1"/>
    <xf numFmtId="179" fontId="35" fillId="0" borderId="19" xfId="68" applyNumberFormat="1" applyFont="1" applyBorder="1" applyProtection="1">
      <protection locked="0"/>
    </xf>
    <xf numFmtId="179" fontId="35" fillId="0" borderId="20" xfId="68" applyNumberFormat="1" applyFont="1" applyBorder="1" applyProtection="1">
      <protection locked="0"/>
    </xf>
    <xf numFmtId="179" fontId="35" fillId="0" borderId="32" xfId="68" applyNumberFormat="1" applyFont="1" applyBorder="1" applyProtection="1">
      <protection locked="0"/>
    </xf>
    <xf numFmtId="179" fontId="35" fillId="0" borderId="17" xfId="68" applyNumberFormat="1" applyFont="1" applyBorder="1" applyProtection="1">
      <protection locked="0"/>
    </xf>
    <xf numFmtId="179" fontId="35" fillId="0" borderId="21" xfId="68" applyNumberFormat="1" applyFont="1" applyBorder="1"/>
    <xf numFmtId="179" fontId="35" fillId="24" borderId="13" xfId="68" applyNumberFormat="1" applyFont="1" applyFill="1" applyBorder="1"/>
    <xf numFmtId="179" fontId="35" fillId="27" borderId="13" xfId="68" applyNumberFormat="1" applyFont="1" applyFill="1" applyBorder="1"/>
    <xf numFmtId="179" fontId="35" fillId="0" borderId="0" xfId="0" applyNumberFormat="1" applyFont="1" applyProtection="1">
      <protection locked="0"/>
    </xf>
    <xf numFmtId="179" fontId="35" fillId="0" borderId="0" xfId="68" applyNumberFormat="1" applyFont="1" applyProtection="1">
      <protection locked="0"/>
    </xf>
    <xf numFmtId="1" fontId="4" fillId="0" borderId="0" xfId="0" applyNumberFormat="1" applyFont="1" applyAlignment="1">
      <alignment vertical="center"/>
    </xf>
    <xf numFmtId="1" fontId="7" fillId="25" borderId="10" xfId="0" applyNumberFormat="1" applyFont="1" applyFill="1" applyBorder="1" applyAlignment="1">
      <alignment horizontal="center" vertical="center" wrapText="1"/>
    </xf>
    <xf numFmtId="1" fontId="4" fillId="30" borderId="10" xfId="0" applyNumberFormat="1" applyFont="1" applyFill="1" applyBorder="1" applyAlignment="1" applyProtection="1">
      <alignment horizontal="center"/>
      <protection locked="0"/>
    </xf>
    <xf numFmtId="1" fontId="71" fillId="0" borderId="0" xfId="0" applyNumberFormat="1" applyFont="1"/>
    <xf numFmtId="1" fontId="7" fillId="25" borderId="30" xfId="0" applyNumberFormat="1" applyFont="1" applyFill="1" applyBorder="1" applyAlignment="1">
      <alignment horizontal="center" vertical="center" wrapText="1"/>
    </xf>
    <xf numFmtId="1" fontId="4" fillId="33" borderId="34" xfId="0" applyNumberFormat="1" applyFont="1" applyFill="1" applyBorder="1" applyAlignment="1" applyProtection="1">
      <alignment horizontal="center"/>
      <protection locked="0"/>
    </xf>
    <xf numFmtId="1" fontId="4" fillId="0" borderId="34" xfId="0" applyNumberFormat="1" applyFont="1" applyBorder="1" applyAlignment="1" applyProtection="1">
      <alignment horizontal="center"/>
      <protection locked="0"/>
    </xf>
    <xf numFmtId="1" fontId="4" fillId="0" borderId="0" xfId="0" applyNumberFormat="1" applyFont="1"/>
    <xf numFmtId="40" fontId="2" fillId="33" borderId="0" xfId="0" applyNumberFormat="1" applyFont="1" applyFill="1"/>
    <xf numFmtId="40" fontId="4" fillId="0" borderId="19" xfId="0" applyNumberFormat="1" applyFont="1" applyBorder="1"/>
    <xf numFmtId="40" fontId="72" fillId="0" borderId="35" xfId="0" applyNumberFormat="1" applyFont="1" applyBorder="1"/>
    <xf numFmtId="40" fontId="4" fillId="0" borderId="35" xfId="0" applyNumberFormat="1" applyFont="1" applyBorder="1" applyAlignment="1">
      <alignment horizontal="center"/>
    </xf>
    <xf numFmtId="40" fontId="67" fillId="34" borderId="36" xfId="68" applyNumberFormat="1" applyFont="1" applyFill="1" applyBorder="1" applyAlignment="1" applyProtection="1">
      <alignment horizontal="right" vertical="center"/>
      <protection locked="0"/>
    </xf>
    <xf numFmtId="40" fontId="4" fillId="34" borderId="36" xfId="67" applyNumberFormat="1" applyFont="1" applyFill="1" applyBorder="1" applyProtection="1">
      <protection locked="0"/>
    </xf>
    <xf numFmtId="40" fontId="4" fillId="34" borderId="36" xfId="0" applyNumberFormat="1" applyFont="1" applyFill="1" applyBorder="1" applyAlignment="1" applyProtection="1">
      <alignment wrapText="1"/>
      <protection locked="0"/>
    </xf>
    <xf numFmtId="40" fontId="4" fillId="0" borderId="36" xfId="0" applyNumberFormat="1" applyFont="1" applyBorder="1" applyAlignment="1" applyProtection="1">
      <alignment wrapText="1"/>
      <protection locked="0"/>
    </xf>
    <xf numFmtId="40" fontId="73" fillId="0" borderId="0" xfId="0" applyNumberFormat="1" applyFont="1"/>
    <xf numFmtId="40" fontId="4" fillId="0" borderId="0" xfId="0" applyNumberFormat="1" applyFont="1"/>
    <xf numFmtId="40" fontId="72" fillId="0" borderId="37" xfId="0" applyNumberFormat="1" applyFont="1" applyBorder="1"/>
    <xf numFmtId="40" fontId="4" fillId="0" borderId="37" xfId="0" applyNumberFormat="1" applyFont="1" applyBorder="1" applyAlignment="1">
      <alignment horizontal="center"/>
    </xf>
    <xf numFmtId="40" fontId="67" fillId="34" borderId="38" xfId="68" applyNumberFormat="1" applyFont="1" applyFill="1" applyBorder="1" applyAlignment="1" applyProtection="1">
      <alignment horizontal="right" vertical="center"/>
      <protection locked="0"/>
    </xf>
    <xf numFmtId="40" fontId="4" fillId="34" borderId="39" xfId="67" applyNumberFormat="1" applyFont="1" applyFill="1" applyBorder="1" applyProtection="1">
      <protection locked="0"/>
    </xf>
    <xf numFmtId="40" fontId="4" fillId="34" borderId="39" xfId="0" applyNumberFormat="1" applyFont="1" applyFill="1" applyBorder="1" applyAlignment="1" applyProtection="1">
      <alignment wrapText="1"/>
      <protection locked="0"/>
    </xf>
    <xf numFmtId="40" fontId="4" fillId="0" borderId="39" xfId="0" applyNumberFormat="1" applyFont="1" applyBorder="1" applyAlignment="1" applyProtection="1">
      <alignment wrapText="1"/>
      <protection locked="0"/>
    </xf>
    <xf numFmtId="40" fontId="8" fillId="0" borderId="40" xfId="0" applyNumberFormat="1" applyFont="1" applyBorder="1"/>
    <xf numFmtId="40" fontId="4" fillId="0" borderId="40" xfId="0" applyNumberFormat="1" applyFont="1" applyBorder="1" applyAlignment="1">
      <alignment horizontal="center"/>
    </xf>
    <xf numFmtId="40" fontId="4" fillId="34" borderId="38" xfId="67" applyNumberFormat="1" applyFont="1" applyFill="1" applyBorder="1" applyProtection="1">
      <protection locked="0"/>
    </xf>
    <xf numFmtId="40" fontId="4" fillId="34" borderId="38" xfId="0" applyNumberFormat="1" applyFont="1" applyFill="1" applyBorder="1" applyProtection="1">
      <protection locked="0"/>
    </xf>
    <xf numFmtId="40" fontId="4" fillId="0" borderId="38" xfId="0" applyNumberFormat="1" applyFont="1" applyBorder="1" applyProtection="1">
      <protection locked="0"/>
    </xf>
    <xf numFmtId="40" fontId="2" fillId="0" borderId="0" xfId="0" applyNumberFormat="1" applyFont="1"/>
    <xf numFmtId="40" fontId="4" fillId="0" borderId="41" xfId="0" applyNumberFormat="1" applyFont="1" applyBorder="1" applyAlignment="1">
      <alignment horizontal="center"/>
    </xf>
    <xf numFmtId="40" fontId="4" fillId="34" borderId="42" xfId="67" applyNumberFormat="1" applyFont="1" applyFill="1" applyBorder="1" applyProtection="1">
      <protection locked="0"/>
    </xf>
    <xf numFmtId="40" fontId="4" fillId="34" borderId="42" xfId="0" applyNumberFormat="1" applyFont="1" applyFill="1" applyBorder="1" applyProtection="1">
      <protection locked="0"/>
    </xf>
    <xf numFmtId="40" fontId="4" fillId="0" borderId="42" xfId="0" applyNumberFormat="1" applyFont="1" applyBorder="1" applyProtection="1">
      <protection locked="0"/>
    </xf>
    <xf numFmtId="40" fontId="8" fillId="32" borderId="32" xfId="0" applyNumberFormat="1" applyFont="1" applyFill="1" applyBorder="1"/>
    <xf numFmtId="40" fontId="8" fillId="32" borderId="41" xfId="0" applyNumberFormat="1" applyFont="1" applyFill="1" applyBorder="1"/>
    <xf numFmtId="40" fontId="4" fillId="32" borderId="41" xfId="0" applyNumberFormat="1" applyFont="1" applyFill="1" applyBorder="1" applyAlignment="1">
      <alignment horizontal="center"/>
    </xf>
    <xf numFmtId="40" fontId="67" fillId="32" borderId="38" xfId="68" applyNumberFormat="1" applyFont="1" applyFill="1" applyBorder="1" applyAlignment="1" applyProtection="1">
      <alignment horizontal="right" vertical="center"/>
      <protection locked="0"/>
    </xf>
    <xf numFmtId="40" fontId="4" fillId="32" borderId="42" xfId="67" applyNumberFormat="1" applyFont="1" applyFill="1" applyBorder="1" applyProtection="1">
      <protection locked="0"/>
    </xf>
    <xf numFmtId="40" fontId="4" fillId="32" borderId="42" xfId="0" applyNumberFormat="1" applyFont="1" applyFill="1" applyBorder="1" applyProtection="1">
      <protection locked="0"/>
    </xf>
    <xf numFmtId="40" fontId="72" fillId="0" borderId="41" xfId="0" applyNumberFormat="1" applyFont="1" applyBorder="1"/>
    <xf numFmtId="40" fontId="67" fillId="34" borderId="38" xfId="96" applyNumberFormat="1" applyFont="1" applyFill="1" applyBorder="1" applyAlignment="1" applyProtection="1">
      <alignment horizontal="right" vertical="center"/>
      <protection locked="0"/>
    </xf>
    <xf numFmtId="40" fontId="4" fillId="32" borderId="43" xfId="0" applyNumberFormat="1" applyFont="1" applyFill="1" applyBorder="1" applyAlignment="1">
      <alignment horizontal="center"/>
    </xf>
    <xf numFmtId="40" fontId="67" fillId="32" borderId="36" xfId="68" applyNumberFormat="1" applyFont="1" applyFill="1" applyBorder="1" applyAlignment="1" applyProtection="1">
      <alignment horizontal="right"/>
      <protection locked="0"/>
    </xf>
    <xf numFmtId="40" fontId="4" fillId="32" borderId="39" xfId="67" applyNumberFormat="1" applyFont="1" applyFill="1" applyBorder="1" applyProtection="1">
      <protection locked="0"/>
    </xf>
    <xf numFmtId="40" fontId="4" fillId="32" borderId="39" xfId="0" applyNumberFormat="1" applyFont="1" applyFill="1" applyBorder="1" applyProtection="1">
      <protection locked="0"/>
    </xf>
    <xf numFmtId="40" fontId="4" fillId="0" borderId="39" xfId="0" applyNumberFormat="1" applyFont="1" applyBorder="1" applyProtection="1">
      <protection locked="0"/>
    </xf>
    <xf numFmtId="40" fontId="73" fillId="0" borderId="13" xfId="0" applyNumberFormat="1" applyFont="1" applyBorder="1"/>
    <xf numFmtId="40" fontId="4" fillId="0" borderId="13" xfId="0" applyNumberFormat="1" applyFont="1" applyBorder="1"/>
    <xf numFmtId="40" fontId="4" fillId="33" borderId="0" xfId="0" applyNumberFormat="1" applyFont="1" applyFill="1"/>
    <xf numFmtId="40" fontId="4" fillId="32" borderId="40" xfId="0" applyNumberFormat="1" applyFont="1" applyFill="1" applyBorder="1" applyAlignment="1">
      <alignment horizontal="center"/>
    </xf>
    <xf numFmtId="40" fontId="67" fillId="32" borderId="38" xfId="68" applyNumberFormat="1" applyFont="1" applyFill="1" applyBorder="1" applyAlignment="1" applyProtection="1">
      <alignment horizontal="right"/>
      <protection locked="0"/>
    </xf>
    <xf numFmtId="40" fontId="4" fillId="32" borderId="38" xfId="0" applyNumberFormat="1" applyFont="1" applyFill="1" applyBorder="1" applyProtection="1">
      <protection locked="0"/>
    </xf>
    <xf numFmtId="40" fontId="4" fillId="32" borderId="44" xfId="0" applyNumberFormat="1" applyFont="1" applyFill="1" applyBorder="1" applyAlignment="1">
      <alignment horizontal="center"/>
    </xf>
    <xf numFmtId="40" fontId="67" fillId="32" borderId="45" xfId="68" applyNumberFormat="1" applyFont="1" applyFill="1" applyBorder="1" applyAlignment="1" applyProtection="1">
      <alignment horizontal="right"/>
      <protection locked="0"/>
    </xf>
    <xf numFmtId="40" fontId="4" fillId="32" borderId="45" xfId="67" applyNumberFormat="1" applyFont="1" applyFill="1" applyBorder="1" applyProtection="1">
      <protection locked="0"/>
    </xf>
    <xf numFmtId="40" fontId="4" fillId="32" borderId="45" xfId="0" applyNumberFormat="1" applyFont="1" applyFill="1" applyBorder="1" applyProtection="1">
      <protection locked="0"/>
    </xf>
    <xf numFmtId="40" fontId="4" fillId="0" borderId="45" xfId="0" applyNumberFormat="1" applyFont="1" applyBorder="1" applyProtection="1">
      <protection locked="0"/>
    </xf>
    <xf numFmtId="40" fontId="4" fillId="0" borderId="37" xfId="0" applyNumberFormat="1" applyFont="1" applyBorder="1"/>
    <xf numFmtId="40" fontId="67" fillId="34" borderId="38" xfId="68" applyNumberFormat="1" applyFont="1" applyFill="1" applyBorder="1" applyAlignment="1" applyProtection="1">
      <alignment horizontal="right"/>
      <protection locked="0"/>
    </xf>
    <xf numFmtId="40" fontId="67" fillId="34" borderId="38" xfId="66" applyFont="1" applyFill="1" applyBorder="1" applyAlignment="1" applyProtection="1">
      <alignment horizontal="right"/>
      <protection locked="0"/>
    </xf>
    <xf numFmtId="40" fontId="4" fillId="0" borderId="20" xfId="0" applyNumberFormat="1" applyFont="1" applyBorder="1"/>
    <xf numFmtId="40" fontId="4" fillId="0" borderId="40" xfId="0" applyNumberFormat="1" applyFont="1" applyBorder="1"/>
    <xf numFmtId="40" fontId="4" fillId="0" borderId="46" xfId="0" applyNumberFormat="1" applyFont="1" applyBorder="1" applyAlignment="1">
      <alignment horizontal="center"/>
    </xf>
    <xf numFmtId="40" fontId="4" fillId="33" borderId="40" xfId="0" applyNumberFormat="1" applyFont="1" applyFill="1" applyBorder="1" applyAlignment="1">
      <alignment horizontal="center"/>
    </xf>
    <xf numFmtId="40" fontId="74" fillId="0" borderId="0" xfId="0" applyNumberFormat="1" applyFont="1"/>
    <xf numFmtId="40" fontId="67" fillId="34" borderId="38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7" fontId="69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71" fillId="0" borderId="0" xfId="0" applyFont="1" applyAlignment="1">
      <alignment horizontal="left"/>
    </xf>
    <xf numFmtId="40" fontId="67" fillId="0" borderId="23" xfId="67" applyNumberFormat="1" applyFont="1" applyBorder="1" applyAlignment="1">
      <alignment horizontal="right" vertical="center"/>
    </xf>
    <xf numFmtId="40" fontId="4" fillId="0" borderId="23" xfId="67" applyNumberFormat="1" applyFont="1" applyBorder="1" applyAlignment="1">
      <alignment horizontal="right"/>
    </xf>
    <xf numFmtId="0" fontId="75" fillId="0" borderId="0" xfId="0" applyFont="1" applyAlignment="1" applyProtection="1">
      <alignment horizontal="left"/>
      <protection locked="0"/>
    </xf>
    <xf numFmtId="1" fontId="4" fillId="0" borderId="0" xfId="0" applyNumberFormat="1" applyFont="1" applyAlignment="1">
      <alignment horizontal="centerContinuous"/>
    </xf>
    <xf numFmtId="0" fontId="76" fillId="0" borderId="0" xfId="67" applyNumberFormat="1" applyFont="1" applyAlignment="1">
      <alignment horizontal="center"/>
    </xf>
    <xf numFmtId="0" fontId="62" fillId="0" borderId="0" xfId="0" applyFont="1" applyAlignment="1">
      <alignment horizontal="right" vertical="center"/>
    </xf>
    <xf numFmtId="40" fontId="77" fillId="0" borderId="33" xfId="0" applyNumberFormat="1" applyFont="1" applyBorder="1" applyAlignment="1">
      <alignment horizontal="center"/>
    </xf>
    <xf numFmtId="40" fontId="77" fillId="0" borderId="47" xfId="0" applyNumberFormat="1" applyFont="1" applyBorder="1" applyAlignment="1">
      <alignment horizontal="center"/>
    </xf>
    <xf numFmtId="40" fontId="2" fillId="0" borderId="34" xfId="0" applyNumberFormat="1" applyFont="1" applyBorder="1" applyAlignment="1">
      <alignment horizontal="center"/>
    </xf>
    <xf numFmtId="40" fontId="2" fillId="0" borderId="48" xfId="0" applyNumberFormat="1" applyFont="1" applyBorder="1" applyAlignment="1">
      <alignment horizontal="center"/>
    </xf>
    <xf numFmtId="40" fontId="77" fillId="0" borderId="48" xfId="0" applyNumberFormat="1" applyFont="1" applyBorder="1" applyAlignment="1">
      <alignment horizontal="center"/>
    </xf>
    <xf numFmtId="40" fontId="77" fillId="0" borderId="34" xfId="0" applyNumberFormat="1" applyFont="1" applyBorder="1" applyAlignment="1">
      <alignment horizontal="center"/>
    </xf>
    <xf numFmtId="40" fontId="72" fillId="0" borderId="20" xfId="0" applyNumberFormat="1" applyFont="1" applyBorder="1"/>
    <xf numFmtId="40" fontId="72" fillId="0" borderId="40" xfId="0" applyNumberFormat="1" applyFont="1" applyBorder="1"/>
    <xf numFmtId="40" fontId="73" fillId="0" borderId="0" xfId="0" applyNumberFormat="1" applyFont="1" applyAlignment="1">
      <alignment horizontal="right"/>
    </xf>
    <xf numFmtId="40" fontId="72" fillId="0" borderId="32" xfId="0" applyNumberFormat="1" applyFont="1" applyBorder="1"/>
    <xf numFmtId="40" fontId="4" fillId="33" borderId="41" xfId="0" applyNumberFormat="1" applyFont="1" applyFill="1" applyBorder="1" applyAlignment="1">
      <alignment horizontal="center"/>
    </xf>
    <xf numFmtId="40" fontId="4" fillId="34" borderId="45" xfId="67" applyNumberFormat="1" applyFont="1" applyFill="1" applyBorder="1" applyProtection="1">
      <protection locked="0"/>
    </xf>
    <xf numFmtId="40" fontId="4" fillId="34" borderId="45" xfId="0" applyNumberFormat="1" applyFont="1" applyFill="1" applyBorder="1" applyProtection="1">
      <protection locked="0"/>
    </xf>
    <xf numFmtId="40" fontId="69" fillId="35" borderId="13" xfId="0" applyNumberFormat="1" applyFont="1" applyFill="1" applyBorder="1" applyAlignment="1">
      <alignment horizontal="center"/>
    </xf>
    <xf numFmtId="38" fontId="78" fillId="0" borderId="0" xfId="68" applyFont="1" applyAlignment="1">
      <alignment horizontal="center" vertical="center"/>
    </xf>
    <xf numFmtId="38" fontId="19" fillId="0" borderId="26" xfId="67" applyBorder="1" applyProtection="1">
      <protection locked="0"/>
    </xf>
    <xf numFmtId="0" fontId="19" fillId="0" borderId="13" xfId="129" applyBorder="1"/>
    <xf numFmtId="0" fontId="0" fillId="0" borderId="24" xfId="129" applyFont="1" applyBorder="1" applyProtection="1">
      <protection locked="0"/>
    </xf>
    <xf numFmtId="38" fontId="19" fillId="0" borderId="0" xfId="68" applyAlignment="1">
      <alignment horizontal="right"/>
    </xf>
    <xf numFmtId="4" fontId="19" fillId="0" borderId="24" xfId="129" applyNumberFormat="1" applyBorder="1" applyAlignment="1" applyProtection="1">
      <alignment horizontal="center"/>
      <protection locked="0"/>
    </xf>
    <xf numFmtId="4" fontId="19" fillId="0" borderId="24" xfId="129" applyNumberFormat="1" applyBorder="1" applyProtection="1">
      <protection locked="0"/>
    </xf>
    <xf numFmtId="4" fontId="19" fillId="0" borderId="22" xfId="129" applyNumberFormat="1" applyBorder="1"/>
    <xf numFmtId="4" fontId="19" fillId="0" borderId="26" xfId="129" applyNumberFormat="1" applyBorder="1"/>
    <xf numFmtId="0" fontId="19" fillId="0" borderId="22" xfId="129" applyBorder="1" applyAlignment="1">
      <alignment horizontal="centerContinuous" vertical="center"/>
    </xf>
    <xf numFmtId="0" fontId="19" fillId="0" borderId="22" xfId="129" applyBorder="1" applyAlignment="1">
      <alignment horizontal="left" vertical="center"/>
    </xf>
    <xf numFmtId="169" fontId="19" fillId="0" borderId="49" xfId="129" applyNumberFormat="1" applyBorder="1" applyAlignment="1">
      <alignment horizontal="center" vertical="center"/>
    </xf>
    <xf numFmtId="0" fontId="0" fillId="0" borderId="50" xfId="129" applyFont="1" applyBorder="1" applyAlignment="1">
      <alignment horizontal="center" vertical="center" wrapText="1"/>
    </xf>
    <xf numFmtId="180" fontId="19" fillId="0" borderId="50" xfId="68" quotePrefix="1" applyNumberFormat="1" applyBorder="1" applyAlignment="1">
      <alignment horizontal="center" vertical="center"/>
    </xf>
    <xf numFmtId="0" fontId="19" fillId="0" borderId="0" xfId="129" applyAlignment="1">
      <alignment vertical="center"/>
    </xf>
    <xf numFmtId="0" fontId="0" fillId="0" borderId="50" xfId="129" applyFont="1" applyBorder="1" applyAlignment="1">
      <alignment horizontal="center" vertical="center"/>
    </xf>
    <xf numFmtId="0" fontId="79" fillId="0" borderId="0" xfId="171" applyFont="1">
      <alignment vertical="center"/>
    </xf>
    <xf numFmtId="181" fontId="79" fillId="0" borderId="0" xfId="171" applyNumberFormat="1" applyFont="1">
      <alignment vertical="center"/>
    </xf>
    <xf numFmtId="0" fontId="79" fillId="0" borderId="0" xfId="17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63" fillId="29" borderId="27" xfId="169" applyNumberFormat="1" applyFont="1" applyFill="1" applyBorder="1" applyAlignment="1">
      <alignment horizontal="center" vertical="center"/>
    </xf>
    <xf numFmtId="49" fontId="64" fillId="0" borderId="0" xfId="169" applyNumberFormat="1" applyFont="1" applyAlignment="1">
      <alignment horizontal="center" vertical="center"/>
    </xf>
    <xf numFmtId="0" fontId="65" fillId="0" borderId="0" xfId="0" applyFont="1"/>
    <xf numFmtId="49" fontId="63" fillId="30" borderId="29" xfId="169" applyNumberFormat="1" applyFont="1" applyFill="1" applyBorder="1" applyAlignment="1">
      <alignment horizontal="center" vertical="center"/>
    </xf>
    <xf numFmtId="182" fontId="4" fillId="32" borderId="0" xfId="0" applyNumberFormat="1" applyFont="1" applyFill="1" applyAlignment="1" applyProtection="1">
      <alignment horizontal="left" vertical="center" shrinkToFit="1"/>
      <protection locked="0"/>
    </xf>
    <xf numFmtId="49" fontId="0" fillId="0" borderId="0" xfId="0" applyNumberFormat="1"/>
    <xf numFmtId="40" fontId="4" fillId="34" borderId="38" xfId="68" applyNumberFormat="1" applyFont="1" applyFill="1" applyBorder="1" applyAlignment="1" applyProtection="1">
      <alignment horizontal="right" vertical="center"/>
      <protection locked="0"/>
    </xf>
    <xf numFmtId="0" fontId="0" fillId="32" borderId="0" xfId="0" applyFill="1"/>
    <xf numFmtId="0" fontId="4" fillId="0" borderId="34" xfId="0" applyFont="1" applyBorder="1"/>
    <xf numFmtId="0" fontId="4" fillId="0" borderId="51" xfId="0" applyFont="1" applyBorder="1"/>
    <xf numFmtId="0" fontId="4" fillId="0" borderId="52" xfId="0" applyFont="1" applyBorder="1"/>
    <xf numFmtId="0" fontId="4" fillId="0" borderId="47" xfId="0" applyFont="1" applyBorder="1"/>
    <xf numFmtId="0" fontId="4" fillId="0" borderId="53" xfId="0" applyFont="1" applyBorder="1"/>
    <xf numFmtId="0" fontId="4" fillId="0" borderId="54" xfId="0" applyFont="1" applyBorder="1"/>
    <xf numFmtId="0" fontId="4" fillId="36" borderId="47" xfId="0" applyFont="1" applyFill="1" applyBorder="1"/>
    <xf numFmtId="0" fontId="4" fillId="36" borderId="33" xfId="0" applyFont="1" applyFill="1" applyBorder="1"/>
    <xf numFmtId="0" fontId="4" fillId="37" borderId="55" xfId="0" applyFont="1" applyFill="1" applyBorder="1"/>
    <xf numFmtId="0" fontId="4" fillId="37" borderId="56" xfId="0" applyFont="1" applyFill="1" applyBorder="1"/>
    <xf numFmtId="0" fontId="4" fillId="37" borderId="53" xfId="0" applyFont="1" applyFill="1" applyBorder="1"/>
    <xf numFmtId="0" fontId="4" fillId="37" borderId="54" xfId="0" applyFont="1" applyFill="1" applyBorder="1"/>
    <xf numFmtId="0" fontId="4" fillId="36" borderId="57" xfId="0" applyFont="1" applyFill="1" applyBorder="1"/>
    <xf numFmtId="0" fontId="4" fillId="37" borderId="58" xfId="0" applyFont="1" applyFill="1" applyBorder="1"/>
    <xf numFmtId="0" fontId="4" fillId="37" borderId="59" xfId="0" applyFont="1" applyFill="1" applyBorder="1"/>
  </cellXfs>
  <cellStyles count="175">
    <cellStyle name="_FY2014 MP作成依頼（KDTCN).1207(3)" xfId="1" xr:uid="{00000000-0005-0000-0000-000001000000}"/>
    <cellStyle name="20% - Accent1" xfId="2" xr:uid="{00000000-0005-0000-0000-000002000000}"/>
    <cellStyle name="20% - Accent2" xfId="3" xr:uid="{00000000-0005-0000-0000-000003000000}"/>
    <cellStyle name="20% - Accent3" xfId="4" xr:uid="{00000000-0005-0000-0000-000004000000}"/>
    <cellStyle name="20% - Accent4" xfId="5" xr:uid="{00000000-0005-0000-0000-000005000000}"/>
    <cellStyle name="20% - Accent5" xfId="6" xr:uid="{00000000-0005-0000-0000-000006000000}"/>
    <cellStyle name="20% - Accent6" xfId="7" xr:uid="{00000000-0005-0000-0000-000007000000}"/>
    <cellStyle name="20% - アクセント 1" xfId="8" xr:uid="{00000000-0005-0000-0000-000008000000}"/>
    <cellStyle name="20% - アクセント 1 2" xfId="9" xr:uid="{00000000-0005-0000-0000-000009000000}"/>
    <cellStyle name="20% - アクセント 2" xfId="10" xr:uid="{00000000-0005-0000-0000-00000A000000}"/>
    <cellStyle name="20% - アクセント 2 2" xfId="11" xr:uid="{00000000-0005-0000-0000-00000B000000}"/>
    <cellStyle name="20% - アクセント 3" xfId="12" xr:uid="{00000000-0005-0000-0000-00000C000000}"/>
    <cellStyle name="20% - アクセント 3 2" xfId="13" xr:uid="{00000000-0005-0000-0000-00000D000000}"/>
    <cellStyle name="20% - アクセント 4" xfId="14" xr:uid="{00000000-0005-0000-0000-00000E000000}"/>
    <cellStyle name="20% - アクセント 4 2" xfId="15" xr:uid="{00000000-0005-0000-0000-00000F000000}"/>
    <cellStyle name="20% - アクセント 5" xfId="16" xr:uid="{00000000-0005-0000-0000-000010000000}"/>
    <cellStyle name="20% - アクセント 5 2" xfId="17" xr:uid="{00000000-0005-0000-0000-000011000000}"/>
    <cellStyle name="20% - アクセント 6" xfId="18" xr:uid="{00000000-0005-0000-0000-000012000000}"/>
    <cellStyle name="20% - アクセント 6 2" xfId="19" xr:uid="{00000000-0005-0000-0000-000013000000}"/>
    <cellStyle name="3232" xfId="20" xr:uid="{00000000-0005-0000-0000-000014000000}"/>
    <cellStyle name="40% - Accent1" xfId="21" xr:uid="{00000000-0005-0000-0000-000015000000}"/>
    <cellStyle name="40% - Accent2" xfId="22" xr:uid="{00000000-0005-0000-0000-000016000000}"/>
    <cellStyle name="40% - Accent3" xfId="23" xr:uid="{00000000-0005-0000-0000-000017000000}"/>
    <cellStyle name="40% - Accent4" xfId="24" xr:uid="{00000000-0005-0000-0000-000018000000}"/>
    <cellStyle name="40% - Accent5" xfId="25" xr:uid="{00000000-0005-0000-0000-000019000000}"/>
    <cellStyle name="40% - Accent6" xfId="26" xr:uid="{00000000-0005-0000-0000-00001A000000}"/>
    <cellStyle name="40% - アクセント 1" xfId="27" xr:uid="{00000000-0005-0000-0000-00001B000000}"/>
    <cellStyle name="40% - アクセント 1 2" xfId="28" xr:uid="{00000000-0005-0000-0000-00001C000000}"/>
    <cellStyle name="40% - アクセント 2" xfId="29" xr:uid="{00000000-0005-0000-0000-00001D000000}"/>
    <cellStyle name="40% - アクセント 2 2" xfId="30" xr:uid="{00000000-0005-0000-0000-00001E000000}"/>
    <cellStyle name="40% - アクセント 3" xfId="31" xr:uid="{00000000-0005-0000-0000-00001F000000}"/>
    <cellStyle name="40% - アクセント 3 2" xfId="32" xr:uid="{00000000-0005-0000-0000-000020000000}"/>
    <cellStyle name="40% - アクセント 4" xfId="33" xr:uid="{00000000-0005-0000-0000-000021000000}"/>
    <cellStyle name="40% - アクセント 4 2" xfId="34" xr:uid="{00000000-0005-0000-0000-000022000000}"/>
    <cellStyle name="40% - アクセント 5" xfId="35" xr:uid="{00000000-0005-0000-0000-000023000000}"/>
    <cellStyle name="40% - アクセント 5 2" xfId="36" xr:uid="{00000000-0005-0000-0000-000024000000}"/>
    <cellStyle name="40% - アクセント 6" xfId="37" xr:uid="{00000000-0005-0000-0000-000025000000}"/>
    <cellStyle name="40% - アクセント 6 2" xfId="38" xr:uid="{00000000-0005-0000-0000-000026000000}"/>
    <cellStyle name="60% - Accent1" xfId="39" xr:uid="{00000000-0005-0000-0000-000027000000}"/>
    <cellStyle name="60% - Accent2" xfId="40" xr:uid="{00000000-0005-0000-0000-000028000000}"/>
    <cellStyle name="60% - Accent3" xfId="41" xr:uid="{00000000-0005-0000-0000-000029000000}"/>
    <cellStyle name="60% - Accent4" xfId="42" xr:uid="{00000000-0005-0000-0000-00002A000000}"/>
    <cellStyle name="60% - Accent5" xfId="43" xr:uid="{00000000-0005-0000-0000-00002B000000}"/>
    <cellStyle name="60% - Accent6" xfId="44" xr:uid="{00000000-0005-0000-0000-00002C000000}"/>
    <cellStyle name="60% - アクセント 1" xfId="45" xr:uid="{00000000-0005-0000-0000-00002D000000}"/>
    <cellStyle name="60% - アクセント 1 2" xfId="46" xr:uid="{00000000-0005-0000-0000-00002E000000}"/>
    <cellStyle name="60% - アクセント 2" xfId="47" xr:uid="{00000000-0005-0000-0000-00002F000000}"/>
    <cellStyle name="60% - アクセント 2 2" xfId="48" xr:uid="{00000000-0005-0000-0000-000030000000}"/>
    <cellStyle name="60% - アクセント 3" xfId="49" xr:uid="{00000000-0005-0000-0000-000031000000}"/>
    <cellStyle name="60% - アクセント 3 2" xfId="50" xr:uid="{00000000-0005-0000-0000-000032000000}"/>
    <cellStyle name="60% - アクセント 4" xfId="51" xr:uid="{00000000-0005-0000-0000-000033000000}"/>
    <cellStyle name="60% - アクセント 4 2" xfId="52" xr:uid="{00000000-0005-0000-0000-000034000000}"/>
    <cellStyle name="60% - アクセント 5" xfId="53" xr:uid="{00000000-0005-0000-0000-000035000000}"/>
    <cellStyle name="60% - アクセント 5 2" xfId="54" xr:uid="{00000000-0005-0000-0000-000036000000}"/>
    <cellStyle name="60% - アクセント 6" xfId="55" xr:uid="{00000000-0005-0000-0000-000037000000}"/>
    <cellStyle name="60% - アクセント 6 2" xfId="56" xr:uid="{00000000-0005-0000-0000-000038000000}"/>
    <cellStyle name="Accent1" xfId="57" xr:uid="{00000000-0005-0000-0000-000039000000}"/>
    <cellStyle name="Accent2" xfId="58" xr:uid="{00000000-0005-0000-0000-00003A000000}"/>
    <cellStyle name="Accent3" xfId="59" xr:uid="{00000000-0005-0000-0000-00003B000000}"/>
    <cellStyle name="Accent4" xfId="60" xr:uid="{00000000-0005-0000-0000-00003C000000}"/>
    <cellStyle name="Accent5" xfId="61" xr:uid="{00000000-0005-0000-0000-00003D000000}"/>
    <cellStyle name="Accent6" xfId="62" xr:uid="{00000000-0005-0000-0000-00003E000000}"/>
    <cellStyle name="Bad" xfId="63" xr:uid="{00000000-0005-0000-0000-00003F000000}"/>
    <cellStyle name="Calculation" xfId="64" xr:uid="{00000000-0005-0000-0000-000040000000}"/>
    <cellStyle name="Check Cell" xfId="65" xr:uid="{00000000-0005-0000-0000-000041000000}"/>
    <cellStyle name="Comma" xfId="66" builtinId="3"/>
    <cellStyle name="Comma [0]" xfId="67" builtinId="6"/>
    <cellStyle name="Comma [0] 2" xfId="68" xr:uid="{00000000-0005-0000-0000-000044000000}"/>
    <cellStyle name="Comma [0] 2 2" xfId="69" xr:uid="{00000000-0005-0000-0000-000045000000}"/>
    <cellStyle name="Comma [0] 3" xfId="70" xr:uid="{00000000-0005-0000-0000-000046000000}"/>
    <cellStyle name="Comma [0] 4" xfId="71" xr:uid="{00000000-0005-0000-0000-000047000000}"/>
    <cellStyle name="Comma 2" xfId="72" xr:uid="{00000000-0005-0000-0000-000048000000}"/>
    <cellStyle name="Comma 2 3" xfId="73" xr:uid="{00000000-0005-0000-0000-000049000000}"/>
    <cellStyle name="Comma 3" xfId="74" xr:uid="{00000000-0005-0000-0000-00004A000000}"/>
    <cellStyle name="Comma 3 2 2" xfId="75" xr:uid="{00000000-0005-0000-0000-00004B000000}"/>
    <cellStyle name="Comma 4" xfId="76" xr:uid="{00000000-0005-0000-0000-00004C000000}"/>
    <cellStyle name="Comma 5" xfId="77" xr:uid="{00000000-0005-0000-0000-00004D000000}"/>
    <cellStyle name="Comma 6" xfId="78" xr:uid="{00000000-0005-0000-0000-00004E000000}"/>
    <cellStyle name="Currency [0] 2" xfId="79" xr:uid="{00000000-0005-0000-0000-00004F000000}"/>
    <cellStyle name="Explanatory Text" xfId="80" xr:uid="{00000000-0005-0000-0000-000050000000}"/>
    <cellStyle name="Good" xfId="81" xr:uid="{00000000-0005-0000-0000-000051000000}"/>
    <cellStyle name="Heading 1" xfId="82" xr:uid="{00000000-0005-0000-0000-000052000000}"/>
    <cellStyle name="Heading 2" xfId="83" xr:uid="{00000000-0005-0000-0000-000053000000}"/>
    <cellStyle name="Heading 3" xfId="84" xr:uid="{00000000-0005-0000-0000-000054000000}"/>
    <cellStyle name="Heading 4" xfId="85" xr:uid="{00000000-0005-0000-0000-000055000000}"/>
    <cellStyle name="Input" xfId="86" xr:uid="{00000000-0005-0000-0000-000056000000}"/>
    <cellStyle name="Linked Cell" xfId="87" xr:uid="{00000000-0005-0000-0000-000057000000}"/>
    <cellStyle name="Neutral" xfId="88" xr:uid="{00000000-0005-0000-0000-000058000000}"/>
    <cellStyle name="Normal" xfId="0" builtinId="0"/>
    <cellStyle name="Normal 2" xfId="89" xr:uid="{00000000-0005-0000-0000-000059000000}"/>
    <cellStyle name="Normal 2 2" xfId="90" xr:uid="{00000000-0005-0000-0000-00005A000000}"/>
    <cellStyle name="Normal 3" xfId="91" xr:uid="{00000000-0005-0000-0000-00005B000000}"/>
    <cellStyle name="Normal 4" xfId="92" xr:uid="{00000000-0005-0000-0000-00005C000000}"/>
    <cellStyle name="Normal 5" xfId="93" xr:uid="{00000000-0005-0000-0000-00005D000000}"/>
    <cellStyle name="Note" xfId="94" xr:uid="{00000000-0005-0000-0000-00005E000000}"/>
    <cellStyle name="Output" xfId="95" xr:uid="{00000000-0005-0000-0000-00005F000000}"/>
    <cellStyle name="Percent 2" xfId="96" xr:uid="{00000000-0005-0000-0000-000060000000}"/>
    <cellStyle name="Percent 3" xfId="97" xr:uid="{00000000-0005-0000-0000-000061000000}"/>
    <cellStyle name="Title" xfId="98" xr:uid="{00000000-0005-0000-0000-000062000000}"/>
    <cellStyle name="Total" xfId="99" xr:uid="{00000000-0005-0000-0000-000063000000}"/>
    <cellStyle name="Warning Text" xfId="100" xr:uid="{00000000-0005-0000-0000-000064000000}"/>
    <cellStyle name="アクセント 1" xfId="101" xr:uid="{00000000-0005-0000-0000-000065000000}"/>
    <cellStyle name="アクセント 1 2" xfId="102" xr:uid="{00000000-0005-0000-0000-000066000000}"/>
    <cellStyle name="アクセント 2" xfId="103" xr:uid="{00000000-0005-0000-0000-000067000000}"/>
    <cellStyle name="アクセント 2 2" xfId="104" xr:uid="{00000000-0005-0000-0000-000068000000}"/>
    <cellStyle name="アクセント 3" xfId="105" xr:uid="{00000000-0005-0000-0000-000069000000}"/>
    <cellStyle name="アクセント 3 2" xfId="106" xr:uid="{00000000-0005-0000-0000-00006A000000}"/>
    <cellStyle name="アクセント 4" xfId="107" xr:uid="{00000000-0005-0000-0000-00006B000000}"/>
    <cellStyle name="アクセント 4 2" xfId="108" xr:uid="{00000000-0005-0000-0000-00006C000000}"/>
    <cellStyle name="アクセント 5" xfId="109" xr:uid="{00000000-0005-0000-0000-00006D000000}"/>
    <cellStyle name="アクセント 5 2" xfId="110" xr:uid="{00000000-0005-0000-0000-00006E000000}"/>
    <cellStyle name="アクセント 6" xfId="111" xr:uid="{00000000-0005-0000-0000-00006F000000}"/>
    <cellStyle name="アクセント 6 2" xfId="112" xr:uid="{00000000-0005-0000-0000-000070000000}"/>
    <cellStyle name="タイトル" xfId="113" xr:uid="{00000000-0005-0000-0000-000071000000}"/>
    <cellStyle name="タイトル 2" xfId="114" xr:uid="{00000000-0005-0000-0000-000072000000}"/>
    <cellStyle name="チェック セル" xfId="115" xr:uid="{00000000-0005-0000-0000-000073000000}"/>
    <cellStyle name="チェック セル 2" xfId="116" xr:uid="{00000000-0005-0000-0000-000074000000}"/>
    <cellStyle name="どちらでもない" xfId="117" xr:uid="{00000000-0005-0000-0000-000075000000}"/>
    <cellStyle name="どちらでもない 2" xfId="118" xr:uid="{00000000-0005-0000-0000-000076000000}"/>
    <cellStyle name="パーセント 2" xfId="119" xr:uid="{00000000-0005-0000-0000-000077000000}"/>
    <cellStyle name="パーセント 3" xfId="120" xr:uid="{00000000-0005-0000-0000-000078000000}"/>
    <cellStyle name="パーセント 3 2" xfId="121" xr:uid="{00000000-0005-0000-0000-000079000000}"/>
    <cellStyle name="メモ" xfId="122" xr:uid="{00000000-0005-0000-0000-00007A000000}"/>
    <cellStyle name="メモ 2" xfId="123" xr:uid="{00000000-0005-0000-0000-00007B000000}"/>
    <cellStyle name="リンク セル" xfId="124" xr:uid="{00000000-0005-0000-0000-00007C000000}"/>
    <cellStyle name="リンク セル 2" xfId="125" xr:uid="{00000000-0005-0000-0000-00007D000000}"/>
    <cellStyle name="一般_KMHK FY2008 時間当り採算 2007年4月 ( Month Plan )" xfId="128" xr:uid="{00000000-0005-0000-0000-000080000000}"/>
    <cellStyle name="一般_設備投資金額一覽表" xfId="129" xr:uid="{00000000-0005-0000-0000-000081000000}"/>
    <cellStyle name="入力" xfId="161" xr:uid="{00000000-0005-0000-0000-0000A1000000}"/>
    <cellStyle name="入力 2" xfId="162" xr:uid="{00000000-0005-0000-0000-0000A2000000}"/>
    <cellStyle name="出力" xfId="154" xr:uid="{00000000-0005-0000-0000-00009A000000}"/>
    <cellStyle name="出力 2" xfId="155" xr:uid="{00000000-0005-0000-0000-00009B000000}"/>
    <cellStyle name="常规_総生産分析(0605-0606)" xfId="156" xr:uid="{00000000-0005-0000-0000-00009C000000}"/>
    <cellStyle name="悪い" xfId="126" xr:uid="{00000000-0005-0000-0000-00007E000000}"/>
    <cellStyle name="悪い 2" xfId="127" xr:uid="{00000000-0005-0000-0000-00007F000000}"/>
    <cellStyle name="未定義" xfId="172" xr:uid="{00000000-0005-0000-0000-0000AC000000}"/>
    <cellStyle name="桁区切り [0.00] 2" xfId="134" xr:uid="{00000000-0005-0000-0000-000086000000}"/>
    <cellStyle name="桁区切り [0.00] 2 2" xfId="135" xr:uid="{00000000-0005-0000-0000-000087000000}"/>
    <cellStyle name="桁区切り [0.00] 2 3" xfId="136" xr:uid="{00000000-0005-0000-0000-000088000000}"/>
    <cellStyle name="桁区切り 2" xfId="137" xr:uid="{00000000-0005-0000-0000-000089000000}"/>
    <cellStyle name="桁区切り 2 2" xfId="138" xr:uid="{00000000-0005-0000-0000-00008A000000}"/>
    <cellStyle name="桁区切り 2 3" xfId="139" xr:uid="{00000000-0005-0000-0000-00008B000000}"/>
    <cellStyle name="桁区切り 3" xfId="140" xr:uid="{00000000-0005-0000-0000-00008C000000}"/>
    <cellStyle name="桁区切り 4" xfId="141" xr:uid="{00000000-0005-0000-0000-00008D000000}"/>
    <cellStyle name="桁区切り 5" xfId="142" xr:uid="{00000000-0005-0000-0000-00008E000000}"/>
    <cellStyle name="桁区切り 6" xfId="143" xr:uid="{00000000-0005-0000-0000-00008F000000}"/>
    <cellStyle name="標準 2" xfId="163" xr:uid="{00000000-0005-0000-0000-0000A3000000}"/>
    <cellStyle name="標準 2 2" xfId="164" xr:uid="{00000000-0005-0000-0000-0000A4000000}"/>
    <cellStyle name="標準 3" xfId="165" xr:uid="{00000000-0005-0000-0000-0000A5000000}"/>
    <cellStyle name="標準 3 2" xfId="166" xr:uid="{00000000-0005-0000-0000-0000A6000000}"/>
    <cellStyle name="標準 4" xfId="167" xr:uid="{00000000-0005-0000-0000-0000A7000000}"/>
    <cellStyle name="標準 4 2" xfId="168" xr:uid="{00000000-0005-0000-0000-0000A8000000}"/>
    <cellStyle name="標準_★予定用採算表フォーム（製造課用）" xfId="169" xr:uid="{00000000-0005-0000-0000-0000A9000000}"/>
    <cellStyle name="標準_03.2012 08 31 KDTVN採算表及集計表 FY2013_09（製技用）" xfId="170" xr:uid="{00000000-0005-0000-0000-0000AA000000}"/>
    <cellStyle name="標準_KDTVN 2012年9月1日付原価センタ" xfId="171" xr:uid="{00000000-0005-0000-0000-0000AB000000}"/>
    <cellStyle name="良い" xfId="173" xr:uid="{00000000-0005-0000-0000-0000AD000000}"/>
    <cellStyle name="良い 2" xfId="174" xr:uid="{00000000-0005-0000-0000-0000AE000000}"/>
    <cellStyle name="見出し 1" xfId="144" xr:uid="{00000000-0005-0000-0000-000090000000}"/>
    <cellStyle name="見出し 1 2" xfId="145" xr:uid="{00000000-0005-0000-0000-000091000000}"/>
    <cellStyle name="見出し 2" xfId="146" xr:uid="{00000000-0005-0000-0000-000092000000}"/>
    <cellStyle name="見出し 2 2" xfId="147" xr:uid="{00000000-0005-0000-0000-000093000000}"/>
    <cellStyle name="見出し 3" xfId="148" xr:uid="{00000000-0005-0000-0000-000094000000}"/>
    <cellStyle name="見出し 3 2" xfId="149" xr:uid="{00000000-0005-0000-0000-000095000000}"/>
    <cellStyle name="見出し 4" xfId="150" xr:uid="{00000000-0005-0000-0000-000096000000}"/>
    <cellStyle name="見出し 4 2" xfId="151" xr:uid="{00000000-0005-0000-0000-000097000000}"/>
    <cellStyle name="計算" xfId="130" xr:uid="{00000000-0005-0000-0000-000082000000}"/>
    <cellStyle name="計算 2" xfId="131" xr:uid="{00000000-0005-0000-0000-000083000000}"/>
    <cellStyle name="説明文" xfId="157" xr:uid="{00000000-0005-0000-0000-00009D000000}"/>
    <cellStyle name="説明文 2" xfId="158" xr:uid="{00000000-0005-0000-0000-00009E000000}"/>
    <cellStyle name="警告文" xfId="132" xr:uid="{00000000-0005-0000-0000-000084000000}"/>
    <cellStyle name="警告文 2" xfId="133" xr:uid="{00000000-0005-0000-0000-000085000000}"/>
    <cellStyle name="通貨 2" xfId="159" xr:uid="{00000000-0005-0000-0000-00009F000000}"/>
    <cellStyle name="通貨 3" xfId="160" xr:uid="{00000000-0005-0000-0000-0000A0000000}"/>
    <cellStyle name="集計" xfId="152" xr:uid="{00000000-0005-0000-0000-000098000000}"/>
    <cellStyle name="集計 2" xfId="153" xr:uid="{00000000-0005-0000-0000-000099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1640625" style="20" customWidth="1"/>
    <col min="2" max="2" width="19.453125" style="20" customWidth="1"/>
    <col min="3" max="13" width="12.453125" style="19" customWidth="1"/>
    <col min="14" max="15" width="11.81640625" style="19" customWidth="1"/>
    <col min="16" max="18" width="9" style="19" customWidth="1"/>
    <col min="19" max="16384" width="9" style="19"/>
  </cols>
  <sheetData>
    <row r="1" spans="1:15" ht="14.25" customHeight="1" thickBot="1">
      <c r="A1" s="16"/>
      <c r="B1" s="17" t="s">
        <v>0</v>
      </c>
      <c r="C1" s="93" t="str">
        <f>'採算表(VND)'!C1</f>
        <v>MP FY2027_各予定</v>
      </c>
      <c r="D1" s="22"/>
      <c r="E1" s="22"/>
      <c r="F1" s="94"/>
      <c r="G1" s="94"/>
      <c r="H1" s="94"/>
      <c r="I1" s="22"/>
      <c r="J1" s="94"/>
      <c r="K1" s="22"/>
      <c r="L1" s="95"/>
      <c r="M1" s="22"/>
      <c r="N1" s="98">
        <f>'内訳ﾘｽﾄ(4～3月)'!B2</f>
        <v>26273</v>
      </c>
      <c r="O1" s="91"/>
    </row>
    <row r="2" spans="1:15" ht="14.25" customHeight="1" thickBot="1">
      <c r="B2" s="21" t="e">
        <f>'採算表(VND)'!B2</f>
        <v>#N/A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0"/>
      <c r="O2" s="51"/>
    </row>
    <row r="3" spans="1:15" ht="11.25" customHeight="1">
      <c r="C3" s="68"/>
      <c r="D3" s="68"/>
      <c r="F3" s="68"/>
      <c r="G3" s="68"/>
      <c r="I3" s="68"/>
      <c r="K3" s="68"/>
      <c r="L3" s="68"/>
      <c r="M3" s="68"/>
      <c r="N3" s="68"/>
      <c r="O3" s="68"/>
    </row>
    <row r="4" spans="1:15">
      <c r="A4" s="23"/>
      <c r="B4" s="24" t="s">
        <v>1</v>
      </c>
      <c r="C4" s="67">
        <f>'採算表(VND)'!C4</f>
        <v>4</v>
      </c>
      <c r="D4" s="67">
        <f>'採算表(VND)'!D4</f>
        <v>5</v>
      </c>
      <c r="E4" s="67">
        <f>'採算表(VND)'!E4</f>
        <v>6</v>
      </c>
      <c r="F4" s="67">
        <f>'採算表(VND)'!F4</f>
        <v>7</v>
      </c>
      <c r="G4" s="67">
        <f>'採算表(VND)'!G4</f>
        <v>8</v>
      </c>
      <c r="H4" s="67">
        <f>'採算表(VND)'!H4</f>
        <v>9</v>
      </c>
      <c r="I4" s="67">
        <f>'採算表(VND)'!I4</f>
        <v>10</v>
      </c>
      <c r="J4" s="67">
        <f>'採算表(VND)'!J4</f>
        <v>11</v>
      </c>
      <c r="K4" s="67">
        <f>'採算表(VND)'!K4</f>
        <v>12</v>
      </c>
      <c r="L4" s="67">
        <f>'採算表(VND)'!L4</f>
        <v>1</v>
      </c>
      <c r="M4" s="67">
        <f>'採算表(VND)'!M4</f>
        <v>2</v>
      </c>
      <c r="N4" s="67">
        <f>'採算表(VND)'!N4</f>
        <v>3</v>
      </c>
      <c r="O4" s="50" t="str">
        <f>'採算表(VND)'!O4</f>
        <v>合計</v>
      </c>
    </row>
    <row r="5" spans="1:15" ht="11.25" customHeight="1">
      <c r="A5" s="25"/>
      <c r="B5" s="26" t="s">
        <v>2</v>
      </c>
      <c r="C5" s="118">
        <f t="shared" ref="C5:O5" si="0">C8+C9</f>
        <v>0</v>
      </c>
      <c r="D5" s="118">
        <f t="shared" si="0"/>
        <v>0</v>
      </c>
      <c r="E5" s="118">
        <f t="shared" si="0"/>
        <v>0</v>
      </c>
      <c r="F5" s="118">
        <f t="shared" si="0"/>
        <v>0</v>
      </c>
      <c r="G5" s="118">
        <f t="shared" si="0"/>
        <v>0</v>
      </c>
      <c r="H5" s="118">
        <f t="shared" si="0"/>
        <v>0</v>
      </c>
      <c r="I5" s="118">
        <f t="shared" si="0"/>
        <v>0</v>
      </c>
      <c r="J5" s="118">
        <f t="shared" si="0"/>
        <v>0</v>
      </c>
      <c r="K5" s="118">
        <f t="shared" si="0"/>
        <v>0</v>
      </c>
      <c r="L5" s="118">
        <f t="shared" si="0"/>
        <v>0</v>
      </c>
      <c r="M5" s="118">
        <f t="shared" si="0"/>
        <v>0</v>
      </c>
      <c r="N5" s="118">
        <f t="shared" si="0"/>
        <v>0</v>
      </c>
      <c r="O5" s="118">
        <f t="shared" si="0"/>
        <v>0</v>
      </c>
    </row>
    <row r="6" spans="1:15" ht="11.25" customHeight="1">
      <c r="A6" s="25"/>
      <c r="B6" s="28" t="s">
        <v>3</v>
      </c>
      <c r="C6" s="119">
        <f>ROUNDDOWN('採算表(VND)'!C6/$N$1,2)</f>
        <v>0</v>
      </c>
      <c r="D6" s="119">
        <f>ROUNDDOWN('採算表(VND)'!D6/$N$1,2)</f>
        <v>0</v>
      </c>
      <c r="E6" s="119">
        <f>ROUNDDOWN('採算表(VND)'!E6/$N$1,2)</f>
        <v>0</v>
      </c>
      <c r="F6" s="119">
        <f>ROUNDDOWN('採算表(VND)'!F6/$N$1,2)</f>
        <v>0</v>
      </c>
      <c r="G6" s="119">
        <f>ROUNDDOWN('採算表(VND)'!G6/$N$1,2)</f>
        <v>0</v>
      </c>
      <c r="H6" s="119">
        <f>ROUNDDOWN('採算表(VND)'!H6/$N$1,2)</f>
        <v>0</v>
      </c>
      <c r="I6" s="119">
        <f>ROUNDDOWN('採算表(VND)'!I6/$N$1,2)</f>
        <v>0</v>
      </c>
      <c r="J6" s="119">
        <f>ROUNDDOWN('採算表(VND)'!J6/$N$1,2)</f>
        <v>0</v>
      </c>
      <c r="K6" s="119">
        <f>ROUNDDOWN('採算表(VND)'!K6/$N$1,2)</f>
        <v>0</v>
      </c>
      <c r="L6" s="119">
        <f>ROUNDDOWN('採算表(VND)'!L6/$N$1,2)</f>
        <v>0</v>
      </c>
      <c r="M6" s="119">
        <f>ROUNDDOWN('採算表(VND)'!M6/$N$1,2)</f>
        <v>0</v>
      </c>
      <c r="N6" s="119">
        <f>ROUNDDOWN('採算表(VND)'!N6/$N$1,2)</f>
        <v>0</v>
      </c>
      <c r="O6" s="119">
        <f>SUM(C6:N6)</f>
        <v>0</v>
      </c>
    </row>
    <row r="7" spans="1:15" ht="11.25" customHeight="1">
      <c r="A7" s="25"/>
      <c r="B7" s="29" t="s">
        <v>4</v>
      </c>
      <c r="C7" s="120">
        <f>ROUNDDOWN('採算表(VND)'!C7/$N$1,2)</f>
        <v>0</v>
      </c>
      <c r="D7" s="120">
        <f>ROUNDDOWN('採算表(VND)'!D7/$N$1,2)</f>
        <v>0</v>
      </c>
      <c r="E7" s="120">
        <f>ROUNDDOWN('採算表(VND)'!E7/$N$1,2)</f>
        <v>0</v>
      </c>
      <c r="F7" s="120">
        <f>ROUNDDOWN('採算表(VND)'!F7/$N$1,2)</f>
        <v>0</v>
      </c>
      <c r="G7" s="120">
        <f>ROUNDDOWN('採算表(VND)'!G7/$N$1,2)</f>
        <v>0</v>
      </c>
      <c r="H7" s="120">
        <f>ROUNDDOWN('採算表(VND)'!H7/$N$1,2)</f>
        <v>0</v>
      </c>
      <c r="I7" s="120">
        <f>ROUNDDOWN('採算表(VND)'!I7/$N$1,2)</f>
        <v>0</v>
      </c>
      <c r="J7" s="120">
        <f>ROUNDDOWN('採算表(VND)'!J7/$N$1,2)</f>
        <v>0</v>
      </c>
      <c r="K7" s="120">
        <f>ROUNDDOWN('採算表(VND)'!K7/$N$1,2)</f>
        <v>0</v>
      </c>
      <c r="L7" s="120">
        <f>ROUNDDOWN('採算表(VND)'!L7/$N$1,2)</f>
        <v>0</v>
      </c>
      <c r="M7" s="120">
        <f>ROUNDDOWN('採算表(VND)'!M7/$N$1,2)</f>
        <v>0</v>
      </c>
      <c r="N7" s="120">
        <f>ROUNDDOWN('採算表(VND)'!N7/$N$1,2)</f>
        <v>0</v>
      </c>
      <c r="O7" s="120">
        <f>SUM(C7:N7)</f>
        <v>0</v>
      </c>
    </row>
    <row r="8" spans="1:15" ht="11.25" customHeight="1">
      <c r="A8" s="25"/>
      <c r="B8" s="30" t="s">
        <v>5</v>
      </c>
      <c r="C8" s="121">
        <f t="shared" ref="C8:O8" si="1">C6+C7</f>
        <v>0</v>
      </c>
      <c r="D8" s="121">
        <f t="shared" si="1"/>
        <v>0</v>
      </c>
      <c r="E8" s="121">
        <f t="shared" si="1"/>
        <v>0</v>
      </c>
      <c r="F8" s="121">
        <f t="shared" si="1"/>
        <v>0</v>
      </c>
      <c r="G8" s="121">
        <f t="shared" si="1"/>
        <v>0</v>
      </c>
      <c r="H8" s="121">
        <f t="shared" si="1"/>
        <v>0</v>
      </c>
      <c r="I8" s="121">
        <f t="shared" si="1"/>
        <v>0</v>
      </c>
      <c r="J8" s="121">
        <f t="shared" si="1"/>
        <v>0</v>
      </c>
      <c r="K8" s="121">
        <f t="shared" si="1"/>
        <v>0</v>
      </c>
      <c r="L8" s="121">
        <f t="shared" si="1"/>
        <v>0</v>
      </c>
      <c r="M8" s="121">
        <f t="shared" si="1"/>
        <v>0</v>
      </c>
      <c r="N8" s="121">
        <f t="shared" si="1"/>
        <v>0</v>
      </c>
      <c r="O8" s="121">
        <f t="shared" si="1"/>
        <v>0</v>
      </c>
    </row>
    <row r="9" spans="1:15" ht="11.25" customHeight="1">
      <c r="A9" s="25"/>
      <c r="B9" s="27" t="s">
        <v>6</v>
      </c>
      <c r="C9" s="122">
        <f>ROUNDDOWN('採算表(VND)'!C9/$N$1,2)</f>
        <v>0</v>
      </c>
      <c r="D9" s="122">
        <f>ROUNDDOWN('採算表(VND)'!D9/$N$1,2)</f>
        <v>0</v>
      </c>
      <c r="E9" s="122">
        <f>ROUNDDOWN('採算表(VND)'!E9/$N$1,2)</f>
        <v>0</v>
      </c>
      <c r="F9" s="122">
        <f>ROUNDDOWN('採算表(VND)'!F9/$N$1,2)</f>
        <v>0</v>
      </c>
      <c r="G9" s="122">
        <f>ROUNDDOWN('採算表(VND)'!G9/$N$1,2)</f>
        <v>0</v>
      </c>
      <c r="H9" s="122">
        <f>ROUNDDOWN('採算表(VND)'!H9/$N$1,2)</f>
        <v>0</v>
      </c>
      <c r="I9" s="122">
        <f>ROUNDDOWN('採算表(VND)'!I9/$N$1,2)</f>
        <v>0</v>
      </c>
      <c r="J9" s="122">
        <f>ROUNDDOWN('採算表(VND)'!J9/$N$1,2)</f>
        <v>0</v>
      </c>
      <c r="K9" s="122">
        <f>ROUNDDOWN('採算表(VND)'!K9/$N$1,2)</f>
        <v>0</v>
      </c>
      <c r="L9" s="122">
        <f>ROUNDDOWN('採算表(VND)'!L9/$N$1,2)</f>
        <v>0</v>
      </c>
      <c r="M9" s="122">
        <f>ROUNDDOWN('採算表(VND)'!M9/$N$1,2)</f>
        <v>0</v>
      </c>
      <c r="N9" s="122">
        <f>ROUNDDOWN('採算表(VND)'!N9/$N$1,2)</f>
        <v>0</v>
      </c>
      <c r="O9" s="122">
        <f>SUM(C9:N9)</f>
        <v>0</v>
      </c>
    </row>
    <row r="10" spans="1:15" ht="11.25" customHeight="1">
      <c r="A10" s="25"/>
      <c r="B10" s="27" t="s">
        <v>7</v>
      </c>
      <c r="C10" s="122">
        <f>ROUNDDOWN('採算表(VND)'!C10/$N$1,2)</f>
        <v>0</v>
      </c>
      <c r="D10" s="122">
        <f>ROUNDDOWN('採算表(VND)'!D10/$N$1,2)</f>
        <v>0</v>
      </c>
      <c r="E10" s="122">
        <f>ROUNDDOWN('採算表(VND)'!E10/$N$1,2)</f>
        <v>0</v>
      </c>
      <c r="F10" s="122">
        <f>ROUNDDOWN('採算表(VND)'!F10/$N$1,2)</f>
        <v>0</v>
      </c>
      <c r="G10" s="122">
        <f>ROUNDDOWN('採算表(VND)'!G10/$N$1,2)</f>
        <v>0</v>
      </c>
      <c r="H10" s="122">
        <f>ROUNDDOWN('採算表(VND)'!H10/$N$1,2)</f>
        <v>0</v>
      </c>
      <c r="I10" s="122">
        <f>ROUNDDOWN('採算表(VND)'!I10/$N$1,2)</f>
        <v>0</v>
      </c>
      <c r="J10" s="122">
        <f>ROUNDDOWN('採算表(VND)'!J10/$N$1,2)</f>
        <v>0</v>
      </c>
      <c r="K10" s="122">
        <f>ROUNDDOWN('採算表(VND)'!K10/$N$1,2)</f>
        <v>0</v>
      </c>
      <c r="L10" s="122">
        <f>ROUNDDOWN('採算表(VND)'!L10/$N$1,2)</f>
        <v>0</v>
      </c>
      <c r="M10" s="122">
        <f>ROUNDDOWN('採算表(VND)'!M10/$N$1,2)</f>
        <v>0</v>
      </c>
      <c r="N10" s="122">
        <f>ROUNDDOWN('採算表(VND)'!N10/$N$1,2)</f>
        <v>0</v>
      </c>
      <c r="O10" s="122">
        <f>SUM(C10:N10)</f>
        <v>0</v>
      </c>
    </row>
    <row r="11" spans="1:15" ht="1.5" customHeight="1">
      <c r="A11" s="25"/>
      <c r="B11" s="27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</row>
    <row r="12" spans="1:15" ht="11.25" customHeight="1">
      <c r="A12" s="32"/>
      <c r="B12" s="31" t="s">
        <v>8</v>
      </c>
      <c r="C12" s="123">
        <f t="shared" ref="C12:O12" si="2">C5-C10</f>
        <v>0</v>
      </c>
      <c r="D12" s="123">
        <f t="shared" si="2"/>
        <v>0</v>
      </c>
      <c r="E12" s="123">
        <f t="shared" si="2"/>
        <v>0</v>
      </c>
      <c r="F12" s="123">
        <f t="shared" si="2"/>
        <v>0</v>
      </c>
      <c r="G12" s="123">
        <f t="shared" si="2"/>
        <v>0</v>
      </c>
      <c r="H12" s="123">
        <f t="shared" si="2"/>
        <v>0</v>
      </c>
      <c r="I12" s="123">
        <f t="shared" si="2"/>
        <v>0</v>
      </c>
      <c r="J12" s="123">
        <f t="shared" si="2"/>
        <v>0</v>
      </c>
      <c r="K12" s="123">
        <f t="shared" si="2"/>
        <v>0</v>
      </c>
      <c r="L12" s="123">
        <f t="shared" si="2"/>
        <v>0</v>
      </c>
      <c r="M12" s="123">
        <f t="shared" si="2"/>
        <v>0</v>
      </c>
      <c r="N12" s="123">
        <f t="shared" si="2"/>
        <v>0</v>
      </c>
      <c r="O12" s="123">
        <f t="shared" si="2"/>
        <v>0</v>
      </c>
    </row>
    <row r="13" spans="1:15" ht="11.25" customHeight="1">
      <c r="A13" s="25"/>
      <c r="B13" s="27" t="s">
        <v>9</v>
      </c>
      <c r="C13" s="122" t="e">
        <f t="shared" ref="C13:O13" si="3">SUM(C14:C65)</f>
        <v>#N/A</v>
      </c>
      <c r="D13" s="122" t="e">
        <f t="shared" si="3"/>
        <v>#N/A</v>
      </c>
      <c r="E13" s="122" t="e">
        <f t="shared" si="3"/>
        <v>#N/A</v>
      </c>
      <c r="F13" s="122" t="e">
        <f t="shared" si="3"/>
        <v>#N/A</v>
      </c>
      <c r="G13" s="122" t="e">
        <f t="shared" si="3"/>
        <v>#N/A</v>
      </c>
      <c r="H13" s="122" t="e">
        <f t="shared" si="3"/>
        <v>#N/A</v>
      </c>
      <c r="I13" s="122" t="e">
        <f t="shared" si="3"/>
        <v>#N/A</v>
      </c>
      <c r="J13" s="122" t="e">
        <f t="shared" si="3"/>
        <v>#N/A</v>
      </c>
      <c r="K13" s="122" t="e">
        <f t="shared" si="3"/>
        <v>#N/A</v>
      </c>
      <c r="L13" s="122" t="e">
        <f t="shared" si="3"/>
        <v>#N/A</v>
      </c>
      <c r="M13" s="122" t="e">
        <f t="shared" si="3"/>
        <v>#N/A</v>
      </c>
      <c r="N13" s="122" t="e">
        <f t="shared" si="3"/>
        <v>#N/A</v>
      </c>
      <c r="O13" s="122" t="e">
        <f t="shared" si="3"/>
        <v>#N/A</v>
      </c>
    </row>
    <row r="14" spans="1:15" ht="11.25" customHeight="1">
      <c r="A14" s="33"/>
      <c r="B14" s="34" t="s">
        <v>10</v>
      </c>
      <c r="C14" s="124">
        <f>ROUNDUP('採算表(VND)'!C14/$N$1,2)</f>
        <v>0</v>
      </c>
      <c r="D14" s="124">
        <f>ROUNDUP('採算表(VND)'!D14/$N$1,2)</f>
        <v>0</v>
      </c>
      <c r="E14" s="124">
        <f>ROUNDUP('採算表(VND)'!E14/$N$1,2)</f>
        <v>0</v>
      </c>
      <c r="F14" s="124">
        <f>ROUNDUP('採算表(VND)'!F14/$N$1,2)</f>
        <v>0</v>
      </c>
      <c r="G14" s="124">
        <f>ROUNDUP('採算表(VND)'!G14/$N$1,2)</f>
        <v>0</v>
      </c>
      <c r="H14" s="124">
        <f>ROUNDUP('採算表(VND)'!H14/$N$1,2)</f>
        <v>0</v>
      </c>
      <c r="I14" s="124">
        <f>ROUNDUP('採算表(VND)'!I14/$N$1,2)</f>
        <v>0</v>
      </c>
      <c r="J14" s="124">
        <f>ROUNDUP('採算表(VND)'!J14/$N$1,2)</f>
        <v>0</v>
      </c>
      <c r="K14" s="124">
        <f>ROUNDUP('採算表(VND)'!K14/$N$1,2)</f>
        <v>0</v>
      </c>
      <c r="L14" s="124">
        <f>ROUNDUP('採算表(VND)'!L14/$N$1,2)</f>
        <v>0</v>
      </c>
      <c r="M14" s="124">
        <f>ROUNDUP('採算表(VND)'!M14/$N$1,2)</f>
        <v>0</v>
      </c>
      <c r="N14" s="124">
        <f>ROUNDUP('採算表(VND)'!N14/$N$1,2)</f>
        <v>0</v>
      </c>
      <c r="O14" s="124">
        <f t="shared" ref="O14:O45" si="4">SUM(C14:N14)</f>
        <v>0</v>
      </c>
    </row>
    <row r="15" spans="1:15" ht="11.25" customHeight="1">
      <c r="A15" s="33"/>
      <c r="B15" s="34" t="s">
        <v>11</v>
      </c>
      <c r="C15" s="124">
        <f>ROUNDUP('採算表(VND)'!C15/$N$1,2)</f>
        <v>0</v>
      </c>
      <c r="D15" s="124">
        <f>ROUNDUP('採算表(VND)'!D15/$N$1,2)</f>
        <v>0</v>
      </c>
      <c r="E15" s="124">
        <f>ROUNDUP('採算表(VND)'!E15/$N$1,2)</f>
        <v>0</v>
      </c>
      <c r="F15" s="124">
        <f>ROUNDUP('採算表(VND)'!F15/$N$1,2)</f>
        <v>0</v>
      </c>
      <c r="G15" s="124">
        <f>ROUNDUP('採算表(VND)'!G15/$N$1,2)</f>
        <v>0</v>
      </c>
      <c r="H15" s="124">
        <f>ROUNDUP('採算表(VND)'!H15/$N$1,2)</f>
        <v>0</v>
      </c>
      <c r="I15" s="124">
        <f>ROUNDUP('採算表(VND)'!I15/$N$1,2)</f>
        <v>0</v>
      </c>
      <c r="J15" s="124">
        <f>ROUNDUP('採算表(VND)'!J15/$N$1,2)</f>
        <v>0</v>
      </c>
      <c r="K15" s="124">
        <f>ROUNDUP('採算表(VND)'!K15/$N$1,2)</f>
        <v>0</v>
      </c>
      <c r="L15" s="124">
        <f>ROUNDUP('採算表(VND)'!L15/$N$1,2)</f>
        <v>0</v>
      </c>
      <c r="M15" s="124">
        <f>ROUNDUP('採算表(VND)'!M15/$N$1,2)</f>
        <v>0</v>
      </c>
      <c r="N15" s="124">
        <f>ROUNDUP('採算表(VND)'!N15/$N$1,2)</f>
        <v>0</v>
      </c>
      <c r="O15" s="124">
        <f t="shared" si="4"/>
        <v>0</v>
      </c>
    </row>
    <row r="16" spans="1:15" ht="11.25" customHeight="1">
      <c r="A16" s="33"/>
      <c r="B16" s="34" t="s">
        <v>12</v>
      </c>
      <c r="C16" s="124">
        <f>ROUNDUP('採算表(VND)'!C16/$N$1,2)</f>
        <v>0</v>
      </c>
      <c r="D16" s="124">
        <f>ROUNDUP('採算表(VND)'!D16/$N$1,2)</f>
        <v>0</v>
      </c>
      <c r="E16" s="124">
        <f>ROUNDUP('採算表(VND)'!E16/$N$1,2)</f>
        <v>0</v>
      </c>
      <c r="F16" s="124">
        <f>ROUNDUP('採算表(VND)'!F16/$N$1,2)</f>
        <v>0</v>
      </c>
      <c r="G16" s="124">
        <f>ROUNDUP('採算表(VND)'!G16/$N$1,2)</f>
        <v>0</v>
      </c>
      <c r="H16" s="124">
        <f>ROUNDUP('採算表(VND)'!H16/$N$1,2)</f>
        <v>0</v>
      </c>
      <c r="I16" s="124">
        <f>ROUNDUP('採算表(VND)'!I16/$N$1,2)</f>
        <v>0</v>
      </c>
      <c r="J16" s="124">
        <f>ROUNDUP('採算表(VND)'!J16/$N$1,2)</f>
        <v>0</v>
      </c>
      <c r="K16" s="124">
        <f>ROUNDUP('採算表(VND)'!K16/$N$1,2)</f>
        <v>0</v>
      </c>
      <c r="L16" s="124">
        <f>ROUNDUP('採算表(VND)'!L16/$N$1,2)</f>
        <v>0</v>
      </c>
      <c r="M16" s="124">
        <f>ROUNDUP('採算表(VND)'!M16/$N$1,2)</f>
        <v>0</v>
      </c>
      <c r="N16" s="124">
        <f>ROUNDUP('採算表(VND)'!N16/$N$1,2)</f>
        <v>0</v>
      </c>
      <c r="O16" s="124">
        <f t="shared" si="4"/>
        <v>0</v>
      </c>
    </row>
    <row r="17" spans="1:15" ht="11.25" customHeight="1">
      <c r="A17" s="33"/>
      <c r="B17" s="35" t="s">
        <v>13</v>
      </c>
      <c r="C17" s="125">
        <f>ROUNDUP('採算表(VND)'!C17/$N$1,2)</f>
        <v>0</v>
      </c>
      <c r="D17" s="125">
        <f>ROUNDUP('採算表(VND)'!D17/$N$1,2)</f>
        <v>0</v>
      </c>
      <c r="E17" s="125">
        <f>ROUNDUP('採算表(VND)'!E17/$N$1,2)</f>
        <v>0</v>
      </c>
      <c r="F17" s="125">
        <f>ROUNDUP('採算表(VND)'!F17/$N$1,2)</f>
        <v>0</v>
      </c>
      <c r="G17" s="125">
        <f>ROUNDUP('採算表(VND)'!G17/$N$1,2)</f>
        <v>0</v>
      </c>
      <c r="H17" s="125">
        <f>ROUNDUP('採算表(VND)'!H17/$N$1,2)</f>
        <v>0</v>
      </c>
      <c r="I17" s="125">
        <f>ROUNDUP('採算表(VND)'!I17/$N$1,2)</f>
        <v>0</v>
      </c>
      <c r="J17" s="125">
        <f>ROUNDUP('採算表(VND)'!J17/$N$1,2)</f>
        <v>0</v>
      </c>
      <c r="K17" s="125">
        <f>ROUNDUP('採算表(VND)'!K17/$N$1,2)</f>
        <v>0</v>
      </c>
      <c r="L17" s="125">
        <f>ROUNDUP('採算表(VND)'!L17/$N$1,2)</f>
        <v>0</v>
      </c>
      <c r="M17" s="125">
        <f>ROUNDUP('採算表(VND)'!M17/$N$1,2)</f>
        <v>0</v>
      </c>
      <c r="N17" s="125">
        <f>ROUNDUP('採算表(VND)'!N17/$N$1,2)</f>
        <v>0</v>
      </c>
      <c r="O17" s="125">
        <f t="shared" si="4"/>
        <v>0</v>
      </c>
    </row>
    <row r="18" spans="1:15" ht="11.25" customHeight="1">
      <c r="A18" s="33"/>
      <c r="B18" s="35" t="s">
        <v>14</v>
      </c>
      <c r="C18" s="125">
        <f>ROUNDUP('採算表(VND)'!C18/$N$1,2)</f>
        <v>0</v>
      </c>
      <c r="D18" s="125">
        <f>ROUNDUP('採算表(VND)'!D18/$N$1,2)</f>
        <v>0</v>
      </c>
      <c r="E18" s="125">
        <f>ROUNDUP('採算表(VND)'!E18/$N$1,2)</f>
        <v>0</v>
      </c>
      <c r="F18" s="125">
        <f>ROUNDUP('採算表(VND)'!F18/$N$1,2)</f>
        <v>0</v>
      </c>
      <c r="G18" s="125">
        <f>ROUNDUP('採算表(VND)'!G18/$N$1,2)</f>
        <v>0</v>
      </c>
      <c r="H18" s="125">
        <f>ROUNDUP('採算表(VND)'!H18/$N$1,2)</f>
        <v>0</v>
      </c>
      <c r="I18" s="125">
        <f>ROUNDUP('採算表(VND)'!I18/$N$1,2)</f>
        <v>0</v>
      </c>
      <c r="J18" s="125">
        <f>ROUNDUP('採算表(VND)'!J18/$N$1,2)</f>
        <v>0</v>
      </c>
      <c r="K18" s="125">
        <f>ROUNDUP('採算表(VND)'!K18/$N$1,2)</f>
        <v>0</v>
      </c>
      <c r="L18" s="125">
        <f>ROUNDUP('採算表(VND)'!L18/$N$1,2)</f>
        <v>0</v>
      </c>
      <c r="M18" s="125">
        <f>ROUNDUP('採算表(VND)'!M18/$N$1,2)</f>
        <v>0</v>
      </c>
      <c r="N18" s="125">
        <f>ROUNDUP('採算表(VND)'!N18/$N$1,2)</f>
        <v>0</v>
      </c>
      <c r="O18" s="125">
        <f t="shared" si="4"/>
        <v>0</v>
      </c>
    </row>
    <row r="19" spans="1:15" ht="11.25" customHeight="1">
      <c r="A19" s="33"/>
      <c r="B19" s="35" t="s">
        <v>15</v>
      </c>
      <c r="C19" s="125">
        <f>ROUNDUP('採算表(VND)'!C19/$N$1,2)</f>
        <v>0</v>
      </c>
      <c r="D19" s="125">
        <f>ROUNDUP('採算表(VND)'!D19/$N$1,2)</f>
        <v>0</v>
      </c>
      <c r="E19" s="125">
        <f>ROUNDUP('採算表(VND)'!E19/$N$1,2)</f>
        <v>0</v>
      </c>
      <c r="F19" s="125">
        <f>ROUNDUP('採算表(VND)'!F19/$N$1,2)</f>
        <v>0</v>
      </c>
      <c r="G19" s="125">
        <f>ROUNDUP('採算表(VND)'!G19/$N$1,2)</f>
        <v>0</v>
      </c>
      <c r="H19" s="125">
        <f>ROUNDUP('採算表(VND)'!H19/$N$1,2)</f>
        <v>0</v>
      </c>
      <c r="I19" s="125">
        <f>ROUNDUP('採算表(VND)'!I19/$N$1,2)</f>
        <v>0</v>
      </c>
      <c r="J19" s="125">
        <f>ROUNDUP('採算表(VND)'!J19/$N$1,2)</f>
        <v>0</v>
      </c>
      <c r="K19" s="125">
        <f>ROUNDUP('採算表(VND)'!K19/$N$1,2)</f>
        <v>0</v>
      </c>
      <c r="L19" s="125">
        <f>ROUNDUP('採算表(VND)'!L19/$N$1,2)</f>
        <v>0</v>
      </c>
      <c r="M19" s="125">
        <f>ROUNDUP('採算表(VND)'!M19/$N$1,2)</f>
        <v>0</v>
      </c>
      <c r="N19" s="125">
        <f>ROUNDUP('採算表(VND)'!N19/$N$1,2)</f>
        <v>0</v>
      </c>
      <c r="O19" s="125">
        <f t="shared" si="4"/>
        <v>0</v>
      </c>
    </row>
    <row r="20" spans="1:15" ht="11.25" customHeight="1">
      <c r="A20" s="33"/>
      <c r="B20" s="35" t="s">
        <v>16</v>
      </c>
      <c r="C20" s="125">
        <f>ROUNDUP('採算表(VND)'!C20/$N$1,2)</f>
        <v>0</v>
      </c>
      <c r="D20" s="125">
        <f>ROUNDUP('採算表(VND)'!D20/$N$1,2)</f>
        <v>0</v>
      </c>
      <c r="E20" s="125">
        <f>ROUNDUP('採算表(VND)'!E20/$N$1,2)</f>
        <v>0</v>
      </c>
      <c r="F20" s="125">
        <f>ROUNDUP('採算表(VND)'!F20/$N$1,2)</f>
        <v>0</v>
      </c>
      <c r="G20" s="125">
        <f>ROUNDUP('採算表(VND)'!G20/$N$1,2)</f>
        <v>0</v>
      </c>
      <c r="H20" s="125">
        <f>ROUNDUP('採算表(VND)'!H20/$N$1,2)</f>
        <v>0</v>
      </c>
      <c r="I20" s="125">
        <f>ROUNDUP('採算表(VND)'!I20/$N$1,2)</f>
        <v>0</v>
      </c>
      <c r="J20" s="125">
        <f>ROUNDUP('採算表(VND)'!J20/$N$1,2)</f>
        <v>0</v>
      </c>
      <c r="K20" s="125">
        <f>ROUNDUP('採算表(VND)'!K20/$N$1,2)</f>
        <v>0</v>
      </c>
      <c r="L20" s="125">
        <f>ROUNDUP('採算表(VND)'!L20/$N$1,2)</f>
        <v>0</v>
      </c>
      <c r="M20" s="125">
        <f>ROUNDUP('採算表(VND)'!M20/$N$1,2)</f>
        <v>0</v>
      </c>
      <c r="N20" s="125">
        <f>ROUNDUP('採算表(VND)'!N20/$N$1,2)</f>
        <v>0</v>
      </c>
      <c r="O20" s="125">
        <f t="shared" si="4"/>
        <v>0</v>
      </c>
    </row>
    <row r="21" spans="1:15" ht="11.25" customHeight="1">
      <c r="A21" s="33"/>
      <c r="B21" s="35" t="s">
        <v>17</v>
      </c>
      <c r="C21" s="125">
        <f>ROUNDUP('採算表(VND)'!C21/$N$1,2)</f>
        <v>0</v>
      </c>
      <c r="D21" s="125">
        <f>ROUNDUP('採算表(VND)'!D21/$N$1,2)</f>
        <v>0</v>
      </c>
      <c r="E21" s="125">
        <f>ROUNDUP('採算表(VND)'!E21/$N$1,2)</f>
        <v>0</v>
      </c>
      <c r="F21" s="125">
        <f>ROUNDUP('採算表(VND)'!F21/$N$1,2)</f>
        <v>0</v>
      </c>
      <c r="G21" s="125">
        <f>ROUNDUP('採算表(VND)'!G21/$N$1,2)</f>
        <v>0</v>
      </c>
      <c r="H21" s="125">
        <f>ROUNDUP('採算表(VND)'!H21/$N$1,2)</f>
        <v>0</v>
      </c>
      <c r="I21" s="125">
        <f>ROUNDUP('採算表(VND)'!I21/$N$1,2)</f>
        <v>0</v>
      </c>
      <c r="J21" s="125">
        <f>ROUNDUP('採算表(VND)'!J21/$N$1,2)</f>
        <v>0</v>
      </c>
      <c r="K21" s="125">
        <f>ROUNDUP('採算表(VND)'!K21/$N$1,2)</f>
        <v>0</v>
      </c>
      <c r="L21" s="125">
        <f>ROUNDUP('採算表(VND)'!L21/$N$1,2)</f>
        <v>0</v>
      </c>
      <c r="M21" s="125">
        <f>ROUNDUP('採算表(VND)'!M21/$N$1,2)</f>
        <v>0</v>
      </c>
      <c r="N21" s="125">
        <f>ROUNDUP('採算表(VND)'!N21/$N$1,2)</f>
        <v>0</v>
      </c>
      <c r="O21" s="125">
        <f t="shared" si="4"/>
        <v>0</v>
      </c>
    </row>
    <row r="22" spans="1:15" ht="11.25" customHeight="1">
      <c r="A22" s="33"/>
      <c r="B22" s="35" t="s">
        <v>18</v>
      </c>
      <c r="C22" s="125">
        <f>ROUNDUP('採算表(VND)'!C22/$N$1,2)</f>
        <v>0</v>
      </c>
      <c r="D22" s="125">
        <f>ROUNDUP('採算表(VND)'!D22/$N$1,2)</f>
        <v>0</v>
      </c>
      <c r="E22" s="125">
        <f>ROUNDUP('採算表(VND)'!E22/$N$1,2)</f>
        <v>0</v>
      </c>
      <c r="F22" s="125">
        <f>ROUNDUP('採算表(VND)'!F22/$N$1,2)</f>
        <v>0</v>
      </c>
      <c r="G22" s="125">
        <f>ROUNDUP('採算表(VND)'!G22/$N$1,2)</f>
        <v>0</v>
      </c>
      <c r="H22" s="125">
        <f>ROUNDUP('採算表(VND)'!H22/$N$1,2)</f>
        <v>0</v>
      </c>
      <c r="I22" s="125">
        <f>ROUNDUP('採算表(VND)'!I22/$N$1,2)</f>
        <v>0</v>
      </c>
      <c r="J22" s="125">
        <f>ROUNDUP('採算表(VND)'!J22/$N$1,2)</f>
        <v>0</v>
      </c>
      <c r="K22" s="125">
        <f>ROUNDUP('採算表(VND)'!K22/$N$1,2)</f>
        <v>0</v>
      </c>
      <c r="L22" s="125">
        <f>ROUNDUP('採算表(VND)'!L22/$N$1,2)</f>
        <v>0</v>
      </c>
      <c r="M22" s="125">
        <f>ROUNDUP('採算表(VND)'!M22/$N$1,2)</f>
        <v>0</v>
      </c>
      <c r="N22" s="125">
        <f>ROUNDUP('採算表(VND)'!N22/$N$1,2)</f>
        <v>0</v>
      </c>
      <c r="O22" s="125">
        <f t="shared" si="4"/>
        <v>0</v>
      </c>
    </row>
    <row r="23" spans="1:15" ht="11.25" customHeight="1">
      <c r="A23" s="33"/>
      <c r="B23" s="35" t="s">
        <v>19</v>
      </c>
      <c r="C23" s="125">
        <f>ROUNDUP('採算表(VND)'!C23/$N$1,2)</f>
        <v>0</v>
      </c>
      <c r="D23" s="125">
        <f>ROUNDUP('採算表(VND)'!D23/$N$1,2)</f>
        <v>0</v>
      </c>
      <c r="E23" s="125">
        <f>ROUNDUP('採算表(VND)'!E23/$N$1,2)</f>
        <v>0</v>
      </c>
      <c r="F23" s="125">
        <f>ROUNDUP('採算表(VND)'!F23/$N$1,2)</f>
        <v>0</v>
      </c>
      <c r="G23" s="125">
        <f>ROUNDUP('採算表(VND)'!G23/$N$1,2)</f>
        <v>0</v>
      </c>
      <c r="H23" s="125">
        <f>ROUNDUP('採算表(VND)'!H23/$N$1,2)</f>
        <v>0</v>
      </c>
      <c r="I23" s="125">
        <f>ROUNDUP('採算表(VND)'!I23/$N$1,2)</f>
        <v>0</v>
      </c>
      <c r="J23" s="125">
        <f>ROUNDUP('採算表(VND)'!J23/$N$1,2)</f>
        <v>0</v>
      </c>
      <c r="K23" s="125">
        <f>ROUNDUP('採算表(VND)'!K23/$N$1,2)</f>
        <v>0</v>
      </c>
      <c r="L23" s="125">
        <f>ROUNDUP('採算表(VND)'!L23/$N$1,2)</f>
        <v>0</v>
      </c>
      <c r="M23" s="125">
        <f>ROUNDUP('採算表(VND)'!M23/$N$1,2)</f>
        <v>0</v>
      </c>
      <c r="N23" s="125">
        <f>ROUNDUP('採算表(VND)'!N23/$N$1,2)</f>
        <v>0</v>
      </c>
      <c r="O23" s="125">
        <f t="shared" si="4"/>
        <v>0</v>
      </c>
    </row>
    <row r="24" spans="1:15" ht="11.25" customHeight="1">
      <c r="A24" s="33"/>
      <c r="B24" s="35" t="s">
        <v>20</v>
      </c>
      <c r="C24" s="125">
        <f>ROUNDUP('採算表(VND)'!C24/$N$1,2)</f>
        <v>0</v>
      </c>
      <c r="D24" s="125">
        <f>ROUNDUP('採算表(VND)'!D24/$N$1,2)</f>
        <v>0</v>
      </c>
      <c r="E24" s="125">
        <f>ROUNDUP('採算表(VND)'!E24/$N$1,2)</f>
        <v>0</v>
      </c>
      <c r="F24" s="125">
        <f>ROUNDUP('採算表(VND)'!F24/$N$1,2)</f>
        <v>0</v>
      </c>
      <c r="G24" s="125">
        <f>ROUNDUP('採算表(VND)'!G24/$N$1,2)</f>
        <v>0</v>
      </c>
      <c r="H24" s="125">
        <f>ROUNDUP('採算表(VND)'!H24/$N$1,2)</f>
        <v>0</v>
      </c>
      <c r="I24" s="125">
        <f>ROUNDUP('採算表(VND)'!I24/$N$1,2)</f>
        <v>0</v>
      </c>
      <c r="J24" s="125">
        <f>ROUNDUP('採算表(VND)'!J24/$N$1,2)</f>
        <v>0</v>
      </c>
      <c r="K24" s="125">
        <f>ROUNDUP('採算表(VND)'!K24/$N$1,2)</f>
        <v>0</v>
      </c>
      <c r="L24" s="125">
        <f>ROUNDUP('採算表(VND)'!L24/$N$1,2)</f>
        <v>0</v>
      </c>
      <c r="M24" s="125">
        <f>ROUNDUP('採算表(VND)'!M24/$N$1,2)</f>
        <v>0</v>
      </c>
      <c r="N24" s="125">
        <f>ROUNDUP('採算表(VND)'!N24/$N$1,2)</f>
        <v>0</v>
      </c>
      <c r="O24" s="125">
        <f t="shared" si="4"/>
        <v>0</v>
      </c>
    </row>
    <row r="25" spans="1:15" ht="11.25" customHeight="1">
      <c r="A25" s="33"/>
      <c r="B25" s="35" t="s">
        <v>21</v>
      </c>
      <c r="C25" s="125">
        <f>ROUNDUP('採算表(VND)'!C25/$N$1,2)</f>
        <v>0</v>
      </c>
      <c r="D25" s="125">
        <f>ROUNDUP('採算表(VND)'!D25/$N$1,2)</f>
        <v>0</v>
      </c>
      <c r="E25" s="125">
        <f>ROUNDUP('採算表(VND)'!E25/$N$1,2)</f>
        <v>0</v>
      </c>
      <c r="F25" s="125">
        <f>ROUNDUP('採算表(VND)'!F25/$N$1,2)</f>
        <v>0</v>
      </c>
      <c r="G25" s="125">
        <f>ROUNDUP('採算表(VND)'!G25/$N$1,2)</f>
        <v>0</v>
      </c>
      <c r="H25" s="125">
        <f>ROUNDUP('採算表(VND)'!H25/$N$1,2)</f>
        <v>0</v>
      </c>
      <c r="I25" s="125">
        <f>ROUNDUP('採算表(VND)'!I25/$N$1,2)</f>
        <v>0</v>
      </c>
      <c r="J25" s="125">
        <f>ROUNDUP('採算表(VND)'!J25/$N$1,2)</f>
        <v>0</v>
      </c>
      <c r="K25" s="125">
        <f>ROUNDUP('採算表(VND)'!K25/$N$1,2)</f>
        <v>0</v>
      </c>
      <c r="L25" s="125">
        <f>ROUNDUP('採算表(VND)'!L25/$N$1,2)</f>
        <v>0</v>
      </c>
      <c r="M25" s="125">
        <f>ROUNDUP('採算表(VND)'!M25/$N$1,2)</f>
        <v>0</v>
      </c>
      <c r="N25" s="125">
        <f>ROUNDUP('採算表(VND)'!N25/$N$1,2)</f>
        <v>0</v>
      </c>
      <c r="O25" s="125">
        <f t="shared" si="4"/>
        <v>0</v>
      </c>
    </row>
    <row r="26" spans="1:15" ht="11.25" customHeight="1">
      <c r="A26" s="33"/>
      <c r="B26" s="36" t="s">
        <v>22</v>
      </c>
      <c r="C26" s="125">
        <f>ROUNDUP('採算表(VND)'!C26/$N$1,2)</f>
        <v>0</v>
      </c>
      <c r="D26" s="125">
        <f>ROUNDUP('採算表(VND)'!D26/$N$1,2)</f>
        <v>0</v>
      </c>
      <c r="E26" s="125">
        <f>ROUNDUP('採算表(VND)'!E26/$N$1,2)</f>
        <v>0</v>
      </c>
      <c r="F26" s="125">
        <f>ROUNDUP('採算表(VND)'!F26/$N$1,2)</f>
        <v>0</v>
      </c>
      <c r="G26" s="125">
        <f>ROUNDUP('採算表(VND)'!G26/$N$1,2)</f>
        <v>0</v>
      </c>
      <c r="H26" s="125">
        <f>ROUNDUP('採算表(VND)'!H26/$N$1,2)</f>
        <v>0</v>
      </c>
      <c r="I26" s="125">
        <f>ROUNDUP('採算表(VND)'!I26/$N$1,2)</f>
        <v>0</v>
      </c>
      <c r="J26" s="125">
        <f>ROUNDUP('採算表(VND)'!J26/$N$1,2)</f>
        <v>0</v>
      </c>
      <c r="K26" s="125">
        <f>ROUNDUP('採算表(VND)'!K26/$N$1,2)</f>
        <v>0</v>
      </c>
      <c r="L26" s="125">
        <f>ROUNDUP('採算表(VND)'!L26/$N$1,2)</f>
        <v>0</v>
      </c>
      <c r="M26" s="125">
        <f>ROUNDUP('採算表(VND)'!M26/$N$1,2)</f>
        <v>0</v>
      </c>
      <c r="N26" s="125">
        <f>ROUNDUP('採算表(VND)'!N26/$N$1,2)</f>
        <v>0</v>
      </c>
      <c r="O26" s="125">
        <f t="shared" si="4"/>
        <v>0</v>
      </c>
    </row>
    <row r="27" spans="1:15" ht="11.25" customHeight="1">
      <c r="A27" s="33"/>
      <c r="B27" s="36" t="s">
        <v>23</v>
      </c>
      <c r="C27" s="125">
        <f>ROUNDUP('採算表(VND)'!C27/$N$1,2)</f>
        <v>0</v>
      </c>
      <c r="D27" s="125">
        <f>ROUNDUP('採算表(VND)'!D27/$N$1,2)</f>
        <v>0</v>
      </c>
      <c r="E27" s="125">
        <f>ROUNDUP('採算表(VND)'!E27/$N$1,2)</f>
        <v>0</v>
      </c>
      <c r="F27" s="125">
        <f>ROUNDUP('採算表(VND)'!F27/$N$1,2)</f>
        <v>0</v>
      </c>
      <c r="G27" s="125">
        <f>ROUNDUP('採算表(VND)'!G27/$N$1,2)</f>
        <v>0</v>
      </c>
      <c r="H27" s="125">
        <f>ROUNDUP('採算表(VND)'!H27/$N$1,2)</f>
        <v>0</v>
      </c>
      <c r="I27" s="125">
        <f>ROUNDUP('採算表(VND)'!I27/$N$1,2)</f>
        <v>0</v>
      </c>
      <c r="J27" s="125">
        <f>ROUNDUP('採算表(VND)'!J27/$N$1,2)</f>
        <v>0</v>
      </c>
      <c r="K27" s="125">
        <f>ROUNDUP('採算表(VND)'!K27/$N$1,2)</f>
        <v>0</v>
      </c>
      <c r="L27" s="125">
        <f>ROUNDUP('採算表(VND)'!L27/$N$1,2)</f>
        <v>0</v>
      </c>
      <c r="M27" s="125">
        <f>ROUNDUP('採算表(VND)'!M27/$N$1,2)</f>
        <v>0</v>
      </c>
      <c r="N27" s="125">
        <f>ROUNDUP('採算表(VND)'!N27/$N$1,2)</f>
        <v>0</v>
      </c>
      <c r="O27" s="125">
        <f t="shared" si="4"/>
        <v>0</v>
      </c>
    </row>
    <row r="28" spans="1:15" ht="11.25" customHeight="1">
      <c r="A28" s="33"/>
      <c r="B28" s="36" t="s">
        <v>24</v>
      </c>
      <c r="C28" s="125">
        <f>ROUNDUP('採算表(VND)'!C28/$N$1,2)</f>
        <v>0</v>
      </c>
      <c r="D28" s="125">
        <f>ROUNDUP('採算表(VND)'!D28/$N$1,2)</f>
        <v>0</v>
      </c>
      <c r="E28" s="125">
        <f>ROUNDUP('採算表(VND)'!E28/$N$1,2)</f>
        <v>0</v>
      </c>
      <c r="F28" s="125">
        <f>ROUNDUP('採算表(VND)'!F28/$N$1,2)</f>
        <v>0</v>
      </c>
      <c r="G28" s="125">
        <f>ROUNDUP('採算表(VND)'!G28/$N$1,2)</f>
        <v>0</v>
      </c>
      <c r="H28" s="125">
        <f>ROUNDUP('採算表(VND)'!H28/$N$1,2)</f>
        <v>0</v>
      </c>
      <c r="I28" s="125">
        <f>ROUNDUP('採算表(VND)'!I28/$N$1,2)</f>
        <v>0</v>
      </c>
      <c r="J28" s="125">
        <f>ROUNDUP('採算表(VND)'!J28/$N$1,2)</f>
        <v>0</v>
      </c>
      <c r="K28" s="125">
        <f>ROUNDUP('採算表(VND)'!K28/$N$1,2)</f>
        <v>0</v>
      </c>
      <c r="L28" s="125">
        <f>ROUNDUP('採算表(VND)'!L28/$N$1,2)</f>
        <v>0</v>
      </c>
      <c r="M28" s="125">
        <f>ROUNDUP('採算表(VND)'!M28/$N$1,2)</f>
        <v>0</v>
      </c>
      <c r="N28" s="125">
        <f>ROUNDUP('採算表(VND)'!N28/$N$1,2)</f>
        <v>0</v>
      </c>
      <c r="O28" s="125">
        <f t="shared" si="4"/>
        <v>0</v>
      </c>
    </row>
    <row r="29" spans="1:15" ht="11.25" customHeight="1">
      <c r="A29" s="33"/>
      <c r="B29" s="36" t="s">
        <v>25</v>
      </c>
      <c r="C29" s="125">
        <f>ROUNDUP('採算表(VND)'!C29/$N$1,2)</f>
        <v>0</v>
      </c>
      <c r="D29" s="125">
        <f>ROUNDUP('採算表(VND)'!D29/$N$1,2)</f>
        <v>0</v>
      </c>
      <c r="E29" s="125">
        <f>ROUNDUP('採算表(VND)'!E29/$N$1,2)</f>
        <v>0</v>
      </c>
      <c r="F29" s="125">
        <f>ROUNDUP('採算表(VND)'!F29/$N$1,2)</f>
        <v>0</v>
      </c>
      <c r="G29" s="125">
        <f>ROUNDUP('採算表(VND)'!G29/$N$1,2)</f>
        <v>0</v>
      </c>
      <c r="H29" s="125">
        <f>ROUNDUP('採算表(VND)'!H29/$N$1,2)</f>
        <v>0</v>
      </c>
      <c r="I29" s="125">
        <f>ROUNDUP('採算表(VND)'!I29/$N$1,2)</f>
        <v>0</v>
      </c>
      <c r="J29" s="125">
        <f>ROUNDUP('採算表(VND)'!J29/$N$1,2)</f>
        <v>0</v>
      </c>
      <c r="K29" s="125">
        <f>ROUNDUP('採算表(VND)'!K29/$N$1,2)</f>
        <v>0</v>
      </c>
      <c r="L29" s="125">
        <f>ROUNDUP('採算表(VND)'!L29/$N$1,2)</f>
        <v>0</v>
      </c>
      <c r="M29" s="125">
        <f>ROUNDUP('採算表(VND)'!M29/$N$1,2)</f>
        <v>0</v>
      </c>
      <c r="N29" s="125">
        <f>ROUNDUP('採算表(VND)'!N29/$N$1,2)</f>
        <v>0</v>
      </c>
      <c r="O29" s="125">
        <f t="shared" si="4"/>
        <v>0</v>
      </c>
    </row>
    <row r="30" spans="1:15" ht="11.25" customHeight="1">
      <c r="A30" s="33"/>
      <c r="B30" s="36" t="s">
        <v>26</v>
      </c>
      <c r="C30" s="125">
        <f>ROUNDUP('採算表(VND)'!C30/$N$1,2)</f>
        <v>0</v>
      </c>
      <c r="D30" s="125">
        <f>ROUNDUP('採算表(VND)'!D30/$N$1,2)</f>
        <v>0</v>
      </c>
      <c r="E30" s="125">
        <f>ROUNDUP('採算表(VND)'!E30/$N$1,2)</f>
        <v>0</v>
      </c>
      <c r="F30" s="125">
        <f>ROUNDUP('採算表(VND)'!F30/$N$1,2)</f>
        <v>0</v>
      </c>
      <c r="G30" s="125">
        <f>ROUNDUP('採算表(VND)'!G30/$N$1,2)</f>
        <v>0</v>
      </c>
      <c r="H30" s="125">
        <f>ROUNDUP('採算表(VND)'!H30/$N$1,2)</f>
        <v>0</v>
      </c>
      <c r="I30" s="125">
        <f>ROUNDUP('採算表(VND)'!I30/$N$1,2)</f>
        <v>0</v>
      </c>
      <c r="J30" s="125">
        <f>ROUNDUP('採算表(VND)'!J30/$N$1,2)</f>
        <v>0</v>
      </c>
      <c r="K30" s="125">
        <f>ROUNDUP('採算表(VND)'!K30/$N$1,2)</f>
        <v>0</v>
      </c>
      <c r="L30" s="125">
        <f>ROUNDUP('採算表(VND)'!L30/$N$1,2)</f>
        <v>0</v>
      </c>
      <c r="M30" s="125">
        <f>ROUNDUP('採算表(VND)'!M30/$N$1,2)</f>
        <v>0</v>
      </c>
      <c r="N30" s="125">
        <f>ROUNDUP('採算表(VND)'!N30/$N$1,2)</f>
        <v>0</v>
      </c>
      <c r="O30" s="125">
        <f t="shared" si="4"/>
        <v>0</v>
      </c>
    </row>
    <row r="31" spans="1:15" ht="11.25" customHeight="1">
      <c r="A31" s="33"/>
      <c r="B31" s="36" t="s">
        <v>27</v>
      </c>
      <c r="C31" s="125">
        <f>ROUNDUP('採算表(VND)'!C31/$N$1,2)</f>
        <v>0</v>
      </c>
      <c r="D31" s="125">
        <f>ROUNDUP('採算表(VND)'!D31/$N$1,2)</f>
        <v>0</v>
      </c>
      <c r="E31" s="125">
        <f>ROUNDUP('採算表(VND)'!E31/$N$1,2)</f>
        <v>0</v>
      </c>
      <c r="F31" s="125">
        <f>ROUNDUP('採算表(VND)'!F31/$N$1,2)</f>
        <v>0</v>
      </c>
      <c r="G31" s="125">
        <f>ROUNDUP('採算表(VND)'!G31/$N$1,2)</f>
        <v>0</v>
      </c>
      <c r="H31" s="125">
        <f>ROUNDUP('採算表(VND)'!H31/$N$1,2)</f>
        <v>0</v>
      </c>
      <c r="I31" s="125">
        <f>ROUNDUP('採算表(VND)'!I31/$N$1,2)</f>
        <v>0</v>
      </c>
      <c r="J31" s="125">
        <f>ROUNDUP('採算表(VND)'!J31/$N$1,2)</f>
        <v>0</v>
      </c>
      <c r="K31" s="125">
        <f>ROUNDUP('採算表(VND)'!K31/$N$1,2)</f>
        <v>0</v>
      </c>
      <c r="L31" s="125">
        <f>ROUNDUP('採算表(VND)'!L31/$N$1,2)</f>
        <v>0</v>
      </c>
      <c r="M31" s="125">
        <f>ROUNDUP('採算表(VND)'!M31/$N$1,2)</f>
        <v>0</v>
      </c>
      <c r="N31" s="125">
        <f>ROUNDUP('採算表(VND)'!N31/$N$1,2)</f>
        <v>0</v>
      </c>
      <c r="O31" s="125">
        <f t="shared" si="4"/>
        <v>0</v>
      </c>
    </row>
    <row r="32" spans="1:15" ht="11.25" customHeight="1">
      <c r="A32" s="37"/>
      <c r="B32" s="36" t="s">
        <v>28</v>
      </c>
      <c r="C32" s="125">
        <f>ROUNDUP('採算表(VND)'!C32/$N$1,2)</f>
        <v>0</v>
      </c>
      <c r="D32" s="125">
        <f>ROUNDUP('採算表(VND)'!D32/$N$1,2)</f>
        <v>0</v>
      </c>
      <c r="E32" s="125">
        <f>ROUNDUP('採算表(VND)'!E32/$N$1,2)</f>
        <v>0</v>
      </c>
      <c r="F32" s="125">
        <f>ROUNDUP('採算表(VND)'!F32/$N$1,2)</f>
        <v>0</v>
      </c>
      <c r="G32" s="125">
        <f>ROUNDUP('採算表(VND)'!G32/$N$1,2)</f>
        <v>0</v>
      </c>
      <c r="H32" s="125">
        <f>ROUNDUP('採算表(VND)'!H32/$N$1,2)</f>
        <v>0</v>
      </c>
      <c r="I32" s="125">
        <f>ROUNDUP('採算表(VND)'!I32/$N$1,2)</f>
        <v>0</v>
      </c>
      <c r="J32" s="125">
        <f>ROUNDUP('採算表(VND)'!J32/$N$1,2)</f>
        <v>0</v>
      </c>
      <c r="K32" s="125">
        <f>ROUNDUP('採算表(VND)'!K32/$N$1,2)</f>
        <v>0</v>
      </c>
      <c r="L32" s="125">
        <f>ROUNDUP('採算表(VND)'!L32/$N$1,2)</f>
        <v>0</v>
      </c>
      <c r="M32" s="125">
        <f>ROUNDUP('採算表(VND)'!M32/$N$1,2)</f>
        <v>0</v>
      </c>
      <c r="N32" s="125">
        <f>ROUNDUP('採算表(VND)'!N32/$N$1,2)</f>
        <v>0</v>
      </c>
      <c r="O32" s="125">
        <f t="shared" si="4"/>
        <v>0</v>
      </c>
    </row>
    <row r="33" spans="1:15" ht="11.25" customHeight="1">
      <c r="A33" s="37"/>
      <c r="B33" s="36" t="s">
        <v>29</v>
      </c>
      <c r="C33" s="125">
        <f>ROUNDUP('採算表(VND)'!C33/$N$1,2)</f>
        <v>0</v>
      </c>
      <c r="D33" s="125">
        <f>ROUNDUP('採算表(VND)'!D33/$N$1,2)</f>
        <v>0</v>
      </c>
      <c r="E33" s="125">
        <f>ROUNDUP('採算表(VND)'!E33/$N$1,2)</f>
        <v>0</v>
      </c>
      <c r="F33" s="125">
        <f>ROUNDUP('採算表(VND)'!F33/$N$1,2)</f>
        <v>0</v>
      </c>
      <c r="G33" s="125">
        <f>ROUNDUP('採算表(VND)'!G33/$N$1,2)</f>
        <v>0</v>
      </c>
      <c r="H33" s="125">
        <f>ROUNDUP('採算表(VND)'!H33/$N$1,2)</f>
        <v>0</v>
      </c>
      <c r="I33" s="125">
        <f>ROUNDUP('採算表(VND)'!I33/$N$1,2)</f>
        <v>0</v>
      </c>
      <c r="J33" s="125">
        <f>ROUNDUP('採算表(VND)'!J33/$N$1,2)</f>
        <v>0</v>
      </c>
      <c r="K33" s="125">
        <f>ROUNDUP('採算表(VND)'!K33/$N$1,2)</f>
        <v>0</v>
      </c>
      <c r="L33" s="125">
        <f>ROUNDUP('採算表(VND)'!L33/$N$1,2)</f>
        <v>0</v>
      </c>
      <c r="M33" s="125">
        <f>ROUNDUP('採算表(VND)'!M33/$N$1,2)</f>
        <v>0</v>
      </c>
      <c r="N33" s="125">
        <f>ROUNDUP('採算表(VND)'!N33/$N$1,2)</f>
        <v>0</v>
      </c>
      <c r="O33" s="125">
        <f t="shared" si="4"/>
        <v>0</v>
      </c>
    </row>
    <row r="34" spans="1:15" ht="11.25" customHeight="1">
      <c r="A34" s="37"/>
      <c r="B34" s="36" t="s">
        <v>30</v>
      </c>
      <c r="C34" s="125">
        <f>ROUNDUP('採算表(VND)'!C34/$N$1,2)</f>
        <v>0</v>
      </c>
      <c r="D34" s="125">
        <f>ROUNDUP('採算表(VND)'!D34/$N$1,2)</f>
        <v>0</v>
      </c>
      <c r="E34" s="125">
        <f>ROUNDUP('採算表(VND)'!E34/$N$1,2)</f>
        <v>0</v>
      </c>
      <c r="F34" s="125">
        <f>ROUNDUP('採算表(VND)'!F34/$N$1,2)</f>
        <v>0</v>
      </c>
      <c r="G34" s="125">
        <f>ROUNDUP('採算表(VND)'!G34/$N$1,2)</f>
        <v>0</v>
      </c>
      <c r="H34" s="125">
        <f>ROUNDUP('採算表(VND)'!H34/$N$1,2)</f>
        <v>0</v>
      </c>
      <c r="I34" s="125">
        <f>ROUNDUP('採算表(VND)'!I34/$N$1,2)</f>
        <v>0</v>
      </c>
      <c r="J34" s="125">
        <f>ROUNDUP('採算表(VND)'!J34/$N$1,2)</f>
        <v>0</v>
      </c>
      <c r="K34" s="125">
        <f>ROUNDUP('採算表(VND)'!K34/$N$1,2)</f>
        <v>0</v>
      </c>
      <c r="L34" s="125">
        <f>ROUNDUP('採算表(VND)'!L34/$N$1,2)</f>
        <v>0</v>
      </c>
      <c r="M34" s="125">
        <f>ROUNDUP('採算表(VND)'!M34/$N$1,2)</f>
        <v>0</v>
      </c>
      <c r="N34" s="125">
        <f>ROUNDUP('採算表(VND)'!N34/$N$1,2)</f>
        <v>0</v>
      </c>
      <c r="O34" s="125">
        <f t="shared" si="4"/>
        <v>0</v>
      </c>
    </row>
    <row r="35" spans="1:15" ht="11.25" customHeight="1">
      <c r="A35" s="37"/>
      <c r="B35" s="36" t="s">
        <v>31</v>
      </c>
      <c r="C35" s="125">
        <f>ROUNDUP('採算表(VND)'!C35/$N$1,2)</f>
        <v>0</v>
      </c>
      <c r="D35" s="125">
        <f>ROUNDUP('採算表(VND)'!D35/$N$1,2)</f>
        <v>0</v>
      </c>
      <c r="E35" s="125">
        <f>ROUNDUP('採算表(VND)'!E35/$N$1,2)</f>
        <v>0</v>
      </c>
      <c r="F35" s="125">
        <f>ROUNDUP('採算表(VND)'!F35/$N$1,2)</f>
        <v>0</v>
      </c>
      <c r="G35" s="125">
        <f>ROUNDUP('採算表(VND)'!G35/$N$1,2)</f>
        <v>0</v>
      </c>
      <c r="H35" s="125">
        <f>ROUNDUP('採算表(VND)'!H35/$N$1,2)</f>
        <v>0</v>
      </c>
      <c r="I35" s="125">
        <f>ROUNDUP('採算表(VND)'!I35/$N$1,2)</f>
        <v>0</v>
      </c>
      <c r="J35" s="125">
        <f>ROUNDUP('採算表(VND)'!J35/$N$1,2)</f>
        <v>0</v>
      </c>
      <c r="K35" s="125">
        <f>ROUNDUP('採算表(VND)'!K35/$N$1,2)</f>
        <v>0</v>
      </c>
      <c r="L35" s="125">
        <f>ROUNDUP('採算表(VND)'!L35/$N$1,2)</f>
        <v>0</v>
      </c>
      <c r="M35" s="125">
        <f>ROUNDUP('採算表(VND)'!M35/$N$1,2)</f>
        <v>0</v>
      </c>
      <c r="N35" s="125">
        <f>ROUNDUP('採算表(VND)'!N35/$N$1,2)</f>
        <v>0</v>
      </c>
      <c r="O35" s="125">
        <f t="shared" si="4"/>
        <v>0</v>
      </c>
    </row>
    <row r="36" spans="1:15" ht="11.25" customHeight="1">
      <c r="A36" s="37"/>
      <c r="B36" s="36" t="s">
        <v>32</v>
      </c>
      <c r="C36" s="125">
        <f>ROUNDUP('採算表(VND)'!C36/$N$1,2)</f>
        <v>0</v>
      </c>
      <c r="D36" s="125">
        <f>ROUNDUP('採算表(VND)'!D36/$N$1,2)</f>
        <v>0</v>
      </c>
      <c r="E36" s="125">
        <f>ROUNDUP('採算表(VND)'!E36/$N$1,2)</f>
        <v>0</v>
      </c>
      <c r="F36" s="125">
        <f>ROUNDUP('採算表(VND)'!F36/$N$1,2)</f>
        <v>0</v>
      </c>
      <c r="G36" s="125">
        <f>ROUNDUP('採算表(VND)'!G36/$N$1,2)</f>
        <v>0</v>
      </c>
      <c r="H36" s="125">
        <f>ROUNDUP('採算表(VND)'!H36/$N$1,2)</f>
        <v>0</v>
      </c>
      <c r="I36" s="125">
        <f>ROUNDUP('採算表(VND)'!I36/$N$1,2)</f>
        <v>0</v>
      </c>
      <c r="J36" s="125">
        <f>ROUNDUP('採算表(VND)'!J36/$N$1,2)</f>
        <v>0</v>
      </c>
      <c r="K36" s="125">
        <f>ROUNDUP('採算表(VND)'!K36/$N$1,2)</f>
        <v>0</v>
      </c>
      <c r="L36" s="125">
        <f>ROUNDUP('採算表(VND)'!L36/$N$1,2)</f>
        <v>0</v>
      </c>
      <c r="M36" s="125">
        <f>ROUNDUP('採算表(VND)'!M36/$N$1,2)</f>
        <v>0</v>
      </c>
      <c r="N36" s="125">
        <f>ROUNDUP('採算表(VND)'!N36/$N$1,2)</f>
        <v>0</v>
      </c>
      <c r="O36" s="125">
        <f t="shared" si="4"/>
        <v>0</v>
      </c>
    </row>
    <row r="37" spans="1:15" ht="11.25" customHeight="1">
      <c r="A37" s="37"/>
      <c r="B37" s="36" t="s">
        <v>33</v>
      </c>
      <c r="C37" s="125">
        <f>ROUNDUP('採算表(VND)'!C37/$N$1,2)</f>
        <v>0</v>
      </c>
      <c r="D37" s="125">
        <f>ROUNDUP('採算表(VND)'!D37/$N$1,2)</f>
        <v>0</v>
      </c>
      <c r="E37" s="125">
        <f>ROUNDUP('採算表(VND)'!E37/$N$1,2)</f>
        <v>0</v>
      </c>
      <c r="F37" s="125">
        <f>ROUNDUP('採算表(VND)'!F37/$N$1,2)</f>
        <v>0</v>
      </c>
      <c r="G37" s="125">
        <f>ROUNDUP('採算表(VND)'!G37/$N$1,2)</f>
        <v>0</v>
      </c>
      <c r="H37" s="125">
        <f>ROUNDUP('採算表(VND)'!H37/$N$1,2)</f>
        <v>0</v>
      </c>
      <c r="I37" s="125">
        <f>ROUNDUP('採算表(VND)'!I37/$N$1,2)</f>
        <v>0</v>
      </c>
      <c r="J37" s="125">
        <f>ROUNDUP('採算表(VND)'!J37/$N$1,2)</f>
        <v>0</v>
      </c>
      <c r="K37" s="125">
        <f>ROUNDUP('採算表(VND)'!K37/$N$1,2)</f>
        <v>0</v>
      </c>
      <c r="L37" s="125">
        <f>ROUNDUP('採算表(VND)'!L37/$N$1,2)</f>
        <v>0</v>
      </c>
      <c r="M37" s="125">
        <f>ROUNDUP('採算表(VND)'!M37/$N$1,2)</f>
        <v>0</v>
      </c>
      <c r="N37" s="125">
        <f>ROUNDUP('採算表(VND)'!N37/$N$1,2)</f>
        <v>0</v>
      </c>
      <c r="O37" s="125">
        <f t="shared" si="4"/>
        <v>0</v>
      </c>
    </row>
    <row r="38" spans="1:15" ht="11.25" customHeight="1">
      <c r="A38" s="37"/>
      <c r="B38" s="36" t="s">
        <v>34</v>
      </c>
      <c r="C38" s="125">
        <f>ROUNDUP('採算表(VND)'!C38/$N$1,2)</f>
        <v>0</v>
      </c>
      <c r="D38" s="125">
        <f>ROUNDUP('採算表(VND)'!D38/$N$1,2)</f>
        <v>0</v>
      </c>
      <c r="E38" s="125">
        <f>ROUNDUP('採算表(VND)'!E38/$N$1,2)</f>
        <v>0</v>
      </c>
      <c r="F38" s="125">
        <f>ROUNDUP('採算表(VND)'!F38/$N$1,2)</f>
        <v>0</v>
      </c>
      <c r="G38" s="125">
        <f>ROUNDUP('採算表(VND)'!G38/$N$1,2)</f>
        <v>0</v>
      </c>
      <c r="H38" s="125">
        <f>ROUNDUP('採算表(VND)'!H38/$N$1,2)</f>
        <v>0</v>
      </c>
      <c r="I38" s="125">
        <f>ROUNDUP('採算表(VND)'!I38/$N$1,2)</f>
        <v>0</v>
      </c>
      <c r="J38" s="125">
        <f>ROUNDUP('採算表(VND)'!J38/$N$1,2)</f>
        <v>0</v>
      </c>
      <c r="K38" s="125">
        <f>ROUNDUP('採算表(VND)'!K38/$N$1,2)</f>
        <v>0</v>
      </c>
      <c r="L38" s="125">
        <f>ROUNDUP('採算表(VND)'!L38/$N$1,2)</f>
        <v>0</v>
      </c>
      <c r="M38" s="125">
        <f>ROUNDUP('採算表(VND)'!M38/$N$1,2)</f>
        <v>0</v>
      </c>
      <c r="N38" s="125">
        <f>ROUNDUP('採算表(VND)'!N38/$N$1,2)</f>
        <v>0</v>
      </c>
      <c r="O38" s="125">
        <f t="shared" si="4"/>
        <v>0</v>
      </c>
    </row>
    <row r="39" spans="1:15" ht="11.25" customHeight="1">
      <c r="A39" s="37"/>
      <c r="B39" s="36" t="s">
        <v>35</v>
      </c>
      <c r="C39" s="125">
        <f>ROUNDUP('採算表(VND)'!C39/$N$1,2)</f>
        <v>0</v>
      </c>
      <c r="D39" s="125">
        <f>ROUNDUP('採算表(VND)'!D39/$N$1,2)</f>
        <v>0</v>
      </c>
      <c r="E39" s="125">
        <f>ROUNDUP('採算表(VND)'!E39/$N$1,2)</f>
        <v>0</v>
      </c>
      <c r="F39" s="125">
        <f>ROUNDUP('採算表(VND)'!F39/$N$1,2)</f>
        <v>0</v>
      </c>
      <c r="G39" s="125">
        <f>ROUNDUP('採算表(VND)'!G39/$N$1,2)</f>
        <v>0</v>
      </c>
      <c r="H39" s="125">
        <f>ROUNDUP('採算表(VND)'!H39/$N$1,2)</f>
        <v>0</v>
      </c>
      <c r="I39" s="125">
        <f>ROUNDUP('採算表(VND)'!I39/$N$1,2)</f>
        <v>0</v>
      </c>
      <c r="J39" s="125">
        <f>ROUNDUP('採算表(VND)'!J39/$N$1,2)</f>
        <v>0</v>
      </c>
      <c r="K39" s="125">
        <f>ROUNDUP('採算表(VND)'!K39/$N$1,2)</f>
        <v>0</v>
      </c>
      <c r="L39" s="125">
        <f>ROUNDUP('採算表(VND)'!L39/$N$1,2)</f>
        <v>0</v>
      </c>
      <c r="M39" s="125">
        <f>ROUNDUP('採算表(VND)'!M39/$N$1,2)</f>
        <v>0</v>
      </c>
      <c r="N39" s="125">
        <f>ROUNDUP('採算表(VND)'!N39/$N$1,2)</f>
        <v>0</v>
      </c>
      <c r="O39" s="125">
        <f t="shared" si="4"/>
        <v>0</v>
      </c>
    </row>
    <row r="40" spans="1:15" ht="11.25" customHeight="1">
      <c r="A40" s="37"/>
      <c r="B40" s="36" t="s">
        <v>36</v>
      </c>
      <c r="C40" s="125">
        <f>ROUNDUP('採算表(VND)'!C40/$N$1,2)</f>
        <v>0</v>
      </c>
      <c r="D40" s="125">
        <f>ROUNDUP('採算表(VND)'!D40/$N$1,2)</f>
        <v>0</v>
      </c>
      <c r="E40" s="125">
        <f>ROUNDUP('採算表(VND)'!E40/$N$1,2)</f>
        <v>0</v>
      </c>
      <c r="F40" s="125">
        <f>ROUNDUP('採算表(VND)'!F40/$N$1,2)</f>
        <v>0</v>
      </c>
      <c r="G40" s="125">
        <f>ROUNDUP('採算表(VND)'!G40/$N$1,2)</f>
        <v>0</v>
      </c>
      <c r="H40" s="125">
        <f>ROUNDUP('採算表(VND)'!H40/$N$1,2)</f>
        <v>0</v>
      </c>
      <c r="I40" s="125">
        <f>ROUNDUP('採算表(VND)'!I40/$N$1,2)</f>
        <v>0</v>
      </c>
      <c r="J40" s="125">
        <f>ROUNDUP('採算表(VND)'!J40/$N$1,2)</f>
        <v>0</v>
      </c>
      <c r="K40" s="125">
        <f>ROUNDUP('採算表(VND)'!K40/$N$1,2)</f>
        <v>0</v>
      </c>
      <c r="L40" s="125">
        <f>ROUNDUP('採算表(VND)'!L40/$N$1,2)</f>
        <v>0</v>
      </c>
      <c r="M40" s="125">
        <f>ROUNDUP('採算表(VND)'!M40/$N$1,2)</f>
        <v>0</v>
      </c>
      <c r="N40" s="125">
        <f>ROUNDUP('採算表(VND)'!N40/$N$1,2)</f>
        <v>0</v>
      </c>
      <c r="O40" s="125">
        <f t="shared" si="4"/>
        <v>0</v>
      </c>
    </row>
    <row r="41" spans="1:15" ht="11.25" customHeight="1">
      <c r="A41" s="37"/>
      <c r="B41" s="36" t="s">
        <v>37</v>
      </c>
      <c r="C41" s="125">
        <f>ROUNDUP('採算表(VND)'!C41/$N$1,2)</f>
        <v>0</v>
      </c>
      <c r="D41" s="125">
        <f>ROUNDUP('採算表(VND)'!D41/$N$1,2)</f>
        <v>0</v>
      </c>
      <c r="E41" s="125">
        <f>ROUNDUP('採算表(VND)'!E41/$N$1,2)</f>
        <v>0</v>
      </c>
      <c r="F41" s="125">
        <f>ROUNDUP('採算表(VND)'!F41/$N$1,2)</f>
        <v>0</v>
      </c>
      <c r="G41" s="125">
        <f>ROUNDUP('採算表(VND)'!G41/$N$1,2)</f>
        <v>0</v>
      </c>
      <c r="H41" s="125">
        <f>ROUNDUP('採算表(VND)'!H41/$N$1,2)</f>
        <v>0</v>
      </c>
      <c r="I41" s="125">
        <f>ROUNDUP('採算表(VND)'!I41/$N$1,2)</f>
        <v>0</v>
      </c>
      <c r="J41" s="125">
        <f>ROUNDUP('採算表(VND)'!J41/$N$1,2)</f>
        <v>0</v>
      </c>
      <c r="K41" s="125">
        <f>ROUNDUP('採算表(VND)'!K41/$N$1,2)</f>
        <v>0</v>
      </c>
      <c r="L41" s="125">
        <f>ROUNDUP('採算表(VND)'!L41/$N$1,2)</f>
        <v>0</v>
      </c>
      <c r="M41" s="125">
        <f>ROUNDUP('採算表(VND)'!M41/$N$1,2)</f>
        <v>0</v>
      </c>
      <c r="N41" s="125">
        <f>ROUNDUP('採算表(VND)'!N41/$N$1,2)</f>
        <v>0</v>
      </c>
      <c r="O41" s="125">
        <f t="shared" si="4"/>
        <v>0</v>
      </c>
    </row>
    <row r="42" spans="1:15" ht="11.25" customHeight="1">
      <c r="A42" s="37"/>
      <c r="B42" s="36" t="s">
        <v>38</v>
      </c>
      <c r="C42" s="125">
        <f>ROUNDUP('採算表(VND)'!C42/$N$1,2)</f>
        <v>0</v>
      </c>
      <c r="D42" s="125">
        <f>ROUNDUP('採算表(VND)'!D42/$N$1,2)</f>
        <v>0</v>
      </c>
      <c r="E42" s="125">
        <f>ROUNDUP('採算表(VND)'!E42/$N$1,2)</f>
        <v>0</v>
      </c>
      <c r="F42" s="125">
        <f>ROUNDUP('採算表(VND)'!F42/$N$1,2)</f>
        <v>0</v>
      </c>
      <c r="G42" s="125">
        <f>ROUNDUP('採算表(VND)'!G42/$N$1,2)</f>
        <v>0</v>
      </c>
      <c r="H42" s="125">
        <f>ROUNDUP('採算表(VND)'!H42/$N$1,2)</f>
        <v>0</v>
      </c>
      <c r="I42" s="125">
        <f>ROUNDUP('採算表(VND)'!I42/$N$1,2)</f>
        <v>0</v>
      </c>
      <c r="J42" s="125">
        <f>ROUNDUP('採算表(VND)'!J42/$N$1,2)</f>
        <v>0</v>
      </c>
      <c r="K42" s="125">
        <f>ROUNDUP('採算表(VND)'!K42/$N$1,2)</f>
        <v>0</v>
      </c>
      <c r="L42" s="125">
        <f>ROUNDUP('採算表(VND)'!L42/$N$1,2)</f>
        <v>0</v>
      </c>
      <c r="M42" s="125">
        <f>ROUNDUP('採算表(VND)'!M42/$N$1,2)</f>
        <v>0</v>
      </c>
      <c r="N42" s="125">
        <f>ROUNDUP('採算表(VND)'!N42/$N$1,2)</f>
        <v>0</v>
      </c>
      <c r="O42" s="125">
        <f t="shared" si="4"/>
        <v>0</v>
      </c>
    </row>
    <row r="43" spans="1:15" ht="11.25" customHeight="1">
      <c r="A43" s="37"/>
      <c r="B43" s="36" t="s">
        <v>39</v>
      </c>
      <c r="C43" s="125">
        <f>ROUNDUP('採算表(VND)'!C43/$N$1,2)</f>
        <v>0</v>
      </c>
      <c r="D43" s="125">
        <f>ROUNDUP('採算表(VND)'!D43/$N$1,2)</f>
        <v>0</v>
      </c>
      <c r="E43" s="125">
        <f>ROUNDUP('採算表(VND)'!E43/$N$1,2)</f>
        <v>0</v>
      </c>
      <c r="F43" s="125">
        <f>ROUNDUP('採算表(VND)'!F43/$N$1,2)</f>
        <v>0</v>
      </c>
      <c r="G43" s="125">
        <f>ROUNDUP('採算表(VND)'!G43/$N$1,2)</f>
        <v>0</v>
      </c>
      <c r="H43" s="125">
        <f>ROUNDUP('採算表(VND)'!H43/$N$1,2)</f>
        <v>0</v>
      </c>
      <c r="I43" s="125">
        <f>ROUNDUP('採算表(VND)'!I43/$N$1,2)</f>
        <v>0</v>
      </c>
      <c r="J43" s="125">
        <f>ROUNDUP('採算表(VND)'!J43/$N$1,2)</f>
        <v>0</v>
      </c>
      <c r="K43" s="125">
        <f>ROUNDUP('採算表(VND)'!K43/$N$1,2)</f>
        <v>0</v>
      </c>
      <c r="L43" s="125">
        <f>ROUNDUP('採算表(VND)'!L43/$N$1,2)</f>
        <v>0</v>
      </c>
      <c r="M43" s="125">
        <f>ROUNDUP('採算表(VND)'!M43/$N$1,2)</f>
        <v>0</v>
      </c>
      <c r="N43" s="125">
        <f>ROUNDUP('採算表(VND)'!N43/$N$1,2)</f>
        <v>0</v>
      </c>
      <c r="O43" s="125">
        <f t="shared" si="4"/>
        <v>0</v>
      </c>
    </row>
    <row r="44" spans="1:15" ht="11.25" customHeight="1">
      <c r="A44" s="37"/>
      <c r="B44" s="36" t="s">
        <v>40</v>
      </c>
      <c r="C44" s="125">
        <f>ROUNDUP('採算表(VND)'!C44/$N$1,2)</f>
        <v>0</v>
      </c>
      <c r="D44" s="125">
        <f>ROUNDUP('採算表(VND)'!D44/$N$1,2)</f>
        <v>0</v>
      </c>
      <c r="E44" s="125">
        <f>ROUNDUP('採算表(VND)'!E44/$N$1,2)</f>
        <v>0</v>
      </c>
      <c r="F44" s="125">
        <f>ROUNDUP('採算表(VND)'!F44/$N$1,2)</f>
        <v>0</v>
      </c>
      <c r="G44" s="125">
        <f>ROUNDUP('採算表(VND)'!G44/$N$1,2)</f>
        <v>0</v>
      </c>
      <c r="H44" s="125">
        <f>ROUNDUP('採算表(VND)'!H44/$N$1,2)</f>
        <v>0</v>
      </c>
      <c r="I44" s="125">
        <f>ROUNDUP('採算表(VND)'!I44/$N$1,2)</f>
        <v>0</v>
      </c>
      <c r="J44" s="125">
        <f>ROUNDUP('採算表(VND)'!J44/$N$1,2)</f>
        <v>0</v>
      </c>
      <c r="K44" s="125">
        <f>ROUNDUP('採算表(VND)'!K44/$N$1,2)</f>
        <v>0</v>
      </c>
      <c r="L44" s="125">
        <f>ROUNDUP('採算表(VND)'!L44/$N$1,2)</f>
        <v>0</v>
      </c>
      <c r="M44" s="125">
        <f>ROUNDUP('採算表(VND)'!M44/$N$1,2)</f>
        <v>0</v>
      </c>
      <c r="N44" s="125">
        <f>ROUNDUP('採算表(VND)'!N44/$N$1,2)</f>
        <v>0</v>
      </c>
      <c r="O44" s="125">
        <f t="shared" si="4"/>
        <v>0</v>
      </c>
    </row>
    <row r="45" spans="1:15" ht="11.25" customHeight="1">
      <c r="A45" s="37"/>
      <c r="B45" s="36" t="s">
        <v>41</v>
      </c>
      <c r="C45" s="125">
        <f>ROUNDUP('採算表(VND)'!C45/$N$1,2)</f>
        <v>0</v>
      </c>
      <c r="D45" s="125">
        <f>ROUNDUP('採算表(VND)'!D45/$N$1,2)</f>
        <v>0</v>
      </c>
      <c r="E45" s="125">
        <f>ROUNDUP('採算表(VND)'!E45/$N$1,2)</f>
        <v>0</v>
      </c>
      <c r="F45" s="125">
        <f>ROUNDUP('採算表(VND)'!F45/$N$1,2)</f>
        <v>0</v>
      </c>
      <c r="G45" s="125">
        <f>ROUNDUP('採算表(VND)'!G45/$N$1,2)</f>
        <v>0</v>
      </c>
      <c r="H45" s="125">
        <f>ROUNDUP('採算表(VND)'!H45/$N$1,2)</f>
        <v>0</v>
      </c>
      <c r="I45" s="125">
        <f>ROUNDUP('採算表(VND)'!I45/$N$1,2)</f>
        <v>0</v>
      </c>
      <c r="J45" s="125">
        <f>ROUNDUP('採算表(VND)'!J45/$N$1,2)</f>
        <v>0</v>
      </c>
      <c r="K45" s="125">
        <f>ROUNDUP('採算表(VND)'!K45/$N$1,2)</f>
        <v>0</v>
      </c>
      <c r="L45" s="125">
        <f>ROUNDUP('採算表(VND)'!L45/$N$1,2)</f>
        <v>0</v>
      </c>
      <c r="M45" s="125">
        <f>ROUNDUP('採算表(VND)'!M45/$N$1,2)</f>
        <v>0</v>
      </c>
      <c r="N45" s="125">
        <f>ROUNDUP('採算表(VND)'!N45/$N$1,2)</f>
        <v>0</v>
      </c>
      <c r="O45" s="125">
        <f t="shared" si="4"/>
        <v>0</v>
      </c>
    </row>
    <row r="46" spans="1:15" ht="11.25" customHeight="1">
      <c r="A46" s="37"/>
      <c r="B46" s="36" t="s">
        <v>42</v>
      </c>
      <c r="C46" s="125">
        <f>ROUNDUP('採算表(VND)'!C46/$N$1,2)</f>
        <v>0</v>
      </c>
      <c r="D46" s="125">
        <f>ROUNDUP('採算表(VND)'!D46/$N$1,2)</f>
        <v>0</v>
      </c>
      <c r="E46" s="125">
        <f>ROUNDUP('採算表(VND)'!E46/$N$1,2)</f>
        <v>0</v>
      </c>
      <c r="F46" s="125">
        <f>ROUNDUP('採算表(VND)'!F46/$N$1,2)</f>
        <v>0</v>
      </c>
      <c r="G46" s="125">
        <f>ROUNDUP('採算表(VND)'!G46/$N$1,2)</f>
        <v>0</v>
      </c>
      <c r="H46" s="125">
        <f>ROUNDUP('採算表(VND)'!H46/$N$1,2)</f>
        <v>0</v>
      </c>
      <c r="I46" s="125">
        <f>ROUNDUP('採算表(VND)'!I46/$N$1,2)</f>
        <v>0</v>
      </c>
      <c r="J46" s="125">
        <f>ROUNDUP('採算表(VND)'!J46/$N$1,2)</f>
        <v>0</v>
      </c>
      <c r="K46" s="125">
        <f>ROUNDUP('採算表(VND)'!K46/$N$1,2)</f>
        <v>0</v>
      </c>
      <c r="L46" s="125">
        <f>ROUNDUP('採算表(VND)'!L46/$N$1,2)</f>
        <v>0</v>
      </c>
      <c r="M46" s="125">
        <f>ROUNDUP('採算表(VND)'!M46/$N$1,2)</f>
        <v>0</v>
      </c>
      <c r="N46" s="125">
        <f>ROUNDUP('採算表(VND)'!N46/$N$1,2)</f>
        <v>0</v>
      </c>
      <c r="O46" s="125">
        <f t="shared" ref="O46:O65" si="5">SUM(C46:N46)</f>
        <v>0</v>
      </c>
    </row>
    <row r="47" spans="1:15" ht="11.25" customHeight="1">
      <c r="A47" s="37"/>
      <c r="B47" s="36" t="s">
        <v>43</v>
      </c>
      <c r="C47" s="125">
        <f>ROUNDUP('採算表(VND)'!C47/$N$1,2)</f>
        <v>0</v>
      </c>
      <c r="D47" s="125">
        <f>ROUNDUP('採算表(VND)'!D47/$N$1,2)</f>
        <v>0</v>
      </c>
      <c r="E47" s="125">
        <f>ROUNDUP('採算表(VND)'!E47/$N$1,2)</f>
        <v>0</v>
      </c>
      <c r="F47" s="125">
        <f>ROUNDUP('採算表(VND)'!F47/$N$1,2)</f>
        <v>0</v>
      </c>
      <c r="G47" s="125">
        <f>ROUNDUP('採算表(VND)'!G47/$N$1,2)</f>
        <v>0</v>
      </c>
      <c r="H47" s="125">
        <f>ROUNDUP('採算表(VND)'!H47/$N$1,2)</f>
        <v>0</v>
      </c>
      <c r="I47" s="125">
        <f>ROUNDUP('採算表(VND)'!I47/$N$1,2)</f>
        <v>0</v>
      </c>
      <c r="J47" s="125">
        <f>ROUNDUP('採算表(VND)'!J47/$N$1,2)</f>
        <v>0</v>
      </c>
      <c r="K47" s="125">
        <f>ROUNDUP('採算表(VND)'!K47/$N$1,2)</f>
        <v>0</v>
      </c>
      <c r="L47" s="125">
        <f>ROUNDUP('採算表(VND)'!L47/$N$1,2)</f>
        <v>0</v>
      </c>
      <c r="M47" s="125">
        <f>ROUNDUP('採算表(VND)'!M47/$N$1,2)</f>
        <v>0</v>
      </c>
      <c r="N47" s="125">
        <f>ROUNDUP('採算表(VND)'!N47/$N$1,2)</f>
        <v>0</v>
      </c>
      <c r="O47" s="125">
        <f t="shared" si="5"/>
        <v>0</v>
      </c>
    </row>
    <row r="48" spans="1:15" ht="11.25" customHeight="1">
      <c r="A48" s="37"/>
      <c r="B48" s="36" t="s">
        <v>44</v>
      </c>
      <c r="C48" s="125">
        <f>ROUNDUP('採算表(VND)'!C48/$N$1,2)</f>
        <v>0</v>
      </c>
      <c r="D48" s="125">
        <f>ROUNDUP('採算表(VND)'!D48/$N$1,2)</f>
        <v>0</v>
      </c>
      <c r="E48" s="125">
        <f>ROUNDUP('採算表(VND)'!E48/$N$1,2)</f>
        <v>0</v>
      </c>
      <c r="F48" s="125">
        <f>ROUNDUP('採算表(VND)'!F48/$N$1,2)</f>
        <v>0</v>
      </c>
      <c r="G48" s="125">
        <f>ROUNDUP('採算表(VND)'!G48/$N$1,2)</f>
        <v>0</v>
      </c>
      <c r="H48" s="125">
        <f>ROUNDUP('採算表(VND)'!H48/$N$1,2)</f>
        <v>0</v>
      </c>
      <c r="I48" s="125">
        <f>ROUNDUP('採算表(VND)'!I48/$N$1,2)</f>
        <v>0</v>
      </c>
      <c r="J48" s="125">
        <f>ROUNDUP('採算表(VND)'!J48/$N$1,2)</f>
        <v>0</v>
      </c>
      <c r="K48" s="125">
        <f>ROUNDUP('採算表(VND)'!K48/$N$1,2)</f>
        <v>0</v>
      </c>
      <c r="L48" s="125">
        <f>ROUNDUP('採算表(VND)'!L48/$N$1,2)</f>
        <v>0</v>
      </c>
      <c r="M48" s="125">
        <f>ROUNDUP('採算表(VND)'!M48/$N$1,2)</f>
        <v>0</v>
      </c>
      <c r="N48" s="125">
        <f>ROUNDUP('採算表(VND)'!N48/$N$1,2)</f>
        <v>0</v>
      </c>
      <c r="O48" s="125">
        <f t="shared" si="5"/>
        <v>0</v>
      </c>
    </row>
    <row r="49" spans="1:15" ht="11.25" customHeight="1">
      <c r="A49" s="37"/>
      <c r="B49" s="44" t="s">
        <v>45</v>
      </c>
      <c r="C49" s="126">
        <f>ROUNDUP('採算表(VND)'!C49/$N$1,2)</f>
        <v>0</v>
      </c>
      <c r="D49" s="126">
        <f>ROUNDUP('採算表(VND)'!D49/$N$1,2)</f>
        <v>0</v>
      </c>
      <c r="E49" s="126">
        <f>ROUNDUP('採算表(VND)'!E49/$N$1,2)</f>
        <v>0</v>
      </c>
      <c r="F49" s="126">
        <f>ROUNDUP('採算表(VND)'!F49/$N$1,2)</f>
        <v>0</v>
      </c>
      <c r="G49" s="126">
        <f>ROUNDUP('採算表(VND)'!G49/$N$1,2)</f>
        <v>0</v>
      </c>
      <c r="H49" s="126">
        <f>ROUNDUP('採算表(VND)'!H49/$N$1,2)</f>
        <v>0</v>
      </c>
      <c r="I49" s="126">
        <f>ROUNDUP('採算表(VND)'!I49/$N$1,2)</f>
        <v>0</v>
      </c>
      <c r="J49" s="126">
        <f>ROUNDUP('採算表(VND)'!J49/$N$1,2)</f>
        <v>0</v>
      </c>
      <c r="K49" s="126">
        <f>ROUNDUP('採算表(VND)'!K49/$N$1,2)</f>
        <v>0</v>
      </c>
      <c r="L49" s="126">
        <f>ROUNDUP('採算表(VND)'!L49/$N$1,2)</f>
        <v>0</v>
      </c>
      <c r="M49" s="126">
        <f>ROUNDUP('採算表(VND)'!M49/$N$1,2)</f>
        <v>0</v>
      </c>
      <c r="N49" s="126">
        <f>ROUNDUP('採算表(VND)'!N49/$N$1,2)</f>
        <v>0</v>
      </c>
      <c r="O49" s="126">
        <f t="shared" si="5"/>
        <v>0</v>
      </c>
    </row>
    <row r="50" spans="1:15" ht="11.25" customHeight="1">
      <c r="A50" s="37"/>
      <c r="B50" s="38" t="s">
        <v>46</v>
      </c>
      <c r="C50" s="127">
        <f>ROUNDUP('採算表(VND)'!C50/$N$1,2)</f>
        <v>0</v>
      </c>
      <c r="D50" s="127">
        <f>ROUNDUP('採算表(VND)'!D50/$N$1,2)</f>
        <v>0</v>
      </c>
      <c r="E50" s="127">
        <f>ROUNDUP('採算表(VND)'!E50/$N$1,2)</f>
        <v>0</v>
      </c>
      <c r="F50" s="127">
        <f>ROUNDUP('採算表(VND)'!F50/$N$1,2)</f>
        <v>0</v>
      </c>
      <c r="G50" s="127">
        <f>ROUNDUP('採算表(VND)'!G50/$N$1,2)</f>
        <v>0</v>
      </c>
      <c r="H50" s="127">
        <f>ROUNDUP('採算表(VND)'!H50/$N$1,2)</f>
        <v>0</v>
      </c>
      <c r="I50" s="127">
        <f>ROUNDUP('採算表(VND)'!I50/$N$1,2)</f>
        <v>0</v>
      </c>
      <c r="J50" s="127">
        <f>ROUNDUP('採算表(VND)'!J50/$N$1,2)</f>
        <v>0</v>
      </c>
      <c r="K50" s="127">
        <f>ROUNDUP('採算表(VND)'!K50/$N$1,2)</f>
        <v>0</v>
      </c>
      <c r="L50" s="127">
        <f>ROUNDUP('採算表(VND)'!L50/$N$1,2)</f>
        <v>0</v>
      </c>
      <c r="M50" s="127">
        <f>ROUNDUP('採算表(VND)'!M50/$N$1,2)</f>
        <v>0</v>
      </c>
      <c r="N50" s="127">
        <f>ROUNDUP('採算表(VND)'!N50/$N$1,2)</f>
        <v>0</v>
      </c>
      <c r="O50" s="127">
        <f t="shared" si="5"/>
        <v>0</v>
      </c>
    </row>
    <row r="51" spans="1:15" ht="11.25" customHeight="1">
      <c r="A51" s="37"/>
      <c r="B51" s="38" t="s">
        <v>47</v>
      </c>
      <c r="C51" s="127">
        <f>ROUNDUP('採算表(VND)'!C51/$N$1,2)</f>
        <v>0</v>
      </c>
      <c r="D51" s="127">
        <f>ROUNDUP('採算表(VND)'!D51/$N$1,2)</f>
        <v>0</v>
      </c>
      <c r="E51" s="127">
        <f>ROUNDUP('採算表(VND)'!E51/$N$1,2)</f>
        <v>0</v>
      </c>
      <c r="F51" s="127">
        <f>ROUNDUP('採算表(VND)'!F51/$N$1,2)</f>
        <v>0</v>
      </c>
      <c r="G51" s="127">
        <f>ROUNDUP('採算表(VND)'!G51/$N$1,2)</f>
        <v>0</v>
      </c>
      <c r="H51" s="127">
        <f>ROUNDUP('採算表(VND)'!H51/$N$1,2)</f>
        <v>0</v>
      </c>
      <c r="I51" s="127">
        <f>ROUNDUP('採算表(VND)'!I51/$N$1,2)</f>
        <v>0</v>
      </c>
      <c r="J51" s="127">
        <f>ROUNDUP('採算表(VND)'!J51/$N$1,2)</f>
        <v>0</v>
      </c>
      <c r="K51" s="127">
        <f>ROUNDUP('採算表(VND)'!K51/$N$1,2)</f>
        <v>0</v>
      </c>
      <c r="L51" s="127">
        <f>ROUNDUP('採算表(VND)'!L51/$N$1,2)</f>
        <v>0</v>
      </c>
      <c r="M51" s="127">
        <f>ROUNDUP('採算表(VND)'!M51/$N$1,2)</f>
        <v>0</v>
      </c>
      <c r="N51" s="127">
        <f>ROUNDUP('採算表(VND)'!N51/$N$1,2)</f>
        <v>0</v>
      </c>
      <c r="O51" s="127">
        <f t="shared" si="5"/>
        <v>0</v>
      </c>
    </row>
    <row r="52" spans="1:15" ht="11.25" customHeight="1">
      <c r="A52" s="37"/>
      <c r="B52" s="36" t="s">
        <v>48</v>
      </c>
      <c r="C52" s="128">
        <f>ROUNDUP('採算表(VND)'!C52/$N$1,2)</f>
        <v>0</v>
      </c>
      <c r="D52" s="128">
        <f>ROUNDUP('採算表(VND)'!D52/$N$1,2)</f>
        <v>0</v>
      </c>
      <c r="E52" s="128">
        <f>ROUNDUP('採算表(VND)'!E52/$N$1,2)</f>
        <v>0</v>
      </c>
      <c r="F52" s="128">
        <f>ROUNDUP('採算表(VND)'!F52/$N$1,2)</f>
        <v>0</v>
      </c>
      <c r="G52" s="128">
        <f>ROUNDUP('採算表(VND)'!G52/$N$1,2)</f>
        <v>0</v>
      </c>
      <c r="H52" s="128">
        <f>ROUNDUP('採算表(VND)'!H52/$N$1,2)</f>
        <v>0</v>
      </c>
      <c r="I52" s="128">
        <f>ROUNDUP('採算表(VND)'!I52/$N$1,2)</f>
        <v>0</v>
      </c>
      <c r="J52" s="128">
        <f>ROUNDUP('採算表(VND)'!J52/$N$1,2)</f>
        <v>0</v>
      </c>
      <c r="K52" s="128">
        <f>ROUNDUP('採算表(VND)'!K52/$N$1,2)</f>
        <v>0</v>
      </c>
      <c r="L52" s="128">
        <f>ROUNDUP('採算表(VND)'!L52/$N$1,2)</f>
        <v>0</v>
      </c>
      <c r="M52" s="128">
        <f>ROUNDUP('採算表(VND)'!M52/$N$1,2)</f>
        <v>0</v>
      </c>
      <c r="N52" s="128">
        <f>ROUNDUP('採算表(VND)'!N52/$N$1,2)</f>
        <v>0</v>
      </c>
      <c r="O52" s="128">
        <f t="shared" si="5"/>
        <v>0</v>
      </c>
    </row>
    <row r="53" spans="1:15" ht="11.25" customHeight="1">
      <c r="A53" s="37"/>
      <c r="B53" s="36" t="s">
        <v>49</v>
      </c>
      <c r="C53" s="128">
        <f>ROUNDUP('採算表(VND)'!C53/$N$1,2)</f>
        <v>0</v>
      </c>
      <c r="D53" s="128">
        <f>ROUNDUP('採算表(VND)'!D53/$N$1,2)</f>
        <v>0</v>
      </c>
      <c r="E53" s="128">
        <f>ROUNDUP('採算表(VND)'!E53/$N$1,2)</f>
        <v>0</v>
      </c>
      <c r="F53" s="128">
        <f>ROUNDUP('採算表(VND)'!F53/$N$1,2)</f>
        <v>0</v>
      </c>
      <c r="G53" s="128">
        <f>ROUNDUP('採算表(VND)'!G53/$N$1,2)</f>
        <v>0</v>
      </c>
      <c r="H53" s="128">
        <f>ROUNDUP('採算表(VND)'!H53/$N$1,2)</f>
        <v>0</v>
      </c>
      <c r="I53" s="128">
        <f>ROUNDUP('採算表(VND)'!I53/$N$1,2)</f>
        <v>0</v>
      </c>
      <c r="J53" s="128">
        <f>ROUNDUP('採算表(VND)'!J53/$N$1,2)</f>
        <v>0</v>
      </c>
      <c r="K53" s="128">
        <f>ROUNDUP('採算表(VND)'!K53/$N$1,2)</f>
        <v>0</v>
      </c>
      <c r="L53" s="128">
        <f>ROUNDUP('採算表(VND)'!L53/$N$1,2)</f>
        <v>0</v>
      </c>
      <c r="M53" s="128">
        <f>ROUNDUP('採算表(VND)'!M53/$N$1,2)</f>
        <v>0</v>
      </c>
      <c r="N53" s="128">
        <f>ROUNDUP('採算表(VND)'!N53/$N$1,2)</f>
        <v>0</v>
      </c>
      <c r="O53" s="128">
        <f t="shared" si="5"/>
        <v>0</v>
      </c>
    </row>
    <row r="54" spans="1:15" ht="11.25" customHeight="1">
      <c r="A54" s="37"/>
      <c r="B54" s="36" t="s">
        <v>50</v>
      </c>
      <c r="C54" s="128">
        <f>ROUNDUP('採算表(VND)'!C54/$N$1,2)</f>
        <v>0</v>
      </c>
      <c r="D54" s="128">
        <f>ROUNDUP('採算表(VND)'!D54/$N$1,2)</f>
        <v>0</v>
      </c>
      <c r="E54" s="128">
        <f>ROUNDUP('採算表(VND)'!E54/$N$1,2)</f>
        <v>0</v>
      </c>
      <c r="F54" s="128">
        <f>ROUNDUP('採算表(VND)'!F54/$N$1,2)</f>
        <v>0</v>
      </c>
      <c r="G54" s="128">
        <f>ROUNDUP('採算表(VND)'!G54/$N$1,2)</f>
        <v>0</v>
      </c>
      <c r="H54" s="128">
        <f>ROUNDUP('採算表(VND)'!H54/$N$1,2)</f>
        <v>0</v>
      </c>
      <c r="I54" s="128">
        <f>ROUNDUP('採算表(VND)'!I54/$N$1,2)</f>
        <v>0</v>
      </c>
      <c r="J54" s="128">
        <f>ROUNDUP('採算表(VND)'!J54/$N$1,2)</f>
        <v>0</v>
      </c>
      <c r="K54" s="128">
        <f>ROUNDUP('採算表(VND)'!K54/$N$1,2)</f>
        <v>0</v>
      </c>
      <c r="L54" s="128">
        <f>ROUNDUP('採算表(VND)'!L54/$N$1,2)</f>
        <v>0</v>
      </c>
      <c r="M54" s="128">
        <f>ROUNDUP('採算表(VND)'!M54/$N$1,2)</f>
        <v>0</v>
      </c>
      <c r="N54" s="128">
        <f>ROUNDUP('採算表(VND)'!N54/$N$1,2)</f>
        <v>0</v>
      </c>
      <c r="O54" s="128">
        <f t="shared" si="5"/>
        <v>0</v>
      </c>
    </row>
    <row r="55" spans="1:15" ht="11.25" customHeight="1">
      <c r="A55" s="37"/>
      <c r="B55" s="36" t="s">
        <v>51</v>
      </c>
      <c r="C55" s="128">
        <f>ROUNDUP('採算表(VND)'!C55/$N$1,2)</f>
        <v>0</v>
      </c>
      <c r="D55" s="128">
        <f>ROUNDUP('採算表(VND)'!D55/$N$1,2)</f>
        <v>0</v>
      </c>
      <c r="E55" s="128">
        <f>ROUNDUP('採算表(VND)'!E55/$N$1,2)</f>
        <v>0</v>
      </c>
      <c r="F55" s="128">
        <f>ROUNDUP('採算表(VND)'!F55/$N$1,2)</f>
        <v>0</v>
      </c>
      <c r="G55" s="128">
        <f>ROUNDUP('採算表(VND)'!G55/$N$1,2)</f>
        <v>0</v>
      </c>
      <c r="H55" s="128">
        <f>ROUNDUP('採算表(VND)'!H55/$N$1,2)</f>
        <v>0</v>
      </c>
      <c r="I55" s="128">
        <f>ROUNDUP('採算表(VND)'!I55/$N$1,2)</f>
        <v>0</v>
      </c>
      <c r="J55" s="128">
        <f>ROUNDUP('採算表(VND)'!J55/$N$1,2)</f>
        <v>0</v>
      </c>
      <c r="K55" s="128">
        <f>ROUNDUP('採算表(VND)'!K55/$N$1,2)</f>
        <v>0</v>
      </c>
      <c r="L55" s="128">
        <f>ROUNDUP('採算表(VND)'!L55/$N$1,2)</f>
        <v>0</v>
      </c>
      <c r="M55" s="128">
        <f>ROUNDUP('採算表(VND)'!M55/$N$1,2)</f>
        <v>0</v>
      </c>
      <c r="N55" s="128">
        <f>ROUNDUP('採算表(VND)'!N55/$N$1,2)</f>
        <v>0</v>
      </c>
      <c r="O55" s="128">
        <f t="shared" si="5"/>
        <v>0</v>
      </c>
    </row>
    <row r="56" spans="1:15" ht="11.25" customHeight="1">
      <c r="A56" s="37"/>
      <c r="B56" s="36" t="s">
        <v>52</v>
      </c>
      <c r="C56" s="128">
        <f>ROUNDUP('採算表(VND)'!C56/$N$1,2)</f>
        <v>0</v>
      </c>
      <c r="D56" s="128">
        <f>ROUNDUP('採算表(VND)'!D56/$N$1,2)</f>
        <v>0</v>
      </c>
      <c r="E56" s="128">
        <f>ROUNDUP('採算表(VND)'!E56/$N$1,2)</f>
        <v>0</v>
      </c>
      <c r="F56" s="128">
        <f>ROUNDUP('採算表(VND)'!F56/$N$1,2)</f>
        <v>0</v>
      </c>
      <c r="G56" s="128">
        <f>ROUNDUP('採算表(VND)'!G56/$N$1,2)</f>
        <v>0</v>
      </c>
      <c r="H56" s="128">
        <f>ROUNDUP('採算表(VND)'!H56/$N$1,2)</f>
        <v>0</v>
      </c>
      <c r="I56" s="128">
        <f>ROUNDUP('採算表(VND)'!I56/$N$1,2)</f>
        <v>0</v>
      </c>
      <c r="J56" s="128">
        <f>ROUNDUP('採算表(VND)'!J56/$N$1,2)</f>
        <v>0</v>
      </c>
      <c r="K56" s="128">
        <f>ROUNDUP('採算表(VND)'!K56/$N$1,2)</f>
        <v>0</v>
      </c>
      <c r="L56" s="128">
        <f>ROUNDUP('採算表(VND)'!L56/$N$1,2)</f>
        <v>0</v>
      </c>
      <c r="M56" s="128">
        <f>ROUNDUP('採算表(VND)'!M56/$N$1,2)</f>
        <v>0</v>
      </c>
      <c r="N56" s="128">
        <f>ROUNDUP('採算表(VND)'!N56/$N$1,2)</f>
        <v>0</v>
      </c>
      <c r="O56" s="128">
        <f t="shared" si="5"/>
        <v>0</v>
      </c>
    </row>
    <row r="57" spans="1:15" ht="11.25" customHeight="1">
      <c r="A57" s="37"/>
      <c r="B57" s="36" t="s">
        <v>53</v>
      </c>
      <c r="C57" s="128">
        <f>ROUNDUP('採算表(VND)'!C57/$N$1,2)</f>
        <v>0</v>
      </c>
      <c r="D57" s="128">
        <f>ROUNDUP('採算表(VND)'!D57/$N$1,2)</f>
        <v>0</v>
      </c>
      <c r="E57" s="128">
        <f>ROUNDUP('採算表(VND)'!E57/$N$1,2)</f>
        <v>0</v>
      </c>
      <c r="F57" s="128">
        <f>ROUNDUP('採算表(VND)'!F57/$N$1,2)</f>
        <v>0</v>
      </c>
      <c r="G57" s="128">
        <f>ROUNDUP('採算表(VND)'!G57/$N$1,2)</f>
        <v>0</v>
      </c>
      <c r="H57" s="128">
        <f>ROUNDUP('採算表(VND)'!H57/$N$1,2)</f>
        <v>0</v>
      </c>
      <c r="I57" s="128">
        <f>ROUNDUP('採算表(VND)'!I57/$N$1,2)</f>
        <v>0</v>
      </c>
      <c r="J57" s="128">
        <f>ROUNDUP('採算表(VND)'!J57/$N$1,2)</f>
        <v>0</v>
      </c>
      <c r="K57" s="128">
        <f>ROUNDUP('採算表(VND)'!K57/$N$1,2)</f>
        <v>0</v>
      </c>
      <c r="L57" s="128">
        <f>ROUNDUP('採算表(VND)'!L57/$N$1,2)</f>
        <v>0</v>
      </c>
      <c r="M57" s="128">
        <f>ROUNDUP('採算表(VND)'!M57/$N$1,2)</f>
        <v>0</v>
      </c>
      <c r="N57" s="128">
        <f>ROUNDUP('採算表(VND)'!N57/$N$1,2)</f>
        <v>0</v>
      </c>
      <c r="O57" s="128">
        <f t="shared" si="5"/>
        <v>0</v>
      </c>
    </row>
    <row r="58" spans="1:15" ht="11.25" customHeight="1">
      <c r="A58" s="37"/>
      <c r="B58" s="36" t="s">
        <v>54</v>
      </c>
      <c r="C58" s="128">
        <f>ROUNDUP('採算表(VND)'!C58/$N$1,2)</f>
        <v>0</v>
      </c>
      <c r="D58" s="128">
        <f>ROUNDUP('採算表(VND)'!D58/$N$1,2)</f>
        <v>0</v>
      </c>
      <c r="E58" s="128">
        <f>ROUNDUP('採算表(VND)'!E58/$N$1,2)</f>
        <v>0</v>
      </c>
      <c r="F58" s="128">
        <f>ROUNDUP('採算表(VND)'!F58/$N$1,2)</f>
        <v>0</v>
      </c>
      <c r="G58" s="128">
        <f>ROUNDUP('採算表(VND)'!G58/$N$1,2)</f>
        <v>0</v>
      </c>
      <c r="H58" s="128">
        <f>ROUNDUP('採算表(VND)'!H58/$N$1,2)</f>
        <v>0</v>
      </c>
      <c r="I58" s="128">
        <f>ROUNDUP('採算表(VND)'!I58/$N$1,2)</f>
        <v>0</v>
      </c>
      <c r="J58" s="128">
        <f>ROUNDUP('採算表(VND)'!J58/$N$1,2)</f>
        <v>0</v>
      </c>
      <c r="K58" s="128">
        <f>ROUNDUP('採算表(VND)'!K58/$N$1,2)</f>
        <v>0</v>
      </c>
      <c r="L58" s="128">
        <f>ROUNDUP('採算表(VND)'!L58/$N$1,2)</f>
        <v>0</v>
      </c>
      <c r="M58" s="128">
        <f>ROUNDUP('採算表(VND)'!M58/$N$1,2)</f>
        <v>0</v>
      </c>
      <c r="N58" s="128">
        <f>ROUNDUP('採算表(VND)'!N58/$N$1,2)</f>
        <v>0</v>
      </c>
      <c r="O58" s="128">
        <f t="shared" si="5"/>
        <v>0</v>
      </c>
    </row>
    <row r="59" spans="1:15" ht="11.25" customHeight="1">
      <c r="A59" s="37"/>
      <c r="B59" s="36" t="s">
        <v>55</v>
      </c>
      <c r="C59" s="128">
        <f>ROUNDUP('採算表(VND)'!C59/$N$1,2)</f>
        <v>0</v>
      </c>
      <c r="D59" s="128">
        <f>ROUNDUP('採算表(VND)'!D59/$N$1,2)</f>
        <v>0</v>
      </c>
      <c r="E59" s="128">
        <f>ROUNDUP('採算表(VND)'!E59/$N$1,2)</f>
        <v>0</v>
      </c>
      <c r="F59" s="128">
        <f>ROUNDUP('採算表(VND)'!F59/$N$1,2)</f>
        <v>0</v>
      </c>
      <c r="G59" s="128">
        <f>ROUNDUP('採算表(VND)'!G59/$N$1,2)</f>
        <v>0</v>
      </c>
      <c r="H59" s="128">
        <f>ROUNDUP('採算表(VND)'!H59/$N$1,2)</f>
        <v>0</v>
      </c>
      <c r="I59" s="128">
        <f>ROUNDUP('採算表(VND)'!I59/$N$1,2)</f>
        <v>0</v>
      </c>
      <c r="J59" s="128">
        <f>ROUNDUP('採算表(VND)'!J59/$N$1,2)</f>
        <v>0</v>
      </c>
      <c r="K59" s="128">
        <f>ROUNDUP('採算表(VND)'!K59/$N$1,2)</f>
        <v>0</v>
      </c>
      <c r="L59" s="128">
        <f>ROUNDUP('採算表(VND)'!L59/$N$1,2)</f>
        <v>0</v>
      </c>
      <c r="M59" s="128">
        <f>ROUNDUP('採算表(VND)'!M59/$N$1,2)</f>
        <v>0</v>
      </c>
      <c r="N59" s="128">
        <f>ROUNDUP('採算表(VND)'!N59/$N$1,2)</f>
        <v>0</v>
      </c>
      <c r="O59" s="128">
        <f t="shared" si="5"/>
        <v>0</v>
      </c>
    </row>
    <row r="60" spans="1:15" ht="11.25" customHeight="1">
      <c r="A60" s="37"/>
      <c r="B60" s="36" t="s">
        <v>56</v>
      </c>
      <c r="C60" s="128">
        <f>ROUNDUP('採算表(VND)'!C60/$N$1,2)</f>
        <v>0</v>
      </c>
      <c r="D60" s="128">
        <f>ROUNDUP('採算表(VND)'!D60/$N$1,2)</f>
        <v>0</v>
      </c>
      <c r="E60" s="128">
        <f>ROUNDUP('採算表(VND)'!E60/$N$1,2)</f>
        <v>0</v>
      </c>
      <c r="F60" s="128">
        <f>ROUNDUP('採算表(VND)'!F60/$N$1,2)</f>
        <v>0</v>
      </c>
      <c r="G60" s="128">
        <f>ROUNDUP('採算表(VND)'!G60/$N$1,2)</f>
        <v>0</v>
      </c>
      <c r="H60" s="128">
        <f>ROUNDUP('採算表(VND)'!H60/$N$1,2)</f>
        <v>0</v>
      </c>
      <c r="I60" s="128">
        <f>ROUNDUP('採算表(VND)'!I60/$N$1,2)</f>
        <v>0</v>
      </c>
      <c r="J60" s="128">
        <f>ROUNDUP('採算表(VND)'!J60/$N$1,2)</f>
        <v>0</v>
      </c>
      <c r="K60" s="128">
        <f>ROUNDUP('採算表(VND)'!K60/$N$1,2)</f>
        <v>0</v>
      </c>
      <c r="L60" s="128">
        <f>ROUNDUP('採算表(VND)'!L60/$N$1,2)</f>
        <v>0</v>
      </c>
      <c r="M60" s="128">
        <f>ROUNDUP('採算表(VND)'!M60/$N$1,2)</f>
        <v>0</v>
      </c>
      <c r="N60" s="128">
        <f>ROUNDUP('採算表(VND)'!N60/$N$1,2)</f>
        <v>0</v>
      </c>
      <c r="O60" s="128">
        <f t="shared" si="5"/>
        <v>0</v>
      </c>
    </row>
    <row r="61" spans="1:15" ht="11.25" customHeight="1">
      <c r="A61" s="37"/>
      <c r="B61" s="36" t="s">
        <v>57</v>
      </c>
      <c r="C61" s="128" t="e">
        <f>ROUNDUP('採算表(VND)'!C61/$N$1,2)</f>
        <v>#N/A</v>
      </c>
      <c r="D61" s="128" t="e">
        <f>ROUNDUP('採算表(VND)'!D61/$N$1,2)</f>
        <v>#N/A</v>
      </c>
      <c r="E61" s="128" t="e">
        <f>ROUNDUP('採算表(VND)'!E61/$N$1,2)</f>
        <v>#N/A</v>
      </c>
      <c r="F61" s="128" t="e">
        <f>ROUNDUP('採算表(VND)'!F61/$N$1,2)</f>
        <v>#N/A</v>
      </c>
      <c r="G61" s="128" t="e">
        <f>ROUNDUP('採算表(VND)'!G61/$N$1,2)</f>
        <v>#N/A</v>
      </c>
      <c r="H61" s="128" t="e">
        <f>ROUNDUP('採算表(VND)'!H61/$N$1,2)</f>
        <v>#N/A</v>
      </c>
      <c r="I61" s="128" t="e">
        <f>ROUNDUP('採算表(VND)'!I61/$N$1,2)</f>
        <v>#N/A</v>
      </c>
      <c r="J61" s="128" t="e">
        <f>ROUNDUP('採算表(VND)'!J61/$N$1,2)</f>
        <v>#N/A</v>
      </c>
      <c r="K61" s="128" t="e">
        <f>ROUNDUP('採算表(VND)'!K61/$N$1,2)</f>
        <v>#N/A</v>
      </c>
      <c r="L61" s="128" t="e">
        <f>ROUNDUP('採算表(VND)'!L61/$N$1,2)</f>
        <v>#N/A</v>
      </c>
      <c r="M61" s="128" t="e">
        <f>ROUNDUP('採算表(VND)'!M61/$N$1,2)</f>
        <v>#N/A</v>
      </c>
      <c r="N61" s="128" t="e">
        <f>ROUNDUP('採算表(VND)'!N61/$N$1,2)</f>
        <v>#N/A</v>
      </c>
      <c r="O61" s="128" t="e">
        <f t="shared" si="5"/>
        <v>#N/A</v>
      </c>
    </row>
    <row r="62" spans="1:15" ht="11.25" customHeight="1">
      <c r="A62" s="37"/>
      <c r="B62" s="36" t="s">
        <v>58</v>
      </c>
      <c r="C62" s="128" t="e">
        <f>ROUNDUP('採算表(VND)'!C62/$N$1,2)</f>
        <v>#N/A</v>
      </c>
      <c r="D62" s="128" t="e">
        <f>ROUNDUP('採算表(VND)'!D62/$N$1,2)</f>
        <v>#N/A</v>
      </c>
      <c r="E62" s="128" t="e">
        <f>ROUNDUP('採算表(VND)'!E62/$N$1,2)</f>
        <v>#N/A</v>
      </c>
      <c r="F62" s="128" t="e">
        <f>ROUNDUP('採算表(VND)'!F62/$N$1,2)</f>
        <v>#N/A</v>
      </c>
      <c r="G62" s="128" t="e">
        <f>ROUNDUP('採算表(VND)'!G62/$N$1,2)</f>
        <v>#N/A</v>
      </c>
      <c r="H62" s="128" t="e">
        <f>ROUNDUP('採算表(VND)'!H62/$N$1,2)</f>
        <v>#N/A</v>
      </c>
      <c r="I62" s="128" t="e">
        <f>ROUNDUP('採算表(VND)'!I62/$N$1,2)</f>
        <v>#N/A</v>
      </c>
      <c r="J62" s="128" t="e">
        <f>ROUNDUP('採算表(VND)'!J62/$N$1,2)</f>
        <v>#N/A</v>
      </c>
      <c r="K62" s="128" t="e">
        <f>ROUNDUP('採算表(VND)'!K62/$N$1,2)</f>
        <v>#N/A</v>
      </c>
      <c r="L62" s="128" t="e">
        <f>ROUNDUP('採算表(VND)'!L62/$N$1,2)</f>
        <v>#N/A</v>
      </c>
      <c r="M62" s="128" t="e">
        <f>ROUNDUP('採算表(VND)'!M62/$N$1,2)</f>
        <v>#N/A</v>
      </c>
      <c r="N62" s="128" t="e">
        <f>ROUNDUP('採算表(VND)'!N62/$N$1,2)</f>
        <v>#N/A</v>
      </c>
      <c r="O62" s="128" t="e">
        <f t="shared" si="5"/>
        <v>#N/A</v>
      </c>
    </row>
    <row r="63" spans="1:15" ht="11.25" customHeight="1">
      <c r="A63" s="37"/>
      <c r="B63" s="36" t="s">
        <v>59</v>
      </c>
      <c r="C63" s="128" t="e">
        <f>ROUNDUP('採算表(VND)'!C63/$N$1,2)</f>
        <v>#N/A</v>
      </c>
      <c r="D63" s="128" t="e">
        <f>ROUNDUP('採算表(VND)'!D63/$N$1,2)</f>
        <v>#N/A</v>
      </c>
      <c r="E63" s="128" t="e">
        <f>ROUNDUP('採算表(VND)'!E63/$N$1,2)</f>
        <v>#N/A</v>
      </c>
      <c r="F63" s="128" t="e">
        <f>ROUNDUP('採算表(VND)'!F63/$N$1,2)</f>
        <v>#N/A</v>
      </c>
      <c r="G63" s="128" t="e">
        <f>ROUNDUP('採算表(VND)'!G63/$N$1,2)</f>
        <v>#N/A</v>
      </c>
      <c r="H63" s="128" t="e">
        <f>ROUNDUP('採算表(VND)'!H63/$N$1,2)</f>
        <v>#N/A</v>
      </c>
      <c r="I63" s="128" t="e">
        <f>ROUNDUP('採算表(VND)'!I63/$N$1,2)</f>
        <v>#N/A</v>
      </c>
      <c r="J63" s="128" t="e">
        <f>ROUNDUP('採算表(VND)'!J63/$N$1,2)</f>
        <v>#N/A</v>
      </c>
      <c r="K63" s="128" t="e">
        <f>ROUNDUP('採算表(VND)'!K63/$N$1,2)</f>
        <v>#N/A</v>
      </c>
      <c r="L63" s="128" t="e">
        <f>ROUNDUP('採算表(VND)'!L63/$N$1,2)</f>
        <v>#N/A</v>
      </c>
      <c r="M63" s="128" t="e">
        <f>ROUNDUP('採算表(VND)'!M63/$N$1,2)</f>
        <v>#N/A</v>
      </c>
      <c r="N63" s="128" t="e">
        <f>ROUNDUP('採算表(VND)'!N63/$N$1,2)</f>
        <v>#N/A</v>
      </c>
      <c r="O63" s="128" t="e">
        <f t="shared" si="5"/>
        <v>#N/A</v>
      </c>
    </row>
    <row r="64" spans="1:15" ht="11.25" customHeight="1">
      <c r="A64" s="37"/>
      <c r="B64" s="36" t="s">
        <v>60</v>
      </c>
      <c r="C64" s="128" t="e">
        <f>ROUNDUP('採算表(VND)'!C64/$N$1,2)</f>
        <v>#N/A</v>
      </c>
      <c r="D64" s="128" t="e">
        <f>ROUNDUP('採算表(VND)'!D64/$N$1,2)</f>
        <v>#N/A</v>
      </c>
      <c r="E64" s="128" t="e">
        <f>ROUNDUP('採算表(VND)'!E64/$N$1,2)</f>
        <v>#N/A</v>
      </c>
      <c r="F64" s="128" t="e">
        <f>ROUNDUP('採算表(VND)'!F64/$N$1,2)</f>
        <v>#N/A</v>
      </c>
      <c r="G64" s="128" t="e">
        <f>ROUNDUP('採算表(VND)'!G64/$N$1,2)</f>
        <v>#N/A</v>
      </c>
      <c r="H64" s="128" t="e">
        <f>ROUNDUP('採算表(VND)'!H64/$N$1,2)</f>
        <v>#N/A</v>
      </c>
      <c r="I64" s="128" t="e">
        <f>ROUNDUP('採算表(VND)'!I64/$N$1,2)</f>
        <v>#N/A</v>
      </c>
      <c r="J64" s="128" t="e">
        <f>ROUNDUP('採算表(VND)'!J64/$N$1,2)</f>
        <v>#N/A</v>
      </c>
      <c r="K64" s="128" t="e">
        <f>ROUNDUP('採算表(VND)'!K64/$N$1,2)</f>
        <v>#N/A</v>
      </c>
      <c r="L64" s="128" t="e">
        <f>ROUNDUP('採算表(VND)'!L64/$N$1,2)</f>
        <v>#N/A</v>
      </c>
      <c r="M64" s="128" t="e">
        <f>ROUNDUP('採算表(VND)'!M64/$N$1,2)</f>
        <v>#N/A</v>
      </c>
      <c r="N64" s="128" t="e">
        <f>ROUNDUP('採算表(VND)'!N64/$N$1,2)</f>
        <v>#N/A</v>
      </c>
      <c r="O64" s="128" t="e">
        <f t="shared" si="5"/>
        <v>#N/A</v>
      </c>
    </row>
    <row r="65" spans="1:15" ht="11.25" customHeight="1">
      <c r="A65" s="37"/>
      <c r="B65" s="36" t="s">
        <v>61</v>
      </c>
      <c r="C65" s="125">
        <f>ROUNDUP('採算表(VND)'!C65/$N$1,2)</f>
        <v>0</v>
      </c>
      <c r="D65" s="125">
        <f>ROUNDUP('採算表(VND)'!D65/$N$1,2)</f>
        <v>0</v>
      </c>
      <c r="E65" s="125">
        <f>ROUNDUP('採算表(VND)'!E65/$N$1,2)</f>
        <v>0</v>
      </c>
      <c r="F65" s="125">
        <f>ROUNDUP('採算表(VND)'!F65/$N$1,2)</f>
        <v>0</v>
      </c>
      <c r="G65" s="125">
        <f>ROUNDUP('採算表(VND)'!G65/$N$1,2)</f>
        <v>0</v>
      </c>
      <c r="H65" s="125">
        <f>ROUNDUP('採算表(VND)'!H65/$N$1,2)</f>
        <v>0</v>
      </c>
      <c r="I65" s="125">
        <f>ROUNDUP('採算表(VND)'!I65/$N$1,2)</f>
        <v>0</v>
      </c>
      <c r="J65" s="125">
        <f>ROUNDUP('採算表(VND)'!J65/$N$1,2)</f>
        <v>0</v>
      </c>
      <c r="K65" s="125">
        <f>ROUNDUP('採算表(VND)'!K65/$N$1,2)</f>
        <v>0</v>
      </c>
      <c r="L65" s="125">
        <f>ROUNDUP('採算表(VND)'!L65/$N$1,2)</f>
        <v>0</v>
      </c>
      <c r="M65" s="125">
        <f>ROUNDUP('採算表(VND)'!M65/$N$1,2)</f>
        <v>0</v>
      </c>
      <c r="N65" s="125">
        <f>ROUNDUP('採算表(VND)'!N65/$N$1,2)</f>
        <v>0</v>
      </c>
      <c r="O65" s="125">
        <f t="shared" si="5"/>
        <v>0</v>
      </c>
    </row>
    <row r="66" spans="1:15" ht="11.25" customHeight="1">
      <c r="A66" s="25"/>
      <c r="B66" s="31" t="s">
        <v>62</v>
      </c>
      <c r="C66" s="123" t="e">
        <f>C12-C13</f>
        <v>#N/A</v>
      </c>
      <c r="D66" s="123" t="e">
        <f t="shared" ref="D66:O66" si="6">IF(ISBLANK(D4),"",D12-D13)</f>
        <v>#N/A</v>
      </c>
      <c r="E66" s="123" t="e">
        <f t="shared" si="6"/>
        <v>#N/A</v>
      </c>
      <c r="F66" s="123" t="e">
        <f t="shared" si="6"/>
        <v>#N/A</v>
      </c>
      <c r="G66" s="123" t="e">
        <f t="shared" si="6"/>
        <v>#N/A</v>
      </c>
      <c r="H66" s="123" t="e">
        <f t="shared" si="6"/>
        <v>#N/A</v>
      </c>
      <c r="I66" s="123" t="e">
        <f t="shared" si="6"/>
        <v>#N/A</v>
      </c>
      <c r="J66" s="123" t="e">
        <f t="shared" si="6"/>
        <v>#N/A</v>
      </c>
      <c r="K66" s="123" t="e">
        <f t="shared" si="6"/>
        <v>#N/A</v>
      </c>
      <c r="L66" s="123" t="e">
        <f t="shared" si="6"/>
        <v>#N/A</v>
      </c>
      <c r="M66" s="123" t="e">
        <f t="shared" si="6"/>
        <v>#N/A</v>
      </c>
      <c r="N66" s="123" t="e">
        <f t="shared" si="6"/>
        <v>#N/A</v>
      </c>
      <c r="O66" s="123" t="e">
        <f t="shared" si="6"/>
        <v>#N/A</v>
      </c>
    </row>
    <row r="67" spans="1:15" ht="11.25" customHeight="1">
      <c r="A67" s="25"/>
      <c r="B67" s="27" t="s">
        <v>63</v>
      </c>
      <c r="C67" s="122" t="e">
        <f>C73+C79</f>
        <v>#N/A</v>
      </c>
      <c r="D67" s="122" t="e">
        <f t="shared" ref="D67:O67" si="7">IF(ISBLANK(D4),"",D73+D79)</f>
        <v>#N/A</v>
      </c>
      <c r="E67" s="122" t="e">
        <f t="shared" si="7"/>
        <v>#N/A</v>
      </c>
      <c r="F67" s="122" t="e">
        <f t="shared" si="7"/>
        <v>#N/A</v>
      </c>
      <c r="G67" s="122" t="e">
        <f t="shared" si="7"/>
        <v>#N/A</v>
      </c>
      <c r="H67" s="122" t="e">
        <f t="shared" si="7"/>
        <v>#N/A</v>
      </c>
      <c r="I67" s="122" t="e">
        <f t="shared" si="7"/>
        <v>#N/A</v>
      </c>
      <c r="J67" s="122" t="e">
        <f t="shared" si="7"/>
        <v>#N/A</v>
      </c>
      <c r="K67" s="122" t="e">
        <f t="shared" si="7"/>
        <v>#N/A</v>
      </c>
      <c r="L67" s="122" t="e">
        <f t="shared" si="7"/>
        <v>#N/A</v>
      </c>
      <c r="M67" s="122" t="e">
        <f t="shared" si="7"/>
        <v>#N/A</v>
      </c>
      <c r="N67" s="122" t="e">
        <f t="shared" si="7"/>
        <v>#N/A</v>
      </c>
      <c r="O67" s="122" t="e">
        <f t="shared" si="7"/>
        <v>#N/A</v>
      </c>
    </row>
    <row r="68" spans="1:15" ht="11.25" customHeight="1">
      <c r="A68" s="37"/>
      <c r="B68" s="45" t="s">
        <v>64</v>
      </c>
      <c r="C68" s="124">
        <f>'採算表(VND)'!C68</f>
        <v>0</v>
      </c>
      <c r="D68" s="124">
        <f>'採算表(VND)'!D68</f>
        <v>0</v>
      </c>
      <c r="E68" s="124">
        <f>'採算表(VND)'!E68</f>
        <v>0</v>
      </c>
      <c r="F68" s="124">
        <f>'採算表(VND)'!F68</f>
        <v>0</v>
      </c>
      <c r="G68" s="124">
        <f>'採算表(VND)'!G68</f>
        <v>0</v>
      </c>
      <c r="H68" s="124">
        <f>'採算表(VND)'!H68</f>
        <v>0</v>
      </c>
      <c r="I68" s="124">
        <f>'採算表(VND)'!I68</f>
        <v>0</v>
      </c>
      <c r="J68" s="124">
        <f>'採算表(VND)'!J68</f>
        <v>0</v>
      </c>
      <c r="K68" s="124">
        <f>'採算表(VND)'!K68</f>
        <v>0</v>
      </c>
      <c r="L68" s="124">
        <f>'採算表(VND)'!L68</f>
        <v>0</v>
      </c>
      <c r="M68" s="124">
        <f>'採算表(VND)'!M68</f>
        <v>0</v>
      </c>
      <c r="N68" s="124">
        <f>'採算表(VND)'!N68</f>
        <v>0</v>
      </c>
      <c r="O68" s="124">
        <f>SUM(C68:N68)</f>
        <v>0</v>
      </c>
    </row>
    <row r="69" spans="1:15" ht="11.25" customHeight="1">
      <c r="A69" s="37"/>
      <c r="B69" s="45" t="s">
        <v>65</v>
      </c>
      <c r="C69" s="125" t="e">
        <f>'採算表(VND)'!C69</f>
        <v>#N/A</v>
      </c>
      <c r="D69" s="125" t="e">
        <f>'採算表(VND)'!D69</f>
        <v>#N/A</v>
      </c>
      <c r="E69" s="125" t="e">
        <f>'採算表(VND)'!E69</f>
        <v>#N/A</v>
      </c>
      <c r="F69" s="125" t="e">
        <f>'採算表(VND)'!F69</f>
        <v>#N/A</v>
      </c>
      <c r="G69" s="125" t="e">
        <f>'採算表(VND)'!G69</f>
        <v>#N/A</v>
      </c>
      <c r="H69" s="125" t="e">
        <f>'採算表(VND)'!H69</f>
        <v>#N/A</v>
      </c>
      <c r="I69" s="125" t="e">
        <f>'採算表(VND)'!I69</f>
        <v>#N/A</v>
      </c>
      <c r="J69" s="125" t="e">
        <f>'採算表(VND)'!J69</f>
        <v>#N/A</v>
      </c>
      <c r="K69" s="125" t="e">
        <f>'採算表(VND)'!K69</f>
        <v>#N/A</v>
      </c>
      <c r="L69" s="125" t="e">
        <f>'採算表(VND)'!L69</f>
        <v>#N/A</v>
      </c>
      <c r="M69" s="125" t="e">
        <f>'採算表(VND)'!M69</f>
        <v>#N/A</v>
      </c>
      <c r="N69" s="125" t="e">
        <f>'採算表(VND)'!N69</f>
        <v>#N/A</v>
      </c>
      <c r="O69" s="125" t="e">
        <f>SUM(C69:N69)</f>
        <v>#N/A</v>
      </c>
    </row>
    <row r="70" spans="1:15" ht="11.25" customHeight="1">
      <c r="A70" s="37"/>
      <c r="B70" s="46" t="s">
        <v>66</v>
      </c>
      <c r="C70" s="129" t="e">
        <f>'採算表(VND)'!C70</f>
        <v>#N/A</v>
      </c>
      <c r="D70" s="129" t="e">
        <f>'採算表(VND)'!D70</f>
        <v>#N/A</v>
      </c>
      <c r="E70" s="129" t="e">
        <f>'採算表(VND)'!E70</f>
        <v>#N/A</v>
      </c>
      <c r="F70" s="129" t="e">
        <f>'採算表(VND)'!F70</f>
        <v>#N/A</v>
      </c>
      <c r="G70" s="129" t="e">
        <f>'採算表(VND)'!G70</f>
        <v>#N/A</v>
      </c>
      <c r="H70" s="129" t="e">
        <f>'採算表(VND)'!H70</f>
        <v>#N/A</v>
      </c>
      <c r="I70" s="129" t="e">
        <f>'採算表(VND)'!I70</f>
        <v>#N/A</v>
      </c>
      <c r="J70" s="129" t="e">
        <f>'採算表(VND)'!J70</f>
        <v>#N/A</v>
      </c>
      <c r="K70" s="129" t="e">
        <f>'採算表(VND)'!K70</f>
        <v>#N/A</v>
      </c>
      <c r="L70" s="129" t="e">
        <f>'採算表(VND)'!L70</f>
        <v>#N/A</v>
      </c>
      <c r="M70" s="129" t="e">
        <f>'採算表(VND)'!M70</f>
        <v>#N/A</v>
      </c>
      <c r="N70" s="129" t="e">
        <f>'採算表(VND)'!N70</f>
        <v>#N/A</v>
      </c>
      <c r="O70" s="129" t="e">
        <f>SUM(C70:N70)</f>
        <v>#N/A</v>
      </c>
    </row>
    <row r="71" spans="1:15" ht="11.25" customHeight="1">
      <c r="A71" s="37"/>
      <c r="B71" s="46" t="s">
        <v>67</v>
      </c>
      <c r="C71" s="129" t="e">
        <f>'採算表(VND)'!C71</f>
        <v>#N/A</v>
      </c>
      <c r="D71" s="129" t="e">
        <f>'採算表(VND)'!D71</f>
        <v>#N/A</v>
      </c>
      <c r="E71" s="129" t="e">
        <f>'採算表(VND)'!E71</f>
        <v>#N/A</v>
      </c>
      <c r="F71" s="129" t="e">
        <f>'採算表(VND)'!F71</f>
        <v>#N/A</v>
      </c>
      <c r="G71" s="129" t="e">
        <f>'採算表(VND)'!G71</f>
        <v>#N/A</v>
      </c>
      <c r="H71" s="129" t="e">
        <f>'採算表(VND)'!H71</f>
        <v>#N/A</v>
      </c>
      <c r="I71" s="129" t="e">
        <f>'採算表(VND)'!I71</f>
        <v>#N/A</v>
      </c>
      <c r="J71" s="129" t="e">
        <f>'採算表(VND)'!J71</f>
        <v>#N/A</v>
      </c>
      <c r="K71" s="129" t="e">
        <f>'採算表(VND)'!K71</f>
        <v>#N/A</v>
      </c>
      <c r="L71" s="129" t="e">
        <f>'採算表(VND)'!L71</f>
        <v>#N/A</v>
      </c>
      <c r="M71" s="129" t="e">
        <f>'採算表(VND)'!M71</f>
        <v>#N/A</v>
      </c>
      <c r="N71" s="129" t="e">
        <f>'採算表(VND)'!N71</f>
        <v>#N/A</v>
      </c>
      <c r="O71" s="129" t="e">
        <f>SUM(C71:N71)</f>
        <v>#N/A</v>
      </c>
    </row>
    <row r="72" spans="1:15" ht="11.25" customHeight="1">
      <c r="A72" s="37"/>
      <c r="B72" s="39" t="s">
        <v>68</v>
      </c>
      <c r="C72" s="130" t="e">
        <f>'採算表(VND)'!C72</f>
        <v>#N/A</v>
      </c>
      <c r="D72" s="130" t="e">
        <f>'採算表(VND)'!D72</f>
        <v>#N/A</v>
      </c>
      <c r="E72" s="130" t="e">
        <f>'採算表(VND)'!E72</f>
        <v>#N/A</v>
      </c>
      <c r="F72" s="130" t="e">
        <f>'採算表(VND)'!F72</f>
        <v>#N/A</v>
      </c>
      <c r="G72" s="130" t="e">
        <f>'採算表(VND)'!G72</f>
        <v>#N/A</v>
      </c>
      <c r="H72" s="130" t="e">
        <f>'採算表(VND)'!H72</f>
        <v>#N/A</v>
      </c>
      <c r="I72" s="130" t="e">
        <f>'採算表(VND)'!I72</f>
        <v>#N/A</v>
      </c>
      <c r="J72" s="130" t="e">
        <f>'採算表(VND)'!J72</f>
        <v>#N/A</v>
      </c>
      <c r="K72" s="130" t="e">
        <f>'採算表(VND)'!K72</f>
        <v>#N/A</v>
      </c>
      <c r="L72" s="130" t="e">
        <f>'採算表(VND)'!L72</f>
        <v>#N/A</v>
      </c>
      <c r="M72" s="130" t="e">
        <f>'採算表(VND)'!M72</f>
        <v>#N/A</v>
      </c>
      <c r="N72" s="130" t="e">
        <f>'採算表(VND)'!N72</f>
        <v>#N/A</v>
      </c>
      <c r="O72" s="130" t="e">
        <f>SUM(C72:N72)</f>
        <v>#N/A</v>
      </c>
    </row>
    <row r="73" spans="1:15" ht="11.25" customHeight="1">
      <c r="A73" s="37"/>
      <c r="B73" s="40" t="s">
        <v>69</v>
      </c>
      <c r="C73" s="131" t="e">
        <f>SUM(C68:C72)</f>
        <v>#N/A</v>
      </c>
      <c r="D73" s="131" t="e">
        <f t="shared" ref="D73:O73" si="8">IF(ISBLANK(D4),"",SUM(D68:D72))</f>
        <v>#N/A</v>
      </c>
      <c r="E73" s="131" t="e">
        <f t="shared" si="8"/>
        <v>#N/A</v>
      </c>
      <c r="F73" s="131" t="e">
        <f t="shared" si="8"/>
        <v>#N/A</v>
      </c>
      <c r="G73" s="131" t="e">
        <f t="shared" si="8"/>
        <v>#N/A</v>
      </c>
      <c r="H73" s="131" t="e">
        <f t="shared" si="8"/>
        <v>#N/A</v>
      </c>
      <c r="I73" s="131" t="e">
        <f t="shared" si="8"/>
        <v>#N/A</v>
      </c>
      <c r="J73" s="131" t="e">
        <f t="shared" si="8"/>
        <v>#N/A</v>
      </c>
      <c r="K73" s="131" t="e">
        <f t="shared" si="8"/>
        <v>#N/A</v>
      </c>
      <c r="L73" s="131" t="e">
        <f t="shared" si="8"/>
        <v>#N/A</v>
      </c>
      <c r="M73" s="131" t="e">
        <f t="shared" si="8"/>
        <v>#N/A</v>
      </c>
      <c r="N73" s="131" t="e">
        <f t="shared" si="8"/>
        <v>#N/A</v>
      </c>
      <c r="O73" s="131" t="e">
        <f t="shared" si="8"/>
        <v>#N/A</v>
      </c>
    </row>
    <row r="74" spans="1:15" ht="11.25" customHeight="1">
      <c r="A74" s="37"/>
      <c r="B74" s="38" t="s">
        <v>64</v>
      </c>
      <c r="C74" s="124">
        <f>'採算表(VND)'!C74</f>
        <v>0</v>
      </c>
      <c r="D74" s="124">
        <f>'採算表(VND)'!D74</f>
        <v>0</v>
      </c>
      <c r="E74" s="124">
        <f>'採算表(VND)'!E74</f>
        <v>0</v>
      </c>
      <c r="F74" s="124">
        <f>'採算表(VND)'!F74</f>
        <v>0</v>
      </c>
      <c r="G74" s="124">
        <f>'採算表(VND)'!G74</f>
        <v>0</v>
      </c>
      <c r="H74" s="124">
        <f>'採算表(VND)'!H74</f>
        <v>0</v>
      </c>
      <c r="I74" s="124">
        <f>'採算表(VND)'!I74</f>
        <v>0</v>
      </c>
      <c r="J74" s="124">
        <f>'採算表(VND)'!J74</f>
        <v>0</v>
      </c>
      <c r="K74" s="124">
        <f>'採算表(VND)'!K74</f>
        <v>0</v>
      </c>
      <c r="L74" s="124">
        <f>'採算表(VND)'!L74</f>
        <v>0</v>
      </c>
      <c r="M74" s="124">
        <f>'採算表(VND)'!M74</f>
        <v>0</v>
      </c>
      <c r="N74" s="124">
        <f>'採算表(VND)'!N74</f>
        <v>0</v>
      </c>
      <c r="O74" s="124">
        <f>SUM(C74:N74)</f>
        <v>0</v>
      </c>
    </row>
    <row r="75" spans="1:15">
      <c r="A75" s="37"/>
      <c r="B75" s="36" t="s">
        <v>65</v>
      </c>
      <c r="C75" s="125" t="e">
        <f>'採算表(VND)'!C75</f>
        <v>#N/A</v>
      </c>
      <c r="D75" s="125" t="e">
        <f>'採算表(VND)'!D75</f>
        <v>#N/A</v>
      </c>
      <c r="E75" s="125" t="e">
        <f>'採算表(VND)'!E75</f>
        <v>#N/A</v>
      </c>
      <c r="F75" s="125" t="e">
        <f>'採算表(VND)'!F75</f>
        <v>#N/A</v>
      </c>
      <c r="G75" s="125" t="e">
        <f>'採算表(VND)'!G75</f>
        <v>#N/A</v>
      </c>
      <c r="H75" s="125" t="e">
        <f>'採算表(VND)'!H75</f>
        <v>#N/A</v>
      </c>
      <c r="I75" s="125" t="e">
        <f>'採算表(VND)'!I75</f>
        <v>#N/A</v>
      </c>
      <c r="J75" s="125" t="e">
        <f>'採算表(VND)'!J75</f>
        <v>#N/A</v>
      </c>
      <c r="K75" s="125" t="e">
        <f>'採算表(VND)'!K75</f>
        <v>#N/A</v>
      </c>
      <c r="L75" s="125" t="e">
        <f>'採算表(VND)'!L75</f>
        <v>#N/A</v>
      </c>
      <c r="M75" s="125" t="e">
        <f>'採算表(VND)'!M75</f>
        <v>#N/A</v>
      </c>
      <c r="N75" s="125" t="e">
        <f>'採算表(VND)'!N75</f>
        <v>#N/A</v>
      </c>
      <c r="O75" s="125" t="e">
        <f>SUM(C75:N75)</f>
        <v>#N/A</v>
      </c>
    </row>
    <row r="76" spans="1:15">
      <c r="A76" s="37"/>
      <c r="B76" s="36" t="s">
        <v>66</v>
      </c>
      <c r="C76" s="129" t="e">
        <f>'採算表(VND)'!C76</f>
        <v>#N/A</v>
      </c>
      <c r="D76" s="129" t="e">
        <f>'採算表(VND)'!D76</f>
        <v>#N/A</v>
      </c>
      <c r="E76" s="129" t="e">
        <f>'採算表(VND)'!E76</f>
        <v>#N/A</v>
      </c>
      <c r="F76" s="129" t="e">
        <f>'採算表(VND)'!F76</f>
        <v>#N/A</v>
      </c>
      <c r="G76" s="129" t="e">
        <f>'採算表(VND)'!G76</f>
        <v>#N/A</v>
      </c>
      <c r="H76" s="129" t="e">
        <f>'採算表(VND)'!H76</f>
        <v>#N/A</v>
      </c>
      <c r="I76" s="129" t="e">
        <f>'採算表(VND)'!I76</f>
        <v>#N/A</v>
      </c>
      <c r="J76" s="129" t="e">
        <f>'採算表(VND)'!J76</f>
        <v>#N/A</v>
      </c>
      <c r="K76" s="129" t="e">
        <f>'採算表(VND)'!K76</f>
        <v>#N/A</v>
      </c>
      <c r="L76" s="129" t="e">
        <f>'採算表(VND)'!L76</f>
        <v>#N/A</v>
      </c>
      <c r="M76" s="129" t="e">
        <f>'採算表(VND)'!M76</f>
        <v>#N/A</v>
      </c>
      <c r="N76" s="129" t="e">
        <f>'採算表(VND)'!N76</f>
        <v>#N/A</v>
      </c>
      <c r="O76" s="129" t="e">
        <f>SUM(C76:N76)</f>
        <v>#N/A</v>
      </c>
    </row>
    <row r="77" spans="1:15">
      <c r="A77" s="37"/>
      <c r="B77" s="36" t="s">
        <v>67</v>
      </c>
      <c r="C77" s="129" t="e">
        <f>'採算表(VND)'!C77</f>
        <v>#N/A</v>
      </c>
      <c r="D77" s="129" t="e">
        <f>'採算表(VND)'!D77</f>
        <v>#N/A</v>
      </c>
      <c r="E77" s="129" t="e">
        <f>'採算表(VND)'!E77</f>
        <v>#N/A</v>
      </c>
      <c r="F77" s="129" t="e">
        <f>'採算表(VND)'!F77</f>
        <v>#N/A</v>
      </c>
      <c r="G77" s="129" t="e">
        <f>'採算表(VND)'!G77</f>
        <v>#N/A</v>
      </c>
      <c r="H77" s="129" t="e">
        <f>'採算表(VND)'!H77</f>
        <v>#N/A</v>
      </c>
      <c r="I77" s="129" t="e">
        <f>'採算表(VND)'!I77</f>
        <v>#N/A</v>
      </c>
      <c r="J77" s="129" t="e">
        <f>'採算表(VND)'!J77</f>
        <v>#N/A</v>
      </c>
      <c r="K77" s="129" t="e">
        <f>'採算表(VND)'!K77</f>
        <v>#N/A</v>
      </c>
      <c r="L77" s="129" t="e">
        <f>'採算表(VND)'!L77</f>
        <v>#N/A</v>
      </c>
      <c r="M77" s="129" t="e">
        <f>'採算表(VND)'!M77</f>
        <v>#N/A</v>
      </c>
      <c r="N77" s="129" t="e">
        <f>'採算表(VND)'!N77</f>
        <v>#N/A</v>
      </c>
      <c r="O77" s="129" t="e">
        <f>SUM(C77:N77)</f>
        <v>#N/A</v>
      </c>
    </row>
    <row r="78" spans="1:15">
      <c r="A78" s="37"/>
      <c r="B78" s="39" t="s">
        <v>68</v>
      </c>
      <c r="C78" s="130" t="e">
        <f>'採算表(VND)'!C78</f>
        <v>#N/A</v>
      </c>
      <c r="D78" s="130" t="e">
        <f>'採算表(VND)'!D78</f>
        <v>#N/A</v>
      </c>
      <c r="E78" s="130" t="e">
        <f>'採算表(VND)'!E78</f>
        <v>#N/A</v>
      </c>
      <c r="F78" s="130" t="e">
        <f>'採算表(VND)'!F78</f>
        <v>#N/A</v>
      </c>
      <c r="G78" s="130" t="e">
        <f>'採算表(VND)'!G78</f>
        <v>#N/A</v>
      </c>
      <c r="H78" s="130" t="e">
        <f>'採算表(VND)'!H78</f>
        <v>#N/A</v>
      </c>
      <c r="I78" s="130" t="e">
        <f>'採算表(VND)'!I78</f>
        <v>#N/A</v>
      </c>
      <c r="J78" s="130" t="e">
        <f>'採算表(VND)'!J78</f>
        <v>#N/A</v>
      </c>
      <c r="K78" s="130" t="e">
        <f>'採算表(VND)'!K78</f>
        <v>#N/A</v>
      </c>
      <c r="L78" s="130" t="e">
        <f>'採算表(VND)'!L78</f>
        <v>#N/A</v>
      </c>
      <c r="M78" s="130" t="e">
        <f>'採算表(VND)'!M78</f>
        <v>#N/A</v>
      </c>
      <c r="N78" s="130" t="e">
        <f>'採算表(VND)'!N78</f>
        <v>#N/A</v>
      </c>
      <c r="O78" s="130" t="e">
        <f>SUM(C78:N78)</f>
        <v>#N/A</v>
      </c>
    </row>
    <row r="79" spans="1:15" ht="14.25" customHeight="1">
      <c r="A79" s="37"/>
      <c r="B79" s="40" t="s">
        <v>70</v>
      </c>
      <c r="C79" s="131" t="e">
        <f>SUM(C74:C78)</f>
        <v>#N/A</v>
      </c>
      <c r="D79" s="131" t="e">
        <f t="shared" ref="D79:O79" si="9">IF(ISBLANK(D4),"",SUM(D74:D78))</f>
        <v>#N/A</v>
      </c>
      <c r="E79" s="131" t="e">
        <f t="shared" si="9"/>
        <v>#N/A</v>
      </c>
      <c r="F79" s="131" t="e">
        <f t="shared" si="9"/>
        <v>#N/A</v>
      </c>
      <c r="G79" s="131" t="e">
        <f t="shared" si="9"/>
        <v>#N/A</v>
      </c>
      <c r="H79" s="131" t="e">
        <f t="shared" si="9"/>
        <v>#N/A</v>
      </c>
      <c r="I79" s="131" t="e">
        <f t="shared" si="9"/>
        <v>#N/A</v>
      </c>
      <c r="J79" s="131" t="e">
        <f t="shared" si="9"/>
        <v>#N/A</v>
      </c>
      <c r="K79" s="131" t="e">
        <f t="shared" si="9"/>
        <v>#N/A</v>
      </c>
      <c r="L79" s="131" t="e">
        <f t="shared" si="9"/>
        <v>#N/A</v>
      </c>
      <c r="M79" s="131" t="e">
        <f t="shared" si="9"/>
        <v>#N/A</v>
      </c>
      <c r="N79" s="131" t="e">
        <f t="shared" si="9"/>
        <v>#N/A</v>
      </c>
      <c r="O79" s="131" t="e">
        <f t="shared" si="9"/>
        <v>#N/A</v>
      </c>
    </row>
    <row r="80" spans="1:15" ht="14.25" customHeight="1">
      <c r="A80" s="25"/>
      <c r="B80" s="31" t="s">
        <v>71</v>
      </c>
      <c r="C80" s="132">
        <f t="shared" ref="C80:O80" si="10">IFERROR(ROUNDDOWN(C66/C67,0),0)</f>
        <v>0</v>
      </c>
      <c r="D80" s="123">
        <f t="shared" si="10"/>
        <v>0</v>
      </c>
      <c r="E80" s="123">
        <f t="shared" si="10"/>
        <v>0</v>
      </c>
      <c r="F80" s="123">
        <f t="shared" si="10"/>
        <v>0</v>
      </c>
      <c r="G80" s="123">
        <f t="shared" si="10"/>
        <v>0</v>
      </c>
      <c r="H80" s="123">
        <f t="shared" si="10"/>
        <v>0</v>
      </c>
      <c r="I80" s="123">
        <f t="shared" si="10"/>
        <v>0</v>
      </c>
      <c r="J80" s="123">
        <f t="shared" si="10"/>
        <v>0</v>
      </c>
      <c r="K80" s="123">
        <f t="shared" si="10"/>
        <v>0</v>
      </c>
      <c r="L80" s="123">
        <f t="shared" si="10"/>
        <v>0</v>
      </c>
      <c r="M80" s="123">
        <f t="shared" si="10"/>
        <v>0</v>
      </c>
      <c r="N80" s="123">
        <f t="shared" si="10"/>
        <v>0</v>
      </c>
      <c r="O80" s="123">
        <f t="shared" si="10"/>
        <v>0</v>
      </c>
    </row>
    <row r="81" spans="1:15" ht="14.25" customHeight="1">
      <c r="A81" s="25"/>
      <c r="B81" s="41" t="s">
        <v>72</v>
      </c>
      <c r="C81" s="133">
        <f t="shared" ref="C81:O81" si="11">IFERROR(ROUNDDOWN(C12/C67,0),0)</f>
        <v>0</v>
      </c>
      <c r="D81" s="131">
        <f t="shared" si="11"/>
        <v>0</v>
      </c>
      <c r="E81" s="131">
        <f t="shared" si="11"/>
        <v>0</v>
      </c>
      <c r="F81" s="131">
        <f t="shared" si="11"/>
        <v>0</v>
      </c>
      <c r="G81" s="131">
        <f t="shared" si="11"/>
        <v>0</v>
      </c>
      <c r="H81" s="131">
        <f t="shared" si="11"/>
        <v>0</v>
      </c>
      <c r="I81" s="131">
        <f t="shared" si="11"/>
        <v>0</v>
      </c>
      <c r="J81" s="131">
        <f t="shared" si="11"/>
        <v>0</v>
      </c>
      <c r="K81" s="131">
        <f t="shared" si="11"/>
        <v>0</v>
      </c>
      <c r="L81" s="131">
        <f t="shared" si="11"/>
        <v>0</v>
      </c>
      <c r="M81" s="131">
        <f t="shared" si="11"/>
        <v>0</v>
      </c>
      <c r="N81" s="131">
        <f t="shared" si="11"/>
        <v>0</v>
      </c>
      <c r="O81" s="131">
        <f t="shared" si="11"/>
        <v>0</v>
      </c>
    </row>
    <row r="82" spans="1:15" ht="13" customHeight="1"/>
    <row r="83" spans="1:15" ht="13" customHeight="1"/>
    <row r="84" spans="1:15" ht="13" customHeight="1"/>
    <row r="85" spans="1:15" ht="13" customHeight="1"/>
    <row r="86" spans="1:15">
      <c r="A86" s="61"/>
      <c r="B86" s="16" t="s">
        <v>73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</row>
    <row r="87" spans="1:15">
      <c r="A87" s="42"/>
      <c r="B87" s="57" t="s">
        <v>74</v>
      </c>
      <c r="C87" s="137">
        <f>'採算表(VND)'!C87</f>
        <v>0</v>
      </c>
      <c r="D87" s="137">
        <f>'採算表(VND)'!D87</f>
        <v>0</v>
      </c>
      <c r="E87" s="137">
        <f>'採算表(VND)'!E87</f>
        <v>0</v>
      </c>
      <c r="F87" s="137">
        <f>'採算表(VND)'!F87</f>
        <v>0</v>
      </c>
      <c r="G87" s="137">
        <f>'採算表(VND)'!G87</f>
        <v>0</v>
      </c>
      <c r="H87" s="137">
        <f>'採算表(VND)'!H87</f>
        <v>0</v>
      </c>
      <c r="I87" s="137">
        <f>'採算表(VND)'!I87</f>
        <v>0</v>
      </c>
      <c r="J87" s="137">
        <f>'採算表(VND)'!J87</f>
        <v>0</v>
      </c>
      <c r="K87" s="137">
        <f>'採算表(VND)'!K87</f>
        <v>0</v>
      </c>
      <c r="L87" s="137">
        <f>'採算表(VND)'!L87</f>
        <v>0</v>
      </c>
      <c r="M87" s="137">
        <f>'採算表(VND)'!M87</f>
        <v>0</v>
      </c>
      <c r="N87" s="137">
        <f>'採算表(VND)'!N87</f>
        <v>0</v>
      </c>
      <c r="O87" s="137">
        <f>SUM(C87:N87)</f>
        <v>0</v>
      </c>
    </row>
    <row r="88" spans="1:15">
      <c r="A88" s="42"/>
      <c r="B88" s="57" t="s">
        <v>75</v>
      </c>
      <c r="C88" s="137">
        <f>'採算表(VND)'!C88</f>
        <v>0</v>
      </c>
      <c r="D88" s="137">
        <f>'採算表(VND)'!D88</f>
        <v>0</v>
      </c>
      <c r="E88" s="137">
        <f>'採算表(VND)'!E88</f>
        <v>0</v>
      </c>
      <c r="F88" s="137">
        <f>'採算表(VND)'!F88</f>
        <v>0</v>
      </c>
      <c r="G88" s="137">
        <f>'採算表(VND)'!G88</f>
        <v>0</v>
      </c>
      <c r="H88" s="137">
        <f>'採算表(VND)'!H88</f>
        <v>0</v>
      </c>
      <c r="I88" s="137">
        <f>'採算表(VND)'!I88</f>
        <v>0</v>
      </c>
      <c r="J88" s="137">
        <f>'採算表(VND)'!J88</f>
        <v>0</v>
      </c>
      <c r="K88" s="137">
        <f>'採算表(VND)'!K88</f>
        <v>0</v>
      </c>
      <c r="L88" s="137">
        <f>'採算表(VND)'!L88</f>
        <v>0</v>
      </c>
      <c r="M88" s="137">
        <f>'採算表(VND)'!M88</f>
        <v>0</v>
      </c>
      <c r="N88" s="137">
        <f>'採算表(VND)'!N88</f>
        <v>0</v>
      </c>
      <c r="O88" s="137">
        <f>SUM(C88:N88)</f>
        <v>0</v>
      </c>
    </row>
    <row r="89" spans="1:15">
      <c r="A89" s="43"/>
      <c r="B89" s="58" t="s">
        <v>76</v>
      </c>
      <c r="C89" s="138">
        <f t="shared" ref="C89:O89" si="12">C87+C88</f>
        <v>0</v>
      </c>
      <c r="D89" s="138">
        <f t="shared" si="12"/>
        <v>0</v>
      </c>
      <c r="E89" s="138">
        <f t="shared" si="12"/>
        <v>0</v>
      </c>
      <c r="F89" s="138">
        <f t="shared" si="12"/>
        <v>0</v>
      </c>
      <c r="G89" s="138">
        <f t="shared" si="12"/>
        <v>0</v>
      </c>
      <c r="H89" s="138">
        <f t="shared" si="12"/>
        <v>0</v>
      </c>
      <c r="I89" s="138">
        <f t="shared" si="12"/>
        <v>0</v>
      </c>
      <c r="J89" s="138">
        <f t="shared" si="12"/>
        <v>0</v>
      </c>
      <c r="K89" s="138">
        <f t="shared" si="12"/>
        <v>0</v>
      </c>
      <c r="L89" s="138">
        <f t="shared" si="12"/>
        <v>0</v>
      </c>
      <c r="M89" s="138">
        <f t="shared" si="12"/>
        <v>0</v>
      </c>
      <c r="N89" s="138">
        <f t="shared" si="12"/>
        <v>0</v>
      </c>
      <c r="O89" s="138">
        <f t="shared" si="12"/>
        <v>0</v>
      </c>
    </row>
    <row r="91" spans="1:15">
      <c r="B91" s="16" t="s">
        <v>77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</row>
    <row r="92" spans="1:15">
      <c r="B92" s="57" t="s">
        <v>78</v>
      </c>
      <c r="C92" s="122">
        <f>'採算表(VND)'!C92</f>
        <v>0</v>
      </c>
      <c r="D92" s="122">
        <f>'採算表(VND)'!D92</f>
        <v>0</v>
      </c>
      <c r="E92" s="122">
        <f>'採算表(VND)'!E92</f>
        <v>0</v>
      </c>
      <c r="F92" s="122">
        <f>'採算表(VND)'!F92</f>
        <v>0</v>
      </c>
      <c r="G92" s="122">
        <f>'採算表(VND)'!G92</f>
        <v>0</v>
      </c>
      <c r="H92" s="122">
        <f>'採算表(VND)'!H92</f>
        <v>0</v>
      </c>
      <c r="I92" s="122">
        <f>'採算表(VND)'!I92</f>
        <v>0</v>
      </c>
      <c r="J92" s="122">
        <f>'採算表(VND)'!J92</f>
        <v>0</v>
      </c>
      <c r="K92" s="122">
        <f>'採算表(VND)'!K92</f>
        <v>0</v>
      </c>
      <c r="L92" s="122">
        <f>'採算表(VND)'!L92</f>
        <v>0</v>
      </c>
      <c r="M92" s="122">
        <f>'採算表(VND)'!M92</f>
        <v>0</v>
      </c>
      <c r="N92" s="122">
        <f>'採算表(VND)'!N92</f>
        <v>0</v>
      </c>
      <c r="O92" s="122">
        <f>SUM(C92:N92)</f>
        <v>0</v>
      </c>
    </row>
    <row r="93" spans="1:15">
      <c r="B93" s="57" t="s">
        <v>79</v>
      </c>
      <c r="C93" s="122">
        <f>'採算表(VND)'!C93</f>
        <v>0</v>
      </c>
      <c r="D93" s="122">
        <f>'採算表(VND)'!D93</f>
        <v>0</v>
      </c>
      <c r="E93" s="122">
        <f>'採算表(VND)'!E93</f>
        <v>0</v>
      </c>
      <c r="F93" s="122">
        <f>'採算表(VND)'!F93</f>
        <v>0</v>
      </c>
      <c r="G93" s="122">
        <f>'採算表(VND)'!G93</f>
        <v>0</v>
      </c>
      <c r="H93" s="122">
        <f>'採算表(VND)'!H93</f>
        <v>0</v>
      </c>
      <c r="I93" s="122">
        <f>'採算表(VND)'!I93</f>
        <v>0</v>
      </c>
      <c r="J93" s="122">
        <f>'採算表(VND)'!J93</f>
        <v>0</v>
      </c>
      <c r="K93" s="122">
        <f>'採算表(VND)'!K93</f>
        <v>0</v>
      </c>
      <c r="L93" s="122">
        <f>'採算表(VND)'!L93</f>
        <v>0</v>
      </c>
      <c r="M93" s="122">
        <f>'採算表(VND)'!M93</f>
        <v>0</v>
      </c>
      <c r="N93" s="122">
        <f>'採算表(VND)'!N93</f>
        <v>0</v>
      </c>
      <c r="O93" s="122">
        <f>SUM(C93:N93)</f>
        <v>0</v>
      </c>
    </row>
    <row r="94" spans="1:15">
      <c r="B94" s="59" t="s">
        <v>76</v>
      </c>
      <c r="C94" s="134">
        <f t="shared" ref="C94:O94" si="13">C92+C93</f>
        <v>0</v>
      </c>
      <c r="D94" s="134">
        <f t="shared" si="13"/>
        <v>0</v>
      </c>
      <c r="E94" s="134">
        <f t="shared" si="13"/>
        <v>0</v>
      </c>
      <c r="F94" s="134">
        <f t="shared" si="13"/>
        <v>0</v>
      </c>
      <c r="G94" s="134">
        <f t="shared" si="13"/>
        <v>0</v>
      </c>
      <c r="H94" s="134">
        <f t="shared" si="13"/>
        <v>0</v>
      </c>
      <c r="I94" s="134">
        <f t="shared" si="13"/>
        <v>0</v>
      </c>
      <c r="J94" s="134">
        <f t="shared" si="13"/>
        <v>0</v>
      </c>
      <c r="K94" s="134">
        <f t="shared" si="13"/>
        <v>0</v>
      </c>
      <c r="L94" s="134">
        <f t="shared" si="13"/>
        <v>0</v>
      </c>
      <c r="M94" s="134">
        <f t="shared" si="13"/>
        <v>0</v>
      </c>
      <c r="N94" s="134">
        <f t="shared" si="13"/>
        <v>0</v>
      </c>
      <c r="O94" s="134">
        <f t="shared" si="13"/>
        <v>0</v>
      </c>
    </row>
    <row r="95" spans="1:15"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</row>
    <row r="96" spans="1:15">
      <c r="B96" s="16" t="s">
        <v>80</v>
      </c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</row>
    <row r="97" spans="2:15">
      <c r="B97" s="57" t="s">
        <v>81</v>
      </c>
      <c r="C97" s="122">
        <f>'採算表(VND)'!C97</f>
        <v>0</v>
      </c>
      <c r="D97" s="122">
        <f>'採算表(VND)'!D97</f>
        <v>0</v>
      </c>
      <c r="E97" s="122">
        <f>'採算表(VND)'!E97</f>
        <v>0</v>
      </c>
      <c r="F97" s="122">
        <f>'採算表(VND)'!F97</f>
        <v>0</v>
      </c>
      <c r="G97" s="122">
        <f>'採算表(VND)'!G97</f>
        <v>0</v>
      </c>
      <c r="H97" s="122">
        <f>'採算表(VND)'!H97</f>
        <v>0</v>
      </c>
      <c r="I97" s="122">
        <f>'採算表(VND)'!I97</f>
        <v>0</v>
      </c>
      <c r="J97" s="122">
        <f>'採算表(VND)'!J97</f>
        <v>0</v>
      </c>
      <c r="K97" s="122">
        <f>'採算表(VND)'!K97</f>
        <v>0</v>
      </c>
      <c r="L97" s="122">
        <f>'採算表(VND)'!L97</f>
        <v>0</v>
      </c>
      <c r="M97" s="122">
        <f>'採算表(VND)'!M97</f>
        <v>0</v>
      </c>
      <c r="N97" s="122">
        <f>'採算表(VND)'!N97</f>
        <v>0</v>
      </c>
      <c r="O97" s="122">
        <f>SUM(C97:N97)</f>
        <v>0</v>
      </c>
    </row>
    <row r="98" spans="2:15">
      <c r="B98" s="57" t="s">
        <v>82</v>
      </c>
      <c r="C98" s="122">
        <f>'採算表(VND)'!C98</f>
        <v>0</v>
      </c>
      <c r="D98" s="122">
        <f>'採算表(VND)'!D98</f>
        <v>0</v>
      </c>
      <c r="E98" s="122">
        <f>'採算表(VND)'!E98</f>
        <v>0</v>
      </c>
      <c r="F98" s="122">
        <f>'採算表(VND)'!F98</f>
        <v>0</v>
      </c>
      <c r="G98" s="122">
        <f>'採算表(VND)'!G98</f>
        <v>0</v>
      </c>
      <c r="H98" s="122">
        <f>'採算表(VND)'!H98</f>
        <v>0</v>
      </c>
      <c r="I98" s="122">
        <f>'採算表(VND)'!I98</f>
        <v>0</v>
      </c>
      <c r="J98" s="122">
        <f>'採算表(VND)'!J98</f>
        <v>0</v>
      </c>
      <c r="K98" s="122">
        <f>'採算表(VND)'!K98</f>
        <v>0</v>
      </c>
      <c r="L98" s="122">
        <f>'採算表(VND)'!L98</f>
        <v>0</v>
      </c>
      <c r="M98" s="122">
        <f>'採算表(VND)'!M98</f>
        <v>0</v>
      </c>
      <c r="N98" s="122">
        <f>'採算表(VND)'!N98</f>
        <v>0</v>
      </c>
      <c r="O98" s="122">
        <f>SUM(C98:N98)</f>
        <v>0</v>
      </c>
    </row>
    <row r="99" spans="2:15">
      <c r="B99" s="59" t="s">
        <v>76</v>
      </c>
      <c r="C99" s="134">
        <f t="shared" ref="C99:O99" si="14">C97+C98</f>
        <v>0</v>
      </c>
      <c r="D99" s="134">
        <f t="shared" si="14"/>
        <v>0</v>
      </c>
      <c r="E99" s="134">
        <f t="shared" si="14"/>
        <v>0</v>
      </c>
      <c r="F99" s="134">
        <f t="shared" si="14"/>
        <v>0</v>
      </c>
      <c r="G99" s="134">
        <f t="shared" si="14"/>
        <v>0</v>
      </c>
      <c r="H99" s="134">
        <f t="shared" si="14"/>
        <v>0</v>
      </c>
      <c r="I99" s="134">
        <f t="shared" si="14"/>
        <v>0</v>
      </c>
      <c r="J99" s="134">
        <f t="shared" si="14"/>
        <v>0</v>
      </c>
      <c r="K99" s="134">
        <f t="shared" si="14"/>
        <v>0</v>
      </c>
      <c r="L99" s="134">
        <f t="shared" si="14"/>
        <v>0</v>
      </c>
      <c r="M99" s="134">
        <f t="shared" si="14"/>
        <v>0</v>
      </c>
      <c r="N99" s="134">
        <f t="shared" si="14"/>
        <v>0</v>
      </c>
      <c r="O99" s="134">
        <f t="shared" si="14"/>
        <v>0</v>
      </c>
    </row>
  </sheetData>
  <printOptions horizontalCentered="1"/>
  <pageMargins left="0" right="0" top="0.19685039370078741" bottom="0" header="0.2" footer="0.21"/>
  <pageSetup paperSize="9" scale="7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99"/>
  <sheetViews>
    <sheetView topLeftCell="A54" zoomScaleNormal="100" workbookViewId="0">
      <selection activeCell="B68" sqref="B68"/>
    </sheetView>
  </sheetViews>
  <sheetFormatPr defaultColWidth="9" defaultRowHeight="12"/>
  <cols>
    <col min="1" max="1" width="0.81640625" style="20" customWidth="1"/>
    <col min="2" max="2" width="19.453125" style="20" customWidth="1"/>
    <col min="3" max="15" width="15.54296875" style="19" customWidth="1"/>
    <col min="16" max="42" width="9" style="19" customWidth="1"/>
    <col min="43" max="43" width="13.26953125" style="19" bestFit="1" customWidth="1"/>
    <col min="44" max="46" width="11.7265625" style="19" bestFit="1" customWidth="1"/>
    <col min="47" max="47" width="9" style="19" customWidth="1"/>
    <col min="48" max="51" width="14.453125" style="19" bestFit="1" customWidth="1"/>
    <col min="52" max="52" width="9" style="19" customWidth="1"/>
    <col min="53" max="56" width="14.7265625" style="19" bestFit="1" customWidth="1"/>
    <col min="57" max="57" width="9" style="19" customWidth="1"/>
    <col min="58" max="58" width="15.26953125" style="19" bestFit="1" customWidth="1"/>
    <col min="59" max="60" width="11.7265625" style="19" bestFit="1" customWidth="1"/>
    <col min="61" max="61" width="12.54296875" style="19" bestFit="1" customWidth="1"/>
    <col min="62" max="64" width="9" style="19" customWidth="1"/>
    <col min="65" max="16384" width="9" style="19"/>
  </cols>
  <sheetData>
    <row r="1" spans="1:61" ht="14.25" customHeight="1" thickBot="1">
      <c r="A1" s="16"/>
      <c r="B1" s="17" t="s">
        <v>0</v>
      </c>
      <c r="C1" s="93" t="str">
        <f>'内訳ﾘｽﾄ(4～3月)'!A1</f>
        <v>MP FY2027_各予定</v>
      </c>
      <c r="D1" s="22"/>
      <c r="E1" s="22"/>
      <c r="F1" s="94"/>
      <c r="G1" s="94"/>
      <c r="H1" s="94"/>
      <c r="I1" s="22"/>
      <c r="J1" s="94"/>
      <c r="K1" s="22"/>
      <c r="L1" s="95"/>
      <c r="M1" s="22"/>
      <c r="N1" s="92"/>
      <c r="O1" s="91"/>
    </row>
    <row r="2" spans="1:61" ht="14.25" customHeight="1" thickBot="1">
      <c r="B2" s="21" t="e">
        <f>'内訳ﾘｽﾄ(4～3月)'!C5</f>
        <v>#N/A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0"/>
      <c r="O2" s="90"/>
    </row>
    <row r="3" spans="1:61" ht="11.25" customHeight="1">
      <c r="C3" s="233">
        <v>2</v>
      </c>
      <c r="D3" s="233">
        <v>3</v>
      </c>
      <c r="E3" s="233">
        <v>4</v>
      </c>
      <c r="F3" s="233">
        <v>5</v>
      </c>
      <c r="G3" s="233">
        <v>6</v>
      </c>
      <c r="H3" s="233">
        <v>7</v>
      </c>
      <c r="I3" s="233">
        <v>8</v>
      </c>
      <c r="J3" s="233">
        <v>9</v>
      </c>
      <c r="K3" s="233">
        <v>10</v>
      </c>
      <c r="L3" s="233">
        <v>11</v>
      </c>
      <c r="M3" s="233">
        <v>12</v>
      </c>
      <c r="N3" s="233">
        <v>13</v>
      </c>
      <c r="O3" s="68"/>
    </row>
    <row r="4" spans="1:61">
      <c r="A4" s="23"/>
      <c r="B4" s="24" t="s">
        <v>1</v>
      </c>
      <c r="C4" s="67">
        <f>'内訳ﾘｽﾄ(4～3月)'!F4</f>
        <v>4</v>
      </c>
      <c r="D4" s="67">
        <v>5</v>
      </c>
      <c r="E4" s="67">
        <v>6</v>
      </c>
      <c r="F4" s="67">
        <v>7</v>
      </c>
      <c r="G4" s="67">
        <v>8</v>
      </c>
      <c r="H4" s="67">
        <v>9</v>
      </c>
      <c r="I4" s="67">
        <v>10</v>
      </c>
      <c r="J4" s="67">
        <v>11</v>
      </c>
      <c r="K4" s="67">
        <v>12</v>
      </c>
      <c r="L4" s="67">
        <v>1</v>
      </c>
      <c r="M4" s="67">
        <v>2</v>
      </c>
      <c r="N4" s="67">
        <v>3</v>
      </c>
      <c r="O4" s="50" t="s">
        <v>83</v>
      </c>
      <c r="AV4" s="69"/>
    </row>
    <row r="5" spans="1:61" ht="11.25" customHeight="1">
      <c r="A5" s="25"/>
      <c r="B5" s="26" t="s">
        <v>2</v>
      </c>
      <c r="C5" s="139">
        <f t="shared" ref="C5:O5" si="0">C8+C9</f>
        <v>0</v>
      </c>
      <c r="D5" s="139">
        <f t="shared" si="0"/>
        <v>0</v>
      </c>
      <c r="E5" s="139">
        <f t="shared" si="0"/>
        <v>0</v>
      </c>
      <c r="F5" s="139">
        <f t="shared" si="0"/>
        <v>0</v>
      </c>
      <c r="G5" s="139">
        <f t="shared" si="0"/>
        <v>0</v>
      </c>
      <c r="H5" s="139">
        <f t="shared" si="0"/>
        <v>0</v>
      </c>
      <c r="I5" s="139">
        <f t="shared" si="0"/>
        <v>0</v>
      </c>
      <c r="J5" s="139">
        <f t="shared" si="0"/>
        <v>0</v>
      </c>
      <c r="K5" s="139">
        <f t="shared" si="0"/>
        <v>0</v>
      </c>
      <c r="L5" s="139">
        <f t="shared" si="0"/>
        <v>0</v>
      </c>
      <c r="M5" s="139">
        <f t="shared" si="0"/>
        <v>0</v>
      </c>
      <c r="N5" s="139">
        <f t="shared" si="0"/>
        <v>0</v>
      </c>
      <c r="O5" s="139">
        <f t="shared" si="0"/>
        <v>0</v>
      </c>
      <c r="AD5" s="69"/>
      <c r="AE5" s="69"/>
      <c r="AQ5" s="71"/>
      <c r="AR5" s="71"/>
      <c r="AS5" s="71"/>
      <c r="AT5" s="71"/>
      <c r="AV5" s="70"/>
      <c r="AW5" s="70"/>
      <c r="AX5" s="70"/>
      <c r="AY5" s="70"/>
      <c r="BA5" s="72"/>
      <c r="BB5" s="72"/>
      <c r="BC5" s="72"/>
      <c r="BD5" s="72"/>
      <c r="BF5" s="69"/>
      <c r="BG5" s="69"/>
      <c r="BH5" s="69"/>
      <c r="BI5" s="69"/>
    </row>
    <row r="6" spans="1:61" ht="11.25" customHeight="1">
      <c r="A6" s="25"/>
      <c r="B6" s="28" t="s">
        <v>3</v>
      </c>
      <c r="C6" s="140">
        <f>SUMIF('内訳ﾘｽﾄ(4～3月)'!$D$26:$D$1015,'採算表(VND)'!$B6,'内訳ﾘｽﾄ(4～3月)'!F$26:F$1015)</f>
        <v>0</v>
      </c>
      <c r="D6" s="140">
        <f>SUMIF('内訳ﾘｽﾄ(4～3月)'!$D$26:$D$1015,'採算表(VND)'!$B6,'内訳ﾘｽﾄ(4～3月)'!G$26:G$1015)</f>
        <v>0</v>
      </c>
      <c r="E6" s="140">
        <f>SUMIF('内訳ﾘｽﾄ(4～3月)'!$D$26:$D$1015,'採算表(VND)'!$B6,'内訳ﾘｽﾄ(4～3月)'!H$26:H$1015)</f>
        <v>0</v>
      </c>
      <c r="F6" s="140">
        <f>SUMIF('内訳ﾘｽﾄ(4～3月)'!$D$26:$D$1015,'採算表(VND)'!$B6,'内訳ﾘｽﾄ(4～3月)'!I$26:I$1015)</f>
        <v>0</v>
      </c>
      <c r="G6" s="140">
        <f>SUMIF('内訳ﾘｽﾄ(4～3月)'!$D$26:$D$1015,'採算表(VND)'!$B6,'内訳ﾘｽﾄ(4～3月)'!J$26:J$1015)</f>
        <v>0</v>
      </c>
      <c r="H6" s="140">
        <f>SUMIF('内訳ﾘｽﾄ(4～3月)'!$D$26:$D$1015,'採算表(VND)'!$B6,'内訳ﾘｽﾄ(4～3月)'!K$26:K$1015)</f>
        <v>0</v>
      </c>
      <c r="I6" s="140">
        <f>SUMIF('内訳ﾘｽﾄ(4～3月)'!$D$26:$D$1015,'採算表(VND)'!$B6,'内訳ﾘｽﾄ(4～3月)'!L$26:L$1015)</f>
        <v>0</v>
      </c>
      <c r="J6" s="140">
        <f>SUMIF('内訳ﾘｽﾄ(4～3月)'!$D$26:$D$1015,'採算表(VND)'!$B6,'内訳ﾘｽﾄ(4～3月)'!M$26:M$1015)</f>
        <v>0</v>
      </c>
      <c r="K6" s="140">
        <f>SUMIF('内訳ﾘｽﾄ(4～3月)'!$D$26:$D$1015,'採算表(VND)'!$B6,'内訳ﾘｽﾄ(4～3月)'!N$26:N$1015)</f>
        <v>0</v>
      </c>
      <c r="L6" s="140">
        <f>SUMIF('内訳ﾘｽﾄ(4～3月)'!$D$26:$D$1015,'採算表(VND)'!$B6,'内訳ﾘｽﾄ(4～3月)'!O$26:O$1015)</f>
        <v>0</v>
      </c>
      <c r="M6" s="140">
        <f>SUMIF('内訳ﾘｽﾄ(4～3月)'!$D$26:$D$1015,'採算表(VND)'!$B6,'内訳ﾘｽﾄ(4～3月)'!P$26:P$1015)</f>
        <v>0</v>
      </c>
      <c r="N6" s="140">
        <f>SUMIF('内訳ﾘｽﾄ(4～3月)'!$D$26:$D$1015,'採算表(VND)'!$B6,'内訳ﾘｽﾄ(4～3月)'!Q$26:Q$1015)</f>
        <v>0</v>
      </c>
      <c r="O6" s="140">
        <f>SUMIF('内訳ﾘｽﾄ(4～3月)'!$D$26:$D$814,'採算表(VND)'!$B6,'内訳ﾘｽﾄ(4～3月)'!R$26:R$814)</f>
        <v>0</v>
      </c>
      <c r="AQ6" s="71"/>
      <c r="AR6" s="71"/>
      <c r="AS6" s="71"/>
      <c r="AT6" s="71"/>
      <c r="AV6" s="70"/>
      <c r="AW6" s="70"/>
      <c r="AX6" s="70"/>
      <c r="AY6" s="70"/>
      <c r="BA6" s="72"/>
      <c r="BB6" s="72"/>
      <c r="BC6" s="72"/>
      <c r="BD6" s="72"/>
      <c r="BF6" s="69"/>
      <c r="BG6" s="69"/>
      <c r="BH6" s="69"/>
      <c r="BI6" s="69"/>
    </row>
    <row r="7" spans="1:61" ht="11.25" customHeight="1">
      <c r="A7" s="25"/>
      <c r="B7" s="29" t="s">
        <v>4</v>
      </c>
      <c r="C7" s="141">
        <f>SUMIF('内訳ﾘｽﾄ(4～3月)'!$D$26:$D$1015,'採算表(VND)'!$B7,'内訳ﾘｽﾄ(4～3月)'!F$26:F$1015)</f>
        <v>0</v>
      </c>
      <c r="D7" s="141">
        <f>SUMIF('内訳ﾘｽﾄ(4～3月)'!$D$26:$D$1015,'採算表(VND)'!$B7,'内訳ﾘｽﾄ(4～3月)'!G$26:G$1015)</f>
        <v>0</v>
      </c>
      <c r="E7" s="141">
        <f>SUMIF('内訳ﾘｽﾄ(4～3月)'!$D$26:$D$1015,'採算表(VND)'!$B7,'内訳ﾘｽﾄ(4～3月)'!H$26:H$1015)</f>
        <v>0</v>
      </c>
      <c r="F7" s="141">
        <f>SUMIF('内訳ﾘｽﾄ(4～3月)'!$D$26:$D$1015,'採算表(VND)'!$B7,'内訳ﾘｽﾄ(4～3月)'!I$26:I$1015)</f>
        <v>0</v>
      </c>
      <c r="G7" s="141">
        <f>SUMIF('内訳ﾘｽﾄ(4～3月)'!$D$26:$D$1015,'採算表(VND)'!$B7,'内訳ﾘｽﾄ(4～3月)'!J$26:J$1015)</f>
        <v>0</v>
      </c>
      <c r="H7" s="141">
        <f>SUMIF('内訳ﾘｽﾄ(4～3月)'!$D$26:$D$1015,'採算表(VND)'!$B7,'内訳ﾘｽﾄ(4～3月)'!K$26:K$1015)</f>
        <v>0</v>
      </c>
      <c r="I7" s="141">
        <f>SUMIF('内訳ﾘｽﾄ(4～3月)'!$D$26:$D$1015,'採算表(VND)'!$B7,'内訳ﾘｽﾄ(4～3月)'!L$26:L$1015)</f>
        <v>0</v>
      </c>
      <c r="J7" s="141">
        <f>SUMIF('内訳ﾘｽﾄ(4～3月)'!$D$26:$D$1015,'採算表(VND)'!$B7,'内訳ﾘｽﾄ(4～3月)'!M$26:M$1015)</f>
        <v>0</v>
      </c>
      <c r="K7" s="141">
        <f>SUMIF('内訳ﾘｽﾄ(4～3月)'!$D$26:$D$1015,'採算表(VND)'!$B7,'内訳ﾘｽﾄ(4～3月)'!N$26:N$1015)</f>
        <v>0</v>
      </c>
      <c r="L7" s="141">
        <f>SUMIF('内訳ﾘｽﾄ(4～3月)'!$D$26:$D$1015,'採算表(VND)'!$B7,'内訳ﾘｽﾄ(4～3月)'!O$26:O$1015)</f>
        <v>0</v>
      </c>
      <c r="M7" s="141">
        <f>SUMIF('内訳ﾘｽﾄ(4～3月)'!$D$26:$D$1015,'採算表(VND)'!$B7,'内訳ﾘｽﾄ(4～3月)'!P$26:P$1015)</f>
        <v>0</v>
      </c>
      <c r="N7" s="141">
        <f>SUMIF('内訳ﾘｽﾄ(4～3月)'!$D$26:$D$1015,'採算表(VND)'!$B7,'内訳ﾘｽﾄ(4～3月)'!Q$26:Q$1015)</f>
        <v>0</v>
      </c>
      <c r="O7" s="141">
        <f>SUMIF('内訳ﾘｽﾄ(4～3月)'!$D$26:$D$814,'採算表(VND)'!$B7,'内訳ﾘｽﾄ(4～3月)'!R$26:R$814)</f>
        <v>0</v>
      </c>
      <c r="AQ7" s="71"/>
      <c r="AR7" s="71"/>
      <c r="AS7" s="71"/>
      <c r="AT7" s="71"/>
      <c r="AV7" s="70"/>
      <c r="AW7" s="70"/>
      <c r="AX7" s="70"/>
      <c r="AY7" s="70"/>
      <c r="BA7" s="72"/>
      <c r="BB7" s="72"/>
      <c r="BC7" s="72"/>
      <c r="BD7" s="72"/>
      <c r="BF7" s="69"/>
      <c r="BG7" s="69"/>
      <c r="BH7" s="69"/>
      <c r="BI7" s="69"/>
    </row>
    <row r="8" spans="1:61" ht="11.25" customHeight="1">
      <c r="A8" s="25"/>
      <c r="B8" s="30" t="s">
        <v>5</v>
      </c>
      <c r="C8" s="142">
        <f t="shared" ref="C8:O8" si="1">C6+C7</f>
        <v>0</v>
      </c>
      <c r="D8" s="142">
        <f t="shared" si="1"/>
        <v>0</v>
      </c>
      <c r="E8" s="142">
        <f t="shared" si="1"/>
        <v>0</v>
      </c>
      <c r="F8" s="142">
        <f t="shared" si="1"/>
        <v>0</v>
      </c>
      <c r="G8" s="142">
        <f t="shared" si="1"/>
        <v>0</v>
      </c>
      <c r="H8" s="142">
        <f t="shared" si="1"/>
        <v>0</v>
      </c>
      <c r="I8" s="142">
        <f t="shared" si="1"/>
        <v>0</v>
      </c>
      <c r="J8" s="142">
        <f t="shared" si="1"/>
        <v>0</v>
      </c>
      <c r="K8" s="142">
        <f t="shared" si="1"/>
        <v>0</v>
      </c>
      <c r="L8" s="142">
        <f t="shared" si="1"/>
        <v>0</v>
      </c>
      <c r="M8" s="142">
        <f t="shared" si="1"/>
        <v>0</v>
      </c>
      <c r="N8" s="142">
        <f t="shared" si="1"/>
        <v>0</v>
      </c>
      <c r="O8" s="142">
        <f t="shared" si="1"/>
        <v>0</v>
      </c>
      <c r="AQ8" s="71"/>
      <c r="AR8" s="71"/>
      <c r="AS8" s="71"/>
      <c r="AT8" s="71"/>
      <c r="AV8" s="70"/>
      <c r="AW8" s="70"/>
      <c r="AX8" s="70"/>
      <c r="AY8" s="70"/>
      <c r="BA8" s="72"/>
      <c r="BB8" s="72"/>
      <c r="BC8" s="72"/>
      <c r="BD8" s="72"/>
      <c r="BF8" s="69"/>
      <c r="BG8" s="69"/>
      <c r="BH8" s="69"/>
      <c r="BI8" s="69"/>
    </row>
    <row r="9" spans="1:61" ht="11.25" customHeight="1">
      <c r="A9" s="25"/>
      <c r="B9" s="27" t="s">
        <v>6</v>
      </c>
      <c r="C9" s="137">
        <f>SUMIF('内訳ﾘｽﾄ(4～3月)'!$D$26:$D$1015,'採算表(VND)'!$B9,'内訳ﾘｽﾄ(4～3月)'!F$26:F$1015)</f>
        <v>0</v>
      </c>
      <c r="D9" s="137">
        <f>SUMIF('内訳ﾘｽﾄ(4～3月)'!$D$26:$D$1015,'採算表(VND)'!$B9,'内訳ﾘｽﾄ(4～3月)'!G$26:G$1015)</f>
        <v>0</v>
      </c>
      <c r="E9" s="137">
        <f>SUMIF('内訳ﾘｽﾄ(4～3月)'!$D$26:$D$1015,'採算表(VND)'!$B9,'内訳ﾘｽﾄ(4～3月)'!H$26:H$1015)</f>
        <v>0</v>
      </c>
      <c r="F9" s="137">
        <f>SUMIF('内訳ﾘｽﾄ(4～3月)'!$D$26:$D$1015,'採算表(VND)'!$B9,'内訳ﾘｽﾄ(4～3月)'!I$26:I$1015)</f>
        <v>0</v>
      </c>
      <c r="G9" s="137">
        <f>SUMIF('内訳ﾘｽﾄ(4～3月)'!$D$26:$D$1015,'採算表(VND)'!$B9,'内訳ﾘｽﾄ(4～3月)'!J$26:J$1015)</f>
        <v>0</v>
      </c>
      <c r="H9" s="137">
        <f>SUMIF('内訳ﾘｽﾄ(4～3月)'!$D$26:$D$1015,'採算表(VND)'!$B9,'内訳ﾘｽﾄ(4～3月)'!K$26:K$1015)</f>
        <v>0</v>
      </c>
      <c r="I9" s="137">
        <f>SUMIF('内訳ﾘｽﾄ(4～3月)'!$D$26:$D$1015,'採算表(VND)'!$B9,'内訳ﾘｽﾄ(4～3月)'!L$26:L$1015)</f>
        <v>0</v>
      </c>
      <c r="J9" s="137">
        <f>SUMIF('内訳ﾘｽﾄ(4～3月)'!$D$26:$D$1015,'採算表(VND)'!$B9,'内訳ﾘｽﾄ(4～3月)'!M$26:M$1015)</f>
        <v>0</v>
      </c>
      <c r="K9" s="137">
        <f>SUMIF('内訳ﾘｽﾄ(4～3月)'!$D$26:$D$1015,'採算表(VND)'!$B9,'内訳ﾘｽﾄ(4～3月)'!N$26:N$1015)</f>
        <v>0</v>
      </c>
      <c r="L9" s="137">
        <f>SUMIF('内訳ﾘｽﾄ(4～3月)'!$D$26:$D$1015,'採算表(VND)'!$B9,'内訳ﾘｽﾄ(4～3月)'!O$26:O$1015)</f>
        <v>0</v>
      </c>
      <c r="M9" s="137">
        <f>SUMIF('内訳ﾘｽﾄ(4～3月)'!$D$26:$D$1015,'採算表(VND)'!$B9,'内訳ﾘｽﾄ(4～3月)'!P$26:P$1015)</f>
        <v>0</v>
      </c>
      <c r="N9" s="137">
        <f>SUMIF('内訳ﾘｽﾄ(4～3月)'!$D$26:$D$1015,'採算表(VND)'!$B9,'内訳ﾘｽﾄ(4～3月)'!Q$26:Q$1015)</f>
        <v>0</v>
      </c>
      <c r="O9" s="137">
        <f>SUMIF('内訳ﾘｽﾄ(4～3月)'!$D$26:$D$814,'採算表(VND)'!$B9,'内訳ﾘｽﾄ(4～3月)'!R$26:R$814)</f>
        <v>0</v>
      </c>
      <c r="AQ9" s="71"/>
      <c r="AR9" s="71"/>
      <c r="AS9" s="71"/>
      <c r="AT9" s="71"/>
      <c r="AV9" s="70"/>
      <c r="AW9" s="70"/>
      <c r="AX9" s="70"/>
      <c r="AY9" s="70"/>
      <c r="BA9" s="72"/>
      <c r="BB9" s="72"/>
      <c r="BC9" s="72"/>
      <c r="BD9" s="72"/>
      <c r="BF9" s="69"/>
      <c r="BG9" s="69"/>
      <c r="BH9" s="69"/>
      <c r="BI9" s="69"/>
    </row>
    <row r="10" spans="1:61" ht="11.25" customHeight="1">
      <c r="A10" s="25"/>
      <c r="B10" s="27" t="s">
        <v>7</v>
      </c>
      <c r="C10" s="137">
        <f>SUMIF('内訳ﾘｽﾄ(4～3月)'!$D$26:$D$1015,'採算表(VND)'!$B10,'内訳ﾘｽﾄ(4～3月)'!F$26:F$1015)</f>
        <v>0</v>
      </c>
      <c r="D10" s="137">
        <f>SUMIF('内訳ﾘｽﾄ(4～3月)'!$D$26:$D$1015,'採算表(VND)'!$B10,'内訳ﾘｽﾄ(4～3月)'!G$26:G$1015)</f>
        <v>0</v>
      </c>
      <c r="E10" s="137">
        <f>SUMIF('内訳ﾘｽﾄ(4～3月)'!$D$26:$D$1015,'採算表(VND)'!$B10,'内訳ﾘｽﾄ(4～3月)'!H$26:H$1015)</f>
        <v>0</v>
      </c>
      <c r="F10" s="137">
        <f>SUMIF('内訳ﾘｽﾄ(4～3月)'!$D$26:$D$1015,'採算表(VND)'!$B10,'内訳ﾘｽﾄ(4～3月)'!I$26:I$1015)</f>
        <v>0</v>
      </c>
      <c r="G10" s="137">
        <f>SUMIF('内訳ﾘｽﾄ(4～3月)'!$D$26:$D$1015,'採算表(VND)'!$B10,'内訳ﾘｽﾄ(4～3月)'!J$26:J$1015)</f>
        <v>0</v>
      </c>
      <c r="H10" s="137">
        <f>SUMIF('内訳ﾘｽﾄ(4～3月)'!$D$26:$D$1015,'採算表(VND)'!$B10,'内訳ﾘｽﾄ(4～3月)'!K$26:K$1015)</f>
        <v>0</v>
      </c>
      <c r="I10" s="137">
        <f>SUMIF('内訳ﾘｽﾄ(4～3月)'!$D$26:$D$1015,'採算表(VND)'!$B10,'内訳ﾘｽﾄ(4～3月)'!L$26:L$1015)</f>
        <v>0</v>
      </c>
      <c r="J10" s="137">
        <f>SUMIF('内訳ﾘｽﾄ(4～3月)'!$D$26:$D$1015,'採算表(VND)'!$B10,'内訳ﾘｽﾄ(4～3月)'!M$26:M$1015)</f>
        <v>0</v>
      </c>
      <c r="K10" s="137">
        <f>SUMIF('内訳ﾘｽﾄ(4～3月)'!$D$26:$D$1015,'採算表(VND)'!$B10,'内訳ﾘｽﾄ(4～3月)'!N$26:N$1015)</f>
        <v>0</v>
      </c>
      <c r="L10" s="137">
        <f>SUMIF('内訳ﾘｽﾄ(4～3月)'!$D$26:$D$1015,'採算表(VND)'!$B10,'内訳ﾘｽﾄ(4～3月)'!O$26:O$1015)</f>
        <v>0</v>
      </c>
      <c r="M10" s="137">
        <f>SUMIF('内訳ﾘｽﾄ(4～3月)'!$D$26:$D$1015,'採算表(VND)'!$B10,'内訳ﾘｽﾄ(4～3月)'!P$26:P$1015)</f>
        <v>0</v>
      </c>
      <c r="N10" s="137">
        <f>SUMIF('内訳ﾘｽﾄ(4～3月)'!$D$26:$D$1015,'採算表(VND)'!$B10,'内訳ﾘｽﾄ(4～3月)'!Q$26:Q$1015)</f>
        <v>0</v>
      </c>
      <c r="O10" s="137">
        <f>SUMIF('内訳ﾘｽﾄ(4～3月)'!$D$26:$D$814,'採算表(VND)'!$B10,'内訳ﾘｽﾄ(4～3月)'!R$26:R$814)</f>
        <v>0</v>
      </c>
      <c r="AQ10" s="71"/>
      <c r="AR10" s="71"/>
      <c r="AS10" s="71"/>
      <c r="AT10" s="71"/>
      <c r="AV10" s="70"/>
      <c r="AW10" s="70"/>
      <c r="AX10" s="70"/>
      <c r="AY10" s="70"/>
      <c r="BA10" s="72"/>
      <c r="BB10" s="72"/>
      <c r="BC10" s="72"/>
      <c r="BD10" s="72"/>
      <c r="BF10" s="69"/>
      <c r="BG10" s="69"/>
      <c r="BH10" s="69"/>
      <c r="BI10" s="69"/>
    </row>
    <row r="11" spans="1:61" ht="2.25" customHeight="1">
      <c r="A11" s="25"/>
      <c r="B11" s="2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AQ11" s="71"/>
      <c r="AR11" s="71"/>
      <c r="AS11" s="71"/>
      <c r="AT11" s="71"/>
      <c r="AV11" s="70"/>
      <c r="AW11" s="70"/>
      <c r="AX11" s="70"/>
      <c r="AY11" s="70"/>
      <c r="BA11" s="72"/>
      <c r="BB11" s="72"/>
      <c r="BC11" s="72"/>
      <c r="BD11" s="72"/>
      <c r="BF11" s="69"/>
      <c r="BG11" s="69"/>
      <c r="BH11" s="69"/>
      <c r="BI11" s="69"/>
    </row>
    <row r="12" spans="1:61" ht="11.25" customHeight="1">
      <c r="A12" s="32"/>
      <c r="B12" s="31" t="s">
        <v>8</v>
      </c>
      <c r="C12" s="143">
        <f t="shared" ref="C12:O12" si="2">C5-C10</f>
        <v>0</v>
      </c>
      <c r="D12" s="143">
        <f t="shared" si="2"/>
        <v>0</v>
      </c>
      <c r="E12" s="143">
        <f t="shared" si="2"/>
        <v>0</v>
      </c>
      <c r="F12" s="143">
        <f t="shared" si="2"/>
        <v>0</v>
      </c>
      <c r="G12" s="143">
        <f t="shared" si="2"/>
        <v>0</v>
      </c>
      <c r="H12" s="143">
        <f t="shared" si="2"/>
        <v>0</v>
      </c>
      <c r="I12" s="143">
        <f t="shared" si="2"/>
        <v>0</v>
      </c>
      <c r="J12" s="143">
        <f t="shared" si="2"/>
        <v>0</v>
      </c>
      <c r="K12" s="143">
        <f t="shared" si="2"/>
        <v>0</v>
      </c>
      <c r="L12" s="143">
        <f t="shared" si="2"/>
        <v>0</v>
      </c>
      <c r="M12" s="143">
        <f t="shared" si="2"/>
        <v>0</v>
      </c>
      <c r="N12" s="143">
        <f t="shared" si="2"/>
        <v>0</v>
      </c>
      <c r="O12" s="143">
        <f t="shared" si="2"/>
        <v>0</v>
      </c>
      <c r="AQ12" s="71"/>
      <c r="AR12" s="71"/>
      <c r="AS12" s="71"/>
      <c r="AT12" s="71"/>
      <c r="AV12" s="70"/>
      <c r="AW12" s="70"/>
      <c r="AX12" s="70"/>
      <c r="AY12" s="70"/>
      <c r="BA12" s="72"/>
      <c r="BB12" s="72"/>
      <c r="BC12" s="72"/>
      <c r="BD12" s="72"/>
      <c r="BF12" s="69"/>
      <c r="BG12" s="69"/>
      <c r="BH12" s="69"/>
      <c r="BI12" s="69"/>
    </row>
    <row r="13" spans="1:61" ht="11.25" customHeight="1">
      <c r="A13" s="25"/>
      <c r="B13" s="27" t="s">
        <v>9</v>
      </c>
      <c r="C13" s="137" t="e">
        <f t="shared" ref="C13:O13" si="3">SUM(C14:C65)</f>
        <v>#N/A</v>
      </c>
      <c r="D13" s="137" t="e">
        <f t="shared" si="3"/>
        <v>#N/A</v>
      </c>
      <c r="E13" s="137" t="e">
        <f t="shared" si="3"/>
        <v>#N/A</v>
      </c>
      <c r="F13" s="137" t="e">
        <f t="shared" si="3"/>
        <v>#N/A</v>
      </c>
      <c r="G13" s="137" t="e">
        <f t="shared" si="3"/>
        <v>#N/A</v>
      </c>
      <c r="H13" s="137" t="e">
        <f t="shared" si="3"/>
        <v>#N/A</v>
      </c>
      <c r="I13" s="137" t="e">
        <f t="shared" si="3"/>
        <v>#N/A</v>
      </c>
      <c r="J13" s="137" t="e">
        <f t="shared" si="3"/>
        <v>#N/A</v>
      </c>
      <c r="K13" s="137" t="e">
        <f t="shared" si="3"/>
        <v>#N/A</v>
      </c>
      <c r="L13" s="137" t="e">
        <f t="shared" si="3"/>
        <v>#N/A</v>
      </c>
      <c r="M13" s="137" t="e">
        <f t="shared" si="3"/>
        <v>#N/A</v>
      </c>
      <c r="N13" s="137" t="e">
        <f t="shared" si="3"/>
        <v>#N/A</v>
      </c>
      <c r="O13" s="137" t="e">
        <f t="shared" si="3"/>
        <v>#N/A</v>
      </c>
      <c r="AQ13" s="71"/>
      <c r="AR13" s="71"/>
      <c r="AS13" s="71"/>
      <c r="AT13" s="71"/>
      <c r="AV13" s="70"/>
      <c r="AW13" s="70"/>
      <c r="AX13" s="70"/>
      <c r="AY13" s="70"/>
      <c r="BA13" s="72"/>
      <c r="BB13" s="72"/>
      <c r="BC13" s="72"/>
      <c r="BD13" s="72"/>
      <c r="BF13" s="69"/>
      <c r="BG13" s="69"/>
      <c r="BH13" s="69"/>
      <c r="BI13" s="69"/>
    </row>
    <row r="14" spans="1:61" ht="11.25" customHeight="1">
      <c r="A14" s="33"/>
      <c r="B14" s="34" t="s">
        <v>10</v>
      </c>
      <c r="C14" s="144">
        <f>SUMIF('内訳ﾘｽﾄ(4～3月)'!$D$26:$D$1015,$B14,'内訳ﾘｽﾄ(4～3月)'!F$26:F$1015)</f>
        <v>0</v>
      </c>
      <c r="D14" s="144">
        <f>SUMIF('内訳ﾘｽﾄ(4～3月)'!$D$26:$D$1015,$B14,'内訳ﾘｽﾄ(4～3月)'!G$26:G$1015)</f>
        <v>0</v>
      </c>
      <c r="E14" s="144">
        <f>SUMIF('内訳ﾘｽﾄ(4～3月)'!$D$26:$D$1015,$B14,'内訳ﾘｽﾄ(4～3月)'!H$26:H$1015)</f>
        <v>0</v>
      </c>
      <c r="F14" s="144">
        <f>SUMIF('内訳ﾘｽﾄ(4～3月)'!$D$26:$D$1015,$B14,'内訳ﾘｽﾄ(4～3月)'!I$26:I$1015)</f>
        <v>0</v>
      </c>
      <c r="G14" s="144">
        <f>SUMIF('内訳ﾘｽﾄ(4～3月)'!$D$26:$D$1015,$B14,'内訳ﾘｽﾄ(4～3月)'!J$26:J$1015)</f>
        <v>0</v>
      </c>
      <c r="H14" s="144">
        <f>SUMIF('内訳ﾘｽﾄ(4～3月)'!$D$26:$D$1015,$B14,'内訳ﾘｽﾄ(4～3月)'!K$26:K$1015)</f>
        <v>0</v>
      </c>
      <c r="I14" s="144">
        <f>SUMIF('内訳ﾘｽﾄ(4～3月)'!$D$26:$D$1015,$B14,'内訳ﾘｽﾄ(4～3月)'!L$26:L$1015)</f>
        <v>0</v>
      </c>
      <c r="J14" s="144">
        <f>SUMIF('内訳ﾘｽﾄ(4～3月)'!$D$26:$D$1015,$B14,'内訳ﾘｽﾄ(4～3月)'!M$26:M$1015)</f>
        <v>0</v>
      </c>
      <c r="K14" s="144">
        <f>SUMIF('内訳ﾘｽﾄ(4～3月)'!$D$26:$D$1015,$B14,'内訳ﾘｽﾄ(4～3月)'!N$26:N$1015)</f>
        <v>0</v>
      </c>
      <c r="L14" s="144">
        <f>SUMIF('内訳ﾘｽﾄ(4～3月)'!$D$26:$D$1015,$B14,'内訳ﾘｽﾄ(4～3月)'!O$26:O$1015)</f>
        <v>0</v>
      </c>
      <c r="M14" s="144">
        <f>SUMIF('内訳ﾘｽﾄ(4～3月)'!$D$26:$D$1015,$B14,'内訳ﾘｽﾄ(4～3月)'!P$26:P$1015)</f>
        <v>0</v>
      </c>
      <c r="N14" s="144">
        <f>SUMIF('内訳ﾘｽﾄ(4～3月)'!$D$26:$D$1015,$B14,'内訳ﾘｽﾄ(4～3月)'!Q$26:Q$1015)</f>
        <v>0</v>
      </c>
      <c r="O14" s="144">
        <f>SUMIF('内訳ﾘｽﾄ(4～3月)'!$D$26:$D$814,'採算表(VND)'!$B14,'内訳ﾘｽﾄ(4～3月)'!R$26:R$814)</f>
        <v>0</v>
      </c>
      <c r="AQ14" s="71"/>
      <c r="AR14" s="71"/>
      <c r="AS14" s="71"/>
      <c r="AT14" s="71"/>
      <c r="AU14" s="69"/>
      <c r="AV14" s="70"/>
      <c r="AW14" s="70"/>
      <c r="AX14" s="70"/>
      <c r="AY14" s="70"/>
      <c r="BA14" s="72"/>
      <c r="BB14" s="72"/>
      <c r="BC14" s="72"/>
      <c r="BD14" s="72"/>
      <c r="BF14" s="69"/>
      <c r="BG14" s="69"/>
      <c r="BH14" s="69"/>
      <c r="BI14" s="69"/>
    </row>
    <row r="15" spans="1:61" ht="11.25" customHeight="1">
      <c r="A15" s="33"/>
      <c r="B15" s="34" t="s">
        <v>11</v>
      </c>
      <c r="C15" s="144">
        <f>SUMIF('内訳ﾘｽﾄ(4～3月)'!$D$26:$D$1015,$B15,'内訳ﾘｽﾄ(4～3月)'!F$26:F$1015)</f>
        <v>0</v>
      </c>
      <c r="D15" s="144">
        <f>SUMIF('内訳ﾘｽﾄ(4～3月)'!$D$26:$D$1015,$B15,'内訳ﾘｽﾄ(4～3月)'!G$26:G$1015)</f>
        <v>0</v>
      </c>
      <c r="E15" s="144">
        <f>SUMIF('内訳ﾘｽﾄ(4～3月)'!$D$26:$D$1015,$B15,'内訳ﾘｽﾄ(4～3月)'!H$26:H$1015)</f>
        <v>0</v>
      </c>
      <c r="F15" s="144">
        <f>SUMIF('内訳ﾘｽﾄ(4～3月)'!$D$26:$D$1015,$B15,'内訳ﾘｽﾄ(4～3月)'!I$26:I$1015)</f>
        <v>0</v>
      </c>
      <c r="G15" s="144">
        <f>SUMIF('内訳ﾘｽﾄ(4～3月)'!$D$26:$D$1015,$B15,'内訳ﾘｽﾄ(4～3月)'!J$26:J$1015)</f>
        <v>0</v>
      </c>
      <c r="H15" s="144">
        <f>SUMIF('内訳ﾘｽﾄ(4～3月)'!$D$26:$D$1015,$B15,'内訳ﾘｽﾄ(4～3月)'!K$26:K$1015)</f>
        <v>0</v>
      </c>
      <c r="I15" s="144">
        <f>SUMIF('内訳ﾘｽﾄ(4～3月)'!$D$26:$D$1015,$B15,'内訳ﾘｽﾄ(4～3月)'!L$26:L$1015)</f>
        <v>0</v>
      </c>
      <c r="J15" s="144">
        <f>SUMIF('内訳ﾘｽﾄ(4～3月)'!$D$26:$D$1015,$B15,'内訳ﾘｽﾄ(4～3月)'!M$26:M$1015)</f>
        <v>0</v>
      </c>
      <c r="K15" s="144">
        <f>SUMIF('内訳ﾘｽﾄ(4～3月)'!$D$26:$D$1015,$B15,'内訳ﾘｽﾄ(4～3月)'!N$26:N$1015)</f>
        <v>0</v>
      </c>
      <c r="L15" s="144">
        <f>SUMIF('内訳ﾘｽﾄ(4～3月)'!$D$26:$D$1015,$B15,'内訳ﾘｽﾄ(4～3月)'!O$26:O$1015)</f>
        <v>0</v>
      </c>
      <c r="M15" s="144">
        <f>SUMIF('内訳ﾘｽﾄ(4～3月)'!$D$26:$D$1015,$B15,'内訳ﾘｽﾄ(4～3月)'!P$26:P$1015)</f>
        <v>0</v>
      </c>
      <c r="N15" s="144">
        <f>SUMIF('内訳ﾘｽﾄ(4～3月)'!$D$26:$D$1015,$B15,'内訳ﾘｽﾄ(4～3月)'!Q$26:Q$1015)</f>
        <v>0</v>
      </c>
      <c r="O15" s="144">
        <f>SUMIF('内訳ﾘｽﾄ(4～3月)'!$D$26:$D$814,'採算表(VND)'!$B15,'内訳ﾘｽﾄ(4～3月)'!R$26:R$814)</f>
        <v>0</v>
      </c>
      <c r="AQ15" s="71"/>
      <c r="AR15" s="71"/>
      <c r="AS15" s="71"/>
      <c r="AT15" s="71"/>
      <c r="AU15" s="69"/>
      <c r="AV15" s="70"/>
      <c r="AW15" s="70"/>
      <c r="AX15" s="70"/>
      <c r="AY15" s="70"/>
      <c r="BA15" s="72"/>
      <c r="BB15" s="72"/>
      <c r="BC15" s="72"/>
      <c r="BD15" s="72"/>
      <c r="BF15" s="69"/>
      <c r="BG15" s="69"/>
      <c r="BH15" s="69"/>
      <c r="BI15" s="69"/>
    </row>
    <row r="16" spans="1:61" ht="11.25" customHeight="1">
      <c r="A16" s="33"/>
      <c r="B16" s="34" t="s">
        <v>12</v>
      </c>
      <c r="C16" s="144">
        <f>SUMIF('内訳ﾘｽﾄ(4～3月)'!$D$26:$D$1015,$B16,'内訳ﾘｽﾄ(4～3月)'!F$26:F$1015)</f>
        <v>0</v>
      </c>
      <c r="D16" s="144">
        <f>SUMIF('内訳ﾘｽﾄ(4～3月)'!$D$26:$D$1015,$B16,'内訳ﾘｽﾄ(4～3月)'!G$26:G$1015)</f>
        <v>0</v>
      </c>
      <c r="E16" s="144">
        <f>SUMIF('内訳ﾘｽﾄ(4～3月)'!$D$26:$D$1015,$B16,'内訳ﾘｽﾄ(4～3月)'!H$26:H$1015)</f>
        <v>0</v>
      </c>
      <c r="F16" s="144">
        <f>SUMIF('内訳ﾘｽﾄ(4～3月)'!$D$26:$D$1015,$B16,'内訳ﾘｽﾄ(4～3月)'!I$26:I$1015)</f>
        <v>0</v>
      </c>
      <c r="G16" s="144">
        <f>SUMIF('内訳ﾘｽﾄ(4～3月)'!$D$26:$D$1015,$B16,'内訳ﾘｽﾄ(4～3月)'!J$26:J$1015)</f>
        <v>0</v>
      </c>
      <c r="H16" s="144">
        <f>SUMIF('内訳ﾘｽﾄ(4～3月)'!$D$26:$D$1015,$B16,'内訳ﾘｽﾄ(4～3月)'!K$26:K$1015)</f>
        <v>0</v>
      </c>
      <c r="I16" s="144">
        <f>SUMIF('内訳ﾘｽﾄ(4～3月)'!$D$26:$D$1015,$B16,'内訳ﾘｽﾄ(4～3月)'!L$26:L$1015)</f>
        <v>0</v>
      </c>
      <c r="J16" s="144">
        <f>SUMIF('内訳ﾘｽﾄ(4～3月)'!$D$26:$D$1015,$B16,'内訳ﾘｽﾄ(4～3月)'!M$26:M$1015)</f>
        <v>0</v>
      </c>
      <c r="K16" s="144">
        <f>SUMIF('内訳ﾘｽﾄ(4～3月)'!$D$26:$D$1015,$B16,'内訳ﾘｽﾄ(4～3月)'!N$26:N$1015)</f>
        <v>0</v>
      </c>
      <c r="L16" s="144">
        <f>SUMIF('内訳ﾘｽﾄ(4～3月)'!$D$26:$D$1015,$B16,'内訳ﾘｽﾄ(4～3月)'!O$26:O$1015)</f>
        <v>0</v>
      </c>
      <c r="M16" s="144">
        <f>SUMIF('内訳ﾘｽﾄ(4～3月)'!$D$26:$D$1015,$B16,'内訳ﾘｽﾄ(4～3月)'!P$26:P$1015)</f>
        <v>0</v>
      </c>
      <c r="N16" s="144">
        <f>SUMIF('内訳ﾘｽﾄ(4～3月)'!$D$26:$D$1015,$B16,'内訳ﾘｽﾄ(4～3月)'!Q$26:Q$1015)</f>
        <v>0</v>
      </c>
      <c r="O16" s="144">
        <f>SUMIF('内訳ﾘｽﾄ(4～3月)'!$D$26:$D$814,'採算表(VND)'!$B16,'内訳ﾘｽﾄ(4～3月)'!R$26:R$814)</f>
        <v>0</v>
      </c>
      <c r="AQ16" s="71"/>
      <c r="AR16" s="71"/>
      <c r="AS16" s="71"/>
      <c r="AT16" s="71"/>
      <c r="AU16" s="69"/>
      <c r="AV16" s="70"/>
      <c r="AW16" s="70"/>
      <c r="AX16" s="70"/>
      <c r="AY16" s="70"/>
      <c r="BA16" s="72"/>
      <c r="BB16" s="72"/>
      <c r="BC16" s="72"/>
      <c r="BD16" s="72"/>
      <c r="BF16" s="69"/>
      <c r="BG16" s="69"/>
      <c r="BH16" s="69"/>
      <c r="BI16" s="69"/>
    </row>
    <row r="17" spans="1:61" ht="11.25" customHeight="1">
      <c r="A17" s="33"/>
      <c r="B17" s="35" t="s">
        <v>13</v>
      </c>
      <c r="C17" s="145">
        <f>SUMIF('内訳ﾘｽﾄ(4～3月)'!$D$26:$D$1015,$B17,'内訳ﾘｽﾄ(4～3月)'!F$26:F$1015)</f>
        <v>0</v>
      </c>
      <c r="D17" s="145">
        <f>SUMIF('内訳ﾘｽﾄ(4～3月)'!$D$26:$D$1015,$B17,'内訳ﾘｽﾄ(4～3月)'!G$26:G$1015)</f>
        <v>0</v>
      </c>
      <c r="E17" s="145">
        <f>SUMIF('内訳ﾘｽﾄ(4～3月)'!$D$26:$D$1015,$B17,'内訳ﾘｽﾄ(4～3月)'!H$26:H$1015)</f>
        <v>0</v>
      </c>
      <c r="F17" s="145">
        <f>SUMIF('内訳ﾘｽﾄ(4～3月)'!$D$26:$D$1015,$B17,'内訳ﾘｽﾄ(4～3月)'!I$26:I$1015)</f>
        <v>0</v>
      </c>
      <c r="G17" s="145">
        <f>SUMIF('内訳ﾘｽﾄ(4～3月)'!$D$26:$D$1015,$B17,'内訳ﾘｽﾄ(4～3月)'!J$26:J$1015)</f>
        <v>0</v>
      </c>
      <c r="H17" s="145">
        <f>SUMIF('内訳ﾘｽﾄ(4～3月)'!$D$26:$D$1015,$B17,'内訳ﾘｽﾄ(4～3月)'!K$26:K$1015)</f>
        <v>0</v>
      </c>
      <c r="I17" s="145">
        <f>SUMIF('内訳ﾘｽﾄ(4～3月)'!$D$26:$D$1015,$B17,'内訳ﾘｽﾄ(4～3月)'!L$26:L$1015)</f>
        <v>0</v>
      </c>
      <c r="J17" s="145">
        <f>SUMIF('内訳ﾘｽﾄ(4～3月)'!$D$26:$D$1015,$B17,'内訳ﾘｽﾄ(4～3月)'!M$26:M$1015)</f>
        <v>0</v>
      </c>
      <c r="K17" s="145">
        <f>SUMIF('内訳ﾘｽﾄ(4～3月)'!$D$26:$D$1015,$B17,'内訳ﾘｽﾄ(4～3月)'!N$26:N$1015)</f>
        <v>0</v>
      </c>
      <c r="L17" s="145">
        <f>SUMIF('内訳ﾘｽﾄ(4～3月)'!$D$26:$D$1015,$B17,'内訳ﾘｽﾄ(4～3月)'!O$26:O$1015)</f>
        <v>0</v>
      </c>
      <c r="M17" s="145">
        <f>SUMIF('内訳ﾘｽﾄ(4～3月)'!$D$26:$D$1015,$B17,'内訳ﾘｽﾄ(4～3月)'!P$26:P$1015)</f>
        <v>0</v>
      </c>
      <c r="N17" s="145">
        <f>SUMIF('内訳ﾘｽﾄ(4～3月)'!$D$26:$D$1015,$B17,'内訳ﾘｽﾄ(4～3月)'!Q$26:Q$1015)</f>
        <v>0</v>
      </c>
      <c r="O17" s="145">
        <f>SUMIF('内訳ﾘｽﾄ(4～3月)'!$D$26:$D$814,'採算表(VND)'!$B17,'内訳ﾘｽﾄ(4～3月)'!R$26:R$814)</f>
        <v>0</v>
      </c>
      <c r="AQ17" s="71"/>
      <c r="AR17" s="71"/>
      <c r="AS17" s="71"/>
      <c r="AT17" s="71"/>
      <c r="AU17" s="69"/>
      <c r="AV17" s="70"/>
      <c r="AW17" s="70"/>
      <c r="AX17" s="70"/>
      <c r="AY17" s="70"/>
      <c r="BA17" s="72"/>
      <c r="BB17" s="72"/>
      <c r="BC17" s="72"/>
      <c r="BD17" s="72"/>
      <c r="BF17" s="69"/>
      <c r="BG17" s="69"/>
      <c r="BH17" s="69"/>
      <c r="BI17" s="69"/>
    </row>
    <row r="18" spans="1:61" ht="11.25" customHeight="1">
      <c r="A18" s="33"/>
      <c r="B18" s="35" t="s">
        <v>14</v>
      </c>
      <c r="C18" s="145">
        <f>SUMIF('内訳ﾘｽﾄ(4～3月)'!$D$26:$D$1015,$B18,'内訳ﾘｽﾄ(4～3月)'!F$26:F$1015)</f>
        <v>0</v>
      </c>
      <c r="D18" s="145">
        <f>SUMIF('内訳ﾘｽﾄ(4～3月)'!$D$26:$D$1015,$B18,'内訳ﾘｽﾄ(4～3月)'!G$26:G$1015)</f>
        <v>0</v>
      </c>
      <c r="E18" s="145">
        <f>SUMIF('内訳ﾘｽﾄ(4～3月)'!$D$26:$D$1015,$B18,'内訳ﾘｽﾄ(4～3月)'!H$26:H$1015)</f>
        <v>0</v>
      </c>
      <c r="F18" s="145">
        <f>SUMIF('内訳ﾘｽﾄ(4～3月)'!$D$26:$D$1015,$B18,'内訳ﾘｽﾄ(4～3月)'!I$26:I$1015)</f>
        <v>0</v>
      </c>
      <c r="G18" s="145">
        <f>SUMIF('内訳ﾘｽﾄ(4～3月)'!$D$26:$D$1015,$B18,'内訳ﾘｽﾄ(4～3月)'!J$26:J$1015)</f>
        <v>0</v>
      </c>
      <c r="H18" s="145">
        <f>SUMIF('内訳ﾘｽﾄ(4～3月)'!$D$26:$D$1015,$B18,'内訳ﾘｽﾄ(4～3月)'!K$26:K$1015)</f>
        <v>0</v>
      </c>
      <c r="I18" s="145">
        <f>SUMIF('内訳ﾘｽﾄ(4～3月)'!$D$26:$D$1015,$B18,'内訳ﾘｽﾄ(4～3月)'!L$26:L$1015)</f>
        <v>0</v>
      </c>
      <c r="J18" s="145">
        <f>SUMIF('内訳ﾘｽﾄ(4～3月)'!$D$26:$D$1015,$B18,'内訳ﾘｽﾄ(4～3月)'!M$26:M$1015)</f>
        <v>0</v>
      </c>
      <c r="K18" s="145">
        <f>SUMIF('内訳ﾘｽﾄ(4～3月)'!$D$26:$D$1015,$B18,'内訳ﾘｽﾄ(4～3月)'!N$26:N$1015)</f>
        <v>0</v>
      </c>
      <c r="L18" s="145">
        <f>SUMIF('内訳ﾘｽﾄ(4～3月)'!$D$26:$D$1015,$B18,'内訳ﾘｽﾄ(4～3月)'!O$26:O$1015)</f>
        <v>0</v>
      </c>
      <c r="M18" s="145">
        <f>SUMIF('内訳ﾘｽﾄ(4～3月)'!$D$26:$D$1015,$B18,'内訳ﾘｽﾄ(4～3月)'!P$26:P$1015)</f>
        <v>0</v>
      </c>
      <c r="N18" s="145">
        <f>SUMIF('内訳ﾘｽﾄ(4～3月)'!$D$26:$D$1015,$B18,'内訳ﾘｽﾄ(4～3月)'!Q$26:Q$1015)</f>
        <v>0</v>
      </c>
      <c r="O18" s="145">
        <f>SUMIF('内訳ﾘｽﾄ(4～3月)'!$D$26:$D$814,'採算表(VND)'!$B18,'内訳ﾘｽﾄ(4～3月)'!R$26:R$814)</f>
        <v>0</v>
      </c>
      <c r="AQ18" s="71"/>
      <c r="AR18" s="71"/>
      <c r="AS18" s="71"/>
      <c r="AT18" s="71"/>
      <c r="AU18" s="69"/>
      <c r="AV18" s="70"/>
      <c r="AW18" s="70"/>
      <c r="AX18" s="70"/>
      <c r="AY18" s="70"/>
      <c r="BA18" s="72"/>
      <c r="BB18" s="72"/>
      <c r="BC18" s="72"/>
      <c r="BD18" s="72"/>
      <c r="BF18" s="69"/>
      <c r="BG18" s="69"/>
      <c r="BH18" s="69"/>
      <c r="BI18" s="69"/>
    </row>
    <row r="19" spans="1:61" ht="11.25" customHeight="1">
      <c r="A19" s="33"/>
      <c r="B19" s="35" t="s">
        <v>15</v>
      </c>
      <c r="C19" s="145">
        <f>SUMIF('内訳ﾘｽﾄ(4～3月)'!$D$26:$D$1015,$B19,'内訳ﾘｽﾄ(4～3月)'!F$26:F$1015)</f>
        <v>0</v>
      </c>
      <c r="D19" s="145">
        <f>SUMIF('内訳ﾘｽﾄ(4～3月)'!$D$26:$D$1015,$B19,'内訳ﾘｽﾄ(4～3月)'!G$26:G$1015)</f>
        <v>0</v>
      </c>
      <c r="E19" s="145">
        <f>SUMIF('内訳ﾘｽﾄ(4～3月)'!$D$26:$D$1015,$B19,'内訳ﾘｽﾄ(4～3月)'!H$26:H$1015)</f>
        <v>0</v>
      </c>
      <c r="F19" s="145">
        <f>SUMIF('内訳ﾘｽﾄ(4～3月)'!$D$26:$D$1015,$B19,'内訳ﾘｽﾄ(4～3月)'!I$26:I$1015)</f>
        <v>0</v>
      </c>
      <c r="G19" s="145">
        <f>SUMIF('内訳ﾘｽﾄ(4～3月)'!$D$26:$D$1015,$B19,'内訳ﾘｽﾄ(4～3月)'!J$26:J$1015)</f>
        <v>0</v>
      </c>
      <c r="H19" s="145">
        <f>SUMIF('内訳ﾘｽﾄ(4～3月)'!$D$26:$D$1015,$B19,'内訳ﾘｽﾄ(4～3月)'!K$26:K$1015)</f>
        <v>0</v>
      </c>
      <c r="I19" s="145">
        <f>SUMIF('内訳ﾘｽﾄ(4～3月)'!$D$26:$D$1015,$B19,'内訳ﾘｽﾄ(4～3月)'!L$26:L$1015)</f>
        <v>0</v>
      </c>
      <c r="J19" s="145">
        <f>SUMIF('内訳ﾘｽﾄ(4～3月)'!$D$26:$D$1015,$B19,'内訳ﾘｽﾄ(4～3月)'!M$26:M$1015)</f>
        <v>0</v>
      </c>
      <c r="K19" s="145">
        <f>SUMIF('内訳ﾘｽﾄ(4～3月)'!$D$26:$D$1015,$B19,'内訳ﾘｽﾄ(4～3月)'!N$26:N$1015)</f>
        <v>0</v>
      </c>
      <c r="L19" s="145">
        <f>SUMIF('内訳ﾘｽﾄ(4～3月)'!$D$26:$D$1015,$B19,'内訳ﾘｽﾄ(4～3月)'!O$26:O$1015)</f>
        <v>0</v>
      </c>
      <c r="M19" s="145">
        <f>SUMIF('内訳ﾘｽﾄ(4～3月)'!$D$26:$D$1015,$B19,'内訳ﾘｽﾄ(4～3月)'!P$26:P$1015)</f>
        <v>0</v>
      </c>
      <c r="N19" s="145">
        <f>SUMIF('内訳ﾘｽﾄ(4～3月)'!$D$26:$D$1015,$B19,'内訳ﾘｽﾄ(4～3月)'!Q$26:Q$1015)</f>
        <v>0</v>
      </c>
      <c r="O19" s="145">
        <f>SUMIF('内訳ﾘｽﾄ(4～3月)'!$D$26:$D$814,'採算表(VND)'!$B19,'内訳ﾘｽﾄ(4～3月)'!R$26:R$814)</f>
        <v>0</v>
      </c>
      <c r="AQ19" s="71"/>
      <c r="AR19" s="71"/>
      <c r="AS19" s="71"/>
      <c r="AT19" s="71"/>
      <c r="AU19" s="69"/>
      <c r="AV19" s="70"/>
      <c r="AW19" s="70"/>
      <c r="AX19" s="70"/>
      <c r="AY19" s="70"/>
      <c r="BA19" s="72"/>
      <c r="BB19" s="72"/>
      <c r="BC19" s="72"/>
      <c r="BD19" s="72"/>
      <c r="BF19" s="69"/>
      <c r="BG19" s="69"/>
      <c r="BH19" s="69"/>
      <c r="BI19" s="69"/>
    </row>
    <row r="20" spans="1:61" ht="10.5" customHeight="1">
      <c r="A20" s="33"/>
      <c r="B20" s="35" t="s">
        <v>16</v>
      </c>
      <c r="C20" s="145">
        <f>SUMIF('内訳ﾘｽﾄ(4～3月)'!$D$26:$D$1015,$B20,'内訳ﾘｽﾄ(4～3月)'!F$26:F$1015)</f>
        <v>0</v>
      </c>
      <c r="D20" s="145">
        <f>SUMIF('内訳ﾘｽﾄ(4～3月)'!$D$26:$D$1015,$B20,'内訳ﾘｽﾄ(4～3月)'!G$26:G$1015)</f>
        <v>0</v>
      </c>
      <c r="E20" s="145">
        <f>SUMIF('内訳ﾘｽﾄ(4～3月)'!$D$26:$D$1015,$B20,'内訳ﾘｽﾄ(4～3月)'!H$26:H$1015)</f>
        <v>0</v>
      </c>
      <c r="F20" s="145">
        <f>SUMIF('内訳ﾘｽﾄ(4～3月)'!$D$26:$D$1015,$B20,'内訳ﾘｽﾄ(4～3月)'!I$26:I$1015)</f>
        <v>0</v>
      </c>
      <c r="G20" s="145">
        <f>SUMIF('内訳ﾘｽﾄ(4～3月)'!$D$26:$D$1015,$B20,'内訳ﾘｽﾄ(4～3月)'!J$26:J$1015)</f>
        <v>0</v>
      </c>
      <c r="H20" s="145">
        <f>SUMIF('内訳ﾘｽﾄ(4～3月)'!$D$26:$D$1015,$B20,'内訳ﾘｽﾄ(4～3月)'!K$26:K$1015)</f>
        <v>0</v>
      </c>
      <c r="I20" s="145">
        <f>SUMIF('内訳ﾘｽﾄ(4～3月)'!$D$26:$D$1015,$B20,'内訳ﾘｽﾄ(4～3月)'!L$26:L$1015)</f>
        <v>0</v>
      </c>
      <c r="J20" s="145">
        <f>SUMIF('内訳ﾘｽﾄ(4～3月)'!$D$26:$D$1015,$B20,'内訳ﾘｽﾄ(4～3月)'!M$26:M$1015)</f>
        <v>0</v>
      </c>
      <c r="K20" s="145">
        <f>SUMIF('内訳ﾘｽﾄ(4～3月)'!$D$26:$D$1015,$B20,'内訳ﾘｽﾄ(4～3月)'!N$26:N$1015)</f>
        <v>0</v>
      </c>
      <c r="L20" s="145">
        <f>SUMIF('内訳ﾘｽﾄ(4～3月)'!$D$26:$D$1015,$B20,'内訳ﾘｽﾄ(4～3月)'!O$26:O$1015)</f>
        <v>0</v>
      </c>
      <c r="M20" s="145">
        <f>SUMIF('内訳ﾘｽﾄ(4～3月)'!$D$26:$D$1015,$B20,'内訳ﾘｽﾄ(4～3月)'!P$26:P$1015)</f>
        <v>0</v>
      </c>
      <c r="N20" s="145">
        <f>SUMIF('内訳ﾘｽﾄ(4～3月)'!$D$26:$D$1015,$B20,'内訳ﾘｽﾄ(4～3月)'!Q$26:Q$1015)</f>
        <v>0</v>
      </c>
      <c r="O20" s="145">
        <f>SUMIF('内訳ﾘｽﾄ(4～3月)'!$D$26:$D$814,'採算表(VND)'!$B20,'内訳ﾘｽﾄ(4～3月)'!R$26:R$814)</f>
        <v>0</v>
      </c>
      <c r="AQ20" s="71"/>
      <c r="AR20" s="71"/>
      <c r="AS20" s="71"/>
      <c r="AT20" s="71"/>
      <c r="AU20" s="69"/>
      <c r="AV20" s="70"/>
      <c r="AW20" s="70"/>
      <c r="AX20" s="70"/>
      <c r="AY20" s="70"/>
      <c r="BA20" s="72"/>
      <c r="BB20" s="72"/>
      <c r="BC20" s="72"/>
      <c r="BD20" s="72"/>
      <c r="BF20" s="69"/>
      <c r="BG20" s="69"/>
      <c r="BH20" s="69"/>
      <c r="BI20" s="69"/>
    </row>
    <row r="21" spans="1:61" ht="11.25" customHeight="1">
      <c r="A21" s="33"/>
      <c r="B21" s="35" t="s">
        <v>17</v>
      </c>
      <c r="C21" s="145">
        <f>SUMIF('内訳ﾘｽﾄ(4～3月)'!$D$26:$D$1015,$B21,'内訳ﾘｽﾄ(4～3月)'!F$26:F$1015)</f>
        <v>0</v>
      </c>
      <c r="D21" s="145">
        <f>SUMIF('内訳ﾘｽﾄ(4～3月)'!$D$26:$D$1015,$B21,'内訳ﾘｽﾄ(4～3月)'!G$26:G$1015)</f>
        <v>0</v>
      </c>
      <c r="E21" s="145">
        <f>SUMIF('内訳ﾘｽﾄ(4～3月)'!$D$26:$D$1015,$B21,'内訳ﾘｽﾄ(4～3月)'!H$26:H$1015)</f>
        <v>0</v>
      </c>
      <c r="F21" s="145">
        <f>SUMIF('内訳ﾘｽﾄ(4～3月)'!$D$26:$D$1015,$B21,'内訳ﾘｽﾄ(4～3月)'!I$26:I$1015)</f>
        <v>0</v>
      </c>
      <c r="G21" s="145">
        <f>SUMIF('内訳ﾘｽﾄ(4～3月)'!$D$26:$D$1015,$B21,'内訳ﾘｽﾄ(4～3月)'!J$26:J$1015)</f>
        <v>0</v>
      </c>
      <c r="H21" s="145">
        <f>SUMIF('内訳ﾘｽﾄ(4～3月)'!$D$26:$D$1015,$B21,'内訳ﾘｽﾄ(4～3月)'!K$26:K$1015)</f>
        <v>0</v>
      </c>
      <c r="I21" s="145">
        <f>SUMIF('内訳ﾘｽﾄ(4～3月)'!$D$26:$D$1015,$B21,'内訳ﾘｽﾄ(4～3月)'!L$26:L$1015)</f>
        <v>0</v>
      </c>
      <c r="J21" s="145">
        <f>SUMIF('内訳ﾘｽﾄ(4～3月)'!$D$26:$D$1015,$B21,'内訳ﾘｽﾄ(4～3月)'!M$26:M$1015)</f>
        <v>0</v>
      </c>
      <c r="K21" s="145">
        <f>SUMIF('内訳ﾘｽﾄ(4～3月)'!$D$26:$D$1015,$B21,'内訳ﾘｽﾄ(4～3月)'!N$26:N$1015)</f>
        <v>0</v>
      </c>
      <c r="L21" s="145">
        <f>SUMIF('内訳ﾘｽﾄ(4～3月)'!$D$26:$D$1015,$B21,'内訳ﾘｽﾄ(4～3月)'!O$26:O$1015)</f>
        <v>0</v>
      </c>
      <c r="M21" s="145">
        <f>SUMIF('内訳ﾘｽﾄ(4～3月)'!$D$26:$D$1015,$B21,'内訳ﾘｽﾄ(4～3月)'!P$26:P$1015)</f>
        <v>0</v>
      </c>
      <c r="N21" s="145">
        <f>SUMIF('内訳ﾘｽﾄ(4～3月)'!$D$26:$D$1015,$B21,'内訳ﾘｽﾄ(4～3月)'!Q$26:Q$1015)</f>
        <v>0</v>
      </c>
      <c r="O21" s="145">
        <f>SUMIF('内訳ﾘｽﾄ(4～3月)'!$D$26:$D$814,'採算表(VND)'!$B21,'内訳ﾘｽﾄ(4～3月)'!R$26:R$814)</f>
        <v>0</v>
      </c>
      <c r="AQ21" s="71"/>
      <c r="AR21" s="71"/>
      <c r="AS21" s="71"/>
      <c r="AT21" s="71"/>
      <c r="AU21" s="69"/>
      <c r="AV21" s="70"/>
      <c r="AW21" s="70"/>
      <c r="AX21" s="70"/>
      <c r="AY21" s="70"/>
      <c r="BA21" s="72"/>
      <c r="BB21" s="72"/>
      <c r="BC21" s="72"/>
      <c r="BD21" s="72"/>
      <c r="BF21" s="69"/>
      <c r="BG21" s="69"/>
      <c r="BH21" s="69"/>
      <c r="BI21" s="69"/>
    </row>
    <row r="22" spans="1:61" ht="11.25" customHeight="1">
      <c r="A22" s="33"/>
      <c r="B22" s="35" t="s">
        <v>18</v>
      </c>
      <c r="C22" s="145">
        <f>SUMIF('内訳ﾘｽﾄ(4～3月)'!$D$26:$D$1015,$B22,'内訳ﾘｽﾄ(4～3月)'!F$26:F$1015)</f>
        <v>0</v>
      </c>
      <c r="D22" s="145">
        <f>SUMIF('内訳ﾘｽﾄ(4～3月)'!$D$26:$D$1015,$B22,'内訳ﾘｽﾄ(4～3月)'!G$26:G$1015)</f>
        <v>0</v>
      </c>
      <c r="E22" s="145">
        <f>SUMIF('内訳ﾘｽﾄ(4～3月)'!$D$26:$D$1015,$B22,'内訳ﾘｽﾄ(4～3月)'!H$26:H$1015)</f>
        <v>0</v>
      </c>
      <c r="F22" s="145">
        <f>SUMIF('内訳ﾘｽﾄ(4～3月)'!$D$26:$D$1015,$B22,'内訳ﾘｽﾄ(4～3月)'!I$26:I$1015)</f>
        <v>0</v>
      </c>
      <c r="G22" s="145">
        <f>SUMIF('内訳ﾘｽﾄ(4～3月)'!$D$26:$D$1015,$B22,'内訳ﾘｽﾄ(4～3月)'!J$26:J$1015)</f>
        <v>0</v>
      </c>
      <c r="H22" s="145">
        <f>SUMIF('内訳ﾘｽﾄ(4～3月)'!$D$26:$D$1015,$B22,'内訳ﾘｽﾄ(4～3月)'!K$26:K$1015)</f>
        <v>0</v>
      </c>
      <c r="I22" s="145">
        <f>SUMIF('内訳ﾘｽﾄ(4～3月)'!$D$26:$D$1015,$B22,'内訳ﾘｽﾄ(4～3月)'!L$26:L$1015)</f>
        <v>0</v>
      </c>
      <c r="J22" s="145">
        <f>SUMIF('内訳ﾘｽﾄ(4～3月)'!$D$26:$D$1015,$B22,'内訳ﾘｽﾄ(4～3月)'!M$26:M$1015)</f>
        <v>0</v>
      </c>
      <c r="K22" s="145">
        <f>SUMIF('内訳ﾘｽﾄ(4～3月)'!$D$26:$D$1015,$B22,'内訳ﾘｽﾄ(4～3月)'!N$26:N$1015)</f>
        <v>0</v>
      </c>
      <c r="L22" s="145">
        <f>SUMIF('内訳ﾘｽﾄ(4～3月)'!$D$26:$D$1015,$B22,'内訳ﾘｽﾄ(4～3月)'!O$26:O$1015)</f>
        <v>0</v>
      </c>
      <c r="M22" s="145">
        <f>SUMIF('内訳ﾘｽﾄ(4～3月)'!$D$26:$D$1015,$B22,'内訳ﾘｽﾄ(4～3月)'!P$26:P$1015)</f>
        <v>0</v>
      </c>
      <c r="N22" s="145">
        <f>SUMIF('内訳ﾘｽﾄ(4～3月)'!$D$26:$D$1015,$B22,'内訳ﾘｽﾄ(4～3月)'!Q$26:Q$1015)</f>
        <v>0</v>
      </c>
      <c r="O22" s="145">
        <f>SUMIF('内訳ﾘｽﾄ(4～3月)'!$D$26:$D$814,'採算表(VND)'!$B22,'内訳ﾘｽﾄ(4～3月)'!R$26:R$814)</f>
        <v>0</v>
      </c>
      <c r="AQ22" s="71"/>
      <c r="AR22" s="71"/>
      <c r="AS22" s="71"/>
      <c r="AT22" s="71"/>
      <c r="AU22" s="69"/>
      <c r="AV22" s="70"/>
      <c r="AW22" s="70"/>
      <c r="AX22" s="70"/>
      <c r="AY22" s="70"/>
      <c r="BA22" s="72"/>
      <c r="BB22" s="72"/>
      <c r="BC22" s="72"/>
      <c r="BD22" s="72"/>
      <c r="BF22" s="69"/>
      <c r="BG22" s="69"/>
      <c r="BH22" s="69"/>
      <c r="BI22" s="69"/>
    </row>
    <row r="23" spans="1:61" ht="11.25" customHeight="1">
      <c r="A23" s="33"/>
      <c r="B23" s="35" t="s">
        <v>19</v>
      </c>
      <c r="C23" s="145">
        <f>SUMIF('内訳ﾘｽﾄ(4～3月)'!$D$26:$D$1015,$B23,'内訳ﾘｽﾄ(4～3月)'!F$26:F$1015)</f>
        <v>0</v>
      </c>
      <c r="D23" s="145">
        <f>SUMIF('内訳ﾘｽﾄ(4～3月)'!$D$26:$D$1015,$B23,'内訳ﾘｽﾄ(4～3月)'!G$26:G$1015)</f>
        <v>0</v>
      </c>
      <c r="E23" s="145">
        <f>SUMIF('内訳ﾘｽﾄ(4～3月)'!$D$26:$D$1015,$B23,'内訳ﾘｽﾄ(4～3月)'!H$26:H$1015)</f>
        <v>0</v>
      </c>
      <c r="F23" s="145">
        <f>SUMIF('内訳ﾘｽﾄ(4～3月)'!$D$26:$D$1015,$B23,'内訳ﾘｽﾄ(4～3月)'!I$26:I$1015)</f>
        <v>0</v>
      </c>
      <c r="G23" s="145">
        <f>SUMIF('内訳ﾘｽﾄ(4～3月)'!$D$26:$D$1015,$B23,'内訳ﾘｽﾄ(4～3月)'!J$26:J$1015)</f>
        <v>0</v>
      </c>
      <c r="H23" s="145">
        <f>SUMIF('内訳ﾘｽﾄ(4～3月)'!$D$26:$D$1015,$B23,'内訳ﾘｽﾄ(4～3月)'!K$26:K$1015)</f>
        <v>0</v>
      </c>
      <c r="I23" s="145">
        <f>SUMIF('内訳ﾘｽﾄ(4～3月)'!$D$26:$D$1015,$B23,'内訳ﾘｽﾄ(4～3月)'!L$26:L$1015)</f>
        <v>0</v>
      </c>
      <c r="J23" s="145">
        <f>SUMIF('内訳ﾘｽﾄ(4～3月)'!$D$26:$D$1015,$B23,'内訳ﾘｽﾄ(4～3月)'!M$26:M$1015)</f>
        <v>0</v>
      </c>
      <c r="K23" s="145">
        <f>SUMIF('内訳ﾘｽﾄ(4～3月)'!$D$26:$D$1015,$B23,'内訳ﾘｽﾄ(4～3月)'!N$26:N$1015)</f>
        <v>0</v>
      </c>
      <c r="L23" s="145">
        <f>SUMIF('内訳ﾘｽﾄ(4～3月)'!$D$26:$D$1015,$B23,'内訳ﾘｽﾄ(4～3月)'!O$26:O$1015)</f>
        <v>0</v>
      </c>
      <c r="M23" s="145">
        <f>SUMIF('内訳ﾘｽﾄ(4～3月)'!$D$26:$D$1015,$B23,'内訳ﾘｽﾄ(4～3月)'!P$26:P$1015)</f>
        <v>0</v>
      </c>
      <c r="N23" s="145">
        <f>SUMIF('内訳ﾘｽﾄ(4～3月)'!$D$26:$D$1015,$B23,'内訳ﾘｽﾄ(4～3月)'!Q$26:Q$1015)</f>
        <v>0</v>
      </c>
      <c r="O23" s="145">
        <f>SUMIF('内訳ﾘｽﾄ(4～3月)'!$D$26:$D$814,'採算表(VND)'!$B23,'内訳ﾘｽﾄ(4～3月)'!R$26:R$814)</f>
        <v>0</v>
      </c>
      <c r="AQ23" s="71"/>
      <c r="AR23" s="71"/>
      <c r="AS23" s="71"/>
      <c r="AT23" s="71"/>
      <c r="AU23" s="69"/>
      <c r="AV23" s="70"/>
      <c r="AW23" s="70"/>
      <c r="AX23" s="70"/>
      <c r="AY23" s="70"/>
      <c r="BA23" s="72"/>
      <c r="BB23" s="72"/>
      <c r="BC23" s="72"/>
      <c r="BD23" s="72"/>
      <c r="BF23" s="69"/>
      <c r="BG23" s="69"/>
      <c r="BH23" s="69"/>
      <c r="BI23" s="69"/>
    </row>
    <row r="24" spans="1:61" ht="11.25" customHeight="1">
      <c r="A24" s="33"/>
      <c r="B24" s="35" t="s">
        <v>20</v>
      </c>
      <c r="C24" s="145">
        <f>SUMIF('内訳ﾘｽﾄ(4～3月)'!$D$26:$D$1015,$B24,'内訳ﾘｽﾄ(4～3月)'!F$26:F$1015)</f>
        <v>0</v>
      </c>
      <c r="D24" s="145">
        <f>SUMIF('内訳ﾘｽﾄ(4～3月)'!$D$26:$D$1015,$B24,'内訳ﾘｽﾄ(4～3月)'!G$26:G$1015)</f>
        <v>0</v>
      </c>
      <c r="E24" s="145">
        <f>SUMIF('内訳ﾘｽﾄ(4～3月)'!$D$26:$D$1015,$B24,'内訳ﾘｽﾄ(4～3月)'!H$26:H$1015)</f>
        <v>0</v>
      </c>
      <c r="F24" s="145">
        <f>SUMIF('内訳ﾘｽﾄ(4～3月)'!$D$26:$D$1015,$B24,'内訳ﾘｽﾄ(4～3月)'!I$26:I$1015)</f>
        <v>0</v>
      </c>
      <c r="G24" s="145">
        <f>SUMIF('内訳ﾘｽﾄ(4～3月)'!$D$26:$D$1015,$B24,'内訳ﾘｽﾄ(4～3月)'!J$26:J$1015)</f>
        <v>0</v>
      </c>
      <c r="H24" s="145">
        <f>SUMIF('内訳ﾘｽﾄ(4～3月)'!$D$26:$D$1015,$B24,'内訳ﾘｽﾄ(4～3月)'!K$26:K$1015)</f>
        <v>0</v>
      </c>
      <c r="I24" s="145">
        <f>SUMIF('内訳ﾘｽﾄ(4～3月)'!$D$26:$D$1015,$B24,'内訳ﾘｽﾄ(4～3月)'!L$26:L$1015)</f>
        <v>0</v>
      </c>
      <c r="J24" s="145">
        <f>SUMIF('内訳ﾘｽﾄ(4～3月)'!$D$26:$D$1015,$B24,'内訳ﾘｽﾄ(4～3月)'!M$26:M$1015)</f>
        <v>0</v>
      </c>
      <c r="K24" s="145">
        <f>SUMIF('内訳ﾘｽﾄ(4～3月)'!$D$26:$D$1015,$B24,'内訳ﾘｽﾄ(4～3月)'!N$26:N$1015)</f>
        <v>0</v>
      </c>
      <c r="L24" s="145">
        <f>SUMIF('内訳ﾘｽﾄ(4～3月)'!$D$26:$D$1015,$B24,'内訳ﾘｽﾄ(4～3月)'!O$26:O$1015)</f>
        <v>0</v>
      </c>
      <c r="M24" s="145">
        <f>SUMIF('内訳ﾘｽﾄ(4～3月)'!$D$26:$D$1015,$B24,'内訳ﾘｽﾄ(4～3月)'!P$26:P$1015)</f>
        <v>0</v>
      </c>
      <c r="N24" s="145">
        <f>SUMIF('内訳ﾘｽﾄ(4～3月)'!$D$26:$D$1015,$B24,'内訳ﾘｽﾄ(4～3月)'!Q$26:Q$1015)</f>
        <v>0</v>
      </c>
      <c r="O24" s="145">
        <f>SUMIF('内訳ﾘｽﾄ(4～3月)'!$D$26:$D$814,'採算表(VND)'!$B24,'内訳ﾘｽﾄ(4～3月)'!R$26:R$814)</f>
        <v>0</v>
      </c>
      <c r="AQ24" s="71"/>
      <c r="AR24" s="71"/>
      <c r="AS24" s="71"/>
      <c r="AT24" s="71"/>
      <c r="AU24" s="69"/>
      <c r="AV24" s="70"/>
      <c r="AW24" s="70"/>
      <c r="AX24" s="70"/>
      <c r="AY24" s="70"/>
      <c r="BA24" s="72"/>
      <c r="BB24" s="72"/>
      <c r="BC24" s="72"/>
      <c r="BD24" s="72"/>
      <c r="BF24" s="69"/>
      <c r="BG24" s="69"/>
      <c r="BH24" s="69"/>
      <c r="BI24" s="69"/>
    </row>
    <row r="25" spans="1:61" ht="11.25" customHeight="1">
      <c r="A25" s="33"/>
      <c r="B25" s="35" t="s">
        <v>21</v>
      </c>
      <c r="C25" s="145">
        <f>SUMIF('内訳ﾘｽﾄ(4～3月)'!$D$26:$D$1015,$B25,'内訳ﾘｽﾄ(4～3月)'!F$26:F$1015)</f>
        <v>0</v>
      </c>
      <c r="D25" s="145">
        <f>SUMIF('内訳ﾘｽﾄ(4～3月)'!$D$26:$D$1015,$B25,'内訳ﾘｽﾄ(4～3月)'!G$26:G$1015)</f>
        <v>0</v>
      </c>
      <c r="E25" s="145">
        <f>SUMIF('内訳ﾘｽﾄ(4～3月)'!$D$26:$D$1015,$B25,'内訳ﾘｽﾄ(4～3月)'!H$26:H$1015)</f>
        <v>0</v>
      </c>
      <c r="F25" s="145">
        <f>SUMIF('内訳ﾘｽﾄ(4～3月)'!$D$26:$D$1015,$B25,'内訳ﾘｽﾄ(4～3月)'!I$26:I$1015)</f>
        <v>0</v>
      </c>
      <c r="G25" s="145">
        <f>SUMIF('内訳ﾘｽﾄ(4～3月)'!$D$26:$D$1015,$B25,'内訳ﾘｽﾄ(4～3月)'!J$26:J$1015)</f>
        <v>0</v>
      </c>
      <c r="H25" s="145">
        <f>SUMIF('内訳ﾘｽﾄ(4～3月)'!$D$26:$D$1015,$B25,'内訳ﾘｽﾄ(4～3月)'!K$26:K$1015)</f>
        <v>0</v>
      </c>
      <c r="I25" s="145">
        <f>SUMIF('内訳ﾘｽﾄ(4～3月)'!$D$26:$D$1015,$B25,'内訳ﾘｽﾄ(4～3月)'!L$26:L$1015)</f>
        <v>0</v>
      </c>
      <c r="J25" s="145">
        <f>SUMIF('内訳ﾘｽﾄ(4～3月)'!$D$26:$D$1015,$B25,'内訳ﾘｽﾄ(4～3月)'!M$26:M$1015)</f>
        <v>0</v>
      </c>
      <c r="K25" s="145">
        <f>SUMIF('内訳ﾘｽﾄ(4～3月)'!$D$26:$D$1015,$B25,'内訳ﾘｽﾄ(4～3月)'!N$26:N$1015)</f>
        <v>0</v>
      </c>
      <c r="L25" s="145">
        <f>SUMIF('内訳ﾘｽﾄ(4～3月)'!$D$26:$D$1015,$B25,'内訳ﾘｽﾄ(4～3月)'!O$26:O$1015)</f>
        <v>0</v>
      </c>
      <c r="M25" s="145">
        <f>SUMIF('内訳ﾘｽﾄ(4～3月)'!$D$26:$D$1015,$B25,'内訳ﾘｽﾄ(4～3月)'!P$26:P$1015)</f>
        <v>0</v>
      </c>
      <c r="N25" s="145">
        <f>SUMIF('内訳ﾘｽﾄ(4～3月)'!$D$26:$D$1015,$B25,'内訳ﾘｽﾄ(4～3月)'!Q$26:Q$1015)</f>
        <v>0</v>
      </c>
      <c r="O25" s="145">
        <f>SUMIF('内訳ﾘｽﾄ(4～3月)'!$D$26:$D$814,'採算表(VND)'!$B25,'内訳ﾘｽﾄ(4～3月)'!R$26:R$814)</f>
        <v>0</v>
      </c>
      <c r="AQ25" s="71"/>
      <c r="AR25" s="71"/>
      <c r="AS25" s="71"/>
      <c r="AT25" s="71"/>
      <c r="AU25" s="69"/>
      <c r="AV25" s="70"/>
      <c r="AW25" s="70"/>
      <c r="AX25" s="70"/>
      <c r="AY25" s="70"/>
      <c r="BA25" s="72"/>
      <c r="BB25" s="72"/>
      <c r="BC25" s="72"/>
      <c r="BD25" s="72"/>
      <c r="BF25" s="74"/>
      <c r="BG25" s="69"/>
      <c r="BH25" s="69"/>
      <c r="BI25" s="69"/>
    </row>
    <row r="26" spans="1:61" ht="11.25" customHeight="1">
      <c r="A26" s="33"/>
      <c r="B26" s="36" t="s">
        <v>22</v>
      </c>
      <c r="C26" s="145">
        <f>SUMIF('内訳ﾘｽﾄ(4～3月)'!$D$26:$D$1015,$B26,'内訳ﾘｽﾄ(4～3月)'!F$26:F$1015)</f>
        <v>0</v>
      </c>
      <c r="D26" s="145">
        <f>SUMIF('内訳ﾘｽﾄ(4～3月)'!$D$26:$D$1015,$B26,'内訳ﾘｽﾄ(4～3月)'!G$26:G$1015)</f>
        <v>0</v>
      </c>
      <c r="E26" s="145">
        <f>SUMIF('内訳ﾘｽﾄ(4～3月)'!$D$26:$D$1015,$B26,'内訳ﾘｽﾄ(4～3月)'!H$26:H$1015)</f>
        <v>0</v>
      </c>
      <c r="F26" s="145">
        <f>SUMIF('内訳ﾘｽﾄ(4～3月)'!$D$26:$D$1015,$B26,'内訳ﾘｽﾄ(4～3月)'!I$26:I$1015)</f>
        <v>0</v>
      </c>
      <c r="G26" s="145">
        <f>SUMIF('内訳ﾘｽﾄ(4～3月)'!$D$26:$D$1015,$B26,'内訳ﾘｽﾄ(4～3月)'!J$26:J$1015)</f>
        <v>0</v>
      </c>
      <c r="H26" s="145">
        <f>SUMIF('内訳ﾘｽﾄ(4～3月)'!$D$26:$D$1015,$B26,'内訳ﾘｽﾄ(4～3月)'!K$26:K$1015)</f>
        <v>0</v>
      </c>
      <c r="I26" s="145">
        <f>SUMIF('内訳ﾘｽﾄ(4～3月)'!$D$26:$D$1015,$B26,'内訳ﾘｽﾄ(4～3月)'!L$26:L$1015)</f>
        <v>0</v>
      </c>
      <c r="J26" s="145">
        <f>SUMIF('内訳ﾘｽﾄ(4～3月)'!$D$26:$D$1015,$B26,'内訳ﾘｽﾄ(4～3月)'!M$26:M$1015)</f>
        <v>0</v>
      </c>
      <c r="K26" s="145">
        <f>SUMIF('内訳ﾘｽﾄ(4～3月)'!$D$26:$D$1015,$B26,'内訳ﾘｽﾄ(4～3月)'!N$26:N$1015)</f>
        <v>0</v>
      </c>
      <c r="L26" s="145">
        <f>SUMIF('内訳ﾘｽﾄ(4～3月)'!$D$26:$D$1015,$B26,'内訳ﾘｽﾄ(4～3月)'!O$26:O$1015)</f>
        <v>0</v>
      </c>
      <c r="M26" s="145">
        <f>SUMIF('内訳ﾘｽﾄ(4～3月)'!$D$26:$D$1015,$B26,'内訳ﾘｽﾄ(4～3月)'!P$26:P$1015)</f>
        <v>0</v>
      </c>
      <c r="N26" s="145">
        <f>SUMIF('内訳ﾘｽﾄ(4～3月)'!$D$26:$D$1015,$B26,'内訳ﾘｽﾄ(4～3月)'!Q$26:Q$1015)</f>
        <v>0</v>
      </c>
      <c r="O26" s="145">
        <f>SUMIF('内訳ﾘｽﾄ(4～3月)'!$D$26:$D$814,'採算表(VND)'!$B26,'内訳ﾘｽﾄ(4～3月)'!R$26:R$814)</f>
        <v>0</v>
      </c>
      <c r="AQ26" s="71"/>
      <c r="AR26" s="71"/>
      <c r="AS26" s="71"/>
      <c r="AT26" s="71"/>
      <c r="AU26" s="69"/>
      <c r="AV26" s="70"/>
      <c r="AW26" s="70"/>
      <c r="AX26" s="70"/>
      <c r="AY26" s="70"/>
      <c r="BA26" s="72"/>
      <c r="BB26" s="72"/>
      <c r="BC26" s="72"/>
      <c r="BD26" s="72"/>
      <c r="BF26" s="69"/>
      <c r="BG26" s="69"/>
      <c r="BH26" s="69"/>
      <c r="BI26" s="69"/>
    </row>
    <row r="27" spans="1:61" ht="11.25" customHeight="1">
      <c r="A27" s="33"/>
      <c r="B27" s="36" t="s">
        <v>23</v>
      </c>
      <c r="C27" s="145">
        <f>SUMIF('内訳ﾘｽﾄ(4～3月)'!$D$26:$D$1015,$B27,'内訳ﾘｽﾄ(4～3月)'!F$26:F$1015)</f>
        <v>0</v>
      </c>
      <c r="D27" s="145">
        <f>SUMIF('内訳ﾘｽﾄ(4～3月)'!$D$26:$D$1015,$B27,'内訳ﾘｽﾄ(4～3月)'!G$26:G$1015)</f>
        <v>0</v>
      </c>
      <c r="E27" s="145">
        <f>SUMIF('内訳ﾘｽﾄ(4～3月)'!$D$26:$D$1015,$B27,'内訳ﾘｽﾄ(4～3月)'!H$26:H$1015)</f>
        <v>0</v>
      </c>
      <c r="F27" s="145">
        <f>SUMIF('内訳ﾘｽﾄ(4～3月)'!$D$26:$D$1015,$B27,'内訳ﾘｽﾄ(4～3月)'!I$26:I$1015)</f>
        <v>0</v>
      </c>
      <c r="G27" s="145">
        <f>SUMIF('内訳ﾘｽﾄ(4～3月)'!$D$26:$D$1015,$B27,'内訳ﾘｽﾄ(4～3月)'!J$26:J$1015)</f>
        <v>0</v>
      </c>
      <c r="H27" s="145">
        <f>SUMIF('内訳ﾘｽﾄ(4～3月)'!$D$26:$D$1015,$B27,'内訳ﾘｽﾄ(4～3月)'!K$26:K$1015)</f>
        <v>0</v>
      </c>
      <c r="I27" s="145">
        <f>SUMIF('内訳ﾘｽﾄ(4～3月)'!$D$26:$D$1015,$B27,'内訳ﾘｽﾄ(4～3月)'!L$26:L$1015)</f>
        <v>0</v>
      </c>
      <c r="J27" s="145">
        <f>SUMIF('内訳ﾘｽﾄ(4～3月)'!$D$26:$D$1015,$B27,'内訳ﾘｽﾄ(4～3月)'!M$26:M$1015)</f>
        <v>0</v>
      </c>
      <c r="K27" s="145">
        <f>SUMIF('内訳ﾘｽﾄ(4～3月)'!$D$26:$D$1015,$B27,'内訳ﾘｽﾄ(4～3月)'!N$26:N$1015)</f>
        <v>0</v>
      </c>
      <c r="L27" s="145">
        <f>SUMIF('内訳ﾘｽﾄ(4～3月)'!$D$26:$D$1015,$B27,'内訳ﾘｽﾄ(4～3月)'!O$26:O$1015)</f>
        <v>0</v>
      </c>
      <c r="M27" s="145">
        <f>SUMIF('内訳ﾘｽﾄ(4～3月)'!$D$26:$D$1015,$B27,'内訳ﾘｽﾄ(4～3月)'!P$26:P$1015)</f>
        <v>0</v>
      </c>
      <c r="N27" s="145">
        <f>SUMIF('内訳ﾘｽﾄ(4～3月)'!$D$26:$D$1015,$B27,'内訳ﾘｽﾄ(4～3月)'!Q$26:Q$1015)</f>
        <v>0</v>
      </c>
      <c r="O27" s="145">
        <f>SUMIF('内訳ﾘｽﾄ(4～3月)'!$D$26:$D$814,'採算表(VND)'!$B27,'内訳ﾘｽﾄ(4～3月)'!R$26:R$814)</f>
        <v>0</v>
      </c>
      <c r="AQ27" s="71"/>
      <c r="AR27" s="71"/>
      <c r="AS27" s="71"/>
      <c r="AT27" s="71"/>
      <c r="AU27" s="69"/>
      <c r="AV27" s="70"/>
      <c r="AW27" s="70"/>
      <c r="AX27" s="70"/>
      <c r="AY27" s="70"/>
      <c r="BA27" s="72"/>
      <c r="BB27" s="72"/>
      <c r="BC27" s="72"/>
      <c r="BD27" s="72"/>
      <c r="BF27" s="69"/>
      <c r="BG27" s="69"/>
      <c r="BH27" s="69"/>
      <c r="BI27" s="69"/>
    </row>
    <row r="28" spans="1:61" ht="11.25" customHeight="1">
      <c r="A28" s="33"/>
      <c r="B28" s="36" t="s">
        <v>24</v>
      </c>
      <c r="C28" s="145">
        <f>SUMIF('内訳ﾘｽﾄ(4～3月)'!$D$26:$D$1015,$B28,'内訳ﾘｽﾄ(4～3月)'!F$26:F$1015)</f>
        <v>0</v>
      </c>
      <c r="D28" s="145">
        <f>SUMIF('内訳ﾘｽﾄ(4～3月)'!$D$26:$D$1015,$B28,'内訳ﾘｽﾄ(4～3月)'!G$26:G$1015)</f>
        <v>0</v>
      </c>
      <c r="E28" s="145">
        <f>SUMIF('内訳ﾘｽﾄ(4～3月)'!$D$26:$D$1015,$B28,'内訳ﾘｽﾄ(4～3月)'!H$26:H$1015)</f>
        <v>0</v>
      </c>
      <c r="F28" s="145">
        <f>SUMIF('内訳ﾘｽﾄ(4～3月)'!$D$26:$D$1015,$B28,'内訳ﾘｽﾄ(4～3月)'!I$26:I$1015)</f>
        <v>0</v>
      </c>
      <c r="G28" s="145">
        <f>SUMIF('内訳ﾘｽﾄ(4～3月)'!$D$26:$D$1015,$B28,'内訳ﾘｽﾄ(4～3月)'!J$26:J$1015)</f>
        <v>0</v>
      </c>
      <c r="H28" s="145">
        <f>SUMIF('内訳ﾘｽﾄ(4～3月)'!$D$26:$D$1015,$B28,'内訳ﾘｽﾄ(4～3月)'!K$26:K$1015)</f>
        <v>0</v>
      </c>
      <c r="I28" s="145">
        <f>SUMIF('内訳ﾘｽﾄ(4～3月)'!$D$26:$D$1015,$B28,'内訳ﾘｽﾄ(4～3月)'!L$26:L$1015)</f>
        <v>0</v>
      </c>
      <c r="J28" s="145">
        <f>SUMIF('内訳ﾘｽﾄ(4～3月)'!$D$26:$D$1015,$B28,'内訳ﾘｽﾄ(4～3月)'!M$26:M$1015)</f>
        <v>0</v>
      </c>
      <c r="K28" s="145">
        <f>SUMIF('内訳ﾘｽﾄ(4～3月)'!$D$26:$D$1015,$B28,'内訳ﾘｽﾄ(4～3月)'!N$26:N$1015)</f>
        <v>0</v>
      </c>
      <c r="L28" s="145">
        <f>SUMIF('内訳ﾘｽﾄ(4～3月)'!$D$26:$D$1015,$B28,'内訳ﾘｽﾄ(4～3月)'!O$26:O$1015)</f>
        <v>0</v>
      </c>
      <c r="M28" s="145">
        <f>SUMIF('内訳ﾘｽﾄ(4～3月)'!$D$26:$D$1015,$B28,'内訳ﾘｽﾄ(4～3月)'!P$26:P$1015)</f>
        <v>0</v>
      </c>
      <c r="N28" s="145">
        <f>SUMIF('内訳ﾘｽﾄ(4～3月)'!$D$26:$D$1015,$B28,'内訳ﾘｽﾄ(4～3月)'!Q$26:Q$1015)</f>
        <v>0</v>
      </c>
      <c r="O28" s="145">
        <f>SUMIF('内訳ﾘｽﾄ(4～3月)'!$D$26:$D$814,'採算表(VND)'!$B28,'内訳ﾘｽﾄ(4～3月)'!R$26:R$814)</f>
        <v>0</v>
      </c>
      <c r="AQ28" s="71"/>
      <c r="AR28" s="71"/>
      <c r="AS28" s="71"/>
      <c r="AT28" s="71"/>
      <c r="AU28" s="69"/>
      <c r="AV28" s="70"/>
      <c r="AW28" s="70"/>
      <c r="AX28" s="70"/>
      <c r="AY28" s="70"/>
      <c r="BA28" s="72"/>
      <c r="BB28" s="72"/>
      <c r="BC28" s="72"/>
      <c r="BD28" s="72"/>
      <c r="BF28" s="74"/>
      <c r="BG28" s="69"/>
      <c r="BH28" s="69"/>
      <c r="BI28" s="69"/>
    </row>
    <row r="29" spans="1:61" ht="11.25" customHeight="1">
      <c r="A29" s="33"/>
      <c r="B29" s="36" t="s">
        <v>25</v>
      </c>
      <c r="C29" s="145">
        <f>SUMIF('内訳ﾘｽﾄ(4～3月)'!$D$26:$D$1015,$B29,'内訳ﾘｽﾄ(4～3月)'!F$26:F$1015)</f>
        <v>0</v>
      </c>
      <c r="D29" s="145">
        <f>SUMIF('内訳ﾘｽﾄ(4～3月)'!$D$26:$D$1015,$B29,'内訳ﾘｽﾄ(4～3月)'!G$26:G$1015)</f>
        <v>0</v>
      </c>
      <c r="E29" s="145">
        <f>SUMIF('内訳ﾘｽﾄ(4～3月)'!$D$26:$D$1015,$B29,'内訳ﾘｽﾄ(4～3月)'!H$26:H$1015)</f>
        <v>0</v>
      </c>
      <c r="F29" s="145">
        <f>SUMIF('内訳ﾘｽﾄ(4～3月)'!$D$26:$D$1015,$B29,'内訳ﾘｽﾄ(4～3月)'!I$26:I$1015)</f>
        <v>0</v>
      </c>
      <c r="G29" s="145">
        <f>SUMIF('内訳ﾘｽﾄ(4～3月)'!$D$26:$D$1015,$B29,'内訳ﾘｽﾄ(4～3月)'!J$26:J$1015)</f>
        <v>0</v>
      </c>
      <c r="H29" s="145">
        <f>SUMIF('内訳ﾘｽﾄ(4～3月)'!$D$26:$D$1015,$B29,'内訳ﾘｽﾄ(4～3月)'!K$26:K$1015)</f>
        <v>0</v>
      </c>
      <c r="I29" s="145">
        <f>SUMIF('内訳ﾘｽﾄ(4～3月)'!$D$26:$D$1015,$B29,'内訳ﾘｽﾄ(4～3月)'!L$26:L$1015)</f>
        <v>0</v>
      </c>
      <c r="J29" s="145">
        <f>SUMIF('内訳ﾘｽﾄ(4～3月)'!$D$26:$D$1015,$B29,'内訳ﾘｽﾄ(4～3月)'!M$26:M$1015)</f>
        <v>0</v>
      </c>
      <c r="K29" s="145">
        <f>SUMIF('内訳ﾘｽﾄ(4～3月)'!$D$26:$D$1015,$B29,'内訳ﾘｽﾄ(4～3月)'!N$26:N$1015)</f>
        <v>0</v>
      </c>
      <c r="L29" s="145">
        <f>SUMIF('内訳ﾘｽﾄ(4～3月)'!$D$26:$D$1015,$B29,'内訳ﾘｽﾄ(4～3月)'!O$26:O$1015)</f>
        <v>0</v>
      </c>
      <c r="M29" s="145">
        <f>SUMIF('内訳ﾘｽﾄ(4～3月)'!$D$26:$D$1015,$B29,'内訳ﾘｽﾄ(4～3月)'!P$26:P$1015)</f>
        <v>0</v>
      </c>
      <c r="N29" s="145">
        <f>SUMIF('内訳ﾘｽﾄ(4～3月)'!$D$26:$D$1015,$B29,'内訳ﾘｽﾄ(4～3月)'!Q$26:Q$1015)</f>
        <v>0</v>
      </c>
      <c r="O29" s="145">
        <f>SUMIF('内訳ﾘｽﾄ(4～3月)'!$D$26:$D$814,'採算表(VND)'!$B29,'内訳ﾘｽﾄ(4～3月)'!R$26:R$814)</f>
        <v>0</v>
      </c>
      <c r="AQ29" s="71"/>
      <c r="AR29" s="71"/>
      <c r="AS29" s="71"/>
      <c r="AT29" s="71"/>
      <c r="AU29" s="69"/>
      <c r="AV29" s="70"/>
      <c r="AW29" s="70"/>
      <c r="AX29" s="70"/>
      <c r="AY29" s="70"/>
      <c r="BA29" s="72"/>
      <c r="BB29" s="72"/>
      <c r="BC29" s="72"/>
      <c r="BD29" s="72"/>
      <c r="BF29" s="69"/>
      <c r="BG29" s="69"/>
      <c r="BH29" s="69"/>
      <c r="BI29" s="69"/>
    </row>
    <row r="30" spans="1:61" ht="11.25" customHeight="1">
      <c r="A30" s="33"/>
      <c r="B30" s="36" t="s">
        <v>26</v>
      </c>
      <c r="C30" s="145">
        <f>SUMIF('内訳ﾘｽﾄ(4～3月)'!$D$26:$D$1015,$B30,'内訳ﾘｽﾄ(4～3月)'!F$26:F$1015)</f>
        <v>0</v>
      </c>
      <c r="D30" s="145">
        <f>SUMIF('内訳ﾘｽﾄ(4～3月)'!$D$26:$D$1015,$B30,'内訳ﾘｽﾄ(4～3月)'!G$26:G$1015)</f>
        <v>0</v>
      </c>
      <c r="E30" s="145">
        <f>SUMIF('内訳ﾘｽﾄ(4～3月)'!$D$26:$D$1015,$B30,'内訳ﾘｽﾄ(4～3月)'!H$26:H$1015)</f>
        <v>0</v>
      </c>
      <c r="F30" s="145">
        <f>SUMIF('内訳ﾘｽﾄ(4～3月)'!$D$26:$D$1015,$B30,'内訳ﾘｽﾄ(4～3月)'!I$26:I$1015)</f>
        <v>0</v>
      </c>
      <c r="G30" s="145">
        <f>SUMIF('内訳ﾘｽﾄ(4～3月)'!$D$26:$D$1015,$B30,'内訳ﾘｽﾄ(4～3月)'!J$26:J$1015)</f>
        <v>0</v>
      </c>
      <c r="H30" s="145">
        <f>SUMIF('内訳ﾘｽﾄ(4～3月)'!$D$26:$D$1015,$B30,'内訳ﾘｽﾄ(4～3月)'!K$26:K$1015)</f>
        <v>0</v>
      </c>
      <c r="I30" s="145">
        <f>SUMIF('内訳ﾘｽﾄ(4～3月)'!$D$26:$D$1015,$B30,'内訳ﾘｽﾄ(4～3月)'!L$26:L$1015)</f>
        <v>0</v>
      </c>
      <c r="J30" s="145">
        <f>SUMIF('内訳ﾘｽﾄ(4～3月)'!$D$26:$D$1015,$B30,'内訳ﾘｽﾄ(4～3月)'!M$26:M$1015)</f>
        <v>0</v>
      </c>
      <c r="K30" s="145">
        <f>SUMIF('内訳ﾘｽﾄ(4～3月)'!$D$26:$D$1015,$B30,'内訳ﾘｽﾄ(4～3月)'!N$26:N$1015)</f>
        <v>0</v>
      </c>
      <c r="L30" s="145">
        <f>SUMIF('内訳ﾘｽﾄ(4～3月)'!$D$26:$D$1015,$B30,'内訳ﾘｽﾄ(4～3月)'!O$26:O$1015)</f>
        <v>0</v>
      </c>
      <c r="M30" s="145">
        <f>SUMIF('内訳ﾘｽﾄ(4～3月)'!$D$26:$D$1015,$B30,'内訳ﾘｽﾄ(4～3月)'!P$26:P$1015)</f>
        <v>0</v>
      </c>
      <c r="N30" s="145">
        <f>SUMIF('内訳ﾘｽﾄ(4～3月)'!$D$26:$D$1015,$B30,'内訳ﾘｽﾄ(4～3月)'!Q$26:Q$1015)</f>
        <v>0</v>
      </c>
      <c r="O30" s="145">
        <f>SUMIF('内訳ﾘｽﾄ(4～3月)'!$D$26:$D$814,'採算表(VND)'!$B30,'内訳ﾘｽﾄ(4～3月)'!R$26:R$814)</f>
        <v>0</v>
      </c>
      <c r="AQ30" s="71"/>
      <c r="AR30" s="71"/>
      <c r="AS30" s="71"/>
      <c r="AT30" s="71"/>
      <c r="AU30" s="69"/>
      <c r="AV30" s="70"/>
      <c r="AW30" s="70"/>
      <c r="AX30" s="70"/>
      <c r="AY30" s="70"/>
      <c r="BA30" s="72"/>
      <c r="BB30" s="72"/>
      <c r="BC30" s="72"/>
      <c r="BD30" s="72"/>
      <c r="BF30" s="69"/>
      <c r="BG30" s="69"/>
      <c r="BH30" s="69"/>
      <c r="BI30" s="69"/>
    </row>
    <row r="31" spans="1:61" ht="11.25" customHeight="1">
      <c r="A31" s="33"/>
      <c r="B31" s="36" t="s">
        <v>27</v>
      </c>
      <c r="C31" s="145">
        <f>SUMIF('内訳ﾘｽﾄ(4～3月)'!$D$26:$D$1015,$B31,'内訳ﾘｽﾄ(4～3月)'!F$26:F$1015)</f>
        <v>0</v>
      </c>
      <c r="D31" s="145">
        <f>SUMIF('内訳ﾘｽﾄ(4～3月)'!$D$26:$D$1015,$B31,'内訳ﾘｽﾄ(4～3月)'!G$26:G$1015)</f>
        <v>0</v>
      </c>
      <c r="E31" s="145">
        <f>SUMIF('内訳ﾘｽﾄ(4～3月)'!$D$26:$D$1015,$B31,'内訳ﾘｽﾄ(4～3月)'!H$26:H$1015)</f>
        <v>0</v>
      </c>
      <c r="F31" s="145">
        <f>SUMIF('内訳ﾘｽﾄ(4～3月)'!$D$26:$D$1015,$B31,'内訳ﾘｽﾄ(4～3月)'!I$26:I$1015)</f>
        <v>0</v>
      </c>
      <c r="G31" s="145">
        <f>SUMIF('内訳ﾘｽﾄ(4～3月)'!$D$26:$D$1015,$B31,'内訳ﾘｽﾄ(4～3月)'!J$26:J$1015)</f>
        <v>0</v>
      </c>
      <c r="H31" s="145">
        <f>SUMIF('内訳ﾘｽﾄ(4～3月)'!$D$26:$D$1015,$B31,'内訳ﾘｽﾄ(4～3月)'!K$26:K$1015)</f>
        <v>0</v>
      </c>
      <c r="I31" s="145">
        <f>SUMIF('内訳ﾘｽﾄ(4～3月)'!$D$26:$D$1015,$B31,'内訳ﾘｽﾄ(4～3月)'!L$26:L$1015)</f>
        <v>0</v>
      </c>
      <c r="J31" s="145">
        <f>SUMIF('内訳ﾘｽﾄ(4～3月)'!$D$26:$D$1015,$B31,'内訳ﾘｽﾄ(4～3月)'!M$26:M$1015)</f>
        <v>0</v>
      </c>
      <c r="K31" s="145">
        <f>SUMIF('内訳ﾘｽﾄ(4～3月)'!$D$26:$D$1015,$B31,'内訳ﾘｽﾄ(4～3月)'!N$26:N$1015)</f>
        <v>0</v>
      </c>
      <c r="L31" s="145">
        <f>SUMIF('内訳ﾘｽﾄ(4～3月)'!$D$26:$D$1015,$B31,'内訳ﾘｽﾄ(4～3月)'!O$26:O$1015)</f>
        <v>0</v>
      </c>
      <c r="M31" s="145">
        <f>SUMIF('内訳ﾘｽﾄ(4～3月)'!$D$26:$D$1015,$B31,'内訳ﾘｽﾄ(4～3月)'!P$26:P$1015)</f>
        <v>0</v>
      </c>
      <c r="N31" s="145">
        <f>SUMIF('内訳ﾘｽﾄ(4～3月)'!$D$26:$D$1015,$B31,'内訳ﾘｽﾄ(4～3月)'!Q$26:Q$1015)</f>
        <v>0</v>
      </c>
      <c r="O31" s="145">
        <f>SUMIF('内訳ﾘｽﾄ(4～3月)'!$D$26:$D$814,'採算表(VND)'!$B31,'内訳ﾘｽﾄ(4～3月)'!R$26:R$814)</f>
        <v>0</v>
      </c>
      <c r="AQ31" s="71"/>
      <c r="AR31" s="71"/>
      <c r="AS31" s="71"/>
      <c r="AT31" s="71"/>
      <c r="AU31" s="69"/>
      <c r="AV31" s="70"/>
      <c r="AW31" s="70"/>
      <c r="AX31" s="70"/>
      <c r="AY31" s="70"/>
      <c r="BA31" s="72"/>
      <c r="BB31" s="72"/>
      <c r="BC31" s="72"/>
      <c r="BD31" s="72"/>
      <c r="BF31" s="73"/>
      <c r="BG31" s="69"/>
      <c r="BH31" s="69"/>
      <c r="BI31" s="69"/>
    </row>
    <row r="32" spans="1:61" ht="11.25" customHeight="1">
      <c r="A32" s="37"/>
      <c r="B32" s="36" t="s">
        <v>28</v>
      </c>
      <c r="C32" s="145">
        <f>SUMIF('内訳ﾘｽﾄ(4～3月)'!$D$26:$D$1015,$B32,'内訳ﾘｽﾄ(4～3月)'!F$26:F$1015)</f>
        <v>0</v>
      </c>
      <c r="D32" s="145">
        <f>SUMIF('内訳ﾘｽﾄ(4～3月)'!$D$26:$D$1015,$B32,'内訳ﾘｽﾄ(4～3月)'!G$26:G$1015)</f>
        <v>0</v>
      </c>
      <c r="E32" s="145">
        <f>SUMIF('内訳ﾘｽﾄ(4～3月)'!$D$26:$D$1015,$B32,'内訳ﾘｽﾄ(4～3月)'!H$26:H$1015)</f>
        <v>0</v>
      </c>
      <c r="F32" s="145">
        <f>SUMIF('内訳ﾘｽﾄ(4～3月)'!$D$26:$D$1015,$B32,'内訳ﾘｽﾄ(4～3月)'!I$26:I$1015)</f>
        <v>0</v>
      </c>
      <c r="G32" s="145">
        <f>SUMIF('内訳ﾘｽﾄ(4～3月)'!$D$26:$D$1015,$B32,'内訳ﾘｽﾄ(4～3月)'!J$26:J$1015)</f>
        <v>0</v>
      </c>
      <c r="H32" s="145">
        <f>SUMIF('内訳ﾘｽﾄ(4～3月)'!$D$26:$D$1015,$B32,'内訳ﾘｽﾄ(4～3月)'!K$26:K$1015)</f>
        <v>0</v>
      </c>
      <c r="I32" s="145">
        <f>SUMIF('内訳ﾘｽﾄ(4～3月)'!$D$26:$D$1015,$B32,'内訳ﾘｽﾄ(4～3月)'!L$26:L$1015)</f>
        <v>0</v>
      </c>
      <c r="J32" s="145">
        <f>SUMIF('内訳ﾘｽﾄ(4～3月)'!$D$26:$D$1015,$B32,'内訳ﾘｽﾄ(4～3月)'!M$26:M$1015)</f>
        <v>0</v>
      </c>
      <c r="K32" s="145">
        <f>SUMIF('内訳ﾘｽﾄ(4～3月)'!$D$26:$D$1015,$B32,'内訳ﾘｽﾄ(4～3月)'!N$26:N$1015)</f>
        <v>0</v>
      </c>
      <c r="L32" s="145">
        <f>SUMIF('内訳ﾘｽﾄ(4～3月)'!$D$26:$D$1015,$B32,'内訳ﾘｽﾄ(4～3月)'!O$26:O$1015)</f>
        <v>0</v>
      </c>
      <c r="M32" s="145">
        <f>SUMIF('内訳ﾘｽﾄ(4～3月)'!$D$26:$D$1015,$B32,'内訳ﾘｽﾄ(4～3月)'!P$26:P$1015)</f>
        <v>0</v>
      </c>
      <c r="N32" s="145">
        <f>SUMIF('内訳ﾘｽﾄ(4～3月)'!$D$26:$D$1015,$B32,'内訳ﾘｽﾄ(4～3月)'!Q$26:Q$1015)</f>
        <v>0</v>
      </c>
      <c r="O32" s="145">
        <f>SUMIF('内訳ﾘｽﾄ(4～3月)'!$D$26:$D$814,'採算表(VND)'!$B32,'内訳ﾘｽﾄ(4～3月)'!R$26:R$814)</f>
        <v>0</v>
      </c>
      <c r="AQ32" s="71"/>
      <c r="AR32" s="71"/>
      <c r="AS32" s="71"/>
      <c r="AT32" s="71"/>
      <c r="AU32" s="69"/>
      <c r="AV32" s="70"/>
      <c r="AW32" s="70"/>
      <c r="AX32" s="70"/>
      <c r="AY32" s="70"/>
      <c r="BA32" s="72"/>
      <c r="BB32" s="72"/>
      <c r="BC32" s="72"/>
      <c r="BD32" s="72"/>
      <c r="BF32" s="73"/>
      <c r="BG32" s="69"/>
      <c r="BH32" s="69"/>
      <c r="BI32" s="69"/>
    </row>
    <row r="33" spans="1:61" ht="11.25" customHeight="1">
      <c r="A33" s="37"/>
      <c r="B33" s="36" t="s">
        <v>29</v>
      </c>
      <c r="C33" s="145">
        <f>SUMIF('内訳ﾘｽﾄ(4～3月)'!$D$26:$D$1015,$B33,'内訳ﾘｽﾄ(4～3月)'!F$26:F$1015)</f>
        <v>0</v>
      </c>
      <c r="D33" s="145">
        <f>SUMIF('内訳ﾘｽﾄ(4～3月)'!$D$26:$D$1015,$B33,'内訳ﾘｽﾄ(4～3月)'!G$26:G$1015)</f>
        <v>0</v>
      </c>
      <c r="E33" s="145">
        <f>SUMIF('内訳ﾘｽﾄ(4～3月)'!$D$26:$D$1015,$B33,'内訳ﾘｽﾄ(4～3月)'!H$26:H$1015)</f>
        <v>0</v>
      </c>
      <c r="F33" s="145">
        <f>SUMIF('内訳ﾘｽﾄ(4～3月)'!$D$26:$D$1015,$B33,'内訳ﾘｽﾄ(4～3月)'!I$26:I$1015)</f>
        <v>0</v>
      </c>
      <c r="G33" s="145">
        <f>SUMIF('内訳ﾘｽﾄ(4～3月)'!$D$26:$D$1015,$B33,'内訳ﾘｽﾄ(4～3月)'!J$26:J$1015)</f>
        <v>0</v>
      </c>
      <c r="H33" s="145">
        <f>SUMIF('内訳ﾘｽﾄ(4～3月)'!$D$26:$D$1015,$B33,'内訳ﾘｽﾄ(4～3月)'!K$26:K$1015)</f>
        <v>0</v>
      </c>
      <c r="I33" s="145">
        <f>SUMIF('内訳ﾘｽﾄ(4～3月)'!$D$26:$D$1015,$B33,'内訳ﾘｽﾄ(4～3月)'!L$26:L$1015)</f>
        <v>0</v>
      </c>
      <c r="J33" s="145">
        <f>SUMIF('内訳ﾘｽﾄ(4～3月)'!$D$26:$D$1015,$B33,'内訳ﾘｽﾄ(4～3月)'!M$26:M$1015)</f>
        <v>0</v>
      </c>
      <c r="K33" s="145">
        <f>SUMIF('内訳ﾘｽﾄ(4～3月)'!$D$26:$D$1015,$B33,'内訳ﾘｽﾄ(4～3月)'!N$26:N$1015)</f>
        <v>0</v>
      </c>
      <c r="L33" s="145">
        <f>SUMIF('内訳ﾘｽﾄ(4～3月)'!$D$26:$D$1015,$B33,'内訳ﾘｽﾄ(4～3月)'!O$26:O$1015)</f>
        <v>0</v>
      </c>
      <c r="M33" s="145">
        <f>SUMIF('内訳ﾘｽﾄ(4～3月)'!$D$26:$D$1015,$B33,'内訳ﾘｽﾄ(4～3月)'!P$26:P$1015)</f>
        <v>0</v>
      </c>
      <c r="N33" s="145">
        <f>SUMIF('内訳ﾘｽﾄ(4～3月)'!$D$26:$D$1015,$B33,'内訳ﾘｽﾄ(4～3月)'!Q$26:Q$1015)</f>
        <v>0</v>
      </c>
      <c r="O33" s="145">
        <f>SUMIF('内訳ﾘｽﾄ(4～3月)'!$D$26:$D$814,'採算表(VND)'!$B33,'内訳ﾘｽﾄ(4～3月)'!R$26:R$814)</f>
        <v>0</v>
      </c>
      <c r="AQ33" s="71"/>
      <c r="AR33" s="71"/>
      <c r="AS33" s="71"/>
      <c r="AT33" s="71"/>
      <c r="AU33" s="69"/>
      <c r="AV33" s="70"/>
      <c r="AW33" s="70"/>
      <c r="AX33" s="70"/>
      <c r="AY33" s="70"/>
      <c r="BA33" s="72"/>
      <c r="BB33" s="72"/>
      <c r="BC33" s="72"/>
      <c r="BD33" s="72"/>
      <c r="BF33" s="69"/>
      <c r="BG33" s="69"/>
      <c r="BH33" s="69"/>
      <c r="BI33" s="69"/>
    </row>
    <row r="34" spans="1:61" ht="11.25" customHeight="1">
      <c r="A34" s="37"/>
      <c r="B34" s="36" t="s">
        <v>30</v>
      </c>
      <c r="C34" s="145">
        <f>SUMIF('内訳ﾘｽﾄ(4～3月)'!$D$26:$D$1015,$B34,'内訳ﾘｽﾄ(4～3月)'!F$26:F$1015)</f>
        <v>0</v>
      </c>
      <c r="D34" s="145">
        <f>SUMIF('内訳ﾘｽﾄ(4～3月)'!$D$26:$D$1015,$B34,'内訳ﾘｽﾄ(4～3月)'!G$26:G$1015)</f>
        <v>0</v>
      </c>
      <c r="E34" s="145">
        <f>SUMIF('内訳ﾘｽﾄ(4～3月)'!$D$26:$D$1015,$B34,'内訳ﾘｽﾄ(4～3月)'!H$26:H$1015)</f>
        <v>0</v>
      </c>
      <c r="F34" s="145">
        <f>SUMIF('内訳ﾘｽﾄ(4～3月)'!$D$26:$D$1015,$B34,'内訳ﾘｽﾄ(4～3月)'!I$26:I$1015)</f>
        <v>0</v>
      </c>
      <c r="G34" s="145">
        <f>SUMIF('内訳ﾘｽﾄ(4～3月)'!$D$26:$D$1015,$B34,'内訳ﾘｽﾄ(4～3月)'!J$26:J$1015)</f>
        <v>0</v>
      </c>
      <c r="H34" s="145">
        <f>SUMIF('内訳ﾘｽﾄ(4～3月)'!$D$26:$D$1015,$B34,'内訳ﾘｽﾄ(4～3月)'!K$26:K$1015)</f>
        <v>0</v>
      </c>
      <c r="I34" s="145">
        <f>SUMIF('内訳ﾘｽﾄ(4～3月)'!$D$26:$D$1015,$B34,'内訳ﾘｽﾄ(4～3月)'!L$26:L$1015)</f>
        <v>0</v>
      </c>
      <c r="J34" s="145">
        <f>SUMIF('内訳ﾘｽﾄ(4～3月)'!$D$26:$D$1015,$B34,'内訳ﾘｽﾄ(4～3月)'!M$26:M$1015)</f>
        <v>0</v>
      </c>
      <c r="K34" s="145">
        <f>SUMIF('内訳ﾘｽﾄ(4～3月)'!$D$26:$D$1015,$B34,'内訳ﾘｽﾄ(4～3月)'!N$26:N$1015)</f>
        <v>0</v>
      </c>
      <c r="L34" s="145">
        <f>SUMIF('内訳ﾘｽﾄ(4～3月)'!$D$26:$D$1015,$B34,'内訳ﾘｽﾄ(4～3月)'!O$26:O$1015)</f>
        <v>0</v>
      </c>
      <c r="M34" s="145">
        <f>SUMIF('内訳ﾘｽﾄ(4～3月)'!$D$26:$D$1015,$B34,'内訳ﾘｽﾄ(4～3月)'!P$26:P$1015)</f>
        <v>0</v>
      </c>
      <c r="N34" s="145">
        <f>SUMIF('内訳ﾘｽﾄ(4～3月)'!$D$26:$D$1015,$B34,'内訳ﾘｽﾄ(4～3月)'!Q$26:Q$1015)</f>
        <v>0</v>
      </c>
      <c r="O34" s="145">
        <f>SUMIF('内訳ﾘｽﾄ(4～3月)'!$D$26:$D$814,'採算表(VND)'!$B34,'内訳ﾘｽﾄ(4～3月)'!R$26:R$814)</f>
        <v>0</v>
      </c>
      <c r="AQ34" s="71"/>
      <c r="AR34" s="71"/>
      <c r="AS34" s="71"/>
      <c r="AT34" s="71"/>
      <c r="AU34" s="69"/>
      <c r="AV34" s="70"/>
      <c r="AW34" s="70"/>
      <c r="AX34" s="70"/>
      <c r="AY34" s="70"/>
      <c r="BA34" s="72"/>
      <c r="BB34" s="72"/>
      <c r="BC34" s="72"/>
      <c r="BD34" s="72"/>
      <c r="BF34" s="69"/>
      <c r="BG34" s="69"/>
      <c r="BH34" s="69"/>
      <c r="BI34" s="69"/>
    </row>
    <row r="35" spans="1:61" ht="11.25" customHeight="1">
      <c r="A35" s="37"/>
      <c r="B35" s="36" t="s">
        <v>31</v>
      </c>
      <c r="C35" s="145">
        <f>SUMIF('内訳ﾘｽﾄ(4～3月)'!$D$26:$D$1015,$B35,'内訳ﾘｽﾄ(4～3月)'!F$26:F$1015)</f>
        <v>0</v>
      </c>
      <c r="D35" s="145">
        <f>SUMIF('内訳ﾘｽﾄ(4～3月)'!$D$26:$D$1015,$B35,'内訳ﾘｽﾄ(4～3月)'!G$26:G$1015)</f>
        <v>0</v>
      </c>
      <c r="E35" s="145">
        <f>SUMIF('内訳ﾘｽﾄ(4～3月)'!$D$26:$D$1015,$B35,'内訳ﾘｽﾄ(4～3月)'!H$26:H$1015)</f>
        <v>0</v>
      </c>
      <c r="F35" s="145">
        <f>SUMIF('内訳ﾘｽﾄ(4～3月)'!$D$26:$D$1015,$B35,'内訳ﾘｽﾄ(4～3月)'!I$26:I$1015)</f>
        <v>0</v>
      </c>
      <c r="G35" s="145">
        <f>SUMIF('内訳ﾘｽﾄ(4～3月)'!$D$26:$D$1015,$B35,'内訳ﾘｽﾄ(4～3月)'!J$26:J$1015)</f>
        <v>0</v>
      </c>
      <c r="H35" s="145">
        <f>SUMIF('内訳ﾘｽﾄ(4～3月)'!$D$26:$D$1015,$B35,'内訳ﾘｽﾄ(4～3月)'!K$26:K$1015)</f>
        <v>0</v>
      </c>
      <c r="I35" s="145">
        <f>SUMIF('内訳ﾘｽﾄ(4～3月)'!$D$26:$D$1015,$B35,'内訳ﾘｽﾄ(4～3月)'!L$26:L$1015)</f>
        <v>0</v>
      </c>
      <c r="J35" s="145">
        <f>SUMIF('内訳ﾘｽﾄ(4～3月)'!$D$26:$D$1015,$B35,'内訳ﾘｽﾄ(4～3月)'!M$26:M$1015)</f>
        <v>0</v>
      </c>
      <c r="K35" s="145">
        <f>SUMIF('内訳ﾘｽﾄ(4～3月)'!$D$26:$D$1015,$B35,'内訳ﾘｽﾄ(4～3月)'!N$26:N$1015)</f>
        <v>0</v>
      </c>
      <c r="L35" s="145">
        <f>SUMIF('内訳ﾘｽﾄ(4～3月)'!$D$26:$D$1015,$B35,'内訳ﾘｽﾄ(4～3月)'!O$26:O$1015)</f>
        <v>0</v>
      </c>
      <c r="M35" s="145">
        <f>SUMIF('内訳ﾘｽﾄ(4～3月)'!$D$26:$D$1015,$B35,'内訳ﾘｽﾄ(4～3月)'!P$26:P$1015)</f>
        <v>0</v>
      </c>
      <c r="N35" s="145">
        <f>SUMIF('内訳ﾘｽﾄ(4～3月)'!$D$26:$D$1015,$B35,'内訳ﾘｽﾄ(4～3月)'!Q$26:Q$1015)</f>
        <v>0</v>
      </c>
      <c r="O35" s="145">
        <f>SUMIF('内訳ﾘｽﾄ(4～3月)'!$D$26:$D$814,'採算表(VND)'!$B35,'内訳ﾘｽﾄ(4～3月)'!R$26:R$814)</f>
        <v>0</v>
      </c>
      <c r="AQ35" s="71"/>
      <c r="AR35" s="71"/>
      <c r="AS35" s="71"/>
      <c r="AT35" s="71"/>
      <c r="AU35" s="69"/>
      <c r="AV35" s="70"/>
      <c r="AW35" s="70"/>
      <c r="AX35" s="70"/>
      <c r="AY35" s="70"/>
      <c r="BA35" s="72"/>
      <c r="BB35" s="72"/>
      <c r="BC35" s="72"/>
      <c r="BD35" s="72"/>
      <c r="BF35" s="69"/>
      <c r="BG35" s="69"/>
      <c r="BH35" s="69"/>
      <c r="BI35" s="69"/>
    </row>
    <row r="36" spans="1:61" ht="11.25" customHeight="1">
      <c r="A36" s="37"/>
      <c r="B36" s="36" t="s">
        <v>32</v>
      </c>
      <c r="C36" s="145">
        <f>SUMIF('内訳ﾘｽﾄ(4～3月)'!$D$26:$D$1015,$B36,'内訳ﾘｽﾄ(4～3月)'!F$26:F$1015)</f>
        <v>0</v>
      </c>
      <c r="D36" s="145">
        <f>SUMIF('内訳ﾘｽﾄ(4～3月)'!$D$26:$D$1015,$B36,'内訳ﾘｽﾄ(4～3月)'!G$26:G$1015)</f>
        <v>0</v>
      </c>
      <c r="E36" s="145">
        <f>SUMIF('内訳ﾘｽﾄ(4～3月)'!$D$26:$D$1015,$B36,'内訳ﾘｽﾄ(4～3月)'!H$26:H$1015)</f>
        <v>0</v>
      </c>
      <c r="F36" s="145">
        <f>SUMIF('内訳ﾘｽﾄ(4～3月)'!$D$26:$D$1015,$B36,'内訳ﾘｽﾄ(4～3月)'!I$26:I$1015)</f>
        <v>0</v>
      </c>
      <c r="G36" s="145">
        <f>SUMIF('内訳ﾘｽﾄ(4～3月)'!$D$26:$D$1015,$B36,'内訳ﾘｽﾄ(4～3月)'!J$26:J$1015)</f>
        <v>0</v>
      </c>
      <c r="H36" s="145">
        <f>SUMIF('内訳ﾘｽﾄ(4～3月)'!$D$26:$D$1015,$B36,'内訳ﾘｽﾄ(4～3月)'!K$26:K$1015)</f>
        <v>0</v>
      </c>
      <c r="I36" s="145">
        <f>SUMIF('内訳ﾘｽﾄ(4～3月)'!$D$26:$D$1015,$B36,'内訳ﾘｽﾄ(4～3月)'!L$26:L$1015)</f>
        <v>0</v>
      </c>
      <c r="J36" s="145">
        <f>SUMIF('内訳ﾘｽﾄ(4～3月)'!$D$26:$D$1015,$B36,'内訳ﾘｽﾄ(4～3月)'!M$26:M$1015)</f>
        <v>0</v>
      </c>
      <c r="K36" s="145">
        <f>SUMIF('内訳ﾘｽﾄ(4～3月)'!$D$26:$D$1015,$B36,'内訳ﾘｽﾄ(4～3月)'!N$26:N$1015)</f>
        <v>0</v>
      </c>
      <c r="L36" s="145">
        <f>SUMIF('内訳ﾘｽﾄ(4～3月)'!$D$26:$D$1015,$B36,'内訳ﾘｽﾄ(4～3月)'!O$26:O$1015)</f>
        <v>0</v>
      </c>
      <c r="M36" s="145">
        <f>SUMIF('内訳ﾘｽﾄ(4～3月)'!$D$26:$D$1015,$B36,'内訳ﾘｽﾄ(4～3月)'!P$26:P$1015)</f>
        <v>0</v>
      </c>
      <c r="N36" s="145">
        <f>SUMIF('内訳ﾘｽﾄ(4～3月)'!$D$26:$D$1015,$B36,'内訳ﾘｽﾄ(4～3月)'!Q$26:Q$1015)</f>
        <v>0</v>
      </c>
      <c r="O36" s="145">
        <f>SUMIF('内訳ﾘｽﾄ(4～3月)'!$D$26:$D$814,'採算表(VND)'!$B36,'内訳ﾘｽﾄ(4～3月)'!R$26:R$814)</f>
        <v>0</v>
      </c>
      <c r="AQ36" s="71"/>
      <c r="AR36" s="71"/>
      <c r="AS36" s="71"/>
      <c r="AT36" s="71"/>
      <c r="AU36" s="69"/>
      <c r="AV36" s="70"/>
      <c r="AW36" s="70"/>
      <c r="AX36" s="70"/>
      <c r="AY36" s="70"/>
      <c r="BA36" s="72"/>
      <c r="BB36" s="72"/>
      <c r="BC36" s="72"/>
      <c r="BD36" s="72"/>
      <c r="BF36" s="69"/>
      <c r="BG36" s="69"/>
      <c r="BH36" s="69"/>
      <c r="BI36" s="69"/>
    </row>
    <row r="37" spans="1:61" ht="11.25" customHeight="1">
      <c r="A37" s="37"/>
      <c r="B37" s="36" t="s">
        <v>33</v>
      </c>
      <c r="C37" s="145">
        <f>SUMIF('内訳ﾘｽﾄ(4～3月)'!$D$26:$D$1015,$B37,'内訳ﾘｽﾄ(4～3月)'!F$26:F$1015)</f>
        <v>0</v>
      </c>
      <c r="D37" s="145">
        <f>SUMIF('内訳ﾘｽﾄ(4～3月)'!$D$26:$D$1015,$B37,'内訳ﾘｽﾄ(4～3月)'!G$26:G$1015)</f>
        <v>0</v>
      </c>
      <c r="E37" s="145">
        <f>SUMIF('内訳ﾘｽﾄ(4～3月)'!$D$26:$D$1015,$B37,'内訳ﾘｽﾄ(4～3月)'!H$26:H$1015)</f>
        <v>0</v>
      </c>
      <c r="F37" s="145">
        <f>SUMIF('内訳ﾘｽﾄ(4～3月)'!$D$26:$D$1015,$B37,'内訳ﾘｽﾄ(4～3月)'!I$26:I$1015)</f>
        <v>0</v>
      </c>
      <c r="G37" s="145">
        <f>SUMIF('内訳ﾘｽﾄ(4～3月)'!$D$26:$D$1015,$B37,'内訳ﾘｽﾄ(4～3月)'!J$26:J$1015)</f>
        <v>0</v>
      </c>
      <c r="H37" s="145">
        <f>SUMIF('内訳ﾘｽﾄ(4～3月)'!$D$26:$D$1015,$B37,'内訳ﾘｽﾄ(4～3月)'!K$26:K$1015)</f>
        <v>0</v>
      </c>
      <c r="I37" s="145">
        <f>SUMIF('内訳ﾘｽﾄ(4～3月)'!$D$26:$D$1015,$B37,'内訳ﾘｽﾄ(4～3月)'!L$26:L$1015)</f>
        <v>0</v>
      </c>
      <c r="J37" s="145">
        <f>SUMIF('内訳ﾘｽﾄ(4～3月)'!$D$26:$D$1015,$B37,'内訳ﾘｽﾄ(4～3月)'!M$26:M$1015)</f>
        <v>0</v>
      </c>
      <c r="K37" s="145">
        <f>SUMIF('内訳ﾘｽﾄ(4～3月)'!$D$26:$D$1015,$B37,'内訳ﾘｽﾄ(4～3月)'!N$26:N$1015)</f>
        <v>0</v>
      </c>
      <c r="L37" s="145">
        <f>SUMIF('内訳ﾘｽﾄ(4～3月)'!$D$26:$D$1015,$B37,'内訳ﾘｽﾄ(4～3月)'!O$26:O$1015)</f>
        <v>0</v>
      </c>
      <c r="M37" s="145">
        <f>SUMIF('内訳ﾘｽﾄ(4～3月)'!$D$26:$D$1015,$B37,'内訳ﾘｽﾄ(4～3月)'!P$26:P$1015)</f>
        <v>0</v>
      </c>
      <c r="N37" s="145">
        <f>SUMIF('内訳ﾘｽﾄ(4～3月)'!$D$26:$D$1015,$B37,'内訳ﾘｽﾄ(4～3月)'!Q$26:Q$1015)</f>
        <v>0</v>
      </c>
      <c r="O37" s="145">
        <f>SUMIF('内訳ﾘｽﾄ(4～3月)'!$D$26:$D$814,'採算表(VND)'!$B37,'内訳ﾘｽﾄ(4～3月)'!R$26:R$814)</f>
        <v>0</v>
      </c>
      <c r="AQ37" s="71"/>
      <c r="AR37" s="71"/>
      <c r="AS37" s="71"/>
      <c r="AT37" s="71"/>
      <c r="AU37" s="69"/>
      <c r="AV37" s="70"/>
      <c r="AW37" s="70"/>
      <c r="AX37" s="70"/>
      <c r="AY37" s="70"/>
      <c r="BA37" s="72"/>
      <c r="BB37" s="72"/>
      <c r="BC37" s="72"/>
      <c r="BD37" s="72"/>
      <c r="BF37" s="69"/>
      <c r="BG37" s="69"/>
      <c r="BH37" s="69"/>
      <c r="BI37" s="69"/>
    </row>
    <row r="38" spans="1:61" ht="11.25" customHeight="1">
      <c r="A38" s="37"/>
      <c r="B38" s="36" t="s">
        <v>34</v>
      </c>
      <c r="C38" s="145">
        <f>SUMIF('内訳ﾘｽﾄ(4～3月)'!$D$26:$D$1015,$B38,'内訳ﾘｽﾄ(4～3月)'!F$26:F$1015)</f>
        <v>0</v>
      </c>
      <c r="D38" s="145">
        <f>SUMIF('内訳ﾘｽﾄ(4～3月)'!$D$26:$D$1015,$B38,'内訳ﾘｽﾄ(4～3月)'!G$26:G$1015)</f>
        <v>0</v>
      </c>
      <c r="E38" s="145">
        <f>SUMIF('内訳ﾘｽﾄ(4～3月)'!$D$26:$D$1015,$B38,'内訳ﾘｽﾄ(4～3月)'!H$26:H$1015)</f>
        <v>0</v>
      </c>
      <c r="F38" s="145">
        <f>SUMIF('内訳ﾘｽﾄ(4～3月)'!$D$26:$D$1015,$B38,'内訳ﾘｽﾄ(4～3月)'!I$26:I$1015)</f>
        <v>0</v>
      </c>
      <c r="G38" s="145">
        <f>SUMIF('内訳ﾘｽﾄ(4～3月)'!$D$26:$D$1015,$B38,'内訳ﾘｽﾄ(4～3月)'!J$26:J$1015)</f>
        <v>0</v>
      </c>
      <c r="H38" s="145">
        <f>SUMIF('内訳ﾘｽﾄ(4～3月)'!$D$26:$D$1015,$B38,'内訳ﾘｽﾄ(4～3月)'!K$26:K$1015)</f>
        <v>0</v>
      </c>
      <c r="I38" s="145">
        <f>SUMIF('内訳ﾘｽﾄ(4～3月)'!$D$26:$D$1015,$B38,'内訳ﾘｽﾄ(4～3月)'!L$26:L$1015)</f>
        <v>0</v>
      </c>
      <c r="J38" s="145">
        <f>SUMIF('内訳ﾘｽﾄ(4～3月)'!$D$26:$D$1015,$B38,'内訳ﾘｽﾄ(4～3月)'!M$26:M$1015)</f>
        <v>0</v>
      </c>
      <c r="K38" s="145">
        <f>SUMIF('内訳ﾘｽﾄ(4～3月)'!$D$26:$D$1015,$B38,'内訳ﾘｽﾄ(4～3月)'!N$26:N$1015)</f>
        <v>0</v>
      </c>
      <c r="L38" s="145">
        <f>SUMIF('内訳ﾘｽﾄ(4～3月)'!$D$26:$D$1015,$B38,'内訳ﾘｽﾄ(4～3月)'!O$26:O$1015)</f>
        <v>0</v>
      </c>
      <c r="M38" s="145">
        <f>SUMIF('内訳ﾘｽﾄ(4～3月)'!$D$26:$D$1015,$B38,'内訳ﾘｽﾄ(4～3月)'!P$26:P$1015)</f>
        <v>0</v>
      </c>
      <c r="N38" s="145">
        <f>SUMIF('内訳ﾘｽﾄ(4～3月)'!$D$26:$D$1015,$B38,'内訳ﾘｽﾄ(4～3月)'!Q$26:Q$1015)</f>
        <v>0</v>
      </c>
      <c r="O38" s="145">
        <f>SUMIF('内訳ﾘｽﾄ(4～3月)'!$D$26:$D$814,'採算表(VND)'!$B38,'内訳ﾘｽﾄ(4～3月)'!R$26:R$814)</f>
        <v>0</v>
      </c>
      <c r="AQ38" s="71"/>
      <c r="AR38" s="71"/>
      <c r="AS38" s="71"/>
      <c r="AT38" s="71"/>
      <c r="AU38" s="69"/>
      <c r="AV38" s="70"/>
      <c r="AW38" s="70"/>
      <c r="AX38" s="70"/>
      <c r="AY38" s="70"/>
      <c r="BA38" s="72"/>
      <c r="BB38" s="72"/>
      <c r="BC38" s="72"/>
      <c r="BD38" s="72"/>
      <c r="BF38" s="69"/>
      <c r="BG38" s="69"/>
      <c r="BH38" s="69"/>
      <c r="BI38" s="69"/>
    </row>
    <row r="39" spans="1:61" ht="11.25" customHeight="1">
      <c r="A39" s="37"/>
      <c r="B39" s="36" t="s">
        <v>35</v>
      </c>
      <c r="C39" s="145">
        <f>SUMIF('内訳ﾘｽﾄ(4～3月)'!$D$26:$D$1015,$B39,'内訳ﾘｽﾄ(4～3月)'!F$26:F$1015)</f>
        <v>0</v>
      </c>
      <c r="D39" s="145">
        <f>SUMIF('内訳ﾘｽﾄ(4～3月)'!$D$26:$D$1015,$B39,'内訳ﾘｽﾄ(4～3月)'!G$26:G$1015)</f>
        <v>0</v>
      </c>
      <c r="E39" s="145">
        <f>SUMIF('内訳ﾘｽﾄ(4～3月)'!$D$26:$D$1015,$B39,'内訳ﾘｽﾄ(4～3月)'!H$26:H$1015)</f>
        <v>0</v>
      </c>
      <c r="F39" s="145">
        <f>SUMIF('内訳ﾘｽﾄ(4～3月)'!$D$26:$D$1015,$B39,'内訳ﾘｽﾄ(4～3月)'!I$26:I$1015)</f>
        <v>0</v>
      </c>
      <c r="G39" s="145">
        <f>SUMIF('内訳ﾘｽﾄ(4～3月)'!$D$26:$D$1015,$B39,'内訳ﾘｽﾄ(4～3月)'!J$26:J$1015)</f>
        <v>0</v>
      </c>
      <c r="H39" s="145">
        <f>SUMIF('内訳ﾘｽﾄ(4～3月)'!$D$26:$D$1015,$B39,'内訳ﾘｽﾄ(4～3月)'!K$26:K$1015)</f>
        <v>0</v>
      </c>
      <c r="I39" s="145">
        <f>SUMIF('内訳ﾘｽﾄ(4～3月)'!$D$26:$D$1015,$B39,'内訳ﾘｽﾄ(4～3月)'!L$26:L$1015)</f>
        <v>0</v>
      </c>
      <c r="J39" s="145">
        <f>SUMIF('内訳ﾘｽﾄ(4～3月)'!$D$26:$D$1015,$B39,'内訳ﾘｽﾄ(4～3月)'!M$26:M$1015)</f>
        <v>0</v>
      </c>
      <c r="K39" s="145">
        <f>SUMIF('内訳ﾘｽﾄ(4～3月)'!$D$26:$D$1015,$B39,'内訳ﾘｽﾄ(4～3月)'!N$26:N$1015)</f>
        <v>0</v>
      </c>
      <c r="L39" s="145">
        <f>SUMIF('内訳ﾘｽﾄ(4～3月)'!$D$26:$D$1015,$B39,'内訳ﾘｽﾄ(4～3月)'!O$26:O$1015)</f>
        <v>0</v>
      </c>
      <c r="M39" s="145">
        <f>SUMIF('内訳ﾘｽﾄ(4～3月)'!$D$26:$D$1015,$B39,'内訳ﾘｽﾄ(4～3月)'!P$26:P$1015)</f>
        <v>0</v>
      </c>
      <c r="N39" s="145">
        <f>SUMIF('内訳ﾘｽﾄ(4～3月)'!$D$26:$D$1015,$B39,'内訳ﾘｽﾄ(4～3月)'!Q$26:Q$1015)</f>
        <v>0</v>
      </c>
      <c r="O39" s="145">
        <f>SUMIF('内訳ﾘｽﾄ(4～3月)'!$D$26:$D$814,'採算表(VND)'!$B39,'内訳ﾘｽﾄ(4～3月)'!R$26:R$814)</f>
        <v>0</v>
      </c>
      <c r="AQ39" s="71"/>
      <c r="AR39" s="71"/>
      <c r="AS39" s="71"/>
      <c r="AT39" s="71"/>
      <c r="AU39" s="69"/>
      <c r="AV39" s="70"/>
      <c r="AW39" s="70"/>
      <c r="AX39" s="70"/>
      <c r="AY39" s="70"/>
      <c r="BA39" s="72"/>
      <c r="BB39" s="72"/>
      <c r="BC39" s="72"/>
      <c r="BD39" s="72"/>
      <c r="BF39" s="69"/>
      <c r="BG39" s="69"/>
      <c r="BH39" s="69"/>
      <c r="BI39" s="69"/>
    </row>
    <row r="40" spans="1:61" ht="11.25" customHeight="1">
      <c r="A40" s="37"/>
      <c r="B40" s="36" t="s">
        <v>36</v>
      </c>
      <c r="C40" s="145">
        <f>SUMIF('内訳ﾘｽﾄ(4～3月)'!$D$26:$D$1015,$B40,'内訳ﾘｽﾄ(4～3月)'!F$26:F$1015)</f>
        <v>0</v>
      </c>
      <c r="D40" s="145">
        <f>SUMIF('内訳ﾘｽﾄ(4～3月)'!$D$26:$D$1015,$B40,'内訳ﾘｽﾄ(4～3月)'!G$26:G$1015)</f>
        <v>0</v>
      </c>
      <c r="E40" s="145">
        <f>SUMIF('内訳ﾘｽﾄ(4～3月)'!$D$26:$D$1015,$B40,'内訳ﾘｽﾄ(4～3月)'!H$26:H$1015)</f>
        <v>0</v>
      </c>
      <c r="F40" s="145">
        <f>SUMIF('内訳ﾘｽﾄ(4～3月)'!$D$26:$D$1015,$B40,'内訳ﾘｽﾄ(4～3月)'!I$26:I$1015)</f>
        <v>0</v>
      </c>
      <c r="G40" s="145">
        <f>SUMIF('内訳ﾘｽﾄ(4～3月)'!$D$26:$D$1015,$B40,'内訳ﾘｽﾄ(4～3月)'!J$26:J$1015)</f>
        <v>0</v>
      </c>
      <c r="H40" s="145">
        <f>SUMIF('内訳ﾘｽﾄ(4～3月)'!$D$26:$D$1015,$B40,'内訳ﾘｽﾄ(4～3月)'!K$26:K$1015)</f>
        <v>0</v>
      </c>
      <c r="I40" s="145">
        <f>SUMIF('内訳ﾘｽﾄ(4～3月)'!$D$26:$D$1015,$B40,'内訳ﾘｽﾄ(4～3月)'!L$26:L$1015)</f>
        <v>0</v>
      </c>
      <c r="J40" s="145">
        <f>SUMIF('内訳ﾘｽﾄ(4～3月)'!$D$26:$D$1015,$B40,'内訳ﾘｽﾄ(4～3月)'!M$26:M$1015)</f>
        <v>0</v>
      </c>
      <c r="K40" s="145">
        <f>SUMIF('内訳ﾘｽﾄ(4～3月)'!$D$26:$D$1015,$B40,'内訳ﾘｽﾄ(4～3月)'!N$26:N$1015)</f>
        <v>0</v>
      </c>
      <c r="L40" s="145">
        <f>SUMIF('内訳ﾘｽﾄ(4～3月)'!$D$26:$D$1015,$B40,'内訳ﾘｽﾄ(4～3月)'!O$26:O$1015)</f>
        <v>0</v>
      </c>
      <c r="M40" s="145">
        <f>SUMIF('内訳ﾘｽﾄ(4～3月)'!$D$26:$D$1015,$B40,'内訳ﾘｽﾄ(4～3月)'!P$26:P$1015)</f>
        <v>0</v>
      </c>
      <c r="N40" s="145">
        <f>SUMIF('内訳ﾘｽﾄ(4～3月)'!$D$26:$D$1015,$B40,'内訳ﾘｽﾄ(4～3月)'!Q$26:Q$1015)</f>
        <v>0</v>
      </c>
      <c r="O40" s="145">
        <f>SUMIF('内訳ﾘｽﾄ(4～3月)'!$D$26:$D$814,'採算表(VND)'!$B40,'内訳ﾘｽﾄ(4～3月)'!R$26:R$814)</f>
        <v>0</v>
      </c>
      <c r="AQ40" s="71"/>
      <c r="AR40" s="71"/>
      <c r="AS40" s="71"/>
      <c r="AT40" s="71"/>
      <c r="AU40" s="69"/>
      <c r="AV40" s="70"/>
      <c r="AW40" s="70"/>
      <c r="AX40" s="70"/>
      <c r="AY40" s="70"/>
      <c r="BA40" s="72"/>
      <c r="BB40" s="72"/>
      <c r="BC40" s="72"/>
      <c r="BD40" s="72"/>
      <c r="BF40" s="69"/>
      <c r="BG40" s="69"/>
      <c r="BH40" s="69"/>
      <c r="BI40" s="69"/>
    </row>
    <row r="41" spans="1:61" ht="11.25" customHeight="1">
      <c r="A41" s="37"/>
      <c r="B41" s="36" t="s">
        <v>37</v>
      </c>
      <c r="C41" s="145">
        <f>SUMIF('内訳ﾘｽﾄ(4～3月)'!$D$26:$D$1015,$B41,'内訳ﾘｽﾄ(4～3月)'!F$26:F$1015)</f>
        <v>0</v>
      </c>
      <c r="D41" s="145">
        <f>SUMIF('内訳ﾘｽﾄ(4～3月)'!$D$26:$D$1015,$B41,'内訳ﾘｽﾄ(4～3月)'!G$26:G$1015)</f>
        <v>0</v>
      </c>
      <c r="E41" s="145">
        <f>SUMIF('内訳ﾘｽﾄ(4～3月)'!$D$26:$D$1015,$B41,'内訳ﾘｽﾄ(4～3月)'!H$26:H$1015)</f>
        <v>0</v>
      </c>
      <c r="F41" s="145">
        <f>SUMIF('内訳ﾘｽﾄ(4～3月)'!$D$26:$D$1015,$B41,'内訳ﾘｽﾄ(4～3月)'!I$26:I$1015)</f>
        <v>0</v>
      </c>
      <c r="G41" s="145">
        <f>SUMIF('内訳ﾘｽﾄ(4～3月)'!$D$26:$D$1015,$B41,'内訳ﾘｽﾄ(4～3月)'!J$26:J$1015)</f>
        <v>0</v>
      </c>
      <c r="H41" s="145">
        <f>SUMIF('内訳ﾘｽﾄ(4～3月)'!$D$26:$D$1015,$B41,'内訳ﾘｽﾄ(4～3月)'!K$26:K$1015)</f>
        <v>0</v>
      </c>
      <c r="I41" s="145">
        <f>SUMIF('内訳ﾘｽﾄ(4～3月)'!$D$26:$D$1015,$B41,'内訳ﾘｽﾄ(4～3月)'!L$26:L$1015)</f>
        <v>0</v>
      </c>
      <c r="J41" s="145">
        <f>SUMIF('内訳ﾘｽﾄ(4～3月)'!$D$26:$D$1015,$B41,'内訳ﾘｽﾄ(4～3月)'!M$26:M$1015)</f>
        <v>0</v>
      </c>
      <c r="K41" s="145">
        <f>SUMIF('内訳ﾘｽﾄ(4～3月)'!$D$26:$D$1015,$B41,'内訳ﾘｽﾄ(4～3月)'!N$26:N$1015)</f>
        <v>0</v>
      </c>
      <c r="L41" s="145">
        <f>SUMIF('内訳ﾘｽﾄ(4～3月)'!$D$26:$D$1015,$B41,'内訳ﾘｽﾄ(4～3月)'!O$26:O$1015)</f>
        <v>0</v>
      </c>
      <c r="M41" s="145">
        <f>SUMIF('内訳ﾘｽﾄ(4～3月)'!$D$26:$D$1015,$B41,'内訳ﾘｽﾄ(4～3月)'!P$26:P$1015)</f>
        <v>0</v>
      </c>
      <c r="N41" s="145">
        <f>SUMIF('内訳ﾘｽﾄ(4～3月)'!$D$26:$D$1015,$B41,'内訳ﾘｽﾄ(4～3月)'!Q$26:Q$1015)</f>
        <v>0</v>
      </c>
      <c r="O41" s="145">
        <f>SUMIF('内訳ﾘｽﾄ(4～3月)'!$D$26:$D$814,'採算表(VND)'!$B41,'内訳ﾘｽﾄ(4～3月)'!R$26:R$814)</f>
        <v>0</v>
      </c>
      <c r="AQ41" s="71"/>
      <c r="AR41" s="71"/>
      <c r="AS41" s="71"/>
      <c r="AT41" s="71"/>
      <c r="AU41" s="69"/>
      <c r="AV41" s="70"/>
      <c r="AW41" s="70"/>
      <c r="AX41" s="70"/>
      <c r="AY41" s="70"/>
      <c r="BA41" s="72"/>
      <c r="BB41" s="72"/>
      <c r="BC41" s="72"/>
      <c r="BD41" s="72"/>
      <c r="BF41" s="69"/>
      <c r="BG41" s="69"/>
      <c r="BH41" s="69"/>
      <c r="BI41" s="69"/>
    </row>
    <row r="42" spans="1:61" ht="11.25" customHeight="1">
      <c r="A42" s="37"/>
      <c r="B42" s="36" t="s">
        <v>38</v>
      </c>
      <c r="C42" s="145">
        <f>SUMIF('内訳ﾘｽﾄ(4～3月)'!$D$26:$D$1015,$B42,'内訳ﾘｽﾄ(4～3月)'!F$26:F$1015)</f>
        <v>0</v>
      </c>
      <c r="D42" s="145">
        <f>SUMIF('内訳ﾘｽﾄ(4～3月)'!$D$26:$D$1015,$B42,'内訳ﾘｽﾄ(4～3月)'!G$26:G$1015)</f>
        <v>0</v>
      </c>
      <c r="E42" s="145">
        <f>SUMIF('内訳ﾘｽﾄ(4～3月)'!$D$26:$D$1015,$B42,'内訳ﾘｽﾄ(4～3月)'!H$26:H$1015)</f>
        <v>0</v>
      </c>
      <c r="F42" s="145">
        <f>SUMIF('内訳ﾘｽﾄ(4～3月)'!$D$26:$D$1015,$B42,'内訳ﾘｽﾄ(4～3月)'!I$26:I$1015)</f>
        <v>0</v>
      </c>
      <c r="G42" s="145">
        <f>SUMIF('内訳ﾘｽﾄ(4～3月)'!$D$26:$D$1015,$B42,'内訳ﾘｽﾄ(4～3月)'!J$26:J$1015)</f>
        <v>0</v>
      </c>
      <c r="H42" s="145">
        <f>SUMIF('内訳ﾘｽﾄ(4～3月)'!$D$26:$D$1015,$B42,'内訳ﾘｽﾄ(4～3月)'!K$26:K$1015)</f>
        <v>0</v>
      </c>
      <c r="I42" s="145">
        <f>SUMIF('内訳ﾘｽﾄ(4～3月)'!$D$26:$D$1015,$B42,'内訳ﾘｽﾄ(4～3月)'!L$26:L$1015)</f>
        <v>0</v>
      </c>
      <c r="J42" s="145">
        <f>SUMIF('内訳ﾘｽﾄ(4～3月)'!$D$26:$D$1015,$B42,'内訳ﾘｽﾄ(4～3月)'!M$26:M$1015)</f>
        <v>0</v>
      </c>
      <c r="K42" s="145">
        <f>SUMIF('内訳ﾘｽﾄ(4～3月)'!$D$26:$D$1015,$B42,'内訳ﾘｽﾄ(4～3月)'!N$26:N$1015)</f>
        <v>0</v>
      </c>
      <c r="L42" s="145">
        <f>SUMIF('内訳ﾘｽﾄ(4～3月)'!$D$26:$D$1015,$B42,'内訳ﾘｽﾄ(4～3月)'!O$26:O$1015)</f>
        <v>0</v>
      </c>
      <c r="M42" s="145">
        <f>SUMIF('内訳ﾘｽﾄ(4～3月)'!$D$26:$D$1015,$B42,'内訳ﾘｽﾄ(4～3月)'!P$26:P$1015)</f>
        <v>0</v>
      </c>
      <c r="N42" s="145">
        <f>SUMIF('内訳ﾘｽﾄ(4～3月)'!$D$26:$D$1015,$B42,'内訳ﾘｽﾄ(4～3月)'!Q$26:Q$1015)</f>
        <v>0</v>
      </c>
      <c r="O42" s="145">
        <f>SUMIF('内訳ﾘｽﾄ(4～3月)'!$D$26:$D$814,'採算表(VND)'!$B42,'内訳ﾘｽﾄ(4～3月)'!R$26:R$814)</f>
        <v>0</v>
      </c>
      <c r="AQ42" s="71"/>
      <c r="AR42" s="71"/>
      <c r="AS42" s="71"/>
      <c r="AT42" s="71"/>
      <c r="AU42" s="69"/>
      <c r="AV42" s="70"/>
      <c r="AW42" s="70"/>
      <c r="AX42" s="70"/>
      <c r="AY42" s="70"/>
      <c r="BA42" s="72"/>
      <c r="BB42" s="72"/>
      <c r="BC42" s="72"/>
      <c r="BD42" s="72"/>
      <c r="BF42" s="73"/>
      <c r="BG42" s="69"/>
      <c r="BH42" s="69"/>
      <c r="BI42" s="69"/>
    </row>
    <row r="43" spans="1:61" ht="11.25" customHeight="1">
      <c r="A43" s="37"/>
      <c r="B43" s="36" t="s">
        <v>39</v>
      </c>
      <c r="C43" s="145">
        <f>SUMIF('内訳ﾘｽﾄ(4～3月)'!$D$26:$D$1015,$B43,'内訳ﾘｽﾄ(4～3月)'!F$26:F$1015)</f>
        <v>0</v>
      </c>
      <c r="D43" s="145">
        <f>SUMIF('内訳ﾘｽﾄ(4～3月)'!$D$26:$D$1015,$B43,'内訳ﾘｽﾄ(4～3月)'!G$26:G$1015)</f>
        <v>0</v>
      </c>
      <c r="E43" s="145">
        <f>SUMIF('内訳ﾘｽﾄ(4～3月)'!$D$26:$D$1015,$B43,'内訳ﾘｽﾄ(4～3月)'!H$26:H$1015)</f>
        <v>0</v>
      </c>
      <c r="F43" s="145">
        <f>SUMIF('内訳ﾘｽﾄ(4～3月)'!$D$26:$D$1015,$B43,'内訳ﾘｽﾄ(4～3月)'!I$26:I$1015)</f>
        <v>0</v>
      </c>
      <c r="G43" s="145">
        <f>SUMIF('内訳ﾘｽﾄ(4～3月)'!$D$26:$D$1015,$B43,'内訳ﾘｽﾄ(4～3月)'!J$26:J$1015)</f>
        <v>0</v>
      </c>
      <c r="H43" s="145">
        <f>SUMIF('内訳ﾘｽﾄ(4～3月)'!$D$26:$D$1015,$B43,'内訳ﾘｽﾄ(4～3月)'!K$26:K$1015)</f>
        <v>0</v>
      </c>
      <c r="I43" s="145">
        <f>SUMIF('内訳ﾘｽﾄ(4～3月)'!$D$26:$D$1015,$B43,'内訳ﾘｽﾄ(4～3月)'!L$26:L$1015)</f>
        <v>0</v>
      </c>
      <c r="J43" s="145">
        <f>SUMIF('内訳ﾘｽﾄ(4～3月)'!$D$26:$D$1015,$B43,'内訳ﾘｽﾄ(4～3月)'!M$26:M$1015)</f>
        <v>0</v>
      </c>
      <c r="K43" s="145">
        <f>SUMIF('内訳ﾘｽﾄ(4～3月)'!$D$26:$D$1015,$B43,'内訳ﾘｽﾄ(4～3月)'!N$26:N$1015)</f>
        <v>0</v>
      </c>
      <c r="L43" s="145">
        <f>SUMIF('内訳ﾘｽﾄ(4～3月)'!$D$26:$D$1015,$B43,'内訳ﾘｽﾄ(4～3月)'!O$26:O$1015)</f>
        <v>0</v>
      </c>
      <c r="M43" s="145">
        <f>SUMIF('内訳ﾘｽﾄ(4～3月)'!$D$26:$D$1015,$B43,'内訳ﾘｽﾄ(4～3月)'!P$26:P$1015)</f>
        <v>0</v>
      </c>
      <c r="N43" s="145">
        <f>SUMIF('内訳ﾘｽﾄ(4～3月)'!$D$26:$D$1015,$B43,'内訳ﾘｽﾄ(4～3月)'!Q$26:Q$1015)</f>
        <v>0</v>
      </c>
      <c r="O43" s="145">
        <f>SUMIF('内訳ﾘｽﾄ(4～3月)'!$D$26:$D$814,'採算表(VND)'!$B43,'内訳ﾘｽﾄ(4～3月)'!R$26:R$814)</f>
        <v>0</v>
      </c>
      <c r="AQ43" s="71"/>
      <c r="AR43" s="71"/>
      <c r="AS43" s="71"/>
      <c r="AT43" s="71"/>
      <c r="AU43" s="69"/>
      <c r="AV43" s="70"/>
      <c r="AW43" s="70"/>
      <c r="AX43" s="70"/>
      <c r="AY43" s="70"/>
      <c r="BA43" s="72"/>
      <c r="BB43" s="72"/>
      <c r="BC43" s="72"/>
      <c r="BD43" s="72"/>
      <c r="BF43" s="69"/>
      <c r="BG43" s="69"/>
      <c r="BH43" s="69"/>
      <c r="BI43" s="69"/>
    </row>
    <row r="44" spans="1:61" ht="11.25" customHeight="1">
      <c r="A44" s="37"/>
      <c r="B44" s="36" t="s">
        <v>40</v>
      </c>
      <c r="C44" s="145">
        <f>SUMIF('内訳ﾘｽﾄ(4～3月)'!$D$26:$D$1015,$B44,'内訳ﾘｽﾄ(4～3月)'!F$26:F$1015)</f>
        <v>0</v>
      </c>
      <c r="D44" s="145">
        <f>SUMIF('内訳ﾘｽﾄ(4～3月)'!$D$26:$D$1015,$B44,'内訳ﾘｽﾄ(4～3月)'!G$26:G$1015)</f>
        <v>0</v>
      </c>
      <c r="E44" s="145">
        <f>SUMIF('内訳ﾘｽﾄ(4～3月)'!$D$26:$D$1015,$B44,'内訳ﾘｽﾄ(4～3月)'!H$26:H$1015)</f>
        <v>0</v>
      </c>
      <c r="F44" s="145">
        <f>SUMIF('内訳ﾘｽﾄ(4～3月)'!$D$26:$D$1015,$B44,'内訳ﾘｽﾄ(4～3月)'!I$26:I$1015)</f>
        <v>0</v>
      </c>
      <c r="G44" s="145">
        <f>SUMIF('内訳ﾘｽﾄ(4～3月)'!$D$26:$D$1015,$B44,'内訳ﾘｽﾄ(4～3月)'!J$26:J$1015)</f>
        <v>0</v>
      </c>
      <c r="H44" s="145">
        <f>SUMIF('内訳ﾘｽﾄ(4～3月)'!$D$26:$D$1015,$B44,'内訳ﾘｽﾄ(4～3月)'!K$26:K$1015)</f>
        <v>0</v>
      </c>
      <c r="I44" s="145">
        <f>SUMIF('内訳ﾘｽﾄ(4～3月)'!$D$26:$D$1015,$B44,'内訳ﾘｽﾄ(4～3月)'!L$26:L$1015)</f>
        <v>0</v>
      </c>
      <c r="J44" s="145">
        <f>SUMIF('内訳ﾘｽﾄ(4～3月)'!$D$26:$D$1015,$B44,'内訳ﾘｽﾄ(4～3月)'!M$26:M$1015)</f>
        <v>0</v>
      </c>
      <c r="K44" s="145">
        <f>SUMIF('内訳ﾘｽﾄ(4～3月)'!$D$26:$D$1015,$B44,'内訳ﾘｽﾄ(4～3月)'!N$26:N$1015)</f>
        <v>0</v>
      </c>
      <c r="L44" s="145">
        <f>SUMIF('内訳ﾘｽﾄ(4～3月)'!$D$26:$D$1015,$B44,'内訳ﾘｽﾄ(4～3月)'!O$26:O$1015)</f>
        <v>0</v>
      </c>
      <c r="M44" s="145">
        <f>SUMIF('内訳ﾘｽﾄ(4～3月)'!$D$26:$D$1015,$B44,'内訳ﾘｽﾄ(4～3月)'!P$26:P$1015)</f>
        <v>0</v>
      </c>
      <c r="N44" s="145">
        <f>SUMIF('内訳ﾘｽﾄ(4～3月)'!$D$26:$D$1015,$B44,'内訳ﾘｽﾄ(4～3月)'!Q$26:Q$1015)</f>
        <v>0</v>
      </c>
      <c r="O44" s="145">
        <f>SUMIF('内訳ﾘｽﾄ(4～3月)'!$D$26:$D$814,'採算表(VND)'!$B44,'内訳ﾘｽﾄ(4～3月)'!R$26:R$814)</f>
        <v>0</v>
      </c>
      <c r="AQ44" s="71"/>
      <c r="AR44" s="71"/>
      <c r="AS44" s="71"/>
      <c r="AT44" s="71"/>
      <c r="AU44" s="69"/>
      <c r="AV44" s="70"/>
      <c r="AW44" s="70"/>
      <c r="AX44" s="70"/>
      <c r="AY44" s="70"/>
      <c r="BA44" s="72"/>
      <c r="BB44" s="72"/>
      <c r="BC44" s="72"/>
      <c r="BD44" s="72"/>
      <c r="BF44" s="69"/>
      <c r="BG44" s="69"/>
      <c r="BH44" s="69"/>
      <c r="BI44" s="69"/>
    </row>
    <row r="45" spans="1:61" ht="11.25" customHeight="1">
      <c r="A45" s="37"/>
      <c r="B45" s="36" t="s">
        <v>41</v>
      </c>
      <c r="C45" s="145">
        <f>SUMIF('内訳ﾘｽﾄ(4～3月)'!$D$26:$D$1015,$B45,'内訳ﾘｽﾄ(4～3月)'!F$26:F$1015)</f>
        <v>0</v>
      </c>
      <c r="D45" s="145">
        <f>SUMIF('内訳ﾘｽﾄ(4～3月)'!$D$26:$D$1015,$B45,'内訳ﾘｽﾄ(4～3月)'!G$26:G$1015)</f>
        <v>0</v>
      </c>
      <c r="E45" s="145">
        <f>SUMIF('内訳ﾘｽﾄ(4～3月)'!$D$26:$D$1015,$B45,'内訳ﾘｽﾄ(4～3月)'!H$26:H$1015)</f>
        <v>0</v>
      </c>
      <c r="F45" s="145">
        <f>SUMIF('内訳ﾘｽﾄ(4～3月)'!$D$26:$D$1015,$B45,'内訳ﾘｽﾄ(4～3月)'!I$26:I$1015)</f>
        <v>0</v>
      </c>
      <c r="G45" s="145">
        <f>SUMIF('内訳ﾘｽﾄ(4～3月)'!$D$26:$D$1015,$B45,'内訳ﾘｽﾄ(4～3月)'!J$26:J$1015)</f>
        <v>0</v>
      </c>
      <c r="H45" s="145">
        <f>SUMIF('内訳ﾘｽﾄ(4～3月)'!$D$26:$D$1015,$B45,'内訳ﾘｽﾄ(4～3月)'!K$26:K$1015)</f>
        <v>0</v>
      </c>
      <c r="I45" s="145">
        <f>SUMIF('内訳ﾘｽﾄ(4～3月)'!$D$26:$D$1015,$B45,'内訳ﾘｽﾄ(4～3月)'!L$26:L$1015)</f>
        <v>0</v>
      </c>
      <c r="J45" s="145">
        <f>SUMIF('内訳ﾘｽﾄ(4～3月)'!$D$26:$D$1015,$B45,'内訳ﾘｽﾄ(4～3月)'!M$26:M$1015)</f>
        <v>0</v>
      </c>
      <c r="K45" s="145">
        <f>SUMIF('内訳ﾘｽﾄ(4～3月)'!$D$26:$D$1015,$B45,'内訳ﾘｽﾄ(4～3月)'!N$26:N$1015)</f>
        <v>0</v>
      </c>
      <c r="L45" s="145">
        <f>SUMIF('内訳ﾘｽﾄ(4～3月)'!$D$26:$D$1015,$B45,'内訳ﾘｽﾄ(4～3月)'!O$26:O$1015)</f>
        <v>0</v>
      </c>
      <c r="M45" s="145">
        <f>SUMIF('内訳ﾘｽﾄ(4～3月)'!$D$26:$D$1015,$B45,'内訳ﾘｽﾄ(4～3月)'!P$26:P$1015)</f>
        <v>0</v>
      </c>
      <c r="N45" s="145">
        <f>SUMIF('内訳ﾘｽﾄ(4～3月)'!$D$26:$D$1015,$B45,'内訳ﾘｽﾄ(4～3月)'!Q$26:Q$1015)</f>
        <v>0</v>
      </c>
      <c r="O45" s="145">
        <f>SUMIF('内訳ﾘｽﾄ(4～3月)'!$D$26:$D$814,'採算表(VND)'!$B45,'内訳ﾘｽﾄ(4～3月)'!R$26:R$814)</f>
        <v>0</v>
      </c>
      <c r="AQ45" s="71"/>
      <c r="AR45" s="71"/>
      <c r="AS45" s="71"/>
      <c r="AT45" s="71"/>
      <c r="AU45" s="69"/>
      <c r="AV45" s="70"/>
      <c r="AW45" s="70"/>
      <c r="AX45" s="70"/>
      <c r="AY45" s="70"/>
      <c r="BA45" s="72"/>
      <c r="BB45" s="72"/>
      <c r="BC45" s="72"/>
      <c r="BD45" s="72"/>
      <c r="BF45" s="69"/>
      <c r="BG45" s="69"/>
      <c r="BH45" s="69"/>
      <c r="BI45" s="69"/>
    </row>
    <row r="46" spans="1:61" ht="11.25" customHeight="1">
      <c r="A46" s="37"/>
      <c r="B46" s="36" t="s">
        <v>42</v>
      </c>
      <c r="C46" s="145">
        <f>SUMIF('内訳ﾘｽﾄ(4～3月)'!$D$26:$D$1015,$B46,'内訳ﾘｽﾄ(4～3月)'!F$26:F$1015)</f>
        <v>0</v>
      </c>
      <c r="D46" s="145">
        <f>SUMIF('内訳ﾘｽﾄ(4～3月)'!$D$26:$D$1015,$B46,'内訳ﾘｽﾄ(4～3月)'!G$26:G$1015)</f>
        <v>0</v>
      </c>
      <c r="E46" s="145">
        <f>SUMIF('内訳ﾘｽﾄ(4～3月)'!$D$26:$D$1015,$B46,'内訳ﾘｽﾄ(4～3月)'!H$26:H$1015)</f>
        <v>0</v>
      </c>
      <c r="F46" s="145">
        <f>SUMIF('内訳ﾘｽﾄ(4～3月)'!$D$26:$D$1015,$B46,'内訳ﾘｽﾄ(4～3月)'!I$26:I$1015)</f>
        <v>0</v>
      </c>
      <c r="G46" s="145">
        <f>SUMIF('内訳ﾘｽﾄ(4～3月)'!$D$26:$D$1015,$B46,'内訳ﾘｽﾄ(4～3月)'!J$26:J$1015)</f>
        <v>0</v>
      </c>
      <c r="H46" s="145">
        <f>SUMIF('内訳ﾘｽﾄ(4～3月)'!$D$26:$D$1015,$B46,'内訳ﾘｽﾄ(4～3月)'!K$26:K$1015)</f>
        <v>0</v>
      </c>
      <c r="I46" s="145">
        <f>SUMIF('内訳ﾘｽﾄ(4～3月)'!$D$26:$D$1015,$B46,'内訳ﾘｽﾄ(4～3月)'!L$26:L$1015)</f>
        <v>0</v>
      </c>
      <c r="J46" s="145">
        <f>SUMIF('内訳ﾘｽﾄ(4～3月)'!$D$26:$D$1015,$B46,'内訳ﾘｽﾄ(4～3月)'!M$26:M$1015)</f>
        <v>0</v>
      </c>
      <c r="K46" s="145">
        <f>SUMIF('内訳ﾘｽﾄ(4～3月)'!$D$26:$D$1015,$B46,'内訳ﾘｽﾄ(4～3月)'!N$26:N$1015)</f>
        <v>0</v>
      </c>
      <c r="L46" s="145">
        <f>SUMIF('内訳ﾘｽﾄ(4～3月)'!$D$26:$D$1015,$B46,'内訳ﾘｽﾄ(4～3月)'!O$26:O$1015)</f>
        <v>0</v>
      </c>
      <c r="M46" s="145">
        <f>SUMIF('内訳ﾘｽﾄ(4～3月)'!$D$26:$D$1015,$B46,'内訳ﾘｽﾄ(4～3月)'!P$26:P$1015)</f>
        <v>0</v>
      </c>
      <c r="N46" s="145">
        <f>SUMIF('内訳ﾘｽﾄ(4～3月)'!$D$26:$D$1015,$B46,'内訳ﾘｽﾄ(4～3月)'!Q$26:Q$1015)</f>
        <v>0</v>
      </c>
      <c r="O46" s="145">
        <f>SUMIF('内訳ﾘｽﾄ(4～3月)'!$D$26:$D$814,'採算表(VND)'!$B46,'内訳ﾘｽﾄ(4～3月)'!R$26:R$814)</f>
        <v>0</v>
      </c>
      <c r="AQ46" s="71"/>
      <c r="AR46" s="71"/>
      <c r="AS46" s="71"/>
      <c r="AT46" s="71"/>
      <c r="AU46" s="69"/>
      <c r="AV46" s="70"/>
      <c r="AW46" s="70"/>
      <c r="AX46" s="70"/>
      <c r="AY46" s="70"/>
      <c r="BA46" s="72"/>
      <c r="BB46" s="72"/>
      <c r="BC46" s="72"/>
      <c r="BD46" s="72"/>
      <c r="BF46" s="69"/>
      <c r="BG46" s="69"/>
      <c r="BH46" s="69"/>
      <c r="BI46" s="69"/>
    </row>
    <row r="47" spans="1:61" ht="11.25" customHeight="1">
      <c r="A47" s="37"/>
      <c r="B47" s="36" t="s">
        <v>43</v>
      </c>
      <c r="C47" s="145">
        <f>SUMIF('内訳ﾘｽﾄ(4～3月)'!$D$26:$D$1015,$B47,'内訳ﾘｽﾄ(4～3月)'!F$26:F$1015)</f>
        <v>0</v>
      </c>
      <c r="D47" s="145">
        <f>SUMIF('内訳ﾘｽﾄ(4～3月)'!$D$26:$D$1015,$B47,'内訳ﾘｽﾄ(4～3月)'!G$26:G$1015)</f>
        <v>0</v>
      </c>
      <c r="E47" s="145">
        <f>SUMIF('内訳ﾘｽﾄ(4～3月)'!$D$26:$D$1015,$B47,'内訳ﾘｽﾄ(4～3月)'!H$26:H$1015)</f>
        <v>0</v>
      </c>
      <c r="F47" s="145">
        <f>SUMIF('内訳ﾘｽﾄ(4～3月)'!$D$26:$D$1015,$B47,'内訳ﾘｽﾄ(4～3月)'!I$26:I$1015)</f>
        <v>0</v>
      </c>
      <c r="G47" s="145">
        <f>SUMIF('内訳ﾘｽﾄ(4～3月)'!$D$26:$D$1015,$B47,'内訳ﾘｽﾄ(4～3月)'!J$26:J$1015)</f>
        <v>0</v>
      </c>
      <c r="H47" s="145">
        <f>SUMIF('内訳ﾘｽﾄ(4～3月)'!$D$26:$D$1015,$B47,'内訳ﾘｽﾄ(4～3月)'!K$26:K$1015)</f>
        <v>0</v>
      </c>
      <c r="I47" s="145">
        <f>SUMIF('内訳ﾘｽﾄ(4～3月)'!$D$26:$D$1015,$B47,'内訳ﾘｽﾄ(4～3月)'!L$26:L$1015)</f>
        <v>0</v>
      </c>
      <c r="J47" s="145">
        <f>SUMIF('内訳ﾘｽﾄ(4～3月)'!$D$26:$D$1015,$B47,'内訳ﾘｽﾄ(4～3月)'!M$26:M$1015)</f>
        <v>0</v>
      </c>
      <c r="K47" s="145">
        <f>SUMIF('内訳ﾘｽﾄ(4～3月)'!$D$26:$D$1015,$B47,'内訳ﾘｽﾄ(4～3月)'!N$26:N$1015)</f>
        <v>0</v>
      </c>
      <c r="L47" s="145">
        <f>SUMIF('内訳ﾘｽﾄ(4～3月)'!$D$26:$D$1015,$B47,'内訳ﾘｽﾄ(4～3月)'!O$26:O$1015)</f>
        <v>0</v>
      </c>
      <c r="M47" s="145">
        <f>SUMIF('内訳ﾘｽﾄ(4～3月)'!$D$26:$D$1015,$B47,'内訳ﾘｽﾄ(4～3月)'!P$26:P$1015)</f>
        <v>0</v>
      </c>
      <c r="N47" s="145">
        <f>SUMIF('内訳ﾘｽﾄ(4～3月)'!$D$26:$D$1015,$B47,'内訳ﾘｽﾄ(4～3月)'!Q$26:Q$1015)</f>
        <v>0</v>
      </c>
      <c r="O47" s="145">
        <f>SUMIF('内訳ﾘｽﾄ(4～3月)'!$D$26:$D$814,'採算表(VND)'!$B47,'内訳ﾘｽﾄ(4～3月)'!R$26:R$814)</f>
        <v>0</v>
      </c>
      <c r="AQ47" s="71"/>
      <c r="AR47" s="71"/>
      <c r="AS47" s="71"/>
      <c r="AT47" s="71"/>
      <c r="AU47" s="69"/>
      <c r="AV47" s="70"/>
      <c r="AW47" s="70"/>
      <c r="AX47" s="70"/>
      <c r="AY47" s="70"/>
      <c r="BA47" s="72"/>
      <c r="BB47" s="72"/>
      <c r="BC47" s="72"/>
      <c r="BD47" s="72"/>
      <c r="BF47" s="69"/>
      <c r="BG47" s="69"/>
      <c r="BH47" s="69"/>
      <c r="BI47" s="69"/>
    </row>
    <row r="48" spans="1:61" ht="11.25" customHeight="1">
      <c r="A48" s="37"/>
      <c r="B48" s="36" t="s">
        <v>44</v>
      </c>
      <c r="C48" s="145">
        <f>SUMIF('内訳ﾘｽﾄ(4～3月)'!$D$26:$D$1015,$B48,'内訳ﾘｽﾄ(4～3月)'!F$26:F$1015)</f>
        <v>0</v>
      </c>
      <c r="D48" s="145">
        <f>SUMIF('内訳ﾘｽﾄ(4～3月)'!$D$26:$D$1015,$B48,'内訳ﾘｽﾄ(4～3月)'!G$26:G$1015)</f>
        <v>0</v>
      </c>
      <c r="E48" s="145">
        <f>SUMIF('内訳ﾘｽﾄ(4～3月)'!$D$26:$D$1015,$B48,'内訳ﾘｽﾄ(4～3月)'!H$26:H$1015)</f>
        <v>0</v>
      </c>
      <c r="F48" s="145">
        <f>SUMIF('内訳ﾘｽﾄ(4～3月)'!$D$26:$D$1015,$B48,'内訳ﾘｽﾄ(4～3月)'!I$26:I$1015)</f>
        <v>0</v>
      </c>
      <c r="G48" s="145">
        <f>SUMIF('内訳ﾘｽﾄ(4～3月)'!$D$26:$D$1015,$B48,'内訳ﾘｽﾄ(4～3月)'!J$26:J$1015)</f>
        <v>0</v>
      </c>
      <c r="H48" s="145">
        <f>SUMIF('内訳ﾘｽﾄ(4～3月)'!$D$26:$D$1015,$B48,'内訳ﾘｽﾄ(4～3月)'!K$26:K$1015)</f>
        <v>0</v>
      </c>
      <c r="I48" s="145">
        <f>SUMIF('内訳ﾘｽﾄ(4～3月)'!$D$26:$D$1015,$B48,'内訳ﾘｽﾄ(4～3月)'!L$26:L$1015)</f>
        <v>0</v>
      </c>
      <c r="J48" s="145">
        <f>SUMIF('内訳ﾘｽﾄ(4～3月)'!$D$26:$D$1015,$B48,'内訳ﾘｽﾄ(4～3月)'!M$26:M$1015)</f>
        <v>0</v>
      </c>
      <c r="K48" s="145">
        <f>SUMIF('内訳ﾘｽﾄ(4～3月)'!$D$26:$D$1015,$B48,'内訳ﾘｽﾄ(4～3月)'!N$26:N$1015)</f>
        <v>0</v>
      </c>
      <c r="L48" s="145">
        <f>SUMIF('内訳ﾘｽﾄ(4～3月)'!$D$26:$D$1015,$B48,'内訳ﾘｽﾄ(4～3月)'!O$26:O$1015)</f>
        <v>0</v>
      </c>
      <c r="M48" s="145">
        <f>SUMIF('内訳ﾘｽﾄ(4～3月)'!$D$26:$D$1015,$B48,'内訳ﾘｽﾄ(4～3月)'!P$26:P$1015)</f>
        <v>0</v>
      </c>
      <c r="N48" s="145">
        <f>SUMIF('内訳ﾘｽﾄ(4～3月)'!$D$26:$D$1015,$B48,'内訳ﾘｽﾄ(4～3月)'!Q$26:Q$1015)</f>
        <v>0</v>
      </c>
      <c r="O48" s="145">
        <f>SUMIF('内訳ﾘｽﾄ(4～3月)'!$D$26:$D$814,'採算表(VND)'!$B48,'内訳ﾘｽﾄ(4～3月)'!R$26:R$814)</f>
        <v>0</v>
      </c>
      <c r="AQ48" s="71"/>
      <c r="AR48" s="71"/>
      <c r="AS48" s="71"/>
      <c r="AT48" s="71"/>
      <c r="AU48" s="69"/>
      <c r="AV48" s="70"/>
      <c r="AW48" s="70"/>
      <c r="AX48" s="70"/>
      <c r="AY48" s="70"/>
      <c r="BA48" s="72"/>
      <c r="BB48" s="72"/>
      <c r="BC48" s="72"/>
      <c r="BD48" s="72"/>
      <c r="BF48" s="69"/>
      <c r="BG48" s="69"/>
      <c r="BH48" s="69"/>
      <c r="BI48" s="69"/>
    </row>
    <row r="49" spans="1:61" ht="11.25" customHeight="1">
      <c r="A49" s="37"/>
      <c r="B49" s="36" t="s">
        <v>45</v>
      </c>
      <c r="C49" s="145">
        <f>SUMIF('内訳ﾘｽﾄ(4～3月)'!$D$26:$D$1015,$B49,'内訳ﾘｽﾄ(4～3月)'!F$26:F$1015)</f>
        <v>0</v>
      </c>
      <c r="D49" s="145">
        <f>SUMIF('内訳ﾘｽﾄ(4～3月)'!$D$26:$D$1015,$B49,'内訳ﾘｽﾄ(4～3月)'!G$26:G$1015)</f>
        <v>0</v>
      </c>
      <c r="E49" s="145">
        <f>SUMIF('内訳ﾘｽﾄ(4～3月)'!$D$26:$D$1015,$B49,'内訳ﾘｽﾄ(4～3月)'!H$26:H$1015)</f>
        <v>0</v>
      </c>
      <c r="F49" s="145">
        <f>SUMIF('内訳ﾘｽﾄ(4～3月)'!$D$26:$D$1015,$B49,'内訳ﾘｽﾄ(4～3月)'!I$26:I$1015)</f>
        <v>0</v>
      </c>
      <c r="G49" s="145">
        <f>SUMIF('内訳ﾘｽﾄ(4～3月)'!$D$26:$D$1015,$B49,'内訳ﾘｽﾄ(4～3月)'!J$26:J$1015)</f>
        <v>0</v>
      </c>
      <c r="H49" s="145">
        <f>SUMIF('内訳ﾘｽﾄ(4～3月)'!$D$26:$D$1015,$B49,'内訳ﾘｽﾄ(4～3月)'!K$26:K$1015)</f>
        <v>0</v>
      </c>
      <c r="I49" s="145">
        <f>SUMIF('内訳ﾘｽﾄ(4～3月)'!$D$26:$D$1015,$B49,'内訳ﾘｽﾄ(4～3月)'!L$26:L$1015)</f>
        <v>0</v>
      </c>
      <c r="J49" s="145">
        <f>SUMIF('内訳ﾘｽﾄ(4～3月)'!$D$26:$D$1015,$B49,'内訳ﾘｽﾄ(4～3月)'!M$26:M$1015)</f>
        <v>0</v>
      </c>
      <c r="K49" s="145">
        <f>SUMIF('内訳ﾘｽﾄ(4～3月)'!$D$26:$D$1015,$B49,'内訳ﾘｽﾄ(4～3月)'!N$26:N$1015)</f>
        <v>0</v>
      </c>
      <c r="L49" s="145">
        <f>SUMIF('内訳ﾘｽﾄ(4～3月)'!$D$26:$D$1015,$B49,'内訳ﾘｽﾄ(4～3月)'!O$26:O$1015)</f>
        <v>0</v>
      </c>
      <c r="M49" s="145">
        <f>SUMIF('内訳ﾘｽﾄ(4～3月)'!$D$26:$D$1015,$B49,'内訳ﾘｽﾄ(4～3月)'!P$26:P$1015)</f>
        <v>0</v>
      </c>
      <c r="N49" s="145">
        <f>SUMIF('内訳ﾘｽﾄ(4～3月)'!$D$26:$D$1015,$B49,'内訳ﾘｽﾄ(4～3月)'!Q$26:Q$1015)</f>
        <v>0</v>
      </c>
      <c r="O49" s="145">
        <f>SUMIF('内訳ﾘｽﾄ(4～3月)'!$D$26:$D$814,'採算表(VND)'!$B49,'内訳ﾘｽﾄ(4～3月)'!R$26:R$814)</f>
        <v>0</v>
      </c>
      <c r="AQ49" s="71"/>
      <c r="AR49" s="71"/>
      <c r="AS49" s="71"/>
      <c r="AT49" s="71"/>
      <c r="AU49" s="69"/>
      <c r="AV49" s="70"/>
      <c r="AW49" s="70"/>
      <c r="AX49" s="70"/>
      <c r="AY49" s="70"/>
      <c r="BA49" s="72"/>
      <c r="BB49" s="72"/>
      <c r="BC49" s="72"/>
      <c r="BD49" s="72"/>
      <c r="BF49" s="69"/>
      <c r="BG49" s="69"/>
      <c r="BH49" s="69"/>
      <c r="BI49" s="69"/>
    </row>
    <row r="50" spans="1:61" ht="11.25" customHeight="1">
      <c r="A50" s="37"/>
      <c r="B50" s="36" t="s">
        <v>46</v>
      </c>
      <c r="C50" s="145">
        <f>SUMIF('内訳ﾘｽﾄ(4～3月)'!$D$26:$D$1015,$B50,'内訳ﾘｽﾄ(4～3月)'!F$26:F$1015)</f>
        <v>0</v>
      </c>
      <c r="D50" s="145">
        <f>SUMIF('内訳ﾘｽﾄ(4～3月)'!$D$26:$D$1015,$B50,'内訳ﾘｽﾄ(4～3月)'!G$26:G$1015)</f>
        <v>0</v>
      </c>
      <c r="E50" s="145">
        <f>SUMIF('内訳ﾘｽﾄ(4～3月)'!$D$26:$D$1015,$B50,'内訳ﾘｽﾄ(4～3月)'!H$26:H$1015)</f>
        <v>0</v>
      </c>
      <c r="F50" s="145">
        <f>SUMIF('内訳ﾘｽﾄ(4～3月)'!$D$26:$D$1015,$B50,'内訳ﾘｽﾄ(4～3月)'!I$26:I$1015)</f>
        <v>0</v>
      </c>
      <c r="G50" s="145">
        <f>SUMIF('内訳ﾘｽﾄ(4～3月)'!$D$26:$D$1015,$B50,'内訳ﾘｽﾄ(4～3月)'!J$26:J$1015)</f>
        <v>0</v>
      </c>
      <c r="H50" s="145">
        <f>SUMIF('内訳ﾘｽﾄ(4～3月)'!$D$26:$D$1015,$B50,'内訳ﾘｽﾄ(4～3月)'!K$26:K$1015)</f>
        <v>0</v>
      </c>
      <c r="I50" s="145">
        <f>SUMIF('内訳ﾘｽﾄ(4～3月)'!$D$26:$D$1015,$B50,'内訳ﾘｽﾄ(4～3月)'!L$26:L$1015)</f>
        <v>0</v>
      </c>
      <c r="J50" s="145">
        <f>SUMIF('内訳ﾘｽﾄ(4～3月)'!$D$26:$D$1015,$B50,'内訳ﾘｽﾄ(4～3月)'!M$26:M$1015)</f>
        <v>0</v>
      </c>
      <c r="K50" s="145">
        <f>SUMIF('内訳ﾘｽﾄ(4～3月)'!$D$26:$D$1015,$B50,'内訳ﾘｽﾄ(4～3月)'!N$26:N$1015)</f>
        <v>0</v>
      </c>
      <c r="L50" s="145">
        <f>SUMIF('内訳ﾘｽﾄ(4～3月)'!$D$26:$D$1015,$B50,'内訳ﾘｽﾄ(4～3月)'!O$26:O$1015)</f>
        <v>0</v>
      </c>
      <c r="M50" s="145">
        <f>SUMIF('内訳ﾘｽﾄ(4～3月)'!$D$26:$D$1015,$B50,'内訳ﾘｽﾄ(4～3月)'!P$26:P$1015)</f>
        <v>0</v>
      </c>
      <c r="N50" s="145">
        <f>SUMIF('内訳ﾘｽﾄ(4～3月)'!$D$26:$D$1015,$B50,'内訳ﾘｽﾄ(4～3月)'!Q$26:Q$1015)</f>
        <v>0</v>
      </c>
      <c r="O50" s="145">
        <f>SUMIF('内訳ﾘｽﾄ(4～3月)'!$D$26:$D$814,'採算表(VND)'!$B50,'内訳ﾘｽﾄ(4～3月)'!R$26:R$814)</f>
        <v>0</v>
      </c>
      <c r="AQ50" s="71"/>
      <c r="AR50" s="71"/>
      <c r="AS50" s="71"/>
      <c r="AT50" s="71"/>
      <c r="AU50" s="69"/>
      <c r="AV50" s="70"/>
      <c r="AW50" s="70"/>
      <c r="AX50" s="70"/>
      <c r="AY50" s="70"/>
      <c r="BA50" s="72"/>
      <c r="BB50" s="72"/>
      <c r="BC50" s="72"/>
      <c r="BD50" s="72"/>
      <c r="BF50" s="69"/>
      <c r="BG50" s="69"/>
      <c r="BH50" s="69"/>
      <c r="BI50" s="69"/>
    </row>
    <row r="51" spans="1:61" ht="11.25" customHeight="1">
      <c r="A51" s="37"/>
      <c r="B51" s="38" t="s">
        <v>47</v>
      </c>
      <c r="C51" s="146">
        <f>SUMIF('内訳ﾘｽﾄ(4～3月)'!$D$26:$D$1015,$B51,'内訳ﾘｽﾄ(4～3月)'!F$26:F$1015)</f>
        <v>0</v>
      </c>
      <c r="D51" s="146">
        <f>SUMIF('内訳ﾘｽﾄ(4～3月)'!$D$26:$D$1015,$B51,'内訳ﾘｽﾄ(4～3月)'!G$26:G$1015)</f>
        <v>0</v>
      </c>
      <c r="E51" s="146">
        <f>SUMIF('内訳ﾘｽﾄ(4～3月)'!$D$26:$D$1015,$B51,'内訳ﾘｽﾄ(4～3月)'!H$26:H$1015)</f>
        <v>0</v>
      </c>
      <c r="F51" s="146">
        <f>SUMIF('内訳ﾘｽﾄ(4～3月)'!$D$26:$D$1015,$B51,'内訳ﾘｽﾄ(4～3月)'!I$26:I$1015)</f>
        <v>0</v>
      </c>
      <c r="G51" s="146">
        <f>SUMIF('内訳ﾘｽﾄ(4～3月)'!$D$26:$D$1015,$B51,'内訳ﾘｽﾄ(4～3月)'!J$26:J$1015)</f>
        <v>0</v>
      </c>
      <c r="H51" s="146">
        <f>SUMIF('内訳ﾘｽﾄ(4～3月)'!$D$26:$D$1015,$B51,'内訳ﾘｽﾄ(4～3月)'!K$26:K$1015)</f>
        <v>0</v>
      </c>
      <c r="I51" s="146">
        <f>SUMIF('内訳ﾘｽﾄ(4～3月)'!$D$26:$D$1015,$B51,'内訳ﾘｽﾄ(4～3月)'!L$26:L$1015)</f>
        <v>0</v>
      </c>
      <c r="J51" s="146">
        <f>SUMIF('内訳ﾘｽﾄ(4～3月)'!$D$26:$D$1015,$B51,'内訳ﾘｽﾄ(4～3月)'!M$26:M$1015)</f>
        <v>0</v>
      </c>
      <c r="K51" s="146">
        <f>SUMIF('内訳ﾘｽﾄ(4～3月)'!$D$26:$D$1015,$B51,'内訳ﾘｽﾄ(4～3月)'!N$26:N$1015)</f>
        <v>0</v>
      </c>
      <c r="L51" s="146">
        <f>SUMIF('内訳ﾘｽﾄ(4～3月)'!$D$26:$D$1015,$B51,'内訳ﾘｽﾄ(4～3月)'!O$26:O$1015)</f>
        <v>0</v>
      </c>
      <c r="M51" s="146">
        <f>SUMIF('内訳ﾘｽﾄ(4～3月)'!$D$26:$D$1015,$B51,'内訳ﾘｽﾄ(4～3月)'!P$26:P$1015)</f>
        <v>0</v>
      </c>
      <c r="N51" s="146">
        <f>SUMIF('内訳ﾘｽﾄ(4～3月)'!$D$26:$D$1015,$B51,'内訳ﾘｽﾄ(4～3月)'!Q$26:Q$1015)</f>
        <v>0</v>
      </c>
      <c r="O51" s="146">
        <f>SUMIF('内訳ﾘｽﾄ(4～3月)'!$D$26:$D$814,'採算表(VND)'!$B51,'内訳ﾘｽﾄ(4～3月)'!R$26:R$814)</f>
        <v>0</v>
      </c>
      <c r="AQ51" s="71"/>
      <c r="AR51" s="71"/>
      <c r="AS51" s="71"/>
      <c r="AT51" s="71"/>
      <c r="AU51" s="69"/>
      <c r="AV51" s="70"/>
      <c r="AW51" s="70"/>
      <c r="AX51" s="70"/>
      <c r="AY51" s="70"/>
      <c r="BA51" s="72"/>
      <c r="BB51" s="72"/>
      <c r="BC51" s="72"/>
      <c r="BD51" s="72"/>
      <c r="BF51" s="69"/>
      <c r="BG51" s="69"/>
      <c r="BH51" s="69"/>
      <c r="BI51" s="69"/>
    </row>
    <row r="52" spans="1:61" ht="11.25" customHeight="1">
      <c r="A52" s="37"/>
      <c r="B52" s="36" t="s">
        <v>48</v>
      </c>
      <c r="C52" s="147">
        <f>SUMIF('内訳ﾘｽﾄ(4～3月)'!$D$26:$D$1015,$B52,'内訳ﾘｽﾄ(4～3月)'!F$26:F$1015)</f>
        <v>0</v>
      </c>
      <c r="D52" s="147">
        <f>SUMIF('内訳ﾘｽﾄ(4～3月)'!$D$26:$D$1015,$B52,'内訳ﾘｽﾄ(4～3月)'!G$26:G$1015)</f>
        <v>0</v>
      </c>
      <c r="E52" s="147">
        <f>SUMIF('内訳ﾘｽﾄ(4～3月)'!$D$26:$D$1015,$B52,'内訳ﾘｽﾄ(4～3月)'!H$26:H$1015)</f>
        <v>0</v>
      </c>
      <c r="F52" s="147">
        <f>SUMIF('内訳ﾘｽﾄ(4～3月)'!$D$26:$D$1015,$B52,'内訳ﾘｽﾄ(4～3月)'!I$26:I$1015)</f>
        <v>0</v>
      </c>
      <c r="G52" s="147">
        <f>SUMIF('内訳ﾘｽﾄ(4～3月)'!$D$26:$D$1015,$B52,'内訳ﾘｽﾄ(4～3月)'!J$26:J$1015)</f>
        <v>0</v>
      </c>
      <c r="H52" s="147">
        <f>SUMIF('内訳ﾘｽﾄ(4～3月)'!$D$26:$D$1015,$B52,'内訳ﾘｽﾄ(4～3月)'!K$26:K$1015)</f>
        <v>0</v>
      </c>
      <c r="I52" s="147">
        <f>SUMIF('内訳ﾘｽﾄ(4～3月)'!$D$26:$D$1015,$B52,'内訳ﾘｽﾄ(4～3月)'!L$26:L$1015)</f>
        <v>0</v>
      </c>
      <c r="J52" s="147">
        <f>SUMIF('内訳ﾘｽﾄ(4～3月)'!$D$26:$D$1015,$B52,'内訳ﾘｽﾄ(4～3月)'!M$26:M$1015)</f>
        <v>0</v>
      </c>
      <c r="K52" s="147">
        <f>SUMIF('内訳ﾘｽﾄ(4～3月)'!$D$26:$D$1015,$B52,'内訳ﾘｽﾄ(4～3月)'!N$26:N$1015)</f>
        <v>0</v>
      </c>
      <c r="L52" s="147">
        <f>SUMIF('内訳ﾘｽﾄ(4～3月)'!$D$26:$D$1015,$B52,'内訳ﾘｽﾄ(4～3月)'!O$26:O$1015)</f>
        <v>0</v>
      </c>
      <c r="M52" s="147">
        <f>SUMIF('内訳ﾘｽﾄ(4～3月)'!$D$26:$D$1015,$B52,'内訳ﾘｽﾄ(4～3月)'!P$26:P$1015)</f>
        <v>0</v>
      </c>
      <c r="N52" s="147">
        <f>SUMIF('内訳ﾘｽﾄ(4～3月)'!$D$26:$D$1015,$B52,'内訳ﾘｽﾄ(4～3月)'!Q$26:Q$1015)</f>
        <v>0</v>
      </c>
      <c r="O52" s="147">
        <f>SUMIF('内訳ﾘｽﾄ(4～3月)'!$D$26:$D$814,'採算表(VND)'!$B52,'内訳ﾘｽﾄ(4～3月)'!R$26:R$814)</f>
        <v>0</v>
      </c>
      <c r="AQ52" s="71"/>
      <c r="AR52" s="71"/>
      <c r="AS52" s="71"/>
      <c r="AT52" s="71"/>
      <c r="AU52" s="69"/>
      <c r="AV52" s="70"/>
      <c r="AW52" s="70"/>
      <c r="AX52" s="70"/>
      <c r="AY52" s="70"/>
      <c r="BA52" s="72"/>
      <c r="BB52" s="72"/>
      <c r="BC52" s="72"/>
      <c r="BD52" s="72"/>
      <c r="BF52" s="69"/>
      <c r="BG52" s="69"/>
      <c r="BH52" s="69"/>
      <c r="BI52" s="69"/>
    </row>
    <row r="53" spans="1:61" ht="11.25" customHeight="1">
      <c r="A53" s="37"/>
      <c r="B53" s="36" t="s">
        <v>49</v>
      </c>
      <c r="C53" s="147">
        <f>SUMIF('内訳ﾘｽﾄ(4～3月)'!$D$26:$D$1015,$B53,'内訳ﾘｽﾄ(4～3月)'!F$26:F$1015)</f>
        <v>0</v>
      </c>
      <c r="D53" s="147">
        <f>SUMIF('内訳ﾘｽﾄ(4～3月)'!$D$26:$D$1015,$B53,'内訳ﾘｽﾄ(4～3月)'!G$26:G$1015)</f>
        <v>0</v>
      </c>
      <c r="E53" s="147">
        <f>SUMIF('内訳ﾘｽﾄ(4～3月)'!$D$26:$D$1015,$B53,'内訳ﾘｽﾄ(4～3月)'!H$26:H$1015)</f>
        <v>0</v>
      </c>
      <c r="F53" s="147">
        <f>SUMIF('内訳ﾘｽﾄ(4～3月)'!$D$26:$D$1015,$B53,'内訳ﾘｽﾄ(4～3月)'!I$26:I$1015)</f>
        <v>0</v>
      </c>
      <c r="G53" s="147">
        <f>SUMIF('内訳ﾘｽﾄ(4～3月)'!$D$26:$D$1015,$B53,'内訳ﾘｽﾄ(4～3月)'!J$26:J$1015)</f>
        <v>0</v>
      </c>
      <c r="H53" s="147">
        <f>SUMIF('内訳ﾘｽﾄ(4～3月)'!$D$26:$D$1015,$B53,'内訳ﾘｽﾄ(4～3月)'!K$26:K$1015)</f>
        <v>0</v>
      </c>
      <c r="I53" s="147">
        <f>SUMIF('内訳ﾘｽﾄ(4～3月)'!$D$26:$D$1015,$B53,'内訳ﾘｽﾄ(4～3月)'!L$26:L$1015)</f>
        <v>0</v>
      </c>
      <c r="J53" s="147">
        <f>SUMIF('内訳ﾘｽﾄ(4～3月)'!$D$26:$D$1015,$B53,'内訳ﾘｽﾄ(4～3月)'!M$26:M$1015)</f>
        <v>0</v>
      </c>
      <c r="K53" s="147">
        <f>SUMIF('内訳ﾘｽﾄ(4～3月)'!$D$26:$D$1015,$B53,'内訳ﾘｽﾄ(4～3月)'!N$26:N$1015)</f>
        <v>0</v>
      </c>
      <c r="L53" s="147">
        <f>SUMIF('内訳ﾘｽﾄ(4～3月)'!$D$26:$D$1015,$B53,'内訳ﾘｽﾄ(4～3月)'!O$26:O$1015)</f>
        <v>0</v>
      </c>
      <c r="M53" s="147">
        <f>SUMIF('内訳ﾘｽﾄ(4～3月)'!$D$26:$D$1015,$B53,'内訳ﾘｽﾄ(4～3月)'!P$26:P$1015)</f>
        <v>0</v>
      </c>
      <c r="N53" s="147">
        <f>SUMIF('内訳ﾘｽﾄ(4～3月)'!$D$26:$D$1015,$B53,'内訳ﾘｽﾄ(4～3月)'!Q$26:Q$1015)</f>
        <v>0</v>
      </c>
      <c r="O53" s="147">
        <f>SUMIF('内訳ﾘｽﾄ(4～3月)'!$D$26:$D$814,'採算表(VND)'!$B53,'内訳ﾘｽﾄ(4～3月)'!R$26:R$814)</f>
        <v>0</v>
      </c>
      <c r="AQ53" s="71"/>
      <c r="AR53" s="71"/>
      <c r="AS53" s="71"/>
      <c r="AT53" s="71"/>
      <c r="AU53" s="69"/>
      <c r="AV53" s="70"/>
      <c r="AW53" s="70"/>
      <c r="AX53" s="70"/>
      <c r="AY53" s="70"/>
      <c r="BA53" s="72"/>
      <c r="BB53" s="72"/>
      <c r="BC53" s="72"/>
      <c r="BD53" s="72"/>
      <c r="BF53" s="69"/>
      <c r="BG53" s="69"/>
      <c r="BH53" s="69"/>
      <c r="BI53" s="69"/>
    </row>
    <row r="54" spans="1:61" ht="11.25" customHeight="1">
      <c r="A54" s="37"/>
      <c r="B54" s="36" t="s">
        <v>50</v>
      </c>
      <c r="C54" s="147">
        <f>SUMIF('内訳ﾘｽﾄ(4～3月)'!$D$26:$D$1015,$B54,'内訳ﾘｽﾄ(4～3月)'!F$26:F$1015)</f>
        <v>0</v>
      </c>
      <c r="D54" s="147">
        <f>SUMIF('内訳ﾘｽﾄ(4～3月)'!$D$26:$D$1015,$B54,'内訳ﾘｽﾄ(4～3月)'!G$26:G$1015)</f>
        <v>0</v>
      </c>
      <c r="E54" s="147">
        <f>SUMIF('内訳ﾘｽﾄ(4～3月)'!$D$26:$D$1015,$B54,'内訳ﾘｽﾄ(4～3月)'!H$26:H$1015)</f>
        <v>0</v>
      </c>
      <c r="F54" s="147">
        <f>SUMIF('内訳ﾘｽﾄ(4～3月)'!$D$26:$D$1015,$B54,'内訳ﾘｽﾄ(4～3月)'!I$26:I$1015)</f>
        <v>0</v>
      </c>
      <c r="G54" s="147">
        <f>SUMIF('内訳ﾘｽﾄ(4～3月)'!$D$26:$D$1015,$B54,'内訳ﾘｽﾄ(4～3月)'!J$26:J$1015)</f>
        <v>0</v>
      </c>
      <c r="H54" s="147">
        <f>SUMIF('内訳ﾘｽﾄ(4～3月)'!$D$26:$D$1015,$B54,'内訳ﾘｽﾄ(4～3月)'!K$26:K$1015)</f>
        <v>0</v>
      </c>
      <c r="I54" s="147">
        <f>SUMIF('内訳ﾘｽﾄ(4～3月)'!$D$26:$D$1015,$B54,'内訳ﾘｽﾄ(4～3月)'!L$26:L$1015)</f>
        <v>0</v>
      </c>
      <c r="J54" s="147">
        <f>SUMIF('内訳ﾘｽﾄ(4～3月)'!$D$26:$D$1015,$B54,'内訳ﾘｽﾄ(4～3月)'!M$26:M$1015)</f>
        <v>0</v>
      </c>
      <c r="K54" s="147">
        <f>SUMIF('内訳ﾘｽﾄ(4～3月)'!$D$26:$D$1015,$B54,'内訳ﾘｽﾄ(4～3月)'!N$26:N$1015)</f>
        <v>0</v>
      </c>
      <c r="L54" s="147">
        <f>SUMIF('内訳ﾘｽﾄ(4～3月)'!$D$26:$D$1015,$B54,'内訳ﾘｽﾄ(4～3月)'!O$26:O$1015)</f>
        <v>0</v>
      </c>
      <c r="M54" s="147">
        <f>SUMIF('内訳ﾘｽﾄ(4～3月)'!$D$26:$D$1015,$B54,'内訳ﾘｽﾄ(4～3月)'!P$26:P$1015)</f>
        <v>0</v>
      </c>
      <c r="N54" s="147">
        <f>SUMIF('内訳ﾘｽﾄ(4～3月)'!$D$26:$D$1015,$B54,'内訳ﾘｽﾄ(4～3月)'!Q$26:Q$1015)</f>
        <v>0</v>
      </c>
      <c r="O54" s="147">
        <f>SUMIF('内訳ﾘｽﾄ(4～3月)'!$D$26:$D$814,'採算表(VND)'!$B54,'内訳ﾘｽﾄ(4～3月)'!R$26:R$814)</f>
        <v>0</v>
      </c>
      <c r="AQ54" s="71"/>
      <c r="AR54" s="71"/>
      <c r="AS54" s="71"/>
      <c r="AT54" s="71"/>
      <c r="AU54" s="69"/>
      <c r="AV54" s="70"/>
      <c r="AW54" s="70"/>
      <c r="AX54" s="70"/>
      <c r="AY54" s="70"/>
      <c r="BA54" s="72"/>
      <c r="BB54" s="72"/>
      <c r="BC54" s="72"/>
      <c r="BD54" s="72"/>
      <c r="BF54" s="69"/>
      <c r="BG54" s="69"/>
      <c r="BH54" s="69"/>
      <c r="BI54" s="69"/>
    </row>
    <row r="55" spans="1:61" ht="11.25" customHeight="1">
      <c r="A55" s="37"/>
      <c r="B55" s="36" t="s">
        <v>51</v>
      </c>
      <c r="C55" s="147">
        <f>SUMIF('内訳ﾘｽﾄ(4～3月)'!$D$26:$D$1015,$B55,'内訳ﾘｽﾄ(4～3月)'!F$26:F$1015)</f>
        <v>0</v>
      </c>
      <c r="D55" s="147">
        <f>SUMIF('内訳ﾘｽﾄ(4～3月)'!$D$26:$D$1015,$B55,'内訳ﾘｽﾄ(4～3月)'!G$26:G$1015)</f>
        <v>0</v>
      </c>
      <c r="E55" s="147">
        <f>SUMIF('内訳ﾘｽﾄ(4～3月)'!$D$26:$D$1015,$B55,'内訳ﾘｽﾄ(4～3月)'!H$26:H$1015)</f>
        <v>0</v>
      </c>
      <c r="F55" s="147">
        <f>SUMIF('内訳ﾘｽﾄ(4～3月)'!$D$26:$D$1015,$B55,'内訳ﾘｽﾄ(4～3月)'!I$26:I$1015)</f>
        <v>0</v>
      </c>
      <c r="G55" s="147">
        <f>SUMIF('内訳ﾘｽﾄ(4～3月)'!$D$26:$D$1015,$B55,'内訳ﾘｽﾄ(4～3月)'!J$26:J$1015)</f>
        <v>0</v>
      </c>
      <c r="H55" s="147">
        <f>SUMIF('内訳ﾘｽﾄ(4～3月)'!$D$26:$D$1015,$B55,'内訳ﾘｽﾄ(4～3月)'!K$26:K$1015)</f>
        <v>0</v>
      </c>
      <c r="I55" s="147">
        <f>SUMIF('内訳ﾘｽﾄ(4～3月)'!$D$26:$D$1015,$B55,'内訳ﾘｽﾄ(4～3月)'!L$26:L$1015)</f>
        <v>0</v>
      </c>
      <c r="J55" s="147">
        <f>SUMIF('内訳ﾘｽﾄ(4～3月)'!$D$26:$D$1015,$B55,'内訳ﾘｽﾄ(4～3月)'!M$26:M$1015)</f>
        <v>0</v>
      </c>
      <c r="K55" s="147">
        <f>SUMIF('内訳ﾘｽﾄ(4～3月)'!$D$26:$D$1015,$B55,'内訳ﾘｽﾄ(4～3月)'!N$26:N$1015)</f>
        <v>0</v>
      </c>
      <c r="L55" s="147">
        <f>SUMIF('内訳ﾘｽﾄ(4～3月)'!$D$26:$D$1015,$B55,'内訳ﾘｽﾄ(4～3月)'!O$26:O$1015)</f>
        <v>0</v>
      </c>
      <c r="M55" s="147">
        <f>SUMIF('内訳ﾘｽﾄ(4～3月)'!$D$26:$D$1015,$B55,'内訳ﾘｽﾄ(4～3月)'!P$26:P$1015)</f>
        <v>0</v>
      </c>
      <c r="N55" s="147">
        <f>SUMIF('内訳ﾘｽﾄ(4～3月)'!$D$26:$D$1015,$B55,'内訳ﾘｽﾄ(4～3月)'!Q$26:Q$1015)</f>
        <v>0</v>
      </c>
      <c r="O55" s="147">
        <f>SUMIF('内訳ﾘｽﾄ(4～3月)'!$D$26:$D$814,'採算表(VND)'!$B55,'内訳ﾘｽﾄ(4～3月)'!R$26:R$814)</f>
        <v>0</v>
      </c>
      <c r="AQ55" s="71"/>
      <c r="AR55" s="71"/>
      <c r="AS55" s="71"/>
      <c r="AT55" s="71"/>
      <c r="AU55" s="69"/>
      <c r="AV55" s="70"/>
      <c r="AW55" s="70"/>
      <c r="AX55" s="70"/>
      <c r="AY55" s="70"/>
      <c r="BA55" s="72"/>
      <c r="BB55" s="72"/>
      <c r="BC55" s="72"/>
      <c r="BD55" s="72"/>
      <c r="BF55" s="69"/>
      <c r="BG55" s="69"/>
      <c r="BH55" s="69"/>
      <c r="BI55" s="69"/>
    </row>
    <row r="56" spans="1:61" ht="11.25" customHeight="1">
      <c r="A56" s="37"/>
      <c r="B56" s="36" t="s">
        <v>52</v>
      </c>
      <c r="C56" s="147">
        <f>SUMIF('内訳ﾘｽﾄ(4～3月)'!$D$26:$D$1015,$B56,'内訳ﾘｽﾄ(4～3月)'!F$26:F$1015)</f>
        <v>0</v>
      </c>
      <c r="D56" s="147">
        <f>SUMIF('内訳ﾘｽﾄ(4～3月)'!$D$26:$D$1015,$B56,'内訳ﾘｽﾄ(4～3月)'!G$26:G$1015)</f>
        <v>0</v>
      </c>
      <c r="E56" s="147">
        <f>SUMIF('内訳ﾘｽﾄ(4～3月)'!$D$26:$D$1015,$B56,'内訳ﾘｽﾄ(4～3月)'!H$26:H$1015)</f>
        <v>0</v>
      </c>
      <c r="F56" s="147">
        <f>SUMIF('内訳ﾘｽﾄ(4～3月)'!$D$26:$D$1015,$B56,'内訳ﾘｽﾄ(4～3月)'!I$26:I$1015)</f>
        <v>0</v>
      </c>
      <c r="G56" s="147">
        <f>SUMIF('内訳ﾘｽﾄ(4～3月)'!$D$26:$D$1015,$B56,'内訳ﾘｽﾄ(4～3月)'!J$26:J$1015)</f>
        <v>0</v>
      </c>
      <c r="H56" s="147">
        <f>SUMIF('内訳ﾘｽﾄ(4～3月)'!$D$26:$D$1015,$B56,'内訳ﾘｽﾄ(4～3月)'!K$26:K$1015)</f>
        <v>0</v>
      </c>
      <c r="I56" s="147">
        <f>SUMIF('内訳ﾘｽﾄ(4～3月)'!$D$26:$D$1015,$B56,'内訳ﾘｽﾄ(4～3月)'!L$26:L$1015)</f>
        <v>0</v>
      </c>
      <c r="J56" s="147">
        <f>SUMIF('内訳ﾘｽﾄ(4～3月)'!$D$26:$D$1015,$B56,'内訳ﾘｽﾄ(4～3月)'!M$26:M$1015)</f>
        <v>0</v>
      </c>
      <c r="K56" s="147">
        <f>SUMIF('内訳ﾘｽﾄ(4～3月)'!$D$26:$D$1015,$B56,'内訳ﾘｽﾄ(4～3月)'!N$26:N$1015)</f>
        <v>0</v>
      </c>
      <c r="L56" s="147">
        <f>SUMIF('内訳ﾘｽﾄ(4～3月)'!$D$26:$D$1015,$B56,'内訳ﾘｽﾄ(4～3月)'!O$26:O$1015)</f>
        <v>0</v>
      </c>
      <c r="M56" s="147">
        <f>SUMIF('内訳ﾘｽﾄ(4～3月)'!$D$26:$D$1015,$B56,'内訳ﾘｽﾄ(4～3月)'!P$26:P$1015)</f>
        <v>0</v>
      </c>
      <c r="N56" s="147">
        <f>SUMIF('内訳ﾘｽﾄ(4～3月)'!$D$26:$D$1015,$B56,'内訳ﾘｽﾄ(4～3月)'!Q$26:Q$1015)</f>
        <v>0</v>
      </c>
      <c r="O56" s="147">
        <f>SUMIF('内訳ﾘｽﾄ(4～3月)'!$D$26:$D$814,'採算表(VND)'!$B56,'内訳ﾘｽﾄ(4～3月)'!R$26:R$814)</f>
        <v>0</v>
      </c>
      <c r="AQ56" s="71"/>
      <c r="AR56" s="71"/>
      <c r="AS56" s="71"/>
      <c r="AT56" s="71"/>
      <c r="AU56" s="69"/>
      <c r="AV56" s="70"/>
      <c r="AW56" s="70"/>
      <c r="AX56" s="70"/>
      <c r="AY56" s="70"/>
      <c r="BA56" s="72"/>
      <c r="BB56" s="72"/>
      <c r="BC56" s="72"/>
      <c r="BD56" s="72"/>
      <c r="BF56" s="69"/>
      <c r="BG56" s="69"/>
      <c r="BH56" s="69"/>
      <c r="BI56" s="69"/>
    </row>
    <row r="57" spans="1:61" ht="11.25" customHeight="1">
      <c r="A57" s="37"/>
      <c r="B57" s="36" t="s">
        <v>53</v>
      </c>
      <c r="C57" s="147">
        <f>SUMIF('内訳ﾘｽﾄ(4～3月)'!$D$26:$D$1015,$B57,'内訳ﾘｽﾄ(4～3月)'!F$26:F$1015)</f>
        <v>0</v>
      </c>
      <c r="D57" s="147">
        <f>SUMIF('内訳ﾘｽﾄ(4～3月)'!$D$26:$D$1015,$B57,'内訳ﾘｽﾄ(4～3月)'!G$26:G$1015)</f>
        <v>0</v>
      </c>
      <c r="E57" s="147">
        <f>SUMIF('内訳ﾘｽﾄ(4～3月)'!$D$26:$D$1015,$B57,'内訳ﾘｽﾄ(4～3月)'!H$26:H$1015)</f>
        <v>0</v>
      </c>
      <c r="F57" s="147">
        <f>SUMIF('内訳ﾘｽﾄ(4～3月)'!$D$26:$D$1015,$B57,'内訳ﾘｽﾄ(4～3月)'!I$26:I$1015)</f>
        <v>0</v>
      </c>
      <c r="G57" s="147">
        <f>SUMIF('内訳ﾘｽﾄ(4～3月)'!$D$26:$D$1015,$B57,'内訳ﾘｽﾄ(4～3月)'!J$26:J$1015)</f>
        <v>0</v>
      </c>
      <c r="H57" s="147">
        <f>SUMIF('内訳ﾘｽﾄ(4～3月)'!$D$26:$D$1015,$B57,'内訳ﾘｽﾄ(4～3月)'!K$26:K$1015)</f>
        <v>0</v>
      </c>
      <c r="I57" s="147">
        <f>SUMIF('内訳ﾘｽﾄ(4～3月)'!$D$26:$D$1015,$B57,'内訳ﾘｽﾄ(4～3月)'!L$26:L$1015)</f>
        <v>0</v>
      </c>
      <c r="J57" s="147">
        <f>SUMIF('内訳ﾘｽﾄ(4～3月)'!$D$26:$D$1015,$B57,'内訳ﾘｽﾄ(4～3月)'!M$26:M$1015)</f>
        <v>0</v>
      </c>
      <c r="K57" s="147">
        <f>SUMIF('内訳ﾘｽﾄ(4～3月)'!$D$26:$D$1015,$B57,'内訳ﾘｽﾄ(4～3月)'!N$26:N$1015)</f>
        <v>0</v>
      </c>
      <c r="L57" s="147">
        <f>SUMIF('内訳ﾘｽﾄ(4～3月)'!$D$26:$D$1015,$B57,'内訳ﾘｽﾄ(4～3月)'!O$26:O$1015)</f>
        <v>0</v>
      </c>
      <c r="M57" s="147">
        <f>SUMIF('内訳ﾘｽﾄ(4～3月)'!$D$26:$D$1015,$B57,'内訳ﾘｽﾄ(4～3月)'!P$26:P$1015)</f>
        <v>0</v>
      </c>
      <c r="N57" s="147">
        <f>SUMIF('内訳ﾘｽﾄ(4～3月)'!$D$26:$D$1015,$B57,'内訳ﾘｽﾄ(4～3月)'!Q$26:Q$1015)</f>
        <v>0</v>
      </c>
      <c r="O57" s="147">
        <f>SUMIF('内訳ﾘｽﾄ(4～3月)'!$D$26:$D$814,'採算表(VND)'!$B57,'内訳ﾘｽﾄ(4～3月)'!R$26:R$814)</f>
        <v>0</v>
      </c>
      <c r="AQ57" s="71"/>
      <c r="AR57" s="71"/>
      <c r="AS57" s="71"/>
      <c r="AT57" s="71"/>
      <c r="AU57" s="69"/>
      <c r="AV57" s="70"/>
      <c r="AW57" s="70"/>
      <c r="AX57" s="70"/>
      <c r="AY57" s="70"/>
      <c r="BA57" s="72"/>
      <c r="BB57" s="72"/>
      <c r="BC57" s="72"/>
      <c r="BD57" s="72"/>
      <c r="BF57" s="69"/>
      <c r="BG57" s="69"/>
      <c r="BH57" s="69"/>
      <c r="BI57" s="69"/>
    </row>
    <row r="58" spans="1:61" ht="11.25" customHeight="1">
      <c r="A58" s="37"/>
      <c r="B58" s="36" t="s">
        <v>54</v>
      </c>
      <c r="C58" s="147">
        <f>SUMIF('内訳ﾘｽﾄ(4～3月)'!$D$26:$D$1015,$B58,'内訳ﾘｽﾄ(4～3月)'!F$26:F$1015)</f>
        <v>0</v>
      </c>
      <c r="D58" s="147">
        <f>SUMIF('内訳ﾘｽﾄ(4～3月)'!$D$26:$D$1015,$B58,'内訳ﾘｽﾄ(4～3月)'!G$26:G$1015)</f>
        <v>0</v>
      </c>
      <c r="E58" s="147">
        <f>SUMIF('内訳ﾘｽﾄ(4～3月)'!$D$26:$D$1015,$B58,'内訳ﾘｽﾄ(4～3月)'!H$26:H$1015)</f>
        <v>0</v>
      </c>
      <c r="F58" s="147">
        <f>SUMIF('内訳ﾘｽﾄ(4～3月)'!$D$26:$D$1015,$B58,'内訳ﾘｽﾄ(4～3月)'!I$26:I$1015)</f>
        <v>0</v>
      </c>
      <c r="G58" s="147">
        <f>SUMIF('内訳ﾘｽﾄ(4～3月)'!$D$26:$D$1015,$B58,'内訳ﾘｽﾄ(4～3月)'!J$26:J$1015)</f>
        <v>0</v>
      </c>
      <c r="H58" s="147">
        <f>SUMIF('内訳ﾘｽﾄ(4～3月)'!$D$26:$D$1015,$B58,'内訳ﾘｽﾄ(4～3月)'!K$26:K$1015)</f>
        <v>0</v>
      </c>
      <c r="I58" s="147">
        <f>SUMIF('内訳ﾘｽﾄ(4～3月)'!$D$26:$D$1015,$B58,'内訳ﾘｽﾄ(4～3月)'!L$26:L$1015)</f>
        <v>0</v>
      </c>
      <c r="J58" s="147">
        <f>SUMIF('内訳ﾘｽﾄ(4～3月)'!$D$26:$D$1015,$B58,'内訳ﾘｽﾄ(4～3月)'!M$26:M$1015)</f>
        <v>0</v>
      </c>
      <c r="K58" s="147">
        <f>SUMIF('内訳ﾘｽﾄ(4～3月)'!$D$26:$D$1015,$B58,'内訳ﾘｽﾄ(4～3月)'!N$26:N$1015)</f>
        <v>0</v>
      </c>
      <c r="L58" s="147">
        <f>SUMIF('内訳ﾘｽﾄ(4～3月)'!$D$26:$D$1015,$B58,'内訳ﾘｽﾄ(4～3月)'!O$26:O$1015)</f>
        <v>0</v>
      </c>
      <c r="M58" s="147">
        <f>SUMIF('内訳ﾘｽﾄ(4～3月)'!$D$26:$D$1015,$B58,'内訳ﾘｽﾄ(4～3月)'!P$26:P$1015)</f>
        <v>0</v>
      </c>
      <c r="N58" s="147">
        <f>SUMIF('内訳ﾘｽﾄ(4～3月)'!$D$26:$D$1015,$B58,'内訳ﾘｽﾄ(4～3月)'!Q$26:Q$1015)</f>
        <v>0</v>
      </c>
      <c r="O58" s="147">
        <f>SUMIF('内訳ﾘｽﾄ(4～3月)'!$D$26:$D$814,'採算表(VND)'!$B58,'内訳ﾘｽﾄ(4～3月)'!R$26:R$814)</f>
        <v>0</v>
      </c>
      <c r="AQ58" s="71"/>
      <c r="AR58" s="71"/>
      <c r="AS58" s="71"/>
      <c r="AT58" s="71"/>
      <c r="AU58" s="69"/>
      <c r="AV58" s="70"/>
      <c r="AW58" s="70"/>
      <c r="AX58" s="70"/>
      <c r="AY58" s="70"/>
      <c r="BA58" s="72"/>
      <c r="BB58" s="72"/>
      <c r="BC58" s="72"/>
      <c r="BD58" s="72"/>
      <c r="BF58" s="69"/>
      <c r="BG58" s="69"/>
      <c r="BH58" s="69"/>
      <c r="BI58" s="69"/>
    </row>
    <row r="59" spans="1:61" ht="11.25" customHeight="1">
      <c r="A59" s="37"/>
      <c r="B59" s="36" t="s">
        <v>55</v>
      </c>
      <c r="C59" s="147">
        <f>SUMIF('内訳ﾘｽﾄ(4～3月)'!$D$26:$D$1015,$B59,'内訳ﾘｽﾄ(4～3月)'!F$26:F$1015)</f>
        <v>0</v>
      </c>
      <c r="D59" s="147">
        <f>SUMIF('内訳ﾘｽﾄ(4～3月)'!$D$26:$D$1015,$B59,'内訳ﾘｽﾄ(4～3月)'!G$26:G$1015)</f>
        <v>0</v>
      </c>
      <c r="E59" s="147">
        <f>SUMIF('内訳ﾘｽﾄ(4～3月)'!$D$26:$D$1015,$B59,'内訳ﾘｽﾄ(4～3月)'!H$26:H$1015)</f>
        <v>0</v>
      </c>
      <c r="F59" s="147">
        <f>SUMIF('内訳ﾘｽﾄ(4～3月)'!$D$26:$D$1015,$B59,'内訳ﾘｽﾄ(4～3月)'!I$26:I$1015)</f>
        <v>0</v>
      </c>
      <c r="G59" s="147">
        <f>SUMIF('内訳ﾘｽﾄ(4～3月)'!$D$26:$D$1015,$B59,'内訳ﾘｽﾄ(4～3月)'!J$26:J$1015)</f>
        <v>0</v>
      </c>
      <c r="H59" s="147">
        <f>SUMIF('内訳ﾘｽﾄ(4～3月)'!$D$26:$D$1015,$B59,'内訳ﾘｽﾄ(4～3月)'!K$26:K$1015)</f>
        <v>0</v>
      </c>
      <c r="I59" s="147">
        <f>SUMIF('内訳ﾘｽﾄ(4～3月)'!$D$26:$D$1015,$B59,'内訳ﾘｽﾄ(4～3月)'!L$26:L$1015)</f>
        <v>0</v>
      </c>
      <c r="J59" s="147">
        <f>SUMIF('内訳ﾘｽﾄ(4～3月)'!$D$26:$D$1015,$B59,'内訳ﾘｽﾄ(4～3月)'!M$26:M$1015)</f>
        <v>0</v>
      </c>
      <c r="K59" s="147">
        <f>SUMIF('内訳ﾘｽﾄ(4～3月)'!$D$26:$D$1015,$B59,'内訳ﾘｽﾄ(4～3月)'!N$26:N$1015)</f>
        <v>0</v>
      </c>
      <c r="L59" s="147">
        <f>SUMIF('内訳ﾘｽﾄ(4～3月)'!$D$26:$D$1015,$B59,'内訳ﾘｽﾄ(4～3月)'!O$26:O$1015)</f>
        <v>0</v>
      </c>
      <c r="M59" s="147">
        <f>SUMIF('内訳ﾘｽﾄ(4～3月)'!$D$26:$D$1015,$B59,'内訳ﾘｽﾄ(4～3月)'!P$26:P$1015)</f>
        <v>0</v>
      </c>
      <c r="N59" s="147">
        <f>SUMIF('内訳ﾘｽﾄ(4～3月)'!$D$26:$D$1015,$B59,'内訳ﾘｽﾄ(4～3月)'!Q$26:Q$1015)</f>
        <v>0</v>
      </c>
      <c r="O59" s="147">
        <f>SUMIF('内訳ﾘｽﾄ(4～3月)'!$D$26:$D$814,'採算表(VND)'!$B59,'内訳ﾘｽﾄ(4～3月)'!R$26:R$814)</f>
        <v>0</v>
      </c>
      <c r="AQ59" s="71"/>
      <c r="AR59" s="71"/>
      <c r="AS59" s="71"/>
      <c r="AT59" s="71"/>
      <c r="AU59" s="69"/>
      <c r="AV59" s="70"/>
      <c r="AW59" s="70"/>
      <c r="AX59" s="70"/>
      <c r="AY59" s="70"/>
      <c r="BA59" s="72"/>
      <c r="BB59" s="72"/>
      <c r="BC59" s="72"/>
      <c r="BD59" s="72"/>
      <c r="BF59" s="69"/>
      <c r="BG59" s="69"/>
      <c r="BH59" s="69"/>
      <c r="BI59" s="69"/>
    </row>
    <row r="60" spans="1:61" ht="11.25" customHeight="1">
      <c r="A60" s="37"/>
      <c r="B60" s="36" t="s">
        <v>56</v>
      </c>
      <c r="C60" s="147">
        <f>SUMIF('内訳ﾘｽﾄ(4～3月)'!$D$26:$D$1015,$B60,'内訳ﾘｽﾄ(4～3月)'!F$26:F$1015)</f>
        <v>0</v>
      </c>
      <c r="D60" s="147">
        <f>SUMIF('内訳ﾘｽﾄ(4～3月)'!$D$26:$D$1015,$B60,'内訳ﾘｽﾄ(4～3月)'!G$26:G$1015)</f>
        <v>0</v>
      </c>
      <c r="E60" s="147">
        <f>SUMIF('内訳ﾘｽﾄ(4～3月)'!$D$26:$D$1015,$B60,'内訳ﾘｽﾄ(4～3月)'!H$26:H$1015)</f>
        <v>0</v>
      </c>
      <c r="F60" s="147">
        <f>SUMIF('内訳ﾘｽﾄ(4～3月)'!$D$26:$D$1015,$B60,'内訳ﾘｽﾄ(4～3月)'!I$26:I$1015)</f>
        <v>0</v>
      </c>
      <c r="G60" s="147">
        <f>SUMIF('内訳ﾘｽﾄ(4～3月)'!$D$26:$D$1015,$B60,'内訳ﾘｽﾄ(4～3月)'!J$26:J$1015)</f>
        <v>0</v>
      </c>
      <c r="H60" s="147">
        <f>SUMIF('内訳ﾘｽﾄ(4～3月)'!$D$26:$D$1015,$B60,'内訳ﾘｽﾄ(4～3月)'!K$26:K$1015)</f>
        <v>0</v>
      </c>
      <c r="I60" s="147">
        <f>SUMIF('内訳ﾘｽﾄ(4～3月)'!$D$26:$D$1015,$B60,'内訳ﾘｽﾄ(4～3月)'!L$26:L$1015)</f>
        <v>0</v>
      </c>
      <c r="J60" s="147">
        <f>SUMIF('内訳ﾘｽﾄ(4～3月)'!$D$26:$D$1015,$B60,'内訳ﾘｽﾄ(4～3月)'!M$26:M$1015)</f>
        <v>0</v>
      </c>
      <c r="K60" s="147">
        <f>SUMIF('内訳ﾘｽﾄ(4～3月)'!$D$26:$D$1015,$B60,'内訳ﾘｽﾄ(4～3月)'!N$26:N$1015)</f>
        <v>0</v>
      </c>
      <c r="L60" s="147">
        <f>SUMIF('内訳ﾘｽﾄ(4～3月)'!$D$26:$D$1015,$B60,'内訳ﾘｽﾄ(4～3月)'!O$26:O$1015)</f>
        <v>0</v>
      </c>
      <c r="M60" s="147">
        <f>SUMIF('内訳ﾘｽﾄ(4～3月)'!$D$26:$D$1015,$B60,'内訳ﾘｽﾄ(4～3月)'!P$26:P$1015)</f>
        <v>0</v>
      </c>
      <c r="N60" s="147">
        <f>SUMIF('内訳ﾘｽﾄ(4～3月)'!$D$26:$D$1015,$B60,'内訳ﾘｽﾄ(4～3月)'!Q$26:Q$1015)</f>
        <v>0</v>
      </c>
      <c r="O60" s="147">
        <f>SUMIF('内訳ﾘｽﾄ(4～3月)'!$D$26:$D$814,'採算表(VND)'!$B60,'内訳ﾘｽﾄ(4～3月)'!R$26:R$814)</f>
        <v>0</v>
      </c>
      <c r="AQ60" s="71"/>
      <c r="AR60" s="71"/>
      <c r="AS60" s="71"/>
      <c r="AT60" s="71"/>
      <c r="AU60" s="69"/>
      <c r="AV60" s="70"/>
      <c r="AW60" s="70"/>
      <c r="AX60" s="70"/>
      <c r="AY60" s="70"/>
      <c r="BA60" s="72"/>
      <c r="BB60" s="72"/>
      <c r="BC60" s="72"/>
      <c r="BD60" s="72"/>
      <c r="BF60" s="69"/>
      <c r="BG60" s="69"/>
      <c r="BH60" s="69"/>
      <c r="BI60" s="69"/>
    </row>
    <row r="61" spans="1:61" ht="11.25" customHeight="1">
      <c r="A61" s="37"/>
      <c r="B61" s="280" t="s">
        <v>57</v>
      </c>
      <c r="C61" s="147" t="e">
        <f>IF('内訳ﾘｽﾄ(4～3月)'!$D$5="製造",SUMIF('内訳ﾘｽﾄ(4～3月)'!$D$26:$D$1015,$B61,'内訳ﾘｽﾄ(4～3月)'!F$26:F$1015),IF('内訳ﾘｽﾄ(4～3月)'!$D$5="部内間接",-SUM(C$14:C$60,C$65),0))</f>
        <v>#N/A</v>
      </c>
      <c r="D61" s="147" t="e">
        <f>IF('内訳ﾘｽﾄ(4～3月)'!$D$5="製造",SUMIF('内訳ﾘｽﾄ(4～3月)'!$D$26:$D$1015,$B61,'内訳ﾘｽﾄ(4～3月)'!G$26:G$1015),IF('内訳ﾘｽﾄ(4～3月)'!$D$5="部内間接",-SUM(D$14:D$60,D$65),0))</f>
        <v>#N/A</v>
      </c>
      <c r="E61" s="147" t="e">
        <f>IF('内訳ﾘｽﾄ(4～3月)'!$D$5="製造",SUMIF('内訳ﾘｽﾄ(4～3月)'!$D$26:$D$1015,$B61,'内訳ﾘｽﾄ(4～3月)'!H$26:H$1015),IF('内訳ﾘｽﾄ(4～3月)'!$D$5="部内間接",-SUM(E$14:E$60,E$65),0))</f>
        <v>#N/A</v>
      </c>
      <c r="F61" s="147" t="e">
        <f>IF('内訳ﾘｽﾄ(4～3月)'!$D$5="製造",SUMIF('内訳ﾘｽﾄ(4～3月)'!$D$26:$D$1015,$B61,'内訳ﾘｽﾄ(4～3月)'!I$26:I$1015),IF('内訳ﾘｽﾄ(4～3月)'!$D$5="部内間接",-SUM(F$14:F$60,F$65),0))</f>
        <v>#N/A</v>
      </c>
      <c r="G61" s="147" t="e">
        <f>IF('内訳ﾘｽﾄ(4～3月)'!$D$5="製造",SUMIF('内訳ﾘｽﾄ(4～3月)'!$D$26:$D$1015,$B61,'内訳ﾘｽﾄ(4～3月)'!J$26:J$1015),IF('内訳ﾘｽﾄ(4～3月)'!$D$5="部内間接",-SUM(G$14:G$60,G$65),0))</f>
        <v>#N/A</v>
      </c>
      <c r="H61" s="147" t="e">
        <f>IF('内訳ﾘｽﾄ(4～3月)'!$D$5="製造",SUMIF('内訳ﾘｽﾄ(4～3月)'!$D$26:$D$1015,$B61,'内訳ﾘｽﾄ(4～3月)'!K$26:K$1015),IF('内訳ﾘｽﾄ(4～3月)'!$D$5="部内間接",-SUM(H$14:H$60,H$65),0))</f>
        <v>#N/A</v>
      </c>
      <c r="I61" s="147" t="e">
        <f>IF('内訳ﾘｽﾄ(4～3月)'!$D$5="製造",SUMIF('内訳ﾘｽﾄ(4～3月)'!$D$26:$D$1015,$B61,'内訳ﾘｽﾄ(4～3月)'!L$26:L$1015),IF('内訳ﾘｽﾄ(4～3月)'!$D$5="部内間接",-SUM(I$14:I$60,I$65),0))</f>
        <v>#N/A</v>
      </c>
      <c r="J61" s="147" t="e">
        <f>IF('内訳ﾘｽﾄ(4～3月)'!$D$5="製造",SUMIF('内訳ﾘｽﾄ(4～3月)'!$D$26:$D$1015,$B61,'内訳ﾘｽﾄ(4～3月)'!M$26:M$1015),IF('内訳ﾘｽﾄ(4～3月)'!$D$5="部内間接",-SUM(J$14:J$60,J$65),0))</f>
        <v>#N/A</v>
      </c>
      <c r="K61" s="147" t="e">
        <f>IF('内訳ﾘｽﾄ(4～3月)'!$D$5="製造",SUMIF('内訳ﾘｽﾄ(4～3月)'!$D$26:$D$1015,$B61,'内訳ﾘｽﾄ(4～3月)'!N$26:N$1015),IF('内訳ﾘｽﾄ(4～3月)'!$D$5="部内間接",-SUM(K$14:K$60,K$65),0))</f>
        <v>#N/A</v>
      </c>
      <c r="L61" s="147" t="e">
        <f>IF('内訳ﾘｽﾄ(4～3月)'!$D$5="製造",SUMIF('内訳ﾘｽﾄ(4～3月)'!$D$26:$D$1015,$B61,'内訳ﾘｽﾄ(4～3月)'!O$26:O$1015),IF('内訳ﾘｽﾄ(4～3月)'!$D$5="部内間接",-SUM(L$14:L$60,L$65),0))</f>
        <v>#N/A</v>
      </c>
      <c r="M61" s="147" t="e">
        <f>IF('内訳ﾘｽﾄ(4～3月)'!$D$5="製造",SUMIF('内訳ﾘｽﾄ(4～3月)'!$D$26:$D$1015,$B61,'内訳ﾘｽﾄ(4～3月)'!P$26:P$1015),IF('内訳ﾘｽﾄ(4～3月)'!$D$5="部内間接",-SUM(M$14:M$60,M$65),0))</f>
        <v>#N/A</v>
      </c>
      <c r="N61" s="147" t="e">
        <f>IF('内訳ﾘｽﾄ(4～3月)'!$D$5="製造",SUMIF('内訳ﾘｽﾄ(4～3月)'!$D$26:$D$1015,$B61,'内訳ﾘｽﾄ(4～3月)'!Q$26:Q$1015),IF('内訳ﾘｽﾄ(4～3月)'!$D$5="部内間接",-SUM(N$14:N$60,N$65),0))</f>
        <v>#N/A</v>
      </c>
      <c r="O61" s="147" t="e">
        <f>IF('内訳ﾘｽﾄ(4～3月)'!$D$5="部内間接",-SUM(O$65,O$14:O$60),IF('内訳ﾘｽﾄ(4～3月)'!$D$5="製造",SUMIF('内訳ﾘｽﾄ(4～3月)'!$D$26:$D$814,'採算表(VND)'!$B61,'内訳ﾘｽﾄ(4～3月)'!R$26:R$814),0))</f>
        <v>#N/A</v>
      </c>
      <c r="AQ61" s="71"/>
      <c r="AR61" s="71"/>
      <c r="AS61" s="71"/>
      <c r="AT61" s="71"/>
      <c r="AU61" s="69"/>
      <c r="AV61" s="70"/>
      <c r="AW61" s="70"/>
      <c r="AX61" s="70"/>
      <c r="AY61" s="70"/>
      <c r="BA61" s="72"/>
      <c r="BB61" s="72"/>
      <c r="BC61" s="72"/>
      <c r="BD61" s="72"/>
      <c r="BF61" s="69"/>
      <c r="BG61" s="69"/>
      <c r="BH61" s="69"/>
      <c r="BI61" s="69"/>
    </row>
    <row r="62" spans="1:61" ht="11.25" customHeight="1">
      <c r="A62" s="37"/>
      <c r="B62" s="283" t="s">
        <v>84</v>
      </c>
      <c r="C62" s="147" t="e">
        <f>IF('内訳ﾘｽﾄ(4～3月)'!$D$5="製造",SUMIF('内訳ﾘｽﾄ(4～3月)'!$D$26:$D$1015,$B62,'内訳ﾘｽﾄ(4～3月)'!F$26:F$1015),IF('内訳ﾘｽﾄ(4～3月)'!$D$5="部外間接1",-SUM(C$14:C$60,C$65),0))</f>
        <v>#N/A</v>
      </c>
      <c r="D62" s="147" t="e">
        <f>IF('内訳ﾘｽﾄ(4～3月)'!$D$5="製造",SUMIF('内訳ﾘｽﾄ(4～3月)'!$D$26:$D$1015,$B62,'内訳ﾘｽﾄ(4～3月)'!G$26:G$1015),IF('内訳ﾘｽﾄ(4～3月)'!$D$5="部外間接1",-SUM(D$14:D$60,D$65),0))</f>
        <v>#N/A</v>
      </c>
      <c r="E62" s="147" t="e">
        <f>IF('内訳ﾘｽﾄ(4～3月)'!$D$5="製造",SUMIF('内訳ﾘｽﾄ(4～3月)'!$D$26:$D$1015,$B62,'内訳ﾘｽﾄ(4～3月)'!H$26:H$1015),IF('内訳ﾘｽﾄ(4～3月)'!$D$5="部外間接1",-SUM(E$14:E$60,E$65),0))</f>
        <v>#N/A</v>
      </c>
      <c r="F62" s="147" t="e">
        <f>IF('内訳ﾘｽﾄ(4～3月)'!$D$5="製造",SUMIF('内訳ﾘｽﾄ(4～3月)'!$D$26:$D$1015,$B62,'内訳ﾘｽﾄ(4～3月)'!I$26:I$1015),IF('内訳ﾘｽﾄ(4～3月)'!$D$5="部外間接1",-SUM(F$14:F$60,F$65),0))</f>
        <v>#N/A</v>
      </c>
      <c r="G62" s="147" t="e">
        <f>IF('内訳ﾘｽﾄ(4～3月)'!$D$5="製造",SUMIF('内訳ﾘｽﾄ(4～3月)'!$D$26:$D$1015,$B62,'内訳ﾘｽﾄ(4～3月)'!J$26:J$1015),IF('内訳ﾘｽﾄ(4～3月)'!$D$5="部外間接1",-SUM(G$14:G$60,G$65),0))</f>
        <v>#N/A</v>
      </c>
      <c r="H62" s="147" t="e">
        <f>IF('内訳ﾘｽﾄ(4～3月)'!$D$5="製造",SUMIF('内訳ﾘｽﾄ(4～3月)'!$D$26:$D$1015,$B62,'内訳ﾘｽﾄ(4～3月)'!K$26:K$1015),IF('内訳ﾘｽﾄ(4～3月)'!$D$5="部外間接1",-SUM(H$14:H$60,H$65),0))</f>
        <v>#N/A</v>
      </c>
      <c r="I62" s="147" t="e">
        <f>IF('内訳ﾘｽﾄ(4～3月)'!$D$5="製造",SUMIF('内訳ﾘｽﾄ(4～3月)'!$D$26:$D$1015,$B62,'内訳ﾘｽﾄ(4～3月)'!L$26:L$1015),IF('内訳ﾘｽﾄ(4～3月)'!$D$5="部外間接1",-SUM(I$14:I$60,I$65),0))</f>
        <v>#N/A</v>
      </c>
      <c r="J62" s="147" t="e">
        <f>IF('内訳ﾘｽﾄ(4～3月)'!$D$5="製造",SUMIF('内訳ﾘｽﾄ(4～3月)'!$D$26:$D$1015,$B62,'内訳ﾘｽﾄ(4～3月)'!M$26:M$1015),IF('内訳ﾘｽﾄ(4～3月)'!$D$5="部外間接1",-SUM(J$14:J$60,J$65),0))</f>
        <v>#N/A</v>
      </c>
      <c r="K62" s="147" t="e">
        <f>IF('内訳ﾘｽﾄ(4～3月)'!$D$5="製造",SUMIF('内訳ﾘｽﾄ(4～3月)'!$D$26:$D$1015,$B62,'内訳ﾘｽﾄ(4～3月)'!N$26:N$1015),IF('内訳ﾘｽﾄ(4～3月)'!$D$5="部外間接1",-SUM(K$14:K$60,K$65),0))</f>
        <v>#N/A</v>
      </c>
      <c r="L62" s="147" t="e">
        <f>IF('内訳ﾘｽﾄ(4～3月)'!$D$5="製造",SUMIF('内訳ﾘｽﾄ(4～3月)'!$D$26:$D$1015,$B62,'内訳ﾘｽﾄ(4～3月)'!O$26:O$1015),IF('内訳ﾘｽﾄ(4～3月)'!$D$5="部外間接1",-SUM(L$14:L$60,L$65),0))</f>
        <v>#N/A</v>
      </c>
      <c r="M62" s="147" t="e">
        <f>IF('内訳ﾘｽﾄ(4～3月)'!$D$5="製造",SUMIF('内訳ﾘｽﾄ(4～3月)'!$D$26:$D$1015,$B62,'内訳ﾘｽﾄ(4～3月)'!P$26:P$1015),IF('内訳ﾘｽﾄ(4～3月)'!$D$5="部外間接1",-SUM(M$14:M$60,M$65),0))</f>
        <v>#N/A</v>
      </c>
      <c r="N62" s="147" t="e">
        <f>IF('内訳ﾘｽﾄ(4～3月)'!$D$5="製造",SUMIF('内訳ﾘｽﾄ(4～3月)'!$D$26:$D$1015,$B62,'内訳ﾘｽﾄ(4～3月)'!Q$26:Q$1015),IF('内訳ﾘｽﾄ(4～3月)'!$D$5="部外間接1",-SUM(N$14:N$60,N$65),0))</f>
        <v>#N/A</v>
      </c>
      <c r="O62" s="147" t="e">
        <f>IF('内訳ﾘｽﾄ(4～3月)'!$D$5="部外間接1",-SUM(O$65,O$14:O$60),IF('内訳ﾘｽﾄ(4～3月)'!$D$5="製造",SUMIF('内訳ﾘｽﾄ(4～3月)'!$D$26:$D$814,'採算表(VND)'!$B62,'内訳ﾘｽﾄ(4～3月)'!R$26:R$814),0))</f>
        <v>#N/A</v>
      </c>
      <c r="AQ62" s="71"/>
      <c r="AR62" s="71"/>
      <c r="AS62" s="71"/>
      <c r="AT62" s="71"/>
      <c r="AU62" s="69"/>
      <c r="AV62" s="70"/>
      <c r="AW62" s="70"/>
      <c r="AX62" s="70"/>
      <c r="AY62" s="70"/>
      <c r="BA62" s="72"/>
      <c r="BB62" s="72"/>
      <c r="BC62" s="72"/>
      <c r="BD62" s="72"/>
      <c r="BF62" s="69"/>
      <c r="BG62" s="69"/>
      <c r="BH62" s="69"/>
      <c r="BI62" s="69"/>
    </row>
    <row r="63" spans="1:61" ht="11.25" customHeight="1">
      <c r="A63" s="37"/>
      <c r="B63" s="283" t="s">
        <v>85</v>
      </c>
      <c r="C63" s="147" t="e">
        <f>IF('内訳ﾘｽﾄ(4～3月)'!$D$5="製造",SUMIF('内訳ﾘｽﾄ(4～3月)'!$D$26:$D$1015,$B63,'内訳ﾘｽﾄ(4～3月)'!F$26:F$1015),IF('内訳ﾘｽﾄ(4～3月)'!$D$5="部外間接2",-SUM(C$14:C$60,C$65),0))</f>
        <v>#N/A</v>
      </c>
      <c r="D63" s="147" t="e">
        <f>IF('内訳ﾘｽﾄ(4～3月)'!$D$5="製造",SUMIF('内訳ﾘｽﾄ(4～3月)'!$D$26:$D$1015,$B63,'内訳ﾘｽﾄ(4～3月)'!G$26:G$1015),IF('内訳ﾘｽﾄ(4～3月)'!$D$5="部外間接2",-SUM(D$14:D$60,D$65),0))</f>
        <v>#N/A</v>
      </c>
      <c r="E63" s="147" t="e">
        <f>IF('内訳ﾘｽﾄ(4～3月)'!$D$5="製造",SUMIF('内訳ﾘｽﾄ(4～3月)'!$D$26:$D$1015,$B63,'内訳ﾘｽﾄ(4～3月)'!H$26:H$1015),IF('内訳ﾘｽﾄ(4～3月)'!$D$5="部外間接2",-SUM(E$14:E$60,E$65),0))</f>
        <v>#N/A</v>
      </c>
      <c r="F63" s="147" t="e">
        <f>IF('内訳ﾘｽﾄ(4～3月)'!$D$5="製造",SUMIF('内訳ﾘｽﾄ(4～3月)'!$D$26:$D$1015,$B63,'内訳ﾘｽﾄ(4～3月)'!I$26:I$1015),IF('内訳ﾘｽﾄ(4～3月)'!$D$5="部外間接2",-SUM(F$14:F$60,F$65),0))</f>
        <v>#N/A</v>
      </c>
      <c r="G63" s="147" t="e">
        <f>IF('内訳ﾘｽﾄ(4～3月)'!$D$5="製造",SUMIF('内訳ﾘｽﾄ(4～3月)'!$D$26:$D$1015,$B63,'内訳ﾘｽﾄ(4～3月)'!J$26:J$1015),IF('内訳ﾘｽﾄ(4～3月)'!$D$5="部外間接2",-SUM(G$14:G$60,G$65),0))</f>
        <v>#N/A</v>
      </c>
      <c r="H63" s="147" t="e">
        <f>IF('内訳ﾘｽﾄ(4～3月)'!$D$5="製造",SUMIF('内訳ﾘｽﾄ(4～3月)'!$D$26:$D$1015,$B63,'内訳ﾘｽﾄ(4～3月)'!K$26:K$1015),IF('内訳ﾘｽﾄ(4～3月)'!$D$5="部外間接2",-SUM(H$14:H$60,H$65),0))</f>
        <v>#N/A</v>
      </c>
      <c r="I63" s="147" t="e">
        <f>IF('内訳ﾘｽﾄ(4～3月)'!$D$5="製造",SUMIF('内訳ﾘｽﾄ(4～3月)'!$D$26:$D$1015,$B63,'内訳ﾘｽﾄ(4～3月)'!L$26:L$1015),IF('内訳ﾘｽﾄ(4～3月)'!$D$5="部外間接2",-SUM(I$14:I$60,I$65),0))</f>
        <v>#N/A</v>
      </c>
      <c r="J63" s="147" t="e">
        <f>IF('内訳ﾘｽﾄ(4～3月)'!$D$5="製造",SUMIF('内訳ﾘｽﾄ(4～3月)'!$D$26:$D$1015,$B63,'内訳ﾘｽﾄ(4～3月)'!M$26:M$1015),IF('内訳ﾘｽﾄ(4～3月)'!$D$5="部外間接2",-SUM(J$14:J$60,J$65),0))</f>
        <v>#N/A</v>
      </c>
      <c r="K63" s="147" t="e">
        <f>IF('内訳ﾘｽﾄ(4～3月)'!$D$5="製造",SUMIF('内訳ﾘｽﾄ(4～3月)'!$D$26:$D$1015,$B63,'内訳ﾘｽﾄ(4～3月)'!N$26:N$1015),IF('内訳ﾘｽﾄ(4～3月)'!$D$5="部外間接2",-SUM(K$14:K$60,K$65),0))</f>
        <v>#N/A</v>
      </c>
      <c r="L63" s="147" t="e">
        <f>IF('内訳ﾘｽﾄ(4～3月)'!$D$5="製造",SUMIF('内訳ﾘｽﾄ(4～3月)'!$D$26:$D$1015,$B63,'内訳ﾘｽﾄ(4～3月)'!O$26:O$1015),IF('内訳ﾘｽﾄ(4～3月)'!$D$5="部外間接2",-SUM(L$14:L$60,L$65),0))</f>
        <v>#N/A</v>
      </c>
      <c r="M63" s="147" t="e">
        <f>IF('内訳ﾘｽﾄ(4～3月)'!$D$5="製造",SUMIF('内訳ﾘｽﾄ(4～3月)'!$D$26:$D$1015,$B63,'内訳ﾘｽﾄ(4～3月)'!P$26:P$1015),IF('内訳ﾘｽﾄ(4～3月)'!$D$5="部外間接2",-SUM(M$14:M$60,M$65),0))</f>
        <v>#N/A</v>
      </c>
      <c r="N63" s="147" t="e">
        <f>IF('内訳ﾘｽﾄ(4～3月)'!$D$5="製造",SUMIF('内訳ﾘｽﾄ(4～3月)'!$D$26:$D$1015,$B63,'内訳ﾘｽﾄ(4～3月)'!Q$26:Q$1015),IF('内訳ﾘｽﾄ(4～3月)'!$D$5="部外間接2",-SUM(N$14:N$60,N$65),0))</f>
        <v>#N/A</v>
      </c>
      <c r="O63" s="147" t="e">
        <f>IF('内訳ﾘｽﾄ(4～3月)'!$D$5="部外間接2",-SUM(O$65,O$14:O$60),IF('内訳ﾘｽﾄ(4～3月)'!$D$5="製造",SUMIF('内訳ﾘｽﾄ(4～3月)'!$D$26:$D$814,'採算表(VND)'!$B63,'内訳ﾘｽﾄ(4～3月)'!R$26:R$814),0))</f>
        <v>#N/A</v>
      </c>
      <c r="AQ63" s="71"/>
      <c r="AR63" s="71"/>
      <c r="AS63" s="71"/>
      <c r="AT63" s="71"/>
      <c r="AU63" s="69"/>
      <c r="AV63" s="70"/>
      <c r="AW63" s="70"/>
      <c r="AX63" s="70"/>
      <c r="AY63" s="70"/>
      <c r="BA63" s="72"/>
      <c r="BB63" s="72"/>
      <c r="BC63" s="72"/>
      <c r="BD63" s="72"/>
      <c r="BF63" s="69"/>
      <c r="BG63" s="69"/>
      <c r="BH63" s="69"/>
      <c r="BI63" s="69"/>
    </row>
    <row r="64" spans="1:61" ht="11.25" customHeight="1">
      <c r="A64" s="37"/>
      <c r="B64" s="283" t="s">
        <v>60</v>
      </c>
      <c r="C64" s="147" t="e">
        <f>IF('内訳ﾘｽﾄ(4～3月)'!$D$5="製造",SUMIF('内訳ﾘｽﾄ(4～3月)'!$D$26:$D$1015,$B64,'内訳ﾘｽﾄ(4～3月)'!F$26:F$1015),IF('内訳ﾘｽﾄ(4～3月)'!$D$5="工場間接",-SUM(C$14:C$60,C$65),0))</f>
        <v>#N/A</v>
      </c>
      <c r="D64" s="147" t="e">
        <f>IF('内訳ﾘｽﾄ(4～3月)'!$D$5="製造",SUMIF('内訳ﾘｽﾄ(4～3月)'!$D$26:$D$1015,$B64,'内訳ﾘｽﾄ(4～3月)'!G$26:G$1015),IF('内訳ﾘｽﾄ(4～3月)'!$D$5="工場間接",-SUM(D$14:D$60,D$65),0))</f>
        <v>#N/A</v>
      </c>
      <c r="E64" s="147" t="e">
        <f>IF('内訳ﾘｽﾄ(4～3月)'!$D$5="製造",SUMIF('内訳ﾘｽﾄ(4～3月)'!$D$26:$D$1015,$B64,'内訳ﾘｽﾄ(4～3月)'!H$26:H$1015),IF('内訳ﾘｽﾄ(4～3月)'!$D$5="工場間接",-SUM(E$14:E$60,E$65),0))</f>
        <v>#N/A</v>
      </c>
      <c r="F64" s="147" t="e">
        <f>IF('内訳ﾘｽﾄ(4～3月)'!$D$5="製造",SUMIF('内訳ﾘｽﾄ(4～3月)'!$D$26:$D$1015,$B64,'内訳ﾘｽﾄ(4～3月)'!I$26:I$1015),IF('内訳ﾘｽﾄ(4～3月)'!$D$5="工場間接",-SUM(F$14:F$60,F$65),0))</f>
        <v>#N/A</v>
      </c>
      <c r="G64" s="147" t="e">
        <f>IF('内訳ﾘｽﾄ(4～3月)'!$D$5="製造",SUMIF('内訳ﾘｽﾄ(4～3月)'!$D$26:$D$1015,$B64,'内訳ﾘｽﾄ(4～3月)'!J$26:J$1015),IF('内訳ﾘｽﾄ(4～3月)'!$D$5="工場間接",-SUM(G$14:G$60,G$65),0))</f>
        <v>#N/A</v>
      </c>
      <c r="H64" s="147" t="e">
        <f>IF('内訳ﾘｽﾄ(4～3月)'!$D$5="製造",SUMIF('内訳ﾘｽﾄ(4～3月)'!$D$26:$D$1015,$B64,'内訳ﾘｽﾄ(4～3月)'!K$26:K$1015),IF('内訳ﾘｽﾄ(4～3月)'!$D$5="工場間接",-SUM(H$14:H$60,H$65),0))</f>
        <v>#N/A</v>
      </c>
      <c r="I64" s="147" t="e">
        <f>IF('内訳ﾘｽﾄ(4～3月)'!$D$5="製造",SUMIF('内訳ﾘｽﾄ(4～3月)'!$D$26:$D$1015,$B64,'内訳ﾘｽﾄ(4～3月)'!L$26:L$1015),IF('内訳ﾘｽﾄ(4～3月)'!$D$5="工場間接",-SUM(I$14:I$60,I$65),0))</f>
        <v>#N/A</v>
      </c>
      <c r="J64" s="147" t="e">
        <f>IF('内訳ﾘｽﾄ(4～3月)'!$D$5="製造",SUMIF('内訳ﾘｽﾄ(4～3月)'!$D$26:$D$1015,$B64,'内訳ﾘｽﾄ(4～3月)'!M$26:M$1015),IF('内訳ﾘｽﾄ(4～3月)'!$D$5="工場間接",-SUM(J$14:J$60,J$65),0))</f>
        <v>#N/A</v>
      </c>
      <c r="K64" s="147" t="e">
        <f>IF('内訳ﾘｽﾄ(4～3月)'!$D$5="製造",SUMIF('内訳ﾘｽﾄ(4～3月)'!$D$26:$D$1015,$B64,'内訳ﾘｽﾄ(4～3月)'!N$26:N$1015),IF('内訳ﾘｽﾄ(4～3月)'!$D$5="工場間接",-SUM(K$14:K$60,K$65),0))</f>
        <v>#N/A</v>
      </c>
      <c r="L64" s="147" t="e">
        <f>IF('内訳ﾘｽﾄ(4～3月)'!$D$5="製造",SUMIF('内訳ﾘｽﾄ(4～3月)'!$D$26:$D$1015,$B64,'内訳ﾘｽﾄ(4～3月)'!O$26:O$1015),IF('内訳ﾘｽﾄ(4～3月)'!$D$5="工場間接",-SUM(L$14:L$60,L$65),0))</f>
        <v>#N/A</v>
      </c>
      <c r="M64" s="147" t="e">
        <f>IF('内訳ﾘｽﾄ(4～3月)'!$D$5="製造",SUMIF('内訳ﾘｽﾄ(4～3月)'!$D$26:$D$1015,$B64,'内訳ﾘｽﾄ(4～3月)'!P$26:P$1015),IF('内訳ﾘｽﾄ(4～3月)'!$D$5="工場間接",-SUM(M$14:M$60,M$65),0))</f>
        <v>#N/A</v>
      </c>
      <c r="N64" s="147" t="e">
        <f>IF('内訳ﾘｽﾄ(4～3月)'!$D$5="製造",SUMIF('内訳ﾘｽﾄ(4～3月)'!$D$26:$D$1015,$B64,'内訳ﾘｽﾄ(4～3月)'!Q$26:Q$1015),IF('内訳ﾘｽﾄ(4～3月)'!$D$5="工場間接",-SUM(N$14:N$60,N$65),0))</f>
        <v>#N/A</v>
      </c>
      <c r="O64" s="147" t="e">
        <f>IF('内訳ﾘｽﾄ(4～3月)'!$D$5="工場間接",-SUM(O$65,O$14:O$60),IF('内訳ﾘｽﾄ(4～3月)'!$D$5="製造",SUMIF('内訳ﾘｽﾄ(4～3月)'!$D$26:$D$814,'採算表(VND)'!$B64,'内訳ﾘｽﾄ(4～3月)'!R$26:R$814),0))</f>
        <v>#N/A</v>
      </c>
      <c r="AQ64" s="71"/>
      <c r="AR64" s="71"/>
      <c r="AS64" s="71"/>
      <c r="AT64" s="71"/>
      <c r="AU64" s="69"/>
      <c r="AV64" s="70"/>
      <c r="AW64" s="70"/>
      <c r="AX64" s="70"/>
      <c r="AY64" s="70"/>
      <c r="BA64" s="72"/>
      <c r="BB64" s="72"/>
      <c r="BC64" s="72"/>
      <c r="BD64" s="72"/>
      <c r="BF64" s="69"/>
      <c r="BG64" s="69"/>
      <c r="BH64" s="69"/>
      <c r="BI64" s="69"/>
    </row>
    <row r="65" spans="1:61" ht="11.25" customHeight="1">
      <c r="A65" s="37"/>
      <c r="B65" s="36" t="s">
        <v>61</v>
      </c>
      <c r="C65" s="145">
        <f>SUMIF('内訳ﾘｽﾄ(4～3月)'!$D$26:$D$1015,$B65,'内訳ﾘｽﾄ(4～3月)'!F$26:F$1015)</f>
        <v>0</v>
      </c>
      <c r="D65" s="145">
        <f>SUMIF('内訳ﾘｽﾄ(4～3月)'!$D$26:$D$1015,$B65,'内訳ﾘｽﾄ(4～3月)'!G$26:G$1015)</f>
        <v>0</v>
      </c>
      <c r="E65" s="145">
        <f>SUMIF('内訳ﾘｽﾄ(4～3月)'!$D$26:$D$1015,$B65,'内訳ﾘｽﾄ(4～3月)'!H$26:H$1015)</f>
        <v>0</v>
      </c>
      <c r="F65" s="145">
        <f>SUMIF('内訳ﾘｽﾄ(4～3月)'!$D$26:$D$1015,$B65,'内訳ﾘｽﾄ(4～3月)'!I$26:I$1015)</f>
        <v>0</v>
      </c>
      <c r="G65" s="145">
        <f>SUMIF('内訳ﾘｽﾄ(4～3月)'!$D$26:$D$1015,$B65,'内訳ﾘｽﾄ(4～3月)'!J$26:J$1015)</f>
        <v>0</v>
      </c>
      <c r="H65" s="145">
        <f>SUMIF('内訳ﾘｽﾄ(4～3月)'!$D$26:$D$1015,$B65,'内訳ﾘｽﾄ(4～3月)'!K$26:K$1015)</f>
        <v>0</v>
      </c>
      <c r="I65" s="145">
        <f>SUMIF('内訳ﾘｽﾄ(4～3月)'!$D$26:$D$1015,$B65,'内訳ﾘｽﾄ(4～3月)'!L$26:L$1015)</f>
        <v>0</v>
      </c>
      <c r="J65" s="145">
        <f>SUMIF('内訳ﾘｽﾄ(4～3月)'!$D$26:$D$1015,$B65,'内訳ﾘｽﾄ(4～3月)'!M$26:M$1015)</f>
        <v>0</v>
      </c>
      <c r="K65" s="145">
        <f>SUMIF('内訳ﾘｽﾄ(4～3月)'!$D$26:$D$1015,$B65,'内訳ﾘｽﾄ(4～3月)'!N$26:N$1015)</f>
        <v>0</v>
      </c>
      <c r="L65" s="145">
        <f>SUMIF('内訳ﾘｽﾄ(4～3月)'!$D$26:$D$1015,$B65,'内訳ﾘｽﾄ(4～3月)'!O$26:O$1015)</f>
        <v>0</v>
      </c>
      <c r="M65" s="145">
        <f>SUMIF('内訳ﾘｽﾄ(4～3月)'!$D$26:$D$1015,$B65,'内訳ﾘｽﾄ(4～3月)'!P$26:P$1015)</f>
        <v>0</v>
      </c>
      <c r="N65" s="145">
        <f>SUMIF('内訳ﾘｽﾄ(4～3月)'!$D$26:$D$1015,$B65,'内訳ﾘｽﾄ(4～3月)'!Q$26:Q$1015)</f>
        <v>0</v>
      </c>
      <c r="O65" s="145">
        <f>SUMIF('内訳ﾘｽﾄ(4～3月)'!$D$26:$D$814,'採算表(VND)'!$B65,'内訳ﾘｽﾄ(4～3月)'!R$26:R$814)</f>
        <v>0</v>
      </c>
      <c r="AQ65" s="71"/>
      <c r="AR65" s="71"/>
      <c r="AS65" s="71"/>
      <c r="AT65" s="71"/>
      <c r="AU65" s="69"/>
      <c r="AV65" s="70"/>
      <c r="AW65" s="70"/>
      <c r="AX65" s="70"/>
      <c r="AY65" s="70"/>
      <c r="BA65" s="72"/>
      <c r="BB65" s="72"/>
      <c r="BC65" s="72"/>
      <c r="BD65" s="72"/>
      <c r="BF65" s="69"/>
      <c r="BG65" s="69"/>
      <c r="BH65" s="69"/>
      <c r="BI65" s="69"/>
    </row>
    <row r="66" spans="1:61" ht="11.25" customHeight="1">
      <c r="A66" s="25"/>
      <c r="B66" s="31" t="s">
        <v>62</v>
      </c>
      <c r="C66" s="143" t="e">
        <f t="shared" ref="C66:N66" si="4">C12-C13</f>
        <v>#N/A</v>
      </c>
      <c r="D66" s="143" t="e">
        <f t="shared" si="4"/>
        <v>#N/A</v>
      </c>
      <c r="E66" s="143" t="e">
        <f t="shared" si="4"/>
        <v>#N/A</v>
      </c>
      <c r="F66" s="143" t="e">
        <f t="shared" si="4"/>
        <v>#N/A</v>
      </c>
      <c r="G66" s="143" t="e">
        <f t="shared" si="4"/>
        <v>#N/A</v>
      </c>
      <c r="H66" s="143" t="e">
        <f t="shared" si="4"/>
        <v>#N/A</v>
      </c>
      <c r="I66" s="143" t="e">
        <f t="shared" si="4"/>
        <v>#N/A</v>
      </c>
      <c r="J66" s="143" t="e">
        <f t="shared" si="4"/>
        <v>#N/A</v>
      </c>
      <c r="K66" s="143" t="e">
        <f t="shared" si="4"/>
        <v>#N/A</v>
      </c>
      <c r="L66" s="143" t="e">
        <f t="shared" si="4"/>
        <v>#N/A</v>
      </c>
      <c r="M66" s="143" t="e">
        <f t="shared" si="4"/>
        <v>#N/A</v>
      </c>
      <c r="N66" s="143" t="e">
        <f t="shared" si="4"/>
        <v>#N/A</v>
      </c>
      <c r="O66" s="143" t="e">
        <f>IF(ISBLANK(O4),"",O12-O13)</f>
        <v>#N/A</v>
      </c>
      <c r="AQ66" s="71"/>
      <c r="AR66" s="71"/>
      <c r="AS66" s="71"/>
      <c r="AT66" s="71"/>
      <c r="AU66" s="69"/>
      <c r="AV66" s="70"/>
      <c r="AW66" s="70"/>
      <c r="AX66" s="70"/>
      <c r="AY66" s="70"/>
      <c r="BA66" s="72"/>
      <c r="BB66" s="72"/>
      <c r="BC66" s="72"/>
      <c r="BD66" s="72"/>
      <c r="BF66" s="69"/>
      <c r="BG66" s="69"/>
      <c r="BH66" s="69"/>
      <c r="BI66" s="69"/>
    </row>
    <row r="67" spans="1:61" ht="11.25" customHeight="1">
      <c r="A67" s="25"/>
      <c r="B67" s="27" t="s">
        <v>63</v>
      </c>
      <c r="C67" s="148" t="e">
        <f t="shared" ref="C67:N67" si="5">C73+C79</f>
        <v>#N/A</v>
      </c>
      <c r="D67" s="148" t="e">
        <f t="shared" si="5"/>
        <v>#N/A</v>
      </c>
      <c r="E67" s="148" t="e">
        <f t="shared" si="5"/>
        <v>#N/A</v>
      </c>
      <c r="F67" s="148" t="e">
        <f t="shared" si="5"/>
        <v>#N/A</v>
      </c>
      <c r="G67" s="148" t="e">
        <f t="shared" si="5"/>
        <v>#N/A</v>
      </c>
      <c r="H67" s="148" t="e">
        <f t="shared" si="5"/>
        <v>#N/A</v>
      </c>
      <c r="I67" s="148" t="e">
        <f t="shared" si="5"/>
        <v>#N/A</v>
      </c>
      <c r="J67" s="148" t="e">
        <f t="shared" si="5"/>
        <v>#N/A</v>
      </c>
      <c r="K67" s="148" t="e">
        <f t="shared" si="5"/>
        <v>#N/A</v>
      </c>
      <c r="L67" s="148" t="e">
        <f t="shared" si="5"/>
        <v>#N/A</v>
      </c>
      <c r="M67" s="148" t="e">
        <f t="shared" si="5"/>
        <v>#N/A</v>
      </c>
      <c r="N67" s="148" t="e">
        <f t="shared" si="5"/>
        <v>#N/A</v>
      </c>
      <c r="O67" s="148" t="e">
        <f>IF(ISBLANK(O4),"",O73+O79)</f>
        <v>#N/A</v>
      </c>
      <c r="AQ67" s="71"/>
      <c r="AR67" s="71"/>
      <c r="AS67" s="71"/>
      <c r="AT67" s="71"/>
      <c r="AU67" s="69"/>
      <c r="AV67" s="70"/>
      <c r="AW67" s="70"/>
      <c r="AX67" s="70"/>
      <c r="AY67" s="70"/>
      <c r="BA67" s="72"/>
      <c r="BB67" s="72"/>
      <c r="BC67" s="72"/>
      <c r="BD67" s="72"/>
      <c r="BF67" s="69"/>
      <c r="BG67" s="69"/>
      <c r="BH67" s="69"/>
      <c r="BI67" s="69"/>
    </row>
    <row r="68" spans="1:61" ht="11.25" customHeight="1">
      <c r="A68" s="37"/>
      <c r="B68" s="45" t="s">
        <v>64</v>
      </c>
      <c r="C68" s="149">
        <f>SUMIF('内訳ﾘｽﾄ(4～3月)'!$D$8:$D$15,'採算表(VND)'!$B68,'内訳ﾘｽﾄ(4～3月)'!F$8:F$15)</f>
        <v>0</v>
      </c>
      <c r="D68" s="149">
        <f>SUMIF('内訳ﾘｽﾄ(4～3月)'!$D$8:$D$15,'採算表(VND)'!$B68,'内訳ﾘｽﾄ(4～3月)'!G$8:G$15)</f>
        <v>0</v>
      </c>
      <c r="E68" s="149">
        <f>SUMIF('内訳ﾘｽﾄ(4～3月)'!$D$8:$D$15,'採算表(VND)'!$B68,'内訳ﾘｽﾄ(4～3月)'!H$8:H$15)</f>
        <v>0</v>
      </c>
      <c r="F68" s="149">
        <f>SUMIF('内訳ﾘｽﾄ(4～3月)'!$D$8:$D$15,'採算表(VND)'!$B68,'内訳ﾘｽﾄ(4～3月)'!I$8:I$15)</f>
        <v>0</v>
      </c>
      <c r="G68" s="149">
        <f>SUMIF('内訳ﾘｽﾄ(4～3月)'!$D$8:$D$15,'採算表(VND)'!$B68,'内訳ﾘｽﾄ(4～3月)'!J$8:J$15)</f>
        <v>0</v>
      </c>
      <c r="H68" s="149">
        <f>SUMIF('内訳ﾘｽﾄ(4～3月)'!$D$8:$D$15,'採算表(VND)'!$B68,'内訳ﾘｽﾄ(4～3月)'!K$8:K$15)</f>
        <v>0</v>
      </c>
      <c r="I68" s="149">
        <f>SUMIF('内訳ﾘｽﾄ(4～3月)'!$D$8:$D$15,'採算表(VND)'!$B68,'内訳ﾘｽﾄ(4～3月)'!L$8:L$15)</f>
        <v>0</v>
      </c>
      <c r="J68" s="149">
        <f>SUMIF('内訳ﾘｽﾄ(4～3月)'!$D$8:$D$15,'採算表(VND)'!$B68,'内訳ﾘｽﾄ(4～3月)'!M$8:M$15)</f>
        <v>0</v>
      </c>
      <c r="K68" s="149">
        <f>SUMIF('内訳ﾘｽﾄ(4～3月)'!$D$8:$D$15,'採算表(VND)'!$B68,'内訳ﾘｽﾄ(4～3月)'!N$8:N$15)</f>
        <v>0</v>
      </c>
      <c r="L68" s="149">
        <f>SUMIF('内訳ﾘｽﾄ(4～3月)'!$D$8:$D$15,'採算表(VND)'!$B68,'内訳ﾘｽﾄ(4～3月)'!O$8:O$15)</f>
        <v>0</v>
      </c>
      <c r="M68" s="149">
        <f>SUMIF('内訳ﾘｽﾄ(4～3月)'!$D$8:$D$15,'採算表(VND)'!$B68,'内訳ﾘｽﾄ(4～3月)'!P$8:P$15)</f>
        <v>0</v>
      </c>
      <c r="N68" s="149">
        <f>SUMIF('内訳ﾘｽﾄ(4～3月)'!$D$8:$D$15,'採算表(VND)'!$B68,'内訳ﾘｽﾄ(4～3月)'!Q$8:Q$15)</f>
        <v>0</v>
      </c>
      <c r="O68" s="149">
        <f>SUMIF('内訳ﾘｽﾄ(4～3月)'!$D$8:$D$15,'採算表(VND)'!$B68,'内訳ﾘｽﾄ(4～3月)'!$R$8:$R$15)</f>
        <v>0</v>
      </c>
      <c r="AQ68" s="71"/>
      <c r="AR68" s="71"/>
      <c r="AS68" s="71"/>
      <c r="AT68" s="71"/>
      <c r="AU68" s="69"/>
      <c r="AV68" s="70"/>
      <c r="AW68" s="70"/>
      <c r="AX68" s="70"/>
      <c r="AY68" s="70"/>
      <c r="BA68" s="72"/>
      <c r="BB68" s="72"/>
      <c r="BC68" s="72"/>
      <c r="BD68" s="72"/>
      <c r="BF68" s="69"/>
      <c r="BG68" s="69"/>
      <c r="BH68" s="69"/>
      <c r="BI68" s="69"/>
    </row>
    <row r="69" spans="1:61" ht="11.25" customHeight="1">
      <c r="A69" s="37"/>
      <c r="B69" s="45" t="s">
        <v>65</v>
      </c>
      <c r="C69" s="150" t="e">
        <f>IF('内訳ﾘｽﾄ(4～3月)'!$D$5="製造",SUMIF('内訳ﾘｽﾄ(4～3月)'!$D$8:$D$15,$B69,'内訳ﾘｽﾄ(4～3月)'!F$8:F$15),IF('内訳ﾘｽﾄ(4～3月)'!$D$5="部内間接",-C$68,0))</f>
        <v>#N/A</v>
      </c>
      <c r="D69" s="150" t="e">
        <f>IF('内訳ﾘｽﾄ(4～3月)'!$D$5="製造",SUMIF('内訳ﾘｽﾄ(4～3月)'!$D$8:$D$15,$B69,'内訳ﾘｽﾄ(4～3月)'!G$8:G$15),IF('内訳ﾘｽﾄ(4～3月)'!$D$5="部内間接",-D$68,0))</f>
        <v>#N/A</v>
      </c>
      <c r="E69" s="150" t="e">
        <f>IF('内訳ﾘｽﾄ(4～3月)'!$D$5="製造",SUMIF('内訳ﾘｽﾄ(4～3月)'!$D$8:$D$15,$B69,'内訳ﾘｽﾄ(4～3月)'!H$8:H$15),IF('内訳ﾘｽﾄ(4～3月)'!$D$5="部内間接",-E$68,0))</f>
        <v>#N/A</v>
      </c>
      <c r="F69" s="150" t="e">
        <f>IF('内訳ﾘｽﾄ(4～3月)'!$D$5="製造",SUMIF('内訳ﾘｽﾄ(4～3月)'!$D$8:$D$15,$B69,'内訳ﾘｽﾄ(4～3月)'!I$8:I$15),IF('内訳ﾘｽﾄ(4～3月)'!$D$5="部内間接",-F$68,0))</f>
        <v>#N/A</v>
      </c>
      <c r="G69" s="150" t="e">
        <f>IF('内訳ﾘｽﾄ(4～3月)'!$D$5="製造",SUMIF('内訳ﾘｽﾄ(4～3月)'!$D$8:$D$15,$B69,'内訳ﾘｽﾄ(4～3月)'!J$8:J$15),IF('内訳ﾘｽﾄ(4～3月)'!$D$5="部内間接",-G$68,0))</f>
        <v>#N/A</v>
      </c>
      <c r="H69" s="150" t="e">
        <f>IF('内訳ﾘｽﾄ(4～3月)'!$D$5="製造",SUMIF('内訳ﾘｽﾄ(4～3月)'!$D$8:$D$15,$B69,'内訳ﾘｽﾄ(4～3月)'!K$8:K$15),IF('内訳ﾘｽﾄ(4～3月)'!$D$5="部内間接",-H$68,0))</f>
        <v>#N/A</v>
      </c>
      <c r="I69" s="150" t="e">
        <f>IF('内訳ﾘｽﾄ(4～3月)'!$D$5="製造",SUMIF('内訳ﾘｽﾄ(4～3月)'!$D$8:$D$15,$B69,'内訳ﾘｽﾄ(4～3月)'!L$8:L$15),IF('内訳ﾘｽﾄ(4～3月)'!$D$5="部内間接",-I$68,0))</f>
        <v>#N/A</v>
      </c>
      <c r="J69" s="150" t="e">
        <f>IF('内訳ﾘｽﾄ(4～3月)'!$D$5="製造",SUMIF('内訳ﾘｽﾄ(4～3月)'!$D$8:$D$15,$B69,'内訳ﾘｽﾄ(4～3月)'!M$8:M$15),IF('内訳ﾘｽﾄ(4～3月)'!$D$5="部内間接",-J$68,0))</f>
        <v>#N/A</v>
      </c>
      <c r="K69" s="150" t="e">
        <f>IF('内訳ﾘｽﾄ(4～3月)'!$D$5="製造",SUMIF('内訳ﾘｽﾄ(4～3月)'!$D$8:$D$15,$B69,'内訳ﾘｽﾄ(4～3月)'!N$8:N$15),IF('内訳ﾘｽﾄ(4～3月)'!$D$5="部内間接",-K$68,0))</f>
        <v>#N/A</v>
      </c>
      <c r="L69" s="150" t="e">
        <f>IF('内訳ﾘｽﾄ(4～3月)'!$D$5="製造",SUMIF('内訳ﾘｽﾄ(4～3月)'!$D$8:$D$15,$B69,'内訳ﾘｽﾄ(4～3月)'!O$8:O$15),IF('内訳ﾘｽﾄ(4～3月)'!$D$5="部内間接",-L$68,0))</f>
        <v>#N/A</v>
      </c>
      <c r="M69" s="150" t="e">
        <f>IF('内訳ﾘｽﾄ(4～3月)'!$D$5="製造",SUMIF('内訳ﾘｽﾄ(4～3月)'!$D$8:$D$15,$B69,'内訳ﾘｽﾄ(4～3月)'!P$8:P$15),IF('内訳ﾘｽﾄ(4～3月)'!$D$5="部内間接",-M$68,0))</f>
        <v>#N/A</v>
      </c>
      <c r="N69" s="150" t="e">
        <f>IF('内訳ﾘｽﾄ(4～3月)'!$D$5="製造",SUMIF('内訳ﾘｽﾄ(4～3月)'!$D$8:$D$15,$B69,'内訳ﾘｽﾄ(4～3月)'!Q$8:Q$15),IF('内訳ﾘｽﾄ(4～3月)'!$D$5="部内間接",-N$68,0))</f>
        <v>#N/A</v>
      </c>
      <c r="O69" s="150" t="e">
        <f>IF('内訳ﾘｽﾄ(4～3月)'!$D$5="部内間接",-SUM(O$68),IF('内訳ﾘｽﾄ(4～3月)'!$D$5="製造",SUMIF('内訳ﾘｽﾄ(4～3月)'!$D$8:$D$15,'採算表(VND)'!$B69,'内訳ﾘｽﾄ(4～3月)'!$R$8:$R$15),0))</f>
        <v>#N/A</v>
      </c>
      <c r="AQ69" s="71"/>
      <c r="AR69" s="71"/>
      <c r="AS69" s="71"/>
      <c r="AT69" s="71"/>
      <c r="AU69" s="69"/>
      <c r="AV69" s="70"/>
      <c r="AW69" s="70"/>
      <c r="AX69" s="70"/>
      <c r="AY69" s="70"/>
      <c r="BA69" s="72"/>
      <c r="BB69" s="72"/>
      <c r="BC69" s="72"/>
      <c r="BD69" s="72"/>
      <c r="BF69" s="69"/>
      <c r="BG69" s="69"/>
      <c r="BH69" s="69"/>
      <c r="BI69" s="69"/>
    </row>
    <row r="70" spans="1:61" ht="11.25" customHeight="1">
      <c r="A70" s="37"/>
      <c r="B70" s="46" t="s">
        <v>66</v>
      </c>
      <c r="C70" s="151" t="e">
        <f>IF('内訳ﾘｽﾄ(4～3月)'!$D$5="製造",SUMIF('内訳ﾘｽﾄ(4～3月)'!$D$8:$D$15,$B70,'内訳ﾘｽﾄ(4～3月)'!F$8:F$15),IF('内訳ﾘｽﾄ(4～3月)'!$D$5="部外間接1",-C$68,0))</f>
        <v>#N/A</v>
      </c>
      <c r="D70" s="151" t="e">
        <f>IF('内訳ﾘｽﾄ(4～3月)'!$D$5="製造",SUMIF('内訳ﾘｽﾄ(4～3月)'!$D$8:$D$15,$B70,'内訳ﾘｽﾄ(4～3月)'!G$8:G$15),IF('内訳ﾘｽﾄ(4～3月)'!$D$5="部外間接1",-D$68,0))</f>
        <v>#N/A</v>
      </c>
      <c r="E70" s="151" t="e">
        <f>IF('内訳ﾘｽﾄ(4～3月)'!$D$5="製造",SUMIF('内訳ﾘｽﾄ(4～3月)'!$D$8:$D$15,$B70,'内訳ﾘｽﾄ(4～3月)'!H$8:H$15),IF('内訳ﾘｽﾄ(4～3月)'!$D$5="部外間接1",-E$68,0))</f>
        <v>#N/A</v>
      </c>
      <c r="F70" s="151" t="e">
        <f>IF('内訳ﾘｽﾄ(4～3月)'!$D$5="製造",SUMIF('内訳ﾘｽﾄ(4～3月)'!$D$8:$D$15,$B70,'内訳ﾘｽﾄ(4～3月)'!I$8:I$15),IF('内訳ﾘｽﾄ(4～3月)'!$D$5="部外間接1",-F$68,0))</f>
        <v>#N/A</v>
      </c>
      <c r="G70" s="151" t="e">
        <f>IF('内訳ﾘｽﾄ(4～3月)'!$D$5="製造",SUMIF('内訳ﾘｽﾄ(4～3月)'!$D$8:$D$15,$B70,'内訳ﾘｽﾄ(4～3月)'!J$8:J$15),IF('内訳ﾘｽﾄ(4～3月)'!$D$5="部外間接1",-G$68,0))</f>
        <v>#N/A</v>
      </c>
      <c r="H70" s="151" t="e">
        <f>IF('内訳ﾘｽﾄ(4～3月)'!$D$5="製造",SUMIF('内訳ﾘｽﾄ(4～3月)'!$D$8:$D$15,$B70,'内訳ﾘｽﾄ(4～3月)'!K$8:K$15),IF('内訳ﾘｽﾄ(4～3月)'!$D$5="部外間接1",-H$68,0))</f>
        <v>#N/A</v>
      </c>
      <c r="I70" s="151" t="e">
        <f>IF('内訳ﾘｽﾄ(4～3月)'!$D$5="製造",SUMIF('内訳ﾘｽﾄ(4～3月)'!$D$8:$D$15,$B70,'内訳ﾘｽﾄ(4～3月)'!L$8:L$15),IF('内訳ﾘｽﾄ(4～3月)'!$D$5="部外間接1",-I$68,0))</f>
        <v>#N/A</v>
      </c>
      <c r="J70" s="151" t="e">
        <f>IF('内訳ﾘｽﾄ(4～3月)'!$D$5="製造",SUMIF('内訳ﾘｽﾄ(4～3月)'!$D$8:$D$15,$B70,'内訳ﾘｽﾄ(4～3月)'!M$8:M$15),IF('内訳ﾘｽﾄ(4～3月)'!$D$5="部外間接1",-J$68,0))</f>
        <v>#N/A</v>
      </c>
      <c r="K70" s="151" t="e">
        <f>IF('内訳ﾘｽﾄ(4～3月)'!$D$5="製造",SUMIF('内訳ﾘｽﾄ(4～3月)'!$D$8:$D$15,$B70,'内訳ﾘｽﾄ(4～3月)'!N$8:N$15),IF('内訳ﾘｽﾄ(4～3月)'!$D$5="部外間接1",-K$68,0))</f>
        <v>#N/A</v>
      </c>
      <c r="L70" s="151" t="e">
        <f>IF('内訳ﾘｽﾄ(4～3月)'!$D$5="製造",SUMIF('内訳ﾘｽﾄ(4～3月)'!$D$8:$D$15,$B70,'内訳ﾘｽﾄ(4～3月)'!O$8:O$15),IF('内訳ﾘｽﾄ(4～3月)'!$D$5="部外間接1",-L$68,0))</f>
        <v>#N/A</v>
      </c>
      <c r="M70" s="151" t="e">
        <f>IF('内訳ﾘｽﾄ(4～3月)'!$D$5="製造",SUMIF('内訳ﾘｽﾄ(4～3月)'!$D$8:$D$15,$B70,'内訳ﾘｽﾄ(4～3月)'!P$8:P$15),IF('内訳ﾘｽﾄ(4～3月)'!$D$5="部外間接1",-M$68,0))</f>
        <v>#N/A</v>
      </c>
      <c r="N70" s="151" t="e">
        <f>IF('内訳ﾘｽﾄ(4～3月)'!$D$5="製造",SUMIF('内訳ﾘｽﾄ(4～3月)'!$D$8:$D$15,$B70,'内訳ﾘｽﾄ(4～3月)'!Q$8:Q$15),IF('内訳ﾘｽﾄ(4～3月)'!$D$5="部外間接1",-N$68,0))</f>
        <v>#N/A</v>
      </c>
      <c r="O70" s="151" t="e">
        <f>IF('内訳ﾘｽﾄ(4～3月)'!$D$5="部外間接1",-SUM(O$68),IF('内訳ﾘｽﾄ(4～3月)'!$D$5="製造",SUMIF('内訳ﾘｽﾄ(4～3月)'!$D$8:$D$15,'採算表(VND)'!$B70,'内訳ﾘｽﾄ(4～3月)'!$R$8:$R$15),0))</f>
        <v>#N/A</v>
      </c>
      <c r="AQ70" s="71"/>
      <c r="AR70" s="71"/>
      <c r="AS70" s="71"/>
      <c r="AT70" s="71"/>
      <c r="AU70" s="69"/>
      <c r="AV70" s="70"/>
      <c r="AW70" s="70"/>
      <c r="AX70" s="70"/>
      <c r="AY70" s="70"/>
      <c r="BA70" s="72"/>
      <c r="BB70" s="72"/>
      <c r="BC70" s="72"/>
      <c r="BD70" s="72"/>
      <c r="BF70" s="69"/>
      <c r="BG70" s="69"/>
      <c r="BH70" s="69"/>
      <c r="BI70" s="69"/>
    </row>
    <row r="71" spans="1:61" ht="11.25" customHeight="1">
      <c r="A71" s="37"/>
      <c r="B71" s="46" t="s">
        <v>67</v>
      </c>
      <c r="C71" s="151" t="e">
        <f>IF('内訳ﾘｽﾄ(4～3月)'!$D$5="製造",SUMIF('内訳ﾘｽﾄ(4～3月)'!$D$8:$D$15,$B71,'内訳ﾘｽﾄ(4～3月)'!F$8:F$15),IF('内訳ﾘｽﾄ(4～3月)'!$D$5="部外間接2",-C$68,0))</f>
        <v>#N/A</v>
      </c>
      <c r="D71" s="151" t="e">
        <f>IF('内訳ﾘｽﾄ(4～3月)'!$D$5="製造",SUMIF('内訳ﾘｽﾄ(4～3月)'!$D$8:$D$15,$B71,'内訳ﾘｽﾄ(4～3月)'!G$8:G$15),IF('内訳ﾘｽﾄ(4～3月)'!$D$5="部外間接2",-D$68,0))</f>
        <v>#N/A</v>
      </c>
      <c r="E71" s="151" t="e">
        <f>IF('内訳ﾘｽﾄ(4～3月)'!$D$5="製造",SUMIF('内訳ﾘｽﾄ(4～3月)'!$D$8:$D$15,$B71,'内訳ﾘｽﾄ(4～3月)'!H$8:H$15),IF('内訳ﾘｽﾄ(4～3月)'!$D$5="部外間接2",-E$68,0))</f>
        <v>#N/A</v>
      </c>
      <c r="F71" s="151" t="e">
        <f>IF('内訳ﾘｽﾄ(4～3月)'!$D$5="製造",SUMIF('内訳ﾘｽﾄ(4～3月)'!$D$8:$D$15,$B71,'内訳ﾘｽﾄ(4～3月)'!I$8:I$15),IF('内訳ﾘｽﾄ(4～3月)'!$D$5="部外間接2",-F$68,0))</f>
        <v>#N/A</v>
      </c>
      <c r="G71" s="151" t="e">
        <f>IF('内訳ﾘｽﾄ(4～3月)'!$D$5="製造",SUMIF('内訳ﾘｽﾄ(4～3月)'!$D$8:$D$15,$B71,'内訳ﾘｽﾄ(4～3月)'!J$8:J$15),IF('内訳ﾘｽﾄ(4～3月)'!$D$5="部外間接2",-G$68,0))</f>
        <v>#N/A</v>
      </c>
      <c r="H71" s="151" t="e">
        <f>IF('内訳ﾘｽﾄ(4～3月)'!$D$5="製造",SUMIF('内訳ﾘｽﾄ(4～3月)'!$D$8:$D$15,$B71,'内訳ﾘｽﾄ(4～3月)'!K$8:K$15),IF('内訳ﾘｽﾄ(4～3月)'!$D$5="部外間接2",-H$68,0))</f>
        <v>#N/A</v>
      </c>
      <c r="I71" s="151" t="e">
        <f>IF('内訳ﾘｽﾄ(4～3月)'!$D$5="製造",SUMIF('内訳ﾘｽﾄ(4～3月)'!$D$8:$D$15,$B71,'内訳ﾘｽﾄ(4～3月)'!L$8:L$15),IF('内訳ﾘｽﾄ(4～3月)'!$D$5="部外間接2",-I$68,0))</f>
        <v>#N/A</v>
      </c>
      <c r="J71" s="151" t="e">
        <f>IF('内訳ﾘｽﾄ(4～3月)'!$D$5="製造",SUMIF('内訳ﾘｽﾄ(4～3月)'!$D$8:$D$15,$B71,'内訳ﾘｽﾄ(4～3月)'!M$8:M$15),IF('内訳ﾘｽﾄ(4～3月)'!$D$5="部外間接2",-J$68,0))</f>
        <v>#N/A</v>
      </c>
      <c r="K71" s="151" t="e">
        <f>IF('内訳ﾘｽﾄ(4～3月)'!$D$5="製造",SUMIF('内訳ﾘｽﾄ(4～3月)'!$D$8:$D$15,$B71,'内訳ﾘｽﾄ(4～3月)'!N$8:N$15),IF('内訳ﾘｽﾄ(4～3月)'!$D$5="部外間接2",-K$68,0))</f>
        <v>#N/A</v>
      </c>
      <c r="L71" s="151" t="e">
        <f>IF('内訳ﾘｽﾄ(4～3月)'!$D$5="製造",SUMIF('内訳ﾘｽﾄ(4～3月)'!$D$8:$D$15,$B71,'内訳ﾘｽﾄ(4～3月)'!O$8:O$15),IF('内訳ﾘｽﾄ(4～3月)'!$D$5="部外間接2",-L$68,0))</f>
        <v>#N/A</v>
      </c>
      <c r="M71" s="151" t="e">
        <f>IF('内訳ﾘｽﾄ(4～3月)'!$D$5="製造",SUMIF('内訳ﾘｽﾄ(4～3月)'!$D$8:$D$15,$B71,'内訳ﾘｽﾄ(4～3月)'!P$8:P$15),IF('内訳ﾘｽﾄ(4～3月)'!$D$5="部外間接2",-M$68,0))</f>
        <v>#N/A</v>
      </c>
      <c r="N71" s="151" t="e">
        <f>IF('内訳ﾘｽﾄ(4～3月)'!$D$5="製造",SUMIF('内訳ﾘｽﾄ(4～3月)'!$D$8:$D$15,$B71,'内訳ﾘｽﾄ(4～3月)'!Q$8:Q$15),IF('内訳ﾘｽﾄ(4～3月)'!$D$5="部外間接2",-N$68,0))</f>
        <v>#N/A</v>
      </c>
      <c r="O71" s="151" t="e">
        <f>IF('内訳ﾘｽﾄ(4～3月)'!$D$5="部外間接2",-SUM(O$68),IF('内訳ﾘｽﾄ(4～3月)'!$D$5="製造",SUMIF('内訳ﾘｽﾄ(4～3月)'!$D$8:$D$15,'採算表(VND)'!$B71,'内訳ﾘｽﾄ(4～3月)'!$R$8:$R$15),0))</f>
        <v>#N/A</v>
      </c>
      <c r="AQ71" s="71"/>
      <c r="AR71" s="71"/>
      <c r="AS71" s="71"/>
      <c r="AT71" s="71"/>
      <c r="AU71" s="69"/>
      <c r="AV71" s="70"/>
      <c r="AW71" s="70"/>
      <c r="AX71" s="70"/>
      <c r="AY71" s="70"/>
      <c r="BA71" s="72"/>
      <c r="BB71" s="72"/>
      <c r="BC71" s="72"/>
      <c r="BD71" s="72"/>
      <c r="BF71" s="69"/>
      <c r="BG71" s="69"/>
      <c r="BH71" s="69"/>
      <c r="BI71" s="69"/>
    </row>
    <row r="72" spans="1:61" ht="11.25" customHeight="1">
      <c r="A72" s="37"/>
      <c r="B72" s="39" t="s">
        <v>68</v>
      </c>
      <c r="C72" s="152" t="e">
        <f>IF('内訳ﾘｽﾄ(4～3月)'!$D$5="製造",SUMIF('内訳ﾘｽﾄ(4～3月)'!$D$8:$D$15,$B72,'内訳ﾘｽﾄ(4～3月)'!F$8:F$15),IF('内訳ﾘｽﾄ(4～3月)'!$D$5="工場間接",-C$68,0))</f>
        <v>#N/A</v>
      </c>
      <c r="D72" s="152" t="e">
        <f>IF('内訳ﾘｽﾄ(4～3月)'!$D$5="製造",SUMIF('内訳ﾘｽﾄ(4～3月)'!$D$8:$D$15,$B72,'内訳ﾘｽﾄ(4～3月)'!G$8:G$15),IF('内訳ﾘｽﾄ(4～3月)'!$D$5="工場間接",-D$68,0))</f>
        <v>#N/A</v>
      </c>
      <c r="E72" s="152" t="e">
        <f>IF('内訳ﾘｽﾄ(4～3月)'!$D$5="製造",SUMIF('内訳ﾘｽﾄ(4～3月)'!$D$8:$D$15,$B72,'内訳ﾘｽﾄ(4～3月)'!H$8:H$15),IF('内訳ﾘｽﾄ(4～3月)'!$D$5="工場間接",-E$68,0))</f>
        <v>#N/A</v>
      </c>
      <c r="F72" s="152" t="e">
        <f>IF('内訳ﾘｽﾄ(4～3月)'!$D$5="製造",SUMIF('内訳ﾘｽﾄ(4～3月)'!$D$8:$D$15,$B72,'内訳ﾘｽﾄ(4～3月)'!I$8:I$15),IF('内訳ﾘｽﾄ(4～3月)'!$D$5="工場間接",-F$68,0))</f>
        <v>#N/A</v>
      </c>
      <c r="G72" s="152" t="e">
        <f>IF('内訳ﾘｽﾄ(4～3月)'!$D$5="製造",SUMIF('内訳ﾘｽﾄ(4～3月)'!$D$8:$D$15,$B72,'内訳ﾘｽﾄ(4～3月)'!J$8:J$15),IF('内訳ﾘｽﾄ(4～3月)'!$D$5="工場間接",-G$68,0))</f>
        <v>#N/A</v>
      </c>
      <c r="H72" s="152" t="e">
        <f>IF('内訳ﾘｽﾄ(4～3月)'!$D$5="製造",SUMIF('内訳ﾘｽﾄ(4～3月)'!$D$8:$D$15,$B72,'内訳ﾘｽﾄ(4～3月)'!K$8:K$15),IF('内訳ﾘｽﾄ(4～3月)'!$D$5="工場間接",-H$68,0))</f>
        <v>#N/A</v>
      </c>
      <c r="I72" s="152" t="e">
        <f>IF('内訳ﾘｽﾄ(4～3月)'!$D$5="製造",SUMIF('内訳ﾘｽﾄ(4～3月)'!$D$8:$D$15,$B72,'内訳ﾘｽﾄ(4～3月)'!L$8:L$15),IF('内訳ﾘｽﾄ(4～3月)'!$D$5="工場間接",-I$68,0))</f>
        <v>#N/A</v>
      </c>
      <c r="J72" s="152" t="e">
        <f>IF('内訳ﾘｽﾄ(4～3月)'!$D$5="製造",SUMIF('内訳ﾘｽﾄ(4～3月)'!$D$8:$D$15,$B72,'内訳ﾘｽﾄ(4～3月)'!M$8:M$15),IF('内訳ﾘｽﾄ(4～3月)'!$D$5="工場間接",-J$68,0))</f>
        <v>#N/A</v>
      </c>
      <c r="K72" s="152" t="e">
        <f>IF('内訳ﾘｽﾄ(4～3月)'!$D$5="製造",SUMIF('内訳ﾘｽﾄ(4～3月)'!$D$8:$D$15,$B72,'内訳ﾘｽﾄ(4～3月)'!N$8:N$15),IF('内訳ﾘｽﾄ(4～3月)'!$D$5="工場間接",-K$68,0))</f>
        <v>#N/A</v>
      </c>
      <c r="L72" s="152" t="e">
        <f>IF('内訳ﾘｽﾄ(4～3月)'!$D$5="製造",SUMIF('内訳ﾘｽﾄ(4～3月)'!$D$8:$D$15,$B72,'内訳ﾘｽﾄ(4～3月)'!O$8:O$15),IF('内訳ﾘｽﾄ(4～3月)'!$D$5="工場間接",-L$68,0))</f>
        <v>#N/A</v>
      </c>
      <c r="M72" s="152" t="e">
        <f>IF('内訳ﾘｽﾄ(4～3月)'!$D$5="製造",SUMIF('内訳ﾘｽﾄ(4～3月)'!$D$8:$D$15,$B72,'内訳ﾘｽﾄ(4～3月)'!P$8:P$15),IF('内訳ﾘｽﾄ(4～3月)'!$D$5="工場間接",-M$68,0))</f>
        <v>#N/A</v>
      </c>
      <c r="N72" s="152" t="e">
        <f>IF('内訳ﾘｽﾄ(4～3月)'!$D$5="製造",SUMIF('内訳ﾘｽﾄ(4～3月)'!$D$8:$D$15,$B72,'内訳ﾘｽﾄ(4～3月)'!Q$8:Q$15),IF('内訳ﾘｽﾄ(4～3月)'!$D$5="工場間接",-N$68,0))</f>
        <v>#N/A</v>
      </c>
      <c r="O72" s="152" t="e">
        <f>IF('内訳ﾘｽﾄ(4～3月)'!$D$5="工場間接",-SUM(O$68),IF('内訳ﾘｽﾄ(4～3月)'!$D$5="製造",SUMIF('内訳ﾘｽﾄ(4～3月)'!$D$8:$D$15,'採算表(VND)'!$B72,'内訳ﾘｽﾄ(4～3月)'!$R$8:$R$15),0))</f>
        <v>#N/A</v>
      </c>
      <c r="AQ72" s="71"/>
      <c r="AR72" s="71"/>
      <c r="AS72" s="71"/>
      <c r="AT72" s="71"/>
      <c r="AU72" s="69"/>
      <c r="AV72" s="70"/>
      <c r="AW72" s="70"/>
      <c r="AX72" s="70"/>
      <c r="AY72" s="70"/>
      <c r="BA72" s="72"/>
      <c r="BB72" s="72"/>
      <c r="BC72" s="72"/>
      <c r="BD72" s="72"/>
      <c r="BF72" s="69"/>
      <c r="BG72" s="69"/>
      <c r="BH72" s="69"/>
      <c r="BI72" s="69"/>
    </row>
    <row r="73" spans="1:61" ht="11.25" customHeight="1">
      <c r="A73" s="37"/>
      <c r="B73" s="40" t="s">
        <v>69</v>
      </c>
      <c r="C73" s="153" t="e">
        <f t="shared" ref="C73:N73" si="6">SUM(C68:C72)</f>
        <v>#N/A</v>
      </c>
      <c r="D73" s="153" t="e">
        <f t="shared" si="6"/>
        <v>#N/A</v>
      </c>
      <c r="E73" s="153" t="e">
        <f t="shared" si="6"/>
        <v>#N/A</v>
      </c>
      <c r="F73" s="153" t="e">
        <f t="shared" si="6"/>
        <v>#N/A</v>
      </c>
      <c r="G73" s="153" t="e">
        <f t="shared" si="6"/>
        <v>#N/A</v>
      </c>
      <c r="H73" s="153" t="e">
        <f t="shared" si="6"/>
        <v>#N/A</v>
      </c>
      <c r="I73" s="153" t="e">
        <f t="shared" si="6"/>
        <v>#N/A</v>
      </c>
      <c r="J73" s="153" t="e">
        <f t="shared" si="6"/>
        <v>#N/A</v>
      </c>
      <c r="K73" s="153" t="e">
        <f t="shared" si="6"/>
        <v>#N/A</v>
      </c>
      <c r="L73" s="153" t="e">
        <f t="shared" si="6"/>
        <v>#N/A</v>
      </c>
      <c r="M73" s="153" t="e">
        <f t="shared" si="6"/>
        <v>#N/A</v>
      </c>
      <c r="N73" s="153" t="e">
        <f t="shared" si="6"/>
        <v>#N/A</v>
      </c>
      <c r="O73" s="153" t="e">
        <f>IF(ISBLANK(O4),"",SUM(O68:O72))</f>
        <v>#N/A</v>
      </c>
      <c r="AQ73" s="71"/>
      <c r="AR73" s="71"/>
      <c r="AS73" s="71"/>
      <c r="AT73" s="71"/>
      <c r="AU73" s="69"/>
      <c r="AV73" s="70"/>
      <c r="AW73" s="70"/>
      <c r="AX73" s="70"/>
      <c r="AY73" s="70"/>
      <c r="BA73" s="72"/>
      <c r="BB73" s="72"/>
      <c r="BC73" s="72"/>
      <c r="BD73" s="72"/>
      <c r="BF73" s="69"/>
      <c r="BG73" s="69"/>
      <c r="BH73" s="69"/>
      <c r="BI73" s="69"/>
    </row>
    <row r="74" spans="1:61" ht="11.25" customHeight="1">
      <c r="A74" s="37"/>
      <c r="B74" s="38" t="s">
        <v>64</v>
      </c>
      <c r="C74" s="149">
        <f>SUMIF('内訳ﾘｽﾄ(4～3月)'!$D$16:$D$23,'採算表(VND)'!$B74,'内訳ﾘｽﾄ(4～3月)'!F$16:F$23)</f>
        <v>0</v>
      </c>
      <c r="D74" s="149">
        <f>SUMIF('内訳ﾘｽﾄ(4～3月)'!$D$16:$D$23,'採算表(VND)'!$B74,'内訳ﾘｽﾄ(4～3月)'!G$16:G$23)</f>
        <v>0</v>
      </c>
      <c r="E74" s="149">
        <f>SUMIF('内訳ﾘｽﾄ(4～3月)'!$D$16:$D$23,'採算表(VND)'!$B74,'内訳ﾘｽﾄ(4～3月)'!H$16:H$23)</f>
        <v>0</v>
      </c>
      <c r="F74" s="149">
        <f>SUMIF('内訳ﾘｽﾄ(4～3月)'!$D$16:$D$23,'採算表(VND)'!$B74,'内訳ﾘｽﾄ(4～3月)'!I$16:I$23)</f>
        <v>0</v>
      </c>
      <c r="G74" s="149">
        <f>SUMIF('内訳ﾘｽﾄ(4～3月)'!$D$16:$D$23,'採算表(VND)'!$B74,'内訳ﾘｽﾄ(4～3月)'!J$16:J$23)</f>
        <v>0</v>
      </c>
      <c r="H74" s="149">
        <f>SUMIF('内訳ﾘｽﾄ(4～3月)'!$D$16:$D$23,'採算表(VND)'!$B74,'内訳ﾘｽﾄ(4～3月)'!K$16:K$23)</f>
        <v>0</v>
      </c>
      <c r="I74" s="149">
        <f>SUMIF('内訳ﾘｽﾄ(4～3月)'!$D$16:$D$23,'採算表(VND)'!$B74,'内訳ﾘｽﾄ(4～3月)'!L$16:L$23)</f>
        <v>0</v>
      </c>
      <c r="J74" s="149">
        <f>SUMIF('内訳ﾘｽﾄ(4～3月)'!$D$16:$D$23,'採算表(VND)'!$B74,'内訳ﾘｽﾄ(4～3月)'!M$16:M$23)</f>
        <v>0</v>
      </c>
      <c r="K74" s="149">
        <f>SUMIF('内訳ﾘｽﾄ(4～3月)'!$D$16:$D$23,'採算表(VND)'!$B74,'内訳ﾘｽﾄ(4～3月)'!N$16:N$23)</f>
        <v>0</v>
      </c>
      <c r="L74" s="149">
        <f>SUMIF('内訳ﾘｽﾄ(4～3月)'!$D$16:$D$23,'採算表(VND)'!$B74,'内訳ﾘｽﾄ(4～3月)'!O$16:O$23)</f>
        <v>0</v>
      </c>
      <c r="M74" s="149">
        <f>SUMIF('内訳ﾘｽﾄ(4～3月)'!$D$16:$D$23,'採算表(VND)'!$B74,'内訳ﾘｽﾄ(4～3月)'!P$16:P$23)</f>
        <v>0</v>
      </c>
      <c r="N74" s="149">
        <f>SUMIF('内訳ﾘｽﾄ(4～3月)'!$D$16:$D$23,'採算表(VND)'!$B74,'内訳ﾘｽﾄ(4～3月)'!Q$16:Q$23)</f>
        <v>0</v>
      </c>
      <c r="O74" s="149">
        <f>SUMIF('内訳ﾘｽﾄ(4～3月)'!$D$16:$D$23,'採算表(VND)'!$B74,'内訳ﾘｽﾄ(4～3月)'!$R$16:$R$23)</f>
        <v>0</v>
      </c>
      <c r="AQ74" s="71"/>
      <c r="AR74" s="71"/>
      <c r="AS74" s="71"/>
      <c r="AT74" s="71"/>
      <c r="AU74" s="69"/>
      <c r="AV74" s="70"/>
      <c r="AW74" s="70"/>
      <c r="AX74" s="70"/>
      <c r="AY74" s="70"/>
      <c r="BA74" s="72"/>
      <c r="BB74" s="72"/>
      <c r="BC74" s="72"/>
      <c r="BD74" s="72"/>
      <c r="BF74" s="69"/>
      <c r="BG74" s="69"/>
      <c r="BH74" s="69"/>
      <c r="BI74" s="69"/>
    </row>
    <row r="75" spans="1:61">
      <c r="A75" s="37"/>
      <c r="B75" s="36" t="s">
        <v>65</v>
      </c>
      <c r="C75" s="150" t="e">
        <f>IF('内訳ﾘｽﾄ(4～3月)'!$D$5="製造",SUMIF('内訳ﾘｽﾄ(4～3月)'!$D$16:$D$23,$B75,'内訳ﾘｽﾄ(4～3月)'!F$16:F$23),IF('内訳ﾘｽﾄ(4～3月)'!$D$5="部内間接",-C$74,0))</f>
        <v>#N/A</v>
      </c>
      <c r="D75" s="150" t="e">
        <f>IF('内訳ﾘｽﾄ(4～3月)'!$D$5="製造",SUMIF('内訳ﾘｽﾄ(4～3月)'!$D$16:$D$23,$B75,'内訳ﾘｽﾄ(4～3月)'!G$16:G$23),IF('内訳ﾘｽﾄ(4～3月)'!$D$5="部内間接",-D$74,0))</f>
        <v>#N/A</v>
      </c>
      <c r="E75" s="150" t="e">
        <f>IF('内訳ﾘｽﾄ(4～3月)'!$D$5="製造",SUMIF('内訳ﾘｽﾄ(4～3月)'!$D$16:$D$23,$B75,'内訳ﾘｽﾄ(4～3月)'!H$16:H$23),IF('内訳ﾘｽﾄ(4～3月)'!$D$5="部内間接",-E$74,0))</f>
        <v>#N/A</v>
      </c>
      <c r="F75" s="150" t="e">
        <f>IF('内訳ﾘｽﾄ(4～3月)'!$D$5="製造",SUMIF('内訳ﾘｽﾄ(4～3月)'!$D$16:$D$23,$B75,'内訳ﾘｽﾄ(4～3月)'!I$16:I$23),IF('内訳ﾘｽﾄ(4～3月)'!$D$5="部内間接",-F$74,0))</f>
        <v>#N/A</v>
      </c>
      <c r="G75" s="150" t="e">
        <f>IF('内訳ﾘｽﾄ(4～3月)'!$D$5="製造",SUMIF('内訳ﾘｽﾄ(4～3月)'!$D$16:$D$23,$B75,'内訳ﾘｽﾄ(4～3月)'!J$16:J$23),IF('内訳ﾘｽﾄ(4～3月)'!$D$5="部内間接",-G$74,0))</f>
        <v>#N/A</v>
      </c>
      <c r="H75" s="150" t="e">
        <f>IF('内訳ﾘｽﾄ(4～3月)'!$D$5="製造",SUMIF('内訳ﾘｽﾄ(4～3月)'!$D$16:$D$23,$B75,'内訳ﾘｽﾄ(4～3月)'!K$16:K$23),IF('内訳ﾘｽﾄ(4～3月)'!$D$5="部内間接",-H$74,0))</f>
        <v>#N/A</v>
      </c>
      <c r="I75" s="150" t="e">
        <f>IF('内訳ﾘｽﾄ(4～3月)'!$D$5="製造",SUMIF('内訳ﾘｽﾄ(4～3月)'!$D$16:$D$23,$B75,'内訳ﾘｽﾄ(4～3月)'!L$16:L$23),IF('内訳ﾘｽﾄ(4～3月)'!$D$5="部内間接",-I$74,0))</f>
        <v>#N/A</v>
      </c>
      <c r="J75" s="150" t="e">
        <f>IF('内訳ﾘｽﾄ(4～3月)'!$D$5="製造",SUMIF('内訳ﾘｽﾄ(4～3月)'!$D$16:$D$23,$B75,'内訳ﾘｽﾄ(4～3月)'!M$16:M$23),IF('内訳ﾘｽﾄ(4～3月)'!$D$5="部内間接",-J$74,0))</f>
        <v>#N/A</v>
      </c>
      <c r="K75" s="150" t="e">
        <f>IF('内訳ﾘｽﾄ(4～3月)'!$D$5="製造",SUMIF('内訳ﾘｽﾄ(4～3月)'!$D$16:$D$23,$B75,'内訳ﾘｽﾄ(4～3月)'!N$16:N$23),IF('内訳ﾘｽﾄ(4～3月)'!$D$5="部内間接",-K$74,0))</f>
        <v>#N/A</v>
      </c>
      <c r="L75" s="150" t="e">
        <f>IF('内訳ﾘｽﾄ(4～3月)'!$D$5="製造",SUMIF('内訳ﾘｽﾄ(4～3月)'!$D$16:$D$23,$B75,'内訳ﾘｽﾄ(4～3月)'!O$16:O$23),IF('内訳ﾘｽﾄ(4～3月)'!$D$5="部内間接",-L$74,0))</f>
        <v>#N/A</v>
      </c>
      <c r="M75" s="150" t="e">
        <f>IF('内訳ﾘｽﾄ(4～3月)'!$D$5="製造",SUMIF('内訳ﾘｽﾄ(4～3月)'!$D$16:$D$23,$B75,'内訳ﾘｽﾄ(4～3月)'!P$16:P$23),IF('内訳ﾘｽﾄ(4～3月)'!$D$5="部内間接",-M$74,0))</f>
        <v>#N/A</v>
      </c>
      <c r="N75" s="150" t="e">
        <f>IF('内訳ﾘｽﾄ(4～3月)'!$D$5="製造",SUMIF('内訳ﾘｽﾄ(4～3月)'!$D$16:$D$23,$B75,'内訳ﾘｽﾄ(4～3月)'!Q$16:Q$23),IF('内訳ﾘｽﾄ(4～3月)'!$D$5="部内間接",-N$74,0))</f>
        <v>#N/A</v>
      </c>
      <c r="O75" s="150" t="e">
        <f>IF('内訳ﾘｽﾄ(4～3月)'!$D$5="部内間接",-SUM(O$74),IF('内訳ﾘｽﾄ(4～3月)'!$D$5="製造",SUMIF('内訳ﾘｽﾄ(4～3月)'!$D$16:$D$23,'採算表(VND)'!$B75,'内訳ﾘｽﾄ(4～3月)'!$R$16:$R$23),0))</f>
        <v>#N/A</v>
      </c>
      <c r="AQ75" s="71"/>
      <c r="AR75" s="71"/>
      <c r="AS75" s="71"/>
      <c r="AT75" s="71"/>
      <c r="AU75" s="69"/>
      <c r="AV75" s="70"/>
      <c r="AW75" s="70"/>
      <c r="AX75" s="70"/>
      <c r="AY75" s="70"/>
      <c r="BA75" s="72"/>
      <c r="BB75" s="72"/>
      <c r="BC75" s="72"/>
      <c r="BD75" s="72"/>
      <c r="BF75" s="69"/>
      <c r="BG75" s="69"/>
      <c r="BH75" s="69"/>
      <c r="BI75" s="69"/>
    </row>
    <row r="76" spans="1:61">
      <c r="A76" s="37"/>
      <c r="B76" s="36" t="s">
        <v>66</v>
      </c>
      <c r="C76" s="151" t="e">
        <f>IF('内訳ﾘｽﾄ(4～3月)'!$D$5="製造",SUMIF('内訳ﾘｽﾄ(4～3月)'!$D$16:$D$23,$B76,'内訳ﾘｽﾄ(4～3月)'!F$16:F$23),IF('内訳ﾘｽﾄ(4～3月)'!$D$5="部外間接1",-C$74,0))</f>
        <v>#N/A</v>
      </c>
      <c r="D76" s="151" t="e">
        <f>IF('内訳ﾘｽﾄ(4～3月)'!$D$5="製造",SUMIF('内訳ﾘｽﾄ(4～3月)'!$D$16:$D$23,$B76,'内訳ﾘｽﾄ(4～3月)'!G$16:G$23),IF('内訳ﾘｽﾄ(4～3月)'!$D$5="部外間接1",-D$74,0))</f>
        <v>#N/A</v>
      </c>
      <c r="E76" s="151" t="e">
        <f>IF('内訳ﾘｽﾄ(4～3月)'!$D$5="製造",SUMIF('内訳ﾘｽﾄ(4～3月)'!$D$16:$D$23,$B76,'内訳ﾘｽﾄ(4～3月)'!H$16:H$23),IF('内訳ﾘｽﾄ(4～3月)'!$D$5="部外間接1",-E$74,0))</f>
        <v>#N/A</v>
      </c>
      <c r="F76" s="151" t="e">
        <f>IF('内訳ﾘｽﾄ(4～3月)'!$D$5="製造",SUMIF('内訳ﾘｽﾄ(4～3月)'!$D$16:$D$23,$B76,'内訳ﾘｽﾄ(4～3月)'!I$16:I$23),IF('内訳ﾘｽﾄ(4～3月)'!$D$5="部外間接1",-F$74,0))</f>
        <v>#N/A</v>
      </c>
      <c r="G76" s="151" t="e">
        <f>IF('内訳ﾘｽﾄ(4～3月)'!$D$5="製造",SUMIF('内訳ﾘｽﾄ(4～3月)'!$D$16:$D$23,$B76,'内訳ﾘｽﾄ(4～3月)'!J$16:J$23),IF('内訳ﾘｽﾄ(4～3月)'!$D$5="部外間接1",-G$74,0))</f>
        <v>#N/A</v>
      </c>
      <c r="H76" s="151" t="e">
        <f>IF('内訳ﾘｽﾄ(4～3月)'!$D$5="製造",SUMIF('内訳ﾘｽﾄ(4～3月)'!$D$16:$D$23,$B76,'内訳ﾘｽﾄ(4～3月)'!K$16:K$23),IF('内訳ﾘｽﾄ(4～3月)'!$D$5="部外間接1",-H$74,0))</f>
        <v>#N/A</v>
      </c>
      <c r="I76" s="151" t="e">
        <f>IF('内訳ﾘｽﾄ(4～3月)'!$D$5="製造",SUMIF('内訳ﾘｽﾄ(4～3月)'!$D$16:$D$23,$B76,'内訳ﾘｽﾄ(4～3月)'!L$16:L$23),IF('内訳ﾘｽﾄ(4～3月)'!$D$5="部外間接1",-I$74,0))</f>
        <v>#N/A</v>
      </c>
      <c r="J76" s="151" t="e">
        <f>IF('内訳ﾘｽﾄ(4～3月)'!$D$5="製造",SUMIF('内訳ﾘｽﾄ(4～3月)'!$D$16:$D$23,$B76,'内訳ﾘｽﾄ(4～3月)'!M$16:M$23),IF('内訳ﾘｽﾄ(4～3月)'!$D$5="部外間接1",-J$74,0))</f>
        <v>#N/A</v>
      </c>
      <c r="K76" s="151" t="e">
        <f>IF('内訳ﾘｽﾄ(4～3月)'!$D$5="製造",SUMIF('内訳ﾘｽﾄ(4～3月)'!$D$16:$D$23,$B76,'内訳ﾘｽﾄ(4～3月)'!N$16:N$23),IF('内訳ﾘｽﾄ(4～3月)'!$D$5="部外間接1",-K$74,0))</f>
        <v>#N/A</v>
      </c>
      <c r="L76" s="151" t="e">
        <f>IF('内訳ﾘｽﾄ(4～3月)'!$D$5="製造",SUMIF('内訳ﾘｽﾄ(4～3月)'!$D$16:$D$23,$B76,'内訳ﾘｽﾄ(4～3月)'!O$16:O$23),IF('内訳ﾘｽﾄ(4～3月)'!$D$5="部外間接1",-L$74,0))</f>
        <v>#N/A</v>
      </c>
      <c r="M76" s="151" t="e">
        <f>IF('内訳ﾘｽﾄ(4～3月)'!$D$5="製造",SUMIF('内訳ﾘｽﾄ(4～3月)'!$D$16:$D$23,$B76,'内訳ﾘｽﾄ(4～3月)'!P$16:P$23),IF('内訳ﾘｽﾄ(4～3月)'!$D$5="部外間接1",-M$74,0))</f>
        <v>#N/A</v>
      </c>
      <c r="N76" s="151" t="e">
        <f>IF('内訳ﾘｽﾄ(4～3月)'!$D$5="製造",SUMIF('内訳ﾘｽﾄ(4～3月)'!$D$16:$D$23,$B76,'内訳ﾘｽﾄ(4～3月)'!Q$16:Q$23),IF('内訳ﾘｽﾄ(4～3月)'!$D$5="部外間接1",-N$74,0))</f>
        <v>#N/A</v>
      </c>
      <c r="O76" s="151" t="e">
        <f>IF('内訳ﾘｽﾄ(4～3月)'!$D$5="部外間接1",-SUM(O$74),IF('内訳ﾘｽﾄ(4～3月)'!$D$5="製造",SUMIF('内訳ﾘｽﾄ(4～3月)'!$D$16:$D$23,'採算表(VND)'!$B76,'内訳ﾘｽﾄ(4～3月)'!$R$16:$R$23),0))</f>
        <v>#N/A</v>
      </c>
      <c r="AQ76" s="71"/>
      <c r="AR76" s="71"/>
      <c r="AS76" s="71"/>
      <c r="AT76" s="71"/>
      <c r="AU76" s="69"/>
      <c r="AV76" s="70"/>
      <c r="AW76" s="70"/>
      <c r="AX76" s="70"/>
      <c r="AY76" s="70"/>
      <c r="BA76" s="72"/>
      <c r="BB76" s="72"/>
      <c r="BC76" s="72"/>
      <c r="BD76" s="72"/>
      <c r="BF76" s="69"/>
      <c r="BG76" s="69"/>
      <c r="BH76" s="69"/>
      <c r="BI76" s="69"/>
    </row>
    <row r="77" spans="1:61">
      <c r="A77" s="37"/>
      <c r="B77" s="36" t="s">
        <v>67</v>
      </c>
      <c r="C77" s="151" t="e">
        <f>IF('内訳ﾘｽﾄ(4～3月)'!$D$5="製造",SUMIF('内訳ﾘｽﾄ(4～3月)'!$D$16:$D$23,$B77,'内訳ﾘｽﾄ(4～3月)'!F$16:F$23),IF('内訳ﾘｽﾄ(4～3月)'!$D$5="部外間接2",-C$74,0))</f>
        <v>#N/A</v>
      </c>
      <c r="D77" s="151" t="e">
        <f>IF('内訳ﾘｽﾄ(4～3月)'!$D$5="製造",SUMIF('内訳ﾘｽﾄ(4～3月)'!$D$16:$D$23,$B77,'内訳ﾘｽﾄ(4～3月)'!G$16:G$23),IF('内訳ﾘｽﾄ(4～3月)'!$D$5="部外間接2",-D$74,0))</f>
        <v>#N/A</v>
      </c>
      <c r="E77" s="151" t="e">
        <f>IF('内訳ﾘｽﾄ(4～3月)'!$D$5="製造",SUMIF('内訳ﾘｽﾄ(4～3月)'!$D$16:$D$23,$B77,'内訳ﾘｽﾄ(4～3月)'!H$16:H$23),IF('内訳ﾘｽﾄ(4～3月)'!$D$5="部外間接2",-E$74,0))</f>
        <v>#N/A</v>
      </c>
      <c r="F77" s="151" t="e">
        <f>IF('内訳ﾘｽﾄ(4～3月)'!$D$5="製造",SUMIF('内訳ﾘｽﾄ(4～3月)'!$D$16:$D$23,$B77,'内訳ﾘｽﾄ(4～3月)'!I$16:I$23),IF('内訳ﾘｽﾄ(4～3月)'!$D$5="部外間接2",-F$74,0))</f>
        <v>#N/A</v>
      </c>
      <c r="G77" s="151" t="e">
        <f>IF('内訳ﾘｽﾄ(4～3月)'!$D$5="製造",SUMIF('内訳ﾘｽﾄ(4～3月)'!$D$16:$D$23,$B77,'内訳ﾘｽﾄ(4～3月)'!J$16:J$23),IF('内訳ﾘｽﾄ(4～3月)'!$D$5="部外間接2",-G$74,0))</f>
        <v>#N/A</v>
      </c>
      <c r="H77" s="151" t="e">
        <f>IF('内訳ﾘｽﾄ(4～3月)'!$D$5="製造",SUMIF('内訳ﾘｽﾄ(4～3月)'!$D$16:$D$23,$B77,'内訳ﾘｽﾄ(4～3月)'!K$16:K$23),IF('内訳ﾘｽﾄ(4～3月)'!$D$5="部外間接2",-H$74,0))</f>
        <v>#N/A</v>
      </c>
      <c r="I77" s="151" t="e">
        <f>IF('内訳ﾘｽﾄ(4～3月)'!$D$5="製造",SUMIF('内訳ﾘｽﾄ(4～3月)'!$D$16:$D$23,$B77,'内訳ﾘｽﾄ(4～3月)'!L$16:L$23),IF('内訳ﾘｽﾄ(4～3月)'!$D$5="部外間接2",-I$74,0))</f>
        <v>#N/A</v>
      </c>
      <c r="J77" s="151" t="e">
        <f>IF('内訳ﾘｽﾄ(4～3月)'!$D$5="製造",SUMIF('内訳ﾘｽﾄ(4～3月)'!$D$16:$D$23,$B77,'内訳ﾘｽﾄ(4～3月)'!M$16:M$23),IF('内訳ﾘｽﾄ(4～3月)'!$D$5="部外間接2",-J$74,0))</f>
        <v>#N/A</v>
      </c>
      <c r="K77" s="151" t="e">
        <f>IF('内訳ﾘｽﾄ(4～3月)'!$D$5="製造",SUMIF('内訳ﾘｽﾄ(4～3月)'!$D$16:$D$23,$B77,'内訳ﾘｽﾄ(4～3月)'!N$16:N$23),IF('内訳ﾘｽﾄ(4～3月)'!$D$5="部外間接2",-K$74,0))</f>
        <v>#N/A</v>
      </c>
      <c r="L77" s="151" t="e">
        <f>IF('内訳ﾘｽﾄ(4～3月)'!$D$5="製造",SUMIF('内訳ﾘｽﾄ(4～3月)'!$D$16:$D$23,$B77,'内訳ﾘｽﾄ(4～3月)'!O$16:O$23),IF('内訳ﾘｽﾄ(4～3月)'!$D$5="部外間接2",-L$74,0))</f>
        <v>#N/A</v>
      </c>
      <c r="M77" s="151" t="e">
        <f>IF('内訳ﾘｽﾄ(4～3月)'!$D$5="製造",SUMIF('内訳ﾘｽﾄ(4～3月)'!$D$16:$D$23,$B77,'内訳ﾘｽﾄ(4～3月)'!P$16:P$23),IF('内訳ﾘｽﾄ(4～3月)'!$D$5="部外間接2",-M$74,0))</f>
        <v>#N/A</v>
      </c>
      <c r="N77" s="151" t="e">
        <f>IF('内訳ﾘｽﾄ(4～3月)'!$D$5="製造",SUMIF('内訳ﾘｽﾄ(4～3月)'!$D$16:$D$23,$B77,'内訳ﾘｽﾄ(4～3月)'!Q$16:Q$23),IF('内訳ﾘｽﾄ(4～3月)'!$D$5="部外間接2",-N$74,0))</f>
        <v>#N/A</v>
      </c>
      <c r="O77" s="151" t="e">
        <f>IF('内訳ﾘｽﾄ(4～3月)'!$D$5="部外間接2",-SUM(O$74),IF('内訳ﾘｽﾄ(4～3月)'!$D$5="製造",SUMIF('内訳ﾘｽﾄ(4～3月)'!$D$16:$D$23,'採算表(VND)'!$B77,'内訳ﾘｽﾄ(4～3月)'!$R$16:$R$23),0))</f>
        <v>#N/A</v>
      </c>
      <c r="AQ77" s="71"/>
      <c r="AR77" s="71"/>
      <c r="AS77" s="71"/>
      <c r="AT77" s="71"/>
      <c r="AU77" s="69"/>
      <c r="AV77" s="70"/>
      <c r="AW77" s="70"/>
      <c r="AX77" s="70"/>
      <c r="AY77" s="70"/>
      <c r="BA77" s="72"/>
      <c r="BB77" s="72"/>
      <c r="BC77" s="72"/>
      <c r="BD77" s="72"/>
      <c r="BF77" s="69"/>
      <c r="BG77" s="69"/>
      <c r="BH77" s="69"/>
      <c r="BI77" s="69"/>
    </row>
    <row r="78" spans="1:61">
      <c r="A78" s="37"/>
      <c r="B78" s="39" t="s">
        <v>68</v>
      </c>
      <c r="C78" s="152" t="e">
        <f>IF('内訳ﾘｽﾄ(4～3月)'!$D$5="製造",SUMIF('内訳ﾘｽﾄ(4～3月)'!$D$16:$D$23,$B78,'内訳ﾘｽﾄ(4～3月)'!F$16:F$23),IF('内訳ﾘｽﾄ(4～3月)'!$D$5="工場間接",-C$74,0))</f>
        <v>#N/A</v>
      </c>
      <c r="D78" s="152" t="e">
        <f>IF('内訳ﾘｽﾄ(4～3月)'!$D$5="製造",SUMIF('内訳ﾘｽﾄ(4～3月)'!$D$16:$D$23,$B78,'内訳ﾘｽﾄ(4～3月)'!G$16:G$23),IF('内訳ﾘｽﾄ(4～3月)'!$D$5="工場間接",-D$74,0))</f>
        <v>#N/A</v>
      </c>
      <c r="E78" s="152" t="e">
        <f>IF('内訳ﾘｽﾄ(4～3月)'!$D$5="製造",SUMIF('内訳ﾘｽﾄ(4～3月)'!$D$16:$D$23,$B78,'内訳ﾘｽﾄ(4～3月)'!H$16:H$23),IF('内訳ﾘｽﾄ(4～3月)'!$D$5="工場間接",-E$74,0))</f>
        <v>#N/A</v>
      </c>
      <c r="F78" s="152" t="e">
        <f>IF('内訳ﾘｽﾄ(4～3月)'!$D$5="製造",SUMIF('内訳ﾘｽﾄ(4～3月)'!$D$16:$D$23,$B78,'内訳ﾘｽﾄ(4～3月)'!I$16:I$23),IF('内訳ﾘｽﾄ(4～3月)'!$D$5="工場間接",-F$74,0))</f>
        <v>#N/A</v>
      </c>
      <c r="G78" s="152" t="e">
        <f>IF('内訳ﾘｽﾄ(4～3月)'!$D$5="製造",SUMIF('内訳ﾘｽﾄ(4～3月)'!$D$16:$D$23,$B78,'内訳ﾘｽﾄ(4～3月)'!J$16:J$23),IF('内訳ﾘｽﾄ(4～3月)'!$D$5="工場間接",-G$74,0))</f>
        <v>#N/A</v>
      </c>
      <c r="H78" s="152" t="e">
        <f>IF('内訳ﾘｽﾄ(4～3月)'!$D$5="製造",SUMIF('内訳ﾘｽﾄ(4～3月)'!$D$16:$D$23,$B78,'内訳ﾘｽﾄ(4～3月)'!K$16:K$23),IF('内訳ﾘｽﾄ(4～3月)'!$D$5="工場間接",-H$74,0))</f>
        <v>#N/A</v>
      </c>
      <c r="I78" s="152" t="e">
        <f>IF('内訳ﾘｽﾄ(4～3月)'!$D$5="製造",SUMIF('内訳ﾘｽﾄ(4～3月)'!$D$16:$D$23,$B78,'内訳ﾘｽﾄ(4～3月)'!L$16:L$23),IF('内訳ﾘｽﾄ(4～3月)'!$D$5="工場間接",-I$74,0))</f>
        <v>#N/A</v>
      </c>
      <c r="J78" s="152" t="e">
        <f>IF('内訳ﾘｽﾄ(4～3月)'!$D$5="製造",SUMIF('内訳ﾘｽﾄ(4～3月)'!$D$16:$D$23,$B78,'内訳ﾘｽﾄ(4～3月)'!M$16:M$23),IF('内訳ﾘｽﾄ(4～3月)'!$D$5="工場間接",-J$74,0))</f>
        <v>#N/A</v>
      </c>
      <c r="K78" s="152" t="e">
        <f>IF('内訳ﾘｽﾄ(4～3月)'!$D$5="製造",SUMIF('内訳ﾘｽﾄ(4～3月)'!$D$16:$D$23,$B78,'内訳ﾘｽﾄ(4～3月)'!N$16:N$23),IF('内訳ﾘｽﾄ(4～3月)'!$D$5="工場間接",-K$74,0))</f>
        <v>#N/A</v>
      </c>
      <c r="L78" s="152" t="e">
        <f>IF('内訳ﾘｽﾄ(4～3月)'!$D$5="製造",SUMIF('内訳ﾘｽﾄ(4～3月)'!$D$16:$D$23,$B78,'内訳ﾘｽﾄ(4～3月)'!O$16:O$23),IF('内訳ﾘｽﾄ(4～3月)'!$D$5="工場間接",-L$74,0))</f>
        <v>#N/A</v>
      </c>
      <c r="M78" s="152" t="e">
        <f>IF('内訳ﾘｽﾄ(4～3月)'!$D$5="製造",SUMIF('内訳ﾘｽﾄ(4～3月)'!$D$16:$D$23,$B78,'内訳ﾘｽﾄ(4～3月)'!P$16:P$23),IF('内訳ﾘｽﾄ(4～3月)'!$D$5="工場間接",-M$74,0))</f>
        <v>#N/A</v>
      </c>
      <c r="N78" s="152" t="e">
        <f>IF('内訳ﾘｽﾄ(4～3月)'!$D$5="製造",SUMIF('内訳ﾘｽﾄ(4～3月)'!$D$16:$D$23,$B78,'内訳ﾘｽﾄ(4～3月)'!Q$16:Q$23),IF('内訳ﾘｽﾄ(4～3月)'!$D$5="工場間接",-N$74,0))</f>
        <v>#N/A</v>
      </c>
      <c r="O78" s="152" t="e">
        <f>IF('内訳ﾘｽﾄ(4～3月)'!$D$5="工場間接",-SUM(O$74),IF('内訳ﾘｽﾄ(4～3月)'!$D$5="製造",SUMIF('内訳ﾘｽﾄ(4～3月)'!$D$16:$D$23,'採算表(VND)'!$B78,'内訳ﾘｽﾄ(4～3月)'!$R$16:$R$23),0))</f>
        <v>#N/A</v>
      </c>
      <c r="AQ78" s="71"/>
      <c r="AR78" s="71"/>
      <c r="AS78" s="71"/>
      <c r="AT78" s="71"/>
      <c r="AU78" s="69"/>
      <c r="AV78" s="70"/>
      <c r="AW78" s="70"/>
      <c r="AX78" s="70"/>
      <c r="AY78" s="70"/>
      <c r="BA78" s="72"/>
      <c r="BB78" s="72"/>
      <c r="BC78" s="72"/>
      <c r="BD78" s="72"/>
      <c r="BF78" s="69"/>
      <c r="BG78" s="69"/>
      <c r="BH78" s="69"/>
      <c r="BI78" s="69"/>
    </row>
    <row r="79" spans="1:61" ht="14.25" customHeight="1">
      <c r="A79" s="37"/>
      <c r="B79" s="40" t="s">
        <v>70</v>
      </c>
      <c r="C79" s="153" t="e">
        <f t="shared" ref="C79:N79" si="7">SUM(C74:C78)</f>
        <v>#N/A</v>
      </c>
      <c r="D79" s="153" t="e">
        <f t="shared" si="7"/>
        <v>#N/A</v>
      </c>
      <c r="E79" s="153" t="e">
        <f t="shared" si="7"/>
        <v>#N/A</v>
      </c>
      <c r="F79" s="153" t="e">
        <f t="shared" si="7"/>
        <v>#N/A</v>
      </c>
      <c r="G79" s="153" t="e">
        <f t="shared" si="7"/>
        <v>#N/A</v>
      </c>
      <c r="H79" s="153" t="e">
        <f t="shared" si="7"/>
        <v>#N/A</v>
      </c>
      <c r="I79" s="153" t="e">
        <f t="shared" si="7"/>
        <v>#N/A</v>
      </c>
      <c r="J79" s="153" t="e">
        <f t="shared" si="7"/>
        <v>#N/A</v>
      </c>
      <c r="K79" s="153" t="e">
        <f t="shared" si="7"/>
        <v>#N/A</v>
      </c>
      <c r="L79" s="153" t="e">
        <f t="shared" si="7"/>
        <v>#N/A</v>
      </c>
      <c r="M79" s="153" t="e">
        <f t="shared" si="7"/>
        <v>#N/A</v>
      </c>
      <c r="N79" s="153" t="e">
        <f t="shared" si="7"/>
        <v>#N/A</v>
      </c>
      <c r="O79" s="153" t="e">
        <f>IF(ISBLANK(O10),"",SUM(O74:O78))</f>
        <v>#N/A</v>
      </c>
      <c r="AQ79" s="71"/>
      <c r="AR79" s="71"/>
      <c r="AS79" s="71"/>
      <c r="AT79" s="71"/>
      <c r="AU79" s="69"/>
      <c r="AV79" s="70"/>
      <c r="AW79" s="70"/>
      <c r="AX79" s="70"/>
      <c r="AY79" s="70"/>
      <c r="BA79" s="72"/>
      <c r="BB79" s="72"/>
      <c r="BC79" s="72"/>
      <c r="BD79" s="72"/>
      <c r="BF79" s="69"/>
      <c r="BG79" s="69"/>
      <c r="BH79" s="69"/>
      <c r="BI79" s="69"/>
    </row>
    <row r="80" spans="1:61" ht="14.25" customHeight="1">
      <c r="A80" s="25"/>
      <c r="B80" s="31" t="s">
        <v>71</v>
      </c>
      <c r="C80" s="154">
        <f t="shared" ref="C80:O80" si="8">IFERROR(ROUNDDOWN(C66/C67,0),0)</f>
        <v>0</v>
      </c>
      <c r="D80" s="154">
        <f t="shared" si="8"/>
        <v>0</v>
      </c>
      <c r="E80" s="154">
        <f t="shared" si="8"/>
        <v>0</v>
      </c>
      <c r="F80" s="154">
        <f t="shared" si="8"/>
        <v>0</v>
      </c>
      <c r="G80" s="154">
        <f t="shared" si="8"/>
        <v>0</v>
      </c>
      <c r="H80" s="154">
        <f t="shared" si="8"/>
        <v>0</v>
      </c>
      <c r="I80" s="154">
        <f t="shared" si="8"/>
        <v>0</v>
      </c>
      <c r="J80" s="154">
        <f t="shared" si="8"/>
        <v>0</v>
      </c>
      <c r="K80" s="154">
        <f t="shared" si="8"/>
        <v>0</v>
      </c>
      <c r="L80" s="154">
        <f t="shared" si="8"/>
        <v>0</v>
      </c>
      <c r="M80" s="154">
        <f t="shared" si="8"/>
        <v>0</v>
      </c>
      <c r="N80" s="154">
        <f t="shared" si="8"/>
        <v>0</v>
      </c>
      <c r="O80" s="154">
        <f t="shared" si="8"/>
        <v>0</v>
      </c>
      <c r="AQ80" s="71"/>
      <c r="AR80" s="71"/>
      <c r="AS80" s="71"/>
      <c r="AT80" s="71"/>
      <c r="AU80" s="69"/>
      <c r="AV80" s="70"/>
      <c r="AW80" s="70"/>
      <c r="AX80" s="70"/>
      <c r="AY80" s="70"/>
      <c r="BA80" s="72"/>
      <c r="BB80" s="72"/>
      <c r="BC80" s="72"/>
      <c r="BD80" s="72"/>
      <c r="BF80" s="69"/>
      <c r="BG80" s="69"/>
      <c r="BH80" s="69"/>
      <c r="BI80" s="69"/>
    </row>
    <row r="81" spans="1:61" ht="14.25" customHeight="1">
      <c r="A81" s="25"/>
      <c r="B81" s="41" t="s">
        <v>72</v>
      </c>
      <c r="C81" s="153">
        <f t="shared" ref="C81:O81" si="9">IFERROR(ROUNDDOWN(C12/C67,0),0)</f>
        <v>0</v>
      </c>
      <c r="D81" s="153">
        <f t="shared" si="9"/>
        <v>0</v>
      </c>
      <c r="E81" s="153">
        <f t="shared" si="9"/>
        <v>0</v>
      </c>
      <c r="F81" s="153">
        <f t="shared" si="9"/>
        <v>0</v>
      </c>
      <c r="G81" s="153">
        <f t="shared" si="9"/>
        <v>0</v>
      </c>
      <c r="H81" s="153">
        <f t="shared" si="9"/>
        <v>0</v>
      </c>
      <c r="I81" s="153">
        <f t="shared" si="9"/>
        <v>0</v>
      </c>
      <c r="J81" s="153">
        <f t="shared" si="9"/>
        <v>0</v>
      </c>
      <c r="K81" s="153">
        <f t="shared" si="9"/>
        <v>0</v>
      </c>
      <c r="L81" s="153">
        <f t="shared" si="9"/>
        <v>0</v>
      </c>
      <c r="M81" s="153">
        <f t="shared" si="9"/>
        <v>0</v>
      </c>
      <c r="N81" s="153">
        <f t="shared" si="9"/>
        <v>0</v>
      </c>
      <c r="O81" s="153">
        <f t="shared" si="9"/>
        <v>0</v>
      </c>
      <c r="AQ81" s="71"/>
      <c r="AR81" s="71"/>
      <c r="AS81" s="71"/>
      <c r="AT81" s="71"/>
      <c r="AU81" s="69"/>
      <c r="AV81" s="70"/>
      <c r="AW81" s="70"/>
      <c r="AX81" s="70"/>
      <c r="AY81" s="70"/>
      <c r="BA81" s="72"/>
      <c r="BB81" s="72"/>
      <c r="BC81" s="72"/>
      <c r="BD81" s="72"/>
      <c r="BF81" s="69"/>
      <c r="BG81" s="69"/>
      <c r="BH81" s="69"/>
      <c r="BI81" s="69"/>
    </row>
    <row r="82" spans="1:61" ht="13" customHeight="1"/>
    <row r="83" spans="1:61" ht="13" customHeight="1"/>
    <row r="84" spans="1:61" ht="13" customHeight="1"/>
    <row r="85" spans="1:61" ht="13" customHeight="1"/>
    <row r="86" spans="1:61">
      <c r="A86" s="61"/>
      <c r="B86" s="16" t="s">
        <v>73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AQ86" s="71"/>
      <c r="AR86" s="71"/>
      <c r="AS86" s="71"/>
      <c r="AT86" s="71"/>
      <c r="AU86" s="69"/>
      <c r="AV86" s="70"/>
      <c r="AW86" s="70"/>
      <c r="AX86" s="70"/>
      <c r="AY86" s="70"/>
      <c r="BA86" s="72"/>
      <c r="BB86" s="72"/>
      <c r="BC86" s="72"/>
      <c r="BD86" s="72"/>
      <c r="BF86" s="69"/>
      <c r="BG86" s="69"/>
      <c r="BH86" s="69"/>
      <c r="BI86" s="69"/>
    </row>
    <row r="87" spans="1:61">
      <c r="A87" s="42"/>
      <c r="B87" s="57" t="s">
        <v>74</v>
      </c>
      <c r="C87" s="137">
        <f>SUMIF('内訳ﾘｽﾄ(4～3月)'!$D$24:$D$25,'採算表(VND)'!$B87,'内訳ﾘｽﾄ(4～3月)'!F$24:F$25)</f>
        <v>0</v>
      </c>
      <c r="D87" s="137">
        <f>SUMIF('内訳ﾘｽﾄ(4～3月)'!$D$24:$D$25,'採算表(VND)'!$B87,'内訳ﾘｽﾄ(4～3月)'!G$24:G$25)</f>
        <v>0</v>
      </c>
      <c r="E87" s="137">
        <f>SUMIF('内訳ﾘｽﾄ(4～3月)'!$D$24:$D$25,'採算表(VND)'!$B87,'内訳ﾘｽﾄ(4～3月)'!H$24:H$25)</f>
        <v>0</v>
      </c>
      <c r="F87" s="137">
        <f>SUMIF('内訳ﾘｽﾄ(4～3月)'!$D$24:$D$25,'採算表(VND)'!$B87,'内訳ﾘｽﾄ(4～3月)'!I$24:I$25)</f>
        <v>0</v>
      </c>
      <c r="G87" s="137">
        <f>SUMIF('内訳ﾘｽﾄ(4～3月)'!$D$24:$D$25,'採算表(VND)'!$B87,'内訳ﾘｽﾄ(4～3月)'!J$24:J$25)</f>
        <v>0</v>
      </c>
      <c r="H87" s="137">
        <f>SUMIF('内訳ﾘｽﾄ(4～3月)'!$D$24:$D$25,'採算表(VND)'!$B87,'内訳ﾘｽﾄ(4～3月)'!K$24:K$25)</f>
        <v>0</v>
      </c>
      <c r="I87" s="137">
        <f>SUMIF('内訳ﾘｽﾄ(4～3月)'!$D$24:$D$25,'採算表(VND)'!$B87,'内訳ﾘｽﾄ(4～3月)'!L$24:L$25)</f>
        <v>0</v>
      </c>
      <c r="J87" s="137">
        <f>SUMIF('内訳ﾘｽﾄ(4～3月)'!$D$24:$D$25,'採算表(VND)'!$B87,'内訳ﾘｽﾄ(4～3月)'!M$24:M$25)</f>
        <v>0</v>
      </c>
      <c r="K87" s="137">
        <f>SUMIF('内訳ﾘｽﾄ(4～3月)'!$D$24:$D$25,'採算表(VND)'!$B87,'内訳ﾘｽﾄ(4～3月)'!N$24:N$25)</f>
        <v>0</v>
      </c>
      <c r="L87" s="137">
        <f>SUMIF('内訳ﾘｽﾄ(4～3月)'!$D$24:$D$25,'採算表(VND)'!$B87,'内訳ﾘｽﾄ(4～3月)'!O$24:O$25)</f>
        <v>0</v>
      </c>
      <c r="M87" s="137">
        <f>SUMIF('内訳ﾘｽﾄ(4～3月)'!$D$24:$D$25,'採算表(VND)'!$B87,'内訳ﾘｽﾄ(4～3月)'!P$24:P$25)</f>
        <v>0</v>
      </c>
      <c r="N87" s="137">
        <f>SUMIF('内訳ﾘｽﾄ(4～3月)'!$D$24:$D$25,'採算表(VND)'!$B87,'内訳ﾘｽﾄ(4～3月)'!Q$24:Q$25)</f>
        <v>0</v>
      </c>
      <c r="O87" s="137">
        <f>SUMIF('内訳ﾘｽﾄ(4～3月)'!$D$24:$D$25,'採算表(VND)'!$B87,'内訳ﾘｽﾄ(4～3月)'!R$24:R$25)</f>
        <v>0</v>
      </c>
      <c r="AQ87" s="71"/>
      <c r="AR87" s="71"/>
      <c r="AS87" s="71"/>
      <c r="AT87" s="71"/>
      <c r="AU87" s="69"/>
      <c r="AV87" s="70"/>
      <c r="AW87" s="70"/>
      <c r="AX87" s="70"/>
      <c r="AY87" s="70"/>
      <c r="BA87" s="72"/>
      <c r="BB87" s="72"/>
      <c r="BC87" s="72"/>
      <c r="BD87" s="72"/>
      <c r="BF87" s="69"/>
      <c r="BG87" s="69"/>
      <c r="BH87" s="69"/>
      <c r="BI87" s="69"/>
    </row>
    <row r="88" spans="1:61">
      <c r="A88" s="42"/>
      <c r="B88" s="57" t="s">
        <v>75</v>
      </c>
      <c r="C88" s="137">
        <f>SUMIF('内訳ﾘｽﾄ(4～3月)'!$D$24:$D$25,'採算表(VND)'!$B88,'内訳ﾘｽﾄ(4～3月)'!F$24:F$25)</f>
        <v>0</v>
      </c>
      <c r="D88" s="137">
        <f>SUMIF('内訳ﾘｽﾄ(4～3月)'!$D$24:$D$25,'採算表(VND)'!$B88,'内訳ﾘｽﾄ(4～3月)'!G$24:G$25)</f>
        <v>0</v>
      </c>
      <c r="E88" s="137">
        <f>SUMIF('内訳ﾘｽﾄ(4～3月)'!$D$24:$D$25,'採算表(VND)'!$B88,'内訳ﾘｽﾄ(4～3月)'!H$24:H$25)</f>
        <v>0</v>
      </c>
      <c r="F88" s="137">
        <f>SUMIF('内訳ﾘｽﾄ(4～3月)'!$D$24:$D$25,'採算表(VND)'!$B88,'内訳ﾘｽﾄ(4～3月)'!I$24:I$25)</f>
        <v>0</v>
      </c>
      <c r="G88" s="137">
        <f>SUMIF('内訳ﾘｽﾄ(4～3月)'!$D$24:$D$25,'採算表(VND)'!$B88,'内訳ﾘｽﾄ(4～3月)'!J$24:J$25)</f>
        <v>0</v>
      </c>
      <c r="H88" s="137">
        <f>SUMIF('内訳ﾘｽﾄ(4～3月)'!$D$24:$D$25,'採算表(VND)'!$B88,'内訳ﾘｽﾄ(4～3月)'!K$24:K$25)</f>
        <v>0</v>
      </c>
      <c r="I88" s="137">
        <f>SUMIF('内訳ﾘｽﾄ(4～3月)'!$D$24:$D$25,'採算表(VND)'!$B88,'内訳ﾘｽﾄ(4～3月)'!L$24:L$25)</f>
        <v>0</v>
      </c>
      <c r="J88" s="137">
        <f>SUMIF('内訳ﾘｽﾄ(4～3月)'!$D$24:$D$25,'採算表(VND)'!$B88,'内訳ﾘｽﾄ(4～3月)'!M$24:M$25)</f>
        <v>0</v>
      </c>
      <c r="K88" s="137">
        <f>SUMIF('内訳ﾘｽﾄ(4～3月)'!$D$24:$D$25,'採算表(VND)'!$B88,'内訳ﾘｽﾄ(4～3月)'!N$24:N$25)</f>
        <v>0</v>
      </c>
      <c r="L88" s="137">
        <f>SUMIF('内訳ﾘｽﾄ(4～3月)'!$D$24:$D$25,'採算表(VND)'!$B88,'内訳ﾘｽﾄ(4～3月)'!O$24:O$25)</f>
        <v>0</v>
      </c>
      <c r="M88" s="137">
        <f>SUMIF('内訳ﾘｽﾄ(4～3月)'!$D$24:$D$25,'採算表(VND)'!$B88,'内訳ﾘｽﾄ(4～3月)'!P$24:P$25)</f>
        <v>0</v>
      </c>
      <c r="N88" s="137">
        <f>SUMIF('内訳ﾘｽﾄ(4～3月)'!$D$24:$D$25,'採算表(VND)'!$B88,'内訳ﾘｽﾄ(4～3月)'!Q$24:Q$25)</f>
        <v>0</v>
      </c>
      <c r="O88" s="137">
        <f>SUMIF('内訳ﾘｽﾄ(4～3月)'!$D$24:$D$25,'採算表(VND)'!$B88,'内訳ﾘｽﾄ(4～3月)'!R$24:R$25)</f>
        <v>0</v>
      </c>
      <c r="AQ88" s="71"/>
      <c r="AR88" s="71"/>
      <c r="AS88" s="71"/>
      <c r="AT88" s="71"/>
      <c r="AU88" s="69"/>
      <c r="AV88" s="70"/>
      <c r="AW88" s="70"/>
      <c r="AX88" s="70"/>
      <c r="AY88" s="70"/>
      <c r="BA88" s="72"/>
      <c r="BB88" s="72"/>
      <c r="BC88" s="72"/>
      <c r="BD88" s="72"/>
      <c r="BF88" s="69"/>
      <c r="BG88" s="69"/>
      <c r="BH88" s="69"/>
      <c r="BI88" s="69"/>
    </row>
    <row r="89" spans="1:61">
      <c r="A89" s="43"/>
      <c r="B89" s="58" t="s">
        <v>76</v>
      </c>
      <c r="C89" s="138">
        <f t="shared" ref="C89:O89" si="10">C87+C88</f>
        <v>0</v>
      </c>
      <c r="D89" s="138">
        <f t="shared" si="10"/>
        <v>0</v>
      </c>
      <c r="E89" s="138">
        <f t="shared" si="10"/>
        <v>0</v>
      </c>
      <c r="F89" s="138">
        <f t="shared" si="10"/>
        <v>0</v>
      </c>
      <c r="G89" s="138">
        <f t="shared" si="10"/>
        <v>0</v>
      </c>
      <c r="H89" s="138">
        <f t="shared" si="10"/>
        <v>0</v>
      </c>
      <c r="I89" s="138">
        <f t="shared" si="10"/>
        <v>0</v>
      </c>
      <c r="J89" s="138">
        <f t="shared" si="10"/>
        <v>0</v>
      </c>
      <c r="K89" s="138">
        <f t="shared" si="10"/>
        <v>0</v>
      </c>
      <c r="L89" s="138">
        <f t="shared" si="10"/>
        <v>0</v>
      </c>
      <c r="M89" s="138">
        <f t="shared" si="10"/>
        <v>0</v>
      </c>
      <c r="N89" s="138">
        <f t="shared" si="10"/>
        <v>0</v>
      </c>
      <c r="O89" s="138">
        <f t="shared" si="10"/>
        <v>0</v>
      </c>
      <c r="AQ89" s="71"/>
      <c r="AR89" s="71"/>
      <c r="AS89" s="71"/>
      <c r="AT89" s="71"/>
      <c r="AU89" s="69"/>
      <c r="AV89" s="70"/>
      <c r="AW89" s="70"/>
      <c r="AX89" s="70"/>
      <c r="AY89" s="70"/>
      <c r="BA89" s="72"/>
      <c r="BB89" s="72"/>
      <c r="BC89" s="72"/>
      <c r="BD89" s="72"/>
      <c r="BF89" s="69"/>
      <c r="BG89" s="69"/>
      <c r="BH89" s="69"/>
      <c r="BI89" s="69"/>
    </row>
    <row r="90" spans="1:61">
      <c r="AQ90" s="71"/>
      <c r="AR90" s="71"/>
      <c r="AS90" s="71"/>
      <c r="AT90" s="71"/>
      <c r="AU90" s="69"/>
      <c r="AV90" s="70"/>
      <c r="AW90" s="70"/>
      <c r="AX90" s="70"/>
      <c r="AY90" s="70"/>
      <c r="BA90" s="72"/>
      <c r="BB90" s="72"/>
      <c r="BC90" s="72"/>
      <c r="BD90" s="72"/>
      <c r="BF90" s="69"/>
      <c r="BG90" s="69"/>
      <c r="BH90" s="69"/>
      <c r="BI90" s="69"/>
    </row>
    <row r="91" spans="1:61">
      <c r="B91" s="16" t="s">
        <v>77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AQ91" s="71"/>
      <c r="AR91" s="71"/>
      <c r="AS91" s="71"/>
      <c r="AT91" s="71"/>
      <c r="AU91" s="69"/>
      <c r="AV91" s="70"/>
      <c r="AW91" s="70"/>
      <c r="AX91" s="70"/>
      <c r="AY91" s="70"/>
      <c r="BA91" s="72"/>
      <c r="BB91" s="72"/>
      <c r="BC91" s="72"/>
      <c r="BD91" s="72"/>
      <c r="BF91" s="69"/>
      <c r="BG91" s="69"/>
      <c r="BH91" s="69"/>
      <c r="BI91" s="69"/>
    </row>
    <row r="92" spans="1:61">
      <c r="B92" s="57" t="s">
        <v>78</v>
      </c>
      <c r="C92" s="148">
        <f>SUMIF('内訳ﾘｽﾄ(4～3月)'!$B$8:$B$15,$B92,'内訳ﾘｽﾄ(4～3月)'!F$8:F$15)</f>
        <v>0</v>
      </c>
      <c r="D92" s="148">
        <f>SUMIF('内訳ﾘｽﾄ(4～3月)'!$B$8:$B$15,$B92,'内訳ﾘｽﾄ(4～3月)'!G$8:G$15)</f>
        <v>0</v>
      </c>
      <c r="E92" s="148">
        <f>SUMIF('内訳ﾘｽﾄ(4～3月)'!$B$8:$B$15,$B92,'内訳ﾘｽﾄ(4～3月)'!H$8:H$15)</f>
        <v>0</v>
      </c>
      <c r="F92" s="148">
        <f>SUMIF('内訳ﾘｽﾄ(4～3月)'!$B$8:$B$15,$B92,'内訳ﾘｽﾄ(4～3月)'!I$8:I$15)</f>
        <v>0</v>
      </c>
      <c r="G92" s="148">
        <f>SUMIF('内訳ﾘｽﾄ(4～3月)'!$B$8:$B$15,$B92,'内訳ﾘｽﾄ(4～3月)'!J$8:J$15)</f>
        <v>0</v>
      </c>
      <c r="H92" s="148">
        <f>SUMIF('内訳ﾘｽﾄ(4～3月)'!$B$8:$B$15,$B92,'内訳ﾘｽﾄ(4～3月)'!K$8:K$15)</f>
        <v>0</v>
      </c>
      <c r="I92" s="148">
        <f>SUMIF('内訳ﾘｽﾄ(4～3月)'!$B$8:$B$15,$B92,'内訳ﾘｽﾄ(4～3月)'!L$8:L$15)</f>
        <v>0</v>
      </c>
      <c r="J92" s="148">
        <f>SUMIF('内訳ﾘｽﾄ(4～3月)'!$B$8:$B$15,$B92,'内訳ﾘｽﾄ(4～3月)'!M$8:M$15)</f>
        <v>0</v>
      </c>
      <c r="K92" s="148">
        <f>SUMIF('内訳ﾘｽﾄ(4～3月)'!$B$8:$B$15,$B92,'内訳ﾘｽﾄ(4～3月)'!N$8:N$15)</f>
        <v>0</v>
      </c>
      <c r="L92" s="148">
        <f>SUMIF('内訳ﾘｽﾄ(4～3月)'!$B$8:$B$15,$B92,'内訳ﾘｽﾄ(4～3月)'!O$8:O$15)</f>
        <v>0</v>
      </c>
      <c r="M92" s="148">
        <f>SUMIF('内訳ﾘｽﾄ(4～3月)'!$B$8:$B$15,$B92,'内訳ﾘｽﾄ(4～3月)'!P$8:P$15)</f>
        <v>0</v>
      </c>
      <c r="N92" s="148">
        <f>SUMIF('内訳ﾘｽﾄ(4～3月)'!$B$8:$B$15,$B92,'内訳ﾘｽﾄ(4～3月)'!Q$8:Q$15)</f>
        <v>0</v>
      </c>
      <c r="O92" s="148">
        <f>SUMIF('内訳ﾘｽﾄ(4～3月)'!$B$8:$B$15,$B92,'内訳ﾘｽﾄ(4～3月)'!R$8:R$15)</f>
        <v>0</v>
      </c>
      <c r="AQ92" s="71"/>
      <c r="AR92" s="71"/>
      <c r="AS92" s="71"/>
      <c r="AT92" s="71"/>
      <c r="AU92" s="69"/>
      <c r="AV92" s="70"/>
      <c r="AW92" s="70"/>
      <c r="AX92" s="70"/>
      <c r="AY92" s="70"/>
      <c r="BA92" s="72"/>
      <c r="BB92" s="72"/>
      <c r="BC92" s="72"/>
      <c r="BD92" s="72"/>
      <c r="BF92" s="69"/>
      <c r="BG92" s="69"/>
      <c r="BH92" s="69"/>
      <c r="BI92" s="69"/>
    </row>
    <row r="93" spans="1:61">
      <c r="B93" s="57" t="s">
        <v>79</v>
      </c>
      <c r="C93" s="148">
        <f>SUMIF('内訳ﾘｽﾄ(4～3月)'!$B$8:$B$15,$B93,'内訳ﾘｽﾄ(4～3月)'!F$8:F$15)</f>
        <v>0</v>
      </c>
      <c r="D93" s="148">
        <f>SUMIF('内訳ﾘｽﾄ(4～3月)'!$B$8:$B$15,$B93,'内訳ﾘｽﾄ(4～3月)'!G$8:G$15)</f>
        <v>0</v>
      </c>
      <c r="E93" s="148">
        <f>SUMIF('内訳ﾘｽﾄ(4～3月)'!$B$8:$B$15,$B93,'内訳ﾘｽﾄ(4～3月)'!H$8:H$15)</f>
        <v>0</v>
      </c>
      <c r="F93" s="148">
        <f>SUMIF('内訳ﾘｽﾄ(4～3月)'!$B$8:$B$15,$B93,'内訳ﾘｽﾄ(4～3月)'!I$8:I$15)</f>
        <v>0</v>
      </c>
      <c r="G93" s="148">
        <f>SUMIF('内訳ﾘｽﾄ(4～3月)'!$B$8:$B$15,$B93,'内訳ﾘｽﾄ(4～3月)'!J$8:J$15)</f>
        <v>0</v>
      </c>
      <c r="H93" s="148">
        <f>SUMIF('内訳ﾘｽﾄ(4～3月)'!$B$8:$B$15,$B93,'内訳ﾘｽﾄ(4～3月)'!K$8:K$15)</f>
        <v>0</v>
      </c>
      <c r="I93" s="148">
        <f>SUMIF('内訳ﾘｽﾄ(4～3月)'!$B$8:$B$15,$B93,'内訳ﾘｽﾄ(4～3月)'!L$8:L$15)</f>
        <v>0</v>
      </c>
      <c r="J93" s="148">
        <f>SUMIF('内訳ﾘｽﾄ(4～3月)'!$B$8:$B$15,$B93,'内訳ﾘｽﾄ(4～3月)'!M$8:M$15)</f>
        <v>0</v>
      </c>
      <c r="K93" s="148">
        <f>SUMIF('内訳ﾘｽﾄ(4～3月)'!$B$8:$B$15,$B93,'内訳ﾘｽﾄ(4～3月)'!N$8:N$15)</f>
        <v>0</v>
      </c>
      <c r="L93" s="148">
        <f>SUMIF('内訳ﾘｽﾄ(4～3月)'!$B$8:$B$15,$B93,'内訳ﾘｽﾄ(4～3月)'!O$8:O$15)</f>
        <v>0</v>
      </c>
      <c r="M93" s="148">
        <f>SUMIF('内訳ﾘｽﾄ(4～3月)'!$B$8:$B$15,$B93,'内訳ﾘｽﾄ(4～3月)'!P$8:P$15)</f>
        <v>0</v>
      </c>
      <c r="N93" s="148">
        <f>SUMIF('内訳ﾘｽﾄ(4～3月)'!$B$8:$B$15,$B93,'内訳ﾘｽﾄ(4～3月)'!Q$8:Q$15)</f>
        <v>0</v>
      </c>
      <c r="O93" s="148">
        <f>SUMIF('内訳ﾘｽﾄ(4～3月)'!$B$8:$B$15,$B93,'内訳ﾘｽﾄ(4～3月)'!R$8:R$15)</f>
        <v>0</v>
      </c>
      <c r="AQ93" s="71"/>
      <c r="AR93" s="71"/>
      <c r="AS93" s="71"/>
      <c r="AT93" s="71"/>
      <c r="AU93" s="69"/>
      <c r="AV93" s="70"/>
      <c r="AW93" s="70"/>
      <c r="AX93" s="70"/>
      <c r="AY93" s="70"/>
      <c r="BA93" s="72"/>
      <c r="BB93" s="72"/>
      <c r="BC93" s="72"/>
      <c r="BD93" s="72"/>
      <c r="BF93" s="69"/>
      <c r="BG93" s="69"/>
      <c r="BH93" s="69"/>
      <c r="BI93" s="69"/>
    </row>
    <row r="94" spans="1:61">
      <c r="B94" s="59" t="s">
        <v>76</v>
      </c>
      <c r="C94" s="155">
        <f t="shared" ref="C94:O94" si="11">C92+C93</f>
        <v>0</v>
      </c>
      <c r="D94" s="155">
        <f t="shared" si="11"/>
        <v>0</v>
      </c>
      <c r="E94" s="155">
        <f t="shared" si="11"/>
        <v>0</v>
      </c>
      <c r="F94" s="155">
        <f t="shared" si="11"/>
        <v>0</v>
      </c>
      <c r="G94" s="155">
        <f t="shared" si="11"/>
        <v>0</v>
      </c>
      <c r="H94" s="155">
        <f t="shared" si="11"/>
        <v>0</v>
      </c>
      <c r="I94" s="155">
        <f t="shared" si="11"/>
        <v>0</v>
      </c>
      <c r="J94" s="155">
        <f t="shared" si="11"/>
        <v>0</v>
      </c>
      <c r="K94" s="155">
        <f t="shared" si="11"/>
        <v>0</v>
      </c>
      <c r="L94" s="155">
        <f t="shared" si="11"/>
        <v>0</v>
      </c>
      <c r="M94" s="155">
        <f t="shared" si="11"/>
        <v>0</v>
      </c>
      <c r="N94" s="155">
        <f t="shared" si="11"/>
        <v>0</v>
      </c>
      <c r="O94" s="155">
        <f t="shared" si="11"/>
        <v>0</v>
      </c>
      <c r="AQ94" s="71"/>
      <c r="AR94" s="71"/>
      <c r="AS94" s="71"/>
      <c r="AT94" s="71"/>
      <c r="AU94" s="69"/>
      <c r="AV94" s="70"/>
      <c r="AW94" s="70"/>
      <c r="AX94" s="70"/>
      <c r="AY94" s="70"/>
      <c r="BA94" s="72"/>
      <c r="BB94" s="72"/>
      <c r="BC94" s="72"/>
      <c r="BD94" s="72"/>
      <c r="BF94" s="69"/>
      <c r="BG94" s="69"/>
      <c r="BH94" s="69"/>
      <c r="BI94" s="69"/>
    </row>
    <row r="95" spans="1:61"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AQ95" s="71"/>
      <c r="AR95" s="71"/>
      <c r="AS95" s="71"/>
      <c r="AT95" s="71"/>
      <c r="AU95" s="69"/>
      <c r="AV95" s="70"/>
      <c r="AW95" s="70"/>
      <c r="AX95" s="70"/>
      <c r="AY95" s="70"/>
      <c r="BA95" s="72"/>
      <c r="BB95" s="72"/>
      <c r="BC95" s="72"/>
      <c r="BD95" s="72"/>
      <c r="BF95" s="69"/>
      <c r="BG95" s="69"/>
      <c r="BH95" s="69"/>
      <c r="BI95" s="69"/>
    </row>
    <row r="96" spans="1:61">
      <c r="B96" s="16" t="s">
        <v>80</v>
      </c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AQ96" s="71"/>
      <c r="AR96" s="71"/>
      <c r="AS96" s="71"/>
      <c r="AT96" s="71"/>
      <c r="AU96" s="69"/>
      <c r="AV96" s="70"/>
      <c r="AW96" s="70"/>
      <c r="AX96" s="70"/>
      <c r="AY96" s="70"/>
      <c r="BA96" s="72"/>
      <c r="BB96" s="72"/>
      <c r="BC96" s="72"/>
      <c r="BD96" s="72"/>
      <c r="BF96" s="69"/>
      <c r="BG96" s="69"/>
      <c r="BH96" s="69"/>
      <c r="BI96" s="69"/>
    </row>
    <row r="97" spans="2:61">
      <c r="B97" s="57" t="s">
        <v>81</v>
      </c>
      <c r="C97" s="148">
        <f>SUMIF('内訳ﾘｽﾄ(4～3月)'!$B$16:$B$23,$B97,'内訳ﾘｽﾄ(4～3月)'!F$16:F$23)</f>
        <v>0</v>
      </c>
      <c r="D97" s="148">
        <f>SUMIF('内訳ﾘｽﾄ(4～3月)'!$B$16:$B$23,$B97,'内訳ﾘｽﾄ(4～3月)'!G$16:G$23)</f>
        <v>0</v>
      </c>
      <c r="E97" s="148">
        <f>SUMIF('内訳ﾘｽﾄ(4～3月)'!$B$16:$B$23,$B97,'内訳ﾘｽﾄ(4～3月)'!H$16:H$23)</f>
        <v>0</v>
      </c>
      <c r="F97" s="148">
        <f>SUMIF('内訳ﾘｽﾄ(4～3月)'!$B$16:$B$23,$B97,'内訳ﾘｽﾄ(4～3月)'!I$16:I$23)</f>
        <v>0</v>
      </c>
      <c r="G97" s="148">
        <f>SUMIF('内訳ﾘｽﾄ(4～3月)'!$B$16:$B$23,$B97,'内訳ﾘｽﾄ(4～3月)'!J$16:J$23)</f>
        <v>0</v>
      </c>
      <c r="H97" s="148">
        <f>SUMIF('内訳ﾘｽﾄ(4～3月)'!$B$16:$B$23,$B97,'内訳ﾘｽﾄ(4～3月)'!K$16:K$23)</f>
        <v>0</v>
      </c>
      <c r="I97" s="148">
        <f>SUMIF('内訳ﾘｽﾄ(4～3月)'!$B$16:$B$23,$B97,'内訳ﾘｽﾄ(4～3月)'!L$16:L$23)</f>
        <v>0</v>
      </c>
      <c r="J97" s="148">
        <f>SUMIF('内訳ﾘｽﾄ(4～3月)'!$B$16:$B$23,$B97,'内訳ﾘｽﾄ(4～3月)'!M$16:M$23)</f>
        <v>0</v>
      </c>
      <c r="K97" s="148">
        <f>SUMIF('内訳ﾘｽﾄ(4～3月)'!$B$16:$B$23,$B97,'内訳ﾘｽﾄ(4～3月)'!N$16:N$23)</f>
        <v>0</v>
      </c>
      <c r="L97" s="148">
        <f>SUMIF('内訳ﾘｽﾄ(4～3月)'!$B$16:$B$23,$B97,'内訳ﾘｽﾄ(4～3月)'!O$16:O$23)</f>
        <v>0</v>
      </c>
      <c r="M97" s="148">
        <f>SUMIF('内訳ﾘｽﾄ(4～3月)'!$B$16:$B$23,$B97,'内訳ﾘｽﾄ(4～3月)'!P$16:P$23)</f>
        <v>0</v>
      </c>
      <c r="N97" s="148">
        <f>SUMIF('内訳ﾘｽﾄ(4～3月)'!$B$16:$B$23,$B97,'内訳ﾘｽﾄ(4～3月)'!Q$16:Q$23)</f>
        <v>0</v>
      </c>
      <c r="O97" s="148">
        <f>SUMIF('内訳ﾘｽﾄ(4～3月)'!$B$16:$B$23,$B97,'内訳ﾘｽﾄ(4～3月)'!R$16:R$23)</f>
        <v>0</v>
      </c>
      <c r="AQ97" s="71"/>
      <c r="AR97" s="71"/>
      <c r="AS97" s="71"/>
      <c r="AT97" s="71"/>
      <c r="AU97" s="69"/>
      <c r="AV97" s="70"/>
      <c r="AW97" s="70"/>
      <c r="AX97" s="70"/>
      <c r="AY97" s="70"/>
      <c r="BA97" s="72"/>
      <c r="BB97" s="72"/>
      <c r="BC97" s="72"/>
      <c r="BD97" s="72"/>
      <c r="BF97" s="69"/>
      <c r="BG97" s="69"/>
      <c r="BH97" s="69"/>
      <c r="BI97" s="69"/>
    </row>
    <row r="98" spans="2:61">
      <c r="B98" s="57" t="s">
        <v>82</v>
      </c>
      <c r="C98" s="148">
        <f>SUMIF('内訳ﾘｽﾄ(4～3月)'!$B$16:$B$23,$B98,'内訳ﾘｽﾄ(4～3月)'!F$16:F$23)</f>
        <v>0</v>
      </c>
      <c r="D98" s="148">
        <f>SUMIF('内訳ﾘｽﾄ(4～3月)'!$B$16:$B$23,$B98,'内訳ﾘｽﾄ(4～3月)'!G$16:G$23)</f>
        <v>0</v>
      </c>
      <c r="E98" s="148">
        <f>SUMIF('内訳ﾘｽﾄ(4～3月)'!$B$16:$B$23,$B98,'内訳ﾘｽﾄ(4～3月)'!H$16:H$23)</f>
        <v>0</v>
      </c>
      <c r="F98" s="148">
        <f>SUMIF('内訳ﾘｽﾄ(4～3月)'!$B$16:$B$23,$B98,'内訳ﾘｽﾄ(4～3月)'!I$16:I$23)</f>
        <v>0</v>
      </c>
      <c r="G98" s="148">
        <f>SUMIF('内訳ﾘｽﾄ(4～3月)'!$B$16:$B$23,$B98,'内訳ﾘｽﾄ(4～3月)'!J$16:J$23)</f>
        <v>0</v>
      </c>
      <c r="H98" s="148">
        <f>SUMIF('内訳ﾘｽﾄ(4～3月)'!$B$16:$B$23,$B98,'内訳ﾘｽﾄ(4～3月)'!K$16:K$23)</f>
        <v>0</v>
      </c>
      <c r="I98" s="148">
        <f>SUMIF('内訳ﾘｽﾄ(4～3月)'!$B$16:$B$23,$B98,'内訳ﾘｽﾄ(4～3月)'!L$16:L$23)</f>
        <v>0</v>
      </c>
      <c r="J98" s="148">
        <f>SUMIF('内訳ﾘｽﾄ(4～3月)'!$B$16:$B$23,$B98,'内訳ﾘｽﾄ(4～3月)'!M$16:M$23)</f>
        <v>0</v>
      </c>
      <c r="K98" s="148">
        <f>SUMIF('内訳ﾘｽﾄ(4～3月)'!$B$16:$B$23,$B98,'内訳ﾘｽﾄ(4～3月)'!N$16:N$23)</f>
        <v>0</v>
      </c>
      <c r="L98" s="148">
        <f>SUMIF('内訳ﾘｽﾄ(4～3月)'!$B$16:$B$23,$B98,'内訳ﾘｽﾄ(4～3月)'!O$16:O$23)</f>
        <v>0</v>
      </c>
      <c r="M98" s="148">
        <f>SUMIF('内訳ﾘｽﾄ(4～3月)'!$B$16:$B$23,$B98,'内訳ﾘｽﾄ(4～3月)'!P$16:P$23)</f>
        <v>0</v>
      </c>
      <c r="N98" s="148">
        <f>SUMIF('内訳ﾘｽﾄ(4～3月)'!$B$16:$B$23,$B98,'内訳ﾘｽﾄ(4～3月)'!Q$16:Q$23)</f>
        <v>0</v>
      </c>
      <c r="O98" s="148">
        <f>SUMIF('内訳ﾘｽﾄ(4～3月)'!$B$16:$B$23,$B98,'内訳ﾘｽﾄ(4～3月)'!R$16:R$23)</f>
        <v>0</v>
      </c>
      <c r="AQ98" s="71"/>
      <c r="AR98" s="71"/>
      <c r="AS98" s="71"/>
      <c r="AT98" s="71"/>
      <c r="AU98" s="69"/>
      <c r="AV98" s="70"/>
      <c r="AW98" s="70"/>
      <c r="AX98" s="70"/>
      <c r="AY98" s="70"/>
      <c r="BA98" s="72"/>
      <c r="BB98" s="72"/>
      <c r="BC98" s="72"/>
      <c r="BD98" s="72"/>
      <c r="BF98" s="69"/>
      <c r="BG98" s="69"/>
      <c r="BH98" s="69"/>
      <c r="BI98" s="69"/>
    </row>
    <row r="99" spans="2:61">
      <c r="B99" s="59" t="s">
        <v>76</v>
      </c>
      <c r="C99" s="155">
        <f t="shared" ref="C99:O99" si="12">C97+C98</f>
        <v>0</v>
      </c>
      <c r="D99" s="155">
        <f t="shared" si="12"/>
        <v>0</v>
      </c>
      <c r="E99" s="155">
        <f t="shared" si="12"/>
        <v>0</v>
      </c>
      <c r="F99" s="155">
        <f t="shared" si="12"/>
        <v>0</v>
      </c>
      <c r="G99" s="155">
        <f t="shared" si="12"/>
        <v>0</v>
      </c>
      <c r="H99" s="155">
        <f t="shared" si="12"/>
        <v>0</v>
      </c>
      <c r="I99" s="155">
        <f t="shared" si="12"/>
        <v>0</v>
      </c>
      <c r="J99" s="155">
        <f t="shared" si="12"/>
        <v>0</v>
      </c>
      <c r="K99" s="155">
        <f t="shared" si="12"/>
        <v>0</v>
      </c>
      <c r="L99" s="155">
        <f t="shared" si="12"/>
        <v>0</v>
      </c>
      <c r="M99" s="155">
        <f t="shared" si="12"/>
        <v>0</v>
      </c>
      <c r="N99" s="155">
        <f t="shared" si="12"/>
        <v>0</v>
      </c>
      <c r="O99" s="155">
        <f t="shared" si="12"/>
        <v>0</v>
      </c>
      <c r="AQ99" s="71"/>
      <c r="AR99" s="71"/>
      <c r="AS99" s="71"/>
      <c r="AT99" s="71"/>
      <c r="AU99" s="69"/>
      <c r="AV99" s="70"/>
      <c r="AW99" s="70"/>
      <c r="AX99" s="70"/>
      <c r="AY99" s="70"/>
      <c r="BA99" s="72"/>
      <c r="BB99" s="72"/>
      <c r="BC99" s="72"/>
      <c r="BD99" s="72"/>
      <c r="BF99" s="69"/>
      <c r="BG99" s="69"/>
      <c r="BH99" s="69"/>
      <c r="BI99" s="69"/>
    </row>
  </sheetData>
  <dataValidations count="1">
    <dataValidation type="whole" allowBlank="1" showInputMessage="1" showErrorMessage="1" sqref="C5:O8 C12:O48 C65:O66" xr:uid="{00000000-0002-0000-0100-000000000000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3"/>
  </sheetPr>
  <dimension ref="A1:BC1015"/>
  <sheetViews>
    <sheetView tabSelected="1" zoomScale="85" zoomScaleNormal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H10" sqref="H10"/>
    </sheetView>
  </sheetViews>
  <sheetFormatPr defaultColWidth="9" defaultRowHeight="11"/>
  <cols>
    <col min="1" max="1" width="2" style="1" customWidth="1"/>
    <col min="2" max="2" width="12.453125" style="165" customWidth="1"/>
    <col min="3" max="3" width="31" style="4" bestFit="1" customWidth="1"/>
    <col min="4" max="4" width="19.1796875" style="4" bestFit="1" customWidth="1"/>
    <col min="5" max="5" width="7.54296875" style="3" customWidth="1"/>
    <col min="6" max="6" width="13" style="114" customWidth="1"/>
    <col min="7" max="7" width="13.81640625" style="115" customWidth="1"/>
    <col min="8" max="8" width="16.7265625" style="115" customWidth="1"/>
    <col min="9" max="9" width="14.1796875" style="115" customWidth="1"/>
    <col min="10" max="17" width="11.54296875" style="115" customWidth="1"/>
    <col min="18" max="18" width="14.54296875" style="116" customWidth="1"/>
    <col min="19" max="19" width="53.7265625" style="4" customWidth="1"/>
    <col min="20" max="20" width="18.81640625" style="4" customWidth="1"/>
    <col min="21" max="26" width="9" style="4" customWidth="1"/>
    <col min="27" max="16384" width="9" style="4"/>
  </cols>
  <sheetData>
    <row r="1" spans="1:55" ht="25" customHeight="1">
      <c r="A1" s="231" t="s">
        <v>86</v>
      </c>
      <c r="B1" s="232"/>
      <c r="C1" s="2"/>
      <c r="D1" s="2"/>
      <c r="E1" s="48"/>
      <c r="F1" s="80"/>
      <c r="G1" s="80"/>
      <c r="H1" s="80"/>
      <c r="I1" s="80"/>
      <c r="J1" s="80"/>
      <c r="K1" s="80"/>
      <c r="L1" s="80"/>
      <c r="M1" s="80"/>
      <c r="N1" s="80"/>
      <c r="O1" s="80"/>
      <c r="P1" s="89"/>
      <c r="Q1" s="80"/>
      <c r="R1" s="66"/>
      <c r="S1" s="11"/>
      <c r="T1" s="11"/>
    </row>
    <row r="2" spans="1:55" ht="16.5" customHeight="1">
      <c r="A2" s="103"/>
      <c r="B2" s="274">
        <v>26273</v>
      </c>
      <c r="C2" s="2"/>
      <c r="D2" s="2"/>
      <c r="E2" s="227" t="s">
        <v>87</v>
      </c>
      <c r="F2" s="81">
        <f ca="1">OFFSET(稼働日!$B$2,MATCH('内訳ﾘｽﾄ(4～3月)'!F4,稼働日!$A$3:$A$14,0),0)</f>
        <v>20</v>
      </c>
      <c r="G2" s="81">
        <f ca="1">OFFSET(稼働日!$B$2,MATCH('内訳ﾘｽﾄ(4～3月)'!G4,稼働日!$A$3:$A$14,0),0)</f>
        <v>19</v>
      </c>
      <c r="H2" s="81">
        <f ca="1">OFFSET(稼働日!$B$2,MATCH('内訳ﾘｽﾄ(4～3月)'!H4,稼働日!$A$3:$A$14,0),0)</f>
        <v>22</v>
      </c>
      <c r="I2" s="81">
        <f ca="1">OFFSET(稼働日!$B$2,MATCH('内訳ﾘｽﾄ(4～3月)'!I4,稼働日!$A$3:$A$14,0),0)</f>
        <v>23</v>
      </c>
      <c r="J2" s="81">
        <f ca="1">OFFSET(稼働日!$B$2,MATCH('内訳ﾘｽﾄ(4～3月)'!J4,稼働日!$A$3:$A$14,0),0)</f>
        <v>19</v>
      </c>
      <c r="K2" s="81">
        <f ca="1">OFFSET(稼働日!$B$2,MATCH('内訳ﾘｽﾄ(4～3月)'!K4,稼働日!$A$3:$A$14,0),0)</f>
        <v>20</v>
      </c>
      <c r="L2" s="81">
        <f ca="1">OFFSET(稼働日!$B$2,MATCH('内訳ﾘｽﾄ(4～3月)'!L4,稼働日!$A$3:$A$14,0),0)</f>
        <v>22</v>
      </c>
      <c r="M2" s="81">
        <f ca="1">OFFSET(稼働日!$B$2,MATCH('内訳ﾘｽﾄ(4～3月)'!M4,稼働日!$A$3:$A$14,0),0)</f>
        <v>21</v>
      </c>
      <c r="N2" s="81">
        <f ca="1">OFFSET(稼働日!$B$2,MATCH('内訳ﾘｽﾄ(4～3月)'!N4,稼働日!$A$3:$A$14,0),0)</f>
        <v>22</v>
      </c>
      <c r="O2" s="86">
        <f ca="1">OFFSET(稼働日!$B$2,MATCH('内訳ﾘｽﾄ(4～3月)'!O4,稼働日!$A$3:$A$14,0),0)</f>
        <v>20</v>
      </c>
      <c r="P2" s="86">
        <f ca="1">OFFSET(稼働日!$B$2,MATCH('内訳ﾘｽﾄ(4～3月)'!P4,稼働日!$A$3:$A$14,0),0)</f>
        <v>12</v>
      </c>
      <c r="Q2" s="86">
        <f ca="1">OFFSET(稼働日!$B$2,MATCH('内訳ﾘｽﾄ(4～3月)'!Q4,稼働日!$A$3:$A$14,0),0)</f>
        <v>22</v>
      </c>
      <c r="R2" s="49"/>
      <c r="S2" s="11"/>
    </row>
    <row r="3" spans="1:55" s="104" customFormat="1" ht="12.65" customHeight="1" thickBot="1">
      <c r="A3" s="103"/>
      <c r="B3" s="158"/>
      <c r="D3" s="105"/>
      <c r="E3" s="234" t="s">
        <v>88</v>
      </c>
      <c r="F3" s="249" t="e">
        <f t="array" ref="F3">IF(SUM((F8:F25)-ROUNDDOWN((F8:F25)*4,0)/4)&lt;&gt;0,"時間➝0.25の倍数では無い",IF(SUM(ROUND((F26:F1015),0)-ROUND((F26:F1015),4))&lt;&gt;0,"経費➝小数点",IF(F5&lt;&gt;IF($D$5="製造",'採算表(VND)'!C13,-VLOOKUP($D$5&amp;"経費",'採算表(VND)'!$B:$N,'採算表(VND)'!C3,0)),"経費➝NG","OK")))</f>
        <v>#N/A</v>
      </c>
      <c r="G3" s="249" t="e">
        <f t="array" ref="G3">IF(SUM((G8:G25)-ROUNDDOWN((G8:G25)*4,0)/4)&lt;&gt;0,"時間➝0.25の倍数では無い",IF(SUM(ROUND((G26:G1015),0)-ROUND((G26:G1015),4))&lt;&gt;0,"経費➝小数点",IF(G5&lt;&gt;IF($D$5="製造",'採算表(VND)'!D13,-VLOOKUP($D$5&amp;"経費",'採算表(VND)'!$B:$N,'採算表(VND)'!D3,0)),"経費➝NG","OK")))</f>
        <v>#N/A</v>
      </c>
      <c r="H3" s="249" t="e">
        <f t="array" ref="H3">IF(SUM((H8:H25)-ROUNDDOWN((H8:H25)*4,0)/4)&lt;&gt;0,"時間➝0.25の倍数では無い",IF(SUM(ROUND((H26:H1015),0)-ROUND((H26:H1015),4))&lt;&gt;0,"経費➝小数点",IF(H5&lt;&gt;IF($D$5="製造",'採算表(VND)'!E13,-VLOOKUP($D$5&amp;"経費",'採算表(VND)'!$B:$N,'採算表(VND)'!E3,0)),"経費➝NG","OK")))</f>
        <v>#N/A</v>
      </c>
      <c r="I3" s="249" t="e">
        <f t="array" ref="I3">IF(SUM((I8:I25)-ROUNDDOWN((I8:I25)*4,0)/4)&lt;&gt;0,"時間➝0.25の倍数では無い",IF(SUM(ROUND((I26:I1015),0)-ROUND((I26:I1015),4))&lt;&gt;0,"経費➝小数点",IF(I5&lt;&gt;IF($D$5="製造",'採算表(VND)'!F13,-VLOOKUP($D$5&amp;"経費",'採算表(VND)'!$B:$N,'採算表(VND)'!F3,0)),"経費➝NG","OK")))</f>
        <v>#N/A</v>
      </c>
      <c r="J3" s="249" t="e">
        <f t="array" ref="J3">IF(SUM((J8:J25)-ROUNDDOWN((J8:J25)*4,0)/4)&lt;&gt;0,"時間➝0.25の倍数では無い",IF(SUM(ROUND((J26:J1015),0)-ROUND((J26:J1015),4))&lt;&gt;0,"経費➝小数点",IF(J5&lt;&gt;IF($D$5="製造",'採算表(VND)'!G13,-VLOOKUP($D$5&amp;"経費",'採算表(VND)'!$B:$N,'採算表(VND)'!G3,0)),"経費➝NG","OK")))</f>
        <v>#N/A</v>
      </c>
      <c r="K3" s="249" t="e">
        <f t="array" ref="K3">IF(SUM((K8:K25)-ROUNDDOWN((K8:K25)*4,0)/4)&lt;&gt;0,"時間➝0.25の倍数では無い",IF(SUM(ROUND((K26:K1015),0)-ROUND((K26:K1015),4))&lt;&gt;0,"経費➝小数点",IF(K5&lt;&gt;IF($D$5="製造",'採算表(VND)'!H13,-VLOOKUP($D$5&amp;"経費",'採算表(VND)'!$B:$N,'採算表(VND)'!H3,0)),"経費➝NG","OK")))</f>
        <v>#N/A</v>
      </c>
      <c r="L3" s="249" t="e">
        <f t="array" ref="L3">IF(SUM((L8:L25)-ROUNDDOWN((L8:L25)*4,0)/4)&lt;&gt;0,"時間➝0.25の倍数では無い",IF(SUM(ROUND((L26:L1015),0)-ROUND((L26:L1015),4))&lt;&gt;0,"経費➝小数点",IF(L5&lt;&gt;IF($D$5="製造",'採算表(VND)'!I13,-VLOOKUP($D$5&amp;"経費",'採算表(VND)'!$B:$N,'採算表(VND)'!I3,0)),"経費➝NG","OK")))</f>
        <v>#N/A</v>
      </c>
      <c r="M3" s="249" t="e">
        <f t="array" ref="M3">IF(SUM((M8:M25)-ROUNDDOWN((M8:M25)*4,0)/4)&lt;&gt;0,"時間➝0.25の倍数では無い",IF(SUM(ROUND((M26:M1015),0)-ROUND((M26:M1015),4))&lt;&gt;0,"経費➝小数点",IF(M5&lt;&gt;IF($D$5="製造",'採算表(VND)'!J13,-VLOOKUP($D$5&amp;"経費",'採算表(VND)'!$B:$N,'採算表(VND)'!J3,0)),"経費➝NG","OK")))</f>
        <v>#N/A</v>
      </c>
      <c r="N3" s="249" t="e">
        <f t="array" ref="N3">IF(SUM((N8:N25)-ROUNDDOWN((N8:N25)*4,0)/4)&lt;&gt;0,"時間➝0.25の倍数では無い",IF(SUM(ROUND((N26:N1015),0)-ROUND((N26:N1015),4))&lt;&gt;0,"経費➝小数点",IF(N5&lt;&gt;IF($D$5="製造",'採算表(VND)'!K13,-VLOOKUP($D$5&amp;"経費",'採算表(VND)'!$B:$N,'採算表(VND)'!K3,0)),"経費➝NG","OK")))</f>
        <v>#N/A</v>
      </c>
      <c r="O3" s="249" t="e">
        <f t="array" ref="O3">IF(SUM((O8:O25)-ROUNDDOWN((O8:O25)*4,0)/4)&lt;&gt;0,"時間➝0.25の倍数では無い",IF(SUM(ROUND((O26:O1015),0)-ROUND((O26:O1015),4))&lt;&gt;0,"経費➝小数点",IF(O5&lt;&gt;IF($D$5="製造",'採算表(VND)'!L13,-VLOOKUP($D$5&amp;"経費",'採算表(VND)'!$B:$N,'採算表(VND)'!L3,0)),"経費➝NG","OK")))</f>
        <v>#N/A</v>
      </c>
      <c r="P3" s="249" t="e">
        <f t="array" ref="P3">IF(SUM((P8:P25)-ROUNDDOWN((P8:P25)*4,0)/4)&lt;&gt;0,"時間➝0.25の倍数では無い",IF(SUM(ROUND((P26:P1015),0)-ROUND((P26:P1015),4))&lt;&gt;0,"経費➝小数点",IF(P5&lt;&gt;IF($D$5="製造",'採算表(VND)'!M13,-VLOOKUP($D$5&amp;"経費",'採算表(VND)'!$B:$N,'採算表(VND)'!M3,0)),"経費➝NG","OK")))</f>
        <v>#N/A</v>
      </c>
      <c r="Q3" s="249" t="e">
        <f t="array" ref="Q3">IF(SUM((Q8:Q25)-ROUNDDOWN((Q8:Q25)*4,0)/4)&lt;&gt;0,"時間➝0.25の倍数では無い",IF(SUM(ROUND((Q26:Q1015),0)-ROUND((Q26:Q1015),4))&lt;&gt;0,"経費➝小数点",IF(Q5&lt;&gt;IF($D$5="製造",'採算表(VND)'!N13,-VLOOKUP($D$5&amp;"経費",'採算表(VND)'!$B:$N,'採算表(VND)'!N3,0)),"経費➝NG","OK")))</f>
        <v>#N/A</v>
      </c>
      <c r="R3" s="106"/>
      <c r="S3" s="107"/>
      <c r="T3" s="107"/>
    </row>
    <row r="4" spans="1:55" s="6" customFormat="1" ht="12.65" customHeight="1" thickBot="1">
      <c r="A4" s="5"/>
      <c r="B4" s="159" t="s">
        <v>89</v>
      </c>
      <c r="C4" s="12" t="s">
        <v>0</v>
      </c>
      <c r="D4" s="12" t="s">
        <v>90</v>
      </c>
      <c r="E4" s="12" t="s">
        <v>91</v>
      </c>
      <c r="F4" s="82">
        <v>4</v>
      </c>
      <c r="G4" s="82">
        <v>5</v>
      </c>
      <c r="H4" s="82">
        <v>6</v>
      </c>
      <c r="I4" s="82">
        <v>7</v>
      </c>
      <c r="J4" s="82">
        <v>8</v>
      </c>
      <c r="K4" s="82">
        <v>9</v>
      </c>
      <c r="L4" s="82">
        <v>10</v>
      </c>
      <c r="M4" s="82">
        <v>11</v>
      </c>
      <c r="N4" s="82">
        <v>12</v>
      </c>
      <c r="O4" s="82">
        <v>1</v>
      </c>
      <c r="P4" s="82">
        <v>2</v>
      </c>
      <c r="Q4" s="82">
        <v>3</v>
      </c>
      <c r="R4" s="14" t="s">
        <v>83</v>
      </c>
      <c r="S4" s="228" t="s">
        <v>92</v>
      </c>
      <c r="T4" s="96"/>
    </row>
    <row r="5" spans="1:55" ht="13.5" customHeight="1" thickBot="1">
      <c r="B5" s="160"/>
      <c r="C5" s="7" t="e">
        <f>VLOOKUP($B$5,原価センタ!$A:$E,2,0)</f>
        <v>#N/A</v>
      </c>
      <c r="D5" s="60" t="e">
        <f>VLOOKUP($B$5,原価センタ!$A:$E,4,0)</f>
        <v>#N/A</v>
      </c>
      <c r="E5" s="60" t="e">
        <f>VLOOKUP($B$5,原価センタ!$A:$E,5,0)</f>
        <v>#N/A</v>
      </c>
      <c r="F5" s="229">
        <f t="shared" ref="F5:R5" si="0">SUM(F29:F1000)</f>
        <v>0</v>
      </c>
      <c r="G5" s="229">
        <f t="shared" si="0"/>
        <v>0</v>
      </c>
      <c r="H5" s="229">
        <f t="shared" si="0"/>
        <v>0</v>
      </c>
      <c r="I5" s="229">
        <f t="shared" si="0"/>
        <v>0</v>
      </c>
      <c r="J5" s="229">
        <f t="shared" si="0"/>
        <v>0</v>
      </c>
      <c r="K5" s="229">
        <f t="shared" si="0"/>
        <v>0</v>
      </c>
      <c r="L5" s="229">
        <f t="shared" si="0"/>
        <v>0</v>
      </c>
      <c r="M5" s="229">
        <f t="shared" si="0"/>
        <v>0</v>
      </c>
      <c r="N5" s="229">
        <f t="shared" si="0"/>
        <v>0</v>
      </c>
      <c r="O5" s="229">
        <f t="shared" si="0"/>
        <v>0</v>
      </c>
      <c r="P5" s="229">
        <f t="shared" si="0"/>
        <v>0</v>
      </c>
      <c r="Q5" s="229">
        <f t="shared" si="0"/>
        <v>0</v>
      </c>
      <c r="R5" s="230">
        <f t="shared" si="0"/>
        <v>0</v>
      </c>
      <c r="S5" s="228"/>
      <c r="T5" s="97"/>
    </row>
    <row r="6" spans="1:55" s="109" customFormat="1" ht="3" customHeight="1" thickBot="1">
      <c r="A6" s="108"/>
      <c r="B6" s="161"/>
      <c r="E6" s="48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1"/>
    </row>
    <row r="7" spans="1:55" s="10" customFormat="1" ht="22.5" customHeight="1" thickBot="1">
      <c r="A7" s="8"/>
      <c r="B7" s="162"/>
      <c r="C7" s="9" t="s">
        <v>93</v>
      </c>
      <c r="D7" s="15" t="s">
        <v>94</v>
      </c>
      <c r="E7" s="13" t="s">
        <v>95</v>
      </c>
      <c r="F7" s="83" t="s">
        <v>96</v>
      </c>
      <c r="G7" s="84" t="s">
        <v>96</v>
      </c>
      <c r="H7" s="84" t="s">
        <v>96</v>
      </c>
      <c r="I7" s="84" t="s">
        <v>96</v>
      </c>
      <c r="J7" s="84" t="s">
        <v>96</v>
      </c>
      <c r="K7" s="84" t="s">
        <v>96</v>
      </c>
      <c r="L7" s="84" t="s">
        <v>96</v>
      </c>
      <c r="M7" s="84" t="s">
        <v>96</v>
      </c>
      <c r="N7" s="84" t="s">
        <v>96</v>
      </c>
      <c r="O7" s="84" t="s">
        <v>96</v>
      </c>
      <c r="P7" s="84" t="s">
        <v>96</v>
      </c>
      <c r="Q7" s="85" t="s">
        <v>96</v>
      </c>
      <c r="R7" s="14" t="s">
        <v>96</v>
      </c>
      <c r="S7" s="12" t="s">
        <v>97</v>
      </c>
      <c r="T7" s="12" t="s">
        <v>98</v>
      </c>
      <c r="BC7" s="10" t="s">
        <v>98</v>
      </c>
    </row>
    <row r="8" spans="1:55" s="175" customFormat="1" ht="13" customHeight="1">
      <c r="A8" s="166"/>
      <c r="B8" s="235" t="s">
        <v>78</v>
      </c>
      <c r="C8" s="167" t="s">
        <v>99</v>
      </c>
      <c r="D8" s="168" t="s">
        <v>64</v>
      </c>
      <c r="E8" s="169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1">
        <f t="shared" ref="R8:R23" si="1">SUM(F8:Q8)</f>
        <v>0</v>
      </c>
      <c r="S8" s="172"/>
      <c r="T8" s="173"/>
      <c r="U8" s="174"/>
      <c r="V8" s="174"/>
      <c r="W8" s="174"/>
    </row>
    <row r="9" spans="1:55" s="175" customFormat="1" ht="13" customHeight="1">
      <c r="A9" s="166"/>
      <c r="B9" s="236" t="s">
        <v>79</v>
      </c>
      <c r="C9" s="167" t="s">
        <v>100</v>
      </c>
      <c r="D9" s="176" t="s">
        <v>64</v>
      </c>
      <c r="E9" s="177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9">
        <f t="shared" si="1"/>
        <v>0</v>
      </c>
      <c r="S9" s="180"/>
      <c r="T9" s="181"/>
      <c r="U9" s="174"/>
      <c r="V9" s="174"/>
      <c r="W9" s="174"/>
    </row>
    <row r="10" spans="1:55" s="175" customFormat="1" ht="13" customHeight="1">
      <c r="A10" s="166"/>
      <c r="B10" s="237" t="s">
        <v>78</v>
      </c>
      <c r="C10" s="167" t="s">
        <v>101</v>
      </c>
      <c r="D10" s="182" t="s">
        <v>64</v>
      </c>
      <c r="E10" s="183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84">
        <f t="shared" si="1"/>
        <v>0</v>
      </c>
      <c r="S10" s="185"/>
      <c r="T10" s="186"/>
      <c r="U10" s="174"/>
      <c r="V10" s="174"/>
      <c r="W10" s="174"/>
    </row>
    <row r="11" spans="1:55" s="175" customFormat="1" ht="13" customHeight="1">
      <c r="A11" s="187"/>
      <c r="B11" s="238" t="s">
        <v>79</v>
      </c>
      <c r="C11" s="167" t="s">
        <v>102</v>
      </c>
      <c r="D11" s="182" t="s">
        <v>64</v>
      </c>
      <c r="E11" s="18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89">
        <f t="shared" si="1"/>
        <v>0</v>
      </c>
      <c r="S11" s="190"/>
      <c r="T11" s="191"/>
      <c r="U11" s="174"/>
      <c r="V11" s="174"/>
      <c r="W11" s="174"/>
    </row>
    <row r="12" spans="1:55" s="175" customFormat="1" ht="13" customHeight="1">
      <c r="A12" s="187"/>
      <c r="B12" s="237"/>
      <c r="C12" s="192" t="s">
        <v>103</v>
      </c>
      <c r="D12" s="193" t="s">
        <v>65</v>
      </c>
      <c r="E12" s="194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6">
        <f t="shared" si="1"/>
        <v>0</v>
      </c>
      <c r="S12" s="197" t="s">
        <v>104</v>
      </c>
      <c r="T12" s="191"/>
      <c r="U12" s="174"/>
      <c r="V12" s="174"/>
      <c r="W12" s="174"/>
    </row>
    <row r="13" spans="1:55" s="175" customFormat="1" ht="13" customHeight="1">
      <c r="A13" s="187"/>
      <c r="B13" s="237"/>
      <c r="C13" s="192" t="s">
        <v>105</v>
      </c>
      <c r="D13" s="193" t="s">
        <v>66</v>
      </c>
      <c r="E13" s="194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6">
        <f t="shared" si="1"/>
        <v>0</v>
      </c>
      <c r="S13" s="197" t="s">
        <v>104</v>
      </c>
      <c r="T13" s="191"/>
      <c r="U13" s="174"/>
      <c r="V13" s="174"/>
      <c r="W13" s="174"/>
    </row>
    <row r="14" spans="1:55" s="175" customFormat="1" ht="13" customHeight="1">
      <c r="A14" s="187"/>
      <c r="B14" s="238"/>
      <c r="C14" s="192" t="s">
        <v>106</v>
      </c>
      <c r="D14" s="193" t="s">
        <v>67</v>
      </c>
      <c r="E14" s="194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6">
        <f t="shared" si="1"/>
        <v>0</v>
      </c>
      <c r="S14" s="197" t="s">
        <v>104</v>
      </c>
      <c r="T14" s="191"/>
      <c r="U14" s="174"/>
      <c r="V14" s="174"/>
      <c r="W14" s="174"/>
    </row>
    <row r="15" spans="1:55" s="175" customFormat="1" ht="13" customHeight="1">
      <c r="A15" s="187"/>
      <c r="B15" s="238"/>
      <c r="C15" s="192" t="s">
        <v>107</v>
      </c>
      <c r="D15" s="193" t="s">
        <v>68</v>
      </c>
      <c r="E15" s="194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6">
        <f t="shared" si="1"/>
        <v>0</v>
      </c>
      <c r="S15" s="197" t="s">
        <v>104</v>
      </c>
      <c r="T15" s="191"/>
      <c r="U15" s="174"/>
      <c r="V15" s="174"/>
      <c r="W15" s="174"/>
    </row>
    <row r="16" spans="1:55" s="175" customFormat="1" ht="13" customHeight="1">
      <c r="A16" s="187"/>
      <c r="B16" s="239" t="s">
        <v>81</v>
      </c>
      <c r="C16" s="167" t="s">
        <v>108</v>
      </c>
      <c r="D16" s="198" t="s">
        <v>64</v>
      </c>
      <c r="E16" s="18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89">
        <f t="shared" si="1"/>
        <v>0</v>
      </c>
      <c r="S16" s="190"/>
      <c r="T16" s="191"/>
      <c r="U16" s="174"/>
      <c r="V16" s="174"/>
      <c r="W16" s="174"/>
    </row>
    <row r="17" spans="1:33" s="175" customFormat="1" ht="13" customHeight="1">
      <c r="A17" s="166"/>
      <c r="B17" s="239" t="s">
        <v>82</v>
      </c>
      <c r="C17" s="167" t="s">
        <v>109</v>
      </c>
      <c r="D17" s="198" t="s">
        <v>64</v>
      </c>
      <c r="E17" s="18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89">
        <f t="shared" si="1"/>
        <v>0</v>
      </c>
      <c r="S17" s="190"/>
      <c r="T17" s="191"/>
      <c r="U17" s="174"/>
      <c r="V17" s="174"/>
      <c r="W17" s="174"/>
    </row>
    <row r="18" spans="1:33" s="175" customFormat="1" ht="13" customHeight="1">
      <c r="A18" s="166"/>
      <c r="B18" s="237" t="s">
        <v>81</v>
      </c>
      <c r="C18" s="167" t="s">
        <v>110</v>
      </c>
      <c r="D18" s="182" t="s">
        <v>64</v>
      </c>
      <c r="E18" s="183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84">
        <f t="shared" si="1"/>
        <v>0</v>
      </c>
      <c r="S18" s="185"/>
      <c r="T18" s="186"/>
      <c r="U18" s="174"/>
      <c r="V18" s="174"/>
      <c r="W18" s="174"/>
    </row>
    <row r="19" spans="1:33" s="175" customFormat="1" ht="13" customHeight="1">
      <c r="A19" s="187"/>
      <c r="B19" s="238" t="s">
        <v>82</v>
      </c>
      <c r="C19" s="167" t="s">
        <v>111</v>
      </c>
      <c r="D19" s="182" t="s">
        <v>64</v>
      </c>
      <c r="E19" s="188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>
        <f t="shared" si="1"/>
        <v>0</v>
      </c>
      <c r="S19" s="190"/>
      <c r="T19" s="191"/>
      <c r="U19" s="174"/>
      <c r="V19" s="174"/>
      <c r="W19" s="174"/>
    </row>
    <row r="20" spans="1:33" s="175" customFormat="1" ht="13" customHeight="1">
      <c r="A20" s="187"/>
      <c r="B20" s="238"/>
      <c r="C20" s="192" t="s">
        <v>112</v>
      </c>
      <c r="D20" s="193" t="s">
        <v>65</v>
      </c>
      <c r="E20" s="194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6">
        <f t="shared" si="1"/>
        <v>0</v>
      </c>
      <c r="S20" s="197" t="s">
        <v>104</v>
      </c>
      <c r="T20" s="191"/>
      <c r="U20" s="174"/>
      <c r="V20" s="174"/>
      <c r="W20" s="174"/>
    </row>
    <row r="21" spans="1:33" s="175" customFormat="1" ht="13" customHeight="1">
      <c r="A21" s="187"/>
      <c r="B21" s="238"/>
      <c r="C21" s="192" t="s">
        <v>113</v>
      </c>
      <c r="D21" s="193" t="s">
        <v>66</v>
      </c>
      <c r="E21" s="194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6">
        <f t="shared" si="1"/>
        <v>0</v>
      </c>
      <c r="S21" s="197" t="s">
        <v>104</v>
      </c>
      <c r="T21" s="191"/>
      <c r="U21" s="174"/>
      <c r="V21" s="174"/>
      <c r="W21" s="174"/>
    </row>
    <row r="22" spans="1:33" s="175" customFormat="1" ht="13" customHeight="1">
      <c r="A22" s="187"/>
      <c r="B22" s="238"/>
      <c r="C22" s="192" t="s">
        <v>114</v>
      </c>
      <c r="D22" s="193" t="s">
        <v>67</v>
      </c>
      <c r="E22" s="194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6">
        <f t="shared" si="1"/>
        <v>0</v>
      </c>
      <c r="S22" s="197" t="s">
        <v>104</v>
      </c>
      <c r="T22" s="191"/>
      <c r="U22" s="174"/>
      <c r="V22" s="174"/>
      <c r="W22" s="174"/>
    </row>
    <row r="23" spans="1:33" s="175" customFormat="1" ht="13" customHeight="1">
      <c r="A23" s="187"/>
      <c r="B23" s="238"/>
      <c r="C23" s="192" t="s">
        <v>115</v>
      </c>
      <c r="D23" s="193" t="s">
        <v>68</v>
      </c>
      <c r="E23" s="194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6">
        <f t="shared" si="1"/>
        <v>0</v>
      </c>
      <c r="S23" s="197" t="s">
        <v>104</v>
      </c>
      <c r="T23" s="191"/>
      <c r="U23" s="174"/>
      <c r="V23" s="174"/>
      <c r="W23" s="174"/>
    </row>
    <row r="24" spans="1:33" s="175" customFormat="1" ht="13" customHeight="1">
      <c r="A24" s="187"/>
      <c r="B24" s="240" t="s">
        <v>74</v>
      </c>
      <c r="C24" s="241" t="s">
        <v>74</v>
      </c>
      <c r="D24" s="242" t="s">
        <v>74</v>
      </c>
      <c r="E24" s="222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184">
        <f>Q24</f>
        <v>0</v>
      </c>
      <c r="S24" s="185"/>
      <c r="T24" s="186"/>
      <c r="U24" s="243"/>
      <c r="V24" s="174"/>
      <c r="W24" s="174"/>
    </row>
    <row r="25" spans="1:33" s="175" customFormat="1" ht="15" customHeight="1">
      <c r="A25" s="166"/>
      <c r="B25" s="239" t="s">
        <v>75</v>
      </c>
      <c r="C25" s="244" t="s">
        <v>75</v>
      </c>
      <c r="D25" s="198" t="s">
        <v>75</v>
      </c>
      <c r="E25" s="245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46">
        <f>Q25</f>
        <v>0</v>
      </c>
      <c r="S25" s="247"/>
      <c r="T25" s="215"/>
      <c r="U25" s="243"/>
      <c r="V25" s="248">
        <v>4</v>
      </c>
      <c r="W25" s="248">
        <v>5</v>
      </c>
      <c r="X25" s="248">
        <v>6</v>
      </c>
      <c r="Y25" s="248">
        <v>7</v>
      </c>
      <c r="Z25" s="248">
        <v>8</v>
      </c>
      <c r="AA25" s="248">
        <v>9</v>
      </c>
      <c r="AB25" s="248">
        <v>10</v>
      </c>
      <c r="AC25" s="248">
        <v>11</v>
      </c>
      <c r="AD25" s="248">
        <v>12</v>
      </c>
      <c r="AE25" s="248">
        <v>1</v>
      </c>
      <c r="AF25" s="248">
        <v>2</v>
      </c>
      <c r="AG25" s="248">
        <v>3</v>
      </c>
    </row>
    <row r="26" spans="1:33" s="175" customFormat="1" ht="13" customHeight="1">
      <c r="A26" s="166"/>
      <c r="B26" s="285">
        <v>9114120002</v>
      </c>
      <c r="C26" s="286" t="s">
        <v>3</v>
      </c>
      <c r="D26" s="287" t="s">
        <v>3</v>
      </c>
      <c r="E26" s="200"/>
      <c r="F26" s="201">
        <f t="shared" ref="F26:Q28" si="2">ROUNDDOWN(V26*$B$2,0)</f>
        <v>0</v>
      </c>
      <c r="G26" s="201">
        <f t="shared" si="2"/>
        <v>0</v>
      </c>
      <c r="H26" s="201">
        <f t="shared" si="2"/>
        <v>0</v>
      </c>
      <c r="I26" s="201">
        <f t="shared" si="2"/>
        <v>0</v>
      </c>
      <c r="J26" s="201">
        <f t="shared" si="2"/>
        <v>0</v>
      </c>
      <c r="K26" s="201">
        <f t="shared" si="2"/>
        <v>0</v>
      </c>
      <c r="L26" s="201">
        <f t="shared" si="2"/>
        <v>0</v>
      </c>
      <c r="M26" s="201">
        <f t="shared" si="2"/>
        <v>0</v>
      </c>
      <c r="N26" s="201">
        <f t="shared" si="2"/>
        <v>0</v>
      </c>
      <c r="O26" s="201">
        <f t="shared" si="2"/>
        <v>0</v>
      </c>
      <c r="P26" s="201">
        <f t="shared" si="2"/>
        <v>0</v>
      </c>
      <c r="Q26" s="201">
        <f t="shared" si="2"/>
        <v>0</v>
      </c>
      <c r="R26" s="202">
        <f t="shared" ref="R26:R42" si="3">SUM(F26:Q26)</f>
        <v>0</v>
      </c>
      <c r="S26" s="203" t="s">
        <v>8</v>
      </c>
      <c r="T26" s="204"/>
      <c r="U26" s="174"/>
      <c r="V26" s="205"/>
      <c r="W26" s="205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</row>
    <row r="27" spans="1:33" s="175" customFormat="1" ht="13" customHeight="1">
      <c r="A27" s="207"/>
      <c r="B27" s="284">
        <v>9114120004</v>
      </c>
      <c r="C27" s="288" t="s">
        <v>6</v>
      </c>
      <c r="D27" s="289" t="s">
        <v>6</v>
      </c>
      <c r="E27" s="208"/>
      <c r="F27" s="209">
        <f t="shared" si="2"/>
        <v>0</v>
      </c>
      <c r="G27" s="209">
        <f t="shared" si="2"/>
        <v>0</v>
      </c>
      <c r="H27" s="209">
        <f t="shared" si="2"/>
        <v>0</v>
      </c>
      <c r="I27" s="209">
        <f t="shared" si="2"/>
        <v>0</v>
      </c>
      <c r="J27" s="209">
        <f t="shared" si="2"/>
        <v>0</v>
      </c>
      <c r="K27" s="209">
        <f t="shared" si="2"/>
        <v>0</v>
      </c>
      <c r="L27" s="209">
        <f t="shared" si="2"/>
        <v>0</v>
      </c>
      <c r="M27" s="209">
        <f t="shared" si="2"/>
        <v>0</v>
      </c>
      <c r="N27" s="209">
        <f t="shared" si="2"/>
        <v>0</v>
      </c>
      <c r="O27" s="209">
        <f t="shared" si="2"/>
        <v>0</v>
      </c>
      <c r="P27" s="209">
        <f t="shared" si="2"/>
        <v>0</v>
      </c>
      <c r="Q27" s="209">
        <f t="shared" si="2"/>
        <v>0</v>
      </c>
      <c r="R27" s="202">
        <f t="shared" si="3"/>
        <v>0</v>
      </c>
      <c r="S27" s="210" t="s">
        <v>8</v>
      </c>
      <c r="T27" s="186"/>
      <c r="U27" s="174"/>
      <c r="V27" s="205"/>
      <c r="W27" s="205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</row>
    <row r="28" spans="1:33" s="175" customFormat="1" ht="13" customHeight="1">
      <c r="A28" s="207"/>
      <c r="B28" s="284">
        <v>9114120014</v>
      </c>
      <c r="C28" s="288" t="s">
        <v>7</v>
      </c>
      <c r="D28" s="289" t="s">
        <v>7</v>
      </c>
      <c r="E28" s="208"/>
      <c r="F28" s="209">
        <f t="shared" si="2"/>
        <v>0</v>
      </c>
      <c r="G28" s="209">
        <f t="shared" si="2"/>
        <v>0</v>
      </c>
      <c r="H28" s="209">
        <f t="shared" si="2"/>
        <v>0</v>
      </c>
      <c r="I28" s="209">
        <f t="shared" si="2"/>
        <v>0</v>
      </c>
      <c r="J28" s="209">
        <f t="shared" si="2"/>
        <v>0</v>
      </c>
      <c r="K28" s="209">
        <f t="shared" si="2"/>
        <v>0</v>
      </c>
      <c r="L28" s="209">
        <f t="shared" si="2"/>
        <v>0</v>
      </c>
      <c r="M28" s="209">
        <f t="shared" si="2"/>
        <v>0</v>
      </c>
      <c r="N28" s="209">
        <f t="shared" si="2"/>
        <v>0</v>
      </c>
      <c r="O28" s="209">
        <f t="shared" si="2"/>
        <v>0</v>
      </c>
      <c r="P28" s="209">
        <f t="shared" si="2"/>
        <v>0</v>
      </c>
      <c r="Q28" s="209">
        <f t="shared" si="2"/>
        <v>0</v>
      </c>
      <c r="R28" s="202">
        <f t="shared" si="3"/>
        <v>0</v>
      </c>
      <c r="S28" s="210" t="s">
        <v>8</v>
      </c>
      <c r="T28" s="186"/>
      <c r="U28" s="174"/>
      <c r="V28" s="205"/>
      <c r="W28" s="205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</row>
    <row r="29" spans="1:33" s="175" customFormat="1" ht="13.5" customHeight="1">
      <c r="A29" s="207"/>
      <c r="B29" s="290">
        <v>9114120006</v>
      </c>
      <c r="C29" s="291" t="s">
        <v>116</v>
      </c>
      <c r="D29" s="292" t="s">
        <v>10</v>
      </c>
      <c r="E29" s="211"/>
      <c r="F29" s="212">
        <f t="shared" ref="F29:Q29" si="4">ROUNDUP(V29*$B$2,0)</f>
        <v>0</v>
      </c>
      <c r="G29" s="212">
        <f t="shared" si="4"/>
        <v>0</v>
      </c>
      <c r="H29" s="212">
        <f t="shared" si="4"/>
        <v>0</v>
      </c>
      <c r="I29" s="212">
        <f t="shared" si="4"/>
        <v>0</v>
      </c>
      <c r="J29" s="212">
        <f t="shared" si="4"/>
        <v>0</v>
      </c>
      <c r="K29" s="212">
        <f t="shared" si="4"/>
        <v>0</v>
      </c>
      <c r="L29" s="212">
        <f t="shared" si="4"/>
        <v>0</v>
      </c>
      <c r="M29" s="212">
        <f t="shared" si="4"/>
        <v>0</v>
      </c>
      <c r="N29" s="212">
        <f t="shared" si="4"/>
        <v>0</v>
      </c>
      <c r="O29" s="212">
        <f t="shared" si="4"/>
        <v>0</v>
      </c>
      <c r="P29" s="212">
        <f t="shared" si="4"/>
        <v>0</v>
      </c>
      <c r="Q29" s="212">
        <f t="shared" si="4"/>
        <v>0</v>
      </c>
      <c r="R29" s="213">
        <f t="shared" si="3"/>
        <v>0</v>
      </c>
      <c r="S29" s="214" t="s">
        <v>8</v>
      </c>
      <c r="T29" s="215"/>
      <c r="U29" s="174"/>
      <c r="V29" s="205"/>
      <c r="W29" s="205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</row>
    <row r="30" spans="1:33" s="175" customFormat="1" ht="13" customHeight="1">
      <c r="B30" s="164"/>
      <c r="C30" s="219" t="str">
        <f>IFERROR(IF(VLOOKUP($B30,勘定科目!$A:$H,HLOOKUP($E$5,勘定科目!$F$1:$H$2,2,0),0)="","",VLOOKUP($B30,勘定科目!$A:$E,2,0)),"")</f>
        <v/>
      </c>
      <c r="D30" s="220" t="str">
        <f>IF(C30="","",VLOOKUP($B30,勘定科目!$A:$E,4,0))</f>
        <v/>
      </c>
      <c r="E30" s="221"/>
      <c r="F30" s="217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184">
        <f t="shared" si="3"/>
        <v>0</v>
      </c>
      <c r="S30" s="185"/>
      <c r="T30" s="186"/>
      <c r="U30" s="174"/>
      <c r="V30" s="174"/>
      <c r="W30" s="174"/>
    </row>
    <row r="31" spans="1:33" s="175" customFormat="1" ht="13" customHeight="1">
      <c r="B31" s="278">
        <v>9114120018</v>
      </c>
      <c r="C31" s="279" t="s">
        <v>57</v>
      </c>
      <c r="D31" s="280" t="s">
        <v>57</v>
      </c>
      <c r="E31" s="221"/>
      <c r="F31" s="217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184">
        <f t="shared" si="3"/>
        <v>0</v>
      </c>
      <c r="S31" s="185"/>
      <c r="T31" s="186"/>
      <c r="U31" s="174"/>
      <c r="V31" s="174"/>
      <c r="W31" s="174"/>
    </row>
    <row r="32" spans="1:33" s="175" customFormat="1" ht="13" customHeight="1">
      <c r="B32" s="281">
        <v>9114120029</v>
      </c>
      <c r="C32" s="282" t="s">
        <v>84</v>
      </c>
      <c r="D32" s="283" t="s">
        <v>84</v>
      </c>
      <c r="E32" s="221"/>
      <c r="F32" s="217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184">
        <f t="shared" si="3"/>
        <v>0</v>
      </c>
      <c r="S32" s="185"/>
      <c r="T32" s="186"/>
      <c r="U32" s="174"/>
      <c r="V32" s="174"/>
      <c r="W32" s="174"/>
    </row>
    <row r="33" spans="1:23" s="175" customFormat="1" ht="13" customHeight="1">
      <c r="B33" s="281">
        <v>9114120030</v>
      </c>
      <c r="C33" s="282" t="s">
        <v>85</v>
      </c>
      <c r="D33" s="283" t="s">
        <v>85</v>
      </c>
      <c r="E33" s="221"/>
      <c r="F33" s="217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184">
        <f t="shared" si="3"/>
        <v>0</v>
      </c>
      <c r="S33" s="185"/>
      <c r="T33" s="186"/>
      <c r="U33" s="174"/>
      <c r="V33" s="174"/>
      <c r="W33" s="174"/>
    </row>
    <row r="34" spans="1:23" s="175" customFormat="1" ht="13" customHeight="1">
      <c r="B34" s="281">
        <v>9114120021</v>
      </c>
      <c r="C34" s="282" t="s">
        <v>60</v>
      </c>
      <c r="D34" s="283" t="s">
        <v>60</v>
      </c>
      <c r="E34" s="221"/>
      <c r="F34" s="217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184">
        <f t="shared" si="3"/>
        <v>0</v>
      </c>
      <c r="S34" s="185"/>
      <c r="T34" s="186"/>
      <c r="U34" s="174"/>
      <c r="V34" s="174"/>
      <c r="W34" s="174"/>
    </row>
    <row r="35" spans="1:23" s="175" customFormat="1" ht="13" customHeight="1">
      <c r="B35" s="281" t="s">
        <v>117</v>
      </c>
      <c r="C35" s="282" t="s">
        <v>117</v>
      </c>
      <c r="D35" s="283" t="s">
        <v>117</v>
      </c>
      <c r="E35" s="221"/>
      <c r="F35" s="217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184">
        <f t="shared" si="3"/>
        <v>0</v>
      </c>
      <c r="S35" s="185"/>
      <c r="T35" s="186"/>
      <c r="U35" s="174"/>
      <c r="V35" s="174"/>
      <c r="W35" s="174"/>
    </row>
    <row r="36" spans="1:23" s="175" customFormat="1" ht="13" customHeight="1">
      <c r="A36" s="207"/>
      <c r="B36" s="284">
        <v>9114120009</v>
      </c>
      <c r="C36" s="282" t="s">
        <v>118</v>
      </c>
      <c r="D36" s="283" t="s">
        <v>54</v>
      </c>
      <c r="E36" s="222"/>
      <c r="F36" s="178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184">
        <f t="shared" si="3"/>
        <v>0</v>
      </c>
      <c r="S36" s="185"/>
      <c r="T36" s="186"/>
      <c r="U36" s="223"/>
      <c r="V36" s="223"/>
      <c r="W36" s="223"/>
    </row>
    <row r="37" spans="1:23" s="175" customFormat="1" ht="13" customHeight="1">
      <c r="A37" s="207"/>
      <c r="B37" s="164"/>
      <c r="C37" s="167" t="str">
        <f>IFERROR(IF(VLOOKUP($B37,勘定科目!$A:$H,HLOOKUP($E$5,勘定科目!$F$1:$H$2,2,0),0)="","",VLOOKUP($B37,勘定科目!$A:$E,2,0)),"")</f>
        <v/>
      </c>
      <c r="D37" s="216" t="str">
        <f>IF(C37="","",VLOOKUP($B37,勘定科目!$A:$E,4,0))</f>
        <v/>
      </c>
      <c r="E37" s="222"/>
      <c r="F37" s="178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184">
        <f t="shared" si="3"/>
        <v>0</v>
      </c>
      <c r="S37" s="185"/>
      <c r="T37" s="186"/>
      <c r="U37" s="223"/>
      <c r="V37" s="223"/>
      <c r="W37" s="223"/>
    </row>
    <row r="38" spans="1:23" s="175" customFormat="1" ht="13" customHeight="1">
      <c r="A38" s="207"/>
      <c r="B38" s="164"/>
      <c r="C38" s="167" t="str">
        <f>IFERROR(IF(VLOOKUP($B38,勘定科目!$A:$H,HLOOKUP($E$5,勘定科目!$F$1:$H$2,2,0),0)="","",VLOOKUP($B38,勘定科目!$A:$E,2,0)),"")</f>
        <v/>
      </c>
      <c r="D38" s="216" t="str">
        <f>IF(C38="","",VLOOKUP($B38,勘定科目!$A:$E,4,0))</f>
        <v/>
      </c>
      <c r="E38" s="222"/>
      <c r="F38" s="178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184">
        <f t="shared" si="3"/>
        <v>0</v>
      </c>
      <c r="S38" s="185"/>
      <c r="T38" s="186"/>
      <c r="U38" s="223"/>
      <c r="V38" s="223"/>
      <c r="W38" s="223"/>
    </row>
    <row r="39" spans="1:23" s="175" customFormat="1" ht="13" customHeight="1">
      <c r="A39" s="207"/>
      <c r="B39" s="164"/>
      <c r="C39" s="167" t="str">
        <f>IFERROR(IF(VLOOKUP($B39,勘定科目!$A:$H,HLOOKUP($E$5,勘定科目!$F$1:$H$2,2,0),0)="","",VLOOKUP($B39,勘定科目!$A:$E,2,0)),"")</f>
        <v/>
      </c>
      <c r="D39" s="216" t="str">
        <f>IF(C39="","",VLOOKUP($B39,勘定科目!$A:$E,4,0))</f>
        <v/>
      </c>
      <c r="E39" s="222"/>
      <c r="F39" s="178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184">
        <f t="shared" si="3"/>
        <v>0</v>
      </c>
      <c r="S39" s="185"/>
      <c r="T39" s="186"/>
      <c r="U39" s="223"/>
      <c r="V39" s="223"/>
      <c r="W39" s="223"/>
    </row>
    <row r="40" spans="1:23" s="175" customFormat="1" ht="13" customHeight="1">
      <c r="A40" s="207"/>
      <c r="B40" s="164"/>
      <c r="C40" s="167" t="str">
        <f>IFERROR(IF(VLOOKUP($B40,勘定科目!$A:$H,HLOOKUP($E$5,勘定科目!$F$1:$H$2,2,0),0)="","",VLOOKUP($B40,勘定科目!$A:$E,2,0)),"")</f>
        <v/>
      </c>
      <c r="D40" s="216" t="str">
        <f>IF(C40="","",VLOOKUP($B40,勘定科目!$A:$E,4,0))</f>
        <v/>
      </c>
      <c r="E40" s="222"/>
      <c r="F40" s="178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184">
        <f t="shared" si="3"/>
        <v>0</v>
      </c>
      <c r="S40" s="185"/>
      <c r="T40" s="186"/>
      <c r="U40" s="223"/>
      <c r="V40" s="223"/>
      <c r="W40" s="223"/>
    </row>
    <row r="41" spans="1:23" s="175" customFormat="1" ht="13" customHeight="1">
      <c r="A41" s="207"/>
      <c r="B41" s="164"/>
      <c r="C41" s="167" t="str">
        <f>IFERROR(IF(VLOOKUP($B41,勘定科目!$A:$H,HLOOKUP($E$5,勘定科目!$F$1:$H$2,2,0),0)="","",VLOOKUP($B41,勘定科目!$A:$E,2,0)),"")</f>
        <v/>
      </c>
      <c r="D41" s="216" t="str">
        <f>IF(C41="","",VLOOKUP($B41,勘定科目!$A:$E,4,0))</f>
        <v/>
      </c>
      <c r="E41" s="222"/>
      <c r="F41" s="178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184">
        <f t="shared" si="3"/>
        <v>0</v>
      </c>
      <c r="S41" s="185"/>
      <c r="T41" s="186"/>
      <c r="U41" s="223"/>
      <c r="V41" s="223"/>
      <c r="W41" s="223"/>
    </row>
    <row r="42" spans="1:23" s="175" customFormat="1" ht="13" customHeight="1">
      <c r="A42" s="207"/>
      <c r="B42" s="164"/>
      <c r="C42" s="167" t="str">
        <f>IFERROR(IF(VLOOKUP($B42,勘定科目!$A:$H,HLOOKUP($E$5,勘定科目!$F$1:$H$2,2,0),0)="","",VLOOKUP($B42,勘定科目!$A:$E,2,0)),"")</f>
        <v/>
      </c>
      <c r="D42" s="216" t="str">
        <f>IF(C42="","",VLOOKUP($B42,勘定科目!$A:$E,4,0))</f>
        <v/>
      </c>
      <c r="E42" s="222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84">
        <f t="shared" si="3"/>
        <v>0</v>
      </c>
      <c r="S42" s="185"/>
      <c r="T42" s="186"/>
      <c r="U42" s="223"/>
      <c r="V42" s="223"/>
      <c r="W42" s="223"/>
    </row>
    <row r="43" spans="1:23" s="175" customFormat="1" ht="13" customHeight="1">
      <c r="A43" s="207"/>
      <c r="B43" s="164"/>
      <c r="C43" s="167"/>
      <c r="D43" s="216"/>
      <c r="E43" s="222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84"/>
      <c r="S43" s="185"/>
      <c r="T43" s="186"/>
      <c r="U43" s="223"/>
      <c r="V43" s="223"/>
      <c r="W43" s="223"/>
    </row>
    <row r="44" spans="1:23" s="175" customFormat="1" ht="13" customHeight="1">
      <c r="A44" s="207"/>
      <c r="B44" s="164"/>
      <c r="C44" s="167" t="str">
        <f>IFERROR(IF(VLOOKUP($B44,勘定科目!$A:$H,HLOOKUP($E$5,勘定科目!$F$1:$H$2,2,0),0)="","",VLOOKUP($B44,勘定科目!$A:$E,2,0)),"")</f>
        <v/>
      </c>
      <c r="D44" s="216" t="str">
        <f>IF(C44="","",VLOOKUP($B44,勘定科目!$A:$E,4,0))</f>
        <v/>
      </c>
      <c r="E44" s="222"/>
      <c r="F44" s="178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184">
        <f t="shared" ref="R44:R49" si="5">SUM(F44:Q44)</f>
        <v>0</v>
      </c>
      <c r="S44" s="185"/>
      <c r="T44" s="186"/>
      <c r="U44" s="223"/>
      <c r="V44" s="223"/>
      <c r="W44" s="223"/>
    </row>
    <row r="45" spans="1:23" s="175" customFormat="1" ht="13" customHeight="1">
      <c r="A45" s="207"/>
      <c r="B45" s="164"/>
      <c r="C45" s="167" t="str">
        <f>IFERROR(IF(VLOOKUP($B45,勘定科目!$A:$H,HLOOKUP($E$5,勘定科目!$F$1:$H$2,2,0),0)="","",VLOOKUP($B45,勘定科目!$A:$E,2,0)),"")</f>
        <v/>
      </c>
      <c r="D45" s="216" t="str">
        <f>IF(C45="","",VLOOKUP($B45,勘定科目!$A:$E,4,0))</f>
        <v/>
      </c>
      <c r="E45" s="222"/>
      <c r="F45" s="178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184">
        <f t="shared" si="5"/>
        <v>0</v>
      </c>
      <c r="S45" s="185"/>
      <c r="T45" s="186"/>
      <c r="U45" s="223"/>
      <c r="V45" s="223"/>
      <c r="W45" s="223"/>
    </row>
    <row r="46" spans="1:23" s="175" customFormat="1" ht="13" customHeight="1">
      <c r="A46" s="207"/>
      <c r="B46" s="164"/>
      <c r="C46" s="167" t="str">
        <f>IFERROR(IF(VLOOKUP($B46,勘定科目!$A:$H,HLOOKUP($E$5,勘定科目!$F$1:$H$2,2,0),0)="","",VLOOKUP($B46,勘定科目!$A:$E,2,0)),"")</f>
        <v/>
      </c>
      <c r="D46" s="216" t="str">
        <f>IF(C46="","",VLOOKUP($B46,勘定科目!$A:$E,4,0))</f>
        <v/>
      </c>
      <c r="E46" s="222"/>
      <c r="F46" s="178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184">
        <f t="shared" si="5"/>
        <v>0</v>
      </c>
      <c r="S46" s="185"/>
      <c r="T46" s="186"/>
      <c r="U46" s="223"/>
      <c r="V46" s="223"/>
      <c r="W46" s="223"/>
    </row>
    <row r="47" spans="1:23" s="175" customFormat="1" ht="13" customHeight="1">
      <c r="A47" s="207"/>
      <c r="B47" s="164"/>
      <c r="C47" s="167" t="str">
        <f>IFERROR(IF(VLOOKUP($B47,勘定科目!$A:$H,HLOOKUP($E$5,勘定科目!$F$1:$H$2,2,0),0)="","",VLOOKUP($B47,勘定科目!$A:$E,2,0)),"")</f>
        <v/>
      </c>
      <c r="D47" s="216" t="str">
        <f>IF(C47="","",VLOOKUP($B47,勘定科目!$A:$E,4,0))</f>
        <v/>
      </c>
      <c r="E47" s="222"/>
      <c r="F47" s="178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184">
        <f t="shared" si="5"/>
        <v>0</v>
      </c>
      <c r="S47" s="185"/>
      <c r="T47" s="186"/>
      <c r="U47" s="223"/>
      <c r="V47" s="223"/>
      <c r="W47" s="223"/>
    </row>
    <row r="48" spans="1:23" s="175" customFormat="1" ht="13" customHeight="1">
      <c r="A48" s="207"/>
      <c r="B48" s="164"/>
      <c r="C48" s="167" t="str">
        <f>IFERROR(IF(VLOOKUP($B48,勘定科目!$A:$H,HLOOKUP($E$5,勘定科目!$F$1:$H$2,2,0),0)="","",VLOOKUP($B48,勘定科目!$A:$E,2,0)),"")</f>
        <v/>
      </c>
      <c r="D48" s="216" t="str">
        <f>IF(C48="","",VLOOKUP($B48,勘定科目!$A:$E,4,0))</f>
        <v/>
      </c>
      <c r="E48" s="222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84">
        <f t="shared" si="5"/>
        <v>0</v>
      </c>
      <c r="S48" s="185"/>
      <c r="T48" s="186"/>
      <c r="U48" s="223"/>
      <c r="V48" s="223"/>
      <c r="W48" s="223"/>
    </row>
    <row r="49" spans="1:23" s="175" customFormat="1" ht="13" customHeight="1">
      <c r="A49" s="207"/>
      <c r="B49" s="164"/>
      <c r="C49" s="167" t="str">
        <f>IFERROR(IF(VLOOKUP($B49,勘定科目!$A:$H,HLOOKUP($E$5,勘定科目!$F$1:$H$2,2,0),0)="","",VLOOKUP($B49,勘定科目!$A:$E,2,0)),"")</f>
        <v/>
      </c>
      <c r="D49" s="216" t="str">
        <f>IF(C49="","",VLOOKUP($B49,勘定科目!$A:$E,4,0))</f>
        <v/>
      </c>
      <c r="E49" s="222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84">
        <f t="shared" si="5"/>
        <v>0</v>
      </c>
      <c r="S49" s="185"/>
      <c r="T49" s="186"/>
      <c r="U49" s="223"/>
      <c r="V49" s="223"/>
      <c r="W49" s="223"/>
    </row>
    <row r="50" spans="1:23" s="175" customFormat="1" ht="13" customHeight="1">
      <c r="A50" s="207"/>
      <c r="B50" s="164"/>
      <c r="C50" s="167"/>
      <c r="D50" s="216"/>
      <c r="E50" s="222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84"/>
      <c r="S50" s="185"/>
      <c r="T50" s="186"/>
      <c r="U50" s="223"/>
      <c r="V50" s="223"/>
      <c r="W50" s="223"/>
    </row>
    <row r="51" spans="1:23" s="175" customFormat="1" ht="13" customHeight="1">
      <c r="A51" s="207"/>
      <c r="B51" s="164"/>
      <c r="C51" s="167" t="str">
        <f>IFERROR(IF(VLOOKUP($B51,勘定科目!$A:$H,HLOOKUP($E$5,勘定科目!$F$1:$H$2,2,0),0)="","",VLOOKUP($B51,勘定科目!$A:$E,2,0)),"")</f>
        <v/>
      </c>
      <c r="D51" s="216" t="str">
        <f>IF(C51="","",VLOOKUP($B51,勘定科目!$A:$E,4,0))</f>
        <v/>
      </c>
      <c r="E51" s="222"/>
      <c r="F51" s="178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184">
        <f t="shared" ref="R51:R68" si="6">SUM(F51:Q51)</f>
        <v>0</v>
      </c>
      <c r="S51" s="185"/>
      <c r="T51" s="186"/>
      <c r="U51" s="223"/>
      <c r="V51" s="223"/>
      <c r="W51" s="223"/>
    </row>
    <row r="52" spans="1:23" s="175" customFormat="1" ht="13" customHeight="1">
      <c r="A52" s="207"/>
      <c r="B52" s="164"/>
      <c r="C52" s="167" t="str">
        <f>IFERROR(IF(VLOOKUP($B52,勘定科目!$A:$H,HLOOKUP($E$5,勘定科目!$F$1:$H$2,2,0),0)="","",VLOOKUP($B52,勘定科目!$A:$E,2,0)),"")</f>
        <v/>
      </c>
      <c r="D52" s="216" t="str">
        <f>IF(C52="","",VLOOKUP($B52,勘定科目!$A:$E,4,0))</f>
        <v/>
      </c>
      <c r="E52" s="222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84">
        <f t="shared" si="6"/>
        <v>0</v>
      </c>
      <c r="S52" s="185"/>
      <c r="T52" s="186"/>
      <c r="U52" s="223"/>
      <c r="V52" s="223"/>
      <c r="W52" s="223"/>
    </row>
    <row r="53" spans="1:23" s="175" customFormat="1" ht="13" customHeight="1">
      <c r="A53" s="207"/>
      <c r="B53" s="164"/>
      <c r="C53" s="167" t="str">
        <f>IFERROR(IF(VLOOKUP($B53,勘定科目!$A:$H,HLOOKUP($E$5,勘定科目!$F$1:$H$2,2,0),0)="","",VLOOKUP($B53,勘定科目!$A:$E,2,0)),"")</f>
        <v/>
      </c>
      <c r="D53" s="216" t="str">
        <f>IF(C53="","",VLOOKUP($B53,勘定科目!$A:$E,4,0))</f>
        <v/>
      </c>
      <c r="E53" s="222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84">
        <f t="shared" si="6"/>
        <v>0</v>
      </c>
      <c r="S53" s="185"/>
      <c r="T53" s="186"/>
      <c r="U53" s="223"/>
      <c r="V53" s="223"/>
      <c r="W53" s="223"/>
    </row>
    <row r="54" spans="1:23" s="175" customFormat="1" ht="13" customHeight="1">
      <c r="A54" s="207"/>
      <c r="B54" s="164"/>
      <c r="C54" s="167" t="str">
        <f>IFERROR(IF(VLOOKUP($B54,勘定科目!$A:$H,HLOOKUP($E$5,勘定科目!$F$1:$H$2,2,0),0)="","",VLOOKUP($B54,勘定科目!$A:$E,2,0)),"")</f>
        <v/>
      </c>
      <c r="D54" s="216" t="str">
        <f>IF(C54="","",VLOOKUP($B54,勘定科目!$A:$E,4,0))</f>
        <v/>
      </c>
      <c r="E54" s="222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84">
        <f t="shared" si="6"/>
        <v>0</v>
      </c>
      <c r="S54" s="185"/>
      <c r="T54" s="186"/>
      <c r="U54" s="223"/>
      <c r="V54" s="223"/>
      <c r="W54" s="223"/>
    </row>
    <row r="55" spans="1:23" s="175" customFormat="1" ht="13" customHeight="1">
      <c r="A55" s="207"/>
      <c r="B55" s="164"/>
      <c r="C55" s="167" t="str">
        <f>IFERROR(IF(VLOOKUP($B55,勘定科目!$A:$H,HLOOKUP($E$5,勘定科目!$F$1:$H$2,2,0),0)="","",VLOOKUP($B55,勘定科目!$A:$E,2,0)),"")</f>
        <v/>
      </c>
      <c r="D55" s="216" t="str">
        <f>IF(C55="","",VLOOKUP($B55,勘定科目!$A:$E,4,0))</f>
        <v/>
      </c>
      <c r="E55" s="222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84">
        <f t="shared" si="6"/>
        <v>0</v>
      </c>
      <c r="S55" s="185"/>
      <c r="T55" s="186"/>
      <c r="U55" s="223"/>
      <c r="V55" s="223"/>
      <c r="W55" s="223"/>
    </row>
    <row r="56" spans="1:23" s="175" customFormat="1" ht="13" customHeight="1">
      <c r="A56" s="207"/>
      <c r="B56" s="164"/>
      <c r="C56" s="167" t="str">
        <f>IFERROR(IF(VLOOKUP($B56,勘定科目!$A:$H,HLOOKUP($E$5,勘定科目!$F$1:$H$2,2,0),0)="","",VLOOKUP($B56,勘定科目!$A:$E,2,0)),"")</f>
        <v/>
      </c>
      <c r="D56" s="216" t="str">
        <f>IF(C56="","",VLOOKUP($B56,勘定科目!$A:$E,4,0))</f>
        <v/>
      </c>
      <c r="E56" s="222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84">
        <f t="shared" si="6"/>
        <v>0</v>
      </c>
      <c r="S56" s="185"/>
      <c r="T56" s="186"/>
      <c r="U56" s="223"/>
      <c r="V56" s="223"/>
      <c r="W56" s="223"/>
    </row>
    <row r="57" spans="1:23" s="175" customFormat="1" ht="13" customHeight="1">
      <c r="A57" s="207"/>
      <c r="B57" s="164"/>
      <c r="C57" s="167" t="str">
        <f>IFERROR(IF(VLOOKUP($B57,勘定科目!$A:$H,HLOOKUP($E$5,勘定科目!$F$1:$H$2,2,0),0)="","",VLOOKUP($B57,勘定科目!$A:$E,2,0)),"")</f>
        <v/>
      </c>
      <c r="D57" s="216" t="str">
        <f>IF(C57="","",VLOOKUP($B57,勘定科目!$A:$E,4,0))</f>
        <v/>
      </c>
      <c r="E57" s="222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84">
        <f t="shared" si="6"/>
        <v>0</v>
      </c>
      <c r="S57" s="185"/>
      <c r="T57" s="186"/>
      <c r="U57" s="223"/>
      <c r="V57" s="223"/>
      <c r="W57" s="223"/>
    </row>
    <row r="58" spans="1:23" s="175" customFormat="1" ht="13" customHeight="1">
      <c r="A58" s="207"/>
      <c r="B58" s="164"/>
      <c r="C58" s="167" t="str">
        <f>IFERROR(IF(VLOOKUP($B58,勘定科目!$A:$H,HLOOKUP($E$5,勘定科目!$F$1:$H$2,2,0),0)="","",VLOOKUP($B58,勘定科目!$A:$E,2,0)),"")</f>
        <v/>
      </c>
      <c r="D58" s="216" t="str">
        <f>IF(C58="","",VLOOKUP($B58,勘定科目!$A:$E,4,0))</f>
        <v/>
      </c>
      <c r="E58" s="222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84">
        <f t="shared" si="6"/>
        <v>0</v>
      </c>
      <c r="S58" s="185"/>
      <c r="T58" s="186"/>
      <c r="U58" s="223"/>
      <c r="V58" s="223"/>
      <c r="W58" s="223"/>
    </row>
    <row r="59" spans="1:23" s="175" customFormat="1" ht="13" customHeight="1">
      <c r="A59" s="207"/>
      <c r="B59" s="164"/>
      <c r="C59" s="167" t="str">
        <f>IFERROR(IF(VLOOKUP($B59,勘定科目!$A:$H,HLOOKUP($E$5,勘定科目!$F$1:$H$2,2,0),0)="","",VLOOKUP($B59,勘定科目!$A:$E,2,0)),"")</f>
        <v/>
      </c>
      <c r="D59" s="216" t="str">
        <f>IF(C59="","",VLOOKUP($B59,勘定科目!$A:$E,4,0))</f>
        <v/>
      </c>
      <c r="E59" s="222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84">
        <f t="shared" si="6"/>
        <v>0</v>
      </c>
      <c r="S59" s="185"/>
      <c r="T59" s="186"/>
      <c r="U59" s="223"/>
      <c r="V59" s="223"/>
      <c r="W59" s="223"/>
    </row>
    <row r="60" spans="1:23" s="175" customFormat="1" ht="13" customHeight="1">
      <c r="A60" s="207"/>
      <c r="B60" s="164"/>
      <c r="C60" s="167" t="str">
        <f>IFERROR(IF(VLOOKUP($B60,勘定科目!$A:$H,HLOOKUP($E$5,勘定科目!$F$1:$H$2,2,0),0)="","",VLOOKUP($B60,勘定科目!$A:$E,2,0)),"")</f>
        <v/>
      </c>
      <c r="D60" s="216" t="str">
        <f>IF(C60="","",VLOOKUP($B60,勘定科目!$A:$E,4,0))</f>
        <v/>
      </c>
      <c r="E60" s="222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84">
        <f t="shared" si="6"/>
        <v>0</v>
      </c>
      <c r="S60" s="185"/>
      <c r="T60" s="186"/>
      <c r="U60" s="223"/>
      <c r="V60" s="223"/>
      <c r="W60" s="223"/>
    </row>
    <row r="61" spans="1:23" s="175" customFormat="1" ht="13" customHeight="1">
      <c r="A61" s="207"/>
      <c r="B61" s="164"/>
      <c r="C61" s="167" t="str">
        <f>IFERROR(IF(VLOOKUP($B61,勘定科目!$A:$H,HLOOKUP($E$5,勘定科目!$F$1:$H$2,2,0),0)="","",VLOOKUP($B61,勘定科目!$A:$E,2,0)),"")</f>
        <v/>
      </c>
      <c r="D61" s="216" t="str">
        <f>IF(C61="","",VLOOKUP($B61,勘定科目!$A:$E,4,0))</f>
        <v/>
      </c>
      <c r="E61" s="222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84">
        <f t="shared" si="6"/>
        <v>0</v>
      </c>
      <c r="S61" s="185"/>
      <c r="T61" s="186"/>
      <c r="U61" s="223"/>
      <c r="V61" s="223"/>
      <c r="W61" s="223"/>
    </row>
    <row r="62" spans="1:23" s="175" customFormat="1" ht="13" customHeight="1">
      <c r="A62" s="207"/>
      <c r="B62" s="164"/>
      <c r="C62" s="167" t="str">
        <f>IFERROR(IF(VLOOKUP($B62,勘定科目!$A:$H,HLOOKUP($E$5,勘定科目!$F$1:$H$2,2,0),0)="","",VLOOKUP($B62,勘定科目!$A:$E,2,0)),"")</f>
        <v/>
      </c>
      <c r="D62" s="216" t="str">
        <f>IF(C62="","",VLOOKUP($B62,勘定科目!$A:$E,4,0))</f>
        <v/>
      </c>
      <c r="E62" s="222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84">
        <f t="shared" si="6"/>
        <v>0</v>
      </c>
      <c r="S62" s="185"/>
      <c r="T62" s="186"/>
      <c r="U62" s="223"/>
      <c r="V62" s="223"/>
      <c r="W62" s="223"/>
    </row>
    <row r="63" spans="1:23" s="175" customFormat="1" ht="13" customHeight="1">
      <c r="A63" s="207"/>
      <c r="B63" s="164"/>
      <c r="C63" s="167" t="str">
        <f>IFERROR(IF(VLOOKUP($B63,勘定科目!$A:$H,HLOOKUP($E$5,勘定科目!$F$1:$H$2,2,0),0)="","",VLOOKUP($B63,勘定科目!$A:$E,2,0)),"")</f>
        <v/>
      </c>
      <c r="D63" s="216" t="str">
        <f>IF(C63="","",VLOOKUP($B63,勘定科目!$A:$E,4,0))</f>
        <v/>
      </c>
      <c r="E63" s="222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84">
        <f t="shared" si="6"/>
        <v>0</v>
      </c>
      <c r="S63" s="185"/>
      <c r="T63" s="186"/>
      <c r="U63" s="223"/>
      <c r="V63" s="223"/>
      <c r="W63" s="223"/>
    </row>
    <row r="64" spans="1:23" s="175" customFormat="1" ht="13" customHeight="1">
      <c r="A64" s="207"/>
      <c r="B64" s="164"/>
      <c r="C64" s="167" t="str">
        <f>IFERROR(IF(VLOOKUP($B64,勘定科目!$A:$H,HLOOKUP($E$5,勘定科目!$F$1:$H$2,2,0),0)="","",VLOOKUP($B64,勘定科目!$A:$E,2,0)),"")</f>
        <v/>
      </c>
      <c r="D64" s="216" t="str">
        <f>IF(C64="","",VLOOKUP($B64,勘定科目!$A:$E,4,0))</f>
        <v/>
      </c>
      <c r="E64" s="222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84">
        <f t="shared" si="6"/>
        <v>0</v>
      </c>
      <c r="S64" s="185"/>
      <c r="T64" s="186"/>
      <c r="U64" s="223"/>
      <c r="V64" s="223"/>
      <c r="W64" s="223"/>
    </row>
    <row r="65" spans="1:23" s="175" customFormat="1" ht="13" customHeight="1">
      <c r="A65" s="207"/>
      <c r="B65" s="164"/>
      <c r="C65" s="167" t="str">
        <f>IFERROR(IF(VLOOKUP($B65,勘定科目!$A:$H,HLOOKUP($E$5,勘定科目!$F$1:$H$2,2,0),0)="","",VLOOKUP($B65,勘定科目!$A:$E,2,0)),"")</f>
        <v/>
      </c>
      <c r="D65" s="216" t="str">
        <f>IF(C65="","",VLOOKUP($B65,勘定科目!$A:$E,4,0))</f>
        <v/>
      </c>
      <c r="E65" s="222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84">
        <f t="shared" si="6"/>
        <v>0</v>
      </c>
      <c r="S65" s="185"/>
      <c r="T65" s="186"/>
      <c r="U65" s="223"/>
      <c r="V65" s="223"/>
      <c r="W65" s="223"/>
    </row>
    <row r="66" spans="1:23" s="175" customFormat="1" ht="13" customHeight="1">
      <c r="A66" s="207"/>
      <c r="B66" s="164"/>
      <c r="C66" s="167" t="str">
        <f>IFERROR(IF(VLOOKUP($B66,勘定科目!$A:$H,HLOOKUP($E$5,勘定科目!$F$1:$H$2,2,0),0)="","",VLOOKUP($B66,勘定科目!$A:$E,2,0)),"")</f>
        <v/>
      </c>
      <c r="D66" s="216" t="str">
        <f>IF(C66="","",VLOOKUP($B66,勘定科目!$A:$E,4,0))</f>
        <v/>
      </c>
      <c r="E66" s="222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84">
        <f t="shared" si="6"/>
        <v>0</v>
      </c>
      <c r="S66" s="185"/>
      <c r="T66" s="186"/>
      <c r="U66" s="223"/>
      <c r="V66" s="223"/>
      <c r="W66" s="223"/>
    </row>
    <row r="67" spans="1:23" s="175" customFormat="1" ht="13" customHeight="1">
      <c r="A67" s="207"/>
      <c r="B67" s="164"/>
      <c r="C67" s="167" t="str">
        <f>IFERROR(IF(VLOOKUP($B67,勘定科目!$A:$H,HLOOKUP($E$5,勘定科目!$F$1:$H$2,2,0),0)="","",VLOOKUP($B67,勘定科目!$A:$E,2,0)),"")</f>
        <v/>
      </c>
      <c r="D67" s="216" t="str">
        <f>IF(C67="","",VLOOKUP($B67,勘定科目!$A:$E,4,0))</f>
        <v/>
      </c>
      <c r="E67" s="222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84">
        <f t="shared" si="6"/>
        <v>0</v>
      </c>
      <c r="S67" s="185"/>
      <c r="T67" s="186"/>
      <c r="U67" s="223"/>
      <c r="V67" s="223"/>
      <c r="W67" s="223"/>
    </row>
    <row r="68" spans="1:23" s="175" customFormat="1" ht="13" customHeight="1">
      <c r="A68" s="207"/>
      <c r="B68" s="164"/>
      <c r="C68" s="167" t="str">
        <f>IFERROR(IF(VLOOKUP($B68,勘定科目!$A:$H,HLOOKUP($E$5,勘定科目!$F$1:$H$2,2,0),0)="","",VLOOKUP($B68,勘定科目!$A:$E,2,0)),"")</f>
        <v/>
      </c>
      <c r="D68" s="216" t="str">
        <f>IF(C68="","",VLOOKUP($B68,勘定科目!$A:$E,4,0))</f>
        <v/>
      </c>
      <c r="E68" s="222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84">
        <f t="shared" si="6"/>
        <v>0</v>
      </c>
      <c r="S68" s="185"/>
      <c r="T68" s="186"/>
      <c r="U68" s="223"/>
      <c r="V68" s="223"/>
      <c r="W68" s="223"/>
    </row>
    <row r="69" spans="1:23" s="175" customFormat="1" ht="13" customHeight="1">
      <c r="A69" s="207"/>
      <c r="B69" s="164"/>
      <c r="C69" s="167" t="str">
        <f>IFERROR(IF(VLOOKUP($B69,勘定科目!$A:$H,HLOOKUP($E$5,勘定科目!$F$1:$H$2,2,0),0)="","",VLOOKUP($B69,勘定科目!$A:$E,2,0)),"")</f>
        <v/>
      </c>
      <c r="D69" s="216" t="str">
        <f>IF(C69="","",VLOOKUP($B69,勘定科目!$A:$E,4,0))</f>
        <v/>
      </c>
      <c r="E69" s="222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84">
        <f>SUM(F69:P69)</f>
        <v>0</v>
      </c>
      <c r="S69" s="185"/>
      <c r="T69" s="186"/>
      <c r="U69" s="223"/>
      <c r="V69" s="223"/>
      <c r="W69" s="223"/>
    </row>
    <row r="70" spans="1:23" s="175" customFormat="1" ht="13" customHeight="1">
      <c r="A70" s="207"/>
      <c r="B70" s="164"/>
      <c r="C70" s="167" t="str">
        <f>IFERROR(IF(VLOOKUP($B70,勘定科目!$A:$H,HLOOKUP($E$5,勘定科目!$F$1:$H$2,2,0),0)="","",VLOOKUP($B70,勘定科目!$A:$E,2,0)),"")</f>
        <v/>
      </c>
      <c r="D70" s="216" t="str">
        <f>IF(C70="","",VLOOKUP($B70,勘定科目!$A:$E,4,0))</f>
        <v/>
      </c>
      <c r="E70" s="222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84">
        <f>SUM(F70:Q70)</f>
        <v>0</v>
      </c>
      <c r="S70" s="185"/>
      <c r="T70" s="186"/>
      <c r="U70" s="223"/>
      <c r="V70" s="223"/>
      <c r="W70" s="223"/>
    </row>
    <row r="71" spans="1:23" s="175" customFormat="1" ht="13" customHeight="1">
      <c r="A71" s="207"/>
      <c r="B71" s="164"/>
      <c r="C71" s="167" t="str">
        <f>IFERROR(IF(VLOOKUP($B71,勘定科目!$A:$H,HLOOKUP($E$5,勘定科目!$F$1:$H$2,2,0),0)="","",VLOOKUP($B71,勘定科目!$A:$E,2,0)),"")</f>
        <v/>
      </c>
      <c r="D71" s="216" t="str">
        <f>IF(C71="","",VLOOKUP($B71,勘定科目!$A:$E,4,0))</f>
        <v/>
      </c>
      <c r="E71" s="222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84">
        <f>SUM(F71:Q71)</f>
        <v>0</v>
      </c>
      <c r="S71" s="185"/>
      <c r="T71" s="186"/>
      <c r="U71" s="223"/>
      <c r="V71" s="223"/>
      <c r="W71" s="223"/>
    </row>
    <row r="72" spans="1:23" s="175" customFormat="1" ht="13" customHeight="1">
      <c r="A72" s="207"/>
      <c r="B72" s="164"/>
      <c r="C72" s="167" t="str">
        <f>IFERROR(IF(VLOOKUP($B72,勘定科目!$A:$H,HLOOKUP($E$5,勘定科目!$F$1:$H$2,2,0),0)="","",VLOOKUP($B72,勘定科目!$A:$E,2,0)),"")</f>
        <v/>
      </c>
      <c r="D72" s="216" t="str">
        <f>IF(C72="","",VLOOKUP($B72,勘定科目!$A:$E,4,0))</f>
        <v/>
      </c>
      <c r="E72" s="222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84">
        <f>SUM(F72:Q72)</f>
        <v>0</v>
      </c>
      <c r="S72" s="185"/>
      <c r="T72" s="186"/>
      <c r="U72" s="223"/>
      <c r="V72" s="223"/>
      <c r="W72" s="223"/>
    </row>
    <row r="73" spans="1:23" s="175" customFormat="1" ht="13" customHeight="1">
      <c r="A73" s="207"/>
      <c r="B73" s="164"/>
      <c r="C73" s="167" t="str">
        <f>IFERROR(IF(VLOOKUP($B73,勘定科目!$A:$H,HLOOKUP($E$5,勘定科目!$F$1:$H$2,2,0),0)="","",VLOOKUP($B73,勘定科目!$A:$E,2,0)),"")</f>
        <v/>
      </c>
      <c r="D73" s="216" t="str">
        <f>IF(C73="","",VLOOKUP($B73,勘定科目!$A:$E,4,0))</f>
        <v/>
      </c>
      <c r="E73" s="222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84">
        <f>SUM(F73:Q73)</f>
        <v>0</v>
      </c>
      <c r="S73" s="185"/>
      <c r="T73" s="186"/>
      <c r="U73" s="223"/>
      <c r="V73" s="223"/>
      <c r="W73" s="223"/>
    </row>
    <row r="74" spans="1:23" s="175" customFormat="1" ht="13" customHeight="1">
      <c r="A74" s="207"/>
      <c r="B74" s="164"/>
      <c r="C74" s="167"/>
      <c r="D74" s="216"/>
      <c r="E74" s="222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84"/>
      <c r="S74" s="185"/>
      <c r="T74" s="186"/>
      <c r="U74" s="223"/>
      <c r="V74" s="223"/>
      <c r="W74" s="223"/>
    </row>
    <row r="75" spans="1:23" s="175" customFormat="1" ht="13" customHeight="1">
      <c r="A75" s="207"/>
      <c r="B75" s="164"/>
      <c r="C75" s="167" t="str">
        <f>IFERROR(IF(VLOOKUP($B75,勘定科目!$A:$H,HLOOKUP($E$5,勘定科目!$F$1:$H$2,2,0),0)="","",VLOOKUP($B75,勘定科目!$A:$E,2,0)),"")</f>
        <v/>
      </c>
      <c r="D75" s="216" t="str">
        <f>IF(C75="","",VLOOKUP($B75,勘定科目!$A:$E,4,0))</f>
        <v/>
      </c>
      <c r="E75" s="222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84">
        <f t="shared" ref="R75:R88" si="7">SUM(F75:Q75)</f>
        <v>0</v>
      </c>
      <c r="S75" s="185"/>
      <c r="T75" s="186"/>
      <c r="U75" s="223"/>
      <c r="V75" s="223"/>
      <c r="W75" s="223"/>
    </row>
    <row r="76" spans="1:23" s="175" customFormat="1" ht="13" customHeight="1">
      <c r="A76" s="207"/>
      <c r="B76" s="164"/>
      <c r="C76" s="167" t="str">
        <f>IFERROR(IF(VLOOKUP($B76,勘定科目!$A:$H,HLOOKUP($E$5,勘定科目!$F$1:$H$2,2,0),0)="","",VLOOKUP($B76,勘定科目!$A:$E,2,0)),"")</f>
        <v/>
      </c>
      <c r="D76" s="216" t="str">
        <f>IF(C76="","",VLOOKUP($B76,勘定科目!$A:$E,4,0))</f>
        <v/>
      </c>
      <c r="E76" s="222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84">
        <f t="shared" si="7"/>
        <v>0</v>
      </c>
      <c r="S76" s="185"/>
      <c r="T76" s="186"/>
      <c r="U76" s="223"/>
      <c r="V76" s="223"/>
      <c r="W76" s="223"/>
    </row>
    <row r="77" spans="1:23" s="175" customFormat="1" ht="13" customHeight="1">
      <c r="A77" s="207"/>
      <c r="B77" s="164"/>
      <c r="C77" s="167" t="str">
        <f>IFERROR(IF(VLOOKUP($B77,勘定科目!$A:$H,HLOOKUP($E$5,勘定科目!$F$1:$H$2,2,0),0)="","",VLOOKUP($B77,勘定科目!$A:$E,2,0)),"")</f>
        <v/>
      </c>
      <c r="D77" s="216" t="str">
        <f>IF(C77="","",VLOOKUP($B77,勘定科目!$A:$E,4,0))</f>
        <v/>
      </c>
      <c r="E77" s="222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84">
        <f t="shared" si="7"/>
        <v>0</v>
      </c>
      <c r="S77" s="185"/>
      <c r="T77" s="186"/>
      <c r="U77" s="223"/>
      <c r="V77" s="223"/>
      <c r="W77" s="223"/>
    </row>
    <row r="78" spans="1:23" s="175" customFormat="1" ht="13" customHeight="1">
      <c r="A78" s="207"/>
      <c r="B78" s="164"/>
      <c r="C78" s="167" t="str">
        <f>IFERROR(IF(VLOOKUP($B78,勘定科目!$A:$H,HLOOKUP($E$5,勘定科目!$F$1:$H$2,2,0),0)="","",VLOOKUP($B78,勘定科目!$A:$E,2,0)),"")</f>
        <v/>
      </c>
      <c r="D78" s="216" t="str">
        <f>IF(C78="","",VLOOKUP($B78,勘定科目!$A:$E,4,0))</f>
        <v/>
      </c>
      <c r="E78" s="222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84">
        <f t="shared" si="7"/>
        <v>0</v>
      </c>
      <c r="S78" s="185"/>
      <c r="T78" s="186"/>
      <c r="U78" s="223"/>
      <c r="V78" s="223"/>
      <c r="W78" s="223"/>
    </row>
    <row r="79" spans="1:23" s="175" customFormat="1" ht="13" customHeight="1">
      <c r="A79" s="207"/>
      <c r="B79" s="164"/>
      <c r="C79" s="167" t="str">
        <f>IFERROR(IF(VLOOKUP($B79,勘定科目!$A:$H,HLOOKUP($E$5,勘定科目!$F$1:$H$2,2,0),0)="","",VLOOKUP($B79,勘定科目!$A:$E,2,0)),"")</f>
        <v/>
      </c>
      <c r="D79" s="216" t="str">
        <f>IF(C79="","",VLOOKUP($B79,勘定科目!$A:$E,4,0))</f>
        <v/>
      </c>
      <c r="E79" s="222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84">
        <f t="shared" si="7"/>
        <v>0</v>
      </c>
      <c r="S79" s="185"/>
      <c r="T79" s="186"/>
      <c r="U79" s="223"/>
      <c r="V79" s="223"/>
      <c r="W79" s="223"/>
    </row>
    <row r="80" spans="1:23" s="175" customFormat="1" ht="13" customHeight="1">
      <c r="A80" s="207"/>
      <c r="B80" s="164"/>
      <c r="C80" s="167" t="str">
        <f>IFERROR(IF(VLOOKUP($B80,勘定科目!$A:$H,HLOOKUP($E$5,勘定科目!$F$1:$H$2,2,0),0)="","",VLOOKUP($B80,勘定科目!$A:$E,2,0)),"")</f>
        <v/>
      </c>
      <c r="D80" s="216" t="str">
        <f>IF(C80="","",VLOOKUP($B80,勘定科目!$A:$E,4,0))</f>
        <v/>
      </c>
      <c r="E80" s="222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84">
        <f t="shared" si="7"/>
        <v>0</v>
      </c>
      <c r="S80" s="185"/>
      <c r="T80" s="186"/>
      <c r="U80" s="223"/>
      <c r="V80" s="223"/>
      <c r="W80" s="223"/>
    </row>
    <row r="81" spans="1:23" s="175" customFormat="1" ht="13" customHeight="1">
      <c r="A81" s="207"/>
      <c r="B81" s="164"/>
      <c r="C81" s="167" t="str">
        <f>IFERROR(IF(VLOOKUP($B81,勘定科目!$A:$H,HLOOKUP($E$5,勘定科目!$F$1:$H$2,2,0),0)="","",VLOOKUP($B81,勘定科目!$A:$E,2,0)),"")</f>
        <v/>
      </c>
      <c r="D81" s="216" t="str">
        <f>IF(C81="","",VLOOKUP($B81,勘定科目!$A:$E,4,0))</f>
        <v/>
      </c>
      <c r="E81" s="222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84">
        <f t="shared" si="7"/>
        <v>0</v>
      </c>
      <c r="S81" s="185"/>
      <c r="T81" s="186"/>
      <c r="U81" s="223"/>
      <c r="V81" s="223"/>
      <c r="W81" s="223"/>
    </row>
    <row r="82" spans="1:23" s="175" customFormat="1" ht="13" customHeight="1">
      <c r="A82" s="207"/>
      <c r="B82" s="164"/>
      <c r="C82" s="167" t="str">
        <f>IFERROR(IF(VLOOKUP($B82,勘定科目!$A:$H,HLOOKUP($E$5,勘定科目!$F$1:$H$2,2,0),0)="","",VLOOKUP($B82,勘定科目!$A:$E,2,0)),"")</f>
        <v/>
      </c>
      <c r="D82" s="216" t="str">
        <f>IF(C82="","",VLOOKUP($B82,勘定科目!$A:$E,4,0))</f>
        <v/>
      </c>
      <c r="E82" s="222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84">
        <f t="shared" si="7"/>
        <v>0</v>
      </c>
      <c r="S82" s="185"/>
      <c r="T82" s="186"/>
      <c r="U82" s="223"/>
      <c r="V82" s="223"/>
      <c r="W82" s="223"/>
    </row>
    <row r="83" spans="1:23" s="175" customFormat="1" ht="13" customHeight="1">
      <c r="A83" s="207"/>
      <c r="B83" s="164"/>
      <c r="C83" s="167" t="str">
        <f>IFERROR(IF(VLOOKUP($B83,勘定科目!$A:$H,HLOOKUP($E$5,勘定科目!$F$1:$H$2,2,0),0)="","",VLOOKUP($B83,勘定科目!$A:$E,2,0)),"")</f>
        <v/>
      </c>
      <c r="D83" s="216" t="str">
        <f>IF(C83="","",VLOOKUP($B83,勘定科目!$A:$E,4,0))</f>
        <v/>
      </c>
      <c r="E83" s="222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84">
        <f t="shared" si="7"/>
        <v>0</v>
      </c>
      <c r="S83" s="185"/>
      <c r="T83" s="186"/>
      <c r="U83" s="223"/>
      <c r="V83" s="223"/>
      <c r="W83" s="223"/>
    </row>
    <row r="84" spans="1:23" s="175" customFormat="1" ht="13" customHeight="1">
      <c r="A84" s="207"/>
      <c r="B84" s="164"/>
      <c r="C84" s="167" t="str">
        <f>IFERROR(IF(VLOOKUP($B84,勘定科目!$A:$H,HLOOKUP($E$5,勘定科目!$F$1:$H$2,2,0),0)="","",VLOOKUP($B84,勘定科目!$A:$E,2,0)),"")</f>
        <v/>
      </c>
      <c r="D84" s="216" t="str">
        <f>IF(C84="","",VLOOKUP($B84,勘定科目!$A:$E,4,0))</f>
        <v/>
      </c>
      <c r="E84" s="222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84">
        <f t="shared" si="7"/>
        <v>0</v>
      </c>
      <c r="S84" s="185"/>
      <c r="T84" s="186"/>
      <c r="U84" s="223"/>
      <c r="V84" s="223"/>
      <c r="W84" s="223"/>
    </row>
    <row r="85" spans="1:23" s="175" customFormat="1" ht="13" customHeight="1">
      <c r="A85" s="207"/>
      <c r="B85" s="164"/>
      <c r="C85" s="167"/>
      <c r="D85" s="216"/>
      <c r="E85" s="222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84">
        <f t="shared" si="7"/>
        <v>0</v>
      </c>
      <c r="S85" s="185"/>
      <c r="T85" s="186"/>
      <c r="U85" s="223"/>
      <c r="V85" s="223"/>
      <c r="W85" s="223"/>
    </row>
    <row r="86" spans="1:23" s="175" customFormat="1" ht="13" customHeight="1">
      <c r="A86" s="207"/>
      <c r="B86" s="164"/>
      <c r="C86" s="167"/>
      <c r="D86" s="216"/>
      <c r="E86" s="222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84">
        <f t="shared" si="7"/>
        <v>0</v>
      </c>
      <c r="S86" s="185"/>
      <c r="T86" s="186"/>
      <c r="U86" s="223"/>
      <c r="V86" s="223"/>
      <c r="W86" s="223"/>
    </row>
    <row r="87" spans="1:23" s="175" customFormat="1" ht="13" customHeight="1">
      <c r="A87" s="207"/>
      <c r="B87" s="164"/>
      <c r="C87" s="167" t="str">
        <f>IFERROR(IF(VLOOKUP($B87,勘定科目!$A:$H,HLOOKUP($E$5,勘定科目!$F$1:$H$2,2,0),0)="","",VLOOKUP($B87,勘定科目!$A:$E,2,0)),"")</f>
        <v/>
      </c>
      <c r="D87" s="216" t="str">
        <f>IF(C87="","",VLOOKUP($B87,勘定科目!$A:$E,4,0))</f>
        <v/>
      </c>
      <c r="E87" s="222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84">
        <f t="shared" si="7"/>
        <v>0</v>
      </c>
      <c r="S87" s="185"/>
      <c r="T87" s="186"/>
      <c r="U87" s="223"/>
      <c r="V87" s="223"/>
      <c r="W87" s="223"/>
    </row>
    <row r="88" spans="1:23" s="175" customFormat="1" ht="13" customHeight="1">
      <c r="A88" s="207"/>
      <c r="B88" s="164"/>
      <c r="C88" s="167" t="str">
        <f>IFERROR(IF(VLOOKUP($B88,勘定科目!$A:$H,HLOOKUP($E$5,勘定科目!$F$1:$H$2,2,0),0)="","",VLOOKUP($B88,勘定科目!$A:$E,2,0)),"")</f>
        <v/>
      </c>
      <c r="D88" s="216" t="str">
        <f>IF(C88="","",VLOOKUP($B88,勘定科目!$A:$E,4,0))</f>
        <v/>
      </c>
      <c r="E88" s="222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84">
        <f t="shared" si="7"/>
        <v>0</v>
      </c>
      <c r="S88" s="185"/>
      <c r="T88" s="186"/>
      <c r="U88" s="223"/>
      <c r="V88" s="223"/>
      <c r="W88" s="223"/>
    </row>
    <row r="89" spans="1:23" s="175" customFormat="1" ht="13" customHeight="1">
      <c r="A89" s="207"/>
      <c r="B89" s="164"/>
      <c r="C89" s="167"/>
      <c r="D89" s="216"/>
      <c r="E89" s="222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84"/>
      <c r="S89" s="185"/>
      <c r="T89" s="186"/>
      <c r="U89" s="223"/>
      <c r="V89" s="223"/>
      <c r="W89" s="223"/>
    </row>
    <row r="90" spans="1:23" s="175" customFormat="1" ht="13" customHeight="1">
      <c r="A90" s="207"/>
      <c r="B90" s="164"/>
      <c r="C90" s="167" t="str">
        <f>IFERROR(IF(VLOOKUP($B90,勘定科目!$A:$H,HLOOKUP($E$5,勘定科目!$F$1:$H$2,2,0),0)="","",VLOOKUP($B90,勘定科目!$A:$E,2,0)),"")</f>
        <v/>
      </c>
      <c r="D90" s="216" t="str">
        <f>IF(C90="","",VLOOKUP($B90,勘定科目!$A:$E,4,0))</f>
        <v/>
      </c>
      <c r="E90" s="222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84">
        <f t="shared" ref="R90:R153" si="8">SUM(F90:Q90)</f>
        <v>0</v>
      </c>
      <c r="S90" s="185"/>
      <c r="T90" s="186"/>
      <c r="U90" s="223"/>
      <c r="V90" s="223"/>
      <c r="W90" s="223"/>
    </row>
    <row r="91" spans="1:23" s="175" customFormat="1" ht="13" customHeight="1">
      <c r="A91" s="207"/>
      <c r="B91" s="164"/>
      <c r="C91" s="167" t="str">
        <f>IFERROR(IF(VLOOKUP($B91,勘定科目!$A:$H,HLOOKUP($E$5,勘定科目!$F$1:$H$2,2,0),0)="","",VLOOKUP($B91,勘定科目!$A:$E,2,0)),"")</f>
        <v/>
      </c>
      <c r="D91" s="216" t="str">
        <f>IF(C91="","",VLOOKUP($B91,勘定科目!$A:$E,4,0))</f>
        <v/>
      </c>
      <c r="E91" s="222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84">
        <f t="shared" si="8"/>
        <v>0</v>
      </c>
      <c r="S91" s="185"/>
      <c r="T91" s="186"/>
      <c r="U91" s="223"/>
      <c r="V91" s="223"/>
      <c r="W91" s="223"/>
    </row>
    <row r="92" spans="1:23" s="175" customFormat="1" ht="13" customHeight="1">
      <c r="A92" s="207"/>
      <c r="B92" s="164"/>
      <c r="C92" s="167" t="str">
        <f>IFERROR(IF(VLOOKUP($B92,勘定科目!$A:$H,HLOOKUP($E$5,勘定科目!$F$1:$H$2,2,0),0)="","",VLOOKUP($B92,勘定科目!$A:$E,2,0)),"")</f>
        <v/>
      </c>
      <c r="D92" s="216" t="str">
        <f>IF(C92="","",VLOOKUP($B92,勘定科目!$A:$E,4,0))</f>
        <v/>
      </c>
      <c r="E92" s="222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84">
        <f t="shared" si="8"/>
        <v>0</v>
      </c>
      <c r="S92" s="185"/>
      <c r="T92" s="186"/>
      <c r="U92" s="223"/>
      <c r="V92" s="223"/>
      <c r="W92" s="223"/>
    </row>
    <row r="93" spans="1:23" s="175" customFormat="1" ht="13" customHeight="1">
      <c r="A93" s="207"/>
      <c r="B93" s="164"/>
      <c r="C93" s="167" t="str">
        <f>IFERROR(IF(VLOOKUP($B93,勘定科目!$A:$H,HLOOKUP($E$5,勘定科目!$F$1:$H$2,2,0),0)="","",VLOOKUP($B93,勘定科目!$A:$E,2,0)),"")</f>
        <v/>
      </c>
      <c r="D93" s="216" t="str">
        <f>IF(C93="","",VLOOKUP($B93,勘定科目!$A:$E,4,0))</f>
        <v/>
      </c>
      <c r="E93" s="222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84">
        <f t="shared" si="8"/>
        <v>0</v>
      </c>
      <c r="S93" s="185"/>
      <c r="T93" s="186"/>
      <c r="U93" s="223"/>
      <c r="V93" s="223"/>
      <c r="W93" s="223"/>
    </row>
    <row r="94" spans="1:23" s="175" customFormat="1" ht="13" customHeight="1">
      <c r="A94" s="207"/>
      <c r="B94" s="164"/>
      <c r="C94" s="167" t="str">
        <f>IFERROR(IF(VLOOKUP($B94,勘定科目!$A:$H,HLOOKUP($E$5,勘定科目!$F$1:$H$2,2,0),0)="","",VLOOKUP($B94,勘定科目!$A:$E,2,0)),"")</f>
        <v/>
      </c>
      <c r="D94" s="216" t="str">
        <f>IF(C94="","",VLOOKUP($B94,勘定科目!$A:$E,4,0))</f>
        <v/>
      </c>
      <c r="E94" s="222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84">
        <f t="shared" si="8"/>
        <v>0</v>
      </c>
      <c r="S94" s="185"/>
      <c r="T94" s="186"/>
      <c r="U94" s="223"/>
      <c r="V94" s="223"/>
      <c r="W94" s="223"/>
    </row>
    <row r="95" spans="1:23" s="175" customFormat="1" ht="13" customHeight="1">
      <c r="A95" s="207"/>
      <c r="B95" s="164"/>
      <c r="C95" s="167" t="str">
        <f>IFERROR(IF(VLOOKUP($B95,勘定科目!$A:$H,HLOOKUP($E$5,勘定科目!$F$1:$H$2,2,0),0)="","",VLOOKUP($B95,勘定科目!$A:$E,2,0)),"")</f>
        <v/>
      </c>
      <c r="D95" s="216" t="str">
        <f>IF(C95="","",VLOOKUP($B95,勘定科目!$A:$E,4,0))</f>
        <v/>
      </c>
      <c r="E95" s="222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84">
        <f t="shared" si="8"/>
        <v>0</v>
      </c>
      <c r="S95" s="185"/>
      <c r="T95" s="186"/>
      <c r="U95" s="223"/>
      <c r="V95" s="223"/>
      <c r="W95" s="223"/>
    </row>
    <row r="96" spans="1:23" s="175" customFormat="1" ht="13" customHeight="1">
      <c r="A96" s="207"/>
      <c r="B96" s="164"/>
      <c r="C96" s="167" t="str">
        <f>IFERROR(IF(VLOOKUP($B96,勘定科目!$A:$H,HLOOKUP($E$5,勘定科目!$F$1:$H$2,2,0),0)="","",VLOOKUP($B96,勘定科目!$A:$E,2,0)),"")</f>
        <v/>
      </c>
      <c r="D96" s="216" t="str">
        <f>IF(C96="","",VLOOKUP($B96,勘定科目!$A:$E,4,0))</f>
        <v/>
      </c>
      <c r="E96" s="222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84">
        <f t="shared" si="8"/>
        <v>0</v>
      </c>
      <c r="S96" s="185"/>
      <c r="T96" s="186"/>
      <c r="U96" s="223"/>
      <c r="V96" s="223"/>
      <c r="W96" s="223"/>
    </row>
    <row r="97" spans="1:23" s="175" customFormat="1" ht="13" customHeight="1">
      <c r="A97" s="207"/>
      <c r="B97" s="164"/>
      <c r="C97" s="167" t="str">
        <f>IFERROR(IF(VLOOKUP($B97,勘定科目!$A:$H,HLOOKUP($E$5,勘定科目!$F$1:$H$2,2,0),0)="","",VLOOKUP($B97,勘定科目!$A:$E,2,0)),"")</f>
        <v/>
      </c>
      <c r="D97" s="216" t="str">
        <f>IF(C97="","",VLOOKUP($B97,勘定科目!$A:$E,4,0))</f>
        <v/>
      </c>
      <c r="E97" s="222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84">
        <f t="shared" si="8"/>
        <v>0</v>
      </c>
      <c r="S97" s="185"/>
      <c r="T97" s="186"/>
      <c r="U97" s="223"/>
      <c r="V97" s="223"/>
      <c r="W97" s="223"/>
    </row>
    <row r="98" spans="1:23" s="175" customFormat="1" ht="13" customHeight="1">
      <c r="A98" s="207"/>
      <c r="B98" s="164"/>
      <c r="C98" s="167" t="str">
        <f>IFERROR(IF(VLOOKUP($B98,勘定科目!$A:$H,HLOOKUP($E$5,勘定科目!$F$1:$H$2,2,0),0)="","",VLOOKUP($B98,勘定科目!$A:$E,2,0)),"")</f>
        <v/>
      </c>
      <c r="D98" s="216" t="str">
        <f>IF(C98="","",VLOOKUP($B98,勘定科目!$A:$E,4,0))</f>
        <v/>
      </c>
      <c r="E98" s="222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84">
        <f t="shared" si="8"/>
        <v>0</v>
      </c>
      <c r="S98" s="185"/>
      <c r="T98" s="186"/>
      <c r="U98" s="223"/>
      <c r="V98" s="223"/>
      <c r="W98" s="223"/>
    </row>
    <row r="99" spans="1:23" s="175" customFormat="1" ht="13" customHeight="1">
      <c r="A99" s="207"/>
      <c r="B99" s="164"/>
      <c r="C99" s="167" t="str">
        <f>IFERROR(IF(VLOOKUP($B99,勘定科目!$A:$H,HLOOKUP($E$5,勘定科目!$F$1:$H$2,2,0),0)="","",VLOOKUP($B99,勘定科目!$A:$E,2,0)),"")</f>
        <v/>
      </c>
      <c r="D99" s="216" t="str">
        <f>IF(C99="","",VLOOKUP($B99,勘定科目!$A:$E,4,0))</f>
        <v/>
      </c>
      <c r="E99" s="222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84">
        <f t="shared" si="8"/>
        <v>0</v>
      </c>
      <c r="S99" s="185"/>
      <c r="T99" s="186"/>
      <c r="U99" s="223"/>
      <c r="V99" s="223"/>
      <c r="W99" s="223"/>
    </row>
    <row r="100" spans="1:23" s="175" customFormat="1" ht="13" customHeight="1">
      <c r="A100" s="207"/>
      <c r="B100" s="164"/>
      <c r="C100" s="167" t="str">
        <f>IFERROR(IF(VLOOKUP($B100,勘定科目!$A:$H,HLOOKUP($E$5,勘定科目!$F$1:$H$2,2,0),0)="","",VLOOKUP($B100,勘定科目!$A:$E,2,0)),"")</f>
        <v/>
      </c>
      <c r="D100" s="216" t="str">
        <f>IF(C100="","",VLOOKUP($B100,勘定科目!$A:$E,4,0))</f>
        <v/>
      </c>
      <c r="E100" s="222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84">
        <f t="shared" si="8"/>
        <v>0</v>
      </c>
      <c r="S100" s="185"/>
      <c r="T100" s="186"/>
      <c r="U100" s="223"/>
      <c r="V100" s="223"/>
      <c r="W100" s="223"/>
    </row>
    <row r="101" spans="1:23" s="175" customFormat="1" ht="13" customHeight="1">
      <c r="A101" s="207"/>
      <c r="B101" s="164"/>
      <c r="C101" s="167" t="str">
        <f>IFERROR(IF(VLOOKUP($B101,勘定科目!$A:$H,HLOOKUP($E$5,勘定科目!$F$1:$H$2,2,0),0)="","",VLOOKUP($B101,勘定科目!$A:$E,2,0)),"")</f>
        <v/>
      </c>
      <c r="D101" s="216" t="str">
        <f>IF(C101="","",VLOOKUP($B101,勘定科目!$A:$E,4,0))</f>
        <v/>
      </c>
      <c r="E101" s="222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84">
        <f t="shared" si="8"/>
        <v>0</v>
      </c>
      <c r="S101" s="185"/>
      <c r="T101" s="186"/>
      <c r="U101" s="223"/>
      <c r="V101" s="223"/>
      <c r="W101" s="223"/>
    </row>
    <row r="102" spans="1:23" s="175" customFormat="1" ht="13" customHeight="1">
      <c r="A102" s="207"/>
      <c r="B102" s="164"/>
      <c r="C102" s="167" t="str">
        <f>IFERROR(IF(VLOOKUP($B102,勘定科目!$A:$H,HLOOKUP($E$5,勘定科目!$F$1:$H$2,2,0),0)="","",VLOOKUP($B102,勘定科目!$A:$E,2,0)),"")</f>
        <v/>
      </c>
      <c r="D102" s="216" t="str">
        <f>IF(C102="","",VLOOKUP($B102,勘定科目!$A:$E,4,0))</f>
        <v/>
      </c>
      <c r="E102" s="222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84">
        <f t="shared" si="8"/>
        <v>0</v>
      </c>
      <c r="S102" s="185"/>
      <c r="T102" s="186"/>
      <c r="U102" s="223"/>
      <c r="V102" s="223"/>
      <c r="W102" s="223"/>
    </row>
    <row r="103" spans="1:23" s="175" customFormat="1" ht="13" customHeight="1">
      <c r="A103" s="207"/>
      <c r="B103" s="164"/>
      <c r="C103" s="167" t="str">
        <f>IFERROR(IF(VLOOKUP($B103,勘定科目!$A:$H,HLOOKUP($E$5,勘定科目!$F$1:$H$2,2,0),0)="","",VLOOKUP($B103,勘定科目!$A:$E,2,0)),"")</f>
        <v/>
      </c>
      <c r="D103" s="216" t="str">
        <f>IF(C103="","",VLOOKUP($B103,勘定科目!$A:$E,4,0))</f>
        <v/>
      </c>
      <c r="E103" s="222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84">
        <f t="shared" si="8"/>
        <v>0</v>
      </c>
      <c r="S103" s="185"/>
      <c r="T103" s="186"/>
      <c r="U103" s="223"/>
      <c r="V103" s="223"/>
      <c r="W103" s="223"/>
    </row>
    <row r="104" spans="1:23" s="175" customFormat="1" ht="13" customHeight="1">
      <c r="A104" s="207"/>
      <c r="B104" s="164"/>
      <c r="C104" s="167" t="str">
        <f>IFERROR(IF(VLOOKUP($B104,勘定科目!$A:$H,HLOOKUP($E$5,勘定科目!$F$1:$H$2,2,0),0)="","",VLOOKUP($B104,勘定科目!$A:$E,2,0)),"")</f>
        <v/>
      </c>
      <c r="D104" s="216" t="str">
        <f>IF(C104="","",VLOOKUP($B104,勘定科目!$A:$E,4,0))</f>
        <v/>
      </c>
      <c r="E104" s="222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84">
        <f t="shared" si="8"/>
        <v>0</v>
      </c>
      <c r="S104" s="185"/>
      <c r="T104" s="186"/>
      <c r="U104" s="223"/>
      <c r="V104" s="223"/>
      <c r="W104" s="223"/>
    </row>
    <row r="105" spans="1:23" s="175" customFormat="1" ht="13" customHeight="1">
      <c r="A105" s="207"/>
      <c r="B105" s="164"/>
      <c r="C105" s="167" t="str">
        <f>IFERROR(IF(VLOOKUP($B105,勘定科目!$A:$H,HLOOKUP($E$5,勘定科目!$F$1:$H$2,2,0),0)="","",VLOOKUP($B105,勘定科目!$A:$E,2,0)),"")</f>
        <v/>
      </c>
      <c r="D105" s="216" t="str">
        <f>IF(C105="","",VLOOKUP($B105,勘定科目!$A:$E,4,0))</f>
        <v/>
      </c>
      <c r="E105" s="222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84">
        <f t="shared" si="8"/>
        <v>0</v>
      </c>
      <c r="S105" s="185"/>
      <c r="T105" s="186"/>
      <c r="U105" s="223"/>
      <c r="V105" s="223"/>
      <c r="W105" s="223"/>
    </row>
    <row r="106" spans="1:23" s="175" customFormat="1" ht="13" customHeight="1">
      <c r="A106" s="207"/>
      <c r="B106" s="164"/>
      <c r="C106" s="167" t="str">
        <f>IFERROR(IF(VLOOKUP($B106,勘定科目!$A:$H,HLOOKUP($E$5,勘定科目!$F$1:$H$2,2,0),0)="","",VLOOKUP($B106,勘定科目!$A:$E,2,0)),"")</f>
        <v/>
      </c>
      <c r="D106" s="216" t="str">
        <f>IF(C106="","",VLOOKUP($B106,勘定科目!$A:$E,4,0))</f>
        <v/>
      </c>
      <c r="E106" s="222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84">
        <f t="shared" si="8"/>
        <v>0</v>
      </c>
      <c r="S106" s="185"/>
      <c r="T106" s="186"/>
      <c r="U106" s="223"/>
      <c r="V106" s="223"/>
      <c r="W106" s="223"/>
    </row>
    <row r="107" spans="1:23" s="175" customFormat="1" ht="13" customHeight="1">
      <c r="A107" s="207"/>
      <c r="B107" s="164"/>
      <c r="C107" s="167" t="str">
        <f>IFERROR(IF(VLOOKUP($B107,勘定科目!$A:$H,HLOOKUP($E$5,勘定科目!$F$1:$H$2,2,0),0)="","",VLOOKUP($B107,勘定科目!$A:$E,2,0)),"")</f>
        <v/>
      </c>
      <c r="D107" s="216" t="str">
        <f>IF(C107="","",VLOOKUP($B107,勘定科目!$A:$E,4,0))</f>
        <v/>
      </c>
      <c r="E107" s="222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84">
        <f t="shared" si="8"/>
        <v>0</v>
      </c>
      <c r="S107" s="185"/>
      <c r="T107" s="186"/>
      <c r="U107" s="223"/>
      <c r="V107" s="223"/>
      <c r="W107" s="223"/>
    </row>
    <row r="108" spans="1:23" s="175" customFormat="1" ht="13" customHeight="1">
      <c r="A108" s="207"/>
      <c r="B108" s="164"/>
      <c r="C108" s="167"/>
      <c r="D108" s="216"/>
      <c r="E108" s="222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84">
        <f t="shared" si="8"/>
        <v>0</v>
      </c>
      <c r="S108" s="185"/>
      <c r="T108" s="186"/>
      <c r="U108" s="223"/>
      <c r="V108" s="223"/>
      <c r="W108" s="223"/>
    </row>
    <row r="109" spans="1:23" s="175" customFormat="1" ht="13" customHeight="1">
      <c r="A109" s="207"/>
      <c r="B109" s="164"/>
      <c r="C109" s="167" t="str">
        <f>IFERROR(IF(VLOOKUP($B109,勘定科目!$A:$H,HLOOKUP($E$5,勘定科目!$F$1:$H$2,2,0),0)="","",VLOOKUP($B109,勘定科目!$A:$E,2,0)),"")</f>
        <v/>
      </c>
      <c r="D109" s="216" t="str">
        <f>IF(C109="","",VLOOKUP($B109,勘定科目!$A:$E,4,0))</f>
        <v/>
      </c>
      <c r="E109" s="222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184">
        <f t="shared" si="8"/>
        <v>0</v>
      </c>
      <c r="S109" s="185"/>
      <c r="T109" s="186"/>
      <c r="U109" s="223"/>
      <c r="V109" s="223"/>
      <c r="W109" s="223"/>
    </row>
    <row r="110" spans="1:23" s="175" customFormat="1" ht="13" customHeight="1">
      <c r="A110" s="207"/>
      <c r="B110" s="164"/>
      <c r="C110" s="167" t="str">
        <f>IFERROR(IF(VLOOKUP($B110,勘定科目!$A:$H,HLOOKUP($E$5,勘定科目!$F$1:$H$2,2,0),0)="","",VLOOKUP($B110,勘定科目!$A:$E,2,0)),"")</f>
        <v/>
      </c>
      <c r="D110" s="216" t="str">
        <f>IF(C110="","",VLOOKUP($B110,勘定科目!$A:$E,4,0))</f>
        <v/>
      </c>
      <c r="E110" s="222"/>
      <c r="F110" s="178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184">
        <f t="shared" si="8"/>
        <v>0</v>
      </c>
      <c r="S110" s="185"/>
      <c r="T110" s="186"/>
      <c r="U110" s="223"/>
      <c r="V110" s="223"/>
      <c r="W110" s="223"/>
    </row>
    <row r="111" spans="1:23" s="175" customFormat="1" ht="13" customHeight="1">
      <c r="A111" s="207"/>
      <c r="B111" s="164"/>
      <c r="C111" s="167" t="str">
        <f>IFERROR(IF(VLOOKUP($B111,勘定科目!$A:$H,HLOOKUP($E$5,勘定科目!$F$1:$H$2,2,0),0)="","",VLOOKUP($B111,勘定科目!$A:$E,2,0)),"")</f>
        <v/>
      </c>
      <c r="D111" s="216" t="str">
        <f>IF(C111="","",VLOOKUP($B111,勘定科目!$A:$E,4,0))</f>
        <v/>
      </c>
      <c r="E111" s="222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84">
        <f t="shared" si="8"/>
        <v>0</v>
      </c>
      <c r="S111" s="185"/>
      <c r="T111" s="186"/>
      <c r="U111" s="223"/>
      <c r="V111" s="223"/>
      <c r="W111" s="223"/>
    </row>
    <row r="112" spans="1:23" s="175" customFormat="1" ht="13" customHeight="1">
      <c r="A112" s="207"/>
      <c r="B112" s="164"/>
      <c r="C112" s="167" t="str">
        <f>IFERROR(IF(VLOOKUP($B112,勘定科目!$A:$H,HLOOKUP($E$5,勘定科目!$F$1:$H$2,2,0),0)="","",VLOOKUP($B112,勘定科目!$A:$E,2,0)),"")</f>
        <v/>
      </c>
      <c r="D112" s="216" t="str">
        <f>IF(C112="","",VLOOKUP($B112,勘定科目!$A:$E,4,0))</f>
        <v/>
      </c>
      <c r="E112" s="222"/>
      <c r="F112" s="178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184">
        <f t="shared" si="8"/>
        <v>0</v>
      </c>
      <c r="S112" s="185"/>
      <c r="T112" s="186"/>
      <c r="U112" s="223"/>
      <c r="V112" s="223"/>
      <c r="W112" s="223"/>
    </row>
    <row r="113" spans="1:23" s="175" customFormat="1" ht="13" customHeight="1">
      <c r="A113" s="207"/>
      <c r="B113" s="164"/>
      <c r="C113" s="167"/>
      <c r="D113" s="216"/>
      <c r="E113" s="222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84">
        <f t="shared" si="8"/>
        <v>0</v>
      </c>
      <c r="S113" s="185"/>
      <c r="T113" s="186"/>
      <c r="U113" s="223"/>
      <c r="V113" s="223"/>
      <c r="W113" s="223"/>
    </row>
    <row r="114" spans="1:23" s="175" customFormat="1" ht="13" customHeight="1">
      <c r="A114" s="207"/>
      <c r="B114" s="164"/>
      <c r="C114" s="167" t="str">
        <f>IFERROR(IF(VLOOKUP($B114,勘定科目!$A:$H,HLOOKUP($E$5,勘定科目!$F$1:$H$2,2,0),0)="","",VLOOKUP($B114,勘定科目!$A:$E,2,0)),"")</f>
        <v/>
      </c>
      <c r="D114" s="216" t="str">
        <f>IF(C114="","",VLOOKUP($B114,勘定科目!$A:$E,4,0))</f>
        <v/>
      </c>
      <c r="E114" s="222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84">
        <f t="shared" si="8"/>
        <v>0</v>
      </c>
      <c r="S114" s="185"/>
      <c r="T114" s="186"/>
      <c r="U114" s="223"/>
      <c r="V114" s="223"/>
      <c r="W114" s="223"/>
    </row>
    <row r="115" spans="1:23" s="175" customFormat="1" ht="13" customHeight="1">
      <c r="A115" s="207"/>
      <c r="B115" s="164"/>
      <c r="C115" s="167" t="str">
        <f>IFERROR(IF(VLOOKUP($B115,勘定科目!$A:$H,HLOOKUP($E$5,勘定科目!$F$1:$H$2,2,0),0)="","",VLOOKUP($B115,勘定科目!$A:$E,2,0)),"")</f>
        <v/>
      </c>
      <c r="D115" s="216" t="str">
        <f>IF(C115="","",VLOOKUP($B115,勘定科目!$A:$E,4,0))</f>
        <v/>
      </c>
      <c r="E115" s="222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84">
        <f t="shared" si="8"/>
        <v>0</v>
      </c>
      <c r="S115" s="185"/>
      <c r="T115" s="186"/>
      <c r="U115" s="223"/>
      <c r="V115" s="223"/>
      <c r="W115" s="223"/>
    </row>
    <row r="116" spans="1:23" s="175" customFormat="1" ht="13" customHeight="1">
      <c r="A116" s="207"/>
      <c r="B116" s="164"/>
      <c r="C116" s="167" t="str">
        <f>IFERROR(IF(VLOOKUP($B116,勘定科目!$A:$H,HLOOKUP($E$5,勘定科目!$F$1:$H$2,2,0),0)="","",VLOOKUP($B116,勘定科目!$A:$E,2,0)),"")</f>
        <v/>
      </c>
      <c r="D116" s="216" t="str">
        <f>IF(C116="","",VLOOKUP($B116,勘定科目!$A:$E,4,0))</f>
        <v/>
      </c>
      <c r="E116" s="222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84">
        <f t="shared" si="8"/>
        <v>0</v>
      </c>
      <c r="S116" s="185"/>
      <c r="T116" s="186"/>
      <c r="U116" s="223"/>
      <c r="V116" s="223"/>
      <c r="W116" s="223"/>
    </row>
    <row r="117" spans="1:23" s="175" customFormat="1" ht="13" customHeight="1">
      <c r="A117" s="207"/>
      <c r="B117" s="164"/>
      <c r="C117" s="167" t="str">
        <f>IFERROR(IF(VLOOKUP($B117,勘定科目!$A:$H,HLOOKUP($E$5,勘定科目!$F$1:$H$2,2,0),0)="","",VLOOKUP($B117,勘定科目!$A:$E,2,0)),"")</f>
        <v/>
      </c>
      <c r="D117" s="216" t="str">
        <f>IF(C117="","",VLOOKUP($B117,勘定科目!$A:$E,4,0))</f>
        <v/>
      </c>
      <c r="E117" s="222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84">
        <f t="shared" si="8"/>
        <v>0</v>
      </c>
      <c r="S117" s="185"/>
      <c r="T117" s="186"/>
      <c r="U117" s="223"/>
      <c r="V117" s="223"/>
      <c r="W117" s="223"/>
    </row>
    <row r="118" spans="1:23" s="175" customFormat="1" ht="13" customHeight="1">
      <c r="A118" s="207"/>
      <c r="B118" s="164"/>
      <c r="C118" s="167" t="str">
        <f>IFERROR(IF(VLOOKUP($B118,勘定科目!$A:$H,HLOOKUP($E$5,勘定科目!$F$1:$H$2,2,0),0)="","",VLOOKUP($B118,勘定科目!$A:$E,2,0)),"")</f>
        <v/>
      </c>
      <c r="D118" s="216" t="str">
        <f>IF(C118="","",VLOOKUP($B118,勘定科目!$A:$E,4,0))</f>
        <v/>
      </c>
      <c r="E118" s="222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84">
        <f t="shared" si="8"/>
        <v>0</v>
      </c>
      <c r="S118" s="185"/>
      <c r="T118" s="186"/>
      <c r="U118" s="223"/>
      <c r="V118" s="223"/>
      <c r="W118" s="223"/>
    </row>
    <row r="119" spans="1:23" s="175" customFormat="1" ht="13" customHeight="1">
      <c r="A119" s="207"/>
      <c r="B119" s="164"/>
      <c r="C119" s="167" t="str">
        <f>IFERROR(IF(VLOOKUP($B119,勘定科目!$A:$H,HLOOKUP($E$5,勘定科目!$F$1:$H$2,2,0),0)="","",VLOOKUP($B119,勘定科目!$A:$E,2,0)),"")</f>
        <v/>
      </c>
      <c r="D119" s="216" t="str">
        <f>IF(C119="","",VLOOKUP($B119,勘定科目!$A:$E,4,0))</f>
        <v/>
      </c>
      <c r="E119" s="222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84">
        <f t="shared" si="8"/>
        <v>0</v>
      </c>
      <c r="S119" s="185"/>
      <c r="T119" s="186"/>
      <c r="U119" s="223"/>
      <c r="V119" s="223"/>
      <c r="W119" s="223"/>
    </row>
    <row r="120" spans="1:23" s="175" customFormat="1" ht="13" customHeight="1">
      <c r="A120" s="207"/>
      <c r="B120" s="164"/>
      <c r="C120" s="167" t="str">
        <f>IFERROR(IF(VLOOKUP($B120,勘定科目!$A:$H,HLOOKUP($E$5,勘定科目!$F$1:$H$2,2,0),0)="","",VLOOKUP($B120,勘定科目!$A:$E,2,0)),"")</f>
        <v/>
      </c>
      <c r="D120" s="216" t="str">
        <f>IF(C120="","",VLOOKUP($B120,勘定科目!$A:$E,4,0))</f>
        <v/>
      </c>
      <c r="E120" s="222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84">
        <f t="shared" si="8"/>
        <v>0</v>
      </c>
      <c r="S120" s="185"/>
      <c r="T120" s="186"/>
      <c r="U120" s="223"/>
      <c r="V120" s="223"/>
      <c r="W120" s="223"/>
    </row>
    <row r="121" spans="1:23" s="175" customFormat="1" ht="13" customHeight="1">
      <c r="A121" s="207"/>
      <c r="B121" s="164"/>
      <c r="C121" s="167" t="str">
        <f>IFERROR(IF(VLOOKUP($B121,勘定科目!$A:$H,HLOOKUP($E$5,勘定科目!$F$1:$H$2,2,0),0)="","",VLOOKUP($B121,勘定科目!$A:$E,2,0)),"")</f>
        <v/>
      </c>
      <c r="D121" s="216" t="str">
        <f>IF(C121="","",VLOOKUP($B121,勘定科目!$A:$E,4,0))</f>
        <v/>
      </c>
      <c r="E121" s="222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84">
        <f t="shared" si="8"/>
        <v>0</v>
      </c>
      <c r="S121" s="185"/>
      <c r="T121" s="186"/>
      <c r="U121" s="223"/>
      <c r="V121" s="223"/>
      <c r="W121" s="223"/>
    </row>
    <row r="122" spans="1:23" s="175" customFormat="1" ht="13" customHeight="1">
      <c r="A122" s="207"/>
      <c r="B122" s="164"/>
      <c r="C122" s="167"/>
      <c r="D122" s="216"/>
      <c r="E122" s="222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84">
        <f t="shared" si="8"/>
        <v>0</v>
      </c>
      <c r="S122" s="185"/>
      <c r="T122" s="186"/>
      <c r="U122" s="223"/>
      <c r="V122" s="223"/>
      <c r="W122" s="223"/>
    </row>
    <row r="123" spans="1:23" s="175" customFormat="1" ht="13" customHeight="1">
      <c r="A123" s="207"/>
      <c r="B123" s="164"/>
      <c r="C123" s="167" t="str">
        <f>IFERROR(IF(VLOOKUP($B123,勘定科目!$A:$H,HLOOKUP($E$5,勘定科目!$F$1:$H$2,2,0),0)="","",VLOOKUP($B123,勘定科目!$A:$E,2,0)),"")</f>
        <v/>
      </c>
      <c r="D123" s="216" t="str">
        <f>IF(C123="","",VLOOKUP($B123,勘定科目!$A:$E,4,0))</f>
        <v/>
      </c>
      <c r="E123" s="222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84">
        <f t="shared" si="8"/>
        <v>0</v>
      </c>
      <c r="S123" s="185"/>
      <c r="T123" s="186"/>
      <c r="U123" s="223"/>
      <c r="V123" s="223"/>
      <c r="W123" s="223"/>
    </row>
    <row r="124" spans="1:23" s="175" customFormat="1" ht="13" customHeight="1">
      <c r="A124" s="207"/>
      <c r="B124" s="164"/>
      <c r="C124" s="167" t="str">
        <f>IFERROR(IF(VLOOKUP($B124,勘定科目!$A:$H,HLOOKUP($E$5,勘定科目!$F$1:$H$2,2,0),0)="","",VLOOKUP($B124,勘定科目!$A:$E,2,0)),"")</f>
        <v/>
      </c>
      <c r="D124" s="216" t="str">
        <f>IF(C124="","",VLOOKUP($B124,勘定科目!$A:$E,4,0))</f>
        <v/>
      </c>
      <c r="E124" s="222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84">
        <f t="shared" si="8"/>
        <v>0</v>
      </c>
      <c r="S124" s="185"/>
      <c r="T124" s="186"/>
      <c r="U124" s="223"/>
      <c r="V124" s="223"/>
      <c r="W124" s="223"/>
    </row>
    <row r="125" spans="1:23" s="175" customFormat="1" ht="13" customHeight="1">
      <c r="A125" s="207"/>
      <c r="B125" s="164"/>
      <c r="C125" s="167" t="str">
        <f>IFERROR(IF(VLOOKUP($B125,勘定科目!$A:$H,HLOOKUP($E$5,勘定科目!$F$1:$H$2,2,0),0)="","",VLOOKUP($B125,勘定科目!$A:$E,2,0)),"")</f>
        <v/>
      </c>
      <c r="D125" s="216" t="str">
        <f>IF(C125="","",VLOOKUP($B125,勘定科目!$A:$E,4,0))</f>
        <v/>
      </c>
      <c r="E125" s="222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84">
        <f t="shared" si="8"/>
        <v>0</v>
      </c>
      <c r="S125" s="185"/>
      <c r="T125" s="186"/>
      <c r="U125" s="223"/>
      <c r="V125" s="223"/>
      <c r="W125" s="223"/>
    </row>
    <row r="126" spans="1:23" s="175" customFormat="1" ht="13" customHeight="1">
      <c r="A126" s="207"/>
      <c r="B126" s="164"/>
      <c r="C126" s="167"/>
      <c r="D126" s="216"/>
      <c r="E126" s="222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84">
        <f t="shared" si="8"/>
        <v>0</v>
      </c>
      <c r="S126" s="185"/>
      <c r="T126" s="186"/>
      <c r="U126" s="223"/>
      <c r="V126" s="223"/>
      <c r="W126" s="223"/>
    </row>
    <row r="127" spans="1:23" s="175" customFormat="1" ht="13" customHeight="1">
      <c r="A127" s="207"/>
      <c r="B127" s="164"/>
      <c r="C127" s="167" t="str">
        <f>IFERROR(IF(VLOOKUP($B127,勘定科目!$A:$H,HLOOKUP($E$5,勘定科目!$F$1:$H$2,2,0),0)="","",VLOOKUP($B127,勘定科目!$A:$E,2,0)),"")</f>
        <v/>
      </c>
      <c r="D127" s="216" t="str">
        <f>IF(C127="","",VLOOKUP($B127,勘定科目!$A:$E,4,0))</f>
        <v/>
      </c>
      <c r="E127" s="222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84">
        <f t="shared" si="8"/>
        <v>0</v>
      </c>
      <c r="S127" s="185"/>
      <c r="T127" s="186"/>
      <c r="U127" s="223"/>
      <c r="V127" s="223"/>
      <c r="W127" s="223"/>
    </row>
    <row r="128" spans="1:23" s="175" customFormat="1" ht="13" customHeight="1">
      <c r="A128" s="207"/>
      <c r="B128" s="164"/>
      <c r="C128" s="167" t="str">
        <f>IFERROR(IF(VLOOKUP($B128,勘定科目!$A:$H,HLOOKUP($E$5,勘定科目!$F$1:$H$2,2,0),0)="","",VLOOKUP($B128,勘定科目!$A:$E,2,0)),"")</f>
        <v/>
      </c>
      <c r="D128" s="216" t="str">
        <f>IF(C128="","",VLOOKUP($B128,勘定科目!$A:$E,4,0))</f>
        <v/>
      </c>
      <c r="E128" s="222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84">
        <f t="shared" si="8"/>
        <v>0</v>
      </c>
      <c r="S128" s="185"/>
      <c r="T128" s="186"/>
      <c r="U128" s="223"/>
      <c r="V128" s="223"/>
      <c r="W128" s="223"/>
    </row>
    <row r="129" spans="1:23" s="175" customFormat="1" ht="13" customHeight="1">
      <c r="A129" s="207"/>
      <c r="B129" s="164"/>
      <c r="C129" s="167" t="str">
        <f>IFERROR(IF(VLOOKUP($B129,勘定科目!$A:$H,HLOOKUP($E$5,勘定科目!$F$1:$H$2,2,0),0)="","",VLOOKUP($B129,勘定科目!$A:$E,2,0)),"")</f>
        <v/>
      </c>
      <c r="D129" s="216" t="str">
        <f>IF(C129="","",VLOOKUP($B129,勘定科目!$A:$E,4,0))</f>
        <v/>
      </c>
      <c r="E129" s="222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84">
        <f t="shared" si="8"/>
        <v>0</v>
      </c>
      <c r="S129" s="185"/>
      <c r="T129" s="186"/>
      <c r="U129" s="223"/>
      <c r="V129" s="223"/>
      <c r="W129" s="223"/>
    </row>
    <row r="130" spans="1:23" s="175" customFormat="1" ht="13" customHeight="1">
      <c r="A130" s="207"/>
      <c r="B130" s="164"/>
      <c r="C130" s="167" t="str">
        <f>IFERROR(IF(VLOOKUP($B130,勘定科目!$A:$H,HLOOKUP($E$5,勘定科目!$F$1:$H$2,2,0),0)="","",VLOOKUP($B130,勘定科目!$A:$E,2,0)),"")</f>
        <v/>
      </c>
      <c r="D130" s="216" t="str">
        <f>IF(C130="","",VLOOKUP($B130,勘定科目!$A:$E,4,0))</f>
        <v/>
      </c>
      <c r="E130" s="222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84">
        <f t="shared" si="8"/>
        <v>0</v>
      </c>
      <c r="S130" s="185"/>
      <c r="T130" s="186"/>
      <c r="U130" s="223"/>
      <c r="V130" s="223"/>
      <c r="W130" s="223"/>
    </row>
    <row r="131" spans="1:23" s="175" customFormat="1" ht="13" customHeight="1">
      <c r="A131" s="207"/>
      <c r="B131" s="164"/>
      <c r="C131" s="167" t="str">
        <f>IFERROR(IF(VLOOKUP($B131,勘定科目!$A:$H,HLOOKUP($E$5,勘定科目!$F$1:$H$2,2,0),0)="","",VLOOKUP($B131,勘定科目!$A:$E,2,0)),"")</f>
        <v/>
      </c>
      <c r="D131" s="216" t="str">
        <f>IF(C131="","",VLOOKUP($B131,勘定科目!$A:$E,4,0))</f>
        <v/>
      </c>
      <c r="E131" s="222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84">
        <f t="shared" si="8"/>
        <v>0</v>
      </c>
      <c r="S131" s="185"/>
      <c r="T131" s="186"/>
      <c r="U131" s="223"/>
      <c r="V131" s="223"/>
      <c r="W131" s="223"/>
    </row>
    <row r="132" spans="1:23" s="175" customFormat="1" ht="13" customHeight="1">
      <c r="A132" s="207"/>
      <c r="B132" s="164"/>
      <c r="C132" s="167" t="str">
        <f>IFERROR(IF(VLOOKUP($B132,勘定科目!$A:$H,HLOOKUP($E$5,勘定科目!$F$1:$H$2,2,0),0)="","",VLOOKUP($B132,勘定科目!$A:$E,2,0)),"")</f>
        <v/>
      </c>
      <c r="D132" s="216" t="str">
        <f>IF(C132="","",VLOOKUP($B132,勘定科目!$A:$E,4,0))</f>
        <v/>
      </c>
      <c r="E132" s="222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84">
        <f t="shared" si="8"/>
        <v>0</v>
      </c>
      <c r="S132" s="185"/>
      <c r="T132" s="186"/>
      <c r="U132" s="223"/>
      <c r="V132" s="223"/>
      <c r="W132" s="223"/>
    </row>
    <row r="133" spans="1:23" s="175" customFormat="1" ht="13" customHeight="1">
      <c r="A133" s="207"/>
      <c r="B133" s="164"/>
      <c r="C133" s="167" t="str">
        <f>IFERROR(IF(VLOOKUP($B133,勘定科目!$A:$H,HLOOKUP($E$5,勘定科目!$F$1:$H$2,2,0),0)="","",VLOOKUP($B133,勘定科目!$A:$E,2,0)),"")</f>
        <v/>
      </c>
      <c r="D133" s="216" t="str">
        <f>IF(C133="","",VLOOKUP($B133,勘定科目!$A:$E,4,0))</f>
        <v/>
      </c>
      <c r="E133" s="222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84">
        <f t="shared" si="8"/>
        <v>0</v>
      </c>
      <c r="S133" s="185"/>
      <c r="T133" s="186"/>
      <c r="U133" s="223"/>
      <c r="V133" s="223"/>
      <c r="W133" s="223"/>
    </row>
    <row r="134" spans="1:23" s="175" customFormat="1" ht="13" customHeight="1">
      <c r="A134" s="207"/>
      <c r="B134" s="164"/>
      <c r="C134" s="167" t="str">
        <f>IFERROR(IF(VLOOKUP($B134,勘定科目!$A:$H,HLOOKUP($E$5,勘定科目!$F$1:$H$2,2,0),0)="","",VLOOKUP($B134,勘定科目!$A:$E,2,0)),"")</f>
        <v/>
      </c>
      <c r="D134" s="216" t="str">
        <f>IF(C134="","",VLOOKUP($B134,勘定科目!$A:$E,4,0))</f>
        <v/>
      </c>
      <c r="E134" s="222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84">
        <f t="shared" si="8"/>
        <v>0</v>
      </c>
      <c r="S134" s="185"/>
      <c r="T134" s="186"/>
      <c r="U134" s="223"/>
      <c r="V134" s="223"/>
      <c r="W134" s="223"/>
    </row>
    <row r="135" spans="1:23" s="175" customFormat="1" ht="13" customHeight="1">
      <c r="A135" s="207"/>
      <c r="B135" s="164"/>
      <c r="C135" s="167" t="str">
        <f>IFERROR(IF(VLOOKUP($B135,勘定科目!$A:$H,HLOOKUP($E$5,勘定科目!$F$1:$H$2,2,0),0)="","",VLOOKUP($B135,勘定科目!$A:$E,2,0)),"")</f>
        <v/>
      </c>
      <c r="D135" s="216" t="str">
        <f>IF(C135="","",VLOOKUP($B135,勘定科目!$A:$E,4,0))</f>
        <v/>
      </c>
      <c r="E135" s="222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84">
        <f t="shared" si="8"/>
        <v>0</v>
      </c>
      <c r="S135" s="185"/>
      <c r="T135" s="186"/>
      <c r="U135" s="223"/>
      <c r="V135" s="223"/>
      <c r="W135" s="223"/>
    </row>
    <row r="136" spans="1:23" s="175" customFormat="1" ht="13" customHeight="1">
      <c r="A136" s="207"/>
      <c r="B136" s="164"/>
      <c r="C136" s="167" t="str">
        <f>IFERROR(IF(VLOOKUP($B136,勘定科目!$A:$H,HLOOKUP($E$5,勘定科目!$F$1:$H$2,2,0),0)="","",VLOOKUP($B136,勘定科目!$A:$E,2,0)),"")</f>
        <v/>
      </c>
      <c r="D136" s="216" t="str">
        <f>IF(C136="","",VLOOKUP($B136,勘定科目!$A:$E,4,0))</f>
        <v/>
      </c>
      <c r="E136" s="222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84">
        <f t="shared" si="8"/>
        <v>0</v>
      </c>
      <c r="S136" s="185"/>
      <c r="T136" s="186"/>
      <c r="U136" s="223"/>
      <c r="V136" s="223"/>
      <c r="W136" s="223"/>
    </row>
    <row r="137" spans="1:23" s="175" customFormat="1" ht="13" customHeight="1">
      <c r="A137" s="207"/>
      <c r="B137" s="164"/>
      <c r="C137" s="167" t="str">
        <f>IFERROR(IF(VLOOKUP($B137,勘定科目!$A:$H,HLOOKUP($E$5,勘定科目!$F$1:$H$2,2,0),0)="","",VLOOKUP($B137,勘定科目!$A:$E,2,0)),"")</f>
        <v/>
      </c>
      <c r="D137" s="216" t="str">
        <f>IF(C137="","",VLOOKUP($B137,勘定科目!$A:$E,4,0))</f>
        <v/>
      </c>
      <c r="E137" s="222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84">
        <f t="shared" si="8"/>
        <v>0</v>
      </c>
      <c r="S137" s="185"/>
      <c r="T137" s="186"/>
      <c r="U137" s="223"/>
      <c r="V137" s="223"/>
      <c r="W137" s="223"/>
    </row>
    <row r="138" spans="1:23" s="175" customFormat="1" ht="13" customHeight="1">
      <c r="A138" s="207"/>
      <c r="B138" s="164"/>
      <c r="C138" s="167" t="str">
        <f>IFERROR(IF(VLOOKUP($B138,勘定科目!$A:$H,HLOOKUP($E$5,勘定科目!$F$1:$H$2,2,0),0)="","",VLOOKUP($B138,勘定科目!$A:$E,2,0)),"")</f>
        <v/>
      </c>
      <c r="D138" s="216" t="str">
        <f>IF(C138="","",VLOOKUP($B138,勘定科目!$A:$E,4,0))</f>
        <v/>
      </c>
      <c r="E138" s="222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84">
        <f t="shared" si="8"/>
        <v>0</v>
      </c>
      <c r="S138" s="185"/>
      <c r="T138" s="186"/>
      <c r="U138" s="223"/>
      <c r="V138" s="223"/>
      <c r="W138" s="223"/>
    </row>
    <row r="139" spans="1:23" s="175" customFormat="1" ht="13" customHeight="1">
      <c r="A139" s="207"/>
      <c r="B139" s="164"/>
      <c r="C139" s="167" t="str">
        <f>IFERROR(IF(VLOOKUP($B139,勘定科目!$A:$H,HLOOKUP($E$5,勘定科目!$F$1:$H$2,2,0),0)="","",VLOOKUP($B139,勘定科目!$A:$E,2,0)),"")</f>
        <v/>
      </c>
      <c r="D139" s="216" t="str">
        <f>IF(C139="","",VLOOKUP($B139,勘定科目!$A:$E,4,0))</f>
        <v/>
      </c>
      <c r="E139" s="222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84">
        <f t="shared" si="8"/>
        <v>0</v>
      </c>
      <c r="S139" s="185"/>
      <c r="T139" s="186"/>
      <c r="U139" s="223"/>
      <c r="V139" s="223"/>
      <c r="W139" s="223"/>
    </row>
    <row r="140" spans="1:23" s="175" customFormat="1" ht="13" customHeight="1">
      <c r="A140" s="207"/>
      <c r="B140" s="164"/>
      <c r="C140" s="167" t="str">
        <f>IFERROR(IF(VLOOKUP($B140,勘定科目!$A:$H,HLOOKUP($E$5,勘定科目!$F$1:$H$2,2,0),0)="","",VLOOKUP($B140,勘定科目!$A:$E,2,0)),"")</f>
        <v/>
      </c>
      <c r="D140" s="216" t="str">
        <f>IF(C140="","",VLOOKUP($B140,勘定科目!$A:$E,4,0))</f>
        <v/>
      </c>
      <c r="E140" s="222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84">
        <f t="shared" si="8"/>
        <v>0</v>
      </c>
      <c r="S140" s="185"/>
      <c r="T140" s="186"/>
      <c r="U140" s="223"/>
      <c r="V140" s="223"/>
      <c r="W140" s="223"/>
    </row>
    <row r="141" spans="1:23" s="175" customFormat="1" ht="13" customHeight="1">
      <c r="A141" s="207"/>
      <c r="B141" s="164"/>
      <c r="C141" s="167" t="str">
        <f>IFERROR(IF(VLOOKUP($B141,勘定科目!$A:$H,HLOOKUP($E$5,勘定科目!$F$1:$H$2,2,0),0)="","",VLOOKUP($B141,勘定科目!$A:$E,2,0)),"")</f>
        <v/>
      </c>
      <c r="D141" s="216" t="str">
        <f>IF(C141="","",VLOOKUP($B141,勘定科目!$A:$E,4,0))</f>
        <v/>
      </c>
      <c r="E141" s="222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84">
        <f t="shared" si="8"/>
        <v>0</v>
      </c>
      <c r="S141" s="185"/>
      <c r="T141" s="186"/>
      <c r="U141" s="223"/>
      <c r="V141" s="223"/>
      <c r="W141" s="223"/>
    </row>
    <row r="142" spans="1:23" s="175" customFormat="1" ht="13" customHeight="1">
      <c r="A142" s="207"/>
      <c r="B142" s="164"/>
      <c r="C142" s="167" t="str">
        <f>IFERROR(IF(VLOOKUP($B142,勘定科目!$A:$H,HLOOKUP($E$5,勘定科目!$F$1:$H$2,2,0),0)="","",VLOOKUP($B142,勘定科目!$A:$E,2,0)),"")</f>
        <v/>
      </c>
      <c r="D142" s="216" t="str">
        <f>IF(C142="","",VLOOKUP($B142,勘定科目!$A:$E,4,0))</f>
        <v/>
      </c>
      <c r="E142" s="222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84">
        <f t="shared" si="8"/>
        <v>0</v>
      </c>
      <c r="S142" s="185"/>
      <c r="T142" s="186"/>
      <c r="U142" s="223"/>
      <c r="V142" s="223"/>
      <c r="W142" s="223"/>
    </row>
    <row r="143" spans="1:23" s="175" customFormat="1" ht="13" customHeight="1">
      <c r="A143" s="207"/>
      <c r="B143" s="164"/>
      <c r="C143" s="167" t="str">
        <f>IFERROR(IF(VLOOKUP($B143,勘定科目!$A:$H,HLOOKUP($E$5,勘定科目!$F$1:$H$2,2,0),0)="","",VLOOKUP($B143,勘定科目!$A:$E,2,0)),"")</f>
        <v/>
      </c>
      <c r="D143" s="216" t="str">
        <f>IF(C143="","",VLOOKUP($B143,勘定科目!$A:$E,4,0))</f>
        <v/>
      </c>
      <c r="E143" s="222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84">
        <f t="shared" si="8"/>
        <v>0</v>
      </c>
      <c r="S143" s="185"/>
      <c r="T143" s="186"/>
      <c r="U143" s="223"/>
      <c r="V143" s="223"/>
      <c r="W143" s="223"/>
    </row>
    <row r="144" spans="1:23" s="175" customFormat="1" ht="13" customHeight="1">
      <c r="A144" s="207"/>
      <c r="B144" s="164"/>
      <c r="C144" s="167" t="str">
        <f>IFERROR(IF(VLOOKUP($B144,勘定科目!$A:$H,HLOOKUP($E$5,勘定科目!$F$1:$H$2,2,0),0)="","",VLOOKUP($B144,勘定科目!$A:$E,2,0)),"")</f>
        <v/>
      </c>
      <c r="D144" s="216" t="str">
        <f>IF(C144="","",VLOOKUP($B144,勘定科目!$A:$E,4,0))</f>
        <v/>
      </c>
      <c r="E144" s="222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84">
        <f t="shared" si="8"/>
        <v>0</v>
      </c>
      <c r="S144" s="185"/>
      <c r="T144" s="186"/>
      <c r="U144" s="223"/>
      <c r="V144" s="223"/>
      <c r="W144" s="223"/>
    </row>
    <row r="145" spans="1:23" s="175" customFormat="1" ht="13" customHeight="1">
      <c r="A145" s="207"/>
      <c r="B145" s="164"/>
      <c r="C145" s="167" t="str">
        <f>IFERROR(IF(VLOOKUP($B145,勘定科目!$A:$H,HLOOKUP($E$5,勘定科目!$F$1:$H$2,2,0),0)="","",VLOOKUP($B145,勘定科目!$A:$E,2,0)),"")</f>
        <v/>
      </c>
      <c r="D145" s="216" t="str">
        <f>IF(C145="","",VLOOKUP($B145,勘定科目!$A:$E,4,0))</f>
        <v/>
      </c>
      <c r="E145" s="222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84">
        <f t="shared" si="8"/>
        <v>0</v>
      </c>
      <c r="S145" s="185"/>
      <c r="T145" s="186"/>
      <c r="U145" s="223"/>
      <c r="V145" s="223"/>
      <c r="W145" s="223"/>
    </row>
    <row r="146" spans="1:23" s="175" customFormat="1" ht="13" customHeight="1">
      <c r="A146" s="207"/>
      <c r="B146" s="164"/>
      <c r="C146" s="167" t="str">
        <f>IFERROR(IF(VLOOKUP($B146,勘定科目!$A:$H,HLOOKUP($E$5,勘定科目!$F$1:$H$2,2,0),0)="","",VLOOKUP($B146,勘定科目!$A:$E,2,0)),"")</f>
        <v/>
      </c>
      <c r="D146" s="216" t="str">
        <f>IF(C146="","",VLOOKUP($B146,勘定科目!$A:$E,4,0))</f>
        <v/>
      </c>
      <c r="E146" s="222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84">
        <f t="shared" si="8"/>
        <v>0</v>
      </c>
      <c r="S146" s="185"/>
      <c r="T146" s="186"/>
      <c r="U146" s="223"/>
      <c r="V146" s="223"/>
      <c r="W146" s="223"/>
    </row>
    <row r="147" spans="1:23" s="175" customFormat="1" ht="13" customHeight="1">
      <c r="A147" s="207"/>
      <c r="B147" s="164"/>
      <c r="C147" s="167" t="str">
        <f>IFERROR(IF(VLOOKUP($B147,勘定科目!$A:$H,HLOOKUP($E$5,勘定科目!$F$1:$H$2,2,0),0)="","",VLOOKUP($B147,勘定科目!$A:$E,2,0)),"")</f>
        <v/>
      </c>
      <c r="D147" s="216" t="str">
        <f>IF(C147="","",VLOOKUP($B147,勘定科目!$A:$E,4,0))</f>
        <v/>
      </c>
      <c r="E147" s="222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84">
        <f t="shared" si="8"/>
        <v>0</v>
      </c>
      <c r="S147" s="185"/>
      <c r="T147" s="186"/>
      <c r="U147" s="223"/>
      <c r="V147" s="223"/>
      <c r="W147" s="223"/>
    </row>
    <row r="148" spans="1:23" s="175" customFormat="1" ht="13" customHeight="1">
      <c r="A148" s="207"/>
      <c r="B148" s="164"/>
      <c r="C148" s="167" t="str">
        <f>IFERROR(IF(VLOOKUP($B148,勘定科目!$A:$H,HLOOKUP($E$5,勘定科目!$F$1:$H$2,2,0),0)="","",VLOOKUP($B148,勘定科目!$A:$E,2,0)),"")</f>
        <v/>
      </c>
      <c r="D148" s="216" t="str">
        <f>IF(C148="","",VLOOKUP($B148,勘定科目!$A:$E,4,0))</f>
        <v/>
      </c>
      <c r="E148" s="222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84">
        <f t="shared" si="8"/>
        <v>0</v>
      </c>
      <c r="S148" s="185"/>
      <c r="T148" s="186"/>
      <c r="U148" s="223"/>
      <c r="V148" s="223"/>
      <c r="W148" s="223"/>
    </row>
    <row r="149" spans="1:23" s="175" customFormat="1" ht="13" customHeight="1">
      <c r="A149" s="207"/>
      <c r="B149" s="164"/>
      <c r="C149" s="167" t="str">
        <f>IFERROR(IF(VLOOKUP($B149,勘定科目!$A:$H,HLOOKUP($E$5,勘定科目!$F$1:$H$2,2,0),0)="","",VLOOKUP($B149,勘定科目!$A:$E,2,0)),"")</f>
        <v/>
      </c>
      <c r="D149" s="216" t="str">
        <f>IF(C149="","",VLOOKUP($B149,勘定科目!$A:$E,4,0))</f>
        <v/>
      </c>
      <c r="E149" s="222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84">
        <f t="shared" si="8"/>
        <v>0</v>
      </c>
      <c r="S149" s="185"/>
      <c r="T149" s="186"/>
      <c r="U149" s="223"/>
      <c r="V149" s="223"/>
      <c r="W149" s="223"/>
    </row>
    <row r="150" spans="1:23" s="175" customFormat="1" ht="13" customHeight="1">
      <c r="A150" s="207"/>
      <c r="B150" s="164"/>
      <c r="C150" s="167" t="str">
        <f>IFERROR(IF(VLOOKUP($B150,勘定科目!$A:$H,HLOOKUP($E$5,勘定科目!$F$1:$H$2,2,0),0)="","",VLOOKUP($B150,勘定科目!$A:$E,2,0)),"")</f>
        <v/>
      </c>
      <c r="D150" s="216" t="str">
        <f>IF(C150="","",VLOOKUP($B150,勘定科目!$A:$E,4,0))</f>
        <v/>
      </c>
      <c r="E150" s="222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84">
        <f t="shared" si="8"/>
        <v>0</v>
      </c>
      <c r="S150" s="185"/>
      <c r="T150" s="186"/>
      <c r="U150" s="223"/>
      <c r="V150" s="223"/>
      <c r="W150" s="223"/>
    </row>
    <row r="151" spans="1:23" s="175" customFormat="1" ht="13" customHeight="1">
      <c r="A151" s="207"/>
      <c r="B151" s="164"/>
      <c r="C151" s="167" t="str">
        <f>IFERROR(IF(VLOOKUP($B151,勘定科目!$A:$H,HLOOKUP($E$5,勘定科目!$F$1:$H$2,2,0),0)="","",VLOOKUP($B151,勘定科目!$A:$E,2,0)),"")</f>
        <v/>
      </c>
      <c r="D151" s="216" t="str">
        <f>IF(C151="","",VLOOKUP($B151,勘定科目!$A:$E,4,0))</f>
        <v/>
      </c>
      <c r="E151" s="222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84">
        <f t="shared" si="8"/>
        <v>0</v>
      </c>
      <c r="S151" s="185"/>
      <c r="T151" s="186"/>
      <c r="U151" s="223"/>
      <c r="V151" s="223"/>
      <c r="W151" s="223"/>
    </row>
    <row r="152" spans="1:23" s="175" customFormat="1" ht="13" customHeight="1">
      <c r="A152" s="207"/>
      <c r="B152" s="164"/>
      <c r="C152" s="167" t="str">
        <f>IFERROR(IF(VLOOKUP($B152,勘定科目!$A:$H,HLOOKUP($E$5,勘定科目!$F$1:$H$2,2,0),0)="","",VLOOKUP($B152,勘定科目!$A:$E,2,0)),"")</f>
        <v/>
      </c>
      <c r="D152" s="216" t="str">
        <f>IF(C152="","",VLOOKUP($B152,勘定科目!$A:$E,4,0))</f>
        <v/>
      </c>
      <c r="E152" s="222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84">
        <f t="shared" si="8"/>
        <v>0</v>
      </c>
      <c r="S152" s="185"/>
      <c r="T152" s="186"/>
      <c r="U152" s="223"/>
      <c r="V152" s="223"/>
      <c r="W152" s="223"/>
    </row>
    <row r="153" spans="1:23" s="175" customFormat="1" ht="13" customHeight="1">
      <c r="A153" s="207"/>
      <c r="B153" s="164"/>
      <c r="C153" s="167"/>
      <c r="D153" s="216"/>
      <c r="E153" s="222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84">
        <f t="shared" si="8"/>
        <v>0</v>
      </c>
      <c r="S153" s="185"/>
      <c r="T153" s="186"/>
      <c r="U153" s="223"/>
      <c r="V153" s="223"/>
      <c r="W153" s="223"/>
    </row>
    <row r="154" spans="1:23" s="175" customFormat="1" ht="13" customHeight="1">
      <c r="A154" s="207"/>
      <c r="B154" s="164"/>
      <c r="C154" s="167" t="str">
        <f>IFERROR(IF(VLOOKUP($B154,勘定科目!$A:$H,HLOOKUP($E$5,勘定科目!$F$1:$H$2,2,0),0)="","",VLOOKUP($B154,勘定科目!$A:$E,2,0)),"")</f>
        <v/>
      </c>
      <c r="D154" s="216" t="str">
        <f>IF(C154="","",VLOOKUP($B154,勘定科目!$A:$E,4,0))</f>
        <v/>
      </c>
      <c r="E154" s="222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84">
        <f t="shared" ref="R154:R217" si="9">SUM(F154:Q154)</f>
        <v>0</v>
      </c>
      <c r="S154" s="185"/>
      <c r="T154" s="186"/>
      <c r="U154" s="223"/>
      <c r="V154" s="223"/>
      <c r="W154" s="223"/>
    </row>
    <row r="155" spans="1:23" s="175" customFormat="1" ht="13" customHeight="1">
      <c r="A155" s="207"/>
      <c r="B155" s="164"/>
      <c r="C155" s="167" t="str">
        <f>IFERROR(IF(VLOOKUP($B155,勘定科目!$A:$H,HLOOKUP($E$5,勘定科目!$F$1:$H$2,2,0),0)="","",VLOOKUP($B155,勘定科目!$A:$E,2,0)),"")</f>
        <v/>
      </c>
      <c r="D155" s="216" t="str">
        <f>IF(C155="","",VLOOKUP($B155,勘定科目!$A:$E,4,0))</f>
        <v/>
      </c>
      <c r="E155" s="222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84">
        <f t="shared" si="9"/>
        <v>0</v>
      </c>
      <c r="S155" s="185"/>
      <c r="T155" s="186"/>
      <c r="U155" s="223"/>
      <c r="V155" s="223"/>
      <c r="W155" s="223"/>
    </row>
    <row r="156" spans="1:23" s="175" customFormat="1" ht="13" customHeight="1">
      <c r="A156" s="207"/>
      <c r="B156" s="164"/>
      <c r="C156" s="167" t="str">
        <f>IFERROR(IF(VLOOKUP($B156,勘定科目!$A:$H,HLOOKUP($E$5,勘定科目!$F$1:$H$2,2,0),0)="","",VLOOKUP($B156,勘定科目!$A:$E,2,0)),"")</f>
        <v/>
      </c>
      <c r="D156" s="216" t="str">
        <f>IF(C156="","",VLOOKUP($B156,勘定科目!$A:$E,4,0))</f>
        <v/>
      </c>
      <c r="E156" s="222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84">
        <f t="shared" si="9"/>
        <v>0</v>
      </c>
      <c r="S156" s="185"/>
      <c r="T156" s="186"/>
      <c r="U156" s="223"/>
      <c r="V156" s="223"/>
      <c r="W156" s="223"/>
    </row>
    <row r="157" spans="1:23" s="175" customFormat="1" ht="13" customHeight="1">
      <c r="A157" s="207"/>
      <c r="B157" s="164"/>
      <c r="C157" s="167" t="str">
        <f>IFERROR(IF(VLOOKUP($B157,勘定科目!$A:$H,HLOOKUP($E$5,勘定科目!$F$1:$H$2,2,0),0)="","",VLOOKUP($B157,勘定科目!$A:$E,2,0)),"")</f>
        <v/>
      </c>
      <c r="D157" s="216" t="str">
        <f>IF(C157="","",VLOOKUP($B157,勘定科目!$A:$E,4,0))</f>
        <v/>
      </c>
      <c r="E157" s="222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84">
        <f t="shared" si="9"/>
        <v>0</v>
      </c>
      <c r="S157" s="185"/>
      <c r="T157" s="186"/>
      <c r="U157" s="223"/>
      <c r="V157" s="223"/>
      <c r="W157" s="223"/>
    </row>
    <row r="158" spans="1:23" s="175" customFormat="1" ht="13" customHeight="1">
      <c r="A158" s="207"/>
      <c r="B158" s="164"/>
      <c r="C158" s="167" t="str">
        <f>IFERROR(IF(VLOOKUP($B158,勘定科目!$A:$H,HLOOKUP($E$5,勘定科目!$F$1:$H$2,2,0),0)="","",VLOOKUP($B158,勘定科目!$A:$E,2,0)),"")</f>
        <v/>
      </c>
      <c r="D158" s="216" t="str">
        <f>IF(C158="","",VLOOKUP($B158,勘定科目!$A:$E,4,0))</f>
        <v/>
      </c>
      <c r="E158" s="222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84">
        <f t="shared" si="9"/>
        <v>0</v>
      </c>
      <c r="S158" s="185"/>
      <c r="T158" s="186"/>
      <c r="U158" s="223"/>
      <c r="V158" s="223"/>
      <c r="W158" s="223"/>
    </row>
    <row r="159" spans="1:23" s="175" customFormat="1" ht="13" customHeight="1">
      <c r="A159" s="207"/>
      <c r="B159" s="164"/>
      <c r="C159" s="167" t="str">
        <f>IFERROR(IF(VLOOKUP($B159,勘定科目!$A:$H,HLOOKUP($E$5,勘定科目!$F$1:$H$2,2,0),0)="","",VLOOKUP($B159,勘定科目!$A:$E,2,0)),"")</f>
        <v/>
      </c>
      <c r="D159" s="216" t="str">
        <f>IF(C159="","",VLOOKUP($B159,勘定科目!$A:$E,4,0))</f>
        <v/>
      </c>
      <c r="E159" s="222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84">
        <f t="shared" si="9"/>
        <v>0</v>
      </c>
      <c r="S159" s="185"/>
      <c r="T159" s="186"/>
      <c r="U159" s="223"/>
      <c r="V159" s="223"/>
      <c r="W159" s="223"/>
    </row>
    <row r="160" spans="1:23" s="175" customFormat="1" ht="13" customHeight="1">
      <c r="A160" s="207"/>
      <c r="B160" s="164"/>
      <c r="C160" s="167" t="str">
        <f>IFERROR(IF(VLOOKUP($B160,勘定科目!$A:$H,HLOOKUP($E$5,勘定科目!$F$1:$H$2,2,0),0)="","",VLOOKUP($B160,勘定科目!$A:$E,2,0)),"")</f>
        <v/>
      </c>
      <c r="D160" s="216" t="str">
        <f>IF(C160="","",VLOOKUP($B160,勘定科目!$A:$E,4,0))</f>
        <v/>
      </c>
      <c r="E160" s="222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84">
        <f t="shared" si="9"/>
        <v>0</v>
      </c>
      <c r="S160" s="185"/>
      <c r="T160" s="186"/>
      <c r="U160" s="223"/>
      <c r="V160" s="223"/>
      <c r="W160" s="223"/>
    </row>
    <row r="161" spans="1:23" s="175" customFormat="1" ht="13" customHeight="1">
      <c r="A161" s="207"/>
      <c r="B161" s="164"/>
      <c r="C161" s="167" t="str">
        <f>IFERROR(IF(VLOOKUP($B161,勘定科目!$A:$H,HLOOKUP($E$5,勘定科目!$F$1:$H$2,2,0),0)="","",VLOOKUP($B161,勘定科目!$A:$E,2,0)),"")</f>
        <v/>
      </c>
      <c r="D161" s="216" t="str">
        <f>IF(C161="","",VLOOKUP($B161,勘定科目!$A:$E,4,0))</f>
        <v/>
      </c>
      <c r="E161" s="222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84">
        <f t="shared" si="9"/>
        <v>0</v>
      </c>
      <c r="S161" s="185"/>
      <c r="T161" s="186"/>
      <c r="U161" s="223"/>
      <c r="V161" s="223"/>
      <c r="W161" s="223"/>
    </row>
    <row r="162" spans="1:23" s="175" customFormat="1" ht="13" customHeight="1">
      <c r="A162" s="207"/>
      <c r="B162" s="164"/>
      <c r="C162" s="167" t="str">
        <f>IFERROR(IF(VLOOKUP($B162,勘定科目!$A:$H,HLOOKUP($E$5,勘定科目!$F$1:$H$2,2,0),0)="","",VLOOKUP($B162,勘定科目!$A:$E,2,0)),"")</f>
        <v/>
      </c>
      <c r="D162" s="216" t="str">
        <f>IF(C162="","",VLOOKUP($B162,勘定科目!$A:$E,4,0))</f>
        <v/>
      </c>
      <c r="E162" s="222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84">
        <f t="shared" si="9"/>
        <v>0</v>
      </c>
      <c r="S162" s="185"/>
      <c r="T162" s="186"/>
      <c r="U162" s="223"/>
      <c r="V162" s="223"/>
      <c r="W162" s="223"/>
    </row>
    <row r="163" spans="1:23" s="175" customFormat="1" ht="13" customHeight="1">
      <c r="A163" s="207"/>
      <c r="B163" s="164"/>
      <c r="C163" s="167" t="str">
        <f>IFERROR(IF(VLOOKUP($B163,勘定科目!$A:$H,HLOOKUP($E$5,勘定科目!$F$1:$H$2,2,0),0)="","",VLOOKUP($B163,勘定科目!$A:$E,2,0)),"")</f>
        <v/>
      </c>
      <c r="D163" s="216" t="str">
        <f>IF(C163="","",VLOOKUP($B163,勘定科目!$A:$E,4,0))</f>
        <v/>
      </c>
      <c r="E163" s="222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84">
        <f t="shared" si="9"/>
        <v>0</v>
      </c>
      <c r="S163" s="185"/>
      <c r="T163" s="186"/>
      <c r="U163" s="223"/>
      <c r="V163" s="223"/>
      <c r="W163" s="223"/>
    </row>
    <row r="164" spans="1:23" s="175" customFormat="1" ht="13" customHeight="1">
      <c r="A164" s="207"/>
      <c r="B164" s="164"/>
      <c r="C164" s="167" t="str">
        <f>IFERROR(IF(VLOOKUP($B164,勘定科目!$A:$H,HLOOKUP($E$5,勘定科目!$F$1:$H$2,2,0),0)="","",VLOOKUP($B164,勘定科目!$A:$E,2,0)),"")</f>
        <v/>
      </c>
      <c r="D164" s="216" t="str">
        <f>IF(C164="","",VLOOKUP($B164,勘定科目!$A:$E,4,0))</f>
        <v/>
      </c>
      <c r="E164" s="222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84">
        <f t="shared" si="9"/>
        <v>0</v>
      </c>
      <c r="S164" s="185"/>
      <c r="T164" s="186"/>
      <c r="U164" s="223"/>
      <c r="V164" s="223"/>
      <c r="W164" s="223"/>
    </row>
    <row r="165" spans="1:23" s="175" customFormat="1" ht="13" customHeight="1">
      <c r="A165" s="207"/>
      <c r="B165" s="164"/>
      <c r="C165" s="167" t="str">
        <f>IFERROR(IF(VLOOKUP($B165,勘定科目!$A:$H,HLOOKUP($E$5,勘定科目!$F$1:$H$2,2,0),0)="","",VLOOKUP($B165,勘定科目!$A:$E,2,0)),"")</f>
        <v/>
      </c>
      <c r="D165" s="216" t="str">
        <f>IF(C165="","",VLOOKUP($B165,勘定科目!$A:$E,4,0))</f>
        <v/>
      </c>
      <c r="E165" s="222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84">
        <f t="shared" si="9"/>
        <v>0</v>
      </c>
      <c r="S165" s="185"/>
      <c r="T165" s="186"/>
      <c r="U165" s="223"/>
      <c r="V165" s="223"/>
      <c r="W165" s="223"/>
    </row>
    <row r="166" spans="1:23" s="175" customFormat="1" ht="13" customHeight="1">
      <c r="A166" s="207"/>
      <c r="B166" s="164"/>
      <c r="C166" s="167" t="str">
        <f>IFERROR(IF(VLOOKUP($B166,勘定科目!$A:$H,HLOOKUP($E$5,勘定科目!$F$1:$H$2,2,0),0)="","",VLOOKUP($B166,勘定科目!$A:$E,2,0)),"")</f>
        <v/>
      </c>
      <c r="D166" s="216" t="str">
        <f>IF(C166="","",VLOOKUP($B166,勘定科目!$A:$E,4,0))</f>
        <v/>
      </c>
      <c r="E166" s="222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84">
        <f t="shared" si="9"/>
        <v>0</v>
      </c>
      <c r="S166" s="185"/>
      <c r="T166" s="186"/>
      <c r="U166" s="223"/>
      <c r="V166" s="223"/>
      <c r="W166" s="223"/>
    </row>
    <row r="167" spans="1:23" s="175" customFormat="1" ht="13" customHeight="1">
      <c r="A167" s="207"/>
      <c r="B167" s="164"/>
      <c r="C167" s="167" t="str">
        <f>IFERROR(IF(VLOOKUP($B167,勘定科目!$A:$H,HLOOKUP($E$5,勘定科目!$F$1:$H$2,2,0),0)="","",VLOOKUP($B167,勘定科目!$A:$E,2,0)),"")</f>
        <v/>
      </c>
      <c r="D167" s="216" t="str">
        <f>IF(C167="","",VLOOKUP($B167,勘定科目!$A:$E,4,0))</f>
        <v/>
      </c>
      <c r="E167" s="222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84">
        <f t="shared" si="9"/>
        <v>0</v>
      </c>
      <c r="S167" s="185"/>
      <c r="T167" s="186"/>
      <c r="U167" s="223"/>
      <c r="V167" s="223"/>
      <c r="W167" s="223"/>
    </row>
    <row r="168" spans="1:23" s="175" customFormat="1" ht="13" customHeight="1">
      <c r="A168" s="207"/>
      <c r="B168" s="164"/>
      <c r="C168" s="167" t="str">
        <f>IFERROR(IF(VLOOKUP($B168,勘定科目!$A:$H,HLOOKUP($E$5,勘定科目!$F$1:$H$2,2,0),0)="","",VLOOKUP($B168,勘定科目!$A:$E,2,0)),"")</f>
        <v/>
      </c>
      <c r="D168" s="216" t="str">
        <f>IF(C168="","",VLOOKUP($B168,勘定科目!$A:$E,4,0))</f>
        <v/>
      </c>
      <c r="E168" s="222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84">
        <f t="shared" si="9"/>
        <v>0</v>
      </c>
      <c r="S168" s="185"/>
      <c r="T168" s="186"/>
      <c r="U168" s="223"/>
      <c r="V168" s="223"/>
      <c r="W168" s="223"/>
    </row>
    <row r="169" spans="1:23" s="175" customFormat="1" ht="13" customHeight="1">
      <c r="A169" s="207"/>
      <c r="B169" s="164"/>
      <c r="C169" s="167" t="str">
        <f>IFERROR(IF(VLOOKUP($B169,勘定科目!$A:$H,HLOOKUP($E$5,勘定科目!$F$1:$H$2,2,0),0)="","",VLOOKUP($B169,勘定科目!$A:$E,2,0)),"")</f>
        <v/>
      </c>
      <c r="D169" s="216" t="str">
        <f>IF(C169="","",VLOOKUP($B169,勘定科目!$A:$E,4,0))</f>
        <v/>
      </c>
      <c r="E169" s="222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84">
        <f t="shared" si="9"/>
        <v>0</v>
      </c>
      <c r="S169" s="185"/>
      <c r="T169" s="186"/>
      <c r="U169" s="223"/>
      <c r="V169" s="223"/>
      <c r="W169" s="223"/>
    </row>
    <row r="170" spans="1:23" s="175" customFormat="1" ht="13" customHeight="1">
      <c r="A170" s="207"/>
      <c r="B170" s="164"/>
      <c r="C170" s="167" t="str">
        <f>IFERROR(IF(VLOOKUP($B170,勘定科目!$A:$H,HLOOKUP($E$5,勘定科目!$F$1:$H$2,2,0),0)="","",VLOOKUP($B170,勘定科目!$A:$E,2,0)),"")</f>
        <v/>
      </c>
      <c r="D170" s="216" t="str">
        <f>IF(C170="","",VLOOKUP($B170,勘定科目!$A:$E,4,0))</f>
        <v/>
      </c>
      <c r="E170" s="222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84">
        <f t="shared" si="9"/>
        <v>0</v>
      </c>
      <c r="S170" s="185"/>
      <c r="T170" s="186"/>
      <c r="U170" s="223"/>
      <c r="V170" s="223"/>
      <c r="W170" s="223"/>
    </row>
    <row r="171" spans="1:23" s="175" customFormat="1" ht="13" customHeight="1">
      <c r="A171" s="207"/>
      <c r="B171" s="164"/>
      <c r="C171" s="167" t="str">
        <f>IFERROR(IF(VLOOKUP($B171,勘定科目!$A:$H,HLOOKUP($E$5,勘定科目!$F$1:$H$2,2,0),0)="","",VLOOKUP($B171,勘定科目!$A:$E,2,0)),"")</f>
        <v/>
      </c>
      <c r="D171" s="216" t="str">
        <f>IF(C171="","",VLOOKUP($B171,勘定科目!$A:$E,4,0))</f>
        <v/>
      </c>
      <c r="E171" s="222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84">
        <f t="shared" si="9"/>
        <v>0</v>
      </c>
      <c r="S171" s="185"/>
      <c r="T171" s="186"/>
      <c r="U171" s="223"/>
      <c r="V171" s="223"/>
      <c r="W171" s="223"/>
    </row>
    <row r="172" spans="1:23" s="175" customFormat="1" ht="13" customHeight="1">
      <c r="A172" s="207"/>
      <c r="B172" s="164"/>
      <c r="C172" s="167" t="str">
        <f>IFERROR(IF(VLOOKUP($B172,勘定科目!$A:$H,HLOOKUP($E$5,勘定科目!$F$1:$H$2,2,0),0)="","",VLOOKUP($B172,勘定科目!$A:$E,2,0)),"")</f>
        <v/>
      </c>
      <c r="D172" s="216" t="str">
        <f>IF(C172="","",VLOOKUP($B172,勘定科目!$A:$E,4,0))</f>
        <v/>
      </c>
      <c r="E172" s="222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84">
        <f t="shared" si="9"/>
        <v>0</v>
      </c>
      <c r="S172" s="185"/>
      <c r="T172" s="186"/>
      <c r="U172" s="223"/>
      <c r="V172" s="223"/>
      <c r="W172" s="223"/>
    </row>
    <row r="173" spans="1:23" s="175" customFormat="1" ht="13" customHeight="1">
      <c r="A173" s="207"/>
      <c r="B173" s="164"/>
      <c r="C173" s="167" t="str">
        <f>IFERROR(IF(VLOOKUP($B173,勘定科目!$A:$H,HLOOKUP($E$5,勘定科目!$F$1:$H$2,2,0),0)="","",VLOOKUP($B173,勘定科目!$A:$E,2,0)),"")</f>
        <v/>
      </c>
      <c r="D173" s="216" t="str">
        <f>IF(C173="","",VLOOKUP($B173,勘定科目!$A:$E,4,0))</f>
        <v/>
      </c>
      <c r="E173" s="222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84">
        <f t="shared" si="9"/>
        <v>0</v>
      </c>
      <c r="S173" s="185"/>
      <c r="T173" s="186"/>
      <c r="U173" s="223"/>
      <c r="V173" s="223"/>
      <c r="W173" s="223"/>
    </row>
    <row r="174" spans="1:23" s="175" customFormat="1" ht="13" customHeight="1">
      <c r="A174" s="207"/>
      <c r="B174" s="164"/>
      <c r="C174" s="167" t="str">
        <f>IFERROR(IF(VLOOKUP($B174,勘定科目!$A:$H,HLOOKUP($E$5,勘定科目!$F$1:$H$2,2,0),0)="","",VLOOKUP($B174,勘定科目!$A:$E,2,0)),"")</f>
        <v/>
      </c>
      <c r="D174" s="216" t="str">
        <f>IF(C174="","",VLOOKUP($B174,勘定科目!$A:$E,4,0))</f>
        <v/>
      </c>
      <c r="E174" s="222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84">
        <f t="shared" si="9"/>
        <v>0</v>
      </c>
      <c r="S174" s="185"/>
      <c r="T174" s="186"/>
      <c r="U174" s="223"/>
      <c r="V174" s="223"/>
      <c r="W174" s="223"/>
    </row>
    <row r="175" spans="1:23" s="175" customFormat="1" ht="13" customHeight="1">
      <c r="A175" s="207"/>
      <c r="B175" s="164"/>
      <c r="C175" s="167" t="str">
        <f>IFERROR(IF(VLOOKUP($B175,勘定科目!$A:$H,HLOOKUP($E$5,勘定科目!$F$1:$H$2,2,0),0)="","",VLOOKUP($B175,勘定科目!$A:$E,2,0)),"")</f>
        <v/>
      </c>
      <c r="D175" s="216" t="str">
        <f>IF(C175="","",VLOOKUP($B175,勘定科目!$A:$E,4,0))</f>
        <v/>
      </c>
      <c r="E175" s="222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84">
        <f t="shared" si="9"/>
        <v>0</v>
      </c>
      <c r="S175" s="185"/>
      <c r="T175" s="186"/>
      <c r="U175" s="223"/>
      <c r="V175" s="223"/>
      <c r="W175" s="223"/>
    </row>
    <row r="176" spans="1:23" s="175" customFormat="1" ht="13" customHeight="1">
      <c r="A176" s="207"/>
      <c r="B176" s="164"/>
      <c r="C176" s="167" t="str">
        <f>IFERROR(IF(VLOOKUP($B176,勘定科目!$A:$H,HLOOKUP($E$5,勘定科目!$F$1:$H$2,2,0),0)="","",VLOOKUP($B176,勘定科目!$A:$E,2,0)),"")</f>
        <v/>
      </c>
      <c r="D176" s="216" t="str">
        <f>IF(C176="","",VLOOKUP($B176,勘定科目!$A:$E,4,0))</f>
        <v/>
      </c>
      <c r="E176" s="222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84">
        <f t="shared" si="9"/>
        <v>0</v>
      </c>
      <c r="S176" s="185"/>
      <c r="T176" s="186"/>
      <c r="U176" s="223"/>
      <c r="V176" s="223"/>
      <c r="W176" s="223"/>
    </row>
    <row r="177" spans="1:23" s="175" customFormat="1" ht="13" customHeight="1">
      <c r="A177" s="207"/>
      <c r="B177" s="164"/>
      <c r="C177" s="167" t="str">
        <f>IFERROR(IF(VLOOKUP($B177,勘定科目!$A:$H,HLOOKUP($E$5,勘定科目!$F$1:$H$2,2,0),0)="","",VLOOKUP($B177,勘定科目!$A:$E,2,0)),"")</f>
        <v/>
      </c>
      <c r="D177" s="216" t="str">
        <f>IF(C177="","",VLOOKUP($B177,勘定科目!$A:$E,4,0))</f>
        <v/>
      </c>
      <c r="E177" s="222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84">
        <f t="shared" si="9"/>
        <v>0</v>
      </c>
      <c r="S177" s="185"/>
      <c r="T177" s="186"/>
      <c r="U177" s="223"/>
      <c r="V177" s="223"/>
      <c r="W177" s="223"/>
    </row>
    <row r="178" spans="1:23" s="175" customFormat="1" ht="13" customHeight="1">
      <c r="A178" s="207"/>
      <c r="B178" s="164"/>
      <c r="C178" s="167" t="str">
        <f>IFERROR(IF(VLOOKUP($B178,勘定科目!$A:$H,HLOOKUP($E$5,勘定科目!$F$1:$H$2,2,0),0)="","",VLOOKUP($B178,勘定科目!$A:$E,2,0)),"")</f>
        <v/>
      </c>
      <c r="D178" s="216" t="str">
        <f>IF(C178="","",VLOOKUP($B178,勘定科目!$A:$E,4,0))</f>
        <v/>
      </c>
      <c r="E178" s="222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84">
        <f t="shared" si="9"/>
        <v>0</v>
      </c>
      <c r="S178" s="185"/>
      <c r="T178" s="186"/>
      <c r="U178" s="223"/>
      <c r="V178" s="223"/>
      <c r="W178" s="223"/>
    </row>
    <row r="179" spans="1:23" s="175" customFormat="1" ht="13" customHeight="1">
      <c r="A179" s="207"/>
      <c r="B179" s="164"/>
      <c r="C179" s="167" t="str">
        <f>IFERROR(IF(VLOOKUP($B179,勘定科目!$A:$H,HLOOKUP($E$5,勘定科目!$F$1:$H$2,2,0),0)="","",VLOOKUP($B179,勘定科目!$A:$E,2,0)),"")</f>
        <v/>
      </c>
      <c r="D179" s="216" t="str">
        <f>IF(C179="","",VLOOKUP($B179,勘定科目!$A:$E,4,0))</f>
        <v/>
      </c>
      <c r="E179" s="222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84">
        <f t="shared" si="9"/>
        <v>0</v>
      </c>
      <c r="S179" s="185"/>
      <c r="T179" s="186"/>
      <c r="U179" s="223"/>
      <c r="V179" s="223"/>
      <c r="W179" s="223"/>
    </row>
    <row r="180" spans="1:23" s="175" customFormat="1" ht="13" customHeight="1">
      <c r="A180" s="207"/>
      <c r="B180" s="164"/>
      <c r="C180" s="167" t="str">
        <f>IFERROR(IF(VLOOKUP($B180,勘定科目!$A:$H,HLOOKUP($E$5,勘定科目!$F$1:$H$2,2,0),0)="","",VLOOKUP($B180,勘定科目!$A:$E,2,0)),"")</f>
        <v/>
      </c>
      <c r="D180" s="216" t="str">
        <f>IF(C180="","",VLOOKUP($B180,勘定科目!$A:$E,4,0))</f>
        <v/>
      </c>
      <c r="E180" s="222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84">
        <f t="shared" si="9"/>
        <v>0</v>
      </c>
      <c r="S180" s="185"/>
      <c r="T180" s="186"/>
      <c r="U180" s="223"/>
      <c r="V180" s="223"/>
      <c r="W180" s="223"/>
    </row>
    <row r="181" spans="1:23" s="175" customFormat="1" ht="13" customHeight="1">
      <c r="A181" s="207"/>
      <c r="B181" s="164"/>
      <c r="C181" s="167" t="str">
        <f>IFERROR(IF(VLOOKUP($B181,勘定科目!$A:$H,HLOOKUP($E$5,勘定科目!$F$1:$H$2,2,0),0)="","",VLOOKUP($B181,勘定科目!$A:$E,2,0)),"")</f>
        <v/>
      </c>
      <c r="D181" s="216" t="str">
        <f>IF(C181="","",VLOOKUP($B181,勘定科目!$A:$E,4,0))</f>
        <v/>
      </c>
      <c r="E181" s="222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84">
        <f t="shared" si="9"/>
        <v>0</v>
      </c>
      <c r="S181" s="185"/>
      <c r="T181" s="186"/>
      <c r="U181" s="223"/>
      <c r="V181" s="223"/>
      <c r="W181" s="223"/>
    </row>
    <row r="182" spans="1:23" s="175" customFormat="1" ht="13" customHeight="1">
      <c r="A182" s="207"/>
      <c r="B182" s="164"/>
      <c r="C182" s="167" t="str">
        <f>IFERROR(IF(VLOOKUP($B182,勘定科目!$A:$H,HLOOKUP($E$5,勘定科目!$F$1:$H$2,2,0),0)="","",VLOOKUP($B182,勘定科目!$A:$E,2,0)),"")</f>
        <v/>
      </c>
      <c r="D182" s="216" t="str">
        <f>IF(C182="","",VLOOKUP($B182,勘定科目!$A:$E,4,0))</f>
        <v/>
      </c>
      <c r="E182" s="222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84">
        <f t="shared" si="9"/>
        <v>0</v>
      </c>
      <c r="S182" s="185"/>
      <c r="T182" s="186"/>
      <c r="U182" s="223"/>
      <c r="V182" s="223"/>
      <c r="W182" s="223"/>
    </row>
    <row r="183" spans="1:23" s="175" customFormat="1" ht="13" customHeight="1">
      <c r="A183" s="207"/>
      <c r="B183" s="164"/>
      <c r="C183" s="167" t="str">
        <f>IFERROR(IF(VLOOKUP($B183,勘定科目!$A:$H,HLOOKUP($E$5,勘定科目!$F$1:$H$2,2,0),0)="","",VLOOKUP($B183,勘定科目!$A:$E,2,0)),"")</f>
        <v/>
      </c>
      <c r="D183" s="216" t="str">
        <f>IF(C183="","",VLOOKUP($B183,勘定科目!$A:$E,4,0))</f>
        <v/>
      </c>
      <c r="E183" s="222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84">
        <f t="shared" si="9"/>
        <v>0</v>
      </c>
      <c r="S183" s="185"/>
      <c r="T183" s="186"/>
      <c r="U183" s="223"/>
      <c r="V183" s="223"/>
      <c r="W183" s="223"/>
    </row>
    <row r="184" spans="1:23" s="175" customFormat="1" ht="13" customHeight="1">
      <c r="A184" s="207"/>
      <c r="B184" s="164"/>
      <c r="C184" s="167" t="str">
        <f>IFERROR(IF(VLOOKUP($B184,勘定科目!$A:$H,HLOOKUP($E$5,勘定科目!$F$1:$H$2,2,0),0)="","",VLOOKUP($B184,勘定科目!$A:$E,2,0)),"")</f>
        <v/>
      </c>
      <c r="D184" s="216" t="str">
        <f>IF(C184="","",VLOOKUP($B184,勘定科目!$A:$E,4,0))</f>
        <v/>
      </c>
      <c r="E184" s="222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84">
        <f t="shared" si="9"/>
        <v>0</v>
      </c>
      <c r="S184" s="185"/>
      <c r="T184" s="186"/>
      <c r="U184" s="223"/>
      <c r="V184" s="223"/>
      <c r="W184" s="223"/>
    </row>
    <row r="185" spans="1:23" s="175" customFormat="1" ht="13" customHeight="1">
      <c r="A185" s="207"/>
      <c r="B185" s="164"/>
      <c r="C185" s="167" t="str">
        <f>IFERROR(IF(VLOOKUP($B185,勘定科目!$A:$H,HLOOKUP($E$5,勘定科目!$F$1:$H$2,2,0),0)="","",VLOOKUP($B185,勘定科目!$A:$E,2,0)),"")</f>
        <v/>
      </c>
      <c r="D185" s="216" t="str">
        <f>IF(C185="","",VLOOKUP($B185,勘定科目!$A:$E,4,0))</f>
        <v/>
      </c>
      <c r="E185" s="222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84">
        <f t="shared" si="9"/>
        <v>0</v>
      </c>
      <c r="S185" s="185"/>
      <c r="T185" s="186"/>
      <c r="U185" s="223"/>
      <c r="V185" s="223"/>
      <c r="W185" s="223"/>
    </row>
    <row r="186" spans="1:23" s="175" customFormat="1" ht="13" customHeight="1">
      <c r="A186" s="207"/>
      <c r="B186" s="164"/>
      <c r="C186" s="167" t="str">
        <f>IFERROR(IF(VLOOKUP($B186,勘定科目!$A:$H,HLOOKUP($E$5,勘定科目!$F$1:$H$2,2,0),0)="","",VLOOKUP($B186,勘定科目!$A:$E,2,0)),"")</f>
        <v/>
      </c>
      <c r="D186" s="216" t="str">
        <f>IF(C186="","",VLOOKUP($B186,勘定科目!$A:$E,4,0))</f>
        <v/>
      </c>
      <c r="E186" s="222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84">
        <f t="shared" si="9"/>
        <v>0</v>
      </c>
      <c r="S186" s="185"/>
      <c r="T186" s="186"/>
      <c r="U186" s="223"/>
      <c r="V186" s="223"/>
      <c r="W186" s="223"/>
    </row>
    <row r="187" spans="1:23" s="175" customFormat="1" ht="13" customHeight="1">
      <c r="A187" s="207"/>
      <c r="B187" s="164"/>
      <c r="C187" s="167" t="str">
        <f>IFERROR(IF(VLOOKUP($B187,勘定科目!$A:$H,HLOOKUP($E$5,勘定科目!$F$1:$H$2,2,0),0)="","",VLOOKUP($B187,勘定科目!$A:$E,2,0)),"")</f>
        <v/>
      </c>
      <c r="D187" s="216" t="str">
        <f>IF(C187="","",VLOOKUP($B187,勘定科目!$A:$E,4,0))</f>
        <v/>
      </c>
      <c r="E187" s="222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84">
        <f t="shared" si="9"/>
        <v>0</v>
      </c>
      <c r="S187" s="185"/>
      <c r="T187" s="186"/>
      <c r="U187" s="223"/>
      <c r="V187" s="223"/>
      <c r="W187" s="223"/>
    </row>
    <row r="188" spans="1:23" s="175" customFormat="1" ht="13" customHeight="1">
      <c r="A188" s="207"/>
      <c r="B188" s="164"/>
      <c r="C188" s="167" t="str">
        <f>IFERROR(IF(VLOOKUP($B188,勘定科目!$A:$H,HLOOKUP($E$5,勘定科目!$F$1:$H$2,2,0),0)="","",VLOOKUP($B188,勘定科目!$A:$E,2,0)),"")</f>
        <v/>
      </c>
      <c r="D188" s="216" t="str">
        <f>IF(C188="","",VLOOKUP($B188,勘定科目!$A:$E,4,0))</f>
        <v/>
      </c>
      <c r="E188" s="222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84">
        <f t="shared" si="9"/>
        <v>0</v>
      </c>
      <c r="S188" s="185"/>
      <c r="T188" s="186"/>
      <c r="U188" s="223"/>
      <c r="V188" s="223"/>
      <c r="W188" s="223"/>
    </row>
    <row r="189" spans="1:23" s="175" customFormat="1" ht="13" customHeight="1">
      <c r="A189" s="207"/>
      <c r="B189" s="164"/>
      <c r="C189" s="167" t="str">
        <f>IFERROR(IF(VLOOKUP($B189,勘定科目!$A:$H,HLOOKUP($E$5,勘定科目!$F$1:$H$2,2,0),0)="","",VLOOKUP($B189,勘定科目!$A:$E,2,0)),"")</f>
        <v/>
      </c>
      <c r="D189" s="216" t="str">
        <f>IF(C189="","",VLOOKUP($B189,勘定科目!$A:$E,4,0))</f>
        <v/>
      </c>
      <c r="E189" s="222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84">
        <f t="shared" si="9"/>
        <v>0</v>
      </c>
      <c r="S189" s="185"/>
      <c r="T189" s="186"/>
      <c r="U189" s="223"/>
      <c r="V189" s="223"/>
      <c r="W189" s="223"/>
    </row>
    <row r="190" spans="1:23" s="175" customFormat="1" ht="13" customHeight="1">
      <c r="A190" s="207"/>
      <c r="B190" s="164"/>
      <c r="C190" s="167" t="str">
        <f>IFERROR(IF(VLOOKUP($B190,勘定科目!$A:$H,HLOOKUP($E$5,勘定科目!$F$1:$H$2,2,0),0)="","",VLOOKUP($B190,勘定科目!$A:$E,2,0)),"")</f>
        <v/>
      </c>
      <c r="D190" s="216" t="str">
        <f>IF(C190="","",VLOOKUP($B190,勘定科目!$A:$E,4,0))</f>
        <v/>
      </c>
      <c r="E190" s="222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84">
        <f t="shared" si="9"/>
        <v>0</v>
      </c>
      <c r="S190" s="185"/>
      <c r="T190" s="186"/>
      <c r="U190" s="223"/>
      <c r="V190" s="223"/>
      <c r="W190" s="223"/>
    </row>
    <row r="191" spans="1:23" s="175" customFormat="1" ht="13" customHeight="1">
      <c r="A191" s="207"/>
      <c r="B191" s="164"/>
      <c r="C191" s="167" t="str">
        <f>IFERROR(IF(VLOOKUP($B191,勘定科目!$A:$H,HLOOKUP($E$5,勘定科目!$F$1:$H$2,2,0),0)="","",VLOOKUP($B191,勘定科目!$A:$E,2,0)),"")</f>
        <v/>
      </c>
      <c r="D191" s="216" t="str">
        <f>IF(C191="","",VLOOKUP($B191,勘定科目!$A:$E,4,0))</f>
        <v/>
      </c>
      <c r="E191" s="222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84">
        <f t="shared" si="9"/>
        <v>0</v>
      </c>
      <c r="S191" s="185"/>
      <c r="T191" s="186"/>
      <c r="U191" s="223"/>
      <c r="V191" s="223"/>
      <c r="W191" s="223"/>
    </row>
    <row r="192" spans="1:23" s="175" customFormat="1" ht="13" customHeight="1">
      <c r="A192" s="207"/>
      <c r="B192" s="164"/>
      <c r="C192" s="167" t="str">
        <f>IFERROR(IF(VLOOKUP($B192,勘定科目!$A:$H,HLOOKUP($E$5,勘定科目!$F$1:$H$2,2,0),0)="","",VLOOKUP($B192,勘定科目!$A:$E,2,0)),"")</f>
        <v/>
      </c>
      <c r="D192" s="216" t="str">
        <f>IF(C192="","",VLOOKUP($B192,勘定科目!$A:$E,4,0))</f>
        <v/>
      </c>
      <c r="E192" s="222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84">
        <f t="shared" si="9"/>
        <v>0</v>
      </c>
      <c r="S192" s="185"/>
      <c r="T192" s="186"/>
      <c r="U192" s="223"/>
      <c r="V192" s="223"/>
      <c r="W192" s="223"/>
    </row>
    <row r="193" spans="1:23" s="175" customFormat="1" ht="13" customHeight="1">
      <c r="A193" s="207"/>
      <c r="B193" s="164"/>
      <c r="C193" s="167" t="str">
        <f>IFERROR(IF(VLOOKUP($B193,勘定科目!$A:$H,HLOOKUP($E$5,勘定科目!$F$1:$H$2,2,0),0)="","",VLOOKUP($B193,勘定科目!$A:$E,2,0)),"")</f>
        <v/>
      </c>
      <c r="D193" s="216" t="str">
        <f>IF(C193="","",VLOOKUP($B193,勘定科目!$A:$E,4,0))</f>
        <v/>
      </c>
      <c r="E193" s="222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84">
        <f t="shared" si="9"/>
        <v>0</v>
      </c>
      <c r="S193" s="185"/>
      <c r="T193" s="186"/>
      <c r="U193" s="223"/>
      <c r="V193" s="223"/>
      <c r="W193" s="223"/>
    </row>
    <row r="194" spans="1:23" s="175" customFormat="1" ht="13" customHeight="1">
      <c r="A194" s="207"/>
      <c r="B194" s="164"/>
      <c r="C194" s="167" t="str">
        <f>IFERROR(IF(VLOOKUP($B194,勘定科目!$A:$H,HLOOKUP($E$5,勘定科目!$F$1:$H$2,2,0),0)="","",VLOOKUP($B194,勘定科目!$A:$E,2,0)),"")</f>
        <v/>
      </c>
      <c r="D194" s="216" t="str">
        <f>IF(C194="","",VLOOKUP($B194,勘定科目!$A:$E,4,0))</f>
        <v/>
      </c>
      <c r="E194" s="222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84">
        <f t="shared" si="9"/>
        <v>0</v>
      </c>
      <c r="S194" s="185"/>
      <c r="T194" s="186"/>
      <c r="U194" s="223"/>
      <c r="V194" s="223"/>
      <c r="W194" s="223"/>
    </row>
    <row r="195" spans="1:23" s="175" customFormat="1" ht="13" customHeight="1">
      <c r="A195" s="207"/>
      <c r="B195" s="164"/>
      <c r="C195" s="167" t="str">
        <f>IFERROR(IF(VLOOKUP($B195,勘定科目!$A:$H,HLOOKUP($E$5,勘定科目!$F$1:$H$2,2,0),0)="","",VLOOKUP($B195,勘定科目!$A:$E,2,0)),"")</f>
        <v/>
      </c>
      <c r="D195" s="216" t="str">
        <f>IF(C195="","",VLOOKUP($B195,勘定科目!$A:$E,4,0))</f>
        <v/>
      </c>
      <c r="E195" s="222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84">
        <f t="shared" si="9"/>
        <v>0</v>
      </c>
      <c r="S195" s="185"/>
      <c r="T195" s="186"/>
      <c r="U195" s="223"/>
      <c r="V195" s="223"/>
      <c r="W195" s="223"/>
    </row>
    <row r="196" spans="1:23" s="175" customFormat="1" ht="13" customHeight="1">
      <c r="A196" s="207"/>
      <c r="B196" s="164"/>
      <c r="C196" s="167" t="str">
        <f>IFERROR(IF(VLOOKUP($B196,勘定科目!$A:$H,HLOOKUP($E$5,勘定科目!$F$1:$H$2,2,0),0)="","",VLOOKUP($B196,勘定科目!$A:$E,2,0)),"")</f>
        <v/>
      </c>
      <c r="D196" s="216" t="str">
        <f>IF(C196="","",VLOOKUP($B196,勘定科目!$A:$E,4,0))</f>
        <v/>
      </c>
      <c r="E196" s="222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84">
        <f t="shared" si="9"/>
        <v>0</v>
      </c>
      <c r="S196" s="185"/>
      <c r="T196" s="186"/>
      <c r="U196" s="223"/>
      <c r="V196" s="223"/>
      <c r="W196" s="223"/>
    </row>
    <row r="197" spans="1:23" s="175" customFormat="1" ht="13" customHeight="1">
      <c r="A197" s="207"/>
      <c r="B197" s="164"/>
      <c r="C197" s="167" t="str">
        <f>IFERROR(IF(VLOOKUP($B197,勘定科目!$A:$H,HLOOKUP($E$5,勘定科目!$F$1:$H$2,2,0),0)="","",VLOOKUP($B197,勘定科目!$A:$E,2,0)),"")</f>
        <v/>
      </c>
      <c r="D197" s="216" t="str">
        <f>IF(C197="","",VLOOKUP($B197,勘定科目!$A:$E,4,0))</f>
        <v/>
      </c>
      <c r="E197" s="222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84">
        <f t="shared" si="9"/>
        <v>0</v>
      </c>
      <c r="S197" s="185"/>
      <c r="T197" s="186"/>
      <c r="U197" s="223"/>
      <c r="V197" s="223"/>
      <c r="W197" s="223"/>
    </row>
    <row r="198" spans="1:23" s="175" customFormat="1" ht="13" customHeight="1">
      <c r="A198" s="207"/>
      <c r="B198" s="164"/>
      <c r="C198" s="167" t="str">
        <f>IFERROR(IF(VLOOKUP($B198,勘定科目!$A:$H,HLOOKUP($E$5,勘定科目!$F$1:$H$2,2,0),0)="","",VLOOKUP($B198,勘定科目!$A:$E,2,0)),"")</f>
        <v/>
      </c>
      <c r="D198" s="216" t="str">
        <f>IF(C198="","",VLOOKUP($B198,勘定科目!$A:$E,4,0))</f>
        <v/>
      </c>
      <c r="E198" s="222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84">
        <f t="shared" si="9"/>
        <v>0</v>
      </c>
      <c r="S198" s="185"/>
      <c r="T198" s="186"/>
      <c r="U198" s="223"/>
      <c r="V198" s="223"/>
      <c r="W198" s="223"/>
    </row>
    <row r="199" spans="1:23" s="175" customFormat="1" ht="13" customHeight="1">
      <c r="A199" s="207"/>
      <c r="B199" s="164"/>
      <c r="C199" s="167" t="str">
        <f>IFERROR(IF(VLOOKUP($B199,勘定科目!$A:$H,HLOOKUP($E$5,勘定科目!$F$1:$H$2,2,0),0)="","",VLOOKUP($B199,勘定科目!$A:$E,2,0)),"")</f>
        <v/>
      </c>
      <c r="D199" s="216" t="str">
        <f>IF(C199="","",VLOOKUP($B199,勘定科目!$A:$E,4,0))</f>
        <v/>
      </c>
      <c r="E199" s="222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84">
        <f t="shared" si="9"/>
        <v>0</v>
      </c>
      <c r="S199" s="185"/>
      <c r="T199" s="186"/>
      <c r="U199" s="223"/>
      <c r="V199" s="223"/>
      <c r="W199" s="223"/>
    </row>
    <row r="200" spans="1:23" s="175" customFormat="1" ht="13" customHeight="1">
      <c r="A200" s="207"/>
      <c r="B200" s="164"/>
      <c r="C200" s="167" t="str">
        <f>IFERROR(IF(VLOOKUP($B200,勘定科目!$A:$H,HLOOKUP($E$5,勘定科目!$F$1:$H$2,2,0),0)="","",VLOOKUP($B200,勘定科目!$A:$E,2,0)),"")</f>
        <v/>
      </c>
      <c r="D200" s="216" t="str">
        <f>IF(C200="","",VLOOKUP($B200,勘定科目!$A:$E,4,0))</f>
        <v/>
      </c>
      <c r="E200" s="222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84">
        <f t="shared" si="9"/>
        <v>0</v>
      </c>
      <c r="S200" s="185"/>
      <c r="T200" s="186"/>
      <c r="U200" s="223"/>
      <c r="V200" s="223"/>
      <c r="W200" s="223"/>
    </row>
    <row r="201" spans="1:23" s="175" customFormat="1" ht="13" customHeight="1">
      <c r="A201" s="207"/>
      <c r="B201" s="164"/>
      <c r="C201" s="167" t="str">
        <f>IFERROR(IF(VLOOKUP($B201,勘定科目!$A:$H,HLOOKUP($E$5,勘定科目!$F$1:$H$2,2,0),0)="","",VLOOKUP($B201,勘定科目!$A:$E,2,0)),"")</f>
        <v/>
      </c>
      <c r="D201" s="216" t="str">
        <f>IF(C201="","",VLOOKUP($B201,勘定科目!$A:$E,4,0))</f>
        <v/>
      </c>
      <c r="E201" s="222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84">
        <f t="shared" si="9"/>
        <v>0</v>
      </c>
      <c r="S201" s="185"/>
      <c r="T201" s="186"/>
      <c r="U201" s="223"/>
      <c r="V201" s="223"/>
      <c r="W201" s="223"/>
    </row>
    <row r="202" spans="1:23" s="175" customFormat="1" ht="13" customHeight="1">
      <c r="A202" s="207"/>
      <c r="B202" s="164"/>
      <c r="C202" s="167" t="str">
        <f>IFERROR(IF(VLOOKUP($B202,勘定科目!$A:$H,HLOOKUP($E$5,勘定科目!$F$1:$H$2,2,0),0)="","",VLOOKUP($B202,勘定科目!$A:$E,2,0)),"")</f>
        <v/>
      </c>
      <c r="D202" s="216" t="str">
        <f>IF(C202="","",VLOOKUP($B202,勘定科目!$A:$E,4,0))</f>
        <v/>
      </c>
      <c r="E202" s="222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84">
        <f t="shared" si="9"/>
        <v>0</v>
      </c>
      <c r="S202" s="185"/>
      <c r="T202" s="186"/>
      <c r="U202" s="223"/>
      <c r="V202" s="223"/>
      <c r="W202" s="223"/>
    </row>
    <row r="203" spans="1:23" s="175" customFormat="1" ht="13" customHeight="1">
      <c r="A203" s="207"/>
      <c r="B203" s="164"/>
      <c r="C203" s="167" t="str">
        <f>IFERROR(IF(VLOOKUP($B203,勘定科目!$A:$H,HLOOKUP($E$5,勘定科目!$F$1:$H$2,2,0),0)="","",VLOOKUP($B203,勘定科目!$A:$E,2,0)),"")</f>
        <v/>
      </c>
      <c r="D203" s="216" t="str">
        <f>IF(C203="","",VLOOKUP($B203,勘定科目!$A:$E,4,0))</f>
        <v/>
      </c>
      <c r="E203" s="222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84">
        <f t="shared" si="9"/>
        <v>0</v>
      </c>
      <c r="S203" s="185"/>
      <c r="T203" s="186"/>
      <c r="U203" s="223"/>
      <c r="V203" s="223"/>
      <c r="W203" s="223"/>
    </row>
    <row r="204" spans="1:23" s="175" customFormat="1" ht="13" customHeight="1">
      <c r="A204" s="207"/>
      <c r="B204" s="164"/>
      <c r="C204" s="167" t="str">
        <f>IFERROR(IF(VLOOKUP($B204,勘定科目!$A:$H,HLOOKUP($E$5,勘定科目!$F$1:$H$2,2,0),0)="","",VLOOKUP($B204,勘定科目!$A:$E,2,0)),"")</f>
        <v/>
      </c>
      <c r="D204" s="216" t="str">
        <f>IF(C204="","",VLOOKUP($B204,勘定科目!$A:$E,4,0))</f>
        <v/>
      </c>
      <c r="E204" s="222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84">
        <f t="shared" si="9"/>
        <v>0</v>
      </c>
      <c r="S204" s="185"/>
      <c r="T204" s="186"/>
      <c r="U204" s="223"/>
      <c r="V204" s="223"/>
      <c r="W204" s="223"/>
    </row>
    <row r="205" spans="1:23" s="175" customFormat="1" ht="13" customHeight="1">
      <c r="A205" s="207"/>
      <c r="B205" s="164"/>
      <c r="C205" s="167" t="str">
        <f>IFERROR(IF(VLOOKUP($B205,勘定科目!$A:$H,HLOOKUP($E$5,勘定科目!$F$1:$H$2,2,0),0)="","",VLOOKUP($B205,勘定科目!$A:$E,2,0)),"")</f>
        <v/>
      </c>
      <c r="D205" s="216" t="str">
        <f>IF(C205="","",VLOOKUP($B205,勘定科目!$A:$E,4,0))</f>
        <v/>
      </c>
      <c r="E205" s="222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84">
        <f t="shared" si="9"/>
        <v>0</v>
      </c>
      <c r="S205" s="185"/>
      <c r="T205" s="186"/>
      <c r="U205" s="223"/>
      <c r="V205" s="223"/>
      <c r="W205" s="223"/>
    </row>
    <row r="206" spans="1:23" s="175" customFormat="1" ht="13" customHeight="1">
      <c r="A206" s="207"/>
      <c r="B206" s="164"/>
      <c r="C206" s="167" t="str">
        <f>IFERROR(IF(VLOOKUP($B206,勘定科目!$A:$H,HLOOKUP($E$5,勘定科目!$F$1:$H$2,2,0),0)="","",VLOOKUP($B206,勘定科目!$A:$E,2,0)),"")</f>
        <v/>
      </c>
      <c r="D206" s="216" t="str">
        <f>IF(C206="","",VLOOKUP($B206,勘定科目!$A:$E,4,0))</f>
        <v/>
      </c>
      <c r="E206" s="222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84">
        <f t="shared" si="9"/>
        <v>0</v>
      </c>
      <c r="S206" s="185"/>
      <c r="T206" s="186"/>
      <c r="U206" s="223"/>
      <c r="V206" s="223"/>
      <c r="W206" s="223"/>
    </row>
    <row r="207" spans="1:23" s="175" customFormat="1" ht="13" customHeight="1">
      <c r="A207" s="207"/>
      <c r="B207" s="164"/>
      <c r="C207" s="167" t="str">
        <f>IFERROR(IF(VLOOKUP($B207,勘定科目!$A:$H,HLOOKUP($E$5,勘定科目!$F$1:$H$2,2,0),0)="","",VLOOKUP($B207,勘定科目!$A:$E,2,0)),"")</f>
        <v/>
      </c>
      <c r="D207" s="216" t="str">
        <f>IF(C207="","",VLOOKUP($B207,勘定科目!$A:$E,4,0))</f>
        <v/>
      </c>
      <c r="E207" s="222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84">
        <f t="shared" si="9"/>
        <v>0</v>
      </c>
      <c r="S207" s="185"/>
      <c r="T207" s="186"/>
      <c r="U207" s="223"/>
      <c r="V207" s="223"/>
      <c r="W207" s="223"/>
    </row>
    <row r="208" spans="1:23" s="175" customFormat="1" ht="13" customHeight="1">
      <c r="A208" s="207"/>
      <c r="B208" s="164"/>
      <c r="C208" s="167" t="str">
        <f>IFERROR(IF(VLOOKUP($B208,勘定科目!$A:$H,HLOOKUP($E$5,勘定科目!$F$1:$H$2,2,0),0)="","",VLOOKUP($B208,勘定科目!$A:$E,2,0)),"")</f>
        <v/>
      </c>
      <c r="D208" s="216" t="str">
        <f>IF(C208="","",VLOOKUP($B208,勘定科目!$A:$E,4,0))</f>
        <v/>
      </c>
      <c r="E208" s="222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84">
        <f t="shared" si="9"/>
        <v>0</v>
      </c>
      <c r="S208" s="185"/>
      <c r="T208" s="186"/>
      <c r="U208" s="223"/>
      <c r="V208" s="223"/>
      <c r="W208" s="223"/>
    </row>
    <row r="209" spans="1:23" s="175" customFormat="1" ht="13" customHeight="1">
      <c r="A209" s="207"/>
      <c r="B209" s="164"/>
      <c r="C209" s="167" t="str">
        <f>IFERROR(IF(VLOOKUP($B209,勘定科目!$A:$H,HLOOKUP($E$5,勘定科目!$F$1:$H$2,2,0),0)="","",VLOOKUP($B209,勘定科目!$A:$E,2,0)),"")</f>
        <v/>
      </c>
      <c r="D209" s="216" t="str">
        <f>IF(C209="","",VLOOKUP($B209,勘定科目!$A:$E,4,0))</f>
        <v/>
      </c>
      <c r="E209" s="222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84">
        <f t="shared" si="9"/>
        <v>0</v>
      </c>
      <c r="S209" s="185"/>
      <c r="T209" s="186"/>
      <c r="U209" s="223"/>
      <c r="V209" s="223"/>
      <c r="W209" s="223"/>
    </row>
    <row r="210" spans="1:23" s="175" customFormat="1" ht="13" customHeight="1">
      <c r="A210" s="207"/>
      <c r="B210" s="164"/>
      <c r="C210" s="167" t="str">
        <f>IFERROR(IF(VLOOKUP($B210,勘定科目!$A:$H,HLOOKUP($E$5,勘定科目!$F$1:$H$2,2,0),0)="","",VLOOKUP($B210,勘定科目!$A:$E,2,0)),"")</f>
        <v/>
      </c>
      <c r="D210" s="216" t="str">
        <f>IF(C210="","",VLOOKUP($B210,勘定科目!$A:$E,4,0))</f>
        <v/>
      </c>
      <c r="E210" s="222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84">
        <f t="shared" si="9"/>
        <v>0</v>
      </c>
      <c r="S210" s="185"/>
      <c r="T210" s="186"/>
      <c r="U210" s="223"/>
      <c r="V210" s="223"/>
      <c r="W210" s="223"/>
    </row>
    <row r="211" spans="1:23" s="175" customFormat="1" ht="13" customHeight="1">
      <c r="A211" s="207"/>
      <c r="B211" s="164"/>
      <c r="C211" s="167" t="str">
        <f>IFERROR(IF(VLOOKUP($B211,勘定科目!$A:$H,HLOOKUP($E$5,勘定科目!$F$1:$H$2,2,0),0)="","",VLOOKUP($B211,勘定科目!$A:$E,2,0)),"")</f>
        <v/>
      </c>
      <c r="D211" s="216" t="str">
        <f>IF(C211="","",VLOOKUP($B211,勘定科目!$A:$E,4,0))</f>
        <v/>
      </c>
      <c r="E211" s="222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84">
        <f t="shared" si="9"/>
        <v>0</v>
      </c>
      <c r="S211" s="185"/>
      <c r="T211" s="186"/>
      <c r="U211" s="223"/>
      <c r="V211" s="223"/>
      <c r="W211" s="223"/>
    </row>
    <row r="212" spans="1:23" s="175" customFormat="1" ht="13" customHeight="1">
      <c r="A212" s="207"/>
      <c r="B212" s="164"/>
      <c r="C212" s="167" t="str">
        <f>IFERROR(IF(VLOOKUP($B212,勘定科目!$A:$H,HLOOKUP($E$5,勘定科目!$F$1:$H$2,2,0),0)="","",VLOOKUP($B212,勘定科目!$A:$E,2,0)),"")</f>
        <v/>
      </c>
      <c r="D212" s="216" t="str">
        <f>IF(C212="","",VLOOKUP($B212,勘定科目!$A:$E,4,0))</f>
        <v/>
      </c>
      <c r="E212" s="222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84">
        <f t="shared" si="9"/>
        <v>0</v>
      </c>
      <c r="S212" s="185"/>
      <c r="T212" s="186"/>
      <c r="U212" s="223"/>
      <c r="V212" s="223"/>
      <c r="W212" s="223"/>
    </row>
    <row r="213" spans="1:23" s="175" customFormat="1" ht="13" customHeight="1">
      <c r="A213" s="207"/>
      <c r="B213" s="164"/>
      <c r="C213" s="167" t="str">
        <f>IFERROR(IF(VLOOKUP($B213,勘定科目!$A:$H,HLOOKUP($E$5,勘定科目!$F$1:$H$2,2,0),0)="","",VLOOKUP($B213,勘定科目!$A:$E,2,0)),"")</f>
        <v/>
      </c>
      <c r="D213" s="216" t="str">
        <f>IF(C213="","",VLOOKUP($B213,勘定科目!$A:$E,4,0))</f>
        <v/>
      </c>
      <c r="E213" s="222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84">
        <f t="shared" si="9"/>
        <v>0</v>
      </c>
      <c r="S213" s="185"/>
      <c r="T213" s="186"/>
      <c r="U213" s="223"/>
      <c r="V213" s="223"/>
      <c r="W213" s="223"/>
    </row>
    <row r="214" spans="1:23" s="175" customFormat="1" ht="13" customHeight="1">
      <c r="A214" s="207"/>
      <c r="B214" s="164"/>
      <c r="C214" s="167" t="str">
        <f>IFERROR(IF(VLOOKUP($B214,勘定科目!$A:$H,HLOOKUP($E$5,勘定科目!$F$1:$H$2,2,0),0)="","",VLOOKUP($B214,勘定科目!$A:$E,2,0)),"")</f>
        <v/>
      </c>
      <c r="D214" s="216" t="str">
        <f>IF(C214="","",VLOOKUP($B214,勘定科目!$A:$E,4,0))</f>
        <v/>
      </c>
      <c r="E214" s="222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84">
        <f t="shared" si="9"/>
        <v>0</v>
      </c>
      <c r="S214" s="185"/>
      <c r="T214" s="186"/>
      <c r="U214" s="223"/>
      <c r="V214" s="223"/>
      <c r="W214" s="223"/>
    </row>
    <row r="215" spans="1:23" s="175" customFormat="1" ht="13" customHeight="1">
      <c r="A215" s="207"/>
      <c r="B215" s="164"/>
      <c r="C215" s="167" t="str">
        <f>IFERROR(IF(VLOOKUP($B215,勘定科目!$A:$H,HLOOKUP($E$5,勘定科目!$F$1:$H$2,2,0),0)="","",VLOOKUP($B215,勘定科目!$A:$E,2,0)),"")</f>
        <v/>
      </c>
      <c r="D215" s="216" t="str">
        <f>IF(C215="","",VLOOKUP($B215,勘定科目!$A:$E,4,0))</f>
        <v/>
      </c>
      <c r="E215" s="222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84">
        <f t="shared" si="9"/>
        <v>0</v>
      </c>
      <c r="S215" s="185"/>
      <c r="T215" s="186"/>
      <c r="U215" s="223"/>
      <c r="V215" s="223"/>
      <c r="W215" s="223"/>
    </row>
    <row r="216" spans="1:23" s="175" customFormat="1" ht="13" customHeight="1">
      <c r="A216" s="207"/>
      <c r="B216" s="164"/>
      <c r="C216" s="167" t="str">
        <f>IFERROR(IF(VLOOKUP($B216,勘定科目!$A:$H,HLOOKUP($E$5,勘定科目!$F$1:$H$2,2,0),0)="","",VLOOKUP($B216,勘定科目!$A:$E,2,0)),"")</f>
        <v/>
      </c>
      <c r="D216" s="216" t="str">
        <f>IF(C216="","",VLOOKUP($B216,勘定科目!$A:$E,4,0))</f>
        <v/>
      </c>
      <c r="E216" s="222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84">
        <f t="shared" si="9"/>
        <v>0</v>
      </c>
      <c r="S216" s="185"/>
      <c r="T216" s="186"/>
      <c r="U216" s="223"/>
      <c r="V216" s="223"/>
      <c r="W216" s="223"/>
    </row>
    <row r="217" spans="1:23" s="175" customFormat="1" ht="13" customHeight="1">
      <c r="A217" s="207"/>
      <c r="B217" s="164"/>
      <c r="C217" s="167" t="str">
        <f>IFERROR(IF(VLOOKUP($B217,勘定科目!$A:$H,HLOOKUP($E$5,勘定科目!$F$1:$H$2,2,0),0)="","",VLOOKUP($B217,勘定科目!$A:$E,2,0)),"")</f>
        <v/>
      </c>
      <c r="D217" s="216" t="str">
        <f>IF(C217="","",VLOOKUP($B217,勘定科目!$A:$E,4,0))</f>
        <v/>
      </c>
      <c r="E217" s="222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84">
        <f t="shared" si="9"/>
        <v>0</v>
      </c>
      <c r="S217" s="185"/>
      <c r="T217" s="186"/>
      <c r="U217" s="223"/>
      <c r="V217" s="223"/>
      <c r="W217" s="223"/>
    </row>
    <row r="218" spans="1:23" s="175" customFormat="1" ht="13" customHeight="1">
      <c r="A218" s="207"/>
      <c r="B218" s="164"/>
      <c r="C218" s="167" t="str">
        <f>IFERROR(IF(VLOOKUP($B218,勘定科目!$A:$H,HLOOKUP($E$5,勘定科目!$F$1:$H$2,2,0),0)="","",VLOOKUP($B218,勘定科目!$A:$E,2,0)),"")</f>
        <v/>
      </c>
      <c r="D218" s="216" t="str">
        <f>IF(C218="","",VLOOKUP($B218,勘定科目!$A:$E,4,0))</f>
        <v/>
      </c>
      <c r="E218" s="222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84">
        <f t="shared" ref="R218:R281" si="10">SUM(F218:Q218)</f>
        <v>0</v>
      </c>
      <c r="S218" s="185"/>
      <c r="T218" s="186"/>
      <c r="U218" s="223"/>
      <c r="V218" s="223"/>
      <c r="W218" s="223"/>
    </row>
    <row r="219" spans="1:23" s="175" customFormat="1" ht="13" customHeight="1">
      <c r="A219" s="207"/>
      <c r="B219" s="164"/>
      <c r="C219" s="167" t="str">
        <f>IFERROR(IF(VLOOKUP($B219,勘定科目!$A:$H,HLOOKUP($E$5,勘定科目!$F$1:$H$2,2,0),0)="","",VLOOKUP($B219,勘定科目!$A:$E,2,0)),"")</f>
        <v/>
      </c>
      <c r="D219" s="216" t="str">
        <f>IF(C219="","",VLOOKUP($B219,勘定科目!$A:$E,4,0))</f>
        <v/>
      </c>
      <c r="E219" s="222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84">
        <f t="shared" si="10"/>
        <v>0</v>
      </c>
      <c r="S219" s="185"/>
      <c r="T219" s="186"/>
      <c r="U219" s="223"/>
      <c r="V219" s="223"/>
      <c r="W219" s="223"/>
    </row>
    <row r="220" spans="1:23" s="175" customFormat="1" ht="13" customHeight="1">
      <c r="A220" s="207"/>
      <c r="B220" s="164"/>
      <c r="C220" s="167" t="str">
        <f>IFERROR(IF(VLOOKUP($B220,勘定科目!$A:$H,HLOOKUP($E$5,勘定科目!$F$1:$H$2,2,0),0)="","",VLOOKUP($B220,勘定科目!$A:$E,2,0)),"")</f>
        <v/>
      </c>
      <c r="D220" s="216" t="str">
        <f>IF(C220="","",VLOOKUP($B220,勘定科目!$A:$E,4,0))</f>
        <v/>
      </c>
      <c r="E220" s="222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84">
        <f t="shared" si="10"/>
        <v>0</v>
      </c>
      <c r="S220" s="185"/>
      <c r="T220" s="186"/>
      <c r="U220" s="223"/>
      <c r="V220" s="223"/>
      <c r="W220" s="223"/>
    </row>
    <row r="221" spans="1:23" s="175" customFormat="1" ht="13" customHeight="1">
      <c r="A221" s="207"/>
      <c r="B221" s="164"/>
      <c r="C221" s="167" t="str">
        <f>IFERROR(IF(VLOOKUP($B221,勘定科目!$A:$H,HLOOKUP($E$5,勘定科目!$F$1:$H$2,2,0),0)="","",VLOOKUP($B221,勘定科目!$A:$E,2,0)),"")</f>
        <v/>
      </c>
      <c r="D221" s="216" t="str">
        <f>IF(C221="","",VLOOKUP($B221,勘定科目!$A:$E,4,0))</f>
        <v/>
      </c>
      <c r="E221" s="222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84">
        <f t="shared" si="10"/>
        <v>0</v>
      </c>
      <c r="S221" s="185"/>
      <c r="T221" s="186"/>
      <c r="U221" s="223"/>
      <c r="V221" s="223"/>
      <c r="W221" s="223"/>
    </row>
    <row r="222" spans="1:23" s="175" customFormat="1" ht="13" customHeight="1">
      <c r="A222" s="207"/>
      <c r="B222" s="164"/>
      <c r="C222" s="167" t="str">
        <f>IFERROR(IF(VLOOKUP($B222,勘定科目!$A:$H,HLOOKUP($E$5,勘定科目!$F$1:$H$2,2,0),0)="","",VLOOKUP($B222,勘定科目!$A:$E,2,0)),"")</f>
        <v/>
      </c>
      <c r="D222" s="216" t="str">
        <f>IF(C222="","",VLOOKUP($B222,勘定科目!$A:$E,4,0))</f>
        <v/>
      </c>
      <c r="E222" s="222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84">
        <f t="shared" si="10"/>
        <v>0</v>
      </c>
      <c r="S222" s="185"/>
      <c r="T222" s="186"/>
      <c r="U222" s="223"/>
      <c r="V222" s="223"/>
      <c r="W222" s="223"/>
    </row>
    <row r="223" spans="1:23" s="175" customFormat="1" ht="13" customHeight="1">
      <c r="A223" s="207"/>
      <c r="B223" s="164"/>
      <c r="C223" s="167" t="str">
        <f>IFERROR(IF(VLOOKUP($B223,勘定科目!$A:$H,HLOOKUP($E$5,勘定科目!$F$1:$H$2,2,0),0)="","",VLOOKUP($B223,勘定科目!$A:$E,2,0)),"")</f>
        <v/>
      </c>
      <c r="D223" s="216" t="str">
        <f>IF(C223="","",VLOOKUP($B223,勘定科目!$A:$E,4,0))</f>
        <v/>
      </c>
      <c r="E223" s="222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84">
        <f t="shared" si="10"/>
        <v>0</v>
      </c>
      <c r="S223" s="185"/>
      <c r="T223" s="186"/>
      <c r="U223" s="223"/>
      <c r="V223" s="223"/>
      <c r="W223" s="223"/>
    </row>
    <row r="224" spans="1:23" s="175" customFormat="1" ht="13" customHeight="1">
      <c r="A224" s="207"/>
      <c r="B224" s="164"/>
      <c r="C224" s="167" t="str">
        <f>IFERROR(IF(VLOOKUP($B224,勘定科目!$A:$H,HLOOKUP($E$5,勘定科目!$F$1:$H$2,2,0),0)="","",VLOOKUP($B224,勘定科目!$A:$E,2,0)),"")</f>
        <v/>
      </c>
      <c r="D224" s="216" t="str">
        <f>IF(C224="","",VLOOKUP($B224,勘定科目!$A:$E,4,0))</f>
        <v/>
      </c>
      <c r="E224" s="222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84">
        <f t="shared" si="10"/>
        <v>0</v>
      </c>
      <c r="S224" s="185"/>
      <c r="T224" s="186"/>
      <c r="U224" s="223"/>
      <c r="V224" s="223"/>
      <c r="W224" s="223"/>
    </row>
    <row r="225" spans="1:23" s="175" customFormat="1" ht="13" customHeight="1">
      <c r="A225" s="207"/>
      <c r="B225" s="164"/>
      <c r="C225" s="167" t="str">
        <f>IFERROR(IF(VLOOKUP($B225,勘定科目!$A:$H,HLOOKUP($E$5,勘定科目!$F$1:$H$2,2,0),0)="","",VLOOKUP($B225,勘定科目!$A:$E,2,0)),"")</f>
        <v/>
      </c>
      <c r="D225" s="216" t="str">
        <f>IF(C225="","",VLOOKUP($B225,勘定科目!$A:$E,4,0))</f>
        <v/>
      </c>
      <c r="E225" s="222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84">
        <f t="shared" si="10"/>
        <v>0</v>
      </c>
      <c r="S225" s="185"/>
      <c r="T225" s="186"/>
      <c r="U225" s="223"/>
      <c r="V225" s="223"/>
      <c r="W225" s="223"/>
    </row>
    <row r="226" spans="1:23" s="175" customFormat="1" ht="13" customHeight="1">
      <c r="A226" s="207"/>
      <c r="B226" s="164"/>
      <c r="C226" s="167" t="str">
        <f>IFERROR(IF(VLOOKUP($B226,勘定科目!$A:$H,HLOOKUP($E$5,勘定科目!$F$1:$H$2,2,0),0)="","",VLOOKUP($B226,勘定科目!$A:$E,2,0)),"")</f>
        <v/>
      </c>
      <c r="D226" s="216" t="str">
        <f>IF(C226="","",VLOOKUP($B226,勘定科目!$A:$E,4,0))</f>
        <v/>
      </c>
      <c r="E226" s="222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84">
        <f t="shared" si="10"/>
        <v>0</v>
      </c>
      <c r="S226" s="185"/>
      <c r="T226" s="186"/>
      <c r="U226" s="223"/>
      <c r="V226" s="223"/>
      <c r="W226" s="223"/>
    </row>
    <row r="227" spans="1:23" s="175" customFormat="1" ht="13" customHeight="1">
      <c r="A227" s="207"/>
      <c r="B227" s="164"/>
      <c r="C227" s="167" t="str">
        <f>IFERROR(IF(VLOOKUP($B227,勘定科目!$A:$H,HLOOKUP($E$5,勘定科目!$F$1:$H$2,2,0),0)="","",VLOOKUP($B227,勘定科目!$A:$E,2,0)),"")</f>
        <v/>
      </c>
      <c r="D227" s="216" t="str">
        <f>IF(C227="","",VLOOKUP($B227,勘定科目!$A:$E,4,0))</f>
        <v/>
      </c>
      <c r="E227" s="222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84">
        <f t="shared" si="10"/>
        <v>0</v>
      </c>
      <c r="S227" s="185"/>
      <c r="T227" s="186"/>
      <c r="U227" s="223"/>
      <c r="V227" s="223"/>
      <c r="W227" s="223"/>
    </row>
    <row r="228" spans="1:23" s="175" customFormat="1" ht="13" customHeight="1">
      <c r="A228" s="207"/>
      <c r="B228" s="164"/>
      <c r="C228" s="167" t="str">
        <f>IFERROR(IF(VLOOKUP($B228,勘定科目!$A:$H,HLOOKUP($E$5,勘定科目!$F$1:$H$2,2,0),0)="","",VLOOKUP($B228,勘定科目!$A:$E,2,0)),"")</f>
        <v/>
      </c>
      <c r="D228" s="216" t="str">
        <f>IF(C228="","",VLOOKUP($B228,勘定科目!$A:$E,4,0))</f>
        <v/>
      </c>
      <c r="E228" s="222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84">
        <f t="shared" si="10"/>
        <v>0</v>
      </c>
      <c r="S228" s="185"/>
      <c r="T228" s="186"/>
      <c r="U228" s="223"/>
      <c r="V228" s="223"/>
      <c r="W228" s="223"/>
    </row>
    <row r="229" spans="1:23" s="175" customFormat="1" ht="13" customHeight="1">
      <c r="A229" s="207"/>
      <c r="B229" s="164"/>
      <c r="C229" s="167" t="str">
        <f>IFERROR(IF(VLOOKUP($B229,勘定科目!$A:$H,HLOOKUP($E$5,勘定科目!$F$1:$H$2,2,0),0)="","",VLOOKUP($B229,勘定科目!$A:$E,2,0)),"")</f>
        <v/>
      </c>
      <c r="D229" s="216" t="str">
        <f>IF(C229="","",VLOOKUP($B229,勘定科目!$A:$E,4,0))</f>
        <v/>
      </c>
      <c r="E229" s="222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84">
        <f t="shared" si="10"/>
        <v>0</v>
      </c>
      <c r="S229" s="185"/>
      <c r="T229" s="186"/>
      <c r="U229" s="223"/>
      <c r="V229" s="223"/>
      <c r="W229" s="223"/>
    </row>
    <row r="230" spans="1:23" s="175" customFormat="1" ht="13" customHeight="1">
      <c r="A230" s="207"/>
      <c r="B230" s="164"/>
      <c r="C230" s="167" t="str">
        <f>IFERROR(IF(VLOOKUP($B230,勘定科目!$A:$H,HLOOKUP($E$5,勘定科目!$F$1:$H$2,2,0),0)="","",VLOOKUP($B230,勘定科目!$A:$E,2,0)),"")</f>
        <v/>
      </c>
      <c r="D230" s="216" t="str">
        <f>IF(C230="","",VLOOKUP($B230,勘定科目!$A:$E,4,0))</f>
        <v/>
      </c>
      <c r="E230" s="222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84">
        <f t="shared" si="10"/>
        <v>0</v>
      </c>
      <c r="S230" s="185"/>
      <c r="T230" s="186"/>
      <c r="U230" s="223"/>
      <c r="V230" s="223"/>
      <c r="W230" s="223"/>
    </row>
    <row r="231" spans="1:23" s="175" customFormat="1" ht="13" customHeight="1">
      <c r="A231" s="207"/>
      <c r="B231" s="164"/>
      <c r="C231" s="167" t="str">
        <f>IFERROR(IF(VLOOKUP($B231,勘定科目!$A:$H,HLOOKUP($E$5,勘定科目!$F$1:$H$2,2,0),0)="","",VLOOKUP($B231,勘定科目!$A:$E,2,0)),"")</f>
        <v/>
      </c>
      <c r="D231" s="216" t="str">
        <f>IF(C231="","",VLOOKUP($B231,勘定科目!$A:$E,4,0))</f>
        <v/>
      </c>
      <c r="E231" s="222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84">
        <f t="shared" si="10"/>
        <v>0</v>
      </c>
      <c r="S231" s="185"/>
      <c r="T231" s="186"/>
      <c r="U231" s="223"/>
      <c r="V231" s="223"/>
      <c r="W231" s="223"/>
    </row>
    <row r="232" spans="1:23" s="175" customFormat="1" ht="13" customHeight="1">
      <c r="A232" s="207"/>
      <c r="B232" s="164"/>
      <c r="C232" s="167" t="str">
        <f>IFERROR(IF(VLOOKUP($B232,勘定科目!$A:$H,HLOOKUP($E$5,勘定科目!$F$1:$H$2,2,0),0)="","",VLOOKUP($B232,勘定科目!$A:$E,2,0)),"")</f>
        <v/>
      </c>
      <c r="D232" s="216" t="str">
        <f>IF(C232="","",VLOOKUP($B232,勘定科目!$A:$E,4,0))</f>
        <v/>
      </c>
      <c r="E232" s="222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84">
        <f t="shared" si="10"/>
        <v>0</v>
      </c>
      <c r="S232" s="185"/>
      <c r="T232" s="186"/>
      <c r="U232" s="223"/>
      <c r="V232" s="223"/>
      <c r="W232" s="223"/>
    </row>
    <row r="233" spans="1:23" s="175" customFormat="1" ht="13" customHeight="1">
      <c r="A233" s="207"/>
      <c r="B233" s="164"/>
      <c r="C233" s="167" t="str">
        <f>IFERROR(IF(VLOOKUP($B233,勘定科目!$A:$H,HLOOKUP($E$5,勘定科目!$F$1:$H$2,2,0),0)="","",VLOOKUP($B233,勘定科目!$A:$E,2,0)),"")</f>
        <v/>
      </c>
      <c r="D233" s="216" t="str">
        <f>IF(C233="","",VLOOKUP($B233,勘定科目!$A:$E,4,0))</f>
        <v/>
      </c>
      <c r="E233" s="222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84">
        <f t="shared" si="10"/>
        <v>0</v>
      </c>
      <c r="S233" s="185"/>
      <c r="T233" s="186"/>
      <c r="U233" s="223"/>
      <c r="V233" s="223"/>
      <c r="W233" s="223"/>
    </row>
    <row r="234" spans="1:23" s="175" customFormat="1" ht="13" customHeight="1">
      <c r="A234" s="207"/>
      <c r="B234" s="164"/>
      <c r="C234" s="167" t="str">
        <f>IFERROR(IF(VLOOKUP($B234,勘定科目!$A:$H,HLOOKUP($E$5,勘定科目!$F$1:$H$2,2,0),0)="","",VLOOKUP($B234,勘定科目!$A:$E,2,0)),"")</f>
        <v/>
      </c>
      <c r="D234" s="216" t="str">
        <f>IF(C234="","",VLOOKUP($B234,勘定科目!$A:$E,4,0))</f>
        <v/>
      </c>
      <c r="E234" s="222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84">
        <f t="shared" si="10"/>
        <v>0</v>
      </c>
      <c r="S234" s="185"/>
      <c r="T234" s="186"/>
      <c r="U234" s="223"/>
      <c r="V234" s="223"/>
      <c r="W234" s="223"/>
    </row>
    <row r="235" spans="1:23" s="175" customFormat="1" ht="13" customHeight="1">
      <c r="A235" s="207"/>
      <c r="B235" s="164"/>
      <c r="C235" s="167" t="str">
        <f>IFERROR(IF(VLOOKUP($B235,勘定科目!$A:$H,HLOOKUP($E$5,勘定科目!$F$1:$H$2,2,0),0)="","",VLOOKUP($B235,勘定科目!$A:$E,2,0)),"")</f>
        <v/>
      </c>
      <c r="D235" s="216" t="str">
        <f>IF(C235="","",VLOOKUP($B235,勘定科目!$A:$E,4,0))</f>
        <v/>
      </c>
      <c r="E235" s="222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84">
        <f t="shared" si="10"/>
        <v>0</v>
      </c>
      <c r="S235" s="185"/>
      <c r="T235" s="186"/>
      <c r="U235" s="223"/>
      <c r="V235" s="223"/>
      <c r="W235" s="223"/>
    </row>
    <row r="236" spans="1:23" s="175" customFormat="1" ht="13" customHeight="1">
      <c r="A236" s="207"/>
      <c r="B236" s="164"/>
      <c r="C236" s="167" t="str">
        <f>IFERROR(IF(VLOOKUP($B236,勘定科目!$A:$H,HLOOKUP($E$5,勘定科目!$F$1:$H$2,2,0),0)="","",VLOOKUP($B236,勘定科目!$A:$E,2,0)),"")</f>
        <v/>
      </c>
      <c r="D236" s="216" t="str">
        <f>IF(C236="","",VLOOKUP($B236,勘定科目!$A:$E,4,0))</f>
        <v/>
      </c>
      <c r="E236" s="222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84">
        <f t="shared" si="10"/>
        <v>0</v>
      </c>
      <c r="S236" s="185"/>
      <c r="T236" s="186"/>
      <c r="U236" s="223"/>
      <c r="V236" s="223"/>
      <c r="W236" s="223"/>
    </row>
    <row r="237" spans="1:23" s="175" customFormat="1" ht="13" customHeight="1">
      <c r="A237" s="207"/>
      <c r="B237" s="164"/>
      <c r="C237" s="167" t="str">
        <f>IFERROR(IF(VLOOKUP($B237,勘定科目!$A:$H,HLOOKUP($E$5,勘定科目!$F$1:$H$2,2,0),0)="","",VLOOKUP($B237,勘定科目!$A:$E,2,0)),"")</f>
        <v/>
      </c>
      <c r="D237" s="216" t="str">
        <f>IF(C237="","",VLOOKUP($B237,勘定科目!$A:$E,4,0))</f>
        <v/>
      </c>
      <c r="E237" s="222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84">
        <f t="shared" si="10"/>
        <v>0</v>
      </c>
      <c r="S237" s="185"/>
      <c r="T237" s="186"/>
      <c r="U237" s="223"/>
      <c r="V237" s="223"/>
      <c r="W237" s="223"/>
    </row>
    <row r="238" spans="1:23" s="175" customFormat="1" ht="13" customHeight="1">
      <c r="A238" s="207"/>
      <c r="B238" s="164"/>
      <c r="C238" s="167" t="str">
        <f>IFERROR(IF(VLOOKUP($B238,勘定科目!$A:$H,HLOOKUP($E$5,勘定科目!$F$1:$H$2,2,0),0)="","",VLOOKUP($B238,勘定科目!$A:$E,2,0)),"")</f>
        <v/>
      </c>
      <c r="D238" s="216" t="str">
        <f>IF(C238="","",VLOOKUP($B238,勘定科目!$A:$E,4,0))</f>
        <v/>
      </c>
      <c r="E238" s="222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84">
        <f t="shared" si="10"/>
        <v>0</v>
      </c>
      <c r="S238" s="185"/>
      <c r="T238" s="186"/>
      <c r="U238" s="223"/>
      <c r="V238" s="223"/>
      <c r="W238" s="223"/>
    </row>
    <row r="239" spans="1:23" s="175" customFormat="1" ht="13" customHeight="1">
      <c r="A239" s="207"/>
      <c r="B239" s="164"/>
      <c r="C239" s="167" t="str">
        <f>IFERROR(IF(VLOOKUP($B239,勘定科目!$A:$H,HLOOKUP($E$5,勘定科目!$F$1:$H$2,2,0),0)="","",VLOOKUP($B239,勘定科目!$A:$E,2,0)),"")</f>
        <v/>
      </c>
      <c r="D239" s="216" t="str">
        <f>IF(C239="","",VLOOKUP($B239,勘定科目!$A:$E,4,0))</f>
        <v/>
      </c>
      <c r="E239" s="222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84">
        <f t="shared" si="10"/>
        <v>0</v>
      </c>
      <c r="S239" s="185"/>
      <c r="T239" s="186"/>
      <c r="U239" s="223"/>
      <c r="V239" s="223"/>
      <c r="W239" s="223"/>
    </row>
    <row r="240" spans="1:23" s="175" customFormat="1" ht="13" customHeight="1">
      <c r="A240" s="207"/>
      <c r="B240" s="164"/>
      <c r="C240" s="167" t="str">
        <f>IFERROR(IF(VLOOKUP($B240,勘定科目!$A:$H,HLOOKUP($E$5,勘定科目!$F$1:$H$2,2,0),0)="","",VLOOKUP($B240,勘定科目!$A:$E,2,0)),"")</f>
        <v/>
      </c>
      <c r="D240" s="216" t="str">
        <f>IF(C240="","",VLOOKUP($B240,勘定科目!$A:$E,4,0))</f>
        <v/>
      </c>
      <c r="E240" s="222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84">
        <f t="shared" si="10"/>
        <v>0</v>
      </c>
      <c r="S240" s="185"/>
      <c r="T240" s="186"/>
      <c r="U240" s="223"/>
      <c r="V240" s="223"/>
      <c r="W240" s="223"/>
    </row>
    <row r="241" spans="1:23" s="175" customFormat="1" ht="13" customHeight="1">
      <c r="A241" s="207"/>
      <c r="B241" s="164"/>
      <c r="C241" s="167" t="str">
        <f>IFERROR(IF(VLOOKUP($B241,勘定科目!$A:$H,HLOOKUP($E$5,勘定科目!$F$1:$H$2,2,0),0)="","",VLOOKUP($B241,勘定科目!$A:$E,2,0)),"")</f>
        <v/>
      </c>
      <c r="D241" s="216" t="str">
        <f>IF(C241="","",VLOOKUP($B241,勘定科目!$A:$E,4,0))</f>
        <v/>
      </c>
      <c r="E241" s="222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84">
        <f t="shared" si="10"/>
        <v>0</v>
      </c>
      <c r="S241" s="185"/>
      <c r="T241" s="186"/>
      <c r="U241" s="223"/>
      <c r="V241" s="223"/>
      <c r="W241" s="223"/>
    </row>
    <row r="242" spans="1:23" s="175" customFormat="1" ht="13" customHeight="1">
      <c r="A242" s="207"/>
      <c r="B242" s="164"/>
      <c r="C242" s="167" t="str">
        <f>IFERROR(IF(VLOOKUP($B242,勘定科目!$A:$H,HLOOKUP($E$5,勘定科目!$F$1:$H$2,2,0),0)="","",VLOOKUP($B242,勘定科目!$A:$E,2,0)),"")</f>
        <v/>
      </c>
      <c r="D242" s="216" t="str">
        <f>IF(C242="","",VLOOKUP($B242,勘定科目!$A:$E,4,0))</f>
        <v/>
      </c>
      <c r="E242" s="222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84">
        <f t="shared" si="10"/>
        <v>0</v>
      </c>
      <c r="S242" s="185"/>
      <c r="T242" s="186"/>
      <c r="U242" s="223"/>
      <c r="V242" s="223"/>
      <c r="W242" s="223"/>
    </row>
    <row r="243" spans="1:23" s="175" customFormat="1" ht="13" customHeight="1">
      <c r="A243" s="207"/>
      <c r="B243" s="164"/>
      <c r="C243" s="167" t="str">
        <f>IFERROR(IF(VLOOKUP($B243,勘定科目!$A:$H,HLOOKUP($E$5,勘定科目!$F$1:$H$2,2,0),0)="","",VLOOKUP($B243,勘定科目!$A:$E,2,0)),"")</f>
        <v/>
      </c>
      <c r="D243" s="216" t="str">
        <f>IF(C243="","",VLOOKUP($B243,勘定科目!$A:$E,4,0))</f>
        <v/>
      </c>
      <c r="E243" s="222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84">
        <f t="shared" si="10"/>
        <v>0</v>
      </c>
      <c r="S243" s="185"/>
      <c r="T243" s="186"/>
      <c r="U243" s="223"/>
      <c r="V243" s="223"/>
      <c r="W243" s="223"/>
    </row>
    <row r="244" spans="1:23" s="175" customFormat="1" ht="13" customHeight="1">
      <c r="A244" s="207"/>
      <c r="B244" s="164"/>
      <c r="C244" s="167" t="str">
        <f>IFERROR(IF(VLOOKUP($B244,勘定科目!$A:$H,HLOOKUP($E$5,勘定科目!$F$1:$H$2,2,0),0)="","",VLOOKUP($B244,勘定科目!$A:$E,2,0)),"")</f>
        <v/>
      </c>
      <c r="D244" s="216" t="str">
        <f>IF(C244="","",VLOOKUP($B244,勘定科目!$A:$E,4,0))</f>
        <v/>
      </c>
      <c r="E244" s="222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84">
        <f t="shared" si="10"/>
        <v>0</v>
      </c>
      <c r="S244" s="185"/>
      <c r="T244" s="186"/>
      <c r="U244" s="223"/>
      <c r="V244" s="223"/>
      <c r="W244" s="223"/>
    </row>
    <row r="245" spans="1:23" s="175" customFormat="1" ht="13" customHeight="1">
      <c r="A245" s="207"/>
      <c r="B245" s="164"/>
      <c r="C245" s="167" t="str">
        <f>IFERROR(IF(VLOOKUP($B245,勘定科目!$A:$H,HLOOKUP($E$5,勘定科目!$F$1:$H$2,2,0),0)="","",VLOOKUP($B245,勘定科目!$A:$E,2,0)),"")</f>
        <v/>
      </c>
      <c r="D245" s="216" t="str">
        <f>IF(C245="","",VLOOKUP($B245,勘定科目!$A:$E,4,0))</f>
        <v/>
      </c>
      <c r="E245" s="222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84">
        <f t="shared" si="10"/>
        <v>0</v>
      </c>
      <c r="S245" s="185"/>
      <c r="T245" s="186"/>
      <c r="U245" s="223"/>
      <c r="V245" s="223"/>
      <c r="W245" s="223"/>
    </row>
    <row r="246" spans="1:23" s="175" customFormat="1" ht="13" customHeight="1">
      <c r="A246" s="207"/>
      <c r="B246" s="164"/>
      <c r="C246" s="167" t="str">
        <f>IFERROR(IF(VLOOKUP($B246,勘定科目!$A:$H,HLOOKUP($E$5,勘定科目!$F$1:$H$2,2,0),0)="","",VLOOKUP($B246,勘定科目!$A:$E,2,0)),"")</f>
        <v/>
      </c>
      <c r="D246" s="216" t="str">
        <f>IF(C246="","",VLOOKUP($B246,勘定科目!$A:$E,4,0))</f>
        <v/>
      </c>
      <c r="E246" s="222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84">
        <f t="shared" si="10"/>
        <v>0</v>
      </c>
      <c r="S246" s="185"/>
      <c r="T246" s="186"/>
      <c r="U246" s="223"/>
      <c r="V246" s="223"/>
      <c r="W246" s="223"/>
    </row>
    <row r="247" spans="1:23" s="175" customFormat="1" ht="13" customHeight="1">
      <c r="A247" s="207"/>
      <c r="B247" s="164"/>
      <c r="C247" s="167" t="str">
        <f>IFERROR(IF(VLOOKUP($B247,勘定科目!$A:$H,HLOOKUP($E$5,勘定科目!$F$1:$H$2,2,0),0)="","",VLOOKUP($B247,勘定科目!$A:$E,2,0)),"")</f>
        <v/>
      </c>
      <c r="D247" s="216" t="str">
        <f>IF(C247="","",VLOOKUP($B247,勘定科目!$A:$E,4,0))</f>
        <v/>
      </c>
      <c r="E247" s="222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84">
        <f t="shared" si="10"/>
        <v>0</v>
      </c>
      <c r="S247" s="185"/>
      <c r="T247" s="186"/>
      <c r="U247" s="223"/>
      <c r="V247" s="223"/>
      <c r="W247" s="223"/>
    </row>
    <row r="248" spans="1:23" s="175" customFormat="1" ht="13" customHeight="1">
      <c r="A248" s="207"/>
      <c r="B248" s="164"/>
      <c r="C248" s="167" t="str">
        <f>IFERROR(IF(VLOOKUP($B248,勘定科目!$A:$H,HLOOKUP($E$5,勘定科目!$F$1:$H$2,2,0),0)="","",VLOOKUP($B248,勘定科目!$A:$E,2,0)),"")</f>
        <v/>
      </c>
      <c r="D248" s="216" t="str">
        <f>IF(C248="","",VLOOKUP($B248,勘定科目!$A:$E,4,0))</f>
        <v/>
      </c>
      <c r="E248" s="222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84">
        <f t="shared" si="10"/>
        <v>0</v>
      </c>
      <c r="S248" s="185"/>
      <c r="T248" s="186"/>
      <c r="U248" s="223"/>
      <c r="V248" s="223"/>
      <c r="W248" s="223"/>
    </row>
    <row r="249" spans="1:23" s="175" customFormat="1" ht="13" customHeight="1">
      <c r="A249" s="207"/>
      <c r="B249" s="164"/>
      <c r="C249" s="167" t="str">
        <f>IFERROR(IF(VLOOKUP($B249,勘定科目!$A:$H,HLOOKUP($E$5,勘定科目!$F$1:$H$2,2,0),0)="","",VLOOKUP($B249,勘定科目!$A:$E,2,0)),"")</f>
        <v/>
      </c>
      <c r="D249" s="216" t="str">
        <f>IF(C249="","",VLOOKUP($B249,勘定科目!$A:$E,4,0))</f>
        <v/>
      </c>
      <c r="E249" s="222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84">
        <f t="shared" si="10"/>
        <v>0</v>
      </c>
      <c r="S249" s="185"/>
      <c r="T249" s="186"/>
      <c r="U249" s="223"/>
      <c r="V249" s="223"/>
      <c r="W249" s="223"/>
    </row>
    <row r="250" spans="1:23" s="175" customFormat="1" ht="13" customHeight="1">
      <c r="A250" s="207"/>
      <c r="B250" s="164"/>
      <c r="C250" s="167" t="str">
        <f>IFERROR(IF(VLOOKUP($B250,勘定科目!$A:$H,HLOOKUP($E$5,勘定科目!$F$1:$H$2,2,0),0)="","",VLOOKUP($B250,勘定科目!$A:$E,2,0)),"")</f>
        <v/>
      </c>
      <c r="D250" s="216" t="str">
        <f>IF(C250="","",VLOOKUP($B250,勘定科目!$A:$E,4,0))</f>
        <v/>
      </c>
      <c r="E250" s="222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84">
        <f t="shared" si="10"/>
        <v>0</v>
      </c>
      <c r="S250" s="185"/>
      <c r="T250" s="186"/>
      <c r="U250" s="223"/>
      <c r="V250" s="223"/>
      <c r="W250" s="223"/>
    </row>
    <row r="251" spans="1:23" s="175" customFormat="1" ht="13" customHeight="1">
      <c r="A251" s="207"/>
      <c r="B251" s="164"/>
      <c r="C251" s="167" t="str">
        <f>IFERROR(IF(VLOOKUP($B251,勘定科目!$A:$H,HLOOKUP($E$5,勘定科目!$F$1:$H$2,2,0),0)="","",VLOOKUP($B251,勘定科目!$A:$E,2,0)),"")</f>
        <v/>
      </c>
      <c r="D251" s="216" t="str">
        <f>IF(C251="","",VLOOKUP($B251,勘定科目!$A:$E,4,0))</f>
        <v/>
      </c>
      <c r="E251" s="222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84">
        <f t="shared" si="10"/>
        <v>0</v>
      </c>
      <c r="S251" s="185"/>
      <c r="T251" s="186"/>
      <c r="U251" s="223"/>
      <c r="V251" s="223"/>
      <c r="W251" s="223"/>
    </row>
    <row r="252" spans="1:23" s="175" customFormat="1" ht="13" customHeight="1">
      <c r="A252" s="207"/>
      <c r="B252" s="164"/>
      <c r="C252" s="167" t="str">
        <f>IFERROR(IF(VLOOKUP($B252,勘定科目!$A:$H,HLOOKUP($E$5,勘定科目!$F$1:$H$2,2,0),0)="","",VLOOKUP($B252,勘定科目!$A:$E,2,0)),"")</f>
        <v/>
      </c>
      <c r="D252" s="216" t="str">
        <f>IF(C252="","",VLOOKUP($B252,勘定科目!$A:$E,4,0))</f>
        <v/>
      </c>
      <c r="E252" s="222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84">
        <f t="shared" si="10"/>
        <v>0</v>
      </c>
      <c r="S252" s="185"/>
      <c r="T252" s="186"/>
      <c r="U252" s="223"/>
      <c r="V252" s="223"/>
      <c r="W252" s="223"/>
    </row>
    <row r="253" spans="1:23" s="175" customFormat="1" ht="13" customHeight="1">
      <c r="A253" s="207"/>
      <c r="B253" s="164"/>
      <c r="C253" s="167" t="str">
        <f>IFERROR(IF(VLOOKUP($B253,勘定科目!$A:$H,HLOOKUP($E$5,勘定科目!$F$1:$H$2,2,0),0)="","",VLOOKUP($B253,勘定科目!$A:$E,2,0)),"")</f>
        <v/>
      </c>
      <c r="D253" s="216" t="str">
        <f>IF(C253="","",VLOOKUP($B253,勘定科目!$A:$E,4,0))</f>
        <v/>
      </c>
      <c r="E253" s="222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84">
        <f t="shared" si="10"/>
        <v>0</v>
      </c>
      <c r="S253" s="185"/>
      <c r="T253" s="186"/>
      <c r="U253" s="223"/>
      <c r="V253" s="223"/>
      <c r="W253" s="223"/>
    </row>
    <row r="254" spans="1:23" s="175" customFormat="1" ht="13" customHeight="1">
      <c r="A254" s="207"/>
      <c r="B254" s="164"/>
      <c r="C254" s="167" t="str">
        <f>IFERROR(IF(VLOOKUP($B254,勘定科目!$A:$H,HLOOKUP($E$5,勘定科目!$F$1:$H$2,2,0),0)="","",VLOOKUP($B254,勘定科目!$A:$E,2,0)),"")</f>
        <v/>
      </c>
      <c r="D254" s="216" t="str">
        <f>IF(C254="","",VLOOKUP($B254,勘定科目!$A:$E,4,0))</f>
        <v/>
      </c>
      <c r="E254" s="222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84">
        <f t="shared" si="10"/>
        <v>0</v>
      </c>
      <c r="S254" s="185"/>
      <c r="T254" s="186"/>
      <c r="U254" s="223"/>
      <c r="V254" s="223"/>
      <c r="W254" s="223"/>
    </row>
    <row r="255" spans="1:23" s="175" customFormat="1" ht="13" customHeight="1">
      <c r="A255" s="207"/>
      <c r="B255" s="164"/>
      <c r="C255" s="167" t="str">
        <f>IFERROR(IF(VLOOKUP($B255,勘定科目!$A:$H,HLOOKUP($E$5,勘定科目!$F$1:$H$2,2,0),0)="","",VLOOKUP($B255,勘定科目!$A:$E,2,0)),"")</f>
        <v/>
      </c>
      <c r="D255" s="216" t="str">
        <f>IF(C255="","",VLOOKUP($B255,勘定科目!$A:$E,4,0))</f>
        <v/>
      </c>
      <c r="E255" s="222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84">
        <f t="shared" si="10"/>
        <v>0</v>
      </c>
      <c r="S255" s="185"/>
      <c r="T255" s="186"/>
      <c r="U255" s="223"/>
      <c r="V255" s="223"/>
      <c r="W255" s="223"/>
    </row>
    <row r="256" spans="1:23" s="175" customFormat="1" ht="13" customHeight="1">
      <c r="A256" s="207"/>
      <c r="B256" s="164"/>
      <c r="C256" s="167" t="str">
        <f>IFERROR(IF(VLOOKUP($B256,勘定科目!$A:$H,HLOOKUP($E$5,勘定科目!$F$1:$H$2,2,0),0)="","",VLOOKUP($B256,勘定科目!$A:$E,2,0)),"")</f>
        <v/>
      </c>
      <c r="D256" s="216" t="str">
        <f>IF(C256="","",VLOOKUP($B256,勘定科目!$A:$E,4,0))</f>
        <v/>
      </c>
      <c r="E256" s="222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84">
        <f t="shared" si="10"/>
        <v>0</v>
      </c>
      <c r="S256" s="185"/>
      <c r="T256" s="186"/>
      <c r="U256" s="223"/>
      <c r="V256" s="223"/>
      <c r="W256" s="223"/>
    </row>
    <row r="257" spans="1:23" s="175" customFormat="1" ht="13" customHeight="1">
      <c r="A257" s="207"/>
      <c r="B257" s="164"/>
      <c r="C257" s="167" t="str">
        <f>IFERROR(IF(VLOOKUP($B257,勘定科目!$A:$H,HLOOKUP($E$5,勘定科目!$F$1:$H$2,2,0),0)="","",VLOOKUP($B257,勘定科目!$A:$E,2,0)),"")</f>
        <v/>
      </c>
      <c r="D257" s="216" t="str">
        <f>IF(C257="","",VLOOKUP($B257,勘定科目!$A:$E,4,0))</f>
        <v/>
      </c>
      <c r="E257" s="222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84">
        <f t="shared" si="10"/>
        <v>0</v>
      </c>
      <c r="S257" s="185"/>
      <c r="T257" s="186"/>
      <c r="U257" s="223"/>
      <c r="V257" s="223"/>
      <c r="W257" s="223"/>
    </row>
    <row r="258" spans="1:23" s="175" customFormat="1" ht="13" customHeight="1">
      <c r="A258" s="207"/>
      <c r="B258" s="164"/>
      <c r="C258" s="167" t="str">
        <f>IFERROR(IF(VLOOKUP($B258,勘定科目!$A:$H,HLOOKUP($E$5,勘定科目!$F$1:$H$2,2,0),0)="","",VLOOKUP($B258,勘定科目!$A:$E,2,0)),"")</f>
        <v/>
      </c>
      <c r="D258" s="216" t="str">
        <f>IF(C258="","",VLOOKUP($B258,勘定科目!$A:$E,4,0))</f>
        <v/>
      </c>
      <c r="E258" s="222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84">
        <f t="shared" si="10"/>
        <v>0</v>
      </c>
      <c r="S258" s="185"/>
      <c r="T258" s="186"/>
      <c r="U258" s="223"/>
      <c r="V258" s="223"/>
      <c r="W258" s="223"/>
    </row>
    <row r="259" spans="1:23" s="175" customFormat="1" ht="13" customHeight="1">
      <c r="A259" s="207"/>
      <c r="B259" s="164"/>
      <c r="C259" s="167" t="str">
        <f>IFERROR(IF(VLOOKUP($B259,勘定科目!$A:$H,HLOOKUP($E$5,勘定科目!$F$1:$H$2,2,0),0)="","",VLOOKUP($B259,勘定科目!$A:$E,2,0)),"")</f>
        <v/>
      </c>
      <c r="D259" s="216" t="str">
        <f>IF(C259="","",VLOOKUP($B259,勘定科目!$A:$E,4,0))</f>
        <v/>
      </c>
      <c r="E259" s="222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84">
        <f t="shared" si="10"/>
        <v>0</v>
      </c>
      <c r="S259" s="185"/>
      <c r="T259" s="186"/>
      <c r="U259" s="223"/>
      <c r="V259" s="223"/>
      <c r="W259" s="223"/>
    </row>
    <row r="260" spans="1:23" s="175" customFormat="1" ht="13" customHeight="1">
      <c r="A260" s="207"/>
      <c r="B260" s="164"/>
      <c r="C260" s="167" t="str">
        <f>IFERROR(IF(VLOOKUP($B260,勘定科目!$A:$H,HLOOKUP($E$5,勘定科目!$F$1:$H$2,2,0),0)="","",VLOOKUP($B260,勘定科目!$A:$E,2,0)),"")</f>
        <v/>
      </c>
      <c r="D260" s="216" t="str">
        <f>IF(C260="","",VLOOKUP($B260,勘定科目!$A:$E,4,0))</f>
        <v/>
      </c>
      <c r="E260" s="222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84">
        <f t="shared" si="10"/>
        <v>0</v>
      </c>
      <c r="S260" s="185"/>
      <c r="T260" s="186"/>
      <c r="U260" s="223"/>
      <c r="V260" s="223"/>
      <c r="W260" s="223"/>
    </row>
    <row r="261" spans="1:23" s="175" customFormat="1" ht="13" customHeight="1">
      <c r="A261" s="207"/>
      <c r="B261" s="164"/>
      <c r="C261" s="167" t="str">
        <f>IFERROR(IF(VLOOKUP($B261,勘定科目!$A:$H,HLOOKUP($E$5,勘定科目!$F$1:$H$2,2,0),0)="","",VLOOKUP($B261,勘定科目!$A:$E,2,0)),"")</f>
        <v/>
      </c>
      <c r="D261" s="216" t="str">
        <f>IF(C261="","",VLOOKUP($B261,勘定科目!$A:$E,4,0))</f>
        <v/>
      </c>
      <c r="E261" s="222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84">
        <f t="shared" si="10"/>
        <v>0</v>
      </c>
      <c r="S261" s="185"/>
      <c r="T261" s="186"/>
      <c r="U261" s="223"/>
      <c r="V261" s="223"/>
      <c r="W261" s="223"/>
    </row>
    <row r="262" spans="1:23" s="175" customFormat="1" ht="13" customHeight="1">
      <c r="A262" s="207"/>
      <c r="B262" s="164"/>
      <c r="C262" s="167" t="str">
        <f>IFERROR(IF(VLOOKUP($B262,勘定科目!$A:$H,HLOOKUP($E$5,勘定科目!$F$1:$H$2,2,0),0)="","",VLOOKUP($B262,勘定科目!$A:$E,2,0)),"")</f>
        <v/>
      </c>
      <c r="D262" s="216" t="str">
        <f>IF(C262="","",VLOOKUP($B262,勘定科目!$A:$E,4,0))</f>
        <v/>
      </c>
      <c r="E262" s="222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84">
        <f t="shared" si="10"/>
        <v>0</v>
      </c>
      <c r="S262" s="185"/>
      <c r="T262" s="186"/>
      <c r="U262" s="223"/>
      <c r="V262" s="223"/>
      <c r="W262" s="223"/>
    </row>
    <row r="263" spans="1:23" s="175" customFormat="1" ht="13" customHeight="1">
      <c r="A263" s="207"/>
      <c r="B263" s="164"/>
      <c r="C263" s="167" t="str">
        <f>IFERROR(IF(VLOOKUP($B263,勘定科目!$A:$H,HLOOKUP($E$5,勘定科目!$F$1:$H$2,2,0),0)="","",VLOOKUP($B263,勘定科目!$A:$E,2,0)),"")</f>
        <v/>
      </c>
      <c r="D263" s="216" t="str">
        <f>IF(C263="","",VLOOKUP($B263,勘定科目!$A:$E,4,0))</f>
        <v/>
      </c>
      <c r="E263" s="222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84">
        <f t="shared" si="10"/>
        <v>0</v>
      </c>
      <c r="S263" s="185"/>
      <c r="T263" s="186"/>
      <c r="U263" s="223"/>
      <c r="V263" s="223"/>
      <c r="W263" s="223"/>
    </row>
    <row r="264" spans="1:23" s="175" customFormat="1" ht="13" customHeight="1">
      <c r="A264" s="207"/>
      <c r="B264" s="164"/>
      <c r="C264" s="167" t="str">
        <f>IFERROR(IF(VLOOKUP($B264,勘定科目!$A:$H,HLOOKUP($E$5,勘定科目!$F$1:$H$2,2,0),0)="","",VLOOKUP($B264,勘定科目!$A:$E,2,0)),"")</f>
        <v/>
      </c>
      <c r="D264" s="216" t="str">
        <f>IF(C264="","",VLOOKUP($B264,勘定科目!$A:$E,4,0))</f>
        <v/>
      </c>
      <c r="E264" s="222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84">
        <f t="shared" si="10"/>
        <v>0</v>
      </c>
      <c r="S264" s="185"/>
      <c r="T264" s="186"/>
      <c r="U264" s="223"/>
      <c r="V264" s="223"/>
      <c r="W264" s="223"/>
    </row>
    <row r="265" spans="1:23" s="175" customFormat="1" ht="13" customHeight="1">
      <c r="A265" s="207"/>
      <c r="B265" s="164"/>
      <c r="C265" s="167" t="str">
        <f>IFERROR(IF(VLOOKUP($B265,勘定科目!$A:$H,HLOOKUP($E$5,勘定科目!$F$1:$H$2,2,0),0)="","",VLOOKUP($B265,勘定科目!$A:$E,2,0)),"")</f>
        <v/>
      </c>
      <c r="D265" s="216" t="str">
        <f>IF(C265="","",VLOOKUP($B265,勘定科目!$A:$E,4,0))</f>
        <v/>
      </c>
      <c r="E265" s="222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84">
        <f t="shared" si="10"/>
        <v>0</v>
      </c>
      <c r="S265" s="185"/>
      <c r="T265" s="186"/>
      <c r="U265" s="223"/>
      <c r="V265" s="223"/>
      <c r="W265" s="223"/>
    </row>
    <row r="266" spans="1:23" s="175" customFormat="1" ht="13" customHeight="1">
      <c r="A266" s="207"/>
      <c r="B266" s="164"/>
      <c r="C266" s="167" t="str">
        <f>IFERROR(IF(VLOOKUP($B266,勘定科目!$A:$H,HLOOKUP($E$5,勘定科目!$F$1:$H$2,2,0),0)="","",VLOOKUP($B266,勘定科目!$A:$E,2,0)),"")</f>
        <v/>
      </c>
      <c r="D266" s="216" t="str">
        <f>IF(C266="","",VLOOKUP($B266,勘定科目!$A:$E,4,0))</f>
        <v/>
      </c>
      <c r="E266" s="222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84">
        <f t="shared" si="10"/>
        <v>0</v>
      </c>
      <c r="S266" s="185"/>
      <c r="T266" s="186"/>
      <c r="U266" s="223"/>
      <c r="V266" s="223"/>
      <c r="W266" s="223"/>
    </row>
    <row r="267" spans="1:23" s="175" customFormat="1" ht="13" customHeight="1">
      <c r="A267" s="207"/>
      <c r="B267" s="164"/>
      <c r="C267" s="167" t="str">
        <f>IFERROR(IF(VLOOKUP($B267,勘定科目!$A:$H,HLOOKUP($E$5,勘定科目!$F$1:$H$2,2,0),0)="","",VLOOKUP($B267,勘定科目!$A:$E,2,0)),"")</f>
        <v/>
      </c>
      <c r="D267" s="216" t="str">
        <f>IF(C267="","",VLOOKUP($B267,勘定科目!$A:$E,4,0))</f>
        <v/>
      </c>
      <c r="E267" s="222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84">
        <f t="shared" si="10"/>
        <v>0</v>
      </c>
      <c r="S267" s="185"/>
      <c r="T267" s="186"/>
      <c r="U267" s="223"/>
      <c r="V267" s="223"/>
      <c r="W267" s="223"/>
    </row>
    <row r="268" spans="1:23" s="175" customFormat="1" ht="13" customHeight="1">
      <c r="A268" s="207"/>
      <c r="B268" s="164"/>
      <c r="C268" s="167" t="str">
        <f>IFERROR(IF(VLOOKUP($B268,勘定科目!$A:$H,HLOOKUP($E$5,勘定科目!$F$1:$H$2,2,0),0)="","",VLOOKUP($B268,勘定科目!$A:$E,2,0)),"")</f>
        <v/>
      </c>
      <c r="D268" s="216" t="str">
        <f>IF(C268="","",VLOOKUP($B268,勘定科目!$A:$E,4,0))</f>
        <v/>
      </c>
      <c r="E268" s="222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84">
        <f t="shared" si="10"/>
        <v>0</v>
      </c>
      <c r="S268" s="185"/>
      <c r="T268" s="186"/>
      <c r="U268" s="223"/>
      <c r="V268" s="223"/>
      <c r="W268" s="223"/>
    </row>
    <row r="269" spans="1:23" s="175" customFormat="1" ht="13" customHeight="1">
      <c r="A269" s="207"/>
      <c r="B269" s="164"/>
      <c r="C269" s="167" t="str">
        <f>IFERROR(IF(VLOOKUP($B269,勘定科目!$A:$H,HLOOKUP($E$5,勘定科目!$F$1:$H$2,2,0),0)="","",VLOOKUP($B269,勘定科目!$A:$E,2,0)),"")</f>
        <v/>
      </c>
      <c r="D269" s="216" t="str">
        <f>IF(C269="","",VLOOKUP($B269,勘定科目!$A:$E,4,0))</f>
        <v/>
      </c>
      <c r="E269" s="222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84">
        <f t="shared" si="10"/>
        <v>0</v>
      </c>
      <c r="S269" s="185"/>
      <c r="T269" s="186"/>
      <c r="U269" s="223"/>
      <c r="V269" s="223"/>
      <c r="W269" s="223"/>
    </row>
    <row r="270" spans="1:23" s="175" customFormat="1" ht="13" customHeight="1">
      <c r="A270" s="207"/>
      <c r="B270" s="164"/>
      <c r="C270" s="167" t="str">
        <f>IFERROR(IF(VLOOKUP($B270,勘定科目!$A:$H,HLOOKUP($E$5,勘定科目!$F$1:$H$2,2,0),0)="","",VLOOKUP($B270,勘定科目!$A:$E,2,0)),"")</f>
        <v/>
      </c>
      <c r="D270" s="216" t="str">
        <f>IF(C270="","",VLOOKUP($B270,勘定科目!$A:$E,4,0))</f>
        <v/>
      </c>
      <c r="E270" s="222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84">
        <f t="shared" si="10"/>
        <v>0</v>
      </c>
      <c r="S270" s="185"/>
      <c r="T270" s="186"/>
      <c r="U270" s="223"/>
      <c r="V270" s="223"/>
      <c r="W270" s="223"/>
    </row>
    <row r="271" spans="1:23" s="175" customFormat="1" ht="13" customHeight="1">
      <c r="A271" s="207"/>
      <c r="B271" s="164"/>
      <c r="C271" s="167" t="str">
        <f>IFERROR(IF(VLOOKUP($B271,勘定科目!$A:$H,HLOOKUP($E$5,勘定科目!$F$1:$H$2,2,0),0)="","",VLOOKUP($B271,勘定科目!$A:$E,2,0)),"")</f>
        <v/>
      </c>
      <c r="D271" s="216" t="str">
        <f>IF(C271="","",VLOOKUP($B271,勘定科目!$A:$E,4,0))</f>
        <v/>
      </c>
      <c r="E271" s="222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84">
        <f t="shared" si="10"/>
        <v>0</v>
      </c>
      <c r="S271" s="185"/>
      <c r="T271" s="186"/>
      <c r="U271" s="223"/>
      <c r="V271" s="223"/>
      <c r="W271" s="223"/>
    </row>
    <row r="272" spans="1:23" s="175" customFormat="1" ht="13" customHeight="1">
      <c r="A272" s="207"/>
      <c r="B272" s="164"/>
      <c r="C272" s="167" t="str">
        <f>IFERROR(IF(VLOOKUP($B272,勘定科目!$A:$H,HLOOKUP($E$5,勘定科目!$F$1:$H$2,2,0),0)="","",VLOOKUP($B272,勘定科目!$A:$E,2,0)),"")</f>
        <v/>
      </c>
      <c r="D272" s="216" t="str">
        <f>IF(C272="","",VLOOKUP($B272,勘定科目!$A:$E,4,0))</f>
        <v/>
      </c>
      <c r="E272" s="222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84">
        <f t="shared" si="10"/>
        <v>0</v>
      </c>
      <c r="S272" s="185"/>
      <c r="T272" s="186"/>
      <c r="U272" s="223"/>
      <c r="V272" s="223"/>
      <c r="W272" s="223"/>
    </row>
    <row r="273" spans="1:23" s="175" customFormat="1" ht="13" customHeight="1">
      <c r="A273" s="207"/>
      <c r="B273" s="164"/>
      <c r="C273" s="167" t="str">
        <f>IFERROR(IF(VLOOKUP($B273,勘定科目!$A:$H,HLOOKUP($E$5,勘定科目!$F$1:$H$2,2,0),0)="","",VLOOKUP($B273,勘定科目!$A:$E,2,0)),"")</f>
        <v/>
      </c>
      <c r="D273" s="216" t="str">
        <f>IF(C273="","",VLOOKUP($B273,勘定科目!$A:$E,4,0))</f>
        <v/>
      </c>
      <c r="E273" s="222"/>
      <c r="F273" s="178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184">
        <f t="shared" si="10"/>
        <v>0</v>
      </c>
      <c r="S273" s="185"/>
      <c r="T273" s="186"/>
      <c r="U273" s="223"/>
      <c r="V273" s="223"/>
      <c r="W273" s="223"/>
    </row>
    <row r="274" spans="1:23" s="175" customFormat="1" ht="13" customHeight="1">
      <c r="A274" s="207"/>
      <c r="B274" s="164"/>
      <c r="C274" s="167" t="str">
        <f>IFERROR(IF(VLOOKUP($B274,勘定科目!$A:$H,HLOOKUP($E$5,勘定科目!$F$1:$H$2,2,0),0)="","",VLOOKUP($B274,勘定科目!$A:$E,2,0)),"")</f>
        <v/>
      </c>
      <c r="D274" s="216" t="str">
        <f>IF(C274="","",VLOOKUP($B274,勘定科目!$A:$E,4,0))</f>
        <v/>
      </c>
      <c r="E274" s="222"/>
      <c r="F274" s="178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184">
        <f t="shared" si="10"/>
        <v>0</v>
      </c>
      <c r="S274" s="185"/>
      <c r="T274" s="186"/>
      <c r="U274" s="223"/>
      <c r="V274" s="223"/>
      <c r="W274" s="223"/>
    </row>
    <row r="275" spans="1:23" s="175" customFormat="1" ht="13" customHeight="1">
      <c r="A275" s="207"/>
      <c r="B275" s="164"/>
      <c r="C275" s="167" t="str">
        <f>IFERROR(IF(VLOOKUP($B275,勘定科目!$A:$H,HLOOKUP($E$5,勘定科目!$F$1:$H$2,2,0),0)="","",VLOOKUP($B275,勘定科目!$A:$E,2,0)),"")</f>
        <v/>
      </c>
      <c r="D275" s="216" t="str">
        <f>IF(C275="","",VLOOKUP($B275,勘定科目!$A:$E,4,0))</f>
        <v/>
      </c>
      <c r="E275" s="222"/>
      <c r="F275" s="178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184">
        <f t="shared" si="10"/>
        <v>0</v>
      </c>
      <c r="S275" s="185"/>
      <c r="T275" s="186"/>
      <c r="U275" s="223"/>
      <c r="V275" s="223"/>
      <c r="W275" s="223"/>
    </row>
    <row r="276" spans="1:23" s="175" customFormat="1" ht="13" customHeight="1">
      <c r="A276" s="207"/>
      <c r="B276" s="164"/>
      <c r="C276" s="167" t="str">
        <f>IFERROR(IF(VLOOKUP($B276,勘定科目!$A:$H,HLOOKUP($E$5,勘定科目!$F$1:$H$2,2,0),0)="","",VLOOKUP($B276,勘定科目!$A:$E,2,0)),"")</f>
        <v/>
      </c>
      <c r="D276" s="216" t="str">
        <f>IF(C276="","",VLOOKUP($B276,勘定科目!$A:$E,4,0))</f>
        <v/>
      </c>
      <c r="E276" s="222"/>
      <c r="F276" s="178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184">
        <f t="shared" si="10"/>
        <v>0</v>
      </c>
      <c r="S276" s="185"/>
      <c r="T276" s="186"/>
      <c r="U276" s="223"/>
      <c r="V276" s="223"/>
      <c r="W276" s="223"/>
    </row>
    <row r="277" spans="1:23" s="175" customFormat="1" ht="13" customHeight="1">
      <c r="A277" s="207"/>
      <c r="B277" s="164"/>
      <c r="C277" s="167" t="str">
        <f>IFERROR(IF(VLOOKUP($B277,勘定科目!$A:$H,HLOOKUP($E$5,勘定科目!$F$1:$H$2,2,0),0)="","",VLOOKUP($B277,勘定科目!$A:$E,2,0)),"")</f>
        <v/>
      </c>
      <c r="D277" s="216" t="str">
        <f>IF(C277="","",VLOOKUP($B277,勘定科目!$A:$E,4,0))</f>
        <v/>
      </c>
      <c r="E277" s="222"/>
      <c r="F277" s="178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184">
        <f t="shared" si="10"/>
        <v>0</v>
      </c>
      <c r="S277" s="185"/>
      <c r="T277" s="186"/>
      <c r="U277" s="223"/>
      <c r="V277" s="223"/>
      <c r="W277" s="223"/>
    </row>
    <row r="278" spans="1:23" s="175" customFormat="1" ht="13" customHeight="1">
      <c r="A278" s="207"/>
      <c r="B278" s="164"/>
      <c r="C278" s="167" t="str">
        <f>IFERROR(IF(VLOOKUP($B278,勘定科目!$A:$H,HLOOKUP($E$5,勘定科目!$F$1:$H$2,2,0),0)="","",VLOOKUP($B278,勘定科目!$A:$E,2,0)),"")</f>
        <v/>
      </c>
      <c r="D278" s="216" t="str">
        <f>IF(C278="","",VLOOKUP($B278,勘定科目!$A:$E,4,0))</f>
        <v/>
      </c>
      <c r="E278" s="222"/>
      <c r="F278" s="178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184">
        <f t="shared" si="10"/>
        <v>0</v>
      </c>
      <c r="S278" s="185"/>
      <c r="T278" s="186"/>
      <c r="U278" s="223"/>
      <c r="V278" s="223"/>
      <c r="W278" s="223"/>
    </row>
    <row r="279" spans="1:23" s="175" customFormat="1" ht="13" customHeight="1">
      <c r="A279" s="207"/>
      <c r="B279" s="164"/>
      <c r="C279" s="167" t="str">
        <f>IFERROR(IF(VLOOKUP($B279,勘定科目!$A:$H,HLOOKUP($E$5,勘定科目!$F$1:$H$2,2,0),0)="","",VLOOKUP($B279,勘定科目!$A:$E,2,0)),"")</f>
        <v/>
      </c>
      <c r="D279" s="216" t="str">
        <f>IF(C279="","",VLOOKUP($B279,勘定科目!$A:$E,4,0))</f>
        <v/>
      </c>
      <c r="E279" s="222"/>
      <c r="F279" s="178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184">
        <f t="shared" si="10"/>
        <v>0</v>
      </c>
      <c r="S279" s="185"/>
      <c r="T279" s="186"/>
      <c r="U279" s="223"/>
      <c r="V279" s="223"/>
      <c r="W279" s="223"/>
    </row>
    <row r="280" spans="1:23" s="175" customFormat="1" ht="13" customHeight="1">
      <c r="A280" s="207"/>
      <c r="B280" s="164"/>
      <c r="C280" s="167" t="str">
        <f>IFERROR(IF(VLOOKUP($B280,勘定科目!$A:$H,HLOOKUP($E$5,勘定科目!$F$1:$H$2,2,0),0)="","",VLOOKUP($B280,勘定科目!$A:$E,2,0)),"")</f>
        <v/>
      </c>
      <c r="D280" s="216" t="str">
        <f>IF(C280="","",VLOOKUP($B280,勘定科目!$A:$E,4,0))</f>
        <v/>
      </c>
      <c r="E280" s="222"/>
      <c r="F280" s="178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184">
        <f t="shared" si="10"/>
        <v>0</v>
      </c>
      <c r="S280" s="185"/>
      <c r="T280" s="186"/>
      <c r="U280" s="223"/>
      <c r="V280" s="223"/>
      <c r="W280" s="223"/>
    </row>
    <row r="281" spans="1:23" s="175" customFormat="1" ht="13" customHeight="1">
      <c r="A281" s="207"/>
      <c r="B281" s="164"/>
      <c r="C281" s="167" t="str">
        <f>IFERROR(IF(VLOOKUP($B281,勘定科目!$A:$H,HLOOKUP($E$5,勘定科目!$F$1:$H$2,2,0),0)="","",VLOOKUP($B281,勘定科目!$A:$E,2,0)),"")</f>
        <v/>
      </c>
      <c r="D281" s="216" t="str">
        <f>IF(C281="","",VLOOKUP($B281,勘定科目!$A:$E,4,0))</f>
        <v/>
      </c>
      <c r="E281" s="222"/>
      <c r="F281" s="178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184">
        <f t="shared" si="10"/>
        <v>0</v>
      </c>
      <c r="S281" s="185"/>
      <c r="T281" s="186"/>
      <c r="U281" s="223"/>
      <c r="V281" s="223"/>
      <c r="W281" s="223"/>
    </row>
    <row r="282" spans="1:23" s="175" customFormat="1" ht="13" customHeight="1">
      <c r="A282" s="207"/>
      <c r="B282" s="164"/>
      <c r="C282" s="167" t="str">
        <f>IFERROR(IF(VLOOKUP($B282,勘定科目!$A:$H,HLOOKUP($E$5,勘定科目!$F$1:$H$2,2,0),0)="","",VLOOKUP($B282,勘定科目!$A:$E,2,0)),"")</f>
        <v/>
      </c>
      <c r="D282" s="216" t="str">
        <f>IF(C282="","",VLOOKUP($B282,勘定科目!$A:$E,4,0))</f>
        <v/>
      </c>
      <c r="E282" s="222"/>
      <c r="F282" s="178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184">
        <f t="shared" ref="R282:R345" si="11">SUM(F282:Q282)</f>
        <v>0</v>
      </c>
      <c r="S282" s="185"/>
      <c r="T282" s="186"/>
      <c r="U282" s="223"/>
      <c r="V282" s="223"/>
      <c r="W282" s="223"/>
    </row>
    <row r="283" spans="1:23" s="175" customFormat="1" ht="13" customHeight="1">
      <c r="A283" s="207"/>
      <c r="B283" s="164"/>
      <c r="C283" s="167" t="str">
        <f>IFERROR(IF(VLOOKUP($B283,勘定科目!$A:$H,HLOOKUP($E$5,勘定科目!$F$1:$H$2,2,0),0)="","",VLOOKUP($B283,勘定科目!$A:$E,2,0)),"")</f>
        <v/>
      </c>
      <c r="D283" s="216" t="str">
        <f>IF(C283="","",VLOOKUP($B283,勘定科目!$A:$E,4,0))</f>
        <v/>
      </c>
      <c r="E283" s="222"/>
      <c r="F283" s="178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184">
        <f t="shared" si="11"/>
        <v>0</v>
      </c>
      <c r="S283" s="185"/>
      <c r="T283" s="186"/>
      <c r="U283" s="223"/>
      <c r="V283" s="223"/>
      <c r="W283" s="223"/>
    </row>
    <row r="284" spans="1:23" s="175" customFormat="1" ht="13" customHeight="1">
      <c r="A284" s="207"/>
      <c r="B284" s="164"/>
      <c r="C284" s="167" t="str">
        <f>IFERROR(IF(VLOOKUP($B284,勘定科目!$A:$H,HLOOKUP($E$5,勘定科目!$F$1:$H$2,2,0),0)="","",VLOOKUP($B284,勘定科目!$A:$E,2,0)),"")</f>
        <v/>
      </c>
      <c r="D284" s="216" t="str">
        <f>IF(C284="","",VLOOKUP($B284,勘定科目!$A:$E,4,0))</f>
        <v/>
      </c>
      <c r="E284" s="222"/>
      <c r="F284" s="178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184">
        <f t="shared" si="11"/>
        <v>0</v>
      </c>
      <c r="S284" s="185"/>
      <c r="T284" s="186"/>
      <c r="U284" s="223"/>
      <c r="V284" s="223"/>
      <c r="W284" s="223"/>
    </row>
    <row r="285" spans="1:23" s="175" customFormat="1" ht="13" customHeight="1">
      <c r="A285" s="207"/>
      <c r="B285" s="164"/>
      <c r="C285" s="167" t="str">
        <f>IFERROR(IF(VLOOKUP($B285,勘定科目!$A:$H,HLOOKUP($E$5,勘定科目!$F$1:$H$2,2,0),0)="","",VLOOKUP($B285,勘定科目!$A:$E,2,0)),"")</f>
        <v/>
      </c>
      <c r="D285" s="216" t="str">
        <f>IF(C285="","",VLOOKUP($B285,勘定科目!$A:$E,4,0))</f>
        <v/>
      </c>
      <c r="E285" s="222"/>
      <c r="F285" s="178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184">
        <f t="shared" si="11"/>
        <v>0</v>
      </c>
      <c r="S285" s="185"/>
      <c r="T285" s="186"/>
      <c r="U285" s="223"/>
      <c r="V285" s="223"/>
      <c r="W285" s="223"/>
    </row>
    <row r="286" spans="1:23" s="175" customFormat="1" ht="13" customHeight="1">
      <c r="A286" s="207"/>
      <c r="B286" s="164"/>
      <c r="C286" s="167" t="str">
        <f>IFERROR(IF(VLOOKUP($B286,勘定科目!$A:$H,HLOOKUP($E$5,勘定科目!$F$1:$H$2,2,0),0)="","",VLOOKUP($B286,勘定科目!$A:$E,2,0)),"")</f>
        <v/>
      </c>
      <c r="D286" s="216" t="str">
        <f>IF(C286="","",VLOOKUP($B286,勘定科目!$A:$E,4,0))</f>
        <v/>
      </c>
      <c r="E286" s="222"/>
      <c r="F286" s="178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184">
        <f t="shared" si="11"/>
        <v>0</v>
      </c>
      <c r="S286" s="185"/>
      <c r="T286" s="186"/>
      <c r="U286" s="223"/>
      <c r="V286" s="223"/>
      <c r="W286" s="223"/>
    </row>
    <row r="287" spans="1:23" s="175" customFormat="1" ht="13" customHeight="1">
      <c r="A287" s="207"/>
      <c r="B287" s="164"/>
      <c r="C287" s="167" t="str">
        <f>IFERROR(IF(VLOOKUP($B287,勘定科目!$A:$H,HLOOKUP($E$5,勘定科目!$F$1:$H$2,2,0),0)="","",VLOOKUP($B287,勘定科目!$A:$E,2,0)),"")</f>
        <v/>
      </c>
      <c r="D287" s="216" t="str">
        <f>IF(C287="","",VLOOKUP($B287,勘定科目!$A:$E,4,0))</f>
        <v/>
      </c>
      <c r="E287" s="222"/>
      <c r="F287" s="178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184">
        <f t="shared" si="11"/>
        <v>0</v>
      </c>
      <c r="S287" s="185"/>
      <c r="T287" s="186"/>
      <c r="U287" s="223"/>
      <c r="V287" s="223"/>
      <c r="W287" s="223"/>
    </row>
    <row r="288" spans="1:23" s="175" customFormat="1" ht="13" customHeight="1">
      <c r="A288" s="207"/>
      <c r="B288" s="164"/>
      <c r="C288" s="167" t="str">
        <f>IFERROR(IF(VLOOKUP($B288,勘定科目!$A:$H,HLOOKUP($E$5,勘定科目!$F$1:$H$2,2,0),0)="","",VLOOKUP($B288,勘定科目!$A:$E,2,0)),"")</f>
        <v/>
      </c>
      <c r="D288" s="216" t="str">
        <f>IF(C288="","",VLOOKUP($B288,勘定科目!$A:$E,4,0))</f>
        <v/>
      </c>
      <c r="E288" s="222"/>
      <c r="F288" s="178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184">
        <f t="shared" si="11"/>
        <v>0</v>
      </c>
      <c r="S288" s="185"/>
      <c r="T288" s="186"/>
      <c r="U288" s="223"/>
      <c r="V288" s="223"/>
      <c r="W288" s="223"/>
    </row>
    <row r="289" spans="1:23" s="175" customFormat="1" ht="13" customHeight="1">
      <c r="A289" s="207"/>
      <c r="B289" s="164"/>
      <c r="C289" s="167" t="str">
        <f>IFERROR(IF(VLOOKUP($B289,勘定科目!$A:$H,HLOOKUP($E$5,勘定科目!$F$1:$H$2,2,0),0)="","",VLOOKUP($B289,勘定科目!$A:$E,2,0)),"")</f>
        <v/>
      </c>
      <c r="D289" s="216" t="str">
        <f>IF(C289="","",VLOOKUP($B289,勘定科目!$A:$E,4,0))</f>
        <v/>
      </c>
      <c r="E289" s="222"/>
      <c r="F289" s="178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184">
        <f t="shared" si="11"/>
        <v>0</v>
      </c>
      <c r="S289" s="185"/>
      <c r="T289" s="186"/>
      <c r="U289" s="223"/>
      <c r="V289" s="223"/>
      <c r="W289" s="223"/>
    </row>
    <row r="290" spans="1:23" s="175" customFormat="1" ht="13" customHeight="1">
      <c r="A290" s="207"/>
      <c r="B290" s="164"/>
      <c r="C290" s="167" t="str">
        <f>IFERROR(IF(VLOOKUP($B290,勘定科目!$A:$H,HLOOKUP($E$5,勘定科目!$F$1:$H$2,2,0),0)="","",VLOOKUP($B290,勘定科目!$A:$E,2,0)),"")</f>
        <v/>
      </c>
      <c r="D290" s="216" t="str">
        <f>IF(C290="","",VLOOKUP($B290,勘定科目!$A:$E,4,0))</f>
        <v/>
      </c>
      <c r="E290" s="222"/>
      <c r="F290" s="178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184">
        <f t="shared" si="11"/>
        <v>0</v>
      </c>
      <c r="S290" s="185"/>
      <c r="T290" s="186"/>
      <c r="U290" s="223"/>
      <c r="V290" s="223"/>
      <c r="W290" s="223"/>
    </row>
    <row r="291" spans="1:23" s="175" customFormat="1" ht="13" customHeight="1">
      <c r="A291" s="207"/>
      <c r="B291" s="164"/>
      <c r="C291" s="167" t="str">
        <f>IFERROR(IF(VLOOKUP($B291,勘定科目!$A:$H,HLOOKUP($E$5,勘定科目!$F$1:$H$2,2,0),0)="","",VLOOKUP($B291,勘定科目!$A:$E,2,0)),"")</f>
        <v/>
      </c>
      <c r="D291" s="216" t="str">
        <f>IF(C291="","",VLOOKUP($B291,勘定科目!$A:$E,4,0))</f>
        <v/>
      </c>
      <c r="E291" s="222"/>
      <c r="F291" s="178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184">
        <f t="shared" si="11"/>
        <v>0</v>
      </c>
      <c r="S291" s="185"/>
      <c r="T291" s="186"/>
      <c r="U291" s="223"/>
      <c r="V291" s="223"/>
      <c r="W291" s="223"/>
    </row>
    <row r="292" spans="1:23" s="175" customFormat="1" ht="13" customHeight="1">
      <c r="A292" s="207"/>
      <c r="B292" s="164"/>
      <c r="C292" s="167" t="str">
        <f>IFERROR(IF(VLOOKUP($B292,勘定科目!$A:$H,HLOOKUP($E$5,勘定科目!$F$1:$H$2,2,0),0)="","",VLOOKUP($B292,勘定科目!$A:$E,2,0)),"")</f>
        <v/>
      </c>
      <c r="D292" s="216" t="str">
        <f>IF(C292="","",VLOOKUP($B292,勘定科目!$A:$E,4,0))</f>
        <v/>
      </c>
      <c r="E292" s="222"/>
      <c r="F292" s="178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184">
        <f t="shared" si="11"/>
        <v>0</v>
      </c>
      <c r="S292" s="185"/>
      <c r="T292" s="186"/>
      <c r="U292" s="223"/>
      <c r="V292" s="223"/>
      <c r="W292" s="223"/>
    </row>
    <row r="293" spans="1:23" s="175" customFormat="1" ht="13" customHeight="1">
      <c r="A293" s="207"/>
      <c r="B293" s="164"/>
      <c r="C293" s="167" t="str">
        <f>IFERROR(IF(VLOOKUP($B293,勘定科目!$A:$H,HLOOKUP($E$5,勘定科目!$F$1:$H$2,2,0),0)="","",VLOOKUP($B293,勘定科目!$A:$E,2,0)),"")</f>
        <v/>
      </c>
      <c r="D293" s="216" t="str">
        <f>IF(C293="","",VLOOKUP($B293,勘定科目!$A:$E,4,0))</f>
        <v/>
      </c>
      <c r="E293" s="222"/>
      <c r="F293" s="178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184">
        <f t="shared" si="11"/>
        <v>0</v>
      </c>
      <c r="S293" s="185"/>
      <c r="T293" s="186"/>
      <c r="U293" s="223"/>
      <c r="V293" s="223"/>
      <c r="W293" s="223"/>
    </row>
    <row r="294" spans="1:23" s="175" customFormat="1" ht="13" customHeight="1">
      <c r="A294" s="207"/>
      <c r="B294" s="164"/>
      <c r="C294" s="167" t="str">
        <f>IFERROR(IF(VLOOKUP($B294,勘定科目!$A:$H,HLOOKUP($E$5,勘定科目!$F$1:$H$2,2,0),0)="","",VLOOKUP($B294,勘定科目!$A:$E,2,0)),"")</f>
        <v/>
      </c>
      <c r="D294" s="216" t="str">
        <f>IF(C294="","",VLOOKUP($B294,勘定科目!$A:$E,4,0))</f>
        <v/>
      </c>
      <c r="E294" s="222"/>
      <c r="F294" s="178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184">
        <f t="shared" si="11"/>
        <v>0</v>
      </c>
      <c r="S294" s="185"/>
      <c r="T294" s="186"/>
      <c r="U294" s="223"/>
      <c r="V294" s="223"/>
      <c r="W294" s="223"/>
    </row>
    <row r="295" spans="1:23" s="175" customFormat="1" ht="13" customHeight="1">
      <c r="A295" s="207"/>
      <c r="B295" s="164"/>
      <c r="C295" s="167" t="str">
        <f>IFERROR(IF(VLOOKUP($B295,勘定科目!$A:$H,HLOOKUP($E$5,勘定科目!$F$1:$H$2,2,0),0)="","",VLOOKUP($B295,勘定科目!$A:$E,2,0)),"")</f>
        <v/>
      </c>
      <c r="D295" s="216" t="str">
        <f>IF(C295="","",VLOOKUP($B295,勘定科目!$A:$E,4,0))</f>
        <v/>
      </c>
      <c r="E295" s="222"/>
      <c r="F295" s="178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184">
        <f t="shared" si="11"/>
        <v>0</v>
      </c>
      <c r="S295" s="185"/>
      <c r="T295" s="186"/>
      <c r="U295" s="223"/>
      <c r="V295" s="223"/>
      <c r="W295" s="223"/>
    </row>
    <row r="296" spans="1:23" s="175" customFormat="1" ht="13" customHeight="1">
      <c r="A296" s="207"/>
      <c r="B296" s="164"/>
      <c r="C296" s="167" t="str">
        <f>IFERROR(IF(VLOOKUP($B296,勘定科目!$A:$H,HLOOKUP($E$5,勘定科目!$F$1:$H$2,2,0),0)="","",VLOOKUP($B296,勘定科目!$A:$E,2,0)),"")</f>
        <v/>
      </c>
      <c r="D296" s="216" t="str">
        <f>IF(C296="","",VLOOKUP($B296,勘定科目!$A:$E,4,0))</f>
        <v/>
      </c>
      <c r="E296" s="222"/>
      <c r="F296" s="178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184">
        <f t="shared" si="11"/>
        <v>0</v>
      </c>
      <c r="S296" s="185"/>
      <c r="T296" s="186"/>
      <c r="U296" s="223"/>
      <c r="V296" s="223"/>
      <c r="W296" s="223"/>
    </row>
    <row r="297" spans="1:23" s="175" customFormat="1" ht="13" customHeight="1">
      <c r="A297" s="207"/>
      <c r="B297" s="164"/>
      <c r="C297" s="167" t="str">
        <f>IFERROR(IF(VLOOKUP($B297,勘定科目!$A:$H,HLOOKUP($E$5,勘定科目!$F$1:$H$2,2,0),0)="","",VLOOKUP($B297,勘定科目!$A:$E,2,0)),"")</f>
        <v/>
      </c>
      <c r="D297" s="216" t="str">
        <f>IF(C297="","",VLOOKUP($B297,勘定科目!$A:$E,4,0))</f>
        <v/>
      </c>
      <c r="E297" s="222"/>
      <c r="F297" s="178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184">
        <f t="shared" si="11"/>
        <v>0</v>
      </c>
      <c r="S297" s="185"/>
      <c r="T297" s="186"/>
      <c r="U297" s="223"/>
      <c r="V297" s="223"/>
      <c r="W297" s="223"/>
    </row>
    <row r="298" spans="1:23" s="175" customFormat="1" ht="13" customHeight="1">
      <c r="A298" s="207"/>
      <c r="B298" s="164"/>
      <c r="C298" s="167" t="str">
        <f>IFERROR(IF(VLOOKUP($B298,勘定科目!$A:$H,HLOOKUP($E$5,勘定科目!$F$1:$H$2,2,0),0)="","",VLOOKUP($B298,勘定科目!$A:$E,2,0)),"")</f>
        <v/>
      </c>
      <c r="D298" s="216" t="str">
        <f>IF(C298="","",VLOOKUP($B298,勘定科目!$A:$E,4,0))</f>
        <v/>
      </c>
      <c r="E298" s="222"/>
      <c r="F298" s="178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184">
        <f t="shared" si="11"/>
        <v>0</v>
      </c>
      <c r="S298" s="185"/>
      <c r="T298" s="186"/>
      <c r="U298" s="223"/>
      <c r="V298" s="223"/>
      <c r="W298" s="223"/>
    </row>
    <row r="299" spans="1:23" s="175" customFormat="1" ht="13" customHeight="1">
      <c r="A299" s="207"/>
      <c r="B299" s="164"/>
      <c r="C299" s="167" t="str">
        <f>IFERROR(IF(VLOOKUP($B299,勘定科目!$A:$H,HLOOKUP($E$5,勘定科目!$F$1:$H$2,2,0),0)="","",VLOOKUP($B299,勘定科目!$A:$E,2,0)),"")</f>
        <v/>
      </c>
      <c r="D299" s="216" t="str">
        <f>IF(C299="","",VLOOKUP($B299,勘定科目!$A:$E,4,0))</f>
        <v/>
      </c>
      <c r="E299" s="222"/>
      <c r="F299" s="178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184">
        <f t="shared" si="11"/>
        <v>0</v>
      </c>
      <c r="S299" s="185"/>
      <c r="T299" s="186"/>
      <c r="U299" s="223"/>
      <c r="V299" s="223"/>
      <c r="W299" s="223"/>
    </row>
    <row r="300" spans="1:23" s="175" customFormat="1" ht="13" customHeight="1">
      <c r="A300" s="207"/>
      <c r="B300" s="164"/>
      <c r="C300" s="167" t="str">
        <f>IFERROR(IF(VLOOKUP($B300,勘定科目!$A:$H,HLOOKUP($E$5,勘定科目!$F$1:$H$2,2,0),0)="","",VLOOKUP($B300,勘定科目!$A:$E,2,0)),"")</f>
        <v/>
      </c>
      <c r="D300" s="216" t="str">
        <f>IF(C300="","",VLOOKUP($B300,勘定科目!$A:$E,4,0))</f>
        <v/>
      </c>
      <c r="E300" s="222"/>
      <c r="F300" s="178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184">
        <f t="shared" si="11"/>
        <v>0</v>
      </c>
      <c r="S300" s="185"/>
      <c r="T300" s="186"/>
      <c r="U300" s="223"/>
      <c r="V300" s="223"/>
      <c r="W300" s="223"/>
    </row>
    <row r="301" spans="1:23" s="175" customFormat="1" ht="13" customHeight="1">
      <c r="A301" s="207"/>
      <c r="B301" s="164"/>
      <c r="C301" s="167" t="str">
        <f>IFERROR(IF(VLOOKUP($B301,勘定科目!$A:$H,HLOOKUP($E$5,勘定科目!$F$1:$H$2,2,0),0)="","",VLOOKUP($B301,勘定科目!$A:$E,2,0)),"")</f>
        <v/>
      </c>
      <c r="D301" s="216" t="str">
        <f>IF(C301="","",VLOOKUP($B301,勘定科目!$A:$E,4,0))</f>
        <v/>
      </c>
      <c r="E301" s="222"/>
      <c r="F301" s="178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184">
        <f t="shared" si="11"/>
        <v>0</v>
      </c>
      <c r="S301" s="185"/>
      <c r="T301" s="186"/>
      <c r="U301" s="223"/>
      <c r="V301" s="223"/>
      <c r="W301" s="223"/>
    </row>
    <row r="302" spans="1:23" s="175" customFormat="1" ht="13" customHeight="1">
      <c r="A302" s="207"/>
      <c r="B302" s="164"/>
      <c r="C302" s="167" t="str">
        <f>IFERROR(IF(VLOOKUP($B302,勘定科目!$A:$H,HLOOKUP($E$5,勘定科目!$F$1:$H$2,2,0),0)="","",VLOOKUP($B302,勘定科目!$A:$E,2,0)),"")</f>
        <v/>
      </c>
      <c r="D302" s="216" t="str">
        <f>IF(C302="","",VLOOKUP($B302,勘定科目!$A:$E,4,0))</f>
        <v/>
      </c>
      <c r="E302" s="222"/>
      <c r="F302" s="178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184">
        <f t="shared" si="11"/>
        <v>0</v>
      </c>
      <c r="S302" s="185"/>
      <c r="T302" s="186"/>
      <c r="U302" s="223"/>
      <c r="V302" s="223"/>
      <c r="W302" s="223"/>
    </row>
    <row r="303" spans="1:23" s="175" customFormat="1" ht="13" customHeight="1">
      <c r="A303" s="207"/>
      <c r="B303" s="164"/>
      <c r="C303" s="167" t="str">
        <f>IFERROR(IF(VLOOKUP($B303,勘定科目!$A:$H,HLOOKUP($E$5,勘定科目!$F$1:$H$2,2,0),0)="","",VLOOKUP($B303,勘定科目!$A:$E,2,0)),"")</f>
        <v/>
      </c>
      <c r="D303" s="216" t="str">
        <f>IF(C303="","",VLOOKUP($B303,勘定科目!$A:$E,4,0))</f>
        <v/>
      </c>
      <c r="E303" s="222"/>
      <c r="F303" s="178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184">
        <f t="shared" si="11"/>
        <v>0</v>
      </c>
      <c r="S303" s="185"/>
      <c r="T303" s="186"/>
      <c r="U303" s="223"/>
      <c r="V303" s="223"/>
      <c r="W303" s="223"/>
    </row>
    <row r="304" spans="1:23" s="175" customFormat="1" ht="13" customHeight="1">
      <c r="A304" s="207"/>
      <c r="B304" s="164"/>
      <c r="C304" s="167" t="str">
        <f>IFERROR(IF(VLOOKUP($B304,勘定科目!$A:$H,HLOOKUP($E$5,勘定科目!$F$1:$H$2,2,0),0)="","",VLOOKUP($B304,勘定科目!$A:$E,2,0)),"")</f>
        <v/>
      </c>
      <c r="D304" s="216" t="str">
        <f>IF(C304="","",VLOOKUP($B304,勘定科目!$A:$E,4,0))</f>
        <v/>
      </c>
      <c r="E304" s="222"/>
      <c r="F304" s="178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184">
        <f t="shared" si="11"/>
        <v>0</v>
      </c>
      <c r="S304" s="185"/>
      <c r="T304" s="186"/>
      <c r="U304" s="223"/>
      <c r="V304" s="223"/>
      <c r="W304" s="223"/>
    </row>
    <row r="305" spans="1:23" s="175" customFormat="1" ht="13" customHeight="1">
      <c r="A305" s="207"/>
      <c r="B305" s="164"/>
      <c r="C305" s="167" t="str">
        <f>IFERROR(IF(VLOOKUP($B305,勘定科目!$A:$H,HLOOKUP($E$5,勘定科目!$F$1:$H$2,2,0),0)="","",VLOOKUP($B305,勘定科目!$A:$E,2,0)),"")</f>
        <v/>
      </c>
      <c r="D305" s="216" t="str">
        <f>IF(C305="","",VLOOKUP($B305,勘定科目!$A:$E,4,0))</f>
        <v/>
      </c>
      <c r="E305" s="222"/>
      <c r="F305" s="178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184">
        <f t="shared" si="11"/>
        <v>0</v>
      </c>
      <c r="S305" s="185"/>
      <c r="T305" s="186"/>
      <c r="U305" s="223"/>
      <c r="V305" s="223"/>
      <c r="W305" s="223"/>
    </row>
    <row r="306" spans="1:23" s="175" customFormat="1" ht="13" customHeight="1">
      <c r="A306" s="207"/>
      <c r="B306" s="164"/>
      <c r="C306" s="167" t="str">
        <f>IFERROR(IF(VLOOKUP($B306,勘定科目!$A:$H,HLOOKUP($E$5,勘定科目!$F$1:$H$2,2,0),0)="","",VLOOKUP($B306,勘定科目!$A:$E,2,0)),"")</f>
        <v/>
      </c>
      <c r="D306" s="216" t="str">
        <f>IF(C306="","",VLOOKUP($B306,勘定科目!$A:$E,4,0))</f>
        <v/>
      </c>
      <c r="E306" s="222"/>
      <c r="F306" s="178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184">
        <f t="shared" si="11"/>
        <v>0</v>
      </c>
      <c r="S306" s="185"/>
      <c r="T306" s="186"/>
      <c r="U306" s="223"/>
      <c r="V306" s="223"/>
      <c r="W306" s="223"/>
    </row>
    <row r="307" spans="1:23" s="175" customFormat="1" ht="13" customHeight="1">
      <c r="A307" s="207"/>
      <c r="B307" s="164"/>
      <c r="C307" s="167" t="str">
        <f>IFERROR(IF(VLOOKUP($B307,勘定科目!$A:$H,HLOOKUP($E$5,勘定科目!$F$1:$H$2,2,0),0)="","",VLOOKUP($B307,勘定科目!$A:$E,2,0)),"")</f>
        <v/>
      </c>
      <c r="D307" s="216" t="str">
        <f>IF(C307="","",VLOOKUP($B307,勘定科目!$A:$E,4,0))</f>
        <v/>
      </c>
      <c r="E307" s="222"/>
      <c r="F307" s="178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184">
        <f t="shared" si="11"/>
        <v>0</v>
      </c>
      <c r="S307" s="185"/>
      <c r="T307" s="186"/>
      <c r="U307" s="223"/>
      <c r="V307" s="223"/>
      <c r="W307" s="223"/>
    </row>
    <row r="308" spans="1:23" s="175" customFormat="1" ht="13" customHeight="1">
      <c r="A308" s="207"/>
      <c r="B308" s="164"/>
      <c r="C308" s="167" t="str">
        <f>IFERROR(IF(VLOOKUP($B308,勘定科目!$A:$H,HLOOKUP($E$5,勘定科目!$F$1:$H$2,2,0),0)="","",VLOOKUP($B308,勘定科目!$A:$E,2,0)),"")</f>
        <v/>
      </c>
      <c r="D308" s="216" t="str">
        <f>IF(C308="","",VLOOKUP($B308,勘定科目!$A:$E,4,0))</f>
        <v/>
      </c>
      <c r="E308" s="222"/>
      <c r="F308" s="178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184">
        <f t="shared" si="11"/>
        <v>0</v>
      </c>
      <c r="S308" s="185"/>
      <c r="T308" s="186"/>
      <c r="U308" s="223"/>
      <c r="V308" s="223"/>
      <c r="W308" s="223"/>
    </row>
    <row r="309" spans="1:23" s="175" customFormat="1" ht="13" customHeight="1">
      <c r="A309" s="207"/>
      <c r="B309" s="164"/>
      <c r="C309" s="167" t="str">
        <f>IFERROR(IF(VLOOKUP($B309,勘定科目!$A:$H,HLOOKUP($E$5,勘定科目!$F$1:$H$2,2,0),0)="","",VLOOKUP($B309,勘定科目!$A:$E,2,0)),"")</f>
        <v/>
      </c>
      <c r="D309" s="216" t="str">
        <f>IF(C309="","",VLOOKUP($B309,勘定科目!$A:$E,4,0))</f>
        <v/>
      </c>
      <c r="E309" s="222"/>
      <c r="F309" s="178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184">
        <f t="shared" si="11"/>
        <v>0</v>
      </c>
      <c r="S309" s="185"/>
      <c r="T309" s="186"/>
      <c r="U309" s="223"/>
      <c r="V309" s="223"/>
      <c r="W309" s="223"/>
    </row>
    <row r="310" spans="1:23" s="175" customFormat="1" ht="13" customHeight="1">
      <c r="A310" s="207"/>
      <c r="B310" s="164"/>
      <c r="C310" s="167" t="str">
        <f>IFERROR(IF(VLOOKUP($B310,勘定科目!$A:$H,HLOOKUP($E$5,勘定科目!$F$1:$H$2,2,0),0)="","",VLOOKUP($B310,勘定科目!$A:$E,2,0)),"")</f>
        <v/>
      </c>
      <c r="D310" s="216" t="str">
        <f>IF(C310="","",VLOOKUP($B310,勘定科目!$A:$E,4,0))</f>
        <v/>
      </c>
      <c r="E310" s="222"/>
      <c r="F310" s="178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184">
        <f t="shared" si="11"/>
        <v>0</v>
      </c>
      <c r="S310" s="185"/>
      <c r="T310" s="186"/>
      <c r="U310" s="223"/>
      <c r="V310" s="223"/>
      <c r="W310" s="223"/>
    </row>
    <row r="311" spans="1:23" s="175" customFormat="1" ht="13" customHeight="1">
      <c r="A311" s="207"/>
      <c r="B311" s="164"/>
      <c r="C311" s="167" t="str">
        <f>IFERROR(IF(VLOOKUP($B311,勘定科目!$A:$H,HLOOKUP($E$5,勘定科目!$F$1:$H$2,2,0),0)="","",VLOOKUP($B311,勘定科目!$A:$E,2,0)),"")</f>
        <v/>
      </c>
      <c r="D311" s="216" t="str">
        <f>IF(C311="","",VLOOKUP($B311,勘定科目!$A:$E,4,0))</f>
        <v/>
      </c>
      <c r="E311" s="222"/>
      <c r="F311" s="178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184">
        <f t="shared" si="11"/>
        <v>0</v>
      </c>
      <c r="S311" s="185"/>
      <c r="T311" s="186"/>
      <c r="U311" s="223"/>
      <c r="V311" s="223"/>
      <c r="W311" s="223"/>
    </row>
    <row r="312" spans="1:23" s="175" customFormat="1" ht="13" customHeight="1">
      <c r="A312" s="207"/>
      <c r="B312" s="164"/>
      <c r="C312" s="167" t="str">
        <f>IFERROR(IF(VLOOKUP($B312,勘定科目!$A:$H,HLOOKUP($E$5,勘定科目!$F$1:$H$2,2,0),0)="","",VLOOKUP($B312,勘定科目!$A:$E,2,0)),"")</f>
        <v/>
      </c>
      <c r="D312" s="216" t="str">
        <f>IF(C312="","",VLOOKUP($B312,勘定科目!$A:$E,4,0))</f>
        <v/>
      </c>
      <c r="E312" s="222"/>
      <c r="F312" s="178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184">
        <f t="shared" si="11"/>
        <v>0</v>
      </c>
      <c r="S312" s="185"/>
      <c r="T312" s="186"/>
      <c r="U312" s="223"/>
      <c r="V312" s="223"/>
      <c r="W312" s="223"/>
    </row>
    <row r="313" spans="1:23" s="175" customFormat="1" ht="13" customHeight="1">
      <c r="A313" s="207"/>
      <c r="B313" s="164"/>
      <c r="C313" s="167" t="str">
        <f>IFERROR(IF(VLOOKUP($B313,勘定科目!$A:$H,HLOOKUP($E$5,勘定科目!$F$1:$H$2,2,0),0)="","",VLOOKUP($B313,勘定科目!$A:$E,2,0)),"")</f>
        <v/>
      </c>
      <c r="D313" s="216" t="str">
        <f>IF(C313="","",VLOOKUP($B313,勘定科目!$A:$E,4,0))</f>
        <v/>
      </c>
      <c r="E313" s="222"/>
      <c r="F313" s="178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184">
        <f t="shared" si="11"/>
        <v>0</v>
      </c>
      <c r="S313" s="185"/>
      <c r="T313" s="186"/>
      <c r="U313" s="223"/>
      <c r="V313" s="223"/>
      <c r="W313" s="223"/>
    </row>
    <row r="314" spans="1:23" s="175" customFormat="1" ht="13" customHeight="1">
      <c r="A314" s="207"/>
      <c r="B314" s="164"/>
      <c r="C314" s="167" t="str">
        <f>IFERROR(IF(VLOOKUP($B314,勘定科目!$A:$H,HLOOKUP($E$5,勘定科目!$F$1:$H$2,2,0),0)="","",VLOOKUP($B314,勘定科目!$A:$E,2,0)),"")</f>
        <v/>
      </c>
      <c r="D314" s="216" t="str">
        <f>IF(C314="","",VLOOKUP($B314,勘定科目!$A:$E,4,0))</f>
        <v/>
      </c>
      <c r="E314" s="222"/>
      <c r="F314" s="178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184">
        <f t="shared" si="11"/>
        <v>0</v>
      </c>
      <c r="S314" s="185"/>
      <c r="T314" s="186"/>
      <c r="U314" s="223"/>
      <c r="V314" s="223"/>
      <c r="W314" s="223"/>
    </row>
    <row r="315" spans="1:23" s="175" customFormat="1" ht="13" customHeight="1">
      <c r="A315" s="207"/>
      <c r="B315" s="164"/>
      <c r="C315" s="167" t="str">
        <f>IFERROR(IF(VLOOKUP($B315,勘定科目!$A:$H,HLOOKUP($E$5,勘定科目!$F$1:$H$2,2,0),0)="","",VLOOKUP($B315,勘定科目!$A:$E,2,0)),"")</f>
        <v/>
      </c>
      <c r="D315" s="216" t="str">
        <f>IF(C315="","",VLOOKUP($B315,勘定科目!$A:$E,4,0))</f>
        <v/>
      </c>
      <c r="E315" s="222"/>
      <c r="F315" s="178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184">
        <f t="shared" si="11"/>
        <v>0</v>
      </c>
      <c r="S315" s="185"/>
      <c r="T315" s="186"/>
      <c r="U315" s="223"/>
      <c r="V315" s="223"/>
      <c r="W315" s="223"/>
    </row>
    <row r="316" spans="1:23" s="175" customFormat="1" ht="13" customHeight="1">
      <c r="A316" s="207"/>
      <c r="B316" s="164"/>
      <c r="C316" s="167" t="str">
        <f>IFERROR(IF(VLOOKUP($B316,勘定科目!$A:$H,HLOOKUP($E$5,勘定科目!$F$1:$H$2,2,0),0)="","",VLOOKUP($B316,勘定科目!$A:$E,2,0)),"")</f>
        <v/>
      </c>
      <c r="D316" s="216" t="str">
        <f>IF(C316="","",VLOOKUP($B316,勘定科目!$A:$E,4,0))</f>
        <v/>
      </c>
      <c r="E316" s="222"/>
      <c r="F316" s="178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184">
        <f t="shared" si="11"/>
        <v>0</v>
      </c>
      <c r="S316" s="185"/>
      <c r="T316" s="186"/>
      <c r="U316" s="223"/>
      <c r="V316" s="223"/>
      <c r="W316" s="223"/>
    </row>
    <row r="317" spans="1:23" s="175" customFormat="1" ht="13" customHeight="1">
      <c r="A317" s="207"/>
      <c r="B317" s="164"/>
      <c r="C317" s="167" t="str">
        <f>IFERROR(IF(VLOOKUP($B317,勘定科目!$A:$H,HLOOKUP($E$5,勘定科目!$F$1:$H$2,2,0),0)="","",VLOOKUP($B317,勘定科目!$A:$E,2,0)),"")</f>
        <v/>
      </c>
      <c r="D317" s="216" t="str">
        <f>IF(C317="","",VLOOKUP($B317,勘定科目!$A:$E,4,0))</f>
        <v/>
      </c>
      <c r="E317" s="222"/>
      <c r="F317" s="178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184">
        <f t="shared" si="11"/>
        <v>0</v>
      </c>
      <c r="S317" s="185"/>
      <c r="T317" s="186"/>
      <c r="U317" s="223"/>
      <c r="V317" s="223"/>
      <c r="W317" s="223"/>
    </row>
    <row r="318" spans="1:23" s="175" customFormat="1" ht="13" customHeight="1">
      <c r="A318" s="207"/>
      <c r="B318" s="164"/>
      <c r="C318" s="167" t="str">
        <f>IFERROR(IF(VLOOKUP($B318,勘定科目!$A:$H,HLOOKUP($E$5,勘定科目!$F$1:$H$2,2,0),0)="","",VLOOKUP($B318,勘定科目!$A:$E,2,0)),"")</f>
        <v/>
      </c>
      <c r="D318" s="216" t="str">
        <f>IF(C318="","",VLOOKUP($B318,勘定科目!$A:$E,4,0))</f>
        <v/>
      </c>
      <c r="E318" s="222"/>
      <c r="F318" s="178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184">
        <f t="shared" si="11"/>
        <v>0</v>
      </c>
      <c r="S318" s="185"/>
      <c r="T318" s="186"/>
      <c r="U318" s="223"/>
      <c r="V318" s="223"/>
      <c r="W318" s="223"/>
    </row>
    <row r="319" spans="1:23" s="175" customFormat="1" ht="13" customHeight="1">
      <c r="A319" s="207"/>
      <c r="B319" s="164"/>
      <c r="C319" s="167" t="str">
        <f>IFERROR(IF(VLOOKUP($B319,勘定科目!$A:$H,HLOOKUP($E$5,勘定科目!$F$1:$H$2,2,0),0)="","",VLOOKUP($B319,勘定科目!$A:$E,2,0)),"")</f>
        <v/>
      </c>
      <c r="D319" s="216" t="str">
        <f>IF(C319="","",VLOOKUP($B319,勘定科目!$A:$E,4,0))</f>
        <v/>
      </c>
      <c r="E319" s="222"/>
      <c r="F319" s="178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184">
        <f t="shared" si="11"/>
        <v>0</v>
      </c>
      <c r="S319" s="185"/>
      <c r="T319" s="186"/>
      <c r="U319" s="223"/>
      <c r="V319" s="223"/>
      <c r="W319" s="223"/>
    </row>
    <row r="320" spans="1:23" s="175" customFormat="1" ht="13" customHeight="1">
      <c r="A320" s="207"/>
      <c r="B320" s="164"/>
      <c r="C320" s="167" t="str">
        <f>IFERROR(IF(VLOOKUP($B320,勘定科目!$A:$H,HLOOKUP($E$5,勘定科目!$F$1:$H$2,2,0),0)="","",VLOOKUP($B320,勘定科目!$A:$E,2,0)),"")</f>
        <v/>
      </c>
      <c r="D320" s="216" t="str">
        <f>IF(C320="","",VLOOKUP($B320,勘定科目!$A:$E,4,0))</f>
        <v/>
      </c>
      <c r="E320" s="222"/>
      <c r="F320" s="178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184">
        <f t="shared" si="11"/>
        <v>0</v>
      </c>
      <c r="S320" s="185"/>
      <c r="T320" s="186"/>
      <c r="U320" s="223"/>
      <c r="V320" s="223"/>
      <c r="W320" s="223"/>
    </row>
    <row r="321" spans="1:23" s="175" customFormat="1" ht="13" customHeight="1">
      <c r="A321" s="207"/>
      <c r="B321" s="164"/>
      <c r="C321" s="167" t="str">
        <f>IFERROR(IF(VLOOKUP($B321,勘定科目!$A:$H,HLOOKUP($E$5,勘定科目!$F$1:$H$2,2,0),0)="","",VLOOKUP($B321,勘定科目!$A:$E,2,0)),"")</f>
        <v/>
      </c>
      <c r="D321" s="216" t="str">
        <f>IF(C321="","",VLOOKUP($B321,勘定科目!$A:$E,4,0))</f>
        <v/>
      </c>
      <c r="E321" s="222"/>
      <c r="F321" s="178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184">
        <f t="shared" si="11"/>
        <v>0</v>
      </c>
      <c r="S321" s="185"/>
      <c r="T321" s="186"/>
      <c r="U321" s="223"/>
      <c r="V321" s="223"/>
      <c r="W321" s="223"/>
    </row>
    <row r="322" spans="1:23" s="175" customFormat="1" ht="13" customHeight="1">
      <c r="A322" s="207"/>
      <c r="B322" s="164"/>
      <c r="C322" s="167" t="str">
        <f>IFERROR(IF(VLOOKUP($B322,勘定科目!$A:$H,HLOOKUP($E$5,勘定科目!$F$1:$H$2,2,0),0)="","",VLOOKUP($B322,勘定科目!$A:$E,2,0)),"")</f>
        <v/>
      </c>
      <c r="D322" s="216" t="str">
        <f>IF(C322="","",VLOOKUP($B322,勘定科目!$A:$E,4,0))</f>
        <v/>
      </c>
      <c r="E322" s="222"/>
      <c r="F322" s="178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184">
        <f t="shared" si="11"/>
        <v>0</v>
      </c>
      <c r="S322" s="185"/>
      <c r="T322" s="186"/>
      <c r="U322" s="223"/>
      <c r="V322" s="223"/>
      <c r="W322" s="223"/>
    </row>
    <row r="323" spans="1:23" s="175" customFormat="1" ht="13" customHeight="1">
      <c r="A323" s="207"/>
      <c r="B323" s="164"/>
      <c r="C323" s="167" t="str">
        <f>IFERROR(IF(VLOOKUP($B323,勘定科目!$A:$H,HLOOKUP($E$5,勘定科目!$F$1:$H$2,2,0),0)="","",VLOOKUP($B323,勘定科目!$A:$E,2,0)),"")</f>
        <v/>
      </c>
      <c r="D323" s="216" t="str">
        <f>IF(C323="","",VLOOKUP($B323,勘定科目!$A:$E,4,0))</f>
        <v/>
      </c>
      <c r="E323" s="222"/>
      <c r="F323" s="178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184">
        <f t="shared" si="11"/>
        <v>0</v>
      </c>
      <c r="S323" s="185"/>
      <c r="T323" s="186"/>
      <c r="U323" s="223"/>
      <c r="V323" s="223"/>
      <c r="W323" s="223"/>
    </row>
    <row r="324" spans="1:23" s="175" customFormat="1" ht="13" customHeight="1">
      <c r="A324" s="207"/>
      <c r="B324" s="164"/>
      <c r="C324" s="167" t="str">
        <f>IFERROR(IF(VLOOKUP($B324,勘定科目!$A:$H,HLOOKUP($E$5,勘定科目!$F$1:$H$2,2,0),0)="","",VLOOKUP($B324,勘定科目!$A:$E,2,0)),"")</f>
        <v/>
      </c>
      <c r="D324" s="216" t="str">
        <f>IF(C324="","",VLOOKUP($B324,勘定科目!$A:$E,4,0))</f>
        <v/>
      </c>
      <c r="E324" s="222"/>
      <c r="F324" s="178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184">
        <f t="shared" si="11"/>
        <v>0</v>
      </c>
      <c r="S324" s="185"/>
      <c r="T324" s="186"/>
      <c r="U324" s="223"/>
      <c r="V324" s="223"/>
      <c r="W324" s="223"/>
    </row>
    <row r="325" spans="1:23" s="175" customFormat="1" ht="13" customHeight="1">
      <c r="A325" s="207"/>
      <c r="B325" s="164"/>
      <c r="C325" s="167" t="str">
        <f>IFERROR(IF(VLOOKUP($B325,勘定科目!$A:$H,HLOOKUP($E$5,勘定科目!$F$1:$H$2,2,0),0)="","",VLOOKUP($B325,勘定科目!$A:$E,2,0)),"")</f>
        <v/>
      </c>
      <c r="D325" s="216" t="str">
        <f>IF(C325="","",VLOOKUP($B325,勘定科目!$A:$E,4,0))</f>
        <v/>
      </c>
      <c r="E325" s="222"/>
      <c r="F325" s="178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184">
        <f t="shared" si="11"/>
        <v>0</v>
      </c>
      <c r="S325" s="185"/>
      <c r="T325" s="186"/>
      <c r="U325" s="223"/>
      <c r="V325" s="223"/>
      <c r="W325" s="223"/>
    </row>
    <row r="326" spans="1:23" s="175" customFormat="1" ht="13" customHeight="1">
      <c r="A326" s="207"/>
      <c r="B326" s="164"/>
      <c r="C326" s="167" t="str">
        <f>IFERROR(IF(VLOOKUP($B326,勘定科目!$A:$H,HLOOKUP($E$5,勘定科目!$F$1:$H$2,2,0),0)="","",VLOOKUP($B326,勘定科目!$A:$E,2,0)),"")</f>
        <v/>
      </c>
      <c r="D326" s="216" t="str">
        <f>IF(C326="","",VLOOKUP($B326,勘定科目!$A:$E,4,0))</f>
        <v/>
      </c>
      <c r="E326" s="222"/>
      <c r="F326" s="178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184">
        <f t="shared" si="11"/>
        <v>0</v>
      </c>
      <c r="S326" s="185"/>
      <c r="T326" s="186"/>
      <c r="U326" s="223"/>
      <c r="V326" s="223"/>
      <c r="W326" s="223"/>
    </row>
    <row r="327" spans="1:23" s="175" customFormat="1" ht="13" customHeight="1">
      <c r="A327" s="207"/>
      <c r="B327" s="164"/>
      <c r="C327" s="167" t="str">
        <f>IFERROR(IF(VLOOKUP($B327,勘定科目!$A:$H,HLOOKUP($E$5,勘定科目!$F$1:$H$2,2,0),0)="","",VLOOKUP($B327,勘定科目!$A:$E,2,0)),"")</f>
        <v/>
      </c>
      <c r="D327" s="216" t="str">
        <f>IF(C327="","",VLOOKUP($B327,勘定科目!$A:$E,4,0))</f>
        <v/>
      </c>
      <c r="E327" s="222"/>
      <c r="F327" s="178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184">
        <f t="shared" si="11"/>
        <v>0</v>
      </c>
      <c r="S327" s="185"/>
      <c r="T327" s="186"/>
      <c r="U327" s="223"/>
      <c r="V327" s="223"/>
      <c r="W327" s="223"/>
    </row>
    <row r="328" spans="1:23" s="175" customFormat="1" ht="13" customHeight="1">
      <c r="A328" s="207"/>
      <c r="B328" s="164"/>
      <c r="C328" s="167" t="str">
        <f>IFERROR(IF(VLOOKUP($B328,勘定科目!$A:$H,HLOOKUP($E$5,勘定科目!$F$1:$H$2,2,0),0)="","",VLOOKUP($B328,勘定科目!$A:$E,2,0)),"")</f>
        <v/>
      </c>
      <c r="D328" s="216" t="str">
        <f>IF(C328="","",VLOOKUP($B328,勘定科目!$A:$E,4,0))</f>
        <v/>
      </c>
      <c r="E328" s="222"/>
      <c r="F328" s="178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184">
        <f t="shared" si="11"/>
        <v>0</v>
      </c>
      <c r="S328" s="185"/>
      <c r="T328" s="186"/>
      <c r="U328" s="223"/>
      <c r="V328" s="223"/>
      <c r="W328" s="223"/>
    </row>
    <row r="329" spans="1:23" s="175" customFormat="1" ht="13" customHeight="1">
      <c r="A329" s="207"/>
      <c r="B329" s="164"/>
      <c r="C329" s="167" t="str">
        <f>IFERROR(IF(VLOOKUP($B329,勘定科目!$A:$H,HLOOKUP($E$5,勘定科目!$F$1:$H$2,2,0),0)="","",VLOOKUP($B329,勘定科目!$A:$E,2,0)),"")</f>
        <v/>
      </c>
      <c r="D329" s="216" t="str">
        <f>IF(C329="","",VLOOKUP($B329,勘定科目!$A:$E,4,0))</f>
        <v/>
      </c>
      <c r="E329" s="222"/>
      <c r="F329" s="178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184">
        <f t="shared" si="11"/>
        <v>0</v>
      </c>
      <c r="S329" s="185"/>
      <c r="T329" s="186"/>
      <c r="U329" s="223"/>
      <c r="V329" s="223"/>
      <c r="W329" s="223"/>
    </row>
    <row r="330" spans="1:23" s="175" customFormat="1" ht="13" customHeight="1">
      <c r="A330" s="207"/>
      <c r="B330" s="164"/>
      <c r="C330" s="167" t="str">
        <f>IFERROR(IF(VLOOKUP($B330,勘定科目!$A:$H,HLOOKUP($E$5,勘定科目!$F$1:$H$2,2,0),0)="","",VLOOKUP($B330,勘定科目!$A:$E,2,0)),"")</f>
        <v/>
      </c>
      <c r="D330" s="216" t="str">
        <f>IF(C330="","",VLOOKUP($B330,勘定科目!$A:$E,4,0))</f>
        <v/>
      </c>
      <c r="E330" s="222"/>
      <c r="F330" s="178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184">
        <f t="shared" si="11"/>
        <v>0</v>
      </c>
      <c r="S330" s="185"/>
      <c r="T330" s="186"/>
      <c r="U330" s="223"/>
      <c r="V330" s="223"/>
      <c r="W330" s="223"/>
    </row>
    <row r="331" spans="1:23" s="175" customFormat="1" ht="13" customHeight="1">
      <c r="A331" s="207"/>
      <c r="B331" s="164"/>
      <c r="C331" s="167" t="str">
        <f>IFERROR(IF(VLOOKUP($B331,勘定科目!$A:$H,HLOOKUP($E$5,勘定科目!$F$1:$H$2,2,0),0)="","",VLOOKUP($B331,勘定科目!$A:$E,2,0)),"")</f>
        <v/>
      </c>
      <c r="D331" s="216" t="str">
        <f>IF(C331="","",VLOOKUP($B331,勘定科目!$A:$E,4,0))</f>
        <v/>
      </c>
      <c r="E331" s="222"/>
      <c r="F331" s="178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184">
        <f t="shared" si="11"/>
        <v>0</v>
      </c>
      <c r="S331" s="185"/>
      <c r="T331" s="186"/>
      <c r="U331" s="223"/>
      <c r="V331" s="223"/>
      <c r="W331" s="223"/>
    </row>
    <row r="332" spans="1:23" s="175" customFormat="1" ht="13" customHeight="1">
      <c r="A332" s="207"/>
      <c r="B332" s="164"/>
      <c r="C332" s="167" t="str">
        <f>IFERROR(IF(VLOOKUP($B332,勘定科目!$A:$H,HLOOKUP($E$5,勘定科目!$F$1:$H$2,2,0),0)="","",VLOOKUP($B332,勘定科目!$A:$E,2,0)),"")</f>
        <v/>
      </c>
      <c r="D332" s="216" t="str">
        <f>IF(C332="","",VLOOKUP($B332,勘定科目!$A:$E,4,0))</f>
        <v/>
      </c>
      <c r="E332" s="222"/>
      <c r="F332" s="178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184">
        <f t="shared" si="11"/>
        <v>0</v>
      </c>
      <c r="S332" s="185"/>
      <c r="T332" s="186"/>
      <c r="U332" s="223"/>
      <c r="V332" s="223"/>
      <c r="W332" s="223"/>
    </row>
    <row r="333" spans="1:23" s="175" customFormat="1" ht="13" customHeight="1">
      <c r="A333" s="166"/>
      <c r="B333" s="163"/>
      <c r="C333" s="167" t="str">
        <f>IFERROR(IF(VLOOKUP($B333,勘定科目!$A:$H,HLOOKUP($E$5,勘定科目!$F$1:$H$2,2,0),0)="","",VLOOKUP($B333,勘定科目!$A:$E,2,0)),"")</f>
        <v/>
      </c>
      <c r="D333" s="216" t="str">
        <f>IF(C333="","",VLOOKUP($B333,勘定科目!$A:$E,4,0))</f>
        <v/>
      </c>
      <c r="E333" s="222"/>
      <c r="F333" s="217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184">
        <f t="shared" si="11"/>
        <v>0</v>
      </c>
      <c r="S333" s="185"/>
      <c r="T333" s="186"/>
      <c r="U333" s="223"/>
      <c r="V333" s="223"/>
      <c r="W333" s="223"/>
    </row>
    <row r="334" spans="1:23" s="175" customFormat="1" ht="13" customHeight="1">
      <c r="A334" s="166"/>
      <c r="B334" s="163"/>
      <c r="C334" s="167" t="str">
        <f>IFERROR(IF(VLOOKUP($B334,勘定科目!$A:$H,HLOOKUP($E$5,勘定科目!$F$1:$H$2,2,0),0)="","",VLOOKUP($B334,勘定科目!$A:$E,2,0)),"")</f>
        <v/>
      </c>
      <c r="D334" s="216" t="str">
        <f>IF(C334="","",VLOOKUP($B334,勘定科目!$A:$E,4,0))</f>
        <v/>
      </c>
      <c r="E334" s="222"/>
      <c r="F334" s="217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184">
        <f t="shared" si="11"/>
        <v>0</v>
      </c>
      <c r="S334" s="185"/>
      <c r="T334" s="186"/>
      <c r="U334" s="223"/>
      <c r="V334" s="223"/>
      <c r="W334" s="223"/>
    </row>
    <row r="335" spans="1:23" s="175" customFormat="1" ht="13" customHeight="1">
      <c r="A335" s="166"/>
      <c r="B335" s="163"/>
      <c r="C335" s="167" t="str">
        <f>IFERROR(IF(VLOOKUP($B335,勘定科目!$A:$H,HLOOKUP($E$5,勘定科目!$F$1:$H$2,2,0),0)="","",VLOOKUP($B335,勘定科目!$A:$E,2,0)),"")</f>
        <v/>
      </c>
      <c r="D335" s="216" t="str">
        <f>IF(C335="","",VLOOKUP($B335,勘定科目!$A:$E,4,0))</f>
        <v/>
      </c>
      <c r="E335" s="222"/>
      <c r="F335" s="217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184">
        <f t="shared" si="11"/>
        <v>0</v>
      </c>
      <c r="S335" s="185"/>
      <c r="T335" s="186"/>
      <c r="U335" s="223"/>
      <c r="V335" s="223"/>
      <c r="W335" s="223"/>
    </row>
    <row r="336" spans="1:23" s="175" customFormat="1" ht="13" customHeight="1">
      <c r="A336" s="166"/>
      <c r="B336" s="163"/>
      <c r="C336" s="167" t="str">
        <f>IFERROR(IF(VLOOKUP($B336,勘定科目!$A:$H,HLOOKUP($E$5,勘定科目!$F$1:$H$2,2,0),0)="","",VLOOKUP($B336,勘定科目!$A:$E,2,0)),"")</f>
        <v/>
      </c>
      <c r="D336" s="216" t="str">
        <f>IF(C336="","",VLOOKUP($B336,勘定科目!$A:$E,4,0))</f>
        <v/>
      </c>
      <c r="E336" s="222"/>
      <c r="F336" s="217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184">
        <f t="shared" si="11"/>
        <v>0</v>
      </c>
      <c r="S336" s="185"/>
      <c r="T336" s="186"/>
      <c r="U336" s="223"/>
      <c r="V336" s="223"/>
      <c r="W336" s="223"/>
    </row>
    <row r="337" spans="1:23" s="175" customFormat="1" ht="13" customHeight="1">
      <c r="A337" s="166"/>
      <c r="B337" s="163"/>
      <c r="C337" s="167" t="str">
        <f>IFERROR(IF(VLOOKUP($B337,勘定科目!$A:$H,HLOOKUP($E$5,勘定科目!$F$1:$H$2,2,0),0)="","",VLOOKUP($B337,勘定科目!$A:$E,2,0)),"")</f>
        <v/>
      </c>
      <c r="D337" s="216" t="str">
        <f>IF(C337="","",VLOOKUP($B337,勘定科目!$A:$E,4,0))</f>
        <v/>
      </c>
      <c r="E337" s="222"/>
      <c r="F337" s="217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184">
        <f t="shared" si="11"/>
        <v>0</v>
      </c>
      <c r="S337" s="185"/>
      <c r="T337" s="186"/>
      <c r="U337" s="223"/>
      <c r="V337" s="223"/>
      <c r="W337" s="223"/>
    </row>
    <row r="338" spans="1:23" s="175" customFormat="1" ht="13" customHeight="1">
      <c r="A338" s="166"/>
      <c r="B338" s="163"/>
      <c r="C338" s="167" t="str">
        <f>IFERROR(IF(VLOOKUP($B338,勘定科目!$A:$H,HLOOKUP($E$5,勘定科目!$F$1:$H$2,2,0),0)="","",VLOOKUP($B338,勘定科目!$A:$E,2,0)),"")</f>
        <v/>
      </c>
      <c r="D338" s="216" t="str">
        <f>IF(C338="","",VLOOKUP($B338,勘定科目!$A:$E,4,0))</f>
        <v/>
      </c>
      <c r="E338" s="222"/>
      <c r="F338" s="217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184">
        <f t="shared" si="11"/>
        <v>0</v>
      </c>
      <c r="S338" s="185"/>
      <c r="T338" s="186"/>
      <c r="U338" s="223"/>
      <c r="V338" s="223"/>
      <c r="W338" s="223"/>
    </row>
    <row r="339" spans="1:23" s="175" customFormat="1" ht="13" customHeight="1">
      <c r="A339" s="166"/>
      <c r="B339" s="163"/>
      <c r="C339" s="167" t="str">
        <f>IFERROR(IF(VLOOKUP($B339,勘定科目!$A:$H,HLOOKUP($E$5,勘定科目!$F$1:$H$2,2,0),0)="","",VLOOKUP($B339,勘定科目!$A:$E,2,0)),"")</f>
        <v/>
      </c>
      <c r="D339" s="216" t="str">
        <f>IF(C339="","",VLOOKUP($B339,勘定科目!$A:$E,4,0))</f>
        <v/>
      </c>
      <c r="E339" s="222"/>
      <c r="F339" s="217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184">
        <f t="shared" si="11"/>
        <v>0</v>
      </c>
      <c r="S339" s="185"/>
      <c r="T339" s="186"/>
      <c r="U339" s="223"/>
      <c r="V339" s="223"/>
      <c r="W339" s="223"/>
    </row>
    <row r="340" spans="1:23" s="175" customFormat="1" ht="13" customHeight="1">
      <c r="A340" s="166"/>
      <c r="B340" s="163"/>
      <c r="C340" s="167" t="str">
        <f>IFERROR(IF(VLOOKUP($B340,勘定科目!$A:$H,HLOOKUP($E$5,勘定科目!$F$1:$H$2,2,0),0)="","",VLOOKUP($B340,勘定科目!$A:$E,2,0)),"")</f>
        <v/>
      </c>
      <c r="D340" s="216" t="str">
        <f>IF(C340="","",VLOOKUP($B340,勘定科目!$A:$E,4,0))</f>
        <v/>
      </c>
      <c r="E340" s="222"/>
      <c r="F340" s="217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184">
        <f t="shared" si="11"/>
        <v>0</v>
      </c>
      <c r="S340" s="185"/>
      <c r="T340" s="186"/>
      <c r="U340" s="223"/>
      <c r="V340" s="223"/>
      <c r="W340" s="223"/>
    </row>
    <row r="341" spans="1:23" s="175" customFormat="1" ht="13" customHeight="1">
      <c r="A341" s="166"/>
      <c r="B341" s="163"/>
      <c r="C341" s="167" t="str">
        <f>IFERROR(IF(VLOOKUP($B341,勘定科目!$A:$H,HLOOKUP($E$5,勘定科目!$F$1:$H$2,2,0),0)="","",VLOOKUP($B341,勘定科目!$A:$E,2,0)),"")</f>
        <v/>
      </c>
      <c r="D341" s="216" t="str">
        <f>IF(C341="","",VLOOKUP($B341,勘定科目!$A:$E,4,0))</f>
        <v/>
      </c>
      <c r="E341" s="222"/>
      <c r="F341" s="217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184">
        <f t="shared" si="11"/>
        <v>0</v>
      </c>
      <c r="S341" s="185"/>
      <c r="T341" s="186"/>
      <c r="U341" s="223"/>
      <c r="V341" s="223"/>
      <c r="W341" s="223"/>
    </row>
    <row r="342" spans="1:23" s="175" customFormat="1" ht="13" customHeight="1">
      <c r="A342" s="166"/>
      <c r="B342" s="163"/>
      <c r="C342" s="167" t="str">
        <f>IFERROR(IF(VLOOKUP($B342,勘定科目!$A:$H,HLOOKUP($E$5,勘定科目!$F$1:$H$2,2,0),0)="","",VLOOKUP($B342,勘定科目!$A:$E,2,0)),"")</f>
        <v/>
      </c>
      <c r="D342" s="216" t="str">
        <f>IF(C342="","",VLOOKUP($B342,勘定科目!$A:$E,4,0))</f>
        <v/>
      </c>
      <c r="E342" s="222"/>
      <c r="F342" s="217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184">
        <f t="shared" si="11"/>
        <v>0</v>
      </c>
      <c r="S342" s="185"/>
      <c r="T342" s="186"/>
      <c r="U342" s="223"/>
      <c r="V342" s="223"/>
      <c r="W342" s="223"/>
    </row>
    <row r="343" spans="1:23" s="175" customFormat="1" ht="13" customHeight="1">
      <c r="A343" s="166"/>
      <c r="B343" s="163"/>
      <c r="C343" s="167" t="str">
        <f>IFERROR(IF(VLOOKUP($B343,勘定科目!$A:$H,HLOOKUP($E$5,勘定科目!$F$1:$H$2,2,0),0)="","",VLOOKUP($B343,勘定科目!$A:$E,2,0)),"")</f>
        <v/>
      </c>
      <c r="D343" s="216" t="str">
        <f>IF(C343="","",VLOOKUP($B343,勘定科目!$A:$E,4,0))</f>
        <v/>
      </c>
      <c r="E343" s="222"/>
      <c r="F343" s="217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184">
        <f t="shared" si="11"/>
        <v>0</v>
      </c>
      <c r="S343" s="185"/>
      <c r="T343" s="186"/>
      <c r="U343" s="223"/>
      <c r="V343" s="223"/>
      <c r="W343" s="223"/>
    </row>
    <row r="344" spans="1:23" s="175" customFormat="1" ht="13" customHeight="1">
      <c r="A344" s="166"/>
      <c r="B344" s="163"/>
      <c r="C344" s="167" t="str">
        <f>IFERROR(IF(VLOOKUP($B344,勘定科目!$A:$H,HLOOKUP($E$5,勘定科目!$F$1:$H$2,2,0),0)="","",VLOOKUP($B344,勘定科目!$A:$E,2,0)),"")</f>
        <v/>
      </c>
      <c r="D344" s="216" t="str">
        <f>IF(C344="","",VLOOKUP($B344,勘定科目!$A:$E,4,0))</f>
        <v/>
      </c>
      <c r="E344" s="222"/>
      <c r="F344" s="217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184">
        <f t="shared" si="11"/>
        <v>0</v>
      </c>
      <c r="S344" s="185"/>
      <c r="T344" s="186"/>
      <c r="U344" s="223"/>
      <c r="V344" s="223"/>
      <c r="W344" s="223"/>
    </row>
    <row r="345" spans="1:23" s="175" customFormat="1" ht="13" customHeight="1">
      <c r="A345" s="166"/>
      <c r="B345" s="163"/>
      <c r="C345" s="167" t="str">
        <f>IFERROR(IF(VLOOKUP($B345,勘定科目!$A:$H,HLOOKUP($E$5,勘定科目!$F$1:$H$2,2,0),0)="","",VLOOKUP($B345,勘定科目!$A:$E,2,0)),"")</f>
        <v/>
      </c>
      <c r="D345" s="216" t="str">
        <f>IF(C345="","",VLOOKUP($B345,勘定科目!$A:$E,4,0))</f>
        <v/>
      </c>
      <c r="E345" s="222"/>
      <c r="F345" s="217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184">
        <f t="shared" si="11"/>
        <v>0</v>
      </c>
      <c r="S345" s="185"/>
      <c r="T345" s="186"/>
      <c r="U345" s="223"/>
      <c r="V345" s="223"/>
      <c r="W345" s="223"/>
    </row>
    <row r="346" spans="1:23" s="175" customFormat="1" ht="13" customHeight="1">
      <c r="A346" s="166"/>
      <c r="B346" s="163"/>
      <c r="C346" s="167" t="str">
        <f>IFERROR(IF(VLOOKUP($B346,勘定科目!$A:$H,HLOOKUP($E$5,勘定科目!$F$1:$H$2,2,0),0)="","",VLOOKUP($B346,勘定科目!$A:$E,2,0)),"")</f>
        <v/>
      </c>
      <c r="D346" s="216" t="str">
        <f>IF(C346="","",VLOOKUP($B346,勘定科目!$A:$E,4,0))</f>
        <v/>
      </c>
      <c r="E346" s="222"/>
      <c r="F346" s="217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184">
        <f t="shared" ref="R346:R409" si="12">SUM(F346:Q346)</f>
        <v>0</v>
      </c>
      <c r="S346" s="185"/>
      <c r="T346" s="186"/>
      <c r="U346" s="223"/>
      <c r="V346" s="223"/>
      <c r="W346" s="223"/>
    </row>
    <row r="347" spans="1:23" s="175" customFormat="1" ht="13" customHeight="1">
      <c r="A347" s="166"/>
      <c r="B347" s="163"/>
      <c r="C347" s="167" t="str">
        <f>IFERROR(IF(VLOOKUP($B347,勘定科目!$A:$H,HLOOKUP($E$5,勘定科目!$F$1:$H$2,2,0),0)="","",VLOOKUP($B347,勘定科目!$A:$E,2,0)),"")</f>
        <v/>
      </c>
      <c r="D347" s="216" t="str">
        <f>IF(C347="","",VLOOKUP($B347,勘定科目!$A:$E,4,0))</f>
        <v/>
      </c>
      <c r="E347" s="222"/>
      <c r="F347" s="217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184">
        <f t="shared" si="12"/>
        <v>0</v>
      </c>
      <c r="S347" s="185"/>
      <c r="T347" s="186"/>
      <c r="U347" s="223"/>
      <c r="V347" s="223"/>
      <c r="W347" s="223"/>
    </row>
    <row r="348" spans="1:23" s="175" customFormat="1" ht="13" customHeight="1">
      <c r="A348" s="166"/>
      <c r="B348" s="163"/>
      <c r="C348" s="167" t="str">
        <f>IFERROR(IF(VLOOKUP($B348,勘定科目!$A:$H,HLOOKUP($E$5,勘定科目!$F$1:$H$2,2,0),0)="","",VLOOKUP($B348,勘定科目!$A:$E,2,0)),"")</f>
        <v/>
      </c>
      <c r="D348" s="216" t="str">
        <f>IF(C348="","",VLOOKUP($B348,勘定科目!$A:$E,4,0))</f>
        <v/>
      </c>
      <c r="E348" s="222"/>
      <c r="F348" s="217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184">
        <f t="shared" si="12"/>
        <v>0</v>
      </c>
      <c r="S348" s="185"/>
      <c r="T348" s="186"/>
      <c r="U348" s="223"/>
      <c r="V348" s="223"/>
      <c r="W348" s="223"/>
    </row>
    <row r="349" spans="1:23" s="175" customFormat="1" ht="13" customHeight="1">
      <c r="A349" s="166"/>
      <c r="B349" s="163"/>
      <c r="C349" s="167" t="str">
        <f>IFERROR(IF(VLOOKUP($B349,勘定科目!$A:$H,HLOOKUP($E$5,勘定科目!$F$1:$H$2,2,0),0)="","",VLOOKUP($B349,勘定科目!$A:$E,2,0)),"")</f>
        <v/>
      </c>
      <c r="D349" s="216" t="str">
        <f>IF(C349="","",VLOOKUP($B349,勘定科目!$A:$E,4,0))</f>
        <v/>
      </c>
      <c r="E349" s="222"/>
      <c r="F349" s="217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184">
        <f t="shared" si="12"/>
        <v>0</v>
      </c>
      <c r="S349" s="185"/>
      <c r="T349" s="186"/>
      <c r="U349" s="223"/>
      <c r="V349" s="223"/>
      <c r="W349" s="223"/>
    </row>
    <row r="350" spans="1:23" s="175" customFormat="1" ht="13" customHeight="1">
      <c r="A350" s="166"/>
      <c r="B350" s="163"/>
      <c r="C350" s="167" t="str">
        <f>IFERROR(IF(VLOOKUP($B350,勘定科目!$A:$H,HLOOKUP($E$5,勘定科目!$F$1:$H$2,2,0),0)="","",VLOOKUP($B350,勘定科目!$A:$E,2,0)),"")</f>
        <v/>
      </c>
      <c r="D350" s="216" t="str">
        <f>IF(C350="","",VLOOKUP($B350,勘定科目!$A:$E,4,0))</f>
        <v/>
      </c>
      <c r="E350" s="222"/>
      <c r="F350" s="217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184">
        <f t="shared" si="12"/>
        <v>0</v>
      </c>
      <c r="S350" s="185"/>
      <c r="T350" s="186"/>
      <c r="U350" s="223"/>
      <c r="V350" s="223"/>
      <c r="W350" s="223"/>
    </row>
    <row r="351" spans="1:23" s="175" customFormat="1" ht="13" customHeight="1">
      <c r="A351" s="166"/>
      <c r="B351" s="163"/>
      <c r="C351" s="167" t="str">
        <f>IFERROR(IF(VLOOKUP($B351,勘定科目!$A:$H,HLOOKUP($E$5,勘定科目!$F$1:$H$2,2,0),0)="","",VLOOKUP($B351,勘定科目!$A:$E,2,0)),"")</f>
        <v/>
      </c>
      <c r="D351" s="216" t="str">
        <f>IF(C351="","",VLOOKUP($B351,勘定科目!$A:$E,4,0))</f>
        <v/>
      </c>
      <c r="E351" s="222"/>
      <c r="F351" s="217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184">
        <f t="shared" si="12"/>
        <v>0</v>
      </c>
      <c r="S351" s="185"/>
      <c r="T351" s="186"/>
      <c r="U351" s="223"/>
      <c r="V351" s="223"/>
      <c r="W351" s="223"/>
    </row>
    <row r="352" spans="1:23" s="175" customFormat="1" ht="13" customHeight="1">
      <c r="A352" s="166"/>
      <c r="B352" s="163"/>
      <c r="C352" s="167" t="str">
        <f>IFERROR(IF(VLOOKUP($B352,勘定科目!$A:$H,HLOOKUP($E$5,勘定科目!$F$1:$H$2,2,0),0)="","",VLOOKUP($B352,勘定科目!$A:$E,2,0)),"")</f>
        <v/>
      </c>
      <c r="D352" s="216" t="str">
        <f>IF(C352="","",VLOOKUP($B352,勘定科目!$A:$E,4,0))</f>
        <v/>
      </c>
      <c r="E352" s="222"/>
      <c r="F352" s="217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184">
        <f t="shared" si="12"/>
        <v>0</v>
      </c>
      <c r="S352" s="185"/>
      <c r="T352" s="186"/>
      <c r="U352" s="223"/>
      <c r="V352" s="223"/>
      <c r="W352" s="223"/>
    </row>
    <row r="353" spans="1:23" s="175" customFormat="1" ht="13" customHeight="1">
      <c r="A353" s="166"/>
      <c r="B353" s="163"/>
      <c r="C353" s="167" t="str">
        <f>IFERROR(IF(VLOOKUP($B353,勘定科目!$A:$H,HLOOKUP($E$5,勘定科目!$F$1:$H$2,2,0),0)="","",VLOOKUP($B353,勘定科目!$A:$E,2,0)),"")</f>
        <v/>
      </c>
      <c r="D353" s="216" t="str">
        <f>IF(C353="","",VLOOKUP($B353,勘定科目!$A:$E,4,0))</f>
        <v/>
      </c>
      <c r="E353" s="222"/>
      <c r="F353" s="217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184">
        <f t="shared" si="12"/>
        <v>0</v>
      </c>
      <c r="S353" s="185"/>
      <c r="T353" s="186"/>
      <c r="U353" s="223"/>
      <c r="V353" s="223"/>
      <c r="W353" s="223"/>
    </row>
    <row r="354" spans="1:23" s="175" customFormat="1" ht="13" customHeight="1">
      <c r="A354" s="166"/>
      <c r="B354" s="163"/>
      <c r="C354" s="167" t="str">
        <f>IFERROR(IF(VLOOKUP($B354,勘定科目!$A:$H,HLOOKUP($E$5,勘定科目!$F$1:$H$2,2,0),0)="","",VLOOKUP($B354,勘定科目!$A:$E,2,0)),"")</f>
        <v/>
      </c>
      <c r="D354" s="216" t="str">
        <f>IF(C354="","",VLOOKUP($B354,勘定科目!$A:$E,4,0))</f>
        <v/>
      </c>
      <c r="E354" s="222"/>
      <c r="F354" s="217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184">
        <f t="shared" si="12"/>
        <v>0</v>
      </c>
      <c r="S354" s="185"/>
      <c r="T354" s="186"/>
      <c r="U354" s="223"/>
      <c r="V354" s="223"/>
      <c r="W354" s="223"/>
    </row>
    <row r="355" spans="1:23" s="175" customFormat="1" ht="13" customHeight="1">
      <c r="A355" s="166"/>
      <c r="B355" s="163"/>
      <c r="C355" s="167" t="str">
        <f>IFERROR(IF(VLOOKUP($B355,勘定科目!$A:$H,HLOOKUP($E$5,勘定科目!$F$1:$H$2,2,0),0)="","",VLOOKUP($B355,勘定科目!$A:$E,2,0)),"")</f>
        <v/>
      </c>
      <c r="D355" s="216" t="str">
        <f>IF(C355="","",VLOOKUP($B355,勘定科目!$A:$E,4,0))</f>
        <v/>
      </c>
      <c r="E355" s="222"/>
      <c r="F355" s="217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184">
        <f t="shared" si="12"/>
        <v>0</v>
      </c>
      <c r="S355" s="185"/>
      <c r="T355" s="186"/>
      <c r="U355" s="223"/>
      <c r="V355" s="223"/>
      <c r="W355" s="223"/>
    </row>
    <row r="356" spans="1:23" s="175" customFormat="1" ht="13" customHeight="1">
      <c r="A356" s="166"/>
      <c r="B356" s="163"/>
      <c r="C356" s="167" t="str">
        <f>IFERROR(IF(VLOOKUP($B356,勘定科目!$A:$H,HLOOKUP($E$5,勘定科目!$F$1:$H$2,2,0),0)="","",VLOOKUP($B356,勘定科目!$A:$E,2,0)),"")</f>
        <v/>
      </c>
      <c r="D356" s="216" t="str">
        <f>IF(C356="","",VLOOKUP($B356,勘定科目!$A:$E,4,0))</f>
        <v/>
      </c>
      <c r="E356" s="222"/>
      <c r="F356" s="217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184">
        <f t="shared" si="12"/>
        <v>0</v>
      </c>
      <c r="S356" s="185"/>
      <c r="T356" s="186"/>
      <c r="U356" s="223"/>
      <c r="V356" s="223"/>
      <c r="W356" s="223"/>
    </row>
    <row r="357" spans="1:23" s="175" customFormat="1" ht="13" customHeight="1">
      <c r="A357" s="166"/>
      <c r="B357" s="163"/>
      <c r="C357" s="167" t="str">
        <f>IFERROR(IF(VLOOKUP($B357,勘定科目!$A:$H,HLOOKUP($E$5,勘定科目!$F$1:$H$2,2,0),0)="","",VLOOKUP($B357,勘定科目!$A:$E,2,0)),"")</f>
        <v/>
      </c>
      <c r="D357" s="216" t="str">
        <f>IF(C357="","",VLOOKUP($B357,勘定科目!$A:$E,4,0))</f>
        <v/>
      </c>
      <c r="E357" s="222"/>
      <c r="F357" s="217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184">
        <f t="shared" si="12"/>
        <v>0</v>
      </c>
      <c r="S357" s="185"/>
      <c r="T357" s="186"/>
      <c r="U357" s="223"/>
      <c r="V357" s="223"/>
      <c r="W357" s="223"/>
    </row>
    <row r="358" spans="1:23" s="175" customFormat="1" ht="13" customHeight="1">
      <c r="A358" s="166"/>
      <c r="B358" s="163"/>
      <c r="C358" s="167" t="str">
        <f>IFERROR(IF(VLOOKUP($B358,勘定科目!$A:$H,HLOOKUP($E$5,勘定科目!$F$1:$H$2,2,0),0)="","",VLOOKUP($B358,勘定科目!$A:$E,2,0)),"")</f>
        <v/>
      </c>
      <c r="D358" s="216" t="str">
        <f>IF(C358="","",VLOOKUP($B358,勘定科目!$A:$E,4,0))</f>
        <v/>
      </c>
      <c r="E358" s="222"/>
      <c r="F358" s="217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184">
        <f t="shared" si="12"/>
        <v>0</v>
      </c>
      <c r="S358" s="185"/>
      <c r="T358" s="186"/>
      <c r="U358" s="223"/>
      <c r="V358" s="223"/>
      <c r="W358" s="223"/>
    </row>
    <row r="359" spans="1:23" s="175" customFormat="1" ht="13" customHeight="1">
      <c r="A359" s="166"/>
      <c r="B359" s="163"/>
      <c r="C359" s="167" t="str">
        <f>IFERROR(IF(VLOOKUP($B359,勘定科目!$A:$H,HLOOKUP($E$5,勘定科目!$F$1:$H$2,2,0),0)="","",VLOOKUP($B359,勘定科目!$A:$E,2,0)),"")</f>
        <v/>
      </c>
      <c r="D359" s="216" t="str">
        <f>IF(C359="","",VLOOKUP($B359,勘定科目!$A:$E,4,0))</f>
        <v/>
      </c>
      <c r="E359" s="222"/>
      <c r="F359" s="217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184">
        <f t="shared" si="12"/>
        <v>0</v>
      </c>
      <c r="S359" s="185"/>
      <c r="T359" s="186"/>
      <c r="U359" s="223"/>
      <c r="V359" s="223"/>
      <c r="W359" s="223"/>
    </row>
    <row r="360" spans="1:23" s="175" customFormat="1" ht="13" customHeight="1">
      <c r="A360" s="166"/>
      <c r="B360" s="163"/>
      <c r="C360" s="167" t="str">
        <f>IFERROR(IF(VLOOKUP($B360,勘定科目!$A:$H,HLOOKUP($E$5,勘定科目!$F$1:$H$2,2,0),0)="","",VLOOKUP($B360,勘定科目!$A:$E,2,0)),"")</f>
        <v/>
      </c>
      <c r="D360" s="216" t="str">
        <f>IF(C360="","",VLOOKUP($B360,勘定科目!$A:$E,4,0))</f>
        <v/>
      </c>
      <c r="E360" s="222"/>
      <c r="F360" s="217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184">
        <f t="shared" si="12"/>
        <v>0</v>
      </c>
      <c r="S360" s="185"/>
      <c r="T360" s="186"/>
      <c r="U360" s="223"/>
      <c r="V360" s="223"/>
      <c r="W360" s="223"/>
    </row>
    <row r="361" spans="1:23" s="175" customFormat="1" ht="13" customHeight="1">
      <c r="A361" s="166"/>
      <c r="B361" s="163"/>
      <c r="C361" s="167" t="str">
        <f>IFERROR(IF(VLOOKUP($B361,勘定科目!$A:$H,HLOOKUP($E$5,勘定科目!$F$1:$H$2,2,0),0)="","",VLOOKUP($B361,勘定科目!$A:$E,2,0)),"")</f>
        <v/>
      </c>
      <c r="D361" s="216" t="str">
        <f>IF(C361="","",VLOOKUP($B361,勘定科目!$A:$E,4,0))</f>
        <v/>
      </c>
      <c r="E361" s="222"/>
      <c r="F361" s="217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184">
        <f t="shared" si="12"/>
        <v>0</v>
      </c>
      <c r="S361" s="185"/>
      <c r="T361" s="186"/>
      <c r="U361" s="223"/>
      <c r="V361" s="223"/>
      <c r="W361" s="223"/>
    </row>
    <row r="362" spans="1:23" s="175" customFormat="1" ht="13" customHeight="1">
      <c r="A362" s="166"/>
      <c r="B362" s="163"/>
      <c r="C362" s="167" t="str">
        <f>IFERROR(IF(VLOOKUP($B362,勘定科目!$A:$H,HLOOKUP($E$5,勘定科目!$F$1:$H$2,2,0),0)="","",VLOOKUP($B362,勘定科目!$A:$E,2,0)),"")</f>
        <v/>
      </c>
      <c r="D362" s="216" t="str">
        <f>IF(C362="","",VLOOKUP($B362,勘定科目!$A:$E,4,0))</f>
        <v/>
      </c>
      <c r="E362" s="222"/>
      <c r="F362" s="217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184">
        <f t="shared" si="12"/>
        <v>0</v>
      </c>
      <c r="S362" s="185"/>
      <c r="T362" s="186"/>
      <c r="U362" s="223"/>
      <c r="V362" s="223"/>
      <c r="W362" s="223"/>
    </row>
    <row r="363" spans="1:23" s="175" customFormat="1" ht="13" customHeight="1">
      <c r="A363" s="166"/>
      <c r="B363" s="163"/>
      <c r="C363" s="167" t="str">
        <f>IFERROR(IF(VLOOKUP($B363,勘定科目!$A:$H,HLOOKUP($E$5,勘定科目!$F$1:$H$2,2,0),0)="","",VLOOKUP($B363,勘定科目!$A:$E,2,0)),"")</f>
        <v/>
      </c>
      <c r="D363" s="216" t="str">
        <f>IF(C363="","",VLOOKUP($B363,勘定科目!$A:$E,4,0))</f>
        <v/>
      </c>
      <c r="E363" s="222"/>
      <c r="F363" s="217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184">
        <f t="shared" si="12"/>
        <v>0</v>
      </c>
      <c r="S363" s="185"/>
      <c r="T363" s="186"/>
      <c r="U363" s="223"/>
      <c r="V363" s="223"/>
      <c r="W363" s="223"/>
    </row>
    <row r="364" spans="1:23" s="175" customFormat="1" ht="13" customHeight="1">
      <c r="A364" s="166"/>
      <c r="B364" s="163"/>
      <c r="C364" s="167" t="str">
        <f>IFERROR(IF(VLOOKUP($B364,勘定科目!$A:$H,HLOOKUP($E$5,勘定科目!$F$1:$H$2,2,0),0)="","",VLOOKUP($B364,勘定科目!$A:$E,2,0)),"")</f>
        <v/>
      </c>
      <c r="D364" s="216" t="str">
        <f>IF(C364="","",VLOOKUP($B364,勘定科目!$A:$E,4,0))</f>
        <v/>
      </c>
      <c r="E364" s="222"/>
      <c r="F364" s="217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184">
        <f t="shared" si="12"/>
        <v>0</v>
      </c>
      <c r="S364" s="185"/>
      <c r="T364" s="186"/>
      <c r="U364" s="223"/>
      <c r="V364" s="223"/>
      <c r="W364" s="223"/>
    </row>
    <row r="365" spans="1:23" s="175" customFormat="1" ht="13" customHeight="1">
      <c r="A365" s="166"/>
      <c r="B365" s="163"/>
      <c r="C365" s="167" t="str">
        <f>IFERROR(IF(VLOOKUP($B365,勘定科目!$A:$H,HLOOKUP($E$5,勘定科目!$F$1:$H$2,2,0),0)="","",VLOOKUP($B365,勘定科目!$A:$E,2,0)),"")</f>
        <v/>
      </c>
      <c r="D365" s="216" t="str">
        <f>IF(C365="","",VLOOKUP($B365,勘定科目!$A:$E,4,0))</f>
        <v/>
      </c>
      <c r="E365" s="222"/>
      <c r="F365" s="217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184">
        <f t="shared" si="12"/>
        <v>0</v>
      </c>
      <c r="S365" s="185"/>
      <c r="T365" s="186"/>
      <c r="U365" s="223"/>
      <c r="V365" s="223"/>
      <c r="W365" s="223"/>
    </row>
    <row r="366" spans="1:23" s="175" customFormat="1" ht="13" customHeight="1">
      <c r="A366" s="166"/>
      <c r="B366" s="163"/>
      <c r="C366" s="167" t="str">
        <f>IFERROR(IF(VLOOKUP($B366,勘定科目!$A:$H,HLOOKUP($E$5,勘定科目!$F$1:$H$2,2,0),0)="","",VLOOKUP($B366,勘定科目!$A:$E,2,0)),"")</f>
        <v/>
      </c>
      <c r="D366" s="216" t="str">
        <f>IF(C366="","",VLOOKUP($B366,勘定科目!$A:$E,4,0))</f>
        <v/>
      </c>
      <c r="E366" s="222"/>
      <c r="F366" s="217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184">
        <f t="shared" si="12"/>
        <v>0</v>
      </c>
      <c r="S366" s="185"/>
      <c r="T366" s="186"/>
      <c r="U366" s="223"/>
      <c r="V366" s="223"/>
      <c r="W366" s="223"/>
    </row>
    <row r="367" spans="1:23" s="175" customFormat="1" ht="13" customHeight="1">
      <c r="A367" s="166"/>
      <c r="B367" s="163"/>
      <c r="C367" s="167" t="str">
        <f>IFERROR(IF(VLOOKUP($B367,勘定科目!$A:$H,HLOOKUP($E$5,勘定科目!$F$1:$H$2,2,0),0)="","",VLOOKUP($B367,勘定科目!$A:$E,2,0)),"")</f>
        <v/>
      </c>
      <c r="D367" s="216" t="str">
        <f>IF(C367="","",VLOOKUP($B367,勘定科目!$A:$E,4,0))</f>
        <v/>
      </c>
      <c r="E367" s="222"/>
      <c r="F367" s="217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184">
        <f t="shared" si="12"/>
        <v>0</v>
      </c>
      <c r="S367" s="185"/>
      <c r="T367" s="186"/>
      <c r="U367" s="223"/>
      <c r="V367" s="223"/>
      <c r="W367" s="223"/>
    </row>
    <row r="368" spans="1:23" s="175" customFormat="1" ht="13" customHeight="1">
      <c r="A368" s="166"/>
      <c r="B368" s="163"/>
      <c r="C368" s="167" t="str">
        <f>IFERROR(IF(VLOOKUP($B368,勘定科目!$A:$H,HLOOKUP($E$5,勘定科目!$F$1:$H$2,2,0),0)="","",VLOOKUP($B368,勘定科目!$A:$E,2,0)),"")</f>
        <v/>
      </c>
      <c r="D368" s="216" t="str">
        <f>IF(C368="","",VLOOKUP($B368,勘定科目!$A:$E,4,0))</f>
        <v/>
      </c>
      <c r="E368" s="222"/>
      <c r="F368" s="217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184">
        <f t="shared" si="12"/>
        <v>0</v>
      </c>
      <c r="S368" s="185"/>
      <c r="T368" s="186"/>
      <c r="U368" s="223"/>
      <c r="V368" s="223"/>
      <c r="W368" s="223"/>
    </row>
    <row r="369" spans="1:23" s="175" customFormat="1" ht="13" customHeight="1">
      <c r="A369" s="166"/>
      <c r="B369" s="163"/>
      <c r="C369" s="167" t="str">
        <f>IFERROR(IF(VLOOKUP($B369,勘定科目!$A:$H,HLOOKUP($E$5,勘定科目!$F$1:$H$2,2,0),0)="","",VLOOKUP($B369,勘定科目!$A:$E,2,0)),"")</f>
        <v/>
      </c>
      <c r="D369" s="216" t="str">
        <f>IF(C369="","",VLOOKUP($B369,勘定科目!$A:$E,4,0))</f>
        <v/>
      </c>
      <c r="E369" s="222"/>
      <c r="F369" s="217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184">
        <f t="shared" si="12"/>
        <v>0</v>
      </c>
      <c r="S369" s="185"/>
      <c r="T369" s="186"/>
      <c r="U369" s="223"/>
      <c r="V369" s="223"/>
      <c r="W369" s="223"/>
    </row>
    <row r="370" spans="1:23" s="175" customFormat="1" ht="13" customHeight="1">
      <c r="A370" s="166"/>
      <c r="B370" s="163"/>
      <c r="C370" s="167" t="str">
        <f>IFERROR(IF(VLOOKUP($B370,勘定科目!$A:$H,HLOOKUP($E$5,勘定科目!$F$1:$H$2,2,0),0)="","",VLOOKUP($B370,勘定科目!$A:$E,2,0)),"")</f>
        <v/>
      </c>
      <c r="D370" s="216" t="str">
        <f>IF(C370="","",VLOOKUP($B370,勘定科目!$A:$E,4,0))</f>
        <v/>
      </c>
      <c r="E370" s="222"/>
      <c r="F370" s="217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184">
        <f t="shared" si="12"/>
        <v>0</v>
      </c>
      <c r="S370" s="185"/>
      <c r="T370" s="186"/>
      <c r="U370" s="223"/>
      <c r="V370" s="223"/>
      <c r="W370" s="223"/>
    </row>
    <row r="371" spans="1:23" s="175" customFormat="1" ht="13" customHeight="1">
      <c r="A371" s="166"/>
      <c r="B371" s="163"/>
      <c r="C371" s="167" t="str">
        <f>IFERROR(IF(VLOOKUP($B371,勘定科目!$A:$H,HLOOKUP($E$5,勘定科目!$F$1:$H$2,2,0),0)="","",VLOOKUP($B371,勘定科目!$A:$E,2,0)),"")</f>
        <v/>
      </c>
      <c r="D371" s="216" t="str">
        <f>IF(C371="","",VLOOKUP($B371,勘定科目!$A:$E,4,0))</f>
        <v/>
      </c>
      <c r="E371" s="222"/>
      <c r="F371" s="217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184">
        <f t="shared" si="12"/>
        <v>0</v>
      </c>
      <c r="S371" s="185"/>
      <c r="T371" s="186"/>
      <c r="U371" s="223"/>
      <c r="V371" s="223"/>
      <c r="W371" s="223"/>
    </row>
    <row r="372" spans="1:23" s="175" customFormat="1" ht="13" customHeight="1">
      <c r="A372" s="166"/>
      <c r="B372" s="163"/>
      <c r="C372" s="167" t="str">
        <f>IFERROR(IF(VLOOKUP($B372,勘定科目!$A:$H,HLOOKUP($E$5,勘定科目!$F$1:$H$2,2,0),0)="","",VLOOKUP($B372,勘定科目!$A:$E,2,0)),"")</f>
        <v/>
      </c>
      <c r="D372" s="216" t="str">
        <f>IF(C372="","",VLOOKUP($B372,勘定科目!$A:$E,4,0))</f>
        <v/>
      </c>
      <c r="E372" s="222"/>
      <c r="F372" s="217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184">
        <f t="shared" si="12"/>
        <v>0</v>
      </c>
      <c r="S372" s="185"/>
      <c r="T372" s="186"/>
      <c r="U372" s="223"/>
      <c r="V372" s="223"/>
      <c r="W372" s="223"/>
    </row>
    <row r="373" spans="1:23" s="175" customFormat="1" ht="13" customHeight="1">
      <c r="A373" s="166"/>
      <c r="B373" s="163"/>
      <c r="C373" s="167" t="str">
        <f>IFERROR(IF(VLOOKUP($B373,勘定科目!$A:$H,HLOOKUP($E$5,勘定科目!$F$1:$H$2,2,0),0)="","",VLOOKUP($B373,勘定科目!$A:$E,2,0)),"")</f>
        <v/>
      </c>
      <c r="D373" s="216" t="str">
        <f>IF(C373="","",VLOOKUP($B373,勘定科目!$A:$E,4,0))</f>
        <v/>
      </c>
      <c r="E373" s="222"/>
      <c r="F373" s="217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184">
        <f t="shared" si="12"/>
        <v>0</v>
      </c>
      <c r="S373" s="185"/>
      <c r="T373" s="186"/>
      <c r="U373" s="223"/>
      <c r="V373" s="223"/>
      <c r="W373" s="223"/>
    </row>
    <row r="374" spans="1:23" s="175" customFormat="1" ht="13" customHeight="1">
      <c r="A374" s="166"/>
      <c r="B374" s="163"/>
      <c r="C374" s="167" t="str">
        <f>IFERROR(IF(VLOOKUP($B374,勘定科目!$A:$H,HLOOKUP($E$5,勘定科目!$F$1:$H$2,2,0),0)="","",VLOOKUP($B374,勘定科目!$A:$E,2,0)),"")</f>
        <v/>
      </c>
      <c r="D374" s="216" t="str">
        <f>IF(C374="","",VLOOKUP($B374,勘定科目!$A:$E,4,0))</f>
        <v/>
      </c>
      <c r="E374" s="222"/>
      <c r="F374" s="217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184">
        <f t="shared" si="12"/>
        <v>0</v>
      </c>
      <c r="S374" s="185"/>
      <c r="T374" s="186"/>
      <c r="U374" s="223"/>
      <c r="V374" s="223"/>
      <c r="W374" s="223"/>
    </row>
    <row r="375" spans="1:23" s="175" customFormat="1" ht="13" customHeight="1">
      <c r="A375" s="166"/>
      <c r="B375" s="163"/>
      <c r="C375" s="167" t="str">
        <f>IFERROR(IF(VLOOKUP($B375,勘定科目!$A:$H,HLOOKUP($E$5,勘定科目!$F$1:$H$2,2,0),0)="","",VLOOKUP($B375,勘定科目!$A:$E,2,0)),"")</f>
        <v/>
      </c>
      <c r="D375" s="216" t="str">
        <f>IF(C375="","",VLOOKUP($B375,勘定科目!$A:$E,4,0))</f>
        <v/>
      </c>
      <c r="E375" s="222"/>
      <c r="F375" s="217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184">
        <f t="shared" si="12"/>
        <v>0</v>
      </c>
      <c r="S375" s="185"/>
      <c r="T375" s="186"/>
      <c r="U375" s="223"/>
      <c r="V375" s="223"/>
      <c r="W375" s="223"/>
    </row>
    <row r="376" spans="1:23" s="175" customFormat="1" ht="13" customHeight="1">
      <c r="A376" s="166"/>
      <c r="B376" s="163"/>
      <c r="C376" s="167" t="str">
        <f>IFERROR(IF(VLOOKUP($B376,勘定科目!$A:$H,HLOOKUP($E$5,勘定科目!$F$1:$H$2,2,0),0)="","",VLOOKUP($B376,勘定科目!$A:$E,2,0)),"")</f>
        <v/>
      </c>
      <c r="D376" s="216" t="str">
        <f>IF(C376="","",VLOOKUP($B376,勘定科目!$A:$E,4,0))</f>
        <v/>
      </c>
      <c r="E376" s="222"/>
      <c r="F376" s="217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184">
        <f t="shared" si="12"/>
        <v>0</v>
      </c>
      <c r="S376" s="185"/>
      <c r="T376" s="186"/>
      <c r="U376" s="223"/>
      <c r="V376" s="223"/>
      <c r="W376" s="223"/>
    </row>
    <row r="377" spans="1:23" s="175" customFormat="1" ht="13" customHeight="1">
      <c r="A377" s="166"/>
      <c r="B377" s="163"/>
      <c r="C377" s="167" t="str">
        <f>IFERROR(IF(VLOOKUP($B377,勘定科目!$A:$H,HLOOKUP($E$5,勘定科目!$F$1:$H$2,2,0),0)="","",VLOOKUP($B377,勘定科目!$A:$E,2,0)),"")</f>
        <v/>
      </c>
      <c r="D377" s="216" t="str">
        <f>IF(C377="","",VLOOKUP($B377,勘定科目!$A:$E,4,0))</f>
        <v/>
      </c>
      <c r="E377" s="222"/>
      <c r="F377" s="217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184">
        <f t="shared" si="12"/>
        <v>0</v>
      </c>
      <c r="S377" s="185"/>
      <c r="T377" s="186"/>
      <c r="U377" s="223"/>
      <c r="V377" s="223"/>
      <c r="W377" s="223"/>
    </row>
    <row r="378" spans="1:23" s="175" customFormat="1" ht="13" customHeight="1">
      <c r="A378" s="166"/>
      <c r="B378" s="163"/>
      <c r="C378" s="167" t="str">
        <f>IFERROR(IF(VLOOKUP($B378,勘定科目!$A:$H,HLOOKUP($E$5,勘定科目!$F$1:$H$2,2,0),0)="","",VLOOKUP($B378,勘定科目!$A:$E,2,0)),"")</f>
        <v/>
      </c>
      <c r="D378" s="216" t="str">
        <f>IF(C378="","",VLOOKUP($B378,勘定科目!$A:$E,4,0))</f>
        <v/>
      </c>
      <c r="E378" s="222"/>
      <c r="F378" s="217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184">
        <f t="shared" si="12"/>
        <v>0</v>
      </c>
      <c r="S378" s="185"/>
      <c r="T378" s="186"/>
      <c r="U378" s="223"/>
      <c r="V378" s="223"/>
      <c r="W378" s="223"/>
    </row>
    <row r="379" spans="1:23" s="175" customFormat="1" ht="13" customHeight="1">
      <c r="A379" s="166"/>
      <c r="B379" s="163"/>
      <c r="C379" s="167" t="str">
        <f>IFERROR(IF(VLOOKUP($B379,勘定科目!$A:$H,HLOOKUP($E$5,勘定科目!$F$1:$H$2,2,0),0)="","",VLOOKUP($B379,勘定科目!$A:$E,2,0)),"")</f>
        <v/>
      </c>
      <c r="D379" s="216" t="str">
        <f>IF(C379="","",VLOOKUP($B379,勘定科目!$A:$E,4,0))</f>
        <v/>
      </c>
      <c r="E379" s="222"/>
      <c r="F379" s="217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184">
        <f t="shared" si="12"/>
        <v>0</v>
      </c>
      <c r="S379" s="185"/>
      <c r="T379" s="186"/>
      <c r="U379" s="223"/>
      <c r="V379" s="223"/>
      <c r="W379" s="223"/>
    </row>
    <row r="380" spans="1:23" s="175" customFormat="1" ht="13" customHeight="1">
      <c r="A380" s="166"/>
      <c r="B380" s="163"/>
      <c r="C380" s="167" t="str">
        <f>IFERROR(IF(VLOOKUP($B380,勘定科目!$A:$H,HLOOKUP($E$5,勘定科目!$F$1:$H$2,2,0),0)="","",VLOOKUP($B380,勘定科目!$A:$E,2,0)),"")</f>
        <v/>
      </c>
      <c r="D380" s="216" t="str">
        <f>IF(C380="","",VLOOKUP($B380,勘定科目!$A:$E,4,0))</f>
        <v/>
      </c>
      <c r="E380" s="222"/>
      <c r="F380" s="217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184">
        <f t="shared" si="12"/>
        <v>0</v>
      </c>
      <c r="S380" s="185"/>
      <c r="T380" s="186"/>
      <c r="U380" s="223"/>
      <c r="V380" s="223"/>
      <c r="W380" s="223"/>
    </row>
    <row r="381" spans="1:23" s="175" customFormat="1" ht="13" customHeight="1">
      <c r="A381" s="166"/>
      <c r="B381" s="163"/>
      <c r="C381" s="167" t="str">
        <f>IFERROR(IF(VLOOKUP($B381,勘定科目!$A:$H,HLOOKUP($E$5,勘定科目!$F$1:$H$2,2,0),0)="","",VLOOKUP($B381,勘定科目!$A:$E,2,0)),"")</f>
        <v/>
      </c>
      <c r="D381" s="216" t="str">
        <f>IF(C381="","",VLOOKUP($B381,勘定科目!$A:$E,4,0))</f>
        <v/>
      </c>
      <c r="E381" s="222"/>
      <c r="F381" s="217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184">
        <f t="shared" si="12"/>
        <v>0</v>
      </c>
      <c r="S381" s="185"/>
      <c r="T381" s="186"/>
      <c r="U381" s="223"/>
      <c r="V381" s="223"/>
      <c r="W381" s="223"/>
    </row>
    <row r="382" spans="1:23" s="175" customFormat="1" ht="13" customHeight="1">
      <c r="A382" s="166"/>
      <c r="B382" s="163"/>
      <c r="C382" s="167" t="str">
        <f>IFERROR(IF(VLOOKUP($B382,勘定科目!$A:$H,HLOOKUP($E$5,勘定科目!$F$1:$H$2,2,0),0)="","",VLOOKUP($B382,勘定科目!$A:$E,2,0)),"")</f>
        <v/>
      </c>
      <c r="D382" s="216" t="str">
        <f>IF(C382="","",VLOOKUP($B382,勘定科目!$A:$E,4,0))</f>
        <v/>
      </c>
      <c r="E382" s="222"/>
      <c r="F382" s="217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184">
        <f t="shared" si="12"/>
        <v>0</v>
      </c>
      <c r="S382" s="185"/>
      <c r="T382" s="186"/>
      <c r="U382" s="223"/>
      <c r="V382" s="223"/>
      <c r="W382" s="223"/>
    </row>
    <row r="383" spans="1:23" s="175" customFormat="1" ht="13" customHeight="1">
      <c r="A383" s="166"/>
      <c r="B383" s="163"/>
      <c r="C383" s="167" t="str">
        <f>IFERROR(IF(VLOOKUP($B383,勘定科目!$A:$H,HLOOKUP($E$5,勘定科目!$F$1:$H$2,2,0),0)="","",VLOOKUP($B383,勘定科目!$A:$E,2,0)),"")</f>
        <v/>
      </c>
      <c r="D383" s="216" t="str">
        <f>IF(C383="","",VLOOKUP($B383,勘定科目!$A:$E,4,0))</f>
        <v/>
      </c>
      <c r="E383" s="222"/>
      <c r="F383" s="217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184">
        <f t="shared" si="12"/>
        <v>0</v>
      </c>
      <c r="S383" s="185"/>
      <c r="T383" s="186"/>
      <c r="U383" s="223"/>
      <c r="V383" s="223"/>
      <c r="W383" s="223"/>
    </row>
    <row r="384" spans="1:23" s="175" customFormat="1" ht="13" customHeight="1">
      <c r="A384" s="166"/>
      <c r="B384" s="163"/>
      <c r="C384" s="167" t="str">
        <f>IFERROR(IF(VLOOKUP($B384,勘定科目!$A:$H,HLOOKUP($E$5,勘定科目!$F$1:$H$2,2,0),0)="","",VLOOKUP($B384,勘定科目!$A:$E,2,0)),"")</f>
        <v/>
      </c>
      <c r="D384" s="216" t="str">
        <f>IF(C384="","",VLOOKUP($B384,勘定科目!$A:$E,4,0))</f>
        <v/>
      </c>
      <c r="E384" s="222"/>
      <c r="F384" s="217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184">
        <f t="shared" si="12"/>
        <v>0</v>
      </c>
      <c r="S384" s="185"/>
      <c r="T384" s="186"/>
      <c r="U384" s="223"/>
      <c r="V384" s="223"/>
      <c r="W384" s="223"/>
    </row>
    <row r="385" spans="1:23" s="175" customFormat="1" ht="13" customHeight="1">
      <c r="A385" s="166"/>
      <c r="B385" s="163"/>
      <c r="C385" s="167" t="str">
        <f>IFERROR(IF(VLOOKUP($B385,勘定科目!$A:$H,HLOOKUP($E$5,勘定科目!$F$1:$H$2,2,0),0)="","",VLOOKUP($B385,勘定科目!$A:$E,2,0)),"")</f>
        <v/>
      </c>
      <c r="D385" s="216" t="str">
        <f>IF(C385="","",VLOOKUP($B385,勘定科目!$A:$E,4,0))</f>
        <v/>
      </c>
      <c r="E385" s="222"/>
      <c r="F385" s="217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184">
        <f t="shared" si="12"/>
        <v>0</v>
      </c>
      <c r="S385" s="185"/>
      <c r="T385" s="186"/>
      <c r="U385" s="223"/>
      <c r="V385" s="223"/>
      <c r="W385" s="223"/>
    </row>
    <row r="386" spans="1:23" s="175" customFormat="1" ht="13" customHeight="1">
      <c r="A386" s="166"/>
      <c r="B386" s="163"/>
      <c r="C386" s="167" t="str">
        <f>IFERROR(IF(VLOOKUP($B386,勘定科目!$A:$H,HLOOKUP($E$5,勘定科目!$F$1:$H$2,2,0),0)="","",VLOOKUP($B386,勘定科目!$A:$E,2,0)),"")</f>
        <v/>
      </c>
      <c r="D386" s="216" t="str">
        <f>IF(C386="","",VLOOKUP($B386,勘定科目!$A:$E,4,0))</f>
        <v/>
      </c>
      <c r="E386" s="222"/>
      <c r="F386" s="217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184">
        <f t="shared" si="12"/>
        <v>0</v>
      </c>
      <c r="S386" s="185"/>
      <c r="T386" s="186"/>
      <c r="U386" s="223"/>
      <c r="V386" s="223"/>
      <c r="W386" s="223"/>
    </row>
    <row r="387" spans="1:23" s="175" customFormat="1" ht="13" customHeight="1">
      <c r="A387" s="166"/>
      <c r="B387" s="163"/>
      <c r="C387" s="167" t="str">
        <f>IFERROR(IF(VLOOKUP($B387,勘定科目!$A:$H,HLOOKUP($E$5,勘定科目!$F$1:$H$2,2,0),0)="","",VLOOKUP($B387,勘定科目!$A:$E,2,0)),"")</f>
        <v/>
      </c>
      <c r="D387" s="216" t="str">
        <f>IF(C387="","",VLOOKUP($B387,勘定科目!$A:$E,4,0))</f>
        <v/>
      </c>
      <c r="E387" s="222"/>
      <c r="F387" s="217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184">
        <f t="shared" si="12"/>
        <v>0</v>
      </c>
      <c r="S387" s="185"/>
      <c r="T387" s="186"/>
      <c r="U387" s="223"/>
      <c r="V387" s="223"/>
      <c r="W387" s="223"/>
    </row>
    <row r="388" spans="1:23" s="175" customFormat="1" ht="13" customHeight="1">
      <c r="A388" s="166"/>
      <c r="B388" s="163"/>
      <c r="C388" s="167" t="str">
        <f>IFERROR(IF(VLOOKUP($B388,勘定科目!$A:$H,HLOOKUP($E$5,勘定科目!$F$1:$H$2,2,0),0)="","",VLOOKUP($B388,勘定科目!$A:$E,2,0)),"")</f>
        <v/>
      </c>
      <c r="D388" s="216" t="str">
        <f>IF(C388="","",VLOOKUP($B388,勘定科目!$A:$E,4,0))</f>
        <v/>
      </c>
      <c r="E388" s="222"/>
      <c r="F388" s="217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184">
        <f t="shared" si="12"/>
        <v>0</v>
      </c>
      <c r="S388" s="185"/>
      <c r="T388" s="186"/>
      <c r="U388" s="223"/>
      <c r="V388" s="223"/>
      <c r="W388" s="223"/>
    </row>
    <row r="389" spans="1:23" s="175" customFormat="1" ht="13" customHeight="1">
      <c r="A389" s="166"/>
      <c r="B389" s="163"/>
      <c r="C389" s="167" t="str">
        <f>IFERROR(IF(VLOOKUP($B389,勘定科目!$A:$H,HLOOKUP($E$5,勘定科目!$F$1:$H$2,2,0),0)="","",VLOOKUP($B389,勘定科目!$A:$E,2,0)),"")</f>
        <v/>
      </c>
      <c r="D389" s="216" t="str">
        <f>IF(C389="","",VLOOKUP($B389,勘定科目!$A:$E,4,0))</f>
        <v/>
      </c>
      <c r="E389" s="222"/>
      <c r="F389" s="217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184">
        <f t="shared" si="12"/>
        <v>0</v>
      </c>
      <c r="S389" s="185"/>
      <c r="T389" s="186"/>
      <c r="U389" s="223"/>
      <c r="V389" s="223"/>
      <c r="W389" s="223"/>
    </row>
    <row r="390" spans="1:23" s="175" customFormat="1" ht="13" customHeight="1">
      <c r="A390" s="166"/>
      <c r="B390" s="163"/>
      <c r="C390" s="167" t="str">
        <f>IFERROR(IF(VLOOKUP($B390,勘定科目!$A:$H,HLOOKUP($E$5,勘定科目!$F$1:$H$2,2,0),0)="","",VLOOKUP($B390,勘定科目!$A:$E,2,0)),"")</f>
        <v/>
      </c>
      <c r="D390" s="216" t="str">
        <f>IF(C390="","",VLOOKUP($B390,勘定科目!$A:$E,4,0))</f>
        <v/>
      </c>
      <c r="E390" s="222"/>
      <c r="F390" s="217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184">
        <f t="shared" si="12"/>
        <v>0</v>
      </c>
      <c r="S390" s="185"/>
      <c r="T390" s="186"/>
      <c r="U390" s="223"/>
      <c r="V390" s="223"/>
      <c r="W390" s="223"/>
    </row>
    <row r="391" spans="1:23" s="175" customFormat="1" ht="13" customHeight="1">
      <c r="A391" s="166"/>
      <c r="B391" s="163"/>
      <c r="C391" s="167" t="str">
        <f>IFERROR(IF(VLOOKUP($B391,勘定科目!$A:$H,HLOOKUP($E$5,勘定科目!$F$1:$H$2,2,0),0)="","",VLOOKUP($B391,勘定科目!$A:$E,2,0)),"")</f>
        <v/>
      </c>
      <c r="D391" s="216" t="str">
        <f>IF(C391="","",VLOOKUP($B391,勘定科目!$A:$E,4,0))</f>
        <v/>
      </c>
      <c r="E391" s="222"/>
      <c r="F391" s="217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184">
        <f t="shared" si="12"/>
        <v>0</v>
      </c>
      <c r="S391" s="185"/>
      <c r="T391" s="186"/>
      <c r="U391" s="223"/>
      <c r="V391" s="223"/>
      <c r="W391" s="223"/>
    </row>
    <row r="392" spans="1:23" s="175" customFormat="1" ht="13" customHeight="1">
      <c r="A392" s="166"/>
      <c r="B392" s="163"/>
      <c r="C392" s="167" t="str">
        <f>IFERROR(IF(VLOOKUP($B392,勘定科目!$A:$H,HLOOKUP($E$5,勘定科目!$F$1:$H$2,2,0),0)="","",VLOOKUP($B392,勘定科目!$A:$E,2,0)),"")</f>
        <v/>
      </c>
      <c r="D392" s="216" t="str">
        <f>IF(C392="","",VLOOKUP($B392,勘定科目!$A:$E,4,0))</f>
        <v/>
      </c>
      <c r="E392" s="222"/>
      <c r="F392" s="217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184">
        <f t="shared" si="12"/>
        <v>0</v>
      </c>
      <c r="S392" s="185"/>
      <c r="T392" s="186"/>
      <c r="U392" s="223"/>
      <c r="V392" s="223"/>
      <c r="W392" s="223"/>
    </row>
    <row r="393" spans="1:23" s="175" customFormat="1" ht="13" customHeight="1">
      <c r="A393" s="166"/>
      <c r="B393" s="163"/>
      <c r="C393" s="167" t="str">
        <f>IFERROR(IF(VLOOKUP($B393,勘定科目!$A:$H,HLOOKUP($E$5,勘定科目!$F$1:$H$2,2,0),0)="","",VLOOKUP($B393,勘定科目!$A:$E,2,0)),"")</f>
        <v/>
      </c>
      <c r="D393" s="216" t="str">
        <f>IF(C393="","",VLOOKUP($B393,勘定科目!$A:$E,4,0))</f>
        <v/>
      </c>
      <c r="E393" s="222"/>
      <c r="F393" s="217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184">
        <f t="shared" si="12"/>
        <v>0</v>
      </c>
      <c r="S393" s="185"/>
      <c r="T393" s="186"/>
      <c r="U393" s="223"/>
      <c r="V393" s="223"/>
      <c r="W393" s="223"/>
    </row>
    <row r="394" spans="1:23" s="175" customFormat="1" ht="13" customHeight="1">
      <c r="A394" s="166"/>
      <c r="B394" s="163"/>
      <c r="C394" s="167" t="str">
        <f>IFERROR(IF(VLOOKUP($B394,勘定科目!$A:$H,HLOOKUP($E$5,勘定科目!$F$1:$H$2,2,0),0)="","",VLOOKUP($B394,勘定科目!$A:$E,2,0)),"")</f>
        <v/>
      </c>
      <c r="D394" s="216" t="str">
        <f>IF(C394="","",VLOOKUP($B394,勘定科目!$A:$E,4,0))</f>
        <v/>
      </c>
      <c r="E394" s="222"/>
      <c r="F394" s="217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184">
        <f t="shared" si="12"/>
        <v>0</v>
      </c>
      <c r="S394" s="185"/>
      <c r="T394" s="186"/>
      <c r="U394" s="223"/>
      <c r="V394" s="223"/>
      <c r="W394" s="223"/>
    </row>
    <row r="395" spans="1:23" s="175" customFormat="1" ht="13" customHeight="1">
      <c r="A395" s="166"/>
      <c r="B395" s="163"/>
      <c r="C395" s="167" t="str">
        <f>IFERROR(IF(VLOOKUP($B395,勘定科目!$A:$H,HLOOKUP($E$5,勘定科目!$F$1:$H$2,2,0),0)="","",VLOOKUP($B395,勘定科目!$A:$E,2,0)),"")</f>
        <v/>
      </c>
      <c r="D395" s="216" t="str">
        <f>IF(C395="","",VLOOKUP($B395,勘定科目!$A:$E,4,0))</f>
        <v/>
      </c>
      <c r="E395" s="222"/>
      <c r="F395" s="217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184">
        <f t="shared" si="12"/>
        <v>0</v>
      </c>
      <c r="S395" s="185"/>
      <c r="T395" s="186"/>
      <c r="U395" s="223"/>
      <c r="V395" s="223"/>
      <c r="W395" s="223"/>
    </row>
    <row r="396" spans="1:23" s="175" customFormat="1" ht="13" customHeight="1">
      <c r="A396" s="166"/>
      <c r="B396" s="163"/>
      <c r="C396" s="167" t="str">
        <f>IFERROR(IF(VLOOKUP($B396,勘定科目!$A:$H,HLOOKUP($E$5,勘定科目!$F$1:$H$2,2,0),0)="","",VLOOKUP($B396,勘定科目!$A:$E,2,0)),"")</f>
        <v/>
      </c>
      <c r="D396" s="216" t="str">
        <f>IF(C396="","",VLOOKUP($B396,勘定科目!$A:$E,4,0))</f>
        <v/>
      </c>
      <c r="E396" s="222"/>
      <c r="F396" s="217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184">
        <f t="shared" si="12"/>
        <v>0</v>
      </c>
      <c r="S396" s="185"/>
      <c r="T396" s="186"/>
      <c r="U396" s="223"/>
      <c r="V396" s="223"/>
      <c r="W396" s="223"/>
    </row>
    <row r="397" spans="1:23" s="175" customFormat="1" ht="13" customHeight="1">
      <c r="A397" s="166"/>
      <c r="B397" s="163"/>
      <c r="C397" s="167" t="str">
        <f>IFERROR(IF(VLOOKUP($B397,勘定科目!$A:$H,HLOOKUP($E$5,勘定科目!$F$1:$H$2,2,0),0)="","",VLOOKUP($B397,勘定科目!$A:$E,2,0)),"")</f>
        <v/>
      </c>
      <c r="D397" s="216" t="str">
        <f>IF(C397="","",VLOOKUP($B397,勘定科目!$A:$E,4,0))</f>
        <v/>
      </c>
      <c r="E397" s="222"/>
      <c r="F397" s="217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184">
        <f t="shared" si="12"/>
        <v>0</v>
      </c>
      <c r="S397" s="185"/>
      <c r="T397" s="186"/>
      <c r="U397" s="223"/>
      <c r="V397" s="223"/>
      <c r="W397" s="223"/>
    </row>
    <row r="398" spans="1:23" s="175" customFormat="1" ht="13" customHeight="1">
      <c r="A398" s="166"/>
      <c r="B398" s="163"/>
      <c r="C398" s="167" t="str">
        <f>IFERROR(IF(VLOOKUP($B398,勘定科目!$A:$H,HLOOKUP($E$5,勘定科目!$F$1:$H$2,2,0),0)="","",VLOOKUP($B398,勘定科目!$A:$E,2,0)),"")</f>
        <v/>
      </c>
      <c r="D398" s="216" t="str">
        <f>IF(C398="","",VLOOKUP($B398,勘定科目!$A:$E,4,0))</f>
        <v/>
      </c>
      <c r="E398" s="222"/>
      <c r="F398" s="217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184">
        <f t="shared" si="12"/>
        <v>0</v>
      </c>
      <c r="S398" s="185"/>
      <c r="T398" s="186"/>
      <c r="U398" s="223"/>
      <c r="V398" s="223"/>
      <c r="W398" s="223"/>
    </row>
    <row r="399" spans="1:23" s="175" customFormat="1" ht="13" customHeight="1">
      <c r="A399" s="166"/>
      <c r="B399" s="163"/>
      <c r="C399" s="167" t="str">
        <f>IFERROR(IF(VLOOKUP($B399,勘定科目!$A:$H,HLOOKUP($E$5,勘定科目!$F$1:$H$2,2,0),0)="","",VLOOKUP($B399,勘定科目!$A:$E,2,0)),"")</f>
        <v/>
      </c>
      <c r="D399" s="216" t="str">
        <f>IF(C399="","",VLOOKUP($B399,勘定科目!$A:$E,4,0))</f>
        <v/>
      </c>
      <c r="E399" s="222"/>
      <c r="F399" s="217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184">
        <f t="shared" si="12"/>
        <v>0</v>
      </c>
      <c r="S399" s="185"/>
      <c r="T399" s="186"/>
      <c r="U399" s="223"/>
      <c r="V399" s="223"/>
      <c r="W399" s="223"/>
    </row>
    <row r="400" spans="1:23" s="175" customFormat="1" ht="13" customHeight="1">
      <c r="A400" s="166"/>
      <c r="B400" s="163"/>
      <c r="C400" s="167" t="str">
        <f>IFERROR(IF(VLOOKUP($B400,勘定科目!$A:$H,HLOOKUP($E$5,勘定科目!$F$1:$H$2,2,0),0)="","",VLOOKUP($B400,勘定科目!$A:$E,2,0)),"")</f>
        <v/>
      </c>
      <c r="D400" s="216" t="str">
        <f>IF(C400="","",VLOOKUP($B400,勘定科目!$A:$E,4,0))</f>
        <v/>
      </c>
      <c r="E400" s="222"/>
      <c r="F400" s="217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184">
        <f t="shared" si="12"/>
        <v>0</v>
      </c>
      <c r="S400" s="185"/>
      <c r="T400" s="186"/>
      <c r="U400" s="223"/>
      <c r="V400" s="223"/>
      <c r="W400" s="223"/>
    </row>
    <row r="401" spans="1:23" s="175" customFormat="1" ht="13" customHeight="1">
      <c r="A401" s="166"/>
      <c r="B401" s="163"/>
      <c r="C401" s="167" t="str">
        <f>IFERROR(IF(VLOOKUP($B401,勘定科目!$A:$H,HLOOKUP($E$5,勘定科目!$F$1:$H$2,2,0),0)="","",VLOOKUP($B401,勘定科目!$A:$E,2,0)),"")</f>
        <v/>
      </c>
      <c r="D401" s="216" t="str">
        <f>IF(C401="","",VLOOKUP($B401,勘定科目!$A:$E,4,0))</f>
        <v/>
      </c>
      <c r="E401" s="222"/>
      <c r="F401" s="217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184">
        <f t="shared" si="12"/>
        <v>0</v>
      </c>
      <c r="S401" s="185"/>
      <c r="T401" s="186"/>
      <c r="U401" s="223"/>
      <c r="V401" s="223"/>
      <c r="W401" s="223"/>
    </row>
    <row r="402" spans="1:23" s="175" customFormat="1" ht="13" customHeight="1">
      <c r="A402" s="166"/>
      <c r="B402" s="163"/>
      <c r="C402" s="167" t="str">
        <f>IFERROR(IF(VLOOKUP($B402,勘定科目!$A:$H,HLOOKUP($E$5,勘定科目!$F$1:$H$2,2,0),0)="","",VLOOKUP($B402,勘定科目!$A:$E,2,0)),"")</f>
        <v/>
      </c>
      <c r="D402" s="216" t="str">
        <f>IF(C402="","",VLOOKUP($B402,勘定科目!$A:$E,4,0))</f>
        <v/>
      </c>
      <c r="E402" s="222"/>
      <c r="F402" s="217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184">
        <f t="shared" si="12"/>
        <v>0</v>
      </c>
      <c r="S402" s="185"/>
      <c r="T402" s="186"/>
      <c r="U402" s="223"/>
      <c r="V402" s="223"/>
      <c r="W402" s="223"/>
    </row>
    <row r="403" spans="1:23" s="175" customFormat="1" ht="13" customHeight="1">
      <c r="A403" s="166"/>
      <c r="B403" s="163"/>
      <c r="C403" s="167" t="str">
        <f>IFERROR(IF(VLOOKUP($B403,勘定科目!$A:$H,HLOOKUP($E$5,勘定科目!$F$1:$H$2,2,0),0)="","",VLOOKUP($B403,勘定科目!$A:$E,2,0)),"")</f>
        <v/>
      </c>
      <c r="D403" s="216" t="str">
        <f>IF(C403="","",VLOOKUP($B403,勘定科目!$A:$E,4,0))</f>
        <v/>
      </c>
      <c r="E403" s="222"/>
      <c r="F403" s="217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184">
        <f t="shared" si="12"/>
        <v>0</v>
      </c>
      <c r="S403" s="185"/>
      <c r="T403" s="186"/>
      <c r="U403" s="223"/>
      <c r="V403" s="223"/>
      <c r="W403" s="223"/>
    </row>
    <row r="404" spans="1:23" s="175" customFormat="1" ht="13" customHeight="1">
      <c r="A404" s="166"/>
      <c r="B404" s="163"/>
      <c r="C404" s="167" t="str">
        <f>IFERROR(IF(VLOOKUP($B404,勘定科目!$A:$H,HLOOKUP($E$5,勘定科目!$F$1:$H$2,2,0),0)="","",VLOOKUP($B404,勘定科目!$A:$E,2,0)),"")</f>
        <v/>
      </c>
      <c r="D404" s="216" t="str">
        <f>IF(C404="","",VLOOKUP($B404,勘定科目!$A:$E,4,0))</f>
        <v/>
      </c>
      <c r="E404" s="222"/>
      <c r="F404" s="217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184">
        <f t="shared" si="12"/>
        <v>0</v>
      </c>
      <c r="S404" s="185"/>
      <c r="T404" s="186"/>
      <c r="U404" s="223"/>
      <c r="V404" s="223"/>
      <c r="W404" s="223"/>
    </row>
    <row r="405" spans="1:23" s="175" customFormat="1" ht="13" customHeight="1">
      <c r="A405" s="166"/>
      <c r="B405" s="163"/>
      <c r="C405" s="167" t="str">
        <f>IFERROR(IF(VLOOKUP($B405,勘定科目!$A:$H,HLOOKUP($E$5,勘定科目!$F$1:$H$2,2,0),0)="","",VLOOKUP($B405,勘定科目!$A:$E,2,0)),"")</f>
        <v/>
      </c>
      <c r="D405" s="216" t="str">
        <f>IF(C405="","",VLOOKUP($B405,勘定科目!$A:$E,4,0))</f>
        <v/>
      </c>
      <c r="E405" s="222"/>
      <c r="F405" s="217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184">
        <f t="shared" si="12"/>
        <v>0</v>
      </c>
      <c r="S405" s="185"/>
      <c r="T405" s="186"/>
      <c r="U405" s="223"/>
      <c r="V405" s="223"/>
      <c r="W405" s="223"/>
    </row>
    <row r="406" spans="1:23" s="175" customFormat="1" ht="13" customHeight="1">
      <c r="A406" s="166"/>
      <c r="B406" s="163"/>
      <c r="C406" s="167" t="str">
        <f>IFERROR(IF(VLOOKUP($B406,勘定科目!$A:$H,HLOOKUP($E$5,勘定科目!$F$1:$H$2,2,0),0)="","",VLOOKUP($B406,勘定科目!$A:$E,2,0)),"")</f>
        <v/>
      </c>
      <c r="D406" s="216" t="str">
        <f>IF(C406="","",VLOOKUP($B406,勘定科目!$A:$E,4,0))</f>
        <v/>
      </c>
      <c r="E406" s="222"/>
      <c r="F406" s="217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184">
        <f t="shared" si="12"/>
        <v>0</v>
      </c>
      <c r="S406" s="185"/>
      <c r="T406" s="186"/>
      <c r="U406" s="223"/>
      <c r="V406" s="223"/>
      <c r="W406" s="223"/>
    </row>
    <row r="407" spans="1:23" s="175" customFormat="1" ht="13" customHeight="1">
      <c r="A407" s="166"/>
      <c r="B407" s="163"/>
      <c r="C407" s="167" t="str">
        <f>IFERROR(IF(VLOOKUP($B407,勘定科目!$A:$H,HLOOKUP($E$5,勘定科目!$F$1:$H$2,2,0),0)="","",VLOOKUP($B407,勘定科目!$A:$E,2,0)),"")</f>
        <v/>
      </c>
      <c r="D407" s="216" t="str">
        <f>IF(C407="","",VLOOKUP($B407,勘定科目!$A:$E,4,0))</f>
        <v/>
      </c>
      <c r="E407" s="222"/>
      <c r="F407" s="217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184">
        <f t="shared" si="12"/>
        <v>0</v>
      </c>
      <c r="S407" s="185"/>
      <c r="T407" s="186"/>
      <c r="U407" s="223"/>
      <c r="V407" s="223"/>
      <c r="W407" s="223"/>
    </row>
    <row r="408" spans="1:23" s="175" customFormat="1" ht="13" customHeight="1">
      <c r="A408" s="166"/>
      <c r="B408" s="163"/>
      <c r="C408" s="167" t="str">
        <f>IFERROR(IF(VLOOKUP($B408,勘定科目!$A:$H,HLOOKUP($E$5,勘定科目!$F$1:$H$2,2,0),0)="","",VLOOKUP($B408,勘定科目!$A:$E,2,0)),"")</f>
        <v/>
      </c>
      <c r="D408" s="216" t="str">
        <f>IF(C408="","",VLOOKUP($B408,勘定科目!$A:$E,4,0))</f>
        <v/>
      </c>
      <c r="E408" s="222"/>
      <c r="F408" s="217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184">
        <f t="shared" si="12"/>
        <v>0</v>
      </c>
      <c r="S408" s="185"/>
      <c r="T408" s="186"/>
      <c r="U408" s="223"/>
      <c r="V408" s="223"/>
      <c r="W408" s="223"/>
    </row>
    <row r="409" spans="1:23" s="175" customFormat="1" ht="13" customHeight="1">
      <c r="A409" s="166"/>
      <c r="B409" s="163"/>
      <c r="C409" s="167" t="str">
        <f>IFERROR(IF(VLOOKUP($B409,勘定科目!$A:$H,HLOOKUP($E$5,勘定科目!$F$1:$H$2,2,0),0)="","",VLOOKUP($B409,勘定科目!$A:$E,2,0)),"")</f>
        <v/>
      </c>
      <c r="D409" s="216" t="str">
        <f>IF(C409="","",VLOOKUP($B409,勘定科目!$A:$E,4,0))</f>
        <v/>
      </c>
      <c r="E409" s="222"/>
      <c r="F409" s="217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184">
        <f t="shared" si="12"/>
        <v>0</v>
      </c>
      <c r="S409" s="185"/>
      <c r="T409" s="186"/>
      <c r="U409" s="223"/>
      <c r="V409" s="223"/>
      <c r="W409" s="223"/>
    </row>
    <row r="410" spans="1:23" s="175" customFormat="1" ht="13" customHeight="1">
      <c r="A410" s="166"/>
      <c r="B410" s="163"/>
      <c r="C410" s="167" t="str">
        <f>IFERROR(IF(VLOOKUP($B410,勘定科目!$A:$H,HLOOKUP($E$5,勘定科目!$F$1:$H$2,2,0),0)="","",VLOOKUP($B410,勘定科目!$A:$E,2,0)),"")</f>
        <v/>
      </c>
      <c r="D410" s="216" t="str">
        <f>IF(C410="","",VLOOKUP($B410,勘定科目!$A:$E,4,0))</f>
        <v/>
      </c>
      <c r="E410" s="222"/>
      <c r="F410" s="217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184">
        <f t="shared" ref="R410:R473" si="13">SUM(F410:Q410)</f>
        <v>0</v>
      </c>
      <c r="S410" s="185"/>
      <c r="T410" s="186"/>
      <c r="U410" s="223"/>
      <c r="V410" s="223"/>
      <c r="W410" s="223"/>
    </row>
    <row r="411" spans="1:23" s="175" customFormat="1" ht="13" customHeight="1">
      <c r="A411" s="166"/>
      <c r="B411" s="163"/>
      <c r="C411" s="167" t="str">
        <f>IFERROR(IF(VLOOKUP($B411,勘定科目!$A:$H,HLOOKUP($E$5,勘定科目!$F$1:$H$2,2,0),0)="","",VLOOKUP($B411,勘定科目!$A:$E,2,0)),"")</f>
        <v/>
      </c>
      <c r="D411" s="216" t="str">
        <f>IF(C411="","",VLOOKUP($B411,勘定科目!$A:$E,4,0))</f>
        <v/>
      </c>
      <c r="E411" s="222"/>
      <c r="F411" s="217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184">
        <f t="shared" si="13"/>
        <v>0</v>
      </c>
      <c r="S411" s="185"/>
      <c r="T411" s="186"/>
      <c r="U411" s="223"/>
      <c r="V411" s="223"/>
      <c r="W411" s="223"/>
    </row>
    <row r="412" spans="1:23" s="175" customFormat="1" ht="13" customHeight="1">
      <c r="A412" s="166"/>
      <c r="B412" s="163"/>
      <c r="C412" s="167" t="str">
        <f>IFERROR(IF(VLOOKUP($B412,勘定科目!$A:$H,HLOOKUP($E$5,勘定科目!$F$1:$H$2,2,0),0)="","",VLOOKUP($B412,勘定科目!$A:$E,2,0)),"")</f>
        <v/>
      </c>
      <c r="D412" s="216" t="str">
        <f>IF(C412="","",VLOOKUP($B412,勘定科目!$A:$E,4,0))</f>
        <v/>
      </c>
      <c r="E412" s="222"/>
      <c r="F412" s="217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184">
        <f t="shared" si="13"/>
        <v>0</v>
      </c>
      <c r="S412" s="185"/>
      <c r="T412" s="186"/>
      <c r="U412" s="223"/>
      <c r="V412" s="223"/>
      <c r="W412" s="223"/>
    </row>
    <row r="413" spans="1:23" s="175" customFormat="1" ht="13" customHeight="1">
      <c r="A413" s="166"/>
      <c r="B413" s="163"/>
      <c r="C413" s="167" t="str">
        <f>IFERROR(IF(VLOOKUP($B413,勘定科目!$A:$H,HLOOKUP($E$5,勘定科目!$F$1:$H$2,2,0),0)="","",VLOOKUP($B413,勘定科目!$A:$E,2,0)),"")</f>
        <v/>
      </c>
      <c r="D413" s="216" t="str">
        <f>IF(C413="","",VLOOKUP($B413,勘定科目!$A:$E,4,0))</f>
        <v/>
      </c>
      <c r="E413" s="222"/>
      <c r="F413" s="217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184">
        <f t="shared" si="13"/>
        <v>0</v>
      </c>
      <c r="S413" s="185"/>
      <c r="T413" s="186"/>
      <c r="U413" s="223"/>
      <c r="V413" s="223"/>
      <c r="W413" s="223"/>
    </row>
    <row r="414" spans="1:23" s="175" customFormat="1" ht="13" customHeight="1">
      <c r="A414" s="166"/>
      <c r="B414" s="163"/>
      <c r="C414" s="167" t="str">
        <f>IFERROR(IF(VLOOKUP($B414,勘定科目!$A:$H,HLOOKUP($E$5,勘定科目!$F$1:$H$2,2,0),0)="","",VLOOKUP($B414,勘定科目!$A:$E,2,0)),"")</f>
        <v/>
      </c>
      <c r="D414" s="216" t="str">
        <f>IF(C414="","",VLOOKUP($B414,勘定科目!$A:$E,4,0))</f>
        <v/>
      </c>
      <c r="E414" s="222"/>
      <c r="F414" s="217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184">
        <f t="shared" si="13"/>
        <v>0</v>
      </c>
      <c r="S414" s="185"/>
      <c r="T414" s="186"/>
      <c r="U414" s="223"/>
      <c r="V414" s="223"/>
      <c r="W414" s="223"/>
    </row>
    <row r="415" spans="1:23" s="175" customFormat="1" ht="13" customHeight="1">
      <c r="A415" s="166"/>
      <c r="B415" s="163"/>
      <c r="C415" s="167" t="str">
        <f>IFERROR(IF(VLOOKUP($B415,勘定科目!$A:$H,HLOOKUP($E$5,勘定科目!$F$1:$H$2,2,0),0)="","",VLOOKUP($B415,勘定科目!$A:$E,2,0)),"")</f>
        <v/>
      </c>
      <c r="D415" s="216" t="str">
        <f>IF(C415="","",VLOOKUP($B415,勘定科目!$A:$E,4,0))</f>
        <v/>
      </c>
      <c r="E415" s="222"/>
      <c r="F415" s="217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184">
        <f t="shared" si="13"/>
        <v>0</v>
      </c>
      <c r="S415" s="185"/>
      <c r="T415" s="186"/>
      <c r="U415" s="223"/>
      <c r="V415" s="223"/>
      <c r="W415" s="223"/>
    </row>
    <row r="416" spans="1:23" s="175" customFormat="1" ht="13" customHeight="1">
      <c r="A416" s="166"/>
      <c r="B416" s="163"/>
      <c r="C416" s="167" t="str">
        <f>IFERROR(IF(VLOOKUP($B416,勘定科目!$A:$H,HLOOKUP($E$5,勘定科目!$F$1:$H$2,2,0),0)="","",VLOOKUP($B416,勘定科目!$A:$E,2,0)),"")</f>
        <v/>
      </c>
      <c r="D416" s="216" t="str">
        <f>IF(C416="","",VLOOKUP($B416,勘定科目!$A:$E,4,0))</f>
        <v/>
      </c>
      <c r="E416" s="222"/>
      <c r="F416" s="217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184">
        <f t="shared" si="13"/>
        <v>0</v>
      </c>
      <c r="S416" s="185"/>
      <c r="T416" s="186"/>
      <c r="U416" s="223"/>
      <c r="V416" s="223"/>
      <c r="W416" s="223"/>
    </row>
    <row r="417" spans="1:23" s="175" customFormat="1" ht="13" customHeight="1">
      <c r="A417" s="166"/>
      <c r="B417" s="163"/>
      <c r="C417" s="167" t="str">
        <f>IFERROR(IF(VLOOKUP($B417,勘定科目!$A:$H,HLOOKUP($E$5,勘定科目!$F$1:$H$2,2,0),0)="","",VLOOKUP($B417,勘定科目!$A:$E,2,0)),"")</f>
        <v/>
      </c>
      <c r="D417" s="216" t="str">
        <f>IF(C417="","",VLOOKUP($B417,勘定科目!$A:$E,4,0))</f>
        <v/>
      </c>
      <c r="E417" s="222"/>
      <c r="F417" s="217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184">
        <f t="shared" si="13"/>
        <v>0</v>
      </c>
      <c r="S417" s="185"/>
      <c r="T417" s="186"/>
      <c r="U417" s="223"/>
      <c r="V417" s="223"/>
      <c r="W417" s="223"/>
    </row>
    <row r="418" spans="1:23" s="175" customFormat="1" ht="13" customHeight="1">
      <c r="A418" s="166"/>
      <c r="B418" s="163"/>
      <c r="C418" s="167" t="str">
        <f>IFERROR(IF(VLOOKUP($B418,勘定科目!$A:$H,HLOOKUP($E$5,勘定科目!$F$1:$H$2,2,0),0)="","",VLOOKUP($B418,勘定科目!$A:$E,2,0)),"")</f>
        <v/>
      </c>
      <c r="D418" s="216" t="str">
        <f>IF(C418="","",VLOOKUP($B418,勘定科目!$A:$E,4,0))</f>
        <v/>
      </c>
      <c r="E418" s="222"/>
      <c r="F418" s="217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184">
        <f t="shared" si="13"/>
        <v>0</v>
      </c>
      <c r="S418" s="185"/>
      <c r="T418" s="186"/>
      <c r="U418" s="223"/>
      <c r="V418" s="223"/>
      <c r="W418" s="223"/>
    </row>
    <row r="419" spans="1:23" s="175" customFormat="1" ht="13" customHeight="1">
      <c r="A419" s="166"/>
      <c r="B419" s="163"/>
      <c r="C419" s="167" t="str">
        <f>IFERROR(IF(VLOOKUP($B419,勘定科目!$A:$H,HLOOKUP($E$5,勘定科目!$F$1:$H$2,2,0),0)="","",VLOOKUP($B419,勘定科目!$A:$E,2,0)),"")</f>
        <v/>
      </c>
      <c r="D419" s="216" t="str">
        <f>IF(C419="","",VLOOKUP($B419,勘定科目!$A:$E,4,0))</f>
        <v/>
      </c>
      <c r="E419" s="222"/>
      <c r="F419" s="217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184">
        <f t="shared" si="13"/>
        <v>0</v>
      </c>
      <c r="S419" s="185"/>
      <c r="T419" s="186"/>
      <c r="U419" s="223"/>
      <c r="V419" s="223"/>
      <c r="W419" s="223"/>
    </row>
    <row r="420" spans="1:23" s="175" customFormat="1" ht="13" customHeight="1">
      <c r="A420" s="166"/>
      <c r="B420" s="163"/>
      <c r="C420" s="167" t="str">
        <f>IFERROR(IF(VLOOKUP($B420,勘定科目!$A:$H,HLOOKUP($E$5,勘定科目!$F$1:$H$2,2,0),0)="","",VLOOKUP($B420,勘定科目!$A:$E,2,0)),"")</f>
        <v/>
      </c>
      <c r="D420" s="216" t="str">
        <f>IF(C420="","",VLOOKUP($B420,勘定科目!$A:$E,4,0))</f>
        <v/>
      </c>
      <c r="E420" s="222"/>
      <c r="F420" s="217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184">
        <f t="shared" si="13"/>
        <v>0</v>
      </c>
      <c r="S420" s="185"/>
      <c r="T420" s="186"/>
      <c r="U420" s="223"/>
      <c r="V420" s="223"/>
      <c r="W420" s="223"/>
    </row>
    <row r="421" spans="1:23" s="175" customFormat="1" ht="13" customHeight="1">
      <c r="A421" s="166"/>
      <c r="B421" s="163"/>
      <c r="C421" s="167" t="str">
        <f>IFERROR(IF(VLOOKUP($B421,勘定科目!$A:$H,HLOOKUP($E$5,勘定科目!$F$1:$H$2,2,0),0)="","",VLOOKUP($B421,勘定科目!$A:$E,2,0)),"")</f>
        <v/>
      </c>
      <c r="D421" s="216" t="str">
        <f>IF(C421="","",VLOOKUP($B421,勘定科目!$A:$E,4,0))</f>
        <v/>
      </c>
      <c r="E421" s="222"/>
      <c r="F421" s="217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184">
        <f t="shared" si="13"/>
        <v>0</v>
      </c>
      <c r="S421" s="185"/>
      <c r="T421" s="186"/>
      <c r="U421" s="223"/>
      <c r="V421" s="223"/>
      <c r="W421" s="223"/>
    </row>
    <row r="422" spans="1:23" s="175" customFormat="1" ht="13" customHeight="1">
      <c r="A422" s="166"/>
      <c r="B422" s="163"/>
      <c r="C422" s="167" t="str">
        <f>IFERROR(IF(VLOOKUP($B422,勘定科目!$A:$H,HLOOKUP($E$5,勘定科目!$F$1:$H$2,2,0),0)="","",VLOOKUP($B422,勘定科目!$A:$E,2,0)),"")</f>
        <v/>
      </c>
      <c r="D422" s="216" t="str">
        <f>IF(C422="","",VLOOKUP($B422,勘定科目!$A:$E,4,0))</f>
        <v/>
      </c>
      <c r="E422" s="222"/>
      <c r="F422" s="217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184">
        <f t="shared" si="13"/>
        <v>0</v>
      </c>
      <c r="S422" s="185"/>
      <c r="T422" s="186"/>
      <c r="U422" s="223"/>
      <c r="V422" s="223"/>
      <c r="W422" s="223"/>
    </row>
    <row r="423" spans="1:23" s="175" customFormat="1" ht="13" customHeight="1">
      <c r="A423" s="166"/>
      <c r="B423" s="163"/>
      <c r="C423" s="167" t="str">
        <f>IFERROR(IF(VLOOKUP($B423,勘定科目!$A:$H,HLOOKUP($E$5,勘定科目!$F$1:$H$2,2,0),0)="","",VLOOKUP($B423,勘定科目!$A:$E,2,0)),"")</f>
        <v/>
      </c>
      <c r="D423" s="216" t="str">
        <f>IF(C423="","",VLOOKUP($B423,勘定科目!$A:$E,4,0))</f>
        <v/>
      </c>
      <c r="E423" s="222"/>
      <c r="F423" s="217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184">
        <f t="shared" si="13"/>
        <v>0</v>
      </c>
      <c r="S423" s="185"/>
      <c r="T423" s="186"/>
      <c r="U423" s="223"/>
      <c r="V423" s="223"/>
      <c r="W423" s="223"/>
    </row>
    <row r="424" spans="1:23" s="175" customFormat="1" ht="13" customHeight="1">
      <c r="A424" s="166"/>
      <c r="B424" s="163"/>
      <c r="C424" s="167" t="str">
        <f>IFERROR(IF(VLOOKUP($B424,勘定科目!$A:$H,HLOOKUP($E$5,勘定科目!$F$1:$H$2,2,0),0)="","",VLOOKUP($B424,勘定科目!$A:$E,2,0)),"")</f>
        <v/>
      </c>
      <c r="D424" s="216" t="str">
        <f>IF(C424="","",VLOOKUP($B424,勘定科目!$A:$E,4,0))</f>
        <v/>
      </c>
      <c r="E424" s="222"/>
      <c r="F424" s="217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184">
        <f t="shared" si="13"/>
        <v>0</v>
      </c>
      <c r="S424" s="185"/>
      <c r="T424" s="186"/>
      <c r="U424" s="223"/>
      <c r="V424" s="223"/>
      <c r="W424" s="223"/>
    </row>
    <row r="425" spans="1:23" s="175" customFormat="1" ht="13" customHeight="1">
      <c r="A425" s="166"/>
      <c r="B425" s="163"/>
      <c r="C425" s="167" t="str">
        <f>IFERROR(IF(VLOOKUP($B425,勘定科目!$A:$H,HLOOKUP($E$5,勘定科目!$F$1:$H$2,2,0),0)="","",VLOOKUP($B425,勘定科目!$A:$E,2,0)),"")</f>
        <v/>
      </c>
      <c r="D425" s="216" t="str">
        <f>IF(C425="","",VLOOKUP($B425,勘定科目!$A:$E,4,0))</f>
        <v/>
      </c>
      <c r="E425" s="222"/>
      <c r="F425" s="217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184">
        <f t="shared" si="13"/>
        <v>0</v>
      </c>
      <c r="S425" s="185"/>
      <c r="T425" s="186"/>
      <c r="U425" s="223"/>
      <c r="V425" s="223"/>
      <c r="W425" s="223"/>
    </row>
    <row r="426" spans="1:23" s="175" customFormat="1" ht="13" customHeight="1">
      <c r="A426" s="166"/>
      <c r="B426" s="163"/>
      <c r="C426" s="167" t="str">
        <f>IFERROR(IF(VLOOKUP($B426,勘定科目!$A:$H,HLOOKUP($E$5,勘定科目!$F$1:$H$2,2,0),0)="","",VLOOKUP($B426,勘定科目!$A:$E,2,0)),"")</f>
        <v/>
      </c>
      <c r="D426" s="216" t="str">
        <f>IF(C426="","",VLOOKUP($B426,勘定科目!$A:$E,4,0))</f>
        <v/>
      </c>
      <c r="E426" s="222"/>
      <c r="F426" s="217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184">
        <f t="shared" si="13"/>
        <v>0</v>
      </c>
      <c r="S426" s="185"/>
      <c r="T426" s="186"/>
      <c r="U426" s="223"/>
      <c r="V426" s="223"/>
      <c r="W426" s="223"/>
    </row>
    <row r="427" spans="1:23" s="175" customFormat="1" ht="13" customHeight="1">
      <c r="A427" s="166"/>
      <c r="B427" s="163"/>
      <c r="C427" s="167" t="str">
        <f>IFERROR(IF(VLOOKUP($B427,勘定科目!$A:$H,HLOOKUP($E$5,勘定科目!$F$1:$H$2,2,0),0)="","",VLOOKUP($B427,勘定科目!$A:$E,2,0)),"")</f>
        <v/>
      </c>
      <c r="D427" s="216" t="str">
        <f>IF(C427="","",VLOOKUP($B427,勘定科目!$A:$E,4,0))</f>
        <v/>
      </c>
      <c r="E427" s="222"/>
      <c r="F427" s="217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184">
        <f t="shared" si="13"/>
        <v>0</v>
      </c>
      <c r="S427" s="185"/>
      <c r="T427" s="186"/>
      <c r="U427" s="223"/>
      <c r="V427" s="223"/>
      <c r="W427" s="223"/>
    </row>
    <row r="428" spans="1:23" s="175" customFormat="1" ht="13" customHeight="1">
      <c r="A428" s="166"/>
      <c r="B428" s="163"/>
      <c r="C428" s="167" t="str">
        <f>IFERROR(IF(VLOOKUP($B428,勘定科目!$A:$H,HLOOKUP($E$5,勘定科目!$F$1:$H$2,2,0),0)="","",VLOOKUP($B428,勘定科目!$A:$E,2,0)),"")</f>
        <v/>
      </c>
      <c r="D428" s="216" t="str">
        <f>IF(C428="","",VLOOKUP($B428,勘定科目!$A:$E,4,0))</f>
        <v/>
      </c>
      <c r="E428" s="222"/>
      <c r="F428" s="217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184">
        <f t="shared" si="13"/>
        <v>0</v>
      </c>
      <c r="S428" s="185"/>
      <c r="T428" s="186"/>
      <c r="U428" s="223"/>
      <c r="V428" s="223"/>
      <c r="W428" s="223"/>
    </row>
    <row r="429" spans="1:23" s="175" customFormat="1" ht="13" customHeight="1">
      <c r="A429" s="166"/>
      <c r="B429" s="163"/>
      <c r="C429" s="167" t="str">
        <f>IFERROR(IF(VLOOKUP($B429,勘定科目!$A:$H,HLOOKUP($E$5,勘定科目!$F$1:$H$2,2,0),0)="","",VLOOKUP($B429,勘定科目!$A:$E,2,0)),"")</f>
        <v/>
      </c>
      <c r="D429" s="216" t="str">
        <f>IF(C429="","",VLOOKUP($B429,勘定科目!$A:$E,4,0))</f>
        <v/>
      </c>
      <c r="E429" s="222"/>
      <c r="F429" s="217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184">
        <f t="shared" si="13"/>
        <v>0</v>
      </c>
      <c r="S429" s="185"/>
      <c r="T429" s="186"/>
      <c r="U429" s="223"/>
      <c r="V429" s="223"/>
      <c r="W429" s="223"/>
    </row>
    <row r="430" spans="1:23" s="175" customFormat="1" ht="13" customHeight="1">
      <c r="A430" s="166"/>
      <c r="B430" s="163"/>
      <c r="C430" s="167" t="str">
        <f>IFERROR(IF(VLOOKUP($B430,勘定科目!$A:$H,HLOOKUP($E$5,勘定科目!$F$1:$H$2,2,0),0)="","",VLOOKUP($B430,勘定科目!$A:$E,2,0)),"")</f>
        <v/>
      </c>
      <c r="D430" s="216" t="str">
        <f>IF(C430="","",VLOOKUP($B430,勘定科目!$A:$E,4,0))</f>
        <v/>
      </c>
      <c r="E430" s="222"/>
      <c r="F430" s="217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184">
        <f t="shared" si="13"/>
        <v>0</v>
      </c>
      <c r="S430" s="185"/>
      <c r="T430" s="186"/>
      <c r="U430" s="223"/>
      <c r="V430" s="223"/>
      <c r="W430" s="223"/>
    </row>
    <row r="431" spans="1:23" s="175" customFormat="1" ht="13" customHeight="1">
      <c r="A431" s="166"/>
      <c r="B431" s="163"/>
      <c r="C431" s="167" t="str">
        <f>IFERROR(IF(VLOOKUP($B431,勘定科目!$A:$H,HLOOKUP($E$5,勘定科目!$F$1:$H$2,2,0),0)="","",VLOOKUP($B431,勘定科目!$A:$E,2,0)),"")</f>
        <v/>
      </c>
      <c r="D431" s="216" t="str">
        <f>IF(C431="","",VLOOKUP($B431,勘定科目!$A:$E,4,0))</f>
        <v/>
      </c>
      <c r="E431" s="222"/>
      <c r="F431" s="217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184">
        <f t="shared" si="13"/>
        <v>0</v>
      </c>
      <c r="S431" s="185"/>
      <c r="T431" s="186"/>
      <c r="U431" s="223"/>
      <c r="V431" s="223"/>
      <c r="W431" s="223"/>
    </row>
    <row r="432" spans="1:23" s="175" customFormat="1" ht="13" customHeight="1">
      <c r="A432" s="166"/>
      <c r="B432" s="163"/>
      <c r="C432" s="167" t="str">
        <f>IFERROR(IF(VLOOKUP($B432,勘定科目!$A:$H,HLOOKUP($E$5,勘定科目!$F$1:$H$2,2,0),0)="","",VLOOKUP($B432,勘定科目!$A:$E,2,0)),"")</f>
        <v/>
      </c>
      <c r="D432" s="216" t="str">
        <f>IF(C432="","",VLOOKUP($B432,勘定科目!$A:$E,4,0))</f>
        <v/>
      </c>
      <c r="E432" s="222"/>
      <c r="F432" s="217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184">
        <f t="shared" si="13"/>
        <v>0</v>
      </c>
      <c r="S432" s="185"/>
      <c r="T432" s="186"/>
      <c r="U432" s="223"/>
      <c r="V432" s="223"/>
      <c r="W432" s="223"/>
    </row>
    <row r="433" spans="1:23" s="175" customFormat="1" ht="13" customHeight="1">
      <c r="A433" s="166"/>
      <c r="B433" s="163"/>
      <c r="C433" s="167" t="str">
        <f>IFERROR(IF(VLOOKUP($B433,勘定科目!$A:$H,HLOOKUP($E$5,勘定科目!$F$1:$H$2,2,0),0)="","",VLOOKUP($B433,勘定科目!$A:$E,2,0)),"")</f>
        <v/>
      </c>
      <c r="D433" s="216" t="str">
        <f>IF(C433="","",VLOOKUP($B433,勘定科目!$A:$E,4,0))</f>
        <v/>
      </c>
      <c r="E433" s="222"/>
      <c r="F433" s="217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184">
        <f t="shared" si="13"/>
        <v>0</v>
      </c>
      <c r="S433" s="185"/>
      <c r="T433" s="186"/>
      <c r="U433" s="223"/>
      <c r="V433" s="223"/>
      <c r="W433" s="223"/>
    </row>
    <row r="434" spans="1:23" s="175" customFormat="1" ht="13" customHeight="1">
      <c r="A434" s="166"/>
      <c r="B434" s="163"/>
      <c r="C434" s="167" t="str">
        <f>IFERROR(IF(VLOOKUP($B434,勘定科目!$A:$H,HLOOKUP($E$5,勘定科目!$F$1:$H$2,2,0),0)="","",VLOOKUP($B434,勘定科目!$A:$E,2,0)),"")</f>
        <v/>
      </c>
      <c r="D434" s="216" t="str">
        <f>IF(C434="","",VLOOKUP($B434,勘定科目!$A:$E,4,0))</f>
        <v/>
      </c>
      <c r="E434" s="222"/>
      <c r="F434" s="217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184">
        <f t="shared" si="13"/>
        <v>0</v>
      </c>
      <c r="S434" s="185"/>
      <c r="T434" s="186"/>
      <c r="U434" s="223"/>
      <c r="V434" s="223"/>
      <c r="W434" s="223"/>
    </row>
    <row r="435" spans="1:23" s="175" customFormat="1" ht="13" customHeight="1">
      <c r="A435" s="166"/>
      <c r="B435" s="163"/>
      <c r="C435" s="167" t="str">
        <f>IFERROR(IF(VLOOKUP($B435,勘定科目!$A:$H,HLOOKUP($E$5,勘定科目!$F$1:$H$2,2,0),0)="","",VLOOKUP($B435,勘定科目!$A:$E,2,0)),"")</f>
        <v/>
      </c>
      <c r="D435" s="216" t="str">
        <f>IF(C435="","",VLOOKUP($B435,勘定科目!$A:$E,4,0))</f>
        <v/>
      </c>
      <c r="E435" s="222"/>
      <c r="F435" s="217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184">
        <f t="shared" si="13"/>
        <v>0</v>
      </c>
      <c r="S435" s="185"/>
      <c r="T435" s="186"/>
      <c r="U435" s="223"/>
      <c r="V435" s="223"/>
      <c r="W435" s="223"/>
    </row>
    <row r="436" spans="1:23" s="175" customFormat="1" ht="13" customHeight="1">
      <c r="A436" s="166"/>
      <c r="B436" s="163"/>
      <c r="C436" s="167" t="str">
        <f>IFERROR(IF(VLOOKUP($B436,勘定科目!$A:$H,HLOOKUP($E$5,勘定科目!$F$1:$H$2,2,0),0)="","",VLOOKUP($B436,勘定科目!$A:$E,2,0)),"")</f>
        <v/>
      </c>
      <c r="D436" s="216" t="str">
        <f>IF(C436="","",VLOOKUP($B436,勘定科目!$A:$E,4,0))</f>
        <v/>
      </c>
      <c r="E436" s="222"/>
      <c r="F436" s="217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184">
        <f t="shared" si="13"/>
        <v>0</v>
      </c>
      <c r="S436" s="185"/>
      <c r="T436" s="186"/>
      <c r="U436" s="223"/>
      <c r="V436" s="223"/>
      <c r="W436" s="223"/>
    </row>
    <row r="437" spans="1:23" s="175" customFormat="1" ht="13" customHeight="1">
      <c r="A437" s="166"/>
      <c r="B437" s="163"/>
      <c r="C437" s="167" t="str">
        <f>IFERROR(IF(VLOOKUP($B437,勘定科目!$A:$H,HLOOKUP($E$5,勘定科目!$F$1:$H$2,2,0),0)="","",VLOOKUP($B437,勘定科目!$A:$E,2,0)),"")</f>
        <v/>
      </c>
      <c r="D437" s="216" t="str">
        <f>IF(C437="","",VLOOKUP($B437,勘定科目!$A:$E,4,0))</f>
        <v/>
      </c>
      <c r="E437" s="222"/>
      <c r="F437" s="217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184">
        <f t="shared" si="13"/>
        <v>0</v>
      </c>
      <c r="S437" s="185"/>
      <c r="T437" s="186"/>
      <c r="U437" s="223"/>
      <c r="V437" s="223"/>
      <c r="W437" s="223"/>
    </row>
    <row r="438" spans="1:23" s="175" customFormat="1" ht="13" customHeight="1">
      <c r="A438" s="166"/>
      <c r="B438" s="163"/>
      <c r="C438" s="167" t="str">
        <f>IFERROR(IF(VLOOKUP($B438,勘定科目!$A:$H,HLOOKUP($E$5,勘定科目!$F$1:$H$2,2,0),0)="","",VLOOKUP($B438,勘定科目!$A:$E,2,0)),"")</f>
        <v/>
      </c>
      <c r="D438" s="216" t="str">
        <f>IF(C438="","",VLOOKUP($B438,勘定科目!$A:$E,4,0))</f>
        <v/>
      </c>
      <c r="E438" s="222"/>
      <c r="F438" s="217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184">
        <f t="shared" si="13"/>
        <v>0</v>
      </c>
      <c r="S438" s="185"/>
      <c r="T438" s="186"/>
      <c r="U438" s="223"/>
      <c r="V438" s="223"/>
      <c r="W438" s="223"/>
    </row>
    <row r="439" spans="1:23" s="175" customFormat="1" ht="13" customHeight="1">
      <c r="A439" s="166"/>
      <c r="B439" s="163"/>
      <c r="C439" s="167" t="str">
        <f>IFERROR(IF(VLOOKUP($B439,勘定科目!$A:$H,HLOOKUP($E$5,勘定科目!$F$1:$H$2,2,0),0)="","",VLOOKUP($B439,勘定科目!$A:$E,2,0)),"")</f>
        <v/>
      </c>
      <c r="D439" s="216" t="str">
        <f>IF(C439="","",VLOOKUP($B439,勘定科目!$A:$E,4,0))</f>
        <v/>
      </c>
      <c r="E439" s="222"/>
      <c r="F439" s="217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184">
        <f t="shared" si="13"/>
        <v>0</v>
      </c>
      <c r="S439" s="185"/>
      <c r="T439" s="186"/>
      <c r="U439" s="223"/>
      <c r="V439" s="223"/>
      <c r="W439" s="223"/>
    </row>
    <row r="440" spans="1:23" s="175" customFormat="1" ht="13" customHeight="1">
      <c r="A440" s="166"/>
      <c r="B440" s="163"/>
      <c r="C440" s="167" t="str">
        <f>IFERROR(IF(VLOOKUP($B440,勘定科目!$A:$H,HLOOKUP($E$5,勘定科目!$F$1:$H$2,2,0),0)="","",VLOOKUP($B440,勘定科目!$A:$E,2,0)),"")</f>
        <v/>
      </c>
      <c r="D440" s="216" t="str">
        <f>IF(C440="","",VLOOKUP($B440,勘定科目!$A:$E,4,0))</f>
        <v/>
      </c>
      <c r="E440" s="222"/>
      <c r="F440" s="217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184">
        <f t="shared" si="13"/>
        <v>0</v>
      </c>
      <c r="S440" s="185"/>
      <c r="T440" s="186"/>
      <c r="U440" s="223"/>
      <c r="V440" s="223"/>
      <c r="W440" s="223"/>
    </row>
    <row r="441" spans="1:23" s="175" customFormat="1" ht="13" customHeight="1">
      <c r="A441" s="166"/>
      <c r="B441" s="163"/>
      <c r="C441" s="167" t="str">
        <f>IFERROR(IF(VLOOKUP($B441,勘定科目!$A:$H,HLOOKUP($E$5,勘定科目!$F$1:$H$2,2,0),0)="","",VLOOKUP($B441,勘定科目!$A:$E,2,0)),"")</f>
        <v/>
      </c>
      <c r="D441" s="216" t="str">
        <f>IF(C441="","",VLOOKUP($B441,勘定科目!$A:$E,4,0))</f>
        <v/>
      </c>
      <c r="E441" s="222"/>
      <c r="F441" s="217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184">
        <f t="shared" si="13"/>
        <v>0</v>
      </c>
      <c r="S441" s="185"/>
      <c r="T441" s="186"/>
      <c r="U441" s="223"/>
      <c r="V441" s="223"/>
      <c r="W441" s="223"/>
    </row>
    <row r="442" spans="1:23" s="175" customFormat="1" ht="13" customHeight="1">
      <c r="A442" s="166"/>
      <c r="B442" s="163"/>
      <c r="C442" s="167" t="str">
        <f>IFERROR(IF(VLOOKUP($B442,勘定科目!$A:$H,HLOOKUP($E$5,勘定科目!$F$1:$H$2,2,0),0)="","",VLOOKUP($B442,勘定科目!$A:$E,2,0)),"")</f>
        <v/>
      </c>
      <c r="D442" s="216" t="str">
        <f>IF(C442="","",VLOOKUP($B442,勘定科目!$A:$E,4,0))</f>
        <v/>
      </c>
      <c r="E442" s="222"/>
      <c r="F442" s="217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184">
        <f t="shared" si="13"/>
        <v>0</v>
      </c>
      <c r="S442" s="185"/>
      <c r="T442" s="186"/>
      <c r="U442" s="223"/>
      <c r="V442" s="223"/>
      <c r="W442" s="223"/>
    </row>
    <row r="443" spans="1:23" s="175" customFormat="1" ht="13" customHeight="1">
      <c r="A443" s="166"/>
      <c r="B443" s="163"/>
      <c r="C443" s="167" t="str">
        <f>IFERROR(IF(VLOOKUP($B443,勘定科目!$A:$H,HLOOKUP($E$5,勘定科目!$F$1:$H$2,2,0),0)="","",VLOOKUP($B443,勘定科目!$A:$E,2,0)),"")</f>
        <v/>
      </c>
      <c r="D443" s="216" t="str">
        <f>IF(C443="","",VLOOKUP($B443,勘定科目!$A:$E,4,0))</f>
        <v/>
      </c>
      <c r="E443" s="222"/>
      <c r="F443" s="217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184">
        <f t="shared" si="13"/>
        <v>0</v>
      </c>
      <c r="S443" s="185"/>
      <c r="T443" s="186"/>
      <c r="U443" s="223"/>
      <c r="V443" s="223"/>
      <c r="W443" s="223"/>
    </row>
    <row r="444" spans="1:23" s="175" customFormat="1" ht="13" customHeight="1">
      <c r="A444" s="166"/>
      <c r="B444" s="163"/>
      <c r="C444" s="167" t="str">
        <f>IFERROR(IF(VLOOKUP($B444,勘定科目!$A:$H,HLOOKUP($E$5,勘定科目!$F$1:$H$2,2,0),0)="","",VLOOKUP($B444,勘定科目!$A:$E,2,0)),"")</f>
        <v/>
      </c>
      <c r="D444" s="216" t="str">
        <f>IF(C444="","",VLOOKUP($B444,勘定科目!$A:$E,4,0))</f>
        <v/>
      </c>
      <c r="E444" s="222"/>
      <c r="F444" s="217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184">
        <f t="shared" si="13"/>
        <v>0</v>
      </c>
      <c r="S444" s="185"/>
      <c r="T444" s="186"/>
      <c r="U444" s="223"/>
      <c r="V444" s="223"/>
      <c r="W444" s="223"/>
    </row>
    <row r="445" spans="1:23" s="175" customFormat="1" ht="13" customHeight="1">
      <c r="A445" s="166"/>
      <c r="B445" s="163"/>
      <c r="C445" s="167" t="str">
        <f>IFERROR(IF(VLOOKUP($B445,勘定科目!$A:$H,HLOOKUP($E$5,勘定科目!$F$1:$H$2,2,0),0)="","",VLOOKUP($B445,勘定科目!$A:$E,2,0)),"")</f>
        <v/>
      </c>
      <c r="D445" s="216" t="str">
        <f>IF(C445="","",VLOOKUP($B445,勘定科目!$A:$E,4,0))</f>
        <v/>
      </c>
      <c r="E445" s="222"/>
      <c r="F445" s="217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184">
        <f t="shared" si="13"/>
        <v>0</v>
      </c>
      <c r="S445" s="185"/>
      <c r="T445" s="186"/>
      <c r="U445" s="223"/>
      <c r="V445" s="223"/>
      <c r="W445" s="223"/>
    </row>
    <row r="446" spans="1:23" s="175" customFormat="1" ht="13" customHeight="1">
      <c r="A446" s="166"/>
      <c r="B446" s="163"/>
      <c r="C446" s="167" t="str">
        <f>IFERROR(IF(VLOOKUP($B446,勘定科目!$A:$H,HLOOKUP($E$5,勘定科目!$F$1:$H$2,2,0),0)="","",VLOOKUP($B446,勘定科目!$A:$E,2,0)),"")</f>
        <v/>
      </c>
      <c r="D446" s="216" t="str">
        <f>IF(C446="","",VLOOKUP($B446,勘定科目!$A:$E,4,0))</f>
        <v/>
      </c>
      <c r="E446" s="222"/>
      <c r="F446" s="217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184">
        <f t="shared" si="13"/>
        <v>0</v>
      </c>
      <c r="S446" s="185"/>
      <c r="T446" s="186"/>
      <c r="U446" s="223"/>
      <c r="V446" s="223"/>
      <c r="W446" s="223"/>
    </row>
    <row r="447" spans="1:23" s="175" customFormat="1" ht="13" customHeight="1">
      <c r="A447" s="166"/>
      <c r="B447" s="163"/>
      <c r="C447" s="167" t="str">
        <f>IFERROR(IF(VLOOKUP($B447,勘定科目!$A:$H,HLOOKUP($E$5,勘定科目!$F$1:$H$2,2,0),0)="","",VLOOKUP($B447,勘定科目!$A:$E,2,0)),"")</f>
        <v/>
      </c>
      <c r="D447" s="216" t="str">
        <f>IF(C447="","",VLOOKUP($B447,勘定科目!$A:$E,4,0))</f>
        <v/>
      </c>
      <c r="E447" s="222"/>
      <c r="F447" s="217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184">
        <f t="shared" si="13"/>
        <v>0</v>
      </c>
      <c r="S447" s="185"/>
      <c r="T447" s="186"/>
      <c r="U447" s="223"/>
      <c r="V447" s="223"/>
      <c r="W447" s="223"/>
    </row>
    <row r="448" spans="1:23" s="175" customFormat="1" ht="13" customHeight="1">
      <c r="A448" s="166"/>
      <c r="B448" s="163"/>
      <c r="C448" s="167" t="str">
        <f>IFERROR(IF(VLOOKUP($B448,勘定科目!$A:$H,HLOOKUP($E$5,勘定科目!$F$1:$H$2,2,0),0)="","",VLOOKUP($B448,勘定科目!$A:$E,2,0)),"")</f>
        <v/>
      </c>
      <c r="D448" s="216" t="str">
        <f>IF(C448="","",VLOOKUP($B448,勘定科目!$A:$E,4,0))</f>
        <v/>
      </c>
      <c r="E448" s="222"/>
      <c r="F448" s="217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184">
        <f t="shared" si="13"/>
        <v>0</v>
      </c>
      <c r="S448" s="185"/>
      <c r="T448" s="186"/>
      <c r="U448" s="223"/>
      <c r="V448" s="223"/>
      <c r="W448" s="223"/>
    </row>
    <row r="449" spans="1:23" s="175" customFormat="1" ht="13" customHeight="1">
      <c r="A449" s="166"/>
      <c r="B449" s="163"/>
      <c r="C449" s="167" t="str">
        <f>IFERROR(IF(VLOOKUP($B449,勘定科目!$A:$H,HLOOKUP($E$5,勘定科目!$F$1:$H$2,2,0),0)="","",VLOOKUP($B449,勘定科目!$A:$E,2,0)),"")</f>
        <v/>
      </c>
      <c r="D449" s="216" t="str">
        <f>IF(C449="","",VLOOKUP($B449,勘定科目!$A:$E,4,0))</f>
        <v/>
      </c>
      <c r="E449" s="222"/>
      <c r="F449" s="217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184">
        <f t="shared" si="13"/>
        <v>0</v>
      </c>
      <c r="S449" s="185"/>
      <c r="T449" s="186"/>
      <c r="U449" s="223"/>
      <c r="V449" s="223"/>
      <c r="W449" s="223"/>
    </row>
    <row r="450" spans="1:23" s="175" customFormat="1" ht="13" customHeight="1">
      <c r="A450" s="166"/>
      <c r="B450" s="163"/>
      <c r="C450" s="167" t="str">
        <f>IFERROR(IF(VLOOKUP($B450,勘定科目!$A:$H,HLOOKUP($E$5,勘定科目!$F$1:$H$2,2,0),0)="","",VLOOKUP($B450,勘定科目!$A:$E,2,0)),"")</f>
        <v/>
      </c>
      <c r="D450" s="216" t="str">
        <f>IF(C450="","",VLOOKUP($B450,勘定科目!$A:$E,4,0))</f>
        <v/>
      </c>
      <c r="E450" s="222"/>
      <c r="F450" s="217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184">
        <f t="shared" si="13"/>
        <v>0</v>
      </c>
      <c r="S450" s="185"/>
      <c r="T450" s="186"/>
      <c r="U450" s="223"/>
      <c r="V450" s="223"/>
      <c r="W450" s="223"/>
    </row>
    <row r="451" spans="1:23" s="175" customFormat="1" ht="13" customHeight="1">
      <c r="A451" s="166"/>
      <c r="B451" s="163"/>
      <c r="C451" s="167" t="str">
        <f>IFERROR(IF(VLOOKUP($B451,勘定科目!$A:$H,HLOOKUP($E$5,勘定科目!$F$1:$H$2,2,0),0)="","",VLOOKUP($B451,勘定科目!$A:$E,2,0)),"")</f>
        <v/>
      </c>
      <c r="D451" s="216" t="str">
        <f>IF(C451="","",VLOOKUP($B451,勘定科目!$A:$E,4,0))</f>
        <v/>
      </c>
      <c r="E451" s="222"/>
      <c r="F451" s="217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184">
        <f t="shared" si="13"/>
        <v>0</v>
      </c>
      <c r="S451" s="185"/>
      <c r="T451" s="186"/>
      <c r="U451" s="223"/>
      <c r="V451" s="223"/>
      <c r="W451" s="223"/>
    </row>
    <row r="452" spans="1:23" s="175" customFormat="1" ht="13" customHeight="1">
      <c r="A452" s="166"/>
      <c r="B452" s="163"/>
      <c r="C452" s="167" t="str">
        <f>IFERROR(IF(VLOOKUP($B452,勘定科目!$A:$H,HLOOKUP($E$5,勘定科目!$F$1:$H$2,2,0),0)="","",VLOOKUP($B452,勘定科目!$A:$E,2,0)),"")</f>
        <v/>
      </c>
      <c r="D452" s="216" t="str">
        <f>IF(C452="","",VLOOKUP($B452,勘定科目!$A:$E,4,0))</f>
        <v/>
      </c>
      <c r="E452" s="222"/>
      <c r="F452" s="217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184">
        <f t="shared" si="13"/>
        <v>0</v>
      </c>
      <c r="S452" s="185"/>
      <c r="T452" s="186"/>
      <c r="U452" s="223"/>
      <c r="V452" s="223"/>
      <c r="W452" s="223"/>
    </row>
    <row r="453" spans="1:23" s="175" customFormat="1" ht="13" customHeight="1">
      <c r="A453" s="166"/>
      <c r="B453" s="163"/>
      <c r="C453" s="167" t="str">
        <f>IFERROR(IF(VLOOKUP($B453,勘定科目!$A:$H,HLOOKUP($E$5,勘定科目!$F$1:$H$2,2,0),0)="","",VLOOKUP($B453,勘定科目!$A:$E,2,0)),"")</f>
        <v/>
      </c>
      <c r="D453" s="216" t="str">
        <f>IF(C453="","",VLOOKUP($B453,勘定科目!$A:$E,4,0))</f>
        <v/>
      </c>
      <c r="E453" s="222"/>
      <c r="F453" s="217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184">
        <f t="shared" si="13"/>
        <v>0</v>
      </c>
      <c r="S453" s="185"/>
      <c r="T453" s="186"/>
      <c r="U453" s="223"/>
      <c r="V453" s="223"/>
      <c r="W453" s="223"/>
    </row>
    <row r="454" spans="1:23" s="175" customFormat="1" ht="13" customHeight="1">
      <c r="A454" s="166"/>
      <c r="B454" s="163"/>
      <c r="C454" s="167" t="str">
        <f>IFERROR(IF(VLOOKUP($B454,勘定科目!$A:$H,HLOOKUP($E$5,勘定科目!$F$1:$H$2,2,0),0)="","",VLOOKUP($B454,勘定科目!$A:$E,2,0)),"")</f>
        <v/>
      </c>
      <c r="D454" s="216" t="str">
        <f>IF(C454="","",VLOOKUP($B454,勘定科目!$A:$E,4,0))</f>
        <v/>
      </c>
      <c r="E454" s="222"/>
      <c r="F454" s="217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184">
        <f t="shared" si="13"/>
        <v>0</v>
      </c>
      <c r="S454" s="185"/>
      <c r="T454" s="186"/>
      <c r="U454" s="223"/>
      <c r="V454" s="223"/>
      <c r="W454" s="223"/>
    </row>
    <row r="455" spans="1:23" s="175" customFormat="1" ht="13" customHeight="1">
      <c r="A455" s="166"/>
      <c r="B455" s="163"/>
      <c r="C455" s="167" t="str">
        <f>IFERROR(IF(VLOOKUP($B455,勘定科目!$A:$H,HLOOKUP($E$5,勘定科目!$F$1:$H$2,2,0),0)="","",VLOOKUP($B455,勘定科目!$A:$E,2,0)),"")</f>
        <v/>
      </c>
      <c r="D455" s="216" t="str">
        <f>IF(C455="","",VLOOKUP($B455,勘定科目!$A:$E,4,0))</f>
        <v/>
      </c>
      <c r="E455" s="222"/>
      <c r="F455" s="217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184">
        <f t="shared" si="13"/>
        <v>0</v>
      </c>
      <c r="S455" s="185"/>
      <c r="T455" s="186"/>
      <c r="U455" s="223"/>
      <c r="V455" s="223"/>
      <c r="W455" s="223"/>
    </row>
    <row r="456" spans="1:23" s="175" customFormat="1" ht="13" customHeight="1">
      <c r="A456" s="166"/>
      <c r="B456" s="163"/>
      <c r="C456" s="167" t="str">
        <f>IFERROR(IF(VLOOKUP($B456,勘定科目!$A:$H,HLOOKUP($E$5,勘定科目!$F$1:$H$2,2,0),0)="","",VLOOKUP($B456,勘定科目!$A:$E,2,0)),"")</f>
        <v/>
      </c>
      <c r="D456" s="216" t="str">
        <f>IF(C456="","",VLOOKUP($B456,勘定科目!$A:$E,4,0))</f>
        <v/>
      </c>
      <c r="E456" s="222"/>
      <c r="F456" s="217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184">
        <f t="shared" si="13"/>
        <v>0</v>
      </c>
      <c r="S456" s="185"/>
      <c r="T456" s="186"/>
      <c r="U456" s="223"/>
      <c r="V456" s="223"/>
      <c r="W456" s="223"/>
    </row>
    <row r="457" spans="1:23" s="175" customFormat="1" ht="13" customHeight="1">
      <c r="A457" s="166"/>
      <c r="B457" s="163"/>
      <c r="C457" s="167" t="str">
        <f>IFERROR(IF(VLOOKUP($B457,勘定科目!$A:$H,HLOOKUP($E$5,勘定科目!$F$1:$H$2,2,0),0)="","",VLOOKUP($B457,勘定科目!$A:$E,2,0)),"")</f>
        <v/>
      </c>
      <c r="D457" s="216" t="str">
        <f>IF(C457="","",VLOOKUP($B457,勘定科目!$A:$E,4,0))</f>
        <v/>
      </c>
      <c r="E457" s="222"/>
      <c r="F457" s="217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184">
        <f t="shared" si="13"/>
        <v>0</v>
      </c>
      <c r="S457" s="185"/>
      <c r="T457" s="186"/>
      <c r="U457" s="223"/>
      <c r="V457" s="223"/>
      <c r="W457" s="223"/>
    </row>
    <row r="458" spans="1:23" s="175" customFormat="1" ht="13" customHeight="1">
      <c r="A458" s="166"/>
      <c r="B458" s="163"/>
      <c r="C458" s="167" t="str">
        <f>IFERROR(IF(VLOOKUP($B458,勘定科目!$A:$H,HLOOKUP($E$5,勘定科目!$F$1:$H$2,2,0),0)="","",VLOOKUP($B458,勘定科目!$A:$E,2,0)),"")</f>
        <v/>
      </c>
      <c r="D458" s="216" t="str">
        <f>IF(C458="","",VLOOKUP($B458,勘定科目!$A:$E,4,0))</f>
        <v/>
      </c>
      <c r="E458" s="222"/>
      <c r="F458" s="217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184">
        <f t="shared" si="13"/>
        <v>0</v>
      </c>
      <c r="S458" s="185"/>
      <c r="T458" s="186"/>
      <c r="U458" s="223"/>
      <c r="V458" s="223"/>
      <c r="W458" s="223"/>
    </row>
    <row r="459" spans="1:23" s="175" customFormat="1" ht="13" customHeight="1">
      <c r="A459" s="166"/>
      <c r="B459" s="163"/>
      <c r="C459" s="167" t="str">
        <f>IFERROR(IF(VLOOKUP($B459,勘定科目!$A:$H,HLOOKUP($E$5,勘定科目!$F$1:$H$2,2,0),0)="","",VLOOKUP($B459,勘定科目!$A:$E,2,0)),"")</f>
        <v/>
      </c>
      <c r="D459" s="216" t="str">
        <f>IF(C459="","",VLOOKUP($B459,勘定科目!$A:$E,4,0))</f>
        <v/>
      </c>
      <c r="E459" s="222"/>
      <c r="F459" s="217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184">
        <f t="shared" si="13"/>
        <v>0</v>
      </c>
      <c r="S459" s="185"/>
      <c r="T459" s="186"/>
      <c r="U459" s="223"/>
      <c r="V459" s="223"/>
      <c r="W459" s="223"/>
    </row>
    <row r="460" spans="1:23" s="175" customFormat="1" ht="13" customHeight="1">
      <c r="A460" s="166"/>
      <c r="B460" s="163"/>
      <c r="C460" s="167" t="str">
        <f>IFERROR(IF(VLOOKUP($B460,勘定科目!$A:$H,HLOOKUP($E$5,勘定科目!$F$1:$H$2,2,0),0)="","",VLOOKUP($B460,勘定科目!$A:$E,2,0)),"")</f>
        <v/>
      </c>
      <c r="D460" s="216" t="str">
        <f>IF(C460="","",VLOOKUP($B460,勘定科目!$A:$E,4,0))</f>
        <v/>
      </c>
      <c r="E460" s="222"/>
      <c r="F460" s="217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184">
        <f t="shared" si="13"/>
        <v>0</v>
      </c>
      <c r="S460" s="185"/>
      <c r="T460" s="186"/>
      <c r="U460" s="223"/>
      <c r="V460" s="223"/>
      <c r="W460" s="223"/>
    </row>
    <row r="461" spans="1:23" s="175" customFormat="1" ht="13" customHeight="1">
      <c r="A461" s="166"/>
      <c r="B461" s="163"/>
      <c r="C461" s="167" t="str">
        <f>IFERROR(IF(VLOOKUP($B461,勘定科目!$A:$H,HLOOKUP($E$5,勘定科目!$F$1:$H$2,2,0),0)="","",VLOOKUP($B461,勘定科目!$A:$E,2,0)),"")</f>
        <v/>
      </c>
      <c r="D461" s="216" t="str">
        <f>IF(C461="","",VLOOKUP($B461,勘定科目!$A:$E,4,0))</f>
        <v/>
      </c>
      <c r="E461" s="222"/>
      <c r="F461" s="217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184">
        <f t="shared" si="13"/>
        <v>0</v>
      </c>
      <c r="S461" s="185"/>
      <c r="T461" s="186"/>
      <c r="U461" s="223"/>
      <c r="V461" s="223"/>
      <c r="W461" s="223"/>
    </row>
    <row r="462" spans="1:23" s="175" customFormat="1" ht="13" customHeight="1">
      <c r="A462" s="166"/>
      <c r="B462" s="163"/>
      <c r="C462" s="167" t="str">
        <f>IFERROR(IF(VLOOKUP($B462,勘定科目!$A:$H,HLOOKUP($E$5,勘定科目!$F$1:$H$2,2,0),0)="","",VLOOKUP($B462,勘定科目!$A:$E,2,0)),"")</f>
        <v/>
      </c>
      <c r="D462" s="216" t="str">
        <f>IF(C462="","",VLOOKUP($B462,勘定科目!$A:$E,4,0))</f>
        <v/>
      </c>
      <c r="E462" s="222"/>
      <c r="F462" s="217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184">
        <f t="shared" si="13"/>
        <v>0</v>
      </c>
      <c r="S462" s="185"/>
      <c r="T462" s="186"/>
      <c r="U462" s="223"/>
      <c r="V462" s="223"/>
      <c r="W462" s="223"/>
    </row>
    <row r="463" spans="1:23" s="175" customFormat="1" ht="13" customHeight="1">
      <c r="A463" s="166"/>
      <c r="B463" s="163"/>
      <c r="C463" s="167" t="str">
        <f>IFERROR(IF(VLOOKUP($B463,勘定科目!$A:$H,HLOOKUP($E$5,勘定科目!$F$1:$H$2,2,0),0)="","",VLOOKUP($B463,勘定科目!$A:$E,2,0)),"")</f>
        <v/>
      </c>
      <c r="D463" s="216" t="str">
        <f>IF(C463="","",VLOOKUP($B463,勘定科目!$A:$E,4,0))</f>
        <v/>
      </c>
      <c r="E463" s="222"/>
      <c r="F463" s="217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184">
        <f t="shared" si="13"/>
        <v>0</v>
      </c>
      <c r="S463" s="185"/>
      <c r="T463" s="186"/>
      <c r="U463" s="223"/>
      <c r="V463" s="223"/>
      <c r="W463" s="223"/>
    </row>
    <row r="464" spans="1:23" s="175" customFormat="1" ht="13" customHeight="1">
      <c r="A464" s="166"/>
      <c r="B464" s="163"/>
      <c r="C464" s="167" t="str">
        <f>IFERROR(IF(VLOOKUP($B464,勘定科目!$A:$H,HLOOKUP($E$5,勘定科目!$F$1:$H$2,2,0),0)="","",VLOOKUP($B464,勘定科目!$A:$E,2,0)),"")</f>
        <v/>
      </c>
      <c r="D464" s="216" t="str">
        <f>IF(C464="","",VLOOKUP($B464,勘定科目!$A:$E,4,0))</f>
        <v/>
      </c>
      <c r="E464" s="222"/>
      <c r="F464" s="217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184">
        <f t="shared" si="13"/>
        <v>0</v>
      </c>
      <c r="S464" s="185"/>
      <c r="T464" s="186"/>
      <c r="U464" s="223"/>
      <c r="V464" s="223"/>
      <c r="W464" s="223"/>
    </row>
    <row r="465" spans="1:23" s="175" customFormat="1" ht="13" customHeight="1">
      <c r="A465" s="166"/>
      <c r="B465" s="163"/>
      <c r="C465" s="167" t="str">
        <f>IFERROR(IF(VLOOKUP($B465,勘定科目!$A:$H,HLOOKUP($E$5,勘定科目!$F$1:$H$2,2,0),0)="","",VLOOKUP($B465,勘定科目!$A:$E,2,0)),"")</f>
        <v/>
      </c>
      <c r="D465" s="216" t="str">
        <f>IF(C465="","",VLOOKUP($B465,勘定科目!$A:$E,4,0))</f>
        <v/>
      </c>
      <c r="E465" s="222"/>
      <c r="F465" s="217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184">
        <f t="shared" si="13"/>
        <v>0</v>
      </c>
      <c r="S465" s="185"/>
      <c r="T465" s="186"/>
      <c r="U465" s="223"/>
      <c r="V465" s="223"/>
      <c r="W465" s="223"/>
    </row>
    <row r="466" spans="1:23" s="175" customFormat="1" ht="13" customHeight="1">
      <c r="A466" s="166"/>
      <c r="B466" s="163"/>
      <c r="C466" s="167" t="str">
        <f>IFERROR(IF(VLOOKUP($B466,勘定科目!$A:$H,HLOOKUP($E$5,勘定科目!$F$1:$H$2,2,0),0)="","",VLOOKUP($B466,勘定科目!$A:$E,2,0)),"")</f>
        <v/>
      </c>
      <c r="D466" s="216" t="str">
        <f>IF(C466="","",VLOOKUP($B466,勘定科目!$A:$E,4,0))</f>
        <v/>
      </c>
      <c r="E466" s="222"/>
      <c r="F466" s="217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184">
        <f t="shared" si="13"/>
        <v>0</v>
      </c>
      <c r="S466" s="185"/>
      <c r="T466" s="186"/>
      <c r="U466" s="223"/>
      <c r="V466" s="223"/>
      <c r="W466" s="223"/>
    </row>
    <row r="467" spans="1:23" s="175" customFormat="1" ht="13" customHeight="1">
      <c r="A467" s="166"/>
      <c r="B467" s="163"/>
      <c r="C467" s="167" t="str">
        <f>IFERROR(IF(VLOOKUP($B467,勘定科目!$A:$H,HLOOKUP($E$5,勘定科目!$F$1:$H$2,2,0),0)="","",VLOOKUP($B467,勘定科目!$A:$E,2,0)),"")</f>
        <v/>
      </c>
      <c r="D467" s="216" t="str">
        <f>IF(C467="","",VLOOKUP($B467,勘定科目!$A:$E,4,0))</f>
        <v/>
      </c>
      <c r="E467" s="222"/>
      <c r="F467" s="217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184">
        <f t="shared" si="13"/>
        <v>0</v>
      </c>
      <c r="S467" s="185"/>
      <c r="T467" s="186"/>
      <c r="U467" s="223"/>
      <c r="V467" s="223"/>
      <c r="W467" s="223"/>
    </row>
    <row r="468" spans="1:23" s="175" customFormat="1" ht="13" customHeight="1">
      <c r="A468" s="166"/>
      <c r="B468" s="163"/>
      <c r="C468" s="167" t="str">
        <f>IFERROR(IF(VLOOKUP($B468,勘定科目!$A:$H,HLOOKUP($E$5,勘定科目!$F$1:$H$2,2,0),0)="","",VLOOKUP($B468,勘定科目!$A:$E,2,0)),"")</f>
        <v/>
      </c>
      <c r="D468" s="216" t="str">
        <f>IF(C468="","",VLOOKUP($B468,勘定科目!$A:$E,4,0))</f>
        <v/>
      </c>
      <c r="E468" s="222"/>
      <c r="F468" s="217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184">
        <f t="shared" si="13"/>
        <v>0</v>
      </c>
      <c r="S468" s="185"/>
      <c r="T468" s="186"/>
      <c r="U468" s="223"/>
      <c r="V468" s="223"/>
      <c r="W468" s="223"/>
    </row>
    <row r="469" spans="1:23" s="175" customFormat="1" ht="13" customHeight="1">
      <c r="A469" s="166"/>
      <c r="B469" s="163"/>
      <c r="C469" s="167" t="str">
        <f>IFERROR(IF(VLOOKUP($B469,勘定科目!$A:$H,HLOOKUP($E$5,勘定科目!$F$1:$H$2,2,0),0)="","",VLOOKUP($B469,勘定科目!$A:$E,2,0)),"")</f>
        <v/>
      </c>
      <c r="D469" s="216" t="str">
        <f>IF(C469="","",VLOOKUP($B469,勘定科目!$A:$E,4,0))</f>
        <v/>
      </c>
      <c r="E469" s="222"/>
      <c r="F469" s="217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184">
        <f t="shared" si="13"/>
        <v>0</v>
      </c>
      <c r="S469" s="185"/>
      <c r="T469" s="186"/>
      <c r="U469" s="223"/>
      <c r="V469" s="223"/>
      <c r="W469" s="223"/>
    </row>
    <row r="470" spans="1:23" s="175" customFormat="1" ht="13" customHeight="1">
      <c r="A470" s="166"/>
      <c r="B470" s="163"/>
      <c r="C470" s="167" t="str">
        <f>IFERROR(IF(VLOOKUP($B470,勘定科目!$A:$H,HLOOKUP($E$5,勘定科目!$F$1:$H$2,2,0),0)="","",VLOOKUP($B470,勘定科目!$A:$E,2,0)),"")</f>
        <v/>
      </c>
      <c r="D470" s="216" t="str">
        <f>IF(C470="","",VLOOKUP($B470,勘定科目!$A:$E,4,0))</f>
        <v/>
      </c>
      <c r="E470" s="222"/>
      <c r="F470" s="217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184">
        <f t="shared" si="13"/>
        <v>0</v>
      </c>
      <c r="S470" s="185"/>
      <c r="T470" s="186"/>
      <c r="U470" s="223"/>
      <c r="V470" s="223"/>
      <c r="W470" s="223"/>
    </row>
    <row r="471" spans="1:23" s="175" customFormat="1" ht="13" customHeight="1">
      <c r="A471" s="166"/>
      <c r="B471" s="163"/>
      <c r="C471" s="167" t="str">
        <f>IFERROR(IF(VLOOKUP($B471,勘定科目!$A:$H,HLOOKUP($E$5,勘定科目!$F$1:$H$2,2,0),0)="","",VLOOKUP($B471,勘定科目!$A:$E,2,0)),"")</f>
        <v/>
      </c>
      <c r="D471" s="216" t="str">
        <f>IF(C471="","",VLOOKUP($B471,勘定科目!$A:$E,4,0))</f>
        <v/>
      </c>
      <c r="E471" s="222"/>
      <c r="F471" s="217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184">
        <f t="shared" si="13"/>
        <v>0</v>
      </c>
      <c r="S471" s="185"/>
      <c r="T471" s="186"/>
      <c r="U471" s="223"/>
      <c r="V471" s="223"/>
      <c r="W471" s="223"/>
    </row>
    <row r="472" spans="1:23" s="175" customFormat="1" ht="13" customHeight="1">
      <c r="A472" s="166"/>
      <c r="B472" s="163"/>
      <c r="C472" s="167" t="str">
        <f>IFERROR(IF(VLOOKUP($B472,勘定科目!$A:$H,HLOOKUP($E$5,勘定科目!$F$1:$H$2,2,0),0)="","",VLOOKUP($B472,勘定科目!$A:$E,2,0)),"")</f>
        <v/>
      </c>
      <c r="D472" s="216" t="str">
        <f>IF(C472="","",VLOOKUP($B472,勘定科目!$A:$E,4,0))</f>
        <v/>
      </c>
      <c r="E472" s="222"/>
      <c r="F472" s="217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184">
        <f t="shared" si="13"/>
        <v>0</v>
      </c>
      <c r="S472" s="185"/>
      <c r="T472" s="186"/>
      <c r="U472" s="223"/>
      <c r="V472" s="223"/>
      <c r="W472" s="223"/>
    </row>
    <row r="473" spans="1:23" s="175" customFormat="1" ht="13" customHeight="1">
      <c r="A473" s="166"/>
      <c r="B473" s="163"/>
      <c r="C473" s="167" t="str">
        <f>IFERROR(IF(VLOOKUP($B473,勘定科目!$A:$H,HLOOKUP($E$5,勘定科目!$F$1:$H$2,2,0),0)="","",VLOOKUP($B473,勘定科目!$A:$E,2,0)),"")</f>
        <v/>
      </c>
      <c r="D473" s="216" t="str">
        <f>IF(C473="","",VLOOKUP($B473,勘定科目!$A:$E,4,0))</f>
        <v/>
      </c>
      <c r="E473" s="222"/>
      <c r="F473" s="217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184">
        <f t="shared" si="13"/>
        <v>0</v>
      </c>
      <c r="S473" s="185"/>
      <c r="T473" s="186"/>
      <c r="U473" s="223"/>
      <c r="V473" s="223"/>
      <c r="W473" s="223"/>
    </row>
    <row r="474" spans="1:23" s="175" customFormat="1" ht="13" customHeight="1">
      <c r="A474" s="166"/>
      <c r="B474" s="163"/>
      <c r="C474" s="167" t="str">
        <f>IFERROR(IF(VLOOKUP($B474,勘定科目!$A:$H,HLOOKUP($E$5,勘定科目!$F$1:$H$2,2,0),0)="","",VLOOKUP($B474,勘定科目!$A:$E,2,0)),"")</f>
        <v/>
      </c>
      <c r="D474" s="216" t="str">
        <f>IF(C474="","",VLOOKUP($B474,勘定科目!$A:$E,4,0))</f>
        <v/>
      </c>
      <c r="E474" s="222"/>
      <c r="F474" s="217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184">
        <f t="shared" ref="R474:R537" si="14">SUM(F474:Q474)</f>
        <v>0</v>
      </c>
      <c r="S474" s="185"/>
      <c r="T474" s="186"/>
      <c r="U474" s="223"/>
      <c r="V474" s="223"/>
      <c r="W474" s="223"/>
    </row>
    <row r="475" spans="1:23" s="175" customFormat="1" ht="13" customHeight="1">
      <c r="A475" s="166"/>
      <c r="B475" s="163"/>
      <c r="C475" s="167" t="str">
        <f>IFERROR(IF(VLOOKUP($B475,勘定科目!$A:$H,HLOOKUP($E$5,勘定科目!$F$1:$H$2,2,0),0)="","",VLOOKUP($B475,勘定科目!$A:$E,2,0)),"")</f>
        <v/>
      </c>
      <c r="D475" s="216" t="str">
        <f>IF(C475="","",VLOOKUP($B475,勘定科目!$A:$E,4,0))</f>
        <v/>
      </c>
      <c r="E475" s="222"/>
      <c r="F475" s="217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184">
        <f t="shared" si="14"/>
        <v>0</v>
      </c>
      <c r="S475" s="185"/>
      <c r="T475" s="186"/>
      <c r="U475" s="223"/>
      <c r="V475" s="223"/>
      <c r="W475" s="223"/>
    </row>
    <row r="476" spans="1:23" s="175" customFormat="1" ht="13" customHeight="1">
      <c r="A476" s="166"/>
      <c r="B476" s="163"/>
      <c r="C476" s="167" t="str">
        <f>IFERROR(IF(VLOOKUP($B476,勘定科目!$A:$H,HLOOKUP($E$5,勘定科目!$F$1:$H$2,2,0),0)="","",VLOOKUP($B476,勘定科目!$A:$E,2,0)),"")</f>
        <v/>
      </c>
      <c r="D476" s="216" t="str">
        <f>IF(C476="","",VLOOKUP($B476,勘定科目!$A:$E,4,0))</f>
        <v/>
      </c>
      <c r="E476" s="222"/>
      <c r="F476" s="217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184">
        <f t="shared" si="14"/>
        <v>0</v>
      </c>
      <c r="S476" s="185"/>
      <c r="T476" s="186"/>
      <c r="U476" s="223"/>
      <c r="V476" s="223"/>
      <c r="W476" s="223"/>
    </row>
    <row r="477" spans="1:23" s="175" customFormat="1" ht="13" customHeight="1">
      <c r="A477" s="166"/>
      <c r="B477" s="163"/>
      <c r="C477" s="167" t="str">
        <f>IFERROR(IF(VLOOKUP($B477,勘定科目!$A:$H,HLOOKUP($E$5,勘定科目!$F$1:$H$2,2,0),0)="","",VLOOKUP($B477,勘定科目!$A:$E,2,0)),"")</f>
        <v/>
      </c>
      <c r="D477" s="216" t="str">
        <f>IF(C477="","",VLOOKUP($B477,勘定科目!$A:$E,4,0))</f>
        <v/>
      </c>
      <c r="E477" s="222"/>
      <c r="F477" s="217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184">
        <f t="shared" si="14"/>
        <v>0</v>
      </c>
      <c r="S477" s="185"/>
      <c r="T477" s="186"/>
      <c r="U477" s="223"/>
      <c r="V477" s="223"/>
      <c r="W477" s="223"/>
    </row>
    <row r="478" spans="1:23" s="175" customFormat="1" ht="13" customHeight="1">
      <c r="A478" s="166"/>
      <c r="B478" s="163"/>
      <c r="C478" s="167" t="str">
        <f>IFERROR(IF(VLOOKUP($B478,勘定科目!$A:$H,HLOOKUP($E$5,勘定科目!$F$1:$H$2,2,0),0)="","",VLOOKUP($B478,勘定科目!$A:$E,2,0)),"")</f>
        <v/>
      </c>
      <c r="D478" s="216" t="str">
        <f>IF(C478="","",VLOOKUP($B478,勘定科目!$A:$E,4,0))</f>
        <v/>
      </c>
      <c r="E478" s="222"/>
      <c r="F478" s="217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184">
        <f t="shared" si="14"/>
        <v>0</v>
      </c>
      <c r="S478" s="185"/>
      <c r="T478" s="186"/>
      <c r="U478" s="223"/>
      <c r="V478" s="223"/>
      <c r="W478" s="223"/>
    </row>
    <row r="479" spans="1:23" s="175" customFormat="1" ht="13" customHeight="1">
      <c r="A479" s="166"/>
      <c r="B479" s="163"/>
      <c r="C479" s="167" t="str">
        <f>IFERROR(IF(VLOOKUP($B479,勘定科目!$A:$H,HLOOKUP($E$5,勘定科目!$F$1:$H$2,2,0),0)="","",VLOOKUP($B479,勘定科目!$A:$E,2,0)),"")</f>
        <v/>
      </c>
      <c r="D479" s="216" t="str">
        <f>IF(C479="","",VLOOKUP($B479,勘定科目!$A:$E,4,0))</f>
        <v/>
      </c>
      <c r="E479" s="222"/>
      <c r="F479" s="217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184">
        <f t="shared" si="14"/>
        <v>0</v>
      </c>
      <c r="S479" s="185"/>
      <c r="T479" s="186"/>
      <c r="U479" s="223"/>
      <c r="V479" s="223"/>
      <c r="W479" s="223"/>
    </row>
    <row r="480" spans="1:23" s="175" customFormat="1" ht="13" customHeight="1">
      <c r="A480" s="166"/>
      <c r="B480" s="163"/>
      <c r="C480" s="167" t="str">
        <f>IFERROR(IF(VLOOKUP($B480,勘定科目!$A:$H,HLOOKUP($E$5,勘定科目!$F$1:$H$2,2,0),0)="","",VLOOKUP($B480,勘定科目!$A:$E,2,0)),"")</f>
        <v/>
      </c>
      <c r="D480" s="216" t="str">
        <f>IF(C480="","",VLOOKUP($B480,勘定科目!$A:$E,4,0))</f>
        <v/>
      </c>
      <c r="E480" s="222"/>
      <c r="F480" s="217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184">
        <f t="shared" si="14"/>
        <v>0</v>
      </c>
      <c r="S480" s="185"/>
      <c r="T480" s="186"/>
      <c r="U480" s="223"/>
      <c r="V480" s="223"/>
      <c r="W480" s="223"/>
    </row>
    <row r="481" spans="1:23" s="175" customFormat="1" ht="13" customHeight="1">
      <c r="A481" s="166"/>
      <c r="B481" s="163"/>
      <c r="C481" s="167" t="str">
        <f>IFERROR(IF(VLOOKUP($B481,勘定科目!$A:$H,HLOOKUP($E$5,勘定科目!$F$1:$H$2,2,0),0)="","",VLOOKUP($B481,勘定科目!$A:$E,2,0)),"")</f>
        <v/>
      </c>
      <c r="D481" s="216" t="str">
        <f>IF(C481="","",VLOOKUP($B481,勘定科目!$A:$E,4,0))</f>
        <v/>
      </c>
      <c r="E481" s="222"/>
      <c r="F481" s="217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184">
        <f t="shared" si="14"/>
        <v>0</v>
      </c>
      <c r="S481" s="185"/>
      <c r="T481" s="186"/>
      <c r="U481" s="223"/>
      <c r="V481" s="223"/>
      <c r="W481" s="223"/>
    </row>
    <row r="482" spans="1:23" s="175" customFormat="1" ht="13" customHeight="1">
      <c r="A482" s="166"/>
      <c r="B482" s="163"/>
      <c r="C482" s="167" t="str">
        <f>IFERROR(IF(VLOOKUP($B482,勘定科目!$A:$H,HLOOKUP($E$5,勘定科目!$F$1:$H$2,2,0),0)="","",VLOOKUP($B482,勘定科目!$A:$E,2,0)),"")</f>
        <v/>
      </c>
      <c r="D482" s="216" t="str">
        <f>IF(C482="","",VLOOKUP($B482,勘定科目!$A:$E,4,0))</f>
        <v/>
      </c>
      <c r="E482" s="222"/>
      <c r="F482" s="217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184">
        <f t="shared" si="14"/>
        <v>0</v>
      </c>
      <c r="S482" s="185"/>
      <c r="T482" s="186"/>
      <c r="U482" s="223"/>
      <c r="V482" s="223"/>
      <c r="W482" s="223"/>
    </row>
    <row r="483" spans="1:23" s="175" customFormat="1" ht="13" customHeight="1">
      <c r="A483" s="166"/>
      <c r="B483" s="163"/>
      <c r="C483" s="167" t="str">
        <f>IFERROR(IF(VLOOKUP($B483,勘定科目!$A:$H,HLOOKUP($E$5,勘定科目!$F$1:$H$2,2,0),0)="","",VLOOKUP($B483,勘定科目!$A:$E,2,0)),"")</f>
        <v/>
      </c>
      <c r="D483" s="216" t="str">
        <f>IF(C483="","",VLOOKUP($B483,勘定科目!$A:$E,4,0))</f>
        <v/>
      </c>
      <c r="E483" s="222"/>
      <c r="F483" s="217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184">
        <f t="shared" si="14"/>
        <v>0</v>
      </c>
      <c r="S483" s="185"/>
      <c r="T483" s="186"/>
      <c r="U483" s="223"/>
      <c r="V483" s="223"/>
      <c r="W483" s="223"/>
    </row>
    <row r="484" spans="1:23" s="175" customFormat="1" ht="13" customHeight="1">
      <c r="A484" s="166"/>
      <c r="B484" s="163"/>
      <c r="C484" s="167" t="str">
        <f>IFERROR(IF(VLOOKUP($B484,勘定科目!$A:$H,HLOOKUP($E$5,勘定科目!$F$1:$H$2,2,0),0)="","",VLOOKUP($B484,勘定科目!$A:$E,2,0)),"")</f>
        <v/>
      </c>
      <c r="D484" s="216" t="str">
        <f>IF(C484="","",VLOOKUP($B484,勘定科目!$A:$E,4,0))</f>
        <v/>
      </c>
      <c r="E484" s="222"/>
      <c r="F484" s="217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184">
        <f t="shared" si="14"/>
        <v>0</v>
      </c>
      <c r="S484" s="185"/>
      <c r="T484" s="186"/>
      <c r="U484" s="223"/>
      <c r="V484" s="223"/>
      <c r="W484" s="223"/>
    </row>
    <row r="485" spans="1:23" s="175" customFormat="1" ht="13" customHeight="1">
      <c r="A485" s="166"/>
      <c r="B485" s="163"/>
      <c r="C485" s="167" t="str">
        <f>IFERROR(IF(VLOOKUP($B485,勘定科目!$A:$H,HLOOKUP($E$5,勘定科目!$F$1:$H$2,2,0),0)="","",VLOOKUP($B485,勘定科目!$A:$E,2,0)),"")</f>
        <v/>
      </c>
      <c r="D485" s="216" t="str">
        <f>IF(C485="","",VLOOKUP($B485,勘定科目!$A:$E,4,0))</f>
        <v/>
      </c>
      <c r="E485" s="222"/>
      <c r="F485" s="217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184">
        <f t="shared" si="14"/>
        <v>0</v>
      </c>
      <c r="S485" s="185"/>
      <c r="T485" s="186"/>
      <c r="U485" s="223"/>
      <c r="V485" s="223"/>
      <c r="W485" s="223"/>
    </row>
    <row r="486" spans="1:23" s="175" customFormat="1" ht="13" customHeight="1">
      <c r="A486" s="166"/>
      <c r="B486" s="163"/>
      <c r="C486" s="167" t="str">
        <f>IFERROR(IF(VLOOKUP($B486,勘定科目!$A:$H,HLOOKUP($E$5,勘定科目!$F$1:$H$2,2,0),0)="","",VLOOKUP($B486,勘定科目!$A:$E,2,0)),"")</f>
        <v/>
      </c>
      <c r="D486" s="216" t="str">
        <f>IF(C486="","",VLOOKUP($B486,勘定科目!$A:$E,4,0))</f>
        <v/>
      </c>
      <c r="E486" s="222"/>
      <c r="F486" s="217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184">
        <f t="shared" si="14"/>
        <v>0</v>
      </c>
      <c r="S486" s="185"/>
      <c r="T486" s="186"/>
      <c r="U486" s="223"/>
      <c r="V486" s="223"/>
      <c r="W486" s="223"/>
    </row>
    <row r="487" spans="1:23" s="175" customFormat="1" ht="13" customHeight="1">
      <c r="A487" s="166"/>
      <c r="B487" s="163"/>
      <c r="C487" s="167" t="str">
        <f>IFERROR(IF(VLOOKUP($B487,勘定科目!$A:$H,HLOOKUP($E$5,勘定科目!$F$1:$H$2,2,0),0)="","",VLOOKUP($B487,勘定科目!$A:$E,2,0)),"")</f>
        <v/>
      </c>
      <c r="D487" s="216" t="str">
        <f>IF(C487="","",VLOOKUP($B487,勘定科目!$A:$E,4,0))</f>
        <v/>
      </c>
      <c r="E487" s="222"/>
      <c r="F487" s="217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184">
        <f t="shared" si="14"/>
        <v>0</v>
      </c>
      <c r="S487" s="185"/>
      <c r="T487" s="186"/>
      <c r="U487" s="223"/>
      <c r="V487" s="223"/>
      <c r="W487" s="223"/>
    </row>
    <row r="488" spans="1:23" s="175" customFormat="1" ht="13" customHeight="1">
      <c r="A488" s="166"/>
      <c r="B488" s="163"/>
      <c r="C488" s="167" t="str">
        <f>IFERROR(IF(VLOOKUP($B488,勘定科目!$A:$H,HLOOKUP($E$5,勘定科目!$F$1:$H$2,2,0),0)="","",VLOOKUP($B488,勘定科目!$A:$E,2,0)),"")</f>
        <v/>
      </c>
      <c r="D488" s="216" t="str">
        <f>IF(C488="","",VLOOKUP($B488,勘定科目!$A:$E,4,0))</f>
        <v/>
      </c>
      <c r="E488" s="222"/>
      <c r="F488" s="217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184">
        <f t="shared" si="14"/>
        <v>0</v>
      </c>
      <c r="S488" s="185"/>
      <c r="T488" s="186"/>
      <c r="U488" s="223"/>
      <c r="V488" s="223"/>
      <c r="W488" s="223"/>
    </row>
    <row r="489" spans="1:23" s="175" customFormat="1" ht="13" customHeight="1">
      <c r="A489" s="166"/>
      <c r="B489" s="163"/>
      <c r="C489" s="167" t="str">
        <f>IFERROR(IF(VLOOKUP($B489,勘定科目!$A:$H,HLOOKUP($E$5,勘定科目!$F$1:$H$2,2,0),0)="","",VLOOKUP($B489,勘定科目!$A:$E,2,0)),"")</f>
        <v/>
      </c>
      <c r="D489" s="216" t="str">
        <f>IF(C489="","",VLOOKUP($B489,勘定科目!$A:$E,4,0))</f>
        <v/>
      </c>
      <c r="E489" s="222"/>
      <c r="F489" s="217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184">
        <f t="shared" si="14"/>
        <v>0</v>
      </c>
      <c r="S489" s="185"/>
      <c r="T489" s="186"/>
      <c r="U489" s="223"/>
      <c r="V489" s="223"/>
      <c r="W489" s="223"/>
    </row>
    <row r="490" spans="1:23" s="175" customFormat="1" ht="13" customHeight="1">
      <c r="A490" s="166"/>
      <c r="B490" s="163"/>
      <c r="C490" s="167" t="str">
        <f>IFERROR(IF(VLOOKUP($B490,勘定科目!$A:$H,HLOOKUP($E$5,勘定科目!$F$1:$H$2,2,0),0)="","",VLOOKUP($B490,勘定科目!$A:$E,2,0)),"")</f>
        <v/>
      </c>
      <c r="D490" s="216" t="str">
        <f>IF(C490="","",VLOOKUP($B490,勘定科目!$A:$E,4,0))</f>
        <v/>
      </c>
      <c r="E490" s="222"/>
      <c r="F490" s="217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184">
        <f t="shared" si="14"/>
        <v>0</v>
      </c>
      <c r="S490" s="185"/>
      <c r="T490" s="186"/>
      <c r="U490" s="223"/>
      <c r="V490" s="223"/>
      <c r="W490" s="223"/>
    </row>
    <row r="491" spans="1:23" s="175" customFormat="1" ht="13" customHeight="1">
      <c r="A491" s="166"/>
      <c r="B491" s="163"/>
      <c r="C491" s="167" t="str">
        <f>IFERROR(IF(VLOOKUP($B491,勘定科目!$A:$H,HLOOKUP($E$5,勘定科目!$F$1:$H$2,2,0),0)="","",VLOOKUP($B491,勘定科目!$A:$E,2,0)),"")</f>
        <v/>
      </c>
      <c r="D491" s="216" t="str">
        <f>IF(C491="","",VLOOKUP($B491,勘定科目!$A:$E,4,0))</f>
        <v/>
      </c>
      <c r="E491" s="222"/>
      <c r="F491" s="217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184">
        <f t="shared" si="14"/>
        <v>0</v>
      </c>
      <c r="S491" s="185"/>
      <c r="T491" s="186"/>
      <c r="U491" s="223"/>
      <c r="V491" s="223"/>
      <c r="W491" s="223"/>
    </row>
    <row r="492" spans="1:23" s="175" customFormat="1" ht="13" customHeight="1">
      <c r="A492" s="166"/>
      <c r="B492" s="163"/>
      <c r="C492" s="167" t="str">
        <f>IFERROR(IF(VLOOKUP($B492,勘定科目!$A:$H,HLOOKUP($E$5,勘定科目!$F$1:$H$2,2,0),0)="","",VLOOKUP($B492,勘定科目!$A:$E,2,0)),"")</f>
        <v/>
      </c>
      <c r="D492" s="216" t="str">
        <f>IF(C492="","",VLOOKUP($B492,勘定科目!$A:$E,4,0))</f>
        <v/>
      </c>
      <c r="E492" s="222"/>
      <c r="F492" s="217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184">
        <f t="shared" si="14"/>
        <v>0</v>
      </c>
      <c r="S492" s="185"/>
      <c r="T492" s="186"/>
      <c r="U492" s="223"/>
      <c r="V492" s="223"/>
      <c r="W492" s="223"/>
    </row>
    <row r="493" spans="1:23" s="175" customFormat="1" ht="13" customHeight="1">
      <c r="A493" s="166"/>
      <c r="B493" s="163"/>
      <c r="C493" s="167" t="str">
        <f>IFERROR(IF(VLOOKUP($B493,勘定科目!$A:$H,HLOOKUP($E$5,勘定科目!$F$1:$H$2,2,0),0)="","",VLOOKUP($B493,勘定科目!$A:$E,2,0)),"")</f>
        <v/>
      </c>
      <c r="D493" s="216" t="str">
        <f>IF(C493="","",VLOOKUP($B493,勘定科目!$A:$E,4,0))</f>
        <v/>
      </c>
      <c r="E493" s="222"/>
      <c r="F493" s="217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184">
        <f t="shared" si="14"/>
        <v>0</v>
      </c>
      <c r="S493" s="185"/>
      <c r="T493" s="186"/>
      <c r="U493" s="223"/>
      <c r="V493" s="223"/>
      <c r="W493" s="223"/>
    </row>
    <row r="494" spans="1:23" s="175" customFormat="1" ht="13" customHeight="1">
      <c r="A494" s="166"/>
      <c r="B494" s="163"/>
      <c r="C494" s="167" t="str">
        <f>IFERROR(IF(VLOOKUP($B494,勘定科目!$A:$H,HLOOKUP($E$5,勘定科目!$F$1:$H$2,2,0),0)="","",VLOOKUP($B494,勘定科目!$A:$E,2,0)),"")</f>
        <v/>
      </c>
      <c r="D494" s="216" t="str">
        <f>IF(C494="","",VLOOKUP($B494,勘定科目!$A:$E,4,0))</f>
        <v/>
      </c>
      <c r="E494" s="222"/>
      <c r="F494" s="217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184">
        <f t="shared" si="14"/>
        <v>0</v>
      </c>
      <c r="S494" s="185"/>
      <c r="T494" s="186"/>
      <c r="U494" s="223"/>
      <c r="V494" s="223"/>
      <c r="W494" s="223"/>
    </row>
    <row r="495" spans="1:23" s="175" customFormat="1" ht="13" customHeight="1">
      <c r="A495" s="166"/>
      <c r="B495" s="163"/>
      <c r="C495" s="167" t="str">
        <f>IFERROR(IF(VLOOKUP($B495,勘定科目!$A:$H,HLOOKUP($E$5,勘定科目!$F$1:$H$2,2,0),0)="","",VLOOKUP($B495,勘定科目!$A:$E,2,0)),"")</f>
        <v/>
      </c>
      <c r="D495" s="216" t="str">
        <f>IF(C495="","",VLOOKUP($B495,勘定科目!$A:$E,4,0))</f>
        <v/>
      </c>
      <c r="E495" s="222"/>
      <c r="F495" s="217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184">
        <f t="shared" si="14"/>
        <v>0</v>
      </c>
      <c r="S495" s="185"/>
      <c r="T495" s="186"/>
      <c r="U495" s="223"/>
      <c r="V495" s="223"/>
      <c r="W495" s="223"/>
    </row>
    <row r="496" spans="1:23" s="175" customFormat="1" ht="13" customHeight="1">
      <c r="A496" s="166"/>
      <c r="B496" s="163"/>
      <c r="C496" s="167" t="str">
        <f>IFERROR(IF(VLOOKUP($B496,勘定科目!$A:$H,HLOOKUP($E$5,勘定科目!$F$1:$H$2,2,0),0)="","",VLOOKUP($B496,勘定科目!$A:$E,2,0)),"")</f>
        <v/>
      </c>
      <c r="D496" s="216" t="str">
        <f>IF(C496="","",VLOOKUP($B496,勘定科目!$A:$E,4,0))</f>
        <v/>
      </c>
      <c r="E496" s="222"/>
      <c r="F496" s="217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184">
        <f t="shared" si="14"/>
        <v>0</v>
      </c>
      <c r="S496" s="185"/>
      <c r="T496" s="186"/>
      <c r="U496" s="223"/>
      <c r="V496" s="223"/>
      <c r="W496" s="223"/>
    </row>
    <row r="497" spans="1:23" s="175" customFormat="1" ht="13" customHeight="1">
      <c r="A497" s="166"/>
      <c r="B497" s="163"/>
      <c r="C497" s="167" t="str">
        <f>IFERROR(IF(VLOOKUP($B497,勘定科目!$A:$H,HLOOKUP($E$5,勘定科目!$F$1:$H$2,2,0),0)="","",VLOOKUP($B497,勘定科目!$A:$E,2,0)),"")</f>
        <v/>
      </c>
      <c r="D497" s="216" t="str">
        <f>IF(C497="","",VLOOKUP($B497,勘定科目!$A:$E,4,0))</f>
        <v/>
      </c>
      <c r="E497" s="222"/>
      <c r="F497" s="217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184">
        <f t="shared" si="14"/>
        <v>0</v>
      </c>
      <c r="S497" s="185"/>
      <c r="T497" s="186"/>
      <c r="U497" s="223"/>
      <c r="V497" s="223"/>
      <c r="W497" s="223"/>
    </row>
    <row r="498" spans="1:23" s="175" customFormat="1" ht="13" customHeight="1">
      <c r="A498" s="166"/>
      <c r="B498" s="163"/>
      <c r="C498" s="167" t="str">
        <f>IFERROR(IF(VLOOKUP($B498,勘定科目!$A:$H,HLOOKUP($E$5,勘定科目!$F$1:$H$2,2,0),0)="","",VLOOKUP($B498,勘定科目!$A:$E,2,0)),"")</f>
        <v/>
      </c>
      <c r="D498" s="216" t="str">
        <f>IF(C498="","",VLOOKUP($B498,勘定科目!$A:$E,4,0))</f>
        <v/>
      </c>
      <c r="E498" s="222"/>
      <c r="F498" s="217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184">
        <f t="shared" si="14"/>
        <v>0</v>
      </c>
      <c r="S498" s="185"/>
      <c r="T498" s="186"/>
      <c r="U498" s="223"/>
      <c r="V498" s="223"/>
      <c r="W498" s="223"/>
    </row>
    <row r="499" spans="1:23" s="175" customFormat="1" ht="13" customHeight="1">
      <c r="A499" s="166"/>
      <c r="B499" s="163"/>
      <c r="C499" s="167" t="str">
        <f>IFERROR(IF(VLOOKUP($B499,勘定科目!$A:$H,HLOOKUP($E$5,勘定科目!$F$1:$H$2,2,0),0)="","",VLOOKUP($B499,勘定科目!$A:$E,2,0)),"")</f>
        <v/>
      </c>
      <c r="D499" s="216" t="str">
        <f>IF(C499="","",VLOOKUP($B499,勘定科目!$A:$E,4,0))</f>
        <v/>
      </c>
      <c r="E499" s="222"/>
      <c r="F499" s="217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184">
        <f t="shared" si="14"/>
        <v>0</v>
      </c>
      <c r="S499" s="185"/>
      <c r="T499" s="186"/>
      <c r="U499" s="223"/>
      <c r="V499" s="223"/>
      <c r="W499" s="223"/>
    </row>
    <row r="500" spans="1:23" s="175" customFormat="1" ht="13" customHeight="1">
      <c r="A500" s="166"/>
      <c r="B500" s="163"/>
      <c r="C500" s="167" t="str">
        <f>IFERROR(IF(VLOOKUP($B500,勘定科目!$A:$H,HLOOKUP($E$5,勘定科目!$F$1:$H$2,2,0),0)="","",VLOOKUP($B500,勘定科目!$A:$E,2,0)),"")</f>
        <v/>
      </c>
      <c r="D500" s="216" t="str">
        <f>IF(C500="","",VLOOKUP($B500,勘定科目!$A:$E,4,0))</f>
        <v/>
      </c>
      <c r="E500" s="222"/>
      <c r="F500" s="217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184">
        <f t="shared" si="14"/>
        <v>0</v>
      </c>
      <c r="S500" s="185"/>
      <c r="T500" s="186"/>
      <c r="U500" s="223"/>
      <c r="V500" s="223"/>
      <c r="W500" s="223"/>
    </row>
    <row r="501" spans="1:23" s="175" customFormat="1" ht="13" customHeight="1">
      <c r="A501" s="166"/>
      <c r="B501" s="163"/>
      <c r="C501" s="167" t="str">
        <f>IFERROR(IF(VLOOKUP($B501,勘定科目!$A:$H,HLOOKUP($E$5,勘定科目!$F$1:$H$2,2,0),0)="","",VLOOKUP($B501,勘定科目!$A:$E,2,0)),"")</f>
        <v/>
      </c>
      <c r="D501" s="216" t="str">
        <f>IF(C501="","",VLOOKUP($B501,勘定科目!$A:$E,4,0))</f>
        <v/>
      </c>
      <c r="E501" s="222"/>
      <c r="F501" s="217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184">
        <f t="shared" si="14"/>
        <v>0</v>
      </c>
      <c r="S501" s="185"/>
      <c r="T501" s="186"/>
      <c r="U501" s="223"/>
      <c r="V501" s="223"/>
      <c r="W501" s="223"/>
    </row>
    <row r="502" spans="1:23" s="175" customFormat="1" ht="13" customHeight="1">
      <c r="A502" s="166"/>
      <c r="B502" s="163"/>
      <c r="C502" s="167" t="str">
        <f>IFERROR(IF(VLOOKUP($B502,勘定科目!$A:$H,HLOOKUP($E$5,勘定科目!$F$1:$H$2,2,0),0)="","",VLOOKUP($B502,勘定科目!$A:$E,2,0)),"")</f>
        <v/>
      </c>
      <c r="D502" s="216" t="str">
        <f>IF(C502="","",VLOOKUP($B502,勘定科目!$A:$E,4,0))</f>
        <v/>
      </c>
      <c r="E502" s="222"/>
      <c r="F502" s="217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184">
        <f t="shared" si="14"/>
        <v>0</v>
      </c>
      <c r="S502" s="185"/>
      <c r="T502" s="186"/>
      <c r="U502" s="223"/>
      <c r="V502" s="223"/>
      <c r="W502" s="223"/>
    </row>
    <row r="503" spans="1:23" s="175" customFormat="1" ht="13" customHeight="1">
      <c r="A503" s="166"/>
      <c r="B503" s="163"/>
      <c r="C503" s="167" t="str">
        <f>IFERROR(IF(VLOOKUP($B503,勘定科目!$A:$H,HLOOKUP($E$5,勘定科目!$F$1:$H$2,2,0),0)="","",VLOOKUP($B503,勘定科目!$A:$E,2,0)),"")</f>
        <v/>
      </c>
      <c r="D503" s="216" t="str">
        <f>IF(C503="","",VLOOKUP($B503,勘定科目!$A:$E,4,0))</f>
        <v/>
      </c>
      <c r="E503" s="222"/>
      <c r="F503" s="217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184">
        <f t="shared" si="14"/>
        <v>0</v>
      </c>
      <c r="S503" s="185"/>
      <c r="T503" s="186"/>
      <c r="U503" s="223"/>
      <c r="V503" s="223"/>
      <c r="W503" s="223"/>
    </row>
    <row r="504" spans="1:23" s="175" customFormat="1" ht="13" customHeight="1">
      <c r="A504" s="166"/>
      <c r="B504" s="163"/>
      <c r="C504" s="167" t="str">
        <f>IFERROR(IF(VLOOKUP($B504,勘定科目!$A:$H,HLOOKUP($E$5,勘定科目!$F$1:$H$2,2,0),0)="","",VLOOKUP($B504,勘定科目!$A:$E,2,0)),"")</f>
        <v/>
      </c>
      <c r="D504" s="216" t="str">
        <f>IF(C504="","",VLOOKUP($B504,勘定科目!$A:$E,4,0))</f>
        <v/>
      </c>
      <c r="E504" s="222"/>
      <c r="F504" s="217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184">
        <f t="shared" si="14"/>
        <v>0</v>
      </c>
      <c r="S504" s="185"/>
      <c r="T504" s="186"/>
      <c r="U504" s="223"/>
      <c r="V504" s="223"/>
      <c r="W504" s="223"/>
    </row>
    <row r="505" spans="1:23" s="175" customFormat="1" ht="13" customHeight="1">
      <c r="A505" s="166"/>
      <c r="B505" s="163"/>
      <c r="C505" s="167" t="str">
        <f>IFERROR(IF(VLOOKUP($B505,勘定科目!$A:$H,HLOOKUP($E$5,勘定科目!$F$1:$H$2,2,0),0)="","",VLOOKUP($B505,勘定科目!$A:$E,2,0)),"")</f>
        <v/>
      </c>
      <c r="D505" s="216" t="str">
        <f>IF(C505="","",VLOOKUP($B505,勘定科目!$A:$E,4,0))</f>
        <v/>
      </c>
      <c r="E505" s="222"/>
      <c r="F505" s="217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184">
        <f t="shared" si="14"/>
        <v>0</v>
      </c>
      <c r="S505" s="185"/>
      <c r="T505" s="186"/>
      <c r="U505" s="223"/>
      <c r="V505" s="223"/>
      <c r="W505" s="223"/>
    </row>
    <row r="506" spans="1:23" s="175" customFormat="1" ht="13" customHeight="1">
      <c r="A506" s="166"/>
      <c r="B506" s="163"/>
      <c r="C506" s="167" t="str">
        <f>IFERROR(IF(VLOOKUP($B506,勘定科目!$A:$H,HLOOKUP($E$5,勘定科目!$F$1:$H$2,2,0),0)="","",VLOOKUP($B506,勘定科目!$A:$E,2,0)),"")</f>
        <v/>
      </c>
      <c r="D506" s="216" t="str">
        <f>IF(C506="","",VLOOKUP($B506,勘定科目!$A:$E,4,0))</f>
        <v/>
      </c>
      <c r="E506" s="222"/>
      <c r="F506" s="217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184">
        <f t="shared" si="14"/>
        <v>0</v>
      </c>
      <c r="S506" s="185"/>
      <c r="T506" s="186"/>
      <c r="U506" s="223"/>
      <c r="V506" s="223"/>
      <c r="W506" s="223"/>
    </row>
    <row r="507" spans="1:23" s="175" customFormat="1" ht="13" customHeight="1">
      <c r="A507" s="166"/>
      <c r="B507" s="163"/>
      <c r="C507" s="167" t="str">
        <f>IFERROR(IF(VLOOKUP($B507,勘定科目!$A:$H,HLOOKUP($E$5,勘定科目!$F$1:$H$2,2,0),0)="","",VLOOKUP($B507,勘定科目!$A:$E,2,0)),"")</f>
        <v/>
      </c>
      <c r="D507" s="216" t="str">
        <f>IF(C507="","",VLOOKUP($B507,勘定科目!$A:$E,4,0))</f>
        <v/>
      </c>
      <c r="E507" s="222"/>
      <c r="F507" s="217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184">
        <f t="shared" si="14"/>
        <v>0</v>
      </c>
      <c r="S507" s="185"/>
      <c r="T507" s="186"/>
      <c r="U507" s="223"/>
      <c r="V507" s="223"/>
      <c r="W507" s="223"/>
    </row>
    <row r="508" spans="1:23" s="175" customFormat="1" ht="13" customHeight="1">
      <c r="A508" s="166"/>
      <c r="B508" s="163"/>
      <c r="C508" s="167" t="str">
        <f>IFERROR(IF(VLOOKUP($B508,勘定科目!$A:$H,HLOOKUP($E$5,勘定科目!$F$1:$H$2,2,0),0)="","",VLOOKUP($B508,勘定科目!$A:$E,2,0)),"")</f>
        <v/>
      </c>
      <c r="D508" s="216" t="str">
        <f>IF(C508="","",VLOOKUP($B508,勘定科目!$A:$E,4,0))</f>
        <v/>
      </c>
      <c r="E508" s="222"/>
      <c r="F508" s="217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184">
        <f t="shared" si="14"/>
        <v>0</v>
      </c>
      <c r="S508" s="185"/>
      <c r="T508" s="186"/>
      <c r="U508" s="223"/>
      <c r="V508" s="223"/>
      <c r="W508" s="223"/>
    </row>
    <row r="509" spans="1:23" s="175" customFormat="1" ht="13" customHeight="1">
      <c r="A509" s="166"/>
      <c r="B509" s="163"/>
      <c r="C509" s="167" t="str">
        <f>IFERROR(IF(VLOOKUP($B509,勘定科目!$A:$H,HLOOKUP($E$5,勘定科目!$F$1:$H$2,2,0),0)="","",VLOOKUP($B509,勘定科目!$A:$E,2,0)),"")</f>
        <v/>
      </c>
      <c r="D509" s="216" t="str">
        <f>IF(C509="","",VLOOKUP($B509,勘定科目!$A:$E,4,0))</f>
        <v/>
      </c>
      <c r="E509" s="222"/>
      <c r="F509" s="217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184">
        <f t="shared" si="14"/>
        <v>0</v>
      </c>
      <c r="S509" s="185"/>
      <c r="T509" s="186"/>
      <c r="U509" s="223"/>
      <c r="V509" s="223"/>
      <c r="W509" s="223"/>
    </row>
    <row r="510" spans="1:23" s="175" customFormat="1" ht="13" customHeight="1">
      <c r="A510" s="166"/>
      <c r="B510" s="163"/>
      <c r="C510" s="167" t="str">
        <f>IFERROR(IF(VLOOKUP($B510,勘定科目!$A:$H,HLOOKUP($E$5,勘定科目!$F$1:$H$2,2,0),0)="","",VLOOKUP($B510,勘定科目!$A:$E,2,0)),"")</f>
        <v/>
      </c>
      <c r="D510" s="216" t="str">
        <f>IF(C510="","",VLOOKUP($B510,勘定科目!$A:$E,4,0))</f>
        <v/>
      </c>
      <c r="E510" s="222"/>
      <c r="F510" s="217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184">
        <f t="shared" si="14"/>
        <v>0</v>
      </c>
      <c r="S510" s="185"/>
      <c r="T510" s="186"/>
      <c r="U510" s="223"/>
      <c r="V510" s="223"/>
      <c r="W510" s="223"/>
    </row>
    <row r="511" spans="1:23" s="175" customFormat="1" ht="13" customHeight="1">
      <c r="A511" s="166"/>
      <c r="B511" s="163"/>
      <c r="C511" s="167" t="str">
        <f>IFERROR(IF(VLOOKUP($B511,勘定科目!$A:$H,HLOOKUP($E$5,勘定科目!$F$1:$H$2,2,0),0)="","",VLOOKUP($B511,勘定科目!$A:$E,2,0)),"")</f>
        <v/>
      </c>
      <c r="D511" s="216" t="str">
        <f>IF(C511="","",VLOOKUP($B511,勘定科目!$A:$E,4,0))</f>
        <v/>
      </c>
      <c r="E511" s="222"/>
      <c r="F511" s="217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184">
        <f t="shared" si="14"/>
        <v>0</v>
      </c>
      <c r="S511" s="185"/>
      <c r="T511" s="186"/>
      <c r="U511" s="223"/>
      <c r="V511" s="223"/>
      <c r="W511" s="223"/>
    </row>
    <row r="512" spans="1:23" s="175" customFormat="1" ht="13" customHeight="1">
      <c r="A512" s="166"/>
      <c r="B512" s="163"/>
      <c r="C512" s="167" t="str">
        <f>IFERROR(IF(VLOOKUP($B512,勘定科目!$A:$H,HLOOKUP($E$5,勘定科目!$F$1:$H$2,2,0),0)="","",VLOOKUP($B512,勘定科目!$A:$E,2,0)),"")</f>
        <v/>
      </c>
      <c r="D512" s="216" t="str">
        <f>IF(C512="","",VLOOKUP($B512,勘定科目!$A:$E,4,0))</f>
        <v/>
      </c>
      <c r="E512" s="222"/>
      <c r="F512" s="217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184">
        <f t="shared" si="14"/>
        <v>0</v>
      </c>
      <c r="S512" s="185"/>
      <c r="T512" s="186"/>
      <c r="U512" s="223"/>
      <c r="V512" s="223"/>
      <c r="W512" s="223"/>
    </row>
    <row r="513" spans="1:23" s="175" customFormat="1" ht="13" customHeight="1">
      <c r="A513" s="166"/>
      <c r="B513" s="163"/>
      <c r="C513" s="167" t="str">
        <f>IFERROR(IF(VLOOKUP($B513,勘定科目!$A:$H,HLOOKUP($E$5,勘定科目!$F$1:$H$2,2,0),0)="","",VLOOKUP($B513,勘定科目!$A:$E,2,0)),"")</f>
        <v/>
      </c>
      <c r="D513" s="216" t="str">
        <f>IF(C513="","",VLOOKUP($B513,勘定科目!$A:$E,4,0))</f>
        <v/>
      </c>
      <c r="E513" s="222"/>
      <c r="F513" s="217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184">
        <f t="shared" si="14"/>
        <v>0</v>
      </c>
      <c r="S513" s="185"/>
      <c r="T513" s="186"/>
      <c r="U513" s="223"/>
      <c r="V513" s="223"/>
      <c r="W513" s="223"/>
    </row>
    <row r="514" spans="1:23" s="175" customFormat="1" ht="13" customHeight="1">
      <c r="A514" s="166"/>
      <c r="B514" s="163"/>
      <c r="C514" s="167" t="str">
        <f>IFERROR(IF(VLOOKUP($B514,勘定科目!$A:$H,HLOOKUP($E$5,勘定科目!$F$1:$H$2,2,0),0)="","",VLOOKUP($B514,勘定科目!$A:$E,2,0)),"")</f>
        <v/>
      </c>
      <c r="D514" s="216" t="str">
        <f>IF(C514="","",VLOOKUP($B514,勘定科目!$A:$E,4,0))</f>
        <v/>
      </c>
      <c r="E514" s="222"/>
      <c r="F514" s="217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184">
        <f t="shared" si="14"/>
        <v>0</v>
      </c>
      <c r="S514" s="185"/>
      <c r="T514" s="186"/>
      <c r="U514" s="223"/>
      <c r="V514" s="223"/>
      <c r="W514" s="223"/>
    </row>
    <row r="515" spans="1:23" s="175" customFormat="1" ht="13" customHeight="1">
      <c r="A515" s="166"/>
      <c r="B515" s="163"/>
      <c r="C515" s="167" t="str">
        <f>IFERROR(IF(VLOOKUP($B515,勘定科目!$A:$H,HLOOKUP($E$5,勘定科目!$F$1:$H$2,2,0),0)="","",VLOOKUP($B515,勘定科目!$A:$E,2,0)),"")</f>
        <v/>
      </c>
      <c r="D515" s="216" t="str">
        <f>IF(C515="","",VLOOKUP($B515,勘定科目!$A:$E,4,0))</f>
        <v/>
      </c>
      <c r="E515" s="222"/>
      <c r="F515" s="217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184">
        <f t="shared" si="14"/>
        <v>0</v>
      </c>
      <c r="S515" s="185"/>
      <c r="T515" s="186"/>
      <c r="U515" s="223"/>
      <c r="V515" s="223"/>
      <c r="W515" s="223"/>
    </row>
    <row r="516" spans="1:23" s="175" customFormat="1" ht="13" customHeight="1">
      <c r="A516" s="166"/>
      <c r="B516" s="163"/>
      <c r="C516" s="167" t="str">
        <f>IFERROR(IF(VLOOKUP($B516,勘定科目!$A:$H,HLOOKUP($E$5,勘定科目!$F$1:$H$2,2,0),0)="","",VLOOKUP($B516,勘定科目!$A:$E,2,0)),"")</f>
        <v/>
      </c>
      <c r="D516" s="216" t="str">
        <f>IF(C516="","",VLOOKUP($B516,勘定科目!$A:$E,4,0))</f>
        <v/>
      </c>
      <c r="E516" s="222"/>
      <c r="F516" s="217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184">
        <f t="shared" si="14"/>
        <v>0</v>
      </c>
      <c r="S516" s="185"/>
      <c r="T516" s="186"/>
      <c r="U516" s="223"/>
      <c r="V516" s="223"/>
      <c r="W516" s="223"/>
    </row>
    <row r="517" spans="1:23" s="175" customFormat="1" ht="13" customHeight="1">
      <c r="A517" s="166"/>
      <c r="B517" s="163"/>
      <c r="C517" s="167" t="str">
        <f>IFERROR(IF(VLOOKUP($B517,勘定科目!$A:$H,HLOOKUP($E$5,勘定科目!$F$1:$H$2,2,0),0)="","",VLOOKUP($B517,勘定科目!$A:$E,2,0)),"")</f>
        <v/>
      </c>
      <c r="D517" s="216" t="str">
        <f>IF(C517="","",VLOOKUP($B517,勘定科目!$A:$E,4,0))</f>
        <v/>
      </c>
      <c r="E517" s="222"/>
      <c r="F517" s="217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184">
        <f t="shared" si="14"/>
        <v>0</v>
      </c>
      <c r="S517" s="185"/>
      <c r="T517" s="186"/>
      <c r="U517" s="223"/>
      <c r="V517" s="223"/>
      <c r="W517" s="223"/>
    </row>
    <row r="518" spans="1:23" s="175" customFormat="1" ht="13" customHeight="1">
      <c r="A518" s="166"/>
      <c r="B518" s="163"/>
      <c r="C518" s="167" t="str">
        <f>IFERROR(IF(VLOOKUP($B518,勘定科目!$A:$H,HLOOKUP($E$5,勘定科目!$F$1:$H$2,2,0),0)="","",VLOOKUP($B518,勘定科目!$A:$E,2,0)),"")</f>
        <v/>
      </c>
      <c r="D518" s="216" t="str">
        <f>IF(C518="","",VLOOKUP($B518,勘定科目!$A:$E,4,0))</f>
        <v/>
      </c>
      <c r="E518" s="222"/>
      <c r="F518" s="217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184">
        <f t="shared" si="14"/>
        <v>0</v>
      </c>
      <c r="S518" s="185"/>
      <c r="T518" s="186"/>
      <c r="U518" s="223"/>
      <c r="V518" s="223"/>
      <c r="W518" s="223"/>
    </row>
    <row r="519" spans="1:23" s="175" customFormat="1" ht="13" customHeight="1">
      <c r="A519" s="166"/>
      <c r="B519" s="163"/>
      <c r="C519" s="167" t="str">
        <f>IFERROR(IF(VLOOKUP($B519,勘定科目!$A:$H,HLOOKUP($E$5,勘定科目!$F$1:$H$2,2,0),0)="","",VLOOKUP($B519,勘定科目!$A:$E,2,0)),"")</f>
        <v/>
      </c>
      <c r="D519" s="216" t="str">
        <f>IF(C519="","",VLOOKUP($B519,勘定科目!$A:$E,4,0))</f>
        <v/>
      </c>
      <c r="E519" s="222"/>
      <c r="F519" s="217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184">
        <f t="shared" si="14"/>
        <v>0</v>
      </c>
      <c r="S519" s="185"/>
      <c r="T519" s="186"/>
      <c r="U519" s="223"/>
      <c r="V519" s="223"/>
      <c r="W519" s="223"/>
    </row>
    <row r="520" spans="1:23" s="175" customFormat="1" ht="13" customHeight="1">
      <c r="A520" s="166"/>
      <c r="B520" s="163"/>
      <c r="C520" s="167" t="str">
        <f>IFERROR(IF(VLOOKUP($B520,勘定科目!$A:$H,HLOOKUP($E$5,勘定科目!$F$1:$H$2,2,0),0)="","",VLOOKUP($B520,勘定科目!$A:$E,2,0)),"")</f>
        <v/>
      </c>
      <c r="D520" s="216" t="str">
        <f>IF(C520="","",VLOOKUP($B520,勘定科目!$A:$E,4,0))</f>
        <v/>
      </c>
      <c r="E520" s="222"/>
      <c r="F520" s="217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184">
        <f t="shared" si="14"/>
        <v>0</v>
      </c>
      <c r="S520" s="185"/>
      <c r="T520" s="186"/>
      <c r="U520" s="223"/>
      <c r="V520" s="223"/>
      <c r="W520" s="223"/>
    </row>
    <row r="521" spans="1:23" s="175" customFormat="1" ht="13" customHeight="1">
      <c r="A521" s="166"/>
      <c r="B521" s="163"/>
      <c r="C521" s="167" t="str">
        <f>IFERROR(IF(VLOOKUP($B521,勘定科目!$A:$H,HLOOKUP($E$5,勘定科目!$F$1:$H$2,2,0),0)="","",VLOOKUP($B521,勘定科目!$A:$E,2,0)),"")</f>
        <v/>
      </c>
      <c r="D521" s="216" t="str">
        <f>IF(C521="","",VLOOKUP($B521,勘定科目!$A:$E,4,0))</f>
        <v/>
      </c>
      <c r="E521" s="222"/>
      <c r="F521" s="217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184">
        <f t="shared" si="14"/>
        <v>0</v>
      </c>
      <c r="S521" s="185"/>
      <c r="T521" s="186"/>
      <c r="U521" s="223"/>
      <c r="V521" s="223"/>
      <c r="W521" s="223"/>
    </row>
    <row r="522" spans="1:23" s="175" customFormat="1" ht="13" customHeight="1">
      <c r="A522" s="166"/>
      <c r="B522" s="163"/>
      <c r="C522" s="167" t="str">
        <f>IFERROR(IF(VLOOKUP($B522,勘定科目!$A:$H,HLOOKUP($E$5,勘定科目!$F$1:$H$2,2,0),0)="","",VLOOKUP($B522,勘定科目!$A:$E,2,0)),"")</f>
        <v/>
      </c>
      <c r="D522" s="216" t="str">
        <f>IF(C522="","",VLOOKUP($B522,勘定科目!$A:$E,4,0))</f>
        <v/>
      </c>
      <c r="E522" s="222"/>
      <c r="F522" s="217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184">
        <f t="shared" si="14"/>
        <v>0</v>
      </c>
      <c r="S522" s="185"/>
      <c r="T522" s="186"/>
      <c r="U522" s="223"/>
      <c r="V522" s="223"/>
      <c r="W522" s="223"/>
    </row>
    <row r="523" spans="1:23" s="175" customFormat="1" ht="13" customHeight="1">
      <c r="A523" s="166"/>
      <c r="B523" s="163"/>
      <c r="C523" s="167" t="str">
        <f>IFERROR(IF(VLOOKUP($B523,勘定科目!$A:$H,HLOOKUP($E$5,勘定科目!$F$1:$H$2,2,0),0)="","",VLOOKUP($B523,勘定科目!$A:$E,2,0)),"")</f>
        <v/>
      </c>
      <c r="D523" s="216" t="str">
        <f>IF(C523="","",VLOOKUP($B523,勘定科目!$A:$E,4,0))</f>
        <v/>
      </c>
      <c r="E523" s="222"/>
      <c r="F523" s="217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184">
        <f t="shared" si="14"/>
        <v>0</v>
      </c>
      <c r="S523" s="185"/>
      <c r="T523" s="186"/>
      <c r="U523" s="223"/>
      <c r="V523" s="223"/>
      <c r="W523" s="223"/>
    </row>
    <row r="524" spans="1:23" s="175" customFormat="1" ht="13" customHeight="1">
      <c r="A524" s="166"/>
      <c r="B524" s="163"/>
      <c r="C524" s="167" t="str">
        <f>IFERROR(IF(VLOOKUP($B524,勘定科目!$A:$H,HLOOKUP($E$5,勘定科目!$F$1:$H$2,2,0),0)="","",VLOOKUP($B524,勘定科目!$A:$E,2,0)),"")</f>
        <v/>
      </c>
      <c r="D524" s="216" t="str">
        <f>IF(C524="","",VLOOKUP($B524,勘定科目!$A:$E,4,0))</f>
        <v/>
      </c>
      <c r="E524" s="222"/>
      <c r="F524" s="217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184">
        <f t="shared" si="14"/>
        <v>0</v>
      </c>
      <c r="S524" s="185"/>
      <c r="T524" s="186"/>
      <c r="U524" s="223"/>
      <c r="V524" s="223"/>
      <c r="W524" s="223"/>
    </row>
    <row r="525" spans="1:23" s="175" customFormat="1" ht="13" customHeight="1">
      <c r="A525" s="166"/>
      <c r="B525" s="163"/>
      <c r="C525" s="167" t="str">
        <f>IFERROR(IF(VLOOKUP($B525,勘定科目!$A:$H,HLOOKUP($E$5,勘定科目!$F$1:$H$2,2,0),0)="","",VLOOKUP($B525,勘定科目!$A:$E,2,0)),"")</f>
        <v/>
      </c>
      <c r="D525" s="216" t="str">
        <f>IF(C525="","",VLOOKUP($B525,勘定科目!$A:$E,4,0))</f>
        <v/>
      </c>
      <c r="E525" s="222"/>
      <c r="F525" s="217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184">
        <f t="shared" si="14"/>
        <v>0</v>
      </c>
      <c r="S525" s="185"/>
      <c r="T525" s="186"/>
      <c r="U525" s="223"/>
      <c r="V525" s="223"/>
      <c r="W525" s="223"/>
    </row>
    <row r="526" spans="1:23" s="175" customFormat="1" ht="13" customHeight="1">
      <c r="A526" s="166"/>
      <c r="B526" s="163"/>
      <c r="C526" s="167" t="str">
        <f>IFERROR(IF(VLOOKUP($B526,勘定科目!$A:$H,HLOOKUP($E$5,勘定科目!$F$1:$H$2,2,0),0)="","",VLOOKUP($B526,勘定科目!$A:$E,2,0)),"")</f>
        <v/>
      </c>
      <c r="D526" s="216" t="str">
        <f>IF(C526="","",VLOOKUP($B526,勘定科目!$A:$E,4,0))</f>
        <v/>
      </c>
      <c r="E526" s="222"/>
      <c r="F526" s="217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184">
        <f t="shared" si="14"/>
        <v>0</v>
      </c>
      <c r="S526" s="185"/>
      <c r="T526" s="186"/>
      <c r="U526" s="223"/>
      <c r="V526" s="223"/>
      <c r="W526" s="223"/>
    </row>
    <row r="527" spans="1:23" s="175" customFormat="1" ht="13" customHeight="1">
      <c r="A527" s="166"/>
      <c r="B527" s="163"/>
      <c r="C527" s="167" t="str">
        <f>IFERROR(IF(VLOOKUP($B527,勘定科目!$A:$H,HLOOKUP($E$5,勘定科目!$F$1:$H$2,2,0),0)="","",VLOOKUP($B527,勘定科目!$A:$E,2,0)),"")</f>
        <v/>
      </c>
      <c r="D527" s="216" t="str">
        <f>IF(C527="","",VLOOKUP($B527,勘定科目!$A:$E,4,0))</f>
        <v/>
      </c>
      <c r="E527" s="222"/>
      <c r="F527" s="217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184">
        <f t="shared" si="14"/>
        <v>0</v>
      </c>
      <c r="S527" s="185"/>
      <c r="T527" s="186"/>
      <c r="U527" s="223"/>
      <c r="V527" s="223"/>
      <c r="W527" s="223"/>
    </row>
    <row r="528" spans="1:23" s="175" customFormat="1" ht="13" customHeight="1">
      <c r="A528" s="166"/>
      <c r="B528" s="163"/>
      <c r="C528" s="167" t="str">
        <f>IFERROR(IF(VLOOKUP($B528,勘定科目!$A:$H,HLOOKUP($E$5,勘定科目!$F$1:$H$2,2,0),0)="","",VLOOKUP($B528,勘定科目!$A:$E,2,0)),"")</f>
        <v/>
      </c>
      <c r="D528" s="216" t="str">
        <f>IF(C528="","",VLOOKUP($B528,勘定科目!$A:$E,4,0))</f>
        <v/>
      </c>
      <c r="E528" s="222"/>
      <c r="F528" s="217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184">
        <f t="shared" si="14"/>
        <v>0</v>
      </c>
      <c r="S528" s="185"/>
      <c r="T528" s="186"/>
      <c r="U528" s="223"/>
      <c r="V528" s="223"/>
      <c r="W528" s="223"/>
    </row>
    <row r="529" spans="1:23" s="175" customFormat="1" ht="13" customHeight="1">
      <c r="A529" s="166"/>
      <c r="B529" s="163"/>
      <c r="C529" s="167" t="str">
        <f>IFERROR(IF(VLOOKUP($B529,勘定科目!$A:$H,HLOOKUP($E$5,勘定科目!$F$1:$H$2,2,0),0)="","",VLOOKUP($B529,勘定科目!$A:$E,2,0)),"")</f>
        <v/>
      </c>
      <c r="D529" s="216" t="str">
        <f>IF(C529="","",VLOOKUP($B529,勘定科目!$A:$E,4,0))</f>
        <v/>
      </c>
      <c r="E529" s="222"/>
      <c r="F529" s="217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184">
        <f t="shared" si="14"/>
        <v>0</v>
      </c>
      <c r="S529" s="185"/>
      <c r="T529" s="186"/>
      <c r="U529" s="223"/>
      <c r="V529" s="223"/>
      <c r="W529" s="223"/>
    </row>
    <row r="530" spans="1:23" s="175" customFormat="1" ht="13" customHeight="1">
      <c r="A530" s="166"/>
      <c r="B530" s="163"/>
      <c r="C530" s="167" t="str">
        <f>IFERROR(IF(VLOOKUP($B530,勘定科目!$A:$H,HLOOKUP($E$5,勘定科目!$F$1:$H$2,2,0),0)="","",VLOOKUP($B530,勘定科目!$A:$E,2,0)),"")</f>
        <v/>
      </c>
      <c r="D530" s="216" t="str">
        <f>IF(C530="","",VLOOKUP($B530,勘定科目!$A:$E,4,0))</f>
        <v/>
      </c>
      <c r="E530" s="222"/>
      <c r="F530" s="217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184">
        <f t="shared" si="14"/>
        <v>0</v>
      </c>
      <c r="S530" s="185"/>
      <c r="T530" s="186"/>
      <c r="U530" s="223"/>
      <c r="V530" s="223"/>
      <c r="W530" s="223"/>
    </row>
    <row r="531" spans="1:23" s="175" customFormat="1" ht="13" customHeight="1">
      <c r="A531" s="166"/>
      <c r="B531" s="163"/>
      <c r="C531" s="167" t="str">
        <f>IFERROR(IF(VLOOKUP($B531,勘定科目!$A:$H,HLOOKUP($E$5,勘定科目!$F$1:$H$2,2,0),0)="","",VLOOKUP($B531,勘定科目!$A:$E,2,0)),"")</f>
        <v/>
      </c>
      <c r="D531" s="216" t="str">
        <f>IF(C531="","",VLOOKUP($B531,勘定科目!$A:$E,4,0))</f>
        <v/>
      </c>
      <c r="E531" s="222"/>
      <c r="F531" s="217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184">
        <f t="shared" si="14"/>
        <v>0</v>
      </c>
      <c r="S531" s="185"/>
      <c r="T531" s="186"/>
      <c r="U531" s="223"/>
      <c r="V531" s="223"/>
      <c r="W531" s="223"/>
    </row>
    <row r="532" spans="1:23" s="175" customFormat="1" ht="13" customHeight="1">
      <c r="A532" s="166"/>
      <c r="B532" s="163"/>
      <c r="C532" s="167" t="str">
        <f>IFERROR(IF(VLOOKUP($B532,勘定科目!$A:$H,HLOOKUP($E$5,勘定科目!$F$1:$H$2,2,0),0)="","",VLOOKUP($B532,勘定科目!$A:$E,2,0)),"")</f>
        <v/>
      </c>
      <c r="D532" s="216" t="str">
        <f>IF(C532="","",VLOOKUP($B532,勘定科目!$A:$E,4,0))</f>
        <v/>
      </c>
      <c r="E532" s="222"/>
      <c r="F532" s="217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184">
        <f t="shared" si="14"/>
        <v>0</v>
      </c>
      <c r="S532" s="185"/>
      <c r="T532" s="186"/>
      <c r="U532" s="223"/>
      <c r="V532" s="223"/>
      <c r="W532" s="223"/>
    </row>
    <row r="533" spans="1:23" s="175" customFormat="1" ht="13" customHeight="1">
      <c r="A533" s="166"/>
      <c r="B533" s="163"/>
      <c r="C533" s="167" t="str">
        <f>IFERROR(IF(VLOOKUP($B533,勘定科目!$A:$H,HLOOKUP($E$5,勘定科目!$F$1:$H$2,2,0),0)="","",VLOOKUP($B533,勘定科目!$A:$E,2,0)),"")</f>
        <v/>
      </c>
      <c r="D533" s="216" t="str">
        <f>IF(C533="","",VLOOKUP($B533,勘定科目!$A:$E,4,0))</f>
        <v/>
      </c>
      <c r="E533" s="222"/>
      <c r="F533" s="217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184">
        <f t="shared" si="14"/>
        <v>0</v>
      </c>
      <c r="S533" s="185"/>
      <c r="T533" s="186"/>
      <c r="U533" s="223"/>
      <c r="V533" s="223"/>
      <c r="W533" s="223"/>
    </row>
    <row r="534" spans="1:23" s="175" customFormat="1" ht="13" customHeight="1">
      <c r="A534" s="166"/>
      <c r="B534" s="163"/>
      <c r="C534" s="167" t="str">
        <f>IFERROR(IF(VLOOKUP($B534,勘定科目!$A:$H,HLOOKUP($E$5,勘定科目!$F$1:$H$2,2,0),0)="","",VLOOKUP($B534,勘定科目!$A:$E,2,0)),"")</f>
        <v/>
      </c>
      <c r="D534" s="216" t="str">
        <f>IF(C534="","",VLOOKUP($B534,勘定科目!$A:$E,4,0))</f>
        <v/>
      </c>
      <c r="E534" s="222"/>
      <c r="F534" s="217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184">
        <f t="shared" si="14"/>
        <v>0</v>
      </c>
      <c r="S534" s="185"/>
      <c r="T534" s="186"/>
      <c r="U534" s="223"/>
      <c r="V534" s="223"/>
      <c r="W534" s="223"/>
    </row>
    <row r="535" spans="1:23" s="175" customFormat="1" ht="13" customHeight="1">
      <c r="A535" s="166"/>
      <c r="B535" s="163"/>
      <c r="C535" s="167" t="str">
        <f>IFERROR(IF(VLOOKUP($B535,勘定科目!$A:$H,HLOOKUP($E$5,勘定科目!$F$1:$H$2,2,0),0)="","",VLOOKUP($B535,勘定科目!$A:$E,2,0)),"")</f>
        <v/>
      </c>
      <c r="D535" s="216" t="str">
        <f>IF(C535="","",VLOOKUP($B535,勘定科目!$A:$E,4,0))</f>
        <v/>
      </c>
      <c r="E535" s="222"/>
      <c r="F535" s="217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184">
        <f t="shared" si="14"/>
        <v>0</v>
      </c>
      <c r="S535" s="185"/>
      <c r="T535" s="186"/>
      <c r="U535" s="223"/>
      <c r="V535" s="223"/>
      <c r="W535" s="223"/>
    </row>
    <row r="536" spans="1:23" s="175" customFormat="1" ht="13" customHeight="1">
      <c r="A536" s="166"/>
      <c r="B536" s="163"/>
      <c r="C536" s="167" t="str">
        <f>IFERROR(IF(VLOOKUP($B536,勘定科目!$A:$H,HLOOKUP($E$5,勘定科目!$F$1:$H$2,2,0),0)="","",VLOOKUP($B536,勘定科目!$A:$E,2,0)),"")</f>
        <v/>
      </c>
      <c r="D536" s="216" t="str">
        <f>IF(C536="","",VLOOKUP($B536,勘定科目!$A:$E,4,0))</f>
        <v/>
      </c>
      <c r="E536" s="222"/>
      <c r="F536" s="217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184">
        <f t="shared" si="14"/>
        <v>0</v>
      </c>
      <c r="S536" s="185"/>
      <c r="T536" s="186"/>
      <c r="U536" s="223"/>
      <c r="V536" s="223"/>
      <c r="W536" s="223"/>
    </row>
    <row r="537" spans="1:23" s="175" customFormat="1" ht="13" customHeight="1">
      <c r="A537" s="166"/>
      <c r="B537" s="163"/>
      <c r="C537" s="167" t="str">
        <f>IFERROR(IF(VLOOKUP($B537,勘定科目!$A:$H,HLOOKUP($E$5,勘定科目!$F$1:$H$2,2,0),0)="","",VLOOKUP($B537,勘定科目!$A:$E,2,0)),"")</f>
        <v/>
      </c>
      <c r="D537" s="216" t="str">
        <f>IF(C537="","",VLOOKUP($B537,勘定科目!$A:$E,4,0))</f>
        <v/>
      </c>
      <c r="E537" s="222"/>
      <c r="F537" s="217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184">
        <f t="shared" si="14"/>
        <v>0</v>
      </c>
      <c r="S537" s="185"/>
      <c r="T537" s="186"/>
      <c r="U537" s="223"/>
      <c r="V537" s="223"/>
      <c r="W537" s="223"/>
    </row>
    <row r="538" spans="1:23" s="175" customFormat="1" ht="13" customHeight="1">
      <c r="A538" s="166"/>
      <c r="B538" s="163"/>
      <c r="C538" s="167" t="str">
        <f>IFERROR(IF(VLOOKUP($B538,勘定科目!$A:$H,HLOOKUP($E$5,勘定科目!$F$1:$H$2,2,0),0)="","",VLOOKUP($B538,勘定科目!$A:$E,2,0)),"")</f>
        <v/>
      </c>
      <c r="D538" s="216" t="str">
        <f>IF(C538="","",VLOOKUP($B538,勘定科目!$A:$E,4,0))</f>
        <v/>
      </c>
      <c r="E538" s="222"/>
      <c r="F538" s="217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184">
        <f t="shared" ref="R538:R601" si="15">SUM(F538:Q538)</f>
        <v>0</v>
      </c>
      <c r="S538" s="185"/>
      <c r="T538" s="186"/>
      <c r="U538" s="223"/>
      <c r="V538" s="223"/>
      <c r="W538" s="223"/>
    </row>
    <row r="539" spans="1:23" s="175" customFormat="1" ht="13" customHeight="1">
      <c r="A539" s="166"/>
      <c r="B539" s="163"/>
      <c r="C539" s="167" t="str">
        <f>IFERROR(IF(VLOOKUP($B539,勘定科目!$A:$H,HLOOKUP($E$5,勘定科目!$F$1:$H$2,2,0),0)="","",VLOOKUP($B539,勘定科目!$A:$E,2,0)),"")</f>
        <v/>
      </c>
      <c r="D539" s="216" t="str">
        <f>IF(C539="","",VLOOKUP($B539,勘定科目!$A:$E,4,0))</f>
        <v/>
      </c>
      <c r="E539" s="222"/>
      <c r="F539" s="217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184">
        <f t="shared" si="15"/>
        <v>0</v>
      </c>
      <c r="S539" s="185"/>
      <c r="T539" s="186"/>
      <c r="U539" s="223"/>
      <c r="V539" s="223"/>
      <c r="W539" s="223"/>
    </row>
    <row r="540" spans="1:23" s="175" customFormat="1" ht="13" customHeight="1">
      <c r="A540" s="166"/>
      <c r="B540" s="163"/>
      <c r="C540" s="167" t="str">
        <f>IFERROR(IF(VLOOKUP($B540,勘定科目!$A:$H,HLOOKUP($E$5,勘定科目!$F$1:$H$2,2,0),0)="","",VLOOKUP($B540,勘定科目!$A:$E,2,0)),"")</f>
        <v/>
      </c>
      <c r="D540" s="216" t="str">
        <f>IF(C540="","",VLOOKUP($B540,勘定科目!$A:$E,4,0))</f>
        <v/>
      </c>
      <c r="E540" s="222"/>
      <c r="F540" s="217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184">
        <f t="shared" si="15"/>
        <v>0</v>
      </c>
      <c r="S540" s="185"/>
      <c r="T540" s="186"/>
      <c r="U540" s="223"/>
      <c r="V540" s="223"/>
      <c r="W540" s="223"/>
    </row>
    <row r="541" spans="1:23" s="175" customFormat="1" ht="13" customHeight="1">
      <c r="A541" s="166"/>
      <c r="B541" s="163"/>
      <c r="C541" s="167" t="str">
        <f>IFERROR(IF(VLOOKUP($B541,勘定科目!$A:$H,HLOOKUP($E$5,勘定科目!$F$1:$H$2,2,0),0)="","",VLOOKUP($B541,勘定科目!$A:$E,2,0)),"")</f>
        <v/>
      </c>
      <c r="D541" s="216" t="str">
        <f>IF(C541="","",VLOOKUP($B541,勘定科目!$A:$E,4,0))</f>
        <v/>
      </c>
      <c r="E541" s="222"/>
      <c r="F541" s="217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184">
        <f t="shared" si="15"/>
        <v>0</v>
      </c>
      <c r="S541" s="185"/>
      <c r="T541" s="186"/>
      <c r="U541" s="223"/>
      <c r="V541" s="223"/>
      <c r="W541" s="223"/>
    </row>
    <row r="542" spans="1:23" s="175" customFormat="1" ht="13" customHeight="1">
      <c r="A542" s="166"/>
      <c r="B542" s="163"/>
      <c r="C542" s="167" t="str">
        <f>IFERROR(IF(VLOOKUP($B542,勘定科目!$A:$H,HLOOKUP($E$5,勘定科目!$F$1:$H$2,2,0),0)="","",VLOOKUP($B542,勘定科目!$A:$E,2,0)),"")</f>
        <v/>
      </c>
      <c r="D542" s="216" t="str">
        <f>IF(C542="","",VLOOKUP($B542,勘定科目!$A:$E,4,0))</f>
        <v/>
      </c>
      <c r="E542" s="222"/>
      <c r="F542" s="217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184">
        <f t="shared" si="15"/>
        <v>0</v>
      </c>
      <c r="S542" s="185"/>
      <c r="T542" s="186"/>
      <c r="U542" s="223"/>
      <c r="V542" s="223"/>
      <c r="W542" s="223"/>
    </row>
    <row r="543" spans="1:23" s="175" customFormat="1" ht="13" customHeight="1">
      <c r="A543" s="166"/>
      <c r="B543" s="163"/>
      <c r="C543" s="167" t="str">
        <f>IFERROR(IF(VLOOKUP($B543,勘定科目!$A:$H,HLOOKUP($E$5,勘定科目!$F$1:$H$2,2,0),0)="","",VLOOKUP($B543,勘定科目!$A:$E,2,0)),"")</f>
        <v/>
      </c>
      <c r="D543" s="216" t="str">
        <f>IF(C543="","",VLOOKUP($B543,勘定科目!$A:$E,4,0))</f>
        <v/>
      </c>
      <c r="E543" s="222"/>
      <c r="F543" s="217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184">
        <f t="shared" si="15"/>
        <v>0</v>
      </c>
      <c r="S543" s="185"/>
      <c r="T543" s="186"/>
      <c r="U543" s="223"/>
      <c r="V543" s="223"/>
      <c r="W543" s="223"/>
    </row>
    <row r="544" spans="1:23" s="175" customFormat="1" ht="13" customHeight="1">
      <c r="A544" s="166"/>
      <c r="B544" s="163"/>
      <c r="C544" s="167" t="str">
        <f>IFERROR(IF(VLOOKUP($B544,勘定科目!$A:$H,HLOOKUP($E$5,勘定科目!$F$1:$H$2,2,0),0)="","",VLOOKUP($B544,勘定科目!$A:$E,2,0)),"")</f>
        <v/>
      </c>
      <c r="D544" s="216" t="str">
        <f>IF(C544="","",VLOOKUP($B544,勘定科目!$A:$E,4,0))</f>
        <v/>
      </c>
      <c r="E544" s="222"/>
      <c r="F544" s="217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184">
        <f t="shared" si="15"/>
        <v>0</v>
      </c>
      <c r="S544" s="185"/>
      <c r="T544" s="186"/>
      <c r="U544" s="223"/>
      <c r="V544" s="223"/>
      <c r="W544" s="223"/>
    </row>
    <row r="545" spans="1:23" s="175" customFormat="1" ht="13" customHeight="1">
      <c r="A545" s="166"/>
      <c r="B545" s="163"/>
      <c r="C545" s="167" t="str">
        <f>IFERROR(IF(VLOOKUP($B545,勘定科目!$A:$H,HLOOKUP($E$5,勘定科目!$F$1:$H$2,2,0),0)="","",VLOOKUP($B545,勘定科目!$A:$E,2,0)),"")</f>
        <v/>
      </c>
      <c r="D545" s="216" t="str">
        <f>IF(C545="","",VLOOKUP($B545,勘定科目!$A:$E,4,0))</f>
        <v/>
      </c>
      <c r="E545" s="222"/>
      <c r="F545" s="217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184">
        <f t="shared" si="15"/>
        <v>0</v>
      </c>
      <c r="S545" s="185"/>
      <c r="T545" s="186"/>
      <c r="U545" s="223"/>
      <c r="V545" s="223"/>
      <c r="W545" s="223"/>
    </row>
    <row r="546" spans="1:23" s="175" customFormat="1" ht="13" customHeight="1">
      <c r="A546" s="166"/>
      <c r="B546" s="163"/>
      <c r="C546" s="167" t="str">
        <f>IFERROR(IF(VLOOKUP($B546,勘定科目!$A:$H,HLOOKUP($E$5,勘定科目!$F$1:$H$2,2,0),0)="","",VLOOKUP($B546,勘定科目!$A:$E,2,0)),"")</f>
        <v/>
      </c>
      <c r="D546" s="216" t="str">
        <f>IF(C546="","",VLOOKUP($B546,勘定科目!$A:$E,4,0))</f>
        <v/>
      </c>
      <c r="E546" s="222"/>
      <c r="F546" s="217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184">
        <f t="shared" si="15"/>
        <v>0</v>
      </c>
      <c r="S546" s="185"/>
      <c r="T546" s="186"/>
      <c r="U546" s="223"/>
      <c r="V546" s="223"/>
      <c r="W546" s="223"/>
    </row>
    <row r="547" spans="1:23" s="175" customFormat="1" ht="13" customHeight="1">
      <c r="A547" s="166"/>
      <c r="B547" s="163"/>
      <c r="C547" s="167" t="str">
        <f>IFERROR(IF(VLOOKUP($B547,勘定科目!$A:$H,HLOOKUP($E$5,勘定科目!$F$1:$H$2,2,0),0)="","",VLOOKUP($B547,勘定科目!$A:$E,2,0)),"")</f>
        <v/>
      </c>
      <c r="D547" s="216" t="str">
        <f>IF(C547="","",VLOOKUP($B547,勘定科目!$A:$E,4,0))</f>
        <v/>
      </c>
      <c r="E547" s="222"/>
      <c r="F547" s="217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184">
        <f t="shared" si="15"/>
        <v>0</v>
      </c>
      <c r="S547" s="185"/>
      <c r="T547" s="186"/>
      <c r="U547" s="223"/>
      <c r="V547" s="223"/>
      <c r="W547" s="223"/>
    </row>
    <row r="548" spans="1:23" s="175" customFormat="1" ht="13" customHeight="1">
      <c r="A548" s="166"/>
      <c r="B548" s="163"/>
      <c r="C548" s="167" t="str">
        <f>IFERROR(IF(VLOOKUP($B548,勘定科目!$A:$H,HLOOKUP($E$5,勘定科目!$F$1:$H$2,2,0),0)="","",VLOOKUP($B548,勘定科目!$A:$E,2,0)),"")</f>
        <v/>
      </c>
      <c r="D548" s="216" t="str">
        <f>IF(C548="","",VLOOKUP($B548,勘定科目!$A:$E,4,0))</f>
        <v/>
      </c>
      <c r="E548" s="222"/>
      <c r="F548" s="217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184">
        <f t="shared" si="15"/>
        <v>0</v>
      </c>
      <c r="S548" s="185"/>
      <c r="T548" s="186"/>
      <c r="U548" s="223"/>
      <c r="V548" s="223"/>
      <c r="W548" s="223"/>
    </row>
    <row r="549" spans="1:23" s="175" customFormat="1" ht="13" customHeight="1">
      <c r="A549" s="166"/>
      <c r="B549" s="163"/>
      <c r="C549" s="167" t="str">
        <f>IFERROR(IF(VLOOKUP($B549,勘定科目!$A:$H,HLOOKUP($E$5,勘定科目!$F$1:$H$2,2,0),0)="","",VLOOKUP($B549,勘定科目!$A:$E,2,0)),"")</f>
        <v/>
      </c>
      <c r="D549" s="216" t="str">
        <f>IF(C549="","",VLOOKUP($B549,勘定科目!$A:$E,4,0))</f>
        <v/>
      </c>
      <c r="E549" s="222"/>
      <c r="F549" s="217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184">
        <f t="shared" si="15"/>
        <v>0</v>
      </c>
      <c r="S549" s="185"/>
      <c r="T549" s="186"/>
      <c r="U549" s="223"/>
      <c r="V549" s="223"/>
      <c r="W549" s="223"/>
    </row>
    <row r="550" spans="1:23" s="175" customFormat="1" ht="13" customHeight="1">
      <c r="A550" s="166"/>
      <c r="B550" s="163"/>
      <c r="C550" s="167" t="str">
        <f>IFERROR(IF(VLOOKUP($B550,勘定科目!$A:$H,HLOOKUP($E$5,勘定科目!$F$1:$H$2,2,0),0)="","",VLOOKUP($B550,勘定科目!$A:$E,2,0)),"")</f>
        <v/>
      </c>
      <c r="D550" s="216" t="str">
        <f>IF(C550="","",VLOOKUP($B550,勘定科目!$A:$E,4,0))</f>
        <v/>
      </c>
      <c r="E550" s="222"/>
      <c r="F550" s="217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184">
        <f t="shared" si="15"/>
        <v>0</v>
      </c>
      <c r="S550" s="185"/>
      <c r="T550" s="186"/>
      <c r="U550" s="223"/>
      <c r="V550" s="223"/>
      <c r="W550" s="223"/>
    </row>
    <row r="551" spans="1:23" s="175" customFormat="1" ht="13" customHeight="1">
      <c r="A551" s="166"/>
      <c r="B551" s="163"/>
      <c r="C551" s="167" t="str">
        <f>IFERROR(IF(VLOOKUP($B551,勘定科目!$A:$H,HLOOKUP($E$5,勘定科目!$F$1:$H$2,2,0),0)="","",VLOOKUP($B551,勘定科目!$A:$E,2,0)),"")</f>
        <v/>
      </c>
      <c r="D551" s="216" t="str">
        <f>IF(C551="","",VLOOKUP($B551,勘定科目!$A:$E,4,0))</f>
        <v/>
      </c>
      <c r="E551" s="222"/>
      <c r="F551" s="217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184">
        <f t="shared" si="15"/>
        <v>0</v>
      </c>
      <c r="S551" s="185"/>
      <c r="T551" s="186"/>
      <c r="U551" s="223"/>
      <c r="V551" s="223"/>
      <c r="W551" s="223"/>
    </row>
    <row r="552" spans="1:23" s="175" customFormat="1" ht="13" customHeight="1">
      <c r="A552" s="166"/>
      <c r="B552" s="163"/>
      <c r="C552" s="167" t="str">
        <f>IFERROR(IF(VLOOKUP($B552,勘定科目!$A:$H,HLOOKUP($E$5,勘定科目!$F$1:$H$2,2,0),0)="","",VLOOKUP($B552,勘定科目!$A:$E,2,0)),"")</f>
        <v/>
      </c>
      <c r="D552" s="216" t="str">
        <f>IF(C552="","",VLOOKUP($B552,勘定科目!$A:$E,4,0))</f>
        <v/>
      </c>
      <c r="E552" s="222"/>
      <c r="F552" s="217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184">
        <f t="shared" si="15"/>
        <v>0</v>
      </c>
      <c r="S552" s="185"/>
      <c r="T552" s="186"/>
      <c r="U552" s="223"/>
      <c r="V552" s="223"/>
      <c r="W552" s="223"/>
    </row>
    <row r="553" spans="1:23" s="175" customFormat="1" ht="13" customHeight="1">
      <c r="A553" s="166"/>
      <c r="B553" s="163"/>
      <c r="C553" s="167" t="str">
        <f>IFERROR(IF(VLOOKUP($B553,勘定科目!$A:$H,HLOOKUP($E$5,勘定科目!$F$1:$H$2,2,0),0)="","",VLOOKUP($B553,勘定科目!$A:$E,2,0)),"")</f>
        <v/>
      </c>
      <c r="D553" s="216" t="str">
        <f>IF(C553="","",VLOOKUP($B553,勘定科目!$A:$E,4,0))</f>
        <v/>
      </c>
      <c r="E553" s="222"/>
      <c r="F553" s="217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184">
        <f t="shared" si="15"/>
        <v>0</v>
      </c>
      <c r="S553" s="185"/>
      <c r="T553" s="186"/>
      <c r="U553" s="223"/>
      <c r="V553" s="223"/>
      <c r="W553" s="223"/>
    </row>
    <row r="554" spans="1:23" s="175" customFormat="1" ht="13" customHeight="1">
      <c r="A554" s="166"/>
      <c r="B554" s="163"/>
      <c r="C554" s="167" t="str">
        <f>IFERROR(IF(VLOOKUP($B554,勘定科目!$A:$H,HLOOKUP($E$5,勘定科目!$F$1:$H$2,2,0),0)="","",VLOOKUP($B554,勘定科目!$A:$E,2,0)),"")</f>
        <v/>
      </c>
      <c r="D554" s="216" t="str">
        <f>IF(C554="","",VLOOKUP($B554,勘定科目!$A:$E,4,0))</f>
        <v/>
      </c>
      <c r="E554" s="222"/>
      <c r="F554" s="217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184">
        <f t="shared" si="15"/>
        <v>0</v>
      </c>
      <c r="S554" s="185"/>
      <c r="T554" s="186"/>
      <c r="U554" s="223"/>
      <c r="V554" s="223"/>
      <c r="W554" s="223"/>
    </row>
    <row r="555" spans="1:23" s="175" customFormat="1" ht="13" customHeight="1">
      <c r="A555" s="166"/>
      <c r="B555" s="163"/>
      <c r="C555" s="167" t="str">
        <f>IFERROR(IF(VLOOKUP($B555,勘定科目!$A:$H,HLOOKUP($E$5,勘定科目!$F$1:$H$2,2,0),0)="","",VLOOKUP($B555,勘定科目!$A:$E,2,0)),"")</f>
        <v/>
      </c>
      <c r="D555" s="216" t="str">
        <f>IF(C555="","",VLOOKUP($B555,勘定科目!$A:$E,4,0))</f>
        <v/>
      </c>
      <c r="E555" s="222"/>
      <c r="F555" s="217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184">
        <f t="shared" si="15"/>
        <v>0</v>
      </c>
      <c r="S555" s="185"/>
      <c r="T555" s="186"/>
      <c r="U555" s="223"/>
      <c r="V555" s="223"/>
      <c r="W555" s="223"/>
    </row>
    <row r="556" spans="1:23" s="175" customFormat="1" ht="13" customHeight="1">
      <c r="A556" s="166"/>
      <c r="B556" s="163"/>
      <c r="C556" s="167" t="str">
        <f>IFERROR(IF(VLOOKUP($B556,勘定科目!$A:$H,HLOOKUP($E$5,勘定科目!$F$1:$H$2,2,0),0)="","",VLOOKUP($B556,勘定科目!$A:$E,2,0)),"")</f>
        <v/>
      </c>
      <c r="D556" s="216" t="str">
        <f>IF(C556="","",VLOOKUP($B556,勘定科目!$A:$E,4,0))</f>
        <v/>
      </c>
      <c r="E556" s="222"/>
      <c r="F556" s="217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184">
        <f t="shared" si="15"/>
        <v>0</v>
      </c>
      <c r="S556" s="185"/>
      <c r="T556" s="186"/>
      <c r="U556" s="223"/>
      <c r="V556" s="223"/>
      <c r="W556" s="223"/>
    </row>
    <row r="557" spans="1:23" s="175" customFormat="1" ht="13" customHeight="1">
      <c r="A557" s="166"/>
      <c r="B557" s="163"/>
      <c r="C557" s="167" t="str">
        <f>IFERROR(IF(VLOOKUP($B557,勘定科目!$A:$H,HLOOKUP($E$5,勘定科目!$F$1:$H$2,2,0),0)="","",VLOOKUP($B557,勘定科目!$A:$E,2,0)),"")</f>
        <v/>
      </c>
      <c r="D557" s="216" t="str">
        <f>IF(C557="","",VLOOKUP($B557,勘定科目!$A:$E,4,0))</f>
        <v/>
      </c>
      <c r="E557" s="222"/>
      <c r="F557" s="217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184">
        <f t="shared" si="15"/>
        <v>0</v>
      </c>
      <c r="S557" s="185"/>
      <c r="T557" s="186"/>
      <c r="U557" s="223"/>
      <c r="V557" s="223"/>
      <c r="W557" s="223"/>
    </row>
    <row r="558" spans="1:23" s="175" customFormat="1" ht="13" customHeight="1">
      <c r="A558" s="166"/>
      <c r="B558" s="163"/>
      <c r="C558" s="167" t="str">
        <f>IFERROR(IF(VLOOKUP($B558,勘定科目!$A:$H,HLOOKUP($E$5,勘定科目!$F$1:$H$2,2,0),0)="","",VLOOKUP($B558,勘定科目!$A:$E,2,0)),"")</f>
        <v/>
      </c>
      <c r="D558" s="216" t="str">
        <f>IF(C558="","",VLOOKUP($B558,勘定科目!$A:$E,4,0))</f>
        <v/>
      </c>
      <c r="E558" s="222"/>
      <c r="F558" s="217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184">
        <f t="shared" si="15"/>
        <v>0</v>
      </c>
      <c r="S558" s="185"/>
      <c r="T558" s="186"/>
      <c r="U558" s="223"/>
      <c r="V558" s="223"/>
      <c r="W558" s="223"/>
    </row>
    <row r="559" spans="1:23" s="175" customFormat="1" ht="13" customHeight="1">
      <c r="A559" s="166"/>
      <c r="B559" s="163"/>
      <c r="C559" s="167" t="str">
        <f>IFERROR(IF(VLOOKUP($B559,勘定科目!$A:$H,HLOOKUP($E$5,勘定科目!$F$1:$H$2,2,0),0)="","",VLOOKUP($B559,勘定科目!$A:$E,2,0)),"")</f>
        <v/>
      </c>
      <c r="D559" s="216" t="str">
        <f>IF(C559="","",VLOOKUP($B559,勘定科目!$A:$E,4,0))</f>
        <v/>
      </c>
      <c r="E559" s="222"/>
      <c r="F559" s="217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184">
        <f t="shared" si="15"/>
        <v>0</v>
      </c>
      <c r="S559" s="185"/>
      <c r="T559" s="186"/>
      <c r="U559" s="223"/>
      <c r="V559" s="223"/>
      <c r="W559" s="223"/>
    </row>
    <row r="560" spans="1:23" s="175" customFormat="1" ht="13" customHeight="1">
      <c r="A560" s="166"/>
      <c r="B560" s="163"/>
      <c r="C560" s="167" t="str">
        <f>IFERROR(IF(VLOOKUP($B560,勘定科目!$A:$H,HLOOKUP($E$5,勘定科目!$F$1:$H$2,2,0),0)="","",VLOOKUP($B560,勘定科目!$A:$E,2,0)),"")</f>
        <v/>
      </c>
      <c r="D560" s="216" t="str">
        <f>IF(C560="","",VLOOKUP($B560,勘定科目!$A:$E,4,0))</f>
        <v/>
      </c>
      <c r="E560" s="222"/>
      <c r="F560" s="217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184">
        <f t="shared" si="15"/>
        <v>0</v>
      </c>
      <c r="S560" s="185"/>
      <c r="T560" s="186"/>
      <c r="U560" s="223"/>
      <c r="V560" s="223"/>
      <c r="W560" s="223"/>
    </row>
    <row r="561" spans="1:23" s="175" customFormat="1" ht="13" customHeight="1">
      <c r="A561" s="166"/>
      <c r="B561" s="163"/>
      <c r="C561" s="167" t="str">
        <f>IFERROR(IF(VLOOKUP($B561,勘定科目!$A:$H,HLOOKUP($E$5,勘定科目!$F$1:$H$2,2,0),0)="","",VLOOKUP($B561,勘定科目!$A:$E,2,0)),"")</f>
        <v/>
      </c>
      <c r="D561" s="216" t="str">
        <f>IF(C561="","",VLOOKUP($B561,勘定科目!$A:$E,4,0))</f>
        <v/>
      </c>
      <c r="E561" s="222"/>
      <c r="F561" s="217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184">
        <f t="shared" si="15"/>
        <v>0</v>
      </c>
      <c r="S561" s="185"/>
      <c r="T561" s="186"/>
      <c r="U561" s="223"/>
      <c r="V561" s="223"/>
      <c r="W561" s="223"/>
    </row>
    <row r="562" spans="1:23" s="175" customFormat="1" ht="13" customHeight="1">
      <c r="A562" s="166"/>
      <c r="B562" s="163"/>
      <c r="C562" s="167" t="str">
        <f>IFERROR(IF(VLOOKUP($B562,勘定科目!$A:$H,HLOOKUP($E$5,勘定科目!$F$1:$H$2,2,0),0)="","",VLOOKUP($B562,勘定科目!$A:$E,2,0)),"")</f>
        <v/>
      </c>
      <c r="D562" s="216" t="str">
        <f>IF(C562="","",VLOOKUP($B562,勘定科目!$A:$E,4,0))</f>
        <v/>
      </c>
      <c r="E562" s="222"/>
      <c r="F562" s="217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184">
        <f t="shared" si="15"/>
        <v>0</v>
      </c>
      <c r="S562" s="185"/>
      <c r="T562" s="186"/>
      <c r="U562" s="223"/>
      <c r="V562" s="223"/>
      <c r="W562" s="223"/>
    </row>
    <row r="563" spans="1:23" s="175" customFormat="1" ht="13" customHeight="1">
      <c r="A563" s="166"/>
      <c r="B563" s="163"/>
      <c r="C563" s="167" t="str">
        <f>IFERROR(IF(VLOOKUP($B563,勘定科目!$A:$H,HLOOKUP($E$5,勘定科目!$F$1:$H$2,2,0),0)="","",VLOOKUP($B563,勘定科目!$A:$E,2,0)),"")</f>
        <v/>
      </c>
      <c r="D563" s="216" t="str">
        <f>IF(C563="","",VLOOKUP($B563,勘定科目!$A:$E,4,0))</f>
        <v/>
      </c>
      <c r="E563" s="222"/>
      <c r="F563" s="217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184">
        <f t="shared" si="15"/>
        <v>0</v>
      </c>
      <c r="S563" s="185"/>
      <c r="T563" s="186"/>
      <c r="U563" s="223"/>
      <c r="V563" s="223"/>
      <c r="W563" s="223"/>
    </row>
    <row r="564" spans="1:23" s="175" customFormat="1" ht="13" customHeight="1">
      <c r="A564" s="166"/>
      <c r="B564" s="163"/>
      <c r="C564" s="167" t="str">
        <f>IFERROR(IF(VLOOKUP($B564,勘定科目!$A:$H,HLOOKUP($E$5,勘定科目!$F$1:$H$2,2,0),0)="","",VLOOKUP($B564,勘定科目!$A:$E,2,0)),"")</f>
        <v/>
      </c>
      <c r="D564" s="216" t="str">
        <f>IF(C564="","",VLOOKUP($B564,勘定科目!$A:$E,4,0))</f>
        <v/>
      </c>
      <c r="E564" s="222"/>
      <c r="F564" s="217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184">
        <f t="shared" si="15"/>
        <v>0</v>
      </c>
      <c r="S564" s="185"/>
      <c r="T564" s="186"/>
      <c r="U564" s="223"/>
      <c r="V564" s="223"/>
      <c r="W564" s="223"/>
    </row>
    <row r="565" spans="1:23" s="175" customFormat="1" ht="13" customHeight="1">
      <c r="A565" s="166"/>
      <c r="B565" s="163"/>
      <c r="C565" s="167" t="str">
        <f>IFERROR(IF(VLOOKUP($B565,勘定科目!$A:$H,HLOOKUP($E$5,勘定科目!$F$1:$H$2,2,0),0)="","",VLOOKUP($B565,勘定科目!$A:$E,2,0)),"")</f>
        <v/>
      </c>
      <c r="D565" s="216" t="str">
        <f>IF(C565="","",VLOOKUP($B565,勘定科目!$A:$E,4,0))</f>
        <v/>
      </c>
      <c r="E565" s="222"/>
      <c r="F565" s="217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184">
        <f t="shared" si="15"/>
        <v>0</v>
      </c>
      <c r="S565" s="185"/>
      <c r="T565" s="186"/>
      <c r="U565" s="223"/>
      <c r="V565" s="223"/>
      <c r="W565" s="223"/>
    </row>
    <row r="566" spans="1:23" s="175" customFormat="1" ht="13" customHeight="1">
      <c r="A566" s="166"/>
      <c r="B566" s="163"/>
      <c r="C566" s="167" t="str">
        <f>IFERROR(IF(VLOOKUP($B566,勘定科目!$A:$H,HLOOKUP($E$5,勘定科目!$F$1:$H$2,2,0),0)="","",VLOOKUP($B566,勘定科目!$A:$E,2,0)),"")</f>
        <v/>
      </c>
      <c r="D566" s="216" t="str">
        <f>IF(C566="","",VLOOKUP($B566,勘定科目!$A:$E,4,0))</f>
        <v/>
      </c>
      <c r="E566" s="222"/>
      <c r="F566" s="217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184">
        <f t="shared" si="15"/>
        <v>0</v>
      </c>
      <c r="S566" s="185"/>
      <c r="T566" s="186"/>
      <c r="U566" s="223"/>
      <c r="V566" s="223"/>
      <c r="W566" s="223"/>
    </row>
    <row r="567" spans="1:23" s="175" customFormat="1" ht="13" customHeight="1">
      <c r="A567" s="166"/>
      <c r="B567" s="163"/>
      <c r="C567" s="167" t="str">
        <f>IFERROR(IF(VLOOKUP($B567,勘定科目!$A:$H,HLOOKUP($E$5,勘定科目!$F$1:$H$2,2,0),0)="","",VLOOKUP($B567,勘定科目!$A:$E,2,0)),"")</f>
        <v/>
      </c>
      <c r="D567" s="216" t="str">
        <f>IF(C567="","",VLOOKUP($B567,勘定科目!$A:$E,4,0))</f>
        <v/>
      </c>
      <c r="E567" s="222"/>
      <c r="F567" s="217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184">
        <f t="shared" si="15"/>
        <v>0</v>
      </c>
      <c r="S567" s="185"/>
      <c r="T567" s="186"/>
      <c r="U567" s="223"/>
      <c r="V567" s="223"/>
      <c r="W567" s="223"/>
    </row>
    <row r="568" spans="1:23" s="175" customFormat="1" ht="13" customHeight="1">
      <c r="A568" s="166"/>
      <c r="B568" s="163"/>
      <c r="C568" s="167" t="str">
        <f>IFERROR(IF(VLOOKUP($B568,勘定科目!$A:$H,HLOOKUP($E$5,勘定科目!$F$1:$H$2,2,0),0)="","",VLOOKUP($B568,勘定科目!$A:$E,2,0)),"")</f>
        <v/>
      </c>
      <c r="D568" s="216" t="str">
        <f>IF(C568="","",VLOOKUP($B568,勘定科目!$A:$E,4,0))</f>
        <v/>
      </c>
      <c r="E568" s="222"/>
      <c r="F568" s="217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184">
        <f t="shared" si="15"/>
        <v>0</v>
      </c>
      <c r="S568" s="185"/>
      <c r="T568" s="186"/>
      <c r="U568" s="223"/>
      <c r="V568" s="223"/>
      <c r="W568" s="223"/>
    </row>
    <row r="569" spans="1:23" s="175" customFormat="1" ht="13" customHeight="1">
      <c r="A569" s="166"/>
      <c r="B569" s="163"/>
      <c r="C569" s="167" t="str">
        <f>IFERROR(IF(VLOOKUP($B569,勘定科目!$A:$H,HLOOKUP($E$5,勘定科目!$F$1:$H$2,2,0),0)="","",VLOOKUP($B569,勘定科目!$A:$E,2,0)),"")</f>
        <v/>
      </c>
      <c r="D569" s="216" t="str">
        <f>IF(C569="","",VLOOKUP($B569,勘定科目!$A:$E,4,0))</f>
        <v/>
      </c>
      <c r="E569" s="222"/>
      <c r="F569" s="217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184">
        <f t="shared" si="15"/>
        <v>0</v>
      </c>
      <c r="S569" s="185"/>
      <c r="T569" s="186"/>
      <c r="U569" s="223"/>
      <c r="V569" s="223"/>
      <c r="W569" s="223"/>
    </row>
    <row r="570" spans="1:23" s="175" customFormat="1" ht="13" customHeight="1">
      <c r="A570" s="166"/>
      <c r="B570" s="163"/>
      <c r="C570" s="167" t="str">
        <f>IFERROR(IF(VLOOKUP($B570,勘定科目!$A:$H,HLOOKUP($E$5,勘定科目!$F$1:$H$2,2,0),0)="","",VLOOKUP($B570,勘定科目!$A:$E,2,0)),"")</f>
        <v/>
      </c>
      <c r="D570" s="216" t="str">
        <f>IF(C570="","",VLOOKUP($B570,勘定科目!$A:$E,4,0))</f>
        <v/>
      </c>
      <c r="E570" s="222"/>
      <c r="F570" s="217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184">
        <f t="shared" si="15"/>
        <v>0</v>
      </c>
      <c r="S570" s="185"/>
      <c r="T570" s="186"/>
      <c r="U570" s="223"/>
      <c r="V570" s="223"/>
      <c r="W570" s="223"/>
    </row>
    <row r="571" spans="1:23" s="175" customFormat="1" ht="13" customHeight="1">
      <c r="A571" s="166"/>
      <c r="B571" s="163"/>
      <c r="C571" s="167" t="str">
        <f>IFERROR(IF(VLOOKUP($B571,勘定科目!$A:$H,HLOOKUP($E$5,勘定科目!$F$1:$H$2,2,0),0)="","",VLOOKUP($B571,勘定科目!$A:$E,2,0)),"")</f>
        <v/>
      </c>
      <c r="D571" s="216" t="str">
        <f>IF(C571="","",VLOOKUP($B571,勘定科目!$A:$E,4,0))</f>
        <v/>
      </c>
      <c r="E571" s="222"/>
      <c r="F571" s="217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184">
        <f t="shared" si="15"/>
        <v>0</v>
      </c>
      <c r="S571" s="185"/>
      <c r="T571" s="186"/>
      <c r="U571" s="223"/>
      <c r="V571" s="223"/>
      <c r="W571" s="223"/>
    </row>
    <row r="572" spans="1:23" s="175" customFormat="1" ht="13" customHeight="1">
      <c r="A572" s="166"/>
      <c r="B572" s="163"/>
      <c r="C572" s="167" t="str">
        <f>IFERROR(IF(VLOOKUP($B572,勘定科目!$A:$H,HLOOKUP($E$5,勘定科目!$F$1:$H$2,2,0),0)="","",VLOOKUP($B572,勘定科目!$A:$E,2,0)),"")</f>
        <v/>
      </c>
      <c r="D572" s="216" t="str">
        <f>IF(C572="","",VLOOKUP($B572,勘定科目!$A:$E,4,0))</f>
        <v/>
      </c>
      <c r="E572" s="222"/>
      <c r="F572" s="217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184">
        <f t="shared" si="15"/>
        <v>0</v>
      </c>
      <c r="S572" s="185"/>
      <c r="T572" s="186"/>
      <c r="U572" s="223"/>
      <c r="V572" s="223"/>
      <c r="W572" s="223"/>
    </row>
    <row r="573" spans="1:23" s="175" customFormat="1" ht="13" customHeight="1">
      <c r="A573" s="166"/>
      <c r="B573" s="163"/>
      <c r="C573" s="167" t="str">
        <f>IFERROR(IF(VLOOKUP($B573,勘定科目!$A:$H,HLOOKUP($E$5,勘定科目!$F$1:$H$2,2,0),0)="","",VLOOKUP($B573,勘定科目!$A:$E,2,0)),"")</f>
        <v/>
      </c>
      <c r="D573" s="216" t="str">
        <f>IF(C573="","",VLOOKUP($B573,勘定科目!$A:$E,4,0))</f>
        <v/>
      </c>
      <c r="E573" s="222"/>
      <c r="F573" s="217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184">
        <f t="shared" si="15"/>
        <v>0</v>
      </c>
      <c r="S573" s="185"/>
      <c r="T573" s="186"/>
      <c r="U573" s="223"/>
      <c r="V573" s="223"/>
      <c r="W573" s="223"/>
    </row>
    <row r="574" spans="1:23" s="175" customFormat="1" ht="13" customHeight="1">
      <c r="A574" s="166"/>
      <c r="B574" s="163"/>
      <c r="C574" s="167" t="str">
        <f>IFERROR(IF(VLOOKUP($B574,勘定科目!$A:$H,HLOOKUP($E$5,勘定科目!$F$1:$H$2,2,0),0)="","",VLOOKUP($B574,勘定科目!$A:$E,2,0)),"")</f>
        <v/>
      </c>
      <c r="D574" s="216" t="str">
        <f>IF(C574="","",VLOOKUP($B574,勘定科目!$A:$E,4,0))</f>
        <v/>
      </c>
      <c r="E574" s="222"/>
      <c r="F574" s="217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184">
        <f t="shared" si="15"/>
        <v>0</v>
      </c>
      <c r="S574" s="185"/>
      <c r="T574" s="186"/>
      <c r="U574" s="223"/>
      <c r="V574" s="223"/>
      <c r="W574" s="223"/>
    </row>
    <row r="575" spans="1:23" s="175" customFormat="1" ht="13" customHeight="1">
      <c r="A575" s="166"/>
      <c r="B575" s="163"/>
      <c r="C575" s="167" t="str">
        <f>IFERROR(IF(VLOOKUP($B575,勘定科目!$A:$H,HLOOKUP($E$5,勘定科目!$F$1:$H$2,2,0),0)="","",VLOOKUP($B575,勘定科目!$A:$E,2,0)),"")</f>
        <v/>
      </c>
      <c r="D575" s="216" t="str">
        <f>IF(C575="","",VLOOKUP($B575,勘定科目!$A:$E,4,0))</f>
        <v/>
      </c>
      <c r="E575" s="222"/>
      <c r="F575" s="217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184">
        <f t="shared" si="15"/>
        <v>0</v>
      </c>
      <c r="S575" s="185"/>
      <c r="T575" s="186"/>
      <c r="U575" s="223"/>
      <c r="V575" s="223"/>
      <c r="W575" s="223"/>
    </row>
    <row r="576" spans="1:23" s="175" customFormat="1" ht="13" customHeight="1">
      <c r="A576" s="166"/>
      <c r="B576" s="163"/>
      <c r="C576" s="167" t="str">
        <f>IFERROR(IF(VLOOKUP($B576,勘定科目!$A:$H,HLOOKUP($E$5,勘定科目!$F$1:$H$2,2,0),0)="","",VLOOKUP($B576,勘定科目!$A:$E,2,0)),"")</f>
        <v/>
      </c>
      <c r="D576" s="216" t="str">
        <f>IF(C576="","",VLOOKUP($B576,勘定科目!$A:$E,4,0))</f>
        <v/>
      </c>
      <c r="E576" s="222"/>
      <c r="F576" s="217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184">
        <f t="shared" si="15"/>
        <v>0</v>
      </c>
      <c r="S576" s="185"/>
      <c r="T576" s="186"/>
      <c r="U576" s="223"/>
      <c r="V576" s="223"/>
      <c r="W576" s="223"/>
    </row>
    <row r="577" spans="1:23" s="175" customFormat="1" ht="13" customHeight="1">
      <c r="A577" s="166"/>
      <c r="B577" s="163"/>
      <c r="C577" s="167" t="str">
        <f>IFERROR(IF(VLOOKUP($B577,勘定科目!$A:$H,HLOOKUP($E$5,勘定科目!$F$1:$H$2,2,0),0)="","",VLOOKUP($B577,勘定科目!$A:$E,2,0)),"")</f>
        <v/>
      </c>
      <c r="D577" s="216" t="str">
        <f>IF(C577="","",VLOOKUP($B577,勘定科目!$A:$E,4,0))</f>
        <v/>
      </c>
      <c r="E577" s="222"/>
      <c r="F577" s="217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184">
        <f t="shared" si="15"/>
        <v>0</v>
      </c>
      <c r="S577" s="185"/>
      <c r="T577" s="186"/>
      <c r="U577" s="223"/>
      <c r="V577" s="223"/>
      <c r="W577" s="223"/>
    </row>
    <row r="578" spans="1:23" s="175" customFormat="1" ht="13" customHeight="1">
      <c r="A578" s="166"/>
      <c r="B578" s="163"/>
      <c r="C578" s="167" t="str">
        <f>IFERROR(IF(VLOOKUP($B578,勘定科目!$A:$H,HLOOKUP($E$5,勘定科目!$F$1:$H$2,2,0),0)="","",VLOOKUP($B578,勘定科目!$A:$E,2,0)),"")</f>
        <v/>
      </c>
      <c r="D578" s="216" t="str">
        <f>IF(C578="","",VLOOKUP($B578,勘定科目!$A:$E,4,0))</f>
        <v/>
      </c>
      <c r="E578" s="222"/>
      <c r="F578" s="217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184">
        <f t="shared" si="15"/>
        <v>0</v>
      </c>
      <c r="S578" s="185"/>
      <c r="T578" s="186"/>
      <c r="U578" s="223"/>
      <c r="V578" s="223"/>
      <c r="W578" s="223"/>
    </row>
    <row r="579" spans="1:23" s="175" customFormat="1" ht="13" customHeight="1">
      <c r="A579" s="166"/>
      <c r="B579" s="163"/>
      <c r="C579" s="167" t="str">
        <f>IFERROR(IF(VLOOKUP($B579,勘定科目!$A:$H,HLOOKUP($E$5,勘定科目!$F$1:$H$2,2,0),0)="","",VLOOKUP($B579,勘定科目!$A:$E,2,0)),"")</f>
        <v/>
      </c>
      <c r="D579" s="216" t="str">
        <f>IF(C579="","",VLOOKUP($B579,勘定科目!$A:$E,4,0))</f>
        <v/>
      </c>
      <c r="E579" s="222"/>
      <c r="F579" s="217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184">
        <f t="shared" si="15"/>
        <v>0</v>
      </c>
      <c r="S579" s="185"/>
      <c r="T579" s="186"/>
      <c r="U579" s="223"/>
      <c r="V579" s="223"/>
      <c r="W579" s="223"/>
    </row>
    <row r="580" spans="1:23" s="175" customFormat="1" ht="13" customHeight="1">
      <c r="A580" s="166"/>
      <c r="B580" s="163"/>
      <c r="C580" s="167" t="str">
        <f>IFERROR(IF(VLOOKUP($B580,勘定科目!$A:$H,HLOOKUP($E$5,勘定科目!$F$1:$H$2,2,0),0)="","",VLOOKUP($B580,勘定科目!$A:$E,2,0)),"")</f>
        <v/>
      </c>
      <c r="D580" s="216" t="str">
        <f>IF(C580="","",VLOOKUP($B580,勘定科目!$A:$E,4,0))</f>
        <v/>
      </c>
      <c r="E580" s="222"/>
      <c r="F580" s="217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184">
        <f t="shared" si="15"/>
        <v>0</v>
      </c>
      <c r="S580" s="185"/>
      <c r="T580" s="186"/>
      <c r="U580" s="223"/>
      <c r="V580" s="223"/>
      <c r="W580" s="223"/>
    </row>
    <row r="581" spans="1:23" s="175" customFormat="1" ht="13" customHeight="1">
      <c r="A581" s="166"/>
      <c r="B581" s="163"/>
      <c r="C581" s="167" t="str">
        <f>IFERROR(IF(VLOOKUP($B581,勘定科目!$A:$H,HLOOKUP($E$5,勘定科目!$F$1:$H$2,2,0),0)="","",VLOOKUP($B581,勘定科目!$A:$E,2,0)),"")</f>
        <v/>
      </c>
      <c r="D581" s="216" t="str">
        <f>IF(C581="","",VLOOKUP($B581,勘定科目!$A:$E,4,0))</f>
        <v/>
      </c>
      <c r="E581" s="222"/>
      <c r="F581" s="217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184">
        <f t="shared" si="15"/>
        <v>0</v>
      </c>
      <c r="S581" s="185"/>
      <c r="T581" s="186"/>
      <c r="U581" s="223"/>
      <c r="V581" s="223"/>
      <c r="W581" s="223"/>
    </row>
    <row r="582" spans="1:23" s="175" customFormat="1" ht="13" customHeight="1">
      <c r="A582" s="166"/>
      <c r="B582" s="163"/>
      <c r="C582" s="167" t="str">
        <f>IFERROR(IF(VLOOKUP($B582,勘定科目!$A:$H,HLOOKUP($E$5,勘定科目!$F$1:$H$2,2,0),0)="","",VLOOKUP($B582,勘定科目!$A:$E,2,0)),"")</f>
        <v/>
      </c>
      <c r="D582" s="216" t="str">
        <f>IF(C582="","",VLOOKUP($B582,勘定科目!$A:$E,4,0))</f>
        <v/>
      </c>
      <c r="E582" s="222"/>
      <c r="F582" s="217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184">
        <f t="shared" si="15"/>
        <v>0</v>
      </c>
      <c r="S582" s="185"/>
      <c r="T582" s="186"/>
      <c r="U582" s="223"/>
      <c r="V582" s="223"/>
      <c r="W582" s="223"/>
    </row>
    <row r="583" spans="1:23" s="175" customFormat="1" ht="13" customHeight="1">
      <c r="A583" s="166"/>
      <c r="B583" s="163"/>
      <c r="C583" s="167" t="str">
        <f>IFERROR(IF(VLOOKUP($B583,勘定科目!$A:$H,HLOOKUP($E$5,勘定科目!$F$1:$H$2,2,0),0)="","",VLOOKUP($B583,勘定科目!$A:$E,2,0)),"")</f>
        <v/>
      </c>
      <c r="D583" s="216" t="str">
        <f>IF(C583="","",VLOOKUP($B583,勘定科目!$A:$E,4,0))</f>
        <v/>
      </c>
      <c r="E583" s="222"/>
      <c r="F583" s="217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184">
        <f t="shared" si="15"/>
        <v>0</v>
      </c>
      <c r="S583" s="185"/>
      <c r="T583" s="186"/>
      <c r="U583" s="223"/>
      <c r="V583" s="223"/>
      <c r="W583" s="223"/>
    </row>
    <row r="584" spans="1:23" s="175" customFormat="1" ht="13" customHeight="1">
      <c r="A584" s="166"/>
      <c r="B584" s="163"/>
      <c r="C584" s="167" t="str">
        <f>IFERROR(IF(VLOOKUP($B584,勘定科目!$A:$H,HLOOKUP($E$5,勘定科目!$F$1:$H$2,2,0),0)="","",VLOOKUP($B584,勘定科目!$A:$E,2,0)),"")</f>
        <v/>
      </c>
      <c r="D584" s="216" t="str">
        <f>IF(C584="","",VLOOKUP($B584,勘定科目!$A:$E,4,0))</f>
        <v/>
      </c>
      <c r="E584" s="222"/>
      <c r="F584" s="217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184">
        <f t="shared" si="15"/>
        <v>0</v>
      </c>
      <c r="S584" s="185"/>
      <c r="T584" s="186"/>
      <c r="U584" s="223"/>
      <c r="V584" s="223"/>
      <c r="W584" s="223"/>
    </row>
    <row r="585" spans="1:23" s="175" customFormat="1" ht="13" customHeight="1">
      <c r="A585" s="166"/>
      <c r="B585" s="163"/>
      <c r="C585" s="167" t="str">
        <f>IFERROR(IF(VLOOKUP($B585,勘定科目!$A:$H,HLOOKUP($E$5,勘定科目!$F$1:$H$2,2,0),0)="","",VLOOKUP($B585,勘定科目!$A:$E,2,0)),"")</f>
        <v/>
      </c>
      <c r="D585" s="216" t="str">
        <f>IF(C585="","",VLOOKUP($B585,勘定科目!$A:$E,4,0))</f>
        <v/>
      </c>
      <c r="E585" s="222"/>
      <c r="F585" s="217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184">
        <f t="shared" si="15"/>
        <v>0</v>
      </c>
      <c r="S585" s="185"/>
      <c r="T585" s="186"/>
      <c r="U585" s="223"/>
      <c r="V585" s="223"/>
      <c r="W585" s="223"/>
    </row>
    <row r="586" spans="1:23" s="175" customFormat="1" ht="13" customHeight="1">
      <c r="A586" s="166"/>
      <c r="B586" s="163"/>
      <c r="C586" s="167" t="str">
        <f>IFERROR(IF(VLOOKUP($B586,勘定科目!$A:$H,HLOOKUP($E$5,勘定科目!$F$1:$H$2,2,0),0)="","",VLOOKUP($B586,勘定科目!$A:$E,2,0)),"")</f>
        <v/>
      </c>
      <c r="D586" s="216" t="str">
        <f>IF(C586="","",VLOOKUP($B586,勘定科目!$A:$E,4,0))</f>
        <v/>
      </c>
      <c r="E586" s="222"/>
      <c r="F586" s="217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184">
        <f t="shared" si="15"/>
        <v>0</v>
      </c>
      <c r="S586" s="185"/>
      <c r="T586" s="186"/>
      <c r="U586" s="223"/>
      <c r="V586" s="223"/>
      <c r="W586" s="223"/>
    </row>
    <row r="587" spans="1:23" s="175" customFormat="1" ht="13" customHeight="1">
      <c r="A587" s="166"/>
      <c r="B587" s="163"/>
      <c r="C587" s="167" t="str">
        <f>IFERROR(IF(VLOOKUP($B587,勘定科目!$A:$H,HLOOKUP($E$5,勘定科目!$F$1:$H$2,2,0),0)="","",VLOOKUP($B587,勘定科目!$A:$E,2,0)),"")</f>
        <v/>
      </c>
      <c r="D587" s="216" t="str">
        <f>IF(C587="","",VLOOKUP($B587,勘定科目!$A:$E,4,0))</f>
        <v/>
      </c>
      <c r="E587" s="222"/>
      <c r="F587" s="217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184">
        <f t="shared" si="15"/>
        <v>0</v>
      </c>
      <c r="S587" s="185"/>
      <c r="T587" s="186"/>
      <c r="U587" s="223"/>
      <c r="V587" s="223"/>
      <c r="W587" s="223"/>
    </row>
    <row r="588" spans="1:23" s="175" customFormat="1" ht="13" customHeight="1">
      <c r="A588" s="166"/>
      <c r="B588" s="163"/>
      <c r="C588" s="167" t="str">
        <f>IFERROR(IF(VLOOKUP($B588,勘定科目!$A:$H,HLOOKUP($E$5,勘定科目!$F$1:$H$2,2,0),0)="","",VLOOKUP($B588,勘定科目!$A:$E,2,0)),"")</f>
        <v/>
      </c>
      <c r="D588" s="216" t="str">
        <f>IF(C588="","",VLOOKUP($B588,勘定科目!$A:$E,4,0))</f>
        <v/>
      </c>
      <c r="E588" s="222"/>
      <c r="F588" s="217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184">
        <f t="shared" si="15"/>
        <v>0</v>
      </c>
      <c r="S588" s="185"/>
      <c r="T588" s="186"/>
      <c r="U588" s="223"/>
      <c r="V588" s="223"/>
      <c r="W588" s="223"/>
    </row>
    <row r="589" spans="1:23" s="175" customFormat="1" ht="13" customHeight="1">
      <c r="A589" s="166"/>
      <c r="B589" s="163"/>
      <c r="C589" s="167" t="str">
        <f>IFERROR(IF(VLOOKUP($B589,勘定科目!$A:$H,HLOOKUP($E$5,勘定科目!$F$1:$H$2,2,0),0)="","",VLOOKUP($B589,勘定科目!$A:$E,2,0)),"")</f>
        <v/>
      </c>
      <c r="D589" s="216" t="str">
        <f>IF(C589="","",VLOOKUP($B589,勘定科目!$A:$E,4,0))</f>
        <v/>
      </c>
      <c r="E589" s="222"/>
      <c r="F589" s="217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184">
        <f t="shared" si="15"/>
        <v>0</v>
      </c>
      <c r="S589" s="185"/>
      <c r="T589" s="186"/>
      <c r="U589" s="223"/>
      <c r="V589" s="223"/>
      <c r="W589" s="223"/>
    </row>
    <row r="590" spans="1:23" s="175" customFormat="1" ht="13" customHeight="1">
      <c r="A590" s="166"/>
      <c r="B590" s="163"/>
      <c r="C590" s="167" t="str">
        <f>IFERROR(IF(VLOOKUP($B590,勘定科目!$A:$H,HLOOKUP($E$5,勘定科目!$F$1:$H$2,2,0),0)="","",VLOOKUP($B590,勘定科目!$A:$E,2,0)),"")</f>
        <v/>
      </c>
      <c r="D590" s="216" t="str">
        <f>IF(C590="","",VLOOKUP($B590,勘定科目!$A:$E,4,0))</f>
        <v/>
      </c>
      <c r="E590" s="222"/>
      <c r="F590" s="217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184">
        <f t="shared" si="15"/>
        <v>0</v>
      </c>
      <c r="S590" s="185"/>
      <c r="T590" s="186"/>
      <c r="U590" s="223"/>
      <c r="V590" s="223"/>
      <c r="W590" s="223"/>
    </row>
    <row r="591" spans="1:23" s="175" customFormat="1" ht="13" customHeight="1">
      <c r="A591" s="166"/>
      <c r="B591" s="163"/>
      <c r="C591" s="167" t="str">
        <f>IFERROR(IF(VLOOKUP($B591,勘定科目!$A:$H,HLOOKUP($E$5,勘定科目!$F$1:$H$2,2,0),0)="","",VLOOKUP($B591,勘定科目!$A:$E,2,0)),"")</f>
        <v/>
      </c>
      <c r="D591" s="216" t="str">
        <f>IF(C591="","",VLOOKUP($B591,勘定科目!$A:$E,4,0))</f>
        <v/>
      </c>
      <c r="E591" s="222"/>
      <c r="F591" s="217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184">
        <f t="shared" si="15"/>
        <v>0</v>
      </c>
      <c r="S591" s="185"/>
      <c r="T591" s="186"/>
      <c r="U591" s="223"/>
      <c r="V591" s="223"/>
      <c r="W591" s="223"/>
    </row>
    <row r="592" spans="1:23" s="175" customFormat="1" ht="13" customHeight="1">
      <c r="A592" s="166"/>
      <c r="B592" s="163"/>
      <c r="C592" s="167" t="str">
        <f>IFERROR(IF(VLOOKUP($B592,勘定科目!$A:$H,HLOOKUP($E$5,勘定科目!$F$1:$H$2,2,0),0)="","",VLOOKUP($B592,勘定科目!$A:$E,2,0)),"")</f>
        <v/>
      </c>
      <c r="D592" s="216" t="str">
        <f>IF(C592="","",VLOOKUP($B592,勘定科目!$A:$E,4,0))</f>
        <v/>
      </c>
      <c r="E592" s="222"/>
      <c r="F592" s="217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184">
        <f t="shared" si="15"/>
        <v>0</v>
      </c>
      <c r="S592" s="185"/>
      <c r="T592" s="186"/>
      <c r="U592" s="223"/>
      <c r="V592" s="223"/>
      <c r="W592" s="223"/>
    </row>
    <row r="593" spans="1:23" s="175" customFormat="1" ht="13" customHeight="1">
      <c r="A593" s="166"/>
      <c r="B593" s="163"/>
      <c r="C593" s="167" t="str">
        <f>IFERROR(IF(VLOOKUP($B593,勘定科目!$A:$H,HLOOKUP($E$5,勘定科目!$F$1:$H$2,2,0),0)="","",VLOOKUP($B593,勘定科目!$A:$E,2,0)),"")</f>
        <v/>
      </c>
      <c r="D593" s="216" t="str">
        <f>IF(C593="","",VLOOKUP($B593,勘定科目!$A:$E,4,0))</f>
        <v/>
      </c>
      <c r="E593" s="222"/>
      <c r="F593" s="217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184">
        <f t="shared" si="15"/>
        <v>0</v>
      </c>
      <c r="S593" s="185"/>
      <c r="T593" s="186"/>
      <c r="U593" s="223"/>
      <c r="V593" s="223"/>
      <c r="W593" s="223"/>
    </row>
    <row r="594" spans="1:23" s="175" customFormat="1" ht="13" customHeight="1">
      <c r="A594" s="166"/>
      <c r="B594" s="163"/>
      <c r="C594" s="167" t="str">
        <f>IFERROR(IF(VLOOKUP($B594,勘定科目!$A:$H,HLOOKUP($E$5,勘定科目!$F$1:$H$2,2,0),0)="","",VLOOKUP($B594,勘定科目!$A:$E,2,0)),"")</f>
        <v/>
      </c>
      <c r="D594" s="216" t="str">
        <f>IF(C594="","",VLOOKUP($B594,勘定科目!$A:$E,4,0))</f>
        <v/>
      </c>
      <c r="E594" s="222"/>
      <c r="F594" s="217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184">
        <f t="shared" si="15"/>
        <v>0</v>
      </c>
      <c r="S594" s="185"/>
      <c r="T594" s="186"/>
      <c r="U594" s="223"/>
      <c r="V594" s="223"/>
      <c r="W594" s="223"/>
    </row>
    <row r="595" spans="1:23" s="175" customFormat="1" ht="13" customHeight="1">
      <c r="A595" s="166"/>
      <c r="B595" s="163"/>
      <c r="C595" s="167" t="str">
        <f>IFERROR(IF(VLOOKUP($B595,勘定科目!$A:$H,HLOOKUP($E$5,勘定科目!$F$1:$H$2,2,0),0)="","",VLOOKUP($B595,勘定科目!$A:$E,2,0)),"")</f>
        <v/>
      </c>
      <c r="D595" s="216" t="str">
        <f>IF(C595="","",VLOOKUP($B595,勘定科目!$A:$E,4,0))</f>
        <v/>
      </c>
      <c r="E595" s="222"/>
      <c r="F595" s="217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184">
        <f t="shared" si="15"/>
        <v>0</v>
      </c>
      <c r="S595" s="185"/>
      <c r="T595" s="186"/>
      <c r="U595" s="223"/>
      <c r="V595" s="223"/>
      <c r="W595" s="223"/>
    </row>
    <row r="596" spans="1:23" s="175" customFormat="1" ht="13" customHeight="1">
      <c r="A596" s="166"/>
      <c r="B596" s="163"/>
      <c r="C596" s="167" t="str">
        <f>IFERROR(IF(VLOOKUP($B596,勘定科目!$A:$H,HLOOKUP($E$5,勘定科目!$F$1:$H$2,2,0),0)="","",VLOOKUP($B596,勘定科目!$A:$E,2,0)),"")</f>
        <v/>
      </c>
      <c r="D596" s="216" t="str">
        <f>IF(C596="","",VLOOKUP($B596,勘定科目!$A:$E,4,0))</f>
        <v/>
      </c>
      <c r="E596" s="222"/>
      <c r="F596" s="217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184">
        <f t="shared" si="15"/>
        <v>0</v>
      </c>
      <c r="S596" s="185"/>
      <c r="T596" s="186"/>
      <c r="U596" s="223"/>
      <c r="V596" s="223"/>
      <c r="W596" s="223"/>
    </row>
    <row r="597" spans="1:23" s="175" customFormat="1" ht="13" customHeight="1">
      <c r="A597" s="166"/>
      <c r="B597" s="163"/>
      <c r="C597" s="167" t="str">
        <f>IFERROR(IF(VLOOKUP($B597,勘定科目!$A:$H,HLOOKUP($E$5,勘定科目!$F$1:$H$2,2,0),0)="","",VLOOKUP($B597,勘定科目!$A:$E,2,0)),"")</f>
        <v/>
      </c>
      <c r="D597" s="216" t="str">
        <f>IF(C597="","",VLOOKUP($B597,勘定科目!$A:$E,4,0))</f>
        <v/>
      </c>
      <c r="E597" s="222"/>
      <c r="F597" s="217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184">
        <f t="shared" si="15"/>
        <v>0</v>
      </c>
      <c r="S597" s="185"/>
      <c r="T597" s="186"/>
      <c r="U597" s="223"/>
      <c r="V597" s="223"/>
      <c r="W597" s="223"/>
    </row>
    <row r="598" spans="1:23" s="175" customFormat="1" ht="13" customHeight="1">
      <c r="A598" s="166"/>
      <c r="B598" s="163"/>
      <c r="C598" s="167" t="str">
        <f>IFERROR(IF(VLOOKUP($B598,勘定科目!$A:$H,HLOOKUP($E$5,勘定科目!$F$1:$H$2,2,0),0)="","",VLOOKUP($B598,勘定科目!$A:$E,2,0)),"")</f>
        <v/>
      </c>
      <c r="D598" s="216" t="str">
        <f>IF(C598="","",VLOOKUP($B598,勘定科目!$A:$E,4,0))</f>
        <v/>
      </c>
      <c r="E598" s="222"/>
      <c r="F598" s="217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184">
        <f t="shared" si="15"/>
        <v>0</v>
      </c>
      <c r="S598" s="185"/>
      <c r="T598" s="186"/>
      <c r="U598" s="223"/>
      <c r="V598" s="223"/>
      <c r="W598" s="223"/>
    </row>
    <row r="599" spans="1:23" s="175" customFormat="1" ht="13" customHeight="1">
      <c r="A599" s="166"/>
      <c r="B599" s="163"/>
      <c r="C599" s="167" t="str">
        <f>IFERROR(IF(VLOOKUP($B599,勘定科目!$A:$H,HLOOKUP($E$5,勘定科目!$F$1:$H$2,2,0),0)="","",VLOOKUP($B599,勘定科目!$A:$E,2,0)),"")</f>
        <v/>
      </c>
      <c r="D599" s="216" t="str">
        <f>IF(C599="","",VLOOKUP($B599,勘定科目!$A:$E,4,0))</f>
        <v/>
      </c>
      <c r="E599" s="222"/>
      <c r="F599" s="217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184">
        <f t="shared" si="15"/>
        <v>0</v>
      </c>
      <c r="S599" s="185"/>
      <c r="T599" s="186"/>
      <c r="U599" s="223"/>
      <c r="V599" s="223"/>
      <c r="W599" s="223"/>
    </row>
    <row r="600" spans="1:23" s="175" customFormat="1" ht="13" customHeight="1">
      <c r="A600" s="166"/>
      <c r="B600" s="163"/>
      <c r="C600" s="167" t="str">
        <f>IFERROR(IF(VLOOKUP($B600,勘定科目!$A:$H,HLOOKUP($E$5,勘定科目!$F$1:$H$2,2,0),0)="","",VLOOKUP($B600,勘定科目!$A:$E,2,0)),"")</f>
        <v/>
      </c>
      <c r="D600" s="216" t="str">
        <f>IF(C600="","",VLOOKUP($B600,勘定科目!$A:$E,4,0))</f>
        <v/>
      </c>
      <c r="E600" s="222"/>
      <c r="F600" s="217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184">
        <f t="shared" si="15"/>
        <v>0</v>
      </c>
      <c r="S600" s="185"/>
      <c r="T600" s="186"/>
      <c r="U600" s="223"/>
      <c r="V600" s="223"/>
      <c r="W600" s="223"/>
    </row>
    <row r="601" spans="1:23" s="175" customFormat="1" ht="13" customHeight="1">
      <c r="A601" s="166"/>
      <c r="B601" s="163"/>
      <c r="C601" s="167" t="str">
        <f>IFERROR(IF(VLOOKUP($B601,勘定科目!$A:$H,HLOOKUP($E$5,勘定科目!$F$1:$H$2,2,0),0)="","",VLOOKUP($B601,勘定科目!$A:$E,2,0)),"")</f>
        <v/>
      </c>
      <c r="D601" s="216" t="str">
        <f>IF(C601="","",VLOOKUP($B601,勘定科目!$A:$E,4,0))</f>
        <v/>
      </c>
      <c r="E601" s="222"/>
      <c r="F601" s="217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184">
        <f t="shared" si="15"/>
        <v>0</v>
      </c>
      <c r="S601" s="185"/>
      <c r="T601" s="186"/>
      <c r="U601" s="223"/>
      <c r="V601" s="223"/>
      <c r="W601" s="223"/>
    </row>
    <row r="602" spans="1:23" s="175" customFormat="1" ht="13" customHeight="1">
      <c r="A602" s="166"/>
      <c r="B602" s="163"/>
      <c r="C602" s="167" t="str">
        <f>IFERROR(IF(VLOOKUP($B602,勘定科目!$A:$H,HLOOKUP($E$5,勘定科目!$F$1:$H$2,2,0),0)="","",VLOOKUP($B602,勘定科目!$A:$E,2,0)),"")</f>
        <v/>
      </c>
      <c r="D602" s="216" t="str">
        <f>IF(C602="","",VLOOKUP($B602,勘定科目!$A:$E,4,0))</f>
        <v/>
      </c>
      <c r="E602" s="222"/>
      <c r="F602" s="217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184">
        <f t="shared" ref="R602:R665" si="16">SUM(F602:Q602)</f>
        <v>0</v>
      </c>
      <c r="S602" s="185"/>
      <c r="T602" s="186"/>
      <c r="U602" s="223"/>
      <c r="V602" s="223"/>
      <c r="W602" s="223"/>
    </row>
    <row r="603" spans="1:23" s="175" customFormat="1" ht="13" customHeight="1">
      <c r="A603" s="166"/>
      <c r="B603" s="163"/>
      <c r="C603" s="167" t="str">
        <f>IFERROR(IF(VLOOKUP($B603,勘定科目!$A:$H,HLOOKUP($E$5,勘定科目!$F$1:$H$2,2,0),0)="","",VLOOKUP($B603,勘定科目!$A:$E,2,0)),"")</f>
        <v/>
      </c>
      <c r="D603" s="216" t="str">
        <f>IF(C603="","",VLOOKUP($B603,勘定科目!$A:$E,4,0))</f>
        <v/>
      </c>
      <c r="E603" s="222"/>
      <c r="F603" s="217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184">
        <f t="shared" si="16"/>
        <v>0</v>
      </c>
      <c r="S603" s="185"/>
      <c r="T603" s="186"/>
      <c r="U603" s="223"/>
      <c r="V603" s="223"/>
      <c r="W603" s="223"/>
    </row>
    <row r="604" spans="1:23" s="175" customFormat="1" ht="13" customHeight="1">
      <c r="A604" s="166"/>
      <c r="B604" s="163"/>
      <c r="C604" s="167" t="str">
        <f>IFERROR(IF(VLOOKUP($B604,勘定科目!$A:$H,HLOOKUP($E$5,勘定科目!$F$1:$H$2,2,0),0)="","",VLOOKUP($B604,勘定科目!$A:$E,2,0)),"")</f>
        <v/>
      </c>
      <c r="D604" s="216" t="str">
        <f>IF(C604="","",VLOOKUP($B604,勘定科目!$A:$E,4,0))</f>
        <v/>
      </c>
      <c r="E604" s="222"/>
      <c r="F604" s="217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184">
        <f t="shared" si="16"/>
        <v>0</v>
      </c>
      <c r="S604" s="185"/>
      <c r="T604" s="186"/>
      <c r="U604" s="223"/>
      <c r="V604" s="223"/>
      <c r="W604" s="223"/>
    </row>
    <row r="605" spans="1:23" s="175" customFormat="1" ht="13" customHeight="1">
      <c r="A605" s="166"/>
      <c r="B605" s="163"/>
      <c r="C605" s="167" t="str">
        <f>IFERROR(IF(VLOOKUP($B605,勘定科目!$A:$H,HLOOKUP($E$5,勘定科目!$F$1:$H$2,2,0),0)="","",VLOOKUP($B605,勘定科目!$A:$E,2,0)),"")</f>
        <v/>
      </c>
      <c r="D605" s="216" t="str">
        <f>IF(C605="","",VLOOKUP($B605,勘定科目!$A:$E,4,0))</f>
        <v/>
      </c>
      <c r="E605" s="222"/>
      <c r="F605" s="217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184">
        <f t="shared" si="16"/>
        <v>0</v>
      </c>
      <c r="S605" s="185"/>
      <c r="T605" s="186"/>
      <c r="U605" s="223"/>
      <c r="V605" s="223"/>
      <c r="W605" s="223"/>
    </row>
    <row r="606" spans="1:23" s="175" customFormat="1" ht="13" customHeight="1">
      <c r="A606" s="166"/>
      <c r="B606" s="163"/>
      <c r="C606" s="167" t="str">
        <f>IFERROR(IF(VLOOKUP($B606,勘定科目!$A:$H,HLOOKUP($E$5,勘定科目!$F$1:$H$2,2,0),0)="","",VLOOKUP($B606,勘定科目!$A:$E,2,0)),"")</f>
        <v/>
      </c>
      <c r="D606" s="216" t="str">
        <f>IF(C606="","",VLOOKUP($B606,勘定科目!$A:$E,4,0))</f>
        <v/>
      </c>
      <c r="E606" s="222"/>
      <c r="F606" s="217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184">
        <f t="shared" si="16"/>
        <v>0</v>
      </c>
      <c r="S606" s="185"/>
      <c r="T606" s="186"/>
      <c r="U606" s="223"/>
      <c r="V606" s="223"/>
      <c r="W606" s="223"/>
    </row>
    <row r="607" spans="1:23" s="175" customFormat="1" ht="13" customHeight="1">
      <c r="A607" s="166"/>
      <c r="B607" s="163"/>
      <c r="C607" s="167" t="str">
        <f>IFERROR(IF(VLOOKUP($B607,勘定科目!$A:$H,HLOOKUP($E$5,勘定科目!$F$1:$H$2,2,0),0)="","",VLOOKUP($B607,勘定科目!$A:$E,2,0)),"")</f>
        <v/>
      </c>
      <c r="D607" s="216" t="str">
        <f>IF(C607="","",VLOOKUP($B607,勘定科目!$A:$E,4,0))</f>
        <v/>
      </c>
      <c r="E607" s="222"/>
      <c r="F607" s="217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184">
        <f t="shared" si="16"/>
        <v>0</v>
      </c>
      <c r="S607" s="185"/>
      <c r="T607" s="186"/>
      <c r="U607" s="223"/>
      <c r="V607" s="223"/>
      <c r="W607" s="223"/>
    </row>
    <row r="608" spans="1:23" s="175" customFormat="1" ht="13" customHeight="1">
      <c r="A608" s="166"/>
      <c r="B608" s="163"/>
      <c r="C608" s="167" t="str">
        <f>IFERROR(IF(VLOOKUP($B608,勘定科目!$A:$H,HLOOKUP($E$5,勘定科目!$F$1:$H$2,2,0),0)="","",VLOOKUP($B608,勘定科目!$A:$E,2,0)),"")</f>
        <v/>
      </c>
      <c r="D608" s="216" t="str">
        <f>IF(C608="","",VLOOKUP($B608,勘定科目!$A:$E,4,0))</f>
        <v/>
      </c>
      <c r="E608" s="222"/>
      <c r="F608" s="217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184">
        <f t="shared" si="16"/>
        <v>0</v>
      </c>
      <c r="S608" s="185"/>
      <c r="T608" s="186"/>
      <c r="U608" s="223"/>
      <c r="V608" s="223"/>
      <c r="W608" s="223"/>
    </row>
    <row r="609" spans="1:23" s="175" customFormat="1" ht="13" customHeight="1">
      <c r="A609" s="166"/>
      <c r="B609" s="163"/>
      <c r="C609" s="167" t="str">
        <f>IFERROR(IF(VLOOKUP($B609,勘定科目!$A:$H,HLOOKUP($E$5,勘定科目!$F$1:$H$2,2,0),0)="","",VLOOKUP($B609,勘定科目!$A:$E,2,0)),"")</f>
        <v/>
      </c>
      <c r="D609" s="216" t="str">
        <f>IF(C609="","",VLOOKUP($B609,勘定科目!$A:$E,4,0))</f>
        <v/>
      </c>
      <c r="E609" s="222"/>
      <c r="F609" s="217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184">
        <f t="shared" si="16"/>
        <v>0</v>
      </c>
      <c r="S609" s="185"/>
      <c r="T609" s="186"/>
      <c r="U609" s="223"/>
      <c r="V609" s="223"/>
      <c r="W609" s="223"/>
    </row>
    <row r="610" spans="1:23" s="175" customFormat="1" ht="13" customHeight="1">
      <c r="A610" s="166"/>
      <c r="B610" s="163"/>
      <c r="C610" s="167" t="str">
        <f>IFERROR(IF(VLOOKUP($B610,勘定科目!$A:$H,HLOOKUP($E$5,勘定科目!$F$1:$H$2,2,0),0)="","",VLOOKUP($B610,勘定科目!$A:$E,2,0)),"")</f>
        <v/>
      </c>
      <c r="D610" s="216" t="str">
        <f>IF(C610="","",VLOOKUP($B610,勘定科目!$A:$E,4,0))</f>
        <v/>
      </c>
      <c r="E610" s="222"/>
      <c r="F610" s="217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184">
        <f t="shared" si="16"/>
        <v>0</v>
      </c>
      <c r="S610" s="185"/>
      <c r="T610" s="186"/>
      <c r="U610" s="223"/>
      <c r="V610" s="223"/>
      <c r="W610" s="223"/>
    </row>
    <row r="611" spans="1:23" s="175" customFormat="1" ht="13" customHeight="1">
      <c r="A611" s="166"/>
      <c r="B611" s="163"/>
      <c r="C611" s="167" t="str">
        <f>IFERROR(IF(VLOOKUP($B611,勘定科目!$A:$H,HLOOKUP($E$5,勘定科目!$F$1:$H$2,2,0),0)="","",VLOOKUP($B611,勘定科目!$A:$E,2,0)),"")</f>
        <v/>
      </c>
      <c r="D611" s="216" t="str">
        <f>IF(C611="","",VLOOKUP($B611,勘定科目!$A:$E,4,0))</f>
        <v/>
      </c>
      <c r="E611" s="222"/>
      <c r="F611" s="217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184">
        <f t="shared" si="16"/>
        <v>0</v>
      </c>
      <c r="S611" s="185"/>
      <c r="T611" s="186"/>
      <c r="U611" s="223"/>
      <c r="V611" s="223"/>
      <c r="W611" s="223"/>
    </row>
    <row r="612" spans="1:23" s="175" customFormat="1" ht="13" customHeight="1">
      <c r="A612" s="166"/>
      <c r="B612" s="163"/>
      <c r="C612" s="167" t="str">
        <f>IFERROR(IF(VLOOKUP($B612,勘定科目!$A:$H,HLOOKUP($E$5,勘定科目!$F$1:$H$2,2,0),0)="","",VLOOKUP($B612,勘定科目!$A:$E,2,0)),"")</f>
        <v/>
      </c>
      <c r="D612" s="216" t="str">
        <f>IF(C612="","",VLOOKUP($B612,勘定科目!$A:$E,4,0))</f>
        <v/>
      </c>
      <c r="E612" s="222"/>
      <c r="F612" s="217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184">
        <f t="shared" si="16"/>
        <v>0</v>
      </c>
      <c r="S612" s="185"/>
      <c r="T612" s="186"/>
      <c r="U612" s="223"/>
      <c r="V612" s="223"/>
      <c r="W612" s="223"/>
    </row>
    <row r="613" spans="1:23" s="175" customFormat="1" ht="13" customHeight="1">
      <c r="A613" s="166"/>
      <c r="B613" s="163"/>
      <c r="C613" s="167" t="str">
        <f>IFERROR(IF(VLOOKUP($B613,勘定科目!$A:$H,HLOOKUP($E$5,勘定科目!$F$1:$H$2,2,0),0)="","",VLOOKUP($B613,勘定科目!$A:$E,2,0)),"")</f>
        <v/>
      </c>
      <c r="D613" s="216" t="str">
        <f>IF(C613="","",VLOOKUP($B613,勘定科目!$A:$E,4,0))</f>
        <v/>
      </c>
      <c r="E613" s="222"/>
      <c r="F613" s="217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184">
        <f t="shared" si="16"/>
        <v>0</v>
      </c>
      <c r="S613" s="185"/>
      <c r="T613" s="186"/>
      <c r="U613" s="223"/>
      <c r="V613" s="223"/>
      <c r="W613" s="223"/>
    </row>
    <row r="614" spans="1:23" s="175" customFormat="1" ht="13" customHeight="1">
      <c r="A614" s="166"/>
      <c r="B614" s="163"/>
      <c r="C614" s="167" t="str">
        <f>IFERROR(IF(VLOOKUP($B614,勘定科目!$A:$H,HLOOKUP($E$5,勘定科目!$F$1:$H$2,2,0),0)="","",VLOOKUP($B614,勘定科目!$A:$E,2,0)),"")</f>
        <v/>
      </c>
      <c r="D614" s="216" t="str">
        <f>IF(C614="","",VLOOKUP($B614,勘定科目!$A:$E,4,0))</f>
        <v/>
      </c>
      <c r="E614" s="222"/>
      <c r="F614" s="217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184">
        <f t="shared" si="16"/>
        <v>0</v>
      </c>
      <c r="S614" s="185"/>
      <c r="T614" s="186"/>
      <c r="U614" s="223"/>
      <c r="V614" s="223"/>
      <c r="W614" s="223"/>
    </row>
    <row r="615" spans="1:23" s="175" customFormat="1" ht="13" customHeight="1">
      <c r="A615" s="166"/>
      <c r="B615" s="163"/>
      <c r="C615" s="167" t="str">
        <f>IFERROR(IF(VLOOKUP($B615,勘定科目!$A:$H,HLOOKUP($E$5,勘定科目!$F$1:$H$2,2,0),0)="","",VLOOKUP($B615,勘定科目!$A:$E,2,0)),"")</f>
        <v/>
      </c>
      <c r="D615" s="216" t="str">
        <f>IF(C615="","",VLOOKUP($B615,勘定科目!$A:$E,4,0))</f>
        <v/>
      </c>
      <c r="E615" s="222"/>
      <c r="F615" s="217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184">
        <f t="shared" si="16"/>
        <v>0</v>
      </c>
      <c r="S615" s="185"/>
      <c r="T615" s="186"/>
      <c r="U615" s="223"/>
      <c r="V615" s="223"/>
      <c r="W615" s="223"/>
    </row>
    <row r="616" spans="1:23" s="175" customFormat="1" ht="13" customHeight="1">
      <c r="A616" s="166"/>
      <c r="B616" s="163"/>
      <c r="C616" s="167" t="str">
        <f>IFERROR(IF(VLOOKUP($B616,勘定科目!$A:$H,HLOOKUP($E$5,勘定科目!$F$1:$H$2,2,0),0)="","",VLOOKUP($B616,勘定科目!$A:$E,2,0)),"")</f>
        <v/>
      </c>
      <c r="D616" s="216" t="str">
        <f>IF(C616="","",VLOOKUP($B616,勘定科目!$A:$E,4,0))</f>
        <v/>
      </c>
      <c r="E616" s="222"/>
      <c r="F616" s="217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184">
        <f t="shared" si="16"/>
        <v>0</v>
      </c>
      <c r="S616" s="185"/>
      <c r="T616" s="186"/>
      <c r="U616" s="223"/>
      <c r="V616" s="223"/>
      <c r="W616" s="223"/>
    </row>
    <row r="617" spans="1:23" s="175" customFormat="1" ht="13" customHeight="1">
      <c r="A617" s="166"/>
      <c r="B617" s="163"/>
      <c r="C617" s="167" t="str">
        <f>IFERROR(IF(VLOOKUP($B617,勘定科目!$A:$H,HLOOKUP($E$5,勘定科目!$F$1:$H$2,2,0),0)="","",VLOOKUP($B617,勘定科目!$A:$E,2,0)),"")</f>
        <v/>
      </c>
      <c r="D617" s="216" t="str">
        <f>IF(C617="","",VLOOKUP($B617,勘定科目!$A:$E,4,0))</f>
        <v/>
      </c>
      <c r="E617" s="222"/>
      <c r="F617" s="217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184">
        <f t="shared" si="16"/>
        <v>0</v>
      </c>
      <c r="S617" s="185"/>
      <c r="T617" s="186"/>
      <c r="U617" s="223"/>
      <c r="V617" s="223"/>
      <c r="W617" s="223"/>
    </row>
    <row r="618" spans="1:23" s="175" customFormat="1" ht="13" customHeight="1">
      <c r="A618" s="166"/>
      <c r="B618" s="163"/>
      <c r="C618" s="167" t="str">
        <f>IFERROR(IF(VLOOKUP($B618,勘定科目!$A:$H,HLOOKUP($E$5,勘定科目!$F$1:$H$2,2,0),0)="","",VLOOKUP($B618,勘定科目!$A:$E,2,0)),"")</f>
        <v/>
      </c>
      <c r="D618" s="216" t="str">
        <f>IF(C618="","",VLOOKUP($B618,勘定科目!$A:$E,4,0))</f>
        <v/>
      </c>
      <c r="E618" s="222"/>
      <c r="F618" s="217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184">
        <f t="shared" si="16"/>
        <v>0</v>
      </c>
      <c r="S618" s="185"/>
      <c r="T618" s="186"/>
      <c r="U618" s="223"/>
      <c r="V618" s="223"/>
      <c r="W618" s="223"/>
    </row>
    <row r="619" spans="1:23" s="175" customFormat="1" ht="13" customHeight="1">
      <c r="A619" s="166"/>
      <c r="B619" s="163"/>
      <c r="C619" s="167" t="str">
        <f>IFERROR(IF(VLOOKUP($B619,勘定科目!$A:$H,HLOOKUP($E$5,勘定科目!$F$1:$H$2,2,0),0)="","",VLOOKUP($B619,勘定科目!$A:$E,2,0)),"")</f>
        <v/>
      </c>
      <c r="D619" s="216" t="str">
        <f>IF(C619="","",VLOOKUP($B619,勘定科目!$A:$E,4,0))</f>
        <v/>
      </c>
      <c r="E619" s="222"/>
      <c r="F619" s="217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184">
        <f t="shared" si="16"/>
        <v>0</v>
      </c>
      <c r="S619" s="185"/>
      <c r="T619" s="186"/>
      <c r="U619" s="223"/>
      <c r="V619" s="223"/>
      <c r="W619" s="223"/>
    </row>
    <row r="620" spans="1:23" s="175" customFormat="1" ht="13" customHeight="1">
      <c r="A620" s="166"/>
      <c r="B620" s="163"/>
      <c r="C620" s="167" t="str">
        <f>IFERROR(IF(VLOOKUP($B620,勘定科目!$A:$H,HLOOKUP($E$5,勘定科目!$F$1:$H$2,2,0),0)="","",VLOOKUP($B620,勘定科目!$A:$E,2,0)),"")</f>
        <v/>
      </c>
      <c r="D620" s="216" t="str">
        <f>IF(C620="","",VLOOKUP($B620,勘定科目!$A:$E,4,0))</f>
        <v/>
      </c>
      <c r="E620" s="222"/>
      <c r="F620" s="217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184">
        <f t="shared" si="16"/>
        <v>0</v>
      </c>
      <c r="S620" s="185"/>
      <c r="T620" s="186"/>
      <c r="U620" s="223"/>
      <c r="V620" s="223"/>
      <c r="W620" s="223"/>
    </row>
    <row r="621" spans="1:23" s="175" customFormat="1" ht="13" customHeight="1">
      <c r="A621" s="166"/>
      <c r="B621" s="163"/>
      <c r="C621" s="167" t="str">
        <f>IFERROR(IF(VLOOKUP($B621,勘定科目!$A:$H,HLOOKUP($E$5,勘定科目!$F$1:$H$2,2,0),0)="","",VLOOKUP($B621,勘定科目!$A:$E,2,0)),"")</f>
        <v/>
      </c>
      <c r="D621" s="216" t="str">
        <f>IF(C621="","",VLOOKUP($B621,勘定科目!$A:$E,4,0))</f>
        <v/>
      </c>
      <c r="E621" s="222"/>
      <c r="F621" s="217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184">
        <f t="shared" si="16"/>
        <v>0</v>
      </c>
      <c r="S621" s="185"/>
      <c r="T621" s="186"/>
      <c r="U621" s="223"/>
      <c r="V621" s="223"/>
      <c r="W621" s="223"/>
    </row>
    <row r="622" spans="1:23" s="175" customFormat="1" ht="13" customHeight="1">
      <c r="A622" s="166"/>
      <c r="B622" s="163"/>
      <c r="C622" s="167" t="str">
        <f>IFERROR(IF(VLOOKUP($B622,勘定科目!$A:$H,HLOOKUP($E$5,勘定科目!$F$1:$H$2,2,0),0)="","",VLOOKUP($B622,勘定科目!$A:$E,2,0)),"")</f>
        <v/>
      </c>
      <c r="D622" s="216" t="str">
        <f>IF(C622="","",VLOOKUP($B622,勘定科目!$A:$E,4,0))</f>
        <v/>
      </c>
      <c r="E622" s="222"/>
      <c r="F622" s="217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184">
        <f t="shared" si="16"/>
        <v>0</v>
      </c>
      <c r="S622" s="185"/>
      <c r="T622" s="186"/>
      <c r="U622" s="223"/>
      <c r="V622" s="223"/>
      <c r="W622" s="223"/>
    </row>
    <row r="623" spans="1:23" s="175" customFormat="1" ht="13" customHeight="1">
      <c r="A623" s="166"/>
      <c r="B623" s="163"/>
      <c r="C623" s="167" t="str">
        <f>IFERROR(IF(VLOOKUP($B623,勘定科目!$A:$H,HLOOKUP($E$5,勘定科目!$F$1:$H$2,2,0),0)="","",VLOOKUP($B623,勘定科目!$A:$E,2,0)),"")</f>
        <v/>
      </c>
      <c r="D623" s="216" t="str">
        <f>IF(C623="","",VLOOKUP($B623,勘定科目!$A:$E,4,0))</f>
        <v/>
      </c>
      <c r="E623" s="222"/>
      <c r="F623" s="217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184">
        <f t="shared" si="16"/>
        <v>0</v>
      </c>
      <c r="S623" s="185"/>
      <c r="T623" s="186"/>
      <c r="U623" s="223"/>
      <c r="V623" s="223"/>
      <c r="W623" s="223"/>
    </row>
    <row r="624" spans="1:23" s="175" customFormat="1" ht="13" customHeight="1">
      <c r="A624" s="166"/>
      <c r="B624" s="163"/>
      <c r="C624" s="167" t="str">
        <f>IFERROR(IF(VLOOKUP($B624,勘定科目!$A:$H,HLOOKUP($E$5,勘定科目!$F$1:$H$2,2,0),0)="","",VLOOKUP($B624,勘定科目!$A:$E,2,0)),"")</f>
        <v/>
      </c>
      <c r="D624" s="216" t="str">
        <f>IF(C624="","",VLOOKUP($B624,勘定科目!$A:$E,4,0))</f>
        <v/>
      </c>
      <c r="E624" s="222"/>
      <c r="F624" s="217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184">
        <f t="shared" si="16"/>
        <v>0</v>
      </c>
      <c r="S624" s="185"/>
      <c r="T624" s="186"/>
      <c r="U624" s="223"/>
      <c r="V624" s="223"/>
      <c r="W624" s="223"/>
    </row>
    <row r="625" spans="1:23" s="175" customFormat="1" ht="13" customHeight="1">
      <c r="A625" s="166"/>
      <c r="B625" s="163"/>
      <c r="C625" s="167" t="str">
        <f>IFERROR(IF(VLOOKUP($B625,勘定科目!$A:$H,HLOOKUP($E$5,勘定科目!$F$1:$H$2,2,0),0)="","",VLOOKUP($B625,勘定科目!$A:$E,2,0)),"")</f>
        <v/>
      </c>
      <c r="D625" s="216" t="str">
        <f>IF(C625="","",VLOOKUP($B625,勘定科目!$A:$E,4,0))</f>
        <v/>
      </c>
      <c r="E625" s="222"/>
      <c r="F625" s="217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184">
        <f t="shared" si="16"/>
        <v>0</v>
      </c>
      <c r="S625" s="185"/>
      <c r="T625" s="186"/>
      <c r="U625" s="223"/>
      <c r="V625" s="223"/>
      <c r="W625" s="223"/>
    </row>
    <row r="626" spans="1:23" s="175" customFormat="1" ht="13" customHeight="1">
      <c r="A626" s="166"/>
      <c r="B626" s="163"/>
      <c r="C626" s="167" t="str">
        <f>IFERROR(IF(VLOOKUP($B626,勘定科目!$A:$H,HLOOKUP($E$5,勘定科目!$F$1:$H$2,2,0),0)="","",VLOOKUP($B626,勘定科目!$A:$E,2,0)),"")</f>
        <v/>
      </c>
      <c r="D626" s="216" t="str">
        <f>IF(C626="","",VLOOKUP($B626,勘定科目!$A:$E,4,0))</f>
        <v/>
      </c>
      <c r="E626" s="222"/>
      <c r="F626" s="217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184">
        <f t="shared" si="16"/>
        <v>0</v>
      </c>
      <c r="S626" s="185"/>
      <c r="T626" s="186"/>
      <c r="U626" s="223"/>
      <c r="V626" s="223"/>
      <c r="W626" s="223"/>
    </row>
    <row r="627" spans="1:23" s="175" customFormat="1" ht="13" customHeight="1">
      <c r="A627" s="166"/>
      <c r="B627" s="163"/>
      <c r="C627" s="167" t="str">
        <f>IFERROR(IF(VLOOKUP($B627,勘定科目!$A:$H,HLOOKUP($E$5,勘定科目!$F$1:$H$2,2,0),0)="","",VLOOKUP($B627,勘定科目!$A:$E,2,0)),"")</f>
        <v/>
      </c>
      <c r="D627" s="216" t="str">
        <f>IF(C627="","",VLOOKUP($B627,勘定科目!$A:$E,4,0))</f>
        <v/>
      </c>
      <c r="E627" s="222"/>
      <c r="F627" s="217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184">
        <f t="shared" si="16"/>
        <v>0</v>
      </c>
      <c r="S627" s="185"/>
      <c r="T627" s="186"/>
      <c r="U627" s="223"/>
      <c r="V627" s="223"/>
      <c r="W627" s="223"/>
    </row>
    <row r="628" spans="1:23" s="175" customFormat="1" ht="13" customHeight="1">
      <c r="A628" s="166"/>
      <c r="B628" s="163"/>
      <c r="C628" s="167" t="str">
        <f>IFERROR(IF(VLOOKUP($B628,勘定科目!$A:$H,HLOOKUP($E$5,勘定科目!$F$1:$H$2,2,0),0)="","",VLOOKUP($B628,勘定科目!$A:$E,2,0)),"")</f>
        <v/>
      </c>
      <c r="D628" s="216" t="str">
        <f>IF(C628="","",VLOOKUP($B628,勘定科目!$A:$E,4,0))</f>
        <v/>
      </c>
      <c r="E628" s="222"/>
      <c r="F628" s="217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184">
        <f t="shared" si="16"/>
        <v>0</v>
      </c>
      <c r="S628" s="185"/>
      <c r="T628" s="186"/>
      <c r="U628" s="223"/>
      <c r="V628" s="223"/>
      <c r="W628" s="223"/>
    </row>
    <row r="629" spans="1:23" s="175" customFormat="1" ht="13" customHeight="1">
      <c r="A629" s="166"/>
      <c r="B629" s="163"/>
      <c r="C629" s="167" t="str">
        <f>IFERROR(IF(VLOOKUP($B629,勘定科目!$A:$H,HLOOKUP($E$5,勘定科目!$F$1:$H$2,2,0),0)="","",VLOOKUP($B629,勘定科目!$A:$E,2,0)),"")</f>
        <v/>
      </c>
      <c r="D629" s="216" t="str">
        <f>IF(C629="","",VLOOKUP($B629,勘定科目!$A:$E,4,0))</f>
        <v/>
      </c>
      <c r="E629" s="222"/>
      <c r="F629" s="217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184">
        <f t="shared" si="16"/>
        <v>0</v>
      </c>
      <c r="S629" s="185"/>
      <c r="T629" s="186"/>
      <c r="U629" s="223"/>
      <c r="V629" s="223"/>
      <c r="W629" s="223"/>
    </row>
    <row r="630" spans="1:23" s="175" customFormat="1" ht="13" customHeight="1">
      <c r="A630" s="166"/>
      <c r="B630" s="163"/>
      <c r="C630" s="167" t="str">
        <f>IFERROR(IF(VLOOKUP($B630,勘定科目!$A:$H,HLOOKUP($E$5,勘定科目!$F$1:$H$2,2,0),0)="","",VLOOKUP($B630,勘定科目!$A:$E,2,0)),"")</f>
        <v/>
      </c>
      <c r="D630" s="216" t="str">
        <f>IF(C630="","",VLOOKUP($B630,勘定科目!$A:$E,4,0))</f>
        <v/>
      </c>
      <c r="E630" s="222"/>
      <c r="F630" s="217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184">
        <f t="shared" si="16"/>
        <v>0</v>
      </c>
      <c r="S630" s="185"/>
      <c r="T630" s="186"/>
      <c r="U630" s="223"/>
      <c r="V630" s="223"/>
      <c r="W630" s="223"/>
    </row>
    <row r="631" spans="1:23" s="175" customFormat="1" ht="13" customHeight="1">
      <c r="A631" s="166"/>
      <c r="B631" s="163"/>
      <c r="C631" s="167" t="str">
        <f>IFERROR(IF(VLOOKUP($B631,勘定科目!$A:$H,HLOOKUP($E$5,勘定科目!$F$1:$H$2,2,0),0)="","",VLOOKUP($B631,勘定科目!$A:$E,2,0)),"")</f>
        <v/>
      </c>
      <c r="D631" s="216" t="str">
        <f>IF(C631="","",VLOOKUP($B631,勘定科目!$A:$E,4,0))</f>
        <v/>
      </c>
      <c r="E631" s="222"/>
      <c r="F631" s="217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184">
        <f t="shared" si="16"/>
        <v>0</v>
      </c>
      <c r="S631" s="185"/>
      <c r="T631" s="186"/>
      <c r="U631" s="223"/>
      <c r="V631" s="223"/>
      <c r="W631" s="223"/>
    </row>
    <row r="632" spans="1:23" s="175" customFormat="1" ht="13" customHeight="1">
      <c r="A632" s="166"/>
      <c r="B632" s="163"/>
      <c r="C632" s="167" t="str">
        <f>IFERROR(IF(VLOOKUP($B632,勘定科目!$A:$H,HLOOKUP($E$5,勘定科目!$F$1:$H$2,2,0),0)="","",VLOOKUP($B632,勘定科目!$A:$E,2,0)),"")</f>
        <v/>
      </c>
      <c r="D632" s="216" t="str">
        <f>IF(C632="","",VLOOKUP($B632,勘定科目!$A:$E,4,0))</f>
        <v/>
      </c>
      <c r="E632" s="222"/>
      <c r="F632" s="217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184">
        <f t="shared" si="16"/>
        <v>0</v>
      </c>
      <c r="S632" s="185"/>
      <c r="T632" s="186"/>
      <c r="U632" s="223"/>
      <c r="V632" s="223"/>
      <c r="W632" s="223"/>
    </row>
    <row r="633" spans="1:23" s="175" customFormat="1" ht="13" customHeight="1">
      <c r="A633" s="166"/>
      <c r="B633" s="163"/>
      <c r="C633" s="167" t="str">
        <f>IFERROR(IF(VLOOKUP($B633,勘定科目!$A:$H,HLOOKUP($E$5,勘定科目!$F$1:$H$2,2,0),0)="","",VLOOKUP($B633,勘定科目!$A:$E,2,0)),"")</f>
        <v/>
      </c>
      <c r="D633" s="216" t="str">
        <f>IF(C633="","",VLOOKUP($B633,勘定科目!$A:$E,4,0))</f>
        <v/>
      </c>
      <c r="E633" s="222"/>
      <c r="F633" s="217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184">
        <f t="shared" si="16"/>
        <v>0</v>
      </c>
      <c r="S633" s="185"/>
      <c r="T633" s="186"/>
      <c r="U633" s="223"/>
      <c r="V633" s="223"/>
      <c r="W633" s="223"/>
    </row>
    <row r="634" spans="1:23" s="175" customFormat="1" ht="13" customHeight="1">
      <c r="A634" s="166"/>
      <c r="B634" s="163"/>
      <c r="C634" s="167" t="str">
        <f>IFERROR(IF(VLOOKUP($B634,勘定科目!$A:$H,HLOOKUP($E$5,勘定科目!$F$1:$H$2,2,0),0)="","",VLOOKUP($B634,勘定科目!$A:$E,2,0)),"")</f>
        <v/>
      </c>
      <c r="D634" s="216" t="str">
        <f>IF(C634="","",VLOOKUP($B634,勘定科目!$A:$E,4,0))</f>
        <v/>
      </c>
      <c r="E634" s="222"/>
      <c r="F634" s="217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184">
        <f t="shared" si="16"/>
        <v>0</v>
      </c>
      <c r="S634" s="185"/>
      <c r="T634" s="186"/>
      <c r="U634" s="223"/>
      <c r="V634" s="223"/>
      <c r="W634" s="223"/>
    </row>
    <row r="635" spans="1:23" s="175" customFormat="1" ht="13" customHeight="1">
      <c r="A635" s="166"/>
      <c r="B635" s="163"/>
      <c r="C635" s="167" t="str">
        <f>IFERROR(IF(VLOOKUP($B635,勘定科目!$A:$H,HLOOKUP($E$5,勘定科目!$F$1:$H$2,2,0),0)="","",VLOOKUP($B635,勘定科目!$A:$E,2,0)),"")</f>
        <v/>
      </c>
      <c r="D635" s="216" t="str">
        <f>IF(C635="","",VLOOKUP($B635,勘定科目!$A:$E,4,0))</f>
        <v/>
      </c>
      <c r="E635" s="222"/>
      <c r="F635" s="217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184">
        <f t="shared" si="16"/>
        <v>0</v>
      </c>
      <c r="S635" s="185"/>
      <c r="T635" s="186"/>
      <c r="U635" s="223"/>
      <c r="V635" s="223"/>
      <c r="W635" s="223"/>
    </row>
    <row r="636" spans="1:23" s="175" customFormat="1" ht="13" customHeight="1">
      <c r="A636" s="166"/>
      <c r="B636" s="163"/>
      <c r="C636" s="167" t="str">
        <f>IFERROR(IF(VLOOKUP($B636,勘定科目!$A:$H,HLOOKUP($E$5,勘定科目!$F$1:$H$2,2,0),0)="","",VLOOKUP($B636,勘定科目!$A:$E,2,0)),"")</f>
        <v/>
      </c>
      <c r="D636" s="216" t="str">
        <f>IF(C636="","",VLOOKUP($B636,勘定科目!$A:$E,4,0))</f>
        <v/>
      </c>
      <c r="E636" s="222"/>
      <c r="F636" s="217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184">
        <f t="shared" si="16"/>
        <v>0</v>
      </c>
      <c r="S636" s="185"/>
      <c r="T636" s="186"/>
      <c r="U636" s="223"/>
      <c r="V636" s="223"/>
      <c r="W636" s="223"/>
    </row>
    <row r="637" spans="1:23" s="175" customFormat="1" ht="13" customHeight="1">
      <c r="A637" s="166"/>
      <c r="B637" s="163"/>
      <c r="C637" s="167" t="str">
        <f>IFERROR(IF(VLOOKUP($B637,勘定科目!$A:$H,HLOOKUP($E$5,勘定科目!$F$1:$H$2,2,0),0)="","",VLOOKUP($B637,勘定科目!$A:$E,2,0)),"")</f>
        <v/>
      </c>
      <c r="D637" s="216" t="str">
        <f>IF(C637="","",VLOOKUP($B637,勘定科目!$A:$E,4,0))</f>
        <v/>
      </c>
      <c r="E637" s="222"/>
      <c r="F637" s="217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184">
        <f t="shared" si="16"/>
        <v>0</v>
      </c>
      <c r="S637" s="185"/>
      <c r="T637" s="186"/>
      <c r="U637" s="223"/>
      <c r="V637" s="223"/>
      <c r="W637" s="223"/>
    </row>
    <row r="638" spans="1:23" s="175" customFormat="1" ht="13" customHeight="1">
      <c r="A638" s="166"/>
      <c r="B638" s="163"/>
      <c r="C638" s="167" t="str">
        <f>IFERROR(IF(VLOOKUP($B638,勘定科目!$A:$H,HLOOKUP($E$5,勘定科目!$F$1:$H$2,2,0),0)="","",VLOOKUP($B638,勘定科目!$A:$E,2,0)),"")</f>
        <v/>
      </c>
      <c r="D638" s="216" t="str">
        <f>IF(C638="","",VLOOKUP($B638,勘定科目!$A:$E,4,0))</f>
        <v/>
      </c>
      <c r="E638" s="222"/>
      <c r="F638" s="217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184">
        <f t="shared" si="16"/>
        <v>0</v>
      </c>
      <c r="S638" s="185"/>
      <c r="T638" s="186"/>
      <c r="U638" s="223"/>
      <c r="V638" s="223"/>
      <c r="W638" s="223"/>
    </row>
    <row r="639" spans="1:23" s="175" customFormat="1" ht="13" customHeight="1">
      <c r="A639" s="166"/>
      <c r="B639" s="163"/>
      <c r="C639" s="167" t="str">
        <f>IFERROR(IF(VLOOKUP($B639,勘定科目!$A:$H,HLOOKUP($E$5,勘定科目!$F$1:$H$2,2,0),0)="","",VLOOKUP($B639,勘定科目!$A:$E,2,0)),"")</f>
        <v/>
      </c>
      <c r="D639" s="216" t="str">
        <f>IF(C639="","",VLOOKUP($B639,勘定科目!$A:$E,4,0))</f>
        <v/>
      </c>
      <c r="E639" s="222"/>
      <c r="F639" s="217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184">
        <f t="shared" si="16"/>
        <v>0</v>
      </c>
      <c r="S639" s="185"/>
      <c r="T639" s="186"/>
      <c r="U639" s="223"/>
      <c r="V639" s="223"/>
      <c r="W639" s="223"/>
    </row>
    <row r="640" spans="1:23" s="175" customFormat="1" ht="13" customHeight="1">
      <c r="A640" s="166"/>
      <c r="B640" s="163"/>
      <c r="C640" s="167" t="str">
        <f>IFERROR(IF(VLOOKUP($B640,勘定科目!$A:$H,HLOOKUP($E$5,勘定科目!$F$1:$H$2,2,0),0)="","",VLOOKUP($B640,勘定科目!$A:$E,2,0)),"")</f>
        <v/>
      </c>
      <c r="D640" s="216" t="str">
        <f>IF(C640="","",VLOOKUP($B640,勘定科目!$A:$E,4,0))</f>
        <v/>
      </c>
      <c r="E640" s="222"/>
      <c r="F640" s="217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184">
        <f t="shared" si="16"/>
        <v>0</v>
      </c>
      <c r="S640" s="185"/>
      <c r="T640" s="186"/>
      <c r="U640" s="223"/>
      <c r="V640" s="223"/>
      <c r="W640" s="223"/>
    </row>
    <row r="641" spans="1:23" s="175" customFormat="1" ht="13" customHeight="1">
      <c r="A641" s="166"/>
      <c r="B641" s="163"/>
      <c r="C641" s="167" t="str">
        <f>IFERROR(IF(VLOOKUP($B641,勘定科目!$A:$H,HLOOKUP($E$5,勘定科目!$F$1:$H$2,2,0),0)="","",VLOOKUP($B641,勘定科目!$A:$E,2,0)),"")</f>
        <v/>
      </c>
      <c r="D641" s="216" t="str">
        <f>IF(C641="","",VLOOKUP($B641,勘定科目!$A:$E,4,0))</f>
        <v/>
      </c>
      <c r="E641" s="222"/>
      <c r="F641" s="217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184">
        <f t="shared" si="16"/>
        <v>0</v>
      </c>
      <c r="S641" s="185"/>
      <c r="T641" s="186"/>
      <c r="U641" s="223"/>
      <c r="V641" s="223"/>
      <c r="W641" s="223"/>
    </row>
    <row r="642" spans="1:23" s="175" customFormat="1" ht="13" customHeight="1">
      <c r="A642" s="166"/>
      <c r="B642" s="163"/>
      <c r="C642" s="167" t="str">
        <f>IFERROR(IF(VLOOKUP($B642,勘定科目!$A:$H,HLOOKUP($E$5,勘定科目!$F$1:$H$2,2,0),0)="","",VLOOKUP($B642,勘定科目!$A:$E,2,0)),"")</f>
        <v/>
      </c>
      <c r="D642" s="216" t="str">
        <f>IF(C642="","",VLOOKUP($B642,勘定科目!$A:$E,4,0))</f>
        <v/>
      </c>
      <c r="E642" s="222"/>
      <c r="F642" s="217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184">
        <f t="shared" si="16"/>
        <v>0</v>
      </c>
      <c r="S642" s="185"/>
      <c r="T642" s="186"/>
      <c r="U642" s="223"/>
      <c r="V642" s="223"/>
      <c r="W642" s="223"/>
    </row>
    <row r="643" spans="1:23" s="175" customFormat="1" ht="13" customHeight="1">
      <c r="A643" s="166"/>
      <c r="B643" s="163"/>
      <c r="C643" s="167" t="str">
        <f>IFERROR(IF(VLOOKUP($B643,勘定科目!$A:$H,HLOOKUP($E$5,勘定科目!$F$1:$H$2,2,0),0)="","",VLOOKUP($B643,勘定科目!$A:$E,2,0)),"")</f>
        <v/>
      </c>
      <c r="D643" s="216" t="str">
        <f>IF(C643="","",VLOOKUP($B643,勘定科目!$A:$E,4,0))</f>
        <v/>
      </c>
      <c r="E643" s="222"/>
      <c r="F643" s="217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184">
        <f t="shared" si="16"/>
        <v>0</v>
      </c>
      <c r="S643" s="185"/>
      <c r="T643" s="186"/>
      <c r="U643" s="223"/>
      <c r="V643" s="223"/>
      <c r="W643" s="223"/>
    </row>
    <row r="644" spans="1:23" s="175" customFormat="1" ht="13" customHeight="1">
      <c r="A644" s="166"/>
      <c r="B644" s="163"/>
      <c r="C644" s="167" t="str">
        <f>IFERROR(IF(VLOOKUP($B644,勘定科目!$A:$H,HLOOKUP($E$5,勘定科目!$F$1:$H$2,2,0),0)="","",VLOOKUP($B644,勘定科目!$A:$E,2,0)),"")</f>
        <v/>
      </c>
      <c r="D644" s="216" t="str">
        <f>IF(C644="","",VLOOKUP($B644,勘定科目!$A:$E,4,0))</f>
        <v/>
      </c>
      <c r="E644" s="222"/>
      <c r="F644" s="217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184">
        <f t="shared" si="16"/>
        <v>0</v>
      </c>
      <c r="S644" s="185"/>
      <c r="T644" s="186"/>
      <c r="U644" s="223"/>
      <c r="V644" s="223"/>
      <c r="W644" s="223"/>
    </row>
    <row r="645" spans="1:23" s="175" customFormat="1" ht="13" customHeight="1">
      <c r="A645" s="166"/>
      <c r="B645" s="163"/>
      <c r="C645" s="167" t="str">
        <f>IFERROR(IF(VLOOKUP($B645,勘定科目!$A:$H,HLOOKUP($E$5,勘定科目!$F$1:$H$2,2,0),0)="","",VLOOKUP($B645,勘定科目!$A:$E,2,0)),"")</f>
        <v/>
      </c>
      <c r="D645" s="216" t="str">
        <f>IF(C645="","",VLOOKUP($B645,勘定科目!$A:$E,4,0))</f>
        <v/>
      </c>
      <c r="E645" s="222"/>
      <c r="F645" s="217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184">
        <f t="shared" si="16"/>
        <v>0</v>
      </c>
      <c r="S645" s="185"/>
      <c r="T645" s="186"/>
      <c r="U645" s="223"/>
      <c r="V645" s="223"/>
      <c r="W645" s="223"/>
    </row>
    <row r="646" spans="1:23" s="175" customFormat="1" ht="13" customHeight="1">
      <c r="A646" s="166"/>
      <c r="B646" s="163"/>
      <c r="C646" s="167" t="str">
        <f>IFERROR(IF(VLOOKUP($B646,勘定科目!$A:$H,HLOOKUP($E$5,勘定科目!$F$1:$H$2,2,0),0)="","",VLOOKUP($B646,勘定科目!$A:$E,2,0)),"")</f>
        <v/>
      </c>
      <c r="D646" s="216" t="str">
        <f>IF(C646="","",VLOOKUP($B646,勘定科目!$A:$E,4,0))</f>
        <v/>
      </c>
      <c r="E646" s="222"/>
      <c r="F646" s="217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184">
        <f t="shared" si="16"/>
        <v>0</v>
      </c>
      <c r="S646" s="185"/>
      <c r="T646" s="186"/>
      <c r="U646" s="223"/>
      <c r="V646" s="223"/>
      <c r="W646" s="223"/>
    </row>
    <row r="647" spans="1:23" s="175" customFormat="1" ht="13" customHeight="1">
      <c r="A647" s="166"/>
      <c r="B647" s="163"/>
      <c r="C647" s="167" t="str">
        <f>IFERROR(IF(VLOOKUP($B647,勘定科目!$A:$H,HLOOKUP($E$5,勘定科目!$F$1:$H$2,2,0),0)="","",VLOOKUP($B647,勘定科目!$A:$E,2,0)),"")</f>
        <v/>
      </c>
      <c r="D647" s="216" t="str">
        <f>IF(C647="","",VLOOKUP($B647,勘定科目!$A:$E,4,0))</f>
        <v/>
      </c>
      <c r="E647" s="222"/>
      <c r="F647" s="217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184">
        <f t="shared" si="16"/>
        <v>0</v>
      </c>
      <c r="S647" s="185"/>
      <c r="T647" s="186"/>
      <c r="U647" s="223"/>
      <c r="V647" s="223"/>
      <c r="W647" s="223"/>
    </row>
    <row r="648" spans="1:23" s="175" customFormat="1" ht="13" customHeight="1">
      <c r="A648" s="166"/>
      <c r="B648" s="163"/>
      <c r="C648" s="167" t="str">
        <f>IFERROR(IF(VLOOKUP($B648,勘定科目!$A:$H,HLOOKUP($E$5,勘定科目!$F$1:$H$2,2,0),0)="","",VLOOKUP($B648,勘定科目!$A:$E,2,0)),"")</f>
        <v/>
      </c>
      <c r="D648" s="216" t="str">
        <f>IF(C648="","",VLOOKUP($B648,勘定科目!$A:$E,4,0))</f>
        <v/>
      </c>
      <c r="E648" s="222"/>
      <c r="F648" s="217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184">
        <f t="shared" si="16"/>
        <v>0</v>
      </c>
      <c r="S648" s="185"/>
      <c r="T648" s="186"/>
      <c r="U648" s="223"/>
      <c r="V648" s="223"/>
      <c r="W648" s="223"/>
    </row>
    <row r="649" spans="1:23" s="175" customFormat="1" ht="13" customHeight="1">
      <c r="A649" s="166"/>
      <c r="B649" s="163"/>
      <c r="C649" s="167" t="str">
        <f>IFERROR(IF(VLOOKUP($B649,勘定科目!$A:$H,HLOOKUP($E$5,勘定科目!$F$1:$H$2,2,0),0)="","",VLOOKUP($B649,勘定科目!$A:$E,2,0)),"")</f>
        <v/>
      </c>
      <c r="D649" s="216" t="str">
        <f>IF(C649="","",VLOOKUP($B649,勘定科目!$A:$E,4,0))</f>
        <v/>
      </c>
      <c r="E649" s="222"/>
      <c r="F649" s="217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184">
        <f t="shared" si="16"/>
        <v>0</v>
      </c>
      <c r="S649" s="185"/>
      <c r="T649" s="186"/>
      <c r="U649" s="223"/>
      <c r="V649" s="223"/>
      <c r="W649" s="223"/>
    </row>
    <row r="650" spans="1:23" s="175" customFormat="1" ht="13" customHeight="1">
      <c r="A650" s="166"/>
      <c r="B650" s="163"/>
      <c r="C650" s="167" t="str">
        <f>IFERROR(IF(VLOOKUP($B650,勘定科目!$A:$H,HLOOKUP($E$5,勘定科目!$F$1:$H$2,2,0),0)="","",VLOOKUP($B650,勘定科目!$A:$E,2,0)),"")</f>
        <v/>
      </c>
      <c r="D650" s="216" t="str">
        <f>IF(C650="","",VLOOKUP($B650,勘定科目!$A:$E,4,0))</f>
        <v/>
      </c>
      <c r="E650" s="222"/>
      <c r="F650" s="217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184">
        <f t="shared" si="16"/>
        <v>0</v>
      </c>
      <c r="S650" s="185"/>
      <c r="T650" s="186"/>
      <c r="U650" s="223"/>
      <c r="V650" s="223"/>
      <c r="W650" s="223"/>
    </row>
    <row r="651" spans="1:23" s="175" customFormat="1" ht="13" customHeight="1">
      <c r="A651" s="166"/>
      <c r="B651" s="163"/>
      <c r="C651" s="167" t="str">
        <f>IFERROR(IF(VLOOKUP($B651,勘定科目!$A:$H,HLOOKUP($E$5,勘定科目!$F$1:$H$2,2,0),0)="","",VLOOKUP($B651,勘定科目!$A:$E,2,0)),"")</f>
        <v/>
      </c>
      <c r="D651" s="216" t="str">
        <f>IF(C651="","",VLOOKUP($B651,勘定科目!$A:$E,4,0))</f>
        <v/>
      </c>
      <c r="E651" s="222"/>
      <c r="F651" s="217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184">
        <f t="shared" si="16"/>
        <v>0</v>
      </c>
      <c r="S651" s="185"/>
      <c r="T651" s="186"/>
      <c r="U651" s="223"/>
      <c r="V651" s="223"/>
      <c r="W651" s="223"/>
    </row>
    <row r="652" spans="1:23" s="175" customFormat="1" ht="13" customHeight="1">
      <c r="A652" s="166"/>
      <c r="B652" s="163"/>
      <c r="C652" s="167" t="str">
        <f>IFERROR(IF(VLOOKUP($B652,勘定科目!$A:$H,HLOOKUP($E$5,勘定科目!$F$1:$H$2,2,0),0)="","",VLOOKUP($B652,勘定科目!$A:$E,2,0)),"")</f>
        <v/>
      </c>
      <c r="D652" s="216" t="str">
        <f>IF(C652="","",VLOOKUP($B652,勘定科目!$A:$E,4,0))</f>
        <v/>
      </c>
      <c r="E652" s="222"/>
      <c r="F652" s="217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184">
        <f t="shared" si="16"/>
        <v>0</v>
      </c>
      <c r="S652" s="185"/>
      <c r="T652" s="186"/>
      <c r="U652" s="223"/>
      <c r="V652" s="223"/>
      <c r="W652" s="223"/>
    </row>
    <row r="653" spans="1:23" s="175" customFormat="1" ht="13" customHeight="1">
      <c r="A653" s="166"/>
      <c r="B653" s="163"/>
      <c r="C653" s="167" t="str">
        <f>IFERROR(IF(VLOOKUP($B653,勘定科目!$A:$H,HLOOKUP($E$5,勘定科目!$F$1:$H$2,2,0),0)="","",VLOOKUP($B653,勘定科目!$A:$E,2,0)),"")</f>
        <v/>
      </c>
      <c r="D653" s="216" t="str">
        <f>IF(C653="","",VLOOKUP($B653,勘定科目!$A:$E,4,0))</f>
        <v/>
      </c>
      <c r="E653" s="222"/>
      <c r="F653" s="217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184">
        <f t="shared" si="16"/>
        <v>0</v>
      </c>
      <c r="S653" s="185"/>
      <c r="T653" s="186"/>
      <c r="U653" s="223"/>
      <c r="V653" s="223"/>
      <c r="W653" s="223"/>
    </row>
    <row r="654" spans="1:23" s="175" customFormat="1" ht="13" customHeight="1">
      <c r="A654" s="166"/>
      <c r="B654" s="163"/>
      <c r="C654" s="167" t="str">
        <f>IFERROR(IF(VLOOKUP($B654,勘定科目!$A:$H,HLOOKUP($E$5,勘定科目!$F$1:$H$2,2,0),0)="","",VLOOKUP($B654,勘定科目!$A:$E,2,0)),"")</f>
        <v/>
      </c>
      <c r="D654" s="216" t="str">
        <f>IF(C654="","",VLOOKUP($B654,勘定科目!$A:$E,4,0))</f>
        <v/>
      </c>
      <c r="E654" s="222"/>
      <c r="F654" s="217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184">
        <f t="shared" si="16"/>
        <v>0</v>
      </c>
      <c r="S654" s="185"/>
      <c r="T654" s="186"/>
      <c r="U654" s="223"/>
      <c r="V654" s="223"/>
      <c r="W654" s="223"/>
    </row>
    <row r="655" spans="1:23" s="175" customFormat="1" ht="13" customHeight="1">
      <c r="A655" s="166"/>
      <c r="B655" s="163"/>
      <c r="C655" s="167" t="str">
        <f>IFERROR(IF(VLOOKUP($B655,勘定科目!$A:$H,HLOOKUP($E$5,勘定科目!$F$1:$H$2,2,0),0)="","",VLOOKUP($B655,勘定科目!$A:$E,2,0)),"")</f>
        <v/>
      </c>
      <c r="D655" s="216" t="str">
        <f>IF(C655="","",VLOOKUP($B655,勘定科目!$A:$E,4,0))</f>
        <v/>
      </c>
      <c r="E655" s="222"/>
      <c r="F655" s="217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184">
        <f t="shared" si="16"/>
        <v>0</v>
      </c>
      <c r="S655" s="185"/>
      <c r="T655" s="186"/>
      <c r="U655" s="223"/>
      <c r="V655" s="223"/>
      <c r="W655" s="223"/>
    </row>
    <row r="656" spans="1:23" s="175" customFormat="1" ht="13" customHeight="1">
      <c r="A656" s="166"/>
      <c r="B656" s="163"/>
      <c r="C656" s="167" t="str">
        <f>IFERROR(IF(VLOOKUP($B656,勘定科目!$A:$H,HLOOKUP($E$5,勘定科目!$F$1:$H$2,2,0),0)="","",VLOOKUP($B656,勘定科目!$A:$E,2,0)),"")</f>
        <v/>
      </c>
      <c r="D656" s="216" t="str">
        <f>IF(C656="","",VLOOKUP($B656,勘定科目!$A:$E,4,0))</f>
        <v/>
      </c>
      <c r="E656" s="222"/>
      <c r="F656" s="217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184">
        <f t="shared" si="16"/>
        <v>0</v>
      </c>
      <c r="S656" s="185"/>
      <c r="T656" s="186"/>
      <c r="U656" s="223"/>
      <c r="V656" s="223"/>
      <c r="W656" s="223"/>
    </row>
    <row r="657" spans="1:23" s="175" customFormat="1" ht="13" customHeight="1">
      <c r="A657" s="166"/>
      <c r="B657" s="163"/>
      <c r="C657" s="167" t="str">
        <f>IFERROR(IF(VLOOKUP($B657,勘定科目!$A:$H,HLOOKUP($E$5,勘定科目!$F$1:$H$2,2,0),0)="","",VLOOKUP($B657,勘定科目!$A:$E,2,0)),"")</f>
        <v/>
      </c>
      <c r="D657" s="216" t="str">
        <f>IF(C657="","",VLOOKUP($B657,勘定科目!$A:$E,4,0))</f>
        <v/>
      </c>
      <c r="E657" s="222"/>
      <c r="F657" s="217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184">
        <f t="shared" si="16"/>
        <v>0</v>
      </c>
      <c r="S657" s="185"/>
      <c r="T657" s="186"/>
      <c r="U657" s="223"/>
      <c r="V657" s="223"/>
      <c r="W657" s="223"/>
    </row>
    <row r="658" spans="1:23" s="175" customFormat="1" ht="13" customHeight="1">
      <c r="A658" s="166"/>
      <c r="B658" s="163"/>
      <c r="C658" s="167" t="str">
        <f>IFERROR(IF(VLOOKUP($B658,勘定科目!$A:$H,HLOOKUP($E$5,勘定科目!$F$1:$H$2,2,0),0)="","",VLOOKUP($B658,勘定科目!$A:$E,2,0)),"")</f>
        <v/>
      </c>
      <c r="D658" s="216" t="str">
        <f>IF(C658="","",VLOOKUP($B658,勘定科目!$A:$E,4,0))</f>
        <v/>
      </c>
      <c r="E658" s="222"/>
      <c r="F658" s="217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184">
        <f t="shared" si="16"/>
        <v>0</v>
      </c>
      <c r="S658" s="185"/>
      <c r="T658" s="186"/>
      <c r="U658" s="223"/>
      <c r="V658" s="223"/>
      <c r="W658" s="223"/>
    </row>
    <row r="659" spans="1:23" s="175" customFormat="1" ht="13" customHeight="1">
      <c r="A659" s="166"/>
      <c r="B659" s="163"/>
      <c r="C659" s="167" t="str">
        <f>IFERROR(IF(VLOOKUP($B659,勘定科目!$A:$H,HLOOKUP($E$5,勘定科目!$F$1:$H$2,2,0),0)="","",VLOOKUP($B659,勘定科目!$A:$E,2,0)),"")</f>
        <v/>
      </c>
      <c r="D659" s="216" t="str">
        <f>IF(C659="","",VLOOKUP($B659,勘定科目!$A:$E,4,0))</f>
        <v/>
      </c>
      <c r="E659" s="222"/>
      <c r="F659" s="217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184">
        <f t="shared" si="16"/>
        <v>0</v>
      </c>
      <c r="S659" s="185"/>
      <c r="T659" s="186"/>
      <c r="U659" s="223"/>
      <c r="V659" s="223"/>
      <c r="W659" s="223"/>
    </row>
    <row r="660" spans="1:23" s="175" customFormat="1" ht="13" customHeight="1">
      <c r="A660" s="166"/>
      <c r="B660" s="163"/>
      <c r="C660" s="167" t="str">
        <f>IFERROR(IF(VLOOKUP($B660,勘定科目!$A:$H,HLOOKUP($E$5,勘定科目!$F$1:$H$2,2,0),0)="","",VLOOKUP($B660,勘定科目!$A:$E,2,0)),"")</f>
        <v/>
      </c>
      <c r="D660" s="216" t="str">
        <f>IF(C660="","",VLOOKUP($B660,勘定科目!$A:$E,4,0))</f>
        <v/>
      </c>
      <c r="E660" s="222"/>
      <c r="F660" s="217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184">
        <f t="shared" si="16"/>
        <v>0</v>
      </c>
      <c r="S660" s="185"/>
      <c r="T660" s="186"/>
      <c r="U660" s="223"/>
      <c r="V660" s="223"/>
      <c r="W660" s="223"/>
    </row>
    <row r="661" spans="1:23" s="175" customFormat="1" ht="13" customHeight="1">
      <c r="A661" s="166"/>
      <c r="B661" s="163"/>
      <c r="C661" s="167" t="str">
        <f>IFERROR(IF(VLOOKUP($B661,勘定科目!$A:$H,HLOOKUP($E$5,勘定科目!$F$1:$H$2,2,0),0)="","",VLOOKUP($B661,勘定科目!$A:$E,2,0)),"")</f>
        <v/>
      </c>
      <c r="D661" s="216" t="str">
        <f>IF(C661="","",VLOOKUP($B661,勘定科目!$A:$E,4,0))</f>
        <v/>
      </c>
      <c r="E661" s="222"/>
      <c r="F661" s="217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184">
        <f t="shared" si="16"/>
        <v>0</v>
      </c>
      <c r="S661" s="185"/>
      <c r="T661" s="186"/>
      <c r="U661" s="223"/>
      <c r="V661" s="223"/>
      <c r="W661" s="223"/>
    </row>
    <row r="662" spans="1:23" s="175" customFormat="1" ht="13" customHeight="1">
      <c r="A662" s="166"/>
      <c r="B662" s="163"/>
      <c r="C662" s="167" t="str">
        <f>IFERROR(IF(VLOOKUP($B662,勘定科目!$A:$H,HLOOKUP($E$5,勘定科目!$F$1:$H$2,2,0),0)="","",VLOOKUP($B662,勘定科目!$A:$E,2,0)),"")</f>
        <v/>
      </c>
      <c r="D662" s="216" t="str">
        <f>IF(C662="","",VLOOKUP($B662,勘定科目!$A:$E,4,0))</f>
        <v/>
      </c>
      <c r="E662" s="222"/>
      <c r="F662" s="217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184">
        <f t="shared" si="16"/>
        <v>0</v>
      </c>
      <c r="S662" s="185"/>
      <c r="T662" s="186"/>
      <c r="U662" s="223"/>
      <c r="V662" s="223"/>
      <c r="W662" s="223"/>
    </row>
    <row r="663" spans="1:23" s="175" customFormat="1" ht="13" customHeight="1">
      <c r="A663" s="166"/>
      <c r="B663" s="163"/>
      <c r="C663" s="167" t="str">
        <f>IFERROR(IF(VLOOKUP($B663,勘定科目!$A:$H,HLOOKUP($E$5,勘定科目!$F$1:$H$2,2,0),0)="","",VLOOKUP($B663,勘定科目!$A:$E,2,0)),"")</f>
        <v/>
      </c>
      <c r="D663" s="216" t="str">
        <f>IF(C663="","",VLOOKUP($B663,勘定科目!$A:$E,4,0))</f>
        <v/>
      </c>
      <c r="E663" s="222"/>
      <c r="F663" s="217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184">
        <f t="shared" si="16"/>
        <v>0</v>
      </c>
      <c r="S663" s="185"/>
      <c r="T663" s="186"/>
      <c r="U663" s="223"/>
      <c r="V663" s="223"/>
      <c r="W663" s="223"/>
    </row>
    <row r="664" spans="1:23" s="175" customFormat="1" ht="13" customHeight="1">
      <c r="A664" s="166"/>
      <c r="B664" s="163"/>
      <c r="C664" s="167" t="str">
        <f>IFERROR(IF(VLOOKUP($B664,勘定科目!$A:$H,HLOOKUP($E$5,勘定科目!$F$1:$H$2,2,0),0)="","",VLOOKUP($B664,勘定科目!$A:$E,2,0)),"")</f>
        <v/>
      </c>
      <c r="D664" s="216" t="str">
        <f>IF(C664="","",VLOOKUP($B664,勘定科目!$A:$E,4,0))</f>
        <v/>
      </c>
      <c r="E664" s="222"/>
      <c r="F664" s="217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184">
        <f t="shared" si="16"/>
        <v>0</v>
      </c>
      <c r="S664" s="185"/>
      <c r="T664" s="186"/>
      <c r="U664" s="223"/>
      <c r="V664" s="223"/>
      <c r="W664" s="223"/>
    </row>
    <row r="665" spans="1:23" s="175" customFormat="1" ht="13" customHeight="1">
      <c r="A665" s="166"/>
      <c r="B665" s="163"/>
      <c r="C665" s="167" t="str">
        <f>IFERROR(IF(VLOOKUP($B665,勘定科目!$A:$H,HLOOKUP($E$5,勘定科目!$F$1:$H$2,2,0),0)="","",VLOOKUP($B665,勘定科目!$A:$E,2,0)),"")</f>
        <v/>
      </c>
      <c r="D665" s="216" t="str">
        <f>IF(C665="","",VLOOKUP($B665,勘定科目!$A:$E,4,0))</f>
        <v/>
      </c>
      <c r="E665" s="222"/>
      <c r="F665" s="217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184">
        <f t="shared" si="16"/>
        <v>0</v>
      </c>
      <c r="S665" s="185"/>
      <c r="T665" s="186"/>
      <c r="U665" s="223"/>
      <c r="V665" s="223"/>
      <c r="W665" s="223"/>
    </row>
    <row r="666" spans="1:23" s="175" customFormat="1" ht="13" customHeight="1">
      <c r="A666" s="166"/>
      <c r="B666" s="163"/>
      <c r="C666" s="167" t="str">
        <f>IFERROR(IF(VLOOKUP($B666,勘定科目!$A:$H,HLOOKUP($E$5,勘定科目!$F$1:$H$2,2,0),0)="","",VLOOKUP($B666,勘定科目!$A:$E,2,0)),"")</f>
        <v/>
      </c>
      <c r="D666" s="216" t="str">
        <f>IF(C666="","",VLOOKUP($B666,勘定科目!$A:$E,4,0))</f>
        <v/>
      </c>
      <c r="E666" s="222"/>
      <c r="F666" s="217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184">
        <f t="shared" ref="R666:R729" si="17">SUM(F666:Q666)</f>
        <v>0</v>
      </c>
      <c r="S666" s="185"/>
      <c r="T666" s="186"/>
      <c r="U666" s="223"/>
      <c r="V666" s="223"/>
      <c r="W666" s="223"/>
    </row>
    <row r="667" spans="1:23" s="175" customFormat="1" ht="13" customHeight="1">
      <c r="A667" s="166"/>
      <c r="B667" s="163"/>
      <c r="C667" s="167" t="str">
        <f>IFERROR(IF(VLOOKUP($B667,勘定科目!$A:$H,HLOOKUP($E$5,勘定科目!$F$1:$H$2,2,0),0)="","",VLOOKUP($B667,勘定科目!$A:$E,2,0)),"")</f>
        <v/>
      </c>
      <c r="D667" s="216" t="str">
        <f>IF(C667="","",VLOOKUP($B667,勘定科目!$A:$E,4,0))</f>
        <v/>
      </c>
      <c r="E667" s="222"/>
      <c r="F667" s="217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184">
        <f t="shared" si="17"/>
        <v>0</v>
      </c>
      <c r="S667" s="185"/>
      <c r="T667" s="186"/>
      <c r="U667" s="223"/>
      <c r="V667" s="223"/>
      <c r="W667" s="223"/>
    </row>
    <row r="668" spans="1:23" s="175" customFormat="1" ht="13" customHeight="1">
      <c r="A668" s="166"/>
      <c r="B668" s="163"/>
      <c r="C668" s="167" t="str">
        <f>IFERROR(IF(VLOOKUP($B668,勘定科目!$A:$H,HLOOKUP($E$5,勘定科目!$F$1:$H$2,2,0),0)="","",VLOOKUP($B668,勘定科目!$A:$E,2,0)),"")</f>
        <v/>
      </c>
      <c r="D668" s="216" t="str">
        <f>IF(C668="","",VLOOKUP($B668,勘定科目!$A:$E,4,0))</f>
        <v/>
      </c>
      <c r="E668" s="222"/>
      <c r="F668" s="217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184">
        <f t="shared" si="17"/>
        <v>0</v>
      </c>
      <c r="S668" s="185"/>
      <c r="T668" s="186"/>
      <c r="U668" s="223"/>
      <c r="V668" s="223"/>
      <c r="W668" s="223"/>
    </row>
    <row r="669" spans="1:23" s="175" customFormat="1" ht="13" customHeight="1">
      <c r="A669" s="166"/>
      <c r="B669" s="163"/>
      <c r="C669" s="167" t="str">
        <f>IFERROR(IF(VLOOKUP($B669,勘定科目!$A:$H,HLOOKUP($E$5,勘定科目!$F$1:$H$2,2,0),0)="","",VLOOKUP($B669,勘定科目!$A:$E,2,0)),"")</f>
        <v/>
      </c>
      <c r="D669" s="216" t="str">
        <f>IF(C669="","",VLOOKUP($B669,勘定科目!$A:$E,4,0))</f>
        <v/>
      </c>
      <c r="E669" s="222"/>
      <c r="F669" s="217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184">
        <f t="shared" si="17"/>
        <v>0</v>
      </c>
      <c r="S669" s="185"/>
      <c r="T669" s="186"/>
      <c r="U669" s="223"/>
      <c r="V669" s="223"/>
      <c r="W669" s="223"/>
    </row>
    <row r="670" spans="1:23" s="175" customFormat="1" ht="13" customHeight="1">
      <c r="A670" s="166"/>
      <c r="B670" s="163"/>
      <c r="C670" s="167" t="str">
        <f>IFERROR(IF(VLOOKUP($B670,勘定科目!$A:$H,HLOOKUP($E$5,勘定科目!$F$1:$H$2,2,0),0)="","",VLOOKUP($B670,勘定科目!$A:$E,2,0)),"")</f>
        <v/>
      </c>
      <c r="D670" s="216" t="str">
        <f>IF(C670="","",VLOOKUP($B670,勘定科目!$A:$E,4,0))</f>
        <v/>
      </c>
      <c r="E670" s="222"/>
      <c r="F670" s="217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184">
        <f t="shared" si="17"/>
        <v>0</v>
      </c>
      <c r="S670" s="185"/>
      <c r="T670" s="186"/>
      <c r="U670" s="223"/>
      <c r="V670" s="223"/>
      <c r="W670" s="223"/>
    </row>
    <row r="671" spans="1:23" s="175" customFormat="1" ht="13" customHeight="1">
      <c r="A671" s="166"/>
      <c r="B671" s="163"/>
      <c r="C671" s="167" t="str">
        <f>IFERROR(IF(VLOOKUP($B671,勘定科目!$A:$H,HLOOKUP($E$5,勘定科目!$F$1:$H$2,2,0),0)="","",VLOOKUP($B671,勘定科目!$A:$E,2,0)),"")</f>
        <v/>
      </c>
      <c r="D671" s="216" t="str">
        <f>IF(C671="","",VLOOKUP($B671,勘定科目!$A:$E,4,0))</f>
        <v/>
      </c>
      <c r="E671" s="222"/>
      <c r="F671" s="217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184">
        <f t="shared" si="17"/>
        <v>0</v>
      </c>
      <c r="S671" s="185"/>
      <c r="T671" s="186"/>
      <c r="U671" s="223"/>
      <c r="V671" s="223"/>
      <c r="W671" s="223"/>
    </row>
    <row r="672" spans="1:23" s="175" customFormat="1" ht="13" customHeight="1">
      <c r="A672" s="166"/>
      <c r="B672" s="163"/>
      <c r="C672" s="167" t="str">
        <f>IFERROR(IF(VLOOKUP($B672,勘定科目!$A:$H,HLOOKUP($E$5,勘定科目!$F$1:$H$2,2,0),0)="","",VLOOKUP($B672,勘定科目!$A:$E,2,0)),"")</f>
        <v/>
      </c>
      <c r="D672" s="216" t="str">
        <f>IF(C672="","",VLOOKUP($B672,勘定科目!$A:$E,4,0))</f>
        <v/>
      </c>
      <c r="E672" s="222"/>
      <c r="F672" s="217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184">
        <f t="shared" si="17"/>
        <v>0</v>
      </c>
      <c r="S672" s="185"/>
      <c r="T672" s="186"/>
      <c r="U672" s="223"/>
      <c r="V672" s="223"/>
      <c r="W672" s="223"/>
    </row>
    <row r="673" spans="1:23" s="175" customFormat="1" ht="13" customHeight="1">
      <c r="A673" s="166"/>
      <c r="B673" s="163"/>
      <c r="C673" s="167" t="str">
        <f>IFERROR(IF(VLOOKUP($B673,勘定科目!$A:$H,HLOOKUP($E$5,勘定科目!$F$1:$H$2,2,0),0)="","",VLOOKUP($B673,勘定科目!$A:$E,2,0)),"")</f>
        <v/>
      </c>
      <c r="D673" s="216" t="str">
        <f>IF(C673="","",VLOOKUP($B673,勘定科目!$A:$E,4,0))</f>
        <v/>
      </c>
      <c r="E673" s="222"/>
      <c r="F673" s="217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184">
        <f t="shared" si="17"/>
        <v>0</v>
      </c>
      <c r="S673" s="185"/>
      <c r="T673" s="186"/>
      <c r="U673" s="223"/>
      <c r="V673" s="223"/>
      <c r="W673" s="223"/>
    </row>
    <row r="674" spans="1:23" s="175" customFormat="1" ht="13" customHeight="1">
      <c r="A674" s="166"/>
      <c r="B674" s="163"/>
      <c r="C674" s="167" t="str">
        <f>IFERROR(IF(VLOOKUP($B674,勘定科目!$A:$H,HLOOKUP($E$5,勘定科目!$F$1:$H$2,2,0),0)="","",VLOOKUP($B674,勘定科目!$A:$E,2,0)),"")</f>
        <v/>
      </c>
      <c r="D674" s="216" t="str">
        <f>IF(C674="","",VLOOKUP($B674,勘定科目!$A:$E,4,0))</f>
        <v/>
      </c>
      <c r="E674" s="222"/>
      <c r="F674" s="217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184">
        <f t="shared" si="17"/>
        <v>0</v>
      </c>
      <c r="S674" s="185"/>
      <c r="T674" s="186"/>
      <c r="U674" s="223"/>
      <c r="V674" s="223"/>
      <c r="W674" s="223"/>
    </row>
    <row r="675" spans="1:23" s="175" customFormat="1" ht="13" customHeight="1">
      <c r="A675" s="166"/>
      <c r="B675" s="163"/>
      <c r="C675" s="167" t="str">
        <f>IFERROR(IF(VLOOKUP($B675,勘定科目!$A:$H,HLOOKUP($E$5,勘定科目!$F$1:$H$2,2,0),0)="","",VLOOKUP($B675,勘定科目!$A:$E,2,0)),"")</f>
        <v/>
      </c>
      <c r="D675" s="216" t="str">
        <f>IF(C675="","",VLOOKUP($B675,勘定科目!$A:$E,4,0))</f>
        <v/>
      </c>
      <c r="E675" s="222"/>
      <c r="F675" s="217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184">
        <f t="shared" si="17"/>
        <v>0</v>
      </c>
      <c r="S675" s="185"/>
      <c r="T675" s="186"/>
      <c r="U675" s="223"/>
      <c r="V675" s="223"/>
      <c r="W675" s="223"/>
    </row>
    <row r="676" spans="1:23" s="175" customFormat="1" ht="13" customHeight="1">
      <c r="A676" s="166"/>
      <c r="B676" s="163"/>
      <c r="C676" s="167" t="str">
        <f>IFERROR(IF(VLOOKUP($B676,勘定科目!$A:$H,HLOOKUP($E$5,勘定科目!$F$1:$H$2,2,0),0)="","",VLOOKUP($B676,勘定科目!$A:$E,2,0)),"")</f>
        <v/>
      </c>
      <c r="D676" s="216" t="str">
        <f>IF(C676="","",VLOOKUP($B676,勘定科目!$A:$E,4,0))</f>
        <v/>
      </c>
      <c r="E676" s="222"/>
      <c r="F676" s="217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184">
        <f t="shared" si="17"/>
        <v>0</v>
      </c>
      <c r="S676" s="185"/>
      <c r="T676" s="186"/>
      <c r="U676" s="223"/>
      <c r="V676" s="223"/>
      <c r="W676" s="223"/>
    </row>
    <row r="677" spans="1:23" s="175" customFormat="1" ht="13" customHeight="1">
      <c r="A677" s="166"/>
      <c r="B677" s="163"/>
      <c r="C677" s="167" t="str">
        <f>IFERROR(IF(VLOOKUP($B677,勘定科目!$A:$H,HLOOKUP($E$5,勘定科目!$F$1:$H$2,2,0),0)="","",VLOOKUP($B677,勘定科目!$A:$E,2,0)),"")</f>
        <v/>
      </c>
      <c r="D677" s="216" t="str">
        <f>IF(C677="","",VLOOKUP($B677,勘定科目!$A:$E,4,0))</f>
        <v/>
      </c>
      <c r="E677" s="222"/>
      <c r="F677" s="217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184">
        <f t="shared" si="17"/>
        <v>0</v>
      </c>
      <c r="S677" s="185"/>
      <c r="T677" s="186"/>
      <c r="U677" s="223"/>
      <c r="V677" s="223"/>
      <c r="W677" s="223"/>
    </row>
    <row r="678" spans="1:23" s="175" customFormat="1" ht="13" customHeight="1">
      <c r="A678" s="166"/>
      <c r="B678" s="163"/>
      <c r="C678" s="167" t="str">
        <f>IFERROR(IF(VLOOKUP($B678,勘定科目!$A:$H,HLOOKUP($E$5,勘定科目!$F$1:$H$2,2,0),0)="","",VLOOKUP($B678,勘定科目!$A:$E,2,0)),"")</f>
        <v/>
      </c>
      <c r="D678" s="216" t="str">
        <f>IF(C678="","",VLOOKUP($B678,勘定科目!$A:$E,4,0))</f>
        <v/>
      </c>
      <c r="E678" s="222"/>
      <c r="F678" s="217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184">
        <f t="shared" si="17"/>
        <v>0</v>
      </c>
      <c r="S678" s="185"/>
      <c r="T678" s="186"/>
      <c r="U678" s="223"/>
      <c r="V678" s="223"/>
      <c r="W678" s="223"/>
    </row>
    <row r="679" spans="1:23" s="175" customFormat="1" ht="13" customHeight="1">
      <c r="A679" s="166"/>
      <c r="B679" s="163"/>
      <c r="C679" s="167" t="str">
        <f>IFERROR(IF(VLOOKUP($B679,勘定科目!$A:$H,HLOOKUP($E$5,勘定科目!$F$1:$H$2,2,0),0)="","",VLOOKUP($B679,勘定科目!$A:$E,2,0)),"")</f>
        <v/>
      </c>
      <c r="D679" s="216" t="str">
        <f>IF(C679="","",VLOOKUP($B679,勘定科目!$A:$E,4,0))</f>
        <v/>
      </c>
      <c r="E679" s="222"/>
      <c r="F679" s="217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184">
        <f t="shared" si="17"/>
        <v>0</v>
      </c>
      <c r="S679" s="185"/>
      <c r="T679" s="186"/>
      <c r="U679" s="223"/>
      <c r="V679" s="223"/>
      <c r="W679" s="223"/>
    </row>
    <row r="680" spans="1:23" s="175" customFormat="1" ht="13" customHeight="1">
      <c r="A680" s="166"/>
      <c r="B680" s="163"/>
      <c r="C680" s="167" t="str">
        <f>IFERROR(IF(VLOOKUP($B680,勘定科目!$A:$H,HLOOKUP($E$5,勘定科目!$F$1:$H$2,2,0),0)="","",VLOOKUP($B680,勘定科目!$A:$E,2,0)),"")</f>
        <v/>
      </c>
      <c r="D680" s="216" t="str">
        <f>IF(C680="","",VLOOKUP($B680,勘定科目!$A:$E,4,0))</f>
        <v/>
      </c>
      <c r="E680" s="222"/>
      <c r="F680" s="217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184">
        <f t="shared" si="17"/>
        <v>0</v>
      </c>
      <c r="S680" s="185"/>
      <c r="T680" s="186"/>
      <c r="U680" s="223"/>
      <c r="V680" s="223"/>
      <c r="W680" s="223"/>
    </row>
    <row r="681" spans="1:23" s="175" customFormat="1" ht="13" customHeight="1">
      <c r="A681" s="166"/>
      <c r="B681" s="163"/>
      <c r="C681" s="167" t="str">
        <f>IFERROR(IF(VLOOKUP($B681,勘定科目!$A:$H,HLOOKUP($E$5,勘定科目!$F$1:$H$2,2,0),0)="","",VLOOKUP($B681,勘定科目!$A:$E,2,0)),"")</f>
        <v/>
      </c>
      <c r="D681" s="216" t="str">
        <f>IF(C681="","",VLOOKUP($B681,勘定科目!$A:$E,4,0))</f>
        <v/>
      </c>
      <c r="E681" s="222"/>
      <c r="F681" s="217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184">
        <f t="shared" si="17"/>
        <v>0</v>
      </c>
      <c r="S681" s="185"/>
      <c r="T681" s="186"/>
      <c r="U681" s="223"/>
      <c r="V681" s="223"/>
      <c r="W681" s="223"/>
    </row>
    <row r="682" spans="1:23" s="175" customFormat="1" ht="13" customHeight="1">
      <c r="A682" s="166"/>
      <c r="B682" s="163"/>
      <c r="C682" s="167" t="str">
        <f>IFERROR(IF(VLOOKUP($B682,勘定科目!$A:$H,HLOOKUP($E$5,勘定科目!$F$1:$H$2,2,0),0)="","",VLOOKUP($B682,勘定科目!$A:$E,2,0)),"")</f>
        <v/>
      </c>
      <c r="D682" s="216" t="str">
        <f>IF(C682="","",VLOOKUP($B682,勘定科目!$A:$E,4,0))</f>
        <v/>
      </c>
      <c r="E682" s="222"/>
      <c r="F682" s="217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184">
        <f t="shared" si="17"/>
        <v>0</v>
      </c>
      <c r="S682" s="185"/>
      <c r="T682" s="186"/>
      <c r="U682" s="223"/>
      <c r="V682" s="223"/>
      <c r="W682" s="223"/>
    </row>
    <row r="683" spans="1:23" s="175" customFormat="1" ht="13" customHeight="1">
      <c r="A683" s="166"/>
      <c r="B683" s="163"/>
      <c r="C683" s="167" t="str">
        <f>IFERROR(IF(VLOOKUP($B683,勘定科目!$A:$H,HLOOKUP($E$5,勘定科目!$F$1:$H$2,2,0),0)="","",VLOOKUP($B683,勘定科目!$A:$E,2,0)),"")</f>
        <v/>
      </c>
      <c r="D683" s="216" t="str">
        <f>IF(C683="","",VLOOKUP($B683,勘定科目!$A:$E,4,0))</f>
        <v/>
      </c>
      <c r="E683" s="222"/>
      <c r="F683" s="217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184">
        <f t="shared" si="17"/>
        <v>0</v>
      </c>
      <c r="S683" s="185"/>
      <c r="T683" s="186"/>
      <c r="U683" s="223"/>
      <c r="V683" s="223"/>
      <c r="W683" s="223"/>
    </row>
    <row r="684" spans="1:23" s="175" customFormat="1" ht="13" customHeight="1">
      <c r="A684" s="166"/>
      <c r="B684" s="163"/>
      <c r="C684" s="167" t="str">
        <f>IFERROR(IF(VLOOKUP($B684,勘定科目!$A:$H,HLOOKUP($E$5,勘定科目!$F$1:$H$2,2,0),0)="","",VLOOKUP($B684,勘定科目!$A:$E,2,0)),"")</f>
        <v/>
      </c>
      <c r="D684" s="216" t="str">
        <f>IF(C684="","",VLOOKUP($B684,勘定科目!$A:$E,4,0))</f>
        <v/>
      </c>
      <c r="E684" s="222"/>
      <c r="F684" s="217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184">
        <f t="shared" si="17"/>
        <v>0</v>
      </c>
      <c r="S684" s="185"/>
      <c r="T684" s="186"/>
      <c r="U684" s="223"/>
      <c r="V684" s="223"/>
      <c r="W684" s="223"/>
    </row>
    <row r="685" spans="1:23" s="175" customFormat="1" ht="13" customHeight="1">
      <c r="A685" s="166"/>
      <c r="B685" s="163"/>
      <c r="C685" s="167" t="str">
        <f>IFERROR(IF(VLOOKUP($B685,勘定科目!$A:$H,HLOOKUP($E$5,勘定科目!$F$1:$H$2,2,0),0)="","",VLOOKUP($B685,勘定科目!$A:$E,2,0)),"")</f>
        <v/>
      </c>
      <c r="D685" s="216" t="str">
        <f>IF(C685="","",VLOOKUP($B685,勘定科目!$A:$E,4,0))</f>
        <v/>
      </c>
      <c r="E685" s="222"/>
      <c r="F685" s="217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184">
        <f t="shared" si="17"/>
        <v>0</v>
      </c>
      <c r="S685" s="185"/>
      <c r="T685" s="186"/>
      <c r="U685" s="223"/>
      <c r="V685" s="223"/>
      <c r="W685" s="223"/>
    </row>
    <row r="686" spans="1:23" s="175" customFormat="1" ht="13" customHeight="1">
      <c r="A686" s="166"/>
      <c r="B686" s="163"/>
      <c r="C686" s="167" t="str">
        <f>IFERROR(IF(VLOOKUP($B686,勘定科目!$A:$H,HLOOKUP($E$5,勘定科目!$F$1:$H$2,2,0),0)="","",VLOOKUP($B686,勘定科目!$A:$E,2,0)),"")</f>
        <v/>
      </c>
      <c r="D686" s="216" t="str">
        <f>IF(C686="","",VLOOKUP($B686,勘定科目!$A:$E,4,0))</f>
        <v/>
      </c>
      <c r="E686" s="222"/>
      <c r="F686" s="217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184">
        <f t="shared" si="17"/>
        <v>0</v>
      </c>
      <c r="S686" s="185"/>
      <c r="T686" s="186"/>
      <c r="U686" s="223"/>
      <c r="V686" s="223"/>
      <c r="W686" s="223"/>
    </row>
    <row r="687" spans="1:23" s="175" customFormat="1" ht="13" customHeight="1">
      <c r="A687" s="166"/>
      <c r="B687" s="163"/>
      <c r="C687" s="167" t="str">
        <f>IFERROR(IF(VLOOKUP($B687,勘定科目!$A:$H,HLOOKUP($E$5,勘定科目!$F$1:$H$2,2,0),0)="","",VLOOKUP($B687,勘定科目!$A:$E,2,0)),"")</f>
        <v/>
      </c>
      <c r="D687" s="216" t="str">
        <f>IF(C687="","",VLOOKUP($B687,勘定科目!$A:$E,4,0))</f>
        <v/>
      </c>
      <c r="E687" s="222"/>
      <c r="F687" s="217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184">
        <f t="shared" si="17"/>
        <v>0</v>
      </c>
      <c r="S687" s="185"/>
      <c r="T687" s="186"/>
      <c r="U687" s="223"/>
      <c r="V687" s="223"/>
      <c r="W687" s="223"/>
    </row>
    <row r="688" spans="1:23" s="175" customFormat="1" ht="13" customHeight="1">
      <c r="A688" s="166"/>
      <c r="B688" s="163"/>
      <c r="C688" s="167" t="str">
        <f>IFERROR(IF(VLOOKUP($B688,勘定科目!$A:$H,HLOOKUP($E$5,勘定科目!$F$1:$H$2,2,0),0)="","",VLOOKUP($B688,勘定科目!$A:$E,2,0)),"")</f>
        <v/>
      </c>
      <c r="D688" s="216" t="str">
        <f>IF(C688="","",VLOOKUP($B688,勘定科目!$A:$E,4,0))</f>
        <v/>
      </c>
      <c r="E688" s="222"/>
      <c r="F688" s="217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184">
        <f t="shared" si="17"/>
        <v>0</v>
      </c>
      <c r="S688" s="185"/>
      <c r="T688" s="186"/>
      <c r="U688" s="223"/>
      <c r="V688" s="223"/>
      <c r="W688" s="223"/>
    </row>
    <row r="689" spans="1:23" s="175" customFormat="1" ht="13" customHeight="1">
      <c r="A689" s="166"/>
      <c r="B689" s="163"/>
      <c r="C689" s="167" t="str">
        <f>IFERROR(IF(VLOOKUP($B689,勘定科目!$A:$H,HLOOKUP($E$5,勘定科目!$F$1:$H$2,2,0),0)="","",VLOOKUP($B689,勘定科目!$A:$E,2,0)),"")</f>
        <v/>
      </c>
      <c r="D689" s="216" t="str">
        <f>IF(C689="","",VLOOKUP($B689,勘定科目!$A:$E,4,0))</f>
        <v/>
      </c>
      <c r="E689" s="222"/>
      <c r="F689" s="217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184">
        <f t="shared" si="17"/>
        <v>0</v>
      </c>
      <c r="S689" s="185"/>
      <c r="T689" s="186"/>
      <c r="U689" s="223"/>
      <c r="V689" s="223"/>
      <c r="W689" s="223"/>
    </row>
    <row r="690" spans="1:23" s="175" customFormat="1" ht="13" customHeight="1">
      <c r="A690" s="166"/>
      <c r="B690" s="163"/>
      <c r="C690" s="167" t="str">
        <f>IFERROR(IF(VLOOKUP($B690,勘定科目!$A:$H,HLOOKUP($E$5,勘定科目!$F$1:$H$2,2,0),0)="","",VLOOKUP($B690,勘定科目!$A:$E,2,0)),"")</f>
        <v/>
      </c>
      <c r="D690" s="216" t="str">
        <f>IF(C690="","",VLOOKUP($B690,勘定科目!$A:$E,4,0))</f>
        <v/>
      </c>
      <c r="E690" s="222"/>
      <c r="F690" s="217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184">
        <f t="shared" si="17"/>
        <v>0</v>
      </c>
      <c r="S690" s="185"/>
      <c r="T690" s="186"/>
      <c r="U690" s="223"/>
      <c r="V690" s="223"/>
      <c r="W690" s="223"/>
    </row>
    <row r="691" spans="1:23" s="175" customFormat="1" ht="13" customHeight="1">
      <c r="A691" s="166"/>
      <c r="B691" s="163"/>
      <c r="C691" s="167" t="str">
        <f>IFERROR(IF(VLOOKUP($B691,勘定科目!$A:$H,HLOOKUP($E$5,勘定科目!$F$1:$H$2,2,0),0)="","",VLOOKUP($B691,勘定科目!$A:$E,2,0)),"")</f>
        <v/>
      </c>
      <c r="D691" s="216" t="str">
        <f>IF(C691="","",VLOOKUP($B691,勘定科目!$A:$E,4,0))</f>
        <v/>
      </c>
      <c r="E691" s="222"/>
      <c r="F691" s="217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184">
        <f t="shared" si="17"/>
        <v>0</v>
      </c>
      <c r="S691" s="185"/>
      <c r="T691" s="186"/>
      <c r="U691" s="223"/>
      <c r="V691" s="223"/>
      <c r="W691" s="223"/>
    </row>
    <row r="692" spans="1:23" s="175" customFormat="1" ht="13" customHeight="1">
      <c r="A692" s="166"/>
      <c r="B692" s="163"/>
      <c r="C692" s="167" t="str">
        <f>IFERROR(IF(VLOOKUP($B692,勘定科目!$A:$H,HLOOKUP($E$5,勘定科目!$F$1:$H$2,2,0),0)="","",VLOOKUP($B692,勘定科目!$A:$E,2,0)),"")</f>
        <v/>
      </c>
      <c r="D692" s="216" t="str">
        <f>IF(C692="","",VLOOKUP($B692,勘定科目!$A:$E,4,0))</f>
        <v/>
      </c>
      <c r="E692" s="222"/>
      <c r="F692" s="217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184">
        <f t="shared" si="17"/>
        <v>0</v>
      </c>
      <c r="S692" s="185"/>
      <c r="T692" s="186"/>
      <c r="U692" s="223"/>
      <c r="V692" s="223"/>
      <c r="W692" s="223"/>
    </row>
    <row r="693" spans="1:23" s="175" customFormat="1" ht="13" customHeight="1">
      <c r="A693" s="166"/>
      <c r="B693" s="163"/>
      <c r="C693" s="167" t="str">
        <f>IFERROR(IF(VLOOKUP($B693,勘定科目!$A:$H,HLOOKUP($E$5,勘定科目!$F$1:$H$2,2,0),0)="","",VLOOKUP($B693,勘定科目!$A:$E,2,0)),"")</f>
        <v/>
      </c>
      <c r="D693" s="216" t="str">
        <f>IF(C693="","",VLOOKUP($B693,勘定科目!$A:$E,4,0))</f>
        <v/>
      </c>
      <c r="E693" s="222"/>
      <c r="F693" s="217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184">
        <f t="shared" si="17"/>
        <v>0</v>
      </c>
      <c r="S693" s="185"/>
      <c r="T693" s="186"/>
      <c r="U693" s="223"/>
      <c r="V693" s="223"/>
      <c r="W693" s="223"/>
    </row>
    <row r="694" spans="1:23" s="175" customFormat="1" ht="13" customHeight="1">
      <c r="A694" s="166"/>
      <c r="B694" s="163"/>
      <c r="C694" s="167" t="str">
        <f>IFERROR(IF(VLOOKUP($B694,勘定科目!$A:$H,HLOOKUP($E$5,勘定科目!$F$1:$H$2,2,0),0)="","",VLOOKUP($B694,勘定科目!$A:$E,2,0)),"")</f>
        <v/>
      </c>
      <c r="D694" s="216" t="str">
        <f>IF(C694="","",VLOOKUP($B694,勘定科目!$A:$E,4,0))</f>
        <v/>
      </c>
      <c r="E694" s="222"/>
      <c r="F694" s="217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184">
        <f t="shared" si="17"/>
        <v>0</v>
      </c>
      <c r="S694" s="185"/>
      <c r="T694" s="186"/>
      <c r="U694" s="223"/>
      <c r="V694" s="223"/>
      <c r="W694" s="223"/>
    </row>
    <row r="695" spans="1:23" s="175" customFormat="1" ht="13" customHeight="1">
      <c r="A695" s="166"/>
      <c r="B695" s="163"/>
      <c r="C695" s="167" t="str">
        <f>IFERROR(IF(VLOOKUP($B695,勘定科目!$A:$H,HLOOKUP($E$5,勘定科目!$F$1:$H$2,2,0),0)="","",VLOOKUP($B695,勘定科目!$A:$E,2,0)),"")</f>
        <v/>
      </c>
      <c r="D695" s="216" t="str">
        <f>IF(C695="","",VLOOKUP($B695,勘定科目!$A:$E,4,0))</f>
        <v/>
      </c>
      <c r="E695" s="222"/>
      <c r="F695" s="217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184">
        <f t="shared" si="17"/>
        <v>0</v>
      </c>
      <c r="S695" s="185"/>
      <c r="T695" s="186"/>
      <c r="U695" s="223"/>
      <c r="V695" s="223"/>
      <c r="W695" s="223"/>
    </row>
    <row r="696" spans="1:23" s="175" customFormat="1" ht="13" customHeight="1">
      <c r="A696" s="166"/>
      <c r="B696" s="163"/>
      <c r="C696" s="167" t="str">
        <f>IFERROR(IF(VLOOKUP($B696,勘定科目!$A:$H,HLOOKUP($E$5,勘定科目!$F$1:$H$2,2,0),0)="","",VLOOKUP($B696,勘定科目!$A:$E,2,0)),"")</f>
        <v/>
      </c>
      <c r="D696" s="216" t="str">
        <f>IF(C696="","",VLOOKUP($B696,勘定科目!$A:$E,4,0))</f>
        <v/>
      </c>
      <c r="E696" s="222"/>
      <c r="F696" s="217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184">
        <f t="shared" si="17"/>
        <v>0</v>
      </c>
      <c r="S696" s="185"/>
      <c r="T696" s="186"/>
      <c r="U696" s="223"/>
      <c r="V696" s="223"/>
      <c r="W696" s="223"/>
    </row>
    <row r="697" spans="1:23" s="175" customFormat="1" ht="13" customHeight="1">
      <c r="A697" s="166"/>
      <c r="B697" s="163"/>
      <c r="C697" s="167" t="str">
        <f>IFERROR(IF(VLOOKUP($B697,勘定科目!$A:$H,HLOOKUP($E$5,勘定科目!$F$1:$H$2,2,0),0)="","",VLOOKUP($B697,勘定科目!$A:$E,2,0)),"")</f>
        <v/>
      </c>
      <c r="D697" s="216" t="str">
        <f>IF(C697="","",VLOOKUP($B697,勘定科目!$A:$E,4,0))</f>
        <v/>
      </c>
      <c r="E697" s="222"/>
      <c r="F697" s="217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184">
        <f t="shared" si="17"/>
        <v>0</v>
      </c>
      <c r="S697" s="185"/>
      <c r="T697" s="186"/>
      <c r="U697" s="223"/>
      <c r="V697" s="223"/>
      <c r="W697" s="223"/>
    </row>
    <row r="698" spans="1:23" s="175" customFormat="1" ht="13" customHeight="1">
      <c r="A698" s="166"/>
      <c r="B698" s="163"/>
      <c r="C698" s="167" t="str">
        <f>IFERROR(IF(VLOOKUP($B698,勘定科目!$A:$H,HLOOKUP($E$5,勘定科目!$F$1:$H$2,2,0),0)="","",VLOOKUP($B698,勘定科目!$A:$E,2,0)),"")</f>
        <v/>
      </c>
      <c r="D698" s="216" t="str">
        <f>IF(C698="","",VLOOKUP($B698,勘定科目!$A:$E,4,0))</f>
        <v/>
      </c>
      <c r="E698" s="222"/>
      <c r="F698" s="217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184">
        <f t="shared" si="17"/>
        <v>0</v>
      </c>
      <c r="S698" s="185"/>
      <c r="T698" s="186"/>
      <c r="U698" s="223"/>
      <c r="V698" s="223"/>
      <c r="W698" s="223"/>
    </row>
    <row r="699" spans="1:23" s="175" customFormat="1" ht="13" customHeight="1">
      <c r="A699" s="166"/>
      <c r="B699" s="163"/>
      <c r="C699" s="167" t="str">
        <f>IFERROR(IF(VLOOKUP($B699,勘定科目!$A:$H,HLOOKUP($E$5,勘定科目!$F$1:$H$2,2,0),0)="","",VLOOKUP($B699,勘定科目!$A:$E,2,0)),"")</f>
        <v/>
      </c>
      <c r="D699" s="216" t="str">
        <f>IF(C699="","",VLOOKUP($B699,勘定科目!$A:$E,4,0))</f>
        <v/>
      </c>
      <c r="E699" s="222"/>
      <c r="F699" s="217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184">
        <f t="shared" si="17"/>
        <v>0</v>
      </c>
      <c r="S699" s="185"/>
      <c r="T699" s="186"/>
      <c r="U699" s="223"/>
      <c r="V699" s="223"/>
      <c r="W699" s="223"/>
    </row>
    <row r="700" spans="1:23" s="175" customFormat="1" ht="13" customHeight="1">
      <c r="A700" s="166"/>
      <c r="B700" s="163"/>
      <c r="C700" s="167" t="str">
        <f>IFERROR(IF(VLOOKUP($B700,勘定科目!$A:$H,HLOOKUP($E$5,勘定科目!$F$1:$H$2,2,0),0)="","",VLOOKUP($B700,勘定科目!$A:$E,2,0)),"")</f>
        <v/>
      </c>
      <c r="D700" s="216" t="str">
        <f>IF(C700="","",VLOOKUP($B700,勘定科目!$A:$E,4,0))</f>
        <v/>
      </c>
      <c r="E700" s="222"/>
      <c r="F700" s="217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184">
        <f t="shared" si="17"/>
        <v>0</v>
      </c>
      <c r="S700" s="185"/>
      <c r="T700" s="186"/>
      <c r="U700" s="223"/>
      <c r="V700" s="223"/>
      <c r="W700" s="223"/>
    </row>
    <row r="701" spans="1:23" s="175" customFormat="1" ht="13" customHeight="1">
      <c r="A701" s="166"/>
      <c r="B701" s="163"/>
      <c r="C701" s="167" t="str">
        <f>IFERROR(IF(VLOOKUP($B701,勘定科目!$A:$H,HLOOKUP($E$5,勘定科目!$F$1:$H$2,2,0),0)="","",VLOOKUP($B701,勘定科目!$A:$E,2,0)),"")</f>
        <v/>
      </c>
      <c r="D701" s="216" t="str">
        <f>IF(C701="","",VLOOKUP($B701,勘定科目!$A:$E,4,0))</f>
        <v/>
      </c>
      <c r="E701" s="222"/>
      <c r="F701" s="217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184">
        <f t="shared" si="17"/>
        <v>0</v>
      </c>
      <c r="S701" s="185"/>
      <c r="T701" s="186"/>
      <c r="U701" s="223"/>
      <c r="V701" s="223"/>
      <c r="W701" s="223"/>
    </row>
    <row r="702" spans="1:23" s="175" customFormat="1" ht="13" customHeight="1">
      <c r="A702" s="166"/>
      <c r="B702" s="163"/>
      <c r="C702" s="167" t="str">
        <f>IFERROR(IF(VLOOKUP($B702,勘定科目!$A:$H,HLOOKUP($E$5,勘定科目!$F$1:$H$2,2,0),0)="","",VLOOKUP($B702,勘定科目!$A:$E,2,0)),"")</f>
        <v/>
      </c>
      <c r="D702" s="216" t="str">
        <f>IF(C702="","",VLOOKUP($B702,勘定科目!$A:$E,4,0))</f>
        <v/>
      </c>
      <c r="E702" s="222"/>
      <c r="F702" s="217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184">
        <f t="shared" si="17"/>
        <v>0</v>
      </c>
      <c r="S702" s="185"/>
      <c r="T702" s="186"/>
      <c r="U702" s="223"/>
      <c r="V702" s="223"/>
      <c r="W702" s="223"/>
    </row>
    <row r="703" spans="1:23" s="175" customFormat="1" ht="13" customHeight="1">
      <c r="A703" s="166"/>
      <c r="B703" s="163"/>
      <c r="C703" s="167" t="str">
        <f>IFERROR(IF(VLOOKUP($B703,勘定科目!$A:$H,HLOOKUP($E$5,勘定科目!$F$1:$H$2,2,0),0)="","",VLOOKUP($B703,勘定科目!$A:$E,2,0)),"")</f>
        <v/>
      </c>
      <c r="D703" s="216" t="str">
        <f>IF(C703="","",VLOOKUP($B703,勘定科目!$A:$E,4,0))</f>
        <v/>
      </c>
      <c r="E703" s="222"/>
      <c r="F703" s="217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184">
        <f t="shared" si="17"/>
        <v>0</v>
      </c>
      <c r="S703" s="185"/>
      <c r="T703" s="186"/>
      <c r="U703" s="223"/>
      <c r="V703" s="223"/>
      <c r="W703" s="223"/>
    </row>
    <row r="704" spans="1:23" s="175" customFormat="1" ht="13" customHeight="1">
      <c r="A704" s="166"/>
      <c r="B704" s="163"/>
      <c r="C704" s="167" t="str">
        <f>IFERROR(IF(VLOOKUP($B704,勘定科目!$A:$H,HLOOKUP($E$5,勘定科目!$F$1:$H$2,2,0),0)="","",VLOOKUP($B704,勘定科目!$A:$E,2,0)),"")</f>
        <v/>
      </c>
      <c r="D704" s="216" t="str">
        <f>IF(C704="","",VLOOKUP($B704,勘定科目!$A:$E,4,0))</f>
        <v/>
      </c>
      <c r="E704" s="222"/>
      <c r="F704" s="217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184">
        <f t="shared" si="17"/>
        <v>0</v>
      </c>
      <c r="S704" s="185"/>
      <c r="T704" s="186"/>
      <c r="U704" s="223"/>
      <c r="V704" s="223"/>
      <c r="W704" s="223"/>
    </row>
    <row r="705" spans="1:23" s="175" customFormat="1" ht="13" customHeight="1">
      <c r="A705" s="166"/>
      <c r="B705" s="163"/>
      <c r="C705" s="167" t="str">
        <f>IFERROR(IF(VLOOKUP($B705,勘定科目!$A:$H,HLOOKUP($E$5,勘定科目!$F$1:$H$2,2,0),0)="","",VLOOKUP($B705,勘定科目!$A:$E,2,0)),"")</f>
        <v/>
      </c>
      <c r="D705" s="216" t="str">
        <f>IF(C705="","",VLOOKUP($B705,勘定科目!$A:$E,4,0))</f>
        <v/>
      </c>
      <c r="E705" s="222"/>
      <c r="F705" s="217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184">
        <f t="shared" si="17"/>
        <v>0</v>
      </c>
      <c r="S705" s="185"/>
      <c r="T705" s="186"/>
      <c r="U705" s="223"/>
      <c r="V705" s="223"/>
      <c r="W705" s="223"/>
    </row>
    <row r="706" spans="1:23" s="175" customFormat="1" ht="13" customHeight="1">
      <c r="A706" s="166"/>
      <c r="B706" s="163"/>
      <c r="C706" s="167" t="str">
        <f>IFERROR(IF(VLOOKUP($B706,勘定科目!$A:$H,HLOOKUP($E$5,勘定科目!$F$1:$H$2,2,0),0)="","",VLOOKUP($B706,勘定科目!$A:$E,2,0)),"")</f>
        <v/>
      </c>
      <c r="D706" s="216" t="str">
        <f>IF(C706="","",VLOOKUP($B706,勘定科目!$A:$E,4,0))</f>
        <v/>
      </c>
      <c r="E706" s="222"/>
      <c r="F706" s="217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184">
        <f t="shared" si="17"/>
        <v>0</v>
      </c>
      <c r="S706" s="185"/>
      <c r="T706" s="186"/>
      <c r="U706" s="223"/>
      <c r="V706" s="223"/>
      <c r="W706" s="223"/>
    </row>
    <row r="707" spans="1:23" s="175" customFormat="1" ht="13" customHeight="1">
      <c r="A707" s="166"/>
      <c r="B707" s="163"/>
      <c r="C707" s="167" t="str">
        <f>IFERROR(IF(VLOOKUP($B707,勘定科目!$A:$H,HLOOKUP($E$5,勘定科目!$F$1:$H$2,2,0),0)="","",VLOOKUP($B707,勘定科目!$A:$E,2,0)),"")</f>
        <v/>
      </c>
      <c r="D707" s="216" t="str">
        <f>IF(C707="","",VLOOKUP($B707,勘定科目!$A:$E,4,0))</f>
        <v/>
      </c>
      <c r="E707" s="222"/>
      <c r="F707" s="217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184">
        <f t="shared" si="17"/>
        <v>0</v>
      </c>
      <c r="S707" s="185"/>
      <c r="T707" s="186"/>
      <c r="U707" s="223"/>
      <c r="V707" s="223"/>
      <c r="W707" s="223"/>
    </row>
    <row r="708" spans="1:23" s="175" customFormat="1" ht="13" customHeight="1">
      <c r="A708" s="166"/>
      <c r="B708" s="163"/>
      <c r="C708" s="167" t="str">
        <f>IFERROR(IF(VLOOKUP($B708,勘定科目!$A:$H,HLOOKUP($E$5,勘定科目!$F$1:$H$2,2,0),0)="","",VLOOKUP($B708,勘定科目!$A:$E,2,0)),"")</f>
        <v/>
      </c>
      <c r="D708" s="216" t="str">
        <f>IF(C708="","",VLOOKUP($B708,勘定科目!$A:$E,4,0))</f>
        <v/>
      </c>
      <c r="E708" s="222"/>
      <c r="F708" s="217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184">
        <f t="shared" si="17"/>
        <v>0</v>
      </c>
      <c r="S708" s="185"/>
      <c r="T708" s="186"/>
      <c r="U708" s="223"/>
      <c r="V708" s="223"/>
      <c r="W708" s="223"/>
    </row>
    <row r="709" spans="1:23" s="175" customFormat="1" ht="13" customHeight="1">
      <c r="A709" s="166"/>
      <c r="B709" s="163"/>
      <c r="C709" s="167" t="str">
        <f>IFERROR(IF(VLOOKUP($B709,勘定科目!$A:$H,HLOOKUP($E$5,勘定科目!$F$1:$H$2,2,0),0)="","",VLOOKUP($B709,勘定科目!$A:$E,2,0)),"")</f>
        <v/>
      </c>
      <c r="D709" s="216" t="str">
        <f>IF(C709="","",VLOOKUP($B709,勘定科目!$A:$E,4,0))</f>
        <v/>
      </c>
      <c r="E709" s="222"/>
      <c r="F709" s="217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184">
        <f t="shared" si="17"/>
        <v>0</v>
      </c>
      <c r="S709" s="185"/>
      <c r="T709" s="186"/>
      <c r="U709" s="223"/>
      <c r="V709" s="223"/>
      <c r="W709" s="223"/>
    </row>
    <row r="710" spans="1:23" s="175" customFormat="1" ht="13" customHeight="1">
      <c r="A710" s="166"/>
      <c r="B710" s="163"/>
      <c r="C710" s="167" t="str">
        <f>IFERROR(IF(VLOOKUP($B710,勘定科目!$A:$H,HLOOKUP($E$5,勘定科目!$F$1:$H$2,2,0),0)="","",VLOOKUP($B710,勘定科目!$A:$E,2,0)),"")</f>
        <v/>
      </c>
      <c r="D710" s="216" t="str">
        <f>IF(C710="","",VLOOKUP($B710,勘定科目!$A:$E,4,0))</f>
        <v/>
      </c>
      <c r="E710" s="222"/>
      <c r="F710" s="217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184">
        <f t="shared" si="17"/>
        <v>0</v>
      </c>
      <c r="S710" s="185"/>
      <c r="T710" s="186"/>
      <c r="U710" s="223"/>
      <c r="V710" s="223"/>
      <c r="W710" s="223"/>
    </row>
    <row r="711" spans="1:23" s="175" customFormat="1" ht="13" customHeight="1">
      <c r="A711" s="166"/>
      <c r="B711" s="163"/>
      <c r="C711" s="167" t="str">
        <f>IFERROR(IF(VLOOKUP($B711,勘定科目!$A:$H,HLOOKUP($E$5,勘定科目!$F$1:$H$2,2,0),0)="","",VLOOKUP($B711,勘定科目!$A:$E,2,0)),"")</f>
        <v/>
      </c>
      <c r="D711" s="216" t="str">
        <f>IF(C711="","",VLOOKUP($B711,勘定科目!$A:$E,4,0))</f>
        <v/>
      </c>
      <c r="E711" s="222"/>
      <c r="F711" s="217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184">
        <f t="shared" si="17"/>
        <v>0</v>
      </c>
      <c r="S711" s="185"/>
      <c r="T711" s="186"/>
      <c r="U711" s="223"/>
      <c r="V711" s="223"/>
      <c r="W711" s="223"/>
    </row>
    <row r="712" spans="1:23" s="175" customFormat="1" ht="13" customHeight="1">
      <c r="A712" s="166"/>
      <c r="B712" s="163"/>
      <c r="C712" s="167" t="str">
        <f>IFERROR(IF(VLOOKUP($B712,勘定科目!$A:$H,HLOOKUP($E$5,勘定科目!$F$1:$H$2,2,0),0)="","",VLOOKUP($B712,勘定科目!$A:$E,2,0)),"")</f>
        <v/>
      </c>
      <c r="D712" s="216" t="str">
        <f>IF(C712="","",VLOOKUP($B712,勘定科目!$A:$E,4,0))</f>
        <v/>
      </c>
      <c r="E712" s="222"/>
      <c r="F712" s="217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184">
        <f t="shared" si="17"/>
        <v>0</v>
      </c>
      <c r="S712" s="185"/>
      <c r="T712" s="186"/>
      <c r="U712" s="223"/>
      <c r="V712" s="223"/>
      <c r="W712" s="223"/>
    </row>
    <row r="713" spans="1:23" s="175" customFormat="1" ht="13" customHeight="1">
      <c r="A713" s="166"/>
      <c r="B713" s="163"/>
      <c r="C713" s="167" t="str">
        <f>IFERROR(IF(VLOOKUP($B713,勘定科目!$A:$H,HLOOKUP($E$5,勘定科目!$F$1:$H$2,2,0),0)="","",VLOOKUP($B713,勘定科目!$A:$E,2,0)),"")</f>
        <v/>
      </c>
      <c r="D713" s="216" t="str">
        <f>IF(C713="","",VLOOKUP($B713,勘定科目!$A:$E,4,0))</f>
        <v/>
      </c>
      <c r="E713" s="222"/>
      <c r="F713" s="217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184">
        <f t="shared" si="17"/>
        <v>0</v>
      </c>
      <c r="S713" s="185"/>
      <c r="T713" s="186"/>
      <c r="U713" s="223"/>
      <c r="V713" s="223"/>
      <c r="W713" s="223"/>
    </row>
    <row r="714" spans="1:23" s="175" customFormat="1" ht="13" customHeight="1">
      <c r="A714" s="166"/>
      <c r="B714" s="163"/>
      <c r="C714" s="167" t="str">
        <f>IFERROR(IF(VLOOKUP($B714,勘定科目!$A:$H,HLOOKUP($E$5,勘定科目!$F$1:$H$2,2,0),0)="","",VLOOKUP($B714,勘定科目!$A:$E,2,0)),"")</f>
        <v/>
      </c>
      <c r="D714" s="216" t="str">
        <f>IF(C714="","",VLOOKUP($B714,勘定科目!$A:$E,4,0))</f>
        <v/>
      </c>
      <c r="E714" s="222"/>
      <c r="F714" s="217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184">
        <f t="shared" si="17"/>
        <v>0</v>
      </c>
      <c r="S714" s="185"/>
      <c r="T714" s="186"/>
      <c r="U714" s="223"/>
      <c r="V714" s="223"/>
      <c r="W714" s="223"/>
    </row>
    <row r="715" spans="1:23" s="175" customFormat="1" ht="13" customHeight="1">
      <c r="A715" s="166"/>
      <c r="B715" s="163"/>
      <c r="C715" s="167" t="str">
        <f>IFERROR(IF(VLOOKUP($B715,勘定科目!$A:$H,HLOOKUP($E$5,勘定科目!$F$1:$H$2,2,0),0)="","",VLOOKUP($B715,勘定科目!$A:$E,2,0)),"")</f>
        <v/>
      </c>
      <c r="D715" s="216" t="str">
        <f>IF(C715="","",VLOOKUP($B715,勘定科目!$A:$E,4,0))</f>
        <v/>
      </c>
      <c r="E715" s="222"/>
      <c r="F715" s="217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184">
        <f t="shared" si="17"/>
        <v>0</v>
      </c>
      <c r="S715" s="185"/>
      <c r="T715" s="186"/>
      <c r="U715" s="223"/>
      <c r="V715" s="223"/>
      <c r="W715" s="223"/>
    </row>
    <row r="716" spans="1:23" s="175" customFormat="1" ht="13" customHeight="1">
      <c r="A716" s="166"/>
      <c r="B716" s="163"/>
      <c r="C716" s="167" t="str">
        <f>IFERROR(IF(VLOOKUP($B716,勘定科目!$A:$H,HLOOKUP($E$5,勘定科目!$F$1:$H$2,2,0),0)="","",VLOOKUP($B716,勘定科目!$A:$E,2,0)),"")</f>
        <v/>
      </c>
      <c r="D716" s="216" t="str">
        <f>IF(C716="","",VLOOKUP($B716,勘定科目!$A:$E,4,0))</f>
        <v/>
      </c>
      <c r="E716" s="222"/>
      <c r="F716" s="217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184">
        <f t="shared" si="17"/>
        <v>0</v>
      </c>
      <c r="S716" s="185"/>
      <c r="T716" s="186"/>
      <c r="U716" s="223"/>
      <c r="V716" s="223"/>
      <c r="W716" s="223"/>
    </row>
    <row r="717" spans="1:23" s="175" customFormat="1" ht="13" customHeight="1">
      <c r="A717" s="166"/>
      <c r="B717" s="163"/>
      <c r="C717" s="167" t="str">
        <f>IFERROR(IF(VLOOKUP($B717,勘定科目!$A:$H,HLOOKUP($E$5,勘定科目!$F$1:$H$2,2,0),0)="","",VLOOKUP($B717,勘定科目!$A:$E,2,0)),"")</f>
        <v/>
      </c>
      <c r="D717" s="216" t="str">
        <f>IF(C717="","",VLOOKUP($B717,勘定科目!$A:$E,4,0))</f>
        <v/>
      </c>
      <c r="E717" s="222"/>
      <c r="F717" s="217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184">
        <f t="shared" si="17"/>
        <v>0</v>
      </c>
      <c r="S717" s="185"/>
      <c r="T717" s="186"/>
      <c r="U717" s="223"/>
      <c r="V717" s="223"/>
      <c r="W717" s="223"/>
    </row>
    <row r="718" spans="1:23" s="175" customFormat="1" ht="13" customHeight="1">
      <c r="A718" s="166"/>
      <c r="B718" s="163"/>
      <c r="C718" s="167" t="str">
        <f>IFERROR(IF(VLOOKUP($B718,勘定科目!$A:$H,HLOOKUP($E$5,勘定科目!$F$1:$H$2,2,0),0)="","",VLOOKUP($B718,勘定科目!$A:$E,2,0)),"")</f>
        <v/>
      </c>
      <c r="D718" s="216" t="str">
        <f>IF(C718="","",VLOOKUP($B718,勘定科目!$A:$E,4,0))</f>
        <v/>
      </c>
      <c r="E718" s="222"/>
      <c r="F718" s="217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184">
        <f t="shared" si="17"/>
        <v>0</v>
      </c>
      <c r="S718" s="185"/>
      <c r="T718" s="186"/>
      <c r="U718" s="223"/>
      <c r="V718" s="223"/>
      <c r="W718" s="223"/>
    </row>
    <row r="719" spans="1:23" s="175" customFormat="1" ht="13" customHeight="1">
      <c r="A719" s="166"/>
      <c r="B719" s="163"/>
      <c r="C719" s="167" t="str">
        <f>IFERROR(IF(VLOOKUP($B719,勘定科目!$A:$H,HLOOKUP($E$5,勘定科目!$F$1:$H$2,2,0),0)="","",VLOOKUP($B719,勘定科目!$A:$E,2,0)),"")</f>
        <v/>
      </c>
      <c r="D719" s="216" t="str">
        <f>IF(C719="","",VLOOKUP($B719,勘定科目!$A:$E,4,0))</f>
        <v/>
      </c>
      <c r="E719" s="222"/>
      <c r="F719" s="217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184">
        <f t="shared" si="17"/>
        <v>0</v>
      </c>
      <c r="S719" s="185"/>
      <c r="T719" s="186"/>
      <c r="U719" s="223"/>
      <c r="V719" s="223"/>
      <c r="W719" s="223"/>
    </row>
    <row r="720" spans="1:23" s="175" customFormat="1" ht="13" customHeight="1">
      <c r="A720" s="166"/>
      <c r="B720" s="163"/>
      <c r="C720" s="167" t="str">
        <f>IFERROR(IF(VLOOKUP($B720,勘定科目!$A:$H,HLOOKUP($E$5,勘定科目!$F$1:$H$2,2,0),0)="","",VLOOKUP($B720,勘定科目!$A:$E,2,0)),"")</f>
        <v/>
      </c>
      <c r="D720" s="216" t="str">
        <f>IF(C720="","",VLOOKUP($B720,勘定科目!$A:$E,4,0))</f>
        <v/>
      </c>
      <c r="E720" s="222"/>
      <c r="F720" s="217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184">
        <f t="shared" si="17"/>
        <v>0</v>
      </c>
      <c r="S720" s="185"/>
      <c r="T720" s="186"/>
      <c r="U720" s="223"/>
      <c r="V720" s="223"/>
      <c r="W720" s="223"/>
    </row>
    <row r="721" spans="1:23" s="175" customFormat="1" ht="13" customHeight="1">
      <c r="A721" s="166"/>
      <c r="B721" s="163"/>
      <c r="C721" s="167" t="str">
        <f>IFERROR(IF(VLOOKUP($B721,勘定科目!$A:$H,HLOOKUP($E$5,勘定科目!$F$1:$H$2,2,0),0)="","",VLOOKUP($B721,勘定科目!$A:$E,2,0)),"")</f>
        <v/>
      </c>
      <c r="D721" s="216" t="str">
        <f>IF(C721="","",VLOOKUP($B721,勘定科目!$A:$E,4,0))</f>
        <v/>
      </c>
      <c r="E721" s="222"/>
      <c r="F721" s="217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184">
        <f t="shared" si="17"/>
        <v>0</v>
      </c>
      <c r="S721" s="185"/>
      <c r="T721" s="186"/>
      <c r="U721" s="223"/>
      <c r="V721" s="223"/>
      <c r="W721" s="223"/>
    </row>
    <row r="722" spans="1:23" s="175" customFormat="1" ht="13" customHeight="1">
      <c r="A722" s="166"/>
      <c r="B722" s="163"/>
      <c r="C722" s="167" t="str">
        <f>IFERROR(IF(VLOOKUP($B722,勘定科目!$A:$H,HLOOKUP($E$5,勘定科目!$F$1:$H$2,2,0),0)="","",VLOOKUP($B722,勘定科目!$A:$E,2,0)),"")</f>
        <v/>
      </c>
      <c r="D722" s="216" t="str">
        <f>IF(C722="","",VLOOKUP($B722,勘定科目!$A:$E,4,0))</f>
        <v/>
      </c>
      <c r="E722" s="222"/>
      <c r="F722" s="217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184">
        <f t="shared" si="17"/>
        <v>0</v>
      </c>
      <c r="S722" s="185"/>
      <c r="T722" s="186"/>
      <c r="U722" s="223"/>
      <c r="V722" s="223"/>
      <c r="W722" s="223"/>
    </row>
    <row r="723" spans="1:23" s="175" customFormat="1" ht="13" customHeight="1">
      <c r="A723" s="166"/>
      <c r="B723" s="163"/>
      <c r="C723" s="167" t="str">
        <f>IFERROR(IF(VLOOKUP($B723,勘定科目!$A:$H,HLOOKUP($E$5,勘定科目!$F$1:$H$2,2,0),0)="","",VLOOKUP($B723,勘定科目!$A:$E,2,0)),"")</f>
        <v/>
      </c>
      <c r="D723" s="216" t="str">
        <f>IF(C723="","",VLOOKUP($B723,勘定科目!$A:$E,4,0))</f>
        <v/>
      </c>
      <c r="E723" s="222"/>
      <c r="F723" s="217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184">
        <f t="shared" si="17"/>
        <v>0</v>
      </c>
      <c r="S723" s="185"/>
      <c r="T723" s="186"/>
      <c r="U723" s="223"/>
      <c r="V723" s="223"/>
      <c r="W723" s="223"/>
    </row>
    <row r="724" spans="1:23" s="175" customFormat="1" ht="13" customHeight="1">
      <c r="A724" s="166"/>
      <c r="B724" s="163"/>
      <c r="C724" s="167" t="str">
        <f>IFERROR(IF(VLOOKUP($B724,勘定科目!$A:$H,HLOOKUP($E$5,勘定科目!$F$1:$H$2,2,0),0)="","",VLOOKUP($B724,勘定科目!$A:$E,2,0)),"")</f>
        <v/>
      </c>
      <c r="D724" s="216" t="str">
        <f>IF(C724="","",VLOOKUP($B724,勘定科目!$A:$E,4,0))</f>
        <v/>
      </c>
      <c r="E724" s="222"/>
      <c r="F724" s="217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184">
        <f t="shared" si="17"/>
        <v>0</v>
      </c>
      <c r="S724" s="185"/>
      <c r="T724" s="186"/>
      <c r="U724" s="223"/>
      <c r="V724" s="223"/>
      <c r="W724" s="223"/>
    </row>
    <row r="725" spans="1:23" s="175" customFormat="1" ht="13" customHeight="1">
      <c r="A725" s="166"/>
      <c r="B725" s="163"/>
      <c r="C725" s="167" t="str">
        <f>IFERROR(IF(VLOOKUP($B725,勘定科目!$A:$H,HLOOKUP($E$5,勘定科目!$F$1:$H$2,2,0),0)="","",VLOOKUP($B725,勘定科目!$A:$E,2,0)),"")</f>
        <v/>
      </c>
      <c r="D725" s="216" t="str">
        <f>IF(C725="","",VLOOKUP($B725,勘定科目!$A:$E,4,0))</f>
        <v/>
      </c>
      <c r="E725" s="222"/>
      <c r="F725" s="217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184">
        <f t="shared" si="17"/>
        <v>0</v>
      </c>
      <c r="S725" s="185"/>
      <c r="T725" s="186"/>
      <c r="U725" s="223"/>
      <c r="V725" s="223"/>
      <c r="W725" s="223"/>
    </row>
    <row r="726" spans="1:23" s="175" customFormat="1" ht="13" customHeight="1">
      <c r="A726" s="166"/>
      <c r="B726" s="163"/>
      <c r="C726" s="167" t="str">
        <f>IFERROR(IF(VLOOKUP($B726,勘定科目!$A:$H,HLOOKUP($E$5,勘定科目!$F$1:$H$2,2,0),0)="","",VLOOKUP($B726,勘定科目!$A:$E,2,0)),"")</f>
        <v/>
      </c>
      <c r="D726" s="216" t="str">
        <f>IF(C726="","",VLOOKUP($B726,勘定科目!$A:$E,4,0))</f>
        <v/>
      </c>
      <c r="E726" s="222"/>
      <c r="F726" s="217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184">
        <f t="shared" si="17"/>
        <v>0</v>
      </c>
      <c r="S726" s="185"/>
      <c r="T726" s="186"/>
      <c r="U726" s="223"/>
      <c r="V726" s="223"/>
      <c r="W726" s="223"/>
    </row>
    <row r="727" spans="1:23" s="175" customFormat="1" ht="13" customHeight="1">
      <c r="A727" s="166"/>
      <c r="B727" s="163"/>
      <c r="C727" s="167" t="str">
        <f>IFERROR(IF(VLOOKUP($B727,勘定科目!$A:$H,HLOOKUP($E$5,勘定科目!$F$1:$H$2,2,0),0)="","",VLOOKUP($B727,勘定科目!$A:$E,2,0)),"")</f>
        <v/>
      </c>
      <c r="D727" s="216" t="str">
        <f>IF(C727="","",VLOOKUP($B727,勘定科目!$A:$E,4,0))</f>
        <v/>
      </c>
      <c r="E727" s="222"/>
      <c r="F727" s="217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184">
        <f t="shared" si="17"/>
        <v>0</v>
      </c>
      <c r="S727" s="185"/>
      <c r="T727" s="186"/>
      <c r="U727" s="223"/>
      <c r="V727" s="223"/>
      <c r="W727" s="223"/>
    </row>
    <row r="728" spans="1:23" s="175" customFormat="1" ht="13" customHeight="1">
      <c r="A728" s="166"/>
      <c r="B728" s="163"/>
      <c r="C728" s="167" t="str">
        <f>IFERROR(IF(VLOOKUP($B728,勘定科目!$A:$H,HLOOKUP($E$5,勘定科目!$F$1:$H$2,2,0),0)="","",VLOOKUP($B728,勘定科目!$A:$E,2,0)),"")</f>
        <v/>
      </c>
      <c r="D728" s="216" t="str">
        <f>IF(C728="","",VLOOKUP($B728,勘定科目!$A:$E,4,0))</f>
        <v/>
      </c>
      <c r="E728" s="222"/>
      <c r="F728" s="217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184">
        <f t="shared" si="17"/>
        <v>0</v>
      </c>
      <c r="S728" s="185"/>
      <c r="T728" s="186"/>
      <c r="U728" s="223"/>
      <c r="V728" s="223"/>
      <c r="W728" s="223"/>
    </row>
    <row r="729" spans="1:23" s="175" customFormat="1" ht="13" customHeight="1">
      <c r="A729" s="166"/>
      <c r="B729" s="163"/>
      <c r="C729" s="167" t="str">
        <f>IFERROR(IF(VLOOKUP($B729,勘定科目!$A:$H,HLOOKUP($E$5,勘定科目!$F$1:$H$2,2,0),0)="","",VLOOKUP($B729,勘定科目!$A:$E,2,0)),"")</f>
        <v/>
      </c>
      <c r="D729" s="216" t="str">
        <f>IF(C729="","",VLOOKUP($B729,勘定科目!$A:$E,4,0))</f>
        <v/>
      </c>
      <c r="E729" s="222"/>
      <c r="F729" s="217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184">
        <f t="shared" si="17"/>
        <v>0</v>
      </c>
      <c r="S729" s="185"/>
      <c r="T729" s="186"/>
      <c r="U729" s="223"/>
      <c r="V729" s="223"/>
      <c r="W729" s="223"/>
    </row>
    <row r="730" spans="1:23" s="175" customFormat="1" ht="13" customHeight="1">
      <c r="A730" s="166"/>
      <c r="B730" s="163"/>
      <c r="C730" s="167" t="str">
        <f>IFERROR(IF(VLOOKUP($B730,勘定科目!$A:$H,HLOOKUP($E$5,勘定科目!$F$1:$H$2,2,0),0)="","",VLOOKUP($B730,勘定科目!$A:$E,2,0)),"")</f>
        <v/>
      </c>
      <c r="D730" s="216" t="str">
        <f>IF(C730="","",VLOOKUP($B730,勘定科目!$A:$E,4,0))</f>
        <v/>
      </c>
      <c r="E730" s="222"/>
      <c r="F730" s="217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184">
        <f t="shared" ref="R730:R793" si="18">SUM(F730:Q730)</f>
        <v>0</v>
      </c>
      <c r="S730" s="185"/>
      <c r="T730" s="186"/>
      <c r="U730" s="223"/>
      <c r="V730" s="223"/>
      <c r="W730" s="223"/>
    </row>
    <row r="731" spans="1:23" s="175" customFormat="1" ht="13" customHeight="1">
      <c r="A731" s="166"/>
      <c r="B731" s="163"/>
      <c r="C731" s="167" t="str">
        <f>IFERROR(IF(VLOOKUP($B731,勘定科目!$A:$H,HLOOKUP($E$5,勘定科目!$F$1:$H$2,2,0),0)="","",VLOOKUP($B731,勘定科目!$A:$E,2,0)),"")</f>
        <v/>
      </c>
      <c r="D731" s="216" t="str">
        <f>IF(C731="","",VLOOKUP($B731,勘定科目!$A:$E,4,0))</f>
        <v/>
      </c>
      <c r="E731" s="222"/>
      <c r="F731" s="217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184">
        <f t="shared" si="18"/>
        <v>0</v>
      </c>
      <c r="S731" s="185"/>
      <c r="T731" s="186"/>
      <c r="U731" s="223"/>
      <c r="V731" s="223"/>
      <c r="W731" s="223"/>
    </row>
    <row r="732" spans="1:23" s="175" customFormat="1" ht="13" customHeight="1">
      <c r="A732" s="166"/>
      <c r="B732" s="163"/>
      <c r="C732" s="167" t="str">
        <f>IFERROR(IF(VLOOKUP($B732,勘定科目!$A:$H,HLOOKUP($E$5,勘定科目!$F$1:$H$2,2,0),0)="","",VLOOKUP($B732,勘定科目!$A:$E,2,0)),"")</f>
        <v/>
      </c>
      <c r="D732" s="216" t="str">
        <f>IF(C732="","",VLOOKUP($B732,勘定科目!$A:$E,4,0))</f>
        <v/>
      </c>
      <c r="E732" s="222"/>
      <c r="F732" s="217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184">
        <f t="shared" si="18"/>
        <v>0</v>
      </c>
      <c r="S732" s="185"/>
      <c r="T732" s="186"/>
      <c r="U732" s="223"/>
      <c r="V732" s="223"/>
      <c r="W732" s="223"/>
    </row>
    <row r="733" spans="1:23" s="175" customFormat="1" ht="13" customHeight="1">
      <c r="A733" s="166"/>
      <c r="B733" s="163"/>
      <c r="C733" s="167" t="str">
        <f>IFERROR(IF(VLOOKUP($B733,勘定科目!$A:$H,HLOOKUP($E$5,勘定科目!$F$1:$H$2,2,0),0)="","",VLOOKUP($B733,勘定科目!$A:$E,2,0)),"")</f>
        <v/>
      </c>
      <c r="D733" s="216" t="str">
        <f>IF(C733="","",VLOOKUP($B733,勘定科目!$A:$E,4,0))</f>
        <v/>
      </c>
      <c r="E733" s="222"/>
      <c r="F733" s="217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184">
        <f t="shared" si="18"/>
        <v>0</v>
      </c>
      <c r="S733" s="185"/>
      <c r="T733" s="186"/>
      <c r="U733" s="223"/>
      <c r="V733" s="223"/>
      <c r="W733" s="223"/>
    </row>
    <row r="734" spans="1:23" s="175" customFormat="1" ht="13" customHeight="1">
      <c r="A734" s="166"/>
      <c r="B734" s="163"/>
      <c r="C734" s="167" t="str">
        <f>IFERROR(IF(VLOOKUP($B734,勘定科目!$A:$H,HLOOKUP($E$5,勘定科目!$F$1:$H$2,2,0),0)="","",VLOOKUP($B734,勘定科目!$A:$E,2,0)),"")</f>
        <v/>
      </c>
      <c r="D734" s="216" t="str">
        <f>IF(C734="","",VLOOKUP($B734,勘定科目!$A:$E,4,0))</f>
        <v/>
      </c>
      <c r="E734" s="222"/>
      <c r="F734" s="217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184">
        <f t="shared" si="18"/>
        <v>0</v>
      </c>
      <c r="S734" s="185"/>
      <c r="T734" s="186"/>
      <c r="U734" s="223"/>
      <c r="V734" s="223"/>
      <c r="W734" s="223"/>
    </row>
    <row r="735" spans="1:23" s="175" customFormat="1" ht="13" customHeight="1">
      <c r="A735" s="166"/>
      <c r="B735" s="163"/>
      <c r="C735" s="167" t="str">
        <f>IFERROR(IF(VLOOKUP($B735,勘定科目!$A:$H,HLOOKUP($E$5,勘定科目!$F$1:$H$2,2,0),0)="","",VLOOKUP($B735,勘定科目!$A:$E,2,0)),"")</f>
        <v/>
      </c>
      <c r="D735" s="216" t="str">
        <f>IF(C735="","",VLOOKUP($B735,勘定科目!$A:$E,4,0))</f>
        <v/>
      </c>
      <c r="E735" s="222"/>
      <c r="F735" s="217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184">
        <f t="shared" si="18"/>
        <v>0</v>
      </c>
      <c r="S735" s="185"/>
      <c r="T735" s="186"/>
      <c r="U735" s="223"/>
      <c r="V735" s="223"/>
      <c r="W735" s="223"/>
    </row>
    <row r="736" spans="1:23" s="175" customFormat="1" ht="13" customHeight="1">
      <c r="A736" s="166"/>
      <c r="B736" s="163"/>
      <c r="C736" s="167" t="str">
        <f>IFERROR(IF(VLOOKUP($B736,勘定科目!$A:$H,HLOOKUP($E$5,勘定科目!$F$1:$H$2,2,0),0)="","",VLOOKUP($B736,勘定科目!$A:$E,2,0)),"")</f>
        <v/>
      </c>
      <c r="D736" s="216" t="str">
        <f>IF(C736="","",VLOOKUP($B736,勘定科目!$A:$E,4,0))</f>
        <v/>
      </c>
      <c r="E736" s="222"/>
      <c r="F736" s="217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184">
        <f t="shared" si="18"/>
        <v>0</v>
      </c>
      <c r="S736" s="185"/>
      <c r="T736" s="186"/>
      <c r="U736" s="223"/>
      <c r="V736" s="223"/>
      <c r="W736" s="223"/>
    </row>
    <row r="737" spans="1:23" s="175" customFormat="1" ht="13" customHeight="1">
      <c r="A737" s="166"/>
      <c r="B737" s="163"/>
      <c r="C737" s="167" t="str">
        <f>IFERROR(IF(VLOOKUP($B737,勘定科目!$A:$H,HLOOKUP($E$5,勘定科目!$F$1:$H$2,2,0),0)="","",VLOOKUP($B737,勘定科目!$A:$E,2,0)),"")</f>
        <v/>
      </c>
      <c r="D737" s="216" t="str">
        <f>IF(C737="","",VLOOKUP($B737,勘定科目!$A:$E,4,0))</f>
        <v/>
      </c>
      <c r="E737" s="222"/>
      <c r="F737" s="217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184">
        <f t="shared" si="18"/>
        <v>0</v>
      </c>
      <c r="S737" s="185"/>
      <c r="T737" s="186"/>
      <c r="U737" s="223"/>
      <c r="V737" s="223"/>
      <c r="W737" s="223"/>
    </row>
    <row r="738" spans="1:23" s="175" customFormat="1" ht="13" customHeight="1">
      <c r="A738" s="166"/>
      <c r="B738" s="163"/>
      <c r="C738" s="167" t="str">
        <f>IFERROR(IF(VLOOKUP($B738,勘定科目!$A:$H,HLOOKUP($E$5,勘定科目!$F$1:$H$2,2,0),0)="","",VLOOKUP($B738,勘定科目!$A:$E,2,0)),"")</f>
        <v/>
      </c>
      <c r="D738" s="216" t="str">
        <f>IF(C738="","",VLOOKUP($B738,勘定科目!$A:$E,4,0))</f>
        <v/>
      </c>
      <c r="E738" s="222"/>
      <c r="F738" s="217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184">
        <f t="shared" si="18"/>
        <v>0</v>
      </c>
      <c r="S738" s="185"/>
      <c r="T738" s="186"/>
      <c r="U738" s="223"/>
      <c r="V738" s="223"/>
      <c r="W738" s="223"/>
    </row>
    <row r="739" spans="1:23" s="175" customFormat="1" ht="13" customHeight="1">
      <c r="A739" s="166"/>
      <c r="B739" s="163"/>
      <c r="C739" s="167" t="str">
        <f>IFERROR(IF(VLOOKUP($B739,勘定科目!$A:$H,HLOOKUP($E$5,勘定科目!$F$1:$H$2,2,0),0)="","",VLOOKUP($B739,勘定科目!$A:$E,2,0)),"")</f>
        <v/>
      </c>
      <c r="D739" s="216" t="str">
        <f>IF(C739="","",VLOOKUP($B739,勘定科目!$A:$E,4,0))</f>
        <v/>
      </c>
      <c r="E739" s="222"/>
      <c r="F739" s="217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184">
        <f t="shared" si="18"/>
        <v>0</v>
      </c>
      <c r="S739" s="185"/>
      <c r="T739" s="186"/>
      <c r="U739" s="223"/>
      <c r="V739" s="223"/>
      <c r="W739" s="223"/>
    </row>
    <row r="740" spans="1:23" s="175" customFormat="1" ht="13" customHeight="1">
      <c r="A740" s="166"/>
      <c r="B740" s="163"/>
      <c r="C740" s="167" t="str">
        <f>IFERROR(IF(VLOOKUP($B740,勘定科目!$A:$H,HLOOKUP($E$5,勘定科目!$F$1:$H$2,2,0),0)="","",VLOOKUP($B740,勘定科目!$A:$E,2,0)),"")</f>
        <v/>
      </c>
      <c r="D740" s="216" t="str">
        <f>IF(C740="","",VLOOKUP($B740,勘定科目!$A:$E,4,0))</f>
        <v/>
      </c>
      <c r="E740" s="222"/>
      <c r="F740" s="217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184">
        <f t="shared" si="18"/>
        <v>0</v>
      </c>
      <c r="S740" s="185"/>
      <c r="T740" s="186"/>
      <c r="U740" s="223"/>
      <c r="V740" s="223"/>
      <c r="W740" s="223"/>
    </row>
    <row r="741" spans="1:23" s="175" customFormat="1" ht="13" customHeight="1">
      <c r="A741" s="166"/>
      <c r="B741" s="163"/>
      <c r="C741" s="167" t="str">
        <f>IFERROR(IF(VLOOKUP($B741,勘定科目!$A:$H,HLOOKUP($E$5,勘定科目!$F$1:$H$2,2,0),0)="","",VLOOKUP($B741,勘定科目!$A:$E,2,0)),"")</f>
        <v/>
      </c>
      <c r="D741" s="216" t="str">
        <f>IF(C741="","",VLOOKUP($B741,勘定科目!$A:$E,4,0))</f>
        <v/>
      </c>
      <c r="E741" s="222"/>
      <c r="F741" s="217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184">
        <f t="shared" si="18"/>
        <v>0</v>
      </c>
      <c r="S741" s="185"/>
      <c r="T741" s="186"/>
      <c r="U741" s="223"/>
      <c r="V741" s="223"/>
      <c r="W741" s="223"/>
    </row>
    <row r="742" spans="1:23" s="175" customFormat="1" ht="13" customHeight="1">
      <c r="A742" s="166"/>
      <c r="B742" s="163"/>
      <c r="C742" s="167" t="str">
        <f>IFERROR(IF(VLOOKUP($B742,勘定科目!$A:$H,HLOOKUP($E$5,勘定科目!$F$1:$H$2,2,0),0)="","",VLOOKUP($B742,勘定科目!$A:$E,2,0)),"")</f>
        <v/>
      </c>
      <c r="D742" s="216" t="str">
        <f>IF(C742="","",VLOOKUP($B742,勘定科目!$A:$E,4,0))</f>
        <v/>
      </c>
      <c r="E742" s="222"/>
      <c r="F742" s="217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184">
        <f t="shared" si="18"/>
        <v>0</v>
      </c>
      <c r="S742" s="185"/>
      <c r="T742" s="186"/>
      <c r="U742" s="223"/>
      <c r="V742" s="223"/>
      <c r="W742" s="223"/>
    </row>
    <row r="743" spans="1:23" s="175" customFormat="1" ht="13" customHeight="1">
      <c r="A743" s="166"/>
      <c r="B743" s="163"/>
      <c r="C743" s="167" t="str">
        <f>IFERROR(IF(VLOOKUP($B743,勘定科目!$A:$H,HLOOKUP($E$5,勘定科目!$F$1:$H$2,2,0),0)="","",VLOOKUP($B743,勘定科目!$A:$E,2,0)),"")</f>
        <v/>
      </c>
      <c r="D743" s="216" t="str">
        <f>IF(C743="","",VLOOKUP($B743,勘定科目!$A:$E,4,0))</f>
        <v/>
      </c>
      <c r="E743" s="222"/>
      <c r="F743" s="217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184">
        <f t="shared" si="18"/>
        <v>0</v>
      </c>
      <c r="S743" s="185"/>
      <c r="T743" s="186"/>
      <c r="U743" s="223"/>
      <c r="V743" s="223"/>
      <c r="W743" s="223"/>
    </row>
    <row r="744" spans="1:23" s="175" customFormat="1" ht="13" customHeight="1">
      <c r="A744" s="166"/>
      <c r="B744" s="163"/>
      <c r="C744" s="167" t="str">
        <f>IFERROR(IF(VLOOKUP($B744,勘定科目!$A:$H,HLOOKUP($E$5,勘定科目!$F$1:$H$2,2,0),0)="","",VLOOKUP($B744,勘定科目!$A:$E,2,0)),"")</f>
        <v/>
      </c>
      <c r="D744" s="216" t="str">
        <f>IF(C744="","",VLOOKUP($B744,勘定科目!$A:$E,4,0))</f>
        <v/>
      </c>
      <c r="E744" s="222"/>
      <c r="F744" s="217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184">
        <f t="shared" si="18"/>
        <v>0</v>
      </c>
      <c r="S744" s="185"/>
      <c r="T744" s="186"/>
      <c r="U744" s="223"/>
      <c r="V744" s="223"/>
      <c r="W744" s="223"/>
    </row>
    <row r="745" spans="1:23" s="175" customFormat="1" ht="13" customHeight="1">
      <c r="A745" s="166"/>
      <c r="B745" s="163"/>
      <c r="C745" s="167" t="str">
        <f>IFERROR(IF(VLOOKUP($B745,勘定科目!$A:$H,HLOOKUP($E$5,勘定科目!$F$1:$H$2,2,0),0)="","",VLOOKUP($B745,勘定科目!$A:$E,2,0)),"")</f>
        <v/>
      </c>
      <c r="D745" s="216" t="str">
        <f>IF(C745="","",VLOOKUP($B745,勘定科目!$A:$E,4,0))</f>
        <v/>
      </c>
      <c r="E745" s="222"/>
      <c r="F745" s="217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184">
        <f t="shared" si="18"/>
        <v>0</v>
      </c>
      <c r="S745" s="185"/>
      <c r="T745" s="186"/>
      <c r="U745" s="223"/>
      <c r="V745" s="223"/>
      <c r="W745" s="223"/>
    </row>
    <row r="746" spans="1:23" s="175" customFormat="1" ht="13" customHeight="1">
      <c r="A746" s="166"/>
      <c r="B746" s="163"/>
      <c r="C746" s="167" t="str">
        <f>IFERROR(IF(VLOOKUP($B746,勘定科目!$A:$H,HLOOKUP($E$5,勘定科目!$F$1:$H$2,2,0),0)="","",VLOOKUP($B746,勘定科目!$A:$E,2,0)),"")</f>
        <v/>
      </c>
      <c r="D746" s="216" t="str">
        <f>IF(C746="","",VLOOKUP($B746,勘定科目!$A:$E,4,0))</f>
        <v/>
      </c>
      <c r="E746" s="222"/>
      <c r="F746" s="217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184">
        <f t="shared" si="18"/>
        <v>0</v>
      </c>
      <c r="S746" s="185"/>
      <c r="T746" s="186"/>
      <c r="U746" s="223"/>
      <c r="V746" s="223"/>
      <c r="W746" s="223"/>
    </row>
    <row r="747" spans="1:23" s="175" customFormat="1" ht="13" customHeight="1">
      <c r="A747" s="166"/>
      <c r="B747" s="163"/>
      <c r="C747" s="167" t="str">
        <f>IFERROR(IF(VLOOKUP($B747,勘定科目!$A:$H,HLOOKUP($E$5,勘定科目!$F$1:$H$2,2,0),0)="","",VLOOKUP($B747,勘定科目!$A:$E,2,0)),"")</f>
        <v/>
      </c>
      <c r="D747" s="216" t="str">
        <f>IF(C747="","",VLOOKUP($B747,勘定科目!$A:$E,4,0))</f>
        <v/>
      </c>
      <c r="E747" s="222"/>
      <c r="F747" s="217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184">
        <f t="shared" si="18"/>
        <v>0</v>
      </c>
      <c r="S747" s="185"/>
      <c r="T747" s="186"/>
      <c r="U747" s="223"/>
      <c r="V747" s="223"/>
      <c r="W747" s="223"/>
    </row>
    <row r="748" spans="1:23" s="175" customFormat="1" ht="13" customHeight="1">
      <c r="A748" s="166"/>
      <c r="B748" s="163"/>
      <c r="C748" s="167" t="str">
        <f>IFERROR(IF(VLOOKUP($B748,勘定科目!$A:$H,HLOOKUP($E$5,勘定科目!$F$1:$H$2,2,0),0)="","",VLOOKUP($B748,勘定科目!$A:$E,2,0)),"")</f>
        <v/>
      </c>
      <c r="D748" s="216" t="str">
        <f>IF(C748="","",VLOOKUP($B748,勘定科目!$A:$E,4,0))</f>
        <v/>
      </c>
      <c r="E748" s="222"/>
      <c r="F748" s="217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184">
        <f t="shared" si="18"/>
        <v>0</v>
      </c>
      <c r="S748" s="185"/>
      <c r="T748" s="186"/>
      <c r="U748" s="223"/>
      <c r="V748" s="223"/>
      <c r="W748" s="223"/>
    </row>
    <row r="749" spans="1:23" s="175" customFormat="1" ht="13" customHeight="1">
      <c r="A749" s="166"/>
      <c r="B749" s="163"/>
      <c r="C749" s="167" t="str">
        <f>IFERROR(IF(VLOOKUP($B749,勘定科目!$A:$H,HLOOKUP($E$5,勘定科目!$F$1:$H$2,2,0),0)="","",VLOOKUP($B749,勘定科目!$A:$E,2,0)),"")</f>
        <v/>
      </c>
      <c r="D749" s="216" t="str">
        <f>IF(C749="","",VLOOKUP($B749,勘定科目!$A:$E,4,0))</f>
        <v/>
      </c>
      <c r="E749" s="222"/>
      <c r="F749" s="217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184">
        <f t="shared" si="18"/>
        <v>0</v>
      </c>
      <c r="S749" s="185"/>
      <c r="T749" s="186"/>
      <c r="U749" s="223"/>
      <c r="V749" s="223"/>
      <c r="W749" s="223"/>
    </row>
    <row r="750" spans="1:23" s="175" customFormat="1" ht="13" customHeight="1">
      <c r="A750" s="166"/>
      <c r="B750" s="163"/>
      <c r="C750" s="167" t="str">
        <f>IFERROR(IF(VLOOKUP($B750,勘定科目!$A:$H,HLOOKUP($E$5,勘定科目!$F$1:$H$2,2,0),0)="","",VLOOKUP($B750,勘定科目!$A:$E,2,0)),"")</f>
        <v/>
      </c>
      <c r="D750" s="216" t="str">
        <f>IF(C750="","",VLOOKUP($B750,勘定科目!$A:$E,4,0))</f>
        <v/>
      </c>
      <c r="E750" s="222"/>
      <c r="F750" s="217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184">
        <f t="shared" si="18"/>
        <v>0</v>
      </c>
      <c r="S750" s="185"/>
      <c r="T750" s="186"/>
      <c r="U750" s="223"/>
      <c r="V750" s="223"/>
      <c r="W750" s="223"/>
    </row>
    <row r="751" spans="1:23" s="175" customFormat="1" ht="13" customHeight="1">
      <c r="A751" s="166"/>
      <c r="B751" s="163"/>
      <c r="C751" s="167" t="str">
        <f>IFERROR(IF(VLOOKUP($B751,勘定科目!$A:$H,HLOOKUP($E$5,勘定科目!$F$1:$H$2,2,0),0)="","",VLOOKUP($B751,勘定科目!$A:$E,2,0)),"")</f>
        <v/>
      </c>
      <c r="D751" s="216" t="str">
        <f>IF(C751="","",VLOOKUP($B751,勘定科目!$A:$E,4,0))</f>
        <v/>
      </c>
      <c r="E751" s="222"/>
      <c r="F751" s="217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184">
        <f t="shared" si="18"/>
        <v>0</v>
      </c>
      <c r="S751" s="185"/>
      <c r="T751" s="186"/>
      <c r="U751" s="223"/>
      <c r="V751" s="223"/>
      <c r="W751" s="223"/>
    </row>
    <row r="752" spans="1:23" s="175" customFormat="1" ht="13" customHeight="1">
      <c r="A752" s="166"/>
      <c r="B752" s="163"/>
      <c r="C752" s="167" t="str">
        <f>IFERROR(IF(VLOOKUP($B752,勘定科目!$A:$H,HLOOKUP($E$5,勘定科目!$F$1:$H$2,2,0),0)="","",VLOOKUP($B752,勘定科目!$A:$E,2,0)),"")</f>
        <v/>
      </c>
      <c r="D752" s="216" t="str">
        <f>IF(C752="","",VLOOKUP($B752,勘定科目!$A:$E,4,0))</f>
        <v/>
      </c>
      <c r="E752" s="222"/>
      <c r="F752" s="217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184">
        <f t="shared" si="18"/>
        <v>0</v>
      </c>
      <c r="S752" s="185"/>
      <c r="T752" s="186"/>
      <c r="U752" s="223"/>
      <c r="V752" s="223"/>
      <c r="W752" s="223"/>
    </row>
    <row r="753" spans="1:23" s="175" customFormat="1" ht="13" customHeight="1">
      <c r="A753" s="166"/>
      <c r="B753" s="163"/>
      <c r="C753" s="167" t="str">
        <f>IFERROR(IF(VLOOKUP($B753,勘定科目!$A:$H,HLOOKUP($E$5,勘定科目!$F$1:$H$2,2,0),0)="","",VLOOKUP($B753,勘定科目!$A:$E,2,0)),"")</f>
        <v/>
      </c>
      <c r="D753" s="216" t="str">
        <f>IF(C753="","",VLOOKUP($B753,勘定科目!$A:$E,4,0))</f>
        <v/>
      </c>
      <c r="E753" s="222"/>
      <c r="F753" s="217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184">
        <f t="shared" si="18"/>
        <v>0</v>
      </c>
      <c r="S753" s="185"/>
      <c r="T753" s="186"/>
      <c r="U753" s="223"/>
      <c r="V753" s="223"/>
      <c r="W753" s="223"/>
    </row>
    <row r="754" spans="1:23" s="175" customFormat="1" ht="13" customHeight="1">
      <c r="A754" s="166"/>
      <c r="B754" s="163"/>
      <c r="C754" s="167" t="str">
        <f>IFERROR(IF(VLOOKUP($B754,勘定科目!$A:$H,HLOOKUP($E$5,勘定科目!$F$1:$H$2,2,0),0)="","",VLOOKUP($B754,勘定科目!$A:$E,2,0)),"")</f>
        <v/>
      </c>
      <c r="D754" s="216" t="str">
        <f>IF(C754="","",VLOOKUP($B754,勘定科目!$A:$E,4,0))</f>
        <v/>
      </c>
      <c r="E754" s="222"/>
      <c r="F754" s="217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184">
        <f t="shared" si="18"/>
        <v>0</v>
      </c>
      <c r="S754" s="185"/>
      <c r="T754" s="186"/>
      <c r="U754" s="223"/>
      <c r="V754" s="223"/>
      <c r="W754" s="223"/>
    </row>
    <row r="755" spans="1:23" s="175" customFormat="1" ht="13" customHeight="1">
      <c r="A755" s="166"/>
      <c r="B755" s="163"/>
      <c r="C755" s="167" t="str">
        <f>IFERROR(IF(VLOOKUP($B755,勘定科目!$A:$H,HLOOKUP($E$5,勘定科目!$F$1:$H$2,2,0),0)="","",VLOOKUP($B755,勘定科目!$A:$E,2,0)),"")</f>
        <v/>
      </c>
      <c r="D755" s="216" t="str">
        <f>IF(C755="","",VLOOKUP($B755,勘定科目!$A:$E,4,0))</f>
        <v/>
      </c>
      <c r="E755" s="222"/>
      <c r="F755" s="217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184">
        <f t="shared" si="18"/>
        <v>0</v>
      </c>
      <c r="S755" s="185"/>
      <c r="T755" s="186"/>
      <c r="U755" s="223"/>
      <c r="V755" s="223"/>
      <c r="W755" s="223"/>
    </row>
    <row r="756" spans="1:23" s="175" customFormat="1" ht="13" customHeight="1">
      <c r="A756" s="166"/>
      <c r="B756" s="163"/>
      <c r="C756" s="167" t="str">
        <f>IFERROR(IF(VLOOKUP($B756,勘定科目!$A:$H,HLOOKUP($E$5,勘定科目!$F$1:$H$2,2,0),0)="","",VLOOKUP($B756,勘定科目!$A:$E,2,0)),"")</f>
        <v/>
      </c>
      <c r="D756" s="216" t="str">
        <f>IF(C756="","",VLOOKUP($B756,勘定科目!$A:$E,4,0))</f>
        <v/>
      </c>
      <c r="E756" s="222"/>
      <c r="F756" s="217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184">
        <f t="shared" si="18"/>
        <v>0</v>
      </c>
      <c r="S756" s="185"/>
      <c r="T756" s="186"/>
      <c r="U756" s="223"/>
      <c r="V756" s="223"/>
      <c r="W756" s="223"/>
    </row>
    <row r="757" spans="1:23" s="175" customFormat="1" ht="13" customHeight="1">
      <c r="A757" s="166"/>
      <c r="B757" s="163"/>
      <c r="C757" s="167" t="str">
        <f>IFERROR(IF(VLOOKUP($B757,勘定科目!$A:$H,HLOOKUP($E$5,勘定科目!$F$1:$H$2,2,0),0)="","",VLOOKUP($B757,勘定科目!$A:$E,2,0)),"")</f>
        <v/>
      </c>
      <c r="D757" s="216" t="str">
        <f>IF(C757="","",VLOOKUP($B757,勘定科目!$A:$E,4,0))</f>
        <v/>
      </c>
      <c r="E757" s="222"/>
      <c r="F757" s="217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184">
        <f t="shared" si="18"/>
        <v>0</v>
      </c>
      <c r="S757" s="185"/>
      <c r="T757" s="186"/>
      <c r="U757" s="223"/>
      <c r="V757" s="223"/>
      <c r="W757" s="223"/>
    </row>
    <row r="758" spans="1:23" s="175" customFormat="1" ht="13" customHeight="1">
      <c r="A758" s="166"/>
      <c r="B758" s="163"/>
      <c r="C758" s="167" t="str">
        <f>IFERROR(IF(VLOOKUP($B758,勘定科目!$A:$H,HLOOKUP($E$5,勘定科目!$F$1:$H$2,2,0),0)="","",VLOOKUP($B758,勘定科目!$A:$E,2,0)),"")</f>
        <v/>
      </c>
      <c r="D758" s="216" t="str">
        <f>IF(C758="","",VLOOKUP($B758,勘定科目!$A:$E,4,0))</f>
        <v/>
      </c>
      <c r="E758" s="222"/>
      <c r="F758" s="217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184">
        <f t="shared" si="18"/>
        <v>0</v>
      </c>
      <c r="S758" s="185"/>
      <c r="T758" s="186"/>
      <c r="U758" s="223"/>
      <c r="V758" s="223"/>
      <c r="W758" s="223"/>
    </row>
    <row r="759" spans="1:23" s="175" customFormat="1" ht="13" customHeight="1">
      <c r="A759" s="166"/>
      <c r="B759" s="163"/>
      <c r="C759" s="167" t="str">
        <f>IFERROR(IF(VLOOKUP($B759,勘定科目!$A:$H,HLOOKUP($E$5,勘定科目!$F$1:$H$2,2,0),0)="","",VLOOKUP($B759,勘定科目!$A:$E,2,0)),"")</f>
        <v/>
      </c>
      <c r="D759" s="216" t="str">
        <f>IF(C759="","",VLOOKUP($B759,勘定科目!$A:$E,4,0))</f>
        <v/>
      </c>
      <c r="E759" s="222"/>
      <c r="F759" s="217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184">
        <f t="shared" si="18"/>
        <v>0</v>
      </c>
      <c r="S759" s="185"/>
      <c r="T759" s="186"/>
      <c r="U759" s="223"/>
      <c r="V759" s="223"/>
      <c r="W759" s="223"/>
    </row>
    <row r="760" spans="1:23" s="175" customFormat="1" ht="13" customHeight="1">
      <c r="A760" s="166"/>
      <c r="B760" s="163"/>
      <c r="C760" s="167" t="str">
        <f>IFERROR(IF(VLOOKUP($B760,勘定科目!$A:$H,HLOOKUP($E$5,勘定科目!$F$1:$H$2,2,0),0)="","",VLOOKUP($B760,勘定科目!$A:$E,2,0)),"")</f>
        <v/>
      </c>
      <c r="D760" s="216" t="str">
        <f>IF(C760="","",VLOOKUP($B760,勘定科目!$A:$E,4,0))</f>
        <v/>
      </c>
      <c r="E760" s="222"/>
      <c r="F760" s="217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184">
        <f t="shared" si="18"/>
        <v>0</v>
      </c>
      <c r="S760" s="185"/>
      <c r="T760" s="186"/>
      <c r="U760" s="223"/>
      <c r="V760" s="223"/>
      <c r="W760" s="223"/>
    </row>
    <row r="761" spans="1:23" s="175" customFormat="1" ht="13" customHeight="1">
      <c r="A761" s="166"/>
      <c r="B761" s="163"/>
      <c r="C761" s="167" t="str">
        <f>IFERROR(IF(VLOOKUP($B761,勘定科目!$A:$H,HLOOKUP($E$5,勘定科目!$F$1:$H$2,2,0),0)="","",VLOOKUP($B761,勘定科目!$A:$E,2,0)),"")</f>
        <v/>
      </c>
      <c r="D761" s="216" t="str">
        <f>IF(C761="","",VLOOKUP($B761,勘定科目!$A:$E,4,0))</f>
        <v/>
      </c>
      <c r="E761" s="222"/>
      <c r="F761" s="217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184">
        <f t="shared" si="18"/>
        <v>0</v>
      </c>
      <c r="S761" s="185"/>
      <c r="T761" s="186"/>
      <c r="U761" s="223"/>
      <c r="V761" s="223"/>
      <c r="W761" s="223"/>
    </row>
    <row r="762" spans="1:23" s="175" customFormat="1" ht="13" customHeight="1">
      <c r="A762" s="166"/>
      <c r="B762" s="163"/>
      <c r="C762" s="167" t="str">
        <f>IFERROR(IF(VLOOKUP($B762,勘定科目!$A:$H,HLOOKUP($E$5,勘定科目!$F$1:$H$2,2,0),0)="","",VLOOKUP($B762,勘定科目!$A:$E,2,0)),"")</f>
        <v/>
      </c>
      <c r="D762" s="216" t="str">
        <f>IF(C762="","",VLOOKUP($B762,勘定科目!$A:$E,4,0))</f>
        <v/>
      </c>
      <c r="E762" s="222"/>
      <c r="F762" s="217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184">
        <f t="shared" si="18"/>
        <v>0</v>
      </c>
      <c r="S762" s="185"/>
      <c r="T762" s="186"/>
      <c r="U762" s="223"/>
      <c r="V762" s="223"/>
      <c r="W762" s="223"/>
    </row>
    <row r="763" spans="1:23" s="175" customFormat="1" ht="13" customHeight="1">
      <c r="A763" s="166"/>
      <c r="B763" s="163"/>
      <c r="C763" s="167" t="str">
        <f>IFERROR(IF(VLOOKUP($B763,勘定科目!$A:$H,HLOOKUP($E$5,勘定科目!$F$1:$H$2,2,0),0)="","",VLOOKUP($B763,勘定科目!$A:$E,2,0)),"")</f>
        <v/>
      </c>
      <c r="D763" s="216" t="str">
        <f>IF(C763="","",VLOOKUP($B763,勘定科目!$A:$E,4,0))</f>
        <v/>
      </c>
      <c r="E763" s="222"/>
      <c r="F763" s="217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184">
        <f t="shared" si="18"/>
        <v>0</v>
      </c>
      <c r="S763" s="185"/>
      <c r="T763" s="186"/>
      <c r="U763" s="223"/>
      <c r="V763" s="223"/>
      <c r="W763" s="223"/>
    </row>
    <row r="764" spans="1:23" s="175" customFormat="1" ht="13" customHeight="1">
      <c r="A764" s="166"/>
      <c r="B764" s="163"/>
      <c r="C764" s="167" t="str">
        <f>IFERROR(IF(VLOOKUP($B764,勘定科目!$A:$H,HLOOKUP($E$5,勘定科目!$F$1:$H$2,2,0),0)="","",VLOOKUP($B764,勘定科目!$A:$E,2,0)),"")</f>
        <v/>
      </c>
      <c r="D764" s="216" t="str">
        <f>IF(C764="","",VLOOKUP($B764,勘定科目!$A:$E,4,0))</f>
        <v/>
      </c>
      <c r="E764" s="222"/>
      <c r="F764" s="217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184">
        <f t="shared" si="18"/>
        <v>0</v>
      </c>
      <c r="S764" s="185"/>
      <c r="T764" s="186"/>
      <c r="U764" s="223"/>
      <c r="V764" s="223"/>
      <c r="W764" s="223"/>
    </row>
    <row r="765" spans="1:23" s="175" customFormat="1" ht="13" customHeight="1">
      <c r="A765" s="166"/>
      <c r="B765" s="163"/>
      <c r="C765" s="167" t="str">
        <f>IFERROR(IF(VLOOKUP($B765,勘定科目!$A:$H,HLOOKUP($E$5,勘定科目!$F$1:$H$2,2,0),0)="","",VLOOKUP($B765,勘定科目!$A:$E,2,0)),"")</f>
        <v/>
      </c>
      <c r="D765" s="216" t="str">
        <f>IF(C765="","",VLOOKUP($B765,勘定科目!$A:$E,4,0))</f>
        <v/>
      </c>
      <c r="E765" s="222"/>
      <c r="F765" s="217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184">
        <f t="shared" si="18"/>
        <v>0</v>
      </c>
      <c r="S765" s="185"/>
      <c r="T765" s="186"/>
      <c r="U765" s="223"/>
      <c r="V765" s="223"/>
      <c r="W765" s="223"/>
    </row>
    <row r="766" spans="1:23" s="175" customFormat="1" ht="13" customHeight="1">
      <c r="A766" s="166"/>
      <c r="B766" s="163"/>
      <c r="C766" s="167" t="str">
        <f>IFERROR(IF(VLOOKUP($B766,勘定科目!$A:$H,HLOOKUP($E$5,勘定科目!$F$1:$H$2,2,0),0)="","",VLOOKUP($B766,勘定科目!$A:$E,2,0)),"")</f>
        <v/>
      </c>
      <c r="D766" s="216" t="str">
        <f>IF(C766="","",VLOOKUP($B766,勘定科目!$A:$E,4,0))</f>
        <v/>
      </c>
      <c r="E766" s="222"/>
      <c r="F766" s="217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184">
        <f t="shared" si="18"/>
        <v>0</v>
      </c>
      <c r="S766" s="185"/>
      <c r="T766" s="186"/>
      <c r="U766" s="223"/>
      <c r="V766" s="223"/>
      <c r="W766" s="223"/>
    </row>
    <row r="767" spans="1:23" s="175" customFormat="1" ht="13" customHeight="1">
      <c r="A767" s="166"/>
      <c r="B767" s="163"/>
      <c r="C767" s="167" t="str">
        <f>IFERROR(IF(VLOOKUP($B767,勘定科目!$A:$H,HLOOKUP($E$5,勘定科目!$F$1:$H$2,2,0),0)="","",VLOOKUP($B767,勘定科目!$A:$E,2,0)),"")</f>
        <v/>
      </c>
      <c r="D767" s="216" t="str">
        <f>IF(C767="","",VLOOKUP($B767,勘定科目!$A:$E,4,0))</f>
        <v/>
      </c>
      <c r="E767" s="222"/>
      <c r="F767" s="217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184">
        <f t="shared" si="18"/>
        <v>0</v>
      </c>
      <c r="S767" s="185"/>
      <c r="T767" s="186"/>
      <c r="U767" s="223"/>
      <c r="V767" s="223"/>
      <c r="W767" s="223"/>
    </row>
    <row r="768" spans="1:23" s="175" customFormat="1" ht="13" customHeight="1">
      <c r="A768" s="166"/>
      <c r="B768" s="163"/>
      <c r="C768" s="167" t="str">
        <f>IFERROR(IF(VLOOKUP($B768,勘定科目!$A:$H,HLOOKUP($E$5,勘定科目!$F$1:$H$2,2,0),0)="","",VLOOKUP($B768,勘定科目!$A:$E,2,0)),"")</f>
        <v/>
      </c>
      <c r="D768" s="216" t="str">
        <f>IF(C768="","",VLOOKUP($B768,勘定科目!$A:$E,4,0))</f>
        <v/>
      </c>
      <c r="E768" s="222"/>
      <c r="F768" s="217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184">
        <f t="shared" si="18"/>
        <v>0</v>
      </c>
      <c r="S768" s="185"/>
      <c r="T768" s="186"/>
      <c r="U768" s="223"/>
      <c r="V768" s="223"/>
      <c r="W768" s="223"/>
    </row>
    <row r="769" spans="1:23" s="175" customFormat="1" ht="13" customHeight="1">
      <c r="A769" s="166"/>
      <c r="B769" s="163"/>
      <c r="C769" s="167" t="str">
        <f>IFERROR(IF(VLOOKUP($B769,勘定科目!$A:$H,HLOOKUP($E$5,勘定科目!$F$1:$H$2,2,0),0)="","",VLOOKUP($B769,勘定科目!$A:$E,2,0)),"")</f>
        <v/>
      </c>
      <c r="D769" s="216" t="str">
        <f>IF(C769="","",VLOOKUP($B769,勘定科目!$A:$E,4,0))</f>
        <v/>
      </c>
      <c r="E769" s="222"/>
      <c r="F769" s="217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184">
        <f t="shared" si="18"/>
        <v>0</v>
      </c>
      <c r="S769" s="185"/>
      <c r="T769" s="186"/>
      <c r="U769" s="223"/>
      <c r="V769" s="223"/>
      <c r="W769" s="223"/>
    </row>
    <row r="770" spans="1:23" s="175" customFormat="1" ht="13" customHeight="1">
      <c r="A770" s="166"/>
      <c r="B770" s="163"/>
      <c r="C770" s="167" t="str">
        <f>IFERROR(IF(VLOOKUP($B770,勘定科目!$A:$H,HLOOKUP($E$5,勘定科目!$F$1:$H$2,2,0),0)="","",VLOOKUP($B770,勘定科目!$A:$E,2,0)),"")</f>
        <v/>
      </c>
      <c r="D770" s="216" t="str">
        <f>IF(C770="","",VLOOKUP($B770,勘定科目!$A:$E,4,0))</f>
        <v/>
      </c>
      <c r="E770" s="222"/>
      <c r="F770" s="217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184">
        <f t="shared" si="18"/>
        <v>0</v>
      </c>
      <c r="S770" s="185"/>
      <c r="T770" s="186"/>
      <c r="U770" s="223"/>
      <c r="V770" s="223"/>
      <c r="W770" s="223"/>
    </row>
    <row r="771" spans="1:23" s="175" customFormat="1" ht="13" customHeight="1">
      <c r="A771" s="166"/>
      <c r="B771" s="163"/>
      <c r="C771" s="167" t="str">
        <f>IFERROR(IF(VLOOKUP($B771,勘定科目!$A:$H,HLOOKUP($E$5,勘定科目!$F$1:$H$2,2,0),0)="","",VLOOKUP($B771,勘定科目!$A:$E,2,0)),"")</f>
        <v/>
      </c>
      <c r="D771" s="216" t="str">
        <f>IF(C771="","",VLOOKUP($B771,勘定科目!$A:$E,4,0))</f>
        <v/>
      </c>
      <c r="E771" s="222"/>
      <c r="F771" s="217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184">
        <f t="shared" si="18"/>
        <v>0</v>
      </c>
      <c r="S771" s="185"/>
      <c r="T771" s="186"/>
      <c r="U771" s="223"/>
      <c r="V771" s="223"/>
      <c r="W771" s="223"/>
    </row>
    <row r="772" spans="1:23" s="175" customFormat="1" ht="13" customHeight="1">
      <c r="A772" s="166"/>
      <c r="B772" s="163"/>
      <c r="C772" s="167" t="str">
        <f>IFERROR(IF(VLOOKUP($B772,勘定科目!$A:$H,HLOOKUP($E$5,勘定科目!$F$1:$H$2,2,0),0)="","",VLOOKUP($B772,勘定科目!$A:$E,2,0)),"")</f>
        <v/>
      </c>
      <c r="D772" s="216" t="str">
        <f>IF(C772="","",VLOOKUP($B772,勘定科目!$A:$E,4,0))</f>
        <v/>
      </c>
      <c r="E772" s="222"/>
      <c r="F772" s="217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184">
        <f t="shared" si="18"/>
        <v>0</v>
      </c>
      <c r="S772" s="185"/>
      <c r="T772" s="186"/>
      <c r="U772" s="223"/>
      <c r="V772" s="223"/>
      <c r="W772" s="223"/>
    </row>
    <row r="773" spans="1:23" s="175" customFormat="1" ht="13" customHeight="1">
      <c r="A773" s="166"/>
      <c r="B773" s="163"/>
      <c r="C773" s="167" t="str">
        <f>IFERROR(IF(VLOOKUP($B773,勘定科目!$A:$H,HLOOKUP($E$5,勘定科目!$F$1:$H$2,2,0),0)="","",VLOOKUP($B773,勘定科目!$A:$E,2,0)),"")</f>
        <v/>
      </c>
      <c r="D773" s="216" t="str">
        <f>IF(C773="","",VLOOKUP($B773,勘定科目!$A:$E,4,0))</f>
        <v/>
      </c>
      <c r="E773" s="222"/>
      <c r="F773" s="217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184">
        <f t="shared" si="18"/>
        <v>0</v>
      </c>
      <c r="S773" s="185"/>
      <c r="T773" s="186"/>
      <c r="U773" s="223"/>
      <c r="V773" s="223"/>
      <c r="W773" s="223"/>
    </row>
    <row r="774" spans="1:23" s="175" customFormat="1" ht="13" customHeight="1">
      <c r="A774" s="166"/>
      <c r="B774" s="163"/>
      <c r="C774" s="167" t="str">
        <f>IFERROR(IF(VLOOKUP($B774,勘定科目!$A:$H,HLOOKUP($E$5,勘定科目!$F$1:$H$2,2,0),0)="","",VLOOKUP($B774,勘定科目!$A:$E,2,0)),"")</f>
        <v/>
      </c>
      <c r="D774" s="216" t="str">
        <f>IF(C774="","",VLOOKUP($B774,勘定科目!$A:$E,4,0))</f>
        <v/>
      </c>
      <c r="E774" s="222"/>
      <c r="F774" s="217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184">
        <f t="shared" si="18"/>
        <v>0</v>
      </c>
      <c r="S774" s="185"/>
      <c r="T774" s="186"/>
      <c r="U774" s="223"/>
      <c r="V774" s="223"/>
      <c r="W774" s="223"/>
    </row>
    <row r="775" spans="1:23" s="175" customFormat="1" ht="13" customHeight="1">
      <c r="A775" s="166"/>
      <c r="B775" s="163"/>
      <c r="C775" s="167" t="str">
        <f>IFERROR(IF(VLOOKUP($B775,勘定科目!$A:$H,HLOOKUP($E$5,勘定科目!$F$1:$H$2,2,0),0)="","",VLOOKUP($B775,勘定科目!$A:$E,2,0)),"")</f>
        <v/>
      </c>
      <c r="D775" s="216" t="str">
        <f>IF(C775="","",VLOOKUP($B775,勘定科目!$A:$E,4,0))</f>
        <v/>
      </c>
      <c r="E775" s="222"/>
      <c r="F775" s="217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184">
        <f t="shared" si="18"/>
        <v>0</v>
      </c>
      <c r="S775" s="185"/>
      <c r="T775" s="186"/>
      <c r="U775" s="223"/>
      <c r="V775" s="223"/>
      <c r="W775" s="223"/>
    </row>
    <row r="776" spans="1:23" s="175" customFormat="1" ht="13" customHeight="1">
      <c r="A776" s="166"/>
      <c r="B776" s="163"/>
      <c r="C776" s="167" t="str">
        <f>IFERROR(IF(VLOOKUP($B776,勘定科目!$A:$H,HLOOKUP($E$5,勘定科目!$F$1:$H$2,2,0),0)="","",VLOOKUP($B776,勘定科目!$A:$E,2,0)),"")</f>
        <v/>
      </c>
      <c r="D776" s="216" t="str">
        <f>IF(C776="","",VLOOKUP($B776,勘定科目!$A:$E,4,0))</f>
        <v/>
      </c>
      <c r="E776" s="222"/>
      <c r="F776" s="217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184">
        <f t="shared" si="18"/>
        <v>0</v>
      </c>
      <c r="S776" s="185"/>
      <c r="T776" s="186"/>
      <c r="U776" s="223"/>
      <c r="V776" s="223"/>
      <c r="W776" s="223"/>
    </row>
    <row r="777" spans="1:23" s="175" customFormat="1" ht="13" customHeight="1">
      <c r="A777" s="166"/>
      <c r="B777" s="163"/>
      <c r="C777" s="167" t="str">
        <f>IFERROR(IF(VLOOKUP($B777,勘定科目!$A:$H,HLOOKUP($E$5,勘定科目!$F$1:$H$2,2,0),0)="","",VLOOKUP($B777,勘定科目!$A:$E,2,0)),"")</f>
        <v/>
      </c>
      <c r="D777" s="216" t="str">
        <f>IF(C777="","",VLOOKUP($B777,勘定科目!$A:$E,4,0))</f>
        <v/>
      </c>
      <c r="E777" s="222"/>
      <c r="F777" s="217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184">
        <f t="shared" si="18"/>
        <v>0</v>
      </c>
      <c r="S777" s="185"/>
      <c r="T777" s="186"/>
      <c r="U777" s="223"/>
      <c r="V777" s="223"/>
      <c r="W777" s="223"/>
    </row>
    <row r="778" spans="1:23" s="175" customFormat="1" ht="13" customHeight="1">
      <c r="A778" s="166"/>
      <c r="B778" s="163"/>
      <c r="C778" s="167" t="str">
        <f>IFERROR(IF(VLOOKUP($B778,勘定科目!$A:$H,HLOOKUP($E$5,勘定科目!$F$1:$H$2,2,0),0)="","",VLOOKUP($B778,勘定科目!$A:$E,2,0)),"")</f>
        <v/>
      </c>
      <c r="D778" s="216" t="str">
        <f>IF(C778="","",VLOOKUP($B778,勘定科目!$A:$E,4,0))</f>
        <v/>
      </c>
      <c r="E778" s="222"/>
      <c r="F778" s="217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184">
        <f t="shared" si="18"/>
        <v>0</v>
      </c>
      <c r="S778" s="185"/>
      <c r="T778" s="186"/>
      <c r="U778" s="223"/>
      <c r="V778" s="223"/>
      <c r="W778" s="223"/>
    </row>
    <row r="779" spans="1:23" s="175" customFormat="1" ht="13" customHeight="1">
      <c r="A779" s="166"/>
      <c r="B779" s="163"/>
      <c r="C779" s="167" t="str">
        <f>IFERROR(IF(VLOOKUP($B779,勘定科目!$A:$H,HLOOKUP($E$5,勘定科目!$F$1:$H$2,2,0),0)="","",VLOOKUP($B779,勘定科目!$A:$E,2,0)),"")</f>
        <v/>
      </c>
      <c r="D779" s="216" t="str">
        <f>IF(C779="","",VLOOKUP($B779,勘定科目!$A:$E,4,0))</f>
        <v/>
      </c>
      <c r="E779" s="222"/>
      <c r="F779" s="217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184">
        <f t="shared" si="18"/>
        <v>0</v>
      </c>
      <c r="S779" s="185"/>
      <c r="T779" s="186"/>
      <c r="U779" s="223"/>
      <c r="V779" s="223"/>
      <c r="W779" s="223"/>
    </row>
    <row r="780" spans="1:23" s="175" customFormat="1" ht="13" customHeight="1">
      <c r="A780" s="166"/>
      <c r="B780" s="163"/>
      <c r="C780" s="167" t="str">
        <f>IFERROR(IF(VLOOKUP($B780,勘定科目!$A:$H,HLOOKUP($E$5,勘定科目!$F$1:$H$2,2,0),0)="","",VLOOKUP($B780,勘定科目!$A:$E,2,0)),"")</f>
        <v/>
      </c>
      <c r="D780" s="216" t="str">
        <f>IF(C780="","",VLOOKUP($B780,勘定科目!$A:$E,4,0))</f>
        <v/>
      </c>
      <c r="E780" s="222"/>
      <c r="F780" s="217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184">
        <f t="shared" si="18"/>
        <v>0</v>
      </c>
      <c r="S780" s="185"/>
      <c r="T780" s="186"/>
      <c r="U780" s="223"/>
      <c r="V780" s="223"/>
      <c r="W780" s="223"/>
    </row>
    <row r="781" spans="1:23" s="175" customFormat="1" ht="13" customHeight="1">
      <c r="A781" s="166"/>
      <c r="B781" s="163"/>
      <c r="C781" s="167" t="str">
        <f>IFERROR(IF(VLOOKUP($B781,勘定科目!$A:$H,HLOOKUP($E$5,勘定科目!$F$1:$H$2,2,0),0)="","",VLOOKUP($B781,勘定科目!$A:$E,2,0)),"")</f>
        <v/>
      </c>
      <c r="D781" s="216" t="str">
        <f>IF(C781="","",VLOOKUP($B781,勘定科目!$A:$E,4,0))</f>
        <v/>
      </c>
      <c r="E781" s="222"/>
      <c r="F781" s="217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184">
        <f t="shared" si="18"/>
        <v>0</v>
      </c>
      <c r="S781" s="185"/>
      <c r="T781" s="186"/>
      <c r="U781" s="223"/>
      <c r="V781" s="223"/>
      <c r="W781" s="223"/>
    </row>
    <row r="782" spans="1:23" s="175" customFormat="1" ht="13" customHeight="1">
      <c r="A782" s="166"/>
      <c r="B782" s="163"/>
      <c r="C782" s="167" t="str">
        <f>IFERROR(IF(VLOOKUP($B782,勘定科目!$A:$H,HLOOKUP($E$5,勘定科目!$F$1:$H$2,2,0),0)="","",VLOOKUP($B782,勘定科目!$A:$E,2,0)),"")</f>
        <v/>
      </c>
      <c r="D782" s="216" t="str">
        <f>IF(C782="","",VLOOKUP($B782,勘定科目!$A:$E,4,0))</f>
        <v/>
      </c>
      <c r="E782" s="222"/>
      <c r="F782" s="217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184">
        <f t="shared" si="18"/>
        <v>0</v>
      </c>
      <c r="S782" s="185"/>
      <c r="T782" s="186"/>
      <c r="U782" s="223"/>
      <c r="V782" s="223"/>
      <c r="W782" s="223"/>
    </row>
    <row r="783" spans="1:23" s="175" customFormat="1" ht="13" customHeight="1">
      <c r="A783" s="166"/>
      <c r="B783" s="163"/>
      <c r="C783" s="167" t="str">
        <f>IFERROR(IF(VLOOKUP($B783,勘定科目!$A:$H,HLOOKUP($E$5,勘定科目!$F$1:$H$2,2,0),0)="","",VLOOKUP($B783,勘定科目!$A:$E,2,0)),"")</f>
        <v/>
      </c>
      <c r="D783" s="216" t="str">
        <f>IF(C783="","",VLOOKUP($B783,勘定科目!$A:$E,4,0))</f>
        <v/>
      </c>
      <c r="E783" s="222"/>
      <c r="F783" s="217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184">
        <f t="shared" si="18"/>
        <v>0</v>
      </c>
      <c r="S783" s="185"/>
      <c r="T783" s="186"/>
      <c r="U783" s="223"/>
      <c r="V783" s="223"/>
      <c r="W783" s="223"/>
    </row>
    <row r="784" spans="1:23" s="175" customFormat="1" ht="13" customHeight="1">
      <c r="A784" s="166"/>
      <c r="B784" s="163"/>
      <c r="C784" s="167" t="str">
        <f>IFERROR(IF(VLOOKUP($B784,勘定科目!$A:$H,HLOOKUP($E$5,勘定科目!$F$1:$H$2,2,0),0)="","",VLOOKUP($B784,勘定科目!$A:$E,2,0)),"")</f>
        <v/>
      </c>
      <c r="D784" s="216" t="str">
        <f>IF(C784="","",VLOOKUP($B784,勘定科目!$A:$E,4,0))</f>
        <v/>
      </c>
      <c r="E784" s="222"/>
      <c r="F784" s="217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184">
        <f t="shared" si="18"/>
        <v>0</v>
      </c>
      <c r="S784" s="185"/>
      <c r="T784" s="186"/>
      <c r="U784" s="223"/>
      <c r="V784" s="223"/>
      <c r="W784" s="223"/>
    </row>
    <row r="785" spans="1:23" s="175" customFormat="1" ht="13" customHeight="1">
      <c r="A785" s="166"/>
      <c r="B785" s="163"/>
      <c r="C785" s="167" t="str">
        <f>IFERROR(IF(VLOOKUP($B785,勘定科目!$A:$H,HLOOKUP($E$5,勘定科目!$F$1:$H$2,2,0),0)="","",VLOOKUP($B785,勘定科目!$A:$E,2,0)),"")</f>
        <v/>
      </c>
      <c r="D785" s="216" t="str">
        <f>IF(C785="","",VLOOKUP($B785,勘定科目!$A:$E,4,0))</f>
        <v/>
      </c>
      <c r="E785" s="222"/>
      <c r="F785" s="217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184">
        <f t="shared" si="18"/>
        <v>0</v>
      </c>
      <c r="S785" s="185"/>
      <c r="T785" s="186"/>
      <c r="U785" s="223"/>
      <c r="V785" s="223"/>
      <c r="W785" s="223"/>
    </row>
    <row r="786" spans="1:23" s="175" customFormat="1" ht="13" customHeight="1">
      <c r="A786" s="166"/>
      <c r="B786" s="163"/>
      <c r="C786" s="167" t="str">
        <f>IFERROR(IF(VLOOKUP($B786,勘定科目!$A:$H,HLOOKUP($E$5,勘定科目!$F$1:$H$2,2,0),0)="","",VLOOKUP($B786,勘定科目!$A:$E,2,0)),"")</f>
        <v/>
      </c>
      <c r="D786" s="216" t="str">
        <f>IF(C786="","",VLOOKUP($B786,勘定科目!$A:$E,4,0))</f>
        <v/>
      </c>
      <c r="E786" s="222"/>
      <c r="F786" s="217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184">
        <f t="shared" si="18"/>
        <v>0</v>
      </c>
      <c r="S786" s="185"/>
      <c r="T786" s="186"/>
      <c r="U786" s="223"/>
      <c r="V786" s="223"/>
      <c r="W786" s="223"/>
    </row>
    <row r="787" spans="1:23" s="175" customFormat="1" ht="13" customHeight="1">
      <c r="A787" s="166"/>
      <c r="B787" s="163"/>
      <c r="C787" s="167" t="str">
        <f>IFERROR(IF(VLOOKUP($B787,勘定科目!$A:$H,HLOOKUP($E$5,勘定科目!$F$1:$H$2,2,0),0)="","",VLOOKUP($B787,勘定科目!$A:$E,2,0)),"")</f>
        <v/>
      </c>
      <c r="D787" s="216" t="str">
        <f>IF(C787="","",VLOOKUP($B787,勘定科目!$A:$E,4,0))</f>
        <v/>
      </c>
      <c r="E787" s="222"/>
      <c r="F787" s="217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184">
        <f t="shared" si="18"/>
        <v>0</v>
      </c>
      <c r="S787" s="185"/>
      <c r="T787" s="186"/>
      <c r="U787" s="223"/>
      <c r="V787" s="223"/>
      <c r="W787" s="223"/>
    </row>
    <row r="788" spans="1:23" s="175" customFormat="1" ht="13" customHeight="1">
      <c r="A788" s="166"/>
      <c r="B788" s="163"/>
      <c r="C788" s="167" t="str">
        <f>IFERROR(IF(VLOOKUP($B788,勘定科目!$A:$H,HLOOKUP($E$5,勘定科目!$F$1:$H$2,2,0),0)="","",VLOOKUP($B788,勘定科目!$A:$E,2,0)),"")</f>
        <v/>
      </c>
      <c r="D788" s="216" t="str">
        <f>IF(C788="","",VLOOKUP($B788,勘定科目!$A:$E,4,0))</f>
        <v/>
      </c>
      <c r="E788" s="222"/>
      <c r="F788" s="217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184">
        <f t="shared" si="18"/>
        <v>0</v>
      </c>
      <c r="S788" s="185"/>
      <c r="T788" s="186"/>
      <c r="U788" s="223"/>
      <c r="V788" s="223"/>
      <c r="W788" s="223"/>
    </row>
    <row r="789" spans="1:23" s="175" customFormat="1" ht="13" customHeight="1">
      <c r="A789" s="166"/>
      <c r="B789" s="163"/>
      <c r="C789" s="167" t="str">
        <f>IFERROR(IF(VLOOKUP($B789,勘定科目!$A:$H,HLOOKUP($E$5,勘定科目!$F$1:$H$2,2,0),0)="","",VLOOKUP($B789,勘定科目!$A:$E,2,0)),"")</f>
        <v/>
      </c>
      <c r="D789" s="216" t="str">
        <f>IF(C789="","",VLOOKUP($B789,勘定科目!$A:$E,4,0))</f>
        <v/>
      </c>
      <c r="E789" s="222"/>
      <c r="F789" s="217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184">
        <f t="shared" si="18"/>
        <v>0</v>
      </c>
      <c r="S789" s="185"/>
      <c r="T789" s="186"/>
      <c r="U789" s="223"/>
      <c r="V789" s="223"/>
      <c r="W789" s="223"/>
    </row>
    <row r="790" spans="1:23" s="175" customFormat="1" ht="13" customHeight="1">
      <c r="A790" s="166"/>
      <c r="B790" s="163"/>
      <c r="C790" s="167" t="str">
        <f>IFERROR(IF(VLOOKUP($B790,勘定科目!$A:$H,HLOOKUP($E$5,勘定科目!$F$1:$H$2,2,0),0)="","",VLOOKUP($B790,勘定科目!$A:$E,2,0)),"")</f>
        <v/>
      </c>
      <c r="D790" s="216" t="str">
        <f>IF(C790="","",VLOOKUP($B790,勘定科目!$A:$E,4,0))</f>
        <v/>
      </c>
      <c r="E790" s="222"/>
      <c r="F790" s="217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184">
        <f t="shared" si="18"/>
        <v>0</v>
      </c>
      <c r="S790" s="185"/>
      <c r="T790" s="186"/>
      <c r="U790" s="223"/>
      <c r="V790" s="223"/>
      <c r="W790" s="223"/>
    </row>
    <row r="791" spans="1:23" s="175" customFormat="1" ht="13" customHeight="1">
      <c r="A791" s="166"/>
      <c r="B791" s="163"/>
      <c r="C791" s="167" t="str">
        <f>IFERROR(IF(VLOOKUP($B791,勘定科目!$A:$H,HLOOKUP($E$5,勘定科目!$F$1:$H$2,2,0),0)="","",VLOOKUP($B791,勘定科目!$A:$E,2,0)),"")</f>
        <v/>
      </c>
      <c r="D791" s="216" t="str">
        <f>IF(C791="","",VLOOKUP($B791,勘定科目!$A:$E,4,0))</f>
        <v/>
      </c>
      <c r="E791" s="222"/>
      <c r="F791" s="217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184">
        <f t="shared" si="18"/>
        <v>0</v>
      </c>
      <c r="S791" s="185"/>
      <c r="T791" s="186"/>
      <c r="U791" s="223"/>
      <c r="V791" s="223"/>
      <c r="W791" s="223"/>
    </row>
    <row r="792" spans="1:23" s="175" customFormat="1" ht="13" customHeight="1">
      <c r="A792" s="166"/>
      <c r="B792" s="163"/>
      <c r="C792" s="167" t="str">
        <f>IFERROR(IF(VLOOKUP($B792,勘定科目!$A:$H,HLOOKUP($E$5,勘定科目!$F$1:$H$2,2,0),0)="","",VLOOKUP($B792,勘定科目!$A:$E,2,0)),"")</f>
        <v/>
      </c>
      <c r="D792" s="216" t="str">
        <f>IF(C792="","",VLOOKUP($B792,勘定科目!$A:$E,4,0))</f>
        <v/>
      </c>
      <c r="E792" s="222"/>
      <c r="F792" s="217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184">
        <f t="shared" si="18"/>
        <v>0</v>
      </c>
      <c r="S792" s="185"/>
      <c r="T792" s="186"/>
      <c r="U792" s="223"/>
      <c r="V792" s="223"/>
      <c r="W792" s="223"/>
    </row>
    <row r="793" spans="1:23" s="175" customFormat="1" ht="13" customHeight="1">
      <c r="A793" s="166"/>
      <c r="B793" s="163"/>
      <c r="C793" s="167" t="str">
        <f>IFERROR(IF(VLOOKUP($B793,勘定科目!$A:$H,HLOOKUP($E$5,勘定科目!$F$1:$H$2,2,0),0)="","",VLOOKUP($B793,勘定科目!$A:$E,2,0)),"")</f>
        <v/>
      </c>
      <c r="D793" s="216" t="str">
        <f>IF(C793="","",VLOOKUP($B793,勘定科目!$A:$E,4,0))</f>
        <v/>
      </c>
      <c r="E793" s="222"/>
      <c r="F793" s="217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184">
        <f t="shared" si="18"/>
        <v>0</v>
      </c>
      <c r="S793" s="185"/>
      <c r="T793" s="186"/>
      <c r="U793" s="223"/>
      <c r="V793" s="223"/>
      <c r="W793" s="223"/>
    </row>
    <row r="794" spans="1:23" s="175" customFormat="1" ht="13" customHeight="1">
      <c r="A794" s="166"/>
      <c r="B794" s="163"/>
      <c r="C794" s="167" t="str">
        <f>IFERROR(IF(VLOOKUP($B794,勘定科目!$A:$H,HLOOKUP($E$5,勘定科目!$F$1:$H$2,2,0),0)="","",VLOOKUP($B794,勘定科目!$A:$E,2,0)),"")</f>
        <v/>
      </c>
      <c r="D794" s="216" t="str">
        <f>IF(C794="","",VLOOKUP($B794,勘定科目!$A:$E,4,0))</f>
        <v/>
      </c>
      <c r="E794" s="222"/>
      <c r="F794" s="217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184">
        <f t="shared" ref="R794:R814" si="19">SUM(F794:Q794)</f>
        <v>0</v>
      </c>
      <c r="S794" s="185"/>
      <c r="T794" s="186"/>
      <c r="U794" s="223"/>
      <c r="V794" s="223"/>
      <c r="W794" s="223"/>
    </row>
    <row r="795" spans="1:23" s="175" customFormat="1" ht="13" customHeight="1">
      <c r="A795" s="166"/>
      <c r="B795" s="163"/>
      <c r="C795" s="167" t="str">
        <f>IFERROR(IF(VLOOKUP($B795,勘定科目!$A:$H,HLOOKUP($E$5,勘定科目!$F$1:$H$2,2,0),0)="","",VLOOKUP($B795,勘定科目!$A:$E,2,0)),"")</f>
        <v/>
      </c>
      <c r="D795" s="216" t="str">
        <f>IF(C795="","",VLOOKUP($B795,勘定科目!$A:$E,4,0))</f>
        <v/>
      </c>
      <c r="E795" s="222"/>
      <c r="F795" s="217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184">
        <f t="shared" si="19"/>
        <v>0</v>
      </c>
      <c r="S795" s="185"/>
      <c r="T795" s="186"/>
      <c r="U795" s="223"/>
      <c r="V795" s="223"/>
      <c r="W795" s="223"/>
    </row>
    <row r="796" spans="1:23" s="175" customFormat="1" ht="13" customHeight="1">
      <c r="A796" s="166"/>
      <c r="B796" s="163"/>
      <c r="C796" s="167" t="str">
        <f>IFERROR(IF(VLOOKUP($B796,勘定科目!$A:$H,HLOOKUP($E$5,勘定科目!$F$1:$H$2,2,0),0)="","",VLOOKUP($B796,勘定科目!$A:$E,2,0)),"")</f>
        <v/>
      </c>
      <c r="D796" s="216" t="str">
        <f>IF(C796="","",VLOOKUP($B796,勘定科目!$A:$E,4,0))</f>
        <v/>
      </c>
      <c r="E796" s="222"/>
      <c r="F796" s="217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184">
        <f t="shared" si="19"/>
        <v>0</v>
      </c>
      <c r="S796" s="185"/>
      <c r="T796" s="186"/>
      <c r="U796" s="223"/>
      <c r="V796" s="223"/>
      <c r="W796" s="223"/>
    </row>
    <row r="797" spans="1:23" s="175" customFormat="1" ht="13" customHeight="1">
      <c r="A797" s="166"/>
      <c r="B797" s="163"/>
      <c r="C797" s="167" t="str">
        <f>IFERROR(IF(VLOOKUP($B797,勘定科目!$A:$H,HLOOKUP($E$5,勘定科目!$F$1:$H$2,2,0),0)="","",VLOOKUP($B797,勘定科目!$A:$E,2,0)),"")</f>
        <v/>
      </c>
      <c r="D797" s="216" t="str">
        <f>IF(C797="","",VLOOKUP($B797,勘定科目!$A:$E,4,0))</f>
        <v/>
      </c>
      <c r="E797" s="222"/>
      <c r="F797" s="217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184">
        <f t="shared" si="19"/>
        <v>0</v>
      </c>
      <c r="S797" s="185"/>
      <c r="T797" s="186"/>
      <c r="U797" s="223"/>
      <c r="V797" s="223"/>
      <c r="W797" s="223"/>
    </row>
    <row r="798" spans="1:23" s="175" customFormat="1" ht="13" customHeight="1">
      <c r="A798" s="166"/>
      <c r="B798" s="163"/>
      <c r="C798" s="167" t="str">
        <f>IFERROR(IF(VLOOKUP($B798,勘定科目!$A:$H,HLOOKUP($E$5,勘定科目!$F$1:$H$2,2,0),0)="","",VLOOKUP($B798,勘定科目!$A:$E,2,0)),"")</f>
        <v/>
      </c>
      <c r="D798" s="216" t="str">
        <f>IF(C798="","",VLOOKUP($B798,勘定科目!$A:$E,4,0))</f>
        <v/>
      </c>
      <c r="E798" s="222"/>
      <c r="F798" s="217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184">
        <f t="shared" si="19"/>
        <v>0</v>
      </c>
      <c r="S798" s="185"/>
      <c r="T798" s="186"/>
      <c r="U798" s="223"/>
      <c r="V798" s="223"/>
      <c r="W798" s="223"/>
    </row>
    <row r="799" spans="1:23" s="175" customFormat="1" ht="13" customHeight="1">
      <c r="A799" s="166"/>
      <c r="B799" s="163"/>
      <c r="C799" s="167" t="str">
        <f>IFERROR(IF(VLOOKUP($B799,勘定科目!$A:$H,HLOOKUP($E$5,勘定科目!$F$1:$H$2,2,0),0)="","",VLOOKUP($B799,勘定科目!$A:$E,2,0)),"")</f>
        <v/>
      </c>
      <c r="D799" s="216" t="str">
        <f>IF(C799="","",VLOOKUP($B799,勘定科目!$A:$E,4,0))</f>
        <v/>
      </c>
      <c r="E799" s="222"/>
      <c r="F799" s="217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184">
        <f t="shared" si="19"/>
        <v>0</v>
      </c>
      <c r="S799" s="185"/>
      <c r="T799" s="186"/>
      <c r="U799" s="223"/>
      <c r="V799" s="223"/>
      <c r="W799" s="223"/>
    </row>
    <row r="800" spans="1:23" s="175" customFormat="1" ht="13" customHeight="1">
      <c r="A800" s="166"/>
      <c r="B800" s="163"/>
      <c r="C800" s="167" t="str">
        <f>IFERROR(IF(VLOOKUP($B800,勘定科目!$A:$H,HLOOKUP($E$5,勘定科目!$F$1:$H$2,2,0),0)="","",VLOOKUP($B800,勘定科目!$A:$E,2,0)),"")</f>
        <v/>
      </c>
      <c r="D800" s="216" t="str">
        <f>IF(C800="","",VLOOKUP($B800,勘定科目!$A:$E,4,0))</f>
        <v/>
      </c>
      <c r="E800" s="222"/>
      <c r="F800" s="217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184">
        <f t="shared" si="19"/>
        <v>0</v>
      </c>
      <c r="S800" s="185"/>
      <c r="T800" s="186"/>
      <c r="U800" s="223"/>
      <c r="V800" s="223"/>
      <c r="W800" s="223"/>
    </row>
    <row r="801" spans="1:23" s="175" customFormat="1" ht="13" customHeight="1">
      <c r="A801" s="166"/>
      <c r="B801" s="163"/>
      <c r="C801" s="167" t="str">
        <f>IFERROR(IF(VLOOKUP($B801,勘定科目!$A:$H,HLOOKUP($E$5,勘定科目!$F$1:$H$2,2,0),0)="","",VLOOKUP($B801,勘定科目!$A:$E,2,0)),"")</f>
        <v/>
      </c>
      <c r="D801" s="216" t="str">
        <f>IF(C801="","",VLOOKUP($B801,勘定科目!$A:$E,4,0))</f>
        <v/>
      </c>
      <c r="E801" s="222"/>
      <c r="F801" s="217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184">
        <f t="shared" si="19"/>
        <v>0</v>
      </c>
      <c r="S801" s="185"/>
      <c r="T801" s="186"/>
      <c r="U801" s="223"/>
      <c r="V801" s="223"/>
      <c r="W801" s="223"/>
    </row>
    <row r="802" spans="1:23" s="175" customFormat="1" ht="13" customHeight="1">
      <c r="A802" s="166"/>
      <c r="B802" s="163"/>
      <c r="C802" s="167" t="str">
        <f>IFERROR(IF(VLOOKUP($B802,勘定科目!$A:$H,HLOOKUP($E$5,勘定科目!$F$1:$H$2,2,0),0)="","",VLOOKUP($B802,勘定科目!$A:$E,2,0)),"")</f>
        <v/>
      </c>
      <c r="D802" s="216" t="str">
        <f>IF(C802="","",VLOOKUP($B802,勘定科目!$A:$E,4,0))</f>
        <v/>
      </c>
      <c r="E802" s="222"/>
      <c r="F802" s="217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184">
        <f t="shared" si="19"/>
        <v>0</v>
      </c>
      <c r="S802" s="185"/>
      <c r="T802" s="186"/>
      <c r="U802" s="223"/>
      <c r="V802" s="223"/>
      <c r="W802" s="223"/>
    </row>
    <row r="803" spans="1:23" s="175" customFormat="1" ht="13" customHeight="1">
      <c r="A803" s="166"/>
      <c r="B803" s="163"/>
      <c r="C803" s="167" t="str">
        <f>IFERROR(IF(VLOOKUP($B803,勘定科目!$A:$H,HLOOKUP($E$5,勘定科目!$F$1:$H$2,2,0),0)="","",VLOOKUP($B803,勘定科目!$A:$E,2,0)),"")</f>
        <v/>
      </c>
      <c r="D803" s="216" t="str">
        <f>IF(C803="","",VLOOKUP($B803,勘定科目!$A:$E,4,0))</f>
        <v/>
      </c>
      <c r="E803" s="222"/>
      <c r="F803" s="217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184">
        <f t="shared" si="19"/>
        <v>0</v>
      </c>
      <c r="S803" s="185"/>
      <c r="T803" s="186"/>
      <c r="U803" s="223"/>
      <c r="V803" s="223"/>
      <c r="W803" s="223"/>
    </row>
    <row r="804" spans="1:23" s="175" customFormat="1" ht="13" customHeight="1">
      <c r="A804" s="166"/>
      <c r="B804" s="163"/>
      <c r="C804" s="167" t="str">
        <f>IFERROR(IF(VLOOKUP($B804,勘定科目!$A:$H,HLOOKUP($E$5,勘定科目!$F$1:$H$2,2,0),0)="","",VLOOKUP($B804,勘定科目!$A:$E,2,0)),"")</f>
        <v/>
      </c>
      <c r="D804" s="216" t="str">
        <f>IF(C804="","",VLOOKUP($B804,勘定科目!$A:$E,4,0))</f>
        <v/>
      </c>
      <c r="E804" s="222"/>
      <c r="F804" s="217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184">
        <f t="shared" si="19"/>
        <v>0</v>
      </c>
      <c r="S804" s="185"/>
      <c r="T804" s="186"/>
      <c r="U804" s="223"/>
      <c r="V804" s="223"/>
      <c r="W804" s="223"/>
    </row>
    <row r="805" spans="1:23" s="175" customFormat="1" ht="13" customHeight="1">
      <c r="A805" s="166"/>
      <c r="B805" s="163"/>
      <c r="C805" s="167" t="str">
        <f>IFERROR(IF(VLOOKUP($B805,勘定科目!$A:$H,HLOOKUP($E$5,勘定科目!$F$1:$H$2,2,0),0)="","",VLOOKUP($B805,勘定科目!$A:$E,2,0)),"")</f>
        <v/>
      </c>
      <c r="D805" s="216" t="str">
        <f>IF(C805="","",VLOOKUP($B805,勘定科目!$A:$E,4,0))</f>
        <v/>
      </c>
      <c r="E805" s="222"/>
      <c r="F805" s="217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184">
        <f t="shared" si="19"/>
        <v>0</v>
      </c>
      <c r="S805" s="185"/>
      <c r="T805" s="186"/>
      <c r="U805" s="223"/>
      <c r="V805" s="223"/>
      <c r="W805" s="223"/>
    </row>
    <row r="806" spans="1:23" s="175" customFormat="1" ht="13" customHeight="1">
      <c r="A806" s="166"/>
      <c r="B806" s="163"/>
      <c r="C806" s="167" t="str">
        <f>IFERROR(IF(VLOOKUP($B806,勘定科目!$A:$H,HLOOKUP($E$5,勘定科目!$F$1:$H$2,2,0),0)="","",VLOOKUP($B806,勘定科目!$A:$E,2,0)),"")</f>
        <v/>
      </c>
      <c r="D806" s="216" t="str">
        <f>IF(C806="","",VLOOKUP($B806,勘定科目!$A:$E,4,0))</f>
        <v/>
      </c>
      <c r="E806" s="222"/>
      <c r="F806" s="217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184">
        <f t="shared" si="19"/>
        <v>0</v>
      </c>
      <c r="S806" s="185"/>
      <c r="T806" s="186"/>
      <c r="U806" s="223"/>
      <c r="V806" s="223"/>
      <c r="W806" s="223"/>
    </row>
    <row r="807" spans="1:23" s="175" customFormat="1" ht="13" customHeight="1">
      <c r="A807" s="166"/>
      <c r="B807" s="163"/>
      <c r="C807" s="167" t="str">
        <f>IFERROR(IF(VLOOKUP($B807,勘定科目!$A:$H,HLOOKUP($E$5,勘定科目!$F$1:$H$2,2,0),0)="","",VLOOKUP($B807,勘定科目!$A:$E,2,0)),"")</f>
        <v/>
      </c>
      <c r="D807" s="216" t="str">
        <f>IF(C807="","",VLOOKUP($B807,勘定科目!$A:$E,4,0))</f>
        <v/>
      </c>
      <c r="E807" s="222"/>
      <c r="F807" s="217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184">
        <f t="shared" si="19"/>
        <v>0</v>
      </c>
      <c r="S807" s="185"/>
      <c r="T807" s="186"/>
      <c r="U807" s="223"/>
      <c r="V807" s="223"/>
      <c r="W807" s="223"/>
    </row>
    <row r="808" spans="1:23" s="175" customFormat="1" ht="13" customHeight="1">
      <c r="A808" s="166"/>
      <c r="B808" s="163"/>
      <c r="C808" s="167" t="str">
        <f>IFERROR(IF(VLOOKUP($B808,勘定科目!$A:$H,HLOOKUP($E$5,勘定科目!$F$1:$H$2,2,0),0)="","",VLOOKUP($B808,勘定科目!$A:$E,2,0)),"")</f>
        <v/>
      </c>
      <c r="D808" s="216" t="str">
        <f>IF(C808="","",VLOOKUP($B808,勘定科目!$A:$E,4,0))</f>
        <v/>
      </c>
      <c r="E808" s="222"/>
      <c r="F808" s="217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184">
        <f t="shared" si="19"/>
        <v>0</v>
      </c>
      <c r="S808" s="185"/>
      <c r="T808" s="186"/>
      <c r="U808" s="223"/>
      <c r="V808" s="223"/>
      <c r="W808" s="223"/>
    </row>
    <row r="809" spans="1:23" s="175" customFormat="1" ht="13" customHeight="1">
      <c r="A809" s="166"/>
      <c r="B809" s="163"/>
      <c r="C809" s="167" t="str">
        <f>IFERROR(IF(VLOOKUP($B809,勘定科目!$A:$H,HLOOKUP($E$5,勘定科目!$F$1:$H$2,2,0),0)="","",VLOOKUP($B809,勘定科目!$A:$E,2,0)),"")</f>
        <v/>
      </c>
      <c r="D809" s="216" t="str">
        <f>IF(C809="","",VLOOKUP($B809,勘定科目!$A:$E,4,0))</f>
        <v/>
      </c>
      <c r="E809" s="222"/>
      <c r="F809" s="217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184">
        <f t="shared" si="19"/>
        <v>0</v>
      </c>
      <c r="S809" s="185"/>
      <c r="T809" s="186"/>
      <c r="U809" s="223"/>
      <c r="V809" s="223"/>
      <c r="W809" s="223"/>
    </row>
    <row r="810" spans="1:23" s="175" customFormat="1" ht="13" customHeight="1">
      <c r="A810" s="166"/>
      <c r="B810" s="163"/>
      <c r="C810" s="167" t="str">
        <f>IFERROR(IF(VLOOKUP($B810,勘定科目!$A:$H,HLOOKUP($E$5,勘定科目!$F$1:$H$2,2,0),0)="","",VLOOKUP($B810,勘定科目!$A:$E,2,0)),"")</f>
        <v/>
      </c>
      <c r="D810" s="216" t="str">
        <f>IF(C810="","",VLOOKUP($B810,勘定科目!$A:$E,4,0))</f>
        <v/>
      </c>
      <c r="E810" s="222"/>
      <c r="F810" s="217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184">
        <f t="shared" si="19"/>
        <v>0</v>
      </c>
      <c r="S810" s="185"/>
      <c r="T810" s="186"/>
      <c r="U810" s="223"/>
      <c r="V810" s="223"/>
      <c r="W810" s="223"/>
    </row>
    <row r="811" spans="1:23" s="175" customFormat="1" ht="13" customHeight="1">
      <c r="A811" s="166"/>
      <c r="B811" s="163"/>
      <c r="C811" s="167" t="str">
        <f>IFERROR(IF(VLOOKUP($B811,勘定科目!$A:$H,HLOOKUP($E$5,勘定科目!$F$1:$H$2,2,0),0)="","",VLOOKUP($B811,勘定科目!$A:$E,2,0)),"")</f>
        <v/>
      </c>
      <c r="D811" s="216" t="str">
        <f>IF(C811="","",VLOOKUP($B811,勘定科目!$A:$E,4,0))</f>
        <v/>
      </c>
      <c r="E811" s="222"/>
      <c r="F811" s="217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184">
        <f t="shared" si="19"/>
        <v>0</v>
      </c>
      <c r="S811" s="185"/>
      <c r="T811" s="186"/>
      <c r="U811" s="223"/>
      <c r="V811" s="223"/>
      <c r="W811" s="223"/>
    </row>
    <row r="812" spans="1:23" s="175" customFormat="1" ht="13" customHeight="1">
      <c r="A812" s="166"/>
      <c r="B812" s="163"/>
      <c r="C812" s="167" t="str">
        <f>IFERROR(IF(VLOOKUP($B812,勘定科目!$A:$H,HLOOKUP($E$5,勘定科目!$F$1:$H$2,2,0),0)="","",VLOOKUP($B812,勘定科目!$A:$E,2,0)),"")</f>
        <v/>
      </c>
      <c r="D812" s="216" t="str">
        <f>IF(C812="","",VLOOKUP($B812,勘定科目!$A:$E,4,0))</f>
        <v/>
      </c>
      <c r="E812" s="222"/>
      <c r="F812" s="217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184">
        <f t="shared" si="19"/>
        <v>0</v>
      </c>
      <c r="S812" s="185"/>
      <c r="T812" s="186"/>
      <c r="U812" s="223"/>
      <c r="V812" s="223"/>
      <c r="W812" s="223"/>
    </row>
    <row r="813" spans="1:23" s="175" customFormat="1" ht="13" customHeight="1">
      <c r="A813" s="166"/>
      <c r="B813" s="163"/>
      <c r="C813" s="167" t="str">
        <f>IFERROR(IF(VLOOKUP($B813,勘定科目!$A:$H,HLOOKUP($E$5,勘定科目!$F$1:$H$2,2,0),0)="","",VLOOKUP($B813,勘定科目!$A:$E,2,0)),"")</f>
        <v/>
      </c>
      <c r="D813" s="216" t="str">
        <f>IF(C813="","",VLOOKUP($B813,勘定科目!$A:$E,4,0))</f>
        <v/>
      </c>
      <c r="E813" s="222"/>
      <c r="F813" s="217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184">
        <f t="shared" si="19"/>
        <v>0</v>
      </c>
      <c r="S813" s="185"/>
      <c r="T813" s="186"/>
      <c r="U813" s="223"/>
      <c r="V813" s="223"/>
      <c r="W813" s="223"/>
    </row>
    <row r="814" spans="1:23" s="175" customFormat="1" ht="13" customHeight="1">
      <c r="A814" s="166"/>
      <c r="B814" s="163"/>
      <c r="C814" s="167" t="str">
        <f>IFERROR(IF(VLOOKUP($B814,勘定科目!$A:$H,HLOOKUP($E$5,勘定科目!$F$1:$H$2,2,0),0)="","",VLOOKUP($B814,勘定科目!$A:$E,2,0)),"")</f>
        <v/>
      </c>
      <c r="D814" s="216" t="str">
        <f>IF(C814="","",VLOOKUP($B814,勘定科目!$A:$E,4,0))</f>
        <v/>
      </c>
      <c r="E814" s="222"/>
      <c r="F814" s="217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184">
        <f t="shared" si="19"/>
        <v>0</v>
      </c>
      <c r="S814" s="185"/>
      <c r="T814" s="186"/>
      <c r="U814" s="223"/>
      <c r="V814" s="223"/>
      <c r="W814" s="223"/>
    </row>
    <row r="815" spans="1:23" s="175" customFormat="1" ht="13" customHeight="1">
      <c r="A815" s="166"/>
      <c r="B815" s="163"/>
      <c r="C815" s="167" t="str">
        <f>IFERROR(IF(VLOOKUP($B815,勘定科目!$A:$H,HLOOKUP($E$5,勘定科目!$F$1:$H$2,2,0),0)="","",VLOOKUP($B815,勘定科目!$A:$E,2,0)),"")</f>
        <v/>
      </c>
      <c r="D815" s="216" t="str">
        <f>IF(C815="","",VLOOKUP($B815,勘定科目!$A:$E,4,0))</f>
        <v/>
      </c>
      <c r="E815" s="222"/>
      <c r="F815" s="217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184"/>
      <c r="S815" s="185"/>
      <c r="T815" s="186"/>
      <c r="U815" s="223"/>
      <c r="V815" s="223"/>
      <c r="W815" s="223"/>
    </row>
    <row r="816" spans="1:23" s="175" customFormat="1" ht="13" customHeight="1">
      <c r="A816" s="166"/>
      <c r="B816" s="163"/>
      <c r="C816" s="167" t="str">
        <f>IFERROR(IF(VLOOKUP($B816,勘定科目!$A:$H,HLOOKUP($E$5,勘定科目!$F$1:$H$2,2,0),0)="","",VLOOKUP($B816,勘定科目!$A:$E,2,0)),"")</f>
        <v/>
      </c>
      <c r="D816" s="216" t="str">
        <f>IF(C816="","",VLOOKUP($B816,勘定科目!$A:$E,4,0))</f>
        <v/>
      </c>
      <c r="E816" s="222"/>
      <c r="F816" s="217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184"/>
      <c r="S816" s="185"/>
      <c r="T816" s="186"/>
      <c r="U816" s="223"/>
      <c r="V816" s="223"/>
      <c r="W816" s="223"/>
    </row>
    <row r="817" spans="1:23" s="175" customFormat="1" ht="13" customHeight="1">
      <c r="A817" s="166"/>
      <c r="B817" s="163"/>
      <c r="C817" s="167" t="str">
        <f>IFERROR(IF(VLOOKUP($B817,勘定科目!$A:$H,HLOOKUP($E$5,勘定科目!$F$1:$H$2,2,0),0)="","",VLOOKUP($B817,勘定科目!$A:$E,2,0)),"")</f>
        <v/>
      </c>
      <c r="D817" s="216" t="str">
        <f>IF(C817="","",VLOOKUP($B817,勘定科目!$A:$E,4,0))</f>
        <v/>
      </c>
      <c r="E817" s="222"/>
      <c r="F817" s="217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184"/>
      <c r="S817" s="185"/>
      <c r="T817" s="186"/>
      <c r="U817" s="223"/>
      <c r="V817" s="223"/>
      <c r="W817" s="223"/>
    </row>
    <row r="818" spans="1:23" s="175" customFormat="1" ht="13" customHeight="1">
      <c r="A818" s="166"/>
      <c r="B818" s="163"/>
      <c r="C818" s="167" t="str">
        <f>IFERROR(IF(VLOOKUP($B818,勘定科目!$A:$H,HLOOKUP($E$5,勘定科目!$F$1:$H$2,2,0),0)="","",VLOOKUP($B818,勘定科目!$A:$E,2,0)),"")</f>
        <v/>
      </c>
      <c r="D818" s="216" t="str">
        <f>IF(C818="","",VLOOKUP($B818,勘定科目!$A:$E,4,0))</f>
        <v/>
      </c>
      <c r="E818" s="222"/>
      <c r="F818" s="217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184"/>
      <c r="S818" s="185"/>
      <c r="T818" s="186"/>
      <c r="U818" s="223"/>
      <c r="V818" s="223"/>
      <c r="W818" s="223"/>
    </row>
    <row r="819" spans="1:23" s="175" customFormat="1" ht="13" customHeight="1">
      <c r="A819" s="166"/>
      <c r="B819" s="163"/>
      <c r="C819" s="167" t="str">
        <f>IFERROR(IF(VLOOKUP($B819,勘定科目!$A:$H,HLOOKUP($E$5,勘定科目!$F$1:$H$2,2,0),0)="","",VLOOKUP($B819,勘定科目!$A:$E,2,0)),"")</f>
        <v/>
      </c>
      <c r="D819" s="216" t="str">
        <f>IF(C819="","",VLOOKUP($B819,勘定科目!$A:$E,4,0))</f>
        <v/>
      </c>
      <c r="E819" s="222"/>
      <c r="F819" s="217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184"/>
      <c r="S819" s="185"/>
      <c r="T819" s="186"/>
      <c r="U819" s="223"/>
      <c r="V819" s="223"/>
      <c r="W819" s="223"/>
    </row>
    <row r="820" spans="1:23" s="175" customFormat="1" ht="13" customHeight="1">
      <c r="A820" s="166"/>
      <c r="B820" s="163"/>
      <c r="C820" s="167" t="str">
        <f>IFERROR(IF(VLOOKUP($B820,勘定科目!$A:$H,HLOOKUP($E$5,勘定科目!$F$1:$H$2,2,0),0)="","",VLOOKUP($B820,勘定科目!$A:$E,2,0)),"")</f>
        <v/>
      </c>
      <c r="D820" s="216" t="str">
        <f>IF(C820="","",VLOOKUP($B820,勘定科目!$A:$E,4,0))</f>
        <v/>
      </c>
      <c r="E820" s="222"/>
      <c r="F820" s="217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184"/>
      <c r="S820" s="185"/>
      <c r="T820" s="186"/>
      <c r="U820" s="223"/>
      <c r="V820" s="223"/>
      <c r="W820" s="223"/>
    </row>
    <row r="821" spans="1:23" s="175" customFormat="1" ht="13" customHeight="1">
      <c r="A821" s="166"/>
      <c r="B821" s="163"/>
      <c r="C821" s="167" t="str">
        <f>IFERROR(IF(VLOOKUP($B821,勘定科目!$A:$H,HLOOKUP($E$5,勘定科目!$F$1:$H$2,2,0),0)="","",VLOOKUP($B821,勘定科目!$A:$E,2,0)),"")</f>
        <v/>
      </c>
      <c r="D821" s="216" t="str">
        <f>IF(C821="","",VLOOKUP($B821,勘定科目!$A:$E,4,0))</f>
        <v/>
      </c>
      <c r="E821" s="222"/>
      <c r="F821" s="217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184"/>
      <c r="S821" s="185"/>
      <c r="T821" s="186"/>
      <c r="U821" s="223"/>
      <c r="V821" s="223"/>
      <c r="W821" s="223"/>
    </row>
    <row r="822" spans="1:23" s="175" customFormat="1" ht="13" customHeight="1">
      <c r="A822" s="166"/>
      <c r="B822" s="163"/>
      <c r="C822" s="167" t="str">
        <f>IFERROR(IF(VLOOKUP($B822,勘定科目!$A:$H,HLOOKUP($E$5,勘定科目!$F$1:$H$2,2,0),0)="","",VLOOKUP($B822,勘定科目!$A:$E,2,0)),"")</f>
        <v/>
      </c>
      <c r="D822" s="216" t="str">
        <f>IF(C822="","",VLOOKUP($B822,勘定科目!$A:$E,4,0))</f>
        <v/>
      </c>
      <c r="E822" s="222"/>
      <c r="F822" s="217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184"/>
      <c r="S822" s="185"/>
      <c r="T822" s="186"/>
      <c r="U822" s="223"/>
      <c r="V822" s="223"/>
      <c r="W822" s="223"/>
    </row>
    <row r="823" spans="1:23" s="175" customFormat="1" ht="13" customHeight="1">
      <c r="A823" s="166"/>
      <c r="B823" s="163"/>
      <c r="C823" s="167" t="str">
        <f>IFERROR(IF(VLOOKUP($B823,勘定科目!$A:$H,HLOOKUP($E$5,勘定科目!$F$1:$H$2,2,0),0)="","",VLOOKUP($B823,勘定科目!$A:$E,2,0)),"")</f>
        <v/>
      </c>
      <c r="D823" s="216" t="str">
        <f>IF(C823="","",VLOOKUP($B823,勘定科目!$A:$E,4,0))</f>
        <v/>
      </c>
      <c r="E823" s="222"/>
      <c r="F823" s="217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184"/>
      <c r="S823" s="185"/>
      <c r="T823" s="186"/>
      <c r="U823" s="223"/>
      <c r="V823" s="223"/>
      <c r="W823" s="223"/>
    </row>
    <row r="824" spans="1:23" s="175" customFormat="1" ht="13" customHeight="1">
      <c r="A824" s="166"/>
      <c r="B824" s="163"/>
      <c r="C824" s="167" t="str">
        <f>IFERROR(IF(VLOOKUP($B824,勘定科目!$A:$H,HLOOKUP($E$5,勘定科目!$F$1:$H$2,2,0),0)="","",VLOOKUP($B824,勘定科目!$A:$E,2,0)),"")</f>
        <v/>
      </c>
      <c r="D824" s="216" t="str">
        <f>IF(C824="","",VLOOKUP($B824,勘定科目!$A:$E,4,0))</f>
        <v/>
      </c>
      <c r="E824" s="222"/>
      <c r="F824" s="217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184"/>
      <c r="S824" s="185"/>
      <c r="T824" s="186"/>
      <c r="U824" s="223"/>
      <c r="V824" s="223"/>
      <c r="W824" s="223"/>
    </row>
    <row r="825" spans="1:23" s="175" customFormat="1" ht="13" customHeight="1">
      <c r="A825" s="166"/>
      <c r="B825" s="163"/>
      <c r="C825" s="167" t="str">
        <f>IFERROR(IF(VLOOKUP($B825,勘定科目!$A:$H,HLOOKUP($E$5,勘定科目!$F$1:$H$2,2,0),0)="","",VLOOKUP($B825,勘定科目!$A:$E,2,0)),"")</f>
        <v/>
      </c>
      <c r="D825" s="216" t="str">
        <f>IF(C825="","",VLOOKUP($B825,勘定科目!$A:$E,4,0))</f>
        <v/>
      </c>
      <c r="E825" s="222"/>
      <c r="F825" s="217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184"/>
      <c r="S825" s="185"/>
      <c r="T825" s="186"/>
      <c r="U825" s="223"/>
      <c r="V825" s="223"/>
      <c r="W825" s="223"/>
    </row>
    <row r="826" spans="1:23" s="175" customFormat="1" ht="13" customHeight="1">
      <c r="A826" s="166"/>
      <c r="B826" s="163"/>
      <c r="C826" s="167" t="str">
        <f>IFERROR(IF(VLOOKUP($B826,勘定科目!$A:$H,HLOOKUP($E$5,勘定科目!$F$1:$H$2,2,0),0)="","",VLOOKUP($B826,勘定科目!$A:$E,2,0)),"")</f>
        <v/>
      </c>
      <c r="D826" s="216" t="str">
        <f>IF(C826="","",VLOOKUP($B826,勘定科目!$A:$E,4,0))</f>
        <v/>
      </c>
      <c r="E826" s="222"/>
      <c r="F826" s="217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184"/>
      <c r="S826" s="185"/>
      <c r="T826" s="186"/>
      <c r="U826" s="223"/>
      <c r="V826" s="223"/>
      <c r="W826" s="223"/>
    </row>
    <row r="827" spans="1:23" s="175" customFormat="1" ht="13" customHeight="1">
      <c r="A827" s="166"/>
      <c r="B827" s="163"/>
      <c r="C827" s="167" t="str">
        <f>IFERROR(IF(VLOOKUP($B827,勘定科目!$A:$H,HLOOKUP($E$5,勘定科目!$F$1:$H$2,2,0),0)="","",VLOOKUP($B827,勘定科目!$A:$E,2,0)),"")</f>
        <v/>
      </c>
      <c r="D827" s="216" t="str">
        <f>IF(C827="","",VLOOKUP($B827,勘定科目!$A:$E,4,0))</f>
        <v/>
      </c>
      <c r="E827" s="222"/>
      <c r="F827" s="217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184"/>
      <c r="S827" s="185"/>
      <c r="T827" s="186"/>
      <c r="U827" s="223"/>
      <c r="V827" s="223"/>
      <c r="W827" s="223"/>
    </row>
    <row r="828" spans="1:23" s="175" customFormat="1" ht="13" customHeight="1">
      <c r="A828" s="166"/>
      <c r="B828" s="163"/>
      <c r="C828" s="167" t="str">
        <f>IFERROR(IF(VLOOKUP($B828,勘定科目!$A:$H,HLOOKUP($E$5,勘定科目!$F$1:$H$2,2,0),0)="","",VLOOKUP($B828,勘定科目!$A:$E,2,0)),"")</f>
        <v/>
      </c>
      <c r="D828" s="216" t="str">
        <f>IF(C828="","",VLOOKUP($B828,勘定科目!$A:$E,4,0))</f>
        <v/>
      </c>
      <c r="E828" s="222"/>
      <c r="F828" s="217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184"/>
      <c r="S828" s="185"/>
      <c r="T828" s="186"/>
      <c r="U828" s="223"/>
      <c r="V828" s="223"/>
      <c r="W828" s="223"/>
    </row>
    <row r="829" spans="1:23" s="175" customFormat="1" ht="13" customHeight="1">
      <c r="A829" s="166"/>
      <c r="B829" s="163"/>
      <c r="C829" s="167" t="str">
        <f>IFERROR(IF(VLOOKUP($B829,勘定科目!$A:$H,HLOOKUP($E$5,勘定科目!$F$1:$H$2,2,0),0)="","",VLOOKUP($B829,勘定科目!$A:$E,2,0)),"")</f>
        <v/>
      </c>
      <c r="D829" s="216" t="str">
        <f>IF(C829="","",VLOOKUP($B829,勘定科目!$A:$E,4,0))</f>
        <v/>
      </c>
      <c r="E829" s="222"/>
      <c r="F829" s="217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184"/>
      <c r="S829" s="185"/>
      <c r="T829" s="186"/>
      <c r="U829" s="223"/>
      <c r="V829" s="223"/>
      <c r="W829" s="223"/>
    </row>
    <row r="830" spans="1:23" s="175" customFormat="1" ht="13" customHeight="1">
      <c r="A830" s="166"/>
      <c r="B830" s="163"/>
      <c r="C830" s="167" t="str">
        <f>IFERROR(IF(VLOOKUP($B830,勘定科目!$A:$H,HLOOKUP($E$5,勘定科目!$F$1:$H$2,2,0),0)="","",VLOOKUP($B830,勘定科目!$A:$E,2,0)),"")</f>
        <v/>
      </c>
      <c r="D830" s="216" t="str">
        <f>IF(C830="","",VLOOKUP($B830,勘定科目!$A:$E,4,0))</f>
        <v/>
      </c>
      <c r="E830" s="222"/>
      <c r="F830" s="217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184"/>
      <c r="S830" s="185"/>
      <c r="T830" s="186"/>
      <c r="U830" s="223"/>
      <c r="V830" s="223"/>
      <c r="W830" s="223"/>
    </row>
    <row r="831" spans="1:23" s="175" customFormat="1" ht="13" customHeight="1">
      <c r="A831" s="166"/>
      <c r="B831" s="163"/>
      <c r="C831" s="167" t="str">
        <f>IFERROR(IF(VLOOKUP($B831,勘定科目!$A:$H,HLOOKUP($E$5,勘定科目!$F$1:$H$2,2,0),0)="","",VLOOKUP($B831,勘定科目!$A:$E,2,0)),"")</f>
        <v/>
      </c>
      <c r="D831" s="216" t="str">
        <f>IF(C831="","",VLOOKUP($B831,勘定科目!$A:$E,4,0))</f>
        <v/>
      </c>
      <c r="E831" s="222"/>
      <c r="F831" s="217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184"/>
      <c r="S831" s="185"/>
      <c r="T831" s="186"/>
      <c r="U831" s="223"/>
      <c r="V831" s="223"/>
      <c r="W831" s="223"/>
    </row>
    <row r="832" spans="1:23" s="175" customFormat="1" ht="13" customHeight="1">
      <c r="A832" s="166"/>
      <c r="B832" s="163"/>
      <c r="C832" s="167" t="str">
        <f>IFERROR(IF(VLOOKUP($B832,勘定科目!$A:$H,HLOOKUP($E$5,勘定科目!$F$1:$H$2,2,0),0)="","",VLOOKUP($B832,勘定科目!$A:$E,2,0)),"")</f>
        <v/>
      </c>
      <c r="D832" s="216" t="str">
        <f>IF(C832="","",VLOOKUP($B832,勘定科目!$A:$E,4,0))</f>
        <v/>
      </c>
      <c r="E832" s="222"/>
      <c r="F832" s="217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184"/>
      <c r="S832" s="185"/>
      <c r="T832" s="186"/>
      <c r="U832" s="223"/>
      <c r="V832" s="223"/>
      <c r="W832" s="223"/>
    </row>
    <row r="833" spans="1:23" s="175" customFormat="1" ht="13" customHeight="1">
      <c r="A833" s="166"/>
      <c r="B833" s="163"/>
      <c r="C833" s="167" t="str">
        <f>IFERROR(IF(VLOOKUP($B833,勘定科目!$A:$H,HLOOKUP($E$5,勘定科目!$F$1:$H$2,2,0),0)="","",VLOOKUP($B833,勘定科目!$A:$E,2,0)),"")</f>
        <v/>
      </c>
      <c r="D833" s="216" t="str">
        <f>IF(C833="","",VLOOKUP($B833,勘定科目!$A:$E,4,0))</f>
        <v/>
      </c>
      <c r="E833" s="222"/>
      <c r="F833" s="217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184"/>
      <c r="S833" s="185"/>
      <c r="T833" s="186"/>
      <c r="U833" s="223"/>
      <c r="V833" s="223"/>
      <c r="W833" s="223"/>
    </row>
    <row r="834" spans="1:23" s="175" customFormat="1" ht="13" customHeight="1">
      <c r="A834" s="166"/>
      <c r="B834" s="163"/>
      <c r="C834" s="167" t="str">
        <f>IFERROR(IF(VLOOKUP($B834,勘定科目!$A:$H,HLOOKUP($E$5,勘定科目!$F$1:$H$2,2,0),0)="","",VLOOKUP($B834,勘定科目!$A:$E,2,0)),"")</f>
        <v/>
      </c>
      <c r="D834" s="216" t="str">
        <f>IF(C834="","",VLOOKUP($B834,勘定科目!$A:$E,4,0))</f>
        <v/>
      </c>
      <c r="E834" s="222"/>
      <c r="F834" s="217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184"/>
      <c r="S834" s="185"/>
      <c r="T834" s="186"/>
      <c r="U834" s="223"/>
      <c r="V834" s="223"/>
      <c r="W834" s="223"/>
    </row>
    <row r="835" spans="1:23" s="175" customFormat="1" ht="13" customHeight="1">
      <c r="A835" s="166"/>
      <c r="B835" s="163"/>
      <c r="C835" s="167" t="str">
        <f>IFERROR(IF(VLOOKUP($B835,勘定科目!$A:$H,HLOOKUP($E$5,勘定科目!$F$1:$H$2,2,0),0)="","",VLOOKUP($B835,勘定科目!$A:$E,2,0)),"")</f>
        <v/>
      </c>
      <c r="D835" s="216" t="str">
        <f>IF(C835="","",VLOOKUP($B835,勘定科目!$A:$E,4,0))</f>
        <v/>
      </c>
      <c r="E835" s="222"/>
      <c r="F835" s="217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184"/>
      <c r="S835" s="185"/>
      <c r="T835" s="186"/>
      <c r="U835" s="223"/>
      <c r="V835" s="223"/>
      <c r="W835" s="223"/>
    </row>
    <row r="836" spans="1:23" s="175" customFormat="1" ht="13" customHeight="1">
      <c r="A836" s="166"/>
      <c r="B836" s="163"/>
      <c r="C836" s="167" t="str">
        <f>IFERROR(IF(VLOOKUP($B836,勘定科目!$A:$H,HLOOKUP($E$5,勘定科目!$F$1:$H$2,2,0),0)="","",VLOOKUP($B836,勘定科目!$A:$E,2,0)),"")</f>
        <v/>
      </c>
      <c r="D836" s="216" t="str">
        <f>IF(C836="","",VLOOKUP($B836,勘定科目!$A:$E,4,0))</f>
        <v/>
      </c>
      <c r="E836" s="222"/>
      <c r="F836" s="217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184"/>
      <c r="S836" s="185"/>
      <c r="T836" s="186"/>
      <c r="U836" s="223"/>
      <c r="V836" s="223"/>
      <c r="W836" s="223"/>
    </row>
    <row r="837" spans="1:23" s="175" customFormat="1" ht="13" customHeight="1">
      <c r="A837" s="166"/>
      <c r="B837" s="163"/>
      <c r="C837" s="167" t="str">
        <f>IFERROR(IF(VLOOKUP($B837,勘定科目!$A:$H,HLOOKUP($E$5,勘定科目!$F$1:$H$2,2,0),0)="","",VLOOKUP($B837,勘定科目!$A:$E,2,0)),"")</f>
        <v/>
      </c>
      <c r="D837" s="216" t="str">
        <f>IF(C837="","",VLOOKUP($B837,勘定科目!$A:$E,4,0))</f>
        <v/>
      </c>
      <c r="E837" s="222"/>
      <c r="F837" s="217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184"/>
      <c r="S837" s="185"/>
      <c r="T837" s="186"/>
      <c r="U837" s="223"/>
      <c r="V837" s="223"/>
      <c r="W837" s="223"/>
    </row>
    <row r="838" spans="1:23" s="175" customFormat="1" ht="13" customHeight="1">
      <c r="A838" s="166"/>
      <c r="B838" s="163"/>
      <c r="C838" s="167" t="str">
        <f>IFERROR(IF(VLOOKUP($B838,勘定科目!$A:$H,HLOOKUP($E$5,勘定科目!$F$1:$H$2,2,0),0)="","",VLOOKUP($B838,勘定科目!$A:$E,2,0)),"")</f>
        <v/>
      </c>
      <c r="D838" s="216" t="str">
        <f>IF(C838="","",VLOOKUP($B838,勘定科目!$A:$E,4,0))</f>
        <v/>
      </c>
      <c r="E838" s="222"/>
      <c r="F838" s="217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184"/>
      <c r="S838" s="185"/>
      <c r="T838" s="186"/>
      <c r="U838" s="223"/>
      <c r="V838" s="223"/>
      <c r="W838" s="223"/>
    </row>
    <row r="839" spans="1:23" s="175" customFormat="1" ht="13" customHeight="1">
      <c r="A839" s="166"/>
      <c r="B839" s="163"/>
      <c r="C839" s="167" t="str">
        <f>IFERROR(IF(VLOOKUP($B839,勘定科目!$A:$H,HLOOKUP($E$5,勘定科目!$F$1:$H$2,2,0),0)="","",VLOOKUP($B839,勘定科目!$A:$E,2,0)),"")</f>
        <v/>
      </c>
      <c r="D839" s="216" t="str">
        <f>IF(C839="","",VLOOKUP($B839,勘定科目!$A:$E,4,0))</f>
        <v/>
      </c>
      <c r="E839" s="222"/>
      <c r="F839" s="217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184"/>
      <c r="S839" s="185"/>
      <c r="T839" s="186"/>
      <c r="U839" s="223"/>
      <c r="V839" s="223"/>
      <c r="W839" s="223"/>
    </row>
    <row r="840" spans="1:23" s="175" customFormat="1" ht="13" customHeight="1">
      <c r="A840" s="166"/>
      <c r="B840" s="163"/>
      <c r="C840" s="167" t="str">
        <f>IFERROR(IF(VLOOKUP($B840,勘定科目!$A:$H,HLOOKUP($E$5,勘定科目!$F$1:$H$2,2,0),0)="","",VLOOKUP($B840,勘定科目!$A:$E,2,0)),"")</f>
        <v/>
      </c>
      <c r="D840" s="216" t="str">
        <f>IF(C840="","",VLOOKUP($B840,勘定科目!$A:$E,4,0))</f>
        <v/>
      </c>
      <c r="E840" s="222"/>
      <c r="F840" s="217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184"/>
      <c r="S840" s="185"/>
      <c r="T840" s="186"/>
      <c r="U840" s="223"/>
      <c r="V840" s="223"/>
      <c r="W840" s="223"/>
    </row>
    <row r="841" spans="1:23" s="175" customFormat="1" ht="13" customHeight="1">
      <c r="A841" s="166"/>
      <c r="B841" s="163"/>
      <c r="C841" s="167" t="str">
        <f>IFERROR(IF(VLOOKUP($B841,勘定科目!$A:$H,HLOOKUP($E$5,勘定科目!$F$1:$H$2,2,0),0)="","",VLOOKUP($B841,勘定科目!$A:$E,2,0)),"")</f>
        <v/>
      </c>
      <c r="D841" s="216" t="str">
        <f>IF(C841="","",VLOOKUP($B841,勘定科目!$A:$E,4,0))</f>
        <v/>
      </c>
      <c r="E841" s="222"/>
      <c r="F841" s="217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184"/>
      <c r="S841" s="185"/>
      <c r="T841" s="186"/>
      <c r="U841" s="223"/>
      <c r="V841" s="223"/>
      <c r="W841" s="223"/>
    </row>
    <row r="842" spans="1:23" s="175" customFormat="1" ht="13" customHeight="1">
      <c r="A842" s="166"/>
      <c r="B842" s="163"/>
      <c r="C842" s="167" t="str">
        <f>IFERROR(IF(VLOOKUP($B842,勘定科目!$A:$H,HLOOKUP($E$5,勘定科目!$F$1:$H$2,2,0),0)="","",VLOOKUP($B842,勘定科目!$A:$E,2,0)),"")</f>
        <v/>
      </c>
      <c r="D842" s="216" t="str">
        <f>IF(C842="","",VLOOKUP($B842,勘定科目!$A:$E,4,0))</f>
        <v/>
      </c>
      <c r="E842" s="222"/>
      <c r="F842" s="217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184"/>
      <c r="S842" s="185"/>
      <c r="T842" s="186"/>
      <c r="U842" s="223"/>
      <c r="V842" s="223"/>
      <c r="W842" s="223"/>
    </row>
    <row r="843" spans="1:23" s="175" customFormat="1" ht="13" customHeight="1">
      <c r="A843" s="166"/>
      <c r="B843" s="163"/>
      <c r="C843" s="167" t="str">
        <f>IFERROR(IF(VLOOKUP($B843,勘定科目!$A:$H,HLOOKUP($E$5,勘定科目!$F$1:$H$2,2,0),0)="","",VLOOKUP($B843,勘定科目!$A:$E,2,0)),"")</f>
        <v/>
      </c>
      <c r="D843" s="216" t="str">
        <f>IF(C843="","",VLOOKUP($B843,勘定科目!$A:$E,4,0))</f>
        <v/>
      </c>
      <c r="E843" s="222"/>
      <c r="F843" s="217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184"/>
      <c r="S843" s="185"/>
      <c r="T843" s="186"/>
      <c r="U843" s="223"/>
      <c r="V843" s="223"/>
      <c r="W843" s="223"/>
    </row>
    <row r="844" spans="1:23" s="175" customFormat="1" ht="13" customHeight="1">
      <c r="A844" s="166"/>
      <c r="B844" s="163"/>
      <c r="C844" s="167" t="str">
        <f>IFERROR(IF(VLOOKUP($B844,勘定科目!$A:$H,HLOOKUP($E$5,勘定科目!$F$1:$H$2,2,0),0)="","",VLOOKUP($B844,勘定科目!$A:$E,2,0)),"")</f>
        <v/>
      </c>
      <c r="D844" s="216" t="str">
        <f>IF(C844="","",VLOOKUP($B844,勘定科目!$A:$E,4,0))</f>
        <v/>
      </c>
      <c r="E844" s="222"/>
      <c r="F844" s="217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184"/>
      <c r="S844" s="185"/>
      <c r="T844" s="186"/>
      <c r="U844" s="223"/>
      <c r="V844" s="223"/>
      <c r="W844" s="223"/>
    </row>
    <row r="845" spans="1:23" s="175" customFormat="1" ht="13" customHeight="1">
      <c r="A845" s="166"/>
      <c r="B845" s="163"/>
      <c r="C845" s="167" t="str">
        <f>IFERROR(IF(VLOOKUP($B845,勘定科目!$A:$H,HLOOKUP($E$5,勘定科目!$F$1:$H$2,2,0),0)="","",VLOOKUP($B845,勘定科目!$A:$E,2,0)),"")</f>
        <v/>
      </c>
      <c r="D845" s="216" t="str">
        <f>IF(C845="","",VLOOKUP($B845,勘定科目!$A:$E,4,0))</f>
        <v/>
      </c>
      <c r="E845" s="222"/>
      <c r="F845" s="217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184"/>
      <c r="S845" s="185"/>
      <c r="T845" s="186"/>
      <c r="U845" s="223"/>
      <c r="V845" s="223"/>
      <c r="W845" s="223"/>
    </row>
    <row r="846" spans="1:23" s="175" customFormat="1" ht="13" customHeight="1">
      <c r="A846" s="166"/>
      <c r="B846" s="163"/>
      <c r="C846" s="167" t="str">
        <f>IFERROR(IF(VLOOKUP($B846,勘定科目!$A:$H,HLOOKUP($E$5,勘定科目!$F$1:$H$2,2,0),0)="","",VLOOKUP($B846,勘定科目!$A:$E,2,0)),"")</f>
        <v/>
      </c>
      <c r="D846" s="216" t="str">
        <f>IF(C846="","",VLOOKUP($B846,勘定科目!$A:$E,4,0))</f>
        <v/>
      </c>
      <c r="E846" s="222"/>
      <c r="F846" s="217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184"/>
      <c r="S846" s="185"/>
      <c r="T846" s="186"/>
      <c r="U846" s="223"/>
      <c r="V846" s="223"/>
      <c r="W846" s="223"/>
    </row>
    <row r="847" spans="1:23" s="175" customFormat="1" ht="13" customHeight="1">
      <c r="A847" s="166"/>
      <c r="B847" s="163"/>
      <c r="C847" s="167" t="str">
        <f>IFERROR(IF(VLOOKUP($B847,勘定科目!$A:$H,HLOOKUP($E$5,勘定科目!$F$1:$H$2,2,0),0)="","",VLOOKUP($B847,勘定科目!$A:$E,2,0)),"")</f>
        <v/>
      </c>
      <c r="D847" s="216" t="str">
        <f>IF(C847="","",VLOOKUP($B847,勘定科目!$A:$E,4,0))</f>
        <v/>
      </c>
      <c r="E847" s="222"/>
      <c r="F847" s="217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184"/>
      <c r="S847" s="185"/>
      <c r="T847" s="186"/>
      <c r="U847" s="223"/>
      <c r="V847" s="223"/>
      <c r="W847" s="223"/>
    </row>
    <row r="848" spans="1:23" s="175" customFormat="1" ht="13" customHeight="1">
      <c r="A848" s="166"/>
      <c r="B848" s="163"/>
      <c r="C848" s="167" t="str">
        <f>IFERROR(IF(VLOOKUP($B848,勘定科目!$A:$H,HLOOKUP($E$5,勘定科目!$F$1:$H$2,2,0),0)="","",VLOOKUP($B848,勘定科目!$A:$E,2,0)),"")</f>
        <v/>
      </c>
      <c r="D848" s="216" t="str">
        <f>IF(C848="","",VLOOKUP($B848,勘定科目!$A:$E,4,0))</f>
        <v/>
      </c>
      <c r="E848" s="222"/>
      <c r="F848" s="217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184"/>
      <c r="S848" s="185"/>
      <c r="T848" s="186"/>
      <c r="U848" s="223"/>
      <c r="V848" s="223"/>
      <c r="W848" s="223"/>
    </row>
    <row r="849" spans="1:23" s="175" customFormat="1" ht="13" customHeight="1">
      <c r="A849" s="166"/>
      <c r="B849" s="163"/>
      <c r="C849" s="167" t="str">
        <f>IFERROR(IF(VLOOKUP($B849,勘定科目!$A:$H,HLOOKUP($E$5,勘定科目!$F$1:$H$2,2,0),0)="","",VLOOKUP($B849,勘定科目!$A:$E,2,0)),"")</f>
        <v/>
      </c>
      <c r="D849" s="216" t="str">
        <f>IF(C849="","",VLOOKUP($B849,勘定科目!$A:$E,4,0))</f>
        <v/>
      </c>
      <c r="E849" s="222"/>
      <c r="F849" s="217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184"/>
      <c r="S849" s="185"/>
      <c r="T849" s="186"/>
      <c r="U849" s="223"/>
      <c r="V849" s="223"/>
      <c r="W849" s="223"/>
    </row>
    <row r="850" spans="1:23" s="175" customFormat="1" ht="13" customHeight="1">
      <c r="A850" s="166"/>
      <c r="B850" s="163"/>
      <c r="C850" s="167" t="str">
        <f>IFERROR(IF(VLOOKUP($B850,勘定科目!$A:$H,HLOOKUP($E$5,勘定科目!$F$1:$H$2,2,0),0)="","",VLOOKUP($B850,勘定科目!$A:$E,2,0)),"")</f>
        <v/>
      </c>
      <c r="D850" s="216" t="str">
        <f>IF(C850="","",VLOOKUP($B850,勘定科目!$A:$E,4,0))</f>
        <v/>
      </c>
      <c r="E850" s="222"/>
      <c r="F850" s="217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184"/>
      <c r="S850" s="185"/>
      <c r="T850" s="186"/>
      <c r="U850" s="223"/>
      <c r="V850" s="223"/>
      <c r="W850" s="223"/>
    </row>
    <row r="851" spans="1:23" s="175" customFormat="1" ht="13" customHeight="1">
      <c r="A851" s="166"/>
      <c r="B851" s="163"/>
      <c r="C851" s="167" t="str">
        <f>IFERROR(IF(VLOOKUP($B851,勘定科目!$A:$H,HLOOKUP($E$5,勘定科目!$F$1:$H$2,2,0),0)="","",VLOOKUP($B851,勘定科目!$A:$E,2,0)),"")</f>
        <v/>
      </c>
      <c r="D851" s="216" t="str">
        <f>IF(C851="","",VLOOKUP($B851,勘定科目!$A:$E,4,0))</f>
        <v/>
      </c>
      <c r="E851" s="222"/>
      <c r="F851" s="217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184"/>
      <c r="S851" s="185"/>
      <c r="T851" s="186"/>
      <c r="U851" s="223"/>
      <c r="V851" s="223"/>
      <c r="W851" s="223"/>
    </row>
    <row r="852" spans="1:23" s="175" customFormat="1" ht="13" customHeight="1">
      <c r="A852" s="166"/>
      <c r="B852" s="163"/>
      <c r="C852" s="167" t="str">
        <f>IFERROR(IF(VLOOKUP($B852,勘定科目!$A:$H,HLOOKUP($E$5,勘定科目!$F$1:$H$2,2,0),0)="","",VLOOKUP($B852,勘定科目!$A:$E,2,0)),"")</f>
        <v/>
      </c>
      <c r="D852" s="216" t="str">
        <f>IF(C852="","",VLOOKUP($B852,勘定科目!$A:$E,4,0))</f>
        <v/>
      </c>
      <c r="E852" s="222"/>
      <c r="F852" s="217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184"/>
      <c r="S852" s="185"/>
      <c r="T852" s="186"/>
      <c r="U852" s="223"/>
      <c r="V852" s="223"/>
      <c r="W852" s="223"/>
    </row>
    <row r="853" spans="1:23" s="175" customFormat="1" ht="13" customHeight="1">
      <c r="A853" s="166"/>
      <c r="B853" s="163"/>
      <c r="C853" s="167" t="str">
        <f>IFERROR(IF(VLOOKUP($B853,勘定科目!$A:$H,HLOOKUP($E$5,勘定科目!$F$1:$H$2,2,0),0)="","",VLOOKUP($B853,勘定科目!$A:$E,2,0)),"")</f>
        <v/>
      </c>
      <c r="D853" s="216" t="str">
        <f>IF(C853="","",VLOOKUP($B853,勘定科目!$A:$E,4,0))</f>
        <v/>
      </c>
      <c r="E853" s="222"/>
      <c r="F853" s="217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184"/>
      <c r="S853" s="185"/>
      <c r="T853" s="186"/>
      <c r="U853" s="223"/>
      <c r="V853" s="223"/>
      <c r="W853" s="223"/>
    </row>
    <row r="854" spans="1:23" s="175" customFormat="1" ht="13" customHeight="1">
      <c r="A854" s="166"/>
      <c r="B854" s="163"/>
      <c r="C854" s="167" t="str">
        <f>IFERROR(IF(VLOOKUP($B854,勘定科目!$A:$H,HLOOKUP($E$5,勘定科目!$F$1:$H$2,2,0),0)="","",VLOOKUP($B854,勘定科目!$A:$E,2,0)),"")</f>
        <v/>
      </c>
      <c r="D854" s="216" t="str">
        <f>IF(C854="","",VLOOKUP($B854,勘定科目!$A:$E,4,0))</f>
        <v/>
      </c>
      <c r="E854" s="222"/>
      <c r="F854" s="217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184"/>
      <c r="S854" s="185"/>
      <c r="T854" s="186"/>
      <c r="U854" s="223"/>
      <c r="V854" s="223"/>
      <c r="W854" s="223"/>
    </row>
    <row r="855" spans="1:23" s="175" customFormat="1" ht="13" customHeight="1">
      <c r="A855" s="166"/>
      <c r="B855" s="163"/>
      <c r="C855" s="167" t="str">
        <f>IFERROR(IF(VLOOKUP($B855,勘定科目!$A:$H,HLOOKUP($E$5,勘定科目!$F$1:$H$2,2,0),0)="","",VLOOKUP($B855,勘定科目!$A:$E,2,0)),"")</f>
        <v/>
      </c>
      <c r="D855" s="216" t="str">
        <f>IF(C855="","",VLOOKUP($B855,勘定科目!$A:$E,4,0))</f>
        <v/>
      </c>
      <c r="E855" s="222"/>
      <c r="F855" s="217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184"/>
      <c r="S855" s="185"/>
      <c r="T855" s="186"/>
      <c r="U855" s="223"/>
      <c r="V855" s="223"/>
      <c r="W855" s="223"/>
    </row>
    <row r="856" spans="1:23" s="175" customFormat="1" ht="13" customHeight="1">
      <c r="A856" s="166"/>
      <c r="B856" s="163"/>
      <c r="C856" s="167" t="str">
        <f>IFERROR(IF(VLOOKUP($B856,勘定科目!$A:$H,HLOOKUP($E$5,勘定科目!$F$1:$H$2,2,0),0)="","",VLOOKUP($B856,勘定科目!$A:$E,2,0)),"")</f>
        <v/>
      </c>
      <c r="D856" s="216" t="str">
        <f>IF(C856="","",VLOOKUP($B856,勘定科目!$A:$E,4,0))</f>
        <v/>
      </c>
      <c r="E856" s="222"/>
      <c r="F856" s="217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184"/>
      <c r="S856" s="185"/>
      <c r="T856" s="186"/>
      <c r="U856" s="223"/>
      <c r="V856" s="223"/>
      <c r="W856" s="223"/>
    </row>
    <row r="857" spans="1:23" s="175" customFormat="1" ht="13" customHeight="1">
      <c r="A857" s="166"/>
      <c r="B857" s="163"/>
      <c r="C857" s="167" t="str">
        <f>IFERROR(IF(VLOOKUP($B857,勘定科目!$A:$H,HLOOKUP($E$5,勘定科目!$F$1:$H$2,2,0),0)="","",VLOOKUP($B857,勘定科目!$A:$E,2,0)),"")</f>
        <v/>
      </c>
      <c r="D857" s="216" t="str">
        <f>IF(C857="","",VLOOKUP($B857,勘定科目!$A:$E,4,0))</f>
        <v/>
      </c>
      <c r="E857" s="222"/>
      <c r="F857" s="217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184"/>
      <c r="S857" s="185"/>
      <c r="T857" s="186"/>
      <c r="U857" s="223"/>
      <c r="V857" s="223"/>
      <c r="W857" s="223"/>
    </row>
    <row r="858" spans="1:23" s="175" customFormat="1" ht="13" customHeight="1">
      <c r="A858" s="166"/>
      <c r="B858" s="163"/>
      <c r="C858" s="167" t="str">
        <f>IFERROR(IF(VLOOKUP($B858,勘定科目!$A:$H,HLOOKUP($E$5,勘定科目!$F$1:$H$2,2,0),0)="","",VLOOKUP($B858,勘定科目!$A:$E,2,0)),"")</f>
        <v/>
      </c>
      <c r="D858" s="216" t="str">
        <f>IF(C858="","",VLOOKUP($B858,勘定科目!$A:$E,4,0))</f>
        <v/>
      </c>
      <c r="E858" s="222"/>
      <c r="F858" s="217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184"/>
      <c r="S858" s="185"/>
      <c r="T858" s="186"/>
      <c r="U858" s="223"/>
      <c r="V858" s="223"/>
      <c r="W858" s="223"/>
    </row>
    <row r="859" spans="1:23" s="175" customFormat="1" ht="13" customHeight="1">
      <c r="A859" s="166"/>
      <c r="B859" s="163"/>
      <c r="C859" s="167" t="str">
        <f>IFERROR(IF(VLOOKUP($B859,勘定科目!$A:$H,HLOOKUP($E$5,勘定科目!$F$1:$H$2,2,0),0)="","",VLOOKUP($B859,勘定科目!$A:$E,2,0)),"")</f>
        <v/>
      </c>
      <c r="D859" s="216" t="str">
        <f>IF(C859="","",VLOOKUP($B859,勘定科目!$A:$E,4,0))</f>
        <v/>
      </c>
      <c r="E859" s="222"/>
      <c r="F859" s="217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184"/>
      <c r="S859" s="185"/>
      <c r="T859" s="186"/>
      <c r="U859" s="223"/>
      <c r="V859" s="223"/>
      <c r="W859" s="223"/>
    </row>
    <row r="860" spans="1:23" s="175" customFormat="1" ht="13" customHeight="1">
      <c r="A860" s="166"/>
      <c r="B860" s="163"/>
      <c r="C860" s="167" t="str">
        <f>IFERROR(IF(VLOOKUP($B860,勘定科目!$A:$H,HLOOKUP($E$5,勘定科目!$F$1:$H$2,2,0),0)="","",VLOOKUP($B860,勘定科目!$A:$E,2,0)),"")</f>
        <v/>
      </c>
      <c r="D860" s="216" t="str">
        <f>IF(C860="","",VLOOKUP($B860,勘定科目!$A:$E,4,0))</f>
        <v/>
      </c>
      <c r="E860" s="222"/>
      <c r="F860" s="217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184"/>
      <c r="S860" s="185"/>
      <c r="T860" s="186"/>
      <c r="U860" s="223"/>
      <c r="V860" s="223"/>
      <c r="W860" s="223"/>
    </row>
    <row r="861" spans="1:23" s="175" customFormat="1" ht="13" customHeight="1">
      <c r="A861" s="166"/>
      <c r="B861" s="163"/>
      <c r="C861" s="167" t="str">
        <f>IFERROR(IF(VLOOKUP($B861,勘定科目!$A:$H,HLOOKUP($E$5,勘定科目!$F$1:$H$2,2,0),0)="","",VLOOKUP($B861,勘定科目!$A:$E,2,0)),"")</f>
        <v/>
      </c>
      <c r="D861" s="216" t="str">
        <f>IF(C861="","",VLOOKUP($B861,勘定科目!$A:$E,4,0))</f>
        <v/>
      </c>
      <c r="E861" s="222"/>
      <c r="F861" s="217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184"/>
      <c r="S861" s="185"/>
      <c r="T861" s="186"/>
      <c r="U861" s="223"/>
      <c r="V861" s="223"/>
      <c r="W861" s="223"/>
    </row>
    <row r="862" spans="1:23" s="175" customFormat="1" ht="13" customHeight="1">
      <c r="A862" s="166"/>
      <c r="B862" s="163"/>
      <c r="C862" s="167" t="str">
        <f>IFERROR(IF(VLOOKUP($B862,勘定科目!$A:$H,HLOOKUP($E$5,勘定科目!$F$1:$H$2,2,0),0)="","",VLOOKUP($B862,勘定科目!$A:$E,2,0)),"")</f>
        <v/>
      </c>
      <c r="D862" s="216" t="str">
        <f>IF(C862="","",VLOOKUP($B862,勘定科目!$A:$E,4,0))</f>
        <v/>
      </c>
      <c r="E862" s="222"/>
      <c r="F862" s="217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184"/>
      <c r="S862" s="185"/>
      <c r="T862" s="186"/>
      <c r="U862" s="223"/>
      <c r="V862" s="223"/>
      <c r="W862" s="223"/>
    </row>
    <row r="863" spans="1:23" s="175" customFormat="1" ht="13" customHeight="1">
      <c r="A863" s="166"/>
      <c r="B863" s="163"/>
      <c r="C863" s="167" t="str">
        <f>IFERROR(IF(VLOOKUP($B863,勘定科目!$A:$H,HLOOKUP($E$5,勘定科目!$F$1:$H$2,2,0),0)="","",VLOOKUP($B863,勘定科目!$A:$E,2,0)),"")</f>
        <v/>
      </c>
      <c r="D863" s="216" t="str">
        <f>IF(C863="","",VLOOKUP($B863,勘定科目!$A:$E,4,0))</f>
        <v/>
      </c>
      <c r="E863" s="222"/>
      <c r="F863" s="217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184"/>
      <c r="S863" s="185"/>
      <c r="T863" s="186"/>
      <c r="U863" s="223"/>
      <c r="V863" s="223"/>
      <c r="W863" s="223"/>
    </row>
    <row r="864" spans="1:23" s="175" customFormat="1" ht="13" customHeight="1">
      <c r="A864" s="166"/>
      <c r="B864" s="163"/>
      <c r="C864" s="167" t="str">
        <f>IFERROR(IF(VLOOKUP($B864,勘定科目!$A:$H,HLOOKUP($E$5,勘定科目!$F$1:$H$2,2,0),0)="","",VLOOKUP($B864,勘定科目!$A:$E,2,0)),"")</f>
        <v/>
      </c>
      <c r="D864" s="216" t="str">
        <f>IF(C864="","",VLOOKUP($B864,勘定科目!$A:$E,4,0))</f>
        <v/>
      </c>
      <c r="E864" s="222"/>
      <c r="F864" s="217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184"/>
      <c r="S864" s="185"/>
      <c r="T864" s="186"/>
      <c r="U864" s="223"/>
      <c r="V864" s="223"/>
      <c r="W864" s="223"/>
    </row>
    <row r="865" spans="1:23" s="175" customFormat="1" ht="13" customHeight="1">
      <c r="A865" s="166"/>
      <c r="B865" s="163"/>
      <c r="C865" s="167" t="str">
        <f>IFERROR(IF(VLOOKUP($B865,勘定科目!$A:$H,HLOOKUP($E$5,勘定科目!$F$1:$H$2,2,0),0)="","",VLOOKUP($B865,勘定科目!$A:$E,2,0)),"")</f>
        <v/>
      </c>
      <c r="D865" s="216" t="str">
        <f>IF(C865="","",VLOOKUP($B865,勘定科目!$A:$E,4,0))</f>
        <v/>
      </c>
      <c r="E865" s="222"/>
      <c r="F865" s="217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184"/>
      <c r="S865" s="185"/>
      <c r="T865" s="186"/>
      <c r="U865" s="223"/>
      <c r="V865" s="223"/>
      <c r="W865" s="223"/>
    </row>
    <row r="866" spans="1:23" s="175" customFormat="1" ht="13" customHeight="1">
      <c r="A866" s="166"/>
      <c r="B866" s="163"/>
      <c r="C866" s="167" t="str">
        <f>IFERROR(IF(VLOOKUP($B866,勘定科目!$A:$H,HLOOKUP($E$5,勘定科目!$F$1:$H$2,2,0),0)="","",VLOOKUP($B866,勘定科目!$A:$E,2,0)),"")</f>
        <v/>
      </c>
      <c r="D866" s="216" t="str">
        <f>IF(C866="","",VLOOKUP($B866,勘定科目!$A:$E,4,0))</f>
        <v/>
      </c>
      <c r="E866" s="222"/>
      <c r="F866" s="217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184"/>
      <c r="S866" s="185"/>
      <c r="T866" s="186"/>
      <c r="U866" s="223"/>
      <c r="V866" s="223"/>
      <c r="W866" s="223"/>
    </row>
    <row r="867" spans="1:23" s="175" customFormat="1" ht="13" customHeight="1">
      <c r="A867" s="166"/>
      <c r="B867" s="163"/>
      <c r="C867" s="167" t="str">
        <f>IFERROR(IF(VLOOKUP($B867,勘定科目!$A:$H,HLOOKUP($E$5,勘定科目!$F$1:$H$2,2,0),0)="","",VLOOKUP($B867,勘定科目!$A:$E,2,0)),"")</f>
        <v/>
      </c>
      <c r="D867" s="216" t="str">
        <f>IF(C867="","",VLOOKUP($B867,勘定科目!$A:$E,4,0))</f>
        <v/>
      </c>
      <c r="E867" s="222"/>
      <c r="F867" s="217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184"/>
      <c r="S867" s="185"/>
      <c r="T867" s="186"/>
      <c r="U867" s="223"/>
      <c r="V867" s="223"/>
      <c r="W867" s="223"/>
    </row>
    <row r="868" spans="1:23" s="175" customFormat="1" ht="13" customHeight="1">
      <c r="A868" s="166"/>
      <c r="B868" s="163"/>
      <c r="C868" s="167" t="str">
        <f>IFERROR(IF(VLOOKUP($B868,勘定科目!$A:$H,HLOOKUP($E$5,勘定科目!$F$1:$H$2,2,0),0)="","",VLOOKUP($B868,勘定科目!$A:$E,2,0)),"")</f>
        <v/>
      </c>
      <c r="D868" s="216" t="str">
        <f>IF(C868="","",VLOOKUP($B868,勘定科目!$A:$E,4,0))</f>
        <v/>
      </c>
      <c r="E868" s="222"/>
      <c r="F868" s="217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184"/>
      <c r="S868" s="185"/>
      <c r="T868" s="186"/>
      <c r="U868" s="223"/>
      <c r="V868" s="223"/>
      <c r="W868" s="223"/>
    </row>
    <row r="869" spans="1:23" s="175" customFormat="1" ht="13" customHeight="1">
      <c r="A869" s="166"/>
      <c r="B869" s="163"/>
      <c r="C869" s="167" t="str">
        <f>IFERROR(IF(VLOOKUP($B869,勘定科目!$A:$H,HLOOKUP($E$5,勘定科目!$F$1:$H$2,2,0),0)="","",VLOOKUP($B869,勘定科目!$A:$E,2,0)),"")</f>
        <v/>
      </c>
      <c r="D869" s="216" t="str">
        <f>IF(C869="","",VLOOKUP($B869,勘定科目!$A:$E,4,0))</f>
        <v/>
      </c>
      <c r="E869" s="222"/>
      <c r="F869" s="217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184"/>
      <c r="S869" s="185"/>
      <c r="T869" s="186"/>
      <c r="U869" s="223"/>
      <c r="V869" s="223"/>
      <c r="W869" s="223"/>
    </row>
    <row r="870" spans="1:23" s="175" customFormat="1" ht="13" customHeight="1">
      <c r="A870" s="166"/>
      <c r="B870" s="163"/>
      <c r="C870" s="167" t="str">
        <f>IFERROR(IF(VLOOKUP($B870,勘定科目!$A:$H,HLOOKUP($E$5,勘定科目!$F$1:$H$2,2,0),0)="","",VLOOKUP($B870,勘定科目!$A:$E,2,0)),"")</f>
        <v/>
      </c>
      <c r="D870" s="216" t="str">
        <f>IF(C870="","",VLOOKUP($B870,勘定科目!$A:$E,4,0))</f>
        <v/>
      </c>
      <c r="E870" s="222"/>
      <c r="F870" s="217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184"/>
      <c r="S870" s="185"/>
      <c r="T870" s="186"/>
      <c r="U870" s="223"/>
      <c r="V870" s="223"/>
      <c r="W870" s="223"/>
    </row>
    <row r="871" spans="1:23" s="175" customFormat="1" ht="13" customHeight="1">
      <c r="A871" s="166"/>
      <c r="B871" s="163"/>
      <c r="C871" s="167" t="str">
        <f>IFERROR(IF(VLOOKUP($B871,勘定科目!$A:$H,HLOOKUP($E$5,勘定科目!$F$1:$H$2,2,0),0)="","",VLOOKUP($B871,勘定科目!$A:$E,2,0)),"")</f>
        <v/>
      </c>
      <c r="D871" s="216" t="str">
        <f>IF(C871="","",VLOOKUP($B871,勘定科目!$A:$E,4,0))</f>
        <v/>
      </c>
      <c r="E871" s="222"/>
      <c r="F871" s="217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184"/>
      <c r="S871" s="185"/>
      <c r="T871" s="186"/>
      <c r="U871" s="223"/>
      <c r="V871" s="223"/>
      <c r="W871" s="223"/>
    </row>
    <row r="872" spans="1:23" s="175" customFormat="1" ht="13" customHeight="1">
      <c r="A872" s="166"/>
      <c r="B872" s="163"/>
      <c r="C872" s="167" t="str">
        <f>IFERROR(IF(VLOOKUP($B872,勘定科目!$A:$H,HLOOKUP($E$5,勘定科目!$F$1:$H$2,2,0),0)="","",VLOOKUP($B872,勘定科目!$A:$E,2,0)),"")</f>
        <v/>
      </c>
      <c r="D872" s="216" t="str">
        <f>IF(C872="","",VLOOKUP($B872,勘定科目!$A:$E,4,0))</f>
        <v/>
      </c>
      <c r="E872" s="222"/>
      <c r="F872" s="217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184"/>
      <c r="S872" s="185"/>
      <c r="T872" s="186"/>
      <c r="U872" s="223"/>
      <c r="V872" s="223"/>
      <c r="W872" s="223"/>
    </row>
    <row r="873" spans="1:23" s="175" customFormat="1" ht="13" customHeight="1">
      <c r="A873" s="166"/>
      <c r="B873" s="163"/>
      <c r="C873" s="167" t="str">
        <f>IFERROR(IF(VLOOKUP($B873,勘定科目!$A:$H,HLOOKUP($E$5,勘定科目!$F$1:$H$2,2,0),0)="","",VLOOKUP($B873,勘定科目!$A:$E,2,0)),"")</f>
        <v/>
      </c>
      <c r="D873" s="216" t="str">
        <f>IF(C873="","",VLOOKUP($B873,勘定科目!$A:$E,4,0))</f>
        <v/>
      </c>
      <c r="E873" s="222"/>
      <c r="F873" s="217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184"/>
      <c r="S873" s="185"/>
      <c r="T873" s="186"/>
      <c r="U873" s="223"/>
      <c r="V873" s="223"/>
      <c r="W873" s="223"/>
    </row>
    <row r="874" spans="1:23" s="175" customFormat="1" ht="13" customHeight="1">
      <c r="A874" s="166"/>
      <c r="B874" s="163"/>
      <c r="C874" s="167" t="str">
        <f>IFERROR(IF(VLOOKUP($B874,勘定科目!$A:$H,HLOOKUP($E$5,勘定科目!$F$1:$H$2,2,0),0)="","",VLOOKUP($B874,勘定科目!$A:$E,2,0)),"")</f>
        <v/>
      </c>
      <c r="D874" s="216" t="str">
        <f>IF(C874="","",VLOOKUP($B874,勘定科目!$A:$E,4,0))</f>
        <v/>
      </c>
      <c r="E874" s="222"/>
      <c r="F874" s="217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184"/>
      <c r="S874" s="185"/>
      <c r="T874" s="186"/>
      <c r="U874" s="223"/>
      <c r="V874" s="223"/>
      <c r="W874" s="223"/>
    </row>
    <row r="875" spans="1:23" s="175" customFormat="1" ht="13" customHeight="1">
      <c r="A875" s="166"/>
      <c r="B875" s="163"/>
      <c r="C875" s="167" t="str">
        <f>IFERROR(IF(VLOOKUP($B875,勘定科目!$A:$H,HLOOKUP($E$5,勘定科目!$F$1:$H$2,2,0),0)="","",VLOOKUP($B875,勘定科目!$A:$E,2,0)),"")</f>
        <v/>
      </c>
      <c r="D875" s="216" t="str">
        <f>IF(C875="","",VLOOKUP($B875,勘定科目!$A:$E,4,0))</f>
        <v/>
      </c>
      <c r="E875" s="222"/>
      <c r="F875" s="217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184"/>
      <c r="S875" s="185"/>
      <c r="T875" s="186"/>
      <c r="U875" s="223"/>
      <c r="V875" s="223"/>
      <c r="W875" s="223"/>
    </row>
    <row r="876" spans="1:23" s="175" customFormat="1" ht="13" customHeight="1">
      <c r="A876" s="166"/>
      <c r="B876" s="163"/>
      <c r="C876" s="167" t="str">
        <f>IFERROR(IF(VLOOKUP($B876,勘定科目!$A:$H,HLOOKUP($E$5,勘定科目!$F$1:$H$2,2,0),0)="","",VLOOKUP($B876,勘定科目!$A:$E,2,0)),"")</f>
        <v/>
      </c>
      <c r="D876" s="216" t="str">
        <f>IF(C876="","",VLOOKUP($B876,勘定科目!$A:$E,4,0))</f>
        <v/>
      </c>
      <c r="E876" s="222"/>
      <c r="F876" s="217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184"/>
      <c r="S876" s="185"/>
      <c r="T876" s="186"/>
      <c r="U876" s="223"/>
      <c r="V876" s="223"/>
      <c r="W876" s="223"/>
    </row>
    <row r="877" spans="1:23" s="175" customFormat="1" ht="13" customHeight="1">
      <c r="A877" s="166"/>
      <c r="B877" s="163"/>
      <c r="C877" s="167" t="str">
        <f>IFERROR(IF(VLOOKUP($B877,勘定科目!$A:$H,HLOOKUP($E$5,勘定科目!$F$1:$H$2,2,0),0)="","",VLOOKUP($B877,勘定科目!$A:$E,2,0)),"")</f>
        <v/>
      </c>
      <c r="D877" s="216" t="str">
        <f>IF(C877="","",VLOOKUP($B877,勘定科目!$A:$E,4,0))</f>
        <v/>
      </c>
      <c r="E877" s="222"/>
      <c r="F877" s="217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184"/>
      <c r="S877" s="185"/>
      <c r="T877" s="186"/>
      <c r="U877" s="223"/>
      <c r="V877" s="223"/>
      <c r="W877" s="223"/>
    </row>
    <row r="878" spans="1:23" s="175" customFormat="1" ht="13" customHeight="1">
      <c r="A878" s="166"/>
      <c r="B878" s="163"/>
      <c r="C878" s="167" t="str">
        <f>IFERROR(IF(VLOOKUP($B878,勘定科目!$A:$H,HLOOKUP($E$5,勘定科目!$F$1:$H$2,2,0),0)="","",VLOOKUP($B878,勘定科目!$A:$E,2,0)),"")</f>
        <v/>
      </c>
      <c r="D878" s="216" t="str">
        <f>IF(C878="","",VLOOKUP($B878,勘定科目!$A:$E,4,0))</f>
        <v/>
      </c>
      <c r="E878" s="222"/>
      <c r="F878" s="217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184"/>
      <c r="S878" s="185"/>
      <c r="T878" s="186"/>
      <c r="U878" s="223"/>
      <c r="V878" s="223"/>
      <c r="W878" s="223"/>
    </row>
    <row r="879" spans="1:23" s="175" customFormat="1" ht="13" customHeight="1">
      <c r="A879" s="166"/>
      <c r="B879" s="163"/>
      <c r="C879" s="167" t="str">
        <f>IFERROR(IF(VLOOKUP($B879,勘定科目!$A:$H,HLOOKUP($E$5,勘定科目!$F$1:$H$2,2,0),0)="","",VLOOKUP($B879,勘定科目!$A:$E,2,0)),"")</f>
        <v/>
      </c>
      <c r="D879" s="216" t="str">
        <f>IF(C879="","",VLOOKUP($B879,勘定科目!$A:$E,4,0))</f>
        <v/>
      </c>
      <c r="E879" s="222"/>
      <c r="F879" s="217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184"/>
      <c r="S879" s="185"/>
      <c r="T879" s="186"/>
      <c r="U879" s="223"/>
      <c r="V879" s="223"/>
      <c r="W879" s="223"/>
    </row>
    <row r="880" spans="1:23" s="175" customFormat="1" ht="13" customHeight="1">
      <c r="A880" s="166"/>
      <c r="B880" s="163"/>
      <c r="C880" s="167" t="str">
        <f>IFERROR(IF(VLOOKUP($B880,勘定科目!$A:$H,HLOOKUP($E$5,勘定科目!$F$1:$H$2,2,0),0)="","",VLOOKUP($B880,勘定科目!$A:$E,2,0)),"")</f>
        <v/>
      </c>
      <c r="D880" s="216" t="str">
        <f>IF(C880="","",VLOOKUP($B880,勘定科目!$A:$E,4,0))</f>
        <v/>
      </c>
      <c r="E880" s="222"/>
      <c r="F880" s="217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184"/>
      <c r="S880" s="185"/>
      <c r="T880" s="186"/>
      <c r="U880" s="223"/>
      <c r="V880" s="223"/>
      <c r="W880" s="223"/>
    </row>
    <row r="881" spans="1:23" s="175" customFormat="1" ht="13" customHeight="1">
      <c r="A881" s="166"/>
      <c r="B881" s="163"/>
      <c r="C881" s="167" t="str">
        <f>IFERROR(IF(VLOOKUP($B881,勘定科目!$A:$H,HLOOKUP($E$5,勘定科目!$F$1:$H$2,2,0),0)="","",VLOOKUP($B881,勘定科目!$A:$E,2,0)),"")</f>
        <v/>
      </c>
      <c r="D881" s="216" t="str">
        <f>IF(C881="","",VLOOKUP($B881,勘定科目!$A:$E,4,0))</f>
        <v/>
      </c>
      <c r="E881" s="222"/>
      <c r="F881" s="217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184"/>
      <c r="S881" s="185"/>
      <c r="T881" s="186"/>
      <c r="U881" s="223"/>
      <c r="V881" s="223"/>
      <c r="W881" s="223"/>
    </row>
    <row r="882" spans="1:23" s="175" customFormat="1" ht="13" customHeight="1">
      <c r="A882" s="166"/>
      <c r="B882" s="163"/>
      <c r="C882" s="167" t="str">
        <f>IFERROR(IF(VLOOKUP($B882,勘定科目!$A:$H,HLOOKUP($E$5,勘定科目!$F$1:$H$2,2,0),0)="","",VLOOKUP($B882,勘定科目!$A:$E,2,0)),"")</f>
        <v/>
      </c>
      <c r="D882" s="216" t="str">
        <f>IF(C882="","",VLOOKUP($B882,勘定科目!$A:$E,4,0))</f>
        <v/>
      </c>
      <c r="E882" s="222"/>
      <c r="F882" s="217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184"/>
      <c r="S882" s="185"/>
      <c r="T882" s="186"/>
      <c r="U882" s="223"/>
      <c r="V882" s="223"/>
      <c r="W882" s="223"/>
    </row>
    <row r="883" spans="1:23" s="175" customFormat="1" ht="13" customHeight="1">
      <c r="A883" s="166"/>
      <c r="B883" s="163"/>
      <c r="C883" s="167" t="str">
        <f>IFERROR(IF(VLOOKUP($B883,勘定科目!$A:$H,HLOOKUP($E$5,勘定科目!$F$1:$H$2,2,0),0)="","",VLOOKUP($B883,勘定科目!$A:$E,2,0)),"")</f>
        <v/>
      </c>
      <c r="D883" s="216" t="str">
        <f>IF(C883="","",VLOOKUP($B883,勘定科目!$A:$E,4,0))</f>
        <v/>
      </c>
      <c r="E883" s="222"/>
      <c r="F883" s="217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184"/>
      <c r="S883" s="185"/>
      <c r="T883" s="186"/>
      <c r="U883" s="223"/>
      <c r="V883" s="223"/>
      <c r="W883" s="223"/>
    </row>
    <row r="884" spans="1:23" s="175" customFormat="1" ht="13" customHeight="1">
      <c r="A884" s="166"/>
      <c r="B884" s="163"/>
      <c r="C884" s="167" t="str">
        <f>IFERROR(IF(VLOOKUP($B884,勘定科目!$A:$H,HLOOKUP($E$5,勘定科目!$F$1:$H$2,2,0),0)="","",VLOOKUP($B884,勘定科目!$A:$E,2,0)),"")</f>
        <v/>
      </c>
      <c r="D884" s="216" t="str">
        <f>IF(C884="","",VLOOKUP($B884,勘定科目!$A:$E,4,0))</f>
        <v/>
      </c>
      <c r="E884" s="222"/>
      <c r="F884" s="217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184"/>
      <c r="S884" s="185"/>
      <c r="T884" s="186"/>
      <c r="U884" s="223"/>
      <c r="V884" s="223"/>
      <c r="W884" s="223"/>
    </row>
    <row r="885" spans="1:23" s="175" customFormat="1" ht="13" customHeight="1">
      <c r="A885" s="166"/>
      <c r="B885" s="163"/>
      <c r="C885" s="167" t="str">
        <f>IFERROR(IF(VLOOKUP($B885,勘定科目!$A:$H,HLOOKUP($E$5,勘定科目!$F$1:$H$2,2,0),0)="","",VLOOKUP($B885,勘定科目!$A:$E,2,0)),"")</f>
        <v/>
      </c>
      <c r="D885" s="216" t="str">
        <f>IF(C885="","",VLOOKUP($B885,勘定科目!$A:$E,4,0))</f>
        <v/>
      </c>
      <c r="E885" s="222"/>
      <c r="F885" s="217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184"/>
      <c r="S885" s="185"/>
      <c r="T885" s="186"/>
      <c r="U885" s="223"/>
      <c r="V885" s="223"/>
      <c r="W885" s="223"/>
    </row>
    <row r="886" spans="1:23" s="175" customFormat="1" ht="13" customHeight="1">
      <c r="A886" s="166"/>
      <c r="B886" s="163"/>
      <c r="C886" s="167" t="str">
        <f>IFERROR(IF(VLOOKUP($B886,勘定科目!$A:$H,HLOOKUP($E$5,勘定科目!$F$1:$H$2,2,0),0)="","",VLOOKUP($B886,勘定科目!$A:$E,2,0)),"")</f>
        <v/>
      </c>
      <c r="D886" s="216" t="str">
        <f>IF(C886="","",VLOOKUP($B886,勘定科目!$A:$E,4,0))</f>
        <v/>
      </c>
      <c r="E886" s="222"/>
      <c r="F886" s="217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184"/>
      <c r="S886" s="185"/>
      <c r="T886" s="186"/>
      <c r="U886" s="223"/>
      <c r="V886" s="223"/>
      <c r="W886" s="223"/>
    </row>
    <row r="887" spans="1:23" s="175" customFormat="1" ht="13" customHeight="1">
      <c r="A887" s="166"/>
      <c r="B887" s="163"/>
      <c r="C887" s="167" t="str">
        <f>IFERROR(IF(VLOOKUP($B887,勘定科目!$A:$H,HLOOKUP($E$5,勘定科目!$F$1:$H$2,2,0),0)="","",VLOOKUP($B887,勘定科目!$A:$E,2,0)),"")</f>
        <v/>
      </c>
      <c r="D887" s="216" t="str">
        <f>IF(C887="","",VLOOKUP($B887,勘定科目!$A:$E,4,0))</f>
        <v/>
      </c>
      <c r="E887" s="222"/>
      <c r="F887" s="217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184"/>
      <c r="S887" s="185"/>
      <c r="T887" s="186"/>
      <c r="U887" s="223"/>
      <c r="V887" s="223"/>
      <c r="W887" s="223"/>
    </row>
    <row r="888" spans="1:23" s="175" customFormat="1" ht="13" customHeight="1">
      <c r="A888" s="166"/>
      <c r="B888" s="163"/>
      <c r="C888" s="167" t="str">
        <f>IFERROR(IF(VLOOKUP($B888,勘定科目!$A:$H,HLOOKUP($E$5,勘定科目!$F$1:$H$2,2,0),0)="","",VLOOKUP($B888,勘定科目!$A:$E,2,0)),"")</f>
        <v/>
      </c>
      <c r="D888" s="216" t="str">
        <f>IF(C888="","",VLOOKUP($B888,勘定科目!$A:$E,4,0))</f>
        <v/>
      </c>
      <c r="E888" s="222"/>
      <c r="F888" s="217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184"/>
      <c r="S888" s="185"/>
      <c r="T888" s="186"/>
      <c r="U888" s="223"/>
      <c r="V888" s="223"/>
      <c r="W888" s="223"/>
    </row>
    <row r="889" spans="1:23" s="175" customFormat="1" ht="13" customHeight="1">
      <c r="A889" s="166"/>
      <c r="B889" s="163"/>
      <c r="C889" s="167" t="str">
        <f>IFERROR(IF(VLOOKUP($B889,勘定科目!$A:$H,HLOOKUP($E$5,勘定科目!$F$1:$H$2,2,0),0)="","",VLOOKUP($B889,勘定科目!$A:$E,2,0)),"")</f>
        <v/>
      </c>
      <c r="D889" s="216" t="str">
        <f>IF(C889="","",VLOOKUP($B889,勘定科目!$A:$E,4,0))</f>
        <v/>
      </c>
      <c r="E889" s="222"/>
      <c r="F889" s="217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184"/>
      <c r="S889" s="185"/>
      <c r="T889" s="186"/>
      <c r="U889" s="223"/>
      <c r="V889" s="223"/>
      <c r="W889" s="223"/>
    </row>
    <row r="890" spans="1:23" s="175" customFormat="1" ht="13" customHeight="1">
      <c r="A890" s="166"/>
      <c r="B890" s="163"/>
      <c r="C890" s="167" t="str">
        <f>IFERROR(IF(VLOOKUP($B890,勘定科目!$A:$H,HLOOKUP($E$5,勘定科目!$F$1:$H$2,2,0),0)="","",VLOOKUP($B890,勘定科目!$A:$E,2,0)),"")</f>
        <v/>
      </c>
      <c r="D890" s="216" t="str">
        <f>IF(C890="","",VLOOKUP($B890,勘定科目!$A:$E,4,0))</f>
        <v/>
      </c>
      <c r="E890" s="222"/>
      <c r="F890" s="217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184"/>
      <c r="S890" s="185"/>
      <c r="T890" s="186"/>
      <c r="U890" s="223"/>
      <c r="V890" s="223"/>
      <c r="W890" s="223"/>
    </row>
    <row r="891" spans="1:23" s="175" customFormat="1" ht="13" customHeight="1">
      <c r="A891" s="166"/>
      <c r="B891" s="163"/>
      <c r="C891" s="167" t="str">
        <f>IFERROR(IF(VLOOKUP($B891,勘定科目!$A:$H,HLOOKUP($E$5,勘定科目!$F$1:$H$2,2,0),0)="","",VLOOKUP($B891,勘定科目!$A:$E,2,0)),"")</f>
        <v/>
      </c>
      <c r="D891" s="216" t="str">
        <f>IF(C891="","",VLOOKUP($B891,勘定科目!$A:$E,4,0))</f>
        <v/>
      </c>
      <c r="E891" s="222"/>
      <c r="F891" s="217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184"/>
      <c r="S891" s="185"/>
      <c r="T891" s="186"/>
      <c r="U891" s="223"/>
      <c r="V891" s="223"/>
      <c r="W891" s="223"/>
    </row>
    <row r="892" spans="1:23" s="175" customFormat="1" ht="13" customHeight="1">
      <c r="A892" s="166"/>
      <c r="B892" s="163"/>
      <c r="C892" s="167" t="str">
        <f>IFERROR(IF(VLOOKUP($B892,勘定科目!$A:$H,HLOOKUP($E$5,勘定科目!$F$1:$H$2,2,0),0)="","",VLOOKUP($B892,勘定科目!$A:$E,2,0)),"")</f>
        <v/>
      </c>
      <c r="D892" s="216" t="str">
        <f>IF(C892="","",VLOOKUP($B892,勘定科目!$A:$E,4,0))</f>
        <v/>
      </c>
      <c r="E892" s="222"/>
      <c r="F892" s="217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184"/>
      <c r="S892" s="185"/>
      <c r="T892" s="186"/>
      <c r="U892" s="223"/>
      <c r="V892" s="223"/>
      <c r="W892" s="223"/>
    </row>
    <row r="893" spans="1:23" s="175" customFormat="1" ht="13" customHeight="1">
      <c r="A893" s="166"/>
      <c r="B893" s="163"/>
      <c r="C893" s="167" t="str">
        <f>IFERROR(IF(VLOOKUP($B893,勘定科目!$A:$H,HLOOKUP($E$5,勘定科目!$F$1:$H$2,2,0),0)="","",VLOOKUP($B893,勘定科目!$A:$E,2,0)),"")</f>
        <v/>
      </c>
      <c r="D893" s="216" t="str">
        <f>IF(C893="","",VLOOKUP($B893,勘定科目!$A:$E,4,0))</f>
        <v/>
      </c>
      <c r="E893" s="222"/>
      <c r="F893" s="217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184"/>
      <c r="S893" s="185"/>
      <c r="T893" s="186"/>
      <c r="U893" s="223"/>
      <c r="V893" s="223"/>
      <c r="W893" s="223"/>
    </row>
    <row r="894" spans="1:23" s="175" customFormat="1" ht="13" customHeight="1">
      <c r="A894" s="166"/>
      <c r="B894" s="163"/>
      <c r="C894" s="167" t="str">
        <f>IFERROR(IF(VLOOKUP($B894,勘定科目!$A:$H,HLOOKUP($E$5,勘定科目!$F$1:$H$2,2,0),0)="","",VLOOKUP($B894,勘定科目!$A:$E,2,0)),"")</f>
        <v/>
      </c>
      <c r="D894" s="216" t="str">
        <f>IF(C894="","",VLOOKUP($B894,勘定科目!$A:$E,4,0))</f>
        <v/>
      </c>
      <c r="E894" s="222"/>
      <c r="F894" s="217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184"/>
      <c r="S894" s="185"/>
      <c r="T894" s="186"/>
      <c r="U894" s="223"/>
      <c r="V894" s="223"/>
      <c r="W894" s="223"/>
    </row>
    <row r="895" spans="1:23" s="175" customFormat="1" ht="13" customHeight="1">
      <c r="A895" s="166"/>
      <c r="B895" s="163"/>
      <c r="C895" s="167" t="str">
        <f>IFERROR(IF(VLOOKUP($B895,勘定科目!$A:$H,HLOOKUP($E$5,勘定科目!$F$1:$H$2,2,0),0)="","",VLOOKUP($B895,勘定科目!$A:$E,2,0)),"")</f>
        <v/>
      </c>
      <c r="D895" s="216" t="str">
        <f>IF(C895="","",VLOOKUP($B895,勘定科目!$A:$E,4,0))</f>
        <v/>
      </c>
      <c r="E895" s="222"/>
      <c r="F895" s="217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184"/>
      <c r="S895" s="185"/>
      <c r="T895" s="186"/>
      <c r="U895" s="223"/>
      <c r="V895" s="223"/>
      <c r="W895" s="223"/>
    </row>
    <row r="896" spans="1:23" s="175" customFormat="1" ht="13" customHeight="1">
      <c r="A896" s="166"/>
      <c r="B896" s="163"/>
      <c r="C896" s="167" t="str">
        <f>IFERROR(IF(VLOOKUP($B896,勘定科目!$A:$H,HLOOKUP($E$5,勘定科目!$F$1:$H$2,2,0),0)="","",VLOOKUP($B896,勘定科目!$A:$E,2,0)),"")</f>
        <v/>
      </c>
      <c r="D896" s="216" t="str">
        <f>IF(C896="","",VLOOKUP($B896,勘定科目!$A:$E,4,0))</f>
        <v/>
      </c>
      <c r="E896" s="222"/>
      <c r="F896" s="217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184"/>
      <c r="S896" s="185"/>
      <c r="T896" s="186"/>
      <c r="U896" s="223"/>
      <c r="V896" s="223"/>
      <c r="W896" s="223"/>
    </row>
    <row r="897" spans="1:23" s="175" customFormat="1" ht="13" customHeight="1">
      <c r="A897" s="166"/>
      <c r="B897" s="163"/>
      <c r="C897" s="167" t="str">
        <f>IFERROR(IF(VLOOKUP($B897,勘定科目!$A:$H,HLOOKUP($E$5,勘定科目!$F$1:$H$2,2,0),0)="","",VLOOKUP($B897,勘定科目!$A:$E,2,0)),"")</f>
        <v/>
      </c>
      <c r="D897" s="216" t="str">
        <f>IF(C897="","",VLOOKUP($B897,勘定科目!$A:$E,4,0))</f>
        <v/>
      </c>
      <c r="E897" s="222"/>
      <c r="F897" s="217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184"/>
      <c r="S897" s="185"/>
      <c r="T897" s="186"/>
      <c r="U897" s="223"/>
      <c r="V897" s="223"/>
      <c r="W897" s="223"/>
    </row>
    <row r="898" spans="1:23" s="175" customFormat="1" ht="13" customHeight="1">
      <c r="A898" s="166"/>
      <c r="B898" s="163"/>
      <c r="C898" s="167" t="str">
        <f>IFERROR(IF(VLOOKUP($B898,勘定科目!$A:$H,HLOOKUP($E$5,勘定科目!$F$1:$H$2,2,0),0)="","",VLOOKUP($B898,勘定科目!$A:$E,2,0)),"")</f>
        <v/>
      </c>
      <c r="D898" s="216" t="str">
        <f>IF(C898="","",VLOOKUP($B898,勘定科目!$A:$E,4,0))</f>
        <v/>
      </c>
      <c r="E898" s="222"/>
      <c r="F898" s="217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184"/>
      <c r="S898" s="185"/>
      <c r="T898" s="186"/>
      <c r="U898" s="223"/>
      <c r="V898" s="223"/>
      <c r="W898" s="223"/>
    </row>
    <row r="899" spans="1:23" s="175" customFormat="1" ht="13" customHeight="1">
      <c r="A899" s="166"/>
      <c r="B899" s="163"/>
      <c r="C899" s="167" t="str">
        <f>IFERROR(IF(VLOOKUP($B899,勘定科目!$A:$H,HLOOKUP($E$5,勘定科目!$F$1:$H$2,2,0),0)="","",VLOOKUP($B899,勘定科目!$A:$E,2,0)),"")</f>
        <v/>
      </c>
      <c r="D899" s="216" t="str">
        <f>IF(C899="","",VLOOKUP($B899,勘定科目!$A:$E,4,0))</f>
        <v/>
      </c>
      <c r="E899" s="222"/>
      <c r="F899" s="217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184"/>
      <c r="S899" s="185"/>
      <c r="T899" s="186"/>
      <c r="U899" s="223"/>
      <c r="V899" s="223"/>
      <c r="W899" s="223"/>
    </row>
    <row r="900" spans="1:23" s="175" customFormat="1" ht="13" customHeight="1">
      <c r="A900" s="166"/>
      <c r="B900" s="163"/>
      <c r="C900" s="167" t="str">
        <f>IFERROR(IF(VLOOKUP($B900,勘定科目!$A:$H,HLOOKUP($E$5,勘定科目!$F$1:$H$2,2,0),0)="","",VLOOKUP($B900,勘定科目!$A:$E,2,0)),"")</f>
        <v/>
      </c>
      <c r="D900" s="216" t="str">
        <f>IF(C900="","",VLOOKUP($B900,勘定科目!$A:$E,4,0))</f>
        <v/>
      </c>
      <c r="E900" s="222"/>
      <c r="F900" s="217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184"/>
      <c r="S900" s="185"/>
      <c r="T900" s="186"/>
      <c r="U900" s="223"/>
      <c r="V900" s="223"/>
      <c r="W900" s="223"/>
    </row>
    <row r="901" spans="1:23" s="175" customFormat="1" ht="13" customHeight="1">
      <c r="A901" s="166"/>
      <c r="B901" s="163"/>
      <c r="C901" s="167" t="str">
        <f>IFERROR(IF(VLOOKUP($B901,勘定科目!$A:$H,HLOOKUP($E$5,勘定科目!$F$1:$H$2,2,0),0)="","",VLOOKUP($B901,勘定科目!$A:$E,2,0)),"")</f>
        <v/>
      </c>
      <c r="D901" s="216" t="str">
        <f>IF(C901="","",VLOOKUP($B901,勘定科目!$A:$E,4,0))</f>
        <v/>
      </c>
      <c r="E901" s="222"/>
      <c r="F901" s="217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184"/>
      <c r="S901" s="185"/>
      <c r="T901" s="186"/>
      <c r="U901" s="223"/>
      <c r="V901" s="223"/>
      <c r="W901" s="223"/>
    </row>
    <row r="902" spans="1:23" s="175" customFormat="1" ht="13" customHeight="1">
      <c r="A902" s="166"/>
      <c r="B902" s="163"/>
      <c r="C902" s="167" t="str">
        <f>IFERROR(IF(VLOOKUP($B902,勘定科目!$A:$H,HLOOKUP($E$5,勘定科目!$F$1:$H$2,2,0),0)="","",VLOOKUP($B902,勘定科目!$A:$E,2,0)),"")</f>
        <v/>
      </c>
      <c r="D902" s="216" t="str">
        <f>IF(C902="","",VLOOKUP($B902,勘定科目!$A:$E,4,0))</f>
        <v/>
      </c>
      <c r="E902" s="222"/>
      <c r="F902" s="217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184"/>
      <c r="S902" s="185"/>
      <c r="T902" s="186"/>
      <c r="U902" s="223"/>
      <c r="V902" s="223"/>
      <c r="W902" s="223"/>
    </row>
    <row r="903" spans="1:23" s="175" customFormat="1" ht="13" customHeight="1">
      <c r="A903" s="166"/>
      <c r="B903" s="163"/>
      <c r="C903" s="167" t="str">
        <f>IFERROR(IF(VLOOKUP($B903,勘定科目!$A:$H,HLOOKUP($E$5,勘定科目!$F$1:$H$2,2,0),0)="","",VLOOKUP($B903,勘定科目!$A:$E,2,0)),"")</f>
        <v/>
      </c>
      <c r="D903" s="216" t="str">
        <f>IF(C903="","",VLOOKUP($B903,勘定科目!$A:$E,4,0))</f>
        <v/>
      </c>
      <c r="E903" s="222"/>
      <c r="F903" s="217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184"/>
      <c r="S903" s="185"/>
      <c r="T903" s="186"/>
      <c r="U903" s="223"/>
      <c r="V903" s="223"/>
      <c r="W903" s="223"/>
    </row>
    <row r="904" spans="1:23" s="175" customFormat="1" ht="13" customHeight="1">
      <c r="A904" s="166"/>
      <c r="B904" s="163"/>
      <c r="C904" s="167" t="str">
        <f>IFERROR(IF(VLOOKUP($B904,勘定科目!$A:$H,HLOOKUP($E$5,勘定科目!$F$1:$H$2,2,0),0)="","",VLOOKUP($B904,勘定科目!$A:$E,2,0)),"")</f>
        <v/>
      </c>
      <c r="D904" s="216" t="str">
        <f>IF(C904="","",VLOOKUP($B904,勘定科目!$A:$E,4,0))</f>
        <v/>
      </c>
      <c r="E904" s="222"/>
      <c r="F904" s="217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184"/>
      <c r="S904" s="185"/>
      <c r="T904" s="186"/>
      <c r="U904" s="223"/>
      <c r="V904" s="223"/>
      <c r="W904" s="223"/>
    </row>
    <row r="905" spans="1:23" s="175" customFormat="1" ht="13" customHeight="1">
      <c r="A905" s="166"/>
      <c r="B905" s="163"/>
      <c r="C905" s="167" t="str">
        <f>IFERROR(IF(VLOOKUP($B905,勘定科目!$A:$H,HLOOKUP($E$5,勘定科目!$F$1:$H$2,2,0),0)="","",VLOOKUP($B905,勘定科目!$A:$E,2,0)),"")</f>
        <v/>
      </c>
      <c r="D905" s="216" t="str">
        <f>IF(C905="","",VLOOKUP($B905,勘定科目!$A:$E,4,0))</f>
        <v/>
      </c>
      <c r="E905" s="222"/>
      <c r="F905" s="217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184"/>
      <c r="S905" s="185"/>
      <c r="T905" s="186"/>
      <c r="U905" s="223"/>
      <c r="V905" s="223"/>
      <c r="W905" s="223"/>
    </row>
    <row r="906" spans="1:23" s="175" customFormat="1" ht="13" customHeight="1">
      <c r="A906" s="166"/>
      <c r="B906" s="163"/>
      <c r="C906" s="167" t="str">
        <f>IFERROR(IF(VLOOKUP($B906,勘定科目!$A:$H,HLOOKUP($E$5,勘定科目!$F$1:$H$2,2,0),0)="","",VLOOKUP($B906,勘定科目!$A:$E,2,0)),"")</f>
        <v/>
      </c>
      <c r="D906" s="216" t="str">
        <f>IF(C906="","",VLOOKUP($B906,勘定科目!$A:$E,4,0))</f>
        <v/>
      </c>
      <c r="E906" s="222"/>
      <c r="F906" s="217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184"/>
      <c r="S906" s="185"/>
      <c r="T906" s="186"/>
      <c r="U906" s="223"/>
      <c r="V906" s="223"/>
      <c r="W906" s="223"/>
    </row>
    <row r="907" spans="1:23" s="175" customFormat="1" ht="13" customHeight="1">
      <c r="A907" s="166"/>
      <c r="B907" s="163"/>
      <c r="C907" s="167" t="str">
        <f>IFERROR(IF(VLOOKUP($B907,勘定科目!$A:$H,HLOOKUP($E$5,勘定科目!$F$1:$H$2,2,0),0)="","",VLOOKUP($B907,勘定科目!$A:$E,2,0)),"")</f>
        <v/>
      </c>
      <c r="D907" s="216" t="str">
        <f>IF(C907="","",VLOOKUP($B907,勘定科目!$A:$E,4,0))</f>
        <v/>
      </c>
      <c r="E907" s="222"/>
      <c r="F907" s="217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184"/>
      <c r="S907" s="185"/>
      <c r="T907" s="186"/>
      <c r="U907" s="223"/>
      <c r="V907" s="223"/>
      <c r="W907" s="223"/>
    </row>
    <row r="908" spans="1:23" s="175" customFormat="1" ht="13" customHeight="1">
      <c r="A908" s="166"/>
      <c r="B908" s="163"/>
      <c r="C908" s="167" t="str">
        <f>IFERROR(IF(VLOOKUP($B908,勘定科目!$A:$H,HLOOKUP($E$5,勘定科目!$F$1:$H$2,2,0),0)="","",VLOOKUP($B908,勘定科目!$A:$E,2,0)),"")</f>
        <v/>
      </c>
      <c r="D908" s="216" t="str">
        <f>IF(C908="","",VLOOKUP($B908,勘定科目!$A:$E,4,0))</f>
        <v/>
      </c>
      <c r="E908" s="222"/>
      <c r="F908" s="217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184"/>
      <c r="S908" s="185"/>
      <c r="T908" s="186"/>
      <c r="U908" s="223"/>
      <c r="V908" s="223"/>
      <c r="W908" s="223"/>
    </row>
    <row r="909" spans="1:23" s="175" customFormat="1" ht="13" customHeight="1">
      <c r="A909" s="166"/>
      <c r="B909" s="163"/>
      <c r="C909" s="167" t="str">
        <f>IFERROR(IF(VLOOKUP($B909,勘定科目!$A:$H,HLOOKUP($E$5,勘定科目!$F$1:$H$2,2,0),0)="","",VLOOKUP($B909,勘定科目!$A:$E,2,0)),"")</f>
        <v/>
      </c>
      <c r="D909" s="216" t="str">
        <f>IF(C909="","",VLOOKUP($B909,勘定科目!$A:$E,4,0))</f>
        <v/>
      </c>
      <c r="E909" s="222"/>
      <c r="F909" s="217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184"/>
      <c r="S909" s="185"/>
      <c r="T909" s="186"/>
      <c r="U909" s="223"/>
      <c r="V909" s="223"/>
      <c r="W909" s="223"/>
    </row>
    <row r="910" spans="1:23" s="175" customFormat="1" ht="13" customHeight="1">
      <c r="A910" s="166"/>
      <c r="B910" s="163"/>
      <c r="C910" s="167" t="str">
        <f>IFERROR(IF(VLOOKUP($B910,勘定科目!$A:$H,HLOOKUP($E$5,勘定科目!$F$1:$H$2,2,0),0)="","",VLOOKUP($B910,勘定科目!$A:$E,2,0)),"")</f>
        <v/>
      </c>
      <c r="D910" s="216" t="str">
        <f>IF(C910="","",VLOOKUP($B910,勘定科目!$A:$E,4,0))</f>
        <v/>
      </c>
      <c r="E910" s="222"/>
      <c r="F910" s="217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184"/>
      <c r="S910" s="185"/>
      <c r="T910" s="186"/>
      <c r="U910" s="223"/>
      <c r="V910" s="223"/>
      <c r="W910" s="223"/>
    </row>
    <row r="911" spans="1:23" s="175" customFormat="1" ht="13" customHeight="1">
      <c r="A911" s="166"/>
      <c r="B911" s="163"/>
      <c r="C911" s="167" t="str">
        <f>IFERROR(IF(VLOOKUP($B911,勘定科目!$A:$H,HLOOKUP($E$5,勘定科目!$F$1:$H$2,2,0),0)="","",VLOOKUP($B911,勘定科目!$A:$E,2,0)),"")</f>
        <v/>
      </c>
      <c r="D911" s="216" t="str">
        <f>IF(C911="","",VLOOKUP($B911,勘定科目!$A:$E,4,0))</f>
        <v/>
      </c>
      <c r="E911" s="222"/>
      <c r="F911" s="217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184"/>
      <c r="S911" s="185"/>
      <c r="T911" s="186"/>
      <c r="U911" s="223"/>
      <c r="V911" s="223"/>
      <c r="W911" s="223"/>
    </row>
    <row r="912" spans="1:23" s="175" customFormat="1" ht="13" customHeight="1">
      <c r="A912" s="166"/>
      <c r="B912" s="163"/>
      <c r="C912" s="167" t="str">
        <f>IFERROR(IF(VLOOKUP($B912,勘定科目!$A:$H,HLOOKUP($E$5,勘定科目!$F$1:$H$2,2,0),0)="","",VLOOKUP($B912,勘定科目!$A:$E,2,0)),"")</f>
        <v/>
      </c>
      <c r="D912" s="216" t="str">
        <f>IF(C912="","",VLOOKUP($B912,勘定科目!$A:$E,4,0))</f>
        <v/>
      </c>
      <c r="E912" s="222"/>
      <c r="F912" s="217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184"/>
      <c r="S912" s="185"/>
      <c r="T912" s="186"/>
      <c r="U912" s="223"/>
      <c r="V912" s="223"/>
      <c r="W912" s="223"/>
    </row>
    <row r="913" spans="1:23" s="175" customFormat="1" ht="13" customHeight="1">
      <c r="A913" s="166"/>
      <c r="B913" s="163"/>
      <c r="C913" s="167" t="str">
        <f>IFERROR(IF(VLOOKUP($B913,勘定科目!$A:$H,HLOOKUP($E$5,勘定科目!$F$1:$H$2,2,0),0)="","",VLOOKUP($B913,勘定科目!$A:$E,2,0)),"")</f>
        <v/>
      </c>
      <c r="D913" s="216" t="str">
        <f>IF(C913="","",VLOOKUP($B913,勘定科目!$A:$E,4,0))</f>
        <v/>
      </c>
      <c r="E913" s="222"/>
      <c r="F913" s="217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184"/>
      <c r="S913" s="185"/>
      <c r="T913" s="186"/>
      <c r="U913" s="223"/>
      <c r="V913" s="223"/>
      <c r="W913" s="223"/>
    </row>
    <row r="914" spans="1:23" s="175" customFormat="1" ht="13" customHeight="1">
      <c r="A914" s="166"/>
      <c r="B914" s="163"/>
      <c r="C914" s="167" t="str">
        <f>IFERROR(IF(VLOOKUP($B914,勘定科目!$A:$H,HLOOKUP($E$5,勘定科目!$F$1:$H$2,2,0),0)="","",VLOOKUP($B914,勘定科目!$A:$E,2,0)),"")</f>
        <v/>
      </c>
      <c r="D914" s="216" t="str">
        <f>IF(C914="","",VLOOKUP($B914,勘定科目!$A:$E,4,0))</f>
        <v/>
      </c>
      <c r="E914" s="222"/>
      <c r="F914" s="217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184"/>
      <c r="S914" s="185"/>
      <c r="T914" s="186"/>
      <c r="U914" s="223"/>
      <c r="V914" s="223"/>
      <c r="W914" s="223"/>
    </row>
    <row r="915" spans="1:23" s="175" customFormat="1" ht="13" customHeight="1">
      <c r="A915" s="166"/>
      <c r="B915" s="163"/>
      <c r="C915" s="167" t="str">
        <f>IFERROR(IF(VLOOKUP($B915,勘定科目!$A:$H,HLOOKUP($E$5,勘定科目!$F$1:$H$2,2,0),0)="","",VLOOKUP($B915,勘定科目!$A:$E,2,0)),"")</f>
        <v/>
      </c>
      <c r="D915" s="216" t="str">
        <f>IF(C915="","",VLOOKUP($B915,勘定科目!$A:$E,4,0))</f>
        <v/>
      </c>
      <c r="E915" s="222"/>
      <c r="F915" s="217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184"/>
      <c r="S915" s="185"/>
      <c r="T915" s="186"/>
      <c r="U915" s="223"/>
      <c r="V915" s="223"/>
      <c r="W915" s="223"/>
    </row>
    <row r="916" spans="1:23" s="175" customFormat="1" ht="13" customHeight="1">
      <c r="A916" s="166"/>
      <c r="B916" s="163"/>
      <c r="C916" s="167" t="str">
        <f>IFERROR(IF(VLOOKUP($B916,勘定科目!$A:$H,HLOOKUP($E$5,勘定科目!$F$1:$H$2,2,0),0)="","",VLOOKUP($B916,勘定科目!$A:$E,2,0)),"")</f>
        <v/>
      </c>
      <c r="D916" s="216" t="str">
        <f>IF(C916="","",VLOOKUP($B916,勘定科目!$A:$E,4,0))</f>
        <v/>
      </c>
      <c r="E916" s="222"/>
      <c r="F916" s="217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184"/>
      <c r="S916" s="185"/>
      <c r="T916" s="186"/>
      <c r="U916" s="223"/>
      <c r="V916" s="223"/>
      <c r="W916" s="223"/>
    </row>
    <row r="917" spans="1:23" s="175" customFormat="1" ht="13" customHeight="1">
      <c r="A917" s="166"/>
      <c r="B917" s="163"/>
      <c r="C917" s="167" t="str">
        <f>IFERROR(IF(VLOOKUP($B917,勘定科目!$A:$H,HLOOKUP($E$5,勘定科目!$F$1:$H$2,2,0),0)="","",VLOOKUP($B917,勘定科目!$A:$E,2,0)),"")</f>
        <v/>
      </c>
      <c r="D917" s="216" t="str">
        <f>IF(C917="","",VLOOKUP($B917,勘定科目!$A:$E,4,0))</f>
        <v/>
      </c>
      <c r="E917" s="222"/>
      <c r="F917" s="217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184"/>
      <c r="S917" s="185"/>
      <c r="T917" s="186"/>
      <c r="U917" s="223"/>
      <c r="V917" s="223"/>
      <c r="W917" s="223"/>
    </row>
    <row r="918" spans="1:23" s="175" customFormat="1" ht="13" customHeight="1">
      <c r="A918" s="166"/>
      <c r="B918" s="163"/>
      <c r="C918" s="167" t="str">
        <f>IFERROR(IF(VLOOKUP($B918,勘定科目!$A:$H,HLOOKUP($E$5,勘定科目!$F$1:$H$2,2,0),0)="","",VLOOKUP($B918,勘定科目!$A:$E,2,0)),"")</f>
        <v/>
      </c>
      <c r="D918" s="216" t="str">
        <f>IF(C918="","",VLOOKUP($B918,勘定科目!$A:$E,4,0))</f>
        <v/>
      </c>
      <c r="E918" s="222"/>
      <c r="F918" s="217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184"/>
      <c r="S918" s="185"/>
      <c r="T918" s="186"/>
      <c r="U918" s="223"/>
      <c r="V918" s="223"/>
      <c r="W918" s="223"/>
    </row>
    <row r="919" spans="1:23" s="175" customFormat="1" ht="13" customHeight="1">
      <c r="A919" s="166"/>
      <c r="B919" s="163"/>
      <c r="C919" s="167" t="str">
        <f>IFERROR(IF(VLOOKUP($B919,勘定科目!$A:$H,HLOOKUP($E$5,勘定科目!$F$1:$H$2,2,0),0)="","",VLOOKUP($B919,勘定科目!$A:$E,2,0)),"")</f>
        <v/>
      </c>
      <c r="D919" s="216" t="str">
        <f>IF(C919="","",VLOOKUP($B919,勘定科目!$A:$E,4,0))</f>
        <v/>
      </c>
      <c r="E919" s="222"/>
      <c r="F919" s="217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184"/>
      <c r="S919" s="185"/>
      <c r="T919" s="186"/>
      <c r="U919" s="223"/>
      <c r="V919" s="223"/>
      <c r="W919" s="223"/>
    </row>
    <row r="920" spans="1:23" s="175" customFormat="1" ht="13" customHeight="1">
      <c r="A920" s="166"/>
      <c r="B920" s="163"/>
      <c r="C920" s="167" t="str">
        <f>IFERROR(IF(VLOOKUP($B920,勘定科目!$A:$H,HLOOKUP($E$5,勘定科目!$F$1:$H$2,2,0),0)="","",VLOOKUP($B920,勘定科目!$A:$E,2,0)),"")</f>
        <v/>
      </c>
      <c r="D920" s="216" t="str">
        <f>IF(C920="","",VLOOKUP($B920,勘定科目!$A:$E,4,0))</f>
        <v/>
      </c>
      <c r="E920" s="222"/>
      <c r="F920" s="217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184"/>
      <c r="S920" s="185"/>
      <c r="T920" s="186"/>
      <c r="U920" s="223"/>
      <c r="V920" s="223"/>
      <c r="W920" s="223"/>
    </row>
    <row r="921" spans="1:23" s="175" customFormat="1" ht="13" customHeight="1">
      <c r="A921" s="166"/>
      <c r="B921" s="163"/>
      <c r="C921" s="167" t="str">
        <f>IFERROR(IF(VLOOKUP($B921,勘定科目!$A:$H,HLOOKUP($E$5,勘定科目!$F$1:$H$2,2,0),0)="","",VLOOKUP($B921,勘定科目!$A:$E,2,0)),"")</f>
        <v/>
      </c>
      <c r="D921" s="216" t="str">
        <f>IF(C921="","",VLOOKUP($B921,勘定科目!$A:$E,4,0))</f>
        <v/>
      </c>
      <c r="E921" s="222"/>
      <c r="F921" s="217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184"/>
      <c r="S921" s="185"/>
      <c r="T921" s="186"/>
      <c r="U921" s="223"/>
      <c r="V921" s="223"/>
      <c r="W921" s="223"/>
    </row>
    <row r="922" spans="1:23" s="175" customFormat="1" ht="13" customHeight="1">
      <c r="A922" s="166"/>
      <c r="B922" s="163"/>
      <c r="C922" s="167" t="str">
        <f>IFERROR(IF(VLOOKUP($B922,勘定科目!$A:$H,HLOOKUP($E$5,勘定科目!$F$1:$H$2,2,0),0)="","",VLOOKUP($B922,勘定科目!$A:$E,2,0)),"")</f>
        <v/>
      </c>
      <c r="D922" s="216" t="str">
        <f>IF(C922="","",VLOOKUP($B922,勘定科目!$A:$E,4,0))</f>
        <v/>
      </c>
      <c r="E922" s="222"/>
      <c r="F922" s="217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184"/>
      <c r="S922" s="185"/>
      <c r="T922" s="186"/>
      <c r="U922" s="223"/>
      <c r="V922" s="223"/>
      <c r="W922" s="223"/>
    </row>
    <row r="923" spans="1:23" s="175" customFormat="1" ht="13" customHeight="1">
      <c r="A923" s="166"/>
      <c r="B923" s="163"/>
      <c r="C923" s="167" t="str">
        <f>IFERROR(IF(VLOOKUP($B923,勘定科目!$A:$H,HLOOKUP($E$5,勘定科目!$F$1:$H$2,2,0),0)="","",VLOOKUP($B923,勘定科目!$A:$E,2,0)),"")</f>
        <v/>
      </c>
      <c r="D923" s="216" t="str">
        <f>IF(C923="","",VLOOKUP($B923,勘定科目!$A:$E,4,0))</f>
        <v/>
      </c>
      <c r="E923" s="222"/>
      <c r="F923" s="217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184"/>
      <c r="S923" s="185"/>
      <c r="T923" s="186"/>
      <c r="U923" s="223"/>
      <c r="V923" s="223"/>
      <c r="W923" s="223"/>
    </row>
    <row r="924" spans="1:23" s="175" customFormat="1" ht="13" customHeight="1">
      <c r="A924" s="166"/>
      <c r="B924" s="163"/>
      <c r="C924" s="167" t="str">
        <f>IFERROR(IF(VLOOKUP($B924,勘定科目!$A:$H,HLOOKUP($E$5,勘定科目!$F$1:$H$2,2,0),0)="","",VLOOKUP($B924,勘定科目!$A:$E,2,0)),"")</f>
        <v/>
      </c>
      <c r="D924" s="216" t="str">
        <f>IF(C924="","",VLOOKUP($B924,勘定科目!$A:$E,4,0))</f>
        <v/>
      </c>
      <c r="E924" s="222"/>
      <c r="F924" s="217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184"/>
      <c r="S924" s="185"/>
      <c r="T924" s="186"/>
      <c r="U924" s="223"/>
      <c r="V924" s="223"/>
      <c r="W924" s="223"/>
    </row>
    <row r="925" spans="1:23" s="175" customFormat="1" ht="13" customHeight="1">
      <c r="A925" s="166"/>
      <c r="B925" s="163"/>
      <c r="C925" s="167" t="str">
        <f>IFERROR(IF(VLOOKUP($B925,勘定科目!$A:$H,HLOOKUP($E$5,勘定科目!$F$1:$H$2,2,0),0)="","",VLOOKUP($B925,勘定科目!$A:$E,2,0)),"")</f>
        <v/>
      </c>
      <c r="D925" s="216" t="str">
        <f>IF(C925="","",VLOOKUP($B925,勘定科目!$A:$E,4,0))</f>
        <v/>
      </c>
      <c r="E925" s="222"/>
      <c r="F925" s="217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184"/>
      <c r="S925" s="185"/>
      <c r="T925" s="186"/>
      <c r="U925" s="223"/>
      <c r="V925" s="223"/>
      <c r="W925" s="223"/>
    </row>
    <row r="926" spans="1:23" s="175" customFormat="1" ht="13" customHeight="1">
      <c r="A926" s="166"/>
      <c r="B926" s="163"/>
      <c r="C926" s="167" t="str">
        <f>IFERROR(IF(VLOOKUP($B926,勘定科目!$A:$H,HLOOKUP($E$5,勘定科目!$F$1:$H$2,2,0),0)="","",VLOOKUP($B926,勘定科目!$A:$E,2,0)),"")</f>
        <v/>
      </c>
      <c r="D926" s="216" t="str">
        <f>IF(C926="","",VLOOKUP($B926,勘定科目!$A:$E,4,0))</f>
        <v/>
      </c>
      <c r="E926" s="222"/>
      <c r="F926" s="217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184"/>
      <c r="S926" s="185"/>
      <c r="T926" s="186"/>
      <c r="U926" s="223"/>
      <c r="V926" s="223"/>
      <c r="W926" s="223"/>
    </row>
    <row r="927" spans="1:23" s="175" customFormat="1" ht="13" customHeight="1">
      <c r="A927" s="166"/>
      <c r="B927" s="163"/>
      <c r="C927" s="167" t="str">
        <f>IFERROR(IF(VLOOKUP($B927,勘定科目!$A:$H,HLOOKUP($E$5,勘定科目!$F$1:$H$2,2,0),0)="","",VLOOKUP($B927,勘定科目!$A:$E,2,0)),"")</f>
        <v/>
      </c>
      <c r="D927" s="216" t="str">
        <f>IF(C927="","",VLOOKUP($B927,勘定科目!$A:$E,4,0))</f>
        <v/>
      </c>
      <c r="E927" s="222"/>
      <c r="F927" s="217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184"/>
      <c r="S927" s="185"/>
      <c r="T927" s="186"/>
      <c r="U927" s="223"/>
      <c r="V927" s="223"/>
      <c r="W927" s="223"/>
    </row>
    <row r="928" spans="1:23" s="175" customFormat="1" ht="13" customHeight="1">
      <c r="A928" s="166"/>
      <c r="B928" s="163"/>
      <c r="C928" s="167" t="str">
        <f>IFERROR(IF(VLOOKUP($B928,勘定科目!$A:$H,HLOOKUP($E$5,勘定科目!$F$1:$H$2,2,0),0)="","",VLOOKUP($B928,勘定科目!$A:$E,2,0)),"")</f>
        <v/>
      </c>
      <c r="D928" s="216" t="str">
        <f>IF(C928="","",VLOOKUP($B928,勘定科目!$A:$E,4,0))</f>
        <v/>
      </c>
      <c r="E928" s="222"/>
      <c r="F928" s="217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184"/>
      <c r="S928" s="185"/>
      <c r="T928" s="186"/>
      <c r="U928" s="223"/>
      <c r="V928" s="223"/>
      <c r="W928" s="223"/>
    </row>
    <row r="929" spans="1:23" s="175" customFormat="1" ht="13" customHeight="1">
      <c r="A929" s="166"/>
      <c r="B929" s="163"/>
      <c r="C929" s="167" t="str">
        <f>IFERROR(IF(VLOOKUP($B929,勘定科目!$A:$H,HLOOKUP($E$5,勘定科目!$F$1:$H$2,2,0),0)="","",VLOOKUP($B929,勘定科目!$A:$E,2,0)),"")</f>
        <v/>
      </c>
      <c r="D929" s="216" t="str">
        <f>IF(C929="","",VLOOKUP($B929,勘定科目!$A:$E,4,0))</f>
        <v/>
      </c>
      <c r="E929" s="222"/>
      <c r="F929" s="217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184"/>
      <c r="S929" s="185"/>
      <c r="T929" s="186"/>
      <c r="U929" s="223"/>
      <c r="V929" s="223"/>
      <c r="W929" s="223"/>
    </row>
    <row r="930" spans="1:23" s="175" customFormat="1" ht="13" customHeight="1">
      <c r="A930" s="166"/>
      <c r="B930" s="163"/>
      <c r="C930" s="167" t="str">
        <f>IFERROR(IF(VLOOKUP($B930,勘定科目!$A:$H,HLOOKUP($E$5,勘定科目!$F$1:$H$2,2,0),0)="","",VLOOKUP($B930,勘定科目!$A:$E,2,0)),"")</f>
        <v/>
      </c>
      <c r="D930" s="216" t="str">
        <f>IF(C930="","",VLOOKUP($B930,勘定科目!$A:$E,4,0))</f>
        <v/>
      </c>
      <c r="E930" s="222"/>
      <c r="F930" s="217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184"/>
      <c r="S930" s="185"/>
      <c r="T930" s="186"/>
      <c r="U930" s="223"/>
      <c r="V930" s="223"/>
      <c r="W930" s="223"/>
    </row>
    <row r="931" spans="1:23" s="175" customFormat="1" ht="13" customHeight="1">
      <c r="A931" s="166"/>
      <c r="B931" s="163"/>
      <c r="C931" s="167" t="str">
        <f>IFERROR(IF(VLOOKUP($B931,勘定科目!$A:$H,HLOOKUP($E$5,勘定科目!$F$1:$H$2,2,0),0)="","",VLOOKUP($B931,勘定科目!$A:$E,2,0)),"")</f>
        <v/>
      </c>
      <c r="D931" s="216" t="str">
        <f>IF(C931="","",VLOOKUP($B931,勘定科目!$A:$E,4,0))</f>
        <v/>
      </c>
      <c r="E931" s="222"/>
      <c r="F931" s="217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184"/>
      <c r="S931" s="185"/>
      <c r="T931" s="186"/>
      <c r="U931" s="223"/>
      <c r="V931" s="223"/>
      <c r="W931" s="223"/>
    </row>
    <row r="932" spans="1:23" s="175" customFormat="1" ht="13" customHeight="1">
      <c r="A932" s="166"/>
      <c r="B932" s="163"/>
      <c r="C932" s="167" t="str">
        <f>IFERROR(IF(VLOOKUP($B932,勘定科目!$A:$H,HLOOKUP($E$5,勘定科目!$F$1:$H$2,2,0),0)="","",VLOOKUP($B932,勘定科目!$A:$E,2,0)),"")</f>
        <v/>
      </c>
      <c r="D932" s="216" t="str">
        <f>IF(C932="","",VLOOKUP($B932,勘定科目!$A:$E,4,0))</f>
        <v/>
      </c>
      <c r="E932" s="222"/>
      <c r="F932" s="217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184"/>
      <c r="S932" s="185"/>
      <c r="T932" s="186"/>
      <c r="U932" s="223"/>
      <c r="V932" s="223"/>
      <c r="W932" s="223"/>
    </row>
    <row r="933" spans="1:23" s="175" customFormat="1" ht="13" customHeight="1">
      <c r="A933" s="166"/>
      <c r="B933" s="163"/>
      <c r="C933" s="167" t="str">
        <f>IFERROR(IF(VLOOKUP($B933,勘定科目!$A:$H,HLOOKUP($E$5,勘定科目!$F$1:$H$2,2,0),0)="","",VLOOKUP($B933,勘定科目!$A:$E,2,0)),"")</f>
        <v/>
      </c>
      <c r="D933" s="216" t="str">
        <f>IF(C933="","",VLOOKUP($B933,勘定科目!$A:$E,4,0))</f>
        <v/>
      </c>
      <c r="E933" s="222"/>
      <c r="F933" s="217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184"/>
      <c r="S933" s="185"/>
      <c r="T933" s="186"/>
      <c r="U933" s="223"/>
      <c r="V933" s="223"/>
      <c r="W933" s="223"/>
    </row>
    <row r="934" spans="1:23" s="175" customFormat="1" ht="13" customHeight="1">
      <c r="A934" s="166"/>
      <c r="B934" s="163"/>
      <c r="C934" s="167" t="str">
        <f>IFERROR(IF(VLOOKUP($B934,勘定科目!$A:$H,HLOOKUP($E$5,勘定科目!$F$1:$H$2,2,0),0)="","",VLOOKUP($B934,勘定科目!$A:$E,2,0)),"")</f>
        <v/>
      </c>
      <c r="D934" s="216" t="str">
        <f>IF(C934="","",VLOOKUP($B934,勘定科目!$A:$E,4,0))</f>
        <v/>
      </c>
      <c r="E934" s="222"/>
      <c r="F934" s="217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184"/>
      <c r="S934" s="185"/>
      <c r="T934" s="186"/>
      <c r="U934" s="223"/>
      <c r="V934" s="223"/>
      <c r="W934" s="223"/>
    </row>
    <row r="935" spans="1:23" s="175" customFormat="1" ht="13" customHeight="1">
      <c r="A935" s="166"/>
      <c r="B935" s="163"/>
      <c r="C935" s="167" t="str">
        <f>IFERROR(IF(VLOOKUP($B935,勘定科目!$A:$H,HLOOKUP($E$5,勘定科目!$F$1:$H$2,2,0),0)="","",VLOOKUP($B935,勘定科目!$A:$E,2,0)),"")</f>
        <v/>
      </c>
      <c r="D935" s="216" t="str">
        <f>IF(C935="","",VLOOKUP($B935,勘定科目!$A:$E,4,0))</f>
        <v/>
      </c>
      <c r="E935" s="222"/>
      <c r="F935" s="217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184"/>
      <c r="S935" s="185"/>
      <c r="T935" s="186"/>
      <c r="U935" s="223"/>
      <c r="V935" s="223"/>
      <c r="W935" s="223"/>
    </row>
    <row r="936" spans="1:23" s="175" customFormat="1" ht="13" customHeight="1">
      <c r="A936" s="166"/>
      <c r="B936" s="163"/>
      <c r="C936" s="167" t="str">
        <f>IFERROR(IF(VLOOKUP($B936,勘定科目!$A:$H,HLOOKUP($E$5,勘定科目!$F$1:$H$2,2,0),0)="","",VLOOKUP($B936,勘定科目!$A:$E,2,0)),"")</f>
        <v/>
      </c>
      <c r="D936" s="216" t="str">
        <f>IF(C936="","",VLOOKUP($B936,勘定科目!$A:$E,4,0))</f>
        <v/>
      </c>
      <c r="E936" s="222"/>
      <c r="F936" s="217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184"/>
      <c r="S936" s="185"/>
      <c r="T936" s="186"/>
      <c r="U936" s="223"/>
      <c r="V936" s="223"/>
      <c r="W936" s="223"/>
    </row>
    <row r="937" spans="1:23" s="175" customFormat="1" ht="13" customHeight="1">
      <c r="A937" s="166"/>
      <c r="B937" s="163"/>
      <c r="C937" s="167" t="str">
        <f>IFERROR(IF(VLOOKUP($B937,勘定科目!$A:$H,HLOOKUP($E$5,勘定科目!$F$1:$H$2,2,0),0)="","",VLOOKUP($B937,勘定科目!$A:$E,2,0)),"")</f>
        <v/>
      </c>
      <c r="D937" s="216" t="str">
        <f>IF(C937="","",VLOOKUP($B937,勘定科目!$A:$E,4,0))</f>
        <v/>
      </c>
      <c r="E937" s="222"/>
      <c r="F937" s="217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184"/>
      <c r="S937" s="185"/>
      <c r="T937" s="186"/>
      <c r="U937" s="223"/>
      <c r="V937" s="223"/>
      <c r="W937" s="223"/>
    </row>
    <row r="938" spans="1:23" s="175" customFormat="1" ht="13" customHeight="1">
      <c r="A938" s="166"/>
      <c r="B938" s="163"/>
      <c r="C938" s="167" t="str">
        <f>IFERROR(IF(VLOOKUP($B938,勘定科目!$A:$H,HLOOKUP($E$5,勘定科目!$F$1:$H$2,2,0),0)="","",VLOOKUP($B938,勘定科目!$A:$E,2,0)),"")</f>
        <v/>
      </c>
      <c r="D938" s="216" t="str">
        <f>IF(C938="","",VLOOKUP($B938,勘定科目!$A:$E,4,0))</f>
        <v/>
      </c>
      <c r="E938" s="222"/>
      <c r="F938" s="217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184"/>
      <c r="S938" s="185"/>
      <c r="T938" s="186"/>
      <c r="U938" s="223"/>
      <c r="V938" s="223"/>
      <c r="W938" s="223"/>
    </row>
    <row r="939" spans="1:23" s="175" customFormat="1" ht="13" customHeight="1">
      <c r="A939" s="166"/>
      <c r="B939" s="163"/>
      <c r="C939" s="167" t="str">
        <f>IFERROR(IF(VLOOKUP($B939,勘定科目!$A:$H,HLOOKUP($E$5,勘定科目!$F$1:$H$2,2,0),0)="","",VLOOKUP($B939,勘定科目!$A:$E,2,0)),"")</f>
        <v/>
      </c>
      <c r="D939" s="216" t="str">
        <f>IF(C939="","",VLOOKUP($B939,勘定科目!$A:$E,4,0))</f>
        <v/>
      </c>
      <c r="E939" s="222"/>
      <c r="F939" s="217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184"/>
      <c r="S939" s="185"/>
      <c r="T939" s="186"/>
      <c r="U939" s="223"/>
      <c r="V939" s="223"/>
      <c r="W939" s="223"/>
    </row>
    <row r="940" spans="1:23" s="175" customFormat="1" ht="13" customHeight="1">
      <c r="A940" s="166"/>
      <c r="B940" s="163"/>
      <c r="C940" s="167" t="str">
        <f>IFERROR(IF(VLOOKUP($B940,勘定科目!$A:$H,HLOOKUP($E$5,勘定科目!$F$1:$H$2,2,0),0)="","",VLOOKUP($B940,勘定科目!$A:$E,2,0)),"")</f>
        <v/>
      </c>
      <c r="D940" s="216" t="str">
        <f>IF(C940="","",VLOOKUP($B940,勘定科目!$A:$E,4,0))</f>
        <v/>
      </c>
      <c r="E940" s="222"/>
      <c r="F940" s="217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184"/>
      <c r="S940" s="185"/>
      <c r="T940" s="186"/>
      <c r="U940" s="223"/>
      <c r="V940" s="223"/>
      <c r="W940" s="223"/>
    </row>
    <row r="941" spans="1:23" s="175" customFormat="1" ht="13" customHeight="1">
      <c r="A941" s="166"/>
      <c r="B941" s="163"/>
      <c r="C941" s="167" t="str">
        <f>IFERROR(IF(VLOOKUP($B941,勘定科目!$A:$H,HLOOKUP($E$5,勘定科目!$F$1:$H$2,2,0),0)="","",VLOOKUP($B941,勘定科目!$A:$E,2,0)),"")</f>
        <v/>
      </c>
      <c r="D941" s="216" t="str">
        <f>IF(C941="","",VLOOKUP($B941,勘定科目!$A:$E,4,0))</f>
        <v/>
      </c>
      <c r="E941" s="222"/>
      <c r="F941" s="217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184"/>
      <c r="S941" s="185"/>
      <c r="T941" s="186"/>
      <c r="U941" s="223"/>
      <c r="V941" s="223"/>
      <c r="W941" s="223"/>
    </row>
    <row r="942" spans="1:23" s="175" customFormat="1" ht="13" customHeight="1">
      <c r="A942" s="166"/>
      <c r="B942" s="163"/>
      <c r="C942" s="167" t="str">
        <f>IFERROR(IF(VLOOKUP($B942,勘定科目!$A:$H,HLOOKUP($E$5,勘定科目!$F$1:$H$2,2,0),0)="","",VLOOKUP($B942,勘定科目!$A:$E,2,0)),"")</f>
        <v/>
      </c>
      <c r="D942" s="216" t="str">
        <f>IF(C942="","",VLOOKUP($B942,勘定科目!$A:$E,4,0))</f>
        <v/>
      </c>
      <c r="E942" s="222"/>
      <c r="F942" s="217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184"/>
      <c r="S942" s="185"/>
      <c r="T942" s="186"/>
      <c r="U942" s="223"/>
      <c r="V942" s="223"/>
      <c r="W942" s="223"/>
    </row>
    <row r="943" spans="1:23" s="175" customFormat="1" ht="13" customHeight="1">
      <c r="A943" s="166"/>
      <c r="B943" s="163"/>
      <c r="C943" s="167" t="str">
        <f>IFERROR(IF(VLOOKUP($B943,勘定科目!$A:$H,HLOOKUP($E$5,勘定科目!$F$1:$H$2,2,0),0)="","",VLOOKUP($B943,勘定科目!$A:$E,2,0)),"")</f>
        <v/>
      </c>
      <c r="D943" s="216" t="str">
        <f>IF(C943="","",VLOOKUP($B943,勘定科目!$A:$E,4,0))</f>
        <v/>
      </c>
      <c r="E943" s="222"/>
      <c r="F943" s="217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184"/>
      <c r="S943" s="185"/>
      <c r="T943" s="186"/>
      <c r="U943" s="223"/>
      <c r="V943" s="223"/>
      <c r="W943" s="223"/>
    </row>
    <row r="944" spans="1:23" s="175" customFormat="1" ht="13" customHeight="1">
      <c r="A944" s="166"/>
      <c r="B944" s="163"/>
      <c r="C944" s="167" t="str">
        <f>IFERROR(IF(VLOOKUP($B944,勘定科目!$A:$H,HLOOKUP($E$5,勘定科目!$F$1:$H$2,2,0),0)="","",VLOOKUP($B944,勘定科目!$A:$E,2,0)),"")</f>
        <v/>
      </c>
      <c r="D944" s="216" t="str">
        <f>IF(C944="","",VLOOKUP($B944,勘定科目!$A:$E,4,0))</f>
        <v/>
      </c>
      <c r="E944" s="222"/>
      <c r="F944" s="217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184"/>
      <c r="S944" s="185"/>
      <c r="T944" s="186"/>
      <c r="U944" s="223"/>
      <c r="V944" s="223"/>
      <c r="W944" s="223"/>
    </row>
    <row r="945" spans="1:23" s="175" customFormat="1" ht="13" customHeight="1">
      <c r="A945" s="166"/>
      <c r="B945" s="163"/>
      <c r="C945" s="167" t="str">
        <f>IFERROR(IF(VLOOKUP($B945,勘定科目!$A:$H,HLOOKUP($E$5,勘定科目!$F$1:$H$2,2,0),0)="","",VLOOKUP($B945,勘定科目!$A:$E,2,0)),"")</f>
        <v/>
      </c>
      <c r="D945" s="216" t="str">
        <f>IF(C945="","",VLOOKUP($B945,勘定科目!$A:$E,4,0))</f>
        <v/>
      </c>
      <c r="E945" s="222"/>
      <c r="F945" s="217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184"/>
      <c r="S945" s="185"/>
      <c r="T945" s="186"/>
      <c r="U945" s="223"/>
      <c r="V945" s="223"/>
      <c r="W945" s="223"/>
    </row>
    <row r="946" spans="1:23" s="175" customFormat="1" ht="13" customHeight="1">
      <c r="A946" s="166"/>
      <c r="B946" s="163"/>
      <c r="C946" s="167" t="str">
        <f>IFERROR(IF(VLOOKUP($B946,勘定科目!$A:$H,HLOOKUP($E$5,勘定科目!$F$1:$H$2,2,0),0)="","",VLOOKUP($B946,勘定科目!$A:$E,2,0)),"")</f>
        <v/>
      </c>
      <c r="D946" s="216" t="str">
        <f>IF(C946="","",VLOOKUP($B946,勘定科目!$A:$E,4,0))</f>
        <v/>
      </c>
      <c r="E946" s="222"/>
      <c r="F946" s="217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184"/>
      <c r="S946" s="185"/>
      <c r="T946" s="186"/>
      <c r="U946" s="223"/>
      <c r="V946" s="223"/>
      <c r="W946" s="223"/>
    </row>
    <row r="947" spans="1:23" s="175" customFormat="1" ht="13" customHeight="1">
      <c r="A947" s="166"/>
      <c r="B947" s="163"/>
      <c r="C947" s="167" t="str">
        <f>IFERROR(IF(VLOOKUP($B947,勘定科目!$A:$H,HLOOKUP($E$5,勘定科目!$F$1:$H$2,2,0),0)="","",VLOOKUP($B947,勘定科目!$A:$E,2,0)),"")</f>
        <v/>
      </c>
      <c r="D947" s="216" t="str">
        <f>IF(C947="","",VLOOKUP($B947,勘定科目!$A:$E,4,0))</f>
        <v/>
      </c>
      <c r="E947" s="222"/>
      <c r="F947" s="217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184"/>
      <c r="S947" s="185"/>
      <c r="T947" s="186"/>
      <c r="U947" s="223"/>
      <c r="V947" s="223"/>
      <c r="W947" s="223"/>
    </row>
    <row r="948" spans="1:23" s="175" customFormat="1" ht="13" customHeight="1">
      <c r="A948" s="166"/>
      <c r="B948" s="163"/>
      <c r="C948" s="167" t="str">
        <f>IFERROR(IF(VLOOKUP($B948,勘定科目!$A:$H,HLOOKUP($E$5,勘定科目!$F$1:$H$2,2,0),0)="","",VLOOKUP($B948,勘定科目!$A:$E,2,0)),"")</f>
        <v/>
      </c>
      <c r="D948" s="216" t="str">
        <f>IF(C948="","",VLOOKUP($B948,勘定科目!$A:$E,4,0))</f>
        <v/>
      </c>
      <c r="E948" s="222"/>
      <c r="F948" s="217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184"/>
      <c r="S948" s="185"/>
      <c r="T948" s="186"/>
      <c r="U948" s="223"/>
      <c r="V948" s="223"/>
      <c r="W948" s="223"/>
    </row>
    <row r="949" spans="1:23" s="175" customFormat="1" ht="13" customHeight="1">
      <c r="A949" s="166"/>
      <c r="B949" s="163"/>
      <c r="C949" s="167" t="str">
        <f>IFERROR(IF(VLOOKUP($B949,勘定科目!$A:$H,HLOOKUP($E$5,勘定科目!$F$1:$H$2,2,0),0)="","",VLOOKUP($B949,勘定科目!$A:$E,2,0)),"")</f>
        <v/>
      </c>
      <c r="D949" s="216" t="str">
        <f>IF(C949="","",VLOOKUP($B949,勘定科目!$A:$E,4,0))</f>
        <v/>
      </c>
      <c r="E949" s="222"/>
      <c r="F949" s="217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184"/>
      <c r="S949" s="185"/>
      <c r="T949" s="186"/>
      <c r="U949" s="223"/>
      <c r="V949" s="223"/>
      <c r="W949" s="223"/>
    </row>
    <row r="950" spans="1:23" s="175" customFormat="1" ht="13" customHeight="1">
      <c r="A950" s="166"/>
      <c r="B950" s="163"/>
      <c r="C950" s="167" t="str">
        <f>IFERROR(IF(VLOOKUP($B950,勘定科目!$A:$H,HLOOKUP($E$5,勘定科目!$F$1:$H$2,2,0),0)="","",VLOOKUP($B950,勘定科目!$A:$E,2,0)),"")</f>
        <v/>
      </c>
      <c r="D950" s="216" t="str">
        <f>IF(C950="","",VLOOKUP($B950,勘定科目!$A:$E,4,0))</f>
        <v/>
      </c>
      <c r="E950" s="222"/>
      <c r="F950" s="217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184"/>
      <c r="S950" s="185"/>
      <c r="T950" s="186"/>
      <c r="U950" s="223"/>
      <c r="V950" s="223"/>
      <c r="W950" s="223"/>
    </row>
    <row r="951" spans="1:23" s="175" customFormat="1" ht="13" customHeight="1">
      <c r="A951" s="166"/>
      <c r="B951" s="163"/>
      <c r="C951" s="167" t="str">
        <f>IFERROR(IF(VLOOKUP($B951,勘定科目!$A:$H,HLOOKUP($E$5,勘定科目!$F$1:$H$2,2,0),0)="","",VLOOKUP($B951,勘定科目!$A:$E,2,0)),"")</f>
        <v/>
      </c>
      <c r="D951" s="216" t="str">
        <f>IF(C951="","",VLOOKUP($B951,勘定科目!$A:$E,4,0))</f>
        <v/>
      </c>
      <c r="E951" s="222"/>
      <c r="F951" s="217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184"/>
      <c r="S951" s="185"/>
      <c r="T951" s="186"/>
      <c r="U951" s="223"/>
      <c r="V951" s="223"/>
      <c r="W951" s="223"/>
    </row>
    <row r="952" spans="1:23" s="175" customFormat="1" ht="13" customHeight="1">
      <c r="A952" s="166"/>
      <c r="B952" s="163"/>
      <c r="C952" s="167" t="str">
        <f>IFERROR(IF(VLOOKUP($B952,勘定科目!$A:$H,HLOOKUP($E$5,勘定科目!$F$1:$H$2,2,0),0)="","",VLOOKUP($B952,勘定科目!$A:$E,2,0)),"")</f>
        <v/>
      </c>
      <c r="D952" s="216" t="str">
        <f>IF(C952="","",VLOOKUP($B952,勘定科目!$A:$E,4,0))</f>
        <v/>
      </c>
      <c r="E952" s="222"/>
      <c r="F952" s="217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184"/>
      <c r="S952" s="185"/>
      <c r="T952" s="186"/>
      <c r="U952" s="223"/>
      <c r="V952" s="223"/>
      <c r="W952" s="223"/>
    </row>
    <row r="953" spans="1:23" s="175" customFormat="1" ht="13" customHeight="1">
      <c r="A953" s="166"/>
      <c r="B953" s="163"/>
      <c r="C953" s="167" t="str">
        <f>IFERROR(IF(VLOOKUP($B953,勘定科目!$A:$H,HLOOKUP($E$5,勘定科目!$F$1:$H$2,2,0),0)="","",VLOOKUP($B953,勘定科目!$A:$E,2,0)),"")</f>
        <v/>
      </c>
      <c r="D953" s="216" t="str">
        <f>IF(C953="","",VLOOKUP($B953,勘定科目!$A:$E,4,0))</f>
        <v/>
      </c>
      <c r="E953" s="222"/>
      <c r="F953" s="217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184"/>
      <c r="S953" s="185"/>
      <c r="T953" s="186"/>
      <c r="U953" s="223"/>
      <c r="V953" s="223"/>
      <c r="W953" s="223"/>
    </row>
    <row r="954" spans="1:23" s="175" customFormat="1" ht="13" customHeight="1">
      <c r="A954" s="166"/>
      <c r="B954" s="163"/>
      <c r="C954" s="167" t="str">
        <f>IFERROR(IF(VLOOKUP($B954,勘定科目!$A:$H,HLOOKUP($E$5,勘定科目!$F$1:$H$2,2,0),0)="","",VLOOKUP($B954,勘定科目!$A:$E,2,0)),"")</f>
        <v/>
      </c>
      <c r="D954" s="216" t="str">
        <f>IF(C954="","",VLOOKUP($B954,勘定科目!$A:$E,4,0))</f>
        <v/>
      </c>
      <c r="E954" s="222"/>
      <c r="F954" s="217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184"/>
      <c r="S954" s="185"/>
      <c r="T954" s="186"/>
      <c r="U954" s="223"/>
      <c r="V954" s="223"/>
      <c r="W954" s="223"/>
    </row>
    <row r="955" spans="1:23" s="175" customFormat="1" ht="13" customHeight="1">
      <c r="A955" s="166"/>
      <c r="B955" s="163"/>
      <c r="C955" s="167" t="str">
        <f>IFERROR(IF(VLOOKUP($B955,勘定科目!$A:$H,HLOOKUP($E$5,勘定科目!$F$1:$H$2,2,0),0)="","",VLOOKUP($B955,勘定科目!$A:$E,2,0)),"")</f>
        <v/>
      </c>
      <c r="D955" s="216" t="str">
        <f>IF(C955="","",VLOOKUP($B955,勘定科目!$A:$E,4,0))</f>
        <v/>
      </c>
      <c r="E955" s="222"/>
      <c r="F955" s="217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184"/>
      <c r="S955" s="185"/>
      <c r="T955" s="186"/>
      <c r="U955" s="223"/>
      <c r="V955" s="223"/>
      <c r="W955" s="223"/>
    </row>
    <row r="956" spans="1:23" s="175" customFormat="1" ht="13" customHeight="1">
      <c r="A956" s="166"/>
      <c r="B956" s="163"/>
      <c r="C956" s="167" t="str">
        <f>IFERROR(IF(VLOOKUP($B956,勘定科目!$A:$H,HLOOKUP($E$5,勘定科目!$F$1:$H$2,2,0),0)="","",VLOOKUP($B956,勘定科目!$A:$E,2,0)),"")</f>
        <v/>
      </c>
      <c r="D956" s="216" t="str">
        <f>IF(C956="","",VLOOKUP($B956,勘定科目!$A:$E,4,0))</f>
        <v/>
      </c>
      <c r="E956" s="222"/>
      <c r="F956" s="217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184"/>
      <c r="S956" s="185"/>
      <c r="T956" s="186"/>
      <c r="U956" s="223"/>
      <c r="V956" s="223"/>
      <c r="W956" s="223"/>
    </row>
    <row r="957" spans="1:23" s="175" customFormat="1" ht="13" customHeight="1">
      <c r="A957" s="166"/>
      <c r="B957" s="163"/>
      <c r="C957" s="167" t="str">
        <f>IFERROR(IF(VLOOKUP($B957,勘定科目!$A:$H,HLOOKUP($E$5,勘定科目!$F$1:$H$2,2,0),0)="","",VLOOKUP($B957,勘定科目!$A:$E,2,0)),"")</f>
        <v/>
      </c>
      <c r="D957" s="216" t="str">
        <f>IF(C957="","",VLOOKUP($B957,勘定科目!$A:$E,4,0))</f>
        <v/>
      </c>
      <c r="E957" s="222"/>
      <c r="F957" s="217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184"/>
      <c r="S957" s="185"/>
      <c r="T957" s="186"/>
      <c r="U957" s="223"/>
      <c r="V957" s="223"/>
      <c r="W957" s="223"/>
    </row>
    <row r="958" spans="1:23" s="175" customFormat="1" ht="13" customHeight="1">
      <c r="A958" s="166"/>
      <c r="B958" s="163"/>
      <c r="C958" s="167" t="str">
        <f>IFERROR(IF(VLOOKUP($B958,勘定科目!$A:$H,HLOOKUP($E$5,勘定科目!$F$1:$H$2,2,0),0)="","",VLOOKUP($B958,勘定科目!$A:$E,2,0)),"")</f>
        <v/>
      </c>
      <c r="D958" s="216" t="str">
        <f>IF(C958="","",VLOOKUP($B958,勘定科目!$A:$E,4,0))</f>
        <v/>
      </c>
      <c r="E958" s="222"/>
      <c r="F958" s="217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184"/>
      <c r="S958" s="185"/>
      <c r="T958" s="186"/>
      <c r="U958" s="223"/>
      <c r="V958" s="223"/>
      <c r="W958" s="223"/>
    </row>
    <row r="959" spans="1:23" s="175" customFormat="1" ht="13" customHeight="1">
      <c r="A959" s="166"/>
      <c r="B959" s="163"/>
      <c r="C959" s="167" t="str">
        <f>IFERROR(IF(VLOOKUP($B959,勘定科目!$A:$H,HLOOKUP($E$5,勘定科目!$F$1:$H$2,2,0),0)="","",VLOOKUP($B959,勘定科目!$A:$E,2,0)),"")</f>
        <v/>
      </c>
      <c r="D959" s="216" t="str">
        <f>IF(C959="","",VLOOKUP($B959,勘定科目!$A:$E,4,0))</f>
        <v/>
      </c>
      <c r="E959" s="222"/>
      <c r="F959" s="217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184"/>
      <c r="S959" s="185"/>
      <c r="T959" s="186"/>
      <c r="U959" s="223"/>
      <c r="V959" s="223"/>
      <c r="W959" s="223"/>
    </row>
    <row r="960" spans="1:23" s="175" customFormat="1" ht="13" customHeight="1">
      <c r="A960" s="166"/>
      <c r="B960" s="163"/>
      <c r="C960" s="167" t="str">
        <f>IFERROR(IF(VLOOKUP($B960,勘定科目!$A:$H,HLOOKUP($E$5,勘定科目!$F$1:$H$2,2,0),0)="","",VLOOKUP($B960,勘定科目!$A:$E,2,0)),"")</f>
        <v/>
      </c>
      <c r="D960" s="216" t="str">
        <f>IF(C960="","",VLOOKUP($B960,勘定科目!$A:$E,4,0))</f>
        <v/>
      </c>
      <c r="E960" s="222"/>
      <c r="F960" s="217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184"/>
      <c r="S960" s="185"/>
      <c r="T960" s="186"/>
      <c r="U960" s="223"/>
      <c r="V960" s="223"/>
      <c r="W960" s="223"/>
    </row>
    <row r="961" spans="1:23" s="175" customFormat="1" ht="13" customHeight="1">
      <c r="A961" s="166"/>
      <c r="B961" s="163"/>
      <c r="C961" s="167" t="str">
        <f>IFERROR(IF(VLOOKUP($B961,勘定科目!$A:$H,HLOOKUP($E$5,勘定科目!$F$1:$H$2,2,0),0)="","",VLOOKUP($B961,勘定科目!$A:$E,2,0)),"")</f>
        <v/>
      </c>
      <c r="D961" s="216" t="str">
        <f>IF(C961="","",VLOOKUP($B961,勘定科目!$A:$E,4,0))</f>
        <v/>
      </c>
      <c r="E961" s="222"/>
      <c r="F961" s="217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184"/>
      <c r="S961" s="185"/>
      <c r="T961" s="186"/>
      <c r="U961" s="223"/>
      <c r="V961" s="223"/>
      <c r="W961" s="223"/>
    </row>
    <row r="962" spans="1:23" s="175" customFormat="1" ht="13" customHeight="1">
      <c r="A962" s="166"/>
      <c r="B962" s="163"/>
      <c r="C962" s="167" t="str">
        <f>IFERROR(IF(VLOOKUP($B962,勘定科目!$A:$H,HLOOKUP($E$5,勘定科目!$F$1:$H$2,2,0),0)="","",VLOOKUP($B962,勘定科目!$A:$E,2,0)),"")</f>
        <v/>
      </c>
      <c r="D962" s="216" t="str">
        <f>IF(C962="","",VLOOKUP($B962,勘定科目!$A:$E,4,0))</f>
        <v/>
      </c>
      <c r="E962" s="222"/>
      <c r="F962" s="217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184"/>
      <c r="S962" s="185"/>
      <c r="T962" s="186"/>
      <c r="U962" s="223"/>
      <c r="V962" s="223"/>
      <c r="W962" s="223"/>
    </row>
    <row r="963" spans="1:23" s="175" customFormat="1" ht="13" customHeight="1">
      <c r="A963" s="166"/>
      <c r="B963" s="163"/>
      <c r="C963" s="167" t="str">
        <f>IFERROR(IF(VLOOKUP($B963,勘定科目!$A:$H,HLOOKUP($E$5,勘定科目!$F$1:$H$2,2,0),0)="","",VLOOKUP($B963,勘定科目!$A:$E,2,0)),"")</f>
        <v/>
      </c>
      <c r="D963" s="216" t="str">
        <f>IF(C963="","",VLOOKUP($B963,勘定科目!$A:$E,4,0))</f>
        <v/>
      </c>
      <c r="E963" s="222"/>
      <c r="F963" s="217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184"/>
      <c r="S963" s="185"/>
      <c r="T963" s="186"/>
      <c r="U963" s="223"/>
      <c r="V963" s="223"/>
      <c r="W963" s="223"/>
    </row>
    <row r="964" spans="1:23" s="175" customFormat="1" ht="13" customHeight="1">
      <c r="A964" s="166"/>
      <c r="B964" s="163"/>
      <c r="C964" s="167" t="str">
        <f>IFERROR(IF(VLOOKUP($B964,勘定科目!$A:$H,HLOOKUP($E$5,勘定科目!$F$1:$H$2,2,0),0)="","",VLOOKUP($B964,勘定科目!$A:$E,2,0)),"")</f>
        <v/>
      </c>
      <c r="D964" s="216" t="str">
        <f>IF(C964="","",VLOOKUP($B964,勘定科目!$A:$E,4,0))</f>
        <v/>
      </c>
      <c r="E964" s="222"/>
      <c r="F964" s="217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184"/>
      <c r="S964" s="185"/>
      <c r="T964" s="186"/>
      <c r="U964" s="223"/>
      <c r="V964" s="223"/>
      <c r="W964" s="223"/>
    </row>
    <row r="965" spans="1:23" s="175" customFormat="1" ht="13" customHeight="1">
      <c r="A965" s="166"/>
      <c r="B965" s="163"/>
      <c r="C965" s="167" t="str">
        <f>IFERROR(IF(VLOOKUP($B965,勘定科目!$A:$H,HLOOKUP($E$5,勘定科目!$F$1:$H$2,2,0),0)="","",VLOOKUP($B965,勘定科目!$A:$E,2,0)),"")</f>
        <v/>
      </c>
      <c r="D965" s="216" t="str">
        <f>IF(C965="","",VLOOKUP($B965,勘定科目!$A:$E,4,0))</f>
        <v/>
      </c>
      <c r="E965" s="222"/>
      <c r="F965" s="217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184"/>
      <c r="S965" s="185"/>
      <c r="T965" s="186"/>
      <c r="U965" s="223"/>
      <c r="V965" s="223"/>
      <c r="W965" s="223"/>
    </row>
    <row r="966" spans="1:23" s="175" customFormat="1" ht="13" customHeight="1">
      <c r="A966" s="166"/>
      <c r="B966" s="163"/>
      <c r="C966" s="167" t="str">
        <f>IFERROR(IF(VLOOKUP($B966,勘定科目!$A:$H,HLOOKUP($E$5,勘定科目!$F$1:$H$2,2,0),0)="","",VLOOKUP($B966,勘定科目!$A:$E,2,0)),"")</f>
        <v/>
      </c>
      <c r="D966" s="216" t="str">
        <f>IF(C966="","",VLOOKUP($B966,勘定科目!$A:$E,4,0))</f>
        <v/>
      </c>
      <c r="E966" s="222"/>
      <c r="F966" s="217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184"/>
      <c r="S966" s="185"/>
      <c r="T966" s="186"/>
      <c r="U966" s="223"/>
      <c r="V966" s="223"/>
      <c r="W966" s="223"/>
    </row>
    <row r="967" spans="1:23" s="175" customFormat="1" ht="13" customHeight="1">
      <c r="A967" s="166"/>
      <c r="B967" s="163"/>
      <c r="C967" s="167" t="str">
        <f>IFERROR(IF(VLOOKUP($B967,勘定科目!$A:$H,HLOOKUP($E$5,勘定科目!$F$1:$H$2,2,0),0)="","",VLOOKUP($B967,勘定科目!$A:$E,2,0)),"")</f>
        <v/>
      </c>
      <c r="D967" s="216" t="str">
        <f>IF(C967="","",VLOOKUP($B967,勘定科目!$A:$E,4,0))</f>
        <v/>
      </c>
      <c r="E967" s="222"/>
      <c r="F967" s="217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184"/>
      <c r="S967" s="185"/>
      <c r="T967" s="186"/>
      <c r="U967" s="223"/>
      <c r="V967" s="223"/>
      <c r="W967" s="223"/>
    </row>
    <row r="968" spans="1:23" s="175" customFormat="1" ht="13" customHeight="1">
      <c r="A968" s="166"/>
      <c r="B968" s="163"/>
      <c r="C968" s="167" t="str">
        <f>IFERROR(IF(VLOOKUP($B968,勘定科目!$A:$H,HLOOKUP($E$5,勘定科目!$F$1:$H$2,2,0),0)="","",VLOOKUP($B968,勘定科目!$A:$E,2,0)),"")</f>
        <v/>
      </c>
      <c r="D968" s="216" t="str">
        <f>IF(C968="","",VLOOKUP($B968,勘定科目!$A:$E,4,0))</f>
        <v/>
      </c>
      <c r="E968" s="222"/>
      <c r="F968" s="217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184"/>
      <c r="S968" s="185"/>
      <c r="T968" s="186"/>
      <c r="U968" s="223"/>
      <c r="V968" s="223"/>
      <c r="W968" s="223"/>
    </row>
    <row r="969" spans="1:23" s="175" customFormat="1" ht="13" customHeight="1">
      <c r="A969" s="166"/>
      <c r="B969" s="163"/>
      <c r="C969" s="167" t="str">
        <f>IFERROR(IF(VLOOKUP($B969,勘定科目!$A:$H,HLOOKUP($E$5,勘定科目!$F$1:$H$2,2,0),0)="","",VLOOKUP($B969,勘定科目!$A:$E,2,0)),"")</f>
        <v/>
      </c>
      <c r="D969" s="216" t="str">
        <f>IF(C969="","",VLOOKUP($B969,勘定科目!$A:$E,4,0))</f>
        <v/>
      </c>
      <c r="E969" s="222"/>
      <c r="F969" s="217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184"/>
      <c r="S969" s="185"/>
      <c r="T969" s="186"/>
      <c r="U969" s="223"/>
      <c r="V969" s="223"/>
      <c r="W969" s="223"/>
    </row>
    <row r="970" spans="1:23" s="175" customFormat="1" ht="13" customHeight="1">
      <c r="A970" s="166"/>
      <c r="B970" s="163"/>
      <c r="C970" s="167" t="str">
        <f>IFERROR(IF(VLOOKUP($B970,勘定科目!$A:$H,HLOOKUP($E$5,勘定科目!$F$1:$H$2,2,0),0)="","",VLOOKUP($B970,勘定科目!$A:$E,2,0)),"")</f>
        <v/>
      </c>
      <c r="D970" s="216" t="str">
        <f>IF(C970="","",VLOOKUP($B970,勘定科目!$A:$E,4,0))</f>
        <v/>
      </c>
      <c r="E970" s="222"/>
      <c r="F970" s="217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184"/>
      <c r="S970" s="185"/>
      <c r="T970" s="186"/>
      <c r="U970" s="223"/>
      <c r="V970" s="223"/>
      <c r="W970" s="223"/>
    </row>
    <row r="971" spans="1:23" s="175" customFormat="1" ht="13" customHeight="1">
      <c r="A971" s="166"/>
      <c r="B971" s="163"/>
      <c r="C971" s="167" t="str">
        <f>IFERROR(IF(VLOOKUP($B971,勘定科目!$A:$H,HLOOKUP($E$5,勘定科目!$F$1:$H$2,2,0),0)="","",VLOOKUP($B971,勘定科目!$A:$E,2,0)),"")</f>
        <v/>
      </c>
      <c r="D971" s="216" t="str">
        <f>IF(C971="","",VLOOKUP($B971,勘定科目!$A:$E,4,0))</f>
        <v/>
      </c>
      <c r="E971" s="222"/>
      <c r="F971" s="217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184"/>
      <c r="S971" s="185"/>
      <c r="T971" s="186"/>
      <c r="U971" s="223"/>
      <c r="V971" s="223"/>
      <c r="W971" s="223"/>
    </row>
    <row r="972" spans="1:23" s="175" customFormat="1" ht="13" customHeight="1">
      <c r="A972" s="166"/>
      <c r="B972" s="163"/>
      <c r="C972" s="167" t="str">
        <f>IFERROR(IF(VLOOKUP($B972,勘定科目!$A:$H,HLOOKUP($E$5,勘定科目!$F$1:$H$2,2,0),0)="","",VLOOKUP($B972,勘定科目!$A:$E,2,0)),"")</f>
        <v/>
      </c>
      <c r="D972" s="216" t="str">
        <f>IF(C972="","",VLOOKUP($B972,勘定科目!$A:$E,4,0))</f>
        <v/>
      </c>
      <c r="E972" s="222"/>
      <c r="F972" s="217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184"/>
      <c r="S972" s="185"/>
      <c r="T972" s="186"/>
      <c r="U972" s="223"/>
      <c r="V972" s="223"/>
      <c r="W972" s="223"/>
    </row>
    <row r="973" spans="1:23" s="175" customFormat="1" ht="13" customHeight="1">
      <c r="A973" s="166"/>
      <c r="B973" s="163"/>
      <c r="C973" s="167" t="str">
        <f>IFERROR(IF(VLOOKUP($B973,勘定科目!$A:$H,HLOOKUP($E$5,勘定科目!$F$1:$H$2,2,0),0)="","",VLOOKUP($B973,勘定科目!$A:$E,2,0)),"")</f>
        <v/>
      </c>
      <c r="D973" s="216" t="str">
        <f>IF(C973="","",VLOOKUP($B973,勘定科目!$A:$E,4,0))</f>
        <v/>
      </c>
      <c r="E973" s="222"/>
      <c r="F973" s="217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184"/>
      <c r="S973" s="185"/>
      <c r="T973" s="186"/>
      <c r="U973" s="223"/>
      <c r="V973" s="223"/>
      <c r="W973" s="223"/>
    </row>
    <row r="974" spans="1:23" s="175" customFormat="1" ht="13" customHeight="1">
      <c r="A974" s="166"/>
      <c r="B974" s="163"/>
      <c r="C974" s="167" t="str">
        <f>IFERROR(IF(VLOOKUP($B974,勘定科目!$A:$H,HLOOKUP($E$5,勘定科目!$F$1:$H$2,2,0),0)="","",VLOOKUP($B974,勘定科目!$A:$E,2,0)),"")</f>
        <v/>
      </c>
      <c r="D974" s="216" t="str">
        <f>IF(C974="","",VLOOKUP($B974,勘定科目!$A:$E,4,0))</f>
        <v/>
      </c>
      <c r="E974" s="222"/>
      <c r="F974" s="217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184"/>
      <c r="S974" s="185"/>
      <c r="T974" s="186"/>
      <c r="U974" s="223"/>
      <c r="V974" s="223"/>
      <c r="W974" s="223"/>
    </row>
    <row r="975" spans="1:23" s="175" customFormat="1" ht="13" customHeight="1">
      <c r="A975" s="166"/>
      <c r="B975" s="163"/>
      <c r="C975" s="167" t="str">
        <f>IFERROR(IF(VLOOKUP($B975,勘定科目!$A:$H,HLOOKUP($E$5,勘定科目!$F$1:$H$2,2,0),0)="","",VLOOKUP($B975,勘定科目!$A:$E,2,0)),"")</f>
        <v/>
      </c>
      <c r="D975" s="216" t="str">
        <f>IF(C975="","",VLOOKUP($B975,勘定科目!$A:$E,4,0))</f>
        <v/>
      </c>
      <c r="E975" s="222"/>
      <c r="F975" s="217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184"/>
      <c r="S975" s="185"/>
      <c r="T975" s="186"/>
      <c r="U975" s="223"/>
      <c r="V975" s="223"/>
      <c r="W975" s="223"/>
    </row>
    <row r="976" spans="1:23" s="175" customFormat="1" ht="13" customHeight="1">
      <c r="A976" s="166"/>
      <c r="B976" s="163"/>
      <c r="C976" s="167" t="str">
        <f>IFERROR(IF(VLOOKUP($B976,勘定科目!$A:$H,HLOOKUP($E$5,勘定科目!$F$1:$H$2,2,0),0)="","",VLOOKUP($B976,勘定科目!$A:$E,2,0)),"")</f>
        <v/>
      </c>
      <c r="D976" s="216" t="str">
        <f>IF(C976="","",VLOOKUP($B976,勘定科目!$A:$E,4,0))</f>
        <v/>
      </c>
      <c r="E976" s="222"/>
      <c r="F976" s="217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184"/>
      <c r="S976" s="185"/>
      <c r="T976" s="186"/>
      <c r="U976" s="223"/>
      <c r="V976" s="223"/>
      <c r="W976" s="223"/>
    </row>
    <row r="977" spans="1:23" s="175" customFormat="1" ht="13" customHeight="1">
      <c r="A977" s="166"/>
      <c r="B977" s="163"/>
      <c r="C977" s="167" t="str">
        <f>IFERROR(IF(VLOOKUP($B977,勘定科目!$A:$H,HLOOKUP($E$5,勘定科目!$F$1:$H$2,2,0),0)="","",VLOOKUP($B977,勘定科目!$A:$E,2,0)),"")</f>
        <v/>
      </c>
      <c r="D977" s="216" t="str">
        <f>IF(C977="","",VLOOKUP($B977,勘定科目!$A:$E,4,0))</f>
        <v/>
      </c>
      <c r="E977" s="222"/>
      <c r="F977" s="217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184"/>
      <c r="S977" s="185"/>
      <c r="T977" s="186"/>
      <c r="U977" s="223"/>
      <c r="V977" s="223"/>
      <c r="W977" s="223"/>
    </row>
    <row r="978" spans="1:23" s="175" customFormat="1" ht="13" customHeight="1">
      <c r="A978" s="166"/>
      <c r="B978" s="163"/>
      <c r="C978" s="167" t="str">
        <f>IFERROR(IF(VLOOKUP($B978,勘定科目!$A:$H,HLOOKUP($E$5,勘定科目!$F$1:$H$2,2,0),0)="","",VLOOKUP($B978,勘定科目!$A:$E,2,0)),"")</f>
        <v/>
      </c>
      <c r="D978" s="216" t="str">
        <f>IF(C978="","",VLOOKUP($B978,勘定科目!$A:$E,4,0))</f>
        <v/>
      </c>
      <c r="E978" s="222"/>
      <c r="F978" s="217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184"/>
      <c r="S978" s="185"/>
      <c r="T978" s="186"/>
      <c r="U978" s="223"/>
      <c r="V978" s="223"/>
      <c r="W978" s="223"/>
    </row>
    <row r="979" spans="1:23" s="175" customFormat="1" ht="13" customHeight="1">
      <c r="A979" s="166"/>
      <c r="B979" s="163"/>
      <c r="C979" s="167" t="str">
        <f>IFERROR(IF(VLOOKUP($B979,勘定科目!$A:$H,HLOOKUP($E$5,勘定科目!$F$1:$H$2,2,0),0)="","",VLOOKUP($B979,勘定科目!$A:$E,2,0)),"")</f>
        <v/>
      </c>
      <c r="D979" s="216" t="str">
        <f>IF(C979="","",VLOOKUP($B979,勘定科目!$A:$E,4,0))</f>
        <v/>
      </c>
      <c r="E979" s="222"/>
      <c r="F979" s="217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184"/>
      <c r="S979" s="185"/>
      <c r="T979" s="186"/>
      <c r="U979" s="223"/>
      <c r="V979" s="223"/>
      <c r="W979" s="223"/>
    </row>
    <row r="980" spans="1:23" s="175" customFormat="1" ht="13" customHeight="1">
      <c r="A980" s="166"/>
      <c r="B980" s="163"/>
      <c r="C980" s="167" t="str">
        <f>IFERROR(IF(VLOOKUP($B980,勘定科目!$A:$H,HLOOKUP($E$5,勘定科目!$F$1:$H$2,2,0),0)="","",VLOOKUP($B980,勘定科目!$A:$E,2,0)),"")</f>
        <v/>
      </c>
      <c r="D980" s="216" t="str">
        <f>IF(C980="","",VLOOKUP($B980,勘定科目!$A:$E,4,0))</f>
        <v/>
      </c>
      <c r="E980" s="222"/>
      <c r="F980" s="217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184"/>
      <c r="S980" s="185"/>
      <c r="T980" s="186"/>
      <c r="U980" s="223"/>
      <c r="V980" s="223"/>
      <c r="W980" s="223"/>
    </row>
    <row r="981" spans="1:23" s="175" customFormat="1" ht="13" customHeight="1">
      <c r="A981" s="166"/>
      <c r="B981" s="163"/>
      <c r="C981" s="167" t="str">
        <f>IFERROR(IF(VLOOKUP($B981,勘定科目!$A:$H,HLOOKUP($E$5,勘定科目!$F$1:$H$2,2,0),0)="","",VLOOKUP($B981,勘定科目!$A:$E,2,0)),"")</f>
        <v/>
      </c>
      <c r="D981" s="216" t="str">
        <f>IF(C981="","",VLOOKUP($B981,勘定科目!$A:$E,4,0))</f>
        <v/>
      </c>
      <c r="E981" s="222"/>
      <c r="F981" s="217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184"/>
      <c r="S981" s="185"/>
      <c r="T981" s="186"/>
      <c r="U981" s="223"/>
      <c r="V981" s="223"/>
      <c r="W981" s="223"/>
    </row>
    <row r="982" spans="1:23" s="175" customFormat="1" ht="13" customHeight="1">
      <c r="A982" s="166"/>
      <c r="B982" s="163"/>
      <c r="C982" s="167" t="str">
        <f>IFERROR(IF(VLOOKUP($B982,勘定科目!$A:$H,HLOOKUP($E$5,勘定科目!$F$1:$H$2,2,0),0)="","",VLOOKUP($B982,勘定科目!$A:$E,2,0)),"")</f>
        <v/>
      </c>
      <c r="D982" s="216" t="str">
        <f>IF(C982="","",VLOOKUP($B982,勘定科目!$A:$E,4,0))</f>
        <v/>
      </c>
      <c r="E982" s="222"/>
      <c r="F982" s="217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184"/>
      <c r="S982" s="185"/>
      <c r="T982" s="186"/>
      <c r="U982" s="223"/>
      <c r="V982" s="223"/>
      <c r="W982" s="223"/>
    </row>
    <row r="983" spans="1:23" s="175" customFormat="1" ht="13" customHeight="1">
      <c r="A983" s="166"/>
      <c r="B983" s="163"/>
      <c r="C983" s="167" t="str">
        <f>IFERROR(IF(VLOOKUP($B983,勘定科目!$A:$H,HLOOKUP($E$5,勘定科目!$F$1:$H$2,2,0),0)="","",VLOOKUP($B983,勘定科目!$A:$E,2,0)),"")</f>
        <v/>
      </c>
      <c r="D983" s="216" t="str">
        <f>IF(C983="","",VLOOKUP($B983,勘定科目!$A:$E,4,0))</f>
        <v/>
      </c>
      <c r="E983" s="222"/>
      <c r="F983" s="217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184"/>
      <c r="S983" s="185"/>
      <c r="T983" s="186"/>
      <c r="U983" s="223"/>
      <c r="V983" s="223"/>
      <c r="W983" s="223"/>
    </row>
    <row r="984" spans="1:23" s="175" customFormat="1" ht="13" customHeight="1">
      <c r="A984" s="166"/>
      <c r="B984" s="163"/>
      <c r="C984" s="167" t="str">
        <f>IFERROR(IF(VLOOKUP($B984,勘定科目!$A:$H,HLOOKUP($E$5,勘定科目!$F$1:$H$2,2,0),0)="","",VLOOKUP($B984,勘定科目!$A:$E,2,0)),"")</f>
        <v/>
      </c>
      <c r="D984" s="216" t="str">
        <f>IF(C984="","",VLOOKUP($B984,勘定科目!$A:$E,4,0))</f>
        <v/>
      </c>
      <c r="E984" s="222"/>
      <c r="F984" s="217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184"/>
      <c r="S984" s="185"/>
      <c r="T984" s="186"/>
      <c r="U984" s="223"/>
      <c r="V984" s="223"/>
      <c r="W984" s="223"/>
    </row>
    <row r="985" spans="1:23" s="175" customFormat="1" ht="13" customHeight="1">
      <c r="A985" s="166"/>
      <c r="B985" s="163"/>
      <c r="C985" s="167" t="str">
        <f>IFERROR(IF(VLOOKUP($B985,勘定科目!$A:$H,HLOOKUP($E$5,勘定科目!$F$1:$H$2,2,0),0)="","",VLOOKUP($B985,勘定科目!$A:$E,2,0)),"")</f>
        <v/>
      </c>
      <c r="D985" s="216" t="str">
        <f>IF(C985="","",VLOOKUP($B985,勘定科目!$A:$E,4,0))</f>
        <v/>
      </c>
      <c r="E985" s="222"/>
      <c r="F985" s="217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184"/>
      <c r="S985" s="185"/>
      <c r="T985" s="186"/>
      <c r="U985" s="223"/>
      <c r="V985" s="223"/>
      <c r="W985" s="223"/>
    </row>
    <row r="986" spans="1:23" s="175" customFormat="1" ht="13" customHeight="1">
      <c r="A986" s="166"/>
      <c r="B986" s="163"/>
      <c r="C986" s="167" t="str">
        <f>IFERROR(IF(VLOOKUP($B986,勘定科目!$A:$H,HLOOKUP($E$5,勘定科目!$F$1:$H$2,2,0),0)="","",VLOOKUP($B986,勘定科目!$A:$E,2,0)),"")</f>
        <v/>
      </c>
      <c r="D986" s="216" t="str">
        <f>IF(C986="","",VLOOKUP($B986,勘定科目!$A:$E,4,0))</f>
        <v/>
      </c>
      <c r="E986" s="222"/>
      <c r="F986" s="217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184"/>
      <c r="S986" s="185"/>
      <c r="T986" s="186"/>
      <c r="U986" s="223"/>
      <c r="V986" s="223"/>
      <c r="W986" s="223"/>
    </row>
    <row r="987" spans="1:23" s="175" customFormat="1" ht="13" customHeight="1">
      <c r="A987" s="166"/>
      <c r="B987" s="163"/>
      <c r="C987" s="167" t="str">
        <f>IFERROR(IF(VLOOKUP($B987,勘定科目!$A:$H,HLOOKUP($E$5,勘定科目!$F$1:$H$2,2,0),0)="","",VLOOKUP($B987,勘定科目!$A:$E,2,0)),"")</f>
        <v/>
      </c>
      <c r="D987" s="216" t="str">
        <f>IF(C987="","",VLOOKUP($B987,勘定科目!$A:$E,4,0))</f>
        <v/>
      </c>
      <c r="E987" s="222"/>
      <c r="F987" s="217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184"/>
      <c r="S987" s="185"/>
      <c r="T987" s="186"/>
      <c r="U987" s="223"/>
      <c r="V987" s="223"/>
      <c r="W987" s="223"/>
    </row>
    <row r="988" spans="1:23" s="175" customFormat="1" ht="13" customHeight="1">
      <c r="A988" s="166"/>
      <c r="B988" s="163"/>
      <c r="C988" s="167" t="str">
        <f>IFERROR(IF(VLOOKUP($B988,勘定科目!$A:$H,HLOOKUP($E$5,勘定科目!$F$1:$H$2,2,0),0)="","",VLOOKUP($B988,勘定科目!$A:$E,2,0)),"")</f>
        <v/>
      </c>
      <c r="D988" s="216" t="str">
        <f>IF(C988="","",VLOOKUP($B988,勘定科目!$A:$E,4,0))</f>
        <v/>
      </c>
      <c r="E988" s="222"/>
      <c r="F988" s="217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184"/>
      <c r="S988" s="185"/>
      <c r="T988" s="186"/>
      <c r="U988" s="223"/>
      <c r="V988" s="223"/>
      <c r="W988" s="223"/>
    </row>
    <row r="989" spans="1:23" s="175" customFormat="1" ht="13" customHeight="1">
      <c r="A989" s="166"/>
      <c r="B989" s="163"/>
      <c r="C989" s="167" t="str">
        <f>IFERROR(IF(VLOOKUP($B989,勘定科目!$A:$H,HLOOKUP($E$5,勘定科目!$F$1:$H$2,2,0),0)="","",VLOOKUP($B989,勘定科目!$A:$E,2,0)),"")</f>
        <v/>
      </c>
      <c r="D989" s="216" t="str">
        <f>IF(C989="","",VLOOKUP($B989,勘定科目!$A:$E,4,0))</f>
        <v/>
      </c>
      <c r="E989" s="222"/>
      <c r="F989" s="217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184"/>
      <c r="S989" s="185"/>
      <c r="T989" s="186"/>
      <c r="U989" s="223"/>
      <c r="V989" s="223"/>
      <c r="W989" s="223"/>
    </row>
    <row r="990" spans="1:23" s="175" customFormat="1" ht="13" customHeight="1">
      <c r="A990" s="166"/>
      <c r="B990" s="163"/>
      <c r="C990" s="167" t="str">
        <f>IFERROR(IF(VLOOKUP($B990,勘定科目!$A:$H,HLOOKUP($E$5,勘定科目!$F$1:$H$2,2,0),0)="","",VLOOKUP($B990,勘定科目!$A:$E,2,0)),"")</f>
        <v/>
      </c>
      <c r="D990" s="216" t="str">
        <f>IF(C990="","",VLOOKUP($B990,勘定科目!$A:$E,4,0))</f>
        <v/>
      </c>
      <c r="E990" s="222"/>
      <c r="F990" s="217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184"/>
      <c r="S990" s="185"/>
      <c r="T990" s="186"/>
      <c r="U990" s="223"/>
      <c r="V990" s="223"/>
      <c r="W990" s="223"/>
    </row>
    <row r="991" spans="1:23" s="175" customFormat="1" ht="13" customHeight="1">
      <c r="A991" s="166"/>
      <c r="B991" s="163"/>
      <c r="C991" s="167" t="str">
        <f>IFERROR(IF(VLOOKUP($B991,勘定科目!$A:$H,HLOOKUP($E$5,勘定科目!$F$1:$H$2,2,0),0)="","",VLOOKUP($B991,勘定科目!$A:$E,2,0)),"")</f>
        <v/>
      </c>
      <c r="D991" s="216" t="str">
        <f>IF(C991="","",VLOOKUP($B991,勘定科目!$A:$E,4,0))</f>
        <v/>
      </c>
      <c r="E991" s="222"/>
      <c r="F991" s="217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184"/>
      <c r="S991" s="185"/>
      <c r="T991" s="186"/>
      <c r="U991" s="223"/>
      <c r="V991" s="223"/>
      <c r="W991" s="223"/>
    </row>
    <row r="992" spans="1:23" s="175" customFormat="1" ht="13" customHeight="1">
      <c r="A992" s="166"/>
      <c r="B992" s="163"/>
      <c r="C992" s="167" t="str">
        <f>IFERROR(IF(VLOOKUP($B992,勘定科目!$A:$H,HLOOKUP($E$5,勘定科目!$F$1:$H$2,2,0),0)="","",VLOOKUP($B992,勘定科目!$A:$E,2,0)),"")</f>
        <v/>
      </c>
      <c r="D992" s="216" t="str">
        <f>IF(C992="","",VLOOKUP($B992,勘定科目!$A:$E,4,0))</f>
        <v/>
      </c>
      <c r="E992" s="222"/>
      <c r="F992" s="217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184"/>
      <c r="S992" s="185"/>
      <c r="T992" s="186"/>
      <c r="U992" s="223"/>
      <c r="V992" s="223"/>
      <c r="W992" s="223"/>
    </row>
    <row r="993" spans="1:23" s="175" customFormat="1" ht="13" customHeight="1">
      <c r="A993" s="166"/>
      <c r="B993" s="163"/>
      <c r="C993" s="167" t="str">
        <f>IFERROR(IF(VLOOKUP($B993,勘定科目!$A:$H,HLOOKUP($E$5,勘定科目!$F$1:$H$2,2,0),0)="","",VLOOKUP($B993,勘定科目!$A:$E,2,0)),"")</f>
        <v/>
      </c>
      <c r="D993" s="216" t="str">
        <f>IF(C993="","",VLOOKUP($B993,勘定科目!$A:$E,4,0))</f>
        <v/>
      </c>
      <c r="E993" s="222"/>
      <c r="F993" s="217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184"/>
      <c r="S993" s="185"/>
      <c r="T993" s="186"/>
      <c r="U993" s="223"/>
      <c r="V993" s="223"/>
      <c r="W993" s="223"/>
    </row>
    <row r="994" spans="1:23" s="175" customFormat="1" ht="13" customHeight="1">
      <c r="A994" s="166"/>
      <c r="B994" s="163"/>
      <c r="C994" s="167" t="str">
        <f>IFERROR(IF(VLOOKUP($B994,勘定科目!$A:$H,HLOOKUP($E$5,勘定科目!$F$1:$H$2,2,0),0)="","",VLOOKUP($B994,勘定科目!$A:$E,2,0)),"")</f>
        <v/>
      </c>
      <c r="D994" s="216" t="str">
        <f>IF(C994="","",VLOOKUP($B994,勘定科目!$A:$E,4,0))</f>
        <v/>
      </c>
      <c r="E994" s="222"/>
      <c r="F994" s="217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184"/>
      <c r="S994" s="185"/>
      <c r="T994" s="186"/>
      <c r="U994" s="223"/>
      <c r="V994" s="223"/>
      <c r="W994" s="223"/>
    </row>
    <row r="995" spans="1:23" s="175" customFormat="1" ht="13" customHeight="1">
      <c r="A995" s="166"/>
      <c r="B995" s="163"/>
      <c r="C995" s="167" t="str">
        <f>IFERROR(IF(VLOOKUP($B995,勘定科目!$A:$H,HLOOKUP($E$5,勘定科目!$F$1:$H$2,2,0),0)="","",VLOOKUP($B995,勘定科目!$A:$E,2,0)),"")</f>
        <v/>
      </c>
      <c r="D995" s="216" t="str">
        <f>IF(C995="","",VLOOKUP($B995,勘定科目!$A:$E,4,0))</f>
        <v/>
      </c>
      <c r="E995" s="222"/>
      <c r="F995" s="217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184"/>
      <c r="S995" s="185"/>
      <c r="T995" s="186"/>
      <c r="U995" s="223"/>
      <c r="V995" s="223"/>
      <c r="W995" s="223"/>
    </row>
    <row r="996" spans="1:23" s="175" customFormat="1" ht="13" customHeight="1">
      <c r="A996" s="166"/>
      <c r="B996" s="163"/>
      <c r="C996" s="167" t="str">
        <f>IFERROR(IF(VLOOKUP($B996,勘定科目!$A:$H,HLOOKUP($E$5,勘定科目!$F$1:$H$2,2,0),0)="","",VLOOKUP($B996,勘定科目!$A:$E,2,0)),"")</f>
        <v/>
      </c>
      <c r="D996" s="216" t="str">
        <f>IF(C996="","",VLOOKUP($B996,勘定科目!$A:$E,4,0))</f>
        <v/>
      </c>
      <c r="E996" s="222"/>
      <c r="F996" s="217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184"/>
      <c r="S996" s="185"/>
      <c r="T996" s="186"/>
      <c r="U996" s="223"/>
      <c r="V996" s="223"/>
      <c r="W996" s="223"/>
    </row>
    <row r="997" spans="1:23" s="175" customFormat="1" ht="13" customHeight="1">
      <c r="A997" s="166"/>
      <c r="B997" s="163"/>
      <c r="C997" s="167" t="str">
        <f>IFERROR(IF(VLOOKUP($B997,勘定科目!$A:$H,HLOOKUP($E$5,勘定科目!$F$1:$H$2,2,0),0)="","",VLOOKUP($B997,勘定科目!$A:$E,2,0)),"")</f>
        <v/>
      </c>
      <c r="D997" s="216" t="str">
        <f>IF(C997="","",VLOOKUP($B997,勘定科目!$A:$E,4,0))</f>
        <v/>
      </c>
      <c r="E997" s="222"/>
      <c r="F997" s="217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184"/>
      <c r="S997" s="185"/>
      <c r="T997" s="186"/>
      <c r="U997" s="223"/>
      <c r="V997" s="223"/>
      <c r="W997" s="223"/>
    </row>
    <row r="998" spans="1:23" s="175" customFormat="1" ht="13" customHeight="1">
      <c r="A998" s="166"/>
      <c r="B998" s="163"/>
      <c r="C998" s="167" t="str">
        <f>IFERROR(IF(VLOOKUP($B998,勘定科目!$A:$H,HLOOKUP($E$5,勘定科目!$F$1:$H$2,2,0),0)="","",VLOOKUP($B998,勘定科目!$A:$E,2,0)),"")</f>
        <v/>
      </c>
      <c r="D998" s="216" t="str">
        <f>IF(C998="","",VLOOKUP($B998,勘定科目!$A:$E,4,0))</f>
        <v/>
      </c>
      <c r="E998" s="222"/>
      <c r="F998" s="217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184"/>
      <c r="S998" s="185"/>
      <c r="T998" s="186"/>
      <c r="U998" s="223"/>
      <c r="V998" s="223"/>
      <c r="W998" s="223"/>
    </row>
    <row r="999" spans="1:23" s="175" customFormat="1" ht="13" customHeight="1">
      <c r="A999" s="166"/>
      <c r="B999" s="163"/>
      <c r="C999" s="167" t="str">
        <f>IFERROR(IF(VLOOKUP($B999,勘定科目!$A:$H,HLOOKUP($E$5,勘定科目!$F$1:$H$2,2,0),0)="","",VLOOKUP($B999,勘定科目!$A:$E,2,0)),"")</f>
        <v/>
      </c>
      <c r="D999" s="216" t="str">
        <f>IF(C999="","",VLOOKUP($B999,勘定科目!$A:$E,4,0))</f>
        <v/>
      </c>
      <c r="E999" s="222"/>
      <c r="F999" s="217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184"/>
      <c r="S999" s="185"/>
      <c r="T999" s="186"/>
      <c r="U999" s="223"/>
      <c r="V999" s="223"/>
      <c r="W999" s="223"/>
    </row>
    <row r="1000" spans="1:23" s="175" customFormat="1" ht="13" customHeight="1">
      <c r="A1000" s="166"/>
      <c r="B1000" s="163"/>
      <c r="C1000" s="167" t="str">
        <f>IFERROR(IF(VLOOKUP($B1000,勘定科目!$A:$H,HLOOKUP($E$5,勘定科目!$F$1:$H$2,2,0),0)="","",VLOOKUP($B1000,勘定科目!$A:$E,2,0)),"")</f>
        <v/>
      </c>
      <c r="D1000" s="216" t="str">
        <f>IF(C1000="","",VLOOKUP($B1000,勘定科目!$A:$E,4,0))</f>
        <v/>
      </c>
      <c r="E1000" s="222"/>
      <c r="F1000" s="217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184"/>
      <c r="S1000" s="185"/>
      <c r="T1000" s="186"/>
      <c r="U1000" s="223"/>
      <c r="V1000" s="223"/>
      <c r="W1000" s="223"/>
    </row>
    <row r="1001" spans="1:23" s="175" customFormat="1" ht="13" customHeight="1">
      <c r="A1001" s="166"/>
      <c r="B1001" s="163"/>
      <c r="C1001" s="167" t="str">
        <f>IFERROR(IF(VLOOKUP($B1001,勘定科目!$A:$H,HLOOKUP($E$5,勘定科目!$F$1:$H$2,2,0),0)="","",VLOOKUP($B1001,勘定科目!$A:$E,2,0)),"")</f>
        <v/>
      </c>
      <c r="D1001" s="216" t="str">
        <f>IF(C1001="","",VLOOKUP($B1001,勘定科目!$A:$E,4,0))</f>
        <v/>
      </c>
      <c r="E1001" s="222"/>
      <c r="F1001" s="217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184"/>
      <c r="S1001" s="185"/>
      <c r="T1001" s="186"/>
      <c r="U1001" s="223"/>
      <c r="V1001" s="223"/>
      <c r="W1001" s="223"/>
    </row>
    <row r="1002" spans="1:23" s="175" customFormat="1" ht="13" customHeight="1">
      <c r="A1002" s="166"/>
      <c r="B1002" s="163"/>
      <c r="C1002" s="167" t="str">
        <f>IFERROR(IF(VLOOKUP($B1002,勘定科目!$A:$H,HLOOKUP($E$5,勘定科目!$F$1:$H$2,2,0),0)="","",VLOOKUP($B1002,勘定科目!$A:$E,2,0)),"")</f>
        <v/>
      </c>
      <c r="D1002" s="216" t="str">
        <f>IF(C1002="","",VLOOKUP($B1002,勘定科目!$A:$E,4,0))</f>
        <v/>
      </c>
      <c r="E1002" s="222"/>
      <c r="F1002" s="217"/>
      <c r="G1002" s="218"/>
      <c r="H1002" s="218"/>
      <c r="I1002" s="218"/>
      <c r="J1002" s="218"/>
      <c r="K1002" s="218"/>
      <c r="L1002" s="218"/>
      <c r="M1002" s="218"/>
      <c r="N1002" s="218"/>
      <c r="O1002" s="218"/>
      <c r="P1002" s="218"/>
      <c r="Q1002" s="218"/>
      <c r="R1002" s="184"/>
      <c r="S1002" s="185"/>
      <c r="T1002" s="186"/>
      <c r="U1002" s="223"/>
      <c r="V1002" s="223"/>
      <c r="W1002" s="223"/>
    </row>
    <row r="1003" spans="1:23" s="175" customFormat="1" ht="13" customHeight="1">
      <c r="A1003" s="166"/>
      <c r="B1003" s="163"/>
      <c r="C1003" s="167" t="str">
        <f>IFERROR(IF(VLOOKUP($B1003,勘定科目!$A:$H,HLOOKUP($E$5,勘定科目!$F$1:$H$2,2,0),0)="","",VLOOKUP($B1003,勘定科目!$A:$E,2,0)),"")</f>
        <v/>
      </c>
      <c r="D1003" s="216" t="str">
        <f>IF(C1003="","",VLOOKUP($B1003,勘定科目!$A:$E,4,0))</f>
        <v/>
      </c>
      <c r="E1003" s="222"/>
      <c r="F1003" s="217"/>
      <c r="G1003" s="218"/>
      <c r="H1003" s="218"/>
      <c r="I1003" s="218"/>
      <c r="J1003" s="218"/>
      <c r="K1003" s="218"/>
      <c r="L1003" s="218"/>
      <c r="M1003" s="218"/>
      <c r="N1003" s="218"/>
      <c r="O1003" s="218"/>
      <c r="P1003" s="218"/>
      <c r="Q1003" s="218"/>
      <c r="R1003" s="184"/>
      <c r="S1003" s="185"/>
      <c r="T1003" s="186"/>
      <c r="U1003" s="223"/>
      <c r="V1003" s="223"/>
      <c r="W1003" s="223"/>
    </row>
    <row r="1004" spans="1:23" s="175" customFormat="1" ht="13" customHeight="1">
      <c r="A1004" s="166"/>
      <c r="B1004" s="163"/>
      <c r="C1004" s="167" t="str">
        <f>IFERROR(IF(VLOOKUP($B1004,勘定科目!$A:$H,HLOOKUP($E$5,勘定科目!$F$1:$H$2,2,0),0)="","",VLOOKUP($B1004,勘定科目!$A:$E,2,0)),"")</f>
        <v/>
      </c>
      <c r="D1004" s="216" t="str">
        <f>IF(C1004="","",VLOOKUP($B1004,勘定科目!$A:$E,4,0))</f>
        <v/>
      </c>
      <c r="E1004" s="222"/>
      <c r="F1004" s="217"/>
      <c r="G1004" s="218"/>
      <c r="H1004" s="218"/>
      <c r="I1004" s="218"/>
      <c r="J1004" s="218"/>
      <c r="K1004" s="218"/>
      <c r="L1004" s="218"/>
      <c r="M1004" s="218"/>
      <c r="N1004" s="218"/>
      <c r="O1004" s="218"/>
      <c r="P1004" s="218"/>
      <c r="Q1004" s="218"/>
      <c r="R1004" s="184"/>
      <c r="S1004" s="185"/>
      <c r="T1004" s="186"/>
      <c r="U1004" s="223"/>
      <c r="V1004" s="223"/>
      <c r="W1004" s="223"/>
    </row>
    <row r="1005" spans="1:23" s="175" customFormat="1" ht="13" customHeight="1">
      <c r="A1005" s="166"/>
      <c r="B1005" s="163"/>
      <c r="C1005" s="167" t="str">
        <f>IFERROR(IF(VLOOKUP($B1005,勘定科目!$A:$H,HLOOKUP($E$5,勘定科目!$F$1:$H$2,2,0),0)="","",VLOOKUP($B1005,勘定科目!$A:$E,2,0)),"")</f>
        <v/>
      </c>
      <c r="D1005" s="216" t="str">
        <f>IF(C1005="","",VLOOKUP($B1005,勘定科目!$A:$E,4,0))</f>
        <v/>
      </c>
      <c r="E1005" s="222"/>
      <c r="F1005" s="217"/>
      <c r="G1005" s="218"/>
      <c r="H1005" s="218"/>
      <c r="I1005" s="218"/>
      <c r="J1005" s="218"/>
      <c r="K1005" s="218"/>
      <c r="L1005" s="218"/>
      <c r="M1005" s="218"/>
      <c r="N1005" s="218"/>
      <c r="O1005" s="218"/>
      <c r="P1005" s="218"/>
      <c r="Q1005" s="218"/>
      <c r="R1005" s="184"/>
      <c r="S1005" s="185"/>
      <c r="T1005" s="186"/>
      <c r="U1005" s="223"/>
      <c r="V1005" s="223"/>
      <c r="W1005" s="223"/>
    </row>
    <row r="1006" spans="1:23" s="175" customFormat="1" ht="13" customHeight="1">
      <c r="A1006" s="166"/>
      <c r="B1006" s="163"/>
      <c r="C1006" s="167" t="str">
        <f>IFERROR(IF(VLOOKUP($B1006,勘定科目!$A:$H,HLOOKUP($E$5,勘定科目!$F$1:$H$2,2,0),0)="","",VLOOKUP($B1006,勘定科目!$A:$E,2,0)),"")</f>
        <v/>
      </c>
      <c r="D1006" s="216" t="str">
        <f>IF(C1006="","",VLOOKUP($B1006,勘定科目!$A:$E,4,0))</f>
        <v/>
      </c>
      <c r="E1006" s="222"/>
      <c r="F1006" s="217"/>
      <c r="G1006" s="218"/>
      <c r="H1006" s="218"/>
      <c r="I1006" s="218"/>
      <c r="J1006" s="218"/>
      <c r="K1006" s="218"/>
      <c r="L1006" s="218"/>
      <c r="M1006" s="218"/>
      <c r="N1006" s="218"/>
      <c r="O1006" s="218"/>
      <c r="P1006" s="218"/>
      <c r="Q1006" s="218"/>
      <c r="R1006" s="184"/>
      <c r="S1006" s="185"/>
      <c r="T1006" s="186"/>
      <c r="U1006" s="223"/>
      <c r="V1006" s="223"/>
      <c r="W1006" s="223"/>
    </row>
    <row r="1007" spans="1:23" s="175" customFormat="1" ht="13" customHeight="1">
      <c r="A1007" s="166"/>
      <c r="B1007" s="163"/>
      <c r="C1007" s="167" t="str">
        <f>IFERROR(IF(VLOOKUP($B1007,勘定科目!$A:$H,HLOOKUP($E$5,勘定科目!$F$1:$H$2,2,0),0)="","",VLOOKUP($B1007,勘定科目!$A:$E,2,0)),"")</f>
        <v/>
      </c>
      <c r="D1007" s="216" t="str">
        <f>IF(C1007="","",VLOOKUP($B1007,勘定科目!$A:$E,4,0))</f>
        <v/>
      </c>
      <c r="E1007" s="222"/>
      <c r="F1007" s="217"/>
      <c r="G1007" s="218"/>
      <c r="H1007" s="218"/>
      <c r="I1007" s="218"/>
      <c r="J1007" s="218"/>
      <c r="K1007" s="218"/>
      <c r="L1007" s="218"/>
      <c r="M1007" s="218"/>
      <c r="N1007" s="218"/>
      <c r="O1007" s="218"/>
      <c r="P1007" s="218"/>
      <c r="Q1007" s="218"/>
      <c r="R1007" s="184"/>
      <c r="S1007" s="185"/>
      <c r="T1007" s="186"/>
      <c r="U1007" s="223"/>
      <c r="V1007" s="223"/>
      <c r="W1007" s="223"/>
    </row>
    <row r="1008" spans="1:23" s="175" customFormat="1" ht="13" customHeight="1">
      <c r="A1008" s="166"/>
      <c r="B1008" s="163"/>
      <c r="C1008" s="167" t="str">
        <f>IFERROR(IF(VLOOKUP($B1008,勘定科目!$A:$H,HLOOKUP($E$5,勘定科目!$F$1:$H$2,2,0),0)="","",VLOOKUP($B1008,勘定科目!$A:$E,2,0)),"")</f>
        <v/>
      </c>
      <c r="D1008" s="216" t="str">
        <f>IF(C1008="","",VLOOKUP($B1008,勘定科目!$A:$E,4,0))</f>
        <v/>
      </c>
      <c r="E1008" s="222"/>
      <c r="F1008" s="217"/>
      <c r="G1008" s="218"/>
      <c r="H1008" s="218"/>
      <c r="I1008" s="218"/>
      <c r="J1008" s="218"/>
      <c r="K1008" s="218"/>
      <c r="L1008" s="218"/>
      <c r="M1008" s="218"/>
      <c r="N1008" s="218"/>
      <c r="O1008" s="218"/>
      <c r="P1008" s="218"/>
      <c r="Q1008" s="218"/>
      <c r="R1008" s="184"/>
      <c r="S1008" s="185"/>
      <c r="T1008" s="186"/>
      <c r="U1008" s="223"/>
      <c r="V1008" s="223"/>
      <c r="W1008" s="223"/>
    </row>
    <row r="1009" spans="1:23" s="175" customFormat="1" ht="13" customHeight="1">
      <c r="A1009" s="166"/>
      <c r="B1009" s="163"/>
      <c r="C1009" s="167" t="str">
        <f>IFERROR(IF(VLOOKUP($B1009,勘定科目!$A:$H,HLOOKUP($E$5,勘定科目!$F$1:$H$2,2,0),0)="","",VLOOKUP($B1009,勘定科目!$A:$E,2,0)),"")</f>
        <v/>
      </c>
      <c r="D1009" s="216" t="str">
        <f>IF(C1009="","",VLOOKUP($B1009,勘定科目!$A:$E,4,0))</f>
        <v/>
      </c>
      <c r="E1009" s="222"/>
      <c r="F1009" s="217"/>
      <c r="G1009" s="218"/>
      <c r="H1009" s="218"/>
      <c r="I1009" s="218"/>
      <c r="J1009" s="218"/>
      <c r="K1009" s="218"/>
      <c r="L1009" s="218"/>
      <c r="M1009" s="218"/>
      <c r="N1009" s="218"/>
      <c r="O1009" s="218"/>
      <c r="P1009" s="218"/>
      <c r="Q1009" s="218"/>
      <c r="R1009" s="184"/>
      <c r="S1009" s="185"/>
      <c r="T1009" s="186"/>
      <c r="U1009" s="223"/>
      <c r="V1009" s="223"/>
      <c r="W1009" s="223"/>
    </row>
    <row r="1010" spans="1:23" s="175" customFormat="1" ht="13" customHeight="1">
      <c r="A1010" s="166"/>
      <c r="B1010" s="163"/>
      <c r="C1010" s="167" t="str">
        <f>IFERROR(IF(VLOOKUP($B1010,勘定科目!$A:$H,HLOOKUP($E$5,勘定科目!$F$1:$H$2,2,0),0)="","",VLOOKUP($B1010,勘定科目!$A:$E,2,0)),"")</f>
        <v/>
      </c>
      <c r="D1010" s="216" t="str">
        <f>IF(C1010="","",VLOOKUP($B1010,勘定科目!$A:$E,4,0))</f>
        <v/>
      </c>
      <c r="E1010" s="222"/>
      <c r="F1010" s="217"/>
      <c r="G1010" s="218"/>
      <c r="H1010" s="218"/>
      <c r="I1010" s="218"/>
      <c r="J1010" s="218"/>
      <c r="K1010" s="218"/>
      <c r="L1010" s="218"/>
      <c r="M1010" s="218"/>
      <c r="N1010" s="218"/>
      <c r="O1010" s="218"/>
      <c r="P1010" s="218"/>
      <c r="Q1010" s="218"/>
      <c r="R1010" s="184"/>
      <c r="S1010" s="185"/>
      <c r="T1010" s="186"/>
      <c r="U1010" s="223"/>
      <c r="V1010" s="223"/>
      <c r="W1010" s="223"/>
    </row>
    <row r="1011" spans="1:23" s="175" customFormat="1" ht="13" customHeight="1">
      <c r="A1011" s="166"/>
      <c r="B1011" s="163"/>
      <c r="C1011" s="167" t="str">
        <f>IFERROR(IF(VLOOKUP($B1011,勘定科目!$A:$H,HLOOKUP($E$5,勘定科目!$F$1:$H$2,2,0),0)="","",VLOOKUP($B1011,勘定科目!$A:$E,2,0)),"")</f>
        <v/>
      </c>
      <c r="D1011" s="216" t="str">
        <f>IF(C1011="","",VLOOKUP($B1011,勘定科目!$A:$E,4,0))</f>
        <v/>
      </c>
      <c r="E1011" s="222"/>
      <c r="F1011" s="217"/>
      <c r="G1011" s="218"/>
      <c r="H1011" s="218"/>
      <c r="I1011" s="218"/>
      <c r="J1011" s="218"/>
      <c r="K1011" s="218"/>
      <c r="L1011" s="218"/>
      <c r="M1011" s="218"/>
      <c r="N1011" s="218"/>
      <c r="O1011" s="218"/>
      <c r="P1011" s="218"/>
      <c r="Q1011" s="218"/>
      <c r="R1011" s="184"/>
      <c r="S1011" s="185"/>
      <c r="T1011" s="186"/>
      <c r="U1011" s="223"/>
      <c r="V1011" s="223"/>
      <c r="W1011" s="223"/>
    </row>
    <row r="1012" spans="1:23" s="175" customFormat="1" ht="13" customHeight="1">
      <c r="A1012" s="166"/>
      <c r="B1012" s="163"/>
      <c r="C1012" s="167" t="str">
        <f>IFERROR(IF(VLOOKUP($B1012,勘定科目!$A:$H,HLOOKUP($E$5,勘定科目!$F$1:$H$2,2,0),0)="","",VLOOKUP($B1012,勘定科目!$A:$E,2,0)),"")</f>
        <v/>
      </c>
      <c r="D1012" s="216" t="str">
        <f>IF(C1012="","",VLOOKUP($B1012,勘定科目!$A:$E,4,0))</f>
        <v/>
      </c>
      <c r="E1012" s="222"/>
      <c r="F1012" s="217"/>
      <c r="G1012" s="218"/>
      <c r="H1012" s="218"/>
      <c r="I1012" s="218"/>
      <c r="J1012" s="218"/>
      <c r="K1012" s="218"/>
      <c r="L1012" s="218"/>
      <c r="M1012" s="218"/>
      <c r="N1012" s="218"/>
      <c r="O1012" s="218"/>
      <c r="P1012" s="218"/>
      <c r="Q1012" s="218"/>
      <c r="R1012" s="184"/>
      <c r="S1012" s="185"/>
      <c r="T1012" s="186"/>
      <c r="U1012" s="223"/>
      <c r="V1012" s="223"/>
      <c r="W1012" s="223"/>
    </row>
    <row r="1013" spans="1:23" s="175" customFormat="1" ht="13" customHeight="1">
      <c r="A1013" s="166"/>
      <c r="B1013" s="163"/>
      <c r="C1013" s="167" t="str">
        <f>IFERROR(IF(VLOOKUP($B1013,勘定科目!$A:$H,HLOOKUP($E$5,勘定科目!$F$1:$H$2,2,0),0)="","",VLOOKUP($B1013,勘定科目!$A:$E,2,0)),"")</f>
        <v/>
      </c>
      <c r="D1013" s="216" t="str">
        <f>IF(C1013="","",VLOOKUP($B1013,勘定科目!$A:$E,4,0))</f>
        <v/>
      </c>
      <c r="E1013" s="222"/>
      <c r="F1013" s="217"/>
      <c r="G1013" s="218"/>
      <c r="H1013" s="218"/>
      <c r="I1013" s="218"/>
      <c r="J1013" s="218"/>
      <c r="K1013" s="218"/>
      <c r="L1013" s="218"/>
      <c r="M1013" s="218"/>
      <c r="N1013" s="218"/>
      <c r="O1013" s="218"/>
      <c r="P1013" s="218"/>
      <c r="Q1013" s="218"/>
      <c r="R1013" s="184"/>
      <c r="S1013" s="185"/>
      <c r="T1013" s="186"/>
      <c r="U1013" s="223"/>
      <c r="V1013" s="223"/>
      <c r="W1013" s="223"/>
    </row>
    <row r="1014" spans="1:23" s="175" customFormat="1" ht="13" customHeight="1">
      <c r="A1014" s="166"/>
      <c r="B1014" s="163"/>
      <c r="C1014" s="167" t="str">
        <f>IFERROR(IF(VLOOKUP($B1014,勘定科目!$A:$H,HLOOKUP($E$5,勘定科目!$F$1:$H$2,2,0),0)="","",VLOOKUP($B1014,勘定科目!$A:$E,2,0)),"")</f>
        <v/>
      </c>
      <c r="D1014" s="216" t="str">
        <f>IF(C1014="","",VLOOKUP($B1014,勘定科目!$A:$E,4,0))</f>
        <v/>
      </c>
      <c r="E1014" s="222"/>
      <c r="F1014" s="217"/>
      <c r="G1014" s="218"/>
      <c r="H1014" s="218"/>
      <c r="I1014" s="218"/>
      <c r="J1014" s="218"/>
      <c r="K1014" s="218"/>
      <c r="L1014" s="218"/>
      <c r="M1014" s="218"/>
      <c r="N1014" s="218"/>
      <c r="O1014" s="218"/>
      <c r="P1014" s="218"/>
      <c r="Q1014" s="218"/>
      <c r="R1014" s="184"/>
      <c r="S1014" s="185"/>
      <c r="T1014" s="186"/>
      <c r="U1014" s="223"/>
      <c r="V1014" s="223"/>
      <c r="W1014" s="223"/>
    </row>
    <row r="1015" spans="1:23" s="175" customFormat="1" ht="13" customHeight="1">
      <c r="A1015" s="166"/>
      <c r="B1015" s="163"/>
      <c r="C1015" s="167" t="str">
        <f>IFERROR(IF(VLOOKUP($B1015,勘定科目!$A:$H,HLOOKUP($E$5,勘定科目!$F$1:$H$2,2,0),0)="","",VLOOKUP($B1015,勘定科目!$A:$E,2,0)),"")</f>
        <v/>
      </c>
      <c r="D1015" s="216" t="str">
        <f>IF(C1015="","",VLOOKUP($B1015,勘定科目!$A:$E,4,0))</f>
        <v/>
      </c>
      <c r="E1015" s="222"/>
      <c r="F1015" s="217"/>
      <c r="G1015" s="218"/>
      <c r="H1015" s="218"/>
      <c r="I1015" s="218"/>
      <c r="J1015" s="218"/>
      <c r="K1015" s="218"/>
      <c r="L1015" s="218"/>
      <c r="M1015" s="218"/>
      <c r="N1015" s="218"/>
      <c r="O1015" s="218"/>
      <c r="P1015" s="218"/>
      <c r="Q1015" s="218"/>
      <c r="R1015" s="184"/>
      <c r="S1015" s="185"/>
      <c r="T1015" s="186"/>
      <c r="U1015" s="223"/>
      <c r="V1015" s="223"/>
      <c r="W1015" s="223"/>
    </row>
  </sheetData>
  <autoFilter ref="A7:T814" xr:uid="{00000000-0009-0000-0000-000002000000}"/>
  <conditionalFormatting sqref="F3:Q3">
    <cfRule type="expression" dxfId="0" priority="3">
      <formula>F3&lt;&gt;"OK"</formula>
    </cfRule>
  </conditionalFormatting>
  <dataValidations count="1">
    <dataValidation type="list" allowBlank="1" showInputMessage="1" showErrorMessage="1" sqref="T8:T814" xr:uid="{00000000-0002-0000-0200-000000000000}">
      <formula1>WBS</formula1>
    </dataValidation>
  </dataValidations>
  <pageMargins left="0.75" right="0.75" top="1" bottom="1" header="0.51200000000000001" footer="0.51200000000000001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1796875" style="47" customWidth="1"/>
    <col min="2" max="2" width="12.453125" style="47" customWidth="1"/>
    <col min="3" max="3" width="25.1796875" style="47" customWidth="1"/>
    <col min="4" max="4" width="37.26953125" style="47" customWidth="1"/>
    <col min="5" max="18" width="14.1796875" style="47" customWidth="1"/>
    <col min="19" max="19" width="12.7265625" style="56" customWidth="1"/>
    <col min="20" max="22" width="9" style="47" customWidth="1"/>
    <col min="23" max="16384" width="9" style="47"/>
  </cols>
  <sheetData>
    <row r="1" spans="2:19" ht="16.5" customHeight="1">
      <c r="B1" s="52" t="s">
        <v>119</v>
      </c>
      <c r="D1" s="53" t="e">
        <f>'内訳ﾘｽﾄ(4～3月)'!C5</f>
        <v>#N/A</v>
      </c>
      <c r="E1" s="253" t="s">
        <v>120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S1" s="54"/>
    </row>
    <row r="2" spans="2:19">
      <c r="S2" s="54"/>
    </row>
    <row r="3" spans="2:19" s="263" customFormat="1" ht="26.15" customHeight="1">
      <c r="B3" s="258" t="s">
        <v>121</v>
      </c>
      <c r="C3" s="258" t="s">
        <v>122</v>
      </c>
      <c r="D3" s="259" t="s">
        <v>123</v>
      </c>
      <c r="E3" s="260">
        <v>4</v>
      </c>
      <c r="F3" s="260">
        <v>5</v>
      </c>
      <c r="G3" s="260">
        <v>6</v>
      </c>
      <c r="H3" s="260">
        <v>7</v>
      </c>
      <c r="I3" s="260">
        <v>8</v>
      </c>
      <c r="J3" s="260">
        <v>9</v>
      </c>
      <c r="K3" s="260">
        <v>10</v>
      </c>
      <c r="L3" s="260">
        <v>11</v>
      </c>
      <c r="M3" s="260">
        <v>12</v>
      </c>
      <c r="N3" s="260">
        <v>1</v>
      </c>
      <c r="O3" s="260">
        <v>2</v>
      </c>
      <c r="P3" s="260">
        <v>3</v>
      </c>
      <c r="Q3" s="261" t="s">
        <v>124</v>
      </c>
      <c r="R3" s="264" t="s">
        <v>125</v>
      </c>
      <c r="S3" s="262" t="s">
        <v>98</v>
      </c>
    </row>
    <row r="4" spans="2:19">
      <c r="B4" s="252"/>
      <c r="C4" s="252"/>
      <c r="D4" s="63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7"/>
      <c r="R4" s="257">
        <f t="shared" ref="R4:R50" si="0">SUM(E4:P4)</f>
        <v>0</v>
      </c>
      <c r="S4" s="250"/>
    </row>
    <row r="5" spans="2:19">
      <c r="B5" s="62"/>
      <c r="C5" s="62"/>
      <c r="D5" s="63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7"/>
      <c r="R5" s="257">
        <f t="shared" si="0"/>
        <v>0</v>
      </c>
      <c r="S5" s="250"/>
    </row>
    <row r="6" spans="2:19">
      <c r="B6" s="62"/>
      <c r="C6" s="62"/>
      <c r="D6" s="63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7"/>
      <c r="R6" s="257">
        <f t="shared" si="0"/>
        <v>0</v>
      </c>
      <c r="S6" s="250"/>
    </row>
    <row r="7" spans="2:19" ht="14.15" customHeight="1">
      <c r="B7" s="62"/>
      <c r="C7" s="64"/>
      <c r="D7" s="63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7"/>
      <c r="R7" s="257">
        <f t="shared" si="0"/>
        <v>0</v>
      </c>
      <c r="S7" s="250"/>
    </row>
    <row r="8" spans="2:19">
      <c r="B8" s="62"/>
      <c r="C8" s="65"/>
      <c r="D8" s="62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7"/>
      <c r="R8" s="257">
        <f t="shared" si="0"/>
        <v>0</v>
      </c>
      <c r="S8" s="250"/>
    </row>
    <row r="9" spans="2:19">
      <c r="B9" s="62"/>
      <c r="C9" s="62"/>
      <c r="D9" s="62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7"/>
      <c r="R9" s="257">
        <f t="shared" si="0"/>
        <v>0</v>
      </c>
      <c r="S9" s="250"/>
    </row>
    <row r="10" spans="2:19">
      <c r="B10" s="62"/>
      <c r="C10" s="62"/>
      <c r="D10" s="62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7"/>
      <c r="R10" s="257">
        <f t="shared" si="0"/>
        <v>0</v>
      </c>
      <c r="S10" s="250"/>
    </row>
    <row r="11" spans="2:19">
      <c r="B11" s="62"/>
      <c r="C11" s="62"/>
      <c r="D11" s="62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255"/>
      <c r="Q11" s="257"/>
      <c r="R11" s="257">
        <f t="shared" si="0"/>
        <v>0</v>
      </c>
      <c r="S11" s="250"/>
    </row>
    <row r="12" spans="2:19">
      <c r="B12" s="62"/>
      <c r="C12" s="62"/>
      <c r="D12" s="62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7"/>
      <c r="R12" s="257">
        <f t="shared" si="0"/>
        <v>0</v>
      </c>
      <c r="S12" s="250"/>
    </row>
    <row r="13" spans="2:19">
      <c r="B13" s="62"/>
      <c r="C13" s="62"/>
      <c r="D13" s="62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7"/>
      <c r="R13" s="257">
        <f t="shared" si="0"/>
        <v>0</v>
      </c>
      <c r="S13" s="250"/>
    </row>
    <row r="14" spans="2:19">
      <c r="B14" s="62"/>
      <c r="C14" s="62"/>
      <c r="D14" s="62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7"/>
      <c r="R14" s="257">
        <f t="shared" si="0"/>
        <v>0</v>
      </c>
      <c r="S14" s="250"/>
    </row>
    <row r="15" spans="2:19">
      <c r="B15" s="62"/>
      <c r="C15" s="62"/>
      <c r="D15" s="62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7"/>
      <c r="R15" s="257">
        <f t="shared" si="0"/>
        <v>0</v>
      </c>
      <c r="S15" s="250"/>
    </row>
    <row r="16" spans="2:19">
      <c r="B16" s="62"/>
      <c r="C16" s="62"/>
      <c r="D16" s="62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7"/>
      <c r="R16" s="257">
        <f t="shared" si="0"/>
        <v>0</v>
      </c>
      <c r="S16" s="250"/>
    </row>
    <row r="17" spans="2:19">
      <c r="B17" s="62"/>
      <c r="C17" s="62"/>
      <c r="D17" s="62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7"/>
      <c r="R17" s="257">
        <f t="shared" si="0"/>
        <v>0</v>
      </c>
      <c r="S17" s="250"/>
    </row>
    <row r="18" spans="2:19">
      <c r="B18" s="62"/>
      <c r="C18" s="62"/>
      <c r="D18" s="62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7"/>
      <c r="R18" s="257">
        <f t="shared" si="0"/>
        <v>0</v>
      </c>
      <c r="S18" s="250"/>
    </row>
    <row r="19" spans="2:19">
      <c r="B19" s="62"/>
      <c r="C19" s="62"/>
      <c r="D19" s="62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7"/>
      <c r="R19" s="257">
        <f t="shared" si="0"/>
        <v>0</v>
      </c>
      <c r="S19" s="250"/>
    </row>
    <row r="20" spans="2:19">
      <c r="B20" s="62"/>
      <c r="C20" s="62"/>
      <c r="D20" s="62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7"/>
      <c r="R20" s="257">
        <f t="shared" si="0"/>
        <v>0</v>
      </c>
      <c r="S20" s="250"/>
    </row>
    <row r="21" spans="2:19">
      <c r="B21" s="62"/>
      <c r="C21" s="62"/>
      <c r="D21" s="62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7"/>
      <c r="R21" s="257">
        <f t="shared" si="0"/>
        <v>0</v>
      </c>
      <c r="S21" s="250"/>
    </row>
    <row r="22" spans="2:19">
      <c r="B22" s="62"/>
      <c r="C22" s="62"/>
      <c r="D22" s="62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7"/>
      <c r="R22" s="257">
        <f t="shared" si="0"/>
        <v>0</v>
      </c>
      <c r="S22" s="250"/>
    </row>
    <row r="23" spans="2:19">
      <c r="B23" s="62"/>
      <c r="C23" s="62"/>
      <c r="D23" s="62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7"/>
      <c r="R23" s="257">
        <f t="shared" si="0"/>
        <v>0</v>
      </c>
      <c r="S23" s="250"/>
    </row>
    <row r="24" spans="2:19">
      <c r="B24" s="62"/>
      <c r="C24" s="62"/>
      <c r="D24" s="62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7"/>
      <c r="R24" s="257">
        <f t="shared" si="0"/>
        <v>0</v>
      </c>
      <c r="S24" s="250"/>
    </row>
    <row r="25" spans="2:19">
      <c r="B25" s="62"/>
      <c r="C25" s="62"/>
      <c r="D25" s="62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7"/>
      <c r="R25" s="257">
        <f t="shared" si="0"/>
        <v>0</v>
      </c>
      <c r="S25" s="250"/>
    </row>
    <row r="26" spans="2:19">
      <c r="B26" s="62"/>
      <c r="C26" s="62"/>
      <c r="D26" s="62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7"/>
      <c r="R26" s="257">
        <f t="shared" si="0"/>
        <v>0</v>
      </c>
      <c r="S26" s="250"/>
    </row>
    <row r="27" spans="2:19">
      <c r="B27" s="62"/>
      <c r="C27" s="62"/>
      <c r="D27" s="62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7"/>
      <c r="R27" s="257">
        <f t="shared" si="0"/>
        <v>0</v>
      </c>
      <c r="S27" s="250"/>
    </row>
    <row r="28" spans="2:19">
      <c r="B28" s="62"/>
      <c r="C28" s="62"/>
      <c r="D28" s="62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7"/>
      <c r="R28" s="257">
        <f t="shared" si="0"/>
        <v>0</v>
      </c>
      <c r="S28" s="250"/>
    </row>
    <row r="29" spans="2:19">
      <c r="B29" s="62"/>
      <c r="C29" s="62"/>
      <c r="D29" s="62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7"/>
      <c r="R29" s="257">
        <f t="shared" si="0"/>
        <v>0</v>
      </c>
      <c r="S29" s="250"/>
    </row>
    <row r="30" spans="2:19">
      <c r="B30" s="62"/>
      <c r="C30" s="62"/>
      <c r="D30" s="62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7"/>
      <c r="R30" s="257">
        <f t="shared" si="0"/>
        <v>0</v>
      </c>
      <c r="S30" s="250"/>
    </row>
    <row r="31" spans="2:19">
      <c r="B31" s="62"/>
      <c r="C31" s="62"/>
      <c r="D31" s="62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7"/>
      <c r="R31" s="257">
        <f t="shared" si="0"/>
        <v>0</v>
      </c>
      <c r="S31" s="250"/>
    </row>
    <row r="32" spans="2:19">
      <c r="B32" s="62"/>
      <c r="C32" s="62"/>
      <c r="D32" s="62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7"/>
      <c r="R32" s="257">
        <f t="shared" si="0"/>
        <v>0</v>
      </c>
      <c r="S32" s="250"/>
    </row>
    <row r="33" spans="2:19">
      <c r="B33" s="62"/>
      <c r="C33" s="62"/>
      <c r="D33" s="62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7"/>
      <c r="R33" s="257">
        <f t="shared" si="0"/>
        <v>0</v>
      </c>
      <c r="S33" s="250"/>
    </row>
    <row r="34" spans="2:19">
      <c r="B34" s="62"/>
      <c r="C34" s="62"/>
      <c r="D34" s="62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7"/>
      <c r="R34" s="257">
        <f t="shared" si="0"/>
        <v>0</v>
      </c>
      <c r="S34" s="250"/>
    </row>
    <row r="35" spans="2:19">
      <c r="B35" s="62"/>
      <c r="C35" s="62"/>
      <c r="D35" s="62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7"/>
      <c r="R35" s="257">
        <f t="shared" si="0"/>
        <v>0</v>
      </c>
      <c r="S35" s="250"/>
    </row>
    <row r="36" spans="2:19">
      <c r="B36" s="62"/>
      <c r="C36" s="62"/>
      <c r="D36" s="62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7"/>
      <c r="R36" s="257">
        <f t="shared" si="0"/>
        <v>0</v>
      </c>
      <c r="S36" s="250"/>
    </row>
    <row r="37" spans="2:19">
      <c r="B37" s="62"/>
      <c r="C37" s="62"/>
      <c r="D37" s="62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7"/>
      <c r="R37" s="257">
        <f t="shared" si="0"/>
        <v>0</v>
      </c>
      <c r="S37" s="250"/>
    </row>
    <row r="38" spans="2:19">
      <c r="B38" s="62"/>
      <c r="C38" s="62"/>
      <c r="D38" s="62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7"/>
      <c r="R38" s="257">
        <f t="shared" si="0"/>
        <v>0</v>
      </c>
      <c r="S38" s="250"/>
    </row>
    <row r="39" spans="2:19">
      <c r="B39" s="62"/>
      <c r="C39" s="62"/>
      <c r="D39" s="62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7"/>
      <c r="R39" s="257">
        <f t="shared" si="0"/>
        <v>0</v>
      </c>
      <c r="S39" s="250"/>
    </row>
    <row r="40" spans="2:19">
      <c r="B40" s="62"/>
      <c r="C40" s="62"/>
      <c r="D40" s="62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7"/>
      <c r="R40" s="257">
        <f t="shared" si="0"/>
        <v>0</v>
      </c>
      <c r="S40" s="250"/>
    </row>
    <row r="41" spans="2:19">
      <c r="B41" s="62"/>
      <c r="C41" s="62"/>
      <c r="D41" s="62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7"/>
      <c r="R41" s="257">
        <f t="shared" si="0"/>
        <v>0</v>
      </c>
      <c r="S41" s="250"/>
    </row>
    <row r="42" spans="2:19">
      <c r="B42" s="62"/>
      <c r="C42" s="62"/>
      <c r="D42" s="62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7"/>
      <c r="R42" s="257">
        <f t="shared" si="0"/>
        <v>0</v>
      </c>
      <c r="S42" s="250"/>
    </row>
    <row r="43" spans="2:19">
      <c r="B43" s="62"/>
      <c r="C43" s="62"/>
      <c r="D43" s="62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7"/>
      <c r="R43" s="257">
        <f t="shared" si="0"/>
        <v>0</v>
      </c>
      <c r="S43" s="250"/>
    </row>
    <row r="44" spans="2:19">
      <c r="B44" s="62"/>
      <c r="C44" s="62"/>
      <c r="D44" s="62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7"/>
      <c r="R44" s="257">
        <f t="shared" si="0"/>
        <v>0</v>
      </c>
      <c r="S44" s="250"/>
    </row>
    <row r="45" spans="2:19">
      <c r="B45" s="62"/>
      <c r="C45" s="62"/>
      <c r="D45" s="62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7"/>
      <c r="R45" s="257">
        <f t="shared" si="0"/>
        <v>0</v>
      </c>
      <c r="S45" s="250"/>
    </row>
    <row r="46" spans="2:19">
      <c r="B46" s="62"/>
      <c r="C46" s="62"/>
      <c r="D46" s="62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7"/>
      <c r="R46" s="257">
        <f t="shared" si="0"/>
        <v>0</v>
      </c>
      <c r="S46" s="250"/>
    </row>
    <row r="47" spans="2:19">
      <c r="B47" s="62"/>
      <c r="C47" s="62"/>
      <c r="D47" s="62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7"/>
      <c r="R47" s="257">
        <f t="shared" si="0"/>
        <v>0</v>
      </c>
      <c r="S47" s="250"/>
    </row>
    <row r="48" spans="2:19">
      <c r="B48" s="62"/>
      <c r="C48" s="62"/>
      <c r="D48" s="62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7"/>
      <c r="R48" s="257">
        <f t="shared" si="0"/>
        <v>0</v>
      </c>
      <c r="S48" s="250"/>
    </row>
    <row r="49" spans="2:19">
      <c r="B49" s="62"/>
      <c r="C49" s="62"/>
      <c r="D49" s="62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7"/>
      <c r="R49" s="257">
        <f t="shared" si="0"/>
        <v>0</v>
      </c>
      <c r="S49" s="250"/>
    </row>
    <row r="50" spans="2:19">
      <c r="B50" s="55"/>
      <c r="C50" s="55"/>
      <c r="D50" s="55" t="s">
        <v>126</v>
      </c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>
        <f t="shared" si="0"/>
        <v>0</v>
      </c>
      <c r="S50" s="251"/>
    </row>
    <row r="51" spans="2:19">
      <c r="S51" s="47"/>
    </row>
    <row r="52" spans="2:19">
      <c r="B52" s="88" t="s">
        <v>127</v>
      </c>
    </row>
    <row r="53" spans="2:19">
      <c r="B53" s="47" t="s">
        <v>128</v>
      </c>
    </row>
    <row r="54" spans="2:19">
      <c r="B54" s="47" t="s">
        <v>129</v>
      </c>
    </row>
    <row r="55" spans="2:19">
      <c r="B55" s="47" t="s">
        <v>130</v>
      </c>
    </row>
  </sheetData>
  <autoFilter ref="B3:T55" xr:uid="{00000000-0009-0000-0000-000003000000}"/>
  <dataValidations count="1">
    <dataValidation type="list" allowBlank="1" showInputMessage="1" showErrorMessage="1" sqref="S4:S49" xr:uid="{00000000-0002-0000-0300-000000000000}">
      <formula1>WBS</formula1>
    </dataValidation>
  </dataValidations>
  <pageMargins left="0.75" right="0.75" top="0.37" bottom="0.28000000000000003" header="0.2" footer="0.19"/>
  <pageSetup paperSize="9" scale="8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244"/>
  <sheetViews>
    <sheetView showGridLines="0" zoomScaleNormal="100" workbookViewId="0">
      <pane ySplit="1" topLeftCell="A68" activePane="bottomLeft" state="frozen"/>
      <selection pane="bottomLeft" activeCell="B9" sqref="B9"/>
    </sheetView>
  </sheetViews>
  <sheetFormatPr defaultColWidth="9" defaultRowHeight="14"/>
  <cols>
    <col min="1" max="1" width="15.453125" style="99" bestFit="1" customWidth="1"/>
    <col min="2" max="2" width="34.7265625" bestFit="1" customWidth="1"/>
    <col min="3" max="3" width="32.54296875" style="272" bestFit="1" customWidth="1"/>
    <col min="4" max="4" width="18" bestFit="1" customWidth="1"/>
    <col min="5" max="5" width="32.54296875" style="272" bestFit="1" customWidth="1"/>
    <col min="6" max="6" width="10.26953125" customWidth="1"/>
    <col min="7" max="7" width="9" bestFit="1" customWidth="1"/>
    <col min="8" max="8" width="9" style="99" customWidth="1"/>
    <col min="9" max="9" width="41.26953125" bestFit="1" customWidth="1"/>
    <col min="10" max="10" width="9" customWidth="1"/>
  </cols>
  <sheetData>
    <row r="1" spans="1:9" s="79" customFormat="1" ht="11.5" customHeight="1">
      <c r="A1" s="75" t="s">
        <v>131</v>
      </c>
      <c r="B1" s="76" t="s">
        <v>132</v>
      </c>
      <c r="C1" s="270" t="s">
        <v>133</v>
      </c>
      <c r="D1" s="77" t="s">
        <v>134</v>
      </c>
      <c r="E1" s="273" t="s">
        <v>135</v>
      </c>
      <c r="F1" s="78" t="s">
        <v>136</v>
      </c>
      <c r="G1" s="78" t="s">
        <v>137</v>
      </c>
      <c r="H1" s="78" t="s">
        <v>138</v>
      </c>
      <c r="I1" s="78" t="s">
        <v>139</v>
      </c>
    </row>
    <row r="2" spans="1:9" s="79" customFormat="1" ht="0.75" customHeight="1">
      <c r="A2" s="101"/>
      <c r="B2" s="102"/>
      <c r="C2" s="271"/>
      <c r="D2" s="102"/>
      <c r="E2" s="271"/>
      <c r="F2" s="112">
        <f>COLUMNS($A$2:F2)</f>
        <v>6</v>
      </c>
      <c r="G2" s="112">
        <f>COLUMNS($A$2:G2)</f>
        <v>7</v>
      </c>
      <c r="H2" s="112">
        <f>COLUMNS($A$2:H2)</f>
        <v>8</v>
      </c>
      <c r="I2" s="102"/>
    </row>
    <row r="3" spans="1:9" s="79" customFormat="1">
      <c r="A3" s="99">
        <v>7001065118</v>
      </c>
      <c r="B3" t="s">
        <v>42</v>
      </c>
      <c r="C3" s="272" t="s">
        <v>140</v>
      </c>
      <c r="D3" t="s">
        <v>42</v>
      </c>
      <c r="E3" s="272" t="s">
        <v>141</v>
      </c>
      <c r="F3" s="100" t="s">
        <v>142</v>
      </c>
      <c r="G3" s="100">
        <v>7001065118</v>
      </c>
      <c r="H3" s="100">
        <v>7001065118</v>
      </c>
    </row>
    <row r="4" spans="1:9" s="79" customFormat="1">
      <c r="A4" s="99">
        <v>7001075118</v>
      </c>
      <c r="B4" t="s">
        <v>143</v>
      </c>
      <c r="C4" s="272" t="s">
        <v>140</v>
      </c>
      <c r="D4" t="s">
        <v>42</v>
      </c>
      <c r="E4" s="272" t="s">
        <v>141</v>
      </c>
      <c r="F4" s="100" t="s">
        <v>144</v>
      </c>
      <c r="G4" s="100">
        <v>7001075118</v>
      </c>
      <c r="H4" s="100">
        <v>7001075118</v>
      </c>
    </row>
    <row r="5" spans="1:9" s="79" customFormat="1">
      <c r="A5" s="99" t="s">
        <v>145</v>
      </c>
      <c r="B5" t="s">
        <v>146</v>
      </c>
      <c r="C5" s="272" t="s">
        <v>140</v>
      </c>
      <c r="D5" t="s">
        <v>42</v>
      </c>
      <c r="E5" s="272" t="s">
        <v>141</v>
      </c>
      <c r="F5" s="100"/>
      <c r="G5" s="100"/>
      <c r="H5" s="100"/>
    </row>
    <row r="6" spans="1:9" s="79" customFormat="1">
      <c r="A6" s="99">
        <v>5001016131</v>
      </c>
      <c r="B6" t="s">
        <v>147</v>
      </c>
      <c r="C6" s="272" t="s">
        <v>148</v>
      </c>
      <c r="D6" t="s">
        <v>10</v>
      </c>
      <c r="E6" s="272" t="s">
        <v>149</v>
      </c>
      <c r="F6" s="100" t="s">
        <v>150</v>
      </c>
      <c r="G6" s="100"/>
      <c r="H6" s="100"/>
      <c r="I6" t="s">
        <v>151</v>
      </c>
    </row>
    <row r="7" spans="1:9" s="79" customFormat="1">
      <c r="A7" s="99">
        <v>5001016134</v>
      </c>
      <c r="B7" t="s">
        <v>152</v>
      </c>
      <c r="C7" s="272" t="s">
        <v>148</v>
      </c>
      <c r="D7" t="s">
        <v>10</v>
      </c>
      <c r="E7" s="272" t="s">
        <v>149</v>
      </c>
      <c r="F7" s="100" t="s">
        <v>153</v>
      </c>
      <c r="G7" s="100">
        <v>5001016134</v>
      </c>
      <c r="H7" s="100">
        <v>5001016134</v>
      </c>
      <c r="I7" t="s">
        <v>154</v>
      </c>
    </row>
    <row r="8" spans="1:9" s="79" customFormat="1">
      <c r="A8" s="99">
        <v>5001016135</v>
      </c>
      <c r="B8" t="s">
        <v>155</v>
      </c>
      <c r="C8" s="272" t="s">
        <v>148</v>
      </c>
      <c r="D8" t="s">
        <v>10</v>
      </c>
      <c r="E8" s="272" t="s">
        <v>149</v>
      </c>
      <c r="F8" s="100" t="s">
        <v>156</v>
      </c>
      <c r="G8" s="100">
        <v>5001016135</v>
      </c>
      <c r="H8" s="100">
        <v>5001016135</v>
      </c>
    </row>
    <row r="9" spans="1:9" s="79" customFormat="1">
      <c r="A9" s="99">
        <v>5001016136</v>
      </c>
      <c r="B9" t="s">
        <v>157</v>
      </c>
      <c r="C9" s="272" t="s">
        <v>148</v>
      </c>
      <c r="D9" t="s">
        <v>10</v>
      </c>
      <c r="E9" s="272" t="s">
        <v>149</v>
      </c>
      <c r="F9" s="100" t="s">
        <v>158</v>
      </c>
      <c r="G9" s="100">
        <v>5001016136</v>
      </c>
      <c r="H9" s="100">
        <v>5001016136</v>
      </c>
    </row>
    <row r="10" spans="1:9" s="79" customFormat="1">
      <c r="A10" s="99">
        <v>5001016142</v>
      </c>
      <c r="B10" t="s">
        <v>159</v>
      </c>
      <c r="C10" s="272" t="s">
        <v>148</v>
      </c>
      <c r="D10" t="s">
        <v>12</v>
      </c>
      <c r="E10" s="272" t="s">
        <v>160</v>
      </c>
      <c r="F10" s="100" t="s">
        <v>161</v>
      </c>
      <c r="G10" s="100">
        <v>5001016142</v>
      </c>
      <c r="H10" s="100">
        <v>5001016142</v>
      </c>
    </row>
    <row r="11" spans="1:9" s="79" customFormat="1">
      <c r="A11" s="99">
        <v>5001016149</v>
      </c>
      <c r="B11" t="s">
        <v>162</v>
      </c>
      <c r="C11" s="272" t="s">
        <v>148</v>
      </c>
      <c r="D11" t="s">
        <v>10</v>
      </c>
      <c r="E11" s="272" t="s">
        <v>149</v>
      </c>
      <c r="F11" s="100" t="s">
        <v>163</v>
      </c>
      <c r="G11" s="100">
        <v>5001016149</v>
      </c>
      <c r="H11" s="100">
        <v>5001016149</v>
      </c>
      <c r="I11" t="s">
        <v>164</v>
      </c>
    </row>
    <row r="12" spans="1:9" s="79" customFormat="1">
      <c r="A12" s="99">
        <v>5001016151</v>
      </c>
      <c r="B12" t="s">
        <v>165</v>
      </c>
      <c r="C12" s="272" t="s">
        <v>148</v>
      </c>
      <c r="D12" t="s">
        <v>10</v>
      </c>
      <c r="E12" s="272" t="s">
        <v>149</v>
      </c>
      <c r="F12" s="100" t="s">
        <v>166</v>
      </c>
      <c r="G12" s="100"/>
      <c r="H12" s="100"/>
      <c r="I12" t="s">
        <v>167</v>
      </c>
    </row>
    <row r="13" spans="1:9" s="79" customFormat="1">
      <c r="A13" s="99">
        <v>5004046221</v>
      </c>
      <c r="B13" t="s">
        <v>168</v>
      </c>
      <c r="C13" s="272" t="s">
        <v>169</v>
      </c>
      <c r="D13" t="s">
        <v>33</v>
      </c>
      <c r="E13" s="272" t="s">
        <v>169</v>
      </c>
      <c r="F13" s="100" t="s">
        <v>170</v>
      </c>
      <c r="G13" s="100"/>
      <c r="H13" s="100"/>
    </row>
    <row r="14" spans="1:9" s="79" customFormat="1">
      <c r="A14" s="99">
        <v>5004046371</v>
      </c>
      <c r="B14" t="s">
        <v>171</v>
      </c>
      <c r="C14" s="272" t="s">
        <v>172</v>
      </c>
      <c r="D14" t="s">
        <v>33</v>
      </c>
      <c r="E14" s="272" t="s">
        <v>169</v>
      </c>
      <c r="F14" s="100" t="s">
        <v>173</v>
      </c>
      <c r="G14" s="100"/>
      <c r="H14" s="100"/>
    </row>
    <row r="15" spans="1:9" s="79" customFormat="1">
      <c r="A15" s="99">
        <v>5005016371</v>
      </c>
      <c r="B15" t="s">
        <v>174</v>
      </c>
      <c r="C15" s="272" t="s">
        <v>175</v>
      </c>
      <c r="D15" t="s">
        <v>21</v>
      </c>
      <c r="E15" s="272" t="s">
        <v>176</v>
      </c>
      <c r="F15" s="100" t="s">
        <v>177</v>
      </c>
      <c r="G15" s="100"/>
      <c r="H15" s="100"/>
    </row>
    <row r="16" spans="1:9" s="79" customFormat="1">
      <c r="A16" s="99">
        <v>5005016372</v>
      </c>
      <c r="B16" t="s">
        <v>178</v>
      </c>
      <c r="C16" s="272" t="s">
        <v>175</v>
      </c>
      <c r="D16" t="s">
        <v>21</v>
      </c>
      <c r="E16" s="272" t="s">
        <v>176</v>
      </c>
      <c r="F16" s="100" t="s">
        <v>179</v>
      </c>
      <c r="G16" s="100"/>
      <c r="H16" s="100"/>
    </row>
    <row r="17" spans="1:9" s="79" customFormat="1">
      <c r="A17" s="99">
        <v>5005016373</v>
      </c>
      <c r="B17" t="s">
        <v>180</v>
      </c>
      <c r="C17" s="272" t="s">
        <v>175</v>
      </c>
      <c r="D17" t="s">
        <v>21</v>
      </c>
      <c r="E17" s="272" t="s">
        <v>176</v>
      </c>
      <c r="F17" s="100" t="s">
        <v>181</v>
      </c>
      <c r="G17" s="100"/>
      <c r="H17" s="100"/>
      <c r="I17" t="s">
        <v>167</v>
      </c>
    </row>
    <row r="18" spans="1:9" s="79" customFormat="1">
      <c r="A18" s="99">
        <v>5005026371</v>
      </c>
      <c r="B18" t="s">
        <v>182</v>
      </c>
      <c r="C18" s="272" t="s">
        <v>175</v>
      </c>
      <c r="D18" t="s">
        <v>22</v>
      </c>
      <c r="E18" s="272" t="s">
        <v>183</v>
      </c>
      <c r="F18" s="100" t="s">
        <v>184</v>
      </c>
      <c r="G18" s="100"/>
      <c r="H18" s="100"/>
    </row>
    <row r="19" spans="1:9" s="79" customFormat="1">
      <c r="A19" s="99">
        <v>5005026372</v>
      </c>
      <c r="B19" t="s">
        <v>185</v>
      </c>
      <c r="C19" s="272" t="s">
        <v>175</v>
      </c>
      <c r="D19" t="s">
        <v>23</v>
      </c>
      <c r="E19" s="272" t="s">
        <v>186</v>
      </c>
      <c r="F19" s="100" t="s">
        <v>187</v>
      </c>
      <c r="G19" s="100"/>
      <c r="H19" s="100"/>
    </row>
    <row r="20" spans="1:9" s="79" customFormat="1">
      <c r="A20" s="99">
        <v>5006016241</v>
      </c>
      <c r="B20" t="s">
        <v>188</v>
      </c>
      <c r="C20" s="272" t="s">
        <v>189</v>
      </c>
      <c r="D20" t="s">
        <v>16</v>
      </c>
      <c r="E20" s="272" t="s">
        <v>190</v>
      </c>
      <c r="F20" s="100" t="s">
        <v>191</v>
      </c>
      <c r="G20" s="100"/>
      <c r="H20" s="100"/>
    </row>
    <row r="21" spans="1:9" s="79" customFormat="1">
      <c r="A21" s="99">
        <v>5006016242</v>
      </c>
      <c r="B21" t="s">
        <v>192</v>
      </c>
      <c r="C21" s="272" t="s">
        <v>189</v>
      </c>
      <c r="D21" t="s">
        <v>16</v>
      </c>
      <c r="E21" s="272" t="s">
        <v>190</v>
      </c>
      <c r="F21" s="100" t="s">
        <v>193</v>
      </c>
      <c r="G21" s="100"/>
      <c r="H21" s="100"/>
    </row>
    <row r="22" spans="1:9" s="79" customFormat="1">
      <c r="A22" s="99">
        <v>5006016243</v>
      </c>
      <c r="B22" t="s">
        <v>194</v>
      </c>
      <c r="C22" s="272" t="s">
        <v>189</v>
      </c>
      <c r="D22" t="s">
        <v>16</v>
      </c>
      <c r="E22" s="272" t="s">
        <v>190</v>
      </c>
      <c r="F22" s="100" t="s">
        <v>195</v>
      </c>
      <c r="G22" s="100"/>
      <c r="H22" s="100"/>
    </row>
    <row r="23" spans="1:9" s="79" customFormat="1">
      <c r="A23" s="99">
        <v>5006016244</v>
      </c>
      <c r="B23" t="s">
        <v>196</v>
      </c>
      <c r="C23" s="272" t="s">
        <v>189</v>
      </c>
      <c r="D23" t="s">
        <v>16</v>
      </c>
      <c r="E23" s="272" t="s">
        <v>190</v>
      </c>
      <c r="F23" s="100" t="s">
        <v>197</v>
      </c>
      <c r="G23" s="100"/>
      <c r="H23" s="100"/>
    </row>
    <row r="24" spans="1:9" s="79" customFormat="1">
      <c r="A24" s="99">
        <v>5006016245</v>
      </c>
      <c r="B24" t="s">
        <v>198</v>
      </c>
      <c r="C24" s="272" t="s">
        <v>189</v>
      </c>
      <c r="D24" t="s">
        <v>16</v>
      </c>
      <c r="E24" s="272" t="s">
        <v>190</v>
      </c>
      <c r="F24" s="100" t="s">
        <v>199</v>
      </c>
      <c r="G24" s="100"/>
      <c r="H24" s="100"/>
    </row>
    <row r="25" spans="1:9" s="79" customFormat="1">
      <c r="A25" s="99">
        <v>5005036246</v>
      </c>
      <c r="B25" t="s">
        <v>200</v>
      </c>
      <c r="C25" s="272" t="s">
        <v>189</v>
      </c>
      <c r="D25" t="s">
        <v>17</v>
      </c>
      <c r="E25" s="272" t="s">
        <v>201</v>
      </c>
      <c r="F25" s="100" t="s">
        <v>202</v>
      </c>
      <c r="G25" s="100"/>
      <c r="H25" s="100"/>
    </row>
    <row r="26" spans="1:9" s="79" customFormat="1">
      <c r="A26" s="99">
        <v>5006016247</v>
      </c>
      <c r="B26" t="s">
        <v>203</v>
      </c>
      <c r="C26" s="272" t="s">
        <v>189</v>
      </c>
      <c r="D26" t="s">
        <v>16</v>
      </c>
      <c r="E26" s="272" t="s">
        <v>190</v>
      </c>
      <c r="F26" s="100" t="s">
        <v>204</v>
      </c>
      <c r="G26" s="100"/>
      <c r="H26" s="100"/>
    </row>
    <row r="27" spans="1:9" s="79" customFormat="1">
      <c r="A27" s="99">
        <v>5006016248</v>
      </c>
      <c r="B27" t="s">
        <v>205</v>
      </c>
      <c r="C27" s="272" t="s">
        <v>189</v>
      </c>
      <c r="D27" t="s">
        <v>16</v>
      </c>
      <c r="E27" s="272" t="s">
        <v>190</v>
      </c>
      <c r="F27" s="100" t="s">
        <v>206</v>
      </c>
      <c r="G27" s="100"/>
      <c r="H27" s="100"/>
    </row>
    <row r="28" spans="1:9" s="79" customFormat="1">
      <c r="A28" s="99">
        <v>5006016249</v>
      </c>
      <c r="B28" t="s">
        <v>207</v>
      </c>
      <c r="C28" s="272" t="s">
        <v>189</v>
      </c>
      <c r="D28" t="s">
        <v>16</v>
      </c>
      <c r="E28" s="272" t="s">
        <v>190</v>
      </c>
      <c r="F28" s="100" t="s">
        <v>208</v>
      </c>
      <c r="G28" s="100"/>
      <c r="H28" s="100"/>
    </row>
    <row r="29" spans="1:9" s="79" customFormat="1">
      <c r="A29" s="99">
        <v>5006016250</v>
      </c>
      <c r="B29" t="s">
        <v>209</v>
      </c>
      <c r="C29" s="272" t="s">
        <v>189</v>
      </c>
      <c r="D29" t="s">
        <v>16</v>
      </c>
      <c r="E29" s="272" t="s">
        <v>190</v>
      </c>
      <c r="F29" s="100" t="s">
        <v>210</v>
      </c>
      <c r="G29" s="100"/>
      <c r="H29" s="100"/>
    </row>
    <row r="30" spans="1:9" s="79" customFormat="1">
      <c r="A30" s="99">
        <v>5006016251</v>
      </c>
      <c r="B30" t="s">
        <v>211</v>
      </c>
      <c r="C30" s="272" t="s">
        <v>189</v>
      </c>
      <c r="D30" t="s">
        <v>16</v>
      </c>
      <c r="E30" s="272" t="s">
        <v>190</v>
      </c>
      <c r="F30" s="100" t="s">
        <v>212</v>
      </c>
      <c r="G30" s="100"/>
      <c r="H30" s="100"/>
    </row>
    <row r="31" spans="1:9" s="79" customFormat="1">
      <c r="A31" s="99">
        <v>5006016252</v>
      </c>
      <c r="B31" t="s">
        <v>213</v>
      </c>
      <c r="C31" s="272" t="s">
        <v>189</v>
      </c>
      <c r="D31" t="s">
        <v>16</v>
      </c>
      <c r="E31" s="272" t="s">
        <v>190</v>
      </c>
      <c r="F31" s="100" t="s">
        <v>214</v>
      </c>
      <c r="G31" s="100"/>
      <c r="H31" s="100"/>
    </row>
    <row r="32" spans="1:9" s="79" customFormat="1">
      <c r="A32" s="99">
        <v>5006016253</v>
      </c>
      <c r="B32" t="s">
        <v>215</v>
      </c>
      <c r="C32" s="272" t="s">
        <v>189</v>
      </c>
      <c r="D32" t="s">
        <v>16</v>
      </c>
      <c r="E32" s="272" t="s">
        <v>190</v>
      </c>
      <c r="F32" s="100" t="s">
        <v>216</v>
      </c>
      <c r="G32" s="100"/>
      <c r="H32" s="100"/>
    </row>
    <row r="33" spans="1:9" s="79" customFormat="1">
      <c r="A33" s="99">
        <v>5006016254</v>
      </c>
      <c r="B33" t="s">
        <v>217</v>
      </c>
      <c r="C33" s="272" t="s">
        <v>189</v>
      </c>
      <c r="D33" t="s">
        <v>16</v>
      </c>
      <c r="E33" s="272" t="s">
        <v>190</v>
      </c>
      <c r="F33" s="100" t="s">
        <v>218</v>
      </c>
      <c r="G33" s="100"/>
      <c r="H33" s="100"/>
    </row>
    <row r="34" spans="1:9" s="79" customFormat="1">
      <c r="A34" s="99">
        <v>5006016255</v>
      </c>
      <c r="B34" t="s">
        <v>219</v>
      </c>
      <c r="C34" s="272" t="s">
        <v>189</v>
      </c>
      <c r="D34" t="s">
        <v>16</v>
      </c>
      <c r="E34" s="272" t="s">
        <v>190</v>
      </c>
      <c r="F34" s="100" t="s">
        <v>220</v>
      </c>
      <c r="G34" s="100"/>
      <c r="H34" s="100"/>
    </row>
    <row r="35" spans="1:9" s="79" customFormat="1">
      <c r="A35" s="99">
        <v>5006016256</v>
      </c>
      <c r="B35" t="s">
        <v>221</v>
      </c>
      <c r="C35" s="272" t="s">
        <v>189</v>
      </c>
      <c r="D35" t="s">
        <v>16</v>
      </c>
      <c r="E35" s="272" t="s">
        <v>190</v>
      </c>
      <c r="F35" s="100" t="s">
        <v>222</v>
      </c>
      <c r="G35" s="100"/>
      <c r="H35" s="100"/>
    </row>
    <row r="36" spans="1:9" s="79" customFormat="1">
      <c r="A36" s="99">
        <v>5006016257</v>
      </c>
      <c r="B36" t="s">
        <v>223</v>
      </c>
      <c r="C36" s="272" t="s">
        <v>189</v>
      </c>
      <c r="D36" t="s">
        <v>16</v>
      </c>
      <c r="E36" s="272" t="s">
        <v>190</v>
      </c>
      <c r="F36" s="100" t="s">
        <v>224</v>
      </c>
      <c r="G36" s="100"/>
      <c r="H36" s="100"/>
    </row>
    <row r="37" spans="1:9" s="79" customFormat="1">
      <c r="A37" s="99">
        <v>5006016258</v>
      </c>
      <c r="B37" t="s">
        <v>225</v>
      </c>
      <c r="C37" s="272" t="s">
        <v>189</v>
      </c>
      <c r="D37" t="s">
        <v>16</v>
      </c>
      <c r="E37" s="272" t="s">
        <v>190</v>
      </c>
      <c r="F37" s="100" t="s">
        <v>226</v>
      </c>
      <c r="G37" s="100"/>
      <c r="H37" s="100"/>
    </row>
    <row r="38" spans="1:9" s="79" customFormat="1">
      <c r="A38" s="99">
        <v>5006016259</v>
      </c>
      <c r="B38" t="s">
        <v>227</v>
      </c>
      <c r="C38" s="272" t="s">
        <v>189</v>
      </c>
      <c r="D38" t="s">
        <v>16</v>
      </c>
      <c r="E38" s="272" t="s">
        <v>190</v>
      </c>
      <c r="F38" s="100" t="s">
        <v>228</v>
      </c>
      <c r="G38" s="100"/>
      <c r="H38" s="100"/>
    </row>
    <row r="39" spans="1:9" s="79" customFormat="1">
      <c r="A39" s="99">
        <v>5006016260</v>
      </c>
      <c r="B39" t="s">
        <v>229</v>
      </c>
      <c r="C39" s="272" t="s">
        <v>189</v>
      </c>
      <c r="D39" t="s">
        <v>16</v>
      </c>
      <c r="E39" s="272" t="s">
        <v>190</v>
      </c>
      <c r="F39" s="100" t="s">
        <v>230</v>
      </c>
      <c r="G39" s="100"/>
      <c r="H39" s="100"/>
    </row>
    <row r="40" spans="1:9" s="79" customFormat="1">
      <c r="A40" s="99">
        <v>5006016261</v>
      </c>
      <c r="B40" t="s">
        <v>231</v>
      </c>
      <c r="C40" s="272" t="s">
        <v>189</v>
      </c>
      <c r="D40" t="s">
        <v>16</v>
      </c>
      <c r="E40" s="272" t="s">
        <v>190</v>
      </c>
      <c r="F40" s="100" t="s">
        <v>232</v>
      </c>
      <c r="G40" s="100"/>
      <c r="H40" s="100"/>
    </row>
    <row r="41" spans="1:9" s="79" customFormat="1">
      <c r="A41" s="99">
        <v>5004096281</v>
      </c>
      <c r="B41" t="s">
        <v>233</v>
      </c>
      <c r="C41" s="272" t="s">
        <v>234</v>
      </c>
      <c r="D41" t="s">
        <v>41</v>
      </c>
      <c r="E41" s="272" t="s">
        <v>235</v>
      </c>
      <c r="F41" s="100" t="s">
        <v>236</v>
      </c>
      <c r="G41" s="100"/>
      <c r="H41" s="100"/>
    </row>
    <row r="42" spans="1:9" s="79" customFormat="1">
      <c r="A42" s="99">
        <v>5005046281</v>
      </c>
      <c r="B42" t="s">
        <v>237</v>
      </c>
      <c r="C42" s="272" t="s">
        <v>234</v>
      </c>
      <c r="D42" t="s">
        <v>27</v>
      </c>
      <c r="E42" s="272" t="s">
        <v>238</v>
      </c>
      <c r="F42" s="100" t="s">
        <v>239</v>
      </c>
      <c r="G42" s="100"/>
      <c r="H42" s="100"/>
    </row>
    <row r="43" spans="1:9" s="79" customFormat="1">
      <c r="A43" s="99">
        <v>5005046282</v>
      </c>
      <c r="B43" t="s">
        <v>240</v>
      </c>
      <c r="C43" s="272" t="s">
        <v>234</v>
      </c>
      <c r="D43" t="s">
        <v>27</v>
      </c>
      <c r="E43" s="272" t="s">
        <v>238</v>
      </c>
      <c r="F43" s="100" t="s">
        <v>241</v>
      </c>
      <c r="G43" s="100"/>
      <c r="H43" s="100"/>
    </row>
    <row r="44" spans="1:9" s="79" customFormat="1">
      <c r="A44" s="99">
        <v>5005046283</v>
      </c>
      <c r="B44" t="s">
        <v>242</v>
      </c>
      <c r="C44" s="272" t="s">
        <v>234</v>
      </c>
      <c r="D44" t="s">
        <v>27</v>
      </c>
      <c r="E44" s="272" t="s">
        <v>238</v>
      </c>
      <c r="F44" s="100" t="s">
        <v>243</v>
      </c>
      <c r="G44" s="100"/>
      <c r="H44" s="100"/>
    </row>
    <row r="45" spans="1:9" s="79" customFormat="1">
      <c r="A45" s="99">
        <v>5005046284</v>
      </c>
      <c r="B45" t="s">
        <v>244</v>
      </c>
      <c r="C45" s="272" t="s">
        <v>234</v>
      </c>
      <c r="D45" t="s">
        <v>27</v>
      </c>
      <c r="E45" s="272" t="s">
        <v>238</v>
      </c>
      <c r="F45" s="100" t="s">
        <v>245</v>
      </c>
      <c r="G45" s="100"/>
      <c r="H45" s="100"/>
      <c r="I45" t="s">
        <v>167</v>
      </c>
    </row>
    <row r="46" spans="1:9" s="79" customFormat="1">
      <c r="A46" s="99">
        <v>5005066281</v>
      </c>
      <c r="B46" t="s">
        <v>246</v>
      </c>
      <c r="C46" s="272" t="s">
        <v>234</v>
      </c>
      <c r="D46" t="s">
        <v>26</v>
      </c>
      <c r="E46" s="272" t="s">
        <v>247</v>
      </c>
      <c r="F46" s="100" t="s">
        <v>248</v>
      </c>
      <c r="G46" s="100"/>
      <c r="H46" s="100"/>
    </row>
    <row r="47" spans="1:9" s="79" customFormat="1">
      <c r="A47" s="99">
        <v>5005066282</v>
      </c>
      <c r="B47" t="s">
        <v>249</v>
      </c>
      <c r="C47" s="272" t="s">
        <v>234</v>
      </c>
      <c r="D47" t="s">
        <v>26</v>
      </c>
      <c r="E47" s="272" t="s">
        <v>247</v>
      </c>
      <c r="F47" s="100" t="s">
        <v>250</v>
      </c>
      <c r="G47" s="100"/>
      <c r="H47" s="100"/>
    </row>
    <row r="48" spans="1:9" s="79" customFormat="1">
      <c r="A48" s="99">
        <v>5005056281</v>
      </c>
      <c r="B48" t="s">
        <v>251</v>
      </c>
      <c r="C48" s="272" t="s">
        <v>234</v>
      </c>
      <c r="D48" t="s">
        <v>26</v>
      </c>
      <c r="E48" s="272" t="s">
        <v>247</v>
      </c>
      <c r="F48" s="100" t="s">
        <v>252</v>
      </c>
      <c r="G48" s="100"/>
      <c r="H48" s="100"/>
    </row>
    <row r="49" spans="1:9" s="79" customFormat="1">
      <c r="A49" s="99">
        <v>5005076281</v>
      </c>
      <c r="B49" t="s">
        <v>253</v>
      </c>
      <c r="C49" s="272" t="s">
        <v>234</v>
      </c>
      <c r="D49" t="s">
        <v>28</v>
      </c>
      <c r="E49" s="272" t="s">
        <v>254</v>
      </c>
      <c r="F49" s="100" t="s">
        <v>255</v>
      </c>
      <c r="G49" s="100"/>
      <c r="H49" s="100"/>
    </row>
    <row r="50" spans="1:9" s="79" customFormat="1">
      <c r="A50" s="99">
        <v>5005076282</v>
      </c>
      <c r="B50" t="s">
        <v>256</v>
      </c>
      <c r="C50" s="272" t="s">
        <v>234</v>
      </c>
      <c r="D50" t="s">
        <v>28</v>
      </c>
      <c r="E50" s="272" t="s">
        <v>254</v>
      </c>
      <c r="F50" s="100" t="s">
        <v>257</v>
      </c>
      <c r="G50" s="100"/>
      <c r="H50" s="100"/>
    </row>
    <row r="51" spans="1:9" s="79" customFormat="1">
      <c r="A51" s="99">
        <v>5005076283</v>
      </c>
      <c r="B51" t="s">
        <v>258</v>
      </c>
      <c r="C51" s="272" t="s">
        <v>234</v>
      </c>
      <c r="D51" t="s">
        <v>28</v>
      </c>
      <c r="E51" s="272" t="s">
        <v>254</v>
      </c>
      <c r="F51" s="100" t="s">
        <v>259</v>
      </c>
      <c r="G51" s="100"/>
      <c r="H51" s="100"/>
    </row>
    <row r="52" spans="1:9" s="79" customFormat="1">
      <c r="A52" s="99">
        <v>5005076284</v>
      </c>
      <c r="B52" t="s">
        <v>260</v>
      </c>
      <c r="C52" s="272" t="s">
        <v>234</v>
      </c>
      <c r="D52" t="s">
        <v>28</v>
      </c>
      <c r="E52" s="272" t="s">
        <v>254</v>
      </c>
      <c r="F52" s="100" t="s">
        <v>261</v>
      </c>
      <c r="G52" s="100"/>
      <c r="H52" s="100"/>
    </row>
    <row r="53" spans="1:9" s="79" customFormat="1">
      <c r="A53" s="99">
        <v>5005076285</v>
      </c>
      <c r="B53" t="s">
        <v>262</v>
      </c>
      <c r="C53" s="272" t="s">
        <v>234</v>
      </c>
      <c r="D53" t="s">
        <v>28</v>
      </c>
      <c r="E53" s="272" t="s">
        <v>254</v>
      </c>
      <c r="F53" s="100" t="s">
        <v>263</v>
      </c>
      <c r="G53" s="100"/>
      <c r="H53" s="100"/>
    </row>
    <row r="54" spans="1:9" s="79" customFormat="1">
      <c r="A54" s="99">
        <v>5005076286</v>
      </c>
      <c r="B54" t="s">
        <v>264</v>
      </c>
      <c r="C54" s="272" t="s">
        <v>234</v>
      </c>
      <c r="D54" t="s">
        <v>28</v>
      </c>
      <c r="E54" s="272" t="s">
        <v>254</v>
      </c>
      <c r="F54" s="100" t="s">
        <v>265</v>
      </c>
      <c r="G54" s="100"/>
      <c r="H54" s="100"/>
    </row>
    <row r="55" spans="1:9" s="79" customFormat="1">
      <c r="A55" s="99">
        <v>5005076287</v>
      </c>
      <c r="B55" t="s">
        <v>266</v>
      </c>
      <c r="C55" s="272" t="s">
        <v>234</v>
      </c>
      <c r="D55" t="s">
        <v>28</v>
      </c>
      <c r="E55" s="272" t="s">
        <v>254</v>
      </c>
      <c r="F55" s="100" t="s">
        <v>267</v>
      </c>
      <c r="G55" s="100"/>
      <c r="H55" s="100"/>
    </row>
    <row r="56" spans="1:9" s="79" customFormat="1">
      <c r="A56" s="99">
        <v>5005076288</v>
      </c>
      <c r="B56" t="s">
        <v>268</v>
      </c>
      <c r="C56" s="272" t="s">
        <v>234</v>
      </c>
      <c r="D56" t="s">
        <v>29</v>
      </c>
      <c r="E56" s="272" t="s">
        <v>269</v>
      </c>
      <c r="F56" s="100" t="s">
        <v>270</v>
      </c>
      <c r="G56" s="100"/>
      <c r="H56" s="100"/>
    </row>
    <row r="57" spans="1:9" s="79" customFormat="1">
      <c r="A57" s="99">
        <v>5005076289</v>
      </c>
      <c r="B57" t="s">
        <v>271</v>
      </c>
      <c r="C57" s="272" t="s">
        <v>234</v>
      </c>
      <c r="D57" t="s">
        <v>28</v>
      </c>
      <c r="E57" s="272" t="s">
        <v>254</v>
      </c>
      <c r="F57" s="100" t="s">
        <v>272</v>
      </c>
      <c r="G57" s="100"/>
      <c r="H57" s="100"/>
    </row>
    <row r="58" spans="1:9" s="79" customFormat="1">
      <c r="A58" s="99">
        <v>5005076291</v>
      </c>
      <c r="B58" t="s">
        <v>273</v>
      </c>
      <c r="C58" s="272" t="s">
        <v>234</v>
      </c>
      <c r="D58" t="s">
        <v>28</v>
      </c>
      <c r="E58" s="272" t="s">
        <v>254</v>
      </c>
      <c r="F58" s="100" t="s">
        <v>274</v>
      </c>
      <c r="G58" s="100"/>
      <c r="H58" s="100"/>
      <c r="I58" t="s">
        <v>167</v>
      </c>
    </row>
    <row r="59" spans="1:9" s="79" customFormat="1">
      <c r="A59" s="99">
        <v>5005076292</v>
      </c>
      <c r="B59" t="s">
        <v>275</v>
      </c>
      <c r="C59" s="272" t="s">
        <v>234</v>
      </c>
      <c r="D59" t="s">
        <v>28</v>
      </c>
      <c r="E59" s="272" t="s">
        <v>254</v>
      </c>
      <c r="F59" s="100" t="s">
        <v>276</v>
      </c>
      <c r="G59" s="100"/>
      <c r="H59" s="100"/>
      <c r="I59" t="s">
        <v>167</v>
      </c>
    </row>
    <row r="60" spans="1:9" s="79" customFormat="1">
      <c r="A60" s="99">
        <v>5005076293</v>
      </c>
      <c r="B60" t="s">
        <v>277</v>
      </c>
      <c r="C60" s="272" t="s">
        <v>234</v>
      </c>
      <c r="D60" t="s">
        <v>28</v>
      </c>
      <c r="E60" s="272" t="s">
        <v>254</v>
      </c>
      <c r="F60" s="100" t="s">
        <v>278</v>
      </c>
      <c r="G60" s="100"/>
      <c r="H60" s="100"/>
      <c r="I60" t="s">
        <v>167</v>
      </c>
    </row>
    <row r="61" spans="1:9" s="79" customFormat="1">
      <c r="A61" s="99">
        <v>5005076294</v>
      </c>
      <c r="B61" t="s">
        <v>279</v>
      </c>
      <c r="C61" s="272" t="s">
        <v>234</v>
      </c>
      <c r="D61" t="s">
        <v>28</v>
      </c>
      <c r="E61" s="272" t="s">
        <v>254</v>
      </c>
      <c r="F61" s="100" t="s">
        <v>280</v>
      </c>
      <c r="G61" s="100"/>
      <c r="H61" s="100"/>
      <c r="I61" t="s">
        <v>167</v>
      </c>
    </row>
    <row r="62" spans="1:9" s="79" customFormat="1">
      <c r="A62" s="99">
        <v>5005086281</v>
      </c>
      <c r="B62" t="s">
        <v>281</v>
      </c>
      <c r="C62" s="272" t="s">
        <v>234</v>
      </c>
      <c r="D62" t="s">
        <v>31</v>
      </c>
      <c r="E62" s="272" t="s">
        <v>282</v>
      </c>
      <c r="F62" s="100" t="s">
        <v>283</v>
      </c>
      <c r="G62" s="100"/>
      <c r="H62" s="100"/>
    </row>
    <row r="63" spans="1:9" s="79" customFormat="1">
      <c r="A63" s="99">
        <v>5005136281</v>
      </c>
      <c r="B63" t="s">
        <v>284</v>
      </c>
      <c r="C63" s="272" t="s">
        <v>234</v>
      </c>
      <c r="D63" t="s">
        <v>37</v>
      </c>
      <c r="E63" s="272" t="s">
        <v>285</v>
      </c>
      <c r="F63" s="100" t="s">
        <v>286</v>
      </c>
      <c r="G63" s="100"/>
      <c r="H63" s="100"/>
    </row>
    <row r="64" spans="1:9" s="79" customFormat="1">
      <c r="A64" s="99">
        <v>5005246281</v>
      </c>
      <c r="B64" t="s">
        <v>287</v>
      </c>
      <c r="C64" s="272" t="s">
        <v>234</v>
      </c>
      <c r="D64" t="s">
        <v>38</v>
      </c>
      <c r="E64" s="272" t="s">
        <v>288</v>
      </c>
      <c r="F64" s="100" t="s">
        <v>289</v>
      </c>
      <c r="G64" s="100"/>
      <c r="H64" s="100"/>
    </row>
    <row r="65" spans="1:8" s="79" customFormat="1">
      <c r="A65" s="99">
        <v>5005246282</v>
      </c>
      <c r="B65" t="s">
        <v>290</v>
      </c>
      <c r="C65" s="272" t="s">
        <v>234</v>
      </c>
      <c r="D65" t="s">
        <v>38</v>
      </c>
      <c r="E65" s="272" t="s">
        <v>288</v>
      </c>
      <c r="F65" s="100" t="s">
        <v>291</v>
      </c>
      <c r="G65" s="100"/>
      <c r="H65" s="100"/>
    </row>
    <row r="66" spans="1:8" s="79" customFormat="1">
      <c r="A66" s="99">
        <v>5005246283</v>
      </c>
      <c r="B66" t="s">
        <v>292</v>
      </c>
      <c r="C66" s="272" t="s">
        <v>234</v>
      </c>
      <c r="D66" t="s">
        <v>38</v>
      </c>
      <c r="E66" s="272" t="s">
        <v>288</v>
      </c>
      <c r="F66" s="100" t="s">
        <v>293</v>
      </c>
      <c r="G66" s="100"/>
      <c r="H66" s="100"/>
    </row>
    <row r="67" spans="1:8" s="79" customFormat="1">
      <c r="A67" s="99">
        <v>5005246284</v>
      </c>
      <c r="B67" t="s">
        <v>294</v>
      </c>
      <c r="C67" s="272" t="s">
        <v>234</v>
      </c>
      <c r="D67" t="s">
        <v>39</v>
      </c>
      <c r="E67" s="272" t="s">
        <v>295</v>
      </c>
      <c r="F67" s="100" t="s">
        <v>296</v>
      </c>
      <c r="G67" s="100"/>
      <c r="H67" s="100"/>
    </row>
    <row r="68" spans="1:8" s="79" customFormat="1">
      <c r="A68" s="99">
        <v>5005216281</v>
      </c>
      <c r="B68" t="s">
        <v>297</v>
      </c>
      <c r="C68" s="272" t="s">
        <v>234</v>
      </c>
      <c r="D68" t="s">
        <v>36</v>
      </c>
      <c r="E68" s="272" t="s">
        <v>298</v>
      </c>
      <c r="F68" s="100" t="s">
        <v>299</v>
      </c>
      <c r="G68" s="100"/>
      <c r="H68" s="100"/>
    </row>
    <row r="69" spans="1:8" s="79" customFormat="1">
      <c r="A69" s="99">
        <v>5005226281</v>
      </c>
      <c r="B69" t="s">
        <v>300</v>
      </c>
      <c r="C69" s="272" t="s">
        <v>234</v>
      </c>
      <c r="D69" t="s">
        <v>19</v>
      </c>
      <c r="E69" s="272" t="s">
        <v>301</v>
      </c>
      <c r="F69" s="100" t="s">
        <v>302</v>
      </c>
      <c r="G69" s="100"/>
      <c r="H69" s="100"/>
    </row>
    <row r="70" spans="1:8" s="79" customFormat="1">
      <c r="A70" s="99">
        <v>5005236281</v>
      </c>
      <c r="B70" t="s">
        <v>303</v>
      </c>
      <c r="C70" s="272" t="s">
        <v>234</v>
      </c>
      <c r="D70" t="s">
        <v>18</v>
      </c>
      <c r="E70" s="272" t="s">
        <v>304</v>
      </c>
      <c r="F70" s="100" t="s">
        <v>305</v>
      </c>
      <c r="G70" s="100"/>
      <c r="H70" s="100"/>
    </row>
    <row r="71" spans="1:8" s="79" customFormat="1">
      <c r="A71" s="99">
        <v>5005236282</v>
      </c>
      <c r="B71" t="s">
        <v>306</v>
      </c>
      <c r="C71" s="272" t="s">
        <v>234</v>
      </c>
      <c r="D71" t="s">
        <v>18</v>
      </c>
      <c r="E71" s="272" t="s">
        <v>304</v>
      </c>
      <c r="F71" s="100" t="s">
        <v>307</v>
      </c>
      <c r="G71" s="100"/>
      <c r="H71" s="100"/>
    </row>
    <row r="72" spans="1:8" s="79" customFormat="1">
      <c r="A72" s="99">
        <v>5005246285</v>
      </c>
      <c r="B72" t="s">
        <v>308</v>
      </c>
      <c r="C72" s="272" t="s">
        <v>234</v>
      </c>
      <c r="D72" t="s">
        <v>35</v>
      </c>
      <c r="E72" s="272" t="s">
        <v>309</v>
      </c>
      <c r="F72" s="100" t="s">
        <v>310</v>
      </c>
      <c r="G72" s="100"/>
      <c r="H72" s="100"/>
    </row>
    <row r="73" spans="1:8" s="79" customFormat="1">
      <c r="A73" s="99">
        <v>5005246286</v>
      </c>
      <c r="B73" t="s">
        <v>311</v>
      </c>
      <c r="C73" s="272" t="s">
        <v>234</v>
      </c>
      <c r="D73" t="s">
        <v>35</v>
      </c>
      <c r="E73" s="272" t="s">
        <v>309</v>
      </c>
      <c r="F73" s="100" t="s">
        <v>312</v>
      </c>
      <c r="G73" s="100"/>
      <c r="H73" s="100"/>
    </row>
    <row r="74" spans="1:8" s="79" customFormat="1">
      <c r="A74" s="99">
        <v>5005246287</v>
      </c>
      <c r="B74" t="s">
        <v>313</v>
      </c>
      <c r="C74" s="272" t="s">
        <v>234</v>
      </c>
      <c r="D74" t="s">
        <v>35</v>
      </c>
      <c r="E74" s="272" t="s">
        <v>309</v>
      </c>
      <c r="F74" s="100" t="s">
        <v>314</v>
      </c>
      <c r="G74" s="100"/>
      <c r="H74" s="100"/>
    </row>
    <row r="75" spans="1:8" s="79" customFormat="1">
      <c r="A75" s="99">
        <v>5005246288</v>
      </c>
      <c r="B75" t="s">
        <v>315</v>
      </c>
      <c r="C75" s="272" t="s">
        <v>234</v>
      </c>
      <c r="D75" t="s">
        <v>38</v>
      </c>
      <c r="E75" s="272" t="s">
        <v>288</v>
      </c>
      <c r="F75" s="100" t="s">
        <v>316</v>
      </c>
      <c r="G75" s="100"/>
      <c r="H75" s="100"/>
    </row>
    <row r="76" spans="1:8" s="79" customFormat="1">
      <c r="A76" s="99">
        <v>5004086291</v>
      </c>
      <c r="B76" t="s">
        <v>317</v>
      </c>
      <c r="C76" s="272" t="s">
        <v>318</v>
      </c>
      <c r="D76" t="s">
        <v>40</v>
      </c>
      <c r="E76" s="272" t="s">
        <v>319</v>
      </c>
      <c r="F76" s="100" t="s">
        <v>320</v>
      </c>
      <c r="G76" s="100"/>
      <c r="H76" s="100"/>
    </row>
    <row r="77" spans="1:8" s="79" customFormat="1">
      <c r="A77" s="99">
        <v>5004086293</v>
      </c>
      <c r="B77" t="s">
        <v>321</v>
      </c>
      <c r="C77" s="272" t="s">
        <v>318</v>
      </c>
      <c r="D77" t="s">
        <v>41</v>
      </c>
      <c r="E77" s="272" t="s">
        <v>235</v>
      </c>
      <c r="F77" s="100" t="s">
        <v>322</v>
      </c>
      <c r="G77" s="100"/>
      <c r="H77" s="100"/>
    </row>
    <row r="78" spans="1:8" s="79" customFormat="1">
      <c r="A78" s="99">
        <v>5005116291</v>
      </c>
      <c r="B78" t="s">
        <v>323</v>
      </c>
      <c r="C78" s="272" t="s">
        <v>318</v>
      </c>
      <c r="D78" t="s">
        <v>24</v>
      </c>
      <c r="E78" s="272" t="s">
        <v>324</v>
      </c>
      <c r="F78" s="100" t="s">
        <v>325</v>
      </c>
      <c r="G78" s="100"/>
      <c r="H78" s="100"/>
    </row>
    <row r="79" spans="1:8" s="79" customFormat="1">
      <c r="A79" s="99">
        <v>5005116292</v>
      </c>
      <c r="B79" t="s">
        <v>326</v>
      </c>
      <c r="C79" s="272" t="s">
        <v>318</v>
      </c>
      <c r="D79" t="s">
        <v>25</v>
      </c>
      <c r="E79" s="272" t="s">
        <v>327</v>
      </c>
      <c r="F79" s="100" t="s">
        <v>328</v>
      </c>
      <c r="G79" s="100"/>
      <c r="H79" s="100"/>
    </row>
    <row r="80" spans="1:8" s="79" customFormat="1">
      <c r="A80" s="99">
        <v>5005136291</v>
      </c>
      <c r="B80" t="s">
        <v>329</v>
      </c>
      <c r="C80" s="272" t="s">
        <v>318</v>
      </c>
      <c r="D80" t="s">
        <v>37</v>
      </c>
      <c r="E80" s="272" t="s">
        <v>285</v>
      </c>
      <c r="F80" s="100" t="s">
        <v>330</v>
      </c>
      <c r="G80" s="100"/>
      <c r="H80" s="100"/>
    </row>
    <row r="81" spans="1:9" s="79" customFormat="1">
      <c r="A81" s="99">
        <v>5005166291</v>
      </c>
      <c r="B81" t="s">
        <v>331</v>
      </c>
      <c r="C81" s="272" t="s">
        <v>318</v>
      </c>
      <c r="D81" t="s">
        <v>44</v>
      </c>
      <c r="E81" s="272" t="s">
        <v>332</v>
      </c>
      <c r="F81" s="100" t="s">
        <v>333</v>
      </c>
      <c r="G81" s="100"/>
      <c r="H81" s="100"/>
    </row>
    <row r="82" spans="1:9" s="79" customFormat="1">
      <c r="A82" s="99">
        <v>5005186292</v>
      </c>
      <c r="B82" t="s">
        <v>334</v>
      </c>
      <c r="C82" s="272" t="s">
        <v>318</v>
      </c>
      <c r="D82" t="s">
        <v>34</v>
      </c>
      <c r="E82" s="272" t="s">
        <v>335</v>
      </c>
      <c r="F82" s="100" t="s">
        <v>336</v>
      </c>
      <c r="G82" s="100"/>
      <c r="H82" s="100"/>
    </row>
    <row r="83" spans="1:9" s="79" customFormat="1">
      <c r="A83" s="99">
        <v>5005196373</v>
      </c>
      <c r="B83" t="s">
        <v>337</v>
      </c>
      <c r="C83" s="272" t="s">
        <v>175</v>
      </c>
      <c r="D83" t="s">
        <v>32</v>
      </c>
      <c r="E83" s="272" t="s">
        <v>338</v>
      </c>
      <c r="F83" s="100" t="s">
        <v>339</v>
      </c>
      <c r="G83" s="100">
        <v>5005196373</v>
      </c>
      <c r="H83" s="100">
        <v>5005196373</v>
      </c>
      <c r="I83" t="s">
        <v>164</v>
      </c>
    </row>
    <row r="84" spans="1:9" s="79" customFormat="1">
      <c r="A84" s="99">
        <v>5005196277</v>
      </c>
      <c r="B84" t="s">
        <v>340</v>
      </c>
      <c r="C84" s="272" t="s">
        <v>234</v>
      </c>
      <c r="D84" t="s">
        <v>32</v>
      </c>
      <c r="E84" s="272" t="s">
        <v>338</v>
      </c>
      <c r="F84" s="100" t="s">
        <v>341</v>
      </c>
      <c r="G84" s="100">
        <v>5005196277</v>
      </c>
      <c r="H84" s="100">
        <v>5005196277</v>
      </c>
      <c r="I84" t="s">
        <v>164</v>
      </c>
    </row>
    <row r="85" spans="1:9" s="79" customFormat="1">
      <c r="A85" s="99">
        <v>5005246291</v>
      </c>
      <c r="B85" t="s">
        <v>342</v>
      </c>
      <c r="C85" s="272" t="s">
        <v>318</v>
      </c>
      <c r="D85" t="s">
        <v>39</v>
      </c>
      <c r="E85" s="272" t="s">
        <v>295</v>
      </c>
      <c r="F85" s="100" t="s">
        <v>343</v>
      </c>
      <c r="G85" s="100"/>
      <c r="H85" s="100"/>
    </row>
    <row r="86" spans="1:9" s="79" customFormat="1">
      <c r="A86" s="99">
        <v>5005246292</v>
      </c>
      <c r="B86" t="s">
        <v>344</v>
      </c>
      <c r="C86" s="272" t="s">
        <v>318</v>
      </c>
      <c r="D86" t="s">
        <v>45</v>
      </c>
      <c r="E86" s="272" t="s">
        <v>345</v>
      </c>
      <c r="F86" s="100" t="s">
        <v>346</v>
      </c>
      <c r="G86" s="100"/>
      <c r="H86" s="100"/>
    </row>
    <row r="87" spans="1:9" s="79" customFormat="1">
      <c r="A87" s="99">
        <v>5005246294</v>
      </c>
      <c r="B87" t="s">
        <v>347</v>
      </c>
      <c r="C87" s="272" t="s">
        <v>318</v>
      </c>
      <c r="D87" t="s">
        <v>45</v>
      </c>
      <c r="E87" s="272" t="s">
        <v>345</v>
      </c>
      <c r="F87" s="100" t="s">
        <v>348</v>
      </c>
      <c r="G87" s="100"/>
      <c r="H87" s="100"/>
      <c r="I87" t="s">
        <v>349</v>
      </c>
    </row>
    <row r="88" spans="1:9" s="79" customFormat="1">
      <c r="A88" s="99">
        <v>5005256291</v>
      </c>
      <c r="B88" t="s">
        <v>350</v>
      </c>
      <c r="C88" s="272" t="s">
        <v>318</v>
      </c>
      <c r="D88" t="s">
        <v>46</v>
      </c>
      <c r="E88" s="272" t="s">
        <v>351</v>
      </c>
      <c r="F88" s="100" t="s">
        <v>352</v>
      </c>
      <c r="G88" s="100"/>
      <c r="H88" s="100"/>
    </row>
    <row r="89" spans="1:9" s="79" customFormat="1">
      <c r="A89" s="99">
        <v>5101016174</v>
      </c>
      <c r="B89" t="s">
        <v>353</v>
      </c>
      <c r="C89" s="272" t="s">
        <v>354</v>
      </c>
      <c r="D89" t="s">
        <v>13</v>
      </c>
      <c r="E89" s="272" t="s">
        <v>355</v>
      </c>
      <c r="F89" s="100" t="s">
        <v>356</v>
      </c>
      <c r="G89" s="100"/>
      <c r="H89" s="100"/>
    </row>
    <row r="90" spans="1:9" s="79" customFormat="1">
      <c r="A90" s="99">
        <v>5101016179</v>
      </c>
      <c r="B90" t="s">
        <v>357</v>
      </c>
      <c r="C90" s="272" t="s">
        <v>354</v>
      </c>
      <c r="D90" t="s">
        <v>15</v>
      </c>
      <c r="E90" s="272" t="s">
        <v>358</v>
      </c>
      <c r="F90" s="100" t="s">
        <v>359</v>
      </c>
      <c r="G90" s="100"/>
      <c r="H90" s="100"/>
    </row>
    <row r="91" spans="1:9" s="79" customFormat="1">
      <c r="A91" s="99">
        <v>5101016187</v>
      </c>
      <c r="B91" t="s">
        <v>360</v>
      </c>
      <c r="C91" s="272" t="s">
        <v>354</v>
      </c>
      <c r="D91" t="s">
        <v>43</v>
      </c>
      <c r="E91" s="272" t="s">
        <v>361</v>
      </c>
      <c r="F91" s="100" t="s">
        <v>362</v>
      </c>
      <c r="G91" s="100"/>
      <c r="H91" s="100"/>
    </row>
    <row r="92" spans="1:9" s="79" customFormat="1">
      <c r="A92" s="99">
        <v>5101016189</v>
      </c>
      <c r="B92" t="s">
        <v>363</v>
      </c>
      <c r="C92" s="272" t="s">
        <v>364</v>
      </c>
      <c r="D92" t="s">
        <v>42</v>
      </c>
      <c r="E92" s="272" t="s">
        <v>141</v>
      </c>
      <c r="F92" s="100" t="s">
        <v>365</v>
      </c>
      <c r="G92" s="100"/>
      <c r="H92" s="100"/>
      <c r="I92" t="s">
        <v>164</v>
      </c>
    </row>
    <row r="93" spans="1:9" s="79" customFormat="1">
      <c r="A93" s="99">
        <v>6004046511</v>
      </c>
      <c r="B93" t="s">
        <v>366</v>
      </c>
      <c r="C93" s="272" t="s">
        <v>367</v>
      </c>
      <c r="D93" t="s">
        <v>33</v>
      </c>
      <c r="E93" s="272" t="s">
        <v>169</v>
      </c>
      <c r="F93" s="100"/>
      <c r="G93" s="100"/>
      <c r="H93" s="100">
        <v>6004046511</v>
      </c>
    </row>
    <row r="94" spans="1:9" s="79" customFormat="1">
      <c r="A94" s="99">
        <v>6003036412</v>
      </c>
      <c r="B94" t="s">
        <v>368</v>
      </c>
      <c r="C94" s="272" t="s">
        <v>369</v>
      </c>
      <c r="D94" t="s">
        <v>29</v>
      </c>
      <c r="E94" s="272" t="s">
        <v>269</v>
      </c>
      <c r="F94" s="100"/>
      <c r="G94" s="100"/>
      <c r="H94" s="100">
        <v>6003036412</v>
      </c>
    </row>
    <row r="95" spans="1:9" s="79" customFormat="1">
      <c r="A95" s="99">
        <v>6005016413</v>
      </c>
      <c r="B95" t="s">
        <v>370</v>
      </c>
      <c r="C95" s="272" t="s">
        <v>371</v>
      </c>
      <c r="D95" t="s">
        <v>21</v>
      </c>
      <c r="E95" s="272" t="s">
        <v>176</v>
      </c>
      <c r="F95" s="100"/>
      <c r="G95" s="100"/>
      <c r="H95" s="100">
        <v>6005016413</v>
      </c>
    </row>
    <row r="96" spans="1:9" s="79" customFormat="1">
      <c r="A96" s="99">
        <v>6005016414</v>
      </c>
      <c r="B96" t="s">
        <v>372</v>
      </c>
      <c r="C96" s="272" t="s">
        <v>371</v>
      </c>
      <c r="D96" t="s">
        <v>22</v>
      </c>
      <c r="E96" s="272" t="s">
        <v>183</v>
      </c>
      <c r="F96" s="100"/>
      <c r="G96" s="100">
        <v>6005016414</v>
      </c>
      <c r="H96" s="100">
        <v>6005016414</v>
      </c>
      <c r="I96" t="s">
        <v>167</v>
      </c>
    </row>
    <row r="97" spans="1:8" s="79" customFormat="1">
      <c r="A97" s="99">
        <v>6006016521</v>
      </c>
      <c r="B97" t="s">
        <v>373</v>
      </c>
      <c r="C97" s="272" t="s">
        <v>189</v>
      </c>
      <c r="D97" t="s">
        <v>16</v>
      </c>
      <c r="E97" s="272" t="s">
        <v>190</v>
      </c>
      <c r="F97" s="100"/>
      <c r="G97" s="100"/>
      <c r="H97" s="100">
        <v>6006016521</v>
      </c>
    </row>
    <row r="98" spans="1:8" s="79" customFormat="1">
      <c r="A98" s="99">
        <v>6006016522</v>
      </c>
      <c r="B98" t="s">
        <v>374</v>
      </c>
      <c r="C98" s="272" t="s">
        <v>189</v>
      </c>
      <c r="D98" t="s">
        <v>16</v>
      </c>
      <c r="E98" s="272" t="s">
        <v>190</v>
      </c>
      <c r="F98" s="100"/>
      <c r="G98" s="100"/>
      <c r="H98" s="100">
        <v>6006016522</v>
      </c>
    </row>
    <row r="99" spans="1:8" s="79" customFormat="1">
      <c r="A99" s="99">
        <v>6006016523</v>
      </c>
      <c r="B99" t="s">
        <v>375</v>
      </c>
      <c r="C99" s="272" t="s">
        <v>189</v>
      </c>
      <c r="D99" t="s">
        <v>16</v>
      </c>
      <c r="E99" s="272" t="s">
        <v>190</v>
      </c>
      <c r="F99" s="100"/>
      <c r="G99" s="100"/>
      <c r="H99" s="100">
        <v>6006016523</v>
      </c>
    </row>
    <row r="100" spans="1:8" s="79" customFormat="1">
      <c r="A100" s="99">
        <v>6006016524</v>
      </c>
      <c r="B100" t="s">
        <v>376</v>
      </c>
      <c r="C100" s="272" t="s">
        <v>189</v>
      </c>
      <c r="D100" t="s">
        <v>16</v>
      </c>
      <c r="E100" s="272" t="s">
        <v>190</v>
      </c>
      <c r="F100" s="100"/>
      <c r="G100" s="100"/>
      <c r="H100" s="100">
        <v>6006016524</v>
      </c>
    </row>
    <row r="101" spans="1:8" s="79" customFormat="1">
      <c r="A101" s="99">
        <v>6006016525</v>
      </c>
      <c r="B101" t="s">
        <v>377</v>
      </c>
      <c r="C101" s="272" t="s">
        <v>189</v>
      </c>
      <c r="D101" t="s">
        <v>16</v>
      </c>
      <c r="E101" s="272" t="s">
        <v>190</v>
      </c>
      <c r="F101" s="100"/>
      <c r="G101" s="100"/>
      <c r="H101" s="100">
        <v>6006016525</v>
      </c>
    </row>
    <row r="102" spans="1:8" s="79" customFormat="1">
      <c r="A102" s="99">
        <v>6006016526</v>
      </c>
      <c r="B102" t="s">
        <v>378</v>
      </c>
      <c r="C102" s="272" t="s">
        <v>189</v>
      </c>
      <c r="D102" t="s">
        <v>16</v>
      </c>
      <c r="E102" s="272" t="s">
        <v>190</v>
      </c>
      <c r="F102" s="100"/>
      <c r="G102" s="100"/>
      <c r="H102" s="100">
        <v>6006016526</v>
      </c>
    </row>
    <row r="103" spans="1:8" s="79" customFormat="1">
      <c r="A103" s="99">
        <v>6006016527</v>
      </c>
      <c r="B103" t="s">
        <v>379</v>
      </c>
      <c r="C103" s="272" t="s">
        <v>189</v>
      </c>
      <c r="D103" t="s">
        <v>16</v>
      </c>
      <c r="E103" s="272" t="s">
        <v>190</v>
      </c>
      <c r="F103" s="100"/>
      <c r="G103" s="100"/>
      <c r="H103" s="100">
        <v>6006016527</v>
      </c>
    </row>
    <row r="104" spans="1:8" s="79" customFormat="1">
      <c r="A104" s="99">
        <v>6006016528</v>
      </c>
      <c r="B104" t="s">
        <v>380</v>
      </c>
      <c r="C104" s="272" t="s">
        <v>189</v>
      </c>
      <c r="D104" t="s">
        <v>16</v>
      </c>
      <c r="E104" s="272" t="s">
        <v>190</v>
      </c>
      <c r="F104" s="100"/>
      <c r="G104" s="100"/>
      <c r="H104" s="100">
        <v>6006016528</v>
      </c>
    </row>
    <row r="105" spans="1:8" s="79" customFormat="1">
      <c r="A105" s="99">
        <v>6006016529</v>
      </c>
      <c r="B105" t="s">
        <v>381</v>
      </c>
      <c r="C105" s="272" t="s">
        <v>189</v>
      </c>
      <c r="D105" t="s">
        <v>16</v>
      </c>
      <c r="E105" s="272" t="s">
        <v>190</v>
      </c>
      <c r="F105" s="100"/>
      <c r="G105" s="100"/>
      <c r="H105" s="100">
        <v>6006016529</v>
      </c>
    </row>
    <row r="106" spans="1:8" s="79" customFormat="1">
      <c r="A106" s="99">
        <v>6006016530</v>
      </c>
      <c r="B106" t="s">
        <v>382</v>
      </c>
      <c r="C106" s="272" t="s">
        <v>189</v>
      </c>
      <c r="D106" t="s">
        <v>16</v>
      </c>
      <c r="E106" s="272" t="s">
        <v>190</v>
      </c>
      <c r="F106" s="100"/>
      <c r="G106" s="100"/>
      <c r="H106" s="100">
        <v>6006016530</v>
      </c>
    </row>
    <row r="107" spans="1:8" s="79" customFormat="1">
      <c r="A107" s="99">
        <v>6006016531</v>
      </c>
      <c r="B107" t="s">
        <v>383</v>
      </c>
      <c r="C107" s="272" t="s">
        <v>189</v>
      </c>
      <c r="D107" t="s">
        <v>16</v>
      </c>
      <c r="E107" s="272" t="s">
        <v>190</v>
      </c>
      <c r="F107" s="100"/>
      <c r="G107" s="100"/>
      <c r="H107" s="100">
        <v>6006016531</v>
      </c>
    </row>
    <row r="108" spans="1:8" s="79" customFormat="1">
      <c r="A108" s="99">
        <v>6006016532</v>
      </c>
      <c r="B108" t="s">
        <v>384</v>
      </c>
      <c r="C108" s="272" t="s">
        <v>189</v>
      </c>
      <c r="D108" t="s">
        <v>16</v>
      </c>
      <c r="E108" s="272" t="s">
        <v>190</v>
      </c>
      <c r="F108" s="100"/>
      <c r="G108" s="100"/>
      <c r="H108" s="100">
        <v>6006016532</v>
      </c>
    </row>
    <row r="109" spans="1:8" s="79" customFormat="1">
      <c r="A109" s="99">
        <v>6006016533</v>
      </c>
      <c r="B109" t="s">
        <v>385</v>
      </c>
      <c r="C109" s="272" t="s">
        <v>189</v>
      </c>
      <c r="D109" t="s">
        <v>16</v>
      </c>
      <c r="E109" s="272" t="s">
        <v>190</v>
      </c>
      <c r="F109" s="100"/>
      <c r="G109" s="100"/>
      <c r="H109" s="100">
        <v>6006016533</v>
      </c>
    </row>
    <row r="110" spans="1:8" s="79" customFormat="1">
      <c r="A110" s="99">
        <v>6006016534</v>
      </c>
      <c r="B110" t="s">
        <v>386</v>
      </c>
      <c r="C110" s="272" t="s">
        <v>189</v>
      </c>
      <c r="D110" t="s">
        <v>16</v>
      </c>
      <c r="E110" s="272" t="s">
        <v>190</v>
      </c>
      <c r="F110" s="100"/>
      <c r="G110" s="100"/>
      <c r="H110" s="100">
        <v>6006016534</v>
      </c>
    </row>
    <row r="111" spans="1:8" s="79" customFormat="1">
      <c r="A111" s="99">
        <v>6006016535</v>
      </c>
      <c r="B111" t="s">
        <v>387</v>
      </c>
      <c r="C111" s="272" t="s">
        <v>189</v>
      </c>
      <c r="D111" t="s">
        <v>16</v>
      </c>
      <c r="E111" s="272" t="s">
        <v>190</v>
      </c>
      <c r="F111" s="100"/>
      <c r="G111" s="100"/>
      <c r="H111" s="100">
        <v>6006016535</v>
      </c>
    </row>
    <row r="112" spans="1:8" s="79" customFormat="1">
      <c r="A112" s="99">
        <v>6006016536</v>
      </c>
      <c r="B112" t="s">
        <v>388</v>
      </c>
      <c r="C112" s="272" t="s">
        <v>189</v>
      </c>
      <c r="D112" t="s">
        <v>16</v>
      </c>
      <c r="E112" s="272" t="s">
        <v>190</v>
      </c>
      <c r="F112" s="100"/>
      <c r="G112" s="100"/>
      <c r="H112" s="100">
        <v>6006016536</v>
      </c>
    </row>
    <row r="113" spans="1:8" s="79" customFormat="1">
      <c r="A113" s="99">
        <v>6006016537</v>
      </c>
      <c r="B113" t="s">
        <v>389</v>
      </c>
      <c r="C113" s="272" t="s">
        <v>189</v>
      </c>
      <c r="D113" t="s">
        <v>16</v>
      </c>
      <c r="E113" s="272" t="s">
        <v>190</v>
      </c>
      <c r="F113" s="100"/>
      <c r="G113" s="100"/>
      <c r="H113" s="100">
        <v>6006016537</v>
      </c>
    </row>
    <row r="114" spans="1:8" s="79" customFormat="1">
      <c r="A114" s="99">
        <v>6006016538</v>
      </c>
      <c r="B114" t="s">
        <v>390</v>
      </c>
      <c r="C114" s="272" t="s">
        <v>189</v>
      </c>
      <c r="D114" t="s">
        <v>16</v>
      </c>
      <c r="E114" s="272" t="s">
        <v>190</v>
      </c>
      <c r="F114" s="100"/>
      <c r="G114" s="100"/>
      <c r="H114" s="100">
        <v>6006016538</v>
      </c>
    </row>
    <row r="115" spans="1:8" s="79" customFormat="1">
      <c r="A115" s="99">
        <v>6006016539</v>
      </c>
      <c r="B115" t="s">
        <v>391</v>
      </c>
      <c r="C115" s="272" t="s">
        <v>189</v>
      </c>
      <c r="D115" t="s">
        <v>16</v>
      </c>
      <c r="E115" s="272" t="s">
        <v>190</v>
      </c>
      <c r="F115" s="100"/>
      <c r="G115" s="100"/>
      <c r="H115" s="100">
        <v>6006016539</v>
      </c>
    </row>
    <row r="116" spans="1:8" s="79" customFormat="1">
      <c r="A116" s="99">
        <v>6006016540</v>
      </c>
      <c r="B116" t="s">
        <v>392</v>
      </c>
      <c r="C116" s="272" t="s">
        <v>189</v>
      </c>
      <c r="D116" t="s">
        <v>16</v>
      </c>
      <c r="E116" s="272" t="s">
        <v>190</v>
      </c>
      <c r="F116" s="100"/>
      <c r="G116" s="100"/>
      <c r="H116" s="100">
        <v>6006016540</v>
      </c>
    </row>
    <row r="117" spans="1:8" s="79" customFormat="1">
      <c r="A117" s="99">
        <v>6005046541</v>
      </c>
      <c r="B117" t="s">
        <v>393</v>
      </c>
      <c r="C117" s="272" t="s">
        <v>394</v>
      </c>
      <c r="D117" t="s">
        <v>27</v>
      </c>
      <c r="E117" s="272" t="s">
        <v>238</v>
      </c>
      <c r="F117" s="100"/>
      <c r="G117" s="100"/>
      <c r="H117" s="100">
        <v>6005046541</v>
      </c>
    </row>
    <row r="118" spans="1:8" s="79" customFormat="1">
      <c r="A118" s="99">
        <v>6005046542</v>
      </c>
      <c r="B118" t="s">
        <v>395</v>
      </c>
      <c r="C118" s="272" t="s">
        <v>394</v>
      </c>
      <c r="D118" t="s">
        <v>27</v>
      </c>
      <c r="E118" s="272" t="s">
        <v>238</v>
      </c>
      <c r="F118" s="100"/>
      <c r="G118" s="100"/>
      <c r="H118" s="100">
        <v>6005046542</v>
      </c>
    </row>
    <row r="119" spans="1:8" s="79" customFormat="1">
      <c r="A119" s="99">
        <v>6003016541</v>
      </c>
      <c r="B119" t="s">
        <v>396</v>
      </c>
      <c r="C119" s="272" t="s">
        <v>397</v>
      </c>
      <c r="D119" t="s">
        <v>35</v>
      </c>
      <c r="E119" s="272" t="s">
        <v>309</v>
      </c>
      <c r="F119" s="100"/>
      <c r="G119" s="100"/>
      <c r="H119" s="100">
        <v>6003016541</v>
      </c>
    </row>
    <row r="120" spans="1:8" s="79" customFormat="1">
      <c r="A120" s="99">
        <v>6003026541</v>
      </c>
      <c r="B120" t="s">
        <v>398</v>
      </c>
      <c r="C120" s="272" t="s">
        <v>397</v>
      </c>
      <c r="D120" t="s">
        <v>45</v>
      </c>
      <c r="E120" s="272" t="s">
        <v>345</v>
      </c>
      <c r="F120" s="100"/>
      <c r="G120" s="100"/>
      <c r="H120" s="100">
        <v>6003026541</v>
      </c>
    </row>
    <row r="121" spans="1:8" s="79" customFormat="1">
      <c r="A121" s="99">
        <v>6003036541</v>
      </c>
      <c r="B121" t="s">
        <v>399</v>
      </c>
      <c r="C121" s="272" t="s">
        <v>397</v>
      </c>
      <c r="D121" t="s">
        <v>28</v>
      </c>
      <c r="E121" s="272" t="s">
        <v>254</v>
      </c>
      <c r="F121" s="100"/>
      <c r="G121" s="100"/>
      <c r="H121" s="100">
        <v>6003036541</v>
      </c>
    </row>
    <row r="122" spans="1:8" s="79" customFormat="1">
      <c r="A122" s="99">
        <v>6003036542</v>
      </c>
      <c r="B122" t="s">
        <v>400</v>
      </c>
      <c r="C122" s="272" t="s">
        <v>397</v>
      </c>
      <c r="D122" t="s">
        <v>28</v>
      </c>
      <c r="E122" s="272" t="s">
        <v>254</v>
      </c>
      <c r="F122" s="100"/>
      <c r="G122" s="100"/>
      <c r="H122" s="100">
        <v>6003036542</v>
      </c>
    </row>
    <row r="123" spans="1:8" s="79" customFormat="1">
      <c r="A123" s="99">
        <v>6003036543</v>
      </c>
      <c r="B123" t="s">
        <v>401</v>
      </c>
      <c r="C123" s="272" t="s">
        <v>397</v>
      </c>
      <c r="D123" t="s">
        <v>28</v>
      </c>
      <c r="E123" s="272" t="s">
        <v>254</v>
      </c>
      <c r="F123" s="100" t="s">
        <v>402</v>
      </c>
      <c r="G123" s="100"/>
      <c r="H123" s="100">
        <v>6003036543</v>
      </c>
    </row>
    <row r="124" spans="1:8" s="79" customFormat="1">
      <c r="A124" s="99">
        <v>6003036544</v>
      </c>
      <c r="B124" t="s">
        <v>403</v>
      </c>
      <c r="C124" s="272" t="s">
        <v>397</v>
      </c>
      <c r="D124" t="s">
        <v>28</v>
      </c>
      <c r="E124" s="272" t="s">
        <v>254</v>
      </c>
      <c r="F124" s="100" t="s">
        <v>404</v>
      </c>
      <c r="G124" s="100">
        <v>6003036544</v>
      </c>
      <c r="H124" s="100">
        <v>6003036544</v>
      </c>
    </row>
    <row r="125" spans="1:8" s="79" customFormat="1">
      <c r="A125" s="99">
        <v>6003036545</v>
      </c>
      <c r="B125" t="s">
        <v>405</v>
      </c>
      <c r="C125" s="272" t="s">
        <v>397</v>
      </c>
      <c r="D125" t="s">
        <v>28</v>
      </c>
      <c r="E125" s="272" t="s">
        <v>254</v>
      </c>
      <c r="F125" s="100"/>
      <c r="G125" s="100"/>
      <c r="H125" s="100">
        <v>6003036545</v>
      </c>
    </row>
    <row r="126" spans="1:8" s="79" customFormat="1">
      <c r="A126" s="99">
        <v>6003036546</v>
      </c>
      <c r="B126" t="s">
        <v>406</v>
      </c>
      <c r="C126" s="272" t="s">
        <v>397</v>
      </c>
      <c r="D126" t="s">
        <v>28</v>
      </c>
      <c r="E126" s="272" t="s">
        <v>254</v>
      </c>
      <c r="F126" s="100"/>
      <c r="G126" s="100"/>
      <c r="H126" s="100">
        <v>6003036546</v>
      </c>
    </row>
    <row r="127" spans="1:8" s="79" customFormat="1">
      <c r="A127" s="99">
        <v>6003036547</v>
      </c>
      <c r="B127" t="s">
        <v>407</v>
      </c>
      <c r="C127" s="272" t="s">
        <v>397</v>
      </c>
      <c r="D127" t="s">
        <v>28</v>
      </c>
      <c r="E127" s="272" t="s">
        <v>254</v>
      </c>
      <c r="F127" s="100"/>
      <c r="G127" s="100"/>
      <c r="H127" s="100">
        <v>6003036547</v>
      </c>
    </row>
    <row r="128" spans="1:8" s="79" customFormat="1">
      <c r="A128" s="99">
        <v>6003036548</v>
      </c>
      <c r="B128" t="s">
        <v>408</v>
      </c>
      <c r="C128" s="272" t="s">
        <v>397</v>
      </c>
      <c r="D128" t="s">
        <v>28</v>
      </c>
      <c r="E128" s="272" t="s">
        <v>254</v>
      </c>
      <c r="F128" s="100"/>
      <c r="G128" s="100"/>
      <c r="H128" s="100">
        <v>6003036548</v>
      </c>
    </row>
    <row r="129" spans="1:9" s="79" customFormat="1">
      <c r="A129" s="99">
        <v>6003036549</v>
      </c>
      <c r="B129" t="s">
        <v>409</v>
      </c>
      <c r="C129" s="272" t="s">
        <v>397</v>
      </c>
      <c r="D129" t="s">
        <v>28</v>
      </c>
      <c r="E129" s="272" t="s">
        <v>254</v>
      </c>
      <c r="F129" s="100"/>
      <c r="G129" s="100"/>
      <c r="H129" s="100">
        <v>6003036549</v>
      </c>
    </row>
    <row r="130" spans="1:9" s="79" customFormat="1">
      <c r="A130" s="99">
        <v>6003036550</v>
      </c>
      <c r="B130" t="s">
        <v>410</v>
      </c>
      <c r="C130" s="272" t="s">
        <v>397</v>
      </c>
      <c r="D130" t="s">
        <v>28</v>
      </c>
      <c r="E130" s="272" t="s">
        <v>254</v>
      </c>
      <c r="F130" s="100"/>
      <c r="G130" s="100"/>
      <c r="H130" s="100">
        <v>6003036550</v>
      </c>
    </row>
    <row r="131" spans="1:9" s="79" customFormat="1">
      <c r="A131" s="99">
        <v>6003036551</v>
      </c>
      <c r="B131" t="s">
        <v>411</v>
      </c>
      <c r="C131" s="272" t="s">
        <v>397</v>
      </c>
      <c r="D131" t="s">
        <v>28</v>
      </c>
      <c r="E131" s="272" t="s">
        <v>254</v>
      </c>
      <c r="F131" s="100"/>
      <c r="G131" s="100"/>
      <c r="H131" s="100">
        <v>6003036551</v>
      </c>
    </row>
    <row r="132" spans="1:9" s="79" customFormat="1">
      <c r="A132" s="99">
        <v>6003036552</v>
      </c>
      <c r="B132" t="s">
        <v>412</v>
      </c>
      <c r="C132" s="272" t="s">
        <v>397</v>
      </c>
      <c r="D132" t="s">
        <v>28</v>
      </c>
      <c r="E132" s="272" t="s">
        <v>254</v>
      </c>
      <c r="F132" s="100" t="s">
        <v>413</v>
      </c>
      <c r="G132" s="100"/>
      <c r="H132" s="100">
        <v>6003036552</v>
      </c>
    </row>
    <row r="133" spans="1:9" s="79" customFormat="1">
      <c r="A133" s="99">
        <v>6003036554</v>
      </c>
      <c r="B133" t="s">
        <v>414</v>
      </c>
      <c r="C133" s="272" t="s">
        <v>397</v>
      </c>
      <c r="D133" t="s">
        <v>28</v>
      </c>
      <c r="E133" s="272" t="s">
        <v>254</v>
      </c>
      <c r="F133" s="100" t="s">
        <v>415</v>
      </c>
      <c r="G133" s="100">
        <v>6003036554</v>
      </c>
      <c r="H133" s="100">
        <v>6003036554</v>
      </c>
      <c r="I133" t="s">
        <v>167</v>
      </c>
    </row>
    <row r="134" spans="1:9" s="79" customFormat="1">
      <c r="A134" s="99">
        <v>6003036555</v>
      </c>
      <c r="B134" t="s">
        <v>416</v>
      </c>
      <c r="C134" s="272" t="s">
        <v>397</v>
      </c>
      <c r="D134" t="s">
        <v>28</v>
      </c>
      <c r="E134" s="272" t="s">
        <v>254</v>
      </c>
      <c r="F134" s="100" t="s">
        <v>417</v>
      </c>
      <c r="G134" s="100">
        <v>6003036555</v>
      </c>
      <c r="H134" s="100">
        <v>6003036555</v>
      </c>
      <c r="I134" t="s">
        <v>167</v>
      </c>
    </row>
    <row r="135" spans="1:9" s="79" customFormat="1">
      <c r="A135" s="99">
        <v>6003036556</v>
      </c>
      <c r="B135" t="s">
        <v>418</v>
      </c>
      <c r="C135" s="272" t="s">
        <v>397</v>
      </c>
      <c r="D135" t="s">
        <v>28</v>
      </c>
      <c r="E135" s="272" t="s">
        <v>254</v>
      </c>
      <c r="F135" s="100" t="s">
        <v>419</v>
      </c>
      <c r="G135" s="100">
        <v>6003036556</v>
      </c>
      <c r="H135" s="100">
        <v>6003036556</v>
      </c>
      <c r="I135" t="s">
        <v>167</v>
      </c>
    </row>
    <row r="136" spans="1:9" s="79" customFormat="1">
      <c r="A136" s="99">
        <v>6003036557</v>
      </c>
      <c r="B136" t="s">
        <v>420</v>
      </c>
      <c r="C136" s="272" t="s">
        <v>397</v>
      </c>
      <c r="D136" t="s">
        <v>28</v>
      </c>
      <c r="E136" s="272" t="s">
        <v>254</v>
      </c>
      <c r="F136" s="100" t="s">
        <v>421</v>
      </c>
      <c r="G136" s="100">
        <v>6003036557</v>
      </c>
      <c r="H136" s="100">
        <v>6003036557</v>
      </c>
      <c r="I136" t="s">
        <v>167</v>
      </c>
    </row>
    <row r="137" spans="1:9" s="79" customFormat="1">
      <c r="A137" s="99">
        <v>6004096541</v>
      </c>
      <c r="B137" t="s">
        <v>422</v>
      </c>
      <c r="C137" s="272" t="s">
        <v>397</v>
      </c>
      <c r="D137" t="s">
        <v>41</v>
      </c>
      <c r="E137" s="272" t="s">
        <v>235</v>
      </c>
      <c r="F137" s="100"/>
      <c r="G137" s="100"/>
      <c r="H137" s="100">
        <v>6004096541</v>
      </c>
    </row>
    <row r="138" spans="1:9" s="79" customFormat="1">
      <c r="A138" s="99">
        <v>6005056541</v>
      </c>
      <c r="B138" t="s">
        <v>423</v>
      </c>
      <c r="C138" s="272" t="s">
        <v>397</v>
      </c>
      <c r="D138" t="s">
        <v>26</v>
      </c>
      <c r="E138" s="272" t="s">
        <v>247</v>
      </c>
      <c r="F138" s="100"/>
      <c r="G138" s="100"/>
      <c r="H138" s="100">
        <v>6005056541</v>
      </c>
    </row>
    <row r="139" spans="1:9" s="79" customFormat="1">
      <c r="A139" s="99">
        <v>6005056542</v>
      </c>
      <c r="B139" t="s">
        <v>424</v>
      </c>
      <c r="C139" s="272" t="s">
        <v>397</v>
      </c>
      <c r="D139" t="s">
        <v>26</v>
      </c>
      <c r="E139" s="272" t="s">
        <v>247</v>
      </c>
      <c r="F139" s="100"/>
      <c r="G139" s="100"/>
      <c r="H139" s="100">
        <v>6005056542</v>
      </c>
    </row>
    <row r="140" spans="1:9" s="79" customFormat="1">
      <c r="A140" s="99">
        <v>6005056543</v>
      </c>
      <c r="B140" t="s">
        <v>425</v>
      </c>
      <c r="C140" s="272" t="s">
        <v>397</v>
      </c>
      <c r="D140" t="s">
        <v>26</v>
      </c>
      <c r="E140" s="272" t="s">
        <v>247</v>
      </c>
      <c r="F140" s="100"/>
      <c r="G140" s="100"/>
      <c r="H140" s="100">
        <v>6005056543</v>
      </c>
    </row>
    <row r="141" spans="1:9" s="79" customFormat="1">
      <c r="A141" s="99">
        <v>6005136541</v>
      </c>
      <c r="B141" t="s">
        <v>426</v>
      </c>
      <c r="C141" s="272" t="s">
        <v>397</v>
      </c>
      <c r="D141" t="s">
        <v>37</v>
      </c>
      <c r="E141" s="272" t="s">
        <v>285</v>
      </c>
      <c r="F141" s="100"/>
      <c r="G141" s="100"/>
      <c r="H141" s="100">
        <v>6005136541</v>
      </c>
    </row>
    <row r="142" spans="1:9" s="79" customFormat="1">
      <c r="A142" s="99">
        <v>6005146541</v>
      </c>
      <c r="B142" t="s">
        <v>427</v>
      </c>
      <c r="C142" s="272" t="s">
        <v>397</v>
      </c>
      <c r="D142" t="s">
        <v>38</v>
      </c>
      <c r="E142" s="272" t="s">
        <v>288</v>
      </c>
      <c r="F142" s="100"/>
      <c r="G142" s="100"/>
      <c r="H142" s="100">
        <v>6005146541</v>
      </c>
    </row>
    <row r="143" spans="1:9" s="79" customFormat="1">
      <c r="A143" s="99">
        <v>6005146542</v>
      </c>
      <c r="B143" t="s">
        <v>428</v>
      </c>
      <c r="C143" s="272" t="s">
        <v>397</v>
      </c>
      <c r="D143" t="s">
        <v>38</v>
      </c>
      <c r="E143" s="272" t="s">
        <v>288</v>
      </c>
      <c r="F143" s="100"/>
      <c r="G143" s="100"/>
      <c r="H143" s="100">
        <v>6005146542</v>
      </c>
    </row>
    <row r="144" spans="1:9" s="79" customFormat="1">
      <c r="A144" s="99">
        <v>6005146543</v>
      </c>
      <c r="B144" t="s">
        <v>429</v>
      </c>
      <c r="C144" s="272" t="s">
        <v>397</v>
      </c>
      <c r="D144" t="s">
        <v>38</v>
      </c>
      <c r="E144" s="272" t="s">
        <v>288</v>
      </c>
      <c r="F144" s="100"/>
      <c r="G144" s="100"/>
      <c r="H144" s="100">
        <v>6005146543</v>
      </c>
    </row>
    <row r="145" spans="1:8" s="79" customFormat="1">
      <c r="A145" s="99">
        <v>6005156541</v>
      </c>
      <c r="B145" t="s">
        <v>430</v>
      </c>
      <c r="C145" s="272" t="s">
        <v>397</v>
      </c>
      <c r="D145" t="s">
        <v>45</v>
      </c>
      <c r="E145" s="272" t="s">
        <v>345</v>
      </c>
      <c r="F145" s="100"/>
      <c r="G145" s="100"/>
      <c r="H145" s="100">
        <v>6005156541</v>
      </c>
    </row>
    <row r="146" spans="1:8" s="79" customFormat="1">
      <c r="A146" s="99">
        <v>6005206541</v>
      </c>
      <c r="B146" t="s">
        <v>431</v>
      </c>
      <c r="C146" s="272" t="s">
        <v>397</v>
      </c>
      <c r="D146" t="s">
        <v>39</v>
      </c>
      <c r="E146" s="272" t="s">
        <v>295</v>
      </c>
      <c r="F146" s="100"/>
      <c r="G146" s="100"/>
      <c r="H146" s="100">
        <v>6005206541</v>
      </c>
    </row>
    <row r="147" spans="1:8" s="79" customFormat="1">
      <c r="A147" s="99">
        <v>6005216541</v>
      </c>
      <c r="B147" t="s">
        <v>432</v>
      </c>
      <c r="C147" s="272" t="s">
        <v>397</v>
      </c>
      <c r="D147" t="s">
        <v>36</v>
      </c>
      <c r="E147" s="272" t="s">
        <v>298</v>
      </c>
      <c r="F147" s="100"/>
      <c r="G147" s="100"/>
      <c r="H147" s="100">
        <v>6005216541</v>
      </c>
    </row>
    <row r="148" spans="1:8" s="79" customFormat="1">
      <c r="A148" s="99">
        <v>6005226541</v>
      </c>
      <c r="B148" t="s">
        <v>433</v>
      </c>
      <c r="C148" s="272" t="s">
        <v>397</v>
      </c>
      <c r="D148" t="s">
        <v>19</v>
      </c>
      <c r="E148" s="272" t="s">
        <v>301</v>
      </c>
      <c r="F148" s="100"/>
      <c r="G148" s="100"/>
      <c r="H148" s="100">
        <v>6005226541</v>
      </c>
    </row>
    <row r="149" spans="1:8" s="79" customFormat="1">
      <c r="A149" s="99">
        <v>6005236541</v>
      </c>
      <c r="B149" t="s">
        <v>434</v>
      </c>
      <c r="C149" s="272" t="s">
        <v>397</v>
      </c>
      <c r="D149" t="s">
        <v>18</v>
      </c>
      <c r="E149" s="272" t="s">
        <v>304</v>
      </c>
      <c r="F149" s="100"/>
      <c r="G149" s="100"/>
      <c r="H149" s="100">
        <v>6005236541</v>
      </c>
    </row>
    <row r="150" spans="1:8" s="79" customFormat="1">
      <c r="A150" s="99">
        <v>6005246541</v>
      </c>
      <c r="B150" t="s">
        <v>435</v>
      </c>
      <c r="C150" s="272" t="s">
        <v>397</v>
      </c>
      <c r="D150" t="s">
        <v>35</v>
      </c>
      <c r="E150" s="272" t="s">
        <v>309</v>
      </c>
      <c r="F150" s="100"/>
      <c r="G150" s="100"/>
      <c r="H150" s="100">
        <v>6005246541</v>
      </c>
    </row>
    <row r="151" spans="1:8" s="79" customFormat="1">
      <c r="A151" s="99">
        <v>6005246542</v>
      </c>
      <c r="B151" t="s">
        <v>436</v>
      </c>
      <c r="C151" s="272" t="s">
        <v>397</v>
      </c>
      <c r="D151" t="s">
        <v>35</v>
      </c>
      <c r="E151" s="272" t="s">
        <v>309</v>
      </c>
      <c r="F151" s="100" t="s">
        <v>437</v>
      </c>
      <c r="G151" s="100">
        <v>6005246542</v>
      </c>
      <c r="H151" s="100">
        <v>6005246542</v>
      </c>
    </row>
    <row r="152" spans="1:8" s="79" customFormat="1">
      <c r="A152" s="99">
        <v>6005246543</v>
      </c>
      <c r="B152" t="s">
        <v>438</v>
      </c>
      <c r="C152" s="272" t="s">
        <v>397</v>
      </c>
      <c r="D152" t="s">
        <v>35</v>
      </c>
      <c r="E152" s="272" t="s">
        <v>309</v>
      </c>
      <c r="F152" s="100" t="s">
        <v>439</v>
      </c>
      <c r="G152" s="100">
        <v>6005246543</v>
      </c>
      <c r="H152" s="100">
        <v>6005246543</v>
      </c>
    </row>
    <row r="153" spans="1:8" s="79" customFormat="1">
      <c r="A153" s="99">
        <v>6005246544</v>
      </c>
      <c r="B153" t="s">
        <v>440</v>
      </c>
      <c r="C153" s="272" t="s">
        <v>397</v>
      </c>
      <c r="D153" t="s">
        <v>38</v>
      </c>
      <c r="E153" s="272" t="s">
        <v>288</v>
      </c>
      <c r="F153" s="100"/>
      <c r="G153" s="100"/>
      <c r="H153" s="100">
        <v>6005246544</v>
      </c>
    </row>
    <row r="154" spans="1:8" s="79" customFormat="1">
      <c r="A154" s="99">
        <v>6004086551</v>
      </c>
      <c r="B154" t="s">
        <v>441</v>
      </c>
      <c r="C154" s="272" t="s">
        <v>318</v>
      </c>
      <c r="D154" t="s">
        <v>40</v>
      </c>
      <c r="E154" s="272" t="s">
        <v>319</v>
      </c>
      <c r="F154" s="100"/>
      <c r="G154" s="100"/>
      <c r="H154" s="100">
        <v>6004086551</v>
      </c>
    </row>
    <row r="155" spans="1:8" s="79" customFormat="1">
      <c r="A155" s="99">
        <v>6004086553</v>
      </c>
      <c r="B155" t="s">
        <v>442</v>
      </c>
      <c r="C155" s="272" t="s">
        <v>318</v>
      </c>
      <c r="D155" t="s">
        <v>41</v>
      </c>
      <c r="E155" s="272" t="s">
        <v>235</v>
      </c>
      <c r="F155" s="100"/>
      <c r="G155" s="100"/>
      <c r="H155" s="100">
        <v>6004086553</v>
      </c>
    </row>
    <row r="156" spans="1:8" s="79" customFormat="1">
      <c r="A156" s="99">
        <v>6005116551</v>
      </c>
      <c r="B156" t="s">
        <v>443</v>
      </c>
      <c r="C156" s="272" t="s">
        <v>318</v>
      </c>
      <c r="D156" t="s">
        <v>24</v>
      </c>
      <c r="E156" s="272" t="s">
        <v>324</v>
      </c>
      <c r="F156" s="100"/>
      <c r="G156" s="100"/>
      <c r="H156" s="100">
        <v>6005116551</v>
      </c>
    </row>
    <row r="157" spans="1:8" s="79" customFormat="1">
      <c r="A157" s="99">
        <v>6005116552</v>
      </c>
      <c r="B157" t="s">
        <v>444</v>
      </c>
      <c r="C157" s="272" t="s">
        <v>318</v>
      </c>
      <c r="D157" t="s">
        <v>25</v>
      </c>
      <c r="E157" s="272" t="s">
        <v>327</v>
      </c>
      <c r="F157" s="100"/>
      <c r="G157" s="100"/>
      <c r="H157" s="100">
        <v>6005116552</v>
      </c>
    </row>
    <row r="158" spans="1:8" s="79" customFormat="1">
      <c r="A158" s="99">
        <v>6005136551</v>
      </c>
      <c r="B158" t="s">
        <v>445</v>
      </c>
      <c r="C158" s="272" t="s">
        <v>318</v>
      </c>
      <c r="D158" t="s">
        <v>37</v>
      </c>
      <c r="E158" s="272" t="s">
        <v>285</v>
      </c>
      <c r="F158" s="100"/>
      <c r="G158" s="100"/>
      <c r="H158" s="100">
        <v>6005136551</v>
      </c>
    </row>
    <row r="159" spans="1:8" s="79" customFormat="1">
      <c r="A159" s="99">
        <v>6005166551</v>
      </c>
      <c r="B159" t="s">
        <v>446</v>
      </c>
      <c r="C159" s="272" t="s">
        <v>318</v>
      </c>
      <c r="D159" t="s">
        <v>44</v>
      </c>
      <c r="E159" s="272" t="s">
        <v>332</v>
      </c>
      <c r="F159" s="100"/>
      <c r="G159" s="100"/>
      <c r="H159" s="100">
        <v>6005166551</v>
      </c>
    </row>
    <row r="160" spans="1:8" s="79" customFormat="1">
      <c r="A160" s="99">
        <v>6005186552</v>
      </c>
      <c r="B160" t="s">
        <v>447</v>
      </c>
      <c r="C160" s="272" t="s">
        <v>318</v>
      </c>
      <c r="D160" t="s">
        <v>34</v>
      </c>
      <c r="E160" s="272" t="s">
        <v>335</v>
      </c>
      <c r="F160" s="100"/>
      <c r="G160" s="100"/>
      <c r="H160" s="100">
        <v>6005186552</v>
      </c>
    </row>
    <row r="161" spans="1:9" s="79" customFormat="1">
      <c r="A161" s="99">
        <v>6005246551</v>
      </c>
      <c r="B161" t="s">
        <v>448</v>
      </c>
      <c r="C161" s="272" t="s">
        <v>318</v>
      </c>
      <c r="D161" t="s">
        <v>39</v>
      </c>
      <c r="E161" s="272" t="s">
        <v>295</v>
      </c>
      <c r="F161" s="100"/>
      <c r="G161" s="100"/>
      <c r="H161" s="100">
        <v>6005246551</v>
      </c>
    </row>
    <row r="162" spans="1:9" s="79" customFormat="1">
      <c r="A162" s="99">
        <v>6005246552</v>
      </c>
      <c r="B162" t="s">
        <v>449</v>
      </c>
      <c r="C162" s="272" t="s">
        <v>318</v>
      </c>
      <c r="D162" t="s">
        <v>45</v>
      </c>
      <c r="E162" s="272" t="s">
        <v>345</v>
      </c>
      <c r="F162" s="100"/>
      <c r="G162" s="100"/>
      <c r="H162" s="100">
        <v>6005246552</v>
      </c>
    </row>
    <row r="163" spans="1:9" s="79" customFormat="1">
      <c r="A163" s="99">
        <v>6005246553</v>
      </c>
      <c r="B163" t="s">
        <v>450</v>
      </c>
      <c r="C163" s="272" t="s">
        <v>318</v>
      </c>
      <c r="D163" t="s">
        <v>46</v>
      </c>
      <c r="E163" s="272" t="s">
        <v>351</v>
      </c>
      <c r="F163" s="100"/>
      <c r="G163" s="100"/>
      <c r="H163" s="100">
        <v>6005246553</v>
      </c>
    </row>
    <row r="164" spans="1:9" s="79" customFormat="1">
      <c r="A164" s="99">
        <v>6004046421</v>
      </c>
      <c r="B164" t="s">
        <v>451</v>
      </c>
      <c r="C164" s="272" t="s">
        <v>452</v>
      </c>
      <c r="D164" t="s">
        <v>33</v>
      </c>
      <c r="E164" s="272" t="s">
        <v>169</v>
      </c>
      <c r="F164" s="100"/>
      <c r="G164" s="100">
        <v>6004046421</v>
      </c>
      <c r="H164" s="100"/>
    </row>
    <row r="165" spans="1:9" s="79" customFormat="1">
      <c r="A165" s="99">
        <v>6005016422</v>
      </c>
      <c r="B165" t="s">
        <v>453</v>
      </c>
      <c r="C165" s="272" t="s">
        <v>454</v>
      </c>
      <c r="D165" t="s">
        <v>21</v>
      </c>
      <c r="E165" s="272" t="s">
        <v>176</v>
      </c>
      <c r="F165" s="100"/>
      <c r="G165" s="100">
        <v>6005016422</v>
      </c>
      <c r="H165" s="100"/>
      <c r="I165" t="s">
        <v>154</v>
      </c>
    </row>
    <row r="166" spans="1:9" s="79" customFormat="1">
      <c r="A166" s="99">
        <v>6005016423</v>
      </c>
      <c r="B166" t="s">
        <v>455</v>
      </c>
      <c r="C166" s="272" t="s">
        <v>454</v>
      </c>
      <c r="D166" t="s">
        <v>22</v>
      </c>
      <c r="E166" s="272" t="s">
        <v>183</v>
      </c>
      <c r="F166" s="100"/>
      <c r="G166" s="100">
        <v>6005016423</v>
      </c>
      <c r="H166" s="100">
        <v>6005016423</v>
      </c>
      <c r="I166" t="s">
        <v>167</v>
      </c>
    </row>
    <row r="167" spans="1:9" s="79" customFormat="1">
      <c r="A167" s="99">
        <v>6005126423</v>
      </c>
      <c r="B167" t="s">
        <v>456</v>
      </c>
      <c r="C167" s="272" t="s">
        <v>457</v>
      </c>
      <c r="D167" t="s">
        <v>38</v>
      </c>
      <c r="E167" s="272" t="s">
        <v>288</v>
      </c>
      <c r="F167" s="100"/>
      <c r="G167" s="100">
        <v>6005126423</v>
      </c>
      <c r="H167" s="100"/>
    </row>
    <row r="168" spans="1:9" s="79" customFormat="1">
      <c r="A168" s="99">
        <v>6006016611</v>
      </c>
      <c r="B168" t="s">
        <v>458</v>
      </c>
      <c r="C168" s="272" t="s">
        <v>189</v>
      </c>
      <c r="D168" t="s">
        <v>16</v>
      </c>
      <c r="E168" s="272" t="s">
        <v>190</v>
      </c>
      <c r="F168" s="100"/>
      <c r="G168" s="100">
        <v>6006016611</v>
      </c>
      <c r="H168" s="100"/>
    </row>
    <row r="169" spans="1:9" s="79" customFormat="1">
      <c r="A169" s="99">
        <v>6006016612</v>
      </c>
      <c r="B169" t="s">
        <v>459</v>
      </c>
      <c r="C169" s="272" t="s">
        <v>189</v>
      </c>
      <c r="D169" t="s">
        <v>16</v>
      </c>
      <c r="E169" s="272" t="s">
        <v>190</v>
      </c>
      <c r="F169" s="100"/>
      <c r="G169" s="100">
        <v>6006016612</v>
      </c>
      <c r="H169" s="100"/>
    </row>
    <row r="170" spans="1:9" s="79" customFormat="1">
      <c r="A170" s="99">
        <v>6006016613</v>
      </c>
      <c r="B170" t="s">
        <v>460</v>
      </c>
      <c r="C170" s="272" t="s">
        <v>189</v>
      </c>
      <c r="D170" t="s">
        <v>16</v>
      </c>
      <c r="E170" s="272" t="s">
        <v>190</v>
      </c>
      <c r="F170" s="100"/>
      <c r="G170" s="100">
        <v>6006016613</v>
      </c>
      <c r="H170" s="100"/>
    </row>
    <row r="171" spans="1:9" s="79" customFormat="1">
      <c r="A171" s="99">
        <v>6006016614</v>
      </c>
      <c r="B171" t="s">
        <v>461</v>
      </c>
      <c r="C171" s="272" t="s">
        <v>189</v>
      </c>
      <c r="D171" t="s">
        <v>16</v>
      </c>
      <c r="E171" s="272" t="s">
        <v>190</v>
      </c>
      <c r="F171" s="100"/>
      <c r="G171" s="100">
        <v>6006016614</v>
      </c>
      <c r="H171" s="100"/>
    </row>
    <row r="172" spans="1:9" s="79" customFormat="1">
      <c r="A172" s="99">
        <v>6006016615</v>
      </c>
      <c r="B172" t="s">
        <v>462</v>
      </c>
      <c r="C172" s="272" t="s">
        <v>189</v>
      </c>
      <c r="D172" t="s">
        <v>16</v>
      </c>
      <c r="E172" s="272" t="s">
        <v>190</v>
      </c>
      <c r="F172" s="100"/>
      <c r="G172" s="100">
        <v>6006016615</v>
      </c>
      <c r="H172" s="100"/>
    </row>
    <row r="173" spans="1:9" s="79" customFormat="1">
      <c r="A173" s="99">
        <v>6006016616</v>
      </c>
      <c r="B173" t="s">
        <v>463</v>
      </c>
      <c r="C173" s="272" t="s">
        <v>189</v>
      </c>
      <c r="D173" t="s">
        <v>16</v>
      </c>
      <c r="E173" s="272" t="s">
        <v>190</v>
      </c>
      <c r="F173" s="100"/>
      <c r="G173" s="100">
        <v>6006016616</v>
      </c>
      <c r="H173" s="100"/>
    </row>
    <row r="174" spans="1:9" s="79" customFormat="1">
      <c r="A174" s="99">
        <v>6006016617</v>
      </c>
      <c r="B174" t="s">
        <v>464</v>
      </c>
      <c r="C174" s="272" t="s">
        <v>189</v>
      </c>
      <c r="D174" t="s">
        <v>16</v>
      </c>
      <c r="E174" s="272" t="s">
        <v>190</v>
      </c>
      <c r="F174" s="100"/>
      <c r="G174" s="100">
        <v>6006016617</v>
      </c>
      <c r="H174" s="100"/>
    </row>
    <row r="175" spans="1:9" s="79" customFormat="1">
      <c r="A175" s="99">
        <v>6006016618</v>
      </c>
      <c r="B175" t="s">
        <v>465</v>
      </c>
      <c r="C175" s="272" t="s">
        <v>189</v>
      </c>
      <c r="D175" t="s">
        <v>16</v>
      </c>
      <c r="E175" s="272" t="s">
        <v>190</v>
      </c>
      <c r="F175" s="100"/>
      <c r="G175" s="100">
        <v>6006016618</v>
      </c>
      <c r="H175" s="100"/>
    </row>
    <row r="176" spans="1:9" s="79" customFormat="1">
      <c r="A176" s="99">
        <v>6006016619</v>
      </c>
      <c r="B176" t="s">
        <v>466</v>
      </c>
      <c r="C176" s="272" t="s">
        <v>189</v>
      </c>
      <c r="D176" t="s">
        <v>16</v>
      </c>
      <c r="E176" s="272" t="s">
        <v>190</v>
      </c>
      <c r="F176" s="100"/>
      <c r="G176" s="100">
        <v>6006016619</v>
      </c>
      <c r="H176" s="100"/>
    </row>
    <row r="177" spans="1:9" s="79" customFormat="1">
      <c r="A177" s="99">
        <v>6006016620</v>
      </c>
      <c r="B177" t="s">
        <v>467</v>
      </c>
      <c r="C177" s="272" t="s">
        <v>189</v>
      </c>
      <c r="D177" t="s">
        <v>16</v>
      </c>
      <c r="E177" s="272" t="s">
        <v>190</v>
      </c>
      <c r="F177" s="100"/>
      <c r="G177" s="100">
        <v>6006016620</v>
      </c>
      <c r="H177" s="100"/>
    </row>
    <row r="178" spans="1:9" s="79" customFormat="1">
      <c r="A178" s="99">
        <v>6006016621</v>
      </c>
      <c r="B178" t="s">
        <v>468</v>
      </c>
      <c r="C178" s="272" t="s">
        <v>189</v>
      </c>
      <c r="D178" t="s">
        <v>16</v>
      </c>
      <c r="E178" s="272" t="s">
        <v>190</v>
      </c>
      <c r="F178" s="100"/>
      <c r="G178" s="100">
        <v>6006016621</v>
      </c>
      <c r="H178" s="100"/>
    </row>
    <row r="179" spans="1:9" s="79" customFormat="1">
      <c r="A179" s="99">
        <v>6006016622</v>
      </c>
      <c r="B179" t="s">
        <v>469</v>
      </c>
      <c r="C179" s="272" t="s">
        <v>189</v>
      </c>
      <c r="D179" t="s">
        <v>16</v>
      </c>
      <c r="E179" s="272" t="s">
        <v>190</v>
      </c>
      <c r="F179" s="100"/>
      <c r="G179" s="100">
        <v>6006016622</v>
      </c>
      <c r="H179" s="100"/>
    </row>
    <row r="180" spans="1:9" s="79" customFormat="1">
      <c r="A180" s="99">
        <v>6006016623</v>
      </c>
      <c r="B180" t="s">
        <v>470</v>
      </c>
      <c r="C180" s="272" t="s">
        <v>189</v>
      </c>
      <c r="D180" t="s">
        <v>16</v>
      </c>
      <c r="E180" s="272" t="s">
        <v>190</v>
      </c>
      <c r="F180" s="100"/>
      <c r="G180" s="100">
        <v>6006016623</v>
      </c>
      <c r="H180" s="100"/>
    </row>
    <row r="181" spans="1:9" s="79" customFormat="1">
      <c r="A181" s="99">
        <v>6006016624</v>
      </c>
      <c r="B181" t="s">
        <v>471</v>
      </c>
      <c r="C181" s="272" t="s">
        <v>189</v>
      </c>
      <c r="D181" t="s">
        <v>16</v>
      </c>
      <c r="E181" s="272" t="s">
        <v>190</v>
      </c>
      <c r="F181" s="100"/>
      <c r="G181" s="100">
        <v>6006016624</v>
      </c>
      <c r="H181" s="100"/>
    </row>
    <row r="182" spans="1:9" s="79" customFormat="1">
      <c r="A182" s="99">
        <v>6006016625</v>
      </c>
      <c r="B182" t="s">
        <v>472</v>
      </c>
      <c r="C182" s="272" t="s">
        <v>189</v>
      </c>
      <c r="D182" t="s">
        <v>16</v>
      </c>
      <c r="E182" s="272" t="s">
        <v>190</v>
      </c>
      <c r="F182" s="100"/>
      <c r="G182" s="100">
        <v>6006016625</v>
      </c>
      <c r="H182" s="100"/>
    </row>
    <row r="183" spans="1:9" s="79" customFormat="1">
      <c r="A183" s="99">
        <v>6006016626</v>
      </c>
      <c r="B183" t="s">
        <v>473</v>
      </c>
      <c r="C183" s="272" t="s">
        <v>189</v>
      </c>
      <c r="D183" t="s">
        <v>16</v>
      </c>
      <c r="E183" s="272" t="s">
        <v>190</v>
      </c>
      <c r="F183" s="100"/>
      <c r="G183" s="100">
        <v>6006016626</v>
      </c>
      <c r="H183" s="100"/>
    </row>
    <row r="184" spans="1:9" s="79" customFormat="1">
      <c r="A184" s="99">
        <v>6006016627</v>
      </c>
      <c r="B184" t="s">
        <v>474</v>
      </c>
      <c r="C184" s="272" t="s">
        <v>189</v>
      </c>
      <c r="D184" t="s">
        <v>16</v>
      </c>
      <c r="E184" s="272" t="s">
        <v>190</v>
      </c>
      <c r="F184" s="100"/>
      <c r="G184" s="100">
        <v>6006016627</v>
      </c>
      <c r="H184" s="100"/>
    </row>
    <row r="185" spans="1:9" s="79" customFormat="1">
      <c r="A185" s="99">
        <v>6006016628</v>
      </c>
      <c r="B185" t="s">
        <v>475</v>
      </c>
      <c r="C185" s="272" t="s">
        <v>189</v>
      </c>
      <c r="D185" t="s">
        <v>16</v>
      </c>
      <c r="E185" s="272" t="s">
        <v>190</v>
      </c>
      <c r="F185" s="100"/>
      <c r="G185" s="100">
        <v>6006016628</v>
      </c>
      <c r="H185" s="100"/>
    </row>
    <row r="186" spans="1:9" s="79" customFormat="1">
      <c r="A186" s="99">
        <v>6006016629</v>
      </c>
      <c r="B186" t="s">
        <v>476</v>
      </c>
      <c r="C186" s="272" t="s">
        <v>189</v>
      </c>
      <c r="D186" t="s">
        <v>16</v>
      </c>
      <c r="E186" s="272" t="s">
        <v>190</v>
      </c>
      <c r="F186" s="100"/>
      <c r="G186" s="100">
        <v>6006016629</v>
      </c>
      <c r="H186" s="100"/>
    </row>
    <row r="187" spans="1:9" s="79" customFormat="1">
      <c r="A187" s="99">
        <v>6006016630</v>
      </c>
      <c r="B187" t="s">
        <v>477</v>
      </c>
      <c r="C187" s="272" t="s">
        <v>189</v>
      </c>
      <c r="D187" t="s">
        <v>16</v>
      </c>
      <c r="E187" s="272" t="s">
        <v>190</v>
      </c>
      <c r="F187" s="100"/>
      <c r="G187" s="100">
        <v>6006016630</v>
      </c>
      <c r="H187" s="100"/>
      <c r="I187" t="s">
        <v>478</v>
      </c>
    </row>
    <row r="188" spans="1:9" s="79" customFormat="1">
      <c r="A188" s="99">
        <v>6005186425</v>
      </c>
      <c r="B188" t="s">
        <v>479</v>
      </c>
      <c r="C188" s="272" t="s">
        <v>480</v>
      </c>
      <c r="D188" t="s">
        <v>34</v>
      </c>
      <c r="E188" s="272" t="s">
        <v>335</v>
      </c>
      <c r="F188" s="100"/>
      <c r="G188" s="100">
        <v>6005186425</v>
      </c>
      <c r="H188" s="100"/>
    </row>
    <row r="189" spans="1:9" s="79" customFormat="1">
      <c r="A189" s="99">
        <v>6005186429</v>
      </c>
      <c r="B189" t="s">
        <v>481</v>
      </c>
      <c r="C189" s="272" t="s">
        <v>480</v>
      </c>
      <c r="D189" t="s">
        <v>34</v>
      </c>
      <c r="E189" s="272" t="s">
        <v>335</v>
      </c>
      <c r="F189" s="100"/>
      <c r="G189" s="100">
        <v>6005186429</v>
      </c>
      <c r="H189" s="100"/>
    </row>
    <row r="190" spans="1:9" s="79" customFormat="1">
      <c r="A190" s="99">
        <v>6005266426</v>
      </c>
      <c r="B190" t="s">
        <v>482</v>
      </c>
      <c r="C190" s="272" t="s">
        <v>483</v>
      </c>
      <c r="D190" t="s">
        <v>45</v>
      </c>
      <c r="E190" s="272" t="s">
        <v>345</v>
      </c>
      <c r="F190" s="100"/>
      <c r="G190" s="100">
        <v>6005266426</v>
      </c>
      <c r="H190" s="100"/>
    </row>
    <row r="191" spans="1:9" s="79" customFormat="1">
      <c r="A191" s="99">
        <v>6004096621</v>
      </c>
      <c r="B191" t="s">
        <v>484</v>
      </c>
      <c r="C191" s="272" t="s">
        <v>485</v>
      </c>
      <c r="D191" t="s">
        <v>41</v>
      </c>
      <c r="E191" s="272" t="s">
        <v>235</v>
      </c>
      <c r="F191" s="100"/>
      <c r="G191" s="100">
        <v>6004096621</v>
      </c>
      <c r="H191" s="100"/>
    </row>
    <row r="192" spans="1:9" s="79" customFormat="1">
      <c r="A192" s="99">
        <v>6005046622</v>
      </c>
      <c r="B192" t="s">
        <v>486</v>
      </c>
      <c r="C192" s="272" t="s">
        <v>485</v>
      </c>
      <c r="D192" t="s">
        <v>27</v>
      </c>
      <c r="E192" s="272" t="s">
        <v>238</v>
      </c>
      <c r="F192" s="100"/>
      <c r="G192" s="100">
        <v>6005046622</v>
      </c>
      <c r="H192" s="100"/>
    </row>
    <row r="193" spans="1:8" s="79" customFormat="1">
      <c r="A193" s="99">
        <v>6005046635</v>
      </c>
      <c r="B193" t="s">
        <v>487</v>
      </c>
      <c r="C193" s="272" t="s">
        <v>485</v>
      </c>
      <c r="D193" t="s">
        <v>27</v>
      </c>
      <c r="E193" s="272" t="s">
        <v>238</v>
      </c>
      <c r="F193" s="100"/>
      <c r="G193" s="100">
        <v>6005046635</v>
      </c>
      <c r="H193" s="100"/>
    </row>
    <row r="194" spans="1:8" s="79" customFormat="1">
      <c r="A194" s="99">
        <v>6005056623</v>
      </c>
      <c r="B194" t="s">
        <v>488</v>
      </c>
      <c r="C194" s="272" t="s">
        <v>485</v>
      </c>
      <c r="D194" t="s">
        <v>26</v>
      </c>
      <c r="E194" s="272" t="s">
        <v>247</v>
      </c>
      <c r="F194" s="100"/>
      <c r="G194" s="100">
        <v>6005056623</v>
      </c>
      <c r="H194" s="100"/>
    </row>
    <row r="195" spans="1:8" s="79" customFormat="1">
      <c r="A195" s="99">
        <v>6005056624</v>
      </c>
      <c r="B195" t="s">
        <v>489</v>
      </c>
      <c r="C195" s="272" t="s">
        <v>485</v>
      </c>
      <c r="D195" t="s">
        <v>26</v>
      </c>
      <c r="E195" s="272" t="s">
        <v>247</v>
      </c>
      <c r="F195" s="100"/>
      <c r="G195" s="100">
        <v>6005056624</v>
      </c>
      <c r="H195" s="100"/>
    </row>
    <row r="196" spans="1:8" s="79" customFormat="1">
      <c r="A196" s="99">
        <v>6005056625</v>
      </c>
      <c r="B196" t="s">
        <v>490</v>
      </c>
      <c r="C196" s="272" t="s">
        <v>485</v>
      </c>
      <c r="D196" t="s">
        <v>26</v>
      </c>
      <c r="E196" s="272" t="s">
        <v>247</v>
      </c>
      <c r="F196" s="100"/>
      <c r="G196" s="100">
        <v>6005056625</v>
      </c>
      <c r="H196" s="100"/>
    </row>
    <row r="197" spans="1:8" s="79" customFormat="1">
      <c r="A197" s="99">
        <v>6005136626</v>
      </c>
      <c r="B197" t="s">
        <v>491</v>
      </c>
      <c r="C197" s="272" t="s">
        <v>485</v>
      </c>
      <c r="D197" t="s">
        <v>37</v>
      </c>
      <c r="E197" s="272" t="s">
        <v>285</v>
      </c>
      <c r="F197" s="100"/>
      <c r="G197" s="100">
        <v>6005136626</v>
      </c>
      <c r="H197" s="100"/>
    </row>
    <row r="198" spans="1:8" s="79" customFormat="1">
      <c r="A198" s="99">
        <v>6005146627</v>
      </c>
      <c r="B198" t="s">
        <v>492</v>
      </c>
      <c r="C198" s="272" t="s">
        <v>485</v>
      </c>
      <c r="D198" t="s">
        <v>38</v>
      </c>
      <c r="E198" s="272" t="s">
        <v>288</v>
      </c>
      <c r="F198" s="100"/>
      <c r="G198" s="100">
        <v>6005146627</v>
      </c>
      <c r="H198" s="100"/>
    </row>
    <row r="199" spans="1:8" s="79" customFormat="1">
      <c r="A199" s="99">
        <v>6005146628</v>
      </c>
      <c r="B199" t="s">
        <v>493</v>
      </c>
      <c r="C199" s="272" t="s">
        <v>485</v>
      </c>
      <c r="D199" t="s">
        <v>38</v>
      </c>
      <c r="E199" s="272" t="s">
        <v>288</v>
      </c>
      <c r="F199" s="100"/>
      <c r="G199" s="100">
        <v>6005146628</v>
      </c>
      <c r="H199" s="100"/>
    </row>
    <row r="200" spans="1:8" s="79" customFormat="1">
      <c r="A200" s="99">
        <v>6005146629</v>
      </c>
      <c r="B200" t="s">
        <v>494</v>
      </c>
      <c r="C200" s="272" t="s">
        <v>485</v>
      </c>
      <c r="D200" t="s">
        <v>38</v>
      </c>
      <c r="E200" s="272" t="s">
        <v>288</v>
      </c>
      <c r="F200" s="100"/>
      <c r="G200" s="100">
        <v>6005146629</v>
      </c>
      <c r="H200" s="100"/>
    </row>
    <row r="201" spans="1:8" s="79" customFormat="1">
      <c r="A201" s="99">
        <v>6005156630</v>
      </c>
      <c r="B201" t="s">
        <v>495</v>
      </c>
      <c r="C201" s="272" t="s">
        <v>485</v>
      </c>
      <c r="D201" t="s">
        <v>45</v>
      </c>
      <c r="E201" s="272" t="s">
        <v>345</v>
      </c>
      <c r="F201" s="100"/>
      <c r="G201" s="100">
        <v>6005156630</v>
      </c>
      <c r="H201" s="100"/>
    </row>
    <row r="202" spans="1:8" s="79" customFormat="1">
      <c r="A202" s="99">
        <v>6005206631</v>
      </c>
      <c r="B202" t="s">
        <v>496</v>
      </c>
      <c r="C202" s="272" t="s">
        <v>485</v>
      </c>
      <c r="D202" t="s">
        <v>39</v>
      </c>
      <c r="E202" s="272" t="s">
        <v>295</v>
      </c>
      <c r="F202" s="100"/>
      <c r="G202" s="100">
        <v>6005206631</v>
      </c>
      <c r="H202" s="100"/>
    </row>
    <row r="203" spans="1:8" s="79" customFormat="1">
      <c r="A203" s="99">
        <v>6005216632</v>
      </c>
      <c r="B203" t="s">
        <v>497</v>
      </c>
      <c r="C203" s="272" t="s">
        <v>485</v>
      </c>
      <c r="D203" t="s">
        <v>36</v>
      </c>
      <c r="E203" s="272" t="s">
        <v>298</v>
      </c>
      <c r="F203" s="100"/>
      <c r="G203" s="100">
        <v>6005216632</v>
      </c>
      <c r="H203" s="100"/>
    </row>
    <row r="204" spans="1:8" s="79" customFormat="1">
      <c r="A204" s="99">
        <v>6005226633</v>
      </c>
      <c r="B204" t="s">
        <v>498</v>
      </c>
      <c r="C204" s="272" t="s">
        <v>485</v>
      </c>
      <c r="D204" t="s">
        <v>19</v>
      </c>
      <c r="E204" s="272" t="s">
        <v>301</v>
      </c>
      <c r="F204" s="100"/>
      <c r="G204" s="100">
        <v>6005226633</v>
      </c>
      <c r="H204" s="100"/>
    </row>
    <row r="205" spans="1:8" s="79" customFormat="1">
      <c r="A205" s="99">
        <v>6005236634</v>
      </c>
      <c r="B205" t="s">
        <v>499</v>
      </c>
      <c r="C205" s="272" t="s">
        <v>485</v>
      </c>
      <c r="D205" t="s">
        <v>18</v>
      </c>
      <c r="E205" s="272" t="s">
        <v>304</v>
      </c>
      <c r="F205" s="100"/>
      <c r="G205" s="100">
        <v>6005236634</v>
      </c>
      <c r="H205" s="100"/>
    </row>
    <row r="206" spans="1:8" s="79" customFormat="1">
      <c r="A206" s="99">
        <v>6005246636</v>
      </c>
      <c r="B206" t="s">
        <v>500</v>
      </c>
      <c r="C206" s="272" t="s">
        <v>485</v>
      </c>
      <c r="D206" t="s">
        <v>35</v>
      </c>
      <c r="E206" s="272" t="s">
        <v>309</v>
      </c>
      <c r="F206" s="100"/>
      <c r="G206" s="100">
        <v>6005246636</v>
      </c>
      <c r="H206" s="100"/>
    </row>
    <row r="207" spans="1:8" s="79" customFormat="1">
      <c r="A207" s="99">
        <v>6005246672</v>
      </c>
      <c r="B207" t="s">
        <v>501</v>
      </c>
      <c r="C207" s="272" t="s">
        <v>485</v>
      </c>
      <c r="D207" t="s">
        <v>35</v>
      </c>
      <c r="E207" s="272" t="s">
        <v>309</v>
      </c>
      <c r="F207" s="100"/>
      <c r="G207" s="100">
        <v>6005246672</v>
      </c>
      <c r="H207" s="100"/>
    </row>
    <row r="208" spans="1:8" s="79" customFormat="1">
      <c r="A208" s="99">
        <v>6005246673</v>
      </c>
      <c r="B208" t="s">
        <v>502</v>
      </c>
      <c r="C208" s="272" t="s">
        <v>485</v>
      </c>
      <c r="D208" t="s">
        <v>35</v>
      </c>
      <c r="E208" s="272" t="s">
        <v>309</v>
      </c>
      <c r="F208" s="100"/>
      <c r="G208" s="100">
        <v>6005246673</v>
      </c>
      <c r="H208" s="100"/>
    </row>
    <row r="209" spans="1:9" s="79" customFormat="1">
      <c r="A209" s="99">
        <v>6005246674</v>
      </c>
      <c r="B209" t="s">
        <v>503</v>
      </c>
      <c r="C209" s="272" t="s">
        <v>485</v>
      </c>
      <c r="D209" t="s">
        <v>35</v>
      </c>
      <c r="E209" s="272" t="s">
        <v>309</v>
      </c>
      <c r="F209" s="100"/>
      <c r="G209" s="100">
        <v>6005246674</v>
      </c>
      <c r="H209" s="100"/>
    </row>
    <row r="210" spans="1:9" s="79" customFormat="1">
      <c r="A210" s="99">
        <v>6004086651</v>
      </c>
      <c r="B210" t="s">
        <v>504</v>
      </c>
      <c r="C210" s="272" t="s">
        <v>318</v>
      </c>
      <c r="D210" t="s">
        <v>40</v>
      </c>
      <c r="E210" s="272" t="s">
        <v>319</v>
      </c>
      <c r="F210" s="100"/>
      <c r="G210" s="100">
        <v>6004086651</v>
      </c>
      <c r="H210" s="100"/>
    </row>
    <row r="211" spans="1:9" s="79" customFormat="1">
      <c r="A211" s="99">
        <v>6004086653</v>
      </c>
      <c r="B211" t="s">
        <v>505</v>
      </c>
      <c r="C211" s="272" t="s">
        <v>318</v>
      </c>
      <c r="D211" t="s">
        <v>41</v>
      </c>
      <c r="E211" s="272" t="s">
        <v>235</v>
      </c>
      <c r="F211" s="100"/>
      <c r="G211" s="100">
        <v>6004086653</v>
      </c>
      <c r="H211" s="100"/>
    </row>
    <row r="212" spans="1:9" s="79" customFormat="1">
      <c r="A212" s="99">
        <v>6005116654</v>
      </c>
      <c r="B212" t="s">
        <v>506</v>
      </c>
      <c r="C212" s="272" t="s">
        <v>318</v>
      </c>
      <c r="D212" t="s">
        <v>24</v>
      </c>
      <c r="E212" s="272" t="s">
        <v>324</v>
      </c>
      <c r="F212" s="100"/>
      <c r="G212" s="100">
        <v>6005116654</v>
      </c>
      <c r="H212" s="100"/>
    </row>
    <row r="213" spans="1:9" s="79" customFormat="1">
      <c r="A213" s="99">
        <v>6005116655</v>
      </c>
      <c r="B213" t="s">
        <v>507</v>
      </c>
      <c r="C213" s="272" t="s">
        <v>318</v>
      </c>
      <c r="D213" t="s">
        <v>25</v>
      </c>
      <c r="E213" s="272" t="s">
        <v>327</v>
      </c>
      <c r="F213" s="100"/>
      <c r="G213" s="100">
        <v>6005116655</v>
      </c>
      <c r="H213" s="100"/>
    </row>
    <row r="214" spans="1:9" s="79" customFormat="1">
      <c r="A214" s="99">
        <v>6005136657</v>
      </c>
      <c r="B214" t="s">
        <v>508</v>
      </c>
      <c r="C214" s="272" t="s">
        <v>318</v>
      </c>
      <c r="D214" t="s">
        <v>37</v>
      </c>
      <c r="E214" s="272" t="s">
        <v>285</v>
      </c>
      <c r="F214" s="100"/>
      <c r="G214" s="100">
        <v>6005136657</v>
      </c>
      <c r="H214" s="100"/>
    </row>
    <row r="215" spans="1:9" s="79" customFormat="1">
      <c r="A215" s="99">
        <v>6005166658</v>
      </c>
      <c r="B215" t="s">
        <v>509</v>
      </c>
      <c r="C215" s="272" t="s">
        <v>318</v>
      </c>
      <c r="D215" t="s">
        <v>44</v>
      </c>
      <c r="E215" s="272" t="s">
        <v>332</v>
      </c>
      <c r="F215" s="100"/>
      <c r="G215" s="100">
        <v>6005166658</v>
      </c>
      <c r="H215" s="100"/>
    </row>
    <row r="216" spans="1:9" s="79" customFormat="1">
      <c r="A216" s="99">
        <v>6005176659</v>
      </c>
      <c r="B216" t="s">
        <v>510</v>
      </c>
      <c r="C216" s="272" t="s">
        <v>318</v>
      </c>
      <c r="D216" t="s">
        <v>45</v>
      </c>
      <c r="E216" s="272" t="s">
        <v>345</v>
      </c>
      <c r="F216" s="100"/>
      <c r="G216" s="100">
        <v>6005176659</v>
      </c>
      <c r="H216" s="100"/>
    </row>
    <row r="217" spans="1:9" s="79" customFormat="1">
      <c r="A217" s="99">
        <v>6005246671</v>
      </c>
      <c r="B217" t="s">
        <v>511</v>
      </c>
      <c r="C217" s="272" t="s">
        <v>318</v>
      </c>
      <c r="D217" t="s">
        <v>45</v>
      </c>
      <c r="E217" s="272" t="s">
        <v>345</v>
      </c>
      <c r="F217" s="100"/>
      <c r="G217" s="100">
        <v>6005246671</v>
      </c>
      <c r="H217" s="100"/>
    </row>
    <row r="218" spans="1:9" s="79" customFormat="1">
      <c r="A218" s="99">
        <v>6005246675</v>
      </c>
      <c r="B218" t="s">
        <v>512</v>
      </c>
      <c r="C218" s="272" t="s">
        <v>318</v>
      </c>
      <c r="D218" t="s">
        <v>39</v>
      </c>
      <c r="E218" s="272" t="s">
        <v>295</v>
      </c>
      <c r="F218" s="100"/>
      <c r="G218" s="100">
        <v>6005246675</v>
      </c>
      <c r="H218" s="100"/>
    </row>
    <row r="219" spans="1:9" s="79" customFormat="1">
      <c r="A219" s="99">
        <v>6005246676</v>
      </c>
      <c r="B219" t="s">
        <v>513</v>
      </c>
      <c r="C219" s="272" t="s">
        <v>318</v>
      </c>
      <c r="D219" t="s">
        <v>45</v>
      </c>
      <c r="E219" s="272" t="s">
        <v>345</v>
      </c>
      <c r="F219" s="100"/>
      <c r="G219" s="100">
        <v>6005246676</v>
      </c>
      <c r="H219" s="100"/>
      <c r="I219" t="s">
        <v>349</v>
      </c>
    </row>
    <row r="220" spans="1:9" s="79" customFormat="1">
      <c r="A220" s="99">
        <v>8001017111</v>
      </c>
      <c r="B220" t="s">
        <v>514</v>
      </c>
      <c r="C220" s="272" t="s">
        <v>141</v>
      </c>
      <c r="D220" t="s">
        <v>48</v>
      </c>
      <c r="E220" s="272" t="s">
        <v>515</v>
      </c>
      <c r="F220" s="100" t="s">
        <v>516</v>
      </c>
      <c r="G220" s="100">
        <v>8001017111</v>
      </c>
      <c r="H220" s="100">
        <v>8001017111</v>
      </c>
    </row>
    <row r="221" spans="1:9" s="79" customFormat="1">
      <c r="A221" s="99">
        <v>8001027111</v>
      </c>
      <c r="B221" t="s">
        <v>517</v>
      </c>
      <c r="C221" s="272" t="s">
        <v>141</v>
      </c>
      <c r="D221" t="s">
        <v>48</v>
      </c>
      <c r="E221" s="272" t="s">
        <v>515</v>
      </c>
      <c r="F221" s="100" t="s">
        <v>518</v>
      </c>
      <c r="G221" s="100">
        <v>8001027111</v>
      </c>
      <c r="H221" s="100">
        <v>8001027111</v>
      </c>
    </row>
    <row r="222" spans="1:9" s="79" customFormat="1">
      <c r="A222" s="99">
        <v>8001037111</v>
      </c>
      <c r="B222" t="s">
        <v>519</v>
      </c>
      <c r="C222" s="272" t="s">
        <v>141</v>
      </c>
      <c r="D222" t="s">
        <v>48</v>
      </c>
      <c r="E222" s="272" t="s">
        <v>515</v>
      </c>
      <c r="F222" s="100" t="s">
        <v>520</v>
      </c>
      <c r="G222" s="100">
        <v>8001037111</v>
      </c>
      <c r="H222" s="100">
        <v>8001037111</v>
      </c>
    </row>
    <row r="223" spans="1:9" s="79" customFormat="1">
      <c r="A223" s="99">
        <v>7002048111</v>
      </c>
      <c r="B223" t="s">
        <v>43</v>
      </c>
      <c r="C223" s="272" t="s">
        <v>521</v>
      </c>
      <c r="D223" t="s">
        <v>43</v>
      </c>
      <c r="E223" s="272" t="s">
        <v>361</v>
      </c>
      <c r="F223" s="100" t="s">
        <v>522</v>
      </c>
      <c r="G223" s="100">
        <v>7002048111</v>
      </c>
      <c r="H223" s="100">
        <v>7002048111</v>
      </c>
    </row>
    <row r="224" spans="1:9" s="79" customFormat="1">
      <c r="A224" s="99">
        <v>7002048112</v>
      </c>
      <c r="B224" t="s">
        <v>47</v>
      </c>
      <c r="C224" s="272" t="s">
        <v>521</v>
      </c>
      <c r="D224" t="s">
        <v>47</v>
      </c>
      <c r="E224" s="272" t="s">
        <v>523</v>
      </c>
      <c r="F224" s="100" t="s">
        <v>524</v>
      </c>
      <c r="G224" s="100">
        <v>7002048112</v>
      </c>
      <c r="H224" s="100">
        <v>7002048112</v>
      </c>
    </row>
    <row r="225" spans="1:8" s="79" customFormat="1">
      <c r="A225" s="99">
        <v>8002018111</v>
      </c>
      <c r="B225" t="s">
        <v>525</v>
      </c>
      <c r="C225" s="272" t="s">
        <v>521</v>
      </c>
      <c r="D225" t="s">
        <v>49</v>
      </c>
      <c r="E225" s="272" t="s">
        <v>526</v>
      </c>
      <c r="F225" s="100" t="s">
        <v>527</v>
      </c>
      <c r="G225" s="100">
        <v>8002018111</v>
      </c>
      <c r="H225" s="100">
        <v>8002018111</v>
      </c>
    </row>
    <row r="226" spans="1:8" s="79" customFormat="1">
      <c r="A226" s="99">
        <v>8002028111</v>
      </c>
      <c r="B226" t="s">
        <v>528</v>
      </c>
      <c r="C226" s="272" t="s">
        <v>521</v>
      </c>
      <c r="D226" t="s">
        <v>49</v>
      </c>
      <c r="E226" s="272" t="s">
        <v>526</v>
      </c>
      <c r="F226" s="100" t="s">
        <v>529</v>
      </c>
      <c r="G226" s="100">
        <v>8002028111</v>
      </c>
      <c r="H226" s="100">
        <v>8002028111</v>
      </c>
    </row>
    <row r="227" spans="1:8" s="79" customFormat="1">
      <c r="A227" s="99">
        <v>8002038111</v>
      </c>
      <c r="B227" t="s">
        <v>530</v>
      </c>
      <c r="C227" s="272" t="s">
        <v>521</v>
      </c>
      <c r="D227" t="s">
        <v>49</v>
      </c>
      <c r="E227" s="272" t="s">
        <v>526</v>
      </c>
      <c r="F227" s="100" t="s">
        <v>531</v>
      </c>
      <c r="G227" s="100">
        <v>8002038111</v>
      </c>
      <c r="H227" s="100">
        <v>8002038111</v>
      </c>
    </row>
    <row r="228" spans="1:8" s="79" customFormat="1">
      <c r="A228" s="99">
        <v>9114120002</v>
      </c>
      <c r="B228" t="s">
        <v>3</v>
      </c>
      <c r="C228" s="272"/>
      <c r="D228" t="s">
        <v>3</v>
      </c>
      <c r="E228" s="272" t="s">
        <v>532</v>
      </c>
      <c r="F228" s="100" t="s">
        <v>533</v>
      </c>
      <c r="G228" s="100">
        <v>9114120002</v>
      </c>
      <c r="H228" s="100">
        <v>9114120002</v>
      </c>
    </row>
    <row r="229" spans="1:8" s="79" customFormat="1">
      <c r="A229" s="99">
        <v>9114120004</v>
      </c>
      <c r="B229" t="s">
        <v>6</v>
      </c>
      <c r="C229" s="272"/>
      <c r="D229" t="s">
        <v>6</v>
      </c>
      <c r="E229" s="272" t="s">
        <v>534</v>
      </c>
      <c r="F229" s="100" t="s">
        <v>535</v>
      </c>
      <c r="G229" s="100">
        <v>9114120004</v>
      </c>
      <c r="H229" s="100">
        <v>9114120004</v>
      </c>
    </row>
    <row r="230" spans="1:8" s="79" customFormat="1">
      <c r="A230" s="268">
        <v>9114120005</v>
      </c>
      <c r="B230" s="269" t="s">
        <v>536</v>
      </c>
      <c r="C230" s="272"/>
      <c r="D230" s="269" t="s">
        <v>55</v>
      </c>
      <c r="E230" s="272" t="s">
        <v>537</v>
      </c>
      <c r="F230" s="100" t="s">
        <v>538</v>
      </c>
      <c r="G230" s="100">
        <v>9114120005</v>
      </c>
      <c r="H230" s="100">
        <v>9114120005</v>
      </c>
    </row>
    <row r="231" spans="1:8" s="79" customFormat="1">
      <c r="A231" s="99">
        <v>9114120006</v>
      </c>
      <c r="B231" t="s">
        <v>116</v>
      </c>
      <c r="C231" s="272"/>
      <c r="D231" t="s">
        <v>10</v>
      </c>
      <c r="E231" s="272" t="s">
        <v>149</v>
      </c>
      <c r="F231" s="100" t="s">
        <v>539</v>
      </c>
      <c r="G231" s="100">
        <v>9114120006</v>
      </c>
      <c r="H231" s="100">
        <v>9114120006</v>
      </c>
    </row>
    <row r="232" spans="1:8" s="79" customFormat="1">
      <c r="A232" s="99">
        <v>9114120007</v>
      </c>
      <c r="B232" t="s">
        <v>540</v>
      </c>
      <c r="C232" s="272"/>
      <c r="D232" t="s">
        <v>53</v>
      </c>
      <c r="E232" s="272" t="s">
        <v>541</v>
      </c>
      <c r="F232" s="100" t="s">
        <v>542</v>
      </c>
      <c r="G232" s="100">
        <v>9114120007</v>
      </c>
      <c r="H232" s="100">
        <v>9114120007</v>
      </c>
    </row>
    <row r="233" spans="1:8" s="79" customFormat="1">
      <c r="A233" s="99">
        <v>9114120008</v>
      </c>
      <c r="B233" t="s">
        <v>13</v>
      </c>
      <c r="C233" s="272"/>
      <c r="D233" t="s">
        <v>13</v>
      </c>
      <c r="E233" s="272" t="s">
        <v>355</v>
      </c>
      <c r="F233" s="100" t="s">
        <v>543</v>
      </c>
      <c r="G233" s="100"/>
      <c r="H233" s="100"/>
    </row>
    <row r="234" spans="1:8" s="79" customFormat="1">
      <c r="A234" s="99">
        <v>9114120009</v>
      </c>
      <c r="B234" t="s">
        <v>118</v>
      </c>
      <c r="C234" s="272"/>
      <c r="D234" t="s">
        <v>54</v>
      </c>
      <c r="E234" s="272" t="s">
        <v>544</v>
      </c>
      <c r="F234" s="100" t="s">
        <v>545</v>
      </c>
      <c r="G234" s="100">
        <v>9114120009</v>
      </c>
      <c r="H234" s="100">
        <v>9114120009</v>
      </c>
    </row>
    <row r="235" spans="1:8" s="79" customFormat="1">
      <c r="A235" s="99">
        <v>9114120011</v>
      </c>
      <c r="B235" t="s">
        <v>50</v>
      </c>
      <c r="C235" s="272"/>
      <c r="D235" t="s">
        <v>50</v>
      </c>
      <c r="E235" s="272" t="s">
        <v>546</v>
      </c>
      <c r="F235" s="100" t="s">
        <v>547</v>
      </c>
      <c r="G235" s="100">
        <v>9114120011</v>
      </c>
      <c r="H235" s="100">
        <v>9114120011</v>
      </c>
    </row>
    <row r="236" spans="1:8" s="79" customFormat="1">
      <c r="A236" s="99">
        <v>9114120014</v>
      </c>
      <c r="B236" t="s">
        <v>7</v>
      </c>
      <c r="C236" s="272"/>
      <c r="D236" t="s">
        <v>7</v>
      </c>
      <c r="E236" s="272" t="s">
        <v>548</v>
      </c>
      <c r="F236" s="100" t="s">
        <v>549</v>
      </c>
      <c r="G236" s="100">
        <v>9114120014</v>
      </c>
      <c r="H236" s="100">
        <v>9114120014</v>
      </c>
    </row>
    <row r="237" spans="1:8" s="79" customFormat="1">
      <c r="A237" s="99">
        <v>9114120018</v>
      </c>
      <c r="B237" t="s">
        <v>57</v>
      </c>
      <c r="C237" s="272"/>
      <c r="D237" t="s">
        <v>57</v>
      </c>
      <c r="E237" s="272" t="s">
        <v>550</v>
      </c>
      <c r="F237" s="100" t="s">
        <v>551</v>
      </c>
      <c r="G237" s="100">
        <v>9114120018</v>
      </c>
      <c r="H237" s="100">
        <v>9114120018</v>
      </c>
    </row>
    <row r="238" spans="1:8" s="79" customFormat="1">
      <c r="A238" s="99">
        <v>9114120021</v>
      </c>
      <c r="B238" t="s">
        <v>60</v>
      </c>
      <c r="C238" s="272"/>
      <c r="D238" t="s">
        <v>60</v>
      </c>
      <c r="E238" s="272" t="s">
        <v>552</v>
      </c>
      <c r="F238" s="100" t="s">
        <v>553</v>
      </c>
      <c r="G238" s="100">
        <v>9114120021</v>
      </c>
      <c r="H238" s="100">
        <v>9114120021</v>
      </c>
    </row>
    <row r="239" spans="1:8" s="79" customFormat="1">
      <c r="A239" s="99">
        <v>9114120028</v>
      </c>
      <c r="B239" t="s">
        <v>52</v>
      </c>
      <c r="C239" s="272"/>
      <c r="D239" t="s">
        <v>52</v>
      </c>
      <c r="E239" s="272" t="s">
        <v>554</v>
      </c>
      <c r="F239" s="100" t="s">
        <v>555</v>
      </c>
      <c r="G239" s="100">
        <v>9114120028</v>
      </c>
      <c r="H239" s="100">
        <v>9114120028</v>
      </c>
    </row>
    <row r="240" spans="1:8" s="79" customFormat="1">
      <c r="A240" s="99">
        <v>9114120029</v>
      </c>
      <c r="B240" t="s">
        <v>84</v>
      </c>
      <c r="C240" s="272"/>
      <c r="D240" t="s">
        <v>84</v>
      </c>
      <c r="E240" s="272" t="s">
        <v>556</v>
      </c>
      <c r="F240" s="100" t="s">
        <v>557</v>
      </c>
      <c r="G240" s="100">
        <v>9114120029</v>
      </c>
      <c r="H240" s="100">
        <v>9114120029</v>
      </c>
    </row>
    <row r="241" spans="1:8" s="79" customFormat="1">
      <c r="A241" s="99">
        <v>9114120030</v>
      </c>
      <c r="B241" t="s">
        <v>85</v>
      </c>
      <c r="C241" s="272"/>
      <c r="D241" t="s">
        <v>85</v>
      </c>
      <c r="E241" s="272" t="s">
        <v>558</v>
      </c>
      <c r="F241" s="100" t="s">
        <v>559</v>
      </c>
      <c r="G241" s="100">
        <v>9114120030</v>
      </c>
      <c r="H241" s="100">
        <v>9114120030</v>
      </c>
    </row>
    <row r="242" spans="1:8" s="79" customFormat="1">
      <c r="A242" s="99"/>
      <c r="C242" s="272"/>
      <c r="E242" s="272"/>
      <c r="H242" s="100"/>
    </row>
    <row r="243" spans="1:8" s="79" customFormat="1">
      <c r="A243" s="99"/>
      <c r="C243" s="272"/>
      <c r="E243" s="272"/>
    </row>
    <row r="244" spans="1:8" s="79" customFormat="1">
      <c r="A244" s="99"/>
      <c r="C244" s="272"/>
      <c r="E244" s="272"/>
      <c r="H244" s="100"/>
    </row>
  </sheetData>
  <autoFilter ref="A1:I244" xr:uid="{00000000-0009-0000-0000-000004000000}"/>
  <pageMargins left="0.75" right="0.75" top="1" bottom="1" header="0.51200000000000001" footer="0.51200000000000001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E66"/>
  <sheetViews>
    <sheetView workbookViewId="0">
      <pane ySplit="1" topLeftCell="A43" activePane="bottomLeft" state="frozen"/>
      <selection pane="bottomLeft" activeCell="H58" sqref="H58"/>
    </sheetView>
  </sheetViews>
  <sheetFormatPr defaultColWidth="9" defaultRowHeight="13"/>
  <cols>
    <col min="1" max="1" width="11.54296875" style="267" bestFit="1" customWidth="1"/>
    <col min="2" max="2" width="19" style="265" bestFit="1" customWidth="1"/>
    <col min="3" max="3" width="3.81640625" style="266" bestFit="1" customWidth="1"/>
    <col min="4" max="4" width="10.26953125" style="265" bestFit="1" customWidth="1"/>
    <col min="5" max="5" width="9" style="265" customWidth="1"/>
    <col min="6" max="6" width="10.81640625" style="265" bestFit="1" customWidth="1"/>
    <col min="7" max="7" width="19.453125" style="265" bestFit="1" customWidth="1"/>
    <col min="8" max="8" width="9" style="265" customWidth="1"/>
    <col min="9" max="9" width="13.453125" style="265" customWidth="1"/>
    <col min="10" max="12" width="9" style="265" customWidth="1"/>
    <col min="13" max="16384" width="9" style="265"/>
  </cols>
  <sheetData>
    <row r="1" spans="1:5">
      <c r="A1" t="s">
        <v>560</v>
      </c>
      <c r="B1" t="s">
        <v>561</v>
      </c>
      <c r="C1" s="275" t="s">
        <v>562</v>
      </c>
      <c r="D1" t="s">
        <v>90</v>
      </c>
      <c r="E1" t="s">
        <v>91</v>
      </c>
    </row>
    <row r="2" spans="1:5">
      <c r="A2">
        <v>1412000004</v>
      </c>
      <c r="B2" t="s">
        <v>563</v>
      </c>
      <c r="C2" s="275" t="s">
        <v>564</v>
      </c>
      <c r="D2" t="s">
        <v>136</v>
      </c>
      <c r="E2" t="s">
        <v>136</v>
      </c>
    </row>
    <row r="3" spans="1:5">
      <c r="A3">
        <v>1412000005</v>
      </c>
      <c r="B3" t="s">
        <v>565</v>
      </c>
      <c r="C3" s="275" t="s">
        <v>566</v>
      </c>
      <c r="D3" t="s">
        <v>136</v>
      </c>
      <c r="E3" t="s">
        <v>136</v>
      </c>
    </row>
    <row r="4" spans="1:5">
      <c r="A4">
        <v>1412000081</v>
      </c>
      <c r="B4" t="s">
        <v>567</v>
      </c>
      <c r="C4" s="275" t="s">
        <v>568</v>
      </c>
      <c r="D4" t="s">
        <v>136</v>
      </c>
      <c r="E4" t="s">
        <v>136</v>
      </c>
    </row>
    <row r="5" spans="1:5">
      <c r="A5">
        <v>1412000066</v>
      </c>
      <c r="B5" t="s">
        <v>569</v>
      </c>
      <c r="C5" s="275" t="s">
        <v>570</v>
      </c>
      <c r="D5" t="s">
        <v>136</v>
      </c>
      <c r="E5" t="s">
        <v>136</v>
      </c>
    </row>
    <row r="6" spans="1:5">
      <c r="A6">
        <v>1412000034</v>
      </c>
      <c r="B6" t="s">
        <v>571</v>
      </c>
      <c r="C6" s="275" t="s">
        <v>572</v>
      </c>
      <c r="D6" t="s">
        <v>136</v>
      </c>
      <c r="E6" t="s">
        <v>136</v>
      </c>
    </row>
    <row r="7" spans="1:5">
      <c r="A7">
        <v>1412000056</v>
      </c>
      <c r="B7" t="s">
        <v>573</v>
      </c>
      <c r="C7" s="275" t="s">
        <v>574</v>
      </c>
      <c r="D7" t="s">
        <v>136</v>
      </c>
      <c r="E7" t="s">
        <v>136</v>
      </c>
    </row>
    <row r="8" spans="1:5">
      <c r="A8">
        <v>1412000050</v>
      </c>
      <c r="B8" t="s">
        <v>575</v>
      </c>
      <c r="C8" s="275" t="s">
        <v>576</v>
      </c>
      <c r="D8" t="s">
        <v>136</v>
      </c>
      <c r="E8" t="s">
        <v>136</v>
      </c>
    </row>
    <row r="9" spans="1:5">
      <c r="A9">
        <v>1412000077</v>
      </c>
      <c r="B9" t="s">
        <v>577</v>
      </c>
      <c r="C9" s="275" t="s">
        <v>578</v>
      </c>
      <c r="D9" t="s">
        <v>136</v>
      </c>
      <c r="E9" t="s">
        <v>136</v>
      </c>
    </row>
    <row r="10" spans="1:5">
      <c r="A10">
        <v>1412000083</v>
      </c>
      <c r="B10" t="s">
        <v>579</v>
      </c>
      <c r="C10" s="275" t="s">
        <v>580</v>
      </c>
      <c r="D10" t="s">
        <v>136</v>
      </c>
      <c r="E10" t="s">
        <v>136</v>
      </c>
    </row>
    <row r="11" spans="1:5">
      <c r="A11">
        <v>1412000057</v>
      </c>
      <c r="B11" t="s">
        <v>581</v>
      </c>
      <c r="C11" s="275" t="s">
        <v>582</v>
      </c>
      <c r="D11" t="s">
        <v>136</v>
      </c>
      <c r="E11" t="s">
        <v>136</v>
      </c>
    </row>
    <row r="12" spans="1:5">
      <c r="A12">
        <v>1412000078</v>
      </c>
      <c r="B12" t="s">
        <v>583</v>
      </c>
      <c r="C12" s="275" t="s">
        <v>584</v>
      </c>
      <c r="D12" t="s">
        <v>136</v>
      </c>
      <c r="E12" t="s">
        <v>136</v>
      </c>
    </row>
    <row r="13" spans="1:5">
      <c r="A13">
        <v>1412000062</v>
      </c>
      <c r="B13" t="s">
        <v>585</v>
      </c>
      <c r="C13" s="275" t="s">
        <v>586</v>
      </c>
      <c r="D13" t="s">
        <v>587</v>
      </c>
      <c r="E13" t="s">
        <v>136</v>
      </c>
    </row>
    <row r="14" spans="1:5">
      <c r="A14">
        <v>1412000036</v>
      </c>
      <c r="B14" t="s">
        <v>588</v>
      </c>
      <c r="C14" s="275" t="s">
        <v>589</v>
      </c>
      <c r="D14" t="s">
        <v>587</v>
      </c>
      <c r="E14" t="s">
        <v>136</v>
      </c>
    </row>
    <row r="15" spans="1:5">
      <c r="A15">
        <v>1412000103</v>
      </c>
      <c r="B15" t="s">
        <v>590</v>
      </c>
      <c r="C15" s="275" t="s">
        <v>591</v>
      </c>
      <c r="D15" t="s">
        <v>587</v>
      </c>
      <c r="E15" t="s">
        <v>136</v>
      </c>
    </row>
    <row r="16" spans="1:5">
      <c r="A16">
        <v>1412000063</v>
      </c>
      <c r="B16" t="s">
        <v>592</v>
      </c>
      <c r="C16" s="275" t="s">
        <v>593</v>
      </c>
      <c r="D16" t="s">
        <v>587</v>
      </c>
      <c r="E16" t="s">
        <v>136</v>
      </c>
    </row>
    <row r="17" spans="1:5">
      <c r="A17">
        <v>1412000048</v>
      </c>
      <c r="B17" t="s">
        <v>594</v>
      </c>
      <c r="C17" s="275" t="s">
        <v>595</v>
      </c>
      <c r="D17" t="s">
        <v>587</v>
      </c>
      <c r="E17" t="s">
        <v>136</v>
      </c>
    </row>
    <row r="18" spans="1:5">
      <c r="A18">
        <v>1412000055</v>
      </c>
      <c r="B18" t="s">
        <v>596</v>
      </c>
      <c r="C18" s="275" t="s">
        <v>597</v>
      </c>
      <c r="D18" t="s">
        <v>587</v>
      </c>
      <c r="E18" t="s">
        <v>136</v>
      </c>
    </row>
    <row r="19" spans="1:5">
      <c r="A19">
        <v>1412000073</v>
      </c>
      <c r="B19" t="s">
        <v>598</v>
      </c>
      <c r="C19" s="275" t="s">
        <v>599</v>
      </c>
      <c r="D19" t="s">
        <v>587</v>
      </c>
      <c r="E19" t="s">
        <v>136</v>
      </c>
    </row>
    <row r="20" spans="1:5">
      <c r="A20">
        <v>1412000008</v>
      </c>
      <c r="B20" t="s">
        <v>600</v>
      </c>
      <c r="C20" s="275" t="s">
        <v>601</v>
      </c>
      <c r="D20" t="s">
        <v>587</v>
      </c>
      <c r="E20" t="s">
        <v>136</v>
      </c>
    </row>
    <row r="21" spans="1:5">
      <c r="A21">
        <v>1412000094</v>
      </c>
      <c r="B21" t="s">
        <v>602</v>
      </c>
      <c r="C21" s="275" t="s">
        <v>603</v>
      </c>
      <c r="D21" t="s">
        <v>587</v>
      </c>
      <c r="E21" t="s">
        <v>136</v>
      </c>
    </row>
    <row r="22" spans="1:5">
      <c r="A22">
        <v>1412000080</v>
      </c>
      <c r="B22" t="s">
        <v>604</v>
      </c>
      <c r="C22" s="275" t="s">
        <v>605</v>
      </c>
      <c r="D22" t="s">
        <v>587</v>
      </c>
      <c r="E22" t="s">
        <v>136</v>
      </c>
    </row>
    <row r="23" spans="1:5">
      <c r="A23">
        <v>1412000087</v>
      </c>
      <c r="B23" t="s">
        <v>606</v>
      </c>
      <c r="C23" s="275" t="s">
        <v>607</v>
      </c>
      <c r="D23" t="s">
        <v>587</v>
      </c>
      <c r="E23" t="s">
        <v>136</v>
      </c>
    </row>
    <row r="24" spans="1:5">
      <c r="A24">
        <v>1412000088</v>
      </c>
      <c r="B24" t="s">
        <v>608</v>
      </c>
      <c r="C24" s="275" t="s">
        <v>609</v>
      </c>
      <c r="D24" t="s">
        <v>587</v>
      </c>
      <c r="E24" t="s">
        <v>136</v>
      </c>
    </row>
    <row r="25" spans="1:5">
      <c r="A25">
        <v>1412000072</v>
      </c>
      <c r="B25" t="s">
        <v>610</v>
      </c>
      <c r="C25" s="275" t="s">
        <v>611</v>
      </c>
      <c r="D25" t="s">
        <v>587</v>
      </c>
      <c r="E25" t="s">
        <v>138</v>
      </c>
    </row>
    <row r="26" spans="1:5">
      <c r="A26">
        <v>1412000053</v>
      </c>
      <c r="B26" t="s">
        <v>612</v>
      </c>
      <c r="C26" s="275" t="s">
        <v>613</v>
      </c>
      <c r="D26" t="s">
        <v>587</v>
      </c>
      <c r="E26" t="s">
        <v>136</v>
      </c>
    </row>
    <row r="27" spans="1:5">
      <c r="A27">
        <v>1412000104</v>
      </c>
      <c r="B27" t="s">
        <v>614</v>
      </c>
      <c r="C27" s="275" t="s">
        <v>615</v>
      </c>
      <c r="D27" t="s">
        <v>587</v>
      </c>
      <c r="E27" t="s">
        <v>136</v>
      </c>
    </row>
    <row r="28" spans="1:5">
      <c r="A28">
        <v>1412000105</v>
      </c>
      <c r="B28" t="s">
        <v>616</v>
      </c>
      <c r="C28" s="275" t="s">
        <v>617</v>
      </c>
      <c r="D28" t="s">
        <v>587</v>
      </c>
      <c r="E28" t="s">
        <v>136</v>
      </c>
    </row>
    <row r="29" spans="1:5">
      <c r="A29">
        <v>1412000075</v>
      </c>
      <c r="B29" t="s">
        <v>618</v>
      </c>
      <c r="C29" s="275" t="s">
        <v>619</v>
      </c>
      <c r="D29" t="s">
        <v>587</v>
      </c>
      <c r="E29" t="s">
        <v>136</v>
      </c>
    </row>
    <row r="30" spans="1:5">
      <c r="A30">
        <v>1412000044</v>
      </c>
      <c r="B30" t="s">
        <v>620</v>
      </c>
      <c r="C30" s="275" t="s">
        <v>621</v>
      </c>
      <c r="D30" t="s">
        <v>587</v>
      </c>
      <c r="E30" t="s">
        <v>136</v>
      </c>
    </row>
    <row r="31" spans="1:5">
      <c r="A31">
        <v>1412000054</v>
      </c>
      <c r="B31" t="s">
        <v>622</v>
      </c>
      <c r="C31" s="275" t="s">
        <v>623</v>
      </c>
      <c r="D31" t="s">
        <v>624</v>
      </c>
      <c r="E31" t="s">
        <v>136</v>
      </c>
    </row>
    <row r="32" spans="1:5">
      <c r="A32">
        <v>1412000010</v>
      </c>
      <c r="B32" t="s">
        <v>625</v>
      </c>
      <c r="C32" s="275" t="s">
        <v>626</v>
      </c>
      <c r="D32" t="s">
        <v>624</v>
      </c>
      <c r="E32" t="s">
        <v>136</v>
      </c>
    </row>
    <row r="33" spans="1:5">
      <c r="A33">
        <v>1412000013</v>
      </c>
      <c r="B33" t="s">
        <v>627</v>
      </c>
      <c r="C33" s="275" t="s">
        <v>628</v>
      </c>
      <c r="D33" t="s">
        <v>624</v>
      </c>
      <c r="E33" t="s">
        <v>136</v>
      </c>
    </row>
    <row r="34" spans="1:5">
      <c r="A34">
        <v>1412000092</v>
      </c>
      <c r="B34" t="s">
        <v>629</v>
      </c>
      <c r="C34" s="275" t="s">
        <v>630</v>
      </c>
      <c r="D34" t="s">
        <v>624</v>
      </c>
      <c r="E34" t="s">
        <v>136</v>
      </c>
    </row>
    <row r="35" spans="1:5">
      <c r="A35">
        <v>1412000035</v>
      </c>
      <c r="B35" t="s">
        <v>631</v>
      </c>
      <c r="C35" s="275" t="s">
        <v>632</v>
      </c>
      <c r="D35" t="s">
        <v>587</v>
      </c>
      <c r="E35" t="s">
        <v>136</v>
      </c>
    </row>
    <row r="36" spans="1:5">
      <c r="A36" s="277">
        <v>1412000108</v>
      </c>
      <c r="B36" s="277" t="s">
        <v>633</v>
      </c>
      <c r="C36" s="275" t="s">
        <v>634</v>
      </c>
      <c r="D36" t="s">
        <v>587</v>
      </c>
      <c r="E36" t="s">
        <v>136</v>
      </c>
    </row>
    <row r="37" spans="1:5">
      <c r="A37">
        <v>1412000006</v>
      </c>
      <c r="B37" t="s">
        <v>635</v>
      </c>
      <c r="C37" s="275" t="s">
        <v>636</v>
      </c>
      <c r="D37" t="s">
        <v>624</v>
      </c>
      <c r="E37" t="s">
        <v>136</v>
      </c>
    </row>
    <row r="38" spans="1:5">
      <c r="A38">
        <v>1412000089</v>
      </c>
      <c r="B38" t="s">
        <v>637</v>
      </c>
      <c r="C38" s="275" t="s">
        <v>638</v>
      </c>
      <c r="D38" t="s">
        <v>624</v>
      </c>
      <c r="E38" t="s">
        <v>136</v>
      </c>
    </row>
    <row r="39" spans="1:5">
      <c r="A39">
        <v>1412000040</v>
      </c>
      <c r="B39" t="s">
        <v>639</v>
      </c>
      <c r="C39" s="275" t="s">
        <v>640</v>
      </c>
      <c r="D39" t="s">
        <v>624</v>
      </c>
      <c r="E39" t="s">
        <v>136</v>
      </c>
    </row>
    <row r="40" spans="1:5">
      <c r="A40">
        <v>1412000106</v>
      </c>
      <c r="B40" t="s">
        <v>641</v>
      </c>
      <c r="C40" s="275" t="s">
        <v>642</v>
      </c>
      <c r="D40" t="s">
        <v>624</v>
      </c>
      <c r="E40" t="s">
        <v>136</v>
      </c>
    </row>
    <row r="41" spans="1:5">
      <c r="A41">
        <v>1412000039</v>
      </c>
      <c r="B41" t="s">
        <v>643</v>
      </c>
      <c r="C41" s="275" t="s">
        <v>644</v>
      </c>
      <c r="D41" t="s">
        <v>624</v>
      </c>
      <c r="E41" t="s">
        <v>136</v>
      </c>
    </row>
    <row r="42" spans="1:5">
      <c r="A42">
        <v>1412000016</v>
      </c>
      <c r="B42" t="s">
        <v>645</v>
      </c>
      <c r="C42" s="275" t="s">
        <v>646</v>
      </c>
      <c r="D42" t="s">
        <v>624</v>
      </c>
      <c r="E42" t="s">
        <v>136</v>
      </c>
    </row>
    <row r="43" spans="1:5">
      <c r="A43">
        <v>1412000069</v>
      </c>
      <c r="B43" t="s">
        <v>647</v>
      </c>
      <c r="C43" s="275" t="s">
        <v>648</v>
      </c>
      <c r="D43" t="s">
        <v>624</v>
      </c>
      <c r="E43" t="s">
        <v>136</v>
      </c>
    </row>
    <row r="44" spans="1:5">
      <c r="A44">
        <v>1412000084</v>
      </c>
      <c r="B44" t="s">
        <v>649</v>
      </c>
      <c r="C44" s="275" t="s">
        <v>650</v>
      </c>
      <c r="D44" t="s">
        <v>624</v>
      </c>
      <c r="E44" t="s">
        <v>136</v>
      </c>
    </row>
    <row r="45" spans="1:5">
      <c r="A45">
        <v>1412000018</v>
      </c>
      <c r="B45" t="s">
        <v>651</v>
      </c>
      <c r="C45" s="275" t="s">
        <v>652</v>
      </c>
      <c r="D45" t="s">
        <v>653</v>
      </c>
      <c r="E45" t="s">
        <v>136</v>
      </c>
    </row>
    <row r="46" spans="1:5">
      <c r="A46">
        <v>1412000019</v>
      </c>
      <c r="B46" t="s">
        <v>654</v>
      </c>
      <c r="C46" s="275" t="s">
        <v>655</v>
      </c>
      <c r="D46" t="s">
        <v>653</v>
      </c>
      <c r="E46" t="s">
        <v>136</v>
      </c>
    </row>
    <row r="47" spans="1:5">
      <c r="A47">
        <v>1412000058</v>
      </c>
      <c r="B47" t="s">
        <v>656</v>
      </c>
      <c r="C47" s="275" t="s">
        <v>657</v>
      </c>
      <c r="D47" t="s">
        <v>653</v>
      </c>
      <c r="E47" t="s">
        <v>136</v>
      </c>
    </row>
    <row r="48" spans="1:5">
      <c r="A48">
        <v>1412000042</v>
      </c>
      <c r="B48" t="s">
        <v>658</v>
      </c>
      <c r="C48" s="275" t="s">
        <v>659</v>
      </c>
      <c r="D48" t="s">
        <v>653</v>
      </c>
      <c r="E48" t="s">
        <v>136</v>
      </c>
    </row>
    <row r="49" spans="1:5">
      <c r="A49">
        <v>1412000021</v>
      </c>
      <c r="B49" t="s">
        <v>660</v>
      </c>
      <c r="C49" s="275" t="s">
        <v>661</v>
      </c>
      <c r="D49" t="s">
        <v>653</v>
      </c>
      <c r="E49" t="s">
        <v>136</v>
      </c>
    </row>
    <row r="50" spans="1:5">
      <c r="A50">
        <v>1412000070</v>
      </c>
      <c r="B50" t="s">
        <v>662</v>
      </c>
      <c r="C50" s="275" t="s">
        <v>663</v>
      </c>
      <c r="D50" t="s">
        <v>653</v>
      </c>
      <c r="E50" t="s">
        <v>136</v>
      </c>
    </row>
    <row r="51" spans="1:5">
      <c r="A51">
        <v>1412000022</v>
      </c>
      <c r="B51" t="s">
        <v>664</v>
      </c>
      <c r="C51" s="275" t="s">
        <v>665</v>
      </c>
      <c r="D51" t="s">
        <v>653</v>
      </c>
      <c r="E51" t="s">
        <v>136</v>
      </c>
    </row>
    <row r="52" spans="1:5">
      <c r="A52">
        <v>1412000024</v>
      </c>
      <c r="B52" t="s">
        <v>666</v>
      </c>
      <c r="C52" s="275" t="s">
        <v>667</v>
      </c>
      <c r="D52" t="s">
        <v>668</v>
      </c>
      <c r="E52" t="s">
        <v>137</v>
      </c>
    </row>
    <row r="53" spans="1:5">
      <c r="A53">
        <v>1412000025</v>
      </c>
      <c r="B53" t="s">
        <v>669</v>
      </c>
      <c r="C53" s="275" t="s">
        <v>670</v>
      </c>
      <c r="D53" t="s">
        <v>668</v>
      </c>
      <c r="E53" t="s">
        <v>137</v>
      </c>
    </row>
    <row r="54" spans="1:5">
      <c r="A54">
        <v>1412000026</v>
      </c>
      <c r="B54" t="s">
        <v>671</v>
      </c>
      <c r="C54" s="275" t="s">
        <v>672</v>
      </c>
      <c r="D54" t="s">
        <v>668</v>
      </c>
      <c r="E54" t="s">
        <v>137</v>
      </c>
    </row>
    <row r="55" spans="1:5">
      <c r="A55">
        <v>1412000093</v>
      </c>
      <c r="B55" t="s">
        <v>673</v>
      </c>
      <c r="C55" s="275" t="s">
        <v>674</v>
      </c>
      <c r="D55" t="s">
        <v>668</v>
      </c>
      <c r="E55" t="s">
        <v>137</v>
      </c>
    </row>
    <row r="56" spans="1:5">
      <c r="A56">
        <v>1412000028</v>
      </c>
      <c r="B56" t="s">
        <v>675</v>
      </c>
      <c r="C56" s="275" t="s">
        <v>676</v>
      </c>
      <c r="D56" t="s">
        <v>668</v>
      </c>
      <c r="E56" t="s">
        <v>137</v>
      </c>
    </row>
    <row r="57" spans="1:5">
      <c r="A57">
        <v>1412000029</v>
      </c>
      <c r="B57" t="s">
        <v>677</v>
      </c>
      <c r="C57" s="275" t="s">
        <v>678</v>
      </c>
      <c r="D57" t="s">
        <v>668</v>
      </c>
      <c r="E57" t="s">
        <v>137</v>
      </c>
    </row>
    <row r="58" spans="1:5">
      <c r="A58">
        <v>1412000091</v>
      </c>
      <c r="B58" t="s">
        <v>679</v>
      </c>
      <c r="C58" s="275" t="s">
        <v>680</v>
      </c>
      <c r="D58" t="s">
        <v>668</v>
      </c>
      <c r="E58" t="s">
        <v>137</v>
      </c>
    </row>
    <row r="59" spans="1:5">
      <c r="A59">
        <v>1412000086</v>
      </c>
      <c r="B59" t="s">
        <v>681</v>
      </c>
      <c r="C59" s="275" t="s">
        <v>682</v>
      </c>
      <c r="D59" t="s">
        <v>668</v>
      </c>
      <c r="E59" t="s">
        <v>137</v>
      </c>
    </row>
    <row r="60" spans="1:5">
      <c r="A60" t="s">
        <v>683</v>
      </c>
      <c r="B60" t="s">
        <v>684</v>
      </c>
      <c r="C60" s="275" t="s">
        <v>685</v>
      </c>
    </row>
    <row r="61" spans="1:5">
      <c r="A61">
        <v>1412000030</v>
      </c>
      <c r="B61" t="s">
        <v>686</v>
      </c>
      <c r="C61" s="275" t="s">
        <v>687</v>
      </c>
      <c r="D61" t="s">
        <v>668</v>
      </c>
      <c r="E61" t="s">
        <v>138</v>
      </c>
    </row>
    <row r="62" spans="1:5">
      <c r="A62">
        <v>1412000098</v>
      </c>
      <c r="B62" t="s">
        <v>688</v>
      </c>
      <c r="C62" s="275" t="s">
        <v>689</v>
      </c>
      <c r="D62" t="s">
        <v>136</v>
      </c>
      <c r="E62" t="s">
        <v>136</v>
      </c>
    </row>
    <row r="63" spans="1:5">
      <c r="A63">
        <v>1412000096</v>
      </c>
      <c r="B63" t="s">
        <v>690</v>
      </c>
      <c r="C63" s="275" t="s">
        <v>691</v>
      </c>
      <c r="D63" t="s">
        <v>136</v>
      </c>
      <c r="E63" t="s">
        <v>136</v>
      </c>
    </row>
    <row r="64" spans="1:5">
      <c r="A64">
        <v>1412000099</v>
      </c>
      <c r="B64" t="s">
        <v>692</v>
      </c>
      <c r="C64" s="275" t="s">
        <v>693</v>
      </c>
      <c r="D64" t="s">
        <v>136</v>
      </c>
      <c r="E64" t="s">
        <v>136</v>
      </c>
    </row>
    <row r="65" spans="1:5">
      <c r="A65">
        <v>1412000100</v>
      </c>
      <c r="B65" t="s">
        <v>694</v>
      </c>
      <c r="C65" s="275" t="s">
        <v>695</v>
      </c>
      <c r="D65" t="s">
        <v>136</v>
      </c>
      <c r="E65" t="s">
        <v>136</v>
      </c>
    </row>
    <row r="66" spans="1:5">
      <c r="A66">
        <v>1412000101</v>
      </c>
      <c r="B66" t="s">
        <v>696</v>
      </c>
      <c r="C66" s="275" t="s">
        <v>697</v>
      </c>
      <c r="D66" t="s">
        <v>136</v>
      </c>
      <c r="E66" t="s">
        <v>136</v>
      </c>
    </row>
  </sheetData>
  <autoFilter ref="A1:K479" xr:uid="{00000000-0009-0000-0000-000005000000}"/>
  <pageMargins left="0.75" right="0.75" top="1" bottom="1" header="0.51200000000000001" footer="0.5120000000000000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B14"/>
  <sheetViews>
    <sheetView workbookViewId="0">
      <selection activeCell="C14" sqref="C14:C15"/>
    </sheetView>
  </sheetViews>
  <sheetFormatPr defaultRowHeight="13"/>
  <cols>
    <col min="2" max="2" width="9" style="225" customWidth="1"/>
  </cols>
  <sheetData>
    <row r="2" spans="1:2">
      <c r="A2" s="113" t="s">
        <v>698</v>
      </c>
      <c r="B2" s="225" t="s">
        <v>699</v>
      </c>
    </row>
    <row r="3" spans="1:2" ht="14.5" customHeight="1">
      <c r="A3" s="87">
        <v>4</v>
      </c>
      <c r="B3" s="226">
        <v>20</v>
      </c>
    </row>
    <row r="4" spans="1:2" ht="14.5" customHeight="1">
      <c r="A4" s="87">
        <v>5</v>
      </c>
      <c r="B4" s="226">
        <v>19</v>
      </c>
    </row>
    <row r="5" spans="1:2" ht="14.5" customHeight="1">
      <c r="A5" s="87">
        <v>6</v>
      </c>
      <c r="B5" s="226">
        <v>22</v>
      </c>
    </row>
    <row r="6" spans="1:2" ht="14.5" customHeight="1">
      <c r="A6" s="87">
        <v>7</v>
      </c>
      <c r="B6" s="226">
        <v>23</v>
      </c>
    </row>
    <row r="7" spans="1:2" ht="14.5" customHeight="1">
      <c r="A7" s="87">
        <v>8</v>
      </c>
      <c r="B7" s="226">
        <v>19</v>
      </c>
    </row>
    <row r="8" spans="1:2" ht="14.5" customHeight="1">
      <c r="A8" s="87">
        <v>9</v>
      </c>
      <c r="B8" s="226">
        <v>20</v>
      </c>
    </row>
    <row r="9" spans="1:2" ht="14.5" customHeight="1">
      <c r="A9" s="87">
        <v>10</v>
      </c>
      <c r="B9" s="226">
        <v>22</v>
      </c>
    </row>
    <row r="10" spans="1:2" ht="14.5" customHeight="1">
      <c r="A10" s="87">
        <v>11</v>
      </c>
      <c r="B10" s="226">
        <v>21</v>
      </c>
    </row>
    <row r="11" spans="1:2" ht="14.5" customHeight="1">
      <c r="A11" s="87">
        <v>12</v>
      </c>
      <c r="B11" s="226">
        <v>22</v>
      </c>
    </row>
    <row r="12" spans="1:2" ht="14.5" customHeight="1">
      <c r="A12" s="87">
        <v>1</v>
      </c>
      <c r="B12" s="226">
        <v>20</v>
      </c>
    </row>
    <row r="13" spans="1:2" ht="14.5" customHeight="1">
      <c r="A13" s="87">
        <v>2</v>
      </c>
      <c r="B13" s="226">
        <v>12</v>
      </c>
    </row>
    <row r="14" spans="1:2" ht="14.5" customHeight="1">
      <c r="A14" s="87">
        <v>3</v>
      </c>
      <c r="B14" s="226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Đỗ Hải Thành(Do Hai Thanh)</dc:creator>
  <cp:keywords/>
  <dc:description/>
  <cp:lastModifiedBy>Nguyễn Thị Phương Anh(Nguyen Thi Phuong Anh)</cp:lastModifiedBy>
  <cp:revision/>
  <dcterms:created xsi:type="dcterms:W3CDTF">2002-04-10T08:05:47Z</dcterms:created>
  <dcterms:modified xsi:type="dcterms:W3CDTF">2026-07-21T06:44:08Z</dcterms:modified>
  <cp:category/>
  <cp:contentStatus/>
</cp:coreProperties>
</file>