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tup\tvn191876\Desktop\"/>
    </mc:Choice>
  </mc:AlternateContent>
  <xr:revisionPtr revIDLastSave="0" documentId="8_{4ED08259-9230-4FBF-A3FE-0AAA5CA9804C}" xr6:coauthVersionLast="47" xr6:coauthVersionMax="47" xr10:uidLastSave="{00000000-0000-0000-0000-000000000000}"/>
  <bookViews>
    <workbookView xWindow="-120" yWindow="-120" windowWidth="21840" windowHeight="13020" xr2:uid="{542E3C1D-E6B2-4F15-9F40-5954F10DD9E7}"/>
  </bookViews>
  <sheets>
    <sheet name="FY2027" sheetId="1" r:id="rId1"/>
  </sheets>
  <definedNames>
    <definedName name="_xlnm._FilterDatabase" localSheetId="0" hidden="1">'FY2027'!$A$2:$FH$38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" i="1" l="1"/>
  <c r="A39" i="1"/>
  <c r="F38" i="1"/>
  <c r="A38" i="1"/>
  <c r="H37" i="1"/>
  <c r="F37" i="1"/>
  <c r="A37" i="1"/>
  <c r="Q36" i="1"/>
  <c r="A36" i="1"/>
  <c r="A35" i="1"/>
  <c r="F34" i="1"/>
  <c r="A34" i="1"/>
  <c r="F33" i="1"/>
  <c r="A33" i="1"/>
  <c r="Q32" i="1"/>
  <c r="A32" i="1"/>
  <c r="N31" i="1"/>
  <c r="A31" i="1"/>
  <c r="A30" i="1"/>
  <c r="O29" i="1"/>
  <c r="A29" i="1"/>
  <c r="Q28" i="1"/>
  <c r="J28" i="1"/>
  <c r="A28" i="1"/>
  <c r="Q27" i="1"/>
  <c r="O27" i="1"/>
  <c r="A27" i="1"/>
  <c r="I26" i="1"/>
  <c r="G26" i="1"/>
  <c r="A26" i="1"/>
  <c r="F25" i="1"/>
  <c r="A25" i="1"/>
  <c r="P24" i="1"/>
  <c r="N24" i="1"/>
  <c r="A24" i="1"/>
  <c r="P23" i="1"/>
  <c r="N23" i="1"/>
  <c r="A23" i="1"/>
  <c r="L22" i="1"/>
  <c r="A22" i="1"/>
  <c r="Q21" i="1"/>
  <c r="A21" i="1"/>
  <c r="P20" i="1"/>
  <c r="A20" i="1"/>
  <c r="A19" i="1"/>
  <c r="A18" i="1"/>
  <c r="O17" i="1"/>
  <c r="M17" i="1"/>
  <c r="A17" i="1"/>
  <c r="A16" i="1"/>
  <c r="F15" i="1"/>
  <c r="A15" i="1"/>
  <c r="F14" i="1"/>
  <c r="A14" i="1"/>
  <c r="G13" i="1"/>
  <c r="A13" i="1"/>
  <c r="H12" i="1"/>
  <c r="A12" i="1"/>
  <c r="K11" i="1"/>
  <c r="H11" i="1"/>
  <c r="A11" i="1"/>
  <c r="G10" i="1"/>
  <c r="A10" i="1"/>
  <c r="A9" i="1"/>
  <c r="F8" i="1"/>
  <c r="A8" i="1"/>
  <c r="A7" i="1"/>
  <c r="F6" i="1"/>
  <c r="A6" i="1"/>
  <c r="P5" i="1"/>
  <c r="N5" i="1"/>
  <c r="A5" i="1"/>
  <c r="K4" i="1"/>
  <c r="H4" i="1"/>
  <c r="A4" i="1"/>
  <c r="Q3" i="1"/>
  <c r="A3" i="1"/>
</calcChain>
</file>

<file path=xl/sharedStrings.xml><?xml version="1.0" encoding="utf-8"?>
<sst xmlns="http://schemas.openxmlformats.org/spreadsheetml/2006/main" count="129" uniqueCount="122">
  <si>
    <t>DỰ TÍNH CHI PHÍ LÀM GIẤY TỜ CHO NGƯỜI NƯỚC NGOÀI FY2027</t>
  </si>
  <si>
    <t>No
STT</t>
  </si>
  <si>
    <t>社員番号Mã NV</t>
  </si>
  <si>
    <t>お名前
Name</t>
  </si>
  <si>
    <t>コードセンター
Mã costcenter</t>
  </si>
  <si>
    <t>コード
Mã tài khoản</t>
  </si>
  <si>
    <t>2026年4月</t>
  </si>
  <si>
    <t>2026年5月</t>
  </si>
  <si>
    <t>2026年6月</t>
  </si>
  <si>
    <t>2026年7月</t>
  </si>
  <si>
    <t>2026年8月</t>
  </si>
  <si>
    <t>2026年9月</t>
  </si>
  <si>
    <t>2026年10月</t>
  </si>
  <si>
    <t>2026年11月</t>
  </si>
  <si>
    <t>2026年12月</t>
  </si>
  <si>
    <t>2027年1月</t>
  </si>
  <si>
    <t>2027年2月</t>
  </si>
  <si>
    <t>2027年3月</t>
  </si>
  <si>
    <t>VN000128</t>
  </si>
  <si>
    <t>ASAKA HITOSHI</t>
  </si>
  <si>
    <t>Phòng ESD 2</t>
  </si>
  <si>
    <t>VN000055</t>
  </si>
  <si>
    <t>BAN HIROYUKI</t>
  </si>
  <si>
    <t>Phòng kỹ thuật chế tạo điện</t>
  </si>
  <si>
    <t>VN000137</t>
  </si>
  <si>
    <t>FUKUMA NOBUHIRO</t>
  </si>
  <si>
    <t>Phòng MD 2</t>
  </si>
  <si>
    <t>VN000066</t>
  </si>
  <si>
    <t>HIBINO MOTOAKI</t>
  </si>
  <si>
    <t>Phòng kỹ thuật sản xuất 2</t>
  </si>
  <si>
    <t>VN000090</t>
  </si>
  <si>
    <t>HIRAMATSU TATSUO</t>
  </si>
  <si>
    <t>Phòng quản lý kinh doanh</t>
  </si>
  <si>
    <t>VN000103</t>
  </si>
  <si>
    <t>ICHIGOTANI TETSUYA</t>
  </si>
  <si>
    <t>Phòng vật tư 2</t>
  </si>
  <si>
    <t>VN000102</t>
  </si>
  <si>
    <t>KAMINOGO TAKAFUMI</t>
  </si>
  <si>
    <t>Phòng chế tạo mực in</t>
  </si>
  <si>
    <t>VN000129</t>
  </si>
  <si>
    <t>KUNIMASA TAKUTO</t>
  </si>
  <si>
    <t>Phòng EI 2</t>
  </si>
  <si>
    <t>VN000131</t>
  </si>
  <si>
    <t>LEUNG HUNG WAI</t>
  </si>
  <si>
    <t>Phòng vật tư 3</t>
  </si>
  <si>
    <t>VN000126</t>
  </si>
  <si>
    <t>LI SHEN</t>
  </si>
  <si>
    <t>Phòng kỹ thuật linh kiện</t>
  </si>
  <si>
    <t>VN000127</t>
  </si>
  <si>
    <t>MAEDA RYOTA</t>
  </si>
  <si>
    <t>Phòng ESD 1</t>
  </si>
  <si>
    <t>VN000121</t>
  </si>
  <si>
    <t>MIYAGUCHI HIROYUKI</t>
  </si>
  <si>
    <t>VN000100</t>
  </si>
  <si>
    <t>MIYAJI SHINKI</t>
  </si>
  <si>
    <t>Phòng MD 4</t>
  </si>
  <si>
    <t>VN000130</t>
  </si>
  <si>
    <t>MIYAZAKI TADASHI</t>
  </si>
  <si>
    <t>Phòng EI 1</t>
  </si>
  <si>
    <t>VN000089</t>
  </si>
  <si>
    <t>MORITA TOMOHIRO</t>
  </si>
  <si>
    <t>Phòng nhân sự</t>
  </si>
  <si>
    <t>VN000124</t>
  </si>
  <si>
    <t>MORITA YUDAI</t>
  </si>
  <si>
    <t>Phòng kỹ thuật chế tạo cơ khí 2</t>
  </si>
  <si>
    <t>VN000123</t>
  </si>
  <si>
    <t>MORIZONO KOKI</t>
  </si>
  <si>
    <t>VN000057</t>
  </si>
  <si>
    <t>NAKAGAWA MASAHIRO</t>
  </si>
  <si>
    <t>Phòng kỹ thuật sản xuất 1</t>
  </si>
  <si>
    <t>VN000111</t>
  </si>
  <si>
    <t>NIINA RYO</t>
  </si>
  <si>
    <t>Phòng quản lý chất lượng linh kiện</t>
  </si>
  <si>
    <t>VN000108</t>
  </si>
  <si>
    <t>NISHIMURA TSUKASA</t>
  </si>
  <si>
    <t>Phòng đảm bảo chất lượng</t>
  </si>
  <si>
    <t>VN000134</t>
  </si>
  <si>
    <t>OKADA SEIJI</t>
  </si>
  <si>
    <t>Phòng quản lý vật tư</t>
  </si>
  <si>
    <t>VN000133</t>
  </si>
  <si>
    <t>ONISHI SHOTA</t>
  </si>
  <si>
    <t>VN000086</t>
  </si>
  <si>
    <t>ONISHI YUZO</t>
  </si>
  <si>
    <t>Phòng MD 3</t>
  </si>
  <si>
    <t>VN000106</t>
  </si>
  <si>
    <t>OTA RYOYA</t>
  </si>
  <si>
    <t>Phòng quản lý chất lượng công đoạn 1</t>
  </si>
  <si>
    <t>VN000135</t>
  </si>
  <si>
    <t>SAITO JUNYA</t>
  </si>
  <si>
    <t>Phòng quản lý chất lượng công đoạn 3</t>
  </si>
  <si>
    <t>VN000136</t>
  </si>
  <si>
    <t>SUGINO SHOTA</t>
  </si>
  <si>
    <t>VN000115</t>
  </si>
  <si>
    <t>SUZUKI SHIGERU</t>
  </si>
  <si>
    <t>Phòng hành chính</t>
  </si>
  <si>
    <t>VN000122</t>
  </si>
  <si>
    <t>TACHIBANA YUSUKE</t>
  </si>
  <si>
    <t>Phòng chế tạo công cụ điện</t>
  </si>
  <si>
    <t>VN000132</t>
  </si>
  <si>
    <t>TAKAHASHI SATORU</t>
  </si>
  <si>
    <t>VN000112</t>
  </si>
  <si>
    <t>TANAKA HIDEYOSHI</t>
  </si>
  <si>
    <t>Phòng chế tạo máy 1</t>
  </si>
  <si>
    <t>VN000050</t>
  </si>
  <si>
    <t>TANIDONO YUKI</t>
  </si>
  <si>
    <t>Phòng quản lý xuất nhập hàng hóa</t>
  </si>
  <si>
    <t>VN000088</t>
  </si>
  <si>
    <t>TOMITA TAKAMASA</t>
  </si>
  <si>
    <t>Phòng vật tư 1</t>
  </si>
  <si>
    <t>VN000139</t>
  </si>
  <si>
    <t>YAMANAKA TATSUYA</t>
  </si>
  <si>
    <t>Phòng MD 5</t>
  </si>
  <si>
    <t>VN000138</t>
  </si>
  <si>
    <t>YAMASHITA YUKIHIKO</t>
  </si>
  <si>
    <t>Phòng quản lý chất lượng công đoạn 2</t>
  </si>
  <si>
    <t>VN000125</t>
  </si>
  <si>
    <t>YANG LIANGWEI</t>
  </si>
  <si>
    <t>Phòng kỹ thuật khuôn</t>
  </si>
  <si>
    <t>VN000119</t>
  </si>
  <si>
    <t>YODA JUNYA</t>
  </si>
  <si>
    <t>VN000142</t>
  </si>
  <si>
    <t>HANAZAKI HITOSHI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</si>
</sst>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4"/>
      <name val="Times New Roman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rial"/>
      <family val="2"/>
      <charset val="128"/>
      <scheme val="minor"/>
    </font>
    <font>
      <sz val="12"/>
      <name val="Times New Roman"/>
      <family val="1"/>
    </font>
    <font>
      <sz val="14"/>
      <name val="Times New Roman"/>
      <family val="1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7" fillId="0" borderId="0" applyFont="0" applyFill="0" applyBorder="0" applyAlignment="0" applyProtection="0"/>
    <xf numFmtId="0" fontId="1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3" fillId="2" borderId="3" xfId="0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" fontId="5" fillId="3" borderId="3" xfId="0" quotePrefix="1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41" fontId="5" fillId="0" borderId="3" xfId="1" quotePrefix="1" applyFont="1" applyFill="1" applyBorder="1" applyAlignment="1">
      <alignment horizontal="left" vertical="center" wrapText="1"/>
    </xf>
    <xf numFmtId="41" fontId="5" fillId="0" borderId="3" xfId="1" quotePrefix="1" applyFont="1" applyFill="1" applyBorder="1" applyAlignment="1">
      <alignment horizontal="center" vertical="center"/>
    </xf>
    <xf numFmtId="41" fontId="5" fillId="0" borderId="3" xfId="1" quotePrefix="1" applyFont="1" applyFill="1" applyBorder="1" applyAlignment="1">
      <alignment horizontal="center" vertical="center" wrapText="1"/>
    </xf>
    <xf numFmtId="41" fontId="5" fillId="0" borderId="3" xfId="1" quotePrefix="1" applyFont="1" applyFill="1" applyBorder="1" applyAlignment="1">
      <alignment horizontal="left" vertical="center"/>
    </xf>
    <xf numFmtId="0" fontId="8" fillId="3" borderId="0" xfId="0" applyFont="1" applyFill="1"/>
    <xf numFmtId="0" fontId="9" fillId="3" borderId="0" xfId="0" applyFont="1" applyFill="1"/>
    <xf numFmtId="49" fontId="5" fillId="3" borderId="3" xfId="0" quotePrefix="1" applyNumberFormat="1" applyFont="1" applyFill="1" applyBorder="1" applyAlignment="1">
      <alignment horizontal="center" vertical="center"/>
    </xf>
    <xf numFmtId="49" fontId="5" fillId="0" borderId="3" xfId="0" quotePrefix="1" applyNumberFormat="1" applyFont="1" applyBorder="1" applyAlignment="1">
      <alignment horizontal="center" vertical="center"/>
    </xf>
    <xf numFmtId="1" fontId="5" fillId="3" borderId="3" xfId="2" quotePrefix="1" applyNumberFormat="1" applyFont="1" applyFill="1" applyBorder="1" applyAlignment="1">
      <alignment horizontal="center" vertical="center"/>
    </xf>
    <xf numFmtId="41" fontId="5" fillId="3" borderId="3" xfId="1" quotePrefix="1" applyFont="1" applyFill="1" applyBorder="1" applyAlignment="1">
      <alignment horizontal="center" vertical="center"/>
    </xf>
    <xf numFmtId="41" fontId="5" fillId="3" borderId="3" xfId="1" quotePrefix="1" applyFont="1" applyFill="1" applyBorder="1" applyAlignment="1">
      <alignment horizontal="left" vertical="center" wrapText="1"/>
    </xf>
    <xf numFmtId="41" fontId="5" fillId="3" borderId="3" xfId="1" quotePrefix="1" applyFont="1" applyFill="1" applyBorder="1" applyAlignment="1">
      <alignment horizontal="center" vertical="center" wrapText="1"/>
    </xf>
    <xf numFmtId="41" fontId="5" fillId="3" borderId="3" xfId="1" quotePrefix="1" applyFont="1" applyFill="1" applyBorder="1" applyAlignment="1">
      <alignment horizontal="left" vertical="center"/>
    </xf>
    <xf numFmtId="41" fontId="6" fillId="3" borderId="3" xfId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9" fillId="0" borderId="0" xfId="0" applyNumberFormat="1" applyFont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/>
    </xf>
    <xf numFmtId="41" fontId="9" fillId="0" borderId="0" xfId="1" applyFont="1" applyAlignment="1">
      <alignment horizontal="left"/>
    </xf>
    <xf numFmtId="1" fontId="9" fillId="0" borderId="0" xfId="0" applyNumberFormat="1" applyFont="1" applyAlignment="1">
      <alignment horizontal="left"/>
    </xf>
  </cellXfs>
  <cellStyles count="3">
    <cellStyle name="Comma [0]" xfId="1" builtinId="6"/>
    <cellStyle name="Normal" xfId="0" builtinId="0"/>
    <cellStyle name="Normal 3" xfId="2" xr:uid="{6C57146A-8E2A-4B2F-89A6-BBD07EF5350D}"/>
  </cellStyles>
  <dxfs count="11"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F0B7-E582-49BC-A086-BDF47AE47C27}">
  <dimension ref="A1:R47"/>
  <sheetViews>
    <sheetView tabSelected="1" zoomScale="80" zoomScaleNormal="80" zoomScaleSheetLayoutView="100" workbookViewId="0">
      <pane xSplit="3" ySplit="2" topLeftCell="D3" activePane="bottomRight" state="frozen"/>
      <selection activeCell="D6" sqref="D6"/>
      <selection pane="topRight" activeCell="D6" sqref="D6"/>
      <selection pane="bottomLeft" activeCell="D6" sqref="D6"/>
      <selection pane="bottomRight" activeCell="A2" sqref="A2"/>
    </sheetView>
  </sheetViews>
  <sheetFormatPr defaultRowHeight="18.75" outlineLevelCol="1"/>
  <cols>
    <col min="1" max="1" width="4.5546875" style="30" customWidth="1"/>
    <col min="2" max="2" width="9.109375" style="30" customWidth="1"/>
    <col min="3" max="3" width="30" style="35" customWidth="1"/>
    <col min="4" max="4" width="15.109375" style="37" customWidth="1"/>
    <col min="5" max="5" width="10.77734375" style="37" customWidth="1"/>
    <col min="6" max="6" width="9.44140625" style="31" customWidth="1"/>
    <col min="7" max="7" width="9.44140625" style="30" customWidth="1"/>
    <col min="8" max="10" width="9.44140625" style="30" customWidth="1" outlineLevel="1"/>
    <col min="11" max="11" width="9.44140625" customWidth="1"/>
    <col min="12" max="14" width="9.44140625" style="32" customWidth="1"/>
    <col min="15" max="16" width="9.44140625" style="30" customWidth="1"/>
    <col min="17" max="17" width="9.44140625" style="33" customWidth="1"/>
    <col min="18" max="18" width="37.88671875" style="34" customWidth="1"/>
    <col min="217" max="217" width="4.5546875" customWidth="1"/>
    <col min="218" max="218" width="9.109375" customWidth="1"/>
    <col min="219" max="219" width="21.88671875" customWidth="1"/>
    <col min="220" max="220" width="15.109375" customWidth="1"/>
    <col min="221" max="221" width="10.77734375" customWidth="1"/>
    <col min="222" max="224" width="11.109375" customWidth="1"/>
    <col min="225" max="225" width="5.33203125" customWidth="1"/>
    <col min="226" max="226" width="4.21875" customWidth="1"/>
    <col min="227" max="227" width="33.5546875" customWidth="1"/>
    <col min="228" max="228" width="40.44140625" customWidth="1"/>
    <col min="229" max="229" width="9.77734375" customWidth="1"/>
    <col min="230" max="230" width="9.33203125" customWidth="1"/>
    <col min="231" max="232" width="10.109375" customWidth="1"/>
    <col min="233" max="233" width="18.21875" customWidth="1"/>
    <col min="234" max="235" width="12.44140625" customWidth="1"/>
    <col min="236" max="237" width="10.109375" customWidth="1"/>
    <col min="238" max="241" width="6" customWidth="1"/>
    <col min="242" max="242" width="23.88671875" customWidth="1"/>
    <col min="243" max="244" width="11.6640625" customWidth="1"/>
    <col min="245" max="245" width="13.33203125" customWidth="1"/>
    <col min="246" max="248" width="10.109375" customWidth="1"/>
    <col min="249" max="249" width="9.88671875" customWidth="1"/>
    <col min="250" max="250" width="10.109375" customWidth="1"/>
    <col min="255" max="255" width="0" hidden="1" customWidth="1"/>
    <col min="258" max="258" width="13" customWidth="1"/>
    <col min="259" max="271" width="0" hidden="1" customWidth="1"/>
    <col min="274" max="274" width="14.109375" bestFit="1" customWidth="1"/>
    <col min="473" max="473" width="4.5546875" customWidth="1"/>
    <col min="474" max="474" width="9.109375" customWidth="1"/>
    <col min="475" max="475" width="21.88671875" customWidth="1"/>
    <col min="476" max="476" width="15.109375" customWidth="1"/>
    <col min="477" max="477" width="10.77734375" customWidth="1"/>
    <col min="478" max="480" width="11.109375" customWidth="1"/>
    <col min="481" max="481" width="5.33203125" customWidth="1"/>
    <col min="482" max="482" width="4.21875" customWidth="1"/>
    <col min="483" max="483" width="33.5546875" customWidth="1"/>
    <col min="484" max="484" width="40.44140625" customWidth="1"/>
    <col min="485" max="485" width="9.77734375" customWidth="1"/>
    <col min="486" max="486" width="9.33203125" customWidth="1"/>
    <col min="487" max="488" width="10.109375" customWidth="1"/>
    <col min="489" max="489" width="18.21875" customWidth="1"/>
    <col min="490" max="491" width="12.44140625" customWidth="1"/>
    <col min="492" max="493" width="10.109375" customWidth="1"/>
    <col min="494" max="497" width="6" customWidth="1"/>
    <col min="498" max="498" width="23.88671875" customWidth="1"/>
    <col min="499" max="500" width="11.6640625" customWidth="1"/>
    <col min="501" max="501" width="13.33203125" customWidth="1"/>
    <col min="502" max="504" width="10.109375" customWidth="1"/>
    <col min="505" max="505" width="9.88671875" customWidth="1"/>
    <col min="506" max="506" width="10.109375" customWidth="1"/>
    <col min="511" max="511" width="0" hidden="1" customWidth="1"/>
    <col min="514" max="514" width="13" customWidth="1"/>
    <col min="515" max="527" width="0" hidden="1" customWidth="1"/>
    <col min="530" max="530" width="14.109375" bestFit="1" customWidth="1"/>
    <col min="729" max="729" width="4.5546875" customWidth="1"/>
    <col min="730" max="730" width="9.109375" customWidth="1"/>
    <col min="731" max="731" width="21.88671875" customWidth="1"/>
    <col min="732" max="732" width="15.109375" customWidth="1"/>
    <col min="733" max="733" width="10.77734375" customWidth="1"/>
    <col min="734" max="736" width="11.109375" customWidth="1"/>
    <col min="737" max="737" width="5.33203125" customWidth="1"/>
    <col min="738" max="738" width="4.21875" customWidth="1"/>
    <col min="739" max="739" width="33.5546875" customWidth="1"/>
    <col min="740" max="740" width="40.44140625" customWidth="1"/>
    <col min="741" max="741" width="9.77734375" customWidth="1"/>
    <col min="742" max="742" width="9.33203125" customWidth="1"/>
    <col min="743" max="744" width="10.109375" customWidth="1"/>
    <col min="745" max="745" width="18.21875" customWidth="1"/>
    <col min="746" max="747" width="12.44140625" customWidth="1"/>
    <col min="748" max="749" width="10.109375" customWidth="1"/>
    <col min="750" max="753" width="6" customWidth="1"/>
    <col min="754" max="754" width="23.88671875" customWidth="1"/>
    <col min="755" max="756" width="11.6640625" customWidth="1"/>
    <col min="757" max="757" width="13.33203125" customWidth="1"/>
    <col min="758" max="760" width="10.109375" customWidth="1"/>
    <col min="761" max="761" width="9.88671875" customWidth="1"/>
    <col min="762" max="762" width="10.109375" customWidth="1"/>
    <col min="767" max="767" width="0" hidden="1" customWidth="1"/>
    <col min="770" max="770" width="13" customWidth="1"/>
    <col min="771" max="783" width="0" hidden="1" customWidth="1"/>
    <col min="786" max="786" width="14.109375" bestFit="1" customWidth="1"/>
    <col min="985" max="985" width="4.5546875" customWidth="1"/>
    <col min="986" max="986" width="9.109375" customWidth="1"/>
    <col min="987" max="987" width="21.88671875" customWidth="1"/>
    <col min="988" max="988" width="15.109375" customWidth="1"/>
    <col min="989" max="989" width="10.77734375" customWidth="1"/>
    <col min="990" max="992" width="11.109375" customWidth="1"/>
    <col min="993" max="993" width="5.33203125" customWidth="1"/>
    <col min="994" max="994" width="4.21875" customWidth="1"/>
    <col min="995" max="995" width="33.5546875" customWidth="1"/>
    <col min="996" max="996" width="40.44140625" customWidth="1"/>
    <col min="997" max="997" width="9.77734375" customWidth="1"/>
    <col min="998" max="998" width="9.33203125" customWidth="1"/>
    <col min="999" max="1000" width="10.109375" customWidth="1"/>
    <col min="1001" max="1001" width="18.21875" customWidth="1"/>
    <col min="1002" max="1003" width="12.44140625" customWidth="1"/>
    <col min="1004" max="1005" width="10.109375" customWidth="1"/>
    <col min="1006" max="1009" width="6" customWidth="1"/>
    <col min="1010" max="1010" width="23.88671875" customWidth="1"/>
    <col min="1011" max="1012" width="11.6640625" customWidth="1"/>
    <col min="1013" max="1013" width="13.33203125" customWidth="1"/>
    <col min="1014" max="1016" width="10.109375" customWidth="1"/>
    <col min="1017" max="1017" width="9.88671875" customWidth="1"/>
    <col min="1018" max="1018" width="10.109375" customWidth="1"/>
    <col min="1023" max="1023" width="0" hidden="1" customWidth="1"/>
    <col min="1026" max="1026" width="13" customWidth="1"/>
    <col min="1027" max="1039" width="0" hidden="1" customWidth="1"/>
    <col min="1042" max="1042" width="14.109375" bestFit="1" customWidth="1"/>
    <col min="1241" max="1241" width="4.5546875" customWidth="1"/>
    <col min="1242" max="1242" width="9.109375" customWidth="1"/>
    <col min="1243" max="1243" width="21.88671875" customWidth="1"/>
    <col min="1244" max="1244" width="15.109375" customWidth="1"/>
    <col min="1245" max="1245" width="10.77734375" customWidth="1"/>
    <col min="1246" max="1248" width="11.109375" customWidth="1"/>
    <col min="1249" max="1249" width="5.33203125" customWidth="1"/>
    <col min="1250" max="1250" width="4.21875" customWidth="1"/>
    <col min="1251" max="1251" width="33.5546875" customWidth="1"/>
    <col min="1252" max="1252" width="40.44140625" customWidth="1"/>
    <col min="1253" max="1253" width="9.77734375" customWidth="1"/>
    <col min="1254" max="1254" width="9.33203125" customWidth="1"/>
    <col min="1255" max="1256" width="10.109375" customWidth="1"/>
    <col min="1257" max="1257" width="18.21875" customWidth="1"/>
    <col min="1258" max="1259" width="12.44140625" customWidth="1"/>
    <col min="1260" max="1261" width="10.109375" customWidth="1"/>
    <col min="1262" max="1265" width="6" customWidth="1"/>
    <col min="1266" max="1266" width="23.88671875" customWidth="1"/>
    <col min="1267" max="1268" width="11.6640625" customWidth="1"/>
    <col min="1269" max="1269" width="13.33203125" customWidth="1"/>
    <col min="1270" max="1272" width="10.109375" customWidth="1"/>
    <col min="1273" max="1273" width="9.88671875" customWidth="1"/>
    <col min="1274" max="1274" width="10.109375" customWidth="1"/>
    <col min="1279" max="1279" width="0" hidden="1" customWidth="1"/>
    <col min="1282" max="1282" width="13" customWidth="1"/>
    <col min="1283" max="1295" width="0" hidden="1" customWidth="1"/>
    <col min="1298" max="1298" width="14.109375" bestFit="1" customWidth="1"/>
    <col min="1497" max="1497" width="4.5546875" customWidth="1"/>
    <col min="1498" max="1498" width="9.109375" customWidth="1"/>
    <col min="1499" max="1499" width="21.88671875" customWidth="1"/>
    <col min="1500" max="1500" width="15.109375" customWidth="1"/>
    <col min="1501" max="1501" width="10.77734375" customWidth="1"/>
    <col min="1502" max="1504" width="11.109375" customWidth="1"/>
    <col min="1505" max="1505" width="5.33203125" customWidth="1"/>
    <col min="1506" max="1506" width="4.21875" customWidth="1"/>
    <col min="1507" max="1507" width="33.5546875" customWidth="1"/>
    <col min="1508" max="1508" width="40.44140625" customWidth="1"/>
    <col min="1509" max="1509" width="9.77734375" customWidth="1"/>
    <col min="1510" max="1510" width="9.33203125" customWidth="1"/>
    <col min="1511" max="1512" width="10.109375" customWidth="1"/>
    <col min="1513" max="1513" width="18.21875" customWidth="1"/>
    <col min="1514" max="1515" width="12.44140625" customWidth="1"/>
    <col min="1516" max="1517" width="10.109375" customWidth="1"/>
    <col min="1518" max="1521" width="6" customWidth="1"/>
    <col min="1522" max="1522" width="23.88671875" customWidth="1"/>
    <col min="1523" max="1524" width="11.6640625" customWidth="1"/>
    <col min="1525" max="1525" width="13.33203125" customWidth="1"/>
    <col min="1526" max="1528" width="10.109375" customWidth="1"/>
    <col min="1529" max="1529" width="9.88671875" customWidth="1"/>
    <col min="1530" max="1530" width="10.109375" customWidth="1"/>
    <col min="1535" max="1535" width="0" hidden="1" customWidth="1"/>
    <col min="1538" max="1538" width="13" customWidth="1"/>
    <col min="1539" max="1551" width="0" hidden="1" customWidth="1"/>
    <col min="1554" max="1554" width="14.109375" bestFit="1" customWidth="1"/>
    <col min="1753" max="1753" width="4.5546875" customWidth="1"/>
    <col min="1754" max="1754" width="9.109375" customWidth="1"/>
    <col min="1755" max="1755" width="21.88671875" customWidth="1"/>
    <col min="1756" max="1756" width="15.109375" customWidth="1"/>
    <col min="1757" max="1757" width="10.77734375" customWidth="1"/>
    <col min="1758" max="1760" width="11.109375" customWidth="1"/>
    <col min="1761" max="1761" width="5.33203125" customWidth="1"/>
    <col min="1762" max="1762" width="4.21875" customWidth="1"/>
    <col min="1763" max="1763" width="33.5546875" customWidth="1"/>
    <col min="1764" max="1764" width="40.44140625" customWidth="1"/>
    <col min="1765" max="1765" width="9.77734375" customWidth="1"/>
    <col min="1766" max="1766" width="9.33203125" customWidth="1"/>
    <col min="1767" max="1768" width="10.109375" customWidth="1"/>
    <col min="1769" max="1769" width="18.21875" customWidth="1"/>
    <col min="1770" max="1771" width="12.44140625" customWidth="1"/>
    <col min="1772" max="1773" width="10.109375" customWidth="1"/>
    <col min="1774" max="1777" width="6" customWidth="1"/>
    <col min="1778" max="1778" width="23.88671875" customWidth="1"/>
    <col min="1779" max="1780" width="11.6640625" customWidth="1"/>
    <col min="1781" max="1781" width="13.33203125" customWidth="1"/>
    <col min="1782" max="1784" width="10.109375" customWidth="1"/>
    <col min="1785" max="1785" width="9.88671875" customWidth="1"/>
    <col min="1786" max="1786" width="10.109375" customWidth="1"/>
    <col min="1791" max="1791" width="0" hidden="1" customWidth="1"/>
    <col min="1794" max="1794" width="13" customWidth="1"/>
    <col min="1795" max="1807" width="0" hidden="1" customWidth="1"/>
    <col min="1810" max="1810" width="14.109375" bestFit="1" customWidth="1"/>
    <col min="2009" max="2009" width="4.5546875" customWidth="1"/>
    <col min="2010" max="2010" width="9.109375" customWidth="1"/>
    <col min="2011" max="2011" width="21.88671875" customWidth="1"/>
    <col min="2012" max="2012" width="15.109375" customWidth="1"/>
    <col min="2013" max="2013" width="10.77734375" customWidth="1"/>
    <col min="2014" max="2016" width="11.109375" customWidth="1"/>
    <col min="2017" max="2017" width="5.33203125" customWidth="1"/>
    <col min="2018" max="2018" width="4.21875" customWidth="1"/>
    <col min="2019" max="2019" width="33.5546875" customWidth="1"/>
    <col min="2020" max="2020" width="40.44140625" customWidth="1"/>
    <col min="2021" max="2021" width="9.77734375" customWidth="1"/>
    <col min="2022" max="2022" width="9.33203125" customWidth="1"/>
    <col min="2023" max="2024" width="10.109375" customWidth="1"/>
    <col min="2025" max="2025" width="18.21875" customWidth="1"/>
    <col min="2026" max="2027" width="12.44140625" customWidth="1"/>
    <col min="2028" max="2029" width="10.109375" customWidth="1"/>
    <col min="2030" max="2033" width="6" customWidth="1"/>
    <col min="2034" max="2034" width="23.88671875" customWidth="1"/>
    <col min="2035" max="2036" width="11.6640625" customWidth="1"/>
    <col min="2037" max="2037" width="13.33203125" customWidth="1"/>
    <col min="2038" max="2040" width="10.109375" customWidth="1"/>
    <col min="2041" max="2041" width="9.88671875" customWidth="1"/>
    <col min="2042" max="2042" width="10.109375" customWidth="1"/>
    <col min="2047" max="2047" width="0" hidden="1" customWidth="1"/>
    <col min="2050" max="2050" width="13" customWidth="1"/>
    <col min="2051" max="2063" width="0" hidden="1" customWidth="1"/>
    <col min="2066" max="2066" width="14.109375" bestFit="1" customWidth="1"/>
    <col min="2265" max="2265" width="4.5546875" customWidth="1"/>
    <col min="2266" max="2266" width="9.109375" customWidth="1"/>
    <col min="2267" max="2267" width="21.88671875" customWidth="1"/>
    <col min="2268" max="2268" width="15.109375" customWidth="1"/>
    <col min="2269" max="2269" width="10.77734375" customWidth="1"/>
    <col min="2270" max="2272" width="11.109375" customWidth="1"/>
    <col min="2273" max="2273" width="5.33203125" customWidth="1"/>
    <col min="2274" max="2274" width="4.21875" customWidth="1"/>
    <col min="2275" max="2275" width="33.5546875" customWidth="1"/>
    <col min="2276" max="2276" width="40.44140625" customWidth="1"/>
    <col min="2277" max="2277" width="9.77734375" customWidth="1"/>
    <col min="2278" max="2278" width="9.33203125" customWidth="1"/>
    <col min="2279" max="2280" width="10.109375" customWidth="1"/>
    <col min="2281" max="2281" width="18.21875" customWidth="1"/>
    <col min="2282" max="2283" width="12.44140625" customWidth="1"/>
    <col min="2284" max="2285" width="10.109375" customWidth="1"/>
    <col min="2286" max="2289" width="6" customWidth="1"/>
    <col min="2290" max="2290" width="23.88671875" customWidth="1"/>
    <col min="2291" max="2292" width="11.6640625" customWidth="1"/>
    <col min="2293" max="2293" width="13.33203125" customWidth="1"/>
    <col min="2294" max="2296" width="10.109375" customWidth="1"/>
    <col min="2297" max="2297" width="9.88671875" customWidth="1"/>
    <col min="2298" max="2298" width="10.109375" customWidth="1"/>
    <col min="2303" max="2303" width="0" hidden="1" customWidth="1"/>
    <col min="2306" max="2306" width="13" customWidth="1"/>
    <col min="2307" max="2319" width="0" hidden="1" customWidth="1"/>
    <col min="2322" max="2322" width="14.109375" bestFit="1" customWidth="1"/>
    <col min="2521" max="2521" width="4.5546875" customWidth="1"/>
    <col min="2522" max="2522" width="9.109375" customWidth="1"/>
    <col min="2523" max="2523" width="21.88671875" customWidth="1"/>
    <col min="2524" max="2524" width="15.109375" customWidth="1"/>
    <col min="2525" max="2525" width="10.77734375" customWidth="1"/>
    <col min="2526" max="2528" width="11.109375" customWidth="1"/>
    <col min="2529" max="2529" width="5.33203125" customWidth="1"/>
    <col min="2530" max="2530" width="4.21875" customWidth="1"/>
    <col min="2531" max="2531" width="33.5546875" customWidth="1"/>
    <col min="2532" max="2532" width="40.44140625" customWidth="1"/>
    <col min="2533" max="2533" width="9.77734375" customWidth="1"/>
    <col min="2534" max="2534" width="9.33203125" customWidth="1"/>
    <col min="2535" max="2536" width="10.109375" customWidth="1"/>
    <col min="2537" max="2537" width="18.21875" customWidth="1"/>
    <col min="2538" max="2539" width="12.44140625" customWidth="1"/>
    <col min="2540" max="2541" width="10.109375" customWidth="1"/>
    <col min="2542" max="2545" width="6" customWidth="1"/>
    <col min="2546" max="2546" width="23.88671875" customWidth="1"/>
    <col min="2547" max="2548" width="11.6640625" customWidth="1"/>
    <col min="2549" max="2549" width="13.33203125" customWidth="1"/>
    <col min="2550" max="2552" width="10.109375" customWidth="1"/>
    <col min="2553" max="2553" width="9.88671875" customWidth="1"/>
    <col min="2554" max="2554" width="10.109375" customWidth="1"/>
    <col min="2559" max="2559" width="0" hidden="1" customWidth="1"/>
    <col min="2562" max="2562" width="13" customWidth="1"/>
    <col min="2563" max="2575" width="0" hidden="1" customWidth="1"/>
    <col min="2578" max="2578" width="14.109375" bestFit="1" customWidth="1"/>
    <col min="2777" max="2777" width="4.5546875" customWidth="1"/>
    <col min="2778" max="2778" width="9.109375" customWidth="1"/>
    <col min="2779" max="2779" width="21.88671875" customWidth="1"/>
    <col min="2780" max="2780" width="15.109375" customWidth="1"/>
    <col min="2781" max="2781" width="10.77734375" customWidth="1"/>
    <col min="2782" max="2784" width="11.109375" customWidth="1"/>
    <col min="2785" max="2785" width="5.33203125" customWidth="1"/>
    <col min="2786" max="2786" width="4.21875" customWidth="1"/>
    <col min="2787" max="2787" width="33.5546875" customWidth="1"/>
    <col min="2788" max="2788" width="40.44140625" customWidth="1"/>
    <col min="2789" max="2789" width="9.77734375" customWidth="1"/>
    <col min="2790" max="2790" width="9.33203125" customWidth="1"/>
    <col min="2791" max="2792" width="10.109375" customWidth="1"/>
    <col min="2793" max="2793" width="18.21875" customWidth="1"/>
    <col min="2794" max="2795" width="12.44140625" customWidth="1"/>
    <col min="2796" max="2797" width="10.109375" customWidth="1"/>
    <col min="2798" max="2801" width="6" customWidth="1"/>
    <col min="2802" max="2802" width="23.88671875" customWidth="1"/>
    <col min="2803" max="2804" width="11.6640625" customWidth="1"/>
    <col min="2805" max="2805" width="13.33203125" customWidth="1"/>
    <col min="2806" max="2808" width="10.109375" customWidth="1"/>
    <col min="2809" max="2809" width="9.88671875" customWidth="1"/>
    <col min="2810" max="2810" width="10.109375" customWidth="1"/>
    <col min="2815" max="2815" width="0" hidden="1" customWidth="1"/>
    <col min="2818" max="2818" width="13" customWidth="1"/>
    <col min="2819" max="2831" width="0" hidden="1" customWidth="1"/>
    <col min="2834" max="2834" width="14.109375" bestFit="1" customWidth="1"/>
    <col min="3033" max="3033" width="4.5546875" customWidth="1"/>
    <col min="3034" max="3034" width="9.109375" customWidth="1"/>
    <col min="3035" max="3035" width="21.88671875" customWidth="1"/>
    <col min="3036" max="3036" width="15.109375" customWidth="1"/>
    <col min="3037" max="3037" width="10.77734375" customWidth="1"/>
    <col min="3038" max="3040" width="11.109375" customWidth="1"/>
    <col min="3041" max="3041" width="5.33203125" customWidth="1"/>
    <col min="3042" max="3042" width="4.21875" customWidth="1"/>
    <col min="3043" max="3043" width="33.5546875" customWidth="1"/>
    <col min="3044" max="3044" width="40.44140625" customWidth="1"/>
    <col min="3045" max="3045" width="9.77734375" customWidth="1"/>
    <col min="3046" max="3046" width="9.33203125" customWidth="1"/>
    <col min="3047" max="3048" width="10.109375" customWidth="1"/>
    <col min="3049" max="3049" width="18.21875" customWidth="1"/>
    <col min="3050" max="3051" width="12.44140625" customWidth="1"/>
    <col min="3052" max="3053" width="10.109375" customWidth="1"/>
    <col min="3054" max="3057" width="6" customWidth="1"/>
    <col min="3058" max="3058" width="23.88671875" customWidth="1"/>
    <col min="3059" max="3060" width="11.6640625" customWidth="1"/>
    <col min="3061" max="3061" width="13.33203125" customWidth="1"/>
    <col min="3062" max="3064" width="10.109375" customWidth="1"/>
    <col min="3065" max="3065" width="9.88671875" customWidth="1"/>
    <col min="3066" max="3066" width="10.109375" customWidth="1"/>
    <col min="3071" max="3071" width="0" hidden="1" customWidth="1"/>
    <col min="3074" max="3074" width="13" customWidth="1"/>
    <col min="3075" max="3087" width="0" hidden="1" customWidth="1"/>
    <col min="3090" max="3090" width="14.109375" bestFit="1" customWidth="1"/>
    <col min="3289" max="3289" width="4.5546875" customWidth="1"/>
    <col min="3290" max="3290" width="9.109375" customWidth="1"/>
    <col min="3291" max="3291" width="21.88671875" customWidth="1"/>
    <col min="3292" max="3292" width="15.109375" customWidth="1"/>
    <col min="3293" max="3293" width="10.77734375" customWidth="1"/>
    <col min="3294" max="3296" width="11.109375" customWidth="1"/>
    <col min="3297" max="3297" width="5.33203125" customWidth="1"/>
    <col min="3298" max="3298" width="4.21875" customWidth="1"/>
    <col min="3299" max="3299" width="33.5546875" customWidth="1"/>
    <col min="3300" max="3300" width="40.44140625" customWidth="1"/>
    <col min="3301" max="3301" width="9.77734375" customWidth="1"/>
    <col min="3302" max="3302" width="9.33203125" customWidth="1"/>
    <col min="3303" max="3304" width="10.109375" customWidth="1"/>
    <col min="3305" max="3305" width="18.21875" customWidth="1"/>
    <col min="3306" max="3307" width="12.44140625" customWidth="1"/>
    <col min="3308" max="3309" width="10.109375" customWidth="1"/>
    <col min="3310" max="3313" width="6" customWidth="1"/>
    <col min="3314" max="3314" width="23.88671875" customWidth="1"/>
    <col min="3315" max="3316" width="11.6640625" customWidth="1"/>
    <col min="3317" max="3317" width="13.33203125" customWidth="1"/>
    <col min="3318" max="3320" width="10.109375" customWidth="1"/>
    <col min="3321" max="3321" width="9.88671875" customWidth="1"/>
    <col min="3322" max="3322" width="10.109375" customWidth="1"/>
    <col min="3327" max="3327" width="0" hidden="1" customWidth="1"/>
    <col min="3330" max="3330" width="13" customWidth="1"/>
    <col min="3331" max="3343" width="0" hidden="1" customWidth="1"/>
    <col min="3346" max="3346" width="14.109375" bestFit="1" customWidth="1"/>
    <col min="3545" max="3545" width="4.5546875" customWidth="1"/>
    <col min="3546" max="3546" width="9.109375" customWidth="1"/>
    <col min="3547" max="3547" width="21.88671875" customWidth="1"/>
    <col min="3548" max="3548" width="15.109375" customWidth="1"/>
    <col min="3549" max="3549" width="10.77734375" customWidth="1"/>
    <col min="3550" max="3552" width="11.109375" customWidth="1"/>
    <col min="3553" max="3553" width="5.33203125" customWidth="1"/>
    <col min="3554" max="3554" width="4.21875" customWidth="1"/>
    <col min="3555" max="3555" width="33.5546875" customWidth="1"/>
    <col min="3556" max="3556" width="40.44140625" customWidth="1"/>
    <col min="3557" max="3557" width="9.77734375" customWidth="1"/>
    <col min="3558" max="3558" width="9.33203125" customWidth="1"/>
    <col min="3559" max="3560" width="10.109375" customWidth="1"/>
    <col min="3561" max="3561" width="18.21875" customWidth="1"/>
    <col min="3562" max="3563" width="12.44140625" customWidth="1"/>
    <col min="3564" max="3565" width="10.109375" customWidth="1"/>
    <col min="3566" max="3569" width="6" customWidth="1"/>
    <col min="3570" max="3570" width="23.88671875" customWidth="1"/>
    <col min="3571" max="3572" width="11.6640625" customWidth="1"/>
    <col min="3573" max="3573" width="13.33203125" customWidth="1"/>
    <col min="3574" max="3576" width="10.109375" customWidth="1"/>
    <col min="3577" max="3577" width="9.88671875" customWidth="1"/>
    <col min="3578" max="3578" width="10.109375" customWidth="1"/>
    <col min="3583" max="3583" width="0" hidden="1" customWidth="1"/>
    <col min="3586" max="3586" width="13" customWidth="1"/>
    <col min="3587" max="3599" width="0" hidden="1" customWidth="1"/>
    <col min="3602" max="3602" width="14.109375" bestFit="1" customWidth="1"/>
    <col min="3801" max="3801" width="4.5546875" customWidth="1"/>
    <col min="3802" max="3802" width="9.109375" customWidth="1"/>
    <col min="3803" max="3803" width="21.88671875" customWidth="1"/>
    <col min="3804" max="3804" width="15.109375" customWidth="1"/>
    <col min="3805" max="3805" width="10.77734375" customWidth="1"/>
    <col min="3806" max="3808" width="11.109375" customWidth="1"/>
    <col min="3809" max="3809" width="5.33203125" customWidth="1"/>
    <col min="3810" max="3810" width="4.21875" customWidth="1"/>
    <col min="3811" max="3811" width="33.5546875" customWidth="1"/>
    <col min="3812" max="3812" width="40.44140625" customWidth="1"/>
    <col min="3813" max="3813" width="9.77734375" customWidth="1"/>
    <col min="3814" max="3814" width="9.33203125" customWidth="1"/>
    <col min="3815" max="3816" width="10.109375" customWidth="1"/>
    <col min="3817" max="3817" width="18.21875" customWidth="1"/>
    <col min="3818" max="3819" width="12.44140625" customWidth="1"/>
    <col min="3820" max="3821" width="10.109375" customWidth="1"/>
    <col min="3822" max="3825" width="6" customWidth="1"/>
    <col min="3826" max="3826" width="23.88671875" customWidth="1"/>
    <col min="3827" max="3828" width="11.6640625" customWidth="1"/>
    <col min="3829" max="3829" width="13.33203125" customWidth="1"/>
    <col min="3830" max="3832" width="10.109375" customWidth="1"/>
    <col min="3833" max="3833" width="9.88671875" customWidth="1"/>
    <col min="3834" max="3834" width="10.109375" customWidth="1"/>
    <col min="3839" max="3839" width="0" hidden="1" customWidth="1"/>
    <col min="3842" max="3842" width="13" customWidth="1"/>
    <col min="3843" max="3855" width="0" hidden="1" customWidth="1"/>
    <col min="3858" max="3858" width="14.109375" bestFit="1" customWidth="1"/>
    <col min="4057" max="4057" width="4.5546875" customWidth="1"/>
    <col min="4058" max="4058" width="9.109375" customWidth="1"/>
    <col min="4059" max="4059" width="21.88671875" customWidth="1"/>
    <col min="4060" max="4060" width="15.109375" customWidth="1"/>
    <col min="4061" max="4061" width="10.77734375" customWidth="1"/>
    <col min="4062" max="4064" width="11.109375" customWidth="1"/>
    <col min="4065" max="4065" width="5.33203125" customWidth="1"/>
    <col min="4066" max="4066" width="4.21875" customWidth="1"/>
    <col min="4067" max="4067" width="33.5546875" customWidth="1"/>
    <col min="4068" max="4068" width="40.44140625" customWidth="1"/>
    <col min="4069" max="4069" width="9.77734375" customWidth="1"/>
    <col min="4070" max="4070" width="9.33203125" customWidth="1"/>
    <col min="4071" max="4072" width="10.109375" customWidth="1"/>
    <col min="4073" max="4073" width="18.21875" customWidth="1"/>
    <col min="4074" max="4075" width="12.44140625" customWidth="1"/>
    <col min="4076" max="4077" width="10.109375" customWidth="1"/>
    <col min="4078" max="4081" width="6" customWidth="1"/>
    <col min="4082" max="4082" width="23.88671875" customWidth="1"/>
    <col min="4083" max="4084" width="11.6640625" customWidth="1"/>
    <col min="4085" max="4085" width="13.33203125" customWidth="1"/>
    <col min="4086" max="4088" width="10.109375" customWidth="1"/>
    <col min="4089" max="4089" width="9.88671875" customWidth="1"/>
    <col min="4090" max="4090" width="10.109375" customWidth="1"/>
    <col min="4095" max="4095" width="0" hidden="1" customWidth="1"/>
    <col min="4098" max="4098" width="13" customWidth="1"/>
    <col min="4099" max="4111" width="0" hidden="1" customWidth="1"/>
    <col min="4114" max="4114" width="14.109375" bestFit="1" customWidth="1"/>
    <col min="4313" max="4313" width="4.5546875" customWidth="1"/>
    <col min="4314" max="4314" width="9.109375" customWidth="1"/>
    <col min="4315" max="4315" width="21.88671875" customWidth="1"/>
    <col min="4316" max="4316" width="15.109375" customWidth="1"/>
    <col min="4317" max="4317" width="10.77734375" customWidth="1"/>
    <col min="4318" max="4320" width="11.109375" customWidth="1"/>
    <col min="4321" max="4321" width="5.33203125" customWidth="1"/>
    <col min="4322" max="4322" width="4.21875" customWidth="1"/>
    <col min="4323" max="4323" width="33.5546875" customWidth="1"/>
    <col min="4324" max="4324" width="40.44140625" customWidth="1"/>
    <col min="4325" max="4325" width="9.77734375" customWidth="1"/>
    <col min="4326" max="4326" width="9.33203125" customWidth="1"/>
    <col min="4327" max="4328" width="10.109375" customWidth="1"/>
    <col min="4329" max="4329" width="18.21875" customWidth="1"/>
    <col min="4330" max="4331" width="12.44140625" customWidth="1"/>
    <col min="4332" max="4333" width="10.109375" customWidth="1"/>
    <col min="4334" max="4337" width="6" customWidth="1"/>
    <col min="4338" max="4338" width="23.88671875" customWidth="1"/>
    <col min="4339" max="4340" width="11.6640625" customWidth="1"/>
    <col min="4341" max="4341" width="13.33203125" customWidth="1"/>
    <col min="4342" max="4344" width="10.109375" customWidth="1"/>
    <col min="4345" max="4345" width="9.88671875" customWidth="1"/>
    <col min="4346" max="4346" width="10.109375" customWidth="1"/>
    <col min="4351" max="4351" width="0" hidden="1" customWidth="1"/>
    <col min="4354" max="4354" width="13" customWidth="1"/>
    <col min="4355" max="4367" width="0" hidden="1" customWidth="1"/>
    <col min="4370" max="4370" width="14.109375" bestFit="1" customWidth="1"/>
    <col min="4569" max="4569" width="4.5546875" customWidth="1"/>
    <col min="4570" max="4570" width="9.109375" customWidth="1"/>
    <col min="4571" max="4571" width="21.88671875" customWidth="1"/>
    <col min="4572" max="4572" width="15.109375" customWidth="1"/>
    <col min="4573" max="4573" width="10.77734375" customWidth="1"/>
    <col min="4574" max="4576" width="11.109375" customWidth="1"/>
    <col min="4577" max="4577" width="5.33203125" customWidth="1"/>
    <col min="4578" max="4578" width="4.21875" customWidth="1"/>
    <col min="4579" max="4579" width="33.5546875" customWidth="1"/>
    <col min="4580" max="4580" width="40.44140625" customWidth="1"/>
    <col min="4581" max="4581" width="9.77734375" customWidth="1"/>
    <col min="4582" max="4582" width="9.33203125" customWidth="1"/>
    <col min="4583" max="4584" width="10.109375" customWidth="1"/>
    <col min="4585" max="4585" width="18.21875" customWidth="1"/>
    <col min="4586" max="4587" width="12.44140625" customWidth="1"/>
    <col min="4588" max="4589" width="10.109375" customWidth="1"/>
    <col min="4590" max="4593" width="6" customWidth="1"/>
    <col min="4594" max="4594" width="23.88671875" customWidth="1"/>
    <col min="4595" max="4596" width="11.6640625" customWidth="1"/>
    <col min="4597" max="4597" width="13.33203125" customWidth="1"/>
    <col min="4598" max="4600" width="10.109375" customWidth="1"/>
    <col min="4601" max="4601" width="9.88671875" customWidth="1"/>
    <col min="4602" max="4602" width="10.109375" customWidth="1"/>
    <col min="4607" max="4607" width="0" hidden="1" customWidth="1"/>
    <col min="4610" max="4610" width="13" customWidth="1"/>
    <col min="4611" max="4623" width="0" hidden="1" customWidth="1"/>
    <col min="4626" max="4626" width="14.109375" bestFit="1" customWidth="1"/>
    <col min="4825" max="4825" width="4.5546875" customWidth="1"/>
    <col min="4826" max="4826" width="9.109375" customWidth="1"/>
    <col min="4827" max="4827" width="21.88671875" customWidth="1"/>
    <col min="4828" max="4828" width="15.109375" customWidth="1"/>
    <col min="4829" max="4829" width="10.77734375" customWidth="1"/>
    <col min="4830" max="4832" width="11.109375" customWidth="1"/>
    <col min="4833" max="4833" width="5.33203125" customWidth="1"/>
    <col min="4834" max="4834" width="4.21875" customWidth="1"/>
    <col min="4835" max="4835" width="33.5546875" customWidth="1"/>
    <col min="4836" max="4836" width="40.44140625" customWidth="1"/>
    <col min="4837" max="4837" width="9.77734375" customWidth="1"/>
    <col min="4838" max="4838" width="9.33203125" customWidth="1"/>
    <col min="4839" max="4840" width="10.109375" customWidth="1"/>
    <col min="4841" max="4841" width="18.21875" customWidth="1"/>
    <col min="4842" max="4843" width="12.44140625" customWidth="1"/>
    <col min="4844" max="4845" width="10.109375" customWidth="1"/>
    <col min="4846" max="4849" width="6" customWidth="1"/>
    <col min="4850" max="4850" width="23.88671875" customWidth="1"/>
    <col min="4851" max="4852" width="11.6640625" customWidth="1"/>
    <col min="4853" max="4853" width="13.33203125" customWidth="1"/>
    <col min="4854" max="4856" width="10.109375" customWidth="1"/>
    <col min="4857" max="4857" width="9.88671875" customWidth="1"/>
    <col min="4858" max="4858" width="10.109375" customWidth="1"/>
    <col min="4863" max="4863" width="0" hidden="1" customWidth="1"/>
    <col min="4866" max="4866" width="13" customWidth="1"/>
    <col min="4867" max="4879" width="0" hidden="1" customWidth="1"/>
    <col min="4882" max="4882" width="14.109375" bestFit="1" customWidth="1"/>
    <col min="5081" max="5081" width="4.5546875" customWidth="1"/>
    <col min="5082" max="5082" width="9.109375" customWidth="1"/>
    <col min="5083" max="5083" width="21.88671875" customWidth="1"/>
    <col min="5084" max="5084" width="15.109375" customWidth="1"/>
    <col min="5085" max="5085" width="10.77734375" customWidth="1"/>
    <col min="5086" max="5088" width="11.109375" customWidth="1"/>
    <col min="5089" max="5089" width="5.33203125" customWidth="1"/>
    <col min="5090" max="5090" width="4.21875" customWidth="1"/>
    <col min="5091" max="5091" width="33.5546875" customWidth="1"/>
    <col min="5092" max="5092" width="40.44140625" customWidth="1"/>
    <col min="5093" max="5093" width="9.77734375" customWidth="1"/>
    <col min="5094" max="5094" width="9.33203125" customWidth="1"/>
    <col min="5095" max="5096" width="10.109375" customWidth="1"/>
    <col min="5097" max="5097" width="18.21875" customWidth="1"/>
    <col min="5098" max="5099" width="12.44140625" customWidth="1"/>
    <col min="5100" max="5101" width="10.109375" customWidth="1"/>
    <col min="5102" max="5105" width="6" customWidth="1"/>
    <col min="5106" max="5106" width="23.88671875" customWidth="1"/>
    <col min="5107" max="5108" width="11.6640625" customWidth="1"/>
    <col min="5109" max="5109" width="13.33203125" customWidth="1"/>
    <col min="5110" max="5112" width="10.109375" customWidth="1"/>
    <col min="5113" max="5113" width="9.88671875" customWidth="1"/>
    <col min="5114" max="5114" width="10.109375" customWidth="1"/>
    <col min="5119" max="5119" width="0" hidden="1" customWidth="1"/>
    <col min="5122" max="5122" width="13" customWidth="1"/>
    <col min="5123" max="5135" width="0" hidden="1" customWidth="1"/>
    <col min="5138" max="5138" width="14.109375" bestFit="1" customWidth="1"/>
    <col min="5337" max="5337" width="4.5546875" customWidth="1"/>
    <col min="5338" max="5338" width="9.109375" customWidth="1"/>
    <col min="5339" max="5339" width="21.88671875" customWidth="1"/>
    <col min="5340" max="5340" width="15.109375" customWidth="1"/>
    <col min="5341" max="5341" width="10.77734375" customWidth="1"/>
    <col min="5342" max="5344" width="11.109375" customWidth="1"/>
    <col min="5345" max="5345" width="5.33203125" customWidth="1"/>
    <col min="5346" max="5346" width="4.21875" customWidth="1"/>
    <col min="5347" max="5347" width="33.5546875" customWidth="1"/>
    <col min="5348" max="5348" width="40.44140625" customWidth="1"/>
    <col min="5349" max="5349" width="9.77734375" customWidth="1"/>
    <col min="5350" max="5350" width="9.33203125" customWidth="1"/>
    <col min="5351" max="5352" width="10.109375" customWidth="1"/>
    <col min="5353" max="5353" width="18.21875" customWidth="1"/>
    <col min="5354" max="5355" width="12.44140625" customWidth="1"/>
    <col min="5356" max="5357" width="10.109375" customWidth="1"/>
    <col min="5358" max="5361" width="6" customWidth="1"/>
    <col min="5362" max="5362" width="23.88671875" customWidth="1"/>
    <col min="5363" max="5364" width="11.6640625" customWidth="1"/>
    <col min="5365" max="5365" width="13.33203125" customWidth="1"/>
    <col min="5366" max="5368" width="10.109375" customWidth="1"/>
    <col min="5369" max="5369" width="9.88671875" customWidth="1"/>
    <col min="5370" max="5370" width="10.109375" customWidth="1"/>
    <col min="5375" max="5375" width="0" hidden="1" customWidth="1"/>
    <col min="5378" max="5378" width="13" customWidth="1"/>
    <col min="5379" max="5391" width="0" hidden="1" customWidth="1"/>
    <col min="5394" max="5394" width="14.109375" bestFit="1" customWidth="1"/>
    <col min="5593" max="5593" width="4.5546875" customWidth="1"/>
    <col min="5594" max="5594" width="9.109375" customWidth="1"/>
    <col min="5595" max="5595" width="21.88671875" customWidth="1"/>
    <col min="5596" max="5596" width="15.109375" customWidth="1"/>
    <col min="5597" max="5597" width="10.77734375" customWidth="1"/>
    <col min="5598" max="5600" width="11.109375" customWidth="1"/>
    <col min="5601" max="5601" width="5.33203125" customWidth="1"/>
    <col min="5602" max="5602" width="4.21875" customWidth="1"/>
    <col min="5603" max="5603" width="33.5546875" customWidth="1"/>
    <col min="5604" max="5604" width="40.44140625" customWidth="1"/>
    <col min="5605" max="5605" width="9.77734375" customWidth="1"/>
    <col min="5606" max="5606" width="9.33203125" customWidth="1"/>
    <col min="5607" max="5608" width="10.109375" customWidth="1"/>
    <col min="5609" max="5609" width="18.21875" customWidth="1"/>
    <col min="5610" max="5611" width="12.44140625" customWidth="1"/>
    <col min="5612" max="5613" width="10.109375" customWidth="1"/>
    <col min="5614" max="5617" width="6" customWidth="1"/>
    <col min="5618" max="5618" width="23.88671875" customWidth="1"/>
    <col min="5619" max="5620" width="11.6640625" customWidth="1"/>
    <col min="5621" max="5621" width="13.33203125" customWidth="1"/>
    <col min="5622" max="5624" width="10.109375" customWidth="1"/>
    <col min="5625" max="5625" width="9.88671875" customWidth="1"/>
    <col min="5626" max="5626" width="10.109375" customWidth="1"/>
    <col min="5631" max="5631" width="0" hidden="1" customWidth="1"/>
    <col min="5634" max="5634" width="13" customWidth="1"/>
    <col min="5635" max="5647" width="0" hidden="1" customWidth="1"/>
    <col min="5650" max="5650" width="14.109375" bestFit="1" customWidth="1"/>
    <col min="5849" max="5849" width="4.5546875" customWidth="1"/>
    <col min="5850" max="5850" width="9.109375" customWidth="1"/>
    <col min="5851" max="5851" width="21.88671875" customWidth="1"/>
    <col min="5852" max="5852" width="15.109375" customWidth="1"/>
    <col min="5853" max="5853" width="10.77734375" customWidth="1"/>
    <col min="5854" max="5856" width="11.109375" customWidth="1"/>
    <col min="5857" max="5857" width="5.33203125" customWidth="1"/>
    <col min="5858" max="5858" width="4.21875" customWidth="1"/>
    <col min="5859" max="5859" width="33.5546875" customWidth="1"/>
    <col min="5860" max="5860" width="40.44140625" customWidth="1"/>
    <col min="5861" max="5861" width="9.77734375" customWidth="1"/>
    <col min="5862" max="5862" width="9.33203125" customWidth="1"/>
    <col min="5863" max="5864" width="10.109375" customWidth="1"/>
    <col min="5865" max="5865" width="18.21875" customWidth="1"/>
    <col min="5866" max="5867" width="12.44140625" customWidth="1"/>
    <col min="5868" max="5869" width="10.109375" customWidth="1"/>
    <col min="5870" max="5873" width="6" customWidth="1"/>
    <col min="5874" max="5874" width="23.88671875" customWidth="1"/>
    <col min="5875" max="5876" width="11.6640625" customWidth="1"/>
    <col min="5877" max="5877" width="13.33203125" customWidth="1"/>
    <col min="5878" max="5880" width="10.109375" customWidth="1"/>
    <col min="5881" max="5881" width="9.88671875" customWidth="1"/>
    <col min="5882" max="5882" width="10.109375" customWidth="1"/>
    <col min="5887" max="5887" width="0" hidden="1" customWidth="1"/>
    <col min="5890" max="5890" width="13" customWidth="1"/>
    <col min="5891" max="5903" width="0" hidden="1" customWidth="1"/>
    <col min="5906" max="5906" width="14.109375" bestFit="1" customWidth="1"/>
    <col min="6105" max="6105" width="4.5546875" customWidth="1"/>
    <col min="6106" max="6106" width="9.109375" customWidth="1"/>
    <col min="6107" max="6107" width="21.88671875" customWidth="1"/>
    <col min="6108" max="6108" width="15.109375" customWidth="1"/>
    <col min="6109" max="6109" width="10.77734375" customWidth="1"/>
    <col min="6110" max="6112" width="11.109375" customWidth="1"/>
    <col min="6113" max="6113" width="5.33203125" customWidth="1"/>
    <col min="6114" max="6114" width="4.21875" customWidth="1"/>
    <col min="6115" max="6115" width="33.5546875" customWidth="1"/>
    <col min="6116" max="6116" width="40.44140625" customWidth="1"/>
    <col min="6117" max="6117" width="9.77734375" customWidth="1"/>
    <col min="6118" max="6118" width="9.33203125" customWidth="1"/>
    <col min="6119" max="6120" width="10.109375" customWidth="1"/>
    <col min="6121" max="6121" width="18.21875" customWidth="1"/>
    <col min="6122" max="6123" width="12.44140625" customWidth="1"/>
    <col min="6124" max="6125" width="10.109375" customWidth="1"/>
    <col min="6126" max="6129" width="6" customWidth="1"/>
    <col min="6130" max="6130" width="23.88671875" customWidth="1"/>
    <col min="6131" max="6132" width="11.6640625" customWidth="1"/>
    <col min="6133" max="6133" width="13.33203125" customWidth="1"/>
    <col min="6134" max="6136" width="10.109375" customWidth="1"/>
    <col min="6137" max="6137" width="9.88671875" customWidth="1"/>
    <col min="6138" max="6138" width="10.109375" customWidth="1"/>
    <col min="6143" max="6143" width="0" hidden="1" customWidth="1"/>
    <col min="6146" max="6146" width="13" customWidth="1"/>
    <col min="6147" max="6159" width="0" hidden="1" customWidth="1"/>
    <col min="6162" max="6162" width="14.109375" bestFit="1" customWidth="1"/>
    <col min="6361" max="6361" width="4.5546875" customWidth="1"/>
    <col min="6362" max="6362" width="9.109375" customWidth="1"/>
    <col min="6363" max="6363" width="21.88671875" customWidth="1"/>
    <col min="6364" max="6364" width="15.109375" customWidth="1"/>
    <col min="6365" max="6365" width="10.77734375" customWidth="1"/>
    <col min="6366" max="6368" width="11.109375" customWidth="1"/>
    <col min="6369" max="6369" width="5.33203125" customWidth="1"/>
    <col min="6370" max="6370" width="4.21875" customWidth="1"/>
    <col min="6371" max="6371" width="33.5546875" customWidth="1"/>
    <col min="6372" max="6372" width="40.44140625" customWidth="1"/>
    <col min="6373" max="6373" width="9.77734375" customWidth="1"/>
    <col min="6374" max="6374" width="9.33203125" customWidth="1"/>
    <col min="6375" max="6376" width="10.109375" customWidth="1"/>
    <col min="6377" max="6377" width="18.21875" customWidth="1"/>
    <col min="6378" max="6379" width="12.44140625" customWidth="1"/>
    <col min="6380" max="6381" width="10.109375" customWidth="1"/>
    <col min="6382" max="6385" width="6" customWidth="1"/>
    <col min="6386" max="6386" width="23.88671875" customWidth="1"/>
    <col min="6387" max="6388" width="11.6640625" customWidth="1"/>
    <col min="6389" max="6389" width="13.33203125" customWidth="1"/>
    <col min="6390" max="6392" width="10.109375" customWidth="1"/>
    <col min="6393" max="6393" width="9.88671875" customWidth="1"/>
    <col min="6394" max="6394" width="10.109375" customWidth="1"/>
    <col min="6399" max="6399" width="0" hidden="1" customWidth="1"/>
    <col min="6402" max="6402" width="13" customWidth="1"/>
    <col min="6403" max="6415" width="0" hidden="1" customWidth="1"/>
    <col min="6418" max="6418" width="14.109375" bestFit="1" customWidth="1"/>
    <col min="6617" max="6617" width="4.5546875" customWidth="1"/>
    <col min="6618" max="6618" width="9.109375" customWidth="1"/>
    <col min="6619" max="6619" width="21.88671875" customWidth="1"/>
    <col min="6620" max="6620" width="15.109375" customWidth="1"/>
    <col min="6621" max="6621" width="10.77734375" customWidth="1"/>
    <col min="6622" max="6624" width="11.109375" customWidth="1"/>
    <col min="6625" max="6625" width="5.33203125" customWidth="1"/>
    <col min="6626" max="6626" width="4.21875" customWidth="1"/>
    <col min="6627" max="6627" width="33.5546875" customWidth="1"/>
    <col min="6628" max="6628" width="40.44140625" customWidth="1"/>
    <col min="6629" max="6629" width="9.77734375" customWidth="1"/>
    <col min="6630" max="6630" width="9.33203125" customWidth="1"/>
    <col min="6631" max="6632" width="10.109375" customWidth="1"/>
    <col min="6633" max="6633" width="18.21875" customWidth="1"/>
    <col min="6634" max="6635" width="12.44140625" customWidth="1"/>
    <col min="6636" max="6637" width="10.109375" customWidth="1"/>
    <col min="6638" max="6641" width="6" customWidth="1"/>
    <col min="6642" max="6642" width="23.88671875" customWidth="1"/>
    <col min="6643" max="6644" width="11.6640625" customWidth="1"/>
    <col min="6645" max="6645" width="13.33203125" customWidth="1"/>
    <col min="6646" max="6648" width="10.109375" customWidth="1"/>
    <col min="6649" max="6649" width="9.88671875" customWidth="1"/>
    <col min="6650" max="6650" width="10.109375" customWidth="1"/>
    <col min="6655" max="6655" width="0" hidden="1" customWidth="1"/>
    <col min="6658" max="6658" width="13" customWidth="1"/>
    <col min="6659" max="6671" width="0" hidden="1" customWidth="1"/>
    <col min="6674" max="6674" width="14.109375" bestFit="1" customWidth="1"/>
    <col min="6873" max="6873" width="4.5546875" customWidth="1"/>
    <col min="6874" max="6874" width="9.109375" customWidth="1"/>
    <col min="6875" max="6875" width="21.88671875" customWidth="1"/>
    <col min="6876" max="6876" width="15.109375" customWidth="1"/>
    <col min="6877" max="6877" width="10.77734375" customWidth="1"/>
    <col min="6878" max="6880" width="11.109375" customWidth="1"/>
    <col min="6881" max="6881" width="5.33203125" customWidth="1"/>
    <col min="6882" max="6882" width="4.21875" customWidth="1"/>
    <col min="6883" max="6883" width="33.5546875" customWidth="1"/>
    <col min="6884" max="6884" width="40.44140625" customWidth="1"/>
    <col min="6885" max="6885" width="9.77734375" customWidth="1"/>
    <col min="6886" max="6886" width="9.33203125" customWidth="1"/>
    <col min="6887" max="6888" width="10.109375" customWidth="1"/>
    <col min="6889" max="6889" width="18.21875" customWidth="1"/>
    <col min="6890" max="6891" width="12.44140625" customWidth="1"/>
    <col min="6892" max="6893" width="10.109375" customWidth="1"/>
    <col min="6894" max="6897" width="6" customWidth="1"/>
    <col min="6898" max="6898" width="23.88671875" customWidth="1"/>
    <col min="6899" max="6900" width="11.6640625" customWidth="1"/>
    <col min="6901" max="6901" width="13.33203125" customWidth="1"/>
    <col min="6902" max="6904" width="10.109375" customWidth="1"/>
    <col min="6905" max="6905" width="9.88671875" customWidth="1"/>
    <col min="6906" max="6906" width="10.109375" customWidth="1"/>
    <col min="6911" max="6911" width="0" hidden="1" customWidth="1"/>
    <col min="6914" max="6914" width="13" customWidth="1"/>
    <col min="6915" max="6927" width="0" hidden="1" customWidth="1"/>
    <col min="6930" max="6930" width="14.109375" bestFit="1" customWidth="1"/>
    <col min="7129" max="7129" width="4.5546875" customWidth="1"/>
    <col min="7130" max="7130" width="9.109375" customWidth="1"/>
    <col min="7131" max="7131" width="21.88671875" customWidth="1"/>
    <col min="7132" max="7132" width="15.109375" customWidth="1"/>
    <col min="7133" max="7133" width="10.77734375" customWidth="1"/>
    <col min="7134" max="7136" width="11.109375" customWidth="1"/>
    <col min="7137" max="7137" width="5.33203125" customWidth="1"/>
    <col min="7138" max="7138" width="4.21875" customWidth="1"/>
    <col min="7139" max="7139" width="33.5546875" customWidth="1"/>
    <col min="7140" max="7140" width="40.44140625" customWidth="1"/>
    <col min="7141" max="7141" width="9.77734375" customWidth="1"/>
    <col min="7142" max="7142" width="9.33203125" customWidth="1"/>
    <col min="7143" max="7144" width="10.109375" customWidth="1"/>
    <col min="7145" max="7145" width="18.21875" customWidth="1"/>
    <col min="7146" max="7147" width="12.44140625" customWidth="1"/>
    <col min="7148" max="7149" width="10.109375" customWidth="1"/>
    <col min="7150" max="7153" width="6" customWidth="1"/>
    <col min="7154" max="7154" width="23.88671875" customWidth="1"/>
    <col min="7155" max="7156" width="11.6640625" customWidth="1"/>
    <col min="7157" max="7157" width="13.33203125" customWidth="1"/>
    <col min="7158" max="7160" width="10.109375" customWidth="1"/>
    <col min="7161" max="7161" width="9.88671875" customWidth="1"/>
    <col min="7162" max="7162" width="10.109375" customWidth="1"/>
    <col min="7167" max="7167" width="0" hidden="1" customWidth="1"/>
    <col min="7170" max="7170" width="13" customWidth="1"/>
    <col min="7171" max="7183" width="0" hidden="1" customWidth="1"/>
    <col min="7186" max="7186" width="14.109375" bestFit="1" customWidth="1"/>
    <col min="7385" max="7385" width="4.5546875" customWidth="1"/>
    <col min="7386" max="7386" width="9.109375" customWidth="1"/>
    <col min="7387" max="7387" width="21.88671875" customWidth="1"/>
    <col min="7388" max="7388" width="15.109375" customWidth="1"/>
    <col min="7389" max="7389" width="10.77734375" customWidth="1"/>
    <col min="7390" max="7392" width="11.109375" customWidth="1"/>
    <col min="7393" max="7393" width="5.33203125" customWidth="1"/>
    <col min="7394" max="7394" width="4.21875" customWidth="1"/>
    <col min="7395" max="7395" width="33.5546875" customWidth="1"/>
    <col min="7396" max="7396" width="40.44140625" customWidth="1"/>
    <col min="7397" max="7397" width="9.77734375" customWidth="1"/>
    <col min="7398" max="7398" width="9.33203125" customWidth="1"/>
    <col min="7399" max="7400" width="10.109375" customWidth="1"/>
    <col min="7401" max="7401" width="18.21875" customWidth="1"/>
    <col min="7402" max="7403" width="12.44140625" customWidth="1"/>
    <col min="7404" max="7405" width="10.109375" customWidth="1"/>
    <col min="7406" max="7409" width="6" customWidth="1"/>
    <col min="7410" max="7410" width="23.88671875" customWidth="1"/>
    <col min="7411" max="7412" width="11.6640625" customWidth="1"/>
    <col min="7413" max="7413" width="13.33203125" customWidth="1"/>
    <col min="7414" max="7416" width="10.109375" customWidth="1"/>
    <col min="7417" max="7417" width="9.88671875" customWidth="1"/>
    <col min="7418" max="7418" width="10.109375" customWidth="1"/>
    <col min="7423" max="7423" width="0" hidden="1" customWidth="1"/>
    <col min="7426" max="7426" width="13" customWidth="1"/>
    <col min="7427" max="7439" width="0" hidden="1" customWidth="1"/>
    <col min="7442" max="7442" width="14.109375" bestFit="1" customWidth="1"/>
    <col min="7641" max="7641" width="4.5546875" customWidth="1"/>
    <col min="7642" max="7642" width="9.109375" customWidth="1"/>
    <col min="7643" max="7643" width="21.88671875" customWidth="1"/>
    <col min="7644" max="7644" width="15.109375" customWidth="1"/>
    <col min="7645" max="7645" width="10.77734375" customWidth="1"/>
    <col min="7646" max="7648" width="11.109375" customWidth="1"/>
    <col min="7649" max="7649" width="5.33203125" customWidth="1"/>
    <col min="7650" max="7650" width="4.21875" customWidth="1"/>
    <col min="7651" max="7651" width="33.5546875" customWidth="1"/>
    <col min="7652" max="7652" width="40.44140625" customWidth="1"/>
    <col min="7653" max="7653" width="9.77734375" customWidth="1"/>
    <col min="7654" max="7654" width="9.33203125" customWidth="1"/>
    <col min="7655" max="7656" width="10.109375" customWidth="1"/>
    <col min="7657" max="7657" width="18.21875" customWidth="1"/>
    <col min="7658" max="7659" width="12.44140625" customWidth="1"/>
    <col min="7660" max="7661" width="10.109375" customWidth="1"/>
    <col min="7662" max="7665" width="6" customWidth="1"/>
    <col min="7666" max="7666" width="23.88671875" customWidth="1"/>
    <col min="7667" max="7668" width="11.6640625" customWidth="1"/>
    <col min="7669" max="7669" width="13.33203125" customWidth="1"/>
    <col min="7670" max="7672" width="10.109375" customWidth="1"/>
    <col min="7673" max="7673" width="9.88671875" customWidth="1"/>
    <col min="7674" max="7674" width="10.109375" customWidth="1"/>
    <col min="7679" max="7679" width="0" hidden="1" customWidth="1"/>
    <col min="7682" max="7682" width="13" customWidth="1"/>
    <col min="7683" max="7695" width="0" hidden="1" customWidth="1"/>
    <col min="7698" max="7698" width="14.109375" bestFit="1" customWidth="1"/>
    <col min="7897" max="7897" width="4.5546875" customWidth="1"/>
    <col min="7898" max="7898" width="9.109375" customWidth="1"/>
    <col min="7899" max="7899" width="21.88671875" customWidth="1"/>
    <col min="7900" max="7900" width="15.109375" customWidth="1"/>
    <col min="7901" max="7901" width="10.77734375" customWidth="1"/>
    <col min="7902" max="7904" width="11.109375" customWidth="1"/>
    <col min="7905" max="7905" width="5.33203125" customWidth="1"/>
    <col min="7906" max="7906" width="4.21875" customWidth="1"/>
    <col min="7907" max="7907" width="33.5546875" customWidth="1"/>
    <col min="7908" max="7908" width="40.44140625" customWidth="1"/>
    <col min="7909" max="7909" width="9.77734375" customWidth="1"/>
    <col min="7910" max="7910" width="9.33203125" customWidth="1"/>
    <col min="7911" max="7912" width="10.109375" customWidth="1"/>
    <col min="7913" max="7913" width="18.21875" customWidth="1"/>
    <col min="7914" max="7915" width="12.44140625" customWidth="1"/>
    <col min="7916" max="7917" width="10.109375" customWidth="1"/>
    <col min="7918" max="7921" width="6" customWidth="1"/>
    <col min="7922" max="7922" width="23.88671875" customWidth="1"/>
    <col min="7923" max="7924" width="11.6640625" customWidth="1"/>
    <col min="7925" max="7925" width="13.33203125" customWidth="1"/>
    <col min="7926" max="7928" width="10.109375" customWidth="1"/>
    <col min="7929" max="7929" width="9.88671875" customWidth="1"/>
    <col min="7930" max="7930" width="10.109375" customWidth="1"/>
    <col min="7935" max="7935" width="0" hidden="1" customWidth="1"/>
    <col min="7938" max="7938" width="13" customWidth="1"/>
    <col min="7939" max="7951" width="0" hidden="1" customWidth="1"/>
    <col min="7954" max="7954" width="14.109375" bestFit="1" customWidth="1"/>
    <col min="8153" max="8153" width="4.5546875" customWidth="1"/>
    <col min="8154" max="8154" width="9.109375" customWidth="1"/>
    <col min="8155" max="8155" width="21.88671875" customWidth="1"/>
    <col min="8156" max="8156" width="15.109375" customWidth="1"/>
    <col min="8157" max="8157" width="10.77734375" customWidth="1"/>
    <col min="8158" max="8160" width="11.109375" customWidth="1"/>
    <col min="8161" max="8161" width="5.33203125" customWidth="1"/>
    <col min="8162" max="8162" width="4.21875" customWidth="1"/>
    <col min="8163" max="8163" width="33.5546875" customWidth="1"/>
    <col min="8164" max="8164" width="40.44140625" customWidth="1"/>
    <col min="8165" max="8165" width="9.77734375" customWidth="1"/>
    <col min="8166" max="8166" width="9.33203125" customWidth="1"/>
    <col min="8167" max="8168" width="10.109375" customWidth="1"/>
    <col min="8169" max="8169" width="18.21875" customWidth="1"/>
    <col min="8170" max="8171" width="12.44140625" customWidth="1"/>
    <col min="8172" max="8173" width="10.109375" customWidth="1"/>
    <col min="8174" max="8177" width="6" customWidth="1"/>
    <col min="8178" max="8178" width="23.88671875" customWidth="1"/>
    <col min="8179" max="8180" width="11.6640625" customWidth="1"/>
    <col min="8181" max="8181" width="13.33203125" customWidth="1"/>
    <col min="8182" max="8184" width="10.109375" customWidth="1"/>
    <col min="8185" max="8185" width="9.88671875" customWidth="1"/>
    <col min="8186" max="8186" width="10.109375" customWidth="1"/>
    <col min="8191" max="8191" width="0" hidden="1" customWidth="1"/>
    <col min="8194" max="8194" width="13" customWidth="1"/>
    <col min="8195" max="8207" width="0" hidden="1" customWidth="1"/>
    <col min="8210" max="8210" width="14.109375" bestFit="1" customWidth="1"/>
    <col min="8409" max="8409" width="4.5546875" customWidth="1"/>
    <col min="8410" max="8410" width="9.109375" customWidth="1"/>
    <col min="8411" max="8411" width="21.88671875" customWidth="1"/>
    <col min="8412" max="8412" width="15.109375" customWidth="1"/>
    <col min="8413" max="8413" width="10.77734375" customWidth="1"/>
    <col min="8414" max="8416" width="11.109375" customWidth="1"/>
    <col min="8417" max="8417" width="5.33203125" customWidth="1"/>
    <col min="8418" max="8418" width="4.21875" customWidth="1"/>
    <col min="8419" max="8419" width="33.5546875" customWidth="1"/>
    <col min="8420" max="8420" width="40.44140625" customWidth="1"/>
    <col min="8421" max="8421" width="9.77734375" customWidth="1"/>
    <col min="8422" max="8422" width="9.33203125" customWidth="1"/>
    <col min="8423" max="8424" width="10.109375" customWidth="1"/>
    <col min="8425" max="8425" width="18.21875" customWidth="1"/>
    <col min="8426" max="8427" width="12.44140625" customWidth="1"/>
    <col min="8428" max="8429" width="10.109375" customWidth="1"/>
    <col min="8430" max="8433" width="6" customWidth="1"/>
    <col min="8434" max="8434" width="23.88671875" customWidth="1"/>
    <col min="8435" max="8436" width="11.6640625" customWidth="1"/>
    <col min="8437" max="8437" width="13.33203125" customWidth="1"/>
    <col min="8438" max="8440" width="10.109375" customWidth="1"/>
    <col min="8441" max="8441" width="9.88671875" customWidth="1"/>
    <col min="8442" max="8442" width="10.109375" customWidth="1"/>
    <col min="8447" max="8447" width="0" hidden="1" customWidth="1"/>
    <col min="8450" max="8450" width="13" customWidth="1"/>
    <col min="8451" max="8463" width="0" hidden="1" customWidth="1"/>
    <col min="8466" max="8466" width="14.109375" bestFit="1" customWidth="1"/>
    <col min="8665" max="8665" width="4.5546875" customWidth="1"/>
    <col min="8666" max="8666" width="9.109375" customWidth="1"/>
    <col min="8667" max="8667" width="21.88671875" customWidth="1"/>
    <col min="8668" max="8668" width="15.109375" customWidth="1"/>
    <col min="8669" max="8669" width="10.77734375" customWidth="1"/>
    <col min="8670" max="8672" width="11.109375" customWidth="1"/>
    <col min="8673" max="8673" width="5.33203125" customWidth="1"/>
    <col min="8674" max="8674" width="4.21875" customWidth="1"/>
    <col min="8675" max="8675" width="33.5546875" customWidth="1"/>
    <col min="8676" max="8676" width="40.44140625" customWidth="1"/>
    <col min="8677" max="8677" width="9.77734375" customWidth="1"/>
    <col min="8678" max="8678" width="9.33203125" customWidth="1"/>
    <col min="8679" max="8680" width="10.109375" customWidth="1"/>
    <col min="8681" max="8681" width="18.21875" customWidth="1"/>
    <col min="8682" max="8683" width="12.44140625" customWidth="1"/>
    <col min="8684" max="8685" width="10.109375" customWidth="1"/>
    <col min="8686" max="8689" width="6" customWidth="1"/>
    <col min="8690" max="8690" width="23.88671875" customWidth="1"/>
    <col min="8691" max="8692" width="11.6640625" customWidth="1"/>
    <col min="8693" max="8693" width="13.33203125" customWidth="1"/>
    <col min="8694" max="8696" width="10.109375" customWidth="1"/>
    <col min="8697" max="8697" width="9.88671875" customWidth="1"/>
    <col min="8698" max="8698" width="10.109375" customWidth="1"/>
    <col min="8703" max="8703" width="0" hidden="1" customWidth="1"/>
    <col min="8706" max="8706" width="13" customWidth="1"/>
    <col min="8707" max="8719" width="0" hidden="1" customWidth="1"/>
    <col min="8722" max="8722" width="14.109375" bestFit="1" customWidth="1"/>
    <col min="8921" max="8921" width="4.5546875" customWidth="1"/>
    <col min="8922" max="8922" width="9.109375" customWidth="1"/>
    <col min="8923" max="8923" width="21.88671875" customWidth="1"/>
    <col min="8924" max="8924" width="15.109375" customWidth="1"/>
    <col min="8925" max="8925" width="10.77734375" customWidth="1"/>
    <col min="8926" max="8928" width="11.109375" customWidth="1"/>
    <col min="8929" max="8929" width="5.33203125" customWidth="1"/>
    <col min="8930" max="8930" width="4.21875" customWidth="1"/>
    <col min="8931" max="8931" width="33.5546875" customWidth="1"/>
    <col min="8932" max="8932" width="40.44140625" customWidth="1"/>
    <col min="8933" max="8933" width="9.77734375" customWidth="1"/>
    <col min="8934" max="8934" width="9.33203125" customWidth="1"/>
    <col min="8935" max="8936" width="10.109375" customWidth="1"/>
    <col min="8937" max="8937" width="18.21875" customWidth="1"/>
    <col min="8938" max="8939" width="12.44140625" customWidth="1"/>
    <col min="8940" max="8941" width="10.109375" customWidth="1"/>
    <col min="8942" max="8945" width="6" customWidth="1"/>
    <col min="8946" max="8946" width="23.88671875" customWidth="1"/>
    <col min="8947" max="8948" width="11.6640625" customWidth="1"/>
    <col min="8949" max="8949" width="13.33203125" customWidth="1"/>
    <col min="8950" max="8952" width="10.109375" customWidth="1"/>
    <col min="8953" max="8953" width="9.88671875" customWidth="1"/>
    <col min="8954" max="8954" width="10.109375" customWidth="1"/>
    <col min="8959" max="8959" width="0" hidden="1" customWidth="1"/>
    <col min="8962" max="8962" width="13" customWidth="1"/>
    <col min="8963" max="8975" width="0" hidden="1" customWidth="1"/>
    <col min="8978" max="8978" width="14.109375" bestFit="1" customWidth="1"/>
    <col min="9177" max="9177" width="4.5546875" customWidth="1"/>
    <col min="9178" max="9178" width="9.109375" customWidth="1"/>
    <col min="9179" max="9179" width="21.88671875" customWidth="1"/>
    <col min="9180" max="9180" width="15.109375" customWidth="1"/>
    <col min="9181" max="9181" width="10.77734375" customWidth="1"/>
    <col min="9182" max="9184" width="11.109375" customWidth="1"/>
    <col min="9185" max="9185" width="5.33203125" customWidth="1"/>
    <col min="9186" max="9186" width="4.21875" customWidth="1"/>
    <col min="9187" max="9187" width="33.5546875" customWidth="1"/>
    <col min="9188" max="9188" width="40.44140625" customWidth="1"/>
    <col min="9189" max="9189" width="9.77734375" customWidth="1"/>
    <col min="9190" max="9190" width="9.33203125" customWidth="1"/>
    <col min="9191" max="9192" width="10.109375" customWidth="1"/>
    <col min="9193" max="9193" width="18.21875" customWidth="1"/>
    <col min="9194" max="9195" width="12.44140625" customWidth="1"/>
    <col min="9196" max="9197" width="10.109375" customWidth="1"/>
    <col min="9198" max="9201" width="6" customWidth="1"/>
    <col min="9202" max="9202" width="23.88671875" customWidth="1"/>
    <col min="9203" max="9204" width="11.6640625" customWidth="1"/>
    <col min="9205" max="9205" width="13.33203125" customWidth="1"/>
    <col min="9206" max="9208" width="10.109375" customWidth="1"/>
    <col min="9209" max="9209" width="9.88671875" customWidth="1"/>
    <col min="9210" max="9210" width="10.109375" customWidth="1"/>
    <col min="9215" max="9215" width="0" hidden="1" customWidth="1"/>
    <col min="9218" max="9218" width="13" customWidth="1"/>
    <col min="9219" max="9231" width="0" hidden="1" customWidth="1"/>
    <col min="9234" max="9234" width="14.109375" bestFit="1" customWidth="1"/>
    <col min="9433" max="9433" width="4.5546875" customWidth="1"/>
    <col min="9434" max="9434" width="9.109375" customWidth="1"/>
    <col min="9435" max="9435" width="21.88671875" customWidth="1"/>
    <col min="9436" max="9436" width="15.109375" customWidth="1"/>
    <col min="9437" max="9437" width="10.77734375" customWidth="1"/>
    <col min="9438" max="9440" width="11.109375" customWidth="1"/>
    <col min="9441" max="9441" width="5.33203125" customWidth="1"/>
    <col min="9442" max="9442" width="4.21875" customWidth="1"/>
    <col min="9443" max="9443" width="33.5546875" customWidth="1"/>
    <col min="9444" max="9444" width="40.44140625" customWidth="1"/>
    <col min="9445" max="9445" width="9.77734375" customWidth="1"/>
    <col min="9446" max="9446" width="9.33203125" customWidth="1"/>
    <col min="9447" max="9448" width="10.109375" customWidth="1"/>
    <col min="9449" max="9449" width="18.21875" customWidth="1"/>
    <col min="9450" max="9451" width="12.44140625" customWidth="1"/>
    <col min="9452" max="9453" width="10.109375" customWidth="1"/>
    <col min="9454" max="9457" width="6" customWidth="1"/>
    <col min="9458" max="9458" width="23.88671875" customWidth="1"/>
    <col min="9459" max="9460" width="11.6640625" customWidth="1"/>
    <col min="9461" max="9461" width="13.33203125" customWidth="1"/>
    <col min="9462" max="9464" width="10.109375" customWidth="1"/>
    <col min="9465" max="9465" width="9.88671875" customWidth="1"/>
    <col min="9466" max="9466" width="10.109375" customWidth="1"/>
    <col min="9471" max="9471" width="0" hidden="1" customWidth="1"/>
    <col min="9474" max="9474" width="13" customWidth="1"/>
    <col min="9475" max="9487" width="0" hidden="1" customWidth="1"/>
    <col min="9490" max="9490" width="14.109375" bestFit="1" customWidth="1"/>
    <col min="9689" max="9689" width="4.5546875" customWidth="1"/>
    <col min="9690" max="9690" width="9.109375" customWidth="1"/>
    <col min="9691" max="9691" width="21.88671875" customWidth="1"/>
    <col min="9692" max="9692" width="15.109375" customWidth="1"/>
    <col min="9693" max="9693" width="10.77734375" customWidth="1"/>
    <col min="9694" max="9696" width="11.109375" customWidth="1"/>
    <col min="9697" max="9697" width="5.33203125" customWidth="1"/>
    <col min="9698" max="9698" width="4.21875" customWidth="1"/>
    <col min="9699" max="9699" width="33.5546875" customWidth="1"/>
    <col min="9700" max="9700" width="40.44140625" customWidth="1"/>
    <col min="9701" max="9701" width="9.77734375" customWidth="1"/>
    <col min="9702" max="9702" width="9.33203125" customWidth="1"/>
    <col min="9703" max="9704" width="10.109375" customWidth="1"/>
    <col min="9705" max="9705" width="18.21875" customWidth="1"/>
    <col min="9706" max="9707" width="12.44140625" customWidth="1"/>
    <col min="9708" max="9709" width="10.109375" customWidth="1"/>
    <col min="9710" max="9713" width="6" customWidth="1"/>
    <col min="9714" max="9714" width="23.88671875" customWidth="1"/>
    <col min="9715" max="9716" width="11.6640625" customWidth="1"/>
    <col min="9717" max="9717" width="13.33203125" customWidth="1"/>
    <col min="9718" max="9720" width="10.109375" customWidth="1"/>
    <col min="9721" max="9721" width="9.88671875" customWidth="1"/>
    <col min="9722" max="9722" width="10.109375" customWidth="1"/>
    <col min="9727" max="9727" width="0" hidden="1" customWidth="1"/>
    <col min="9730" max="9730" width="13" customWidth="1"/>
    <col min="9731" max="9743" width="0" hidden="1" customWidth="1"/>
    <col min="9746" max="9746" width="14.109375" bestFit="1" customWidth="1"/>
    <col min="9945" max="9945" width="4.5546875" customWidth="1"/>
    <col min="9946" max="9946" width="9.109375" customWidth="1"/>
    <col min="9947" max="9947" width="21.88671875" customWidth="1"/>
    <col min="9948" max="9948" width="15.109375" customWidth="1"/>
    <col min="9949" max="9949" width="10.77734375" customWidth="1"/>
    <col min="9950" max="9952" width="11.109375" customWidth="1"/>
    <col min="9953" max="9953" width="5.33203125" customWidth="1"/>
    <col min="9954" max="9954" width="4.21875" customWidth="1"/>
    <col min="9955" max="9955" width="33.5546875" customWidth="1"/>
    <col min="9956" max="9956" width="40.44140625" customWidth="1"/>
    <col min="9957" max="9957" width="9.77734375" customWidth="1"/>
    <col min="9958" max="9958" width="9.33203125" customWidth="1"/>
    <col min="9959" max="9960" width="10.109375" customWidth="1"/>
    <col min="9961" max="9961" width="18.21875" customWidth="1"/>
    <col min="9962" max="9963" width="12.44140625" customWidth="1"/>
    <col min="9964" max="9965" width="10.109375" customWidth="1"/>
    <col min="9966" max="9969" width="6" customWidth="1"/>
    <col min="9970" max="9970" width="23.88671875" customWidth="1"/>
    <col min="9971" max="9972" width="11.6640625" customWidth="1"/>
    <col min="9973" max="9973" width="13.33203125" customWidth="1"/>
    <col min="9974" max="9976" width="10.109375" customWidth="1"/>
    <col min="9977" max="9977" width="9.88671875" customWidth="1"/>
    <col min="9978" max="9978" width="10.109375" customWidth="1"/>
    <col min="9983" max="9983" width="0" hidden="1" customWidth="1"/>
    <col min="9986" max="9986" width="13" customWidth="1"/>
    <col min="9987" max="9999" width="0" hidden="1" customWidth="1"/>
    <col min="10002" max="10002" width="14.109375" bestFit="1" customWidth="1"/>
    <col min="10201" max="10201" width="4.5546875" customWidth="1"/>
    <col min="10202" max="10202" width="9.109375" customWidth="1"/>
    <col min="10203" max="10203" width="21.88671875" customWidth="1"/>
    <col min="10204" max="10204" width="15.109375" customWidth="1"/>
    <col min="10205" max="10205" width="10.77734375" customWidth="1"/>
    <col min="10206" max="10208" width="11.109375" customWidth="1"/>
    <col min="10209" max="10209" width="5.33203125" customWidth="1"/>
    <col min="10210" max="10210" width="4.21875" customWidth="1"/>
    <col min="10211" max="10211" width="33.5546875" customWidth="1"/>
    <col min="10212" max="10212" width="40.44140625" customWidth="1"/>
    <col min="10213" max="10213" width="9.77734375" customWidth="1"/>
    <col min="10214" max="10214" width="9.33203125" customWidth="1"/>
    <col min="10215" max="10216" width="10.109375" customWidth="1"/>
    <col min="10217" max="10217" width="18.21875" customWidth="1"/>
    <col min="10218" max="10219" width="12.44140625" customWidth="1"/>
    <col min="10220" max="10221" width="10.109375" customWidth="1"/>
    <col min="10222" max="10225" width="6" customWidth="1"/>
    <col min="10226" max="10226" width="23.88671875" customWidth="1"/>
    <col min="10227" max="10228" width="11.6640625" customWidth="1"/>
    <col min="10229" max="10229" width="13.33203125" customWidth="1"/>
    <col min="10230" max="10232" width="10.109375" customWidth="1"/>
    <col min="10233" max="10233" width="9.88671875" customWidth="1"/>
    <col min="10234" max="10234" width="10.109375" customWidth="1"/>
    <col min="10239" max="10239" width="0" hidden="1" customWidth="1"/>
    <col min="10242" max="10242" width="13" customWidth="1"/>
    <col min="10243" max="10255" width="0" hidden="1" customWidth="1"/>
    <col min="10258" max="10258" width="14.109375" bestFit="1" customWidth="1"/>
    <col min="10457" max="10457" width="4.5546875" customWidth="1"/>
    <col min="10458" max="10458" width="9.109375" customWidth="1"/>
    <col min="10459" max="10459" width="21.88671875" customWidth="1"/>
    <col min="10460" max="10460" width="15.109375" customWidth="1"/>
    <col min="10461" max="10461" width="10.77734375" customWidth="1"/>
    <col min="10462" max="10464" width="11.109375" customWidth="1"/>
    <col min="10465" max="10465" width="5.33203125" customWidth="1"/>
    <col min="10466" max="10466" width="4.21875" customWidth="1"/>
    <col min="10467" max="10467" width="33.5546875" customWidth="1"/>
    <col min="10468" max="10468" width="40.44140625" customWidth="1"/>
    <col min="10469" max="10469" width="9.77734375" customWidth="1"/>
    <col min="10470" max="10470" width="9.33203125" customWidth="1"/>
    <col min="10471" max="10472" width="10.109375" customWidth="1"/>
    <col min="10473" max="10473" width="18.21875" customWidth="1"/>
    <col min="10474" max="10475" width="12.44140625" customWidth="1"/>
    <col min="10476" max="10477" width="10.109375" customWidth="1"/>
    <col min="10478" max="10481" width="6" customWidth="1"/>
    <col min="10482" max="10482" width="23.88671875" customWidth="1"/>
    <col min="10483" max="10484" width="11.6640625" customWidth="1"/>
    <col min="10485" max="10485" width="13.33203125" customWidth="1"/>
    <col min="10486" max="10488" width="10.109375" customWidth="1"/>
    <col min="10489" max="10489" width="9.88671875" customWidth="1"/>
    <col min="10490" max="10490" width="10.109375" customWidth="1"/>
    <col min="10495" max="10495" width="0" hidden="1" customWidth="1"/>
    <col min="10498" max="10498" width="13" customWidth="1"/>
    <col min="10499" max="10511" width="0" hidden="1" customWidth="1"/>
    <col min="10514" max="10514" width="14.109375" bestFit="1" customWidth="1"/>
    <col min="10713" max="10713" width="4.5546875" customWidth="1"/>
    <col min="10714" max="10714" width="9.109375" customWidth="1"/>
    <col min="10715" max="10715" width="21.88671875" customWidth="1"/>
    <col min="10716" max="10716" width="15.109375" customWidth="1"/>
    <col min="10717" max="10717" width="10.77734375" customWidth="1"/>
    <col min="10718" max="10720" width="11.109375" customWidth="1"/>
    <col min="10721" max="10721" width="5.33203125" customWidth="1"/>
    <col min="10722" max="10722" width="4.21875" customWidth="1"/>
    <col min="10723" max="10723" width="33.5546875" customWidth="1"/>
    <col min="10724" max="10724" width="40.44140625" customWidth="1"/>
    <col min="10725" max="10725" width="9.77734375" customWidth="1"/>
    <col min="10726" max="10726" width="9.33203125" customWidth="1"/>
    <col min="10727" max="10728" width="10.109375" customWidth="1"/>
    <col min="10729" max="10729" width="18.21875" customWidth="1"/>
    <col min="10730" max="10731" width="12.44140625" customWidth="1"/>
    <col min="10732" max="10733" width="10.109375" customWidth="1"/>
    <col min="10734" max="10737" width="6" customWidth="1"/>
    <col min="10738" max="10738" width="23.88671875" customWidth="1"/>
    <col min="10739" max="10740" width="11.6640625" customWidth="1"/>
    <col min="10741" max="10741" width="13.33203125" customWidth="1"/>
    <col min="10742" max="10744" width="10.109375" customWidth="1"/>
    <col min="10745" max="10745" width="9.88671875" customWidth="1"/>
    <col min="10746" max="10746" width="10.109375" customWidth="1"/>
    <col min="10751" max="10751" width="0" hidden="1" customWidth="1"/>
    <col min="10754" max="10754" width="13" customWidth="1"/>
    <col min="10755" max="10767" width="0" hidden="1" customWidth="1"/>
    <col min="10770" max="10770" width="14.109375" bestFit="1" customWidth="1"/>
    <col min="10969" max="10969" width="4.5546875" customWidth="1"/>
    <col min="10970" max="10970" width="9.109375" customWidth="1"/>
    <col min="10971" max="10971" width="21.88671875" customWidth="1"/>
    <col min="10972" max="10972" width="15.109375" customWidth="1"/>
    <col min="10973" max="10973" width="10.77734375" customWidth="1"/>
    <col min="10974" max="10976" width="11.109375" customWidth="1"/>
    <col min="10977" max="10977" width="5.33203125" customWidth="1"/>
    <col min="10978" max="10978" width="4.21875" customWidth="1"/>
    <col min="10979" max="10979" width="33.5546875" customWidth="1"/>
    <col min="10980" max="10980" width="40.44140625" customWidth="1"/>
    <col min="10981" max="10981" width="9.77734375" customWidth="1"/>
    <col min="10982" max="10982" width="9.33203125" customWidth="1"/>
    <col min="10983" max="10984" width="10.109375" customWidth="1"/>
    <col min="10985" max="10985" width="18.21875" customWidth="1"/>
    <col min="10986" max="10987" width="12.44140625" customWidth="1"/>
    <col min="10988" max="10989" width="10.109375" customWidth="1"/>
    <col min="10990" max="10993" width="6" customWidth="1"/>
    <col min="10994" max="10994" width="23.88671875" customWidth="1"/>
    <col min="10995" max="10996" width="11.6640625" customWidth="1"/>
    <col min="10997" max="10997" width="13.33203125" customWidth="1"/>
    <col min="10998" max="11000" width="10.109375" customWidth="1"/>
    <col min="11001" max="11001" width="9.88671875" customWidth="1"/>
    <col min="11002" max="11002" width="10.109375" customWidth="1"/>
    <col min="11007" max="11007" width="0" hidden="1" customWidth="1"/>
    <col min="11010" max="11010" width="13" customWidth="1"/>
    <col min="11011" max="11023" width="0" hidden="1" customWidth="1"/>
    <col min="11026" max="11026" width="14.109375" bestFit="1" customWidth="1"/>
    <col min="11225" max="11225" width="4.5546875" customWidth="1"/>
    <col min="11226" max="11226" width="9.109375" customWidth="1"/>
    <col min="11227" max="11227" width="21.88671875" customWidth="1"/>
    <col min="11228" max="11228" width="15.109375" customWidth="1"/>
    <col min="11229" max="11229" width="10.77734375" customWidth="1"/>
    <col min="11230" max="11232" width="11.109375" customWidth="1"/>
    <col min="11233" max="11233" width="5.33203125" customWidth="1"/>
    <col min="11234" max="11234" width="4.21875" customWidth="1"/>
    <col min="11235" max="11235" width="33.5546875" customWidth="1"/>
    <col min="11236" max="11236" width="40.44140625" customWidth="1"/>
    <col min="11237" max="11237" width="9.77734375" customWidth="1"/>
    <col min="11238" max="11238" width="9.33203125" customWidth="1"/>
    <col min="11239" max="11240" width="10.109375" customWidth="1"/>
    <col min="11241" max="11241" width="18.21875" customWidth="1"/>
    <col min="11242" max="11243" width="12.44140625" customWidth="1"/>
    <col min="11244" max="11245" width="10.109375" customWidth="1"/>
    <col min="11246" max="11249" width="6" customWidth="1"/>
    <col min="11250" max="11250" width="23.88671875" customWidth="1"/>
    <col min="11251" max="11252" width="11.6640625" customWidth="1"/>
    <col min="11253" max="11253" width="13.33203125" customWidth="1"/>
    <col min="11254" max="11256" width="10.109375" customWidth="1"/>
    <col min="11257" max="11257" width="9.88671875" customWidth="1"/>
    <col min="11258" max="11258" width="10.109375" customWidth="1"/>
    <col min="11263" max="11263" width="0" hidden="1" customWidth="1"/>
    <col min="11266" max="11266" width="13" customWidth="1"/>
    <col min="11267" max="11279" width="0" hidden="1" customWidth="1"/>
    <col min="11282" max="11282" width="14.109375" bestFit="1" customWidth="1"/>
    <col min="11481" max="11481" width="4.5546875" customWidth="1"/>
    <col min="11482" max="11482" width="9.109375" customWidth="1"/>
    <col min="11483" max="11483" width="21.88671875" customWidth="1"/>
    <col min="11484" max="11484" width="15.109375" customWidth="1"/>
    <col min="11485" max="11485" width="10.77734375" customWidth="1"/>
    <col min="11486" max="11488" width="11.109375" customWidth="1"/>
    <col min="11489" max="11489" width="5.33203125" customWidth="1"/>
    <col min="11490" max="11490" width="4.21875" customWidth="1"/>
    <col min="11491" max="11491" width="33.5546875" customWidth="1"/>
    <col min="11492" max="11492" width="40.44140625" customWidth="1"/>
    <col min="11493" max="11493" width="9.77734375" customWidth="1"/>
    <col min="11494" max="11494" width="9.33203125" customWidth="1"/>
    <col min="11495" max="11496" width="10.109375" customWidth="1"/>
    <col min="11497" max="11497" width="18.21875" customWidth="1"/>
    <col min="11498" max="11499" width="12.44140625" customWidth="1"/>
    <col min="11500" max="11501" width="10.109375" customWidth="1"/>
    <col min="11502" max="11505" width="6" customWidth="1"/>
    <col min="11506" max="11506" width="23.88671875" customWidth="1"/>
    <col min="11507" max="11508" width="11.6640625" customWidth="1"/>
    <col min="11509" max="11509" width="13.33203125" customWidth="1"/>
    <col min="11510" max="11512" width="10.109375" customWidth="1"/>
    <col min="11513" max="11513" width="9.88671875" customWidth="1"/>
    <col min="11514" max="11514" width="10.109375" customWidth="1"/>
    <col min="11519" max="11519" width="0" hidden="1" customWidth="1"/>
    <col min="11522" max="11522" width="13" customWidth="1"/>
    <col min="11523" max="11535" width="0" hidden="1" customWidth="1"/>
    <col min="11538" max="11538" width="14.109375" bestFit="1" customWidth="1"/>
    <col min="11737" max="11737" width="4.5546875" customWidth="1"/>
    <col min="11738" max="11738" width="9.109375" customWidth="1"/>
    <col min="11739" max="11739" width="21.88671875" customWidth="1"/>
    <col min="11740" max="11740" width="15.109375" customWidth="1"/>
    <col min="11741" max="11741" width="10.77734375" customWidth="1"/>
    <col min="11742" max="11744" width="11.109375" customWidth="1"/>
    <col min="11745" max="11745" width="5.33203125" customWidth="1"/>
    <col min="11746" max="11746" width="4.21875" customWidth="1"/>
    <col min="11747" max="11747" width="33.5546875" customWidth="1"/>
    <col min="11748" max="11748" width="40.44140625" customWidth="1"/>
    <col min="11749" max="11749" width="9.77734375" customWidth="1"/>
    <col min="11750" max="11750" width="9.33203125" customWidth="1"/>
    <col min="11751" max="11752" width="10.109375" customWidth="1"/>
    <col min="11753" max="11753" width="18.21875" customWidth="1"/>
    <col min="11754" max="11755" width="12.44140625" customWidth="1"/>
    <col min="11756" max="11757" width="10.109375" customWidth="1"/>
    <col min="11758" max="11761" width="6" customWidth="1"/>
    <col min="11762" max="11762" width="23.88671875" customWidth="1"/>
    <col min="11763" max="11764" width="11.6640625" customWidth="1"/>
    <col min="11765" max="11765" width="13.33203125" customWidth="1"/>
    <col min="11766" max="11768" width="10.109375" customWidth="1"/>
    <col min="11769" max="11769" width="9.88671875" customWidth="1"/>
    <col min="11770" max="11770" width="10.109375" customWidth="1"/>
    <col min="11775" max="11775" width="0" hidden="1" customWidth="1"/>
    <col min="11778" max="11778" width="13" customWidth="1"/>
    <col min="11779" max="11791" width="0" hidden="1" customWidth="1"/>
    <col min="11794" max="11794" width="14.109375" bestFit="1" customWidth="1"/>
    <col min="11993" max="11993" width="4.5546875" customWidth="1"/>
    <col min="11994" max="11994" width="9.109375" customWidth="1"/>
    <col min="11995" max="11995" width="21.88671875" customWidth="1"/>
    <col min="11996" max="11996" width="15.109375" customWidth="1"/>
    <col min="11997" max="11997" width="10.77734375" customWidth="1"/>
    <col min="11998" max="12000" width="11.109375" customWidth="1"/>
    <col min="12001" max="12001" width="5.33203125" customWidth="1"/>
    <col min="12002" max="12002" width="4.21875" customWidth="1"/>
    <col min="12003" max="12003" width="33.5546875" customWidth="1"/>
    <col min="12004" max="12004" width="40.44140625" customWidth="1"/>
    <col min="12005" max="12005" width="9.77734375" customWidth="1"/>
    <col min="12006" max="12006" width="9.33203125" customWidth="1"/>
    <col min="12007" max="12008" width="10.109375" customWidth="1"/>
    <col min="12009" max="12009" width="18.21875" customWidth="1"/>
    <col min="12010" max="12011" width="12.44140625" customWidth="1"/>
    <col min="12012" max="12013" width="10.109375" customWidth="1"/>
    <col min="12014" max="12017" width="6" customWidth="1"/>
    <col min="12018" max="12018" width="23.88671875" customWidth="1"/>
    <col min="12019" max="12020" width="11.6640625" customWidth="1"/>
    <col min="12021" max="12021" width="13.33203125" customWidth="1"/>
    <col min="12022" max="12024" width="10.109375" customWidth="1"/>
    <col min="12025" max="12025" width="9.88671875" customWidth="1"/>
    <col min="12026" max="12026" width="10.109375" customWidth="1"/>
    <col min="12031" max="12031" width="0" hidden="1" customWidth="1"/>
    <col min="12034" max="12034" width="13" customWidth="1"/>
    <col min="12035" max="12047" width="0" hidden="1" customWidth="1"/>
    <col min="12050" max="12050" width="14.109375" bestFit="1" customWidth="1"/>
    <col min="12249" max="12249" width="4.5546875" customWidth="1"/>
    <col min="12250" max="12250" width="9.109375" customWidth="1"/>
    <col min="12251" max="12251" width="21.88671875" customWidth="1"/>
    <col min="12252" max="12252" width="15.109375" customWidth="1"/>
    <col min="12253" max="12253" width="10.77734375" customWidth="1"/>
    <col min="12254" max="12256" width="11.109375" customWidth="1"/>
    <col min="12257" max="12257" width="5.33203125" customWidth="1"/>
    <col min="12258" max="12258" width="4.21875" customWidth="1"/>
    <col min="12259" max="12259" width="33.5546875" customWidth="1"/>
    <col min="12260" max="12260" width="40.44140625" customWidth="1"/>
    <col min="12261" max="12261" width="9.77734375" customWidth="1"/>
    <col min="12262" max="12262" width="9.33203125" customWidth="1"/>
    <col min="12263" max="12264" width="10.109375" customWidth="1"/>
    <col min="12265" max="12265" width="18.21875" customWidth="1"/>
    <col min="12266" max="12267" width="12.44140625" customWidth="1"/>
    <col min="12268" max="12269" width="10.109375" customWidth="1"/>
    <col min="12270" max="12273" width="6" customWidth="1"/>
    <col min="12274" max="12274" width="23.88671875" customWidth="1"/>
    <col min="12275" max="12276" width="11.6640625" customWidth="1"/>
    <col min="12277" max="12277" width="13.33203125" customWidth="1"/>
    <col min="12278" max="12280" width="10.109375" customWidth="1"/>
    <col min="12281" max="12281" width="9.88671875" customWidth="1"/>
    <col min="12282" max="12282" width="10.109375" customWidth="1"/>
    <col min="12287" max="12287" width="0" hidden="1" customWidth="1"/>
    <col min="12290" max="12290" width="13" customWidth="1"/>
    <col min="12291" max="12303" width="0" hidden="1" customWidth="1"/>
    <col min="12306" max="12306" width="14.109375" bestFit="1" customWidth="1"/>
    <col min="12505" max="12505" width="4.5546875" customWidth="1"/>
    <col min="12506" max="12506" width="9.109375" customWidth="1"/>
    <col min="12507" max="12507" width="21.88671875" customWidth="1"/>
    <col min="12508" max="12508" width="15.109375" customWidth="1"/>
    <col min="12509" max="12509" width="10.77734375" customWidth="1"/>
    <col min="12510" max="12512" width="11.109375" customWidth="1"/>
    <col min="12513" max="12513" width="5.33203125" customWidth="1"/>
    <col min="12514" max="12514" width="4.21875" customWidth="1"/>
    <col min="12515" max="12515" width="33.5546875" customWidth="1"/>
    <col min="12516" max="12516" width="40.44140625" customWidth="1"/>
    <col min="12517" max="12517" width="9.77734375" customWidth="1"/>
    <col min="12518" max="12518" width="9.33203125" customWidth="1"/>
    <col min="12519" max="12520" width="10.109375" customWidth="1"/>
    <col min="12521" max="12521" width="18.21875" customWidth="1"/>
    <col min="12522" max="12523" width="12.44140625" customWidth="1"/>
    <col min="12524" max="12525" width="10.109375" customWidth="1"/>
    <col min="12526" max="12529" width="6" customWidth="1"/>
    <col min="12530" max="12530" width="23.88671875" customWidth="1"/>
    <col min="12531" max="12532" width="11.6640625" customWidth="1"/>
    <col min="12533" max="12533" width="13.33203125" customWidth="1"/>
    <col min="12534" max="12536" width="10.109375" customWidth="1"/>
    <col min="12537" max="12537" width="9.88671875" customWidth="1"/>
    <col min="12538" max="12538" width="10.109375" customWidth="1"/>
    <col min="12543" max="12543" width="0" hidden="1" customWidth="1"/>
    <col min="12546" max="12546" width="13" customWidth="1"/>
    <col min="12547" max="12559" width="0" hidden="1" customWidth="1"/>
    <col min="12562" max="12562" width="14.109375" bestFit="1" customWidth="1"/>
    <col min="12761" max="12761" width="4.5546875" customWidth="1"/>
    <col min="12762" max="12762" width="9.109375" customWidth="1"/>
    <col min="12763" max="12763" width="21.88671875" customWidth="1"/>
    <col min="12764" max="12764" width="15.109375" customWidth="1"/>
    <col min="12765" max="12765" width="10.77734375" customWidth="1"/>
    <col min="12766" max="12768" width="11.109375" customWidth="1"/>
    <col min="12769" max="12769" width="5.33203125" customWidth="1"/>
    <col min="12770" max="12770" width="4.21875" customWidth="1"/>
    <col min="12771" max="12771" width="33.5546875" customWidth="1"/>
    <col min="12772" max="12772" width="40.44140625" customWidth="1"/>
    <col min="12773" max="12773" width="9.77734375" customWidth="1"/>
    <col min="12774" max="12774" width="9.33203125" customWidth="1"/>
    <col min="12775" max="12776" width="10.109375" customWidth="1"/>
    <col min="12777" max="12777" width="18.21875" customWidth="1"/>
    <col min="12778" max="12779" width="12.44140625" customWidth="1"/>
    <col min="12780" max="12781" width="10.109375" customWidth="1"/>
    <col min="12782" max="12785" width="6" customWidth="1"/>
    <col min="12786" max="12786" width="23.88671875" customWidth="1"/>
    <col min="12787" max="12788" width="11.6640625" customWidth="1"/>
    <col min="12789" max="12789" width="13.33203125" customWidth="1"/>
    <col min="12790" max="12792" width="10.109375" customWidth="1"/>
    <col min="12793" max="12793" width="9.88671875" customWidth="1"/>
    <col min="12794" max="12794" width="10.109375" customWidth="1"/>
    <col min="12799" max="12799" width="0" hidden="1" customWidth="1"/>
    <col min="12802" max="12802" width="13" customWidth="1"/>
    <col min="12803" max="12815" width="0" hidden="1" customWidth="1"/>
    <col min="12818" max="12818" width="14.109375" bestFit="1" customWidth="1"/>
    <col min="13017" max="13017" width="4.5546875" customWidth="1"/>
    <col min="13018" max="13018" width="9.109375" customWidth="1"/>
    <col min="13019" max="13019" width="21.88671875" customWidth="1"/>
    <col min="13020" max="13020" width="15.109375" customWidth="1"/>
    <col min="13021" max="13021" width="10.77734375" customWidth="1"/>
    <col min="13022" max="13024" width="11.109375" customWidth="1"/>
    <col min="13025" max="13025" width="5.33203125" customWidth="1"/>
    <col min="13026" max="13026" width="4.21875" customWidth="1"/>
    <col min="13027" max="13027" width="33.5546875" customWidth="1"/>
    <col min="13028" max="13028" width="40.44140625" customWidth="1"/>
    <col min="13029" max="13029" width="9.77734375" customWidth="1"/>
    <col min="13030" max="13030" width="9.33203125" customWidth="1"/>
    <col min="13031" max="13032" width="10.109375" customWidth="1"/>
    <col min="13033" max="13033" width="18.21875" customWidth="1"/>
    <col min="13034" max="13035" width="12.44140625" customWidth="1"/>
    <col min="13036" max="13037" width="10.109375" customWidth="1"/>
    <col min="13038" max="13041" width="6" customWidth="1"/>
    <col min="13042" max="13042" width="23.88671875" customWidth="1"/>
    <col min="13043" max="13044" width="11.6640625" customWidth="1"/>
    <col min="13045" max="13045" width="13.33203125" customWidth="1"/>
    <col min="13046" max="13048" width="10.109375" customWidth="1"/>
    <col min="13049" max="13049" width="9.88671875" customWidth="1"/>
    <col min="13050" max="13050" width="10.109375" customWidth="1"/>
    <col min="13055" max="13055" width="0" hidden="1" customWidth="1"/>
    <col min="13058" max="13058" width="13" customWidth="1"/>
    <col min="13059" max="13071" width="0" hidden="1" customWidth="1"/>
    <col min="13074" max="13074" width="14.109375" bestFit="1" customWidth="1"/>
    <col min="13273" max="13273" width="4.5546875" customWidth="1"/>
    <col min="13274" max="13274" width="9.109375" customWidth="1"/>
    <col min="13275" max="13275" width="21.88671875" customWidth="1"/>
    <col min="13276" max="13276" width="15.109375" customWidth="1"/>
    <col min="13277" max="13277" width="10.77734375" customWidth="1"/>
    <col min="13278" max="13280" width="11.109375" customWidth="1"/>
    <col min="13281" max="13281" width="5.33203125" customWidth="1"/>
    <col min="13282" max="13282" width="4.21875" customWidth="1"/>
    <col min="13283" max="13283" width="33.5546875" customWidth="1"/>
    <col min="13284" max="13284" width="40.44140625" customWidth="1"/>
    <col min="13285" max="13285" width="9.77734375" customWidth="1"/>
    <col min="13286" max="13286" width="9.33203125" customWidth="1"/>
    <col min="13287" max="13288" width="10.109375" customWidth="1"/>
    <col min="13289" max="13289" width="18.21875" customWidth="1"/>
    <col min="13290" max="13291" width="12.44140625" customWidth="1"/>
    <col min="13292" max="13293" width="10.109375" customWidth="1"/>
    <col min="13294" max="13297" width="6" customWidth="1"/>
    <col min="13298" max="13298" width="23.88671875" customWidth="1"/>
    <col min="13299" max="13300" width="11.6640625" customWidth="1"/>
    <col min="13301" max="13301" width="13.33203125" customWidth="1"/>
    <col min="13302" max="13304" width="10.109375" customWidth="1"/>
    <col min="13305" max="13305" width="9.88671875" customWidth="1"/>
    <col min="13306" max="13306" width="10.109375" customWidth="1"/>
    <col min="13311" max="13311" width="0" hidden="1" customWidth="1"/>
    <col min="13314" max="13314" width="13" customWidth="1"/>
    <col min="13315" max="13327" width="0" hidden="1" customWidth="1"/>
    <col min="13330" max="13330" width="14.109375" bestFit="1" customWidth="1"/>
    <col min="13529" max="13529" width="4.5546875" customWidth="1"/>
    <col min="13530" max="13530" width="9.109375" customWidth="1"/>
    <col min="13531" max="13531" width="21.88671875" customWidth="1"/>
    <col min="13532" max="13532" width="15.109375" customWidth="1"/>
    <col min="13533" max="13533" width="10.77734375" customWidth="1"/>
    <col min="13534" max="13536" width="11.109375" customWidth="1"/>
    <col min="13537" max="13537" width="5.33203125" customWidth="1"/>
    <col min="13538" max="13538" width="4.21875" customWidth="1"/>
    <col min="13539" max="13539" width="33.5546875" customWidth="1"/>
    <col min="13540" max="13540" width="40.44140625" customWidth="1"/>
    <col min="13541" max="13541" width="9.77734375" customWidth="1"/>
    <col min="13542" max="13542" width="9.33203125" customWidth="1"/>
    <col min="13543" max="13544" width="10.109375" customWidth="1"/>
    <col min="13545" max="13545" width="18.21875" customWidth="1"/>
    <col min="13546" max="13547" width="12.44140625" customWidth="1"/>
    <col min="13548" max="13549" width="10.109375" customWidth="1"/>
    <col min="13550" max="13553" width="6" customWidth="1"/>
    <col min="13554" max="13554" width="23.88671875" customWidth="1"/>
    <col min="13555" max="13556" width="11.6640625" customWidth="1"/>
    <col min="13557" max="13557" width="13.33203125" customWidth="1"/>
    <col min="13558" max="13560" width="10.109375" customWidth="1"/>
    <col min="13561" max="13561" width="9.88671875" customWidth="1"/>
    <col min="13562" max="13562" width="10.109375" customWidth="1"/>
    <col min="13567" max="13567" width="0" hidden="1" customWidth="1"/>
    <col min="13570" max="13570" width="13" customWidth="1"/>
    <col min="13571" max="13583" width="0" hidden="1" customWidth="1"/>
    <col min="13586" max="13586" width="14.109375" bestFit="1" customWidth="1"/>
    <col min="13785" max="13785" width="4.5546875" customWidth="1"/>
    <col min="13786" max="13786" width="9.109375" customWidth="1"/>
    <col min="13787" max="13787" width="21.88671875" customWidth="1"/>
    <col min="13788" max="13788" width="15.109375" customWidth="1"/>
    <col min="13789" max="13789" width="10.77734375" customWidth="1"/>
    <col min="13790" max="13792" width="11.109375" customWidth="1"/>
    <col min="13793" max="13793" width="5.33203125" customWidth="1"/>
    <col min="13794" max="13794" width="4.21875" customWidth="1"/>
    <col min="13795" max="13795" width="33.5546875" customWidth="1"/>
    <col min="13796" max="13796" width="40.44140625" customWidth="1"/>
    <col min="13797" max="13797" width="9.77734375" customWidth="1"/>
    <col min="13798" max="13798" width="9.33203125" customWidth="1"/>
    <col min="13799" max="13800" width="10.109375" customWidth="1"/>
    <col min="13801" max="13801" width="18.21875" customWidth="1"/>
    <col min="13802" max="13803" width="12.44140625" customWidth="1"/>
    <col min="13804" max="13805" width="10.109375" customWidth="1"/>
    <col min="13806" max="13809" width="6" customWidth="1"/>
    <col min="13810" max="13810" width="23.88671875" customWidth="1"/>
    <col min="13811" max="13812" width="11.6640625" customWidth="1"/>
    <col min="13813" max="13813" width="13.33203125" customWidth="1"/>
    <col min="13814" max="13816" width="10.109375" customWidth="1"/>
    <col min="13817" max="13817" width="9.88671875" customWidth="1"/>
    <col min="13818" max="13818" width="10.109375" customWidth="1"/>
    <col min="13823" max="13823" width="0" hidden="1" customWidth="1"/>
    <col min="13826" max="13826" width="13" customWidth="1"/>
    <col min="13827" max="13839" width="0" hidden="1" customWidth="1"/>
    <col min="13842" max="13842" width="14.109375" bestFit="1" customWidth="1"/>
    <col min="14041" max="14041" width="4.5546875" customWidth="1"/>
    <col min="14042" max="14042" width="9.109375" customWidth="1"/>
    <col min="14043" max="14043" width="21.88671875" customWidth="1"/>
    <col min="14044" max="14044" width="15.109375" customWidth="1"/>
    <col min="14045" max="14045" width="10.77734375" customWidth="1"/>
    <col min="14046" max="14048" width="11.109375" customWidth="1"/>
    <col min="14049" max="14049" width="5.33203125" customWidth="1"/>
    <col min="14050" max="14050" width="4.21875" customWidth="1"/>
    <col min="14051" max="14051" width="33.5546875" customWidth="1"/>
    <col min="14052" max="14052" width="40.44140625" customWidth="1"/>
    <col min="14053" max="14053" width="9.77734375" customWidth="1"/>
    <col min="14054" max="14054" width="9.33203125" customWidth="1"/>
    <col min="14055" max="14056" width="10.109375" customWidth="1"/>
    <col min="14057" max="14057" width="18.21875" customWidth="1"/>
    <col min="14058" max="14059" width="12.44140625" customWidth="1"/>
    <col min="14060" max="14061" width="10.109375" customWidth="1"/>
    <col min="14062" max="14065" width="6" customWidth="1"/>
    <col min="14066" max="14066" width="23.88671875" customWidth="1"/>
    <col min="14067" max="14068" width="11.6640625" customWidth="1"/>
    <col min="14069" max="14069" width="13.33203125" customWidth="1"/>
    <col min="14070" max="14072" width="10.109375" customWidth="1"/>
    <col min="14073" max="14073" width="9.88671875" customWidth="1"/>
    <col min="14074" max="14074" width="10.109375" customWidth="1"/>
    <col min="14079" max="14079" width="0" hidden="1" customWidth="1"/>
    <col min="14082" max="14082" width="13" customWidth="1"/>
    <col min="14083" max="14095" width="0" hidden="1" customWidth="1"/>
    <col min="14098" max="14098" width="14.109375" bestFit="1" customWidth="1"/>
    <col min="14297" max="14297" width="4.5546875" customWidth="1"/>
    <col min="14298" max="14298" width="9.109375" customWidth="1"/>
    <col min="14299" max="14299" width="21.88671875" customWidth="1"/>
    <col min="14300" max="14300" width="15.109375" customWidth="1"/>
    <col min="14301" max="14301" width="10.77734375" customWidth="1"/>
    <col min="14302" max="14304" width="11.109375" customWidth="1"/>
    <col min="14305" max="14305" width="5.33203125" customWidth="1"/>
    <col min="14306" max="14306" width="4.21875" customWidth="1"/>
    <col min="14307" max="14307" width="33.5546875" customWidth="1"/>
    <col min="14308" max="14308" width="40.44140625" customWidth="1"/>
    <col min="14309" max="14309" width="9.77734375" customWidth="1"/>
    <col min="14310" max="14310" width="9.33203125" customWidth="1"/>
    <col min="14311" max="14312" width="10.109375" customWidth="1"/>
    <col min="14313" max="14313" width="18.21875" customWidth="1"/>
    <col min="14314" max="14315" width="12.44140625" customWidth="1"/>
    <col min="14316" max="14317" width="10.109375" customWidth="1"/>
    <col min="14318" max="14321" width="6" customWidth="1"/>
    <col min="14322" max="14322" width="23.88671875" customWidth="1"/>
    <col min="14323" max="14324" width="11.6640625" customWidth="1"/>
    <col min="14325" max="14325" width="13.33203125" customWidth="1"/>
    <col min="14326" max="14328" width="10.109375" customWidth="1"/>
    <col min="14329" max="14329" width="9.88671875" customWidth="1"/>
    <col min="14330" max="14330" width="10.109375" customWidth="1"/>
    <col min="14335" max="14335" width="0" hidden="1" customWidth="1"/>
    <col min="14338" max="14338" width="13" customWidth="1"/>
    <col min="14339" max="14351" width="0" hidden="1" customWidth="1"/>
    <col min="14354" max="14354" width="14.109375" bestFit="1" customWidth="1"/>
    <col min="14553" max="14553" width="4.5546875" customWidth="1"/>
    <col min="14554" max="14554" width="9.109375" customWidth="1"/>
    <col min="14555" max="14555" width="21.88671875" customWidth="1"/>
    <col min="14556" max="14556" width="15.109375" customWidth="1"/>
    <col min="14557" max="14557" width="10.77734375" customWidth="1"/>
    <col min="14558" max="14560" width="11.109375" customWidth="1"/>
    <col min="14561" max="14561" width="5.33203125" customWidth="1"/>
    <col min="14562" max="14562" width="4.21875" customWidth="1"/>
    <col min="14563" max="14563" width="33.5546875" customWidth="1"/>
    <col min="14564" max="14564" width="40.44140625" customWidth="1"/>
    <col min="14565" max="14565" width="9.77734375" customWidth="1"/>
    <col min="14566" max="14566" width="9.33203125" customWidth="1"/>
    <col min="14567" max="14568" width="10.109375" customWidth="1"/>
    <col min="14569" max="14569" width="18.21875" customWidth="1"/>
    <col min="14570" max="14571" width="12.44140625" customWidth="1"/>
    <col min="14572" max="14573" width="10.109375" customWidth="1"/>
    <col min="14574" max="14577" width="6" customWidth="1"/>
    <col min="14578" max="14578" width="23.88671875" customWidth="1"/>
    <col min="14579" max="14580" width="11.6640625" customWidth="1"/>
    <col min="14581" max="14581" width="13.33203125" customWidth="1"/>
    <col min="14582" max="14584" width="10.109375" customWidth="1"/>
    <col min="14585" max="14585" width="9.88671875" customWidth="1"/>
    <col min="14586" max="14586" width="10.109375" customWidth="1"/>
    <col min="14591" max="14591" width="0" hidden="1" customWidth="1"/>
    <col min="14594" max="14594" width="13" customWidth="1"/>
    <col min="14595" max="14607" width="0" hidden="1" customWidth="1"/>
    <col min="14610" max="14610" width="14.109375" bestFit="1" customWidth="1"/>
    <col min="14809" max="14809" width="4.5546875" customWidth="1"/>
    <col min="14810" max="14810" width="9.109375" customWidth="1"/>
    <col min="14811" max="14811" width="21.88671875" customWidth="1"/>
    <col min="14812" max="14812" width="15.109375" customWidth="1"/>
    <col min="14813" max="14813" width="10.77734375" customWidth="1"/>
    <col min="14814" max="14816" width="11.109375" customWidth="1"/>
    <col min="14817" max="14817" width="5.33203125" customWidth="1"/>
    <col min="14818" max="14818" width="4.21875" customWidth="1"/>
    <col min="14819" max="14819" width="33.5546875" customWidth="1"/>
    <col min="14820" max="14820" width="40.44140625" customWidth="1"/>
    <col min="14821" max="14821" width="9.77734375" customWidth="1"/>
    <col min="14822" max="14822" width="9.33203125" customWidth="1"/>
    <col min="14823" max="14824" width="10.109375" customWidth="1"/>
    <col min="14825" max="14825" width="18.21875" customWidth="1"/>
    <col min="14826" max="14827" width="12.44140625" customWidth="1"/>
    <col min="14828" max="14829" width="10.109375" customWidth="1"/>
    <col min="14830" max="14833" width="6" customWidth="1"/>
    <col min="14834" max="14834" width="23.88671875" customWidth="1"/>
    <col min="14835" max="14836" width="11.6640625" customWidth="1"/>
    <col min="14837" max="14837" width="13.33203125" customWidth="1"/>
    <col min="14838" max="14840" width="10.109375" customWidth="1"/>
    <col min="14841" max="14841" width="9.88671875" customWidth="1"/>
    <col min="14842" max="14842" width="10.109375" customWidth="1"/>
    <col min="14847" max="14847" width="0" hidden="1" customWidth="1"/>
    <col min="14850" max="14850" width="13" customWidth="1"/>
    <col min="14851" max="14863" width="0" hidden="1" customWidth="1"/>
    <col min="14866" max="14866" width="14.109375" bestFit="1" customWidth="1"/>
    <col min="15065" max="15065" width="4.5546875" customWidth="1"/>
    <col min="15066" max="15066" width="9.109375" customWidth="1"/>
    <col min="15067" max="15067" width="21.88671875" customWidth="1"/>
    <col min="15068" max="15068" width="15.109375" customWidth="1"/>
    <col min="15069" max="15069" width="10.77734375" customWidth="1"/>
    <col min="15070" max="15072" width="11.109375" customWidth="1"/>
    <col min="15073" max="15073" width="5.33203125" customWidth="1"/>
    <col min="15074" max="15074" width="4.21875" customWidth="1"/>
    <col min="15075" max="15075" width="33.5546875" customWidth="1"/>
    <col min="15076" max="15076" width="40.44140625" customWidth="1"/>
    <col min="15077" max="15077" width="9.77734375" customWidth="1"/>
    <col min="15078" max="15078" width="9.33203125" customWidth="1"/>
    <col min="15079" max="15080" width="10.109375" customWidth="1"/>
    <col min="15081" max="15081" width="18.21875" customWidth="1"/>
    <col min="15082" max="15083" width="12.44140625" customWidth="1"/>
    <col min="15084" max="15085" width="10.109375" customWidth="1"/>
    <col min="15086" max="15089" width="6" customWidth="1"/>
    <col min="15090" max="15090" width="23.88671875" customWidth="1"/>
    <col min="15091" max="15092" width="11.6640625" customWidth="1"/>
    <col min="15093" max="15093" width="13.33203125" customWidth="1"/>
    <col min="15094" max="15096" width="10.109375" customWidth="1"/>
    <col min="15097" max="15097" width="9.88671875" customWidth="1"/>
    <col min="15098" max="15098" width="10.109375" customWidth="1"/>
    <col min="15103" max="15103" width="0" hidden="1" customWidth="1"/>
    <col min="15106" max="15106" width="13" customWidth="1"/>
    <col min="15107" max="15119" width="0" hidden="1" customWidth="1"/>
    <col min="15122" max="15122" width="14.109375" bestFit="1" customWidth="1"/>
    <col min="15321" max="15321" width="4.5546875" customWidth="1"/>
    <col min="15322" max="15322" width="9.109375" customWidth="1"/>
    <col min="15323" max="15323" width="21.88671875" customWidth="1"/>
    <col min="15324" max="15324" width="15.109375" customWidth="1"/>
    <col min="15325" max="15325" width="10.77734375" customWidth="1"/>
    <col min="15326" max="15328" width="11.109375" customWidth="1"/>
    <col min="15329" max="15329" width="5.33203125" customWidth="1"/>
    <col min="15330" max="15330" width="4.21875" customWidth="1"/>
    <col min="15331" max="15331" width="33.5546875" customWidth="1"/>
    <col min="15332" max="15332" width="40.44140625" customWidth="1"/>
    <col min="15333" max="15333" width="9.77734375" customWidth="1"/>
    <col min="15334" max="15334" width="9.33203125" customWidth="1"/>
    <col min="15335" max="15336" width="10.109375" customWidth="1"/>
    <col min="15337" max="15337" width="18.21875" customWidth="1"/>
    <col min="15338" max="15339" width="12.44140625" customWidth="1"/>
    <col min="15340" max="15341" width="10.109375" customWidth="1"/>
    <col min="15342" max="15345" width="6" customWidth="1"/>
    <col min="15346" max="15346" width="23.88671875" customWidth="1"/>
    <col min="15347" max="15348" width="11.6640625" customWidth="1"/>
    <col min="15349" max="15349" width="13.33203125" customWidth="1"/>
    <col min="15350" max="15352" width="10.109375" customWidth="1"/>
    <col min="15353" max="15353" width="9.88671875" customWidth="1"/>
    <col min="15354" max="15354" width="10.109375" customWidth="1"/>
    <col min="15359" max="15359" width="0" hidden="1" customWidth="1"/>
    <col min="15362" max="15362" width="13" customWidth="1"/>
    <col min="15363" max="15375" width="0" hidden="1" customWidth="1"/>
    <col min="15378" max="15378" width="14.109375" bestFit="1" customWidth="1"/>
    <col min="15577" max="15577" width="4.5546875" customWidth="1"/>
    <col min="15578" max="15578" width="9.109375" customWidth="1"/>
    <col min="15579" max="15579" width="21.88671875" customWidth="1"/>
    <col min="15580" max="15580" width="15.109375" customWidth="1"/>
    <col min="15581" max="15581" width="10.77734375" customWidth="1"/>
    <col min="15582" max="15584" width="11.109375" customWidth="1"/>
    <col min="15585" max="15585" width="5.33203125" customWidth="1"/>
    <col min="15586" max="15586" width="4.21875" customWidth="1"/>
    <col min="15587" max="15587" width="33.5546875" customWidth="1"/>
    <col min="15588" max="15588" width="40.44140625" customWidth="1"/>
    <col min="15589" max="15589" width="9.77734375" customWidth="1"/>
    <col min="15590" max="15590" width="9.33203125" customWidth="1"/>
    <col min="15591" max="15592" width="10.109375" customWidth="1"/>
    <col min="15593" max="15593" width="18.21875" customWidth="1"/>
    <col min="15594" max="15595" width="12.44140625" customWidth="1"/>
    <col min="15596" max="15597" width="10.109375" customWidth="1"/>
    <col min="15598" max="15601" width="6" customWidth="1"/>
    <col min="15602" max="15602" width="23.88671875" customWidth="1"/>
    <col min="15603" max="15604" width="11.6640625" customWidth="1"/>
    <col min="15605" max="15605" width="13.33203125" customWidth="1"/>
    <col min="15606" max="15608" width="10.109375" customWidth="1"/>
    <col min="15609" max="15609" width="9.88671875" customWidth="1"/>
    <col min="15610" max="15610" width="10.109375" customWidth="1"/>
    <col min="15615" max="15615" width="0" hidden="1" customWidth="1"/>
    <col min="15618" max="15618" width="13" customWidth="1"/>
    <col min="15619" max="15631" width="0" hidden="1" customWidth="1"/>
    <col min="15634" max="15634" width="14.109375" bestFit="1" customWidth="1"/>
    <col min="15833" max="15833" width="4.5546875" customWidth="1"/>
    <col min="15834" max="15834" width="9.109375" customWidth="1"/>
    <col min="15835" max="15835" width="21.88671875" customWidth="1"/>
    <col min="15836" max="15836" width="15.109375" customWidth="1"/>
    <col min="15837" max="15837" width="10.77734375" customWidth="1"/>
    <col min="15838" max="15840" width="11.109375" customWidth="1"/>
    <col min="15841" max="15841" width="5.33203125" customWidth="1"/>
    <col min="15842" max="15842" width="4.21875" customWidth="1"/>
    <col min="15843" max="15843" width="33.5546875" customWidth="1"/>
    <col min="15844" max="15844" width="40.44140625" customWidth="1"/>
    <col min="15845" max="15845" width="9.77734375" customWidth="1"/>
    <col min="15846" max="15846" width="9.33203125" customWidth="1"/>
    <col min="15847" max="15848" width="10.109375" customWidth="1"/>
    <col min="15849" max="15849" width="18.21875" customWidth="1"/>
    <col min="15850" max="15851" width="12.44140625" customWidth="1"/>
    <col min="15852" max="15853" width="10.109375" customWidth="1"/>
    <col min="15854" max="15857" width="6" customWidth="1"/>
    <col min="15858" max="15858" width="23.88671875" customWidth="1"/>
    <col min="15859" max="15860" width="11.6640625" customWidth="1"/>
    <col min="15861" max="15861" width="13.33203125" customWidth="1"/>
    <col min="15862" max="15864" width="10.109375" customWidth="1"/>
    <col min="15865" max="15865" width="9.88671875" customWidth="1"/>
    <col min="15866" max="15866" width="10.109375" customWidth="1"/>
    <col min="15871" max="15871" width="0" hidden="1" customWidth="1"/>
    <col min="15874" max="15874" width="13" customWidth="1"/>
    <col min="15875" max="15887" width="0" hidden="1" customWidth="1"/>
    <col min="15890" max="15890" width="14.109375" bestFit="1" customWidth="1"/>
    <col min="16089" max="16089" width="4.5546875" customWidth="1"/>
    <col min="16090" max="16090" width="9.109375" customWidth="1"/>
    <col min="16091" max="16091" width="21.88671875" customWidth="1"/>
    <col min="16092" max="16092" width="15.109375" customWidth="1"/>
    <col min="16093" max="16093" width="10.77734375" customWidth="1"/>
    <col min="16094" max="16096" width="11.109375" customWidth="1"/>
    <col min="16097" max="16097" width="5.33203125" customWidth="1"/>
    <col min="16098" max="16098" width="4.21875" customWidth="1"/>
    <col min="16099" max="16099" width="33.5546875" customWidth="1"/>
    <col min="16100" max="16100" width="40.44140625" customWidth="1"/>
    <col min="16101" max="16101" width="9.77734375" customWidth="1"/>
    <col min="16102" max="16102" width="9.33203125" customWidth="1"/>
    <col min="16103" max="16104" width="10.109375" customWidth="1"/>
    <col min="16105" max="16105" width="18.21875" customWidth="1"/>
    <col min="16106" max="16107" width="12.44140625" customWidth="1"/>
    <col min="16108" max="16109" width="10.109375" customWidth="1"/>
    <col min="16110" max="16113" width="6" customWidth="1"/>
    <col min="16114" max="16114" width="23.88671875" customWidth="1"/>
    <col min="16115" max="16116" width="11.6640625" customWidth="1"/>
    <col min="16117" max="16117" width="13.33203125" customWidth="1"/>
    <col min="16118" max="16120" width="10.109375" customWidth="1"/>
    <col min="16121" max="16121" width="9.88671875" customWidth="1"/>
    <col min="16122" max="16122" width="10.109375" customWidth="1"/>
    <col min="16127" max="16127" width="0" hidden="1" customWidth="1"/>
    <col min="16130" max="16130" width="13" customWidth="1"/>
    <col min="16131" max="16143" width="0" hidden="1" customWidth="1"/>
    <col min="16146" max="16146" width="14.109375" bestFit="1" customWidth="1"/>
  </cols>
  <sheetData>
    <row r="1" spans="1:18" s="4" customFormat="1" ht="34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s="9" customFormat="1" ht="71.25" customHeight="1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8"/>
    </row>
    <row r="3" spans="1:18" s="19" customFormat="1" ht="33.75" customHeight="1">
      <c r="A3" s="10">
        <f>SUBTOTAL(3,$B$3:B3)</f>
        <v>1</v>
      </c>
      <c r="B3" s="10" t="s">
        <v>18</v>
      </c>
      <c r="C3" s="11" t="s">
        <v>19</v>
      </c>
      <c r="D3" s="12">
        <v>1412000096</v>
      </c>
      <c r="E3" s="12">
        <v>5005246286</v>
      </c>
      <c r="F3" s="13"/>
      <c r="G3" s="13">
        <v>3860000</v>
      </c>
      <c r="H3" s="14"/>
      <c r="I3" s="14"/>
      <c r="J3" s="15"/>
      <c r="K3" s="13"/>
      <c r="L3" s="15"/>
      <c r="M3" s="15"/>
      <c r="N3" s="16"/>
      <c r="O3" s="17"/>
      <c r="P3" s="15"/>
      <c r="Q3" s="15">
        <f>130000+1820000+50000</f>
        <v>2000000</v>
      </c>
      <c r="R3" s="18" t="s">
        <v>20</v>
      </c>
    </row>
    <row r="4" spans="1:18" s="19" customFormat="1" ht="33.75" customHeight="1">
      <c r="A4" s="10">
        <f>SUBTOTAL(3,$B$3:B4)</f>
        <v>2</v>
      </c>
      <c r="B4" s="20" t="s">
        <v>21</v>
      </c>
      <c r="C4" s="21" t="s">
        <v>22</v>
      </c>
      <c r="D4" s="12">
        <v>1412000040</v>
      </c>
      <c r="E4" s="22">
        <v>5005246286</v>
      </c>
      <c r="F4" s="15"/>
      <c r="G4" s="15"/>
      <c r="H4" s="23">
        <f>1820000+130000+50000+400000+1000000+1000000</f>
        <v>4400000</v>
      </c>
      <c r="I4" s="24"/>
      <c r="J4" s="23"/>
      <c r="K4" s="23">
        <f>105*26400</f>
        <v>2772000</v>
      </c>
      <c r="L4" s="15"/>
      <c r="M4" s="15"/>
      <c r="N4" s="16"/>
      <c r="O4" s="17"/>
      <c r="P4" s="17"/>
      <c r="Q4" s="15"/>
      <c r="R4" s="18" t="s">
        <v>23</v>
      </c>
    </row>
    <row r="5" spans="1:18" s="19" customFormat="1" ht="33.75" customHeight="1">
      <c r="A5" s="10">
        <f>SUBTOTAL(3,$B$3:B5)</f>
        <v>3</v>
      </c>
      <c r="B5" s="10" t="s">
        <v>24</v>
      </c>
      <c r="C5" s="11" t="s">
        <v>25</v>
      </c>
      <c r="D5" s="12">
        <v>1412000077</v>
      </c>
      <c r="E5" s="12">
        <v>5005246286</v>
      </c>
      <c r="F5" s="13"/>
      <c r="G5" s="15"/>
      <c r="H5" s="14"/>
      <c r="I5" s="14"/>
      <c r="J5" s="15"/>
      <c r="K5" s="13"/>
      <c r="L5" s="15"/>
      <c r="M5" s="15"/>
      <c r="N5" s="16">
        <f>1000000+50000+1000000</f>
        <v>2050000</v>
      </c>
      <c r="O5" s="17"/>
      <c r="P5" s="15">
        <f>10000+3850000</f>
        <v>3860000</v>
      </c>
      <c r="Q5" s="15"/>
      <c r="R5" s="18" t="s">
        <v>26</v>
      </c>
    </row>
    <row r="6" spans="1:18" s="19" customFormat="1" ht="33.75" customHeight="1">
      <c r="A6" s="10">
        <f>SUBTOTAL(3,$B$3:B6)</f>
        <v>4</v>
      </c>
      <c r="B6" s="20" t="s">
        <v>27</v>
      </c>
      <c r="C6" s="21" t="s">
        <v>28</v>
      </c>
      <c r="D6" s="12">
        <v>1412000069</v>
      </c>
      <c r="E6" s="12">
        <v>5005246286</v>
      </c>
      <c r="F6" s="15">
        <f>1000000+1000000+150000+400000+100000</f>
        <v>2650000</v>
      </c>
      <c r="G6" s="15"/>
      <c r="H6" s="14">
        <v>3860000</v>
      </c>
      <c r="I6" s="14"/>
      <c r="J6" s="15"/>
      <c r="K6" s="15"/>
      <c r="L6" s="15"/>
      <c r="M6" s="15"/>
      <c r="N6" s="15"/>
      <c r="O6" s="17"/>
      <c r="P6" s="17"/>
      <c r="Q6" s="15"/>
      <c r="R6" s="18" t="s">
        <v>29</v>
      </c>
    </row>
    <row r="7" spans="1:18" s="19" customFormat="1" ht="33.75" customHeight="1">
      <c r="A7" s="10">
        <f>SUBTOTAL(3,$B$3:B7)</f>
        <v>5</v>
      </c>
      <c r="B7" s="10" t="s">
        <v>30</v>
      </c>
      <c r="C7" s="20" t="s">
        <v>31</v>
      </c>
      <c r="D7" s="12">
        <v>1412000029</v>
      </c>
      <c r="E7" s="12">
        <v>6005246673</v>
      </c>
      <c r="F7" s="23"/>
      <c r="G7" s="23">
        <v>3860000</v>
      </c>
      <c r="H7" s="24"/>
      <c r="I7" s="24"/>
      <c r="J7" s="23"/>
      <c r="K7" s="23"/>
      <c r="L7" s="23"/>
      <c r="M7" s="23"/>
      <c r="N7" s="25"/>
      <c r="O7" s="26"/>
      <c r="P7" s="26"/>
      <c r="Q7" s="23"/>
      <c r="R7" s="18" t="s">
        <v>32</v>
      </c>
    </row>
    <row r="8" spans="1:18" s="19" customFormat="1" ht="33.75" customHeight="1">
      <c r="A8" s="10">
        <f>SUBTOTAL(3,$B$3:B8)</f>
        <v>6</v>
      </c>
      <c r="B8" s="10" t="s">
        <v>33</v>
      </c>
      <c r="C8" s="10" t="s">
        <v>34</v>
      </c>
      <c r="D8" s="10">
        <v>1412000042</v>
      </c>
      <c r="E8" s="12">
        <v>5005246286</v>
      </c>
      <c r="F8" s="15">
        <f>1000000+1000000+50000+400000</f>
        <v>2450000</v>
      </c>
      <c r="G8" s="23"/>
      <c r="H8" s="14">
        <v>3860000</v>
      </c>
      <c r="I8" s="24"/>
      <c r="J8" s="23"/>
      <c r="K8" s="27"/>
      <c r="L8" s="23"/>
      <c r="M8" s="23"/>
      <c r="N8" s="23"/>
      <c r="O8" s="26"/>
      <c r="P8" s="26"/>
      <c r="Q8" s="23"/>
      <c r="R8" s="18" t="s">
        <v>35</v>
      </c>
    </row>
    <row r="9" spans="1:18" s="19" customFormat="1" ht="36" customHeight="1">
      <c r="A9" s="10">
        <f>SUBTOTAL(3,$B$3:B9)</f>
        <v>7</v>
      </c>
      <c r="B9" s="10" t="s">
        <v>36</v>
      </c>
      <c r="C9" s="10" t="s">
        <v>37</v>
      </c>
      <c r="D9" s="10">
        <v>1412000034</v>
      </c>
      <c r="E9" s="12">
        <v>5005246286</v>
      </c>
      <c r="F9" s="23">
        <v>3860000</v>
      </c>
      <c r="G9" s="23"/>
      <c r="H9" s="24"/>
      <c r="I9" s="24"/>
      <c r="J9" s="23"/>
      <c r="K9" s="23"/>
      <c r="L9" s="23"/>
      <c r="M9" s="23"/>
      <c r="N9" s="23"/>
      <c r="O9" s="23"/>
      <c r="P9" s="23"/>
      <c r="Q9" s="23"/>
      <c r="R9" s="18" t="s">
        <v>38</v>
      </c>
    </row>
    <row r="10" spans="1:18" s="19" customFormat="1" ht="33.75" customHeight="1">
      <c r="A10" s="10">
        <f>SUBTOTAL(3,$B$3:B10)</f>
        <v>8</v>
      </c>
      <c r="B10" s="10" t="s">
        <v>39</v>
      </c>
      <c r="C10" s="11" t="s">
        <v>40</v>
      </c>
      <c r="D10" s="12">
        <v>1412000101</v>
      </c>
      <c r="E10" s="12">
        <v>5005246286</v>
      </c>
      <c r="F10" s="13"/>
      <c r="G10" s="13">
        <f>3850000+10000</f>
        <v>3860000</v>
      </c>
      <c r="H10" s="14"/>
      <c r="I10" s="14"/>
      <c r="J10" s="15"/>
      <c r="K10" s="13"/>
      <c r="L10" s="15"/>
      <c r="M10" s="15"/>
      <c r="N10" s="16"/>
      <c r="O10" s="17"/>
      <c r="P10" s="15"/>
      <c r="Q10" s="15"/>
      <c r="R10" s="18" t="s">
        <v>41</v>
      </c>
    </row>
    <row r="11" spans="1:18" s="19" customFormat="1" ht="33.75" customHeight="1">
      <c r="A11" s="10">
        <f>SUBTOTAL(3,$B$3:B11)</f>
        <v>9</v>
      </c>
      <c r="B11" s="10" t="s">
        <v>42</v>
      </c>
      <c r="C11" s="11" t="s">
        <v>43</v>
      </c>
      <c r="D11" s="12">
        <v>1412000021</v>
      </c>
      <c r="E11" s="12">
        <v>5005246286</v>
      </c>
      <c r="F11" s="13"/>
      <c r="G11" s="15"/>
      <c r="H11" s="14">
        <f>1000000+1500000+55000+600000</f>
        <v>3155000</v>
      </c>
      <c r="I11" s="14"/>
      <c r="J11" s="15"/>
      <c r="K11" s="13">
        <f>3850000+10000</f>
        <v>3860000</v>
      </c>
      <c r="L11" s="15"/>
      <c r="M11" s="15"/>
      <c r="N11" s="16"/>
      <c r="O11" s="17"/>
      <c r="P11" s="15"/>
      <c r="Q11" s="15"/>
      <c r="R11" s="18" t="s">
        <v>44</v>
      </c>
    </row>
    <row r="12" spans="1:18" s="19" customFormat="1" ht="33.75" customHeight="1">
      <c r="A12" s="10">
        <f>SUBTOTAL(3,$B$3:B12)</f>
        <v>10</v>
      </c>
      <c r="B12" s="10" t="s">
        <v>45</v>
      </c>
      <c r="C12" s="11" t="s">
        <v>46</v>
      </c>
      <c r="D12" s="12">
        <v>1412000080</v>
      </c>
      <c r="E12" s="12">
        <v>5005246286</v>
      </c>
      <c r="F12" s="13"/>
      <c r="G12" s="13"/>
      <c r="H12" s="13">
        <f>3850000+10000</f>
        <v>3860000</v>
      </c>
      <c r="I12" s="14"/>
      <c r="J12" s="15"/>
      <c r="K12" s="13"/>
      <c r="L12" s="15"/>
      <c r="M12" s="15"/>
      <c r="N12" s="16"/>
      <c r="O12" s="17"/>
      <c r="P12" s="15"/>
      <c r="Q12" s="15"/>
      <c r="R12" s="18" t="s">
        <v>47</v>
      </c>
    </row>
    <row r="13" spans="1:18" s="19" customFormat="1" ht="33.75" customHeight="1">
      <c r="A13" s="10">
        <f>SUBTOTAL(3,$B$3:B13)</f>
        <v>11</v>
      </c>
      <c r="B13" s="10" t="s">
        <v>48</v>
      </c>
      <c r="C13" s="11" t="s">
        <v>49</v>
      </c>
      <c r="D13" s="12">
        <v>1412000078</v>
      </c>
      <c r="E13" s="12">
        <v>5005246286</v>
      </c>
      <c r="F13" s="13"/>
      <c r="G13" s="13">
        <f>3850000+10000</f>
        <v>3860000</v>
      </c>
      <c r="H13" s="14"/>
      <c r="I13" s="14"/>
      <c r="J13" s="15"/>
      <c r="K13" s="13"/>
      <c r="L13" s="15"/>
      <c r="M13" s="15"/>
      <c r="N13" s="16"/>
      <c r="O13" s="17"/>
      <c r="P13" s="15"/>
      <c r="Q13" s="15"/>
      <c r="R13" s="18" t="s">
        <v>50</v>
      </c>
    </row>
    <row r="14" spans="1:18" s="19" customFormat="1" ht="33.75" customHeight="1">
      <c r="A14" s="10">
        <f>SUBTOTAL(3,$B$3:B14)</f>
        <v>12</v>
      </c>
      <c r="B14" s="10" t="s">
        <v>51</v>
      </c>
      <c r="C14" s="11" t="s">
        <v>52</v>
      </c>
      <c r="D14" s="12"/>
      <c r="E14" s="12">
        <v>5005246286</v>
      </c>
      <c r="F14" s="27">
        <f>3850000+10000</f>
        <v>3860000</v>
      </c>
      <c r="G14" s="13"/>
      <c r="H14" s="14"/>
      <c r="I14" s="14"/>
      <c r="J14" s="15"/>
      <c r="K14" s="13"/>
      <c r="L14" s="15"/>
      <c r="M14" s="15"/>
      <c r="N14" s="16"/>
      <c r="O14" s="17"/>
      <c r="P14" s="15"/>
      <c r="Q14" s="15"/>
      <c r="R14" s="18" t="s">
        <v>97</v>
      </c>
    </row>
    <row r="15" spans="1:18" s="19" customFormat="1" ht="33.75" customHeight="1">
      <c r="A15" s="10">
        <f>SUBTOTAL(3,$B$3:B15)</f>
        <v>13</v>
      </c>
      <c r="B15" s="20" t="s">
        <v>53</v>
      </c>
      <c r="C15" s="20" t="s">
        <v>54</v>
      </c>
      <c r="D15" s="12">
        <v>1412000099</v>
      </c>
      <c r="E15" s="12">
        <v>5005246286</v>
      </c>
      <c r="F15" s="13">
        <f>3850000+10000</f>
        <v>3860000</v>
      </c>
      <c r="G15" s="23"/>
      <c r="H15" s="24"/>
      <c r="I15" s="24"/>
      <c r="J15" s="23"/>
      <c r="K15" s="23"/>
      <c r="L15" s="23"/>
      <c r="M15" s="23"/>
      <c r="N15" s="23"/>
      <c r="O15" s="26"/>
      <c r="P15" s="26"/>
      <c r="Q15" s="23"/>
      <c r="R15" s="18" t="s">
        <v>55</v>
      </c>
    </row>
    <row r="16" spans="1:18" s="19" customFormat="1" ht="33.75" customHeight="1">
      <c r="A16" s="10">
        <f>SUBTOTAL(3,$B$3:B16)</f>
        <v>14</v>
      </c>
      <c r="B16" s="10" t="s">
        <v>56</v>
      </c>
      <c r="C16" s="11" t="s">
        <v>57</v>
      </c>
      <c r="D16" s="12">
        <v>1412000057</v>
      </c>
      <c r="E16" s="12">
        <v>5005246286</v>
      </c>
      <c r="F16" s="13"/>
      <c r="G16" s="13">
        <v>3860000</v>
      </c>
      <c r="H16" s="14"/>
      <c r="I16" s="14"/>
      <c r="J16" s="15"/>
      <c r="K16" s="13"/>
      <c r="L16" s="15"/>
      <c r="M16" s="15"/>
      <c r="N16" s="16"/>
      <c r="O16" s="17"/>
      <c r="P16" s="15"/>
      <c r="Q16" s="15"/>
      <c r="R16" s="18" t="s">
        <v>58</v>
      </c>
    </row>
    <row r="17" spans="1:18" s="19" customFormat="1" ht="33.75" customHeight="1">
      <c r="A17" s="10">
        <f>SUBTOTAL(3,$B$3:B17)</f>
        <v>15</v>
      </c>
      <c r="B17" s="10" t="s">
        <v>59</v>
      </c>
      <c r="C17" s="10" t="s">
        <v>60</v>
      </c>
      <c r="D17" s="10">
        <v>1412000025</v>
      </c>
      <c r="E17" s="12">
        <v>6005246673</v>
      </c>
      <c r="F17" s="23"/>
      <c r="G17" s="23"/>
      <c r="H17" s="24"/>
      <c r="I17" s="24"/>
      <c r="J17" s="23"/>
      <c r="K17" s="23"/>
      <c r="L17" s="23"/>
      <c r="M17" s="15">
        <f>1000000+1000000+50000+400000+100000</f>
        <v>2550000</v>
      </c>
      <c r="N17" s="25"/>
      <c r="O17" s="26">
        <f>1565000+3860000+20000</f>
        <v>5445000</v>
      </c>
      <c r="P17" s="26"/>
      <c r="Q17" s="23"/>
      <c r="R17" s="18" t="s">
        <v>61</v>
      </c>
    </row>
    <row r="18" spans="1:18" s="19" customFormat="1" ht="33.75" customHeight="1">
      <c r="A18" s="10">
        <f>SUBTOTAL(3,$B$3:B18)</f>
        <v>16</v>
      </c>
      <c r="B18" s="10" t="s">
        <v>62</v>
      </c>
      <c r="C18" s="28" t="s">
        <v>63</v>
      </c>
      <c r="D18" s="12">
        <v>1412000039</v>
      </c>
      <c r="E18" s="12">
        <v>5005246286</v>
      </c>
      <c r="F18" s="27"/>
      <c r="G18" s="23">
        <v>3860000</v>
      </c>
      <c r="H18" s="24"/>
      <c r="I18" s="24"/>
      <c r="J18" s="23"/>
      <c r="K18" s="27"/>
      <c r="L18" s="23"/>
      <c r="M18" s="23"/>
      <c r="N18" s="25"/>
      <c r="O18" s="26"/>
      <c r="P18" s="23"/>
      <c r="Q18" s="23"/>
      <c r="R18" s="18" t="s">
        <v>64</v>
      </c>
    </row>
    <row r="19" spans="1:18" s="19" customFormat="1" ht="33.75" customHeight="1">
      <c r="A19" s="10">
        <f>SUBTOTAL(3,$B$3:B19)</f>
        <v>17</v>
      </c>
      <c r="B19" s="10" t="s">
        <v>65</v>
      </c>
      <c r="C19" s="28" t="s">
        <v>66</v>
      </c>
      <c r="D19" s="12">
        <v>1412000039</v>
      </c>
      <c r="E19" s="12">
        <v>5005246286</v>
      </c>
      <c r="F19" s="27"/>
      <c r="G19" s="23">
        <v>3860000</v>
      </c>
      <c r="H19" s="24"/>
      <c r="I19" s="24"/>
      <c r="J19" s="23"/>
      <c r="K19" s="27"/>
      <c r="L19" s="23"/>
      <c r="M19" s="23"/>
      <c r="N19" s="25"/>
      <c r="O19" s="26"/>
      <c r="P19" s="23"/>
      <c r="Q19" s="23"/>
      <c r="R19" s="18" t="s">
        <v>64</v>
      </c>
    </row>
    <row r="20" spans="1:18" s="19" customFormat="1" ht="33.75" customHeight="1">
      <c r="A20" s="10">
        <f>SUBTOTAL(3,$B$3:B20)</f>
        <v>18</v>
      </c>
      <c r="B20" s="20" t="s">
        <v>67</v>
      </c>
      <c r="C20" s="21" t="s">
        <v>68</v>
      </c>
      <c r="D20" s="12">
        <v>1412000016</v>
      </c>
      <c r="E20" s="12">
        <v>5005246286</v>
      </c>
      <c r="F20" s="15"/>
      <c r="G20" s="15"/>
      <c r="H20" s="14"/>
      <c r="I20" s="14"/>
      <c r="J20" s="15"/>
      <c r="K20" s="15"/>
      <c r="L20" s="15"/>
      <c r="M20" s="15"/>
      <c r="N20" s="16"/>
      <c r="O20" s="17"/>
      <c r="P20" s="17">
        <f>1000000+1000000+400000+150000</f>
        <v>2550000</v>
      </c>
      <c r="Q20" s="15"/>
      <c r="R20" s="18" t="s">
        <v>69</v>
      </c>
    </row>
    <row r="21" spans="1:18" s="19" customFormat="1" ht="33.75" customHeight="1">
      <c r="A21" s="10">
        <f>SUBTOTAL(3,$B$3:B21)</f>
        <v>19</v>
      </c>
      <c r="B21" s="10" t="s">
        <v>70</v>
      </c>
      <c r="C21" s="10" t="s">
        <v>71</v>
      </c>
      <c r="D21" s="10">
        <v>1412000035</v>
      </c>
      <c r="E21" s="12">
        <v>5005246286</v>
      </c>
      <c r="F21" s="23"/>
      <c r="G21" s="23"/>
      <c r="H21" s="24"/>
      <c r="I21" s="24"/>
      <c r="J21" s="23"/>
      <c r="K21" s="23"/>
      <c r="L21" s="23"/>
      <c r="M21" s="23"/>
      <c r="N21" s="23"/>
      <c r="O21" s="26"/>
      <c r="P21" s="23"/>
      <c r="Q21" s="15">
        <f>1000000+1000000+50000+400000</f>
        <v>2450000</v>
      </c>
      <c r="R21" s="18" t="s">
        <v>72</v>
      </c>
    </row>
    <row r="22" spans="1:18" s="19" customFormat="1" ht="33.75" customHeight="1">
      <c r="A22" s="10">
        <f>SUBTOTAL(3,$B$3:B22)</f>
        <v>20</v>
      </c>
      <c r="B22" s="10" t="s">
        <v>73</v>
      </c>
      <c r="C22" s="10" t="s">
        <v>74</v>
      </c>
      <c r="D22" s="10">
        <v>1412000018</v>
      </c>
      <c r="E22" s="22">
        <v>6005246673</v>
      </c>
      <c r="F22" s="27"/>
      <c r="G22" s="23"/>
      <c r="H22" s="24"/>
      <c r="I22" s="24"/>
      <c r="J22" s="23"/>
      <c r="K22" s="27"/>
      <c r="L22" s="15">
        <f>1000000+1000000+50000+400000</f>
        <v>2450000</v>
      </c>
      <c r="M22" s="23"/>
      <c r="N22" s="23">
        <v>3860000</v>
      </c>
      <c r="O22" s="26"/>
      <c r="P22" s="26"/>
      <c r="Q22" s="23"/>
      <c r="R22" s="18" t="s">
        <v>75</v>
      </c>
    </row>
    <row r="23" spans="1:18" s="19" customFormat="1" ht="33.75" customHeight="1">
      <c r="A23" s="10">
        <f>SUBTOTAL(3,$B$3:B23)</f>
        <v>21</v>
      </c>
      <c r="B23" s="10" t="s">
        <v>76</v>
      </c>
      <c r="C23" s="11" t="s">
        <v>77</v>
      </c>
      <c r="D23" s="12">
        <v>1412000022</v>
      </c>
      <c r="E23" s="12">
        <v>5005246286</v>
      </c>
      <c r="F23" s="13"/>
      <c r="G23" s="15"/>
      <c r="H23" s="14"/>
      <c r="I23" s="14"/>
      <c r="J23" s="15"/>
      <c r="K23" s="13"/>
      <c r="L23" s="15"/>
      <c r="M23" s="15"/>
      <c r="N23" s="16">
        <f>1000000+50000+1000000</f>
        <v>2050000</v>
      </c>
      <c r="O23" s="17"/>
      <c r="P23" s="13">
        <f>3850000+10000</f>
        <v>3860000</v>
      </c>
      <c r="Q23" s="15"/>
      <c r="R23" s="18" t="s">
        <v>78</v>
      </c>
    </row>
    <row r="24" spans="1:18" s="19" customFormat="1" ht="33.75" customHeight="1">
      <c r="A24" s="10">
        <f>SUBTOTAL(3,$B$3:B24)</f>
        <v>22</v>
      </c>
      <c r="B24" s="10" t="s">
        <v>79</v>
      </c>
      <c r="C24" s="11" t="s">
        <v>80</v>
      </c>
      <c r="D24" s="12">
        <v>1412000077</v>
      </c>
      <c r="E24" s="12">
        <v>5005246286</v>
      </c>
      <c r="F24" s="13"/>
      <c r="G24" s="15"/>
      <c r="H24" s="14"/>
      <c r="I24" s="14"/>
      <c r="J24" s="15"/>
      <c r="K24" s="13"/>
      <c r="L24" s="15"/>
      <c r="M24" s="15"/>
      <c r="N24" s="16">
        <f>1000000+50000+1000000</f>
        <v>2050000</v>
      </c>
      <c r="O24" s="17"/>
      <c r="P24" s="13">
        <f>3850000+10000</f>
        <v>3860000</v>
      </c>
      <c r="Q24" s="15"/>
      <c r="R24" s="18" t="s">
        <v>26</v>
      </c>
    </row>
    <row r="25" spans="1:18" s="19" customFormat="1" ht="33.75" customHeight="1">
      <c r="A25" s="10">
        <f>SUBTOTAL(3,$B$3:B25)</f>
        <v>23</v>
      </c>
      <c r="B25" s="10" t="s">
        <v>81</v>
      </c>
      <c r="C25" s="29" t="s">
        <v>82</v>
      </c>
      <c r="D25" s="10">
        <v>1412000083</v>
      </c>
      <c r="E25" s="12">
        <v>5005246286</v>
      </c>
      <c r="F25" s="13">
        <f>3850000+10000</f>
        <v>3860000</v>
      </c>
      <c r="G25" s="15"/>
      <c r="H25" s="14"/>
      <c r="I25" s="14"/>
      <c r="J25" s="15"/>
      <c r="K25" s="15"/>
      <c r="L25" s="15"/>
      <c r="M25" s="15"/>
      <c r="N25" s="15"/>
      <c r="O25" s="17"/>
      <c r="P25" s="17"/>
      <c r="Q25" s="15"/>
      <c r="R25" s="18" t="s">
        <v>83</v>
      </c>
    </row>
    <row r="26" spans="1:18" s="19" customFormat="1" ht="33.75" customHeight="1">
      <c r="A26" s="10">
        <f>SUBTOTAL(3,$B$3:B26)</f>
        <v>24</v>
      </c>
      <c r="B26" s="10" t="s">
        <v>84</v>
      </c>
      <c r="C26" s="10" t="s">
        <v>85</v>
      </c>
      <c r="D26" s="10">
        <v>1412000053</v>
      </c>
      <c r="E26" s="12">
        <v>5005246286</v>
      </c>
      <c r="F26" s="27"/>
      <c r="G26" s="23">
        <f>115*26400</f>
        <v>3036000</v>
      </c>
      <c r="H26" s="24"/>
      <c r="I26" s="15">
        <f>1000000+1000000+50000+400000</f>
        <v>2450000</v>
      </c>
      <c r="J26" s="23"/>
      <c r="K26" s="27"/>
      <c r="L26" s="23"/>
      <c r="M26" s="23">
        <v>3860000</v>
      </c>
      <c r="N26" s="23"/>
      <c r="O26" s="26"/>
      <c r="P26" s="26"/>
      <c r="Q26" s="23"/>
      <c r="R26" s="18" t="s">
        <v>86</v>
      </c>
    </row>
    <row r="27" spans="1:18" s="19" customFormat="1" ht="33.75" customHeight="1">
      <c r="A27" s="10">
        <f>SUBTOTAL(3,$B$3:B27)</f>
        <v>25</v>
      </c>
      <c r="B27" s="10" t="s">
        <v>87</v>
      </c>
      <c r="C27" s="11" t="s">
        <v>88</v>
      </c>
      <c r="D27" s="12">
        <v>1412000105</v>
      </c>
      <c r="E27" s="12">
        <v>5005246286</v>
      </c>
      <c r="F27" s="13"/>
      <c r="G27" s="15"/>
      <c r="H27" s="14"/>
      <c r="I27" s="14"/>
      <c r="J27" s="15"/>
      <c r="K27" s="13"/>
      <c r="L27" s="15"/>
      <c r="M27" s="15"/>
      <c r="N27" s="16"/>
      <c r="O27" s="16">
        <f>1000000+50000+1000000</f>
        <v>2050000</v>
      </c>
      <c r="P27" s="15"/>
      <c r="Q27" s="13">
        <f>3850000+10000</f>
        <v>3860000</v>
      </c>
      <c r="R27" s="18" t="s">
        <v>89</v>
      </c>
    </row>
    <row r="28" spans="1:18" s="19" customFormat="1" ht="33.75" customHeight="1">
      <c r="A28" s="10">
        <f>SUBTOTAL(3,$B$3:B28)</f>
        <v>26</v>
      </c>
      <c r="B28" s="10" t="s">
        <v>90</v>
      </c>
      <c r="C28" s="11" t="s">
        <v>91</v>
      </c>
      <c r="D28" s="12">
        <v>1412000018</v>
      </c>
      <c r="E28" s="12">
        <v>5005246286</v>
      </c>
      <c r="F28" s="13"/>
      <c r="G28" s="15"/>
      <c r="H28" s="14"/>
      <c r="I28" s="14"/>
      <c r="J28" s="15">
        <f>1820000+130000+50000</f>
        <v>2000000</v>
      </c>
      <c r="K28" s="13"/>
      <c r="L28" s="15"/>
      <c r="M28" s="15"/>
      <c r="N28" s="16"/>
      <c r="O28" s="17"/>
      <c r="P28" s="15"/>
      <c r="Q28" s="16">
        <f>1000000+50000+1000000+60*26270</f>
        <v>3626200</v>
      </c>
      <c r="R28" s="18" t="s">
        <v>75</v>
      </c>
    </row>
    <row r="29" spans="1:18" s="19" customFormat="1" ht="33.75" customHeight="1">
      <c r="A29" s="10">
        <f>SUBTOTAL(3,$B$3:B29)</f>
        <v>27</v>
      </c>
      <c r="B29" s="10" t="s">
        <v>92</v>
      </c>
      <c r="C29" s="28" t="s">
        <v>93</v>
      </c>
      <c r="D29" s="12">
        <v>1412000024</v>
      </c>
      <c r="E29" s="12">
        <v>6005246673</v>
      </c>
      <c r="F29" s="27"/>
      <c r="G29" s="23"/>
      <c r="H29" s="24"/>
      <c r="I29" s="24"/>
      <c r="J29" s="23"/>
      <c r="K29" s="27"/>
      <c r="L29" s="23"/>
      <c r="M29" s="23"/>
      <c r="N29" s="25"/>
      <c r="O29" s="14">
        <f>1000000+1500000+55000</f>
        <v>2555000</v>
      </c>
      <c r="P29" s="23"/>
      <c r="Q29" s="23"/>
      <c r="R29" s="18" t="s">
        <v>94</v>
      </c>
    </row>
    <row r="30" spans="1:18" s="19" customFormat="1" ht="33.75" customHeight="1">
      <c r="A30" s="10">
        <f>SUBTOTAL(3,$B$3:B30)</f>
        <v>28</v>
      </c>
      <c r="B30" s="10" t="s">
        <v>95</v>
      </c>
      <c r="C30" s="11" t="s">
        <v>96</v>
      </c>
      <c r="D30" s="12">
        <v>1412000098</v>
      </c>
      <c r="E30" s="12">
        <v>5005246286</v>
      </c>
      <c r="F30" s="23">
        <v>3860000</v>
      </c>
      <c r="G30" s="15"/>
      <c r="H30" s="14"/>
      <c r="I30" s="14"/>
      <c r="J30" s="15"/>
      <c r="K30" s="13"/>
      <c r="L30" s="15"/>
      <c r="M30" s="15"/>
      <c r="N30" s="16"/>
      <c r="O30" s="17"/>
      <c r="P30" s="15"/>
      <c r="Q30" s="15"/>
      <c r="R30" s="18" t="s">
        <v>97</v>
      </c>
    </row>
    <row r="31" spans="1:18" s="19" customFormat="1" ht="33.75" customHeight="1">
      <c r="A31" s="10">
        <f>SUBTOTAL(3,$B$3:B31)</f>
        <v>29</v>
      </c>
      <c r="B31" s="10" t="s">
        <v>98</v>
      </c>
      <c r="C31" s="11" t="s">
        <v>99</v>
      </c>
      <c r="D31" s="12">
        <v>1412000099</v>
      </c>
      <c r="E31" s="12">
        <v>5005246286</v>
      </c>
      <c r="F31" s="13"/>
      <c r="G31" s="15"/>
      <c r="H31" s="14"/>
      <c r="I31" s="14"/>
      <c r="J31" s="15"/>
      <c r="K31" s="13"/>
      <c r="L31" s="15"/>
      <c r="M31" s="15"/>
      <c r="N31" s="27">
        <f>1850000+130000+100000</f>
        <v>2080000</v>
      </c>
      <c r="O31" s="17"/>
      <c r="P31" s="13">
        <v>3860000</v>
      </c>
      <c r="Q31" s="15"/>
      <c r="R31" s="18" t="s">
        <v>55</v>
      </c>
    </row>
    <row r="32" spans="1:18" s="19" customFormat="1" ht="33.75" customHeight="1">
      <c r="A32" s="10">
        <f>SUBTOTAL(3,$B$3:B32)</f>
        <v>30</v>
      </c>
      <c r="B32" s="10" t="s">
        <v>100</v>
      </c>
      <c r="C32" s="28" t="s">
        <v>101</v>
      </c>
      <c r="D32" s="12">
        <v>1412000004</v>
      </c>
      <c r="E32" s="12">
        <v>5005246286</v>
      </c>
      <c r="F32" s="23"/>
      <c r="G32" s="23"/>
      <c r="H32" s="24"/>
      <c r="I32" s="24"/>
      <c r="J32" s="23"/>
      <c r="K32" s="27"/>
      <c r="L32" s="23"/>
      <c r="M32" s="23"/>
      <c r="N32" s="25"/>
      <c r="O32" s="26"/>
      <c r="P32" s="23"/>
      <c r="Q32" s="15">
        <f>1000000+1000000+150000+400000+100000</f>
        <v>2650000</v>
      </c>
      <c r="R32" s="18" t="s">
        <v>102</v>
      </c>
    </row>
    <row r="33" spans="1:18" s="19" customFormat="1" ht="33.75" customHeight="1">
      <c r="A33" s="10">
        <f>SUBTOTAL(3,$B$3:B33)</f>
        <v>31</v>
      </c>
      <c r="B33" s="20" t="s">
        <v>103</v>
      </c>
      <c r="C33" s="21" t="s">
        <v>104</v>
      </c>
      <c r="D33" s="12">
        <v>1412000073</v>
      </c>
      <c r="E33" s="12">
        <v>5005246286</v>
      </c>
      <c r="F33" s="15">
        <f>1000000+1000000+150000+400000+100000</f>
        <v>2650000</v>
      </c>
      <c r="G33" s="15"/>
      <c r="H33" s="15">
        <v>3860000</v>
      </c>
      <c r="I33" s="14"/>
      <c r="J33" s="15"/>
      <c r="K33" s="15"/>
      <c r="L33" s="15"/>
      <c r="M33" s="15"/>
      <c r="N33" s="16"/>
      <c r="O33" s="17"/>
      <c r="P33" s="17"/>
      <c r="Q33" s="15"/>
      <c r="R33" s="18" t="s">
        <v>105</v>
      </c>
    </row>
    <row r="34" spans="1:18" s="19" customFormat="1" ht="33.75" customHeight="1">
      <c r="A34" s="10">
        <f>SUBTOTAL(3,$B$3:B34)</f>
        <v>32</v>
      </c>
      <c r="B34" s="10" t="s">
        <v>106</v>
      </c>
      <c r="C34" s="29" t="s">
        <v>107</v>
      </c>
      <c r="D34" s="10">
        <v>1412000058</v>
      </c>
      <c r="E34" s="12">
        <v>5005246286</v>
      </c>
      <c r="F34" s="15">
        <f>1000000+1000000+50000+400000</f>
        <v>2450000</v>
      </c>
      <c r="G34" s="15"/>
      <c r="H34" s="23">
        <v>3860000</v>
      </c>
      <c r="I34" s="14"/>
      <c r="J34" s="15"/>
      <c r="K34" s="15"/>
      <c r="L34" s="15"/>
      <c r="M34" s="15"/>
      <c r="N34" s="15"/>
      <c r="O34" s="17"/>
      <c r="P34" s="17"/>
      <c r="Q34" s="15"/>
      <c r="R34" s="18" t="s">
        <v>108</v>
      </c>
    </row>
    <row r="35" spans="1:18" s="19" customFormat="1" ht="33.75" customHeight="1">
      <c r="A35" s="10">
        <f>SUBTOTAL(3,$B$3:B35)</f>
        <v>33</v>
      </c>
      <c r="B35" s="10" t="s">
        <v>109</v>
      </c>
      <c r="C35" s="11" t="s">
        <v>110</v>
      </c>
      <c r="D35" s="12">
        <v>1412000100</v>
      </c>
      <c r="E35" s="12">
        <v>5005246286</v>
      </c>
      <c r="F35" s="13"/>
      <c r="G35" s="15"/>
      <c r="H35" s="14"/>
      <c r="I35" s="14"/>
      <c r="J35" s="15"/>
      <c r="K35" s="13"/>
      <c r="L35" s="15"/>
      <c r="M35" s="15"/>
      <c r="N35" s="16"/>
      <c r="O35" s="17"/>
      <c r="P35" s="15"/>
      <c r="Q35" s="13">
        <v>2050000</v>
      </c>
      <c r="R35" s="18" t="s">
        <v>111</v>
      </c>
    </row>
    <row r="36" spans="1:18" s="19" customFormat="1" ht="33.75" customHeight="1">
      <c r="A36" s="10">
        <f>SUBTOTAL(3,$B$3:B36)</f>
        <v>34</v>
      </c>
      <c r="B36" s="10" t="s">
        <v>112</v>
      </c>
      <c r="C36" s="11" t="s">
        <v>113</v>
      </c>
      <c r="D36" s="12">
        <v>1412000104</v>
      </c>
      <c r="E36" s="12">
        <v>5005246286</v>
      </c>
      <c r="F36" s="13"/>
      <c r="G36" s="15"/>
      <c r="H36" s="14"/>
      <c r="I36" s="14"/>
      <c r="J36" s="15"/>
      <c r="K36" s="13"/>
      <c r="L36" s="15"/>
      <c r="M36" s="15"/>
      <c r="N36" s="16"/>
      <c r="O36" s="17"/>
      <c r="P36" s="15"/>
      <c r="Q36" s="16">
        <f>1000000+50000+1000000</f>
        <v>2050000</v>
      </c>
      <c r="R36" s="18" t="s">
        <v>114</v>
      </c>
    </row>
    <row r="37" spans="1:18" s="19" customFormat="1" ht="33.75" customHeight="1">
      <c r="A37" s="10">
        <f>SUBTOTAL(3,$B$3:B37)</f>
        <v>35</v>
      </c>
      <c r="B37" s="10" t="s">
        <v>115</v>
      </c>
      <c r="C37" s="11" t="s">
        <v>116</v>
      </c>
      <c r="D37" s="12">
        <v>1412000044</v>
      </c>
      <c r="E37" s="12">
        <v>5005246286</v>
      </c>
      <c r="F37" s="14">
        <f>1000000+1500000+55000+600000</f>
        <v>3155000</v>
      </c>
      <c r="G37" s="15"/>
      <c r="H37" s="13">
        <f>3850000+10000</f>
        <v>3860000</v>
      </c>
      <c r="I37" s="14"/>
      <c r="J37" s="15"/>
      <c r="K37" s="13"/>
      <c r="L37" s="15"/>
      <c r="M37" s="15"/>
      <c r="N37" s="16"/>
      <c r="O37" s="17"/>
      <c r="P37" s="15"/>
      <c r="Q37" s="15"/>
      <c r="R37" s="18" t="s">
        <v>117</v>
      </c>
    </row>
    <row r="38" spans="1:18" s="19" customFormat="1" ht="33.75" customHeight="1">
      <c r="A38" s="10">
        <f>SUBTOTAL(3,$B$3:B38)</f>
        <v>36</v>
      </c>
      <c r="B38" s="10" t="s">
        <v>118</v>
      </c>
      <c r="C38" s="28" t="s">
        <v>119</v>
      </c>
      <c r="D38" s="12">
        <v>1412000101</v>
      </c>
      <c r="E38" s="12">
        <v>5005246286</v>
      </c>
      <c r="F38" s="27">
        <f>1850000+130000+100000</f>
        <v>2080000</v>
      </c>
      <c r="G38" s="23"/>
      <c r="H38" s="24"/>
      <c r="I38" s="24"/>
      <c r="J38" s="23"/>
      <c r="K38" s="27"/>
      <c r="L38" s="23"/>
      <c r="M38" s="23"/>
      <c r="N38" s="25"/>
      <c r="O38" s="26"/>
      <c r="P38" s="23"/>
      <c r="Q38" s="23"/>
      <c r="R38" s="18" t="s">
        <v>41</v>
      </c>
    </row>
    <row r="39" spans="1:18" s="19" customFormat="1" ht="33.75" customHeight="1">
      <c r="A39" s="10">
        <f>SUBTOTAL(3,$B$3:B39)</f>
        <v>37</v>
      </c>
      <c r="B39" s="10" t="s">
        <v>120</v>
      </c>
      <c r="C39" s="11" t="s">
        <v>121</v>
      </c>
      <c r="D39" s="12">
        <v>1412000039</v>
      </c>
      <c r="E39" s="12">
        <v>5005246286</v>
      </c>
      <c r="F39" s="13"/>
      <c r="G39" s="15"/>
      <c r="H39" s="14"/>
      <c r="I39" s="14"/>
      <c r="J39" s="15"/>
      <c r="K39" s="13"/>
      <c r="L39" s="15"/>
      <c r="M39" s="15">
        <f>1820000+130000+50000</f>
        <v>2000000</v>
      </c>
      <c r="N39" s="16"/>
      <c r="O39" s="17"/>
      <c r="P39" s="15"/>
      <c r="Q39" s="15"/>
      <c r="R39" s="18" t="s">
        <v>64</v>
      </c>
    </row>
    <row r="40" spans="1:18" s="31" customFormat="1">
      <c r="A40" s="30"/>
      <c r="B40" s="30"/>
      <c r="C40" s="35"/>
      <c r="D40" s="36"/>
      <c r="E40" s="37"/>
      <c r="G40" s="30"/>
      <c r="H40" s="30"/>
      <c r="I40" s="30"/>
      <c r="J40" s="30"/>
      <c r="K40"/>
      <c r="L40" s="32"/>
      <c r="M40" s="32"/>
      <c r="N40" s="32"/>
      <c r="O40" s="30"/>
      <c r="P40" s="30"/>
      <c r="Q40" s="33"/>
      <c r="R40" s="34"/>
    </row>
    <row r="41" spans="1:18" s="31" customFormat="1">
      <c r="A41" s="30"/>
      <c r="B41" s="30"/>
      <c r="C41" s="35"/>
      <c r="D41" s="36"/>
      <c r="E41" s="37"/>
      <c r="G41" s="30"/>
      <c r="H41" s="30"/>
      <c r="I41" s="30"/>
      <c r="J41" s="30"/>
      <c r="K41"/>
      <c r="L41" s="32"/>
      <c r="M41" s="32"/>
      <c r="N41" s="32"/>
      <c r="O41" s="30"/>
      <c r="P41" s="30"/>
      <c r="Q41" s="33"/>
      <c r="R41" s="34"/>
    </row>
    <row r="42" spans="1:18" s="31" customFormat="1">
      <c r="A42" s="30"/>
      <c r="B42" s="30"/>
      <c r="C42" s="35"/>
      <c r="D42" s="36"/>
      <c r="E42" s="37"/>
      <c r="G42" s="30"/>
      <c r="H42" s="30"/>
      <c r="I42" s="30"/>
      <c r="J42" s="30"/>
      <c r="K42"/>
      <c r="L42" s="32"/>
      <c r="M42" s="32"/>
      <c r="N42" s="32"/>
      <c r="O42" s="30"/>
      <c r="P42" s="30"/>
      <c r="Q42" s="33"/>
      <c r="R42" s="34"/>
    </row>
    <row r="43" spans="1:18" s="31" customFormat="1">
      <c r="A43" s="30"/>
      <c r="B43" s="30"/>
      <c r="C43" s="35"/>
      <c r="D43" s="36"/>
      <c r="E43" s="37"/>
      <c r="G43" s="30"/>
      <c r="H43" s="30"/>
      <c r="I43" s="30"/>
      <c r="J43" s="30"/>
      <c r="K43"/>
      <c r="L43" s="32"/>
      <c r="M43" s="32"/>
      <c r="N43" s="32"/>
      <c r="O43" s="30"/>
      <c r="P43" s="30"/>
      <c r="Q43" s="33"/>
      <c r="R43" s="34"/>
    </row>
    <row r="44" spans="1:18" s="31" customFormat="1">
      <c r="A44" s="30"/>
      <c r="B44" s="30"/>
      <c r="C44" s="35"/>
      <c r="D44" s="36"/>
      <c r="E44" s="37"/>
      <c r="G44" s="30"/>
      <c r="H44" s="30"/>
      <c r="I44" s="30"/>
      <c r="J44" s="30"/>
      <c r="K44"/>
      <c r="L44" s="32"/>
      <c r="M44" s="32"/>
      <c r="N44" s="32"/>
      <c r="O44" s="30"/>
      <c r="P44" s="30"/>
      <c r="Q44" s="33"/>
      <c r="R44" s="34"/>
    </row>
    <row r="45" spans="1:18" s="31" customFormat="1">
      <c r="A45" s="30"/>
      <c r="B45" s="30"/>
      <c r="C45" s="35"/>
      <c r="D45" s="36"/>
      <c r="E45" s="37"/>
      <c r="G45" s="30"/>
      <c r="H45" s="30"/>
      <c r="I45" s="30"/>
      <c r="J45" s="30"/>
      <c r="K45"/>
      <c r="L45" s="32"/>
      <c r="M45" s="32"/>
      <c r="N45" s="32"/>
      <c r="O45" s="30"/>
      <c r="P45" s="30"/>
      <c r="Q45" s="33"/>
      <c r="R45" s="34"/>
    </row>
    <row r="46" spans="1:18" s="31" customFormat="1">
      <c r="A46" s="30"/>
      <c r="B46" s="30"/>
      <c r="C46" s="35"/>
      <c r="D46" s="36"/>
      <c r="E46" s="37"/>
      <c r="G46" s="30"/>
      <c r="H46" s="30"/>
      <c r="I46" s="30"/>
      <c r="J46" s="30"/>
      <c r="K46"/>
      <c r="L46" s="32"/>
      <c r="M46" s="32"/>
      <c r="N46" s="32"/>
      <c r="O46" s="30"/>
      <c r="P46" s="30"/>
      <c r="Q46" s="33"/>
      <c r="R46" s="34"/>
    </row>
    <row r="47" spans="1:18" s="31" customFormat="1">
      <c r="A47" s="30"/>
      <c r="B47" s="30"/>
      <c r="C47" s="35"/>
      <c r="D47" s="36"/>
      <c r="E47" s="37"/>
      <c r="G47" s="30"/>
      <c r="H47" s="30"/>
      <c r="I47" s="30"/>
      <c r="J47" s="30"/>
      <c r="K47"/>
      <c r="L47" s="32"/>
      <c r="M47" s="32"/>
      <c r="N47" s="32"/>
      <c r="O47" s="30"/>
      <c r="P47" s="30"/>
      <c r="Q47" s="33"/>
      <c r="R47" s="34"/>
    </row>
  </sheetData>
  <autoFilter ref="A2:FH38" xr:uid="{BBB7190A-FAC3-4A92-9B91-6308A352C44E}">
    <sortState xmlns:xlrd2="http://schemas.microsoft.com/office/spreadsheetml/2017/richdata2" ref="A3:FH38">
      <sortCondition ref="C2:C38"/>
    </sortState>
  </autoFilter>
  <mergeCells count="1">
    <mergeCell ref="A1:Q1"/>
  </mergeCells>
  <conditionalFormatting sqref="L17">
    <cfRule type="colorScale" priority="7">
      <colorScale>
        <cfvo type="min"/>
        <cfvo type="max"/>
        <color theme="0"/>
        <color theme="0"/>
      </colorScale>
    </cfRule>
    <cfRule type="cellIs" dxfId="10" priority="8" stopIfTrue="1" operator="lessThan">
      <formula>TODAY()+0</formula>
    </cfRule>
  </conditionalFormatting>
  <conditionalFormatting sqref="M3:M5 L8:M8">
    <cfRule type="expression" dxfId="9" priority="15" stopIfTrue="1">
      <formula>$M3-#REF!&lt;=240</formula>
    </cfRule>
  </conditionalFormatting>
  <conditionalFormatting sqref="M3:M5 M8 M10 M12 M40:M65466">
    <cfRule type="cellIs" dxfId="8" priority="14" stopIfTrue="1" operator="lessThan">
      <formula>TODAY()+0</formula>
    </cfRule>
  </conditionalFormatting>
  <conditionalFormatting sqref="M15">
    <cfRule type="colorScale" priority="11">
      <colorScale>
        <cfvo type="min"/>
        <cfvo type="max"/>
        <color theme="0"/>
        <color theme="0"/>
      </colorScale>
    </cfRule>
    <cfRule type="cellIs" dxfId="7" priority="12" stopIfTrue="1" operator="lessThan">
      <formula>TODAY()+0</formula>
    </cfRule>
  </conditionalFormatting>
  <conditionalFormatting sqref="M16">
    <cfRule type="colorScale" priority="9">
      <colorScale>
        <cfvo type="min"/>
        <cfvo type="max"/>
        <color theme="0"/>
        <color theme="0"/>
      </colorScale>
    </cfRule>
    <cfRule type="cellIs" dxfId="6" priority="10" stopIfTrue="1" operator="lessThan">
      <formula>TODAY()+0</formula>
    </cfRule>
  </conditionalFormatting>
  <conditionalFormatting sqref="M17">
    <cfRule type="colorScale" priority="5">
      <colorScale>
        <cfvo type="min"/>
        <cfvo type="max"/>
        <color theme="0"/>
        <color theme="0"/>
      </colorScale>
    </cfRule>
    <cfRule type="cellIs" dxfId="5" priority="6" stopIfTrue="1" operator="lessThan">
      <formula>TODAY()+0</formula>
    </cfRule>
  </conditionalFormatting>
  <conditionalFormatting sqref="N11">
    <cfRule type="colorScale" priority="18">
      <colorScale>
        <cfvo type="min"/>
        <cfvo type="max"/>
        <color theme="0"/>
        <color theme="0"/>
      </colorScale>
    </cfRule>
    <cfRule type="cellIs" dxfId="4" priority="19" stopIfTrue="1" operator="lessThan">
      <formula>TODAY()+0</formula>
    </cfRule>
  </conditionalFormatting>
  <conditionalFormatting sqref="P12">
    <cfRule type="colorScale" priority="3">
      <colorScale>
        <cfvo type="min"/>
        <cfvo type="max"/>
        <color theme="0"/>
        <color theme="0"/>
      </colorScale>
    </cfRule>
    <cfRule type="cellIs" dxfId="3" priority="4" stopIfTrue="1" operator="lessThan">
      <formula>TODAY()+0</formula>
    </cfRule>
  </conditionalFormatting>
  <conditionalFormatting sqref="Q10">
    <cfRule type="expression" dxfId="2" priority="16" stopIfTrue="1">
      <formula>#REF!-#REF!&lt;=90</formula>
    </cfRule>
    <cfRule type="expression" dxfId="1" priority="17" stopIfTrue="1">
      <formula>#REF!-#REF!&lt;=60</formula>
    </cfRule>
  </conditionalFormatting>
  <conditionalFormatting sqref="Q12">
    <cfRule type="colorScale" priority="1">
      <colorScale>
        <cfvo type="min"/>
        <cfvo type="max"/>
        <color theme="0"/>
        <color theme="0"/>
      </colorScale>
    </cfRule>
    <cfRule type="cellIs" dxfId="0" priority="2" stopIfTrue="1" operator="lessThan">
      <formula>TODAY()+0</formula>
    </cfRule>
  </conditionalFormatting>
  <conditionalFormatting sqref="M40:M65466 M12 M3:M5 M8 M10">
    <cfRule type="colorScale" priority="21">
      <colorScale>
        <cfvo type="min"/>
        <cfvo type="max"/>
        <color theme="0"/>
        <color theme="0"/>
      </colorScale>
    </cfRule>
  </conditionalFormatting>
  <pageMargins left="0.23622047244094491" right="0" top="0" bottom="0" header="0" footer="0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Ngọc Mai(Le Ngoc Mai)</dc:creator>
  <cp:lastModifiedBy>Lê Ngọc Mai(Le Ngoc Mai)</cp:lastModifiedBy>
  <dcterms:created xsi:type="dcterms:W3CDTF">2025-12-26T07:51:02Z</dcterms:created>
  <dcterms:modified xsi:type="dcterms:W3CDTF">2025-12-26T07:52:13Z</dcterms:modified>
</cp:coreProperties>
</file>