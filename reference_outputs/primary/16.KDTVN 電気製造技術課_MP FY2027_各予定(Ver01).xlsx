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.kdtvn.local\Data\10_Production Engineering Department(製造技術部)\02.製造技術課\PE Dept\9. KE HOACH CHI TIEU HANG THANG-採算管理\FY2027\電気\"/>
    </mc:Choice>
  </mc:AlternateContent>
  <xr:revisionPtr revIDLastSave="0" documentId="13_ncr:1_{FFD785B3-2FE6-487F-A632-1D6FF5EEEF6F}" xr6:coauthVersionLast="47" xr6:coauthVersionMax="47" xr10:uidLastSave="{00000000-0000-0000-0000-000000000000}"/>
  <bookViews>
    <workbookView xWindow="-19310" yWindow="1950" windowWidth="19420" windowHeight="10300" tabRatio="702" activeTab="2" xr2:uid="{BC6000C1-D41B-463D-83C8-9D0737E8450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1" i="10" l="1"/>
  <c r="H148" i="10" l="1"/>
  <c r="I142" i="10" l="1"/>
  <c r="J141" i="10"/>
  <c r="I149" i="10"/>
  <c r="I147" i="10"/>
  <c r="H151" i="10"/>
  <c r="I141" i="10"/>
  <c r="H152" i="10" l="1"/>
  <c r="J178" i="10"/>
  <c r="J177" i="10"/>
  <c r="N51" i="10"/>
  <c r="K51" i="10"/>
  <c r="I51" i="10"/>
  <c r="F51" i="10"/>
  <c r="N50" i="10"/>
  <c r="K50" i="10"/>
  <c r="I50" i="10"/>
  <c r="F50" i="10"/>
  <c r="J269" i="10"/>
  <c r="I289" i="10"/>
  <c r="F292" i="10"/>
  <c r="F102" i="10"/>
  <c r="G106" i="10"/>
  <c r="I121" i="10"/>
  <c r="G121" i="10"/>
  <c r="P54" i="10" l="1"/>
  <c r="N54" i="10"/>
  <c r="L54" i="10"/>
  <c r="J54" i="10"/>
  <c r="H54" i="10"/>
  <c r="F54" i="10"/>
  <c r="Q232" i="10" l="1"/>
  <c r="P232" i="10"/>
  <c r="O232" i="10"/>
  <c r="N232" i="10"/>
  <c r="M232" i="10"/>
  <c r="L232" i="10"/>
  <c r="K232" i="10"/>
  <c r="J232" i="10"/>
  <c r="I232" i="10"/>
  <c r="H232" i="10"/>
  <c r="G232" i="10"/>
  <c r="F232" i="10"/>
  <c r="L244" i="10"/>
  <c r="J179" i="10" l="1"/>
  <c r="J180" i="10"/>
  <c r="F59" i="10"/>
  <c r="G59" i="10"/>
  <c r="M189" i="10" l="1"/>
  <c r="K189" i="10" l="1"/>
  <c r="J190" i="10"/>
  <c r="M245" i="10" l="1"/>
  <c r="N279" i="10"/>
  <c r="Q243" i="10"/>
  <c r="P243" i="10"/>
  <c r="O243" i="10"/>
  <c r="N243" i="10"/>
  <c r="M243" i="10"/>
  <c r="L243" i="10"/>
  <c r="K243" i="10"/>
  <c r="J243" i="10"/>
  <c r="I243" i="10"/>
  <c r="K303" i="10" l="1"/>
  <c r="F303" i="10"/>
  <c r="L187" i="10" l="1"/>
  <c r="I187" i="10"/>
  <c r="I189" i="10" l="1"/>
  <c r="H189" i="10"/>
  <c r="H244" i="10" l="1"/>
  <c r="G296" i="10" l="1"/>
  <c r="L296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158" i="10" l="1"/>
  <c r="P158" i="10"/>
  <c r="O158" i="10"/>
  <c r="N158" i="10"/>
  <c r="M158" i="10"/>
  <c r="L158" i="10"/>
  <c r="K158" i="10"/>
  <c r="J158" i="10"/>
  <c r="I158" i="10"/>
  <c r="H158" i="10"/>
  <c r="G158" i="10"/>
  <c r="F158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I38" i="10"/>
  <c r="Q38" i="10"/>
  <c r="P38" i="10"/>
  <c r="O38" i="10"/>
  <c r="N38" i="10"/>
  <c r="J38" i="10"/>
  <c r="K38" i="10"/>
  <c r="L38" i="10"/>
  <c r="M38" i="10"/>
  <c r="H38" i="10"/>
  <c r="G38" i="10"/>
  <c r="F38" i="10"/>
  <c r="Q303" i="10"/>
  <c r="P303" i="10"/>
  <c r="O303" i="10"/>
  <c r="N303" i="10"/>
  <c r="M303" i="10"/>
  <c r="L303" i="10"/>
  <c r="J303" i="10"/>
  <c r="I303" i="10"/>
  <c r="H303" i="10"/>
  <c r="G303" i="10"/>
  <c r="Q302" i="10" l="1"/>
  <c r="P302" i="10"/>
  <c r="O302" i="10"/>
  <c r="N302" i="10"/>
  <c r="M302" i="10"/>
  <c r="L302" i="10"/>
  <c r="K302" i="10"/>
  <c r="J302" i="10"/>
  <c r="I302" i="10"/>
  <c r="H302" i="10"/>
  <c r="G302" i="10"/>
  <c r="K282" i="10" l="1"/>
  <c r="P288" i="10"/>
  <c r="M284" i="10"/>
  <c r="K283" i="10"/>
  <c r="L270" i="10"/>
  <c r="G281" i="10" l="1"/>
  <c r="K269" i="10" l="1"/>
  <c r="P280" i="10"/>
  <c r="N240" i="10"/>
  <c r="M240" i="10"/>
  <c r="L240" i="10"/>
  <c r="K240" i="10"/>
  <c r="J240" i="10"/>
  <c r="N241" i="10"/>
  <c r="M241" i="10"/>
  <c r="L241" i="10"/>
  <c r="K241" i="10"/>
  <c r="J241" i="10"/>
  <c r="I241" i="10"/>
  <c r="I240" i="10"/>
  <c r="H240" i="10"/>
  <c r="G240" i="10"/>
  <c r="H241" i="10"/>
  <c r="G241" i="10"/>
  <c r="F240" i="10"/>
  <c r="F241" i="10"/>
  <c r="Q240" i="10"/>
  <c r="P240" i="10"/>
  <c r="O240" i="10"/>
  <c r="Q241" i="10"/>
  <c r="P241" i="10"/>
  <c r="O241" i="10"/>
  <c r="R302" i="10" l="1"/>
  <c r="Q40" i="10"/>
  <c r="P40" i="10"/>
  <c r="O40" i="10"/>
  <c r="N40" i="10"/>
  <c r="M40" i="10"/>
  <c r="L40" i="10"/>
  <c r="K40" i="10"/>
  <c r="J40" i="10"/>
  <c r="I40" i="10"/>
  <c r="F302" i="10"/>
  <c r="H40" i="10" l="1"/>
  <c r="F40" i="10"/>
  <c r="G40" i="10"/>
  <c r="O272" i="10" l="1"/>
  <c r="K272" i="10"/>
  <c r="H272" i="10"/>
  <c r="N271" i="10"/>
  <c r="J271" i="10"/>
  <c r="M276" i="10"/>
  <c r="J276" i="10"/>
  <c r="H276" i="10"/>
  <c r="G276" i="10"/>
  <c r="O275" i="10"/>
  <c r="L275" i="10"/>
  <c r="J275" i="10"/>
  <c r="F275" i="10"/>
  <c r="G273" i="10"/>
  <c r="N273" i="10"/>
  <c r="M273" i="10"/>
  <c r="K273" i="10"/>
  <c r="L271" i="10"/>
  <c r="I127" i="10" l="1"/>
  <c r="I130" i="10"/>
  <c r="I272" i="10" l="1"/>
  <c r="J278" i="10"/>
  <c r="I129" i="10"/>
  <c r="Q242" i="10" l="1"/>
  <c r="P242" i="10"/>
  <c r="O242" i="10"/>
  <c r="N242" i="10"/>
  <c r="M242" i="10"/>
  <c r="L242" i="10"/>
  <c r="K242" i="10"/>
  <c r="J242" i="10"/>
  <c r="I242" i="10"/>
  <c r="H242" i="10"/>
  <c r="G242" i="10"/>
  <c r="F242" i="10"/>
  <c r="Q269" i="10"/>
  <c r="P269" i="10"/>
  <c r="O269" i="10"/>
  <c r="M269" i="10"/>
  <c r="L269" i="10"/>
  <c r="G269" i="10"/>
  <c r="F269" i="10"/>
  <c r="I273" i="10"/>
  <c r="I276" i="10"/>
  <c r="I275" i="10"/>
  <c r="I252" i="10"/>
  <c r="I251" i="10"/>
  <c r="I250" i="10"/>
  <c r="I248" i="10" l="1"/>
  <c r="I246" i="10"/>
  <c r="I245" i="10"/>
  <c r="F2" i="36" l="1"/>
  <c r="G2" i="36"/>
  <c r="H2" i="36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F2" i="10"/>
  <c r="G2" i="10"/>
  <c r="H2" i="10"/>
  <c r="I2" i="10"/>
  <c r="J2" i="10"/>
  <c r="K2" i="10"/>
  <c r="L2" i="10"/>
  <c r="M2" i="10"/>
  <c r="N2" i="10"/>
  <c r="O2" i="10"/>
  <c r="P2" i="10"/>
  <c r="Q2" i="10"/>
  <c r="C5" i="10"/>
  <c r="D5" i="10"/>
  <c r="E5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O87" i="5" s="1"/>
  <c r="C26" i="10"/>
  <c r="D26" i="10" s="1"/>
  <c r="F26" i="10"/>
  <c r="G26" i="10"/>
  <c r="H26" i="10"/>
  <c r="I26" i="10"/>
  <c r="J26" i="10"/>
  <c r="K26" i="10"/>
  <c r="L26" i="10"/>
  <c r="M26" i="10"/>
  <c r="N26" i="10"/>
  <c r="O26" i="10"/>
  <c r="P26" i="10"/>
  <c r="Q26" i="10"/>
  <c r="C27" i="10"/>
  <c r="D27" i="10" s="1"/>
  <c r="F27" i="10"/>
  <c r="G27" i="10"/>
  <c r="H27" i="10"/>
  <c r="I27" i="10"/>
  <c r="J27" i="10"/>
  <c r="K27" i="10"/>
  <c r="L27" i="10"/>
  <c r="M27" i="10"/>
  <c r="N27" i="10"/>
  <c r="O27" i="10"/>
  <c r="P27" i="10"/>
  <c r="Q27" i="10"/>
  <c r="C28" i="10"/>
  <c r="D28" i="10" s="1"/>
  <c r="F28" i="10"/>
  <c r="G28" i="10"/>
  <c r="H28" i="10"/>
  <c r="I28" i="10"/>
  <c r="J28" i="10"/>
  <c r="K28" i="10"/>
  <c r="L28" i="10"/>
  <c r="M28" i="10"/>
  <c r="N28" i="10"/>
  <c r="O28" i="10"/>
  <c r="P28" i="10"/>
  <c r="Q28" i="10"/>
  <c r="C29" i="10"/>
  <c r="D29" i="10" s="1"/>
  <c r="F29" i="10"/>
  <c r="F5" i="10" s="1"/>
  <c r="G29" i="10"/>
  <c r="G5" i="10" s="1"/>
  <c r="H29" i="10"/>
  <c r="H5" i="10" s="1"/>
  <c r="I29" i="10"/>
  <c r="I5" i="10" s="1"/>
  <c r="J29" i="10"/>
  <c r="J5" i="10" s="1"/>
  <c r="K29" i="10"/>
  <c r="K5" i="10" s="1"/>
  <c r="L29" i="10"/>
  <c r="L5" i="10" s="1"/>
  <c r="M29" i="10"/>
  <c r="M5" i="10" s="1"/>
  <c r="N29" i="10"/>
  <c r="N5" i="10" s="1"/>
  <c r="O29" i="10"/>
  <c r="O5" i="10" s="1"/>
  <c r="P29" i="10"/>
  <c r="P5" i="10" s="1"/>
  <c r="Q29" i="10"/>
  <c r="Q5" i="10" s="1"/>
  <c r="C30" i="10"/>
  <c r="D30" i="10" s="1"/>
  <c r="R30" i="10"/>
  <c r="C31" i="10"/>
  <c r="D31" i="10" s="1"/>
  <c r="R31" i="10"/>
  <c r="C32" i="10"/>
  <c r="D32" i="10" s="1"/>
  <c r="R32" i="10"/>
  <c r="C33" i="10"/>
  <c r="D33" i="10" s="1"/>
  <c r="R33" i="10"/>
  <c r="C34" i="10"/>
  <c r="D34" i="10" s="1"/>
  <c r="R34" i="10"/>
  <c r="C35" i="10"/>
  <c r="D35" i="10" s="1"/>
  <c r="R35" i="10"/>
  <c r="C36" i="10"/>
  <c r="D36" i="10" s="1"/>
  <c r="R36" i="10"/>
  <c r="C37" i="10"/>
  <c r="D37" i="10" s="1"/>
  <c r="R37" i="10"/>
  <c r="C38" i="10"/>
  <c r="D38" i="10" s="1"/>
  <c r="R38" i="10"/>
  <c r="C39" i="10"/>
  <c r="D39" i="10" s="1"/>
  <c r="R39" i="10"/>
  <c r="C40" i="10"/>
  <c r="D40" i="10" s="1"/>
  <c r="R40" i="10"/>
  <c r="C41" i="10"/>
  <c r="D41" i="10" s="1"/>
  <c r="R41" i="10"/>
  <c r="C42" i="10"/>
  <c r="D42" i="10" s="1"/>
  <c r="R42" i="10"/>
  <c r="C43" i="10"/>
  <c r="D43" i="10" s="1"/>
  <c r="R43" i="10"/>
  <c r="C44" i="10"/>
  <c r="D44" i="10" s="1"/>
  <c r="R44" i="10"/>
  <c r="C45" i="10"/>
  <c r="D45" i="10" s="1"/>
  <c r="R45" i="10"/>
  <c r="C46" i="10"/>
  <c r="D46" i="10" s="1"/>
  <c r="R46" i="10"/>
  <c r="C47" i="10"/>
  <c r="D47" i="10" s="1"/>
  <c r="R47" i="10"/>
  <c r="C48" i="10"/>
  <c r="D48" i="10" s="1"/>
  <c r="R48" i="10"/>
  <c r="C49" i="10"/>
  <c r="D49" i="10" s="1"/>
  <c r="R49" i="10"/>
  <c r="C50" i="10"/>
  <c r="D50" i="10" s="1"/>
  <c r="R50" i="10"/>
  <c r="C51" i="10"/>
  <c r="D51" i="10" s="1"/>
  <c r="R51" i="10"/>
  <c r="C52" i="10"/>
  <c r="D52" i="10" s="1"/>
  <c r="R52" i="10"/>
  <c r="C53" i="10"/>
  <c r="D53" i="10" s="1"/>
  <c r="R53" i="10"/>
  <c r="C54" i="10"/>
  <c r="D54" i="10" s="1"/>
  <c r="R54" i="10"/>
  <c r="C55" i="10"/>
  <c r="D55" i="10" s="1"/>
  <c r="R55" i="10"/>
  <c r="C56" i="10"/>
  <c r="D56" i="10" s="1"/>
  <c r="R56" i="10"/>
  <c r="C57" i="10"/>
  <c r="D57" i="10" s="1"/>
  <c r="R57" i="10"/>
  <c r="C58" i="10"/>
  <c r="D58" i="10" s="1"/>
  <c r="R58" i="10"/>
  <c r="C59" i="10"/>
  <c r="D59" i="10" s="1"/>
  <c r="R59" i="10"/>
  <c r="C60" i="10"/>
  <c r="D60" i="10" s="1"/>
  <c r="R60" i="10"/>
  <c r="C61" i="10"/>
  <c r="D61" i="10" s="1"/>
  <c r="R61" i="10"/>
  <c r="C62" i="10"/>
  <c r="D62" i="10" s="1"/>
  <c r="R62" i="10"/>
  <c r="C63" i="10"/>
  <c r="D63" i="10" s="1"/>
  <c r="R63" i="10"/>
  <c r="C64" i="10"/>
  <c r="D64" i="10" s="1"/>
  <c r="R64" i="10"/>
  <c r="C65" i="10"/>
  <c r="D65" i="10" s="1"/>
  <c r="R65" i="10"/>
  <c r="C66" i="10"/>
  <c r="D66" i="10" s="1"/>
  <c r="R66" i="10"/>
  <c r="C67" i="10"/>
  <c r="D67" i="10" s="1"/>
  <c r="R67" i="10"/>
  <c r="C68" i="10"/>
  <c r="D68" i="10" s="1"/>
  <c r="R68" i="10"/>
  <c r="C69" i="10"/>
  <c r="D69" i="10" s="1"/>
  <c r="R69" i="10"/>
  <c r="C70" i="10"/>
  <c r="D70" i="10" s="1"/>
  <c r="R70" i="10"/>
  <c r="C71" i="10"/>
  <c r="D71" i="10" s="1"/>
  <c r="R71" i="10"/>
  <c r="C72" i="10"/>
  <c r="D72" i="10" s="1"/>
  <c r="R72" i="10"/>
  <c r="C73" i="10"/>
  <c r="D73" i="10" s="1"/>
  <c r="R73" i="10"/>
  <c r="C74" i="10"/>
  <c r="D74" i="10" s="1"/>
  <c r="R74" i="10"/>
  <c r="C75" i="10"/>
  <c r="D75" i="10" s="1"/>
  <c r="R75" i="10"/>
  <c r="C76" i="10"/>
  <c r="D76" i="10" s="1"/>
  <c r="R76" i="10"/>
  <c r="C77" i="10"/>
  <c r="D77" i="10" s="1"/>
  <c r="R77" i="10"/>
  <c r="C78" i="10"/>
  <c r="D78" i="10" s="1"/>
  <c r="R78" i="10"/>
  <c r="C79" i="10"/>
  <c r="D79" i="10" s="1"/>
  <c r="R79" i="10"/>
  <c r="C80" i="10"/>
  <c r="D80" i="10" s="1"/>
  <c r="R80" i="10"/>
  <c r="C81" i="10"/>
  <c r="D81" i="10" s="1"/>
  <c r="R81" i="10"/>
  <c r="C82" i="10"/>
  <c r="D82" i="10" s="1"/>
  <c r="R82" i="10"/>
  <c r="C83" i="10"/>
  <c r="D83" i="10" s="1"/>
  <c r="R83" i="10"/>
  <c r="C84" i="10"/>
  <c r="D84" i="10" s="1"/>
  <c r="R84" i="10"/>
  <c r="C85" i="10"/>
  <c r="D85" i="10" s="1"/>
  <c r="R85" i="10"/>
  <c r="C86" i="10"/>
  <c r="D86" i="10" s="1"/>
  <c r="R86" i="10"/>
  <c r="C87" i="10"/>
  <c r="D87" i="10" s="1"/>
  <c r="R87" i="10"/>
  <c r="C88" i="10"/>
  <c r="D88" i="10" s="1"/>
  <c r="R88" i="10"/>
  <c r="C89" i="10"/>
  <c r="D89" i="10" s="1"/>
  <c r="R89" i="10"/>
  <c r="C90" i="10"/>
  <c r="D90" i="10" s="1"/>
  <c r="R90" i="10"/>
  <c r="C91" i="10"/>
  <c r="D91" i="10" s="1"/>
  <c r="R91" i="10"/>
  <c r="C92" i="10"/>
  <c r="D92" i="10" s="1"/>
  <c r="R92" i="10"/>
  <c r="C93" i="10"/>
  <c r="D93" i="10" s="1"/>
  <c r="R93" i="10"/>
  <c r="C94" i="10"/>
  <c r="D94" i="10" s="1"/>
  <c r="R94" i="10"/>
  <c r="C95" i="10"/>
  <c r="D95" i="10" s="1"/>
  <c r="R95" i="10"/>
  <c r="C96" i="10"/>
  <c r="D96" i="10" s="1"/>
  <c r="R96" i="10"/>
  <c r="C97" i="10"/>
  <c r="D97" i="10" s="1"/>
  <c r="R97" i="10"/>
  <c r="C98" i="10"/>
  <c r="D98" i="10" s="1"/>
  <c r="R98" i="10"/>
  <c r="C99" i="10"/>
  <c r="D99" i="10" s="1"/>
  <c r="R99" i="10"/>
  <c r="C100" i="10"/>
  <c r="D100" i="10" s="1"/>
  <c r="R100" i="10"/>
  <c r="C101" i="10"/>
  <c r="D101" i="10" s="1"/>
  <c r="R101" i="10"/>
  <c r="C102" i="10"/>
  <c r="D102" i="10" s="1"/>
  <c r="R102" i="10"/>
  <c r="C103" i="10"/>
  <c r="D103" i="10" s="1"/>
  <c r="R103" i="10"/>
  <c r="C104" i="10"/>
  <c r="D104" i="10" s="1"/>
  <c r="R104" i="10"/>
  <c r="C105" i="10"/>
  <c r="D105" i="10" s="1"/>
  <c r="R105" i="10"/>
  <c r="C106" i="10"/>
  <c r="D106" i="10" s="1"/>
  <c r="R106" i="10"/>
  <c r="C107" i="10"/>
  <c r="D107" i="10" s="1"/>
  <c r="R107" i="10"/>
  <c r="C108" i="10"/>
  <c r="D108" i="10" s="1"/>
  <c r="R108" i="10"/>
  <c r="C109" i="10"/>
  <c r="D109" i="10" s="1"/>
  <c r="R109" i="10"/>
  <c r="C110" i="10"/>
  <c r="D110" i="10" s="1"/>
  <c r="R110" i="10"/>
  <c r="C111" i="10"/>
  <c r="D111" i="10" s="1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C1" i="5"/>
  <c r="C4" i="5"/>
  <c r="C4" i="32" s="1"/>
  <c r="C68" i="5"/>
  <c r="C68" i="32" s="1"/>
  <c r="D68" i="5"/>
  <c r="D68" i="32" s="1"/>
  <c r="E68" i="5"/>
  <c r="E68" i="32" s="1"/>
  <c r="F68" i="5"/>
  <c r="F68" i="32" s="1"/>
  <c r="G68" i="5"/>
  <c r="G68" i="32" s="1"/>
  <c r="H68" i="5"/>
  <c r="H68" i="32" s="1"/>
  <c r="I68" i="5"/>
  <c r="I68" i="32" s="1"/>
  <c r="J68" i="5"/>
  <c r="J68" i="32" s="1"/>
  <c r="K68" i="5"/>
  <c r="K68" i="32" s="1"/>
  <c r="L68" i="5"/>
  <c r="L68" i="32" s="1"/>
  <c r="M68" i="5"/>
  <c r="M68" i="32" s="1"/>
  <c r="N68" i="5"/>
  <c r="N68" i="32" s="1"/>
  <c r="C74" i="5"/>
  <c r="C74" i="32" s="1"/>
  <c r="D74" i="5"/>
  <c r="D74" i="32" s="1"/>
  <c r="E74" i="5"/>
  <c r="E74" i="32" s="1"/>
  <c r="F74" i="5"/>
  <c r="F74" i="32" s="1"/>
  <c r="G74" i="5"/>
  <c r="G74" i="32" s="1"/>
  <c r="H74" i="5"/>
  <c r="H74" i="32" s="1"/>
  <c r="I74" i="5"/>
  <c r="I74" i="32" s="1"/>
  <c r="J74" i="5"/>
  <c r="J74" i="32" s="1"/>
  <c r="K74" i="5"/>
  <c r="K74" i="32" s="1"/>
  <c r="L74" i="5"/>
  <c r="L74" i="32" s="1"/>
  <c r="M74" i="5"/>
  <c r="M74" i="32" s="1"/>
  <c r="N74" i="5"/>
  <c r="N74" i="32" s="1"/>
  <c r="C87" i="5"/>
  <c r="C87" i="32" s="1"/>
  <c r="D87" i="5"/>
  <c r="D87" i="32" s="1"/>
  <c r="E87" i="5"/>
  <c r="E87" i="32" s="1"/>
  <c r="F87" i="5"/>
  <c r="F87" i="32" s="1"/>
  <c r="G87" i="5"/>
  <c r="G87" i="32" s="1"/>
  <c r="H87" i="5"/>
  <c r="I87" i="5"/>
  <c r="I87" i="32" s="1"/>
  <c r="J87" i="5"/>
  <c r="J87" i="32" s="1"/>
  <c r="K87" i="5"/>
  <c r="K87" i="32" s="1"/>
  <c r="L87" i="5"/>
  <c r="L87" i="32" s="1"/>
  <c r="M87" i="5"/>
  <c r="M87" i="32" s="1"/>
  <c r="N87" i="5"/>
  <c r="N87" i="32" s="1"/>
  <c r="C88" i="5"/>
  <c r="C88" i="32" s="1"/>
  <c r="D88" i="5"/>
  <c r="D88" i="32" s="1"/>
  <c r="E88" i="5"/>
  <c r="E88" i="32" s="1"/>
  <c r="F88" i="5"/>
  <c r="F88" i="32" s="1"/>
  <c r="G88" i="5"/>
  <c r="G88" i="32" s="1"/>
  <c r="H88" i="5"/>
  <c r="H88" i="32" s="1"/>
  <c r="I88" i="5"/>
  <c r="I88" i="32" s="1"/>
  <c r="J88" i="5"/>
  <c r="J88" i="32" s="1"/>
  <c r="K88" i="5"/>
  <c r="K88" i="32" s="1"/>
  <c r="L88" i="5"/>
  <c r="L88" i="32" s="1"/>
  <c r="M88" i="5"/>
  <c r="M88" i="32" s="1"/>
  <c r="N88" i="5"/>
  <c r="N88" i="32" s="1"/>
  <c r="O88" i="5"/>
  <c r="C92" i="5"/>
  <c r="C92" i="32" s="1"/>
  <c r="D92" i="5"/>
  <c r="D92" i="32" s="1"/>
  <c r="E92" i="5"/>
  <c r="E92" i="32" s="1"/>
  <c r="F92" i="5"/>
  <c r="F92" i="32" s="1"/>
  <c r="G92" i="5"/>
  <c r="G92" i="32" s="1"/>
  <c r="H92" i="5"/>
  <c r="I92" i="5"/>
  <c r="J92" i="5"/>
  <c r="J92" i="32" s="1"/>
  <c r="K92" i="5"/>
  <c r="K92" i="32" s="1"/>
  <c r="L92" i="5"/>
  <c r="L92" i="32" s="1"/>
  <c r="M92" i="5"/>
  <c r="M92" i="32" s="1"/>
  <c r="N92" i="5"/>
  <c r="N92" i="32" s="1"/>
  <c r="O92" i="5"/>
  <c r="C93" i="5"/>
  <c r="C93" i="32" s="1"/>
  <c r="D93" i="5"/>
  <c r="D93" i="32" s="1"/>
  <c r="E93" i="5"/>
  <c r="E93" i="32" s="1"/>
  <c r="F93" i="5"/>
  <c r="F93" i="32" s="1"/>
  <c r="G93" i="5"/>
  <c r="G93" i="32" s="1"/>
  <c r="H93" i="5"/>
  <c r="H93" i="32" s="1"/>
  <c r="I93" i="5"/>
  <c r="I93" i="32" s="1"/>
  <c r="J93" i="5"/>
  <c r="J93" i="32" s="1"/>
  <c r="K93" i="5"/>
  <c r="L93" i="5"/>
  <c r="L93" i="32" s="1"/>
  <c r="M93" i="5"/>
  <c r="M93" i="32" s="1"/>
  <c r="N93" i="5"/>
  <c r="N93" i="32" s="1"/>
  <c r="C97" i="5"/>
  <c r="C97" i="32" s="1"/>
  <c r="D97" i="5"/>
  <c r="D97" i="32" s="1"/>
  <c r="E97" i="5"/>
  <c r="E97" i="32" s="1"/>
  <c r="F97" i="5"/>
  <c r="F97" i="32" s="1"/>
  <c r="G97" i="5"/>
  <c r="G97" i="32" s="1"/>
  <c r="H97" i="5"/>
  <c r="H97" i="32" s="1"/>
  <c r="I97" i="5"/>
  <c r="I97" i="32" s="1"/>
  <c r="J97" i="5"/>
  <c r="K97" i="5"/>
  <c r="K97" i="32" s="1"/>
  <c r="L97" i="5"/>
  <c r="L97" i="32" s="1"/>
  <c r="M97" i="5"/>
  <c r="M97" i="32" s="1"/>
  <c r="N97" i="5"/>
  <c r="N97" i="32" s="1"/>
  <c r="C98" i="5"/>
  <c r="D98" i="5"/>
  <c r="D98" i="32" s="1"/>
  <c r="E98" i="5"/>
  <c r="E98" i="32" s="1"/>
  <c r="F98" i="5"/>
  <c r="F98" i="32" s="1"/>
  <c r="G98" i="5"/>
  <c r="G98" i="32" s="1"/>
  <c r="H98" i="5"/>
  <c r="H98" i="32" s="1"/>
  <c r="I98" i="5"/>
  <c r="I98" i="32" s="1"/>
  <c r="J98" i="5"/>
  <c r="J98" i="32" s="1"/>
  <c r="K98" i="5"/>
  <c r="L98" i="5"/>
  <c r="L98" i="32" s="1"/>
  <c r="M98" i="5"/>
  <c r="M98" i="32" s="1"/>
  <c r="N98" i="5"/>
  <c r="N98" i="32" s="1"/>
  <c r="C1" i="32"/>
  <c r="N1" i="32"/>
  <c r="D4" i="32"/>
  <c r="E4" i="32"/>
  <c r="F4" i="32"/>
  <c r="G4" i="32"/>
  <c r="H4" i="32"/>
  <c r="I4" i="32"/>
  <c r="J4" i="32"/>
  <c r="K4" i="32"/>
  <c r="L4" i="32"/>
  <c r="M4" i="32"/>
  <c r="N4" i="32"/>
  <c r="O4" i="32"/>
  <c r="O97" i="5" l="1"/>
  <c r="O68" i="5"/>
  <c r="O70" i="5" s="1"/>
  <c r="O98" i="5"/>
  <c r="O93" i="5"/>
  <c r="O94" i="5" s="1"/>
  <c r="J94" i="32"/>
  <c r="O74" i="5"/>
  <c r="O76" i="5" s="1"/>
  <c r="K94" i="5"/>
  <c r="R26" i="10"/>
  <c r="R28" i="10"/>
  <c r="R27" i="10"/>
  <c r="D99" i="5"/>
  <c r="L99" i="5"/>
  <c r="E99" i="5"/>
  <c r="K99" i="5"/>
  <c r="C99" i="5"/>
  <c r="H99" i="32"/>
  <c r="G99" i="32"/>
  <c r="J89" i="5"/>
  <c r="I89" i="5"/>
  <c r="E89" i="32"/>
  <c r="C89" i="5"/>
  <c r="M89" i="32"/>
  <c r="L89" i="32"/>
  <c r="K89" i="32"/>
  <c r="J89" i="32"/>
  <c r="I89" i="32"/>
  <c r="C98" i="32"/>
  <c r="C99" i="32" s="1"/>
  <c r="N99" i="32"/>
  <c r="F99" i="32"/>
  <c r="L99" i="32"/>
  <c r="D99" i="32"/>
  <c r="H99" i="5"/>
  <c r="K98" i="32"/>
  <c r="K99" i="32" s="1"/>
  <c r="I99" i="32"/>
  <c r="M99" i="5"/>
  <c r="J99" i="5"/>
  <c r="I99" i="5"/>
  <c r="D94" i="5"/>
  <c r="J94" i="5"/>
  <c r="H94" i="5"/>
  <c r="C94" i="5"/>
  <c r="K93" i="32"/>
  <c r="K94" i="32" s="1"/>
  <c r="I94" i="5"/>
  <c r="G94" i="5"/>
  <c r="N94" i="32"/>
  <c r="F94" i="32"/>
  <c r="M94" i="32"/>
  <c r="E94" i="32"/>
  <c r="L94" i="32"/>
  <c r="D94" i="32"/>
  <c r="H92" i="32"/>
  <c r="H94" i="32" s="1"/>
  <c r="G94" i="32"/>
  <c r="C94" i="32"/>
  <c r="L94" i="5"/>
  <c r="F89" i="5"/>
  <c r="N89" i="5"/>
  <c r="D89" i="32"/>
  <c r="G89" i="32"/>
  <c r="K89" i="5"/>
  <c r="H89" i="5"/>
  <c r="O89" i="5"/>
  <c r="G89" i="5"/>
  <c r="N89" i="32"/>
  <c r="O68" i="32"/>
  <c r="O74" i="32"/>
  <c r="E99" i="32"/>
  <c r="C89" i="32"/>
  <c r="O88" i="32"/>
  <c r="F89" i="32"/>
  <c r="M99" i="32"/>
  <c r="G99" i="5"/>
  <c r="N94" i="5"/>
  <c r="F94" i="5"/>
  <c r="M89" i="5"/>
  <c r="E89" i="5"/>
  <c r="J97" i="32"/>
  <c r="J99" i="32" s="1"/>
  <c r="I92" i="32"/>
  <c r="I94" i="32" s="1"/>
  <c r="H87" i="32"/>
  <c r="H89" i="32" s="1"/>
  <c r="N99" i="5"/>
  <c r="F99" i="5"/>
  <c r="M94" i="5"/>
  <c r="E94" i="5"/>
  <c r="L89" i="5"/>
  <c r="D89" i="5"/>
  <c r="R29" i="10"/>
  <c r="R5" i="10" s="1"/>
  <c r="D1" i="21"/>
  <c r="B2" i="5"/>
  <c r="B2" i="32" s="1"/>
  <c r="L70" i="5"/>
  <c r="L70" i="32" s="1"/>
  <c r="K70" i="5"/>
  <c r="K70" i="32" s="1"/>
  <c r="H70" i="5"/>
  <c r="H70" i="32" s="1"/>
  <c r="E70" i="5"/>
  <c r="E70" i="32" s="1"/>
  <c r="C70" i="5"/>
  <c r="C70" i="32" s="1"/>
  <c r="M69" i="5"/>
  <c r="J69" i="5"/>
  <c r="H69" i="5"/>
  <c r="E69" i="5"/>
  <c r="C69" i="5"/>
  <c r="O64" i="5"/>
  <c r="M64" i="5"/>
  <c r="M64" i="32" s="1"/>
  <c r="J64" i="5"/>
  <c r="J64" i="32" s="1"/>
  <c r="H64" i="5"/>
  <c r="H64" i="32" s="1"/>
  <c r="E64" i="5"/>
  <c r="E64" i="32" s="1"/>
  <c r="C64" i="5"/>
  <c r="C64" i="32" s="1"/>
  <c r="O64" i="32" s="1"/>
  <c r="M63" i="5"/>
  <c r="M63" i="32" s="1"/>
  <c r="K63" i="5"/>
  <c r="K63" i="32" s="1"/>
  <c r="H63" i="5"/>
  <c r="H63" i="32" s="1"/>
  <c r="E63" i="5"/>
  <c r="E63" i="32" s="1"/>
  <c r="O61" i="5"/>
  <c r="O78" i="5"/>
  <c r="M78" i="5"/>
  <c r="M78" i="32" s="1"/>
  <c r="K78" i="5"/>
  <c r="K78" i="32" s="1"/>
  <c r="J78" i="5"/>
  <c r="J78" i="32" s="1"/>
  <c r="G78" i="5"/>
  <c r="G78" i="32" s="1"/>
  <c r="E78" i="5"/>
  <c r="E78" i="32" s="1"/>
  <c r="C78" i="5"/>
  <c r="C78" i="32" s="1"/>
  <c r="N77" i="5"/>
  <c r="N77" i="32" s="1"/>
  <c r="L77" i="5"/>
  <c r="L77" i="32" s="1"/>
  <c r="I77" i="5"/>
  <c r="I77" i="32" s="1"/>
  <c r="H77" i="5"/>
  <c r="H77" i="32" s="1"/>
  <c r="E77" i="5"/>
  <c r="E77" i="32" s="1"/>
  <c r="N76" i="5"/>
  <c r="N76" i="32" s="1"/>
  <c r="K76" i="5"/>
  <c r="K76" i="32" s="1"/>
  <c r="H76" i="5"/>
  <c r="H76" i="32" s="1"/>
  <c r="E76" i="5"/>
  <c r="E76" i="32" s="1"/>
  <c r="O75" i="5"/>
  <c r="L75" i="5"/>
  <c r="I75" i="5"/>
  <c r="G75" i="5"/>
  <c r="E75" i="5"/>
  <c r="D75" i="5"/>
  <c r="N72" i="5"/>
  <c r="N72" i="32" s="1"/>
  <c r="L72" i="5"/>
  <c r="L72" i="32" s="1"/>
  <c r="M72" i="5"/>
  <c r="M72" i="32" s="1"/>
  <c r="I72" i="5"/>
  <c r="I72" i="32" s="1"/>
  <c r="F72" i="5"/>
  <c r="F72" i="32" s="1"/>
  <c r="O71" i="5"/>
  <c r="M71" i="5"/>
  <c r="M71" i="32" s="1"/>
  <c r="J71" i="5"/>
  <c r="J71" i="32" s="1"/>
  <c r="G71" i="5"/>
  <c r="G71" i="32" s="1"/>
  <c r="E71" i="5"/>
  <c r="E71" i="32" s="1"/>
  <c r="C71" i="5"/>
  <c r="C71" i="32" s="1"/>
  <c r="M70" i="5"/>
  <c r="M70" i="32" s="1"/>
  <c r="I70" i="5"/>
  <c r="I70" i="32" s="1"/>
  <c r="G70" i="5"/>
  <c r="G70" i="32" s="1"/>
  <c r="D70" i="5"/>
  <c r="D70" i="32" s="1"/>
  <c r="N69" i="5"/>
  <c r="L69" i="5"/>
  <c r="I69" i="5"/>
  <c r="F69" i="5"/>
  <c r="D69" i="5"/>
  <c r="L64" i="5"/>
  <c r="L64" i="32" s="1"/>
  <c r="I64" i="5"/>
  <c r="I64" i="32" s="1"/>
  <c r="F64" i="5"/>
  <c r="F64" i="32" s="1"/>
  <c r="O63" i="5"/>
  <c r="L63" i="5"/>
  <c r="L63" i="32" s="1"/>
  <c r="I63" i="5"/>
  <c r="I63" i="32" s="1"/>
  <c r="F63" i="5"/>
  <c r="F63" i="32" s="1"/>
  <c r="C63" i="5"/>
  <c r="C63" i="32" s="1"/>
  <c r="O63" i="32" s="1"/>
  <c r="N61" i="5"/>
  <c r="N61" i="32" s="1"/>
  <c r="C61" i="5"/>
  <c r="C61" i="32" s="1"/>
  <c r="O61" i="32" s="1"/>
  <c r="G61" i="5"/>
  <c r="G61" i="32" s="1"/>
  <c r="I61" i="5"/>
  <c r="I61" i="32" s="1"/>
  <c r="K61" i="5"/>
  <c r="K61" i="32" s="1"/>
  <c r="M61" i="5"/>
  <c r="M61" i="32" s="1"/>
  <c r="D63" i="5"/>
  <c r="D63" i="32" s="1"/>
  <c r="G63" i="5"/>
  <c r="G63" i="32" s="1"/>
  <c r="J63" i="5"/>
  <c r="J63" i="32" s="1"/>
  <c r="N63" i="5"/>
  <c r="N63" i="32" s="1"/>
  <c r="D64" i="5"/>
  <c r="D64" i="32" s="1"/>
  <c r="G64" i="5"/>
  <c r="G64" i="32" s="1"/>
  <c r="K64" i="5"/>
  <c r="K64" i="32" s="1"/>
  <c r="N64" i="5"/>
  <c r="N64" i="32" s="1"/>
  <c r="L61" i="5"/>
  <c r="L61" i="32" s="1"/>
  <c r="J61" i="5"/>
  <c r="J61" i="32" s="1"/>
  <c r="H61" i="5"/>
  <c r="H61" i="32" s="1"/>
  <c r="G69" i="5"/>
  <c r="K69" i="5"/>
  <c r="O69" i="5"/>
  <c r="F70" i="5"/>
  <c r="F70" i="32" s="1"/>
  <c r="J70" i="5"/>
  <c r="J70" i="32" s="1"/>
  <c r="N70" i="5"/>
  <c r="N70" i="32" s="1"/>
  <c r="F71" i="5"/>
  <c r="F71" i="32" s="1"/>
  <c r="I71" i="5"/>
  <c r="I71" i="32" s="1"/>
  <c r="L71" i="5"/>
  <c r="L71" i="32" s="1"/>
  <c r="D72" i="5"/>
  <c r="D72" i="32" s="1"/>
  <c r="G72" i="5"/>
  <c r="G72" i="32" s="1"/>
  <c r="J72" i="5"/>
  <c r="J72" i="32" s="1"/>
  <c r="C75" i="5"/>
  <c r="F75" i="5"/>
  <c r="H75" i="5"/>
  <c r="K75" i="5"/>
  <c r="N75" i="5"/>
  <c r="D76" i="5"/>
  <c r="D76" i="32" s="1"/>
  <c r="G76" i="5"/>
  <c r="G76" i="32" s="1"/>
  <c r="J76" i="5"/>
  <c r="J76" i="32" s="1"/>
  <c r="M76" i="5"/>
  <c r="M76" i="32" s="1"/>
  <c r="C77" i="5"/>
  <c r="C77" i="32" s="1"/>
  <c r="F77" i="5"/>
  <c r="F77" i="32" s="1"/>
  <c r="K77" i="5"/>
  <c r="K77" i="32" s="1"/>
  <c r="F61" i="5"/>
  <c r="F61" i="32" s="1"/>
  <c r="E61" i="5"/>
  <c r="E61" i="32" s="1"/>
  <c r="D61" i="5"/>
  <c r="D61" i="32" s="1"/>
  <c r="N78" i="5"/>
  <c r="N78" i="32" s="1"/>
  <c r="L78" i="5"/>
  <c r="L78" i="32" s="1"/>
  <c r="I78" i="5"/>
  <c r="I78" i="32" s="1"/>
  <c r="H78" i="5"/>
  <c r="H78" i="32" s="1"/>
  <c r="F78" i="5"/>
  <c r="F78" i="32" s="1"/>
  <c r="D78" i="5"/>
  <c r="D78" i="32" s="1"/>
  <c r="O77" i="5"/>
  <c r="M77" i="5"/>
  <c r="M77" i="32" s="1"/>
  <c r="J77" i="5"/>
  <c r="J77" i="32" s="1"/>
  <c r="G77" i="5"/>
  <c r="G77" i="32" s="1"/>
  <c r="D77" i="5"/>
  <c r="D77" i="32" s="1"/>
  <c r="L76" i="5"/>
  <c r="L76" i="32" s="1"/>
  <c r="I76" i="5"/>
  <c r="I76" i="32" s="1"/>
  <c r="F76" i="5"/>
  <c r="F76" i="32" s="1"/>
  <c r="C76" i="5"/>
  <c r="C76" i="32" s="1"/>
  <c r="M75" i="5"/>
  <c r="J75" i="5"/>
  <c r="O72" i="5"/>
  <c r="K72" i="5"/>
  <c r="K72" i="32" s="1"/>
  <c r="H72" i="5"/>
  <c r="H72" i="32" s="1"/>
  <c r="E72" i="5"/>
  <c r="E72" i="32" s="1"/>
  <c r="C72" i="5"/>
  <c r="C72" i="32" s="1"/>
  <c r="N71" i="5"/>
  <c r="N71" i="32" s="1"/>
  <c r="K71" i="5"/>
  <c r="K71" i="32" s="1"/>
  <c r="H71" i="5"/>
  <c r="H71" i="32" s="1"/>
  <c r="D71" i="5"/>
  <c r="D71" i="32" s="1"/>
  <c r="C934" i="10"/>
  <c r="D934" i="10" s="1"/>
  <c r="C935" i="10"/>
  <c r="D935" i="10" s="1"/>
  <c r="C936" i="10"/>
  <c r="D936" i="10" s="1"/>
  <c r="C937" i="10"/>
  <c r="D937" i="10" s="1"/>
  <c r="C938" i="10"/>
  <c r="D938" i="10" s="1"/>
  <c r="C939" i="10"/>
  <c r="D939" i="10" s="1"/>
  <c r="C112" i="10"/>
  <c r="D112" i="10" s="1"/>
  <c r="C113" i="10"/>
  <c r="D113" i="10" s="1"/>
  <c r="C114" i="10"/>
  <c r="D114" i="10" s="1"/>
  <c r="C115" i="10"/>
  <c r="D115" i="10" s="1"/>
  <c r="C116" i="10"/>
  <c r="D116" i="10" s="1"/>
  <c r="C117" i="10"/>
  <c r="D117" i="10" s="1"/>
  <c r="C118" i="10"/>
  <c r="D118" i="10" s="1"/>
  <c r="C119" i="10"/>
  <c r="D119" i="10" s="1"/>
  <c r="C120" i="10"/>
  <c r="D120" i="10" s="1"/>
  <c r="C121" i="10"/>
  <c r="D121" i="10" s="1"/>
  <c r="C122" i="10"/>
  <c r="D122" i="10" s="1"/>
  <c r="C123" i="10"/>
  <c r="D123" i="10" s="1"/>
  <c r="C124" i="10"/>
  <c r="D124" i="10" s="1"/>
  <c r="C125" i="10"/>
  <c r="D125" i="10" s="1"/>
  <c r="C126" i="10"/>
  <c r="D126" i="10" s="1"/>
  <c r="C127" i="10"/>
  <c r="D127" i="10" s="1"/>
  <c r="C128" i="10"/>
  <c r="D128" i="10" s="1"/>
  <c r="C129" i="10"/>
  <c r="D129" i="10" s="1"/>
  <c r="C130" i="10"/>
  <c r="D130" i="10" s="1"/>
  <c r="C131" i="10"/>
  <c r="D131" i="10" s="1"/>
  <c r="C132" i="10"/>
  <c r="D132" i="10" s="1"/>
  <c r="C133" i="10"/>
  <c r="D133" i="10" s="1"/>
  <c r="C134" i="10"/>
  <c r="D134" i="10" s="1"/>
  <c r="C135" i="10"/>
  <c r="D135" i="10" s="1"/>
  <c r="C136" i="10"/>
  <c r="D136" i="10" s="1"/>
  <c r="C137" i="10"/>
  <c r="D137" i="10" s="1"/>
  <c r="C138" i="10"/>
  <c r="D138" i="10" s="1"/>
  <c r="C139" i="10"/>
  <c r="D139" i="10" s="1"/>
  <c r="C140" i="10"/>
  <c r="D140" i="10" s="1"/>
  <c r="C141" i="10"/>
  <c r="D141" i="10" s="1"/>
  <c r="C142" i="10"/>
  <c r="D142" i="10" s="1"/>
  <c r="C143" i="10"/>
  <c r="D143" i="10" s="1"/>
  <c r="C144" i="10"/>
  <c r="D144" i="10" s="1"/>
  <c r="C145" i="10"/>
  <c r="D145" i="10" s="1"/>
  <c r="C146" i="10"/>
  <c r="D146" i="10" s="1"/>
  <c r="C147" i="10"/>
  <c r="D147" i="10" s="1"/>
  <c r="C148" i="10"/>
  <c r="D148" i="10" s="1"/>
  <c r="C149" i="10"/>
  <c r="D149" i="10" s="1"/>
  <c r="C150" i="10"/>
  <c r="D150" i="10" s="1"/>
  <c r="C151" i="10"/>
  <c r="D151" i="10" s="1"/>
  <c r="C152" i="10"/>
  <c r="D152" i="10" s="1"/>
  <c r="C153" i="10"/>
  <c r="D153" i="10" s="1"/>
  <c r="C154" i="10"/>
  <c r="D154" i="10" s="1"/>
  <c r="C155" i="10"/>
  <c r="D155" i="10" s="1"/>
  <c r="C156" i="10"/>
  <c r="D156" i="10" s="1"/>
  <c r="C157" i="10"/>
  <c r="D157" i="10" s="1"/>
  <c r="C158" i="10"/>
  <c r="D158" i="10" s="1"/>
  <c r="C159" i="10"/>
  <c r="D159" i="10" s="1"/>
  <c r="C160" i="10"/>
  <c r="D160" i="10" s="1"/>
  <c r="C161" i="10"/>
  <c r="D161" i="10" s="1"/>
  <c r="C162" i="10"/>
  <c r="D162" i="10" s="1"/>
  <c r="C163" i="10"/>
  <c r="D163" i="10" s="1"/>
  <c r="C164" i="10"/>
  <c r="D164" i="10" s="1"/>
  <c r="C165" i="10"/>
  <c r="D165" i="10" s="1"/>
  <c r="C166" i="10"/>
  <c r="D166" i="10" s="1"/>
  <c r="C167" i="10"/>
  <c r="D167" i="10" s="1"/>
  <c r="C168" i="10"/>
  <c r="D168" i="10" s="1"/>
  <c r="C169" i="10"/>
  <c r="D169" i="10" s="1"/>
  <c r="C170" i="10"/>
  <c r="D170" i="10" s="1"/>
  <c r="C171" i="10"/>
  <c r="D171" i="10" s="1"/>
  <c r="C172" i="10"/>
  <c r="D172" i="10" s="1"/>
  <c r="C173" i="10"/>
  <c r="D173" i="10" s="1"/>
  <c r="C174" i="10"/>
  <c r="D174" i="10" s="1"/>
  <c r="C175" i="10"/>
  <c r="D175" i="10" s="1"/>
  <c r="C176" i="10"/>
  <c r="D176" i="10" s="1"/>
  <c r="C177" i="10"/>
  <c r="D177" i="10" s="1"/>
  <c r="C178" i="10"/>
  <c r="D178" i="10" s="1"/>
  <c r="C179" i="10"/>
  <c r="D179" i="10" s="1"/>
  <c r="C180" i="10"/>
  <c r="D180" i="10" s="1"/>
  <c r="C181" i="10"/>
  <c r="D181" i="10" s="1"/>
  <c r="C182" i="10"/>
  <c r="D182" i="10" s="1"/>
  <c r="C183" i="10"/>
  <c r="D183" i="10" s="1"/>
  <c r="C184" i="10"/>
  <c r="D184" i="10" s="1"/>
  <c r="C185" i="10"/>
  <c r="D185" i="10" s="1"/>
  <c r="C186" i="10"/>
  <c r="D186" i="10" s="1"/>
  <c r="C187" i="10"/>
  <c r="D187" i="10" s="1"/>
  <c r="C188" i="10"/>
  <c r="D188" i="10" s="1"/>
  <c r="C189" i="10"/>
  <c r="D189" i="10" s="1"/>
  <c r="C190" i="10"/>
  <c r="D190" i="10" s="1"/>
  <c r="C191" i="10"/>
  <c r="D191" i="10" s="1"/>
  <c r="C192" i="10"/>
  <c r="D192" i="10" s="1"/>
  <c r="C193" i="10"/>
  <c r="D193" i="10" s="1"/>
  <c r="C194" i="10"/>
  <c r="D194" i="10" s="1"/>
  <c r="C195" i="10"/>
  <c r="D195" i="10" s="1"/>
  <c r="C196" i="10"/>
  <c r="D196" i="10" s="1"/>
  <c r="C197" i="10"/>
  <c r="D197" i="10" s="1"/>
  <c r="C198" i="10"/>
  <c r="D198" i="10" s="1"/>
  <c r="C199" i="10"/>
  <c r="D199" i="10" s="1"/>
  <c r="C200" i="10"/>
  <c r="D200" i="10" s="1"/>
  <c r="C201" i="10"/>
  <c r="D201" i="10" s="1"/>
  <c r="C202" i="10"/>
  <c r="D202" i="10" s="1"/>
  <c r="C203" i="10"/>
  <c r="D203" i="10" s="1"/>
  <c r="C204" i="10"/>
  <c r="D204" i="10" s="1"/>
  <c r="C205" i="10"/>
  <c r="D205" i="10" s="1"/>
  <c r="C206" i="10"/>
  <c r="D206" i="10" s="1"/>
  <c r="C207" i="10"/>
  <c r="D207" i="10" s="1"/>
  <c r="C208" i="10"/>
  <c r="D208" i="10" s="1"/>
  <c r="C209" i="10"/>
  <c r="D209" i="10" s="1"/>
  <c r="C210" i="10"/>
  <c r="D210" i="10" s="1"/>
  <c r="C211" i="10"/>
  <c r="D211" i="10" s="1"/>
  <c r="C212" i="10"/>
  <c r="D212" i="10" s="1"/>
  <c r="C213" i="10"/>
  <c r="D213" i="10" s="1"/>
  <c r="C214" i="10"/>
  <c r="D214" i="10" s="1"/>
  <c r="C215" i="10"/>
  <c r="D215" i="10" s="1"/>
  <c r="C216" i="10"/>
  <c r="D216" i="10" s="1"/>
  <c r="C217" i="10"/>
  <c r="D217" i="10" s="1"/>
  <c r="C218" i="10"/>
  <c r="D218" i="10" s="1"/>
  <c r="C219" i="10"/>
  <c r="D219" i="10" s="1"/>
  <c r="C220" i="10"/>
  <c r="D220" i="10" s="1"/>
  <c r="C221" i="10"/>
  <c r="D221" i="10" s="1"/>
  <c r="C222" i="10"/>
  <c r="D222" i="10" s="1"/>
  <c r="C223" i="10"/>
  <c r="D223" i="10" s="1"/>
  <c r="C224" i="10"/>
  <c r="D224" i="10" s="1"/>
  <c r="C225" i="10"/>
  <c r="D225" i="10" s="1"/>
  <c r="C226" i="10"/>
  <c r="D226" i="10" s="1"/>
  <c r="C227" i="10"/>
  <c r="D227" i="10" s="1"/>
  <c r="C228" i="10"/>
  <c r="D228" i="10" s="1"/>
  <c r="C229" i="10"/>
  <c r="D229" i="10" s="1"/>
  <c r="C230" i="10"/>
  <c r="D230" i="10" s="1"/>
  <c r="C231" i="10"/>
  <c r="D231" i="10" s="1"/>
  <c r="C232" i="10"/>
  <c r="D232" i="10" s="1"/>
  <c r="C233" i="10"/>
  <c r="D233" i="10" s="1"/>
  <c r="C234" i="10"/>
  <c r="D234" i="10" s="1"/>
  <c r="C235" i="10"/>
  <c r="D235" i="10" s="1"/>
  <c r="C236" i="10"/>
  <c r="D236" i="10" s="1"/>
  <c r="C237" i="10"/>
  <c r="D237" i="10" s="1"/>
  <c r="C238" i="10"/>
  <c r="D238" i="10" s="1"/>
  <c r="C239" i="10"/>
  <c r="D239" i="10" s="1"/>
  <c r="C240" i="10"/>
  <c r="D240" i="10" s="1"/>
  <c r="C241" i="10"/>
  <c r="D241" i="10" s="1"/>
  <c r="C242" i="10"/>
  <c r="D242" i="10" s="1"/>
  <c r="C243" i="10"/>
  <c r="D243" i="10" s="1"/>
  <c r="C244" i="10"/>
  <c r="D244" i="10" s="1"/>
  <c r="C245" i="10"/>
  <c r="D245" i="10" s="1"/>
  <c r="C246" i="10"/>
  <c r="D246" i="10" s="1"/>
  <c r="C247" i="10"/>
  <c r="D247" i="10" s="1"/>
  <c r="C248" i="10"/>
  <c r="D248" i="10" s="1"/>
  <c r="C249" i="10"/>
  <c r="D249" i="10" s="1"/>
  <c r="C250" i="10"/>
  <c r="D250" i="10" s="1"/>
  <c r="C251" i="10"/>
  <c r="D251" i="10" s="1"/>
  <c r="C252" i="10"/>
  <c r="D252" i="10" s="1"/>
  <c r="C253" i="10"/>
  <c r="D253" i="10" s="1"/>
  <c r="C403" i="10"/>
  <c r="D403" i="10" s="1"/>
  <c r="C406" i="10"/>
  <c r="D406" i="10" s="1"/>
  <c r="C409" i="10"/>
  <c r="D409" i="10" s="1"/>
  <c r="C412" i="10"/>
  <c r="D412" i="10" s="1"/>
  <c r="C415" i="10"/>
  <c r="D415" i="10" s="1"/>
  <c r="C416" i="10"/>
  <c r="D416" i="10" s="1"/>
  <c r="C419" i="10"/>
  <c r="D419" i="10" s="1"/>
  <c r="C424" i="10"/>
  <c r="D424" i="10" s="1"/>
  <c r="C426" i="10"/>
  <c r="D426" i="10" s="1"/>
  <c r="C428" i="10"/>
  <c r="D428" i="10" s="1"/>
  <c r="C429" i="10"/>
  <c r="D429" i="10" s="1"/>
  <c r="C431" i="10"/>
  <c r="D431" i="10" s="1"/>
  <c r="C432" i="10"/>
  <c r="D432" i="10" s="1"/>
  <c r="C434" i="10"/>
  <c r="D434" i="10" s="1"/>
  <c r="C436" i="10"/>
  <c r="D436" i="10" s="1"/>
  <c r="C438" i="10"/>
  <c r="D438" i="10" s="1"/>
  <c r="C440" i="10"/>
  <c r="D440" i="10" s="1"/>
  <c r="C443" i="10"/>
  <c r="D443" i="10" s="1"/>
  <c r="C444" i="10"/>
  <c r="D444" i="10" s="1"/>
  <c r="C447" i="10"/>
  <c r="D447" i="10" s="1"/>
  <c r="C448" i="10"/>
  <c r="D448" i="10" s="1"/>
  <c r="C449" i="10"/>
  <c r="D449" i="10" s="1"/>
  <c r="C450" i="10"/>
  <c r="D450" i="10" s="1"/>
  <c r="C451" i="10"/>
  <c r="D451" i="10" s="1"/>
  <c r="C452" i="10"/>
  <c r="D452" i="10" s="1"/>
  <c r="C453" i="10"/>
  <c r="D453" i="10" s="1"/>
  <c r="C467" i="10"/>
  <c r="D467" i="10" s="1"/>
  <c r="C469" i="10"/>
  <c r="D469" i="10" s="1"/>
  <c r="C471" i="10"/>
  <c r="D471" i="10" s="1"/>
  <c r="C472" i="10"/>
  <c r="D472" i="10" s="1"/>
  <c r="C474" i="10"/>
  <c r="D474" i="10" s="1"/>
  <c r="C476" i="10"/>
  <c r="D476" i="10" s="1"/>
  <c r="C477" i="10"/>
  <c r="D477" i="10" s="1"/>
  <c r="C479" i="10"/>
  <c r="D479" i="10" s="1"/>
  <c r="C482" i="10"/>
  <c r="D482" i="10" s="1"/>
  <c r="C484" i="10"/>
  <c r="D484" i="10" s="1"/>
  <c r="C486" i="10"/>
  <c r="D486" i="10" s="1"/>
  <c r="C488" i="10"/>
  <c r="D488" i="10" s="1"/>
  <c r="C489" i="10"/>
  <c r="D489" i="10" s="1"/>
  <c r="C491" i="10"/>
  <c r="D491" i="10" s="1"/>
  <c r="C493" i="10"/>
  <c r="D493" i="10" s="1"/>
  <c r="C495" i="10"/>
  <c r="D495" i="10" s="1"/>
  <c r="C498" i="10"/>
  <c r="D498" i="10" s="1"/>
  <c r="C500" i="10"/>
  <c r="D500" i="10" s="1"/>
  <c r="C501" i="10"/>
  <c r="D501" i="10" s="1"/>
  <c r="C503" i="10"/>
  <c r="D503" i="10" s="1"/>
  <c r="C505" i="10"/>
  <c r="D505" i="10" s="1"/>
  <c r="C507" i="10"/>
  <c r="D507" i="10" s="1"/>
  <c r="C510" i="10"/>
  <c r="D510" i="10" s="1"/>
  <c r="C512" i="10"/>
  <c r="D512" i="10" s="1"/>
  <c r="C513" i="10"/>
  <c r="D513" i="10" s="1"/>
  <c r="C515" i="10"/>
  <c r="D515" i="10" s="1"/>
  <c r="C516" i="10"/>
  <c r="D516" i="10" s="1"/>
  <c r="C517" i="10"/>
  <c r="D517" i="10" s="1"/>
  <c r="C520" i="10"/>
  <c r="D520" i="10" s="1"/>
  <c r="C523" i="10"/>
  <c r="D523" i="10" s="1"/>
  <c r="C525" i="10"/>
  <c r="D525" i="10" s="1"/>
  <c r="C527" i="10"/>
  <c r="D527" i="10" s="1"/>
  <c r="C528" i="10"/>
  <c r="D528" i="10" s="1"/>
  <c r="C533" i="10"/>
  <c r="D533" i="10" s="1"/>
  <c r="C536" i="10"/>
  <c r="D536" i="10" s="1"/>
  <c r="C537" i="10"/>
  <c r="D537" i="10" s="1"/>
  <c r="C540" i="10"/>
  <c r="D540" i="10" s="1"/>
  <c r="C542" i="10"/>
  <c r="D542" i="10" s="1"/>
  <c r="C545" i="10"/>
  <c r="D545" i="10" s="1"/>
  <c r="C548" i="10"/>
  <c r="D548" i="10" s="1"/>
  <c r="C550" i="10"/>
  <c r="D550" i="10" s="1"/>
  <c r="C551" i="10"/>
  <c r="D551" i="10" s="1"/>
  <c r="C554" i="10"/>
  <c r="D554" i="10" s="1"/>
  <c r="C555" i="10"/>
  <c r="D555" i="10" s="1"/>
  <c r="C557" i="10"/>
  <c r="D557" i="10" s="1"/>
  <c r="C559" i="10"/>
  <c r="D559" i="10" s="1"/>
  <c r="C561" i="10"/>
  <c r="D561" i="10" s="1"/>
  <c r="C563" i="10"/>
  <c r="D563" i="10" s="1"/>
  <c r="C564" i="10"/>
  <c r="D564" i="10" s="1"/>
  <c r="C565" i="10"/>
  <c r="D565" i="10" s="1"/>
  <c r="C567" i="10"/>
  <c r="D567" i="10" s="1"/>
  <c r="C940" i="10"/>
  <c r="D940" i="10" s="1"/>
  <c r="C941" i="10"/>
  <c r="D941" i="10" s="1"/>
  <c r="C942" i="10"/>
  <c r="D942" i="10" s="1"/>
  <c r="C943" i="10"/>
  <c r="D943" i="10" s="1"/>
  <c r="C944" i="10"/>
  <c r="D944" i="10" s="1"/>
  <c r="C945" i="10"/>
  <c r="D945" i="10" s="1"/>
  <c r="C946" i="10"/>
  <c r="D946" i="10" s="1"/>
  <c r="C947" i="10"/>
  <c r="D947" i="10" s="1"/>
  <c r="C948" i="10"/>
  <c r="D948" i="10" s="1"/>
  <c r="C949" i="10"/>
  <c r="D949" i="10" s="1"/>
  <c r="C950" i="10"/>
  <c r="D950" i="10" s="1"/>
  <c r="C951" i="10"/>
  <c r="D951" i="10" s="1"/>
  <c r="C952" i="10"/>
  <c r="D952" i="10" s="1"/>
  <c r="C953" i="10"/>
  <c r="D953" i="10" s="1"/>
  <c r="C954" i="10"/>
  <c r="D954" i="10" s="1"/>
  <c r="C955" i="10"/>
  <c r="D955" i="10" s="1"/>
  <c r="C956" i="10"/>
  <c r="D956" i="10" s="1"/>
  <c r="C957" i="10"/>
  <c r="D957" i="10" s="1"/>
  <c r="C958" i="10"/>
  <c r="D958" i="10" s="1"/>
  <c r="C959" i="10"/>
  <c r="D959" i="10" s="1"/>
  <c r="C960" i="10"/>
  <c r="D960" i="10" s="1"/>
  <c r="C961" i="10"/>
  <c r="D961" i="10" s="1"/>
  <c r="C962" i="10"/>
  <c r="D962" i="10" s="1"/>
  <c r="C963" i="10"/>
  <c r="D963" i="10" s="1"/>
  <c r="C964" i="10"/>
  <c r="D964" i="10" s="1"/>
  <c r="C965" i="10"/>
  <c r="D965" i="10" s="1"/>
  <c r="C966" i="10"/>
  <c r="D966" i="10" s="1"/>
  <c r="C967" i="10"/>
  <c r="D967" i="10" s="1"/>
  <c r="C968" i="10"/>
  <c r="D968" i="10" s="1"/>
  <c r="C969" i="10"/>
  <c r="D969" i="10" s="1"/>
  <c r="C970" i="10"/>
  <c r="D970" i="10" s="1"/>
  <c r="C971" i="10"/>
  <c r="D971" i="10" s="1"/>
  <c r="C972" i="10"/>
  <c r="D972" i="10" s="1"/>
  <c r="C973" i="10"/>
  <c r="D973" i="10" s="1"/>
  <c r="C974" i="10"/>
  <c r="D974" i="10" s="1"/>
  <c r="C975" i="10"/>
  <c r="D975" i="10" s="1"/>
  <c r="C976" i="10"/>
  <c r="D976" i="10" s="1"/>
  <c r="C977" i="10"/>
  <c r="D977" i="10" s="1"/>
  <c r="C978" i="10"/>
  <c r="D978" i="10" s="1"/>
  <c r="C979" i="10"/>
  <c r="D979" i="10" s="1"/>
  <c r="C980" i="10"/>
  <c r="D980" i="10" s="1"/>
  <c r="C981" i="10"/>
  <c r="D981" i="10" s="1"/>
  <c r="C982" i="10"/>
  <c r="D982" i="10" s="1"/>
  <c r="C983" i="10"/>
  <c r="D983" i="10" s="1"/>
  <c r="C984" i="10"/>
  <c r="D984" i="10" s="1"/>
  <c r="C985" i="10"/>
  <c r="D985" i="10" s="1"/>
  <c r="C986" i="10"/>
  <c r="D986" i="10" s="1"/>
  <c r="C987" i="10"/>
  <c r="D987" i="10" s="1"/>
  <c r="C988" i="10"/>
  <c r="D988" i="10" s="1"/>
  <c r="C989" i="10"/>
  <c r="D989" i="10" s="1"/>
  <c r="C990" i="10"/>
  <c r="D990" i="10" s="1"/>
  <c r="C991" i="10"/>
  <c r="D991" i="10" s="1"/>
  <c r="C992" i="10"/>
  <c r="D992" i="10" s="1"/>
  <c r="C993" i="10"/>
  <c r="D993" i="10" s="1"/>
  <c r="C994" i="10"/>
  <c r="D994" i="10" s="1"/>
  <c r="C995" i="10"/>
  <c r="D995" i="10" s="1"/>
  <c r="C996" i="10"/>
  <c r="D996" i="10" s="1"/>
  <c r="C997" i="10"/>
  <c r="D997" i="10" s="1"/>
  <c r="C998" i="10"/>
  <c r="D998" i="10" s="1"/>
  <c r="C999" i="10"/>
  <c r="D999" i="10" s="1"/>
  <c r="C1000" i="10"/>
  <c r="D1000" i="10" s="1"/>
  <c r="C530" i="10"/>
  <c r="D530" i="10" s="1"/>
  <c r="C254" i="10"/>
  <c r="D254" i="10" s="1"/>
  <c r="C255" i="10"/>
  <c r="D255" i="10" s="1"/>
  <c r="C256" i="10"/>
  <c r="D256" i="10" s="1"/>
  <c r="C257" i="10"/>
  <c r="D257" i="10" s="1"/>
  <c r="C258" i="10"/>
  <c r="D258" i="10" s="1"/>
  <c r="C259" i="10"/>
  <c r="D259" i="10" s="1"/>
  <c r="C260" i="10"/>
  <c r="D260" i="10" s="1"/>
  <c r="C261" i="10"/>
  <c r="D261" i="10" s="1"/>
  <c r="C262" i="10"/>
  <c r="D262" i="10" s="1"/>
  <c r="C263" i="10"/>
  <c r="D263" i="10" s="1"/>
  <c r="C264" i="10"/>
  <c r="D264" i="10" s="1"/>
  <c r="C265" i="10"/>
  <c r="D265" i="10" s="1"/>
  <c r="C266" i="10"/>
  <c r="D266" i="10" s="1"/>
  <c r="C267" i="10"/>
  <c r="D267" i="10" s="1"/>
  <c r="C268" i="10"/>
  <c r="D268" i="10" s="1"/>
  <c r="C269" i="10"/>
  <c r="D269" i="10" s="1"/>
  <c r="C270" i="10"/>
  <c r="D270" i="10" s="1"/>
  <c r="C271" i="10"/>
  <c r="D271" i="10" s="1"/>
  <c r="C272" i="10"/>
  <c r="D272" i="10" s="1"/>
  <c r="C273" i="10"/>
  <c r="D273" i="10" s="1"/>
  <c r="C274" i="10"/>
  <c r="D274" i="10" s="1"/>
  <c r="C275" i="10"/>
  <c r="D275" i="10" s="1"/>
  <c r="C276" i="10"/>
  <c r="D276" i="10" s="1"/>
  <c r="C277" i="10"/>
  <c r="D277" i="10" s="1"/>
  <c r="C278" i="10"/>
  <c r="D278" i="10" s="1"/>
  <c r="C279" i="10"/>
  <c r="D279" i="10" s="1"/>
  <c r="C280" i="10"/>
  <c r="D280" i="10" s="1"/>
  <c r="C281" i="10"/>
  <c r="D281" i="10" s="1"/>
  <c r="C282" i="10"/>
  <c r="D282" i="10" s="1"/>
  <c r="C283" i="10"/>
  <c r="D283" i="10" s="1"/>
  <c r="C284" i="10"/>
  <c r="D284" i="10" s="1"/>
  <c r="C285" i="10"/>
  <c r="D285" i="10" s="1"/>
  <c r="C286" i="10"/>
  <c r="D286" i="10" s="1"/>
  <c r="C287" i="10"/>
  <c r="D287" i="10" s="1"/>
  <c r="C288" i="10"/>
  <c r="D288" i="10" s="1"/>
  <c r="C289" i="10"/>
  <c r="D289" i="10" s="1"/>
  <c r="C290" i="10"/>
  <c r="D290" i="10" s="1"/>
  <c r="C291" i="10"/>
  <c r="D291" i="10" s="1"/>
  <c r="C292" i="10"/>
  <c r="D292" i="10" s="1"/>
  <c r="C293" i="10"/>
  <c r="D293" i="10" s="1"/>
  <c r="C294" i="10"/>
  <c r="D294" i="10" s="1"/>
  <c r="C295" i="10"/>
  <c r="D295" i="10" s="1"/>
  <c r="C296" i="10"/>
  <c r="D296" i="10" s="1"/>
  <c r="C297" i="10"/>
  <c r="D297" i="10" s="1"/>
  <c r="C298" i="10"/>
  <c r="D298" i="10" s="1"/>
  <c r="C299" i="10"/>
  <c r="D299" i="10" s="1"/>
  <c r="C300" i="10"/>
  <c r="D300" i="10" s="1"/>
  <c r="C301" i="10"/>
  <c r="D301" i="10" s="1"/>
  <c r="C302" i="10"/>
  <c r="D302" i="10" s="1"/>
  <c r="C303" i="10"/>
  <c r="D303" i="10" s="1"/>
  <c r="C304" i="10"/>
  <c r="D304" i="10" s="1"/>
  <c r="C305" i="10"/>
  <c r="D305" i="10" s="1"/>
  <c r="C306" i="10"/>
  <c r="D306" i="10" s="1"/>
  <c r="C307" i="10"/>
  <c r="D307" i="10" s="1"/>
  <c r="C308" i="10"/>
  <c r="D308" i="10" s="1"/>
  <c r="C309" i="10"/>
  <c r="D309" i="10" s="1"/>
  <c r="C310" i="10"/>
  <c r="D310" i="10" s="1"/>
  <c r="C311" i="10"/>
  <c r="D311" i="10" s="1"/>
  <c r="C312" i="10"/>
  <c r="D312" i="10" s="1"/>
  <c r="C313" i="10"/>
  <c r="D313" i="10" s="1"/>
  <c r="C314" i="10"/>
  <c r="D314" i="10" s="1"/>
  <c r="C315" i="10"/>
  <c r="D315" i="10" s="1"/>
  <c r="C316" i="10"/>
  <c r="D316" i="10" s="1"/>
  <c r="C317" i="10"/>
  <c r="D317" i="10" s="1"/>
  <c r="C318" i="10"/>
  <c r="D318" i="10" s="1"/>
  <c r="C319" i="10"/>
  <c r="D319" i="10" s="1"/>
  <c r="C320" i="10"/>
  <c r="D320" i="10" s="1"/>
  <c r="C321" i="10"/>
  <c r="D321" i="10" s="1"/>
  <c r="C322" i="10"/>
  <c r="D322" i="10" s="1"/>
  <c r="C323" i="10"/>
  <c r="D323" i="10" s="1"/>
  <c r="C324" i="10"/>
  <c r="D324" i="10" s="1"/>
  <c r="C325" i="10"/>
  <c r="D325" i="10" s="1"/>
  <c r="C326" i="10"/>
  <c r="D326" i="10" s="1"/>
  <c r="C327" i="10"/>
  <c r="D327" i="10" s="1"/>
  <c r="C328" i="10"/>
  <c r="D328" i="10" s="1"/>
  <c r="C329" i="10"/>
  <c r="D329" i="10" s="1"/>
  <c r="C330" i="10"/>
  <c r="D330" i="10" s="1"/>
  <c r="C331" i="10"/>
  <c r="D331" i="10" s="1"/>
  <c r="C332" i="10"/>
  <c r="D332" i="10" s="1"/>
  <c r="C333" i="10"/>
  <c r="D333" i="10" s="1"/>
  <c r="C334" i="10"/>
  <c r="D334" i="10" s="1"/>
  <c r="C335" i="10"/>
  <c r="D335" i="10" s="1"/>
  <c r="C336" i="10"/>
  <c r="D336" i="10" s="1"/>
  <c r="C337" i="10"/>
  <c r="D337" i="10" s="1"/>
  <c r="C338" i="10"/>
  <c r="D338" i="10" s="1"/>
  <c r="C339" i="10"/>
  <c r="D339" i="10" s="1"/>
  <c r="C340" i="10"/>
  <c r="D340" i="10" s="1"/>
  <c r="C341" i="10"/>
  <c r="D341" i="10" s="1"/>
  <c r="C342" i="10"/>
  <c r="D342" i="10" s="1"/>
  <c r="C343" i="10"/>
  <c r="D343" i="10" s="1"/>
  <c r="C344" i="10"/>
  <c r="D344" i="10" s="1"/>
  <c r="C345" i="10"/>
  <c r="D345" i="10" s="1"/>
  <c r="C346" i="10"/>
  <c r="D346" i="10" s="1"/>
  <c r="C347" i="10"/>
  <c r="D347" i="10" s="1"/>
  <c r="C348" i="10"/>
  <c r="D348" i="10" s="1"/>
  <c r="C349" i="10"/>
  <c r="D349" i="10" s="1"/>
  <c r="C350" i="10"/>
  <c r="D350" i="10" s="1"/>
  <c r="C351" i="10"/>
  <c r="D351" i="10" s="1"/>
  <c r="C352" i="10"/>
  <c r="D352" i="10" s="1"/>
  <c r="C353" i="10"/>
  <c r="D353" i="10" s="1"/>
  <c r="C354" i="10"/>
  <c r="D354" i="10" s="1"/>
  <c r="C355" i="10"/>
  <c r="D355" i="10" s="1"/>
  <c r="C356" i="10"/>
  <c r="D356" i="10" s="1"/>
  <c r="C357" i="10"/>
  <c r="D357" i="10" s="1"/>
  <c r="C358" i="10"/>
  <c r="D358" i="10" s="1"/>
  <c r="C359" i="10"/>
  <c r="D359" i="10" s="1"/>
  <c r="C360" i="10"/>
  <c r="D360" i="10" s="1"/>
  <c r="C361" i="10"/>
  <c r="D361" i="10" s="1"/>
  <c r="C362" i="10"/>
  <c r="D362" i="10" s="1"/>
  <c r="C363" i="10"/>
  <c r="D363" i="10" s="1"/>
  <c r="C364" i="10"/>
  <c r="D364" i="10" s="1"/>
  <c r="C365" i="10"/>
  <c r="D365" i="10" s="1"/>
  <c r="C366" i="10"/>
  <c r="D366" i="10" s="1"/>
  <c r="C367" i="10"/>
  <c r="D367" i="10" s="1"/>
  <c r="C368" i="10"/>
  <c r="D368" i="10" s="1"/>
  <c r="C369" i="10"/>
  <c r="D369" i="10" s="1"/>
  <c r="C370" i="10"/>
  <c r="D370" i="10" s="1"/>
  <c r="C371" i="10"/>
  <c r="D371" i="10" s="1"/>
  <c r="C372" i="10"/>
  <c r="D372" i="10" s="1"/>
  <c r="C373" i="10"/>
  <c r="D373" i="10" s="1"/>
  <c r="C374" i="10"/>
  <c r="D374" i="10" s="1"/>
  <c r="C375" i="10"/>
  <c r="D375" i="10" s="1"/>
  <c r="C376" i="10"/>
  <c r="D376" i="10" s="1"/>
  <c r="C377" i="10"/>
  <c r="D377" i="10" s="1"/>
  <c r="C378" i="10"/>
  <c r="D378" i="10" s="1"/>
  <c r="C379" i="10"/>
  <c r="D379" i="10" s="1"/>
  <c r="C380" i="10"/>
  <c r="D380" i="10" s="1"/>
  <c r="C381" i="10"/>
  <c r="D381" i="10" s="1"/>
  <c r="C382" i="10"/>
  <c r="D382" i="10" s="1"/>
  <c r="C383" i="10"/>
  <c r="D383" i="10" s="1"/>
  <c r="C384" i="10"/>
  <c r="D384" i="10" s="1"/>
  <c r="C385" i="10"/>
  <c r="D385" i="10" s="1"/>
  <c r="C386" i="10"/>
  <c r="D386" i="10" s="1"/>
  <c r="C387" i="10"/>
  <c r="D387" i="10" s="1"/>
  <c r="C388" i="10"/>
  <c r="D388" i="10" s="1"/>
  <c r="C389" i="10"/>
  <c r="D389" i="10" s="1"/>
  <c r="C390" i="10"/>
  <c r="D390" i="10" s="1"/>
  <c r="C391" i="10"/>
  <c r="D391" i="10" s="1"/>
  <c r="C392" i="10"/>
  <c r="D392" i="10" s="1"/>
  <c r="C393" i="10"/>
  <c r="D393" i="10" s="1"/>
  <c r="C394" i="10"/>
  <c r="D394" i="10" s="1"/>
  <c r="C395" i="10"/>
  <c r="D395" i="10" s="1"/>
  <c r="C396" i="10"/>
  <c r="D396" i="10" s="1"/>
  <c r="C397" i="10"/>
  <c r="D397" i="10" s="1"/>
  <c r="C398" i="10"/>
  <c r="D398" i="10" s="1"/>
  <c r="C399" i="10"/>
  <c r="D399" i="10" s="1"/>
  <c r="C400" i="10"/>
  <c r="D400" i="10" s="1"/>
  <c r="C401" i="10"/>
  <c r="D401" i="10" s="1"/>
  <c r="C402" i="10"/>
  <c r="D402" i="10" s="1"/>
  <c r="C404" i="10"/>
  <c r="D404" i="10" s="1"/>
  <c r="C405" i="10"/>
  <c r="D405" i="10" s="1"/>
  <c r="C407" i="10"/>
  <c r="D407" i="10" s="1"/>
  <c r="C408" i="10"/>
  <c r="D408" i="10" s="1"/>
  <c r="C410" i="10"/>
  <c r="D410" i="10" s="1"/>
  <c r="C411" i="10"/>
  <c r="D411" i="10" s="1"/>
  <c r="C413" i="10"/>
  <c r="D413" i="10" s="1"/>
  <c r="C414" i="10"/>
  <c r="D414" i="10" s="1"/>
  <c r="C417" i="10"/>
  <c r="D417" i="10" s="1"/>
  <c r="C418" i="10"/>
  <c r="D418" i="10" s="1"/>
  <c r="C420" i="10"/>
  <c r="D420" i="10" s="1"/>
  <c r="C421" i="10"/>
  <c r="D421" i="10" s="1"/>
  <c r="C422" i="10"/>
  <c r="D422" i="10" s="1"/>
  <c r="C423" i="10"/>
  <c r="D423" i="10" s="1"/>
  <c r="C425" i="10"/>
  <c r="D425" i="10" s="1"/>
  <c r="C427" i="10"/>
  <c r="D427" i="10" s="1"/>
  <c r="C430" i="10"/>
  <c r="D430" i="10" s="1"/>
  <c r="C433" i="10"/>
  <c r="D433" i="10" s="1"/>
  <c r="C435" i="10"/>
  <c r="D435" i="10" s="1"/>
  <c r="C437" i="10"/>
  <c r="D437" i="10" s="1"/>
  <c r="C439" i="10"/>
  <c r="D439" i="10" s="1"/>
  <c r="C441" i="10"/>
  <c r="D441" i="10" s="1"/>
  <c r="C442" i="10"/>
  <c r="D442" i="10" s="1"/>
  <c r="C445" i="10"/>
  <c r="D445" i="10" s="1"/>
  <c r="C446" i="10"/>
  <c r="D446" i="10" s="1"/>
  <c r="C454" i="10"/>
  <c r="D454" i="10" s="1"/>
  <c r="C455" i="10"/>
  <c r="D455" i="10" s="1"/>
  <c r="C456" i="10"/>
  <c r="D456" i="10" s="1"/>
  <c r="C457" i="10"/>
  <c r="D457" i="10" s="1"/>
  <c r="C458" i="10"/>
  <c r="D458" i="10" s="1"/>
  <c r="C459" i="10"/>
  <c r="D459" i="10" s="1"/>
  <c r="C460" i="10"/>
  <c r="D460" i="10" s="1"/>
  <c r="C461" i="10"/>
  <c r="D461" i="10" s="1"/>
  <c r="C462" i="10"/>
  <c r="D462" i="10" s="1"/>
  <c r="C463" i="10"/>
  <c r="D463" i="10" s="1"/>
  <c r="C464" i="10"/>
  <c r="D464" i="10" s="1"/>
  <c r="C465" i="10"/>
  <c r="D465" i="10" s="1"/>
  <c r="C466" i="10"/>
  <c r="D466" i="10" s="1"/>
  <c r="C468" i="10"/>
  <c r="D468" i="10" s="1"/>
  <c r="C470" i="10"/>
  <c r="D470" i="10" s="1"/>
  <c r="C473" i="10"/>
  <c r="D473" i="10" s="1"/>
  <c r="C475" i="10"/>
  <c r="D475" i="10" s="1"/>
  <c r="C478" i="10"/>
  <c r="D478" i="10" s="1"/>
  <c r="C480" i="10"/>
  <c r="D480" i="10" s="1"/>
  <c r="C481" i="10"/>
  <c r="D481" i="10" s="1"/>
  <c r="C483" i="10"/>
  <c r="D483" i="10" s="1"/>
  <c r="C485" i="10"/>
  <c r="D485" i="10" s="1"/>
  <c r="C487" i="10"/>
  <c r="D487" i="10" s="1"/>
  <c r="C490" i="10"/>
  <c r="D490" i="10" s="1"/>
  <c r="C492" i="10"/>
  <c r="D492" i="10" s="1"/>
  <c r="C494" i="10"/>
  <c r="D494" i="10" s="1"/>
  <c r="C496" i="10"/>
  <c r="D496" i="10" s="1"/>
  <c r="C497" i="10"/>
  <c r="D497" i="10" s="1"/>
  <c r="C499" i="10"/>
  <c r="D499" i="10" s="1"/>
  <c r="C502" i="10"/>
  <c r="D502" i="10" s="1"/>
  <c r="C504" i="10"/>
  <c r="D504" i="10" s="1"/>
  <c r="C506" i="10"/>
  <c r="D506" i="10" s="1"/>
  <c r="C508" i="10"/>
  <c r="D508" i="10" s="1"/>
  <c r="C509" i="10"/>
  <c r="D509" i="10" s="1"/>
  <c r="C511" i="10"/>
  <c r="D511" i="10" s="1"/>
  <c r="C514" i="10"/>
  <c r="D514" i="10" s="1"/>
  <c r="C518" i="10"/>
  <c r="D518" i="10" s="1"/>
  <c r="C519" i="10"/>
  <c r="D519" i="10" s="1"/>
  <c r="C521" i="10"/>
  <c r="D521" i="10" s="1"/>
  <c r="C522" i="10"/>
  <c r="D522" i="10" s="1"/>
  <c r="C524" i="10"/>
  <c r="D524" i="10" s="1"/>
  <c r="C526" i="10"/>
  <c r="D526" i="10" s="1"/>
  <c r="C529" i="10"/>
  <c r="D529" i="10" s="1"/>
  <c r="C531" i="10"/>
  <c r="D531" i="10" s="1"/>
  <c r="C532" i="10"/>
  <c r="D532" i="10" s="1"/>
  <c r="C534" i="10"/>
  <c r="D534" i="10" s="1"/>
  <c r="C535" i="10"/>
  <c r="D535" i="10" s="1"/>
  <c r="C538" i="10"/>
  <c r="D538" i="10" s="1"/>
  <c r="C539" i="10"/>
  <c r="D539" i="10" s="1"/>
  <c r="C541" i="10"/>
  <c r="D541" i="10" s="1"/>
  <c r="C543" i="10"/>
  <c r="D543" i="10" s="1"/>
  <c r="C544" i="10"/>
  <c r="D544" i="10" s="1"/>
  <c r="C546" i="10"/>
  <c r="D546" i="10" s="1"/>
  <c r="C547" i="10"/>
  <c r="D547" i="10" s="1"/>
  <c r="C549" i="10"/>
  <c r="D549" i="10" s="1"/>
  <c r="C552" i="10"/>
  <c r="D552" i="10" s="1"/>
  <c r="C553" i="10"/>
  <c r="D553" i="10" s="1"/>
  <c r="C556" i="10"/>
  <c r="D556" i="10" s="1"/>
  <c r="C558" i="10"/>
  <c r="D558" i="10" s="1"/>
  <c r="C560" i="10"/>
  <c r="D560" i="10" s="1"/>
  <c r="C562" i="10"/>
  <c r="D562" i="10" s="1"/>
  <c r="C566" i="10"/>
  <c r="D566" i="10" s="1"/>
  <c r="C568" i="10"/>
  <c r="D568" i="10" s="1"/>
  <c r="C569" i="10"/>
  <c r="D569" i="10" s="1"/>
  <c r="C570" i="10"/>
  <c r="D570" i="10" s="1"/>
  <c r="C571" i="10"/>
  <c r="D571" i="10" s="1"/>
  <c r="C572" i="10"/>
  <c r="D572" i="10" s="1"/>
  <c r="C573" i="10"/>
  <c r="D573" i="10" s="1"/>
  <c r="C574" i="10"/>
  <c r="D574" i="10" s="1"/>
  <c r="C575" i="10"/>
  <c r="D575" i="10" s="1"/>
  <c r="C576" i="10"/>
  <c r="D576" i="10" s="1"/>
  <c r="C577" i="10"/>
  <c r="D577" i="10" s="1"/>
  <c r="C578" i="10"/>
  <c r="D578" i="10" s="1"/>
  <c r="C579" i="10"/>
  <c r="D579" i="10" s="1"/>
  <c r="C580" i="10"/>
  <c r="D580" i="10" s="1"/>
  <c r="C581" i="10"/>
  <c r="D581" i="10" s="1"/>
  <c r="C582" i="10"/>
  <c r="D582" i="10" s="1"/>
  <c r="C583" i="10"/>
  <c r="D583" i="10" s="1"/>
  <c r="C584" i="10"/>
  <c r="D584" i="10" s="1"/>
  <c r="C585" i="10"/>
  <c r="D585" i="10" s="1"/>
  <c r="C586" i="10"/>
  <c r="D586" i="10" s="1"/>
  <c r="C587" i="10"/>
  <c r="D587" i="10" s="1"/>
  <c r="C588" i="10"/>
  <c r="D588" i="10" s="1"/>
  <c r="C589" i="10"/>
  <c r="D589" i="10" s="1"/>
  <c r="C590" i="10"/>
  <c r="D590" i="10" s="1"/>
  <c r="C591" i="10"/>
  <c r="D591" i="10" s="1"/>
  <c r="C592" i="10"/>
  <c r="D592" i="10" s="1"/>
  <c r="C593" i="10"/>
  <c r="D593" i="10" s="1"/>
  <c r="C594" i="10"/>
  <c r="D594" i="10" s="1"/>
  <c r="C595" i="10"/>
  <c r="D595" i="10" s="1"/>
  <c r="C596" i="10"/>
  <c r="D596" i="10" s="1"/>
  <c r="C597" i="10"/>
  <c r="D597" i="10" s="1"/>
  <c r="C598" i="10"/>
  <c r="D598" i="10" s="1"/>
  <c r="C599" i="10"/>
  <c r="D599" i="10" s="1"/>
  <c r="C600" i="10"/>
  <c r="D600" i="10" s="1"/>
  <c r="C601" i="10"/>
  <c r="D601" i="10" s="1"/>
  <c r="C602" i="10"/>
  <c r="D602" i="10" s="1"/>
  <c r="C603" i="10"/>
  <c r="D603" i="10" s="1"/>
  <c r="C604" i="10"/>
  <c r="D604" i="10" s="1"/>
  <c r="C605" i="10"/>
  <c r="D605" i="10" s="1"/>
  <c r="C606" i="10"/>
  <c r="D606" i="10" s="1"/>
  <c r="C607" i="10"/>
  <c r="D607" i="10" s="1"/>
  <c r="C608" i="10"/>
  <c r="D608" i="10" s="1"/>
  <c r="C609" i="10"/>
  <c r="D609" i="10" s="1"/>
  <c r="C610" i="10"/>
  <c r="D610" i="10" s="1"/>
  <c r="C611" i="10"/>
  <c r="D611" i="10" s="1"/>
  <c r="C612" i="10"/>
  <c r="D612" i="10" s="1"/>
  <c r="C613" i="10"/>
  <c r="D613" i="10" s="1"/>
  <c r="C614" i="10"/>
  <c r="D614" i="10" s="1"/>
  <c r="C615" i="10"/>
  <c r="D615" i="10" s="1"/>
  <c r="C616" i="10"/>
  <c r="D616" i="10" s="1"/>
  <c r="C617" i="10"/>
  <c r="D617" i="10" s="1"/>
  <c r="C618" i="10"/>
  <c r="D618" i="10" s="1"/>
  <c r="C619" i="10"/>
  <c r="D619" i="10" s="1"/>
  <c r="C620" i="10"/>
  <c r="D620" i="10" s="1"/>
  <c r="C621" i="10"/>
  <c r="D621" i="10" s="1"/>
  <c r="C622" i="10"/>
  <c r="D622" i="10" s="1"/>
  <c r="C623" i="10"/>
  <c r="D623" i="10" s="1"/>
  <c r="C624" i="10"/>
  <c r="D624" i="10" s="1"/>
  <c r="C625" i="10"/>
  <c r="D625" i="10" s="1"/>
  <c r="C626" i="10"/>
  <c r="D626" i="10" s="1"/>
  <c r="C627" i="10"/>
  <c r="D627" i="10" s="1"/>
  <c r="C628" i="10"/>
  <c r="D628" i="10" s="1"/>
  <c r="C629" i="10"/>
  <c r="D629" i="10" s="1"/>
  <c r="C630" i="10"/>
  <c r="D630" i="10" s="1"/>
  <c r="C631" i="10"/>
  <c r="D631" i="10" s="1"/>
  <c r="C632" i="10"/>
  <c r="D632" i="10" s="1"/>
  <c r="C633" i="10"/>
  <c r="D633" i="10" s="1"/>
  <c r="C634" i="10"/>
  <c r="D634" i="10" s="1"/>
  <c r="C635" i="10"/>
  <c r="D635" i="10" s="1"/>
  <c r="C636" i="10"/>
  <c r="D636" i="10" s="1"/>
  <c r="C637" i="10"/>
  <c r="D637" i="10" s="1"/>
  <c r="C638" i="10"/>
  <c r="D638" i="10" s="1"/>
  <c r="C639" i="10"/>
  <c r="D639" i="10" s="1"/>
  <c r="C640" i="10"/>
  <c r="D640" i="10" s="1"/>
  <c r="C641" i="10"/>
  <c r="D641" i="10" s="1"/>
  <c r="C642" i="10"/>
  <c r="D642" i="10" s="1"/>
  <c r="C643" i="10"/>
  <c r="D643" i="10" s="1"/>
  <c r="C644" i="10"/>
  <c r="D644" i="10" s="1"/>
  <c r="C645" i="10"/>
  <c r="D645" i="10" s="1"/>
  <c r="C646" i="10"/>
  <c r="D646" i="10" s="1"/>
  <c r="C647" i="10"/>
  <c r="D647" i="10" s="1"/>
  <c r="C648" i="10"/>
  <c r="D648" i="10" s="1"/>
  <c r="C649" i="10"/>
  <c r="D649" i="10" s="1"/>
  <c r="C650" i="10"/>
  <c r="D650" i="10" s="1"/>
  <c r="C651" i="10"/>
  <c r="D651" i="10" s="1"/>
  <c r="C652" i="10"/>
  <c r="D652" i="10" s="1"/>
  <c r="C653" i="10"/>
  <c r="D653" i="10" s="1"/>
  <c r="C654" i="10"/>
  <c r="D654" i="10" s="1"/>
  <c r="C655" i="10"/>
  <c r="D655" i="10" s="1"/>
  <c r="C656" i="10"/>
  <c r="D656" i="10" s="1"/>
  <c r="C657" i="10"/>
  <c r="D657" i="10" s="1"/>
  <c r="C658" i="10"/>
  <c r="D658" i="10" s="1"/>
  <c r="C659" i="10"/>
  <c r="D659" i="10" s="1"/>
  <c r="C660" i="10"/>
  <c r="D660" i="10" s="1"/>
  <c r="C661" i="10"/>
  <c r="D661" i="10" s="1"/>
  <c r="C662" i="10"/>
  <c r="D662" i="10" s="1"/>
  <c r="C663" i="10"/>
  <c r="D663" i="10" s="1"/>
  <c r="C664" i="10"/>
  <c r="D664" i="10" s="1"/>
  <c r="C665" i="10"/>
  <c r="D665" i="10" s="1"/>
  <c r="C666" i="10"/>
  <c r="D666" i="10" s="1"/>
  <c r="C667" i="10"/>
  <c r="D667" i="10" s="1"/>
  <c r="C668" i="10"/>
  <c r="D668" i="10" s="1"/>
  <c r="C669" i="10"/>
  <c r="D669" i="10" s="1"/>
  <c r="C670" i="10"/>
  <c r="D670" i="10" s="1"/>
  <c r="C671" i="10"/>
  <c r="D671" i="10" s="1"/>
  <c r="C672" i="10"/>
  <c r="D672" i="10" s="1"/>
  <c r="C673" i="10"/>
  <c r="D673" i="10" s="1"/>
  <c r="C674" i="10"/>
  <c r="D674" i="10" s="1"/>
  <c r="C675" i="10"/>
  <c r="D675" i="10" s="1"/>
  <c r="C676" i="10"/>
  <c r="D676" i="10" s="1"/>
  <c r="C677" i="10"/>
  <c r="D677" i="10" s="1"/>
  <c r="C678" i="10"/>
  <c r="D678" i="10" s="1"/>
  <c r="C679" i="10"/>
  <c r="D679" i="10" s="1"/>
  <c r="C680" i="10"/>
  <c r="D680" i="10" s="1"/>
  <c r="C681" i="10"/>
  <c r="D681" i="10" s="1"/>
  <c r="C682" i="10"/>
  <c r="D682" i="10" s="1"/>
  <c r="C683" i="10"/>
  <c r="D683" i="10" s="1"/>
  <c r="C684" i="10"/>
  <c r="D684" i="10" s="1"/>
  <c r="C685" i="10"/>
  <c r="D685" i="10" s="1"/>
  <c r="C686" i="10"/>
  <c r="D686" i="10" s="1"/>
  <c r="C687" i="10"/>
  <c r="D687" i="10" s="1"/>
  <c r="C688" i="10"/>
  <c r="D688" i="10" s="1"/>
  <c r="C689" i="10"/>
  <c r="D689" i="10" s="1"/>
  <c r="C690" i="10"/>
  <c r="D690" i="10" s="1"/>
  <c r="C691" i="10"/>
  <c r="D691" i="10" s="1"/>
  <c r="C692" i="10"/>
  <c r="D692" i="10" s="1"/>
  <c r="C693" i="10"/>
  <c r="D693" i="10" s="1"/>
  <c r="C694" i="10"/>
  <c r="D694" i="10" s="1"/>
  <c r="C695" i="10"/>
  <c r="D695" i="10" s="1"/>
  <c r="C696" i="10"/>
  <c r="D696" i="10" s="1"/>
  <c r="C697" i="10"/>
  <c r="D697" i="10" s="1"/>
  <c r="C698" i="10"/>
  <c r="D698" i="10" s="1"/>
  <c r="C699" i="10"/>
  <c r="D699" i="10" s="1"/>
  <c r="C700" i="10"/>
  <c r="D700" i="10" s="1"/>
  <c r="C701" i="10"/>
  <c r="D701" i="10" s="1"/>
  <c r="C702" i="10"/>
  <c r="D702" i="10" s="1"/>
  <c r="C703" i="10"/>
  <c r="D703" i="10" s="1"/>
  <c r="C704" i="10"/>
  <c r="D704" i="10" s="1"/>
  <c r="C705" i="10"/>
  <c r="D705" i="10" s="1"/>
  <c r="C706" i="10"/>
  <c r="D706" i="10" s="1"/>
  <c r="C707" i="10"/>
  <c r="D707" i="10" s="1"/>
  <c r="C708" i="10"/>
  <c r="D708" i="10" s="1"/>
  <c r="C709" i="10"/>
  <c r="D709" i="10" s="1"/>
  <c r="C710" i="10"/>
  <c r="D710" i="10" s="1"/>
  <c r="C711" i="10"/>
  <c r="D711" i="10" s="1"/>
  <c r="C712" i="10"/>
  <c r="D712" i="10" s="1"/>
  <c r="C713" i="10"/>
  <c r="D713" i="10" s="1"/>
  <c r="C714" i="10"/>
  <c r="D714" i="10" s="1"/>
  <c r="C715" i="10"/>
  <c r="D715" i="10" s="1"/>
  <c r="C716" i="10"/>
  <c r="D716" i="10" s="1"/>
  <c r="C717" i="10"/>
  <c r="D717" i="10" s="1"/>
  <c r="C718" i="10"/>
  <c r="D718" i="10" s="1"/>
  <c r="C719" i="10"/>
  <c r="D719" i="10" s="1"/>
  <c r="C720" i="10"/>
  <c r="D720" i="10" s="1"/>
  <c r="C721" i="10"/>
  <c r="D721" i="10" s="1"/>
  <c r="C722" i="10"/>
  <c r="D722" i="10" s="1"/>
  <c r="C723" i="10"/>
  <c r="D723" i="10" s="1"/>
  <c r="C724" i="10"/>
  <c r="D724" i="10" s="1"/>
  <c r="C725" i="10"/>
  <c r="D725" i="10" s="1"/>
  <c r="C726" i="10"/>
  <c r="D726" i="10" s="1"/>
  <c r="C727" i="10"/>
  <c r="D727" i="10" s="1"/>
  <c r="C728" i="10"/>
  <c r="D728" i="10" s="1"/>
  <c r="C729" i="10"/>
  <c r="D729" i="10" s="1"/>
  <c r="C730" i="10"/>
  <c r="D730" i="10" s="1"/>
  <c r="C731" i="10"/>
  <c r="D731" i="10" s="1"/>
  <c r="C732" i="10"/>
  <c r="D732" i="10" s="1"/>
  <c r="C733" i="10"/>
  <c r="D733" i="10" s="1"/>
  <c r="C734" i="10"/>
  <c r="D734" i="10" s="1"/>
  <c r="C735" i="10"/>
  <c r="D735" i="10" s="1"/>
  <c r="C736" i="10"/>
  <c r="D736" i="10" s="1"/>
  <c r="C737" i="10"/>
  <c r="D737" i="10" s="1"/>
  <c r="C738" i="10"/>
  <c r="D738" i="10" s="1"/>
  <c r="C739" i="10"/>
  <c r="D739" i="10" s="1"/>
  <c r="C740" i="10"/>
  <c r="D740" i="10" s="1"/>
  <c r="C741" i="10"/>
  <c r="D741" i="10" s="1"/>
  <c r="C742" i="10"/>
  <c r="D742" i="10" s="1"/>
  <c r="C743" i="10"/>
  <c r="D743" i="10" s="1"/>
  <c r="C744" i="10"/>
  <c r="D744" i="10" s="1"/>
  <c r="C745" i="10"/>
  <c r="D745" i="10" s="1"/>
  <c r="C746" i="10"/>
  <c r="D746" i="10" s="1"/>
  <c r="C747" i="10"/>
  <c r="D747" i="10" s="1"/>
  <c r="C748" i="10"/>
  <c r="D748" i="10" s="1"/>
  <c r="C749" i="10"/>
  <c r="D749" i="10" s="1"/>
  <c r="C750" i="10"/>
  <c r="D750" i="10" s="1"/>
  <c r="C751" i="10"/>
  <c r="D751" i="10" s="1"/>
  <c r="C752" i="10"/>
  <c r="D752" i="10" s="1"/>
  <c r="C753" i="10"/>
  <c r="D753" i="10" s="1"/>
  <c r="C754" i="10"/>
  <c r="D754" i="10" s="1"/>
  <c r="C755" i="10"/>
  <c r="D755" i="10" s="1"/>
  <c r="C756" i="10"/>
  <c r="D756" i="10" s="1"/>
  <c r="C757" i="10"/>
  <c r="D757" i="10" s="1"/>
  <c r="C758" i="10"/>
  <c r="D758" i="10" s="1"/>
  <c r="C759" i="10"/>
  <c r="D759" i="10" s="1"/>
  <c r="C760" i="10"/>
  <c r="D760" i="10" s="1"/>
  <c r="C761" i="10"/>
  <c r="D761" i="10" s="1"/>
  <c r="C762" i="10"/>
  <c r="D762" i="10" s="1"/>
  <c r="C763" i="10"/>
  <c r="D763" i="10" s="1"/>
  <c r="C764" i="10"/>
  <c r="D764" i="10" s="1"/>
  <c r="C765" i="10"/>
  <c r="D765" i="10" s="1"/>
  <c r="C766" i="10"/>
  <c r="D766" i="10" s="1"/>
  <c r="C767" i="10"/>
  <c r="D767" i="10" s="1"/>
  <c r="C768" i="10"/>
  <c r="D768" i="10" s="1"/>
  <c r="C769" i="10"/>
  <c r="D769" i="10" s="1"/>
  <c r="C770" i="10"/>
  <c r="D770" i="10" s="1"/>
  <c r="C771" i="10"/>
  <c r="D771" i="10" s="1"/>
  <c r="C772" i="10"/>
  <c r="D772" i="10" s="1"/>
  <c r="C773" i="10"/>
  <c r="D773" i="10" s="1"/>
  <c r="C774" i="10"/>
  <c r="D774" i="10" s="1"/>
  <c r="C775" i="10"/>
  <c r="D775" i="10" s="1"/>
  <c r="C776" i="10"/>
  <c r="D776" i="10" s="1"/>
  <c r="C777" i="10"/>
  <c r="D777" i="10" s="1"/>
  <c r="C778" i="10"/>
  <c r="D778" i="10" s="1"/>
  <c r="C779" i="10"/>
  <c r="D779" i="10" s="1"/>
  <c r="C780" i="10"/>
  <c r="D780" i="10" s="1"/>
  <c r="C781" i="10"/>
  <c r="D781" i="10" s="1"/>
  <c r="C782" i="10"/>
  <c r="D782" i="10" s="1"/>
  <c r="C783" i="10"/>
  <c r="D783" i="10" s="1"/>
  <c r="C784" i="10"/>
  <c r="D784" i="10" s="1"/>
  <c r="C785" i="10"/>
  <c r="D785" i="10" s="1"/>
  <c r="C786" i="10"/>
  <c r="D786" i="10" s="1"/>
  <c r="C787" i="10"/>
  <c r="D787" i="10" s="1"/>
  <c r="C788" i="10"/>
  <c r="D788" i="10" s="1"/>
  <c r="C789" i="10"/>
  <c r="D789" i="10" s="1"/>
  <c r="C790" i="10"/>
  <c r="D790" i="10" s="1"/>
  <c r="C791" i="10"/>
  <c r="D791" i="10" s="1"/>
  <c r="C792" i="10"/>
  <c r="D792" i="10" s="1"/>
  <c r="C793" i="10"/>
  <c r="D793" i="10" s="1"/>
  <c r="C794" i="10"/>
  <c r="D794" i="10" s="1"/>
  <c r="C795" i="10"/>
  <c r="D795" i="10" s="1"/>
  <c r="C796" i="10"/>
  <c r="D796" i="10" s="1"/>
  <c r="C797" i="10"/>
  <c r="D797" i="10" s="1"/>
  <c r="C798" i="10"/>
  <c r="D798" i="10" s="1"/>
  <c r="C799" i="10"/>
  <c r="D799" i="10" s="1"/>
  <c r="C800" i="10"/>
  <c r="D800" i="10" s="1"/>
  <c r="C801" i="10"/>
  <c r="D801" i="10" s="1"/>
  <c r="C802" i="10"/>
  <c r="D802" i="10" s="1"/>
  <c r="C803" i="10"/>
  <c r="D803" i="10" s="1"/>
  <c r="C804" i="10"/>
  <c r="D804" i="10" s="1"/>
  <c r="C805" i="10"/>
  <c r="D805" i="10" s="1"/>
  <c r="C806" i="10"/>
  <c r="D806" i="10" s="1"/>
  <c r="C807" i="10"/>
  <c r="D807" i="10" s="1"/>
  <c r="C808" i="10"/>
  <c r="D808" i="10" s="1"/>
  <c r="C809" i="10"/>
  <c r="D809" i="10" s="1"/>
  <c r="C810" i="10"/>
  <c r="D810" i="10" s="1"/>
  <c r="C811" i="10"/>
  <c r="D811" i="10" s="1"/>
  <c r="C812" i="10"/>
  <c r="D812" i="10" s="1"/>
  <c r="C813" i="10"/>
  <c r="D813" i="10" s="1"/>
  <c r="C814" i="10"/>
  <c r="D814" i="10" s="1"/>
  <c r="C815" i="10"/>
  <c r="D815" i="10" s="1"/>
  <c r="C816" i="10"/>
  <c r="D816" i="10" s="1"/>
  <c r="C817" i="10"/>
  <c r="D817" i="10" s="1"/>
  <c r="C818" i="10"/>
  <c r="D818" i="10" s="1"/>
  <c r="C819" i="10"/>
  <c r="D819" i="10" s="1"/>
  <c r="C820" i="10"/>
  <c r="D820" i="10" s="1"/>
  <c r="C821" i="10"/>
  <c r="D821" i="10" s="1"/>
  <c r="C822" i="10"/>
  <c r="D822" i="10" s="1"/>
  <c r="C823" i="10"/>
  <c r="D823" i="10" s="1"/>
  <c r="C824" i="10"/>
  <c r="D824" i="10" s="1"/>
  <c r="C825" i="10"/>
  <c r="D825" i="10" s="1"/>
  <c r="C826" i="10"/>
  <c r="D826" i="10" s="1"/>
  <c r="C827" i="10"/>
  <c r="D827" i="10" s="1"/>
  <c r="C828" i="10"/>
  <c r="D828" i="10" s="1"/>
  <c r="C829" i="10"/>
  <c r="D829" i="10" s="1"/>
  <c r="C830" i="10"/>
  <c r="D830" i="10" s="1"/>
  <c r="C831" i="10"/>
  <c r="D831" i="10" s="1"/>
  <c r="C832" i="10"/>
  <c r="D832" i="10" s="1"/>
  <c r="C833" i="10"/>
  <c r="D833" i="10" s="1"/>
  <c r="C834" i="10"/>
  <c r="D834" i="10" s="1"/>
  <c r="C835" i="10"/>
  <c r="D835" i="10" s="1"/>
  <c r="C836" i="10"/>
  <c r="D836" i="10" s="1"/>
  <c r="C837" i="10"/>
  <c r="D837" i="10" s="1"/>
  <c r="C838" i="10"/>
  <c r="D838" i="10" s="1"/>
  <c r="C839" i="10"/>
  <c r="D839" i="10" s="1"/>
  <c r="C840" i="10"/>
  <c r="D840" i="10" s="1"/>
  <c r="C841" i="10"/>
  <c r="D841" i="10" s="1"/>
  <c r="C842" i="10"/>
  <c r="D842" i="10" s="1"/>
  <c r="C843" i="10"/>
  <c r="D843" i="10" s="1"/>
  <c r="C844" i="10"/>
  <c r="D844" i="10" s="1"/>
  <c r="C845" i="10"/>
  <c r="D845" i="10" s="1"/>
  <c r="C846" i="10"/>
  <c r="D846" i="10" s="1"/>
  <c r="C847" i="10"/>
  <c r="D847" i="10" s="1"/>
  <c r="C848" i="10"/>
  <c r="D848" i="10" s="1"/>
  <c r="C849" i="10"/>
  <c r="D849" i="10" s="1"/>
  <c r="C850" i="10"/>
  <c r="D850" i="10" s="1"/>
  <c r="C851" i="10"/>
  <c r="D851" i="10" s="1"/>
  <c r="C852" i="10"/>
  <c r="D852" i="10" s="1"/>
  <c r="C853" i="10"/>
  <c r="D853" i="10" s="1"/>
  <c r="C854" i="10"/>
  <c r="D854" i="10" s="1"/>
  <c r="C855" i="10"/>
  <c r="D855" i="10" s="1"/>
  <c r="C856" i="10"/>
  <c r="D856" i="10" s="1"/>
  <c r="C857" i="10"/>
  <c r="D857" i="10" s="1"/>
  <c r="C858" i="10"/>
  <c r="D858" i="10" s="1"/>
  <c r="C859" i="10"/>
  <c r="D859" i="10" s="1"/>
  <c r="C860" i="10"/>
  <c r="D860" i="10" s="1"/>
  <c r="C861" i="10"/>
  <c r="D861" i="10" s="1"/>
  <c r="C862" i="10"/>
  <c r="D862" i="10" s="1"/>
  <c r="C863" i="10"/>
  <c r="D863" i="10" s="1"/>
  <c r="C864" i="10"/>
  <c r="D864" i="10" s="1"/>
  <c r="C865" i="10"/>
  <c r="D865" i="10" s="1"/>
  <c r="C866" i="10"/>
  <c r="D866" i="10" s="1"/>
  <c r="C867" i="10"/>
  <c r="D867" i="10" s="1"/>
  <c r="C868" i="10"/>
  <c r="D868" i="10" s="1"/>
  <c r="C869" i="10"/>
  <c r="D869" i="10" s="1"/>
  <c r="C870" i="10"/>
  <c r="D870" i="10" s="1"/>
  <c r="C871" i="10"/>
  <c r="D871" i="10" s="1"/>
  <c r="C872" i="10"/>
  <c r="D872" i="10" s="1"/>
  <c r="C873" i="10"/>
  <c r="D873" i="10" s="1"/>
  <c r="C874" i="10"/>
  <c r="D874" i="10" s="1"/>
  <c r="C875" i="10"/>
  <c r="D875" i="10" s="1"/>
  <c r="C876" i="10"/>
  <c r="D876" i="10" s="1"/>
  <c r="C877" i="10"/>
  <c r="D877" i="10" s="1"/>
  <c r="C878" i="10"/>
  <c r="D878" i="10" s="1"/>
  <c r="C879" i="10"/>
  <c r="D879" i="10" s="1"/>
  <c r="C880" i="10"/>
  <c r="D880" i="10" s="1"/>
  <c r="C881" i="10"/>
  <c r="D881" i="10" s="1"/>
  <c r="C882" i="10"/>
  <c r="D882" i="10" s="1"/>
  <c r="C883" i="10"/>
  <c r="D883" i="10" s="1"/>
  <c r="C884" i="10"/>
  <c r="D884" i="10" s="1"/>
  <c r="C885" i="10"/>
  <c r="D885" i="10" s="1"/>
  <c r="C886" i="10"/>
  <c r="D886" i="10" s="1"/>
  <c r="C887" i="10"/>
  <c r="D887" i="10" s="1"/>
  <c r="C888" i="10"/>
  <c r="D888" i="10" s="1"/>
  <c r="C889" i="10"/>
  <c r="D889" i="10" s="1"/>
  <c r="C890" i="10"/>
  <c r="D890" i="10" s="1"/>
  <c r="C891" i="10"/>
  <c r="D891" i="10" s="1"/>
  <c r="C892" i="10"/>
  <c r="D892" i="10" s="1"/>
  <c r="C893" i="10"/>
  <c r="D893" i="10" s="1"/>
  <c r="C894" i="10"/>
  <c r="D894" i="10" s="1"/>
  <c r="C895" i="10"/>
  <c r="D895" i="10" s="1"/>
  <c r="C896" i="10"/>
  <c r="D896" i="10" s="1"/>
  <c r="C897" i="10"/>
  <c r="D897" i="10" s="1"/>
  <c r="C898" i="10"/>
  <c r="D898" i="10" s="1"/>
  <c r="C899" i="10"/>
  <c r="D899" i="10" s="1"/>
  <c r="C900" i="10"/>
  <c r="D900" i="10" s="1"/>
  <c r="C901" i="10"/>
  <c r="D901" i="10" s="1"/>
  <c r="C902" i="10"/>
  <c r="D902" i="10" s="1"/>
  <c r="C903" i="10"/>
  <c r="D903" i="10" s="1"/>
  <c r="C904" i="10"/>
  <c r="D904" i="10" s="1"/>
  <c r="C905" i="10"/>
  <c r="D905" i="10" s="1"/>
  <c r="C906" i="10"/>
  <c r="D906" i="10" s="1"/>
  <c r="C907" i="10"/>
  <c r="D907" i="10" s="1"/>
  <c r="C908" i="10"/>
  <c r="D908" i="10" s="1"/>
  <c r="C909" i="10"/>
  <c r="D909" i="10" s="1"/>
  <c r="C910" i="10"/>
  <c r="D910" i="10" s="1"/>
  <c r="C911" i="10"/>
  <c r="D911" i="10" s="1"/>
  <c r="C912" i="10"/>
  <c r="D912" i="10" s="1"/>
  <c r="C913" i="10"/>
  <c r="D913" i="10" s="1"/>
  <c r="C914" i="10"/>
  <c r="D914" i="10" s="1"/>
  <c r="C915" i="10"/>
  <c r="D915" i="10" s="1"/>
  <c r="C916" i="10"/>
  <c r="D916" i="10" s="1"/>
  <c r="C917" i="10"/>
  <c r="D917" i="10" s="1"/>
  <c r="C918" i="10"/>
  <c r="D918" i="10" s="1"/>
  <c r="C919" i="10"/>
  <c r="D919" i="10" s="1"/>
  <c r="C920" i="10"/>
  <c r="D920" i="10" s="1"/>
  <c r="C921" i="10"/>
  <c r="D921" i="10" s="1"/>
  <c r="C922" i="10"/>
  <c r="D922" i="10" s="1"/>
  <c r="C923" i="10"/>
  <c r="D923" i="10" s="1"/>
  <c r="C924" i="10"/>
  <c r="D924" i="10" s="1"/>
  <c r="C925" i="10"/>
  <c r="D925" i="10" s="1"/>
  <c r="C926" i="10"/>
  <c r="D926" i="10" s="1"/>
  <c r="C927" i="10"/>
  <c r="D927" i="10" s="1"/>
  <c r="C928" i="10"/>
  <c r="D928" i="10" s="1"/>
  <c r="C929" i="10"/>
  <c r="D929" i="10" s="1"/>
  <c r="C930" i="10"/>
  <c r="D930" i="10" s="1"/>
  <c r="C931" i="10"/>
  <c r="D931" i="10" s="1"/>
  <c r="C932" i="10"/>
  <c r="D932" i="10" s="1"/>
  <c r="C933" i="10"/>
  <c r="D933" i="10" s="1"/>
  <c r="O99" i="5" l="1"/>
  <c r="O93" i="32"/>
  <c r="M7" i="5"/>
  <c r="M7" i="32" s="1"/>
  <c r="L14" i="5"/>
  <c r="C56" i="5"/>
  <c r="C56" i="32" s="1"/>
  <c r="O56" i="32" s="1"/>
  <c r="L18" i="5"/>
  <c r="L60" i="5"/>
  <c r="L60" i="32" s="1"/>
  <c r="E33" i="5"/>
  <c r="E33" i="32" s="1"/>
  <c r="N29" i="5"/>
  <c r="N29" i="32" s="1"/>
  <c r="K39" i="5"/>
  <c r="K39" i="32" s="1"/>
  <c r="M55" i="5"/>
  <c r="M55" i="32" s="1"/>
  <c r="H38" i="5"/>
  <c r="H38" i="32" s="1"/>
  <c r="H16" i="5"/>
  <c r="H16" i="32" s="1"/>
  <c r="G59" i="5"/>
  <c r="G59" i="32" s="1"/>
  <c r="O29" i="5"/>
  <c r="O24" i="5"/>
  <c r="I38" i="5"/>
  <c r="I38" i="32" s="1"/>
  <c r="G35" i="5"/>
  <c r="G35" i="32" s="1"/>
  <c r="K27" i="5"/>
  <c r="K27" i="32" s="1"/>
  <c r="E30" i="5"/>
  <c r="E30" i="32" s="1"/>
  <c r="F42" i="5"/>
  <c r="F42" i="32" s="1"/>
  <c r="O10" i="5"/>
  <c r="O79" i="5" s="1"/>
  <c r="I56" i="5"/>
  <c r="I56" i="32" s="1"/>
  <c r="F32" i="5"/>
  <c r="F32" i="32" s="1"/>
  <c r="L53" i="5"/>
  <c r="L53" i="32" s="1"/>
  <c r="O7" i="5"/>
  <c r="C25" i="5"/>
  <c r="C25" i="32" s="1"/>
  <c r="O25" i="32" s="1"/>
  <c r="M51" i="5"/>
  <c r="M51" i="32" s="1"/>
  <c r="I51" i="5"/>
  <c r="I51" i="32" s="1"/>
  <c r="O20" i="5"/>
  <c r="C35" i="5"/>
  <c r="C35" i="32" s="1"/>
  <c r="O35" i="32" s="1"/>
  <c r="C60" i="5"/>
  <c r="C60" i="32" s="1"/>
  <c r="O60" i="32" s="1"/>
  <c r="O51" i="5"/>
  <c r="C33" i="5"/>
  <c r="C33" i="32" s="1"/>
  <c r="O33" i="32" s="1"/>
  <c r="O46" i="5"/>
  <c r="M50" i="5"/>
  <c r="M50" i="32" s="1"/>
  <c r="H23" i="5"/>
  <c r="H23" i="32" s="1"/>
  <c r="I10" i="5"/>
  <c r="I10" i="32" s="1"/>
  <c r="G65" i="5"/>
  <c r="G65" i="32" s="1"/>
  <c r="N53" i="5"/>
  <c r="N53" i="32" s="1"/>
  <c r="N20" i="5"/>
  <c r="N20" i="32" s="1"/>
  <c r="I42" i="5"/>
  <c r="I42" i="32" s="1"/>
  <c r="N34" i="5"/>
  <c r="N34" i="32" s="1"/>
  <c r="I53" i="5"/>
  <c r="I53" i="32" s="1"/>
  <c r="D17" i="5"/>
  <c r="D17" i="32" s="1"/>
  <c r="F33" i="5"/>
  <c r="F33" i="32" s="1"/>
  <c r="M21" i="5"/>
  <c r="M21" i="32" s="1"/>
  <c r="G31" i="5"/>
  <c r="G31" i="32" s="1"/>
  <c r="E35" i="5"/>
  <c r="E35" i="32" s="1"/>
  <c r="M59" i="5"/>
  <c r="M59" i="32" s="1"/>
  <c r="G42" i="5"/>
  <c r="G42" i="32" s="1"/>
  <c r="N30" i="5"/>
  <c r="N30" i="32" s="1"/>
  <c r="N50" i="5"/>
  <c r="N50" i="32" s="1"/>
  <c r="E41" i="5"/>
  <c r="E41" i="32" s="1"/>
  <c r="G22" i="5"/>
  <c r="G22" i="32" s="1"/>
  <c r="O30" i="5"/>
  <c r="K37" i="5"/>
  <c r="K37" i="32" s="1"/>
  <c r="O57" i="5"/>
  <c r="G40" i="5"/>
  <c r="G40" i="32" s="1"/>
  <c r="M28" i="5"/>
  <c r="M28" i="32" s="1"/>
  <c r="N54" i="5"/>
  <c r="N54" i="32" s="1"/>
  <c r="N37" i="5"/>
  <c r="N37" i="32" s="1"/>
  <c r="M37" i="5"/>
  <c r="M37" i="32" s="1"/>
  <c r="I57" i="5"/>
  <c r="I57" i="32" s="1"/>
  <c r="E40" i="5"/>
  <c r="E40" i="32" s="1"/>
  <c r="D26" i="5"/>
  <c r="D26" i="32" s="1"/>
  <c r="F57" i="5"/>
  <c r="F57" i="32" s="1"/>
  <c r="O35" i="5"/>
  <c r="O97" i="32"/>
  <c r="O98" i="32"/>
  <c r="O92" i="32"/>
  <c r="O94" i="32" s="1"/>
  <c r="I45" i="5"/>
  <c r="I45" i="32" s="1"/>
  <c r="C38" i="5"/>
  <c r="C38" i="32" s="1"/>
  <c r="O38" i="32" s="1"/>
  <c r="J53" i="5"/>
  <c r="J53" i="32" s="1"/>
  <c r="L32" i="5"/>
  <c r="L32" i="32" s="1"/>
  <c r="G28" i="5"/>
  <c r="G28" i="32" s="1"/>
  <c r="M25" i="5"/>
  <c r="M25" i="32" s="1"/>
  <c r="I18" i="5"/>
  <c r="I18" i="32" s="1"/>
  <c r="D16" i="5"/>
  <c r="D16" i="32" s="1"/>
  <c r="J10" i="5"/>
  <c r="J10" i="32" s="1"/>
  <c r="I7" i="5"/>
  <c r="I7" i="32" s="1"/>
  <c r="F47" i="5"/>
  <c r="F47" i="32" s="1"/>
  <c r="K51" i="5"/>
  <c r="K51" i="32" s="1"/>
  <c r="D55" i="5"/>
  <c r="D55" i="32" s="1"/>
  <c r="N57" i="5"/>
  <c r="N57" i="32" s="1"/>
  <c r="H65" i="5"/>
  <c r="H65" i="32" s="1"/>
  <c r="D59" i="5"/>
  <c r="D59" i="32" s="1"/>
  <c r="E56" i="5"/>
  <c r="E56" i="32" s="1"/>
  <c r="G53" i="5"/>
  <c r="G53" i="32" s="1"/>
  <c r="G50" i="5"/>
  <c r="G50" i="32" s="1"/>
  <c r="M40" i="5"/>
  <c r="M40" i="32" s="1"/>
  <c r="L37" i="5"/>
  <c r="L37" i="32" s="1"/>
  <c r="J35" i="5"/>
  <c r="J35" i="32" s="1"/>
  <c r="O32" i="5"/>
  <c r="J29" i="5"/>
  <c r="J29" i="32" s="1"/>
  <c r="D27" i="5"/>
  <c r="D27" i="32" s="1"/>
  <c r="M24" i="5"/>
  <c r="M24" i="32" s="1"/>
  <c r="F23" i="5"/>
  <c r="F23" i="32" s="1"/>
  <c r="F22" i="5"/>
  <c r="F22" i="32" s="1"/>
  <c r="F14" i="5"/>
  <c r="F14" i="32" s="1"/>
  <c r="F13" i="32" s="1"/>
  <c r="J7" i="5"/>
  <c r="J7" i="32" s="1"/>
  <c r="E28" i="5"/>
  <c r="E28" i="32" s="1"/>
  <c r="K24" i="5"/>
  <c r="K24" i="32" s="1"/>
  <c r="L20" i="5"/>
  <c r="L20" i="32" s="1"/>
  <c r="I16" i="5"/>
  <c r="I16" i="32" s="1"/>
  <c r="M9" i="5"/>
  <c r="M9" i="32" s="1"/>
  <c r="F31" i="5"/>
  <c r="F31" i="32" s="1"/>
  <c r="C49" i="5"/>
  <c r="C49" i="32" s="1"/>
  <c r="O49" i="32" s="1"/>
  <c r="L50" i="5"/>
  <c r="L50" i="32" s="1"/>
  <c r="I21" i="5"/>
  <c r="I21" i="32" s="1"/>
  <c r="M20" i="5"/>
  <c r="M20" i="32" s="1"/>
  <c r="M48" i="5"/>
  <c r="M48" i="32" s="1"/>
  <c r="H46" i="5"/>
  <c r="H46" i="32" s="1"/>
  <c r="J20" i="5"/>
  <c r="J20" i="32" s="1"/>
  <c r="N46" i="5"/>
  <c r="N46" i="32" s="1"/>
  <c r="O39" i="5"/>
  <c r="M39" i="5"/>
  <c r="M39" i="32" s="1"/>
  <c r="M34" i="5"/>
  <c r="M34" i="32" s="1"/>
  <c r="J30" i="5"/>
  <c r="J30" i="32" s="1"/>
  <c r="M32" i="5"/>
  <c r="M32" i="32" s="1"/>
  <c r="D36" i="5"/>
  <c r="D36" i="32" s="1"/>
  <c r="J38" i="5"/>
  <c r="J38" i="32" s="1"/>
  <c r="H40" i="5"/>
  <c r="H40" i="32" s="1"/>
  <c r="H43" i="5"/>
  <c r="H43" i="32" s="1"/>
  <c r="E59" i="5"/>
  <c r="E59" i="32" s="1"/>
  <c r="E57" i="5"/>
  <c r="E57" i="32" s="1"/>
  <c r="F55" i="5"/>
  <c r="F55" i="32" s="1"/>
  <c r="E53" i="5"/>
  <c r="E53" i="32" s="1"/>
  <c r="O41" i="5"/>
  <c r="L39" i="5"/>
  <c r="L39" i="32" s="1"/>
  <c r="J36" i="5"/>
  <c r="J36" i="32" s="1"/>
  <c r="K34" i="5"/>
  <c r="K34" i="32" s="1"/>
  <c r="K32" i="5"/>
  <c r="K32" i="32" s="1"/>
  <c r="H30" i="5"/>
  <c r="H30" i="32" s="1"/>
  <c r="C28" i="5"/>
  <c r="C28" i="32" s="1"/>
  <c r="O28" i="32" s="1"/>
  <c r="J25" i="5"/>
  <c r="J25" i="32" s="1"/>
  <c r="D18" i="5"/>
  <c r="D18" i="32" s="1"/>
  <c r="K15" i="5"/>
  <c r="K15" i="32" s="1"/>
  <c r="G10" i="5"/>
  <c r="G10" i="32" s="1"/>
  <c r="M6" i="5"/>
  <c r="M6" i="32" s="1"/>
  <c r="J47" i="5"/>
  <c r="J47" i="32" s="1"/>
  <c r="F52" i="5"/>
  <c r="F52" i="32" s="1"/>
  <c r="K55" i="5"/>
  <c r="K55" i="32" s="1"/>
  <c r="E58" i="5"/>
  <c r="E58" i="32" s="1"/>
  <c r="K28" i="5"/>
  <c r="K28" i="32" s="1"/>
  <c r="N58" i="5"/>
  <c r="N58" i="32" s="1"/>
  <c r="J55" i="5"/>
  <c r="J55" i="32" s="1"/>
  <c r="L52" i="5"/>
  <c r="L52" i="32" s="1"/>
  <c r="C50" i="5"/>
  <c r="C50" i="32" s="1"/>
  <c r="O50" i="32" s="1"/>
  <c r="F40" i="5"/>
  <c r="F40" i="32" s="1"/>
  <c r="J37" i="5"/>
  <c r="J37" i="32" s="1"/>
  <c r="F35" i="5"/>
  <c r="F35" i="32" s="1"/>
  <c r="H32" i="5"/>
  <c r="H32" i="32" s="1"/>
  <c r="H29" i="5"/>
  <c r="H29" i="32" s="1"/>
  <c r="L26" i="5"/>
  <c r="L26" i="32" s="1"/>
  <c r="L24" i="5"/>
  <c r="L24" i="32" s="1"/>
  <c r="C23" i="5"/>
  <c r="C23" i="32" s="1"/>
  <c r="O23" i="32" s="1"/>
  <c r="C17" i="5"/>
  <c r="C17" i="32" s="1"/>
  <c r="O17" i="32" s="1"/>
  <c r="C14" i="5"/>
  <c r="C14" i="32" s="1"/>
  <c r="E7" i="5"/>
  <c r="E7" i="32" s="1"/>
  <c r="N27" i="5"/>
  <c r="N27" i="32" s="1"/>
  <c r="F24" i="5"/>
  <c r="F24" i="32" s="1"/>
  <c r="F20" i="5"/>
  <c r="F20" i="32" s="1"/>
  <c r="F16" i="5"/>
  <c r="F16" i="32" s="1"/>
  <c r="D9" i="5"/>
  <c r="D9" i="32" s="1"/>
  <c r="J31" i="5"/>
  <c r="J31" i="32" s="1"/>
  <c r="K49" i="5"/>
  <c r="K49" i="32" s="1"/>
  <c r="I46" i="5"/>
  <c r="I46" i="32" s="1"/>
  <c r="K59" i="5"/>
  <c r="K59" i="32" s="1"/>
  <c r="E42" i="5"/>
  <c r="E42" i="32" s="1"/>
  <c r="C41" i="5"/>
  <c r="C41" i="32" s="1"/>
  <c r="O41" i="32" s="1"/>
  <c r="J41" i="5"/>
  <c r="J41" i="32" s="1"/>
  <c r="I36" i="5"/>
  <c r="I36" i="32" s="1"/>
  <c r="G32" i="5"/>
  <c r="G32" i="32" s="1"/>
  <c r="I27" i="5"/>
  <c r="I27" i="32" s="1"/>
  <c r="M17" i="5"/>
  <c r="M17" i="32" s="1"/>
  <c r="F10" i="5"/>
  <c r="F10" i="32" s="1"/>
  <c r="G48" i="5"/>
  <c r="G48" i="32" s="1"/>
  <c r="I52" i="5"/>
  <c r="I52" i="32" s="1"/>
  <c r="F56" i="5"/>
  <c r="F56" i="32" s="1"/>
  <c r="I58" i="5"/>
  <c r="I58" i="32" s="1"/>
  <c r="F29" i="5"/>
  <c r="F29" i="32" s="1"/>
  <c r="H58" i="5"/>
  <c r="H58" i="32" s="1"/>
  <c r="I55" i="5"/>
  <c r="I55" i="32" s="1"/>
  <c r="H52" i="5"/>
  <c r="H52" i="32" s="1"/>
  <c r="N49" i="5"/>
  <c r="N49" i="32" s="1"/>
  <c r="N39" i="5"/>
  <c r="N39" i="32" s="1"/>
  <c r="G37" i="5"/>
  <c r="G37" i="32" s="1"/>
  <c r="O34" i="5"/>
  <c r="N31" i="5"/>
  <c r="N31" i="32" s="1"/>
  <c r="D29" i="5"/>
  <c r="D29" i="32" s="1"/>
  <c r="G26" i="5"/>
  <c r="G26" i="32" s="1"/>
  <c r="H24" i="5"/>
  <c r="H24" i="32" s="1"/>
  <c r="O22" i="5"/>
  <c r="K16" i="5"/>
  <c r="K16" i="32" s="1"/>
  <c r="N10" i="5"/>
  <c r="N10" i="32" s="1"/>
  <c r="N6" i="5"/>
  <c r="N6" i="32" s="1"/>
  <c r="G27" i="5"/>
  <c r="G27" i="32" s="1"/>
  <c r="D24" i="5"/>
  <c r="D24" i="32" s="1"/>
  <c r="L19" i="5"/>
  <c r="L19" i="32" s="1"/>
  <c r="C16" i="5"/>
  <c r="C16" i="32" s="1"/>
  <c r="O16" i="32" s="1"/>
  <c r="H7" i="5"/>
  <c r="H7" i="32" s="1"/>
  <c r="C22" i="5"/>
  <c r="C22" i="32" s="1"/>
  <c r="O22" i="32" s="1"/>
  <c r="G51" i="5"/>
  <c r="G51" i="32" s="1"/>
  <c r="C51" i="5"/>
  <c r="C51" i="32" s="1"/>
  <c r="O51" i="32" s="1"/>
  <c r="K21" i="5"/>
  <c r="K21" i="32" s="1"/>
  <c r="F50" i="5"/>
  <c r="F50" i="32" s="1"/>
  <c r="E19" i="5"/>
  <c r="E19" i="32" s="1"/>
  <c r="L47" i="5"/>
  <c r="L47" i="32" s="1"/>
  <c r="N17" i="5"/>
  <c r="N17" i="32" s="1"/>
  <c r="K43" i="5"/>
  <c r="K43" i="32" s="1"/>
  <c r="C43" i="5"/>
  <c r="C43" i="32" s="1"/>
  <c r="O43" i="32" s="1"/>
  <c r="I30" i="5"/>
  <c r="I30" i="32" s="1"/>
  <c r="L7" i="5"/>
  <c r="L7" i="32" s="1"/>
  <c r="H14" i="5"/>
  <c r="H14" i="32" s="1"/>
  <c r="H13" i="32" s="1"/>
  <c r="N16" i="5"/>
  <c r="N16" i="32" s="1"/>
  <c r="F19" i="5"/>
  <c r="F19" i="32" s="1"/>
  <c r="F21" i="5"/>
  <c r="F21" i="32" s="1"/>
  <c r="I24" i="5"/>
  <c r="I24" i="32" s="1"/>
  <c r="F26" i="5"/>
  <c r="F26" i="32" s="1"/>
  <c r="C6" i="5"/>
  <c r="C6" i="32" s="1"/>
  <c r="C7" i="5"/>
  <c r="C7" i="32" s="1"/>
  <c r="O7" i="32" s="1"/>
  <c r="K9" i="5"/>
  <c r="K9" i="32" s="1"/>
  <c r="J14" i="5"/>
  <c r="J14" i="32" s="1"/>
  <c r="J13" i="32" s="1"/>
  <c r="G16" i="5"/>
  <c r="G16" i="32" s="1"/>
  <c r="I22" i="5"/>
  <c r="I22" i="32" s="1"/>
  <c r="D23" i="5"/>
  <c r="D23" i="32" s="1"/>
  <c r="C24" i="5"/>
  <c r="C24" i="32" s="1"/>
  <c r="O24" i="32" s="1"/>
  <c r="D25" i="5"/>
  <c r="D25" i="32" s="1"/>
  <c r="I26" i="5"/>
  <c r="I26" i="32" s="1"/>
  <c r="F28" i="5"/>
  <c r="F28" i="32" s="1"/>
  <c r="L29" i="5"/>
  <c r="L29" i="32" s="1"/>
  <c r="K31" i="5"/>
  <c r="K31" i="32" s="1"/>
  <c r="I33" i="5"/>
  <c r="I33" i="32" s="1"/>
  <c r="H35" i="5"/>
  <c r="H35" i="32" s="1"/>
  <c r="O36" i="5"/>
  <c r="D38" i="5"/>
  <c r="D38" i="32" s="1"/>
  <c r="C40" i="5"/>
  <c r="C40" i="32" s="1"/>
  <c r="O40" i="32" s="1"/>
  <c r="L41" i="5"/>
  <c r="L41" i="32" s="1"/>
  <c r="I50" i="5"/>
  <c r="I50" i="32" s="1"/>
  <c r="D52" i="5"/>
  <c r="D52" i="32" s="1"/>
  <c r="O53" i="5"/>
  <c r="O55" i="5"/>
  <c r="L57" i="5"/>
  <c r="L57" i="32" s="1"/>
  <c r="H59" i="5"/>
  <c r="H59" i="32" s="1"/>
  <c r="C29" i="5"/>
  <c r="C29" i="32" s="1"/>
  <c r="O29" i="32" s="1"/>
  <c r="N59" i="5"/>
  <c r="N59" i="32" s="1"/>
  <c r="J57" i="5"/>
  <c r="J57" i="32" s="1"/>
  <c r="K56" i="5"/>
  <c r="K56" i="32" s="1"/>
  <c r="F54" i="5"/>
  <c r="F54" i="32" s="1"/>
  <c r="C52" i="5"/>
  <c r="C52" i="32" s="1"/>
  <c r="O52" i="32" s="1"/>
  <c r="D49" i="5"/>
  <c r="D49" i="32" s="1"/>
  <c r="J46" i="5"/>
  <c r="J46" i="32" s="1"/>
  <c r="D44" i="5"/>
  <c r="D44" i="32" s="1"/>
  <c r="H9" i="5"/>
  <c r="H9" i="32" s="1"/>
  <c r="K10" i="5"/>
  <c r="K10" i="32" s="1"/>
  <c r="D15" i="5"/>
  <c r="D15" i="32" s="1"/>
  <c r="M16" i="5"/>
  <c r="M16" i="32" s="1"/>
  <c r="E18" i="5"/>
  <c r="E18" i="32" s="1"/>
  <c r="K19" i="5"/>
  <c r="K19" i="32" s="1"/>
  <c r="E26" i="5"/>
  <c r="E26" i="32" s="1"/>
  <c r="L27" i="5"/>
  <c r="L27" i="32" s="1"/>
  <c r="G29" i="5"/>
  <c r="G29" i="32" s="1"/>
  <c r="L30" i="5"/>
  <c r="L30" i="32" s="1"/>
  <c r="E32" i="5"/>
  <c r="E32" i="32" s="1"/>
  <c r="L33" i="5"/>
  <c r="L33" i="32" s="1"/>
  <c r="D35" i="5"/>
  <c r="D35" i="32" s="1"/>
  <c r="O37" i="5"/>
  <c r="H39" i="5"/>
  <c r="H39" i="32" s="1"/>
  <c r="L40" i="5"/>
  <c r="L40" i="32" s="1"/>
  <c r="J42" i="5"/>
  <c r="J42" i="32" s="1"/>
  <c r="F53" i="5"/>
  <c r="F53" i="32" s="1"/>
  <c r="L54" i="5"/>
  <c r="L54" i="32" s="1"/>
  <c r="H56" i="5"/>
  <c r="H56" i="32" s="1"/>
  <c r="M57" i="5"/>
  <c r="M57" i="32" s="1"/>
  <c r="I59" i="5"/>
  <c r="I59" i="32" s="1"/>
  <c r="O60" i="5"/>
  <c r="K41" i="5"/>
  <c r="K41" i="32" s="1"/>
  <c r="D65" i="5"/>
  <c r="D65" i="32" s="1"/>
  <c r="F38" i="5"/>
  <c r="F38" i="32" s="1"/>
  <c r="L36" i="5"/>
  <c r="L36" i="32" s="1"/>
  <c r="G34" i="5"/>
  <c r="G34" i="32" s="1"/>
  <c r="O31" i="5"/>
  <c r="D6" i="5"/>
  <c r="D6" i="32" s="1"/>
  <c r="G9" i="5"/>
  <c r="G9" i="32" s="1"/>
  <c r="E15" i="5"/>
  <c r="E15" i="32" s="1"/>
  <c r="G17" i="5"/>
  <c r="G17" i="32" s="1"/>
  <c r="C20" i="5"/>
  <c r="C20" i="32" s="1"/>
  <c r="O20" i="32" s="1"/>
  <c r="E23" i="5"/>
  <c r="E23" i="32" s="1"/>
  <c r="N24" i="5"/>
  <c r="N24" i="32" s="1"/>
  <c r="O26" i="5"/>
  <c r="F6" i="5"/>
  <c r="F6" i="32" s="1"/>
  <c r="G7" i="5"/>
  <c r="G7" i="32" s="1"/>
  <c r="D10" i="5"/>
  <c r="D10" i="32" s="1"/>
  <c r="C15" i="5"/>
  <c r="C15" i="32" s="1"/>
  <c r="O15" i="32" s="1"/>
  <c r="L16" i="5"/>
  <c r="L16" i="32" s="1"/>
  <c r="K22" i="5"/>
  <c r="K22" i="32" s="1"/>
  <c r="G23" i="5"/>
  <c r="G23" i="32" s="1"/>
  <c r="G24" i="5"/>
  <c r="G24" i="32" s="1"/>
  <c r="G25" i="5"/>
  <c r="G25" i="32" s="1"/>
  <c r="N26" i="5"/>
  <c r="N26" i="32" s="1"/>
  <c r="J28" i="5"/>
  <c r="J28" i="32" s="1"/>
  <c r="F30" i="5"/>
  <c r="F30" i="32" s="1"/>
  <c r="C32" i="5"/>
  <c r="C32" i="32" s="1"/>
  <c r="O32" i="32" s="1"/>
  <c r="C34" i="5"/>
  <c r="C34" i="32" s="1"/>
  <c r="O34" i="32" s="1"/>
  <c r="N35" i="5"/>
  <c r="N35" i="32" s="1"/>
  <c r="E37" i="5"/>
  <c r="E37" i="32" s="1"/>
  <c r="K38" i="5"/>
  <c r="K38" i="32" s="1"/>
  <c r="J40" i="5"/>
  <c r="J40" i="32" s="1"/>
  <c r="D42" i="5"/>
  <c r="D42" i="32" s="1"/>
  <c r="O50" i="5"/>
  <c r="K52" i="5"/>
  <c r="K52" i="32" s="1"/>
  <c r="I54" i="5"/>
  <c r="I54" i="32" s="1"/>
  <c r="G56" i="5"/>
  <c r="G56" i="32" s="1"/>
  <c r="D58" i="5"/>
  <c r="D58" i="32" s="1"/>
  <c r="O59" i="5"/>
  <c r="L65" i="5"/>
  <c r="L65" i="32" s="1"/>
  <c r="F59" i="5"/>
  <c r="F59" i="32" s="1"/>
  <c r="O56" i="5"/>
  <c r="N55" i="5"/>
  <c r="N55" i="32" s="1"/>
  <c r="K53" i="5"/>
  <c r="K53" i="32" s="1"/>
  <c r="E51" i="5"/>
  <c r="E51" i="32" s="1"/>
  <c r="I48" i="5"/>
  <c r="I48" i="32" s="1"/>
  <c r="C46" i="5"/>
  <c r="C46" i="32" s="1"/>
  <c r="O46" i="32" s="1"/>
  <c r="F7" i="5"/>
  <c r="F7" i="32" s="1"/>
  <c r="L9" i="5"/>
  <c r="L9" i="32" s="1"/>
  <c r="D14" i="5"/>
  <c r="D14" i="32" s="1"/>
  <c r="D13" i="32" s="1"/>
  <c r="I15" i="5"/>
  <c r="I15" i="32" s="1"/>
  <c r="E17" i="5"/>
  <c r="E17" i="32" s="1"/>
  <c r="K18" i="5"/>
  <c r="K18" i="32" s="1"/>
  <c r="D20" i="5"/>
  <c r="D20" i="32" s="1"/>
  <c r="J26" i="5"/>
  <c r="J26" i="32" s="1"/>
  <c r="D28" i="5"/>
  <c r="D28" i="32" s="1"/>
  <c r="M29" i="5"/>
  <c r="M29" i="32" s="1"/>
  <c r="C31" i="5"/>
  <c r="C31" i="32" s="1"/>
  <c r="O31" i="32" s="1"/>
  <c r="L10" i="5"/>
  <c r="L10" i="32" s="1"/>
  <c r="K6" i="5"/>
  <c r="K6" i="32" s="1"/>
  <c r="E10" i="5"/>
  <c r="E10" i="32" s="1"/>
  <c r="L15" i="5"/>
  <c r="L15" i="32" s="1"/>
  <c r="O17" i="5"/>
  <c r="K20" i="5"/>
  <c r="K20" i="32" s="1"/>
  <c r="L23" i="5"/>
  <c r="L23" i="32" s="1"/>
  <c r="E25" i="5"/>
  <c r="E25" i="32" s="1"/>
  <c r="J27" i="5"/>
  <c r="J27" i="32" s="1"/>
  <c r="I6" i="5"/>
  <c r="I8" i="5" s="1"/>
  <c r="K7" i="5"/>
  <c r="K7" i="32" s="1"/>
  <c r="M27" i="5"/>
  <c r="M27" i="32" s="1"/>
  <c r="J15" i="5"/>
  <c r="J15" i="32" s="1"/>
  <c r="E22" i="5"/>
  <c r="E22" i="32" s="1"/>
  <c r="M22" i="5"/>
  <c r="M22" i="32" s="1"/>
  <c r="I23" i="5"/>
  <c r="I23" i="32" s="1"/>
  <c r="J24" i="5"/>
  <c r="J24" i="32" s="1"/>
  <c r="K25" i="5"/>
  <c r="K25" i="32" s="1"/>
  <c r="E27" i="5"/>
  <c r="E27" i="32" s="1"/>
  <c r="N28" i="5"/>
  <c r="N28" i="32" s="1"/>
  <c r="M30" i="5"/>
  <c r="M30" i="32" s="1"/>
  <c r="I32" i="5"/>
  <c r="I32" i="32" s="1"/>
  <c r="H34" i="5"/>
  <c r="H34" i="32" s="1"/>
  <c r="E36" i="5"/>
  <c r="E36" i="32" s="1"/>
  <c r="I37" i="5"/>
  <c r="I37" i="32" s="1"/>
  <c r="E39" i="5"/>
  <c r="E39" i="32" s="1"/>
  <c r="O40" i="5"/>
  <c r="L49" i="5"/>
  <c r="L49" i="32" s="1"/>
  <c r="H51" i="5"/>
  <c r="H51" i="32" s="1"/>
  <c r="C53" i="5"/>
  <c r="C53" i="32" s="1"/>
  <c r="O53" i="32" s="1"/>
  <c r="O54" i="5"/>
  <c r="N56" i="5"/>
  <c r="N56" i="32" s="1"/>
  <c r="J58" i="5"/>
  <c r="J58" i="32" s="1"/>
  <c r="G60" i="5"/>
  <c r="G60" i="32" s="1"/>
  <c r="E65" i="5"/>
  <c r="E65" i="32" s="1"/>
  <c r="L58" i="5"/>
  <c r="L58" i="32" s="1"/>
  <c r="F65" i="5"/>
  <c r="F65" i="32" s="1"/>
  <c r="G55" i="5"/>
  <c r="G55" i="32" s="1"/>
  <c r="D53" i="5"/>
  <c r="D53" i="32" s="1"/>
  <c r="J50" i="5"/>
  <c r="J50" i="32" s="1"/>
  <c r="O47" i="5"/>
  <c r="G45" i="5"/>
  <c r="G45" i="32" s="1"/>
  <c r="N7" i="5"/>
  <c r="N7" i="32" s="1"/>
  <c r="C10" i="5"/>
  <c r="C10" i="32" s="1"/>
  <c r="O10" i="32" s="1"/>
  <c r="I14" i="5"/>
  <c r="I14" i="32" s="1"/>
  <c r="I13" i="32" s="1"/>
  <c r="O15" i="5"/>
  <c r="H17" i="5"/>
  <c r="H17" i="32" s="1"/>
  <c r="O18" i="5"/>
  <c r="I20" i="5"/>
  <c r="I20" i="32" s="1"/>
  <c r="C27" i="5"/>
  <c r="C27" i="32" s="1"/>
  <c r="O27" i="32" s="1"/>
  <c r="I28" i="5"/>
  <c r="I28" i="32" s="1"/>
  <c r="D30" i="5"/>
  <c r="D30" i="32" s="1"/>
  <c r="H31" i="5"/>
  <c r="H31" i="32" s="1"/>
  <c r="N32" i="5"/>
  <c r="N32" i="32" s="1"/>
  <c r="I34" i="5"/>
  <c r="I34" i="32" s="1"/>
  <c r="C36" i="5"/>
  <c r="C36" i="32" s="1"/>
  <c r="O36" i="32" s="1"/>
  <c r="L38" i="5"/>
  <c r="L38" i="32" s="1"/>
  <c r="D40" i="5"/>
  <c r="D40" i="32" s="1"/>
  <c r="M41" i="5"/>
  <c r="M41" i="32" s="1"/>
  <c r="J52" i="5"/>
  <c r="J52" i="32" s="1"/>
  <c r="C54" i="5"/>
  <c r="C54" i="32" s="1"/>
  <c r="O54" i="32" s="1"/>
  <c r="L55" i="5"/>
  <c r="L55" i="32" s="1"/>
  <c r="D57" i="5"/>
  <c r="D57" i="32" s="1"/>
  <c r="K58" i="5"/>
  <c r="K58" i="32" s="1"/>
  <c r="D60" i="5"/>
  <c r="D60" i="32" s="1"/>
  <c r="N42" i="5"/>
  <c r="N42" i="32" s="1"/>
  <c r="K40" i="5"/>
  <c r="K40" i="32" s="1"/>
  <c r="O65" i="5"/>
  <c r="H37" i="5"/>
  <c r="H37" i="32" s="1"/>
  <c r="I35" i="5"/>
  <c r="I35" i="32" s="1"/>
  <c r="D33" i="5"/>
  <c r="D33" i="32" s="1"/>
  <c r="I43" i="5"/>
  <c r="I43" i="32" s="1"/>
  <c r="L35" i="5"/>
  <c r="L35" i="32" s="1"/>
  <c r="H55" i="5"/>
  <c r="H55" i="32" s="1"/>
  <c r="H36" i="5"/>
  <c r="H36" i="32" s="1"/>
  <c r="M43" i="5"/>
  <c r="M43" i="32" s="1"/>
  <c r="C55" i="5"/>
  <c r="C55" i="32" s="1"/>
  <c r="O55" i="32" s="1"/>
  <c r="J39" i="5"/>
  <c r="J39" i="32" s="1"/>
  <c r="E34" i="5"/>
  <c r="E34" i="32" s="1"/>
  <c r="G30" i="5"/>
  <c r="G30" i="32" s="1"/>
  <c r="H20" i="5"/>
  <c r="H20" i="32" s="1"/>
  <c r="G15" i="5"/>
  <c r="G15" i="32" s="1"/>
  <c r="H44" i="5"/>
  <c r="H44" i="32" s="1"/>
  <c r="M33" i="5"/>
  <c r="M33" i="32" s="1"/>
  <c r="N36" i="5"/>
  <c r="N36" i="32" s="1"/>
  <c r="F39" i="5"/>
  <c r="F39" i="32" s="1"/>
  <c r="F41" i="5"/>
  <c r="F41" i="32" s="1"/>
  <c r="N60" i="5"/>
  <c r="N60" i="32" s="1"/>
  <c r="M58" i="5"/>
  <c r="M58" i="32" s="1"/>
  <c r="L56" i="5"/>
  <c r="L56" i="32" s="1"/>
  <c r="K54" i="5"/>
  <c r="K54" i="32" s="1"/>
  <c r="M52" i="5"/>
  <c r="M52" i="32" s="1"/>
  <c r="D41" i="5"/>
  <c r="D41" i="32" s="1"/>
  <c r="D39" i="5"/>
  <c r="D39" i="32" s="1"/>
  <c r="F36" i="5"/>
  <c r="F36" i="32" s="1"/>
  <c r="O33" i="5"/>
  <c r="D32" i="5"/>
  <c r="D32" i="32" s="1"/>
  <c r="C30" i="5"/>
  <c r="C30" i="32" s="1"/>
  <c r="O30" i="32" s="1"/>
  <c r="H27" i="5"/>
  <c r="H27" i="32" s="1"/>
  <c r="O19" i="5"/>
  <c r="K17" i="5"/>
  <c r="K17" i="32" s="1"/>
  <c r="O14" i="5"/>
  <c r="N9" i="5"/>
  <c r="N9" i="32" s="1"/>
  <c r="K44" i="5"/>
  <c r="K44" i="32" s="1"/>
  <c r="L48" i="5"/>
  <c r="L48" i="32" s="1"/>
  <c r="N52" i="5"/>
  <c r="N52" i="32" s="1"/>
  <c r="N65" i="5"/>
  <c r="N65" i="32" s="1"/>
  <c r="C59" i="5"/>
  <c r="C59" i="32" s="1"/>
  <c r="O59" i="32" s="1"/>
  <c r="M60" i="5"/>
  <c r="M60" i="32" s="1"/>
  <c r="C58" i="5"/>
  <c r="C58" i="32" s="1"/>
  <c r="O58" i="32" s="1"/>
  <c r="E55" i="5"/>
  <c r="E55" i="32" s="1"/>
  <c r="N51" i="5"/>
  <c r="N51" i="32" s="1"/>
  <c r="H42" i="5"/>
  <c r="H42" i="32" s="1"/>
  <c r="I39" i="5"/>
  <c r="I39" i="32" s="1"/>
  <c r="D37" i="5"/>
  <c r="D37" i="32" s="1"/>
  <c r="J34" i="5"/>
  <c r="J34" i="32" s="1"/>
  <c r="I31" i="5"/>
  <c r="I31" i="32" s="1"/>
  <c r="L28" i="5"/>
  <c r="L28" i="32" s="1"/>
  <c r="C26" i="5"/>
  <c r="C26" i="32" s="1"/>
  <c r="O26" i="32" s="1"/>
  <c r="E24" i="5"/>
  <c r="E24" i="32" s="1"/>
  <c r="N22" i="5"/>
  <c r="N22" i="32" s="1"/>
  <c r="E16" i="5"/>
  <c r="E16" i="32" s="1"/>
  <c r="H10" i="5"/>
  <c r="H10" i="32" s="1"/>
  <c r="L6" i="5"/>
  <c r="L6" i="32" s="1"/>
  <c r="K26" i="5"/>
  <c r="K26" i="32" s="1"/>
  <c r="N23" i="5"/>
  <c r="N23" i="32" s="1"/>
  <c r="N18" i="5"/>
  <c r="N18" i="32" s="1"/>
  <c r="H15" i="5"/>
  <c r="H15" i="32" s="1"/>
  <c r="D7" i="5"/>
  <c r="D7" i="32" s="1"/>
  <c r="E20" i="5"/>
  <c r="E20" i="32" s="1"/>
  <c r="H45" i="5"/>
  <c r="H45" i="32" s="1"/>
  <c r="E43" i="5"/>
  <c r="E43" i="32" s="1"/>
  <c r="E38" i="5"/>
  <c r="E38" i="32" s="1"/>
  <c r="O58" i="5"/>
  <c r="O52" i="5"/>
  <c r="C37" i="5"/>
  <c r="C37" i="32" s="1"/>
  <c r="O37" i="32" s="1"/>
  <c r="G41" i="5"/>
  <c r="G41" i="32" s="1"/>
  <c r="G58" i="5"/>
  <c r="G58" i="32" s="1"/>
  <c r="J56" i="5"/>
  <c r="J56" i="32" s="1"/>
  <c r="H54" i="5"/>
  <c r="H54" i="32" s="1"/>
  <c r="G52" i="5"/>
  <c r="G52" i="32" s="1"/>
  <c r="N40" i="5"/>
  <c r="N40" i="32" s="1"/>
  <c r="C39" i="5"/>
  <c r="C39" i="32" s="1"/>
  <c r="O39" i="32" s="1"/>
  <c r="M35" i="5"/>
  <c r="M35" i="32" s="1"/>
  <c r="N33" i="5"/>
  <c r="N33" i="32" s="1"/>
  <c r="M31" i="5"/>
  <c r="M31" i="32" s="1"/>
  <c r="K29" i="5"/>
  <c r="K29" i="32" s="1"/>
  <c r="F27" i="5"/>
  <c r="F27" i="32" s="1"/>
  <c r="I19" i="5"/>
  <c r="I19" i="32" s="1"/>
  <c r="F17" i="5"/>
  <c r="F17" i="32" s="1"/>
  <c r="M14" i="5"/>
  <c r="M14" i="32" s="1"/>
  <c r="M13" i="32" s="1"/>
  <c r="J9" i="5"/>
  <c r="J9" i="32" s="1"/>
  <c r="O44" i="5"/>
  <c r="G49" i="5"/>
  <c r="G49" i="32" s="1"/>
  <c r="H53" i="5"/>
  <c r="H53" i="32" s="1"/>
  <c r="M65" i="5"/>
  <c r="M65" i="32" s="1"/>
  <c r="J59" i="5"/>
  <c r="J59" i="32" s="1"/>
  <c r="K60" i="5"/>
  <c r="K60" i="32" s="1"/>
  <c r="K57" i="5"/>
  <c r="K57" i="32" s="1"/>
  <c r="M54" i="5"/>
  <c r="M54" i="32" s="1"/>
  <c r="L51" i="5"/>
  <c r="L51" i="32" s="1"/>
  <c r="C42" i="5"/>
  <c r="C42" i="32" s="1"/>
  <c r="O42" i="32" s="1"/>
  <c r="G39" i="5"/>
  <c r="G39" i="32" s="1"/>
  <c r="M36" i="5"/>
  <c r="M36" i="32" s="1"/>
  <c r="F34" i="5"/>
  <c r="F34" i="32" s="1"/>
  <c r="E31" i="5"/>
  <c r="E31" i="32" s="1"/>
  <c r="H28" i="5"/>
  <c r="H28" i="32" s="1"/>
  <c r="N25" i="5"/>
  <c r="N25" i="32" s="1"/>
  <c r="O23" i="5"/>
  <c r="L22" i="5"/>
  <c r="L22" i="32" s="1"/>
  <c r="N15" i="5"/>
  <c r="N15" i="32" s="1"/>
  <c r="O9" i="5"/>
  <c r="J6" i="5"/>
  <c r="O25" i="5"/>
  <c r="J23" i="5"/>
  <c r="J23" i="32" s="1"/>
  <c r="J18" i="5"/>
  <c r="J18" i="32" s="1"/>
  <c r="N14" i="5"/>
  <c r="N14" i="32" s="1"/>
  <c r="N13" i="32" s="1"/>
  <c r="O6" i="5"/>
  <c r="L21" i="5"/>
  <c r="L21" i="32" s="1"/>
  <c r="E44" i="5"/>
  <c r="E44" i="32" s="1"/>
  <c r="J32" i="5"/>
  <c r="J32" i="32" s="1"/>
  <c r="H57" i="5"/>
  <c r="H57" i="32" s="1"/>
  <c r="H33" i="5"/>
  <c r="H33" i="32" s="1"/>
  <c r="N38" i="5"/>
  <c r="N38" i="32" s="1"/>
  <c r="M56" i="5"/>
  <c r="M56" i="32" s="1"/>
  <c r="D34" i="5"/>
  <c r="D34" i="32" s="1"/>
  <c r="K65" i="5"/>
  <c r="K65" i="32" s="1"/>
  <c r="J60" i="5"/>
  <c r="J60" i="32" s="1"/>
  <c r="L34" i="5"/>
  <c r="L34" i="32" s="1"/>
  <c r="F37" i="5"/>
  <c r="F37" i="32" s="1"/>
  <c r="I65" i="5"/>
  <c r="I65" i="32" s="1"/>
  <c r="N41" i="5"/>
  <c r="N41" i="32" s="1"/>
  <c r="H60" i="5"/>
  <c r="H60" i="32" s="1"/>
  <c r="F58" i="5"/>
  <c r="F58" i="32" s="1"/>
  <c r="D56" i="5"/>
  <c r="D56" i="32" s="1"/>
  <c r="G54" i="5"/>
  <c r="G54" i="32" s="1"/>
  <c r="E52" i="5"/>
  <c r="E52" i="32" s="1"/>
  <c r="I40" i="5"/>
  <c r="I40" i="32" s="1"/>
  <c r="M38" i="5"/>
  <c r="M38" i="32" s="1"/>
  <c r="K35" i="5"/>
  <c r="K35" i="32" s="1"/>
  <c r="J33" i="5"/>
  <c r="J33" i="32" s="1"/>
  <c r="L31" i="5"/>
  <c r="L31" i="32" s="1"/>
  <c r="E29" i="5"/>
  <c r="E29" i="32" s="1"/>
  <c r="M26" i="5"/>
  <c r="M26" i="32" s="1"/>
  <c r="G19" i="5"/>
  <c r="G19" i="32" s="1"/>
  <c r="O16" i="5"/>
  <c r="K14" i="5"/>
  <c r="K14" i="32" s="1"/>
  <c r="K13" i="32" s="1"/>
  <c r="E9" i="5"/>
  <c r="E9" i="32" s="1"/>
  <c r="L45" i="5"/>
  <c r="L45" i="32" s="1"/>
  <c r="M49" i="5"/>
  <c r="M49" i="32" s="1"/>
  <c r="D54" i="5"/>
  <c r="D54" i="32" s="1"/>
  <c r="J65" i="5"/>
  <c r="J65" i="32" s="1"/>
  <c r="F60" i="5"/>
  <c r="F60" i="32" s="1"/>
  <c r="E60" i="5"/>
  <c r="E60" i="32" s="1"/>
  <c r="G57" i="5"/>
  <c r="G57" i="32" s="1"/>
  <c r="E54" i="5"/>
  <c r="E54" i="32" s="1"/>
  <c r="J51" i="5"/>
  <c r="J51" i="32" s="1"/>
  <c r="I41" i="5"/>
  <c r="I41" i="32" s="1"/>
  <c r="O38" i="5"/>
  <c r="K36" i="5"/>
  <c r="K36" i="32" s="1"/>
  <c r="K33" i="5"/>
  <c r="K33" i="32" s="1"/>
  <c r="D31" i="5"/>
  <c r="D31" i="32" s="1"/>
  <c r="O27" i="5"/>
  <c r="I25" i="5"/>
  <c r="I25" i="32" s="1"/>
  <c r="M23" i="5"/>
  <c r="M23" i="32" s="1"/>
  <c r="J22" i="5"/>
  <c r="J22" i="32" s="1"/>
  <c r="M15" i="5"/>
  <c r="M15" i="32" s="1"/>
  <c r="I9" i="5"/>
  <c r="I9" i="32" s="1"/>
  <c r="G6" i="5"/>
  <c r="L25" i="5"/>
  <c r="L25" i="32" s="1"/>
  <c r="H21" i="5"/>
  <c r="H21" i="32" s="1"/>
  <c r="F18" i="5"/>
  <c r="F18" i="32" s="1"/>
  <c r="E14" i="5"/>
  <c r="E14" i="32" s="1"/>
  <c r="E13" i="32" s="1"/>
  <c r="H6" i="5"/>
  <c r="H6" i="32" s="1"/>
  <c r="O28" i="5"/>
  <c r="H26" i="5"/>
  <c r="H26" i="32" s="1"/>
  <c r="D19" i="5"/>
  <c r="D19" i="32" s="1"/>
  <c r="J16" i="5"/>
  <c r="J16" i="32" s="1"/>
  <c r="G14" i="5"/>
  <c r="G14" i="32" s="1"/>
  <c r="G13" i="32" s="1"/>
  <c r="C9" i="5"/>
  <c r="C9" i="32" s="1"/>
  <c r="O9" i="32" s="1"/>
  <c r="G46" i="5"/>
  <c r="G46" i="32" s="1"/>
  <c r="E50" i="5"/>
  <c r="E50" i="32" s="1"/>
  <c r="J54" i="5"/>
  <c r="J54" i="32" s="1"/>
  <c r="C65" i="5"/>
  <c r="C65" i="32" s="1"/>
  <c r="O65" i="32" s="1"/>
  <c r="I60" i="5"/>
  <c r="I60" i="32" s="1"/>
  <c r="L59" i="5"/>
  <c r="L59" i="32" s="1"/>
  <c r="C57" i="5"/>
  <c r="C57" i="32" s="1"/>
  <c r="O57" i="32" s="1"/>
  <c r="M53" i="5"/>
  <c r="M53" i="32" s="1"/>
  <c r="F51" i="5"/>
  <c r="F51" i="32" s="1"/>
  <c r="H41" i="5"/>
  <c r="H41" i="32" s="1"/>
  <c r="G38" i="5"/>
  <c r="G38" i="32" s="1"/>
  <c r="G36" i="5"/>
  <c r="G36" i="32" s="1"/>
  <c r="G33" i="5"/>
  <c r="G33" i="32" s="1"/>
  <c r="K30" i="5"/>
  <c r="K30" i="32" s="1"/>
  <c r="I29" i="5"/>
  <c r="I29" i="32" s="1"/>
  <c r="F25" i="5"/>
  <c r="F25" i="32" s="1"/>
  <c r="K23" i="5"/>
  <c r="K23" i="32" s="1"/>
  <c r="H22" i="5"/>
  <c r="H22" i="32" s="1"/>
  <c r="F15" i="5"/>
  <c r="F15" i="32" s="1"/>
  <c r="F9" i="5"/>
  <c r="F9" i="32" s="1"/>
  <c r="E6" i="5"/>
  <c r="E6" i="32" s="1"/>
  <c r="H25" i="5"/>
  <c r="H25" i="32" s="1"/>
  <c r="D21" i="5"/>
  <c r="D21" i="32" s="1"/>
  <c r="L17" i="5"/>
  <c r="L17" i="32" s="1"/>
  <c r="M10" i="5"/>
  <c r="M10" i="32" s="1"/>
  <c r="H50" i="5"/>
  <c r="H50" i="32" s="1"/>
  <c r="C21" i="5"/>
  <c r="C21" i="32" s="1"/>
  <c r="O21" i="32" s="1"/>
  <c r="I49" i="5"/>
  <c r="I49" i="32" s="1"/>
  <c r="C48" i="5"/>
  <c r="C48" i="32" s="1"/>
  <c r="O48" i="32" s="1"/>
  <c r="G47" i="5"/>
  <c r="G47" i="32" s="1"/>
  <c r="D48" i="5"/>
  <c r="D48" i="32" s="1"/>
  <c r="M18" i="5"/>
  <c r="M18" i="32" s="1"/>
  <c r="M46" i="5"/>
  <c r="M46" i="32" s="1"/>
  <c r="J17" i="5"/>
  <c r="J17" i="32" s="1"/>
  <c r="J44" i="5"/>
  <c r="J44" i="32" s="1"/>
  <c r="L43" i="5"/>
  <c r="L43" i="32" s="1"/>
  <c r="D43" i="5"/>
  <c r="D43" i="32" s="1"/>
  <c r="C19" i="5"/>
  <c r="C19" i="32" s="1"/>
  <c r="O19" i="32" s="1"/>
  <c r="I47" i="5"/>
  <c r="I47" i="32" s="1"/>
  <c r="D45" i="5"/>
  <c r="D45" i="32" s="1"/>
  <c r="O45" i="5"/>
  <c r="F49" i="5"/>
  <c r="F49" i="32" s="1"/>
  <c r="E48" i="5"/>
  <c r="E48" i="32" s="1"/>
  <c r="G20" i="5"/>
  <c r="G20" i="32" s="1"/>
  <c r="H47" i="5"/>
  <c r="H47" i="32" s="1"/>
  <c r="D46" i="5"/>
  <c r="D46" i="32" s="1"/>
  <c r="J45" i="5"/>
  <c r="J45" i="32" s="1"/>
  <c r="L44" i="5"/>
  <c r="L44" i="32" s="1"/>
  <c r="M44" i="5"/>
  <c r="M44" i="32" s="1"/>
  <c r="L42" i="5"/>
  <c r="L42" i="32" s="1"/>
  <c r="O87" i="32"/>
  <c r="O89" i="32" s="1"/>
  <c r="J49" i="5"/>
  <c r="J49" i="32" s="1"/>
  <c r="D22" i="5"/>
  <c r="D22" i="32" s="1"/>
  <c r="O21" i="5"/>
  <c r="K50" i="5"/>
  <c r="K50" i="32" s="1"/>
  <c r="G21" i="5"/>
  <c r="G21" i="32" s="1"/>
  <c r="D50" i="5"/>
  <c r="D50" i="32" s="1"/>
  <c r="E49" i="5"/>
  <c r="E49" i="32" s="1"/>
  <c r="O48" i="5"/>
  <c r="K47" i="5"/>
  <c r="K47" i="32" s="1"/>
  <c r="C47" i="5"/>
  <c r="C47" i="32" s="1"/>
  <c r="O47" i="32" s="1"/>
  <c r="H18" i="5"/>
  <c r="H18" i="32" s="1"/>
  <c r="K46" i="5"/>
  <c r="K46" i="32" s="1"/>
  <c r="K45" i="5"/>
  <c r="K45" i="32" s="1"/>
  <c r="F43" i="5"/>
  <c r="F43" i="32" s="1"/>
  <c r="L46" i="5"/>
  <c r="L46" i="32" s="1"/>
  <c r="N47" i="5"/>
  <c r="N47" i="32" s="1"/>
  <c r="M45" i="5"/>
  <c r="M45" i="32" s="1"/>
  <c r="E47" i="5"/>
  <c r="E47" i="32" s="1"/>
  <c r="C45" i="5"/>
  <c r="C45" i="32" s="1"/>
  <c r="O45" i="32" s="1"/>
  <c r="E21" i="5"/>
  <c r="E21" i="32" s="1"/>
  <c r="M47" i="5"/>
  <c r="M47" i="32" s="1"/>
  <c r="N48" i="5"/>
  <c r="N48" i="32" s="1"/>
  <c r="N21" i="5"/>
  <c r="N21" i="32" s="1"/>
  <c r="J21" i="5"/>
  <c r="J21" i="32" s="1"/>
  <c r="O49" i="5"/>
  <c r="H49" i="5"/>
  <c r="H49" i="32" s="1"/>
  <c r="H19" i="5"/>
  <c r="H19" i="32" s="1"/>
  <c r="F46" i="5"/>
  <c r="F46" i="32" s="1"/>
  <c r="C18" i="5"/>
  <c r="C18" i="32" s="1"/>
  <c r="O18" i="32" s="1"/>
  <c r="C44" i="5"/>
  <c r="C44" i="32" s="1"/>
  <c r="O44" i="32" s="1"/>
  <c r="O73" i="5"/>
  <c r="M69" i="32"/>
  <c r="M73" i="32" s="1"/>
  <c r="M73" i="5"/>
  <c r="J69" i="32"/>
  <c r="J73" i="32" s="1"/>
  <c r="J73" i="5"/>
  <c r="H73" i="5"/>
  <c r="H69" i="32"/>
  <c r="H73" i="32" s="1"/>
  <c r="E69" i="32"/>
  <c r="E73" i="32" s="1"/>
  <c r="E73" i="5"/>
  <c r="C69" i="32"/>
  <c r="C73" i="5"/>
  <c r="L75" i="32"/>
  <c r="L79" i="32" s="1"/>
  <c r="L79" i="5"/>
  <c r="I75" i="32"/>
  <c r="I79" i="32" s="1"/>
  <c r="I79" i="5"/>
  <c r="G75" i="32"/>
  <c r="G79" i="32" s="1"/>
  <c r="G79" i="5"/>
  <c r="E75" i="32"/>
  <c r="E79" i="32" s="1"/>
  <c r="E79" i="5"/>
  <c r="D75" i="32"/>
  <c r="D79" i="32" s="1"/>
  <c r="D79" i="5"/>
  <c r="N69" i="32"/>
  <c r="N73" i="32" s="1"/>
  <c r="N73" i="5"/>
  <c r="L69" i="32"/>
  <c r="L73" i="32" s="1"/>
  <c r="L73" i="5"/>
  <c r="I73" i="5"/>
  <c r="I69" i="32"/>
  <c r="I73" i="32" s="1"/>
  <c r="F69" i="32"/>
  <c r="F73" i="32" s="1"/>
  <c r="F73" i="5"/>
  <c r="D69" i="32"/>
  <c r="D73" i="32" s="1"/>
  <c r="D73" i="5"/>
  <c r="G73" i="5"/>
  <c r="G69" i="32"/>
  <c r="G73" i="32" s="1"/>
  <c r="K69" i="32"/>
  <c r="K73" i="32" s="1"/>
  <c r="K73" i="5"/>
  <c r="C75" i="32"/>
  <c r="C79" i="5"/>
  <c r="F79" i="5"/>
  <c r="F75" i="32"/>
  <c r="F79" i="32" s="1"/>
  <c r="H75" i="32"/>
  <c r="H79" i="32" s="1"/>
  <c r="H79" i="5"/>
  <c r="K75" i="32"/>
  <c r="K79" i="32" s="1"/>
  <c r="K79" i="5"/>
  <c r="N75" i="32"/>
  <c r="N79" i="32" s="1"/>
  <c r="N79" i="5"/>
  <c r="M75" i="32"/>
  <c r="M79" i="32" s="1"/>
  <c r="M79" i="5"/>
  <c r="J75" i="32"/>
  <c r="J79" i="32" s="1"/>
  <c r="J79" i="5"/>
  <c r="L14" i="32"/>
  <c r="L13" i="32" s="1"/>
  <c r="O70" i="32"/>
  <c r="O78" i="32"/>
  <c r="O71" i="32"/>
  <c r="O77" i="32"/>
  <c r="O76" i="32"/>
  <c r="O72" i="32"/>
  <c r="K42" i="5"/>
  <c r="M42" i="5"/>
  <c r="M42" i="32" s="1"/>
  <c r="O42" i="5"/>
  <c r="G43" i="5"/>
  <c r="G43" i="32" s="1"/>
  <c r="O43" i="5"/>
  <c r="J43" i="5"/>
  <c r="J43" i="32" s="1"/>
  <c r="G44" i="5"/>
  <c r="G44" i="32" s="1"/>
  <c r="I44" i="5"/>
  <c r="I44" i="32" s="1"/>
  <c r="N43" i="5"/>
  <c r="F45" i="5"/>
  <c r="F45" i="32" s="1"/>
  <c r="E45" i="5"/>
  <c r="N44" i="5"/>
  <c r="N44" i="32" s="1"/>
  <c r="N45" i="5"/>
  <c r="F44" i="5"/>
  <c r="I17" i="5"/>
  <c r="E46" i="5"/>
  <c r="E46" i="32" s="1"/>
  <c r="G18" i="5"/>
  <c r="D47" i="5"/>
  <c r="J19" i="5"/>
  <c r="H48" i="5"/>
  <c r="M19" i="5"/>
  <c r="J48" i="5"/>
  <c r="J48" i="32" s="1"/>
  <c r="N19" i="5"/>
  <c r="N19" i="32" s="1"/>
  <c r="K48" i="5"/>
  <c r="K48" i="32" s="1"/>
  <c r="F48" i="5"/>
  <c r="F48" i="32" s="1"/>
  <c r="D51" i="5"/>
  <c r="D51" i="32" s="1"/>
  <c r="L18" i="32"/>
  <c r="M8" i="32" l="1"/>
  <c r="N8" i="32"/>
  <c r="N5" i="32" s="1"/>
  <c r="N12" i="32" s="1"/>
  <c r="N66" i="32" s="1"/>
  <c r="H8" i="32"/>
  <c r="H5" i="32" s="1"/>
  <c r="H12" i="32" s="1"/>
  <c r="H66" i="32" s="1"/>
  <c r="O8" i="5"/>
  <c r="O5" i="5" s="1"/>
  <c r="O12" i="5" s="1"/>
  <c r="O67" i="5"/>
  <c r="L8" i="32"/>
  <c r="L5" i="32" s="1"/>
  <c r="L12" i="32" s="1"/>
  <c r="L66" i="32" s="1"/>
  <c r="E8" i="32"/>
  <c r="E5" i="32" s="1"/>
  <c r="E12" i="32" s="1"/>
  <c r="E66" i="32" s="1"/>
  <c r="D8" i="32"/>
  <c r="D5" i="32" s="1"/>
  <c r="D12" i="32" s="1"/>
  <c r="D66" i="32" s="1"/>
  <c r="M5" i="32"/>
  <c r="M12" i="32" s="1"/>
  <c r="M66" i="32" s="1"/>
  <c r="M8" i="5"/>
  <c r="M5" i="5" s="1"/>
  <c r="M12" i="5" s="1"/>
  <c r="O99" i="32"/>
  <c r="G67" i="5"/>
  <c r="H8" i="5"/>
  <c r="H5" i="5" s="1"/>
  <c r="H12" i="5" s="1"/>
  <c r="N8" i="5"/>
  <c r="N5" i="5" s="1"/>
  <c r="N12" i="5" s="1"/>
  <c r="D8" i="5"/>
  <c r="D5" i="5" s="1"/>
  <c r="D12" i="5" s="1"/>
  <c r="L8" i="5"/>
  <c r="L5" i="5" s="1"/>
  <c r="L12" i="5" s="1"/>
  <c r="J8" i="5"/>
  <c r="J5" i="5" s="1"/>
  <c r="J12" i="5" s="1"/>
  <c r="E8" i="5"/>
  <c r="E5" i="5" s="1"/>
  <c r="E12" i="5" s="1"/>
  <c r="I5" i="5"/>
  <c r="I12" i="5" s="1"/>
  <c r="K8" i="32"/>
  <c r="K5" i="32" s="1"/>
  <c r="K12" i="32" s="1"/>
  <c r="K66" i="32" s="1"/>
  <c r="J6" i="32"/>
  <c r="J8" i="32" s="1"/>
  <c r="J5" i="32" s="1"/>
  <c r="J12" i="32" s="1"/>
  <c r="J66" i="32" s="1"/>
  <c r="I6" i="32"/>
  <c r="I8" i="32" s="1"/>
  <c r="I5" i="32" s="1"/>
  <c r="I12" i="32" s="1"/>
  <c r="C8" i="5"/>
  <c r="C5" i="5" s="1"/>
  <c r="C12" i="5" s="1"/>
  <c r="K8" i="5"/>
  <c r="K5" i="5" s="1"/>
  <c r="K12" i="5" s="1"/>
  <c r="L62" i="5"/>
  <c r="L13" i="5" s="1"/>
  <c r="K62" i="5"/>
  <c r="K62" i="32" s="1"/>
  <c r="C62" i="5"/>
  <c r="C13" i="5" s="1"/>
  <c r="G8" i="5"/>
  <c r="G5" i="5" s="1"/>
  <c r="G12" i="5" s="1"/>
  <c r="G6" i="32"/>
  <c r="G8" i="32" s="1"/>
  <c r="G5" i="32" s="1"/>
  <c r="G12" i="32" s="1"/>
  <c r="G66" i="32" s="1"/>
  <c r="F8" i="32"/>
  <c r="F5" i="32" s="1"/>
  <c r="F12" i="32" s="1"/>
  <c r="F66" i="32" s="1"/>
  <c r="O62" i="5"/>
  <c r="O13" i="5" s="1"/>
  <c r="F8" i="5"/>
  <c r="F5" i="5" s="1"/>
  <c r="F12" i="5" s="1"/>
  <c r="D67" i="32"/>
  <c r="I67" i="32"/>
  <c r="I67" i="5"/>
  <c r="G67" i="32"/>
  <c r="L67" i="5"/>
  <c r="L67" i="32"/>
  <c r="D67" i="5"/>
  <c r="C73" i="32"/>
  <c r="O69" i="32"/>
  <c r="O73" i="32" s="1"/>
  <c r="C79" i="32"/>
  <c r="O75" i="32"/>
  <c r="O79" i="32" s="1"/>
  <c r="C8" i="32"/>
  <c r="C5" i="32" s="1"/>
  <c r="C12" i="32" s="1"/>
  <c r="O6" i="32"/>
  <c r="O8" i="32" s="1"/>
  <c r="O5" i="32" s="1"/>
  <c r="O12" i="32" s="1"/>
  <c r="C13" i="32"/>
  <c r="O14" i="32"/>
  <c r="O13" i="32" s="1"/>
  <c r="I62" i="5"/>
  <c r="I17" i="32"/>
  <c r="F3" i="10" a="1"/>
  <c r="F3" i="10" s="1"/>
  <c r="G62" i="5"/>
  <c r="G18" i="32"/>
  <c r="O3" i="10" a="1"/>
  <c r="O3" i="10" s="1"/>
  <c r="N3" i="10" a="1"/>
  <c r="N3" i="10" s="1"/>
  <c r="M67" i="32"/>
  <c r="M67" i="5"/>
  <c r="J67" i="32"/>
  <c r="J67" i="5"/>
  <c r="H67" i="5"/>
  <c r="H67" i="32"/>
  <c r="E67" i="32"/>
  <c r="E67" i="5"/>
  <c r="C67" i="5"/>
  <c r="N67" i="32"/>
  <c r="N67" i="5"/>
  <c r="F67" i="32"/>
  <c r="F67" i="5"/>
  <c r="K67" i="32"/>
  <c r="K67" i="5"/>
  <c r="K42" i="32"/>
  <c r="N43" i="32"/>
  <c r="E45" i="32"/>
  <c r="E62" i="5"/>
  <c r="E13" i="5" s="1"/>
  <c r="N45" i="32"/>
  <c r="N62" i="5"/>
  <c r="N13" i="5" s="1"/>
  <c r="F44" i="32"/>
  <c r="F62" i="5"/>
  <c r="F13" i="5" s="1"/>
  <c r="D47" i="32"/>
  <c r="D62" i="5"/>
  <c r="D13" i="5" s="1"/>
  <c r="J19" i="32"/>
  <c r="J62" i="5"/>
  <c r="J13" i="5" s="1"/>
  <c r="H48" i="32"/>
  <c r="H62" i="5"/>
  <c r="H13" i="5" s="1"/>
  <c r="M19" i="32"/>
  <c r="M62" i="5"/>
  <c r="M13" i="5" s="1"/>
  <c r="G81" i="5" l="1"/>
  <c r="M66" i="5"/>
  <c r="M80" i="5" s="1"/>
  <c r="M81" i="5"/>
  <c r="E81" i="32"/>
  <c r="H66" i="5"/>
  <c r="H80" i="5" s="1"/>
  <c r="M81" i="32"/>
  <c r="I81" i="32"/>
  <c r="D80" i="32"/>
  <c r="E66" i="5"/>
  <c r="E80" i="5" s="1"/>
  <c r="J66" i="5"/>
  <c r="J80" i="5" s="1"/>
  <c r="I81" i="5"/>
  <c r="L66" i="5"/>
  <c r="L80" i="5" s="1"/>
  <c r="H81" i="5"/>
  <c r="N81" i="5"/>
  <c r="N81" i="32"/>
  <c r="L81" i="5"/>
  <c r="K13" i="5"/>
  <c r="K66" i="5" s="1"/>
  <c r="K80" i="5" s="1"/>
  <c r="K81" i="5"/>
  <c r="N66" i="5"/>
  <c r="N80" i="5" s="1"/>
  <c r="K81" i="32"/>
  <c r="D66" i="5"/>
  <c r="D80" i="5" s="1"/>
  <c r="E81" i="5"/>
  <c r="H81" i="32"/>
  <c r="L62" i="32"/>
  <c r="L81" i="32"/>
  <c r="J81" i="5"/>
  <c r="J81" i="32"/>
  <c r="I66" i="32"/>
  <c r="I80" i="32" s="1"/>
  <c r="G81" i="32"/>
  <c r="D81" i="32"/>
  <c r="D81" i="5"/>
  <c r="C66" i="5"/>
  <c r="C80" i="5" s="1"/>
  <c r="C81" i="5"/>
  <c r="C62" i="32"/>
  <c r="O62" i="32" s="1"/>
  <c r="F81" i="32"/>
  <c r="F81" i="5"/>
  <c r="O66" i="5"/>
  <c r="O80" i="5" s="1"/>
  <c r="F66" i="5"/>
  <c r="F80" i="5" s="1"/>
  <c r="O81" i="5"/>
  <c r="G80" i="32"/>
  <c r="L80" i="32"/>
  <c r="E80" i="32"/>
  <c r="H80" i="32"/>
  <c r="F80" i="32"/>
  <c r="K80" i="32"/>
  <c r="C66" i="32"/>
  <c r="O66" i="32"/>
  <c r="I13" i="5"/>
  <c r="I66" i="5" s="1"/>
  <c r="I80" i="5" s="1"/>
  <c r="I62" i="32"/>
  <c r="L3" i="10" a="1"/>
  <c r="L3" i="10" s="1"/>
  <c r="G13" i="5"/>
  <c r="G66" i="5" s="1"/>
  <c r="G80" i="5" s="1"/>
  <c r="G62" i="32"/>
  <c r="J3" i="10" a="1"/>
  <c r="J3" i="10" s="1"/>
  <c r="E62" i="32"/>
  <c r="H3" i="10" a="1"/>
  <c r="H3" i="10" s="1"/>
  <c r="N62" i="32"/>
  <c r="Q3" i="10" a="1"/>
  <c r="Q3" i="10" s="1"/>
  <c r="F62" i="32"/>
  <c r="I3" i="10" a="1"/>
  <c r="I3" i="10" s="1"/>
  <c r="G3" i="10" a="1"/>
  <c r="G3" i="10" s="1"/>
  <c r="D62" i="32"/>
  <c r="J62" i="32"/>
  <c r="M3" i="10" a="1"/>
  <c r="M3" i="10" s="1"/>
  <c r="H62" i="32"/>
  <c r="K3" i="10" a="1"/>
  <c r="K3" i="10" s="1"/>
  <c r="P3" i="10" a="1"/>
  <c r="P3" i="10" s="1"/>
  <c r="M62" i="32"/>
  <c r="C67" i="32"/>
  <c r="C81" i="32" s="1"/>
  <c r="O67" i="32"/>
  <c r="O81" i="32" s="1"/>
  <c r="J80" i="32"/>
  <c r="N80" i="32"/>
  <c r="M80" i="32"/>
  <c r="O80" i="32" l="1"/>
  <c r="C80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tc={07E32D85-9472-407C-9C56-766C1809B9F1}</author>
    <author>Ngô Hải Yến(Ngo Hai Yen)</author>
    <author>Nguyễn Thị Phương Anh(Nguyen Thi Phuong Anh)</author>
    <author>Lê Thị Mai Hương(Le Thi Mai Huong)</author>
    <author>tc={1CB4761D-F89F-4D04-AB42-CAEEDDE06851}</author>
    <author>tc={731B0EF2-BF99-4851-AC23-6E5A01AA3FAC}</author>
    <author>tc={B4A530F7-D02E-4A20-8D65-B9F858955C6A}</author>
    <author>tc={802A7E34-B102-4E4B-9CB6-788A497D5E74}</author>
    <author>tc={15ADCE70-B473-4A51-94AB-A31E6E9DAB06}</author>
    <author>tc={C3D7FA29-AE9E-4F47-93FA-8BEA8A94AF76}</author>
    <author>tc={30C1B322-45CC-4D17-8D87-33E8B7AF7321}</author>
    <author>tc={363677DF-04B1-4BCF-B22A-742466AC993B}</author>
    <author>tc={262D1683-A5AA-4EF2-91B1-C7B29E5DB5DF}</author>
    <author>tc={B99C5565-1E9C-4D3A-A2C8-CFA2663AA509}</author>
    <author>tc={CFA97D13-0794-4F2B-8142-F73DD543B468}</author>
    <author>tc={FEA7E315-D3E0-494A-AE09-3F4FCEA221C0}</author>
    <author>tc={604E143E-49D4-45CE-8E36-DD876E4F3486}</author>
    <author>tc={4FFA1829-4766-4A21-9970-566AE826FC0A}</author>
    <author>tc={E46331DA-7F6D-4D2C-B3C2-8AFC9D025F06}</author>
    <author>kyocera</author>
  </authors>
  <commentList>
    <comment ref="E3" authorId="0" shapeId="0" xr:uid="{7C8A524B-8923-4741-9F42-895C7FE98380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I25" authorId="1" shapeId="0" xr:uid="{07E32D85-9472-407C-9C56-766C1809B9F1}">
      <text>
        <t>[Threaded comment]
Your version of Excel allows you to read this threaded comment; however, any edits to it will get removed if the file is opened in a newer version of Excel. Learn more: https://go.microsoft.com/fwlink/?linkid=870924
Comment:
    新人採用</t>
      </text>
    </comment>
    <comment ref="F40" authorId="2" shapeId="0" xr:uid="{6139CACB-42C6-4028-A8E7-F1A3A0C8DB7F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CURRENT PROBE YOKOGAWA (PBC100)</t>
        </r>
      </text>
    </comment>
    <comment ref="G40" authorId="2" shapeId="0" xr:uid="{BD77827F-2E00-47C1-81BD-77D7D91C73AD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</t>
        </r>
      </text>
    </comment>
    <comment ref="H40" authorId="2" shapeId="0" xr:uid="{616A4979-23BD-48CA-9A9F-9DB970AEE6C2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I40" authorId="2" shapeId="0" xr:uid="{A2B6629E-F9CE-4B5B-8B3C-84163388AF4A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J40" authorId="2" shapeId="0" xr:uid="{D97EB5B0-BA24-4539-8A47-6F17201C9FF6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K40" authorId="2" shapeId="0" xr:uid="{DF9DBBA3-7BA9-4603-984E-569B205C4868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L40" authorId="2" shapeId="0" xr:uid="{AD7A38D9-9C35-4866-AF5B-95ECCBCF850C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M40" authorId="2" shapeId="0" xr:uid="{C6BA74DB-92EC-47B8-8D60-73BE9946BE84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N40" authorId="2" shapeId="0" xr:uid="{AAEE6FB9-928D-4D3F-91AB-1DF55176F42F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O40" authorId="2" shapeId="0" xr:uid="{0CA243BE-97B3-404A-872D-55AA6D256B6B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P40" authorId="2" shapeId="0" xr:uid="{3C304AA6-C897-47EC-9DE7-9A2D03B5C41A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Q40" authorId="2" shapeId="0" xr:uid="{97725C40-2BED-4345-8E2B-190B0206910E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I127" authorId="3" shapeId="0" xr:uid="{5E63F196-54FB-4CBF-B729-750B30F098A9}">
      <text>
        <r>
          <rPr>
            <b/>
            <sz val="9"/>
            <color indexed="81"/>
            <rFont val="Tahoma"/>
            <family val="2"/>
          </rPr>
          <t>Ngô Hải Yến:</t>
        </r>
        <r>
          <rPr>
            <sz val="9"/>
            <color indexed="81"/>
            <rFont val="Tahoma"/>
            <family val="2"/>
          </rPr>
          <t xml:space="preserve">
1人分</t>
        </r>
      </text>
    </comment>
    <comment ref="I129" authorId="2" shapeId="0" xr:uid="{83C1B356-E4C0-4415-9C74-B71C2A6D2BE2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新人：１人</t>
        </r>
      </text>
    </comment>
    <comment ref="I130" authorId="3" shapeId="0" xr:uid="{6071F5D3-09EE-4C34-94B7-D58874C8AC25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1人分</t>
        </r>
      </text>
    </comment>
    <comment ref="H148" authorId="4" shapeId="0" xr:uid="{AD9BF237-76BE-4F11-8AA8-74A73AD9A18B}">
      <text>
        <r>
          <rPr>
            <b/>
            <sz val="9"/>
            <color indexed="81"/>
            <rFont val="Tahoma"/>
            <family val="2"/>
          </rPr>
          <t>Lê Thị Mai Hương(Le Thi Mai Huong):</t>
        </r>
        <r>
          <rPr>
            <sz val="9"/>
            <color indexed="81"/>
            <rFont val="Tahoma"/>
            <family val="2"/>
          </rPr>
          <t xml:space="preserve">
88,000 yên (nửa tháng)</t>
        </r>
      </text>
    </comment>
    <comment ref="J158" authorId="2" shapeId="0" xr:uid="{A27A7A0C-9B6E-4ABD-AB49-46F31419FAA6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Tuyển thêm 1 người mới vào tháng 7</t>
        </r>
      </text>
    </comment>
    <comment ref="I193" authorId="5" shapeId="0" xr:uid="{1CB4761D-F89F-4D04-AB42-CAEEDDE06851}">
      <text>
        <t>[Threaded comment]
Your version of Excel allows you to read this threaded comment; however, any edits to it will get removed if the file is opened in a newer version of Excel. Learn more: https://go.microsoft.com/fwlink/?linkid=870924
Comment:
    Tektronix TDS3034C　　</t>
      </text>
    </comment>
    <comment ref="O193" authorId="6" shapeId="0" xr:uid="{731B0EF2-BF99-4851-AC23-6E5A01AA3FAC}">
      <text>
        <t>[Threaded comment]
Your version of Excel allows you to read this threaded comment; however, any edits to it will get removed if the file is opened in a newer version of Excel. Learn more: https://go.microsoft.com/fwlink/?linkid=870924
Comment:
    Tektronix TDS3034C　　</t>
      </text>
    </comment>
    <comment ref="Q193" authorId="7" shapeId="0" xr:uid="{B4A530F7-D02E-4A20-8D65-B9F85895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Yokogawa  DLM5058-F-HE　　</t>
      </text>
    </comment>
    <comment ref="J194" authorId="8" shapeId="0" xr:uid="{802A7E34-B102-4E4B-9CB6-788A497D5E74}">
      <text>
        <t>[Threaded comment]
Your version of Excel allows you to read this threaded comment; however, any edits to it will get removed if the file is opened in a newer version of Excel. Learn more: https://go.microsoft.com/fwlink/?linkid=870924
Comment:
    Tektronix  P6015A</t>
      </text>
    </comment>
    <comment ref="Q194" authorId="9" shapeId="0" xr:uid="{15ADCE70-B473-4A51-94AB-A31E6E9DAB06}">
      <text>
        <t>[Threaded comment]
Your version of Excel allows you to read this threaded comment; however, any edits to it will get removed if the file is opened in a newer version of Excel. Learn more: https://go.microsoft.com/fwlink/?linkid=870924
Comment:
    Tektronix  P6015A</t>
      </text>
    </comment>
    <comment ref="G195" authorId="10" shapeId="0" xr:uid="{C3D7FA29-AE9E-4F47-93FA-8BEA8A94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Fluke 117</t>
      </text>
    </comment>
    <comment ref="H195" authorId="11" shapeId="0" xr:uid="{30C1B322-45CC-4D17-8D87-33E8B7AF7321}">
      <text>
        <t>[Threaded comment]
Your version of Excel allows you to read this threaded comment; however, any edits to it will get removed if the file is opened in a newer version of Excel. Learn more: https://go.microsoft.com/fwlink/?linkid=870924
Comment:
    Fluke 117</t>
      </text>
    </comment>
    <comment ref="L195" authorId="12" shapeId="0" xr:uid="{363677DF-04B1-4BCF-B22A-742466AC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Fluke 116</t>
      </text>
    </comment>
    <comment ref="N195" authorId="13" shapeId="0" xr:uid="{262D1683-A5AA-4EF2-91B1-C7B29E5DB5DF}">
      <text>
        <t>[Threaded comment]
Your version of Excel allows you to read this threaded comment; however, any edits to it will get removed if the file is opened in a newer version of Excel. Learn more: https://go.microsoft.com/fwlink/?linkid=870924
Comment:
    Fluke 287</t>
      </text>
    </comment>
    <comment ref="O195" authorId="14" shapeId="0" xr:uid="{B99C5565-1E9C-4D3A-A2C8-CFA2663AA509}">
      <text>
        <t>[Threaded comment]
Your version of Excel allows you to read this threaded comment; however, any edits to it will get removed if the file is opened in a newer version of Excel. Learn more: https://go.microsoft.com/fwlink/?linkid=870924
Comment:
    Fluke 117</t>
      </text>
    </comment>
    <comment ref="F196" authorId="15" shapeId="0" xr:uid="{CFA97D13-0794-4F2B-8142-F73DD543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TCP202A</t>
      </text>
    </comment>
    <comment ref="H196" authorId="16" shapeId="0" xr:uid="{FEA7E315-D3E0-494A-AE09-3F4FCEA221C0}">
      <text>
        <t>[Threaded comment]
Your version of Excel allows you to read this threaded comment; however, any edits to it will get removed if the file is opened in a newer version of Excel. Learn more: https://go.microsoft.com/fwlink/?linkid=870924
Comment:
    Yokogawa 701928</t>
      </text>
    </comment>
    <comment ref="Q196" authorId="17" shapeId="0" xr:uid="{604E143E-49D4-45CE-8E36-DD876E4F3486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Textronic TCP202A　</t>
      </text>
    </comment>
    <comment ref="N197" authorId="18" shapeId="0" xr:uid="{4FFA1829-4766-4A21-9970-566AE826FC0A}">
      <text>
        <t>[Threaded comment]
Your version of Excel allows you to read this threaded comment; however, any edits to it will get removed if the file is opened in a newer version of Excel. Learn more: https://go.microsoft.com/fwlink/?linkid=870924
Comment:
    LCR-9183</t>
      </text>
    </comment>
    <comment ref="N198" authorId="19" shapeId="0" xr:uid="{E46331DA-7F6D-4D2C-B3C2-8AFC9D025F06}">
      <text>
        <t>[Threaded comment]
Your version of Excel allows you to read this threaded comment; however, any edits to it will get removed if the file is opened in a newer version of Excel. Learn more: https://go.microsoft.com/fwlink/?linkid=870924
Comment:
    HD-1200E</t>
      </text>
    </comment>
    <comment ref="H237" authorId="4" shapeId="0" xr:uid="{3462404C-5E3C-4CE1-BDB5-B74DAB49AA3B}">
      <text>
        <r>
          <rPr>
            <b/>
            <sz val="9"/>
            <color indexed="81"/>
            <rFont val="Tahoma"/>
            <family val="2"/>
          </rPr>
          <t>Lê Thị Mai Hương(Le Thi Mai Huong):</t>
        </r>
        <r>
          <rPr>
            <sz val="9"/>
            <color indexed="81"/>
            <rFont val="Tahoma"/>
            <family val="2"/>
          </rPr>
          <t xml:space="preserve">
tiền gửi hồ sơ xin visa</t>
        </r>
      </text>
    </comment>
    <comment ref="J240" authorId="2" shapeId="0" xr:uid="{FF02118D-8C5D-4CB1-87B5-A9724E718A61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Tháng 7 tuyển thêm 1 người</t>
        </r>
      </text>
    </comment>
    <comment ref="I245" authorId="2" shapeId="0" xr:uid="{78264C58-F690-424D-A705-FE4474295053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新人：1人</t>
        </r>
      </text>
    </comment>
    <comment ref="I246" authorId="20" shapeId="0" xr:uid="{D44D09EB-7990-4FDE-B9E2-0B17C11F8FD4}">
      <text>
        <r>
          <rPr>
            <b/>
            <sz val="9"/>
            <color indexed="81"/>
            <rFont val="ＭＳ Ｐゴシック"/>
            <family val="3"/>
            <charset val="128"/>
          </rPr>
          <t>Yen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48" authorId="20" shapeId="0" xr:uid="{99C6F201-FEE2-47B7-898D-ABBD09D28C5E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50" authorId="20" shapeId="0" xr:uid="{B6DF6029-8C5F-4553-8062-C9796861702F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51" authorId="20" shapeId="0" xr:uid="{AE646BC1-5F8A-4114-A0C4-7764E22E560E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52" authorId="20" shapeId="0" xr:uid="{10DDB9F5-56F5-4EF6-858D-AD3CCDFD4A23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F269" authorId="20" shapeId="0" xr:uid="{2ACA943E-A53F-44D6-AF5E-F280E6FCABCF}">
      <text>
        <r>
          <rPr>
            <b/>
            <sz val="9"/>
            <color indexed="81"/>
            <rFont val="Tahoma"/>
            <family val="2"/>
          </rPr>
          <t>Yen:
Ban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,V</t>
        </r>
        <r>
          <rPr>
            <b/>
            <sz val="9"/>
            <color indexed="81"/>
            <rFont val="ＭＳ Ｐゴシック"/>
            <family val="3"/>
            <charset val="128"/>
          </rPr>
          <t>．</t>
        </r>
        <r>
          <rPr>
            <b/>
            <sz val="9"/>
            <color indexed="81"/>
            <rFont val="Tahoma"/>
            <family val="2"/>
          </rPr>
          <t>Cuong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G269" authorId="20" shapeId="0" xr:uid="{871545C9-8BE6-446B-BB83-E8C6F4A663A7}">
      <text>
        <r>
          <rPr>
            <b/>
            <sz val="9"/>
            <color indexed="81"/>
            <rFont val="Tahoma"/>
            <family val="2"/>
          </rPr>
          <t>Yen:
My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,He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さん
</t>
        </r>
      </text>
    </comment>
    <comment ref="J269" authorId="20" shapeId="0" xr:uid="{AD753ED4-3EE1-4CB5-B81D-377C29C35A58}">
      <text>
        <r>
          <rPr>
            <b/>
            <sz val="9"/>
            <color indexed="81"/>
            <rFont val="Tahoma"/>
            <family val="2"/>
          </rPr>
          <t>Yen:
Duong</t>
        </r>
        <r>
          <rPr>
            <b/>
            <sz val="9"/>
            <color indexed="81"/>
            <rFont val="ＭＳ Ｐゴシック"/>
            <family val="3"/>
            <charset val="128"/>
          </rPr>
          <t>さん
FY2027の新人：１人
FY2026の新人：１人</t>
        </r>
      </text>
    </comment>
    <comment ref="K269" authorId="20" shapeId="0" xr:uid="{3F161ADB-D350-4A7B-A062-1BA64032E5D2}">
      <text>
        <r>
          <rPr>
            <b/>
            <sz val="9"/>
            <color indexed="81"/>
            <rFont val="Tahoma"/>
            <family val="2"/>
          </rPr>
          <t>Yen:
C.Cuong</t>
        </r>
        <r>
          <rPr>
            <b/>
            <sz val="9"/>
            <color indexed="81"/>
            <rFont val="ＭＳ Ｐゴシック"/>
            <family val="3"/>
            <charset val="128"/>
          </rPr>
          <t>さん、新人</t>
        </r>
      </text>
    </comment>
    <comment ref="L269" authorId="20" shapeId="0" xr:uid="{8880851F-E85A-4505-9002-EF343F6F5DE0}">
      <text>
        <r>
          <rPr>
            <b/>
            <sz val="9"/>
            <color indexed="81"/>
            <rFont val="Tahoma"/>
            <family val="2"/>
          </rPr>
          <t>Yen:
Huy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M269" authorId="20" shapeId="0" xr:uid="{A21A5EF3-98DE-43F4-BA61-A2D90CCFC0D4}">
      <text>
        <r>
          <rPr>
            <b/>
            <sz val="9"/>
            <color indexed="81"/>
            <rFont val="Tahoma"/>
            <family val="2"/>
          </rPr>
          <t>Yen:
The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,Tan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O269" authorId="20" shapeId="0" xr:uid="{D5983103-4A17-4C14-8FCB-CAE2DECFBE6C}">
      <text>
        <r>
          <rPr>
            <b/>
            <sz val="9"/>
            <color indexed="81"/>
            <rFont val="Tahoma"/>
            <family val="2"/>
          </rPr>
          <t>Yen:
Duc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,Hai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P269" authorId="20" shapeId="0" xr:uid="{FEDA9CC6-5485-499D-8CBB-A5AA9B734A59}">
      <text>
        <r>
          <rPr>
            <b/>
            <sz val="9"/>
            <color indexed="81"/>
            <rFont val="Tahoma"/>
            <family val="2"/>
          </rPr>
          <t>Yen:
Luat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,Tu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Q269" authorId="20" shapeId="0" xr:uid="{F7A899A1-877B-46F8-AD8D-B46C51FE44A8}">
      <text>
        <r>
          <rPr>
            <b/>
            <sz val="9"/>
            <color indexed="81"/>
            <rFont val="Tahoma"/>
            <family val="2"/>
          </rPr>
          <t>Yen:
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,Nam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,Dat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L270" authorId="2" shapeId="0" xr:uid="{35F3732A-4F85-4955-8582-C5790DE87E37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Chị Luật vào cty từ 1/6/2026
Đối tượng áp dụng: Công nhân viên vào công ty từ 01/11/2015 đến 31/10/2016 (10 năm) </t>
        </r>
      </text>
    </comment>
    <comment ref="L271" authorId="3" shapeId="0" xr:uid="{3DD193B3-0BED-41A4-95B3-92F5B3FEEC5B}">
      <text>
        <r>
          <rPr>
            <b/>
            <sz val="9"/>
            <color indexed="81"/>
            <rFont val="Tahoma"/>
            <family val="2"/>
          </rPr>
          <t>Yen:冬服</t>
        </r>
        <r>
          <rPr>
            <sz val="9"/>
            <color indexed="81"/>
            <rFont val="Tahoma"/>
            <family val="2"/>
          </rPr>
          <t xml:space="preserve">
新人: 1人</t>
        </r>
      </text>
    </comment>
    <comment ref="I272" authorId="3" shapeId="0" xr:uid="{F88B6443-A756-4753-ABCE-1FE997293960}">
      <text>
        <r>
          <rPr>
            <b/>
            <sz val="9"/>
            <color indexed="81"/>
            <rFont val="Tahoma"/>
            <family val="2"/>
          </rPr>
          <t xml:space="preserve">Yen：夏服
</t>
        </r>
        <r>
          <rPr>
            <sz val="9"/>
            <color indexed="81"/>
            <rFont val="Tahoma"/>
            <family val="2"/>
          </rPr>
          <t>新人: 1人</t>
        </r>
      </text>
    </comment>
    <comment ref="I273" authorId="20" shapeId="0" xr:uid="{2A6942B4-9E4F-426A-AAA3-3A2A5B261385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75" authorId="20" shapeId="0" xr:uid="{B4247FFA-217A-400E-9C30-049D8F701FA1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76" authorId="20" shapeId="0" xr:uid="{63AB0AD1-D614-4DAB-8665-0C4D21FBF279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J278" authorId="20" shapeId="0" xr:uid="{E2F9125B-E851-41A1-ACC7-DF27A410821F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新人：1人</t>
        </r>
      </text>
    </comment>
    <comment ref="I289" authorId="2" shapeId="0" xr:uid="{6CE3D43E-2C89-40CF-A7B6-C5141167DA69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 Đối tượng tham gia: Công nhân viên vào trước ngày 31/3</t>
        </r>
      </text>
    </comment>
    <comment ref="L296" authorId="2" shapeId="0" xr:uid="{2D36B8B7-3CF9-4FC5-8438-19E4F0888506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 Sự kiện tri ân ngày thành lập công ty </t>
        </r>
      </text>
    </comment>
    <comment ref="H298" authorId="4" shapeId="0" xr:uid="{37E897B5-1557-4A19-B409-094E7BB77A66}">
      <text>
        <r>
          <rPr>
            <b/>
            <sz val="9"/>
            <color indexed="81"/>
            <rFont val="Tahoma"/>
            <family val="2"/>
          </rPr>
          <t>Lê Thị Mai Hương(Le Thi Mai Huong):</t>
        </r>
        <r>
          <rPr>
            <sz val="9"/>
            <color indexed="81"/>
            <rFont val="Tahoma"/>
            <family val="2"/>
          </rPr>
          <t xml:space="preserve">
英語試験費用</t>
        </r>
      </text>
    </comment>
    <comment ref="K298" authorId="4" shapeId="0" xr:uid="{38C969B6-E500-456C-B322-51E07D7CEF03}">
      <text>
        <r>
          <rPr>
            <b/>
            <sz val="9"/>
            <color indexed="81"/>
            <rFont val="Tahoma"/>
            <family val="2"/>
          </rPr>
          <t>Lê Thị Mai Hương(Le Thi Mai Huong):</t>
        </r>
        <r>
          <rPr>
            <sz val="9"/>
            <color indexed="81"/>
            <rFont val="Tahoma"/>
            <family val="2"/>
          </rPr>
          <t xml:space="preserve">
英語試験費用</t>
        </r>
      </text>
    </comment>
    <comment ref="L298" authorId="4" shapeId="0" xr:uid="{D70F3D71-E75F-46F6-94A1-F68F085B1383}">
      <text>
        <r>
          <rPr>
            <b/>
            <sz val="9"/>
            <color indexed="81"/>
            <rFont val="Tahoma"/>
            <family val="2"/>
          </rPr>
          <t>Lê Thị Mai Hương(Le Thi Mai Huong):
JLPT</t>
        </r>
        <r>
          <rPr>
            <sz val="9"/>
            <color indexed="81"/>
            <rFont val="Tahoma"/>
            <family val="2"/>
          </rPr>
          <t>受験料</t>
        </r>
      </text>
    </comment>
    <comment ref="N298" authorId="4" shapeId="0" xr:uid="{4EA456CD-2780-42AF-A175-7DB829EE2893}">
      <text>
        <r>
          <rPr>
            <b/>
            <sz val="9"/>
            <color indexed="81"/>
            <rFont val="Tahoma"/>
            <family val="2"/>
          </rPr>
          <t>Lê Thị Mai Hương(Le Thi Mai Huong):</t>
        </r>
        <r>
          <rPr>
            <sz val="9"/>
            <color indexed="81"/>
            <rFont val="Tahoma"/>
            <family val="2"/>
          </rPr>
          <t xml:space="preserve">
英語試験費用</t>
        </r>
      </text>
    </comment>
    <comment ref="Q298" authorId="4" shapeId="0" xr:uid="{67961F06-AF41-486E-96BF-6D34FFD337D8}">
      <text>
        <r>
          <rPr>
            <b/>
            <sz val="9"/>
            <color indexed="81"/>
            <rFont val="Tahoma"/>
            <family val="2"/>
          </rPr>
          <t>Lê Thị Mai Hương(Le Thi Mai Huong):
JLPT</t>
        </r>
        <r>
          <rPr>
            <sz val="9"/>
            <color indexed="81"/>
            <rFont val="Tahoma"/>
            <family val="2"/>
          </rPr>
          <t>受験料</t>
        </r>
      </text>
    </comment>
    <comment ref="F302" authorId="2" shapeId="0" xr:uid="{F21A794E-15F7-47ED-8D35-18D4FD21D625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CURRENT PROBE YOKOGAWA (PBC100)</t>
        </r>
      </text>
    </comment>
    <comment ref="G302" authorId="2" shapeId="0" xr:uid="{823E2839-9568-417C-B0BB-C46F5AAE5C50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CURRENT PROBE YOKOGAWA (PBC100)
固定資産金利2026年5月から: 14.9</t>
        </r>
      </text>
    </comment>
    <comment ref="H302" authorId="2" shapeId="0" xr:uid="{356400C9-4173-4B83-B4D4-5AEC74530B7E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</t>
        </r>
      </text>
    </comment>
    <comment ref="I302" authorId="2" shapeId="0" xr:uid="{5D4026CC-436B-40A5-9B63-C2B779DCCC0B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J302" authorId="2" shapeId="0" xr:uid="{3DDFD56F-5C13-4429-A1F4-47ED0A78F366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K302" authorId="2" shapeId="0" xr:uid="{C44FCA3E-1830-4AB1-8CB2-606C6A2801BD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L302" authorId="2" shapeId="0" xr:uid="{3C1E9FDF-CF22-429E-BB3E-C9796CC862BC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M302" authorId="2" shapeId="0" xr:uid="{8E56BFE4-DEF1-435D-97D4-1343845D2D8A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N302" authorId="2" shapeId="0" xr:uid="{A65B7233-1A64-4375-983F-CE2CC3D08735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O302" authorId="2" shapeId="0" xr:uid="{4CFC7D54-284A-46FB-8EBF-79C94E16FB9D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P302" authorId="2" shapeId="0" xr:uid="{E400F333-5F4C-4210-A479-559677229C09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  <comment ref="Q302" authorId="2" shapeId="0" xr:uid="{EE745846-295B-4998-9DC4-5B6FFBFC7F9B}">
      <text>
        <r>
          <rPr>
            <b/>
            <sz val="9"/>
            <color indexed="81"/>
            <rFont val="Tahoma"/>
            <family val="2"/>
          </rPr>
          <t>Ngô Hải Yến(Ngo Hai Yen):</t>
        </r>
        <r>
          <rPr>
            <sz val="9"/>
            <color indexed="81"/>
            <rFont val="Tahoma"/>
            <family val="2"/>
          </rPr>
          <t xml:space="preserve">
+ CURRENT PROBE YOKOGAWA (PBC100)
+ 差動プローブ(横河計測、701978)
+ strain gauge(ひずみ測定器、KYOWA製 DPM-900+α)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702C510B-8310-41E0-A8EE-B979EBCE2176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<sst xmlns="http://schemas.openxmlformats.org/spreadsheetml/2006/main" count="1881" uniqueCount="946">
  <si>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</si>
  <si>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</si>
  <si>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</si>
  <si>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</si>
  <si>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</si>
  <si>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</si>
  <si>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</si>
  <si>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</si>
  <si>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</si>
  <si>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</si>
  <si>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</si>
  <si>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</si>
  <si>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</si>
  <si>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</si>
  <si>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</si>
  <si>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</si>
  <si>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</si>
  <si>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</si>
  <si>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</si>
  <si>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</si>
  <si>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</si>
  <si>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</si>
  <si>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</si>
  <si>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</si>
  <si>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</si>
  <si>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</si>
  <si>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</si>
  <si>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</si>
  <si>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</si>
  <si>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</si>
  <si>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</si>
  <si>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</si>
  <si>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</si>
  <si>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</si>
  <si>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</si>
  <si>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</si>
  <si>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</si>
  <si>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</si>
  <si>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</si>
  <si>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</si>
  <si>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</si>
  <si>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</si>
  <si>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</si>
  <si>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</si>
  <si>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</si>
  <si>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</si>
  <si>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</si>
  <si>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</si>
  <si>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</si>
  <si>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</si>
  <si>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</si>
  <si>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</si>
  <si>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</si>
  <si>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</si>
  <si>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</si>
  <si>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</si>
  <si>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</si>
  <si>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</si>
  <si>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</si>
  <si>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</si>
  <si>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</si>
  <si>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</si>
  <si>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</si>
  <si>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</si>
  <si>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</si>
  <si>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</si>
  <si>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</si>
  <si>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</si>
  <si>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</si>
  <si>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</si>
  <si>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</si>
  <si>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</si>
  <si>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</si>
  <si>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</si>
  <si>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</si>
  <si>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</si>
  <si>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</si>
  <si>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</si>
  <si>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</si>
  <si>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</si>
  <si>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</si>
  <si>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</si>
  <si>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</si>
  <si>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</si>
  <si>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</si>
  <si>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</si>
  <si>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</si>
  <si>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</si>
  <si>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</si>
  <si>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</si>
  <si>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</si>
  <si>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</si>
  <si>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</si>
  <si>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</si>
  <si>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</si>
  <si>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</si>
  <si>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</si>
  <si>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</si>
  <si>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</si>
  <si>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</si>
  <si>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</si>
  <si>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</si>
  <si>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</si>
  <si>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</si>
  <si>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</si>
  <si>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</si>
  <si>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</si>
  <si>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</si>
  <si>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</si>
  <si>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</si>
  <si>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</si>
  <si>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</si>
  <si>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</si>
  <si>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</si>
  <si>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</si>
  <si>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</si>
  <si>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</si>
  <si>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</si>
  <si>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</si>
  <si>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</si>
  <si>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</si>
  <si>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</si>
  <si>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</si>
  <si>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</si>
  <si>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</si>
  <si>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</si>
  <si>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</si>
  <si>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</si>
  <si>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</si>
  <si>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</si>
  <si>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</si>
  <si>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</si>
  <si>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</si>
  <si>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</si>
  <si>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</si>
  <si>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</si>
  <si>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</si>
  <si>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</si>
  <si>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</si>
  <si>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</si>
  <si>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</si>
  <si>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</si>
  <si>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</si>
  <si>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</si>
  <si>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</si>
  <si>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</si>
  <si>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</si>
  <si>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</si>
  <si>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</si>
  <si>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</si>
  <si>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</si>
  <si>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</si>
  <si>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</si>
  <si>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</si>
  <si>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</si>
  <si>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</si>
  <si>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</si>
  <si>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</si>
  <si>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</si>
  <si>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</si>
  <si>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</si>
  <si>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</si>
  <si>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</si>
  <si>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</si>
  <si>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</si>
  <si>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</si>
  <si>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</si>
  <si>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</si>
  <si>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</si>
  <si>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</si>
  <si>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</si>
  <si>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</si>
  <si>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</si>
  <si>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</si>
  <si>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</si>
  <si>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</si>
  <si>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</si>
  <si>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</si>
  <si>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</si>
  <si>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</si>
  <si>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</si>
  <si>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</si>
  <si>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</si>
  <si>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</si>
  <si>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</si>
  <si>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</si>
  <si>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</si>
  <si>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</si>
  <si>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</si>
  <si>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</si>
  <si>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</si>
  <si>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</si>
  <si>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</si>
  <si>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</si>
  <si>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</si>
  <si>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</si>
  <si>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</si>
  <si>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</si>
  <si>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</si>
  <si>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</si>
  <si>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</si>
  <si>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</si>
  <si>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</si>
  <si>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</si>
  <si>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</si>
  <si>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</si>
  <si>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</si>
  <si>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</si>
  <si>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</si>
  <si>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</si>
  <si>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</si>
  <si>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</si>
  <si>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</si>
  <si>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</si>
  <si>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</si>
  <si>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</si>
  <si>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</si>
  <si>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</si>
  <si>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</si>
  <si>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</si>
  <si>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</si>
  <si>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</si>
  <si>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</si>
  <si>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</si>
  <si>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</si>
  <si>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</si>
  <si>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</si>
  <si>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</si>
  <si>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</si>
  <si>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</si>
  <si>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</si>
  <si>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</si>
  <si>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</si>
  <si>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</si>
  <si>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</si>
  <si>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</si>
  <si>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</si>
  <si>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</si>
  <si>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</si>
  <si>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</si>
  <si>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</si>
  <si>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</si>
  <si>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</si>
  <si>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</si>
  <si>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</si>
  <si>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</si>
  <si>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</si>
  <si>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</si>
  <si>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</si>
  <si>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</si>
  <si>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</si>
  <si>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</si>
  <si>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</si>
  <si>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</si>
  <si>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</si>
  <si>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</si>
  <si>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</si>
  <si>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</si>
  <si>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</si>
  <si>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</si>
  <si>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</si>
  <si>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</si>
  <si>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</si>
  <si>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</si>
  <si>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</si>
  <si>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</si>
  <si>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</si>
  <si>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</si>
  <si>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</si>
  <si>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</si>
  <si>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</si>
  <si>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</si>
  <si>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</si>
  <si>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</si>
  <si>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</si>
  <si>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</si>
  <si>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</si>
  <si>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</si>
  <si>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</si>
  <si>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</si>
  <si>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</si>
  <si>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</si>
  <si>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</si>
  <si>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</si>
  <si>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</si>
  <si>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</si>
  <si>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</si>
  <si>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</si>
  <si>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</si>
  <si>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</si>
  <si>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</si>
  <si>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</si>
  <si>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</si>
  <si>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</si>
  <si>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</si>
  <si>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</si>
  <si>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</si>
  <si>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</si>
  <si>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</si>
  <si>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</si>
  <si>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</si>
  <si>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</si>
  <si>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</si>
  <si>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</si>
  <si>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</si>
  <si>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</si>
  <si>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</si>
  <si>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</si>
  <si>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</si>
  <si>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</si>
  <si>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</si>
  <si>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</si>
  <si>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</si>
  <si>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</si>
  <si>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</si>
  <si>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</si>
  <si>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</si>
  <si>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</si>
  <si>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</si>
  <si>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</si>
  <si>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</si>
  <si>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</si>
  <si>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</si>
  <si>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</si>
  <si>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</si>
  <si>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</si>
  <si>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</si>
  <si>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</si>
  <si>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</si>
  <si>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</si>
  <si>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</si>
  <si>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</si>
  <si>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</si>
  <si>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</si>
  <si>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</si>
  <si>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</si>
  <si>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</si>
  <si>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</si>
  <si>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</si>
  <si>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</si>
  <si>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</si>
  <si>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</si>
  <si>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</si>
  <si>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</si>
  <si>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</si>
  <si>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</si>
  <si>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</si>
  <si>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</si>
  <si>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</si>
  <si>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</si>
  <si>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</si>
  <si>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</si>
  <si>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</si>
  <si>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</si>
  <si>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</si>
  <si>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</si>
  <si>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</si>
  <si>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</si>
  <si>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</si>
  <si>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</si>
  <si>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</si>
  <si>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</si>
  <si>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</si>
  <si>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</si>
  <si>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</si>
  <si>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</si>
  <si>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</si>
  <si>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</si>
  <si>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</si>
  <si>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</si>
  <si>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</si>
  <si>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</si>
  <si>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</si>
  <si>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</si>
  <si>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</si>
  <si>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</si>
  <si>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</si>
  <si>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</si>
  <si>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</si>
  <si>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</si>
  <si>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</si>
  <si>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</si>
  <si>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</si>
  <si>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</si>
  <si>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</si>
  <si>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</si>
  <si>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</si>
  <si>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</si>
  <si>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</si>
  <si>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</si>
  <si>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</si>
  <si>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</si>
  <si>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</si>
  <si>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</si>
  <si>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</si>
  <si>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</si>
  <si>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</si>
  <si>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</si>
  <si>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</si>
  <si>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</si>
  <si>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</si>
  <si>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</si>
  <si>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</si>
  <si>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</si>
  <si>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</si>
  <si>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</si>
  <si>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</si>
  <si>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</si>
  <si>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</si>
  <si>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</si>
  <si>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</si>
  <si>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</si>
  <si>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</si>
  <si>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</si>
  <si>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</si>
  <si>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</si>
  <si>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</si>
  <si>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</si>
  <si>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</si>
  <si>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</si>
  <si>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</si>
  <si>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</si>
  <si>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</si>
  <si>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</si>
  <si>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</si>
  <si>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</si>
  <si>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</si>
  <si>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</si>
  <si>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</si>
  <si>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</si>
  <si>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</si>
  <si>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</si>
  <si>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</si>
  <si>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</si>
  <si>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</si>
  <si>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</si>
  <si>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</si>
  <si>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</si>
  <si>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</si>
  <si>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</si>
  <si>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</si>
  <si>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</si>
  <si>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</si>
  <si>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</si>
  <si>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</si>
  <si>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</si>
  <si>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</si>
  <si>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</si>
  <si>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</si>
  <si>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</si>
  <si>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</si>
  <si>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</si>
  <si>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</si>
  <si>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</si>
  <si>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</si>
  <si>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</si>
  <si>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</si>
  <si>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</si>
  <si>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</si>
  <si>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</si>
  <si>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</si>
  <si>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</si>
  <si>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</si>
  <si>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</si>
  <si>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</si>
  <si>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</si>
  <si>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</si>
  <si>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</si>
  <si>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</si>
  <si>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</si>
  <si>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</si>
  <si>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</si>
  <si>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</si>
  <si>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</si>
  <si>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</si>
  <si>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</si>
  <si>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</si>
  <si>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</si>
  <si>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</si>
  <si>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</si>
  <si>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</si>
  <si>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</si>
  <si>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</si>
  <si>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</si>
  <si>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</si>
  <si>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</si>
  <si>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</si>
  <si>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</si>
  <si>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</si>
  <si>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</si>
  <si>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</si>
  <si>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</si>
  <si>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</si>
  <si>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</si>
  <si>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</si>
  <si>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</si>
  <si>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</si>
  <si>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</si>
  <si>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</si>
  <si>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</si>
  <si>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</si>
  <si>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</si>
  <si>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</si>
  <si>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</si>
  <si>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</si>
  <si>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</si>
  <si>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</si>
  <si>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</si>
  <si>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</si>
  <si>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</si>
  <si>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</si>
  <si>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</si>
  <si>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</si>
  <si>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</si>
  <si>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</si>
  <si>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</si>
  <si>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</si>
  <si>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</si>
  <si>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</si>
  <si>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</si>
  <si>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</si>
  <si>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</si>
  <si>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</si>
  <si>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</si>
  <si>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</si>
  <si>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</si>
  <si>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</si>
  <si>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</si>
  <si>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</si>
  <si>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</si>
  <si>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</si>
  <si>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</si>
  <si>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</si>
  <si>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</si>
  <si>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</si>
  <si>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</si>
  <si>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</si>
  <si>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</si>
  <si>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</si>
  <si>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</si>
  <si>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</si>
  <si>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</si>
  <si>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</si>
  <si>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</si>
  <si>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</si>
  <si>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</si>
  <si>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</si>
  <si>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</si>
  <si>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</si>
  <si>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</si>
  <si>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</si>
  <si>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</si>
  <si>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</si>
  <si>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</si>
  <si>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</si>
  <si>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</si>
  <si>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</si>
  <si>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</si>
  <si>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</si>
  <si>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</si>
  <si>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</si>
  <si>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</si>
  <si>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</si>
  <si>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</si>
  <si>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</si>
  <si>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</si>
  <si>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</si>
  <si>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</si>
  <si>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</si>
  <si>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</si>
  <si>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</si>
  <si>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</si>
  <si>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</si>
  <si>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</si>
  <si>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</si>
  <si>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</si>
  <si>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</si>
  <si>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</si>
  <si>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</si>
  <si>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</si>
  <si>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</si>
  <si>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</si>
  <si>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</si>
  <si>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</si>
  <si>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</si>
  <si>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</si>
  <si>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</si>
  <si>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</si>
  <si>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</si>
  <si>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</si>
  <si>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</si>
  <si>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</si>
  <si>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</si>
  <si>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</si>
  <si>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</si>
  <si>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</si>
  <si>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</si>
  <si>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</si>
  <si>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</si>
  <si>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</si>
  <si>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</si>
  <si>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</si>
  <si>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</si>
  <si>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</si>
  <si>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</si>
  <si>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</si>
  <si>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</si>
  <si>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</si>
  <si>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</si>
  <si>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</si>
  <si>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</si>
  <si>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</si>
  <si>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</si>
  <si>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</si>
  <si>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</si>
  <si>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</si>
  <si>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</si>
  <si>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</si>
  <si>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</si>
  <si>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</si>
  <si>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</si>
  <si>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</si>
  <si>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</si>
  <si>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</si>
  <si>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</si>
  <si>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</si>
  <si>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</si>
  <si>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</si>
  <si>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</si>
  <si>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</si>
  <si>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</si>
  <si>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</si>
  <si>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</si>
  <si>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</si>
  <si>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</si>
  <si>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</si>
  <si>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</si>
  <si>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</si>
  <si>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</si>
  <si>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52.</t>
  </si>
  <si>
    <t>備考</t>
  </si>
  <si>
    <t>償却期間
(ヶ月)</t>
  </si>
  <si>
    <t>購入金額合計</t>
  </si>
  <si>
    <t>機器製造管理課</t>
  </si>
  <si>
    <t>製品管理課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</si>
  <si>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</si>
  <si>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</si>
  <si>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</si>
  <si>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</si>
  <si>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</si>
  <si>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</si>
  <si>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</si>
  <si>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</si>
  <si>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</si>
  <si>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</si>
  <si>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保安課</t>
  </si>
  <si>
    <t>部品検査2課</t>
  </si>
  <si>
    <t>部品検査1課</t>
  </si>
  <si>
    <t>ESD1課</t>
  </si>
  <si>
    <t>リスクマネジメント課</t>
  </si>
  <si>
    <t>ESD2課</t>
  </si>
  <si>
    <t>物流保険料（製）</t>
  </si>
  <si>
    <t>部外間接経費1</t>
  </si>
  <si>
    <t>部外間接経費2</t>
  </si>
  <si>
    <t>電工製造課</t>
  </si>
  <si>
    <t>MD4課</t>
  </si>
  <si>
    <t>5001016149</t>
  </si>
  <si>
    <t>5005166291</t>
  </si>
  <si>
    <t>5005196373</t>
  </si>
  <si>
    <t>5005196277</t>
  </si>
  <si>
    <t>5005246294</t>
  </si>
  <si>
    <t>5101016189</t>
  </si>
  <si>
    <r>
      <t>MP FY2027_</t>
    </r>
    <r>
      <rPr>
        <b/>
        <sz val="20"/>
        <color indexed="12"/>
        <rFont val="ＭＳ 明朝"/>
        <family val="1"/>
        <charset val="128"/>
      </rPr>
      <t>各予定</t>
    </r>
  </si>
  <si>
    <t>FY2027</t>
  </si>
  <si>
    <t>機器製造1課　</t>
  </si>
  <si>
    <t>機器製造２課　</t>
  </si>
  <si>
    <t>トナー品質管理課　</t>
  </si>
  <si>
    <t>部品管理1課</t>
  </si>
  <si>
    <t>トナー製造管理課　</t>
  </si>
  <si>
    <t>部品品質管理課</t>
  </si>
  <si>
    <t>1412C00001</t>
  </si>
  <si>
    <t>労働組合</t>
  </si>
  <si>
    <t>51.</t>
  </si>
  <si>
    <t>機器製造３課</t>
  </si>
  <si>
    <t>58.</t>
  </si>
  <si>
    <t>59.</t>
  </si>
  <si>
    <t>60.</t>
  </si>
  <si>
    <t>部品在庫管理課</t>
  </si>
  <si>
    <t>61</t>
  </si>
  <si>
    <t>64.</t>
  </si>
  <si>
    <t>63.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</si>
  <si>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</si>
  <si>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</si>
  <si>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</si>
  <si>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</si>
  <si>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</si>
  <si>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</si>
  <si>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</si>
  <si>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</si>
  <si>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</si>
  <si>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</si>
  <si>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</si>
  <si>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>減価償却費（一般）機器装置</t>
  </si>
  <si>
    <t>Thêm từ tháng 12/2024</t>
  </si>
  <si>
    <t>この分には間接部門から直接部門に配賦された数字</t>
  </si>
  <si>
    <t>建物</t>
  </si>
  <si>
    <t>土地</t>
  </si>
  <si>
    <t>Depreciation 工具治</t>
  </si>
  <si>
    <t>トイレットペーパー</t>
  </si>
  <si>
    <t>手洗い洗剤</t>
  </si>
  <si>
    <t>アルコール消毒</t>
  </si>
  <si>
    <t>Marking pen</t>
  </si>
  <si>
    <t>Sprayway 955 Anti Static</t>
  </si>
  <si>
    <t>冷却スプレー Nabakem SF-1013</t>
  </si>
  <si>
    <t>TH conect, conecR半田ブリッジ対応実験</t>
  </si>
  <si>
    <t>Battery 9V(13,000)</t>
  </si>
  <si>
    <t>Pin Energizer AA(26,500/pcs)</t>
  </si>
  <si>
    <t>Main pictor TV2YV01010　DL治具開発用＋Main pictor TV2YW01010 DL治具開発用</t>
  </si>
  <si>
    <t>Giá đỡ bút Marking (2P4WKA70)</t>
  </si>
  <si>
    <t>Panel LCD 3V2Y301040</t>
  </si>
  <si>
    <t>Vendor用Micro SD(8B) 単価:VND</t>
  </si>
  <si>
    <t>湿度計 単価:$28, LCRmeter Probe(SMDA-22)</t>
  </si>
  <si>
    <t>ノートPCのRAM　16gb</t>
  </si>
  <si>
    <t>Master用DVD $22(20pack)</t>
  </si>
  <si>
    <t>USB 10本(単価$7.5)</t>
  </si>
  <si>
    <t>ROMライター実装ベンダ支給用(MINATO)</t>
  </si>
  <si>
    <t>ROMライター実装ベンダ支給用(FSG)</t>
  </si>
  <si>
    <t>Test Board 10枚((7x9cm)単価24,000VND／(9x15cm)単価37,000VND)</t>
  </si>
  <si>
    <t>Arduino Nano V3.0 Atmega328P - USB CH340</t>
  </si>
  <si>
    <t>Resistor 5本(単価30,000)</t>
  </si>
  <si>
    <t>画像検査装置開発用PC</t>
  </si>
  <si>
    <t>画像検査装置用　OFFICE</t>
  </si>
  <si>
    <t>スタンレー 240V/40W グルーガン/Sung ban keo 240V/40W Stanley</t>
  </si>
  <si>
    <t>WebCam　C920/WebCam　C615</t>
  </si>
  <si>
    <t>Cable usb to lan 2.0 20254 Ugreen</t>
  </si>
  <si>
    <t>2NM PANEL KEY FT改造費\16,000　⇒　科目変更</t>
  </si>
  <si>
    <t>テスター購入費</t>
  </si>
  <si>
    <t>実験場の棚　単価6,800,000ＶＮＤｘ2</t>
  </si>
  <si>
    <t>GARNET選別用の温度プローブ
Temperature Sensor SE10605</t>
  </si>
  <si>
    <t>GARNET選別用ハーネス(3V2NM46020)</t>
  </si>
  <si>
    <t>GARNET選別用ハーネス(3V2NM46190)</t>
  </si>
  <si>
    <t>GARNET選別用ハーネス</t>
  </si>
  <si>
    <t>GARET選別用ドライヤ　 MAY KHO(GBH 630DCE)</t>
  </si>
  <si>
    <t>BRIGE UNIT DBU – 120A購入</t>
  </si>
  <si>
    <t>表面抵抗測定器：1台</t>
  </si>
  <si>
    <t>認定バッチ(1.2USD/pcs)</t>
  </si>
  <si>
    <t>Panel傾き確認治具</t>
  </si>
  <si>
    <t>治具修理用パーツ費:GPIF基板</t>
  </si>
  <si>
    <t>Libra Container FT修理部材（\4,800)10月追加</t>
  </si>
  <si>
    <t>Mebius E KeyR FT修理部材（\9,500)10月追加</t>
  </si>
  <si>
    <t>新人デスク(1set)</t>
  </si>
  <si>
    <t>画像検査装置備品(カメラ安定化部材)</t>
  </si>
  <si>
    <t>画像検査装置備品(usb HUB 4port)</t>
  </si>
  <si>
    <t>基板画像検査装置備品(2号機用)</t>
  </si>
  <si>
    <t>master SSD作成メイン基板</t>
  </si>
  <si>
    <t>master SSD作成用電源(5V-5A)</t>
  </si>
  <si>
    <t>棚治具でほこり防止PVC(1.4x30x0.5m)</t>
  </si>
  <si>
    <t>Master SSD購入品費</t>
  </si>
  <si>
    <t>Tablet Teclast X4</t>
  </si>
  <si>
    <t>Stick PC DX開発運用使用</t>
  </si>
  <si>
    <t>HP PC購入( EMSで治具リモート使用)</t>
  </si>
  <si>
    <t>新人ノートパソコン購入</t>
  </si>
  <si>
    <t>HP PCのOS購入( EMSで治具リモート使用)</t>
  </si>
  <si>
    <t>Mạch chuyển USB UART TTL FT232RL/中継基板USB UART TTL FT232RL</t>
  </si>
  <si>
    <t>A3画像検査装置開発用cable USB 3.0</t>
  </si>
  <si>
    <t>A3画像検査装置開発用カメラHD(C930e)</t>
  </si>
  <si>
    <t>A3画像検査装置開発用カメラHD(C925e)</t>
  </si>
  <si>
    <t>A3画像検査装置開発用Ardruno Nano</t>
  </si>
  <si>
    <t>A3画像検査装置開発用USB Hub</t>
  </si>
  <si>
    <t>A3画像検査装置開発用USB cable A to B(50cm)</t>
  </si>
  <si>
    <t>A3画像検査装置開発用Frame金属</t>
  </si>
  <si>
    <t>VGA to HDMI 20 cmケーブル（150,000VND／pcs）Cuong＋Hung</t>
  </si>
  <si>
    <t>充電器Cable/ HDMI 2M Ugreen 10202 購入 (370,000/pc)</t>
  </si>
  <si>
    <t>Name Tag(ナフ-10R)</t>
  </si>
  <si>
    <t>DVDRW Asus (820,000/pc)</t>
  </si>
  <si>
    <t>Wifi Router-FCTLogUp使用</t>
  </si>
  <si>
    <t>Tester Fluke 117購入</t>
  </si>
  <si>
    <t>帯電測定器（DZ4）購入:1台</t>
  </si>
  <si>
    <t>OPTセンサー反射測定治具</t>
  </si>
  <si>
    <t>Partnerタクシー代</t>
  </si>
  <si>
    <t>宿泊出張費</t>
  </si>
  <si>
    <t>Partner出張日当</t>
  </si>
  <si>
    <t>出張食事代</t>
  </si>
  <si>
    <t>Vendor出張日当('16/1～'17/8月分)</t>
  </si>
  <si>
    <t>出張食事代(2～8月分+出張時'16/1～'17/1月)</t>
  </si>
  <si>
    <t>安全重要部品監査出張の日当＋食事(HCMへ出張、KDC負担)</t>
  </si>
  <si>
    <t>安全重要部品監査出張の日当＋食事(HCMへ出張、KDC負担Debit)</t>
  </si>
  <si>
    <t>宿泊出張費(Iris2020)</t>
  </si>
  <si>
    <t>労働許可証取得のタクシー費</t>
  </si>
  <si>
    <t xml:space="preserve">AIR代(日本出張)発券日の翌月振替 </t>
  </si>
  <si>
    <t>日当(日本出張)</t>
  </si>
  <si>
    <t>宿泊費(日本出張)</t>
  </si>
  <si>
    <t>その他旅費(電話：50*2=100元、石龍-広州：380元)</t>
  </si>
  <si>
    <t>保険代</t>
  </si>
  <si>
    <t>VISA用　写真(The)</t>
  </si>
  <si>
    <t>Hai phong &lt;=&gt; Noi Bai</t>
  </si>
  <si>
    <t>一時帰国の経費計上間違い振替</t>
  </si>
  <si>
    <t>大使館の手数料</t>
  </si>
  <si>
    <t>ガス代</t>
  </si>
  <si>
    <t>電気代</t>
  </si>
  <si>
    <t>水道代</t>
  </si>
  <si>
    <t>Flash Programmer (model FP-40)</t>
  </si>
  <si>
    <t>FP-10予備　（FP-10 Cortex-M3-INT）</t>
  </si>
  <si>
    <t>治具PC用の予備Hard disk/充電器cable</t>
  </si>
  <si>
    <t>半田ゴテ FM2028-01 960,000VND</t>
  </si>
  <si>
    <t>JIGのhinge(TH-91) 416,000VND</t>
  </si>
  <si>
    <t>静電気防止ストラップ</t>
  </si>
  <si>
    <t>Tonerセンサー半田ゴテ先</t>
  </si>
  <si>
    <t>治具のSpring(25,871vnd)</t>
  </si>
  <si>
    <t>FT CIS connectのFFC(2$)</t>
  </si>
  <si>
    <t>ROMライター実装ベンダ支給用TEF003-48TS(FSG)</t>
  </si>
  <si>
    <t>brazil FAX DL 治具改造のPart</t>
  </si>
  <si>
    <t>Tonerセンサー半田ゴテ先のPIN(20pcs日本から発送)</t>
  </si>
  <si>
    <t>PETフィルム3-2160-08</t>
  </si>
  <si>
    <t>PETフィルム3-2160-05</t>
  </si>
  <si>
    <t>PictorのCIS検査治具修正の基板(TV2YW01100)</t>
  </si>
  <si>
    <t>半田ゴテT12-K</t>
  </si>
  <si>
    <t>半田ゴテT12-C1</t>
  </si>
  <si>
    <t>半田ゴテT12-C4</t>
  </si>
  <si>
    <t>半田ゴテT12-BC2</t>
  </si>
  <si>
    <t>FT予備品</t>
  </si>
  <si>
    <t>OscilocopeのProbe購入</t>
  </si>
  <si>
    <t xml:space="preserve">Laptop 修正 </t>
  </si>
  <si>
    <t>ノートPCのメインボード交換修理(HuyさんのPC/3月に修正間に合わないのため4月にズレ)</t>
  </si>
  <si>
    <t>AnさんのMouse交換</t>
  </si>
  <si>
    <t>note book PC交換(10月：さん)</t>
  </si>
  <si>
    <t>PCのSSD交換購入</t>
  </si>
  <si>
    <t>計測器校正(新規購入テスタ）</t>
  </si>
  <si>
    <t>計測器校正(オシロ):1,800,000 (Tektronix)</t>
  </si>
  <si>
    <t>計測器校正(高電圧プローブ):1,500,000</t>
  </si>
  <si>
    <t xml:space="preserve">計測器校正(テスタ)FLUKE 53880074MV; 37781226WS; 20280213;15760076 :500,000 </t>
  </si>
  <si>
    <t>計測器校正(電流プローブ):1500000</t>
  </si>
  <si>
    <t>計測器校正(LCRメータ):500,000</t>
  </si>
  <si>
    <t>計測器校正(温度計):500,000</t>
  </si>
  <si>
    <t>計測器校正(静電気測定器 FMX-004):800,000-&gt;700,000</t>
  </si>
  <si>
    <t>計測器校正(オシロYokogawa):1,800,000</t>
  </si>
  <si>
    <t>polaris fax unit返却差異</t>
  </si>
  <si>
    <t>COURIER CHARGES (P)：不具合基板をメーカへ返却して調査する</t>
  </si>
  <si>
    <t>IMPORT AIR FEE (P) 輸入諸費用</t>
  </si>
  <si>
    <t>IMPORT BOAT FEE (P)</t>
  </si>
  <si>
    <t>DECLARATION FEE (P): Iris2020のPanel main不具合基板は中国から返却貰って調査する</t>
  </si>
  <si>
    <t>3月購入　T102SM3EP0の通関費 4月 ⇒ 5月
分離申告($20×4+α)</t>
  </si>
  <si>
    <t>SHARP選別治具備品輸入費$15 AIR FEEへ変更</t>
  </si>
  <si>
    <t>DeltaのHeatsinkに糸金属成分分析発送費</t>
  </si>
  <si>
    <t>Sunviewの要因でLCD発送費請求</t>
  </si>
  <si>
    <t>Courier import</t>
  </si>
  <si>
    <t>清掃費</t>
  </si>
  <si>
    <t>パスポート更新経費</t>
  </si>
  <si>
    <t>労働許可証取得費用</t>
  </si>
  <si>
    <t>滞在カード取得費用</t>
  </si>
  <si>
    <t>プロファイルセット費用/パスポート更新申請料</t>
  </si>
  <si>
    <t>写真+公証</t>
  </si>
  <si>
    <t>労働許可証取得時の健康診断費用</t>
  </si>
  <si>
    <t>郵便局で輸運送費/確認証明書費用</t>
  </si>
  <si>
    <t>ビザ費用</t>
  </si>
  <si>
    <t>無犯罪証明書費用</t>
  </si>
  <si>
    <t>ローカルPASSPORT（200,000vnd/人）</t>
  </si>
  <si>
    <t>パスポート更新の書類作成</t>
  </si>
  <si>
    <t>柴原さん出張応援費用
航空費用：2月VN振替。\184,636（確定金額）</t>
  </si>
  <si>
    <t>郵便局で輸運送費/NAND問題基板の緊急チャーター費用</t>
  </si>
  <si>
    <t>BoxからSoftware Download権限(1ユーザーあたり1593円/月)</t>
  </si>
  <si>
    <t>通信費(WiFi 3G)※7月から月額通信費(2021年7月にWiFi SIM契約解除)</t>
  </si>
  <si>
    <t>携帯代+SIM代(場内、外出用)Huy,Dung,Duc</t>
  </si>
  <si>
    <t>SimMobifon4G(EMSでLog自動UpTest用)</t>
  </si>
  <si>
    <t>携帯代の2Gから4Gに変更費</t>
  </si>
  <si>
    <t>不具合Speaker 送り、Hungさんのビザ申請書類の発送にかかる費用</t>
  </si>
  <si>
    <t>外国請負業者税(8月sumidenFFC買う)</t>
  </si>
  <si>
    <t>VPN使用費(伴さん)</t>
  </si>
  <si>
    <t>BoxからSoftware Download権限(1ユーザーあたり1348円/月)</t>
  </si>
  <si>
    <t>名刺：148,500VND(1box),2boxの場合はbox：137500 (2box)</t>
  </si>
  <si>
    <t>ポケットカレンダー　800VND　11月</t>
  </si>
  <si>
    <t xml:space="preserve"> 社員証用写真のみ（再発行時）</t>
  </si>
  <si>
    <t>フィロソフィ手帳IIの出費分布　2,500VND/冊</t>
  </si>
  <si>
    <t xml:space="preserve"> 新入社員：名札ケース(3,400)</t>
  </si>
  <si>
    <t xml:space="preserve"> 新入社員：ペン(2,200)</t>
  </si>
  <si>
    <t xml:space="preserve"> 新入社員：ノート(9,100)</t>
  </si>
  <si>
    <t>伴Ｄ名刺代</t>
  </si>
  <si>
    <t>田中さん名刺,11月は鍵</t>
  </si>
  <si>
    <t>2NM PANEL KEY FTSoft修正費\32,000</t>
  </si>
  <si>
    <t>file cong(チューブファイル)</t>
  </si>
  <si>
    <t>Pin Laptop</t>
  </si>
  <si>
    <t>note book PCのBag日費</t>
  </si>
  <si>
    <t>Visual studio ソフト(自動化用)</t>
  </si>
  <si>
    <t>license of Beyond(master DVD作成ツール)</t>
  </si>
  <si>
    <t>license of digest(master DVD作成ツール)</t>
  </si>
  <si>
    <t>license of Daemon tools(master DVD作成ツール)</t>
  </si>
  <si>
    <t>Strategy TimeChartソフト購入(1user)</t>
  </si>
  <si>
    <t>Splash Topライセンス費用(年１回２月発生)</t>
  </si>
  <si>
    <t>昼食事の差異（27,500)</t>
  </si>
  <si>
    <t>10年勤続記念品費用</t>
  </si>
  <si>
    <t>制服(冬)：175,000 　</t>
  </si>
  <si>
    <t>制服(夏)：165,000</t>
  </si>
  <si>
    <t>制服ズボン:116,000</t>
  </si>
  <si>
    <t xml:space="preserve">妊婦ズボン:124,500 </t>
  </si>
  <si>
    <t>靴:男84,000、女82,000, Over size: 120,000 (6月：Namさん x 1)</t>
  </si>
  <si>
    <t>帽子（カラー）：39,000</t>
  </si>
  <si>
    <t>慶弔金　結婚 300,000(3月Hungさん)　出産 300,000　弔慰金（父母：200,000VND／本人：1,000,000VND／子女：300,000VND）</t>
  </si>
  <si>
    <t>新入社員：採用時検診</t>
  </si>
  <si>
    <t>健康診断（ローカル）12月</t>
  </si>
  <si>
    <t>月餅9月配布数で1人/56,000 VND</t>
  </si>
  <si>
    <t>見舞金支給(台風被害)</t>
  </si>
  <si>
    <t>出向者送迎費　　</t>
  </si>
  <si>
    <t>ローカル社員送迎費(Tu, An,Tan,  Cuong E,)</t>
  </si>
  <si>
    <t>お年玉(100000) 2月</t>
  </si>
  <si>
    <t>フィロソフィ論文参加賞(100,000 VND)</t>
  </si>
  <si>
    <t>マスク費：(15,000vnd/人/月：ロカール：6月見込みからBus使用者のみ)</t>
  </si>
  <si>
    <t>マスク費：76,500VND／人:出向者</t>
  </si>
  <si>
    <t>残業、休日出勤の送迎タクシー代（出向者）</t>
  </si>
  <si>
    <t>残業、休日出勤の送迎タクシー代（ローカル）</t>
  </si>
  <si>
    <t>抽選プレゼント　(Quà bốc thăm)</t>
  </si>
  <si>
    <t>日本語能力試験費用</t>
  </si>
  <si>
    <t>Delta製の糸金属不良選別費</t>
  </si>
  <si>
    <t>固定資産金利(治具)</t>
  </si>
  <si>
    <t>固定資産金利(建物、土地)</t>
  </si>
  <si>
    <t>Tokin監査時間(KDC負担)</t>
  </si>
  <si>
    <t>旅費交通費日本語検定試験費</t>
  </si>
  <si>
    <t xml:space="preserve"> 社員証（新入社員用・再発行時、写真含む）(58,000)</t>
  </si>
  <si>
    <t xml:space="preserve"> 新入社員：フィロソフィ手帳(27,200)</t>
  </si>
  <si>
    <t>誕生日会：152,000vnd</t>
  </si>
  <si>
    <t>新人：PCのモニター＋マウス＋電源コード</t>
  </si>
  <si>
    <t>ND Filter6%(780,000)；ND Filter3%(780,000)</t>
  </si>
  <si>
    <t>スマホ</t>
  </si>
  <si>
    <t>社員旅行：1,874,000</t>
  </si>
  <si>
    <t>忘年会補助費(300,000/人)</t>
  </si>
  <si>
    <t>Office365費用, VPS</t>
  </si>
  <si>
    <t>11月運動会1人/107,000 VND</t>
  </si>
  <si>
    <t>人,決起コンパー : 200.000/会社設立記念 感謝イベント</t>
  </si>
  <si>
    <t>京セラフェスティバル 夏祭り9月在籍人数で1人/126,000 VND</t>
  </si>
  <si>
    <t>Laptop Battery</t>
  </si>
  <si>
    <t>マウス購入</t>
  </si>
  <si>
    <t>PCのモニター＋マウス＋電源コード</t>
  </si>
  <si>
    <t>ICベース 980020-48-P2</t>
  </si>
  <si>
    <t>M365 copilot活用費</t>
  </si>
  <si>
    <t>新入社員のMOUSE</t>
  </si>
  <si>
    <t>はんだ煙吸引機/May hut khoi han</t>
  </si>
  <si>
    <t>熱風機/May kho khi</t>
  </si>
  <si>
    <t>Precision Scale/ Can dien tu co do chinh xac cao</t>
  </si>
  <si>
    <t>Soldering iron sleeve/ Ong bao ve mo han</t>
  </si>
  <si>
    <t>出向者の費用</t>
  </si>
  <si>
    <t>FY2027部門方針発表会後の決起コンパ/tiec chuc mung sau phat bieu PC</t>
  </si>
  <si>
    <t>VISA申請費用</t>
  </si>
  <si>
    <t>本社へ出張飛行Air Ticket</t>
  </si>
  <si>
    <t>空港〈=&gt;会社 Taxi</t>
  </si>
  <si>
    <t>RPA用のサーバーとして使用されるPC/May tinh dung lam may chu RPA</t>
  </si>
  <si>
    <t>日本語受験のタクシー代</t>
  </si>
  <si>
    <t>教育目的で使用するはんだの購入/mua thiec han dung de dao 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</si>
</sst>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5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5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5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5" fillId="0" borderId="0">
      <alignment vertical="center"/>
    </xf>
    <xf numFmtId="0" fontId="21" fillId="0" borderId="0"/>
    <xf numFmtId="0" fontId="75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6" fillId="0" borderId="0" xfId="67" applyFont="1" applyFill="1" applyAlignment="1">
      <alignment horizontal="center" vertical="center"/>
    </xf>
    <xf numFmtId="169" fontId="76" fillId="0" borderId="0" xfId="67" applyNumberFormat="1" applyFont="1" applyFill="1" applyAlignment="1">
      <alignment horizontal="center" vertical="center"/>
    </xf>
    <xf numFmtId="168" fontId="77" fillId="25" borderId="10" xfId="67" applyNumberFormat="1" applyFont="1" applyFill="1" applyBorder="1" applyAlignment="1">
      <alignment horizontal="center" vertical="center"/>
    </xf>
    <xf numFmtId="168" fontId="77" fillId="25" borderId="30" xfId="67" applyNumberFormat="1" applyFont="1" applyFill="1" applyBorder="1" applyAlignment="1">
      <alignment horizontal="center" vertical="center"/>
    </xf>
    <xf numFmtId="38" fontId="77" fillId="25" borderId="11" xfId="67" applyFont="1" applyFill="1" applyBorder="1" applyAlignment="1">
      <alignment horizontal="center" vertical="center"/>
    </xf>
    <xf numFmtId="38" fontId="77" fillId="25" borderId="12" xfId="67" applyFont="1" applyFill="1" applyBorder="1" applyAlignment="1">
      <alignment horizontal="center" vertical="center"/>
    </xf>
    <xf numFmtId="169" fontId="76" fillId="0" borderId="0" xfId="68" applyNumberFormat="1" applyFont="1" applyFill="1" applyAlignment="1">
      <alignment horizontal="center" vertical="center"/>
    </xf>
    <xf numFmtId="168" fontId="78" fillId="0" borderId="0" xfId="0" applyNumberFormat="1" applyFont="1" applyFill="1"/>
    <xf numFmtId="0" fontId="0" fillId="0" borderId="0" xfId="129" applyFont="1"/>
    <xf numFmtId="40" fontId="76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9" fillId="0" borderId="0" xfId="0" applyNumberFormat="1" applyFont="1"/>
    <xf numFmtId="0" fontId="80" fillId="0" borderId="0" xfId="0" applyFont="1"/>
    <xf numFmtId="38" fontId="80" fillId="0" borderId="0" xfId="67" applyFont="1" applyAlignment="1">
      <alignment horizontal="center" vertical="center"/>
    </xf>
    <xf numFmtId="38" fontId="80" fillId="0" borderId="0" xfId="67" applyFont="1"/>
    <xf numFmtId="0" fontId="80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6" fillId="0" borderId="0" xfId="67" applyNumberFormat="1" applyFont="1" applyAlignment="1">
      <alignment horizontal="center" vertical="center"/>
    </xf>
    <xf numFmtId="180" fontId="76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80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81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6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82" fillId="0" borderId="0" xfId="0" applyNumberFormat="1" applyFont="1"/>
    <xf numFmtId="40" fontId="5" fillId="0" borderId="0" xfId="0" applyNumberFormat="1" applyFont="1"/>
    <xf numFmtId="40" fontId="81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6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6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81" fillId="0" borderId="42" xfId="0" applyNumberFormat="1" applyFont="1" applyFill="1" applyBorder="1"/>
    <xf numFmtId="40" fontId="76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6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82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6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6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6" fillId="34" borderId="39" xfId="68" applyNumberFormat="1" applyFont="1" applyFill="1" applyBorder="1" applyAlignment="1" applyProtection="1">
      <alignment horizontal="right"/>
      <protection locked="0"/>
    </xf>
    <xf numFmtId="40" fontId="76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3" fillId="0" borderId="0" xfId="0" applyNumberFormat="1" applyFont="1"/>
    <xf numFmtId="40" fontId="76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8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80" fillId="0" borderId="0" xfId="0" applyFont="1" applyFill="1" applyBorder="1" applyAlignment="1">
      <alignment horizontal="left"/>
    </xf>
    <xf numFmtId="40" fontId="76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4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5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6" fillId="0" borderId="33" xfId="0" applyNumberFormat="1" applyFont="1" applyFill="1" applyBorder="1" applyAlignment="1">
      <alignment horizontal="center"/>
    </xf>
    <xf numFmtId="40" fontId="86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6" fillId="0" borderId="51" xfId="0" applyNumberFormat="1" applyFont="1" applyFill="1" applyBorder="1" applyAlignment="1">
      <alignment horizontal="center"/>
    </xf>
    <xf numFmtId="40" fontId="86" fillId="0" borderId="34" xfId="0" applyNumberFormat="1" applyFont="1" applyFill="1" applyBorder="1" applyAlignment="1">
      <alignment horizontal="center"/>
    </xf>
    <xf numFmtId="40" fontId="81" fillId="0" borderId="20" xfId="0" applyNumberFormat="1" applyFont="1" applyFill="1" applyBorder="1"/>
    <xf numFmtId="40" fontId="81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82" fillId="0" borderId="0" xfId="0" applyNumberFormat="1" applyFont="1" applyAlignment="1">
      <alignment horizontal="right"/>
    </xf>
    <xf numFmtId="40" fontId="81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0" applyNumberFormat="1" applyFont="1" applyFill="1" applyBorder="1" applyProtection="1">
      <protection locked="0"/>
    </xf>
    <xf numFmtId="40" fontId="78" fillId="35" borderId="13" xfId="0" applyNumberFormat="1" applyFont="1" applyFill="1" applyBorder="1" applyAlignment="1">
      <alignment horizontal="center"/>
    </xf>
    <xf numFmtId="38" fontId="87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8" fillId="0" borderId="0" xfId="171" applyFont="1">
      <alignment vertical="center"/>
    </xf>
    <xf numFmtId="182" fontId="88" fillId="0" borderId="0" xfId="171" applyNumberFormat="1" applyFont="1">
      <alignment vertical="center"/>
    </xf>
    <xf numFmtId="172" fontId="88" fillId="0" borderId="0" xfId="171" applyNumberFormat="1" applyFont="1">
      <alignment vertical="center"/>
    </xf>
    <xf numFmtId="0" fontId="88" fillId="0" borderId="0" xfId="171" applyFont="1" applyAlignment="1">
      <alignment horizontal="left" vertical="center"/>
    </xf>
    <xf numFmtId="49" fontId="88" fillId="0" borderId="0" xfId="171" applyNumberFormat="1" applyFont="1" applyAlignment="1">
      <alignment horizontal="left" vertical="center"/>
    </xf>
    <xf numFmtId="182" fontId="88" fillId="0" borderId="0" xfId="171" quotePrefix="1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72" fillId="29" borderId="27" xfId="169" applyNumberFormat="1" applyFont="1" applyFill="1" applyBorder="1" applyAlignment="1">
      <alignment horizontal="center" vertical="center"/>
    </xf>
    <xf numFmtId="49" fontId="73" fillId="0" borderId="0" xfId="169" applyNumberFormat="1" applyFont="1" applyAlignment="1">
      <alignment horizontal="center" vertical="center"/>
    </xf>
    <xf numFmtId="0" fontId="74" fillId="0" borderId="0" xfId="0" applyFont="1"/>
    <xf numFmtId="0" fontId="74" fillId="0" borderId="0" xfId="0" applyFont="1" applyFill="1"/>
    <xf numFmtId="49" fontId="72" fillId="30" borderId="29" xfId="169" applyNumberFormat="1" applyFont="1" applyFill="1" applyBorder="1" applyAlignment="1">
      <alignment horizontal="center" vertical="center"/>
    </xf>
  </cellXfs>
  <cellStyles count="175">
    <cellStyle name="_FY2014 MP作成依頼（KDTCN).1207(3)" xfId="1" xr:uid="{F4E485D7-2CBA-4F1B-909E-F32168DE30EA}"/>
    <cellStyle name="20% - Accent1" xfId="2" xr:uid="{308B414E-9AF8-4896-A74A-6983EBDA9BDF}"/>
    <cellStyle name="20% - Accent2" xfId="3" xr:uid="{5A78BFAF-E151-4160-A760-41CAE1E0F904}"/>
    <cellStyle name="20% - Accent3" xfId="4" xr:uid="{81319E5A-6F09-4994-98B8-42AB351FD48B}"/>
    <cellStyle name="20% - Accent4" xfId="5" xr:uid="{38E79E19-A5FC-4353-8D39-8464195C466B}"/>
    <cellStyle name="20% - Accent5" xfId="6" xr:uid="{DAF707A2-ABDD-43C2-BF9A-230E62A1E225}"/>
    <cellStyle name="20% - Accent6" xfId="7" xr:uid="{1D2E2A54-2280-43B5-91B8-85746C7367AA}"/>
    <cellStyle name="20% - アクセント 1" xfId="8" xr:uid="{D22E0BA6-CBAD-4E40-8FD4-D03674608287}"/>
    <cellStyle name="20% - アクセント 1 2" xfId="9" xr:uid="{BB1C6247-96C4-4AA6-B7E1-7EC3804F56DF}"/>
    <cellStyle name="20% - アクセント 2" xfId="10" xr:uid="{A09EE2EF-5BE5-435A-A646-4B9AE160C403}"/>
    <cellStyle name="20% - アクセント 2 2" xfId="11" xr:uid="{172DB983-CC4F-477D-AF7E-689A49BDD7C4}"/>
    <cellStyle name="20% - アクセント 3" xfId="12" xr:uid="{47349D94-4A87-4794-8E84-378C13E67DDF}"/>
    <cellStyle name="20% - アクセント 3 2" xfId="13" xr:uid="{FA46F686-F1B9-4718-8ED2-4532967B89BB}"/>
    <cellStyle name="20% - アクセント 4" xfId="14" xr:uid="{25E07A65-E312-4FB9-9F56-2DD6D8D503E0}"/>
    <cellStyle name="20% - アクセント 4 2" xfId="15" xr:uid="{7509424E-05DE-4514-BD7D-D13C624C3576}"/>
    <cellStyle name="20% - アクセント 5" xfId="16" xr:uid="{E7918905-5943-4ADA-A524-0A1137236F80}"/>
    <cellStyle name="20% - アクセント 5 2" xfId="17" xr:uid="{FF446816-BF3E-4765-9D97-6B555E1E8150}"/>
    <cellStyle name="20% - アクセント 6" xfId="18" xr:uid="{7B1F3A7B-CECF-417D-99CB-94A1FBA90A37}"/>
    <cellStyle name="20% - アクセント 6 2" xfId="19" xr:uid="{157F8FEA-EE12-4247-809B-054B4871A917}"/>
    <cellStyle name="3232" xfId="20" xr:uid="{21A79C27-492C-43BB-AC0B-D820B65BF1DC}"/>
    <cellStyle name="40% - Accent1" xfId="21" xr:uid="{3D2844B0-3FE2-4076-9241-08BA6B4D8055}"/>
    <cellStyle name="40% - Accent2" xfId="22" xr:uid="{449874E7-03CC-420F-9E2F-735A4E51FF5D}"/>
    <cellStyle name="40% - Accent3" xfId="23" xr:uid="{F6914090-50B4-4EAC-9BE9-3A796B497957}"/>
    <cellStyle name="40% - Accent4" xfId="24" xr:uid="{A6FCDE0B-59E7-4C5B-9611-C5B35C54E0E6}"/>
    <cellStyle name="40% - Accent5" xfId="25" xr:uid="{DC7709A4-F41D-4686-B6F5-6051925385C6}"/>
    <cellStyle name="40% - Accent6" xfId="26" xr:uid="{EA7BDBD0-005A-429E-A6AB-D9C89506803B}"/>
    <cellStyle name="40% - アクセント 1" xfId="27" xr:uid="{98FF6C0C-4D1F-48AC-A3A4-8CB6C6B9D693}"/>
    <cellStyle name="40% - アクセント 1 2" xfId="28" xr:uid="{C34F30CC-DADA-490D-B07B-AD3AF994F03B}"/>
    <cellStyle name="40% - アクセント 2" xfId="29" xr:uid="{65BF38A7-9C10-4B3B-89B9-E42A1B825B15}"/>
    <cellStyle name="40% - アクセント 2 2" xfId="30" xr:uid="{C31A6DB5-66CF-4960-A6D4-2338C380AE66}"/>
    <cellStyle name="40% - アクセント 3" xfId="31" xr:uid="{B8062B02-5F88-4A3E-AC8B-2CA90EEF6518}"/>
    <cellStyle name="40% - アクセント 3 2" xfId="32" xr:uid="{ABFADE84-DECA-4670-B1E5-B4F27C728031}"/>
    <cellStyle name="40% - アクセント 4" xfId="33" xr:uid="{1264FC3D-315B-4929-968D-25CA188E751A}"/>
    <cellStyle name="40% - アクセント 4 2" xfId="34" xr:uid="{05284A98-3234-4B93-8218-69919CAC7F9B}"/>
    <cellStyle name="40% - アクセント 5" xfId="35" xr:uid="{95B48EF6-296F-40C0-B108-66DAC43370A4}"/>
    <cellStyle name="40% - アクセント 5 2" xfId="36" xr:uid="{4ACA7953-ECB4-4311-BE84-AEEED615417E}"/>
    <cellStyle name="40% - アクセント 6" xfId="37" xr:uid="{FB320250-F7F1-42B1-B2BD-547A62BBD943}"/>
    <cellStyle name="40% - アクセント 6 2" xfId="38" xr:uid="{9AF98223-58A1-4172-8AFC-E7EDB2E11BB5}"/>
    <cellStyle name="60% - Accent1" xfId="39" xr:uid="{691154C0-6FCA-40E8-8488-39652C4207D6}"/>
    <cellStyle name="60% - Accent2" xfId="40" xr:uid="{2417507C-DD77-4D36-8504-C1353957EE58}"/>
    <cellStyle name="60% - Accent3" xfId="41" xr:uid="{0C5348E3-4BF9-4A88-8B15-CCF117AAFCD2}"/>
    <cellStyle name="60% - Accent4" xfId="42" xr:uid="{9B813FA0-66D1-45DF-8651-2B2CE3DBDCD7}"/>
    <cellStyle name="60% - Accent5" xfId="43" xr:uid="{1256D68E-85E6-4BBB-8999-DCBE9415EC85}"/>
    <cellStyle name="60% - Accent6" xfId="44" xr:uid="{95F11B91-F3E7-4226-A001-130BB4DF3202}"/>
    <cellStyle name="60% - アクセント 1" xfId="45" xr:uid="{6ED5608D-6C33-4604-B040-2F2A0DF57DD3}"/>
    <cellStyle name="60% - アクセント 1 2" xfId="46" xr:uid="{E67A3E71-E075-4436-81CD-D82AA811C5B3}"/>
    <cellStyle name="60% - アクセント 2" xfId="47" xr:uid="{D35648FA-06DC-4A2A-A1C2-25173AA121A4}"/>
    <cellStyle name="60% - アクセント 2 2" xfId="48" xr:uid="{4078A46D-AAFC-45B2-8D1C-DA3A9FA9B297}"/>
    <cellStyle name="60% - アクセント 3" xfId="49" xr:uid="{C3B1DC11-C3DF-4C0F-B733-C89AE8121E98}"/>
    <cellStyle name="60% - アクセント 3 2" xfId="50" xr:uid="{65420FEB-02A8-4C2B-BD7E-932091808299}"/>
    <cellStyle name="60% - アクセント 4" xfId="51" xr:uid="{5421B8AD-B337-4D00-9C87-4F6CC39F8E7E}"/>
    <cellStyle name="60% - アクセント 4 2" xfId="52" xr:uid="{3DFD9962-CCA7-4F7C-828C-1DF9405484F0}"/>
    <cellStyle name="60% - アクセント 5" xfId="53" xr:uid="{FA52528B-8DE4-4FC8-B674-0654853D1DAE}"/>
    <cellStyle name="60% - アクセント 5 2" xfId="54" xr:uid="{A36002A8-18C5-4484-AA42-B4CFED0AB7AC}"/>
    <cellStyle name="60% - アクセント 6" xfId="55" xr:uid="{C14C2A8B-1264-4618-A947-166F1D0AE3CD}"/>
    <cellStyle name="60% - アクセント 6 2" xfId="56" xr:uid="{6851AB12-34A9-4EF5-8792-93D4F303787F}"/>
    <cellStyle name="Accent1" xfId="57" xr:uid="{5ED686AF-3AC6-4D7F-BB41-F769F2CE2EF1}"/>
    <cellStyle name="Accent2" xfId="58" xr:uid="{A17A39C2-E61F-4A4A-BE65-2FE3DB3FCA11}"/>
    <cellStyle name="Accent3" xfId="59" xr:uid="{BBE39107-0C73-4B26-B1ED-CADE79CBFED0}"/>
    <cellStyle name="Accent4" xfId="60" xr:uid="{0288BC87-A591-4955-9F9E-26D5B79206BC}"/>
    <cellStyle name="Accent5" xfId="61" xr:uid="{1238D70A-CD00-4031-972B-30750105D8FB}"/>
    <cellStyle name="Accent6" xfId="62" xr:uid="{41B709C8-74AF-4FFE-B86D-25C7A0E015C1}"/>
    <cellStyle name="Bad" xfId="63" xr:uid="{9429ACE6-0B7A-47BD-9947-1A644BDF4566}"/>
    <cellStyle name="Calculation" xfId="64" xr:uid="{263D9FDE-F881-45AD-85CC-E1B2FE039FCA}"/>
    <cellStyle name="Check Cell" xfId="65" xr:uid="{34B5A2F6-D2CF-4E6D-BDE0-BCD2389CC20E}"/>
    <cellStyle name="Comma" xfId="66" builtinId="3"/>
    <cellStyle name="Comma [0]" xfId="67" builtinId="6"/>
    <cellStyle name="Comma [0] 2" xfId="68" xr:uid="{E04A31D0-2871-4730-B95C-0D1499DEA6E1}"/>
    <cellStyle name="Comma [0] 2 2" xfId="69" xr:uid="{3EFEBC7B-F3DE-41F7-918C-FABD5888AE7D}"/>
    <cellStyle name="Comma [0] 3" xfId="70" xr:uid="{E2F363A5-38B6-4BE6-8F1C-0FE45AE10DA9}"/>
    <cellStyle name="Comma [0] 4" xfId="71" xr:uid="{370FD22D-ADB1-4883-8975-226F30609E81}"/>
    <cellStyle name="Comma 2" xfId="72" xr:uid="{D4FA98DE-0F37-49BB-8E7C-BEA69282AFD4}"/>
    <cellStyle name="Comma 2 3" xfId="73" xr:uid="{602C662E-73E5-4DEF-8965-A6B4B785EEC1}"/>
    <cellStyle name="Comma 3" xfId="74" xr:uid="{D0F8F19F-38F1-4C57-B08C-7816C2E935D6}"/>
    <cellStyle name="Comma 3 2 2" xfId="75" xr:uid="{B9F76056-771C-4BA4-B4AA-77F580EFFAA8}"/>
    <cellStyle name="Comma 4" xfId="76" xr:uid="{254A1083-329F-43BA-840E-3F305FA0355D}"/>
    <cellStyle name="Comma 5" xfId="77" xr:uid="{6E973BD2-43FD-4250-858D-661E19CAAC8C}"/>
    <cellStyle name="Comma 6" xfId="78" xr:uid="{E0347730-FD03-4AE7-9F22-44A19EFD07DB}"/>
    <cellStyle name="Currency [0] 2" xfId="79" xr:uid="{E07A5713-E9D6-4C43-9312-BDEF927A866A}"/>
    <cellStyle name="Explanatory Text" xfId="80" xr:uid="{47AD831F-E2F5-4A07-A408-2D95C2870BC5}"/>
    <cellStyle name="Good" xfId="81" xr:uid="{D2CFD106-01A4-49AB-A421-D40680F31386}"/>
    <cellStyle name="Heading 1" xfId="82" xr:uid="{7D8A519F-00FF-478E-9DBF-79CC966AF9AF}"/>
    <cellStyle name="Heading 2" xfId="83" xr:uid="{CAB978F2-90CC-4C17-A0E9-19C0D1D6D3FA}"/>
    <cellStyle name="Heading 3" xfId="84" xr:uid="{89152D06-65A1-4E7A-81A3-3E5A37E110C4}"/>
    <cellStyle name="Heading 4" xfId="85" xr:uid="{814892F9-19D8-48CD-AB9D-90FC41FD7898}"/>
    <cellStyle name="Input" xfId="86" xr:uid="{9AAB8404-7B0C-4280-9908-2E047F59C020}"/>
    <cellStyle name="Linked Cell" xfId="87" xr:uid="{985EA4C1-B72B-4128-B153-650973F63755}"/>
    <cellStyle name="Neutral" xfId="88" xr:uid="{27D0F51B-7C7D-498A-99F6-8E0D86F63BE3}"/>
    <cellStyle name="Normal" xfId="0" builtinId="0"/>
    <cellStyle name="Normal 2" xfId="89" xr:uid="{5BAED833-113F-42C2-98B5-B76314A458B6}"/>
    <cellStyle name="Normal 2 2" xfId="90" xr:uid="{2BE06A76-921C-469E-8A5E-3CE1A395C37B}"/>
    <cellStyle name="Normal 3" xfId="91" xr:uid="{D44C147D-A654-40BF-9736-15D3618C2CD3}"/>
    <cellStyle name="Normal 4" xfId="92" xr:uid="{BF463FD1-02C5-49EB-8B5C-0714D60EB897}"/>
    <cellStyle name="Normal 5" xfId="93" xr:uid="{79DDDDCC-F6C1-4F42-9307-D4CE6CEE2168}"/>
    <cellStyle name="Note" xfId="94" xr:uid="{E90659A9-98E1-4C23-B1B3-B3FA819F306F}"/>
    <cellStyle name="Output" xfId="95" xr:uid="{A1162E74-6C24-4900-A0BE-B964ECCF15B2}"/>
    <cellStyle name="Percent 2" xfId="96" xr:uid="{DF3AB57C-AE61-4002-A3E3-EE187F5444BD}"/>
    <cellStyle name="Percent 3" xfId="97" xr:uid="{C007E219-3C48-411D-8DE5-2BEE72A806B4}"/>
    <cellStyle name="Title" xfId="98" xr:uid="{735D871B-F20A-40AB-9315-09C0ACEB46CF}"/>
    <cellStyle name="Total" xfId="99" xr:uid="{A0FE099F-0094-4428-8C80-1910DE9090D2}"/>
    <cellStyle name="Warning Text" xfId="100" xr:uid="{8554ECAF-2D97-4CE6-A72E-9B4DF356C69E}"/>
    <cellStyle name="アクセント 1" xfId="101" xr:uid="{84888985-56D1-4D15-83EA-87C9A2DD6DB7}"/>
    <cellStyle name="アクセント 1 2" xfId="102" xr:uid="{39CC6FE4-D5B3-4649-8CD6-65F7D1E8BFAC}"/>
    <cellStyle name="アクセント 2" xfId="103" xr:uid="{7424C359-9933-49AE-A94C-68890DB86E17}"/>
    <cellStyle name="アクセント 2 2" xfId="104" xr:uid="{2EC81957-DD1B-4AC5-8689-41BA8CD521CE}"/>
    <cellStyle name="アクセント 3" xfId="105" xr:uid="{F37E4D0D-DEDC-4550-918B-84C290E723A4}"/>
    <cellStyle name="アクセント 3 2" xfId="106" xr:uid="{8FA94C41-96B3-48CD-9643-B0F8F796B061}"/>
    <cellStyle name="アクセント 4" xfId="107" xr:uid="{FEFCC49B-A76F-4FCD-AF31-DB6B77209FDC}"/>
    <cellStyle name="アクセント 4 2" xfId="108" xr:uid="{1C88DC89-7A24-4B75-9A7A-FF4634DBE594}"/>
    <cellStyle name="アクセント 5" xfId="109" xr:uid="{4106D80A-3E00-4449-8989-2CF2AB05643C}"/>
    <cellStyle name="アクセント 5 2" xfId="110" xr:uid="{146EAB31-5CBC-4731-9D16-3162E3BBE44F}"/>
    <cellStyle name="アクセント 6" xfId="111" xr:uid="{FBE187F8-C6DF-4AA3-AB76-9B5E50F28CC7}"/>
    <cellStyle name="アクセント 6 2" xfId="112" xr:uid="{7C7ACAC7-148E-4071-9561-A59CA97E2B0B}"/>
    <cellStyle name="タイトル" xfId="113" xr:uid="{063E87CC-7FC3-4738-9F3A-90C4535FE11A}"/>
    <cellStyle name="タイトル 2" xfId="114" xr:uid="{FD850ECB-3F5D-493C-9CC4-72388582FE11}"/>
    <cellStyle name="チェック セル" xfId="115" xr:uid="{FAD9CC45-AA4C-4E50-AA3A-7F96A66652B2}"/>
    <cellStyle name="チェック セル 2" xfId="116" xr:uid="{64C2D10C-F8FD-44F3-A3C8-C9E903461230}"/>
    <cellStyle name="どちらでもない" xfId="117" xr:uid="{C62351C7-10C4-4B6E-ACAC-289962A1C205}"/>
    <cellStyle name="どちらでもない 2" xfId="118" xr:uid="{67F48FBC-52F4-427A-8E90-703E015E7078}"/>
    <cellStyle name="パーセント 2" xfId="119" xr:uid="{8F5E20D3-CEB0-421A-BF9E-1EBF40D58798}"/>
    <cellStyle name="パーセント 3" xfId="120" xr:uid="{E68B4201-EB58-4A5D-B4A8-C3C4C4D772DF}"/>
    <cellStyle name="パーセント 3 2" xfId="121" xr:uid="{FA652A16-D61D-4D15-978C-99608F146ED0}"/>
    <cellStyle name="メモ" xfId="122" xr:uid="{30FCC490-3697-4B1F-8B4C-0BA2675CE520}"/>
    <cellStyle name="メモ 2" xfId="123" xr:uid="{F2C6A14C-2191-4167-B585-24B5304C757F}"/>
    <cellStyle name="リンク セル" xfId="124" xr:uid="{5DB36FC0-161D-4C90-A5B5-561AFFC461FE}"/>
    <cellStyle name="リンク セル 2" xfId="125" xr:uid="{8C3F3C5D-F5DF-4C14-919D-4AC2EF91D5E9}"/>
    <cellStyle name="一般_KMHK FY2008 時間当り採算 2007年4月 ( Month Plan )" xfId="128" xr:uid="{E64EA773-9AB6-4C2B-A23D-269A41D2B0A7}"/>
    <cellStyle name="一般_設備投資金額一覽表" xfId="129" xr:uid="{CA59952B-42CE-4A8E-96FD-891B87E67D01}"/>
    <cellStyle name="入力" xfId="161" xr:uid="{70B86BE5-CC64-41AC-AB34-2B7C90CE6727}"/>
    <cellStyle name="入力 2" xfId="162" xr:uid="{F8346F00-6BD2-40FC-AA97-3316BF7738A7}"/>
    <cellStyle name="出力" xfId="154" xr:uid="{15F6B6E2-084A-4823-A574-817B8114FBCE}"/>
    <cellStyle name="出力 2" xfId="155" xr:uid="{0E6F400B-F746-47E6-B8D4-FEDD6B010A8E}"/>
    <cellStyle name="常规_総生産分析(0605-0606)" xfId="156" xr:uid="{0EFC97DF-4723-493B-A811-4431E2655E89}"/>
    <cellStyle name="悪い" xfId="126" xr:uid="{AF2BAA15-2C63-4792-BBB6-35D3F34517C3}"/>
    <cellStyle name="悪い 2" xfId="127" xr:uid="{AE23BB34-436B-41E6-A247-25D5ADA0351B}"/>
    <cellStyle name="未定義" xfId="172" xr:uid="{2F7525C3-9895-44B9-81FC-43A404DD7ECF}"/>
    <cellStyle name="桁区切り [0.00] 2" xfId="134" xr:uid="{27D92B73-8F5B-4BC4-AF00-F91F0CF735EC}"/>
    <cellStyle name="桁区切り [0.00] 2 2" xfId="135" xr:uid="{34437AEA-5E73-4780-9FB6-2145CF88251E}"/>
    <cellStyle name="桁区切り [0.00] 2 3" xfId="136" xr:uid="{9991211F-B747-4E7E-A619-057924546E6B}"/>
    <cellStyle name="桁区切り 2" xfId="137" xr:uid="{69625591-84D9-431D-8CDE-A28DF5D2678C}"/>
    <cellStyle name="桁区切り 2 2" xfId="138" xr:uid="{CE3C4D6B-237A-4F3F-A787-1648737D5DE9}"/>
    <cellStyle name="桁区切り 2 3" xfId="139" xr:uid="{A11AD456-AA56-4B3A-84ED-1136678C103D}"/>
    <cellStyle name="桁区切り 3" xfId="140" xr:uid="{66BD786D-8464-45E1-AAFF-323D03C79DB0}"/>
    <cellStyle name="桁区切り 4" xfId="141" xr:uid="{D355A2DA-58E3-4476-BE7C-2D016BAE1DF6}"/>
    <cellStyle name="桁区切り 5" xfId="142" xr:uid="{2F3DC9C3-7FE7-44B1-9674-41EF33C390E4}"/>
    <cellStyle name="桁区切り 6" xfId="143" xr:uid="{45414E40-78D3-4250-82F0-6833FD1AF58B}"/>
    <cellStyle name="標準 2" xfId="163" xr:uid="{46BBA0D4-1016-4E3B-80D2-078DA5B9F239}"/>
    <cellStyle name="標準 2 2" xfId="164" xr:uid="{AB17F091-2596-4E5A-A2A8-18994CBBDC14}"/>
    <cellStyle name="標準 3" xfId="165" xr:uid="{75FC92D0-D085-4695-8D28-F7949A0AFEB8}"/>
    <cellStyle name="標準 3 2" xfId="166" xr:uid="{52910AB3-4610-4E29-93CA-D2C46979918D}"/>
    <cellStyle name="標準 4" xfId="167" xr:uid="{E24AF954-0567-463D-9971-C8F5261832DB}"/>
    <cellStyle name="標準 4 2" xfId="168" xr:uid="{11A2E974-EE7C-48C7-B2B7-8CCCA92EB0FA}"/>
    <cellStyle name="標準_★予定用採算表フォーム（製造課用）" xfId="169" xr:uid="{2807CAFF-E226-451F-ABA6-FCC8352FE390}"/>
    <cellStyle name="標準_03.2012 08 31 KDTVN採算表及集計表 FY2013_09（製技用）" xfId="170" xr:uid="{48186F5A-46AF-4CA0-8D07-88209E7FEF88}"/>
    <cellStyle name="標準_KDTVN 2012年9月1日付原価センタ" xfId="171" xr:uid="{DFC9D9D7-C3D5-43FD-9964-044718A85A72}"/>
    <cellStyle name="良い" xfId="173" xr:uid="{D0D99B3E-3D15-4CCC-894C-523BD68A31BB}"/>
    <cellStyle name="良い 2" xfId="174" xr:uid="{B4625B20-39BF-49E7-BBBD-90FD3C7343D0}"/>
    <cellStyle name="見出し 1" xfId="144" xr:uid="{C6266BB1-01A8-44DB-B620-88AC023F2A09}"/>
    <cellStyle name="見出し 1 2" xfId="145" xr:uid="{6A0C4EAC-8C7F-4D55-9B13-8186E407D40F}"/>
    <cellStyle name="見出し 2" xfId="146" xr:uid="{6E3B5C31-70F0-48A4-A975-EB841D771A45}"/>
    <cellStyle name="見出し 2 2" xfId="147" xr:uid="{365A61C4-6BD6-41A8-8C1A-D2D126A61E82}"/>
    <cellStyle name="見出し 3" xfId="148" xr:uid="{D236E065-9DF8-4C31-A711-E1DD0BE67BDB}"/>
    <cellStyle name="見出し 3 2" xfId="149" xr:uid="{B695C48C-B07D-4A0C-BD3D-1E960B41AAB6}"/>
    <cellStyle name="見出し 4" xfId="150" xr:uid="{BC9017DD-7423-4525-8848-322293F6339A}"/>
    <cellStyle name="見出し 4 2" xfId="151" xr:uid="{C1DD6297-5DC5-4807-9A4A-2FFE61B0BDBD}"/>
    <cellStyle name="計算" xfId="130" xr:uid="{B784DCB0-0CC1-49C1-929C-5D6CB954640C}"/>
    <cellStyle name="計算 2" xfId="131" xr:uid="{AF59AEFE-391B-43A8-86C2-00C7888D39DA}"/>
    <cellStyle name="説明文" xfId="157" xr:uid="{7216A271-5501-454D-9853-21D619151A2B}"/>
    <cellStyle name="説明文 2" xfId="158" xr:uid="{1E1C2B0D-54BB-4413-94E3-DEE4D3C96733}"/>
    <cellStyle name="警告文" xfId="132" xr:uid="{ADDDF3F7-BC53-4457-9752-305BB3C47701}"/>
    <cellStyle name="警告文 2" xfId="133" xr:uid="{6E316778-3F10-4D0F-8DF7-38E2E59E6FA2}"/>
    <cellStyle name="通貨 2" xfId="159" xr:uid="{329532E6-A6F4-4976-8F0C-D482C2B35A0C}"/>
    <cellStyle name="通貨 3" xfId="160" xr:uid="{9B45208D-BC81-45EE-9AD0-8843D667FFF3}"/>
    <cellStyle name="集計" xfId="152" xr:uid="{78C87277-7392-4C55-B52B-F1FD5EF8672F}"/>
    <cellStyle name="集計 2" xfId="153" xr:uid="{2DFE16EB-E37C-42A7-A131-A903EB475FF7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ô Hải Yến(Ngo Hai Yen)" id="{E06BFD99-3157-42D5-BED6-C8616596F5CA}" userId="S::yen.nh@dtvn.kyocera.com::ded7dfb8-120c-47d2-bffe-323fba6d1bf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5" dT="2025-12-23T07:31:01.29" personId="{E06BFD99-3157-42D5-BED6-C8616596F5CA}" id="{07E32D85-9472-407C-9C56-766C1809B9F1}">
    <text>新人採用</text>
  </threadedComment>
  <threadedComment ref="I193" dT="2025-12-25T10:03:17.84" personId="{E06BFD99-3157-42D5-BED6-C8616596F5CA}" id="{1CB4761D-F89F-4D04-AB42-CAEEDDE06851}">
    <text>Tektronix TDS3034C　　</text>
  </threadedComment>
  <threadedComment ref="O193" dT="2025-12-25T10:03:17.84" personId="{E06BFD99-3157-42D5-BED6-C8616596F5CA}" id="{731B0EF2-BF99-4851-AC23-6E5A01AA3FAC}">
    <text>Tektronix TDS3034C　　</text>
  </threadedComment>
  <threadedComment ref="Q193" dT="2025-12-25T10:03:17.84" personId="{E06BFD99-3157-42D5-BED6-C8616596F5CA}" id="{B4A530F7-D02E-4A20-8D65-B9F858955C6A}">
    <text>Yokogawa  DLM5058-F-HE　　</text>
  </threadedComment>
  <threadedComment ref="J194" dT="2025-12-25T10:04:01.46" personId="{E06BFD99-3157-42D5-BED6-C8616596F5CA}" id="{802A7E34-B102-4E4B-9CB6-788A497D5E74}">
    <text>Tektronix  P6015A</text>
  </threadedComment>
  <threadedComment ref="Q194" dT="2025-12-25T10:04:01.46" personId="{E06BFD99-3157-42D5-BED6-C8616596F5CA}" id="{15ADCE70-B473-4A51-94AB-A31E6E9DAB06}">
    <text>Tektronix  P6015A</text>
  </threadedComment>
  <threadedComment ref="G195" dT="2025-03-26T03:35:31.01" personId="{E06BFD99-3157-42D5-BED6-C8616596F5CA}" id="{C3D7FA29-AE9E-4F47-93FA-8BEA8A94AF76}">
    <text>Fluke 117</text>
  </threadedComment>
  <threadedComment ref="H195" dT="2025-03-26T03:35:31.01" personId="{E06BFD99-3157-42D5-BED6-C8616596F5CA}" id="{30C1B322-45CC-4D17-8D87-33E8B7AF7321}">
    <text>Fluke 117</text>
  </threadedComment>
  <threadedComment ref="L195" dT="2025-12-25T10:05:22.95" personId="{E06BFD99-3157-42D5-BED6-C8616596F5CA}" id="{363677DF-04B1-4BCF-B22A-742466AC993B}">
    <text>Fluke 116</text>
  </threadedComment>
  <threadedComment ref="N195" dT="2025-12-25T10:07:04.24" personId="{E06BFD99-3157-42D5-BED6-C8616596F5CA}" id="{262D1683-A5AA-4EF2-91B1-C7B29E5DB5DF}">
    <text>Fluke 287</text>
  </threadedComment>
  <threadedComment ref="O195" dT="2025-03-26T03:35:31.01" personId="{E06BFD99-3157-42D5-BED6-C8616596F5CA}" id="{B99C5565-1E9C-4D3A-A2C8-CFA2663AA509}">
    <text>Fluke 117</text>
  </threadedComment>
  <threadedComment ref="F196" dT="2025-02-24T04:10:56.31" personId="{E06BFD99-3157-42D5-BED6-C8616596F5CA}" id="{CFA97D13-0794-4F2B-8142-F73DD543B468}">
    <text>TCP202A</text>
  </threadedComment>
  <threadedComment ref="H196" dT="2025-12-25T10:01:41.47" personId="{E06BFD99-3157-42D5-BED6-C8616596F5CA}" id="{FEA7E315-D3E0-494A-AE09-3F4FCEA221C0}">
    <text>Yokogawa 701928</text>
  </threadedComment>
  <threadedComment ref="Q196" dT="2025-12-25T10:01:41.47" personId="{E06BFD99-3157-42D5-BED6-C8616596F5CA}" id="{604E143E-49D4-45CE-8E36-DD876E4F3486}">
    <text>Textronic TCP202A　</text>
  </threadedComment>
  <threadedComment ref="N197" dT="2025-12-25T10:07:08.97" personId="{E06BFD99-3157-42D5-BED6-C8616596F5CA}" id="{4FFA1829-4766-4A21-9970-566AE826FC0A}">
    <text>LCR-9183</text>
  </threadedComment>
  <threadedComment ref="N198" dT="2025-12-25T10:07:39.92" personId="{E06BFD99-3157-42D5-BED6-C8616596F5CA}" id="{E46331DA-7F6D-4D2C-B3C2-8AFC9D025F06}">
    <text>HD-1200E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2A9B-5B53-4D22-9DDE-D83B75ED9804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FY2027_各予定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0</v>
      </c>
      <c r="O1" s="96"/>
    </row>
    <row r="2" spans="1:15" ht="14.25" customHeight="1" thickBot="1">
      <c r="B2" s="21" t="str">
        <f>'採算表(VND)'!B2</f>
        <v>電気製造技術課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 t="e">
        <f>C8+C9</f>
        <v>#DIV/0!</v>
      </c>
      <c r="D5" s="129" t="e">
        <f t="shared" ref="D5:O5" si="0">D8+D9</f>
        <v>#DIV/0!</v>
      </c>
      <c r="E5" s="129" t="e">
        <f t="shared" si="0"/>
        <v>#DIV/0!</v>
      </c>
      <c r="F5" s="129" t="e">
        <f t="shared" si="0"/>
        <v>#DIV/0!</v>
      </c>
      <c r="G5" s="129" t="e">
        <f t="shared" si="0"/>
        <v>#DIV/0!</v>
      </c>
      <c r="H5" s="129" t="e">
        <f t="shared" si="0"/>
        <v>#DIV/0!</v>
      </c>
      <c r="I5" s="129" t="e">
        <f t="shared" si="0"/>
        <v>#DIV/0!</v>
      </c>
      <c r="J5" s="129" t="e">
        <f t="shared" si="0"/>
        <v>#DIV/0!</v>
      </c>
      <c r="K5" s="129" t="e">
        <f t="shared" si="0"/>
        <v>#DIV/0!</v>
      </c>
      <c r="L5" s="129" t="e">
        <f t="shared" si="0"/>
        <v>#DIV/0!</v>
      </c>
      <c r="M5" s="129" t="e">
        <f t="shared" si="0"/>
        <v>#DIV/0!</v>
      </c>
      <c r="N5" s="129" t="e">
        <f t="shared" si="0"/>
        <v>#DIV/0!</v>
      </c>
      <c r="O5" s="129" t="e">
        <f t="shared" si="0"/>
        <v>#DIV/0!</v>
      </c>
    </row>
    <row r="6" spans="1:15" ht="11.25" customHeight="1">
      <c r="A6" s="26"/>
      <c r="B6" s="29" t="s">
        <v>141</v>
      </c>
      <c r="C6" s="130" t="e">
        <f>ROUNDDOWN('採算表(VND)'!C6/$N$1,2)</f>
        <v>#DIV/0!</v>
      </c>
      <c r="D6" s="130" t="e">
        <f>ROUNDDOWN('採算表(VND)'!D6/$N$1,2)</f>
        <v>#DIV/0!</v>
      </c>
      <c r="E6" s="130" t="e">
        <f>ROUNDDOWN('採算表(VND)'!E6/$N$1,2)</f>
        <v>#DIV/0!</v>
      </c>
      <c r="F6" s="130" t="e">
        <f>ROUNDDOWN('採算表(VND)'!F6/$N$1,2)</f>
        <v>#DIV/0!</v>
      </c>
      <c r="G6" s="130" t="e">
        <f>ROUNDDOWN('採算表(VND)'!G6/$N$1,2)</f>
        <v>#DIV/0!</v>
      </c>
      <c r="H6" s="130" t="e">
        <f>ROUNDDOWN('採算表(VND)'!H6/$N$1,2)</f>
        <v>#DIV/0!</v>
      </c>
      <c r="I6" s="130" t="e">
        <f>ROUNDDOWN('採算表(VND)'!I6/$N$1,2)</f>
        <v>#DIV/0!</v>
      </c>
      <c r="J6" s="130" t="e">
        <f>ROUNDDOWN('採算表(VND)'!J6/$N$1,2)</f>
        <v>#DIV/0!</v>
      </c>
      <c r="K6" s="130" t="e">
        <f>ROUNDDOWN('採算表(VND)'!K6/$N$1,2)</f>
        <v>#DIV/0!</v>
      </c>
      <c r="L6" s="130" t="e">
        <f>ROUNDDOWN('採算表(VND)'!L6/$N$1,2)</f>
        <v>#DIV/0!</v>
      </c>
      <c r="M6" s="130" t="e">
        <f>ROUNDDOWN('採算表(VND)'!M6/$N$1,2)</f>
        <v>#DIV/0!</v>
      </c>
      <c r="N6" s="130" t="e">
        <f>ROUNDDOWN('採算表(VND)'!N6/$N$1,2)</f>
        <v>#DIV/0!</v>
      </c>
      <c r="O6" s="130" t="e">
        <f>SUM(C6:N6)</f>
        <v>#DIV/0!</v>
      </c>
    </row>
    <row r="7" spans="1:15" ht="11.25" customHeight="1">
      <c r="A7" s="26"/>
      <c r="B7" s="30" t="s">
        <v>112</v>
      </c>
      <c r="C7" s="131" t="e">
        <f>ROUNDDOWN('採算表(VND)'!C7/$N$1,2)</f>
        <v>#DIV/0!</v>
      </c>
      <c r="D7" s="131" t="e">
        <f>ROUNDDOWN('採算表(VND)'!D7/$N$1,2)</f>
        <v>#DIV/0!</v>
      </c>
      <c r="E7" s="131" t="e">
        <f>ROUNDDOWN('採算表(VND)'!E7/$N$1,2)</f>
        <v>#DIV/0!</v>
      </c>
      <c r="F7" s="131" t="e">
        <f>ROUNDDOWN('採算表(VND)'!F7/$N$1,2)</f>
        <v>#DIV/0!</v>
      </c>
      <c r="G7" s="131" t="e">
        <f>ROUNDDOWN('採算表(VND)'!G7/$N$1,2)</f>
        <v>#DIV/0!</v>
      </c>
      <c r="H7" s="131" t="e">
        <f>ROUNDDOWN('採算表(VND)'!H7/$N$1,2)</f>
        <v>#DIV/0!</v>
      </c>
      <c r="I7" s="131" t="e">
        <f>ROUNDDOWN('採算表(VND)'!I7/$N$1,2)</f>
        <v>#DIV/0!</v>
      </c>
      <c r="J7" s="131" t="e">
        <f>ROUNDDOWN('採算表(VND)'!J7/$N$1,2)</f>
        <v>#DIV/0!</v>
      </c>
      <c r="K7" s="131" t="e">
        <f>ROUNDDOWN('採算表(VND)'!K7/$N$1,2)</f>
        <v>#DIV/0!</v>
      </c>
      <c r="L7" s="131" t="e">
        <f>ROUNDDOWN('採算表(VND)'!L7/$N$1,2)</f>
        <v>#DIV/0!</v>
      </c>
      <c r="M7" s="131" t="e">
        <f>ROUNDDOWN('採算表(VND)'!M7/$N$1,2)</f>
        <v>#DIV/0!</v>
      </c>
      <c r="N7" s="131" t="e">
        <f>ROUNDDOWN('採算表(VND)'!N7/$N$1,2)</f>
        <v>#DIV/0!</v>
      </c>
      <c r="O7" s="131" t="e">
        <f>SUM(C7:N7)</f>
        <v>#DIV/0!</v>
      </c>
    </row>
    <row r="8" spans="1:15" ht="11.25" customHeight="1">
      <c r="A8" s="26"/>
      <c r="B8" s="31" t="s">
        <v>85</v>
      </c>
      <c r="C8" s="132" t="e">
        <f t="shared" ref="C8:O8" si="1">C6+C7</f>
        <v>#DIV/0!</v>
      </c>
      <c r="D8" s="132" t="e">
        <f t="shared" si="1"/>
        <v>#DIV/0!</v>
      </c>
      <c r="E8" s="132" t="e">
        <f t="shared" si="1"/>
        <v>#DIV/0!</v>
      </c>
      <c r="F8" s="132" t="e">
        <f t="shared" si="1"/>
        <v>#DIV/0!</v>
      </c>
      <c r="G8" s="132" t="e">
        <f t="shared" si="1"/>
        <v>#DIV/0!</v>
      </c>
      <c r="H8" s="132" t="e">
        <f t="shared" si="1"/>
        <v>#DIV/0!</v>
      </c>
      <c r="I8" s="132" t="e">
        <f t="shared" si="1"/>
        <v>#DIV/0!</v>
      </c>
      <c r="J8" s="132" t="e">
        <f t="shared" si="1"/>
        <v>#DIV/0!</v>
      </c>
      <c r="K8" s="132" t="e">
        <f t="shared" si="1"/>
        <v>#DIV/0!</v>
      </c>
      <c r="L8" s="132" t="e">
        <f t="shared" si="1"/>
        <v>#DIV/0!</v>
      </c>
      <c r="M8" s="132" t="e">
        <f t="shared" si="1"/>
        <v>#DIV/0!</v>
      </c>
      <c r="N8" s="132" t="e">
        <f t="shared" si="1"/>
        <v>#DIV/0!</v>
      </c>
      <c r="O8" s="132" t="e">
        <f t="shared" si="1"/>
        <v>#DIV/0!</v>
      </c>
    </row>
    <row r="9" spans="1:15" ht="11.25" customHeight="1">
      <c r="A9" s="26"/>
      <c r="B9" s="28" t="s">
        <v>73</v>
      </c>
      <c r="C9" s="133" t="e">
        <f>ROUNDDOWN('採算表(VND)'!C9/$N$1,2)</f>
        <v>#DIV/0!</v>
      </c>
      <c r="D9" s="133" t="e">
        <f>ROUNDDOWN('採算表(VND)'!D9/$N$1,2)</f>
        <v>#DIV/0!</v>
      </c>
      <c r="E9" s="133" t="e">
        <f>ROUNDDOWN('採算表(VND)'!E9/$N$1,2)</f>
        <v>#DIV/0!</v>
      </c>
      <c r="F9" s="133" t="e">
        <f>ROUNDDOWN('採算表(VND)'!F9/$N$1,2)</f>
        <v>#DIV/0!</v>
      </c>
      <c r="G9" s="133" t="e">
        <f>ROUNDDOWN('採算表(VND)'!G9/$N$1,2)</f>
        <v>#DIV/0!</v>
      </c>
      <c r="H9" s="133" t="e">
        <f>ROUNDDOWN('採算表(VND)'!H9/$N$1,2)</f>
        <v>#DIV/0!</v>
      </c>
      <c r="I9" s="133" t="e">
        <f>ROUNDDOWN('採算表(VND)'!I9/$N$1,2)</f>
        <v>#DIV/0!</v>
      </c>
      <c r="J9" s="133" t="e">
        <f>ROUNDDOWN('採算表(VND)'!J9/$N$1,2)</f>
        <v>#DIV/0!</v>
      </c>
      <c r="K9" s="133" t="e">
        <f>ROUNDDOWN('採算表(VND)'!K9/$N$1,2)</f>
        <v>#DIV/0!</v>
      </c>
      <c r="L9" s="133" t="e">
        <f>ROUNDDOWN('採算表(VND)'!L9/$N$1,2)</f>
        <v>#DIV/0!</v>
      </c>
      <c r="M9" s="133" t="e">
        <f>ROUNDDOWN('採算表(VND)'!M9/$N$1,2)</f>
        <v>#DIV/0!</v>
      </c>
      <c r="N9" s="133" t="e">
        <f>ROUNDDOWN('採算表(VND)'!N9/$N$1,2)</f>
        <v>#DIV/0!</v>
      </c>
      <c r="O9" s="133" t="e">
        <f>SUM(C9:N9)</f>
        <v>#DIV/0!</v>
      </c>
    </row>
    <row r="10" spans="1:15" ht="11.25" customHeight="1">
      <c r="A10" s="26"/>
      <c r="B10" s="28" t="s">
        <v>74</v>
      </c>
      <c r="C10" s="133" t="e">
        <f>ROUNDDOWN('採算表(VND)'!C10/$N$1,2)</f>
        <v>#DIV/0!</v>
      </c>
      <c r="D10" s="133" t="e">
        <f>ROUNDDOWN('採算表(VND)'!D10/$N$1,2)</f>
        <v>#DIV/0!</v>
      </c>
      <c r="E10" s="133" t="e">
        <f>ROUNDDOWN('採算表(VND)'!E10/$N$1,2)</f>
        <v>#DIV/0!</v>
      </c>
      <c r="F10" s="133" t="e">
        <f>ROUNDDOWN('採算表(VND)'!F10/$N$1,2)</f>
        <v>#DIV/0!</v>
      </c>
      <c r="G10" s="133" t="e">
        <f>ROUNDDOWN('採算表(VND)'!G10/$N$1,2)</f>
        <v>#DIV/0!</v>
      </c>
      <c r="H10" s="133" t="e">
        <f>ROUNDDOWN('採算表(VND)'!H10/$N$1,2)</f>
        <v>#DIV/0!</v>
      </c>
      <c r="I10" s="133" t="e">
        <f>ROUNDDOWN('採算表(VND)'!I10/$N$1,2)</f>
        <v>#DIV/0!</v>
      </c>
      <c r="J10" s="133" t="e">
        <f>ROUNDDOWN('採算表(VND)'!J10/$N$1,2)</f>
        <v>#DIV/0!</v>
      </c>
      <c r="K10" s="133" t="e">
        <f>ROUNDDOWN('採算表(VND)'!K10/$N$1,2)</f>
        <v>#DIV/0!</v>
      </c>
      <c r="L10" s="133" t="e">
        <f>ROUNDDOWN('採算表(VND)'!L10/$N$1,2)</f>
        <v>#DIV/0!</v>
      </c>
      <c r="M10" s="133" t="e">
        <f>ROUNDDOWN('採算表(VND)'!M10/$N$1,2)</f>
        <v>#DIV/0!</v>
      </c>
      <c r="N10" s="133" t="e">
        <f>ROUNDDOWN('採算表(VND)'!N10/$N$1,2)</f>
        <v>#DIV/0!</v>
      </c>
      <c r="O10" s="133" t="e">
        <f>SUM(C10:N10)</f>
        <v>#DIV/0!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 t="e">
        <f>C5-C10</f>
        <v>#DIV/0!</v>
      </c>
      <c r="D12" s="134" t="e">
        <f t="shared" ref="D12:O12" si="2">D5-D10</f>
        <v>#DIV/0!</v>
      </c>
      <c r="E12" s="134" t="e">
        <f t="shared" si="2"/>
        <v>#DIV/0!</v>
      </c>
      <c r="F12" s="134" t="e">
        <f t="shared" si="2"/>
        <v>#DIV/0!</v>
      </c>
      <c r="G12" s="134" t="e">
        <f t="shared" si="2"/>
        <v>#DIV/0!</v>
      </c>
      <c r="H12" s="134" t="e">
        <f t="shared" si="2"/>
        <v>#DIV/0!</v>
      </c>
      <c r="I12" s="134" t="e">
        <f t="shared" si="2"/>
        <v>#DIV/0!</v>
      </c>
      <c r="J12" s="134" t="e">
        <f t="shared" si="2"/>
        <v>#DIV/0!</v>
      </c>
      <c r="K12" s="134" t="e">
        <f t="shared" si="2"/>
        <v>#DIV/0!</v>
      </c>
      <c r="L12" s="134" t="e">
        <f t="shared" si="2"/>
        <v>#DIV/0!</v>
      </c>
      <c r="M12" s="134" t="e">
        <f t="shared" si="2"/>
        <v>#DIV/0!</v>
      </c>
      <c r="N12" s="134" t="e">
        <f t="shared" si="2"/>
        <v>#DIV/0!</v>
      </c>
      <c r="O12" s="134" t="e">
        <f t="shared" si="2"/>
        <v>#DIV/0!</v>
      </c>
    </row>
    <row r="13" spans="1:15" ht="11.25" customHeight="1">
      <c r="A13" s="26"/>
      <c r="B13" s="28" t="s">
        <v>76</v>
      </c>
      <c r="C13" s="133" t="e">
        <f>SUM(C14:C65)</f>
        <v>#DIV/0!</v>
      </c>
      <c r="D13" s="133" t="e">
        <f t="shared" ref="D13:O13" si="3">SUM(D14:D65)</f>
        <v>#DIV/0!</v>
      </c>
      <c r="E13" s="133" t="e">
        <f t="shared" si="3"/>
        <v>#DIV/0!</v>
      </c>
      <c r="F13" s="133" t="e">
        <f t="shared" si="3"/>
        <v>#DIV/0!</v>
      </c>
      <c r="G13" s="133" t="e">
        <f t="shared" si="3"/>
        <v>#DIV/0!</v>
      </c>
      <c r="H13" s="133" t="e">
        <f t="shared" si="3"/>
        <v>#DIV/0!</v>
      </c>
      <c r="I13" s="133" t="e">
        <f t="shared" si="3"/>
        <v>#DIV/0!</v>
      </c>
      <c r="J13" s="133" t="e">
        <f t="shared" si="3"/>
        <v>#DIV/0!</v>
      </c>
      <c r="K13" s="133" t="e">
        <f t="shared" si="3"/>
        <v>#DIV/0!</v>
      </c>
      <c r="L13" s="133" t="e">
        <f t="shared" si="3"/>
        <v>#DIV/0!</v>
      </c>
      <c r="M13" s="133" t="e">
        <f t="shared" si="3"/>
        <v>#DIV/0!</v>
      </c>
      <c r="N13" s="133" t="e">
        <f t="shared" si="3"/>
        <v>#DIV/0!</v>
      </c>
      <c r="O13" s="133" t="e">
        <f t="shared" si="3"/>
        <v>#DIV/0!</v>
      </c>
    </row>
    <row r="14" spans="1:15" ht="11.25" customHeight="1">
      <c r="A14" s="34"/>
      <c r="B14" s="35" t="s">
        <v>101</v>
      </c>
      <c r="C14" s="135" t="e">
        <f>ROUNDUP('採算表(VND)'!C14/$N$1,2)</f>
        <v>#DIV/0!</v>
      </c>
      <c r="D14" s="135" t="e">
        <f>ROUNDUP('採算表(VND)'!D14/$N$1,2)</f>
        <v>#DIV/0!</v>
      </c>
      <c r="E14" s="135" t="e">
        <f>ROUNDUP('採算表(VND)'!E14/$N$1,2)</f>
        <v>#DIV/0!</v>
      </c>
      <c r="F14" s="135" t="e">
        <f>ROUNDUP('採算表(VND)'!F14/$N$1,2)</f>
        <v>#DIV/0!</v>
      </c>
      <c r="G14" s="135" t="e">
        <f>ROUNDUP('採算表(VND)'!G14/$N$1,2)</f>
        <v>#DIV/0!</v>
      </c>
      <c r="H14" s="135" t="e">
        <f>ROUNDUP('採算表(VND)'!H14/$N$1,2)</f>
        <v>#DIV/0!</v>
      </c>
      <c r="I14" s="135" t="e">
        <f>ROUNDUP('採算表(VND)'!I14/$N$1,2)</f>
        <v>#DIV/0!</v>
      </c>
      <c r="J14" s="135" t="e">
        <f>ROUNDUP('採算表(VND)'!J14/$N$1,2)</f>
        <v>#DIV/0!</v>
      </c>
      <c r="K14" s="135" t="e">
        <f>ROUNDUP('採算表(VND)'!K14/$N$1,2)</f>
        <v>#DIV/0!</v>
      </c>
      <c r="L14" s="135" t="e">
        <f>ROUNDUP('採算表(VND)'!L14/$N$1,2)</f>
        <v>#DIV/0!</v>
      </c>
      <c r="M14" s="135" t="e">
        <f>ROUNDUP('採算表(VND)'!M14/$N$1,2)</f>
        <v>#DIV/0!</v>
      </c>
      <c r="N14" s="135" t="e">
        <f>ROUNDUP('採算表(VND)'!N14/$N$1,2)</f>
        <v>#DIV/0!</v>
      </c>
      <c r="O14" s="135" t="e">
        <f t="shared" ref="O14:O65" si="4">SUM(C14:N14)</f>
        <v>#DIV/0!</v>
      </c>
    </row>
    <row r="15" spans="1:15" ht="11.25" customHeight="1">
      <c r="A15" s="34"/>
      <c r="B15" s="35" t="s">
        <v>124</v>
      </c>
      <c r="C15" s="135" t="e">
        <f>ROUNDUP('採算表(VND)'!C15/$N$1,2)</f>
        <v>#DIV/0!</v>
      </c>
      <c r="D15" s="135" t="e">
        <f>ROUNDUP('採算表(VND)'!D15/$N$1,2)</f>
        <v>#DIV/0!</v>
      </c>
      <c r="E15" s="135" t="e">
        <f>ROUNDUP('採算表(VND)'!E15/$N$1,2)</f>
        <v>#DIV/0!</v>
      </c>
      <c r="F15" s="135" t="e">
        <f>ROUNDUP('採算表(VND)'!F15/$N$1,2)</f>
        <v>#DIV/0!</v>
      </c>
      <c r="G15" s="135" t="e">
        <f>ROUNDUP('採算表(VND)'!G15/$N$1,2)</f>
        <v>#DIV/0!</v>
      </c>
      <c r="H15" s="135" t="e">
        <f>ROUNDUP('採算表(VND)'!H15/$N$1,2)</f>
        <v>#DIV/0!</v>
      </c>
      <c r="I15" s="135" t="e">
        <f>ROUNDUP('採算表(VND)'!I15/$N$1,2)</f>
        <v>#DIV/0!</v>
      </c>
      <c r="J15" s="135" t="e">
        <f>ROUNDUP('採算表(VND)'!J15/$N$1,2)</f>
        <v>#DIV/0!</v>
      </c>
      <c r="K15" s="135" t="e">
        <f>ROUNDUP('採算表(VND)'!K15/$N$1,2)</f>
        <v>#DIV/0!</v>
      </c>
      <c r="L15" s="135" t="e">
        <f>ROUNDUP('採算表(VND)'!L15/$N$1,2)</f>
        <v>#DIV/0!</v>
      </c>
      <c r="M15" s="135" t="e">
        <f>ROUNDUP('採算表(VND)'!M15/$N$1,2)</f>
        <v>#DIV/0!</v>
      </c>
      <c r="N15" s="135" t="e">
        <f>ROUNDUP('採算表(VND)'!N15/$N$1,2)</f>
        <v>#DIV/0!</v>
      </c>
      <c r="O15" s="135" t="e">
        <f t="shared" si="4"/>
        <v>#DIV/0!</v>
      </c>
    </row>
    <row r="16" spans="1:15" ht="11.25" customHeight="1">
      <c r="A16" s="34"/>
      <c r="B16" s="35" t="s">
        <v>120</v>
      </c>
      <c r="C16" s="135" t="e">
        <f>ROUNDUP('採算表(VND)'!C16/$N$1,2)</f>
        <v>#DIV/0!</v>
      </c>
      <c r="D16" s="135" t="e">
        <f>ROUNDUP('採算表(VND)'!D16/$N$1,2)</f>
        <v>#DIV/0!</v>
      </c>
      <c r="E16" s="135" t="e">
        <f>ROUNDUP('採算表(VND)'!E16/$N$1,2)</f>
        <v>#DIV/0!</v>
      </c>
      <c r="F16" s="135" t="e">
        <f>ROUNDUP('採算表(VND)'!F16/$N$1,2)</f>
        <v>#DIV/0!</v>
      </c>
      <c r="G16" s="135" t="e">
        <f>ROUNDUP('採算表(VND)'!G16/$N$1,2)</f>
        <v>#DIV/0!</v>
      </c>
      <c r="H16" s="135" t="e">
        <f>ROUNDUP('採算表(VND)'!H16/$N$1,2)</f>
        <v>#DIV/0!</v>
      </c>
      <c r="I16" s="135" t="e">
        <f>ROUNDUP('採算表(VND)'!I16/$N$1,2)</f>
        <v>#DIV/0!</v>
      </c>
      <c r="J16" s="135" t="e">
        <f>ROUNDUP('採算表(VND)'!J16/$N$1,2)</f>
        <v>#DIV/0!</v>
      </c>
      <c r="K16" s="135" t="e">
        <f>ROUNDUP('採算表(VND)'!K16/$N$1,2)</f>
        <v>#DIV/0!</v>
      </c>
      <c r="L16" s="135" t="e">
        <f>ROUNDUP('採算表(VND)'!L16/$N$1,2)</f>
        <v>#DIV/0!</v>
      </c>
      <c r="M16" s="135" t="e">
        <f>ROUNDUP('採算表(VND)'!M16/$N$1,2)</f>
        <v>#DIV/0!</v>
      </c>
      <c r="N16" s="135" t="e">
        <f>ROUNDUP('採算表(VND)'!N16/$N$1,2)</f>
        <v>#DIV/0!</v>
      </c>
      <c r="O16" s="135" t="e">
        <f t="shared" si="4"/>
        <v>#DIV/0!</v>
      </c>
    </row>
    <row r="17" spans="1:15" ht="11.25" customHeight="1">
      <c r="A17" s="34"/>
      <c r="B17" s="36" t="s">
        <v>102</v>
      </c>
      <c r="C17" s="136" t="e">
        <f>ROUNDUP('採算表(VND)'!C17/$N$1,2)</f>
        <v>#DIV/0!</v>
      </c>
      <c r="D17" s="136" t="e">
        <f>ROUNDUP('採算表(VND)'!D17/$N$1,2)</f>
        <v>#DIV/0!</v>
      </c>
      <c r="E17" s="136" t="e">
        <f>ROUNDUP('採算表(VND)'!E17/$N$1,2)</f>
        <v>#DIV/0!</v>
      </c>
      <c r="F17" s="136" t="e">
        <f>ROUNDUP('採算表(VND)'!F17/$N$1,2)</f>
        <v>#DIV/0!</v>
      </c>
      <c r="G17" s="136" t="e">
        <f>ROUNDUP('採算表(VND)'!G17/$N$1,2)</f>
        <v>#DIV/0!</v>
      </c>
      <c r="H17" s="136" t="e">
        <f>ROUNDUP('採算表(VND)'!H17/$N$1,2)</f>
        <v>#DIV/0!</v>
      </c>
      <c r="I17" s="136" t="e">
        <f>ROUNDUP('採算表(VND)'!I17/$N$1,2)</f>
        <v>#DIV/0!</v>
      </c>
      <c r="J17" s="136" t="e">
        <f>ROUNDUP('採算表(VND)'!J17/$N$1,2)</f>
        <v>#DIV/0!</v>
      </c>
      <c r="K17" s="136" t="e">
        <f>ROUNDUP('採算表(VND)'!K17/$N$1,2)</f>
        <v>#DIV/0!</v>
      </c>
      <c r="L17" s="136" t="e">
        <f>ROUNDUP('採算表(VND)'!L17/$N$1,2)</f>
        <v>#DIV/0!</v>
      </c>
      <c r="M17" s="136" t="e">
        <f>ROUNDUP('採算表(VND)'!M17/$N$1,2)</f>
        <v>#DIV/0!</v>
      </c>
      <c r="N17" s="136" t="e">
        <f>ROUNDUP('採算表(VND)'!N17/$N$1,2)</f>
        <v>#DIV/0!</v>
      </c>
      <c r="O17" s="136" t="e">
        <f t="shared" si="4"/>
        <v>#DIV/0!</v>
      </c>
    </row>
    <row r="18" spans="1:15" ht="11.25" customHeight="1">
      <c r="A18" s="34"/>
      <c r="B18" s="36" t="s">
        <v>37</v>
      </c>
      <c r="C18" s="136" t="e">
        <f>ROUNDUP('採算表(VND)'!C18/$N$1,2)</f>
        <v>#DIV/0!</v>
      </c>
      <c r="D18" s="136" t="e">
        <f>ROUNDUP('採算表(VND)'!D18/$N$1,2)</f>
        <v>#DIV/0!</v>
      </c>
      <c r="E18" s="136" t="e">
        <f>ROUNDUP('採算表(VND)'!E18/$N$1,2)</f>
        <v>#DIV/0!</v>
      </c>
      <c r="F18" s="136" t="e">
        <f>ROUNDUP('採算表(VND)'!F18/$N$1,2)</f>
        <v>#DIV/0!</v>
      </c>
      <c r="G18" s="136" t="e">
        <f>ROUNDUP('採算表(VND)'!G18/$N$1,2)</f>
        <v>#DIV/0!</v>
      </c>
      <c r="H18" s="136" t="e">
        <f>ROUNDUP('採算表(VND)'!H18/$N$1,2)</f>
        <v>#DIV/0!</v>
      </c>
      <c r="I18" s="136" t="e">
        <f>ROUNDUP('採算表(VND)'!I18/$N$1,2)</f>
        <v>#DIV/0!</v>
      </c>
      <c r="J18" s="136" t="e">
        <f>ROUNDUP('採算表(VND)'!J18/$N$1,2)</f>
        <v>#DIV/0!</v>
      </c>
      <c r="K18" s="136" t="e">
        <f>ROUNDUP('採算表(VND)'!K18/$N$1,2)</f>
        <v>#DIV/0!</v>
      </c>
      <c r="L18" s="136" t="e">
        <f>ROUNDUP('採算表(VND)'!L18/$N$1,2)</f>
        <v>#DIV/0!</v>
      </c>
      <c r="M18" s="136" t="e">
        <f>ROUNDUP('採算表(VND)'!M18/$N$1,2)</f>
        <v>#DIV/0!</v>
      </c>
      <c r="N18" s="136" t="e">
        <f>ROUNDUP('採算表(VND)'!N18/$N$1,2)</f>
        <v>#DIV/0!</v>
      </c>
      <c r="O18" s="136" t="e">
        <f t="shared" si="4"/>
        <v>#DIV/0!</v>
      </c>
    </row>
    <row r="19" spans="1:15" ht="11.25" customHeight="1">
      <c r="A19" s="34"/>
      <c r="B19" s="36" t="s">
        <v>43</v>
      </c>
      <c r="C19" s="136" t="e">
        <f>ROUNDUP('採算表(VND)'!C19/$N$1,2)</f>
        <v>#DIV/0!</v>
      </c>
      <c r="D19" s="136" t="e">
        <f>ROUNDUP('採算表(VND)'!D19/$N$1,2)</f>
        <v>#DIV/0!</v>
      </c>
      <c r="E19" s="136" t="e">
        <f>ROUNDUP('採算表(VND)'!E19/$N$1,2)</f>
        <v>#DIV/0!</v>
      </c>
      <c r="F19" s="136" t="e">
        <f>ROUNDUP('採算表(VND)'!F19/$N$1,2)</f>
        <v>#DIV/0!</v>
      </c>
      <c r="G19" s="136" t="e">
        <f>ROUNDUP('採算表(VND)'!G19/$N$1,2)</f>
        <v>#DIV/0!</v>
      </c>
      <c r="H19" s="136" t="e">
        <f>ROUNDUP('採算表(VND)'!H19/$N$1,2)</f>
        <v>#DIV/0!</v>
      </c>
      <c r="I19" s="136" t="e">
        <f>ROUNDUP('採算表(VND)'!I19/$N$1,2)</f>
        <v>#DIV/0!</v>
      </c>
      <c r="J19" s="136" t="e">
        <f>ROUNDUP('採算表(VND)'!J19/$N$1,2)</f>
        <v>#DIV/0!</v>
      </c>
      <c r="K19" s="136" t="e">
        <f>ROUNDUP('採算表(VND)'!K19/$N$1,2)</f>
        <v>#DIV/0!</v>
      </c>
      <c r="L19" s="136" t="e">
        <f>ROUNDUP('採算表(VND)'!L19/$N$1,2)</f>
        <v>#DIV/0!</v>
      </c>
      <c r="M19" s="136" t="e">
        <f>ROUNDUP('採算表(VND)'!M19/$N$1,2)</f>
        <v>#DIV/0!</v>
      </c>
      <c r="N19" s="136" t="e">
        <f>ROUNDUP('採算表(VND)'!N19/$N$1,2)</f>
        <v>#DIV/0!</v>
      </c>
      <c r="O19" s="136" t="e">
        <f t="shared" si="4"/>
        <v>#DIV/0!</v>
      </c>
    </row>
    <row r="20" spans="1:15" ht="11.25" customHeight="1">
      <c r="A20" s="34"/>
      <c r="B20" s="36" t="s">
        <v>45</v>
      </c>
      <c r="C20" s="136" t="e">
        <f>ROUNDUP('採算表(VND)'!C20/$N$1,2)</f>
        <v>#DIV/0!</v>
      </c>
      <c r="D20" s="136" t="e">
        <f>ROUNDUP('採算表(VND)'!D20/$N$1,2)</f>
        <v>#DIV/0!</v>
      </c>
      <c r="E20" s="136" t="e">
        <f>ROUNDUP('採算表(VND)'!E20/$N$1,2)</f>
        <v>#DIV/0!</v>
      </c>
      <c r="F20" s="136" t="e">
        <f>ROUNDUP('採算表(VND)'!F20/$N$1,2)</f>
        <v>#DIV/0!</v>
      </c>
      <c r="G20" s="136" t="e">
        <f>ROUNDUP('採算表(VND)'!G20/$N$1,2)</f>
        <v>#DIV/0!</v>
      </c>
      <c r="H20" s="136" t="e">
        <f>ROUNDUP('採算表(VND)'!H20/$N$1,2)</f>
        <v>#DIV/0!</v>
      </c>
      <c r="I20" s="136" t="e">
        <f>ROUNDUP('採算表(VND)'!I20/$N$1,2)</f>
        <v>#DIV/0!</v>
      </c>
      <c r="J20" s="136" t="e">
        <f>ROUNDUP('採算表(VND)'!J20/$N$1,2)</f>
        <v>#DIV/0!</v>
      </c>
      <c r="K20" s="136" t="e">
        <f>ROUNDUP('採算表(VND)'!K20/$N$1,2)</f>
        <v>#DIV/0!</v>
      </c>
      <c r="L20" s="136" t="e">
        <f>ROUNDUP('採算表(VND)'!L20/$N$1,2)</f>
        <v>#DIV/0!</v>
      </c>
      <c r="M20" s="136" t="e">
        <f>ROUNDUP('採算表(VND)'!M20/$N$1,2)</f>
        <v>#DIV/0!</v>
      </c>
      <c r="N20" s="136" t="e">
        <f>ROUNDUP('採算表(VND)'!N20/$N$1,2)</f>
        <v>#DIV/0!</v>
      </c>
      <c r="O20" s="136" t="e">
        <f t="shared" si="4"/>
        <v>#DIV/0!</v>
      </c>
    </row>
    <row r="21" spans="1:15" ht="11.25" customHeight="1">
      <c r="A21" s="34"/>
      <c r="B21" s="36" t="s">
        <v>46</v>
      </c>
      <c r="C21" s="136" t="e">
        <f>ROUNDUP('採算表(VND)'!C21/$N$1,2)</f>
        <v>#DIV/0!</v>
      </c>
      <c r="D21" s="136" t="e">
        <f>ROUNDUP('採算表(VND)'!D21/$N$1,2)</f>
        <v>#DIV/0!</v>
      </c>
      <c r="E21" s="136" t="e">
        <f>ROUNDUP('採算表(VND)'!E21/$N$1,2)</f>
        <v>#DIV/0!</v>
      </c>
      <c r="F21" s="136" t="e">
        <f>ROUNDUP('採算表(VND)'!F21/$N$1,2)</f>
        <v>#DIV/0!</v>
      </c>
      <c r="G21" s="136" t="e">
        <f>ROUNDUP('採算表(VND)'!G21/$N$1,2)</f>
        <v>#DIV/0!</v>
      </c>
      <c r="H21" s="136" t="e">
        <f>ROUNDUP('採算表(VND)'!H21/$N$1,2)</f>
        <v>#DIV/0!</v>
      </c>
      <c r="I21" s="136" t="e">
        <f>ROUNDUP('採算表(VND)'!I21/$N$1,2)</f>
        <v>#DIV/0!</v>
      </c>
      <c r="J21" s="136" t="e">
        <f>ROUNDUP('採算表(VND)'!J21/$N$1,2)</f>
        <v>#DIV/0!</v>
      </c>
      <c r="K21" s="136" t="e">
        <f>ROUNDUP('採算表(VND)'!K21/$N$1,2)</f>
        <v>#DIV/0!</v>
      </c>
      <c r="L21" s="136" t="e">
        <f>ROUNDUP('採算表(VND)'!L21/$N$1,2)</f>
        <v>#DIV/0!</v>
      </c>
      <c r="M21" s="136" t="e">
        <f>ROUNDUP('採算表(VND)'!M21/$N$1,2)</f>
        <v>#DIV/0!</v>
      </c>
      <c r="N21" s="136" t="e">
        <f>ROUNDUP('採算表(VND)'!N21/$N$1,2)</f>
        <v>#DIV/0!</v>
      </c>
      <c r="O21" s="136" t="e">
        <f t="shared" si="4"/>
        <v>#DIV/0!</v>
      </c>
    </row>
    <row r="22" spans="1:15" ht="11.25" customHeight="1">
      <c r="A22" s="34"/>
      <c r="B22" s="36" t="s">
        <v>47</v>
      </c>
      <c r="C22" s="136" t="e">
        <f>ROUNDUP('採算表(VND)'!C22/$N$1,2)</f>
        <v>#DIV/0!</v>
      </c>
      <c r="D22" s="136" t="e">
        <f>ROUNDUP('採算表(VND)'!D22/$N$1,2)</f>
        <v>#DIV/0!</v>
      </c>
      <c r="E22" s="136" t="e">
        <f>ROUNDUP('採算表(VND)'!E22/$N$1,2)</f>
        <v>#DIV/0!</v>
      </c>
      <c r="F22" s="136" t="e">
        <f>ROUNDUP('採算表(VND)'!F22/$N$1,2)</f>
        <v>#DIV/0!</v>
      </c>
      <c r="G22" s="136" t="e">
        <f>ROUNDUP('採算表(VND)'!G22/$N$1,2)</f>
        <v>#DIV/0!</v>
      </c>
      <c r="H22" s="136" t="e">
        <f>ROUNDUP('採算表(VND)'!H22/$N$1,2)</f>
        <v>#DIV/0!</v>
      </c>
      <c r="I22" s="136" t="e">
        <f>ROUNDUP('採算表(VND)'!I22/$N$1,2)</f>
        <v>#DIV/0!</v>
      </c>
      <c r="J22" s="136" t="e">
        <f>ROUNDUP('採算表(VND)'!J22/$N$1,2)</f>
        <v>#DIV/0!</v>
      </c>
      <c r="K22" s="136" t="e">
        <f>ROUNDUP('採算表(VND)'!K22/$N$1,2)</f>
        <v>#DIV/0!</v>
      </c>
      <c r="L22" s="136" t="e">
        <f>ROUNDUP('採算表(VND)'!L22/$N$1,2)</f>
        <v>#DIV/0!</v>
      </c>
      <c r="M22" s="136" t="e">
        <f>ROUNDUP('採算表(VND)'!M22/$N$1,2)</f>
        <v>#DIV/0!</v>
      </c>
      <c r="N22" s="136" t="e">
        <f>ROUNDUP('採算表(VND)'!N22/$N$1,2)</f>
        <v>#DIV/0!</v>
      </c>
      <c r="O22" s="136" t="e">
        <f t="shared" si="4"/>
        <v>#DIV/0!</v>
      </c>
    </row>
    <row r="23" spans="1:15" ht="11.25" customHeight="1">
      <c r="A23" s="34"/>
      <c r="B23" s="36" t="s">
        <v>49</v>
      </c>
      <c r="C23" s="136" t="e">
        <f>ROUNDUP('採算表(VND)'!C23/$N$1,2)</f>
        <v>#DIV/0!</v>
      </c>
      <c r="D23" s="136" t="e">
        <f>ROUNDUP('採算表(VND)'!D23/$N$1,2)</f>
        <v>#DIV/0!</v>
      </c>
      <c r="E23" s="136" t="e">
        <f>ROUNDUP('採算表(VND)'!E23/$N$1,2)</f>
        <v>#DIV/0!</v>
      </c>
      <c r="F23" s="136" t="e">
        <f>ROUNDUP('採算表(VND)'!F23/$N$1,2)</f>
        <v>#DIV/0!</v>
      </c>
      <c r="G23" s="136" t="e">
        <f>ROUNDUP('採算表(VND)'!G23/$N$1,2)</f>
        <v>#DIV/0!</v>
      </c>
      <c r="H23" s="136" t="e">
        <f>ROUNDUP('採算表(VND)'!H23/$N$1,2)</f>
        <v>#DIV/0!</v>
      </c>
      <c r="I23" s="136" t="e">
        <f>ROUNDUP('採算表(VND)'!I23/$N$1,2)</f>
        <v>#DIV/0!</v>
      </c>
      <c r="J23" s="136" t="e">
        <f>ROUNDUP('採算表(VND)'!J23/$N$1,2)</f>
        <v>#DIV/0!</v>
      </c>
      <c r="K23" s="136" t="e">
        <f>ROUNDUP('採算表(VND)'!K23/$N$1,2)</f>
        <v>#DIV/0!</v>
      </c>
      <c r="L23" s="136" t="e">
        <f>ROUNDUP('採算表(VND)'!L23/$N$1,2)</f>
        <v>#DIV/0!</v>
      </c>
      <c r="M23" s="136" t="e">
        <f>ROUNDUP('採算表(VND)'!M23/$N$1,2)</f>
        <v>#DIV/0!</v>
      </c>
      <c r="N23" s="136" t="e">
        <f>ROUNDUP('採算表(VND)'!N23/$N$1,2)</f>
        <v>#DIV/0!</v>
      </c>
      <c r="O23" s="136" t="e">
        <f t="shared" si="4"/>
        <v>#DIV/0!</v>
      </c>
    </row>
    <row r="24" spans="1:15" ht="11.25" customHeight="1">
      <c r="A24" s="34"/>
      <c r="B24" s="36" t="s">
        <v>52</v>
      </c>
      <c r="C24" s="136" t="e">
        <f>ROUNDUP('採算表(VND)'!C24/$N$1,2)</f>
        <v>#DIV/0!</v>
      </c>
      <c r="D24" s="136" t="e">
        <f>ROUNDUP('採算表(VND)'!D24/$N$1,2)</f>
        <v>#DIV/0!</v>
      </c>
      <c r="E24" s="136" t="e">
        <f>ROUNDUP('採算表(VND)'!E24/$N$1,2)</f>
        <v>#DIV/0!</v>
      </c>
      <c r="F24" s="136" t="e">
        <f>ROUNDUP('採算表(VND)'!F24/$N$1,2)</f>
        <v>#DIV/0!</v>
      </c>
      <c r="G24" s="136" t="e">
        <f>ROUNDUP('採算表(VND)'!G24/$N$1,2)</f>
        <v>#DIV/0!</v>
      </c>
      <c r="H24" s="136" t="e">
        <f>ROUNDUP('採算表(VND)'!H24/$N$1,2)</f>
        <v>#DIV/0!</v>
      </c>
      <c r="I24" s="136" t="e">
        <f>ROUNDUP('採算表(VND)'!I24/$N$1,2)</f>
        <v>#DIV/0!</v>
      </c>
      <c r="J24" s="136" t="e">
        <f>ROUNDUP('採算表(VND)'!J24/$N$1,2)</f>
        <v>#DIV/0!</v>
      </c>
      <c r="K24" s="136" t="e">
        <f>ROUNDUP('採算表(VND)'!K24/$N$1,2)</f>
        <v>#DIV/0!</v>
      </c>
      <c r="L24" s="136" t="e">
        <f>ROUNDUP('採算表(VND)'!L24/$N$1,2)</f>
        <v>#DIV/0!</v>
      </c>
      <c r="M24" s="136" t="e">
        <f>ROUNDUP('採算表(VND)'!M24/$N$1,2)</f>
        <v>#DIV/0!</v>
      </c>
      <c r="N24" s="136" t="e">
        <f>ROUNDUP('採算表(VND)'!N24/$N$1,2)</f>
        <v>#DIV/0!</v>
      </c>
      <c r="O24" s="136" t="e">
        <f t="shared" si="4"/>
        <v>#DIV/0!</v>
      </c>
    </row>
    <row r="25" spans="1:15" ht="11.25" customHeight="1">
      <c r="A25" s="34"/>
      <c r="B25" s="36" t="s">
        <v>55</v>
      </c>
      <c r="C25" s="136" t="e">
        <f>ROUNDUP('採算表(VND)'!C25/$N$1,2)</f>
        <v>#DIV/0!</v>
      </c>
      <c r="D25" s="136" t="e">
        <f>ROUNDUP('採算表(VND)'!D25/$N$1,2)</f>
        <v>#DIV/0!</v>
      </c>
      <c r="E25" s="136" t="e">
        <f>ROUNDUP('採算表(VND)'!E25/$N$1,2)</f>
        <v>#DIV/0!</v>
      </c>
      <c r="F25" s="136" t="e">
        <f>ROUNDUP('採算表(VND)'!F25/$N$1,2)</f>
        <v>#DIV/0!</v>
      </c>
      <c r="G25" s="136" t="e">
        <f>ROUNDUP('採算表(VND)'!G25/$N$1,2)</f>
        <v>#DIV/0!</v>
      </c>
      <c r="H25" s="136" t="e">
        <f>ROUNDUP('採算表(VND)'!H25/$N$1,2)</f>
        <v>#DIV/0!</v>
      </c>
      <c r="I25" s="136" t="e">
        <f>ROUNDUP('採算表(VND)'!I25/$N$1,2)</f>
        <v>#DIV/0!</v>
      </c>
      <c r="J25" s="136" t="e">
        <f>ROUNDUP('採算表(VND)'!J25/$N$1,2)</f>
        <v>#DIV/0!</v>
      </c>
      <c r="K25" s="136" t="e">
        <f>ROUNDUP('採算表(VND)'!K25/$N$1,2)</f>
        <v>#DIV/0!</v>
      </c>
      <c r="L25" s="136" t="e">
        <f>ROUNDUP('採算表(VND)'!L25/$N$1,2)</f>
        <v>#DIV/0!</v>
      </c>
      <c r="M25" s="136" t="e">
        <f>ROUNDUP('採算表(VND)'!M25/$N$1,2)</f>
        <v>#DIV/0!</v>
      </c>
      <c r="N25" s="136" t="e">
        <f>ROUNDUP('採算表(VND)'!N25/$N$1,2)</f>
        <v>#DIV/0!</v>
      </c>
      <c r="O25" s="136" t="e">
        <f t="shared" si="4"/>
        <v>#DIV/0!</v>
      </c>
    </row>
    <row r="26" spans="1:15" ht="11.25" customHeight="1">
      <c r="A26" s="34"/>
      <c r="B26" s="37" t="s">
        <v>104</v>
      </c>
      <c r="C26" s="136" t="e">
        <f>ROUNDUP('採算表(VND)'!C26/$N$1,2)</f>
        <v>#DIV/0!</v>
      </c>
      <c r="D26" s="136" t="e">
        <f>ROUNDUP('採算表(VND)'!D26/$N$1,2)</f>
        <v>#DIV/0!</v>
      </c>
      <c r="E26" s="136" t="e">
        <f>ROUNDUP('採算表(VND)'!E26/$N$1,2)</f>
        <v>#DIV/0!</v>
      </c>
      <c r="F26" s="136" t="e">
        <f>ROUNDUP('採算表(VND)'!F26/$N$1,2)</f>
        <v>#DIV/0!</v>
      </c>
      <c r="G26" s="136" t="e">
        <f>ROUNDUP('採算表(VND)'!G26/$N$1,2)</f>
        <v>#DIV/0!</v>
      </c>
      <c r="H26" s="136" t="e">
        <f>ROUNDUP('採算表(VND)'!H26/$N$1,2)</f>
        <v>#DIV/0!</v>
      </c>
      <c r="I26" s="136" t="e">
        <f>ROUNDUP('採算表(VND)'!I26/$N$1,2)</f>
        <v>#DIV/0!</v>
      </c>
      <c r="J26" s="136" t="e">
        <f>ROUNDUP('採算表(VND)'!J26/$N$1,2)</f>
        <v>#DIV/0!</v>
      </c>
      <c r="K26" s="136" t="e">
        <f>ROUNDUP('採算表(VND)'!K26/$N$1,2)</f>
        <v>#DIV/0!</v>
      </c>
      <c r="L26" s="136" t="e">
        <f>ROUNDUP('採算表(VND)'!L26/$N$1,2)</f>
        <v>#DIV/0!</v>
      </c>
      <c r="M26" s="136" t="e">
        <f>ROUNDUP('採算表(VND)'!M26/$N$1,2)</f>
        <v>#DIV/0!</v>
      </c>
      <c r="N26" s="136" t="e">
        <f>ROUNDUP('採算表(VND)'!N26/$N$1,2)</f>
        <v>#DIV/0!</v>
      </c>
      <c r="O26" s="136" t="e">
        <f t="shared" si="4"/>
        <v>#DIV/0!</v>
      </c>
    </row>
    <row r="27" spans="1:15" ht="11.25" customHeight="1">
      <c r="A27" s="34"/>
      <c r="B27" s="37" t="s">
        <v>54</v>
      </c>
      <c r="C27" s="136" t="e">
        <f>ROUNDUP('採算表(VND)'!C27/$N$1,2)</f>
        <v>#DIV/0!</v>
      </c>
      <c r="D27" s="136" t="e">
        <f>ROUNDUP('採算表(VND)'!D27/$N$1,2)</f>
        <v>#DIV/0!</v>
      </c>
      <c r="E27" s="136" t="e">
        <f>ROUNDUP('採算表(VND)'!E27/$N$1,2)</f>
        <v>#DIV/0!</v>
      </c>
      <c r="F27" s="136" t="e">
        <f>ROUNDUP('採算表(VND)'!F27/$N$1,2)</f>
        <v>#DIV/0!</v>
      </c>
      <c r="G27" s="136" t="e">
        <f>ROUNDUP('採算表(VND)'!G27/$N$1,2)</f>
        <v>#DIV/0!</v>
      </c>
      <c r="H27" s="136" t="e">
        <f>ROUNDUP('採算表(VND)'!H27/$N$1,2)</f>
        <v>#DIV/0!</v>
      </c>
      <c r="I27" s="136" t="e">
        <f>ROUNDUP('採算表(VND)'!I27/$N$1,2)</f>
        <v>#DIV/0!</v>
      </c>
      <c r="J27" s="136" t="e">
        <f>ROUNDUP('採算表(VND)'!J27/$N$1,2)</f>
        <v>#DIV/0!</v>
      </c>
      <c r="K27" s="136" t="e">
        <f>ROUNDUP('採算表(VND)'!K27/$N$1,2)</f>
        <v>#DIV/0!</v>
      </c>
      <c r="L27" s="136" t="e">
        <f>ROUNDUP('採算表(VND)'!L27/$N$1,2)</f>
        <v>#DIV/0!</v>
      </c>
      <c r="M27" s="136" t="e">
        <f>ROUNDUP('採算表(VND)'!M27/$N$1,2)</f>
        <v>#DIV/0!</v>
      </c>
      <c r="N27" s="136" t="e">
        <f>ROUNDUP('採算表(VND)'!N27/$N$1,2)</f>
        <v>#DIV/0!</v>
      </c>
      <c r="O27" s="136" t="e">
        <f t="shared" si="4"/>
        <v>#DIV/0!</v>
      </c>
    </row>
    <row r="28" spans="1:15" ht="11.25" customHeight="1">
      <c r="A28" s="34"/>
      <c r="B28" s="37" t="s">
        <v>56</v>
      </c>
      <c r="C28" s="136" t="e">
        <f>ROUNDUP('採算表(VND)'!C28/$N$1,2)</f>
        <v>#DIV/0!</v>
      </c>
      <c r="D28" s="136" t="e">
        <f>ROUNDUP('採算表(VND)'!D28/$N$1,2)</f>
        <v>#DIV/0!</v>
      </c>
      <c r="E28" s="136" t="e">
        <f>ROUNDUP('採算表(VND)'!E28/$N$1,2)</f>
        <v>#DIV/0!</v>
      </c>
      <c r="F28" s="136" t="e">
        <f>ROUNDUP('採算表(VND)'!F28/$N$1,2)</f>
        <v>#DIV/0!</v>
      </c>
      <c r="G28" s="136" t="e">
        <f>ROUNDUP('採算表(VND)'!G28/$N$1,2)</f>
        <v>#DIV/0!</v>
      </c>
      <c r="H28" s="136" t="e">
        <f>ROUNDUP('採算表(VND)'!H28/$N$1,2)</f>
        <v>#DIV/0!</v>
      </c>
      <c r="I28" s="136" t="e">
        <f>ROUNDUP('採算表(VND)'!I28/$N$1,2)</f>
        <v>#DIV/0!</v>
      </c>
      <c r="J28" s="136" t="e">
        <f>ROUNDUP('採算表(VND)'!J28/$N$1,2)</f>
        <v>#DIV/0!</v>
      </c>
      <c r="K28" s="136" t="e">
        <f>ROUNDUP('採算表(VND)'!K28/$N$1,2)</f>
        <v>#DIV/0!</v>
      </c>
      <c r="L28" s="136" t="e">
        <f>ROUNDUP('採算表(VND)'!L28/$N$1,2)</f>
        <v>#DIV/0!</v>
      </c>
      <c r="M28" s="136" t="e">
        <f>ROUNDUP('採算表(VND)'!M28/$N$1,2)</f>
        <v>#DIV/0!</v>
      </c>
      <c r="N28" s="136" t="e">
        <f>ROUNDUP('採算表(VND)'!N28/$N$1,2)</f>
        <v>#DIV/0!</v>
      </c>
      <c r="O28" s="136" t="e">
        <f t="shared" si="4"/>
        <v>#DIV/0!</v>
      </c>
    </row>
    <row r="29" spans="1:15" ht="11.25" customHeight="1">
      <c r="A29" s="34"/>
      <c r="B29" s="37" t="s">
        <v>57</v>
      </c>
      <c r="C29" s="136" t="e">
        <f>ROUNDUP('採算表(VND)'!C29/$N$1,2)</f>
        <v>#DIV/0!</v>
      </c>
      <c r="D29" s="136" t="e">
        <f>ROUNDUP('採算表(VND)'!D29/$N$1,2)</f>
        <v>#DIV/0!</v>
      </c>
      <c r="E29" s="136" t="e">
        <f>ROUNDUP('採算表(VND)'!E29/$N$1,2)</f>
        <v>#DIV/0!</v>
      </c>
      <c r="F29" s="136" t="e">
        <f>ROUNDUP('採算表(VND)'!F29/$N$1,2)</f>
        <v>#DIV/0!</v>
      </c>
      <c r="G29" s="136" t="e">
        <f>ROUNDUP('採算表(VND)'!G29/$N$1,2)</f>
        <v>#DIV/0!</v>
      </c>
      <c r="H29" s="136" t="e">
        <f>ROUNDUP('採算表(VND)'!H29/$N$1,2)</f>
        <v>#DIV/0!</v>
      </c>
      <c r="I29" s="136" t="e">
        <f>ROUNDUP('採算表(VND)'!I29/$N$1,2)</f>
        <v>#DIV/0!</v>
      </c>
      <c r="J29" s="136" t="e">
        <f>ROUNDUP('採算表(VND)'!J29/$N$1,2)</f>
        <v>#DIV/0!</v>
      </c>
      <c r="K29" s="136" t="e">
        <f>ROUNDUP('採算表(VND)'!K29/$N$1,2)</f>
        <v>#DIV/0!</v>
      </c>
      <c r="L29" s="136" t="e">
        <f>ROUNDUP('採算表(VND)'!L29/$N$1,2)</f>
        <v>#DIV/0!</v>
      </c>
      <c r="M29" s="136" t="e">
        <f>ROUNDUP('採算表(VND)'!M29/$N$1,2)</f>
        <v>#DIV/0!</v>
      </c>
      <c r="N29" s="136" t="e">
        <f>ROUNDUP('採算表(VND)'!N29/$N$1,2)</f>
        <v>#DIV/0!</v>
      </c>
      <c r="O29" s="136" t="e">
        <f t="shared" si="4"/>
        <v>#DIV/0!</v>
      </c>
    </row>
    <row r="30" spans="1:15" ht="11.25" customHeight="1">
      <c r="A30" s="34"/>
      <c r="B30" s="37" t="s">
        <v>97</v>
      </c>
      <c r="C30" s="136" t="e">
        <f>ROUNDUP('採算表(VND)'!C30/$N$1,2)</f>
        <v>#DIV/0!</v>
      </c>
      <c r="D30" s="136" t="e">
        <f>ROUNDUP('採算表(VND)'!D30/$N$1,2)</f>
        <v>#DIV/0!</v>
      </c>
      <c r="E30" s="136" t="e">
        <f>ROUNDUP('採算表(VND)'!E30/$N$1,2)</f>
        <v>#DIV/0!</v>
      </c>
      <c r="F30" s="136" t="e">
        <f>ROUNDUP('採算表(VND)'!F30/$N$1,2)</f>
        <v>#DIV/0!</v>
      </c>
      <c r="G30" s="136" t="e">
        <f>ROUNDUP('採算表(VND)'!G30/$N$1,2)</f>
        <v>#DIV/0!</v>
      </c>
      <c r="H30" s="136" t="e">
        <f>ROUNDUP('採算表(VND)'!H30/$N$1,2)</f>
        <v>#DIV/0!</v>
      </c>
      <c r="I30" s="136" t="e">
        <f>ROUNDUP('採算表(VND)'!I30/$N$1,2)</f>
        <v>#DIV/0!</v>
      </c>
      <c r="J30" s="136" t="e">
        <f>ROUNDUP('採算表(VND)'!J30/$N$1,2)</f>
        <v>#DIV/0!</v>
      </c>
      <c r="K30" s="136" t="e">
        <f>ROUNDUP('採算表(VND)'!K30/$N$1,2)</f>
        <v>#DIV/0!</v>
      </c>
      <c r="L30" s="136" t="e">
        <f>ROUNDUP('採算表(VND)'!L30/$N$1,2)</f>
        <v>#DIV/0!</v>
      </c>
      <c r="M30" s="136" t="e">
        <f>ROUNDUP('採算表(VND)'!M30/$N$1,2)</f>
        <v>#DIV/0!</v>
      </c>
      <c r="N30" s="136" t="e">
        <f>ROUNDUP('採算表(VND)'!N30/$N$1,2)</f>
        <v>#DIV/0!</v>
      </c>
      <c r="O30" s="136" t="e">
        <f t="shared" si="4"/>
        <v>#DIV/0!</v>
      </c>
    </row>
    <row r="31" spans="1:15" ht="11.25" customHeight="1">
      <c r="A31" s="34"/>
      <c r="B31" s="37" t="s">
        <v>59</v>
      </c>
      <c r="C31" s="136" t="e">
        <f>ROUNDUP('採算表(VND)'!C31/$N$1,2)</f>
        <v>#DIV/0!</v>
      </c>
      <c r="D31" s="136" t="e">
        <f>ROUNDUP('採算表(VND)'!D31/$N$1,2)</f>
        <v>#DIV/0!</v>
      </c>
      <c r="E31" s="136" t="e">
        <f>ROUNDUP('採算表(VND)'!E31/$N$1,2)</f>
        <v>#DIV/0!</v>
      </c>
      <c r="F31" s="136" t="e">
        <f>ROUNDUP('採算表(VND)'!F31/$N$1,2)</f>
        <v>#DIV/0!</v>
      </c>
      <c r="G31" s="136" t="e">
        <f>ROUNDUP('採算表(VND)'!G31/$N$1,2)</f>
        <v>#DIV/0!</v>
      </c>
      <c r="H31" s="136" t="e">
        <f>ROUNDUP('採算表(VND)'!H31/$N$1,2)</f>
        <v>#DIV/0!</v>
      </c>
      <c r="I31" s="136" t="e">
        <f>ROUNDUP('採算表(VND)'!I31/$N$1,2)</f>
        <v>#DIV/0!</v>
      </c>
      <c r="J31" s="136" t="e">
        <f>ROUNDUP('採算表(VND)'!J31/$N$1,2)</f>
        <v>#DIV/0!</v>
      </c>
      <c r="K31" s="136" t="e">
        <f>ROUNDUP('採算表(VND)'!K31/$N$1,2)</f>
        <v>#DIV/0!</v>
      </c>
      <c r="L31" s="136" t="e">
        <f>ROUNDUP('採算表(VND)'!L31/$N$1,2)</f>
        <v>#DIV/0!</v>
      </c>
      <c r="M31" s="136" t="e">
        <f>ROUNDUP('採算表(VND)'!M31/$N$1,2)</f>
        <v>#DIV/0!</v>
      </c>
      <c r="N31" s="136" t="e">
        <f>ROUNDUP('採算表(VND)'!N31/$N$1,2)</f>
        <v>#DIV/0!</v>
      </c>
      <c r="O31" s="136" t="e">
        <f t="shared" si="4"/>
        <v>#DIV/0!</v>
      </c>
    </row>
    <row r="32" spans="1:15" ht="11.25" customHeight="1">
      <c r="A32" s="38"/>
      <c r="B32" s="37" t="s">
        <v>61</v>
      </c>
      <c r="C32" s="136" t="e">
        <f>ROUNDUP('採算表(VND)'!C32/$N$1,2)</f>
        <v>#DIV/0!</v>
      </c>
      <c r="D32" s="136" t="e">
        <f>ROUNDUP('採算表(VND)'!D32/$N$1,2)</f>
        <v>#DIV/0!</v>
      </c>
      <c r="E32" s="136" t="e">
        <f>ROUNDUP('採算表(VND)'!E32/$N$1,2)</f>
        <v>#DIV/0!</v>
      </c>
      <c r="F32" s="136" t="e">
        <f>ROUNDUP('採算表(VND)'!F32/$N$1,2)</f>
        <v>#DIV/0!</v>
      </c>
      <c r="G32" s="136" t="e">
        <f>ROUNDUP('採算表(VND)'!G32/$N$1,2)</f>
        <v>#DIV/0!</v>
      </c>
      <c r="H32" s="136" t="e">
        <f>ROUNDUP('採算表(VND)'!H32/$N$1,2)</f>
        <v>#DIV/0!</v>
      </c>
      <c r="I32" s="136" t="e">
        <f>ROUNDUP('採算表(VND)'!I32/$N$1,2)</f>
        <v>#DIV/0!</v>
      </c>
      <c r="J32" s="136" t="e">
        <f>ROUNDUP('採算表(VND)'!J32/$N$1,2)</f>
        <v>#DIV/0!</v>
      </c>
      <c r="K32" s="136" t="e">
        <f>ROUNDUP('採算表(VND)'!K32/$N$1,2)</f>
        <v>#DIV/0!</v>
      </c>
      <c r="L32" s="136" t="e">
        <f>ROUNDUP('採算表(VND)'!L32/$N$1,2)</f>
        <v>#DIV/0!</v>
      </c>
      <c r="M32" s="136" t="e">
        <f>ROUNDUP('採算表(VND)'!M32/$N$1,2)</f>
        <v>#DIV/0!</v>
      </c>
      <c r="N32" s="136" t="e">
        <f>ROUNDUP('採算表(VND)'!N32/$N$1,2)</f>
        <v>#DIV/0!</v>
      </c>
      <c r="O32" s="136" t="e">
        <f t="shared" si="4"/>
        <v>#DIV/0!</v>
      </c>
    </row>
    <row r="33" spans="1:15" ht="11.25" customHeight="1">
      <c r="A33" s="38"/>
      <c r="B33" s="37" t="s">
        <v>60</v>
      </c>
      <c r="C33" s="136" t="e">
        <f>ROUNDUP('採算表(VND)'!C33/$N$1,2)</f>
        <v>#DIV/0!</v>
      </c>
      <c r="D33" s="136" t="e">
        <f>ROUNDUP('採算表(VND)'!D33/$N$1,2)</f>
        <v>#DIV/0!</v>
      </c>
      <c r="E33" s="136" t="e">
        <f>ROUNDUP('採算表(VND)'!E33/$N$1,2)</f>
        <v>#DIV/0!</v>
      </c>
      <c r="F33" s="136" t="e">
        <f>ROUNDUP('採算表(VND)'!F33/$N$1,2)</f>
        <v>#DIV/0!</v>
      </c>
      <c r="G33" s="136" t="e">
        <f>ROUNDUP('採算表(VND)'!G33/$N$1,2)</f>
        <v>#DIV/0!</v>
      </c>
      <c r="H33" s="136" t="e">
        <f>ROUNDUP('採算表(VND)'!H33/$N$1,2)</f>
        <v>#DIV/0!</v>
      </c>
      <c r="I33" s="136" t="e">
        <f>ROUNDUP('採算表(VND)'!I33/$N$1,2)</f>
        <v>#DIV/0!</v>
      </c>
      <c r="J33" s="136" t="e">
        <f>ROUNDUP('採算表(VND)'!J33/$N$1,2)</f>
        <v>#DIV/0!</v>
      </c>
      <c r="K33" s="136" t="e">
        <f>ROUNDUP('採算表(VND)'!K33/$N$1,2)</f>
        <v>#DIV/0!</v>
      </c>
      <c r="L33" s="136" t="e">
        <f>ROUNDUP('採算表(VND)'!L33/$N$1,2)</f>
        <v>#DIV/0!</v>
      </c>
      <c r="M33" s="136" t="e">
        <f>ROUNDUP('採算表(VND)'!M33/$N$1,2)</f>
        <v>#DIV/0!</v>
      </c>
      <c r="N33" s="136" t="e">
        <f>ROUNDUP('採算表(VND)'!N33/$N$1,2)</f>
        <v>#DIV/0!</v>
      </c>
      <c r="O33" s="136" t="e">
        <f t="shared" si="4"/>
        <v>#DIV/0!</v>
      </c>
    </row>
    <row r="34" spans="1:15" ht="11.25" customHeight="1">
      <c r="A34" s="38"/>
      <c r="B34" s="37" t="s">
        <v>65</v>
      </c>
      <c r="C34" s="136" t="e">
        <f>ROUNDUP('採算表(VND)'!C34/$N$1,2)</f>
        <v>#DIV/0!</v>
      </c>
      <c r="D34" s="136" t="e">
        <f>ROUNDUP('採算表(VND)'!D34/$N$1,2)</f>
        <v>#DIV/0!</v>
      </c>
      <c r="E34" s="136" t="e">
        <f>ROUNDUP('採算表(VND)'!E34/$N$1,2)</f>
        <v>#DIV/0!</v>
      </c>
      <c r="F34" s="136" t="e">
        <f>ROUNDUP('採算表(VND)'!F34/$N$1,2)</f>
        <v>#DIV/0!</v>
      </c>
      <c r="G34" s="136" t="e">
        <f>ROUNDUP('採算表(VND)'!G34/$N$1,2)</f>
        <v>#DIV/0!</v>
      </c>
      <c r="H34" s="136" t="e">
        <f>ROUNDUP('採算表(VND)'!H34/$N$1,2)</f>
        <v>#DIV/0!</v>
      </c>
      <c r="I34" s="136" t="e">
        <f>ROUNDUP('採算表(VND)'!I34/$N$1,2)</f>
        <v>#DIV/0!</v>
      </c>
      <c r="J34" s="136" t="e">
        <f>ROUNDUP('採算表(VND)'!J34/$N$1,2)</f>
        <v>#DIV/0!</v>
      </c>
      <c r="K34" s="136" t="e">
        <f>ROUNDUP('採算表(VND)'!K34/$N$1,2)</f>
        <v>#DIV/0!</v>
      </c>
      <c r="L34" s="136" t="e">
        <f>ROUNDUP('採算表(VND)'!L34/$N$1,2)</f>
        <v>#DIV/0!</v>
      </c>
      <c r="M34" s="136" t="e">
        <f>ROUNDUP('採算表(VND)'!M34/$N$1,2)</f>
        <v>#DIV/0!</v>
      </c>
      <c r="N34" s="136" t="e">
        <f>ROUNDUP('採算表(VND)'!N34/$N$1,2)</f>
        <v>#DIV/0!</v>
      </c>
      <c r="O34" s="136" t="e">
        <f t="shared" si="4"/>
        <v>#DIV/0!</v>
      </c>
    </row>
    <row r="35" spans="1:15" ht="11.25" customHeight="1">
      <c r="A35" s="38"/>
      <c r="B35" s="37" t="s">
        <v>44</v>
      </c>
      <c r="C35" s="136" t="e">
        <f>ROUNDUP('採算表(VND)'!C35/$N$1,2)</f>
        <v>#DIV/0!</v>
      </c>
      <c r="D35" s="136" t="e">
        <f>ROUNDUP('採算表(VND)'!D35/$N$1,2)</f>
        <v>#DIV/0!</v>
      </c>
      <c r="E35" s="136" t="e">
        <f>ROUNDUP('採算表(VND)'!E35/$N$1,2)</f>
        <v>#DIV/0!</v>
      </c>
      <c r="F35" s="136" t="e">
        <f>ROUNDUP('採算表(VND)'!F35/$N$1,2)</f>
        <v>#DIV/0!</v>
      </c>
      <c r="G35" s="136" t="e">
        <f>ROUNDUP('採算表(VND)'!G35/$N$1,2)</f>
        <v>#DIV/0!</v>
      </c>
      <c r="H35" s="136" t="e">
        <f>ROUNDUP('採算表(VND)'!H35/$N$1,2)</f>
        <v>#DIV/0!</v>
      </c>
      <c r="I35" s="136" t="e">
        <f>ROUNDUP('採算表(VND)'!I35/$N$1,2)</f>
        <v>#DIV/0!</v>
      </c>
      <c r="J35" s="136" t="e">
        <f>ROUNDUP('採算表(VND)'!J35/$N$1,2)</f>
        <v>#DIV/0!</v>
      </c>
      <c r="K35" s="136" t="e">
        <f>ROUNDUP('採算表(VND)'!K35/$N$1,2)</f>
        <v>#DIV/0!</v>
      </c>
      <c r="L35" s="136" t="e">
        <f>ROUNDUP('採算表(VND)'!L35/$N$1,2)</f>
        <v>#DIV/0!</v>
      </c>
      <c r="M35" s="136" t="e">
        <f>ROUNDUP('採算表(VND)'!M35/$N$1,2)</f>
        <v>#DIV/0!</v>
      </c>
      <c r="N35" s="136" t="e">
        <f>ROUNDUP('採算表(VND)'!N35/$N$1,2)</f>
        <v>#DIV/0!</v>
      </c>
      <c r="O35" s="136" t="e">
        <f t="shared" si="4"/>
        <v>#DIV/0!</v>
      </c>
    </row>
    <row r="36" spans="1:15" ht="11.25" customHeight="1">
      <c r="A36" s="38"/>
      <c r="B36" s="37" t="s">
        <v>63</v>
      </c>
      <c r="C36" s="136" t="e">
        <f>ROUNDUP('採算表(VND)'!C36/$N$1,2)</f>
        <v>#DIV/0!</v>
      </c>
      <c r="D36" s="136" t="e">
        <f>ROUNDUP('採算表(VND)'!D36/$N$1,2)</f>
        <v>#DIV/0!</v>
      </c>
      <c r="E36" s="136" t="e">
        <f>ROUNDUP('採算表(VND)'!E36/$N$1,2)</f>
        <v>#DIV/0!</v>
      </c>
      <c r="F36" s="136" t="e">
        <f>ROUNDUP('採算表(VND)'!F36/$N$1,2)</f>
        <v>#DIV/0!</v>
      </c>
      <c r="G36" s="136" t="e">
        <f>ROUNDUP('採算表(VND)'!G36/$N$1,2)</f>
        <v>#DIV/0!</v>
      </c>
      <c r="H36" s="136" t="e">
        <f>ROUNDUP('採算表(VND)'!H36/$N$1,2)</f>
        <v>#DIV/0!</v>
      </c>
      <c r="I36" s="136" t="e">
        <f>ROUNDUP('採算表(VND)'!I36/$N$1,2)</f>
        <v>#DIV/0!</v>
      </c>
      <c r="J36" s="136" t="e">
        <f>ROUNDUP('採算表(VND)'!J36/$N$1,2)</f>
        <v>#DIV/0!</v>
      </c>
      <c r="K36" s="136" t="e">
        <f>ROUNDUP('採算表(VND)'!K36/$N$1,2)</f>
        <v>#DIV/0!</v>
      </c>
      <c r="L36" s="136" t="e">
        <f>ROUNDUP('採算表(VND)'!L36/$N$1,2)</f>
        <v>#DIV/0!</v>
      </c>
      <c r="M36" s="136" t="e">
        <f>ROUNDUP('採算表(VND)'!M36/$N$1,2)</f>
        <v>#DIV/0!</v>
      </c>
      <c r="N36" s="136" t="e">
        <f>ROUNDUP('採算表(VND)'!N36/$N$1,2)</f>
        <v>#DIV/0!</v>
      </c>
      <c r="O36" s="136" t="e">
        <f t="shared" si="4"/>
        <v>#DIV/0!</v>
      </c>
    </row>
    <row r="37" spans="1:15" ht="11.25" customHeight="1">
      <c r="A37" s="38"/>
      <c r="B37" s="37" t="s">
        <v>41</v>
      </c>
      <c r="C37" s="136" t="e">
        <f>ROUNDUP('採算表(VND)'!C37/$N$1,2)</f>
        <v>#DIV/0!</v>
      </c>
      <c r="D37" s="136" t="e">
        <f>ROUNDUP('採算表(VND)'!D37/$N$1,2)</f>
        <v>#DIV/0!</v>
      </c>
      <c r="E37" s="136" t="e">
        <f>ROUNDUP('採算表(VND)'!E37/$N$1,2)</f>
        <v>#DIV/0!</v>
      </c>
      <c r="F37" s="136" t="e">
        <f>ROUNDUP('採算表(VND)'!F37/$N$1,2)</f>
        <v>#DIV/0!</v>
      </c>
      <c r="G37" s="136" t="e">
        <f>ROUNDUP('採算表(VND)'!G37/$N$1,2)</f>
        <v>#DIV/0!</v>
      </c>
      <c r="H37" s="136" t="e">
        <f>ROUNDUP('採算表(VND)'!H37/$N$1,2)</f>
        <v>#DIV/0!</v>
      </c>
      <c r="I37" s="136" t="e">
        <f>ROUNDUP('採算表(VND)'!I37/$N$1,2)</f>
        <v>#DIV/0!</v>
      </c>
      <c r="J37" s="136" t="e">
        <f>ROUNDUP('採算表(VND)'!J37/$N$1,2)</f>
        <v>#DIV/0!</v>
      </c>
      <c r="K37" s="136" t="e">
        <f>ROUNDUP('採算表(VND)'!K37/$N$1,2)</f>
        <v>#DIV/0!</v>
      </c>
      <c r="L37" s="136" t="e">
        <f>ROUNDUP('採算表(VND)'!L37/$N$1,2)</f>
        <v>#DIV/0!</v>
      </c>
      <c r="M37" s="136" t="e">
        <f>ROUNDUP('採算表(VND)'!M37/$N$1,2)</f>
        <v>#DIV/0!</v>
      </c>
      <c r="N37" s="136" t="e">
        <f>ROUNDUP('採算表(VND)'!N37/$N$1,2)</f>
        <v>#DIV/0!</v>
      </c>
      <c r="O37" s="136" t="e">
        <f t="shared" si="4"/>
        <v>#DIV/0!</v>
      </c>
    </row>
    <row r="38" spans="1:15" ht="11.25" customHeight="1">
      <c r="A38" s="38"/>
      <c r="B38" s="37" t="s">
        <v>48</v>
      </c>
      <c r="C38" s="136" t="e">
        <f>ROUNDUP('採算表(VND)'!C38/$N$1,2)</f>
        <v>#DIV/0!</v>
      </c>
      <c r="D38" s="136" t="e">
        <f>ROUNDUP('採算表(VND)'!D38/$N$1,2)</f>
        <v>#DIV/0!</v>
      </c>
      <c r="E38" s="136" t="e">
        <f>ROUNDUP('採算表(VND)'!E38/$N$1,2)</f>
        <v>#DIV/0!</v>
      </c>
      <c r="F38" s="136" t="e">
        <f>ROUNDUP('採算表(VND)'!F38/$N$1,2)</f>
        <v>#DIV/0!</v>
      </c>
      <c r="G38" s="136" t="e">
        <f>ROUNDUP('採算表(VND)'!G38/$N$1,2)</f>
        <v>#DIV/0!</v>
      </c>
      <c r="H38" s="136" t="e">
        <f>ROUNDUP('採算表(VND)'!H38/$N$1,2)</f>
        <v>#DIV/0!</v>
      </c>
      <c r="I38" s="136" t="e">
        <f>ROUNDUP('採算表(VND)'!I38/$N$1,2)</f>
        <v>#DIV/0!</v>
      </c>
      <c r="J38" s="136" t="e">
        <f>ROUNDUP('採算表(VND)'!J38/$N$1,2)</f>
        <v>#DIV/0!</v>
      </c>
      <c r="K38" s="136" t="e">
        <f>ROUNDUP('採算表(VND)'!K38/$N$1,2)</f>
        <v>#DIV/0!</v>
      </c>
      <c r="L38" s="136" t="e">
        <f>ROUNDUP('採算表(VND)'!L38/$N$1,2)</f>
        <v>#DIV/0!</v>
      </c>
      <c r="M38" s="136" t="e">
        <f>ROUNDUP('採算表(VND)'!M38/$N$1,2)</f>
        <v>#DIV/0!</v>
      </c>
      <c r="N38" s="136" t="e">
        <f>ROUNDUP('採算表(VND)'!N38/$N$1,2)</f>
        <v>#DIV/0!</v>
      </c>
      <c r="O38" s="136" t="e">
        <f t="shared" si="4"/>
        <v>#DIV/0!</v>
      </c>
    </row>
    <row r="39" spans="1:15" ht="11.25" customHeight="1">
      <c r="A39" s="38"/>
      <c r="B39" s="37" t="s">
        <v>50</v>
      </c>
      <c r="C39" s="136" t="e">
        <f>ROUNDUP('採算表(VND)'!C39/$N$1,2)</f>
        <v>#DIV/0!</v>
      </c>
      <c r="D39" s="136" t="e">
        <f>ROUNDUP('採算表(VND)'!D39/$N$1,2)</f>
        <v>#DIV/0!</v>
      </c>
      <c r="E39" s="136" t="e">
        <f>ROUNDUP('採算表(VND)'!E39/$N$1,2)</f>
        <v>#DIV/0!</v>
      </c>
      <c r="F39" s="136" t="e">
        <f>ROUNDUP('採算表(VND)'!F39/$N$1,2)</f>
        <v>#DIV/0!</v>
      </c>
      <c r="G39" s="136" t="e">
        <f>ROUNDUP('採算表(VND)'!G39/$N$1,2)</f>
        <v>#DIV/0!</v>
      </c>
      <c r="H39" s="136" t="e">
        <f>ROUNDUP('採算表(VND)'!H39/$N$1,2)</f>
        <v>#DIV/0!</v>
      </c>
      <c r="I39" s="136" t="e">
        <f>ROUNDUP('採算表(VND)'!I39/$N$1,2)</f>
        <v>#DIV/0!</v>
      </c>
      <c r="J39" s="136" t="e">
        <f>ROUNDUP('採算表(VND)'!J39/$N$1,2)</f>
        <v>#DIV/0!</v>
      </c>
      <c r="K39" s="136" t="e">
        <f>ROUNDUP('採算表(VND)'!K39/$N$1,2)</f>
        <v>#DIV/0!</v>
      </c>
      <c r="L39" s="136" t="e">
        <f>ROUNDUP('採算表(VND)'!L39/$N$1,2)</f>
        <v>#DIV/0!</v>
      </c>
      <c r="M39" s="136" t="e">
        <f>ROUNDUP('採算表(VND)'!M39/$N$1,2)</f>
        <v>#DIV/0!</v>
      </c>
      <c r="N39" s="136" t="e">
        <f>ROUNDUP('採算表(VND)'!N39/$N$1,2)</f>
        <v>#DIV/0!</v>
      </c>
      <c r="O39" s="136" t="e">
        <f t="shared" si="4"/>
        <v>#DIV/0!</v>
      </c>
    </row>
    <row r="40" spans="1:15" ht="11.25" customHeight="1">
      <c r="A40" s="38"/>
      <c r="B40" s="37" t="s">
        <v>51</v>
      </c>
      <c r="C40" s="136" t="e">
        <f>ROUNDUP('採算表(VND)'!C40/$N$1,2)</f>
        <v>#DIV/0!</v>
      </c>
      <c r="D40" s="136" t="e">
        <f>ROUNDUP('採算表(VND)'!D40/$N$1,2)</f>
        <v>#DIV/0!</v>
      </c>
      <c r="E40" s="136" t="e">
        <f>ROUNDUP('採算表(VND)'!E40/$N$1,2)</f>
        <v>#DIV/0!</v>
      </c>
      <c r="F40" s="136" t="e">
        <f>ROUNDUP('採算表(VND)'!F40/$N$1,2)</f>
        <v>#DIV/0!</v>
      </c>
      <c r="G40" s="136" t="e">
        <f>ROUNDUP('採算表(VND)'!G40/$N$1,2)</f>
        <v>#DIV/0!</v>
      </c>
      <c r="H40" s="136" t="e">
        <f>ROUNDUP('採算表(VND)'!H40/$N$1,2)</f>
        <v>#DIV/0!</v>
      </c>
      <c r="I40" s="136" t="e">
        <f>ROUNDUP('採算表(VND)'!I40/$N$1,2)</f>
        <v>#DIV/0!</v>
      </c>
      <c r="J40" s="136" t="e">
        <f>ROUNDUP('採算表(VND)'!J40/$N$1,2)</f>
        <v>#DIV/0!</v>
      </c>
      <c r="K40" s="136" t="e">
        <f>ROUNDUP('採算表(VND)'!K40/$N$1,2)</f>
        <v>#DIV/0!</v>
      </c>
      <c r="L40" s="136" t="e">
        <f>ROUNDUP('採算表(VND)'!L40/$N$1,2)</f>
        <v>#DIV/0!</v>
      </c>
      <c r="M40" s="136" t="e">
        <f>ROUNDUP('採算表(VND)'!M40/$N$1,2)</f>
        <v>#DIV/0!</v>
      </c>
      <c r="N40" s="136" t="e">
        <f>ROUNDUP('採算表(VND)'!N40/$N$1,2)</f>
        <v>#DIV/0!</v>
      </c>
      <c r="O40" s="136" t="e">
        <f t="shared" si="4"/>
        <v>#DIV/0!</v>
      </c>
    </row>
    <row r="41" spans="1:15" ht="11.25" customHeight="1">
      <c r="A41" s="38"/>
      <c r="B41" s="37" t="s">
        <v>58</v>
      </c>
      <c r="C41" s="136" t="e">
        <f>ROUNDUP('採算表(VND)'!C41/$N$1,2)</f>
        <v>#DIV/0!</v>
      </c>
      <c r="D41" s="136" t="e">
        <f>ROUNDUP('採算表(VND)'!D41/$N$1,2)</f>
        <v>#DIV/0!</v>
      </c>
      <c r="E41" s="136" t="e">
        <f>ROUNDUP('採算表(VND)'!E41/$N$1,2)</f>
        <v>#DIV/0!</v>
      </c>
      <c r="F41" s="136" t="e">
        <f>ROUNDUP('採算表(VND)'!F41/$N$1,2)</f>
        <v>#DIV/0!</v>
      </c>
      <c r="G41" s="136" t="e">
        <f>ROUNDUP('採算表(VND)'!G41/$N$1,2)</f>
        <v>#DIV/0!</v>
      </c>
      <c r="H41" s="136" t="e">
        <f>ROUNDUP('採算表(VND)'!H41/$N$1,2)</f>
        <v>#DIV/0!</v>
      </c>
      <c r="I41" s="136" t="e">
        <f>ROUNDUP('採算表(VND)'!I41/$N$1,2)</f>
        <v>#DIV/0!</v>
      </c>
      <c r="J41" s="136" t="e">
        <f>ROUNDUP('採算表(VND)'!J41/$N$1,2)</f>
        <v>#DIV/0!</v>
      </c>
      <c r="K41" s="136" t="e">
        <f>ROUNDUP('採算表(VND)'!K41/$N$1,2)</f>
        <v>#DIV/0!</v>
      </c>
      <c r="L41" s="136" t="e">
        <f>ROUNDUP('採算表(VND)'!L41/$N$1,2)</f>
        <v>#DIV/0!</v>
      </c>
      <c r="M41" s="136" t="e">
        <f>ROUNDUP('採算表(VND)'!M41/$N$1,2)</f>
        <v>#DIV/0!</v>
      </c>
      <c r="N41" s="136" t="e">
        <f>ROUNDUP('採算表(VND)'!N41/$N$1,2)</f>
        <v>#DIV/0!</v>
      </c>
      <c r="O41" s="136" t="e">
        <f t="shared" si="4"/>
        <v>#DIV/0!</v>
      </c>
    </row>
    <row r="42" spans="1:15" ht="11.25" customHeight="1">
      <c r="A42" s="38"/>
      <c r="B42" s="37" t="s">
        <v>98</v>
      </c>
      <c r="C42" s="136" t="e">
        <f>ROUNDUP('採算表(VND)'!C42/$N$1,2)</f>
        <v>#DIV/0!</v>
      </c>
      <c r="D42" s="136" t="e">
        <f>ROUNDUP('採算表(VND)'!D42/$N$1,2)</f>
        <v>#DIV/0!</v>
      </c>
      <c r="E42" s="136" t="e">
        <f>ROUNDUP('採算表(VND)'!E42/$N$1,2)</f>
        <v>#DIV/0!</v>
      </c>
      <c r="F42" s="136" t="e">
        <f>ROUNDUP('採算表(VND)'!F42/$N$1,2)</f>
        <v>#DIV/0!</v>
      </c>
      <c r="G42" s="136" t="e">
        <f>ROUNDUP('採算表(VND)'!G42/$N$1,2)</f>
        <v>#DIV/0!</v>
      </c>
      <c r="H42" s="136" t="e">
        <f>ROUNDUP('採算表(VND)'!H42/$N$1,2)</f>
        <v>#DIV/0!</v>
      </c>
      <c r="I42" s="136" t="e">
        <f>ROUNDUP('採算表(VND)'!I42/$N$1,2)</f>
        <v>#DIV/0!</v>
      </c>
      <c r="J42" s="136" t="e">
        <f>ROUNDUP('採算表(VND)'!J42/$N$1,2)</f>
        <v>#DIV/0!</v>
      </c>
      <c r="K42" s="136" t="e">
        <f>ROUNDUP('採算表(VND)'!K42/$N$1,2)</f>
        <v>#DIV/0!</v>
      </c>
      <c r="L42" s="136" t="e">
        <f>ROUNDUP('採算表(VND)'!L42/$N$1,2)</f>
        <v>#DIV/0!</v>
      </c>
      <c r="M42" s="136" t="e">
        <f>ROUNDUP('採算表(VND)'!M42/$N$1,2)</f>
        <v>#DIV/0!</v>
      </c>
      <c r="N42" s="136" t="e">
        <f>ROUNDUP('採算表(VND)'!N42/$N$1,2)</f>
        <v>#DIV/0!</v>
      </c>
      <c r="O42" s="136" t="e">
        <f t="shared" si="4"/>
        <v>#DIV/0!</v>
      </c>
    </row>
    <row r="43" spans="1:15" ht="11.25" customHeight="1">
      <c r="A43" s="38"/>
      <c r="B43" s="37" t="s">
        <v>99</v>
      </c>
      <c r="C43" s="136" t="e">
        <f>ROUNDUP('採算表(VND)'!C43/$N$1,2)</f>
        <v>#DIV/0!</v>
      </c>
      <c r="D43" s="136" t="e">
        <f>ROUNDUP('採算表(VND)'!D43/$N$1,2)</f>
        <v>#DIV/0!</v>
      </c>
      <c r="E43" s="136" t="e">
        <f>ROUNDUP('採算表(VND)'!E43/$N$1,2)</f>
        <v>#DIV/0!</v>
      </c>
      <c r="F43" s="136" t="e">
        <f>ROUNDUP('採算表(VND)'!F43/$N$1,2)</f>
        <v>#DIV/0!</v>
      </c>
      <c r="G43" s="136" t="e">
        <f>ROUNDUP('採算表(VND)'!G43/$N$1,2)</f>
        <v>#DIV/0!</v>
      </c>
      <c r="H43" s="136" t="e">
        <f>ROUNDUP('採算表(VND)'!H43/$N$1,2)</f>
        <v>#DIV/0!</v>
      </c>
      <c r="I43" s="136" t="e">
        <f>ROUNDUP('採算表(VND)'!I43/$N$1,2)</f>
        <v>#DIV/0!</v>
      </c>
      <c r="J43" s="136" t="e">
        <f>ROUNDUP('採算表(VND)'!J43/$N$1,2)</f>
        <v>#DIV/0!</v>
      </c>
      <c r="K43" s="136" t="e">
        <f>ROUNDUP('採算表(VND)'!K43/$N$1,2)</f>
        <v>#DIV/0!</v>
      </c>
      <c r="L43" s="136" t="e">
        <f>ROUNDUP('採算表(VND)'!L43/$N$1,2)</f>
        <v>#DIV/0!</v>
      </c>
      <c r="M43" s="136" t="e">
        <f>ROUNDUP('採算表(VND)'!M43/$N$1,2)</f>
        <v>#DIV/0!</v>
      </c>
      <c r="N43" s="136" t="e">
        <f>ROUNDUP('採算表(VND)'!N43/$N$1,2)</f>
        <v>#DIV/0!</v>
      </c>
      <c r="O43" s="136" t="e">
        <f t="shared" si="4"/>
        <v>#DIV/0!</v>
      </c>
    </row>
    <row r="44" spans="1:15" ht="11.25" customHeight="1">
      <c r="A44" s="38"/>
      <c r="B44" s="37" t="s">
        <v>42</v>
      </c>
      <c r="C44" s="136" t="e">
        <f>ROUNDUP('採算表(VND)'!C44/$N$1,2)</f>
        <v>#DIV/0!</v>
      </c>
      <c r="D44" s="136" t="e">
        <f>ROUNDUP('採算表(VND)'!D44/$N$1,2)</f>
        <v>#DIV/0!</v>
      </c>
      <c r="E44" s="136" t="e">
        <f>ROUNDUP('採算表(VND)'!E44/$N$1,2)</f>
        <v>#DIV/0!</v>
      </c>
      <c r="F44" s="136" t="e">
        <f>ROUNDUP('採算表(VND)'!F44/$N$1,2)</f>
        <v>#DIV/0!</v>
      </c>
      <c r="G44" s="136" t="e">
        <f>ROUNDUP('採算表(VND)'!G44/$N$1,2)</f>
        <v>#DIV/0!</v>
      </c>
      <c r="H44" s="136" t="e">
        <f>ROUNDUP('採算表(VND)'!H44/$N$1,2)</f>
        <v>#DIV/0!</v>
      </c>
      <c r="I44" s="136" t="e">
        <f>ROUNDUP('採算表(VND)'!I44/$N$1,2)</f>
        <v>#DIV/0!</v>
      </c>
      <c r="J44" s="136" t="e">
        <f>ROUNDUP('採算表(VND)'!J44/$N$1,2)</f>
        <v>#DIV/0!</v>
      </c>
      <c r="K44" s="136" t="e">
        <f>ROUNDUP('採算表(VND)'!K44/$N$1,2)</f>
        <v>#DIV/0!</v>
      </c>
      <c r="L44" s="136" t="e">
        <f>ROUNDUP('採算表(VND)'!L44/$N$1,2)</f>
        <v>#DIV/0!</v>
      </c>
      <c r="M44" s="136" t="e">
        <f>ROUNDUP('採算表(VND)'!M44/$N$1,2)</f>
        <v>#DIV/0!</v>
      </c>
      <c r="N44" s="136" t="e">
        <f>ROUNDUP('採算表(VND)'!N44/$N$1,2)</f>
        <v>#DIV/0!</v>
      </c>
      <c r="O44" s="136" t="e">
        <f t="shared" si="4"/>
        <v>#DIV/0!</v>
      </c>
    </row>
    <row r="45" spans="1:15" ht="11.25" customHeight="1">
      <c r="A45" s="38"/>
      <c r="B45" s="37" t="s">
        <v>115</v>
      </c>
      <c r="C45" s="136" t="e">
        <f>ROUNDUP('採算表(VND)'!C45/$N$1,2)</f>
        <v>#DIV/0!</v>
      </c>
      <c r="D45" s="136" t="e">
        <f>ROUNDUP('採算表(VND)'!D45/$N$1,2)</f>
        <v>#DIV/0!</v>
      </c>
      <c r="E45" s="136" t="e">
        <f>ROUNDUP('採算表(VND)'!E45/$N$1,2)</f>
        <v>#DIV/0!</v>
      </c>
      <c r="F45" s="136" t="e">
        <f>ROUNDUP('採算表(VND)'!F45/$N$1,2)</f>
        <v>#DIV/0!</v>
      </c>
      <c r="G45" s="136" t="e">
        <f>ROUNDUP('採算表(VND)'!G45/$N$1,2)</f>
        <v>#DIV/0!</v>
      </c>
      <c r="H45" s="136" t="e">
        <f>ROUNDUP('採算表(VND)'!H45/$N$1,2)</f>
        <v>#DIV/0!</v>
      </c>
      <c r="I45" s="136" t="e">
        <f>ROUNDUP('採算表(VND)'!I45/$N$1,2)</f>
        <v>#DIV/0!</v>
      </c>
      <c r="J45" s="136" t="e">
        <f>ROUNDUP('採算表(VND)'!J45/$N$1,2)</f>
        <v>#DIV/0!</v>
      </c>
      <c r="K45" s="136" t="e">
        <f>ROUNDUP('採算表(VND)'!K45/$N$1,2)</f>
        <v>#DIV/0!</v>
      </c>
      <c r="L45" s="136" t="e">
        <f>ROUNDUP('採算表(VND)'!L45/$N$1,2)</f>
        <v>#DIV/0!</v>
      </c>
      <c r="M45" s="136" t="e">
        <f>ROUNDUP('採算表(VND)'!M45/$N$1,2)</f>
        <v>#DIV/0!</v>
      </c>
      <c r="N45" s="136" t="e">
        <f>ROUNDUP('採算表(VND)'!N45/$N$1,2)</f>
        <v>#DIV/0!</v>
      </c>
      <c r="O45" s="136" t="e">
        <f t="shared" si="4"/>
        <v>#DIV/0!</v>
      </c>
    </row>
    <row r="46" spans="1:15" ht="11.25" customHeight="1">
      <c r="A46" s="38"/>
      <c r="B46" s="37" t="s">
        <v>116</v>
      </c>
      <c r="C46" s="136" t="e">
        <f>ROUNDUP('採算表(VND)'!C46/$N$1,2)</f>
        <v>#DIV/0!</v>
      </c>
      <c r="D46" s="136" t="e">
        <f>ROUNDUP('採算表(VND)'!D46/$N$1,2)</f>
        <v>#DIV/0!</v>
      </c>
      <c r="E46" s="136" t="e">
        <f>ROUNDUP('採算表(VND)'!E46/$N$1,2)</f>
        <v>#DIV/0!</v>
      </c>
      <c r="F46" s="136" t="e">
        <f>ROUNDUP('採算表(VND)'!F46/$N$1,2)</f>
        <v>#DIV/0!</v>
      </c>
      <c r="G46" s="136" t="e">
        <f>ROUNDUP('採算表(VND)'!G46/$N$1,2)</f>
        <v>#DIV/0!</v>
      </c>
      <c r="H46" s="136" t="e">
        <f>ROUNDUP('採算表(VND)'!H46/$N$1,2)</f>
        <v>#DIV/0!</v>
      </c>
      <c r="I46" s="136" t="e">
        <f>ROUNDUP('採算表(VND)'!I46/$N$1,2)</f>
        <v>#DIV/0!</v>
      </c>
      <c r="J46" s="136" t="e">
        <f>ROUNDUP('採算表(VND)'!J46/$N$1,2)</f>
        <v>#DIV/0!</v>
      </c>
      <c r="K46" s="136" t="e">
        <f>ROUNDUP('採算表(VND)'!K46/$N$1,2)</f>
        <v>#DIV/0!</v>
      </c>
      <c r="L46" s="136" t="e">
        <f>ROUNDUP('採算表(VND)'!L46/$N$1,2)</f>
        <v>#DIV/0!</v>
      </c>
      <c r="M46" s="136" t="e">
        <f>ROUNDUP('採算表(VND)'!M46/$N$1,2)</f>
        <v>#DIV/0!</v>
      </c>
      <c r="N46" s="136" t="e">
        <f>ROUNDUP('採算表(VND)'!N46/$N$1,2)</f>
        <v>#DIV/0!</v>
      </c>
      <c r="O46" s="136" t="e">
        <f t="shared" si="4"/>
        <v>#DIV/0!</v>
      </c>
    </row>
    <row r="47" spans="1:15" ht="11.25" customHeight="1">
      <c r="A47" s="38"/>
      <c r="B47" s="37" t="s">
        <v>117</v>
      </c>
      <c r="C47" s="136" t="e">
        <f>ROUNDUP('採算表(VND)'!C47/$N$1,2)</f>
        <v>#DIV/0!</v>
      </c>
      <c r="D47" s="136" t="e">
        <f>ROUNDUP('採算表(VND)'!D47/$N$1,2)</f>
        <v>#DIV/0!</v>
      </c>
      <c r="E47" s="136" t="e">
        <f>ROUNDUP('採算表(VND)'!E47/$N$1,2)</f>
        <v>#DIV/0!</v>
      </c>
      <c r="F47" s="136" t="e">
        <f>ROUNDUP('採算表(VND)'!F47/$N$1,2)</f>
        <v>#DIV/0!</v>
      </c>
      <c r="G47" s="136" t="e">
        <f>ROUNDUP('採算表(VND)'!G47/$N$1,2)</f>
        <v>#DIV/0!</v>
      </c>
      <c r="H47" s="136" t="e">
        <f>ROUNDUP('採算表(VND)'!H47/$N$1,2)</f>
        <v>#DIV/0!</v>
      </c>
      <c r="I47" s="136" t="e">
        <f>ROUNDUP('採算表(VND)'!I47/$N$1,2)</f>
        <v>#DIV/0!</v>
      </c>
      <c r="J47" s="136" t="e">
        <f>ROUNDUP('採算表(VND)'!J47/$N$1,2)</f>
        <v>#DIV/0!</v>
      </c>
      <c r="K47" s="136" t="e">
        <f>ROUNDUP('採算表(VND)'!K47/$N$1,2)</f>
        <v>#DIV/0!</v>
      </c>
      <c r="L47" s="136" t="e">
        <f>ROUNDUP('採算表(VND)'!L47/$N$1,2)</f>
        <v>#DIV/0!</v>
      </c>
      <c r="M47" s="136" t="e">
        <f>ROUNDUP('採算表(VND)'!M47/$N$1,2)</f>
        <v>#DIV/0!</v>
      </c>
      <c r="N47" s="136" t="e">
        <f>ROUNDUP('採算表(VND)'!N47/$N$1,2)</f>
        <v>#DIV/0!</v>
      </c>
      <c r="O47" s="136" t="e">
        <f t="shared" si="4"/>
        <v>#DIV/0!</v>
      </c>
    </row>
    <row r="48" spans="1:15" ht="11.25" customHeight="1">
      <c r="A48" s="38"/>
      <c r="B48" s="37" t="s">
        <v>53</v>
      </c>
      <c r="C48" s="136" t="e">
        <f>ROUNDUP('採算表(VND)'!C48/$N$1,2)</f>
        <v>#DIV/0!</v>
      </c>
      <c r="D48" s="136" t="e">
        <f>ROUNDUP('採算表(VND)'!D48/$N$1,2)</f>
        <v>#DIV/0!</v>
      </c>
      <c r="E48" s="136" t="e">
        <f>ROUNDUP('採算表(VND)'!E48/$N$1,2)</f>
        <v>#DIV/0!</v>
      </c>
      <c r="F48" s="136" t="e">
        <f>ROUNDUP('採算表(VND)'!F48/$N$1,2)</f>
        <v>#DIV/0!</v>
      </c>
      <c r="G48" s="136" t="e">
        <f>ROUNDUP('採算表(VND)'!G48/$N$1,2)</f>
        <v>#DIV/0!</v>
      </c>
      <c r="H48" s="136" t="e">
        <f>ROUNDUP('採算表(VND)'!H48/$N$1,2)</f>
        <v>#DIV/0!</v>
      </c>
      <c r="I48" s="136" t="e">
        <f>ROUNDUP('採算表(VND)'!I48/$N$1,2)</f>
        <v>#DIV/0!</v>
      </c>
      <c r="J48" s="136" t="e">
        <f>ROUNDUP('採算表(VND)'!J48/$N$1,2)</f>
        <v>#DIV/0!</v>
      </c>
      <c r="K48" s="136" t="e">
        <f>ROUNDUP('採算表(VND)'!K48/$N$1,2)</f>
        <v>#DIV/0!</v>
      </c>
      <c r="L48" s="136" t="e">
        <f>ROUNDUP('採算表(VND)'!L48/$N$1,2)</f>
        <v>#DIV/0!</v>
      </c>
      <c r="M48" s="136" t="e">
        <f>ROUNDUP('採算表(VND)'!M48/$N$1,2)</f>
        <v>#DIV/0!</v>
      </c>
      <c r="N48" s="136" t="e">
        <f>ROUNDUP('採算表(VND)'!N48/$N$1,2)</f>
        <v>#DIV/0!</v>
      </c>
      <c r="O48" s="136" t="e">
        <f t="shared" si="4"/>
        <v>#DIV/0!</v>
      </c>
    </row>
    <row r="49" spans="1:15" ht="11.25" customHeight="1">
      <c r="A49" s="38"/>
      <c r="B49" s="45" t="s">
        <v>64</v>
      </c>
      <c r="C49" s="137" t="e">
        <f>ROUNDUP('採算表(VND)'!C49/$N$1,2)</f>
        <v>#DIV/0!</v>
      </c>
      <c r="D49" s="137" t="e">
        <f>ROUNDUP('採算表(VND)'!D49/$N$1,2)</f>
        <v>#DIV/0!</v>
      </c>
      <c r="E49" s="137" t="e">
        <f>ROUNDUP('採算表(VND)'!E49/$N$1,2)</f>
        <v>#DIV/0!</v>
      </c>
      <c r="F49" s="137" t="e">
        <f>ROUNDUP('採算表(VND)'!F49/$N$1,2)</f>
        <v>#DIV/0!</v>
      </c>
      <c r="G49" s="137" t="e">
        <f>ROUNDUP('採算表(VND)'!G49/$N$1,2)</f>
        <v>#DIV/0!</v>
      </c>
      <c r="H49" s="137" t="e">
        <f>ROUNDUP('採算表(VND)'!H49/$N$1,2)</f>
        <v>#DIV/0!</v>
      </c>
      <c r="I49" s="137" t="e">
        <f>ROUNDUP('採算表(VND)'!I49/$N$1,2)</f>
        <v>#DIV/0!</v>
      </c>
      <c r="J49" s="137" t="e">
        <f>ROUNDUP('採算表(VND)'!J49/$N$1,2)</f>
        <v>#DIV/0!</v>
      </c>
      <c r="K49" s="137" t="e">
        <f>ROUNDUP('採算表(VND)'!K49/$N$1,2)</f>
        <v>#DIV/0!</v>
      </c>
      <c r="L49" s="137" t="e">
        <f>ROUNDUP('採算表(VND)'!L49/$N$1,2)</f>
        <v>#DIV/0!</v>
      </c>
      <c r="M49" s="137" t="e">
        <f>ROUNDUP('採算表(VND)'!M49/$N$1,2)</f>
        <v>#DIV/0!</v>
      </c>
      <c r="N49" s="137" t="e">
        <f>ROUNDUP('採算表(VND)'!N49/$N$1,2)</f>
        <v>#DIV/0!</v>
      </c>
      <c r="O49" s="137" t="e">
        <f t="shared" si="4"/>
        <v>#DIV/0!</v>
      </c>
    </row>
    <row r="50" spans="1:15" ht="11.25" customHeight="1">
      <c r="A50" s="38"/>
      <c r="B50" s="39" t="s">
        <v>62</v>
      </c>
      <c r="C50" s="138" t="e">
        <f>ROUNDUP('採算表(VND)'!C50/$N$1,2)</f>
        <v>#DIV/0!</v>
      </c>
      <c r="D50" s="138" t="e">
        <f>ROUNDUP('採算表(VND)'!D50/$N$1,2)</f>
        <v>#DIV/0!</v>
      </c>
      <c r="E50" s="138" t="e">
        <f>ROUNDUP('採算表(VND)'!E50/$N$1,2)</f>
        <v>#DIV/0!</v>
      </c>
      <c r="F50" s="138" t="e">
        <f>ROUNDUP('採算表(VND)'!F50/$N$1,2)</f>
        <v>#DIV/0!</v>
      </c>
      <c r="G50" s="138" t="e">
        <f>ROUNDUP('採算表(VND)'!G50/$N$1,2)</f>
        <v>#DIV/0!</v>
      </c>
      <c r="H50" s="138" t="e">
        <f>ROUNDUP('採算表(VND)'!H50/$N$1,2)</f>
        <v>#DIV/0!</v>
      </c>
      <c r="I50" s="138" t="e">
        <f>ROUNDUP('採算表(VND)'!I50/$N$1,2)</f>
        <v>#DIV/0!</v>
      </c>
      <c r="J50" s="138" t="e">
        <f>ROUNDUP('採算表(VND)'!J50/$N$1,2)</f>
        <v>#DIV/0!</v>
      </c>
      <c r="K50" s="138" t="e">
        <f>ROUNDUP('採算表(VND)'!K50/$N$1,2)</f>
        <v>#DIV/0!</v>
      </c>
      <c r="L50" s="138" t="e">
        <f>ROUNDUP('採算表(VND)'!L50/$N$1,2)</f>
        <v>#DIV/0!</v>
      </c>
      <c r="M50" s="138" t="e">
        <f>ROUNDUP('採算表(VND)'!M50/$N$1,2)</f>
        <v>#DIV/0!</v>
      </c>
      <c r="N50" s="138" t="e">
        <f>ROUNDUP('採算表(VND)'!N50/$N$1,2)</f>
        <v>#DIV/0!</v>
      </c>
      <c r="O50" s="138" t="e">
        <f t="shared" si="4"/>
        <v>#DIV/0!</v>
      </c>
    </row>
    <row r="51" spans="1:15" ht="11.25" customHeight="1">
      <c r="A51" s="38"/>
      <c r="B51" s="39" t="s">
        <v>105</v>
      </c>
      <c r="C51" s="138" t="e">
        <f>ROUNDUP('採算表(VND)'!C51/$N$1,2)</f>
        <v>#DIV/0!</v>
      </c>
      <c r="D51" s="138" t="e">
        <f>ROUNDUP('採算表(VND)'!D51/$N$1,2)</f>
        <v>#DIV/0!</v>
      </c>
      <c r="E51" s="138" t="e">
        <f>ROUNDUP('採算表(VND)'!E51/$N$1,2)</f>
        <v>#DIV/0!</v>
      </c>
      <c r="F51" s="138" t="e">
        <f>ROUNDUP('採算表(VND)'!F51/$N$1,2)</f>
        <v>#DIV/0!</v>
      </c>
      <c r="G51" s="138" t="e">
        <f>ROUNDUP('採算表(VND)'!G51/$N$1,2)</f>
        <v>#DIV/0!</v>
      </c>
      <c r="H51" s="138" t="e">
        <f>ROUNDUP('採算表(VND)'!H51/$N$1,2)</f>
        <v>#DIV/0!</v>
      </c>
      <c r="I51" s="138" t="e">
        <f>ROUNDUP('採算表(VND)'!I51/$N$1,2)</f>
        <v>#DIV/0!</v>
      </c>
      <c r="J51" s="138" t="e">
        <f>ROUNDUP('採算表(VND)'!J51/$N$1,2)</f>
        <v>#DIV/0!</v>
      </c>
      <c r="K51" s="138" t="e">
        <f>ROUNDUP('採算表(VND)'!K51/$N$1,2)</f>
        <v>#DIV/0!</v>
      </c>
      <c r="L51" s="138" t="e">
        <f>ROUNDUP('採算表(VND)'!L51/$N$1,2)</f>
        <v>#DIV/0!</v>
      </c>
      <c r="M51" s="138" t="e">
        <f>ROUNDUP('採算表(VND)'!M51/$N$1,2)</f>
        <v>#DIV/0!</v>
      </c>
      <c r="N51" s="138" t="e">
        <f>ROUNDUP('採算表(VND)'!N51/$N$1,2)</f>
        <v>#DIV/0!</v>
      </c>
      <c r="O51" s="138" t="e">
        <f t="shared" si="4"/>
        <v>#DIV/0!</v>
      </c>
    </row>
    <row r="52" spans="1:15" ht="11.25" customHeight="1">
      <c r="A52" s="38"/>
      <c r="B52" s="37" t="s">
        <v>118</v>
      </c>
      <c r="C52" s="139" t="e">
        <f>ROUNDUP('採算表(VND)'!C52/$N$1,2)</f>
        <v>#DIV/0!</v>
      </c>
      <c r="D52" s="139" t="e">
        <f>ROUNDUP('採算表(VND)'!D52/$N$1,2)</f>
        <v>#DIV/0!</v>
      </c>
      <c r="E52" s="139" t="e">
        <f>ROUNDUP('採算表(VND)'!E52/$N$1,2)</f>
        <v>#DIV/0!</v>
      </c>
      <c r="F52" s="139" t="e">
        <f>ROUNDUP('採算表(VND)'!F52/$N$1,2)</f>
        <v>#DIV/0!</v>
      </c>
      <c r="G52" s="139" t="e">
        <f>ROUNDUP('採算表(VND)'!G52/$N$1,2)</f>
        <v>#DIV/0!</v>
      </c>
      <c r="H52" s="139" t="e">
        <f>ROUNDUP('採算表(VND)'!H52/$N$1,2)</f>
        <v>#DIV/0!</v>
      </c>
      <c r="I52" s="139" t="e">
        <f>ROUNDUP('採算表(VND)'!I52/$N$1,2)</f>
        <v>#DIV/0!</v>
      </c>
      <c r="J52" s="139" t="e">
        <f>ROUNDUP('採算表(VND)'!J52/$N$1,2)</f>
        <v>#DIV/0!</v>
      </c>
      <c r="K52" s="139" t="e">
        <f>ROUNDUP('採算表(VND)'!K52/$N$1,2)</f>
        <v>#DIV/0!</v>
      </c>
      <c r="L52" s="139" t="e">
        <f>ROUNDUP('採算表(VND)'!L52/$N$1,2)</f>
        <v>#DIV/0!</v>
      </c>
      <c r="M52" s="139" t="e">
        <f>ROUNDUP('採算表(VND)'!M52/$N$1,2)</f>
        <v>#DIV/0!</v>
      </c>
      <c r="N52" s="139" t="e">
        <f>ROUNDUP('採算表(VND)'!N52/$N$1,2)</f>
        <v>#DIV/0!</v>
      </c>
      <c r="O52" s="139" t="e">
        <f t="shared" si="4"/>
        <v>#DIV/0!</v>
      </c>
    </row>
    <row r="53" spans="1:15" ht="11.25" customHeight="1">
      <c r="A53" s="38"/>
      <c r="B53" s="37" t="s">
        <v>119</v>
      </c>
      <c r="C53" s="139" t="e">
        <f>ROUNDUP('採算表(VND)'!C53/$N$1,2)</f>
        <v>#DIV/0!</v>
      </c>
      <c r="D53" s="139" t="e">
        <f>ROUNDUP('採算表(VND)'!D53/$N$1,2)</f>
        <v>#DIV/0!</v>
      </c>
      <c r="E53" s="139" t="e">
        <f>ROUNDUP('採算表(VND)'!E53/$N$1,2)</f>
        <v>#DIV/0!</v>
      </c>
      <c r="F53" s="139" t="e">
        <f>ROUNDUP('採算表(VND)'!F53/$N$1,2)</f>
        <v>#DIV/0!</v>
      </c>
      <c r="G53" s="139" t="e">
        <f>ROUNDUP('採算表(VND)'!G53/$N$1,2)</f>
        <v>#DIV/0!</v>
      </c>
      <c r="H53" s="139" t="e">
        <f>ROUNDUP('採算表(VND)'!H53/$N$1,2)</f>
        <v>#DIV/0!</v>
      </c>
      <c r="I53" s="139" t="e">
        <f>ROUNDUP('採算表(VND)'!I53/$N$1,2)</f>
        <v>#DIV/0!</v>
      </c>
      <c r="J53" s="139" t="e">
        <f>ROUNDUP('採算表(VND)'!J53/$N$1,2)</f>
        <v>#DIV/0!</v>
      </c>
      <c r="K53" s="139" t="e">
        <f>ROUNDUP('採算表(VND)'!K53/$N$1,2)</f>
        <v>#DIV/0!</v>
      </c>
      <c r="L53" s="139" t="e">
        <f>ROUNDUP('採算表(VND)'!L53/$N$1,2)</f>
        <v>#DIV/0!</v>
      </c>
      <c r="M53" s="139" t="e">
        <f>ROUNDUP('採算表(VND)'!M53/$N$1,2)</f>
        <v>#DIV/0!</v>
      </c>
      <c r="N53" s="139" t="e">
        <f>ROUNDUP('採算表(VND)'!N53/$N$1,2)</f>
        <v>#DIV/0!</v>
      </c>
      <c r="O53" s="139" t="e">
        <f t="shared" si="4"/>
        <v>#DIV/0!</v>
      </c>
    </row>
    <row r="54" spans="1:15" ht="11.25" customHeight="1">
      <c r="A54" s="38"/>
      <c r="B54" s="37" t="s">
        <v>100</v>
      </c>
      <c r="C54" s="139" t="e">
        <f>ROUNDUP('採算表(VND)'!C54/$N$1,2)</f>
        <v>#DIV/0!</v>
      </c>
      <c r="D54" s="139" t="e">
        <f>ROUNDUP('採算表(VND)'!D54/$N$1,2)</f>
        <v>#DIV/0!</v>
      </c>
      <c r="E54" s="139" t="e">
        <f>ROUNDUP('採算表(VND)'!E54/$N$1,2)</f>
        <v>#DIV/0!</v>
      </c>
      <c r="F54" s="139" t="e">
        <f>ROUNDUP('採算表(VND)'!F54/$N$1,2)</f>
        <v>#DIV/0!</v>
      </c>
      <c r="G54" s="139" t="e">
        <f>ROUNDUP('採算表(VND)'!G54/$N$1,2)</f>
        <v>#DIV/0!</v>
      </c>
      <c r="H54" s="139" t="e">
        <f>ROUNDUP('採算表(VND)'!H54/$N$1,2)</f>
        <v>#DIV/0!</v>
      </c>
      <c r="I54" s="139" t="e">
        <f>ROUNDUP('採算表(VND)'!I54/$N$1,2)</f>
        <v>#DIV/0!</v>
      </c>
      <c r="J54" s="139" t="e">
        <f>ROUNDUP('採算表(VND)'!J54/$N$1,2)</f>
        <v>#DIV/0!</v>
      </c>
      <c r="K54" s="139" t="e">
        <f>ROUNDUP('採算表(VND)'!K54/$N$1,2)</f>
        <v>#DIV/0!</v>
      </c>
      <c r="L54" s="139" t="e">
        <f>ROUNDUP('採算表(VND)'!L54/$N$1,2)</f>
        <v>#DIV/0!</v>
      </c>
      <c r="M54" s="139" t="e">
        <f>ROUNDUP('採算表(VND)'!M54/$N$1,2)</f>
        <v>#DIV/0!</v>
      </c>
      <c r="N54" s="139" t="e">
        <f>ROUNDUP('採算表(VND)'!N54/$N$1,2)</f>
        <v>#DIV/0!</v>
      </c>
      <c r="O54" s="139" t="e">
        <f t="shared" si="4"/>
        <v>#DIV/0!</v>
      </c>
    </row>
    <row r="55" spans="1:15" ht="11.25" customHeight="1">
      <c r="A55" s="38"/>
      <c r="B55" s="37" t="s">
        <v>110</v>
      </c>
      <c r="C55" s="139" t="e">
        <f>ROUNDUP('採算表(VND)'!C55/$N$1,2)</f>
        <v>#DIV/0!</v>
      </c>
      <c r="D55" s="139" t="e">
        <f>ROUNDUP('採算表(VND)'!D55/$N$1,2)</f>
        <v>#DIV/0!</v>
      </c>
      <c r="E55" s="139" t="e">
        <f>ROUNDUP('採算表(VND)'!E55/$N$1,2)</f>
        <v>#DIV/0!</v>
      </c>
      <c r="F55" s="139" t="e">
        <f>ROUNDUP('採算表(VND)'!F55/$N$1,2)</f>
        <v>#DIV/0!</v>
      </c>
      <c r="G55" s="139" t="e">
        <f>ROUNDUP('採算表(VND)'!G55/$N$1,2)</f>
        <v>#DIV/0!</v>
      </c>
      <c r="H55" s="139" t="e">
        <f>ROUNDUP('採算表(VND)'!H55/$N$1,2)</f>
        <v>#DIV/0!</v>
      </c>
      <c r="I55" s="139" t="e">
        <f>ROUNDUP('採算表(VND)'!I55/$N$1,2)</f>
        <v>#DIV/0!</v>
      </c>
      <c r="J55" s="139" t="e">
        <f>ROUNDUP('採算表(VND)'!J55/$N$1,2)</f>
        <v>#DIV/0!</v>
      </c>
      <c r="K55" s="139" t="e">
        <f>ROUNDUP('採算表(VND)'!K55/$N$1,2)</f>
        <v>#DIV/0!</v>
      </c>
      <c r="L55" s="139" t="e">
        <f>ROUNDUP('採算表(VND)'!L55/$N$1,2)</f>
        <v>#DIV/0!</v>
      </c>
      <c r="M55" s="139" t="e">
        <f>ROUNDUP('採算表(VND)'!M55/$N$1,2)</f>
        <v>#DIV/0!</v>
      </c>
      <c r="N55" s="139" t="e">
        <f>ROUNDUP('採算表(VND)'!N55/$N$1,2)</f>
        <v>#DIV/0!</v>
      </c>
      <c r="O55" s="139" t="e">
        <f t="shared" si="4"/>
        <v>#DIV/0!</v>
      </c>
    </row>
    <row r="56" spans="1:15" ht="11.25" customHeight="1">
      <c r="A56" s="38"/>
      <c r="B56" s="37" t="s">
        <v>113</v>
      </c>
      <c r="C56" s="139" t="e">
        <f>ROUNDUP('採算表(VND)'!C56/$N$1,2)</f>
        <v>#DIV/0!</v>
      </c>
      <c r="D56" s="139" t="e">
        <f>ROUNDUP('採算表(VND)'!D56/$N$1,2)</f>
        <v>#DIV/0!</v>
      </c>
      <c r="E56" s="139" t="e">
        <f>ROUNDUP('採算表(VND)'!E56/$N$1,2)</f>
        <v>#DIV/0!</v>
      </c>
      <c r="F56" s="139" t="e">
        <f>ROUNDUP('採算表(VND)'!F56/$N$1,2)</f>
        <v>#DIV/0!</v>
      </c>
      <c r="G56" s="139" t="e">
        <f>ROUNDUP('採算表(VND)'!G56/$N$1,2)</f>
        <v>#DIV/0!</v>
      </c>
      <c r="H56" s="139" t="e">
        <f>ROUNDUP('採算表(VND)'!H56/$N$1,2)</f>
        <v>#DIV/0!</v>
      </c>
      <c r="I56" s="139" t="e">
        <f>ROUNDUP('採算表(VND)'!I56/$N$1,2)</f>
        <v>#DIV/0!</v>
      </c>
      <c r="J56" s="139" t="e">
        <f>ROUNDUP('採算表(VND)'!J56/$N$1,2)</f>
        <v>#DIV/0!</v>
      </c>
      <c r="K56" s="139" t="e">
        <f>ROUNDUP('採算表(VND)'!K56/$N$1,2)</f>
        <v>#DIV/0!</v>
      </c>
      <c r="L56" s="139" t="e">
        <f>ROUNDUP('採算表(VND)'!L56/$N$1,2)</f>
        <v>#DIV/0!</v>
      </c>
      <c r="M56" s="139" t="e">
        <f>ROUNDUP('採算表(VND)'!M56/$N$1,2)</f>
        <v>#DIV/0!</v>
      </c>
      <c r="N56" s="139" t="e">
        <f>ROUNDUP('採算表(VND)'!N56/$N$1,2)</f>
        <v>#DIV/0!</v>
      </c>
      <c r="O56" s="139" t="e">
        <f t="shared" si="4"/>
        <v>#DIV/0!</v>
      </c>
    </row>
    <row r="57" spans="1:15" ht="11.25" customHeight="1">
      <c r="A57" s="38"/>
      <c r="B57" s="37" t="s">
        <v>114</v>
      </c>
      <c r="C57" s="139" t="e">
        <f>ROUNDUP('採算表(VND)'!C57/$N$1,2)</f>
        <v>#DIV/0!</v>
      </c>
      <c r="D57" s="139" t="e">
        <f>ROUNDUP('採算表(VND)'!D57/$N$1,2)</f>
        <v>#DIV/0!</v>
      </c>
      <c r="E57" s="139" t="e">
        <f>ROUNDUP('採算表(VND)'!E57/$N$1,2)</f>
        <v>#DIV/0!</v>
      </c>
      <c r="F57" s="139" t="e">
        <f>ROUNDUP('採算表(VND)'!F57/$N$1,2)</f>
        <v>#DIV/0!</v>
      </c>
      <c r="G57" s="139" t="e">
        <f>ROUNDUP('採算表(VND)'!G57/$N$1,2)</f>
        <v>#DIV/0!</v>
      </c>
      <c r="H57" s="139" t="e">
        <f>ROUNDUP('採算表(VND)'!H57/$N$1,2)</f>
        <v>#DIV/0!</v>
      </c>
      <c r="I57" s="139" t="e">
        <f>ROUNDUP('採算表(VND)'!I57/$N$1,2)</f>
        <v>#DIV/0!</v>
      </c>
      <c r="J57" s="139" t="e">
        <f>ROUNDUP('採算表(VND)'!J57/$N$1,2)</f>
        <v>#DIV/0!</v>
      </c>
      <c r="K57" s="139" t="e">
        <f>ROUNDUP('採算表(VND)'!K57/$N$1,2)</f>
        <v>#DIV/0!</v>
      </c>
      <c r="L57" s="139" t="e">
        <f>ROUNDUP('採算表(VND)'!L57/$N$1,2)</f>
        <v>#DIV/0!</v>
      </c>
      <c r="M57" s="139" t="e">
        <f>ROUNDUP('採算表(VND)'!M57/$N$1,2)</f>
        <v>#DIV/0!</v>
      </c>
      <c r="N57" s="139" t="e">
        <f>ROUNDUP('採算表(VND)'!N57/$N$1,2)</f>
        <v>#DIV/0!</v>
      </c>
      <c r="O57" s="139" t="e">
        <f t="shared" si="4"/>
        <v>#DIV/0!</v>
      </c>
    </row>
    <row r="58" spans="1:15" ht="11.25" customHeight="1">
      <c r="A58" s="38"/>
      <c r="B58" s="37" t="s">
        <v>122</v>
      </c>
      <c r="C58" s="139" t="e">
        <f>ROUNDUP('採算表(VND)'!C58/$N$1,2)</f>
        <v>#DIV/0!</v>
      </c>
      <c r="D58" s="139" t="e">
        <f>ROUNDUP('採算表(VND)'!D58/$N$1,2)</f>
        <v>#DIV/0!</v>
      </c>
      <c r="E58" s="139" t="e">
        <f>ROUNDUP('採算表(VND)'!E58/$N$1,2)</f>
        <v>#DIV/0!</v>
      </c>
      <c r="F58" s="139" t="e">
        <f>ROUNDUP('採算表(VND)'!F58/$N$1,2)</f>
        <v>#DIV/0!</v>
      </c>
      <c r="G58" s="139" t="e">
        <f>ROUNDUP('採算表(VND)'!G58/$N$1,2)</f>
        <v>#DIV/0!</v>
      </c>
      <c r="H58" s="139" t="e">
        <f>ROUNDUP('採算表(VND)'!H58/$N$1,2)</f>
        <v>#DIV/0!</v>
      </c>
      <c r="I58" s="139" t="e">
        <f>ROUNDUP('採算表(VND)'!I58/$N$1,2)</f>
        <v>#DIV/0!</v>
      </c>
      <c r="J58" s="139" t="e">
        <f>ROUNDUP('採算表(VND)'!J58/$N$1,2)</f>
        <v>#DIV/0!</v>
      </c>
      <c r="K58" s="139" t="e">
        <f>ROUNDUP('採算表(VND)'!K58/$N$1,2)</f>
        <v>#DIV/0!</v>
      </c>
      <c r="L58" s="139" t="e">
        <f>ROUNDUP('採算表(VND)'!L58/$N$1,2)</f>
        <v>#DIV/0!</v>
      </c>
      <c r="M58" s="139" t="e">
        <f>ROUNDUP('採算表(VND)'!M58/$N$1,2)</f>
        <v>#DIV/0!</v>
      </c>
      <c r="N58" s="139" t="e">
        <f>ROUNDUP('採算表(VND)'!N58/$N$1,2)</f>
        <v>#DIV/0!</v>
      </c>
      <c r="O58" s="139" t="e">
        <f t="shared" si="4"/>
        <v>#DIV/0!</v>
      </c>
    </row>
    <row r="59" spans="1:15" ht="11.25" customHeight="1">
      <c r="A59" s="38"/>
      <c r="B59" s="37" t="s">
        <v>121</v>
      </c>
      <c r="C59" s="139" t="e">
        <f>ROUNDUP('採算表(VND)'!C59/$N$1,2)</f>
        <v>#DIV/0!</v>
      </c>
      <c r="D59" s="139" t="e">
        <f>ROUNDUP('採算表(VND)'!D59/$N$1,2)</f>
        <v>#DIV/0!</v>
      </c>
      <c r="E59" s="139" t="e">
        <f>ROUNDUP('採算表(VND)'!E59/$N$1,2)</f>
        <v>#DIV/0!</v>
      </c>
      <c r="F59" s="139" t="e">
        <f>ROUNDUP('採算表(VND)'!F59/$N$1,2)</f>
        <v>#DIV/0!</v>
      </c>
      <c r="G59" s="139" t="e">
        <f>ROUNDUP('採算表(VND)'!G59/$N$1,2)</f>
        <v>#DIV/0!</v>
      </c>
      <c r="H59" s="139" t="e">
        <f>ROUNDUP('採算表(VND)'!H59/$N$1,2)</f>
        <v>#DIV/0!</v>
      </c>
      <c r="I59" s="139" t="e">
        <f>ROUNDUP('採算表(VND)'!I59/$N$1,2)</f>
        <v>#DIV/0!</v>
      </c>
      <c r="J59" s="139" t="e">
        <f>ROUNDUP('採算表(VND)'!J59/$N$1,2)</f>
        <v>#DIV/0!</v>
      </c>
      <c r="K59" s="139" t="e">
        <f>ROUNDUP('採算表(VND)'!K59/$N$1,2)</f>
        <v>#DIV/0!</v>
      </c>
      <c r="L59" s="139" t="e">
        <f>ROUNDUP('採算表(VND)'!L59/$N$1,2)</f>
        <v>#DIV/0!</v>
      </c>
      <c r="M59" s="139" t="e">
        <f>ROUNDUP('採算表(VND)'!M59/$N$1,2)</f>
        <v>#DIV/0!</v>
      </c>
      <c r="N59" s="139" t="e">
        <f>ROUNDUP('採算表(VND)'!N59/$N$1,2)</f>
        <v>#DIV/0!</v>
      </c>
      <c r="O59" s="139" t="e">
        <f t="shared" si="4"/>
        <v>#DIV/0!</v>
      </c>
    </row>
    <row r="60" spans="1:15" ht="11.25" customHeight="1">
      <c r="A60" s="38"/>
      <c r="B60" s="37" t="s">
        <v>123</v>
      </c>
      <c r="C60" s="139" t="e">
        <f>ROUNDUP('採算表(VND)'!C60/$N$1,2)</f>
        <v>#DIV/0!</v>
      </c>
      <c r="D60" s="139" t="e">
        <f>ROUNDUP('採算表(VND)'!D60/$N$1,2)</f>
        <v>#DIV/0!</v>
      </c>
      <c r="E60" s="139" t="e">
        <f>ROUNDUP('採算表(VND)'!E60/$N$1,2)</f>
        <v>#DIV/0!</v>
      </c>
      <c r="F60" s="139" t="e">
        <f>ROUNDUP('採算表(VND)'!F60/$N$1,2)</f>
        <v>#DIV/0!</v>
      </c>
      <c r="G60" s="139" t="e">
        <f>ROUNDUP('採算表(VND)'!G60/$N$1,2)</f>
        <v>#DIV/0!</v>
      </c>
      <c r="H60" s="139" t="e">
        <f>ROUNDUP('採算表(VND)'!H60/$N$1,2)</f>
        <v>#DIV/0!</v>
      </c>
      <c r="I60" s="139" t="e">
        <f>ROUNDUP('採算表(VND)'!I60/$N$1,2)</f>
        <v>#DIV/0!</v>
      </c>
      <c r="J60" s="139" t="e">
        <f>ROUNDUP('採算表(VND)'!J60/$N$1,2)</f>
        <v>#DIV/0!</v>
      </c>
      <c r="K60" s="139" t="e">
        <f>ROUNDUP('採算表(VND)'!K60/$N$1,2)</f>
        <v>#DIV/0!</v>
      </c>
      <c r="L60" s="139" t="e">
        <f>ROUNDUP('採算表(VND)'!L60/$N$1,2)</f>
        <v>#DIV/0!</v>
      </c>
      <c r="M60" s="139" t="e">
        <f>ROUNDUP('採算表(VND)'!M60/$N$1,2)</f>
        <v>#DIV/0!</v>
      </c>
      <c r="N60" s="139" t="e">
        <f>ROUNDUP('採算表(VND)'!N60/$N$1,2)</f>
        <v>#DIV/0!</v>
      </c>
      <c r="O60" s="139" t="e">
        <f t="shared" si="4"/>
        <v>#DIV/0!</v>
      </c>
    </row>
    <row r="61" spans="1:15" ht="11.25" customHeight="1">
      <c r="A61" s="38"/>
      <c r="B61" s="37" t="s">
        <v>106</v>
      </c>
      <c r="C61" s="139" t="e">
        <f>ROUNDUP('採算表(VND)'!C61/$N$1,2)</f>
        <v>#DIV/0!</v>
      </c>
      <c r="D61" s="139" t="e">
        <f>ROUNDUP('採算表(VND)'!D61/$N$1,2)</f>
        <v>#DIV/0!</v>
      </c>
      <c r="E61" s="139" t="e">
        <f>ROUNDUP('採算表(VND)'!E61/$N$1,2)</f>
        <v>#DIV/0!</v>
      </c>
      <c r="F61" s="139" t="e">
        <f>ROUNDUP('採算表(VND)'!F61/$N$1,2)</f>
        <v>#DIV/0!</v>
      </c>
      <c r="G61" s="139" t="e">
        <f>ROUNDUP('採算表(VND)'!G61/$N$1,2)</f>
        <v>#DIV/0!</v>
      </c>
      <c r="H61" s="139" t="e">
        <f>ROUNDUP('採算表(VND)'!H61/$N$1,2)</f>
        <v>#DIV/0!</v>
      </c>
      <c r="I61" s="139" t="e">
        <f>ROUNDUP('採算表(VND)'!I61/$N$1,2)</f>
        <v>#DIV/0!</v>
      </c>
      <c r="J61" s="139" t="e">
        <f>ROUNDUP('採算表(VND)'!J61/$N$1,2)</f>
        <v>#DIV/0!</v>
      </c>
      <c r="K61" s="139" t="e">
        <f>ROUNDUP('採算表(VND)'!K61/$N$1,2)</f>
        <v>#DIV/0!</v>
      </c>
      <c r="L61" s="139" t="e">
        <f>ROUNDUP('採算表(VND)'!L61/$N$1,2)</f>
        <v>#DIV/0!</v>
      </c>
      <c r="M61" s="139" t="e">
        <f>ROUNDUP('採算表(VND)'!M61/$N$1,2)</f>
        <v>#DIV/0!</v>
      </c>
      <c r="N61" s="139" t="e">
        <f>ROUNDUP('採算表(VND)'!N61/$N$1,2)</f>
        <v>#DIV/0!</v>
      </c>
      <c r="O61" s="139" t="e">
        <f t="shared" si="4"/>
        <v>#DIV/0!</v>
      </c>
    </row>
    <row r="62" spans="1:15" ht="11.25" customHeight="1">
      <c r="A62" s="38"/>
      <c r="B62" s="37" t="s">
        <v>418</v>
      </c>
      <c r="C62" s="139" t="e">
        <f>ROUNDUP('採算表(VND)'!C62/$N$1,2)</f>
        <v>#DIV/0!</v>
      </c>
      <c r="D62" s="139" t="e">
        <f>ROUNDUP('採算表(VND)'!D62/$N$1,2)</f>
        <v>#DIV/0!</v>
      </c>
      <c r="E62" s="139" t="e">
        <f>ROUNDUP('採算表(VND)'!E62/$N$1,2)</f>
        <v>#DIV/0!</v>
      </c>
      <c r="F62" s="139" t="e">
        <f>ROUNDUP('採算表(VND)'!F62/$N$1,2)</f>
        <v>#DIV/0!</v>
      </c>
      <c r="G62" s="139" t="e">
        <f>ROUNDUP('採算表(VND)'!G62/$N$1,2)</f>
        <v>#DIV/0!</v>
      </c>
      <c r="H62" s="139" t="e">
        <f>ROUNDUP('採算表(VND)'!H62/$N$1,2)</f>
        <v>#DIV/0!</v>
      </c>
      <c r="I62" s="139" t="e">
        <f>ROUNDUP('採算表(VND)'!I62/$N$1,2)</f>
        <v>#DIV/0!</v>
      </c>
      <c r="J62" s="139" t="e">
        <f>ROUNDUP('採算表(VND)'!J62/$N$1,2)</f>
        <v>#DIV/0!</v>
      </c>
      <c r="K62" s="139" t="e">
        <f>ROUNDUP('採算表(VND)'!K62/$N$1,2)</f>
        <v>#DIV/0!</v>
      </c>
      <c r="L62" s="139" t="e">
        <f>ROUNDUP('採算表(VND)'!L62/$N$1,2)</f>
        <v>#DIV/0!</v>
      </c>
      <c r="M62" s="139" t="e">
        <f>ROUNDUP('採算表(VND)'!M62/$N$1,2)</f>
        <v>#DIV/0!</v>
      </c>
      <c r="N62" s="139" t="e">
        <f>ROUNDUP('採算表(VND)'!N62/$N$1,2)</f>
        <v>#DIV/0!</v>
      </c>
      <c r="O62" s="139" t="e">
        <f t="shared" si="4"/>
        <v>#DIV/0!</v>
      </c>
    </row>
    <row r="63" spans="1:15" ht="11.25" customHeight="1">
      <c r="A63" s="38"/>
      <c r="B63" s="37" t="s">
        <v>419</v>
      </c>
      <c r="C63" s="139" t="e">
        <f>ROUNDUP('採算表(VND)'!C63/$N$1,2)</f>
        <v>#DIV/0!</v>
      </c>
      <c r="D63" s="139" t="e">
        <f>ROUNDUP('採算表(VND)'!D63/$N$1,2)</f>
        <v>#DIV/0!</v>
      </c>
      <c r="E63" s="139" t="e">
        <f>ROUNDUP('採算表(VND)'!E63/$N$1,2)</f>
        <v>#DIV/0!</v>
      </c>
      <c r="F63" s="139" t="e">
        <f>ROUNDUP('採算表(VND)'!F63/$N$1,2)</f>
        <v>#DIV/0!</v>
      </c>
      <c r="G63" s="139" t="e">
        <f>ROUNDUP('採算表(VND)'!G63/$N$1,2)</f>
        <v>#DIV/0!</v>
      </c>
      <c r="H63" s="139" t="e">
        <f>ROUNDUP('採算表(VND)'!H63/$N$1,2)</f>
        <v>#DIV/0!</v>
      </c>
      <c r="I63" s="139" t="e">
        <f>ROUNDUP('採算表(VND)'!I63/$N$1,2)</f>
        <v>#DIV/0!</v>
      </c>
      <c r="J63" s="139" t="e">
        <f>ROUNDUP('採算表(VND)'!J63/$N$1,2)</f>
        <v>#DIV/0!</v>
      </c>
      <c r="K63" s="139" t="e">
        <f>ROUNDUP('採算表(VND)'!K63/$N$1,2)</f>
        <v>#DIV/0!</v>
      </c>
      <c r="L63" s="139" t="e">
        <f>ROUNDUP('採算表(VND)'!L63/$N$1,2)</f>
        <v>#DIV/0!</v>
      </c>
      <c r="M63" s="139" t="e">
        <f>ROUNDUP('採算表(VND)'!M63/$N$1,2)</f>
        <v>#DIV/0!</v>
      </c>
      <c r="N63" s="139" t="e">
        <f>ROUNDUP('採算表(VND)'!N63/$N$1,2)</f>
        <v>#DIV/0!</v>
      </c>
      <c r="O63" s="139" t="e">
        <f t="shared" si="4"/>
        <v>#DIV/0!</v>
      </c>
    </row>
    <row r="64" spans="1:15" ht="11.25" customHeight="1">
      <c r="A64" s="38"/>
      <c r="B64" s="37" t="s">
        <v>143</v>
      </c>
      <c r="C64" s="139" t="e">
        <f>ROUNDUP('採算表(VND)'!C64/$N$1,2)</f>
        <v>#DIV/0!</v>
      </c>
      <c r="D64" s="139" t="e">
        <f>ROUNDUP('採算表(VND)'!D64/$N$1,2)</f>
        <v>#DIV/0!</v>
      </c>
      <c r="E64" s="139" t="e">
        <f>ROUNDUP('採算表(VND)'!E64/$N$1,2)</f>
        <v>#DIV/0!</v>
      </c>
      <c r="F64" s="139" t="e">
        <f>ROUNDUP('採算表(VND)'!F64/$N$1,2)</f>
        <v>#DIV/0!</v>
      </c>
      <c r="G64" s="139" t="e">
        <f>ROUNDUP('採算表(VND)'!G64/$N$1,2)</f>
        <v>#DIV/0!</v>
      </c>
      <c r="H64" s="139" t="e">
        <f>ROUNDUP('採算表(VND)'!H64/$N$1,2)</f>
        <v>#DIV/0!</v>
      </c>
      <c r="I64" s="139" t="e">
        <f>ROUNDUP('採算表(VND)'!I64/$N$1,2)</f>
        <v>#DIV/0!</v>
      </c>
      <c r="J64" s="139" t="e">
        <f>ROUNDUP('採算表(VND)'!J64/$N$1,2)</f>
        <v>#DIV/0!</v>
      </c>
      <c r="K64" s="139" t="e">
        <f>ROUNDUP('採算表(VND)'!K64/$N$1,2)</f>
        <v>#DIV/0!</v>
      </c>
      <c r="L64" s="139" t="e">
        <f>ROUNDUP('採算表(VND)'!L64/$N$1,2)</f>
        <v>#DIV/0!</v>
      </c>
      <c r="M64" s="139" t="e">
        <f>ROUNDUP('採算表(VND)'!M64/$N$1,2)</f>
        <v>#DIV/0!</v>
      </c>
      <c r="N64" s="139" t="e">
        <f>ROUNDUP('採算表(VND)'!N64/$N$1,2)</f>
        <v>#DIV/0!</v>
      </c>
      <c r="O64" s="139" t="e">
        <f t="shared" si="4"/>
        <v>#DIV/0!</v>
      </c>
    </row>
    <row r="65" spans="1:15" ht="11.25" customHeight="1">
      <c r="A65" s="38"/>
      <c r="B65" s="37" t="s">
        <v>111</v>
      </c>
      <c r="C65" s="136" t="e">
        <f>ROUNDUP('採算表(VND)'!C65/$N$1,2)</f>
        <v>#DIV/0!</v>
      </c>
      <c r="D65" s="136" t="e">
        <f>ROUNDUP('採算表(VND)'!D65/$N$1,2)</f>
        <v>#DIV/0!</v>
      </c>
      <c r="E65" s="136" t="e">
        <f>ROUNDUP('採算表(VND)'!E65/$N$1,2)</f>
        <v>#DIV/0!</v>
      </c>
      <c r="F65" s="136" t="e">
        <f>ROUNDUP('採算表(VND)'!F65/$N$1,2)</f>
        <v>#DIV/0!</v>
      </c>
      <c r="G65" s="136" t="e">
        <f>ROUNDUP('採算表(VND)'!G65/$N$1,2)</f>
        <v>#DIV/0!</v>
      </c>
      <c r="H65" s="136" t="e">
        <f>ROUNDUP('採算表(VND)'!H65/$N$1,2)</f>
        <v>#DIV/0!</v>
      </c>
      <c r="I65" s="136" t="e">
        <f>ROUNDUP('採算表(VND)'!I65/$N$1,2)</f>
        <v>#DIV/0!</v>
      </c>
      <c r="J65" s="136" t="e">
        <f>ROUNDUP('採算表(VND)'!J65/$N$1,2)</f>
        <v>#DIV/0!</v>
      </c>
      <c r="K65" s="136" t="e">
        <f>ROUNDUP('採算表(VND)'!K65/$N$1,2)</f>
        <v>#DIV/0!</v>
      </c>
      <c r="L65" s="136" t="e">
        <f>ROUNDUP('採算表(VND)'!L65/$N$1,2)</f>
        <v>#DIV/0!</v>
      </c>
      <c r="M65" s="136" t="e">
        <f>ROUNDUP('採算表(VND)'!M65/$N$1,2)</f>
        <v>#DIV/0!</v>
      </c>
      <c r="N65" s="136" t="e">
        <f>ROUNDUP('採算表(VND)'!N65/$N$1,2)</f>
        <v>#DIV/0!</v>
      </c>
      <c r="O65" s="136" t="e">
        <f t="shared" si="4"/>
        <v>#DIV/0!</v>
      </c>
    </row>
    <row r="66" spans="1:15" ht="11.25" customHeight="1">
      <c r="A66" s="26"/>
      <c r="B66" s="32" t="s">
        <v>77</v>
      </c>
      <c r="C66" s="134" t="e">
        <f>C12-C13</f>
        <v>#DIV/0!</v>
      </c>
      <c r="D66" s="134" t="e">
        <f t="shared" ref="D66:O66" si="5">IF(ISBLANK(D4),"",D12-D13)</f>
        <v>#DIV/0!</v>
      </c>
      <c r="E66" s="134" t="e">
        <f t="shared" si="5"/>
        <v>#DIV/0!</v>
      </c>
      <c r="F66" s="134" t="e">
        <f t="shared" si="5"/>
        <v>#DIV/0!</v>
      </c>
      <c r="G66" s="134" t="e">
        <f t="shared" si="5"/>
        <v>#DIV/0!</v>
      </c>
      <c r="H66" s="134" t="e">
        <f t="shared" si="5"/>
        <v>#DIV/0!</v>
      </c>
      <c r="I66" s="134" t="e">
        <f t="shared" si="5"/>
        <v>#DIV/0!</v>
      </c>
      <c r="J66" s="134" t="e">
        <f t="shared" si="5"/>
        <v>#DIV/0!</v>
      </c>
      <c r="K66" s="134" t="e">
        <f t="shared" si="5"/>
        <v>#DIV/0!</v>
      </c>
      <c r="L66" s="134" t="e">
        <f t="shared" si="5"/>
        <v>#DIV/0!</v>
      </c>
      <c r="M66" s="134" t="e">
        <f t="shared" si="5"/>
        <v>#DIV/0!</v>
      </c>
      <c r="N66" s="134" t="e">
        <f t="shared" si="5"/>
        <v>#DIV/0!</v>
      </c>
      <c r="O66" s="134" t="e">
        <f t="shared" si="5"/>
        <v>#DIV/0!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2941</v>
      </c>
      <c r="D68" s="135">
        <f>'採算表(VND)'!D68</f>
        <v>2754</v>
      </c>
      <c r="E68" s="135">
        <f>'採算表(VND)'!E68</f>
        <v>3247</v>
      </c>
      <c r="F68" s="135">
        <f>'採算表(VND)'!F68</f>
        <v>3408.5</v>
      </c>
      <c r="G68" s="135">
        <f>'採算表(VND)'!G68</f>
        <v>2796.5</v>
      </c>
      <c r="H68" s="135">
        <f>'採算表(VND)'!H68</f>
        <v>2949.5</v>
      </c>
      <c r="I68" s="135">
        <f>'採算表(VND)'!I68</f>
        <v>3255.5</v>
      </c>
      <c r="J68" s="135">
        <f>'採算表(VND)'!J68</f>
        <v>3094</v>
      </c>
      <c r="K68" s="135">
        <f>'採算表(VND)'!K68</f>
        <v>3247</v>
      </c>
      <c r="L68" s="135">
        <f>'採算表(VND)'!L68</f>
        <v>2949.5</v>
      </c>
      <c r="M68" s="135">
        <f>'採算表(VND)'!M68</f>
        <v>1725.5</v>
      </c>
      <c r="N68" s="135">
        <f>'採算表(VND)'!N68</f>
        <v>3255.5</v>
      </c>
      <c r="O68" s="135">
        <f>SUM(C68:N68)</f>
        <v>35623.5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-2941</v>
      </c>
      <c r="D70" s="140">
        <f>'採算表(VND)'!D70</f>
        <v>-2754</v>
      </c>
      <c r="E70" s="140">
        <f>'採算表(VND)'!E70</f>
        <v>-3247</v>
      </c>
      <c r="F70" s="140">
        <f>'採算表(VND)'!F70</f>
        <v>-3408.5</v>
      </c>
      <c r="G70" s="140">
        <f>'採算表(VND)'!G70</f>
        <v>-2796.5</v>
      </c>
      <c r="H70" s="140">
        <f>'採算表(VND)'!H70</f>
        <v>-2949.5</v>
      </c>
      <c r="I70" s="140">
        <f>'採算表(VND)'!I70</f>
        <v>-3255.5</v>
      </c>
      <c r="J70" s="140">
        <f>'採算表(VND)'!J70</f>
        <v>-3094</v>
      </c>
      <c r="K70" s="140">
        <f>'採算表(VND)'!K70</f>
        <v>-3247</v>
      </c>
      <c r="L70" s="140">
        <f>'採算表(VND)'!L70</f>
        <v>-2949.5</v>
      </c>
      <c r="M70" s="140">
        <f>'採算表(VND)'!M70</f>
        <v>-1725.5</v>
      </c>
      <c r="N70" s="140">
        <f>'採算表(VND)'!N70</f>
        <v>-3255.5</v>
      </c>
      <c r="O70" s="140">
        <f>SUM(C70:N70)</f>
        <v>-35623.5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222</v>
      </c>
      <c r="D74" s="135">
        <f>'採算表(VND)'!D74</f>
        <v>205</v>
      </c>
      <c r="E74" s="135">
        <f>'採算表(VND)'!E74</f>
        <v>238</v>
      </c>
      <c r="F74" s="135">
        <f>'採算表(VND)'!F74</f>
        <v>252</v>
      </c>
      <c r="G74" s="135">
        <f>'採算表(VND)'!G74</f>
        <v>227</v>
      </c>
      <c r="H74" s="135">
        <f>'採算表(VND)'!H74</f>
        <v>220</v>
      </c>
      <c r="I74" s="135">
        <f>'採算表(VND)'!I74</f>
        <v>242</v>
      </c>
      <c r="J74" s="135">
        <f>'採算表(VND)'!J74</f>
        <v>230</v>
      </c>
      <c r="K74" s="135">
        <f>'採算表(VND)'!K74</f>
        <v>240</v>
      </c>
      <c r="L74" s="135">
        <f>'採算表(VND)'!L74</f>
        <v>226</v>
      </c>
      <c r="M74" s="135">
        <f>'採算表(VND)'!M74</f>
        <v>147</v>
      </c>
      <c r="N74" s="135">
        <f>'採算表(VND)'!N74</f>
        <v>243</v>
      </c>
      <c r="O74" s="135">
        <f>SUM(C74:N74)</f>
        <v>2692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-222</v>
      </c>
      <c r="D76" s="140">
        <f>'採算表(VND)'!D76</f>
        <v>-205</v>
      </c>
      <c r="E76" s="140">
        <f>'採算表(VND)'!E76</f>
        <v>-238</v>
      </c>
      <c r="F76" s="140">
        <f>'採算表(VND)'!F76</f>
        <v>-252</v>
      </c>
      <c r="G76" s="140">
        <f>'採算表(VND)'!G76</f>
        <v>-227</v>
      </c>
      <c r="H76" s="140">
        <f>'採算表(VND)'!H76</f>
        <v>-220</v>
      </c>
      <c r="I76" s="140">
        <f>'採算表(VND)'!I76</f>
        <v>-242</v>
      </c>
      <c r="J76" s="140">
        <f>'採算表(VND)'!J76</f>
        <v>-230</v>
      </c>
      <c r="K76" s="140">
        <f>'採算表(VND)'!K76</f>
        <v>-240</v>
      </c>
      <c r="L76" s="140">
        <f>'採算表(VND)'!L76</f>
        <v>-226</v>
      </c>
      <c r="M76" s="140">
        <f>'採算表(VND)'!M76</f>
        <v>-147</v>
      </c>
      <c r="N76" s="140">
        <f>'採算表(VND)'!N76</f>
        <v>-243</v>
      </c>
      <c r="O76" s="140">
        <f>SUM(C76:N76)</f>
        <v>-2692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17</v>
      </c>
      <c r="D88" s="150">
        <f>'採算表(VND)'!D88</f>
        <v>17</v>
      </c>
      <c r="E88" s="150">
        <f>'採算表(VND)'!E88</f>
        <v>17</v>
      </c>
      <c r="F88" s="150">
        <f>'採算表(VND)'!F88</f>
        <v>18</v>
      </c>
      <c r="G88" s="150">
        <f>'採算表(VND)'!G88</f>
        <v>18</v>
      </c>
      <c r="H88" s="150">
        <f>'採算表(VND)'!H88</f>
        <v>18</v>
      </c>
      <c r="I88" s="150">
        <f>'採算表(VND)'!I88</f>
        <v>18</v>
      </c>
      <c r="J88" s="150">
        <f>'採算表(VND)'!J88</f>
        <v>18</v>
      </c>
      <c r="K88" s="150">
        <f>'採算表(VND)'!K88</f>
        <v>18</v>
      </c>
      <c r="L88" s="150">
        <f>'採算表(VND)'!L88</f>
        <v>18</v>
      </c>
      <c r="M88" s="150">
        <f>'採算表(VND)'!M88</f>
        <v>18</v>
      </c>
      <c r="N88" s="150">
        <f>'採算表(VND)'!N88</f>
        <v>18</v>
      </c>
      <c r="O88" s="150">
        <f>SUM(C88:N88)</f>
        <v>213</v>
      </c>
    </row>
    <row r="89" spans="1:15">
      <c r="A89" s="44"/>
      <c r="B89" s="60" t="s">
        <v>18</v>
      </c>
      <c r="C89" s="151">
        <f t="shared" ref="C89:O89" si="11">C87+C88</f>
        <v>18</v>
      </c>
      <c r="D89" s="151">
        <f t="shared" si="11"/>
        <v>18</v>
      </c>
      <c r="E89" s="151">
        <f t="shared" si="11"/>
        <v>18</v>
      </c>
      <c r="F89" s="151">
        <f t="shared" si="11"/>
        <v>19</v>
      </c>
      <c r="G89" s="151">
        <f t="shared" si="11"/>
        <v>19</v>
      </c>
      <c r="H89" s="151">
        <f t="shared" si="11"/>
        <v>19</v>
      </c>
      <c r="I89" s="151">
        <f t="shared" si="11"/>
        <v>19</v>
      </c>
      <c r="J89" s="151">
        <f t="shared" si="11"/>
        <v>19</v>
      </c>
      <c r="K89" s="151">
        <f t="shared" si="11"/>
        <v>19</v>
      </c>
      <c r="L89" s="151">
        <f t="shared" si="11"/>
        <v>19</v>
      </c>
      <c r="M89" s="151">
        <f t="shared" si="11"/>
        <v>19</v>
      </c>
      <c r="N89" s="151">
        <f t="shared" si="11"/>
        <v>19</v>
      </c>
      <c r="O89" s="151">
        <f t="shared" si="11"/>
        <v>225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153</v>
      </c>
      <c r="D92" s="133">
        <f>'採算表(VND)'!D92</f>
        <v>110.5</v>
      </c>
      <c r="E92" s="133">
        <f>'採算表(VND)'!E92</f>
        <v>170</v>
      </c>
      <c r="F92" s="133">
        <f>'採算表(VND)'!F92</f>
        <v>187</v>
      </c>
      <c r="G92" s="133">
        <f>'採算表(VND)'!G92</f>
        <v>153</v>
      </c>
      <c r="H92" s="133">
        <f>'採算表(VND)'!H92</f>
        <v>161.5</v>
      </c>
      <c r="I92" s="133">
        <f>'採算表(VND)'!I92</f>
        <v>178.5</v>
      </c>
      <c r="J92" s="133">
        <f>'採算表(VND)'!J92</f>
        <v>170</v>
      </c>
      <c r="K92" s="133">
        <f>'採算表(VND)'!K92</f>
        <v>178.5</v>
      </c>
      <c r="L92" s="133">
        <f>'採算表(VND)'!L92</f>
        <v>161.5</v>
      </c>
      <c r="M92" s="133">
        <f>'採算表(VND)'!M92</f>
        <v>93.5</v>
      </c>
      <c r="N92" s="133">
        <f>'採算表(VND)'!N92</f>
        <v>178.5</v>
      </c>
      <c r="O92" s="133">
        <f>SUM(C92:N92)</f>
        <v>1895.5</v>
      </c>
    </row>
    <row r="93" spans="1:15">
      <c r="B93" s="59" t="s">
        <v>325</v>
      </c>
      <c r="C93" s="133">
        <f>'採算表(VND)'!C93</f>
        <v>2788</v>
      </c>
      <c r="D93" s="133">
        <f>'採算表(VND)'!D93</f>
        <v>2643.5</v>
      </c>
      <c r="E93" s="133">
        <f>'採算表(VND)'!E93</f>
        <v>3077</v>
      </c>
      <c r="F93" s="133">
        <f>'採算表(VND)'!F93</f>
        <v>3221.5</v>
      </c>
      <c r="G93" s="133">
        <f>'採算表(VND)'!G93</f>
        <v>2643.5</v>
      </c>
      <c r="H93" s="133">
        <f>'採算表(VND)'!H93</f>
        <v>2788</v>
      </c>
      <c r="I93" s="133">
        <f>'採算表(VND)'!I93</f>
        <v>3077</v>
      </c>
      <c r="J93" s="133">
        <f>'採算表(VND)'!J93</f>
        <v>2924</v>
      </c>
      <c r="K93" s="133">
        <f>'採算表(VND)'!K93</f>
        <v>3068.5</v>
      </c>
      <c r="L93" s="133">
        <f>'採算表(VND)'!L93</f>
        <v>2788</v>
      </c>
      <c r="M93" s="133">
        <f>'採算表(VND)'!M93</f>
        <v>1632</v>
      </c>
      <c r="N93" s="133">
        <f>'採算表(VND)'!N93</f>
        <v>3077</v>
      </c>
      <c r="O93" s="133">
        <f>SUM(C93:N93)</f>
        <v>33728</v>
      </c>
    </row>
    <row r="94" spans="1:15">
      <c r="B94" s="61" t="s">
        <v>18</v>
      </c>
      <c r="C94" s="147">
        <f t="shared" ref="C94:O94" si="12">C92+C93</f>
        <v>2941</v>
      </c>
      <c r="D94" s="147">
        <f t="shared" si="12"/>
        <v>2754</v>
      </c>
      <c r="E94" s="147">
        <f t="shared" si="12"/>
        <v>3247</v>
      </c>
      <c r="F94" s="147">
        <f t="shared" si="12"/>
        <v>3408.5</v>
      </c>
      <c r="G94" s="147">
        <f t="shared" si="12"/>
        <v>2796.5</v>
      </c>
      <c r="H94" s="147">
        <f t="shared" si="12"/>
        <v>2949.5</v>
      </c>
      <c r="I94" s="147">
        <f t="shared" si="12"/>
        <v>3255.5</v>
      </c>
      <c r="J94" s="147">
        <f t="shared" si="12"/>
        <v>3094</v>
      </c>
      <c r="K94" s="147">
        <f t="shared" si="12"/>
        <v>3247</v>
      </c>
      <c r="L94" s="147">
        <f t="shared" si="12"/>
        <v>2949.5</v>
      </c>
      <c r="M94" s="147">
        <f t="shared" si="12"/>
        <v>1725.5</v>
      </c>
      <c r="N94" s="147">
        <f t="shared" si="12"/>
        <v>3255.5</v>
      </c>
      <c r="O94" s="147">
        <f t="shared" si="12"/>
        <v>35623.5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36</v>
      </c>
      <c r="D97" s="133">
        <f>'採算表(VND)'!D97</f>
        <v>26</v>
      </c>
      <c r="E97" s="133">
        <f>'採算表(VND)'!E97</f>
        <v>40</v>
      </c>
      <c r="F97" s="133">
        <f>'採算表(VND)'!F97</f>
        <v>46</v>
      </c>
      <c r="G97" s="133">
        <f>'採算表(VND)'!G97</f>
        <v>38</v>
      </c>
      <c r="H97" s="133">
        <f>'採算表(VND)'!H97</f>
        <v>40</v>
      </c>
      <c r="I97" s="133">
        <f>'採算表(VND)'!I97</f>
        <v>44</v>
      </c>
      <c r="J97" s="133">
        <f>'採算表(VND)'!J97</f>
        <v>42</v>
      </c>
      <c r="K97" s="133">
        <f>'採算表(VND)'!K97</f>
        <v>44</v>
      </c>
      <c r="L97" s="133">
        <f>'採算表(VND)'!L97</f>
        <v>38</v>
      </c>
      <c r="M97" s="133">
        <f>'採算表(VND)'!M97</f>
        <v>22</v>
      </c>
      <c r="N97" s="133">
        <f>'採算表(VND)'!N97</f>
        <v>42</v>
      </c>
      <c r="O97" s="133">
        <f>SUM(C97:N97)</f>
        <v>458</v>
      </c>
    </row>
    <row r="98" spans="2:15">
      <c r="B98" s="59" t="s">
        <v>327</v>
      </c>
      <c r="C98" s="133">
        <f>'採算表(VND)'!C98</f>
        <v>186</v>
      </c>
      <c r="D98" s="133">
        <f>'採算表(VND)'!D98</f>
        <v>179</v>
      </c>
      <c r="E98" s="133">
        <f>'採算表(VND)'!E98</f>
        <v>198</v>
      </c>
      <c r="F98" s="133">
        <f>'採算表(VND)'!F98</f>
        <v>206</v>
      </c>
      <c r="G98" s="133">
        <f>'採算表(VND)'!G98</f>
        <v>189</v>
      </c>
      <c r="H98" s="133">
        <f>'採算表(VND)'!H98</f>
        <v>180</v>
      </c>
      <c r="I98" s="133">
        <f>'採算表(VND)'!I98</f>
        <v>198</v>
      </c>
      <c r="J98" s="133">
        <f>'採算表(VND)'!J98</f>
        <v>188</v>
      </c>
      <c r="K98" s="133">
        <f>'採算表(VND)'!K98</f>
        <v>196</v>
      </c>
      <c r="L98" s="133">
        <f>'採算表(VND)'!L98</f>
        <v>188</v>
      </c>
      <c r="M98" s="133">
        <f>'採算表(VND)'!M98</f>
        <v>125</v>
      </c>
      <c r="N98" s="133">
        <f>'採算表(VND)'!N98</f>
        <v>201</v>
      </c>
      <c r="O98" s="133">
        <f>SUM(C98:N98)</f>
        <v>2234</v>
      </c>
    </row>
    <row r="99" spans="2:15">
      <c r="B99" s="61" t="s">
        <v>18</v>
      </c>
      <c r="C99" s="147">
        <f t="shared" ref="C99:O99" si="13">C97+C98</f>
        <v>222</v>
      </c>
      <c r="D99" s="147">
        <f t="shared" si="13"/>
        <v>205</v>
      </c>
      <c r="E99" s="147">
        <f t="shared" si="13"/>
        <v>238</v>
      </c>
      <c r="F99" s="147">
        <f t="shared" si="13"/>
        <v>252</v>
      </c>
      <c r="G99" s="147">
        <f t="shared" si="13"/>
        <v>227</v>
      </c>
      <c r="H99" s="147">
        <f t="shared" si="13"/>
        <v>220</v>
      </c>
      <c r="I99" s="147">
        <f t="shared" si="13"/>
        <v>242</v>
      </c>
      <c r="J99" s="147">
        <f t="shared" si="13"/>
        <v>230</v>
      </c>
      <c r="K99" s="147">
        <f t="shared" si="13"/>
        <v>240</v>
      </c>
      <c r="L99" s="147">
        <f t="shared" si="13"/>
        <v>226</v>
      </c>
      <c r="M99" s="147">
        <f t="shared" si="13"/>
        <v>147</v>
      </c>
      <c r="N99" s="147">
        <f t="shared" si="13"/>
        <v>243</v>
      </c>
      <c r="O99" s="147">
        <f t="shared" si="13"/>
        <v>2692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41ED-60F3-406A-997E-14F7DDEA8B54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FY2027_各予定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電気製造技術課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12563485</v>
      </c>
      <c r="D20" s="158">
        <f>SUMIF('内訳ﾘｽﾄ(4～3月)'!$D$26:$D$1000,$B20,'内訳ﾘｽﾄ(4～3月)'!G$26:G$1000)</f>
        <v>16606900</v>
      </c>
      <c r="E20" s="158">
        <f>SUMIF('内訳ﾘｽﾄ(4～3月)'!$D$26:$D$1000,$B20,'内訳ﾘｽﾄ(4～3月)'!H$26:H$1000)</f>
        <v>21059123</v>
      </c>
      <c r="F20" s="158">
        <f>SUMIF('内訳ﾘｽﾄ(4～3月)'!$D$26:$D$1000,$B20,'内訳ﾘｽﾄ(4～3月)'!I$26:I$1000)</f>
        <v>20975312</v>
      </c>
      <c r="G20" s="158">
        <f>SUMIF('内訳ﾘｽﾄ(4～3月)'!$D$26:$D$1000,$B20,'内訳ﾘｽﾄ(4～3月)'!J$26:J$1000)</f>
        <v>20789562</v>
      </c>
      <c r="H20" s="158">
        <f>SUMIF('内訳ﾘｽﾄ(4～3月)'!$D$26:$D$1000,$B20,'内訳ﾘｽﾄ(4～3月)'!K$26:K$1000)</f>
        <v>20864440</v>
      </c>
      <c r="I20" s="158">
        <f>SUMIF('内訳ﾘｽﾄ(4～3月)'!$D$26:$D$1000,$B20,'内訳ﾘｽﾄ(4～3月)'!L$26:L$1000)</f>
        <v>20991864</v>
      </c>
      <c r="J20" s="158">
        <f>SUMIF('内訳ﾘｽﾄ(4～3月)'!$D$26:$D$1000,$B20,'内訳ﾘｽﾄ(4～3月)'!M$26:M$1000)</f>
        <v>20935114</v>
      </c>
      <c r="K20" s="158">
        <f>SUMIF('内訳ﾘｽﾄ(4～3月)'!$D$26:$D$1000,$B20,'内訳ﾘｽﾄ(4～3月)'!N$26:N$1000)</f>
        <v>20903323</v>
      </c>
      <c r="L20" s="158">
        <f>SUMIF('内訳ﾘｽﾄ(4～3月)'!$D$26:$D$1000,$B20,'内訳ﾘｽﾄ(4～3月)'!O$26:O$1000)</f>
        <v>20740431</v>
      </c>
      <c r="M20" s="158">
        <f>SUMIF('内訳ﾘｽﾄ(4～3月)'!$D$26:$D$1000,$B20,'内訳ﾘｽﾄ(4～3月)'!P$26:P$1000)</f>
        <v>20422003</v>
      </c>
      <c r="N20" s="158">
        <f>SUMIF('内訳ﾘｽﾄ(4～3月)'!$D$26:$D$1000,$B20,'内訳ﾘｽﾄ(4～3月)'!Q$26:Q$1000)</f>
        <v>20844472</v>
      </c>
      <c r="O20" s="158">
        <f>SUMIF('内訳ﾘｽﾄ(4～3月)'!$D$26:$D$799,'採算表(VND)'!$B20,'内訳ﾘｽﾄ(4～3月)'!R$26:R$799)</f>
        <v>237696029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3313680</v>
      </c>
      <c r="D25" s="158">
        <f>SUMIF('内訳ﾘｽﾄ(4～3月)'!$D$26:$D$1000,$B25,'内訳ﾘｽﾄ(4～3月)'!G$26:G$1000)</f>
        <v>349218</v>
      </c>
      <c r="E25" s="158">
        <f>SUMIF('内訳ﾘｽﾄ(4～3月)'!$D$26:$D$1000,$B25,'内訳ﾘｽﾄ(4～3月)'!H$26:H$1000)</f>
        <v>2875104</v>
      </c>
      <c r="F25" s="158">
        <f>SUMIF('内訳ﾘｽﾄ(4～3月)'!$D$26:$D$1000,$B25,'内訳ﾘｽﾄ(4～3月)'!I$26:I$1000)</f>
        <v>891456</v>
      </c>
      <c r="G25" s="158">
        <f>SUMIF('内訳ﾘｽﾄ(4～3月)'!$D$26:$D$1000,$B25,'内訳ﾘｽﾄ(4～3月)'!J$26:J$1000)</f>
        <v>2840503</v>
      </c>
      <c r="H25" s="158">
        <f>SUMIF('内訳ﾘｽﾄ(4～3月)'!$D$26:$D$1000,$B25,'内訳ﾘｽﾄ(4～3月)'!K$26:K$1000)</f>
        <v>858218</v>
      </c>
      <c r="I25" s="158">
        <f>SUMIF('内訳ﾘｽﾄ(4～3月)'!$D$26:$D$1000,$B25,'内訳ﾘｽﾄ(4～3月)'!L$26:L$1000)</f>
        <v>2896895</v>
      </c>
      <c r="J25" s="158">
        <f>SUMIF('内訳ﾘｽﾄ(4～3月)'!$D$26:$D$1000,$B25,'内訳ﾘｽﾄ(4～3月)'!M$26:M$1000)</f>
        <v>402933</v>
      </c>
      <c r="K25" s="158">
        <f>SUMIF('内訳ﾘｽﾄ(4～3月)'!$D$26:$D$1000,$B25,'内訳ﾘｽﾄ(4～3月)'!N$26:N$1000)</f>
        <v>3370439</v>
      </c>
      <c r="L25" s="158">
        <f>SUMIF('内訳ﾘｽﾄ(4～3月)'!$D$26:$D$1000,$B25,'内訳ﾘｽﾄ(4～3月)'!O$26:O$1000)</f>
        <v>384047</v>
      </c>
      <c r="M25" s="158">
        <f>SUMIF('内訳ﾘｽﾄ(4～3月)'!$D$26:$D$1000,$B25,'内訳ﾘｽﾄ(4～3月)'!P$26:P$1000)</f>
        <v>2706002</v>
      </c>
      <c r="N25" s="158">
        <f>SUMIF('内訳ﾘｽﾄ(4～3月)'!$D$26:$D$1000,$B25,'内訳ﾘｽﾄ(4～3月)'!Q$26:Q$1000)</f>
        <v>420413</v>
      </c>
      <c r="O25" s="158">
        <f>SUMIF('内訳ﾘｽﾄ(4～3月)'!$D$26:$D$799,'採算表(VND)'!$B25,'内訳ﾘｽﾄ(4～3月)'!R$26:R$799)</f>
        <v>21308908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15048000</v>
      </c>
      <c r="D26" s="158">
        <f>SUMIF('内訳ﾘｽﾄ(4～3月)'!$D$26:$D$1000,$B26,'内訳ﾘｽﾄ(4～3月)'!G$26:G$1000)</f>
        <v>57504000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34825000</v>
      </c>
      <c r="G26" s="158">
        <f>SUMIF('内訳ﾘｽﾄ(4～3月)'!$D$26:$D$1000,$B26,'内訳ﾘｽﾄ(4～3月)'!J$26:J$1000)</f>
        <v>5400000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112777000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8930000</v>
      </c>
      <c r="D28" s="158">
        <f>SUMIF('内訳ﾘｽﾄ(4～3月)'!$D$26:$D$1000,$B28,'内訳ﾘｽﾄ(4～3月)'!G$26:G$1000)</f>
        <v>2750000</v>
      </c>
      <c r="E28" s="158">
        <f>SUMIF('内訳ﾘｽﾄ(4～3月)'!$D$26:$D$1000,$B28,'内訳ﾘｽﾄ(4～3月)'!H$26:H$1000)</f>
        <v>3450000</v>
      </c>
      <c r="F28" s="158">
        <f>SUMIF('内訳ﾘｽﾄ(4～3月)'!$D$26:$D$1000,$B28,'内訳ﾘｽﾄ(4～3月)'!I$26:I$1000)</f>
        <v>27322050</v>
      </c>
      <c r="G28" s="158">
        <f>SUMIF('内訳ﾘｽﾄ(4～3月)'!$D$26:$D$1000,$B28,'内訳ﾘｽﾄ(4～3月)'!J$26:J$1000)</f>
        <v>9490000</v>
      </c>
      <c r="H28" s="158">
        <f>SUMIF('内訳ﾘｽﾄ(4～3月)'!$D$26:$D$1000,$B28,'内訳ﾘｽﾄ(4～3月)'!K$26:K$1000)</f>
        <v>4530000</v>
      </c>
      <c r="I28" s="158">
        <f>SUMIF('内訳ﾘｽﾄ(4～3月)'!$D$26:$D$1000,$B28,'内訳ﾘｽﾄ(4～3月)'!L$26:L$1000)</f>
        <v>9590000</v>
      </c>
      <c r="J28" s="158">
        <f>SUMIF('内訳ﾘｽﾄ(4～3月)'!$D$26:$D$1000,$B28,'内訳ﾘｽﾄ(4～3月)'!M$26:M$1000)</f>
        <v>3450000</v>
      </c>
      <c r="K28" s="158">
        <f>SUMIF('内訳ﾘｽﾄ(4～3月)'!$D$26:$D$1000,$B28,'内訳ﾘｽﾄ(4～3月)'!N$26:N$1000)</f>
        <v>2750000</v>
      </c>
      <c r="L28" s="158">
        <f>SUMIF('内訳ﾘｽﾄ(4～3月)'!$D$26:$D$1000,$B28,'内訳ﾘｽﾄ(4～3月)'!O$26:O$1000)</f>
        <v>8230000</v>
      </c>
      <c r="M28" s="158">
        <f>SUMIF('内訳ﾘｽﾄ(4～3月)'!$D$26:$D$1000,$B28,'内訳ﾘｽﾄ(4～3月)'!P$26:P$1000)</f>
        <v>3450000</v>
      </c>
      <c r="N28" s="158">
        <f>SUMIF('内訳ﾘｽﾄ(4～3月)'!$D$26:$D$1000,$B28,'内訳ﾘｽﾄ(4～3月)'!Q$26:Q$1000)</f>
        <v>4250000</v>
      </c>
      <c r="O28" s="158">
        <f>SUMIF('内訳ﾘｽﾄ(4～3月)'!$D$26:$D$799,'採算表(VND)'!$B28,'内訳ﾘｽﾄ(4～3月)'!R$26:R$799)</f>
        <v>88192050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34980180</v>
      </c>
      <c r="F29" s="158">
        <f>SUMIF('内訳ﾘｽﾄ(4～3月)'!$D$26:$D$1000,$B29,'内訳ﾘｽﾄ(4～3月)'!I$26:I$1000)</f>
        <v>35137172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70117352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2814393</v>
      </c>
      <c r="D30" s="158">
        <f>SUMIF('内訳ﾘｽﾄ(4～3月)'!$D$26:$D$1000,$B30,'内訳ﾘｽﾄ(4～3月)'!G$26:G$1000)</f>
        <v>3304834</v>
      </c>
      <c r="E30" s="158">
        <f>SUMIF('内訳ﾘｽﾄ(4～3月)'!$D$26:$D$1000,$B30,'内訳ﾘｽﾄ(4～3月)'!H$26:H$1000)</f>
        <v>4264755</v>
      </c>
      <c r="F30" s="158">
        <f>SUMIF('内訳ﾘｽﾄ(4～3月)'!$D$26:$D$1000,$B30,'内訳ﾘｽﾄ(4～3月)'!I$26:I$1000)</f>
        <v>5134997</v>
      </c>
      <c r="G30" s="158">
        <f>SUMIF('内訳ﾘｽﾄ(4～3月)'!$D$26:$D$1000,$B30,'内訳ﾘｽﾄ(4～3月)'!J$26:J$1000)</f>
        <v>4989829</v>
      </c>
      <c r="H30" s="158">
        <f>SUMIF('内訳ﾘｽﾄ(4～3月)'!$D$26:$D$1000,$B30,'内訳ﾘｽﾄ(4～3月)'!K$26:K$1000)</f>
        <v>4923391</v>
      </c>
      <c r="I30" s="158">
        <f>SUMIF('内訳ﾘｽﾄ(4～3月)'!$D$26:$D$1000,$B30,'内訳ﾘｽﾄ(4～3月)'!L$26:L$1000)</f>
        <v>4646386</v>
      </c>
      <c r="J30" s="158">
        <f>SUMIF('内訳ﾘｽﾄ(4～3月)'!$D$26:$D$1000,$B30,'内訳ﾘｽﾄ(4～3月)'!M$26:M$1000)</f>
        <v>3909546</v>
      </c>
      <c r="K30" s="158">
        <f>SUMIF('内訳ﾘｽﾄ(4～3月)'!$D$26:$D$1000,$B30,'内訳ﾘｽﾄ(4～3月)'!N$26:N$1000)</f>
        <v>3212848</v>
      </c>
      <c r="L30" s="158">
        <f>SUMIF('内訳ﾘｽﾄ(4～3月)'!$D$26:$D$1000,$B30,'内訳ﾘｽﾄ(4～3月)'!O$26:O$1000)</f>
        <v>2770318</v>
      </c>
      <c r="M30" s="158">
        <f>SUMIF('内訳ﾘｽﾄ(4～3月)'!$D$26:$D$1000,$B30,'内訳ﾘｽﾄ(4～3月)'!P$26:P$1000)</f>
        <v>2145726</v>
      </c>
      <c r="N30" s="158">
        <f>SUMIF('内訳ﾘｽﾄ(4～3月)'!$D$26:$D$1000,$B30,'内訳ﾘｽﾄ(4～3月)'!Q$26:Q$1000)</f>
        <v>2685436</v>
      </c>
      <c r="O30" s="158">
        <f>SUMIF('内訳ﾘｽﾄ(4～3月)'!$D$26:$D$799,'採算表(VND)'!$B30,'内訳ﾘｽﾄ(4～3月)'!R$26:R$799)</f>
        <v>44802459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1500000</v>
      </c>
      <c r="D31" s="158">
        <f>SUMIF('内訳ﾘｽﾄ(4～3月)'!$D$26:$D$1000,$B31,'内訳ﾘｽﾄ(4～3月)'!G$26:G$1000)</f>
        <v>500000</v>
      </c>
      <c r="E31" s="158">
        <f>SUMIF('内訳ﾘｽﾄ(4～3月)'!$D$26:$D$1000,$B31,'内訳ﾘｽﾄ(4～3月)'!H$26:H$1000)</f>
        <v>4760000</v>
      </c>
      <c r="F31" s="158">
        <f>SUMIF('内訳ﾘｽﾄ(4～3月)'!$D$26:$D$1000,$B31,'内訳ﾘｽﾄ(4～3月)'!I$26:I$1000)</f>
        <v>5100000</v>
      </c>
      <c r="G31" s="158">
        <f>SUMIF('内訳ﾘｽﾄ(4～3月)'!$D$26:$D$1000,$B31,'内訳ﾘｽﾄ(4～3月)'!J$26:J$1000)</f>
        <v>13180000</v>
      </c>
      <c r="H31" s="158">
        <f>SUMIF('内訳ﾘｽﾄ(4～3月)'!$D$26:$D$1000,$B31,'内訳ﾘｽﾄ(4～3月)'!K$26:K$1000)</f>
        <v>4500000</v>
      </c>
      <c r="I31" s="158">
        <f>SUMIF('内訳ﾘｽﾄ(4～3月)'!$D$26:$D$1000,$B31,'内訳ﾘｽﾄ(4～3月)'!L$26:L$1000)</f>
        <v>1040000</v>
      </c>
      <c r="J31" s="158">
        <f>SUMIF('内訳ﾘｽﾄ(4～3月)'!$D$26:$D$1000,$B31,'内訳ﾘｽﾄ(4～3月)'!M$26:M$1000)</f>
        <v>2760000</v>
      </c>
      <c r="K31" s="158">
        <f>SUMIF('内訳ﾘｽﾄ(4～3月)'!$D$26:$D$1000,$B31,'内訳ﾘｽﾄ(4～3月)'!N$26:N$1000)</f>
        <v>14500000</v>
      </c>
      <c r="L31" s="158">
        <f>SUMIF('内訳ﾘｽﾄ(4～3月)'!$D$26:$D$1000,$B31,'内訳ﾘｽﾄ(4～3月)'!O$26:O$1000)</f>
        <v>2300000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4600000</v>
      </c>
      <c r="O31" s="158">
        <f>SUMIF('内訳ﾘｽﾄ(4～3月)'!$D$26:$D$799,'採算表(VND)'!$B31,'内訳ﾘｽﾄ(4～3月)'!R$26:R$799)</f>
        <v>54740000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5000000</v>
      </c>
      <c r="D32" s="158">
        <f>SUMIF('内訳ﾘｽﾄ(4～3月)'!$D$26:$D$1000,$B32,'内訳ﾘｽﾄ(4～3月)'!G$26:G$1000)</f>
        <v>5000000</v>
      </c>
      <c r="E32" s="158">
        <f>SUMIF('内訳ﾘｽﾄ(4～3月)'!$D$26:$D$1000,$B32,'内訳ﾘｽﾄ(4～3月)'!H$26:H$1000)</f>
        <v>5000000</v>
      </c>
      <c r="F32" s="158">
        <f>SUMIF('内訳ﾘｽﾄ(4～3月)'!$D$26:$D$1000,$B32,'内訳ﾘｽﾄ(4～3月)'!I$26:I$1000)</f>
        <v>5000000</v>
      </c>
      <c r="G32" s="158">
        <f>SUMIF('内訳ﾘｽﾄ(4～3月)'!$D$26:$D$1000,$B32,'内訳ﾘｽﾄ(4～3月)'!J$26:J$1000)</f>
        <v>5000000</v>
      </c>
      <c r="H32" s="158">
        <f>SUMIF('内訳ﾘｽﾄ(4～3月)'!$D$26:$D$1000,$B32,'内訳ﾘｽﾄ(4～3月)'!K$26:K$1000)</f>
        <v>5000000</v>
      </c>
      <c r="I32" s="158">
        <f>SUMIF('内訳ﾘｽﾄ(4～3月)'!$D$26:$D$1000,$B32,'内訳ﾘｽﾄ(4～3月)'!L$26:L$1000)</f>
        <v>5000000</v>
      </c>
      <c r="J32" s="158">
        <f>SUMIF('内訳ﾘｽﾄ(4～3月)'!$D$26:$D$1000,$B32,'内訳ﾘｽﾄ(4～3月)'!M$26:M$1000)</f>
        <v>5000000</v>
      </c>
      <c r="K32" s="158">
        <f>SUMIF('内訳ﾘｽﾄ(4～3月)'!$D$26:$D$1000,$B32,'内訳ﾘｽﾄ(4～3月)'!N$26:N$1000)</f>
        <v>5000000</v>
      </c>
      <c r="L32" s="158">
        <f>SUMIF('内訳ﾘｽﾄ(4～3月)'!$D$26:$D$1000,$B32,'内訳ﾘｽﾄ(4～3月)'!O$26:O$1000)</f>
        <v>5000000</v>
      </c>
      <c r="M32" s="158">
        <f>SUMIF('内訳ﾘｽﾄ(4～3月)'!$D$26:$D$1000,$B32,'内訳ﾘｽﾄ(4～3月)'!P$26:P$1000)</f>
        <v>5000000</v>
      </c>
      <c r="N32" s="158">
        <f>SUMIF('内訳ﾘｽﾄ(4～3月)'!$D$26:$D$1000,$B32,'内訳ﾘｽﾄ(4～3月)'!Q$26:Q$1000)</f>
        <v>5000000</v>
      </c>
      <c r="O32" s="158">
        <f>SUMIF('内訳ﾘｽﾄ(4～3月)'!$D$26:$D$799,'採算表(VND)'!$B32,'内訳ﾘｽﾄ(4～3月)'!R$26:R$799)</f>
        <v>60000000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1056276</v>
      </c>
      <c r="D39" s="158">
        <f>SUMIF('内訳ﾘｽﾄ(4～3月)'!$D$26:$D$1000,$B39,'内訳ﾘｽﾄ(4～3月)'!G$26:G$1000)</f>
        <v>1084158</v>
      </c>
      <c r="E39" s="158">
        <f>SUMIF('内訳ﾘｽﾄ(4～3月)'!$D$26:$D$1000,$B39,'内訳ﾘｽﾄ(4～3月)'!H$26:H$1000)</f>
        <v>5579936</v>
      </c>
      <c r="F39" s="158">
        <f>SUMIF('内訳ﾘｽﾄ(4～3月)'!$D$26:$D$1000,$B39,'内訳ﾘｽﾄ(4～3月)'!I$26:I$1000)</f>
        <v>1083780</v>
      </c>
      <c r="G39" s="158">
        <f>SUMIF('内訳ﾘｽﾄ(4～3月)'!$D$26:$D$1000,$B39,'内訳ﾘｽﾄ(4～3月)'!J$26:J$1000)</f>
        <v>1061131</v>
      </c>
      <c r="H39" s="158">
        <f>SUMIF('内訳ﾘｽﾄ(4～3月)'!$D$26:$D$1000,$B39,'内訳ﾘｽﾄ(4～3月)'!K$26:K$1000)</f>
        <v>3856786</v>
      </c>
      <c r="I39" s="158">
        <f>SUMIF('内訳ﾘｽﾄ(4～3月)'!$D$26:$D$1000,$B39,'内訳ﾘｽﾄ(4～3月)'!L$26:L$1000)</f>
        <v>1150792</v>
      </c>
      <c r="J39" s="158">
        <f>SUMIF('内訳ﾘｽﾄ(4～3月)'!$D$26:$D$1000,$B39,'内訳ﾘｽﾄ(4～3月)'!M$26:M$1000)</f>
        <v>1117903</v>
      </c>
      <c r="K39" s="158">
        <f>SUMIF('内訳ﾘｽﾄ(4～3月)'!$D$26:$D$1000,$B39,'内訳ﾘｽﾄ(4～3月)'!N$26:N$1000)</f>
        <v>1105097</v>
      </c>
      <c r="L39" s="158">
        <f>SUMIF('内訳ﾘｽﾄ(4～3月)'!$D$26:$D$1000,$B39,'内訳ﾘｽﾄ(4～3月)'!O$26:O$1000)</f>
        <v>1049598</v>
      </c>
      <c r="M39" s="158">
        <f>SUMIF('内訳ﾘｽﾄ(4～3月)'!$D$26:$D$1000,$B39,'内訳ﾘｽﾄ(4～3月)'!P$26:P$1000)</f>
        <v>874000</v>
      </c>
      <c r="N39" s="158">
        <f>SUMIF('内訳ﾘｽﾄ(4～3月)'!$D$26:$D$1000,$B39,'内訳ﾘｽﾄ(4～3月)'!Q$26:Q$1000)</f>
        <v>1102418</v>
      </c>
      <c r="O39" s="158">
        <f>SUMIF('内訳ﾘｽﾄ(4～3月)'!$D$26:$D$799,'採算表(VND)'!$B39,'内訳ﾘｽﾄ(4～3月)'!R$26:R$799)</f>
        <v>20121875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619799</v>
      </c>
      <c r="D41" s="158">
        <f>SUMIF('内訳ﾘｽﾄ(4～3月)'!$D$26:$D$1000,$B41,'内訳ﾘｽﾄ(4～3月)'!G$26:G$1000)</f>
        <v>619799</v>
      </c>
      <c r="E41" s="158">
        <f>SUMIF('内訳ﾘｽﾄ(4～3月)'!$D$26:$D$1000,$B41,'内訳ﾘｽﾄ(4～3月)'!H$26:H$1000)</f>
        <v>999799</v>
      </c>
      <c r="F41" s="158">
        <f>SUMIF('内訳ﾘｽﾄ(4～3月)'!$D$26:$D$1000,$B41,'内訳ﾘｽﾄ(4～3月)'!I$26:I$1000)</f>
        <v>619799</v>
      </c>
      <c r="G41" s="158">
        <f>SUMIF('内訳ﾘｽﾄ(4～3月)'!$D$26:$D$1000,$B41,'内訳ﾘｽﾄ(4～3月)'!J$26:J$1000)</f>
        <v>619799</v>
      </c>
      <c r="H41" s="158">
        <f>SUMIF('内訳ﾘｽﾄ(4～3月)'!$D$26:$D$1000,$B41,'内訳ﾘｽﾄ(4～3月)'!K$26:K$1000)</f>
        <v>619799</v>
      </c>
      <c r="I41" s="158">
        <f>SUMIF('内訳ﾘｽﾄ(4～3月)'!$D$26:$D$1000,$B41,'内訳ﾘｽﾄ(4～3月)'!L$26:L$1000)</f>
        <v>619799</v>
      </c>
      <c r="J41" s="158">
        <f>SUMIF('内訳ﾘｽﾄ(4～3月)'!$D$26:$D$1000,$B41,'内訳ﾘｽﾄ(4～3月)'!M$26:M$1000)</f>
        <v>619799</v>
      </c>
      <c r="K41" s="158">
        <f>SUMIF('内訳ﾘｽﾄ(4～3月)'!$D$26:$D$1000,$B41,'内訳ﾘｽﾄ(4～3月)'!N$26:N$1000)</f>
        <v>619799</v>
      </c>
      <c r="L41" s="158">
        <f>SUMIF('内訳ﾘｽﾄ(4～3月)'!$D$26:$D$1000,$B41,'内訳ﾘｽﾄ(4～3月)'!O$26:O$1000)</f>
        <v>619799</v>
      </c>
      <c r="M41" s="158">
        <f>SUMIF('内訳ﾘｽﾄ(4～3月)'!$D$26:$D$1000,$B41,'内訳ﾘｽﾄ(4～3月)'!P$26:P$1000)</f>
        <v>619799</v>
      </c>
      <c r="N41" s="158">
        <f>SUMIF('内訳ﾘｽﾄ(4～3月)'!$D$26:$D$1000,$B41,'内訳ﾘｽﾄ(4～3月)'!Q$26:Q$1000)</f>
        <v>619799</v>
      </c>
      <c r="O41" s="158">
        <f>SUMIF('内訳ﾘｽﾄ(4～3月)'!$D$26:$D$799,'採算表(VND)'!$B41,'内訳ﾘｽﾄ(4～3月)'!R$26:R$799)</f>
        <v>7817588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6814436</v>
      </c>
      <c r="D42" s="158">
        <f>SUMIF('内訳ﾘｽﾄ(4～3月)'!$D$26:$D$1000,$B42,'内訳ﾘｽﾄ(4～3月)'!G$26:G$1000)</f>
        <v>6814436</v>
      </c>
      <c r="E42" s="158">
        <f>SUMIF('内訳ﾘｽﾄ(4～3月)'!$D$26:$D$1000,$B42,'内訳ﾘｽﾄ(4～3月)'!H$26:H$1000)</f>
        <v>7556936</v>
      </c>
      <c r="F42" s="158">
        <f>SUMIF('内訳ﾘｽﾄ(4～3月)'!$D$26:$D$1000,$B42,'内訳ﾘｽﾄ(4～3月)'!I$26:I$1000)</f>
        <v>10674592</v>
      </c>
      <c r="G42" s="158">
        <f>SUMIF('内訳ﾘｽﾄ(4～3月)'!$D$26:$D$1000,$B42,'内訳ﾘｽﾄ(4～3月)'!J$26:J$1000)</f>
        <v>10934448</v>
      </c>
      <c r="H42" s="158">
        <f>SUMIF('内訳ﾘｽﾄ(4～3月)'!$D$26:$D$1000,$B42,'内訳ﾘｽﾄ(4～3月)'!K$26:K$1000)</f>
        <v>10934448</v>
      </c>
      <c r="I42" s="158">
        <f>SUMIF('内訳ﾘｽﾄ(4～3月)'!$D$26:$D$1000,$B42,'内訳ﾘｽﾄ(4～3月)'!L$26:L$1000)</f>
        <v>11676948</v>
      </c>
      <c r="J42" s="158">
        <f>SUMIF('内訳ﾘｽﾄ(4～3月)'!$D$26:$D$1000,$B42,'内訳ﾘｽﾄ(4～3月)'!M$26:M$1000)</f>
        <v>10948888</v>
      </c>
      <c r="K42" s="158">
        <f>SUMIF('内訳ﾘｽﾄ(4～3月)'!$D$26:$D$1000,$B42,'内訳ﾘｽﾄ(4～3月)'!N$26:N$1000)</f>
        <v>10934448</v>
      </c>
      <c r="L42" s="158">
        <f>SUMIF('内訳ﾘｽﾄ(4～3月)'!$D$26:$D$1000,$B42,'内訳ﾘｽﾄ(4～3月)'!O$26:O$1000)</f>
        <v>10934448</v>
      </c>
      <c r="M42" s="158">
        <f>SUMIF('内訳ﾘｽﾄ(4～3月)'!$D$26:$D$1000,$B42,'内訳ﾘｽﾄ(4～3月)'!P$26:P$1000)</f>
        <v>27034448</v>
      </c>
      <c r="N42" s="158">
        <f>SUMIF('内訳ﾘｽﾄ(4～3月)'!$D$26:$D$1000,$B42,'内訳ﾘｽﾄ(4～3月)'!Q$26:Q$1000)</f>
        <v>10934448</v>
      </c>
      <c r="O42" s="158">
        <f>SUMIF('内訳ﾘｽﾄ(4～3月)'!$D$26:$D$799,'採算表(VND)'!$B42,'内訳ﾘｽﾄ(4～3月)'!R$26:R$799)</f>
        <v>136192924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9211837</v>
      </c>
      <c r="D44" s="158">
        <f>SUMIF('内訳ﾘｽﾄ(4～3月)'!$D$26:$D$1000,$B44,'内訳ﾘｽﾄ(4～3月)'!G$26:G$1000)</f>
        <v>50383757</v>
      </c>
      <c r="E44" s="158">
        <f>SUMIF('内訳ﾘｽﾄ(4～3月)'!$D$26:$D$1000,$B44,'内訳ﾘｽﾄ(4～3月)'!H$26:H$1000)</f>
        <v>8906875</v>
      </c>
      <c r="F44" s="158">
        <f>SUMIF('内訳ﾘｽﾄ(4～3月)'!$D$26:$D$1000,$B44,'内訳ﾘｽﾄ(4～3月)'!I$26:I$1000)</f>
        <v>10884681</v>
      </c>
      <c r="G44" s="158">
        <f>SUMIF('内訳ﾘｽﾄ(4～3月)'!$D$26:$D$1000,$B44,'内訳ﾘｽﾄ(4～3月)'!J$26:J$1000)</f>
        <v>8816119</v>
      </c>
      <c r="H44" s="158">
        <f>SUMIF('内訳ﾘｽﾄ(4～3月)'!$D$26:$D$1000,$B44,'内訳ﾘｽﾄ(4～3月)'!K$26:K$1000)</f>
        <v>12422714</v>
      </c>
      <c r="I44" s="158">
        <f>SUMIF('内訳ﾘｽﾄ(4～3月)'!$D$26:$D$1000,$B44,'内訳ﾘｽﾄ(4～3月)'!L$26:L$1000)</f>
        <v>11767716</v>
      </c>
      <c r="J44" s="158">
        <f>SUMIF('内訳ﾘｽﾄ(4～3月)'!$D$26:$D$1000,$B44,'内訳ﾘｽﾄ(4～3月)'!M$26:M$1000)</f>
        <v>11125572</v>
      </c>
      <c r="K44" s="158">
        <f>SUMIF('内訳ﾘｽﾄ(4～3月)'!$D$26:$D$1000,$B44,'内訳ﾘｽﾄ(4～3月)'!N$26:N$1000)</f>
        <v>11386980</v>
      </c>
      <c r="L44" s="158">
        <f>SUMIF('内訳ﾘｽﾄ(4～3月)'!$D$26:$D$1000,$B44,'内訳ﾘｽﾄ(4～3月)'!O$26:O$1000)</f>
        <v>8726975</v>
      </c>
      <c r="M44" s="158">
        <f>SUMIF('内訳ﾘｽﾄ(4～3月)'!$D$26:$D$1000,$B44,'内訳ﾘｽﾄ(4～3月)'!P$26:P$1000)</f>
        <v>14540910</v>
      </c>
      <c r="N44" s="158">
        <f>SUMIF('内訳ﾘｽﾄ(4～3月)'!$D$26:$D$1000,$B44,'内訳ﾘｽﾄ(4～3月)'!Q$26:Q$1000)</f>
        <v>6851275</v>
      </c>
      <c r="O44" s="158">
        <f>SUMIF('内訳ﾘｽﾄ(4～3月)'!$D$26:$D$799,'採算表(VND)'!$B44,'内訳ﾘｽﾄ(4～3月)'!R$26:R$799)</f>
        <v>165025411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7000000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1850000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1850000</v>
      </c>
      <c r="I45" s="158">
        <f>SUMIF('内訳ﾘｽﾄ(4～3月)'!$D$26:$D$1000,$B45,'内訳ﾘｽﾄ(4～3月)'!L$26:L$1000)</f>
        <v>650000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1850000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650000</v>
      </c>
      <c r="O45" s="158">
        <f>SUMIF('内訳ﾘｽﾄ(4～3月)'!$D$26:$D$799,'採算表(VND)'!$B45,'内訳ﾘｽﾄ(4～3月)'!R$26:R$799)</f>
        <v>13850000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6045680</v>
      </c>
      <c r="D57" s="160">
        <f>SUMIF('内訳ﾘｽﾄ(4～3月)'!$D$26:$D$1000,$B57,'内訳ﾘｽﾄ(4～3月)'!G$26:G$1000)</f>
        <v>5690207</v>
      </c>
      <c r="E57" s="160">
        <f>SUMIF('内訳ﾘｽﾄ(4～3月)'!$D$26:$D$1000,$B57,'内訳ﾘｽﾄ(4～3月)'!H$26:H$1000)</f>
        <v>6171002</v>
      </c>
      <c r="F57" s="160">
        <f>SUMIF('内訳ﾘｽﾄ(4～3月)'!$D$26:$D$1000,$B57,'内訳ﾘｽﾄ(4～3月)'!I$26:I$1000)</f>
        <v>6590056</v>
      </c>
      <c r="G57" s="160">
        <f>SUMIF('内訳ﾘｽﾄ(4～3月)'!$D$26:$D$1000,$B57,'内訳ﾘｽﾄ(4～3月)'!J$26:J$1000)</f>
        <v>6470777</v>
      </c>
      <c r="H57" s="160">
        <f>SUMIF('内訳ﾘｽﾄ(4～3月)'!$D$26:$D$1000,$B57,'内訳ﾘｽﾄ(4～3月)'!K$26:K$1000)</f>
        <v>6518857</v>
      </c>
      <c r="I57" s="160">
        <f>SUMIF('内訳ﾘｽﾄ(4～3月)'!$D$26:$D$1000,$B57,'内訳ﾘｽﾄ(4～3月)'!L$26:L$1000)</f>
        <v>6600828</v>
      </c>
      <c r="J57" s="160">
        <f>SUMIF('内訳ﾘｽﾄ(4～3月)'!$D$26:$D$1000,$B57,'内訳ﾘｽﾄ(4～3月)'!M$26:M$1000)</f>
        <v>6566148</v>
      </c>
      <c r="K57" s="160">
        <f>SUMIF('内訳ﾘｽﾄ(4～3月)'!$D$26:$D$1000,$B57,'内訳ﾘｽﾄ(4～3月)'!N$26:N$1000)</f>
        <v>6543816</v>
      </c>
      <c r="L57" s="160">
        <f>SUMIF('内訳ﾘｽﾄ(4～3月)'!$D$26:$D$1000,$B57,'内訳ﾘｽﾄ(4～3月)'!O$26:O$1000)</f>
        <v>6439249</v>
      </c>
      <c r="M57" s="160">
        <f>SUMIF('内訳ﾘｽﾄ(4～3月)'!$D$26:$D$1000,$B57,'内訳ﾘｽﾄ(4～3月)'!P$26:P$1000)</f>
        <v>6234583</v>
      </c>
      <c r="N57" s="160">
        <f>SUMIF('内訳ﾘｽﾄ(4～3月)'!$D$26:$D$1000,$B57,'内訳ﾘｽﾄ(4～3月)'!Q$26:Q$1000)</f>
        <v>6505983</v>
      </c>
      <c r="O57" s="160">
        <f>SUMIF('内訳ﾘｽﾄ(4～3月)'!$D$26:$D$799,'採算表(VND)'!$B57,'内訳ﾘｽﾄ(4～3月)'!R$26:R$799)</f>
        <v>76377186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-79917586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-150607309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-107453710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-164238895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-89592168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-76878653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-76631228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-66835903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-82176750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-67194865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-83027471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-64464244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-1109018782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2941</v>
      </c>
      <c r="D68" s="162">
        <f>SUMIF('内訳ﾘｽﾄ(4～3月)'!$D$8:$D$15,'採算表(VND)'!$B68,'内訳ﾘｽﾄ(4～3月)'!G$8:G$15)</f>
        <v>2754</v>
      </c>
      <c r="E68" s="162">
        <f>SUMIF('内訳ﾘｽﾄ(4～3月)'!$D$8:$D$15,'採算表(VND)'!$B68,'内訳ﾘｽﾄ(4～3月)'!H$8:H$15)</f>
        <v>3247</v>
      </c>
      <c r="F68" s="162">
        <f>SUMIF('内訳ﾘｽﾄ(4～3月)'!$D$8:$D$15,'採算表(VND)'!$B68,'内訳ﾘｽﾄ(4～3月)'!I$8:I$15)</f>
        <v>3408.5</v>
      </c>
      <c r="G68" s="162">
        <f>SUMIF('内訳ﾘｽﾄ(4～3月)'!$D$8:$D$15,'採算表(VND)'!$B68,'内訳ﾘｽﾄ(4～3月)'!J$8:J$15)</f>
        <v>2796.5</v>
      </c>
      <c r="H68" s="162">
        <f>SUMIF('内訳ﾘｽﾄ(4～3月)'!$D$8:$D$15,'採算表(VND)'!$B68,'内訳ﾘｽﾄ(4～3月)'!K$8:K$15)</f>
        <v>2949.5</v>
      </c>
      <c r="I68" s="162">
        <f>SUMIF('内訳ﾘｽﾄ(4～3月)'!$D$8:$D$15,'採算表(VND)'!$B68,'内訳ﾘｽﾄ(4～3月)'!L$8:L$15)</f>
        <v>3255.5</v>
      </c>
      <c r="J68" s="162">
        <f>SUMIF('内訳ﾘｽﾄ(4～3月)'!$D$8:$D$15,'採算表(VND)'!$B68,'内訳ﾘｽﾄ(4～3月)'!M$8:M$15)</f>
        <v>3094</v>
      </c>
      <c r="K68" s="162">
        <f>SUMIF('内訳ﾘｽﾄ(4～3月)'!$D$8:$D$15,'採算表(VND)'!$B68,'内訳ﾘｽﾄ(4～3月)'!N$8:N$15)</f>
        <v>3247</v>
      </c>
      <c r="L68" s="162">
        <f>SUMIF('内訳ﾘｽﾄ(4～3月)'!$D$8:$D$15,'採算表(VND)'!$B68,'内訳ﾘｽﾄ(4～3月)'!O$8:O$15)</f>
        <v>2949.5</v>
      </c>
      <c r="M68" s="162">
        <f>SUMIF('内訳ﾘｽﾄ(4～3月)'!$D$8:$D$15,'採算表(VND)'!$B68,'内訳ﾘｽﾄ(4～3月)'!P$8:P$15)</f>
        <v>1725.5</v>
      </c>
      <c r="N68" s="162">
        <f>SUMIF('内訳ﾘｽﾄ(4～3月)'!$D$8:$D$15,'採算表(VND)'!$B68,'内訳ﾘｽﾄ(4～3月)'!Q$8:Q$15)</f>
        <v>3255.5</v>
      </c>
      <c r="O68" s="162">
        <f>SUMIF('内訳ﾘｽﾄ(4～3月)'!$D$8:$D$15,'採算表(VND)'!$B68,'内訳ﾘｽﾄ(4～3月)'!$R$8:$R$15)</f>
        <v>35623.5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-2941</v>
      </c>
      <c r="D70" s="164">
        <f>IF('内訳ﾘｽﾄ(4～3月)'!$D$5="製造",SUMIF('内訳ﾘｽﾄ(4～3月)'!$D$8:$D$15,$B70,'内訳ﾘｽﾄ(4～3月)'!G$8:G$15),IF('内訳ﾘｽﾄ(4～3月)'!$D$5="部外間接1",-D$68,0))</f>
        <v>-2754</v>
      </c>
      <c r="E70" s="164">
        <f>IF('内訳ﾘｽﾄ(4～3月)'!$D$5="製造",SUMIF('内訳ﾘｽﾄ(4～3月)'!$D$8:$D$15,$B70,'内訳ﾘｽﾄ(4～3月)'!H$8:H$15),IF('内訳ﾘｽﾄ(4～3月)'!$D$5="部外間接1",-E$68,0))</f>
        <v>-3247</v>
      </c>
      <c r="F70" s="164">
        <f>IF('内訳ﾘｽﾄ(4～3月)'!$D$5="製造",SUMIF('内訳ﾘｽﾄ(4～3月)'!$D$8:$D$15,$B70,'内訳ﾘｽﾄ(4～3月)'!I$8:I$15),IF('内訳ﾘｽﾄ(4～3月)'!$D$5="部外間接1",-F$68,0))</f>
        <v>-3408.5</v>
      </c>
      <c r="G70" s="164">
        <f>IF('内訳ﾘｽﾄ(4～3月)'!$D$5="製造",SUMIF('内訳ﾘｽﾄ(4～3月)'!$D$8:$D$15,$B70,'内訳ﾘｽﾄ(4～3月)'!J$8:J$15),IF('内訳ﾘｽﾄ(4～3月)'!$D$5="部外間接1",-G$68,0))</f>
        <v>-2796.5</v>
      </c>
      <c r="H70" s="164">
        <f>IF('内訳ﾘｽﾄ(4～3月)'!$D$5="製造",SUMIF('内訳ﾘｽﾄ(4～3月)'!$D$8:$D$15,$B70,'内訳ﾘｽﾄ(4～3月)'!K$8:K$15),IF('内訳ﾘｽﾄ(4～3月)'!$D$5="部外間接1",-H$68,0))</f>
        <v>-2949.5</v>
      </c>
      <c r="I70" s="164">
        <f>IF('内訳ﾘｽﾄ(4～3月)'!$D$5="製造",SUMIF('内訳ﾘｽﾄ(4～3月)'!$D$8:$D$15,$B70,'内訳ﾘｽﾄ(4～3月)'!L$8:L$15),IF('内訳ﾘｽﾄ(4～3月)'!$D$5="部外間接1",-I$68,0))</f>
        <v>-3255.5</v>
      </c>
      <c r="J70" s="164">
        <f>IF('内訳ﾘｽﾄ(4～3月)'!$D$5="製造",SUMIF('内訳ﾘｽﾄ(4～3月)'!$D$8:$D$15,$B70,'内訳ﾘｽﾄ(4～3月)'!M$8:M$15),IF('内訳ﾘｽﾄ(4～3月)'!$D$5="部外間接1",-J$68,0))</f>
        <v>-3094</v>
      </c>
      <c r="K70" s="164">
        <f>IF('内訳ﾘｽﾄ(4～3月)'!$D$5="製造",SUMIF('内訳ﾘｽﾄ(4～3月)'!$D$8:$D$15,$B70,'内訳ﾘｽﾄ(4～3月)'!N$8:N$15),IF('内訳ﾘｽﾄ(4～3月)'!$D$5="部外間接1",-K$68,0))</f>
        <v>-3247</v>
      </c>
      <c r="L70" s="164">
        <f>IF('内訳ﾘｽﾄ(4～3月)'!$D$5="製造",SUMIF('内訳ﾘｽﾄ(4～3月)'!$D$8:$D$15,$B70,'内訳ﾘｽﾄ(4～3月)'!O$8:O$15),IF('内訳ﾘｽﾄ(4～3月)'!$D$5="部外間接1",-L$68,0))</f>
        <v>-2949.5</v>
      </c>
      <c r="M70" s="164">
        <f>IF('内訳ﾘｽﾄ(4～3月)'!$D$5="製造",SUMIF('内訳ﾘｽﾄ(4～3月)'!$D$8:$D$15,$B70,'内訳ﾘｽﾄ(4～3月)'!P$8:P$15),IF('内訳ﾘｽﾄ(4～3月)'!$D$5="部外間接1",-M$68,0))</f>
        <v>-1725.5</v>
      </c>
      <c r="N70" s="164">
        <f>IF('内訳ﾘｽﾄ(4～3月)'!$D$5="製造",SUMIF('内訳ﾘｽﾄ(4～3月)'!$D$8:$D$15,$B70,'内訳ﾘｽﾄ(4～3月)'!Q$8:Q$15),IF('内訳ﾘｽﾄ(4～3月)'!$D$5="部外間接1",-N$68,0))</f>
        <v>-3255.5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-35623.5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222</v>
      </c>
      <c r="D74" s="162">
        <f>SUMIF('内訳ﾘｽﾄ(4～3月)'!$D$16:$D$23,'採算表(VND)'!$B74,'内訳ﾘｽﾄ(4～3月)'!G$16:G$23)</f>
        <v>205</v>
      </c>
      <c r="E74" s="162">
        <f>SUMIF('内訳ﾘｽﾄ(4～3月)'!$D$16:$D$23,'採算表(VND)'!$B74,'内訳ﾘｽﾄ(4～3月)'!H$16:H$23)</f>
        <v>238</v>
      </c>
      <c r="F74" s="162">
        <f>SUMIF('内訳ﾘｽﾄ(4～3月)'!$D$16:$D$23,'採算表(VND)'!$B74,'内訳ﾘｽﾄ(4～3月)'!I$16:I$23)</f>
        <v>252</v>
      </c>
      <c r="G74" s="162">
        <f>SUMIF('内訳ﾘｽﾄ(4～3月)'!$D$16:$D$23,'採算表(VND)'!$B74,'内訳ﾘｽﾄ(4～3月)'!J$16:J$23)</f>
        <v>227</v>
      </c>
      <c r="H74" s="162">
        <f>SUMIF('内訳ﾘｽﾄ(4～3月)'!$D$16:$D$23,'採算表(VND)'!$B74,'内訳ﾘｽﾄ(4～3月)'!K$16:K$23)</f>
        <v>220</v>
      </c>
      <c r="I74" s="162">
        <f>SUMIF('内訳ﾘｽﾄ(4～3月)'!$D$16:$D$23,'採算表(VND)'!$B74,'内訳ﾘｽﾄ(4～3月)'!L$16:L$23)</f>
        <v>242</v>
      </c>
      <c r="J74" s="162">
        <f>SUMIF('内訳ﾘｽﾄ(4～3月)'!$D$16:$D$23,'採算表(VND)'!$B74,'内訳ﾘｽﾄ(4～3月)'!M$16:M$23)</f>
        <v>230</v>
      </c>
      <c r="K74" s="162">
        <f>SUMIF('内訳ﾘｽﾄ(4～3月)'!$D$16:$D$23,'採算表(VND)'!$B74,'内訳ﾘｽﾄ(4～3月)'!N$16:N$23)</f>
        <v>240</v>
      </c>
      <c r="L74" s="162">
        <f>SUMIF('内訳ﾘｽﾄ(4～3月)'!$D$16:$D$23,'採算表(VND)'!$B74,'内訳ﾘｽﾄ(4～3月)'!O$16:O$23)</f>
        <v>226</v>
      </c>
      <c r="M74" s="162">
        <f>SUMIF('内訳ﾘｽﾄ(4～3月)'!$D$16:$D$23,'採算表(VND)'!$B74,'内訳ﾘｽﾄ(4～3月)'!P$16:P$23)</f>
        <v>147</v>
      </c>
      <c r="N74" s="162">
        <f>SUMIF('内訳ﾘｽﾄ(4～3月)'!$D$16:$D$23,'採算表(VND)'!$B74,'内訳ﾘｽﾄ(4～3月)'!Q$16:Q$23)</f>
        <v>243</v>
      </c>
      <c r="O74" s="162">
        <f>SUMIF('内訳ﾘｽﾄ(4～3月)'!$D$16:$D$23,'採算表(VND)'!$B74,'内訳ﾘｽﾄ(4～3月)'!$R$16:$R$23)</f>
        <v>2692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-222</v>
      </c>
      <c r="D76" s="164">
        <f>IF('内訳ﾘｽﾄ(4～3月)'!$D$5="製造",SUMIF('内訳ﾘｽﾄ(4～3月)'!$D$16:$D$23,$B76,'内訳ﾘｽﾄ(4～3月)'!G$16:G$23),IF('内訳ﾘｽﾄ(4～3月)'!$D$5="部外間接1",-D$74,0))</f>
        <v>-205</v>
      </c>
      <c r="E76" s="164">
        <f>IF('内訳ﾘｽﾄ(4～3月)'!$D$5="製造",SUMIF('内訳ﾘｽﾄ(4～3月)'!$D$16:$D$23,$B76,'内訳ﾘｽﾄ(4～3月)'!H$16:H$23),IF('内訳ﾘｽﾄ(4～3月)'!$D$5="部外間接1",-E$74,0))</f>
        <v>-238</v>
      </c>
      <c r="F76" s="164">
        <f>IF('内訳ﾘｽﾄ(4～3月)'!$D$5="製造",SUMIF('内訳ﾘｽﾄ(4～3月)'!$D$16:$D$23,$B76,'内訳ﾘｽﾄ(4～3月)'!I$16:I$23),IF('内訳ﾘｽﾄ(4～3月)'!$D$5="部外間接1",-F$74,0))</f>
        <v>-252</v>
      </c>
      <c r="G76" s="164">
        <f>IF('内訳ﾘｽﾄ(4～3月)'!$D$5="製造",SUMIF('内訳ﾘｽﾄ(4～3月)'!$D$16:$D$23,$B76,'内訳ﾘｽﾄ(4～3月)'!J$16:J$23),IF('内訳ﾘｽﾄ(4～3月)'!$D$5="部外間接1",-G$74,0))</f>
        <v>-227</v>
      </c>
      <c r="H76" s="164">
        <f>IF('内訳ﾘｽﾄ(4～3月)'!$D$5="製造",SUMIF('内訳ﾘｽﾄ(4～3月)'!$D$16:$D$23,$B76,'内訳ﾘｽﾄ(4～3月)'!K$16:K$23),IF('内訳ﾘｽﾄ(4～3月)'!$D$5="部外間接1",-H$74,0))</f>
        <v>-220</v>
      </c>
      <c r="I76" s="164">
        <f>IF('内訳ﾘｽﾄ(4～3月)'!$D$5="製造",SUMIF('内訳ﾘｽﾄ(4～3月)'!$D$16:$D$23,$B76,'内訳ﾘｽﾄ(4～3月)'!L$16:L$23),IF('内訳ﾘｽﾄ(4～3月)'!$D$5="部外間接1",-I$74,0))</f>
        <v>-242</v>
      </c>
      <c r="J76" s="164">
        <f>IF('内訳ﾘｽﾄ(4～3月)'!$D$5="製造",SUMIF('内訳ﾘｽﾄ(4～3月)'!$D$16:$D$23,$B76,'内訳ﾘｽﾄ(4～3月)'!M$16:M$23),IF('内訳ﾘｽﾄ(4～3月)'!$D$5="部外間接1",-J$74,0))</f>
        <v>-230</v>
      </c>
      <c r="K76" s="164">
        <f>IF('内訳ﾘｽﾄ(4～3月)'!$D$5="製造",SUMIF('内訳ﾘｽﾄ(4～3月)'!$D$16:$D$23,$B76,'内訳ﾘｽﾄ(4～3月)'!N$16:N$23),IF('内訳ﾘｽﾄ(4～3月)'!$D$5="部外間接1",-K$74,0))</f>
        <v>-240</v>
      </c>
      <c r="L76" s="164">
        <f>IF('内訳ﾘｽﾄ(4～3月)'!$D$5="製造",SUMIF('内訳ﾘｽﾄ(4～3月)'!$D$16:$D$23,$B76,'内訳ﾘｽﾄ(4～3月)'!O$16:O$23),IF('内訳ﾘｽﾄ(4～3月)'!$D$5="部外間接1",-L$74,0))</f>
        <v>-226</v>
      </c>
      <c r="M76" s="164">
        <f>IF('内訳ﾘｽﾄ(4～3月)'!$D$5="製造",SUMIF('内訳ﾘｽﾄ(4～3月)'!$D$16:$D$23,$B76,'内訳ﾘｽﾄ(4～3月)'!P$16:P$23),IF('内訳ﾘｽﾄ(4～3月)'!$D$5="部外間接1",-M$74,0))</f>
        <v>-147</v>
      </c>
      <c r="N76" s="164">
        <f>IF('内訳ﾘｽﾄ(4～3月)'!$D$5="製造",SUMIF('内訳ﾘｽﾄ(4～3月)'!$D$16:$D$23,$B76,'内訳ﾘｽﾄ(4～3月)'!Q$16:Q$23),IF('内訳ﾘｽﾄ(4～3月)'!$D$5="部外間接1",-N$74,0))</f>
        <v>-243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-2692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17</v>
      </c>
      <c r="D88" s="150">
        <f>SUMIF('内訳ﾘｽﾄ(4～3月)'!$D$24:$D$25,'採算表(VND)'!$B88,'内訳ﾘｽﾄ(4～3月)'!G$24:G$25)</f>
        <v>17</v>
      </c>
      <c r="E88" s="150">
        <f>SUMIF('内訳ﾘｽﾄ(4～3月)'!$D$24:$D$25,'採算表(VND)'!$B88,'内訳ﾘｽﾄ(4～3月)'!H$24:H$25)</f>
        <v>17</v>
      </c>
      <c r="F88" s="150">
        <f>SUMIF('内訳ﾘｽﾄ(4～3月)'!$D$24:$D$25,'採算表(VND)'!$B88,'内訳ﾘｽﾄ(4～3月)'!I$24:I$25)</f>
        <v>18</v>
      </c>
      <c r="G88" s="150">
        <f>SUMIF('内訳ﾘｽﾄ(4～3月)'!$D$24:$D$25,'採算表(VND)'!$B88,'内訳ﾘｽﾄ(4～3月)'!J$24:J$25)</f>
        <v>18</v>
      </c>
      <c r="H88" s="150">
        <f>SUMIF('内訳ﾘｽﾄ(4～3月)'!$D$24:$D$25,'採算表(VND)'!$B88,'内訳ﾘｽﾄ(4～3月)'!K$24:K$25)</f>
        <v>18</v>
      </c>
      <c r="I88" s="150">
        <f>SUMIF('内訳ﾘｽﾄ(4～3月)'!$D$24:$D$25,'採算表(VND)'!$B88,'内訳ﾘｽﾄ(4～3月)'!L$24:L$25)</f>
        <v>18</v>
      </c>
      <c r="J88" s="150">
        <f>SUMIF('内訳ﾘｽﾄ(4～3月)'!$D$24:$D$25,'採算表(VND)'!$B88,'内訳ﾘｽﾄ(4～3月)'!M$24:M$25)</f>
        <v>18</v>
      </c>
      <c r="K88" s="150">
        <f>SUMIF('内訳ﾘｽﾄ(4～3月)'!$D$24:$D$25,'採算表(VND)'!$B88,'内訳ﾘｽﾄ(4～3月)'!N$24:N$25)</f>
        <v>18</v>
      </c>
      <c r="L88" s="150">
        <f>SUMIF('内訳ﾘｽﾄ(4～3月)'!$D$24:$D$25,'採算表(VND)'!$B88,'内訳ﾘｽﾄ(4～3月)'!O$24:O$25)</f>
        <v>18</v>
      </c>
      <c r="M88" s="150">
        <f>SUMIF('内訳ﾘｽﾄ(4～3月)'!$D$24:$D$25,'採算表(VND)'!$B88,'内訳ﾘｽﾄ(4～3月)'!P$24:P$25)</f>
        <v>18</v>
      </c>
      <c r="N88" s="150">
        <f>SUMIF('内訳ﾘｽﾄ(4～3月)'!$D$24:$D$25,'採算表(VND)'!$B88,'内訳ﾘｽﾄ(4～3月)'!Q$24:Q$25)</f>
        <v>18</v>
      </c>
      <c r="O88" s="150">
        <f>SUMIF('内訳ﾘｽﾄ(4～3月)'!$D$24:$D$25,'採算表(VND)'!$B88,'内訳ﾘｽﾄ(4～3月)'!R$24:R$25)</f>
        <v>18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18</v>
      </c>
      <c r="D89" s="151">
        <f t="shared" si="10"/>
        <v>18</v>
      </c>
      <c r="E89" s="151">
        <f t="shared" si="10"/>
        <v>18</v>
      </c>
      <c r="F89" s="151">
        <f t="shared" si="10"/>
        <v>19</v>
      </c>
      <c r="G89" s="151">
        <f t="shared" si="10"/>
        <v>19</v>
      </c>
      <c r="H89" s="151">
        <f t="shared" si="10"/>
        <v>19</v>
      </c>
      <c r="I89" s="151">
        <f t="shared" si="10"/>
        <v>19</v>
      </c>
      <c r="J89" s="151">
        <f t="shared" si="10"/>
        <v>19</v>
      </c>
      <c r="K89" s="151">
        <f t="shared" si="10"/>
        <v>19</v>
      </c>
      <c r="L89" s="151">
        <f t="shared" si="10"/>
        <v>19</v>
      </c>
      <c r="M89" s="151">
        <f t="shared" si="10"/>
        <v>19</v>
      </c>
      <c r="N89" s="151">
        <f t="shared" si="10"/>
        <v>19</v>
      </c>
      <c r="O89" s="151">
        <f>O87+O88</f>
        <v>19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153</v>
      </c>
      <c r="D92" s="161">
        <f>SUMIF('内訳ﾘｽﾄ(4～3月)'!$B$8:$B$15,$B92,'内訳ﾘｽﾄ(4～3月)'!G$8:G$15)</f>
        <v>110.5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187</v>
      </c>
      <c r="G92" s="161">
        <f>SUMIF('内訳ﾘｽﾄ(4～3月)'!$B$8:$B$15,$B92,'内訳ﾘｽﾄ(4～3月)'!J$8:J$15)</f>
        <v>153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178.5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178.5</v>
      </c>
      <c r="L92" s="161">
        <f>SUMIF('内訳ﾘｽﾄ(4～3月)'!$B$8:$B$15,$B92,'内訳ﾘｽﾄ(4～3月)'!O$8:O$15)</f>
        <v>161.5</v>
      </c>
      <c r="M92" s="161">
        <f>SUMIF('内訳ﾘｽﾄ(4～3月)'!$B$8:$B$15,$B92,'内訳ﾘｽﾄ(4～3月)'!P$8:P$15)</f>
        <v>93.5</v>
      </c>
      <c r="N92" s="161">
        <f>SUMIF('内訳ﾘｽﾄ(4～3月)'!$B$8:$B$15,$B92,'内訳ﾘｽﾄ(4～3月)'!Q$8:Q$15)</f>
        <v>178.5</v>
      </c>
      <c r="O92" s="161">
        <f>SUMIF('内訳ﾘｽﾄ(4～3月)'!$B$8:$B$15,$B92,'内訳ﾘｽﾄ(4～3月)'!R$8:R$15)</f>
        <v>1895.5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2788</v>
      </c>
      <c r="D93" s="161">
        <f>SUMIF('内訳ﾘｽﾄ(4～3月)'!$B$8:$B$15,$B93,'内訳ﾘｽﾄ(4～3月)'!G$8:G$15)</f>
        <v>2643.5</v>
      </c>
      <c r="E93" s="161">
        <f>SUMIF('内訳ﾘｽﾄ(4～3月)'!$B$8:$B$15,$B93,'内訳ﾘｽﾄ(4～3月)'!H$8:H$15)</f>
        <v>3077</v>
      </c>
      <c r="F93" s="161">
        <f>SUMIF('内訳ﾘｽﾄ(4～3月)'!$B$8:$B$15,$B93,'内訳ﾘｽﾄ(4～3月)'!I$8:I$15)</f>
        <v>3221.5</v>
      </c>
      <c r="G93" s="161">
        <f>SUMIF('内訳ﾘｽﾄ(4～3月)'!$B$8:$B$15,$B93,'内訳ﾘｽﾄ(4～3月)'!J$8:J$15)</f>
        <v>2643.5</v>
      </c>
      <c r="H93" s="161">
        <f>SUMIF('内訳ﾘｽﾄ(4～3月)'!$B$8:$B$15,$B93,'内訳ﾘｽﾄ(4～3月)'!K$8:K$15)</f>
        <v>2788</v>
      </c>
      <c r="I93" s="161">
        <f>SUMIF('内訳ﾘｽﾄ(4～3月)'!$B$8:$B$15,$B93,'内訳ﾘｽﾄ(4～3月)'!L$8:L$15)</f>
        <v>3077</v>
      </c>
      <c r="J93" s="161">
        <f>SUMIF('内訳ﾘｽﾄ(4～3月)'!$B$8:$B$15,$B93,'内訳ﾘｽﾄ(4～3月)'!M$8:M$15)</f>
        <v>2924</v>
      </c>
      <c r="K93" s="161">
        <f>SUMIF('内訳ﾘｽﾄ(4～3月)'!$B$8:$B$15,$B93,'内訳ﾘｽﾄ(4～3月)'!N$8:N$15)</f>
        <v>3068.5</v>
      </c>
      <c r="L93" s="161">
        <f>SUMIF('内訳ﾘｽﾄ(4～3月)'!$B$8:$B$15,$B93,'内訳ﾘｽﾄ(4～3月)'!O$8:O$15)</f>
        <v>2788</v>
      </c>
      <c r="M93" s="161">
        <f>SUMIF('内訳ﾘｽﾄ(4～3月)'!$B$8:$B$15,$B93,'内訳ﾘｽﾄ(4～3月)'!P$8:P$15)</f>
        <v>1632</v>
      </c>
      <c r="N93" s="161">
        <f>SUMIF('内訳ﾘｽﾄ(4～3月)'!$B$8:$B$15,$B93,'内訳ﾘｽﾄ(4～3月)'!Q$8:Q$15)</f>
        <v>3077</v>
      </c>
      <c r="O93" s="161">
        <f>SUMIF('内訳ﾘｽﾄ(4～3月)'!$B$8:$B$15,$B93,'内訳ﾘｽﾄ(4～3月)'!R$8:R$15)</f>
        <v>33728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2941</v>
      </c>
      <c r="D94" s="169">
        <f t="shared" si="11"/>
        <v>2754</v>
      </c>
      <c r="E94" s="169">
        <f t="shared" si="11"/>
        <v>3247</v>
      </c>
      <c r="F94" s="169">
        <f t="shared" si="11"/>
        <v>3408.5</v>
      </c>
      <c r="G94" s="169">
        <f t="shared" si="11"/>
        <v>2796.5</v>
      </c>
      <c r="H94" s="169">
        <f t="shared" si="11"/>
        <v>2949.5</v>
      </c>
      <c r="I94" s="169">
        <f t="shared" si="11"/>
        <v>3255.5</v>
      </c>
      <c r="J94" s="169">
        <f t="shared" si="11"/>
        <v>3094</v>
      </c>
      <c r="K94" s="169">
        <f t="shared" si="11"/>
        <v>3247</v>
      </c>
      <c r="L94" s="169">
        <f t="shared" si="11"/>
        <v>2949.5</v>
      </c>
      <c r="M94" s="169">
        <f t="shared" si="11"/>
        <v>1725.5</v>
      </c>
      <c r="N94" s="169">
        <f t="shared" si="11"/>
        <v>3255.5</v>
      </c>
      <c r="O94" s="169">
        <f>O92+O93</f>
        <v>35623.5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36</v>
      </c>
      <c r="D97" s="161">
        <f>SUMIF('内訳ﾘｽﾄ(4～3月)'!$B$16:$B$23,$B97,'内訳ﾘｽﾄ(4～3月)'!G$16:G$23)</f>
        <v>26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40</v>
      </c>
      <c r="I97" s="161">
        <f>SUMIF('内訳ﾘｽﾄ(4～3月)'!$B$16:$B$23,$B97,'内訳ﾘｽﾄ(4～3月)'!L$16:L$23)</f>
        <v>44</v>
      </c>
      <c r="J97" s="161">
        <f>SUMIF('内訳ﾘｽﾄ(4～3月)'!$B$16:$B$23,$B97,'内訳ﾘｽﾄ(4～3月)'!M$16:M$23)</f>
        <v>42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38</v>
      </c>
      <c r="M97" s="161">
        <f>SUMIF('内訳ﾘｽﾄ(4～3月)'!$B$16:$B$23,$B97,'内訳ﾘｽﾄ(4～3月)'!P$16:P$23)</f>
        <v>22</v>
      </c>
      <c r="N97" s="161">
        <f>SUMIF('内訳ﾘｽﾄ(4～3月)'!$B$16:$B$23,$B97,'内訳ﾘｽﾄ(4～3月)'!Q$16:Q$23)</f>
        <v>42</v>
      </c>
      <c r="O97" s="161">
        <f>SUMIF('内訳ﾘｽﾄ(4～3月)'!$B$16:$B$23,$B97,'内訳ﾘｽﾄ(4～3月)'!R$16:R$23)</f>
        <v>458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186</v>
      </c>
      <c r="D98" s="161">
        <f>SUMIF('内訳ﾘｽﾄ(4～3月)'!$B$16:$B$23,$B98,'内訳ﾘｽﾄ(4～3月)'!G$16:G$23)</f>
        <v>179</v>
      </c>
      <c r="E98" s="161">
        <f>SUMIF('内訳ﾘｽﾄ(4～3月)'!$B$16:$B$23,$B98,'内訳ﾘｽﾄ(4～3月)'!H$16:H$23)</f>
        <v>198</v>
      </c>
      <c r="F98" s="161">
        <f>SUMIF('内訳ﾘｽﾄ(4～3月)'!$B$16:$B$23,$B98,'内訳ﾘｽﾄ(4～3月)'!I$16:I$23)</f>
        <v>206</v>
      </c>
      <c r="G98" s="161">
        <f>SUMIF('内訳ﾘｽﾄ(4～3月)'!$B$16:$B$23,$B98,'内訳ﾘｽﾄ(4～3月)'!J$16:J$23)</f>
        <v>189</v>
      </c>
      <c r="H98" s="161">
        <f>SUMIF('内訳ﾘｽﾄ(4～3月)'!$B$16:$B$23,$B98,'内訳ﾘｽﾄ(4～3月)'!K$16:K$23)</f>
        <v>180</v>
      </c>
      <c r="I98" s="161">
        <f>SUMIF('内訳ﾘｽﾄ(4～3月)'!$B$16:$B$23,$B98,'内訳ﾘｽﾄ(4～3月)'!L$16:L$23)</f>
        <v>198</v>
      </c>
      <c r="J98" s="161">
        <f>SUMIF('内訳ﾘｽﾄ(4～3月)'!$B$16:$B$23,$B98,'内訳ﾘｽﾄ(4～3月)'!M$16:M$23)</f>
        <v>188</v>
      </c>
      <c r="K98" s="161">
        <f>SUMIF('内訳ﾘｽﾄ(4～3月)'!$B$16:$B$23,$B98,'内訳ﾘｽﾄ(4～3月)'!N$16:N$23)</f>
        <v>196</v>
      </c>
      <c r="L98" s="161">
        <f>SUMIF('内訳ﾘｽﾄ(4～3月)'!$B$16:$B$23,$B98,'内訳ﾘｽﾄ(4～3月)'!O$16:O$23)</f>
        <v>188</v>
      </c>
      <c r="M98" s="161">
        <f>SUMIF('内訳ﾘｽﾄ(4～3月)'!$B$16:$B$23,$B98,'内訳ﾘｽﾄ(4～3月)'!P$16:P$23)</f>
        <v>125</v>
      </c>
      <c r="N98" s="161">
        <f>SUMIF('内訳ﾘｽﾄ(4～3月)'!$B$16:$B$23,$B98,'内訳ﾘｽﾄ(4～3月)'!Q$16:Q$23)</f>
        <v>201</v>
      </c>
      <c r="O98" s="161">
        <f>SUMIF('内訳ﾘｽﾄ(4～3月)'!$B$16:$B$23,$B98,'内訳ﾘｽﾄ(4～3月)'!R$16:R$23)</f>
        <v>2234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222</v>
      </c>
      <c r="D99" s="169">
        <f t="shared" si="12"/>
        <v>205</v>
      </c>
      <c r="E99" s="169">
        <f t="shared" si="12"/>
        <v>238</v>
      </c>
      <c r="F99" s="169">
        <f t="shared" si="12"/>
        <v>252</v>
      </c>
      <c r="G99" s="169">
        <f t="shared" si="12"/>
        <v>227</v>
      </c>
      <c r="H99" s="169">
        <f t="shared" si="12"/>
        <v>220</v>
      </c>
      <c r="I99" s="169">
        <f t="shared" si="12"/>
        <v>242</v>
      </c>
      <c r="J99" s="169">
        <f t="shared" si="12"/>
        <v>230</v>
      </c>
      <c r="K99" s="169">
        <f t="shared" si="12"/>
        <v>240</v>
      </c>
      <c r="L99" s="169">
        <f t="shared" si="12"/>
        <v>226</v>
      </c>
      <c r="M99" s="169">
        <f t="shared" si="12"/>
        <v>147</v>
      </c>
      <c r="N99" s="169">
        <f t="shared" si="12"/>
        <v>243</v>
      </c>
      <c r="O99" s="169">
        <f>O97+O98</f>
        <v>2692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6299C7EA-9581-4AB4-A183-BCECB572697D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4AE5-4265-405A-8D0D-2534FA8C0D70}">
  <sheetPr codeName="Sheet3">
    <tabColor indexed="13"/>
  </sheetPr>
  <dimension ref="A1:BC1000"/>
  <sheetViews>
    <sheetView tabSelected="1" topLeftCell="C64" zoomScale="85" zoomScaleNormal="85" workbookViewId="0">
      <selection activeCell="L12" sqref="L12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" style="124" bestFit="1" customWidth="1"/>
    <col min="7" max="9" width="11.6328125" style="125" customWidth="1"/>
    <col min="10" max="10" width="11.26953125" style="125" customWidth="1"/>
    <col min="11" max="11" width="11.90625" style="125" customWidth="1"/>
    <col min="12" max="12" width="11.26953125" style="125" customWidth="1"/>
    <col min="13" max="13" width="12.08984375" style="125" customWidth="1"/>
    <col min="14" max="14" width="12.90625" style="125" customWidth="1"/>
    <col min="15" max="15" width="11.453125" style="125" customWidth="1"/>
    <col min="16" max="16" width="11.26953125" style="125" customWidth="1"/>
    <col min="17" max="17" width="11.7265625" style="125" customWidth="1"/>
    <col min="18" max="18" width="13.0898437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672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/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22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19</v>
      </c>
      <c r="K2" s="86">
        <f ca="1">OFFSET(稼働日!$B$2,MATCH('内訳ﾘｽﾄ(4～3月)'!K4,稼働日!$A$3:$A$14,0),0)</f>
        <v>20</v>
      </c>
      <c r="L2" s="86">
        <f ca="1">OFFSET(稼働日!$B$2,MATCH('内訳ﾘｽﾄ(4～3月)'!L4,稼働日!$A$3:$A$14,0),0)</f>
        <v>22</v>
      </c>
      <c r="M2" s="86">
        <f ca="1">OFFSET(稼働日!$B$2,MATCH('内訳ﾘｽﾄ(4～3月)'!M4,稼働日!$A$3:$A$14,0),0)</f>
        <v>21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12</v>
      </c>
      <c r="Q2" s="91">
        <f ca="1">OFFSET(稼働日!$B$2,MATCH('内訳ﾘｽﾄ(4～3月)'!Q4,稼働日!$A$3:$A$14,0),0)</f>
        <v>22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4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4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4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4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4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4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4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4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4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4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4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4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589</v>
      </c>
      <c r="T4" s="102"/>
    </row>
    <row r="5" spans="1:55" ht="13.5" thickBot="1">
      <c r="B5" s="174">
        <v>1412000040</v>
      </c>
      <c r="C5" s="7" t="str">
        <f>VLOOKUP($B$5,原価センタ!$A:$E,2,0)</f>
        <v>電気製造技術課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79917586</v>
      </c>
      <c r="G5" s="252">
        <f t="shared" si="0"/>
        <v>150607309</v>
      </c>
      <c r="H5" s="252">
        <f t="shared" si="0"/>
        <v>107453710</v>
      </c>
      <c r="I5" s="252">
        <f t="shared" si="0"/>
        <v>164238895</v>
      </c>
      <c r="J5" s="252">
        <f t="shared" si="0"/>
        <v>89592168</v>
      </c>
      <c r="K5" s="252">
        <f t="shared" si="0"/>
        <v>76878653</v>
      </c>
      <c r="L5" s="252">
        <f t="shared" si="0"/>
        <v>76631228</v>
      </c>
      <c r="M5" s="252">
        <f t="shared" si="0"/>
        <v>66835903</v>
      </c>
      <c r="N5" s="252">
        <f t="shared" si="0"/>
        <v>82176750</v>
      </c>
      <c r="O5" s="252">
        <f t="shared" si="0"/>
        <v>67194865</v>
      </c>
      <c r="P5" s="252">
        <f t="shared" si="0"/>
        <v>83027471</v>
      </c>
      <c r="Q5" s="252">
        <f t="shared" si="0"/>
        <v>64464244</v>
      </c>
      <c r="R5" s="253">
        <f t="shared" si="0"/>
        <v>1109018782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640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153</v>
      </c>
      <c r="G8" s="186">
        <v>110.5</v>
      </c>
      <c r="H8" s="186">
        <v>170</v>
      </c>
      <c r="I8" s="186">
        <v>187</v>
      </c>
      <c r="J8" s="186">
        <v>153</v>
      </c>
      <c r="K8" s="186">
        <v>161.5</v>
      </c>
      <c r="L8" s="186">
        <v>178.5</v>
      </c>
      <c r="M8" s="186">
        <v>170</v>
      </c>
      <c r="N8" s="186">
        <v>178.5</v>
      </c>
      <c r="O8" s="186">
        <v>161.5</v>
      </c>
      <c r="P8" s="186">
        <v>93.5</v>
      </c>
      <c r="Q8" s="186">
        <v>178.5</v>
      </c>
      <c r="R8" s="187">
        <f>SUM(F8:Q8)</f>
        <v>1895.5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2788</v>
      </c>
      <c r="G9" s="194">
        <v>2643.5</v>
      </c>
      <c r="H9" s="194">
        <v>3077</v>
      </c>
      <c r="I9" s="194">
        <v>3221.5</v>
      </c>
      <c r="J9" s="194">
        <v>2643.5</v>
      </c>
      <c r="K9" s="194">
        <v>2788</v>
      </c>
      <c r="L9" s="194">
        <v>3077</v>
      </c>
      <c r="M9" s="194">
        <v>2924</v>
      </c>
      <c r="N9" s="194">
        <v>3068.5</v>
      </c>
      <c r="O9" s="194">
        <v>2788</v>
      </c>
      <c r="P9" s="194">
        <v>1632</v>
      </c>
      <c r="Q9" s="194">
        <v>3077</v>
      </c>
      <c r="R9" s="195">
        <f t="shared" ref="R9:R23" si="1">SUM(F9:Q9)</f>
        <v>33728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704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704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704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704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>
        <v>36</v>
      </c>
      <c r="G16" s="194">
        <v>26</v>
      </c>
      <c r="H16" s="194">
        <v>40</v>
      </c>
      <c r="I16" s="194">
        <v>46</v>
      </c>
      <c r="J16" s="194">
        <v>38</v>
      </c>
      <c r="K16" s="194">
        <v>40</v>
      </c>
      <c r="L16" s="194">
        <v>44</v>
      </c>
      <c r="M16" s="194">
        <v>42</v>
      </c>
      <c r="N16" s="194">
        <v>44</v>
      </c>
      <c r="O16" s="194">
        <v>38</v>
      </c>
      <c r="P16" s="194">
        <v>22</v>
      </c>
      <c r="Q16" s="194">
        <v>42</v>
      </c>
      <c r="R16" s="205">
        <f t="shared" si="1"/>
        <v>458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186</v>
      </c>
      <c r="G17" s="194">
        <v>179</v>
      </c>
      <c r="H17" s="194">
        <v>198</v>
      </c>
      <c r="I17" s="194">
        <v>206</v>
      </c>
      <c r="J17" s="194">
        <v>189</v>
      </c>
      <c r="K17" s="194">
        <v>180</v>
      </c>
      <c r="L17" s="194">
        <v>198</v>
      </c>
      <c r="M17" s="194">
        <v>188</v>
      </c>
      <c r="N17" s="194">
        <v>196</v>
      </c>
      <c r="O17" s="194">
        <v>188</v>
      </c>
      <c r="P17" s="194">
        <v>125</v>
      </c>
      <c r="Q17" s="194">
        <v>201</v>
      </c>
      <c r="R17" s="205">
        <f t="shared" si="1"/>
        <v>2234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704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704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704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704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17</v>
      </c>
      <c r="G25" s="271">
        <v>17</v>
      </c>
      <c r="H25" s="271">
        <v>17</v>
      </c>
      <c r="I25" s="271">
        <v>18</v>
      </c>
      <c r="J25" s="271">
        <v>18</v>
      </c>
      <c r="K25" s="271">
        <v>18</v>
      </c>
      <c r="L25" s="271">
        <v>18</v>
      </c>
      <c r="M25" s="271">
        <v>18</v>
      </c>
      <c r="N25" s="271">
        <v>18</v>
      </c>
      <c r="O25" s="271">
        <v>18</v>
      </c>
      <c r="P25" s="271">
        <v>18</v>
      </c>
      <c r="Q25" s="271">
        <v>18</v>
      </c>
      <c r="R25" s="271">
        <v>18</v>
      </c>
      <c r="S25" s="272"/>
      <c r="T25" s="238"/>
      <c r="U25" s="268"/>
      <c r="V25" s="273">
        <v>4</v>
      </c>
      <c r="W25" s="273">
        <v>5</v>
      </c>
      <c r="X25" s="273">
        <v>6</v>
      </c>
      <c r="Y25" s="273">
        <v>7</v>
      </c>
      <c r="Z25" s="273">
        <v>8</v>
      </c>
      <c r="AA25" s="273">
        <v>9</v>
      </c>
      <c r="AB25" s="273">
        <v>10</v>
      </c>
      <c r="AC25" s="273">
        <v>11</v>
      </c>
      <c r="AD25" s="273">
        <v>12</v>
      </c>
      <c r="AE25" s="273">
        <v>1</v>
      </c>
      <c r="AF25" s="273">
        <v>2</v>
      </c>
      <c r="AG25" s="273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704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704</v>
      </c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704</v>
      </c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704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180">
        <v>5006016260</v>
      </c>
      <c r="C38" s="183" t="str">
        <f>IFERROR(IF(VLOOKUP($B38,勘定科目!$A:$H,HLOOKUP($E$5,勘定科目!$F$1:$H$2,2,0),0)="","",VLOOKUP($B38,勘定科目!$A:$E,2,0)),"")</f>
        <v>減価償却費配賦（製）　建物</v>
      </c>
      <c r="D38" s="239" t="str">
        <f>IF(C38="","",VLOOKUP($B38,勘定科目!$A:$E,4,0))</f>
        <v>減価償却費</v>
      </c>
      <c r="E38" s="245"/>
      <c r="F38" s="240">
        <f>ROUND(293.02*26273,0)</f>
        <v>7698514</v>
      </c>
      <c r="G38" s="240">
        <f>ROUND(294.07*26273,0)</f>
        <v>7726101</v>
      </c>
      <c r="H38" s="240">
        <f>ROUND(296.68*26273,0)</f>
        <v>7794674</v>
      </c>
      <c r="I38" s="240">
        <f>ROUND(293.7*26273,0)</f>
        <v>7716380</v>
      </c>
      <c r="J38" s="240">
        <f>ROUND(287.07*26273,0)</f>
        <v>7542190</v>
      </c>
      <c r="K38" s="240">
        <f>ROUND(289.74*26273,0)</f>
        <v>7612339</v>
      </c>
      <c r="L38" s="240">
        <f>ROUND(294.29*26273,0)</f>
        <v>7731881</v>
      </c>
      <c r="M38" s="240">
        <f>ROUND(292.26*26273,0)</f>
        <v>7678547</v>
      </c>
      <c r="N38" s="240">
        <f>ROUND(291.13*26273,0)</f>
        <v>7648858</v>
      </c>
      <c r="O38" s="240">
        <f>ROUND(285.32*26273,0)</f>
        <v>7496212</v>
      </c>
      <c r="P38" s="240">
        <f>ROUND(273.97*26273,0)</f>
        <v>7198014</v>
      </c>
      <c r="Q38" s="240">
        <f>ROUND(289.03*26273,0)</f>
        <v>7593685</v>
      </c>
      <c r="R38" s="200">
        <f t="shared" si="3"/>
        <v>91437395</v>
      </c>
      <c r="S38" s="201" t="s">
        <v>705</v>
      </c>
      <c r="T38" s="202"/>
      <c r="U38" s="246"/>
      <c r="V38" s="246"/>
      <c r="W38" s="246"/>
      <c r="BA38"/>
      <c r="BB38"/>
    </row>
    <row r="39" spans="1:54" s="191" customFormat="1" ht="13">
      <c r="A39" s="226"/>
      <c r="B39" s="180">
        <v>5006016261</v>
      </c>
      <c r="C39" s="183" t="str">
        <f>IFERROR(IF(VLOOKUP($B39,勘定科目!$A:$H,HLOOKUP($E$5,勘定科目!$F$1:$H$2,2,0),0)="","",VLOOKUP($B39,勘定科目!$A:$E,2,0)),"")</f>
        <v>減価償却費配賦（製）　土地使用権</v>
      </c>
      <c r="D39" s="239" t="str">
        <f>IF(C39="","",VLOOKUP($B39,勘定科目!$A:$E,4,0))</f>
        <v>減価償却費</v>
      </c>
      <c r="E39" s="245"/>
      <c r="F39" s="240">
        <f>ROUND(19.78*26273,0)</f>
        <v>519680</v>
      </c>
      <c r="G39" s="240">
        <f>ROUND(19.85*26273,0)</f>
        <v>521519</v>
      </c>
      <c r="H39" s="240">
        <f>ROUND(20.03*26273,0)</f>
        <v>526248</v>
      </c>
      <c r="I39" s="240">
        <f>ROUND(19.82*26273,0)</f>
        <v>520731</v>
      </c>
      <c r="J39" s="240">
        <f>ROUND(19.38*26273,0)</f>
        <v>509171</v>
      </c>
      <c r="K39" s="240">
        <f>ROUND(19.56*26273,0)</f>
        <v>513900</v>
      </c>
      <c r="L39" s="240">
        <f>ROUND(19.86*26273,0)</f>
        <v>521782</v>
      </c>
      <c r="M39" s="240">
        <f>ROUND(19.73*26273,0)</f>
        <v>518366</v>
      </c>
      <c r="N39" s="240">
        <f>ROUND(19.65*26273,0)</f>
        <v>516264</v>
      </c>
      <c r="O39" s="240">
        <f>ROUND(19.26*26273,0)</f>
        <v>506018</v>
      </c>
      <c r="P39" s="240">
        <f>ROUND(18.49*26273,0)</f>
        <v>485788</v>
      </c>
      <c r="Q39" s="240">
        <f>ROUND(19.51*26273,0)</f>
        <v>512586</v>
      </c>
      <c r="R39" s="200">
        <f t="shared" si="3"/>
        <v>6172053</v>
      </c>
      <c r="S39" s="201" t="s">
        <v>706</v>
      </c>
      <c r="T39" s="202"/>
      <c r="U39" s="246"/>
      <c r="V39" s="246"/>
      <c r="W39" s="246"/>
      <c r="BA39"/>
      <c r="BB39"/>
    </row>
    <row r="40" spans="1:54" s="191" customFormat="1" ht="13">
      <c r="A40" s="226"/>
      <c r="B40" s="180">
        <v>5006016244</v>
      </c>
      <c r="C40" s="183" t="str">
        <f>IFERROR(IF(VLOOKUP($B40,勘定科目!$A:$H,HLOOKUP($E$5,勘定科目!$F$1:$H$2,2,0),0)="","",VLOOKUP($B40,勘定科目!$A:$E,2,0)),"")</f>
        <v>減価償却費（製）　工具器具備品</v>
      </c>
      <c r="D40" s="239" t="str">
        <f>IF(C40="","",VLOOKUP($B40,勘定科目!$A:$E,4,0))</f>
        <v>減価償却費</v>
      </c>
      <c r="E40" s="245"/>
      <c r="F40" s="194">
        <f>ROUND(165.39*26273,0)</f>
        <v>4345291</v>
      </c>
      <c r="G40" s="194">
        <f>ROUND((165.39+152.78)*26273,0)</f>
        <v>8359280</v>
      </c>
      <c r="H40" s="194">
        <f>ROUND((165.39+152.78+166.67)*26273,0)</f>
        <v>12738201</v>
      </c>
      <c r="I40" s="194">
        <f t="shared" ref="I40:Q40" si="5">ROUND((165.39+152.78+166.67)*26273,0)</f>
        <v>12738201</v>
      </c>
      <c r="J40" s="194">
        <f t="shared" si="5"/>
        <v>12738201</v>
      </c>
      <c r="K40" s="194">
        <f t="shared" si="5"/>
        <v>12738201</v>
      </c>
      <c r="L40" s="194">
        <f t="shared" si="5"/>
        <v>12738201</v>
      </c>
      <c r="M40" s="194">
        <f t="shared" si="5"/>
        <v>12738201</v>
      </c>
      <c r="N40" s="194">
        <f t="shared" si="5"/>
        <v>12738201</v>
      </c>
      <c r="O40" s="194">
        <f t="shared" si="5"/>
        <v>12738201</v>
      </c>
      <c r="P40" s="194">
        <f t="shared" si="5"/>
        <v>12738201</v>
      </c>
      <c r="Q40" s="194">
        <f t="shared" si="5"/>
        <v>12738201</v>
      </c>
      <c r="R40" s="200">
        <f t="shared" si="3"/>
        <v>140086581</v>
      </c>
      <c r="S40" s="201" t="s">
        <v>707</v>
      </c>
      <c r="T40" s="202"/>
      <c r="U40" s="246"/>
      <c r="V40" s="246"/>
      <c r="W40" s="246"/>
      <c r="BA40"/>
      <c r="BB40"/>
    </row>
    <row r="41" spans="1:54" s="191" customFormat="1" ht="13">
      <c r="A41" s="226"/>
      <c r="B41" s="180"/>
      <c r="C41" s="183" t="str">
        <f>IFERROR(IF(VLOOKUP($B41,勘定科目!$A:$H,HLOOKUP($E$5,勘定科目!$F$1:$H$2,2,0),0)="","",VLOOKUP($B41,勘定科目!$A:$E,2,0)),"")</f>
        <v/>
      </c>
      <c r="D41" s="239" t="str">
        <f>IF(C41="","",VLOOKUP($B41,勘定科目!$A:$E,4,0))</f>
        <v/>
      </c>
      <c r="E41" s="245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200">
        <f t="shared" si="3"/>
        <v>0</v>
      </c>
      <c r="S41" s="201"/>
      <c r="T41" s="202"/>
      <c r="U41" s="246"/>
      <c r="V41" s="246"/>
      <c r="W41" s="246"/>
      <c r="BA41"/>
      <c r="BB41"/>
    </row>
    <row r="42" spans="1:54" s="191" customFormat="1" ht="13">
      <c r="A42" s="226"/>
      <c r="B42" s="180">
        <v>5005016372</v>
      </c>
      <c r="C42" s="183" t="str">
        <f>IFERROR(IF(VLOOKUP($B42,勘定科目!$A:$H,HLOOKUP($E$5,勘定科目!$F$1:$H$2,2,0),0)="","",VLOOKUP($B42,勘定科目!$A:$E,2,0)),"")</f>
        <v>その他消耗品（製）</v>
      </c>
      <c r="D42" s="239" t="str">
        <f>IF(C42="","",VLOOKUP($B42,勘定科目!$A:$E,4,0))</f>
        <v>消耗品費</v>
      </c>
      <c r="E42" s="245"/>
      <c r="F42" s="194">
        <f>18*18895</f>
        <v>340110</v>
      </c>
      <c r="G42" s="194">
        <f>18*18117</f>
        <v>326106</v>
      </c>
      <c r="H42" s="194">
        <f>18*20767</f>
        <v>373806</v>
      </c>
      <c r="I42" s="194">
        <f>18*21675</f>
        <v>390150</v>
      </c>
      <c r="J42" s="194">
        <f>19*17938</f>
        <v>340822</v>
      </c>
      <c r="K42" s="194">
        <f>19*18894</f>
        <v>358986</v>
      </c>
      <c r="L42" s="194">
        <f>19*20737</f>
        <v>394003</v>
      </c>
      <c r="M42" s="194">
        <f>19*19781</f>
        <v>375839</v>
      </c>
      <c r="N42" s="194">
        <f>19*20715</f>
        <v>393585</v>
      </c>
      <c r="O42" s="194">
        <f>19*18874</f>
        <v>358606</v>
      </c>
      <c r="P42" s="194">
        <f>19*11355</f>
        <v>215745</v>
      </c>
      <c r="Q42" s="194">
        <f>19*20665</f>
        <v>392635</v>
      </c>
      <c r="R42" s="200">
        <f t="shared" si="3"/>
        <v>4260393</v>
      </c>
      <c r="S42" s="201" t="s">
        <v>708</v>
      </c>
      <c r="T42" s="202"/>
      <c r="U42" s="246"/>
      <c r="V42" s="246"/>
      <c r="W42" s="246"/>
      <c r="BA42"/>
      <c r="BB42"/>
    </row>
    <row r="43" spans="1:54" s="191" customFormat="1" ht="13">
      <c r="A43" s="226"/>
      <c r="B43" s="180">
        <v>5005016372</v>
      </c>
      <c r="C43" s="183" t="str">
        <f>IFERROR(IF(VLOOKUP($B43,勘定科目!$A:$H,HLOOKUP($E$5,勘定科目!$F$1:$H$2,2,0),0)="","",VLOOKUP($B43,勘定科目!$A:$E,2,0)),"")</f>
        <v>その他消耗品（製）</v>
      </c>
      <c r="D43" s="239" t="str">
        <f>IF(C43="","",VLOOKUP($B43,勘定科目!$A:$E,4,0))</f>
        <v>消耗品費</v>
      </c>
      <c r="E43" s="245"/>
      <c r="F43" s="194">
        <f>18*1365</f>
        <v>24570</v>
      </c>
      <c r="G43" s="194">
        <f>18*1284</f>
        <v>23112</v>
      </c>
      <c r="H43" s="194">
        <f>18*1461</f>
        <v>26298</v>
      </c>
      <c r="I43" s="194">
        <f>18*1517</f>
        <v>27306</v>
      </c>
      <c r="J43" s="194">
        <f>19*1299</f>
        <v>24681</v>
      </c>
      <c r="K43" s="194">
        <f>19*1328</f>
        <v>25232</v>
      </c>
      <c r="L43" s="194">
        <f>19*1468</f>
        <v>27892</v>
      </c>
      <c r="M43" s="194">
        <f>19*1426</f>
        <v>27094</v>
      </c>
      <c r="N43" s="194">
        <f>19*1466</f>
        <v>27854</v>
      </c>
      <c r="O43" s="194">
        <f>19*1339</f>
        <v>25441</v>
      </c>
      <c r="P43" s="194">
        <f>19*803</f>
        <v>15257</v>
      </c>
      <c r="Q43" s="194">
        <f>19*1462</f>
        <v>27778</v>
      </c>
      <c r="R43" s="200">
        <f t="shared" si="3"/>
        <v>302515</v>
      </c>
      <c r="S43" s="201" t="s">
        <v>709</v>
      </c>
      <c r="T43" s="202"/>
      <c r="U43" s="246"/>
      <c r="V43" s="246"/>
      <c r="W43" s="246"/>
      <c r="BA43"/>
      <c r="BB43"/>
    </row>
    <row r="44" spans="1:54" s="191" customFormat="1" ht="13">
      <c r="A44" s="226"/>
      <c r="B44" s="180">
        <v>5005016372</v>
      </c>
      <c r="C44" s="183" t="str">
        <f>IFERROR(IF(VLOOKUP($B44,勘定科目!$A:$H,HLOOKUP($E$5,勘定科目!$F$1:$H$2,2,0),0)="","",VLOOKUP($B44,勘定科目!$A:$E,2,0)),"")</f>
        <v>その他消耗品（製）</v>
      </c>
      <c r="D44" s="239" t="str">
        <f>IF(C44="","",VLOOKUP($B44,勘定科目!$A:$E,4,0))</f>
        <v>消耗品費</v>
      </c>
      <c r="E44" s="245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200">
        <f t="shared" si="3"/>
        <v>0</v>
      </c>
      <c r="S44" s="201" t="s">
        <v>710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180">
        <v>5005016372</v>
      </c>
      <c r="C45" s="183" t="str">
        <f>IFERROR(IF(VLOOKUP($B45,勘定科目!$A:$H,HLOOKUP($E$5,勘定科目!$F$1:$H$2,2,0),0)="","",VLOOKUP($B45,勘定科目!$A:$E,2,0)),"")</f>
        <v>その他消耗品（製）</v>
      </c>
      <c r="D45" s="239" t="str">
        <f>IF(C45="","",VLOOKUP($B45,勘定科目!$A:$E,4,0))</f>
        <v>消耗品費</v>
      </c>
      <c r="E45" s="245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200">
        <f t="shared" si="3"/>
        <v>0</v>
      </c>
      <c r="S45" s="201" t="s">
        <v>711</v>
      </c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5005016372</v>
      </c>
      <c r="C46" s="183" t="str">
        <f>IFERROR(IF(VLOOKUP($B46,勘定科目!$A:$H,HLOOKUP($E$5,勘定科目!$F$1:$H$2,2,0),0)="","",VLOOKUP($B46,勘定科目!$A:$E,2,0)),"")</f>
        <v>その他消耗品（製）</v>
      </c>
      <c r="D46" s="239" t="str">
        <f>IF(C46="","",VLOOKUP($B46,勘定科目!$A:$E,4,0))</f>
        <v>消耗品費</v>
      </c>
      <c r="E46" s="245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200">
        <f t="shared" si="3"/>
        <v>0</v>
      </c>
      <c r="S46" s="201" t="s">
        <v>712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/>
      <c r="C47" s="183" t="str">
        <f>IFERROR(IF(VLOOKUP($B47,勘定科目!$A:$H,HLOOKUP($E$5,勘定科目!$F$1:$H$2,2,0),0)="","",VLOOKUP($B47,勘定科目!$A:$E,2,0)),"")</f>
        <v/>
      </c>
      <c r="D47" s="239" t="str">
        <f>IF(C47="","",VLOOKUP($B47,勘定科目!$A:$E,4,0))</f>
        <v/>
      </c>
      <c r="E47" s="245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200">
        <f t="shared" si="3"/>
        <v>0</v>
      </c>
      <c r="S47" s="201"/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5005016371</v>
      </c>
      <c r="C48" s="183" t="str">
        <f>IFERROR(IF(VLOOKUP($B48,勘定科目!$A:$H,HLOOKUP($E$5,勘定科目!$F$1:$H$2,2,0),0)="","",VLOOKUP($B48,勘定科目!$A:$E,2,0)),"")</f>
        <v>生産用消耗品費（製）</v>
      </c>
      <c r="D48" s="239" t="str">
        <f>IF(C48="","",VLOOKUP($B48,勘定科目!$A:$E,4,0))</f>
        <v>消耗品費</v>
      </c>
      <c r="E48" s="245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200">
        <f t="shared" si="3"/>
        <v>0</v>
      </c>
      <c r="S48" s="201"/>
      <c r="T48" s="202"/>
      <c r="U48" s="246"/>
      <c r="V48" s="246"/>
      <c r="W48" s="246"/>
      <c r="BA48"/>
      <c r="BB48"/>
    </row>
    <row r="49" spans="1:54" s="191" customFormat="1" ht="13">
      <c r="A49" s="226"/>
      <c r="B49" s="180">
        <v>5005016371</v>
      </c>
      <c r="C49" s="183" t="str">
        <f>IFERROR(IF(VLOOKUP($B49,勘定科目!$A:$H,HLOOKUP($E$5,勘定科目!$F$1:$H$2,2,0),0)="","",VLOOKUP($B49,勘定科目!$A:$E,2,0)),"")</f>
        <v>生産用消耗品費（製）</v>
      </c>
      <c r="D49" s="239" t="str">
        <f>IF(C49="","",VLOOKUP($B49,勘定科目!$A:$E,4,0))</f>
        <v>消耗品費</v>
      </c>
      <c r="E49" s="245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200">
        <f t="shared" si="3"/>
        <v>0</v>
      </c>
      <c r="S49" s="201" t="s">
        <v>714</v>
      </c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5005016371</v>
      </c>
      <c r="C50" s="183" t="str">
        <f>IFERROR(IF(VLOOKUP($B50,勘定科目!$A:$H,HLOOKUP($E$5,勘定科目!$F$1:$H$2,2,0),0)="","",VLOOKUP($B50,勘定科目!$A:$E,2,0)),"")</f>
        <v>生産用消耗品費（製）</v>
      </c>
      <c r="D50" s="239" t="str">
        <f>IF(C50="","",VLOOKUP($B50,勘定科目!$A:$E,4,0))</f>
        <v>消耗品費</v>
      </c>
      <c r="E50" s="245"/>
      <c r="F50" s="194">
        <f>13000*12</f>
        <v>156000</v>
      </c>
      <c r="G50" s="194"/>
      <c r="H50" s="194"/>
      <c r="I50" s="194">
        <f>13000*12</f>
        <v>156000</v>
      </c>
      <c r="J50" s="194"/>
      <c r="K50" s="194">
        <f>12*13000</f>
        <v>156000</v>
      </c>
      <c r="L50" s="194"/>
      <c r="M50" s="194"/>
      <c r="N50" s="194">
        <f>12*13000</f>
        <v>156000</v>
      </c>
      <c r="O50" s="194"/>
      <c r="P50" s="194"/>
      <c r="Q50" s="194"/>
      <c r="R50" s="200">
        <f t="shared" si="3"/>
        <v>624000</v>
      </c>
      <c r="S50" s="201" t="s">
        <v>715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5005016371</v>
      </c>
      <c r="C51" s="183" t="str">
        <f>IFERROR(IF(VLOOKUP($B51,勘定科目!$A:$H,HLOOKUP($E$5,勘定科目!$F$1:$H$2,2,0),0)="","",VLOOKUP($B51,勘定科目!$A:$E,2,0)),"")</f>
        <v>生産用消耗品費（製）</v>
      </c>
      <c r="D51" s="239" t="str">
        <f>IF(C51="","",VLOOKUP($B51,勘定科目!$A:$E,4,0))</f>
        <v>消耗品費</v>
      </c>
      <c r="E51" s="245"/>
      <c r="F51" s="194">
        <f>26500*12</f>
        <v>318000</v>
      </c>
      <c r="G51" s="194"/>
      <c r="H51" s="194"/>
      <c r="I51" s="194">
        <f>26500*12</f>
        <v>318000</v>
      </c>
      <c r="J51" s="194"/>
      <c r="K51" s="194">
        <f>12*26500</f>
        <v>318000</v>
      </c>
      <c r="L51" s="194"/>
      <c r="M51" s="194"/>
      <c r="N51" s="194">
        <f>12*26500</f>
        <v>318000</v>
      </c>
      <c r="O51" s="194"/>
      <c r="P51" s="194"/>
      <c r="Q51" s="194"/>
      <c r="R51" s="200">
        <f t="shared" si="3"/>
        <v>1272000</v>
      </c>
      <c r="S51" s="201" t="s">
        <v>716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5005016371</v>
      </c>
      <c r="C52" s="183" t="str">
        <f>IFERROR(IF(VLOOKUP($B52,勘定科目!$A:$H,HLOOKUP($E$5,勘定科目!$F$1:$H$2,2,0),0)="","",VLOOKUP($B52,勘定科目!$A:$E,2,0)),"")</f>
        <v>生産用消耗品費（製）</v>
      </c>
      <c r="D52" s="239" t="str">
        <f>IF(C52="","",VLOOKUP($B52,勘定科目!$A:$E,4,0))</f>
        <v>消耗品費</v>
      </c>
      <c r="E52" s="245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200">
        <f t="shared" si="3"/>
        <v>0</v>
      </c>
      <c r="S52" s="201" t="s">
        <v>717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5005016371</v>
      </c>
      <c r="C53" s="183" t="str">
        <f>IFERROR(IF(VLOOKUP($B53,勘定科目!$A:$H,HLOOKUP($E$5,勘定科目!$F$1:$H$2,2,0),0)="","",VLOOKUP($B53,勘定科目!$A:$E,2,0)),"")</f>
        <v>生産用消耗品費（製）</v>
      </c>
      <c r="D53" s="239" t="str">
        <f>IF(C53="","",VLOOKUP($B53,勘定科目!$A:$E,4,0))</f>
        <v>消耗品費</v>
      </c>
      <c r="E53" s="245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200">
        <f t="shared" si="3"/>
        <v>0</v>
      </c>
      <c r="S53" s="201" t="s">
        <v>718</v>
      </c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5005016371</v>
      </c>
      <c r="C54" s="183" t="str">
        <f>IFERROR(IF(VLOOKUP($B54,勘定科目!$A:$H,HLOOKUP($E$5,勘定科目!$F$1:$H$2,2,0),0)="","",VLOOKUP($B54,勘定科目!$A:$E,2,0)),"")</f>
        <v>生産用消耗品費（製）</v>
      </c>
      <c r="D54" s="239" t="str">
        <f>IF(C54="","",VLOOKUP($B54,勘定科目!$A:$E,4,0))</f>
        <v>消耗品費</v>
      </c>
      <c r="E54" s="245"/>
      <c r="F54" s="194">
        <f>495000*5</f>
        <v>2475000</v>
      </c>
      <c r="G54" s="194"/>
      <c r="H54" s="194">
        <f t="shared" ref="H54:P54" si="6">495000*5</f>
        <v>2475000</v>
      </c>
      <c r="I54" s="194"/>
      <c r="J54" s="194">
        <f t="shared" si="6"/>
        <v>2475000</v>
      </c>
      <c r="K54" s="194"/>
      <c r="L54" s="194">
        <f t="shared" si="6"/>
        <v>2475000</v>
      </c>
      <c r="M54" s="194"/>
      <c r="N54" s="194">
        <f t="shared" si="6"/>
        <v>2475000</v>
      </c>
      <c r="O54" s="194"/>
      <c r="P54" s="194">
        <f t="shared" si="6"/>
        <v>2475000</v>
      </c>
      <c r="Q54" s="194"/>
      <c r="R54" s="200">
        <f t="shared" si="3"/>
        <v>14850000</v>
      </c>
      <c r="S54" s="201" t="s">
        <v>713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5005016373</v>
      </c>
      <c r="C55" s="183" t="str">
        <f>IFERROR(IF(VLOOKUP($B55,勘定科目!$A:$H,HLOOKUP($E$5,勘定科目!$F$1:$H$2,2,0),0)="","",VLOOKUP($B55,勘定科目!$A:$E,2,0)),"")</f>
        <v>生産用文房具（製造）</v>
      </c>
      <c r="D55" s="239" t="str">
        <f>IF(C55="","",VLOOKUP($B55,勘定科目!$A:$E,4,0))</f>
        <v>消耗品費</v>
      </c>
      <c r="E55" s="245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200">
        <f t="shared" si="3"/>
        <v>0</v>
      </c>
      <c r="S55" s="201" t="s">
        <v>719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5005026371</v>
      </c>
      <c r="C56" s="183" t="str">
        <f>IFERROR(IF(VLOOKUP($B56,勘定科目!$A:$H,HLOOKUP($E$5,勘定科目!$F$1:$H$2,2,0),0)="","",VLOOKUP($B56,勘定科目!$A:$E,2,0)),"")</f>
        <v>消耗工具器具備品費（製）</v>
      </c>
      <c r="D56" s="239" t="str">
        <f>IF(C56="","",VLOOKUP($B56,勘定科目!$A:$E,4,0))</f>
        <v>消耗工具器具備品費</v>
      </c>
      <c r="E56" s="245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200">
        <f t="shared" si="3"/>
        <v>0</v>
      </c>
      <c r="S56" s="201"/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5005026371</v>
      </c>
      <c r="C57" s="183" t="str">
        <f>IFERROR(IF(VLOOKUP($B57,勘定科目!$A:$H,HLOOKUP($E$5,勘定科目!$F$1:$H$2,2,0),0)="","",VLOOKUP($B57,勘定科目!$A:$E,2,0)),"")</f>
        <v>消耗工具器具備品費（製）</v>
      </c>
      <c r="D57" s="239" t="str">
        <f>IF(C57="","",VLOOKUP($B57,勘定科目!$A:$E,4,0))</f>
        <v>消耗工具器具備品費</v>
      </c>
      <c r="E57" s="245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200">
        <f t="shared" si="3"/>
        <v>0</v>
      </c>
      <c r="S57" s="201" t="s">
        <v>720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5005026371</v>
      </c>
      <c r="C58" s="183" t="str">
        <f>IFERROR(IF(VLOOKUP($B58,勘定科目!$A:$H,HLOOKUP($E$5,勘定科目!$F$1:$H$2,2,0),0)="","",VLOOKUP($B58,勘定科目!$A:$E,2,0)),"")</f>
        <v>消耗工具器具備品費（製）</v>
      </c>
      <c r="D58" s="239" t="str">
        <f>IF(C58="","",VLOOKUP($B58,勘定科目!$A:$E,4,0))</f>
        <v>消耗工具器具備品費</v>
      </c>
      <c r="E58" s="245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200">
        <f t="shared" si="3"/>
        <v>0</v>
      </c>
      <c r="S58" s="201" t="s">
        <v>721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5005026371</v>
      </c>
      <c r="C59" s="183" t="str">
        <f>IFERROR(IF(VLOOKUP($B59,勘定科目!$A:$H,HLOOKUP($E$5,勘定科目!$F$1:$H$2,2,0),0)="","",VLOOKUP($B59,勘定科目!$A:$E,2,0)),"")</f>
        <v>消耗工具器具備品費（製）</v>
      </c>
      <c r="D59" s="239" t="str">
        <f>IF(C59="","",VLOOKUP($B59,勘定科目!$A:$E,4,0))</f>
        <v>消耗工具器具備品費</v>
      </c>
      <c r="E59" s="245"/>
      <c r="F59" s="194">
        <f>6*2150000</f>
        <v>12900000</v>
      </c>
      <c r="G59" s="194">
        <f>6*2150000</f>
        <v>12900000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200">
        <f t="shared" si="3"/>
        <v>25800000</v>
      </c>
      <c r="S59" s="201" t="s">
        <v>722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5005026371</v>
      </c>
      <c r="C60" s="183" t="str">
        <f>IFERROR(IF(VLOOKUP($B60,勘定科目!$A:$H,HLOOKUP($E$5,勘定科目!$F$1:$H$2,2,0),0)="","",VLOOKUP($B60,勘定科目!$A:$E,2,0)),"")</f>
        <v>消耗工具器具備品費（製）</v>
      </c>
      <c r="D60" s="239" t="str">
        <f>IF(C60="","",VLOOKUP($B60,勘定科目!$A:$E,4,0))</f>
        <v>消耗工具器具備品費</v>
      </c>
      <c r="E60" s="245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200">
        <f t="shared" si="3"/>
        <v>0</v>
      </c>
      <c r="S60" s="201" t="s">
        <v>723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5005026371</v>
      </c>
      <c r="C61" s="183" t="str">
        <f>IFERROR(IF(VLOOKUP($B61,勘定科目!$A:$H,HLOOKUP($E$5,勘定科目!$F$1:$H$2,2,0),0)="","",VLOOKUP($B61,勘定科目!$A:$E,2,0)),"")</f>
        <v>消耗工具器具備品費（製）</v>
      </c>
      <c r="D61" s="239" t="str">
        <f>IF(C61="","",VLOOKUP($B61,勘定科目!$A:$E,4,0))</f>
        <v>消耗工具器具備品費</v>
      </c>
      <c r="E61" s="245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200">
        <f t="shared" si="3"/>
        <v>0</v>
      </c>
      <c r="S61" s="201" t="s">
        <v>724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5005026371</v>
      </c>
      <c r="C62" s="183" t="str">
        <f>IFERROR(IF(VLOOKUP($B62,勘定科目!$A:$H,HLOOKUP($E$5,勘定科目!$F$1:$H$2,2,0),0)="","",VLOOKUP($B62,勘定科目!$A:$E,2,0)),"")</f>
        <v>消耗工具器具備品費（製）</v>
      </c>
      <c r="D62" s="239" t="str">
        <f>IF(C62="","",VLOOKUP($B62,勘定科目!$A:$E,4,0))</f>
        <v>消耗工具器具備品費</v>
      </c>
      <c r="E62" s="245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200">
        <f t="shared" si="3"/>
        <v>0</v>
      </c>
      <c r="S62" s="201" t="s">
        <v>725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5005026371</v>
      </c>
      <c r="C63" s="183" t="str">
        <f>IFERROR(IF(VLOOKUP($B63,勘定科目!$A:$H,HLOOKUP($E$5,勘定科目!$F$1:$H$2,2,0),0)="","",VLOOKUP($B63,勘定科目!$A:$E,2,0)),"")</f>
        <v>消耗工具器具備品費（製）</v>
      </c>
      <c r="D63" s="239" t="str">
        <f>IF(C63="","",VLOOKUP($B63,勘定科目!$A:$E,4,0))</f>
        <v>消耗工具器具備品費</v>
      </c>
      <c r="E63" s="245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200">
        <f t="shared" si="3"/>
        <v>0</v>
      </c>
      <c r="S63" s="201" t="s">
        <v>726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5005026371</v>
      </c>
      <c r="C64" s="183" t="str">
        <f>IFERROR(IF(VLOOKUP($B64,勘定科目!$A:$H,HLOOKUP($E$5,勘定科目!$F$1:$H$2,2,0),0)="","",VLOOKUP($B64,勘定科目!$A:$E,2,0)),"")</f>
        <v>消耗工具器具備品費（製）</v>
      </c>
      <c r="D64" s="239" t="str">
        <f>IF(C64="","",VLOOKUP($B64,勘定科目!$A:$E,4,0))</f>
        <v>消耗工具器具備品費</v>
      </c>
      <c r="E64" s="245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200">
        <f t="shared" si="3"/>
        <v>0</v>
      </c>
      <c r="S64" s="201" t="s">
        <v>727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5005026371</v>
      </c>
      <c r="C65" s="183" t="str">
        <f>IFERROR(IF(VLOOKUP($B65,勘定科目!$A:$H,HLOOKUP($E$5,勘定科目!$F$1:$H$2,2,0),0)="","",VLOOKUP($B65,勘定科目!$A:$E,2,0)),"")</f>
        <v>消耗工具器具備品費（製）</v>
      </c>
      <c r="D65" s="239" t="str">
        <f>IF(C65="","",VLOOKUP($B65,勘定科目!$A:$E,4,0))</f>
        <v>消耗工具器具備品費</v>
      </c>
      <c r="E65" s="245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200">
        <f t="shared" si="3"/>
        <v>0</v>
      </c>
      <c r="S65" s="201" t="s">
        <v>728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5005026371</v>
      </c>
      <c r="C66" s="183" t="str">
        <f>IFERROR(IF(VLOOKUP($B66,勘定科目!$A:$H,HLOOKUP($E$5,勘定科目!$F$1:$H$2,2,0),0)="","",VLOOKUP($B66,勘定科目!$A:$E,2,0)),"")</f>
        <v>消耗工具器具備品費（製）</v>
      </c>
      <c r="D66" s="239" t="str">
        <f>IF(C66="","",VLOOKUP($B66,勘定科目!$A:$E,4,0))</f>
        <v>消耗工具器具備品費</v>
      </c>
      <c r="E66" s="245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200">
        <f t="shared" si="3"/>
        <v>0</v>
      </c>
      <c r="S66" s="201" t="s">
        <v>729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5005026371</v>
      </c>
      <c r="C67" s="183" t="str">
        <f>IFERROR(IF(VLOOKUP($B67,勘定科目!$A:$H,HLOOKUP($E$5,勘定科目!$F$1:$H$2,2,0),0)="","",VLOOKUP($B67,勘定科目!$A:$E,2,0)),"")</f>
        <v>消耗工具器具備品費（製）</v>
      </c>
      <c r="D67" s="239" t="str">
        <f>IF(C67="","",VLOOKUP($B67,勘定科目!$A:$E,4,0))</f>
        <v>消耗工具器具備品費</v>
      </c>
      <c r="E67" s="245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200">
        <f t="shared" si="3"/>
        <v>0</v>
      </c>
      <c r="S67" s="201" t="s">
        <v>730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5005026371</v>
      </c>
      <c r="C68" s="183" t="str">
        <f>IFERROR(IF(VLOOKUP($B68,勘定科目!$A:$H,HLOOKUP($E$5,勘定科目!$F$1:$H$2,2,0),0)="","",VLOOKUP($B68,勘定科目!$A:$E,2,0)),"")</f>
        <v>消耗工具器具備品費（製）</v>
      </c>
      <c r="D68" s="239" t="str">
        <f>IF(C68="","",VLOOKUP($B68,勘定科目!$A:$E,4,0))</f>
        <v>消耗工具器具備品費</v>
      </c>
      <c r="E68" s="245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200">
        <f t="shared" si="3"/>
        <v>0</v>
      </c>
      <c r="S68" s="201" t="s">
        <v>731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9" t="str">
        <f>IF(C69="","",VLOOKUP($B69,勘定科目!$A:$E,4,0))</f>
        <v>消耗工具器具備品費</v>
      </c>
      <c r="E69" s="245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200">
        <f t="shared" si="3"/>
        <v>0</v>
      </c>
      <c r="S69" s="201" t="s">
        <v>732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9" t="str">
        <f>IF(C70="","",VLOOKUP($B70,勘定科目!$A:$E,4,0))</f>
        <v>消耗工具器具備品費</v>
      </c>
      <c r="E70" s="245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200">
        <f t="shared" si="3"/>
        <v>0</v>
      </c>
      <c r="S70" s="201" t="s">
        <v>733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5005026371</v>
      </c>
      <c r="C71" s="183" t="str">
        <f>IFERROR(IF(VLOOKUP($B71,勘定科目!$A:$H,HLOOKUP($E$5,勘定科目!$F$1:$H$2,2,0),0)="","",VLOOKUP($B71,勘定科目!$A:$E,2,0)),"")</f>
        <v>消耗工具器具備品費（製）</v>
      </c>
      <c r="D71" s="239" t="str">
        <f>IF(C71="","",VLOOKUP($B71,勘定科目!$A:$E,4,0))</f>
        <v>消耗工具器具備品費</v>
      </c>
      <c r="E71" s="245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200">
        <f t="shared" si="3"/>
        <v>0</v>
      </c>
      <c r="S71" s="201" t="s">
        <v>734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5005026371</v>
      </c>
      <c r="C72" s="183" t="str">
        <f>IFERROR(IF(VLOOKUP($B72,勘定科目!$A:$H,HLOOKUP($E$5,勘定科目!$F$1:$H$2,2,0),0)="","",VLOOKUP($B72,勘定科目!$A:$E,2,0)),"")</f>
        <v>消耗工具器具備品費（製）</v>
      </c>
      <c r="D72" s="239" t="str">
        <f>IF(C72="","",VLOOKUP($B72,勘定科目!$A:$E,4,0))</f>
        <v>消耗工具器具備品費</v>
      </c>
      <c r="E72" s="245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200">
        <f t="shared" si="3"/>
        <v>0</v>
      </c>
      <c r="S72" s="201" t="s">
        <v>735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5005026371</v>
      </c>
      <c r="C73" s="183" t="str">
        <f>IFERROR(IF(VLOOKUP($B73,勘定科目!$A:$H,HLOOKUP($E$5,勘定科目!$F$1:$H$2,2,0),0)="","",VLOOKUP($B73,勘定科目!$A:$E,2,0)),"")</f>
        <v>消耗工具器具備品費（製）</v>
      </c>
      <c r="D73" s="239" t="str">
        <f>IF(C73="","",VLOOKUP($B73,勘定科目!$A:$E,4,0))</f>
        <v>消耗工具器具備品費</v>
      </c>
      <c r="E73" s="245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200">
        <f t="shared" si="3"/>
        <v>0</v>
      </c>
      <c r="S73" s="201" t="s">
        <v>736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5005026371</v>
      </c>
      <c r="C74" s="183" t="str">
        <f>IFERROR(IF(VLOOKUP($B74,勘定科目!$A:$H,HLOOKUP($E$5,勘定科目!$F$1:$H$2,2,0),0)="","",VLOOKUP($B74,勘定科目!$A:$E,2,0)),"")</f>
        <v>消耗工具器具備品費（製）</v>
      </c>
      <c r="D74" s="239" t="str">
        <f>IF(C74="","",VLOOKUP($B74,勘定科目!$A:$E,4,0))</f>
        <v>消耗工具器具備品費</v>
      </c>
      <c r="E74" s="245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200">
        <f t="shared" si="3"/>
        <v>0</v>
      </c>
      <c r="S74" s="201" t="s">
        <v>737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5005026371</v>
      </c>
      <c r="C75" s="183" t="str">
        <f>IFERROR(IF(VLOOKUP($B75,勘定科目!$A:$H,HLOOKUP($E$5,勘定科目!$F$1:$H$2,2,0),0)="","",VLOOKUP($B75,勘定科目!$A:$E,2,0)),"")</f>
        <v>消耗工具器具備品費（製）</v>
      </c>
      <c r="D75" s="239" t="str">
        <f>IF(C75="","",VLOOKUP($B75,勘定科目!$A:$E,4,0))</f>
        <v>消耗工具器具備品費</v>
      </c>
      <c r="E75" s="245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200">
        <f t="shared" si="3"/>
        <v>0</v>
      </c>
      <c r="S75" s="201" t="s">
        <v>738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>
        <v>5005026371</v>
      </c>
      <c r="C76" s="183" t="str">
        <f>IFERROR(IF(VLOOKUP($B76,勘定科目!$A:$H,HLOOKUP($E$5,勘定科目!$F$1:$H$2,2,0),0)="","",VLOOKUP($B76,勘定科目!$A:$E,2,0)),"")</f>
        <v>消耗工具器具備品費（製）</v>
      </c>
      <c r="D76" s="239" t="str">
        <f>IF(C76="","",VLOOKUP($B76,勘定科目!$A:$E,4,0))</f>
        <v>消耗工具器具備品費</v>
      </c>
      <c r="E76" s="245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200">
        <f t="shared" si="3"/>
        <v>0</v>
      </c>
      <c r="S76" s="201" t="s">
        <v>739</v>
      </c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5005026371</v>
      </c>
      <c r="C77" s="183" t="str">
        <f>IFERROR(IF(VLOOKUP($B77,勘定科目!$A:$H,HLOOKUP($E$5,勘定科目!$F$1:$H$2,2,0),0)="","",VLOOKUP($B77,勘定科目!$A:$E,2,0)),"")</f>
        <v>消耗工具器具備品費（製）</v>
      </c>
      <c r="D77" s="239" t="str">
        <f>IF(C77="","",VLOOKUP($B77,勘定科目!$A:$E,4,0))</f>
        <v>消耗工具器具備品費</v>
      </c>
      <c r="E77" s="245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200">
        <f t="shared" si="3"/>
        <v>0</v>
      </c>
      <c r="S77" s="201" t="s">
        <v>740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5005026371</v>
      </c>
      <c r="C78" s="183" t="str">
        <f>IFERROR(IF(VLOOKUP($B78,勘定科目!$A:$H,HLOOKUP($E$5,勘定科目!$F$1:$H$2,2,0),0)="","",VLOOKUP($B78,勘定科目!$A:$E,2,0)),"")</f>
        <v>消耗工具器具備品費（製）</v>
      </c>
      <c r="D78" s="239" t="str">
        <f>IF(C78="","",VLOOKUP($B78,勘定科目!$A:$E,4,0))</f>
        <v>消耗工具器具備品費</v>
      </c>
      <c r="E78" s="245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200">
        <f t="shared" si="3"/>
        <v>0</v>
      </c>
      <c r="S78" s="201" t="s">
        <v>741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5005026371</v>
      </c>
      <c r="C79" s="183" t="str">
        <f>IFERROR(IF(VLOOKUP($B79,勘定科目!$A:$H,HLOOKUP($E$5,勘定科目!$F$1:$H$2,2,0),0)="","",VLOOKUP($B79,勘定科目!$A:$E,2,0)),"")</f>
        <v>消耗工具器具備品費（製）</v>
      </c>
      <c r="D79" s="239" t="str">
        <f>IF(C79="","",VLOOKUP($B79,勘定科目!$A:$E,4,0))</f>
        <v>消耗工具器具備品費</v>
      </c>
      <c r="E79" s="245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200">
        <f t="shared" si="3"/>
        <v>0</v>
      </c>
      <c r="S79" s="201" t="s">
        <v>742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5005026371</v>
      </c>
      <c r="C80" s="183" t="str">
        <f>IFERROR(IF(VLOOKUP($B80,勘定科目!$A:$H,HLOOKUP($E$5,勘定科目!$F$1:$H$2,2,0),0)="","",VLOOKUP($B80,勘定科目!$A:$E,2,0)),"")</f>
        <v>消耗工具器具備品費（製）</v>
      </c>
      <c r="D80" s="239" t="str">
        <f>IF(C80="","",VLOOKUP($B80,勘定科目!$A:$E,4,0))</f>
        <v>消耗工具器具備品費</v>
      </c>
      <c r="E80" s="245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200">
        <f t="shared" si="3"/>
        <v>0</v>
      </c>
      <c r="S80" s="201" t="s">
        <v>743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9" t="str">
        <f>IF(C81="","",VLOOKUP($B81,勘定科目!$A:$E,4,0))</f>
        <v>消耗工具器具備品費</v>
      </c>
      <c r="E81" s="245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200">
        <f t="shared" si="3"/>
        <v>0</v>
      </c>
      <c r="S81" s="201"/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9" t="str">
        <f>IF(C82="","",VLOOKUP($B82,勘定科目!$A:$E,4,0))</f>
        <v>消耗工具器具備品費</v>
      </c>
      <c r="E82" s="245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200">
        <f t="shared" si="3"/>
        <v>0</v>
      </c>
      <c r="S82" s="201" t="s">
        <v>744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>
        <v>5005026371</v>
      </c>
      <c r="C83" s="183" t="str">
        <f>IFERROR(IF(VLOOKUP($B83,勘定科目!$A:$H,HLOOKUP($E$5,勘定科目!$F$1:$H$2,2,0),0)="","",VLOOKUP($B83,勘定科目!$A:$E,2,0)),"")</f>
        <v>消耗工具器具備品費（製）</v>
      </c>
      <c r="D83" s="239" t="str">
        <f>IF(C83="","",VLOOKUP($B83,勘定科目!$A:$E,4,0))</f>
        <v>消耗工具器具備品費</v>
      </c>
      <c r="E83" s="245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200">
        <f t="shared" si="3"/>
        <v>0</v>
      </c>
      <c r="S83" s="201" t="s">
        <v>745</v>
      </c>
      <c r="T83" s="202"/>
      <c r="U83" s="246"/>
      <c r="V83" s="246"/>
      <c r="W83" s="246"/>
      <c r="BA83"/>
      <c r="BB83"/>
    </row>
    <row r="84" spans="1:54" s="191" customFormat="1" ht="13">
      <c r="A84" s="226"/>
      <c r="B84" s="180">
        <v>5005026371</v>
      </c>
      <c r="C84" s="183" t="str">
        <f>IFERROR(IF(VLOOKUP($B84,勘定科目!$A:$H,HLOOKUP($E$5,勘定科目!$F$1:$H$2,2,0),0)="","",VLOOKUP($B84,勘定科目!$A:$E,2,0)),"")</f>
        <v>消耗工具器具備品費（製）</v>
      </c>
      <c r="D84" s="239" t="str">
        <f>IF(C84="","",VLOOKUP($B84,勘定科目!$A:$E,4,0))</f>
        <v>消耗工具器具備品費</v>
      </c>
      <c r="E84" s="245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200">
        <f t="shared" si="3"/>
        <v>0</v>
      </c>
      <c r="S84" s="201" t="s">
        <v>746</v>
      </c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5005026371</v>
      </c>
      <c r="C85" s="183" t="str">
        <f>IFERROR(IF(VLOOKUP($B85,勘定科目!$A:$H,HLOOKUP($E$5,勘定科目!$F$1:$H$2,2,0),0)="","",VLOOKUP($B85,勘定科目!$A:$E,2,0)),"")</f>
        <v>消耗工具器具備品費（製）</v>
      </c>
      <c r="D85" s="239" t="str">
        <f>IF(C85="","",VLOOKUP($B85,勘定科目!$A:$E,4,0))</f>
        <v>消耗工具器具備品費</v>
      </c>
      <c r="E85" s="245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200">
        <f t="shared" si="3"/>
        <v>0</v>
      </c>
      <c r="S85" s="201" t="s">
        <v>747</v>
      </c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5005026371</v>
      </c>
      <c r="C86" s="183" t="str">
        <f>IFERROR(IF(VLOOKUP($B86,勘定科目!$A:$H,HLOOKUP($E$5,勘定科目!$F$1:$H$2,2,0),0)="","",VLOOKUP($B86,勘定科目!$A:$E,2,0)),"")</f>
        <v>消耗工具器具備品費（製）</v>
      </c>
      <c r="D86" s="239" t="str">
        <f>IF(C86="","",VLOOKUP($B86,勘定科目!$A:$E,4,0))</f>
        <v>消耗工具器具備品費</v>
      </c>
      <c r="E86" s="245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200">
        <f t="shared" si="3"/>
        <v>0</v>
      </c>
      <c r="S86" s="201" t="s">
        <v>748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5005026371</v>
      </c>
      <c r="C87" s="183" t="str">
        <f>IFERROR(IF(VLOOKUP($B87,勘定科目!$A:$H,HLOOKUP($E$5,勘定科目!$F$1:$H$2,2,0),0)="","",VLOOKUP($B87,勘定科目!$A:$E,2,0)),"")</f>
        <v>消耗工具器具備品費（製）</v>
      </c>
      <c r="D87" s="239" t="str">
        <f>IF(C87="","",VLOOKUP($B87,勘定科目!$A:$E,4,0))</f>
        <v>消耗工具器具備品費</v>
      </c>
      <c r="E87" s="245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200">
        <f t="shared" si="3"/>
        <v>0</v>
      </c>
      <c r="S87" s="201" t="s">
        <v>749</v>
      </c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5005026371</v>
      </c>
      <c r="C88" s="183" t="str">
        <f>IFERROR(IF(VLOOKUP($B88,勘定科目!$A:$H,HLOOKUP($E$5,勘定科目!$F$1:$H$2,2,0),0)="","",VLOOKUP($B88,勘定科目!$A:$E,2,0)),"")</f>
        <v>消耗工具器具備品費（製）</v>
      </c>
      <c r="D88" s="239" t="str">
        <f>IF(C88="","",VLOOKUP($B88,勘定科目!$A:$E,4,0))</f>
        <v>消耗工具器具備品費</v>
      </c>
      <c r="E88" s="245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200">
        <f t="shared" si="3"/>
        <v>0</v>
      </c>
      <c r="S88" s="201"/>
      <c r="T88" s="202"/>
      <c r="U88" s="246"/>
      <c r="V88" s="246"/>
      <c r="W88" s="246"/>
      <c r="BA88"/>
      <c r="BB88"/>
    </row>
    <row r="89" spans="1:54" s="191" customFormat="1" ht="13">
      <c r="A89" s="226"/>
      <c r="B89" s="180">
        <v>5005026371</v>
      </c>
      <c r="C89" s="183" t="str">
        <f>IFERROR(IF(VLOOKUP($B89,勘定科目!$A:$H,HLOOKUP($E$5,勘定科目!$F$1:$H$2,2,0),0)="","",VLOOKUP($B89,勘定科目!$A:$E,2,0)),"")</f>
        <v>消耗工具器具備品費（製）</v>
      </c>
      <c r="D89" s="239" t="str">
        <f>IF(C89="","",VLOOKUP($B89,勘定科目!$A:$E,4,0))</f>
        <v>消耗工具器具備品費</v>
      </c>
      <c r="E89" s="245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200">
        <f t="shared" si="3"/>
        <v>0</v>
      </c>
      <c r="S89" s="201" t="s">
        <v>751</v>
      </c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5005026371</v>
      </c>
      <c r="C90" s="183" t="str">
        <f>IFERROR(IF(VLOOKUP($B90,勘定科目!$A:$H,HLOOKUP($E$5,勘定科目!$F$1:$H$2,2,0),0)="","",VLOOKUP($B90,勘定科目!$A:$E,2,0)),"")</f>
        <v>消耗工具器具備品費（製）</v>
      </c>
      <c r="D90" s="239" t="str">
        <f>IF(C90="","",VLOOKUP($B90,勘定科目!$A:$E,4,0))</f>
        <v>消耗工具器具備品費</v>
      </c>
      <c r="E90" s="245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200">
        <f t="shared" si="3"/>
        <v>0</v>
      </c>
      <c r="S90" s="201" t="s">
        <v>752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5005026371</v>
      </c>
      <c r="C91" s="183" t="str">
        <f>IFERROR(IF(VLOOKUP($B91,勘定科目!$A:$H,HLOOKUP($E$5,勘定科目!$F$1:$H$2,2,0),0)="","",VLOOKUP($B91,勘定科目!$A:$E,2,0)),"")</f>
        <v>消耗工具器具備品費（製）</v>
      </c>
      <c r="D91" s="239" t="str">
        <f>IF(C91="","",VLOOKUP($B91,勘定科目!$A:$E,4,0))</f>
        <v>消耗工具器具備品費</v>
      </c>
      <c r="E91" s="245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200">
        <f t="shared" si="3"/>
        <v>0</v>
      </c>
      <c r="S91" s="201" t="s">
        <v>753</v>
      </c>
      <c r="T91" s="202"/>
      <c r="U91" s="246"/>
      <c r="V91" s="246"/>
      <c r="W91" s="246"/>
      <c r="BA91"/>
      <c r="BB91"/>
    </row>
    <row r="92" spans="1:54" s="191" customFormat="1" ht="13">
      <c r="A92" s="226"/>
      <c r="B92" s="180">
        <v>5005026371</v>
      </c>
      <c r="C92" s="183" t="str">
        <f>IFERROR(IF(VLOOKUP($B92,勘定科目!$A:$H,HLOOKUP($E$5,勘定科目!$F$1:$H$2,2,0),0)="","",VLOOKUP($B92,勘定科目!$A:$E,2,0)),"")</f>
        <v>消耗工具器具備品費（製）</v>
      </c>
      <c r="D92" s="239" t="str">
        <f>IF(C92="","",VLOOKUP($B92,勘定科目!$A:$E,4,0))</f>
        <v>消耗工具器具備品費</v>
      </c>
      <c r="E92" s="245"/>
      <c r="F92" s="194"/>
      <c r="G92" s="194"/>
      <c r="H92" s="194"/>
      <c r="I92" s="247"/>
      <c r="J92" s="194"/>
      <c r="K92" s="194"/>
      <c r="L92" s="194"/>
      <c r="M92" s="194"/>
      <c r="N92" s="194"/>
      <c r="O92" s="194"/>
      <c r="P92" s="194"/>
      <c r="Q92" s="194"/>
      <c r="R92" s="200">
        <f t="shared" si="3"/>
        <v>0</v>
      </c>
      <c r="S92" s="201" t="s">
        <v>930</v>
      </c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5005026371</v>
      </c>
      <c r="C93" s="183" t="str">
        <f>IFERROR(IF(VLOOKUP($B93,勘定科目!$A:$H,HLOOKUP($E$5,勘定科目!$F$1:$H$2,2,0),0)="","",VLOOKUP($B93,勘定科目!$A:$E,2,0)),"")</f>
        <v>消耗工具器具備品費（製）</v>
      </c>
      <c r="D93" s="239" t="str">
        <f>IF(C93="","",VLOOKUP($B93,勘定科目!$A:$E,4,0))</f>
        <v>消耗工具器具備品費</v>
      </c>
      <c r="E93" s="245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200">
        <f t="shared" si="3"/>
        <v>0</v>
      </c>
      <c r="S93" s="201" t="s">
        <v>754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5005026371</v>
      </c>
      <c r="C94" s="183" t="str">
        <f>IFERROR(IF(VLOOKUP($B94,勘定科目!$A:$H,HLOOKUP($E$5,勘定科目!$F$1:$H$2,2,0),0)="","",VLOOKUP($B94,勘定科目!$A:$E,2,0)),"")</f>
        <v>消耗工具器具備品費（製）</v>
      </c>
      <c r="D94" s="239" t="str">
        <f>IF(C94="","",VLOOKUP($B94,勘定科目!$A:$E,4,0))</f>
        <v>消耗工具器具備品費</v>
      </c>
      <c r="E94" s="245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200">
        <f t="shared" si="3"/>
        <v>0</v>
      </c>
      <c r="S94" s="201" t="s">
        <v>755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5005026371</v>
      </c>
      <c r="C95" s="183" t="str">
        <f>IFERROR(IF(VLOOKUP($B95,勘定科目!$A:$H,HLOOKUP($E$5,勘定科目!$F$1:$H$2,2,0),0)="","",VLOOKUP($B95,勘定科目!$A:$E,2,0)),"")</f>
        <v>消耗工具器具備品費（製）</v>
      </c>
      <c r="D95" s="239" t="str">
        <f>IF(C95="","",VLOOKUP($B95,勘定科目!$A:$E,4,0))</f>
        <v>消耗工具器具備品費</v>
      </c>
      <c r="E95" s="245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200">
        <f t="shared" si="3"/>
        <v>0</v>
      </c>
      <c r="S95" s="201" t="s">
        <v>756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9" t="str">
        <f>IF(C96="","",VLOOKUP($B96,勘定科目!$A:$E,4,0))</f>
        <v>消耗工具器具備品費</v>
      </c>
      <c r="E96" s="245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200">
        <f t="shared" si="3"/>
        <v>0</v>
      </c>
      <c r="S96" s="201" t="s">
        <v>715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200">
        <f t="shared" si="3"/>
        <v>0</v>
      </c>
      <c r="S97" s="201" t="s">
        <v>716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200">
        <f t="shared" si="3"/>
        <v>0</v>
      </c>
      <c r="S98" s="201" t="s">
        <v>757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200">
        <f t="shared" si="3"/>
        <v>0</v>
      </c>
      <c r="S99" s="201" t="s">
        <v>758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200">
        <f t="shared" si="3"/>
        <v>0</v>
      </c>
      <c r="S100" s="201" t="s">
        <v>759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9" t="str">
        <f>IF(C101="","",VLOOKUP($B101,勘定科目!$A:$E,4,0))</f>
        <v>消耗工具器具備品費</v>
      </c>
      <c r="E101" s="245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200">
        <f t="shared" si="3"/>
        <v>0</v>
      </c>
      <c r="S101" s="201" t="s">
        <v>759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9" t="str">
        <f>IF(C102="","",VLOOKUP($B102,勘定科目!$A:$E,4,0))</f>
        <v>消耗工具器具備品費</v>
      </c>
      <c r="E102" s="245"/>
      <c r="F102" s="194">
        <f>1*2148000</f>
        <v>2148000</v>
      </c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200">
        <f t="shared" si="3"/>
        <v>2148000</v>
      </c>
      <c r="S102" s="201" t="s">
        <v>936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9" t="str">
        <f>IF(C103="","",VLOOKUP($B103,勘定科目!$A:$E,4,0))</f>
        <v>消耗工具器具備品費</v>
      </c>
      <c r="E103" s="245"/>
      <c r="F103" s="194"/>
      <c r="G103" s="194">
        <v>6000000</v>
      </c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200">
        <f t="shared" si="3"/>
        <v>6000000</v>
      </c>
      <c r="S103" s="201" t="s">
        <v>934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5005026371</v>
      </c>
      <c r="C104" s="183" t="str">
        <f>IFERROR(IF(VLOOKUP($B104,勘定科目!$A:$H,HLOOKUP($E$5,勘定科目!$F$1:$H$2,2,0),0)="","",VLOOKUP($B104,勘定科目!$A:$E,2,0)),"")</f>
        <v>消耗工具器具備品費（製）</v>
      </c>
      <c r="D104" s="239" t="str">
        <f>IF(C104="","",VLOOKUP($B104,勘定科目!$A:$E,4,0))</f>
        <v>消耗工具器具備品費</v>
      </c>
      <c r="E104" s="245"/>
      <c r="F104" s="194"/>
      <c r="G104" s="194">
        <v>5000000</v>
      </c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200">
        <f t="shared" si="3"/>
        <v>5000000</v>
      </c>
      <c r="S104" s="201" t="s">
        <v>935</v>
      </c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5005026371</v>
      </c>
      <c r="C105" s="183" t="str">
        <f>IFERROR(IF(VLOOKUP($B105,勘定科目!$A:$H,HLOOKUP($E$5,勘定科目!$F$1:$H$2,2,0),0)="","",VLOOKUP($B105,勘定科目!$A:$E,2,0)),"")</f>
        <v>消耗工具器具備品費（製）</v>
      </c>
      <c r="D105" s="239" t="str">
        <f>IF(C105="","",VLOOKUP($B105,勘定科目!$A:$E,4,0))</f>
        <v>消耗工具器具備品費</v>
      </c>
      <c r="E105" s="245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200">
        <f t="shared" si="3"/>
        <v>0</v>
      </c>
      <c r="S105" s="201" t="s">
        <v>760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5005026371</v>
      </c>
      <c r="C106" s="183" t="str">
        <f>IFERROR(IF(VLOOKUP($B106,勘定科目!$A:$H,HLOOKUP($E$5,勘定科目!$F$1:$H$2,2,0),0)="","",VLOOKUP($B106,勘定科目!$A:$E,2,0)),"")</f>
        <v>消耗工具器具備品費（製）</v>
      </c>
      <c r="D106" s="239" t="str">
        <f>IF(C106="","",VLOOKUP($B106,勘定科目!$A:$E,4,0))</f>
        <v>消耗工具器具備品費</v>
      </c>
      <c r="E106" s="245"/>
      <c r="F106" s="194"/>
      <c r="G106" s="194">
        <f>1102000*2</f>
        <v>2204000</v>
      </c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200">
        <f t="shared" si="3"/>
        <v>2204000</v>
      </c>
      <c r="S106" s="201" t="s">
        <v>937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5005026371</v>
      </c>
      <c r="C107" s="183" t="str">
        <f>IFERROR(IF(VLOOKUP($B107,勘定科目!$A:$H,HLOOKUP($E$5,勘定科目!$F$1:$H$2,2,0),0)="","",VLOOKUP($B107,勘定科目!$A:$E,2,0)),"")</f>
        <v>消耗工具器具備品費（製）</v>
      </c>
      <c r="D107" s="239" t="str">
        <f>IF(C107="","",VLOOKUP($B107,勘定科目!$A:$E,4,0))</f>
        <v>消耗工具器具備品費</v>
      </c>
      <c r="E107" s="245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200">
        <f t="shared" si="3"/>
        <v>0</v>
      </c>
      <c r="S107" s="201" t="s">
        <v>762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5005026371</v>
      </c>
      <c r="C108" s="183" t="str">
        <f>IFERROR(IF(VLOOKUP($B108,勘定科目!$A:$H,HLOOKUP($E$5,勘定科目!$F$1:$H$2,2,0),0)="","",VLOOKUP($B108,勘定科目!$A:$E,2,0)),"")</f>
        <v>消耗工具器具備品費（製）</v>
      </c>
      <c r="D108" s="239" t="str">
        <f>IF(C108="","",VLOOKUP($B108,勘定科目!$A:$E,4,0))</f>
        <v>消耗工具器具備品費</v>
      </c>
      <c r="E108" s="245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200">
        <f t="shared" si="3"/>
        <v>0</v>
      </c>
      <c r="S108" s="201" t="s">
        <v>763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5005026371</v>
      </c>
      <c r="C109" s="183" t="str">
        <f>IFERROR(IF(VLOOKUP($B109,勘定科目!$A:$H,HLOOKUP($E$5,勘定科目!$F$1:$H$2,2,0),0)="","",VLOOKUP($B109,勘定科目!$A:$E,2,0)),"")</f>
        <v>消耗工具器具備品費（製）</v>
      </c>
      <c r="D109" s="239" t="str">
        <f>IF(C109="","",VLOOKUP($B109,勘定科目!$A:$E,4,0))</f>
        <v>消耗工具器具備品費</v>
      </c>
      <c r="E109" s="245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200">
        <f t="shared" si="3"/>
        <v>0</v>
      </c>
      <c r="S109" s="201" t="s">
        <v>764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>
        <v>5005026371</v>
      </c>
      <c r="C110" s="183" t="str">
        <f>IFERROR(IF(VLOOKUP($B110,勘定科目!$A:$H,HLOOKUP($E$5,勘定科目!$F$1:$H$2,2,0),0)="","",VLOOKUP($B110,勘定科目!$A:$E,2,0)),"")</f>
        <v>消耗工具器具備品費（製）</v>
      </c>
      <c r="D110" s="239" t="str">
        <f>IF(C110="","",VLOOKUP($B110,勘定科目!$A:$E,4,0))</f>
        <v>消耗工具器具備品費</v>
      </c>
      <c r="E110" s="245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200">
        <f t="shared" si="3"/>
        <v>0</v>
      </c>
      <c r="S110" s="201" t="s">
        <v>765</v>
      </c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5005026371</v>
      </c>
      <c r="C111" s="183" t="str">
        <f>IFERROR(IF(VLOOKUP($B111,勘定科目!$A:$H,HLOOKUP($E$5,勘定科目!$F$1:$H$2,2,0),0)="","",VLOOKUP($B111,勘定科目!$A:$E,2,0)),"")</f>
        <v>消耗工具器具備品費（製）</v>
      </c>
      <c r="D111" s="239" t="str">
        <f>IF(C111="","",VLOOKUP($B111,勘定科目!$A:$E,4,0))</f>
        <v>消耗工具器具備品費</v>
      </c>
      <c r="E111" s="245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200">
        <f t="shared" si="3"/>
        <v>0</v>
      </c>
      <c r="S111" s="201" t="s">
        <v>766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>
        <v>5005026371</v>
      </c>
      <c r="C112" s="183" t="str">
        <f>IFERROR(IF(VLOOKUP($B112,勘定科目!$A:$H,HLOOKUP($E$5,勘定科目!$F$1:$H$2,2,0),0)="","",VLOOKUP($B112,勘定科目!$A:$E,2,0)),"")</f>
        <v>消耗工具器具備品費（製）</v>
      </c>
      <c r="D112" s="239" t="str">
        <f>IF(C112="","",VLOOKUP($B112,勘定科目!$A:$E,4,0))</f>
        <v>消耗工具器具備品費</v>
      </c>
      <c r="E112" s="245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200">
        <f t="shared" si="3"/>
        <v>0</v>
      </c>
      <c r="S112" s="201" t="s">
        <v>767</v>
      </c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5005026371</v>
      </c>
      <c r="C113" s="183" t="str">
        <f>IFERROR(IF(VLOOKUP($B113,勘定科目!$A:$H,HLOOKUP($E$5,勘定科目!$F$1:$H$2,2,0),0)="","",VLOOKUP($B113,勘定科目!$A:$E,2,0)),"")</f>
        <v>消耗工具器具備品費（製）</v>
      </c>
      <c r="D113" s="239" t="str">
        <f>IF(C113="","",VLOOKUP($B113,勘定科目!$A:$E,4,0))</f>
        <v>消耗工具器具備品費</v>
      </c>
      <c r="E113" s="245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200">
        <f t="shared" si="3"/>
        <v>0</v>
      </c>
      <c r="S113" s="201" t="s">
        <v>768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5005026371</v>
      </c>
      <c r="C114" s="183" t="str">
        <f>IFERROR(IF(VLOOKUP($B114,勘定科目!$A:$H,HLOOKUP($E$5,勘定科目!$F$1:$H$2,2,0),0)="","",VLOOKUP($B114,勘定科目!$A:$E,2,0)),"")</f>
        <v>消耗工具器具備品費（製）</v>
      </c>
      <c r="D114" s="239" t="str">
        <f>IF(C114="","",VLOOKUP($B114,勘定科目!$A:$E,4,0))</f>
        <v>消耗工具器具備品費</v>
      </c>
      <c r="E114" s="245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200">
        <f t="shared" si="3"/>
        <v>0</v>
      </c>
      <c r="S114" s="201" t="s">
        <v>769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5005026371</v>
      </c>
      <c r="C115" s="183" t="str">
        <f>IFERROR(IF(VLOOKUP($B115,勘定科目!$A:$H,HLOOKUP($E$5,勘定科目!$F$1:$H$2,2,0),0)="","",VLOOKUP($B115,勘定科目!$A:$E,2,0)),"")</f>
        <v>消耗工具器具備品費（製）</v>
      </c>
      <c r="D115" s="239" t="str">
        <f>IF(C115="","",VLOOKUP($B115,勘定科目!$A:$E,4,0))</f>
        <v>消耗工具器具備品費</v>
      </c>
      <c r="E115" s="245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200">
        <f t="shared" si="3"/>
        <v>0</v>
      </c>
      <c r="S115" s="201" t="s">
        <v>770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5005026371</v>
      </c>
      <c r="C116" s="183" t="str">
        <f>IFERROR(IF(VLOOKUP($B116,勘定科目!$A:$H,HLOOKUP($E$5,勘定科目!$F$1:$H$2,2,0),0)="","",VLOOKUP($B116,勘定科目!$A:$E,2,0)),"")</f>
        <v>消耗工具器具備品費（製）</v>
      </c>
      <c r="D116" s="239" t="str">
        <f>IF(C116="","",VLOOKUP($B116,勘定科目!$A:$E,4,0))</f>
        <v>消耗工具器具備品費</v>
      </c>
      <c r="E116" s="245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200">
        <f t="shared" si="3"/>
        <v>0</v>
      </c>
      <c r="S116" s="201" t="s">
        <v>771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>
        <v>5005026371</v>
      </c>
      <c r="C117" s="183" t="str">
        <f>IFERROR(IF(VLOOKUP($B117,勘定科目!$A:$H,HLOOKUP($E$5,勘定科目!$F$1:$H$2,2,0),0)="","",VLOOKUP($B117,勘定科目!$A:$E,2,0)),"")</f>
        <v>消耗工具器具備品費（製）</v>
      </c>
      <c r="D117" s="239" t="str">
        <f>IF(C117="","",VLOOKUP($B117,勘定科目!$A:$E,4,0))</f>
        <v>消耗工具器具備品費</v>
      </c>
      <c r="E117" s="245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200">
        <f t="shared" si="3"/>
        <v>0</v>
      </c>
      <c r="S117" s="201" t="s">
        <v>772</v>
      </c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5005026371</v>
      </c>
      <c r="C118" s="183" t="str">
        <f>IFERROR(IF(VLOOKUP($B118,勘定科目!$A:$H,HLOOKUP($E$5,勘定科目!$F$1:$H$2,2,0),0)="","",VLOOKUP($B118,勘定科目!$A:$E,2,0)),"")</f>
        <v>消耗工具器具備品費（製）</v>
      </c>
      <c r="D118" s="239" t="str">
        <f>IF(C118="","",VLOOKUP($B118,勘定科目!$A:$E,4,0))</f>
        <v>消耗工具器具備品費</v>
      </c>
      <c r="E118" s="245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200">
        <f t="shared" si="3"/>
        <v>0</v>
      </c>
      <c r="S118" s="201" t="s">
        <v>773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5005026371</v>
      </c>
      <c r="C119" s="183" t="str">
        <f>IFERROR(IF(VLOOKUP($B119,勘定科目!$A:$H,HLOOKUP($E$5,勘定科目!$F$1:$H$2,2,0),0)="","",VLOOKUP($B119,勘定科目!$A:$E,2,0)),"")</f>
        <v>消耗工具器具備品費（製）</v>
      </c>
      <c r="D119" s="239" t="str">
        <f>IF(C119="","",VLOOKUP($B119,勘定科目!$A:$E,4,0))</f>
        <v>消耗工具器具備品費</v>
      </c>
      <c r="E119" s="245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200">
        <f t="shared" ref="R119:R182" si="7">SUM(F119:Q119)</f>
        <v>0</v>
      </c>
      <c r="S119" s="201" t="s">
        <v>774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5005026371</v>
      </c>
      <c r="C120" s="183" t="str">
        <f>IFERROR(IF(VLOOKUP($B120,勘定科目!$A:$H,HLOOKUP($E$5,勘定科目!$F$1:$H$2,2,0),0)="","",VLOOKUP($B120,勘定科目!$A:$E,2,0)),"")</f>
        <v>消耗工具器具備品費（製）</v>
      </c>
      <c r="D120" s="239" t="str">
        <f>IF(C120="","",VLOOKUP($B120,勘定科目!$A:$E,4,0))</f>
        <v>消耗工具器具備品費</v>
      </c>
      <c r="E120" s="245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200">
        <f t="shared" si="7"/>
        <v>0</v>
      </c>
      <c r="S120" s="201" t="s">
        <v>775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5005026371</v>
      </c>
      <c r="C121" s="183" t="str">
        <f>IFERROR(IF(VLOOKUP($B121,勘定科目!$A:$H,HLOOKUP($E$5,勘定科目!$F$1:$H$2,2,0),0)="","",VLOOKUP($B121,勘定科目!$A:$E,2,0)),"")</f>
        <v>消耗工具器具備品費（製）</v>
      </c>
      <c r="D121" s="239" t="str">
        <f>IF(C121="","",VLOOKUP($B121,勘定科目!$A:$E,4,0))</f>
        <v>消耗工具器具備品費</v>
      </c>
      <c r="E121" s="245"/>
      <c r="F121" s="194"/>
      <c r="G121" s="194">
        <f>1800000*3</f>
        <v>5400000</v>
      </c>
      <c r="H121" s="194"/>
      <c r="I121" s="194">
        <f>1800000*3</f>
        <v>5400000</v>
      </c>
      <c r="J121" s="194">
        <f>1800000*3</f>
        <v>5400000</v>
      </c>
      <c r="K121" s="194"/>
      <c r="L121" s="194"/>
      <c r="M121" s="194"/>
      <c r="N121" s="194"/>
      <c r="O121" s="194"/>
      <c r="P121" s="194"/>
      <c r="Q121" s="194"/>
      <c r="R121" s="200">
        <f t="shared" si="7"/>
        <v>16200000</v>
      </c>
      <c r="S121" s="201" t="s">
        <v>931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5005026371</v>
      </c>
      <c r="C122" s="183" t="str">
        <f>IFERROR(IF(VLOOKUP($B122,勘定科目!$A:$H,HLOOKUP($E$5,勘定科目!$F$1:$H$2,2,0),0)="","",VLOOKUP($B122,勘定科目!$A:$E,2,0)),"")</f>
        <v>消耗工具器具備品費（製）</v>
      </c>
      <c r="D122" s="239" t="str">
        <f>IF(C122="","",VLOOKUP($B122,勘定科目!$A:$E,4,0))</f>
        <v>消耗工具器具備品費</v>
      </c>
      <c r="E122" s="245"/>
      <c r="F122" s="194"/>
      <c r="G122" s="194">
        <v>26000000</v>
      </c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200">
        <f t="shared" si="7"/>
        <v>26000000</v>
      </c>
      <c r="S122" s="201" t="s">
        <v>943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>
        <v>5005026371</v>
      </c>
      <c r="C123" s="183" t="str">
        <f>IFERROR(IF(VLOOKUP($B123,勘定科目!$A:$H,HLOOKUP($E$5,勘定科目!$F$1:$H$2,2,0),0)="","",VLOOKUP($B123,勘定科目!$A:$E,2,0)),"")</f>
        <v>消耗工具器具備品費（製）</v>
      </c>
      <c r="D123" s="239" t="str">
        <f>IF(C123="","",VLOOKUP($B123,勘定科目!$A:$E,4,0))</f>
        <v>消耗工具器具備品費</v>
      </c>
      <c r="E123" s="245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200">
        <f t="shared" si="7"/>
        <v>0</v>
      </c>
      <c r="S123" s="201" t="s">
        <v>776</v>
      </c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>
        <v>5005026371</v>
      </c>
      <c r="C124" s="183" t="str">
        <f>IFERROR(IF(VLOOKUP($B124,勘定科目!$A:$H,HLOOKUP($E$5,勘定科目!$F$1:$H$2,2,0),0)="","",VLOOKUP($B124,勘定科目!$A:$E,2,0)),"")</f>
        <v>消耗工具器具備品費（製）</v>
      </c>
      <c r="D124" s="239" t="str">
        <f>IF(C124="","",VLOOKUP($B124,勘定科目!$A:$E,4,0))</f>
        <v>消耗工具器具備品費</v>
      </c>
      <c r="E124" s="245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200">
        <f t="shared" si="7"/>
        <v>0</v>
      </c>
      <c r="S124" s="201" t="s">
        <v>777</v>
      </c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>
        <v>5005026371</v>
      </c>
      <c r="C125" s="183" t="str">
        <f>IFERROR(IF(VLOOKUP($B125,勘定科目!$A:$H,HLOOKUP($E$5,勘定科目!$F$1:$H$2,2,0),0)="","",VLOOKUP($B125,勘定科目!$A:$E,2,0)),"")</f>
        <v>消耗工具器具備品費（製）</v>
      </c>
      <c r="D125" s="239" t="str">
        <f>IF(C125="","",VLOOKUP($B125,勘定科目!$A:$E,4,0))</f>
        <v>消耗工具器具備品費</v>
      </c>
      <c r="E125" s="245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200">
        <f t="shared" si="7"/>
        <v>0</v>
      </c>
      <c r="S125" s="201" t="s">
        <v>778</v>
      </c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5005026371</v>
      </c>
      <c r="C126" s="183" t="str">
        <f>IFERROR(IF(VLOOKUP($B126,勘定科目!$A:$H,HLOOKUP($E$5,勘定科目!$F$1:$H$2,2,0),0)="","",VLOOKUP($B126,勘定科目!$A:$E,2,0)),"")</f>
        <v>消耗工具器具備品費（製）</v>
      </c>
      <c r="D126" s="239" t="str">
        <f>IF(C126="","",VLOOKUP($B126,勘定科目!$A:$E,4,0))</f>
        <v>消耗工具器具備品費</v>
      </c>
      <c r="E126" s="245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200">
        <f t="shared" si="7"/>
        <v>0</v>
      </c>
      <c r="S126" s="201" t="s">
        <v>920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5005026371</v>
      </c>
      <c r="C127" s="183" t="str">
        <f>IFERROR(IF(VLOOKUP($B127,勘定科目!$A:$H,HLOOKUP($E$5,勘定科目!$F$1:$H$2,2,0),0)="","",VLOOKUP($B127,勘定科目!$A:$E,2,0)),"")</f>
        <v>消耗工具器具備品費（製）</v>
      </c>
      <c r="D127" s="239" t="str">
        <f>IF(C127="","",VLOOKUP($B127,勘定科目!$A:$E,4,0))</f>
        <v>消耗工具器具備品費</v>
      </c>
      <c r="E127" s="245"/>
      <c r="F127" s="194"/>
      <c r="G127" s="194"/>
      <c r="H127" s="194"/>
      <c r="I127" s="194">
        <f>505000+3490000</f>
        <v>3995000</v>
      </c>
      <c r="J127" s="194"/>
      <c r="K127" s="194"/>
      <c r="L127" s="194"/>
      <c r="M127" s="194"/>
      <c r="N127" s="194"/>
      <c r="O127" s="194"/>
      <c r="P127" s="194"/>
      <c r="Q127" s="194"/>
      <c r="R127" s="200">
        <f t="shared" si="7"/>
        <v>3995000</v>
      </c>
      <c r="S127" s="201" t="s">
        <v>750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5005026371</v>
      </c>
      <c r="C128" s="183" t="str">
        <f>IFERROR(IF(VLOOKUP($B128,勘定科目!$A:$H,HLOOKUP($E$5,勘定科目!$F$1:$H$2,2,0),0)="","",VLOOKUP($B128,勘定科目!$A:$E,2,0)),"")</f>
        <v>消耗工具器具備品費（製）</v>
      </c>
      <c r="D128" s="239" t="str">
        <f>IF(C128="","",VLOOKUP($B128,勘定科目!$A:$E,4,0))</f>
        <v>消耗工具器具備品費</v>
      </c>
      <c r="E128" s="245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200">
        <f t="shared" si="7"/>
        <v>0</v>
      </c>
      <c r="S128" s="201" t="s">
        <v>933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5005026371</v>
      </c>
      <c r="C129" s="183" t="str">
        <f>IFERROR(IF(VLOOKUP($B129,勘定科目!$A:$H,HLOOKUP($E$5,勘定科目!$F$1:$H$2,2,0),0)="","",VLOOKUP($B129,勘定科目!$A:$E,2,0)),"")</f>
        <v>消耗工具器具備品費（製）</v>
      </c>
      <c r="D129" s="239" t="str">
        <f>IF(C129="","",VLOOKUP($B129,勘定科目!$A:$E,4,0))</f>
        <v>消耗工具器具備品費</v>
      </c>
      <c r="E129" s="245"/>
      <c r="F129" s="194"/>
      <c r="G129" s="194"/>
      <c r="H129" s="194"/>
      <c r="I129" s="194">
        <f>1850000+270000+70000</f>
        <v>2190000</v>
      </c>
      <c r="J129" s="194"/>
      <c r="K129" s="194"/>
      <c r="L129" s="194"/>
      <c r="M129" s="194"/>
      <c r="N129" s="194"/>
      <c r="O129" s="194"/>
      <c r="P129" s="194"/>
      <c r="Q129" s="194"/>
      <c r="R129" s="200">
        <f t="shared" si="7"/>
        <v>2190000</v>
      </c>
      <c r="S129" s="201" t="s">
        <v>919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>
        <v>5005026371</v>
      </c>
      <c r="C130" s="183" t="str">
        <f>IFERROR(IF(VLOOKUP($B130,勘定科目!$A:$H,HLOOKUP($E$5,勘定科目!$F$1:$H$2,2,0),0)="","",VLOOKUP($B130,勘定科目!$A:$E,2,0)),"")</f>
        <v>消耗工具器具備品費（製）</v>
      </c>
      <c r="D130" s="239" t="str">
        <f>IF(C130="","",VLOOKUP($B130,勘定科目!$A:$E,4,0))</f>
        <v>消耗工具器具備品費</v>
      </c>
      <c r="E130" s="245"/>
      <c r="F130" s="194"/>
      <c r="G130" s="194"/>
      <c r="H130" s="194"/>
      <c r="I130" s="194">
        <f>23240000</f>
        <v>23240000</v>
      </c>
      <c r="J130" s="194"/>
      <c r="K130" s="194"/>
      <c r="L130" s="194"/>
      <c r="M130" s="194"/>
      <c r="N130" s="194"/>
      <c r="O130" s="194"/>
      <c r="P130" s="194"/>
      <c r="Q130" s="194"/>
      <c r="R130" s="200">
        <f t="shared" si="7"/>
        <v>23240000</v>
      </c>
      <c r="S130" s="201" t="s">
        <v>761</v>
      </c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200">
        <f t="shared" si="7"/>
        <v>0</v>
      </c>
      <c r="S131" s="201" t="s">
        <v>921</v>
      </c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5005116291</v>
      </c>
      <c r="C132" s="183" t="str">
        <f>IFERROR(IF(VLOOKUP($B132,勘定科目!$A:$H,HLOOKUP($E$5,勘定科目!$F$1:$H$2,2,0),0)="","",VLOOKUP($B132,勘定科目!$A:$E,2,0)),"")</f>
        <v>ベトナム国内交通費（製）</v>
      </c>
      <c r="D132" s="239" t="str">
        <f>IF(C132="","",VLOOKUP($B132,勘定科目!$A:$E,4,0))</f>
        <v>旅費交通費</v>
      </c>
      <c r="E132" s="245"/>
      <c r="F132" s="194">
        <v>2300000</v>
      </c>
      <c r="G132" s="194">
        <v>2300000</v>
      </c>
      <c r="H132" s="194">
        <v>3000000</v>
      </c>
      <c r="I132" s="194">
        <v>3000000</v>
      </c>
      <c r="J132" s="194">
        <v>2300000</v>
      </c>
      <c r="K132" s="194">
        <v>3800000</v>
      </c>
      <c r="L132" s="194">
        <v>3000000</v>
      </c>
      <c r="M132" s="194">
        <v>3000000</v>
      </c>
      <c r="N132" s="194">
        <v>2300000</v>
      </c>
      <c r="O132" s="194">
        <v>2300000</v>
      </c>
      <c r="P132" s="194">
        <v>3000000</v>
      </c>
      <c r="Q132" s="194">
        <v>3000000</v>
      </c>
      <c r="R132" s="200">
        <f t="shared" si="7"/>
        <v>33300000</v>
      </c>
      <c r="S132" s="201" t="s">
        <v>779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5005116291</v>
      </c>
      <c r="C133" s="183" t="str">
        <f>IFERROR(IF(VLOOKUP($B133,勘定科目!$A:$H,HLOOKUP($E$5,勘定科目!$F$1:$H$2,2,0),0)="","",VLOOKUP($B133,勘定科目!$A:$E,2,0)),"")</f>
        <v>ベトナム国内交通費（製）</v>
      </c>
      <c r="D133" s="239" t="str">
        <f>IF(C133="","",VLOOKUP($B133,勘定科目!$A:$E,4,0))</f>
        <v>旅費交通費</v>
      </c>
      <c r="E133" s="245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200">
        <f t="shared" si="7"/>
        <v>0</v>
      </c>
      <c r="S133" s="201" t="s">
        <v>780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5005116291</v>
      </c>
      <c r="C134" s="183" t="str">
        <f>IFERROR(IF(VLOOKUP($B134,勘定科目!$A:$H,HLOOKUP($E$5,勘定科目!$F$1:$H$2,2,0),0)="","",VLOOKUP($B134,勘定科目!$A:$E,2,0)),"")</f>
        <v>ベトナム国内交通費（製）</v>
      </c>
      <c r="D134" s="239" t="str">
        <f>IF(C134="","",VLOOKUP($B134,勘定科目!$A:$E,4,0))</f>
        <v>旅費交通費</v>
      </c>
      <c r="E134" s="245"/>
      <c r="F134" s="194">
        <v>2710000</v>
      </c>
      <c r="G134" s="194">
        <v>170000</v>
      </c>
      <c r="H134" s="194">
        <v>170000</v>
      </c>
      <c r="I134" s="194">
        <v>170000</v>
      </c>
      <c r="J134" s="194">
        <v>2290000</v>
      </c>
      <c r="K134" s="194">
        <v>310000</v>
      </c>
      <c r="L134" s="194">
        <v>2290000</v>
      </c>
      <c r="M134" s="194">
        <v>170000</v>
      </c>
      <c r="N134" s="194">
        <v>170000</v>
      </c>
      <c r="O134" s="194">
        <v>2290000</v>
      </c>
      <c r="P134" s="194">
        <v>170000</v>
      </c>
      <c r="Q134" s="194">
        <v>170000</v>
      </c>
      <c r="R134" s="200">
        <f t="shared" si="7"/>
        <v>11080000</v>
      </c>
      <c r="S134" s="201" t="s">
        <v>781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5005116291</v>
      </c>
      <c r="C135" s="183" t="str">
        <f>IFERROR(IF(VLOOKUP($B135,勘定科目!$A:$H,HLOOKUP($E$5,勘定科目!$F$1:$H$2,2,0),0)="","",VLOOKUP($B135,勘定科目!$A:$E,2,0)),"")</f>
        <v>ベトナム国内交通費（製）</v>
      </c>
      <c r="D135" s="239" t="str">
        <f>IF(C135="","",VLOOKUP($B135,勘定科目!$A:$E,4,0))</f>
        <v>旅費交通費</v>
      </c>
      <c r="E135" s="245"/>
      <c r="F135" s="194">
        <v>3920000</v>
      </c>
      <c r="G135" s="194">
        <v>280000</v>
      </c>
      <c r="H135" s="194">
        <v>280000</v>
      </c>
      <c r="I135" s="194">
        <v>420000</v>
      </c>
      <c r="J135" s="194">
        <v>3500000</v>
      </c>
      <c r="K135" s="194">
        <v>420000</v>
      </c>
      <c r="L135" s="194">
        <v>3500000</v>
      </c>
      <c r="M135" s="194">
        <v>280000</v>
      </c>
      <c r="N135" s="194">
        <v>280000</v>
      </c>
      <c r="O135" s="194">
        <v>3640000</v>
      </c>
      <c r="P135" s="194">
        <v>280000</v>
      </c>
      <c r="Q135" s="194">
        <v>280000</v>
      </c>
      <c r="R135" s="200">
        <f t="shared" si="7"/>
        <v>17080000</v>
      </c>
      <c r="S135" s="201" t="s">
        <v>782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5005116291</v>
      </c>
      <c r="C136" s="183" t="str">
        <f>IFERROR(IF(VLOOKUP($B136,勘定科目!$A:$H,HLOOKUP($E$5,勘定科目!$F$1:$H$2,2,0),0)="","",VLOOKUP($B136,勘定科目!$A:$E,2,0)),"")</f>
        <v>ベトナム国内交通費（製）</v>
      </c>
      <c r="D136" s="239" t="str">
        <f>IF(C136="","",VLOOKUP($B136,勘定科目!$A:$E,4,0))</f>
        <v>旅費交通費</v>
      </c>
      <c r="E136" s="245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200">
        <f t="shared" si="7"/>
        <v>0</v>
      </c>
      <c r="S136" s="201" t="s">
        <v>783</v>
      </c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5005116291</v>
      </c>
      <c r="C137" s="183" t="str">
        <f>IFERROR(IF(VLOOKUP($B137,勘定科目!$A:$H,HLOOKUP($E$5,勘定科目!$F$1:$H$2,2,0),0)="","",VLOOKUP($B137,勘定科目!$A:$E,2,0)),"")</f>
        <v>ベトナム国内交通費（製）</v>
      </c>
      <c r="D137" s="239" t="str">
        <f>IF(C137="","",VLOOKUP($B137,勘定科目!$A:$E,4,0))</f>
        <v>旅費交通費</v>
      </c>
      <c r="E137" s="245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200">
        <f t="shared" si="7"/>
        <v>0</v>
      </c>
      <c r="S137" s="201" t="s">
        <v>784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5005116291</v>
      </c>
      <c r="C138" s="183" t="str">
        <f>IFERROR(IF(VLOOKUP($B138,勘定科目!$A:$H,HLOOKUP($E$5,勘定科目!$F$1:$H$2,2,0),0)="","",VLOOKUP($B138,勘定科目!$A:$E,2,0)),"")</f>
        <v>ベトナム国内交通費（製）</v>
      </c>
      <c r="D138" s="239" t="str">
        <f>IF(C138="","",VLOOKUP($B138,勘定科目!$A:$E,4,0))</f>
        <v>旅費交通費</v>
      </c>
      <c r="E138" s="245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200">
        <f t="shared" si="7"/>
        <v>0</v>
      </c>
      <c r="S138" s="201" t="s">
        <v>785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5005116291</v>
      </c>
      <c r="C139" s="183" t="str">
        <f>IFERROR(IF(VLOOKUP($B139,勘定科目!$A:$H,HLOOKUP($E$5,勘定科目!$F$1:$H$2,2,0),0)="","",VLOOKUP($B139,勘定科目!$A:$E,2,0)),"")</f>
        <v>ベトナム国内交通費（製）</v>
      </c>
      <c r="D139" s="239" t="str">
        <f>IF(C139="","",VLOOKUP($B139,勘定科目!$A:$E,4,0))</f>
        <v>旅費交通費</v>
      </c>
      <c r="E139" s="245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200">
        <f t="shared" si="7"/>
        <v>0</v>
      </c>
      <c r="S139" s="201" t="s">
        <v>786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>
        <v>5005116291</v>
      </c>
      <c r="C140" s="183" t="str">
        <f>IFERROR(IF(VLOOKUP($B140,勘定科目!$A:$H,HLOOKUP($E$5,勘定科目!$F$1:$H$2,2,0),0)="","",VLOOKUP($B140,勘定科目!$A:$E,2,0)),"")</f>
        <v>ベトナム国内交通費（製）</v>
      </c>
      <c r="D140" s="239" t="str">
        <f>IF(C140="","",VLOOKUP($B140,勘定科目!$A:$E,4,0))</f>
        <v>旅費交通費</v>
      </c>
      <c r="E140" s="245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200">
        <f t="shared" si="7"/>
        <v>0</v>
      </c>
      <c r="S140" s="201" t="s">
        <v>787</v>
      </c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5005116291</v>
      </c>
      <c r="C141" s="183" t="str">
        <f>IFERROR(IF(VLOOKUP($B141,勘定科目!$A:$H,HLOOKUP($E$5,勘定科目!$F$1:$H$2,2,0),0)="","",VLOOKUP($B141,勘定科目!$A:$E,2,0)),"")</f>
        <v>ベトナム国内交通費（製）</v>
      </c>
      <c r="D141" s="239" t="str">
        <f>IF(C141="","",VLOOKUP($B141,勘定科目!$A:$E,4,0))</f>
        <v>旅費交通費</v>
      </c>
      <c r="E141" s="245"/>
      <c r="F141" s="194"/>
      <c r="G141" s="194"/>
      <c r="H141" s="194"/>
      <c r="I141" s="194">
        <f>1400000*1</f>
        <v>1400000</v>
      </c>
      <c r="J141" s="194">
        <f>1400000*1</f>
        <v>1400000</v>
      </c>
      <c r="K141" s="194"/>
      <c r="L141" s="194"/>
      <c r="M141" s="194"/>
      <c r="N141" s="194"/>
      <c r="O141" s="194"/>
      <c r="P141" s="194"/>
      <c r="Q141" s="194"/>
      <c r="R141" s="200">
        <f t="shared" si="7"/>
        <v>2800000</v>
      </c>
      <c r="S141" s="201" t="s">
        <v>942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5005116291</v>
      </c>
      <c r="C142" s="183" t="str">
        <f>IFERROR(IF(VLOOKUP($B142,勘定科目!$A:$H,HLOOKUP($E$5,勘定科目!$F$1:$H$2,2,0),0)="","",VLOOKUP($B142,勘定科目!$A:$E,2,0)),"")</f>
        <v>ベトナム国内交通費（製）</v>
      </c>
      <c r="D142" s="239" t="str">
        <f>IF(C142="","",VLOOKUP($B142,勘定科目!$A:$E,4,0))</f>
        <v>旅費交通費</v>
      </c>
      <c r="E142" s="245"/>
      <c r="F142" s="194"/>
      <c r="G142" s="194"/>
      <c r="H142" s="194"/>
      <c r="I142" s="194">
        <f>ROUND(850*26273,0)</f>
        <v>22332050</v>
      </c>
      <c r="J142" s="194"/>
      <c r="K142" s="194"/>
      <c r="L142" s="194"/>
      <c r="M142" s="194"/>
      <c r="N142" s="194"/>
      <c r="O142" s="194"/>
      <c r="P142" s="194"/>
      <c r="Q142" s="194"/>
      <c r="R142" s="200">
        <f t="shared" si="7"/>
        <v>22332050</v>
      </c>
      <c r="S142" s="201" t="s">
        <v>941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5005116291</v>
      </c>
      <c r="C143" s="183" t="str">
        <f>IFERROR(IF(VLOOKUP($B143,勘定科目!$A:$H,HLOOKUP($E$5,勘定科目!$F$1:$H$2,2,0),0)="","",VLOOKUP($B143,勘定科目!$A:$E,2,0)),"")</f>
        <v>ベトナム国内交通費（製）</v>
      </c>
      <c r="D143" s="239" t="str">
        <f>IF(C143="","",VLOOKUP($B143,勘定科目!$A:$E,4,0))</f>
        <v>旅費交通費</v>
      </c>
      <c r="E143" s="245"/>
      <c r="F143" s="194"/>
      <c r="G143" s="194"/>
      <c r="H143" s="194"/>
      <c r="I143" s="194"/>
      <c r="J143" s="194"/>
      <c r="K143" s="194"/>
      <c r="L143" s="194">
        <v>800000</v>
      </c>
      <c r="M143" s="194"/>
      <c r="N143" s="194"/>
      <c r="O143" s="194"/>
      <c r="P143" s="194"/>
      <c r="Q143" s="194">
        <v>800000</v>
      </c>
      <c r="R143" s="200">
        <f t="shared" si="7"/>
        <v>1600000</v>
      </c>
      <c r="S143" s="201" t="s">
        <v>944</v>
      </c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>
        <v>5005116291</v>
      </c>
      <c r="C144" s="183" t="str">
        <f>IFERROR(IF(VLOOKUP($B144,勘定科目!$A:$H,HLOOKUP($E$5,勘定科目!$F$1:$H$2,2,0),0)="","",VLOOKUP($B144,勘定科目!$A:$E,2,0)),"")</f>
        <v>ベトナム国内交通費（製）</v>
      </c>
      <c r="D144" s="239" t="str">
        <f>IF(C144="","",VLOOKUP($B144,勘定科目!$A:$E,4,0))</f>
        <v>旅費交通費</v>
      </c>
      <c r="E144" s="245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200">
        <f t="shared" si="7"/>
        <v>0</v>
      </c>
      <c r="S144" s="201" t="s">
        <v>788</v>
      </c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200">
        <f t="shared" si="7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>
        <v>5005116292</v>
      </c>
      <c r="C146" s="183" t="str">
        <f>IFERROR(IF(VLOOKUP($B146,勘定科目!$A:$H,HLOOKUP($E$5,勘定科目!$F$1:$H$2,2,0),0)="","",VLOOKUP($B146,勘定科目!$A:$E,2,0)),"")</f>
        <v>海外渡航費（製）</v>
      </c>
      <c r="D146" s="239" t="str">
        <f>IF(C146="","",VLOOKUP($B146,勘定科目!$A:$E,4,0))</f>
        <v>渡航費</v>
      </c>
      <c r="E146" s="245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200">
        <f t="shared" si="7"/>
        <v>0</v>
      </c>
      <c r="S146" s="201" t="s">
        <v>789</v>
      </c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5005116292</v>
      </c>
      <c r="C147" s="183" t="str">
        <f>IFERROR(IF(VLOOKUP($B147,勘定科目!$A:$H,HLOOKUP($E$5,勘定科目!$F$1:$H$2,2,0),0)="","",VLOOKUP($B147,勘定科目!$A:$E,2,0)),"")</f>
        <v>海外渡航費（製）</v>
      </c>
      <c r="D147" s="239" t="str">
        <f>IF(C147="","",VLOOKUP($B147,勘定科目!$A:$E,4,0))</f>
        <v>渡航費</v>
      </c>
      <c r="E147" s="245"/>
      <c r="F147" s="194"/>
      <c r="G147" s="194"/>
      <c r="H147" s="194"/>
      <c r="I147" s="247">
        <f>ROUND(43*26273*30,0)</f>
        <v>33892170</v>
      </c>
      <c r="J147" s="194"/>
      <c r="K147" s="194"/>
      <c r="L147" s="194"/>
      <c r="M147" s="194"/>
      <c r="N147" s="194"/>
      <c r="O147" s="194"/>
      <c r="P147" s="194"/>
      <c r="Q147" s="194"/>
      <c r="R147" s="200">
        <f t="shared" si="7"/>
        <v>33892170</v>
      </c>
      <c r="S147" s="201" t="s">
        <v>790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5005116292</v>
      </c>
      <c r="C148" s="183" t="str">
        <f>IFERROR(IF(VLOOKUP($B148,勘定科目!$A:$H,HLOOKUP($E$5,勘定科目!$F$1:$H$2,2,0),0)="","",VLOOKUP($B148,勘定科目!$A:$E,2,0)),"")</f>
        <v>海外渡航費（製）</v>
      </c>
      <c r="D148" s="239" t="str">
        <f>IF(C148="","",VLOOKUP($B148,勘定科目!$A:$E,4,0))</f>
        <v>渡航費</v>
      </c>
      <c r="E148" s="245"/>
      <c r="F148" s="194"/>
      <c r="G148" s="194"/>
      <c r="H148" s="194">
        <f>ROUND(88000*167.79*2,0)</f>
        <v>29531040</v>
      </c>
      <c r="I148" s="194"/>
      <c r="J148" s="194"/>
      <c r="K148" s="194"/>
      <c r="L148" s="194"/>
      <c r="M148" s="194"/>
      <c r="N148" s="194"/>
      <c r="O148" s="194"/>
      <c r="P148" s="194"/>
      <c r="Q148" s="194"/>
      <c r="R148" s="200">
        <f t="shared" si="7"/>
        <v>29531040</v>
      </c>
      <c r="S148" s="201" t="s">
        <v>791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>
        <v>5005116292</v>
      </c>
      <c r="C149" s="183" t="str">
        <f>IFERROR(IF(VLOOKUP($B149,勘定科目!$A:$H,HLOOKUP($E$5,勘定科目!$F$1:$H$2,2,0),0)="","",VLOOKUP($B149,勘定科目!$A:$E,2,0)),"")</f>
        <v>海外渡航費（製）</v>
      </c>
      <c r="D149" s="239" t="str">
        <f>IF(C149="","",VLOOKUP($B149,勘定科目!$A:$E,4,0))</f>
        <v>渡航費</v>
      </c>
      <c r="E149" s="245"/>
      <c r="F149" s="194"/>
      <c r="G149" s="194"/>
      <c r="H149" s="194"/>
      <c r="I149" s="247">
        <f>ROUND(7420*1*167.79,0)</f>
        <v>1245002</v>
      </c>
      <c r="J149" s="194"/>
      <c r="K149" s="194"/>
      <c r="L149" s="194"/>
      <c r="M149" s="194"/>
      <c r="N149" s="194"/>
      <c r="O149" s="194"/>
      <c r="P149" s="194"/>
      <c r="Q149" s="194"/>
      <c r="R149" s="200">
        <f t="shared" si="7"/>
        <v>1245002</v>
      </c>
      <c r="S149" s="201" t="s">
        <v>792</v>
      </c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5005116292</v>
      </c>
      <c r="C150" s="183" t="str">
        <f>IFERROR(IF(VLOOKUP($B150,勘定科目!$A:$H,HLOOKUP($E$5,勘定科目!$F$1:$H$2,2,0),0)="","",VLOOKUP($B150,勘定科目!$A:$E,2,0)),"")</f>
        <v>海外渡航費（製）</v>
      </c>
      <c r="D150" s="239" t="str">
        <f>IF(C150="","",VLOOKUP($B150,勘定科目!$A:$E,4,0))</f>
        <v>渡航費</v>
      </c>
      <c r="E150" s="245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200">
        <f t="shared" si="7"/>
        <v>0</v>
      </c>
      <c r="S150" s="201" t="s">
        <v>793</v>
      </c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5005116292</v>
      </c>
      <c r="C151" s="183" t="str">
        <f>IFERROR(IF(VLOOKUP($B151,勘定科目!$A:$H,HLOOKUP($E$5,勘定科目!$F$1:$H$2,2,0),0)="","",VLOOKUP($B151,勘定科目!$A:$E,2,0)),"")</f>
        <v>海外渡航費（製）</v>
      </c>
      <c r="D151" s="239" t="str">
        <f>IF(C151="","",VLOOKUP($B151,勘定科目!$A:$E,4,0))</f>
        <v>渡航費</v>
      </c>
      <c r="E151" s="245"/>
      <c r="F151" s="194"/>
      <c r="G151" s="194"/>
      <c r="H151" s="194">
        <f>ROUND((145+35)*26273*1,0)</f>
        <v>4729140</v>
      </c>
      <c r="I151" s="194"/>
      <c r="J151" s="194"/>
      <c r="K151" s="194"/>
      <c r="L151" s="194"/>
      <c r="M151" s="194"/>
      <c r="N151" s="194"/>
      <c r="O151" s="194"/>
      <c r="P151" s="194"/>
      <c r="Q151" s="194"/>
      <c r="R151" s="200">
        <f t="shared" si="7"/>
        <v>4729140</v>
      </c>
      <c r="S151" s="201" t="s">
        <v>940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5005116292</v>
      </c>
      <c r="C152" s="183" t="str">
        <f>IFERROR(IF(VLOOKUP($B152,勘定科目!$A:$H,HLOOKUP($E$5,勘定科目!$F$1:$H$2,2,0),0)="","",VLOOKUP($B152,勘定科目!$A:$E,2,0)),"")</f>
        <v>海外渡航費（製）</v>
      </c>
      <c r="D152" s="239" t="str">
        <f>IF(C152="","",VLOOKUP($B152,勘定科目!$A:$E,4,0))</f>
        <v>渡航費</v>
      </c>
      <c r="E152" s="245"/>
      <c r="F152" s="194"/>
      <c r="G152" s="194"/>
      <c r="H152" s="194">
        <f>80000*1</f>
        <v>80000</v>
      </c>
      <c r="I152" s="194"/>
      <c r="J152" s="194"/>
      <c r="K152" s="194"/>
      <c r="L152" s="194"/>
      <c r="M152" s="194"/>
      <c r="N152" s="194"/>
      <c r="O152" s="194"/>
      <c r="P152" s="194"/>
      <c r="Q152" s="194"/>
      <c r="R152" s="200">
        <f t="shared" si="7"/>
        <v>80000</v>
      </c>
      <c r="S152" s="201" t="s">
        <v>794</v>
      </c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>
        <v>5005116292</v>
      </c>
      <c r="C153" s="183" t="str">
        <f>IFERROR(IF(VLOOKUP($B153,勘定科目!$A:$H,HLOOKUP($E$5,勘定科目!$F$1:$H$2,2,0),0)="","",VLOOKUP($B153,勘定科目!$A:$E,2,0)),"")</f>
        <v>海外渡航費（製）</v>
      </c>
      <c r="D153" s="239" t="str">
        <f>IF(C153="","",VLOOKUP($B153,勘定科目!$A:$E,4,0))</f>
        <v>渡航費</v>
      </c>
      <c r="E153" s="245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200">
        <f t="shared" si="7"/>
        <v>0</v>
      </c>
      <c r="S153" s="201" t="s">
        <v>795</v>
      </c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>
        <v>5005116292</v>
      </c>
      <c r="C154" s="183" t="str">
        <f>IFERROR(IF(VLOOKUP($B154,勘定科目!$A:$H,HLOOKUP($E$5,勘定科目!$F$1:$H$2,2,0),0)="","",VLOOKUP($B154,勘定科目!$A:$E,2,0)),"")</f>
        <v>海外渡航費（製）</v>
      </c>
      <c r="D154" s="239" t="str">
        <f>IF(C154="","",VLOOKUP($B154,勘定科目!$A:$E,4,0))</f>
        <v>渡航費</v>
      </c>
      <c r="E154" s="245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200">
        <f t="shared" si="7"/>
        <v>0</v>
      </c>
      <c r="S154" s="201" t="s">
        <v>796</v>
      </c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>
        <v>5005116292</v>
      </c>
      <c r="C155" s="183" t="str">
        <f>IFERROR(IF(VLOOKUP($B155,勘定科目!$A:$H,HLOOKUP($E$5,勘定科目!$F$1:$H$2,2,0),0)="","",VLOOKUP($B155,勘定科目!$A:$E,2,0)),"")</f>
        <v>海外渡航費（製）</v>
      </c>
      <c r="D155" s="239" t="str">
        <f>IF(C155="","",VLOOKUP($B155,勘定科目!$A:$E,4,0))</f>
        <v>渡航費</v>
      </c>
      <c r="E155" s="245"/>
      <c r="F155" s="194"/>
      <c r="G155" s="194"/>
      <c r="H155" s="194">
        <v>640000</v>
      </c>
      <c r="I155" s="194"/>
      <c r="J155" s="194"/>
      <c r="K155" s="194"/>
      <c r="L155" s="194"/>
      <c r="M155" s="194"/>
      <c r="N155" s="194"/>
      <c r="O155" s="194"/>
      <c r="P155" s="194"/>
      <c r="Q155" s="194"/>
      <c r="R155" s="200">
        <f t="shared" si="7"/>
        <v>640000</v>
      </c>
      <c r="S155" s="201" t="s">
        <v>797</v>
      </c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>
        <v>5005116292</v>
      </c>
      <c r="C156" s="183" t="str">
        <f>IFERROR(IF(VLOOKUP($B156,勘定科目!$A:$H,HLOOKUP($E$5,勘定科目!$F$1:$H$2,2,0),0)="","",VLOOKUP($B156,勘定科目!$A:$E,2,0)),"")</f>
        <v>海外渡航費（製）</v>
      </c>
      <c r="D156" s="239" t="str">
        <f>IF(C156="","",VLOOKUP($B156,勘定科目!$A:$E,4,0))</f>
        <v>渡航費</v>
      </c>
      <c r="E156" s="245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200">
        <f t="shared" si="7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200">
        <f t="shared" si="7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>
        <v>5005056281</v>
      </c>
      <c r="C158" s="183" t="str">
        <f>IFERROR(IF(VLOOKUP($B158,勘定科目!$A:$H,HLOOKUP($E$5,勘定科目!$F$1:$H$2,2,0),0)="","",VLOOKUP($B158,勘定科目!$A:$E,2,0)),"")</f>
        <v>ガス代（製）</v>
      </c>
      <c r="D158" s="239" t="str">
        <f>IF(C158="","",VLOOKUP($B158,勘定科目!$A:$E,4,0))</f>
        <v>水道光熱費</v>
      </c>
      <c r="E158" s="245"/>
      <c r="F158" s="194">
        <f>18*39309</f>
        <v>707562</v>
      </c>
      <c r="G158" s="194">
        <f>18*37465</f>
        <v>674370</v>
      </c>
      <c r="H158" s="194">
        <f>18*43911</f>
        <v>790398</v>
      </c>
      <c r="I158" s="194">
        <f>18*46094</f>
        <v>829692</v>
      </c>
      <c r="J158" s="194">
        <f>19*37411</f>
        <v>710809</v>
      </c>
      <c r="K158" s="194">
        <f>19*40977</f>
        <v>778563</v>
      </c>
      <c r="L158" s="194">
        <f>19*43471</f>
        <v>825949</v>
      </c>
      <c r="M158" s="194">
        <f>19*42228</f>
        <v>802332</v>
      </c>
      <c r="N158" s="194">
        <f>19*43136</f>
        <v>819584</v>
      </c>
      <c r="O158" s="194">
        <f>19*39648</f>
        <v>753312</v>
      </c>
      <c r="P158" s="194">
        <f>19*24211</f>
        <v>460009</v>
      </c>
      <c r="Q158" s="194">
        <f>19*44420</f>
        <v>843980</v>
      </c>
      <c r="R158" s="200">
        <f t="shared" si="7"/>
        <v>8996560</v>
      </c>
      <c r="S158" s="201" t="s">
        <v>798</v>
      </c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>
        <v>5005066281</v>
      </c>
      <c r="C159" s="183" t="str">
        <f>IFERROR(IF(VLOOKUP($B159,勘定科目!$A:$H,HLOOKUP($E$5,勘定科目!$F$1:$H$2,2,0),0)="","",VLOOKUP($B159,勘定科目!$A:$E,2,0)),"")</f>
        <v>電気代（製）</v>
      </c>
      <c r="D159" s="239" t="str">
        <f>IF(C159="","",VLOOKUP($B159,勘定科目!$A:$E,4,0))</f>
        <v>水道光熱費</v>
      </c>
      <c r="E159" s="245"/>
      <c r="F159" s="194">
        <v>1577160</v>
      </c>
      <c r="G159" s="194">
        <v>2053287</v>
      </c>
      <c r="H159" s="194">
        <v>2791574</v>
      </c>
      <c r="I159" s="194">
        <v>3290266</v>
      </c>
      <c r="J159" s="194">
        <v>3419370</v>
      </c>
      <c r="K159" s="194">
        <v>3270194</v>
      </c>
      <c r="L159" s="194">
        <v>2959172</v>
      </c>
      <c r="M159" s="194">
        <v>2460327</v>
      </c>
      <c r="N159" s="194">
        <v>1758044</v>
      </c>
      <c r="O159" s="194">
        <v>1450135</v>
      </c>
      <c r="P159" s="194">
        <v>1247404</v>
      </c>
      <c r="Q159" s="194">
        <v>1203521</v>
      </c>
      <c r="R159" s="200">
        <f t="shared" si="7"/>
        <v>27480454</v>
      </c>
      <c r="S159" s="201" t="s">
        <v>799</v>
      </c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>
        <v>5005066282</v>
      </c>
      <c r="C160" s="183" t="str">
        <f>IFERROR(IF(VLOOKUP($B160,勘定科目!$A:$H,HLOOKUP($E$5,勘定科目!$F$1:$H$2,2,0),0)="","",VLOOKUP($B160,勘定科目!$A:$E,2,0)),"")</f>
        <v>水道代（製）</v>
      </c>
      <c r="D160" s="239" t="str">
        <f>IF(C160="","",VLOOKUP($B160,勘定科目!$A:$E,4,0))</f>
        <v>水道光熱費</v>
      </c>
      <c r="E160" s="245"/>
      <c r="F160" s="194">
        <v>529671</v>
      </c>
      <c r="G160" s="194">
        <v>577177</v>
      </c>
      <c r="H160" s="194">
        <v>682783</v>
      </c>
      <c r="I160" s="194">
        <v>1015039</v>
      </c>
      <c r="J160" s="194">
        <v>859650</v>
      </c>
      <c r="K160" s="194">
        <v>874634</v>
      </c>
      <c r="L160" s="194">
        <v>861265</v>
      </c>
      <c r="M160" s="194">
        <v>646887</v>
      </c>
      <c r="N160" s="194">
        <v>635220</v>
      </c>
      <c r="O160" s="194">
        <v>566871</v>
      </c>
      <c r="P160" s="194">
        <v>438313</v>
      </c>
      <c r="Q160" s="194">
        <v>637935</v>
      </c>
      <c r="R160" s="200">
        <f t="shared" si="7"/>
        <v>8325445</v>
      </c>
      <c r="S160" s="201" t="s">
        <v>800</v>
      </c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200">
        <f t="shared" si="7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>
        <v>5005046281</v>
      </c>
      <c r="C162" s="183" t="str">
        <f>IFERROR(IF(VLOOKUP($B162,勘定科目!$A:$H,HLOOKUP($E$5,勘定科目!$F$1:$H$2,2,0),0)="","",VLOOKUP($B162,勘定科目!$A:$E,2,0)),"")</f>
        <v>機械設備修繕費（製）</v>
      </c>
      <c r="D162" s="239" t="str">
        <f>IF(C162="","",VLOOKUP($B162,勘定科目!$A:$E,4,0))</f>
        <v>修繕費</v>
      </c>
      <c r="E162" s="245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200">
        <f t="shared" si="7"/>
        <v>0</v>
      </c>
      <c r="S162" s="201" t="s">
        <v>801</v>
      </c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>
        <v>5005046281</v>
      </c>
      <c r="C163" s="183" t="str">
        <f>IFERROR(IF(VLOOKUP($B163,勘定科目!$A:$H,HLOOKUP($E$5,勘定科目!$F$1:$H$2,2,0),0)="","",VLOOKUP($B163,勘定科目!$A:$E,2,0)),"")</f>
        <v>機械設備修繕費（製）</v>
      </c>
      <c r="D163" s="239" t="str">
        <f>IF(C163="","",VLOOKUP($B163,勘定科目!$A:$E,4,0))</f>
        <v>修繕費</v>
      </c>
      <c r="E163" s="245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200">
        <f t="shared" si="7"/>
        <v>0</v>
      </c>
      <c r="S163" s="201" t="s">
        <v>802</v>
      </c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>
        <v>5005046281</v>
      </c>
      <c r="C164" s="183" t="str">
        <f>IFERROR(IF(VLOOKUP($B164,勘定科目!$A:$H,HLOOKUP($E$5,勘定科目!$F$1:$H$2,2,0),0)="","",VLOOKUP($B164,勘定科目!$A:$E,2,0)),"")</f>
        <v>機械設備修繕費（製）</v>
      </c>
      <c r="D164" s="239" t="str">
        <f>IF(C164="","",VLOOKUP($B164,勘定科目!$A:$E,4,0))</f>
        <v>修繕費</v>
      </c>
      <c r="E164" s="245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200">
        <f t="shared" si="7"/>
        <v>0</v>
      </c>
      <c r="S164" s="201" t="s">
        <v>803</v>
      </c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>
        <v>5005046281</v>
      </c>
      <c r="C165" s="183" t="str">
        <f>IFERROR(IF(VLOOKUP($B165,勘定科目!$A:$H,HLOOKUP($E$5,勘定科目!$F$1:$H$2,2,0),0)="","",VLOOKUP($B165,勘定科目!$A:$E,2,0)),"")</f>
        <v>機械設備修繕費（製）</v>
      </c>
      <c r="D165" s="239" t="str">
        <f>IF(C165="","",VLOOKUP($B165,勘定科目!$A:$E,4,0))</f>
        <v>修繕費</v>
      </c>
      <c r="E165" s="245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200">
        <f t="shared" si="7"/>
        <v>0</v>
      </c>
      <c r="S165" s="201" t="s">
        <v>804</v>
      </c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>
        <v>5005046281</v>
      </c>
      <c r="C166" s="183" t="str">
        <f>IFERROR(IF(VLOOKUP($B166,勘定科目!$A:$H,HLOOKUP($E$5,勘定科目!$F$1:$H$2,2,0),0)="","",VLOOKUP($B166,勘定科目!$A:$E,2,0)),"")</f>
        <v>機械設備修繕費（製）</v>
      </c>
      <c r="D166" s="239" t="str">
        <f>IF(C166="","",VLOOKUP($B166,勘定科目!$A:$E,4,0))</f>
        <v>修繕費</v>
      </c>
      <c r="E166" s="245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200">
        <f t="shared" si="7"/>
        <v>0</v>
      </c>
      <c r="S166" s="201" t="s">
        <v>805</v>
      </c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>
        <v>5005046281</v>
      </c>
      <c r="C167" s="183" t="str">
        <f>IFERROR(IF(VLOOKUP($B167,勘定科目!$A:$H,HLOOKUP($E$5,勘定科目!$F$1:$H$2,2,0),0)="","",VLOOKUP($B167,勘定科目!$A:$E,2,0)),"")</f>
        <v>機械設備修繕費（製）</v>
      </c>
      <c r="D167" s="239" t="str">
        <f>IF(C167="","",VLOOKUP($B167,勘定科目!$A:$E,4,0))</f>
        <v>修繕費</v>
      </c>
      <c r="E167" s="245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200">
        <f t="shared" si="7"/>
        <v>0</v>
      </c>
      <c r="S167" s="201" t="s">
        <v>806</v>
      </c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>
        <v>5005046281</v>
      </c>
      <c r="C168" s="183" t="str">
        <f>IFERROR(IF(VLOOKUP($B168,勘定科目!$A:$H,HLOOKUP($E$5,勘定科目!$F$1:$H$2,2,0),0)="","",VLOOKUP($B168,勘定科目!$A:$E,2,0)),"")</f>
        <v>機械設備修繕費（製）</v>
      </c>
      <c r="D168" s="239" t="str">
        <f>IF(C168="","",VLOOKUP($B168,勘定科目!$A:$E,4,0))</f>
        <v>修繕費</v>
      </c>
      <c r="E168" s="245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200">
        <f t="shared" si="7"/>
        <v>0</v>
      </c>
      <c r="S168" s="201" t="s">
        <v>807</v>
      </c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>
        <v>5005046281</v>
      </c>
      <c r="C169" s="183" t="str">
        <f>IFERROR(IF(VLOOKUP($B169,勘定科目!$A:$H,HLOOKUP($E$5,勘定科目!$F$1:$H$2,2,0),0)="","",VLOOKUP($B169,勘定科目!$A:$E,2,0)),"")</f>
        <v>機械設備修繕費（製）</v>
      </c>
      <c r="D169" s="239" t="str">
        <f>IF(C169="","",VLOOKUP($B169,勘定科目!$A:$E,4,0))</f>
        <v>修繕費</v>
      </c>
      <c r="E169" s="245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200">
        <f t="shared" si="7"/>
        <v>0</v>
      </c>
      <c r="S169" s="201" t="s">
        <v>808</v>
      </c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>
        <v>5005046281</v>
      </c>
      <c r="C170" s="183" t="str">
        <f>IFERROR(IF(VLOOKUP($B170,勘定科目!$A:$H,HLOOKUP($E$5,勘定科目!$F$1:$H$2,2,0),0)="","",VLOOKUP($B170,勘定科目!$A:$E,2,0)),"")</f>
        <v>機械設備修繕費（製）</v>
      </c>
      <c r="D170" s="239" t="str">
        <f>IF(C170="","",VLOOKUP($B170,勘定科目!$A:$E,4,0))</f>
        <v>修繕費</v>
      </c>
      <c r="E170" s="245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200">
        <f t="shared" si="7"/>
        <v>0</v>
      </c>
      <c r="S170" s="201" t="s">
        <v>809</v>
      </c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>
        <v>5005046281</v>
      </c>
      <c r="C171" s="183" t="str">
        <f>IFERROR(IF(VLOOKUP($B171,勘定科目!$A:$H,HLOOKUP($E$5,勘定科目!$F$1:$H$2,2,0),0)="","",VLOOKUP($B171,勘定科目!$A:$E,2,0)),"")</f>
        <v>機械設備修繕費（製）</v>
      </c>
      <c r="D171" s="239" t="str">
        <f>IF(C171="","",VLOOKUP($B171,勘定科目!$A:$E,4,0))</f>
        <v>修繕費</v>
      </c>
      <c r="E171" s="245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200">
        <f t="shared" si="7"/>
        <v>0</v>
      </c>
      <c r="S171" s="201" t="s">
        <v>810</v>
      </c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>
        <v>5005046281</v>
      </c>
      <c r="C172" s="183" t="str">
        <f>IFERROR(IF(VLOOKUP($B172,勘定科目!$A:$H,HLOOKUP($E$5,勘定科目!$F$1:$H$2,2,0),0)="","",VLOOKUP($B172,勘定科目!$A:$E,2,0)),"")</f>
        <v>機械設備修繕費（製）</v>
      </c>
      <c r="D172" s="239" t="str">
        <f>IF(C172="","",VLOOKUP($B172,勘定科目!$A:$E,4,0))</f>
        <v>修繕費</v>
      </c>
      <c r="E172" s="245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200">
        <f t="shared" si="7"/>
        <v>0</v>
      </c>
      <c r="S172" s="201" t="s">
        <v>811</v>
      </c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>
        <v>5005046281</v>
      </c>
      <c r="C173" s="183" t="str">
        <f>IFERROR(IF(VLOOKUP($B173,勘定科目!$A:$H,HLOOKUP($E$5,勘定科目!$F$1:$H$2,2,0),0)="","",VLOOKUP($B173,勘定科目!$A:$E,2,0)),"")</f>
        <v>機械設備修繕費（製）</v>
      </c>
      <c r="D173" s="239" t="str">
        <f>IF(C173="","",VLOOKUP($B173,勘定科目!$A:$E,4,0))</f>
        <v>修繕費</v>
      </c>
      <c r="E173" s="245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200">
        <f t="shared" si="7"/>
        <v>0</v>
      </c>
      <c r="S173" s="201" t="s">
        <v>812</v>
      </c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>
        <v>5005046281</v>
      </c>
      <c r="C174" s="183" t="str">
        <f>IFERROR(IF(VLOOKUP($B174,勘定科目!$A:$H,HLOOKUP($E$5,勘定科目!$F$1:$H$2,2,0),0)="","",VLOOKUP($B174,勘定科目!$A:$E,2,0)),"")</f>
        <v>機械設備修繕費（製）</v>
      </c>
      <c r="D174" s="239" t="str">
        <f>IF(C174="","",VLOOKUP($B174,勘定科目!$A:$E,4,0))</f>
        <v>修繕費</v>
      </c>
      <c r="E174" s="245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200">
        <f t="shared" si="7"/>
        <v>0</v>
      </c>
      <c r="S174" s="201" t="s">
        <v>813</v>
      </c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>
        <v>5005046281</v>
      </c>
      <c r="C175" s="183" t="str">
        <f>IFERROR(IF(VLOOKUP($B175,勘定科目!$A:$H,HLOOKUP($E$5,勘定科目!$F$1:$H$2,2,0),0)="","",VLOOKUP($B175,勘定科目!$A:$E,2,0)),"")</f>
        <v>機械設備修繕費（製）</v>
      </c>
      <c r="D175" s="239" t="str">
        <f>IF(C175="","",VLOOKUP($B175,勘定科目!$A:$E,4,0))</f>
        <v>修繕費</v>
      </c>
      <c r="E175" s="245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200">
        <f t="shared" si="7"/>
        <v>0</v>
      </c>
      <c r="S175" s="201" t="s">
        <v>814</v>
      </c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>
        <v>5005046281</v>
      </c>
      <c r="C176" s="183" t="str">
        <f>IFERROR(IF(VLOOKUP($B176,勘定科目!$A:$H,HLOOKUP($E$5,勘定科目!$F$1:$H$2,2,0),0)="","",VLOOKUP($B176,勘定科目!$A:$E,2,0)),"")</f>
        <v>機械設備修繕費（製）</v>
      </c>
      <c r="D176" s="239" t="str">
        <f>IF(C176="","",VLOOKUP($B176,勘定科目!$A:$E,4,0))</f>
        <v>修繕費</v>
      </c>
      <c r="E176" s="245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200">
        <f t="shared" si="7"/>
        <v>0</v>
      </c>
      <c r="S176" s="201" t="s">
        <v>815</v>
      </c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>
        <v>5005046281</v>
      </c>
      <c r="C177" s="183" t="str">
        <f>IFERROR(IF(VLOOKUP($B177,勘定科目!$A:$H,HLOOKUP($E$5,勘定科目!$F$1:$H$2,2,0),0)="","",VLOOKUP($B177,勘定科目!$A:$E,2,0)),"")</f>
        <v>機械設備修繕費（製）</v>
      </c>
      <c r="D177" s="239" t="str">
        <f>IF(C177="","",VLOOKUP($B177,勘定科目!$A:$E,4,0))</f>
        <v>修繕費</v>
      </c>
      <c r="E177" s="245"/>
      <c r="F177" s="194"/>
      <c r="G177" s="194"/>
      <c r="H177" s="194"/>
      <c r="I177" s="194"/>
      <c r="J177" s="194">
        <f>235000*5</f>
        <v>1175000</v>
      </c>
      <c r="K177" s="194"/>
      <c r="L177" s="194"/>
      <c r="M177" s="194"/>
      <c r="N177" s="194"/>
      <c r="O177" s="194"/>
      <c r="P177" s="194"/>
      <c r="Q177" s="194"/>
      <c r="R177" s="200">
        <f t="shared" si="7"/>
        <v>1175000</v>
      </c>
      <c r="S177" s="201" t="s">
        <v>816</v>
      </c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>
        <v>5005046281</v>
      </c>
      <c r="C178" s="183" t="str">
        <f>IFERROR(IF(VLOOKUP($B178,勘定科目!$A:$H,HLOOKUP($E$5,勘定科目!$F$1:$H$2,2,0),0)="","",VLOOKUP($B178,勘定科目!$A:$E,2,0)),"")</f>
        <v>機械設備修繕費（製）</v>
      </c>
      <c r="D178" s="239" t="str">
        <f>IF(C178="","",VLOOKUP($B178,勘定科目!$A:$E,4,0))</f>
        <v>修繕費</v>
      </c>
      <c r="E178" s="245"/>
      <c r="F178" s="194"/>
      <c r="G178" s="194"/>
      <c r="H178" s="194"/>
      <c r="I178" s="194"/>
      <c r="J178" s="194">
        <f>235000*5</f>
        <v>1175000</v>
      </c>
      <c r="K178" s="194"/>
      <c r="L178" s="194"/>
      <c r="M178" s="194"/>
      <c r="N178" s="194"/>
      <c r="O178" s="194"/>
      <c r="P178" s="194"/>
      <c r="Q178" s="194"/>
      <c r="R178" s="200">
        <f t="shared" si="7"/>
        <v>1175000</v>
      </c>
      <c r="S178" s="201" t="s">
        <v>817</v>
      </c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>
        <v>5005046281</v>
      </c>
      <c r="C179" s="183" t="str">
        <f>IFERROR(IF(VLOOKUP($B179,勘定科目!$A:$H,HLOOKUP($E$5,勘定科目!$F$1:$H$2,2,0),0)="","",VLOOKUP($B179,勘定科目!$A:$E,2,0)),"")</f>
        <v>機械設備修繕費（製）</v>
      </c>
      <c r="D179" s="239" t="str">
        <f>IF(C179="","",VLOOKUP($B179,勘定科目!$A:$E,4,0))</f>
        <v>修繕費</v>
      </c>
      <c r="E179" s="245"/>
      <c r="F179" s="194"/>
      <c r="G179" s="194"/>
      <c r="H179" s="194"/>
      <c r="I179" s="194"/>
      <c r="J179" s="194">
        <f>235000*10</f>
        <v>2350000</v>
      </c>
      <c r="K179" s="194"/>
      <c r="L179" s="194"/>
      <c r="M179" s="194"/>
      <c r="N179" s="194"/>
      <c r="O179" s="194"/>
      <c r="P179" s="194"/>
      <c r="Q179" s="194"/>
      <c r="R179" s="200">
        <f t="shared" si="7"/>
        <v>2350000</v>
      </c>
      <c r="S179" s="201" t="s">
        <v>818</v>
      </c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>
        <v>5005046281</v>
      </c>
      <c r="C180" s="183" t="str">
        <f>IFERROR(IF(VLOOKUP($B180,勘定科目!$A:$H,HLOOKUP($E$5,勘定科目!$F$1:$H$2,2,0),0)="","",VLOOKUP($B180,勘定科目!$A:$E,2,0)),"")</f>
        <v>機械設備修繕費（製）</v>
      </c>
      <c r="D180" s="239" t="str">
        <f>IF(C180="","",VLOOKUP($B180,勘定科目!$A:$E,4,0))</f>
        <v>修繕費</v>
      </c>
      <c r="E180" s="245"/>
      <c r="F180" s="194"/>
      <c r="G180" s="194"/>
      <c r="H180" s="194"/>
      <c r="I180" s="194"/>
      <c r="J180" s="194">
        <f>250000*10</f>
        <v>2500000</v>
      </c>
      <c r="K180" s="194"/>
      <c r="L180" s="194"/>
      <c r="M180" s="194"/>
      <c r="N180" s="194"/>
      <c r="O180" s="194"/>
      <c r="P180" s="194"/>
      <c r="Q180" s="194"/>
      <c r="R180" s="200">
        <f t="shared" si="7"/>
        <v>2500000</v>
      </c>
      <c r="S180" s="201" t="s">
        <v>819</v>
      </c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>
        <v>5005046281</v>
      </c>
      <c r="C181" s="183" t="str">
        <f>IFERROR(IF(VLOOKUP($B181,勘定科目!$A:$H,HLOOKUP($E$5,勘定科目!$F$1:$H$2,2,0),0)="","",VLOOKUP($B181,勘定科目!$A:$E,2,0)),"")</f>
        <v>機械設備修繕費（製）</v>
      </c>
      <c r="D181" s="239" t="str">
        <f>IF(C181="","",VLOOKUP($B181,勘定科目!$A:$E,4,0))</f>
        <v>修繕費</v>
      </c>
      <c r="E181" s="245"/>
      <c r="F181" s="194"/>
      <c r="G181" s="194"/>
      <c r="H181" s="194"/>
      <c r="I181" s="194"/>
      <c r="J181" s="194"/>
      <c r="K181" s="194"/>
      <c r="L181" s="194"/>
      <c r="M181" s="194"/>
      <c r="N181" s="194">
        <v>13000000</v>
      </c>
      <c r="O181" s="194"/>
      <c r="P181" s="194"/>
      <c r="Q181" s="194"/>
      <c r="R181" s="200">
        <f t="shared" si="7"/>
        <v>13000000</v>
      </c>
      <c r="S181" s="201" t="s">
        <v>820</v>
      </c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>
        <v>5005046281</v>
      </c>
      <c r="C182" s="183" t="str">
        <f>IFERROR(IF(VLOOKUP($B182,勘定科目!$A:$H,HLOOKUP($E$5,勘定科目!$F$1:$H$2,2,0),0)="","",VLOOKUP($B182,勘定科目!$A:$E,2,0)),"")</f>
        <v>機械設備修繕費（製）</v>
      </c>
      <c r="D182" s="239" t="str">
        <f>IF(C182="","",VLOOKUP($B182,勘定科目!$A:$E,4,0))</f>
        <v>修繕費</v>
      </c>
      <c r="E182" s="245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200">
        <f t="shared" si="7"/>
        <v>0</v>
      </c>
      <c r="S182" s="201" t="s">
        <v>821</v>
      </c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200">
        <f t="shared" ref="R183:R246" si="8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>
        <v>5005046282</v>
      </c>
      <c r="C184" s="183" t="str">
        <f>IFERROR(IF(VLOOKUP($B184,勘定科目!$A:$H,HLOOKUP($E$5,勘定科目!$F$1:$H$2,2,0),0)="","",VLOOKUP($B184,勘定科目!$A:$E,2,0)),"")</f>
        <v>その他修繕費（製）</v>
      </c>
      <c r="D184" s="239" t="str">
        <f>IF(C184="","",VLOOKUP($B184,勘定科目!$A:$E,4,0))</f>
        <v>修繕費</v>
      </c>
      <c r="E184" s="245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200">
        <f t="shared" si="8"/>
        <v>0</v>
      </c>
      <c r="S184" s="201" t="s">
        <v>822</v>
      </c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>
        <v>5005046282</v>
      </c>
      <c r="C185" s="183" t="str">
        <f>IFERROR(IF(VLOOKUP($B185,勘定科目!$A:$H,HLOOKUP($E$5,勘定科目!$F$1:$H$2,2,0),0)="","",VLOOKUP($B185,勘定科目!$A:$E,2,0)),"")</f>
        <v>その他修繕費（製）</v>
      </c>
      <c r="D185" s="239" t="str">
        <f>IF(C185="","",VLOOKUP($B185,勘定科目!$A:$E,4,0))</f>
        <v>修繕費</v>
      </c>
      <c r="E185" s="245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200">
        <f t="shared" si="8"/>
        <v>0</v>
      </c>
      <c r="S185" s="201" t="s">
        <v>823</v>
      </c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>
        <v>5005046282</v>
      </c>
      <c r="C186" s="183" t="str">
        <f>IFERROR(IF(VLOOKUP($B186,勘定科目!$A:$H,HLOOKUP($E$5,勘定科目!$F$1:$H$2,2,0),0)="","",VLOOKUP($B186,勘定科目!$A:$E,2,0)),"")</f>
        <v>その他修繕費（製）</v>
      </c>
      <c r="D186" s="239" t="str">
        <f>IF(C186="","",VLOOKUP($B186,勘定科目!$A:$E,4,0))</f>
        <v>修繕費</v>
      </c>
      <c r="E186" s="245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200">
        <f t="shared" si="8"/>
        <v>0</v>
      </c>
      <c r="S186" s="201" t="s">
        <v>824</v>
      </c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>
        <v>5005046282</v>
      </c>
      <c r="C187" s="183" t="str">
        <f>IFERROR(IF(VLOOKUP($B187,勘定科目!$A:$H,HLOOKUP($E$5,勘定科目!$F$1:$H$2,2,0),0)="","",VLOOKUP($B187,勘定科目!$A:$E,2,0)),"")</f>
        <v>その他修繕費（製）</v>
      </c>
      <c r="D187" s="239" t="str">
        <f>IF(C187="","",VLOOKUP($B187,勘定科目!$A:$E,4,0))</f>
        <v>修繕費</v>
      </c>
      <c r="E187" s="245"/>
      <c r="F187" s="194"/>
      <c r="G187" s="194"/>
      <c r="H187" s="194"/>
      <c r="I187" s="194">
        <f>270000*2</f>
        <v>540000</v>
      </c>
      <c r="J187" s="194"/>
      <c r="K187" s="194"/>
      <c r="L187" s="194">
        <f>270000*2</f>
        <v>540000</v>
      </c>
      <c r="M187" s="194"/>
      <c r="N187" s="194"/>
      <c r="O187" s="194"/>
      <c r="P187" s="194"/>
      <c r="Q187" s="194"/>
      <c r="R187" s="200">
        <f t="shared" si="8"/>
        <v>1080000</v>
      </c>
      <c r="S187" s="201" t="s">
        <v>929</v>
      </c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>
        <v>5005046282</v>
      </c>
      <c r="C188" s="183" t="str">
        <f>IFERROR(IF(VLOOKUP($B188,勘定科目!$A:$H,HLOOKUP($E$5,勘定科目!$F$1:$H$2,2,0),0)="","",VLOOKUP($B188,勘定科目!$A:$E,2,0)),"")</f>
        <v>その他修繕費（製）</v>
      </c>
      <c r="D188" s="239" t="str">
        <f>IF(C188="","",VLOOKUP($B188,勘定科目!$A:$E,4,0))</f>
        <v>修繕費</v>
      </c>
      <c r="E188" s="245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200">
        <f t="shared" si="8"/>
        <v>0</v>
      </c>
      <c r="S188" s="201" t="s">
        <v>825</v>
      </c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>
        <v>5005046282</v>
      </c>
      <c r="C189" s="183" t="str">
        <f>IFERROR(IF(VLOOKUP($B189,勘定科目!$A:$H,HLOOKUP($E$5,勘定科目!$F$1:$H$2,2,0),0)="","",VLOOKUP($B189,勘定科目!$A:$E,2,0)),"")</f>
        <v>その他修繕費（製）</v>
      </c>
      <c r="D189" s="239" t="str">
        <f>IF(C189="","",VLOOKUP($B189,勘定科目!$A:$E,4,0))</f>
        <v>修繕費</v>
      </c>
      <c r="E189" s="245"/>
      <c r="F189" s="194"/>
      <c r="G189" s="194"/>
      <c r="H189" s="194">
        <f>2*1380000</f>
        <v>2760000</v>
      </c>
      <c r="I189" s="194">
        <f>2*1380000</f>
        <v>2760000</v>
      </c>
      <c r="J189" s="194"/>
      <c r="K189" s="194">
        <f>3*1500000</f>
        <v>4500000</v>
      </c>
      <c r="L189" s="194"/>
      <c r="M189" s="194">
        <f>2*1380000</f>
        <v>2760000</v>
      </c>
      <c r="N189" s="194"/>
      <c r="O189" s="194"/>
      <c r="P189" s="194"/>
      <c r="Q189" s="194"/>
      <c r="R189" s="200">
        <f t="shared" si="8"/>
        <v>12780000</v>
      </c>
      <c r="S189" s="201" t="s">
        <v>928</v>
      </c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>
        <v>5005046282</v>
      </c>
      <c r="C190" s="183" t="str">
        <f>IFERROR(IF(VLOOKUP($B190,勘定科目!$A:$H,HLOOKUP($E$5,勘定科目!$F$1:$H$2,2,0),0)="","",VLOOKUP($B190,勘定科目!$A:$E,2,0)),"")</f>
        <v>その他修繕費（製）</v>
      </c>
      <c r="D190" s="239" t="str">
        <f>IF(C190="","",VLOOKUP($B190,勘定科目!$A:$E,4,0))</f>
        <v>修繕費</v>
      </c>
      <c r="E190" s="245"/>
      <c r="F190" s="194"/>
      <c r="G190" s="194"/>
      <c r="H190" s="194"/>
      <c r="I190" s="194"/>
      <c r="J190" s="194">
        <f>4*1170000</f>
        <v>4680000</v>
      </c>
      <c r="K190" s="194"/>
      <c r="L190" s="194"/>
      <c r="M190" s="194"/>
      <c r="N190" s="194"/>
      <c r="O190" s="194"/>
      <c r="P190" s="194"/>
      <c r="Q190" s="194"/>
      <c r="R190" s="200">
        <f t="shared" si="8"/>
        <v>4680000</v>
      </c>
      <c r="S190" s="201" t="s">
        <v>826</v>
      </c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200">
        <f t="shared" si="8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>
        <v>5005046283</v>
      </c>
      <c r="C192" s="183" t="str">
        <f>IFERROR(IF(VLOOKUP($B192,勘定科目!$A:$H,HLOOKUP($E$5,勘定科目!$F$1:$H$2,2,0),0)="","",VLOOKUP($B192,勘定科目!$A:$E,2,0)),"")</f>
        <v>年間保守料（製）</v>
      </c>
      <c r="D192" s="239" t="str">
        <f>IF(C192="","",VLOOKUP($B192,勘定科目!$A:$E,4,0))</f>
        <v>修繕費</v>
      </c>
      <c r="E192" s="245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200">
        <f t="shared" si="8"/>
        <v>0</v>
      </c>
      <c r="S192" s="201" t="s">
        <v>827</v>
      </c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>
        <v>5005046283</v>
      </c>
      <c r="C193" s="183" t="str">
        <f>IFERROR(IF(VLOOKUP($B193,勘定科目!$A:$H,HLOOKUP($E$5,勘定科目!$F$1:$H$2,2,0),0)="","",VLOOKUP($B193,勘定科目!$A:$E,2,0)),"")</f>
        <v>年間保守料（製）</v>
      </c>
      <c r="D193" s="239" t="str">
        <f>IF(C193="","",VLOOKUP($B193,勘定科目!$A:$E,4,0))</f>
        <v>修繕費</v>
      </c>
      <c r="E193" s="245"/>
      <c r="F193" s="194"/>
      <c r="G193" s="194"/>
      <c r="H193" s="194"/>
      <c r="I193" s="194">
        <v>1800000</v>
      </c>
      <c r="J193" s="194"/>
      <c r="K193" s="194"/>
      <c r="L193" s="194"/>
      <c r="M193" s="194"/>
      <c r="N193" s="194"/>
      <c r="O193" s="194">
        <v>1800000</v>
      </c>
      <c r="P193" s="194"/>
      <c r="Q193" s="194">
        <v>1800000</v>
      </c>
      <c r="R193" s="200">
        <f t="shared" si="8"/>
        <v>5400000</v>
      </c>
      <c r="S193" s="201" t="s">
        <v>828</v>
      </c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>
        <v>5005046283</v>
      </c>
      <c r="C194" s="183" t="str">
        <f>IFERROR(IF(VLOOKUP($B194,勘定科目!$A:$H,HLOOKUP($E$5,勘定科目!$F$1:$H$2,2,0),0)="","",VLOOKUP($B194,勘定科目!$A:$E,2,0)),"")</f>
        <v>年間保守料（製）</v>
      </c>
      <c r="D194" s="239" t="str">
        <f>IF(C194="","",VLOOKUP($B194,勘定科目!$A:$E,4,0))</f>
        <v>修繕費</v>
      </c>
      <c r="E194" s="245"/>
      <c r="F194" s="194"/>
      <c r="G194" s="194"/>
      <c r="H194" s="194"/>
      <c r="I194" s="194"/>
      <c r="J194" s="194">
        <v>1300000</v>
      </c>
      <c r="K194" s="194"/>
      <c r="L194" s="194"/>
      <c r="M194" s="194"/>
      <c r="N194" s="194"/>
      <c r="O194" s="194"/>
      <c r="P194" s="194"/>
      <c r="Q194" s="194">
        <v>1300000</v>
      </c>
      <c r="R194" s="200">
        <f t="shared" si="8"/>
        <v>2600000</v>
      </c>
      <c r="S194" s="201" t="s">
        <v>829</v>
      </c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>
        <v>5005046283</v>
      </c>
      <c r="C195" s="183" t="str">
        <f>IFERROR(IF(VLOOKUP($B195,勘定科目!$A:$H,HLOOKUP($E$5,勘定科目!$F$1:$H$2,2,0),0)="","",VLOOKUP($B195,勘定科目!$A:$E,2,0)),"")</f>
        <v>年間保守料（製）</v>
      </c>
      <c r="D195" s="239" t="str">
        <f>IF(C195="","",VLOOKUP($B195,勘定科目!$A:$E,4,0))</f>
        <v>修繕費</v>
      </c>
      <c r="E195" s="245"/>
      <c r="F195" s="194"/>
      <c r="G195" s="194">
        <v>500000</v>
      </c>
      <c r="H195" s="194">
        <v>500000</v>
      </c>
      <c r="I195" s="194"/>
      <c r="J195" s="194"/>
      <c r="K195" s="194"/>
      <c r="L195" s="194">
        <v>500000</v>
      </c>
      <c r="M195" s="194"/>
      <c r="N195" s="194">
        <v>500000</v>
      </c>
      <c r="O195" s="194">
        <v>500000</v>
      </c>
      <c r="P195" s="194"/>
      <c r="Q195" s="194"/>
      <c r="R195" s="200">
        <f t="shared" si="8"/>
        <v>2500000</v>
      </c>
      <c r="S195" s="201" t="s">
        <v>830</v>
      </c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>
        <v>5005046283</v>
      </c>
      <c r="C196" s="183" t="str">
        <f>IFERROR(IF(VLOOKUP($B196,勘定科目!$A:$H,HLOOKUP($E$5,勘定科目!$F$1:$H$2,2,0),0)="","",VLOOKUP($B196,勘定科目!$A:$E,2,0)),"")</f>
        <v>年間保守料（製）</v>
      </c>
      <c r="D196" s="239" t="str">
        <f>IF(C196="","",VLOOKUP($B196,勘定科目!$A:$E,4,0))</f>
        <v>修繕費</v>
      </c>
      <c r="E196" s="245"/>
      <c r="F196" s="194">
        <v>1500000</v>
      </c>
      <c r="G196" s="194"/>
      <c r="H196" s="194">
        <v>1500000</v>
      </c>
      <c r="I196" s="194"/>
      <c r="J196" s="194"/>
      <c r="K196" s="194"/>
      <c r="L196" s="194"/>
      <c r="M196" s="194"/>
      <c r="N196" s="194"/>
      <c r="O196" s="194"/>
      <c r="P196" s="194"/>
      <c r="Q196" s="194">
        <v>1500000</v>
      </c>
      <c r="R196" s="200">
        <f t="shared" si="8"/>
        <v>4500000</v>
      </c>
      <c r="S196" s="201" t="s">
        <v>831</v>
      </c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>
        <v>5005046283</v>
      </c>
      <c r="C197" s="183" t="str">
        <f>IFERROR(IF(VLOOKUP($B197,勘定科目!$A:$H,HLOOKUP($E$5,勘定科目!$F$1:$H$2,2,0),0)="","",VLOOKUP($B197,勘定科目!$A:$E,2,0)),"")</f>
        <v>年間保守料（製）</v>
      </c>
      <c r="D197" s="239" t="str">
        <f>IF(C197="","",VLOOKUP($B197,勘定科目!$A:$E,4,0))</f>
        <v>修繕費</v>
      </c>
      <c r="E197" s="245"/>
      <c r="F197" s="194"/>
      <c r="G197" s="194"/>
      <c r="H197" s="194"/>
      <c r="I197" s="194"/>
      <c r="J197" s="194"/>
      <c r="K197" s="194"/>
      <c r="L197" s="194"/>
      <c r="M197" s="194"/>
      <c r="N197" s="194">
        <v>500000</v>
      </c>
      <c r="O197" s="194"/>
      <c r="P197" s="194"/>
      <c r="Q197" s="194"/>
      <c r="R197" s="200">
        <f t="shared" si="8"/>
        <v>500000</v>
      </c>
      <c r="S197" s="201" t="s">
        <v>832</v>
      </c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>
        <v>5005046283</v>
      </c>
      <c r="C198" s="183" t="str">
        <f>IFERROR(IF(VLOOKUP($B198,勘定科目!$A:$H,HLOOKUP($E$5,勘定科目!$F$1:$H$2,2,0),0)="","",VLOOKUP($B198,勘定科目!$A:$E,2,0)),"")</f>
        <v>年間保守料（製）</v>
      </c>
      <c r="D198" s="239" t="str">
        <f>IF(C198="","",VLOOKUP($B198,勘定科目!$A:$E,4,0))</f>
        <v>修繕費</v>
      </c>
      <c r="E198" s="245"/>
      <c r="F198" s="194"/>
      <c r="G198" s="194"/>
      <c r="H198" s="194"/>
      <c r="I198" s="194"/>
      <c r="J198" s="194"/>
      <c r="K198" s="194"/>
      <c r="L198" s="194"/>
      <c r="M198" s="194"/>
      <c r="N198" s="194">
        <v>500000</v>
      </c>
      <c r="O198" s="194"/>
      <c r="P198" s="194"/>
      <c r="Q198" s="194"/>
      <c r="R198" s="200">
        <f t="shared" si="8"/>
        <v>500000</v>
      </c>
      <c r="S198" s="201" t="s">
        <v>833</v>
      </c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>
        <v>5005046283</v>
      </c>
      <c r="C199" s="183" t="str">
        <f>IFERROR(IF(VLOOKUP($B199,勘定科目!$A:$H,HLOOKUP($E$5,勘定科目!$F$1:$H$2,2,0),0)="","",VLOOKUP($B199,勘定科目!$A:$E,2,0)),"")</f>
        <v>年間保守料（製）</v>
      </c>
      <c r="D199" s="239" t="str">
        <f>IF(C199="","",VLOOKUP($B199,勘定科目!$A:$E,4,0))</f>
        <v>修繕費</v>
      </c>
      <c r="E199" s="245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200">
        <f t="shared" si="8"/>
        <v>0</v>
      </c>
      <c r="S199" s="201" t="s">
        <v>834</v>
      </c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>
        <v>5005046283</v>
      </c>
      <c r="C200" s="183" t="str">
        <f>IFERROR(IF(VLOOKUP($B200,勘定科目!$A:$H,HLOOKUP($E$5,勘定科目!$F$1:$H$2,2,0),0)="","",VLOOKUP($B200,勘定科目!$A:$E,2,0)),"")</f>
        <v>年間保守料（製）</v>
      </c>
      <c r="D200" s="239" t="str">
        <f>IF(C200="","",VLOOKUP($B200,勘定科目!$A:$E,4,0))</f>
        <v>修繕費</v>
      </c>
      <c r="E200" s="245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200">
        <f t="shared" si="8"/>
        <v>0</v>
      </c>
      <c r="S200" s="201" t="s">
        <v>835</v>
      </c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200">
        <f t="shared" si="8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>
        <v>5005246292</v>
      </c>
      <c r="C202" s="183" t="str">
        <f>IFERROR(IF(VLOOKUP($B202,勘定科目!$A:$H,HLOOKUP($E$5,勘定科目!$F$1:$H$2,2,0),0)="","",VLOOKUP($B202,勘定科目!$A:$E,2,0)),"")</f>
        <v>雑費（製）</v>
      </c>
      <c r="D202" s="239" t="str">
        <f>IF(C202="","",VLOOKUP($B202,勘定科目!$A:$E,4,0))</f>
        <v>雑費</v>
      </c>
      <c r="E202" s="245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200">
        <f t="shared" si="8"/>
        <v>0</v>
      </c>
      <c r="S202" s="201" t="s">
        <v>836</v>
      </c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200">
        <f t="shared" si="8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>
        <v>5005076289</v>
      </c>
      <c r="C204" s="183" t="str">
        <f>IFERROR(IF(VLOOKUP($B204,勘定科目!$A:$H,HLOOKUP($E$5,勘定科目!$F$1:$H$2,2,0),0)="","",VLOOKUP($B204,勘定科目!$A:$E,2,0)),"")</f>
        <v>クーリエ費用（製）</v>
      </c>
      <c r="D204" s="239" t="str">
        <f>IF(C204="","",VLOOKUP($B204,勘定科目!$A:$E,4,0))</f>
        <v>荷造運賃</v>
      </c>
      <c r="E204" s="245"/>
      <c r="F204" s="194">
        <v>5000000</v>
      </c>
      <c r="G204" s="194">
        <v>5000000</v>
      </c>
      <c r="H204" s="194">
        <v>5000000</v>
      </c>
      <c r="I204" s="194">
        <v>5000000</v>
      </c>
      <c r="J204" s="194">
        <v>5000000</v>
      </c>
      <c r="K204" s="194">
        <v>5000000</v>
      </c>
      <c r="L204" s="194">
        <v>5000000</v>
      </c>
      <c r="M204" s="194">
        <v>5000000</v>
      </c>
      <c r="N204" s="194">
        <v>5000000</v>
      </c>
      <c r="O204" s="194">
        <v>5000000</v>
      </c>
      <c r="P204" s="194">
        <v>5000000</v>
      </c>
      <c r="Q204" s="194">
        <v>5000000</v>
      </c>
      <c r="R204" s="200">
        <f t="shared" si="8"/>
        <v>60000000</v>
      </c>
      <c r="S204" s="201" t="s">
        <v>837</v>
      </c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>
        <v>5005076283</v>
      </c>
      <c r="C205" s="183" t="str">
        <f>IFERROR(IF(VLOOKUP($B205,勘定科目!$A:$H,HLOOKUP($E$5,勘定科目!$F$1:$H$2,2,0),0)="","",VLOOKUP($B205,勘定科目!$A:$E,2,0)),"")</f>
        <v>輸入航空運賃（製）</v>
      </c>
      <c r="D205" s="239" t="str">
        <f>IF(C205="","",VLOOKUP($B205,勘定科目!$A:$E,4,0))</f>
        <v>荷造運賃</v>
      </c>
      <c r="E205" s="245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200">
        <f t="shared" si="8"/>
        <v>0</v>
      </c>
      <c r="S205" s="201" t="s">
        <v>838</v>
      </c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>
        <v>5005076284</v>
      </c>
      <c r="C206" s="183" t="str">
        <f>IFERROR(IF(VLOOKUP($B206,勘定科目!$A:$H,HLOOKUP($E$5,勘定科目!$F$1:$H$2,2,0),0)="","",VLOOKUP($B206,勘定科目!$A:$E,2,0)),"")</f>
        <v>輸入海上運賃（製）</v>
      </c>
      <c r="D206" s="239" t="str">
        <f>IF(C206="","",VLOOKUP($B206,勘定科目!$A:$E,4,0))</f>
        <v>荷造運賃</v>
      </c>
      <c r="E206" s="245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200">
        <f t="shared" si="8"/>
        <v>0</v>
      </c>
      <c r="S206" s="201" t="s">
        <v>839</v>
      </c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>
        <v>5005076281</v>
      </c>
      <c r="C207" s="183" t="str">
        <f>IFERROR(IF(VLOOKUP($B207,勘定科目!$A:$H,HLOOKUP($E$5,勘定科目!$F$1:$H$2,2,0),0)="","",VLOOKUP($B207,勘定科目!$A:$E,2,0)),"")</f>
        <v>通関申告費用（製）</v>
      </c>
      <c r="D207" s="239" t="str">
        <f>IF(C207="","",VLOOKUP($B207,勘定科目!$A:$E,4,0))</f>
        <v>荷造運賃</v>
      </c>
      <c r="E207" s="245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200">
        <f t="shared" si="8"/>
        <v>0</v>
      </c>
      <c r="S207" s="201" t="s">
        <v>840</v>
      </c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>
        <v>5005076281</v>
      </c>
      <c r="C208" s="183" t="str">
        <f>IFERROR(IF(VLOOKUP($B208,勘定科目!$A:$H,HLOOKUP($E$5,勘定科目!$F$1:$H$2,2,0),0)="","",VLOOKUP($B208,勘定科目!$A:$E,2,0)),"")</f>
        <v>通関申告費用（製）</v>
      </c>
      <c r="D208" s="239" t="str">
        <f>IF(C208="","",VLOOKUP($B208,勘定科目!$A:$E,4,0))</f>
        <v>荷造運賃</v>
      </c>
      <c r="E208" s="245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200">
        <f t="shared" si="8"/>
        <v>0</v>
      </c>
      <c r="S208" s="201" t="s">
        <v>841</v>
      </c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>
        <v>5005076281</v>
      </c>
      <c r="C209" s="183" t="str">
        <f>IFERROR(IF(VLOOKUP($B209,勘定科目!$A:$H,HLOOKUP($E$5,勘定科目!$F$1:$H$2,2,0),0)="","",VLOOKUP($B209,勘定科目!$A:$E,2,0)),"")</f>
        <v>通関申告費用（製）</v>
      </c>
      <c r="D209" s="239" t="str">
        <f>IF(C209="","",VLOOKUP($B209,勘定科目!$A:$E,4,0))</f>
        <v>荷造運賃</v>
      </c>
      <c r="E209" s="245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200">
        <f t="shared" si="8"/>
        <v>0</v>
      </c>
      <c r="S209" s="201" t="s">
        <v>842</v>
      </c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>
        <v>5005076289</v>
      </c>
      <c r="C210" s="183" t="str">
        <f>IFERROR(IF(VLOOKUP($B210,勘定科目!$A:$H,HLOOKUP($E$5,勘定科目!$F$1:$H$2,2,0),0)="","",VLOOKUP($B210,勘定科目!$A:$E,2,0)),"")</f>
        <v>クーリエ費用（製）</v>
      </c>
      <c r="D210" s="239" t="str">
        <f>IF(C210="","",VLOOKUP($B210,勘定科目!$A:$E,4,0))</f>
        <v>荷造運賃</v>
      </c>
      <c r="E210" s="245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200">
        <f t="shared" si="8"/>
        <v>0</v>
      </c>
      <c r="S210" s="201" t="s">
        <v>843</v>
      </c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>
        <v>5005076289</v>
      </c>
      <c r="C211" s="183" t="str">
        <f>IFERROR(IF(VLOOKUP($B211,勘定科目!$A:$H,HLOOKUP($E$5,勘定科目!$F$1:$H$2,2,0),0)="","",VLOOKUP($B211,勘定科目!$A:$E,2,0)),"")</f>
        <v>クーリエ費用（製）</v>
      </c>
      <c r="D211" s="239" t="str">
        <f>IF(C211="","",VLOOKUP($B211,勘定科目!$A:$E,4,0))</f>
        <v>荷造運賃</v>
      </c>
      <c r="E211" s="245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200">
        <f t="shared" si="8"/>
        <v>0</v>
      </c>
      <c r="S211" s="201" t="s">
        <v>844</v>
      </c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>
        <v>5005076289</v>
      </c>
      <c r="C212" s="183" t="str">
        <f>IFERROR(IF(VLOOKUP($B212,勘定科目!$A:$H,HLOOKUP($E$5,勘定科目!$F$1:$H$2,2,0),0)="","",VLOOKUP($B212,勘定科目!$A:$E,2,0)),"")</f>
        <v>クーリエ費用（製）</v>
      </c>
      <c r="D212" s="239" t="str">
        <f>IF(C212="","",VLOOKUP($B212,勘定科目!$A:$E,4,0))</f>
        <v>荷造運賃</v>
      </c>
      <c r="E212" s="245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200">
        <f t="shared" si="8"/>
        <v>0</v>
      </c>
      <c r="S212" s="201" t="s">
        <v>845</v>
      </c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200">
        <f t="shared" si="8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>
        <v>5005246286</v>
      </c>
      <c r="C214" s="183" t="str">
        <f>IFERROR(IF(VLOOKUP($B214,勘定科目!$A:$H,HLOOKUP($E$5,勘定科目!$F$1:$H$2,2,0),0)="","",VLOOKUP($B214,勘定科目!$A:$E,2,0)),"")</f>
        <v>その他手数料（製）</v>
      </c>
      <c r="D214" s="239" t="str">
        <f>IF(C214="","",VLOOKUP($B214,勘定科目!$A:$E,4,0))</f>
        <v>手数料</v>
      </c>
      <c r="E214" s="245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200">
        <f t="shared" si="8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>
        <v>5005246286</v>
      </c>
      <c r="C215" s="183" t="str">
        <f>IFERROR(IF(VLOOKUP($B215,勘定科目!$A:$H,HLOOKUP($E$5,勘定科目!$F$1:$H$2,2,0),0)="","",VLOOKUP($B215,勘定科目!$A:$E,2,0)),"")</f>
        <v>その他手数料（製）</v>
      </c>
      <c r="D215" s="239" t="str">
        <f>IF(C215="","",VLOOKUP($B215,勘定科目!$A:$E,4,0))</f>
        <v>手数料</v>
      </c>
      <c r="E215" s="245"/>
      <c r="F215" s="194">
        <f>18*58682</f>
        <v>1056276</v>
      </c>
      <c r="G215" s="194">
        <f>18*60231</f>
        <v>1084158</v>
      </c>
      <c r="H215" s="194">
        <f>18*65552</f>
        <v>1179936</v>
      </c>
      <c r="I215" s="194">
        <f>18*60210</f>
        <v>1083780</v>
      </c>
      <c r="J215" s="194">
        <f>19*55849</f>
        <v>1061131</v>
      </c>
      <c r="K215" s="194">
        <f>19*57094</f>
        <v>1084786</v>
      </c>
      <c r="L215" s="194">
        <f>19*60568</f>
        <v>1150792</v>
      </c>
      <c r="M215" s="194">
        <f>19*58837</f>
        <v>1117903</v>
      </c>
      <c r="N215" s="194">
        <f>19*58163</f>
        <v>1105097</v>
      </c>
      <c r="O215" s="194">
        <f>19*55242</f>
        <v>1049598</v>
      </c>
      <c r="P215" s="194">
        <f>19*46000</f>
        <v>874000</v>
      </c>
      <c r="Q215" s="194">
        <f>19*58022</f>
        <v>1102418</v>
      </c>
      <c r="R215" s="200">
        <f t="shared" si="8"/>
        <v>12949875</v>
      </c>
      <c r="S215" s="201" t="s">
        <v>846</v>
      </c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>
        <v>5005246286</v>
      </c>
      <c r="C216" s="183" t="str">
        <f>IFERROR(IF(VLOOKUP($B216,勘定科目!$A:$H,HLOOKUP($E$5,勘定科目!$F$1:$H$2,2,0),0)="","",VLOOKUP($B216,勘定科目!$A:$E,2,0)),"")</f>
        <v>その他手数料（製）</v>
      </c>
      <c r="D216" s="239" t="str">
        <f>IF(C216="","",VLOOKUP($B216,勘定科目!$A:$E,4,0))</f>
        <v>手数料</v>
      </c>
      <c r="E216" s="245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200">
        <f t="shared" si="8"/>
        <v>0</v>
      </c>
      <c r="S216" s="201" t="s">
        <v>847</v>
      </c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>
        <v>5005246286</v>
      </c>
      <c r="C217" s="183" t="str">
        <f>IFERROR(IF(VLOOKUP($B217,勘定科目!$A:$H,HLOOKUP($E$5,勘定科目!$F$1:$H$2,2,0),0)="","",VLOOKUP($B217,勘定科目!$A:$E,2,0)),"")</f>
        <v>その他手数料（製）</v>
      </c>
      <c r="D217" s="239" t="str">
        <f>IF(C217="","",VLOOKUP($B217,勘定科目!$A:$E,4,0))</f>
        <v>手数料</v>
      </c>
      <c r="E217" s="245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200">
        <f t="shared" si="8"/>
        <v>0</v>
      </c>
      <c r="S217" s="201" t="s">
        <v>848</v>
      </c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>
        <v>5005246286</v>
      </c>
      <c r="C218" s="183" t="str">
        <f>IFERROR(IF(VLOOKUP($B218,勘定科目!$A:$H,HLOOKUP($E$5,勘定科目!$F$1:$H$2,2,0),0)="","",VLOOKUP($B218,勘定科目!$A:$E,2,0)),"")</f>
        <v>その他手数料（製）</v>
      </c>
      <c r="D218" s="239" t="str">
        <f>IF(C218="","",VLOOKUP($B218,勘定科目!$A:$E,4,0))</f>
        <v>手数料</v>
      </c>
      <c r="E218" s="245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200">
        <f t="shared" si="8"/>
        <v>0</v>
      </c>
      <c r="S218" s="201" t="s">
        <v>849</v>
      </c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>
        <v>5005246286</v>
      </c>
      <c r="C219" s="183" t="str">
        <f>IFERROR(IF(VLOOKUP($B219,勘定科目!$A:$H,HLOOKUP($E$5,勘定科目!$F$1:$H$2,2,0),0)="","",VLOOKUP($B219,勘定科目!$A:$E,2,0)),"")</f>
        <v>その他手数料（製）</v>
      </c>
      <c r="D219" s="239" t="str">
        <f>IF(C219="","",VLOOKUP($B219,勘定科目!$A:$E,4,0))</f>
        <v>手数料</v>
      </c>
      <c r="E219" s="245"/>
      <c r="F219" s="194"/>
      <c r="G219" s="194"/>
      <c r="H219" s="194">
        <v>4400000</v>
      </c>
      <c r="I219" s="194"/>
      <c r="J219" s="194"/>
      <c r="K219" s="194">
        <v>2772000</v>
      </c>
      <c r="L219" s="194"/>
      <c r="M219" s="194"/>
      <c r="N219" s="194"/>
      <c r="O219" s="194"/>
      <c r="P219" s="194"/>
      <c r="Q219" s="194"/>
      <c r="R219" s="200">
        <f t="shared" si="8"/>
        <v>7172000</v>
      </c>
      <c r="S219" s="201" t="s">
        <v>938</v>
      </c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>
        <v>5005246286</v>
      </c>
      <c r="C220" s="183" t="str">
        <f>IFERROR(IF(VLOOKUP($B220,勘定科目!$A:$H,HLOOKUP($E$5,勘定科目!$F$1:$H$2,2,0),0)="","",VLOOKUP($B220,勘定科目!$A:$E,2,0)),"")</f>
        <v>その他手数料（製）</v>
      </c>
      <c r="D220" s="239" t="str">
        <f>IF(C220="","",VLOOKUP($B220,勘定科目!$A:$E,4,0))</f>
        <v>手数料</v>
      </c>
      <c r="E220" s="245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200">
        <f t="shared" si="8"/>
        <v>0</v>
      </c>
      <c r="S220" s="201" t="s">
        <v>850</v>
      </c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>
        <v>5005246286</v>
      </c>
      <c r="C221" s="183" t="str">
        <f>IFERROR(IF(VLOOKUP($B221,勘定科目!$A:$H,HLOOKUP($E$5,勘定科目!$F$1:$H$2,2,0),0)="","",VLOOKUP($B221,勘定科目!$A:$E,2,0)),"")</f>
        <v>その他手数料（製）</v>
      </c>
      <c r="D221" s="239" t="str">
        <f>IF(C221="","",VLOOKUP($B221,勘定科目!$A:$E,4,0))</f>
        <v>手数料</v>
      </c>
      <c r="E221" s="245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200">
        <f t="shared" si="8"/>
        <v>0</v>
      </c>
      <c r="S221" s="201" t="s">
        <v>851</v>
      </c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>
        <v>5005246286</v>
      </c>
      <c r="C222" s="183" t="str">
        <f>IFERROR(IF(VLOOKUP($B222,勘定科目!$A:$H,HLOOKUP($E$5,勘定科目!$F$1:$H$2,2,0),0)="","",VLOOKUP($B222,勘定科目!$A:$E,2,0)),"")</f>
        <v>その他手数料（製）</v>
      </c>
      <c r="D222" s="239" t="str">
        <f>IF(C222="","",VLOOKUP($B222,勘定科目!$A:$E,4,0))</f>
        <v>手数料</v>
      </c>
      <c r="E222" s="245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200">
        <f t="shared" si="8"/>
        <v>0</v>
      </c>
      <c r="S222" s="201" t="s">
        <v>852</v>
      </c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>
        <v>5005246286</v>
      </c>
      <c r="C223" s="183" t="str">
        <f>IFERROR(IF(VLOOKUP($B223,勘定科目!$A:$H,HLOOKUP($E$5,勘定科目!$F$1:$H$2,2,0),0)="","",VLOOKUP($B223,勘定科目!$A:$E,2,0)),"")</f>
        <v>その他手数料（製）</v>
      </c>
      <c r="D223" s="239" t="str">
        <f>IF(C223="","",VLOOKUP($B223,勘定科目!$A:$E,4,0))</f>
        <v>手数料</v>
      </c>
      <c r="E223" s="245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200">
        <f t="shared" si="8"/>
        <v>0</v>
      </c>
      <c r="S223" s="201" t="s">
        <v>853</v>
      </c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>
        <v>5005246286</v>
      </c>
      <c r="C224" s="183" t="str">
        <f>IFERROR(IF(VLOOKUP($B224,勘定科目!$A:$H,HLOOKUP($E$5,勘定科目!$F$1:$H$2,2,0),0)="","",VLOOKUP($B224,勘定科目!$A:$E,2,0)),"")</f>
        <v>その他手数料（製）</v>
      </c>
      <c r="D224" s="239" t="str">
        <f>IF(C224="","",VLOOKUP($B224,勘定科目!$A:$E,4,0))</f>
        <v>手数料</v>
      </c>
      <c r="E224" s="245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200">
        <f t="shared" si="8"/>
        <v>0</v>
      </c>
      <c r="S224" s="201" t="s">
        <v>854</v>
      </c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>
        <v>5005246286</v>
      </c>
      <c r="C225" s="183" t="str">
        <f>IFERROR(IF(VLOOKUP($B225,勘定科目!$A:$H,HLOOKUP($E$5,勘定科目!$F$1:$H$2,2,0),0)="","",VLOOKUP($B225,勘定科目!$A:$E,2,0)),"")</f>
        <v>その他手数料（製）</v>
      </c>
      <c r="D225" s="239" t="str">
        <f>IF(C225="","",VLOOKUP($B225,勘定科目!$A:$E,4,0))</f>
        <v>手数料</v>
      </c>
      <c r="E225" s="245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200">
        <f t="shared" si="8"/>
        <v>0</v>
      </c>
      <c r="S225" s="201" t="s">
        <v>855</v>
      </c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>
        <v>5005246286</v>
      </c>
      <c r="C226" s="183" t="str">
        <f>IFERROR(IF(VLOOKUP($B226,勘定科目!$A:$H,HLOOKUP($E$5,勘定科目!$F$1:$H$2,2,0),0)="","",VLOOKUP($B226,勘定科目!$A:$E,2,0)),"")</f>
        <v>その他手数料（製）</v>
      </c>
      <c r="D226" s="239" t="str">
        <f>IF(C226="","",VLOOKUP($B226,勘定科目!$A:$E,4,0))</f>
        <v>手数料</v>
      </c>
      <c r="E226" s="245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200">
        <f t="shared" si="8"/>
        <v>0</v>
      </c>
      <c r="S226" s="201" t="s">
        <v>856</v>
      </c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>
        <v>5005246286</v>
      </c>
      <c r="C227" s="183" t="str">
        <f>IFERROR(IF(VLOOKUP($B227,勘定科目!$A:$H,HLOOKUP($E$5,勘定科目!$F$1:$H$2,2,0),0)="","",VLOOKUP($B227,勘定科目!$A:$E,2,0)),"")</f>
        <v>その他手数料（製）</v>
      </c>
      <c r="D227" s="239" t="str">
        <f>IF(C227="","",VLOOKUP($B227,勘定科目!$A:$E,4,0))</f>
        <v>手数料</v>
      </c>
      <c r="E227" s="245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200">
        <f t="shared" si="8"/>
        <v>0</v>
      </c>
      <c r="S227" s="201" t="s">
        <v>857</v>
      </c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>
        <v>5005246287</v>
      </c>
      <c r="C228" s="183" t="str">
        <f>IFERROR(IF(VLOOKUP($B228,勘定科目!$A:$H,HLOOKUP($E$5,勘定科目!$F$1:$H$2,2,0),0)="","",VLOOKUP($B228,勘定科目!$A:$E,2,0)),"")</f>
        <v>ＫＤＣ手数料（製）</v>
      </c>
      <c r="D228" s="239" t="str">
        <f>IF(C228="","",VLOOKUP($B228,勘定科目!$A:$E,4,0))</f>
        <v>手数料</v>
      </c>
      <c r="E228" s="245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200">
        <f t="shared" si="8"/>
        <v>0</v>
      </c>
      <c r="S228" s="201" t="s">
        <v>858</v>
      </c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>
        <v>5005246287</v>
      </c>
      <c r="C229" s="183" t="str">
        <f>IFERROR(IF(VLOOKUP($B229,勘定科目!$A:$H,HLOOKUP($E$5,勘定科目!$F$1:$H$2,2,0),0)="","",VLOOKUP($B229,勘定科目!$A:$E,2,0)),"")</f>
        <v>ＫＤＣ手数料（製）</v>
      </c>
      <c r="D229" s="239" t="str">
        <f>IF(C229="","",VLOOKUP($B229,勘定科目!$A:$E,4,0))</f>
        <v>手数料</v>
      </c>
      <c r="E229" s="245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200">
        <f t="shared" si="8"/>
        <v>0</v>
      </c>
      <c r="S229" s="201" t="s">
        <v>859</v>
      </c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>
        <v>5005246287</v>
      </c>
      <c r="C230" s="183" t="str">
        <f>IFERROR(IF(VLOOKUP($B230,勘定科目!$A:$H,HLOOKUP($E$5,勘定科目!$F$1:$H$2,2,0),0)="","",VLOOKUP($B230,勘定科目!$A:$E,2,0)),"")</f>
        <v>ＫＤＣ手数料（製）</v>
      </c>
      <c r="D230" s="239" t="str">
        <f>IF(C230="","",VLOOKUP($B230,勘定科目!$A:$E,4,0))</f>
        <v>手数料</v>
      </c>
      <c r="E230" s="245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200">
        <f t="shared" si="8"/>
        <v>0</v>
      </c>
      <c r="S230" s="201" t="s">
        <v>860</v>
      </c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200">
        <f t="shared" si="8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>
        <v>5005136281</v>
      </c>
      <c r="C232" s="183" t="str">
        <f>IFERROR(IF(VLOOKUP($B232,勘定科目!$A:$H,HLOOKUP($E$5,勘定科目!$F$1:$H$2,2,0),0)="","",VLOOKUP($B232,勘定科目!$A:$E,2,0)),"")</f>
        <v>通信費（製）</v>
      </c>
      <c r="D232" s="239" t="str">
        <f>IF(C232="","",VLOOKUP($B232,勘定科目!$A:$E,4,0))</f>
        <v>通信費</v>
      </c>
      <c r="E232" s="245"/>
      <c r="F232" s="194">
        <f>ROUND((90000*4+135454+23000+45000)*1.1,0)</f>
        <v>619799</v>
      </c>
      <c r="G232" s="194">
        <f t="shared" ref="G232:Q232" si="9">ROUND((90000*4+135454+23000+45000)*1.1,0)</f>
        <v>619799</v>
      </c>
      <c r="H232" s="194">
        <f t="shared" si="9"/>
        <v>619799</v>
      </c>
      <c r="I232" s="194">
        <f t="shared" si="9"/>
        <v>619799</v>
      </c>
      <c r="J232" s="194">
        <f t="shared" si="9"/>
        <v>619799</v>
      </c>
      <c r="K232" s="194">
        <f t="shared" si="9"/>
        <v>619799</v>
      </c>
      <c r="L232" s="194">
        <f t="shared" si="9"/>
        <v>619799</v>
      </c>
      <c r="M232" s="194">
        <f t="shared" si="9"/>
        <v>619799</v>
      </c>
      <c r="N232" s="194">
        <f t="shared" si="9"/>
        <v>619799</v>
      </c>
      <c r="O232" s="194">
        <f t="shared" si="9"/>
        <v>619799</v>
      </c>
      <c r="P232" s="194">
        <f t="shared" si="9"/>
        <v>619799</v>
      </c>
      <c r="Q232" s="194">
        <f t="shared" si="9"/>
        <v>619799</v>
      </c>
      <c r="R232" s="200">
        <f t="shared" si="8"/>
        <v>7437588</v>
      </c>
      <c r="S232" s="201" t="s">
        <v>58</v>
      </c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>
        <v>5005136281</v>
      </c>
      <c r="C233" s="183" t="str">
        <f>IFERROR(IF(VLOOKUP($B233,勘定科目!$A:$H,HLOOKUP($E$5,勘定科目!$F$1:$H$2,2,0),0)="","",VLOOKUP($B233,勘定科目!$A:$E,2,0)),"")</f>
        <v>通信費（製）</v>
      </c>
      <c r="D233" s="239" t="str">
        <f>IF(C233="","",VLOOKUP($B233,勘定科目!$A:$E,4,0))</f>
        <v>通信費</v>
      </c>
      <c r="E233" s="245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200">
        <f t="shared" si="8"/>
        <v>0</v>
      </c>
      <c r="S233" s="201" t="s">
        <v>861</v>
      </c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>
        <v>5005136281</v>
      </c>
      <c r="C234" s="183" t="str">
        <f>IFERROR(IF(VLOOKUP($B234,勘定科目!$A:$H,HLOOKUP($E$5,勘定科目!$F$1:$H$2,2,0),0)="","",VLOOKUP($B234,勘定科目!$A:$E,2,0)),"")</f>
        <v>通信費（製）</v>
      </c>
      <c r="D234" s="239" t="str">
        <f>IF(C234="","",VLOOKUP($B234,勘定科目!$A:$E,4,0))</f>
        <v>通信費</v>
      </c>
      <c r="E234" s="245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200">
        <f t="shared" si="8"/>
        <v>0</v>
      </c>
      <c r="S234" s="201" t="s">
        <v>862</v>
      </c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>
        <v>5005136281</v>
      </c>
      <c r="C235" s="183" t="str">
        <f>IFERROR(IF(VLOOKUP($B235,勘定科目!$A:$H,HLOOKUP($E$5,勘定科目!$F$1:$H$2,2,0),0)="","",VLOOKUP($B235,勘定科目!$A:$E,2,0)),"")</f>
        <v>通信費（製）</v>
      </c>
      <c r="D235" s="239" t="str">
        <f>IF(C235="","",VLOOKUP($B235,勘定科目!$A:$E,4,0))</f>
        <v>通信費</v>
      </c>
      <c r="E235" s="245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200">
        <f t="shared" si="8"/>
        <v>0</v>
      </c>
      <c r="S235" s="201" t="s">
        <v>863</v>
      </c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>
        <v>5005136281</v>
      </c>
      <c r="C236" s="183" t="str">
        <f>IFERROR(IF(VLOOKUP($B236,勘定科目!$A:$H,HLOOKUP($E$5,勘定科目!$F$1:$H$2,2,0),0)="","",VLOOKUP($B236,勘定科目!$A:$E,2,0)),"")</f>
        <v>通信費（製）</v>
      </c>
      <c r="D236" s="239" t="str">
        <f>IF(C236="","",VLOOKUP($B236,勘定科目!$A:$E,4,0))</f>
        <v>通信費</v>
      </c>
      <c r="E236" s="245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200">
        <f t="shared" si="8"/>
        <v>0</v>
      </c>
      <c r="S236" s="201" t="s">
        <v>864</v>
      </c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>
        <v>5005136291</v>
      </c>
      <c r="C237" s="183" t="str">
        <f>IFERROR(IF(VLOOKUP($B237,勘定科目!$A:$H,HLOOKUP($E$5,勘定科目!$F$1:$H$2,2,0),0)="","",VLOOKUP($B237,勘定科目!$A:$E,2,0)),"")</f>
        <v>郵送代（製）</v>
      </c>
      <c r="D237" s="239" t="str">
        <f>IF(C237="","",VLOOKUP($B237,勘定科目!$A:$E,4,0))</f>
        <v>通信費</v>
      </c>
      <c r="E237" s="245"/>
      <c r="F237" s="194"/>
      <c r="G237" s="194"/>
      <c r="H237" s="194">
        <v>380000</v>
      </c>
      <c r="I237" s="194"/>
      <c r="J237" s="194"/>
      <c r="K237" s="194"/>
      <c r="L237" s="194"/>
      <c r="M237" s="194"/>
      <c r="N237" s="194"/>
      <c r="O237" s="194"/>
      <c r="P237" s="194"/>
      <c r="Q237" s="194"/>
      <c r="R237" s="200">
        <f t="shared" si="8"/>
        <v>380000</v>
      </c>
      <c r="S237" s="201" t="s">
        <v>865</v>
      </c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>
        <v>5005186292</v>
      </c>
      <c r="C238" s="183" t="str">
        <f>IFERROR(IF(VLOOKUP($B238,勘定科目!$A:$H,HLOOKUP($E$5,勘定科目!$F$1:$H$2,2,0),0)="","",VLOOKUP($B238,勘定科目!$A:$E,2,0)),"")</f>
        <v>その他税金（製）</v>
      </c>
      <c r="D238" s="239" t="str">
        <f>IF(C238="","",VLOOKUP($B238,勘定科目!$A:$E,4,0))</f>
        <v>公租公課</v>
      </c>
      <c r="E238" s="245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200">
        <f t="shared" si="8"/>
        <v>0</v>
      </c>
      <c r="S238" s="201" t="s">
        <v>866</v>
      </c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200">
        <f t="shared" si="8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>
        <v>5005246282</v>
      </c>
      <c r="C240" s="183" t="str">
        <f>IFERROR(IF(VLOOKUP($B240,勘定科目!$A:$H,HLOOKUP($E$5,勘定科目!$F$1:$H$2,2,0),0)="","",VLOOKUP($B240,勘定科目!$A:$E,2,0)),"")</f>
        <v>ＫＤＣシステム使用料（製）</v>
      </c>
      <c r="D240" s="239" t="str">
        <f>IF(C240="","",VLOOKUP($B240,勘定科目!$A:$E,4,0))</f>
        <v>図書及び事務費</v>
      </c>
      <c r="E240" s="245"/>
      <c r="F240" s="194">
        <f>ROUND(((11.51*18)+(2.25*18))*26273,0)</f>
        <v>6507297</v>
      </c>
      <c r="G240" s="194">
        <f t="shared" ref="G240:I240" si="10">ROUND(((11.51*18)+(2.25*18))*26273,0)</f>
        <v>6507297</v>
      </c>
      <c r="H240" s="194">
        <f t="shared" si="10"/>
        <v>6507297</v>
      </c>
      <c r="I240" s="194">
        <f t="shared" si="10"/>
        <v>6507297</v>
      </c>
      <c r="J240" s="194">
        <f>ROUND(((11.51*19)+(2.25*19))*26273,0)</f>
        <v>6868813</v>
      </c>
      <c r="K240" s="194">
        <f t="shared" ref="K240:N240" si="11">ROUND(((11.51*19)+(2.25*19))*26273,0)</f>
        <v>6868813</v>
      </c>
      <c r="L240" s="194">
        <f t="shared" si="11"/>
        <v>6868813</v>
      </c>
      <c r="M240" s="194">
        <f t="shared" si="11"/>
        <v>6868813</v>
      </c>
      <c r="N240" s="194">
        <f t="shared" si="11"/>
        <v>6868813</v>
      </c>
      <c r="O240" s="194">
        <f>ROUND(((11.51*19)+(2.25*19))*26273,0)</f>
        <v>6868813</v>
      </c>
      <c r="P240" s="194">
        <f t="shared" ref="P240:Q240" si="12">ROUND(((11.51*19)+(2.25*19))*26273,0)</f>
        <v>6868813</v>
      </c>
      <c r="Q240" s="194">
        <f t="shared" si="12"/>
        <v>6868813</v>
      </c>
      <c r="R240" s="200">
        <f t="shared" si="8"/>
        <v>80979692</v>
      </c>
      <c r="S240" s="201" t="s">
        <v>924</v>
      </c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>
        <v>5005246282</v>
      </c>
      <c r="C241" s="183" t="str">
        <f>IFERROR(IF(VLOOKUP($B241,勘定科目!$A:$H,HLOOKUP($E$5,勘定科目!$F$1:$H$2,2,0),0)="","",VLOOKUP($B241,勘定科目!$A:$E,2,0)),"")</f>
        <v>ＫＤＣシステム使用料（製）</v>
      </c>
      <c r="D241" s="239" t="str">
        <f>IF(C241="","",VLOOKUP($B241,勘定科目!$A:$E,4,0))</f>
        <v>図書及び事務費</v>
      </c>
      <c r="E241" s="245"/>
      <c r="F241" s="194">
        <f t="shared" ref="F241:Q241" si="13">ROUND(3.19*1*26273,0)</f>
        <v>83811</v>
      </c>
      <c r="G241" s="194">
        <f t="shared" si="13"/>
        <v>83811</v>
      </c>
      <c r="H241" s="194">
        <f t="shared" si="13"/>
        <v>83811</v>
      </c>
      <c r="I241" s="194">
        <f t="shared" si="13"/>
        <v>83811</v>
      </c>
      <c r="J241" s="194">
        <f t="shared" si="13"/>
        <v>83811</v>
      </c>
      <c r="K241" s="194">
        <f t="shared" si="13"/>
        <v>83811</v>
      </c>
      <c r="L241" s="194">
        <f t="shared" si="13"/>
        <v>83811</v>
      </c>
      <c r="M241" s="194">
        <f t="shared" si="13"/>
        <v>83811</v>
      </c>
      <c r="N241" s="194">
        <f t="shared" si="13"/>
        <v>83811</v>
      </c>
      <c r="O241" s="194">
        <f t="shared" si="13"/>
        <v>83811</v>
      </c>
      <c r="P241" s="194">
        <f t="shared" si="13"/>
        <v>83811</v>
      </c>
      <c r="Q241" s="194">
        <f t="shared" si="13"/>
        <v>83811</v>
      </c>
      <c r="R241" s="200">
        <f t="shared" si="8"/>
        <v>1005732</v>
      </c>
      <c r="S241" s="201" t="s">
        <v>867</v>
      </c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>
        <v>5005246282</v>
      </c>
      <c r="C242" s="183" t="str">
        <f>IFERROR(IF(VLOOKUP($B242,勘定科目!$A:$H,HLOOKUP($E$5,勘定科目!$F$1:$H$2,2,0),0)="","",VLOOKUP($B242,勘定科目!$A:$E,2,0)),"")</f>
        <v>ＫＤＣシステム使用料（製）</v>
      </c>
      <c r="D242" s="239" t="str">
        <f>IF(C242="","",VLOOKUP($B242,勘定科目!$A:$E,4,0))</f>
        <v>図書及び事務費</v>
      </c>
      <c r="E242" s="245"/>
      <c r="F242" s="194">
        <f>ROUND(1331*167.79,0)</f>
        <v>223328</v>
      </c>
      <c r="G242" s="194">
        <f t="shared" ref="G242:Q242" si="14">ROUND(1331*167.79,0)</f>
        <v>223328</v>
      </c>
      <c r="H242" s="194">
        <f t="shared" si="14"/>
        <v>223328</v>
      </c>
      <c r="I242" s="194">
        <f t="shared" si="14"/>
        <v>223328</v>
      </c>
      <c r="J242" s="194">
        <f t="shared" si="14"/>
        <v>223328</v>
      </c>
      <c r="K242" s="194">
        <f t="shared" si="14"/>
        <v>223328</v>
      </c>
      <c r="L242" s="194">
        <f t="shared" si="14"/>
        <v>223328</v>
      </c>
      <c r="M242" s="194">
        <f t="shared" si="14"/>
        <v>223328</v>
      </c>
      <c r="N242" s="194">
        <f t="shared" si="14"/>
        <v>223328</v>
      </c>
      <c r="O242" s="194">
        <f t="shared" si="14"/>
        <v>223328</v>
      </c>
      <c r="P242" s="194">
        <f t="shared" si="14"/>
        <v>223328</v>
      </c>
      <c r="Q242" s="194">
        <f t="shared" si="14"/>
        <v>223328</v>
      </c>
      <c r="R242" s="200">
        <f t="shared" si="8"/>
        <v>2679936</v>
      </c>
      <c r="S242" s="201" t="s">
        <v>868</v>
      </c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>
        <v>5005246282</v>
      </c>
      <c r="C243" s="183" t="str">
        <f>IFERROR(IF(VLOOKUP($B243,勘定科目!$A:$H,HLOOKUP($E$5,勘定科目!$F$1:$H$2,2,0),0)="","",VLOOKUP($B243,勘定科目!$A:$E,2,0)),"")</f>
        <v>ＫＤＣシステム使用料（製）</v>
      </c>
      <c r="D243" s="239" t="str">
        <f>IF(C243="","",VLOOKUP($B243,勘定科目!$A:$E,4,0))</f>
        <v>図書及び事務費</v>
      </c>
      <c r="E243" s="245"/>
      <c r="F243" s="194"/>
      <c r="G243" s="194"/>
      <c r="H243" s="194"/>
      <c r="I243" s="194">
        <f>ROUND(5600*4*167.79,0)</f>
        <v>3758496</v>
      </c>
      <c r="J243" s="194">
        <f t="shared" ref="J243:Q243" si="15">ROUND(5600*4*167.79,0)</f>
        <v>3758496</v>
      </c>
      <c r="K243" s="194">
        <f t="shared" si="15"/>
        <v>3758496</v>
      </c>
      <c r="L243" s="194">
        <f t="shared" si="15"/>
        <v>3758496</v>
      </c>
      <c r="M243" s="194">
        <f t="shared" si="15"/>
        <v>3758496</v>
      </c>
      <c r="N243" s="194">
        <f t="shared" si="15"/>
        <v>3758496</v>
      </c>
      <c r="O243" s="194">
        <f t="shared" si="15"/>
        <v>3758496</v>
      </c>
      <c r="P243" s="194">
        <f t="shared" si="15"/>
        <v>3758496</v>
      </c>
      <c r="Q243" s="194">
        <f t="shared" si="15"/>
        <v>3758496</v>
      </c>
      <c r="R243" s="200">
        <f t="shared" si="8"/>
        <v>33826464</v>
      </c>
      <c r="S243" s="201" t="s">
        <v>932</v>
      </c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>
        <v>5005246281</v>
      </c>
      <c r="C244" s="183" t="str">
        <f>IFERROR(IF(VLOOKUP($B244,勘定科目!$A:$H,HLOOKUP($E$5,勘定科目!$F$1:$H$2,2,0),0)="","",VLOOKUP($B244,勘定科目!$A:$E,2,0)),"")</f>
        <v>図書印刷費（製）</v>
      </c>
      <c r="D244" s="239" t="str">
        <f>IF(C244="","",VLOOKUP($B244,勘定科目!$A:$E,4,0))</f>
        <v>図書及び事務費</v>
      </c>
      <c r="E244" s="245"/>
      <c r="F244" s="194"/>
      <c r="G244" s="194"/>
      <c r="H244" s="194">
        <f>5*148500</f>
        <v>742500</v>
      </c>
      <c r="I244" s="194"/>
      <c r="J244" s="194"/>
      <c r="K244" s="194"/>
      <c r="L244" s="194">
        <f>5*148500</f>
        <v>742500</v>
      </c>
      <c r="M244" s="194"/>
      <c r="N244" s="194"/>
      <c r="O244" s="194"/>
      <c r="P244" s="194"/>
      <c r="Q244" s="194"/>
      <c r="R244" s="200">
        <f t="shared" si="8"/>
        <v>1485000</v>
      </c>
      <c r="S244" s="201" t="s">
        <v>869</v>
      </c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>
        <v>5005246281</v>
      </c>
      <c r="C245" s="183" t="str">
        <f>IFERROR(IF(VLOOKUP($B245,勘定科目!$A:$H,HLOOKUP($E$5,勘定科目!$F$1:$H$2,2,0),0)="","",VLOOKUP($B245,勘定科目!$A:$E,2,0)),"")</f>
        <v>図書印刷費（製）</v>
      </c>
      <c r="D245" s="239" t="str">
        <f>IF(C245="","",VLOOKUP($B245,勘定科目!$A:$E,4,0))</f>
        <v>図書及び事務費</v>
      </c>
      <c r="E245" s="245"/>
      <c r="F245" s="194"/>
      <c r="G245" s="194"/>
      <c r="H245" s="194"/>
      <c r="I245" s="194">
        <f>760*1</f>
        <v>760</v>
      </c>
      <c r="J245" s="194"/>
      <c r="K245" s="194"/>
      <c r="L245" s="194"/>
      <c r="M245" s="194">
        <f>19*760</f>
        <v>14440</v>
      </c>
      <c r="N245" s="194"/>
      <c r="O245" s="194"/>
      <c r="P245" s="194"/>
      <c r="Q245" s="194"/>
      <c r="R245" s="200">
        <f t="shared" si="8"/>
        <v>15200</v>
      </c>
      <c r="S245" s="201" t="s">
        <v>870</v>
      </c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>
        <v>5005246281</v>
      </c>
      <c r="C246" s="183" t="str">
        <f>IFERROR(IF(VLOOKUP($B246,勘定科目!$A:$H,HLOOKUP($E$5,勘定科目!$F$1:$H$2,2,0),0)="","",VLOOKUP($B246,勘定科目!$A:$E,2,0)),"")</f>
        <v>図書印刷費（製）</v>
      </c>
      <c r="D246" s="239" t="str">
        <f>IF(C246="","",VLOOKUP($B246,勘定科目!$A:$E,4,0))</f>
        <v>図書及び事務費</v>
      </c>
      <c r="E246" s="245"/>
      <c r="F246" s="194"/>
      <c r="G246" s="194"/>
      <c r="H246" s="194"/>
      <c r="I246" s="194">
        <f>58000*1</f>
        <v>58000</v>
      </c>
      <c r="J246" s="194"/>
      <c r="K246" s="194"/>
      <c r="L246" s="194"/>
      <c r="M246" s="194"/>
      <c r="N246" s="194"/>
      <c r="O246" s="194"/>
      <c r="P246" s="194"/>
      <c r="Q246" s="194"/>
      <c r="R246" s="200">
        <f t="shared" si="8"/>
        <v>58000</v>
      </c>
      <c r="S246" s="201" t="s">
        <v>916</v>
      </c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>
        <v>5005246281</v>
      </c>
      <c r="C247" s="183" t="str">
        <f>IFERROR(IF(VLOOKUP($B247,勘定科目!$A:$H,HLOOKUP($E$5,勘定科目!$F$1:$H$2,2,0),0)="","",VLOOKUP($B247,勘定科目!$A:$E,2,0)),"")</f>
        <v>図書印刷費（製）</v>
      </c>
      <c r="D247" s="239" t="str">
        <f>IF(C247="","",VLOOKUP($B247,勘定科目!$A:$E,4,0))</f>
        <v>図書及び事務費</v>
      </c>
      <c r="E247" s="245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200">
        <f t="shared" ref="R247:R310" si="16">SUM(F247:Q247)</f>
        <v>0</v>
      </c>
      <c r="S247" s="201" t="s">
        <v>871</v>
      </c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>
        <v>5005246281</v>
      </c>
      <c r="C248" s="183" t="str">
        <f>IFERROR(IF(VLOOKUP($B248,勘定科目!$A:$H,HLOOKUP($E$5,勘定科目!$F$1:$H$2,2,0),0)="","",VLOOKUP($B248,勘定科目!$A:$E,2,0)),"")</f>
        <v>図書印刷費（製）</v>
      </c>
      <c r="D248" s="239" t="str">
        <f>IF(C248="","",VLOOKUP($B248,勘定科目!$A:$E,4,0))</f>
        <v>図書及び事務費</v>
      </c>
      <c r="E248" s="245"/>
      <c r="F248" s="194"/>
      <c r="G248" s="194"/>
      <c r="H248" s="194"/>
      <c r="I248" s="194">
        <f>27200*1</f>
        <v>27200</v>
      </c>
      <c r="J248" s="194"/>
      <c r="K248" s="194"/>
      <c r="L248" s="194"/>
      <c r="M248" s="194"/>
      <c r="N248" s="194"/>
      <c r="O248" s="194"/>
      <c r="P248" s="194"/>
      <c r="Q248" s="194"/>
      <c r="R248" s="200">
        <f t="shared" si="16"/>
        <v>27200</v>
      </c>
      <c r="S248" s="201" t="s">
        <v>917</v>
      </c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>
        <v>5005246281</v>
      </c>
      <c r="C249" s="183" t="str">
        <f>IFERROR(IF(VLOOKUP($B249,勘定科目!$A:$H,HLOOKUP($E$5,勘定科目!$F$1:$H$2,2,0),0)="","",VLOOKUP($B249,勘定科目!$A:$E,2,0)),"")</f>
        <v>図書印刷費（製）</v>
      </c>
      <c r="D249" s="239" t="str">
        <f>IF(C249="","",VLOOKUP($B249,勘定科目!$A:$E,4,0))</f>
        <v>図書及び事務費</v>
      </c>
      <c r="E249" s="245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200">
        <f t="shared" si="16"/>
        <v>0</v>
      </c>
      <c r="S249" s="201" t="s">
        <v>872</v>
      </c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>
        <v>5005246288</v>
      </c>
      <c r="C250" s="183" t="str">
        <f>IFERROR(IF(VLOOKUP($B250,勘定科目!$A:$H,HLOOKUP($E$5,勘定科目!$F$1:$H$2,2,0),0)="","",VLOOKUP($B250,勘定科目!$A:$E,2,0)),"")</f>
        <v>事務用品費（製）</v>
      </c>
      <c r="D250" s="239" t="str">
        <f>IF(C250="","",VLOOKUP($B250,勘定科目!$A:$E,4,0))</f>
        <v>図書及び事務費</v>
      </c>
      <c r="E250" s="245"/>
      <c r="F250" s="194"/>
      <c r="G250" s="194"/>
      <c r="H250" s="194"/>
      <c r="I250" s="194">
        <f>3600*1</f>
        <v>3600</v>
      </c>
      <c r="J250" s="194"/>
      <c r="K250" s="194"/>
      <c r="L250" s="194"/>
      <c r="M250" s="194"/>
      <c r="N250" s="194"/>
      <c r="O250" s="194"/>
      <c r="P250" s="194"/>
      <c r="Q250" s="194"/>
      <c r="R250" s="200">
        <f t="shared" si="16"/>
        <v>3600</v>
      </c>
      <c r="S250" s="201" t="s">
        <v>873</v>
      </c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>
        <v>5005246288</v>
      </c>
      <c r="C251" s="183" t="str">
        <f>IFERROR(IF(VLOOKUP($B251,勘定科目!$A:$H,HLOOKUP($E$5,勘定科目!$F$1:$H$2,2,0),0)="","",VLOOKUP($B251,勘定科目!$A:$E,2,0)),"")</f>
        <v>事務用品費（製）</v>
      </c>
      <c r="D251" s="239" t="str">
        <f>IF(C251="","",VLOOKUP($B251,勘定科目!$A:$E,4,0))</f>
        <v>図書及び事務費</v>
      </c>
      <c r="E251" s="245"/>
      <c r="F251" s="194"/>
      <c r="G251" s="194"/>
      <c r="H251" s="194"/>
      <c r="I251" s="194">
        <f>3000*1</f>
        <v>3000</v>
      </c>
      <c r="J251" s="194"/>
      <c r="K251" s="194"/>
      <c r="L251" s="194"/>
      <c r="M251" s="194"/>
      <c r="N251" s="194"/>
      <c r="O251" s="194"/>
      <c r="P251" s="194"/>
      <c r="Q251" s="194"/>
      <c r="R251" s="200">
        <f t="shared" si="16"/>
        <v>3000</v>
      </c>
      <c r="S251" s="201" t="s">
        <v>874</v>
      </c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>
        <v>5005246288</v>
      </c>
      <c r="C252" s="183" t="str">
        <f>IFERROR(IF(VLOOKUP($B252,勘定科目!$A:$H,HLOOKUP($E$5,勘定科目!$F$1:$H$2,2,0),0)="","",VLOOKUP($B252,勘定科目!$A:$E,2,0)),"")</f>
        <v>事務用品費（製）</v>
      </c>
      <c r="D252" s="239" t="str">
        <f>IF(C252="","",VLOOKUP($B252,勘定科目!$A:$E,4,0))</f>
        <v>図書及び事務費</v>
      </c>
      <c r="E252" s="245"/>
      <c r="F252" s="194"/>
      <c r="G252" s="194"/>
      <c r="H252" s="194"/>
      <c r="I252" s="194">
        <f>9100*1</f>
        <v>9100</v>
      </c>
      <c r="J252" s="194"/>
      <c r="K252" s="194"/>
      <c r="L252" s="194"/>
      <c r="M252" s="194"/>
      <c r="N252" s="194"/>
      <c r="O252" s="194"/>
      <c r="P252" s="194"/>
      <c r="Q252" s="194"/>
      <c r="R252" s="200">
        <f t="shared" si="16"/>
        <v>9100</v>
      </c>
      <c r="S252" s="201" t="s">
        <v>875</v>
      </c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>
        <v>5005246288</v>
      </c>
      <c r="C253" s="183" t="str">
        <f>IFERROR(IF(VLOOKUP($B253,勘定科目!$A:$H,HLOOKUP($E$5,勘定科目!$F$1:$H$2,2,0),0)="","",VLOOKUP($B253,勘定科目!$A:$E,2,0)),"")</f>
        <v>事務用品費（製）</v>
      </c>
      <c r="D253" s="239" t="str">
        <f>IF(C253="","",VLOOKUP($B253,勘定科目!$A:$E,4,0))</f>
        <v>図書及び事務費</v>
      </c>
      <c r="E253" s="245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200">
        <f t="shared" si="16"/>
        <v>0</v>
      </c>
      <c r="S253" s="201" t="s">
        <v>876</v>
      </c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>
        <v>5005246288</v>
      </c>
      <c r="C254" s="183" t="str">
        <f>IFERROR(IF(VLOOKUP($B254,勘定科目!$A:$H,HLOOKUP($E$5,勘定科目!$F$1:$H$2,2,0),0)="","",VLOOKUP($B254,勘定科目!$A:$E,2,0)),"")</f>
        <v>事務用品費（製）</v>
      </c>
      <c r="D254" s="239" t="str">
        <f>IF(C254="","",VLOOKUP($B254,勘定科目!$A:$E,4,0))</f>
        <v>図書及び事務費</v>
      </c>
      <c r="E254" s="245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200">
        <f t="shared" si="16"/>
        <v>0</v>
      </c>
      <c r="S254" s="201" t="s">
        <v>877</v>
      </c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>
        <v>5005246288</v>
      </c>
      <c r="C255" s="183" t="str">
        <f>IFERROR(IF(VLOOKUP($B255,勘定科目!$A:$H,HLOOKUP($E$5,勘定科目!$F$1:$H$2,2,0),0)="","",VLOOKUP($B255,勘定科目!$A:$E,2,0)),"")</f>
        <v>事務用品費（製）</v>
      </c>
      <c r="D255" s="239" t="str">
        <f>IF(C255="","",VLOOKUP($B255,勘定科目!$A:$E,4,0))</f>
        <v>図書及び事務費</v>
      </c>
      <c r="E255" s="245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200">
        <f t="shared" si="16"/>
        <v>0</v>
      </c>
      <c r="S255" s="201" t="s">
        <v>878</v>
      </c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>
        <v>5005246288</v>
      </c>
      <c r="C256" s="183" t="str">
        <f>IFERROR(IF(VLOOKUP($B256,勘定科目!$A:$H,HLOOKUP($E$5,勘定科目!$F$1:$H$2,2,0),0)="","",VLOOKUP($B256,勘定科目!$A:$E,2,0)),"")</f>
        <v>事務用品費（製）</v>
      </c>
      <c r="D256" s="239" t="str">
        <f>IF(C256="","",VLOOKUP($B256,勘定科目!$A:$E,4,0))</f>
        <v>図書及び事務費</v>
      </c>
      <c r="E256" s="245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200">
        <f t="shared" si="16"/>
        <v>0</v>
      </c>
      <c r="S256" s="201" t="s">
        <v>879</v>
      </c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>
        <v>5005246288</v>
      </c>
      <c r="C257" s="183" t="str">
        <f>IFERROR(IF(VLOOKUP($B257,勘定科目!$A:$H,HLOOKUP($E$5,勘定科目!$F$1:$H$2,2,0),0)="","",VLOOKUP($B257,勘定科目!$A:$E,2,0)),"")</f>
        <v>事務用品費（製）</v>
      </c>
      <c r="D257" s="239" t="str">
        <f>IF(C257="","",VLOOKUP($B257,勘定科目!$A:$E,4,0))</f>
        <v>図書及び事務費</v>
      </c>
      <c r="E257" s="245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200">
        <f t="shared" si="16"/>
        <v>0</v>
      </c>
      <c r="S257" s="201" t="s">
        <v>880</v>
      </c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>
        <v>5005246288</v>
      </c>
      <c r="C258" s="183" t="str">
        <f>IFERROR(IF(VLOOKUP($B258,勘定科目!$A:$H,HLOOKUP($E$5,勘定科目!$F$1:$H$2,2,0),0)="","",VLOOKUP($B258,勘定科目!$A:$E,2,0)),"")</f>
        <v>事務用品費（製）</v>
      </c>
      <c r="D258" s="239" t="str">
        <f>IF(C258="","",VLOOKUP($B258,勘定科目!$A:$E,4,0))</f>
        <v>図書及び事務費</v>
      </c>
      <c r="E258" s="245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200">
        <f t="shared" si="16"/>
        <v>0</v>
      </c>
      <c r="S258" s="201" t="s">
        <v>881</v>
      </c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200">
        <f t="shared" si="16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>
        <v>5005246283</v>
      </c>
      <c r="C260" s="183" t="str">
        <f>IFERROR(IF(VLOOKUP($B260,勘定科目!$A:$H,HLOOKUP($E$5,勘定科目!$F$1:$H$2,2,0),0)="","",VLOOKUP($B260,勘定科目!$A:$E,2,0)),"")</f>
        <v>ライセンス料（製）</v>
      </c>
      <c r="D260" s="239" t="str">
        <f>IF(C260="","",VLOOKUP($B260,勘定科目!$A:$E,4,0))</f>
        <v>図書及び事務費</v>
      </c>
      <c r="E260" s="245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200">
        <f t="shared" si="16"/>
        <v>0</v>
      </c>
      <c r="S260" s="201" t="s">
        <v>882</v>
      </c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>
        <v>5005246283</v>
      </c>
      <c r="C261" s="183" t="str">
        <f>IFERROR(IF(VLOOKUP($B261,勘定科目!$A:$H,HLOOKUP($E$5,勘定科目!$F$1:$H$2,2,0),0)="","",VLOOKUP($B261,勘定科目!$A:$E,2,0)),"")</f>
        <v>ライセンス料（製）</v>
      </c>
      <c r="D261" s="239" t="str">
        <f>IF(C261="","",VLOOKUP($B261,勘定科目!$A:$E,4,0))</f>
        <v>図書及び事務費</v>
      </c>
      <c r="E261" s="245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200">
        <f t="shared" si="16"/>
        <v>0</v>
      </c>
      <c r="S261" s="201" t="s">
        <v>883</v>
      </c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>
        <v>5005246283</v>
      </c>
      <c r="C262" s="183" t="str">
        <f>IFERROR(IF(VLOOKUP($B262,勘定科目!$A:$H,HLOOKUP($E$5,勘定科目!$F$1:$H$2,2,0),0)="","",VLOOKUP($B262,勘定科目!$A:$E,2,0)),"")</f>
        <v>ライセンス料（製）</v>
      </c>
      <c r="D262" s="239" t="str">
        <f>IF(C262="","",VLOOKUP($B262,勘定科目!$A:$E,4,0))</f>
        <v>図書及び事務費</v>
      </c>
      <c r="E262" s="245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200">
        <f t="shared" si="16"/>
        <v>0</v>
      </c>
      <c r="S262" s="201" t="s">
        <v>884</v>
      </c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>
        <v>5005246283</v>
      </c>
      <c r="C263" s="183" t="str">
        <f>IFERROR(IF(VLOOKUP($B263,勘定科目!$A:$H,HLOOKUP($E$5,勘定科目!$F$1:$H$2,2,0),0)="","",VLOOKUP($B263,勘定科目!$A:$E,2,0)),"")</f>
        <v>ライセンス料（製）</v>
      </c>
      <c r="D263" s="239" t="str">
        <f>IF(C263="","",VLOOKUP($B263,勘定科目!$A:$E,4,0))</f>
        <v>図書及び事務費</v>
      </c>
      <c r="E263" s="245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200">
        <f t="shared" si="16"/>
        <v>0</v>
      </c>
      <c r="S263" s="201" t="s">
        <v>885</v>
      </c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>
        <v>5005246283</v>
      </c>
      <c r="C264" s="183" t="str">
        <f>IFERROR(IF(VLOOKUP($B264,勘定科目!$A:$H,HLOOKUP($E$5,勘定科目!$F$1:$H$2,2,0),0)="","",VLOOKUP($B264,勘定科目!$A:$E,2,0)),"")</f>
        <v>ライセンス料（製）</v>
      </c>
      <c r="D264" s="239" t="str">
        <f>IF(C264="","",VLOOKUP($B264,勘定科目!$A:$E,4,0))</f>
        <v>図書及び事務費</v>
      </c>
      <c r="E264" s="245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200">
        <f t="shared" si="16"/>
        <v>0</v>
      </c>
      <c r="S264" s="201" t="s">
        <v>886</v>
      </c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>
        <v>5005246283</v>
      </c>
      <c r="C265" s="183" t="str">
        <f>IFERROR(IF(VLOOKUP($B265,勘定科目!$A:$H,HLOOKUP($E$5,勘定科目!$F$1:$H$2,2,0),0)="","",VLOOKUP($B265,勘定科目!$A:$E,2,0)),"")</f>
        <v>ライセンス料（製）</v>
      </c>
      <c r="D265" s="239" t="str">
        <f>IF(C265="","",VLOOKUP($B265,勘定科目!$A:$E,4,0))</f>
        <v>図書及び事務費</v>
      </c>
      <c r="E265" s="245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>
        <v>16100000</v>
      </c>
      <c r="Q265" s="194"/>
      <c r="R265" s="200">
        <f t="shared" si="16"/>
        <v>16100000</v>
      </c>
      <c r="S265" s="201" t="s">
        <v>887</v>
      </c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200">
        <f t="shared" si="16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200">
        <f t="shared" si="16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>
        <v>5004086291</v>
      </c>
      <c r="C268" s="183" t="str">
        <f>IFERROR(IF(VLOOKUP($B268,勘定科目!$A:$H,HLOOKUP($E$5,勘定科目!$F$1:$H$2,2,0),0)="","",VLOOKUP($B268,勘定科目!$A:$E,2,0)),"")</f>
        <v>福利厚生費（製）</v>
      </c>
      <c r="D268" s="239" t="str">
        <f>IF(C268="","",VLOOKUP($B268,勘定科目!$A:$E,4,0))</f>
        <v>福利厚生費</v>
      </c>
      <c r="E268" s="245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200">
        <f t="shared" si="16"/>
        <v>0</v>
      </c>
      <c r="S268" s="201" t="s">
        <v>888</v>
      </c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>
        <v>5004086291</v>
      </c>
      <c r="C269" s="183" t="str">
        <f>IFERROR(IF(VLOOKUP($B269,勘定科目!$A:$H,HLOOKUP($E$5,勘定科目!$F$1:$H$2,2,0),0)="","",VLOOKUP($B269,勘定科目!$A:$E,2,0)),"")</f>
        <v>福利厚生費（製）</v>
      </c>
      <c r="D269" s="239" t="str">
        <f>IF(C269="","",VLOOKUP($B269,勘定科目!$A:$E,4,0))</f>
        <v>福利厚生費</v>
      </c>
      <c r="E269" s="245"/>
      <c r="F269" s="194">
        <f>2*152000</f>
        <v>304000</v>
      </c>
      <c r="G269" s="194">
        <f>2*152000</f>
        <v>304000</v>
      </c>
      <c r="H269" s="194"/>
      <c r="I269" s="194"/>
      <c r="J269" s="194">
        <f>3*152000</f>
        <v>456000</v>
      </c>
      <c r="K269" s="194">
        <f>2*152000</f>
        <v>304000</v>
      </c>
      <c r="L269" s="194">
        <f>1*152000</f>
        <v>152000</v>
      </c>
      <c r="M269" s="194">
        <f>2*152000</f>
        <v>304000</v>
      </c>
      <c r="N269" s="194"/>
      <c r="O269" s="194">
        <f>2*152000</f>
        <v>304000</v>
      </c>
      <c r="P269" s="194">
        <f>2*152000</f>
        <v>304000</v>
      </c>
      <c r="Q269" s="194">
        <f>3*152000</f>
        <v>456000</v>
      </c>
      <c r="R269" s="200">
        <f t="shared" si="16"/>
        <v>2888000</v>
      </c>
      <c r="S269" s="201" t="s">
        <v>918</v>
      </c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>
        <v>5004086291</v>
      </c>
      <c r="C270" s="183" t="str">
        <f>IFERROR(IF(VLOOKUP($B270,勘定科目!$A:$H,HLOOKUP($E$5,勘定科目!$F$1:$H$2,2,0),0)="","",VLOOKUP($B270,勘定科目!$A:$E,2,0)),"")</f>
        <v>福利厚生費（製）</v>
      </c>
      <c r="D270" s="239" t="str">
        <f>IF(C270="","",VLOOKUP($B270,勘定科目!$A:$E,4,0))</f>
        <v>福利厚生費</v>
      </c>
      <c r="E270" s="245"/>
      <c r="F270" s="194"/>
      <c r="G270" s="194"/>
      <c r="H270" s="194"/>
      <c r="I270" s="194"/>
      <c r="J270" s="194"/>
      <c r="K270" s="194"/>
      <c r="L270" s="194">
        <f>518000+304000</f>
        <v>822000</v>
      </c>
      <c r="M270" s="194"/>
      <c r="N270" s="194"/>
      <c r="O270" s="194"/>
      <c r="P270" s="194"/>
      <c r="Q270" s="194"/>
      <c r="R270" s="200">
        <f t="shared" si="16"/>
        <v>822000</v>
      </c>
      <c r="S270" s="201" t="s">
        <v>889</v>
      </c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>
        <v>5004086291</v>
      </c>
      <c r="C271" s="183" t="str">
        <f>IFERROR(IF(VLOOKUP($B271,勘定科目!$A:$H,HLOOKUP($E$5,勘定科目!$F$1:$H$2,2,0),0)="","",VLOOKUP($B271,勘定科目!$A:$E,2,0)),"")</f>
        <v>福利厚生費（製）</v>
      </c>
      <c r="D271" s="239" t="str">
        <f>IF(C271="","",VLOOKUP($B271,勘定科目!$A:$E,4,0))</f>
        <v>福利厚生費</v>
      </c>
      <c r="E271" s="245"/>
      <c r="F271" s="194"/>
      <c r="G271" s="194"/>
      <c r="H271" s="194"/>
      <c r="I271" s="194"/>
      <c r="J271" s="194">
        <f>1*175000</f>
        <v>175000</v>
      </c>
      <c r="K271" s="194"/>
      <c r="L271" s="194">
        <f>175000*2</f>
        <v>350000</v>
      </c>
      <c r="M271" s="194"/>
      <c r="N271" s="194">
        <f>1*175000</f>
        <v>175000</v>
      </c>
      <c r="O271" s="194"/>
      <c r="P271" s="194"/>
      <c r="Q271" s="194"/>
      <c r="R271" s="200">
        <f t="shared" si="16"/>
        <v>700000</v>
      </c>
      <c r="S271" s="201" t="s">
        <v>890</v>
      </c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>
        <v>5004086291</v>
      </c>
      <c r="C272" s="183" t="str">
        <f>IFERROR(IF(VLOOKUP($B272,勘定科目!$A:$H,HLOOKUP($E$5,勘定科目!$F$1:$H$2,2,0),0)="","",VLOOKUP($B272,勘定科目!$A:$E,2,0)),"")</f>
        <v>福利厚生費（製）</v>
      </c>
      <c r="D272" s="239" t="str">
        <f>IF(C272="","",VLOOKUP($B272,勘定科目!$A:$E,4,0))</f>
        <v>福利厚生費</v>
      </c>
      <c r="E272" s="245"/>
      <c r="F272" s="194"/>
      <c r="G272" s="194"/>
      <c r="H272" s="194">
        <f>1*165000</f>
        <v>165000</v>
      </c>
      <c r="I272" s="194">
        <f>165000*2</f>
        <v>330000</v>
      </c>
      <c r="J272" s="194"/>
      <c r="K272" s="194">
        <f>1*165000</f>
        <v>165000</v>
      </c>
      <c r="L272" s="194"/>
      <c r="M272" s="194"/>
      <c r="N272" s="194"/>
      <c r="O272" s="194">
        <f>1*165000</f>
        <v>165000</v>
      </c>
      <c r="P272" s="194"/>
      <c r="Q272" s="194"/>
      <c r="R272" s="200">
        <f t="shared" si="16"/>
        <v>825000</v>
      </c>
      <c r="S272" s="201" t="s">
        <v>891</v>
      </c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>
        <v>5004086291</v>
      </c>
      <c r="C273" s="183" t="str">
        <f>IFERROR(IF(VLOOKUP($B273,勘定科目!$A:$H,HLOOKUP($E$5,勘定科目!$F$1:$H$2,2,0),0)="","",VLOOKUP($B273,勘定科目!$A:$E,2,0)),"")</f>
        <v>福利厚生費（製）</v>
      </c>
      <c r="D273" s="239" t="str">
        <f>IF(C273="","",VLOOKUP($B273,勘定科目!$A:$E,4,0))</f>
        <v>福利厚生費</v>
      </c>
      <c r="E273" s="245"/>
      <c r="F273" s="194"/>
      <c r="G273" s="194">
        <f>1*116000</f>
        <v>116000</v>
      </c>
      <c r="H273" s="194"/>
      <c r="I273" s="194">
        <f>116000*2</f>
        <v>232000</v>
      </c>
      <c r="J273" s="194"/>
      <c r="K273" s="194">
        <f>1*116000</f>
        <v>116000</v>
      </c>
      <c r="L273" s="194"/>
      <c r="M273" s="194">
        <f>1*116000</f>
        <v>116000</v>
      </c>
      <c r="N273" s="194">
        <f>1*116000</f>
        <v>116000</v>
      </c>
      <c r="O273" s="194"/>
      <c r="P273" s="194"/>
      <c r="Q273" s="194"/>
      <c r="R273" s="200">
        <f t="shared" si="16"/>
        <v>696000</v>
      </c>
      <c r="S273" s="201" t="s">
        <v>892</v>
      </c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>
        <v>5004086291</v>
      </c>
      <c r="C274" s="183" t="str">
        <f>IFERROR(IF(VLOOKUP($B274,勘定科目!$A:$H,HLOOKUP($E$5,勘定科目!$F$1:$H$2,2,0),0)="","",VLOOKUP($B274,勘定科目!$A:$E,2,0)),"")</f>
        <v>福利厚生費（製）</v>
      </c>
      <c r="D274" s="239" t="str">
        <f>IF(C274="","",VLOOKUP($B274,勘定科目!$A:$E,4,0))</f>
        <v>福利厚生費</v>
      </c>
      <c r="E274" s="245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200">
        <f t="shared" si="16"/>
        <v>0</v>
      </c>
      <c r="S274" s="201" t="s">
        <v>893</v>
      </c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>
        <v>5004086291</v>
      </c>
      <c r="C275" s="183" t="str">
        <f>IFERROR(IF(VLOOKUP($B275,勘定科目!$A:$H,HLOOKUP($E$5,勘定科目!$F$1:$H$2,2,0),0)="","",VLOOKUP($B275,勘定科目!$A:$E,2,0)),"")</f>
        <v>福利厚生費（製）</v>
      </c>
      <c r="D275" s="239" t="str">
        <f>IF(C275="","",VLOOKUP($B275,勘定科目!$A:$E,4,0))</f>
        <v>福利厚生費</v>
      </c>
      <c r="E275" s="245"/>
      <c r="F275" s="194">
        <f>84000</f>
        <v>84000</v>
      </c>
      <c r="G275" s="194"/>
      <c r="H275" s="194"/>
      <c r="I275" s="194">
        <f>84000*1</f>
        <v>84000</v>
      </c>
      <c r="J275" s="194">
        <f>84000</f>
        <v>84000</v>
      </c>
      <c r="K275" s="194"/>
      <c r="L275" s="194">
        <f>84000</f>
        <v>84000</v>
      </c>
      <c r="M275" s="194"/>
      <c r="N275" s="194"/>
      <c r="O275" s="194">
        <f>84000</f>
        <v>84000</v>
      </c>
      <c r="P275" s="194"/>
      <c r="Q275" s="194"/>
      <c r="R275" s="200">
        <f t="shared" si="16"/>
        <v>420000</v>
      </c>
      <c r="S275" s="201" t="s">
        <v>894</v>
      </c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>
        <v>5004086291</v>
      </c>
      <c r="C276" s="183" t="str">
        <f>IFERROR(IF(VLOOKUP($B276,勘定科目!$A:$H,HLOOKUP($E$5,勘定科目!$F$1:$H$2,2,0),0)="","",VLOOKUP($B276,勘定科目!$A:$E,2,0)),"")</f>
        <v>福利厚生費（製）</v>
      </c>
      <c r="D276" s="239" t="str">
        <f>IF(C276="","",VLOOKUP($B276,勘定科目!$A:$E,4,0))</f>
        <v>福利厚生費</v>
      </c>
      <c r="E276" s="245"/>
      <c r="F276" s="194"/>
      <c r="G276" s="194">
        <f>1*39000</f>
        <v>39000</v>
      </c>
      <c r="H276" s="194">
        <f>1*39000</f>
        <v>39000</v>
      </c>
      <c r="I276" s="194">
        <f>39000*2</f>
        <v>78000</v>
      </c>
      <c r="J276" s="194">
        <f>1*39000</f>
        <v>39000</v>
      </c>
      <c r="K276" s="194"/>
      <c r="L276" s="194"/>
      <c r="M276" s="194">
        <f>1*39000</f>
        <v>39000</v>
      </c>
      <c r="N276" s="194"/>
      <c r="O276" s="194"/>
      <c r="P276" s="194"/>
      <c r="Q276" s="194"/>
      <c r="R276" s="200">
        <f t="shared" si="16"/>
        <v>234000</v>
      </c>
      <c r="S276" s="201" t="s">
        <v>895</v>
      </c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>
        <v>5004086291</v>
      </c>
      <c r="C277" s="183" t="str">
        <f>IFERROR(IF(VLOOKUP($B277,勘定科目!$A:$H,HLOOKUP($E$5,勘定科目!$F$1:$H$2,2,0),0)="","",VLOOKUP($B277,勘定科目!$A:$E,2,0)),"")</f>
        <v>福利厚生費（製）</v>
      </c>
      <c r="D277" s="239" t="str">
        <f>IF(C277="","",VLOOKUP($B277,勘定科目!$A:$E,4,0))</f>
        <v>福利厚生費</v>
      </c>
      <c r="E277" s="245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200">
        <f t="shared" si="16"/>
        <v>0</v>
      </c>
      <c r="S277" s="201" t="s">
        <v>896</v>
      </c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>
        <v>5004086291</v>
      </c>
      <c r="C278" s="183" t="str">
        <f>IFERROR(IF(VLOOKUP($B278,勘定科目!$A:$H,HLOOKUP($E$5,勘定科目!$F$1:$H$2,2,0),0)="","",VLOOKUP($B278,勘定科目!$A:$E,2,0)),"")</f>
        <v>福利厚生費（製）</v>
      </c>
      <c r="D278" s="239" t="str">
        <f>IF(C278="","",VLOOKUP($B278,勘定科目!$A:$E,4,0))</f>
        <v>福利厚生費</v>
      </c>
      <c r="E278" s="245"/>
      <c r="F278" s="194"/>
      <c r="G278" s="194"/>
      <c r="H278" s="194"/>
      <c r="I278" s="194"/>
      <c r="J278" s="194">
        <f>166250*1</f>
        <v>166250</v>
      </c>
      <c r="K278" s="194"/>
      <c r="L278" s="194"/>
      <c r="M278" s="194"/>
      <c r="N278" s="194"/>
      <c r="O278" s="194"/>
      <c r="P278" s="194"/>
      <c r="Q278" s="194"/>
      <c r="R278" s="200">
        <f t="shared" si="16"/>
        <v>166250</v>
      </c>
      <c r="S278" s="201" t="s">
        <v>897</v>
      </c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>
        <v>5004086291</v>
      </c>
      <c r="C279" s="183" t="str">
        <f>IFERROR(IF(VLOOKUP($B279,勘定科目!$A:$H,HLOOKUP($E$5,勘定科目!$F$1:$H$2,2,0),0)="","",VLOOKUP($B279,勘定科目!$A:$E,2,0)),"")</f>
        <v>福利厚生費（製）</v>
      </c>
      <c r="D279" s="239" t="str">
        <f>IF(C279="","",VLOOKUP($B279,勘定科目!$A:$E,4,0))</f>
        <v>福利厚生費</v>
      </c>
      <c r="E279" s="245"/>
      <c r="F279" s="194"/>
      <c r="G279" s="194"/>
      <c r="H279" s="194"/>
      <c r="I279" s="194"/>
      <c r="J279" s="194"/>
      <c r="K279" s="194"/>
      <c r="L279" s="194"/>
      <c r="M279" s="194"/>
      <c r="N279" s="194">
        <f>156600*15+170100*3</f>
        <v>2859300</v>
      </c>
      <c r="O279" s="194"/>
      <c r="P279" s="194"/>
      <c r="Q279" s="194"/>
      <c r="R279" s="200">
        <f t="shared" si="16"/>
        <v>2859300</v>
      </c>
      <c r="S279" s="201" t="s">
        <v>898</v>
      </c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>
        <v>5004086291</v>
      </c>
      <c r="C280" s="183" t="str">
        <f>IFERROR(IF(VLOOKUP($B280,勘定科目!$A:$H,HLOOKUP($E$5,勘定科目!$F$1:$H$2,2,0),0)="","",VLOOKUP($B280,勘定科目!$A:$E,2,0)),"")</f>
        <v>福利厚生費（製）</v>
      </c>
      <c r="D280" s="239" t="str">
        <f>IF(C280="","",VLOOKUP($B280,勘定科目!$A:$E,4,0))</f>
        <v>福利厚生費</v>
      </c>
      <c r="E280" s="245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>
        <f>300000*19</f>
        <v>5700000</v>
      </c>
      <c r="Q280" s="194"/>
      <c r="R280" s="200">
        <f t="shared" si="16"/>
        <v>5700000</v>
      </c>
      <c r="S280" s="201" t="s">
        <v>923</v>
      </c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>
        <v>5004086291</v>
      </c>
      <c r="C281" s="183" t="str">
        <f>IFERROR(IF(VLOOKUP($B281,勘定科目!$A:$H,HLOOKUP($E$5,勘定科目!$F$1:$H$2,2,0),0)="","",VLOOKUP($B281,勘定科目!$A:$E,2,0)),"")</f>
        <v>福利厚生費（製）</v>
      </c>
      <c r="D281" s="239" t="str">
        <f>IF(C281="","",VLOOKUP($B281,勘定科目!$A:$E,4,0))</f>
        <v>福利厚生費</v>
      </c>
      <c r="E281" s="245"/>
      <c r="F281" s="194"/>
      <c r="G281" s="194">
        <f>2061000*18</f>
        <v>37098000</v>
      </c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200">
        <f t="shared" si="16"/>
        <v>37098000</v>
      </c>
      <c r="S281" s="201" t="s">
        <v>922</v>
      </c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>
        <v>5004086291</v>
      </c>
      <c r="C282" s="183" t="str">
        <f>IFERROR(IF(VLOOKUP($B282,勘定科目!$A:$H,HLOOKUP($E$5,勘定科目!$F$1:$H$2,2,0),0)="","",VLOOKUP($B282,勘定科目!$A:$E,2,0)),"")</f>
        <v>福利厚生費（製）</v>
      </c>
      <c r="D282" s="239" t="str">
        <f>IF(C282="","",VLOOKUP($B282,勘定科目!$A:$E,4,0))</f>
        <v>福利厚生費</v>
      </c>
      <c r="E282" s="245"/>
      <c r="F282" s="194"/>
      <c r="G282" s="194"/>
      <c r="H282" s="194"/>
      <c r="I282" s="194"/>
      <c r="J282" s="194"/>
      <c r="K282" s="194">
        <f>19*126000</f>
        <v>2394000</v>
      </c>
      <c r="L282" s="194"/>
      <c r="M282" s="194"/>
      <c r="N282" s="194"/>
      <c r="O282" s="194"/>
      <c r="P282" s="194"/>
      <c r="Q282" s="194"/>
      <c r="R282" s="200">
        <f t="shared" si="16"/>
        <v>2394000</v>
      </c>
      <c r="S282" s="201" t="s">
        <v>927</v>
      </c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>
        <v>5004086291</v>
      </c>
      <c r="C283" s="183" t="str">
        <f>IFERROR(IF(VLOOKUP($B283,勘定科目!$A:$H,HLOOKUP($E$5,勘定科目!$F$1:$H$2,2,0),0)="","",VLOOKUP($B283,勘定科目!$A:$E,2,0)),"")</f>
        <v>福利厚生費（製）</v>
      </c>
      <c r="D283" s="239" t="str">
        <f>IF(C283="","",VLOOKUP($B283,勘定科目!$A:$E,4,0))</f>
        <v>福利厚生費</v>
      </c>
      <c r="E283" s="245"/>
      <c r="F283" s="194"/>
      <c r="G283" s="194"/>
      <c r="H283" s="194"/>
      <c r="I283" s="194"/>
      <c r="J283" s="194"/>
      <c r="K283" s="194">
        <f>19*56000</f>
        <v>1064000</v>
      </c>
      <c r="L283" s="194"/>
      <c r="M283" s="194"/>
      <c r="N283" s="194"/>
      <c r="O283" s="194"/>
      <c r="P283" s="194"/>
      <c r="Q283" s="194"/>
      <c r="R283" s="200">
        <f t="shared" si="16"/>
        <v>1064000</v>
      </c>
      <c r="S283" s="201" t="s">
        <v>899</v>
      </c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>
        <v>5004086291</v>
      </c>
      <c r="C284" s="183" t="str">
        <f>IFERROR(IF(VLOOKUP($B284,勘定科目!$A:$H,HLOOKUP($E$5,勘定科目!$F$1:$H$2,2,0),0)="","",VLOOKUP($B284,勘定科目!$A:$E,2,0)),"")</f>
        <v>福利厚生費（製）</v>
      </c>
      <c r="D284" s="239" t="str">
        <f>IF(C284="","",VLOOKUP($B284,勘定科目!$A:$E,4,0))</f>
        <v>福利厚生費</v>
      </c>
      <c r="E284" s="245"/>
      <c r="F284" s="194"/>
      <c r="G284" s="194"/>
      <c r="H284" s="194"/>
      <c r="I284" s="194"/>
      <c r="J284" s="194"/>
      <c r="K284" s="194"/>
      <c r="L284" s="194"/>
      <c r="M284" s="194">
        <f>19*107000</f>
        <v>2033000</v>
      </c>
      <c r="N284" s="194"/>
      <c r="O284" s="194"/>
      <c r="P284" s="194"/>
      <c r="Q284" s="194"/>
      <c r="R284" s="200">
        <f t="shared" si="16"/>
        <v>2033000</v>
      </c>
      <c r="S284" s="201" t="s">
        <v>925</v>
      </c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>
        <v>5004086291</v>
      </c>
      <c r="C285" s="183" t="str">
        <f>IFERROR(IF(VLOOKUP($B285,勘定科目!$A:$H,HLOOKUP($E$5,勘定科目!$F$1:$H$2,2,0),0)="","",VLOOKUP($B285,勘定科目!$A:$E,2,0)),"")</f>
        <v>福利厚生費（製）</v>
      </c>
      <c r="D285" s="239" t="str">
        <f>IF(C285="","",VLOOKUP($B285,勘定科目!$A:$E,4,0))</f>
        <v>福利厚生費</v>
      </c>
      <c r="E285" s="245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200">
        <f t="shared" si="16"/>
        <v>0</v>
      </c>
      <c r="S285" s="201" t="s">
        <v>900</v>
      </c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>
        <v>5004086291</v>
      </c>
      <c r="C286" s="183" t="str">
        <f>IFERROR(IF(VLOOKUP($B286,勘定科目!$A:$H,HLOOKUP($E$5,勘定科目!$F$1:$H$2,2,0),0)="","",VLOOKUP($B286,勘定科目!$A:$E,2,0)),"")</f>
        <v>福利厚生費（製）</v>
      </c>
      <c r="D286" s="239" t="str">
        <f>IF(C286="","",VLOOKUP($B286,勘定科目!$A:$E,4,0))</f>
        <v>福利厚生費</v>
      </c>
      <c r="E286" s="245"/>
      <c r="F286" s="194">
        <v>856107</v>
      </c>
      <c r="G286" s="194">
        <v>894022</v>
      </c>
      <c r="H286" s="194">
        <v>841125</v>
      </c>
      <c r="I286" s="194">
        <v>843756</v>
      </c>
      <c r="J286" s="194">
        <v>840449</v>
      </c>
      <c r="K286" s="194">
        <v>826939</v>
      </c>
      <c r="L286" s="194">
        <v>807491</v>
      </c>
      <c r="M286" s="194">
        <v>851412</v>
      </c>
      <c r="N286" s="194">
        <v>890880</v>
      </c>
      <c r="O286" s="194">
        <v>868440</v>
      </c>
      <c r="P286" s="194">
        <v>823640</v>
      </c>
      <c r="Q286" s="194">
        <v>810900</v>
      </c>
      <c r="R286" s="200">
        <f t="shared" si="16"/>
        <v>10155161</v>
      </c>
      <c r="S286" s="201" t="s">
        <v>901</v>
      </c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>
        <v>5004086291</v>
      </c>
      <c r="C287" s="183" t="str">
        <f>IFERROR(IF(VLOOKUP($B287,勘定科目!$A:$H,HLOOKUP($E$5,勘定科目!$F$1:$H$2,2,0),0)="","",VLOOKUP($B287,勘定科目!$A:$E,2,0)),"")</f>
        <v>福利厚生費（製）</v>
      </c>
      <c r="D287" s="239" t="str">
        <f>IF(C287="","",VLOOKUP($B287,勘定科目!$A:$E,4,0))</f>
        <v>福利厚生費</v>
      </c>
      <c r="E287" s="245"/>
      <c r="F287" s="194">
        <f>5*1031546</f>
        <v>5157730</v>
      </c>
      <c r="G287" s="194">
        <f>5*1666547</f>
        <v>8332735</v>
      </c>
      <c r="H287" s="194">
        <f>5*1572350</f>
        <v>7861750</v>
      </c>
      <c r="I287" s="194">
        <f>5*1523385</f>
        <v>7616925</v>
      </c>
      <c r="J287" s="194">
        <f>5*1411084</f>
        <v>7055420</v>
      </c>
      <c r="K287" s="194">
        <f>5*1510555</f>
        <v>7552775</v>
      </c>
      <c r="L287" s="194">
        <f>5*1530445</f>
        <v>7652225</v>
      </c>
      <c r="M287" s="194">
        <f>5*1556432</f>
        <v>7782160</v>
      </c>
      <c r="N287" s="194">
        <f>5*1469160</f>
        <v>7345800</v>
      </c>
      <c r="O287" s="194">
        <f>5*1461107</f>
        <v>7305535</v>
      </c>
      <c r="P287" s="194">
        <f>5*1162654</f>
        <v>5813270</v>
      </c>
      <c r="Q287" s="194">
        <f>5*1116875</f>
        <v>5584375</v>
      </c>
      <c r="R287" s="200">
        <f t="shared" si="16"/>
        <v>85060700</v>
      </c>
      <c r="S287" s="201" t="s">
        <v>902</v>
      </c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>
        <v>5004086291</v>
      </c>
      <c r="C288" s="183" t="str">
        <f>IFERROR(IF(VLOOKUP($B288,勘定科目!$A:$H,HLOOKUP($E$5,勘定科目!$F$1:$H$2,2,0),0)="","",VLOOKUP($B288,勘定科目!$A:$E,2,0)),"")</f>
        <v>福利厚生費（製）</v>
      </c>
      <c r="D288" s="239" t="str">
        <f>IF(C288="","",VLOOKUP($B288,勘定科目!$A:$E,4,0))</f>
        <v>福利厚生費</v>
      </c>
      <c r="E288" s="245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>
        <f>19*100000</f>
        <v>1900000</v>
      </c>
      <c r="Q288" s="194"/>
      <c r="R288" s="200">
        <f t="shared" si="16"/>
        <v>1900000</v>
      </c>
      <c r="S288" s="201" t="s">
        <v>903</v>
      </c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>
        <v>5004086291</v>
      </c>
      <c r="C289" s="183" t="str">
        <f>IFERROR(IF(VLOOKUP($B289,勘定科目!$A:$H,HLOOKUP($E$5,勘定科目!$F$1:$H$2,2,0),0)="","",VLOOKUP($B289,勘定科目!$A:$E,2,0)),"")</f>
        <v>福利厚生費（製）</v>
      </c>
      <c r="D289" s="239" t="str">
        <f>IF(C289="","",VLOOKUP($B289,勘定科目!$A:$E,4,0))</f>
        <v>福利厚生費</v>
      </c>
      <c r="E289" s="245"/>
      <c r="F289" s="194"/>
      <c r="G289" s="194"/>
      <c r="H289" s="194"/>
      <c r="I289" s="194">
        <f>100000*17</f>
        <v>1700000</v>
      </c>
      <c r="J289" s="194"/>
      <c r="K289" s="194"/>
      <c r="L289" s="194"/>
      <c r="M289" s="194"/>
      <c r="N289" s="194"/>
      <c r="O289" s="194"/>
      <c r="P289" s="194"/>
      <c r="Q289" s="194"/>
      <c r="R289" s="200">
        <f t="shared" si="16"/>
        <v>1700000</v>
      </c>
      <c r="S289" s="201" t="s">
        <v>904</v>
      </c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>
        <v>5004086291</v>
      </c>
      <c r="C290" s="183" t="str">
        <f>IFERROR(IF(VLOOKUP($B290,勘定科目!$A:$H,HLOOKUP($E$5,勘定科目!$F$1:$H$2,2,0),0)="","",VLOOKUP($B290,勘定科目!$A:$E,2,0)),"")</f>
        <v>福利厚生費（製）</v>
      </c>
      <c r="D290" s="239" t="str">
        <f>IF(C290="","",VLOOKUP($B290,勘定科目!$A:$E,4,0))</f>
        <v>福利厚生費</v>
      </c>
      <c r="E290" s="245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200">
        <f t="shared" si="16"/>
        <v>0</v>
      </c>
      <c r="S290" s="201" t="s">
        <v>905</v>
      </c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>
        <v>5004086291</v>
      </c>
      <c r="C291" s="183" t="str">
        <f>IFERROR(IF(VLOOKUP($B291,勘定科目!$A:$H,HLOOKUP($E$5,勘定科目!$F$1:$H$2,2,0),0)="","",VLOOKUP($B291,勘定科目!$A:$E,2,0)),"")</f>
        <v>福利厚生費（製）</v>
      </c>
      <c r="D291" s="239" t="str">
        <f>IF(C291="","",VLOOKUP($B291,勘定科目!$A:$E,4,0))</f>
        <v>福利厚生費</v>
      </c>
      <c r="E291" s="245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200">
        <f t="shared" si="16"/>
        <v>0</v>
      </c>
      <c r="S291" s="201" t="s">
        <v>906</v>
      </c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>
        <v>5004086291</v>
      </c>
      <c r="C292" s="183" t="str">
        <f>IFERROR(IF(VLOOKUP($B292,勘定科目!$A:$H,HLOOKUP($E$5,勘定科目!$F$1:$H$2,2,0),0)="","",VLOOKUP($B292,勘定科目!$A:$E,2,0)),"")</f>
        <v>福利厚生費（製）</v>
      </c>
      <c r="D292" s="239" t="str">
        <f>IF(C292="","",VLOOKUP($B292,勘定科目!$A:$E,4,0))</f>
        <v>福利厚生費</v>
      </c>
      <c r="E292" s="245"/>
      <c r="F292" s="194">
        <f>5*562000</f>
        <v>2810000</v>
      </c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200">
        <f t="shared" si="16"/>
        <v>2810000</v>
      </c>
      <c r="S292" s="201" t="s">
        <v>939</v>
      </c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>
        <v>5004086291</v>
      </c>
      <c r="C293" s="183" t="str">
        <f>IFERROR(IF(VLOOKUP($B293,勘定科目!$A:$H,HLOOKUP($E$5,勘定科目!$F$1:$H$2,2,0),0)="","",VLOOKUP($B293,勘定科目!$A:$E,2,0)),"")</f>
        <v>福利厚生費（製）</v>
      </c>
      <c r="D293" s="239" t="str">
        <f>IF(C293="","",VLOOKUP($B293,勘定科目!$A:$E,4,0))</f>
        <v>福利厚生費</v>
      </c>
      <c r="E293" s="245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200">
        <f t="shared" si="16"/>
        <v>0</v>
      </c>
      <c r="S293" s="201" t="s">
        <v>907</v>
      </c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>
        <v>5004086291</v>
      </c>
      <c r="C294" s="183" t="str">
        <f>IFERROR(IF(VLOOKUP($B294,勘定科目!$A:$H,HLOOKUP($E$5,勘定科目!$F$1:$H$2,2,0),0)="","",VLOOKUP($B294,勘定科目!$A:$E,2,0)),"")</f>
        <v>福利厚生費（製）</v>
      </c>
      <c r="D294" s="239" t="str">
        <f>IF(C294="","",VLOOKUP($B294,勘定科目!$A:$E,4,0))</f>
        <v>福利厚生費</v>
      </c>
      <c r="E294" s="245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200">
        <f t="shared" si="16"/>
        <v>0</v>
      </c>
      <c r="S294" s="201" t="s">
        <v>908</v>
      </c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>
        <v>5004086291</v>
      </c>
      <c r="C295" s="183" t="str">
        <f>IFERROR(IF(VLOOKUP($B295,勘定科目!$A:$H,HLOOKUP($E$5,勘定科目!$F$1:$H$2,2,0),0)="","",VLOOKUP($B295,勘定科目!$A:$E,2,0)),"")</f>
        <v>福利厚生費（製）</v>
      </c>
      <c r="D295" s="239" t="str">
        <f>IF(C295="","",VLOOKUP($B295,勘定科目!$A:$E,4,0))</f>
        <v>福利厚生費</v>
      </c>
      <c r="E295" s="245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200">
        <f t="shared" si="16"/>
        <v>0</v>
      </c>
      <c r="S295" s="201" t="s">
        <v>909</v>
      </c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>
        <v>5004086291</v>
      </c>
      <c r="C296" s="183" t="str">
        <f>IFERROR(IF(VLOOKUP($B296,勘定科目!$A:$H,HLOOKUP($E$5,勘定科目!$F$1:$H$2,2,0),0)="","",VLOOKUP($B296,勘定科目!$A:$E,2,0)),"")</f>
        <v>福利厚生費（製）</v>
      </c>
      <c r="D296" s="239" t="str">
        <f>IF(C296="","",VLOOKUP($B296,勘定科目!$A:$E,4,0))</f>
        <v>福利厚生費</v>
      </c>
      <c r="E296" s="245"/>
      <c r="F296" s="194"/>
      <c r="G296" s="194">
        <f>18*200000</f>
        <v>3600000</v>
      </c>
      <c r="H296" s="194"/>
      <c r="I296" s="194"/>
      <c r="J296" s="194"/>
      <c r="K296" s="194"/>
      <c r="L296" s="194">
        <f>19*100000</f>
        <v>1900000</v>
      </c>
      <c r="M296" s="194"/>
      <c r="N296" s="194"/>
      <c r="O296" s="194"/>
      <c r="P296" s="194"/>
      <c r="Q296" s="194"/>
      <c r="R296" s="200">
        <f t="shared" si="16"/>
        <v>5500000</v>
      </c>
      <c r="S296" s="201" t="s">
        <v>926</v>
      </c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200">
        <f t="shared" si="16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>
        <v>5004086293</v>
      </c>
      <c r="C298" s="183" t="str">
        <f>IFERROR(IF(VLOOKUP($B298,勘定科目!$A:$H,HLOOKUP($E$5,勘定科目!$F$1:$H$2,2,0),0)="","",VLOOKUP($B298,勘定科目!$A:$E,2,0)),"")</f>
        <v>教育訓練費（製）</v>
      </c>
      <c r="D298" s="239" t="str">
        <f>IF(C298="","",VLOOKUP($B298,勘定科目!$A:$E,4,0))</f>
        <v>募集教育費</v>
      </c>
      <c r="E298" s="245"/>
      <c r="F298" s="194"/>
      <c r="G298" s="194"/>
      <c r="H298" s="247">
        <v>1850000</v>
      </c>
      <c r="I298" s="247"/>
      <c r="J298" s="247"/>
      <c r="K298" s="247">
        <v>1850000</v>
      </c>
      <c r="L298" s="247">
        <v>650000</v>
      </c>
      <c r="M298" s="247"/>
      <c r="N298" s="247">
        <v>1850000</v>
      </c>
      <c r="O298" s="247"/>
      <c r="P298" s="247"/>
      <c r="Q298" s="247">
        <v>650000</v>
      </c>
      <c r="R298" s="200">
        <f t="shared" si="16"/>
        <v>6850000</v>
      </c>
      <c r="S298" s="201" t="s">
        <v>910</v>
      </c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>
        <v>5004086293</v>
      </c>
      <c r="C299" s="183" t="str">
        <f>IFERROR(IF(VLOOKUP($B299,勘定科目!$A:$H,HLOOKUP($E$5,勘定科目!$F$1:$H$2,2,0),0)="","",VLOOKUP($B299,勘定科目!$A:$E,2,0)),"")</f>
        <v>教育訓練費（製）</v>
      </c>
      <c r="D299" s="239" t="str">
        <f>IF(C299="","",VLOOKUP($B299,勘定科目!$A:$E,4,0))</f>
        <v>募集教育費</v>
      </c>
      <c r="E299" s="245"/>
      <c r="F299" s="194">
        <v>7000000</v>
      </c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200">
        <f t="shared" si="16"/>
        <v>7000000</v>
      </c>
      <c r="S299" s="201" t="s">
        <v>945</v>
      </c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>
        <v>7001075118</v>
      </c>
      <c r="C300" s="183" t="str">
        <f>IFERROR(IF(VLOOKUP($B300,勘定科目!$A:$H,HLOOKUP($E$5,勘定科目!$F$1:$H$2,2,0),0)="","",VLOOKUP($B300,勘定科目!$A:$E,2,0)),"")</f>
        <v>雑収入（関係会社）</v>
      </c>
      <c r="D300" s="239" t="str">
        <f>IF(C300="","",VLOOKUP($B300,勘定科目!$A:$E,4,0))</f>
        <v>雑収入</v>
      </c>
      <c r="E300" s="245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200">
        <f t="shared" si="16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>
        <v>7001065118</v>
      </c>
      <c r="C301" s="183" t="str">
        <f>IFERROR(IF(VLOOKUP($B301,勘定科目!$A:$H,HLOOKUP($E$5,勘定科目!$F$1:$H$2,2,0),0)="","",VLOOKUP($B301,勘定科目!$A:$E,2,0)),"")</f>
        <v>雑収入</v>
      </c>
      <c r="D301" s="239" t="str">
        <f>IF(C301="","",VLOOKUP($B301,勘定科目!$A:$E,4,0))</f>
        <v>雑収入</v>
      </c>
      <c r="E301" s="245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200">
        <f t="shared" si="16"/>
        <v>0</v>
      </c>
      <c r="S301" s="201" t="s">
        <v>911</v>
      </c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>
        <v>9114120007</v>
      </c>
      <c r="C302" s="183" t="str">
        <f>IFERROR(IF(VLOOKUP($B302,勘定科目!$A:$H,HLOOKUP($E$5,勘定科目!$F$1:$H$2,2,0),0)="","",VLOOKUP($B302,勘定科目!$A:$E,2,0)),"")</f>
        <v>社内金利（固定資産）</v>
      </c>
      <c r="D302" s="239" t="str">
        <f>IF(C302="","",VLOOKUP($B302,勘定科目!$A:$E,4,0))</f>
        <v>固定資産金利</v>
      </c>
      <c r="E302" s="245"/>
      <c r="F302" s="194">
        <f>ROUND(17.88*26273,0)</f>
        <v>469761</v>
      </c>
      <c r="G302" s="194">
        <f>ROUND(14.9*26273,0)</f>
        <v>391468</v>
      </c>
      <c r="H302" s="194">
        <f>ROUND((14.9+16.5)*26273,0)</f>
        <v>824972</v>
      </c>
      <c r="I302" s="194">
        <f t="shared" ref="I302:Q302" si="17">ROUND((14.9+16.5+18)*26273,0)</f>
        <v>1297886</v>
      </c>
      <c r="J302" s="194">
        <f t="shared" si="17"/>
        <v>1297886</v>
      </c>
      <c r="K302" s="194">
        <f t="shared" si="17"/>
        <v>1297886</v>
      </c>
      <c r="L302" s="194">
        <f t="shared" si="17"/>
        <v>1297886</v>
      </c>
      <c r="M302" s="194">
        <f t="shared" si="17"/>
        <v>1297886</v>
      </c>
      <c r="N302" s="194">
        <f t="shared" si="17"/>
        <v>1297886</v>
      </c>
      <c r="O302" s="194">
        <f t="shared" si="17"/>
        <v>1297886</v>
      </c>
      <c r="P302" s="194">
        <f t="shared" si="17"/>
        <v>1297886</v>
      </c>
      <c r="Q302" s="194">
        <f t="shared" si="17"/>
        <v>1297886</v>
      </c>
      <c r="R302" s="200">
        <f t="shared" si="16"/>
        <v>13367175</v>
      </c>
      <c r="S302" s="201" t="s">
        <v>912</v>
      </c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>
        <v>9114120007</v>
      </c>
      <c r="C303" s="183" t="str">
        <f>IFERROR(IF(VLOOKUP($B303,勘定科目!$A:$H,HLOOKUP($E$5,勘定科目!$F$1:$H$2,2,0),0)="","",VLOOKUP($B303,勘定科目!$A:$E,2,0)),"")</f>
        <v>社内金利（固定資産）</v>
      </c>
      <c r="D303" s="239" t="str">
        <f>IF(C303="","",VLOOKUP($B303,勘定科目!$A:$E,4,0))</f>
        <v>固定資産金利</v>
      </c>
      <c r="E303" s="245"/>
      <c r="F303" s="194">
        <f>ROUND((188.35+23.88)*26273,0)</f>
        <v>5575919</v>
      </c>
      <c r="G303" s="194">
        <f>ROUND((178.43+23.25)*26273,0)</f>
        <v>5298739</v>
      </c>
      <c r="H303" s="194">
        <f>ROUND((180.02+23.46)*26273,0)</f>
        <v>5346030</v>
      </c>
      <c r="I303" s="194">
        <f>ROUND((178.21+23.22)*26273,0)</f>
        <v>5292170</v>
      </c>
      <c r="J303" s="194">
        <f>ROUND((174.19+22.7)*26273,0)</f>
        <v>5172891</v>
      </c>
      <c r="K303" s="194">
        <f>ROUND((175.81+22.91)*26273,0)</f>
        <v>5220971</v>
      </c>
      <c r="L303" s="194">
        <f>ROUND((178.57+23.27)*26273,0)</f>
        <v>5302942</v>
      </c>
      <c r="M303" s="194">
        <f>ROUND((177.4+23.12)*26273,0)</f>
        <v>5268262</v>
      </c>
      <c r="N303" s="194">
        <f>ROUND((176.65+23.02)*26273,0)</f>
        <v>5245930</v>
      </c>
      <c r="O303" s="194">
        <f>ROUND((173.13+22.56)*26273,0)</f>
        <v>5141363</v>
      </c>
      <c r="P303" s="194">
        <f>ROUND((166.24+21.66)*26273,0)</f>
        <v>4936697</v>
      </c>
      <c r="Q303" s="194">
        <f>ROUND((175.38+22.85)*26273,0)</f>
        <v>5208097</v>
      </c>
      <c r="R303" s="200">
        <f t="shared" si="16"/>
        <v>63010011</v>
      </c>
      <c r="S303" s="201" t="s">
        <v>913</v>
      </c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6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>
        <v>7001075118</v>
      </c>
      <c r="C305" s="183" t="str">
        <f>IFERROR(IF(VLOOKUP($B305,勘定科目!$A:$H,HLOOKUP($E$5,勘定科目!$F$1:$H$2,2,0),0)="","",VLOOKUP($B305,勘定科目!$A:$E,2,0)),"")</f>
        <v>雑収入（関係会社）</v>
      </c>
      <c r="D305" s="239" t="str">
        <f>IF(C305="","",VLOOKUP($B305,勘定科目!$A:$E,4,0))</f>
        <v>雑収入</v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6"/>
        <v>0</v>
      </c>
      <c r="S305" s="201" t="s">
        <v>914</v>
      </c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6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>
        <v>5004086293</v>
      </c>
      <c r="C307" s="183" t="str">
        <f>IFERROR(IF(VLOOKUP($B307,勘定科目!$A:$H,HLOOKUP($E$5,勘定科目!$F$1:$H$2,2,0),0)="","",VLOOKUP($B307,勘定科目!$A:$E,2,0)),"")</f>
        <v>教育訓練費（製）</v>
      </c>
      <c r="D307" s="239" t="str">
        <f>IF(C307="","",VLOOKUP($B307,勘定科目!$A:$E,4,0))</f>
        <v>募集教育費</v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6"/>
        <v>0</v>
      </c>
      <c r="S307" s="201" t="s">
        <v>915</v>
      </c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6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6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6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2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2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2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2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2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2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2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2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2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2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2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2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2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2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2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2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2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2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2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2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2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2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2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2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2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2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2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2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2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2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2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2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2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2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2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2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2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2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2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2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2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2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2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2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2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56F8342B-D063-4A5B-848C-50C6EF87CA24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C985E74A-D04C-4C1D-9F14-1680F9E5C4DF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F3CD-B64D-45A1-A063-D1AE82C253C8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電気製造技術課</v>
      </c>
      <c r="E1" s="278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8" customFormat="1" ht="26">
      <c r="B3" s="283" t="s">
        <v>330</v>
      </c>
      <c r="C3" s="283" t="s">
        <v>146</v>
      </c>
      <c r="D3" s="284" t="s">
        <v>147</v>
      </c>
      <c r="E3" s="285">
        <v>4</v>
      </c>
      <c r="F3" s="285">
        <v>5</v>
      </c>
      <c r="G3" s="285">
        <v>6</v>
      </c>
      <c r="H3" s="285">
        <v>7</v>
      </c>
      <c r="I3" s="285">
        <v>8</v>
      </c>
      <c r="J3" s="285">
        <v>9</v>
      </c>
      <c r="K3" s="285">
        <v>10</v>
      </c>
      <c r="L3" s="285">
        <v>11</v>
      </c>
      <c r="M3" s="285">
        <v>12</v>
      </c>
      <c r="N3" s="285">
        <v>1</v>
      </c>
      <c r="O3" s="285">
        <v>2</v>
      </c>
      <c r="P3" s="285">
        <v>3</v>
      </c>
      <c r="Q3" s="286" t="s">
        <v>641</v>
      </c>
      <c r="R3" s="289" t="s">
        <v>642</v>
      </c>
      <c r="S3" s="287" t="s">
        <v>417</v>
      </c>
    </row>
    <row r="4" spans="2:19">
      <c r="B4" s="277"/>
      <c r="C4" s="277"/>
      <c r="D4" s="66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82"/>
      <c r="R4" s="282">
        <f>SUM(E4:P4)</f>
        <v>0</v>
      </c>
      <c r="S4" s="275"/>
    </row>
    <row r="5" spans="2:19">
      <c r="B5" s="65"/>
      <c r="C5" s="65"/>
      <c r="D5" s="66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82"/>
      <c r="R5" s="282">
        <f t="shared" ref="R5:R50" si="0">SUM(E5:P5)</f>
        <v>0</v>
      </c>
      <c r="S5" s="275"/>
    </row>
    <row r="6" spans="2:19">
      <c r="B6" s="65"/>
      <c r="C6" s="65"/>
      <c r="D6" s="66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82"/>
      <c r="R6" s="282">
        <f t="shared" si="0"/>
        <v>0</v>
      </c>
      <c r="S6" s="275"/>
    </row>
    <row r="7" spans="2:19" ht="14">
      <c r="B7" s="65"/>
      <c r="C7" s="67"/>
      <c r="D7" s="66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82"/>
      <c r="R7" s="282">
        <f t="shared" si="0"/>
        <v>0</v>
      </c>
      <c r="S7" s="275"/>
    </row>
    <row r="8" spans="2:19">
      <c r="B8" s="65"/>
      <c r="C8" s="68"/>
      <c r="D8" s="65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2"/>
      <c r="R8" s="282">
        <f t="shared" si="0"/>
        <v>0</v>
      </c>
      <c r="S8" s="275"/>
    </row>
    <row r="9" spans="2:19">
      <c r="B9" s="65"/>
      <c r="C9" s="65"/>
      <c r="D9" s="65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2"/>
      <c r="R9" s="282">
        <f t="shared" si="0"/>
        <v>0</v>
      </c>
      <c r="S9" s="275"/>
    </row>
    <row r="10" spans="2:19">
      <c r="B10" s="65"/>
      <c r="C10" s="65"/>
      <c r="D10" s="65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2"/>
      <c r="R10" s="282">
        <f t="shared" si="0"/>
        <v>0</v>
      </c>
      <c r="S10" s="275"/>
    </row>
    <row r="11" spans="2:19">
      <c r="B11" s="65"/>
      <c r="C11" s="65"/>
      <c r="D11" s="65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2"/>
      <c r="R11" s="282">
        <f t="shared" si="0"/>
        <v>0</v>
      </c>
      <c r="S11" s="275"/>
    </row>
    <row r="12" spans="2:19">
      <c r="B12" s="65"/>
      <c r="C12" s="65"/>
      <c r="D12" s="65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2"/>
      <c r="R12" s="282">
        <f t="shared" si="0"/>
        <v>0</v>
      </c>
      <c r="S12" s="275"/>
    </row>
    <row r="13" spans="2:19">
      <c r="B13" s="65"/>
      <c r="C13" s="65"/>
      <c r="D13" s="65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2"/>
      <c r="R13" s="282">
        <f t="shared" si="0"/>
        <v>0</v>
      </c>
      <c r="S13" s="275"/>
    </row>
    <row r="14" spans="2:19">
      <c r="B14" s="65"/>
      <c r="C14" s="65"/>
      <c r="D14" s="65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2"/>
      <c r="R14" s="282">
        <f t="shared" si="0"/>
        <v>0</v>
      </c>
      <c r="S14" s="275"/>
    </row>
    <row r="15" spans="2:19">
      <c r="B15" s="65"/>
      <c r="C15" s="65"/>
      <c r="D15" s="65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2"/>
      <c r="R15" s="282">
        <f t="shared" si="0"/>
        <v>0</v>
      </c>
      <c r="S15" s="275"/>
    </row>
    <row r="16" spans="2:19">
      <c r="B16" s="65"/>
      <c r="C16" s="65"/>
      <c r="D16" s="65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2"/>
      <c r="R16" s="282">
        <f t="shared" si="0"/>
        <v>0</v>
      </c>
      <c r="S16" s="275"/>
    </row>
    <row r="17" spans="2:19">
      <c r="B17" s="65"/>
      <c r="C17" s="65"/>
      <c r="D17" s="65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2"/>
      <c r="R17" s="282">
        <f t="shared" si="0"/>
        <v>0</v>
      </c>
      <c r="S17" s="275"/>
    </row>
    <row r="18" spans="2:19">
      <c r="B18" s="65"/>
      <c r="C18" s="65"/>
      <c r="D18" s="65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2"/>
      <c r="R18" s="282">
        <f t="shared" si="0"/>
        <v>0</v>
      </c>
      <c r="S18" s="275"/>
    </row>
    <row r="19" spans="2:19">
      <c r="B19" s="65"/>
      <c r="C19" s="65"/>
      <c r="D19" s="65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2"/>
      <c r="R19" s="282">
        <f t="shared" si="0"/>
        <v>0</v>
      </c>
      <c r="S19" s="275"/>
    </row>
    <row r="20" spans="2:19">
      <c r="B20" s="65"/>
      <c r="C20" s="65"/>
      <c r="D20" s="65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2"/>
      <c r="R20" s="282">
        <f t="shared" si="0"/>
        <v>0</v>
      </c>
      <c r="S20" s="275"/>
    </row>
    <row r="21" spans="2:19">
      <c r="B21" s="65"/>
      <c r="C21" s="65"/>
      <c r="D21" s="65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2"/>
      <c r="R21" s="282">
        <f t="shared" si="0"/>
        <v>0</v>
      </c>
      <c r="S21" s="275"/>
    </row>
    <row r="22" spans="2:19">
      <c r="B22" s="65"/>
      <c r="C22" s="65"/>
      <c r="D22" s="65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2"/>
      <c r="R22" s="282">
        <f t="shared" si="0"/>
        <v>0</v>
      </c>
      <c r="S22" s="275"/>
    </row>
    <row r="23" spans="2:19">
      <c r="B23" s="65"/>
      <c r="C23" s="65"/>
      <c r="D23" s="65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2"/>
      <c r="R23" s="282">
        <f t="shared" si="0"/>
        <v>0</v>
      </c>
      <c r="S23" s="275"/>
    </row>
    <row r="24" spans="2:19">
      <c r="B24" s="65"/>
      <c r="C24" s="65"/>
      <c r="D24" s="65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2"/>
      <c r="R24" s="282">
        <f t="shared" si="0"/>
        <v>0</v>
      </c>
      <c r="S24" s="275"/>
    </row>
    <row r="25" spans="2:19">
      <c r="B25" s="65"/>
      <c r="C25" s="65"/>
      <c r="D25" s="65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2"/>
      <c r="R25" s="282">
        <f t="shared" si="0"/>
        <v>0</v>
      </c>
      <c r="S25" s="275"/>
    </row>
    <row r="26" spans="2:19">
      <c r="B26" s="65"/>
      <c r="C26" s="65"/>
      <c r="D26" s="65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2"/>
      <c r="R26" s="282">
        <f t="shared" si="0"/>
        <v>0</v>
      </c>
      <c r="S26" s="275"/>
    </row>
    <row r="27" spans="2:19">
      <c r="B27" s="65"/>
      <c r="C27" s="65"/>
      <c r="D27" s="65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2"/>
      <c r="R27" s="282">
        <f t="shared" si="0"/>
        <v>0</v>
      </c>
      <c r="S27" s="275"/>
    </row>
    <row r="28" spans="2:19">
      <c r="B28" s="65"/>
      <c r="C28" s="65"/>
      <c r="D28" s="65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2"/>
      <c r="R28" s="282">
        <f t="shared" si="0"/>
        <v>0</v>
      </c>
      <c r="S28" s="275"/>
    </row>
    <row r="29" spans="2:19">
      <c r="B29" s="65"/>
      <c r="C29" s="65"/>
      <c r="D29" s="65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2"/>
      <c r="R29" s="282">
        <f t="shared" si="0"/>
        <v>0</v>
      </c>
      <c r="S29" s="275"/>
    </row>
    <row r="30" spans="2:19">
      <c r="B30" s="65"/>
      <c r="C30" s="65"/>
      <c r="D30" s="65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2"/>
      <c r="R30" s="282">
        <f t="shared" si="0"/>
        <v>0</v>
      </c>
      <c r="S30" s="275"/>
    </row>
    <row r="31" spans="2:19">
      <c r="B31" s="65"/>
      <c r="C31" s="65"/>
      <c r="D31" s="65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2"/>
      <c r="R31" s="282">
        <f t="shared" si="0"/>
        <v>0</v>
      </c>
      <c r="S31" s="275"/>
    </row>
    <row r="32" spans="2:19">
      <c r="B32" s="65"/>
      <c r="C32" s="65"/>
      <c r="D32" s="65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2"/>
      <c r="R32" s="282">
        <f t="shared" si="0"/>
        <v>0</v>
      </c>
      <c r="S32" s="275"/>
    </row>
    <row r="33" spans="2:19">
      <c r="B33" s="65"/>
      <c r="C33" s="65"/>
      <c r="D33" s="65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2"/>
      <c r="R33" s="282">
        <f t="shared" si="0"/>
        <v>0</v>
      </c>
      <c r="S33" s="275"/>
    </row>
    <row r="34" spans="2:19">
      <c r="B34" s="65"/>
      <c r="C34" s="65"/>
      <c r="D34" s="65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2"/>
      <c r="R34" s="282">
        <f t="shared" si="0"/>
        <v>0</v>
      </c>
      <c r="S34" s="275"/>
    </row>
    <row r="35" spans="2:19">
      <c r="B35" s="65"/>
      <c r="C35" s="65"/>
      <c r="D35" s="65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2"/>
      <c r="R35" s="282">
        <f t="shared" si="0"/>
        <v>0</v>
      </c>
      <c r="S35" s="275"/>
    </row>
    <row r="36" spans="2:19">
      <c r="B36" s="65"/>
      <c r="C36" s="65"/>
      <c r="D36" s="65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2"/>
      <c r="R36" s="282">
        <f t="shared" si="0"/>
        <v>0</v>
      </c>
      <c r="S36" s="275"/>
    </row>
    <row r="37" spans="2:19">
      <c r="B37" s="65"/>
      <c r="C37" s="65"/>
      <c r="D37" s="65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2"/>
      <c r="R37" s="282">
        <f t="shared" si="0"/>
        <v>0</v>
      </c>
      <c r="S37" s="275"/>
    </row>
    <row r="38" spans="2:19">
      <c r="B38" s="65"/>
      <c r="C38" s="65"/>
      <c r="D38" s="65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2"/>
      <c r="R38" s="282">
        <f t="shared" si="0"/>
        <v>0</v>
      </c>
      <c r="S38" s="275"/>
    </row>
    <row r="39" spans="2:19">
      <c r="B39" s="65"/>
      <c r="C39" s="65"/>
      <c r="D39" s="65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2"/>
      <c r="R39" s="282">
        <f t="shared" si="0"/>
        <v>0</v>
      </c>
      <c r="S39" s="275"/>
    </row>
    <row r="40" spans="2:19">
      <c r="B40" s="65"/>
      <c r="C40" s="65"/>
      <c r="D40" s="65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2"/>
      <c r="R40" s="282">
        <f t="shared" si="0"/>
        <v>0</v>
      </c>
      <c r="S40" s="275"/>
    </row>
    <row r="41" spans="2:19">
      <c r="B41" s="65"/>
      <c r="C41" s="65"/>
      <c r="D41" s="65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2"/>
      <c r="R41" s="282">
        <f t="shared" si="0"/>
        <v>0</v>
      </c>
      <c r="S41" s="275"/>
    </row>
    <row r="42" spans="2:19">
      <c r="B42" s="65"/>
      <c r="C42" s="65"/>
      <c r="D42" s="65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2"/>
      <c r="R42" s="282">
        <f t="shared" si="0"/>
        <v>0</v>
      </c>
      <c r="S42" s="275"/>
    </row>
    <row r="43" spans="2:19">
      <c r="B43" s="65"/>
      <c r="C43" s="65"/>
      <c r="D43" s="65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2"/>
      <c r="R43" s="282">
        <f t="shared" si="0"/>
        <v>0</v>
      </c>
      <c r="S43" s="275"/>
    </row>
    <row r="44" spans="2:19">
      <c r="B44" s="65"/>
      <c r="C44" s="65"/>
      <c r="D44" s="65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2"/>
      <c r="R44" s="282">
        <f t="shared" si="0"/>
        <v>0</v>
      </c>
      <c r="S44" s="275"/>
    </row>
    <row r="45" spans="2:19">
      <c r="B45" s="65"/>
      <c r="C45" s="65"/>
      <c r="D45" s="65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2"/>
      <c r="R45" s="282">
        <f t="shared" si="0"/>
        <v>0</v>
      </c>
      <c r="S45" s="275"/>
    </row>
    <row r="46" spans="2:19">
      <c r="B46" s="65"/>
      <c r="C46" s="65"/>
      <c r="D46" s="65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2"/>
      <c r="R46" s="282">
        <f t="shared" si="0"/>
        <v>0</v>
      </c>
      <c r="S46" s="275"/>
    </row>
    <row r="47" spans="2:19">
      <c r="B47" s="65"/>
      <c r="C47" s="65"/>
      <c r="D47" s="65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2"/>
      <c r="R47" s="282">
        <f t="shared" si="0"/>
        <v>0</v>
      </c>
      <c r="S47" s="275"/>
    </row>
    <row r="48" spans="2:19">
      <c r="B48" s="65"/>
      <c r="C48" s="65"/>
      <c r="D48" s="65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2"/>
      <c r="R48" s="282">
        <f t="shared" si="0"/>
        <v>0</v>
      </c>
      <c r="S48" s="275"/>
    </row>
    <row r="49" spans="2:19">
      <c r="B49" s="65"/>
      <c r="C49" s="65"/>
      <c r="D49" s="65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2"/>
      <c r="R49" s="282">
        <f t="shared" si="0"/>
        <v>0</v>
      </c>
      <c r="S49" s="275"/>
    </row>
    <row r="50" spans="2:19">
      <c r="B50" s="56"/>
      <c r="C50" s="56"/>
      <c r="D50" s="56" t="s">
        <v>148</v>
      </c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>
        <f t="shared" si="0"/>
        <v>0</v>
      </c>
      <c r="S50" s="276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709EACD3-F0AE-480F-B6ED-73FDE5472F42}"/>
  <phoneticPr fontId="3"/>
  <dataValidations count="1">
    <dataValidation type="list" allowBlank="1" showInputMessage="1" showErrorMessage="1" sqref="S4:S49" xr:uid="{1A0D65FB-AEC0-4CF6-8F49-691609AFE041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8300-EAC4-45D8-8DD7-30DEC3905B9B}">
  <sheetPr codeName="Sheet6"/>
  <dimension ref="A1:I244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9" defaultRowHeight="14"/>
  <cols>
    <col min="1" max="1" width="15.36328125" style="106" bestFit="1" customWidth="1"/>
    <col min="2" max="2" width="34.7265625" style="107" bestFit="1" customWidth="1"/>
    <col min="3" max="3" width="32.6328125" style="301" bestFit="1" customWidth="1"/>
    <col min="4" max="4" width="18" style="107" bestFit="1" customWidth="1"/>
    <col min="5" max="5" width="32.6328125" style="301" bestFit="1" customWidth="1"/>
    <col min="6" max="6" width="10.26953125" style="107" customWidth="1"/>
    <col min="7" max="7" width="9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298" t="s">
        <v>346</v>
      </c>
      <c r="D1" s="82" t="s">
        <v>158</v>
      </c>
      <c r="E1" s="302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299"/>
      <c r="D2" s="110"/>
      <c r="E2" s="299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s="300" t="s">
        <v>32</v>
      </c>
      <c r="D3" t="s">
        <v>116</v>
      </c>
      <c r="E3" s="300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s="300" t="s">
        <v>32</v>
      </c>
      <c r="D4" t="s">
        <v>116</v>
      </c>
      <c r="E4" s="300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 t="s">
        <v>463</v>
      </c>
      <c r="B5" t="s">
        <v>40</v>
      </c>
      <c r="C5" s="300" t="s">
        <v>32</v>
      </c>
      <c r="D5" t="s">
        <v>116</v>
      </c>
      <c r="E5" s="300" t="s">
        <v>14</v>
      </c>
      <c r="F5" s="108"/>
      <c r="G5" s="108"/>
      <c r="H5" s="108"/>
      <c r="I5"/>
    </row>
    <row r="6" spans="1:9" s="84" customFormat="1">
      <c r="A6" s="105">
        <v>5001016131</v>
      </c>
      <c r="B6" t="s">
        <v>400</v>
      </c>
      <c r="C6" s="300" t="s">
        <v>35</v>
      </c>
      <c r="D6" t="s">
        <v>101</v>
      </c>
      <c r="E6" s="300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s="300" t="s">
        <v>35</v>
      </c>
      <c r="D7" t="s">
        <v>101</v>
      </c>
      <c r="E7" s="300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s="300" t="s">
        <v>35</v>
      </c>
      <c r="D8" t="s">
        <v>101</v>
      </c>
      <c r="E8" s="300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s="300" t="s">
        <v>35</v>
      </c>
      <c r="D9" t="s">
        <v>101</v>
      </c>
      <c r="E9" s="300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s="300" t="s">
        <v>35</v>
      </c>
      <c r="D10" t="s">
        <v>120</v>
      </c>
      <c r="E10" s="30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s="300" t="s">
        <v>35</v>
      </c>
      <c r="D11" t="s">
        <v>101</v>
      </c>
      <c r="E11" s="300" t="s">
        <v>349</v>
      </c>
      <c r="F11" s="108" t="s">
        <v>666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s="300" t="s">
        <v>35</v>
      </c>
      <c r="D12" t="s">
        <v>101</v>
      </c>
      <c r="E12" s="300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s="300" t="s">
        <v>149</v>
      </c>
      <c r="D13" t="s">
        <v>41</v>
      </c>
      <c r="E13" s="300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s="300" t="s">
        <v>150</v>
      </c>
      <c r="D14" t="s">
        <v>41</v>
      </c>
      <c r="E14" s="300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s="300" t="s">
        <v>151</v>
      </c>
      <c r="D15" t="s">
        <v>55</v>
      </c>
      <c r="E15" s="300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s="300" t="s">
        <v>151</v>
      </c>
      <c r="D16" t="s">
        <v>55</v>
      </c>
      <c r="E16" s="300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s="300" t="s">
        <v>151</v>
      </c>
      <c r="D17" t="s">
        <v>55</v>
      </c>
      <c r="E17" s="300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s="300" t="s">
        <v>151</v>
      </c>
      <c r="D18" t="s">
        <v>104</v>
      </c>
      <c r="E18" s="300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s="300" t="s">
        <v>151</v>
      </c>
      <c r="D19" t="s">
        <v>54</v>
      </c>
      <c r="E19" s="300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s="300" t="s">
        <v>21</v>
      </c>
      <c r="D20" t="s">
        <v>45</v>
      </c>
      <c r="E20" s="30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s="300" t="s">
        <v>21</v>
      </c>
      <c r="D21" t="s">
        <v>45</v>
      </c>
      <c r="E21" s="300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s="300" t="s">
        <v>21</v>
      </c>
      <c r="D22" t="s">
        <v>45</v>
      </c>
      <c r="E22" s="300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s="300" t="s">
        <v>21</v>
      </c>
      <c r="D23" t="s">
        <v>45</v>
      </c>
      <c r="E23" s="300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s="300" t="s">
        <v>21</v>
      </c>
      <c r="D24" t="s">
        <v>45</v>
      </c>
      <c r="E24" s="300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s="300" t="s">
        <v>21</v>
      </c>
      <c r="D25" t="s">
        <v>46</v>
      </c>
      <c r="E25" s="300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s="300" t="s">
        <v>21</v>
      </c>
      <c r="D26" t="s">
        <v>45</v>
      </c>
      <c r="E26" s="300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s="300" t="s">
        <v>21</v>
      </c>
      <c r="D27" t="s">
        <v>45</v>
      </c>
      <c r="E27" s="300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s="300" t="s">
        <v>21</v>
      </c>
      <c r="D28" t="s">
        <v>45</v>
      </c>
      <c r="E28" s="300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s="300" t="s">
        <v>21</v>
      </c>
      <c r="D29" t="s">
        <v>45</v>
      </c>
      <c r="E29" s="300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s="300" t="s">
        <v>21</v>
      </c>
      <c r="D30" t="s">
        <v>45</v>
      </c>
      <c r="E30" s="30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s="300" t="s">
        <v>21</v>
      </c>
      <c r="D31" t="s">
        <v>45</v>
      </c>
      <c r="E31" s="300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s="300" t="s">
        <v>21</v>
      </c>
      <c r="D32" t="s">
        <v>45</v>
      </c>
      <c r="E32" s="300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s="300" t="s">
        <v>21</v>
      </c>
      <c r="D33" t="s">
        <v>45</v>
      </c>
      <c r="E33" s="300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s="300" t="s">
        <v>21</v>
      </c>
      <c r="D34" t="s">
        <v>45</v>
      </c>
      <c r="E34" s="300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s="300" t="s">
        <v>21</v>
      </c>
      <c r="D35" t="s">
        <v>45</v>
      </c>
      <c r="E35" s="300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s="300" t="s">
        <v>21</v>
      </c>
      <c r="D36" t="s">
        <v>45</v>
      </c>
      <c r="E36" s="300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s="300" t="s">
        <v>21</v>
      </c>
      <c r="D37" t="s">
        <v>45</v>
      </c>
      <c r="E37" s="300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s="300" t="s">
        <v>21</v>
      </c>
      <c r="D38" t="s">
        <v>45</v>
      </c>
      <c r="E38" s="300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s="300" t="s">
        <v>21</v>
      </c>
      <c r="D39" t="s">
        <v>45</v>
      </c>
      <c r="E39" s="300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s="300" t="s">
        <v>21</v>
      </c>
      <c r="D40" t="s">
        <v>45</v>
      </c>
      <c r="E40" s="30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s="300" t="s">
        <v>31</v>
      </c>
      <c r="D41" t="s">
        <v>115</v>
      </c>
      <c r="E41" s="300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s="300" t="s">
        <v>31</v>
      </c>
      <c r="D42" t="s">
        <v>59</v>
      </c>
      <c r="E42" s="300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s="300" t="s">
        <v>31</v>
      </c>
      <c r="D43" t="s">
        <v>59</v>
      </c>
      <c r="E43" s="300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s="300" t="s">
        <v>31</v>
      </c>
      <c r="D44" t="s">
        <v>59</v>
      </c>
      <c r="E44" s="300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s="300" t="s">
        <v>31</v>
      </c>
      <c r="D45" t="s">
        <v>59</v>
      </c>
      <c r="E45" s="300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s="300" t="s">
        <v>31</v>
      </c>
      <c r="D46" t="s">
        <v>97</v>
      </c>
      <c r="E46" s="300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s="300" t="s">
        <v>31</v>
      </c>
      <c r="D47" t="s">
        <v>97</v>
      </c>
      <c r="E47" s="300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s="300" t="s">
        <v>31</v>
      </c>
      <c r="D48" t="s">
        <v>97</v>
      </c>
      <c r="E48" s="300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s="300" t="s">
        <v>31</v>
      </c>
      <c r="D49" t="s">
        <v>61</v>
      </c>
      <c r="E49" s="300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s="300" t="s">
        <v>31</v>
      </c>
      <c r="D50" t="s">
        <v>61</v>
      </c>
      <c r="E50" s="30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s="300" t="s">
        <v>31</v>
      </c>
      <c r="D51" t="s">
        <v>61</v>
      </c>
      <c r="E51" s="300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s="300" t="s">
        <v>31</v>
      </c>
      <c r="D52" t="s">
        <v>61</v>
      </c>
      <c r="E52" s="300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107" t="s">
        <v>590</v>
      </c>
      <c r="C53" s="300" t="s">
        <v>31</v>
      </c>
      <c r="D53" t="s">
        <v>61</v>
      </c>
      <c r="E53" s="300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107" t="s">
        <v>591</v>
      </c>
      <c r="C54" s="300" t="s">
        <v>31</v>
      </c>
      <c r="D54" t="s">
        <v>61</v>
      </c>
      <c r="E54" s="300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107" t="s">
        <v>661</v>
      </c>
      <c r="C55" s="300" t="s">
        <v>31</v>
      </c>
      <c r="D55" t="s">
        <v>61</v>
      </c>
      <c r="E55" s="300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s="300" t="s">
        <v>31</v>
      </c>
      <c r="D56" t="s">
        <v>60</v>
      </c>
      <c r="E56" s="300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s="300" t="s">
        <v>31</v>
      </c>
      <c r="D57" t="s">
        <v>61</v>
      </c>
      <c r="E57" s="300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s="300" t="s">
        <v>31</v>
      </c>
      <c r="D58" t="s">
        <v>61</v>
      </c>
      <c r="E58" s="300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s="300" t="s">
        <v>31</v>
      </c>
      <c r="D59" t="s">
        <v>61</v>
      </c>
      <c r="E59" s="300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s="300" t="s">
        <v>31</v>
      </c>
      <c r="D60" t="s">
        <v>61</v>
      </c>
      <c r="E60" s="30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s="300" t="s">
        <v>31</v>
      </c>
      <c r="D61" t="s">
        <v>61</v>
      </c>
      <c r="E61" s="300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s="300" t="s">
        <v>31</v>
      </c>
      <c r="D62" t="s">
        <v>44</v>
      </c>
      <c r="E62" s="300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s="300" t="s">
        <v>31</v>
      </c>
      <c r="D63" t="s">
        <v>58</v>
      </c>
      <c r="E63" s="300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s="300" t="s">
        <v>31</v>
      </c>
      <c r="D64" t="s">
        <v>98</v>
      </c>
      <c r="E64" s="300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s="300" t="s">
        <v>31</v>
      </c>
      <c r="D65" t="s">
        <v>98</v>
      </c>
      <c r="E65" s="300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s="300" t="s">
        <v>31</v>
      </c>
      <c r="D66" t="s">
        <v>98</v>
      </c>
      <c r="E66" s="300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s="300" t="s">
        <v>31</v>
      </c>
      <c r="D67" t="s">
        <v>99</v>
      </c>
      <c r="E67" s="300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s="300" t="s">
        <v>31</v>
      </c>
      <c r="D68" t="s">
        <v>51</v>
      </c>
      <c r="E68" s="300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s="300" t="s">
        <v>31</v>
      </c>
      <c r="D69" t="s">
        <v>49</v>
      </c>
      <c r="E69" s="300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s="300" t="s">
        <v>31</v>
      </c>
      <c r="D70" t="s">
        <v>47</v>
      </c>
      <c r="E70" s="30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s="300" t="s">
        <v>31</v>
      </c>
      <c r="D71" t="s">
        <v>47</v>
      </c>
      <c r="E71" s="300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s="300" t="s">
        <v>31</v>
      </c>
      <c r="D72" t="s">
        <v>50</v>
      </c>
      <c r="E72" s="300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s="300" t="s">
        <v>31</v>
      </c>
      <c r="D73" t="s">
        <v>50</v>
      </c>
      <c r="E73" s="300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s="300" t="s">
        <v>31</v>
      </c>
      <c r="D74" t="s">
        <v>50</v>
      </c>
      <c r="E74" s="300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s="300" t="s">
        <v>31</v>
      </c>
      <c r="D75" t="s">
        <v>98</v>
      </c>
      <c r="E75" s="300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s="300" t="s">
        <v>36</v>
      </c>
      <c r="D76" t="s">
        <v>42</v>
      </c>
      <c r="E76" s="300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s="300" t="s">
        <v>36</v>
      </c>
      <c r="D77" t="s">
        <v>115</v>
      </c>
      <c r="E77" s="300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s="300" t="s">
        <v>36</v>
      </c>
      <c r="D78" t="s">
        <v>56</v>
      </c>
      <c r="E78" s="300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s="300" t="s">
        <v>36</v>
      </c>
      <c r="D79" t="s">
        <v>57</v>
      </c>
      <c r="E79" s="300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s="300" t="s">
        <v>36</v>
      </c>
      <c r="D80" t="s">
        <v>58</v>
      </c>
      <c r="E80" s="30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s="300" t="s">
        <v>36</v>
      </c>
      <c r="D81" t="s">
        <v>53</v>
      </c>
      <c r="E81" s="300" t="s">
        <v>374</v>
      </c>
      <c r="F81" s="108" t="s">
        <v>667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s="300" t="s">
        <v>36</v>
      </c>
      <c r="D82" t="s">
        <v>48</v>
      </c>
      <c r="E82" s="300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s="300" t="s">
        <v>151</v>
      </c>
      <c r="D83" t="s">
        <v>63</v>
      </c>
      <c r="E83" s="300" t="s">
        <v>377</v>
      </c>
      <c r="F83" s="108" t="s">
        <v>668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s="300" t="s">
        <v>31</v>
      </c>
      <c r="D84" t="s">
        <v>63</v>
      </c>
      <c r="E84" s="300" t="s">
        <v>377</v>
      </c>
      <c r="F84" s="108" t="s">
        <v>669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s="300" t="s">
        <v>36</v>
      </c>
      <c r="D85" t="s">
        <v>99</v>
      </c>
      <c r="E85" s="300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s="300" t="s">
        <v>36</v>
      </c>
      <c r="D86" t="s">
        <v>64</v>
      </c>
      <c r="E86" s="300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s="300" t="s">
        <v>36</v>
      </c>
      <c r="D87" t="s">
        <v>64</v>
      </c>
      <c r="E87" s="300" t="s">
        <v>379</v>
      </c>
      <c r="F87" s="108" t="s">
        <v>670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s="300" t="s">
        <v>36</v>
      </c>
      <c r="D88" t="s">
        <v>62</v>
      </c>
      <c r="E88" s="300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s="300" t="s">
        <v>132</v>
      </c>
      <c r="D89" t="s">
        <v>102</v>
      </c>
      <c r="E89" s="300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s="300" t="s">
        <v>132</v>
      </c>
      <c r="D90" t="s">
        <v>43</v>
      </c>
      <c r="E90" s="30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s="300" t="s">
        <v>132</v>
      </c>
      <c r="D91" t="s">
        <v>117</v>
      </c>
      <c r="E91" s="300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s="300" t="s">
        <v>34</v>
      </c>
      <c r="D92" t="s">
        <v>116</v>
      </c>
      <c r="E92" s="300" t="s">
        <v>14</v>
      </c>
      <c r="F92" s="108" t="s">
        <v>671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s="300" t="s">
        <v>128</v>
      </c>
      <c r="D93" t="s">
        <v>41</v>
      </c>
      <c r="E93" s="300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s="300" t="s">
        <v>129</v>
      </c>
      <c r="D94" t="s">
        <v>60</v>
      </c>
      <c r="E94" s="300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s="300" t="s">
        <v>130</v>
      </c>
      <c r="D95" t="s">
        <v>55</v>
      </c>
      <c r="E95" s="300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s="300" t="s">
        <v>130</v>
      </c>
      <c r="D96" t="s">
        <v>104</v>
      </c>
      <c r="E96" s="300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s="300" t="s">
        <v>21</v>
      </c>
      <c r="D97" t="s">
        <v>45</v>
      </c>
      <c r="E97" s="300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s="300" t="s">
        <v>21</v>
      </c>
      <c r="D98" t="s">
        <v>45</v>
      </c>
      <c r="E98" s="300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s="300" t="s">
        <v>21</v>
      </c>
      <c r="D99" t="s">
        <v>45</v>
      </c>
      <c r="E99" s="300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s="300" t="s">
        <v>21</v>
      </c>
      <c r="D100" t="s">
        <v>45</v>
      </c>
      <c r="E100" s="3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s="300" t="s">
        <v>21</v>
      </c>
      <c r="D101" t="s">
        <v>45</v>
      </c>
      <c r="E101" s="300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s="300" t="s">
        <v>21</v>
      </c>
      <c r="D102" t="s">
        <v>45</v>
      </c>
      <c r="E102" s="300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s="300" t="s">
        <v>21</v>
      </c>
      <c r="D103" t="s">
        <v>45</v>
      </c>
      <c r="E103" s="300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s="300" t="s">
        <v>21</v>
      </c>
      <c r="D104" t="s">
        <v>45</v>
      </c>
      <c r="E104" s="300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s="300" t="s">
        <v>21</v>
      </c>
      <c r="D105" t="s">
        <v>45</v>
      </c>
      <c r="E105" s="300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s="300" t="s">
        <v>21</v>
      </c>
      <c r="D106" t="s">
        <v>45</v>
      </c>
      <c r="E106" s="300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s="300" t="s">
        <v>21</v>
      </c>
      <c r="D107" t="s">
        <v>45</v>
      </c>
      <c r="E107" s="300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s="300" t="s">
        <v>21</v>
      </c>
      <c r="D108" t="s">
        <v>45</v>
      </c>
      <c r="E108" s="300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s="300" t="s">
        <v>21</v>
      </c>
      <c r="D109" t="s">
        <v>45</v>
      </c>
      <c r="E109" s="300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s="300" t="s">
        <v>21</v>
      </c>
      <c r="D110" t="s">
        <v>45</v>
      </c>
      <c r="E110" s="30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s="300" t="s">
        <v>21</v>
      </c>
      <c r="D111" t="s">
        <v>45</v>
      </c>
      <c r="E111" s="300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s="300" t="s">
        <v>21</v>
      </c>
      <c r="D112" t="s">
        <v>45</v>
      </c>
      <c r="E112" s="300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s="300" t="s">
        <v>21</v>
      </c>
      <c r="D113" t="s">
        <v>45</v>
      </c>
      <c r="E113" s="300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s="300" t="s">
        <v>21</v>
      </c>
      <c r="D114" t="s">
        <v>45</v>
      </c>
      <c r="E114" s="300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s="300" t="s">
        <v>21</v>
      </c>
      <c r="D115" t="s">
        <v>45</v>
      </c>
      <c r="E115" s="300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s="300" t="s">
        <v>21</v>
      </c>
      <c r="D116" t="s">
        <v>45</v>
      </c>
      <c r="E116" s="300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s="300" t="s">
        <v>95</v>
      </c>
      <c r="D117" t="s">
        <v>59</v>
      </c>
      <c r="E117" s="300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s="300" t="s">
        <v>95</v>
      </c>
      <c r="D118" t="s">
        <v>59</v>
      </c>
      <c r="E118" s="300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s="300" t="s">
        <v>96</v>
      </c>
      <c r="D119" t="s">
        <v>50</v>
      </c>
      <c r="E119" s="300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s="300" t="s">
        <v>96</v>
      </c>
      <c r="D120" t="s">
        <v>64</v>
      </c>
      <c r="E120" s="30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s="300" t="s">
        <v>96</v>
      </c>
      <c r="D121" t="s">
        <v>61</v>
      </c>
      <c r="E121" s="300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s="300" t="s">
        <v>96</v>
      </c>
      <c r="D122" t="s">
        <v>61</v>
      </c>
      <c r="E122" s="300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s="300" t="s">
        <v>96</v>
      </c>
      <c r="D123" t="s">
        <v>61</v>
      </c>
      <c r="E123" s="300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s="300" t="s">
        <v>96</v>
      </c>
      <c r="D124" t="s">
        <v>61</v>
      </c>
      <c r="E124" s="300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s="300" t="s">
        <v>96</v>
      </c>
      <c r="D125" t="s">
        <v>61</v>
      </c>
      <c r="E125" s="300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s="300" t="s">
        <v>96</v>
      </c>
      <c r="D126" t="s">
        <v>61</v>
      </c>
      <c r="E126" s="300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s="300" t="s">
        <v>96</v>
      </c>
      <c r="D127" t="s">
        <v>61</v>
      </c>
      <c r="E127" s="300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s="300" t="s">
        <v>96</v>
      </c>
      <c r="D128" t="s">
        <v>61</v>
      </c>
      <c r="E128" s="300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s="300" t="s">
        <v>96</v>
      </c>
      <c r="D129" t="s">
        <v>61</v>
      </c>
      <c r="E129" s="300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s="300" t="s">
        <v>96</v>
      </c>
      <c r="D130" t="s">
        <v>61</v>
      </c>
      <c r="E130" s="30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s="300" t="s">
        <v>96</v>
      </c>
      <c r="D131" t="s">
        <v>61</v>
      </c>
      <c r="E131" s="300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s="300" t="s">
        <v>96</v>
      </c>
      <c r="D132" t="s">
        <v>61</v>
      </c>
      <c r="E132" s="300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s="300" t="s">
        <v>96</v>
      </c>
      <c r="D133" t="s">
        <v>61</v>
      </c>
      <c r="E133" s="300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s="300" t="s">
        <v>96</v>
      </c>
      <c r="D134" t="s">
        <v>61</v>
      </c>
      <c r="E134" s="300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s="300" t="s">
        <v>96</v>
      </c>
      <c r="D135" t="s">
        <v>61</v>
      </c>
      <c r="E135" s="300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s="300" t="s">
        <v>96</v>
      </c>
      <c r="D136" t="s">
        <v>61</v>
      </c>
      <c r="E136" s="300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s="300" t="s">
        <v>96</v>
      </c>
      <c r="D137" t="s">
        <v>115</v>
      </c>
      <c r="E137" s="300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s="300" t="s">
        <v>96</v>
      </c>
      <c r="D138" t="s">
        <v>97</v>
      </c>
      <c r="E138" s="300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s="300" t="s">
        <v>96</v>
      </c>
      <c r="D139" t="s">
        <v>97</v>
      </c>
      <c r="E139" s="300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s="300" t="s">
        <v>96</v>
      </c>
      <c r="D140" t="s">
        <v>97</v>
      </c>
      <c r="E140" s="30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s="300" t="s">
        <v>96</v>
      </c>
      <c r="D141" t="s">
        <v>58</v>
      </c>
      <c r="E141" s="300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s="300" t="s">
        <v>96</v>
      </c>
      <c r="D142" t="s">
        <v>98</v>
      </c>
      <c r="E142" s="300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s="300" t="s">
        <v>96</v>
      </c>
      <c r="D143" t="s">
        <v>98</v>
      </c>
      <c r="E143" s="300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s="300" t="s">
        <v>96</v>
      </c>
      <c r="D144" t="s">
        <v>98</v>
      </c>
      <c r="E144" s="300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s="300" t="s">
        <v>96</v>
      </c>
      <c r="D145" t="s">
        <v>64</v>
      </c>
      <c r="E145" s="300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s="300" t="s">
        <v>96</v>
      </c>
      <c r="D146" t="s">
        <v>99</v>
      </c>
      <c r="E146" s="300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s="300" t="s">
        <v>96</v>
      </c>
      <c r="D147" t="s">
        <v>51</v>
      </c>
      <c r="E147" s="300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s="300" t="s">
        <v>96</v>
      </c>
      <c r="D148" t="s">
        <v>49</v>
      </c>
      <c r="E148" s="300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s="300" t="s">
        <v>96</v>
      </c>
      <c r="D149" t="s">
        <v>47</v>
      </c>
      <c r="E149" s="300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s="300" t="s">
        <v>96</v>
      </c>
      <c r="D150" t="s">
        <v>50</v>
      </c>
      <c r="E150" s="30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s="300" t="s">
        <v>96</v>
      </c>
      <c r="D151" t="s">
        <v>50</v>
      </c>
      <c r="E151" s="300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s="300" t="s">
        <v>96</v>
      </c>
      <c r="D152" t="s">
        <v>50</v>
      </c>
      <c r="E152" s="300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s="300" t="s">
        <v>96</v>
      </c>
      <c r="D153" t="s">
        <v>98</v>
      </c>
      <c r="E153" s="300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s="300" t="s">
        <v>36</v>
      </c>
      <c r="D154" t="s">
        <v>42</v>
      </c>
      <c r="E154" s="300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s="300" t="s">
        <v>36</v>
      </c>
      <c r="D155" t="s">
        <v>115</v>
      </c>
      <c r="E155" s="300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s="300" t="s">
        <v>36</v>
      </c>
      <c r="D156" t="s">
        <v>56</v>
      </c>
      <c r="E156" s="300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s="300" t="s">
        <v>36</v>
      </c>
      <c r="D157" t="s">
        <v>57</v>
      </c>
      <c r="E157" s="300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s="300" t="s">
        <v>36</v>
      </c>
      <c r="D158" t="s">
        <v>58</v>
      </c>
      <c r="E158" s="300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s="300" t="s">
        <v>36</v>
      </c>
      <c r="D159" t="s">
        <v>53</v>
      </c>
      <c r="E159" s="300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s="300" t="s">
        <v>36</v>
      </c>
      <c r="D160" t="s">
        <v>48</v>
      </c>
      <c r="E160" s="30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s="300" t="s">
        <v>36</v>
      </c>
      <c r="D161" t="s">
        <v>99</v>
      </c>
      <c r="E161" s="300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s="300" t="s">
        <v>36</v>
      </c>
      <c r="D162" t="s">
        <v>64</v>
      </c>
      <c r="E162" s="300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s="300" t="s">
        <v>36</v>
      </c>
      <c r="D163" t="s">
        <v>62</v>
      </c>
      <c r="E163" s="300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s="300" t="s">
        <v>131</v>
      </c>
      <c r="D164" t="s">
        <v>41</v>
      </c>
      <c r="E164" s="300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s="300" t="s">
        <v>0</v>
      </c>
      <c r="D165" t="s">
        <v>55</v>
      </c>
      <c r="E165" s="300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s="300" t="s">
        <v>0</v>
      </c>
      <c r="D166" t="s">
        <v>104</v>
      </c>
      <c r="E166" s="300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s="300" t="s">
        <v>1</v>
      </c>
      <c r="D167" t="s">
        <v>98</v>
      </c>
      <c r="E167" s="300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s="300" t="s">
        <v>21</v>
      </c>
      <c r="D168" t="s">
        <v>45</v>
      </c>
      <c r="E168" s="300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s="300" t="s">
        <v>21</v>
      </c>
      <c r="D169" t="s">
        <v>45</v>
      </c>
      <c r="E169" s="300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s="300" t="s">
        <v>21</v>
      </c>
      <c r="D170" t="s">
        <v>45</v>
      </c>
      <c r="E170" s="30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s="300" t="s">
        <v>21</v>
      </c>
      <c r="D171" t="s">
        <v>45</v>
      </c>
      <c r="E171" s="300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s="300" t="s">
        <v>21</v>
      </c>
      <c r="D172" t="s">
        <v>45</v>
      </c>
      <c r="E172" s="300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s="300" t="s">
        <v>21</v>
      </c>
      <c r="D173" t="s">
        <v>45</v>
      </c>
      <c r="E173" s="300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s="300" t="s">
        <v>21</v>
      </c>
      <c r="D174" t="s">
        <v>45</v>
      </c>
      <c r="E174" s="300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s="300" t="s">
        <v>21</v>
      </c>
      <c r="D175" t="s">
        <v>45</v>
      </c>
      <c r="E175" s="300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s="300" t="s">
        <v>21</v>
      </c>
      <c r="D176" t="s">
        <v>45</v>
      </c>
      <c r="E176" s="300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s="300" t="s">
        <v>21</v>
      </c>
      <c r="D177" t="s">
        <v>45</v>
      </c>
      <c r="E177" s="300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s="300" t="s">
        <v>21</v>
      </c>
      <c r="D178" t="s">
        <v>45</v>
      </c>
      <c r="E178" s="300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s="300" t="s">
        <v>21</v>
      </c>
      <c r="D179" t="s">
        <v>45</v>
      </c>
      <c r="E179" s="300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s="300" t="s">
        <v>21</v>
      </c>
      <c r="D180" t="s">
        <v>45</v>
      </c>
      <c r="E180" s="30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s="300" t="s">
        <v>21</v>
      </c>
      <c r="D181" t="s">
        <v>45</v>
      </c>
      <c r="E181" s="300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s="300" t="s">
        <v>21</v>
      </c>
      <c r="D182" t="s">
        <v>45</v>
      </c>
      <c r="E182" s="300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s="300" t="s">
        <v>21</v>
      </c>
      <c r="D183" t="s">
        <v>45</v>
      </c>
      <c r="E183" s="300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s="300" t="s">
        <v>21</v>
      </c>
      <c r="D184" t="s">
        <v>45</v>
      </c>
      <c r="E184" s="300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s="300" t="s">
        <v>21</v>
      </c>
      <c r="D185" t="s">
        <v>45</v>
      </c>
      <c r="E185" s="300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s="300" t="s">
        <v>21</v>
      </c>
      <c r="D186" t="s">
        <v>45</v>
      </c>
      <c r="E186" s="300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6006016630</v>
      </c>
      <c r="B187" t="s">
        <v>702</v>
      </c>
      <c r="C187" s="300" t="s">
        <v>21</v>
      </c>
      <c r="D187" t="s">
        <v>45</v>
      </c>
      <c r="E187" s="300" t="s">
        <v>356</v>
      </c>
      <c r="F187" s="108"/>
      <c r="G187" s="108">
        <v>6006016630</v>
      </c>
      <c r="H187" s="108"/>
      <c r="I187" t="s">
        <v>703</v>
      </c>
    </row>
    <row r="188" spans="1:9" s="84" customFormat="1">
      <c r="A188" s="105">
        <v>6005186425</v>
      </c>
      <c r="B188" t="s">
        <v>293</v>
      </c>
      <c r="C188" s="300" t="s">
        <v>9</v>
      </c>
      <c r="D188" t="s">
        <v>48</v>
      </c>
      <c r="E188" s="300" t="s">
        <v>375</v>
      </c>
      <c r="F188" s="108"/>
      <c r="G188" s="108">
        <v>6005186425</v>
      </c>
      <c r="H188" s="108"/>
      <c r="I188"/>
    </row>
    <row r="189" spans="1:9" s="84" customFormat="1">
      <c r="A189" s="105">
        <v>6005186429</v>
      </c>
      <c r="B189" t="s">
        <v>294</v>
      </c>
      <c r="C189" s="300" t="s">
        <v>9</v>
      </c>
      <c r="D189" t="s">
        <v>48</v>
      </c>
      <c r="E189" s="300" t="s">
        <v>375</v>
      </c>
      <c r="F189" s="108"/>
      <c r="G189" s="108">
        <v>6005186429</v>
      </c>
      <c r="H189" s="108"/>
      <c r="I189"/>
    </row>
    <row r="190" spans="1:9" s="84" customFormat="1">
      <c r="A190" s="105">
        <v>6005266426</v>
      </c>
      <c r="B190" t="s">
        <v>295</v>
      </c>
      <c r="C190" s="300" t="s">
        <v>10</v>
      </c>
      <c r="D190" t="s">
        <v>64</v>
      </c>
      <c r="E190" s="300" t="s">
        <v>379</v>
      </c>
      <c r="F190" s="108"/>
      <c r="G190" s="108">
        <v>6005266426</v>
      </c>
      <c r="H190" s="108"/>
      <c r="I190"/>
    </row>
    <row r="191" spans="1:9" s="84" customFormat="1">
      <c r="A191" s="105">
        <v>6004096621</v>
      </c>
      <c r="B191" t="s">
        <v>296</v>
      </c>
      <c r="C191" s="300" t="s">
        <v>11</v>
      </c>
      <c r="D191" t="s">
        <v>115</v>
      </c>
      <c r="E191" s="300" t="s">
        <v>358</v>
      </c>
      <c r="F191" s="108"/>
      <c r="G191" s="108">
        <v>6004096621</v>
      </c>
      <c r="H191" s="108"/>
      <c r="I191"/>
    </row>
    <row r="192" spans="1:9" s="84" customFormat="1">
      <c r="A192" s="105">
        <v>6005046622</v>
      </c>
      <c r="B192" t="s">
        <v>297</v>
      </c>
      <c r="C192" s="300" t="s">
        <v>11</v>
      </c>
      <c r="D192" t="s">
        <v>59</v>
      </c>
      <c r="E192" s="300" t="s">
        <v>359</v>
      </c>
      <c r="F192" s="108"/>
      <c r="G192" s="108">
        <v>6005046622</v>
      </c>
      <c r="H192" s="108"/>
      <c r="I192"/>
    </row>
    <row r="193" spans="1:9" s="84" customFormat="1">
      <c r="A193" s="105">
        <v>6005046635</v>
      </c>
      <c r="B193" t="s">
        <v>298</v>
      </c>
      <c r="C193" s="300" t="s">
        <v>11</v>
      </c>
      <c r="D193" t="s">
        <v>59</v>
      </c>
      <c r="E193" s="300" t="s">
        <v>359</v>
      </c>
      <c r="F193" s="108"/>
      <c r="G193" s="108">
        <v>6005046635</v>
      </c>
      <c r="H193" s="108"/>
      <c r="I193"/>
    </row>
    <row r="194" spans="1:9" s="84" customFormat="1">
      <c r="A194" s="105">
        <v>6005056623</v>
      </c>
      <c r="B194" t="s">
        <v>299</v>
      </c>
      <c r="C194" s="300" t="s">
        <v>11</v>
      </c>
      <c r="D194" t="s">
        <v>97</v>
      </c>
      <c r="E194" s="300" t="s">
        <v>360</v>
      </c>
      <c r="F194" s="108"/>
      <c r="G194" s="108">
        <v>6005056623</v>
      </c>
      <c r="H194" s="108"/>
      <c r="I194"/>
    </row>
    <row r="195" spans="1:9" s="84" customFormat="1">
      <c r="A195" s="105">
        <v>6005056624</v>
      </c>
      <c r="B195" t="s">
        <v>300</v>
      </c>
      <c r="C195" s="300" t="s">
        <v>11</v>
      </c>
      <c r="D195" t="s">
        <v>97</v>
      </c>
      <c r="E195" s="300" t="s">
        <v>360</v>
      </c>
      <c r="F195" s="108"/>
      <c r="G195" s="108">
        <v>6005056624</v>
      </c>
      <c r="H195" s="108"/>
      <c r="I195"/>
    </row>
    <row r="196" spans="1:9" s="84" customFormat="1">
      <c r="A196" s="105">
        <v>6005056625</v>
      </c>
      <c r="B196" t="s">
        <v>301</v>
      </c>
      <c r="C196" s="300" t="s">
        <v>11</v>
      </c>
      <c r="D196" t="s">
        <v>97</v>
      </c>
      <c r="E196" s="300" t="s">
        <v>360</v>
      </c>
      <c r="F196" s="108"/>
      <c r="G196" s="108">
        <v>6005056625</v>
      </c>
      <c r="H196" s="108"/>
      <c r="I196"/>
    </row>
    <row r="197" spans="1:9" s="84" customFormat="1">
      <c r="A197" s="105">
        <v>6005136626</v>
      </c>
      <c r="B197" t="s">
        <v>302</v>
      </c>
      <c r="C197" s="300" t="s">
        <v>11</v>
      </c>
      <c r="D197" t="s">
        <v>58</v>
      </c>
      <c r="E197" s="300" t="s">
        <v>364</v>
      </c>
      <c r="F197" s="108"/>
      <c r="G197" s="108">
        <v>6005136626</v>
      </c>
      <c r="H197" s="108"/>
      <c r="I197"/>
    </row>
    <row r="198" spans="1:9" s="84" customFormat="1">
      <c r="A198" s="105">
        <v>6005146627</v>
      </c>
      <c r="B198" t="s">
        <v>303</v>
      </c>
      <c r="C198" s="300" t="s">
        <v>11</v>
      </c>
      <c r="D198" t="s">
        <v>98</v>
      </c>
      <c r="E198" s="300" t="s">
        <v>365</v>
      </c>
      <c r="F198" s="108"/>
      <c r="G198" s="108">
        <v>6005146627</v>
      </c>
      <c r="H198" s="108"/>
      <c r="I198"/>
    </row>
    <row r="199" spans="1:9" s="84" customFormat="1">
      <c r="A199" s="105">
        <v>6005146628</v>
      </c>
      <c r="B199" t="s">
        <v>304</v>
      </c>
      <c r="C199" s="300" t="s">
        <v>11</v>
      </c>
      <c r="D199" t="s">
        <v>98</v>
      </c>
      <c r="E199" s="300" t="s">
        <v>365</v>
      </c>
      <c r="F199" s="108"/>
      <c r="G199" s="108">
        <v>6005146628</v>
      </c>
      <c r="H199" s="108"/>
      <c r="I199"/>
    </row>
    <row r="200" spans="1:9" s="84" customFormat="1">
      <c r="A200" s="105">
        <v>6005146629</v>
      </c>
      <c r="B200" t="s">
        <v>305</v>
      </c>
      <c r="C200" s="300" t="s">
        <v>11</v>
      </c>
      <c r="D200" t="s">
        <v>98</v>
      </c>
      <c r="E200" s="300" t="s">
        <v>365</v>
      </c>
      <c r="F200" s="108"/>
      <c r="G200" s="108">
        <v>6005146629</v>
      </c>
      <c r="H200" s="108"/>
      <c r="I200"/>
    </row>
    <row r="201" spans="1:9" s="84" customFormat="1">
      <c r="A201" s="105">
        <v>6005156630</v>
      </c>
      <c r="B201" t="s">
        <v>306</v>
      </c>
      <c r="C201" s="300" t="s">
        <v>11</v>
      </c>
      <c r="D201" t="s">
        <v>64</v>
      </c>
      <c r="E201" s="300" t="s">
        <v>379</v>
      </c>
      <c r="F201" s="108"/>
      <c r="G201" s="108">
        <v>6005156630</v>
      </c>
      <c r="H201" s="108"/>
      <c r="I201"/>
    </row>
    <row r="202" spans="1:9" s="84" customFormat="1">
      <c r="A202" s="105">
        <v>6005206631</v>
      </c>
      <c r="B202" t="s">
        <v>307</v>
      </c>
      <c r="C202" s="300" t="s">
        <v>11</v>
      </c>
      <c r="D202" t="s">
        <v>99</v>
      </c>
      <c r="E202" s="300" t="s">
        <v>366</v>
      </c>
      <c r="F202" s="108"/>
      <c r="G202" s="108">
        <v>6005206631</v>
      </c>
      <c r="H202" s="108"/>
      <c r="I202"/>
    </row>
    <row r="203" spans="1:9" s="84" customFormat="1">
      <c r="A203" s="105">
        <v>6005216632</v>
      </c>
      <c r="B203" t="s">
        <v>308</v>
      </c>
      <c r="C203" s="300" t="s">
        <v>11</v>
      </c>
      <c r="D203" t="s">
        <v>51</v>
      </c>
      <c r="E203" s="300" t="s">
        <v>367</v>
      </c>
      <c r="F203" s="108"/>
      <c r="G203" s="108">
        <v>6005216632</v>
      </c>
      <c r="H203" s="108"/>
      <c r="I203"/>
    </row>
    <row r="204" spans="1:9" s="84" customFormat="1">
      <c r="A204" s="105">
        <v>6005226633</v>
      </c>
      <c r="B204" t="s">
        <v>309</v>
      </c>
      <c r="C204" s="300" t="s">
        <v>11</v>
      </c>
      <c r="D204" t="s">
        <v>49</v>
      </c>
      <c r="E204" s="300" t="s">
        <v>368</v>
      </c>
      <c r="F204" s="108"/>
      <c r="G204" s="108">
        <v>6005226633</v>
      </c>
      <c r="H204" s="108"/>
      <c r="I204"/>
    </row>
    <row r="205" spans="1:9" s="84" customFormat="1">
      <c r="A205" s="105">
        <v>6005236634</v>
      </c>
      <c r="B205" t="s">
        <v>310</v>
      </c>
      <c r="C205" s="300" t="s">
        <v>11</v>
      </c>
      <c r="D205" t="s">
        <v>47</v>
      </c>
      <c r="E205" s="300" t="s">
        <v>369</v>
      </c>
      <c r="F205" s="108"/>
      <c r="G205" s="108">
        <v>6005236634</v>
      </c>
      <c r="H205" s="108"/>
      <c r="I205"/>
    </row>
    <row r="206" spans="1:9" s="84" customFormat="1">
      <c r="A206" s="105">
        <v>6005246636</v>
      </c>
      <c r="B206" t="s">
        <v>311</v>
      </c>
      <c r="C206" s="300" t="s">
        <v>11</v>
      </c>
      <c r="D206" t="s">
        <v>50</v>
      </c>
      <c r="E206" s="300" t="s">
        <v>370</v>
      </c>
      <c r="F206" s="108"/>
      <c r="G206" s="108">
        <v>6005246636</v>
      </c>
      <c r="H206" s="108"/>
      <c r="I206"/>
    </row>
    <row r="207" spans="1:9" s="84" customFormat="1">
      <c r="A207" s="105">
        <v>6005246672</v>
      </c>
      <c r="B207" t="s">
        <v>312</v>
      </c>
      <c r="C207" s="300" t="s">
        <v>11</v>
      </c>
      <c r="D207" t="s">
        <v>50</v>
      </c>
      <c r="E207" s="300" t="s">
        <v>370</v>
      </c>
      <c r="F207" s="108"/>
      <c r="G207" s="108">
        <v>6005246672</v>
      </c>
      <c r="H207" s="108"/>
      <c r="I207"/>
    </row>
    <row r="208" spans="1:9" s="84" customFormat="1">
      <c r="A208" s="105">
        <v>6005246673</v>
      </c>
      <c r="B208" t="s">
        <v>313</v>
      </c>
      <c r="C208" s="300" t="s">
        <v>11</v>
      </c>
      <c r="D208" t="s">
        <v>50</v>
      </c>
      <c r="E208" s="300" t="s">
        <v>370</v>
      </c>
      <c r="F208" s="108"/>
      <c r="G208" s="108">
        <v>6005246673</v>
      </c>
      <c r="H208" s="108"/>
      <c r="I208"/>
    </row>
    <row r="209" spans="1:9" s="84" customFormat="1">
      <c r="A209" s="105">
        <v>6005246674</v>
      </c>
      <c r="B209" t="s">
        <v>314</v>
      </c>
      <c r="C209" s="300" t="s">
        <v>11</v>
      </c>
      <c r="D209" t="s">
        <v>50</v>
      </c>
      <c r="E209" s="300" t="s">
        <v>370</v>
      </c>
      <c r="F209" s="108"/>
      <c r="G209" s="108">
        <v>6005246674</v>
      </c>
      <c r="H209" s="108"/>
      <c r="I209"/>
    </row>
    <row r="210" spans="1:9" s="84" customFormat="1">
      <c r="A210" s="105">
        <v>6004086651</v>
      </c>
      <c r="B210" t="s">
        <v>315</v>
      </c>
      <c r="C210" s="300" t="s">
        <v>36</v>
      </c>
      <c r="D210" t="s">
        <v>42</v>
      </c>
      <c r="E210" s="300" t="s">
        <v>371</v>
      </c>
      <c r="F210" s="108"/>
      <c r="G210" s="108">
        <v>6004086651</v>
      </c>
      <c r="H210" s="108"/>
      <c r="I210"/>
    </row>
    <row r="211" spans="1:9" s="84" customFormat="1">
      <c r="A211" s="105">
        <v>6004086653</v>
      </c>
      <c r="B211" t="s">
        <v>316</v>
      </c>
      <c r="C211" s="300" t="s">
        <v>36</v>
      </c>
      <c r="D211" t="s">
        <v>115</v>
      </c>
      <c r="E211" s="300" t="s">
        <v>358</v>
      </c>
      <c r="F211" s="108"/>
      <c r="G211" s="108">
        <v>6004086653</v>
      </c>
      <c r="H211" s="108"/>
      <c r="I211"/>
    </row>
    <row r="212" spans="1:9" s="84" customFormat="1">
      <c r="A212" s="105">
        <v>6005116654</v>
      </c>
      <c r="B212" t="s">
        <v>317</v>
      </c>
      <c r="C212" s="300" t="s">
        <v>36</v>
      </c>
      <c r="D212" t="s">
        <v>56</v>
      </c>
      <c r="E212" s="300" t="s">
        <v>372</v>
      </c>
      <c r="F212" s="108"/>
      <c r="G212" s="108">
        <v>6005116654</v>
      </c>
      <c r="H212" s="108"/>
      <c r="I212"/>
    </row>
    <row r="213" spans="1:9" s="84" customFormat="1">
      <c r="A213" s="105">
        <v>6005116655</v>
      </c>
      <c r="B213" t="s">
        <v>318</v>
      </c>
      <c r="C213" s="300" t="s">
        <v>36</v>
      </c>
      <c r="D213" t="s">
        <v>57</v>
      </c>
      <c r="E213" s="300" t="s">
        <v>373</v>
      </c>
      <c r="F213" s="108"/>
      <c r="G213" s="108">
        <v>6005116655</v>
      </c>
      <c r="H213" s="108"/>
      <c r="I213"/>
    </row>
    <row r="214" spans="1:9" s="84" customFormat="1">
      <c r="A214" s="105">
        <v>6005136657</v>
      </c>
      <c r="B214" t="s">
        <v>319</v>
      </c>
      <c r="C214" s="300" t="s">
        <v>36</v>
      </c>
      <c r="D214" t="s">
        <v>58</v>
      </c>
      <c r="E214" s="300" t="s">
        <v>364</v>
      </c>
      <c r="F214" s="108"/>
      <c r="G214" s="108">
        <v>6005136657</v>
      </c>
      <c r="H214" s="108"/>
      <c r="I214"/>
    </row>
    <row r="215" spans="1:9" s="84" customFormat="1">
      <c r="A215" s="105">
        <v>6005166658</v>
      </c>
      <c r="B215" t="s">
        <v>320</v>
      </c>
      <c r="C215" s="300" t="s">
        <v>36</v>
      </c>
      <c r="D215" t="s">
        <v>53</v>
      </c>
      <c r="E215" s="300" t="s">
        <v>374</v>
      </c>
      <c r="F215" s="108"/>
      <c r="G215" s="108">
        <v>6005166658</v>
      </c>
      <c r="H215" s="108"/>
      <c r="I215"/>
    </row>
    <row r="216" spans="1:9" s="84" customFormat="1">
      <c r="A216" s="105">
        <v>6005176659</v>
      </c>
      <c r="B216" t="s">
        <v>321</v>
      </c>
      <c r="C216" s="300" t="s">
        <v>36</v>
      </c>
      <c r="D216" t="s">
        <v>64</v>
      </c>
      <c r="E216" s="300" t="s">
        <v>379</v>
      </c>
      <c r="F216" s="108"/>
      <c r="G216" s="108">
        <v>6005176659</v>
      </c>
      <c r="H216" s="108"/>
      <c r="I216"/>
    </row>
    <row r="217" spans="1:9" s="84" customFormat="1">
      <c r="A217" s="105">
        <v>6005246671</v>
      </c>
      <c r="B217" t="s">
        <v>322</v>
      </c>
      <c r="C217" s="300" t="s">
        <v>36</v>
      </c>
      <c r="D217" t="s">
        <v>64</v>
      </c>
      <c r="E217" s="300" t="s">
        <v>379</v>
      </c>
      <c r="F217" s="108"/>
      <c r="G217" s="108">
        <v>6005246671</v>
      </c>
      <c r="H217" s="108"/>
      <c r="I217"/>
    </row>
    <row r="218" spans="1:9" s="84" customFormat="1">
      <c r="A218" s="105">
        <v>6005246675</v>
      </c>
      <c r="B218" t="s">
        <v>323</v>
      </c>
      <c r="C218" s="300" t="s">
        <v>36</v>
      </c>
      <c r="D218" t="s">
        <v>99</v>
      </c>
      <c r="E218" s="300" t="s">
        <v>366</v>
      </c>
      <c r="F218" s="108"/>
      <c r="G218" s="108">
        <v>6005246675</v>
      </c>
      <c r="H218" s="108"/>
      <c r="I218"/>
    </row>
    <row r="219" spans="1:9" s="84" customFormat="1">
      <c r="A219" s="105">
        <v>6005246676</v>
      </c>
      <c r="B219" t="s">
        <v>445</v>
      </c>
      <c r="C219" s="300" t="s">
        <v>36</v>
      </c>
      <c r="D219" t="s">
        <v>64</v>
      </c>
      <c r="E219" s="300" t="s">
        <v>379</v>
      </c>
      <c r="F219" s="108"/>
      <c r="G219" s="108">
        <v>6005246676</v>
      </c>
      <c r="H219" s="108"/>
      <c r="I219" t="s">
        <v>449</v>
      </c>
    </row>
    <row r="220" spans="1:9" s="84" customFormat="1">
      <c r="A220" s="105">
        <v>8001017111</v>
      </c>
      <c r="B220" t="s">
        <v>13</v>
      </c>
      <c r="C220" s="300" t="s">
        <v>14</v>
      </c>
      <c r="D220" t="s">
        <v>118</v>
      </c>
      <c r="E220" s="300" t="s">
        <v>384</v>
      </c>
      <c r="F220" s="108" t="s">
        <v>554</v>
      </c>
      <c r="G220" s="108">
        <v>8001017111</v>
      </c>
      <c r="H220" s="108">
        <v>8001017111</v>
      </c>
      <c r="I220"/>
    </row>
    <row r="221" spans="1:9" s="84" customFormat="1">
      <c r="A221" s="105">
        <v>8001027111</v>
      </c>
      <c r="B221" t="s">
        <v>66</v>
      </c>
      <c r="C221" s="300" t="s">
        <v>14</v>
      </c>
      <c r="D221" t="s">
        <v>118</v>
      </c>
      <c r="E221" s="300" t="s">
        <v>384</v>
      </c>
      <c r="F221" s="108" t="s">
        <v>555</v>
      </c>
      <c r="G221" s="108">
        <v>8001027111</v>
      </c>
      <c r="H221" s="108">
        <v>8001027111</v>
      </c>
      <c r="I221"/>
    </row>
    <row r="222" spans="1:9" s="84" customFormat="1">
      <c r="A222" s="105">
        <v>8001037111</v>
      </c>
      <c r="B222" t="s">
        <v>67</v>
      </c>
      <c r="C222" s="300" t="s">
        <v>14</v>
      </c>
      <c r="D222" t="s">
        <v>118</v>
      </c>
      <c r="E222" s="300" t="s">
        <v>384</v>
      </c>
      <c r="F222" s="108" t="s">
        <v>556</v>
      </c>
      <c r="G222" s="108">
        <v>8001037111</v>
      </c>
      <c r="H222" s="108">
        <v>8001037111</v>
      </c>
      <c r="I222"/>
    </row>
    <row r="223" spans="1:9" s="84" customFormat="1">
      <c r="A223" s="105">
        <v>7002048111</v>
      </c>
      <c r="B223" t="s">
        <v>117</v>
      </c>
      <c r="C223" s="300" t="s">
        <v>15</v>
      </c>
      <c r="D223" t="s">
        <v>117</v>
      </c>
      <c r="E223" s="300" t="s">
        <v>382</v>
      </c>
      <c r="F223" s="108" t="s">
        <v>557</v>
      </c>
      <c r="G223" s="108">
        <v>7002048111</v>
      </c>
      <c r="H223" s="108">
        <v>7002048111</v>
      </c>
      <c r="I223"/>
    </row>
    <row r="224" spans="1:9" s="84" customFormat="1">
      <c r="A224" s="105">
        <v>7002048112</v>
      </c>
      <c r="B224" t="s">
        <v>105</v>
      </c>
      <c r="C224" s="300" t="s">
        <v>15</v>
      </c>
      <c r="D224" t="s">
        <v>105</v>
      </c>
      <c r="E224" s="300" t="s">
        <v>385</v>
      </c>
      <c r="F224" s="108" t="s">
        <v>558</v>
      </c>
      <c r="G224" s="108">
        <v>7002048112</v>
      </c>
      <c r="H224" s="108">
        <v>7002048112</v>
      </c>
      <c r="I224"/>
    </row>
    <row r="225" spans="1:9" s="84" customFormat="1">
      <c r="A225" s="105">
        <v>8002018111</v>
      </c>
      <c r="B225" t="s">
        <v>16</v>
      </c>
      <c r="C225" s="300" t="s">
        <v>15</v>
      </c>
      <c r="D225" t="s">
        <v>119</v>
      </c>
      <c r="E225" s="300" t="s">
        <v>386</v>
      </c>
      <c r="F225" s="108" t="s">
        <v>559</v>
      </c>
      <c r="G225" s="108">
        <v>8002018111</v>
      </c>
      <c r="H225" s="108">
        <v>8002018111</v>
      </c>
      <c r="I225"/>
    </row>
    <row r="226" spans="1:9" s="84" customFormat="1">
      <c r="A226" s="105">
        <v>8002028111</v>
      </c>
      <c r="B226" t="s">
        <v>68</v>
      </c>
      <c r="C226" s="300" t="s">
        <v>15</v>
      </c>
      <c r="D226" t="s">
        <v>119</v>
      </c>
      <c r="E226" s="300" t="s">
        <v>386</v>
      </c>
      <c r="F226" s="108" t="s">
        <v>560</v>
      </c>
      <c r="G226" s="108">
        <v>8002028111</v>
      </c>
      <c r="H226" s="108">
        <v>8002028111</v>
      </c>
      <c r="I226"/>
    </row>
    <row r="227" spans="1:9" s="84" customFormat="1">
      <c r="A227" s="105">
        <v>8002038111</v>
      </c>
      <c r="B227" t="s">
        <v>69</v>
      </c>
      <c r="C227" s="300" t="s">
        <v>15</v>
      </c>
      <c r="D227" t="s">
        <v>119</v>
      </c>
      <c r="E227" s="300" t="s">
        <v>386</v>
      </c>
      <c r="F227" s="108" t="s">
        <v>561</v>
      </c>
      <c r="G227" s="108">
        <v>8002038111</v>
      </c>
      <c r="H227" s="108">
        <v>8002038111</v>
      </c>
      <c r="I227"/>
    </row>
    <row r="228" spans="1:9" s="84" customFormat="1">
      <c r="A228" s="105">
        <v>9114120002</v>
      </c>
      <c r="B228" t="s">
        <v>70</v>
      </c>
      <c r="C228" s="300"/>
      <c r="D228" t="s">
        <v>70</v>
      </c>
      <c r="E228" s="300" t="s">
        <v>387</v>
      </c>
      <c r="F228" s="108" t="s">
        <v>562</v>
      </c>
      <c r="G228" s="108">
        <v>9114120002</v>
      </c>
      <c r="H228" s="108">
        <v>9114120002</v>
      </c>
      <c r="I228"/>
    </row>
    <row r="229" spans="1:9" s="84" customFormat="1">
      <c r="A229" s="105">
        <v>9114120004</v>
      </c>
      <c r="B229" t="s">
        <v>73</v>
      </c>
      <c r="C229" s="300"/>
      <c r="D229" t="s">
        <v>73</v>
      </c>
      <c r="E229" s="300" t="s">
        <v>388</v>
      </c>
      <c r="F229" s="108" t="s">
        <v>563</v>
      </c>
      <c r="G229" s="108">
        <v>9114120004</v>
      </c>
      <c r="H229" s="108">
        <v>9114120004</v>
      </c>
      <c r="I229"/>
    </row>
    <row r="230" spans="1:9" s="84" customFormat="1">
      <c r="A230" s="296">
        <v>9114120005</v>
      </c>
      <c r="B230" s="297" t="s">
        <v>107</v>
      </c>
      <c r="C230" s="300"/>
      <c r="D230" s="297" t="s">
        <v>121</v>
      </c>
      <c r="E230" s="300" t="s">
        <v>389</v>
      </c>
      <c r="F230" s="108" t="s">
        <v>564</v>
      </c>
      <c r="G230" s="108">
        <v>9114120005</v>
      </c>
      <c r="H230" s="108">
        <v>9114120005</v>
      </c>
      <c r="I230"/>
    </row>
    <row r="231" spans="1:9" s="84" customFormat="1">
      <c r="A231" s="105">
        <v>9114120006</v>
      </c>
      <c r="B231" t="s">
        <v>142</v>
      </c>
      <c r="C231" s="300"/>
      <c r="D231" t="s">
        <v>101</v>
      </c>
      <c r="E231" s="300" t="s">
        <v>349</v>
      </c>
      <c r="F231" s="108" t="s">
        <v>565</v>
      </c>
      <c r="G231" s="108">
        <v>9114120006</v>
      </c>
      <c r="H231" s="108">
        <v>9114120006</v>
      </c>
      <c r="I231"/>
    </row>
    <row r="232" spans="1:9" s="84" customFormat="1">
      <c r="A232" s="105">
        <v>9114120007</v>
      </c>
      <c r="B232" t="s">
        <v>108</v>
      </c>
      <c r="C232" s="300"/>
      <c r="D232" t="s">
        <v>114</v>
      </c>
      <c r="E232" s="300" t="s">
        <v>390</v>
      </c>
      <c r="F232" s="108" t="s">
        <v>566</v>
      </c>
      <c r="G232" s="108">
        <v>9114120007</v>
      </c>
      <c r="H232" s="108">
        <v>9114120007</v>
      </c>
      <c r="I232"/>
    </row>
    <row r="233" spans="1:9" s="84" customFormat="1">
      <c r="A233" s="105">
        <v>9114120008</v>
      </c>
      <c r="B233" t="s">
        <v>102</v>
      </c>
      <c r="C233" s="300"/>
      <c r="D233" t="s">
        <v>102</v>
      </c>
      <c r="E233" s="300" t="s">
        <v>12</v>
      </c>
      <c r="F233" s="108" t="s">
        <v>567</v>
      </c>
      <c r="G233" s="108"/>
      <c r="H233" s="108"/>
      <c r="I233"/>
    </row>
    <row r="234" spans="1:9" s="84" customFormat="1">
      <c r="A234" s="105">
        <v>9114120009</v>
      </c>
      <c r="B234" t="s">
        <v>109</v>
      </c>
      <c r="C234" s="300"/>
      <c r="D234" t="s">
        <v>122</v>
      </c>
      <c r="E234" s="300" t="s">
        <v>391</v>
      </c>
      <c r="F234" s="108" t="s">
        <v>568</v>
      </c>
      <c r="G234" s="108">
        <v>9114120009</v>
      </c>
      <c r="H234" s="108">
        <v>9114120009</v>
      </c>
      <c r="I234"/>
    </row>
    <row r="235" spans="1:9" s="84" customFormat="1">
      <c r="A235" s="105">
        <v>9114120011</v>
      </c>
      <c r="B235" t="s">
        <v>100</v>
      </c>
      <c r="C235" s="300"/>
      <c r="D235" t="s">
        <v>100</v>
      </c>
      <c r="E235" s="300" t="s">
        <v>392</v>
      </c>
      <c r="F235" s="108" t="s">
        <v>569</v>
      </c>
      <c r="G235" s="108">
        <v>9114120011</v>
      </c>
      <c r="H235" s="108">
        <v>9114120011</v>
      </c>
      <c r="I235"/>
    </row>
    <row r="236" spans="1:9" s="84" customFormat="1">
      <c r="A236" s="105">
        <v>9114120014</v>
      </c>
      <c r="B236" t="s">
        <v>74</v>
      </c>
      <c r="C236" s="300"/>
      <c r="D236" t="s">
        <v>74</v>
      </c>
      <c r="E236" s="300" t="s">
        <v>393</v>
      </c>
      <c r="F236" s="108" t="s">
        <v>570</v>
      </c>
      <c r="G236" s="108">
        <v>9114120014</v>
      </c>
      <c r="H236" s="108">
        <v>9114120014</v>
      </c>
      <c r="I236"/>
    </row>
    <row r="237" spans="1:9" s="84" customFormat="1">
      <c r="A237" s="105">
        <v>9114120018</v>
      </c>
      <c r="B237" t="s">
        <v>106</v>
      </c>
      <c r="C237" s="300"/>
      <c r="D237" t="s">
        <v>106</v>
      </c>
      <c r="E237" s="300" t="s">
        <v>394</v>
      </c>
      <c r="F237" s="108" t="s">
        <v>571</v>
      </c>
      <c r="G237" s="108">
        <v>9114120018</v>
      </c>
      <c r="H237" s="108">
        <v>9114120018</v>
      </c>
      <c r="I237"/>
    </row>
    <row r="238" spans="1:9" s="84" customFormat="1">
      <c r="A238" s="105">
        <v>9114120021</v>
      </c>
      <c r="B238" t="s">
        <v>143</v>
      </c>
      <c r="C238" s="300"/>
      <c r="D238" t="s">
        <v>143</v>
      </c>
      <c r="E238" s="300" t="s">
        <v>395</v>
      </c>
      <c r="F238" s="108" t="s">
        <v>572</v>
      </c>
      <c r="G238" s="108">
        <v>9114120021</v>
      </c>
      <c r="H238" s="108">
        <v>9114120021</v>
      </c>
      <c r="I238"/>
    </row>
    <row r="239" spans="1:9" s="84" customFormat="1">
      <c r="A239" s="105">
        <v>9114120028</v>
      </c>
      <c r="B239" t="s">
        <v>113</v>
      </c>
      <c r="C239" s="300"/>
      <c r="D239" t="s">
        <v>113</v>
      </c>
      <c r="E239" s="300" t="s">
        <v>396</v>
      </c>
      <c r="F239" s="108" t="s">
        <v>573</v>
      </c>
      <c r="G239" s="108">
        <v>9114120028</v>
      </c>
      <c r="H239" s="108">
        <v>9114120028</v>
      </c>
      <c r="I239"/>
    </row>
    <row r="240" spans="1:9" s="84" customFormat="1">
      <c r="A240" s="105">
        <v>9114120029</v>
      </c>
      <c r="B240" t="s">
        <v>662</v>
      </c>
      <c r="C240" s="300"/>
      <c r="D240" t="s">
        <v>662</v>
      </c>
      <c r="E240" s="300" t="s">
        <v>397</v>
      </c>
      <c r="F240" s="108" t="s">
        <v>574</v>
      </c>
      <c r="G240" s="108">
        <v>9114120029</v>
      </c>
      <c r="H240" s="108">
        <v>9114120029</v>
      </c>
      <c r="I240"/>
    </row>
    <row r="241" spans="1:9" s="84" customFormat="1">
      <c r="A241" s="105">
        <v>9114120030</v>
      </c>
      <c r="B241" t="s">
        <v>663</v>
      </c>
      <c r="C241" s="300"/>
      <c r="D241" t="s">
        <v>663</v>
      </c>
      <c r="E241" s="300" t="s">
        <v>398</v>
      </c>
      <c r="F241" s="108" t="s">
        <v>575</v>
      </c>
      <c r="G241" s="108">
        <v>9114120030</v>
      </c>
      <c r="H241" s="108">
        <v>9114120030</v>
      </c>
      <c r="I241"/>
    </row>
    <row r="242" spans="1:9" s="84" customFormat="1">
      <c r="A242" s="106"/>
      <c r="B242" s="107"/>
      <c r="C242" s="301"/>
      <c r="D242" s="107"/>
      <c r="E242" s="301"/>
      <c r="F242" s="107"/>
      <c r="G242" s="107"/>
      <c r="H242" s="108"/>
      <c r="I242" s="107"/>
    </row>
    <row r="243" spans="1:9" s="84" customFormat="1">
      <c r="A243" s="106"/>
      <c r="B243" s="107"/>
      <c r="C243" s="301"/>
      <c r="D243" s="107"/>
      <c r="E243" s="301"/>
      <c r="F243" s="107"/>
      <c r="G243" s="107"/>
      <c r="I243" s="107"/>
    </row>
    <row r="244" spans="1:9" s="84" customFormat="1">
      <c r="A244" s="106"/>
      <c r="B244" s="107"/>
      <c r="C244" s="301"/>
      <c r="D244" s="107"/>
      <c r="E244" s="301"/>
      <c r="F244" s="107"/>
      <c r="G244" s="107"/>
      <c r="H244" s="108"/>
      <c r="I244" s="107"/>
    </row>
  </sheetData>
  <autoFilter ref="A1:I244" xr:uid="{7C772572-72F8-4C07-A6FC-1DC15755468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2977-CD19-4BDC-883D-B929ED50DE3B}">
  <sheetPr codeName="Sheet8"/>
  <dimension ref="A1:E64"/>
  <sheetViews>
    <sheetView workbookViewId="0">
      <pane ySplit="1" topLeftCell="A2" activePane="bottomLeft" state="frozen"/>
      <selection pane="bottomLeft" activeCell="G2" sqref="G2"/>
    </sheetView>
  </sheetViews>
  <sheetFormatPr defaultColWidth="9" defaultRowHeight="13"/>
  <cols>
    <col min="1" max="1" width="11.6328125" style="293" bestFit="1" customWidth="1"/>
    <col min="2" max="2" width="19" style="290" bestFit="1" customWidth="1"/>
    <col min="3" max="3" width="3.90625" style="291" bestFit="1" customWidth="1"/>
    <col min="4" max="4" width="10.26953125" style="290" bestFit="1" customWidth="1"/>
    <col min="5" max="5" width="9" style="290"/>
    <col min="6" max="6" width="10.90625" style="290" bestFit="1" customWidth="1"/>
    <col min="7" max="7" width="19.453125" style="290" bestFit="1" customWidth="1"/>
    <col min="8" max="8" width="9" style="290"/>
    <col min="9" max="9" width="13.453125" style="290" customWidth="1"/>
    <col min="10" max="16384" width="9" style="290"/>
  </cols>
  <sheetData>
    <row r="1" spans="1:5">
      <c r="B1" s="290" t="s">
        <v>93</v>
      </c>
      <c r="D1" s="290" t="s">
        <v>82</v>
      </c>
      <c r="E1" s="290" t="s">
        <v>83</v>
      </c>
    </row>
    <row r="2" spans="1:5">
      <c r="A2" s="293">
        <v>1412000004</v>
      </c>
      <c r="B2" s="292" t="s">
        <v>674</v>
      </c>
      <c r="C2" s="291" t="s">
        <v>592</v>
      </c>
      <c r="D2" s="290" t="s">
        <v>159</v>
      </c>
      <c r="E2" s="290" t="s">
        <v>159</v>
      </c>
    </row>
    <row r="3" spans="1:5">
      <c r="A3" s="294">
        <v>1412000005</v>
      </c>
      <c r="B3" s="292" t="s">
        <v>675</v>
      </c>
      <c r="C3" s="291" t="s">
        <v>593</v>
      </c>
      <c r="D3" s="290" t="s">
        <v>159</v>
      </c>
      <c r="E3" s="290" t="s">
        <v>159</v>
      </c>
    </row>
    <row r="4" spans="1:5">
      <c r="A4" s="294">
        <v>1412000062</v>
      </c>
      <c r="B4" s="292" t="s">
        <v>643</v>
      </c>
      <c r="C4" s="291" t="s">
        <v>595</v>
      </c>
      <c r="D4" s="290" t="s">
        <v>444</v>
      </c>
      <c r="E4" s="290" t="s">
        <v>159</v>
      </c>
    </row>
    <row r="5" spans="1:5">
      <c r="A5" s="294">
        <v>1412000034</v>
      </c>
      <c r="B5" s="292" t="s">
        <v>422</v>
      </c>
      <c r="C5" s="291" t="s">
        <v>598</v>
      </c>
      <c r="D5" s="290" t="s">
        <v>159</v>
      </c>
      <c r="E5" s="290" t="s">
        <v>159</v>
      </c>
    </row>
    <row r="6" spans="1:5">
      <c r="A6" s="294">
        <v>1412000048</v>
      </c>
      <c r="B6" s="292" t="s">
        <v>421</v>
      </c>
      <c r="C6" s="291" t="s">
        <v>599</v>
      </c>
      <c r="D6" s="290" t="s">
        <v>444</v>
      </c>
      <c r="E6" s="290" t="s">
        <v>159</v>
      </c>
    </row>
    <row r="7" spans="1:5">
      <c r="A7" s="293">
        <v>1412000055</v>
      </c>
      <c r="B7" s="290" t="s">
        <v>676</v>
      </c>
      <c r="C7" s="291" t="s">
        <v>600</v>
      </c>
      <c r="D7" s="290" t="s">
        <v>444</v>
      </c>
      <c r="E7" s="290" t="s">
        <v>159</v>
      </c>
    </row>
    <row r="8" spans="1:5">
      <c r="A8" s="294">
        <v>1412000050</v>
      </c>
      <c r="B8" s="292" t="s">
        <v>618</v>
      </c>
      <c r="C8" s="291" t="s">
        <v>619</v>
      </c>
      <c r="D8" s="290" t="s">
        <v>159</v>
      </c>
      <c r="E8" s="290" t="s">
        <v>159</v>
      </c>
    </row>
    <row r="9" spans="1:5">
      <c r="A9" s="293">
        <v>1412000077</v>
      </c>
      <c r="B9" s="292" t="s">
        <v>620</v>
      </c>
      <c r="C9" s="291" t="s">
        <v>621</v>
      </c>
      <c r="D9" s="290" t="s">
        <v>159</v>
      </c>
      <c r="E9" s="290" t="s">
        <v>159</v>
      </c>
    </row>
    <row r="10" spans="1:5">
      <c r="A10" s="294">
        <v>1412000053</v>
      </c>
      <c r="B10" s="292" t="s">
        <v>582</v>
      </c>
      <c r="C10" s="291" t="s">
        <v>596</v>
      </c>
      <c r="D10" s="290" t="s">
        <v>444</v>
      </c>
      <c r="E10" s="290" t="s">
        <v>159</v>
      </c>
    </row>
    <row r="11" spans="1:5">
      <c r="A11" s="294">
        <v>1412000010</v>
      </c>
      <c r="B11" s="292" t="s">
        <v>430</v>
      </c>
      <c r="C11" s="291" t="s">
        <v>606</v>
      </c>
      <c r="D11" s="290" t="s">
        <v>576</v>
      </c>
      <c r="E11" s="290" t="s">
        <v>159</v>
      </c>
    </row>
    <row r="12" spans="1:5">
      <c r="A12" s="294">
        <v>1412000008</v>
      </c>
      <c r="B12" s="292" t="s">
        <v>432</v>
      </c>
      <c r="C12" s="291" t="s">
        <v>605</v>
      </c>
      <c r="D12" s="290" t="s">
        <v>444</v>
      </c>
      <c r="E12" s="290" t="s">
        <v>159</v>
      </c>
    </row>
    <row r="13" spans="1:5">
      <c r="A13" s="294">
        <v>1412000054</v>
      </c>
      <c r="B13" s="292" t="s">
        <v>423</v>
      </c>
      <c r="C13" s="291" t="s">
        <v>607</v>
      </c>
      <c r="D13" s="290" t="s">
        <v>576</v>
      </c>
      <c r="E13" s="290" t="s">
        <v>159</v>
      </c>
    </row>
    <row r="14" spans="1:5">
      <c r="A14" s="294">
        <v>1412000036</v>
      </c>
      <c r="B14" s="292" t="s">
        <v>677</v>
      </c>
      <c r="C14" s="291" t="s">
        <v>610</v>
      </c>
      <c r="D14" s="290" t="s">
        <v>444</v>
      </c>
      <c r="E14" s="290" t="s">
        <v>159</v>
      </c>
    </row>
    <row r="15" spans="1:5">
      <c r="A15" s="294">
        <v>1412000006</v>
      </c>
      <c r="B15" s="292" t="s">
        <v>424</v>
      </c>
      <c r="C15" s="291" t="s">
        <v>613</v>
      </c>
      <c r="D15" s="290" t="s">
        <v>576</v>
      </c>
      <c r="E15" s="290" t="s">
        <v>159</v>
      </c>
    </row>
    <row r="16" spans="1:5">
      <c r="A16" s="294">
        <v>1412000039</v>
      </c>
      <c r="B16" s="292" t="s">
        <v>425</v>
      </c>
      <c r="C16" s="291" t="s">
        <v>614</v>
      </c>
      <c r="D16" s="290" t="s">
        <v>576</v>
      </c>
      <c r="E16" s="290" t="s">
        <v>159</v>
      </c>
    </row>
    <row r="17" spans="1:5">
      <c r="A17" s="294">
        <v>1412000040</v>
      </c>
      <c r="B17" s="292" t="s">
        <v>443</v>
      </c>
      <c r="C17" s="291" t="s">
        <v>615</v>
      </c>
      <c r="D17" s="290" t="s">
        <v>576</v>
      </c>
      <c r="E17" s="290" t="s">
        <v>159</v>
      </c>
    </row>
    <row r="18" spans="1:5">
      <c r="A18" s="293">
        <v>1412000013</v>
      </c>
      <c r="B18" s="292" t="s">
        <v>657</v>
      </c>
      <c r="C18" s="291" t="s">
        <v>608</v>
      </c>
      <c r="D18" s="290" t="s">
        <v>444</v>
      </c>
      <c r="E18" s="290" t="s">
        <v>159</v>
      </c>
    </row>
    <row r="19" spans="1:5">
      <c r="A19" s="293">
        <v>1412000080</v>
      </c>
      <c r="B19" s="292" t="s">
        <v>440</v>
      </c>
      <c r="C19" s="291" t="s">
        <v>604</v>
      </c>
      <c r="D19" s="290" t="s">
        <v>576</v>
      </c>
      <c r="E19" s="290" t="s">
        <v>159</v>
      </c>
    </row>
    <row r="20" spans="1:5">
      <c r="A20" s="293">
        <v>1412000044</v>
      </c>
      <c r="B20" s="292" t="s">
        <v>442</v>
      </c>
      <c r="C20" s="291" t="s">
        <v>603</v>
      </c>
      <c r="D20" s="290" t="s">
        <v>444</v>
      </c>
      <c r="E20" s="290" t="s">
        <v>159</v>
      </c>
    </row>
    <row r="21" spans="1:5">
      <c r="A21" s="294">
        <v>1412000056</v>
      </c>
      <c r="B21" s="292" t="s">
        <v>441</v>
      </c>
      <c r="C21" s="291" t="s">
        <v>602</v>
      </c>
      <c r="D21" s="290" t="s">
        <v>159</v>
      </c>
      <c r="E21" s="290" t="s">
        <v>159</v>
      </c>
    </row>
    <row r="22" spans="1:5">
      <c r="A22" s="294">
        <v>1412000018</v>
      </c>
      <c r="B22" s="292" t="s">
        <v>428</v>
      </c>
      <c r="C22" s="291" t="s">
        <v>625</v>
      </c>
      <c r="D22" s="290" t="s">
        <v>577</v>
      </c>
      <c r="E22" s="290" t="s">
        <v>159</v>
      </c>
    </row>
    <row r="23" spans="1:5">
      <c r="A23" s="294">
        <v>1412000019</v>
      </c>
      <c r="B23" s="292" t="s">
        <v>587</v>
      </c>
      <c r="C23" s="291" t="s">
        <v>626</v>
      </c>
      <c r="D23" s="290" t="s">
        <v>577</v>
      </c>
      <c r="E23" s="290" t="s">
        <v>159</v>
      </c>
    </row>
    <row r="24" spans="1:5">
      <c r="A24" s="294">
        <v>1412000058</v>
      </c>
      <c r="B24" s="292" t="s">
        <v>433</v>
      </c>
      <c r="C24" s="291" t="s">
        <v>627</v>
      </c>
      <c r="D24" s="290" t="s">
        <v>577</v>
      </c>
      <c r="E24" s="290" t="s">
        <v>159</v>
      </c>
    </row>
    <row r="25" spans="1:5">
      <c r="A25" s="294">
        <v>1412000042</v>
      </c>
      <c r="B25" s="292" t="s">
        <v>434</v>
      </c>
      <c r="C25" s="291" t="s">
        <v>628</v>
      </c>
      <c r="D25" s="290" t="s">
        <v>577</v>
      </c>
      <c r="E25" s="290" t="s">
        <v>159</v>
      </c>
    </row>
    <row r="26" spans="1:5">
      <c r="A26" s="294">
        <v>1412000021</v>
      </c>
      <c r="B26" s="292" t="s">
        <v>435</v>
      </c>
      <c r="C26" s="291" t="s">
        <v>629</v>
      </c>
      <c r="D26" s="290" t="s">
        <v>577</v>
      </c>
      <c r="E26" s="290" t="s">
        <v>159</v>
      </c>
    </row>
    <row r="27" spans="1:5">
      <c r="A27" s="294">
        <v>1412000022</v>
      </c>
      <c r="B27" s="292" t="s">
        <v>439</v>
      </c>
      <c r="C27" s="291" t="s">
        <v>631</v>
      </c>
      <c r="D27" s="290" t="s">
        <v>577</v>
      </c>
      <c r="E27" s="290" t="s">
        <v>159</v>
      </c>
    </row>
    <row r="28" spans="1:5">
      <c r="A28" s="294">
        <v>1412000024</v>
      </c>
      <c r="B28" s="292" t="s">
        <v>437</v>
      </c>
      <c r="C28" s="291" t="s">
        <v>632</v>
      </c>
      <c r="D28" s="290" t="s">
        <v>578</v>
      </c>
      <c r="E28" s="290" t="s">
        <v>160</v>
      </c>
    </row>
    <row r="29" spans="1:5">
      <c r="A29" s="294">
        <v>1412000025</v>
      </c>
      <c r="B29" s="292" t="s">
        <v>426</v>
      </c>
      <c r="C29" s="291" t="s">
        <v>633</v>
      </c>
      <c r="D29" s="290" t="s">
        <v>578</v>
      </c>
      <c r="E29" s="290" t="s">
        <v>160</v>
      </c>
    </row>
    <row r="30" spans="1:5">
      <c r="A30" s="294">
        <v>1412000026</v>
      </c>
      <c r="B30" s="292" t="s">
        <v>431</v>
      </c>
      <c r="C30" s="291" t="s">
        <v>634</v>
      </c>
      <c r="D30" s="290" t="s">
        <v>578</v>
      </c>
      <c r="E30" s="290" t="s">
        <v>160</v>
      </c>
    </row>
    <row r="31" spans="1:5">
      <c r="A31" s="294">
        <v>1412000028</v>
      </c>
      <c r="B31" s="292" t="s">
        <v>427</v>
      </c>
      <c r="C31" s="291" t="s">
        <v>635</v>
      </c>
      <c r="D31" s="290" t="s">
        <v>578</v>
      </c>
      <c r="E31" s="290" t="s">
        <v>160</v>
      </c>
    </row>
    <row r="32" spans="1:5">
      <c r="A32" s="294">
        <v>1412000029</v>
      </c>
      <c r="B32" s="292" t="s">
        <v>436</v>
      </c>
      <c r="C32" s="291" t="s">
        <v>636</v>
      </c>
      <c r="D32" s="290" t="s">
        <v>578</v>
      </c>
      <c r="E32" s="290" t="s">
        <v>160</v>
      </c>
    </row>
    <row r="33" spans="1:5">
      <c r="A33" s="294">
        <v>1412000030</v>
      </c>
      <c r="B33" s="292" t="s">
        <v>438</v>
      </c>
      <c r="C33" s="291" t="s">
        <v>637</v>
      </c>
      <c r="D33" s="290" t="s">
        <v>578</v>
      </c>
      <c r="E33" s="290" t="s">
        <v>161</v>
      </c>
    </row>
    <row r="34" spans="1:5">
      <c r="A34" s="294">
        <v>1412000086</v>
      </c>
      <c r="B34" s="292" t="s">
        <v>429</v>
      </c>
      <c r="C34" s="291" t="s">
        <v>638</v>
      </c>
      <c r="D34" s="290" t="s">
        <v>578</v>
      </c>
      <c r="E34" s="290" t="s">
        <v>160</v>
      </c>
    </row>
    <row r="35" spans="1:5">
      <c r="A35" s="294">
        <v>1412000063</v>
      </c>
      <c r="B35" s="292" t="s">
        <v>678</v>
      </c>
      <c r="C35" s="291" t="s">
        <v>601</v>
      </c>
      <c r="D35" s="290" t="s">
        <v>444</v>
      </c>
      <c r="E35" s="290" t="s">
        <v>159</v>
      </c>
    </row>
    <row r="36" spans="1:5">
      <c r="A36" s="294">
        <v>1412000066</v>
      </c>
      <c r="B36" s="292" t="s">
        <v>420</v>
      </c>
      <c r="C36" s="291" t="s">
        <v>594</v>
      </c>
      <c r="D36" s="290" t="s">
        <v>159</v>
      </c>
      <c r="E36" s="290" t="s">
        <v>159</v>
      </c>
    </row>
    <row r="37" spans="1:5">
      <c r="A37" s="294">
        <v>1412000035</v>
      </c>
      <c r="B37" s="292" t="s">
        <v>679</v>
      </c>
      <c r="C37" s="291" t="s">
        <v>609</v>
      </c>
      <c r="D37" s="290" t="s">
        <v>444</v>
      </c>
      <c r="E37" s="290" t="s">
        <v>159</v>
      </c>
    </row>
    <row r="38" spans="1:5">
      <c r="A38" s="294">
        <v>1412000016</v>
      </c>
      <c r="B38" s="292" t="s">
        <v>584</v>
      </c>
      <c r="C38" s="291" t="s">
        <v>616</v>
      </c>
      <c r="D38" s="290" t="s">
        <v>576</v>
      </c>
      <c r="E38" s="290" t="s">
        <v>159</v>
      </c>
    </row>
    <row r="39" spans="1:5">
      <c r="A39" s="294">
        <v>1412000069</v>
      </c>
      <c r="B39" s="292" t="s">
        <v>585</v>
      </c>
      <c r="C39" s="291" t="s">
        <v>617</v>
      </c>
      <c r="D39" s="290" t="s">
        <v>576</v>
      </c>
      <c r="E39" s="290" t="s">
        <v>159</v>
      </c>
    </row>
    <row r="40" spans="1:5">
      <c r="A40" s="294">
        <v>1412000070</v>
      </c>
      <c r="B40" s="292" t="s">
        <v>588</v>
      </c>
      <c r="C40" s="291" t="s">
        <v>630</v>
      </c>
      <c r="D40" s="290" t="s">
        <v>577</v>
      </c>
      <c r="E40" s="290" t="s">
        <v>159</v>
      </c>
    </row>
    <row r="41" spans="1:5">
      <c r="A41" s="294">
        <v>1412000072</v>
      </c>
      <c r="B41" s="292" t="s">
        <v>644</v>
      </c>
      <c r="C41" s="291" t="s">
        <v>611</v>
      </c>
      <c r="D41" s="290" t="s">
        <v>444</v>
      </c>
      <c r="E41" s="290" t="s">
        <v>161</v>
      </c>
    </row>
    <row r="42" spans="1:5">
      <c r="A42" s="294">
        <v>1412000073</v>
      </c>
      <c r="B42" s="292" t="s">
        <v>586</v>
      </c>
      <c r="C42" s="291" t="s">
        <v>612</v>
      </c>
      <c r="D42" s="290" t="s">
        <v>444</v>
      </c>
      <c r="E42" s="290" t="s">
        <v>159</v>
      </c>
    </row>
    <row r="43" spans="1:5">
      <c r="A43" s="293">
        <v>1412000104</v>
      </c>
      <c r="B43" s="292" t="s">
        <v>583</v>
      </c>
      <c r="C43" s="291" t="s">
        <v>597</v>
      </c>
      <c r="D43" s="290" t="s">
        <v>444</v>
      </c>
      <c r="E43" s="290" t="s">
        <v>159</v>
      </c>
    </row>
    <row r="44" spans="1:5">
      <c r="A44" s="293">
        <v>1412000057</v>
      </c>
      <c r="B44" s="292" t="s">
        <v>622</v>
      </c>
      <c r="C44" s="291" t="s">
        <v>623</v>
      </c>
      <c r="D44" s="290" t="s">
        <v>159</v>
      </c>
      <c r="E44" s="290" t="s">
        <v>159</v>
      </c>
    </row>
    <row r="45" spans="1:5">
      <c r="A45" s="294">
        <v>1412000078</v>
      </c>
      <c r="B45" s="292" t="s">
        <v>658</v>
      </c>
      <c r="C45" s="291" t="s">
        <v>624</v>
      </c>
      <c r="D45" s="290" t="s">
        <v>159</v>
      </c>
      <c r="E45" s="290" t="s">
        <v>159</v>
      </c>
    </row>
    <row r="46" spans="1:5">
      <c r="A46" s="293" t="s">
        <v>680</v>
      </c>
      <c r="B46" s="292" t="s">
        <v>681</v>
      </c>
      <c r="C46" s="291" t="s">
        <v>682</v>
      </c>
      <c r="E46" s="290" t="s">
        <v>160</v>
      </c>
    </row>
    <row r="47" spans="1:5">
      <c r="A47" s="293">
        <v>1412000081</v>
      </c>
      <c r="B47" s="292" t="s">
        <v>683</v>
      </c>
      <c r="C47" s="291" t="s">
        <v>639</v>
      </c>
      <c r="D47" s="290" t="s">
        <v>159</v>
      </c>
      <c r="E47" s="290" t="s">
        <v>159</v>
      </c>
    </row>
    <row r="48" spans="1:5">
      <c r="A48" s="293">
        <v>1412000083</v>
      </c>
      <c r="B48" s="290" t="s">
        <v>645</v>
      </c>
      <c r="C48" s="291" t="s">
        <v>647</v>
      </c>
      <c r="D48" s="290" t="s">
        <v>159</v>
      </c>
      <c r="E48" s="290" t="s">
        <v>159</v>
      </c>
    </row>
    <row r="49" spans="1:5">
      <c r="A49" s="293">
        <v>1412000084</v>
      </c>
      <c r="B49" s="292" t="s">
        <v>646</v>
      </c>
      <c r="C49" s="291" t="s">
        <v>651</v>
      </c>
      <c r="D49" s="290" t="s">
        <v>576</v>
      </c>
      <c r="E49" s="290" t="s">
        <v>159</v>
      </c>
    </row>
    <row r="50" spans="1:5">
      <c r="A50" s="293">
        <v>1412000087</v>
      </c>
      <c r="B50" s="290" t="s">
        <v>648</v>
      </c>
      <c r="C50" s="291" t="s">
        <v>652</v>
      </c>
      <c r="D50" s="290" t="s">
        <v>444</v>
      </c>
      <c r="E50" s="290" t="s">
        <v>159</v>
      </c>
    </row>
    <row r="51" spans="1:5">
      <c r="A51" s="293">
        <v>1412000088</v>
      </c>
      <c r="B51" s="290" t="s">
        <v>649</v>
      </c>
      <c r="C51" s="291" t="s">
        <v>653</v>
      </c>
      <c r="D51" s="290" t="s">
        <v>444</v>
      </c>
      <c r="E51" s="290" t="s">
        <v>159</v>
      </c>
    </row>
    <row r="52" spans="1:5">
      <c r="A52" s="293">
        <v>1412000089</v>
      </c>
      <c r="B52" s="290" t="s">
        <v>650</v>
      </c>
      <c r="C52" s="295" t="s">
        <v>654</v>
      </c>
      <c r="D52" s="290" t="s">
        <v>576</v>
      </c>
      <c r="E52" s="290" t="s">
        <v>159</v>
      </c>
    </row>
    <row r="53" spans="1:5">
      <c r="A53" s="293">
        <v>1412000091</v>
      </c>
      <c r="B53" s="290" t="s">
        <v>655</v>
      </c>
      <c r="C53" s="295" t="s">
        <v>684</v>
      </c>
      <c r="D53" s="290" t="s">
        <v>578</v>
      </c>
      <c r="E53" s="290" t="s">
        <v>160</v>
      </c>
    </row>
    <row r="54" spans="1:5">
      <c r="A54" s="293">
        <v>1412000092</v>
      </c>
      <c r="B54" s="290" t="s">
        <v>656</v>
      </c>
      <c r="C54" s="295" t="s">
        <v>685</v>
      </c>
      <c r="D54" s="290" t="s">
        <v>444</v>
      </c>
      <c r="E54" s="290" t="s">
        <v>159</v>
      </c>
    </row>
    <row r="55" spans="1:5">
      <c r="A55" s="293">
        <v>1412000093</v>
      </c>
      <c r="B55" s="290" t="s">
        <v>659</v>
      </c>
      <c r="C55" s="295" t="s">
        <v>686</v>
      </c>
      <c r="D55" s="290" t="s">
        <v>578</v>
      </c>
      <c r="E55" s="290" t="s">
        <v>160</v>
      </c>
    </row>
    <row r="56" spans="1:5">
      <c r="A56" s="293">
        <v>1412000094</v>
      </c>
      <c r="B56" s="292" t="s">
        <v>687</v>
      </c>
      <c r="C56" s="295" t="s">
        <v>688</v>
      </c>
      <c r="D56" s="290" t="s">
        <v>444</v>
      </c>
      <c r="E56" s="290" t="s">
        <v>159</v>
      </c>
    </row>
    <row r="57" spans="1:5">
      <c r="A57" s="293">
        <v>1412000098</v>
      </c>
      <c r="B57" s="290" t="s">
        <v>664</v>
      </c>
      <c r="C57" s="295" t="s">
        <v>689</v>
      </c>
      <c r="D57" s="290" t="s">
        <v>159</v>
      </c>
      <c r="E57" s="290" t="s">
        <v>159</v>
      </c>
    </row>
    <row r="58" spans="1:5">
      <c r="A58" s="293">
        <v>1412000096</v>
      </c>
      <c r="B58" s="290" t="s">
        <v>660</v>
      </c>
      <c r="C58" s="295" t="s">
        <v>690</v>
      </c>
      <c r="D58" s="290" t="s">
        <v>159</v>
      </c>
      <c r="E58" s="290" t="s">
        <v>159</v>
      </c>
    </row>
    <row r="59" spans="1:5">
      <c r="A59" s="293">
        <v>1412000099</v>
      </c>
      <c r="B59" s="290" t="s">
        <v>665</v>
      </c>
      <c r="C59" s="291" t="s">
        <v>691</v>
      </c>
      <c r="D59" s="290" t="s">
        <v>159</v>
      </c>
      <c r="E59" s="290" t="s">
        <v>159</v>
      </c>
    </row>
    <row r="60" spans="1:5">
      <c r="A60" s="293">
        <v>1412000100</v>
      </c>
      <c r="B60" s="290" t="s">
        <v>692</v>
      </c>
      <c r="C60" s="291" t="s">
        <v>693</v>
      </c>
      <c r="D60" s="290" t="s">
        <v>159</v>
      </c>
      <c r="E60" s="290" t="s">
        <v>159</v>
      </c>
    </row>
    <row r="61" spans="1:5">
      <c r="A61" s="293">
        <v>1412000101</v>
      </c>
      <c r="B61" s="290" t="s">
        <v>694</v>
      </c>
      <c r="C61" s="291" t="s">
        <v>695</v>
      </c>
      <c r="D61" s="290" t="s">
        <v>159</v>
      </c>
      <c r="E61" s="290" t="s">
        <v>159</v>
      </c>
    </row>
    <row r="62" spans="1:5">
      <c r="A62" s="293">
        <v>1412000105</v>
      </c>
      <c r="B62" s="290" t="s">
        <v>696</v>
      </c>
      <c r="C62" s="291" t="s">
        <v>697</v>
      </c>
      <c r="D62" s="290" t="s">
        <v>444</v>
      </c>
      <c r="E62" s="290" t="s">
        <v>159</v>
      </c>
    </row>
    <row r="63" spans="1:5">
      <c r="A63" s="293">
        <v>1412000075</v>
      </c>
      <c r="B63" s="290" t="s">
        <v>698</v>
      </c>
      <c r="C63" s="291" t="s">
        <v>699</v>
      </c>
      <c r="D63" s="290" t="s">
        <v>444</v>
      </c>
      <c r="E63" s="290" t="s">
        <v>159</v>
      </c>
    </row>
    <row r="64" spans="1:5">
      <c r="A64" s="293">
        <v>1412000103</v>
      </c>
      <c r="B64" s="290" t="s">
        <v>700</v>
      </c>
      <c r="C64" s="291" t="s">
        <v>701</v>
      </c>
      <c r="D64" s="290" t="s">
        <v>444</v>
      </c>
      <c r="E64" s="290" t="s">
        <v>159</v>
      </c>
    </row>
  </sheetData>
  <autoFilter ref="A1:K479" xr:uid="{1DA7C6E0-4759-4770-ABF5-A52798DF6275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A8BB-A141-4269-BDD2-43047BA5725E}">
  <sheetPr codeName="Sheet7"/>
  <dimension ref="A2:B14"/>
  <sheetViews>
    <sheetView workbookViewId="0">
      <selection activeCell="C14" sqref="C14:C15"/>
    </sheetView>
  </sheetViews>
  <sheetFormatPr defaultRowHeight="13"/>
  <cols>
    <col min="2" max="2" width="9" style="248" customWidth="1"/>
  </cols>
  <sheetData>
    <row r="2" spans="1:2">
      <c r="A2" s="123" t="s">
        <v>673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22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19</v>
      </c>
    </row>
    <row r="8" spans="1:2" ht="14.5">
      <c r="A8" s="92">
        <v>9</v>
      </c>
      <c r="B8" s="249">
        <v>20</v>
      </c>
    </row>
    <row r="9" spans="1:2" ht="14.5">
      <c r="A9" s="92">
        <v>10</v>
      </c>
      <c r="B9" s="249">
        <v>22</v>
      </c>
    </row>
    <row r="10" spans="1:2" ht="14.5">
      <c r="A10" s="92">
        <v>11</v>
      </c>
      <c r="B10" s="249">
        <v>21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12</v>
      </c>
    </row>
    <row r="14" spans="1:2" ht="14.5">
      <c r="A14" s="92">
        <v>3</v>
      </c>
      <c r="B14" s="249">
        <v>22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Phương Anh(Nguyen Thi Phuong Anh)</cp:lastModifiedBy>
  <cp:lastPrinted>2017-10-06T02:39:42Z</cp:lastPrinted>
  <dcterms:created xsi:type="dcterms:W3CDTF">2002-04-10T08:05:47Z</dcterms:created>
  <dcterms:modified xsi:type="dcterms:W3CDTF">2026-04-22T07:26:08Z</dcterms:modified>
</cp:coreProperties>
</file>