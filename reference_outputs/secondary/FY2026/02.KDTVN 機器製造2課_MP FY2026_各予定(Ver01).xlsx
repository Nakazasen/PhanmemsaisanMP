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"/>
    </mc:Choice>
  </mc:AlternateContent>
  <xr:revisionPtr revIDLastSave="0" documentId="13_ncr:1_{341C1629-CE13-4B82-A4F9-09751F9B4522}" xr6:coauthVersionLast="47" xr6:coauthVersionMax="47" xr10:uidLastSave="{00000000-0000-0000-0000-000000000000}"/>
  <bookViews>
    <workbookView xWindow="-110" yWindow="-110" windowWidth="19420" windowHeight="10300" tabRatio="702" activeTab="2" xr2:uid="{3C72CFD2-8C19-4ECA-8F38-97C2CF5D0EF4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'内訳ﾘｽﾄ(4～3月)'!$A$7:$T$801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0" l="1"/>
  <c r="J26" i="10"/>
  <c r="O27" i="10"/>
  <c r="K27" i="10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N27" i="10"/>
  <c r="M27" i="10"/>
  <c r="L27" i="10"/>
  <c r="J27" i="10"/>
  <c r="I27" i="10"/>
  <c r="H27" i="10"/>
  <c r="G27" i="10"/>
  <c r="Q26" i="10"/>
  <c r="P26" i="10"/>
  <c r="N26" i="10"/>
  <c r="M26" i="10"/>
  <c r="L26" i="10"/>
  <c r="K26" i="10"/>
  <c r="I26" i="10"/>
  <c r="H26" i="10"/>
  <c r="G26" i="10"/>
  <c r="F28" i="10"/>
  <c r="F27" i="10"/>
  <c r="F2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P106" i="10" l="1"/>
  <c r="R70" i="10" l="1"/>
  <c r="F115" i="10" l="1"/>
  <c r="H99" i="10" l="1"/>
  <c r="G99" i="10"/>
  <c r="H113" i="10"/>
  <c r="M109" i="10" l="1"/>
  <c r="N108" i="10"/>
  <c r="M107" i="10"/>
  <c r="L105" i="10"/>
  <c r="L104" i="10"/>
  <c r="K103" i="10"/>
  <c r="L102" i="10"/>
  <c r="J101" i="10"/>
  <c r="P101" i="10"/>
  <c r="I100" i="10"/>
  <c r="P98" i="10"/>
  <c r="Q97" i="10"/>
  <c r="G54" i="10" l="1"/>
  <c r="H54" i="10"/>
  <c r="I54" i="10"/>
  <c r="J54" i="10"/>
  <c r="K54" i="10"/>
  <c r="L54" i="10"/>
  <c r="M54" i="10"/>
  <c r="N54" i="10"/>
  <c r="O54" i="10"/>
  <c r="P54" i="10"/>
  <c r="Q54" i="10"/>
  <c r="F54" i="10"/>
  <c r="H47" i="10"/>
  <c r="I47" i="10"/>
  <c r="J47" i="10"/>
  <c r="K47" i="10"/>
  <c r="L47" i="10"/>
  <c r="M47" i="10"/>
  <c r="N47" i="10"/>
  <c r="O47" i="10"/>
  <c r="P47" i="10"/>
  <c r="Q47" i="10"/>
  <c r="G47" i="10"/>
  <c r="F47" i="10"/>
  <c r="D70" i="10" l="1"/>
  <c r="C70" i="10"/>
  <c r="R129" i="10" l="1"/>
  <c r="M118" i="10" l="1"/>
  <c r="L118" i="10"/>
  <c r="P118" i="10"/>
  <c r="O118" i="10"/>
  <c r="P122" i="10"/>
  <c r="P121" i="10"/>
  <c r="P120" i="10"/>
  <c r="P119" i="10"/>
  <c r="O122" i="10"/>
  <c r="O121" i="10"/>
  <c r="O120" i="10"/>
  <c r="O119" i="10"/>
  <c r="M122" i="10"/>
  <c r="M121" i="10"/>
  <c r="M120" i="10"/>
  <c r="M119" i="10"/>
  <c r="Q117" i="10"/>
  <c r="P117" i="10"/>
  <c r="N117" i="10"/>
  <c r="M117" i="10"/>
  <c r="L122" i="10"/>
  <c r="L121" i="10"/>
  <c r="L120" i="10"/>
  <c r="L119" i="10"/>
  <c r="P143" i="10" l="1"/>
  <c r="J143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129" i="10" s="1"/>
  <c r="D129" i="10" s="1"/>
  <c r="C990" i="10"/>
  <c r="D990" i="10" s="1"/>
  <c r="D5" i="10"/>
  <c r="H2" i="36"/>
  <c r="G2" i="36"/>
  <c r="F2" i="36"/>
  <c r="C744" i="10" s="1"/>
  <c r="D744" i="10" s="1"/>
  <c r="N98" i="5"/>
  <c r="M98" i="5"/>
  <c r="M98" i="32"/>
  <c r="L98" i="5"/>
  <c r="K98" i="5"/>
  <c r="J98" i="5"/>
  <c r="J98" i="32" s="1"/>
  <c r="I98" i="5"/>
  <c r="I98" i="32" s="1"/>
  <c r="H98" i="5"/>
  <c r="G98" i="5"/>
  <c r="F98" i="5"/>
  <c r="E98" i="5"/>
  <c r="D98" i="5"/>
  <c r="C98" i="5"/>
  <c r="C98" i="32" s="1"/>
  <c r="N97" i="5"/>
  <c r="N99" i="5" s="1"/>
  <c r="M97" i="5"/>
  <c r="M97" i="32" s="1"/>
  <c r="L97" i="5"/>
  <c r="L97" i="32" s="1"/>
  <c r="K97" i="5"/>
  <c r="J97" i="5"/>
  <c r="I97" i="5"/>
  <c r="I97" i="32" s="1"/>
  <c r="I99" i="32" s="1"/>
  <c r="H97" i="5"/>
  <c r="H97" i="32" s="1"/>
  <c r="G97" i="5"/>
  <c r="F97" i="5"/>
  <c r="F97" i="32" s="1"/>
  <c r="E97" i="5"/>
  <c r="E97" i="32" s="1"/>
  <c r="D97" i="5"/>
  <c r="D99" i="5" s="1"/>
  <c r="C97" i="5"/>
  <c r="N93" i="5"/>
  <c r="N93" i="32" s="1"/>
  <c r="M93" i="5"/>
  <c r="M93" i="32" s="1"/>
  <c r="L93" i="5"/>
  <c r="L93" i="32" s="1"/>
  <c r="K93" i="5"/>
  <c r="K93" i="32" s="1"/>
  <c r="J93" i="5"/>
  <c r="I93" i="5"/>
  <c r="I93" i="32" s="1"/>
  <c r="H93" i="5"/>
  <c r="G93" i="5"/>
  <c r="F93" i="5"/>
  <c r="E93" i="5"/>
  <c r="E93" i="32" s="1"/>
  <c r="D93" i="5"/>
  <c r="D93" i="32" s="1"/>
  <c r="C93" i="5"/>
  <c r="C93" i="32" s="1"/>
  <c r="N92" i="5"/>
  <c r="M92" i="5"/>
  <c r="M92" i="32" s="1"/>
  <c r="L92" i="5"/>
  <c r="L92" i="32" s="1"/>
  <c r="K92" i="5"/>
  <c r="J92" i="5"/>
  <c r="I92" i="5"/>
  <c r="H92" i="5"/>
  <c r="H94" i="5" s="1"/>
  <c r="G92" i="5"/>
  <c r="G92" i="32" s="1"/>
  <c r="F92" i="5"/>
  <c r="E92" i="5"/>
  <c r="D92" i="5"/>
  <c r="C92" i="5"/>
  <c r="N88" i="5"/>
  <c r="N88" i="32" s="1"/>
  <c r="M88" i="5"/>
  <c r="M88" i="32"/>
  <c r="L88" i="5"/>
  <c r="K88" i="5"/>
  <c r="K88" i="32" s="1"/>
  <c r="J88" i="5"/>
  <c r="I88" i="5"/>
  <c r="H88" i="5"/>
  <c r="G88" i="5"/>
  <c r="F88" i="5"/>
  <c r="F88" i="32"/>
  <c r="E88" i="5"/>
  <c r="D88" i="5"/>
  <c r="C88" i="5"/>
  <c r="C88" i="32"/>
  <c r="N87" i="5"/>
  <c r="N89" i="5" s="1"/>
  <c r="M87" i="5"/>
  <c r="L87" i="5"/>
  <c r="K87" i="5"/>
  <c r="J87" i="5"/>
  <c r="I87" i="5"/>
  <c r="H87" i="5"/>
  <c r="H89" i="5"/>
  <c r="G87" i="5"/>
  <c r="F87" i="5"/>
  <c r="E87" i="5"/>
  <c r="E87" i="32" s="1"/>
  <c r="D87" i="5"/>
  <c r="D89" i="5" s="1"/>
  <c r="C87" i="5"/>
  <c r="N74" i="5"/>
  <c r="N74" i="32" s="1"/>
  <c r="M74" i="5"/>
  <c r="M74" i="32" s="1"/>
  <c r="L74" i="5"/>
  <c r="K74" i="5"/>
  <c r="K74" i="32" s="1"/>
  <c r="J74" i="5"/>
  <c r="I74" i="5"/>
  <c r="I74" i="32" s="1"/>
  <c r="H74" i="5"/>
  <c r="H74" i="32" s="1"/>
  <c r="G74" i="5"/>
  <c r="F74" i="5"/>
  <c r="E74" i="5"/>
  <c r="D74" i="5"/>
  <c r="D74" i="32" s="1"/>
  <c r="C74" i="5"/>
  <c r="N68" i="5"/>
  <c r="M68" i="5"/>
  <c r="L68" i="5"/>
  <c r="L68" i="32"/>
  <c r="K68" i="5"/>
  <c r="K68" i="32" s="1"/>
  <c r="J68" i="5"/>
  <c r="I68" i="5"/>
  <c r="H68" i="5"/>
  <c r="H68" i="32" s="1"/>
  <c r="H73" i="32" s="1"/>
  <c r="G68" i="5"/>
  <c r="G68" i="32" s="1"/>
  <c r="F68" i="5"/>
  <c r="E68" i="5"/>
  <c r="D68" i="5"/>
  <c r="D68" i="32" s="1"/>
  <c r="C68" i="5"/>
  <c r="C68" i="32" s="1"/>
  <c r="N94" i="5"/>
  <c r="M94" i="5"/>
  <c r="F89" i="5"/>
  <c r="R801" i="10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AG33" i="10"/>
  <c r="AF33" i="10"/>
  <c r="AE33" i="10"/>
  <c r="AD33" i="10"/>
  <c r="AC33" i="10"/>
  <c r="AB33" i="10"/>
  <c r="AA33" i="10"/>
  <c r="Z33" i="10"/>
  <c r="Y33" i="10"/>
  <c r="X33" i="10"/>
  <c r="W33" i="10"/>
  <c r="AG32" i="10"/>
  <c r="AF32" i="10"/>
  <c r="AE32" i="10"/>
  <c r="AD32" i="10"/>
  <c r="AC32" i="10"/>
  <c r="AB32" i="10"/>
  <c r="AA32" i="10"/>
  <c r="Z32" i="10"/>
  <c r="Y32" i="10"/>
  <c r="X32" i="10"/>
  <c r="W32" i="10"/>
  <c r="AG31" i="10"/>
  <c r="AF31" i="10"/>
  <c r="AE31" i="10"/>
  <c r="AD31" i="10"/>
  <c r="AC31" i="10"/>
  <c r="AB31" i="10"/>
  <c r="AA31" i="10"/>
  <c r="Z31" i="10"/>
  <c r="Y31" i="10"/>
  <c r="X31" i="10"/>
  <c r="W31" i="10"/>
  <c r="R36" i="10"/>
  <c r="F29" i="10"/>
  <c r="F5" i="10" s="1"/>
  <c r="V33" i="10"/>
  <c r="V32" i="10"/>
  <c r="V31" i="10"/>
  <c r="C1" i="5"/>
  <c r="C1" i="32" s="1"/>
  <c r="R38" i="10"/>
  <c r="R37" i="10"/>
  <c r="R35" i="10"/>
  <c r="R25" i="10"/>
  <c r="O88" i="5"/>
  <c r="R24" i="10"/>
  <c r="O87" i="5"/>
  <c r="O89" i="5" s="1"/>
  <c r="R23" i="10"/>
  <c r="R22" i="10"/>
  <c r="O77" i="5" s="1"/>
  <c r="R21" i="10"/>
  <c r="R20" i="10"/>
  <c r="R19" i="10"/>
  <c r="R18" i="10"/>
  <c r="R17" i="10"/>
  <c r="R16" i="10"/>
  <c r="O97" i="5" s="1"/>
  <c r="O74" i="5"/>
  <c r="R15" i="10"/>
  <c r="R14" i="10"/>
  <c r="R13" i="10"/>
  <c r="R12" i="10"/>
  <c r="O69" i="5" s="1"/>
  <c r="R11" i="10"/>
  <c r="R10" i="10"/>
  <c r="R9" i="10"/>
  <c r="O93" i="5"/>
  <c r="R8" i="10"/>
  <c r="N68" i="32"/>
  <c r="J68" i="32"/>
  <c r="F68" i="32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/>
  <c r="D87" i="32"/>
  <c r="H87" i="32"/>
  <c r="L87" i="32"/>
  <c r="N87" i="32"/>
  <c r="D88" i="32"/>
  <c r="H88" i="32"/>
  <c r="J88" i="32"/>
  <c r="H93" i="32"/>
  <c r="D97" i="32"/>
  <c r="D4" i="32"/>
  <c r="E4" i="32"/>
  <c r="F4" i="32"/>
  <c r="G4" i="32"/>
  <c r="H4" i="32"/>
  <c r="I4" i="32"/>
  <c r="J4" i="32"/>
  <c r="K4" i="32"/>
  <c r="L4" i="32"/>
  <c r="M4" i="32"/>
  <c r="N4" i="32"/>
  <c r="O4" i="32"/>
  <c r="F92" i="32"/>
  <c r="N97" i="32"/>
  <c r="L88" i="32"/>
  <c r="L89" i="32" s="1"/>
  <c r="F87" i="32"/>
  <c r="F89" i="32"/>
  <c r="N92" i="32"/>
  <c r="N94" i="32" s="1"/>
  <c r="H98" i="32"/>
  <c r="H99" i="32" s="1"/>
  <c r="D98" i="32"/>
  <c r="L74" i="32"/>
  <c r="O92" i="5"/>
  <c r="E68" i="32"/>
  <c r="I68" i="32"/>
  <c r="M68" i="32"/>
  <c r="C74" i="32"/>
  <c r="E74" i="32"/>
  <c r="G74" i="32"/>
  <c r="J74" i="32"/>
  <c r="C87" i="32"/>
  <c r="C89" i="5"/>
  <c r="G87" i="32"/>
  <c r="E92" i="32"/>
  <c r="E94" i="5"/>
  <c r="K98" i="32"/>
  <c r="N98" i="32"/>
  <c r="N99" i="32" s="1"/>
  <c r="F74" i="32"/>
  <c r="I87" i="32"/>
  <c r="M87" i="32"/>
  <c r="M89" i="32"/>
  <c r="M89" i="5"/>
  <c r="C92" i="32"/>
  <c r="G93" i="32"/>
  <c r="G94" i="5"/>
  <c r="G98" i="32"/>
  <c r="L94" i="5"/>
  <c r="L89" i="5"/>
  <c r="J92" i="32"/>
  <c r="H89" i="32"/>
  <c r="C603" i="10"/>
  <c r="D603" i="10" s="1"/>
  <c r="K69" i="5"/>
  <c r="L70" i="5"/>
  <c r="L70" i="32" s="1"/>
  <c r="C70" i="5"/>
  <c r="C70" i="32" s="1"/>
  <c r="C971" i="10"/>
  <c r="D971" i="10" s="1"/>
  <c r="C513" i="10"/>
  <c r="D513" i="10" s="1"/>
  <c r="C766" i="10"/>
  <c r="D766" i="10" s="1"/>
  <c r="C189" i="10"/>
  <c r="D189" i="10" s="1"/>
  <c r="K70" i="5"/>
  <c r="K70" i="32" s="1"/>
  <c r="C504" i="10"/>
  <c r="D504" i="10" s="1"/>
  <c r="C596" i="10"/>
  <c r="D596" i="10" s="1"/>
  <c r="O72" i="5"/>
  <c r="K72" i="5"/>
  <c r="K72" i="32" s="1"/>
  <c r="N76" i="5"/>
  <c r="N76" i="32" s="1"/>
  <c r="N72" i="5"/>
  <c r="N72" i="32" s="1"/>
  <c r="I76" i="5"/>
  <c r="I76" i="32" s="1"/>
  <c r="H78" i="5"/>
  <c r="H78" i="32" s="1"/>
  <c r="M72" i="5"/>
  <c r="M72" i="32" s="1"/>
  <c r="K77" i="5"/>
  <c r="K77" i="32" s="1"/>
  <c r="H75" i="5"/>
  <c r="F71" i="5"/>
  <c r="F71" i="32" s="1"/>
  <c r="L76" i="5"/>
  <c r="L76" i="32"/>
  <c r="M78" i="5"/>
  <c r="M78" i="32" s="1"/>
  <c r="F77" i="5"/>
  <c r="F77" i="32" s="1"/>
  <c r="I75" i="5"/>
  <c r="F70" i="5"/>
  <c r="F70" i="32" s="1"/>
  <c r="I71" i="5"/>
  <c r="I71" i="32" s="1"/>
  <c r="J75" i="5"/>
  <c r="N78" i="5"/>
  <c r="N78" i="32" s="1"/>
  <c r="L78" i="5"/>
  <c r="L78" i="32" s="1"/>
  <c r="J71" i="5"/>
  <c r="J71" i="32" s="1"/>
  <c r="J70" i="5"/>
  <c r="J70" i="32" s="1"/>
  <c r="M76" i="5"/>
  <c r="M76" i="32" s="1"/>
  <c r="M77" i="5"/>
  <c r="M77" i="32" s="1"/>
  <c r="E72" i="5"/>
  <c r="E72" i="32" s="1"/>
  <c r="E77" i="5"/>
  <c r="E77" i="32" s="1"/>
  <c r="G72" i="5"/>
  <c r="G72" i="32" s="1"/>
  <c r="L72" i="5"/>
  <c r="E71" i="5"/>
  <c r="E71" i="32" s="1"/>
  <c r="L77" i="5"/>
  <c r="L77" i="32" s="1"/>
  <c r="H70" i="5"/>
  <c r="H70" i="32" s="1"/>
  <c r="H76" i="5"/>
  <c r="G75" i="5"/>
  <c r="G75" i="32" s="1"/>
  <c r="I69" i="5"/>
  <c r="I69" i="32" s="1"/>
  <c r="C71" i="5"/>
  <c r="C71" i="32" s="1"/>
  <c r="F75" i="5"/>
  <c r="O71" i="5"/>
  <c r="I77" i="5"/>
  <c r="I77" i="32" s="1"/>
  <c r="D70" i="5"/>
  <c r="D70" i="32" s="1"/>
  <c r="N77" i="5"/>
  <c r="E69" i="5"/>
  <c r="E69" i="32" s="1"/>
  <c r="F69" i="5"/>
  <c r="F73" i="5" s="1"/>
  <c r="N71" i="5"/>
  <c r="N71" i="32" s="1"/>
  <c r="N70" i="5"/>
  <c r="N70" i="32" s="1"/>
  <c r="M69" i="5"/>
  <c r="K76" i="5"/>
  <c r="K76" i="32" s="1"/>
  <c r="D78" i="5"/>
  <c r="C72" i="5"/>
  <c r="C72" i="32" s="1"/>
  <c r="F72" i="5"/>
  <c r="F72" i="32" s="1"/>
  <c r="L69" i="5"/>
  <c r="L69" i="32" s="1"/>
  <c r="J69" i="5"/>
  <c r="I70" i="5"/>
  <c r="I70" i="32" s="1"/>
  <c r="I72" i="5"/>
  <c r="D72" i="5"/>
  <c r="D72" i="32" s="1"/>
  <c r="L71" i="5"/>
  <c r="L71" i="32" s="1"/>
  <c r="E70" i="5"/>
  <c r="E70" i="32" s="1"/>
  <c r="O75" i="5"/>
  <c r="C78" i="5"/>
  <c r="C78" i="32" s="1"/>
  <c r="N75" i="5"/>
  <c r="N75" i="32" s="1"/>
  <c r="G76" i="5"/>
  <c r="H72" i="5"/>
  <c r="H72" i="32" s="1"/>
  <c r="L75" i="5"/>
  <c r="C75" i="5"/>
  <c r="H71" i="5"/>
  <c r="H71" i="32" s="1"/>
  <c r="D76" i="5"/>
  <c r="D76" i="32" s="1"/>
  <c r="I78" i="5"/>
  <c r="I78" i="32"/>
  <c r="K71" i="5"/>
  <c r="D75" i="5"/>
  <c r="D69" i="5"/>
  <c r="D69" i="32" s="1"/>
  <c r="G77" i="5"/>
  <c r="G77" i="32" s="1"/>
  <c r="O78" i="5"/>
  <c r="N69" i="5"/>
  <c r="J78" i="5"/>
  <c r="J78" i="32" s="1"/>
  <c r="G71" i="5"/>
  <c r="G71" i="32" s="1"/>
  <c r="M70" i="5"/>
  <c r="M70" i="32" s="1"/>
  <c r="J76" i="5"/>
  <c r="J76" i="32" s="1"/>
  <c r="G70" i="5"/>
  <c r="G70" i="32" s="1"/>
  <c r="K75" i="5"/>
  <c r="K75" i="32" s="1"/>
  <c r="E75" i="5"/>
  <c r="M71" i="5"/>
  <c r="D71" i="5"/>
  <c r="D71" i="32" s="1"/>
  <c r="E78" i="5"/>
  <c r="E78" i="32" s="1"/>
  <c r="J77" i="5"/>
  <c r="J77" i="32" s="1"/>
  <c r="G78" i="5"/>
  <c r="G78" i="32" s="1"/>
  <c r="G69" i="5"/>
  <c r="C76" i="5"/>
  <c r="C76" i="32" s="1"/>
  <c r="C77" i="5"/>
  <c r="C77" i="32" s="1"/>
  <c r="C69" i="5"/>
  <c r="C69" i="32" s="1"/>
  <c r="H77" i="5"/>
  <c r="H77" i="32"/>
  <c r="O70" i="5"/>
  <c r="F76" i="5"/>
  <c r="F76" i="32" s="1"/>
  <c r="E76" i="5"/>
  <c r="E76" i="32" s="1"/>
  <c r="K78" i="5"/>
  <c r="K78" i="32" s="1"/>
  <c r="J72" i="5"/>
  <c r="J72" i="32" s="1"/>
  <c r="M75" i="5"/>
  <c r="H69" i="5"/>
  <c r="H69" i="32" s="1"/>
  <c r="D77" i="5"/>
  <c r="D77" i="32" s="1"/>
  <c r="F78" i="5"/>
  <c r="F79" i="5" s="1"/>
  <c r="F78" i="32"/>
  <c r="O76" i="5"/>
  <c r="D1" i="21"/>
  <c r="B2" i="5"/>
  <c r="B2" i="32"/>
  <c r="C827" i="10"/>
  <c r="D827" i="10" s="1"/>
  <c r="C929" i="10"/>
  <c r="D929" i="10" s="1"/>
  <c r="C120" i="10"/>
  <c r="D120" i="10" s="1"/>
  <c r="C28" i="10"/>
  <c r="D28" i="10" s="1"/>
  <c r="C947" i="10"/>
  <c r="D947" i="10" s="1"/>
  <c r="C937" i="10"/>
  <c r="D937" i="10" s="1"/>
  <c r="C871" i="10"/>
  <c r="D871" i="10" s="1"/>
  <c r="C89" i="32"/>
  <c r="E94" i="32"/>
  <c r="L94" i="32"/>
  <c r="K69" i="32"/>
  <c r="D75" i="32"/>
  <c r="L75" i="32"/>
  <c r="L79" i="32" s="1"/>
  <c r="M69" i="32"/>
  <c r="J75" i="32"/>
  <c r="J69" i="32"/>
  <c r="H75" i="32"/>
  <c r="C75" i="32"/>
  <c r="F69" i="32"/>
  <c r="F75" i="32"/>
  <c r="H99" i="5" l="1"/>
  <c r="M99" i="5"/>
  <c r="L79" i="5"/>
  <c r="M94" i="32"/>
  <c r="C94" i="5"/>
  <c r="C73" i="5"/>
  <c r="J73" i="32"/>
  <c r="F67" i="5"/>
  <c r="H73" i="5"/>
  <c r="H92" i="32"/>
  <c r="R26" i="10"/>
  <c r="R29" i="10"/>
  <c r="R5" i="10" s="1"/>
  <c r="R27" i="10"/>
  <c r="R28" i="10"/>
  <c r="O98" i="5"/>
  <c r="O99" i="5" s="1"/>
  <c r="H79" i="5"/>
  <c r="H67" i="5" s="1"/>
  <c r="D99" i="32"/>
  <c r="I99" i="5"/>
  <c r="D73" i="5"/>
  <c r="G94" i="32"/>
  <c r="C94" i="32"/>
  <c r="D89" i="32"/>
  <c r="J73" i="5"/>
  <c r="O68" i="5"/>
  <c r="O73" i="5" s="1"/>
  <c r="C926" i="10"/>
  <c r="D926" i="10" s="1"/>
  <c r="C883" i="10"/>
  <c r="D883" i="10" s="1"/>
  <c r="C810" i="10"/>
  <c r="D810" i="10" s="1"/>
  <c r="C141" i="10"/>
  <c r="D141" i="10" s="1"/>
  <c r="C438" i="10"/>
  <c r="D438" i="10" s="1"/>
  <c r="C954" i="10"/>
  <c r="D954" i="10" s="1"/>
  <c r="C165" i="10"/>
  <c r="D165" i="10" s="1"/>
  <c r="C27" i="10"/>
  <c r="D27" i="10" s="1"/>
  <c r="C33" i="10"/>
  <c r="D33" i="10" s="1"/>
  <c r="J79" i="32"/>
  <c r="J67" i="32" s="1"/>
  <c r="D78" i="32"/>
  <c r="D79" i="32" s="1"/>
  <c r="D79" i="5"/>
  <c r="L73" i="5"/>
  <c r="L67" i="5" s="1"/>
  <c r="L72" i="32"/>
  <c r="C251" i="10"/>
  <c r="D251" i="10" s="1"/>
  <c r="C63" i="10"/>
  <c r="D63" i="10" s="1"/>
  <c r="C812" i="10"/>
  <c r="D812" i="10" s="1"/>
  <c r="C95" i="10"/>
  <c r="D95" i="10" s="1"/>
  <c r="C819" i="10"/>
  <c r="D819" i="10" s="1"/>
  <c r="C493" i="10"/>
  <c r="D493" i="10" s="1"/>
  <c r="C331" i="10"/>
  <c r="D331" i="10" s="1"/>
  <c r="G88" i="32"/>
  <c r="G89" i="32" s="1"/>
  <c r="G89" i="5"/>
  <c r="L99" i="5"/>
  <c r="L98" i="32"/>
  <c r="L99" i="32" s="1"/>
  <c r="C357" i="10"/>
  <c r="D357" i="10" s="1"/>
  <c r="C902" i="10"/>
  <c r="D902" i="10" s="1"/>
  <c r="C293" i="10"/>
  <c r="D293" i="10" s="1"/>
  <c r="C981" i="10"/>
  <c r="D981" i="10" s="1"/>
  <c r="C993" i="10"/>
  <c r="D993" i="10" s="1"/>
  <c r="C933" i="10"/>
  <c r="D933" i="10" s="1"/>
  <c r="C491" i="10"/>
  <c r="D491" i="10" s="1"/>
  <c r="M75" i="32"/>
  <c r="M79" i="32" s="1"/>
  <c r="M79" i="5"/>
  <c r="E75" i="32"/>
  <c r="E79" i="5"/>
  <c r="C356" i="10"/>
  <c r="D356" i="10" s="1"/>
  <c r="C56" i="10"/>
  <c r="D56" i="10" s="1"/>
  <c r="C771" i="10"/>
  <c r="D771" i="10" s="1"/>
  <c r="C855" i="10"/>
  <c r="D855" i="10" s="1"/>
  <c r="C172" i="10"/>
  <c r="D172" i="10" s="1"/>
  <c r="C745" i="10"/>
  <c r="D745" i="10" s="1"/>
  <c r="C713" i="10"/>
  <c r="D713" i="10" s="1"/>
  <c r="C527" i="10"/>
  <c r="D527" i="10" s="1"/>
  <c r="C756" i="10"/>
  <c r="D756" i="10" s="1"/>
  <c r="C764" i="10"/>
  <c r="D764" i="10" s="1"/>
  <c r="E98" i="32"/>
  <c r="E99" i="5"/>
  <c r="C572" i="10"/>
  <c r="D572" i="10" s="1"/>
  <c r="C222" i="10"/>
  <c r="D222" i="10" s="1"/>
  <c r="C346" i="10"/>
  <c r="D346" i="10" s="1"/>
  <c r="C275" i="10"/>
  <c r="D275" i="10" s="1"/>
  <c r="C775" i="10"/>
  <c r="D775" i="10" s="1"/>
  <c r="C86" i="10"/>
  <c r="D86" i="10" s="1"/>
  <c r="C411" i="10"/>
  <c r="D411" i="10" s="1"/>
  <c r="C633" i="10"/>
  <c r="D633" i="10" s="1"/>
  <c r="C959" i="10"/>
  <c r="D959" i="10" s="1"/>
  <c r="C123" i="10"/>
  <c r="D123" i="10" s="1"/>
  <c r="C719" i="10"/>
  <c r="D719" i="10" s="1"/>
  <c r="C241" i="10"/>
  <c r="D241" i="10" s="1"/>
  <c r="C342" i="10"/>
  <c r="D342" i="10" s="1"/>
  <c r="C198" i="10"/>
  <c r="D198" i="10" s="1"/>
  <c r="C90" i="10"/>
  <c r="D90" i="10" s="1"/>
  <c r="C893" i="10"/>
  <c r="D893" i="10" s="1"/>
  <c r="C468" i="10"/>
  <c r="D468" i="10" s="1"/>
  <c r="C273" i="10"/>
  <c r="D273" i="10" s="1"/>
  <c r="C891" i="10"/>
  <c r="D891" i="10" s="1"/>
  <c r="C352" i="10"/>
  <c r="D352" i="10" s="1"/>
  <c r="C780" i="10"/>
  <c r="D780" i="10" s="1"/>
  <c r="C616" i="10"/>
  <c r="D616" i="10" s="1"/>
  <c r="C869" i="10"/>
  <c r="D869" i="10" s="1"/>
  <c r="C595" i="10"/>
  <c r="D595" i="10" s="1"/>
  <c r="C583" i="10"/>
  <c r="D583" i="10" s="1"/>
  <c r="C340" i="10"/>
  <c r="D340" i="10" s="1"/>
  <c r="C592" i="10"/>
  <c r="D592" i="10" s="1"/>
  <c r="C461" i="10"/>
  <c r="D461" i="10" s="1"/>
  <c r="C608" i="10"/>
  <c r="D608" i="10" s="1"/>
  <c r="C622" i="10"/>
  <c r="D622" i="10" s="1"/>
  <c r="C204" i="10"/>
  <c r="D204" i="10" s="1"/>
  <c r="C615" i="10"/>
  <c r="D615" i="10" s="1"/>
  <c r="C586" i="10"/>
  <c r="D586" i="10" s="1"/>
  <c r="C469" i="10"/>
  <c r="D469" i="10" s="1"/>
  <c r="C125" i="10"/>
  <c r="D125" i="10" s="1"/>
  <c r="C571" i="10"/>
  <c r="D571" i="10" s="1"/>
  <c r="C31" i="10"/>
  <c r="D31" i="10" s="1"/>
  <c r="C413" i="10"/>
  <c r="D413" i="10" s="1"/>
  <c r="C307" i="10"/>
  <c r="D307" i="10" s="1"/>
  <c r="C801" i="10"/>
  <c r="D801" i="10" s="1"/>
  <c r="C378" i="10"/>
  <c r="D378" i="10" s="1"/>
  <c r="C565" i="10"/>
  <c r="D565" i="10" s="1"/>
  <c r="C884" i="10"/>
  <c r="D884" i="10" s="1"/>
  <c r="C528" i="10"/>
  <c r="D528" i="10" s="1"/>
  <c r="C43" i="10"/>
  <c r="D43" i="10" s="1"/>
  <c r="C920" i="10"/>
  <c r="D920" i="10" s="1"/>
  <c r="C833" i="10"/>
  <c r="D833" i="10" s="1"/>
  <c r="C916" i="10"/>
  <c r="D916" i="10" s="1"/>
  <c r="C942" i="10"/>
  <c r="D942" i="10" s="1"/>
  <c r="C974" i="10"/>
  <c r="D974" i="10" s="1"/>
  <c r="C83" i="10"/>
  <c r="D83" i="10" s="1"/>
  <c r="C966" i="10"/>
  <c r="D966" i="10" s="1"/>
  <c r="C678" i="10"/>
  <c r="D678" i="10" s="1"/>
  <c r="C314" i="10"/>
  <c r="D314" i="10" s="1"/>
  <c r="C563" i="10"/>
  <c r="D563" i="10" s="1"/>
  <c r="C279" i="10"/>
  <c r="D279" i="10" s="1"/>
  <c r="C471" i="10"/>
  <c r="D471" i="10" s="1"/>
  <c r="C300" i="10"/>
  <c r="D300" i="10" s="1"/>
  <c r="C449" i="10"/>
  <c r="D449" i="10" s="1"/>
  <c r="C291" i="10"/>
  <c r="D291" i="10" s="1"/>
  <c r="C326" i="10"/>
  <c r="D326" i="10" s="1"/>
  <c r="C435" i="10"/>
  <c r="D435" i="10" s="1"/>
  <c r="C315" i="10"/>
  <c r="D315" i="10" s="1"/>
  <c r="C639" i="10"/>
  <c r="D639" i="10" s="1"/>
  <c r="C752" i="10"/>
  <c r="D752" i="10" s="1"/>
  <c r="C912" i="10"/>
  <c r="D912" i="10" s="1"/>
  <c r="C179" i="10"/>
  <c r="D179" i="10" s="1"/>
  <c r="C235" i="10"/>
  <c r="D235" i="10" s="1"/>
  <c r="C940" i="10"/>
  <c r="D940" i="10" s="1"/>
  <c r="C257" i="10"/>
  <c r="D257" i="10" s="1"/>
  <c r="C473" i="10"/>
  <c r="D473" i="10" s="1"/>
  <c r="C451" i="10"/>
  <c r="D451" i="10" s="1"/>
  <c r="C511" i="10"/>
  <c r="D511" i="10" s="1"/>
  <c r="C418" i="10"/>
  <c r="D418" i="10" s="1"/>
  <c r="C785" i="10"/>
  <c r="D785" i="10" s="1"/>
  <c r="C284" i="10"/>
  <c r="D284" i="10" s="1"/>
  <c r="C55" i="10"/>
  <c r="D55" i="10" s="1"/>
  <c r="C749" i="10"/>
  <c r="D749" i="10" s="1"/>
  <c r="C853" i="10"/>
  <c r="D853" i="10" s="1"/>
  <c r="C263" i="10"/>
  <c r="D263" i="10" s="1"/>
  <c r="C180" i="10"/>
  <c r="D180" i="10" s="1"/>
  <c r="C416" i="10"/>
  <c r="D416" i="10" s="1"/>
  <c r="C556" i="10"/>
  <c r="D556" i="10" s="1"/>
  <c r="C408" i="10"/>
  <c r="D408" i="10" s="1"/>
  <c r="C425" i="10"/>
  <c r="D425" i="10" s="1"/>
  <c r="C569" i="10"/>
  <c r="D569" i="10" s="1"/>
  <c r="C404" i="10"/>
  <c r="D404" i="10" s="1"/>
  <c r="C278" i="10"/>
  <c r="D278" i="10" s="1"/>
  <c r="C375" i="10"/>
  <c r="D375" i="10" s="1"/>
  <c r="C244" i="10"/>
  <c r="D244" i="10" s="1"/>
  <c r="C564" i="10"/>
  <c r="D564" i="10" s="1"/>
  <c r="C367" i="10"/>
  <c r="D367" i="10" s="1"/>
  <c r="C242" i="10"/>
  <c r="D242" i="10" s="1"/>
  <c r="C655" i="10"/>
  <c r="D655" i="10" s="1"/>
  <c r="C773" i="10"/>
  <c r="D773" i="10" s="1"/>
  <c r="C797" i="10"/>
  <c r="D797" i="10" s="1"/>
  <c r="C938" i="10"/>
  <c r="D938" i="10" s="1"/>
  <c r="C166" i="10"/>
  <c r="D166" i="10" s="1"/>
  <c r="C858" i="10"/>
  <c r="D858" i="10" s="1"/>
  <c r="C982" i="10"/>
  <c r="D982" i="10" s="1"/>
  <c r="C963" i="10"/>
  <c r="D963" i="10" s="1"/>
  <c r="C523" i="10"/>
  <c r="D523" i="10" s="1"/>
  <c r="C81" i="10"/>
  <c r="D81" i="10" s="1"/>
  <c r="C176" i="10"/>
  <c r="D176" i="10" s="1"/>
  <c r="C578" i="10"/>
  <c r="D578" i="10" s="1"/>
  <c r="C316" i="10"/>
  <c r="D316" i="10" s="1"/>
  <c r="C516" i="10"/>
  <c r="D516" i="10" s="1"/>
  <c r="C239" i="10"/>
  <c r="D239" i="10" s="1"/>
  <c r="C124" i="10"/>
  <c r="D124" i="10" s="1"/>
  <c r="C941" i="10"/>
  <c r="D941" i="10" s="1"/>
  <c r="C737" i="10"/>
  <c r="D737" i="10" s="1"/>
  <c r="C385" i="10"/>
  <c r="D385" i="10" s="1"/>
  <c r="C922" i="10"/>
  <c r="D922" i="10" s="1"/>
  <c r="C343" i="10"/>
  <c r="D343" i="10" s="1"/>
  <c r="C948" i="10"/>
  <c r="D948" i="10" s="1"/>
  <c r="C734" i="10"/>
  <c r="D734" i="10" s="1"/>
  <c r="C153" i="10"/>
  <c r="D153" i="10" s="1"/>
  <c r="C49" i="10"/>
  <c r="D49" i="10" s="1"/>
  <c r="C79" i="32"/>
  <c r="J79" i="5"/>
  <c r="J67" i="5" s="1"/>
  <c r="C881" i="10"/>
  <c r="D881" i="10" s="1"/>
  <c r="C610" i="10"/>
  <c r="D610" i="10" s="1"/>
  <c r="C245" i="10"/>
  <c r="D245" i="10" s="1"/>
  <c r="C950" i="10"/>
  <c r="D950" i="10" s="1"/>
  <c r="C65" i="10"/>
  <c r="D65" i="10" s="1"/>
  <c r="K73" i="5"/>
  <c r="K71" i="32"/>
  <c r="C989" i="10"/>
  <c r="D989" i="10" s="1"/>
  <c r="C252" i="10"/>
  <c r="D252" i="10" s="1"/>
  <c r="C638" i="10"/>
  <c r="D638" i="10" s="1"/>
  <c r="C986" i="10"/>
  <c r="D986" i="10" s="1"/>
  <c r="C814" i="10"/>
  <c r="D814" i="10" s="1"/>
  <c r="C506" i="10"/>
  <c r="D506" i="10" s="1"/>
  <c r="C161" i="10"/>
  <c r="D161" i="10" s="1"/>
  <c r="C359" i="10"/>
  <c r="D359" i="10" s="1"/>
  <c r="C605" i="10"/>
  <c r="D605" i="10" s="1"/>
  <c r="E73" i="5"/>
  <c r="E67" i="5" s="1"/>
  <c r="K79" i="32"/>
  <c r="C73" i="32"/>
  <c r="G69" i="32"/>
  <c r="G73" i="32" s="1"/>
  <c r="G73" i="5"/>
  <c r="K79" i="5"/>
  <c r="I72" i="32"/>
  <c r="I73" i="32" s="1"/>
  <c r="I73" i="5"/>
  <c r="H76" i="32"/>
  <c r="H79" i="32" s="1"/>
  <c r="H67" i="32" s="1"/>
  <c r="G76" i="32"/>
  <c r="G79" i="32" s="1"/>
  <c r="G79" i="5"/>
  <c r="E73" i="32"/>
  <c r="I79" i="5"/>
  <c r="I75" i="32"/>
  <c r="I79" i="32" s="1"/>
  <c r="K73" i="32"/>
  <c r="K67" i="32" s="1"/>
  <c r="E79" i="32"/>
  <c r="C79" i="5"/>
  <c r="C67" i="5" s="1"/>
  <c r="N79" i="5"/>
  <c r="E88" i="32"/>
  <c r="E89" i="5"/>
  <c r="G97" i="32"/>
  <c r="G99" i="32" s="1"/>
  <c r="G99" i="5"/>
  <c r="F99" i="5"/>
  <c r="F98" i="32"/>
  <c r="C612" i="10"/>
  <c r="D612" i="10" s="1"/>
  <c r="C132" i="10"/>
  <c r="D132" i="10" s="1"/>
  <c r="C729" i="10"/>
  <c r="D729" i="10" s="1"/>
  <c r="C698" i="10"/>
  <c r="D698" i="10" s="1"/>
  <c r="C949" i="10"/>
  <c r="D949" i="10" s="1"/>
  <c r="C880" i="10"/>
  <c r="D880" i="10" s="1"/>
  <c r="C192" i="10"/>
  <c r="D192" i="10" s="1"/>
  <c r="C544" i="10"/>
  <c r="D544" i="10" s="1"/>
  <c r="C798" i="10"/>
  <c r="D798" i="10" s="1"/>
  <c r="C311" i="10"/>
  <c r="D311" i="10" s="1"/>
  <c r="C94" i="10"/>
  <c r="D94" i="10" s="1"/>
  <c r="C783" i="10"/>
  <c r="D783" i="10" s="1"/>
  <c r="C383" i="10"/>
  <c r="D383" i="10" s="1"/>
  <c r="C804" i="10"/>
  <c r="D804" i="10" s="1"/>
  <c r="C834" i="10"/>
  <c r="D834" i="10" s="1"/>
  <c r="C155" i="10"/>
  <c r="D155" i="10" s="1"/>
  <c r="C203" i="10"/>
  <c r="D203" i="10" s="1"/>
  <c r="C53" i="10"/>
  <c r="D53" i="10" s="1"/>
  <c r="C965" i="10"/>
  <c r="D965" i="10" s="1"/>
  <c r="C47" i="10"/>
  <c r="D47" i="10" s="1"/>
  <c r="C48" i="10"/>
  <c r="D48" i="10" s="1"/>
  <c r="C726" i="10"/>
  <c r="D726" i="10" s="1"/>
  <c r="C619" i="10"/>
  <c r="D619" i="10" s="1"/>
  <c r="C728" i="10"/>
  <c r="D728" i="10" s="1"/>
  <c r="C826" i="10"/>
  <c r="D826" i="10" s="1"/>
  <c r="C849" i="10"/>
  <c r="D849" i="10" s="1"/>
  <c r="C327" i="10"/>
  <c r="D327" i="10" s="1"/>
  <c r="C1001" i="10"/>
  <c r="D1001" i="10" s="1"/>
  <c r="C206" i="10"/>
  <c r="D206" i="10" s="1"/>
  <c r="C34" i="10"/>
  <c r="D34" i="10" s="1"/>
  <c r="C549" i="10"/>
  <c r="D549" i="10" s="1"/>
  <c r="C489" i="10"/>
  <c r="D489" i="10" s="1"/>
  <c r="C643" i="10"/>
  <c r="D643" i="10" s="1"/>
  <c r="C701" i="10"/>
  <c r="D701" i="10" s="1"/>
  <c r="C859" i="10"/>
  <c r="D859" i="10" s="1"/>
  <c r="C951" i="10"/>
  <c r="D951" i="10" s="1"/>
  <c r="C122" i="10"/>
  <c r="D122" i="10" s="1"/>
  <c r="C388" i="10"/>
  <c r="D388" i="10" s="1"/>
  <c r="C406" i="10"/>
  <c r="D406" i="10" s="1"/>
  <c r="C851" i="10"/>
  <c r="D851" i="10" s="1"/>
  <c r="C831" i="10"/>
  <c r="D831" i="10" s="1"/>
  <c r="C88" i="10"/>
  <c r="D88" i="10" s="1"/>
  <c r="C625" i="10"/>
  <c r="D625" i="10" s="1"/>
  <c r="C457" i="10"/>
  <c r="D457" i="10" s="1"/>
  <c r="C107" i="10"/>
  <c r="D107" i="10" s="1"/>
  <c r="C591" i="10"/>
  <c r="D591" i="10" s="1"/>
  <c r="C699" i="10"/>
  <c r="D699" i="10" s="1"/>
  <c r="C164" i="10"/>
  <c r="D164" i="10" s="1"/>
  <c r="C271" i="10"/>
  <c r="D271" i="10" s="1"/>
  <c r="C590" i="10"/>
  <c r="D590" i="10" s="1"/>
  <c r="C754" i="10"/>
  <c r="D754" i="10" s="1"/>
  <c r="C813" i="10"/>
  <c r="D813" i="10" s="1"/>
  <c r="C121" i="10"/>
  <c r="D121" i="10" s="1"/>
  <c r="C961" i="10"/>
  <c r="D961" i="10" s="1"/>
  <c r="C490" i="10"/>
  <c r="D490" i="10" s="1"/>
  <c r="C460" i="10"/>
  <c r="D460" i="10" s="1"/>
  <c r="C624" i="10"/>
  <c r="D624" i="10" s="1"/>
  <c r="C651" i="10"/>
  <c r="D651" i="10" s="1"/>
  <c r="C319" i="10"/>
  <c r="D319" i="10" s="1"/>
  <c r="C662" i="10"/>
  <c r="D662" i="10" s="1"/>
  <c r="C875" i="10"/>
  <c r="D875" i="10" s="1"/>
  <c r="C37" i="10"/>
  <c r="D37" i="10" s="1"/>
  <c r="C996" i="10"/>
  <c r="D996" i="10" s="1"/>
  <c r="C541" i="10"/>
  <c r="D541" i="10" s="1"/>
  <c r="C702" i="10"/>
  <c r="D702" i="10" s="1"/>
  <c r="C611" i="10"/>
  <c r="D611" i="10" s="1"/>
  <c r="C738" i="10"/>
  <c r="D738" i="10" s="1"/>
  <c r="C401" i="10"/>
  <c r="D401" i="10" s="1"/>
  <c r="C945" i="10"/>
  <c r="D945" i="10" s="1"/>
  <c r="C552" i="10"/>
  <c r="D552" i="10" s="1"/>
  <c r="C74" i="10"/>
  <c r="D74" i="10" s="1"/>
  <c r="C861" i="10"/>
  <c r="D861" i="10" s="1"/>
  <c r="C215" i="10"/>
  <c r="D215" i="10" s="1"/>
  <c r="C146" i="10"/>
  <c r="D146" i="10" s="1"/>
  <c r="C341" i="10"/>
  <c r="D341" i="10" s="1"/>
  <c r="C837" i="10"/>
  <c r="D837" i="10" s="1"/>
  <c r="C80" i="10"/>
  <c r="D80" i="10" s="1"/>
  <c r="C389" i="10"/>
  <c r="D389" i="10" s="1"/>
  <c r="C750" i="10"/>
  <c r="D750" i="10" s="1"/>
  <c r="C848" i="10"/>
  <c r="D848" i="10" s="1"/>
  <c r="C876" i="10"/>
  <c r="D876" i="10" s="1"/>
  <c r="C397" i="10"/>
  <c r="D397" i="10" s="1"/>
  <c r="C170" i="10"/>
  <c r="D170" i="10" s="1"/>
  <c r="C243" i="10"/>
  <c r="D243" i="10" s="1"/>
  <c r="C657" i="10"/>
  <c r="D657" i="10" s="1"/>
  <c r="C672" i="10"/>
  <c r="D672" i="10" s="1"/>
  <c r="C537" i="10"/>
  <c r="D537" i="10" s="1"/>
  <c r="C909" i="10"/>
  <c r="D909" i="10" s="1"/>
  <c r="C66" i="10"/>
  <c r="D66" i="10" s="1"/>
  <c r="C197" i="10"/>
  <c r="D197" i="10" s="1"/>
  <c r="C429" i="10"/>
  <c r="D429" i="10" s="1"/>
  <c r="C635" i="10"/>
  <c r="D635" i="10" s="1"/>
  <c r="C930" i="10"/>
  <c r="D930" i="10" s="1"/>
  <c r="C459" i="10"/>
  <c r="D459" i="10" s="1"/>
  <c r="C660" i="10"/>
  <c r="D660" i="10" s="1"/>
  <c r="C925" i="10"/>
  <c r="D925" i="10" s="1"/>
  <c r="C445" i="10"/>
  <c r="D445" i="10" s="1"/>
  <c r="C710" i="10"/>
  <c r="D710" i="10" s="1"/>
  <c r="C823" i="10"/>
  <c r="D823" i="10" s="1"/>
  <c r="C295" i="10"/>
  <c r="D295" i="10" s="1"/>
  <c r="C867" i="10"/>
  <c r="D867" i="10" s="1"/>
  <c r="C97" i="10"/>
  <c r="D97" i="10" s="1"/>
  <c r="C262" i="10"/>
  <c r="D262" i="10" s="1"/>
  <c r="C674" i="10"/>
  <c r="D674" i="10" s="1"/>
  <c r="C690" i="10"/>
  <c r="D690" i="10" s="1"/>
  <c r="C903" i="10"/>
  <c r="D903" i="10" s="1"/>
  <c r="C110" i="10"/>
  <c r="D110" i="10" s="1"/>
  <c r="C191" i="10"/>
  <c r="D191" i="10" s="1"/>
  <c r="C589" i="10"/>
  <c r="D589" i="10" s="1"/>
  <c r="C89" i="10"/>
  <c r="D89" i="10" s="1"/>
  <c r="C280" i="10"/>
  <c r="D280" i="10" s="1"/>
  <c r="C627" i="10"/>
  <c r="D627" i="10" s="1"/>
  <c r="C676" i="10"/>
  <c r="D676" i="10" s="1"/>
  <c r="C820" i="10"/>
  <c r="D820" i="10" s="1"/>
  <c r="C237" i="10"/>
  <c r="D237" i="10" s="1"/>
  <c r="C979" i="10"/>
  <c r="D979" i="10" s="1"/>
  <c r="C409" i="10"/>
  <c r="D409" i="10" s="1"/>
  <c r="C205" i="10"/>
  <c r="D205" i="10" s="1"/>
  <c r="C682" i="10"/>
  <c r="D682" i="10" s="1"/>
  <c r="C130" i="10"/>
  <c r="D130" i="10" s="1"/>
  <c r="C218" i="10"/>
  <c r="D218" i="10" s="1"/>
  <c r="C479" i="10"/>
  <c r="D479" i="10" s="1"/>
  <c r="C927" i="10"/>
  <c r="D927" i="10" s="1"/>
  <c r="C679" i="10"/>
  <c r="D679" i="10" s="1"/>
  <c r="C190" i="10"/>
  <c r="D190" i="10" s="1"/>
  <c r="C462" i="10"/>
  <c r="D462" i="10" s="1"/>
  <c r="C85" i="10"/>
  <c r="D85" i="10" s="1"/>
  <c r="C283" i="10"/>
  <c r="D283" i="10" s="1"/>
  <c r="C399" i="10"/>
  <c r="D399" i="10" s="1"/>
  <c r="C324" i="10"/>
  <c r="D324" i="10" s="1"/>
  <c r="C577" i="10"/>
  <c r="D577" i="10" s="1"/>
  <c r="C617" i="10"/>
  <c r="D617" i="10" s="1"/>
  <c r="C666" i="10"/>
  <c r="D666" i="10" s="1"/>
  <c r="C786" i="10"/>
  <c r="D786" i="10" s="1"/>
  <c r="C221" i="10"/>
  <c r="D221" i="10" s="1"/>
  <c r="C703" i="10"/>
  <c r="D703" i="10" s="1"/>
  <c r="C178" i="10"/>
  <c r="D178" i="10" s="1"/>
  <c r="C173" i="10"/>
  <c r="D173" i="10" s="1"/>
  <c r="C824" i="10"/>
  <c r="D824" i="10" s="1"/>
  <c r="C939" i="10"/>
  <c r="D939" i="10" s="1"/>
  <c r="C219" i="10"/>
  <c r="D219" i="10" s="1"/>
  <c r="C424" i="10"/>
  <c r="D424" i="10" s="1"/>
  <c r="C138" i="10"/>
  <c r="D138" i="10" s="1"/>
  <c r="C472" i="10"/>
  <c r="D472" i="10" s="1"/>
  <c r="C171" i="10"/>
  <c r="D171" i="10" s="1"/>
  <c r="C304" i="10"/>
  <c r="D304" i="10" s="1"/>
  <c r="C759" i="10"/>
  <c r="D759" i="10" s="1"/>
  <c r="C322" i="10"/>
  <c r="D322" i="10" s="1"/>
  <c r="C878" i="10"/>
  <c r="D878" i="10" s="1"/>
  <c r="C321" i="10"/>
  <c r="D321" i="10" s="1"/>
  <c r="C439" i="10"/>
  <c r="D439" i="10" s="1"/>
  <c r="C668" i="10"/>
  <c r="D668" i="10" s="1"/>
  <c r="C663" i="10"/>
  <c r="D663" i="10" s="1"/>
  <c r="C531" i="10"/>
  <c r="D531" i="10" s="1"/>
  <c r="C720" i="10"/>
  <c r="D720" i="10" s="1"/>
  <c r="C882" i="10"/>
  <c r="D882" i="10" s="1"/>
  <c r="C247" i="10"/>
  <c r="D247" i="10" s="1"/>
  <c r="C976" i="10"/>
  <c r="D976" i="10" s="1"/>
  <c r="C162" i="10"/>
  <c r="D162" i="10" s="1"/>
  <c r="C919" i="10"/>
  <c r="D919" i="10" s="1"/>
  <c r="C32" i="10"/>
  <c r="D32" i="10" s="1"/>
  <c r="C538" i="10"/>
  <c r="D538" i="10" s="1"/>
  <c r="C594" i="10"/>
  <c r="D594" i="10" s="1"/>
  <c r="C896" i="10"/>
  <c r="D896" i="10" s="1"/>
  <c r="C688" i="10"/>
  <c r="D688" i="10" s="1"/>
  <c r="C765" i="10"/>
  <c r="D765" i="10" s="1"/>
  <c r="C373" i="10"/>
  <c r="D373" i="10" s="1"/>
  <c r="C997" i="10"/>
  <c r="D997" i="10" s="1"/>
  <c r="C325" i="10"/>
  <c r="D325" i="10" s="1"/>
  <c r="C139" i="10"/>
  <c r="D139" i="10" s="1"/>
  <c r="C715" i="10"/>
  <c r="D715" i="10" s="1"/>
  <c r="C156" i="10"/>
  <c r="D156" i="10" s="1"/>
  <c r="C281" i="10"/>
  <c r="D281" i="10" s="1"/>
  <c r="C1002" i="10"/>
  <c r="D1002" i="10" s="1"/>
  <c r="C847" i="10"/>
  <c r="D847" i="10" s="1"/>
  <c r="C233" i="10"/>
  <c r="D233" i="10" s="1"/>
  <c r="C99" i="10"/>
  <c r="D99" i="10" s="1"/>
  <c r="C196" i="10"/>
  <c r="D196" i="10" s="1"/>
  <c r="C453" i="10"/>
  <c r="D453" i="10" s="1"/>
  <c r="C302" i="10"/>
  <c r="D302" i="10" s="1"/>
  <c r="C705" i="10"/>
  <c r="D705" i="10" s="1"/>
  <c r="C788" i="10"/>
  <c r="D788" i="10" s="1"/>
  <c r="C621" i="10"/>
  <c r="D621" i="10" s="1"/>
  <c r="C645" i="10"/>
  <c r="D645" i="10" s="1"/>
  <c r="C693" i="10"/>
  <c r="D693" i="10" s="1"/>
  <c r="C730" i="10"/>
  <c r="D730" i="10" s="1"/>
  <c r="C789" i="10"/>
  <c r="D789" i="10" s="1"/>
  <c r="C503" i="10"/>
  <c r="D503" i="10" s="1"/>
  <c r="C84" i="10"/>
  <c r="D84" i="10" s="1"/>
  <c r="C711" i="10"/>
  <c r="D711" i="10" s="1"/>
  <c r="C923" i="10"/>
  <c r="D923" i="10" s="1"/>
  <c r="C787" i="10"/>
  <c r="D787" i="10" s="1"/>
  <c r="C381" i="10"/>
  <c r="D381" i="10" s="1"/>
  <c r="C41" i="10"/>
  <c r="D41" i="10" s="1"/>
  <c r="C163" i="10"/>
  <c r="D163" i="10" s="1"/>
  <c r="C894" i="10"/>
  <c r="D894" i="10" s="1"/>
  <c r="C805" i="10"/>
  <c r="D805" i="10" s="1"/>
  <c r="C843" i="10"/>
  <c r="D843" i="10" s="1"/>
  <c r="C183" i="10"/>
  <c r="D183" i="10" s="1"/>
  <c r="C152" i="10"/>
  <c r="D152" i="10" s="1"/>
  <c r="C113" i="10"/>
  <c r="D113" i="10" s="1"/>
  <c r="C227" i="10"/>
  <c r="D227" i="10" s="1"/>
  <c r="C496" i="10"/>
  <c r="D496" i="10" s="1"/>
  <c r="C697" i="10"/>
  <c r="D697" i="10" s="1"/>
  <c r="C936" i="10"/>
  <c r="D936" i="10" s="1"/>
  <c r="C889" i="10"/>
  <c r="D889" i="10" s="1"/>
  <c r="C815" i="10"/>
  <c r="D815" i="10" s="1"/>
  <c r="C104" i="10"/>
  <c r="D104" i="10" s="1"/>
  <c r="C289" i="10"/>
  <c r="D289" i="10" s="1"/>
  <c r="C430" i="10"/>
  <c r="D430" i="10" s="1"/>
  <c r="C105" i="10"/>
  <c r="D105" i="10" s="1"/>
  <c r="C73" i="10"/>
  <c r="D73" i="10" s="1"/>
  <c r="C230" i="10"/>
  <c r="D230" i="10" s="1"/>
  <c r="C361" i="10"/>
  <c r="D361" i="10" s="1"/>
  <c r="C428" i="10"/>
  <c r="D428" i="10" s="1"/>
  <c r="C652" i="10"/>
  <c r="D652" i="10" s="1"/>
  <c r="C332" i="10"/>
  <c r="D332" i="10" s="1"/>
  <c r="C396" i="10"/>
  <c r="D396" i="10" s="1"/>
  <c r="C634" i="10"/>
  <c r="D634" i="10" s="1"/>
  <c r="C553" i="10"/>
  <c r="D553" i="10" s="1"/>
  <c r="C560" i="10"/>
  <c r="D560" i="10" s="1"/>
  <c r="C684" i="10"/>
  <c r="D684" i="10" s="1"/>
  <c r="C863" i="10"/>
  <c r="D863" i="10" s="1"/>
  <c r="C542" i="10"/>
  <c r="D542" i="10" s="1"/>
  <c r="C962" i="10"/>
  <c r="D962" i="10" s="1"/>
  <c r="C992" i="10"/>
  <c r="D992" i="10" s="1"/>
  <c r="C777" i="10"/>
  <c r="D777" i="10" s="1"/>
  <c r="C642" i="10"/>
  <c r="D642" i="10" s="1"/>
  <c r="C540" i="10"/>
  <c r="D540" i="10" s="1"/>
  <c r="C492" i="10"/>
  <c r="D492" i="10" s="1"/>
  <c r="C597" i="10"/>
  <c r="D597" i="10" s="1"/>
  <c r="C533" i="10"/>
  <c r="D533" i="10" s="1"/>
  <c r="C442" i="10"/>
  <c r="D442" i="10" s="1"/>
  <c r="C736" i="10"/>
  <c r="D736" i="10" s="1"/>
  <c r="C746" i="10"/>
  <c r="D746" i="10" s="1"/>
  <c r="C995" i="10"/>
  <c r="D995" i="10" s="1"/>
  <c r="C776" i="10"/>
  <c r="D776" i="10" s="1"/>
  <c r="C739" i="10"/>
  <c r="D739" i="10" s="1"/>
  <c r="C712" i="10"/>
  <c r="D712" i="10" s="1"/>
  <c r="C914" i="10"/>
  <c r="D914" i="10" s="1"/>
  <c r="C683" i="10"/>
  <c r="D683" i="10" s="1"/>
  <c r="C210" i="10"/>
  <c r="D210" i="10" s="1"/>
  <c r="C522" i="10"/>
  <c r="D522" i="10" s="1"/>
  <c r="C240" i="10"/>
  <c r="D240" i="10" s="1"/>
  <c r="C641" i="10"/>
  <c r="D641" i="10" s="1"/>
  <c r="C870" i="10"/>
  <c r="D870" i="10" s="1"/>
  <c r="C148" i="10"/>
  <c r="D148" i="10" s="1"/>
  <c r="C911" i="10"/>
  <c r="D911" i="10" s="1"/>
  <c r="C364" i="10"/>
  <c r="D364" i="10" s="1"/>
  <c r="C757" i="10"/>
  <c r="D757" i="10" s="1"/>
  <c r="C723" i="10"/>
  <c r="D723" i="10" s="1"/>
  <c r="C126" i="10"/>
  <c r="D126" i="10" s="1"/>
  <c r="C779" i="10"/>
  <c r="D779" i="10" s="1"/>
  <c r="C115" i="10"/>
  <c r="D115" i="10" s="1"/>
  <c r="C598" i="10"/>
  <c r="D598" i="10" s="1"/>
  <c r="C803" i="10"/>
  <c r="D803" i="10" s="1"/>
  <c r="C224" i="10"/>
  <c r="D224" i="10" s="1"/>
  <c r="C554" i="10"/>
  <c r="D554" i="10" s="1"/>
  <c r="C366" i="10"/>
  <c r="D366" i="10" s="1"/>
  <c r="C497" i="10"/>
  <c r="D497" i="10" s="1"/>
  <c r="C709" i="10"/>
  <c r="D709" i="10" s="1"/>
  <c r="C987" i="10"/>
  <c r="D987" i="10" s="1"/>
  <c r="C874" i="10"/>
  <c r="D874" i="10" s="1"/>
  <c r="C1000" i="10"/>
  <c r="D1000" i="10" s="1"/>
  <c r="C811" i="10"/>
  <c r="D811" i="10" s="1"/>
  <c r="C140" i="10"/>
  <c r="D140" i="10" s="1"/>
  <c r="C61" i="10"/>
  <c r="D61" i="10" s="1"/>
  <c r="C422" i="10"/>
  <c r="D422" i="10" s="1"/>
  <c r="C872" i="10"/>
  <c r="D872" i="10" s="1"/>
  <c r="C953" i="10"/>
  <c r="D953" i="10" s="1"/>
  <c r="C975" i="10"/>
  <c r="D975" i="10" s="1"/>
  <c r="C482" i="10"/>
  <c r="D482" i="10" s="1"/>
  <c r="C77" i="10"/>
  <c r="D77" i="10" s="1"/>
  <c r="C465" i="10"/>
  <c r="D465" i="10" s="1"/>
  <c r="C602" i="10"/>
  <c r="D602" i="10" s="1"/>
  <c r="C434" i="10"/>
  <c r="D434" i="10" s="1"/>
  <c r="C532" i="10"/>
  <c r="D532" i="10" s="1"/>
  <c r="C629" i="10"/>
  <c r="D629" i="10" s="1"/>
  <c r="C673" i="10"/>
  <c r="D673" i="10" s="1"/>
  <c r="C704" i="10"/>
  <c r="D704" i="10" s="1"/>
  <c r="C770" i="10"/>
  <c r="D770" i="10" s="1"/>
  <c r="C809" i="10"/>
  <c r="D809" i="10" s="1"/>
  <c r="C269" i="10"/>
  <c r="D269" i="10" s="1"/>
  <c r="C967" i="10"/>
  <c r="D967" i="10" s="1"/>
  <c r="C860" i="10"/>
  <c r="D860" i="10" s="1"/>
  <c r="C864" i="10"/>
  <c r="D864" i="10" s="1"/>
  <c r="C517" i="10"/>
  <c r="D517" i="10" s="1"/>
  <c r="C297" i="10"/>
  <c r="D297" i="10" s="1"/>
  <c r="C131" i="10"/>
  <c r="D131" i="10" s="1"/>
  <c r="C213" i="10"/>
  <c r="D213" i="10" s="1"/>
  <c r="C898" i="10"/>
  <c r="D898" i="10" s="1"/>
  <c r="C695" i="10"/>
  <c r="D695" i="10" s="1"/>
  <c r="C211" i="10"/>
  <c r="D211" i="10" s="1"/>
  <c r="C168" i="10"/>
  <c r="D168" i="10" s="1"/>
  <c r="C127" i="10"/>
  <c r="D127" i="10" s="1"/>
  <c r="C78" i="10"/>
  <c r="D78" i="10" s="1"/>
  <c r="C345" i="10"/>
  <c r="D345" i="10" s="1"/>
  <c r="C555" i="10"/>
  <c r="D555" i="10" s="1"/>
  <c r="C850" i="10"/>
  <c r="D850" i="10" s="1"/>
  <c r="C978" i="10"/>
  <c r="D978" i="10" s="1"/>
  <c r="C687" i="10"/>
  <c r="D687" i="10" s="1"/>
  <c r="C879" i="10"/>
  <c r="D879" i="10" s="1"/>
  <c r="C174" i="10"/>
  <c r="D174" i="10" s="1"/>
  <c r="C335" i="10"/>
  <c r="D335" i="10" s="1"/>
  <c r="C566" i="10"/>
  <c r="D566" i="10" s="1"/>
  <c r="C93" i="10"/>
  <c r="D93" i="10" s="1"/>
  <c r="C212" i="10"/>
  <c r="D212" i="10" s="1"/>
  <c r="C246" i="10"/>
  <c r="D246" i="10" s="1"/>
  <c r="C570" i="10"/>
  <c r="D570" i="10" s="1"/>
  <c r="C488" i="10"/>
  <c r="D488" i="10" s="1"/>
  <c r="C292" i="10"/>
  <c r="D292" i="10" s="1"/>
  <c r="C354" i="10"/>
  <c r="D354" i="10" s="1"/>
  <c r="C501" i="10"/>
  <c r="D501" i="10" s="1"/>
  <c r="C774" i="10"/>
  <c r="D774" i="10" s="1"/>
  <c r="C769" i="10"/>
  <c r="D769" i="10" s="1"/>
  <c r="C892" i="10"/>
  <c r="D892" i="10" s="1"/>
  <c r="C182" i="10"/>
  <c r="D182" i="10" s="1"/>
  <c r="C856" i="10"/>
  <c r="D856" i="10" s="1"/>
  <c r="C755" i="10"/>
  <c r="D755" i="10" s="1"/>
  <c r="C128" i="10"/>
  <c r="D128" i="10" s="1"/>
  <c r="C405" i="10"/>
  <c r="D405" i="10" s="1"/>
  <c r="C732" i="10"/>
  <c r="D732" i="10" s="1"/>
  <c r="C585" i="10"/>
  <c r="D585" i="10" s="1"/>
  <c r="C524" i="10"/>
  <c r="D524" i="10" s="1"/>
  <c r="C686" i="10"/>
  <c r="D686" i="10" s="1"/>
  <c r="C579" i="10"/>
  <c r="D579" i="10" s="1"/>
  <c r="C474" i="10"/>
  <c r="D474" i="10" s="1"/>
  <c r="C426" i="10"/>
  <c r="D426" i="10" s="1"/>
  <c r="C384" i="10"/>
  <c r="D384" i="10" s="1"/>
  <c r="C360" i="10"/>
  <c r="D360" i="10" s="1"/>
  <c r="C320" i="10"/>
  <c r="D320" i="10" s="1"/>
  <c r="C298" i="10"/>
  <c r="D298" i="10" s="1"/>
  <c r="C258" i="10"/>
  <c r="D258" i="10" s="1"/>
  <c r="C700" i="10"/>
  <c r="D700" i="10" s="1"/>
  <c r="C539" i="10"/>
  <c r="D539" i="10" s="1"/>
  <c r="C446" i="10"/>
  <c r="D446" i="10" s="1"/>
  <c r="C607" i="10"/>
  <c r="D607" i="10" s="1"/>
  <c r="C509" i="10"/>
  <c r="D509" i="10" s="1"/>
  <c r="C973" i="10"/>
  <c r="D973" i="10" s="1"/>
  <c r="C185" i="10"/>
  <c r="D185" i="10" s="1"/>
  <c r="C900" i="10"/>
  <c r="D900" i="10" s="1"/>
  <c r="C452" i="10"/>
  <c r="D452" i="10" s="1"/>
  <c r="C214" i="10"/>
  <c r="D214" i="10" s="1"/>
  <c r="C888" i="10"/>
  <c r="D888" i="10" s="1"/>
  <c r="C694" i="10"/>
  <c r="D694" i="10" s="1"/>
  <c r="C588" i="10"/>
  <c r="D588" i="10" s="1"/>
  <c r="C484" i="10"/>
  <c r="D484" i="10" s="1"/>
  <c r="C628" i="10"/>
  <c r="D628" i="10" s="1"/>
  <c r="C526" i="10"/>
  <c r="D526" i="10" s="1"/>
  <c r="C910" i="10"/>
  <c r="D910" i="10" s="1"/>
  <c r="C143" i="10"/>
  <c r="D143" i="10" s="1"/>
  <c r="C75" i="10"/>
  <c r="D75" i="10" s="1"/>
  <c r="C305" i="10"/>
  <c r="D305" i="10" s="1"/>
  <c r="C51" i="10"/>
  <c r="D51" i="10" s="1"/>
  <c r="C717" i="10"/>
  <c r="D717" i="10" s="1"/>
  <c r="C29" i="10"/>
  <c r="D29" i="10" s="1"/>
  <c r="C117" i="10"/>
  <c r="D117" i="10" s="1"/>
  <c r="C480" i="10"/>
  <c r="D480" i="10" s="1"/>
  <c r="C830" i="10"/>
  <c r="D830" i="10" s="1"/>
  <c r="C905" i="10"/>
  <c r="D905" i="10" s="1"/>
  <c r="C249" i="10"/>
  <c r="D249" i="10" s="1"/>
  <c r="C285" i="10"/>
  <c r="D285" i="10" s="1"/>
  <c r="C483" i="10"/>
  <c r="D483" i="10" s="1"/>
  <c r="C649" i="10"/>
  <c r="D649" i="10" s="1"/>
  <c r="C520" i="10"/>
  <c r="D520" i="10" s="1"/>
  <c r="C534" i="10"/>
  <c r="D534" i="10" s="1"/>
  <c r="C928" i="10"/>
  <c r="D928" i="10" s="1"/>
  <c r="C109" i="10"/>
  <c r="D109" i="10" s="1"/>
  <c r="C654" i="10"/>
  <c r="D654" i="10" s="1"/>
  <c r="C417" i="10"/>
  <c r="D417" i="10" s="1"/>
  <c r="C50" i="10"/>
  <c r="D50" i="10" s="1"/>
  <c r="C386" i="10"/>
  <c r="D386" i="10" s="1"/>
  <c r="C614" i="10"/>
  <c r="D614" i="10" s="1"/>
  <c r="C613" i="10"/>
  <c r="D613" i="10" s="1"/>
  <c r="C653" i="10"/>
  <c r="D653" i="10" s="1"/>
  <c r="C778" i="10"/>
  <c r="D778" i="10" s="1"/>
  <c r="C433" i="10"/>
  <c r="D433" i="10" s="1"/>
  <c r="C968" i="10"/>
  <c r="D968" i="10" s="1"/>
  <c r="C998" i="10"/>
  <c r="D998" i="10" s="1"/>
  <c r="C147" i="10"/>
  <c r="D147" i="10" s="1"/>
  <c r="C838" i="10"/>
  <c r="D838" i="10" s="1"/>
  <c r="C199" i="10"/>
  <c r="D199" i="10" s="1"/>
  <c r="C144" i="10"/>
  <c r="D144" i="10" s="1"/>
  <c r="C448" i="10"/>
  <c r="D448" i="10" s="1"/>
  <c r="C980" i="10"/>
  <c r="D980" i="10" s="1"/>
  <c r="C751" i="10"/>
  <c r="D751" i="10" s="1"/>
  <c r="C72" i="10"/>
  <c r="D72" i="10" s="1"/>
  <c r="C599" i="10"/>
  <c r="D599" i="10" s="1"/>
  <c r="C58" i="10"/>
  <c r="D58" i="10" s="1"/>
  <c r="C758" i="10"/>
  <c r="D758" i="10" s="1"/>
  <c r="C248" i="10"/>
  <c r="D248" i="10" s="1"/>
  <c r="C562" i="10"/>
  <c r="D562" i="10" s="1"/>
  <c r="C593" i="10"/>
  <c r="D593" i="10" s="1"/>
  <c r="C116" i="10"/>
  <c r="D116" i="10" s="1"/>
  <c r="C807" i="10"/>
  <c r="D807" i="10" s="1"/>
  <c r="C817" i="10"/>
  <c r="D817" i="10" s="1"/>
  <c r="C620" i="10"/>
  <c r="D620" i="10" s="1"/>
  <c r="C644" i="10"/>
  <c r="D644" i="10" s="1"/>
  <c r="C515" i="10"/>
  <c r="D515" i="10" s="1"/>
  <c r="C392" i="10"/>
  <c r="D392" i="10" s="1"/>
  <c r="C368" i="10"/>
  <c r="D368" i="10" s="1"/>
  <c r="C336" i="10"/>
  <c r="D336" i="10" s="1"/>
  <c r="C282" i="10"/>
  <c r="D282" i="10" s="1"/>
  <c r="C250" i="10"/>
  <c r="D250" i="10" s="1"/>
  <c r="C640" i="10"/>
  <c r="D640" i="10" s="1"/>
  <c r="C724" i="10"/>
  <c r="D724" i="10" s="1"/>
  <c r="C735" i="10"/>
  <c r="D735" i="10" s="1"/>
  <c r="C836" i="10"/>
  <c r="D836" i="10" s="1"/>
  <c r="C691" i="10"/>
  <c r="D691" i="10" s="1"/>
  <c r="C955" i="10"/>
  <c r="D955" i="10" s="1"/>
  <c r="C821" i="10"/>
  <c r="D821" i="10" s="1"/>
  <c r="C761" i="10"/>
  <c r="D761" i="10" s="1"/>
  <c r="C609" i="10"/>
  <c r="D609" i="10" s="1"/>
  <c r="C529" i="10"/>
  <c r="D529" i="10" s="1"/>
  <c r="C681" i="10"/>
  <c r="D681" i="10" s="1"/>
  <c r="C551" i="10"/>
  <c r="D551" i="10" s="1"/>
  <c r="C450" i="10"/>
  <c r="D450" i="10" s="1"/>
  <c r="C362" i="10"/>
  <c r="D362" i="10" s="1"/>
  <c r="C318" i="10"/>
  <c r="D318" i="10" s="1"/>
  <c r="C288" i="10"/>
  <c r="D288" i="10" s="1"/>
  <c r="C256" i="10"/>
  <c r="D256" i="10" s="1"/>
  <c r="C632" i="10"/>
  <c r="D632" i="10" s="1"/>
  <c r="C415" i="10"/>
  <c r="D415" i="10" s="1"/>
  <c r="C518" i="10"/>
  <c r="D518" i="10" s="1"/>
  <c r="C393" i="10"/>
  <c r="D393" i="10" s="1"/>
  <c r="C228" i="10"/>
  <c r="D228" i="10" s="1"/>
  <c r="C200" i="10"/>
  <c r="D200" i="10" s="1"/>
  <c r="C44" i="10"/>
  <c r="D44" i="10" s="1"/>
  <c r="C743" i="10"/>
  <c r="D743" i="10" s="1"/>
  <c r="C387" i="10"/>
  <c r="D387" i="10" s="1"/>
  <c r="C970" i="10"/>
  <c r="D970" i="10" s="1"/>
  <c r="C753" i="10"/>
  <c r="D753" i="10" s="1"/>
  <c r="C604" i="10"/>
  <c r="D604" i="10" s="1"/>
  <c r="C521" i="10"/>
  <c r="D521" i="10" s="1"/>
  <c r="C547" i="10"/>
  <c r="D547" i="10" s="1"/>
  <c r="C466" i="10"/>
  <c r="D466" i="10" s="1"/>
  <c r="C412" i="10"/>
  <c r="D412" i="10" s="1"/>
  <c r="C380" i="10"/>
  <c r="D380" i="10" s="1"/>
  <c r="C348" i="10"/>
  <c r="D348" i="10" s="1"/>
  <c r="C308" i="10"/>
  <c r="D308" i="10" s="1"/>
  <c r="C276" i="10"/>
  <c r="D276" i="10" s="1"/>
  <c r="C796" i="10"/>
  <c r="D796" i="10" s="1"/>
  <c r="C559" i="10"/>
  <c r="D559" i="10" s="1"/>
  <c r="C708" i="10"/>
  <c r="D708" i="10" s="1"/>
  <c r="C475" i="10"/>
  <c r="D475" i="10" s="1"/>
  <c r="C379" i="10"/>
  <c r="D379" i="10" s="1"/>
  <c r="C234" i="10"/>
  <c r="D234" i="10" s="1"/>
  <c r="C188" i="10"/>
  <c r="D188" i="10" s="1"/>
  <c r="C54" i="10"/>
  <c r="D54" i="10" s="1"/>
  <c r="C79" i="10"/>
  <c r="D79" i="10" s="1"/>
  <c r="C623" i="10"/>
  <c r="D623" i="10" s="1"/>
  <c r="C647" i="10"/>
  <c r="D647" i="10" s="1"/>
  <c r="C696" i="10"/>
  <c r="D696" i="10" s="1"/>
  <c r="C733" i="10"/>
  <c r="D733" i="10" s="1"/>
  <c r="C781" i="10"/>
  <c r="D781" i="10" s="1"/>
  <c r="C718" i="10"/>
  <c r="D718" i="10" s="1"/>
  <c r="C255" i="10"/>
  <c r="D255" i="10" s="1"/>
  <c r="C667" i="10"/>
  <c r="D667" i="10" s="1"/>
  <c r="C839" i="10"/>
  <c r="D839" i="10" s="1"/>
  <c r="C895" i="10"/>
  <c r="D895" i="10" s="1"/>
  <c r="C567" i="10"/>
  <c r="D567" i="10" s="1"/>
  <c r="C57" i="10"/>
  <c r="D57" i="10" s="1"/>
  <c r="C151" i="10"/>
  <c r="D151" i="10" s="1"/>
  <c r="C886" i="10"/>
  <c r="D886" i="10" s="1"/>
  <c r="C890" i="10"/>
  <c r="D890" i="10" s="1"/>
  <c r="C921" i="10"/>
  <c r="D921" i="10" s="1"/>
  <c r="C195" i="10"/>
  <c r="D195" i="10" s="1"/>
  <c r="C142" i="10"/>
  <c r="D142" i="10" s="1"/>
  <c r="C111" i="10"/>
  <c r="D111" i="10" s="1"/>
  <c r="C277" i="10"/>
  <c r="D277" i="10" s="1"/>
  <c r="C454" i="10"/>
  <c r="D454" i="10" s="1"/>
  <c r="C988" i="10"/>
  <c r="D988" i="10" s="1"/>
  <c r="C339" i="10"/>
  <c r="D339" i="10" s="1"/>
  <c r="C443" i="10"/>
  <c r="D443" i="10" s="1"/>
  <c r="C669" i="10"/>
  <c r="D669" i="10" s="1"/>
  <c r="C727" i="10"/>
  <c r="D727" i="10" s="1"/>
  <c r="C972" i="10"/>
  <c r="D972" i="10" s="1"/>
  <c r="C67" i="10"/>
  <c r="D67" i="10" s="1"/>
  <c r="C768" i="10"/>
  <c r="D768" i="10" s="1"/>
  <c r="C829" i="10"/>
  <c r="D829" i="10" s="1"/>
  <c r="C862" i="10"/>
  <c r="D862" i="10" s="1"/>
  <c r="C784" i="10"/>
  <c r="D784" i="10" s="1"/>
  <c r="C887" i="10"/>
  <c r="D887" i="10" s="1"/>
  <c r="C772" i="10"/>
  <c r="D772" i="10" s="1"/>
  <c r="C557" i="10"/>
  <c r="D557" i="10" s="1"/>
  <c r="C740" i="10"/>
  <c r="D740" i="10" s="1"/>
  <c r="C716" i="10"/>
  <c r="D716" i="10" s="1"/>
  <c r="C725" i="10"/>
  <c r="D725" i="10" s="1"/>
  <c r="C731" i="10"/>
  <c r="D731" i="10" s="1"/>
  <c r="C106" i="10"/>
  <c r="D106" i="10" s="1"/>
  <c r="C186" i="10"/>
  <c r="D186" i="10" s="1"/>
  <c r="C957" i="10"/>
  <c r="D957" i="10" s="1"/>
  <c r="C584" i="10"/>
  <c r="D584" i="10" s="1"/>
  <c r="C238" i="10"/>
  <c r="D238" i="10" s="1"/>
  <c r="C530" i="10"/>
  <c r="D530" i="10" s="1"/>
  <c r="C792" i="10"/>
  <c r="D792" i="10" s="1"/>
  <c r="C661" i="10"/>
  <c r="D661" i="10" s="1"/>
  <c r="C722" i="10"/>
  <c r="D722" i="10" s="1"/>
  <c r="C363" i="10"/>
  <c r="D363" i="10" s="1"/>
  <c r="C840" i="10"/>
  <c r="D840" i="10" s="1"/>
  <c r="C626" i="10"/>
  <c r="D626" i="10" s="1"/>
  <c r="C231" i="10"/>
  <c r="D231" i="10" s="1"/>
  <c r="C946" i="10"/>
  <c r="D946" i="10" s="1"/>
  <c r="C791" i="10"/>
  <c r="D791" i="10" s="1"/>
  <c r="C136" i="10"/>
  <c r="D136" i="10" s="1"/>
  <c r="C45" i="10"/>
  <c r="D45" i="10" s="1"/>
  <c r="C808" i="10"/>
  <c r="D808" i="10" s="1"/>
  <c r="C846" i="10"/>
  <c r="D846" i="10" s="1"/>
  <c r="C39" i="10"/>
  <c r="D39" i="10" s="1"/>
  <c r="C403" i="10"/>
  <c r="D403" i="10" s="1"/>
  <c r="C42" i="10"/>
  <c r="D42" i="10" s="1"/>
  <c r="C299" i="10"/>
  <c r="D299" i="10" s="1"/>
  <c r="C270" i="10"/>
  <c r="D270" i="10" s="1"/>
  <c r="C374" i="10"/>
  <c r="D374" i="10" s="1"/>
  <c r="C648" i="10"/>
  <c r="D648" i="10" s="1"/>
  <c r="C671" i="10"/>
  <c r="D671" i="10" s="1"/>
  <c r="C477" i="10"/>
  <c r="D477" i="10" s="1"/>
  <c r="C646" i="10"/>
  <c r="D646" i="10" s="1"/>
  <c r="C601" i="10"/>
  <c r="D601" i="10" s="1"/>
  <c r="C508" i="10"/>
  <c r="D508" i="10" s="1"/>
  <c r="C494" i="10"/>
  <c r="D494" i="10" s="1"/>
  <c r="C414" i="10"/>
  <c r="D414" i="10" s="1"/>
  <c r="C328" i="10"/>
  <c r="D328" i="10" s="1"/>
  <c r="C306" i="10"/>
  <c r="D306" i="10" s="1"/>
  <c r="C274" i="10"/>
  <c r="D274" i="10" s="1"/>
  <c r="C606" i="10"/>
  <c r="D606" i="10" s="1"/>
  <c r="C502" i="10"/>
  <c r="D502" i="10" s="1"/>
  <c r="C421" i="10"/>
  <c r="D421" i="10" s="1"/>
  <c r="C137" i="10"/>
  <c r="D137" i="10" s="1"/>
  <c r="C832" i="10"/>
  <c r="D832" i="10" s="1"/>
  <c r="C229" i="10"/>
  <c r="D229" i="10" s="1"/>
  <c r="C913" i="10"/>
  <c r="D913" i="10" s="1"/>
  <c r="C145" i="10"/>
  <c r="D145" i="10" s="1"/>
  <c r="C177" i="10"/>
  <c r="D177" i="10" s="1"/>
  <c r="C505" i="10"/>
  <c r="D505" i="10" s="1"/>
  <c r="C431" i="10"/>
  <c r="D431" i="10" s="1"/>
  <c r="C382" i="10"/>
  <c r="D382" i="10" s="1"/>
  <c r="C350" i="10"/>
  <c r="D350" i="10" s="1"/>
  <c r="C310" i="10"/>
  <c r="D310" i="10" s="1"/>
  <c r="C822" i="10"/>
  <c r="D822" i="10" s="1"/>
  <c r="C535" i="10"/>
  <c r="D535" i="10" s="1"/>
  <c r="C600" i="10"/>
  <c r="D600" i="10" s="1"/>
  <c r="C486" i="10"/>
  <c r="D486" i="10" s="1"/>
  <c r="C355" i="10"/>
  <c r="D355" i="10" s="1"/>
  <c r="C267" i="10"/>
  <c r="D267" i="10" s="1"/>
  <c r="C220" i="10"/>
  <c r="D220" i="10" s="1"/>
  <c r="C216" i="10"/>
  <c r="D216" i="10" s="1"/>
  <c r="C52" i="10"/>
  <c r="D52" i="10" s="1"/>
  <c r="C800" i="10"/>
  <c r="D800" i="10" s="1"/>
  <c r="C157" i="10"/>
  <c r="D157" i="10" s="1"/>
  <c r="C665" i="10"/>
  <c r="D665" i="10" s="1"/>
  <c r="C580" i="10"/>
  <c r="D580" i="10" s="1"/>
  <c r="C500" i="10"/>
  <c r="D500" i="10" s="1"/>
  <c r="C656" i="10"/>
  <c r="D656" i="10" s="1"/>
  <c r="C519" i="10"/>
  <c r="D519" i="10" s="1"/>
  <c r="C447" i="10"/>
  <c r="D447" i="10" s="1"/>
  <c r="C402" i="10"/>
  <c r="D402" i="10" s="1"/>
  <c r="C370" i="10"/>
  <c r="D370" i="10" s="1"/>
  <c r="C296" i="10"/>
  <c r="D296" i="10" s="1"/>
  <c r="C264" i="10"/>
  <c r="D264" i="10" s="1"/>
  <c r="C689" i="10"/>
  <c r="D689" i="10" s="1"/>
  <c r="C525" i="10"/>
  <c r="D525" i="10" s="1"/>
  <c r="C407" i="10"/>
  <c r="D407" i="10" s="1"/>
  <c r="C581" i="10"/>
  <c r="D581" i="10" s="1"/>
  <c r="C456" i="10"/>
  <c r="D456" i="10" s="1"/>
  <c r="C259" i="10"/>
  <c r="D259" i="10" s="1"/>
  <c r="C226" i="10"/>
  <c r="D226" i="10" s="1"/>
  <c r="C38" i="10"/>
  <c r="D38" i="10" s="1"/>
  <c r="C62" i="10"/>
  <c r="D62" i="10" s="1"/>
  <c r="C103" i="10"/>
  <c r="D103" i="10" s="1"/>
  <c r="C631" i="10"/>
  <c r="D631" i="10" s="1"/>
  <c r="C677" i="10"/>
  <c r="D677" i="10" s="1"/>
  <c r="C706" i="10"/>
  <c r="D706" i="10" s="1"/>
  <c r="C762" i="10"/>
  <c r="D762" i="10" s="1"/>
  <c r="C793" i="10"/>
  <c r="D793" i="10" s="1"/>
  <c r="C420" i="10"/>
  <c r="D420" i="10" s="1"/>
  <c r="C35" i="10"/>
  <c r="D35" i="10" s="1"/>
  <c r="C918" i="10"/>
  <c r="D918" i="10" s="1"/>
  <c r="C956" i="10"/>
  <c r="D956" i="10" s="1"/>
  <c r="C845" i="10"/>
  <c r="D845" i="10" s="1"/>
  <c r="C767" i="10"/>
  <c r="D767" i="10" s="1"/>
  <c r="C371" i="10"/>
  <c r="D371" i="10" s="1"/>
  <c r="C118" i="10"/>
  <c r="D118" i="10" s="1"/>
  <c r="C994" i="10"/>
  <c r="D994" i="10" s="1"/>
  <c r="C747" i="10"/>
  <c r="D747" i="10" s="1"/>
  <c r="C983" i="10"/>
  <c r="D983" i="10" s="1"/>
  <c r="C158" i="10"/>
  <c r="D158" i="10" s="1"/>
  <c r="C134" i="10"/>
  <c r="D134" i="10" s="1"/>
  <c r="C202" i="10"/>
  <c r="D202" i="10" s="1"/>
  <c r="C313" i="10"/>
  <c r="D313" i="10" s="1"/>
  <c r="C618" i="10"/>
  <c r="D618" i="10" s="1"/>
  <c r="C816" i="10"/>
  <c r="D816" i="10" s="1"/>
  <c r="C854" i="10"/>
  <c r="D854" i="10" s="1"/>
  <c r="F73" i="32"/>
  <c r="C351" i="10"/>
  <c r="D351" i="10" s="1"/>
  <c r="C877" i="10"/>
  <c r="D877" i="10" s="1"/>
  <c r="C828" i="10"/>
  <c r="D828" i="10" s="1"/>
  <c r="C301" i="10"/>
  <c r="D301" i="10" s="1"/>
  <c r="C546" i="10"/>
  <c r="D546" i="10" s="1"/>
  <c r="C802" i="10"/>
  <c r="D802" i="10" s="1"/>
  <c r="C92" i="10"/>
  <c r="D92" i="10" s="1"/>
  <c r="C917" i="10"/>
  <c r="D917" i="10" s="1"/>
  <c r="C763" i="10"/>
  <c r="D763" i="10" s="1"/>
  <c r="C495" i="10"/>
  <c r="D495" i="10" s="1"/>
  <c r="C287" i="10"/>
  <c r="D287" i="10" s="1"/>
  <c r="C193" i="10"/>
  <c r="D193" i="10" s="1"/>
  <c r="C76" i="10"/>
  <c r="D76" i="10" s="1"/>
  <c r="C818" i="10"/>
  <c r="D818" i="10" s="1"/>
  <c r="C329" i="10"/>
  <c r="D329" i="10" s="1"/>
  <c r="C440" i="10"/>
  <c r="D440" i="10" s="1"/>
  <c r="C217" i="10"/>
  <c r="D217" i="10" s="1"/>
  <c r="C873" i="10"/>
  <c r="D873" i="10" s="1"/>
  <c r="C209" i="10"/>
  <c r="D209" i="10" s="1"/>
  <c r="N73" i="5"/>
  <c r="C952" i="10"/>
  <c r="D952" i="10" s="1"/>
  <c r="C782" i="10"/>
  <c r="D782" i="10" s="1"/>
  <c r="C561" i="10"/>
  <c r="D561" i="10" s="1"/>
  <c r="C512" i="10"/>
  <c r="D512" i="10" s="1"/>
  <c r="C398" i="10"/>
  <c r="D398" i="10" s="1"/>
  <c r="C294" i="10"/>
  <c r="D294" i="10" s="1"/>
  <c r="C675" i="10"/>
  <c r="D675" i="10" s="1"/>
  <c r="C575" i="10"/>
  <c r="D575" i="10" s="1"/>
  <c r="C365" i="10"/>
  <c r="D365" i="10" s="1"/>
  <c r="C208" i="10"/>
  <c r="D208" i="10" s="1"/>
  <c r="C91" i="10"/>
  <c r="D91" i="10" s="1"/>
  <c r="C574" i="10"/>
  <c r="D574" i="10" s="1"/>
  <c r="C349" i="10"/>
  <c r="D349" i="10" s="1"/>
  <c r="C225" i="10"/>
  <c r="D225" i="10" s="1"/>
  <c r="C899" i="10"/>
  <c r="D899" i="10" s="1"/>
  <c r="C707" i="10"/>
  <c r="D707" i="10" s="1"/>
  <c r="C944" i="10"/>
  <c r="D944" i="10" s="1"/>
  <c r="C369" i="10"/>
  <c r="D369" i="10" s="1"/>
  <c r="C69" i="10"/>
  <c r="D69" i="10" s="1"/>
  <c r="C207" i="10"/>
  <c r="D207" i="10" s="1"/>
  <c r="C794" i="10"/>
  <c r="D794" i="10" s="1"/>
  <c r="C167" i="10"/>
  <c r="D167" i="10" s="1"/>
  <c r="C261" i="10"/>
  <c r="D261" i="10" s="1"/>
  <c r="C960" i="10"/>
  <c r="D960" i="10" s="1"/>
  <c r="C795" i="10"/>
  <c r="D795" i="10" s="1"/>
  <c r="C333" i="10"/>
  <c r="D333" i="10" s="1"/>
  <c r="C741" i="10"/>
  <c r="D741" i="10" s="1"/>
  <c r="C685" i="10"/>
  <c r="D685" i="10" s="1"/>
  <c r="C87" i="10"/>
  <c r="D87" i="10" s="1"/>
  <c r="C46" i="10"/>
  <c r="D46" i="10" s="1"/>
  <c r="C347" i="10"/>
  <c r="D347" i="10" s="1"/>
  <c r="C543" i="10"/>
  <c r="D543" i="10" s="1"/>
  <c r="C467" i="10"/>
  <c r="D467" i="10" s="1"/>
  <c r="C254" i="10"/>
  <c r="D254" i="10" s="1"/>
  <c r="C338" i="10"/>
  <c r="D338" i="10" s="1"/>
  <c r="C390" i="10"/>
  <c r="D390" i="10" s="1"/>
  <c r="C487" i="10"/>
  <c r="D487" i="10" s="1"/>
  <c r="C481" i="10"/>
  <c r="D481" i="10" s="1"/>
  <c r="C630" i="10"/>
  <c r="D630" i="10" s="1"/>
  <c r="C194" i="10"/>
  <c r="D194" i="10" s="1"/>
  <c r="C60" i="10"/>
  <c r="D60" i="10" s="1"/>
  <c r="C184" i="10"/>
  <c r="D184" i="10" s="1"/>
  <c r="C323" i="10"/>
  <c r="D323" i="10" s="1"/>
  <c r="C550" i="10"/>
  <c r="D550" i="10" s="1"/>
  <c r="C478" i="10"/>
  <c r="D478" i="10" s="1"/>
  <c r="C372" i="10"/>
  <c r="D372" i="10" s="1"/>
  <c r="C498" i="10"/>
  <c r="D498" i="10" s="1"/>
  <c r="C636" i="10"/>
  <c r="D636" i="10" s="1"/>
  <c r="C82" i="10"/>
  <c r="D82" i="10" s="1"/>
  <c r="C223" i="10"/>
  <c r="D223" i="10" s="1"/>
  <c r="C391" i="10"/>
  <c r="D391" i="10" s="1"/>
  <c r="C582" i="10"/>
  <c r="D582" i="10" s="1"/>
  <c r="C266" i="10"/>
  <c r="D266" i="10" s="1"/>
  <c r="C376" i="10"/>
  <c r="D376" i="10" s="1"/>
  <c r="C458" i="10"/>
  <c r="D458" i="10" s="1"/>
  <c r="C26" i="10"/>
  <c r="D26" i="10" s="1"/>
  <c r="C265" i="10"/>
  <c r="D265" i="10" s="1"/>
  <c r="C865" i="10"/>
  <c r="D865" i="10" s="1"/>
  <c r="C312" i="10"/>
  <c r="D312" i="10" s="1"/>
  <c r="C441" i="10"/>
  <c r="D441" i="10" s="1"/>
  <c r="C253" i="10"/>
  <c r="D253" i="10" s="1"/>
  <c r="C932" i="10"/>
  <c r="D932" i="10" s="1"/>
  <c r="C119" i="10"/>
  <c r="D119" i="10" s="1"/>
  <c r="C907" i="10"/>
  <c r="D907" i="10" s="1"/>
  <c r="C444" i="10"/>
  <c r="D444" i="10" s="1"/>
  <c r="C964" i="10"/>
  <c r="D964" i="10" s="1"/>
  <c r="C680" i="10"/>
  <c r="D680" i="10" s="1"/>
  <c r="C260" i="10"/>
  <c r="D260" i="10" s="1"/>
  <c r="C868" i="10"/>
  <c r="D868" i="10" s="1"/>
  <c r="C175" i="10"/>
  <c r="D175" i="10" s="1"/>
  <c r="C924" i="10"/>
  <c r="D924" i="10" s="1"/>
  <c r="C906" i="10"/>
  <c r="D906" i="10" s="1"/>
  <c r="C64" i="10"/>
  <c r="D64" i="10" s="1"/>
  <c r="C187" i="10"/>
  <c r="D187" i="10" s="1"/>
  <c r="C536" i="10"/>
  <c r="D536" i="10" s="1"/>
  <c r="C353" i="10"/>
  <c r="D353" i="10" s="1"/>
  <c r="C470" i="10"/>
  <c r="D470" i="10" s="1"/>
  <c r="C748" i="10"/>
  <c r="D748" i="10" s="1"/>
  <c r="F79" i="32"/>
  <c r="L73" i="32"/>
  <c r="L67" i="32" s="1"/>
  <c r="C991" i="10"/>
  <c r="D991" i="10" s="1"/>
  <c r="C999" i="10"/>
  <c r="D999" i="10" s="1"/>
  <c r="C904" i="10"/>
  <c r="D904" i="10" s="1"/>
  <c r="C935" i="10"/>
  <c r="D935" i="10" s="1"/>
  <c r="C885" i="10"/>
  <c r="D885" i="10" s="1"/>
  <c r="C112" i="10"/>
  <c r="D112" i="10" s="1"/>
  <c r="C844" i="10"/>
  <c r="D844" i="10" s="1"/>
  <c r="C395" i="10"/>
  <c r="D395" i="10" s="1"/>
  <c r="C852" i="10"/>
  <c r="D852" i="10" s="1"/>
  <c r="C59" i="10"/>
  <c r="D59" i="10" s="1"/>
  <c r="C149" i="10"/>
  <c r="D149" i="10" s="1"/>
  <c r="C201" i="10"/>
  <c r="D201" i="10" s="1"/>
  <c r="C510" i="10"/>
  <c r="D510" i="10" s="1"/>
  <c r="C169" i="10"/>
  <c r="D169" i="10" s="1"/>
  <c r="C958" i="10"/>
  <c r="D958" i="10" s="1"/>
  <c r="C969" i="10"/>
  <c r="D969" i="10" s="1"/>
  <c r="C866" i="10"/>
  <c r="D866" i="10" s="1"/>
  <c r="C842" i="10"/>
  <c r="D842" i="10" s="1"/>
  <c r="C977" i="10"/>
  <c r="D977" i="10" s="1"/>
  <c r="C377" i="10"/>
  <c r="D377" i="10" s="1"/>
  <c r="M73" i="5"/>
  <c r="C337" i="10"/>
  <c r="D337" i="10" s="1"/>
  <c r="C658" i="10"/>
  <c r="D658" i="10" s="1"/>
  <c r="C650" i="10"/>
  <c r="D650" i="10" s="1"/>
  <c r="C463" i="10"/>
  <c r="D463" i="10" s="1"/>
  <c r="C334" i="10"/>
  <c r="D334" i="10" s="1"/>
  <c r="C272" i="10"/>
  <c r="D272" i="10" s="1"/>
  <c r="C432" i="10"/>
  <c r="D432" i="10" s="1"/>
  <c r="C499" i="10"/>
  <c r="D499" i="10" s="1"/>
  <c r="C232" i="10"/>
  <c r="D232" i="10" s="1"/>
  <c r="C40" i="10"/>
  <c r="D40" i="10" s="1"/>
  <c r="C68" i="10"/>
  <c r="D68" i="10" s="1"/>
  <c r="C101" i="10"/>
  <c r="D101" i="10" s="1"/>
  <c r="C436" i="10"/>
  <c r="D436" i="10" s="1"/>
  <c r="C303" i="10"/>
  <c r="D303" i="10" s="1"/>
  <c r="C96" i="10"/>
  <c r="D96" i="10" s="1"/>
  <c r="C835" i="10"/>
  <c r="D835" i="10" s="1"/>
  <c r="C897" i="10"/>
  <c r="D897" i="10" s="1"/>
  <c r="C901" i="10"/>
  <c r="D901" i="10" s="1"/>
  <c r="C721" i="10"/>
  <c r="D721" i="10" s="1"/>
  <c r="C102" i="10"/>
  <c r="D102" i="10" s="1"/>
  <c r="C150" i="10"/>
  <c r="D150" i="10" s="1"/>
  <c r="C841" i="10"/>
  <c r="D841" i="10" s="1"/>
  <c r="C934" i="10"/>
  <c r="D934" i="10" s="1"/>
  <c r="C135" i="10"/>
  <c r="D135" i="10" s="1"/>
  <c r="C419" i="10"/>
  <c r="D419" i="10" s="1"/>
  <c r="C908" i="10"/>
  <c r="D908" i="10" s="1"/>
  <c r="C100" i="10"/>
  <c r="D100" i="10" s="1"/>
  <c r="C485" i="10"/>
  <c r="D485" i="10" s="1"/>
  <c r="C714" i="10"/>
  <c r="D714" i="10" s="1"/>
  <c r="C664" i="10"/>
  <c r="D664" i="10" s="1"/>
  <c r="C71" i="10"/>
  <c r="D71" i="10" s="1"/>
  <c r="C30" i="10"/>
  <c r="D30" i="10" s="1"/>
  <c r="C427" i="10"/>
  <c r="D427" i="10" s="1"/>
  <c r="C587" i="10"/>
  <c r="D587" i="10" s="1"/>
  <c r="C286" i="10"/>
  <c r="D286" i="10" s="1"/>
  <c r="C358" i="10"/>
  <c r="D358" i="10" s="1"/>
  <c r="C423" i="10"/>
  <c r="D423" i="10" s="1"/>
  <c r="C576" i="10"/>
  <c r="D576" i="10" s="1"/>
  <c r="C545" i="10"/>
  <c r="D545" i="10" s="1"/>
  <c r="C790" i="10"/>
  <c r="D790" i="10" s="1"/>
  <c r="C476" i="10"/>
  <c r="D476" i="10" s="1"/>
  <c r="C36" i="10"/>
  <c r="D36" i="10" s="1"/>
  <c r="C236" i="10"/>
  <c r="D236" i="10" s="1"/>
  <c r="C437" i="10"/>
  <c r="D437" i="10" s="1"/>
  <c r="C742" i="10"/>
  <c r="D742" i="10" s="1"/>
  <c r="C568" i="10"/>
  <c r="D568" i="10" s="1"/>
  <c r="C268" i="10"/>
  <c r="D268" i="10" s="1"/>
  <c r="C330" i="10"/>
  <c r="D330" i="10" s="1"/>
  <c r="C394" i="10"/>
  <c r="D394" i="10" s="1"/>
  <c r="C548" i="10"/>
  <c r="D548" i="10" s="1"/>
  <c r="C806" i="10"/>
  <c r="D806" i="10" s="1"/>
  <c r="C98" i="10"/>
  <c r="D98" i="10" s="1"/>
  <c r="C133" i="10"/>
  <c r="D133" i="10" s="1"/>
  <c r="C464" i="10"/>
  <c r="D464" i="10" s="1"/>
  <c r="C290" i="10"/>
  <c r="D290" i="10" s="1"/>
  <c r="C344" i="10"/>
  <c r="D344" i="10" s="1"/>
  <c r="C400" i="10"/>
  <c r="D400" i="10" s="1"/>
  <c r="C558" i="10"/>
  <c r="D558" i="10" s="1"/>
  <c r="C108" i="10"/>
  <c r="D108" i="10" s="1"/>
  <c r="C799" i="10"/>
  <c r="D799" i="10" s="1"/>
  <c r="C455" i="10"/>
  <c r="D455" i="10" s="1"/>
  <c r="C573" i="10"/>
  <c r="D573" i="10" s="1"/>
  <c r="C507" i="10"/>
  <c r="D507" i="10" s="1"/>
  <c r="C943" i="10"/>
  <c r="D943" i="10" s="1"/>
  <c r="C309" i="10"/>
  <c r="D309" i="10" s="1"/>
  <c r="C160" i="10"/>
  <c r="D160" i="10" s="1"/>
  <c r="C114" i="10"/>
  <c r="D114" i="10" s="1"/>
  <c r="C915" i="10"/>
  <c r="D915" i="10" s="1"/>
  <c r="C760" i="10"/>
  <c r="D760" i="10" s="1"/>
  <c r="C637" i="10"/>
  <c r="D637" i="10" s="1"/>
  <c r="C670" i="10"/>
  <c r="D670" i="10" s="1"/>
  <c r="C317" i="10"/>
  <c r="D317" i="10" s="1"/>
  <c r="C514" i="10"/>
  <c r="D514" i="10" s="1"/>
  <c r="C857" i="10"/>
  <c r="D857" i="10" s="1"/>
  <c r="C825" i="10"/>
  <c r="D825" i="10" s="1"/>
  <c r="C410" i="10"/>
  <c r="D410" i="10" s="1"/>
  <c r="C931" i="10"/>
  <c r="D931" i="10" s="1"/>
  <c r="C159" i="10"/>
  <c r="D159" i="10" s="1"/>
  <c r="C659" i="10"/>
  <c r="D659" i="10" s="1"/>
  <c r="C181" i="10"/>
  <c r="D181" i="10" s="1"/>
  <c r="C154" i="10"/>
  <c r="D154" i="10" s="1"/>
  <c r="C692" i="10"/>
  <c r="D692" i="10" s="1"/>
  <c r="C984" i="10"/>
  <c r="D984" i="10" s="1"/>
  <c r="C985" i="10"/>
  <c r="D985" i="10" s="1"/>
  <c r="O74" i="32"/>
  <c r="O94" i="5"/>
  <c r="O68" i="32"/>
  <c r="K87" i="32"/>
  <c r="K89" i="32" s="1"/>
  <c r="K89" i="5"/>
  <c r="N89" i="32"/>
  <c r="F99" i="32"/>
  <c r="I89" i="5"/>
  <c r="I88" i="32"/>
  <c r="D94" i="5"/>
  <c r="D92" i="32"/>
  <c r="D94" i="32" s="1"/>
  <c r="J89" i="5"/>
  <c r="J87" i="32"/>
  <c r="F93" i="32"/>
  <c r="F94" i="32" s="1"/>
  <c r="F94" i="5"/>
  <c r="I89" i="32"/>
  <c r="J97" i="32"/>
  <c r="J99" i="32" s="1"/>
  <c r="J99" i="5"/>
  <c r="H94" i="32"/>
  <c r="D73" i="32"/>
  <c r="D67" i="32" s="1"/>
  <c r="N67" i="5"/>
  <c r="O78" i="32"/>
  <c r="F39" i="5"/>
  <c r="F39" i="32" s="1"/>
  <c r="O72" i="32"/>
  <c r="N69" i="32"/>
  <c r="N73" i="32" s="1"/>
  <c r="M71" i="32"/>
  <c r="M73" i="32" s="1"/>
  <c r="N77" i="32"/>
  <c r="N79" i="32" s="1"/>
  <c r="O70" i="32"/>
  <c r="J93" i="32"/>
  <c r="O93" i="32" s="1"/>
  <c r="J94" i="5"/>
  <c r="C97" i="32"/>
  <c r="C99" i="5"/>
  <c r="K97" i="32"/>
  <c r="K99" i="32" s="1"/>
  <c r="K99" i="5"/>
  <c r="K63" i="5"/>
  <c r="K63" i="32" s="1"/>
  <c r="I92" i="32"/>
  <c r="I94" i="5"/>
  <c r="M99" i="32"/>
  <c r="K92" i="32"/>
  <c r="K94" i="32" s="1"/>
  <c r="K94" i="5"/>
  <c r="J94" i="32"/>
  <c r="O76" i="32" l="1"/>
  <c r="M67" i="32"/>
  <c r="M67" i="5"/>
  <c r="C67" i="32"/>
  <c r="D67" i="5"/>
  <c r="G61" i="5"/>
  <c r="G61" i="32" s="1"/>
  <c r="H14" i="5"/>
  <c r="F67" i="32"/>
  <c r="I67" i="5"/>
  <c r="I67" i="32"/>
  <c r="G67" i="32"/>
  <c r="O98" i="32"/>
  <c r="O75" i="32"/>
  <c r="E67" i="32"/>
  <c r="O43" i="5"/>
  <c r="N24" i="5"/>
  <c r="N24" i="32" s="1"/>
  <c r="M59" i="5"/>
  <c r="M59" i="32" s="1"/>
  <c r="G62" i="5"/>
  <c r="G62" i="32" s="1"/>
  <c r="C64" i="5"/>
  <c r="C64" i="32" s="1"/>
  <c r="M64" i="5"/>
  <c r="M64" i="32" s="1"/>
  <c r="D61" i="5"/>
  <c r="D61" i="32" s="1"/>
  <c r="J59" i="5"/>
  <c r="J59" i="32" s="1"/>
  <c r="J45" i="5"/>
  <c r="J45" i="32" s="1"/>
  <c r="I56" i="5"/>
  <c r="I56" i="32" s="1"/>
  <c r="E42" i="5"/>
  <c r="E42" i="32" s="1"/>
  <c r="E39" i="5"/>
  <c r="E39" i="32" s="1"/>
  <c r="J43" i="5"/>
  <c r="J43" i="32" s="1"/>
  <c r="H37" i="5"/>
  <c r="H37" i="32" s="1"/>
  <c r="N6" i="5"/>
  <c r="N6" i="32" s="1"/>
  <c r="E49" i="5"/>
  <c r="E49" i="32" s="1"/>
  <c r="G25" i="5"/>
  <c r="G25" i="32" s="1"/>
  <c r="O27" i="5"/>
  <c r="M22" i="5"/>
  <c r="M22" i="32" s="1"/>
  <c r="C27" i="5"/>
  <c r="C27" i="32" s="1"/>
  <c r="I32" i="5"/>
  <c r="I32" i="32" s="1"/>
  <c r="L24" i="5"/>
  <c r="L24" i="32" s="1"/>
  <c r="L60" i="5"/>
  <c r="L60" i="32" s="1"/>
  <c r="H50" i="5"/>
  <c r="H50" i="32" s="1"/>
  <c r="G21" i="5"/>
  <c r="G21" i="32" s="1"/>
  <c r="D45" i="5"/>
  <c r="D45" i="32" s="1"/>
  <c r="F51" i="5"/>
  <c r="F51" i="32" s="1"/>
  <c r="O25" i="5"/>
  <c r="I6" i="5"/>
  <c r="I6" i="32" s="1"/>
  <c r="N21" i="5"/>
  <c r="N21" i="32" s="1"/>
  <c r="G53" i="5"/>
  <c r="G53" i="32" s="1"/>
  <c r="O21" i="5"/>
  <c r="E10" i="5"/>
  <c r="E10" i="32" s="1"/>
  <c r="D28" i="5"/>
  <c r="D28" i="32" s="1"/>
  <c r="H27" i="5"/>
  <c r="H27" i="32" s="1"/>
  <c r="E56" i="5"/>
  <c r="E56" i="32" s="1"/>
  <c r="M25" i="5"/>
  <c r="M25" i="32" s="1"/>
  <c r="L51" i="5"/>
  <c r="L51" i="32" s="1"/>
  <c r="O57" i="5"/>
  <c r="C46" i="5"/>
  <c r="C46" i="32" s="1"/>
  <c r="M51" i="5"/>
  <c r="M51" i="32" s="1"/>
  <c r="K37" i="5"/>
  <c r="K37" i="32" s="1"/>
  <c r="M19" i="5"/>
  <c r="M19" i="32" s="1"/>
  <c r="M9" i="5"/>
  <c r="M9" i="32" s="1"/>
  <c r="N15" i="5"/>
  <c r="N15" i="32" s="1"/>
  <c r="N18" i="5"/>
  <c r="N18" i="32" s="1"/>
  <c r="L42" i="5"/>
  <c r="L42" i="32" s="1"/>
  <c r="C65" i="5"/>
  <c r="C65" i="32" s="1"/>
  <c r="D34" i="5"/>
  <c r="D34" i="32" s="1"/>
  <c r="K26" i="5"/>
  <c r="K26" i="32" s="1"/>
  <c r="L26" i="5"/>
  <c r="L26" i="32" s="1"/>
  <c r="L41" i="5"/>
  <c r="L41" i="32" s="1"/>
  <c r="K25" i="5"/>
  <c r="K25" i="32" s="1"/>
  <c r="E9" i="5"/>
  <c r="E9" i="32" s="1"/>
  <c r="O56" i="5"/>
  <c r="E40" i="5"/>
  <c r="E40" i="32" s="1"/>
  <c r="O10" i="5"/>
  <c r="O79" i="5" s="1"/>
  <c r="O67" i="5" s="1"/>
  <c r="N38" i="5"/>
  <c r="N38" i="32" s="1"/>
  <c r="I22" i="5"/>
  <c r="I22" i="32" s="1"/>
  <c r="G42" i="5"/>
  <c r="G42" i="32" s="1"/>
  <c r="F44" i="5"/>
  <c r="F44" i="32" s="1"/>
  <c r="M60" i="5"/>
  <c r="M60" i="32" s="1"/>
  <c r="J37" i="5"/>
  <c r="J37" i="32" s="1"/>
  <c r="I45" i="5"/>
  <c r="I45" i="32" s="1"/>
  <c r="L53" i="5"/>
  <c r="L53" i="32" s="1"/>
  <c r="H36" i="5"/>
  <c r="H36" i="32" s="1"/>
  <c r="N23" i="5"/>
  <c r="N23" i="32" s="1"/>
  <c r="J27" i="5"/>
  <c r="J27" i="32" s="1"/>
  <c r="I58" i="5"/>
  <c r="I58" i="32" s="1"/>
  <c r="I23" i="5"/>
  <c r="I23" i="32" s="1"/>
  <c r="F48" i="5"/>
  <c r="F48" i="32" s="1"/>
  <c r="C31" i="5"/>
  <c r="C31" i="32" s="1"/>
  <c r="N25" i="5"/>
  <c r="N25" i="32" s="1"/>
  <c r="O46" i="5"/>
  <c r="K29" i="5"/>
  <c r="K29" i="32" s="1"/>
  <c r="C24" i="5"/>
  <c r="C24" i="32" s="1"/>
  <c r="D16" i="5"/>
  <c r="D16" i="32" s="1"/>
  <c r="M55" i="5"/>
  <c r="M55" i="32" s="1"/>
  <c r="E7" i="5"/>
  <c r="E7" i="32" s="1"/>
  <c r="C47" i="5"/>
  <c r="C47" i="32" s="1"/>
  <c r="I14" i="5"/>
  <c r="I14" i="32" s="1"/>
  <c r="D43" i="5"/>
  <c r="D43" i="32" s="1"/>
  <c r="L57" i="5"/>
  <c r="L57" i="32" s="1"/>
  <c r="C30" i="5"/>
  <c r="C30" i="32" s="1"/>
  <c r="C35" i="5"/>
  <c r="C35" i="32" s="1"/>
  <c r="I48" i="5"/>
  <c r="I48" i="32" s="1"/>
  <c r="O24" i="5"/>
  <c r="G47" i="5"/>
  <c r="G47" i="32" s="1"/>
  <c r="D32" i="5"/>
  <c r="D32" i="32" s="1"/>
  <c r="J48" i="5"/>
  <c r="J48" i="32" s="1"/>
  <c r="N35" i="5"/>
  <c r="N35" i="32" s="1"/>
  <c r="K46" i="5"/>
  <c r="K46" i="32" s="1"/>
  <c r="K51" i="5"/>
  <c r="K51" i="32" s="1"/>
  <c r="L38" i="5"/>
  <c r="L38" i="32" s="1"/>
  <c r="G7" i="5"/>
  <c r="G7" i="32" s="1"/>
  <c r="I47" i="5"/>
  <c r="I47" i="32" s="1"/>
  <c r="O34" i="5"/>
  <c r="I21" i="5"/>
  <c r="I21" i="32" s="1"/>
  <c r="C36" i="5"/>
  <c r="C36" i="32" s="1"/>
  <c r="N55" i="5"/>
  <c r="N55" i="32" s="1"/>
  <c r="E55" i="5"/>
  <c r="E55" i="32" s="1"/>
  <c r="E53" i="5"/>
  <c r="E53" i="32" s="1"/>
  <c r="C22" i="5"/>
  <c r="C22" i="32" s="1"/>
  <c r="F42" i="5"/>
  <c r="F42" i="32" s="1"/>
  <c r="M21" i="5"/>
  <c r="M21" i="32" s="1"/>
  <c r="D31" i="5"/>
  <c r="D31" i="32" s="1"/>
  <c r="M65" i="5"/>
  <c r="M65" i="32" s="1"/>
  <c r="L43" i="5"/>
  <c r="L43" i="32" s="1"/>
  <c r="M18" i="5"/>
  <c r="M18" i="32" s="1"/>
  <c r="E35" i="5"/>
  <c r="E35" i="32" s="1"/>
  <c r="F28" i="5"/>
  <c r="F28" i="32" s="1"/>
  <c r="F34" i="5"/>
  <c r="F34" i="32" s="1"/>
  <c r="C9" i="5"/>
  <c r="C9" i="32" s="1"/>
  <c r="C54" i="5"/>
  <c r="C54" i="32" s="1"/>
  <c r="L55" i="5"/>
  <c r="L55" i="32" s="1"/>
  <c r="M17" i="5"/>
  <c r="M17" i="32" s="1"/>
  <c r="M45" i="5"/>
  <c r="M45" i="32" s="1"/>
  <c r="D55" i="5"/>
  <c r="D55" i="32" s="1"/>
  <c r="M46" i="5"/>
  <c r="M46" i="32" s="1"/>
  <c r="L25" i="5"/>
  <c r="L25" i="32" s="1"/>
  <c r="D53" i="5"/>
  <c r="D53" i="32" s="1"/>
  <c r="L58" i="5"/>
  <c r="L58" i="32" s="1"/>
  <c r="G16" i="5"/>
  <c r="G16" i="32" s="1"/>
  <c r="F50" i="5"/>
  <c r="F50" i="32" s="1"/>
  <c r="G45" i="5"/>
  <c r="G45" i="32" s="1"/>
  <c r="O42" i="5"/>
  <c r="O52" i="5"/>
  <c r="L56" i="5"/>
  <c r="L56" i="32" s="1"/>
  <c r="K47" i="5"/>
  <c r="K47" i="32" s="1"/>
  <c r="G57" i="5"/>
  <c r="G57" i="32" s="1"/>
  <c r="I39" i="5"/>
  <c r="I39" i="32" s="1"/>
  <c r="G60" i="5"/>
  <c r="G60" i="32" s="1"/>
  <c r="L47" i="5"/>
  <c r="L47" i="32" s="1"/>
  <c r="O7" i="5"/>
  <c r="C37" i="5"/>
  <c r="C37" i="32" s="1"/>
  <c r="H17" i="5"/>
  <c r="H17" i="32" s="1"/>
  <c r="N27" i="5"/>
  <c r="N27" i="32" s="1"/>
  <c r="F55" i="5"/>
  <c r="F55" i="32" s="1"/>
  <c r="E20" i="5"/>
  <c r="E20" i="32" s="1"/>
  <c r="L14" i="5"/>
  <c r="L14" i="32" s="1"/>
  <c r="I37" i="5"/>
  <c r="I37" i="32" s="1"/>
  <c r="J29" i="5"/>
  <c r="J29" i="32" s="1"/>
  <c r="G27" i="5"/>
  <c r="G27" i="32" s="1"/>
  <c r="D54" i="5"/>
  <c r="D54" i="32" s="1"/>
  <c r="M31" i="5"/>
  <c r="M31" i="32" s="1"/>
  <c r="I50" i="5"/>
  <c r="I50" i="32" s="1"/>
  <c r="I51" i="5"/>
  <c r="I51" i="32" s="1"/>
  <c r="H16" i="5"/>
  <c r="H16" i="32" s="1"/>
  <c r="I55" i="5"/>
  <c r="I55" i="32" s="1"/>
  <c r="C14" i="5"/>
  <c r="C14" i="32" s="1"/>
  <c r="C19" i="5"/>
  <c r="C19" i="32" s="1"/>
  <c r="D48" i="5"/>
  <c r="D48" i="32" s="1"/>
  <c r="D47" i="5"/>
  <c r="D47" i="32" s="1"/>
  <c r="G14" i="5"/>
  <c r="G14" i="32" s="1"/>
  <c r="G36" i="5"/>
  <c r="G36" i="32" s="1"/>
  <c r="N44" i="5"/>
  <c r="N44" i="32" s="1"/>
  <c r="D46" i="5"/>
  <c r="D46" i="32" s="1"/>
  <c r="G31" i="5"/>
  <c r="G31" i="32" s="1"/>
  <c r="N51" i="5"/>
  <c r="N51" i="32" s="1"/>
  <c r="K57" i="5"/>
  <c r="K57" i="32" s="1"/>
  <c r="C28" i="5"/>
  <c r="C28" i="32" s="1"/>
  <c r="O58" i="5"/>
  <c r="G24" i="5"/>
  <c r="G24" i="32" s="1"/>
  <c r="O23" i="5"/>
  <c r="N14" i="5"/>
  <c r="N14" i="32" s="1"/>
  <c r="C57" i="5"/>
  <c r="C57" i="32" s="1"/>
  <c r="J40" i="5"/>
  <c r="J40" i="32" s="1"/>
  <c r="K31" i="5"/>
  <c r="K31" i="32" s="1"/>
  <c r="H24" i="5"/>
  <c r="H24" i="32" s="1"/>
  <c r="J31" i="5"/>
  <c r="J31" i="32" s="1"/>
  <c r="F60" i="5"/>
  <c r="F60" i="32" s="1"/>
  <c r="I46" i="5"/>
  <c r="I46" i="32" s="1"/>
  <c r="M33" i="5"/>
  <c r="M33" i="32" s="1"/>
  <c r="L16" i="5"/>
  <c r="L16" i="32" s="1"/>
  <c r="E26" i="5"/>
  <c r="E26" i="32" s="1"/>
  <c r="M50" i="5"/>
  <c r="M50" i="32" s="1"/>
  <c r="M28" i="5"/>
  <c r="M28" i="32" s="1"/>
  <c r="C42" i="5"/>
  <c r="C42" i="32" s="1"/>
  <c r="C38" i="5"/>
  <c r="C38" i="32" s="1"/>
  <c r="F43" i="5"/>
  <c r="F43" i="32" s="1"/>
  <c r="K41" i="5"/>
  <c r="K41" i="32" s="1"/>
  <c r="M41" i="5"/>
  <c r="M41" i="32" s="1"/>
  <c r="I36" i="5"/>
  <c r="I36" i="32" s="1"/>
  <c r="H34" i="5"/>
  <c r="H34" i="32" s="1"/>
  <c r="G23" i="5"/>
  <c r="G23" i="32" s="1"/>
  <c r="N20" i="5"/>
  <c r="N20" i="32" s="1"/>
  <c r="K55" i="5"/>
  <c r="K55" i="32" s="1"/>
  <c r="E29" i="5"/>
  <c r="E29" i="32" s="1"/>
  <c r="H22" i="5"/>
  <c r="H22" i="32" s="1"/>
  <c r="M35" i="5"/>
  <c r="M35" i="32" s="1"/>
  <c r="F7" i="5"/>
  <c r="F7" i="32" s="1"/>
  <c r="L48" i="5"/>
  <c r="L48" i="32" s="1"/>
  <c r="E48" i="5"/>
  <c r="E48" i="32" s="1"/>
  <c r="M37" i="5"/>
  <c r="M37" i="32" s="1"/>
  <c r="J65" i="5"/>
  <c r="J65" i="32" s="1"/>
  <c r="H7" i="5"/>
  <c r="H7" i="32" s="1"/>
  <c r="N45" i="5"/>
  <c r="N45" i="32" s="1"/>
  <c r="E15" i="5"/>
  <c r="E15" i="32" s="1"/>
  <c r="N19" i="5"/>
  <c r="N19" i="32" s="1"/>
  <c r="H57" i="5"/>
  <c r="H57" i="32" s="1"/>
  <c r="M58" i="5"/>
  <c r="M58" i="32" s="1"/>
  <c r="G19" i="5"/>
  <c r="G19" i="32" s="1"/>
  <c r="H38" i="5"/>
  <c r="H38" i="32" s="1"/>
  <c r="E6" i="5"/>
  <c r="O55" i="5"/>
  <c r="N60" i="5"/>
  <c r="N60" i="32" s="1"/>
  <c r="H48" i="5"/>
  <c r="H48" i="32" s="1"/>
  <c r="G30" i="5"/>
  <c r="G30" i="32" s="1"/>
  <c r="N49" i="5"/>
  <c r="N49" i="32" s="1"/>
  <c r="G9" i="5"/>
  <c r="G9" i="32" s="1"/>
  <c r="L34" i="5"/>
  <c r="L34" i="32" s="1"/>
  <c r="K30" i="5"/>
  <c r="K30" i="32" s="1"/>
  <c r="E14" i="5"/>
  <c r="E14" i="32" s="1"/>
  <c r="D19" i="5"/>
  <c r="D19" i="32" s="1"/>
  <c r="E43" i="5"/>
  <c r="E43" i="32" s="1"/>
  <c r="C40" i="5"/>
  <c r="C40" i="32" s="1"/>
  <c r="K7" i="5"/>
  <c r="K7" i="32" s="1"/>
  <c r="F46" i="5"/>
  <c r="F46" i="32" s="1"/>
  <c r="I18" i="5"/>
  <c r="I18" i="32" s="1"/>
  <c r="C26" i="5"/>
  <c r="C26" i="32" s="1"/>
  <c r="G41" i="5"/>
  <c r="G41" i="32" s="1"/>
  <c r="I59" i="5"/>
  <c r="I59" i="32" s="1"/>
  <c r="O38" i="5"/>
  <c r="F65" i="5"/>
  <c r="F65" i="32" s="1"/>
  <c r="I57" i="5"/>
  <c r="I57" i="32" s="1"/>
  <c r="H31" i="5"/>
  <c r="H31" i="32" s="1"/>
  <c r="K16" i="5"/>
  <c r="K16" i="32" s="1"/>
  <c r="C29" i="5"/>
  <c r="C29" i="32" s="1"/>
  <c r="L59" i="5"/>
  <c r="L59" i="32" s="1"/>
  <c r="I17" i="5"/>
  <c r="I17" i="32" s="1"/>
  <c r="C32" i="5"/>
  <c r="C32" i="32" s="1"/>
  <c r="L45" i="5"/>
  <c r="L45" i="32" s="1"/>
  <c r="K59" i="5"/>
  <c r="K59" i="32" s="1"/>
  <c r="M6" i="5"/>
  <c r="M26" i="5"/>
  <c r="M26" i="32" s="1"/>
  <c r="D15" i="5"/>
  <c r="D15" i="32" s="1"/>
  <c r="H28" i="5"/>
  <c r="H28" i="32" s="1"/>
  <c r="J44" i="5"/>
  <c r="J44" i="32" s="1"/>
  <c r="J25" i="5"/>
  <c r="J25" i="32" s="1"/>
  <c r="H6" i="5"/>
  <c r="F21" i="5"/>
  <c r="F21" i="32" s="1"/>
  <c r="I53" i="5"/>
  <c r="I53" i="32" s="1"/>
  <c r="J20" i="5"/>
  <c r="J20" i="32" s="1"/>
  <c r="J17" i="5"/>
  <c r="J17" i="32" s="1"/>
  <c r="F56" i="5"/>
  <c r="F56" i="32" s="1"/>
  <c r="E60" i="5"/>
  <c r="E60" i="32" s="1"/>
  <c r="L39" i="5"/>
  <c r="L39" i="32" s="1"/>
  <c r="O39" i="5"/>
  <c r="N32" i="5"/>
  <c r="N32" i="32" s="1"/>
  <c r="O59" i="5"/>
  <c r="N29" i="5"/>
  <c r="N29" i="32" s="1"/>
  <c r="J36" i="5"/>
  <c r="J36" i="32" s="1"/>
  <c r="N54" i="5"/>
  <c r="N54" i="32" s="1"/>
  <c r="K54" i="5"/>
  <c r="K54" i="32" s="1"/>
  <c r="J49" i="5"/>
  <c r="J49" i="32" s="1"/>
  <c r="J53" i="5"/>
  <c r="J53" i="32" s="1"/>
  <c r="C48" i="5"/>
  <c r="C48" i="32" s="1"/>
  <c r="K44" i="5"/>
  <c r="K44" i="32" s="1"/>
  <c r="M53" i="5"/>
  <c r="M53" i="32" s="1"/>
  <c r="J50" i="5"/>
  <c r="J50" i="32" s="1"/>
  <c r="M7" i="5"/>
  <c r="M7" i="32" s="1"/>
  <c r="J58" i="5"/>
  <c r="J58" i="32" s="1"/>
  <c r="I25" i="5"/>
  <c r="I25" i="32" s="1"/>
  <c r="I19" i="5"/>
  <c r="I19" i="32" s="1"/>
  <c r="E24" i="5"/>
  <c r="E24" i="32" s="1"/>
  <c r="C55" i="5"/>
  <c r="C55" i="32" s="1"/>
  <c r="D17" i="5"/>
  <c r="D17" i="32" s="1"/>
  <c r="G29" i="5"/>
  <c r="G29" i="32" s="1"/>
  <c r="E50" i="5"/>
  <c r="E50" i="32" s="1"/>
  <c r="K33" i="5"/>
  <c r="K33" i="32" s="1"/>
  <c r="I44" i="5"/>
  <c r="I44" i="32" s="1"/>
  <c r="J15" i="5"/>
  <c r="J15" i="32" s="1"/>
  <c r="F35" i="5"/>
  <c r="F35" i="32" s="1"/>
  <c r="D25" i="5"/>
  <c r="D25" i="32" s="1"/>
  <c r="K58" i="5"/>
  <c r="K58" i="32" s="1"/>
  <c r="I15" i="5"/>
  <c r="I15" i="32" s="1"/>
  <c r="J38" i="5"/>
  <c r="J38" i="32" s="1"/>
  <c r="D35" i="5"/>
  <c r="D35" i="32" s="1"/>
  <c r="L37" i="5"/>
  <c r="L37" i="32" s="1"/>
  <c r="D24" i="5"/>
  <c r="D24" i="32" s="1"/>
  <c r="M57" i="5"/>
  <c r="M57" i="32" s="1"/>
  <c r="G44" i="5"/>
  <c r="G44" i="32" s="1"/>
  <c r="C60" i="5"/>
  <c r="C60" i="32" s="1"/>
  <c r="C49" i="5"/>
  <c r="C49" i="32" s="1"/>
  <c r="N28" i="5"/>
  <c r="N28" i="32" s="1"/>
  <c r="H47" i="5"/>
  <c r="H47" i="32" s="1"/>
  <c r="O41" i="5"/>
  <c r="M29" i="5"/>
  <c r="M29" i="32" s="1"/>
  <c r="F23" i="5"/>
  <c r="F23" i="32" s="1"/>
  <c r="I26" i="5"/>
  <c r="I26" i="32" s="1"/>
  <c r="K21" i="5"/>
  <c r="K21" i="32" s="1"/>
  <c r="D38" i="5"/>
  <c r="D38" i="32" s="1"/>
  <c r="D58" i="5"/>
  <c r="D58" i="32" s="1"/>
  <c r="E57" i="5"/>
  <c r="E57" i="32" s="1"/>
  <c r="G55" i="5"/>
  <c r="G55" i="32" s="1"/>
  <c r="M23" i="5"/>
  <c r="M23" i="32" s="1"/>
  <c r="C59" i="5"/>
  <c r="C59" i="32" s="1"/>
  <c r="E18" i="5"/>
  <c r="E18" i="32" s="1"/>
  <c r="N48" i="5"/>
  <c r="N48" i="32" s="1"/>
  <c r="D57" i="5"/>
  <c r="D57" i="32" s="1"/>
  <c r="F33" i="5"/>
  <c r="F33" i="32" s="1"/>
  <c r="F37" i="5"/>
  <c r="F37" i="32" s="1"/>
  <c r="E54" i="5"/>
  <c r="E54" i="32" s="1"/>
  <c r="K22" i="5"/>
  <c r="K22" i="32" s="1"/>
  <c r="C52" i="5"/>
  <c r="C52" i="32" s="1"/>
  <c r="H23" i="5"/>
  <c r="H23" i="32" s="1"/>
  <c r="E41" i="5"/>
  <c r="E41" i="32" s="1"/>
  <c r="L50" i="5"/>
  <c r="L50" i="32" s="1"/>
  <c r="J30" i="5"/>
  <c r="J30" i="32" s="1"/>
  <c r="I29" i="5"/>
  <c r="I29" i="32" s="1"/>
  <c r="N47" i="5"/>
  <c r="N47" i="32" s="1"/>
  <c r="G34" i="5"/>
  <c r="G34" i="32" s="1"/>
  <c r="E33" i="5"/>
  <c r="E33" i="32" s="1"/>
  <c r="O65" i="5"/>
  <c r="H54" i="5"/>
  <c r="H54" i="32" s="1"/>
  <c r="L6" i="5"/>
  <c r="L6" i="32" s="1"/>
  <c r="J60" i="5"/>
  <c r="J60" i="32" s="1"/>
  <c r="I24" i="5"/>
  <c r="I24" i="32" s="1"/>
  <c r="O29" i="5"/>
  <c r="E36" i="5"/>
  <c r="E36" i="32" s="1"/>
  <c r="C50" i="5"/>
  <c r="C50" i="32" s="1"/>
  <c r="J57" i="5"/>
  <c r="J57" i="32" s="1"/>
  <c r="M40" i="5"/>
  <c r="M40" i="32" s="1"/>
  <c r="M52" i="5"/>
  <c r="M52" i="32" s="1"/>
  <c r="H15" i="5"/>
  <c r="H15" i="32" s="1"/>
  <c r="I7" i="5"/>
  <c r="I7" i="32" s="1"/>
  <c r="H44" i="5"/>
  <c r="H44" i="32" s="1"/>
  <c r="C10" i="5"/>
  <c r="C10" i="32" s="1"/>
  <c r="G33" i="5"/>
  <c r="G33" i="32" s="1"/>
  <c r="L36" i="5"/>
  <c r="L36" i="32" s="1"/>
  <c r="L15" i="5"/>
  <c r="L15" i="32" s="1"/>
  <c r="N33" i="5"/>
  <c r="N33" i="32" s="1"/>
  <c r="L44" i="5"/>
  <c r="L44" i="32" s="1"/>
  <c r="E44" i="5"/>
  <c r="E44" i="32" s="1"/>
  <c r="K43" i="5"/>
  <c r="K43" i="32" s="1"/>
  <c r="J26" i="5"/>
  <c r="J26" i="32" s="1"/>
  <c r="G6" i="5"/>
  <c r="E23" i="5"/>
  <c r="E23" i="32" s="1"/>
  <c r="M10" i="5"/>
  <c r="M10" i="32" s="1"/>
  <c r="L23" i="5"/>
  <c r="L23" i="32" s="1"/>
  <c r="C44" i="5"/>
  <c r="C44" i="32" s="1"/>
  <c r="E65" i="5"/>
  <c r="E65" i="32" s="1"/>
  <c r="L33" i="5"/>
  <c r="L33" i="32" s="1"/>
  <c r="E46" i="5"/>
  <c r="E46" i="32" s="1"/>
  <c r="J33" i="5"/>
  <c r="J33" i="32" s="1"/>
  <c r="K50" i="5"/>
  <c r="K50" i="32" s="1"/>
  <c r="E32" i="5"/>
  <c r="E32" i="32" s="1"/>
  <c r="D49" i="5"/>
  <c r="D49" i="32" s="1"/>
  <c r="F25" i="5"/>
  <c r="F25" i="32" s="1"/>
  <c r="L46" i="5"/>
  <c r="L46" i="32" s="1"/>
  <c r="C43" i="5"/>
  <c r="C43" i="32" s="1"/>
  <c r="C18" i="5"/>
  <c r="C18" i="32" s="1"/>
  <c r="J7" i="5"/>
  <c r="J7" i="32" s="1"/>
  <c r="G39" i="5"/>
  <c r="G39" i="32" s="1"/>
  <c r="N31" i="5"/>
  <c r="N31" i="32" s="1"/>
  <c r="H52" i="5"/>
  <c r="H52" i="32" s="1"/>
  <c r="F54" i="5"/>
  <c r="F54" i="32" s="1"/>
  <c r="N39" i="5"/>
  <c r="N39" i="32" s="1"/>
  <c r="C58" i="5"/>
  <c r="C58" i="32" s="1"/>
  <c r="F31" i="5"/>
  <c r="F31" i="32" s="1"/>
  <c r="K14" i="5"/>
  <c r="K14" i="32" s="1"/>
  <c r="E58" i="5"/>
  <c r="E58" i="32" s="1"/>
  <c r="I60" i="5"/>
  <c r="I60" i="32" s="1"/>
  <c r="D60" i="5"/>
  <c r="D60" i="32" s="1"/>
  <c r="N58" i="5"/>
  <c r="N58" i="32" s="1"/>
  <c r="F20" i="5"/>
  <c r="F20" i="32" s="1"/>
  <c r="J32" i="5"/>
  <c r="J32" i="32" s="1"/>
  <c r="F30" i="5"/>
  <c r="F30" i="32" s="1"/>
  <c r="H26" i="5"/>
  <c r="H26" i="32" s="1"/>
  <c r="C15" i="5"/>
  <c r="C15" i="32" s="1"/>
  <c r="K45" i="5"/>
  <c r="K45" i="32" s="1"/>
  <c r="O6" i="5"/>
  <c r="F36" i="5"/>
  <c r="F36" i="32" s="1"/>
  <c r="J22" i="5"/>
  <c r="J22" i="32" s="1"/>
  <c r="D65" i="5"/>
  <c r="D65" i="32" s="1"/>
  <c r="D33" i="5"/>
  <c r="D33" i="32" s="1"/>
  <c r="O49" i="5"/>
  <c r="G26" i="5"/>
  <c r="G26" i="32" s="1"/>
  <c r="G54" i="5"/>
  <c r="G54" i="32" s="1"/>
  <c r="M54" i="5"/>
  <c r="M54" i="32" s="1"/>
  <c r="H49" i="5"/>
  <c r="H49" i="32" s="1"/>
  <c r="C21" i="5"/>
  <c r="C21" i="32" s="1"/>
  <c r="F17" i="5"/>
  <c r="F17" i="32" s="1"/>
  <c r="E17" i="5"/>
  <c r="E17" i="32" s="1"/>
  <c r="D14" i="5"/>
  <c r="D14" i="32" s="1"/>
  <c r="J24" i="5"/>
  <c r="J24" i="32" s="1"/>
  <c r="D42" i="5"/>
  <c r="D42" i="32" s="1"/>
  <c r="L20" i="5"/>
  <c r="L20" i="32" s="1"/>
  <c r="I9" i="5"/>
  <c r="I9" i="32" s="1"/>
  <c r="H10" i="5"/>
  <c r="H10" i="32" s="1"/>
  <c r="H55" i="5"/>
  <c r="H55" i="32" s="1"/>
  <c r="F52" i="5"/>
  <c r="F52" i="32" s="1"/>
  <c r="K49" i="5"/>
  <c r="K49" i="32" s="1"/>
  <c r="D40" i="5"/>
  <c r="D40" i="32" s="1"/>
  <c r="D44" i="5"/>
  <c r="D44" i="32" s="1"/>
  <c r="D26" i="5"/>
  <c r="D26" i="32" s="1"/>
  <c r="N34" i="5"/>
  <c r="N34" i="32" s="1"/>
  <c r="G10" i="5"/>
  <c r="G10" i="32" s="1"/>
  <c r="K6" i="5"/>
  <c r="K39" i="5"/>
  <c r="K39" i="32" s="1"/>
  <c r="G20" i="5"/>
  <c r="G20" i="32" s="1"/>
  <c r="G40" i="5"/>
  <c r="G40" i="32" s="1"/>
  <c r="E52" i="5"/>
  <c r="E52" i="32" s="1"/>
  <c r="H25" i="5"/>
  <c r="H25" i="32" s="1"/>
  <c r="F38" i="5"/>
  <c r="F38" i="32" s="1"/>
  <c r="K35" i="5"/>
  <c r="K35" i="32" s="1"/>
  <c r="D30" i="5"/>
  <c r="D30" i="32" s="1"/>
  <c r="G58" i="5"/>
  <c r="G58" i="32" s="1"/>
  <c r="J35" i="5"/>
  <c r="J35" i="32" s="1"/>
  <c r="G59" i="5"/>
  <c r="G59" i="32" s="1"/>
  <c r="K9" i="5"/>
  <c r="K9" i="32" s="1"/>
  <c r="K28" i="5"/>
  <c r="K28" i="32" s="1"/>
  <c r="N52" i="5"/>
  <c r="N52" i="32" s="1"/>
  <c r="F57" i="5"/>
  <c r="F57" i="32" s="1"/>
  <c r="K18" i="5"/>
  <c r="K18" i="32" s="1"/>
  <c r="G15" i="5"/>
  <c r="G15" i="32" s="1"/>
  <c r="E16" i="5"/>
  <c r="E16" i="32" s="1"/>
  <c r="O35" i="5"/>
  <c r="J14" i="5"/>
  <c r="J14" i="32" s="1"/>
  <c r="K53" i="5"/>
  <c r="K53" i="32" s="1"/>
  <c r="N9" i="5"/>
  <c r="N9" i="32" s="1"/>
  <c r="N26" i="5"/>
  <c r="N26" i="32" s="1"/>
  <c r="K27" i="5"/>
  <c r="K27" i="32" s="1"/>
  <c r="L30" i="5"/>
  <c r="L30" i="32" s="1"/>
  <c r="H32" i="5"/>
  <c r="H32" i="32" s="1"/>
  <c r="H46" i="5"/>
  <c r="H46" i="32" s="1"/>
  <c r="F24" i="5"/>
  <c r="F24" i="32" s="1"/>
  <c r="O60" i="5"/>
  <c r="O31" i="5"/>
  <c r="J47" i="5"/>
  <c r="J47" i="32" s="1"/>
  <c r="J16" i="5"/>
  <c r="J16" i="32" s="1"/>
  <c r="D56" i="5"/>
  <c r="D56" i="32" s="1"/>
  <c r="E27" i="5"/>
  <c r="E27" i="32" s="1"/>
  <c r="O48" i="5"/>
  <c r="E59" i="5"/>
  <c r="E59" i="32" s="1"/>
  <c r="F16" i="5"/>
  <c r="F16" i="32" s="1"/>
  <c r="O19" i="5"/>
  <c r="D50" i="5"/>
  <c r="D50" i="32" s="1"/>
  <c r="O36" i="5"/>
  <c r="M16" i="5"/>
  <c r="M16" i="32" s="1"/>
  <c r="N41" i="5"/>
  <c r="N41" i="32" s="1"/>
  <c r="F10" i="5"/>
  <c r="F10" i="32" s="1"/>
  <c r="G50" i="5"/>
  <c r="G50" i="32" s="1"/>
  <c r="C51" i="5"/>
  <c r="C51" i="32" s="1"/>
  <c r="K52" i="5"/>
  <c r="K52" i="32" s="1"/>
  <c r="I49" i="5"/>
  <c r="I49" i="32" s="1"/>
  <c r="G38" i="5"/>
  <c r="G38" i="32" s="1"/>
  <c r="F15" i="5"/>
  <c r="F15" i="32" s="1"/>
  <c r="L54" i="5"/>
  <c r="L54" i="32" s="1"/>
  <c r="E37" i="5"/>
  <c r="E37" i="32" s="1"/>
  <c r="O22" i="5"/>
  <c r="K60" i="5"/>
  <c r="K60" i="32" s="1"/>
  <c r="D21" i="5"/>
  <c r="D21" i="32" s="1"/>
  <c r="F9" i="5"/>
  <c r="F9" i="32" s="1"/>
  <c r="H53" i="5"/>
  <c r="H53" i="32" s="1"/>
  <c r="H58" i="5"/>
  <c r="H58" i="32" s="1"/>
  <c r="O26" i="5"/>
  <c r="D36" i="5"/>
  <c r="D36" i="32" s="1"/>
  <c r="N36" i="5"/>
  <c r="N36" i="32" s="1"/>
  <c r="J56" i="5"/>
  <c r="J56" i="32" s="1"/>
  <c r="O47" i="5"/>
  <c r="E89" i="32"/>
  <c r="O88" i="32"/>
  <c r="F63" i="5"/>
  <c r="F63" i="32" s="1"/>
  <c r="K62" i="5"/>
  <c r="K62" i="32" s="1"/>
  <c r="D10" i="5"/>
  <c r="D10" i="32" s="1"/>
  <c r="L10" i="5"/>
  <c r="L10" i="32" s="1"/>
  <c r="O16" i="5"/>
  <c r="N63" i="5"/>
  <c r="N63" i="32" s="1"/>
  <c r="K64" i="5"/>
  <c r="K64" i="32" s="1"/>
  <c r="G64" i="5"/>
  <c r="G64" i="32" s="1"/>
  <c r="H18" i="5"/>
  <c r="H18" i="32" s="1"/>
  <c r="K23" i="5"/>
  <c r="K23" i="32" s="1"/>
  <c r="D52" i="5"/>
  <c r="D52" i="32" s="1"/>
  <c r="O62" i="5"/>
  <c r="H59" i="5"/>
  <c r="H59" i="32" s="1"/>
  <c r="F47" i="5"/>
  <c r="F47" i="32" s="1"/>
  <c r="G28" i="5"/>
  <c r="G28" i="32" s="1"/>
  <c r="K10" i="5"/>
  <c r="K10" i="32" s="1"/>
  <c r="N46" i="5"/>
  <c r="N46" i="32" s="1"/>
  <c r="N59" i="5"/>
  <c r="N59" i="32" s="1"/>
  <c r="L28" i="5"/>
  <c r="L28" i="32" s="1"/>
  <c r="C45" i="5"/>
  <c r="C45" i="32" s="1"/>
  <c r="F41" i="5"/>
  <c r="F41" i="32" s="1"/>
  <c r="G35" i="5"/>
  <c r="G35" i="32" s="1"/>
  <c r="N65" i="5"/>
  <c r="N65" i="32" s="1"/>
  <c r="L40" i="5"/>
  <c r="L40" i="32" s="1"/>
  <c r="D37" i="5"/>
  <c r="D37" i="32" s="1"/>
  <c r="L21" i="5"/>
  <c r="L21" i="32" s="1"/>
  <c r="F14" i="5"/>
  <c r="F14" i="32" s="1"/>
  <c r="L27" i="5"/>
  <c r="L27" i="32" s="1"/>
  <c r="D6" i="5"/>
  <c r="F58" i="5"/>
  <c r="F58" i="32" s="1"/>
  <c r="H29" i="5"/>
  <c r="H29" i="32" s="1"/>
  <c r="I42" i="5"/>
  <c r="I42" i="32" s="1"/>
  <c r="G32" i="5"/>
  <c r="G32" i="32" s="1"/>
  <c r="K34" i="5"/>
  <c r="K34" i="32" s="1"/>
  <c r="I10" i="5"/>
  <c r="I10" i="32" s="1"/>
  <c r="C61" i="5"/>
  <c r="C61" i="32" s="1"/>
  <c r="O44" i="5"/>
  <c r="D51" i="5"/>
  <c r="D51" i="32" s="1"/>
  <c r="L22" i="5"/>
  <c r="L22" i="32" s="1"/>
  <c r="O30" i="5"/>
  <c r="L64" i="5"/>
  <c r="L64" i="32" s="1"/>
  <c r="M61" i="5"/>
  <c r="M61" i="32" s="1"/>
  <c r="F64" i="5"/>
  <c r="F64" i="32" s="1"/>
  <c r="L7" i="5"/>
  <c r="L7" i="32" s="1"/>
  <c r="I54" i="5"/>
  <c r="I54" i="32" s="1"/>
  <c r="I20" i="5"/>
  <c r="I20" i="32" s="1"/>
  <c r="J62" i="5"/>
  <c r="J62" i="32" s="1"/>
  <c r="C41" i="5"/>
  <c r="C41" i="32" s="1"/>
  <c r="J34" i="5"/>
  <c r="J34" i="32" s="1"/>
  <c r="G65" i="5"/>
  <c r="G65" i="32" s="1"/>
  <c r="J54" i="5"/>
  <c r="J54" i="32" s="1"/>
  <c r="F61" i="5"/>
  <c r="F61" i="32" s="1"/>
  <c r="C6" i="5"/>
  <c r="C6" i="32" s="1"/>
  <c r="D9" i="5"/>
  <c r="D9" i="32" s="1"/>
  <c r="F18" i="5"/>
  <c r="F18" i="32" s="1"/>
  <c r="I52" i="5"/>
  <c r="I52" i="32" s="1"/>
  <c r="D22" i="5"/>
  <c r="D22" i="32" s="1"/>
  <c r="D64" i="5"/>
  <c r="D64" i="32" s="1"/>
  <c r="O63" i="5"/>
  <c r="E62" i="5"/>
  <c r="E62" i="32" s="1"/>
  <c r="N64" i="5"/>
  <c r="N64" i="32" s="1"/>
  <c r="L61" i="5"/>
  <c r="L61" i="32" s="1"/>
  <c r="G51" i="5"/>
  <c r="G51" i="32" s="1"/>
  <c r="O53" i="5"/>
  <c r="H39" i="5"/>
  <c r="H39" i="32" s="1"/>
  <c r="J41" i="5"/>
  <c r="J41" i="32" s="1"/>
  <c r="H30" i="5"/>
  <c r="H30" i="32" s="1"/>
  <c r="J63" i="5"/>
  <c r="J63" i="32" s="1"/>
  <c r="M42" i="5"/>
  <c r="M42" i="32" s="1"/>
  <c r="C20" i="5"/>
  <c r="C20" i="32" s="1"/>
  <c r="I65" i="5"/>
  <c r="I65" i="32" s="1"/>
  <c r="H56" i="5"/>
  <c r="H56" i="32" s="1"/>
  <c r="O28" i="5"/>
  <c r="L9" i="5"/>
  <c r="L9" i="32" s="1"/>
  <c r="G48" i="5"/>
  <c r="G48" i="32" s="1"/>
  <c r="M44" i="5"/>
  <c r="M44" i="32" s="1"/>
  <c r="E38" i="5"/>
  <c r="E38" i="32" s="1"/>
  <c r="G56" i="5"/>
  <c r="G56" i="32" s="1"/>
  <c r="N10" i="5"/>
  <c r="N10" i="32" s="1"/>
  <c r="H64" i="5"/>
  <c r="H64" i="32" s="1"/>
  <c r="H41" i="5"/>
  <c r="H41" i="32" s="1"/>
  <c r="I35" i="5"/>
  <c r="I35" i="32" s="1"/>
  <c r="F45" i="5"/>
  <c r="F45" i="32" s="1"/>
  <c r="F22" i="5"/>
  <c r="F22" i="32" s="1"/>
  <c r="M15" i="5"/>
  <c r="M15" i="32" s="1"/>
  <c r="D20" i="5"/>
  <c r="D20" i="32" s="1"/>
  <c r="C39" i="5"/>
  <c r="C39" i="32" s="1"/>
  <c r="N43" i="5"/>
  <c r="N43" i="32" s="1"/>
  <c r="N7" i="5"/>
  <c r="N7" i="32" s="1"/>
  <c r="G37" i="5"/>
  <c r="G37" i="32" s="1"/>
  <c r="J9" i="5"/>
  <c r="J9" i="32" s="1"/>
  <c r="K40" i="5"/>
  <c r="K40" i="32" s="1"/>
  <c r="N37" i="5"/>
  <c r="N37" i="32" s="1"/>
  <c r="C34" i="5"/>
  <c r="C34" i="32" s="1"/>
  <c r="E47" i="5"/>
  <c r="E47" i="32" s="1"/>
  <c r="K48" i="5"/>
  <c r="K48" i="32" s="1"/>
  <c r="J52" i="5"/>
  <c r="J52" i="32" s="1"/>
  <c r="O37" i="5"/>
  <c r="N30" i="5"/>
  <c r="N30" i="32" s="1"/>
  <c r="C53" i="5"/>
  <c r="C53" i="32" s="1"/>
  <c r="G18" i="5"/>
  <c r="G18" i="32" s="1"/>
  <c r="E28" i="5"/>
  <c r="E28" i="32" s="1"/>
  <c r="H21" i="5"/>
  <c r="H21" i="32" s="1"/>
  <c r="H9" i="5"/>
  <c r="H9" i="32" s="1"/>
  <c r="O51" i="5"/>
  <c r="F19" i="5"/>
  <c r="F19" i="32" s="1"/>
  <c r="I43" i="5"/>
  <c r="I43" i="32" s="1"/>
  <c r="E31" i="5"/>
  <c r="E31" i="32" s="1"/>
  <c r="H20" i="5"/>
  <c r="H20" i="32" s="1"/>
  <c r="E22" i="5"/>
  <c r="E22" i="32" s="1"/>
  <c r="K38" i="5"/>
  <c r="K38" i="32" s="1"/>
  <c r="M32" i="5"/>
  <c r="M32" i="32" s="1"/>
  <c r="K67" i="5"/>
  <c r="I16" i="5"/>
  <c r="H63" i="5"/>
  <c r="H63" i="32" s="1"/>
  <c r="L18" i="5"/>
  <c r="L18" i="32" s="1"/>
  <c r="I61" i="5"/>
  <c r="I61" i="32" s="1"/>
  <c r="I30" i="5"/>
  <c r="I30" i="32" s="1"/>
  <c r="K19" i="5"/>
  <c r="K19" i="32" s="1"/>
  <c r="L35" i="5"/>
  <c r="L35" i="32" s="1"/>
  <c r="N50" i="5"/>
  <c r="N50" i="32" s="1"/>
  <c r="H45" i="5"/>
  <c r="H45" i="32" s="1"/>
  <c r="L31" i="5"/>
  <c r="L31" i="32" s="1"/>
  <c r="O54" i="5"/>
  <c r="F53" i="5"/>
  <c r="F53" i="32" s="1"/>
  <c r="C17" i="5"/>
  <c r="C17" i="32" s="1"/>
  <c r="C63" i="5"/>
  <c r="C63" i="32" s="1"/>
  <c r="D18" i="5"/>
  <c r="D18" i="32" s="1"/>
  <c r="I40" i="5"/>
  <c r="I40" i="32" s="1"/>
  <c r="C23" i="5"/>
  <c r="C23" i="32" s="1"/>
  <c r="E34" i="5"/>
  <c r="E34" i="32" s="1"/>
  <c r="C25" i="5"/>
  <c r="C25" i="32" s="1"/>
  <c r="J10" i="5"/>
  <c r="J10" i="32" s="1"/>
  <c r="F26" i="5"/>
  <c r="F26" i="32" s="1"/>
  <c r="H65" i="5"/>
  <c r="H65" i="32" s="1"/>
  <c r="E61" i="5"/>
  <c r="E61" i="32" s="1"/>
  <c r="O50" i="5"/>
  <c r="H43" i="5"/>
  <c r="H43" i="32" s="1"/>
  <c r="M20" i="5"/>
  <c r="M20" i="32" s="1"/>
  <c r="F62" i="5"/>
  <c r="F62" i="32" s="1"/>
  <c r="D63" i="5"/>
  <c r="D63" i="32" s="1"/>
  <c r="J46" i="5"/>
  <c r="J46" i="32" s="1"/>
  <c r="M14" i="5"/>
  <c r="M14" i="32" s="1"/>
  <c r="N57" i="5"/>
  <c r="N57" i="32" s="1"/>
  <c r="E64" i="5"/>
  <c r="E64" i="32" s="1"/>
  <c r="J19" i="5"/>
  <c r="J19" i="32" s="1"/>
  <c r="I38" i="5"/>
  <c r="I38" i="32" s="1"/>
  <c r="L17" i="5"/>
  <c r="L17" i="32" s="1"/>
  <c r="E63" i="5"/>
  <c r="E63" i="32" s="1"/>
  <c r="N67" i="32"/>
  <c r="M48" i="5"/>
  <c r="M48" i="32" s="1"/>
  <c r="D23" i="5"/>
  <c r="D23" i="32" s="1"/>
  <c r="E19" i="5"/>
  <c r="E19" i="32" s="1"/>
  <c r="O33" i="5"/>
  <c r="N61" i="5"/>
  <c r="N61" i="32" s="1"/>
  <c r="I27" i="5"/>
  <c r="I27" i="32" s="1"/>
  <c r="G63" i="5"/>
  <c r="G63" i="32" s="1"/>
  <c r="D62" i="5"/>
  <c r="D62" i="32" s="1"/>
  <c r="O18" i="5"/>
  <c r="F49" i="5"/>
  <c r="F49" i="32" s="1"/>
  <c r="J39" i="5"/>
  <c r="J39" i="32" s="1"/>
  <c r="O32" i="5"/>
  <c r="H35" i="5"/>
  <c r="H35" i="32" s="1"/>
  <c r="J64" i="5"/>
  <c r="J64" i="32" s="1"/>
  <c r="H40" i="5"/>
  <c r="H40" i="32" s="1"/>
  <c r="M38" i="5"/>
  <c r="M38" i="32" s="1"/>
  <c r="N56" i="5"/>
  <c r="N56" i="32" s="1"/>
  <c r="L63" i="5"/>
  <c r="L63" i="32" s="1"/>
  <c r="I62" i="5"/>
  <c r="I62" i="32" s="1"/>
  <c r="O40" i="5"/>
  <c r="M49" i="5"/>
  <c r="M49" i="32" s="1"/>
  <c r="N16" i="5"/>
  <c r="N16" i="32" s="1"/>
  <c r="G43" i="5"/>
  <c r="G43" i="32" s="1"/>
  <c r="E51" i="5"/>
  <c r="E51" i="32" s="1"/>
  <c r="J21" i="5"/>
  <c r="J21" i="32" s="1"/>
  <c r="L32" i="5"/>
  <c r="L32" i="32" s="1"/>
  <c r="J61" i="5"/>
  <c r="J61" i="32" s="1"/>
  <c r="M24" i="5"/>
  <c r="M24" i="32" s="1"/>
  <c r="K32" i="5"/>
  <c r="K32" i="32" s="1"/>
  <c r="N62" i="5"/>
  <c r="N62" i="32" s="1"/>
  <c r="M62" i="5"/>
  <c r="M62" i="32" s="1"/>
  <c r="D59" i="5"/>
  <c r="D59" i="32" s="1"/>
  <c r="H61" i="5"/>
  <c r="H61" i="32" s="1"/>
  <c r="M63" i="5"/>
  <c r="M63" i="32" s="1"/>
  <c r="O61" i="5"/>
  <c r="O64" i="5"/>
  <c r="I28" i="5"/>
  <c r="I28" i="32" s="1"/>
  <c r="K15" i="5"/>
  <c r="J55" i="5"/>
  <c r="J55" i="32" s="1"/>
  <c r="G52" i="5"/>
  <c r="G52" i="32" s="1"/>
  <c r="O9" i="5"/>
  <c r="K65" i="5"/>
  <c r="K65" i="32" s="1"/>
  <c r="K24" i="5"/>
  <c r="K24" i="32" s="1"/>
  <c r="H19" i="5"/>
  <c r="H19" i="32" s="1"/>
  <c r="M56" i="5"/>
  <c r="M56" i="32" s="1"/>
  <c r="F6" i="5"/>
  <c r="F6" i="32" s="1"/>
  <c r="L29" i="5"/>
  <c r="L29" i="32" s="1"/>
  <c r="K61" i="5"/>
  <c r="K61" i="32" s="1"/>
  <c r="I63" i="5"/>
  <c r="I63" i="32" s="1"/>
  <c r="J42" i="5"/>
  <c r="J42" i="32" s="1"/>
  <c r="D41" i="5"/>
  <c r="D41" i="32" s="1"/>
  <c r="N22" i="5"/>
  <c r="N22" i="32" s="1"/>
  <c r="G17" i="5"/>
  <c r="G17" i="32" s="1"/>
  <c r="I41" i="5"/>
  <c r="I41" i="32" s="1"/>
  <c r="N53" i="5"/>
  <c r="N53" i="32" s="1"/>
  <c r="E21" i="5"/>
  <c r="E21" i="32" s="1"/>
  <c r="C56" i="5"/>
  <c r="C56" i="32" s="1"/>
  <c r="N17" i="5"/>
  <c r="N17" i="32" s="1"/>
  <c r="O14" i="5"/>
  <c r="F32" i="5"/>
  <c r="F32" i="32" s="1"/>
  <c r="D7" i="5"/>
  <c r="D7" i="32" s="1"/>
  <c r="M43" i="5"/>
  <c r="M43" i="32" s="1"/>
  <c r="E25" i="5"/>
  <c r="E25" i="32" s="1"/>
  <c r="H42" i="5"/>
  <c r="H42" i="32" s="1"/>
  <c r="L65" i="5"/>
  <c r="L65" i="32" s="1"/>
  <c r="K42" i="5"/>
  <c r="K42" i="32" s="1"/>
  <c r="G49" i="5"/>
  <c r="G49" i="32" s="1"/>
  <c r="O15" i="5"/>
  <c r="G22" i="5"/>
  <c r="G22" i="32" s="1"/>
  <c r="L19" i="5"/>
  <c r="L19" i="32" s="1"/>
  <c r="D29" i="5"/>
  <c r="D29" i="32" s="1"/>
  <c r="D39" i="5"/>
  <c r="D39" i="32" s="1"/>
  <c r="J6" i="5"/>
  <c r="J8" i="5" s="1"/>
  <c r="F29" i="5"/>
  <c r="F29" i="32" s="1"/>
  <c r="N40" i="5"/>
  <c r="N40" i="32" s="1"/>
  <c r="K20" i="5"/>
  <c r="K20" i="32" s="1"/>
  <c r="K36" i="5"/>
  <c r="K36" i="32" s="1"/>
  <c r="E30" i="5"/>
  <c r="E30" i="32" s="1"/>
  <c r="K17" i="5"/>
  <c r="K17" i="32" s="1"/>
  <c r="F40" i="5"/>
  <c r="F40" i="32" s="1"/>
  <c r="D27" i="5"/>
  <c r="D27" i="32" s="1"/>
  <c r="C16" i="5"/>
  <c r="C16" i="32" s="1"/>
  <c r="J28" i="5"/>
  <c r="J28" i="32" s="1"/>
  <c r="M47" i="5"/>
  <c r="M47" i="32" s="1"/>
  <c r="C7" i="5"/>
  <c r="C7" i="32" s="1"/>
  <c r="M27" i="5"/>
  <c r="M27" i="32" s="1"/>
  <c r="M34" i="5"/>
  <c r="M34" i="32" s="1"/>
  <c r="M39" i="5"/>
  <c r="M39" i="32" s="1"/>
  <c r="H33" i="5"/>
  <c r="H33" i="32" s="1"/>
  <c r="M36" i="5"/>
  <c r="M36" i="32" s="1"/>
  <c r="H60" i="5"/>
  <c r="H60" i="32" s="1"/>
  <c r="M30" i="5"/>
  <c r="M30" i="32" s="1"/>
  <c r="I34" i="5"/>
  <c r="I34" i="32" s="1"/>
  <c r="L52" i="5"/>
  <c r="L52" i="32" s="1"/>
  <c r="E99" i="32"/>
  <c r="J89" i="32"/>
  <c r="O87" i="32"/>
  <c r="O89" i="32" s="1"/>
  <c r="G67" i="5"/>
  <c r="O45" i="5"/>
  <c r="J18" i="5"/>
  <c r="J18" i="32" s="1"/>
  <c r="G46" i="5"/>
  <c r="G46" i="32" s="1"/>
  <c r="L49" i="5"/>
  <c r="L49" i="32" s="1"/>
  <c r="I64" i="5"/>
  <c r="I64" i="32" s="1"/>
  <c r="H62" i="5"/>
  <c r="H62" i="32" s="1"/>
  <c r="L62" i="5"/>
  <c r="L62" i="32" s="1"/>
  <c r="C62" i="5"/>
  <c r="C62" i="32" s="1"/>
  <c r="F27" i="5"/>
  <c r="F27" i="32" s="1"/>
  <c r="J51" i="5"/>
  <c r="J51" i="32" s="1"/>
  <c r="J23" i="5"/>
  <c r="J23" i="32" s="1"/>
  <c r="N42" i="5"/>
  <c r="N42" i="32" s="1"/>
  <c r="H51" i="5"/>
  <c r="H51" i="32" s="1"/>
  <c r="I31" i="5"/>
  <c r="I31" i="32" s="1"/>
  <c r="O20" i="5"/>
  <c r="C33" i="5"/>
  <c r="C33" i="32" s="1"/>
  <c r="I33" i="5"/>
  <c r="I33" i="32" s="1"/>
  <c r="K56" i="5"/>
  <c r="K56" i="32" s="1"/>
  <c r="F59" i="5"/>
  <c r="F59" i="32" s="1"/>
  <c r="O17" i="5"/>
  <c r="E45" i="5"/>
  <c r="E45" i="32" s="1"/>
  <c r="D6" i="32"/>
  <c r="H14" i="32"/>
  <c r="O77" i="32"/>
  <c r="O79" i="32" s="1"/>
  <c r="I94" i="32"/>
  <c r="O92" i="32"/>
  <c r="O94" i="32" s="1"/>
  <c r="C99" i="32"/>
  <c r="O97" i="32"/>
  <c r="O99" i="32" s="1"/>
  <c r="I16" i="32"/>
  <c r="K15" i="32"/>
  <c r="O71" i="32"/>
  <c r="O69" i="32"/>
  <c r="O73" i="32" s="1"/>
  <c r="O23" i="32" l="1"/>
  <c r="O57" i="32"/>
  <c r="L8" i="5"/>
  <c r="L5" i="5" s="1"/>
  <c r="L12" i="5" s="1"/>
  <c r="I8" i="5"/>
  <c r="I5" i="5" s="1"/>
  <c r="I12" i="5" s="1"/>
  <c r="O49" i="32"/>
  <c r="J5" i="5"/>
  <c r="J12" i="5" s="1"/>
  <c r="J81" i="5" s="1"/>
  <c r="F8" i="32"/>
  <c r="F5" i="32" s="1"/>
  <c r="F12" i="32" s="1"/>
  <c r="F81" i="32" s="1"/>
  <c r="O62" i="32"/>
  <c r="C8" i="5"/>
  <c r="C5" i="5" s="1"/>
  <c r="C12" i="5" s="1"/>
  <c r="C81" i="5" s="1"/>
  <c r="O45" i="32"/>
  <c r="F8" i="5"/>
  <c r="F5" i="5" s="1"/>
  <c r="F12" i="5" s="1"/>
  <c r="F81" i="5" s="1"/>
  <c r="N8" i="5"/>
  <c r="N5" i="5" s="1"/>
  <c r="N12" i="5" s="1"/>
  <c r="O41" i="32"/>
  <c r="O53" i="32"/>
  <c r="O25" i="32"/>
  <c r="N8" i="32"/>
  <c r="N5" i="32" s="1"/>
  <c r="N12" i="32" s="1"/>
  <c r="N81" i="32" s="1"/>
  <c r="O26" i="32"/>
  <c r="E13" i="32"/>
  <c r="I8" i="32"/>
  <c r="I5" i="32" s="1"/>
  <c r="I12" i="32" s="1"/>
  <c r="J6" i="32"/>
  <c r="J8" i="32" s="1"/>
  <c r="J5" i="32" s="1"/>
  <c r="J12" i="32" s="1"/>
  <c r="J81" i="32" s="1"/>
  <c r="G13" i="5"/>
  <c r="J3" i="10" s="1" a="1"/>
  <c r="J3" i="10" s="1"/>
  <c r="N13" i="5"/>
  <c r="Q3" i="10" s="1" a="1"/>
  <c r="Q3" i="10" s="1"/>
  <c r="M13" i="5"/>
  <c r="P3" i="10" s="1" a="1"/>
  <c r="P3" i="10" s="1"/>
  <c r="O24" i="32"/>
  <c r="O31" i="32"/>
  <c r="L13" i="5"/>
  <c r="O3" i="10" s="1" a="1"/>
  <c r="O3" i="10" s="1"/>
  <c r="O63" i="32"/>
  <c r="O65" i="32"/>
  <c r="K13" i="5"/>
  <c r="N3" i="10" s="1" a="1"/>
  <c r="N3" i="10" s="1"/>
  <c r="O32" i="32"/>
  <c r="O46" i="32"/>
  <c r="O40" i="32"/>
  <c r="O33" i="32"/>
  <c r="O64" i="32"/>
  <c r="I13" i="5"/>
  <c r="L3" i="10" s="1" a="1"/>
  <c r="L3" i="10" s="1"/>
  <c r="O48" i="32"/>
  <c r="O27" i="32"/>
  <c r="G13" i="32"/>
  <c r="O28" i="32"/>
  <c r="O60" i="32"/>
  <c r="E13" i="5"/>
  <c r="H3" i="10" s="1" a="1"/>
  <c r="H3" i="10" s="1"/>
  <c r="O22" i="32"/>
  <c r="O38" i="32"/>
  <c r="O34" i="32"/>
  <c r="D8" i="5"/>
  <c r="D5" i="5" s="1"/>
  <c r="D12" i="5" s="1"/>
  <c r="D81" i="5" s="1"/>
  <c r="O7" i="32"/>
  <c r="O20" i="32"/>
  <c r="D8" i="32"/>
  <c r="D5" i="32" s="1"/>
  <c r="D12" i="32" s="1"/>
  <c r="D81" i="32" s="1"/>
  <c r="O55" i="32"/>
  <c r="D13" i="5"/>
  <c r="G3" i="10" s="1" a="1"/>
  <c r="G3" i="10" s="1"/>
  <c r="O39" i="32"/>
  <c r="O21" i="32"/>
  <c r="O8" i="5"/>
  <c r="O5" i="5" s="1"/>
  <c r="O12" i="5" s="1"/>
  <c r="O81" i="5" s="1"/>
  <c r="C13" i="5"/>
  <c r="F3" i="10" s="1" a="1"/>
  <c r="F3" i="10" s="1"/>
  <c r="O42" i="32"/>
  <c r="O44" i="32"/>
  <c r="O56" i="32"/>
  <c r="O16" i="32"/>
  <c r="J13" i="32"/>
  <c r="J66" i="32" s="1"/>
  <c r="J80" i="32" s="1"/>
  <c r="O13" i="5"/>
  <c r="H13" i="32"/>
  <c r="C13" i="32"/>
  <c r="O30" i="32"/>
  <c r="L13" i="32"/>
  <c r="O61" i="32"/>
  <c r="K6" i="32"/>
  <c r="K8" i="32" s="1"/>
  <c r="K5" i="32" s="1"/>
  <c r="K12" i="32" s="1"/>
  <c r="K81" i="32" s="1"/>
  <c r="K8" i="5"/>
  <c r="K5" i="5" s="1"/>
  <c r="K12" i="5" s="1"/>
  <c r="O58" i="32"/>
  <c r="O37" i="32"/>
  <c r="J13" i="5"/>
  <c r="M3" i="10" s="1" a="1"/>
  <c r="M3" i="10" s="1"/>
  <c r="F13" i="5"/>
  <c r="I3" i="10" s="1" a="1"/>
  <c r="I3" i="10" s="1"/>
  <c r="D13" i="32"/>
  <c r="O36" i="32"/>
  <c r="O47" i="32"/>
  <c r="O52" i="32"/>
  <c r="O10" i="32"/>
  <c r="M6" i="32"/>
  <c r="M8" i="32" s="1"/>
  <c r="M5" i="32" s="1"/>
  <c r="M12" i="32" s="1"/>
  <c r="M81" i="32" s="1"/>
  <c r="M8" i="5"/>
  <c r="M5" i="5" s="1"/>
  <c r="M12" i="5" s="1"/>
  <c r="O9" i="32"/>
  <c r="O51" i="32"/>
  <c r="O35" i="32"/>
  <c r="G8" i="5"/>
  <c r="G5" i="5" s="1"/>
  <c r="G12" i="5" s="1"/>
  <c r="G81" i="5" s="1"/>
  <c r="G6" i="32"/>
  <c r="G8" i="32" s="1"/>
  <c r="G5" i="32" s="1"/>
  <c r="G12" i="32" s="1"/>
  <c r="I13" i="32"/>
  <c r="N13" i="32"/>
  <c r="H13" i="5"/>
  <c r="K3" i="10" s="1" a="1"/>
  <c r="K3" i="10" s="1"/>
  <c r="M13" i="32"/>
  <c r="O29" i="32"/>
  <c r="O43" i="32"/>
  <c r="O19" i="32"/>
  <c r="O54" i="32"/>
  <c r="O59" i="32"/>
  <c r="L8" i="32"/>
  <c r="L5" i="32" s="1"/>
  <c r="L12" i="32" s="1"/>
  <c r="H6" i="32"/>
  <c r="H8" i="32" s="1"/>
  <c r="H5" i="32" s="1"/>
  <c r="H12" i="32" s="1"/>
  <c r="H81" i="32" s="1"/>
  <c r="H8" i="5"/>
  <c r="H5" i="5" s="1"/>
  <c r="H12" i="5" s="1"/>
  <c r="E8" i="5"/>
  <c r="E5" i="5" s="1"/>
  <c r="E12" i="5" s="1"/>
  <c r="E81" i="5" s="1"/>
  <c r="E6" i="32"/>
  <c r="E8" i="32" s="1"/>
  <c r="E5" i="32" s="1"/>
  <c r="E12" i="32" s="1"/>
  <c r="O50" i="32"/>
  <c r="O15" i="32"/>
  <c r="K13" i="32"/>
  <c r="I66" i="5"/>
  <c r="I80" i="5" s="1"/>
  <c r="I81" i="5"/>
  <c r="I81" i="32"/>
  <c r="F13" i="32"/>
  <c r="O14" i="32"/>
  <c r="O67" i="32"/>
  <c r="L81" i="5"/>
  <c r="O17" i="32"/>
  <c r="O18" i="32"/>
  <c r="C8" i="32"/>
  <c r="C5" i="32" s="1"/>
  <c r="C12" i="32" s="1"/>
  <c r="H66" i="5" l="1"/>
  <c r="H80" i="5" s="1"/>
  <c r="D66" i="32"/>
  <c r="D80" i="32" s="1"/>
  <c r="K66" i="5"/>
  <c r="K80" i="5" s="1"/>
  <c r="F66" i="32"/>
  <c r="F80" i="32" s="1"/>
  <c r="E66" i="5"/>
  <c r="E80" i="5" s="1"/>
  <c r="N66" i="32"/>
  <c r="N80" i="32" s="1"/>
  <c r="I66" i="32"/>
  <c r="I80" i="32" s="1"/>
  <c r="N66" i="5"/>
  <c r="N80" i="5" s="1"/>
  <c r="N81" i="5"/>
  <c r="J66" i="5"/>
  <c r="J80" i="5" s="1"/>
  <c r="F66" i="5"/>
  <c r="F80" i="5" s="1"/>
  <c r="D66" i="5"/>
  <c r="D80" i="5" s="1"/>
  <c r="K66" i="32"/>
  <c r="K80" i="32" s="1"/>
  <c r="L66" i="5"/>
  <c r="L80" i="5" s="1"/>
  <c r="K81" i="5"/>
  <c r="G66" i="5"/>
  <c r="G80" i="5" s="1"/>
  <c r="O6" i="32"/>
  <c r="O8" i="32" s="1"/>
  <c r="O5" i="32" s="1"/>
  <c r="O12" i="32" s="1"/>
  <c r="O81" i="32" s="1"/>
  <c r="O66" i="5"/>
  <c r="O80" i="5" s="1"/>
  <c r="C66" i="5"/>
  <c r="C80" i="5" s="1"/>
  <c r="M66" i="32"/>
  <c r="M80" i="32" s="1"/>
  <c r="G81" i="32"/>
  <c r="G66" i="32"/>
  <c r="G80" i="32" s="1"/>
  <c r="H81" i="5"/>
  <c r="E66" i="32"/>
  <c r="E80" i="32" s="1"/>
  <c r="E81" i="32"/>
  <c r="L66" i="32"/>
  <c r="L80" i="32" s="1"/>
  <c r="L81" i="32"/>
  <c r="M81" i="5"/>
  <c r="M66" i="5"/>
  <c r="M80" i="5" s="1"/>
  <c r="H66" i="32"/>
  <c r="H80" i="32" s="1"/>
  <c r="C66" i="32"/>
  <c r="C80" i="32" s="1"/>
  <c r="C81" i="32"/>
  <c r="O13" i="32"/>
  <c r="O66" i="32" l="1"/>
  <c r="O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8592200F-DDCC-419E-BF5C-9D83CE1CB6DE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D802E69C-B97F-4763-84E7-505BF02AAB9D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<sst xmlns="http://schemas.openxmlformats.org/spreadsheetml/2006/main" count="1750" uniqueCount="800">
  <si>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</si>
  <si>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</si>
  <si>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</si>
  <si>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</si>
  <si>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</si>
  <si>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</si>
  <si>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</si>
  <si>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</si>
  <si>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</si>
  <si>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</si>
  <si>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</si>
  <si>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</si>
  <si>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</si>
  <si>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</si>
  <si>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</si>
  <si>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</si>
  <si>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</si>
  <si>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</si>
  <si>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</si>
  <si>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</si>
  <si>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</si>
  <si>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</si>
  <si>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</si>
  <si>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</si>
  <si>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</si>
  <si>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</si>
  <si>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</si>
  <si>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</si>
  <si>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</si>
  <si>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</si>
  <si>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</si>
  <si>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</si>
  <si>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</si>
  <si>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</si>
  <si>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</si>
  <si>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</si>
  <si>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</si>
  <si>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</si>
  <si>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</si>
  <si>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</si>
  <si>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</si>
  <si>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</si>
  <si>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</si>
  <si>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</si>
  <si>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</si>
  <si>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</si>
  <si>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</si>
  <si>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</si>
  <si>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</si>
  <si>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</si>
  <si>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</si>
  <si>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</si>
  <si>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</si>
  <si>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</si>
  <si>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</si>
  <si>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</si>
  <si>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</si>
  <si>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</si>
  <si>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</si>
  <si>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</si>
  <si>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</si>
  <si>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</si>
  <si>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</si>
  <si>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</si>
  <si>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</si>
  <si>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</si>
  <si>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</si>
  <si>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</si>
  <si>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</si>
  <si>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</si>
  <si>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</si>
  <si>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</si>
  <si>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</si>
  <si>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</si>
  <si>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</si>
  <si>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</si>
  <si>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</si>
  <si>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</si>
  <si>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</si>
  <si>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</si>
  <si>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</si>
  <si>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</si>
  <si>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</si>
  <si>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</si>
  <si>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</si>
  <si>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</si>
  <si>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</si>
  <si>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</si>
  <si>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</si>
  <si>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</si>
  <si>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</si>
  <si>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</si>
  <si>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</si>
  <si>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</si>
  <si>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</si>
  <si>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</si>
  <si>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</si>
  <si>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</si>
  <si>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</si>
  <si>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</si>
  <si>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</si>
  <si>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</si>
  <si>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</si>
  <si>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</si>
  <si>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</si>
  <si>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</si>
  <si>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</si>
  <si>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</si>
  <si>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</si>
  <si>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</si>
  <si>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</si>
  <si>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</si>
  <si>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</si>
  <si>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</si>
  <si>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</si>
  <si>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</si>
  <si>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</si>
  <si>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</si>
  <si>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</si>
  <si>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</si>
  <si>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</si>
  <si>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</si>
  <si>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</si>
  <si>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</si>
  <si>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</si>
  <si>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</si>
  <si>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</si>
  <si>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</si>
  <si>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</si>
  <si>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</si>
  <si>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</si>
  <si>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</si>
  <si>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</si>
  <si>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</si>
  <si>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</si>
  <si>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</si>
  <si>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</si>
  <si>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</si>
  <si>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</si>
  <si>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</si>
  <si>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</si>
  <si>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</si>
  <si>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</si>
  <si>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</si>
  <si>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</si>
  <si>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</si>
  <si>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</si>
  <si>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</si>
  <si>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</si>
  <si>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</si>
  <si>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</si>
  <si>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</si>
  <si>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</si>
  <si>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</si>
  <si>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</si>
  <si>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</si>
  <si>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</si>
  <si>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</si>
  <si>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</si>
  <si>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</si>
  <si>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</si>
  <si>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</si>
  <si>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</si>
  <si>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</si>
  <si>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</si>
  <si>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</si>
  <si>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</si>
  <si>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</si>
  <si>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</si>
  <si>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</si>
  <si>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</si>
  <si>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</si>
  <si>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</si>
  <si>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</si>
  <si>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</si>
  <si>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</si>
  <si>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</si>
  <si>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</si>
  <si>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</si>
  <si>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</si>
  <si>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</si>
  <si>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</si>
  <si>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</si>
  <si>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</si>
  <si>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</si>
  <si>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</si>
  <si>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</si>
  <si>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</si>
  <si>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</si>
  <si>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</si>
  <si>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</si>
  <si>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</si>
  <si>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</si>
  <si>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</si>
  <si>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</si>
  <si>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</si>
  <si>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</si>
  <si>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</si>
  <si>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</si>
  <si>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</si>
  <si>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</si>
  <si>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</si>
  <si>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</si>
  <si>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</si>
  <si>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</si>
  <si>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</si>
  <si>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</si>
  <si>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</si>
  <si>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</si>
  <si>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</si>
  <si>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</si>
  <si>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</si>
  <si>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</si>
  <si>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</si>
  <si>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</si>
  <si>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</si>
  <si>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</si>
  <si>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</si>
  <si>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</si>
  <si>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</si>
  <si>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</si>
  <si>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</si>
  <si>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</si>
  <si>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</si>
  <si>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</si>
  <si>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</si>
  <si>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</si>
  <si>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</si>
  <si>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</si>
  <si>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</si>
  <si>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</si>
  <si>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</si>
  <si>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</si>
  <si>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</si>
  <si>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</si>
  <si>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</si>
  <si>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</si>
  <si>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</si>
  <si>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</si>
  <si>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</si>
  <si>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</si>
  <si>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</si>
  <si>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</si>
  <si>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</si>
  <si>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</si>
  <si>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</si>
  <si>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</si>
  <si>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</si>
  <si>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</si>
  <si>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</si>
  <si>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</si>
  <si>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</si>
  <si>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</si>
  <si>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</si>
  <si>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</si>
  <si>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</si>
  <si>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</si>
  <si>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</si>
  <si>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</si>
  <si>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</si>
  <si>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</si>
  <si>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</si>
  <si>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</si>
  <si>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</si>
  <si>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</si>
  <si>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</si>
  <si>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</si>
  <si>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</si>
  <si>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</si>
  <si>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</si>
  <si>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</si>
  <si>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</si>
  <si>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</si>
  <si>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</si>
  <si>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</si>
  <si>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</si>
  <si>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</si>
  <si>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</si>
  <si>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</si>
  <si>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</si>
  <si>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</si>
  <si>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</si>
  <si>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</si>
  <si>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</si>
  <si>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</si>
  <si>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</si>
  <si>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</si>
  <si>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</si>
  <si>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</si>
  <si>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</si>
  <si>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</si>
  <si>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</si>
  <si>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</si>
  <si>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</si>
  <si>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</si>
  <si>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</si>
  <si>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</si>
  <si>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</si>
  <si>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</si>
  <si>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</si>
  <si>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</si>
  <si>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</si>
  <si>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</si>
  <si>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</si>
  <si>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</si>
  <si>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</si>
  <si>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</si>
  <si>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</si>
  <si>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</si>
  <si>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</si>
  <si>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</si>
  <si>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</si>
  <si>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</si>
  <si>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</si>
  <si>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</si>
  <si>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</si>
  <si>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</si>
  <si>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</si>
  <si>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</si>
  <si>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</si>
  <si>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</si>
  <si>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</si>
  <si>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</si>
  <si>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</si>
  <si>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</si>
  <si>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</si>
  <si>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</si>
  <si>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</si>
  <si>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</si>
  <si>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</si>
  <si>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</si>
  <si>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</si>
  <si>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</si>
  <si>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</si>
  <si>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</si>
  <si>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</si>
  <si>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</si>
  <si>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</si>
  <si>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</si>
  <si>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</si>
  <si>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</si>
  <si>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</si>
  <si>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</si>
  <si>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</si>
  <si>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</si>
  <si>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</si>
  <si>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</si>
  <si>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</si>
  <si>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</si>
  <si>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</si>
  <si>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</si>
  <si>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</si>
  <si>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</si>
  <si>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</si>
  <si>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</si>
  <si>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</si>
  <si>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</si>
  <si>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</si>
  <si>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</si>
  <si>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</si>
  <si>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</si>
  <si>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</si>
  <si>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</si>
  <si>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</si>
  <si>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</si>
  <si>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</si>
  <si>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</si>
  <si>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</si>
  <si>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</si>
  <si>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</si>
  <si>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</si>
  <si>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</si>
  <si>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</si>
  <si>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</si>
  <si>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</si>
  <si>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</si>
  <si>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</si>
  <si>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</si>
  <si>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</si>
  <si>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</si>
  <si>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</si>
  <si>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</si>
  <si>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</si>
  <si>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</si>
  <si>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</si>
  <si>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</si>
  <si>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</si>
  <si>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</si>
  <si>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</si>
  <si>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</si>
  <si>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</si>
  <si>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</si>
  <si>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</si>
  <si>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</si>
  <si>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</si>
  <si>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</si>
  <si>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</si>
  <si>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</si>
  <si>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</si>
  <si>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</si>
  <si>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</si>
  <si>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</si>
  <si>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</si>
  <si>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</si>
  <si>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</si>
  <si>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</si>
  <si>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</si>
  <si>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</si>
  <si>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</si>
  <si>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</si>
  <si>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</si>
  <si>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</si>
  <si>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</si>
  <si>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</si>
  <si>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</si>
  <si>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</si>
  <si>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</si>
  <si>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</si>
  <si>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</si>
  <si>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</si>
  <si>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</si>
  <si>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</si>
  <si>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</si>
  <si>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</si>
  <si>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</si>
  <si>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</si>
  <si>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</si>
  <si>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</si>
  <si>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</si>
  <si>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</si>
  <si>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</si>
  <si>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</si>
  <si>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</si>
  <si>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</si>
  <si>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</si>
  <si>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</si>
  <si>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</si>
  <si>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</si>
  <si>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</si>
  <si>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</si>
  <si>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</si>
  <si>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</si>
  <si>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</si>
  <si>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</si>
  <si>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</si>
  <si>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</si>
  <si>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</si>
  <si>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</si>
  <si>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</si>
  <si>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</si>
  <si>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</si>
  <si>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</si>
  <si>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</si>
  <si>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</si>
  <si>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</si>
  <si>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</si>
  <si>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</si>
  <si>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</si>
  <si>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</si>
  <si>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</si>
  <si>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</si>
  <si>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</si>
  <si>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</si>
  <si>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</si>
  <si>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</si>
  <si>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</si>
  <si>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</si>
  <si>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</si>
  <si>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</si>
  <si>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</si>
  <si>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</si>
  <si>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</si>
  <si>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</si>
  <si>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</si>
  <si>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</si>
  <si>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</si>
  <si>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</si>
  <si>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</si>
  <si>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</si>
  <si>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</si>
  <si>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</si>
  <si>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</si>
  <si>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</si>
  <si>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</si>
  <si>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</si>
  <si>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</si>
  <si>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</si>
  <si>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</si>
  <si>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</si>
  <si>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</si>
  <si>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</si>
  <si>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</si>
  <si>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</si>
  <si>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</si>
  <si>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</si>
  <si>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</si>
  <si>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</si>
  <si>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</si>
  <si>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</si>
  <si>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</si>
  <si>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</si>
  <si>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</si>
  <si>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</si>
  <si>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</si>
  <si>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</si>
  <si>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</si>
  <si>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</si>
  <si>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</si>
  <si>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</si>
  <si>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</si>
  <si>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</si>
  <si>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</si>
  <si>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</si>
  <si>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</si>
  <si>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</si>
  <si>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</si>
  <si>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</si>
  <si>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</si>
  <si>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</si>
  <si>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</si>
  <si>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</si>
  <si>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</si>
  <si>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</si>
  <si>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</si>
  <si>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</si>
  <si>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</si>
  <si>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</si>
  <si>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</si>
  <si>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</si>
  <si>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</si>
  <si>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</si>
  <si>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</si>
  <si>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</si>
  <si>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</si>
  <si>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</si>
  <si>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</si>
  <si>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</si>
  <si>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</si>
  <si>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</si>
  <si>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</si>
  <si>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</si>
  <si>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</si>
  <si>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</si>
  <si>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</si>
  <si>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</si>
  <si>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</si>
  <si>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</si>
  <si>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</si>
  <si>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</si>
  <si>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</si>
  <si>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</si>
  <si>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</si>
  <si>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</si>
  <si>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</si>
  <si>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</si>
  <si>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</si>
  <si>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</si>
  <si>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</si>
  <si>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</si>
  <si>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</si>
  <si>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</si>
  <si>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</si>
  <si>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</si>
  <si>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</si>
  <si>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</si>
  <si>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</si>
  <si>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</si>
  <si>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</si>
  <si>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</si>
  <si>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</si>
  <si>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</si>
  <si>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</si>
  <si>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</si>
  <si>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</si>
  <si>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</si>
  <si>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</si>
  <si>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</si>
  <si>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</si>
  <si>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</si>
  <si>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</si>
  <si>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</si>
  <si>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</si>
  <si>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</si>
  <si>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</si>
  <si>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</si>
  <si>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</si>
  <si>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</si>
  <si>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</si>
  <si>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</si>
  <si>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</si>
  <si>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</si>
  <si>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</si>
  <si>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</si>
  <si>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</si>
  <si>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</si>
  <si>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</si>
  <si>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</si>
  <si>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</si>
  <si>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</si>
  <si>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</si>
  <si>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</si>
  <si>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</si>
  <si>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</si>
  <si>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</si>
  <si>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</si>
  <si>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</si>
  <si>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</si>
  <si>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</si>
  <si>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</si>
  <si>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</si>
  <si>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</si>
  <si>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</si>
  <si>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</si>
  <si>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</si>
  <si>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</si>
  <si>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</si>
  <si>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</si>
  <si>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</si>
  <si>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</si>
  <si>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</si>
  <si>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</si>
  <si>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</si>
  <si>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</si>
  <si>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</si>
  <si>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</si>
  <si>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</si>
  <si>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</si>
  <si>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</si>
  <si>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</si>
  <si>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</si>
  <si>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</si>
  <si>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</si>
  <si>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</si>
  <si>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</si>
  <si>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</si>
  <si>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</si>
  <si>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</si>
  <si>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</si>
  <si>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</si>
  <si>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</si>
  <si>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</si>
  <si>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</si>
  <si>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</si>
  <si>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</si>
  <si>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</si>
  <si>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</si>
  <si>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</si>
  <si>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</si>
  <si>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</si>
  <si>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</si>
  <si>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</si>
  <si>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</si>
  <si>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</si>
  <si>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</si>
  <si>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</si>
  <si>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</si>
  <si>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</si>
  <si>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</si>
  <si>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</si>
  <si>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</si>
  <si>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</si>
  <si>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</si>
  <si>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</si>
  <si>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</si>
  <si>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</si>
  <si>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</si>
  <si>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</si>
  <si>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</si>
  <si>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</si>
  <si>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</si>
  <si>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</si>
  <si>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</si>
  <si>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</si>
  <si>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</si>
  <si>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</si>
  <si>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</si>
  <si>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</si>
  <si>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</si>
  <si>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</si>
  <si>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</si>
  <si>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</si>
  <si>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</si>
  <si>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</si>
  <si>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</si>
  <si>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</si>
  <si>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</si>
  <si>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</si>
  <si>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</si>
  <si>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</si>
  <si>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</si>
  <si>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</si>
  <si>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</si>
  <si>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</si>
  <si>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Chênh lệch giá nguyên vật liệu mua vào FY2022   毎年4月のみ発生</t>
  </si>
  <si>
    <t>IRIS2020ベトナム向け部品トライ (wang ying san-KDTCN機構部品技術部)</t>
  </si>
  <si>
    <t>IRIS 2020 VN金型部品認定の緊急対応 (Tangping san-KDTCN部品品質管理部)</t>
  </si>
  <si>
    <t>機械装置</t>
  </si>
  <si>
    <t>工具器具備品</t>
  </si>
  <si>
    <t>その 他 (Tn-2)</t>
  </si>
  <si>
    <t>Virgo生産用設備（新規追加）Nakagawa</t>
  </si>
  <si>
    <t>(Tháng n)  FIX ASSETS ( Mr Hajimoto)</t>
  </si>
  <si>
    <t>(Tháng n-1) FIX ASSETS ( Mr Hajimoto)</t>
  </si>
  <si>
    <t>(Tháng n-2) 金型償却費  (Ms Lan)</t>
  </si>
  <si>
    <t>機械装置金利</t>
  </si>
  <si>
    <t>金型金利 (N-2)</t>
  </si>
  <si>
    <t>工具器具備品 金利</t>
  </si>
  <si>
    <t>その他金利</t>
  </si>
  <si>
    <t xml:space="preserve">(Tháng n-1)金型金利　Mr Hajimoto </t>
  </si>
  <si>
    <t>Virgo設備経費（生産技術-Nakagawa)</t>
  </si>
  <si>
    <t>消耗金型費 Mould budget for  EXPENSE (Khuôn)</t>
  </si>
  <si>
    <t>Repair mould budget Tháng n (Khuôn)</t>
  </si>
  <si>
    <t>Supplies (P)- Hajimoto (Khuôn)</t>
  </si>
  <si>
    <t>DOM IMP-EXP</t>
  </si>
  <si>
    <t xml:space="preserve">AIR IMP </t>
  </si>
  <si>
    <t>SEA IMP</t>
  </si>
  <si>
    <t>AIR EXP</t>
  </si>
  <si>
    <t xml:space="preserve">SEA EXP </t>
  </si>
  <si>
    <t>COURIER IMP-EXP</t>
  </si>
  <si>
    <t>生産ライン用備品 Công dụng cụ chế tạo</t>
  </si>
  <si>
    <t>社内出庫 (Mua bán nội bộ)</t>
  </si>
  <si>
    <t>計測器の校正 (Hiệu chuẩn chế tạo)</t>
  </si>
  <si>
    <t>生産用文房具製造 (Văn phòng phẩm chế tạo)</t>
  </si>
  <si>
    <t>生産用副資材   (NLP MAI)</t>
  </si>
  <si>
    <t>生産用消耗品費 (NLP MAI)</t>
  </si>
  <si>
    <t>* 手袋 （副資材の (NLP MAI)</t>
  </si>
  <si>
    <t>* マスク（副資材の (NLP MAI)</t>
  </si>
  <si>
    <t>リーフット印刷用(NLP MAI)</t>
  </si>
  <si>
    <t>トナーSirius</t>
  </si>
  <si>
    <t>生産文房具類  (NLP MAI)</t>
  </si>
  <si>
    <t>ADDITIONAL RAW MATERIAL FOR PRODUCTION ORDER</t>
  </si>
  <si>
    <t>Eva Venderさんの生産用消耗品費 - Việt</t>
  </si>
  <si>
    <t>Eva Venderさんの生産用副資材Việt</t>
  </si>
  <si>
    <t xml:space="preserve">Tenma, Changhong, Kuroda Venderさんの生産用消耗品費 </t>
  </si>
  <si>
    <t>Tenma, Changhong, Kuroda Venderさんの 生産用副資材</t>
  </si>
  <si>
    <t>*ガス代 gas cost</t>
  </si>
  <si>
    <t>*手洗い洗剤費  hand sanitizer</t>
  </si>
  <si>
    <t>*トイレットペーパ WC paper</t>
  </si>
  <si>
    <t>*清掃費用 Cleanning cost</t>
  </si>
  <si>
    <t>ローカル通勤バス- Xe BUS CN-NV</t>
  </si>
  <si>
    <t xml:space="preserve">シフト・残業・休日出勤の送迎タクシー代 Chi phí Taxi </t>
  </si>
  <si>
    <t>誕生日会 Sinh nhật (157,000VND)</t>
  </si>
  <si>
    <t>制服 ,靴, 帽子が壊れた時に交換する。Đổi đồng phục</t>
  </si>
  <si>
    <t>お年玉 tiền mừng tuổi 2月：100,000・人）</t>
  </si>
  <si>
    <t>フィロソフィ論文で応募頂いた方 7月: 100,000/人</t>
  </si>
  <si>
    <t>折りたたみコップ 6,800VND/人(2月+8月 phát định kỳ)</t>
  </si>
  <si>
    <t>Lịch bỏ túi ポケットカレンダ(11月の規定) -800 VND</t>
  </si>
  <si>
    <t>結婚費, 葬式費 Tiền mừng cưới, sinh con, tang lễ</t>
  </si>
  <si>
    <t>Chi phí hỗ trợ Khám chữa bệnh</t>
  </si>
  <si>
    <t>Phí học tiếng Nhật</t>
  </si>
  <si>
    <t>Tiệc chào đón người mới</t>
  </si>
  <si>
    <t>新人の健康診断　175,000</t>
  </si>
  <si>
    <t>新入社員の折りたたみコップ 6,800VND/人</t>
  </si>
  <si>
    <t>新入社員の名札+フィロソフィ手帳+ポケットThẻ từ chấm công +philosophy  (85200vnd/人)</t>
  </si>
  <si>
    <t>新ワーカの名札ケース+ペン+ノート (10600)</t>
  </si>
  <si>
    <t>KDTCN開発のシステム利用料</t>
  </si>
  <si>
    <t xml:space="preserve">* システム-MES使用費, Mail 使用費 </t>
  </si>
  <si>
    <t>*建物償却費) Bulding fee</t>
  </si>
  <si>
    <t>*土地(償却費) Land fee</t>
  </si>
  <si>
    <t>*電気代 Electrica usage cost</t>
  </si>
  <si>
    <t>*水道代 Water usage cost</t>
  </si>
  <si>
    <t>* 携帯電話- Telephone cost (2名）</t>
  </si>
  <si>
    <t>郵便 Phi chuyen phat nhanh Aseax</t>
  </si>
  <si>
    <t>Ricoh +Sumiden HKの税金</t>
  </si>
  <si>
    <t>KDTHK送り部材の選別検査工数 Hoaさん</t>
  </si>
  <si>
    <t xml:space="preserve">Debit Tenma  (Hải Yến-VT) </t>
  </si>
  <si>
    <t>（MCC）Hongkong からDEBIT (Phương Thúy さん）</t>
  </si>
  <si>
    <t>トラック代-Mr Thành Purchasing</t>
  </si>
  <si>
    <t>Điều chỉnh tồn kho 在庫調整 (Kho)</t>
  </si>
  <si>
    <t>（部品物流）　棚卸資産廃棄損 (Kho)</t>
  </si>
  <si>
    <t>棚卸減耗費Chi phí tổn thất sau kiểm kê (2月+9月）</t>
  </si>
  <si>
    <t>2023年度のスローガン変更についての件</t>
  </si>
  <si>
    <t>Chi phí phần mềm máy tính</t>
  </si>
  <si>
    <t xml:space="preserve">bồi thường bảo hiểm </t>
  </si>
  <si>
    <t>Kaizo bản mạch Virgo</t>
  </si>
  <si>
    <t>生産技術 KTSX1</t>
  </si>
  <si>
    <t>生産技術 KTSX2</t>
  </si>
  <si>
    <t>生産技術 KTSX3</t>
  </si>
  <si>
    <t xml:space="preserve">生産技術 KTSX3 </t>
  </si>
  <si>
    <t>Vật tư đi lấy hàng gấp Taishodo (Bùi thị ngọc Linh)</t>
  </si>
  <si>
    <t>TT tien đi lại thi tieng Nhat</t>
  </si>
  <si>
    <t>TT tien thi JLPT</t>
  </si>
  <si>
    <t>2024年度のスローガン変更についての件 Treo slogan</t>
  </si>
  <si>
    <t xml:space="preserve"> </t>
  </si>
  <si>
    <t>カレンダーLịch bỏ túi 800</t>
  </si>
  <si>
    <t>新人の 制服 (t1+2: đông (733,000), T5+6+7+8+9: hè(713,000), T10-11-12-3-4: đông hè(1,063,000)</t>
  </si>
  <si>
    <t>固定資産金利 (建物)</t>
  </si>
  <si>
    <t>固定資産金利 (土地)</t>
  </si>
  <si>
    <t>Oricon</t>
  </si>
  <si>
    <t>忘年会補助金（300,000/人）3月</t>
  </si>
  <si>
    <t xml:space="preserve">社員旅行 Du lịch công ty 5月：1,890,000/人 </t>
  </si>
  <si>
    <t>月餅Bánh Trung Thu  （10月）56,000VND</t>
  </si>
  <si>
    <t>京セラフェスティバルLễ hội Kyocera（9月） (126,000)</t>
  </si>
  <si>
    <t>10年勤続記念コンパTiệc kỷ niệm 10 năm gắn bó（10月）549,000</t>
  </si>
  <si>
    <t>10年勤続記念品Quà kỷ niệm cho CNV 10 năm gắn bó（10月）382,000</t>
  </si>
  <si>
    <t>夏服振替（２月-330,000VND）-冬服振替１０月-350,000VND）</t>
  </si>
  <si>
    <t>運動会スポーツ大会 (11月）Đại hội thể thao: 107,000</t>
  </si>
  <si>
    <t>健康診断(ローカル）12月 -189,000/人男性, 204,000vnd/人女性</t>
  </si>
  <si>
    <t>決起コンパ Tiệc khuấy động tài chính 200000</t>
  </si>
  <si>
    <t>DĐồng phục mới</t>
  </si>
  <si>
    <t>Sửa chữa chế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</si>
</sst>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.00_);_(* \(#,##0.00\);_(* &quot;-&quot;??_);_(@_)"/>
    <numFmt numFmtId="165" formatCode="&quot;¥&quot;#,##0_);[Red]\(&quot;¥&quot;#,##0\)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8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4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4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0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0" fontId="73" fillId="0" borderId="0" xfId="67" applyNumberFormat="1" applyFont="1" applyFill="1" applyAlignment="1">
      <alignment horizontal="center" vertical="center"/>
    </xf>
    <xf numFmtId="169" fontId="74" fillId="25" borderId="10" xfId="67" applyNumberFormat="1" applyFont="1" applyFill="1" applyBorder="1" applyAlignment="1">
      <alignment horizontal="center" vertical="center"/>
    </xf>
    <xf numFmtId="169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0" fontId="73" fillId="0" borderId="0" xfId="68" applyNumberFormat="1" applyFont="1" applyFill="1" applyAlignment="1">
      <alignment horizontal="center" vertical="center"/>
    </xf>
    <xf numFmtId="169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3" fillId="0" borderId="0" xfId="67" applyNumberFormat="1" applyFont="1" applyAlignment="1">
      <alignment horizontal="center" vertical="center"/>
    </xf>
    <xf numFmtId="181" fontId="73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3" fontId="85" fillId="0" borderId="0" xfId="171" applyNumberFormat="1" applyFont="1">
      <alignment vertical="center"/>
    </xf>
    <xf numFmtId="173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3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175">
    <cellStyle name="_FY2014 MP作成依頼（KDTCN).1207(3)" xfId="1" xr:uid="{8D03AA86-4F81-4B1B-ADC9-C9A45DC01C67}"/>
    <cellStyle name="20% - Accent1" xfId="2" xr:uid="{0C59A21B-CF3C-4169-A4BC-A54C6C9FD581}"/>
    <cellStyle name="20% - Accent2" xfId="3" xr:uid="{7803A6EC-4C8F-4FC3-AA49-659EE80350C9}"/>
    <cellStyle name="20% - Accent3" xfId="4" xr:uid="{0068E8AD-F60F-4E3C-8E84-0DBB5F573818}"/>
    <cellStyle name="20% - Accent4" xfId="5" xr:uid="{D131AC86-16BB-40D3-855A-75A3C00A9D20}"/>
    <cellStyle name="20% - Accent5" xfId="6" xr:uid="{77520146-78B0-42A9-9A59-9F7082B92196}"/>
    <cellStyle name="20% - Accent6" xfId="7" xr:uid="{AD5F7CA9-7918-483C-9E42-62310D7D2E82}"/>
    <cellStyle name="20% - アクセント 1" xfId="8" xr:uid="{612F467F-D75E-43BB-9313-B715103B02A0}"/>
    <cellStyle name="20% - アクセント 1 2" xfId="9" xr:uid="{95A43944-9E39-4E88-9CA2-A98B1AF0B69A}"/>
    <cellStyle name="20% - アクセント 2" xfId="10" xr:uid="{54A1A1C7-AC68-481A-963B-6B3005B4E32E}"/>
    <cellStyle name="20% - アクセント 2 2" xfId="11" xr:uid="{3CCB2158-7986-4848-93C1-8528E825C018}"/>
    <cellStyle name="20% - アクセント 3" xfId="12" xr:uid="{AB789655-C9E4-46B7-8ECA-1772CDBBE949}"/>
    <cellStyle name="20% - アクセント 3 2" xfId="13" xr:uid="{AF176990-8931-4DA3-8F95-4360EF1C1584}"/>
    <cellStyle name="20% - アクセント 4" xfId="14" xr:uid="{6ABCC9AE-6DE5-4EB1-B1B0-E20BFFB49BFD}"/>
    <cellStyle name="20% - アクセント 4 2" xfId="15" xr:uid="{910A3021-E1CF-4733-AF54-FE31255D16B3}"/>
    <cellStyle name="20% - アクセント 5" xfId="16" xr:uid="{A338D46A-E751-4CDB-AD0B-5ECC38BDB2E6}"/>
    <cellStyle name="20% - アクセント 5 2" xfId="17" xr:uid="{69C09406-7282-47CD-BFFF-8E61DFE55B06}"/>
    <cellStyle name="20% - アクセント 6" xfId="18" xr:uid="{D600D878-F544-438F-8B45-D3DB7E4FE745}"/>
    <cellStyle name="20% - アクセント 6 2" xfId="19" xr:uid="{1D566239-4926-4890-82D6-408E462CC11F}"/>
    <cellStyle name="3232" xfId="20" xr:uid="{56EDA4F1-AC6D-4EF5-A084-9DCDDF6E3D69}"/>
    <cellStyle name="40% - Accent1" xfId="21" xr:uid="{A48AE67B-2A00-404D-95EE-184E7E3C0CC6}"/>
    <cellStyle name="40% - Accent2" xfId="22" xr:uid="{07DA3475-36FB-46AF-97CE-501B07D45911}"/>
    <cellStyle name="40% - Accent3" xfId="23" xr:uid="{499666E2-6344-4576-92C5-FEF2F996554F}"/>
    <cellStyle name="40% - Accent4" xfId="24" xr:uid="{3247C87E-8D50-400D-9946-804AE02E9BB2}"/>
    <cellStyle name="40% - Accent5" xfId="25" xr:uid="{EE1D434F-4866-47D5-8506-C0A063732AE0}"/>
    <cellStyle name="40% - Accent6" xfId="26" xr:uid="{C02A8592-9A20-4A02-8E5C-0C769EF73BB8}"/>
    <cellStyle name="40% - アクセント 1" xfId="27" xr:uid="{9AFE2D42-1891-42AE-810C-FD65E7272EE9}"/>
    <cellStyle name="40% - アクセント 1 2" xfId="28" xr:uid="{F091267A-7034-4371-9110-CCE7FC8812D5}"/>
    <cellStyle name="40% - アクセント 2" xfId="29" xr:uid="{5986839B-5D58-40E3-AF74-CD3B4BFFF231}"/>
    <cellStyle name="40% - アクセント 2 2" xfId="30" xr:uid="{5A4882B1-24AB-4E34-90E9-E6B635FF4320}"/>
    <cellStyle name="40% - アクセント 3" xfId="31" xr:uid="{4FB0FF30-E40B-46CE-BB7F-78A4F52274E0}"/>
    <cellStyle name="40% - アクセント 3 2" xfId="32" xr:uid="{953CC7AA-A9BA-4EDD-9F5A-9A648FF7F571}"/>
    <cellStyle name="40% - アクセント 4" xfId="33" xr:uid="{CBE96CD9-0F11-4776-B607-AEE75F9B5337}"/>
    <cellStyle name="40% - アクセント 4 2" xfId="34" xr:uid="{5851E6F1-60D9-466F-9C5E-D5EEB59D7CE3}"/>
    <cellStyle name="40% - アクセント 5" xfId="35" xr:uid="{10201D5D-0CB4-44B6-8A58-C2921C98B71C}"/>
    <cellStyle name="40% - アクセント 5 2" xfId="36" xr:uid="{873BC14B-B6AF-42F6-9BAC-C1EE43ECB211}"/>
    <cellStyle name="40% - アクセント 6" xfId="37" xr:uid="{842DD295-491B-4CD5-B6B9-4CEB73F9CE69}"/>
    <cellStyle name="40% - アクセント 6 2" xfId="38" xr:uid="{137F9829-F405-46AD-A477-9BAF7610FEF8}"/>
    <cellStyle name="60% - Accent1" xfId="39" xr:uid="{48299D84-5A13-4C1F-AC5D-A5AC418B0CC2}"/>
    <cellStyle name="60% - Accent2" xfId="40" xr:uid="{C0937988-D9DD-442A-AC73-54A48AFC4095}"/>
    <cellStyle name="60% - Accent3" xfId="41" xr:uid="{7600E0D1-192F-46F4-8780-BB77A40BF183}"/>
    <cellStyle name="60% - Accent4" xfId="42" xr:uid="{4F0D7344-117C-4DBD-AEBE-64F9F57D581D}"/>
    <cellStyle name="60% - Accent5" xfId="43" xr:uid="{8CA5BB37-6633-449D-847F-D184A1DB49B3}"/>
    <cellStyle name="60% - Accent6" xfId="44" xr:uid="{5DADC44C-2FD6-47B4-B9D0-C493FBA675C0}"/>
    <cellStyle name="60% - アクセント 1" xfId="45" xr:uid="{76ECDC4C-D942-4652-8318-0EC715691DDB}"/>
    <cellStyle name="60% - アクセント 1 2" xfId="46" xr:uid="{8F5CBBB6-AA4D-4802-992C-A91FE8DCCB74}"/>
    <cellStyle name="60% - アクセント 2" xfId="47" xr:uid="{7B955D97-0961-4503-84E3-1F44423EF8C5}"/>
    <cellStyle name="60% - アクセント 2 2" xfId="48" xr:uid="{6EAA2107-060E-44B5-9FAF-F482D7B1F2AD}"/>
    <cellStyle name="60% - アクセント 3" xfId="49" xr:uid="{4C786243-8D5C-46BE-938C-E6E5468021EC}"/>
    <cellStyle name="60% - アクセント 3 2" xfId="50" xr:uid="{4CE21737-AB47-4578-818D-005203615507}"/>
    <cellStyle name="60% - アクセント 4" xfId="51" xr:uid="{BBA3B070-6DFE-4C84-934B-C40241B9349F}"/>
    <cellStyle name="60% - アクセント 4 2" xfId="52" xr:uid="{66B6031C-6195-4D6D-BCE3-123EB4379188}"/>
    <cellStyle name="60% - アクセント 5" xfId="53" xr:uid="{355A0ED9-855D-4A1E-8496-110F54699AE9}"/>
    <cellStyle name="60% - アクセント 5 2" xfId="54" xr:uid="{56012093-447F-4FA1-9F19-5908AD2C8516}"/>
    <cellStyle name="60% - アクセント 6" xfId="55" xr:uid="{10695AA7-FB2E-4925-803E-26AA2E926DE1}"/>
    <cellStyle name="60% - アクセント 6 2" xfId="56" xr:uid="{876B7CAA-205B-49E2-B90B-C943CE5FC511}"/>
    <cellStyle name="Accent1" xfId="57" xr:uid="{745D319A-553C-4738-A366-0ADFF406C4CD}"/>
    <cellStyle name="Accent2" xfId="58" xr:uid="{50C448D7-9A89-4A9D-A835-BE7252AAA5CC}"/>
    <cellStyle name="Accent3" xfId="59" xr:uid="{CBD22C42-741B-4C1C-B4EC-D187B2875C75}"/>
    <cellStyle name="Accent4" xfId="60" xr:uid="{80CFDD33-920C-4CFB-88BE-B53D66181241}"/>
    <cellStyle name="Accent5" xfId="61" xr:uid="{179A8B15-3754-49CC-8723-826A5518983F}"/>
    <cellStyle name="Accent6" xfId="62" xr:uid="{340C3490-6D06-4E4C-90C7-979F7744D9DA}"/>
    <cellStyle name="Bad" xfId="63" xr:uid="{89D2371F-33DB-4E98-BFC2-681774F62A51}"/>
    <cellStyle name="Calculation" xfId="64" xr:uid="{E95E2FE7-BF95-41AE-BDF5-5A158B612EDA}"/>
    <cellStyle name="Check Cell" xfId="65" xr:uid="{37598419-D5C0-4947-8229-CE4FD99AE797}"/>
    <cellStyle name="Comma" xfId="66" builtinId="3"/>
    <cellStyle name="Comma [0]" xfId="67" builtinId="6"/>
    <cellStyle name="Comma [0] 2" xfId="68" xr:uid="{6A29870E-F5CA-42E1-BD58-0A642262DFAA}"/>
    <cellStyle name="Comma [0] 2 2" xfId="69" xr:uid="{4ADB2664-F296-4F42-A288-967259A85D09}"/>
    <cellStyle name="Comma [0] 3" xfId="70" xr:uid="{D36DCA88-7AFF-4B7D-9848-146C6DC7EBB8}"/>
    <cellStyle name="Comma [0] 4" xfId="71" xr:uid="{AA2CD00C-839B-40C6-94EE-DCC013D10644}"/>
    <cellStyle name="Comma 2" xfId="72" xr:uid="{18981F64-9893-4ADE-B8DF-E48D67F19A55}"/>
    <cellStyle name="Comma 2 3" xfId="73" xr:uid="{B906520C-C90A-4FBC-B4D5-CE4A261DF24F}"/>
    <cellStyle name="Comma 3" xfId="74" xr:uid="{680FE0B7-7F36-440E-BC18-0FD209C7C944}"/>
    <cellStyle name="Comma 3 2 2" xfId="75" xr:uid="{D9ECA764-69B3-40A1-A360-7CB06CA475F5}"/>
    <cellStyle name="Comma 4" xfId="76" xr:uid="{6A4906DD-EFDF-4D7E-BBD4-21F62279B5A1}"/>
    <cellStyle name="Comma 5" xfId="77" xr:uid="{2FC5D010-C5E3-4093-89A8-63A3CD43A2FB}"/>
    <cellStyle name="Comma 6" xfId="78" xr:uid="{2E418ADD-8588-4DFB-B97A-988F12D291B4}"/>
    <cellStyle name="Currency [0] 2" xfId="79" xr:uid="{58C99DBC-4C20-4012-B68C-FF55618E6B7D}"/>
    <cellStyle name="Explanatory Text" xfId="80" xr:uid="{8B0F804D-CDAD-4A7E-BDC3-148CF62C7DCF}"/>
    <cellStyle name="Good" xfId="81" xr:uid="{0EF43916-BE67-4A03-83C0-B0F29942A943}"/>
    <cellStyle name="Heading 1" xfId="82" xr:uid="{3FC445BE-F4FD-47BF-87FA-3DB3F75C7E97}"/>
    <cellStyle name="Heading 2" xfId="83" xr:uid="{36845235-2A15-4678-9751-F43E49B1041C}"/>
    <cellStyle name="Heading 3" xfId="84" xr:uid="{EF027BB4-B8FC-45CA-862E-1E3ACE8D4EF4}"/>
    <cellStyle name="Heading 4" xfId="85" xr:uid="{07368FAC-AC8B-473E-B0D9-2EABFA6D9C13}"/>
    <cellStyle name="Input" xfId="86" xr:uid="{A233807D-3AD7-4BBE-9F1D-02395044DFC7}"/>
    <cellStyle name="Linked Cell" xfId="87" xr:uid="{1C540F16-7E26-4DF4-8B73-4B68AB43E76F}"/>
    <cellStyle name="Neutral" xfId="88" xr:uid="{5A4774D3-44D2-4522-BEF0-DD4112E88156}"/>
    <cellStyle name="Normal" xfId="0" builtinId="0"/>
    <cellStyle name="Normal 2" xfId="89" xr:uid="{A99B6077-E92E-4D15-9000-373C82983027}"/>
    <cellStyle name="Normal 2 2" xfId="90" xr:uid="{6C2D1FD8-1EDB-4C6D-95C7-797AE3C57B29}"/>
    <cellStyle name="Normal 3" xfId="91" xr:uid="{1FA7C974-7008-42FC-9D5C-594C4D3DB290}"/>
    <cellStyle name="Normal 4" xfId="92" xr:uid="{0ACA8F8F-5DA6-4900-8EF1-F83117012883}"/>
    <cellStyle name="Normal 5" xfId="93" xr:uid="{A2693726-6FAC-454F-82F4-7F1443B8E848}"/>
    <cellStyle name="Note" xfId="94" xr:uid="{1CB9670D-4A40-480D-8E06-06FEF64C2761}"/>
    <cellStyle name="Output" xfId="95" xr:uid="{726F65B3-5D66-484F-BBE3-3DB0106302B5}"/>
    <cellStyle name="Percent 2" xfId="96" xr:uid="{A27E230F-6738-48B2-A273-90C4D2F0FB51}"/>
    <cellStyle name="Percent 3" xfId="97" xr:uid="{F33508C1-9BCA-4B57-B45F-233B8FF21BA2}"/>
    <cellStyle name="Title" xfId="98" xr:uid="{DFBCDA90-909F-4085-9FF5-54F270992BE5}"/>
    <cellStyle name="Total" xfId="99" xr:uid="{B1CFBC1F-225B-42F7-8336-16364D6F7EFA}"/>
    <cellStyle name="Warning Text" xfId="100" xr:uid="{99EF933D-E4F1-4A10-9732-5ADA43234429}"/>
    <cellStyle name="アクセント 1" xfId="101" xr:uid="{562773C7-6DAB-4519-83EA-890DAACE0C27}"/>
    <cellStyle name="アクセント 1 2" xfId="102" xr:uid="{442891CE-CBF8-48FC-9273-00FBF9228A90}"/>
    <cellStyle name="アクセント 2" xfId="103" xr:uid="{FFEC97AE-3718-4A12-BE7A-40D618A60FA4}"/>
    <cellStyle name="アクセント 2 2" xfId="104" xr:uid="{D0EB63BD-A250-46B8-A505-86D7E2DF52FD}"/>
    <cellStyle name="アクセント 3" xfId="105" xr:uid="{298A6077-B56A-46FB-BA62-BE5404521DAC}"/>
    <cellStyle name="アクセント 3 2" xfId="106" xr:uid="{DA7E4FA4-C6EA-48ED-AC6C-24EA9185B71E}"/>
    <cellStyle name="アクセント 4" xfId="107" xr:uid="{6CCACB3C-0605-4657-99F3-BF4F5C5CAE07}"/>
    <cellStyle name="アクセント 4 2" xfId="108" xr:uid="{2BB4E8ED-9DD0-4FCA-9FD8-0F6B28750716}"/>
    <cellStyle name="アクセント 5" xfId="109" xr:uid="{0674F425-88F5-41CB-AFCC-38589932740F}"/>
    <cellStyle name="アクセント 5 2" xfId="110" xr:uid="{438261F5-4D4F-475F-A3E2-0F6003033A38}"/>
    <cellStyle name="アクセント 6" xfId="111" xr:uid="{B35601C0-F7D3-4D72-8338-2A5B5FB1689F}"/>
    <cellStyle name="アクセント 6 2" xfId="112" xr:uid="{6262D2F2-99EF-413E-A658-1F4A3F7398D9}"/>
    <cellStyle name="タイトル" xfId="113" xr:uid="{32B886AF-5808-4F7B-B539-A6E6F8D4FA6A}"/>
    <cellStyle name="タイトル 2" xfId="114" xr:uid="{4672E9CA-802D-490F-BAC8-5129D7608BD6}"/>
    <cellStyle name="チェック セル" xfId="115" xr:uid="{8EA8816E-54E1-4C78-B21B-77A6D61FBD6D}"/>
    <cellStyle name="チェック セル 2" xfId="116" xr:uid="{2D9FD4BF-770F-42F4-A94E-50EC6325B736}"/>
    <cellStyle name="どちらでもない" xfId="117" xr:uid="{6021E16D-D955-4477-AA35-1498EE1CCC08}"/>
    <cellStyle name="どちらでもない 2" xfId="118" xr:uid="{DD44BF89-B2B7-4B14-ACBE-310030506088}"/>
    <cellStyle name="パーセント 2" xfId="119" xr:uid="{72CB411F-8D6A-403E-BAB6-56B1137C162B}"/>
    <cellStyle name="パーセント 3" xfId="120" xr:uid="{8A773887-C6CA-40A5-AFE6-DF8E9A282217}"/>
    <cellStyle name="パーセント 3 2" xfId="121" xr:uid="{DA759501-146D-429A-A994-0D8B56940380}"/>
    <cellStyle name="メモ" xfId="122" xr:uid="{FCC81C02-64F3-42AA-8255-41C9C08E570B}"/>
    <cellStyle name="メモ 2" xfId="123" xr:uid="{20BED3D9-73EB-4D26-9785-9FC63E7C9A12}"/>
    <cellStyle name="リンク セル" xfId="124" xr:uid="{24AA1C55-FA92-47C5-B4F7-E01AF1217097}"/>
    <cellStyle name="リンク セル 2" xfId="125" xr:uid="{14D58715-7832-4B38-AF65-F9119EBDD056}"/>
    <cellStyle name="悪い" xfId="126" xr:uid="{2FC9DA56-69F0-4EE5-8D2B-E0565BA14937}"/>
    <cellStyle name="悪い 2" xfId="127" xr:uid="{062834AD-A50E-44CE-9D62-126F10A84370}"/>
    <cellStyle name="一般_KMHK FY2008 時間当り採算 2007年4月 ( Month Plan )" xfId="128" xr:uid="{B66618DB-B648-4CBB-879F-E77A85FECF97}"/>
    <cellStyle name="一般_設備投資金額一覽表" xfId="129" xr:uid="{0B9EF12F-70C8-4109-98B2-B27084087DBD}"/>
    <cellStyle name="計算" xfId="130" xr:uid="{88D2231B-2DE0-42AF-9423-DA8778C843A5}"/>
    <cellStyle name="計算 2" xfId="131" xr:uid="{A813E93E-A700-4F08-89C5-44CEAECF658A}"/>
    <cellStyle name="警告文" xfId="132" xr:uid="{7E6AB068-2895-4C6A-84D1-F0E14439F588}"/>
    <cellStyle name="警告文 2" xfId="133" xr:uid="{5F26F54C-6A17-4CD6-9DB4-B7DD0B169817}"/>
    <cellStyle name="桁区切り [0.00] 2" xfId="134" xr:uid="{2422C065-F3E7-4F3B-B413-13FFDFAF08E5}"/>
    <cellStyle name="桁区切り [0.00] 2 2" xfId="135" xr:uid="{7E3255DE-0457-4D20-A9B6-36EF72D5B9A4}"/>
    <cellStyle name="桁区切り [0.00] 2 3" xfId="136" xr:uid="{5021933C-1DE8-473D-A067-78DE387B8C8C}"/>
    <cellStyle name="桁区切り 2" xfId="137" xr:uid="{ADF6A2B9-49D7-483B-A931-17B9DD6381F7}"/>
    <cellStyle name="桁区切り 2 2" xfId="138" xr:uid="{B22ED979-169F-4C71-960D-B0AF1E79654D}"/>
    <cellStyle name="桁区切り 2 3" xfId="139" xr:uid="{73401985-0955-4CEE-88E7-7CDE4D8ACC32}"/>
    <cellStyle name="桁区切り 3" xfId="140" xr:uid="{9F10DCF3-EA3A-4C4B-9A95-165DCB70D149}"/>
    <cellStyle name="桁区切り 4" xfId="141" xr:uid="{2D8AA18F-5ECD-485B-88A8-F19BF48DA1EF}"/>
    <cellStyle name="桁区切り 5" xfId="142" xr:uid="{A9D8BC48-1B1B-4C1F-91B5-3F50672198C6}"/>
    <cellStyle name="桁区切り 6" xfId="143" xr:uid="{2A789F71-84B1-47E6-B593-6B8D71982F07}"/>
    <cellStyle name="見出し 1" xfId="144" xr:uid="{D2DD238A-11E9-4BBA-972B-D157B5E6476A}"/>
    <cellStyle name="見出し 1 2" xfId="145" xr:uid="{F1B62CD1-33BD-4398-B3A1-01D8F6B26B07}"/>
    <cellStyle name="見出し 2" xfId="146" xr:uid="{A2DEB22E-6523-446C-B0EC-360278A922AA}"/>
    <cellStyle name="見出し 2 2" xfId="147" xr:uid="{5664258B-0516-4F9B-B312-FBF4D07EAD51}"/>
    <cellStyle name="見出し 3" xfId="148" xr:uid="{5848C863-384E-401C-88C6-10FBB338B4F9}"/>
    <cellStyle name="見出し 3 2" xfId="149" xr:uid="{F110A6D6-24C4-4D00-8FA6-FCF21A149F08}"/>
    <cellStyle name="見出し 4" xfId="150" xr:uid="{096B418D-4B98-4B2B-8FCD-4274F6D9E685}"/>
    <cellStyle name="見出し 4 2" xfId="151" xr:uid="{622CA164-DEE3-4A24-A27B-B01EC75E6F5A}"/>
    <cellStyle name="集計" xfId="152" xr:uid="{3D2C44EA-7FDF-462B-8289-BA814496E2AE}"/>
    <cellStyle name="集計 2" xfId="153" xr:uid="{873754B2-438E-4EF9-B186-2867ABCB789B}"/>
    <cellStyle name="出力" xfId="154" xr:uid="{28F00F12-57FA-4503-BD62-CCDE9553B18F}"/>
    <cellStyle name="出力 2" xfId="155" xr:uid="{FC3B6917-7E78-45F7-81EC-9619DA27E5EE}"/>
    <cellStyle name="常规_総生産分析(0605-0606)" xfId="156" xr:uid="{D67E76EA-168F-4569-AEE2-3D9FACDAD44A}"/>
    <cellStyle name="説明文" xfId="157" xr:uid="{B2043E1E-518B-4A77-84D8-6B23A83DCBA8}"/>
    <cellStyle name="説明文 2" xfId="158" xr:uid="{8AF05FD6-261E-48E6-A09E-D0D0B4170D0E}"/>
    <cellStyle name="通貨 2" xfId="159" xr:uid="{2D62A70D-555E-4F57-8F4C-432F8EDC7F9D}"/>
    <cellStyle name="通貨 3" xfId="160" xr:uid="{4583D56F-1DDC-4BF5-8B04-10BD0DBAECA9}"/>
    <cellStyle name="入力" xfId="161" xr:uid="{939ABA15-0D05-4CFA-B00B-06C0CED3D862}"/>
    <cellStyle name="入力 2" xfId="162" xr:uid="{731E0FFE-4783-4D24-A592-3EB678A9314D}"/>
    <cellStyle name="標準 2" xfId="163" xr:uid="{C7E1EEC3-0814-45D1-9ABE-6172A87AB664}"/>
    <cellStyle name="標準 2 2" xfId="164" xr:uid="{D777E8FF-918D-40AB-9DA4-0A0D7257E66B}"/>
    <cellStyle name="標準 3" xfId="165" xr:uid="{6762809C-9B25-4376-85DB-C30F66D58257}"/>
    <cellStyle name="標準 3 2" xfId="166" xr:uid="{63D1A243-CA6C-45D9-821A-D71EB097B680}"/>
    <cellStyle name="標準 4" xfId="167" xr:uid="{BC7FC182-B933-4CF7-99C0-91F93089E201}"/>
    <cellStyle name="標準 4 2" xfId="168" xr:uid="{93DDC822-51A7-4573-9836-3C405B772B8F}"/>
    <cellStyle name="標準_★予定用採算表フォーム（製造課用）" xfId="169" xr:uid="{EF254E29-C1D6-4F10-8227-DD24880CEE14}"/>
    <cellStyle name="標準_03.2012 08 31 KDTVN採算表及集計表 FY2013_09（製技用）" xfId="170" xr:uid="{B17CB006-CB33-4AC1-92DE-F987D0182079}"/>
    <cellStyle name="標準_KDTVN 2012年9月1日付原価センタ" xfId="171" xr:uid="{3B668585-4AE4-40CB-81EA-72E55331CF85}"/>
    <cellStyle name="未定義" xfId="172" xr:uid="{0606394E-7680-46D8-A768-18AD9CC1E71F}"/>
    <cellStyle name="良い" xfId="173" xr:uid="{C18D35E2-DAD3-4C64-A934-9EA50AE79611}"/>
    <cellStyle name="良い 2" xfId="174" xr:uid="{15D142AC-4FB2-46BB-A091-2B01A5CAAC56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30EC-9661-49AF-BF9A-A5BB4DDBF032}">
  <sheetPr codeName="Sheet1"/>
  <dimension ref="A1:O99"/>
  <sheetViews>
    <sheetView topLeftCell="A50" zoomScaleNormal="100" workbookViewId="0">
      <selection activeCell="B62" sqref="B62:B63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機器製造2課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26483817.32</v>
      </c>
      <c r="D5" s="129">
        <f t="shared" ref="D5:O5" si="0">D8+D9</f>
        <v>25945267.34</v>
      </c>
      <c r="E5" s="129">
        <f t="shared" si="0"/>
        <v>28243028.809999999</v>
      </c>
      <c r="F5" s="129">
        <f t="shared" si="0"/>
        <v>31197355.039999999</v>
      </c>
      <c r="G5" s="129">
        <f t="shared" si="0"/>
        <v>30176779.23</v>
      </c>
      <c r="H5" s="129">
        <f t="shared" si="0"/>
        <v>22794198.189999998</v>
      </c>
      <c r="I5" s="129">
        <f t="shared" si="0"/>
        <v>32615145.579999998</v>
      </c>
      <c r="J5" s="129">
        <f t="shared" si="0"/>
        <v>31365898.009999998</v>
      </c>
      <c r="K5" s="129">
        <f t="shared" si="0"/>
        <v>28816992.120000001</v>
      </c>
      <c r="L5" s="129">
        <f t="shared" si="0"/>
        <v>30368042.629999999</v>
      </c>
      <c r="M5" s="129">
        <f t="shared" si="0"/>
        <v>20937043.990000002</v>
      </c>
      <c r="N5" s="129">
        <f t="shared" si="0"/>
        <v>25825732.200000003</v>
      </c>
      <c r="O5" s="129">
        <f t="shared" si="0"/>
        <v>334769300.45999998</v>
      </c>
    </row>
    <row r="6" spans="1:15" ht="11.25" customHeight="1">
      <c r="A6" s="26"/>
      <c r="B6" s="29" t="s">
        <v>141</v>
      </c>
      <c r="C6" s="130">
        <f>ROUNDDOWN('採算表(VND)'!C6/$N$1,2)</f>
        <v>25608043.539999999</v>
      </c>
      <c r="D6" s="130">
        <f>ROUNDDOWN('採算表(VND)'!D6/$N$1,2)</f>
        <v>24924089.289999999</v>
      </c>
      <c r="E6" s="130">
        <f>ROUNDDOWN('採算表(VND)'!E6/$N$1,2)</f>
        <v>27345320.93</v>
      </c>
      <c r="F6" s="130">
        <f>ROUNDDOWN('採算表(VND)'!F6/$N$1,2)</f>
        <v>30191776.219999999</v>
      </c>
      <c r="G6" s="130">
        <f>ROUNDDOWN('採算表(VND)'!G6/$N$1,2)</f>
        <v>29117555.719999999</v>
      </c>
      <c r="H6" s="130">
        <f>ROUNDDOWN('採算表(VND)'!H6/$N$1,2)</f>
        <v>21672016.989999998</v>
      </c>
      <c r="I6" s="130">
        <f>ROUNDDOWN('採算表(VND)'!I6/$N$1,2)</f>
        <v>31732379.539999999</v>
      </c>
      <c r="J6" s="130">
        <f>ROUNDDOWN('採算表(VND)'!J6/$N$1,2)</f>
        <v>30381259.739999998</v>
      </c>
      <c r="K6" s="130">
        <f>ROUNDDOWN('採算表(VND)'!K6/$N$1,2)</f>
        <v>27837597.23</v>
      </c>
      <c r="L6" s="130">
        <f>ROUNDDOWN('採算表(VND)'!L6/$N$1,2)</f>
        <v>29381302.93</v>
      </c>
      <c r="M6" s="130">
        <f>ROUNDDOWN('採算表(VND)'!M6/$N$1,2)</f>
        <v>20048384.07</v>
      </c>
      <c r="N6" s="130">
        <f>ROUNDDOWN('採算表(VND)'!N6/$N$1,2)</f>
        <v>24903092.510000002</v>
      </c>
      <c r="O6" s="130">
        <f>SUM(C6:N6)</f>
        <v>323142818.70999998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25608043.539999999</v>
      </c>
      <c r="D8" s="132">
        <f t="shared" si="1"/>
        <v>24924089.289999999</v>
      </c>
      <c r="E8" s="132">
        <f t="shared" si="1"/>
        <v>27345320.93</v>
      </c>
      <c r="F8" s="132">
        <f t="shared" si="1"/>
        <v>30191776.219999999</v>
      </c>
      <c r="G8" s="132">
        <f t="shared" si="1"/>
        <v>29117555.719999999</v>
      </c>
      <c r="H8" s="132">
        <f t="shared" si="1"/>
        <v>21672016.989999998</v>
      </c>
      <c r="I8" s="132">
        <f t="shared" si="1"/>
        <v>31732379.539999999</v>
      </c>
      <c r="J8" s="132">
        <f t="shared" si="1"/>
        <v>30381259.739999998</v>
      </c>
      <c r="K8" s="132">
        <f t="shared" si="1"/>
        <v>27837597.23</v>
      </c>
      <c r="L8" s="132">
        <f t="shared" si="1"/>
        <v>29381302.93</v>
      </c>
      <c r="M8" s="132">
        <f t="shared" si="1"/>
        <v>20048384.07</v>
      </c>
      <c r="N8" s="132">
        <f t="shared" si="1"/>
        <v>24903092.510000002</v>
      </c>
      <c r="O8" s="132">
        <f t="shared" si="1"/>
        <v>323142818.70999998</v>
      </c>
    </row>
    <row r="9" spans="1:15" ht="11.25" customHeight="1">
      <c r="A9" s="26"/>
      <c r="B9" s="28" t="s">
        <v>73</v>
      </c>
      <c r="C9" s="133">
        <f>ROUNDDOWN('採算表(VND)'!C9/$N$1,2)</f>
        <v>875773.78</v>
      </c>
      <c r="D9" s="133">
        <f>ROUNDDOWN('採算表(VND)'!D9/$N$1,2)</f>
        <v>1021178.05</v>
      </c>
      <c r="E9" s="133">
        <f>ROUNDDOWN('採算表(VND)'!E9/$N$1,2)</f>
        <v>897707.88</v>
      </c>
      <c r="F9" s="133">
        <f>ROUNDDOWN('採算表(VND)'!F9/$N$1,2)</f>
        <v>1005578.82</v>
      </c>
      <c r="G9" s="133">
        <f>ROUNDDOWN('採算表(VND)'!G9/$N$1,2)</f>
        <v>1059223.51</v>
      </c>
      <c r="H9" s="133">
        <f>ROUNDDOWN('採算表(VND)'!H9/$N$1,2)</f>
        <v>1122181.2</v>
      </c>
      <c r="I9" s="133">
        <f>ROUNDDOWN('採算表(VND)'!I9/$N$1,2)</f>
        <v>882766.04</v>
      </c>
      <c r="J9" s="133">
        <f>ROUNDDOWN('採算表(VND)'!J9/$N$1,2)</f>
        <v>984638.27</v>
      </c>
      <c r="K9" s="133">
        <f>ROUNDDOWN('採算表(VND)'!K9/$N$1,2)</f>
        <v>979394.89</v>
      </c>
      <c r="L9" s="133">
        <f>ROUNDDOWN('採算表(VND)'!L9/$N$1,2)</f>
        <v>986739.7</v>
      </c>
      <c r="M9" s="133">
        <f>ROUNDDOWN('採算表(VND)'!M9/$N$1,2)</f>
        <v>888659.92</v>
      </c>
      <c r="N9" s="133">
        <f>ROUNDDOWN('採算表(VND)'!N9/$N$1,2)</f>
        <v>922639.69</v>
      </c>
      <c r="O9" s="133">
        <f>SUM(C9:N9)</f>
        <v>11626481.75</v>
      </c>
    </row>
    <row r="10" spans="1:15" ht="11.25" customHeight="1">
      <c r="A10" s="26"/>
      <c r="B10" s="28" t="s">
        <v>74</v>
      </c>
      <c r="C10" s="133">
        <f>ROUNDDOWN('採算表(VND)'!C10/$N$1,2)</f>
        <v>612598.37</v>
      </c>
      <c r="D10" s="133">
        <f>ROUNDDOWN('採算表(VND)'!D10/$N$1,2)</f>
        <v>624318.18000000005</v>
      </c>
      <c r="E10" s="133">
        <f>ROUNDDOWN('採算表(VND)'!E10/$N$1,2)</f>
        <v>680504.87</v>
      </c>
      <c r="F10" s="133">
        <f>ROUNDDOWN('採算表(VND)'!F10/$N$1,2)</f>
        <v>756931.34</v>
      </c>
      <c r="G10" s="133">
        <f>ROUNDDOWN('採算表(VND)'!G10/$N$1,2)</f>
        <v>725951.69</v>
      </c>
      <c r="H10" s="133">
        <f>ROUNDDOWN('採算表(VND)'!H10/$N$1,2)</f>
        <v>730317.27</v>
      </c>
      <c r="I10" s="133">
        <f>ROUNDDOWN('採算表(VND)'!I10/$N$1,2)</f>
        <v>1104321.08</v>
      </c>
      <c r="J10" s="133">
        <f>ROUNDDOWN('採算表(VND)'!J10/$N$1,2)</f>
        <v>1062452.95</v>
      </c>
      <c r="K10" s="133">
        <f>ROUNDDOWN('採算表(VND)'!K10/$N$1,2)</f>
        <v>985983.16</v>
      </c>
      <c r="L10" s="133">
        <f>ROUNDDOWN('採算表(VND)'!L10/$N$1,2)</f>
        <v>1037262.58</v>
      </c>
      <c r="M10" s="133">
        <f>ROUNDDOWN('採算表(VND)'!M10/$N$1,2)</f>
        <v>681617.99</v>
      </c>
      <c r="N10" s="133">
        <f>ROUNDDOWN('採算表(VND)'!N10/$N$1,2)</f>
        <v>889018.59</v>
      </c>
      <c r="O10" s="133">
        <f>SUM(C10:N10)</f>
        <v>9891278.0700000003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25871218.949999999</v>
      </c>
      <c r="D12" s="134">
        <f t="shared" ref="D12:O12" si="2">D5-D10</f>
        <v>25320949.16</v>
      </c>
      <c r="E12" s="134">
        <f t="shared" si="2"/>
        <v>27562523.939999998</v>
      </c>
      <c r="F12" s="134">
        <f t="shared" si="2"/>
        <v>30440423.699999999</v>
      </c>
      <c r="G12" s="134">
        <f t="shared" si="2"/>
        <v>29450827.539999999</v>
      </c>
      <c r="H12" s="134">
        <f t="shared" si="2"/>
        <v>22063880.919999998</v>
      </c>
      <c r="I12" s="134">
        <f t="shared" si="2"/>
        <v>31510824.5</v>
      </c>
      <c r="J12" s="134">
        <f t="shared" si="2"/>
        <v>30303445.059999999</v>
      </c>
      <c r="K12" s="134">
        <f t="shared" si="2"/>
        <v>27831008.960000001</v>
      </c>
      <c r="L12" s="134">
        <f t="shared" si="2"/>
        <v>29330780.050000001</v>
      </c>
      <c r="M12" s="134">
        <f t="shared" si="2"/>
        <v>20255426.000000004</v>
      </c>
      <c r="N12" s="134">
        <f t="shared" si="2"/>
        <v>24936713.610000003</v>
      </c>
      <c r="O12" s="134">
        <f t="shared" si="2"/>
        <v>324878022.38999999</v>
      </c>
    </row>
    <row r="13" spans="1:15" ht="11.25" customHeight="1">
      <c r="A13" s="26"/>
      <c r="B13" s="28" t="s">
        <v>76</v>
      </c>
      <c r="C13" s="133">
        <f>SUM(C14:C65)</f>
        <v>23432410.270000003</v>
      </c>
      <c r="D13" s="133">
        <f t="shared" ref="D13:O13" si="3">SUM(D14:D65)</f>
        <v>23285636.790000003</v>
      </c>
      <c r="E13" s="133">
        <f t="shared" si="3"/>
        <v>25006321.300000001</v>
      </c>
      <c r="F13" s="133">
        <f t="shared" si="3"/>
        <v>27460579.360000007</v>
      </c>
      <c r="G13" s="133">
        <f t="shared" si="3"/>
        <v>26262744.220000006</v>
      </c>
      <c r="H13" s="133">
        <f t="shared" si="3"/>
        <v>19942387.619999997</v>
      </c>
      <c r="I13" s="133">
        <f t="shared" si="3"/>
        <v>28029307.740000006</v>
      </c>
      <c r="J13" s="133">
        <f t="shared" si="3"/>
        <v>26973024.650000002</v>
      </c>
      <c r="K13" s="133">
        <f t="shared" si="3"/>
        <v>24696052.460000001</v>
      </c>
      <c r="L13" s="133">
        <f t="shared" si="3"/>
        <v>25966153.090000011</v>
      </c>
      <c r="M13" s="133">
        <f t="shared" si="3"/>
        <v>18300990.99000001</v>
      </c>
      <c r="N13" s="133">
        <f t="shared" si="3"/>
        <v>21791329.169999998</v>
      </c>
      <c r="O13" s="133">
        <f t="shared" si="3"/>
        <v>291146937.66000009</v>
      </c>
    </row>
    <row r="14" spans="1:15" ht="11.25" customHeight="1">
      <c r="A14" s="34"/>
      <c r="B14" s="35" t="s">
        <v>101</v>
      </c>
      <c r="C14" s="135">
        <f>ROUNDUP('採算表(VND)'!C14/$N$1,2)</f>
        <v>21644658.970000003</v>
      </c>
      <c r="D14" s="135">
        <f>ROUNDUP('採算表(VND)'!D14/$N$1,2)</f>
        <v>21497993.280000001</v>
      </c>
      <c r="E14" s="135">
        <f>ROUNDUP('採算表(VND)'!E14/$N$1,2)</f>
        <v>23383091.66</v>
      </c>
      <c r="F14" s="135">
        <f>ROUNDUP('採算表(VND)'!F14/$N$1,2)</f>
        <v>25790527.270000003</v>
      </c>
      <c r="G14" s="135">
        <f>ROUNDUP('採算表(VND)'!G14/$N$1,2)</f>
        <v>24835147.390000001</v>
      </c>
      <c r="H14" s="135">
        <f>ROUNDUP('採算表(VND)'!H14/$N$1,2)</f>
        <v>18575528.600000001</v>
      </c>
      <c r="I14" s="135">
        <f>ROUNDUP('採算表(VND)'!I14/$N$1,2)</f>
        <v>26518470.900000002</v>
      </c>
      <c r="J14" s="135">
        <f>ROUNDUP('採算表(VND)'!J14/$N$1,2)</f>
        <v>25466359.620000001</v>
      </c>
      <c r="K14" s="135">
        <f>ROUNDUP('採算表(VND)'!K14/$N$1,2)</f>
        <v>23269569.140000001</v>
      </c>
      <c r="L14" s="135">
        <f>ROUNDUP('採算表(VND)'!L14/$N$1,2)</f>
        <v>24576953.700000003</v>
      </c>
      <c r="M14" s="135">
        <f>ROUNDUP('採算表(VND)'!M14/$N$1,2)</f>
        <v>17018843.440000001</v>
      </c>
      <c r="N14" s="135">
        <f>ROUNDUP('採算表(VND)'!N14/$N$1,2)</f>
        <v>20829733.57</v>
      </c>
      <c r="O14" s="135">
        <f t="shared" ref="O14:O65" si="4">SUM(C14:N14)</f>
        <v>273406877.54000002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71275.95</v>
      </c>
      <c r="D20" s="136">
        <f>ROUNDUP('採算表(VND)'!D20/$N$1,2)</f>
        <v>71235.819999999992</v>
      </c>
      <c r="E20" s="136">
        <f>ROUNDUP('採算表(VND)'!E20/$N$1,2)</f>
        <v>70789</v>
      </c>
      <c r="F20" s="136">
        <f>ROUNDUP('採算表(VND)'!F20/$N$1,2)</f>
        <v>70569.59</v>
      </c>
      <c r="G20" s="136">
        <f>ROUNDUP('採算表(VND)'!G20/$N$1,2)</f>
        <v>70510.06</v>
      </c>
      <c r="H20" s="136">
        <f>ROUNDUP('採算表(VND)'!H20/$N$1,2)</f>
        <v>70039.78</v>
      </c>
      <c r="I20" s="136">
        <f>ROUNDUP('採算表(VND)'!I20/$N$1,2)</f>
        <v>70029.22</v>
      </c>
      <c r="J20" s="136">
        <f>ROUNDUP('採算表(VND)'!J20/$N$1,2)</f>
        <v>70144.67</v>
      </c>
      <c r="K20" s="136">
        <f>ROUNDUP('採算表(VND)'!K20/$N$1,2)</f>
        <v>70103.709999999992</v>
      </c>
      <c r="L20" s="136">
        <f>ROUNDUP('採算表(VND)'!L20/$N$1,2)</f>
        <v>70206.14</v>
      </c>
      <c r="M20" s="136">
        <f>ROUNDUP('採算表(VND)'!M20/$N$1,2)</f>
        <v>69778.349999999991</v>
      </c>
      <c r="N20" s="136">
        <f>ROUNDUP('採算表(VND)'!N20/$N$1,2)</f>
        <v>67804.58</v>
      </c>
      <c r="O20" s="136">
        <f t="shared" si="4"/>
        <v>842486.86999999988</v>
      </c>
    </row>
    <row r="21" spans="1:15" ht="11.25" customHeight="1">
      <c r="A21" s="34"/>
      <c r="B21" s="36" t="s">
        <v>46</v>
      </c>
      <c r="C21" s="136">
        <f>ROUNDUP('採算表(VND)'!C21/$N$1,2)</f>
        <v>305997.54000000004</v>
      </c>
      <c r="D21" s="136">
        <f>ROUNDUP('採算表(VND)'!D21/$N$1,2)</f>
        <v>286188.24</v>
      </c>
      <c r="E21" s="136">
        <f>ROUNDUP('採算表(VND)'!E21/$N$1,2)</f>
        <v>253694.42</v>
      </c>
      <c r="F21" s="136">
        <f>ROUNDUP('採算表(VND)'!F21/$N$1,2)</f>
        <v>189431.44</v>
      </c>
      <c r="G21" s="136">
        <f>ROUNDUP('採算表(VND)'!G21/$N$1,2)</f>
        <v>114465.34999999999</v>
      </c>
      <c r="H21" s="136">
        <f>ROUNDUP('採算表(VND)'!H21/$N$1,2)</f>
        <v>102580.58</v>
      </c>
      <c r="I21" s="136">
        <f>ROUNDUP('採算表(VND)'!I21/$N$1,2)</f>
        <v>105052.42</v>
      </c>
      <c r="J21" s="136">
        <f>ROUNDUP('採算表(VND)'!J21/$N$1,2)</f>
        <v>103344.73</v>
      </c>
      <c r="K21" s="136">
        <f>ROUNDUP('採算表(VND)'!K21/$N$1,2)</f>
        <v>97425.34</v>
      </c>
      <c r="L21" s="136">
        <f>ROUNDUP('採算表(VND)'!L21/$N$1,2)</f>
        <v>87271.319999999992</v>
      </c>
      <c r="M21" s="136">
        <f>ROUNDUP('採算表(VND)'!M21/$N$1,2)</f>
        <v>81543.789999999994</v>
      </c>
      <c r="N21" s="136">
        <f>ROUNDUP('採算表(VND)'!N21/$N$1,2)</f>
        <v>78697.289999999994</v>
      </c>
      <c r="O21" s="136">
        <f t="shared" si="4"/>
        <v>1805692.4600000004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91146.319999999992</v>
      </c>
      <c r="D25" s="136">
        <f>ROUNDUP('採算表(VND)'!D25/$N$1,2)</f>
        <v>82175.95</v>
      </c>
      <c r="E25" s="136">
        <f>ROUNDUP('採算表(VND)'!E25/$N$1,2)</f>
        <v>89183.709999999992</v>
      </c>
      <c r="F25" s="136">
        <f>ROUNDUP('採算表(VND)'!F25/$N$1,2)</f>
        <v>115749.2</v>
      </c>
      <c r="G25" s="136">
        <f>ROUNDUP('採算表(VND)'!G25/$N$1,2)</f>
        <v>103952.72</v>
      </c>
      <c r="H25" s="136">
        <f>ROUNDUP('採算表(VND)'!H25/$N$1,2)</f>
        <v>97101.45</v>
      </c>
      <c r="I25" s="136">
        <f>ROUNDUP('採算表(VND)'!I25/$N$1,2)</f>
        <v>118344.98</v>
      </c>
      <c r="J25" s="136">
        <f>ROUNDUP('採算表(VND)'!J25/$N$1,2)</f>
        <v>112103.93</v>
      </c>
      <c r="K25" s="136">
        <f>ROUNDUP('採算表(VND)'!K25/$N$1,2)</f>
        <v>119503.54999999999</v>
      </c>
      <c r="L25" s="136">
        <f>ROUNDUP('採算表(VND)'!L25/$N$1,2)</f>
        <v>119919.93</v>
      </c>
      <c r="M25" s="136">
        <f>ROUNDUP('採算表(VND)'!M25/$N$1,2)</f>
        <v>98237.73</v>
      </c>
      <c r="N25" s="136">
        <f>ROUNDUP('採算表(VND)'!N25/$N$1,2)</f>
        <v>111553.5</v>
      </c>
      <c r="O25" s="136">
        <f t="shared" si="4"/>
        <v>1258972.97</v>
      </c>
    </row>
    <row r="26" spans="1:15" ht="11.25" customHeight="1">
      <c r="A26" s="34"/>
      <c r="B26" s="37" t="s">
        <v>104</v>
      </c>
      <c r="C26" s="136">
        <f>ROUNDUP('採算表(VND)'!C26/$N$1,2)</f>
        <v>72100.239999999991</v>
      </c>
      <c r="D26" s="136">
        <f>ROUNDUP('採算表(VND)'!D26/$N$1,2)</f>
        <v>49726.170000000006</v>
      </c>
      <c r="E26" s="136">
        <f>ROUNDUP('採算表(VND)'!E26/$N$1,2)</f>
        <v>66677.319999999992</v>
      </c>
      <c r="F26" s="136">
        <f>ROUNDUP('採算表(VND)'!F26/$N$1,2)</f>
        <v>36802.490000000005</v>
      </c>
      <c r="G26" s="136">
        <f>ROUNDUP('採算表(VND)'!G26/$N$1,2)</f>
        <v>36879.670000000006</v>
      </c>
      <c r="H26" s="136">
        <f>ROUNDUP('採算表(VND)'!H26/$N$1,2)</f>
        <v>33067.040000000001</v>
      </c>
      <c r="I26" s="136">
        <f>ROUNDUP('採算表(VND)'!I26/$N$1,2)</f>
        <v>33554.380000000005</v>
      </c>
      <c r="J26" s="136">
        <f>ROUNDUP('採算表(VND)'!J26/$N$1,2)</f>
        <v>137617.61000000002</v>
      </c>
      <c r="K26" s="136">
        <f>ROUNDUP('採算表(VND)'!K26/$N$1,2)</f>
        <v>24247.59</v>
      </c>
      <c r="L26" s="136">
        <f>ROUNDUP('採算表(VND)'!L26/$N$1,2)</f>
        <v>23399.42</v>
      </c>
      <c r="M26" s="136">
        <f>ROUNDUP('採算表(VND)'!M26/$N$1,2)</f>
        <v>29688.039999999997</v>
      </c>
      <c r="N26" s="136">
        <f>ROUNDUP('採算表(VND)'!N26/$N$1,2)</f>
        <v>24916.149999999998</v>
      </c>
      <c r="O26" s="136">
        <f t="shared" si="4"/>
        <v>568676.12</v>
      </c>
    </row>
    <row r="27" spans="1:15" ht="11.25" customHeight="1">
      <c r="A27" s="34"/>
      <c r="B27" s="37" t="s">
        <v>54</v>
      </c>
      <c r="C27" s="136">
        <f>ROUNDUP('採算表(VND)'!C27/$N$1,2)</f>
        <v>10000</v>
      </c>
      <c r="D27" s="136">
        <f>ROUNDUP('採算表(VND)'!D27/$N$1,2)</f>
        <v>10000</v>
      </c>
      <c r="E27" s="136">
        <f>ROUNDUP('採算表(VND)'!E27/$N$1,2)</f>
        <v>10000</v>
      </c>
      <c r="F27" s="136">
        <f>ROUNDUP('採算表(VND)'!F27/$N$1,2)</f>
        <v>10000</v>
      </c>
      <c r="G27" s="136">
        <f>ROUNDUP('採算表(VND)'!G27/$N$1,2)</f>
        <v>10000</v>
      </c>
      <c r="H27" s="136">
        <f>ROUNDUP('採算表(VND)'!H27/$N$1,2)</f>
        <v>10000</v>
      </c>
      <c r="I27" s="136">
        <f>ROUNDUP('採算表(VND)'!I27/$N$1,2)</f>
        <v>10000</v>
      </c>
      <c r="J27" s="136">
        <f>ROUNDUP('採算表(VND)'!J27/$N$1,2)</f>
        <v>10000</v>
      </c>
      <c r="K27" s="136">
        <f>ROUNDUP('採算表(VND)'!K27/$N$1,2)</f>
        <v>10000</v>
      </c>
      <c r="L27" s="136">
        <f>ROUNDUP('採算表(VND)'!L27/$N$1,2)</f>
        <v>10000</v>
      </c>
      <c r="M27" s="136">
        <f>ROUNDUP('採算表(VND)'!M27/$N$1,2)</f>
        <v>10000</v>
      </c>
      <c r="N27" s="136">
        <f>ROUNDUP('採算表(VND)'!N27/$N$1,2)</f>
        <v>10000</v>
      </c>
      <c r="O27" s="136">
        <f t="shared" si="4"/>
        <v>120000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9330.6200000000008</v>
      </c>
      <c r="D30" s="136">
        <f>ROUNDUP('採算表(VND)'!D30/$N$1,2)</f>
        <v>9540.2000000000007</v>
      </c>
      <c r="E30" s="136">
        <f>ROUNDUP('採算表(VND)'!E30/$N$1,2)</f>
        <v>11306.39</v>
      </c>
      <c r="F30" s="136">
        <f>ROUNDUP('採算表(VND)'!F30/$N$1,2)</f>
        <v>13266.37</v>
      </c>
      <c r="G30" s="136">
        <f>ROUNDUP('採算表(VND)'!G30/$N$1,2)</f>
        <v>13373.69</v>
      </c>
      <c r="H30" s="136">
        <f>ROUNDUP('採算表(VND)'!H30/$N$1,2)</f>
        <v>12020.84</v>
      </c>
      <c r="I30" s="136">
        <f>ROUNDUP('採算表(VND)'!I30/$N$1,2)</f>
        <v>11526.47</v>
      </c>
      <c r="J30" s="136">
        <f>ROUNDUP('採算表(VND)'!J30/$N$1,2)</f>
        <v>11616.99</v>
      </c>
      <c r="K30" s="136">
        <f>ROUNDUP('採算表(VND)'!K30/$N$1,2)</f>
        <v>11678.97</v>
      </c>
      <c r="L30" s="136">
        <f>ROUNDUP('採算表(VND)'!L30/$N$1,2)</f>
        <v>10265.6</v>
      </c>
      <c r="M30" s="136">
        <f>ROUNDUP('採算表(VND)'!M30/$N$1,2)</f>
        <v>9361.68</v>
      </c>
      <c r="N30" s="136">
        <f>ROUNDUP('採算表(VND)'!N30/$N$1,2)</f>
        <v>9066.8000000000011</v>
      </c>
      <c r="O30" s="136">
        <f t="shared" si="4"/>
        <v>132354.62</v>
      </c>
    </row>
    <row r="31" spans="1:15" ht="11.25" customHeight="1">
      <c r="A31" s="34"/>
      <c r="B31" s="37" t="s">
        <v>59</v>
      </c>
      <c r="C31" s="136">
        <f>ROUNDUP('採算表(VND)'!C31/$N$1,2)</f>
        <v>44966.53</v>
      </c>
      <c r="D31" s="136">
        <f>ROUNDUP('採算表(VND)'!D31/$N$1,2)</f>
        <v>45281.61</v>
      </c>
      <c r="E31" s="136">
        <f>ROUNDUP('採算表(VND)'!E31/$N$1,2)</f>
        <v>44706.58</v>
      </c>
      <c r="F31" s="136">
        <f>ROUNDUP('採算表(VND)'!F31/$N$1,2)</f>
        <v>45640.020000000004</v>
      </c>
      <c r="G31" s="136">
        <f>ROUNDUP('採算表(VND)'!G31/$N$1,2)</f>
        <v>45565.19</v>
      </c>
      <c r="H31" s="136">
        <f>ROUNDUP('採算表(VND)'!H31/$N$1,2)</f>
        <v>44942.9</v>
      </c>
      <c r="I31" s="136">
        <f>ROUNDUP('採算表(VND)'!I31/$N$1,2)</f>
        <v>45061.05</v>
      </c>
      <c r="J31" s="136">
        <f>ROUNDUP('採算表(VND)'!J31/$N$1,2)</f>
        <v>45569.130000000005</v>
      </c>
      <c r="K31" s="136">
        <f>ROUNDUP('採算表(VND)'!K31/$N$1,2)</f>
        <v>45435.22</v>
      </c>
      <c r="L31" s="136">
        <f>ROUNDUP('採算表(VND)'!L31/$N$1,2)</f>
        <v>45565.19</v>
      </c>
      <c r="M31" s="136">
        <f>ROUNDUP('採算表(VND)'!M31/$N$1,2)</f>
        <v>45021.670000000006</v>
      </c>
      <c r="N31" s="136">
        <f>ROUNDUP('採算表(VND)'!N31/$N$1,2)</f>
        <v>44714.46</v>
      </c>
      <c r="O31" s="136">
        <f t="shared" si="4"/>
        <v>542469.54999999993</v>
      </c>
    </row>
    <row r="32" spans="1:15" ht="11.25" customHeight="1">
      <c r="A32" s="38"/>
      <c r="B32" s="37" t="s">
        <v>61</v>
      </c>
      <c r="C32" s="136">
        <f>ROUNDUP('採算表(VND)'!C32/$N$1,2)</f>
        <v>393272.93</v>
      </c>
      <c r="D32" s="136">
        <f>ROUNDUP('採算表(VND)'!D32/$N$1,2)</f>
        <v>384512.34</v>
      </c>
      <c r="E32" s="136">
        <f>ROUNDUP('採算表(VND)'!E32/$N$1,2)</f>
        <v>402033.52</v>
      </c>
      <c r="F32" s="136">
        <f>ROUNDUP('採算表(VND)'!F32/$N$1,2)</f>
        <v>419554.7</v>
      </c>
      <c r="G32" s="136">
        <f>ROUNDUP('採算表(VND)'!G32/$N$1,2)</f>
        <v>393272.93</v>
      </c>
      <c r="H32" s="136">
        <f>ROUNDUP('採算表(VND)'!H32/$N$1,2)</f>
        <v>384512.34</v>
      </c>
      <c r="I32" s="136">
        <f>ROUNDUP('採算表(VND)'!I32/$N$1,2)</f>
        <v>419554.7</v>
      </c>
      <c r="J32" s="136">
        <f>ROUNDUP('採算表(VND)'!J32/$N$1,2)</f>
        <v>393272.93</v>
      </c>
      <c r="K32" s="136">
        <f>ROUNDUP('採算表(VND)'!K32/$N$1,2)</f>
        <v>410794.11</v>
      </c>
      <c r="L32" s="136">
        <f>ROUNDUP('採算表(VND)'!L32/$N$1,2)</f>
        <v>393272.93</v>
      </c>
      <c r="M32" s="136">
        <f>ROUNDUP('採算表(VND)'!M32/$N$1,2)</f>
        <v>349469.98</v>
      </c>
      <c r="N32" s="136">
        <f>ROUNDUP('採算表(VND)'!N32/$N$1,2)</f>
        <v>402033.52</v>
      </c>
      <c r="O32" s="136">
        <f t="shared" si="4"/>
        <v>4745556.93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39.39</v>
      </c>
      <c r="D38" s="136">
        <f>ROUNDUP('採算表(VND)'!D38/$N$1,2)</f>
        <v>39.39</v>
      </c>
      <c r="E38" s="136">
        <f>ROUNDUP('採算表(VND)'!E38/$N$1,2)</f>
        <v>39.39</v>
      </c>
      <c r="F38" s="136">
        <f>ROUNDUP('採算表(VND)'!F38/$N$1,2)</f>
        <v>39.39</v>
      </c>
      <c r="G38" s="136">
        <f>ROUNDUP('採算表(VND)'!G38/$N$1,2)</f>
        <v>39.39</v>
      </c>
      <c r="H38" s="136">
        <f>ROUNDUP('採算表(VND)'!H38/$N$1,2)</f>
        <v>39.39</v>
      </c>
      <c r="I38" s="136">
        <f>ROUNDUP('採算表(VND)'!I38/$N$1,2)</f>
        <v>39.39</v>
      </c>
      <c r="J38" s="136">
        <f>ROUNDUP('採算表(VND)'!J38/$N$1,2)</f>
        <v>39.39</v>
      </c>
      <c r="K38" s="136">
        <f>ROUNDUP('採算表(VND)'!K38/$N$1,2)</f>
        <v>39.39</v>
      </c>
      <c r="L38" s="136">
        <f>ROUNDUP('採算表(VND)'!L38/$N$1,2)</f>
        <v>39.39</v>
      </c>
      <c r="M38" s="136">
        <f>ROUNDUP('採算表(VND)'!M38/$N$1,2)</f>
        <v>39.39</v>
      </c>
      <c r="N38" s="136">
        <f>ROUNDUP('採算表(VND)'!N38/$N$1,2)</f>
        <v>39.39</v>
      </c>
      <c r="O38" s="136">
        <f t="shared" si="4"/>
        <v>472.67999999999989</v>
      </c>
    </row>
    <row r="39" spans="1:15" ht="11.25" customHeight="1">
      <c r="A39" s="38"/>
      <c r="B39" s="37" t="s">
        <v>50</v>
      </c>
      <c r="C39" s="136">
        <f>ROUNDUP('採算表(VND)'!C39/$N$1,2)</f>
        <v>3969.3900000000003</v>
      </c>
      <c r="D39" s="136">
        <f>ROUNDUP('採算表(VND)'!D39/$N$1,2)</f>
        <v>3983.0600000000004</v>
      </c>
      <c r="E39" s="136">
        <f>ROUNDUP('採算表(VND)'!E39/$N$1,2)</f>
        <v>3956.0600000000004</v>
      </c>
      <c r="F39" s="136">
        <f>ROUNDUP('採算表(VND)'!F39/$N$1,2)</f>
        <v>3580.88</v>
      </c>
      <c r="G39" s="136">
        <f>ROUNDUP('採算表(VND)'!G39/$N$1,2)</f>
        <v>3976.57</v>
      </c>
      <c r="H39" s="136">
        <f>ROUNDUP('採算表(VND)'!H39/$N$1,2)</f>
        <v>3917.3100000000004</v>
      </c>
      <c r="I39" s="136">
        <f>ROUNDUP('採算表(VND)'!I39/$N$1,2)</f>
        <v>3629.4700000000003</v>
      </c>
      <c r="J39" s="136">
        <f>ROUNDUP('採算表(VND)'!J39/$N$1,2)</f>
        <v>3670.5400000000004</v>
      </c>
      <c r="K39" s="136">
        <f>ROUNDUP('採算表(VND)'!K39/$N$1,2)</f>
        <v>3866.7200000000003</v>
      </c>
      <c r="L39" s="136">
        <f>ROUNDUP('採算表(VND)'!L39/$N$1,2)</f>
        <v>3634.96</v>
      </c>
      <c r="M39" s="136">
        <f>ROUNDUP('採算表(VND)'!M39/$N$1,2)</f>
        <v>3736.46</v>
      </c>
      <c r="N39" s="136">
        <f>ROUNDUP('採算表(VND)'!N39/$N$1,2)</f>
        <v>4151.43</v>
      </c>
      <c r="O39" s="136">
        <f t="shared" si="4"/>
        <v>46072.850000000006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290.67</v>
      </c>
      <c r="D41" s="136">
        <f>ROUNDUP('採算表(VND)'!D41/$N$1,2)</f>
        <v>290.67</v>
      </c>
      <c r="E41" s="136">
        <f>ROUNDUP('採算表(VND)'!E41/$N$1,2)</f>
        <v>290.67</v>
      </c>
      <c r="F41" s="136">
        <f>ROUNDUP('採算表(VND)'!F41/$N$1,2)</f>
        <v>290.67</v>
      </c>
      <c r="G41" s="136">
        <f>ROUNDUP('採算表(VND)'!G41/$N$1,2)</f>
        <v>290.67</v>
      </c>
      <c r="H41" s="136">
        <f>ROUNDUP('採算表(VND)'!H41/$N$1,2)</f>
        <v>290.67</v>
      </c>
      <c r="I41" s="136">
        <f>ROUNDUP('採算表(VND)'!I41/$N$1,2)</f>
        <v>290.67</v>
      </c>
      <c r="J41" s="136">
        <f>ROUNDUP('採算表(VND)'!J41/$N$1,2)</f>
        <v>290.67</v>
      </c>
      <c r="K41" s="136">
        <f>ROUNDUP('採算表(VND)'!K41/$N$1,2)</f>
        <v>290.67</v>
      </c>
      <c r="L41" s="136">
        <f>ROUNDUP('採算表(VND)'!L41/$N$1,2)</f>
        <v>290.67</v>
      </c>
      <c r="M41" s="136">
        <f>ROUNDUP('採算表(VND)'!M41/$N$1,2)</f>
        <v>290.67</v>
      </c>
      <c r="N41" s="136">
        <f>ROUNDUP('採算表(VND)'!N41/$N$1,2)</f>
        <v>290.67</v>
      </c>
      <c r="O41" s="136">
        <f t="shared" si="4"/>
        <v>3488.0400000000004</v>
      </c>
    </row>
    <row r="42" spans="1:15" ht="11.25" customHeight="1">
      <c r="A42" s="38"/>
      <c r="B42" s="37" t="s">
        <v>98</v>
      </c>
      <c r="C42" s="136">
        <f>ROUNDUP('採算表(VND)'!C42/$N$1,2)</f>
        <v>11512.03</v>
      </c>
      <c r="D42" s="136">
        <f>ROUNDUP('採算表(VND)'!D42/$N$1,2)</f>
        <v>11512.03</v>
      </c>
      <c r="E42" s="136">
        <f>ROUNDUP('採算表(VND)'!E42/$N$1,2)</f>
        <v>11512.03</v>
      </c>
      <c r="F42" s="136">
        <f>ROUNDUP('採算表(VND)'!F42/$N$1,2)</f>
        <v>11512.03</v>
      </c>
      <c r="G42" s="136">
        <f>ROUNDUP('採算表(VND)'!G42/$N$1,2)</f>
        <v>11512.03</v>
      </c>
      <c r="H42" s="136">
        <f>ROUNDUP('採算表(VND)'!H42/$N$1,2)</f>
        <v>11512.03</v>
      </c>
      <c r="I42" s="136">
        <f>ROUNDUP('採算表(VND)'!I42/$N$1,2)</f>
        <v>11751.72</v>
      </c>
      <c r="J42" s="136">
        <f>ROUNDUP('採算表(VND)'!J42/$N$1,2)</f>
        <v>12031.53</v>
      </c>
      <c r="K42" s="136">
        <f>ROUNDUP('採算表(VND)'!K42/$N$1,2)</f>
        <v>11512.03</v>
      </c>
      <c r="L42" s="136">
        <f>ROUNDUP('採算表(VND)'!L42/$N$1,2)</f>
        <v>12212.08</v>
      </c>
      <c r="M42" s="136">
        <f>ROUNDUP('採算表(VND)'!M42/$N$1,2)</f>
        <v>12151.210000000001</v>
      </c>
      <c r="N42" s="136">
        <f>ROUNDUP('採算表(VND)'!N42/$N$1,2)</f>
        <v>11512.03</v>
      </c>
      <c r="O42" s="136">
        <f t="shared" si="4"/>
        <v>140242.78000000003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71286.83</v>
      </c>
      <c r="D44" s="136">
        <f>ROUNDUP('採算表(VND)'!D44/$N$1,2)</f>
        <v>118105.23999999999</v>
      </c>
      <c r="E44" s="136">
        <f>ROUNDUP('採算表(VND)'!E44/$N$1,2)</f>
        <v>43117.060000000005</v>
      </c>
      <c r="F44" s="136">
        <f>ROUNDUP('採算表(VND)'!F44/$N$1,2)</f>
        <v>31671.85</v>
      </c>
      <c r="G44" s="136">
        <f>ROUNDUP('採算表(VND)'!G44/$N$1,2)</f>
        <v>32419.84</v>
      </c>
      <c r="H44" s="136">
        <f>ROUNDUP('採算表(VND)'!H44/$N$1,2)</f>
        <v>40942.810000000005</v>
      </c>
      <c r="I44" s="136">
        <f>ROUNDUP('採算表(VND)'!I44/$N$1,2)</f>
        <v>33921.370000000003</v>
      </c>
      <c r="J44" s="136">
        <f>ROUNDUP('採算表(VND)'!J44/$N$1,2)</f>
        <v>42668.41</v>
      </c>
      <c r="K44" s="136">
        <f>ROUNDUP('採算表(VND)'!K44/$N$1,2)</f>
        <v>45296.840000000004</v>
      </c>
      <c r="L44" s="136">
        <f>ROUNDUP('採算表(VND)'!L44/$N$1,2)</f>
        <v>33773.54</v>
      </c>
      <c r="M44" s="136">
        <f>ROUNDUP('採算表(VND)'!M44/$N$1,2)</f>
        <v>46170.1</v>
      </c>
      <c r="N44" s="136">
        <f>ROUNDUP('採算表(VND)'!N44/$N$1,2)</f>
        <v>50819.130000000005</v>
      </c>
      <c r="O44" s="136">
        <f t="shared" si="4"/>
        <v>590193.02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1400</v>
      </c>
      <c r="D50" s="138">
        <f>ROUNDUP('採算表(VND)'!D50/$N$1,2)</f>
        <v>1400</v>
      </c>
      <c r="E50" s="138">
        <f>ROUNDUP('採算表(VND)'!E50/$N$1,2)</f>
        <v>1400</v>
      </c>
      <c r="F50" s="138">
        <f>ROUNDUP('採算表(VND)'!F50/$N$1,2)</f>
        <v>1400</v>
      </c>
      <c r="G50" s="138">
        <f>ROUNDUP('採算表(VND)'!G50/$N$1,2)</f>
        <v>8660.66</v>
      </c>
      <c r="H50" s="138">
        <f>ROUNDUP('採算表(VND)'!H50/$N$1,2)</f>
        <v>300</v>
      </c>
      <c r="I50" s="138">
        <f>ROUNDUP('採算表(VND)'!I50/$N$1,2)</f>
        <v>1205</v>
      </c>
      <c r="J50" s="138">
        <f>ROUNDUP('採算表(VND)'!J50/$N$1,2)</f>
        <v>1400</v>
      </c>
      <c r="K50" s="138">
        <f>ROUNDUP('採算表(VND)'!K50/$N$1,2)</f>
        <v>1400</v>
      </c>
      <c r="L50" s="138">
        <f>ROUNDUP('採算表(VND)'!L50/$N$1,2)</f>
        <v>1400</v>
      </c>
      <c r="M50" s="138">
        <f>ROUNDUP('採算表(VND)'!M50/$N$1,2)</f>
        <v>7660.66</v>
      </c>
      <c r="N50" s="138">
        <f>ROUNDUP('採算表(VND)'!N50/$N$1,2)</f>
        <v>300</v>
      </c>
      <c r="O50" s="138">
        <f t="shared" si="4"/>
        <v>27926.32</v>
      </c>
    </row>
    <row r="51" spans="1:15" ht="11.25" customHeight="1">
      <c r="A51" s="38"/>
      <c r="B51" s="39" t="s">
        <v>105</v>
      </c>
      <c r="C51" s="138">
        <f>ROUNDUP('採算表(VND)'!C51/$N$1,2)</f>
        <v>12826.34</v>
      </c>
      <c r="D51" s="138">
        <f>ROUNDUP('採算表(VND)'!D51/$N$1,2)</f>
        <v>12826.34</v>
      </c>
      <c r="E51" s="138">
        <f>ROUNDUP('採算表(VND)'!E51/$N$1,2)</f>
        <v>12826.34</v>
      </c>
      <c r="F51" s="138">
        <f>ROUNDUP('採算表(VND)'!F51/$N$1,2)</f>
        <v>17826.34</v>
      </c>
      <c r="G51" s="138">
        <f>ROUNDUP('採算表(VND)'!G51/$N$1,2)</f>
        <v>17826.34</v>
      </c>
      <c r="H51" s="138">
        <f>ROUNDUP('採算表(VND)'!H51/$N$1,2)</f>
        <v>17826.34</v>
      </c>
      <c r="I51" s="138">
        <f>ROUNDUP('採算表(VND)'!I51/$N$1,2)</f>
        <v>12826.34</v>
      </c>
      <c r="J51" s="138">
        <f>ROUNDUP('採算表(VND)'!J51/$N$1,2)</f>
        <v>12826.34</v>
      </c>
      <c r="K51" s="138">
        <f>ROUNDUP('採算表(VND)'!K51/$N$1,2)</f>
        <v>12826.34</v>
      </c>
      <c r="L51" s="138">
        <f>ROUNDUP('採算表(VND)'!L51/$N$1,2)</f>
        <v>17826.34</v>
      </c>
      <c r="M51" s="138">
        <f>ROUNDUP('採算表(VND)'!M51/$N$1,2)</f>
        <v>12826.34</v>
      </c>
      <c r="N51" s="138">
        <f>ROUNDUP('採算表(VND)'!N51/$N$1,2)</f>
        <v>12826.34</v>
      </c>
      <c r="O51" s="138">
        <f t="shared" si="4"/>
        <v>173916.08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36031.380000000005</v>
      </c>
      <c r="D57" s="139">
        <f>ROUNDUP('採算表(VND)'!D57/$N$1,2)</f>
        <v>23026.19</v>
      </c>
      <c r="E57" s="139">
        <f>ROUNDUP('採算表(VND)'!E57/$N$1,2)</f>
        <v>23073.34</v>
      </c>
      <c r="F57" s="139">
        <f>ROUNDUP('採算表(VND)'!F57/$N$1,2)</f>
        <v>22652.51</v>
      </c>
      <c r="G57" s="139">
        <f>ROUNDUP('採算表(VND)'!G57/$N$1,2)</f>
        <v>21830.859999999997</v>
      </c>
      <c r="H57" s="139">
        <f>ROUNDUP('採算表(VND)'!H57/$N$1,2)</f>
        <v>21789.649999999998</v>
      </c>
      <c r="I57" s="139">
        <f>ROUNDUP('採算表(VND)'!I57/$N$1,2)</f>
        <v>22084.62</v>
      </c>
      <c r="J57" s="139">
        <f>ROUNDUP('採算表(VND)'!J57/$N$1,2)</f>
        <v>22341.78</v>
      </c>
      <c r="K57" s="139">
        <f>ROUNDUP('採算表(VND)'!K57/$N$1,2)</f>
        <v>22331.949999999997</v>
      </c>
      <c r="L57" s="139">
        <f>ROUNDUP('採算表(VND)'!L57/$N$1,2)</f>
        <v>22311.03</v>
      </c>
      <c r="M57" s="139">
        <f>ROUNDUP('採算表(VND)'!M57/$N$1,2)</f>
        <v>22226.429999999997</v>
      </c>
      <c r="N57" s="139">
        <f>ROUNDUP('採算表(VND)'!N57/$N$1,2)</f>
        <v>22044.23</v>
      </c>
      <c r="O57" s="139">
        <f t="shared" si="4"/>
        <v>281743.96999999997</v>
      </c>
    </row>
    <row r="58" spans="1:15" ht="11.25" customHeight="1">
      <c r="A58" s="38"/>
      <c r="B58" s="37" t="s">
        <v>122</v>
      </c>
      <c r="C58" s="139">
        <f>ROUNDUP('採算表(VND)'!C58/$N$1,2)</f>
        <v>89624.3</v>
      </c>
      <c r="D58" s="139">
        <f>ROUNDUP('採算表(VND)'!D58/$N$1,2)</f>
        <v>84468.959999999992</v>
      </c>
      <c r="E58" s="139">
        <f>ROUNDUP('採算表(VND)'!E58/$N$1,2)</f>
        <v>89745.87999999999</v>
      </c>
      <c r="F58" s="139">
        <f>ROUNDUP('採算表(VND)'!F58/$N$1,2)</f>
        <v>113534.62999999999</v>
      </c>
      <c r="G58" s="139">
        <f>ROUNDUP('採算表(VND)'!G58/$N$1,2)</f>
        <v>103760.79</v>
      </c>
      <c r="H58" s="139">
        <f>ROUNDUP('採算表(VND)'!H58/$N$1,2)</f>
        <v>97225.159999999989</v>
      </c>
      <c r="I58" s="139">
        <f>ROUNDUP('採算表(VND)'!I58/$N$1,2)</f>
        <v>117804.25</v>
      </c>
      <c r="J58" s="139">
        <f>ROUNDUP('採算表(VND)'!J58/$N$1,2)</f>
        <v>109716.76999999999</v>
      </c>
      <c r="K58" s="139">
        <f>ROUNDUP('採算表(VND)'!K58/$N$1,2)</f>
        <v>118575.76999999999</v>
      </c>
      <c r="L58" s="139">
        <f>ROUNDUP('採算表(VND)'!L58/$N$1,2)</f>
        <v>116338.9</v>
      </c>
      <c r="M58" s="139">
        <f>ROUNDUP('採算表(VND)'!M58/$N$1,2)</f>
        <v>96120.049999999988</v>
      </c>
      <c r="N58" s="139">
        <f>ROUNDUP('採算表(VND)'!N58/$N$1,2)</f>
        <v>110826.08</v>
      </c>
      <c r="O58" s="139">
        <f t="shared" si="4"/>
        <v>1247741.54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272110.38</v>
      </c>
      <c r="D61" s="139">
        <f>ROUNDUP('採算表(VND)'!D61/$N$1,2)</f>
        <v>256441.13</v>
      </c>
      <c r="E61" s="139">
        <f>ROUNDUP('採算表(VND)'!E61/$N$1,2)</f>
        <v>231474.04</v>
      </c>
      <c r="F61" s="139">
        <f>ROUNDUP('採算表(VND)'!F61/$N$1,2)</f>
        <v>230680.84</v>
      </c>
      <c r="G61" s="139">
        <f>ROUNDUP('採算表(VND)'!G61/$N$1,2)</f>
        <v>232512.05000000002</v>
      </c>
      <c r="H61" s="139">
        <f>ROUNDUP('採算表(VND)'!H61/$N$1,2)</f>
        <v>229244</v>
      </c>
      <c r="I61" s="139">
        <f>ROUNDUP('採算表(VND)'!I61/$N$1,2)</f>
        <v>231315.76</v>
      </c>
      <c r="J61" s="139">
        <f>ROUNDUP('採算表(VND)'!J61/$N$1,2)</f>
        <v>216701.78</v>
      </c>
      <c r="K61" s="139">
        <f>ROUNDUP('採算表(VND)'!K61/$N$1,2)</f>
        <v>221848.36000000002</v>
      </c>
      <c r="L61" s="139">
        <f>ROUNDUP('採算表(VND)'!L61/$N$1,2)</f>
        <v>224313.71000000002</v>
      </c>
      <c r="M61" s="139">
        <f>ROUNDUP('採算表(VND)'!M61/$N$1,2)</f>
        <v>235802.17</v>
      </c>
      <c r="N61" s="139">
        <f>ROUNDUP('採算表(VND)'!N61/$N$1,2)</f>
        <v>0</v>
      </c>
      <c r="O61" s="139">
        <f t="shared" si="4"/>
        <v>2582444.2199999997</v>
      </c>
    </row>
    <row r="62" spans="1:15" ht="11.25" customHeight="1">
      <c r="A62" s="38"/>
      <c r="B62" s="37" t="s">
        <v>418</v>
      </c>
      <c r="C62" s="139">
        <f>ROUNDUP('採算表(VND)'!C62/$N$1,2)</f>
        <v>28329.01</v>
      </c>
      <c r="D62" s="139">
        <f>ROUNDUP('採算表(VND)'!D62/$N$1,2)</f>
        <v>26560.82</v>
      </c>
      <c r="E62" s="139">
        <f>ROUNDUP('採算表(VND)'!E62/$N$1,2)</f>
        <v>24410.66</v>
      </c>
      <c r="F62" s="139">
        <f>ROUNDUP('採算表(VND)'!F62/$N$1,2)</f>
        <v>31248.269999999997</v>
      </c>
      <c r="G62" s="139">
        <f>ROUNDUP('採算表(VND)'!G62/$N$1,2)</f>
        <v>27789.829999999998</v>
      </c>
      <c r="H62" s="139">
        <f>ROUNDUP('採算表(VND)'!H62/$N$1,2)</f>
        <v>18703.329999999998</v>
      </c>
      <c r="I62" s="139">
        <f>ROUNDUP('採算表(VND)'!I62/$N$1,2)</f>
        <v>19764.599999999999</v>
      </c>
      <c r="J62" s="139">
        <f>ROUNDUP('採算表(VND)'!J62/$N$1,2)</f>
        <v>18779.239999999998</v>
      </c>
      <c r="K62" s="139">
        <f>ROUNDUP('採算表(VND)'!K62/$N$1,2)</f>
        <v>16561.8</v>
      </c>
      <c r="L62" s="139">
        <f>ROUNDUP('採算表(VND)'!L62/$N$1,2)</f>
        <v>15474.28</v>
      </c>
      <c r="M62" s="139">
        <f>ROUNDUP('採算表(VND)'!M62/$N$1,2)</f>
        <v>17850.429999999997</v>
      </c>
      <c r="N62" s="139">
        <f>ROUNDUP('採算表(VND)'!N62/$N$1,2)</f>
        <v>0</v>
      </c>
      <c r="O62" s="139">
        <f t="shared" si="4"/>
        <v>245472.26999999996</v>
      </c>
    </row>
    <row r="63" spans="1:15" ht="11.25" customHeight="1">
      <c r="A63" s="38"/>
      <c r="B63" s="37" t="s">
        <v>419</v>
      </c>
      <c r="C63" s="139">
        <f>ROUNDUP('採算表(VND)'!C63/$N$1,2)</f>
        <v>37108.639999999999</v>
      </c>
      <c r="D63" s="139">
        <f>ROUNDUP('採算表(VND)'!D63/$N$1,2)</f>
        <v>22700.16</v>
      </c>
      <c r="E63" s="139">
        <f>ROUNDUP('採算表(VND)'!E63/$N$1,2)</f>
        <v>20045.969999999998</v>
      </c>
      <c r="F63" s="139">
        <f>ROUNDUP('採算表(VND)'!F63/$N$1,2)</f>
        <v>19536.23</v>
      </c>
      <c r="G63" s="139">
        <f>ROUNDUP('採算表(VND)'!G63/$N$1,2)</f>
        <v>20128.179999999997</v>
      </c>
      <c r="H63" s="139">
        <f>ROUNDUP('採算表(VND)'!H63/$N$1,2)</f>
        <v>15556.85</v>
      </c>
      <c r="I63" s="139">
        <f>ROUNDUP('採算表(VND)'!I63/$N$1,2)</f>
        <v>48583.03</v>
      </c>
      <c r="J63" s="139">
        <f>ROUNDUP('採算表(VND)'!J63/$N$1,2)</f>
        <v>18669.78</v>
      </c>
      <c r="K63" s="139">
        <f>ROUNDUP('採算表(VND)'!K63/$N$1,2)</f>
        <v>20685.75</v>
      </c>
      <c r="L63" s="139">
        <f>ROUNDUP('採算表(VND)'!L63/$N$1,2)</f>
        <v>15193.25</v>
      </c>
      <c r="M63" s="139">
        <f>ROUNDUP('採算表(VND)'!M63/$N$1,2)</f>
        <v>19201.719999999998</v>
      </c>
      <c r="N63" s="139">
        <f>ROUNDUP('採算表(VND)'!N63/$N$1,2)</f>
        <v>0</v>
      </c>
      <c r="O63" s="139">
        <f t="shared" si="4"/>
        <v>257409.56</v>
      </c>
    </row>
    <row r="64" spans="1:15" ht="11.25" customHeight="1">
      <c r="A64" s="38"/>
      <c r="B64" s="37" t="s">
        <v>143</v>
      </c>
      <c r="C64" s="139">
        <f>ROUNDUP('採算表(VND)'!C64/$N$1,2)</f>
        <v>225132.81</v>
      </c>
      <c r="D64" s="139">
        <f>ROUNDUP('採算表(VND)'!D64/$N$1,2)</f>
        <v>287629.19</v>
      </c>
      <c r="E64" s="139">
        <f>ROUNDUP('採算表(VND)'!E64/$N$1,2)</f>
        <v>212947.26</v>
      </c>
      <c r="F64" s="139">
        <f>ROUNDUP('採算表(VND)'!F64/$N$1,2)</f>
        <v>285064.64</v>
      </c>
      <c r="G64" s="139">
        <f>ROUNDUP('採算表(VND)'!G64/$N$1,2)</f>
        <v>158830.01</v>
      </c>
      <c r="H64" s="139">
        <f>ROUNDUP('採算表(VND)'!H64/$N$1,2)</f>
        <v>155246.55000000002</v>
      </c>
      <c r="I64" s="139">
        <f>ROUNDUP('採算表(VND)'!I64/$N$1,2)</f>
        <v>194497.40000000002</v>
      </c>
      <c r="J64" s="139">
        <f>ROUNDUP('採算表(VND)'!J64/$N$1,2)</f>
        <v>163858.81</v>
      </c>
      <c r="K64" s="139">
        <f>ROUNDUP('採算表(VND)'!K64/$N$1,2)</f>
        <v>162059.21000000002</v>
      </c>
      <c r="L64" s="139">
        <f>ROUNDUP('採算表(VND)'!L64/$N$1,2)</f>
        <v>166490.71000000002</v>
      </c>
      <c r="M64" s="139">
        <f>ROUNDUP('採算表(VND)'!M64/$N$1,2)</f>
        <v>114970.68</v>
      </c>
      <c r="N64" s="139">
        <f>ROUNDUP('採算表(VND)'!N64/$N$1,2)</f>
        <v>0</v>
      </c>
      <c r="O64" s="139">
        <f t="shared" si="4"/>
        <v>2126727.2700000005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2438808.679999996</v>
      </c>
      <c r="D66" s="134">
        <f t="shared" ref="D66:O66" si="5">IF(ISBLANK(D4),"",D12-D13)</f>
        <v>2035312.3699999973</v>
      </c>
      <c r="E66" s="134">
        <f t="shared" si="5"/>
        <v>2556202.6399999969</v>
      </c>
      <c r="F66" s="134">
        <f t="shared" si="5"/>
        <v>2979844.3399999924</v>
      </c>
      <c r="G66" s="134">
        <f t="shared" si="5"/>
        <v>3188083.3199999928</v>
      </c>
      <c r="H66" s="134">
        <f t="shared" si="5"/>
        <v>2121493.3000000007</v>
      </c>
      <c r="I66" s="134">
        <f t="shared" si="5"/>
        <v>3481516.7599999942</v>
      </c>
      <c r="J66" s="134">
        <f t="shared" si="5"/>
        <v>3330420.4099999964</v>
      </c>
      <c r="K66" s="134">
        <f t="shared" si="5"/>
        <v>3134956.5</v>
      </c>
      <c r="L66" s="134">
        <f t="shared" si="5"/>
        <v>3364626.9599999897</v>
      </c>
      <c r="M66" s="134">
        <f t="shared" si="5"/>
        <v>1954435.0099999942</v>
      </c>
      <c r="N66" s="134">
        <f t="shared" si="5"/>
        <v>3145384.4400000051</v>
      </c>
      <c r="O66" s="134">
        <f t="shared" si="5"/>
        <v>33731084.7299999</v>
      </c>
    </row>
    <row r="67" spans="1:15" ht="11.25" customHeight="1">
      <c r="A67" s="26"/>
      <c r="B67" s="28" t="s">
        <v>78</v>
      </c>
      <c r="C67" s="133">
        <f>C73+C79</f>
        <v>424867.25</v>
      </c>
      <c r="D67" s="133">
        <f t="shared" ref="D67:O67" si="6">IF(ISBLANK(D4),"",D73+D79)</f>
        <v>396908.75</v>
      </c>
      <c r="E67" s="133">
        <f t="shared" si="6"/>
        <v>425293.5</v>
      </c>
      <c r="F67" s="133">
        <f t="shared" si="6"/>
        <v>523178.5</v>
      </c>
      <c r="G67" s="133">
        <f t="shared" si="6"/>
        <v>461151</v>
      </c>
      <c r="H67" s="133">
        <f t="shared" si="6"/>
        <v>442582</v>
      </c>
      <c r="I67" s="133">
        <f t="shared" si="6"/>
        <v>515712.25</v>
      </c>
      <c r="J67" s="133">
        <f t="shared" si="6"/>
        <v>477912.5</v>
      </c>
      <c r="K67" s="133">
        <f t="shared" si="6"/>
        <v>505954.75</v>
      </c>
      <c r="L67" s="133">
        <f t="shared" si="6"/>
        <v>499086.5</v>
      </c>
      <c r="M67" s="133">
        <f t="shared" si="6"/>
        <v>424802.25</v>
      </c>
      <c r="N67" s="133">
        <f t="shared" si="6"/>
        <v>481763.5</v>
      </c>
      <c r="O67" s="133">
        <f t="shared" si="6"/>
        <v>5579212.75</v>
      </c>
    </row>
    <row r="68" spans="1:15" ht="11.25" customHeight="1">
      <c r="A68" s="38"/>
      <c r="B68" s="46" t="s">
        <v>144</v>
      </c>
      <c r="C68" s="135">
        <f>'採算表(VND)'!C68</f>
        <v>316394</v>
      </c>
      <c r="D68" s="135">
        <f>'採算表(VND)'!D68</f>
        <v>292450</v>
      </c>
      <c r="E68" s="135">
        <f>'採算表(VND)'!E68</f>
        <v>311697</v>
      </c>
      <c r="F68" s="135">
        <f>'採算表(VND)'!F68</f>
        <v>404363</v>
      </c>
      <c r="G68" s="135">
        <f>'採算表(VND)'!G68</f>
        <v>353064</v>
      </c>
      <c r="H68" s="135">
        <f>'採算表(VND)'!H68</f>
        <v>324235</v>
      </c>
      <c r="I68" s="135">
        <f>'採算表(VND)'!I68</f>
        <v>394686</v>
      </c>
      <c r="J68" s="135">
        <f>'採算表(VND)'!J68</f>
        <v>366145</v>
      </c>
      <c r="K68" s="135">
        <f>'採算表(VND)'!K68</f>
        <v>389866</v>
      </c>
      <c r="L68" s="135">
        <f>'採算表(VND)'!L68</f>
        <v>385014</v>
      </c>
      <c r="M68" s="135">
        <f>'採算表(VND)'!M68</f>
        <v>310387</v>
      </c>
      <c r="N68" s="135">
        <f>'採算表(VND)'!N68</f>
        <v>366111</v>
      </c>
      <c r="O68" s="135">
        <f>SUM(C68:N68)</f>
        <v>4214412</v>
      </c>
    </row>
    <row r="69" spans="1:15" ht="11.25" customHeight="1">
      <c r="A69" s="38"/>
      <c r="B69" s="46" t="s">
        <v>88</v>
      </c>
      <c r="C69" s="136">
        <f>'採算表(VND)'!C69</f>
        <v>67126</v>
      </c>
      <c r="D69" s="136">
        <f>'採算表(VND)'!D69</f>
        <v>63393.5</v>
      </c>
      <c r="E69" s="136">
        <f>'採算表(VND)'!E69</f>
        <v>70220.75</v>
      </c>
      <c r="F69" s="136">
        <f>'採算表(VND)'!F69</f>
        <v>74028.5</v>
      </c>
      <c r="G69" s="136">
        <f>'採算表(VND)'!G69</f>
        <v>63752</v>
      </c>
      <c r="H69" s="136">
        <f>'採算表(VND)'!H69</f>
        <v>61764.25</v>
      </c>
      <c r="I69" s="136">
        <f>'採算表(VND)'!I69</f>
        <v>73876.75</v>
      </c>
      <c r="J69" s="136">
        <f>'採算表(VND)'!J69</f>
        <v>63706.5</v>
      </c>
      <c r="K69" s="136">
        <f>'採算表(VND)'!K69</f>
        <v>69975.75</v>
      </c>
      <c r="L69" s="136">
        <f>'採算表(VND)'!L69</f>
        <v>66342.25</v>
      </c>
      <c r="M69" s="136">
        <f>'採算表(VND)'!M69</f>
        <v>52815.5</v>
      </c>
      <c r="N69" s="136">
        <f>'採算表(VND)'!N69</f>
        <v>69401.75</v>
      </c>
      <c r="O69" s="136">
        <f>SUM(C69:N69)</f>
        <v>796403.5</v>
      </c>
    </row>
    <row r="70" spans="1:15" ht="11.25" customHeight="1">
      <c r="A70" s="38"/>
      <c r="B70" s="47" t="s">
        <v>126</v>
      </c>
      <c r="C70" s="140">
        <f>'採算表(VND)'!C70</f>
        <v>13518.25</v>
      </c>
      <c r="D70" s="140">
        <f>'採算表(VND)'!D70</f>
        <v>13184.25</v>
      </c>
      <c r="E70" s="140">
        <f>'採算表(VND)'!E70</f>
        <v>14606.75</v>
      </c>
      <c r="F70" s="140">
        <f>'採算表(VND)'!F70</f>
        <v>15539.75</v>
      </c>
      <c r="G70" s="140">
        <f>'採算表(VND)'!G70</f>
        <v>13669.25</v>
      </c>
      <c r="H70" s="140">
        <f>'採算表(VND)'!H70</f>
        <v>13014.75</v>
      </c>
      <c r="I70" s="140">
        <f>'採算表(VND)'!I70</f>
        <v>15566.5</v>
      </c>
      <c r="J70" s="140">
        <f>'採算表(VND)'!J70</f>
        <v>13512.75</v>
      </c>
      <c r="K70" s="140">
        <f>'採算表(VND)'!K70</f>
        <v>14973.75</v>
      </c>
      <c r="L70" s="140">
        <f>'採算表(VND)'!L70</f>
        <v>13886</v>
      </c>
      <c r="M70" s="140">
        <f>'採算表(VND)'!M70</f>
        <v>10354.75</v>
      </c>
      <c r="N70" s="140">
        <f>'採算表(VND)'!N70</f>
        <v>13886</v>
      </c>
      <c r="O70" s="140">
        <f>SUM(C70:N70)</f>
        <v>165712.75</v>
      </c>
    </row>
    <row r="71" spans="1:15" ht="11.25" customHeight="1">
      <c r="A71" s="38"/>
      <c r="B71" s="47" t="s">
        <v>127</v>
      </c>
      <c r="C71" s="140">
        <f>'採算表(VND)'!C71</f>
        <v>7014.25</v>
      </c>
      <c r="D71" s="140">
        <f>'採算表(VND)'!D71</f>
        <v>6610.25</v>
      </c>
      <c r="E71" s="140">
        <f>'採算表(VND)'!E71</f>
        <v>7428.75</v>
      </c>
      <c r="F71" s="140">
        <f>'採算表(VND)'!F71</f>
        <v>7900.75</v>
      </c>
      <c r="G71" s="140">
        <f>'採算表(VND)'!G71</f>
        <v>6987.75</v>
      </c>
      <c r="H71" s="140">
        <f>'採算表(VND)'!H71</f>
        <v>6696.25</v>
      </c>
      <c r="I71" s="140">
        <f>'採算表(VND)'!I71</f>
        <v>8079.5</v>
      </c>
      <c r="J71" s="140">
        <f>'採算表(VND)'!J71</f>
        <v>7039.5</v>
      </c>
      <c r="K71" s="140">
        <f>'採算表(VND)'!K71</f>
        <v>7788</v>
      </c>
      <c r="L71" s="140">
        <f>'採算表(VND)'!L71</f>
        <v>6968.5</v>
      </c>
      <c r="M71" s="140">
        <f>'採算表(VND)'!M71</f>
        <v>5129.75</v>
      </c>
      <c r="N71" s="140">
        <f>'採算表(VND)'!N71</f>
        <v>6951.25</v>
      </c>
      <c r="O71" s="140">
        <f>SUM(C71:N71)</f>
        <v>84594.5</v>
      </c>
    </row>
    <row r="72" spans="1:15" ht="11.25" customHeight="1">
      <c r="A72" s="38"/>
      <c r="B72" s="40" t="s">
        <v>89</v>
      </c>
      <c r="C72" s="141">
        <f>'採算表(VND)'!C72</f>
        <v>11280.5</v>
      </c>
      <c r="D72" s="141">
        <f>'採算表(VND)'!D72</f>
        <v>11235.25</v>
      </c>
      <c r="E72" s="141">
        <f>'採算表(VND)'!E72</f>
        <v>11868.5</v>
      </c>
      <c r="F72" s="141">
        <f>'採算表(VND)'!F72</f>
        <v>11824.25</v>
      </c>
      <c r="G72" s="141">
        <f>'採算表(VND)'!G72</f>
        <v>10806</v>
      </c>
      <c r="H72" s="141">
        <f>'採算表(VND)'!H72</f>
        <v>10118.5</v>
      </c>
      <c r="I72" s="141">
        <f>'採算表(VND)'!I72</f>
        <v>11795.75</v>
      </c>
      <c r="J72" s="141">
        <f>'採算表(VND)'!J72</f>
        <v>10771</v>
      </c>
      <c r="K72" s="141">
        <f>'採算表(VND)'!K72</f>
        <v>11614.25</v>
      </c>
      <c r="L72" s="141">
        <f>'採算表(VND)'!L72</f>
        <v>10109.5</v>
      </c>
      <c r="M72" s="141">
        <f>'採算表(VND)'!M72</f>
        <v>7572.75</v>
      </c>
      <c r="N72" s="141">
        <f>'採算表(VND)'!N72</f>
        <v>10161.25</v>
      </c>
      <c r="O72" s="141">
        <f>SUM(C72:N72)</f>
        <v>129157.5</v>
      </c>
    </row>
    <row r="73" spans="1:15" ht="11.25" customHeight="1">
      <c r="A73" s="38"/>
      <c r="B73" s="41" t="s">
        <v>145</v>
      </c>
      <c r="C73" s="142">
        <f>SUM(C68:C72)</f>
        <v>415333</v>
      </c>
      <c r="D73" s="142">
        <f t="shared" ref="D73:O73" si="7">IF(ISBLANK(D4),"",SUM(D68:D72))</f>
        <v>386873.25</v>
      </c>
      <c r="E73" s="142">
        <f t="shared" si="7"/>
        <v>415821.75</v>
      </c>
      <c r="F73" s="142">
        <f t="shared" si="7"/>
        <v>513656.25</v>
      </c>
      <c r="G73" s="142">
        <f t="shared" si="7"/>
        <v>448279</v>
      </c>
      <c r="H73" s="142">
        <f t="shared" si="7"/>
        <v>415828.75</v>
      </c>
      <c r="I73" s="142">
        <f t="shared" si="7"/>
        <v>504004.5</v>
      </c>
      <c r="J73" s="142">
        <f t="shared" si="7"/>
        <v>461174.75</v>
      </c>
      <c r="K73" s="142">
        <f t="shared" si="7"/>
        <v>494217.75</v>
      </c>
      <c r="L73" s="142">
        <f t="shared" si="7"/>
        <v>482320.25</v>
      </c>
      <c r="M73" s="142">
        <f t="shared" si="7"/>
        <v>386259.75</v>
      </c>
      <c r="N73" s="142">
        <f t="shared" si="7"/>
        <v>466511.25</v>
      </c>
      <c r="O73" s="142">
        <f t="shared" si="7"/>
        <v>5390280.25</v>
      </c>
    </row>
    <row r="74" spans="1:15" ht="11.25" customHeight="1">
      <c r="A74" s="38"/>
      <c r="B74" s="39" t="s">
        <v>86</v>
      </c>
      <c r="C74" s="135">
        <f>'採算表(VND)'!C74</f>
        <v>2586</v>
      </c>
      <c r="D74" s="135">
        <f>'採算表(VND)'!D74</f>
        <v>3206</v>
      </c>
      <c r="E74" s="135">
        <f>'採算表(VND)'!E74</f>
        <v>2474</v>
      </c>
      <c r="F74" s="135">
        <f>'採算表(VND)'!F74</f>
        <v>2493</v>
      </c>
      <c r="G74" s="135">
        <f>'採算表(VND)'!G74</f>
        <v>5097</v>
      </c>
      <c r="H74" s="135">
        <f>'採算表(VND)'!H74</f>
        <v>18724</v>
      </c>
      <c r="I74" s="135">
        <f>'採算表(VND)'!I74</f>
        <v>3543</v>
      </c>
      <c r="J74" s="135">
        <f>'採算表(VND)'!J74</f>
        <v>9464</v>
      </c>
      <c r="K74" s="135">
        <f>'採算表(VND)'!K74</f>
        <v>3538</v>
      </c>
      <c r="L74" s="135">
        <f>'採算表(VND)'!L74</f>
        <v>8136</v>
      </c>
      <c r="M74" s="135">
        <f>'採算表(VND)'!M74</f>
        <v>29696</v>
      </c>
      <c r="N74" s="135">
        <f>'採算表(VND)'!N74</f>
        <v>6108</v>
      </c>
      <c r="O74" s="135">
        <f>SUM(C74:N74)</f>
        <v>95065</v>
      </c>
    </row>
    <row r="75" spans="1:15">
      <c r="A75" s="38"/>
      <c r="B75" s="37" t="s">
        <v>88</v>
      </c>
      <c r="C75" s="136">
        <f>'採算表(VND)'!C75</f>
        <v>5022.25</v>
      </c>
      <c r="D75" s="136">
        <f>'採算表(VND)'!D75</f>
        <v>5015.5</v>
      </c>
      <c r="E75" s="136">
        <f>'採算表(VND)'!E75</f>
        <v>5091.75</v>
      </c>
      <c r="F75" s="136">
        <f>'採算表(VND)'!F75</f>
        <v>5030.25</v>
      </c>
      <c r="G75" s="136">
        <f>'採算表(VND)'!G75</f>
        <v>5993.5</v>
      </c>
      <c r="H75" s="136">
        <f>'採算表(VND)'!H75</f>
        <v>6158</v>
      </c>
      <c r="I75" s="136">
        <f>'採算表(VND)'!I75</f>
        <v>6224</v>
      </c>
      <c r="J75" s="136">
        <f>'採算表(VND)'!J75</f>
        <v>5544.25</v>
      </c>
      <c r="K75" s="136">
        <f>'採算表(VND)'!K75</f>
        <v>6421.75</v>
      </c>
      <c r="L75" s="136">
        <f>'採算表(VND)'!L75</f>
        <v>6997</v>
      </c>
      <c r="M75" s="136">
        <f>'採算表(VND)'!M75</f>
        <v>7131</v>
      </c>
      <c r="N75" s="136">
        <f>'採算表(VND)'!N75</f>
        <v>7328</v>
      </c>
      <c r="O75" s="136">
        <f>SUM(C75:N75)</f>
        <v>71957.25</v>
      </c>
    </row>
    <row r="76" spans="1:15">
      <c r="A76" s="38"/>
      <c r="B76" s="37" t="s">
        <v>126</v>
      </c>
      <c r="C76" s="140">
        <f>'採算表(VND)'!C76</f>
        <v>736</v>
      </c>
      <c r="D76" s="140">
        <f>'採算表(VND)'!D76</f>
        <v>725.75</v>
      </c>
      <c r="E76" s="140">
        <f>'採算表(VND)'!E76</f>
        <v>829.75</v>
      </c>
      <c r="F76" s="140">
        <f>'採算表(VND)'!F76</f>
        <v>918.25</v>
      </c>
      <c r="G76" s="140">
        <f>'採算表(VND)'!G76</f>
        <v>759.75</v>
      </c>
      <c r="H76" s="140">
        <f>'採算表(VND)'!H76</f>
        <v>744.25</v>
      </c>
      <c r="I76" s="140">
        <f>'採算表(VND)'!I76</f>
        <v>901.25</v>
      </c>
      <c r="J76" s="140">
        <f>'採算表(VND)'!J76</f>
        <v>756</v>
      </c>
      <c r="K76" s="140">
        <f>'採算表(VND)'!K76</f>
        <v>764.75</v>
      </c>
      <c r="L76" s="140">
        <f>'採算表(VND)'!L76</f>
        <v>709.75</v>
      </c>
      <c r="M76" s="140">
        <f>'採算表(VND)'!M76</f>
        <v>593.25</v>
      </c>
      <c r="N76" s="140">
        <f>'採算表(VND)'!N76</f>
        <v>830.5</v>
      </c>
      <c r="O76" s="140">
        <f>SUM(C76:N76)</f>
        <v>9269.25</v>
      </c>
    </row>
    <row r="77" spans="1:15">
      <c r="A77" s="38"/>
      <c r="B77" s="37" t="s">
        <v>127</v>
      </c>
      <c r="C77" s="140">
        <f>'採算表(VND)'!C77</f>
        <v>558</v>
      </c>
      <c r="D77" s="140">
        <f>'採算表(VND)'!D77</f>
        <v>528.75</v>
      </c>
      <c r="E77" s="140">
        <f>'採算表(VND)'!E77</f>
        <v>574.75</v>
      </c>
      <c r="F77" s="140">
        <f>'採算表(VND)'!F77</f>
        <v>568.75</v>
      </c>
      <c r="G77" s="140">
        <f>'採算表(VND)'!G77</f>
        <v>547.25</v>
      </c>
      <c r="H77" s="140">
        <f>'採算表(VND)'!H77</f>
        <v>485.25</v>
      </c>
      <c r="I77" s="140">
        <f>'採算表(VND)'!I77</f>
        <v>536.75</v>
      </c>
      <c r="J77" s="140">
        <f>'採算表(VND)'!J77</f>
        <v>497</v>
      </c>
      <c r="K77" s="140">
        <f>'採算表(VND)'!K77</f>
        <v>527</v>
      </c>
      <c r="L77" s="140">
        <f>'採算表(VND)'!L77</f>
        <v>514.5</v>
      </c>
      <c r="M77" s="140">
        <f>'採算表(VND)'!M77</f>
        <v>457.5</v>
      </c>
      <c r="N77" s="140">
        <f>'採算表(VND)'!N77</f>
        <v>539</v>
      </c>
      <c r="O77" s="140">
        <f>SUM(C77:N77)</f>
        <v>6334.5</v>
      </c>
    </row>
    <row r="78" spans="1:15">
      <c r="A78" s="38"/>
      <c r="B78" s="40" t="s">
        <v>89</v>
      </c>
      <c r="C78" s="141">
        <f>'採算表(VND)'!C78</f>
        <v>632</v>
      </c>
      <c r="D78" s="141">
        <f>'採算表(VND)'!D78</f>
        <v>559.5</v>
      </c>
      <c r="E78" s="141">
        <f>'採算表(VND)'!E78</f>
        <v>501.5</v>
      </c>
      <c r="F78" s="141">
        <f>'採算表(VND)'!F78</f>
        <v>512</v>
      </c>
      <c r="G78" s="141">
        <f>'採算表(VND)'!G78</f>
        <v>474.5</v>
      </c>
      <c r="H78" s="141">
        <f>'採算表(VND)'!H78</f>
        <v>641.75</v>
      </c>
      <c r="I78" s="141">
        <f>'採算表(VND)'!I78</f>
        <v>502.75</v>
      </c>
      <c r="J78" s="141">
        <f>'採算表(VND)'!J78</f>
        <v>476.5</v>
      </c>
      <c r="K78" s="141">
        <f>'採算表(VND)'!K78</f>
        <v>485.5</v>
      </c>
      <c r="L78" s="141">
        <f>'採算表(VND)'!L78</f>
        <v>409</v>
      </c>
      <c r="M78" s="141">
        <f>'採算表(VND)'!M78</f>
        <v>664.75</v>
      </c>
      <c r="N78" s="141">
        <f>'採算表(VND)'!N78</f>
        <v>446.75</v>
      </c>
      <c r="O78" s="141">
        <f>SUM(C78:N78)</f>
        <v>6306.5</v>
      </c>
    </row>
    <row r="79" spans="1:15" ht="14.25" customHeight="1">
      <c r="A79" s="38"/>
      <c r="B79" s="41" t="s">
        <v>156</v>
      </c>
      <c r="C79" s="142">
        <f>SUM(C74:C78)</f>
        <v>9534.25</v>
      </c>
      <c r="D79" s="142">
        <f t="shared" ref="D79:O79" si="8">IF(ISBLANK(D4),"",SUM(D74:D78))</f>
        <v>10035.5</v>
      </c>
      <c r="E79" s="142">
        <f t="shared" si="8"/>
        <v>9471.75</v>
      </c>
      <c r="F79" s="142">
        <f t="shared" si="8"/>
        <v>9522.25</v>
      </c>
      <c r="G79" s="142">
        <f t="shared" si="8"/>
        <v>12872</v>
      </c>
      <c r="H79" s="142">
        <f t="shared" si="8"/>
        <v>26753.25</v>
      </c>
      <c r="I79" s="142">
        <f t="shared" si="8"/>
        <v>11707.75</v>
      </c>
      <c r="J79" s="142">
        <f t="shared" si="8"/>
        <v>16737.75</v>
      </c>
      <c r="K79" s="142">
        <f t="shared" si="8"/>
        <v>11737</v>
      </c>
      <c r="L79" s="142">
        <f t="shared" si="8"/>
        <v>16766.25</v>
      </c>
      <c r="M79" s="142">
        <f t="shared" si="8"/>
        <v>38542.5</v>
      </c>
      <c r="N79" s="142">
        <f t="shared" si="8"/>
        <v>15252.25</v>
      </c>
      <c r="O79" s="142">
        <f t="shared" si="8"/>
        <v>188932.5</v>
      </c>
    </row>
    <row r="80" spans="1:15" ht="14.25" customHeight="1">
      <c r="A80" s="26"/>
      <c r="B80" s="32" t="s">
        <v>79</v>
      </c>
      <c r="C80" s="143">
        <f>IFERROR(ROUNDDOWN(C66/C67,0),0)</f>
        <v>5</v>
      </c>
      <c r="D80" s="144">
        <f t="shared" ref="D80:O80" si="9">IFERROR(ROUNDDOWN(D66/D67,0),0)</f>
        <v>5</v>
      </c>
      <c r="E80" s="144">
        <f t="shared" si="9"/>
        <v>6</v>
      </c>
      <c r="F80" s="144">
        <f t="shared" si="9"/>
        <v>5</v>
      </c>
      <c r="G80" s="144">
        <f t="shared" si="9"/>
        <v>6</v>
      </c>
      <c r="H80" s="144">
        <f t="shared" si="9"/>
        <v>4</v>
      </c>
      <c r="I80" s="144">
        <f t="shared" si="9"/>
        <v>6</v>
      </c>
      <c r="J80" s="144">
        <f t="shared" si="9"/>
        <v>6</v>
      </c>
      <c r="K80" s="144">
        <f t="shared" si="9"/>
        <v>6</v>
      </c>
      <c r="L80" s="144">
        <f t="shared" si="9"/>
        <v>6</v>
      </c>
      <c r="M80" s="144">
        <f t="shared" si="9"/>
        <v>4</v>
      </c>
      <c r="N80" s="144">
        <f t="shared" si="9"/>
        <v>6</v>
      </c>
      <c r="O80" s="144">
        <f t="shared" si="9"/>
        <v>6</v>
      </c>
    </row>
    <row r="81" spans="1:15" ht="14.25" customHeight="1">
      <c r="A81" s="26"/>
      <c r="B81" s="42" t="s">
        <v>80</v>
      </c>
      <c r="C81" s="145">
        <f>IFERROR(ROUNDDOWN(C12/C67,0),0)</f>
        <v>60</v>
      </c>
      <c r="D81" s="146">
        <f t="shared" ref="D81:O81" si="10">IFERROR(ROUNDDOWN(D12/D67,0),0)</f>
        <v>63</v>
      </c>
      <c r="E81" s="146">
        <f t="shared" si="10"/>
        <v>64</v>
      </c>
      <c r="F81" s="146">
        <f t="shared" si="10"/>
        <v>58</v>
      </c>
      <c r="G81" s="146">
        <f t="shared" si="10"/>
        <v>63</v>
      </c>
      <c r="H81" s="146">
        <f t="shared" si="10"/>
        <v>49</v>
      </c>
      <c r="I81" s="146">
        <f t="shared" si="10"/>
        <v>61</v>
      </c>
      <c r="J81" s="146">
        <f t="shared" si="10"/>
        <v>63</v>
      </c>
      <c r="K81" s="146">
        <f t="shared" si="10"/>
        <v>55</v>
      </c>
      <c r="L81" s="146">
        <f t="shared" si="10"/>
        <v>58</v>
      </c>
      <c r="M81" s="146">
        <f t="shared" si="10"/>
        <v>47</v>
      </c>
      <c r="N81" s="146">
        <f t="shared" si="10"/>
        <v>51</v>
      </c>
      <c r="O81" s="146">
        <f t="shared" si="10"/>
        <v>58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1614</v>
      </c>
      <c r="D88" s="150">
        <f>'採算表(VND)'!D88</f>
        <v>1554</v>
      </c>
      <c r="E88" s="150">
        <f>'採算表(VND)'!E88</f>
        <v>1518</v>
      </c>
      <c r="F88" s="150">
        <f>'採算表(VND)'!F88</f>
        <v>1753</v>
      </c>
      <c r="G88" s="150">
        <f>'採算表(VND)'!G88</f>
        <v>1804</v>
      </c>
      <c r="H88" s="150">
        <f>'採算表(VND)'!H88</f>
        <v>1732</v>
      </c>
      <c r="I88" s="150">
        <f>'採算表(VND)'!I88</f>
        <v>1776</v>
      </c>
      <c r="J88" s="150">
        <f>'採算表(VND)'!J88</f>
        <v>1877</v>
      </c>
      <c r="K88" s="150">
        <f>'採算表(VND)'!K88</f>
        <v>1830</v>
      </c>
      <c r="L88" s="150">
        <f>'採算表(VND)'!L88</f>
        <v>1994</v>
      </c>
      <c r="M88" s="150">
        <f>'採算表(VND)'!M88</f>
        <v>2142</v>
      </c>
      <c r="N88" s="150">
        <f>'採算表(VND)'!N88</f>
        <v>1893</v>
      </c>
      <c r="O88" s="150">
        <f>SUM(C88:N88)</f>
        <v>21487</v>
      </c>
    </row>
    <row r="89" spans="1:15">
      <c r="A89" s="44"/>
      <c r="B89" s="60" t="s">
        <v>18</v>
      </c>
      <c r="C89" s="151">
        <f t="shared" ref="C89:O89" si="11">C87+C88</f>
        <v>1614</v>
      </c>
      <c r="D89" s="151">
        <f t="shared" si="11"/>
        <v>1554</v>
      </c>
      <c r="E89" s="151">
        <f t="shared" si="11"/>
        <v>1518</v>
      </c>
      <c r="F89" s="151">
        <f t="shared" si="11"/>
        <v>1753</v>
      </c>
      <c r="G89" s="151">
        <f t="shared" si="11"/>
        <v>1804</v>
      </c>
      <c r="H89" s="151">
        <f t="shared" si="11"/>
        <v>1732</v>
      </c>
      <c r="I89" s="151">
        <f t="shared" si="11"/>
        <v>1776</v>
      </c>
      <c r="J89" s="151">
        <f t="shared" si="11"/>
        <v>1877</v>
      </c>
      <c r="K89" s="151">
        <f t="shared" si="11"/>
        <v>1830</v>
      </c>
      <c r="L89" s="151">
        <f t="shared" si="11"/>
        <v>1994</v>
      </c>
      <c r="M89" s="151">
        <f t="shared" si="11"/>
        <v>2142</v>
      </c>
      <c r="N89" s="151">
        <f t="shared" si="11"/>
        <v>1893</v>
      </c>
      <c r="O89" s="151">
        <f t="shared" si="11"/>
        <v>21487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316394</v>
      </c>
      <c r="D93" s="133">
        <f>'採算表(VND)'!D93</f>
        <v>292450</v>
      </c>
      <c r="E93" s="133">
        <f>'採算表(VND)'!E93</f>
        <v>311697</v>
      </c>
      <c r="F93" s="133">
        <f>'採算表(VND)'!F93</f>
        <v>404363</v>
      </c>
      <c r="G93" s="133">
        <f>'採算表(VND)'!G93</f>
        <v>353064</v>
      </c>
      <c r="H93" s="133">
        <f>'採算表(VND)'!H93</f>
        <v>324235</v>
      </c>
      <c r="I93" s="133">
        <f>'採算表(VND)'!I93</f>
        <v>394686</v>
      </c>
      <c r="J93" s="133">
        <f>'採算表(VND)'!J93</f>
        <v>366145</v>
      </c>
      <c r="K93" s="133">
        <f>'採算表(VND)'!K93</f>
        <v>389866</v>
      </c>
      <c r="L93" s="133">
        <f>'採算表(VND)'!L93</f>
        <v>385014</v>
      </c>
      <c r="M93" s="133">
        <f>'採算表(VND)'!M93</f>
        <v>310387</v>
      </c>
      <c r="N93" s="133">
        <f>'採算表(VND)'!N93</f>
        <v>366111</v>
      </c>
      <c r="O93" s="133">
        <f>SUM(C93:N93)</f>
        <v>4214412</v>
      </c>
    </row>
    <row r="94" spans="1:15">
      <c r="B94" s="61" t="s">
        <v>18</v>
      </c>
      <c r="C94" s="147">
        <f t="shared" ref="C94:O94" si="12">C92+C93</f>
        <v>316394</v>
      </c>
      <c r="D94" s="147">
        <f t="shared" si="12"/>
        <v>292450</v>
      </c>
      <c r="E94" s="147">
        <f t="shared" si="12"/>
        <v>311697</v>
      </c>
      <c r="F94" s="147">
        <f t="shared" si="12"/>
        <v>404363</v>
      </c>
      <c r="G94" s="147">
        <f t="shared" si="12"/>
        <v>353064</v>
      </c>
      <c r="H94" s="147">
        <f t="shared" si="12"/>
        <v>324235</v>
      </c>
      <c r="I94" s="147">
        <f t="shared" si="12"/>
        <v>394686</v>
      </c>
      <c r="J94" s="147">
        <f t="shared" si="12"/>
        <v>366145</v>
      </c>
      <c r="K94" s="147">
        <f t="shared" si="12"/>
        <v>389866</v>
      </c>
      <c r="L94" s="147">
        <f t="shared" si="12"/>
        <v>385014</v>
      </c>
      <c r="M94" s="147">
        <f t="shared" si="12"/>
        <v>310387</v>
      </c>
      <c r="N94" s="147">
        <f t="shared" si="12"/>
        <v>366111</v>
      </c>
      <c r="O94" s="147">
        <f t="shared" si="12"/>
        <v>4214412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2586</v>
      </c>
      <c r="D98" s="133">
        <f>'採算表(VND)'!D98</f>
        <v>3206</v>
      </c>
      <c r="E98" s="133">
        <f>'採算表(VND)'!E98</f>
        <v>2474</v>
      </c>
      <c r="F98" s="133">
        <f>'採算表(VND)'!F98</f>
        <v>2493</v>
      </c>
      <c r="G98" s="133">
        <f>'採算表(VND)'!G98</f>
        <v>5097</v>
      </c>
      <c r="H98" s="133">
        <f>'採算表(VND)'!H98</f>
        <v>18724</v>
      </c>
      <c r="I98" s="133">
        <f>'採算表(VND)'!I98</f>
        <v>3543</v>
      </c>
      <c r="J98" s="133">
        <f>'採算表(VND)'!J98</f>
        <v>9464</v>
      </c>
      <c r="K98" s="133">
        <f>'採算表(VND)'!K98</f>
        <v>3538</v>
      </c>
      <c r="L98" s="133">
        <f>'採算表(VND)'!L98</f>
        <v>8136</v>
      </c>
      <c r="M98" s="133">
        <f>'採算表(VND)'!M98</f>
        <v>29696</v>
      </c>
      <c r="N98" s="133">
        <f>'採算表(VND)'!N98</f>
        <v>6108</v>
      </c>
      <c r="O98" s="133">
        <f>SUM(C98:N98)</f>
        <v>95065</v>
      </c>
    </row>
    <row r="99" spans="2:15">
      <c r="B99" s="61" t="s">
        <v>18</v>
      </c>
      <c r="C99" s="147">
        <f t="shared" ref="C99:O99" si="13">C97+C98</f>
        <v>2586</v>
      </c>
      <c r="D99" s="147">
        <f t="shared" si="13"/>
        <v>3206</v>
      </c>
      <c r="E99" s="147">
        <f t="shared" si="13"/>
        <v>2474</v>
      </c>
      <c r="F99" s="147">
        <f t="shared" si="13"/>
        <v>2493</v>
      </c>
      <c r="G99" s="147">
        <f t="shared" si="13"/>
        <v>5097</v>
      </c>
      <c r="H99" s="147">
        <f t="shared" si="13"/>
        <v>18724</v>
      </c>
      <c r="I99" s="147">
        <f t="shared" si="13"/>
        <v>3543</v>
      </c>
      <c r="J99" s="147">
        <f t="shared" si="13"/>
        <v>9464</v>
      </c>
      <c r="K99" s="147">
        <f t="shared" si="13"/>
        <v>3538</v>
      </c>
      <c r="L99" s="147">
        <f t="shared" si="13"/>
        <v>8136</v>
      </c>
      <c r="M99" s="147">
        <f t="shared" si="13"/>
        <v>29696</v>
      </c>
      <c r="N99" s="147">
        <f t="shared" si="13"/>
        <v>6108</v>
      </c>
      <c r="O99" s="147">
        <f t="shared" si="13"/>
        <v>95065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C3B3-32C7-44EA-99D0-F95C5CF5B46B}">
  <sheetPr codeName="Sheet2"/>
  <dimension ref="A1:BI99"/>
  <sheetViews>
    <sheetView topLeftCell="A50" zoomScaleNormal="100" workbookViewId="0">
      <selection activeCell="B62" sqref="B62:B63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26953125" style="19" bestFit="1" customWidth="1"/>
    <col min="44" max="46" width="11.7265625" style="19" bestFit="1" customWidth="1"/>
    <col min="47" max="47" width="9" style="19"/>
    <col min="48" max="51" width="14.36328125" style="19" bestFit="1" customWidth="1"/>
    <col min="52" max="52" width="9" style="19"/>
    <col min="53" max="56" width="14.7265625" style="19" bestFit="1" customWidth="1"/>
    <col min="57" max="57" width="9" style="19"/>
    <col min="58" max="58" width="15.26953125" style="19" bestFit="1" customWidth="1"/>
    <col min="59" max="60" width="11.7265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機器製造2課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672424121756</v>
      </c>
      <c r="D5" s="152">
        <f t="shared" ref="D5:N5" si="0">D8+D9</f>
        <v>658750337764</v>
      </c>
      <c r="E5" s="152">
        <f t="shared" si="0"/>
        <v>717090501487</v>
      </c>
      <c r="F5" s="152">
        <f t="shared" si="0"/>
        <v>792100844466</v>
      </c>
      <c r="G5" s="152">
        <f t="shared" si="0"/>
        <v>766188424651</v>
      </c>
      <c r="H5" s="152">
        <f t="shared" si="0"/>
        <v>578744692045</v>
      </c>
      <c r="I5" s="152">
        <f t="shared" si="0"/>
        <v>828098546277</v>
      </c>
      <c r="J5" s="152">
        <f t="shared" si="0"/>
        <v>796380150475</v>
      </c>
      <c r="K5" s="152">
        <f t="shared" si="0"/>
        <v>731663429928</v>
      </c>
      <c r="L5" s="152">
        <f t="shared" si="0"/>
        <v>771044602377</v>
      </c>
      <c r="M5" s="152">
        <f t="shared" si="0"/>
        <v>531591546907</v>
      </c>
      <c r="N5" s="152">
        <f t="shared" si="0"/>
        <v>655715340559</v>
      </c>
      <c r="O5" s="152">
        <f>O8+O9</f>
        <v>8499792538692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SUMIF('内訳ﾘｽﾄ(4～3月)'!$D$26:$D$1002,'採算表(VND)'!$B6,'内訳ﾘｽﾄ(4～3月)'!F$26:F$1002)</f>
        <v>650188225481</v>
      </c>
      <c r="D6" s="153">
        <f>SUMIF('内訳ﾘｽﾄ(4～3月)'!$D$26:$D$1002,'採算表(VND)'!$B6,'内訳ﾘｽﾄ(4～3月)'!G$26:G$1002)</f>
        <v>632822627074</v>
      </c>
      <c r="E6" s="153">
        <f>SUMIF('内訳ﾘｽﾄ(4～3月)'!$D$26:$D$1002,'採算表(VND)'!$B6,'内訳ﾘｽﾄ(4～3月)'!H$26:H$1002)</f>
        <v>694297698413</v>
      </c>
      <c r="F6" s="153">
        <f>SUMIF('内訳ﾘｽﾄ(4～3月)'!$D$26:$D$1002,'採算表(VND)'!$B6,'内訳ﾘｽﾄ(4～3月)'!I$26:I$1002)</f>
        <v>766569198226</v>
      </c>
      <c r="G6" s="153">
        <f>SUMIF('内訳ﾘｽﾄ(4～3月)'!$D$26:$D$1002,'採算表(VND)'!$B6,'内訳ﾘｽﾄ(4～3月)'!J$26:J$1002)</f>
        <v>739294739732</v>
      </c>
      <c r="H6" s="153">
        <f>SUMIF('内訳ﾘｽﾄ(4～3月)'!$D$26:$D$1002,'採算表(VND)'!$B6,'内訳ﾘｽﾄ(4～3月)'!K$26:K$1002)</f>
        <v>550252511377</v>
      </c>
      <c r="I6" s="153">
        <f>SUMIF('内訳ﾘｽﾄ(4～3月)'!$D$26:$D$1002,'採算表(VND)'!$B6,'内訳ﾘｽﾄ(4～3月)'!L$26:L$1002)</f>
        <v>805685116521</v>
      </c>
      <c r="J6" s="153">
        <f>SUMIF('内訳ﾘｽﾄ(4～3月)'!$D$26:$D$1002,'採算表(VND)'!$B6,'内訳ﾘｽﾄ(4～3月)'!M$26:M$1002)</f>
        <v>771380184799</v>
      </c>
      <c r="K6" s="153">
        <f>SUMIF('内訳ﾘｽﾄ(4～3月)'!$D$26:$D$1002,'採算表(VND)'!$B6,'内訳ﾘｽﾄ(4～3月)'!N$26:N$1002)</f>
        <v>706796593670</v>
      </c>
      <c r="L6" s="153">
        <f>SUMIF('内訳ﾘｽﾄ(4～3月)'!$D$26:$D$1002,'採算表(VND)'!$B6,'内訳ﾘｽﾄ(4～3月)'!O$26:O$1002)</f>
        <v>745991281394</v>
      </c>
      <c r="M6" s="153">
        <f>SUMIF('内訳ﾘｽﾄ(4～3月)'!$D$26:$D$1002,'採算表(VND)'!$B6,'内訳ﾘｽﾄ(4～3月)'!P$26:P$1002)</f>
        <v>509028471538</v>
      </c>
      <c r="N6" s="153">
        <f>SUMIF('内訳ﾘｽﾄ(4～3月)'!$D$26:$D$1002,'採算表(VND)'!$B6,'内訳ﾘｽﾄ(4～3月)'!Q$26:Q$1002)</f>
        <v>632289518829</v>
      </c>
      <c r="O6" s="153">
        <f>SUMIF('内訳ﾘｽﾄ(4～3月)'!$D$26:$D$801,'採算表(VND)'!$B6,'内訳ﾘｽﾄ(4～3月)'!R$26:R$801)</f>
        <v>8204596167054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SUMIF('内訳ﾘｽﾄ(4～3月)'!$D$26:$D$1002,'採算表(VND)'!$B7,'内訳ﾘｽﾄ(4～3月)'!F$26:F$1002)</f>
        <v>0</v>
      </c>
      <c r="D7" s="154">
        <f>SUMIF('内訳ﾘｽﾄ(4～3月)'!$D$26:$D$1002,'採算表(VND)'!$B7,'内訳ﾘｽﾄ(4～3月)'!G$26:G$1002)</f>
        <v>0</v>
      </c>
      <c r="E7" s="154">
        <f>SUMIF('内訳ﾘｽﾄ(4～3月)'!$D$26:$D$1002,'採算表(VND)'!$B7,'内訳ﾘｽﾄ(4～3月)'!H$26:H$1002)</f>
        <v>0</v>
      </c>
      <c r="F7" s="154">
        <f>SUMIF('内訳ﾘｽﾄ(4～3月)'!$D$26:$D$1002,'採算表(VND)'!$B7,'内訳ﾘｽﾄ(4～3月)'!I$26:I$1002)</f>
        <v>0</v>
      </c>
      <c r="G7" s="154">
        <f>SUMIF('内訳ﾘｽﾄ(4～3月)'!$D$26:$D$1002,'採算表(VND)'!$B7,'内訳ﾘｽﾄ(4～3月)'!J$26:J$1002)</f>
        <v>0</v>
      </c>
      <c r="H7" s="154">
        <f>SUMIF('内訳ﾘｽﾄ(4～3月)'!$D$26:$D$1002,'採算表(VND)'!$B7,'内訳ﾘｽﾄ(4～3月)'!K$26:K$1002)</f>
        <v>0</v>
      </c>
      <c r="I7" s="154">
        <f>SUMIF('内訳ﾘｽﾄ(4～3月)'!$D$26:$D$1002,'採算表(VND)'!$B7,'内訳ﾘｽﾄ(4～3月)'!L$26:L$1002)</f>
        <v>0</v>
      </c>
      <c r="J7" s="154">
        <f>SUMIF('内訳ﾘｽﾄ(4～3月)'!$D$26:$D$1002,'採算表(VND)'!$B7,'内訳ﾘｽﾄ(4～3月)'!M$26:M$1002)</f>
        <v>0</v>
      </c>
      <c r="K7" s="154">
        <f>SUMIF('内訳ﾘｽﾄ(4～3月)'!$D$26:$D$1002,'採算表(VND)'!$B7,'内訳ﾘｽﾄ(4～3月)'!N$26:N$1002)</f>
        <v>0</v>
      </c>
      <c r="L7" s="154">
        <f>SUMIF('内訳ﾘｽﾄ(4～3月)'!$D$26:$D$1002,'採算表(VND)'!$B7,'内訳ﾘｽﾄ(4～3月)'!O$26:O$1002)</f>
        <v>0</v>
      </c>
      <c r="M7" s="154">
        <f>SUMIF('内訳ﾘｽﾄ(4～3月)'!$D$26:$D$1002,'採算表(VND)'!$B7,'内訳ﾘｽﾄ(4～3月)'!P$26:P$1002)</f>
        <v>0</v>
      </c>
      <c r="N7" s="154">
        <f>SUMIF('内訳ﾘｽﾄ(4～3月)'!$D$26:$D$1002,'採算表(VND)'!$B7,'内訳ﾘｽﾄ(4～3月)'!Q$26:Q$1002)</f>
        <v>0</v>
      </c>
      <c r="O7" s="154">
        <f>SUMIF('内訳ﾘｽﾄ(4～3月)'!$D$26:$D$801,'採算表(VND)'!$B7,'内訳ﾘｽﾄ(4～3月)'!R$26:R$801)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650188225481</v>
      </c>
      <c r="D8" s="155">
        <f t="shared" si="1"/>
        <v>632822627074</v>
      </c>
      <c r="E8" s="155">
        <f t="shared" si="1"/>
        <v>694297698413</v>
      </c>
      <c r="F8" s="155">
        <f t="shared" si="1"/>
        <v>766569198226</v>
      </c>
      <c r="G8" s="155">
        <f t="shared" si="1"/>
        <v>739294739732</v>
      </c>
      <c r="H8" s="155">
        <f t="shared" si="1"/>
        <v>550252511377</v>
      </c>
      <c r="I8" s="155">
        <f t="shared" si="1"/>
        <v>805685116521</v>
      </c>
      <c r="J8" s="155">
        <f t="shared" si="1"/>
        <v>771380184799</v>
      </c>
      <c r="K8" s="155">
        <f t="shared" si="1"/>
        <v>706796593670</v>
      </c>
      <c r="L8" s="155">
        <f t="shared" si="1"/>
        <v>745991281394</v>
      </c>
      <c r="M8" s="155">
        <f t="shared" si="1"/>
        <v>509028471538</v>
      </c>
      <c r="N8" s="155">
        <f t="shared" si="1"/>
        <v>632289518829</v>
      </c>
      <c r="O8" s="155">
        <f>O6+O7</f>
        <v>8204596167054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SUMIF('内訳ﾘｽﾄ(4～3月)'!$D$26:$D$1002,'採算表(VND)'!$B9,'内訳ﾘｽﾄ(4～3月)'!F$26:F$1002)</f>
        <v>22235896275</v>
      </c>
      <c r="D9" s="150">
        <f>SUMIF('内訳ﾘｽﾄ(4～3月)'!$D$26:$D$1002,'採算表(VND)'!$B9,'内訳ﾘｽﾄ(4～3月)'!G$26:G$1002)</f>
        <v>25927710690</v>
      </c>
      <c r="E9" s="150">
        <f>SUMIF('内訳ﾘｽﾄ(4～3月)'!$D$26:$D$1002,'採算表(VND)'!$B9,'内訳ﾘｽﾄ(4～3月)'!H$26:H$1002)</f>
        <v>22792803074</v>
      </c>
      <c r="F9" s="150">
        <f>SUMIF('内訳ﾘｽﾄ(4～3月)'!$D$26:$D$1002,'採算表(VND)'!$B9,'内訳ﾘｽﾄ(4～3月)'!I$26:I$1002)</f>
        <v>25531646240</v>
      </c>
      <c r="G9" s="150">
        <f>SUMIF('内訳ﾘｽﾄ(4～3月)'!$D$26:$D$1002,'採算表(VND)'!$B9,'内訳ﾘｽﾄ(4～3月)'!J$26:J$1002)</f>
        <v>26893684919</v>
      </c>
      <c r="H9" s="150">
        <f>SUMIF('内訳ﾘｽﾄ(4～3月)'!$D$26:$D$1002,'採算表(VND)'!$B9,'内訳ﾘｽﾄ(4～3月)'!K$26:K$1002)</f>
        <v>28492180668</v>
      </c>
      <c r="I9" s="150">
        <f>SUMIF('内訳ﾘｽﾄ(4～3月)'!$D$26:$D$1002,'採算表(VND)'!$B9,'内訳ﾘｽﾄ(4～3月)'!L$26:L$1002)</f>
        <v>22413429756</v>
      </c>
      <c r="J9" s="150">
        <f>SUMIF('内訳ﾘｽﾄ(4～3月)'!$D$26:$D$1002,'採算表(VND)'!$B9,'内訳ﾘｽﾄ(4～3月)'!M$26:M$1002)</f>
        <v>24999965676</v>
      </c>
      <c r="K9" s="150">
        <f>SUMIF('内訳ﾘｽﾄ(4～3月)'!$D$26:$D$1002,'採算表(VND)'!$B9,'内訳ﾘｽﾄ(4～3月)'!N$26:N$1002)</f>
        <v>24866836258</v>
      </c>
      <c r="L9" s="150">
        <f>SUMIF('内訳ﾘｽﾄ(4～3月)'!$D$26:$D$1002,'採算表(VND)'!$B9,'内訳ﾘｽﾄ(4～3月)'!O$26:O$1002)</f>
        <v>25053320983</v>
      </c>
      <c r="M9" s="150">
        <f>SUMIF('内訳ﾘｽﾄ(4～3月)'!$D$26:$D$1002,'採算表(VND)'!$B9,'内訳ﾘｽﾄ(4～3月)'!P$26:P$1002)</f>
        <v>22563075369</v>
      </c>
      <c r="N9" s="150">
        <f>SUMIF('内訳ﾘｽﾄ(4～3月)'!$D$26:$D$1002,'採算表(VND)'!$B9,'内訳ﾘｽﾄ(4～3月)'!Q$26:Q$1002)</f>
        <v>23425821730</v>
      </c>
      <c r="O9" s="150">
        <f>SUMIF('内訳ﾘｽﾄ(4～3月)'!$D$26:$D$801,'採算表(VND)'!$B9,'内訳ﾘｽﾄ(4～3月)'!R$26:R$801)</f>
        <v>295196371638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SUMIF('内訳ﾘｽﾄ(4～3月)'!$D$26:$D$1002,'採算表(VND)'!$B10,'内訳ﾘｽﾄ(4～3月)'!F$26:F$1002)</f>
        <v>15553872615</v>
      </c>
      <c r="D10" s="150">
        <f>SUMIF('内訳ﾘｽﾄ(4～3月)'!$D$26:$D$1002,'採算表(VND)'!$B10,'内訳ﾘｽﾄ(4～3月)'!G$26:G$1002)</f>
        <v>15851438591</v>
      </c>
      <c r="E10" s="150">
        <f>SUMIF('内訳ﾘｽﾄ(4～3月)'!$D$26:$D$1002,'採算表(VND)'!$B10,'内訳ﾘｽﾄ(4～3月)'!H$26:H$1002)</f>
        <v>17278018650</v>
      </c>
      <c r="F10" s="150">
        <f>SUMIF('内訳ﾘｽﾄ(4～3月)'!$D$26:$D$1002,'採算表(VND)'!$B10,'内訳ﾘｽﾄ(4～3月)'!I$26:I$1002)</f>
        <v>19218486723</v>
      </c>
      <c r="G10" s="150">
        <f>SUMIF('内訳ﾘｽﾄ(4～3月)'!$D$26:$D$1002,'採算表(VND)'!$B10,'内訳ﾘｽﾄ(4～3月)'!J$26:J$1002)</f>
        <v>18431913410</v>
      </c>
      <c r="H10" s="150">
        <f>SUMIF('内訳ﾘｽﾄ(4～3月)'!$D$26:$D$1002,'採算表(VND)'!$B10,'内訳ﾘｽﾄ(4～3月)'!K$26:K$1002)</f>
        <v>18542755486</v>
      </c>
      <c r="I10" s="150">
        <f>SUMIF('内訳ﾘｽﾄ(4～3月)'!$D$26:$D$1002,'採算表(VND)'!$B10,'内訳ﾘｽﾄ(4～3月)'!L$26:L$1002)</f>
        <v>28038712222</v>
      </c>
      <c r="J10" s="150">
        <f>SUMIF('内訳ﾘｽﾄ(4～3月)'!$D$26:$D$1002,'採算表(VND)'!$B10,'内訳ﾘｽﾄ(4～3月)'!M$26:M$1002)</f>
        <v>26975680401</v>
      </c>
      <c r="K10" s="150">
        <f>SUMIF('内訳ﾘｽﾄ(4～3月)'!$D$26:$D$1002,'採算表(VND)'!$B10,'内訳ﾘｽﾄ(4～3月)'!N$26:N$1002)</f>
        <v>25034112433</v>
      </c>
      <c r="L10" s="150">
        <f>SUMIF('内訳ﾘｽﾄ(4～3月)'!$D$26:$D$1002,'採算表(VND)'!$B10,'内訳ﾘｽﾄ(4～3月)'!O$26:O$1002)</f>
        <v>26336096907</v>
      </c>
      <c r="M10" s="150">
        <f>SUMIF('内訳ﾘｽﾄ(4～3月)'!$D$26:$D$1002,'採算表(VND)'!$B10,'内訳ﾘｽﾄ(4～3月)'!P$26:P$1002)</f>
        <v>17306280767</v>
      </c>
      <c r="N10" s="150">
        <f>SUMIF('内訳ﾘｽﾄ(4～3月)'!$D$26:$D$1002,'採算表(VND)'!$B10,'内訳ﾘｽﾄ(4～3月)'!Q$26:Q$1002)</f>
        <v>22572182001</v>
      </c>
      <c r="O10" s="150">
        <f>SUMIF('内訳ﾘｽﾄ(4～3月)'!$D$26:$D$801,'採算表(VND)'!$B10,'内訳ﾘｽﾄ(4～3月)'!R$26:R$801)</f>
        <v>251139550206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656870249141</v>
      </c>
      <c r="D12" s="156">
        <f t="shared" ref="D12:N12" si="2">D5-D10</f>
        <v>642898899173</v>
      </c>
      <c r="E12" s="156">
        <f t="shared" si="2"/>
        <v>699812482837</v>
      </c>
      <c r="F12" s="156">
        <f t="shared" si="2"/>
        <v>772882357743</v>
      </c>
      <c r="G12" s="156">
        <f t="shared" si="2"/>
        <v>747756511241</v>
      </c>
      <c r="H12" s="156">
        <f t="shared" si="2"/>
        <v>560201936559</v>
      </c>
      <c r="I12" s="156">
        <f t="shared" si="2"/>
        <v>800059834055</v>
      </c>
      <c r="J12" s="156">
        <f t="shared" si="2"/>
        <v>769404470074</v>
      </c>
      <c r="K12" s="156">
        <f t="shared" si="2"/>
        <v>706629317495</v>
      </c>
      <c r="L12" s="156">
        <f t="shared" si="2"/>
        <v>744708505470</v>
      </c>
      <c r="M12" s="156">
        <f t="shared" si="2"/>
        <v>514285266140</v>
      </c>
      <c r="N12" s="156">
        <f t="shared" si="2"/>
        <v>633143158558</v>
      </c>
      <c r="O12" s="156">
        <f>O5-O10</f>
        <v>8248652988486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594948894291</v>
      </c>
      <c r="D13" s="150">
        <f t="shared" ref="D13:N13" si="3">SUM(D14:D65)</f>
        <v>591222315537</v>
      </c>
      <c r="E13" s="150">
        <f t="shared" si="3"/>
        <v>634910495143</v>
      </c>
      <c r="F13" s="150">
        <f t="shared" si="3"/>
        <v>697224107966</v>
      </c>
      <c r="G13" s="150">
        <f t="shared" si="3"/>
        <v>666811073125</v>
      </c>
      <c r="H13" s="150">
        <f t="shared" si="3"/>
        <v>506337219154</v>
      </c>
      <c r="I13" s="150">
        <f t="shared" si="3"/>
        <v>711664120673</v>
      </c>
      <c r="J13" s="150">
        <f t="shared" si="3"/>
        <v>684845092938</v>
      </c>
      <c r="K13" s="150">
        <f t="shared" si="3"/>
        <v>627032768799</v>
      </c>
      <c r="L13" s="150">
        <f t="shared" si="3"/>
        <v>659280624229</v>
      </c>
      <c r="M13" s="150">
        <f t="shared" si="3"/>
        <v>464662158017</v>
      </c>
      <c r="N13" s="150">
        <f t="shared" si="3"/>
        <v>553281845281</v>
      </c>
      <c r="O13" s="150">
        <f>SUM(O14:O65)</f>
        <v>7392220715153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SUMIF('内訳ﾘｽﾄ(4～3月)'!$D$26:$D$1002,$B14,'内訳ﾘｽﾄ(4～3月)'!F$26:F$1002)</f>
        <v>549557891039</v>
      </c>
      <c r="D14" s="157">
        <f>SUMIF('内訳ﾘｽﾄ(4～3月)'!$D$26:$D$1002,$B14,'内訳ﾘｽﾄ(4～3月)'!G$26:G$1002)</f>
        <v>545834049363</v>
      </c>
      <c r="E14" s="157">
        <f>SUMIF('内訳ﾘｽﾄ(4～3月)'!$D$26:$D$1002,$B14,'内訳ﾘｽﾄ(4～3月)'!H$26:H$1002)</f>
        <v>593696697058</v>
      </c>
      <c r="F14" s="157">
        <f>SUMIF('内訳ﾘｽﾄ(4～3月)'!$D$26:$D$1002,$B14,'内訳ﾘｽﾄ(4～3月)'!I$26:I$1002)</f>
        <v>654821487319</v>
      </c>
      <c r="G14" s="157">
        <f>SUMIF('内訳ﾘｽﾄ(4～3月)'!$D$26:$D$1002,$B14,'内訳ﾘｽﾄ(4～3月)'!J$26:J$1002)</f>
        <v>630564392188</v>
      </c>
      <c r="H14" s="157">
        <f>SUMIF('内訳ﾘｽﾄ(4～3月)'!$D$26:$D$1002,$B14,'内訳ﾘｽﾄ(4～3月)'!K$26:K$1002)</f>
        <v>471632670991</v>
      </c>
      <c r="I14" s="157">
        <f>SUMIF('内訳ﾘｽﾄ(4～3月)'!$D$26:$D$1002,$B14,'内訳ﾘｽﾄ(4～3月)'!L$26:L$1002)</f>
        <v>673303976015</v>
      </c>
      <c r="J14" s="157">
        <f>SUMIF('内訳ﾘｽﾄ(4～3月)'!$D$26:$D$1002,$B14,'内訳ﾘｽﾄ(4～3月)'!M$26:M$1002)</f>
        <v>646590870535</v>
      </c>
      <c r="K14" s="157">
        <f>SUMIF('内訳ﾘｽﾄ(4～3月)'!$D$26:$D$1002,$B14,'内訳ﾘｽﾄ(4～3月)'!N$26:N$1002)</f>
        <v>590814360300</v>
      </c>
      <c r="L14" s="157">
        <f>SUMIF('内訳ﾘｽﾄ(4～3月)'!$D$26:$D$1002,$B14,'内訳ﾘｽﾄ(4～3月)'!O$26:O$1002)</f>
        <v>624008854276</v>
      </c>
      <c r="M14" s="157">
        <f>SUMIF('内訳ﾘｽﾄ(4～3月)'!$D$26:$D$1002,$B14,'内訳ﾘｽﾄ(4～3月)'!P$26:P$1002)</f>
        <v>432108434732</v>
      </c>
      <c r="N14" s="157">
        <f>SUMIF('内訳ﾘｽﾄ(4～3月)'!$D$26:$D$1002,$B14,'内訳ﾘｽﾄ(4～3月)'!Q$26:Q$1002)</f>
        <v>528866935152</v>
      </c>
      <c r="O14" s="157">
        <f>SUMIF('内訳ﾘｽﾄ(4～3月)'!$D$26:$D$801,'採算表(VND)'!$B14,'内訳ﾘｽﾄ(4～3月)'!R$26:R$801)</f>
        <v>6941800618968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SUMIF('内訳ﾘｽﾄ(4～3月)'!$D$26:$D$1002,$B15,'内訳ﾘｽﾄ(4～3月)'!F$26:F$1002)</f>
        <v>0</v>
      </c>
      <c r="D15" s="157">
        <f>SUMIF('内訳ﾘｽﾄ(4～3月)'!$D$26:$D$1002,$B15,'内訳ﾘｽﾄ(4～3月)'!G$26:G$1002)</f>
        <v>0</v>
      </c>
      <c r="E15" s="157">
        <f>SUMIF('内訳ﾘｽﾄ(4～3月)'!$D$26:$D$1002,$B15,'内訳ﾘｽﾄ(4～3月)'!H$26:H$1002)</f>
        <v>0</v>
      </c>
      <c r="F15" s="157">
        <f>SUMIF('内訳ﾘｽﾄ(4～3月)'!$D$26:$D$1002,$B15,'内訳ﾘｽﾄ(4～3月)'!I$26:I$1002)</f>
        <v>0</v>
      </c>
      <c r="G15" s="157">
        <f>SUMIF('内訳ﾘｽﾄ(4～3月)'!$D$26:$D$1002,$B15,'内訳ﾘｽﾄ(4～3月)'!J$26:J$1002)</f>
        <v>0</v>
      </c>
      <c r="H15" s="157">
        <f>SUMIF('内訳ﾘｽﾄ(4～3月)'!$D$26:$D$1002,$B15,'内訳ﾘｽﾄ(4～3月)'!K$26:K$1002)</f>
        <v>0</v>
      </c>
      <c r="I15" s="157">
        <f>SUMIF('内訳ﾘｽﾄ(4～3月)'!$D$26:$D$1002,$B15,'内訳ﾘｽﾄ(4～3月)'!L$26:L$1002)</f>
        <v>0</v>
      </c>
      <c r="J15" s="157">
        <f>SUMIF('内訳ﾘｽﾄ(4～3月)'!$D$26:$D$1002,$B15,'内訳ﾘｽﾄ(4～3月)'!M$26:M$1002)</f>
        <v>0</v>
      </c>
      <c r="K15" s="157">
        <f>SUMIF('内訳ﾘｽﾄ(4～3月)'!$D$26:$D$1002,$B15,'内訳ﾘｽﾄ(4～3月)'!N$26:N$1002)</f>
        <v>0</v>
      </c>
      <c r="L15" s="157">
        <f>SUMIF('内訳ﾘｽﾄ(4～3月)'!$D$26:$D$1002,$B15,'内訳ﾘｽﾄ(4～3月)'!O$26:O$1002)</f>
        <v>0</v>
      </c>
      <c r="M15" s="157">
        <f>SUMIF('内訳ﾘｽﾄ(4～3月)'!$D$26:$D$1002,$B15,'内訳ﾘｽﾄ(4～3月)'!P$26:P$1002)</f>
        <v>0</v>
      </c>
      <c r="N15" s="157">
        <f>SUMIF('内訳ﾘｽﾄ(4～3月)'!$D$26:$D$1002,$B15,'内訳ﾘｽﾄ(4～3月)'!Q$26:Q$1002)</f>
        <v>0</v>
      </c>
      <c r="O15" s="157">
        <f>SUMIF('内訳ﾘｽﾄ(4～3月)'!$D$26:$D$801,'採算表(VND)'!$B15,'内訳ﾘｽﾄ(4～3月)'!R$26:R$801)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SUMIF('内訳ﾘｽﾄ(4～3月)'!$D$26:$D$1002,$B16,'内訳ﾘｽﾄ(4～3月)'!F$26:F$1002)</f>
        <v>0</v>
      </c>
      <c r="D16" s="157">
        <f>SUMIF('内訳ﾘｽﾄ(4～3月)'!$D$26:$D$1002,$B16,'内訳ﾘｽﾄ(4～3月)'!G$26:G$1002)</f>
        <v>0</v>
      </c>
      <c r="E16" s="157">
        <f>SUMIF('内訳ﾘｽﾄ(4～3月)'!$D$26:$D$1002,$B16,'内訳ﾘｽﾄ(4～3月)'!H$26:H$1002)</f>
        <v>0</v>
      </c>
      <c r="F16" s="157">
        <f>SUMIF('内訳ﾘｽﾄ(4～3月)'!$D$26:$D$1002,$B16,'内訳ﾘｽﾄ(4～3月)'!I$26:I$1002)</f>
        <v>0</v>
      </c>
      <c r="G16" s="157">
        <f>SUMIF('内訳ﾘｽﾄ(4～3月)'!$D$26:$D$1002,$B16,'内訳ﾘｽﾄ(4～3月)'!J$26:J$1002)</f>
        <v>0</v>
      </c>
      <c r="H16" s="157">
        <f>SUMIF('内訳ﾘｽﾄ(4～3月)'!$D$26:$D$1002,$B16,'内訳ﾘｽﾄ(4～3月)'!K$26:K$1002)</f>
        <v>0</v>
      </c>
      <c r="I16" s="157">
        <f>SUMIF('内訳ﾘｽﾄ(4～3月)'!$D$26:$D$1002,$B16,'内訳ﾘｽﾄ(4～3月)'!L$26:L$1002)</f>
        <v>0</v>
      </c>
      <c r="J16" s="157">
        <f>SUMIF('内訳ﾘｽﾄ(4～3月)'!$D$26:$D$1002,$B16,'内訳ﾘｽﾄ(4～3月)'!M$26:M$1002)</f>
        <v>0</v>
      </c>
      <c r="K16" s="157">
        <f>SUMIF('内訳ﾘｽﾄ(4～3月)'!$D$26:$D$1002,$B16,'内訳ﾘｽﾄ(4～3月)'!N$26:N$1002)</f>
        <v>0</v>
      </c>
      <c r="L16" s="157">
        <f>SUMIF('内訳ﾘｽﾄ(4～3月)'!$D$26:$D$1002,$B16,'内訳ﾘｽﾄ(4～3月)'!O$26:O$1002)</f>
        <v>0</v>
      </c>
      <c r="M16" s="157">
        <f>SUMIF('内訳ﾘｽﾄ(4～3月)'!$D$26:$D$1002,$B16,'内訳ﾘｽﾄ(4～3月)'!P$26:P$1002)</f>
        <v>0</v>
      </c>
      <c r="N16" s="157">
        <f>SUMIF('内訳ﾘｽﾄ(4～3月)'!$D$26:$D$1002,$B16,'内訳ﾘｽﾄ(4～3月)'!Q$26:Q$1002)</f>
        <v>0</v>
      </c>
      <c r="O16" s="157">
        <f>SUMIF('内訳ﾘｽﾄ(4～3月)'!$D$26:$D$801,'採算表(VND)'!$B16,'内訳ﾘｽﾄ(4～3月)'!R$26:R$801)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SUMIF('内訳ﾘｽﾄ(4～3月)'!$D$26:$D$1002,$B17,'内訳ﾘｽﾄ(4～3月)'!F$26:F$1002)</f>
        <v>0</v>
      </c>
      <c r="D17" s="158">
        <f>SUMIF('内訳ﾘｽﾄ(4～3月)'!$D$26:$D$1002,$B17,'内訳ﾘｽﾄ(4～3月)'!G$26:G$1002)</f>
        <v>0</v>
      </c>
      <c r="E17" s="158">
        <f>SUMIF('内訳ﾘｽﾄ(4～3月)'!$D$26:$D$1002,$B17,'内訳ﾘｽﾄ(4～3月)'!H$26:H$1002)</f>
        <v>0</v>
      </c>
      <c r="F17" s="158">
        <f>SUMIF('内訳ﾘｽﾄ(4～3月)'!$D$26:$D$1002,$B17,'内訳ﾘｽﾄ(4～3月)'!I$26:I$1002)</f>
        <v>0</v>
      </c>
      <c r="G17" s="158">
        <f>SUMIF('内訳ﾘｽﾄ(4～3月)'!$D$26:$D$1002,$B17,'内訳ﾘｽﾄ(4～3月)'!J$26:J$1002)</f>
        <v>0</v>
      </c>
      <c r="H17" s="158">
        <f>SUMIF('内訳ﾘｽﾄ(4～3月)'!$D$26:$D$1002,$B17,'内訳ﾘｽﾄ(4～3月)'!K$26:K$1002)</f>
        <v>0</v>
      </c>
      <c r="I17" s="158">
        <f>SUMIF('内訳ﾘｽﾄ(4～3月)'!$D$26:$D$1002,$B17,'内訳ﾘｽﾄ(4～3月)'!L$26:L$1002)</f>
        <v>0</v>
      </c>
      <c r="J17" s="158">
        <f>SUMIF('内訳ﾘｽﾄ(4～3月)'!$D$26:$D$1002,$B17,'内訳ﾘｽﾄ(4～3月)'!M$26:M$1002)</f>
        <v>0</v>
      </c>
      <c r="K17" s="158">
        <f>SUMIF('内訳ﾘｽﾄ(4～3月)'!$D$26:$D$1002,$B17,'内訳ﾘｽﾄ(4～3月)'!N$26:N$1002)</f>
        <v>0</v>
      </c>
      <c r="L17" s="158">
        <f>SUMIF('内訳ﾘｽﾄ(4～3月)'!$D$26:$D$1002,$B17,'内訳ﾘｽﾄ(4～3月)'!O$26:O$1002)</f>
        <v>0</v>
      </c>
      <c r="M17" s="158">
        <f>SUMIF('内訳ﾘｽﾄ(4～3月)'!$D$26:$D$1002,$B17,'内訳ﾘｽﾄ(4～3月)'!P$26:P$1002)</f>
        <v>0</v>
      </c>
      <c r="N17" s="158">
        <f>SUMIF('内訳ﾘｽﾄ(4～3月)'!$D$26:$D$1002,$B17,'内訳ﾘｽﾄ(4～3月)'!Q$26:Q$1002)</f>
        <v>0</v>
      </c>
      <c r="O17" s="158">
        <f>SUMIF('内訳ﾘｽﾄ(4～3月)'!$D$26:$D$801,'採算表(VND)'!$B17,'内訳ﾘｽﾄ(4～3月)'!R$26:R$801)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SUMIF('内訳ﾘｽﾄ(4～3月)'!$D$26:$D$1002,$B18,'内訳ﾘｽﾄ(4～3月)'!F$26:F$1002)</f>
        <v>0</v>
      </c>
      <c r="D18" s="158">
        <f>SUMIF('内訳ﾘｽﾄ(4～3月)'!$D$26:$D$1002,$B18,'内訳ﾘｽﾄ(4～3月)'!G$26:G$1002)</f>
        <v>0</v>
      </c>
      <c r="E18" s="158">
        <f>SUMIF('内訳ﾘｽﾄ(4～3月)'!$D$26:$D$1002,$B18,'内訳ﾘｽﾄ(4～3月)'!H$26:H$1002)</f>
        <v>0</v>
      </c>
      <c r="F18" s="158">
        <f>SUMIF('内訳ﾘｽﾄ(4～3月)'!$D$26:$D$1002,$B18,'内訳ﾘｽﾄ(4～3月)'!I$26:I$1002)</f>
        <v>0</v>
      </c>
      <c r="G18" s="158">
        <f>SUMIF('内訳ﾘｽﾄ(4～3月)'!$D$26:$D$1002,$B18,'内訳ﾘｽﾄ(4～3月)'!J$26:J$1002)</f>
        <v>0</v>
      </c>
      <c r="H18" s="158">
        <f>SUMIF('内訳ﾘｽﾄ(4～3月)'!$D$26:$D$1002,$B18,'内訳ﾘｽﾄ(4～3月)'!K$26:K$1002)</f>
        <v>0</v>
      </c>
      <c r="I18" s="158">
        <f>SUMIF('内訳ﾘｽﾄ(4～3月)'!$D$26:$D$1002,$B18,'内訳ﾘｽﾄ(4～3月)'!L$26:L$1002)</f>
        <v>0</v>
      </c>
      <c r="J18" s="158">
        <f>SUMIF('内訳ﾘｽﾄ(4～3月)'!$D$26:$D$1002,$B18,'内訳ﾘｽﾄ(4～3月)'!M$26:M$1002)</f>
        <v>0</v>
      </c>
      <c r="K18" s="158">
        <f>SUMIF('内訳ﾘｽﾄ(4～3月)'!$D$26:$D$1002,$B18,'内訳ﾘｽﾄ(4～3月)'!N$26:N$1002)</f>
        <v>0</v>
      </c>
      <c r="L18" s="158">
        <f>SUMIF('内訳ﾘｽﾄ(4～3月)'!$D$26:$D$1002,$B18,'内訳ﾘｽﾄ(4～3月)'!O$26:O$1002)</f>
        <v>0</v>
      </c>
      <c r="M18" s="158">
        <f>SUMIF('内訳ﾘｽﾄ(4～3月)'!$D$26:$D$1002,$B18,'内訳ﾘｽﾄ(4～3月)'!P$26:P$1002)</f>
        <v>0</v>
      </c>
      <c r="N18" s="158">
        <f>SUMIF('内訳ﾘｽﾄ(4～3月)'!$D$26:$D$1002,$B18,'内訳ﾘｽﾄ(4～3月)'!Q$26:Q$1002)</f>
        <v>0</v>
      </c>
      <c r="O18" s="158">
        <f>SUMIF('内訳ﾘｽﾄ(4～3月)'!$D$26:$D$801,'採算表(VND)'!$B18,'内訳ﾘｽﾄ(4～3月)'!R$26:R$801)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SUMIF('内訳ﾘｽﾄ(4～3月)'!$D$26:$D$1002,$B19,'内訳ﾘｽﾄ(4～3月)'!F$26:F$1002)</f>
        <v>0</v>
      </c>
      <c r="D19" s="158">
        <f>SUMIF('内訳ﾘｽﾄ(4～3月)'!$D$26:$D$1002,$B19,'内訳ﾘｽﾄ(4～3月)'!G$26:G$1002)</f>
        <v>0</v>
      </c>
      <c r="E19" s="158">
        <f>SUMIF('内訳ﾘｽﾄ(4～3月)'!$D$26:$D$1002,$B19,'内訳ﾘｽﾄ(4～3月)'!H$26:H$1002)</f>
        <v>0</v>
      </c>
      <c r="F19" s="158">
        <f>SUMIF('内訳ﾘｽﾄ(4～3月)'!$D$26:$D$1002,$B19,'内訳ﾘｽﾄ(4～3月)'!I$26:I$1002)</f>
        <v>0</v>
      </c>
      <c r="G19" s="158">
        <f>SUMIF('内訳ﾘｽﾄ(4～3月)'!$D$26:$D$1002,$B19,'内訳ﾘｽﾄ(4～3月)'!J$26:J$1002)</f>
        <v>0</v>
      </c>
      <c r="H19" s="158">
        <f>SUMIF('内訳ﾘｽﾄ(4～3月)'!$D$26:$D$1002,$B19,'内訳ﾘｽﾄ(4～3月)'!K$26:K$1002)</f>
        <v>0</v>
      </c>
      <c r="I19" s="158">
        <f>SUMIF('内訳ﾘｽﾄ(4～3月)'!$D$26:$D$1002,$B19,'内訳ﾘｽﾄ(4～3月)'!L$26:L$1002)</f>
        <v>0</v>
      </c>
      <c r="J19" s="158">
        <f>SUMIF('内訳ﾘｽﾄ(4～3月)'!$D$26:$D$1002,$B19,'内訳ﾘｽﾄ(4～3月)'!M$26:M$1002)</f>
        <v>0</v>
      </c>
      <c r="K19" s="158">
        <f>SUMIF('内訳ﾘｽﾄ(4～3月)'!$D$26:$D$1002,$B19,'内訳ﾘｽﾄ(4～3月)'!N$26:N$1002)</f>
        <v>0</v>
      </c>
      <c r="L19" s="158">
        <f>SUMIF('内訳ﾘｽﾄ(4～3月)'!$D$26:$D$1002,$B19,'内訳ﾘｽﾄ(4～3月)'!O$26:O$1002)</f>
        <v>0</v>
      </c>
      <c r="M19" s="158">
        <f>SUMIF('内訳ﾘｽﾄ(4～3月)'!$D$26:$D$1002,$B19,'内訳ﾘｽﾄ(4～3月)'!P$26:P$1002)</f>
        <v>0</v>
      </c>
      <c r="N19" s="158">
        <f>SUMIF('内訳ﾘｽﾄ(4～3月)'!$D$26:$D$1002,$B19,'内訳ﾘｽﾄ(4～3月)'!Q$26:Q$1002)</f>
        <v>0</v>
      </c>
      <c r="O19" s="158">
        <f>SUMIF('内訳ﾘｽﾄ(4～3月)'!$D$26:$D$801,'採算表(VND)'!$B19,'内訳ﾘｽﾄ(4～3月)'!R$26:R$801)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SUMIF('内訳ﾘｽﾄ(4～3月)'!$D$26:$D$1002,$B20,'内訳ﾘｽﾄ(4～3月)'!F$26:F$1002)</f>
        <v>1809696370</v>
      </c>
      <c r="D20" s="158">
        <f>SUMIF('内訳ﾘｽﾄ(4～3月)'!$D$26:$D$1002,$B20,'内訳ﾘｽﾄ(4～3月)'!G$26:G$1002)</f>
        <v>1808677216</v>
      </c>
      <c r="E20" s="158">
        <f>SUMIF('内訳ﾘｽﾄ(4～3月)'!$D$26:$D$1002,$B20,'内訳ﾘｽﾄ(4～3月)'!H$26:H$1002)</f>
        <v>1797332710</v>
      </c>
      <c r="F20" s="158">
        <f>SUMIF('内訳ﾘｽﾄ(4～3月)'!$D$26:$D$1002,$B20,'内訳ﾘｽﾄ(4～3月)'!I$26:I$1002)</f>
        <v>1791761890</v>
      </c>
      <c r="G20" s="158">
        <f>SUMIF('内訳ﾘｽﾄ(4～3月)'!$D$26:$D$1002,$B20,'内訳ﾘｽﾄ(4～3月)'!J$26:J$1002)</f>
        <v>1790250423</v>
      </c>
      <c r="H20" s="158">
        <f>SUMIF('内訳ﾘｽﾄ(4～3月)'!$D$26:$D$1002,$B20,'内訳ﾘｽﾄ(4～3月)'!K$26:K$1002)</f>
        <v>1778309761</v>
      </c>
      <c r="I20" s="158">
        <f>SUMIF('内訳ﾘｽﾄ(4～3月)'!$D$26:$D$1002,$B20,'内訳ﾘｽﾄ(4～3月)'!L$26:L$1002)</f>
        <v>1778041643</v>
      </c>
      <c r="J20" s="158">
        <f>SUMIF('内訳ﾘｽﾄ(4～3月)'!$D$26:$D$1002,$B20,'内訳ﾘｽﾄ(4～3月)'!M$26:M$1002)</f>
        <v>1780972918</v>
      </c>
      <c r="K20" s="158">
        <f>SUMIF('内訳ﾘｽﾄ(4～3月)'!$D$26:$D$1002,$B20,'内訳ﾘｽﾄ(4～3月)'!N$26:N$1002)</f>
        <v>1779932944</v>
      </c>
      <c r="L20" s="158">
        <f>SUMIF('内訳ﾘｽﾄ(4～3月)'!$D$26:$D$1002,$B20,'内訳ﾘｽﾄ(4～3月)'!O$26:O$1002)</f>
        <v>1782533641</v>
      </c>
      <c r="M20" s="158">
        <f>SUMIF('内訳ﾘｽﾄ(4～3月)'!$D$26:$D$1002,$B20,'内訳ﾘｽﾄ(4～3月)'!P$26:P$1002)</f>
        <v>1771672053</v>
      </c>
      <c r="N20" s="158">
        <f>SUMIF('内訳ﾘｽﾄ(4～3月)'!$D$26:$D$1002,$B20,'内訳ﾘｽﾄ(4～3月)'!Q$26:Q$1002)</f>
        <v>1721558033</v>
      </c>
      <c r="O20" s="158">
        <f>SUMIF('内訳ﾘｽﾄ(4～3月)'!$D$26:$D$801,'採算表(VND)'!$B20,'内訳ﾘｽﾄ(4～3月)'!R$26:R$801)</f>
        <v>21390739602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SUMIF('内訳ﾘｽﾄ(4～3月)'!$D$26:$D$1002,$B21,'内訳ﾘｽﾄ(4～3月)'!F$26:F$1002)</f>
        <v>7769277540</v>
      </c>
      <c r="D21" s="158">
        <f>SUMIF('内訳ﾘｽﾄ(4～3月)'!$D$26:$D$1002,$B21,'内訳ﾘｽﾄ(4～3月)'!G$26:G$1002)</f>
        <v>7266319413</v>
      </c>
      <c r="E21" s="158">
        <f>SUMIF('内訳ﾘｽﾄ(4～3月)'!$D$26:$D$1002,$B21,'内訳ﾘｽﾄ(4～3月)'!H$26:H$1002)</f>
        <v>6441301070</v>
      </c>
      <c r="F21" s="158">
        <f>SUMIF('内訳ﾘｽﾄ(4～3月)'!$D$26:$D$1002,$B21,'内訳ﾘｽﾄ(4～3月)'!I$26:I$1002)</f>
        <v>4809664261</v>
      </c>
      <c r="G21" s="158">
        <f>SUMIF('内訳ﾘｽﾄ(4～3月)'!$D$26:$D$1002,$B21,'内訳ﾘｽﾄ(4～3月)'!J$26:J$1002)</f>
        <v>2906275236</v>
      </c>
      <c r="H21" s="158">
        <f>SUMIF('内訳ﾘｽﾄ(4～3月)'!$D$26:$D$1002,$B21,'内訳ﾘｽﾄ(4～3月)'!K$26:K$1002)</f>
        <v>2604520926</v>
      </c>
      <c r="I21" s="158">
        <f>SUMIF('内訳ﾘｽﾄ(4～3月)'!$D$26:$D$1002,$B21,'内訳ﾘｽﾄ(4～3月)'!L$26:L$1002)</f>
        <v>2667280690</v>
      </c>
      <c r="J21" s="158">
        <f>SUMIF('内訳ﾘｽﾄ(4～3月)'!$D$26:$D$1002,$B21,'内訳ﾘｽﾄ(4～3月)'!M$26:M$1002)</f>
        <v>2623922694</v>
      </c>
      <c r="K21" s="158">
        <f>SUMIF('内訳ﾘｽﾄ(4～3月)'!$D$26:$D$1002,$B21,'内訳ﾘｽﾄ(4～3月)'!N$26:N$1002)</f>
        <v>2473629382</v>
      </c>
      <c r="L21" s="158">
        <f>SUMIF('内訳ﾘｽﾄ(4～3月)'!$D$26:$D$1002,$B21,'内訳ﾘｽﾄ(4～3月)'!O$26:O$1002)</f>
        <v>2215818561</v>
      </c>
      <c r="M21" s="158">
        <f>SUMIF('内訳ﾘｽﾄ(4～3月)'!$D$26:$D$1002,$B21,'内訳ﾘｽﾄ(4～3月)'!P$26:P$1002)</f>
        <v>2070396828</v>
      </c>
      <c r="N21" s="158">
        <f>SUMIF('内訳ﾘｽﾄ(4～3月)'!$D$26:$D$1002,$B21,'内訳ﾘｽﾄ(4～3月)'!Q$26:Q$1002)</f>
        <v>1998124193</v>
      </c>
      <c r="O21" s="158">
        <f>SUMIF('内訳ﾘｽﾄ(4～3月)'!$D$26:$D$801,'採算表(VND)'!$B21,'内訳ﾘｽﾄ(4～3月)'!R$26:R$801)</f>
        <v>45846530794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SUMIF('内訳ﾘｽﾄ(4～3月)'!$D$26:$D$1002,$B22,'内訳ﾘｽﾄ(4～3月)'!F$26:F$1002)</f>
        <v>0</v>
      </c>
      <c r="D22" s="158">
        <f>SUMIF('内訳ﾘｽﾄ(4～3月)'!$D$26:$D$1002,$B22,'内訳ﾘｽﾄ(4～3月)'!G$26:G$1002)</f>
        <v>0</v>
      </c>
      <c r="E22" s="158">
        <f>SUMIF('内訳ﾘｽﾄ(4～3月)'!$D$26:$D$1002,$B22,'内訳ﾘｽﾄ(4～3月)'!H$26:H$1002)</f>
        <v>0</v>
      </c>
      <c r="F22" s="158">
        <f>SUMIF('内訳ﾘｽﾄ(4～3月)'!$D$26:$D$1002,$B22,'内訳ﾘｽﾄ(4～3月)'!I$26:I$1002)</f>
        <v>0</v>
      </c>
      <c r="G22" s="158">
        <f>SUMIF('内訳ﾘｽﾄ(4～3月)'!$D$26:$D$1002,$B22,'内訳ﾘｽﾄ(4～3月)'!J$26:J$1002)</f>
        <v>0</v>
      </c>
      <c r="H22" s="158">
        <f>SUMIF('内訳ﾘｽﾄ(4～3月)'!$D$26:$D$1002,$B22,'内訳ﾘｽﾄ(4～3月)'!K$26:K$1002)</f>
        <v>0</v>
      </c>
      <c r="I22" s="158">
        <f>SUMIF('内訳ﾘｽﾄ(4～3月)'!$D$26:$D$1002,$B22,'内訳ﾘｽﾄ(4～3月)'!L$26:L$1002)</f>
        <v>0</v>
      </c>
      <c r="J22" s="158">
        <f>SUMIF('内訳ﾘｽﾄ(4～3月)'!$D$26:$D$1002,$B22,'内訳ﾘｽﾄ(4～3月)'!M$26:M$1002)</f>
        <v>0</v>
      </c>
      <c r="K22" s="158">
        <f>SUMIF('内訳ﾘｽﾄ(4～3月)'!$D$26:$D$1002,$B22,'内訳ﾘｽﾄ(4～3月)'!N$26:N$1002)</f>
        <v>0</v>
      </c>
      <c r="L22" s="158">
        <f>SUMIF('内訳ﾘｽﾄ(4～3月)'!$D$26:$D$1002,$B22,'内訳ﾘｽﾄ(4～3月)'!O$26:O$1002)</f>
        <v>0</v>
      </c>
      <c r="M22" s="158">
        <f>SUMIF('内訳ﾘｽﾄ(4～3月)'!$D$26:$D$1002,$B22,'内訳ﾘｽﾄ(4～3月)'!P$26:P$1002)</f>
        <v>0</v>
      </c>
      <c r="N22" s="158">
        <f>SUMIF('内訳ﾘｽﾄ(4～3月)'!$D$26:$D$1002,$B22,'内訳ﾘｽﾄ(4～3月)'!Q$26:Q$1002)</f>
        <v>0</v>
      </c>
      <c r="O22" s="158">
        <f>SUMIF('内訳ﾘｽﾄ(4～3月)'!$D$26:$D$801,'採算表(VND)'!$B22,'内訳ﾘｽﾄ(4～3月)'!R$26:R$801)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SUMIF('内訳ﾘｽﾄ(4～3月)'!$D$26:$D$1002,$B23,'内訳ﾘｽﾄ(4～3月)'!F$26:F$1002)</f>
        <v>0</v>
      </c>
      <c r="D23" s="158">
        <f>SUMIF('内訳ﾘｽﾄ(4～3月)'!$D$26:$D$1002,$B23,'内訳ﾘｽﾄ(4～3月)'!G$26:G$1002)</f>
        <v>0</v>
      </c>
      <c r="E23" s="158">
        <f>SUMIF('内訳ﾘｽﾄ(4～3月)'!$D$26:$D$1002,$B23,'内訳ﾘｽﾄ(4～3月)'!H$26:H$1002)</f>
        <v>0</v>
      </c>
      <c r="F23" s="158">
        <f>SUMIF('内訳ﾘｽﾄ(4～3月)'!$D$26:$D$1002,$B23,'内訳ﾘｽﾄ(4～3月)'!I$26:I$1002)</f>
        <v>0</v>
      </c>
      <c r="G23" s="158">
        <f>SUMIF('内訳ﾘｽﾄ(4～3月)'!$D$26:$D$1002,$B23,'内訳ﾘｽﾄ(4～3月)'!J$26:J$1002)</f>
        <v>0</v>
      </c>
      <c r="H23" s="158">
        <f>SUMIF('内訳ﾘｽﾄ(4～3月)'!$D$26:$D$1002,$B23,'内訳ﾘｽﾄ(4～3月)'!K$26:K$1002)</f>
        <v>0</v>
      </c>
      <c r="I23" s="158">
        <f>SUMIF('内訳ﾘｽﾄ(4～3月)'!$D$26:$D$1002,$B23,'内訳ﾘｽﾄ(4～3月)'!L$26:L$1002)</f>
        <v>0</v>
      </c>
      <c r="J23" s="158">
        <f>SUMIF('内訳ﾘｽﾄ(4～3月)'!$D$26:$D$1002,$B23,'内訳ﾘｽﾄ(4～3月)'!M$26:M$1002)</f>
        <v>0</v>
      </c>
      <c r="K23" s="158">
        <f>SUMIF('内訳ﾘｽﾄ(4～3月)'!$D$26:$D$1002,$B23,'内訳ﾘｽﾄ(4～3月)'!N$26:N$1002)</f>
        <v>0</v>
      </c>
      <c r="L23" s="158">
        <f>SUMIF('内訳ﾘｽﾄ(4～3月)'!$D$26:$D$1002,$B23,'内訳ﾘｽﾄ(4～3月)'!O$26:O$1002)</f>
        <v>0</v>
      </c>
      <c r="M23" s="158">
        <f>SUMIF('内訳ﾘｽﾄ(4～3月)'!$D$26:$D$1002,$B23,'内訳ﾘｽﾄ(4～3月)'!P$26:P$1002)</f>
        <v>0</v>
      </c>
      <c r="N23" s="158">
        <f>SUMIF('内訳ﾘｽﾄ(4～3月)'!$D$26:$D$1002,$B23,'内訳ﾘｽﾄ(4～3月)'!Q$26:Q$1002)</f>
        <v>0</v>
      </c>
      <c r="O23" s="158">
        <f>SUMIF('内訳ﾘｽﾄ(4～3月)'!$D$26:$D$801,'採算表(VND)'!$B23,'内訳ﾘｽﾄ(4～3月)'!R$26:R$801)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SUMIF('内訳ﾘｽﾄ(4～3月)'!$D$26:$D$1002,$B24,'内訳ﾘｽﾄ(4～3月)'!F$26:F$1002)</f>
        <v>0</v>
      </c>
      <c r="D24" s="158">
        <f>SUMIF('内訳ﾘｽﾄ(4～3月)'!$D$26:$D$1002,$B24,'内訳ﾘｽﾄ(4～3月)'!G$26:G$1002)</f>
        <v>0</v>
      </c>
      <c r="E24" s="158">
        <f>SUMIF('内訳ﾘｽﾄ(4～3月)'!$D$26:$D$1002,$B24,'内訳ﾘｽﾄ(4～3月)'!H$26:H$1002)</f>
        <v>0</v>
      </c>
      <c r="F24" s="158">
        <f>SUMIF('内訳ﾘｽﾄ(4～3月)'!$D$26:$D$1002,$B24,'内訳ﾘｽﾄ(4～3月)'!I$26:I$1002)</f>
        <v>0</v>
      </c>
      <c r="G24" s="158">
        <f>SUMIF('内訳ﾘｽﾄ(4～3月)'!$D$26:$D$1002,$B24,'内訳ﾘｽﾄ(4～3月)'!J$26:J$1002)</f>
        <v>0</v>
      </c>
      <c r="H24" s="158">
        <f>SUMIF('内訳ﾘｽﾄ(4～3月)'!$D$26:$D$1002,$B24,'内訳ﾘｽﾄ(4～3月)'!K$26:K$1002)</f>
        <v>0</v>
      </c>
      <c r="I24" s="158">
        <f>SUMIF('内訳ﾘｽﾄ(4～3月)'!$D$26:$D$1002,$B24,'内訳ﾘｽﾄ(4～3月)'!L$26:L$1002)</f>
        <v>0</v>
      </c>
      <c r="J24" s="158">
        <f>SUMIF('内訳ﾘｽﾄ(4～3月)'!$D$26:$D$1002,$B24,'内訳ﾘｽﾄ(4～3月)'!M$26:M$1002)</f>
        <v>0</v>
      </c>
      <c r="K24" s="158">
        <f>SUMIF('内訳ﾘｽﾄ(4～3月)'!$D$26:$D$1002,$B24,'内訳ﾘｽﾄ(4～3月)'!N$26:N$1002)</f>
        <v>0</v>
      </c>
      <c r="L24" s="158">
        <f>SUMIF('内訳ﾘｽﾄ(4～3月)'!$D$26:$D$1002,$B24,'内訳ﾘｽﾄ(4～3月)'!O$26:O$1002)</f>
        <v>0</v>
      </c>
      <c r="M24" s="158">
        <f>SUMIF('内訳ﾘｽﾄ(4～3月)'!$D$26:$D$1002,$B24,'内訳ﾘｽﾄ(4～3月)'!P$26:P$1002)</f>
        <v>0</v>
      </c>
      <c r="N24" s="158">
        <f>SUMIF('内訳ﾘｽﾄ(4～3月)'!$D$26:$D$1002,$B24,'内訳ﾘｽﾄ(4～3月)'!Q$26:Q$1002)</f>
        <v>0</v>
      </c>
      <c r="O24" s="158">
        <f>SUMIF('内訳ﾘｽﾄ(4～3月)'!$D$26:$D$801,'採算表(VND)'!$B24,'内訳ﾘｽﾄ(4～3月)'!R$26:R$801)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SUMIF('内訳ﾘｽﾄ(4～3月)'!$D$26:$D$1002,$B25,'内訳ﾘｽﾄ(4～3月)'!F$26:F$1002)</f>
        <v>2314205009</v>
      </c>
      <c r="D25" s="158">
        <f>SUMIF('内訳ﾘｽﾄ(4～3月)'!$D$26:$D$1002,$B25,'内訳ﾘｽﾄ(4～3月)'!G$26:G$1002)</f>
        <v>2086447315</v>
      </c>
      <c r="E25" s="158">
        <f>SUMIF('内訳ﾘｽﾄ(4～3月)'!$D$26:$D$1002,$B25,'内訳ﾘｽﾄ(4～3月)'!H$26:H$1002)</f>
        <v>2264374344</v>
      </c>
      <c r="F25" s="158">
        <f>SUMIF('内訳ﾘｽﾄ(4～3月)'!$D$26:$D$1002,$B25,'内訳ﾘｽﾄ(4～3月)'!I$26:I$1002)</f>
        <v>2938872125</v>
      </c>
      <c r="G25" s="158">
        <f>SUMIF('内訳ﾘｽﾄ(4～3月)'!$D$26:$D$1002,$B25,'内訳ﾘｽﾄ(4～3月)'!J$26:J$1002)</f>
        <v>2639359429</v>
      </c>
      <c r="H25" s="158">
        <f>SUMIF('内訳ﾘｽﾄ(4～3月)'!$D$26:$D$1002,$B25,'内訳ﾘｽﾄ(4～3月)'!K$26:K$1002)</f>
        <v>2465405726</v>
      </c>
      <c r="I25" s="158">
        <f>SUMIF('内訳ﾘｽﾄ(4～3月)'!$D$26:$D$1002,$B25,'内訳ﾘｽﾄ(4～3月)'!L$26:L$1002)</f>
        <v>3004778941</v>
      </c>
      <c r="J25" s="158">
        <f>SUMIF('内訳ﾘｽﾄ(4～3月)'!$D$26:$D$1002,$B25,'内訳ﾘｽﾄ(4～3月)'!M$26:M$1002)</f>
        <v>2846318574</v>
      </c>
      <c r="K25" s="158">
        <f>SUMIF('内訳ﾘｽﾄ(4～3月)'!$D$26:$D$1002,$B25,'内訳ﾘｽﾄ(4～3月)'!N$26:N$1002)</f>
        <v>3034194891</v>
      </c>
      <c r="L25" s="158">
        <f>SUMIF('内訳ﾘｽﾄ(4～3月)'!$D$26:$D$1002,$B25,'内訳ﾘｽﾄ(4～3月)'!O$26:O$1002)</f>
        <v>3044766862</v>
      </c>
      <c r="M25" s="158">
        <f>SUMIF('内訳ﾘｽﾄ(4～3月)'!$D$26:$D$1002,$B25,'内訳ﾘｽﾄ(4～3月)'!P$26:P$1002)</f>
        <v>2494255755</v>
      </c>
      <c r="N25" s="158">
        <f>SUMIF('内訳ﾘｽﾄ(4～3月)'!$D$26:$D$1002,$B25,'内訳ﾘｽﾄ(4～3月)'!Q$26:Q$1002)</f>
        <v>2832343331</v>
      </c>
      <c r="O25" s="158">
        <f>SUMIF('内訳ﾘｽﾄ(4～3月)'!$D$26:$D$801,'採算表(VND)'!$B25,'内訳ﾘｽﾄ(4～3月)'!R$26:R$801)</f>
        <v>31965322302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SUMIF('内訳ﾘｽﾄ(4～3月)'!$D$26:$D$1002,$B26,'内訳ﾘｽﾄ(4～3月)'!F$26:F$1002)</f>
        <v>1830625036</v>
      </c>
      <c r="D26" s="158">
        <f>SUMIF('内訳ﾘｽﾄ(4～3月)'!$D$26:$D$1002,$B26,'内訳ﾘｽﾄ(4～3月)'!G$26:G$1002)</f>
        <v>1262547259</v>
      </c>
      <c r="E26" s="158">
        <f>SUMIF('内訳ﾘｽﾄ(4～3月)'!$D$26:$D$1002,$B26,'内訳ﾘｽﾄ(4～3月)'!H$26:H$1002)</f>
        <v>1692936983</v>
      </c>
      <c r="F26" s="158">
        <f>SUMIF('内訳ﾘｽﾄ(4～3月)'!$D$26:$D$1002,$B26,'内訳ﾘｽﾄ(4～3月)'!I$26:I$1002)</f>
        <v>934415113</v>
      </c>
      <c r="G26" s="158">
        <f>SUMIF('内訳ﾘｽﾄ(4～3月)'!$D$26:$D$1002,$B26,'内訳ﾘｽﾄ(4～3月)'!J$26:J$1002)</f>
        <v>936374814</v>
      </c>
      <c r="H26" s="158">
        <f>SUMIF('内訳ﾘｽﾄ(4～3月)'!$D$26:$D$1002,$B26,'内訳ﾘｽﾄ(4～3月)'!K$26:K$1002)</f>
        <v>839571999</v>
      </c>
      <c r="I26" s="158">
        <f>SUMIF('内訳ﾘｽﾄ(4～3月)'!$D$26:$D$1002,$B26,'内訳ﾘｽﾄ(4～3月)'!L$26:L$1002)</f>
        <v>851945553</v>
      </c>
      <c r="J26" s="158">
        <f>SUMIF('内訳ﾘｽﾄ(4～3月)'!$D$26:$D$1002,$B26,'内訳ﾘｽﾄ(4～3月)'!M$26:M$1002)</f>
        <v>3494111060</v>
      </c>
      <c r="K26" s="158">
        <f>SUMIF('内訳ﾘｽﾄ(4～3月)'!$D$26:$D$1002,$B26,'内訳ﾘｽﾄ(4～3月)'!N$26:N$1002)</f>
        <v>615646160</v>
      </c>
      <c r="L26" s="158">
        <f>SUMIF('内訳ﾘｽﾄ(4～3月)'!$D$26:$D$1002,$B26,'内訳ﾘｽﾄ(4～3月)'!O$26:O$1002)</f>
        <v>594111060</v>
      </c>
      <c r="M26" s="158">
        <f>SUMIF('内訳ﾘｽﾄ(4～3月)'!$D$26:$D$1002,$B26,'内訳ﾘｽﾄ(4～3月)'!P$26:P$1002)</f>
        <v>753779198</v>
      </c>
      <c r="N26" s="158">
        <f>SUMIF('内訳ﾘｽﾄ(4～3月)'!$D$26:$D$1002,$B26,'内訳ﾘｽﾄ(4～3月)'!Q$26:Q$1002)</f>
        <v>632620886</v>
      </c>
      <c r="O26" s="158">
        <f>SUMIF('内訳ﾘｽﾄ(4～3月)'!$D$26:$D$801,'採算表(VND)'!$B26,'内訳ﾘｽﾄ(4～3月)'!R$26:R$801)</f>
        <v>14438685121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SUMIF('内訳ﾘｽﾄ(4～3月)'!$D$26:$D$1002,$B27,'内訳ﾘｽﾄ(4～3月)'!F$26:F$1002)</f>
        <v>253900000</v>
      </c>
      <c r="D27" s="158">
        <f>SUMIF('内訳ﾘｽﾄ(4～3月)'!$D$26:$D$1002,$B27,'内訳ﾘｽﾄ(4～3月)'!G$26:G$1002)</f>
        <v>253900000</v>
      </c>
      <c r="E27" s="158">
        <f>SUMIF('内訳ﾘｽﾄ(4～3月)'!$D$26:$D$1002,$B27,'内訳ﾘｽﾄ(4～3月)'!H$26:H$1002)</f>
        <v>253900000</v>
      </c>
      <c r="F27" s="158">
        <f>SUMIF('内訳ﾘｽﾄ(4～3月)'!$D$26:$D$1002,$B27,'内訳ﾘｽﾄ(4～3月)'!I$26:I$1002)</f>
        <v>253900000</v>
      </c>
      <c r="G27" s="158">
        <f>SUMIF('内訳ﾘｽﾄ(4～3月)'!$D$26:$D$1002,$B27,'内訳ﾘｽﾄ(4～3月)'!J$26:J$1002)</f>
        <v>253900000</v>
      </c>
      <c r="H27" s="158">
        <f>SUMIF('内訳ﾘｽﾄ(4～3月)'!$D$26:$D$1002,$B27,'内訳ﾘｽﾄ(4～3月)'!K$26:K$1002)</f>
        <v>253900000</v>
      </c>
      <c r="I27" s="158">
        <f>SUMIF('内訳ﾘｽﾄ(4～3月)'!$D$26:$D$1002,$B27,'内訳ﾘｽﾄ(4～3月)'!L$26:L$1002)</f>
        <v>253900000</v>
      </c>
      <c r="J27" s="158">
        <f>SUMIF('内訳ﾘｽﾄ(4～3月)'!$D$26:$D$1002,$B27,'内訳ﾘｽﾄ(4～3月)'!M$26:M$1002)</f>
        <v>253900000</v>
      </c>
      <c r="K27" s="158">
        <f>SUMIF('内訳ﾘｽﾄ(4～3月)'!$D$26:$D$1002,$B27,'内訳ﾘｽﾄ(4～3月)'!N$26:N$1002)</f>
        <v>253900000</v>
      </c>
      <c r="L27" s="158">
        <f>SUMIF('内訳ﾘｽﾄ(4～3月)'!$D$26:$D$1002,$B27,'内訳ﾘｽﾄ(4～3月)'!O$26:O$1002)</f>
        <v>253900000</v>
      </c>
      <c r="M27" s="158">
        <f>SUMIF('内訳ﾘｽﾄ(4～3月)'!$D$26:$D$1002,$B27,'内訳ﾘｽﾄ(4～3月)'!P$26:P$1002)</f>
        <v>253900000</v>
      </c>
      <c r="N27" s="158">
        <f>SUMIF('内訳ﾘｽﾄ(4～3月)'!$D$26:$D$1002,$B27,'内訳ﾘｽﾄ(4～3月)'!Q$26:Q$1002)</f>
        <v>253900000</v>
      </c>
      <c r="O27" s="158">
        <f>SUMIF('内訳ﾘｽﾄ(4～3月)'!$D$26:$D$801,'採算表(VND)'!$B27,'内訳ﾘｽﾄ(4～3月)'!R$26:R$801)</f>
        <v>3046800000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SUMIF('内訳ﾘｽﾄ(4～3月)'!$D$26:$D$1002,$B28,'内訳ﾘｽﾄ(4～3月)'!F$26:F$1002)</f>
        <v>0</v>
      </c>
      <c r="D28" s="158">
        <f>SUMIF('内訳ﾘｽﾄ(4～3月)'!$D$26:$D$1002,$B28,'内訳ﾘｽﾄ(4～3月)'!G$26:G$1002)</f>
        <v>0</v>
      </c>
      <c r="E28" s="158">
        <f>SUMIF('内訳ﾘｽﾄ(4～3月)'!$D$26:$D$1002,$B28,'内訳ﾘｽﾄ(4～3月)'!H$26:H$1002)</f>
        <v>0</v>
      </c>
      <c r="F28" s="158">
        <f>SUMIF('内訳ﾘｽﾄ(4～3月)'!$D$26:$D$1002,$B28,'内訳ﾘｽﾄ(4～3月)'!I$26:I$1002)</f>
        <v>0</v>
      </c>
      <c r="G28" s="158">
        <f>SUMIF('内訳ﾘｽﾄ(4～3月)'!$D$26:$D$1002,$B28,'内訳ﾘｽﾄ(4～3月)'!J$26:J$1002)</f>
        <v>0</v>
      </c>
      <c r="H28" s="158">
        <f>SUMIF('内訳ﾘｽﾄ(4～3月)'!$D$26:$D$1002,$B28,'内訳ﾘｽﾄ(4～3月)'!K$26:K$1002)</f>
        <v>0</v>
      </c>
      <c r="I28" s="158">
        <f>SUMIF('内訳ﾘｽﾄ(4～3月)'!$D$26:$D$1002,$B28,'内訳ﾘｽﾄ(4～3月)'!L$26:L$1002)</f>
        <v>0</v>
      </c>
      <c r="J28" s="158">
        <f>SUMIF('内訳ﾘｽﾄ(4～3月)'!$D$26:$D$1002,$B28,'内訳ﾘｽﾄ(4～3月)'!M$26:M$1002)</f>
        <v>0</v>
      </c>
      <c r="K28" s="158">
        <f>SUMIF('内訳ﾘｽﾄ(4～3月)'!$D$26:$D$1002,$B28,'内訳ﾘｽﾄ(4～3月)'!N$26:N$1002)</f>
        <v>0</v>
      </c>
      <c r="L28" s="158">
        <f>SUMIF('内訳ﾘｽﾄ(4～3月)'!$D$26:$D$1002,$B28,'内訳ﾘｽﾄ(4～3月)'!O$26:O$1002)</f>
        <v>0</v>
      </c>
      <c r="M28" s="158">
        <f>SUMIF('内訳ﾘｽﾄ(4～3月)'!$D$26:$D$1002,$B28,'内訳ﾘｽﾄ(4～3月)'!P$26:P$1002)</f>
        <v>0</v>
      </c>
      <c r="N28" s="158">
        <f>SUMIF('内訳ﾘｽﾄ(4～3月)'!$D$26:$D$1002,$B28,'内訳ﾘｽﾄ(4～3月)'!Q$26:Q$1002)</f>
        <v>0</v>
      </c>
      <c r="O28" s="158">
        <f>SUMIF('内訳ﾘｽﾄ(4～3月)'!$D$26:$D$801,'採算表(VND)'!$B28,'内訳ﾘｽﾄ(4～3月)'!R$26:R$801)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SUMIF('内訳ﾘｽﾄ(4～3月)'!$D$26:$D$1002,$B29,'内訳ﾘｽﾄ(4～3月)'!F$26:F$1002)</f>
        <v>0</v>
      </c>
      <c r="D29" s="158">
        <f>SUMIF('内訳ﾘｽﾄ(4～3月)'!$D$26:$D$1002,$B29,'内訳ﾘｽﾄ(4～3月)'!G$26:G$1002)</f>
        <v>0</v>
      </c>
      <c r="E29" s="158">
        <f>SUMIF('内訳ﾘｽﾄ(4～3月)'!$D$26:$D$1002,$B29,'内訳ﾘｽﾄ(4～3月)'!H$26:H$1002)</f>
        <v>0</v>
      </c>
      <c r="F29" s="158">
        <f>SUMIF('内訳ﾘｽﾄ(4～3月)'!$D$26:$D$1002,$B29,'内訳ﾘｽﾄ(4～3月)'!I$26:I$1002)</f>
        <v>0</v>
      </c>
      <c r="G29" s="158">
        <f>SUMIF('内訳ﾘｽﾄ(4～3月)'!$D$26:$D$1002,$B29,'内訳ﾘｽﾄ(4～3月)'!J$26:J$1002)</f>
        <v>0</v>
      </c>
      <c r="H29" s="158">
        <f>SUMIF('内訳ﾘｽﾄ(4～3月)'!$D$26:$D$1002,$B29,'内訳ﾘｽﾄ(4～3月)'!K$26:K$1002)</f>
        <v>0</v>
      </c>
      <c r="I29" s="158">
        <f>SUMIF('内訳ﾘｽﾄ(4～3月)'!$D$26:$D$1002,$B29,'内訳ﾘｽﾄ(4～3月)'!L$26:L$1002)</f>
        <v>0</v>
      </c>
      <c r="J29" s="158">
        <f>SUMIF('内訳ﾘｽﾄ(4～3月)'!$D$26:$D$1002,$B29,'内訳ﾘｽﾄ(4～3月)'!M$26:M$1002)</f>
        <v>0</v>
      </c>
      <c r="K29" s="158">
        <f>SUMIF('内訳ﾘｽﾄ(4～3月)'!$D$26:$D$1002,$B29,'内訳ﾘｽﾄ(4～3月)'!N$26:N$1002)</f>
        <v>0</v>
      </c>
      <c r="L29" s="158">
        <f>SUMIF('内訳ﾘｽﾄ(4～3月)'!$D$26:$D$1002,$B29,'内訳ﾘｽﾄ(4～3月)'!O$26:O$1002)</f>
        <v>0</v>
      </c>
      <c r="M29" s="158">
        <f>SUMIF('内訳ﾘｽﾄ(4～3月)'!$D$26:$D$1002,$B29,'内訳ﾘｽﾄ(4～3月)'!P$26:P$1002)</f>
        <v>0</v>
      </c>
      <c r="N29" s="158">
        <f>SUMIF('内訳ﾘｽﾄ(4～3月)'!$D$26:$D$1002,$B29,'内訳ﾘｽﾄ(4～3月)'!Q$26:Q$1002)</f>
        <v>0</v>
      </c>
      <c r="O29" s="158">
        <f>SUMIF('内訳ﾘｽﾄ(4～3月)'!$D$26:$D$801,'採算表(VND)'!$B29,'内訳ﾘｽﾄ(4～3月)'!R$26:R$801)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SUMIF('内訳ﾘｽﾄ(4～3月)'!$D$26:$D$1002,$B30,'内訳ﾘｽﾄ(4～3月)'!F$26:F$1002)</f>
        <v>236904384</v>
      </c>
      <c r="D30" s="158">
        <f>SUMIF('内訳ﾘｽﾄ(4～3月)'!$D$26:$D$1002,$B30,'内訳ﾘｽﾄ(4～3月)'!G$26:G$1002)</f>
        <v>242225477</v>
      </c>
      <c r="E30" s="158">
        <f>SUMIF('内訳ﾘｽﾄ(4～3月)'!$D$26:$D$1002,$B30,'内訳ﾘｽﾄ(4～3月)'!H$26:H$1002)</f>
        <v>287069034</v>
      </c>
      <c r="F30" s="158">
        <f>SUMIF('内訳ﾘｽﾄ(4～3月)'!$D$26:$D$1002,$B30,'内訳ﾘｽﾄ(4～3月)'!I$26:I$1002)</f>
        <v>336833085</v>
      </c>
      <c r="G30" s="158">
        <f>SUMIF('内訳ﾘｽﾄ(4～3月)'!$D$26:$D$1002,$B30,'内訳ﾘｽﾄ(4～3月)'!J$26:J$1002)</f>
        <v>339557783</v>
      </c>
      <c r="H30" s="158">
        <f>SUMIF('内訳ﾘｽﾄ(4～3月)'!$D$26:$D$1002,$B30,'内訳ﾘｽﾄ(4～3月)'!K$26:K$1002)</f>
        <v>305208912</v>
      </c>
      <c r="I30" s="158">
        <f>SUMIF('内訳ﾘｽﾄ(4～3月)'!$D$26:$D$1002,$B30,'内訳ﾘｽﾄ(4～3月)'!L$26:L$1002)</f>
        <v>292657014</v>
      </c>
      <c r="J30" s="158">
        <f>SUMIF('内訳ﾘｽﾄ(4～3月)'!$D$26:$D$1002,$B30,'内訳ﾘｽﾄ(4～3月)'!M$26:M$1002)</f>
        <v>294955304</v>
      </c>
      <c r="K30" s="158">
        <f>SUMIF('内訳ﾘｽﾄ(4～3月)'!$D$26:$D$1002,$B30,'内訳ﾘｽﾄ(4～3月)'!N$26:N$1002)</f>
        <v>296528854</v>
      </c>
      <c r="L30" s="158">
        <f>SUMIF('内訳ﾘｽﾄ(4～3月)'!$D$26:$D$1002,$B30,'内訳ﾘｽﾄ(4～3月)'!O$26:O$1002)</f>
        <v>260643493</v>
      </c>
      <c r="M30" s="158">
        <f>SUMIF('内訳ﾘｽﾄ(4～3月)'!$D$26:$D$1002,$B30,'内訳ﾘｽﾄ(4～3月)'!P$26:P$1002)</f>
        <v>237693054</v>
      </c>
      <c r="N30" s="158">
        <f>SUMIF('内訳ﾘｽﾄ(4～3月)'!$D$26:$D$1002,$B30,'内訳ﾘｽﾄ(4～3月)'!Q$26:Q$1002)</f>
        <v>230205807</v>
      </c>
      <c r="O30" s="158">
        <f>SUMIF('内訳ﾘｽﾄ(4～3月)'!$D$26:$D$801,'採算表(VND)'!$B30,'内訳ﾘｽﾄ(4～3月)'!R$26:R$801)</f>
        <v>3360482201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SUMIF('内訳ﾘｽﾄ(4～3月)'!$D$26:$D$1002,$B31,'内訳ﾘｽﾄ(4～3月)'!F$26:F$1002)</f>
        <v>1141700000</v>
      </c>
      <c r="D31" s="158">
        <f>SUMIF('内訳ﾘｽﾄ(4～3月)'!$D$26:$D$1002,$B31,'内訳ﾘｽﾄ(4～3月)'!G$26:G$1002)</f>
        <v>1149700000</v>
      </c>
      <c r="E31" s="158">
        <f>SUMIF('内訳ﾘｽﾄ(4～3月)'!$D$26:$D$1002,$B31,'内訳ﾘｽﾄ(4～3月)'!H$26:H$1002)</f>
        <v>1135100000</v>
      </c>
      <c r="F31" s="158">
        <f>SUMIF('内訳ﾘｽﾄ(4～3月)'!$D$26:$D$1002,$B31,'内訳ﾘｽﾄ(4～3月)'!I$26:I$1002)</f>
        <v>1158800000</v>
      </c>
      <c r="G31" s="158">
        <f>SUMIF('内訳ﾘｽﾄ(4～3月)'!$D$26:$D$1002,$B31,'内訳ﾘｽﾄ(4～3月)'!J$26:J$1002)</f>
        <v>1156900000</v>
      </c>
      <c r="H31" s="158">
        <f>SUMIF('内訳ﾘｽﾄ(4～3月)'!$D$26:$D$1002,$B31,'内訳ﾘｽﾄ(4～3月)'!K$26:K$1002)</f>
        <v>1141100000</v>
      </c>
      <c r="I31" s="158">
        <f>SUMIF('内訳ﾘｽﾄ(4～3月)'!$D$26:$D$1002,$B31,'内訳ﾘｽﾄ(4～3月)'!L$26:L$1002)</f>
        <v>1144100000</v>
      </c>
      <c r="J31" s="158">
        <f>SUMIF('内訳ﾘｽﾄ(4～3月)'!$D$26:$D$1002,$B31,'内訳ﾘｽﾄ(4～3月)'!M$26:M$1002)</f>
        <v>1157000000</v>
      </c>
      <c r="K31" s="158">
        <f>SUMIF('内訳ﾘｽﾄ(4～3月)'!$D$26:$D$1002,$B31,'内訳ﾘｽﾄ(4～3月)'!N$26:N$1002)</f>
        <v>1153600000</v>
      </c>
      <c r="L31" s="158">
        <f>SUMIF('内訳ﾘｽﾄ(4～3月)'!$D$26:$D$1002,$B31,'内訳ﾘｽﾄ(4～3月)'!O$26:O$1002)</f>
        <v>1156900000</v>
      </c>
      <c r="M31" s="158">
        <f>SUMIF('内訳ﾘｽﾄ(4～3月)'!$D$26:$D$1002,$B31,'内訳ﾘｽﾄ(4～3月)'!P$26:P$1002)</f>
        <v>1143100000</v>
      </c>
      <c r="N31" s="158">
        <f>SUMIF('内訳ﾘｽﾄ(4～3月)'!$D$26:$D$1002,$B31,'内訳ﾘｽﾄ(4～3月)'!Q$26:Q$1002)</f>
        <v>1135300000</v>
      </c>
      <c r="O31" s="158">
        <f>SUMIF('内訳ﾘｽﾄ(4～3月)'!$D$26:$D$801,'採算表(VND)'!$B31,'内訳ﾘｽﾄ(4～3月)'!R$26:R$801)</f>
        <v>13773300000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SUMIF('内訳ﾘｽﾄ(4～3月)'!$D$26:$D$1002,$B32,'内訳ﾘｽﾄ(4～3月)'!F$26:F$1002)</f>
        <v>9985199622</v>
      </c>
      <c r="D32" s="158">
        <f>SUMIF('内訳ﾘｽﾄ(4～3月)'!$D$26:$D$1002,$B32,'内訳ﾘｽﾄ(4～3月)'!G$26:G$1002)</f>
        <v>9762768221</v>
      </c>
      <c r="E32" s="158">
        <f>SUMIF('内訳ﾘｽﾄ(4～3月)'!$D$26:$D$1002,$B32,'内訳ﾘｽﾄ(4～3月)'!H$26:H$1002)</f>
        <v>10207631024</v>
      </c>
      <c r="F32" s="158">
        <f>SUMIF('内訳ﾘｽﾄ(4～3月)'!$D$26:$D$1002,$B32,'内訳ﾘｽﾄ(4～3月)'!I$26:I$1002)</f>
        <v>10652493827</v>
      </c>
      <c r="G32" s="158">
        <f>SUMIF('内訳ﾘｽﾄ(4～3月)'!$D$26:$D$1002,$B32,'内訳ﾘｽﾄ(4～3月)'!J$26:J$1002)</f>
        <v>9985199622</v>
      </c>
      <c r="H32" s="158">
        <f>SUMIF('内訳ﾘｽﾄ(4～3月)'!$D$26:$D$1002,$B32,'内訳ﾘｽﾄ(4～3月)'!K$26:K$1002)</f>
        <v>9762768221</v>
      </c>
      <c r="I32" s="158">
        <f>SUMIF('内訳ﾘｽﾄ(4～3月)'!$D$26:$D$1002,$B32,'内訳ﾘｽﾄ(4～3月)'!L$26:L$1002)</f>
        <v>10652493827</v>
      </c>
      <c r="J32" s="158">
        <f>SUMIF('内訳ﾘｽﾄ(4～3月)'!$D$26:$D$1002,$B32,'内訳ﾘｽﾄ(4～3月)'!M$26:M$1002)</f>
        <v>9985199622</v>
      </c>
      <c r="K32" s="158">
        <f>SUMIF('内訳ﾘｽﾄ(4～3月)'!$D$26:$D$1002,$B32,'内訳ﾘｽﾄ(4～3月)'!N$26:N$1002)</f>
        <v>10430062425</v>
      </c>
      <c r="L32" s="158">
        <f>SUMIF('内訳ﾘｽﾄ(4～3月)'!$D$26:$D$1002,$B32,'内訳ﾘｽﾄ(4～3月)'!O$26:O$1002)</f>
        <v>9985199622</v>
      </c>
      <c r="M32" s="158">
        <f>SUMIF('内訳ﾘｽﾄ(4～3月)'!$D$26:$D$1002,$B32,'内訳ﾘｽﾄ(4～3月)'!P$26:P$1002)</f>
        <v>8873042615</v>
      </c>
      <c r="N32" s="158">
        <f>SUMIF('内訳ﾘｽﾄ(4～3月)'!$D$26:$D$1002,$B32,'内訳ﾘｽﾄ(4～3月)'!Q$26:Q$1002)</f>
        <v>10207631024</v>
      </c>
      <c r="O32" s="158">
        <f>SUMIF('内訳ﾘｽﾄ(4～3月)'!$D$26:$D$801,'採算表(VND)'!$B32,'内訳ﾘｽﾄ(4～3月)'!R$26:R$801)</f>
        <v>120489689672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SUMIF('内訳ﾘｽﾄ(4～3月)'!$D$26:$D$1002,$B33,'内訳ﾘｽﾄ(4～3月)'!F$26:F$1002)</f>
        <v>0</v>
      </c>
      <c r="D33" s="158">
        <f>SUMIF('内訳ﾘｽﾄ(4～3月)'!$D$26:$D$1002,$B33,'内訳ﾘｽﾄ(4～3月)'!G$26:G$1002)</f>
        <v>0</v>
      </c>
      <c r="E33" s="158">
        <f>SUMIF('内訳ﾘｽﾄ(4～3月)'!$D$26:$D$1002,$B33,'内訳ﾘｽﾄ(4～3月)'!H$26:H$1002)</f>
        <v>0</v>
      </c>
      <c r="F33" s="158">
        <f>SUMIF('内訳ﾘｽﾄ(4～3月)'!$D$26:$D$1002,$B33,'内訳ﾘｽﾄ(4～3月)'!I$26:I$1002)</f>
        <v>0</v>
      </c>
      <c r="G33" s="158">
        <f>SUMIF('内訳ﾘｽﾄ(4～3月)'!$D$26:$D$1002,$B33,'内訳ﾘｽﾄ(4～3月)'!J$26:J$1002)</f>
        <v>0</v>
      </c>
      <c r="H33" s="158">
        <f>SUMIF('内訳ﾘｽﾄ(4～3月)'!$D$26:$D$1002,$B33,'内訳ﾘｽﾄ(4～3月)'!K$26:K$1002)</f>
        <v>0</v>
      </c>
      <c r="I33" s="158">
        <f>SUMIF('内訳ﾘｽﾄ(4～3月)'!$D$26:$D$1002,$B33,'内訳ﾘｽﾄ(4～3月)'!L$26:L$1002)</f>
        <v>0</v>
      </c>
      <c r="J33" s="158">
        <f>SUMIF('内訳ﾘｽﾄ(4～3月)'!$D$26:$D$1002,$B33,'内訳ﾘｽﾄ(4～3月)'!M$26:M$1002)</f>
        <v>0</v>
      </c>
      <c r="K33" s="158">
        <f>SUMIF('内訳ﾘｽﾄ(4～3月)'!$D$26:$D$1002,$B33,'内訳ﾘｽﾄ(4～3月)'!N$26:N$1002)</f>
        <v>0</v>
      </c>
      <c r="L33" s="158">
        <f>SUMIF('内訳ﾘｽﾄ(4～3月)'!$D$26:$D$1002,$B33,'内訳ﾘｽﾄ(4～3月)'!O$26:O$1002)</f>
        <v>0</v>
      </c>
      <c r="M33" s="158">
        <f>SUMIF('内訳ﾘｽﾄ(4～3月)'!$D$26:$D$1002,$B33,'内訳ﾘｽﾄ(4～3月)'!P$26:P$1002)</f>
        <v>0</v>
      </c>
      <c r="N33" s="158">
        <f>SUMIF('内訳ﾘｽﾄ(4～3月)'!$D$26:$D$1002,$B33,'内訳ﾘｽﾄ(4～3月)'!Q$26:Q$1002)</f>
        <v>0</v>
      </c>
      <c r="O33" s="158">
        <f>SUMIF('内訳ﾘｽﾄ(4～3月)'!$D$26:$D$801,'採算表(VND)'!$B33,'内訳ﾘｽﾄ(4～3月)'!R$26:R$801)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SUMIF('内訳ﾘｽﾄ(4～3月)'!$D$26:$D$1002,$B34,'内訳ﾘｽﾄ(4～3月)'!F$26:F$1002)</f>
        <v>0</v>
      </c>
      <c r="D34" s="158">
        <f>SUMIF('内訳ﾘｽﾄ(4～3月)'!$D$26:$D$1002,$B34,'内訳ﾘｽﾄ(4～3月)'!G$26:G$1002)</f>
        <v>0</v>
      </c>
      <c r="E34" s="158">
        <f>SUMIF('内訳ﾘｽﾄ(4～3月)'!$D$26:$D$1002,$B34,'内訳ﾘｽﾄ(4～3月)'!H$26:H$1002)</f>
        <v>0</v>
      </c>
      <c r="F34" s="158">
        <f>SUMIF('内訳ﾘｽﾄ(4～3月)'!$D$26:$D$1002,$B34,'内訳ﾘｽﾄ(4～3月)'!I$26:I$1002)</f>
        <v>0</v>
      </c>
      <c r="G34" s="158">
        <f>SUMIF('内訳ﾘｽﾄ(4～3月)'!$D$26:$D$1002,$B34,'内訳ﾘｽﾄ(4～3月)'!J$26:J$1002)</f>
        <v>0</v>
      </c>
      <c r="H34" s="158">
        <f>SUMIF('内訳ﾘｽﾄ(4～3月)'!$D$26:$D$1002,$B34,'内訳ﾘｽﾄ(4～3月)'!K$26:K$1002)</f>
        <v>0</v>
      </c>
      <c r="I34" s="158">
        <f>SUMIF('内訳ﾘｽﾄ(4～3月)'!$D$26:$D$1002,$B34,'内訳ﾘｽﾄ(4～3月)'!L$26:L$1002)</f>
        <v>0</v>
      </c>
      <c r="J34" s="158">
        <f>SUMIF('内訳ﾘｽﾄ(4～3月)'!$D$26:$D$1002,$B34,'内訳ﾘｽﾄ(4～3月)'!M$26:M$1002)</f>
        <v>0</v>
      </c>
      <c r="K34" s="158">
        <f>SUMIF('内訳ﾘｽﾄ(4～3月)'!$D$26:$D$1002,$B34,'内訳ﾘｽﾄ(4～3月)'!N$26:N$1002)</f>
        <v>0</v>
      </c>
      <c r="L34" s="158">
        <f>SUMIF('内訳ﾘｽﾄ(4～3月)'!$D$26:$D$1002,$B34,'内訳ﾘｽﾄ(4～3月)'!O$26:O$1002)</f>
        <v>0</v>
      </c>
      <c r="M34" s="158">
        <f>SUMIF('内訳ﾘｽﾄ(4～3月)'!$D$26:$D$1002,$B34,'内訳ﾘｽﾄ(4～3月)'!P$26:P$1002)</f>
        <v>0</v>
      </c>
      <c r="N34" s="158">
        <f>SUMIF('内訳ﾘｽﾄ(4～3月)'!$D$26:$D$1002,$B34,'内訳ﾘｽﾄ(4～3月)'!Q$26:Q$1002)</f>
        <v>0</v>
      </c>
      <c r="O34" s="158">
        <f>SUMIF('内訳ﾘｽﾄ(4～3月)'!$D$26:$D$801,'採算表(VND)'!$B34,'内訳ﾘｽﾄ(4～3月)'!R$26:R$801)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SUMIF('内訳ﾘｽﾄ(4～3月)'!$D$26:$D$1002,$B35,'内訳ﾘｽﾄ(4～3月)'!F$26:F$1002)</f>
        <v>0</v>
      </c>
      <c r="D35" s="158">
        <f>SUMIF('内訳ﾘｽﾄ(4～3月)'!$D$26:$D$1002,$B35,'内訳ﾘｽﾄ(4～3月)'!G$26:G$1002)</f>
        <v>0</v>
      </c>
      <c r="E35" s="158">
        <f>SUMIF('内訳ﾘｽﾄ(4～3月)'!$D$26:$D$1002,$B35,'内訳ﾘｽﾄ(4～3月)'!H$26:H$1002)</f>
        <v>0</v>
      </c>
      <c r="F35" s="158">
        <f>SUMIF('内訳ﾘｽﾄ(4～3月)'!$D$26:$D$1002,$B35,'内訳ﾘｽﾄ(4～3月)'!I$26:I$1002)</f>
        <v>0</v>
      </c>
      <c r="G35" s="158">
        <f>SUMIF('内訳ﾘｽﾄ(4～3月)'!$D$26:$D$1002,$B35,'内訳ﾘｽﾄ(4～3月)'!J$26:J$1002)</f>
        <v>0</v>
      </c>
      <c r="H35" s="158">
        <f>SUMIF('内訳ﾘｽﾄ(4～3月)'!$D$26:$D$1002,$B35,'内訳ﾘｽﾄ(4～3月)'!K$26:K$1002)</f>
        <v>0</v>
      </c>
      <c r="I35" s="158">
        <f>SUMIF('内訳ﾘｽﾄ(4～3月)'!$D$26:$D$1002,$B35,'内訳ﾘｽﾄ(4～3月)'!L$26:L$1002)</f>
        <v>0</v>
      </c>
      <c r="J35" s="158">
        <f>SUMIF('内訳ﾘｽﾄ(4～3月)'!$D$26:$D$1002,$B35,'内訳ﾘｽﾄ(4～3月)'!M$26:M$1002)</f>
        <v>0</v>
      </c>
      <c r="K35" s="158">
        <f>SUMIF('内訳ﾘｽﾄ(4～3月)'!$D$26:$D$1002,$B35,'内訳ﾘｽﾄ(4～3月)'!N$26:N$1002)</f>
        <v>0</v>
      </c>
      <c r="L35" s="158">
        <f>SUMIF('内訳ﾘｽﾄ(4～3月)'!$D$26:$D$1002,$B35,'内訳ﾘｽﾄ(4～3月)'!O$26:O$1002)</f>
        <v>0</v>
      </c>
      <c r="M35" s="158">
        <f>SUMIF('内訳ﾘｽﾄ(4～3月)'!$D$26:$D$1002,$B35,'内訳ﾘｽﾄ(4～3月)'!P$26:P$1002)</f>
        <v>0</v>
      </c>
      <c r="N35" s="158">
        <f>SUMIF('内訳ﾘｽﾄ(4～3月)'!$D$26:$D$1002,$B35,'内訳ﾘｽﾄ(4～3月)'!Q$26:Q$1002)</f>
        <v>0</v>
      </c>
      <c r="O35" s="158">
        <f>SUMIF('内訳ﾘｽﾄ(4～3月)'!$D$26:$D$801,'採算表(VND)'!$B35,'内訳ﾘｽﾄ(4～3月)'!R$26:R$801)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SUMIF('内訳ﾘｽﾄ(4～3月)'!$D$26:$D$1002,$B36,'内訳ﾘｽﾄ(4～3月)'!F$26:F$1002)</f>
        <v>0</v>
      </c>
      <c r="D36" s="158">
        <f>SUMIF('内訳ﾘｽﾄ(4～3月)'!$D$26:$D$1002,$B36,'内訳ﾘｽﾄ(4～3月)'!G$26:G$1002)</f>
        <v>0</v>
      </c>
      <c r="E36" s="158">
        <f>SUMIF('内訳ﾘｽﾄ(4～3月)'!$D$26:$D$1002,$B36,'内訳ﾘｽﾄ(4～3月)'!H$26:H$1002)</f>
        <v>0</v>
      </c>
      <c r="F36" s="158">
        <f>SUMIF('内訳ﾘｽﾄ(4～3月)'!$D$26:$D$1002,$B36,'内訳ﾘｽﾄ(4～3月)'!I$26:I$1002)</f>
        <v>0</v>
      </c>
      <c r="G36" s="158">
        <f>SUMIF('内訳ﾘｽﾄ(4～3月)'!$D$26:$D$1002,$B36,'内訳ﾘｽﾄ(4～3月)'!J$26:J$1002)</f>
        <v>0</v>
      </c>
      <c r="H36" s="158">
        <f>SUMIF('内訳ﾘｽﾄ(4～3月)'!$D$26:$D$1002,$B36,'内訳ﾘｽﾄ(4～3月)'!K$26:K$1002)</f>
        <v>0</v>
      </c>
      <c r="I36" s="158">
        <f>SUMIF('内訳ﾘｽﾄ(4～3月)'!$D$26:$D$1002,$B36,'内訳ﾘｽﾄ(4～3月)'!L$26:L$1002)</f>
        <v>0</v>
      </c>
      <c r="J36" s="158">
        <f>SUMIF('内訳ﾘｽﾄ(4～3月)'!$D$26:$D$1002,$B36,'内訳ﾘｽﾄ(4～3月)'!M$26:M$1002)</f>
        <v>0</v>
      </c>
      <c r="K36" s="158">
        <f>SUMIF('内訳ﾘｽﾄ(4～3月)'!$D$26:$D$1002,$B36,'内訳ﾘｽﾄ(4～3月)'!N$26:N$1002)</f>
        <v>0</v>
      </c>
      <c r="L36" s="158">
        <f>SUMIF('内訳ﾘｽﾄ(4～3月)'!$D$26:$D$1002,$B36,'内訳ﾘｽﾄ(4～3月)'!O$26:O$1002)</f>
        <v>0</v>
      </c>
      <c r="M36" s="158">
        <f>SUMIF('内訳ﾘｽﾄ(4～3月)'!$D$26:$D$1002,$B36,'内訳ﾘｽﾄ(4～3月)'!P$26:P$1002)</f>
        <v>0</v>
      </c>
      <c r="N36" s="158">
        <f>SUMIF('内訳ﾘｽﾄ(4～3月)'!$D$26:$D$1002,$B36,'内訳ﾘｽﾄ(4～3月)'!Q$26:Q$1002)</f>
        <v>0</v>
      </c>
      <c r="O36" s="158">
        <f>SUMIF('内訳ﾘｽﾄ(4～3月)'!$D$26:$D$801,'採算表(VND)'!$B36,'内訳ﾘｽﾄ(4～3月)'!R$26:R$801)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SUMIF('内訳ﾘｽﾄ(4～3月)'!$D$26:$D$1002,$B37,'内訳ﾘｽﾄ(4～3月)'!F$26:F$1002)</f>
        <v>0</v>
      </c>
      <c r="D37" s="158">
        <f>SUMIF('内訳ﾘｽﾄ(4～3月)'!$D$26:$D$1002,$B37,'内訳ﾘｽﾄ(4～3月)'!G$26:G$1002)</f>
        <v>0</v>
      </c>
      <c r="E37" s="158">
        <f>SUMIF('内訳ﾘｽﾄ(4～3月)'!$D$26:$D$1002,$B37,'内訳ﾘｽﾄ(4～3月)'!H$26:H$1002)</f>
        <v>0</v>
      </c>
      <c r="F37" s="158">
        <f>SUMIF('内訳ﾘｽﾄ(4～3月)'!$D$26:$D$1002,$B37,'内訳ﾘｽﾄ(4～3月)'!I$26:I$1002)</f>
        <v>0</v>
      </c>
      <c r="G37" s="158">
        <f>SUMIF('内訳ﾘｽﾄ(4～3月)'!$D$26:$D$1002,$B37,'内訳ﾘｽﾄ(4～3月)'!J$26:J$1002)</f>
        <v>0</v>
      </c>
      <c r="H37" s="158">
        <f>SUMIF('内訳ﾘｽﾄ(4～3月)'!$D$26:$D$1002,$B37,'内訳ﾘｽﾄ(4～3月)'!K$26:K$1002)</f>
        <v>0</v>
      </c>
      <c r="I37" s="158">
        <f>SUMIF('内訳ﾘｽﾄ(4～3月)'!$D$26:$D$1002,$B37,'内訳ﾘｽﾄ(4～3月)'!L$26:L$1002)</f>
        <v>0</v>
      </c>
      <c r="J37" s="158">
        <f>SUMIF('内訳ﾘｽﾄ(4～3月)'!$D$26:$D$1002,$B37,'内訳ﾘｽﾄ(4～3月)'!M$26:M$1002)</f>
        <v>0</v>
      </c>
      <c r="K37" s="158">
        <f>SUMIF('内訳ﾘｽﾄ(4～3月)'!$D$26:$D$1002,$B37,'内訳ﾘｽﾄ(4～3月)'!N$26:N$1002)</f>
        <v>0</v>
      </c>
      <c r="L37" s="158">
        <f>SUMIF('内訳ﾘｽﾄ(4～3月)'!$D$26:$D$1002,$B37,'内訳ﾘｽﾄ(4～3月)'!O$26:O$1002)</f>
        <v>0</v>
      </c>
      <c r="M37" s="158">
        <f>SUMIF('内訳ﾘｽﾄ(4～3月)'!$D$26:$D$1002,$B37,'内訳ﾘｽﾄ(4～3月)'!P$26:P$1002)</f>
        <v>0</v>
      </c>
      <c r="N37" s="158">
        <f>SUMIF('内訳ﾘｽﾄ(4～3月)'!$D$26:$D$1002,$B37,'内訳ﾘｽﾄ(4～3月)'!Q$26:Q$1002)</f>
        <v>0</v>
      </c>
      <c r="O37" s="158">
        <f>SUMIF('内訳ﾘｽﾄ(4～3月)'!$D$26:$D$801,'採算表(VND)'!$B37,'内訳ﾘｽﾄ(4～3月)'!R$26:R$801)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SUMIF('内訳ﾘｽﾄ(4～3月)'!$D$26:$D$1002,$B38,'内訳ﾘｽﾄ(4～3月)'!F$26:F$1002)</f>
        <v>1000000</v>
      </c>
      <c r="D38" s="158">
        <f>SUMIF('内訳ﾘｽﾄ(4～3月)'!$D$26:$D$1002,$B38,'内訳ﾘｽﾄ(4～3月)'!G$26:G$1002)</f>
        <v>1000000</v>
      </c>
      <c r="E38" s="158">
        <f>SUMIF('内訳ﾘｽﾄ(4～3月)'!$D$26:$D$1002,$B38,'内訳ﾘｽﾄ(4～3月)'!H$26:H$1002)</f>
        <v>1000000</v>
      </c>
      <c r="F38" s="158">
        <f>SUMIF('内訳ﾘｽﾄ(4～3月)'!$D$26:$D$1002,$B38,'内訳ﾘｽﾄ(4～3月)'!I$26:I$1002)</f>
        <v>1000000</v>
      </c>
      <c r="G38" s="158">
        <f>SUMIF('内訳ﾘｽﾄ(4～3月)'!$D$26:$D$1002,$B38,'内訳ﾘｽﾄ(4～3月)'!J$26:J$1002)</f>
        <v>1000000</v>
      </c>
      <c r="H38" s="158">
        <f>SUMIF('内訳ﾘｽﾄ(4～3月)'!$D$26:$D$1002,$B38,'内訳ﾘｽﾄ(4～3月)'!K$26:K$1002)</f>
        <v>1000000</v>
      </c>
      <c r="I38" s="158">
        <f>SUMIF('内訳ﾘｽﾄ(4～3月)'!$D$26:$D$1002,$B38,'内訳ﾘｽﾄ(4～3月)'!L$26:L$1002)</f>
        <v>1000000</v>
      </c>
      <c r="J38" s="158">
        <f>SUMIF('内訳ﾘｽﾄ(4～3月)'!$D$26:$D$1002,$B38,'内訳ﾘｽﾄ(4～3月)'!M$26:M$1002)</f>
        <v>1000000</v>
      </c>
      <c r="K38" s="158">
        <f>SUMIF('内訳ﾘｽﾄ(4～3月)'!$D$26:$D$1002,$B38,'内訳ﾘｽﾄ(4～3月)'!N$26:N$1002)</f>
        <v>1000000</v>
      </c>
      <c r="L38" s="158">
        <f>SUMIF('内訳ﾘｽﾄ(4～3月)'!$D$26:$D$1002,$B38,'内訳ﾘｽﾄ(4～3月)'!O$26:O$1002)</f>
        <v>1000000</v>
      </c>
      <c r="M38" s="158">
        <f>SUMIF('内訳ﾘｽﾄ(4～3月)'!$D$26:$D$1002,$B38,'内訳ﾘｽﾄ(4～3月)'!P$26:P$1002)</f>
        <v>1000000</v>
      </c>
      <c r="N38" s="158">
        <f>SUMIF('内訳ﾘｽﾄ(4～3月)'!$D$26:$D$1002,$B38,'内訳ﾘｽﾄ(4～3月)'!Q$26:Q$1002)</f>
        <v>1000000</v>
      </c>
      <c r="O38" s="158">
        <f>SUMIF('内訳ﾘｽﾄ(4～3月)'!$D$26:$D$801,'採算表(VND)'!$B38,'内訳ﾘｽﾄ(4～3月)'!R$26:R$801)</f>
        <v>12000000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SUMIF('内訳ﾘｽﾄ(4～3月)'!$D$26:$D$1002,$B39,'内訳ﾘｽﾄ(4～3月)'!F$26:F$1002)</f>
        <v>100782658</v>
      </c>
      <c r="D39" s="158">
        <f>SUMIF('内訳ﾘｽﾄ(4～3月)'!$D$26:$D$1002,$B39,'内訳ﾘｽﾄ(4～3月)'!G$26:G$1002)</f>
        <v>101129668</v>
      </c>
      <c r="E39" s="158">
        <f>SUMIF('内訳ﾘｽﾄ(4～3月)'!$D$26:$D$1002,$B39,'内訳ﾘｽﾄ(4～3月)'!H$26:H$1002)</f>
        <v>100444354</v>
      </c>
      <c r="F39" s="158">
        <f>SUMIF('内訳ﾘｽﾄ(4～3月)'!$D$26:$D$1002,$B39,'内訳ﾘｽﾄ(4～3月)'!I$26:I$1002)</f>
        <v>90918508</v>
      </c>
      <c r="G39" s="158">
        <f>SUMIF('内訳ﾘｽﾄ(4～3月)'!$D$26:$D$1002,$B39,'内訳ﾘｽﾄ(4～3月)'!J$26:J$1002)</f>
        <v>100964923</v>
      </c>
      <c r="H39" s="158">
        <f>SUMIF('内訳ﾘｽﾄ(4～3月)'!$D$26:$D$1002,$B39,'内訳ﾘｽﾄ(4～3月)'!K$26:K$1002)</f>
        <v>99460360</v>
      </c>
      <c r="I39" s="158">
        <f>SUMIF('内訳ﾘｽﾄ(4～3月)'!$D$26:$D$1002,$B39,'内訳ﾘｽﾄ(4～3月)'!L$26:L$1002)</f>
        <v>92152224</v>
      </c>
      <c r="J39" s="158">
        <f>SUMIF('内訳ﾘｽﾄ(4～3月)'!$D$26:$D$1002,$B39,'内訳ﾘｽﾄ(4～3月)'!M$26:M$1002)</f>
        <v>93194944</v>
      </c>
      <c r="K39" s="158">
        <f>SUMIF('内訳ﾘｽﾄ(4～3月)'!$D$26:$D$1002,$B39,'内訳ﾘｽﾄ(4～3月)'!N$26:N$1002)</f>
        <v>98175829</v>
      </c>
      <c r="L39" s="158">
        <f>SUMIF('内訳ﾘｽﾄ(4～3月)'!$D$26:$D$1002,$B39,'内訳ﾘｽﾄ(4～3月)'!O$26:O$1002)</f>
        <v>92291440</v>
      </c>
      <c r="M39" s="158">
        <f>SUMIF('内訳ﾘｽﾄ(4～3月)'!$D$26:$D$1002,$B39,'内訳ﾘｽﾄ(4～3月)'!P$26:P$1002)</f>
        <v>94868628</v>
      </c>
      <c r="N39" s="158">
        <f>SUMIF('内訳ﾘｽﾄ(4～3月)'!$D$26:$D$1002,$B39,'内訳ﾘｽﾄ(4～3月)'!Q$26:Q$1002)</f>
        <v>105404680</v>
      </c>
      <c r="O39" s="158">
        <f>SUMIF('内訳ﾘｽﾄ(4～3月)'!$D$26:$D$801,'採算表(VND)'!$B39,'内訳ﾘｽﾄ(4～3月)'!R$26:R$801)</f>
        <v>1169788216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SUMIF('内訳ﾘｽﾄ(4～3月)'!$D$26:$D$1002,$B40,'内訳ﾘｽﾄ(4～3月)'!F$26:F$1002)</f>
        <v>0</v>
      </c>
      <c r="D40" s="158">
        <f>SUMIF('内訳ﾘｽﾄ(4～3月)'!$D$26:$D$1002,$B40,'内訳ﾘｽﾄ(4～3月)'!G$26:G$1002)</f>
        <v>0</v>
      </c>
      <c r="E40" s="158">
        <f>SUMIF('内訳ﾘｽﾄ(4～3月)'!$D$26:$D$1002,$B40,'内訳ﾘｽﾄ(4～3月)'!H$26:H$1002)</f>
        <v>0</v>
      </c>
      <c r="F40" s="158">
        <f>SUMIF('内訳ﾘｽﾄ(4～3月)'!$D$26:$D$1002,$B40,'内訳ﾘｽﾄ(4～3月)'!I$26:I$1002)</f>
        <v>0</v>
      </c>
      <c r="G40" s="158">
        <f>SUMIF('内訳ﾘｽﾄ(4～3月)'!$D$26:$D$1002,$B40,'内訳ﾘｽﾄ(4～3月)'!J$26:J$1002)</f>
        <v>0</v>
      </c>
      <c r="H40" s="158">
        <f>SUMIF('内訳ﾘｽﾄ(4～3月)'!$D$26:$D$1002,$B40,'内訳ﾘｽﾄ(4～3月)'!K$26:K$1002)</f>
        <v>0</v>
      </c>
      <c r="I40" s="158">
        <f>SUMIF('内訳ﾘｽﾄ(4～3月)'!$D$26:$D$1002,$B40,'内訳ﾘｽﾄ(4～3月)'!L$26:L$1002)</f>
        <v>0</v>
      </c>
      <c r="J40" s="158">
        <f>SUMIF('内訳ﾘｽﾄ(4～3月)'!$D$26:$D$1002,$B40,'内訳ﾘｽﾄ(4～3月)'!M$26:M$1002)</f>
        <v>0</v>
      </c>
      <c r="K40" s="158">
        <f>SUMIF('内訳ﾘｽﾄ(4～3月)'!$D$26:$D$1002,$B40,'内訳ﾘｽﾄ(4～3月)'!N$26:N$1002)</f>
        <v>0</v>
      </c>
      <c r="L40" s="158">
        <f>SUMIF('内訳ﾘｽﾄ(4～3月)'!$D$26:$D$1002,$B40,'内訳ﾘｽﾄ(4～3月)'!O$26:O$1002)</f>
        <v>0</v>
      </c>
      <c r="M40" s="158">
        <f>SUMIF('内訳ﾘｽﾄ(4～3月)'!$D$26:$D$1002,$B40,'内訳ﾘｽﾄ(4～3月)'!P$26:P$1002)</f>
        <v>0</v>
      </c>
      <c r="N40" s="158">
        <f>SUMIF('内訳ﾘｽﾄ(4～3月)'!$D$26:$D$1002,$B40,'内訳ﾘｽﾄ(4～3月)'!Q$26:Q$1002)</f>
        <v>0</v>
      </c>
      <c r="O40" s="158">
        <f>SUMIF('内訳ﾘｽﾄ(4～3月)'!$D$26:$D$801,'採算表(VND)'!$B40,'内訳ﾘｽﾄ(4～3月)'!R$26:R$801)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SUMIF('内訳ﾘｽﾄ(4～3月)'!$D$26:$D$1002,$B41,'内訳ﾘｽﾄ(4～3月)'!F$26:F$1002)</f>
        <v>7380000</v>
      </c>
      <c r="D41" s="158">
        <f>SUMIF('内訳ﾘｽﾄ(4～3月)'!$D$26:$D$1002,$B41,'内訳ﾘｽﾄ(4～3月)'!G$26:G$1002)</f>
        <v>7380000</v>
      </c>
      <c r="E41" s="158">
        <f>SUMIF('内訳ﾘｽﾄ(4～3月)'!$D$26:$D$1002,$B41,'内訳ﾘｽﾄ(4～3月)'!H$26:H$1002)</f>
        <v>7380000</v>
      </c>
      <c r="F41" s="158">
        <f>SUMIF('内訳ﾘｽﾄ(4～3月)'!$D$26:$D$1002,$B41,'内訳ﾘｽﾄ(4～3月)'!I$26:I$1002)</f>
        <v>7380000</v>
      </c>
      <c r="G41" s="158">
        <f>SUMIF('内訳ﾘｽﾄ(4～3月)'!$D$26:$D$1002,$B41,'内訳ﾘｽﾄ(4～3月)'!J$26:J$1002)</f>
        <v>7380000</v>
      </c>
      <c r="H41" s="158">
        <f>SUMIF('内訳ﾘｽﾄ(4～3月)'!$D$26:$D$1002,$B41,'内訳ﾘｽﾄ(4～3月)'!K$26:K$1002)</f>
        <v>7380000</v>
      </c>
      <c r="I41" s="158">
        <f>SUMIF('内訳ﾘｽﾄ(4～3月)'!$D$26:$D$1002,$B41,'内訳ﾘｽﾄ(4～3月)'!L$26:L$1002)</f>
        <v>7380000</v>
      </c>
      <c r="J41" s="158">
        <f>SUMIF('内訳ﾘｽﾄ(4～3月)'!$D$26:$D$1002,$B41,'内訳ﾘｽﾄ(4～3月)'!M$26:M$1002)</f>
        <v>7380000</v>
      </c>
      <c r="K41" s="158">
        <f>SUMIF('内訳ﾘｽﾄ(4～3月)'!$D$26:$D$1002,$B41,'内訳ﾘｽﾄ(4～3月)'!N$26:N$1002)</f>
        <v>7380000</v>
      </c>
      <c r="L41" s="158">
        <f>SUMIF('内訳ﾘｽﾄ(4～3月)'!$D$26:$D$1002,$B41,'内訳ﾘｽﾄ(4～3月)'!O$26:O$1002)</f>
        <v>7380000</v>
      </c>
      <c r="M41" s="158">
        <f>SUMIF('内訳ﾘｽﾄ(4～3月)'!$D$26:$D$1002,$B41,'内訳ﾘｽﾄ(4～3月)'!P$26:P$1002)</f>
        <v>7380000</v>
      </c>
      <c r="N41" s="158">
        <f>SUMIF('内訳ﾘｽﾄ(4～3月)'!$D$26:$D$1002,$B41,'内訳ﾘｽﾄ(4～3月)'!Q$26:Q$1002)</f>
        <v>7380000</v>
      </c>
      <c r="O41" s="158">
        <f>SUMIF('内訳ﾘｽﾄ(4～3月)'!$D$26:$D$801,'採算表(VND)'!$B41,'内訳ﾘｽﾄ(4～3月)'!R$26:R$801)</f>
        <v>88560000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SUMIF('内訳ﾘｽﾄ(4～3月)'!$D$26:$D$1002,$B42,'内訳ﾘｽﾄ(4～3月)'!F$26:F$1002)</f>
        <v>292290188</v>
      </c>
      <c r="D42" s="158">
        <f>SUMIF('内訳ﾘｽﾄ(4～3月)'!$D$26:$D$1002,$B42,'内訳ﾘｽﾄ(4～3月)'!G$26:G$1002)</f>
        <v>292290188</v>
      </c>
      <c r="E42" s="158">
        <f>SUMIF('内訳ﾘｽﾄ(4～3月)'!$D$26:$D$1002,$B42,'内訳ﾘｽﾄ(4～3月)'!H$26:H$1002)</f>
        <v>292290188</v>
      </c>
      <c r="F42" s="158">
        <f>SUMIF('内訳ﾘｽﾄ(4～3月)'!$D$26:$D$1002,$B42,'内訳ﾘｽﾄ(4～3月)'!I$26:I$1002)</f>
        <v>292290188</v>
      </c>
      <c r="G42" s="158">
        <f>SUMIF('内訳ﾘｽﾄ(4～3月)'!$D$26:$D$1002,$B42,'内訳ﾘｽﾄ(4～3月)'!J$26:J$1002)</f>
        <v>292290188</v>
      </c>
      <c r="H42" s="158">
        <f>SUMIF('内訳ﾘｽﾄ(4～3月)'!$D$26:$D$1002,$B42,'内訳ﾘｽﾄ(4～3月)'!K$26:K$1002)</f>
        <v>292290188</v>
      </c>
      <c r="I42" s="158">
        <f>SUMIF('内訳ﾘｽﾄ(4～3月)'!$D$26:$D$1002,$B42,'内訳ﾘｽﾄ(4～3月)'!L$26:L$1002)</f>
        <v>298375988</v>
      </c>
      <c r="J42" s="158">
        <f>SUMIF('内訳ﾘｽﾄ(4～3月)'!$D$26:$D$1002,$B42,'内訳ﾘｽﾄ(4～3月)'!M$26:M$1002)</f>
        <v>305480388</v>
      </c>
      <c r="K42" s="158">
        <f>SUMIF('内訳ﾘｽﾄ(4～3月)'!$D$26:$D$1002,$B42,'内訳ﾘｽﾄ(4～3月)'!N$26:N$1002)</f>
        <v>292290188</v>
      </c>
      <c r="L42" s="158">
        <f>SUMIF('内訳ﾘｽﾄ(4～3月)'!$D$26:$D$1002,$B42,'内訳ﾘｽﾄ(4～3月)'!O$26:O$1002)</f>
        <v>310064588</v>
      </c>
      <c r="M42" s="158">
        <f>SUMIF('内訳ﾘｽﾄ(4～3月)'!$D$26:$D$1002,$B42,'内訳ﾘｽﾄ(4～3月)'!P$26:P$1002)</f>
        <v>308518988</v>
      </c>
      <c r="N42" s="158">
        <f>SUMIF('内訳ﾘｽﾄ(4～3月)'!$D$26:$D$1002,$B42,'内訳ﾘｽﾄ(4～3月)'!Q$26:Q$1002)</f>
        <v>292290188</v>
      </c>
      <c r="O42" s="158">
        <f>SUMIF('内訳ﾘｽﾄ(4～3月)'!$D$26:$D$801,'採算表(VND)'!$B42,'内訳ﾘｽﾄ(4～3月)'!R$26:R$801)</f>
        <v>3560761456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SUMIF('内訳ﾘｽﾄ(4～3月)'!$D$26:$D$1002,$B43,'内訳ﾘｽﾄ(4～3月)'!F$26:F$1002)</f>
        <v>0</v>
      </c>
      <c r="D43" s="158">
        <f>SUMIF('内訳ﾘｽﾄ(4～3月)'!$D$26:$D$1002,$B43,'内訳ﾘｽﾄ(4～3月)'!G$26:G$1002)</f>
        <v>0</v>
      </c>
      <c r="E43" s="158">
        <f>SUMIF('内訳ﾘｽﾄ(4～3月)'!$D$26:$D$1002,$B43,'内訳ﾘｽﾄ(4～3月)'!H$26:H$1002)</f>
        <v>0</v>
      </c>
      <c r="F43" s="158">
        <f>SUMIF('内訳ﾘｽﾄ(4～3月)'!$D$26:$D$1002,$B43,'内訳ﾘｽﾄ(4～3月)'!I$26:I$1002)</f>
        <v>0</v>
      </c>
      <c r="G43" s="158">
        <f>SUMIF('内訳ﾘｽﾄ(4～3月)'!$D$26:$D$1002,$B43,'内訳ﾘｽﾄ(4～3月)'!J$26:J$1002)</f>
        <v>0</v>
      </c>
      <c r="H43" s="158">
        <f>SUMIF('内訳ﾘｽﾄ(4～3月)'!$D$26:$D$1002,$B43,'内訳ﾘｽﾄ(4～3月)'!K$26:K$1002)</f>
        <v>0</v>
      </c>
      <c r="I43" s="158">
        <f>SUMIF('内訳ﾘｽﾄ(4～3月)'!$D$26:$D$1002,$B43,'内訳ﾘｽﾄ(4～3月)'!L$26:L$1002)</f>
        <v>0</v>
      </c>
      <c r="J43" s="158">
        <f>SUMIF('内訳ﾘｽﾄ(4～3月)'!$D$26:$D$1002,$B43,'内訳ﾘｽﾄ(4～3月)'!M$26:M$1002)</f>
        <v>0</v>
      </c>
      <c r="K43" s="158">
        <f>SUMIF('内訳ﾘｽﾄ(4～3月)'!$D$26:$D$1002,$B43,'内訳ﾘｽﾄ(4～3月)'!N$26:N$1002)</f>
        <v>0</v>
      </c>
      <c r="L43" s="158">
        <f>SUMIF('内訳ﾘｽﾄ(4～3月)'!$D$26:$D$1002,$B43,'内訳ﾘｽﾄ(4～3月)'!O$26:O$1002)</f>
        <v>0</v>
      </c>
      <c r="M43" s="158">
        <f>SUMIF('内訳ﾘｽﾄ(4～3月)'!$D$26:$D$1002,$B43,'内訳ﾘｽﾄ(4～3月)'!P$26:P$1002)</f>
        <v>0</v>
      </c>
      <c r="N43" s="158">
        <f>SUMIF('内訳ﾘｽﾄ(4～3月)'!$D$26:$D$1002,$B43,'内訳ﾘｽﾄ(4～3月)'!Q$26:Q$1002)</f>
        <v>0</v>
      </c>
      <c r="O43" s="158">
        <f>SUMIF('内訳ﾘｽﾄ(4～3月)'!$D$26:$D$801,'採算表(VND)'!$B43,'内訳ﾘｽﾄ(4～3月)'!R$26:R$801)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SUMIF('内訳ﾘｽﾄ(4～3月)'!$D$26:$D$1002,$B44,'内訳ﾘｽﾄ(4～3月)'!F$26:F$1002)</f>
        <v>1809972370</v>
      </c>
      <c r="D44" s="158">
        <f>SUMIF('内訳ﾘｽﾄ(4～3月)'!$D$26:$D$1002,$B44,'内訳ﾘｽﾄ(4～3月)'!G$26:G$1002)</f>
        <v>2998692005</v>
      </c>
      <c r="E44" s="158">
        <f>SUMIF('内訳ﾘｽﾄ(4～3月)'!$D$26:$D$1002,$B44,'内訳ﾘｽﾄ(4～3月)'!H$26:H$1002)</f>
        <v>1094741955</v>
      </c>
      <c r="F44" s="158">
        <f>SUMIF('内訳ﾘｽﾄ(4～3月)'!$D$26:$D$1002,$B44,'内訳ﾘｽﾄ(4～3月)'!I$26:I$1002)</f>
        <v>804148145</v>
      </c>
      <c r="G44" s="158">
        <f>SUMIF('内訳ﾘｽﾄ(4～3月)'!$D$26:$D$1002,$B44,'内訳ﾘｽﾄ(4～3月)'!J$26:J$1002)</f>
        <v>823139610</v>
      </c>
      <c r="H44" s="158">
        <f>SUMIF('内訳ﾘｽﾄ(4～3月)'!$D$26:$D$1002,$B44,'内訳ﾘｽﾄ(4～3月)'!K$26:K$1002)</f>
        <v>1039537895</v>
      </c>
      <c r="I44" s="158">
        <f>SUMIF('内訳ﾘｽﾄ(4～3月)'!$D$26:$D$1002,$B44,'内訳ﾘｽﾄ(4～3月)'!L$26:L$1002)</f>
        <v>861263425</v>
      </c>
      <c r="J44" s="158">
        <f>SUMIF('内訳ﾘｽﾄ(4～3月)'!$D$26:$D$1002,$B44,'内訳ﾘｽﾄ(4～3月)'!M$26:M$1002)</f>
        <v>1083350855</v>
      </c>
      <c r="K44" s="158">
        <f>SUMIF('内訳ﾘｽﾄ(4～3月)'!$D$26:$D$1002,$B44,'内訳ﾘｽﾄ(4～3月)'!N$26:N$1002)</f>
        <v>1150086680</v>
      </c>
      <c r="L44" s="158">
        <f>SUMIF('内訳ﾘｽﾄ(4～3月)'!$D$26:$D$1002,$B44,'内訳ﾘｽﾄ(4～3月)'!O$26:O$1002)</f>
        <v>857510075</v>
      </c>
      <c r="M44" s="158">
        <f>SUMIF('内訳ﾘｽﾄ(4～3月)'!$D$26:$D$1002,$B44,'内訳ﾘｽﾄ(4～3月)'!P$26:P$1002)</f>
        <v>1172258785</v>
      </c>
      <c r="N44" s="158">
        <f>SUMIF('内訳ﾘｽﾄ(4～3月)'!$D$26:$D$1002,$B44,'内訳ﾘｽﾄ(4～3月)'!Q$26:Q$1002)</f>
        <v>1290297620</v>
      </c>
      <c r="O44" s="158">
        <f>SUMIF('内訳ﾘｽﾄ(4～3月)'!$D$26:$D$801,'採算表(VND)'!$B44,'内訳ﾘｽﾄ(4～3月)'!R$26:R$801)</f>
        <v>14984999420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SUMIF('内訳ﾘｽﾄ(4～3月)'!$D$26:$D$1002,$B45,'内訳ﾘｽﾄ(4～3月)'!F$26:F$1002)</f>
        <v>0</v>
      </c>
      <c r="D45" s="158">
        <f>SUMIF('内訳ﾘｽﾄ(4～3月)'!$D$26:$D$1002,$B45,'内訳ﾘｽﾄ(4～3月)'!G$26:G$1002)</f>
        <v>0</v>
      </c>
      <c r="E45" s="158">
        <f>SUMIF('内訳ﾘｽﾄ(4～3月)'!$D$26:$D$1002,$B45,'内訳ﾘｽﾄ(4～3月)'!H$26:H$1002)</f>
        <v>0</v>
      </c>
      <c r="F45" s="158">
        <f>SUMIF('内訳ﾘｽﾄ(4～3月)'!$D$26:$D$1002,$B45,'内訳ﾘｽﾄ(4～3月)'!I$26:I$1002)</f>
        <v>0</v>
      </c>
      <c r="G45" s="158">
        <f>SUMIF('内訳ﾘｽﾄ(4～3月)'!$D$26:$D$1002,$B45,'内訳ﾘｽﾄ(4～3月)'!J$26:J$1002)</f>
        <v>0</v>
      </c>
      <c r="H45" s="158">
        <f>SUMIF('内訳ﾘｽﾄ(4～3月)'!$D$26:$D$1002,$B45,'内訳ﾘｽﾄ(4～3月)'!K$26:K$1002)</f>
        <v>0</v>
      </c>
      <c r="I45" s="158">
        <f>SUMIF('内訳ﾘｽﾄ(4～3月)'!$D$26:$D$1002,$B45,'内訳ﾘｽﾄ(4～3月)'!L$26:L$1002)</f>
        <v>0</v>
      </c>
      <c r="J45" s="158">
        <f>SUMIF('内訳ﾘｽﾄ(4～3月)'!$D$26:$D$1002,$B45,'内訳ﾘｽﾄ(4～3月)'!M$26:M$1002)</f>
        <v>0</v>
      </c>
      <c r="K45" s="158">
        <f>SUMIF('内訳ﾘｽﾄ(4～3月)'!$D$26:$D$1002,$B45,'内訳ﾘｽﾄ(4～3月)'!N$26:N$1002)</f>
        <v>0</v>
      </c>
      <c r="L45" s="158">
        <f>SUMIF('内訳ﾘｽﾄ(4～3月)'!$D$26:$D$1002,$B45,'内訳ﾘｽﾄ(4～3月)'!O$26:O$1002)</f>
        <v>0</v>
      </c>
      <c r="M45" s="158">
        <f>SUMIF('内訳ﾘｽﾄ(4～3月)'!$D$26:$D$1002,$B45,'内訳ﾘｽﾄ(4～3月)'!P$26:P$1002)</f>
        <v>0</v>
      </c>
      <c r="N45" s="158">
        <f>SUMIF('内訳ﾘｽﾄ(4～3月)'!$D$26:$D$1002,$B45,'内訳ﾘｽﾄ(4～3月)'!Q$26:Q$1002)</f>
        <v>0</v>
      </c>
      <c r="O45" s="158">
        <f>SUMIF('内訳ﾘｽﾄ(4～3月)'!$D$26:$D$801,'採算表(VND)'!$B45,'内訳ﾘｽﾄ(4～3月)'!R$26:R$801)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SUMIF('内訳ﾘｽﾄ(4～3月)'!$D$26:$D$1002,$B46,'内訳ﾘｽﾄ(4～3月)'!F$26:F$1002)</f>
        <v>0</v>
      </c>
      <c r="D46" s="158">
        <f>SUMIF('内訳ﾘｽﾄ(4～3月)'!$D$26:$D$1002,$B46,'内訳ﾘｽﾄ(4～3月)'!G$26:G$1002)</f>
        <v>0</v>
      </c>
      <c r="E46" s="158">
        <f>SUMIF('内訳ﾘｽﾄ(4～3月)'!$D$26:$D$1002,$B46,'内訳ﾘｽﾄ(4～3月)'!H$26:H$1002)</f>
        <v>0</v>
      </c>
      <c r="F46" s="158">
        <f>SUMIF('内訳ﾘｽﾄ(4～3月)'!$D$26:$D$1002,$B46,'内訳ﾘｽﾄ(4～3月)'!I$26:I$1002)</f>
        <v>0</v>
      </c>
      <c r="G46" s="158">
        <f>SUMIF('内訳ﾘｽﾄ(4～3月)'!$D$26:$D$1002,$B46,'内訳ﾘｽﾄ(4～3月)'!J$26:J$1002)</f>
        <v>0</v>
      </c>
      <c r="H46" s="158">
        <f>SUMIF('内訳ﾘｽﾄ(4～3月)'!$D$26:$D$1002,$B46,'内訳ﾘｽﾄ(4～3月)'!K$26:K$1002)</f>
        <v>0</v>
      </c>
      <c r="I46" s="158">
        <f>SUMIF('内訳ﾘｽﾄ(4～3月)'!$D$26:$D$1002,$B46,'内訳ﾘｽﾄ(4～3月)'!L$26:L$1002)</f>
        <v>0</v>
      </c>
      <c r="J46" s="158">
        <f>SUMIF('内訳ﾘｽﾄ(4～3月)'!$D$26:$D$1002,$B46,'内訳ﾘｽﾄ(4～3月)'!M$26:M$1002)</f>
        <v>0</v>
      </c>
      <c r="K46" s="158">
        <f>SUMIF('内訳ﾘｽﾄ(4～3月)'!$D$26:$D$1002,$B46,'内訳ﾘｽﾄ(4～3月)'!N$26:N$1002)</f>
        <v>0</v>
      </c>
      <c r="L46" s="158">
        <f>SUMIF('内訳ﾘｽﾄ(4～3月)'!$D$26:$D$1002,$B46,'内訳ﾘｽﾄ(4～3月)'!O$26:O$1002)</f>
        <v>0</v>
      </c>
      <c r="M46" s="158">
        <f>SUMIF('内訳ﾘｽﾄ(4～3月)'!$D$26:$D$1002,$B46,'内訳ﾘｽﾄ(4～3月)'!P$26:P$1002)</f>
        <v>0</v>
      </c>
      <c r="N46" s="158">
        <f>SUMIF('内訳ﾘｽﾄ(4～3月)'!$D$26:$D$1002,$B46,'内訳ﾘｽﾄ(4～3月)'!Q$26:Q$1002)</f>
        <v>0</v>
      </c>
      <c r="O46" s="158">
        <f>SUMIF('内訳ﾘｽﾄ(4～3月)'!$D$26:$D$801,'採算表(VND)'!$B46,'内訳ﾘｽﾄ(4～3月)'!R$26:R$801)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SUMIF('内訳ﾘｽﾄ(4～3月)'!$D$26:$D$1002,$B47,'内訳ﾘｽﾄ(4～3月)'!F$26:F$1002)</f>
        <v>0</v>
      </c>
      <c r="D47" s="158">
        <f>SUMIF('内訳ﾘｽﾄ(4～3月)'!$D$26:$D$1002,$B47,'内訳ﾘｽﾄ(4～3月)'!G$26:G$1002)</f>
        <v>0</v>
      </c>
      <c r="E47" s="158">
        <f>SUMIF('内訳ﾘｽﾄ(4～3月)'!$D$26:$D$1002,$B47,'内訳ﾘｽﾄ(4～3月)'!H$26:H$1002)</f>
        <v>0</v>
      </c>
      <c r="F47" s="158">
        <f>SUMIF('内訳ﾘｽﾄ(4～3月)'!$D$26:$D$1002,$B47,'内訳ﾘｽﾄ(4～3月)'!I$26:I$1002)</f>
        <v>0</v>
      </c>
      <c r="G47" s="158">
        <f>SUMIF('内訳ﾘｽﾄ(4～3月)'!$D$26:$D$1002,$B47,'内訳ﾘｽﾄ(4～3月)'!J$26:J$1002)</f>
        <v>0</v>
      </c>
      <c r="H47" s="158">
        <f>SUMIF('内訳ﾘｽﾄ(4～3月)'!$D$26:$D$1002,$B47,'内訳ﾘｽﾄ(4～3月)'!K$26:K$1002)</f>
        <v>0</v>
      </c>
      <c r="I47" s="158">
        <f>SUMIF('内訳ﾘｽﾄ(4～3月)'!$D$26:$D$1002,$B47,'内訳ﾘｽﾄ(4～3月)'!L$26:L$1002)</f>
        <v>0</v>
      </c>
      <c r="J47" s="158">
        <f>SUMIF('内訳ﾘｽﾄ(4～3月)'!$D$26:$D$1002,$B47,'内訳ﾘｽﾄ(4～3月)'!M$26:M$1002)</f>
        <v>0</v>
      </c>
      <c r="K47" s="158">
        <f>SUMIF('内訳ﾘｽﾄ(4～3月)'!$D$26:$D$1002,$B47,'内訳ﾘｽﾄ(4～3月)'!N$26:N$1002)</f>
        <v>0</v>
      </c>
      <c r="L47" s="158">
        <f>SUMIF('内訳ﾘｽﾄ(4～3月)'!$D$26:$D$1002,$B47,'内訳ﾘｽﾄ(4～3月)'!O$26:O$1002)</f>
        <v>0</v>
      </c>
      <c r="M47" s="158">
        <f>SUMIF('内訳ﾘｽﾄ(4～3月)'!$D$26:$D$1002,$B47,'内訳ﾘｽﾄ(4～3月)'!P$26:P$1002)</f>
        <v>0</v>
      </c>
      <c r="N47" s="158">
        <f>SUMIF('内訳ﾘｽﾄ(4～3月)'!$D$26:$D$1002,$B47,'内訳ﾘｽﾄ(4～3月)'!Q$26:Q$1002)</f>
        <v>0</v>
      </c>
      <c r="O47" s="158">
        <f>SUMIF('内訳ﾘｽﾄ(4～3月)'!$D$26:$D$801,'採算表(VND)'!$B47,'内訳ﾘｽﾄ(4～3月)'!R$26:R$801)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SUMIF('内訳ﾘｽﾄ(4～3月)'!$D$26:$D$1002,$B48,'内訳ﾘｽﾄ(4～3月)'!F$26:F$1002)</f>
        <v>0</v>
      </c>
      <c r="D48" s="158">
        <f>SUMIF('内訳ﾘｽﾄ(4～3月)'!$D$26:$D$1002,$B48,'内訳ﾘｽﾄ(4～3月)'!G$26:G$1002)</f>
        <v>0</v>
      </c>
      <c r="E48" s="158">
        <f>SUMIF('内訳ﾘｽﾄ(4～3月)'!$D$26:$D$1002,$B48,'内訳ﾘｽﾄ(4～3月)'!H$26:H$1002)</f>
        <v>0</v>
      </c>
      <c r="F48" s="158">
        <f>SUMIF('内訳ﾘｽﾄ(4～3月)'!$D$26:$D$1002,$B48,'内訳ﾘｽﾄ(4～3月)'!I$26:I$1002)</f>
        <v>0</v>
      </c>
      <c r="G48" s="158">
        <f>SUMIF('内訳ﾘｽﾄ(4～3月)'!$D$26:$D$1002,$B48,'内訳ﾘｽﾄ(4～3月)'!J$26:J$1002)</f>
        <v>0</v>
      </c>
      <c r="H48" s="158">
        <f>SUMIF('内訳ﾘｽﾄ(4～3月)'!$D$26:$D$1002,$B48,'内訳ﾘｽﾄ(4～3月)'!K$26:K$1002)</f>
        <v>0</v>
      </c>
      <c r="I48" s="158">
        <f>SUMIF('内訳ﾘｽﾄ(4～3月)'!$D$26:$D$1002,$B48,'内訳ﾘｽﾄ(4～3月)'!L$26:L$1002)</f>
        <v>0</v>
      </c>
      <c r="J48" s="158">
        <f>SUMIF('内訳ﾘｽﾄ(4～3月)'!$D$26:$D$1002,$B48,'内訳ﾘｽﾄ(4～3月)'!M$26:M$1002)</f>
        <v>0</v>
      </c>
      <c r="K48" s="158">
        <f>SUMIF('内訳ﾘｽﾄ(4～3月)'!$D$26:$D$1002,$B48,'内訳ﾘｽﾄ(4～3月)'!N$26:N$1002)</f>
        <v>0</v>
      </c>
      <c r="L48" s="158">
        <f>SUMIF('内訳ﾘｽﾄ(4～3月)'!$D$26:$D$1002,$B48,'内訳ﾘｽﾄ(4～3月)'!O$26:O$1002)</f>
        <v>0</v>
      </c>
      <c r="M48" s="158">
        <f>SUMIF('内訳ﾘｽﾄ(4～3月)'!$D$26:$D$1002,$B48,'内訳ﾘｽﾄ(4～3月)'!P$26:P$1002)</f>
        <v>0</v>
      </c>
      <c r="N48" s="158">
        <f>SUMIF('内訳ﾘｽﾄ(4～3月)'!$D$26:$D$1002,$B48,'内訳ﾘｽﾄ(4～3月)'!Q$26:Q$1002)</f>
        <v>0</v>
      </c>
      <c r="O48" s="158">
        <f>SUMIF('内訳ﾘｽﾄ(4～3月)'!$D$26:$D$801,'採算表(VND)'!$B48,'内訳ﾘｽﾄ(4～3月)'!R$26:R$801)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SUMIF('内訳ﾘｽﾄ(4～3月)'!$D$26:$D$1002,$B49,'内訳ﾘｽﾄ(4～3月)'!F$26:F$1002)</f>
        <v>0</v>
      </c>
      <c r="D49" s="158">
        <f>SUMIF('内訳ﾘｽﾄ(4～3月)'!$D$26:$D$1002,$B49,'内訳ﾘｽﾄ(4～3月)'!G$26:G$1002)</f>
        <v>0</v>
      </c>
      <c r="E49" s="158">
        <f>SUMIF('内訳ﾘｽﾄ(4～3月)'!$D$26:$D$1002,$B49,'内訳ﾘｽﾄ(4～3月)'!H$26:H$1002)</f>
        <v>0</v>
      </c>
      <c r="F49" s="158">
        <f>SUMIF('内訳ﾘｽﾄ(4～3月)'!$D$26:$D$1002,$B49,'内訳ﾘｽﾄ(4～3月)'!I$26:I$1002)</f>
        <v>0</v>
      </c>
      <c r="G49" s="158">
        <f>SUMIF('内訳ﾘｽﾄ(4～3月)'!$D$26:$D$1002,$B49,'内訳ﾘｽﾄ(4～3月)'!J$26:J$1002)</f>
        <v>0</v>
      </c>
      <c r="H49" s="158">
        <f>SUMIF('内訳ﾘｽﾄ(4～3月)'!$D$26:$D$1002,$B49,'内訳ﾘｽﾄ(4～3月)'!K$26:K$1002)</f>
        <v>0</v>
      </c>
      <c r="I49" s="158">
        <f>SUMIF('内訳ﾘｽﾄ(4～3月)'!$D$26:$D$1002,$B49,'内訳ﾘｽﾄ(4～3月)'!L$26:L$1002)</f>
        <v>0</v>
      </c>
      <c r="J49" s="158">
        <f>SUMIF('内訳ﾘｽﾄ(4～3月)'!$D$26:$D$1002,$B49,'内訳ﾘｽﾄ(4～3月)'!M$26:M$1002)</f>
        <v>0</v>
      </c>
      <c r="K49" s="158">
        <f>SUMIF('内訳ﾘｽﾄ(4～3月)'!$D$26:$D$1002,$B49,'内訳ﾘｽﾄ(4～3月)'!N$26:N$1002)</f>
        <v>0</v>
      </c>
      <c r="L49" s="158">
        <f>SUMIF('内訳ﾘｽﾄ(4～3月)'!$D$26:$D$1002,$B49,'内訳ﾘｽﾄ(4～3月)'!O$26:O$1002)</f>
        <v>0</v>
      </c>
      <c r="M49" s="158">
        <f>SUMIF('内訳ﾘｽﾄ(4～3月)'!$D$26:$D$1002,$B49,'内訳ﾘｽﾄ(4～3月)'!P$26:P$1002)</f>
        <v>0</v>
      </c>
      <c r="N49" s="158">
        <f>SUMIF('内訳ﾘｽﾄ(4～3月)'!$D$26:$D$1002,$B49,'内訳ﾘｽﾄ(4～3月)'!Q$26:Q$1002)</f>
        <v>0</v>
      </c>
      <c r="O49" s="158">
        <f>SUMIF('内訳ﾘｽﾄ(4～3月)'!$D$26:$D$801,'採算表(VND)'!$B49,'内訳ﾘｽﾄ(4～3月)'!R$26:R$801)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SUMIF('内訳ﾘｽﾄ(4～3月)'!$D$26:$D$1002,$B50,'内訳ﾘｽﾄ(4～3月)'!F$26:F$1002)</f>
        <v>35546000</v>
      </c>
      <c r="D50" s="158">
        <f>SUMIF('内訳ﾘｽﾄ(4～3月)'!$D$26:$D$1002,$B50,'内訳ﾘｽﾄ(4～3月)'!G$26:G$1002)</f>
        <v>35546000</v>
      </c>
      <c r="E50" s="158">
        <f>SUMIF('内訳ﾘｽﾄ(4～3月)'!$D$26:$D$1002,$B50,'内訳ﾘｽﾄ(4～3月)'!H$26:H$1002)</f>
        <v>35546000</v>
      </c>
      <c r="F50" s="158">
        <f>SUMIF('内訳ﾘｽﾄ(4～3月)'!$D$26:$D$1002,$B50,'内訳ﾘｽﾄ(4～3月)'!I$26:I$1002)</f>
        <v>35546000</v>
      </c>
      <c r="G50" s="158">
        <f>SUMIF('内訳ﾘｽﾄ(4～3月)'!$D$26:$D$1002,$B50,'内訳ﾘｽﾄ(4～3月)'!J$26:J$1002)</f>
        <v>219893904</v>
      </c>
      <c r="H50" s="158">
        <f>SUMIF('内訳ﾘｽﾄ(4～3月)'!$D$26:$D$1002,$B50,'内訳ﾘｽﾄ(4～3月)'!K$26:K$1002)</f>
        <v>7617000</v>
      </c>
      <c r="I50" s="158">
        <f>SUMIF('内訳ﾘｽﾄ(4～3月)'!$D$26:$D$1002,$B50,'内訳ﾘｽﾄ(4～3月)'!L$26:L$1002)</f>
        <v>30594950</v>
      </c>
      <c r="J50" s="158">
        <f>SUMIF('内訳ﾘｽﾄ(4～3月)'!$D$26:$D$1002,$B50,'内訳ﾘｽﾄ(4～3月)'!M$26:M$1002)</f>
        <v>35546000</v>
      </c>
      <c r="K50" s="158">
        <f>SUMIF('内訳ﾘｽﾄ(4～3月)'!$D$26:$D$1002,$B50,'内訳ﾘｽﾄ(4～3月)'!N$26:N$1002)</f>
        <v>35546000</v>
      </c>
      <c r="L50" s="158">
        <f>SUMIF('内訳ﾘｽﾄ(4～3月)'!$D$26:$D$1002,$B50,'内訳ﾘｽﾄ(4～3月)'!O$26:O$1002)</f>
        <v>35546000</v>
      </c>
      <c r="M50" s="158">
        <f>SUMIF('内訳ﾘｽﾄ(4～3月)'!$D$26:$D$1002,$B50,'内訳ﾘｽﾄ(4～3月)'!P$26:P$1002)</f>
        <v>194503904</v>
      </c>
      <c r="N50" s="158">
        <f>SUMIF('内訳ﾘｽﾄ(4～3月)'!$D$26:$D$1002,$B50,'内訳ﾘｽﾄ(4～3月)'!Q$26:Q$1002)</f>
        <v>7617000</v>
      </c>
      <c r="O50" s="158">
        <f>SUMIF('内訳ﾘｽﾄ(4～3月)'!$D$26:$D$801,'採算表(VND)'!$B50,'内訳ﾘｽﾄ(4～3月)'!R$26:R$801)</f>
        <v>709048758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SUMIF('内訳ﾘｽﾄ(4～3月)'!$D$26:$D$1002,$B51,'内訳ﾘｽﾄ(4～3月)'!F$26:F$1002)</f>
        <v>325660595</v>
      </c>
      <c r="D51" s="159">
        <f>SUMIF('内訳ﾘｽﾄ(4～3月)'!$D$26:$D$1002,$B51,'内訳ﾘｽﾄ(4～3月)'!G$26:G$1002)</f>
        <v>325660595</v>
      </c>
      <c r="E51" s="159">
        <f>SUMIF('内訳ﾘｽﾄ(4～3月)'!$D$26:$D$1002,$B51,'内訳ﾘｽﾄ(4～3月)'!H$26:H$1002)</f>
        <v>325660595</v>
      </c>
      <c r="F51" s="159">
        <f>SUMIF('内訳ﾘｽﾄ(4～3月)'!$D$26:$D$1002,$B51,'内訳ﾘｽﾄ(4～3月)'!I$26:I$1002)</f>
        <v>452610595</v>
      </c>
      <c r="G51" s="159">
        <f>SUMIF('内訳ﾘｽﾄ(4～3月)'!$D$26:$D$1002,$B51,'内訳ﾘｽﾄ(4～3月)'!J$26:J$1002)</f>
        <v>452610595</v>
      </c>
      <c r="H51" s="159">
        <f>SUMIF('内訳ﾘｽﾄ(4～3月)'!$D$26:$D$1002,$B51,'内訳ﾘｽﾄ(4～3月)'!K$26:K$1002)</f>
        <v>452610595</v>
      </c>
      <c r="I51" s="159">
        <f>SUMIF('内訳ﾘｽﾄ(4～3月)'!$D$26:$D$1002,$B51,'内訳ﾘｽﾄ(4～3月)'!L$26:L$1002)</f>
        <v>325660595</v>
      </c>
      <c r="J51" s="159">
        <f>SUMIF('内訳ﾘｽﾄ(4～3月)'!$D$26:$D$1002,$B51,'内訳ﾘｽﾄ(4～3月)'!M$26:M$1002)</f>
        <v>325660595</v>
      </c>
      <c r="K51" s="159">
        <f>SUMIF('内訳ﾘｽﾄ(4～3月)'!$D$26:$D$1002,$B51,'内訳ﾘｽﾄ(4～3月)'!N$26:N$1002)</f>
        <v>325660595</v>
      </c>
      <c r="L51" s="159">
        <f>SUMIF('内訳ﾘｽﾄ(4～3月)'!$D$26:$D$1002,$B51,'内訳ﾘｽﾄ(4～3月)'!O$26:O$1002)</f>
        <v>452610595</v>
      </c>
      <c r="M51" s="159">
        <f>SUMIF('内訳ﾘｽﾄ(4～3月)'!$D$26:$D$1002,$B51,'内訳ﾘｽﾄ(4～3月)'!P$26:P$1002)</f>
        <v>325660595</v>
      </c>
      <c r="N51" s="159">
        <f>SUMIF('内訳ﾘｽﾄ(4～3月)'!$D$26:$D$1002,$B51,'内訳ﾘｽﾄ(4～3月)'!Q$26:Q$1002)</f>
        <v>325660595</v>
      </c>
      <c r="O51" s="159">
        <f>SUMIF('内訳ﾘｽﾄ(4～3月)'!$D$26:$D$801,'採算表(VND)'!$B51,'内訳ﾘｽﾄ(4～3月)'!R$26:R$801)</f>
        <v>4415727140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SUMIF('内訳ﾘｽﾄ(4～3月)'!$D$26:$D$1002,$B52,'内訳ﾘｽﾄ(4～3月)'!F$26:F$1002)</f>
        <v>0</v>
      </c>
      <c r="D52" s="160">
        <f>SUMIF('内訳ﾘｽﾄ(4～3月)'!$D$26:$D$1002,$B52,'内訳ﾘｽﾄ(4～3月)'!G$26:G$1002)</f>
        <v>0</v>
      </c>
      <c r="E52" s="160">
        <f>SUMIF('内訳ﾘｽﾄ(4～3月)'!$D$26:$D$1002,$B52,'内訳ﾘｽﾄ(4～3月)'!H$26:H$1002)</f>
        <v>0</v>
      </c>
      <c r="F52" s="160">
        <f>SUMIF('内訳ﾘｽﾄ(4～3月)'!$D$26:$D$1002,$B52,'内訳ﾘｽﾄ(4～3月)'!I$26:I$1002)</f>
        <v>0</v>
      </c>
      <c r="G52" s="160">
        <f>SUMIF('内訳ﾘｽﾄ(4～3月)'!$D$26:$D$1002,$B52,'内訳ﾘｽﾄ(4～3月)'!J$26:J$1002)</f>
        <v>0</v>
      </c>
      <c r="H52" s="160">
        <f>SUMIF('内訳ﾘｽﾄ(4～3月)'!$D$26:$D$1002,$B52,'内訳ﾘｽﾄ(4～3月)'!K$26:K$1002)</f>
        <v>0</v>
      </c>
      <c r="I52" s="160">
        <f>SUMIF('内訳ﾘｽﾄ(4～3月)'!$D$26:$D$1002,$B52,'内訳ﾘｽﾄ(4～3月)'!L$26:L$1002)</f>
        <v>0</v>
      </c>
      <c r="J52" s="160">
        <f>SUMIF('内訳ﾘｽﾄ(4～3月)'!$D$26:$D$1002,$B52,'内訳ﾘｽﾄ(4～3月)'!M$26:M$1002)</f>
        <v>0</v>
      </c>
      <c r="K52" s="160">
        <f>SUMIF('内訳ﾘｽﾄ(4～3月)'!$D$26:$D$1002,$B52,'内訳ﾘｽﾄ(4～3月)'!N$26:N$1002)</f>
        <v>0</v>
      </c>
      <c r="L52" s="160">
        <f>SUMIF('内訳ﾘｽﾄ(4～3月)'!$D$26:$D$1002,$B52,'内訳ﾘｽﾄ(4～3月)'!O$26:O$1002)</f>
        <v>0</v>
      </c>
      <c r="M52" s="160">
        <f>SUMIF('内訳ﾘｽﾄ(4～3月)'!$D$26:$D$1002,$B52,'内訳ﾘｽﾄ(4～3月)'!P$26:P$1002)</f>
        <v>0</v>
      </c>
      <c r="N52" s="160">
        <f>SUMIF('内訳ﾘｽﾄ(4～3月)'!$D$26:$D$1002,$B52,'内訳ﾘｽﾄ(4～3月)'!Q$26:Q$1002)</f>
        <v>0</v>
      </c>
      <c r="O52" s="160">
        <f>SUMIF('内訳ﾘｽﾄ(4～3月)'!$D$26:$D$801,'採算表(VND)'!$B52,'内訳ﾘｽﾄ(4～3月)'!R$26:R$801)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SUMIF('内訳ﾘｽﾄ(4～3月)'!$D$26:$D$1002,$B53,'内訳ﾘｽﾄ(4～3月)'!F$26:F$1002)</f>
        <v>0</v>
      </c>
      <c r="D53" s="160">
        <f>SUMIF('内訳ﾘｽﾄ(4～3月)'!$D$26:$D$1002,$B53,'内訳ﾘｽﾄ(4～3月)'!G$26:G$1002)</f>
        <v>0</v>
      </c>
      <c r="E53" s="160">
        <f>SUMIF('内訳ﾘｽﾄ(4～3月)'!$D$26:$D$1002,$B53,'内訳ﾘｽﾄ(4～3月)'!H$26:H$1002)</f>
        <v>0</v>
      </c>
      <c r="F53" s="160">
        <f>SUMIF('内訳ﾘｽﾄ(4～3月)'!$D$26:$D$1002,$B53,'内訳ﾘｽﾄ(4～3月)'!I$26:I$1002)</f>
        <v>0</v>
      </c>
      <c r="G53" s="160">
        <f>SUMIF('内訳ﾘｽﾄ(4～3月)'!$D$26:$D$1002,$B53,'内訳ﾘｽﾄ(4～3月)'!J$26:J$1002)</f>
        <v>0</v>
      </c>
      <c r="H53" s="160">
        <f>SUMIF('内訳ﾘｽﾄ(4～3月)'!$D$26:$D$1002,$B53,'内訳ﾘｽﾄ(4～3月)'!K$26:K$1002)</f>
        <v>0</v>
      </c>
      <c r="I53" s="160">
        <f>SUMIF('内訳ﾘｽﾄ(4～3月)'!$D$26:$D$1002,$B53,'内訳ﾘｽﾄ(4～3月)'!L$26:L$1002)</f>
        <v>0</v>
      </c>
      <c r="J53" s="160">
        <f>SUMIF('内訳ﾘｽﾄ(4～3月)'!$D$26:$D$1002,$B53,'内訳ﾘｽﾄ(4～3月)'!M$26:M$1002)</f>
        <v>0</v>
      </c>
      <c r="K53" s="160">
        <f>SUMIF('内訳ﾘｽﾄ(4～3月)'!$D$26:$D$1002,$B53,'内訳ﾘｽﾄ(4～3月)'!N$26:N$1002)</f>
        <v>0</v>
      </c>
      <c r="L53" s="160">
        <f>SUMIF('内訳ﾘｽﾄ(4～3月)'!$D$26:$D$1002,$B53,'内訳ﾘｽﾄ(4～3月)'!O$26:O$1002)</f>
        <v>0</v>
      </c>
      <c r="M53" s="160">
        <f>SUMIF('内訳ﾘｽﾄ(4～3月)'!$D$26:$D$1002,$B53,'内訳ﾘｽﾄ(4～3月)'!P$26:P$1002)</f>
        <v>0</v>
      </c>
      <c r="N53" s="160">
        <f>SUMIF('内訳ﾘｽﾄ(4～3月)'!$D$26:$D$1002,$B53,'内訳ﾘｽﾄ(4～3月)'!Q$26:Q$1002)</f>
        <v>0</v>
      </c>
      <c r="O53" s="160">
        <f>SUMIF('内訳ﾘｽﾄ(4～3月)'!$D$26:$D$801,'採算表(VND)'!$B53,'内訳ﾘｽﾄ(4～3月)'!R$26:R$801)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SUMIF('内訳ﾘｽﾄ(4～3月)'!$D$26:$D$1002,$B54,'内訳ﾘｽﾄ(4～3月)'!F$26:F$1002)</f>
        <v>0</v>
      </c>
      <c r="D54" s="160">
        <f>SUMIF('内訳ﾘｽﾄ(4～3月)'!$D$26:$D$1002,$B54,'内訳ﾘｽﾄ(4～3月)'!G$26:G$1002)</f>
        <v>0</v>
      </c>
      <c r="E54" s="160">
        <f>SUMIF('内訳ﾘｽﾄ(4～3月)'!$D$26:$D$1002,$B54,'内訳ﾘｽﾄ(4～3月)'!H$26:H$1002)</f>
        <v>0</v>
      </c>
      <c r="F54" s="160">
        <f>SUMIF('内訳ﾘｽﾄ(4～3月)'!$D$26:$D$1002,$B54,'内訳ﾘｽﾄ(4～3月)'!I$26:I$1002)</f>
        <v>0</v>
      </c>
      <c r="G54" s="160">
        <f>SUMIF('内訳ﾘｽﾄ(4～3月)'!$D$26:$D$1002,$B54,'内訳ﾘｽﾄ(4～3月)'!J$26:J$1002)</f>
        <v>0</v>
      </c>
      <c r="H54" s="160">
        <f>SUMIF('内訳ﾘｽﾄ(4～3月)'!$D$26:$D$1002,$B54,'内訳ﾘｽﾄ(4～3月)'!K$26:K$1002)</f>
        <v>0</v>
      </c>
      <c r="I54" s="160">
        <f>SUMIF('内訳ﾘｽﾄ(4～3月)'!$D$26:$D$1002,$B54,'内訳ﾘｽﾄ(4～3月)'!L$26:L$1002)</f>
        <v>0</v>
      </c>
      <c r="J54" s="160">
        <f>SUMIF('内訳ﾘｽﾄ(4～3月)'!$D$26:$D$1002,$B54,'内訳ﾘｽﾄ(4～3月)'!M$26:M$1002)</f>
        <v>0</v>
      </c>
      <c r="K54" s="160">
        <f>SUMIF('内訳ﾘｽﾄ(4～3月)'!$D$26:$D$1002,$B54,'内訳ﾘｽﾄ(4～3月)'!N$26:N$1002)</f>
        <v>0</v>
      </c>
      <c r="L54" s="160">
        <f>SUMIF('内訳ﾘｽﾄ(4～3月)'!$D$26:$D$1002,$B54,'内訳ﾘｽﾄ(4～3月)'!O$26:O$1002)</f>
        <v>0</v>
      </c>
      <c r="M54" s="160">
        <f>SUMIF('内訳ﾘｽﾄ(4～3月)'!$D$26:$D$1002,$B54,'内訳ﾘｽﾄ(4～3月)'!P$26:P$1002)</f>
        <v>0</v>
      </c>
      <c r="N54" s="160">
        <f>SUMIF('内訳ﾘｽﾄ(4～3月)'!$D$26:$D$1002,$B54,'内訳ﾘｽﾄ(4～3月)'!Q$26:Q$1002)</f>
        <v>0</v>
      </c>
      <c r="O54" s="160">
        <f>SUMIF('内訳ﾘｽﾄ(4～3月)'!$D$26:$D$801,'採算表(VND)'!$B54,'内訳ﾘｽﾄ(4～3月)'!R$26:R$801)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SUMIF('内訳ﾘｽﾄ(4～3月)'!$D$26:$D$1002,$B55,'内訳ﾘｽﾄ(4～3月)'!F$26:F$1002)</f>
        <v>0</v>
      </c>
      <c r="D55" s="160">
        <f>SUMIF('内訳ﾘｽﾄ(4～3月)'!$D$26:$D$1002,$B55,'内訳ﾘｽﾄ(4～3月)'!G$26:G$1002)</f>
        <v>0</v>
      </c>
      <c r="E55" s="160">
        <f>SUMIF('内訳ﾘｽﾄ(4～3月)'!$D$26:$D$1002,$B55,'内訳ﾘｽﾄ(4～3月)'!H$26:H$1002)</f>
        <v>0</v>
      </c>
      <c r="F55" s="160">
        <f>SUMIF('内訳ﾘｽﾄ(4～3月)'!$D$26:$D$1002,$B55,'内訳ﾘｽﾄ(4～3月)'!I$26:I$1002)</f>
        <v>0</v>
      </c>
      <c r="G55" s="160">
        <f>SUMIF('内訳ﾘｽﾄ(4～3月)'!$D$26:$D$1002,$B55,'内訳ﾘｽﾄ(4～3月)'!J$26:J$1002)</f>
        <v>0</v>
      </c>
      <c r="H55" s="160">
        <f>SUMIF('内訳ﾘｽﾄ(4～3月)'!$D$26:$D$1002,$B55,'内訳ﾘｽﾄ(4～3月)'!K$26:K$1002)</f>
        <v>0</v>
      </c>
      <c r="I55" s="160">
        <f>SUMIF('内訳ﾘｽﾄ(4～3月)'!$D$26:$D$1002,$B55,'内訳ﾘｽﾄ(4～3月)'!L$26:L$1002)</f>
        <v>0</v>
      </c>
      <c r="J55" s="160">
        <f>SUMIF('内訳ﾘｽﾄ(4～3月)'!$D$26:$D$1002,$B55,'内訳ﾘｽﾄ(4～3月)'!M$26:M$1002)</f>
        <v>0</v>
      </c>
      <c r="K55" s="160">
        <f>SUMIF('内訳ﾘｽﾄ(4～3月)'!$D$26:$D$1002,$B55,'内訳ﾘｽﾄ(4～3月)'!N$26:N$1002)</f>
        <v>0</v>
      </c>
      <c r="L55" s="160">
        <f>SUMIF('内訳ﾘｽﾄ(4～3月)'!$D$26:$D$1002,$B55,'内訳ﾘｽﾄ(4～3月)'!O$26:O$1002)</f>
        <v>0</v>
      </c>
      <c r="M55" s="160">
        <f>SUMIF('内訳ﾘｽﾄ(4～3月)'!$D$26:$D$1002,$B55,'内訳ﾘｽﾄ(4～3月)'!P$26:P$1002)</f>
        <v>0</v>
      </c>
      <c r="N55" s="160">
        <f>SUMIF('内訳ﾘｽﾄ(4～3月)'!$D$26:$D$1002,$B55,'内訳ﾘｽﾄ(4～3月)'!Q$26:Q$1002)</f>
        <v>0</v>
      </c>
      <c r="O55" s="160">
        <f>SUMIF('内訳ﾘｽﾄ(4～3月)'!$D$26:$D$801,'採算表(VND)'!$B55,'内訳ﾘｽﾄ(4～3月)'!R$26:R$801)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SUMIF('内訳ﾘｽﾄ(4～3月)'!$D$26:$D$1002,$B56,'内訳ﾘｽﾄ(4～3月)'!F$26:F$1002)</f>
        <v>0</v>
      </c>
      <c r="D56" s="160">
        <f>SUMIF('内訳ﾘｽﾄ(4～3月)'!$D$26:$D$1002,$B56,'内訳ﾘｽﾄ(4～3月)'!G$26:G$1002)</f>
        <v>0</v>
      </c>
      <c r="E56" s="160">
        <f>SUMIF('内訳ﾘｽﾄ(4～3月)'!$D$26:$D$1002,$B56,'内訳ﾘｽﾄ(4～3月)'!H$26:H$1002)</f>
        <v>0</v>
      </c>
      <c r="F56" s="160">
        <f>SUMIF('内訳ﾘｽﾄ(4～3月)'!$D$26:$D$1002,$B56,'内訳ﾘｽﾄ(4～3月)'!I$26:I$1002)</f>
        <v>0</v>
      </c>
      <c r="G56" s="160">
        <f>SUMIF('内訳ﾘｽﾄ(4～3月)'!$D$26:$D$1002,$B56,'内訳ﾘｽﾄ(4～3月)'!J$26:J$1002)</f>
        <v>0</v>
      </c>
      <c r="H56" s="160">
        <f>SUMIF('内訳ﾘｽﾄ(4～3月)'!$D$26:$D$1002,$B56,'内訳ﾘｽﾄ(4～3月)'!K$26:K$1002)</f>
        <v>0</v>
      </c>
      <c r="I56" s="160">
        <f>SUMIF('内訳ﾘｽﾄ(4～3月)'!$D$26:$D$1002,$B56,'内訳ﾘｽﾄ(4～3月)'!L$26:L$1002)</f>
        <v>0</v>
      </c>
      <c r="J56" s="160">
        <f>SUMIF('内訳ﾘｽﾄ(4～3月)'!$D$26:$D$1002,$B56,'内訳ﾘｽﾄ(4～3月)'!M$26:M$1002)</f>
        <v>0</v>
      </c>
      <c r="K56" s="160">
        <f>SUMIF('内訳ﾘｽﾄ(4～3月)'!$D$26:$D$1002,$B56,'内訳ﾘｽﾄ(4～3月)'!N$26:N$1002)</f>
        <v>0</v>
      </c>
      <c r="L56" s="160">
        <f>SUMIF('内訳ﾘｽﾄ(4～3月)'!$D$26:$D$1002,$B56,'内訳ﾘｽﾄ(4～3月)'!O$26:O$1002)</f>
        <v>0</v>
      </c>
      <c r="M56" s="160">
        <f>SUMIF('内訳ﾘｽﾄ(4～3月)'!$D$26:$D$1002,$B56,'内訳ﾘｽﾄ(4～3月)'!P$26:P$1002)</f>
        <v>0</v>
      </c>
      <c r="N56" s="160">
        <f>SUMIF('内訳ﾘｽﾄ(4～3月)'!$D$26:$D$1002,$B56,'内訳ﾘｽﾄ(4～3月)'!Q$26:Q$1002)</f>
        <v>0</v>
      </c>
      <c r="O56" s="160">
        <f>SUMIF('内訳ﾘｽﾄ(4～3月)'!$D$26:$D$801,'採算表(VND)'!$B56,'内訳ﾘｽﾄ(4～3月)'!R$26:R$801)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SUMIF('内訳ﾘｽﾄ(4～3月)'!$D$26:$D$1002,$B57,'内訳ﾘｽﾄ(4～3月)'!F$26:F$1002)</f>
        <v>914836491</v>
      </c>
      <c r="D57" s="160">
        <f>SUMIF('内訳ﾘｽﾄ(4～3月)'!$D$26:$D$1002,$B57,'内訳ﾘｽﾄ(4～3月)'!G$26:G$1002)</f>
        <v>584634919</v>
      </c>
      <c r="E57" s="160">
        <f>SUMIF('内訳ﾘｽﾄ(4～3月)'!$D$26:$D$1002,$B57,'内訳ﾘｽﾄ(4～3月)'!H$26:H$1002)</f>
        <v>585832007</v>
      </c>
      <c r="F57" s="160">
        <f>SUMIF('内訳ﾘｽﾄ(4～3月)'!$D$26:$D$1002,$B57,'内訳ﾘｽﾄ(4～3月)'!I$26:I$1002)</f>
        <v>575147084</v>
      </c>
      <c r="G57" s="160">
        <f>SUMIF('内訳ﾘｽﾄ(4～3月)'!$D$26:$D$1002,$B57,'内訳ﾘｽﾄ(4～3月)'!J$26:J$1002)</f>
        <v>554285339</v>
      </c>
      <c r="H57" s="160">
        <f>SUMIF('内訳ﾘｽﾄ(4～3月)'!$D$26:$D$1002,$B57,'内訳ﾘｽﾄ(4～3月)'!K$26:K$1002)</f>
        <v>553239118</v>
      </c>
      <c r="I57" s="160">
        <f>SUMIF('内訳ﾘｽﾄ(4～3月)'!$D$26:$D$1002,$B57,'内訳ﾘｽﾄ(4～3月)'!L$26:L$1002)</f>
        <v>560728254</v>
      </c>
      <c r="J57" s="160">
        <f>SUMIF('内訳ﾘｽﾄ(4～3月)'!$D$26:$D$1002,$B57,'内訳ﾘｽﾄ(4～3月)'!M$26:M$1002)</f>
        <v>567257597</v>
      </c>
      <c r="K57" s="160">
        <f>SUMIF('内訳ﾘｽﾄ(4～3月)'!$D$26:$D$1002,$B57,'内訳ﾘｽﾄ(4～3月)'!N$26:N$1002)</f>
        <v>567007962</v>
      </c>
      <c r="L57" s="160">
        <f>SUMIF('内訳ﾘｽﾄ(4～3月)'!$D$26:$D$1002,$B57,'内訳ﾘｽﾄ(4～3月)'!O$26:O$1002)</f>
        <v>566477008</v>
      </c>
      <c r="M57" s="160">
        <f>SUMIF('内訳ﾘｽﾄ(4～3月)'!$D$26:$D$1002,$B57,'内訳ﾘｽﾄ(4～3月)'!P$26:P$1002)</f>
        <v>564328963</v>
      </c>
      <c r="N57" s="160">
        <f>SUMIF('内訳ﾘｽﾄ(4～3月)'!$D$26:$D$1002,$B57,'内訳ﾘｽﾄ(4～3月)'!Q$26:Q$1002)</f>
        <v>559702854</v>
      </c>
      <c r="O57" s="160">
        <f>SUMIF('内訳ﾘｽﾄ(4～3月)'!$D$26:$D$801,'採算表(VND)'!$B57,'内訳ﾘｽﾄ(4～3月)'!R$26:R$801)</f>
        <v>7153477596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SUMIF('内訳ﾘｽﾄ(4～3月)'!$D$26:$D$1002,$B58,'内訳ﾘｽﾄ(4～3月)'!F$26:F$1002)</f>
        <v>2275560977</v>
      </c>
      <c r="D58" s="160">
        <f>SUMIF('内訳ﾘｽﾄ(4～3月)'!$D$26:$D$1002,$B58,'内訳ﾘｽﾄ(4～3月)'!G$26:G$1002)</f>
        <v>2144666641</v>
      </c>
      <c r="E58" s="160">
        <f>SUMIF('内訳ﾘｽﾄ(4～3月)'!$D$26:$D$1002,$B58,'内訳ﾘｽﾄ(4～3月)'!H$26:H$1002)</f>
        <v>2278647640</v>
      </c>
      <c r="F58" s="160">
        <f>SUMIF('内訳ﾘｽﾄ(4～3月)'!$D$26:$D$1002,$B58,'内訳ﾘｽﾄ(4～3月)'!I$26:I$1002)</f>
        <v>2882644002</v>
      </c>
      <c r="G58" s="160">
        <f>SUMIF('内訳ﾘｽﾄ(4～3月)'!$D$26:$D$1002,$B58,'内訳ﾘｽﾄ(4～3月)'!J$26:J$1002)</f>
        <v>2634486205</v>
      </c>
      <c r="H58" s="160">
        <f>SUMIF('内訳ﾘｽﾄ(4～3月)'!$D$26:$D$1002,$B58,'内訳ﾘｽﾄ(4～3月)'!K$26:K$1002)</f>
        <v>2468546559</v>
      </c>
      <c r="I58" s="160">
        <f>SUMIF('内訳ﾘｽﾄ(4～3月)'!$D$26:$D$1002,$B58,'内訳ﾘｽﾄ(4～3月)'!L$26:L$1002)</f>
        <v>2991049654</v>
      </c>
      <c r="J58" s="160">
        <f>SUMIF('内訳ﾘｽﾄ(4～3月)'!$D$26:$D$1002,$B58,'内訳ﾘｽﾄ(4～3月)'!M$26:M$1002)</f>
        <v>2785708537</v>
      </c>
      <c r="K58" s="160">
        <f>SUMIF('内訳ﾘｽﾄ(4～3月)'!$D$26:$D$1002,$B58,'内訳ﾘｽﾄ(4～3月)'!N$26:N$1002)</f>
        <v>3010638547</v>
      </c>
      <c r="L58" s="160">
        <f>SUMIF('内訳ﾘｽﾄ(4～3月)'!$D$26:$D$1002,$B58,'内訳ﾘｽﾄ(4～3月)'!O$26:O$1002)</f>
        <v>2953844671</v>
      </c>
      <c r="M58" s="160">
        <f>SUMIF('内訳ﾘｽﾄ(4～3月)'!$D$26:$D$1002,$B58,'内訳ﾘｽﾄ(4～3月)'!P$26:P$1002)</f>
        <v>2440487816</v>
      </c>
      <c r="N58" s="160">
        <f>SUMIF('内訳ﾘｽﾄ(4～3月)'!$D$26:$D$1002,$B58,'内訳ﾘｽﾄ(4～3月)'!Q$26:Q$1002)</f>
        <v>2813873918</v>
      </c>
      <c r="O58" s="160">
        <f>SUMIF('内訳ﾘｽﾄ(4～3月)'!$D$26:$D$801,'採算表(VND)'!$B58,'内訳ﾘｽﾄ(4～3月)'!R$26:R$801)</f>
        <v>31680155167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SUMIF('内訳ﾘｽﾄ(4～3月)'!$D$26:$D$1002,$B59,'内訳ﾘｽﾄ(4～3月)'!F$26:F$1002)</f>
        <v>0</v>
      </c>
      <c r="D59" s="160">
        <f>SUMIF('内訳ﾘｽﾄ(4～3月)'!$D$26:$D$1002,$B59,'内訳ﾘｽﾄ(4～3月)'!G$26:G$1002)</f>
        <v>0</v>
      </c>
      <c r="E59" s="160">
        <f>SUMIF('内訳ﾘｽﾄ(4～3月)'!$D$26:$D$1002,$B59,'内訳ﾘｽﾄ(4～3月)'!H$26:H$1002)</f>
        <v>0</v>
      </c>
      <c r="F59" s="160">
        <f>SUMIF('内訳ﾘｽﾄ(4～3月)'!$D$26:$D$1002,$B59,'内訳ﾘｽﾄ(4～3月)'!I$26:I$1002)</f>
        <v>0</v>
      </c>
      <c r="G59" s="160">
        <f>SUMIF('内訳ﾘｽﾄ(4～3月)'!$D$26:$D$1002,$B59,'内訳ﾘｽﾄ(4～3月)'!J$26:J$1002)</f>
        <v>0</v>
      </c>
      <c r="H59" s="160">
        <f>SUMIF('内訳ﾘｽﾄ(4～3月)'!$D$26:$D$1002,$B59,'内訳ﾘｽﾄ(4～3月)'!K$26:K$1002)</f>
        <v>0</v>
      </c>
      <c r="I59" s="160">
        <f>SUMIF('内訳ﾘｽﾄ(4～3月)'!$D$26:$D$1002,$B59,'内訳ﾘｽﾄ(4～3月)'!L$26:L$1002)</f>
        <v>0</v>
      </c>
      <c r="J59" s="160">
        <f>SUMIF('内訳ﾘｽﾄ(4～3月)'!$D$26:$D$1002,$B59,'内訳ﾘｽﾄ(4～3月)'!M$26:M$1002)</f>
        <v>0</v>
      </c>
      <c r="K59" s="160">
        <f>SUMIF('内訳ﾘｽﾄ(4～3月)'!$D$26:$D$1002,$B59,'内訳ﾘｽﾄ(4～3月)'!N$26:N$1002)</f>
        <v>0</v>
      </c>
      <c r="L59" s="160">
        <f>SUMIF('内訳ﾘｽﾄ(4～3月)'!$D$26:$D$1002,$B59,'内訳ﾘｽﾄ(4～3月)'!O$26:O$1002)</f>
        <v>0</v>
      </c>
      <c r="M59" s="160">
        <f>SUMIF('内訳ﾘｽﾄ(4～3月)'!$D$26:$D$1002,$B59,'内訳ﾘｽﾄ(4～3月)'!P$26:P$1002)</f>
        <v>0</v>
      </c>
      <c r="N59" s="160">
        <f>SUMIF('内訳ﾘｽﾄ(4～3月)'!$D$26:$D$1002,$B59,'内訳ﾘｽﾄ(4～3月)'!Q$26:Q$1002)</f>
        <v>0</v>
      </c>
      <c r="O59" s="160">
        <f>SUMIF('内訳ﾘｽﾄ(4～3月)'!$D$26:$D$801,'採算表(VND)'!$B59,'内訳ﾘｽﾄ(4～3月)'!R$26:R$801)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SUMIF('内訳ﾘｽﾄ(4～3月)'!$D$26:$D$1002,$B60,'内訳ﾘｽﾄ(4～3月)'!F$26:F$1002)</f>
        <v>0</v>
      </c>
      <c r="D60" s="160">
        <f>SUMIF('内訳ﾘｽﾄ(4～3月)'!$D$26:$D$1002,$B60,'内訳ﾘｽﾄ(4～3月)'!G$26:G$1002)</f>
        <v>0</v>
      </c>
      <c r="E60" s="160">
        <f>SUMIF('内訳ﾘｽﾄ(4～3月)'!$D$26:$D$1002,$B60,'内訳ﾘｽﾄ(4～3月)'!H$26:H$1002)</f>
        <v>0</v>
      </c>
      <c r="F60" s="160">
        <f>SUMIF('内訳ﾘｽﾄ(4～3月)'!$D$26:$D$1002,$B60,'内訳ﾘｽﾄ(4～3月)'!I$26:I$1002)</f>
        <v>0</v>
      </c>
      <c r="G60" s="160">
        <f>SUMIF('内訳ﾘｽﾄ(4～3月)'!$D$26:$D$1002,$B60,'内訳ﾘｽﾄ(4～3月)'!J$26:J$1002)</f>
        <v>0</v>
      </c>
      <c r="H60" s="160">
        <f>SUMIF('内訳ﾘｽﾄ(4～3月)'!$D$26:$D$1002,$B60,'内訳ﾘｽﾄ(4～3月)'!K$26:K$1002)</f>
        <v>0</v>
      </c>
      <c r="I60" s="160">
        <f>SUMIF('内訳ﾘｽﾄ(4～3月)'!$D$26:$D$1002,$B60,'内訳ﾘｽﾄ(4～3月)'!L$26:L$1002)</f>
        <v>0</v>
      </c>
      <c r="J60" s="160">
        <f>SUMIF('内訳ﾘｽﾄ(4～3月)'!$D$26:$D$1002,$B60,'内訳ﾘｽﾄ(4～3月)'!M$26:M$1002)</f>
        <v>0</v>
      </c>
      <c r="K60" s="160">
        <f>SUMIF('内訳ﾘｽﾄ(4～3月)'!$D$26:$D$1002,$B60,'内訳ﾘｽﾄ(4～3月)'!N$26:N$1002)</f>
        <v>0</v>
      </c>
      <c r="L60" s="160">
        <f>SUMIF('内訳ﾘｽﾄ(4～3月)'!$D$26:$D$1002,$B60,'内訳ﾘｽﾄ(4～3月)'!O$26:O$1002)</f>
        <v>0</v>
      </c>
      <c r="M60" s="160">
        <f>SUMIF('内訳ﾘｽﾄ(4～3月)'!$D$26:$D$1002,$B60,'内訳ﾘｽﾄ(4～3月)'!P$26:P$1002)</f>
        <v>0</v>
      </c>
      <c r="N60" s="160">
        <f>SUMIF('内訳ﾘｽﾄ(4～3月)'!$D$26:$D$1002,$B60,'内訳ﾘｽﾄ(4～3月)'!Q$26:Q$1002)</f>
        <v>0</v>
      </c>
      <c r="O60" s="160">
        <f>SUMIF('内訳ﾘｽﾄ(4～3月)'!$D$26:$D$801,'採算表(VND)'!$B60,'内訳ﾘｽﾄ(4～3月)'!R$26:R$801)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IF('内訳ﾘｽﾄ(4～3月)'!$D$5="製造",SUMIF('内訳ﾘｽﾄ(4～3月)'!$D$26:$D$1002,$B61,'内訳ﾘｽﾄ(4～3月)'!F$26:F$1002),IF('内訳ﾘｽﾄ(4～3月)'!$D$5="部内間接",-SUM(C$14:C$60,C$65),0))</f>
        <v>6908882400</v>
      </c>
      <c r="D61" s="160">
        <f>IF('内訳ﾘｽﾄ(4～3月)'!$D$5="製造",SUMIF('内訳ﾘｽﾄ(4～3月)'!$D$26:$D$1002,$B61,'内訳ﾘｽﾄ(4～3月)'!G$26:G$1002),IF('内訳ﾘｽﾄ(4～3月)'!$D$5="部内間接",-SUM(D$14:D$60,D$65),0))</f>
        <v>6511040282</v>
      </c>
      <c r="E61" s="160">
        <f>IF('内訳ﾘｽﾄ(4～3月)'!$D$5="製造",SUMIF('内訳ﾘｽﾄ(4～3月)'!$D$26:$D$1002,$B61,'内訳ﾘｽﾄ(4～3月)'!H$26:H$1002),IF('内訳ﾘｽﾄ(4～3月)'!$D$5="部内間接",-SUM(E$14:E$60,E$65),0))</f>
        <v>5877125718</v>
      </c>
      <c r="F61" s="160">
        <f>IF('内訳ﾘｽﾄ(4～3月)'!$D$5="製造",SUMIF('内訳ﾘｽﾄ(4～3月)'!$D$26:$D$1002,$B61,'内訳ﾘｽﾄ(4～3月)'!I$26:I$1002),IF('内訳ﾘｽﾄ(4～3月)'!$D$5="部内間接",-SUM(F$14:F$60,F$65),0))</f>
        <v>5856986482</v>
      </c>
      <c r="G61" s="160">
        <f>IF('内訳ﾘｽﾄ(4～3月)'!$D$5="製造",SUMIF('内訳ﾘｽﾄ(4～3月)'!$D$26:$D$1002,$B61,'内訳ﾘｽﾄ(4～3月)'!J$26:J$1002),IF('内訳ﾘｽﾄ(4～3月)'!$D$5="部内間接",-SUM(G$14:G$60,G$65),0))</f>
        <v>5903480885</v>
      </c>
      <c r="H61" s="160">
        <f>IF('内訳ﾘｽﾄ(4～3月)'!$D$5="製造",SUMIF('内訳ﾘｽﾄ(4～3月)'!$D$26:$D$1002,$B61,'内訳ﾘｽﾄ(4～3月)'!K$26:K$1002),IF('内訳ﾘｽﾄ(4～3月)'!$D$5="部内間接",-SUM(H$14:H$60,H$65),0))</f>
        <v>5820505156</v>
      </c>
      <c r="I61" s="160">
        <f>IF('内訳ﾘｽﾄ(4～3月)'!$D$5="製造",SUMIF('内訳ﾘｽﾄ(4～3月)'!$D$26:$D$1002,$B61,'内訳ﾘｽﾄ(4～3月)'!L$26:L$1002),IF('内訳ﾘｽﾄ(4～3月)'!$D$5="部内間接",-SUM(I$14:I$60,I$65),0))</f>
        <v>5873106986</v>
      </c>
      <c r="J61" s="160">
        <f>IF('内訳ﾘｽﾄ(4～3月)'!$D$5="製造",SUMIF('内訳ﾘｽﾄ(4～3月)'!$D$26:$D$1002,$B61,'内訳ﾘｽﾄ(4～3月)'!M$26:M$1002),IF('内訳ﾘｽﾄ(4～3月)'!$D$5="部内間接",-SUM(J$14:J$60,J$65),0))</f>
        <v>5502058139</v>
      </c>
      <c r="K61" s="160">
        <f>IF('内訳ﾘｽﾄ(4～3月)'!$D$5="製造",SUMIF('内訳ﾘｽﾄ(4～3月)'!$D$26:$D$1002,$B61,'内訳ﾘｽﾄ(4～3月)'!N$26:N$1002),IF('内訳ﾘｽﾄ(4～3月)'!$D$5="部内間接",-SUM(K$14:K$60,K$65),0))</f>
        <v>5632729705</v>
      </c>
      <c r="L61" s="160">
        <f>IF('内訳ﾘｽﾄ(4～3月)'!$D$5="製造",SUMIF('内訳ﾘｽﾄ(4～3月)'!$D$26:$D$1002,$B61,'内訳ﾘｽﾄ(4～3月)'!O$26:O$1002),IF('内訳ﾘｽﾄ(4～3月)'!$D$5="部内間接",-SUM(L$14:L$60,L$65),0))</f>
        <v>5695325058</v>
      </c>
      <c r="M61" s="160">
        <f>IF('内訳ﾘｽﾄ(4～3月)'!$D$5="製造",SUMIF('内訳ﾘｽﾄ(4～3月)'!$D$26:$D$1002,$B61,'内訳ﾘｽﾄ(4～3月)'!P$26:P$1002),IF('内訳ﾘｽﾄ(4～3月)'!$D$5="部内間接",-SUM(M$14:M$60,M$65),0))</f>
        <v>5987016885</v>
      </c>
      <c r="N61" s="160">
        <f>IF('内訳ﾘｽﾄ(4～3月)'!$D$5="製造",SUMIF('内訳ﾘｽﾄ(4～3月)'!$D$26:$D$1002,$B61,'内訳ﾘｽﾄ(4～3月)'!Q$26:Q$1002),IF('内訳ﾘｽﾄ(4～3月)'!$D$5="部内間接",-SUM(N$14:N$60,N$65),0))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IF('内訳ﾘｽﾄ(4～3月)'!$D$5="部内間接",-SUM(O$65,O$14:O$60),IF('内訳ﾘｽﾄ(4～3月)'!$D$5="製造",SUMIF('内訳ﾘｽﾄ(4～3月)'!$D$26:$D$801,'採算表(VND)'!$B61,'内訳ﾘｽﾄ(4～3月)'!R$26:R$801),0))</f>
        <v>65568257696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678</v>
      </c>
      <c r="C62" s="160">
        <f>IF('内訳ﾘｽﾄ(4～3月)'!$D$5="製造",SUMIF('内訳ﾘｽﾄ(4～3月)'!$D$26:$D$1002,$B62,'内訳ﾘｽﾄ(4～3月)'!F$26:F$1002),IF('内訳ﾘｽﾄ(4～3月)'!$D$5="部外間接1",-SUM(C$14:C$60,C$65),0))</f>
        <v>719273443</v>
      </c>
      <c r="D62" s="160">
        <f>IF('内訳ﾘｽﾄ(4～3月)'!$D$5="製造",SUMIF('内訳ﾘｽﾄ(4～3月)'!$D$26:$D$1002,$B62,'内訳ﾘｽﾄ(4～3月)'!G$26:G$1002),IF('内訳ﾘｽﾄ(4～3月)'!$D$5="部外間接1",-SUM(D$14:D$60,D$65),0))</f>
        <v>674379080</v>
      </c>
      <c r="E62" s="160">
        <f>IF('内訳ﾘｽﾄ(4～3月)'!$D$5="製造",SUMIF('内訳ﾘｽﾄ(4～3月)'!$D$26:$D$1002,$B62,'内訳ﾘｽﾄ(4～3月)'!H$26:H$1002),IF('内訳ﾘｽﾄ(4～3月)'!$D$5="部外間接1",-SUM(E$14:E$60,E$65),0))</f>
        <v>619786440</v>
      </c>
      <c r="F62" s="160">
        <f>IF('内訳ﾘｽﾄ(4～3月)'!$D$5="製造",SUMIF('内訳ﾘｽﾄ(4～3月)'!$D$26:$D$1002,$B62,'内訳ﾘｽﾄ(4～3月)'!I$26:I$1002),IF('内訳ﾘｽﾄ(4～3月)'!$D$5="部外間接1",-SUM(F$14:F$60,F$65),0))</f>
        <v>793393373</v>
      </c>
      <c r="G62" s="160">
        <f>IF('内訳ﾘｽﾄ(4～3月)'!$D$5="製造",SUMIF('内訳ﾘｽﾄ(4～3月)'!$D$26:$D$1002,$B62,'内訳ﾘｽﾄ(4～3月)'!J$26:J$1002),IF('内訳ﾘｽﾄ(4～3月)'!$D$5="部外間接1",-SUM(G$14:G$60,G$65),0))</f>
        <v>705583772</v>
      </c>
      <c r="H62" s="160">
        <f>IF('内訳ﾘｽﾄ(4～3月)'!$D$5="製造",SUMIF('内訳ﾘｽﾄ(4～3月)'!$D$26:$D$1002,$B62,'内訳ﾘｽﾄ(4～3月)'!K$26:K$1002),IF('内訳ﾘｽﾄ(4～3月)'!$D$5="部外間接1",-SUM(H$14:H$60,H$65),0))</f>
        <v>474877500</v>
      </c>
      <c r="I62" s="160">
        <f>IF('内訳ﾘｽﾄ(4～3月)'!$D$5="製造",SUMIF('内訳ﾘｽﾄ(4～3月)'!$D$26:$D$1002,$B62,'内訳ﾘｽﾄ(4～3月)'!L$26:L$1002),IF('内訳ﾘｽﾄ(4～3月)'!$D$5="部外間接1",-SUM(I$14:I$60,I$65),0))</f>
        <v>501823114</v>
      </c>
      <c r="J62" s="160">
        <f>IF('内訳ﾘｽﾄ(4～3月)'!$D$5="製造",SUMIF('内訳ﾘｽﾄ(4～3月)'!$D$26:$D$1002,$B62,'内訳ﾘｽﾄ(4～3月)'!M$26:M$1002),IF('内訳ﾘｽﾄ(4～3月)'!$D$5="部外間接1",-SUM(J$14:J$60,J$65),0))</f>
        <v>476804654</v>
      </c>
      <c r="K62" s="160">
        <f>IF('内訳ﾘｽﾄ(4～3月)'!$D$5="製造",SUMIF('内訳ﾘｽﾄ(4～3月)'!$D$26:$D$1002,$B62,'内訳ﾘｽﾄ(4～3月)'!N$26:N$1002),IF('内訳ﾘｽﾄ(4～3月)'!$D$5="部外間接1",-SUM(K$14:K$60,K$65),0))</f>
        <v>420504060</v>
      </c>
      <c r="L62" s="160">
        <f>IF('内訳ﾘｽﾄ(4～3月)'!$D$5="製造",SUMIF('内訳ﾘｽﾄ(4～3月)'!$D$26:$D$1002,$B62,'内訳ﾘｽﾄ(4～3月)'!O$26:O$1002),IF('内訳ﾘｽﾄ(4～3月)'!$D$5="部外間接1",-SUM(L$14:L$60,L$65),0))</f>
        <v>392891752</v>
      </c>
      <c r="M62" s="160">
        <f>IF('内訳ﾘｽﾄ(4～3月)'!$D$5="製造",SUMIF('内訳ﾘｽﾄ(4～3月)'!$D$26:$D$1002,$B62,'内訳ﾘｽﾄ(4～3月)'!P$26:P$1002),IF('内訳ﾘｽﾄ(4～3月)'!$D$5="部外間接1",-SUM(M$14:M$60,M$65),0))</f>
        <v>453222216</v>
      </c>
      <c r="N62" s="160">
        <f>IF('内訳ﾘｽﾄ(4～3月)'!$D$5="製造",SUMIF('内訳ﾘｽﾄ(4～3月)'!$D$26:$D$1002,$B62,'内訳ﾘｽﾄ(4～3月)'!Q$26:Q$1002),IF('内訳ﾘｽﾄ(4～3月)'!$D$5="部外間接1",-SUM(N$14:N$60,N$65),0))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IF('内訳ﾘｽﾄ(4～3月)'!$D$5="部外間接1",-SUM(O$65,O$14:O$60),IF('内訳ﾘｽﾄ(4～3月)'!$D$5="製造",SUMIF('内訳ﾘｽﾄ(4～3月)'!$D$26:$D$801,'採算表(VND)'!$B62,'内訳ﾘｽﾄ(4～3月)'!R$26:R$801),0))</f>
        <v>6232539404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679</v>
      </c>
      <c r="C63" s="160">
        <f>IF('内訳ﾘｽﾄ(4～3月)'!$D$5="製造",SUMIF('内訳ﾘｽﾄ(4～3月)'!$D$26:$D$1002,$B63,'内訳ﾘｽﾄ(4～3月)'!F$26:F$1002),IF('内訳ﾘｽﾄ(4～3月)'!$D$5="部外間接2",-SUM(C$14:C$60,C$65),0))</f>
        <v>942188207</v>
      </c>
      <c r="D63" s="160">
        <f>IF('内訳ﾘｽﾄ(4～3月)'!$D$5="製造",SUMIF('内訳ﾘｽﾄ(4～3月)'!$D$26:$D$1002,$B63,'内訳ﾘｽﾄ(4～3月)'!G$26:G$1002),IF('内訳ﾘｽﾄ(4～3月)'!$D$5="部外間接2",-SUM(D$14:D$60,D$65),0))</f>
        <v>576356824</v>
      </c>
      <c r="E63" s="160">
        <f>IF('内訳ﾘｽﾄ(4～3月)'!$D$5="製造",SUMIF('内訳ﾘｽﾄ(4～3月)'!$D$26:$D$1002,$B63,'内訳ﾘｽﾄ(4～3月)'!H$26:H$1002),IF('内訳ﾘｽﾄ(4～3月)'!$D$5="部外間接2",-SUM(E$14:E$60,E$65),0))</f>
        <v>508967104</v>
      </c>
      <c r="F63" s="160">
        <f>IF('内訳ﾘｽﾄ(4～3月)'!$D$5="製造",SUMIF('内訳ﾘｽﾄ(4～3月)'!$D$26:$D$1002,$B63,'内訳ﾘｽﾄ(4～3月)'!I$26:I$1002),IF('内訳ﾘｽﾄ(4～3月)'!$D$5="部外間接2",-SUM(F$14:F$60,F$65),0))</f>
        <v>496024844</v>
      </c>
      <c r="G63" s="160">
        <f>IF('内訳ﾘｽﾄ(4～3月)'!$D$5="製造",SUMIF('内訳ﾘｽﾄ(4～3月)'!$D$26:$D$1002,$B63,'内訳ﾘｽﾄ(4～3月)'!J$26:J$1002),IF('内訳ﾘｽﾄ(4～3月)'!$D$5="部外間接2",-SUM(G$14:G$60,G$65),0))</f>
        <v>511054451</v>
      </c>
      <c r="H63" s="160">
        <f>IF('内訳ﾘｽﾄ(4～3月)'!$D$5="製造",SUMIF('内訳ﾘｽﾄ(4～3月)'!$D$26:$D$1002,$B63,'内訳ﾘｽﾄ(4～3月)'!K$26:K$1002),IF('内訳ﾘｽﾄ(4～3月)'!$D$5="部外間接2",-SUM(H$14:H$60,H$65),0))</f>
        <v>394988402</v>
      </c>
      <c r="I63" s="160">
        <f>IF('内訳ﾘｽﾄ(4～3月)'!$D$5="製造",SUMIF('内訳ﾘｽﾄ(4～3月)'!$D$26:$D$1002,$B63,'内訳ﾘｽﾄ(4～3月)'!L$26:L$1002),IF('内訳ﾘｽﾄ(4～3月)'!$D$5="部外間接2",-SUM(I$14:I$60,I$65),0))</f>
        <v>1233522931</v>
      </c>
      <c r="J63" s="160">
        <f>IF('内訳ﾘｽﾄ(4～3月)'!$D$5="製造",SUMIF('内訳ﾘｽﾄ(4～3月)'!$D$26:$D$1002,$B63,'内訳ﾘｽﾄ(4～3月)'!M$26:M$1002),IF('内訳ﾘｽﾄ(4～3月)'!$D$5="部外間接2",-SUM(J$14:J$60,J$65),0))</f>
        <v>474025478</v>
      </c>
      <c r="K63" s="160">
        <f>IF('内訳ﾘｽﾄ(4～3月)'!$D$5="製造",SUMIF('内訳ﾘｽﾄ(4～3月)'!$D$26:$D$1002,$B63,'内訳ﾘｽﾄ(4～3月)'!N$26:N$1002),IF('内訳ﾘｽﾄ(4～3月)'!$D$5="部外間接2",-SUM(K$14:K$60,K$65),0))</f>
        <v>525210948</v>
      </c>
      <c r="L63" s="160">
        <f>IF('内訳ﾘｽﾄ(4～3月)'!$D$5="製造",SUMIF('内訳ﾘｽﾄ(4～3月)'!$D$26:$D$1002,$B63,'内訳ﾘｽﾄ(4～3月)'!O$26:O$1002),IF('内訳ﾘｽﾄ(4～3月)'!$D$5="部外間接2",-SUM(L$14:L$60,L$65),0))</f>
        <v>385756429</v>
      </c>
      <c r="M63" s="160">
        <f>IF('内訳ﾘｽﾄ(4～3月)'!$D$5="製造",SUMIF('内訳ﾘｽﾄ(4～3月)'!$D$26:$D$1002,$B63,'内訳ﾘｽﾄ(4～3月)'!P$26:P$1002),IF('内訳ﾘｽﾄ(4～3月)'!$D$5="部外間接2",-SUM(M$14:M$60,M$65),0))</f>
        <v>487531450</v>
      </c>
      <c r="N63" s="160">
        <f>IF('内訳ﾘｽﾄ(4～3月)'!$D$5="製造",SUMIF('内訳ﾘｽﾄ(4～3月)'!$D$26:$D$1002,$B63,'内訳ﾘｽﾄ(4～3月)'!Q$26:Q$1002),IF('内訳ﾘｽﾄ(4～3月)'!$D$5="部外間接2",-SUM(N$14:N$60,N$65),0))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IF('内訳ﾘｽﾄ(4～3月)'!$D$5="部外間接2",-SUM(O$65,O$14:O$60),IF('内訳ﾘｽﾄ(4～3月)'!$D$5="製造",SUMIF('内訳ﾘｽﾄ(4～3月)'!$D$26:$D$801,'採算表(VND)'!$B63,'内訳ﾘｽﾄ(4～3月)'!R$26:R$801),0))</f>
        <v>6535627068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IF('内訳ﾘｽﾄ(4～3月)'!$D$5="製造",SUMIF('内訳ﾘｽﾄ(4～3月)'!$D$26:$D$1002,$B64,'内訳ﾘｽﾄ(4～3月)'!F$26:F$1002),IF('内訳ﾘｽﾄ(4～3月)'!$D$5="工場間接",-SUM(C$14:C$60,C$65),0))</f>
        <v>5716121962</v>
      </c>
      <c r="D64" s="160">
        <f>IF('内訳ﾘｽﾄ(4～3月)'!$D$5="製造",SUMIF('内訳ﾘｽﾄ(4～3月)'!$D$26:$D$1002,$B64,'内訳ﾘｽﾄ(4～3月)'!G$26:G$1002),IF('内訳ﾘｽﾄ(4～3月)'!$D$5="工場間接",-SUM(D$14:D$60,D$65),0))</f>
        <v>7302905071</v>
      </c>
      <c r="E64" s="160">
        <f>IF('内訳ﾘｽﾄ(4～3月)'!$D$5="製造",SUMIF('内訳ﾘｽﾄ(4～3月)'!$D$26:$D$1002,$B64,'内訳ﾘｽﾄ(4～3月)'!H$26:H$1002),IF('内訳ﾘｽﾄ(4～3月)'!$D$5="工場間接",-SUM(E$14:E$60,E$65),0))</f>
        <v>5406730919</v>
      </c>
      <c r="F64" s="160">
        <f>IF('内訳ﾘｽﾄ(4～3月)'!$D$5="製造",SUMIF('内訳ﾘｽﾄ(4～3月)'!$D$26:$D$1002,$B64,'内訳ﾘｽﾄ(4～3月)'!I$26:I$1002),IF('内訳ﾘｽﾄ(4～3月)'!$D$5="工場間接",-SUM(F$14:F$60,F$65),0))</f>
        <v>7237791125</v>
      </c>
      <c r="G64" s="160">
        <f>IF('内訳ﾘｽﾄ(4～3月)'!$D$5="製造",SUMIF('内訳ﾘｽﾄ(4～3月)'!$D$26:$D$1002,$B64,'内訳ﾘｽﾄ(4～3月)'!J$26:J$1002),IF('内訳ﾘｽﾄ(4～3月)'!$D$5="工場間接",-SUM(G$14:G$60,G$65),0))</f>
        <v>4032693758</v>
      </c>
      <c r="H64" s="160">
        <f>IF('内訳ﾘｽﾄ(4～3月)'!$D$5="製造",SUMIF('内訳ﾘｽﾄ(4～3月)'!$D$26:$D$1002,$B64,'内訳ﾘｽﾄ(4～3月)'!K$26:K$1002),IF('内訳ﾘｽﾄ(4～3月)'!$D$5="工場間接",-SUM(H$14:H$60,H$65),0))</f>
        <v>3941709845</v>
      </c>
      <c r="I64" s="160">
        <f>IF('内訳ﾘｽﾄ(4～3月)'!$D$5="製造",SUMIF('内訳ﾘｽﾄ(4～3月)'!$D$26:$D$1002,$B64,'内訳ﾘｽﾄ(4～3月)'!L$26:L$1002),IF('内訳ﾘｽﾄ(4～3月)'!$D$5="工場間接",-SUM(I$14:I$60,I$65),0))</f>
        <v>4938288869</v>
      </c>
      <c r="J64" s="160">
        <f>IF('内訳ﾘｽﾄ(4～3月)'!$D$5="製造",SUMIF('内訳ﾘｽﾄ(4～3月)'!$D$26:$D$1002,$B64,'内訳ﾘｽﾄ(4～3月)'!M$26:M$1002),IF('内訳ﾘｽﾄ(4～3月)'!$D$5="工場間接",-SUM(J$14:J$60,J$65),0))</f>
        <v>4160375044</v>
      </c>
      <c r="K64" s="160">
        <f>IF('内訳ﾘｽﾄ(4～3月)'!$D$5="製造",SUMIF('内訳ﾘｽﾄ(4～3月)'!$D$26:$D$1002,$B64,'内訳ﾘｽﾄ(4～3月)'!N$26:N$1002),IF('内訳ﾘｽﾄ(4～3月)'!$D$5="工場間接",-SUM(K$14:K$60,K$65),0))</f>
        <v>4114683329</v>
      </c>
      <c r="L64" s="160">
        <f>IF('内訳ﾘｽﾄ(4～3月)'!$D$5="製造",SUMIF('内訳ﾘｽﾄ(4～3月)'!$D$26:$D$1002,$B64,'内訳ﾘｽﾄ(4～3月)'!O$26:O$1002),IF('内訳ﾘｽﾄ(4～3月)'!$D$5="工場間接",-SUM(L$14:L$60,L$65),0))</f>
        <v>4227199098</v>
      </c>
      <c r="M64" s="160">
        <f>IF('内訳ﾘｽﾄ(4～3月)'!$D$5="製造",SUMIF('内訳ﾘｽﾄ(4～3月)'!$D$26:$D$1002,$B64,'内訳ﾘｽﾄ(4～3月)'!P$26:P$1002),IF('内訳ﾘｽﾄ(4～3月)'!$D$5="工場間接",-SUM(M$14:M$60,M$65),0))</f>
        <v>2919105552</v>
      </c>
      <c r="N64" s="160">
        <f>IF('内訳ﾘｽﾄ(4～3月)'!$D$5="製造",SUMIF('内訳ﾘｽﾄ(4～3月)'!$D$26:$D$1002,$B64,'内訳ﾘｽﾄ(4～3月)'!Q$26:Q$1002),IF('内訳ﾘｽﾄ(4～3月)'!$D$5="工場間接",-SUM(N$14:N$60,N$65),0))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IF('内訳ﾘｽﾄ(4～3月)'!$D$5="工場間接",-SUM(O$65,O$14:O$60),IF('内訳ﾘｽﾄ(4～3月)'!$D$5="製造",SUMIF('内訳ﾘｽﾄ(4～3月)'!$D$26:$D$801,'採算表(VND)'!$B64,'内訳ﾘｽﾄ(4～3月)'!R$26:R$801),0))</f>
        <v>53997604572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SUMIF('内訳ﾘｽﾄ(4～3月)'!$D$26:$D$1002,$B65,'内訳ﾘｽﾄ(4～3月)'!F$26:F$1002)</f>
        <v>0</v>
      </c>
      <c r="D65" s="158">
        <f>SUMIF('内訳ﾘｽﾄ(4～3月)'!$D$26:$D$1002,$B65,'内訳ﾘｽﾄ(4～3月)'!G$26:G$1002)</f>
        <v>0</v>
      </c>
      <c r="E65" s="158">
        <f>SUMIF('内訳ﾘｽﾄ(4～3月)'!$D$26:$D$1002,$B65,'内訳ﾘｽﾄ(4～3月)'!H$26:H$1002)</f>
        <v>0</v>
      </c>
      <c r="F65" s="158">
        <f>SUMIF('内訳ﾘｽﾄ(4～3月)'!$D$26:$D$1002,$B65,'内訳ﾘｽﾄ(4～3月)'!I$26:I$1002)</f>
        <v>0</v>
      </c>
      <c r="G65" s="158">
        <f>SUMIF('内訳ﾘｽﾄ(4～3月)'!$D$26:$D$1002,$B65,'内訳ﾘｽﾄ(4～3月)'!J$26:J$1002)</f>
        <v>0</v>
      </c>
      <c r="H65" s="158">
        <f>SUMIF('内訳ﾘｽﾄ(4～3月)'!$D$26:$D$1002,$B65,'内訳ﾘｽﾄ(4～3月)'!K$26:K$1002)</f>
        <v>0</v>
      </c>
      <c r="I65" s="158">
        <f>SUMIF('内訳ﾘｽﾄ(4～3月)'!$D$26:$D$1002,$B65,'内訳ﾘｽﾄ(4～3月)'!L$26:L$1002)</f>
        <v>0</v>
      </c>
      <c r="J65" s="158">
        <f>SUMIF('内訳ﾘｽﾄ(4～3月)'!$D$26:$D$1002,$B65,'内訳ﾘｽﾄ(4～3月)'!M$26:M$1002)</f>
        <v>0</v>
      </c>
      <c r="K65" s="158">
        <f>SUMIF('内訳ﾘｽﾄ(4～3月)'!$D$26:$D$1002,$B65,'内訳ﾘｽﾄ(4～3月)'!N$26:N$1002)</f>
        <v>0</v>
      </c>
      <c r="L65" s="158">
        <f>SUMIF('内訳ﾘｽﾄ(4～3月)'!$D$26:$D$1002,$B65,'内訳ﾘｽﾄ(4～3月)'!O$26:O$1002)</f>
        <v>0</v>
      </c>
      <c r="M65" s="158">
        <f>SUMIF('内訳ﾘｽﾄ(4～3月)'!$D$26:$D$1002,$B65,'内訳ﾘｽﾄ(4～3月)'!P$26:P$1002)</f>
        <v>0</v>
      </c>
      <c r="N65" s="158">
        <f>SUMIF('内訳ﾘｽﾄ(4～3月)'!$D$26:$D$1002,$B65,'内訳ﾘｽﾄ(4～3月)'!Q$26:Q$1002)</f>
        <v>0</v>
      </c>
      <c r="O65" s="158">
        <f>SUMIF('内訳ﾘｽﾄ(4～3月)'!$D$26:$D$801,'採算表(VND)'!$B65,'内訳ﾘｽﾄ(4～3月)'!R$26:R$801)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61921354850</v>
      </c>
      <c r="D66" s="156">
        <f t="shared" ref="D66:N66" si="4">D12-D13</f>
        <v>51676583636</v>
      </c>
      <c r="E66" s="156">
        <f t="shared" si="4"/>
        <v>64901987694</v>
      </c>
      <c r="F66" s="156">
        <f t="shared" si="4"/>
        <v>75658249777</v>
      </c>
      <c r="G66" s="156">
        <f t="shared" si="4"/>
        <v>80945438116</v>
      </c>
      <c r="H66" s="156">
        <f t="shared" si="4"/>
        <v>53864717405</v>
      </c>
      <c r="I66" s="156">
        <f t="shared" si="4"/>
        <v>88395713382</v>
      </c>
      <c r="J66" s="156">
        <f t="shared" si="4"/>
        <v>84559377136</v>
      </c>
      <c r="K66" s="156">
        <f t="shared" si="4"/>
        <v>79596548696</v>
      </c>
      <c r="L66" s="156">
        <f t="shared" si="4"/>
        <v>85427881241</v>
      </c>
      <c r="M66" s="156">
        <f t="shared" si="4"/>
        <v>49623108123</v>
      </c>
      <c r="N66" s="156">
        <f t="shared" si="4"/>
        <v>79861313277</v>
      </c>
      <c r="O66" s="156">
        <f>IF(ISBLANK(O4),"",O12-O13)</f>
        <v>856432273333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424867.25</v>
      </c>
      <c r="D67" s="161">
        <f t="shared" ref="D67:N67" si="5">D73+D79</f>
        <v>396908.75</v>
      </c>
      <c r="E67" s="161">
        <f t="shared" si="5"/>
        <v>425293.5</v>
      </c>
      <c r="F67" s="161">
        <f t="shared" si="5"/>
        <v>523178.5</v>
      </c>
      <c r="G67" s="161">
        <f t="shared" si="5"/>
        <v>461151</v>
      </c>
      <c r="H67" s="161">
        <f t="shared" si="5"/>
        <v>442582</v>
      </c>
      <c r="I67" s="161">
        <f t="shared" si="5"/>
        <v>515712.25</v>
      </c>
      <c r="J67" s="161">
        <f t="shared" si="5"/>
        <v>477912.5</v>
      </c>
      <c r="K67" s="161">
        <f t="shared" si="5"/>
        <v>505954.75</v>
      </c>
      <c r="L67" s="161">
        <f t="shared" si="5"/>
        <v>499086.5</v>
      </c>
      <c r="M67" s="161">
        <f t="shared" si="5"/>
        <v>424802.25</v>
      </c>
      <c r="N67" s="161">
        <f t="shared" si="5"/>
        <v>481763.5</v>
      </c>
      <c r="O67" s="161">
        <f>IF(ISBLANK(O4),"",O73+O79)</f>
        <v>5579212.75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316394</v>
      </c>
      <c r="D68" s="162">
        <f>SUMIF('内訳ﾘｽﾄ(4～3月)'!$D$8:$D$15,'採算表(VND)'!$B68,'内訳ﾘｽﾄ(4～3月)'!G$8:G$15)</f>
        <v>292450</v>
      </c>
      <c r="E68" s="162">
        <f>SUMIF('内訳ﾘｽﾄ(4～3月)'!$D$8:$D$15,'採算表(VND)'!$B68,'内訳ﾘｽﾄ(4～3月)'!H$8:H$15)</f>
        <v>311697</v>
      </c>
      <c r="F68" s="162">
        <f>SUMIF('内訳ﾘｽﾄ(4～3月)'!$D$8:$D$15,'採算表(VND)'!$B68,'内訳ﾘｽﾄ(4～3月)'!I$8:I$15)</f>
        <v>404363</v>
      </c>
      <c r="G68" s="162">
        <f>SUMIF('内訳ﾘｽﾄ(4～3月)'!$D$8:$D$15,'採算表(VND)'!$B68,'内訳ﾘｽﾄ(4～3月)'!J$8:J$15)</f>
        <v>353064</v>
      </c>
      <c r="H68" s="162">
        <f>SUMIF('内訳ﾘｽﾄ(4～3月)'!$D$8:$D$15,'採算表(VND)'!$B68,'内訳ﾘｽﾄ(4～3月)'!K$8:K$15)</f>
        <v>324235</v>
      </c>
      <c r="I68" s="162">
        <f>SUMIF('内訳ﾘｽﾄ(4～3月)'!$D$8:$D$15,'採算表(VND)'!$B68,'内訳ﾘｽﾄ(4～3月)'!L$8:L$15)</f>
        <v>394686</v>
      </c>
      <c r="J68" s="162">
        <f>SUMIF('内訳ﾘｽﾄ(4～3月)'!$D$8:$D$15,'採算表(VND)'!$B68,'内訳ﾘｽﾄ(4～3月)'!M$8:M$15)</f>
        <v>366145</v>
      </c>
      <c r="K68" s="162">
        <f>SUMIF('内訳ﾘｽﾄ(4～3月)'!$D$8:$D$15,'採算表(VND)'!$B68,'内訳ﾘｽﾄ(4～3月)'!N$8:N$15)</f>
        <v>389866</v>
      </c>
      <c r="L68" s="162">
        <f>SUMIF('内訳ﾘｽﾄ(4～3月)'!$D$8:$D$15,'採算表(VND)'!$B68,'内訳ﾘｽﾄ(4～3月)'!O$8:O$15)</f>
        <v>385014</v>
      </c>
      <c r="M68" s="162">
        <f>SUMIF('内訳ﾘｽﾄ(4～3月)'!$D$8:$D$15,'採算表(VND)'!$B68,'内訳ﾘｽﾄ(4～3月)'!P$8:P$15)</f>
        <v>310387</v>
      </c>
      <c r="N68" s="162">
        <f>SUMIF('内訳ﾘｽﾄ(4～3月)'!$D$8:$D$15,'採算表(VND)'!$B68,'内訳ﾘｽﾄ(4～3月)'!Q$8:Q$15)</f>
        <v>366111</v>
      </c>
      <c r="O68" s="162">
        <f>SUMIF('内訳ﾘｽﾄ(4～3月)'!$D$8:$D$15,'採算表(VND)'!$B68,'内訳ﾘｽﾄ(4～3月)'!$R$8:$R$15)</f>
        <v>4214412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67126</v>
      </c>
      <c r="D69" s="163">
        <f>IF('内訳ﾘｽﾄ(4～3月)'!$D$5="製造",SUMIF('内訳ﾘｽﾄ(4～3月)'!$D$8:$D$15,$B69,'内訳ﾘｽﾄ(4～3月)'!G$8:G$15),IF('内訳ﾘｽﾄ(4～3月)'!$D$5="部内間接",-D$68,0))</f>
        <v>63393.5</v>
      </c>
      <c r="E69" s="163">
        <f>IF('内訳ﾘｽﾄ(4～3月)'!$D$5="製造",SUMIF('内訳ﾘｽﾄ(4～3月)'!$D$8:$D$15,$B69,'内訳ﾘｽﾄ(4～3月)'!H$8:H$15),IF('内訳ﾘｽﾄ(4～3月)'!$D$5="部内間接",-E$68,0))</f>
        <v>70220.75</v>
      </c>
      <c r="F69" s="163">
        <f>IF('内訳ﾘｽﾄ(4～3月)'!$D$5="製造",SUMIF('内訳ﾘｽﾄ(4～3月)'!$D$8:$D$15,$B69,'内訳ﾘｽﾄ(4～3月)'!I$8:I$15),IF('内訳ﾘｽﾄ(4～3月)'!$D$5="部内間接",-F$68,0))</f>
        <v>74028.5</v>
      </c>
      <c r="G69" s="163">
        <f>IF('内訳ﾘｽﾄ(4～3月)'!$D$5="製造",SUMIF('内訳ﾘｽﾄ(4～3月)'!$D$8:$D$15,$B69,'内訳ﾘｽﾄ(4～3月)'!J$8:J$15),IF('内訳ﾘｽﾄ(4～3月)'!$D$5="部内間接",-G$68,0))</f>
        <v>63752</v>
      </c>
      <c r="H69" s="163">
        <f>IF('内訳ﾘｽﾄ(4～3月)'!$D$5="製造",SUMIF('内訳ﾘｽﾄ(4～3月)'!$D$8:$D$15,$B69,'内訳ﾘｽﾄ(4～3月)'!K$8:K$15),IF('内訳ﾘｽﾄ(4～3月)'!$D$5="部内間接",-H$68,0))</f>
        <v>61764.25</v>
      </c>
      <c r="I69" s="163">
        <f>IF('内訳ﾘｽﾄ(4～3月)'!$D$5="製造",SUMIF('内訳ﾘｽﾄ(4～3月)'!$D$8:$D$15,$B69,'内訳ﾘｽﾄ(4～3月)'!L$8:L$15),IF('内訳ﾘｽﾄ(4～3月)'!$D$5="部内間接",-I$68,0))</f>
        <v>73876.75</v>
      </c>
      <c r="J69" s="163">
        <f>IF('内訳ﾘｽﾄ(4～3月)'!$D$5="製造",SUMIF('内訳ﾘｽﾄ(4～3月)'!$D$8:$D$15,$B69,'内訳ﾘｽﾄ(4～3月)'!M$8:M$15),IF('内訳ﾘｽﾄ(4～3月)'!$D$5="部内間接",-J$68,0))</f>
        <v>63706.5</v>
      </c>
      <c r="K69" s="163">
        <f>IF('内訳ﾘｽﾄ(4～3月)'!$D$5="製造",SUMIF('内訳ﾘｽﾄ(4～3月)'!$D$8:$D$15,$B69,'内訳ﾘｽﾄ(4～3月)'!N$8:N$15),IF('内訳ﾘｽﾄ(4～3月)'!$D$5="部内間接",-K$68,0))</f>
        <v>69975.75</v>
      </c>
      <c r="L69" s="163">
        <f>IF('内訳ﾘｽﾄ(4～3月)'!$D$5="製造",SUMIF('内訳ﾘｽﾄ(4～3月)'!$D$8:$D$15,$B69,'内訳ﾘｽﾄ(4～3月)'!O$8:O$15),IF('内訳ﾘｽﾄ(4～3月)'!$D$5="部内間接",-L$68,0))</f>
        <v>66342.25</v>
      </c>
      <c r="M69" s="163">
        <f>IF('内訳ﾘｽﾄ(4～3月)'!$D$5="製造",SUMIF('内訳ﾘｽﾄ(4～3月)'!$D$8:$D$15,$B69,'内訳ﾘｽﾄ(4～3月)'!P$8:P$15),IF('内訳ﾘｽﾄ(4～3月)'!$D$5="部内間接",-M$68,0))</f>
        <v>52815.5</v>
      </c>
      <c r="N69" s="163">
        <f>IF('内訳ﾘｽﾄ(4～3月)'!$D$5="製造",SUMIF('内訳ﾘｽﾄ(4～3月)'!$D$8:$D$15,$B69,'内訳ﾘｽﾄ(4～3月)'!Q$8:Q$15),IF('内訳ﾘｽﾄ(4～3月)'!$D$5="部内間接",-N$68,0))</f>
        <v>69401.75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796403.5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13518.25</v>
      </c>
      <c r="D70" s="164">
        <f>IF('内訳ﾘｽﾄ(4～3月)'!$D$5="製造",SUMIF('内訳ﾘｽﾄ(4～3月)'!$D$8:$D$15,$B70,'内訳ﾘｽﾄ(4～3月)'!G$8:G$15),IF('内訳ﾘｽﾄ(4～3月)'!$D$5="部外間接1",-D$68,0))</f>
        <v>13184.25</v>
      </c>
      <c r="E70" s="164">
        <f>IF('内訳ﾘｽﾄ(4～3月)'!$D$5="製造",SUMIF('内訳ﾘｽﾄ(4～3月)'!$D$8:$D$15,$B70,'内訳ﾘｽﾄ(4～3月)'!H$8:H$15),IF('内訳ﾘｽﾄ(4～3月)'!$D$5="部外間接1",-E$68,0))</f>
        <v>14606.75</v>
      </c>
      <c r="F70" s="164">
        <f>IF('内訳ﾘｽﾄ(4～3月)'!$D$5="製造",SUMIF('内訳ﾘｽﾄ(4～3月)'!$D$8:$D$15,$B70,'内訳ﾘｽﾄ(4～3月)'!I$8:I$15),IF('内訳ﾘｽﾄ(4～3月)'!$D$5="部外間接1",-F$68,0))</f>
        <v>15539.75</v>
      </c>
      <c r="G70" s="164">
        <f>IF('内訳ﾘｽﾄ(4～3月)'!$D$5="製造",SUMIF('内訳ﾘｽﾄ(4～3月)'!$D$8:$D$15,$B70,'内訳ﾘｽﾄ(4～3月)'!J$8:J$15),IF('内訳ﾘｽﾄ(4～3月)'!$D$5="部外間接1",-G$68,0))</f>
        <v>13669.25</v>
      </c>
      <c r="H70" s="164">
        <f>IF('内訳ﾘｽﾄ(4～3月)'!$D$5="製造",SUMIF('内訳ﾘｽﾄ(4～3月)'!$D$8:$D$15,$B70,'内訳ﾘｽﾄ(4～3月)'!K$8:K$15),IF('内訳ﾘｽﾄ(4～3月)'!$D$5="部外間接1",-H$68,0))</f>
        <v>13014.75</v>
      </c>
      <c r="I70" s="164">
        <f>IF('内訳ﾘｽﾄ(4～3月)'!$D$5="製造",SUMIF('内訳ﾘｽﾄ(4～3月)'!$D$8:$D$15,$B70,'内訳ﾘｽﾄ(4～3月)'!L$8:L$15),IF('内訳ﾘｽﾄ(4～3月)'!$D$5="部外間接1",-I$68,0))</f>
        <v>15566.5</v>
      </c>
      <c r="J70" s="164">
        <f>IF('内訳ﾘｽﾄ(4～3月)'!$D$5="製造",SUMIF('内訳ﾘｽﾄ(4～3月)'!$D$8:$D$15,$B70,'内訳ﾘｽﾄ(4～3月)'!M$8:M$15),IF('内訳ﾘｽﾄ(4～3月)'!$D$5="部外間接1",-J$68,0))</f>
        <v>13512.75</v>
      </c>
      <c r="K70" s="164">
        <f>IF('内訳ﾘｽﾄ(4～3月)'!$D$5="製造",SUMIF('内訳ﾘｽﾄ(4～3月)'!$D$8:$D$15,$B70,'内訳ﾘｽﾄ(4～3月)'!N$8:N$15),IF('内訳ﾘｽﾄ(4～3月)'!$D$5="部外間接1",-K$68,0))</f>
        <v>14973.75</v>
      </c>
      <c r="L70" s="164">
        <f>IF('内訳ﾘｽﾄ(4～3月)'!$D$5="製造",SUMIF('内訳ﾘｽﾄ(4～3月)'!$D$8:$D$15,$B70,'内訳ﾘｽﾄ(4～3月)'!O$8:O$15),IF('内訳ﾘｽﾄ(4～3月)'!$D$5="部外間接1",-L$68,0))</f>
        <v>13886</v>
      </c>
      <c r="M70" s="164">
        <f>IF('内訳ﾘｽﾄ(4～3月)'!$D$5="製造",SUMIF('内訳ﾘｽﾄ(4～3月)'!$D$8:$D$15,$B70,'内訳ﾘｽﾄ(4～3月)'!P$8:P$15),IF('内訳ﾘｽﾄ(4～3月)'!$D$5="部外間接1",-M$68,0))</f>
        <v>10354.75</v>
      </c>
      <c r="N70" s="164">
        <f>IF('内訳ﾘｽﾄ(4～3月)'!$D$5="製造",SUMIF('内訳ﾘｽﾄ(4～3月)'!$D$8:$D$15,$B70,'内訳ﾘｽﾄ(4～3月)'!Q$8:Q$15),IF('内訳ﾘｽﾄ(4～3月)'!$D$5="部外間接1",-N$68,0))</f>
        <v>13886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165712.75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7014.25</v>
      </c>
      <c r="D71" s="164">
        <f>IF('内訳ﾘｽﾄ(4～3月)'!$D$5="製造",SUMIF('内訳ﾘｽﾄ(4～3月)'!$D$8:$D$15,$B71,'内訳ﾘｽﾄ(4～3月)'!G$8:G$15),IF('内訳ﾘｽﾄ(4～3月)'!$D$5="部外間接2",-D$68,0))</f>
        <v>6610.25</v>
      </c>
      <c r="E71" s="164">
        <f>IF('内訳ﾘｽﾄ(4～3月)'!$D$5="製造",SUMIF('内訳ﾘｽﾄ(4～3月)'!$D$8:$D$15,$B71,'内訳ﾘｽﾄ(4～3月)'!H$8:H$15),IF('内訳ﾘｽﾄ(4～3月)'!$D$5="部外間接2",-E$68,0))</f>
        <v>7428.75</v>
      </c>
      <c r="F71" s="164">
        <f>IF('内訳ﾘｽﾄ(4～3月)'!$D$5="製造",SUMIF('内訳ﾘｽﾄ(4～3月)'!$D$8:$D$15,$B71,'内訳ﾘｽﾄ(4～3月)'!I$8:I$15),IF('内訳ﾘｽﾄ(4～3月)'!$D$5="部外間接2",-F$68,0))</f>
        <v>7900.75</v>
      </c>
      <c r="G71" s="164">
        <f>IF('内訳ﾘｽﾄ(4～3月)'!$D$5="製造",SUMIF('内訳ﾘｽﾄ(4～3月)'!$D$8:$D$15,$B71,'内訳ﾘｽﾄ(4～3月)'!J$8:J$15),IF('内訳ﾘｽﾄ(4～3月)'!$D$5="部外間接2",-G$68,0))</f>
        <v>6987.75</v>
      </c>
      <c r="H71" s="164">
        <f>IF('内訳ﾘｽﾄ(4～3月)'!$D$5="製造",SUMIF('内訳ﾘｽﾄ(4～3月)'!$D$8:$D$15,$B71,'内訳ﾘｽﾄ(4～3月)'!K$8:K$15),IF('内訳ﾘｽﾄ(4～3月)'!$D$5="部外間接2",-H$68,0))</f>
        <v>6696.25</v>
      </c>
      <c r="I71" s="164">
        <f>IF('内訳ﾘｽﾄ(4～3月)'!$D$5="製造",SUMIF('内訳ﾘｽﾄ(4～3月)'!$D$8:$D$15,$B71,'内訳ﾘｽﾄ(4～3月)'!L$8:L$15),IF('内訳ﾘｽﾄ(4～3月)'!$D$5="部外間接2",-I$68,0))</f>
        <v>8079.5</v>
      </c>
      <c r="J71" s="164">
        <f>IF('内訳ﾘｽﾄ(4～3月)'!$D$5="製造",SUMIF('内訳ﾘｽﾄ(4～3月)'!$D$8:$D$15,$B71,'内訳ﾘｽﾄ(4～3月)'!M$8:M$15),IF('内訳ﾘｽﾄ(4～3月)'!$D$5="部外間接2",-J$68,0))</f>
        <v>7039.5</v>
      </c>
      <c r="K71" s="164">
        <f>IF('内訳ﾘｽﾄ(4～3月)'!$D$5="製造",SUMIF('内訳ﾘｽﾄ(4～3月)'!$D$8:$D$15,$B71,'内訳ﾘｽﾄ(4～3月)'!N$8:N$15),IF('内訳ﾘｽﾄ(4～3月)'!$D$5="部外間接2",-K$68,0))</f>
        <v>7788</v>
      </c>
      <c r="L71" s="164">
        <f>IF('内訳ﾘｽﾄ(4～3月)'!$D$5="製造",SUMIF('内訳ﾘｽﾄ(4～3月)'!$D$8:$D$15,$B71,'内訳ﾘｽﾄ(4～3月)'!O$8:O$15),IF('内訳ﾘｽﾄ(4～3月)'!$D$5="部外間接2",-L$68,0))</f>
        <v>6968.5</v>
      </c>
      <c r="M71" s="164">
        <f>IF('内訳ﾘｽﾄ(4～3月)'!$D$5="製造",SUMIF('内訳ﾘｽﾄ(4～3月)'!$D$8:$D$15,$B71,'内訳ﾘｽﾄ(4～3月)'!P$8:P$15),IF('内訳ﾘｽﾄ(4～3月)'!$D$5="部外間接2",-M$68,0))</f>
        <v>5129.75</v>
      </c>
      <c r="N71" s="164">
        <f>IF('内訳ﾘｽﾄ(4～3月)'!$D$5="製造",SUMIF('内訳ﾘｽﾄ(4～3月)'!$D$8:$D$15,$B71,'内訳ﾘｽﾄ(4～3月)'!Q$8:Q$15),IF('内訳ﾘｽﾄ(4～3月)'!$D$5="部外間接2",-N$68,0))</f>
        <v>6951.25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84594.5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11280.5</v>
      </c>
      <c r="D72" s="165">
        <f>IF('内訳ﾘｽﾄ(4～3月)'!$D$5="製造",SUMIF('内訳ﾘｽﾄ(4～3月)'!$D$8:$D$15,$B72,'内訳ﾘｽﾄ(4～3月)'!G$8:G$15),IF('内訳ﾘｽﾄ(4～3月)'!$D$5="工場間接",-D$68,0))</f>
        <v>11235.25</v>
      </c>
      <c r="E72" s="165">
        <f>IF('内訳ﾘｽﾄ(4～3月)'!$D$5="製造",SUMIF('内訳ﾘｽﾄ(4～3月)'!$D$8:$D$15,$B72,'内訳ﾘｽﾄ(4～3月)'!H$8:H$15),IF('内訳ﾘｽﾄ(4～3月)'!$D$5="工場間接",-E$68,0))</f>
        <v>11868.5</v>
      </c>
      <c r="F72" s="165">
        <f>IF('内訳ﾘｽﾄ(4～3月)'!$D$5="製造",SUMIF('内訳ﾘｽﾄ(4～3月)'!$D$8:$D$15,$B72,'内訳ﾘｽﾄ(4～3月)'!I$8:I$15),IF('内訳ﾘｽﾄ(4～3月)'!$D$5="工場間接",-F$68,0))</f>
        <v>11824.25</v>
      </c>
      <c r="G72" s="165">
        <f>IF('内訳ﾘｽﾄ(4～3月)'!$D$5="製造",SUMIF('内訳ﾘｽﾄ(4～3月)'!$D$8:$D$15,$B72,'内訳ﾘｽﾄ(4～3月)'!J$8:J$15),IF('内訳ﾘｽﾄ(4～3月)'!$D$5="工場間接",-G$68,0))</f>
        <v>10806</v>
      </c>
      <c r="H72" s="165">
        <f>IF('内訳ﾘｽﾄ(4～3月)'!$D$5="製造",SUMIF('内訳ﾘｽﾄ(4～3月)'!$D$8:$D$15,$B72,'内訳ﾘｽﾄ(4～3月)'!K$8:K$15),IF('内訳ﾘｽﾄ(4～3月)'!$D$5="工場間接",-H$68,0))</f>
        <v>10118.5</v>
      </c>
      <c r="I72" s="165">
        <f>IF('内訳ﾘｽﾄ(4～3月)'!$D$5="製造",SUMIF('内訳ﾘｽﾄ(4～3月)'!$D$8:$D$15,$B72,'内訳ﾘｽﾄ(4～3月)'!L$8:L$15),IF('内訳ﾘｽﾄ(4～3月)'!$D$5="工場間接",-I$68,0))</f>
        <v>11795.75</v>
      </c>
      <c r="J72" s="165">
        <f>IF('内訳ﾘｽﾄ(4～3月)'!$D$5="製造",SUMIF('内訳ﾘｽﾄ(4～3月)'!$D$8:$D$15,$B72,'内訳ﾘｽﾄ(4～3月)'!M$8:M$15),IF('内訳ﾘｽﾄ(4～3月)'!$D$5="工場間接",-J$68,0))</f>
        <v>10771</v>
      </c>
      <c r="K72" s="165">
        <f>IF('内訳ﾘｽﾄ(4～3月)'!$D$5="製造",SUMIF('内訳ﾘｽﾄ(4～3月)'!$D$8:$D$15,$B72,'内訳ﾘｽﾄ(4～3月)'!N$8:N$15),IF('内訳ﾘｽﾄ(4～3月)'!$D$5="工場間接",-K$68,0))</f>
        <v>11614.25</v>
      </c>
      <c r="L72" s="165">
        <f>IF('内訳ﾘｽﾄ(4～3月)'!$D$5="製造",SUMIF('内訳ﾘｽﾄ(4～3月)'!$D$8:$D$15,$B72,'内訳ﾘｽﾄ(4～3月)'!O$8:O$15),IF('内訳ﾘｽﾄ(4～3月)'!$D$5="工場間接",-L$68,0))</f>
        <v>10109.5</v>
      </c>
      <c r="M72" s="165">
        <f>IF('内訳ﾘｽﾄ(4～3月)'!$D$5="製造",SUMIF('内訳ﾘｽﾄ(4～3月)'!$D$8:$D$15,$B72,'内訳ﾘｽﾄ(4～3月)'!P$8:P$15),IF('内訳ﾘｽﾄ(4～3月)'!$D$5="工場間接",-M$68,0))</f>
        <v>7572.75</v>
      </c>
      <c r="N72" s="165">
        <f>IF('内訳ﾘｽﾄ(4～3月)'!$D$5="製造",SUMIF('内訳ﾘｽﾄ(4～3月)'!$D$8:$D$15,$B72,'内訳ﾘｽﾄ(4～3月)'!Q$8:Q$15),IF('内訳ﾘｽﾄ(4～3月)'!$D$5="工場間接",-N$68,0))</f>
        <v>10161.25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129157.5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415333</v>
      </c>
      <c r="D73" s="166">
        <f t="shared" ref="D73:N73" si="6">SUM(D68:D72)</f>
        <v>386873.25</v>
      </c>
      <c r="E73" s="166">
        <f t="shared" si="6"/>
        <v>415821.75</v>
      </c>
      <c r="F73" s="166">
        <f t="shared" si="6"/>
        <v>513656.25</v>
      </c>
      <c r="G73" s="166">
        <f t="shared" si="6"/>
        <v>448279</v>
      </c>
      <c r="H73" s="166">
        <f t="shared" si="6"/>
        <v>415828.75</v>
      </c>
      <c r="I73" s="166">
        <f t="shared" si="6"/>
        <v>504004.5</v>
      </c>
      <c r="J73" s="166">
        <f t="shared" si="6"/>
        <v>461174.75</v>
      </c>
      <c r="K73" s="166">
        <f t="shared" si="6"/>
        <v>494217.75</v>
      </c>
      <c r="L73" s="166">
        <f t="shared" si="6"/>
        <v>482320.25</v>
      </c>
      <c r="M73" s="166">
        <f t="shared" si="6"/>
        <v>386259.75</v>
      </c>
      <c r="N73" s="166">
        <f t="shared" si="6"/>
        <v>466511.25</v>
      </c>
      <c r="O73" s="166">
        <f>IF(ISBLANK(O4),"",SUM(O68:O72))</f>
        <v>5390280.25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2586</v>
      </c>
      <c r="D74" s="162">
        <f>SUMIF('内訳ﾘｽﾄ(4～3月)'!$D$16:$D$23,'採算表(VND)'!$B74,'内訳ﾘｽﾄ(4～3月)'!G$16:G$23)</f>
        <v>3206</v>
      </c>
      <c r="E74" s="162">
        <f>SUMIF('内訳ﾘｽﾄ(4～3月)'!$D$16:$D$23,'採算表(VND)'!$B74,'内訳ﾘｽﾄ(4～3月)'!H$16:H$23)</f>
        <v>2474</v>
      </c>
      <c r="F74" s="162">
        <f>SUMIF('内訳ﾘｽﾄ(4～3月)'!$D$16:$D$23,'採算表(VND)'!$B74,'内訳ﾘｽﾄ(4～3月)'!I$16:I$23)</f>
        <v>2493</v>
      </c>
      <c r="G74" s="162">
        <f>SUMIF('内訳ﾘｽﾄ(4～3月)'!$D$16:$D$23,'採算表(VND)'!$B74,'内訳ﾘｽﾄ(4～3月)'!J$16:J$23)</f>
        <v>5097</v>
      </c>
      <c r="H74" s="162">
        <f>SUMIF('内訳ﾘｽﾄ(4～3月)'!$D$16:$D$23,'採算表(VND)'!$B74,'内訳ﾘｽﾄ(4～3月)'!K$16:K$23)</f>
        <v>18724</v>
      </c>
      <c r="I74" s="162">
        <f>SUMIF('内訳ﾘｽﾄ(4～3月)'!$D$16:$D$23,'採算表(VND)'!$B74,'内訳ﾘｽﾄ(4～3月)'!L$16:L$23)</f>
        <v>3543</v>
      </c>
      <c r="J74" s="162">
        <f>SUMIF('内訳ﾘｽﾄ(4～3月)'!$D$16:$D$23,'採算表(VND)'!$B74,'内訳ﾘｽﾄ(4～3月)'!M$16:M$23)</f>
        <v>9464</v>
      </c>
      <c r="K74" s="162">
        <f>SUMIF('内訳ﾘｽﾄ(4～3月)'!$D$16:$D$23,'採算表(VND)'!$B74,'内訳ﾘｽﾄ(4～3月)'!N$16:N$23)</f>
        <v>3538</v>
      </c>
      <c r="L74" s="162">
        <f>SUMIF('内訳ﾘｽﾄ(4～3月)'!$D$16:$D$23,'採算表(VND)'!$B74,'内訳ﾘｽﾄ(4～3月)'!O$16:O$23)</f>
        <v>8136</v>
      </c>
      <c r="M74" s="162">
        <f>SUMIF('内訳ﾘｽﾄ(4～3月)'!$D$16:$D$23,'採算表(VND)'!$B74,'内訳ﾘｽﾄ(4～3月)'!P$16:P$23)</f>
        <v>29696</v>
      </c>
      <c r="N74" s="162">
        <f>SUMIF('内訳ﾘｽﾄ(4～3月)'!$D$16:$D$23,'採算表(VND)'!$B74,'内訳ﾘｽﾄ(4～3月)'!Q$16:Q$23)</f>
        <v>6108</v>
      </c>
      <c r="O74" s="162">
        <f>SUMIF('内訳ﾘｽﾄ(4～3月)'!$D$16:$D$23,'採算表(VND)'!$B74,'内訳ﾘｽﾄ(4～3月)'!$R$16:$R$23)</f>
        <v>95065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5022.25</v>
      </c>
      <c r="D75" s="163">
        <f>IF('内訳ﾘｽﾄ(4～3月)'!$D$5="製造",SUMIF('内訳ﾘｽﾄ(4～3月)'!$D$16:$D$23,$B75,'内訳ﾘｽﾄ(4～3月)'!G$16:G$23),IF('内訳ﾘｽﾄ(4～3月)'!$D$5="部内間接",-D$74,0))</f>
        <v>5015.5</v>
      </c>
      <c r="E75" s="163">
        <f>IF('内訳ﾘｽﾄ(4～3月)'!$D$5="製造",SUMIF('内訳ﾘｽﾄ(4～3月)'!$D$16:$D$23,$B75,'内訳ﾘｽﾄ(4～3月)'!H$16:H$23),IF('内訳ﾘｽﾄ(4～3月)'!$D$5="部内間接",-E$74,0))</f>
        <v>5091.75</v>
      </c>
      <c r="F75" s="163">
        <f>IF('内訳ﾘｽﾄ(4～3月)'!$D$5="製造",SUMIF('内訳ﾘｽﾄ(4～3月)'!$D$16:$D$23,$B75,'内訳ﾘｽﾄ(4～3月)'!I$16:I$23),IF('内訳ﾘｽﾄ(4～3月)'!$D$5="部内間接",-F$74,0))</f>
        <v>5030.25</v>
      </c>
      <c r="G75" s="163">
        <f>IF('内訳ﾘｽﾄ(4～3月)'!$D$5="製造",SUMIF('内訳ﾘｽﾄ(4～3月)'!$D$16:$D$23,$B75,'内訳ﾘｽﾄ(4～3月)'!J$16:J$23),IF('内訳ﾘｽﾄ(4～3月)'!$D$5="部内間接",-G$74,0))</f>
        <v>5993.5</v>
      </c>
      <c r="H75" s="163">
        <f>IF('内訳ﾘｽﾄ(4～3月)'!$D$5="製造",SUMIF('内訳ﾘｽﾄ(4～3月)'!$D$16:$D$23,$B75,'内訳ﾘｽﾄ(4～3月)'!K$16:K$23),IF('内訳ﾘｽﾄ(4～3月)'!$D$5="部内間接",-H$74,0))</f>
        <v>6158</v>
      </c>
      <c r="I75" s="163">
        <f>IF('内訳ﾘｽﾄ(4～3月)'!$D$5="製造",SUMIF('内訳ﾘｽﾄ(4～3月)'!$D$16:$D$23,$B75,'内訳ﾘｽﾄ(4～3月)'!L$16:L$23),IF('内訳ﾘｽﾄ(4～3月)'!$D$5="部内間接",-I$74,0))</f>
        <v>6224</v>
      </c>
      <c r="J75" s="163">
        <f>IF('内訳ﾘｽﾄ(4～3月)'!$D$5="製造",SUMIF('内訳ﾘｽﾄ(4～3月)'!$D$16:$D$23,$B75,'内訳ﾘｽﾄ(4～3月)'!M$16:M$23),IF('内訳ﾘｽﾄ(4～3月)'!$D$5="部内間接",-J$74,0))</f>
        <v>5544.25</v>
      </c>
      <c r="K75" s="163">
        <f>IF('内訳ﾘｽﾄ(4～3月)'!$D$5="製造",SUMIF('内訳ﾘｽﾄ(4～3月)'!$D$16:$D$23,$B75,'内訳ﾘｽﾄ(4～3月)'!N$16:N$23),IF('内訳ﾘｽﾄ(4～3月)'!$D$5="部内間接",-K$74,0))</f>
        <v>6421.75</v>
      </c>
      <c r="L75" s="163">
        <f>IF('内訳ﾘｽﾄ(4～3月)'!$D$5="製造",SUMIF('内訳ﾘｽﾄ(4～3月)'!$D$16:$D$23,$B75,'内訳ﾘｽﾄ(4～3月)'!O$16:O$23),IF('内訳ﾘｽﾄ(4～3月)'!$D$5="部内間接",-L$74,0))</f>
        <v>6997</v>
      </c>
      <c r="M75" s="163">
        <f>IF('内訳ﾘｽﾄ(4～3月)'!$D$5="製造",SUMIF('内訳ﾘｽﾄ(4～3月)'!$D$16:$D$23,$B75,'内訳ﾘｽﾄ(4～3月)'!P$16:P$23),IF('内訳ﾘｽﾄ(4～3月)'!$D$5="部内間接",-M$74,0))</f>
        <v>7131</v>
      </c>
      <c r="N75" s="163">
        <f>IF('内訳ﾘｽﾄ(4～3月)'!$D$5="製造",SUMIF('内訳ﾘｽﾄ(4～3月)'!$D$16:$D$23,$B75,'内訳ﾘｽﾄ(4～3月)'!Q$16:Q$23),IF('内訳ﾘｽﾄ(4～3月)'!$D$5="部内間接",-N$74,0))</f>
        <v>7328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71957.25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736</v>
      </c>
      <c r="D76" s="164">
        <f>IF('内訳ﾘｽﾄ(4～3月)'!$D$5="製造",SUMIF('内訳ﾘｽﾄ(4～3月)'!$D$16:$D$23,$B76,'内訳ﾘｽﾄ(4～3月)'!G$16:G$23),IF('内訳ﾘｽﾄ(4～3月)'!$D$5="部外間接1",-D$74,0))</f>
        <v>725.75</v>
      </c>
      <c r="E76" s="164">
        <f>IF('内訳ﾘｽﾄ(4～3月)'!$D$5="製造",SUMIF('内訳ﾘｽﾄ(4～3月)'!$D$16:$D$23,$B76,'内訳ﾘｽﾄ(4～3月)'!H$16:H$23),IF('内訳ﾘｽﾄ(4～3月)'!$D$5="部外間接1",-E$74,0))</f>
        <v>829.75</v>
      </c>
      <c r="F76" s="164">
        <f>IF('内訳ﾘｽﾄ(4～3月)'!$D$5="製造",SUMIF('内訳ﾘｽﾄ(4～3月)'!$D$16:$D$23,$B76,'内訳ﾘｽﾄ(4～3月)'!I$16:I$23),IF('内訳ﾘｽﾄ(4～3月)'!$D$5="部外間接1",-F$74,0))</f>
        <v>918.25</v>
      </c>
      <c r="G76" s="164">
        <f>IF('内訳ﾘｽﾄ(4～3月)'!$D$5="製造",SUMIF('内訳ﾘｽﾄ(4～3月)'!$D$16:$D$23,$B76,'内訳ﾘｽﾄ(4～3月)'!J$16:J$23),IF('内訳ﾘｽﾄ(4～3月)'!$D$5="部外間接1",-G$74,0))</f>
        <v>759.75</v>
      </c>
      <c r="H76" s="164">
        <f>IF('内訳ﾘｽﾄ(4～3月)'!$D$5="製造",SUMIF('内訳ﾘｽﾄ(4～3月)'!$D$16:$D$23,$B76,'内訳ﾘｽﾄ(4～3月)'!K$16:K$23),IF('内訳ﾘｽﾄ(4～3月)'!$D$5="部外間接1",-H$74,0))</f>
        <v>744.25</v>
      </c>
      <c r="I76" s="164">
        <f>IF('内訳ﾘｽﾄ(4～3月)'!$D$5="製造",SUMIF('内訳ﾘｽﾄ(4～3月)'!$D$16:$D$23,$B76,'内訳ﾘｽﾄ(4～3月)'!L$16:L$23),IF('内訳ﾘｽﾄ(4～3月)'!$D$5="部外間接1",-I$74,0))</f>
        <v>901.25</v>
      </c>
      <c r="J76" s="164">
        <f>IF('内訳ﾘｽﾄ(4～3月)'!$D$5="製造",SUMIF('内訳ﾘｽﾄ(4～3月)'!$D$16:$D$23,$B76,'内訳ﾘｽﾄ(4～3月)'!M$16:M$23),IF('内訳ﾘｽﾄ(4～3月)'!$D$5="部外間接1",-J$74,0))</f>
        <v>756</v>
      </c>
      <c r="K76" s="164">
        <f>IF('内訳ﾘｽﾄ(4～3月)'!$D$5="製造",SUMIF('内訳ﾘｽﾄ(4～3月)'!$D$16:$D$23,$B76,'内訳ﾘｽﾄ(4～3月)'!N$16:N$23),IF('内訳ﾘｽﾄ(4～3月)'!$D$5="部外間接1",-K$74,0))</f>
        <v>764.75</v>
      </c>
      <c r="L76" s="164">
        <f>IF('内訳ﾘｽﾄ(4～3月)'!$D$5="製造",SUMIF('内訳ﾘｽﾄ(4～3月)'!$D$16:$D$23,$B76,'内訳ﾘｽﾄ(4～3月)'!O$16:O$23),IF('内訳ﾘｽﾄ(4～3月)'!$D$5="部外間接1",-L$74,0))</f>
        <v>709.75</v>
      </c>
      <c r="M76" s="164">
        <f>IF('内訳ﾘｽﾄ(4～3月)'!$D$5="製造",SUMIF('内訳ﾘｽﾄ(4～3月)'!$D$16:$D$23,$B76,'内訳ﾘｽﾄ(4～3月)'!P$16:P$23),IF('内訳ﾘｽﾄ(4～3月)'!$D$5="部外間接1",-M$74,0))</f>
        <v>593.25</v>
      </c>
      <c r="N76" s="164">
        <f>IF('内訳ﾘｽﾄ(4～3月)'!$D$5="製造",SUMIF('内訳ﾘｽﾄ(4～3月)'!$D$16:$D$23,$B76,'内訳ﾘｽﾄ(4～3月)'!Q$16:Q$23),IF('内訳ﾘｽﾄ(4～3月)'!$D$5="部外間接1",-N$74,0))</f>
        <v>830.5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9269.25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558</v>
      </c>
      <c r="D77" s="164">
        <f>IF('内訳ﾘｽﾄ(4～3月)'!$D$5="製造",SUMIF('内訳ﾘｽﾄ(4～3月)'!$D$16:$D$23,$B77,'内訳ﾘｽﾄ(4～3月)'!G$16:G$23),IF('内訳ﾘｽﾄ(4～3月)'!$D$5="部外間接2",-D$74,0))</f>
        <v>528.75</v>
      </c>
      <c r="E77" s="164">
        <f>IF('内訳ﾘｽﾄ(4～3月)'!$D$5="製造",SUMIF('内訳ﾘｽﾄ(4～3月)'!$D$16:$D$23,$B77,'内訳ﾘｽﾄ(4～3月)'!H$16:H$23),IF('内訳ﾘｽﾄ(4～3月)'!$D$5="部外間接2",-E$74,0))</f>
        <v>574.75</v>
      </c>
      <c r="F77" s="164">
        <f>IF('内訳ﾘｽﾄ(4～3月)'!$D$5="製造",SUMIF('内訳ﾘｽﾄ(4～3月)'!$D$16:$D$23,$B77,'内訳ﾘｽﾄ(4～3月)'!I$16:I$23),IF('内訳ﾘｽﾄ(4～3月)'!$D$5="部外間接2",-F$74,0))</f>
        <v>568.75</v>
      </c>
      <c r="G77" s="164">
        <f>IF('内訳ﾘｽﾄ(4～3月)'!$D$5="製造",SUMIF('内訳ﾘｽﾄ(4～3月)'!$D$16:$D$23,$B77,'内訳ﾘｽﾄ(4～3月)'!J$16:J$23),IF('内訳ﾘｽﾄ(4～3月)'!$D$5="部外間接2",-G$74,0))</f>
        <v>547.25</v>
      </c>
      <c r="H77" s="164">
        <f>IF('内訳ﾘｽﾄ(4～3月)'!$D$5="製造",SUMIF('内訳ﾘｽﾄ(4～3月)'!$D$16:$D$23,$B77,'内訳ﾘｽﾄ(4～3月)'!K$16:K$23),IF('内訳ﾘｽﾄ(4～3月)'!$D$5="部外間接2",-H$74,0))</f>
        <v>485.25</v>
      </c>
      <c r="I77" s="164">
        <f>IF('内訳ﾘｽﾄ(4～3月)'!$D$5="製造",SUMIF('内訳ﾘｽﾄ(4～3月)'!$D$16:$D$23,$B77,'内訳ﾘｽﾄ(4～3月)'!L$16:L$23),IF('内訳ﾘｽﾄ(4～3月)'!$D$5="部外間接2",-I$74,0))</f>
        <v>536.75</v>
      </c>
      <c r="J77" s="164">
        <f>IF('内訳ﾘｽﾄ(4～3月)'!$D$5="製造",SUMIF('内訳ﾘｽﾄ(4～3月)'!$D$16:$D$23,$B77,'内訳ﾘｽﾄ(4～3月)'!M$16:M$23),IF('内訳ﾘｽﾄ(4～3月)'!$D$5="部外間接2",-J$74,0))</f>
        <v>497</v>
      </c>
      <c r="K77" s="164">
        <f>IF('内訳ﾘｽﾄ(4～3月)'!$D$5="製造",SUMIF('内訳ﾘｽﾄ(4～3月)'!$D$16:$D$23,$B77,'内訳ﾘｽﾄ(4～3月)'!N$16:N$23),IF('内訳ﾘｽﾄ(4～3月)'!$D$5="部外間接2",-K$74,0))</f>
        <v>527</v>
      </c>
      <c r="L77" s="164">
        <f>IF('内訳ﾘｽﾄ(4～3月)'!$D$5="製造",SUMIF('内訳ﾘｽﾄ(4～3月)'!$D$16:$D$23,$B77,'内訳ﾘｽﾄ(4～3月)'!O$16:O$23),IF('内訳ﾘｽﾄ(4～3月)'!$D$5="部外間接2",-L$74,0))</f>
        <v>514.5</v>
      </c>
      <c r="M77" s="164">
        <f>IF('内訳ﾘｽﾄ(4～3月)'!$D$5="製造",SUMIF('内訳ﾘｽﾄ(4～3月)'!$D$16:$D$23,$B77,'内訳ﾘｽﾄ(4～3月)'!P$16:P$23),IF('内訳ﾘｽﾄ(4～3月)'!$D$5="部外間接2",-M$74,0))</f>
        <v>457.5</v>
      </c>
      <c r="N77" s="164">
        <f>IF('内訳ﾘｽﾄ(4～3月)'!$D$5="製造",SUMIF('内訳ﾘｽﾄ(4～3月)'!$D$16:$D$23,$B77,'内訳ﾘｽﾄ(4～3月)'!Q$16:Q$23),IF('内訳ﾘｽﾄ(4～3月)'!$D$5="部外間接2",-N$74,0))</f>
        <v>539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6334.5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632</v>
      </c>
      <c r="D78" s="165">
        <f>IF('内訳ﾘｽﾄ(4～3月)'!$D$5="製造",SUMIF('内訳ﾘｽﾄ(4～3月)'!$D$16:$D$23,$B78,'内訳ﾘｽﾄ(4～3月)'!G$16:G$23),IF('内訳ﾘｽﾄ(4～3月)'!$D$5="工場間接",-D$74,0))</f>
        <v>559.5</v>
      </c>
      <c r="E78" s="165">
        <f>IF('内訳ﾘｽﾄ(4～3月)'!$D$5="製造",SUMIF('内訳ﾘｽﾄ(4～3月)'!$D$16:$D$23,$B78,'内訳ﾘｽﾄ(4～3月)'!H$16:H$23),IF('内訳ﾘｽﾄ(4～3月)'!$D$5="工場間接",-E$74,0))</f>
        <v>501.5</v>
      </c>
      <c r="F78" s="165">
        <f>IF('内訳ﾘｽﾄ(4～3月)'!$D$5="製造",SUMIF('内訳ﾘｽﾄ(4～3月)'!$D$16:$D$23,$B78,'内訳ﾘｽﾄ(4～3月)'!I$16:I$23),IF('内訳ﾘｽﾄ(4～3月)'!$D$5="工場間接",-F$74,0))</f>
        <v>512</v>
      </c>
      <c r="G78" s="165">
        <f>IF('内訳ﾘｽﾄ(4～3月)'!$D$5="製造",SUMIF('内訳ﾘｽﾄ(4～3月)'!$D$16:$D$23,$B78,'内訳ﾘｽﾄ(4～3月)'!J$16:J$23),IF('内訳ﾘｽﾄ(4～3月)'!$D$5="工場間接",-G$74,0))</f>
        <v>474.5</v>
      </c>
      <c r="H78" s="165">
        <f>IF('内訳ﾘｽﾄ(4～3月)'!$D$5="製造",SUMIF('内訳ﾘｽﾄ(4～3月)'!$D$16:$D$23,$B78,'内訳ﾘｽﾄ(4～3月)'!K$16:K$23),IF('内訳ﾘｽﾄ(4～3月)'!$D$5="工場間接",-H$74,0))</f>
        <v>641.75</v>
      </c>
      <c r="I78" s="165">
        <f>IF('内訳ﾘｽﾄ(4～3月)'!$D$5="製造",SUMIF('内訳ﾘｽﾄ(4～3月)'!$D$16:$D$23,$B78,'内訳ﾘｽﾄ(4～3月)'!L$16:L$23),IF('内訳ﾘｽﾄ(4～3月)'!$D$5="工場間接",-I$74,0))</f>
        <v>502.75</v>
      </c>
      <c r="J78" s="165">
        <f>IF('内訳ﾘｽﾄ(4～3月)'!$D$5="製造",SUMIF('内訳ﾘｽﾄ(4～3月)'!$D$16:$D$23,$B78,'内訳ﾘｽﾄ(4～3月)'!M$16:M$23),IF('内訳ﾘｽﾄ(4～3月)'!$D$5="工場間接",-J$74,0))</f>
        <v>476.5</v>
      </c>
      <c r="K78" s="165">
        <f>IF('内訳ﾘｽﾄ(4～3月)'!$D$5="製造",SUMIF('内訳ﾘｽﾄ(4～3月)'!$D$16:$D$23,$B78,'内訳ﾘｽﾄ(4～3月)'!N$16:N$23),IF('内訳ﾘｽﾄ(4～3月)'!$D$5="工場間接",-K$74,0))</f>
        <v>485.5</v>
      </c>
      <c r="L78" s="165">
        <f>IF('内訳ﾘｽﾄ(4～3月)'!$D$5="製造",SUMIF('内訳ﾘｽﾄ(4～3月)'!$D$16:$D$23,$B78,'内訳ﾘｽﾄ(4～3月)'!O$16:O$23),IF('内訳ﾘｽﾄ(4～3月)'!$D$5="工場間接",-L$74,0))</f>
        <v>409</v>
      </c>
      <c r="M78" s="165">
        <f>IF('内訳ﾘｽﾄ(4～3月)'!$D$5="製造",SUMIF('内訳ﾘｽﾄ(4～3月)'!$D$16:$D$23,$B78,'内訳ﾘｽﾄ(4～3月)'!P$16:P$23),IF('内訳ﾘｽﾄ(4～3月)'!$D$5="工場間接",-M$74,0))</f>
        <v>664.75</v>
      </c>
      <c r="N78" s="165">
        <f>IF('内訳ﾘｽﾄ(4～3月)'!$D$5="製造",SUMIF('内訳ﾘｽﾄ(4～3月)'!$D$16:$D$23,$B78,'内訳ﾘｽﾄ(4～3月)'!Q$16:Q$23),IF('内訳ﾘｽﾄ(4～3月)'!$D$5="工場間接",-N$74,0))</f>
        <v>446.75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6306.5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9534.25</v>
      </c>
      <c r="D79" s="166">
        <f t="shared" ref="D79:N79" si="7">SUM(D74:D78)</f>
        <v>10035.5</v>
      </c>
      <c r="E79" s="166">
        <f t="shared" si="7"/>
        <v>9471.75</v>
      </c>
      <c r="F79" s="166">
        <f t="shared" si="7"/>
        <v>9522.25</v>
      </c>
      <c r="G79" s="166">
        <f t="shared" si="7"/>
        <v>12872</v>
      </c>
      <c r="H79" s="166">
        <f t="shared" si="7"/>
        <v>26753.25</v>
      </c>
      <c r="I79" s="166">
        <f t="shared" si="7"/>
        <v>11707.75</v>
      </c>
      <c r="J79" s="166">
        <f t="shared" si="7"/>
        <v>16737.75</v>
      </c>
      <c r="K79" s="166">
        <f t="shared" si="7"/>
        <v>11737</v>
      </c>
      <c r="L79" s="166">
        <f t="shared" si="7"/>
        <v>16766.25</v>
      </c>
      <c r="M79" s="166">
        <f t="shared" si="7"/>
        <v>38542.5</v>
      </c>
      <c r="N79" s="166">
        <f t="shared" si="7"/>
        <v>15252.25</v>
      </c>
      <c r="O79" s="166">
        <f>IF(ISBLANK(O10),"",SUM(O74:O78))</f>
        <v>188932.5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145742</v>
      </c>
      <c r="D80" s="167">
        <f t="shared" ref="D80:N80" si="8">IFERROR(ROUNDDOWN(D66/D67,0),0)</f>
        <v>130197</v>
      </c>
      <c r="E80" s="167">
        <f t="shared" si="8"/>
        <v>152605</v>
      </c>
      <c r="F80" s="167">
        <f t="shared" si="8"/>
        <v>144612</v>
      </c>
      <c r="G80" s="167">
        <f t="shared" si="8"/>
        <v>175529</v>
      </c>
      <c r="H80" s="167">
        <f t="shared" si="8"/>
        <v>121705</v>
      </c>
      <c r="I80" s="167">
        <f t="shared" si="8"/>
        <v>171405</v>
      </c>
      <c r="J80" s="167">
        <f t="shared" si="8"/>
        <v>176934</v>
      </c>
      <c r="K80" s="167">
        <f t="shared" si="8"/>
        <v>157319</v>
      </c>
      <c r="L80" s="167">
        <f t="shared" si="8"/>
        <v>171168</v>
      </c>
      <c r="M80" s="167">
        <f t="shared" si="8"/>
        <v>116814</v>
      </c>
      <c r="N80" s="167">
        <f t="shared" si="8"/>
        <v>165768</v>
      </c>
      <c r="O80" s="167">
        <f>IFERROR(ROUNDDOWN(O66/O67,0),0)</f>
        <v>153504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1546059</v>
      </c>
      <c r="D81" s="168">
        <f t="shared" ref="D81:N81" si="9">IFERROR(ROUNDDOWN(D12/D67,0),0)</f>
        <v>1619764</v>
      </c>
      <c r="E81" s="168">
        <f t="shared" si="9"/>
        <v>1645481</v>
      </c>
      <c r="F81" s="168">
        <f t="shared" si="9"/>
        <v>1477282</v>
      </c>
      <c r="G81" s="168">
        <f t="shared" si="9"/>
        <v>1621500</v>
      </c>
      <c r="H81" s="168">
        <f t="shared" si="9"/>
        <v>1265758</v>
      </c>
      <c r="I81" s="168">
        <f t="shared" si="9"/>
        <v>1551368</v>
      </c>
      <c r="J81" s="168">
        <f t="shared" si="9"/>
        <v>1609927</v>
      </c>
      <c r="K81" s="168">
        <f t="shared" si="9"/>
        <v>1396625</v>
      </c>
      <c r="L81" s="168">
        <f t="shared" si="9"/>
        <v>1492143</v>
      </c>
      <c r="M81" s="168">
        <f t="shared" si="9"/>
        <v>1210646</v>
      </c>
      <c r="N81" s="168">
        <f t="shared" si="9"/>
        <v>1314219</v>
      </c>
      <c r="O81" s="168">
        <f>IFERROR(ROUNDDOWN(O12/O67,0),0)</f>
        <v>1478461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1614</v>
      </c>
      <c r="D88" s="150">
        <f>SUMIF('内訳ﾘｽﾄ(4～3月)'!$D$24:$D$25,'採算表(VND)'!$B88,'内訳ﾘｽﾄ(4～3月)'!G$24:G$25)</f>
        <v>1554</v>
      </c>
      <c r="E88" s="150">
        <f>SUMIF('内訳ﾘｽﾄ(4～3月)'!$D$24:$D$25,'採算表(VND)'!$B88,'内訳ﾘｽﾄ(4～3月)'!H$24:H$25)</f>
        <v>1518</v>
      </c>
      <c r="F88" s="150">
        <f>SUMIF('内訳ﾘｽﾄ(4～3月)'!$D$24:$D$25,'採算表(VND)'!$B88,'内訳ﾘｽﾄ(4～3月)'!I$24:I$25)</f>
        <v>1753</v>
      </c>
      <c r="G88" s="150">
        <f>SUMIF('内訳ﾘｽﾄ(4～3月)'!$D$24:$D$25,'採算表(VND)'!$B88,'内訳ﾘｽﾄ(4～3月)'!J$24:J$25)</f>
        <v>1804</v>
      </c>
      <c r="H88" s="150">
        <f>SUMIF('内訳ﾘｽﾄ(4～3月)'!$D$24:$D$25,'採算表(VND)'!$B88,'内訳ﾘｽﾄ(4～3月)'!K$24:K$25)</f>
        <v>1732</v>
      </c>
      <c r="I88" s="150">
        <f>SUMIF('内訳ﾘｽﾄ(4～3月)'!$D$24:$D$25,'採算表(VND)'!$B88,'内訳ﾘｽﾄ(4～3月)'!L$24:L$25)</f>
        <v>1776</v>
      </c>
      <c r="J88" s="150">
        <f>SUMIF('内訳ﾘｽﾄ(4～3月)'!$D$24:$D$25,'採算表(VND)'!$B88,'内訳ﾘｽﾄ(4～3月)'!M$24:M$25)</f>
        <v>1877</v>
      </c>
      <c r="K88" s="150">
        <f>SUMIF('内訳ﾘｽﾄ(4～3月)'!$D$24:$D$25,'採算表(VND)'!$B88,'内訳ﾘｽﾄ(4～3月)'!N$24:N$25)</f>
        <v>1830</v>
      </c>
      <c r="L88" s="150">
        <f>SUMIF('内訳ﾘｽﾄ(4～3月)'!$D$24:$D$25,'採算表(VND)'!$B88,'内訳ﾘｽﾄ(4～3月)'!O$24:O$25)</f>
        <v>1994</v>
      </c>
      <c r="M88" s="150">
        <f>SUMIF('内訳ﾘｽﾄ(4～3月)'!$D$24:$D$25,'採算表(VND)'!$B88,'内訳ﾘｽﾄ(4～3月)'!P$24:P$25)</f>
        <v>2142</v>
      </c>
      <c r="N88" s="150">
        <f>SUMIF('内訳ﾘｽﾄ(4～3月)'!$D$24:$D$25,'採算表(VND)'!$B88,'内訳ﾘｽﾄ(4～3月)'!Q$24:Q$25)</f>
        <v>1893</v>
      </c>
      <c r="O88" s="150">
        <f>SUMIF('内訳ﾘｽﾄ(4～3月)'!$D$24:$D$25,'採算表(VND)'!$B88,'内訳ﾘｽﾄ(4～3月)'!R$24:R$25)</f>
        <v>1893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1614</v>
      </c>
      <c r="D89" s="151">
        <f t="shared" si="10"/>
        <v>1554</v>
      </c>
      <c r="E89" s="151">
        <f t="shared" si="10"/>
        <v>1518</v>
      </c>
      <c r="F89" s="151">
        <f t="shared" si="10"/>
        <v>1753</v>
      </c>
      <c r="G89" s="151">
        <f t="shared" si="10"/>
        <v>1804</v>
      </c>
      <c r="H89" s="151">
        <f t="shared" si="10"/>
        <v>1732</v>
      </c>
      <c r="I89" s="151">
        <f t="shared" si="10"/>
        <v>1776</v>
      </c>
      <c r="J89" s="151">
        <f t="shared" si="10"/>
        <v>1877</v>
      </c>
      <c r="K89" s="151">
        <f t="shared" si="10"/>
        <v>1830</v>
      </c>
      <c r="L89" s="151">
        <f t="shared" si="10"/>
        <v>1994</v>
      </c>
      <c r="M89" s="151">
        <f t="shared" si="10"/>
        <v>2142</v>
      </c>
      <c r="N89" s="151">
        <f t="shared" si="10"/>
        <v>1893</v>
      </c>
      <c r="O89" s="151">
        <f>O87+O88</f>
        <v>1893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316394</v>
      </c>
      <c r="D93" s="161">
        <f>SUMIF('内訳ﾘｽﾄ(4～3月)'!$B$8:$B$15,$B93,'内訳ﾘｽﾄ(4～3月)'!G$8:G$15)</f>
        <v>292450</v>
      </c>
      <c r="E93" s="161">
        <f>SUMIF('内訳ﾘｽﾄ(4～3月)'!$B$8:$B$15,$B93,'内訳ﾘｽﾄ(4～3月)'!H$8:H$15)</f>
        <v>311697</v>
      </c>
      <c r="F93" s="161">
        <f>SUMIF('内訳ﾘｽﾄ(4～3月)'!$B$8:$B$15,$B93,'内訳ﾘｽﾄ(4～3月)'!I$8:I$15)</f>
        <v>404363</v>
      </c>
      <c r="G93" s="161">
        <f>SUMIF('内訳ﾘｽﾄ(4～3月)'!$B$8:$B$15,$B93,'内訳ﾘｽﾄ(4～3月)'!J$8:J$15)</f>
        <v>353064</v>
      </c>
      <c r="H93" s="161">
        <f>SUMIF('内訳ﾘｽﾄ(4～3月)'!$B$8:$B$15,$B93,'内訳ﾘｽﾄ(4～3月)'!K$8:K$15)</f>
        <v>324235</v>
      </c>
      <c r="I93" s="161">
        <f>SUMIF('内訳ﾘｽﾄ(4～3月)'!$B$8:$B$15,$B93,'内訳ﾘｽﾄ(4～3月)'!L$8:L$15)</f>
        <v>394686</v>
      </c>
      <c r="J93" s="161">
        <f>SUMIF('内訳ﾘｽﾄ(4～3月)'!$B$8:$B$15,$B93,'内訳ﾘｽﾄ(4～3月)'!M$8:M$15)</f>
        <v>366145</v>
      </c>
      <c r="K93" s="161">
        <f>SUMIF('内訳ﾘｽﾄ(4～3月)'!$B$8:$B$15,$B93,'内訳ﾘｽﾄ(4～3月)'!N$8:N$15)</f>
        <v>389866</v>
      </c>
      <c r="L93" s="161">
        <f>SUMIF('内訳ﾘｽﾄ(4～3月)'!$B$8:$B$15,$B93,'内訳ﾘｽﾄ(4～3月)'!O$8:O$15)</f>
        <v>385014</v>
      </c>
      <c r="M93" s="161">
        <f>SUMIF('内訳ﾘｽﾄ(4～3月)'!$B$8:$B$15,$B93,'内訳ﾘｽﾄ(4～3月)'!P$8:P$15)</f>
        <v>310387</v>
      </c>
      <c r="N93" s="161">
        <f>SUMIF('内訳ﾘｽﾄ(4～3月)'!$B$8:$B$15,$B93,'内訳ﾘｽﾄ(4～3月)'!Q$8:Q$15)</f>
        <v>366111</v>
      </c>
      <c r="O93" s="161">
        <f>SUMIF('内訳ﾘｽﾄ(4～3月)'!$B$8:$B$15,$B93,'内訳ﾘｽﾄ(4～3月)'!R$8:R$15)</f>
        <v>4214412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316394</v>
      </c>
      <c r="D94" s="169">
        <f t="shared" si="11"/>
        <v>292450</v>
      </c>
      <c r="E94" s="169">
        <f t="shared" si="11"/>
        <v>311697</v>
      </c>
      <c r="F94" s="169">
        <f t="shared" si="11"/>
        <v>404363</v>
      </c>
      <c r="G94" s="169">
        <f t="shared" si="11"/>
        <v>353064</v>
      </c>
      <c r="H94" s="169">
        <f t="shared" si="11"/>
        <v>324235</v>
      </c>
      <c r="I94" s="169">
        <f t="shared" si="11"/>
        <v>394686</v>
      </c>
      <c r="J94" s="169">
        <f t="shared" si="11"/>
        <v>366145</v>
      </c>
      <c r="K94" s="169">
        <f t="shared" si="11"/>
        <v>389866</v>
      </c>
      <c r="L94" s="169">
        <f t="shared" si="11"/>
        <v>385014</v>
      </c>
      <c r="M94" s="169">
        <f t="shared" si="11"/>
        <v>310387</v>
      </c>
      <c r="N94" s="169">
        <f t="shared" si="11"/>
        <v>366111</v>
      </c>
      <c r="O94" s="169">
        <f>O92+O93</f>
        <v>4214412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2586</v>
      </c>
      <c r="D98" s="161">
        <f>SUMIF('内訳ﾘｽﾄ(4～3月)'!$B$16:$B$23,$B98,'内訳ﾘｽﾄ(4～3月)'!G$16:G$23)</f>
        <v>3206</v>
      </c>
      <c r="E98" s="161">
        <f>SUMIF('内訳ﾘｽﾄ(4～3月)'!$B$16:$B$23,$B98,'内訳ﾘｽﾄ(4～3月)'!H$16:H$23)</f>
        <v>2474</v>
      </c>
      <c r="F98" s="161">
        <f>SUMIF('内訳ﾘｽﾄ(4～3月)'!$B$16:$B$23,$B98,'内訳ﾘｽﾄ(4～3月)'!I$16:I$23)</f>
        <v>2493</v>
      </c>
      <c r="G98" s="161">
        <f>SUMIF('内訳ﾘｽﾄ(4～3月)'!$B$16:$B$23,$B98,'内訳ﾘｽﾄ(4～3月)'!J$16:J$23)</f>
        <v>5097</v>
      </c>
      <c r="H98" s="161">
        <f>SUMIF('内訳ﾘｽﾄ(4～3月)'!$B$16:$B$23,$B98,'内訳ﾘｽﾄ(4～3月)'!K$16:K$23)</f>
        <v>18724</v>
      </c>
      <c r="I98" s="161">
        <f>SUMIF('内訳ﾘｽﾄ(4～3月)'!$B$16:$B$23,$B98,'内訳ﾘｽﾄ(4～3月)'!L$16:L$23)</f>
        <v>3543</v>
      </c>
      <c r="J98" s="161">
        <f>SUMIF('内訳ﾘｽﾄ(4～3月)'!$B$16:$B$23,$B98,'内訳ﾘｽﾄ(4～3月)'!M$16:M$23)</f>
        <v>9464</v>
      </c>
      <c r="K98" s="161">
        <f>SUMIF('内訳ﾘｽﾄ(4～3月)'!$B$16:$B$23,$B98,'内訳ﾘｽﾄ(4～3月)'!N$16:N$23)</f>
        <v>3538</v>
      </c>
      <c r="L98" s="161">
        <f>SUMIF('内訳ﾘｽﾄ(4～3月)'!$B$16:$B$23,$B98,'内訳ﾘｽﾄ(4～3月)'!O$16:O$23)</f>
        <v>8136</v>
      </c>
      <c r="M98" s="161">
        <f>SUMIF('内訳ﾘｽﾄ(4～3月)'!$B$16:$B$23,$B98,'内訳ﾘｽﾄ(4～3月)'!P$16:P$23)</f>
        <v>29696</v>
      </c>
      <c r="N98" s="161">
        <f>SUMIF('内訳ﾘｽﾄ(4～3月)'!$B$16:$B$23,$B98,'内訳ﾘｽﾄ(4～3月)'!Q$16:Q$23)</f>
        <v>6108</v>
      </c>
      <c r="O98" s="161">
        <f>SUMIF('内訳ﾘｽﾄ(4～3月)'!$B$16:$B$23,$B98,'内訳ﾘｽﾄ(4～3月)'!R$16:R$23)</f>
        <v>95065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2586</v>
      </c>
      <c r="D99" s="169">
        <f t="shared" si="12"/>
        <v>3206</v>
      </c>
      <c r="E99" s="169">
        <f t="shared" si="12"/>
        <v>2474</v>
      </c>
      <c r="F99" s="169">
        <f t="shared" si="12"/>
        <v>2493</v>
      </c>
      <c r="G99" s="169">
        <f t="shared" si="12"/>
        <v>5097</v>
      </c>
      <c r="H99" s="169">
        <f t="shared" si="12"/>
        <v>18724</v>
      </c>
      <c r="I99" s="169">
        <f t="shared" si="12"/>
        <v>3543</v>
      </c>
      <c r="J99" s="169">
        <f t="shared" si="12"/>
        <v>9464</v>
      </c>
      <c r="K99" s="169">
        <f t="shared" si="12"/>
        <v>3538</v>
      </c>
      <c r="L99" s="169">
        <f t="shared" si="12"/>
        <v>8136</v>
      </c>
      <c r="M99" s="169">
        <f t="shared" si="12"/>
        <v>29696</v>
      </c>
      <c r="N99" s="169">
        <f t="shared" si="12"/>
        <v>6108</v>
      </c>
      <c r="O99" s="169">
        <f>O97+O98</f>
        <v>95065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DA60E4DE-AFE3-4F52-8AF2-EF24F4B495C8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A802-6BFC-4D09-A088-2574F45562D0}">
  <sheetPr codeName="Sheet3">
    <tabColor indexed="13"/>
  </sheetPr>
  <dimension ref="A1:BK1002"/>
  <sheetViews>
    <sheetView tabSelected="1" zoomScale="85" zoomScaleNormal="85" workbookViewId="0">
      <pane xSplit="4" ySplit="7" topLeftCell="E15" activePane="bottomRight" state="frozen"/>
      <selection pane="topRight" activeCell="E1" sqref="E1"/>
      <selection pane="bottomLeft" activeCell="A8" sqref="A8"/>
      <selection pane="bottomRight" activeCell="F20" sqref="F20:Q23"/>
    </sheetView>
  </sheetViews>
  <sheetFormatPr defaultColWidth="9" defaultRowHeight="11"/>
  <cols>
    <col min="1" max="1" width="2" style="1" customWidth="1"/>
    <col min="2" max="2" width="12.36328125" style="181" customWidth="1"/>
    <col min="3" max="3" width="31" style="4" bestFit="1" customWidth="1"/>
    <col min="4" max="4" width="19.08984375" style="4" bestFit="1" customWidth="1"/>
    <col min="5" max="5" width="7.6328125" style="3" customWidth="1"/>
    <col min="6" max="6" width="15.26953125" style="124" bestFit="1" customWidth="1"/>
    <col min="7" max="7" width="11.6328125" style="125" customWidth="1"/>
    <col min="8" max="8" width="12.6328125" style="125" customWidth="1"/>
    <col min="9" max="9" width="13.6328125" style="125" customWidth="1"/>
    <col min="10" max="11" width="12.36328125" style="125" customWidth="1"/>
    <col min="12" max="17" width="12.7265625" style="125" customWidth="1"/>
    <col min="18" max="18" width="14.6328125" style="126" customWidth="1"/>
    <col min="19" max="19" width="53.7265625" style="4" customWidth="1"/>
    <col min="20" max="20" width="18.90625" style="72" customWidth="1"/>
    <col min="21" max="21" width="9" style="4" customWidth="1"/>
    <col min="22" max="22" width="10.26953125" style="4" customWidth="1"/>
    <col min="23" max="23" width="12.08984375" style="4" customWidth="1"/>
    <col min="24" max="16384" width="9" style="4"/>
  </cols>
  <sheetData>
    <row r="1" spans="1:55" ht="2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6.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1002),0)-ROUND((F26:F1002)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1002),0)-ROUND((G26:G1002)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1002),0)-ROUND((H26:H1002)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1002),0)-ROUND((I26:I1002)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1002),0)-ROUND((J26:J1002)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1002),0)-ROUND((K26:K1002)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1002),0)-ROUND((L26:L1002)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1002),0)-ROUND((M26:M1002)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1002),0)-ROUND((N26:N1002)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1002),0)-ROUND((O26:O1002)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1002),0)-ROUND((P26:P1002)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1002),0)-ROUND((Q26:Q1002)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3.5" thickBot="1">
      <c r="B5" s="174">
        <v>1412000005</v>
      </c>
      <c r="C5" s="7" t="str">
        <f>VLOOKUP($B$5,原価センタ!$A:$E,2,0)</f>
        <v>機器製造2課</v>
      </c>
      <c r="D5" s="62" t="str">
        <f>VLOOKUP($B$5,原価センタ!$A:$E,4,0)</f>
        <v>製造</v>
      </c>
      <c r="E5" s="62" t="str">
        <f>VLOOKUP($B$5,原価センタ!$A:$E,5,0)</f>
        <v>製造</v>
      </c>
      <c r="F5" s="252">
        <f t="shared" ref="F5:R5" si="0">SUM(F29:F1002)</f>
        <v>594948894291</v>
      </c>
      <c r="G5" s="252">
        <f t="shared" si="0"/>
        <v>591222315537</v>
      </c>
      <c r="H5" s="252">
        <f t="shared" si="0"/>
        <v>634910495143</v>
      </c>
      <c r="I5" s="252">
        <f t="shared" si="0"/>
        <v>697224107966</v>
      </c>
      <c r="J5" s="252">
        <f t="shared" si="0"/>
        <v>666811073125</v>
      </c>
      <c r="K5" s="252">
        <f t="shared" si="0"/>
        <v>506337219154</v>
      </c>
      <c r="L5" s="252">
        <f t="shared" si="0"/>
        <v>711664120673</v>
      </c>
      <c r="M5" s="252">
        <f t="shared" si="0"/>
        <v>684845092938</v>
      </c>
      <c r="N5" s="252">
        <f t="shared" si="0"/>
        <v>627032768799</v>
      </c>
      <c r="O5" s="252">
        <f t="shared" si="0"/>
        <v>659280624229</v>
      </c>
      <c r="P5" s="252">
        <f t="shared" si="0"/>
        <v>464662158017</v>
      </c>
      <c r="Q5" s="252">
        <f t="shared" si="0"/>
        <v>553281845281</v>
      </c>
      <c r="R5" s="253">
        <f t="shared" si="0"/>
        <v>7392220715153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22.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">
      <c r="A8" s="182"/>
      <c r="B8" s="259" t="s">
        <v>324</v>
      </c>
      <c r="C8" s="183" t="s">
        <v>334</v>
      </c>
      <c r="D8" s="184" t="s">
        <v>81</v>
      </c>
      <c r="E8" s="185"/>
      <c r="F8" s="186">
        <v>0</v>
      </c>
      <c r="G8" s="186">
        <v>0</v>
      </c>
      <c r="H8" s="186">
        <v>0</v>
      </c>
      <c r="I8" s="186">
        <v>0</v>
      </c>
      <c r="J8" s="186">
        <v>0</v>
      </c>
      <c r="K8" s="186">
        <v>0</v>
      </c>
      <c r="L8" s="186">
        <v>0</v>
      </c>
      <c r="M8" s="186">
        <v>0</v>
      </c>
      <c r="N8" s="186">
        <v>0</v>
      </c>
      <c r="O8" s="186">
        <v>0</v>
      </c>
      <c r="P8" s="186">
        <v>0</v>
      </c>
      <c r="Q8" s="186">
        <v>0</v>
      </c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">
      <c r="A9" s="182"/>
      <c r="B9" s="260" t="s">
        <v>325</v>
      </c>
      <c r="C9" s="183" t="s">
        <v>335</v>
      </c>
      <c r="D9" s="192" t="s">
        <v>81</v>
      </c>
      <c r="E9" s="193"/>
      <c r="F9" s="194">
        <v>261161</v>
      </c>
      <c r="G9" s="194">
        <v>239060</v>
      </c>
      <c r="H9" s="194">
        <v>257507</v>
      </c>
      <c r="I9" s="194">
        <v>339198</v>
      </c>
      <c r="J9" s="194">
        <v>292365</v>
      </c>
      <c r="K9" s="194">
        <v>266906</v>
      </c>
      <c r="L9" s="194">
        <v>332524</v>
      </c>
      <c r="M9" s="194">
        <v>304062</v>
      </c>
      <c r="N9" s="194">
        <v>325703</v>
      </c>
      <c r="O9" s="194">
        <v>322819</v>
      </c>
      <c r="P9" s="194">
        <v>261061</v>
      </c>
      <c r="Q9" s="194">
        <v>305549</v>
      </c>
      <c r="R9" s="195">
        <f t="shared" ref="R9:R23" si="1">SUM(F9:Q9)</f>
        <v>3507915</v>
      </c>
      <c r="S9" s="196"/>
      <c r="T9" s="197"/>
      <c r="U9" s="190"/>
      <c r="V9" s="190"/>
      <c r="W9" s="190"/>
      <c r="BA9"/>
      <c r="BB9"/>
    </row>
    <row r="10" spans="1:55" s="191" customFormat="1" ht="13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">
      <c r="A11" s="203"/>
      <c r="B11" s="262" t="s">
        <v>325</v>
      </c>
      <c r="C11" s="183" t="s">
        <v>337</v>
      </c>
      <c r="D11" s="198" t="s">
        <v>86</v>
      </c>
      <c r="E11" s="204"/>
      <c r="F11" s="194">
        <v>55233</v>
      </c>
      <c r="G11" s="194">
        <v>53390</v>
      </c>
      <c r="H11" s="194">
        <v>54190</v>
      </c>
      <c r="I11" s="194">
        <v>65165</v>
      </c>
      <c r="J11" s="194">
        <v>60699</v>
      </c>
      <c r="K11" s="194">
        <v>57329</v>
      </c>
      <c r="L11" s="194">
        <v>62162</v>
      </c>
      <c r="M11" s="194">
        <v>62083</v>
      </c>
      <c r="N11" s="194">
        <v>64163</v>
      </c>
      <c r="O11" s="194">
        <v>62195</v>
      </c>
      <c r="P11" s="194">
        <v>49326</v>
      </c>
      <c r="Q11" s="194">
        <v>60562</v>
      </c>
      <c r="R11" s="205">
        <f t="shared" si="1"/>
        <v>706497</v>
      </c>
      <c r="S11" s="206"/>
      <c r="T11" s="207"/>
      <c r="U11" s="190"/>
      <c r="V11" s="190"/>
      <c r="W11" s="190"/>
      <c r="BA11"/>
      <c r="BB11"/>
    </row>
    <row r="12" spans="1:55" s="208" customFormat="1" ht="13">
      <c r="A12" s="203"/>
      <c r="B12" s="261"/>
      <c r="C12" s="209" t="s">
        <v>451</v>
      </c>
      <c r="D12" s="210" t="s">
        <v>452</v>
      </c>
      <c r="E12" s="211"/>
      <c r="F12" s="212">
        <v>67126</v>
      </c>
      <c r="G12" s="212">
        <v>63393.5</v>
      </c>
      <c r="H12" s="212">
        <v>70220.75</v>
      </c>
      <c r="I12" s="212">
        <v>74028.5</v>
      </c>
      <c r="J12" s="212">
        <v>63752</v>
      </c>
      <c r="K12" s="212">
        <v>61764.25</v>
      </c>
      <c r="L12" s="212">
        <v>73876.75</v>
      </c>
      <c r="M12" s="212">
        <v>63706.5</v>
      </c>
      <c r="N12" s="212">
        <v>69975.75</v>
      </c>
      <c r="O12" s="212">
        <v>66342.25</v>
      </c>
      <c r="P12" s="212">
        <v>52815.5</v>
      </c>
      <c r="Q12" s="212">
        <v>69401.75</v>
      </c>
      <c r="R12" s="213">
        <f t="shared" si="1"/>
        <v>796403.5</v>
      </c>
      <c r="S12" s="214" t="s">
        <v>692</v>
      </c>
      <c r="T12" s="207"/>
      <c r="U12" s="190"/>
      <c r="V12" s="190"/>
      <c r="W12" s="190"/>
      <c r="BA12"/>
      <c r="BB12"/>
    </row>
    <row r="13" spans="1:55" s="208" customFormat="1" ht="13">
      <c r="A13" s="203"/>
      <c r="B13" s="261"/>
      <c r="C13" s="209" t="s">
        <v>453</v>
      </c>
      <c r="D13" s="210" t="s">
        <v>454</v>
      </c>
      <c r="E13" s="211"/>
      <c r="F13" s="212">
        <v>13518.25</v>
      </c>
      <c r="G13" s="212">
        <v>13184.25</v>
      </c>
      <c r="H13" s="212">
        <v>14606.75</v>
      </c>
      <c r="I13" s="212">
        <v>15539.75</v>
      </c>
      <c r="J13" s="212">
        <v>13669.25</v>
      </c>
      <c r="K13" s="212">
        <v>13014.75</v>
      </c>
      <c r="L13" s="212">
        <v>15566.5</v>
      </c>
      <c r="M13" s="212">
        <v>13512.75</v>
      </c>
      <c r="N13" s="212">
        <v>14973.75</v>
      </c>
      <c r="O13" s="212">
        <v>13886</v>
      </c>
      <c r="P13" s="212">
        <v>10354.75</v>
      </c>
      <c r="Q13" s="212">
        <v>13886</v>
      </c>
      <c r="R13" s="213">
        <f t="shared" si="1"/>
        <v>165712.75</v>
      </c>
      <c r="S13" s="214" t="s">
        <v>692</v>
      </c>
      <c r="T13" s="207"/>
      <c r="U13" s="190"/>
      <c r="V13" s="190"/>
      <c r="W13" s="190"/>
      <c r="BA13"/>
      <c r="BB13"/>
    </row>
    <row r="14" spans="1:55" s="208" customFormat="1" ht="13">
      <c r="A14" s="203"/>
      <c r="B14" s="262"/>
      <c r="C14" s="209" t="s">
        <v>455</v>
      </c>
      <c r="D14" s="210" t="s">
        <v>456</v>
      </c>
      <c r="E14" s="211"/>
      <c r="F14" s="212">
        <v>7014.25</v>
      </c>
      <c r="G14" s="212">
        <v>6610.25</v>
      </c>
      <c r="H14" s="212">
        <v>7428.75</v>
      </c>
      <c r="I14" s="212">
        <v>7900.75</v>
      </c>
      <c r="J14" s="212">
        <v>6987.75</v>
      </c>
      <c r="K14" s="212">
        <v>6696.25</v>
      </c>
      <c r="L14" s="212">
        <v>8079.5</v>
      </c>
      <c r="M14" s="212">
        <v>7039.5</v>
      </c>
      <c r="N14" s="212">
        <v>7788</v>
      </c>
      <c r="O14" s="212">
        <v>6968.5</v>
      </c>
      <c r="P14" s="212">
        <v>5129.75</v>
      </c>
      <c r="Q14" s="212">
        <v>6951.25</v>
      </c>
      <c r="R14" s="213">
        <f t="shared" si="1"/>
        <v>84594.5</v>
      </c>
      <c r="S14" s="214" t="s">
        <v>692</v>
      </c>
      <c r="T14" s="207"/>
      <c r="U14" s="190"/>
      <c r="V14" s="190"/>
      <c r="W14" s="190"/>
      <c r="BA14"/>
      <c r="BB14"/>
    </row>
    <row r="15" spans="1:55" s="208" customFormat="1" ht="13">
      <c r="A15" s="203"/>
      <c r="B15" s="262"/>
      <c r="C15" s="209" t="s">
        <v>457</v>
      </c>
      <c r="D15" s="210" t="s">
        <v>450</v>
      </c>
      <c r="E15" s="211"/>
      <c r="F15" s="212">
        <v>11280.5</v>
      </c>
      <c r="G15" s="212">
        <v>11235.25</v>
      </c>
      <c r="H15" s="212">
        <v>11868.5</v>
      </c>
      <c r="I15" s="212">
        <v>11824.25</v>
      </c>
      <c r="J15" s="212">
        <v>10806</v>
      </c>
      <c r="K15" s="212">
        <v>10118.5</v>
      </c>
      <c r="L15" s="212">
        <v>11795.75</v>
      </c>
      <c r="M15" s="212">
        <v>10771</v>
      </c>
      <c r="N15" s="212">
        <v>11614.25</v>
      </c>
      <c r="O15" s="212">
        <v>10109.5</v>
      </c>
      <c r="P15" s="212">
        <v>7572.75</v>
      </c>
      <c r="Q15" s="212">
        <v>10161.25</v>
      </c>
      <c r="R15" s="213">
        <f t="shared" si="1"/>
        <v>129157.5</v>
      </c>
      <c r="S15" s="214" t="s">
        <v>692</v>
      </c>
      <c r="T15" s="207"/>
      <c r="U15" s="190"/>
      <c r="V15" s="190"/>
      <c r="W15" s="190"/>
      <c r="BA15"/>
      <c r="BB15"/>
    </row>
    <row r="16" spans="1:55" s="208" customFormat="1" ht="13">
      <c r="A16" s="203"/>
      <c r="B16" s="263" t="s">
        <v>326</v>
      </c>
      <c r="C16" s="183" t="s">
        <v>338</v>
      </c>
      <c r="D16" s="215" t="s">
        <v>86</v>
      </c>
      <c r="E16" s="204"/>
      <c r="F16" s="194">
        <v>0</v>
      </c>
      <c r="G16" s="194">
        <v>0</v>
      </c>
      <c r="H16" s="194">
        <v>0</v>
      </c>
      <c r="I16" s="194">
        <v>0</v>
      </c>
      <c r="J16" s="194">
        <v>0</v>
      </c>
      <c r="K16" s="194">
        <v>0</v>
      </c>
      <c r="L16" s="194">
        <v>0</v>
      </c>
      <c r="M16" s="194">
        <v>0</v>
      </c>
      <c r="N16" s="194">
        <v>0</v>
      </c>
      <c r="O16" s="194">
        <v>0</v>
      </c>
      <c r="P16" s="194">
        <v>0</v>
      </c>
      <c r="Q16" s="194">
        <v>0</v>
      </c>
      <c r="R16" s="205">
        <f t="shared" si="1"/>
        <v>0</v>
      </c>
      <c r="S16" s="206"/>
      <c r="T16" s="207"/>
      <c r="U16" s="190"/>
      <c r="V16" s="190"/>
      <c r="W16" s="190"/>
      <c r="BA16"/>
      <c r="BB16"/>
    </row>
    <row r="17" spans="1:63" s="191" customFormat="1" ht="13">
      <c r="A17" s="182"/>
      <c r="B17" s="263" t="s">
        <v>327</v>
      </c>
      <c r="C17" s="183" t="s">
        <v>339</v>
      </c>
      <c r="D17" s="215" t="s">
        <v>86</v>
      </c>
      <c r="E17" s="204"/>
      <c r="F17" s="194">
        <v>1719</v>
      </c>
      <c r="G17" s="194">
        <v>1779</v>
      </c>
      <c r="H17" s="194">
        <v>1650</v>
      </c>
      <c r="I17" s="194">
        <v>1650</v>
      </c>
      <c r="J17" s="194">
        <v>3270</v>
      </c>
      <c r="K17" s="194">
        <v>13113</v>
      </c>
      <c r="L17" s="194">
        <v>2393</v>
      </c>
      <c r="M17" s="194">
        <v>7801</v>
      </c>
      <c r="N17" s="194">
        <v>1870</v>
      </c>
      <c r="O17" s="194">
        <v>3527</v>
      </c>
      <c r="P17" s="194">
        <v>20047</v>
      </c>
      <c r="Q17" s="194">
        <v>3334</v>
      </c>
      <c r="R17" s="205">
        <f t="shared" si="1"/>
        <v>62153</v>
      </c>
      <c r="S17" s="206"/>
      <c r="T17" s="207"/>
      <c r="U17" s="190"/>
      <c r="V17" s="190"/>
      <c r="W17" s="190"/>
      <c r="BA17"/>
      <c r="BB17"/>
    </row>
    <row r="18" spans="1:63" s="191" customFormat="1" ht="13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63" s="208" customFormat="1" ht="13">
      <c r="A19" s="203"/>
      <c r="B19" s="262" t="s">
        <v>327</v>
      </c>
      <c r="C19" s="183" t="s">
        <v>341</v>
      </c>
      <c r="D19" s="198" t="s">
        <v>86</v>
      </c>
      <c r="E19" s="204"/>
      <c r="F19" s="216">
        <v>867</v>
      </c>
      <c r="G19" s="216">
        <v>1427</v>
      </c>
      <c r="H19" s="216">
        <v>824</v>
      </c>
      <c r="I19" s="216">
        <v>843</v>
      </c>
      <c r="J19" s="216">
        <v>1827</v>
      </c>
      <c r="K19" s="216">
        <v>5611</v>
      </c>
      <c r="L19" s="216">
        <v>1150</v>
      </c>
      <c r="M19" s="216">
        <v>1663</v>
      </c>
      <c r="N19" s="216">
        <v>1668</v>
      </c>
      <c r="O19" s="216">
        <v>4609</v>
      </c>
      <c r="P19" s="216">
        <v>9649</v>
      </c>
      <c r="Q19" s="216">
        <v>2774</v>
      </c>
      <c r="R19" s="216">
        <f t="shared" si="1"/>
        <v>32912</v>
      </c>
      <c r="S19" s="206"/>
      <c r="T19" s="207"/>
      <c r="U19" s="190"/>
      <c r="V19" s="190"/>
      <c r="W19" s="190"/>
      <c r="BA19"/>
      <c r="BB19"/>
    </row>
    <row r="20" spans="1:63" s="208" customFormat="1" ht="13">
      <c r="A20" s="203"/>
      <c r="B20" s="262"/>
      <c r="C20" s="209" t="s">
        <v>458</v>
      </c>
      <c r="D20" s="210" t="s">
        <v>452</v>
      </c>
      <c r="E20" s="211"/>
      <c r="F20" s="212">
        <v>5022.25</v>
      </c>
      <c r="G20" s="212">
        <v>5015.5</v>
      </c>
      <c r="H20" s="212">
        <v>5091.75</v>
      </c>
      <c r="I20" s="212">
        <v>5030.25</v>
      </c>
      <c r="J20" s="212">
        <v>5993.5</v>
      </c>
      <c r="K20" s="212">
        <v>6158</v>
      </c>
      <c r="L20" s="212">
        <v>6224</v>
      </c>
      <c r="M20" s="212">
        <v>5544.25</v>
      </c>
      <c r="N20" s="212">
        <v>6421.75</v>
      </c>
      <c r="O20" s="212">
        <v>6997</v>
      </c>
      <c r="P20" s="212">
        <v>7131</v>
      </c>
      <c r="Q20" s="212">
        <v>7328</v>
      </c>
      <c r="R20" s="213">
        <f t="shared" si="1"/>
        <v>71957.25</v>
      </c>
      <c r="S20" s="214" t="s">
        <v>692</v>
      </c>
      <c r="T20" s="207"/>
      <c r="U20" s="190"/>
      <c r="V20" s="190"/>
      <c r="W20" s="190"/>
      <c r="BA20"/>
      <c r="BB20"/>
    </row>
    <row r="21" spans="1:63" s="208" customFormat="1" ht="13">
      <c r="A21" s="203"/>
      <c r="B21" s="262"/>
      <c r="C21" s="209" t="s">
        <v>342</v>
      </c>
      <c r="D21" s="210" t="s">
        <v>454</v>
      </c>
      <c r="E21" s="211"/>
      <c r="F21" s="212">
        <v>736</v>
      </c>
      <c r="G21" s="212">
        <v>725.75</v>
      </c>
      <c r="H21" s="212">
        <v>829.75</v>
      </c>
      <c r="I21" s="212">
        <v>918.25</v>
      </c>
      <c r="J21" s="212">
        <v>759.75</v>
      </c>
      <c r="K21" s="212">
        <v>744.25</v>
      </c>
      <c r="L21" s="212">
        <v>901.25</v>
      </c>
      <c r="M21" s="212">
        <v>756</v>
      </c>
      <c r="N21" s="212">
        <v>764.75</v>
      </c>
      <c r="O21" s="212">
        <v>709.75</v>
      </c>
      <c r="P21" s="212">
        <v>593.25</v>
      </c>
      <c r="Q21" s="212">
        <v>830.5</v>
      </c>
      <c r="R21" s="213">
        <f t="shared" si="1"/>
        <v>9269.25</v>
      </c>
      <c r="S21" s="214" t="s">
        <v>692</v>
      </c>
      <c r="T21" s="207"/>
      <c r="U21" s="190"/>
      <c r="V21" s="190"/>
      <c r="W21" s="190"/>
      <c r="BA21"/>
      <c r="BB21"/>
    </row>
    <row r="22" spans="1:63" s="208" customFormat="1" ht="13">
      <c r="A22" s="203"/>
      <c r="B22" s="262"/>
      <c r="C22" s="209" t="s">
        <v>459</v>
      </c>
      <c r="D22" s="210" t="s">
        <v>456</v>
      </c>
      <c r="E22" s="211"/>
      <c r="F22" s="212">
        <v>558</v>
      </c>
      <c r="G22" s="212">
        <v>528.75</v>
      </c>
      <c r="H22" s="212">
        <v>574.75</v>
      </c>
      <c r="I22" s="212">
        <v>568.75</v>
      </c>
      <c r="J22" s="212">
        <v>547.25</v>
      </c>
      <c r="K22" s="212">
        <v>485.25</v>
      </c>
      <c r="L22" s="212">
        <v>536.75</v>
      </c>
      <c r="M22" s="212">
        <v>497</v>
      </c>
      <c r="N22" s="212">
        <v>527</v>
      </c>
      <c r="O22" s="212">
        <v>514.5</v>
      </c>
      <c r="P22" s="212">
        <v>457.5</v>
      </c>
      <c r="Q22" s="212">
        <v>539</v>
      </c>
      <c r="R22" s="213">
        <f t="shared" si="1"/>
        <v>6334.5</v>
      </c>
      <c r="S22" s="214" t="s">
        <v>692</v>
      </c>
      <c r="T22" s="207"/>
      <c r="U22" s="190"/>
      <c r="V22" s="190"/>
      <c r="W22" s="190"/>
      <c r="BA22"/>
      <c r="BB22"/>
    </row>
    <row r="23" spans="1:63" s="208" customFormat="1" ht="13">
      <c r="A23" s="203"/>
      <c r="B23" s="262"/>
      <c r="C23" s="209" t="s">
        <v>460</v>
      </c>
      <c r="D23" s="210" t="s">
        <v>450</v>
      </c>
      <c r="E23" s="211"/>
      <c r="F23" s="212">
        <v>632</v>
      </c>
      <c r="G23" s="212">
        <v>559.5</v>
      </c>
      <c r="H23" s="212">
        <v>501.5</v>
      </c>
      <c r="I23" s="212">
        <v>512</v>
      </c>
      <c r="J23" s="212">
        <v>474.5</v>
      </c>
      <c r="K23" s="212">
        <v>641.75</v>
      </c>
      <c r="L23" s="212">
        <v>502.75</v>
      </c>
      <c r="M23" s="212">
        <v>476.5</v>
      </c>
      <c r="N23" s="212">
        <v>485.5</v>
      </c>
      <c r="O23" s="212">
        <v>409</v>
      </c>
      <c r="P23" s="212">
        <v>664.75</v>
      </c>
      <c r="Q23" s="212">
        <v>446.75</v>
      </c>
      <c r="R23" s="213">
        <f t="shared" si="1"/>
        <v>6306.5</v>
      </c>
      <c r="S23" s="214" t="s">
        <v>692</v>
      </c>
      <c r="T23" s="207"/>
      <c r="U23" s="190"/>
      <c r="V23" s="190"/>
      <c r="W23" s="190"/>
      <c r="BA23"/>
      <c r="BB23"/>
    </row>
    <row r="24" spans="1:63" s="208" customFormat="1" ht="13">
      <c r="A24" s="203"/>
      <c r="B24" s="264" t="s">
        <v>343</v>
      </c>
      <c r="C24" s="265" t="s">
        <v>343</v>
      </c>
      <c r="D24" s="266" t="s">
        <v>343</v>
      </c>
      <c r="E24" s="245"/>
      <c r="F24" s="267">
        <v>0</v>
      </c>
      <c r="G24" s="267">
        <v>0</v>
      </c>
      <c r="H24" s="267">
        <v>0</v>
      </c>
      <c r="I24" s="267">
        <v>0</v>
      </c>
      <c r="J24" s="267">
        <v>0</v>
      </c>
      <c r="K24" s="267">
        <v>0</v>
      </c>
      <c r="L24" s="267">
        <v>0</v>
      </c>
      <c r="M24" s="267">
        <v>0</v>
      </c>
      <c r="N24" s="267">
        <v>0</v>
      </c>
      <c r="O24" s="267">
        <v>0</v>
      </c>
      <c r="P24" s="267">
        <v>0</v>
      </c>
      <c r="Q24" s="267">
        <v>0</v>
      </c>
      <c r="R24" s="200">
        <f>Q24</f>
        <v>0</v>
      </c>
      <c r="S24" s="201"/>
      <c r="T24" s="202"/>
      <c r="U24" s="268"/>
      <c r="V24" s="190"/>
      <c r="W24" s="190"/>
      <c r="BA24"/>
      <c r="BB24"/>
    </row>
    <row r="25" spans="1:63" s="191" customFormat="1" ht="1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1614</v>
      </c>
      <c r="G25" s="271">
        <v>1554</v>
      </c>
      <c r="H25" s="271">
        <v>1518</v>
      </c>
      <c r="I25" s="271">
        <v>1753</v>
      </c>
      <c r="J25" s="271">
        <v>1804</v>
      </c>
      <c r="K25" s="271">
        <v>1732</v>
      </c>
      <c r="L25" s="271">
        <v>1776</v>
      </c>
      <c r="M25" s="271">
        <v>1877</v>
      </c>
      <c r="N25" s="271">
        <v>1830</v>
      </c>
      <c r="O25" s="271">
        <v>1994</v>
      </c>
      <c r="P25" s="271">
        <v>2142</v>
      </c>
      <c r="Q25" s="271">
        <v>1893</v>
      </c>
      <c r="R25" s="272">
        <f>Q25</f>
        <v>1893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  <c r="BE25" s="191">
        <v>12</v>
      </c>
      <c r="BF25" s="191">
        <v>12</v>
      </c>
      <c r="BH25" s="191">
        <v>13</v>
      </c>
      <c r="BI25" s="191">
        <v>14</v>
      </c>
      <c r="BJ25" s="191">
        <v>15</v>
      </c>
      <c r="BK25" s="191">
        <v>16</v>
      </c>
    </row>
    <row r="26" spans="1:63" s="191" customFormat="1" ht="13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>ROUNDDOWN(V26*$B$2,0)+1</f>
        <v>650188225481</v>
      </c>
      <c r="G26" s="220">
        <f>ROUNDDOWN(W26*$B$2,0)+1</f>
        <v>632822627074</v>
      </c>
      <c r="H26" s="220">
        <f t="shared" ref="H26:H28" si="2">ROUNDDOWN(X26*$B$2,0)+1</f>
        <v>694297698413</v>
      </c>
      <c r="I26" s="220">
        <f t="shared" ref="I26:I28" si="3">ROUNDDOWN(Y26*$B$2,0)+1</f>
        <v>766569198226</v>
      </c>
      <c r="J26" s="220">
        <f>ROUNDDOWN(Z26*$B$2,0)+1+1</f>
        <v>739294739732</v>
      </c>
      <c r="K26" s="220">
        <f t="shared" ref="K26:K28" si="4">ROUNDDOWN(AA26*$B$2,0)+1</f>
        <v>550252511377</v>
      </c>
      <c r="L26" s="220">
        <f t="shared" ref="L26:L28" si="5">ROUNDDOWN(AB26*$B$2,0)+1</f>
        <v>805685116521</v>
      </c>
      <c r="M26" s="220">
        <f t="shared" ref="M26:M28" si="6">ROUNDDOWN(AC26*$B$2,0)+1</f>
        <v>771380184799</v>
      </c>
      <c r="N26" s="220">
        <f t="shared" ref="N26:N28" si="7">ROUNDDOWN(AD26*$B$2,0)+1</f>
        <v>706796593670</v>
      </c>
      <c r="O26" s="220">
        <f>ROUNDDOWN(AE26*$B$2,0)+1+1</f>
        <v>745991281394</v>
      </c>
      <c r="P26" s="220">
        <f t="shared" ref="P26:P28" si="8">ROUNDDOWN(AF26*$B$2,0)+1</f>
        <v>509028471538</v>
      </c>
      <c r="Q26" s="220">
        <f t="shared" ref="Q26:Q28" si="9">ROUNDDOWN(AG26*$B$2,0)+1</f>
        <v>632289518829</v>
      </c>
      <c r="R26" s="221">
        <f t="shared" ref="R26:R119" si="10">SUM(F26:Q26)</f>
        <v>8204596167054</v>
      </c>
      <c r="S26" s="222" t="s">
        <v>75</v>
      </c>
      <c r="T26" s="223"/>
      <c r="U26" s="190"/>
      <c r="V26" s="224">
        <v>25608043.539999999</v>
      </c>
      <c r="W26" s="224">
        <v>24924089.289999999</v>
      </c>
      <c r="X26" s="225">
        <v>27345320.93</v>
      </c>
      <c r="Y26" s="225">
        <v>30191776.219999999</v>
      </c>
      <c r="Z26" s="225">
        <v>29117555.719999999</v>
      </c>
      <c r="AA26" s="225">
        <v>21672016.989999998</v>
      </c>
      <c r="AB26" s="225">
        <v>31732379.539999999</v>
      </c>
      <c r="AC26" s="225">
        <v>30381259.739999998</v>
      </c>
      <c r="AD26" s="225">
        <v>27837597.23</v>
      </c>
      <c r="AE26" s="225">
        <v>29381302.93</v>
      </c>
      <c r="AF26" s="225">
        <v>20048384.07</v>
      </c>
      <c r="AG26" s="225">
        <v>24903092.510000002</v>
      </c>
      <c r="BA26"/>
      <c r="BB26"/>
      <c r="BE26" s="191">
        <v>41053418.359999999</v>
      </c>
      <c r="BF26" s="191">
        <v>38826398.689999998</v>
      </c>
      <c r="BH26" s="191">
        <v>25791206.98</v>
      </c>
      <c r="BI26" s="191">
        <v>27890103.420000002</v>
      </c>
    </row>
    <row r="27" spans="1:63" s="191" customFormat="1" ht="13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ref="F27:F28" si="11">ROUNDDOWN(V27*$B$2,0)+1</f>
        <v>22235896275</v>
      </c>
      <c r="G27" s="230">
        <f t="shared" ref="G27:G28" si="12">ROUNDDOWN(W27*$B$2,0)+1</f>
        <v>25927710690</v>
      </c>
      <c r="H27" s="230">
        <f t="shared" si="2"/>
        <v>22792803074</v>
      </c>
      <c r="I27" s="230">
        <f t="shared" si="3"/>
        <v>25531646240</v>
      </c>
      <c r="J27" s="230">
        <f t="shared" ref="J27:J28" si="13">ROUNDDOWN(Z27*$B$2,0)+1</f>
        <v>26893684919</v>
      </c>
      <c r="K27" s="230">
        <f>ROUNDDOWN(AA27*$B$2,0)</f>
        <v>28492180668</v>
      </c>
      <c r="L27" s="230">
        <f t="shared" si="5"/>
        <v>22413429756</v>
      </c>
      <c r="M27" s="230">
        <f t="shared" si="6"/>
        <v>24999965676</v>
      </c>
      <c r="N27" s="230">
        <f t="shared" si="7"/>
        <v>24866836258</v>
      </c>
      <c r="O27" s="230">
        <f>ROUNDDOWN(AE27*$B$2,0)</f>
        <v>25053320983</v>
      </c>
      <c r="P27" s="230">
        <f t="shared" si="8"/>
        <v>22563075369</v>
      </c>
      <c r="Q27" s="230">
        <f t="shared" si="9"/>
        <v>23425821730</v>
      </c>
      <c r="R27" s="221">
        <f t="shared" si="10"/>
        <v>295196371638</v>
      </c>
      <c r="S27" s="231" t="s">
        <v>75</v>
      </c>
      <c r="T27" s="202"/>
      <c r="U27" s="190"/>
      <c r="V27" s="224">
        <v>875773.78</v>
      </c>
      <c r="W27" s="224">
        <v>1021178.05</v>
      </c>
      <c r="X27" s="225">
        <v>897707.88</v>
      </c>
      <c r="Y27" s="225">
        <v>1005578.82</v>
      </c>
      <c r="Z27" s="225">
        <v>1059223.51</v>
      </c>
      <c r="AA27" s="225">
        <v>1122181.2</v>
      </c>
      <c r="AB27" s="225">
        <v>882766.04</v>
      </c>
      <c r="AC27" s="225">
        <v>984638.27</v>
      </c>
      <c r="AD27" s="225">
        <v>979394.89</v>
      </c>
      <c r="AE27" s="225">
        <v>986739.7</v>
      </c>
      <c r="AF27" s="225">
        <v>888659.92</v>
      </c>
      <c r="AG27" s="225">
        <v>922639.69</v>
      </c>
      <c r="BA27"/>
      <c r="BB27"/>
      <c r="BE27" s="191">
        <v>1212877.8400000001</v>
      </c>
      <c r="BF27" s="191">
        <v>1207877.77</v>
      </c>
      <c r="BH27" s="191">
        <v>588489.24</v>
      </c>
      <c r="BI27" s="191">
        <v>624566.48</v>
      </c>
    </row>
    <row r="28" spans="1:63" s="191" customFormat="1" ht="13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11"/>
        <v>15553872615</v>
      </c>
      <c r="G28" s="230">
        <f t="shared" si="12"/>
        <v>15851438591</v>
      </c>
      <c r="H28" s="230">
        <f t="shared" si="2"/>
        <v>17278018650</v>
      </c>
      <c r="I28" s="230">
        <f t="shared" si="3"/>
        <v>19218486723</v>
      </c>
      <c r="J28" s="230">
        <f t="shared" si="13"/>
        <v>18431913410</v>
      </c>
      <c r="K28" s="230">
        <f t="shared" si="4"/>
        <v>18542755486</v>
      </c>
      <c r="L28" s="230">
        <f t="shared" si="5"/>
        <v>28038712222</v>
      </c>
      <c r="M28" s="230">
        <f t="shared" si="6"/>
        <v>26975680401</v>
      </c>
      <c r="N28" s="230">
        <f t="shared" si="7"/>
        <v>25034112433</v>
      </c>
      <c r="O28" s="230">
        <f t="shared" ref="O28" si="14">ROUNDDOWN(AE28*$B$2,0)+1</f>
        <v>26336096907</v>
      </c>
      <c r="P28" s="230">
        <f t="shared" si="8"/>
        <v>17306280767</v>
      </c>
      <c r="Q28" s="230">
        <f t="shared" si="9"/>
        <v>22572182001</v>
      </c>
      <c r="R28" s="221">
        <f t="shared" si="10"/>
        <v>251139550206</v>
      </c>
      <c r="S28" s="231" t="s">
        <v>75</v>
      </c>
      <c r="T28" s="202"/>
      <c r="U28" s="190"/>
      <c r="V28" s="224">
        <v>612598.37</v>
      </c>
      <c r="W28" s="224">
        <v>624318.18000000005</v>
      </c>
      <c r="X28" s="225">
        <v>680504.87</v>
      </c>
      <c r="Y28" s="225">
        <v>756931.34</v>
      </c>
      <c r="Z28" s="225">
        <v>725951.69</v>
      </c>
      <c r="AA28" s="225">
        <v>730317.27</v>
      </c>
      <c r="AB28" s="225">
        <v>1104321.08</v>
      </c>
      <c r="AC28" s="225">
        <v>1062452.95</v>
      </c>
      <c r="AD28" s="225">
        <v>985983.16</v>
      </c>
      <c r="AE28" s="225">
        <v>1037262.58</v>
      </c>
      <c r="AF28" s="225">
        <v>681617.99</v>
      </c>
      <c r="AG28" s="225">
        <v>889018.59</v>
      </c>
      <c r="BA28"/>
      <c r="BB28"/>
      <c r="BE28" s="191">
        <v>785975.31</v>
      </c>
      <c r="BF28" s="191">
        <v>726850.22</v>
      </c>
      <c r="BH28" s="191">
        <v>592346.97</v>
      </c>
      <c r="BI28" s="191">
        <v>655142.01</v>
      </c>
    </row>
    <row r="29" spans="1:63" s="191" customFormat="1" ht="13.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15">ROUNDUP(V29*$B$2,0)</f>
        <v>545161078543</v>
      </c>
      <c r="G29" s="235">
        <f t="shared" si="15"/>
        <v>541837096929</v>
      </c>
      <c r="H29" s="235">
        <f t="shared" si="15"/>
        <v>589303517851</v>
      </c>
      <c r="I29" s="235">
        <f t="shared" si="15"/>
        <v>649242952988</v>
      </c>
      <c r="J29" s="235">
        <f t="shared" si="15"/>
        <v>625541870906</v>
      </c>
      <c r="K29" s="235">
        <f t="shared" si="15"/>
        <v>466933797427</v>
      </c>
      <c r="L29" s="235">
        <f t="shared" si="15"/>
        <v>667438538055</v>
      </c>
      <c r="M29" s="235">
        <f t="shared" si="15"/>
        <v>641012621738</v>
      </c>
      <c r="N29" s="235">
        <f t="shared" si="15"/>
        <v>584945180898</v>
      </c>
      <c r="O29" s="235">
        <f t="shared" si="15"/>
        <v>618179216247</v>
      </c>
      <c r="P29" s="235">
        <f t="shared" si="15"/>
        <v>427297776916</v>
      </c>
      <c r="Q29" s="235">
        <f t="shared" si="15"/>
        <v>523435680718</v>
      </c>
      <c r="R29" s="236">
        <f t="shared" si="10"/>
        <v>6880329329216</v>
      </c>
      <c r="S29" s="237" t="s">
        <v>75</v>
      </c>
      <c r="T29" s="238"/>
      <c r="U29" s="190"/>
      <c r="V29" s="224">
        <v>21471487.93</v>
      </c>
      <c r="W29" s="224">
        <v>21340570.969999999</v>
      </c>
      <c r="X29" s="225">
        <v>23210063.719999999</v>
      </c>
      <c r="Y29" s="225">
        <v>25570813.43</v>
      </c>
      <c r="Z29" s="225">
        <v>24637332.449999999</v>
      </c>
      <c r="AA29" s="225">
        <v>18390460.709999997</v>
      </c>
      <c r="AB29" s="225">
        <v>26287457.190000001</v>
      </c>
      <c r="AC29" s="225">
        <v>25246657.02</v>
      </c>
      <c r="AD29" s="225">
        <v>23038408.07</v>
      </c>
      <c r="AE29" s="225">
        <v>24347349.989999998</v>
      </c>
      <c r="AF29" s="225">
        <v>16829372.859999999</v>
      </c>
      <c r="AG29" s="225">
        <v>20615820.43</v>
      </c>
      <c r="BA29"/>
      <c r="BB29"/>
      <c r="BE29" s="191">
        <v>26390716.34</v>
      </c>
      <c r="BF29" s="191">
        <v>28789132.760000002</v>
      </c>
      <c r="BH29" s="191">
        <v>21231015.91</v>
      </c>
      <c r="BI29" s="191">
        <v>23002907.460000001</v>
      </c>
    </row>
    <row r="30" spans="1:63" s="208" customFormat="1" ht="13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10"/>
        <v>0</v>
      </c>
      <c r="S30" s="201"/>
      <c r="T30" s="202"/>
      <c r="U30" s="190"/>
      <c r="V30" s="190"/>
      <c r="W30" s="190"/>
      <c r="BA30"/>
      <c r="BB30"/>
    </row>
    <row r="31" spans="1:63" s="208" customFormat="1" ht="13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>
        <v>6908882400</v>
      </c>
      <c r="G31" s="241">
        <v>6511040282</v>
      </c>
      <c r="H31" s="241">
        <v>5877125718</v>
      </c>
      <c r="I31" s="241">
        <v>5856986482</v>
      </c>
      <c r="J31" s="241">
        <v>5903480885</v>
      </c>
      <c r="K31" s="241">
        <v>5820505156</v>
      </c>
      <c r="L31" s="241">
        <v>5873106986</v>
      </c>
      <c r="M31" s="241">
        <v>5502058139</v>
      </c>
      <c r="N31" s="241">
        <v>5632729705</v>
      </c>
      <c r="O31" s="241">
        <v>5695325058</v>
      </c>
      <c r="P31" s="241">
        <v>5987016885</v>
      </c>
      <c r="Q31" s="241"/>
      <c r="R31" s="200">
        <f t="shared" si="10"/>
        <v>65568257696</v>
      </c>
      <c r="S31" s="201" t="s">
        <v>692</v>
      </c>
      <c r="T31" s="202"/>
      <c r="U31" s="190"/>
      <c r="V31" s="190">
        <f>ROUNDDOWN(F26/$B$2,2)-V26</f>
        <v>0</v>
      </c>
      <c r="W31" s="190">
        <f t="shared" ref="W31:AG31" si="16">ROUNDDOWN(G26/$B$2,2)-W26</f>
        <v>0</v>
      </c>
      <c r="X31" s="190">
        <f t="shared" si="16"/>
        <v>0</v>
      </c>
      <c r="Y31" s="190">
        <f t="shared" si="16"/>
        <v>0</v>
      </c>
      <c r="Z31" s="190">
        <f t="shared" si="16"/>
        <v>0</v>
      </c>
      <c r="AA31" s="190">
        <f t="shared" si="16"/>
        <v>0</v>
      </c>
      <c r="AB31" s="190">
        <f t="shared" si="16"/>
        <v>0</v>
      </c>
      <c r="AC31" s="190">
        <f t="shared" si="16"/>
        <v>0</v>
      </c>
      <c r="AD31" s="190">
        <f t="shared" si="16"/>
        <v>0</v>
      </c>
      <c r="AE31" s="190">
        <f t="shared" si="16"/>
        <v>0</v>
      </c>
      <c r="AF31" s="190">
        <f t="shared" si="16"/>
        <v>0</v>
      </c>
      <c r="AG31" s="190">
        <f t="shared" si="16"/>
        <v>0</v>
      </c>
      <c r="BA31"/>
      <c r="BB31"/>
      <c r="BE31" s="208" t="e">
        <v>#REF!</v>
      </c>
      <c r="BF31" s="208" t="e">
        <v>#REF!</v>
      </c>
      <c r="BG31" s="208" t="e">
        <v>#REF!</v>
      </c>
      <c r="BH31" s="208" t="e">
        <v>#REF!</v>
      </c>
      <c r="BI31" s="208" t="e">
        <v>#REF!</v>
      </c>
    </row>
    <row r="32" spans="1:63" s="208" customFormat="1" ht="13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>
        <v>719273443</v>
      </c>
      <c r="G32" s="241">
        <v>674379080</v>
      </c>
      <c r="H32" s="241">
        <v>619786440</v>
      </c>
      <c r="I32" s="241">
        <v>793393373</v>
      </c>
      <c r="J32" s="241">
        <v>705583772</v>
      </c>
      <c r="K32" s="241">
        <v>474877500</v>
      </c>
      <c r="L32" s="241">
        <v>501823114</v>
      </c>
      <c r="M32" s="241">
        <v>476804654</v>
      </c>
      <c r="N32" s="241">
        <v>420504060</v>
      </c>
      <c r="O32" s="241">
        <v>392891752</v>
      </c>
      <c r="P32" s="241">
        <v>453222216</v>
      </c>
      <c r="Q32" s="241"/>
      <c r="R32" s="200">
        <f t="shared" si="10"/>
        <v>6232539404</v>
      </c>
      <c r="S32" s="201" t="s">
        <v>692</v>
      </c>
      <c r="T32" s="202"/>
      <c r="U32" s="190"/>
      <c r="V32" s="190">
        <f t="shared" ref="V32:AG33" si="17">ROUNDDOWN(F27/$B$2,2)-V27</f>
        <v>0</v>
      </c>
      <c r="W32" s="190">
        <f t="shared" si="17"/>
        <v>0</v>
      </c>
      <c r="X32" s="190">
        <f t="shared" si="17"/>
        <v>0</v>
      </c>
      <c r="Y32" s="190">
        <f t="shared" si="17"/>
        <v>0</v>
      </c>
      <c r="Z32" s="190">
        <f t="shared" si="17"/>
        <v>0</v>
      </c>
      <c r="AA32" s="190">
        <f t="shared" si="17"/>
        <v>0</v>
      </c>
      <c r="AB32" s="190">
        <f t="shared" si="17"/>
        <v>0</v>
      </c>
      <c r="AC32" s="190">
        <f t="shared" si="17"/>
        <v>0</v>
      </c>
      <c r="AD32" s="190">
        <f t="shared" si="17"/>
        <v>0</v>
      </c>
      <c r="AE32" s="190">
        <f t="shared" si="17"/>
        <v>0</v>
      </c>
      <c r="AF32" s="190">
        <f t="shared" si="17"/>
        <v>0</v>
      </c>
      <c r="AG32" s="190">
        <f t="shared" si="17"/>
        <v>0</v>
      </c>
      <c r="BA32"/>
      <c r="BB32"/>
      <c r="BE32" s="208" t="e">
        <v>#REF!</v>
      </c>
      <c r="BF32" s="208" t="e">
        <v>#REF!</v>
      </c>
      <c r="BG32" s="208" t="e">
        <v>#REF!</v>
      </c>
      <c r="BH32" s="208" t="e">
        <v>#REF!</v>
      </c>
      <c r="BI32" s="208" t="e">
        <v>#REF!</v>
      </c>
    </row>
    <row r="33" spans="1:63" s="208" customFormat="1" ht="13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>
        <v>942188207</v>
      </c>
      <c r="G33" s="241">
        <v>576356824</v>
      </c>
      <c r="H33" s="241">
        <v>508967104</v>
      </c>
      <c r="I33" s="241">
        <v>496024844</v>
      </c>
      <c r="J33" s="241">
        <v>511054451</v>
      </c>
      <c r="K33" s="241">
        <v>394988402</v>
      </c>
      <c r="L33" s="241">
        <v>1233522931</v>
      </c>
      <c r="M33" s="241">
        <v>474025478</v>
      </c>
      <c r="N33" s="241">
        <v>525210948</v>
      </c>
      <c r="O33" s="241">
        <v>385756429</v>
      </c>
      <c r="P33" s="241">
        <v>487531450</v>
      </c>
      <c r="Q33" s="241"/>
      <c r="R33" s="200">
        <f t="shared" si="10"/>
        <v>6535627068</v>
      </c>
      <c r="S33" s="201" t="s">
        <v>692</v>
      </c>
      <c r="T33" s="202"/>
      <c r="U33" s="190"/>
      <c r="V33" s="190">
        <f t="shared" si="17"/>
        <v>0</v>
      </c>
      <c r="W33" s="190">
        <f t="shared" si="17"/>
        <v>0</v>
      </c>
      <c r="X33" s="190">
        <f t="shared" si="17"/>
        <v>0</v>
      </c>
      <c r="Y33" s="190">
        <f t="shared" si="17"/>
        <v>0</v>
      </c>
      <c r="Z33" s="190">
        <f t="shared" si="17"/>
        <v>0</v>
      </c>
      <c r="AA33" s="190">
        <f t="shared" si="17"/>
        <v>0</v>
      </c>
      <c r="AB33" s="190">
        <f t="shared" si="17"/>
        <v>0</v>
      </c>
      <c r="AC33" s="190">
        <f t="shared" si="17"/>
        <v>0</v>
      </c>
      <c r="AD33" s="190">
        <f t="shared" si="17"/>
        <v>0</v>
      </c>
      <c r="AE33" s="190">
        <f t="shared" si="17"/>
        <v>0</v>
      </c>
      <c r="AF33" s="190">
        <f t="shared" si="17"/>
        <v>0</v>
      </c>
      <c r="AG33" s="190">
        <f t="shared" si="17"/>
        <v>0</v>
      </c>
      <c r="BA33"/>
      <c r="BB33"/>
      <c r="BE33" s="208" t="e">
        <v>#REF!</v>
      </c>
      <c r="BF33" s="208" t="e">
        <v>#REF!</v>
      </c>
      <c r="BG33" s="208" t="e">
        <v>#REF!</v>
      </c>
      <c r="BH33" s="208" t="e">
        <v>#REF!</v>
      </c>
      <c r="BI33" s="208" t="e">
        <v>#REF!</v>
      </c>
    </row>
    <row r="34" spans="1:63" s="208" customFormat="1" ht="13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>
        <v>5716121962</v>
      </c>
      <c r="G34" s="241">
        <v>7302905071</v>
      </c>
      <c r="H34" s="241">
        <v>5406730919</v>
      </c>
      <c r="I34" s="241">
        <v>7237791125</v>
      </c>
      <c r="J34" s="241">
        <v>4032693758</v>
      </c>
      <c r="K34" s="241">
        <v>3941709845</v>
      </c>
      <c r="L34" s="241">
        <v>4938288869</v>
      </c>
      <c r="M34" s="241">
        <v>4160375044</v>
      </c>
      <c r="N34" s="241">
        <v>4114683329</v>
      </c>
      <c r="O34" s="241">
        <v>4227199098</v>
      </c>
      <c r="P34" s="241">
        <v>2919105552</v>
      </c>
      <c r="Q34" s="241"/>
      <c r="R34" s="200">
        <f t="shared" si="10"/>
        <v>53997604572</v>
      </c>
      <c r="S34" s="201" t="s">
        <v>692</v>
      </c>
      <c r="T34" s="202"/>
      <c r="U34" s="190"/>
      <c r="V34" s="190"/>
      <c r="W34" s="190"/>
      <c r="BA34"/>
      <c r="BB34"/>
    </row>
    <row r="35" spans="1:63" s="208" customFormat="1" ht="13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10"/>
        <v>0</v>
      </c>
      <c r="S35" s="201"/>
      <c r="T35" s="202"/>
      <c r="U35" s="190"/>
      <c r="V35" s="190"/>
      <c r="W35" s="190"/>
      <c r="BA35"/>
      <c r="BB35"/>
    </row>
    <row r="36" spans="1:63" s="191" customFormat="1" ht="13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>
        <f t="shared" ref="F36" si="18">ROUNDUP(V36*$B$2,0)</f>
        <v>2275560977</v>
      </c>
      <c r="G36" s="241">
        <f t="shared" ref="G36" si="19">ROUNDUP(W36*$B$2,0)</f>
        <v>2144666641</v>
      </c>
      <c r="H36" s="241">
        <f t="shared" ref="H36" si="20">ROUNDUP(X36*$B$2,0)</f>
        <v>2278647640</v>
      </c>
      <c r="I36" s="241">
        <f t="shared" ref="I36" si="21">ROUNDUP(Y36*$B$2,0)</f>
        <v>2882644002</v>
      </c>
      <c r="J36" s="241">
        <f t="shared" ref="J36" si="22">ROUNDUP(Z36*$B$2,0)</f>
        <v>2634486205</v>
      </c>
      <c r="K36" s="241">
        <f t="shared" ref="K36" si="23">ROUNDUP(AA36*$B$2,0)</f>
        <v>2468546559</v>
      </c>
      <c r="L36" s="241">
        <f t="shared" ref="L36" si="24">ROUNDUP(AB36*$B$2,0)</f>
        <v>2991049654</v>
      </c>
      <c r="M36" s="241">
        <f t="shared" ref="M36" si="25">ROUNDUP(AC36*$B$2,0)</f>
        <v>2785708537</v>
      </c>
      <c r="N36" s="241">
        <f t="shared" ref="N36" si="26">ROUNDUP(AD36*$B$2,0)</f>
        <v>3010638547</v>
      </c>
      <c r="O36" s="241">
        <f t="shared" ref="O36" si="27">ROUNDUP(AE36*$B$2,0)</f>
        <v>2953844671</v>
      </c>
      <c r="P36" s="241">
        <f t="shared" ref="P36" si="28">ROUNDUP(AF36*$B$2,0)</f>
        <v>2440487816</v>
      </c>
      <c r="Q36" s="241">
        <f t="shared" ref="Q36" si="29">ROUNDUP(AG36*$B$2,0)</f>
        <v>2813873918</v>
      </c>
      <c r="R36" s="200">
        <f t="shared" si="10"/>
        <v>31680155167</v>
      </c>
      <c r="S36" s="201"/>
      <c r="T36" s="202"/>
      <c r="U36" s="246"/>
      <c r="V36" s="246">
        <v>89624.3</v>
      </c>
      <c r="W36" s="246">
        <v>84468.95</v>
      </c>
      <c r="X36" s="191">
        <v>89745.87</v>
      </c>
      <c r="Y36" s="191">
        <v>113534.62</v>
      </c>
      <c r="Z36" s="191">
        <v>103760.78</v>
      </c>
      <c r="AA36" s="191">
        <v>97225.15</v>
      </c>
      <c r="AB36" s="191">
        <v>117804.24</v>
      </c>
      <c r="AC36" s="191">
        <v>109716.76</v>
      </c>
      <c r="AD36" s="191">
        <v>118575.76</v>
      </c>
      <c r="AE36" s="191">
        <v>116338.9</v>
      </c>
      <c r="AF36" s="191">
        <v>96120.04</v>
      </c>
      <c r="AG36" s="191">
        <v>110826.07</v>
      </c>
      <c r="BA36"/>
      <c r="BB36"/>
      <c r="BE36" s="191">
        <v>84149.29</v>
      </c>
      <c r="BF36" s="191">
        <v>84149.29</v>
      </c>
      <c r="BG36" s="191">
        <v>84149.29</v>
      </c>
      <c r="BH36" s="191">
        <v>84149.29</v>
      </c>
      <c r="BI36" s="191">
        <v>84149.29</v>
      </c>
      <c r="BJ36" s="191">
        <v>84149.29</v>
      </c>
      <c r="BK36" s="191">
        <v>84149.29</v>
      </c>
    </row>
    <row r="37" spans="1:63" s="191" customFormat="1" ht="13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10"/>
        <v>0</v>
      </c>
      <c r="S37" s="201"/>
      <c r="T37" s="202"/>
      <c r="U37" s="246"/>
      <c r="V37" s="246"/>
      <c r="W37" s="246"/>
      <c r="BA37"/>
      <c r="BB37"/>
    </row>
    <row r="38" spans="1:63" s="191" customFormat="1" ht="13">
      <c r="A38" s="226"/>
      <c r="B38" s="180">
        <v>5001016131</v>
      </c>
      <c r="C38" s="183" t="str">
        <f>IFERROR(IF(VLOOKUP($B38,勘定科目!$A:$H,HLOOKUP($E$5,勘定科目!$F$1:$H$2,2,0),0)="","",VLOOKUP($B38,勘定科目!$A:$E,2,0)),"")</f>
        <v>材料仕入割戻高</v>
      </c>
      <c r="D38" s="239" t="str">
        <f>IF(C38="","",VLOOKUP($B38,勘定科目!$A:$E,4,0))</f>
        <v>材料費</v>
      </c>
      <c r="E38" s="245"/>
      <c r="F38" s="194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00">
        <f t="shared" si="10"/>
        <v>0</v>
      </c>
      <c r="S38" s="201" t="s">
        <v>693</v>
      </c>
      <c r="T38" s="202"/>
      <c r="U38" s="246"/>
      <c r="V38" s="246"/>
      <c r="W38" s="246"/>
      <c r="BA38"/>
      <c r="BB38"/>
    </row>
    <row r="39" spans="1:63" s="191" customFormat="1" ht="13">
      <c r="A39" s="226"/>
      <c r="B39" s="180">
        <v>5005246287</v>
      </c>
      <c r="C39" s="183" t="str">
        <f>IFERROR(IF(VLOOKUP($B39,勘定科目!$A:$H,HLOOKUP($E$5,勘定科目!$F$1:$H$2,2,0),0)="","",VLOOKUP($B39,勘定科目!$A:$E,2,0)),"")</f>
        <v>ＫＤＣ手数料（製）</v>
      </c>
      <c r="D39" s="239" t="str">
        <f>IF(C39="","",VLOOKUP($B39,勘定科目!$A:$E,4,0))</f>
        <v>手数料</v>
      </c>
      <c r="E39" s="245"/>
      <c r="F39" s="194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00">
        <f t="shared" si="10"/>
        <v>0</v>
      </c>
      <c r="S39" s="201" t="s">
        <v>694</v>
      </c>
      <c r="T39" s="202"/>
      <c r="U39" s="246"/>
      <c r="V39" s="246"/>
      <c r="W39" s="246"/>
      <c r="BA39"/>
      <c r="BB39"/>
      <c r="BE39" s="191" t="e">
        <v>#REF!</v>
      </c>
      <c r="BF39" s="191" t="e">
        <v>#REF!</v>
      </c>
      <c r="BG39" s="191" t="e">
        <v>#REF!</v>
      </c>
      <c r="BH39" s="191" t="e">
        <v>#REF!</v>
      </c>
      <c r="BI39" s="191" t="e">
        <v>#REF!</v>
      </c>
    </row>
    <row r="40" spans="1:63" s="191" customFormat="1" ht="13">
      <c r="A40" s="226"/>
      <c r="B40" s="180">
        <v>5005246287</v>
      </c>
      <c r="C40" s="183" t="str">
        <f>IFERROR(IF(VLOOKUP($B40,勘定科目!$A:$H,HLOOKUP($E$5,勘定科目!$F$1:$H$2,2,0),0)="","",VLOOKUP($B40,勘定科目!$A:$E,2,0)),"")</f>
        <v>ＫＤＣ手数料（製）</v>
      </c>
      <c r="D40" s="239" t="str">
        <f>IF(C40="","",VLOOKUP($B40,勘定科目!$A:$E,4,0))</f>
        <v>手数料</v>
      </c>
      <c r="E40" s="245"/>
      <c r="F40" s="194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00">
        <f t="shared" si="10"/>
        <v>0</v>
      </c>
      <c r="S40" s="201" t="s">
        <v>695</v>
      </c>
      <c r="T40" s="202"/>
      <c r="U40" s="246"/>
      <c r="V40" s="246"/>
      <c r="W40" s="246"/>
      <c r="BA40"/>
      <c r="BB40"/>
      <c r="BE40" s="191" t="e">
        <v>#REF!</v>
      </c>
      <c r="BF40" s="191" t="e">
        <v>#REF!</v>
      </c>
      <c r="BG40" s="191" t="e">
        <v>#REF!</v>
      </c>
      <c r="BH40" s="191" t="e">
        <v>#REF!</v>
      </c>
      <c r="BI40" s="191" t="e">
        <v>#REF!</v>
      </c>
    </row>
    <row r="41" spans="1:63" s="191" customFormat="1" ht="13">
      <c r="A41" s="226"/>
      <c r="B41" s="180"/>
      <c r="C41" s="183" t="str">
        <f>IFERROR(IF(VLOOKUP($B41,勘定科目!$A:$H,HLOOKUP($E$5,勘定科目!$F$1:$H$2,2,0),0)="","",VLOOKUP($B41,勘定科目!$A:$E,2,0)),"")</f>
        <v/>
      </c>
      <c r="D41" s="239" t="str">
        <f>IF(C41="","",VLOOKUP($B41,勘定科目!$A:$E,4,0))</f>
        <v/>
      </c>
      <c r="E41" s="245"/>
      <c r="F41" s="194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00">
        <f t="shared" si="10"/>
        <v>0</v>
      </c>
      <c r="S41" s="201"/>
      <c r="T41" s="202"/>
      <c r="U41" s="246"/>
      <c r="V41" s="246"/>
      <c r="W41" s="246"/>
      <c r="BA41"/>
      <c r="BB41"/>
      <c r="BE41" s="191" t="e">
        <v>#REF!</v>
      </c>
      <c r="BF41" s="191" t="e">
        <v>#REF!</v>
      </c>
      <c r="BG41" s="191" t="e">
        <v>#REF!</v>
      </c>
      <c r="BH41" s="191" t="e">
        <v>#REF!</v>
      </c>
      <c r="BI41" s="191" t="e">
        <v>#REF!</v>
      </c>
    </row>
    <row r="42" spans="1:63" s="191" customFormat="1" ht="13">
      <c r="A42" s="226"/>
      <c r="B42" s="180">
        <v>5006016242</v>
      </c>
      <c r="C42" s="183" t="str">
        <f>IFERROR(IF(VLOOKUP($B42,勘定科目!$A:$H,HLOOKUP($E$5,勘定科目!$F$1:$H$2,2,0),0)="","",VLOOKUP($B42,勘定科目!$A:$E,2,0)),"")</f>
        <v>減価償却費（製）　機械装置</v>
      </c>
      <c r="D42" s="239" t="str">
        <f>IF(C42="","",VLOOKUP($B42,勘定科目!$A:$E,4,0))</f>
        <v>減価償却費</v>
      </c>
      <c r="E42" s="245"/>
      <c r="F42" s="194">
        <v>159884639</v>
      </c>
      <c r="G42" s="247">
        <v>159884639</v>
      </c>
      <c r="H42" s="247">
        <v>159884639</v>
      </c>
      <c r="I42" s="247">
        <v>159884639</v>
      </c>
      <c r="J42" s="247">
        <v>159884639</v>
      </c>
      <c r="K42" s="247">
        <v>159884639</v>
      </c>
      <c r="L42" s="247">
        <v>159884639</v>
      </c>
      <c r="M42" s="247">
        <v>159884639</v>
      </c>
      <c r="N42" s="247">
        <v>159884639</v>
      </c>
      <c r="O42" s="247">
        <v>159884639</v>
      </c>
      <c r="P42" s="247">
        <v>159884639</v>
      </c>
      <c r="Q42" s="247">
        <v>159884639</v>
      </c>
      <c r="R42" s="200">
        <f t="shared" si="10"/>
        <v>1918615668</v>
      </c>
      <c r="S42" s="201" t="s">
        <v>696</v>
      </c>
      <c r="T42" s="202"/>
      <c r="U42" s="246"/>
      <c r="V42" s="246"/>
      <c r="W42" s="246"/>
      <c r="BA42"/>
      <c r="BB42"/>
      <c r="BE42" s="191" t="e">
        <v>#REF!</v>
      </c>
      <c r="BF42" s="191" t="e">
        <v>#REF!</v>
      </c>
      <c r="BG42" s="191" t="e">
        <v>#REF!</v>
      </c>
      <c r="BH42" s="191" t="e">
        <v>#REF!</v>
      </c>
      <c r="BI42" s="191" t="e">
        <v>#REF!</v>
      </c>
    </row>
    <row r="43" spans="1:63" s="191" customFormat="1" ht="13">
      <c r="A43" s="226"/>
      <c r="B43" s="180">
        <v>5006016244</v>
      </c>
      <c r="C43" s="183" t="str">
        <f>IFERROR(IF(VLOOKUP($B43,勘定科目!$A:$H,HLOOKUP($E$5,勘定科目!$F$1:$H$2,2,0),0)="","",VLOOKUP($B43,勘定科目!$A:$E,2,0)),"")</f>
        <v>減価償却費（製）　工具器具備品</v>
      </c>
      <c r="D43" s="239" t="str">
        <f>IF(C43="","",VLOOKUP($B43,勘定科目!$A:$E,4,0))</f>
        <v>減価償却費</v>
      </c>
      <c r="E43" s="245"/>
      <c r="F43" s="194">
        <v>1152575749</v>
      </c>
      <c r="G43" s="247">
        <v>1152575749</v>
      </c>
      <c r="H43" s="247">
        <v>1137314836</v>
      </c>
      <c r="I43" s="247">
        <v>1130547639</v>
      </c>
      <c r="J43" s="247">
        <v>1130316082</v>
      </c>
      <c r="K43" s="247">
        <v>1122134155</v>
      </c>
      <c r="L43" s="247">
        <v>1120870241</v>
      </c>
      <c r="M43" s="247">
        <v>1120834695</v>
      </c>
      <c r="N43" s="247">
        <v>1120834695</v>
      </c>
      <c r="O43" s="247">
        <v>1120834695</v>
      </c>
      <c r="P43" s="247">
        <v>1109983517</v>
      </c>
      <c r="Q43" s="247">
        <v>1064541764</v>
      </c>
      <c r="R43" s="200">
        <f t="shared" si="10"/>
        <v>13483363817</v>
      </c>
      <c r="S43" s="201" t="s">
        <v>697</v>
      </c>
      <c r="T43" s="202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BA43"/>
      <c r="BB43"/>
    </row>
    <row r="44" spans="1:63" s="191" customFormat="1" ht="13">
      <c r="A44" s="226"/>
      <c r="B44" s="180">
        <v>5006016247</v>
      </c>
      <c r="C44" s="183" t="str">
        <f>IFERROR(IF(VLOOKUP($B44,勘定科目!$A:$H,HLOOKUP($E$5,勘定科目!$F$1:$H$2,2,0),0)="","",VLOOKUP($B44,勘定科目!$A:$E,2,0)),"")</f>
        <v>減価償却費（製）　その他有形固定資産</v>
      </c>
      <c r="D44" s="239" t="str">
        <f>IF(C44="","",VLOOKUP($B44,勘定科目!$A:$E,4,0))</f>
        <v>減価償却費</v>
      </c>
      <c r="E44" s="245"/>
      <c r="F44" s="194">
        <v>1834681</v>
      </c>
      <c r="G44" s="247">
        <v>1834681</v>
      </c>
      <c r="H44" s="247">
        <v>1834681</v>
      </c>
      <c r="I44" s="247">
        <v>1834681</v>
      </c>
      <c r="J44" s="247">
        <v>1834681</v>
      </c>
      <c r="K44" s="247">
        <v>1834681</v>
      </c>
      <c r="L44" s="247">
        <v>1834681</v>
      </c>
      <c r="M44" s="247">
        <v>1834681</v>
      </c>
      <c r="N44" s="247">
        <v>1834681</v>
      </c>
      <c r="O44" s="247">
        <v>1834681</v>
      </c>
      <c r="P44" s="247">
        <v>1834681</v>
      </c>
      <c r="Q44" s="247">
        <v>1834681</v>
      </c>
      <c r="R44" s="200">
        <f t="shared" si="10"/>
        <v>22016172</v>
      </c>
      <c r="S44" s="201" t="s">
        <v>698</v>
      </c>
      <c r="T44" s="202"/>
      <c r="U44" s="246"/>
      <c r="V44" s="246"/>
      <c r="W44" s="246"/>
      <c r="X44" s="246"/>
      <c r="Y44" s="246"/>
      <c r="Z44" s="246"/>
      <c r="AA44" s="246"/>
      <c r="AB44" s="246"/>
      <c r="AC44" s="246"/>
      <c r="AD44" s="246"/>
      <c r="AE44" s="246"/>
      <c r="AF44" s="246"/>
      <c r="AG44" s="246"/>
      <c r="BA44"/>
      <c r="BB44"/>
      <c r="BE44" s="191" t="e">
        <v>#REF!</v>
      </c>
      <c r="BF44" s="191" t="e">
        <v>#REF!</v>
      </c>
      <c r="BH44" s="191" t="e">
        <v>#REF!</v>
      </c>
      <c r="BI44" s="191" t="e">
        <v>#REF!</v>
      </c>
    </row>
    <row r="45" spans="1:63" s="191" customFormat="1" ht="13">
      <c r="A45" s="226"/>
      <c r="B45" s="180">
        <v>5006016244</v>
      </c>
      <c r="C45" s="183" t="str">
        <f>IFERROR(IF(VLOOKUP($B45,勘定科目!$A:$H,HLOOKUP($E$5,勘定科目!$F$1:$H$2,2,0),0)="","",VLOOKUP($B45,勘定科目!$A:$E,2,0)),"")</f>
        <v>減価償却費（製）　工具器具備品</v>
      </c>
      <c r="D45" s="239" t="str">
        <f>IF(C45="","",VLOOKUP($B45,勘定科目!$A:$E,4,0))</f>
        <v>減価償却費</v>
      </c>
      <c r="E45" s="245"/>
      <c r="F45" s="194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00">
        <f t="shared" si="10"/>
        <v>0</v>
      </c>
      <c r="S45" s="201" t="s">
        <v>699</v>
      </c>
      <c r="T45" s="202"/>
      <c r="U45" s="246"/>
      <c r="V45" s="246"/>
      <c r="W45" s="246"/>
      <c r="X45" s="246"/>
      <c r="Y45" s="246"/>
      <c r="Z45" s="246"/>
      <c r="AA45" s="246"/>
      <c r="AB45" s="246"/>
      <c r="AC45" s="246"/>
      <c r="AD45" s="246"/>
      <c r="AE45" s="246"/>
      <c r="AF45" s="246"/>
      <c r="AG45" s="246"/>
      <c r="BA45"/>
      <c r="BB45"/>
      <c r="BE45" s="191" t="e">
        <v>#REF!</v>
      </c>
      <c r="BF45" s="191" t="e">
        <v>#REF!</v>
      </c>
      <c r="BH45" s="191" t="e">
        <v>#REF!</v>
      </c>
      <c r="BI45" s="191" t="e">
        <v>#REF!</v>
      </c>
    </row>
    <row r="46" spans="1:63" s="191" customFormat="1" ht="13">
      <c r="A46" s="226"/>
      <c r="B46" s="180">
        <v>5005036246</v>
      </c>
      <c r="C46" s="183" t="str">
        <f>IFERROR(IF(VLOOKUP($B46,勘定科目!$A:$H,HLOOKUP($E$5,勘定科目!$F$1:$H$2,2,0),0)="","",VLOOKUP($B46,勘定科目!$A:$E,2,0)),"")</f>
        <v>減価償却費（製）　金型</v>
      </c>
      <c r="D46" s="239" t="str">
        <f>IF(C46="","",VLOOKUP($B46,勘定科目!$A:$E,4,0))</f>
        <v>金型償却費</v>
      </c>
      <c r="E46" s="245"/>
      <c r="F46" s="194">
        <v>52912760</v>
      </c>
      <c r="G46" s="247">
        <v>52912760</v>
      </c>
      <c r="H46" s="247">
        <v>52912760</v>
      </c>
      <c r="I46" s="247">
        <v>57990760</v>
      </c>
      <c r="J46" s="247">
        <v>105800130</v>
      </c>
      <c r="K46" s="247">
        <v>105800130</v>
      </c>
      <c r="L46" s="247">
        <v>100315890</v>
      </c>
      <c r="M46" s="247">
        <v>84650260</v>
      </c>
      <c r="N46" s="247">
        <v>84650260</v>
      </c>
      <c r="O46" s="247">
        <v>52912760</v>
      </c>
      <c r="P46" s="247">
        <v>52912760</v>
      </c>
      <c r="Q46" s="247">
        <v>52912760</v>
      </c>
      <c r="R46" s="200">
        <f t="shared" si="10"/>
        <v>856683990</v>
      </c>
      <c r="S46" s="201" t="s">
        <v>700</v>
      </c>
      <c r="T46" s="202"/>
      <c r="U46" s="246"/>
      <c r="V46" s="246"/>
      <c r="W46" s="246"/>
      <c r="X46" s="246"/>
      <c r="Y46" s="246"/>
      <c r="Z46" s="246"/>
      <c r="AA46" s="246"/>
      <c r="AB46" s="246"/>
      <c r="AC46" s="246"/>
      <c r="AD46" s="246"/>
      <c r="AE46" s="246"/>
      <c r="AF46" s="246"/>
      <c r="AG46" s="246"/>
      <c r="BA46"/>
      <c r="BB46"/>
      <c r="BE46" s="191" t="e">
        <v>#REF!</v>
      </c>
      <c r="BF46" s="191" t="e">
        <v>#REF!</v>
      </c>
      <c r="BH46" s="191" t="e">
        <v>#REF!</v>
      </c>
      <c r="BI46" s="191" t="e">
        <v>#REF!</v>
      </c>
    </row>
    <row r="47" spans="1:63" s="191" customFormat="1" ht="13">
      <c r="A47" s="226"/>
      <c r="B47" s="180">
        <v>5005036246</v>
      </c>
      <c r="C47" s="183" t="str">
        <f>IFERROR(IF(VLOOKUP($B47,勘定科目!$A:$H,HLOOKUP($E$5,勘定科目!$F$1:$H$2,2,0),0)="","",VLOOKUP($B47,勘定科目!$A:$E,2,0)),"")</f>
        <v>減価償却費（製）　金型</v>
      </c>
      <c r="D47" s="239" t="str">
        <f>IF(C47="","",VLOOKUP($B47,勘定科目!$A:$E,4,0))</f>
        <v>金型償却費</v>
      </c>
      <c r="E47" s="245"/>
      <c r="F47" s="194">
        <f>+ROUND(3886.67*25390,0)</f>
        <v>98682551</v>
      </c>
      <c r="G47" s="247">
        <f>+F46+F47</f>
        <v>151595311</v>
      </c>
      <c r="H47" s="247">
        <f t="shared" ref="H47:Q47" si="30">+G46+G47</f>
        <v>204508071</v>
      </c>
      <c r="I47" s="247">
        <f t="shared" si="30"/>
        <v>257420831</v>
      </c>
      <c r="J47" s="247">
        <f t="shared" si="30"/>
        <v>315411591</v>
      </c>
      <c r="K47" s="247">
        <f t="shared" si="30"/>
        <v>421211721</v>
      </c>
      <c r="L47" s="247">
        <f t="shared" si="30"/>
        <v>527011851</v>
      </c>
      <c r="M47" s="247">
        <f t="shared" si="30"/>
        <v>627327741</v>
      </c>
      <c r="N47" s="247">
        <f t="shared" si="30"/>
        <v>711978001</v>
      </c>
      <c r="O47" s="247">
        <f t="shared" si="30"/>
        <v>796628261</v>
      </c>
      <c r="P47" s="247">
        <f t="shared" si="30"/>
        <v>849541021</v>
      </c>
      <c r="Q47" s="247">
        <f t="shared" si="30"/>
        <v>902453781</v>
      </c>
      <c r="R47" s="200">
        <f t="shared" si="10"/>
        <v>5863770732</v>
      </c>
      <c r="S47" s="201" t="s">
        <v>701</v>
      </c>
      <c r="T47" s="202"/>
      <c r="U47" s="246"/>
      <c r="V47" s="246"/>
      <c r="W47" s="246"/>
      <c r="BA47"/>
      <c r="BB47"/>
    </row>
    <row r="48" spans="1:63" s="191" customFormat="1" ht="13">
      <c r="A48" s="226"/>
      <c r="B48" s="180">
        <v>5005036246</v>
      </c>
      <c r="C48" s="183" t="str">
        <f>IFERROR(IF(VLOOKUP($B48,勘定科目!$A:$H,HLOOKUP($E$5,勘定科目!$F$1:$H$2,2,0),0)="","",VLOOKUP($B48,勘定科目!$A:$E,2,0)),"")</f>
        <v>減価償却費（製）　金型</v>
      </c>
      <c r="D48" s="239" t="str">
        <f>IF(C48="","",VLOOKUP($B48,勘定科目!$A:$E,4,0))</f>
        <v>金型償却費</v>
      </c>
      <c r="E48" s="245"/>
      <c r="F48" s="194">
        <v>7617682229</v>
      </c>
      <c r="G48" s="247">
        <v>7061811342</v>
      </c>
      <c r="H48" s="247">
        <v>6183880239</v>
      </c>
      <c r="I48" s="247">
        <v>4494252670</v>
      </c>
      <c r="J48" s="247">
        <v>2485063515</v>
      </c>
      <c r="K48" s="247">
        <v>2077509075</v>
      </c>
      <c r="L48" s="247">
        <v>2039952949</v>
      </c>
      <c r="M48" s="247">
        <v>1911944693</v>
      </c>
      <c r="N48" s="247">
        <v>1677001121</v>
      </c>
      <c r="O48" s="247">
        <v>1366277540</v>
      </c>
      <c r="P48" s="247">
        <v>1167943047</v>
      </c>
      <c r="Q48" s="247">
        <v>1042757652</v>
      </c>
      <c r="R48" s="200">
        <f t="shared" si="10"/>
        <v>39126076072</v>
      </c>
      <c r="S48" s="201" t="s">
        <v>702</v>
      </c>
      <c r="T48" s="202"/>
      <c r="U48" s="246"/>
      <c r="V48" s="246"/>
      <c r="W48" s="246"/>
      <c r="BA48"/>
      <c r="BB48"/>
    </row>
    <row r="49" spans="1:54" s="191" customFormat="1" ht="13">
      <c r="A49" s="226"/>
      <c r="B49" s="180"/>
      <c r="C49" s="183" t="str">
        <f>IFERROR(IF(VLOOKUP($B49,勘定科目!$A:$H,HLOOKUP($E$5,勘定科目!$F$1:$H$2,2,0),0)="","",VLOOKUP($B49,勘定科目!$A:$E,2,0)),"")</f>
        <v/>
      </c>
      <c r="D49" s="239" t="str">
        <f>IF(C49="","",VLOOKUP($B49,勘定科目!$A:$E,4,0))</f>
        <v/>
      </c>
      <c r="E49" s="245"/>
      <c r="F49" s="194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00">
        <f t="shared" si="10"/>
        <v>0</v>
      </c>
      <c r="S49" s="201"/>
      <c r="T49" s="202"/>
      <c r="U49" s="246"/>
      <c r="V49" s="246"/>
      <c r="W49" s="246"/>
      <c r="BA49"/>
      <c r="BB49"/>
    </row>
    <row r="50" spans="1:54" s="191" customFormat="1" ht="13">
      <c r="A50" s="226"/>
      <c r="B50" s="180">
        <v>9114120007</v>
      </c>
      <c r="C50" s="183" t="str">
        <f>IFERROR(IF(VLOOKUP($B50,勘定科目!$A:$H,HLOOKUP($E$5,勘定科目!$F$1:$H$2,2,0),0)="","",VLOOKUP($B50,勘定科目!$A:$E,2,0)),"")</f>
        <v>社内金利（固定資産）</v>
      </c>
      <c r="D50" s="239" t="str">
        <f>IF(C50="","",VLOOKUP($B50,勘定科目!$A:$E,4,0))</f>
        <v>固定資産金利</v>
      </c>
      <c r="E50" s="245"/>
      <c r="F50" s="194">
        <v>39918920</v>
      </c>
      <c r="G50" s="247">
        <v>34163007</v>
      </c>
      <c r="H50" s="247">
        <v>34163007</v>
      </c>
      <c r="I50" s="247">
        <v>34163007</v>
      </c>
      <c r="J50" s="247">
        <v>34163007</v>
      </c>
      <c r="K50" s="247">
        <v>34163007</v>
      </c>
      <c r="L50" s="247">
        <v>34163007</v>
      </c>
      <c r="M50" s="247">
        <v>34163007</v>
      </c>
      <c r="N50" s="247">
        <v>34163007</v>
      </c>
      <c r="O50" s="247">
        <v>34163007</v>
      </c>
      <c r="P50" s="247">
        <v>34163007</v>
      </c>
      <c r="Q50" s="247">
        <v>34163007</v>
      </c>
      <c r="R50" s="200">
        <f t="shared" si="10"/>
        <v>415711997</v>
      </c>
      <c r="S50" s="201" t="s">
        <v>703</v>
      </c>
      <c r="T50" s="202"/>
      <c r="U50" s="246"/>
      <c r="V50" s="246"/>
      <c r="W50" s="246"/>
      <c r="BA50"/>
      <c r="BB50"/>
    </row>
    <row r="51" spans="1:54" s="191" customFormat="1" ht="13">
      <c r="A51" s="226"/>
      <c r="B51" s="180">
        <v>9114120007</v>
      </c>
      <c r="C51" s="183" t="str">
        <f>IFERROR(IF(VLOOKUP($B51,勘定科目!$A:$H,HLOOKUP($E$5,勘定科目!$F$1:$H$2,2,0),0)="","",VLOOKUP($B51,勘定科目!$A:$E,2,0)),"")</f>
        <v>社内金利（固定資産）</v>
      </c>
      <c r="D51" s="239" t="str">
        <f>IF(C51="","",VLOOKUP($B51,勘定科目!$A:$E,4,0))</f>
        <v>固定資産金利</v>
      </c>
      <c r="E51" s="245"/>
      <c r="F51" s="194">
        <v>391623231</v>
      </c>
      <c r="G51" s="247">
        <v>122972403</v>
      </c>
      <c r="H51" s="247">
        <v>117702454</v>
      </c>
      <c r="I51" s="247">
        <v>102492829</v>
      </c>
      <c r="J51" s="247">
        <v>78382739</v>
      </c>
      <c r="K51" s="247">
        <v>72269588</v>
      </c>
      <c r="L51" s="247">
        <v>71593453</v>
      </c>
      <c r="M51" s="247">
        <v>68905159</v>
      </c>
      <c r="N51" s="247">
        <v>63266294</v>
      </c>
      <c r="O51" s="247">
        <v>54875915</v>
      </c>
      <c r="P51" s="247">
        <v>48925261</v>
      </c>
      <c r="Q51" s="247">
        <v>44793800</v>
      </c>
      <c r="R51" s="200">
        <f t="shared" si="10"/>
        <v>1237803126</v>
      </c>
      <c r="S51" s="201" t="s">
        <v>704</v>
      </c>
      <c r="T51" s="202"/>
      <c r="U51" s="246"/>
      <c r="V51" s="246"/>
      <c r="W51" s="246"/>
      <c r="BA51"/>
      <c r="BB51"/>
    </row>
    <row r="52" spans="1:54" s="191" customFormat="1" ht="13">
      <c r="A52" s="226"/>
      <c r="B52" s="180">
        <v>9114120007</v>
      </c>
      <c r="C52" s="183" t="str">
        <f>IFERROR(IF(VLOOKUP($B52,勘定科目!$A:$H,HLOOKUP($E$5,勘定科目!$F$1:$H$2,2,0),0)="","",VLOOKUP($B52,勘定科目!$A:$E,2,0)),"")</f>
        <v>社内金利（固定資産）</v>
      </c>
      <c r="D52" s="239" t="str">
        <f>IF(C52="","",VLOOKUP($B52,勘定科目!$A:$E,4,0))</f>
        <v>固定資産金利</v>
      </c>
      <c r="E52" s="245"/>
      <c r="F52" s="194">
        <v>122011645</v>
      </c>
      <c r="G52" s="247">
        <v>80999178</v>
      </c>
      <c r="H52" s="247">
        <v>80999178</v>
      </c>
      <c r="I52" s="247">
        <v>80902442</v>
      </c>
      <c r="J52" s="247">
        <v>80843791</v>
      </c>
      <c r="K52" s="247">
        <v>80843791</v>
      </c>
      <c r="L52" s="247">
        <v>80715572</v>
      </c>
      <c r="M52" s="247">
        <v>80697545</v>
      </c>
      <c r="N52" s="247">
        <v>80697545</v>
      </c>
      <c r="O52" s="247">
        <v>80697545</v>
      </c>
      <c r="P52" s="247">
        <v>80697545</v>
      </c>
      <c r="Q52" s="247">
        <v>79563120</v>
      </c>
      <c r="R52" s="200">
        <f t="shared" si="10"/>
        <v>1009668897</v>
      </c>
      <c r="S52" s="201" t="s">
        <v>705</v>
      </c>
      <c r="T52" s="202"/>
      <c r="U52" s="246"/>
      <c r="V52" s="246"/>
      <c r="W52" s="246"/>
      <c r="BA52"/>
      <c r="BB52"/>
    </row>
    <row r="53" spans="1:54" s="191" customFormat="1" ht="13">
      <c r="A53" s="226"/>
      <c r="B53" s="180">
        <v>9114120007</v>
      </c>
      <c r="C53" s="183" t="str">
        <f>IFERROR(IF(VLOOKUP($B53,勘定科目!$A:$H,HLOOKUP($E$5,勘定科目!$F$1:$H$2,2,0),0)="","",VLOOKUP($B53,勘定科目!$A:$E,2,0)),"")</f>
        <v>社内金利（固定資産）</v>
      </c>
      <c r="D53" s="239" t="str">
        <f>IF(C53="","",VLOOKUP($B53,勘定科目!$A:$E,4,0))</f>
        <v>固定資産金利</v>
      </c>
      <c r="E53" s="245"/>
      <c r="F53" s="194">
        <v>220131</v>
      </c>
      <c r="G53" s="247">
        <v>154117</v>
      </c>
      <c r="H53" s="247">
        <v>154117</v>
      </c>
      <c r="I53" s="247">
        <v>154117</v>
      </c>
      <c r="J53" s="247">
        <v>154117</v>
      </c>
      <c r="K53" s="247">
        <v>154117</v>
      </c>
      <c r="L53" s="247">
        <v>154117</v>
      </c>
      <c r="M53" s="247">
        <v>154117</v>
      </c>
      <c r="N53" s="247">
        <v>154117</v>
      </c>
      <c r="O53" s="247">
        <v>154117</v>
      </c>
      <c r="P53" s="247">
        <v>154117</v>
      </c>
      <c r="Q53" s="247">
        <v>154117</v>
      </c>
      <c r="R53" s="200">
        <f t="shared" si="10"/>
        <v>1915418</v>
      </c>
      <c r="S53" s="201" t="s">
        <v>706</v>
      </c>
      <c r="T53" s="202"/>
      <c r="U53" s="246"/>
      <c r="V53" s="246"/>
      <c r="W53" s="246"/>
      <c r="BA53"/>
      <c r="BB53"/>
    </row>
    <row r="54" spans="1:54" s="191" customFormat="1" ht="13">
      <c r="A54" s="226"/>
      <c r="B54" s="180">
        <v>9114120007</v>
      </c>
      <c r="C54" s="183" t="str">
        <f>IFERROR(IF(VLOOKUP($B54,勘定科目!$A:$H,HLOOKUP($E$5,勘定科目!$F$1:$H$2,2,0),0)="","",VLOOKUP($B54,勘定科目!$A:$E,2,0)),"")</f>
        <v>社内金利（固定資産）</v>
      </c>
      <c r="D54" s="239" t="str">
        <f>IF(C54="","",VLOOKUP($B54,勘定科目!$A:$E,4,0))</f>
        <v>固定資産金利</v>
      </c>
      <c r="E54" s="245"/>
      <c r="F54" s="194">
        <f>+ROUND(F47*24*0.003,0)</f>
        <v>7105144</v>
      </c>
      <c r="G54" s="194">
        <f t="shared" ref="G54:Q54" si="31">+ROUND(G47*24*0.003,0)</f>
        <v>10914862</v>
      </c>
      <c r="H54" s="194">
        <f t="shared" si="31"/>
        <v>14724581</v>
      </c>
      <c r="I54" s="194">
        <f t="shared" si="31"/>
        <v>18534300</v>
      </c>
      <c r="J54" s="194">
        <f t="shared" si="31"/>
        <v>22709635</v>
      </c>
      <c r="K54" s="194">
        <f t="shared" si="31"/>
        <v>30327244</v>
      </c>
      <c r="L54" s="194">
        <f t="shared" si="31"/>
        <v>37944853</v>
      </c>
      <c r="M54" s="194">
        <f t="shared" si="31"/>
        <v>45167597</v>
      </c>
      <c r="N54" s="194">
        <f t="shared" si="31"/>
        <v>51262416</v>
      </c>
      <c r="O54" s="194">
        <f t="shared" si="31"/>
        <v>57357235</v>
      </c>
      <c r="P54" s="194">
        <f t="shared" si="31"/>
        <v>61166954</v>
      </c>
      <c r="Q54" s="194">
        <f t="shared" si="31"/>
        <v>64976672</v>
      </c>
      <c r="R54" s="200">
        <f t="shared" si="10"/>
        <v>422191493</v>
      </c>
      <c r="S54" s="201" t="s">
        <v>707</v>
      </c>
      <c r="T54" s="202"/>
      <c r="U54" s="246"/>
      <c r="V54" s="246"/>
      <c r="W54" s="246"/>
      <c r="BA54"/>
      <c r="BB54"/>
    </row>
    <row r="55" spans="1:54" s="191" customFormat="1" ht="13">
      <c r="A55" s="226"/>
      <c r="B55" s="180">
        <v>9114120007</v>
      </c>
      <c r="C55" s="183" t="str">
        <f>IFERROR(IF(VLOOKUP($B55,勘定科目!$A:$H,HLOOKUP($E$5,勘定科目!$F$1:$H$2,2,0),0)="","",VLOOKUP($B55,勘定科目!$A:$E,2,0)),"")</f>
        <v>社内金利（固定資産）</v>
      </c>
      <c r="D55" s="239" t="str">
        <f>IF(C55="","",VLOOKUP($B55,勘定科目!$A:$E,4,0))</f>
        <v>固定資産金利</v>
      </c>
      <c r="E55" s="245"/>
      <c r="F55" s="194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00">
        <f t="shared" si="10"/>
        <v>0</v>
      </c>
      <c r="S55" s="201" t="s">
        <v>708</v>
      </c>
      <c r="T55" s="202"/>
      <c r="U55" s="246"/>
      <c r="V55" s="246"/>
      <c r="W55" s="246"/>
      <c r="BA55"/>
      <c r="BB55"/>
    </row>
    <row r="56" spans="1:54" s="191" customFormat="1" ht="13">
      <c r="A56" s="226"/>
      <c r="B56" s="180"/>
      <c r="C56" s="183" t="str">
        <f>IFERROR(IF(VLOOKUP($B56,勘定科目!$A:$H,HLOOKUP($E$5,勘定科目!$F$1:$H$2,2,0),0)="","",VLOOKUP($B56,勘定科目!$A:$E,2,0)),"")</f>
        <v/>
      </c>
      <c r="D56" s="239" t="str">
        <f>IF(C56="","",VLOOKUP($B56,勘定科目!$A:$E,4,0))</f>
        <v/>
      </c>
      <c r="E56" s="245"/>
      <c r="F56" s="194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00">
        <f t="shared" si="10"/>
        <v>0</v>
      </c>
      <c r="S56" s="201"/>
      <c r="T56" s="202"/>
      <c r="U56" s="246"/>
      <c r="V56" s="246"/>
      <c r="W56" s="246"/>
      <c r="BA56"/>
      <c r="BB56"/>
    </row>
    <row r="57" spans="1:54" s="191" customFormat="1" ht="13">
      <c r="A57" s="226"/>
      <c r="B57" s="180">
        <v>5005026372</v>
      </c>
      <c r="C57" s="183" t="str">
        <f>IFERROR(IF(VLOOKUP($B57,勘定科目!$A:$H,HLOOKUP($E$5,勘定科目!$F$1:$H$2,2,0),0)="","",VLOOKUP($B57,勘定科目!$A:$E,2,0)),"")</f>
        <v>消耗金型代（製）</v>
      </c>
      <c r="D57" s="239" t="str">
        <f>IF(C57="","",VLOOKUP($B57,勘定科目!$A:$E,4,0))</f>
        <v>消耗金型費</v>
      </c>
      <c r="E57" s="245"/>
      <c r="F57" s="194">
        <v>253900000</v>
      </c>
      <c r="G57" s="247">
        <v>253900000</v>
      </c>
      <c r="H57" s="247">
        <v>253900000</v>
      </c>
      <c r="I57" s="247">
        <v>253900000</v>
      </c>
      <c r="J57" s="247">
        <v>253900000</v>
      </c>
      <c r="K57" s="247">
        <v>253900000</v>
      </c>
      <c r="L57" s="247">
        <v>253900000</v>
      </c>
      <c r="M57" s="247">
        <v>253900000</v>
      </c>
      <c r="N57" s="247">
        <v>253900000</v>
      </c>
      <c r="O57" s="247">
        <v>253900000</v>
      </c>
      <c r="P57" s="247">
        <v>253900000</v>
      </c>
      <c r="Q57" s="247">
        <v>253900000</v>
      </c>
      <c r="R57" s="200">
        <f t="shared" si="10"/>
        <v>3046800000</v>
      </c>
      <c r="S57" s="201" t="s">
        <v>709</v>
      </c>
      <c r="T57" s="202"/>
      <c r="U57" s="246"/>
      <c r="V57" s="246"/>
      <c r="W57" s="246"/>
      <c r="BA57"/>
      <c r="BB57"/>
    </row>
    <row r="58" spans="1:54" s="191" customFormat="1" ht="13">
      <c r="A58" s="226"/>
      <c r="B58" s="180">
        <v>5005046284</v>
      </c>
      <c r="C58" s="183" t="str">
        <f>IFERROR(IF(VLOOKUP($B58,勘定科目!$A:$H,HLOOKUP($E$5,勘定科目!$F$1:$H$2,2,0),0)="","",VLOOKUP($B58,勘定科目!$A:$E,2,0)),"")</f>
        <v>金型修繕費（製造）</v>
      </c>
      <c r="D58" s="239" t="str">
        <f>IF(C58="","",VLOOKUP($B58,勘定科目!$A:$E,4,0))</f>
        <v>修繕費</v>
      </c>
      <c r="E58" s="245"/>
      <c r="F58" s="194">
        <v>1015600000</v>
      </c>
      <c r="G58" s="247">
        <v>1015600000</v>
      </c>
      <c r="H58" s="247">
        <v>1015600000</v>
      </c>
      <c r="I58" s="247">
        <v>1015600000</v>
      </c>
      <c r="J58" s="247">
        <v>1015600000</v>
      </c>
      <c r="K58" s="247">
        <v>1015600000</v>
      </c>
      <c r="L58" s="247">
        <v>1015600000</v>
      </c>
      <c r="M58" s="247">
        <v>1015600000</v>
      </c>
      <c r="N58" s="247">
        <v>1015600000</v>
      </c>
      <c r="O58" s="247">
        <v>1015600000</v>
      </c>
      <c r="P58" s="247">
        <v>1015600000</v>
      </c>
      <c r="Q58" s="247">
        <v>1015600000</v>
      </c>
      <c r="R58" s="200">
        <f t="shared" si="10"/>
        <v>12187200000</v>
      </c>
      <c r="S58" s="201" t="s">
        <v>710</v>
      </c>
      <c r="T58" s="202"/>
      <c r="U58" s="246"/>
      <c r="V58" s="246"/>
      <c r="W58" s="246"/>
      <c r="BA58"/>
      <c r="BB58"/>
    </row>
    <row r="59" spans="1:54" s="191" customFormat="1" ht="13">
      <c r="A59" s="226"/>
      <c r="B59" s="180">
        <v>5005016371</v>
      </c>
      <c r="C59" s="183" t="str">
        <f>IFERROR(IF(VLOOKUP($B59,勘定科目!$A:$H,HLOOKUP($E$5,勘定科目!$F$1:$H$2,2,0),0)="","",VLOOKUP($B59,勘定科目!$A:$E,2,0)),"")</f>
        <v>生産用消耗品費（製）</v>
      </c>
      <c r="D59" s="239" t="str">
        <f>IF(C59="","",VLOOKUP($B59,勘定科目!$A:$E,4,0))</f>
        <v>消耗品費</v>
      </c>
      <c r="E59" s="245"/>
      <c r="F59" s="194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00">
        <f t="shared" si="10"/>
        <v>0</v>
      </c>
      <c r="S59" s="201" t="s">
        <v>711</v>
      </c>
      <c r="T59" s="202"/>
      <c r="U59" s="246"/>
      <c r="V59" s="246"/>
      <c r="W59" s="246"/>
      <c r="BA59"/>
      <c r="BB59"/>
    </row>
    <row r="60" spans="1:54" s="191" customFormat="1" ht="13">
      <c r="A60" s="226"/>
      <c r="B60" s="180"/>
      <c r="C60" s="183" t="str">
        <f>IFERROR(IF(VLOOKUP($B60,勘定科目!$A:$H,HLOOKUP($E$5,勘定科目!$F$1:$H$2,2,0),0)="","",VLOOKUP($B60,勘定科目!$A:$E,2,0)),"")</f>
        <v/>
      </c>
      <c r="D60" s="239" t="str">
        <f>IF(C60="","",VLOOKUP($B60,勘定科目!$A:$E,4,0))</f>
        <v/>
      </c>
      <c r="E60" s="245"/>
      <c r="F60" s="194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00">
        <f t="shared" si="10"/>
        <v>0</v>
      </c>
      <c r="S60" s="201"/>
      <c r="T60" s="202"/>
      <c r="U60" s="246"/>
      <c r="V60" s="246"/>
      <c r="W60" s="246"/>
      <c r="BA60"/>
      <c r="BB60"/>
    </row>
    <row r="61" spans="1:54" s="191" customFormat="1" ht="13">
      <c r="A61" s="226"/>
      <c r="B61" s="180">
        <v>5005076281</v>
      </c>
      <c r="C61" s="183" t="str">
        <f>IFERROR(IF(VLOOKUP($B61,勘定科目!$A:$H,HLOOKUP($E$5,勘定科目!$F$1:$H$2,2,0),0)="","",VLOOKUP($B61,勘定科目!$A:$E,2,0)),"")</f>
        <v>通関申告費用（製）</v>
      </c>
      <c r="D61" s="239" t="str">
        <f>IF(C61="","",VLOOKUP($B61,勘定科目!$A:$E,4,0))</f>
        <v>荷造運賃</v>
      </c>
      <c r="E61" s="245"/>
      <c r="F61" s="194">
        <v>119074200</v>
      </c>
      <c r="G61" s="194">
        <v>119074200</v>
      </c>
      <c r="H61" s="194">
        <v>119074200</v>
      </c>
      <c r="I61" s="194">
        <v>119074200</v>
      </c>
      <c r="J61" s="194">
        <v>119074200</v>
      </c>
      <c r="K61" s="194">
        <v>119074200</v>
      </c>
      <c r="L61" s="194">
        <v>119074200</v>
      </c>
      <c r="M61" s="194">
        <v>119074200</v>
      </c>
      <c r="N61" s="194">
        <v>119074200</v>
      </c>
      <c r="O61" s="194">
        <v>119074200</v>
      </c>
      <c r="P61" s="194">
        <v>119074200</v>
      </c>
      <c r="Q61" s="194">
        <v>119074200</v>
      </c>
      <c r="R61" s="200">
        <f t="shared" si="10"/>
        <v>1428890400</v>
      </c>
      <c r="S61" s="201" t="s">
        <v>712</v>
      </c>
      <c r="T61" s="202"/>
      <c r="U61" s="246"/>
      <c r="V61" s="246"/>
      <c r="W61" s="246"/>
      <c r="BA61"/>
      <c r="BB61"/>
    </row>
    <row r="62" spans="1:54" s="191" customFormat="1" ht="13">
      <c r="A62" s="226"/>
      <c r="B62" s="180">
        <v>5005076283</v>
      </c>
      <c r="C62" s="183" t="str">
        <f>IFERROR(IF(VLOOKUP($B62,勘定科目!$A:$H,HLOOKUP($E$5,勘定科目!$F$1:$H$2,2,0),0)="","",VLOOKUP($B62,勘定科目!$A:$E,2,0)),"")</f>
        <v>輸入航空運賃（製）</v>
      </c>
      <c r="D62" s="239" t="str">
        <f>IF(C62="","",VLOOKUP($B62,勘定科目!$A:$E,4,0))</f>
        <v>荷造運賃</v>
      </c>
      <c r="E62" s="245"/>
      <c r="F62" s="194">
        <v>82832392</v>
      </c>
      <c r="G62" s="194">
        <v>82832392</v>
      </c>
      <c r="H62" s="194">
        <v>82832392</v>
      </c>
      <c r="I62" s="194">
        <v>82832392</v>
      </c>
      <c r="J62" s="194">
        <v>82832392</v>
      </c>
      <c r="K62" s="194">
        <v>82832392</v>
      </c>
      <c r="L62" s="194">
        <v>82832392</v>
      </c>
      <c r="M62" s="194">
        <v>82832392</v>
      </c>
      <c r="N62" s="194">
        <v>82832392</v>
      </c>
      <c r="O62" s="194">
        <v>82832392</v>
      </c>
      <c r="P62" s="194">
        <v>82832392</v>
      </c>
      <c r="Q62" s="194">
        <v>82832392</v>
      </c>
      <c r="R62" s="200">
        <f t="shared" si="10"/>
        <v>993988704</v>
      </c>
      <c r="S62" s="201" t="s">
        <v>713</v>
      </c>
      <c r="T62" s="202"/>
      <c r="U62" s="246"/>
      <c r="V62" s="246"/>
      <c r="W62" s="246"/>
      <c r="BA62"/>
      <c r="BB62"/>
    </row>
    <row r="63" spans="1:54" s="191" customFormat="1" ht="13">
      <c r="A63" s="226"/>
      <c r="B63" s="180">
        <v>5005076284</v>
      </c>
      <c r="C63" s="183" t="str">
        <f>IFERROR(IF(VLOOKUP($B63,勘定科目!$A:$H,HLOOKUP($E$5,勘定科目!$F$1:$H$2,2,0),0)="","",VLOOKUP($B63,勘定科目!$A:$E,2,0)),"")</f>
        <v>輸入海上運賃（製）</v>
      </c>
      <c r="D63" s="239" t="str">
        <f>IF(C63="","",VLOOKUP($B63,勘定科目!$A:$E,4,0))</f>
        <v>荷造運賃</v>
      </c>
      <c r="E63" s="245"/>
      <c r="F63" s="194">
        <v>1100000000</v>
      </c>
      <c r="G63" s="194">
        <v>1100000000</v>
      </c>
      <c r="H63" s="194">
        <v>1100000000</v>
      </c>
      <c r="I63" s="194">
        <v>1100000000</v>
      </c>
      <c r="J63" s="194">
        <v>1100000000</v>
      </c>
      <c r="K63" s="194">
        <v>1100000000</v>
      </c>
      <c r="L63" s="194">
        <v>1100000000</v>
      </c>
      <c r="M63" s="194">
        <v>1100000000</v>
      </c>
      <c r="N63" s="194">
        <v>1100000000</v>
      </c>
      <c r="O63" s="194">
        <v>1100000000</v>
      </c>
      <c r="P63" s="194">
        <v>1100000000</v>
      </c>
      <c r="Q63" s="194">
        <v>1100000000</v>
      </c>
      <c r="R63" s="200">
        <f t="shared" si="10"/>
        <v>13200000000</v>
      </c>
      <c r="S63" s="201" t="s">
        <v>714</v>
      </c>
      <c r="T63" s="202"/>
      <c r="U63" s="246"/>
      <c r="V63" s="246"/>
      <c r="W63" s="246"/>
      <c r="BA63"/>
      <c r="BB63"/>
    </row>
    <row r="64" spans="1:54" s="191" customFormat="1" ht="13">
      <c r="A64" s="226"/>
      <c r="B64" s="180">
        <v>6003036543</v>
      </c>
      <c r="C64" s="183" t="str">
        <f>IFERROR(IF(VLOOKUP($B64,勘定科目!$A:$H,HLOOKUP($E$5,勘定科目!$F$1:$H$2,2,0),0)="","",VLOOKUP($B64,勘定科目!$A:$E,2,0)),"")</f>
        <v>輸出航空運賃（販売）</v>
      </c>
      <c r="D64" s="239" t="str">
        <f>IF(C64="","",VLOOKUP($B64,勘定科目!$A:$E,4,0))</f>
        <v>荷造運賃</v>
      </c>
      <c r="E64" s="245"/>
      <c r="F64" s="194">
        <v>465000</v>
      </c>
      <c r="G64" s="194">
        <v>465000</v>
      </c>
      <c r="H64" s="194">
        <v>465000</v>
      </c>
      <c r="I64" s="194">
        <v>465000</v>
      </c>
      <c r="J64" s="194">
        <v>465000</v>
      </c>
      <c r="K64" s="194">
        <v>465000</v>
      </c>
      <c r="L64" s="194">
        <v>465000</v>
      </c>
      <c r="M64" s="194">
        <v>465000</v>
      </c>
      <c r="N64" s="194">
        <v>465000</v>
      </c>
      <c r="O64" s="194">
        <v>465000</v>
      </c>
      <c r="P64" s="194">
        <v>465000</v>
      </c>
      <c r="Q64" s="194">
        <v>465000</v>
      </c>
      <c r="R64" s="200">
        <f t="shared" si="10"/>
        <v>5580000</v>
      </c>
      <c r="S64" s="201" t="s">
        <v>715</v>
      </c>
      <c r="T64" s="202"/>
      <c r="U64" s="246"/>
      <c r="V64" s="246"/>
      <c r="W64" s="246"/>
      <c r="BA64"/>
      <c r="BB64"/>
    </row>
    <row r="65" spans="1:54" s="191" customFormat="1" ht="13">
      <c r="A65" s="226"/>
      <c r="B65" s="180">
        <v>6003036544</v>
      </c>
      <c r="C65" s="183" t="str">
        <f>IFERROR(IF(VLOOKUP($B65,勘定科目!$A:$H,HLOOKUP($E$5,勘定科目!$F$1:$H$2,2,0),0)="","",VLOOKUP($B65,勘定科目!$A:$E,2,0)),"")</f>
        <v>輸出海上運賃（販売）</v>
      </c>
      <c r="D65" s="239" t="str">
        <f>IF(C65="","",VLOOKUP($B65,勘定科目!$A:$E,4,0))</f>
        <v>荷造運賃</v>
      </c>
      <c r="E65" s="245"/>
      <c r="F65" s="194">
        <v>4200000000</v>
      </c>
      <c r="G65" s="194">
        <v>4200000000</v>
      </c>
      <c r="H65" s="194">
        <v>4200000000</v>
      </c>
      <c r="I65" s="194">
        <v>4200000000</v>
      </c>
      <c r="J65" s="194">
        <v>4200000000</v>
      </c>
      <c r="K65" s="194">
        <v>4200000000</v>
      </c>
      <c r="L65" s="194">
        <v>4200000000</v>
      </c>
      <c r="M65" s="194">
        <v>4200000000</v>
      </c>
      <c r="N65" s="194">
        <v>4200000000</v>
      </c>
      <c r="O65" s="194">
        <v>4200000000</v>
      </c>
      <c r="P65" s="194">
        <v>4200000000</v>
      </c>
      <c r="Q65" s="194">
        <v>4200000000</v>
      </c>
      <c r="R65" s="200">
        <f t="shared" si="10"/>
        <v>50400000000</v>
      </c>
      <c r="S65" s="201" t="s">
        <v>716</v>
      </c>
      <c r="T65" s="202"/>
      <c r="U65" s="246"/>
      <c r="V65" s="246"/>
      <c r="W65" s="246"/>
      <c r="BA65"/>
      <c r="BB65"/>
    </row>
    <row r="66" spans="1:54" s="191" customFormat="1" ht="13">
      <c r="A66" s="226"/>
      <c r="B66" s="180">
        <v>5005076289</v>
      </c>
      <c r="C66" s="183" t="str">
        <f>IFERROR(IF(VLOOKUP($B66,勘定科目!$A:$H,HLOOKUP($E$5,勘定科目!$F$1:$H$2,2,0),0)="","",VLOOKUP($B66,勘定科目!$A:$E,2,0)),"")</f>
        <v>クーリエ費用（製）</v>
      </c>
      <c r="D66" s="239" t="str">
        <f>IF(C66="","",VLOOKUP($B66,勘定科目!$A:$E,4,0))</f>
        <v>荷造運賃</v>
      </c>
      <c r="E66" s="245"/>
      <c r="F66" s="194">
        <v>34200000</v>
      </c>
      <c r="G66" s="194">
        <v>34200000</v>
      </c>
      <c r="H66" s="194">
        <v>34200000</v>
      </c>
      <c r="I66" s="194">
        <v>34200000</v>
      </c>
      <c r="J66" s="194">
        <v>34200000</v>
      </c>
      <c r="K66" s="194">
        <v>34200000</v>
      </c>
      <c r="L66" s="194">
        <v>34200000</v>
      </c>
      <c r="M66" s="194">
        <v>34200000</v>
      </c>
      <c r="N66" s="194">
        <v>34200000</v>
      </c>
      <c r="O66" s="194">
        <v>34200000</v>
      </c>
      <c r="P66" s="194">
        <v>34200000</v>
      </c>
      <c r="Q66" s="194">
        <v>34200000</v>
      </c>
      <c r="R66" s="200">
        <f t="shared" si="10"/>
        <v>410400000</v>
      </c>
      <c r="S66" s="201" t="s">
        <v>717</v>
      </c>
      <c r="T66" s="202"/>
      <c r="U66" s="246"/>
      <c r="V66" s="246"/>
      <c r="W66" s="246"/>
      <c r="BA66"/>
      <c r="BB66"/>
    </row>
    <row r="67" spans="1:54" s="191" customFormat="1" ht="13">
      <c r="A67" s="226"/>
      <c r="B67" s="180"/>
      <c r="C67" s="183" t="str">
        <f>IFERROR(IF(VLOOKUP($B67,勘定科目!$A:$H,HLOOKUP($E$5,勘定科目!$F$1:$H$2,2,0),0)="","",VLOOKUP($B67,勘定科目!$A:$E,2,0)),"")</f>
        <v/>
      </c>
      <c r="D67" s="239" t="str">
        <f>IF(C67="","",VLOOKUP($B67,勘定科目!$A:$E,4,0))</f>
        <v/>
      </c>
      <c r="E67" s="245"/>
      <c r="F67" s="194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00">
        <f t="shared" si="10"/>
        <v>0</v>
      </c>
      <c r="S67" s="201"/>
      <c r="T67" s="202"/>
      <c r="U67" s="246"/>
      <c r="V67" s="246"/>
      <c r="W67" s="246"/>
      <c r="BA67"/>
      <c r="BB67"/>
    </row>
    <row r="68" spans="1:54" s="191" customFormat="1" ht="13">
      <c r="A68" s="226"/>
      <c r="B68" s="180">
        <v>5005026371</v>
      </c>
      <c r="C68" s="183" t="str">
        <f>IFERROR(IF(VLOOKUP($B68,勘定科目!$A:$H,HLOOKUP($E$5,勘定科目!$F$1:$H$2,2,0),0)="","",VLOOKUP($B68,勘定科目!$A:$E,2,0)),"")</f>
        <v>消耗工具器具備品費（製）</v>
      </c>
      <c r="D68" s="239" t="str">
        <f>IF(C68="","",VLOOKUP($B68,勘定科目!$A:$E,4,0))</f>
        <v>消耗工具器具備品費</v>
      </c>
      <c r="E68" s="245"/>
      <c r="F68" s="194">
        <v>100000000</v>
      </c>
      <c r="G68" s="194">
        <v>100000000</v>
      </c>
      <c r="H68" s="194">
        <v>100000000</v>
      </c>
      <c r="I68" s="194">
        <v>100000000</v>
      </c>
      <c r="J68" s="194">
        <v>100000000</v>
      </c>
      <c r="K68" s="194">
        <v>100000000</v>
      </c>
      <c r="L68" s="194">
        <v>100000000</v>
      </c>
      <c r="M68" s="194">
        <v>100000000</v>
      </c>
      <c r="N68" s="194">
        <v>100000000</v>
      </c>
      <c r="O68" s="194">
        <v>100000000</v>
      </c>
      <c r="P68" s="194">
        <v>100000000</v>
      </c>
      <c r="Q68" s="194">
        <v>100000000</v>
      </c>
      <c r="R68" s="200">
        <f t="shared" si="10"/>
        <v>1200000000</v>
      </c>
      <c r="S68" s="201" t="s">
        <v>718</v>
      </c>
      <c r="T68" s="202"/>
      <c r="U68" s="246"/>
      <c r="V68" s="246"/>
      <c r="W68" s="246"/>
      <c r="BA68"/>
      <c r="BB68"/>
    </row>
    <row r="69" spans="1:54" s="191" customFormat="1" ht="13">
      <c r="A69" s="226"/>
      <c r="B69" s="180">
        <v>5005026371</v>
      </c>
      <c r="C69" s="183" t="str">
        <f>IFERROR(IF(VLOOKUP($B69,勘定科目!$A:$H,HLOOKUP($E$5,勘定科目!$F$1:$H$2,2,0),0)="","",VLOOKUP($B69,勘定科目!$A:$E,2,0)),"")</f>
        <v>消耗工具器具備品費（製）</v>
      </c>
      <c r="D69" s="239" t="str">
        <f>IF(C69="","",VLOOKUP($B69,勘定科目!$A:$E,4,0))</f>
        <v>消耗工具器具備品費</v>
      </c>
      <c r="E69" s="245"/>
      <c r="F69" s="194">
        <v>1274513976</v>
      </c>
      <c r="G69" s="247">
        <v>717330426</v>
      </c>
      <c r="H69" s="247">
        <v>1125931696</v>
      </c>
      <c r="I69" s="247">
        <v>345874726</v>
      </c>
      <c r="J69" s="247">
        <v>380263754</v>
      </c>
      <c r="K69" s="247">
        <v>294355166</v>
      </c>
      <c r="L69" s="247">
        <v>263405166</v>
      </c>
      <c r="M69" s="247">
        <v>38000000</v>
      </c>
      <c r="N69" s="247">
        <v>38000000</v>
      </c>
      <c r="O69" s="247">
        <v>38000000</v>
      </c>
      <c r="P69" s="247">
        <v>222750195</v>
      </c>
      <c r="Q69" s="247">
        <v>38000000</v>
      </c>
      <c r="R69" s="200">
        <f t="shared" si="10"/>
        <v>4776425105</v>
      </c>
      <c r="S69" s="201" t="s">
        <v>719</v>
      </c>
      <c r="T69" s="202"/>
      <c r="U69" s="246"/>
      <c r="V69" s="246"/>
      <c r="W69" s="246"/>
      <c r="BA69"/>
      <c r="BB69"/>
    </row>
    <row r="70" spans="1:54" s="191" customFormat="1" ht="13">
      <c r="A70" s="226"/>
      <c r="B70" s="180">
        <v>5005026371</v>
      </c>
      <c r="C70" s="183" t="str">
        <f>IFERROR(IF(VLOOKUP($B70,勘定科目!$A:$H,HLOOKUP($E$5,勘定科目!$F$1:$H$2,2,0),0)="","",VLOOKUP($B70,勘定科目!$A:$E,2,0)),"")</f>
        <v>消耗工具器具備品費（製）</v>
      </c>
      <c r="D70" s="239" t="str">
        <f>IF(C70="","",VLOOKUP($B70,勘定科目!$A:$E,4,0))</f>
        <v>消耗工具器具備品費</v>
      </c>
      <c r="E70" s="245"/>
      <c r="F70" s="194">
        <v>216111060</v>
      </c>
      <c r="G70" s="247">
        <v>205216833</v>
      </c>
      <c r="H70" s="247">
        <v>227005287</v>
      </c>
      <c r="I70" s="247">
        <v>248540387</v>
      </c>
      <c r="J70" s="247">
        <v>216111060</v>
      </c>
      <c r="K70" s="247">
        <v>205216833</v>
      </c>
      <c r="L70" s="247">
        <v>248540387</v>
      </c>
      <c r="M70" s="247">
        <v>216111060</v>
      </c>
      <c r="N70" s="247">
        <v>237646160</v>
      </c>
      <c r="O70" s="247">
        <v>216111060</v>
      </c>
      <c r="P70" s="247">
        <v>191029003</v>
      </c>
      <c r="Q70" s="247">
        <v>254620886</v>
      </c>
      <c r="R70" s="200">
        <f t="shared" si="10"/>
        <v>2682260016</v>
      </c>
      <c r="S70" s="201" t="s">
        <v>787</v>
      </c>
      <c r="T70" s="202"/>
      <c r="U70" s="246"/>
      <c r="V70" s="246"/>
      <c r="W70" s="246"/>
      <c r="BA70"/>
      <c r="BB70"/>
    </row>
    <row r="71" spans="1:54" s="191" customFormat="1" ht="13">
      <c r="A71" s="226"/>
      <c r="B71" s="180">
        <v>5005046281</v>
      </c>
      <c r="C71" s="183" t="str">
        <f>IFERROR(IF(VLOOKUP($B71,勘定科目!$A:$H,HLOOKUP($E$5,勘定科目!$F$1:$H$2,2,0),0)="","",VLOOKUP($B71,勘定科目!$A:$E,2,0)),"")</f>
        <v>機械設備修繕費（製）</v>
      </c>
      <c r="D71" s="239" t="str">
        <f>IF(C71="","",VLOOKUP($B71,勘定科目!$A:$E,4,0))</f>
        <v>修繕費</v>
      </c>
      <c r="E71" s="245"/>
      <c r="F71" s="194">
        <v>11100000</v>
      </c>
      <c r="G71" s="247">
        <v>19100000</v>
      </c>
      <c r="H71" s="247">
        <v>4500000</v>
      </c>
      <c r="I71" s="247">
        <v>28200000</v>
      </c>
      <c r="J71" s="247">
        <v>26300000</v>
      </c>
      <c r="K71" s="247">
        <v>10500000</v>
      </c>
      <c r="L71" s="247">
        <v>13500000</v>
      </c>
      <c r="M71" s="247">
        <v>26400000</v>
      </c>
      <c r="N71" s="247">
        <v>23000000</v>
      </c>
      <c r="O71" s="247">
        <v>26300000</v>
      </c>
      <c r="P71" s="247">
        <v>12500000</v>
      </c>
      <c r="Q71" s="247">
        <v>4700000</v>
      </c>
      <c r="R71" s="200">
        <f t="shared" si="10"/>
        <v>206100000</v>
      </c>
      <c r="S71" s="201" t="s">
        <v>720</v>
      </c>
      <c r="T71" s="202"/>
      <c r="U71" s="246"/>
      <c r="V71" s="246"/>
      <c r="W71" s="246"/>
      <c r="BA71"/>
      <c r="BB71"/>
    </row>
    <row r="72" spans="1:54" s="191" customFormat="1" ht="13">
      <c r="A72" s="226"/>
      <c r="B72" s="180">
        <v>5005046281</v>
      </c>
      <c r="C72" s="183" t="str">
        <f>IFERROR(IF(VLOOKUP($B72,勘定科目!$A:$H,HLOOKUP($E$5,勘定科目!$F$1:$H$2,2,0),0)="","",VLOOKUP($B72,勘定科目!$A:$E,2,0)),"")</f>
        <v>機械設備修繕費（製）</v>
      </c>
      <c r="D72" s="239" t="str">
        <f>IF(C72="","",VLOOKUP($B72,勘定科目!$A:$E,4,0))</f>
        <v>修繕費</v>
      </c>
      <c r="E72" s="245"/>
      <c r="F72" s="194">
        <v>30000000</v>
      </c>
      <c r="G72" s="194">
        <v>30000000</v>
      </c>
      <c r="H72" s="194">
        <v>30000000</v>
      </c>
      <c r="I72" s="194">
        <v>30000000</v>
      </c>
      <c r="J72" s="194">
        <v>30000000</v>
      </c>
      <c r="K72" s="194">
        <v>30000000</v>
      </c>
      <c r="L72" s="194">
        <v>30000000</v>
      </c>
      <c r="M72" s="194">
        <v>30000000</v>
      </c>
      <c r="N72" s="194">
        <v>30000000</v>
      </c>
      <c r="O72" s="194">
        <v>30000000</v>
      </c>
      <c r="P72" s="194">
        <v>30000000</v>
      </c>
      <c r="Q72" s="194">
        <v>30000000</v>
      </c>
      <c r="R72" s="200">
        <f t="shared" si="10"/>
        <v>360000000</v>
      </c>
      <c r="S72" s="201" t="s">
        <v>799</v>
      </c>
      <c r="T72" s="202"/>
      <c r="U72" s="246"/>
      <c r="V72" s="246"/>
      <c r="W72" s="246"/>
      <c r="BA72"/>
      <c r="BB72"/>
    </row>
    <row r="73" spans="1:54" s="191" customFormat="1" ht="13">
      <c r="A73" s="226"/>
      <c r="B73" s="180">
        <v>5005016373</v>
      </c>
      <c r="C73" s="183" t="str">
        <f>IFERROR(IF(VLOOKUP($B73,勘定科目!$A:$H,HLOOKUP($E$5,勘定科目!$F$1:$H$2,2,0),0)="","",VLOOKUP($B73,勘定科目!$A:$E,2,0)),"")</f>
        <v>生産用文房具（製造）</v>
      </c>
      <c r="D73" s="239" t="str">
        <f>IF(C73="","",VLOOKUP($B73,勘定科目!$A:$E,4,0))</f>
        <v>消耗品費</v>
      </c>
      <c r="E73" s="245"/>
      <c r="F73" s="194">
        <v>500000</v>
      </c>
      <c r="G73" s="194">
        <v>500000</v>
      </c>
      <c r="H73" s="194">
        <v>500000</v>
      </c>
      <c r="I73" s="194">
        <v>500000</v>
      </c>
      <c r="J73" s="194">
        <v>500000</v>
      </c>
      <c r="K73" s="194">
        <v>500000</v>
      </c>
      <c r="L73" s="194">
        <v>500000</v>
      </c>
      <c r="M73" s="194">
        <v>500000</v>
      </c>
      <c r="N73" s="194">
        <v>500000</v>
      </c>
      <c r="O73" s="194">
        <v>500000</v>
      </c>
      <c r="P73" s="194">
        <v>500000</v>
      </c>
      <c r="Q73" s="194">
        <v>500000</v>
      </c>
      <c r="R73" s="200">
        <f t="shared" si="10"/>
        <v>6000000</v>
      </c>
      <c r="S73" s="201" t="s">
        <v>721</v>
      </c>
      <c r="T73" s="202"/>
      <c r="U73" s="246"/>
      <c r="V73" s="246"/>
      <c r="W73" s="246"/>
      <c r="BA73"/>
      <c r="BB73"/>
    </row>
    <row r="74" spans="1:54" s="191" customFormat="1" ht="13">
      <c r="A74" s="226"/>
      <c r="B74" s="180"/>
      <c r="C74" s="183" t="str">
        <f>IFERROR(IF(VLOOKUP($B74,勘定科目!$A:$H,HLOOKUP($E$5,勘定科目!$F$1:$H$2,2,0),0)="","",VLOOKUP($B74,勘定科目!$A:$E,2,0)),"")</f>
        <v/>
      </c>
      <c r="D74" s="239" t="str">
        <f>IF(C74="","",VLOOKUP($B74,勘定科目!$A:$E,4,0))</f>
        <v/>
      </c>
      <c r="E74" s="245"/>
      <c r="F74" s="194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00">
        <f t="shared" si="10"/>
        <v>0</v>
      </c>
      <c r="S74" s="201"/>
      <c r="T74" s="202"/>
      <c r="U74" s="246"/>
      <c r="V74" s="246"/>
      <c r="W74" s="246"/>
      <c r="BA74"/>
      <c r="BB74"/>
    </row>
    <row r="75" spans="1:54" s="191" customFormat="1" ht="13">
      <c r="A75" s="226"/>
      <c r="B75" s="180">
        <v>5001016151</v>
      </c>
      <c r="C75" s="183" t="str">
        <f>IFERROR(IF(VLOOKUP($B75,勘定科目!$A:$H,HLOOKUP($E$5,勘定科目!$F$1:$H$2,2,0),0)="","",VLOOKUP($B75,勘定科目!$A:$E,2,0)),"")</f>
        <v>生産用副資材</v>
      </c>
      <c r="D75" s="239" t="str">
        <f>IF(C75="","",VLOOKUP($B75,勘定科目!$A:$E,4,0))</f>
        <v>材料費</v>
      </c>
      <c r="E75" s="245"/>
      <c r="F75" s="194">
        <v>4385364498</v>
      </c>
      <c r="G75" s="247">
        <v>3986465882</v>
      </c>
      <c r="H75" s="247">
        <v>4381251811</v>
      </c>
      <c r="I75" s="247">
        <v>5563647072</v>
      </c>
      <c r="J75" s="247">
        <v>5009156550</v>
      </c>
      <c r="K75" s="247">
        <v>4686644769</v>
      </c>
      <c r="L75" s="247">
        <v>5849434369</v>
      </c>
      <c r="M75" s="247">
        <v>5563179370</v>
      </c>
      <c r="N75" s="247">
        <v>5853315442</v>
      </c>
      <c r="O75" s="247">
        <v>5814426408</v>
      </c>
      <c r="P75" s="247">
        <v>4797901887</v>
      </c>
      <c r="Q75" s="247">
        <v>5416590444</v>
      </c>
      <c r="R75" s="200">
        <f t="shared" si="10"/>
        <v>61307378502</v>
      </c>
      <c r="S75" s="201" t="s">
        <v>722</v>
      </c>
      <c r="T75" s="202"/>
      <c r="U75" s="246"/>
      <c r="V75" s="246"/>
      <c r="W75" s="246"/>
      <c r="BA75"/>
      <c r="BB75"/>
    </row>
    <row r="76" spans="1:54" s="191" customFormat="1" ht="13">
      <c r="A76" s="226"/>
      <c r="B76" s="180">
        <v>5005016371</v>
      </c>
      <c r="C76" s="183" t="str">
        <f>IFERROR(IF(VLOOKUP($B76,勘定科目!$A:$H,HLOOKUP($E$5,勘定科目!$F$1:$H$2,2,0),0)="","",VLOOKUP($B76,勘定科目!$A:$E,2,0)),"")</f>
        <v>生産用消耗品費（製）</v>
      </c>
      <c r="D76" s="239" t="str">
        <f>IF(C76="","",VLOOKUP($B76,勘定科目!$A:$E,4,0))</f>
        <v>消耗品費</v>
      </c>
      <c r="E76" s="245"/>
      <c r="F76" s="194">
        <v>1922385774</v>
      </c>
      <c r="G76" s="247">
        <v>1729904162</v>
      </c>
      <c r="H76" s="247">
        <v>1879396644</v>
      </c>
      <c r="I76" s="247">
        <v>2449512392</v>
      </c>
      <c r="J76" s="247">
        <v>2193254202</v>
      </c>
      <c r="K76" s="247">
        <v>2051297553</v>
      </c>
      <c r="L76" s="247">
        <v>2506760666</v>
      </c>
      <c r="M76" s="247">
        <v>2381879406</v>
      </c>
      <c r="N76" s="247">
        <v>2532527704</v>
      </c>
      <c r="O76" s="247">
        <v>2541468415</v>
      </c>
      <c r="P76" s="247">
        <v>2089642410</v>
      </c>
      <c r="Q76" s="247">
        <v>2355478071</v>
      </c>
      <c r="R76" s="200">
        <f t="shared" si="10"/>
        <v>26633507399</v>
      </c>
      <c r="S76" s="201" t="s">
        <v>723</v>
      </c>
      <c r="T76" s="202"/>
      <c r="U76" s="246"/>
      <c r="V76" s="246"/>
      <c r="W76" s="246"/>
      <c r="BA76"/>
      <c r="BB76"/>
    </row>
    <row r="77" spans="1:54" s="191" customFormat="1" ht="13">
      <c r="A77" s="226"/>
      <c r="B77" s="180">
        <v>5005016371</v>
      </c>
      <c r="C77" s="183" t="str">
        <f>IFERROR(IF(VLOOKUP($B77,勘定科目!$A:$H,HLOOKUP($E$5,勘定科目!$F$1:$H$2,2,0),0)="","",VLOOKUP($B77,勘定科目!$A:$E,2,0)),"")</f>
        <v>生産用消耗品費（製）</v>
      </c>
      <c r="D77" s="239" t="str">
        <f>IF(C77="","",VLOOKUP($B77,勘定科目!$A:$E,4,0))</f>
        <v>消耗品費</v>
      </c>
      <c r="E77" s="245"/>
      <c r="F77" s="194">
        <v>205328259</v>
      </c>
      <c r="G77" s="247">
        <v>187831660</v>
      </c>
      <c r="H77" s="247">
        <v>202769091</v>
      </c>
      <c r="I77" s="247">
        <v>256455915</v>
      </c>
      <c r="J77" s="247">
        <v>229528647</v>
      </c>
      <c r="K77" s="247">
        <v>209315983</v>
      </c>
      <c r="L77" s="247">
        <v>259743574</v>
      </c>
      <c r="M77" s="247">
        <v>238717440</v>
      </c>
      <c r="N77" s="247">
        <v>256055040</v>
      </c>
      <c r="O77" s="247">
        <v>253639084</v>
      </c>
      <c r="P77" s="247">
        <v>204301944</v>
      </c>
      <c r="Q77" s="247">
        <v>240751134</v>
      </c>
      <c r="R77" s="200">
        <f t="shared" si="10"/>
        <v>2744437771</v>
      </c>
      <c r="S77" s="201" t="s">
        <v>724</v>
      </c>
      <c r="T77" s="202"/>
      <c r="U77" s="246"/>
      <c r="V77" s="246"/>
      <c r="W77" s="246"/>
      <c r="BA77"/>
      <c r="BB77"/>
    </row>
    <row r="78" spans="1:54" s="191" customFormat="1" ht="13">
      <c r="A78" s="226"/>
      <c r="B78" s="180">
        <v>5005016371</v>
      </c>
      <c r="C78" s="183" t="str">
        <f>IFERROR(IF(VLOOKUP($B78,勘定科目!$A:$H,HLOOKUP($E$5,勘定科目!$F$1:$H$2,2,0),0)="","",VLOOKUP($B78,勘定科目!$A:$E,2,0)),"")</f>
        <v>生産用消耗品費（製）</v>
      </c>
      <c r="D78" s="239" t="str">
        <f>IF(C78="","",VLOOKUP($B78,勘定科目!$A:$E,4,0))</f>
        <v>消耗品費</v>
      </c>
      <c r="E78" s="245"/>
      <c r="F78" s="194">
        <v>16038849</v>
      </c>
      <c r="G78" s="247">
        <v>14672134</v>
      </c>
      <c r="H78" s="247">
        <v>15838945</v>
      </c>
      <c r="I78" s="247">
        <v>20032594</v>
      </c>
      <c r="J78" s="247">
        <v>17929219</v>
      </c>
      <c r="K78" s="247">
        <v>16350343</v>
      </c>
      <c r="L78" s="247">
        <v>20289405</v>
      </c>
      <c r="M78" s="247">
        <v>18646986</v>
      </c>
      <c r="N78" s="247">
        <v>20001280</v>
      </c>
      <c r="O78" s="247">
        <v>19812562</v>
      </c>
      <c r="P78" s="247">
        <v>15958681</v>
      </c>
      <c r="Q78" s="247">
        <v>18805843</v>
      </c>
      <c r="R78" s="200">
        <f t="shared" si="10"/>
        <v>214376841</v>
      </c>
      <c r="S78" s="201" t="s">
        <v>725</v>
      </c>
      <c r="T78" s="202"/>
      <c r="U78" s="246"/>
      <c r="V78" s="246"/>
      <c r="W78" s="246"/>
      <c r="BA78"/>
      <c r="BB78"/>
    </row>
    <row r="79" spans="1:54" s="191" customFormat="1" ht="13">
      <c r="A79" s="226"/>
      <c r="B79" s="180">
        <v>5001016134</v>
      </c>
      <c r="C79" s="183" t="str">
        <f>IFERROR(IF(VLOOKUP($B79,勘定科目!$A:$H,HLOOKUP($E$5,勘定科目!$F$1:$H$2,2,0),0)="","",VLOOKUP($B79,勘定科目!$A:$E,2,0)),"")</f>
        <v>リーフレット用材料</v>
      </c>
      <c r="D79" s="239" t="str">
        <f>IF(C79="","",VLOOKUP($B79,勘定科目!$A:$E,4,0))</f>
        <v>材料費</v>
      </c>
      <c r="E79" s="245"/>
      <c r="F79" s="194">
        <v>11447998</v>
      </c>
      <c r="G79" s="247">
        <v>10486552</v>
      </c>
      <c r="H79" s="247">
        <v>11927396</v>
      </c>
      <c r="I79" s="247">
        <v>14887259</v>
      </c>
      <c r="J79" s="247">
        <v>13364732</v>
      </c>
      <c r="K79" s="247">
        <v>12228795</v>
      </c>
      <c r="L79" s="247">
        <v>16003591</v>
      </c>
      <c r="M79" s="247">
        <v>15069427</v>
      </c>
      <c r="N79" s="247">
        <v>15863960</v>
      </c>
      <c r="O79" s="247">
        <v>15211621</v>
      </c>
      <c r="P79" s="247">
        <v>12755929</v>
      </c>
      <c r="Q79" s="247">
        <v>14663990</v>
      </c>
      <c r="R79" s="200">
        <f t="shared" si="10"/>
        <v>163911250</v>
      </c>
      <c r="S79" s="201" t="s">
        <v>726</v>
      </c>
      <c r="T79" s="202"/>
      <c r="U79" s="246"/>
      <c r="V79" s="246"/>
      <c r="W79" s="246"/>
      <c r="BA79"/>
      <c r="BB79"/>
    </row>
    <row r="80" spans="1:54" s="191" customFormat="1" ht="13">
      <c r="A80" s="226"/>
      <c r="B80" s="180">
        <v>5005016371</v>
      </c>
      <c r="C80" s="183" t="str">
        <f>IFERROR(IF(VLOOKUP($B80,勘定科目!$A:$H,HLOOKUP($E$5,勘定科目!$F$1:$H$2,2,0),0)="","",VLOOKUP($B80,勘定科目!$A:$E,2,0)),"")</f>
        <v>生産用消耗品費（製）</v>
      </c>
      <c r="D80" s="239" t="str">
        <f>IF(C80="","",VLOOKUP($B80,勘定科目!$A:$E,4,0))</f>
        <v>消耗品費</v>
      </c>
      <c r="E80" s="245"/>
      <c r="F80" s="194">
        <v>138074883</v>
      </c>
      <c r="G80" s="247">
        <v>122759635</v>
      </c>
      <c r="H80" s="247">
        <v>133592532</v>
      </c>
      <c r="I80" s="247">
        <v>178264206</v>
      </c>
      <c r="J80" s="247">
        <v>163661909</v>
      </c>
      <c r="K80" s="247">
        <v>154070075</v>
      </c>
      <c r="L80" s="247">
        <v>178633884</v>
      </c>
      <c r="M80" s="247">
        <v>171550582</v>
      </c>
      <c r="N80" s="247">
        <v>184654361</v>
      </c>
      <c r="O80" s="247">
        <v>193282391</v>
      </c>
      <c r="P80" s="247">
        <v>153594774</v>
      </c>
      <c r="Q80" s="247">
        <v>174666443</v>
      </c>
      <c r="R80" s="200">
        <f t="shared" si="10"/>
        <v>1946805675</v>
      </c>
      <c r="S80" s="201" t="s">
        <v>727</v>
      </c>
      <c r="T80" s="202"/>
      <c r="U80" s="246"/>
      <c r="V80" s="246"/>
      <c r="W80" s="246"/>
      <c r="BA80"/>
      <c r="BB80"/>
    </row>
    <row r="81" spans="1:54" s="191" customFormat="1" ht="13">
      <c r="A81" s="226"/>
      <c r="B81" s="180">
        <v>5005016373</v>
      </c>
      <c r="C81" s="183" t="str">
        <f>IFERROR(IF(VLOOKUP($B81,勘定科目!$A:$H,HLOOKUP($E$5,勘定科目!$F$1:$H$2,2,0),0)="","",VLOOKUP($B81,勘定科目!$A:$E,2,0)),"")</f>
        <v>生産用文房具（製造）</v>
      </c>
      <c r="D81" s="239" t="str">
        <f>IF(C81="","",VLOOKUP($B81,勘定科目!$A:$E,4,0))</f>
        <v>消耗品費</v>
      </c>
      <c r="E81" s="245"/>
      <c r="F81" s="194">
        <v>330000</v>
      </c>
      <c r="G81" s="247">
        <v>330000</v>
      </c>
      <c r="H81" s="247">
        <v>330000</v>
      </c>
      <c r="I81" s="247">
        <v>330000</v>
      </c>
      <c r="J81" s="247">
        <v>330000</v>
      </c>
      <c r="K81" s="247">
        <v>330000</v>
      </c>
      <c r="L81" s="247">
        <v>330000</v>
      </c>
      <c r="M81" s="247">
        <v>330000</v>
      </c>
      <c r="N81" s="247">
        <v>330000</v>
      </c>
      <c r="O81" s="247">
        <v>330000</v>
      </c>
      <c r="P81" s="247">
        <v>330000</v>
      </c>
      <c r="Q81" s="247">
        <v>330000</v>
      </c>
      <c r="R81" s="200">
        <f t="shared" si="10"/>
        <v>3960000</v>
      </c>
      <c r="S81" s="201" t="s">
        <v>728</v>
      </c>
      <c r="T81" s="202"/>
      <c r="U81" s="246"/>
      <c r="V81" s="246"/>
      <c r="W81" s="246"/>
      <c r="BA81"/>
      <c r="BB81"/>
    </row>
    <row r="82" spans="1:54" s="191" customFormat="1" ht="13">
      <c r="A82" s="226"/>
      <c r="B82" s="180">
        <v>5001016136</v>
      </c>
      <c r="C82" s="183" t="str">
        <f>IFERROR(IF(VLOOKUP($B82,勘定科目!$A:$H,HLOOKUP($E$5,勘定科目!$F$1:$H$2,2,0),0)="","",VLOOKUP($B82,勘定科目!$A:$E,2,0)),"")</f>
        <v>追加指図部品費</v>
      </c>
      <c r="D82" s="239" t="str">
        <f>IF(C82="","",VLOOKUP($B82,勘定科目!$A:$E,4,0))</f>
        <v>材料費</v>
      </c>
      <c r="E82" s="245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200">
        <f t="shared" si="10"/>
        <v>0</v>
      </c>
      <c r="S82" s="201" t="s">
        <v>729</v>
      </c>
      <c r="T82" s="202"/>
      <c r="U82" s="246"/>
      <c r="V82" s="246"/>
      <c r="W82" s="246"/>
      <c r="BA82"/>
      <c r="BB82"/>
    </row>
    <row r="83" spans="1:54" s="191" customFormat="1" ht="13">
      <c r="A83" s="226"/>
      <c r="B83" s="180"/>
      <c r="C83" s="183" t="str">
        <f>IFERROR(IF(VLOOKUP($B83,勘定科目!$A:$H,HLOOKUP($E$5,勘定科目!$F$1:$H$2,2,0),0)="","",VLOOKUP($B83,勘定科目!$A:$E,2,0)),"")</f>
        <v/>
      </c>
      <c r="D83" s="239" t="str">
        <f>IF(C83="","",VLOOKUP($B83,勘定科目!$A:$E,4,0))</f>
        <v/>
      </c>
      <c r="E83" s="245"/>
      <c r="F83" s="194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00">
        <f t="shared" si="10"/>
        <v>0</v>
      </c>
      <c r="S83" s="201"/>
      <c r="T83" s="202"/>
      <c r="U83" s="246"/>
      <c r="V83" s="246"/>
      <c r="W83" s="246"/>
      <c r="BA83"/>
      <c r="BB83"/>
    </row>
    <row r="84" spans="1:54" s="191" customFormat="1" ht="13">
      <c r="A84" s="226"/>
      <c r="B84" s="180">
        <v>5005016371</v>
      </c>
      <c r="C84" s="183" t="str">
        <f>IFERROR(IF(VLOOKUP($B84,勘定科目!$A:$H,HLOOKUP($E$5,勘定科目!$F$1:$H$2,2,0),0)="","",VLOOKUP($B84,勘定科目!$A:$E,2,0)),"")</f>
        <v>生産用消耗品費（製）</v>
      </c>
      <c r="D84" s="239" t="str">
        <f>IF(C84="","",VLOOKUP($B84,勘定科目!$A:$E,4,0))</f>
        <v>消耗品費</v>
      </c>
      <c r="E84" s="245"/>
      <c r="F84" s="194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10"/>
        <v>0</v>
      </c>
      <c r="S84" s="201" t="s">
        <v>730</v>
      </c>
      <c r="T84" s="202"/>
      <c r="U84" s="246"/>
      <c r="V84" s="246"/>
      <c r="W84" s="246"/>
      <c r="BA84"/>
      <c r="BB84"/>
    </row>
    <row r="85" spans="1:54" s="191" customFormat="1" ht="13">
      <c r="A85" s="226"/>
      <c r="B85" s="180">
        <v>5001016151</v>
      </c>
      <c r="C85" s="183" t="str">
        <f>IFERROR(IF(VLOOKUP($B85,勘定科目!$A:$H,HLOOKUP($E$5,勘定科目!$F$1:$H$2,2,0),0)="","",VLOOKUP($B85,勘定科目!$A:$E,2,0)),"")</f>
        <v>生産用副資材</v>
      </c>
      <c r="D85" s="239" t="str">
        <f>IF(C85="","",VLOOKUP($B85,勘定科目!$A:$E,4,0))</f>
        <v>材料費</v>
      </c>
      <c r="E85" s="245"/>
      <c r="F85" s="194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10"/>
        <v>0</v>
      </c>
      <c r="S85" s="201" t="s">
        <v>731</v>
      </c>
      <c r="T85" s="202"/>
      <c r="U85" s="246"/>
      <c r="V85" s="246"/>
      <c r="W85" s="246"/>
      <c r="BA85"/>
      <c r="BB85"/>
    </row>
    <row r="86" spans="1:54" s="191" customFormat="1" ht="13">
      <c r="A86" s="226"/>
      <c r="B86" s="180">
        <v>5001016151</v>
      </c>
      <c r="C86" s="183" t="str">
        <f>IFERROR(IF(VLOOKUP($B86,勘定科目!$A:$H,HLOOKUP($E$5,勘定科目!$F$1:$H$2,2,0),0)="","",VLOOKUP($B86,勘定科目!$A:$E,2,0)),"")</f>
        <v>生産用副資材</v>
      </c>
      <c r="D86" s="239" t="str">
        <f>IF(C86="","",VLOOKUP($B86,勘定科目!$A:$E,4,0))</f>
        <v>材料費</v>
      </c>
      <c r="E86" s="245"/>
      <c r="F86" s="194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00">
        <f t="shared" si="10"/>
        <v>0</v>
      </c>
      <c r="S86" s="201" t="s">
        <v>732</v>
      </c>
      <c r="T86" s="202"/>
      <c r="U86" s="246"/>
      <c r="V86" s="246"/>
      <c r="W86" s="246"/>
      <c r="BA86"/>
      <c r="BB86"/>
    </row>
    <row r="87" spans="1:54" s="191" customFormat="1" ht="13">
      <c r="A87" s="226"/>
      <c r="B87" s="180">
        <v>5005016371</v>
      </c>
      <c r="C87" s="183" t="str">
        <f>IFERROR(IF(VLOOKUP($B87,勘定科目!$A:$H,HLOOKUP($E$5,勘定科目!$F$1:$H$2,2,0),0)="","",VLOOKUP($B87,勘定科目!$A:$E,2,0)),"")</f>
        <v>生産用消耗品費（製）</v>
      </c>
      <c r="D87" s="239" t="str">
        <f>IF(C87="","",VLOOKUP($B87,勘定科目!$A:$E,4,0))</f>
        <v>消耗品費</v>
      </c>
      <c r="E87" s="245"/>
      <c r="F87" s="194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10"/>
        <v>0</v>
      </c>
      <c r="S87" s="201" t="s">
        <v>733</v>
      </c>
      <c r="T87" s="202"/>
      <c r="U87" s="246"/>
      <c r="V87" s="246"/>
      <c r="W87" s="246"/>
      <c r="BA87"/>
      <c r="BB87"/>
    </row>
    <row r="88" spans="1:54" s="191" customFormat="1" ht="13">
      <c r="A88" s="226"/>
      <c r="B88" s="180"/>
      <c r="C88" s="183" t="str">
        <f>IFERROR(IF(VLOOKUP($B88,勘定科目!$A:$H,HLOOKUP($E$5,勘定科目!$F$1:$H$2,2,0),0)="","",VLOOKUP($B88,勘定科目!$A:$E,2,0)),"")</f>
        <v/>
      </c>
      <c r="D88" s="239" t="str">
        <f>IF(C88="","",VLOOKUP($B88,勘定科目!$A:$E,4,0))</f>
        <v/>
      </c>
      <c r="E88" s="245"/>
      <c r="F88" s="194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00">
        <f t="shared" si="10"/>
        <v>0</v>
      </c>
      <c r="S88" s="201"/>
      <c r="T88" s="202"/>
      <c r="U88" s="246"/>
      <c r="V88" s="246"/>
      <c r="W88" s="246"/>
      <c r="BA88"/>
      <c r="BB88"/>
    </row>
    <row r="89" spans="1:54" s="191" customFormat="1" ht="13">
      <c r="A89" s="226"/>
      <c r="B89" s="180">
        <v>5005056281</v>
      </c>
      <c r="C89" s="183" t="str">
        <f>IFERROR(IF(VLOOKUP($B89,勘定科目!$A:$H,HLOOKUP($E$5,勘定科目!$F$1:$H$2,2,0),0)="","",VLOOKUP($B89,勘定科目!$A:$E,2,0)),"")</f>
        <v>ガス代（製）</v>
      </c>
      <c r="D89" s="239" t="str">
        <f>IF(C89="","",VLOOKUP($B89,勘定科目!$A:$E,4,0))</f>
        <v>水道光熱費</v>
      </c>
      <c r="E89" s="245"/>
      <c r="F89" s="194">
        <v>65150724</v>
      </c>
      <c r="G89" s="247">
        <v>63125154</v>
      </c>
      <c r="H89" s="247">
        <v>69706224</v>
      </c>
      <c r="I89" s="247">
        <v>71238222</v>
      </c>
      <c r="J89" s="247">
        <v>74832064</v>
      </c>
      <c r="K89" s="247">
        <v>69437764</v>
      </c>
      <c r="L89" s="247">
        <v>81364164</v>
      </c>
      <c r="M89" s="247">
        <v>73039776</v>
      </c>
      <c r="N89" s="247">
        <v>82749422</v>
      </c>
      <c r="O89" s="247">
        <v>77699970</v>
      </c>
      <c r="P89" s="247">
        <v>65590636</v>
      </c>
      <c r="Q89" s="247">
        <v>87423810</v>
      </c>
      <c r="R89" s="200">
        <f t="shared" si="10"/>
        <v>881357930</v>
      </c>
      <c r="S89" s="201" t="s">
        <v>734</v>
      </c>
      <c r="T89" s="202"/>
      <c r="U89" s="246"/>
      <c r="V89" s="246"/>
      <c r="W89" s="246"/>
      <c r="BA89"/>
      <c r="BB89"/>
    </row>
    <row r="90" spans="1:54" s="191" customFormat="1" ht="13">
      <c r="A90" s="226"/>
      <c r="B90" s="180">
        <v>5005016372</v>
      </c>
      <c r="C90" s="183" t="str">
        <f>IFERROR(IF(VLOOKUP($B90,勘定科目!$A:$H,HLOOKUP($E$5,勘定科目!$F$1:$H$2,2,0),0)="","",VLOOKUP($B90,勘定科目!$A:$E,2,0)),"")</f>
        <v>その他消耗品（製）</v>
      </c>
      <c r="D90" s="239" t="str">
        <f>IF(C90="","",VLOOKUP($B90,勘定科目!$A:$E,4,0))</f>
        <v>消耗品費</v>
      </c>
      <c r="E90" s="245"/>
      <c r="F90" s="194">
        <v>1810908</v>
      </c>
      <c r="G90" s="247">
        <v>1823820</v>
      </c>
      <c r="H90" s="247">
        <v>1797978</v>
      </c>
      <c r="I90" s="247">
        <v>1689534</v>
      </c>
      <c r="J90" s="247">
        <v>1893240</v>
      </c>
      <c r="K90" s="247">
        <v>1971772</v>
      </c>
      <c r="L90" s="247">
        <v>1958892</v>
      </c>
      <c r="M90" s="247">
        <v>1978464</v>
      </c>
      <c r="N90" s="247">
        <v>2109748</v>
      </c>
      <c r="O90" s="247">
        <v>2064240</v>
      </c>
      <c r="P90" s="247">
        <v>2285124</v>
      </c>
      <c r="Q90" s="247">
        <v>2324070</v>
      </c>
      <c r="R90" s="200">
        <f t="shared" si="10"/>
        <v>23707790</v>
      </c>
      <c r="S90" s="201" t="s">
        <v>735</v>
      </c>
      <c r="T90" s="202"/>
      <c r="U90" s="246"/>
      <c r="V90" s="246"/>
      <c r="W90" s="246"/>
      <c r="BA90"/>
      <c r="BB90"/>
    </row>
    <row r="91" spans="1:54" s="191" customFormat="1" ht="13">
      <c r="A91" s="226"/>
      <c r="B91" s="180">
        <v>5005016372</v>
      </c>
      <c r="C91" s="183" t="str">
        <f>IFERROR(IF(VLOOKUP($B91,勘定科目!$A:$H,HLOOKUP($E$5,勘定科目!$F$1:$H$2,2,0),0)="","",VLOOKUP($B91,勘定科目!$A:$E,2,0)),"")</f>
        <v>その他消耗品（製）</v>
      </c>
      <c r="D91" s="239" t="str">
        <f>IF(C91="","",VLOOKUP($B91,勘定科目!$A:$E,4,0))</f>
        <v>消耗品費</v>
      </c>
      <c r="E91" s="245"/>
      <c r="F91" s="194">
        <v>29736336</v>
      </c>
      <c r="G91" s="247">
        <v>28625904</v>
      </c>
      <c r="H91" s="247">
        <v>30149154</v>
      </c>
      <c r="I91" s="247">
        <v>32087484</v>
      </c>
      <c r="J91" s="247">
        <v>32262212</v>
      </c>
      <c r="K91" s="247">
        <v>31570000</v>
      </c>
      <c r="L91" s="247">
        <v>36562520</v>
      </c>
      <c r="M91" s="247">
        <v>32715696</v>
      </c>
      <c r="N91" s="247">
        <v>38016758</v>
      </c>
      <c r="O91" s="247">
        <v>33670170</v>
      </c>
      <c r="P91" s="247">
        <v>27642822</v>
      </c>
      <c r="Q91" s="247">
        <v>39487770</v>
      </c>
      <c r="R91" s="200">
        <f t="shared" si="10"/>
        <v>392526826</v>
      </c>
      <c r="S91" s="201" t="s">
        <v>736</v>
      </c>
      <c r="T91" s="202"/>
      <c r="U91" s="246"/>
      <c r="V91" s="246"/>
      <c r="W91" s="246"/>
      <c r="BA91"/>
      <c r="BB91"/>
    </row>
    <row r="92" spans="1:54" s="191" customFormat="1" ht="13">
      <c r="A92" s="226"/>
      <c r="B92" s="180">
        <v>5005246286</v>
      </c>
      <c r="C92" s="183" t="str">
        <f>IFERROR(IF(VLOOKUP($B92,勘定科目!$A:$H,HLOOKUP($E$5,勘定科目!$F$1:$H$2,2,0),0)="","",VLOOKUP($B92,勘定科目!$A:$E,2,0)),"")</f>
        <v>その他手数料（製）</v>
      </c>
      <c r="D92" s="239" t="str">
        <f>IF(C92="","",VLOOKUP($B92,勘定科目!$A:$E,4,0))</f>
        <v>手数料</v>
      </c>
      <c r="E92" s="245"/>
      <c r="F92" s="194">
        <v>90782658</v>
      </c>
      <c r="G92" s="247">
        <v>91129668</v>
      </c>
      <c r="H92" s="247">
        <v>90444354</v>
      </c>
      <c r="I92" s="247">
        <v>80918508</v>
      </c>
      <c r="J92" s="247">
        <v>90964923</v>
      </c>
      <c r="K92" s="247">
        <v>89460360</v>
      </c>
      <c r="L92" s="247">
        <v>82152224</v>
      </c>
      <c r="M92" s="247">
        <v>83194944</v>
      </c>
      <c r="N92" s="247">
        <v>88175829</v>
      </c>
      <c r="O92" s="247">
        <v>82291440</v>
      </c>
      <c r="P92" s="247">
        <v>84868628</v>
      </c>
      <c r="Q92" s="247">
        <v>95404680</v>
      </c>
      <c r="R92" s="200">
        <f t="shared" si="10"/>
        <v>1049788216</v>
      </c>
      <c r="S92" s="201" t="s">
        <v>737</v>
      </c>
      <c r="T92" s="202"/>
      <c r="U92" s="246"/>
      <c r="V92" s="246"/>
      <c r="W92" s="246"/>
      <c r="BA92"/>
      <c r="BB92"/>
    </row>
    <row r="93" spans="1:54" s="191" customFormat="1" ht="13">
      <c r="A93" s="226"/>
      <c r="B93" s="180">
        <v>5004086291</v>
      </c>
      <c r="C93" s="183" t="str">
        <f>IFERROR(IF(VLOOKUP($B93,勘定科目!$A:$H,HLOOKUP($E$5,勘定科目!$F$1:$H$2,2,0),0)="","",VLOOKUP($B93,勘定科目!$A:$E,2,0)),"")</f>
        <v>福利厚生費（製）</v>
      </c>
      <c r="D93" s="239" t="str">
        <f>IF(C93="","",VLOOKUP($B93,勘定科目!$A:$E,4,0))</f>
        <v>福利厚生費</v>
      </c>
      <c r="E93" s="245"/>
      <c r="F93" s="194">
        <v>570491370</v>
      </c>
      <c r="G93" s="194">
        <v>658500005</v>
      </c>
      <c r="H93" s="194">
        <v>588667955</v>
      </c>
      <c r="I93" s="194">
        <v>617297145</v>
      </c>
      <c r="J93" s="194">
        <v>659158610</v>
      </c>
      <c r="K93" s="194">
        <v>661307895</v>
      </c>
      <c r="L93" s="194">
        <v>495815025</v>
      </c>
      <c r="M93" s="194">
        <v>602836055</v>
      </c>
      <c r="N93" s="194">
        <v>608220680</v>
      </c>
      <c r="O93" s="194">
        <v>572253875</v>
      </c>
      <c r="P93" s="194">
        <v>520143985</v>
      </c>
      <c r="Q93" s="194">
        <v>537934620</v>
      </c>
      <c r="R93" s="200">
        <f t="shared" si="10"/>
        <v>7092627220</v>
      </c>
      <c r="S93" s="201" t="s">
        <v>738</v>
      </c>
      <c r="T93" s="202"/>
      <c r="U93" s="246"/>
      <c r="V93" s="246"/>
      <c r="W93" s="246"/>
      <c r="BA93"/>
      <c r="BB93"/>
    </row>
    <row r="94" spans="1:54" s="191" customFormat="1" ht="13">
      <c r="A94" s="226"/>
      <c r="B94" s="180">
        <v>5004086291</v>
      </c>
      <c r="C94" s="183" t="str">
        <f>IFERROR(IF(VLOOKUP($B94,勘定科目!$A:$H,HLOOKUP($E$5,勘定科目!$F$1:$H$2,2,0),0)="","",VLOOKUP($B94,勘定科目!$A:$E,2,0)),"")</f>
        <v>福利厚生費（製）</v>
      </c>
      <c r="D94" s="239" t="str">
        <f>IF(C94="","",VLOOKUP($B94,勘定科目!$A:$E,4,0))</f>
        <v>福利厚生費</v>
      </c>
      <c r="E94" s="245"/>
      <c r="F94" s="194">
        <v>100000000</v>
      </c>
      <c r="G94" s="194">
        <v>100000000</v>
      </c>
      <c r="H94" s="194">
        <v>100000000</v>
      </c>
      <c r="I94" s="194">
        <v>100000000</v>
      </c>
      <c r="J94" s="194">
        <v>100000000</v>
      </c>
      <c r="K94" s="194">
        <v>100000000</v>
      </c>
      <c r="L94" s="194">
        <v>100000000</v>
      </c>
      <c r="M94" s="194">
        <v>100000000</v>
      </c>
      <c r="N94" s="194">
        <v>100000000</v>
      </c>
      <c r="O94" s="194">
        <v>100000000</v>
      </c>
      <c r="P94" s="194">
        <v>100000000</v>
      </c>
      <c r="Q94" s="194">
        <v>100000000</v>
      </c>
      <c r="R94" s="200">
        <f t="shared" si="10"/>
        <v>1200000000</v>
      </c>
      <c r="S94" s="201" t="s">
        <v>739</v>
      </c>
      <c r="T94" s="202"/>
      <c r="U94" s="246"/>
      <c r="V94" s="246"/>
      <c r="W94" s="246"/>
      <c r="BA94"/>
      <c r="BB94"/>
    </row>
    <row r="95" spans="1:54" s="191" customFormat="1" ht="13">
      <c r="A95" s="226"/>
      <c r="B95" s="180">
        <v>5004086291</v>
      </c>
      <c r="C95" s="183" t="str">
        <f>IFERROR(IF(VLOOKUP($B95,勘定科目!$A:$H,HLOOKUP($E$5,勘定科目!$F$1:$H$2,2,0),0)="","",VLOOKUP($B95,勘定科目!$A:$E,2,0)),"")</f>
        <v>福利厚生費（製）</v>
      </c>
      <c r="D95" s="239" t="str">
        <f>IF(C95="","",VLOOKUP($B95,勘定科目!$A:$E,4,0))</f>
        <v>福利厚生費</v>
      </c>
      <c r="E95" s="245"/>
      <c r="F95" s="194">
        <v>23961000</v>
      </c>
      <c r="G95" s="194">
        <v>19397000</v>
      </c>
      <c r="H95" s="194">
        <v>24939000</v>
      </c>
      <c r="I95" s="194">
        <v>28851000</v>
      </c>
      <c r="J95" s="194">
        <v>33741000</v>
      </c>
      <c r="K95" s="194">
        <v>32926000</v>
      </c>
      <c r="L95" s="194">
        <v>36838000</v>
      </c>
      <c r="M95" s="194">
        <v>29177000</v>
      </c>
      <c r="N95" s="194">
        <v>32926000</v>
      </c>
      <c r="O95" s="194">
        <v>31133000</v>
      </c>
      <c r="P95" s="194">
        <v>24450000</v>
      </c>
      <c r="Q95" s="194">
        <v>29503000</v>
      </c>
      <c r="R95" s="200">
        <f t="shared" si="10"/>
        <v>347842000</v>
      </c>
      <c r="S95" s="201" t="s">
        <v>740</v>
      </c>
      <c r="T95" s="202"/>
      <c r="U95" s="246"/>
      <c r="V95" s="246"/>
      <c r="W95" s="246"/>
      <c r="BA95"/>
      <c r="BB95"/>
    </row>
    <row r="96" spans="1:54" s="191" customFormat="1" ht="13">
      <c r="A96" s="226"/>
      <c r="B96" s="180">
        <v>5004086291</v>
      </c>
      <c r="C96" s="183" t="str">
        <f>IFERROR(IF(VLOOKUP($B96,勘定科目!$A:$H,HLOOKUP($E$5,勘定科目!$F$1:$H$2,2,0),0)="","",VLOOKUP($B96,勘定科目!$A:$E,2,0)),"")</f>
        <v>福利厚生費（製）</v>
      </c>
      <c r="D96" s="239" t="str">
        <f>IF(C96="","",VLOOKUP($B96,勘定科目!$A:$E,4,0))</f>
        <v>福利厚生費</v>
      </c>
      <c r="E96" s="245"/>
      <c r="F96" s="194">
        <v>15000000</v>
      </c>
      <c r="G96" s="194">
        <v>15000000</v>
      </c>
      <c r="H96" s="194">
        <v>15000000</v>
      </c>
      <c r="I96" s="194">
        <v>15000000</v>
      </c>
      <c r="J96" s="194">
        <v>15000000</v>
      </c>
      <c r="K96" s="194">
        <v>15000000</v>
      </c>
      <c r="L96" s="194">
        <v>15000000</v>
      </c>
      <c r="M96" s="194">
        <v>15000000</v>
      </c>
      <c r="N96" s="194">
        <v>15000000</v>
      </c>
      <c r="O96" s="194">
        <v>15000000</v>
      </c>
      <c r="P96" s="194">
        <v>15000000</v>
      </c>
      <c r="Q96" s="194">
        <v>15000000</v>
      </c>
      <c r="R96" s="200">
        <f t="shared" si="10"/>
        <v>180000000</v>
      </c>
      <c r="S96" s="201" t="s">
        <v>741</v>
      </c>
      <c r="T96" s="202"/>
      <c r="U96" s="246"/>
      <c r="V96" s="246"/>
      <c r="W96" s="246"/>
      <c r="BA96"/>
      <c r="BB96"/>
    </row>
    <row r="97" spans="1:54" s="191" customFormat="1" ht="13">
      <c r="A97" s="226"/>
      <c r="B97" s="180">
        <v>5004086291</v>
      </c>
      <c r="C97" s="183" t="str">
        <f>IFERROR(IF(VLOOKUP($B97,勘定科目!$A:$H,HLOOKUP($E$5,勘定科目!$F$1:$H$2,2,0),0)="","",VLOOKUP($B97,勘定科目!$A:$E,2,0)),"")</f>
        <v>福利厚生費（製）</v>
      </c>
      <c r="D97" s="239" t="str">
        <f>IF(C97="","",VLOOKUP($B97,勘定科目!$A:$E,4,0))</f>
        <v>福利厚生費</v>
      </c>
      <c r="E97" s="245"/>
      <c r="F97" s="194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>
        <f>1893*300000</f>
        <v>567900000</v>
      </c>
      <c r="R97" s="200">
        <f t="shared" si="10"/>
        <v>567900000</v>
      </c>
      <c r="S97" s="201" t="s">
        <v>788</v>
      </c>
      <c r="T97" s="202"/>
      <c r="U97" s="246"/>
      <c r="V97" s="246"/>
      <c r="W97" s="246"/>
      <c r="BA97"/>
      <c r="BB97"/>
    </row>
    <row r="98" spans="1:54" s="191" customFormat="1" ht="13">
      <c r="A98" s="226"/>
      <c r="B98" s="180">
        <v>5004086291</v>
      </c>
      <c r="C98" s="183" t="str">
        <f>IFERROR(IF(VLOOKUP($B98,勘定科目!$A:$H,HLOOKUP($E$5,勘定科目!$F$1:$H$2,2,0),0)="","",VLOOKUP($B98,勘定科目!$A:$E,2,0)),"")</f>
        <v>福利厚生費（製）</v>
      </c>
      <c r="D98" s="239" t="str">
        <f>IF(C98="","",VLOOKUP($B98,勘定科目!$A:$E,4,0))</f>
        <v>福利厚生費</v>
      </c>
      <c r="E98" s="245"/>
      <c r="F98" s="194"/>
      <c r="G98" s="247"/>
      <c r="H98" s="247"/>
      <c r="I98" s="247"/>
      <c r="J98" s="247"/>
      <c r="K98" s="247"/>
      <c r="L98" s="247"/>
      <c r="M98" s="247"/>
      <c r="N98" s="247"/>
      <c r="O98" s="247"/>
      <c r="P98" s="247">
        <f>2142*100000</f>
        <v>214200000</v>
      </c>
      <c r="Q98" s="247"/>
      <c r="R98" s="200">
        <f t="shared" si="10"/>
        <v>214200000</v>
      </c>
      <c r="S98" s="201" t="s">
        <v>742</v>
      </c>
      <c r="T98" s="202"/>
      <c r="U98" s="246"/>
      <c r="V98" s="246"/>
      <c r="W98" s="246"/>
      <c r="BA98"/>
      <c r="BB98"/>
    </row>
    <row r="99" spans="1:54" s="191" customFormat="1" ht="13">
      <c r="A99" s="226"/>
      <c r="B99" s="180">
        <v>5004086291</v>
      </c>
      <c r="C99" s="183" t="str">
        <f>IFERROR(IF(VLOOKUP($B99,勘定科目!$A:$H,HLOOKUP($E$5,勘定科目!$F$1:$H$2,2,0),0)="","",VLOOKUP($B99,勘定科目!$A:$E,2,0)),"")</f>
        <v>福利厚生費（製）</v>
      </c>
      <c r="D99" s="239" t="str">
        <f>IF(C99="","",VLOOKUP($B99,勘定科目!$A:$E,4,0))</f>
        <v>福利厚生費</v>
      </c>
      <c r="E99" s="245"/>
      <c r="F99" s="194"/>
      <c r="G99" s="247">
        <f>1554*1890000*0.75</f>
        <v>2202795000</v>
      </c>
      <c r="H99" s="247">
        <f>45*1323000</f>
        <v>59535000</v>
      </c>
      <c r="I99" s="247"/>
      <c r="J99" s="247"/>
      <c r="K99" s="247"/>
      <c r="L99" s="247"/>
      <c r="M99" s="247"/>
      <c r="N99" s="247"/>
      <c r="O99" s="247"/>
      <c r="P99" s="247"/>
      <c r="Q99" s="247"/>
      <c r="R99" s="200">
        <f t="shared" si="10"/>
        <v>2262330000</v>
      </c>
      <c r="S99" s="201" t="s">
        <v>789</v>
      </c>
      <c r="T99" s="202"/>
      <c r="U99" s="246"/>
      <c r="V99" s="246"/>
      <c r="W99" s="246"/>
      <c r="BA99"/>
      <c r="BB99"/>
    </row>
    <row r="100" spans="1:54" s="191" customFormat="1" ht="13">
      <c r="A100" s="226"/>
      <c r="B100" s="180">
        <v>5004086291</v>
      </c>
      <c r="C100" s="183" t="str">
        <f>IFERROR(IF(VLOOKUP($B100,勘定科目!$A:$H,HLOOKUP($E$5,勘定科目!$F$1:$H$2,2,0),0)="","",VLOOKUP($B100,勘定科目!$A:$E,2,0)),"")</f>
        <v>福利厚生費（製）</v>
      </c>
      <c r="D100" s="239" t="str">
        <f>IF(C100="","",VLOOKUP($B100,勘定科目!$A:$E,4,0))</f>
        <v>福利厚生費</v>
      </c>
      <c r="E100" s="245"/>
      <c r="F100" s="194"/>
      <c r="G100" s="247"/>
      <c r="H100" s="247"/>
      <c r="I100" s="247">
        <f>400*100000</f>
        <v>40000000</v>
      </c>
      <c r="J100" s="247"/>
      <c r="K100" s="247"/>
      <c r="L100" s="247"/>
      <c r="M100" s="247"/>
      <c r="N100" s="247"/>
      <c r="O100" s="247"/>
      <c r="P100" s="247"/>
      <c r="Q100" s="247"/>
      <c r="R100" s="200">
        <f t="shared" si="10"/>
        <v>40000000</v>
      </c>
      <c r="S100" s="201" t="s">
        <v>743</v>
      </c>
      <c r="T100" s="202"/>
      <c r="U100" s="246"/>
      <c r="V100" s="246"/>
      <c r="W100" s="246"/>
      <c r="BA100"/>
      <c r="BB100"/>
    </row>
    <row r="101" spans="1:54" s="191" customFormat="1" ht="13">
      <c r="A101" s="226"/>
      <c r="B101" s="180">
        <v>5004086291</v>
      </c>
      <c r="C101" s="183" t="str">
        <f>IFERROR(IF(VLOOKUP($B101,勘定科目!$A:$H,HLOOKUP($E$5,勘定科目!$F$1:$H$2,2,0),0)="","",VLOOKUP($B101,勘定科目!$A:$E,2,0)),"")</f>
        <v>福利厚生費（製）</v>
      </c>
      <c r="D101" s="239" t="str">
        <f>IF(C101="","",VLOOKUP($B101,勘定科目!$A:$E,4,0))</f>
        <v>福利厚生費</v>
      </c>
      <c r="E101" s="245"/>
      <c r="F101" s="194"/>
      <c r="G101" s="247"/>
      <c r="H101" s="247"/>
      <c r="I101" s="247"/>
      <c r="J101" s="247">
        <f>1800*6800</f>
        <v>12240000</v>
      </c>
      <c r="K101" s="247"/>
      <c r="L101" s="247"/>
      <c r="M101" s="247"/>
      <c r="N101" s="247"/>
      <c r="O101" s="247"/>
      <c r="P101" s="247">
        <f>2138*6800</f>
        <v>14538400</v>
      </c>
      <c r="Q101" s="247"/>
      <c r="R101" s="200">
        <f t="shared" si="10"/>
        <v>26778400</v>
      </c>
      <c r="S101" s="201" t="s">
        <v>744</v>
      </c>
      <c r="T101" s="202"/>
      <c r="U101" s="246"/>
      <c r="V101" s="246"/>
      <c r="W101" s="246"/>
      <c r="BA101"/>
      <c r="BB101"/>
    </row>
    <row r="102" spans="1:54" s="191" customFormat="1" ht="13">
      <c r="A102" s="226"/>
      <c r="B102" s="180">
        <v>5004086291</v>
      </c>
      <c r="C102" s="183" t="str">
        <f>IFERROR(IF(VLOOKUP($B102,勘定科目!$A:$H,HLOOKUP($E$5,勘定科目!$F$1:$H$2,2,0),0)="","",VLOOKUP($B102,勘定科目!$A:$E,2,0)),"")</f>
        <v>福利厚生費（製）</v>
      </c>
      <c r="D102" s="239" t="str">
        <f>IF(C102="","",VLOOKUP($B102,勘定科目!$A:$E,4,0))</f>
        <v>福利厚生費</v>
      </c>
      <c r="E102" s="245"/>
      <c r="F102" s="194"/>
      <c r="G102" s="247"/>
      <c r="H102" s="247"/>
      <c r="I102" s="247"/>
      <c r="J102" s="247"/>
      <c r="K102" s="247"/>
      <c r="L102" s="247">
        <f>1776*56000</f>
        <v>99456000</v>
      </c>
      <c r="M102" s="247"/>
      <c r="N102" s="247"/>
      <c r="O102" s="247"/>
      <c r="P102" s="247"/>
      <c r="Q102" s="247"/>
      <c r="R102" s="200">
        <f t="shared" si="10"/>
        <v>99456000</v>
      </c>
      <c r="S102" s="201" t="s">
        <v>790</v>
      </c>
      <c r="T102" s="202"/>
      <c r="U102" s="246"/>
      <c r="V102" s="246"/>
      <c r="W102" s="246"/>
      <c r="BA102"/>
      <c r="BB102"/>
    </row>
    <row r="103" spans="1:54" s="191" customFormat="1" ht="13">
      <c r="A103" s="226"/>
      <c r="B103" s="180">
        <v>5004086291</v>
      </c>
      <c r="C103" s="183" t="str">
        <f>IFERROR(IF(VLOOKUP($B103,勘定科目!$A:$H,HLOOKUP($E$5,勘定科目!$F$1:$H$2,2,0),0)="","",VLOOKUP($B103,勘定科目!$A:$E,2,0)),"")</f>
        <v>福利厚生費（製）</v>
      </c>
      <c r="D103" s="239" t="str">
        <f>IF(C103="","",VLOOKUP($B103,勘定科目!$A:$E,4,0))</f>
        <v>福利厚生費</v>
      </c>
      <c r="E103" s="245"/>
      <c r="F103" s="194"/>
      <c r="G103" s="247"/>
      <c r="H103" s="247"/>
      <c r="I103" s="247"/>
      <c r="J103" s="247"/>
      <c r="K103" s="247">
        <f>1804*126000</f>
        <v>227304000</v>
      </c>
      <c r="L103" s="247"/>
      <c r="M103" s="247"/>
      <c r="N103" s="247"/>
      <c r="O103" s="247"/>
      <c r="P103" s="247"/>
      <c r="Q103" s="247"/>
      <c r="R103" s="200">
        <f t="shared" si="10"/>
        <v>227304000</v>
      </c>
      <c r="S103" s="201" t="s">
        <v>791</v>
      </c>
      <c r="T103" s="202"/>
      <c r="U103" s="246"/>
      <c r="V103" s="246"/>
      <c r="W103" s="246"/>
      <c r="BA103"/>
      <c r="BB103"/>
    </row>
    <row r="104" spans="1:54" s="191" customFormat="1" ht="13">
      <c r="A104" s="226"/>
      <c r="B104" s="180">
        <v>5004086291</v>
      </c>
      <c r="C104" s="183" t="str">
        <f>IFERROR(IF(VLOOKUP($B104,勘定科目!$A:$H,HLOOKUP($E$5,勘定科目!$F$1:$H$2,2,0),0)="","",VLOOKUP($B104,勘定科目!$A:$E,2,0)),"")</f>
        <v>福利厚生費（製）</v>
      </c>
      <c r="D104" s="239" t="str">
        <f>IF(C104="","",VLOOKUP($B104,勘定科目!$A:$E,4,0))</f>
        <v>福利厚生費</v>
      </c>
      <c r="E104" s="245"/>
      <c r="F104" s="194"/>
      <c r="G104" s="247"/>
      <c r="H104" s="247"/>
      <c r="I104" s="247"/>
      <c r="J104" s="247"/>
      <c r="K104" s="247"/>
      <c r="L104" s="247">
        <f>47*382000</f>
        <v>17954000</v>
      </c>
      <c r="M104" s="247"/>
      <c r="N104" s="247"/>
      <c r="O104" s="247"/>
      <c r="P104" s="247"/>
      <c r="Q104" s="247"/>
      <c r="R104" s="200">
        <f t="shared" si="10"/>
        <v>17954000</v>
      </c>
      <c r="S104" s="201" t="s">
        <v>793</v>
      </c>
      <c r="T104" s="202"/>
      <c r="U104" s="246"/>
      <c r="V104" s="246"/>
      <c r="W104" s="246"/>
      <c r="BA104"/>
      <c r="BB104"/>
    </row>
    <row r="105" spans="1:54" s="191" customFormat="1" ht="13">
      <c r="A105" s="226"/>
      <c r="B105" s="180">
        <v>5004086291</v>
      </c>
      <c r="C105" s="183" t="str">
        <f>IFERROR(IF(VLOOKUP($B105,勘定科目!$A:$H,HLOOKUP($E$5,勘定科目!$F$1:$H$2,2,0),0)="","",VLOOKUP($B105,勘定科目!$A:$E,2,0)),"")</f>
        <v>福利厚生費（製）</v>
      </c>
      <c r="D105" s="239" t="str">
        <f>IF(C105="","",VLOOKUP($B105,勘定科目!$A:$E,4,0))</f>
        <v>福利厚生費</v>
      </c>
      <c r="E105" s="245"/>
      <c r="F105" s="194"/>
      <c r="G105" s="247"/>
      <c r="H105" s="247"/>
      <c r="I105" s="247"/>
      <c r="J105" s="247"/>
      <c r="K105" s="247"/>
      <c r="L105" s="247">
        <f>47*549000</f>
        <v>25803000</v>
      </c>
      <c r="M105" s="247"/>
      <c r="N105" s="247"/>
      <c r="O105" s="247"/>
      <c r="P105" s="247"/>
      <c r="Q105" s="247"/>
      <c r="R105" s="200">
        <f t="shared" si="10"/>
        <v>25803000</v>
      </c>
      <c r="S105" s="201" t="s">
        <v>792</v>
      </c>
      <c r="T105" s="202"/>
      <c r="U105" s="246"/>
      <c r="V105" s="246"/>
      <c r="W105" s="246"/>
      <c r="BA105"/>
      <c r="BB105"/>
    </row>
    <row r="106" spans="1:54" s="191" customFormat="1" ht="13">
      <c r="A106" s="226"/>
      <c r="B106" s="180">
        <v>5004086291</v>
      </c>
      <c r="C106" s="183" t="str">
        <f>IFERROR(IF(VLOOKUP($B106,勘定科目!$A:$H,HLOOKUP($E$5,勘定科目!$F$1:$H$2,2,0),0)="","",VLOOKUP($B106,勘定科目!$A:$E,2,0)),"")</f>
        <v>福利厚生費（製）</v>
      </c>
      <c r="D106" s="239" t="str">
        <f>IF(C106="","",VLOOKUP($B106,勘定科目!$A:$E,4,0))</f>
        <v>福利厚生費</v>
      </c>
      <c r="E106" s="245"/>
      <c r="F106" s="194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>
        <f>352*330000</f>
        <v>116160000</v>
      </c>
      <c r="Q106" s="247"/>
      <c r="R106" s="200">
        <f t="shared" si="10"/>
        <v>116160000</v>
      </c>
      <c r="S106" s="201" t="s">
        <v>794</v>
      </c>
      <c r="T106" s="202"/>
      <c r="U106" s="246"/>
      <c r="V106" s="246"/>
      <c r="W106" s="246"/>
      <c r="BA106"/>
      <c r="BB106"/>
    </row>
    <row r="107" spans="1:54" s="191" customFormat="1" ht="13">
      <c r="A107" s="226"/>
      <c r="B107" s="180">
        <v>5004086291</v>
      </c>
      <c r="C107" s="183" t="str">
        <f>IFERROR(IF(VLOOKUP($B107,勘定科目!$A:$H,HLOOKUP($E$5,勘定科目!$F$1:$H$2,2,0),0)="","",VLOOKUP($B107,勘定科目!$A:$E,2,0)),"")</f>
        <v>福利厚生費（製）</v>
      </c>
      <c r="D107" s="239" t="str">
        <f>IF(C107="","",VLOOKUP($B107,勘定科目!$A:$E,4,0))</f>
        <v>福利厚生費</v>
      </c>
      <c r="E107" s="245"/>
      <c r="F107" s="194"/>
      <c r="G107" s="247"/>
      <c r="H107" s="247"/>
      <c r="I107" s="247"/>
      <c r="J107" s="247"/>
      <c r="K107" s="247"/>
      <c r="L107" s="247"/>
      <c r="M107" s="247">
        <f>1776*107000</f>
        <v>190032000</v>
      </c>
      <c r="N107" s="247"/>
      <c r="O107" s="247"/>
      <c r="P107" s="247"/>
      <c r="Q107" s="247"/>
      <c r="R107" s="200">
        <f t="shared" si="10"/>
        <v>190032000</v>
      </c>
      <c r="S107" s="201" t="s">
        <v>795</v>
      </c>
      <c r="T107" s="202"/>
      <c r="U107" s="246"/>
      <c r="V107" s="246"/>
      <c r="W107" s="246"/>
      <c r="BA107"/>
      <c r="BB107"/>
    </row>
    <row r="108" spans="1:54" s="191" customFormat="1" ht="13">
      <c r="A108" s="226"/>
      <c r="B108" s="180">
        <v>5004086291</v>
      </c>
      <c r="C108" s="183" t="str">
        <f>IFERROR(IF(VLOOKUP($B108,勘定科目!$A:$H,HLOOKUP($E$5,勘定科目!$F$1:$H$2,2,0),0)="","",VLOOKUP($B108,勘定科目!$A:$E,2,0)),"")</f>
        <v>福利厚生費（製）</v>
      </c>
      <c r="D108" s="239" t="str">
        <f>IF(C108="","",VLOOKUP($B108,勘定科目!$A:$E,4,0))</f>
        <v>福利厚生費</v>
      </c>
      <c r="E108" s="245"/>
      <c r="F108" s="194"/>
      <c r="G108" s="247"/>
      <c r="H108" s="247"/>
      <c r="I108" s="247"/>
      <c r="J108" s="247"/>
      <c r="K108" s="247"/>
      <c r="L108" s="247"/>
      <c r="M108" s="247"/>
      <c r="N108" s="247">
        <f>1230*204000+600*189000</f>
        <v>364320000</v>
      </c>
      <c r="O108" s="247"/>
      <c r="P108" s="247"/>
      <c r="Q108" s="247"/>
      <c r="R108" s="200">
        <f t="shared" si="10"/>
        <v>364320000</v>
      </c>
      <c r="S108" s="201" t="s">
        <v>796</v>
      </c>
      <c r="T108" s="202"/>
      <c r="U108" s="246"/>
      <c r="V108" s="246"/>
      <c r="W108" s="246"/>
      <c r="BA108"/>
      <c r="BB108"/>
    </row>
    <row r="109" spans="1:54" s="191" customFormat="1" ht="13">
      <c r="A109" s="226"/>
      <c r="B109" s="180">
        <v>5005246281</v>
      </c>
      <c r="C109" s="183" t="str">
        <f>IFERROR(IF(VLOOKUP($B109,勘定科目!$A:$H,HLOOKUP($E$5,勘定科目!$F$1:$H$2,2,0),0)="","",VLOOKUP($B109,勘定科目!$A:$E,2,0)),"")</f>
        <v>図書印刷費（製）</v>
      </c>
      <c r="D109" s="239" t="str">
        <f>IF(C109="","",VLOOKUP($B109,勘定科目!$A:$E,4,0))</f>
        <v>図書及び事務費</v>
      </c>
      <c r="E109" s="245"/>
      <c r="F109" s="194"/>
      <c r="G109" s="247"/>
      <c r="H109" s="247"/>
      <c r="I109" s="247"/>
      <c r="J109" s="247"/>
      <c r="K109" s="247"/>
      <c r="L109" s="247"/>
      <c r="M109" s="247">
        <f>1877*800</f>
        <v>1501600</v>
      </c>
      <c r="N109" s="247"/>
      <c r="O109" s="247"/>
      <c r="P109" s="247"/>
      <c r="Q109" s="247"/>
      <c r="R109" s="200">
        <f t="shared" si="10"/>
        <v>1501600</v>
      </c>
      <c r="S109" s="201" t="s">
        <v>745</v>
      </c>
      <c r="T109" s="202"/>
      <c r="U109" s="246"/>
      <c r="V109" s="246"/>
      <c r="W109" s="246"/>
      <c r="BA109"/>
      <c r="BB109"/>
    </row>
    <row r="110" spans="1:54" s="191" customFormat="1" ht="13">
      <c r="A110" s="226"/>
      <c r="B110" s="180">
        <v>5004086291</v>
      </c>
      <c r="C110" s="183" t="str">
        <f>IFERROR(IF(VLOOKUP($B110,勘定科目!$A:$H,HLOOKUP($E$5,勘定科目!$F$1:$H$2,2,0),0)="","",VLOOKUP($B110,勘定科目!$A:$E,2,0)),"")</f>
        <v>福利厚生費（製）</v>
      </c>
      <c r="D110" s="239" t="str">
        <f>IF(C110="","",VLOOKUP($B110,勘定科目!$A:$E,4,0))</f>
        <v>福利厚生費</v>
      </c>
      <c r="E110" s="245"/>
      <c r="F110" s="194">
        <v>3000000</v>
      </c>
      <c r="G110" s="194">
        <v>3000000</v>
      </c>
      <c r="H110" s="194">
        <v>3000000</v>
      </c>
      <c r="I110" s="194">
        <v>3000000</v>
      </c>
      <c r="J110" s="194">
        <v>3000000</v>
      </c>
      <c r="K110" s="194">
        <v>3000000</v>
      </c>
      <c r="L110" s="194">
        <v>3000000</v>
      </c>
      <c r="M110" s="194">
        <v>3000000</v>
      </c>
      <c r="N110" s="194">
        <v>3000000</v>
      </c>
      <c r="O110" s="194">
        <v>3000000</v>
      </c>
      <c r="P110" s="194">
        <v>3000000</v>
      </c>
      <c r="Q110" s="194">
        <v>3000000</v>
      </c>
      <c r="R110" s="200">
        <f t="shared" si="10"/>
        <v>36000000</v>
      </c>
      <c r="S110" s="201" t="s">
        <v>746</v>
      </c>
      <c r="T110" s="202"/>
      <c r="U110" s="246"/>
      <c r="V110" s="246"/>
      <c r="W110" s="246"/>
      <c r="BA110"/>
      <c r="BB110"/>
    </row>
    <row r="111" spans="1:54" s="191" customFormat="1" ht="13">
      <c r="A111" s="226"/>
      <c r="B111" s="180">
        <v>5004086291</v>
      </c>
      <c r="C111" s="183" t="str">
        <f>IFERROR(IF(VLOOKUP($B111,勘定科目!$A:$H,HLOOKUP($E$5,勘定科目!$F$1:$H$2,2,0),0)="","",VLOOKUP($B111,勘定科目!$A:$E,2,0)),"")</f>
        <v>福利厚生費（製）</v>
      </c>
      <c r="D111" s="239" t="str">
        <f>IF(C111="","",VLOOKUP($B111,勘定科目!$A:$E,4,0))</f>
        <v>福利厚生費</v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10"/>
        <v>0</v>
      </c>
      <c r="S111" s="201" t="s">
        <v>747</v>
      </c>
      <c r="T111" s="202"/>
      <c r="U111" s="246"/>
      <c r="V111" s="246"/>
      <c r="W111" s="246"/>
      <c r="BA111"/>
      <c r="BB111"/>
    </row>
    <row r="112" spans="1:54" s="191" customFormat="1" ht="13">
      <c r="A112" s="226"/>
      <c r="B112" s="180">
        <v>5004086291</v>
      </c>
      <c r="C112" s="183" t="str">
        <f>IFERROR(IF(VLOOKUP($B112,勘定科目!$A:$H,HLOOKUP($E$5,勘定科目!$F$1:$H$2,2,0),0)="","",VLOOKUP($B112,勘定科目!$A:$E,2,0)),"")</f>
        <v>福利厚生費（製）</v>
      </c>
      <c r="D112" s="239" t="str">
        <f>IF(C112="","",VLOOKUP($B112,勘定科目!$A:$E,4,0))</f>
        <v>福利厚生費</v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10"/>
        <v>0</v>
      </c>
      <c r="S112" s="201" t="s">
        <v>748</v>
      </c>
      <c r="T112" s="202"/>
      <c r="U112" s="246"/>
      <c r="V112" s="246"/>
      <c r="W112" s="246"/>
      <c r="BA112"/>
      <c r="BB112"/>
    </row>
    <row r="113" spans="1:54" s="191" customFormat="1" ht="13">
      <c r="A113" s="226"/>
      <c r="B113" s="180">
        <v>5004086291</v>
      </c>
      <c r="C113" s="183" t="str">
        <f>IFERROR(IF(VLOOKUP($B113,勘定科目!$A:$H,HLOOKUP($E$5,勘定科目!$F$1:$H$2,2,0),0)="","",VLOOKUP($B113,勘定科目!$A:$E,2,0)),"")</f>
        <v>福利厚生費（製）</v>
      </c>
      <c r="D113" s="239" t="str">
        <f>IF(C113="","",VLOOKUP($B113,勘定科目!$A:$E,4,0))</f>
        <v>福利厚生費</v>
      </c>
      <c r="E113" s="245"/>
      <c r="F113" s="194"/>
      <c r="G113" s="247"/>
      <c r="H113" s="247">
        <f>1518*200000</f>
        <v>303600000</v>
      </c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10"/>
        <v>303600000</v>
      </c>
      <c r="S113" s="201" t="s">
        <v>797</v>
      </c>
      <c r="T113" s="202"/>
      <c r="U113" s="246"/>
      <c r="V113" s="246"/>
      <c r="W113" s="246"/>
      <c r="BA113"/>
      <c r="BB113"/>
    </row>
    <row r="114" spans="1:54" s="191" customFormat="1" ht="13">
      <c r="A114" s="226"/>
      <c r="B114" s="180">
        <v>5004086291</v>
      </c>
      <c r="C114" s="183" t="str">
        <f>IFERROR(IF(VLOOKUP($B114,勘定科目!$A:$H,HLOOKUP($E$5,勘定科目!$F$1:$H$2,2,0),0)="","",VLOOKUP($B114,勘定科目!$A:$E,2,0)),"")</f>
        <v>福利厚生費（製）</v>
      </c>
      <c r="D114" s="239" t="str">
        <f>IF(C114="","",VLOOKUP($B114,勘定科目!$A:$E,4,0))</f>
        <v>福利厚生費</v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10"/>
        <v>0</v>
      </c>
      <c r="S114" s="201" t="s">
        <v>749</v>
      </c>
      <c r="T114" s="202"/>
      <c r="U114" s="246"/>
      <c r="V114" s="246"/>
      <c r="W114" s="246"/>
      <c r="BA114"/>
      <c r="BB114"/>
    </row>
    <row r="115" spans="1:54" s="191" customFormat="1" ht="13">
      <c r="A115" s="226"/>
      <c r="B115" s="180">
        <v>5004086291</v>
      </c>
      <c r="C115" s="183" t="str">
        <f>IFERROR(IF(VLOOKUP($B115,勘定科目!$A:$H,HLOOKUP($E$5,勘定科目!$F$1:$H$2,2,0),0)="","",VLOOKUP($B115,勘定科目!$A:$E,2,0)),"")</f>
        <v>福利厚生費（製）</v>
      </c>
      <c r="D115" s="239" t="str">
        <f>IF(C115="","",VLOOKUP($B115,勘定科目!$A:$E,4,0))</f>
        <v>福利厚生費</v>
      </c>
      <c r="E115" s="245"/>
      <c r="F115" s="194">
        <f>1614*2*165000+1614*2*175000</f>
        <v>1097520000</v>
      </c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10"/>
        <v>1097520000</v>
      </c>
      <c r="S115" s="201" t="s">
        <v>798</v>
      </c>
      <c r="T115" s="202"/>
      <c r="U115" s="246"/>
      <c r="V115" s="246"/>
      <c r="W115" s="246"/>
      <c r="BA115"/>
      <c r="BB115"/>
    </row>
    <row r="116" spans="1:54" s="191" customFormat="1" ht="13">
      <c r="A116" s="226"/>
      <c r="B116" s="180"/>
      <c r="C116" s="183" t="str">
        <f>IFERROR(IF(VLOOKUP($B116,勘定科目!$A:$H,HLOOKUP($E$5,勘定科目!$F$1:$H$2,2,0),0)="","",VLOOKUP($B116,勘定科目!$A:$E,2,0)),"")</f>
        <v/>
      </c>
      <c r="D116" s="239" t="str">
        <f>IF(C116="","",VLOOKUP($B116,勘定科目!$A:$E,4,0))</f>
        <v/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10"/>
        <v>0</v>
      </c>
      <c r="S116" s="201"/>
      <c r="T116" s="202"/>
      <c r="U116" s="246"/>
      <c r="V116" s="246"/>
      <c r="W116" s="246"/>
      <c r="BA116"/>
      <c r="BB116"/>
    </row>
    <row r="117" spans="1:54" s="191" customFormat="1" ht="13">
      <c r="A117" s="226"/>
      <c r="B117" s="180">
        <v>5004086291</v>
      </c>
      <c r="C117" s="183" t="str">
        <f>IFERROR(IF(VLOOKUP($B117,勘定科目!$A:$H,HLOOKUP($E$5,勘定科目!$F$1:$H$2,2,0),0)="","",VLOOKUP($B117,勘定科目!$A:$E,2,0)),"")</f>
        <v>福利厚生費（製）</v>
      </c>
      <c r="D117" s="239" t="str">
        <f>IF(C117="","",VLOOKUP($B117,勘定科目!$A:$E,4,0))</f>
        <v>福利厚生費</v>
      </c>
      <c r="E117" s="245"/>
      <c r="F117" s="194"/>
      <c r="G117" s="247"/>
      <c r="H117" s="247"/>
      <c r="I117" s="247"/>
      <c r="J117" s="247"/>
      <c r="K117" s="247"/>
      <c r="L117" s="247"/>
      <c r="M117" s="247">
        <f>63*220000</f>
        <v>13860000</v>
      </c>
      <c r="N117" s="247">
        <f>121*220000</f>
        <v>26620000</v>
      </c>
      <c r="O117" s="247"/>
      <c r="P117" s="247">
        <f>184*220000</f>
        <v>40480000</v>
      </c>
      <c r="Q117" s="247">
        <f>168*220000</f>
        <v>36960000</v>
      </c>
      <c r="R117" s="200">
        <f t="shared" si="10"/>
        <v>117920000</v>
      </c>
      <c r="S117" s="201" t="s">
        <v>750</v>
      </c>
      <c r="T117" s="202"/>
      <c r="U117" s="246"/>
      <c r="V117" s="246"/>
      <c r="W117" s="246"/>
      <c r="BA117"/>
      <c r="BB117"/>
    </row>
    <row r="118" spans="1:54" s="191" customFormat="1" ht="13">
      <c r="A118" s="226"/>
      <c r="B118" s="180">
        <v>5004086291</v>
      </c>
      <c r="C118" s="183" t="str">
        <f>IFERROR(IF(VLOOKUP($B118,勘定科目!$A:$H,HLOOKUP($E$5,勘定科目!$F$1:$H$2,2,0),0)="","",VLOOKUP($B118,勘定科目!$A:$E,2,0)),"")</f>
        <v>福利厚生費（製）</v>
      </c>
      <c r="D118" s="239" t="str">
        <f>IF(C118="","",VLOOKUP($B118,勘定科目!$A:$E,4,0))</f>
        <v>福利厚生費</v>
      </c>
      <c r="E118" s="245"/>
      <c r="F118" s="194"/>
      <c r="G118" s="247"/>
      <c r="H118" s="247"/>
      <c r="I118" s="247"/>
      <c r="J118" s="247"/>
      <c r="K118" s="247"/>
      <c r="L118" s="247">
        <f>63*1063000</f>
        <v>66969000</v>
      </c>
      <c r="M118" s="247">
        <f>121*1063000</f>
        <v>128623000</v>
      </c>
      <c r="N118" s="247"/>
      <c r="O118" s="247">
        <f>184*733000</f>
        <v>134872000</v>
      </c>
      <c r="P118" s="247">
        <f>168*733000</f>
        <v>123144000</v>
      </c>
      <c r="Q118" s="247"/>
      <c r="R118" s="200">
        <f t="shared" si="10"/>
        <v>453608000</v>
      </c>
      <c r="S118" s="201" t="s">
        <v>784</v>
      </c>
      <c r="T118" s="202"/>
      <c r="U118" s="246"/>
      <c r="V118" s="246"/>
      <c r="W118" s="246"/>
      <c r="BA118"/>
      <c r="BB118"/>
    </row>
    <row r="119" spans="1:54" s="191" customFormat="1" ht="13">
      <c r="A119" s="226"/>
      <c r="B119" s="180">
        <v>5004086291</v>
      </c>
      <c r="C119" s="183" t="str">
        <f>IFERROR(IF(VLOOKUP($B119,勘定科目!$A:$H,HLOOKUP($E$5,勘定科目!$F$1:$H$2,2,0),0)="","",VLOOKUP($B119,勘定科目!$A:$E,2,0)),"")</f>
        <v>福利厚生費（製）</v>
      </c>
      <c r="D119" s="239" t="str">
        <f>IF(C119="","",VLOOKUP($B119,勘定科目!$A:$E,4,0))</f>
        <v>福利厚生費</v>
      </c>
      <c r="E119" s="245"/>
      <c r="F119" s="194"/>
      <c r="G119" s="247"/>
      <c r="H119" s="247"/>
      <c r="I119" s="247"/>
      <c r="J119" s="247"/>
      <c r="K119" s="247"/>
      <c r="L119" s="247">
        <f>63*6800</f>
        <v>428400</v>
      </c>
      <c r="M119" s="247">
        <f>121*6800</f>
        <v>822800</v>
      </c>
      <c r="N119" s="247"/>
      <c r="O119" s="247">
        <f>184*6800</f>
        <v>1251200</v>
      </c>
      <c r="P119" s="247">
        <f>168*6800</f>
        <v>1142400</v>
      </c>
      <c r="Q119" s="247"/>
      <c r="R119" s="200">
        <f t="shared" si="10"/>
        <v>3644800</v>
      </c>
      <c r="S119" s="201" t="s">
        <v>751</v>
      </c>
      <c r="T119" s="202"/>
      <c r="U119" s="246"/>
      <c r="V119" s="246"/>
      <c r="W119" s="246"/>
      <c r="BA119"/>
      <c r="BB119"/>
    </row>
    <row r="120" spans="1:54" s="191" customFormat="1" ht="13">
      <c r="A120" s="226"/>
      <c r="B120" s="180">
        <v>5005246281</v>
      </c>
      <c r="C120" s="183" t="str">
        <f>IFERROR(IF(VLOOKUP($B120,勘定科目!$A:$H,HLOOKUP($E$5,勘定科目!$F$1:$H$2,2,0),0)="","",VLOOKUP($B120,勘定科目!$A:$E,2,0)),"")</f>
        <v>図書印刷費（製）</v>
      </c>
      <c r="D120" s="239" t="str">
        <f>IF(C120="","",VLOOKUP($B120,勘定科目!$A:$E,4,0))</f>
        <v>図書及び事務費</v>
      </c>
      <c r="E120" s="245"/>
      <c r="F120" s="194"/>
      <c r="G120" s="247"/>
      <c r="H120" s="247"/>
      <c r="I120" s="247"/>
      <c r="J120" s="247"/>
      <c r="K120" s="247"/>
      <c r="L120" s="247">
        <f>63*800</f>
        <v>50400</v>
      </c>
      <c r="M120" s="247">
        <f>121*800</f>
        <v>96800</v>
      </c>
      <c r="N120" s="247"/>
      <c r="O120" s="247">
        <f>184*800</f>
        <v>147200</v>
      </c>
      <c r="P120" s="247">
        <f>168*800</f>
        <v>134400</v>
      </c>
      <c r="Q120" s="247"/>
      <c r="R120" s="200">
        <f t="shared" ref="R120:R184" si="32">SUM(F120:Q120)</f>
        <v>428800</v>
      </c>
      <c r="S120" s="201" t="s">
        <v>783</v>
      </c>
      <c r="T120" s="202"/>
      <c r="U120" s="246"/>
      <c r="V120" s="246"/>
      <c r="W120" s="246"/>
      <c r="BA120"/>
      <c r="BB120"/>
    </row>
    <row r="121" spans="1:54" s="191" customFormat="1" ht="13">
      <c r="A121" s="226"/>
      <c r="B121" s="180">
        <v>5005246281</v>
      </c>
      <c r="C121" s="183" t="str">
        <f>IFERROR(IF(VLOOKUP($B121,勘定科目!$A:$H,HLOOKUP($E$5,勘定科目!$F$1:$H$2,2,0),0)="","",VLOOKUP($B121,勘定科目!$A:$E,2,0)),"")</f>
        <v>図書印刷費（製）</v>
      </c>
      <c r="D121" s="239" t="str">
        <f>IF(C121="","",VLOOKUP($B121,勘定科目!$A:$E,4,0))</f>
        <v>図書及び事務費</v>
      </c>
      <c r="E121" s="245"/>
      <c r="F121" s="194"/>
      <c r="G121" s="247"/>
      <c r="H121" s="247"/>
      <c r="I121" s="247"/>
      <c r="J121" s="247"/>
      <c r="K121" s="247"/>
      <c r="L121" s="247">
        <f>63*85200</f>
        <v>5367600</v>
      </c>
      <c r="M121" s="247">
        <f>121*85200</f>
        <v>10309200</v>
      </c>
      <c r="N121" s="247"/>
      <c r="O121" s="247">
        <f>184*85200</f>
        <v>15676800</v>
      </c>
      <c r="P121" s="247">
        <f>168*85200</f>
        <v>14313600</v>
      </c>
      <c r="Q121" s="247"/>
      <c r="R121" s="200">
        <f t="shared" si="32"/>
        <v>45667200</v>
      </c>
      <c r="S121" s="201" t="s">
        <v>752</v>
      </c>
      <c r="T121" s="202"/>
      <c r="U121" s="246"/>
      <c r="V121" s="246"/>
      <c r="W121" s="246"/>
      <c r="BA121"/>
      <c r="BB121"/>
    </row>
    <row r="122" spans="1:54" s="191" customFormat="1" ht="13">
      <c r="A122" s="226"/>
      <c r="B122" s="180">
        <v>5005246288</v>
      </c>
      <c r="C122" s="183" t="str">
        <f>IFERROR(IF(VLOOKUP($B122,勘定科目!$A:$H,HLOOKUP($E$5,勘定科目!$F$1:$H$2,2,0),0)="","",VLOOKUP($B122,勘定科目!$A:$E,2,0)),"")</f>
        <v>事務用品費（製）</v>
      </c>
      <c r="D122" s="239" t="str">
        <f>IF(C122="","",VLOOKUP($B122,勘定科目!$A:$E,4,0))</f>
        <v>図書及び事務費</v>
      </c>
      <c r="E122" s="245"/>
      <c r="F122" s="194"/>
      <c r="G122" s="247"/>
      <c r="H122" s="247"/>
      <c r="I122" s="247"/>
      <c r="J122" s="247"/>
      <c r="K122" s="247"/>
      <c r="L122" s="247">
        <f>63*10600</f>
        <v>667800</v>
      </c>
      <c r="M122" s="247">
        <f>121*10600</f>
        <v>1282600</v>
      </c>
      <c r="N122" s="247"/>
      <c r="O122" s="247">
        <f>184*10600</f>
        <v>1950400</v>
      </c>
      <c r="P122" s="247">
        <f>168*10600</f>
        <v>1780800</v>
      </c>
      <c r="Q122" s="247"/>
      <c r="R122" s="200">
        <f t="shared" si="32"/>
        <v>5681600</v>
      </c>
      <c r="S122" s="201" t="s">
        <v>753</v>
      </c>
      <c r="T122" s="202"/>
      <c r="U122" s="246"/>
      <c r="V122" s="246"/>
      <c r="W122" s="246"/>
      <c r="BA122"/>
      <c r="BB122"/>
    </row>
    <row r="123" spans="1:54" s="191" customFormat="1" ht="13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32"/>
        <v>0</v>
      </c>
      <c r="S123" s="201"/>
      <c r="T123" s="202"/>
      <c r="U123" s="246"/>
      <c r="V123" s="246"/>
      <c r="W123" s="246"/>
      <c r="BA123"/>
      <c r="BB123"/>
    </row>
    <row r="124" spans="1:54" s="191" customFormat="1" ht="13">
      <c r="A124" s="226"/>
      <c r="B124" s="180">
        <v>5005246282</v>
      </c>
      <c r="C124" s="183" t="str">
        <f>IFERROR(IF(VLOOKUP($B124,勘定科目!$A:$H,HLOOKUP($E$5,勘定科目!$F$1:$H$2,2,0),0)="","",VLOOKUP($B124,勘定科目!$A:$E,2,0)),"")</f>
        <v>ＫＤＣシステム使用料（製）</v>
      </c>
      <c r="D124" s="239" t="str">
        <f>IF(C124="","",VLOOKUP($B124,勘定科目!$A:$E,4,0))</f>
        <v>図書及び事務費</v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32"/>
        <v>0</v>
      </c>
      <c r="S124" s="201" t="s">
        <v>754</v>
      </c>
      <c r="T124" s="202"/>
      <c r="U124" s="246"/>
      <c r="V124" s="246"/>
      <c r="W124" s="246"/>
      <c r="BA124"/>
      <c r="BB124"/>
    </row>
    <row r="125" spans="1:54" s="191" customFormat="1" ht="13">
      <c r="A125" s="226"/>
      <c r="B125" s="180">
        <v>5005246282</v>
      </c>
      <c r="C125" s="183" t="str">
        <f>IFERROR(IF(VLOOKUP($B125,勘定科目!$A:$H,HLOOKUP($E$5,勘定科目!$F$1:$H$2,2,0),0)="","",VLOOKUP($B125,勘定科目!$A:$E,2,0)),"")</f>
        <v>ＫＤＣシステム使用料（製）</v>
      </c>
      <c r="D125" s="239" t="str">
        <f>IF(C125="","",VLOOKUP($B125,勘定科目!$A:$E,4,0))</f>
        <v>図書及び事務費</v>
      </c>
      <c r="E125" s="245"/>
      <c r="F125" s="194">
        <v>292290188</v>
      </c>
      <c r="G125" s="194">
        <v>292290188</v>
      </c>
      <c r="H125" s="194">
        <v>292290188</v>
      </c>
      <c r="I125" s="194">
        <v>292290188</v>
      </c>
      <c r="J125" s="194">
        <v>292290188</v>
      </c>
      <c r="K125" s="194">
        <v>292290188</v>
      </c>
      <c r="L125" s="194">
        <v>292290188</v>
      </c>
      <c r="M125" s="194">
        <v>292290188</v>
      </c>
      <c r="N125" s="194">
        <v>292290188</v>
      </c>
      <c r="O125" s="194">
        <v>292290188</v>
      </c>
      <c r="P125" s="194">
        <v>292290188</v>
      </c>
      <c r="Q125" s="194">
        <v>292290188</v>
      </c>
      <c r="R125" s="200">
        <f t="shared" si="32"/>
        <v>3507482256</v>
      </c>
      <c r="S125" s="201" t="s">
        <v>755</v>
      </c>
      <c r="T125" s="202"/>
      <c r="U125" s="246"/>
      <c r="V125" s="246"/>
      <c r="W125" s="246"/>
      <c r="BA125"/>
      <c r="BB125"/>
    </row>
    <row r="126" spans="1:54" s="191" customFormat="1" ht="13">
      <c r="A126" s="226"/>
      <c r="B126" s="180">
        <v>5006016260</v>
      </c>
      <c r="C126" s="183" t="str">
        <f>IFERROR(IF(VLOOKUP($B126,勘定科目!$A:$H,HLOOKUP($E$5,勘定科目!$F$1:$H$2,2,0),0)="","",VLOOKUP($B126,勘定科目!$A:$E,2,0)),"")</f>
        <v>減価償却費配賦（製）　建物</v>
      </c>
      <c r="D126" s="239" t="str">
        <f>IF(C126="","",VLOOKUP($B126,勘定科目!$A:$E,4,0))</f>
        <v>減価償却費</v>
      </c>
      <c r="E126" s="245"/>
      <c r="F126" s="194">
        <v>464077912</v>
      </c>
      <c r="G126" s="247">
        <v>463123248</v>
      </c>
      <c r="H126" s="247">
        <v>466791849</v>
      </c>
      <c r="I126" s="247">
        <v>467912564</v>
      </c>
      <c r="J126" s="247">
        <v>466713648</v>
      </c>
      <c r="K126" s="247">
        <v>463192563</v>
      </c>
      <c r="L126" s="247">
        <v>464125392</v>
      </c>
      <c r="M126" s="247">
        <v>466904581</v>
      </c>
      <c r="N126" s="247">
        <v>465930367</v>
      </c>
      <c r="O126" s="247">
        <v>468366791</v>
      </c>
      <c r="P126" s="247">
        <v>468356889</v>
      </c>
      <c r="Q126" s="247">
        <v>463980161</v>
      </c>
      <c r="R126" s="200">
        <f t="shared" si="32"/>
        <v>5589475965</v>
      </c>
      <c r="S126" s="201" t="s">
        <v>756</v>
      </c>
      <c r="T126" s="202"/>
      <c r="U126" s="246"/>
      <c r="V126" s="246"/>
      <c r="W126" s="246"/>
      <c r="BA126"/>
      <c r="BB126"/>
    </row>
    <row r="127" spans="1:54" s="191" customFormat="1" ht="13">
      <c r="A127" s="226"/>
      <c r="B127" s="180">
        <v>5006016261</v>
      </c>
      <c r="C127" s="183" t="str">
        <f>IFERROR(IF(VLOOKUP($B127,勘定科目!$A:$H,HLOOKUP($E$5,勘定科目!$F$1:$H$2,2,0),0)="","",VLOOKUP($B127,勘定科目!$A:$E,2,0)),"")</f>
        <v>減価償却費配賦（製）　土地使用権</v>
      </c>
      <c r="D127" s="239" t="str">
        <f>IF(C127="","",VLOOKUP($B127,勘定科目!$A:$E,4,0))</f>
        <v>減価償却費</v>
      </c>
      <c r="E127" s="245"/>
      <c r="F127" s="194">
        <v>31323389</v>
      </c>
      <c r="G127" s="247">
        <v>31258899</v>
      </c>
      <c r="H127" s="247">
        <v>31506705</v>
      </c>
      <c r="I127" s="247">
        <v>31582367</v>
      </c>
      <c r="J127" s="247">
        <v>31501373</v>
      </c>
      <c r="K127" s="247">
        <v>31263723</v>
      </c>
      <c r="L127" s="247">
        <v>31326690</v>
      </c>
      <c r="M127" s="247">
        <v>31514322</v>
      </c>
      <c r="N127" s="247">
        <v>31448562</v>
      </c>
      <c r="O127" s="247">
        <v>31612835</v>
      </c>
      <c r="P127" s="247">
        <v>31612327</v>
      </c>
      <c r="Q127" s="247">
        <v>31316788</v>
      </c>
      <c r="R127" s="200">
        <f t="shared" si="32"/>
        <v>377267980</v>
      </c>
      <c r="S127" s="201" t="s">
        <v>757</v>
      </c>
      <c r="T127" s="202"/>
      <c r="U127" s="246"/>
      <c r="V127" s="246"/>
      <c r="W127" s="246"/>
      <c r="BA127"/>
      <c r="BB127"/>
    </row>
    <row r="128" spans="1:54" s="191" customFormat="1" ht="13">
      <c r="A128" s="226"/>
      <c r="B128" s="180">
        <v>9114120007</v>
      </c>
      <c r="C128" s="183" t="str">
        <f>IFERROR(IF(VLOOKUP($B128,勘定科目!$A:$H,HLOOKUP($E$5,勘定科目!$F$1:$H$2,2,0),0)="","",VLOOKUP($B128,勘定科目!$A:$E,2,0)),"")</f>
        <v>社内金利（固定資産）</v>
      </c>
      <c r="D128" s="239" t="str">
        <f>IF(C128="","",VLOOKUP($B128,勘定科目!$A:$E,4,0))</f>
        <v>固定資産金利</v>
      </c>
      <c r="E128" s="245"/>
      <c r="F128" s="194">
        <v>315008144</v>
      </c>
      <c r="G128" s="247">
        <v>297687594</v>
      </c>
      <c r="H128" s="247">
        <v>300045817</v>
      </c>
      <c r="I128" s="247">
        <v>300766132</v>
      </c>
      <c r="J128" s="247">
        <v>299995545</v>
      </c>
      <c r="K128" s="247">
        <v>297732027</v>
      </c>
      <c r="L128" s="247">
        <v>298331738</v>
      </c>
      <c r="M128" s="247">
        <v>300118179</v>
      </c>
      <c r="N128" s="247">
        <v>299492061</v>
      </c>
      <c r="O128" s="247">
        <v>301058117</v>
      </c>
      <c r="P128" s="247">
        <v>301051769</v>
      </c>
      <c r="Q128" s="247">
        <v>298238557</v>
      </c>
      <c r="R128" s="200">
        <f t="shared" si="32"/>
        <v>3609525680</v>
      </c>
      <c r="S128" s="201" t="s">
        <v>785</v>
      </c>
      <c r="T128" s="202"/>
      <c r="U128" s="246"/>
      <c r="V128" s="246"/>
      <c r="W128" s="246"/>
      <c r="BA128"/>
      <c r="BB128"/>
    </row>
    <row r="129" spans="1:54" s="191" customFormat="1" ht="13">
      <c r="A129" s="226"/>
      <c r="B129" s="180">
        <v>9114120007</v>
      </c>
      <c r="C129" s="183" t="str">
        <f>IFERROR(IF(VLOOKUP($B129,勘定科目!$A:$H,HLOOKUP($E$5,勘定科目!$F$1:$H$2,2,0),0)="","",VLOOKUP($B129,勘定科目!$A:$E,2,0)),"")</f>
        <v>社内金利（固定資産）</v>
      </c>
      <c r="D129" s="239" t="str">
        <f>IF(C129="","",VLOOKUP($B129,勘定科目!$A:$E,4,0))</f>
        <v>固定資産金利</v>
      </c>
      <c r="E129" s="245"/>
      <c r="F129" s="194">
        <v>38949276</v>
      </c>
      <c r="G129" s="247">
        <v>37743758</v>
      </c>
      <c r="H129" s="247">
        <v>38042853</v>
      </c>
      <c r="I129" s="247">
        <v>38134257</v>
      </c>
      <c r="J129" s="247">
        <v>38036505</v>
      </c>
      <c r="K129" s="247">
        <v>37749344</v>
      </c>
      <c r="L129" s="247">
        <v>37825514</v>
      </c>
      <c r="M129" s="247">
        <v>38051993</v>
      </c>
      <c r="N129" s="247">
        <v>37972522</v>
      </c>
      <c r="O129" s="247">
        <v>38171072</v>
      </c>
      <c r="P129" s="247">
        <v>38170310</v>
      </c>
      <c r="Q129" s="247">
        <v>37813581</v>
      </c>
      <c r="R129" s="200">
        <f t="shared" si="32"/>
        <v>456660985</v>
      </c>
      <c r="S129" s="201" t="s">
        <v>786</v>
      </c>
      <c r="T129" s="202"/>
      <c r="U129" s="246"/>
      <c r="V129" s="246"/>
      <c r="W129" s="246"/>
      <c r="BA129"/>
      <c r="BB129"/>
    </row>
    <row r="130" spans="1:54" s="191" customFormat="1" ht="13">
      <c r="A130" s="226"/>
      <c r="B130" s="180">
        <v>5005066281</v>
      </c>
      <c r="C130" s="183" t="str">
        <f>IFERROR(IF(VLOOKUP($B130,勘定科目!$A:$H,HLOOKUP($E$5,勘定科目!$F$1:$H$2,2,0),0)="","",VLOOKUP($B130,勘定科目!$A:$E,2,0)),"")</f>
        <v>電気代（製）</v>
      </c>
      <c r="D130" s="239" t="str">
        <f>IF(C130="","",VLOOKUP($B130,勘定科目!$A:$E,4,0))</f>
        <v>水道光熱費</v>
      </c>
      <c r="E130" s="245"/>
      <c r="F130" s="194">
        <v>124845814</v>
      </c>
      <c r="G130" s="247">
        <v>129186697</v>
      </c>
      <c r="H130" s="247">
        <v>162294104</v>
      </c>
      <c r="I130" s="247">
        <v>174778266</v>
      </c>
      <c r="J130" s="247">
        <v>181020347</v>
      </c>
      <c r="K130" s="247">
        <v>166039352</v>
      </c>
      <c r="L130" s="247">
        <v>162311094</v>
      </c>
      <c r="M130" s="247">
        <v>149809942</v>
      </c>
      <c r="N130" s="247">
        <v>143567861</v>
      </c>
      <c r="O130" s="247">
        <v>131066709</v>
      </c>
      <c r="P130" s="247">
        <v>130314545</v>
      </c>
      <c r="Q130" s="247">
        <v>99873295</v>
      </c>
      <c r="R130" s="200">
        <f t="shared" si="32"/>
        <v>1755108026</v>
      </c>
      <c r="S130" s="201" t="s">
        <v>758</v>
      </c>
      <c r="T130" s="202"/>
      <c r="U130" s="246"/>
      <c r="V130" s="246"/>
      <c r="W130" s="246"/>
      <c r="BA130"/>
      <c r="BB130"/>
    </row>
    <row r="131" spans="1:54" s="191" customFormat="1" ht="13">
      <c r="A131" s="226"/>
      <c r="B131" s="180">
        <v>5005066282</v>
      </c>
      <c r="C131" s="183" t="str">
        <f>IFERROR(IF(VLOOKUP($B131,勘定科目!$A:$H,HLOOKUP($E$5,勘定科目!$F$1:$H$2,2,0),0)="","",VLOOKUP($B131,勘定科目!$A:$E,2,0)),"")</f>
        <v>水道代（製）</v>
      </c>
      <c r="D131" s="239" t="str">
        <f>IF(C131="","",VLOOKUP($B131,勘定科目!$A:$E,4,0))</f>
        <v>水道光熱費</v>
      </c>
      <c r="E131" s="245"/>
      <c r="F131" s="194">
        <v>46907846</v>
      </c>
      <c r="G131" s="247">
        <v>49913626</v>
      </c>
      <c r="H131" s="247">
        <v>55068706</v>
      </c>
      <c r="I131" s="247">
        <v>90816597</v>
      </c>
      <c r="J131" s="247">
        <v>83705372</v>
      </c>
      <c r="K131" s="247">
        <v>69731796</v>
      </c>
      <c r="L131" s="247">
        <v>48981756</v>
      </c>
      <c r="M131" s="247">
        <v>72105586</v>
      </c>
      <c r="N131" s="247">
        <v>70211571</v>
      </c>
      <c r="O131" s="247">
        <v>51876814</v>
      </c>
      <c r="P131" s="247">
        <v>41787873</v>
      </c>
      <c r="Q131" s="247">
        <v>42908702</v>
      </c>
      <c r="R131" s="200">
        <f t="shared" si="32"/>
        <v>724016245</v>
      </c>
      <c r="S131" s="201" t="s">
        <v>759</v>
      </c>
      <c r="T131" s="202"/>
      <c r="U131" s="246"/>
      <c r="V131" s="246"/>
      <c r="W131" s="246"/>
      <c r="BA131"/>
      <c r="BB131"/>
    </row>
    <row r="132" spans="1:54" s="191" customFormat="1" ht="13">
      <c r="A132" s="226"/>
      <c r="B132" s="180">
        <v>5005136281</v>
      </c>
      <c r="C132" s="183" t="str">
        <f>IFERROR(IF(VLOOKUP($B132,勘定科目!$A:$H,HLOOKUP($E$5,勘定科目!$F$1:$H$2,2,0),0)="","",VLOOKUP($B132,勘定科目!$A:$E,2,0)),"")</f>
        <v>通信費（製）</v>
      </c>
      <c r="D132" s="239" t="str">
        <f>IF(C132="","",VLOOKUP($B132,勘定科目!$A:$E,4,0))</f>
        <v>通信費</v>
      </c>
      <c r="E132" s="245"/>
      <c r="F132" s="194">
        <v>7380000</v>
      </c>
      <c r="G132" s="194">
        <v>7380000</v>
      </c>
      <c r="H132" s="194">
        <v>7380000</v>
      </c>
      <c r="I132" s="194">
        <v>7380000</v>
      </c>
      <c r="J132" s="194">
        <v>7380000</v>
      </c>
      <c r="K132" s="194">
        <v>7380000</v>
      </c>
      <c r="L132" s="194">
        <v>7380000</v>
      </c>
      <c r="M132" s="194">
        <v>7380000</v>
      </c>
      <c r="N132" s="194">
        <v>7380000</v>
      </c>
      <c r="O132" s="194">
        <v>7380000</v>
      </c>
      <c r="P132" s="194">
        <v>7380000</v>
      </c>
      <c r="Q132" s="194">
        <v>7380000</v>
      </c>
      <c r="R132" s="200">
        <f t="shared" si="32"/>
        <v>88560000</v>
      </c>
      <c r="S132" s="201" t="s">
        <v>760</v>
      </c>
      <c r="T132" s="202"/>
      <c r="U132" s="246"/>
      <c r="V132" s="246"/>
      <c r="W132" s="246"/>
      <c r="BA132"/>
      <c r="BB132"/>
    </row>
    <row r="133" spans="1:54" s="191" customFormat="1" ht="13">
      <c r="A133" s="226"/>
      <c r="B133" s="180">
        <v>5005136291</v>
      </c>
      <c r="C133" s="183" t="str">
        <f>IFERROR(IF(VLOOKUP($B133,勘定科目!$A:$H,HLOOKUP($E$5,勘定科目!$F$1:$H$2,2,0),0)="","",VLOOKUP($B133,勘定科目!$A:$E,2,0)),"")</f>
        <v>郵送代（製）</v>
      </c>
      <c r="D133" s="239" t="str">
        <f>IF(C133="","",VLOOKUP($B133,勘定科目!$A:$E,4,0))</f>
        <v>通信費</v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32"/>
        <v>0</v>
      </c>
      <c r="S133" s="201" t="s">
        <v>761</v>
      </c>
      <c r="T133" s="202"/>
      <c r="U133" s="246"/>
      <c r="V133" s="246"/>
      <c r="W133" s="246"/>
      <c r="BA133"/>
      <c r="BB133"/>
    </row>
    <row r="134" spans="1:54" s="191" customFormat="1" ht="13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32"/>
        <v>0</v>
      </c>
      <c r="S134" s="201"/>
      <c r="T134" s="202"/>
      <c r="U134" s="246"/>
      <c r="V134" s="246"/>
      <c r="W134" s="246"/>
      <c r="BA134"/>
      <c r="BB134"/>
    </row>
    <row r="135" spans="1:54" s="191" customFormat="1" ht="13">
      <c r="A135" s="226"/>
      <c r="B135" s="180">
        <v>5005186292</v>
      </c>
      <c r="C135" s="183" t="str">
        <f>IFERROR(IF(VLOOKUP($B135,勘定科目!$A:$H,HLOOKUP($E$5,勘定科目!$F$1:$H$2,2,0),0)="","",VLOOKUP($B135,勘定科目!$A:$E,2,0)),"")</f>
        <v>その他税金（製）</v>
      </c>
      <c r="D135" s="239" t="str">
        <f>IF(C135="","",VLOOKUP($B135,勘定科目!$A:$E,4,0))</f>
        <v>公租公課</v>
      </c>
      <c r="E135" s="245"/>
      <c r="F135" s="194">
        <v>1000000</v>
      </c>
      <c r="G135" s="194">
        <v>1000000</v>
      </c>
      <c r="H135" s="194">
        <v>1000000</v>
      </c>
      <c r="I135" s="194">
        <v>1000000</v>
      </c>
      <c r="J135" s="194">
        <v>1000000</v>
      </c>
      <c r="K135" s="194">
        <v>1000000</v>
      </c>
      <c r="L135" s="194">
        <v>1000000</v>
      </c>
      <c r="M135" s="194">
        <v>1000000</v>
      </c>
      <c r="N135" s="194">
        <v>1000000</v>
      </c>
      <c r="O135" s="194">
        <v>1000000</v>
      </c>
      <c r="P135" s="194">
        <v>1000000</v>
      </c>
      <c r="Q135" s="194">
        <v>1000000</v>
      </c>
      <c r="R135" s="200">
        <f t="shared" si="32"/>
        <v>12000000</v>
      </c>
      <c r="S135" s="201" t="s">
        <v>762</v>
      </c>
      <c r="T135" s="202"/>
      <c r="U135" s="246"/>
      <c r="V135" s="246"/>
      <c r="W135" s="246"/>
      <c r="BA135"/>
      <c r="BB135"/>
    </row>
    <row r="136" spans="1:54" s="191" customFormat="1" ht="13">
      <c r="A136" s="226"/>
      <c r="B136" s="180">
        <v>7001075118</v>
      </c>
      <c r="C136" s="183" t="str">
        <f>IFERROR(IF(VLOOKUP($B136,勘定科目!$A:$H,HLOOKUP($E$5,勘定科目!$F$1:$H$2,2,0),0)="","",VLOOKUP($B136,勘定科目!$A:$E,2,0)),"")</f>
        <v>雑収入（関係会社）</v>
      </c>
      <c r="D136" s="239" t="str">
        <f>IF(C136="","",VLOOKUP($B136,勘定科目!$A:$E,4,0))</f>
        <v>雑収入</v>
      </c>
      <c r="E136" s="245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200">
        <f t="shared" si="32"/>
        <v>0</v>
      </c>
      <c r="S136" s="201" t="s">
        <v>763</v>
      </c>
      <c r="T136" s="202"/>
      <c r="U136" s="246"/>
      <c r="V136" s="246"/>
      <c r="W136" s="246"/>
      <c r="BA136"/>
      <c r="BB136"/>
    </row>
    <row r="137" spans="1:54" s="191" customFormat="1" ht="13">
      <c r="A137" s="226"/>
      <c r="B137" s="180">
        <v>7002048112</v>
      </c>
      <c r="C137" s="183" t="str">
        <f>IFERROR(IF(VLOOKUP($B137,勘定科目!$A:$H,HLOOKUP($E$5,勘定科目!$F$1:$H$2,2,0),0)="","",VLOOKUP($B137,勘定科目!$A:$E,2,0)),"")</f>
        <v>棚卸資産廃棄損</v>
      </c>
      <c r="D137" s="239" t="str">
        <f>IF(C137="","",VLOOKUP($B137,勘定科目!$A:$E,4,0))</f>
        <v>棚卸資産廃棄損</v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32"/>
        <v>0</v>
      </c>
      <c r="S137" s="201" t="s">
        <v>764</v>
      </c>
      <c r="T137" s="202"/>
      <c r="U137" s="246"/>
      <c r="V137" s="246"/>
      <c r="W137" s="246"/>
      <c r="BA137"/>
      <c r="BB137"/>
    </row>
    <row r="138" spans="1:54" s="191" customFormat="1" ht="13">
      <c r="A138" s="226"/>
      <c r="B138" s="180">
        <v>7002048112</v>
      </c>
      <c r="C138" s="183" t="str">
        <f>IFERROR(IF(VLOOKUP($B138,勘定科目!$A:$H,HLOOKUP($E$5,勘定科目!$F$1:$H$2,2,0),0)="","",VLOOKUP($B138,勘定科目!$A:$E,2,0)),"")</f>
        <v>棚卸資産廃棄損</v>
      </c>
      <c r="D138" s="239" t="str">
        <f>IF(C138="","",VLOOKUP($B138,勘定科目!$A:$E,4,0))</f>
        <v>棚卸資産廃棄損</v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32"/>
        <v>0</v>
      </c>
      <c r="S138" s="201" t="s">
        <v>765</v>
      </c>
      <c r="T138" s="202"/>
      <c r="U138" s="246"/>
      <c r="V138" s="246"/>
      <c r="W138" s="246"/>
      <c r="BA138"/>
      <c r="BB138"/>
    </row>
    <row r="139" spans="1:54" s="191" customFormat="1" ht="13">
      <c r="A139" s="226"/>
      <c r="B139" s="180">
        <v>5005076286</v>
      </c>
      <c r="C139" s="183" t="str">
        <f>IFERROR(IF(VLOOKUP($B139,勘定科目!$A:$H,HLOOKUP($E$5,勘定科目!$F$1:$H$2,2,0),0)="","",VLOOKUP($B139,勘定科目!$A:$E,2,0)),"")</f>
        <v>部品集荷トラック代</v>
      </c>
      <c r="D139" s="239" t="str">
        <f>IF(C139="","",VLOOKUP($B139,勘定科目!$A:$E,4,0))</f>
        <v>荷造運賃</v>
      </c>
      <c r="E139" s="245"/>
      <c r="F139" s="194">
        <v>4448628030</v>
      </c>
      <c r="G139" s="247">
        <v>4226196629</v>
      </c>
      <c r="H139" s="247">
        <v>4671059432</v>
      </c>
      <c r="I139" s="247">
        <v>5115922235</v>
      </c>
      <c r="J139" s="247">
        <v>4448628030</v>
      </c>
      <c r="K139" s="247">
        <v>4226196629</v>
      </c>
      <c r="L139" s="247">
        <v>5115922235</v>
      </c>
      <c r="M139" s="247">
        <v>4448628030</v>
      </c>
      <c r="N139" s="247">
        <v>4893490833</v>
      </c>
      <c r="O139" s="247">
        <v>4448628030</v>
      </c>
      <c r="P139" s="247">
        <v>3336471023</v>
      </c>
      <c r="Q139" s="247">
        <v>4671059432</v>
      </c>
      <c r="R139" s="200">
        <f t="shared" si="32"/>
        <v>54050830568</v>
      </c>
      <c r="S139" s="201" t="s">
        <v>766</v>
      </c>
      <c r="T139" s="202"/>
      <c r="U139" s="246"/>
      <c r="V139" s="246"/>
      <c r="W139" s="246"/>
      <c r="BA139"/>
      <c r="BB139"/>
    </row>
    <row r="140" spans="1:54" s="191" customFormat="1" ht="13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32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">
      <c r="A141" s="226"/>
      <c r="B141" s="180">
        <v>5005256291</v>
      </c>
      <c r="C141" s="183" t="str">
        <f>IFERROR(IF(VLOOKUP($B141,勘定科目!$A:$H,HLOOKUP($E$5,勘定科目!$F$1:$H$2,2,0),0)="","",VLOOKUP($B141,勘定科目!$A:$E,2,0)),"")</f>
        <v>棚卸減耗費（製）</v>
      </c>
      <c r="D141" s="239" t="str">
        <f>IF(C141="","",VLOOKUP($B141,勘定科目!$A:$E,4,0))</f>
        <v>棚卸減耗費</v>
      </c>
      <c r="E141" s="245"/>
      <c r="F141" s="194">
        <v>35546000</v>
      </c>
      <c r="G141" s="247">
        <v>35546000</v>
      </c>
      <c r="H141" s="247">
        <v>35546000</v>
      </c>
      <c r="I141" s="247">
        <v>35546000</v>
      </c>
      <c r="J141" s="247">
        <v>76170000</v>
      </c>
      <c r="K141" s="247">
        <v>7617000</v>
      </c>
      <c r="L141" s="247">
        <v>30594950</v>
      </c>
      <c r="M141" s="247">
        <v>35546000</v>
      </c>
      <c r="N141" s="247">
        <v>35546000</v>
      </c>
      <c r="O141" s="247">
        <v>35546000</v>
      </c>
      <c r="P141" s="247">
        <v>50780000</v>
      </c>
      <c r="Q141" s="247">
        <v>7617000</v>
      </c>
      <c r="R141" s="200">
        <f t="shared" si="32"/>
        <v>421600950</v>
      </c>
      <c r="S141" s="201" t="s">
        <v>767</v>
      </c>
      <c r="T141" s="202"/>
      <c r="U141" s="246"/>
      <c r="V141" s="246"/>
      <c r="W141" s="246"/>
      <c r="BA141"/>
      <c r="BB141"/>
    </row>
    <row r="142" spans="1:54" s="191" customFormat="1" ht="13">
      <c r="A142" s="226"/>
      <c r="B142" s="180">
        <v>7002048112</v>
      </c>
      <c r="C142" s="183" t="str">
        <f>IFERROR(IF(VLOOKUP($B142,勘定科目!$A:$H,HLOOKUP($E$5,勘定科目!$F$1:$H$2,2,0),0)="","",VLOOKUP($B142,勘定科目!$A:$E,2,0)),"")</f>
        <v>棚卸資産廃棄損</v>
      </c>
      <c r="D142" s="239" t="str">
        <f>IF(C142="","",VLOOKUP($B142,勘定科目!$A:$E,4,0))</f>
        <v>棚卸資産廃棄損</v>
      </c>
      <c r="E142" s="245"/>
      <c r="F142" s="194">
        <v>325660595</v>
      </c>
      <c r="G142" s="247">
        <v>325660595</v>
      </c>
      <c r="H142" s="247">
        <v>325660595</v>
      </c>
      <c r="I142" s="247">
        <v>452610595</v>
      </c>
      <c r="J142" s="247">
        <v>452610595</v>
      </c>
      <c r="K142" s="247">
        <v>452610595</v>
      </c>
      <c r="L142" s="247">
        <v>325660595</v>
      </c>
      <c r="M142" s="247">
        <v>325660595</v>
      </c>
      <c r="N142" s="247">
        <v>325660595</v>
      </c>
      <c r="O142" s="247">
        <v>452610595</v>
      </c>
      <c r="P142" s="247">
        <v>325660595</v>
      </c>
      <c r="Q142" s="247">
        <v>325660595</v>
      </c>
      <c r="R142" s="200">
        <f t="shared" si="32"/>
        <v>4415727140</v>
      </c>
      <c r="S142" s="201" t="s">
        <v>768</v>
      </c>
      <c r="T142" s="202"/>
      <c r="U142" s="246"/>
      <c r="V142" s="246"/>
      <c r="W142" s="246"/>
      <c r="BA142"/>
      <c r="BB142"/>
    </row>
    <row r="143" spans="1:54" s="191" customFormat="1" ht="13">
      <c r="A143" s="226"/>
      <c r="B143" s="180">
        <v>5005256291</v>
      </c>
      <c r="C143" s="183" t="str">
        <f>IFERROR(IF(VLOOKUP($B143,勘定科目!$A:$H,HLOOKUP($E$5,勘定科目!$F$1:$H$2,2,0),0)="","",VLOOKUP($B143,勘定科目!$A:$E,2,0)),"")</f>
        <v>棚卸減耗費（製）</v>
      </c>
      <c r="D143" s="239" t="str">
        <f>IF(C143="","",VLOOKUP($B143,勘定科目!$A:$E,4,0))</f>
        <v>棚卸減耗費</v>
      </c>
      <c r="E143" s="245"/>
      <c r="F143" s="194"/>
      <c r="G143" s="247"/>
      <c r="H143" s="247"/>
      <c r="I143" s="247"/>
      <c r="J143" s="247">
        <f>+ROUND(5660.65*25390,0)</f>
        <v>143723904</v>
      </c>
      <c r="K143" s="247"/>
      <c r="L143" s="247"/>
      <c r="M143" s="247"/>
      <c r="N143" s="247"/>
      <c r="O143" s="247"/>
      <c r="P143" s="247">
        <f>+ROUND(5660.65*25390,0)</f>
        <v>143723904</v>
      </c>
      <c r="Q143" s="247"/>
      <c r="R143" s="200">
        <f t="shared" si="32"/>
        <v>287447808</v>
      </c>
      <c r="S143" s="201" t="s">
        <v>769</v>
      </c>
      <c r="T143" s="202"/>
      <c r="U143" s="246"/>
      <c r="V143" s="246"/>
      <c r="W143" s="246"/>
      <c r="BA143"/>
      <c r="BB143"/>
    </row>
    <row r="144" spans="1:54" s="191" customFormat="1" ht="13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32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">
      <c r="A145" s="226"/>
      <c r="B145" s="180">
        <v>5005246286</v>
      </c>
      <c r="C145" s="183" t="str">
        <f>IFERROR(IF(VLOOKUP($B145,勘定科目!$A:$H,HLOOKUP($E$5,勘定科目!$F$1:$H$2,2,0),0)="","",VLOOKUP($B145,勘定科目!$A:$E,2,0)),"")</f>
        <v>その他手数料（製）</v>
      </c>
      <c r="D145" s="239" t="str">
        <f>IF(C145="","",VLOOKUP($B145,勘定科目!$A:$E,4,0))</f>
        <v>手数料</v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32"/>
        <v>0</v>
      </c>
      <c r="S145" s="201" t="s">
        <v>770</v>
      </c>
      <c r="T145" s="202"/>
      <c r="U145" s="246"/>
      <c r="V145" s="246"/>
      <c r="W145" s="246"/>
      <c r="BA145"/>
      <c r="BB145"/>
    </row>
    <row r="146" spans="1:54" s="191" customFormat="1" ht="13">
      <c r="A146" s="226"/>
      <c r="B146" s="180">
        <v>5005246283</v>
      </c>
      <c r="C146" s="183" t="str">
        <f>IFERROR(IF(VLOOKUP($B146,勘定科目!$A:$H,HLOOKUP($E$5,勘定科目!$F$1:$H$2,2,0),0)="","",VLOOKUP($B146,勘定科目!$A:$E,2,0)),"")</f>
        <v>ライセンス料（製）</v>
      </c>
      <c r="D146" s="239" t="str">
        <f>IF(C146="","",VLOOKUP($B146,勘定科目!$A:$E,4,0))</f>
        <v>図書及び事務費</v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32"/>
        <v>0</v>
      </c>
      <c r="S146" s="201" t="s">
        <v>771</v>
      </c>
      <c r="T146" s="202"/>
      <c r="U146" s="246"/>
      <c r="V146" s="246"/>
      <c r="W146" s="246"/>
      <c r="BA146"/>
      <c r="BB146"/>
    </row>
    <row r="147" spans="1:54" s="191" customFormat="1" ht="13">
      <c r="A147" s="226"/>
      <c r="B147" s="180">
        <v>8001037111</v>
      </c>
      <c r="C147" s="183" t="str">
        <f>IFERROR(IF(VLOOKUP($B147,勘定科目!$A:$H,HLOOKUP($E$5,勘定科目!$F$1:$H$2,2,0),0)="","",VLOOKUP($B147,勘定科目!$A:$E,2,0)),"")</f>
        <v>その他特別利益</v>
      </c>
      <c r="D147" s="239" t="str">
        <f>IF(C147="","",VLOOKUP($B147,勘定科目!$A:$E,4,0))</f>
        <v>特別利益</v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32"/>
        <v>0</v>
      </c>
      <c r="S147" s="201" t="s">
        <v>772</v>
      </c>
      <c r="T147" s="202"/>
      <c r="U147" s="246"/>
      <c r="V147" s="246"/>
      <c r="W147" s="246"/>
      <c r="BA147"/>
      <c r="BB147"/>
    </row>
    <row r="148" spans="1:54" s="191" customFormat="1" ht="13">
      <c r="A148" s="226"/>
      <c r="B148" s="180">
        <v>5005246292</v>
      </c>
      <c r="C148" s="183" t="str">
        <f>IFERROR(IF(VLOOKUP($B148,勘定科目!$A:$H,HLOOKUP($E$5,勘定科目!$F$1:$H$2,2,0),0)="","",VLOOKUP($B148,勘定科目!$A:$E,2,0)),"")</f>
        <v>雑費（製）</v>
      </c>
      <c r="D148" s="239" t="str">
        <f>IF(C148="","",VLOOKUP($B148,勘定科目!$A:$E,4,0))</f>
        <v>雑費</v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32"/>
        <v>0</v>
      </c>
      <c r="S148" s="201" t="s">
        <v>773</v>
      </c>
      <c r="T148" s="202"/>
      <c r="U148" s="246"/>
      <c r="V148" s="246"/>
      <c r="W148" s="246"/>
      <c r="BA148"/>
      <c r="BB148"/>
    </row>
    <row r="149" spans="1:54" s="191" customFormat="1" ht="13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32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">
      <c r="A150" s="226"/>
      <c r="B150" s="180">
        <v>5005046281</v>
      </c>
      <c r="C150" s="183" t="str">
        <f>IFERROR(IF(VLOOKUP($B150,勘定科目!$A:$H,HLOOKUP($E$5,勘定科目!$F$1:$H$2,2,0),0)="","",VLOOKUP($B150,勘定科目!$A:$E,2,0)),"")</f>
        <v>機械設備修繕費（製）</v>
      </c>
      <c r="D150" s="239" t="str">
        <f>IF(C150="","",VLOOKUP($B150,勘定科目!$A:$E,4,0))</f>
        <v>修繕費</v>
      </c>
      <c r="E150" s="245"/>
      <c r="F150" s="194">
        <v>55000000</v>
      </c>
      <c r="G150" s="247">
        <v>55000000</v>
      </c>
      <c r="H150" s="247">
        <v>55000000</v>
      </c>
      <c r="I150" s="247">
        <v>55000000</v>
      </c>
      <c r="J150" s="247">
        <v>55000000</v>
      </c>
      <c r="K150" s="247">
        <v>55000000</v>
      </c>
      <c r="L150" s="247">
        <v>55000000</v>
      </c>
      <c r="M150" s="247">
        <v>55000000</v>
      </c>
      <c r="N150" s="247">
        <v>55000000</v>
      </c>
      <c r="O150" s="247">
        <v>55000000</v>
      </c>
      <c r="P150" s="247">
        <v>55000000</v>
      </c>
      <c r="Q150" s="247">
        <v>55000000</v>
      </c>
      <c r="R150" s="200">
        <f t="shared" si="32"/>
        <v>660000000</v>
      </c>
      <c r="S150" s="201" t="s">
        <v>774</v>
      </c>
      <c r="T150" s="202"/>
      <c r="U150" s="246"/>
      <c r="V150" s="246"/>
      <c r="W150" s="246"/>
      <c r="BA150"/>
      <c r="BB150"/>
    </row>
    <row r="151" spans="1:54" s="191" customFormat="1" ht="13">
      <c r="A151" s="226"/>
      <c r="B151" s="180">
        <v>5005046282</v>
      </c>
      <c r="C151" s="183" t="str">
        <f>IFERROR(IF(VLOOKUP($B151,勘定科目!$A:$H,HLOOKUP($E$5,勘定科目!$F$1:$H$2,2,0),0)="","",VLOOKUP($B151,勘定科目!$A:$E,2,0)),"")</f>
        <v>その他修繕費（製）</v>
      </c>
      <c r="D151" s="239" t="str">
        <f>IF(C151="","",VLOOKUP($B151,勘定科目!$A:$E,4,0))</f>
        <v>修繕費</v>
      </c>
      <c r="E151" s="245"/>
      <c r="F151" s="194">
        <v>30000000</v>
      </c>
      <c r="G151" s="247">
        <v>30000000</v>
      </c>
      <c r="H151" s="247">
        <v>30000000</v>
      </c>
      <c r="I151" s="247">
        <v>30000000</v>
      </c>
      <c r="J151" s="247">
        <v>30000000</v>
      </c>
      <c r="K151" s="247">
        <v>30000000</v>
      </c>
      <c r="L151" s="247">
        <v>30000000</v>
      </c>
      <c r="M151" s="247">
        <v>30000000</v>
      </c>
      <c r="N151" s="247">
        <v>30000000</v>
      </c>
      <c r="O151" s="247">
        <v>30000000</v>
      </c>
      <c r="P151" s="247">
        <v>30000000</v>
      </c>
      <c r="Q151" s="247">
        <v>30000000</v>
      </c>
      <c r="R151" s="200">
        <f t="shared" si="32"/>
        <v>360000000</v>
      </c>
      <c r="S151" s="201" t="s">
        <v>774</v>
      </c>
      <c r="T151" s="202"/>
      <c r="U151" s="246"/>
      <c r="V151" s="246"/>
      <c r="W151" s="246"/>
      <c r="BA151"/>
      <c r="BB151"/>
    </row>
    <row r="152" spans="1:54" s="191" customFormat="1" ht="13">
      <c r="A152" s="226"/>
      <c r="B152" s="180">
        <v>5005026371</v>
      </c>
      <c r="C152" s="183" t="str">
        <f>IFERROR(IF(VLOOKUP($B152,勘定科目!$A:$H,HLOOKUP($E$5,勘定科目!$F$1:$H$2,2,0),0)="","",VLOOKUP($B152,勘定科目!$A:$E,2,0)),"")</f>
        <v>消耗工具器具備品費（製）</v>
      </c>
      <c r="D152" s="239" t="str">
        <f>IF(C152="","",VLOOKUP($B152,勘定科目!$A:$E,4,0))</f>
        <v>消耗工具器具備品費</v>
      </c>
      <c r="E152" s="245"/>
      <c r="F152" s="194">
        <v>240000000</v>
      </c>
      <c r="G152" s="247">
        <v>240000000</v>
      </c>
      <c r="H152" s="247">
        <v>240000000</v>
      </c>
      <c r="I152" s="247">
        <v>240000000</v>
      </c>
      <c r="J152" s="247">
        <v>240000000</v>
      </c>
      <c r="K152" s="247">
        <v>240000000</v>
      </c>
      <c r="L152" s="247">
        <v>240000000</v>
      </c>
      <c r="M152" s="247">
        <v>3140000000</v>
      </c>
      <c r="N152" s="247">
        <v>240000000</v>
      </c>
      <c r="O152" s="247">
        <v>240000000</v>
      </c>
      <c r="P152" s="247">
        <v>240000000</v>
      </c>
      <c r="Q152" s="247">
        <v>240000000</v>
      </c>
      <c r="R152" s="200">
        <f t="shared" si="32"/>
        <v>5780000000</v>
      </c>
      <c r="S152" s="201" t="s">
        <v>774</v>
      </c>
      <c r="T152" s="202"/>
      <c r="U152" s="246"/>
      <c r="V152" s="246"/>
      <c r="W152" s="246"/>
      <c r="BA152"/>
      <c r="BB152"/>
    </row>
    <row r="153" spans="1:54" s="191" customFormat="1" ht="13">
      <c r="A153" s="226"/>
      <c r="B153" s="180">
        <v>5005076282</v>
      </c>
      <c r="C153" s="183" t="str">
        <f>IFERROR(IF(VLOOKUP($B153,勘定科目!$A:$H,HLOOKUP($E$5,勘定科目!$F$1:$H$2,2,0),0)="","",VLOOKUP($B153,勘定科目!$A:$E,2,0)),"")</f>
        <v>設備輸送費（製）</v>
      </c>
      <c r="D153" s="239" t="str">
        <f>IF(C153="","",VLOOKUP($B153,勘定科目!$A:$E,4,0))</f>
        <v>荷造運賃</v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32"/>
        <v>0</v>
      </c>
      <c r="S153" s="201" t="s">
        <v>774</v>
      </c>
      <c r="T153" s="202"/>
      <c r="U153" s="246"/>
      <c r="V153" s="246"/>
      <c r="W153" s="246"/>
      <c r="BA153"/>
      <c r="BB153"/>
    </row>
    <row r="154" spans="1:54" s="191" customFormat="1" ht="13">
      <c r="A154" s="226"/>
      <c r="B154" s="180">
        <v>5005246286</v>
      </c>
      <c r="C154" s="183" t="str">
        <f>IFERROR(IF(VLOOKUP($B154,勘定科目!$A:$H,HLOOKUP($E$5,勘定科目!$F$1:$H$2,2,0),0)="","",VLOOKUP($B154,勘定科目!$A:$E,2,0)),"")</f>
        <v>その他手数料（製）</v>
      </c>
      <c r="D154" s="239" t="str">
        <f>IF(C154="","",VLOOKUP($B154,勘定科目!$A:$E,4,0))</f>
        <v>手数料</v>
      </c>
      <c r="E154" s="245"/>
      <c r="F154" s="194">
        <v>10000000</v>
      </c>
      <c r="G154" s="247">
        <v>10000000</v>
      </c>
      <c r="H154" s="247">
        <v>10000000</v>
      </c>
      <c r="I154" s="247">
        <v>10000000</v>
      </c>
      <c r="J154" s="247">
        <v>10000000</v>
      </c>
      <c r="K154" s="247">
        <v>10000000</v>
      </c>
      <c r="L154" s="247">
        <v>10000000</v>
      </c>
      <c r="M154" s="247">
        <v>10000000</v>
      </c>
      <c r="N154" s="247">
        <v>10000000</v>
      </c>
      <c r="O154" s="247">
        <v>10000000</v>
      </c>
      <c r="P154" s="247">
        <v>10000000</v>
      </c>
      <c r="Q154" s="247">
        <v>10000000</v>
      </c>
      <c r="R154" s="200">
        <f t="shared" si="32"/>
        <v>120000000</v>
      </c>
      <c r="S154" s="201" t="s">
        <v>774</v>
      </c>
      <c r="T154" s="202"/>
      <c r="U154" s="246"/>
      <c r="V154" s="246"/>
      <c r="W154" s="246"/>
      <c r="BA154"/>
      <c r="BB154"/>
    </row>
    <row r="155" spans="1:54" s="191" customFormat="1" ht="13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32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">
      <c r="A156" s="226"/>
      <c r="B156" s="180">
        <v>5005046281</v>
      </c>
      <c r="C156" s="183" t="str">
        <f>IFERROR(IF(VLOOKUP($B156,勘定科目!$A:$H,HLOOKUP($E$5,勘定科目!$F$1:$H$2,2,0),0)="","",VLOOKUP($B156,勘定科目!$A:$E,2,0)),"")</f>
        <v>機械設備修繕費（製）</v>
      </c>
      <c r="D156" s="239" t="str">
        <f>IF(C156="","",VLOOKUP($B156,勘定科目!$A:$E,4,0))</f>
        <v>修繕費</v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32"/>
        <v>0</v>
      </c>
      <c r="S156" s="201" t="s">
        <v>775</v>
      </c>
      <c r="T156" s="202"/>
      <c r="U156" s="246"/>
      <c r="V156" s="246"/>
      <c r="W156" s="246"/>
      <c r="BA156"/>
      <c r="BB156"/>
    </row>
    <row r="157" spans="1:54" s="191" customFormat="1" ht="13">
      <c r="A157" s="226"/>
      <c r="B157" s="180">
        <v>5005046282</v>
      </c>
      <c r="C157" s="183" t="str">
        <f>IFERROR(IF(VLOOKUP($B157,勘定科目!$A:$H,HLOOKUP($E$5,勘定科目!$F$1:$H$2,2,0),0)="","",VLOOKUP($B157,勘定科目!$A:$E,2,0)),"")</f>
        <v>その他修繕費（製）</v>
      </c>
      <c r="D157" s="239" t="str">
        <f>IF(C157="","",VLOOKUP($B157,勘定科目!$A:$E,4,0))</f>
        <v>修繕費</v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32"/>
        <v>0</v>
      </c>
      <c r="S157" s="201" t="s">
        <v>775</v>
      </c>
      <c r="T157" s="202"/>
      <c r="U157" s="246"/>
      <c r="V157" s="246"/>
      <c r="W157" s="246"/>
      <c r="BA157"/>
      <c r="BB157"/>
    </row>
    <row r="158" spans="1:54" s="191" customFormat="1" ht="13">
      <c r="A158" s="226"/>
      <c r="B158" s="180">
        <v>5005026371</v>
      </c>
      <c r="C158" s="183" t="str">
        <f>IFERROR(IF(VLOOKUP($B158,勘定科目!$A:$H,HLOOKUP($E$5,勘定科目!$F$1:$H$2,2,0),0)="","",VLOOKUP($B158,勘定科目!$A:$E,2,0)),"")</f>
        <v>消耗工具器具備品費（製）</v>
      </c>
      <c r="D158" s="239" t="str">
        <f>IF(C158="","",VLOOKUP($B158,勘定科目!$A:$E,4,0))</f>
        <v>消耗工具器具備品費</v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32"/>
        <v>0</v>
      </c>
      <c r="S158" s="201" t="s">
        <v>775</v>
      </c>
      <c r="T158" s="202"/>
      <c r="U158" s="246"/>
      <c r="V158" s="246"/>
      <c r="W158" s="246"/>
      <c r="BA158"/>
      <c r="BB158"/>
    </row>
    <row r="159" spans="1:54" s="191" customFormat="1" ht="13">
      <c r="A159" s="226"/>
      <c r="B159" s="180">
        <v>5005076282</v>
      </c>
      <c r="C159" s="183" t="str">
        <f>IFERROR(IF(VLOOKUP($B159,勘定科目!$A:$H,HLOOKUP($E$5,勘定科目!$F$1:$H$2,2,0),0)="","",VLOOKUP($B159,勘定科目!$A:$E,2,0)),"")</f>
        <v>設備輸送費（製）</v>
      </c>
      <c r="D159" s="239" t="str">
        <f>IF(C159="","",VLOOKUP($B159,勘定科目!$A:$E,4,0))</f>
        <v>荷造運賃</v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32"/>
        <v>0</v>
      </c>
      <c r="S159" s="201" t="s">
        <v>775</v>
      </c>
      <c r="T159" s="202"/>
      <c r="U159" s="246"/>
      <c r="V159" s="246"/>
      <c r="W159" s="246"/>
      <c r="BA159"/>
      <c r="BB159"/>
    </row>
    <row r="160" spans="1:54" s="191" customFormat="1" ht="13">
      <c r="A160" s="226"/>
      <c r="B160" s="180">
        <v>5005246286</v>
      </c>
      <c r="C160" s="183" t="str">
        <f>IFERROR(IF(VLOOKUP($B160,勘定科目!$A:$H,HLOOKUP($E$5,勘定科目!$F$1:$H$2,2,0),0)="","",VLOOKUP($B160,勘定科目!$A:$E,2,0)),"")</f>
        <v>その他手数料（製）</v>
      </c>
      <c r="D160" s="239" t="str">
        <f>IF(C160="","",VLOOKUP($B160,勘定科目!$A:$E,4,0))</f>
        <v>手数料</v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32"/>
        <v>0</v>
      </c>
      <c r="S160" s="201" t="s">
        <v>775</v>
      </c>
      <c r="T160" s="202"/>
      <c r="U160" s="246"/>
      <c r="V160" s="246"/>
      <c r="W160" s="246"/>
      <c r="BA160"/>
      <c r="BB160"/>
    </row>
    <row r="161" spans="1:54" s="191" customFormat="1" ht="13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32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">
      <c r="A162" s="226"/>
      <c r="B162" s="180">
        <v>5005046281</v>
      </c>
      <c r="C162" s="183" t="str">
        <f>IFERROR(IF(VLOOKUP($B162,勘定科目!$A:$H,HLOOKUP($E$5,勘定科目!$F$1:$H$2,2,0),0)="","",VLOOKUP($B162,勘定科目!$A:$E,2,0)),"")</f>
        <v>機械設備修繕費（製）</v>
      </c>
      <c r="D162" s="239" t="str">
        <f>IF(C162="","",VLOOKUP($B162,勘定科目!$A:$E,4,0))</f>
        <v>修繕費</v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32"/>
        <v>0</v>
      </c>
      <c r="S162" s="201" t="s">
        <v>776</v>
      </c>
      <c r="T162" s="202"/>
      <c r="U162" s="246"/>
      <c r="V162" s="246"/>
      <c r="W162" s="246"/>
      <c r="BA162"/>
      <c r="BB162"/>
    </row>
    <row r="163" spans="1:54" s="191" customFormat="1" ht="13">
      <c r="A163" s="226"/>
      <c r="B163" s="180">
        <v>5005046282</v>
      </c>
      <c r="C163" s="183" t="str">
        <f>IFERROR(IF(VLOOKUP($B163,勘定科目!$A:$H,HLOOKUP($E$5,勘定科目!$F$1:$H$2,2,0),0)="","",VLOOKUP($B163,勘定科目!$A:$E,2,0)),"")</f>
        <v>その他修繕費（製）</v>
      </c>
      <c r="D163" s="239" t="str">
        <f>IF(C163="","",VLOOKUP($B163,勘定科目!$A:$E,4,0))</f>
        <v>修繕費</v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32"/>
        <v>0</v>
      </c>
      <c r="S163" s="201" t="s">
        <v>776</v>
      </c>
      <c r="T163" s="202"/>
      <c r="U163" s="246"/>
      <c r="V163" s="246"/>
      <c r="W163" s="246"/>
      <c r="BA163"/>
      <c r="BB163"/>
    </row>
    <row r="164" spans="1:54" s="191" customFormat="1" ht="13">
      <c r="A164" s="226"/>
      <c r="B164" s="180">
        <v>5005026371</v>
      </c>
      <c r="C164" s="183" t="str">
        <f>IFERROR(IF(VLOOKUP($B164,勘定科目!$A:$H,HLOOKUP($E$5,勘定科目!$F$1:$H$2,2,0),0)="","",VLOOKUP($B164,勘定科目!$A:$E,2,0)),"")</f>
        <v>消耗工具器具備品費（製）</v>
      </c>
      <c r="D164" s="239" t="str">
        <f>IF(C164="","",VLOOKUP($B164,勘定科目!$A:$E,4,0))</f>
        <v>消耗工具器具備品費</v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32"/>
        <v>0</v>
      </c>
      <c r="S164" s="201" t="s">
        <v>776</v>
      </c>
      <c r="T164" s="202"/>
      <c r="U164" s="246"/>
      <c r="V164" s="246"/>
      <c r="W164" s="246"/>
      <c r="BA164"/>
      <c r="BB164"/>
    </row>
    <row r="165" spans="1:54" s="191" customFormat="1" ht="13">
      <c r="A165" s="226"/>
      <c r="B165" s="180">
        <v>5005076282</v>
      </c>
      <c r="C165" s="183" t="str">
        <f>IFERROR(IF(VLOOKUP($B165,勘定科目!$A:$H,HLOOKUP($E$5,勘定科目!$F$1:$H$2,2,0),0)="","",VLOOKUP($B165,勘定科目!$A:$E,2,0)),"")</f>
        <v>設備輸送費（製）</v>
      </c>
      <c r="D165" s="239" t="str">
        <f>IF(C165="","",VLOOKUP($B165,勘定科目!$A:$E,4,0))</f>
        <v>荷造運賃</v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32"/>
        <v>0</v>
      </c>
      <c r="S165" s="201" t="s">
        <v>776</v>
      </c>
      <c r="T165" s="202"/>
      <c r="U165" s="246"/>
      <c r="V165" s="246"/>
      <c r="W165" s="246"/>
      <c r="BA165"/>
      <c r="BB165"/>
    </row>
    <row r="166" spans="1:54" s="191" customFormat="1" ht="13">
      <c r="A166" s="226"/>
      <c r="B166" s="180">
        <v>5005046283</v>
      </c>
      <c r="C166" s="183" t="str">
        <f>IFERROR(IF(VLOOKUP($B166,勘定科目!$A:$H,HLOOKUP($E$5,勘定科目!$F$1:$H$2,2,0),0)="","",VLOOKUP($B166,勘定科目!$A:$E,2,0)),"")</f>
        <v>年間保守料（製）</v>
      </c>
      <c r="D166" s="239" t="str">
        <f>IF(C166="","",VLOOKUP($B166,勘定科目!$A:$E,4,0))</f>
        <v>修繕費</v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32"/>
        <v>0</v>
      </c>
      <c r="S166" s="201" t="s">
        <v>777</v>
      </c>
      <c r="T166" s="202"/>
      <c r="U166" s="246"/>
      <c r="V166" s="246"/>
      <c r="W166" s="246"/>
      <c r="BA166"/>
      <c r="BB166"/>
    </row>
    <row r="167" spans="1:54" s="191" customFormat="1" ht="13">
      <c r="A167" s="226"/>
      <c r="B167" s="180">
        <v>5005246286</v>
      </c>
      <c r="C167" s="183" t="str">
        <f>IFERROR(IF(VLOOKUP($B167,勘定科目!$A:$H,HLOOKUP($E$5,勘定科目!$F$1:$H$2,2,0),0)="","",VLOOKUP($B167,勘定科目!$A:$E,2,0)),"")</f>
        <v>その他手数料（製）</v>
      </c>
      <c r="D167" s="239" t="str">
        <f>IF(C167="","",VLOOKUP($B167,勘定科目!$A:$E,4,0))</f>
        <v>手数料</v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32"/>
        <v>0</v>
      </c>
      <c r="S167" s="201" t="s">
        <v>776</v>
      </c>
      <c r="T167" s="202"/>
      <c r="U167" s="246"/>
      <c r="V167" s="246"/>
      <c r="W167" s="246"/>
      <c r="BA167"/>
      <c r="BB167"/>
    </row>
    <row r="168" spans="1:54" s="191" customFormat="1" ht="13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32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">
      <c r="A169" s="226"/>
      <c r="B169" s="180">
        <v>5005116291</v>
      </c>
      <c r="C169" s="183" t="str">
        <f>IFERROR(IF(VLOOKUP($B169,勘定科目!$A:$H,HLOOKUP($E$5,勘定科目!$F$1:$H$2,2,0),0)="","",VLOOKUP($B169,勘定科目!$A:$E,2,0)),"")</f>
        <v>ベトナム国内交通費（製）</v>
      </c>
      <c r="D169" s="239" t="str">
        <f>IF(C169="","",VLOOKUP($B169,勘定科目!$A:$E,4,0))</f>
        <v>旅費交通費</v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32"/>
        <v>0</v>
      </c>
      <c r="S169" s="201" t="s">
        <v>778</v>
      </c>
      <c r="T169" s="202"/>
      <c r="U169" s="246"/>
      <c r="V169" s="246"/>
      <c r="W169" s="246"/>
      <c r="BA169"/>
      <c r="BB169"/>
    </row>
    <row r="170" spans="1:54" s="191" customFormat="1" ht="13">
      <c r="A170" s="226"/>
      <c r="B170" s="180">
        <v>5005116291</v>
      </c>
      <c r="C170" s="183" t="str">
        <f>IFERROR(IF(VLOOKUP($B170,勘定科目!$A:$H,HLOOKUP($E$5,勘定科目!$F$1:$H$2,2,0),0)="","",VLOOKUP($B170,勘定科目!$A:$E,2,0)),"")</f>
        <v>ベトナム国内交通費（製）</v>
      </c>
      <c r="D170" s="239" t="str">
        <f>IF(C170="","",VLOOKUP($B170,勘定科目!$A:$E,4,0))</f>
        <v>旅費交通費</v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32"/>
        <v>0</v>
      </c>
      <c r="S170" s="201" t="s">
        <v>779</v>
      </c>
      <c r="T170" s="202"/>
      <c r="U170" s="246"/>
      <c r="V170" s="246"/>
      <c r="W170" s="246"/>
      <c r="BA170"/>
      <c r="BB170"/>
    </row>
    <row r="171" spans="1:54" s="191" customFormat="1" ht="13">
      <c r="A171" s="226"/>
      <c r="B171" s="180">
        <v>5004086293</v>
      </c>
      <c r="C171" s="183" t="str">
        <f>IFERROR(IF(VLOOKUP($B171,勘定科目!$A:$H,HLOOKUP($E$5,勘定科目!$F$1:$H$2,2,0),0)="","",VLOOKUP($B171,勘定科目!$A:$E,2,0)),"")</f>
        <v>教育訓練費（製）</v>
      </c>
      <c r="D171" s="239" t="str">
        <f>IF(C171="","",VLOOKUP($B171,勘定科目!$A:$E,4,0))</f>
        <v>募集教育費</v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32"/>
        <v>0</v>
      </c>
      <c r="S171" s="201" t="s">
        <v>780</v>
      </c>
      <c r="T171" s="202"/>
      <c r="U171" s="246"/>
      <c r="V171" s="246"/>
      <c r="W171" s="246"/>
      <c r="BA171"/>
      <c r="BB171"/>
    </row>
    <row r="172" spans="1:54" s="191" customFormat="1" ht="13">
      <c r="A172" s="226"/>
      <c r="B172" s="180">
        <v>5005246286</v>
      </c>
      <c r="C172" s="183" t="str">
        <f>IFERROR(IF(VLOOKUP($B172,勘定科目!$A:$H,HLOOKUP($E$5,勘定科目!$F$1:$H$2,2,0),0)="","",VLOOKUP($B172,勘定科目!$A:$E,2,0)),"")</f>
        <v>その他手数料（製）</v>
      </c>
      <c r="D172" s="239" t="str">
        <f>IF(C172="","",VLOOKUP($B172,勘定科目!$A:$E,4,0))</f>
        <v>手数料</v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32"/>
        <v>0</v>
      </c>
      <c r="S172" s="201" t="s">
        <v>781</v>
      </c>
      <c r="T172" s="202"/>
      <c r="U172" s="246"/>
      <c r="V172" s="246"/>
      <c r="W172" s="246"/>
      <c r="BA172"/>
      <c r="BB172"/>
    </row>
    <row r="173" spans="1:54" s="191" customFormat="1" ht="13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32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32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32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32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32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32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32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32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32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32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si="32"/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32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ref="R185:R248" si="33">SUM(F185:Q185)</f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33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33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33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33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33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33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33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33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33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33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33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33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33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33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33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33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33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33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33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33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33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33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33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33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33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33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33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33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33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33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33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33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33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33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33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33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33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33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33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33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33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33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33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33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33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33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33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33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33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33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33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33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33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33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33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33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33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33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33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33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33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si="33"/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33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ref="R249:R312" si="34">SUM(F249:Q249)</f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34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34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34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34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34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34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34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34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34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34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34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34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34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34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34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34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34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34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34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34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34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34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34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34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34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34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34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34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34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34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34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34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34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34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34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34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34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34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34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34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34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34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34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34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34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34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34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34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34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34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34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34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34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34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34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34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34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34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34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34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34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si="34"/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34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ref="R313:R376" si="35">SUM(F313:Q313)</f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35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35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35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35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">
      <c r="A318" s="226"/>
      <c r="B318" s="180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194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00">
        <f t="shared" si="35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">
      <c r="A319" s="226"/>
      <c r="B319" s="180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194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00">
        <f t="shared" si="35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35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35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35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35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35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35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35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35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35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35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35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35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35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35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35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35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35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35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35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35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35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35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35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35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35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35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35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35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35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35"/>
        <v>0</v>
      </c>
      <c r="S349" s="201" t="s">
        <v>782</v>
      </c>
      <c r="T349" s="202"/>
      <c r="U349" s="246"/>
      <c r="V349" s="246"/>
      <c r="W349" s="246"/>
      <c r="BA349"/>
      <c r="BB349"/>
    </row>
    <row r="350" spans="1:54" s="191" customFormat="1" ht="13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35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35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35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35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35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35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35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35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35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35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35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35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35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35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35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35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35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35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35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35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35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35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35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35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35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si="35"/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35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ref="R377:R440" si="36">SUM(F377:Q377)</f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36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36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36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36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36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36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36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36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36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36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36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36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36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36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36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36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36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36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36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36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36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36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36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36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36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36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36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36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36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36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36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36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36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36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36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36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36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36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36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36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36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36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36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36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36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36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36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36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36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36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36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36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36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36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36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36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36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36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36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36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36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si="36"/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36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ref="R441:R504" si="37">SUM(F441:Q441)</f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37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37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37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37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37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37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37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37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37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37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37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37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37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37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37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37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37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37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37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37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37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37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37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37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37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37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37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37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37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37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37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37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37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37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37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37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37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37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37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37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37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37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37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37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37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37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37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37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37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37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37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37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37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37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37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37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37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37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37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37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37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si="37"/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37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ref="R505:R568" si="38">SUM(F505:Q505)</f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38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38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38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38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38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38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38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38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38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38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38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38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38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38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38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38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38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38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38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38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38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38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38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38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38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38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38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38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38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38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38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38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38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38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38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38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38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38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38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38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38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38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38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38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38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38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38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38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38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38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38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38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38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38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38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38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38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38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38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38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38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si="38"/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38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ref="R569:R632" si="39">SUM(F569:Q569)</f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39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39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39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39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39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39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39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39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39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39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39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39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39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39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39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39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39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39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39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39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39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39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39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39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39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39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39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39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39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39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39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39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39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39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39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39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39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39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39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39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39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39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39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39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39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39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39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39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39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39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39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39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39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39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39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39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39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39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39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39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39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si="39"/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39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ref="R633:R696" si="40">SUM(F633:Q633)</f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40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40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40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40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40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40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40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40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40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40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40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40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40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40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40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40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40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40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40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40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40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40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40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40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40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40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40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40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40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40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40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40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40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40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40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40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40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40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40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40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40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40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40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40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40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40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40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40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40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40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40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40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40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40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40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40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40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40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40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40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40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si="40"/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40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ref="R697:R760" si="41">SUM(F697:Q697)</f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41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41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41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41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41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41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41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41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41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41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41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41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41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41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41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41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41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41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41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41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41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41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41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41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41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41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41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41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41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41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41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41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41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41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41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41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41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41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41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41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41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41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41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41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41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41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41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41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41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41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41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41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41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41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41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41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41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41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41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41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41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si="41"/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41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ref="R761:R801" si="42">SUM(F761:Q761)</f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42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42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42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42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42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42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42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42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42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42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42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42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42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42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42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42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42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42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42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42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42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42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42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42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42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42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42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42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42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42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42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42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42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42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42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42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42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42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>
        <f t="shared" si="42"/>
        <v>0</v>
      </c>
      <c r="S800" s="201"/>
      <c r="T800" s="202"/>
      <c r="U800" s="246"/>
      <c r="V800" s="246"/>
      <c r="W800" s="246"/>
      <c r="BA800"/>
      <c r="BB800"/>
    </row>
    <row r="801" spans="1:54" s="191" customFormat="1" ht="13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>
        <f t="shared" si="42"/>
        <v>0</v>
      </c>
      <c r="S801" s="201"/>
      <c r="T801" s="202"/>
      <c r="U801" s="246"/>
      <c r="V801" s="246"/>
      <c r="W801" s="246"/>
      <c r="BA801"/>
      <c r="BB801"/>
    </row>
    <row r="802" spans="1:54" s="191" customFormat="1" ht="13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  <row r="1001" spans="1:54" s="191" customFormat="1" ht="13">
      <c r="A1001" s="182"/>
      <c r="B1001" s="178"/>
      <c r="C1001" s="183" t="str">
        <f>IFERROR(IF(VLOOKUP($B1001,勘定科目!$A:$H,HLOOKUP($E$5,勘定科目!$F$1:$H$2,2,0),0)="","",VLOOKUP($B1001,勘定科目!$A:$E,2,0)),"")</f>
        <v/>
      </c>
      <c r="D1001" s="239" t="str">
        <f>IF(C1001="","",VLOOKUP($B1001,勘定科目!$A:$E,4,0))</f>
        <v/>
      </c>
      <c r="E1001" s="245"/>
      <c r="F1001" s="240"/>
      <c r="G1001" s="241"/>
      <c r="H1001" s="241"/>
      <c r="I1001" s="241"/>
      <c r="J1001" s="241"/>
      <c r="K1001" s="241"/>
      <c r="L1001" s="241"/>
      <c r="M1001" s="241"/>
      <c r="N1001" s="241"/>
      <c r="O1001" s="241"/>
      <c r="P1001" s="241"/>
      <c r="Q1001" s="241"/>
      <c r="R1001" s="200"/>
      <c r="S1001" s="201"/>
      <c r="T1001" s="202"/>
      <c r="U1001" s="246"/>
      <c r="V1001" s="246"/>
      <c r="W1001" s="246"/>
      <c r="BA1001"/>
      <c r="BB1001"/>
    </row>
    <row r="1002" spans="1:54" s="191" customFormat="1" ht="13">
      <c r="A1002" s="182"/>
      <c r="B1002" s="178"/>
      <c r="C1002" s="183" t="str">
        <f>IFERROR(IF(VLOOKUP($B1002,勘定科目!$A:$H,HLOOKUP($E$5,勘定科目!$F$1:$H$2,2,0),0)="","",VLOOKUP($B1002,勘定科目!$A:$E,2,0)),"")</f>
        <v/>
      </c>
      <c r="D1002" s="239" t="str">
        <f>IF(C1002="","",VLOOKUP($B1002,勘定科目!$A:$E,4,0))</f>
        <v/>
      </c>
      <c r="E1002" s="245"/>
      <c r="F1002" s="240"/>
      <c r="G1002" s="241"/>
      <c r="H1002" s="241"/>
      <c r="I1002" s="241"/>
      <c r="J1002" s="241"/>
      <c r="K1002" s="241"/>
      <c r="L1002" s="241"/>
      <c r="M1002" s="241"/>
      <c r="N1002" s="241"/>
      <c r="O1002" s="241"/>
      <c r="P1002" s="241"/>
      <c r="Q1002" s="241"/>
      <c r="R1002" s="200"/>
      <c r="S1002" s="201"/>
      <c r="T1002" s="202"/>
      <c r="U1002" s="246"/>
      <c r="V1002" s="246"/>
      <c r="W1002" s="246"/>
      <c r="BA1002"/>
      <c r="BB1002"/>
    </row>
  </sheetData>
  <autoFilter ref="A7:T801" xr:uid="{64F4041A-5262-4634-B0E5-E5E2A404756C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1" xr:uid="{2A27D41E-3720-4B0D-A27A-0C2F9705A876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8041-7105-41EA-91B5-E20DEBDF3D01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"/>
  <cols>
    <col min="1" max="1" width="3.08984375" style="48" customWidth="1"/>
    <col min="2" max="2" width="12.453125" style="48" customWidth="1"/>
    <col min="3" max="3" width="25.08984375" style="48" customWidth="1"/>
    <col min="4" max="4" width="37.26953125" style="48" customWidth="1"/>
    <col min="5" max="18" width="14.08984375" style="48" customWidth="1"/>
    <col min="19" max="19" width="12.7265625" style="57" customWidth="1"/>
    <col min="20" max="16384" width="9" style="48"/>
  </cols>
  <sheetData>
    <row r="1" spans="2:19" ht="16.5">
      <c r="B1" s="53" t="s">
        <v>328</v>
      </c>
      <c r="D1" s="54" t="str">
        <f>'内訳ﾘｽﾄ(4～3月)'!C5</f>
        <v>機器製造2課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6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BFD2FE91-2C44-46A3-98AB-660A6DD7CB7F}"/>
  <phoneticPr fontId="3"/>
  <dataValidations count="1">
    <dataValidation type="list" allowBlank="1" showInputMessage="1" showErrorMessage="1" sqref="S4:S49" xr:uid="{E3C2EAAA-FA6F-4176-8FB5-5E02E5140F6D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1451-6F1D-403C-B3C0-23BE56405019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"/>
  <cols>
    <col min="1" max="1" width="15.36328125" style="106" bestFit="1" customWidth="1"/>
    <col min="2" max="2" width="34.7265625" style="107" bestFit="1" customWidth="1"/>
    <col min="3" max="3" width="32.6328125" style="107" bestFit="1" customWidth="1"/>
    <col min="4" max="4" width="18" style="107" bestFit="1" customWidth="1"/>
    <col min="5" max="5" width="32.6328125" style="107" bestFit="1" customWidth="1"/>
    <col min="6" max="7" width="8.36328125" style="107" bestFit="1" customWidth="1"/>
    <col min="8" max="8" width="9" style="106"/>
    <col min="9" max="9" width="41.26953125" style="107" bestFit="1" customWidth="1"/>
    <col min="10" max="16384" width="9" style="107"/>
  </cols>
  <sheetData>
    <row r="1" spans="1:9" s="84" customFormat="1" ht="11.5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2DA15F68-3D7B-45C8-A858-A88183F049D6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63F2-6B53-4463-9237-30F0698B632B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"/>
  <cols>
    <col min="1" max="1" width="11.6328125" style="294" bestFit="1" customWidth="1"/>
    <col min="2" max="2" width="19" style="291" bestFit="1" customWidth="1"/>
    <col min="3" max="3" width="3.90625" style="292" bestFit="1" customWidth="1"/>
    <col min="4" max="4" width="10.26953125" style="291" bestFit="1" customWidth="1"/>
    <col min="5" max="5" width="9" style="291"/>
    <col min="6" max="6" width="10.90625" style="291" bestFit="1" customWidth="1"/>
    <col min="7" max="7" width="19.453125" style="291" bestFit="1" customWidth="1"/>
    <col min="8" max="8" width="9" style="291"/>
    <col min="9" max="9" width="13.45312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B8843719-64A8-4FB4-961D-08AE681FDA92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FD4F-0775-4E2B-BBBD-80DE48167024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248"/>
  </cols>
  <sheetData>
    <row r="2" spans="1:2">
      <c r="A2" s="123" t="s">
        <v>674</v>
      </c>
      <c r="B2" s="248" t="s">
        <v>401</v>
      </c>
    </row>
    <row r="3" spans="1:2" ht="14.5">
      <c r="A3" s="92">
        <v>4</v>
      </c>
      <c r="B3" s="249">
        <v>20</v>
      </c>
    </row>
    <row r="4" spans="1:2" ht="14.5">
      <c r="A4" s="92">
        <v>5</v>
      </c>
      <c r="B4" s="249">
        <v>19</v>
      </c>
    </row>
    <row r="5" spans="1:2" ht="14.5">
      <c r="A5" s="92">
        <v>6</v>
      </c>
      <c r="B5" s="249">
        <v>21</v>
      </c>
    </row>
    <row r="6" spans="1:2" ht="14.5">
      <c r="A6" s="92">
        <v>7</v>
      </c>
      <c r="B6" s="249">
        <v>23</v>
      </c>
    </row>
    <row r="7" spans="1:2" ht="14.5">
      <c r="A7" s="92">
        <v>8</v>
      </c>
      <c r="B7" s="249">
        <v>20</v>
      </c>
    </row>
    <row r="8" spans="1:2" ht="14.5">
      <c r="A8" s="92">
        <v>9</v>
      </c>
      <c r="B8" s="249">
        <v>19</v>
      </c>
    </row>
    <row r="9" spans="1:2" ht="14.5">
      <c r="A9" s="92">
        <v>10</v>
      </c>
      <c r="B9" s="249">
        <v>23</v>
      </c>
    </row>
    <row r="10" spans="1:2" ht="14.5">
      <c r="A10" s="92">
        <v>11</v>
      </c>
      <c r="B10" s="249">
        <v>20</v>
      </c>
    </row>
    <row r="11" spans="1:2" ht="14.5">
      <c r="A11" s="92">
        <v>12</v>
      </c>
      <c r="B11" s="249">
        <v>22</v>
      </c>
    </row>
    <row r="12" spans="1:2" ht="14.5">
      <c r="A12" s="92">
        <v>1</v>
      </c>
      <c r="B12" s="249">
        <v>20</v>
      </c>
    </row>
    <row r="13" spans="1:2" ht="14.5">
      <c r="A13" s="92">
        <v>2</v>
      </c>
      <c r="B13" s="249">
        <v>15</v>
      </c>
    </row>
    <row r="14" spans="1:2" ht="14.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Thị Thúy Lan(Nguyen Thi Thuy Lan)</cp:lastModifiedBy>
  <cp:lastPrinted>2017-10-06T02:39:42Z</cp:lastPrinted>
  <dcterms:created xsi:type="dcterms:W3CDTF">2002-04-10T08:05:47Z</dcterms:created>
  <dcterms:modified xsi:type="dcterms:W3CDTF">2025-03-25T02:14:36Z</dcterms:modified>
</cp:coreProperties>
</file>