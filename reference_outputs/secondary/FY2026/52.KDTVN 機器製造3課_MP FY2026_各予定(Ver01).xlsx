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0E30EC34-57CC-4461-9DF0-84E25873CB28}" xr6:coauthVersionLast="47" xr6:coauthVersionMax="47" xr10:uidLastSave="{00000000-0000-0000-0000-000000000000}"/>
  <bookViews>
    <workbookView xWindow="-110" yWindow="-110" windowWidth="19420" windowHeight="10300" tabRatio="702" activeTab="2" xr2:uid="{C0455D40-2A54-4B43-BF71-8E86CDF15D20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'内訳ﾘｽﾄ(4～3月)'!$A$7:$T$800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0" l="1"/>
  <c r="H26" i="10"/>
  <c r="G26" i="10"/>
  <c r="Q28" i="10"/>
  <c r="Q27" i="10"/>
  <c r="P28" i="10"/>
  <c r="P26" i="10"/>
  <c r="O28" i="10"/>
  <c r="O27" i="10"/>
  <c r="O26" i="10"/>
  <c r="N28" i="10"/>
  <c r="N27" i="10"/>
  <c r="N26" i="10"/>
  <c r="M27" i="10"/>
  <c r="M26" i="10"/>
  <c r="L28" i="10"/>
  <c r="K28" i="10"/>
  <c r="L27" i="10"/>
  <c r="K27" i="10"/>
  <c r="L26" i="10"/>
  <c r="K26" i="10"/>
  <c r="J28" i="10"/>
  <c r="J27" i="10"/>
  <c r="J26" i="10"/>
  <c r="I28" i="10"/>
  <c r="I27" i="10"/>
  <c r="H28" i="10"/>
  <c r="H27" i="10"/>
  <c r="G28" i="10"/>
  <c r="G27" i="10"/>
  <c r="F28" i="10"/>
  <c r="F27" i="10"/>
  <c r="F2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M111" i="10"/>
  <c r="N110" i="10"/>
  <c r="M109" i="10"/>
  <c r="L108" i="10"/>
  <c r="P108" i="10"/>
  <c r="L107" i="10"/>
  <c r="L106" i="10"/>
  <c r="K105" i="10"/>
  <c r="K104" i="10"/>
  <c r="J103" i="10"/>
  <c r="P103" i="10"/>
  <c r="I102" i="10"/>
  <c r="H101" i="10"/>
  <c r="G101" i="10"/>
  <c r="P100" i="10"/>
  <c r="H99" i="10"/>
  <c r="Q98" i="10"/>
  <c r="F97" i="10"/>
  <c r="F56" i="10" l="1"/>
  <c r="G48" i="10"/>
  <c r="F48" i="10"/>
  <c r="G56" i="10" l="1"/>
  <c r="H48" i="10"/>
  <c r="R130" i="10"/>
  <c r="D130" i="10"/>
  <c r="C130" i="10"/>
  <c r="H56" i="10" l="1"/>
  <c r="I48" i="10"/>
  <c r="P123" i="10"/>
  <c r="P122" i="10"/>
  <c r="P121" i="10"/>
  <c r="P120" i="10"/>
  <c r="O121" i="10"/>
  <c r="O123" i="10"/>
  <c r="O122" i="10"/>
  <c r="O120" i="10"/>
  <c r="M123" i="10"/>
  <c r="M122" i="10"/>
  <c r="M121" i="10"/>
  <c r="M120" i="10"/>
  <c r="L123" i="10"/>
  <c r="L122" i="10"/>
  <c r="L121" i="10"/>
  <c r="L120" i="10"/>
  <c r="K123" i="10"/>
  <c r="K122" i="10"/>
  <c r="K121" i="10"/>
  <c r="K120" i="10"/>
  <c r="P119" i="10"/>
  <c r="O119" i="10"/>
  <c r="M119" i="10"/>
  <c r="L119" i="10"/>
  <c r="K119" i="10"/>
  <c r="Q118" i="10"/>
  <c r="P118" i="10"/>
  <c r="N118" i="10"/>
  <c r="M118" i="10"/>
  <c r="L118" i="10"/>
  <c r="I56" i="10" l="1"/>
  <c r="J48" i="10"/>
  <c r="J144" i="10"/>
  <c r="Q144" i="10"/>
  <c r="J56" i="10" l="1"/>
  <c r="K48" i="10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89" i="10" s="1"/>
  <c r="D989" i="10" s="1"/>
  <c r="D5" i="10"/>
  <c r="H2" i="36"/>
  <c r="G2" i="36"/>
  <c r="F2" i="36"/>
  <c r="N98" i="5"/>
  <c r="M98" i="5"/>
  <c r="M98" i="32" s="1"/>
  <c r="L98" i="5"/>
  <c r="K98" i="5"/>
  <c r="J98" i="5"/>
  <c r="J98" i="32" s="1"/>
  <c r="I98" i="5"/>
  <c r="I98" i="32" s="1"/>
  <c r="H98" i="5"/>
  <c r="G98" i="5"/>
  <c r="F98" i="5"/>
  <c r="F98" i="32" s="1"/>
  <c r="E98" i="5"/>
  <c r="E98" i="32" s="1"/>
  <c r="D98" i="5"/>
  <c r="C98" i="5"/>
  <c r="C98" i="32"/>
  <c r="N97" i="5"/>
  <c r="N99" i="5" s="1"/>
  <c r="M97" i="5"/>
  <c r="L97" i="5"/>
  <c r="L97" i="32" s="1"/>
  <c r="K97" i="5"/>
  <c r="K97" i="32" s="1"/>
  <c r="J97" i="5"/>
  <c r="J97" i="32" s="1"/>
  <c r="I97" i="5"/>
  <c r="I97" i="32" s="1"/>
  <c r="H97" i="5"/>
  <c r="H99" i="5" s="1"/>
  <c r="G97" i="5"/>
  <c r="G97" i="32" s="1"/>
  <c r="F97" i="5"/>
  <c r="E97" i="5"/>
  <c r="D97" i="5"/>
  <c r="D99" i="5" s="1"/>
  <c r="C97" i="5"/>
  <c r="N93" i="5"/>
  <c r="N93" i="32" s="1"/>
  <c r="M93" i="5"/>
  <c r="M93" i="32" s="1"/>
  <c r="L93" i="5"/>
  <c r="L93" i="32" s="1"/>
  <c r="K93" i="5"/>
  <c r="J93" i="5"/>
  <c r="J93" i="32" s="1"/>
  <c r="I93" i="5"/>
  <c r="I93" i="32" s="1"/>
  <c r="H93" i="5"/>
  <c r="H94" i="5" s="1"/>
  <c r="G93" i="5"/>
  <c r="G93" i="32" s="1"/>
  <c r="F93" i="5"/>
  <c r="F93" i="32" s="1"/>
  <c r="E93" i="5"/>
  <c r="D93" i="5"/>
  <c r="C93" i="5"/>
  <c r="C93" i="32" s="1"/>
  <c r="N92" i="5"/>
  <c r="N94" i="5" s="1"/>
  <c r="M92" i="5"/>
  <c r="M92" i="32" s="1"/>
  <c r="L92" i="5"/>
  <c r="L92" i="32" s="1"/>
  <c r="L94" i="32" s="1"/>
  <c r="K92" i="5"/>
  <c r="K92" i="32" s="1"/>
  <c r="J92" i="5"/>
  <c r="I92" i="5"/>
  <c r="I92" i="32" s="1"/>
  <c r="H92" i="5"/>
  <c r="H92" i="32" s="1"/>
  <c r="G92" i="5"/>
  <c r="G92" i="32" s="1"/>
  <c r="F92" i="5"/>
  <c r="F92" i="32" s="1"/>
  <c r="E92" i="5"/>
  <c r="E92" i="32" s="1"/>
  <c r="D92" i="5"/>
  <c r="D94" i="5" s="1"/>
  <c r="C92" i="5"/>
  <c r="C94" i="5" s="1"/>
  <c r="N88" i="5"/>
  <c r="N88" i="32"/>
  <c r="M88" i="5"/>
  <c r="M88" i="32" s="1"/>
  <c r="L88" i="5"/>
  <c r="K88" i="5"/>
  <c r="K88" i="32" s="1"/>
  <c r="J88" i="5"/>
  <c r="I88" i="5"/>
  <c r="I88" i="32"/>
  <c r="H88" i="5"/>
  <c r="G88" i="5"/>
  <c r="G88" i="32" s="1"/>
  <c r="F88" i="5"/>
  <c r="F88" i="32" s="1"/>
  <c r="E88" i="5"/>
  <c r="E88" i="32" s="1"/>
  <c r="D88" i="5"/>
  <c r="C88" i="5"/>
  <c r="C88" i="32"/>
  <c r="N87" i="5"/>
  <c r="M87" i="5"/>
  <c r="L87" i="5"/>
  <c r="K87" i="5"/>
  <c r="J87" i="5"/>
  <c r="J89" i="5" s="1"/>
  <c r="I87" i="5"/>
  <c r="H87" i="5"/>
  <c r="H89" i="5" s="1"/>
  <c r="G87" i="5"/>
  <c r="G89" i="5" s="1"/>
  <c r="F87" i="5"/>
  <c r="E87" i="5"/>
  <c r="D87" i="5"/>
  <c r="D89" i="5" s="1"/>
  <c r="C87" i="5"/>
  <c r="N74" i="5"/>
  <c r="M74" i="5"/>
  <c r="M74" i="32" s="1"/>
  <c r="L74" i="5"/>
  <c r="K74" i="5"/>
  <c r="K74" i="32" s="1"/>
  <c r="J74" i="5"/>
  <c r="I74" i="5"/>
  <c r="I74" i="32" s="1"/>
  <c r="H74" i="5"/>
  <c r="G74" i="5"/>
  <c r="F74" i="5"/>
  <c r="E74" i="5"/>
  <c r="D74" i="5"/>
  <c r="D74" i="32" s="1"/>
  <c r="C74" i="5"/>
  <c r="N68" i="5"/>
  <c r="M68" i="5"/>
  <c r="L68" i="5"/>
  <c r="L68" i="32" s="1"/>
  <c r="K68" i="5"/>
  <c r="J68" i="5"/>
  <c r="J68" i="32" s="1"/>
  <c r="I68" i="5"/>
  <c r="H68" i="5"/>
  <c r="H68" i="32" s="1"/>
  <c r="G68" i="5"/>
  <c r="G68" i="32" s="1"/>
  <c r="F68" i="5"/>
  <c r="E68" i="5"/>
  <c r="D68" i="5"/>
  <c r="C68" i="5"/>
  <c r="C68" i="32" s="1"/>
  <c r="I99" i="5"/>
  <c r="N89" i="5"/>
  <c r="F89" i="5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5" i="10"/>
  <c r="R54" i="10"/>
  <c r="R53" i="10"/>
  <c r="R52" i="10"/>
  <c r="R51" i="10"/>
  <c r="R50" i="10"/>
  <c r="R49" i="10"/>
  <c r="R47" i="10"/>
  <c r="R46" i="10"/>
  <c r="R45" i="10"/>
  <c r="R44" i="10"/>
  <c r="R43" i="10"/>
  <c r="R42" i="10"/>
  <c r="R41" i="10"/>
  <c r="R40" i="10"/>
  <c r="R39" i="10"/>
  <c r="Q29" i="10"/>
  <c r="P29" i="10"/>
  <c r="O29" i="10"/>
  <c r="N29" i="10"/>
  <c r="M29" i="10"/>
  <c r="L29" i="10"/>
  <c r="K29" i="10"/>
  <c r="J29" i="10"/>
  <c r="J5" i="10" s="1"/>
  <c r="I29" i="10"/>
  <c r="I5" i="10" s="1"/>
  <c r="H29" i="10"/>
  <c r="G29" i="10"/>
  <c r="G5" i="10" s="1"/>
  <c r="AG33" i="10"/>
  <c r="AF33" i="10"/>
  <c r="AE33" i="10"/>
  <c r="AD33" i="10"/>
  <c r="M28" i="10"/>
  <c r="AC33" i="10" s="1"/>
  <c r="AB33" i="10"/>
  <c r="AA33" i="10"/>
  <c r="Y33" i="10"/>
  <c r="X33" i="10"/>
  <c r="W33" i="10"/>
  <c r="AG32" i="10"/>
  <c r="P27" i="10"/>
  <c r="AF32" i="10" s="1"/>
  <c r="AE32" i="10"/>
  <c r="AD32" i="10"/>
  <c r="AC32" i="10"/>
  <c r="AB32" i="10"/>
  <c r="AA32" i="10"/>
  <c r="Z32" i="10"/>
  <c r="Y32" i="10"/>
  <c r="X32" i="10"/>
  <c r="W32" i="10"/>
  <c r="AG31" i="10"/>
  <c r="AF31" i="10"/>
  <c r="AE31" i="10"/>
  <c r="AD31" i="10"/>
  <c r="AC31" i="10"/>
  <c r="AB31" i="10"/>
  <c r="AA31" i="10"/>
  <c r="Z31" i="10"/>
  <c r="I26" i="10"/>
  <c r="Y31" i="10" s="1"/>
  <c r="W31" i="10"/>
  <c r="R36" i="10"/>
  <c r="F29" i="10"/>
  <c r="F5" i="10" s="1"/>
  <c r="V33" i="10"/>
  <c r="V31" i="10"/>
  <c r="C1" i="5"/>
  <c r="C1" i="32" s="1"/>
  <c r="R38" i="10"/>
  <c r="R37" i="10"/>
  <c r="R35" i="10"/>
  <c r="R25" i="10"/>
  <c r="O88" i="5" s="1"/>
  <c r="R24" i="10"/>
  <c r="O87" i="5"/>
  <c r="R23" i="10"/>
  <c r="R22" i="10"/>
  <c r="R21" i="10"/>
  <c r="R20" i="10"/>
  <c r="O75" i="5" s="1"/>
  <c r="R19" i="10"/>
  <c r="R18" i="10"/>
  <c r="R17" i="10"/>
  <c r="R16" i="10"/>
  <c r="O97" i="5"/>
  <c r="R15" i="10"/>
  <c r="R14" i="10"/>
  <c r="R13" i="10"/>
  <c r="O70" i="5" s="1"/>
  <c r="R12" i="10"/>
  <c r="R11" i="10"/>
  <c r="R10" i="10"/>
  <c r="R9" i="10"/>
  <c r="O93" i="5"/>
  <c r="R8" i="10"/>
  <c r="N74" i="32"/>
  <c r="H74" i="32"/>
  <c r="N68" i="32"/>
  <c r="F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H87" i="32"/>
  <c r="L87" i="32"/>
  <c r="N87" i="32"/>
  <c r="N89" i="32"/>
  <c r="D88" i="32"/>
  <c r="D89" i="32"/>
  <c r="H88" i="32"/>
  <c r="J88" i="32"/>
  <c r="D93" i="32"/>
  <c r="L98" i="32"/>
  <c r="D4" i="32"/>
  <c r="E4" i="32"/>
  <c r="F4" i="32"/>
  <c r="G4" i="32"/>
  <c r="H4" i="32"/>
  <c r="I4" i="32"/>
  <c r="J4" i="32"/>
  <c r="K4" i="32"/>
  <c r="L4" i="32"/>
  <c r="M4" i="32"/>
  <c r="N4" i="32"/>
  <c r="O4" i="32"/>
  <c r="N97" i="32"/>
  <c r="F97" i="32"/>
  <c r="F99" i="32" s="1"/>
  <c r="L88" i="32"/>
  <c r="L89" i="32" s="1"/>
  <c r="J87" i="32"/>
  <c r="J89" i="32"/>
  <c r="F87" i="32"/>
  <c r="H98" i="32"/>
  <c r="D98" i="32"/>
  <c r="O98" i="32" s="1"/>
  <c r="L74" i="32"/>
  <c r="D92" i="32"/>
  <c r="O98" i="5"/>
  <c r="O99" i="5" s="1"/>
  <c r="O92" i="5"/>
  <c r="E68" i="32"/>
  <c r="I68" i="32"/>
  <c r="K68" i="32"/>
  <c r="M68" i="32"/>
  <c r="C74" i="32"/>
  <c r="E74" i="32"/>
  <c r="G74" i="32"/>
  <c r="J74" i="32"/>
  <c r="C87" i="32"/>
  <c r="C89" i="5"/>
  <c r="G87" i="32"/>
  <c r="O87" i="32" s="1"/>
  <c r="O89" i="32" s="1"/>
  <c r="K87" i="32"/>
  <c r="K89" i="5"/>
  <c r="K93" i="32"/>
  <c r="K98" i="32"/>
  <c r="N98" i="32"/>
  <c r="L99" i="5"/>
  <c r="D68" i="32"/>
  <c r="F74" i="32"/>
  <c r="E87" i="32"/>
  <c r="E89" i="5"/>
  <c r="I87" i="32"/>
  <c r="I89" i="32" s="1"/>
  <c r="I89" i="5"/>
  <c r="M87" i="32"/>
  <c r="M89" i="32" s="1"/>
  <c r="M89" i="5"/>
  <c r="C97" i="32"/>
  <c r="C99" i="32" s="1"/>
  <c r="C99" i="5"/>
  <c r="G98" i="32"/>
  <c r="G99" i="5"/>
  <c r="E97" i="32"/>
  <c r="E99" i="32" s="1"/>
  <c r="E99" i="5"/>
  <c r="L89" i="5"/>
  <c r="I94" i="5"/>
  <c r="J92" i="32"/>
  <c r="H89" i="32"/>
  <c r="C847" i="10"/>
  <c r="D847" i="10" s="1"/>
  <c r="C984" i="10"/>
  <c r="D984" i="10"/>
  <c r="C858" i="10"/>
  <c r="D858" i="10" s="1"/>
  <c r="C875" i="10"/>
  <c r="D875" i="10" s="1"/>
  <c r="C909" i="10"/>
  <c r="D909" i="10" s="1"/>
  <c r="C950" i="10"/>
  <c r="D950" i="10"/>
  <c r="C338" i="10"/>
  <c r="D338" i="10" s="1"/>
  <c r="C218" i="10"/>
  <c r="D218" i="10" s="1"/>
  <c r="C396" i="10"/>
  <c r="D396" i="10" s="1"/>
  <c r="C735" i="10"/>
  <c r="D735" i="10" s="1"/>
  <c r="C121" i="10"/>
  <c r="D121" i="10" s="1"/>
  <c r="C169" i="10"/>
  <c r="D169" i="10" s="1"/>
  <c r="C423" i="10"/>
  <c r="D423" i="10" s="1"/>
  <c r="C387" i="10"/>
  <c r="D387" i="10"/>
  <c r="C745" i="10"/>
  <c r="D745" i="10" s="1"/>
  <c r="C142" i="10"/>
  <c r="D142" i="10" s="1"/>
  <c r="C242" i="10"/>
  <c r="D242" i="10" s="1"/>
  <c r="C442" i="10"/>
  <c r="D442" i="10"/>
  <c r="C405" i="10"/>
  <c r="D405" i="10" s="1"/>
  <c r="C656" i="10"/>
  <c r="D656" i="10" s="1"/>
  <c r="C602" i="10"/>
  <c r="D602" i="10" s="1"/>
  <c r="C850" i="10"/>
  <c r="D850" i="10"/>
  <c r="C983" i="10"/>
  <c r="D983" i="10" s="1"/>
  <c r="C137" i="10"/>
  <c r="D137" i="10" s="1"/>
  <c r="C671" i="10"/>
  <c r="D671" i="10" s="1"/>
  <c r="C994" i="10"/>
  <c r="D994" i="10" s="1"/>
  <c r="C74" i="10"/>
  <c r="D74" i="10" s="1"/>
  <c r="C611" i="10"/>
  <c r="D611" i="10" s="1"/>
  <c r="C536" i="10"/>
  <c r="D536" i="10" s="1"/>
  <c r="C668" i="10"/>
  <c r="D668" i="10"/>
  <c r="C471" i="10"/>
  <c r="D471" i="10" s="1"/>
  <c r="C830" i="10"/>
  <c r="D830" i="10" s="1"/>
  <c r="C908" i="10"/>
  <c r="D908" i="10" s="1"/>
  <c r="C131" i="10"/>
  <c r="D131" i="10" s="1"/>
  <c r="C747" i="10"/>
  <c r="D747" i="10" s="1"/>
  <c r="C87" i="10"/>
  <c r="D87" i="10" s="1"/>
  <c r="C66" i="10"/>
  <c r="D66" i="10" s="1"/>
  <c r="C728" i="10"/>
  <c r="D728" i="10"/>
  <c r="C571" i="10"/>
  <c r="D571" i="10" s="1"/>
  <c r="C624" i="10"/>
  <c r="D624" i="10" s="1"/>
  <c r="C697" i="10"/>
  <c r="D697" i="10" s="1"/>
  <c r="C775" i="10"/>
  <c r="D775" i="10" s="1"/>
  <c r="C304" i="10"/>
  <c r="D304" i="10" s="1"/>
  <c r="C948" i="10"/>
  <c r="D948" i="10" s="1"/>
  <c r="C456" i="10"/>
  <c r="D456" i="10" s="1"/>
  <c r="C196" i="10"/>
  <c r="D196" i="10"/>
  <c r="C726" i="10"/>
  <c r="D726" i="10" s="1"/>
  <c r="C170" i="10"/>
  <c r="D170" i="10" s="1"/>
  <c r="C106" i="10"/>
  <c r="D106" i="10" s="1"/>
  <c r="C428" i="10"/>
  <c r="D428" i="10" s="1"/>
  <c r="C879" i="10"/>
  <c r="D879" i="10" s="1"/>
  <c r="C738" i="10"/>
  <c r="D738" i="10" s="1"/>
  <c r="C240" i="10"/>
  <c r="D240" i="10" s="1"/>
  <c r="C590" i="10"/>
  <c r="D590" i="10"/>
  <c r="C191" i="10"/>
  <c r="D191" i="10" s="1"/>
  <c r="C691" i="10"/>
  <c r="D691" i="10" s="1"/>
  <c r="C303" i="10"/>
  <c r="D303" i="10" s="1"/>
  <c r="C543" i="10"/>
  <c r="D543" i="10" s="1"/>
  <c r="C698" i="10"/>
  <c r="D698" i="10" s="1"/>
  <c r="C634" i="10"/>
  <c r="D634" i="10" s="1"/>
  <c r="C711" i="10"/>
  <c r="D711" i="10" s="1"/>
  <c r="C797" i="10"/>
  <c r="D797" i="10" s="1"/>
  <c r="C51" i="10"/>
  <c r="D51" i="10" s="1"/>
  <c r="C929" i="10"/>
  <c r="D929" i="10" s="1"/>
  <c r="C310" i="10"/>
  <c r="D310" i="10" s="1"/>
  <c r="C971" i="10"/>
  <c r="D971" i="10" s="1"/>
  <c r="C758" i="10"/>
  <c r="D758" i="10" s="1"/>
  <c r="C163" i="10"/>
  <c r="D163" i="10" s="1"/>
  <c r="C93" i="10"/>
  <c r="D93" i="10" s="1"/>
  <c r="C458" i="10"/>
  <c r="D458" i="10" s="1"/>
  <c r="C913" i="10"/>
  <c r="D913" i="10" s="1"/>
  <c r="C782" i="10"/>
  <c r="D782" i="10" s="1"/>
  <c r="C270" i="10"/>
  <c r="D270" i="10" s="1"/>
  <c r="C659" i="10"/>
  <c r="D659" i="10" s="1"/>
  <c r="C221" i="10"/>
  <c r="D221" i="10" s="1"/>
  <c r="C382" i="10"/>
  <c r="D382" i="10" s="1"/>
  <c r="C321" i="10"/>
  <c r="D321" i="10" s="1"/>
  <c r="C589" i="10"/>
  <c r="D589" i="10" s="1"/>
  <c r="C924" i="10"/>
  <c r="D924" i="10" s="1"/>
  <c r="C682" i="10"/>
  <c r="D682" i="10" s="1"/>
  <c r="C716" i="10"/>
  <c r="D716" i="10" s="1"/>
  <c r="C753" i="10"/>
  <c r="D753" i="10" s="1"/>
  <c r="C803" i="10"/>
  <c r="D803" i="10" s="1"/>
  <c r="C444" i="10"/>
  <c r="D444" i="10" s="1"/>
  <c r="C67" i="10"/>
  <c r="D67" i="10" s="1"/>
  <c r="C877" i="10"/>
  <c r="D877" i="10" s="1"/>
  <c r="C833" i="10"/>
  <c r="D833" i="10" s="1"/>
  <c r="C709" i="10"/>
  <c r="D709" i="10" s="1"/>
  <c r="C209" i="10"/>
  <c r="D209" i="10" s="1"/>
  <c r="C154" i="10"/>
  <c r="D154" i="10" s="1"/>
  <c r="C919" i="10"/>
  <c r="D919" i="10" s="1"/>
  <c r="C812" i="10"/>
  <c r="D812" i="10" s="1"/>
  <c r="C822" i="10"/>
  <c r="D822" i="10" s="1"/>
  <c r="C202" i="10"/>
  <c r="D202" i="10" s="1"/>
  <c r="C153" i="10"/>
  <c r="D153" i="10" s="1"/>
  <c r="C120" i="10"/>
  <c r="D120" i="10" s="1"/>
  <c r="C53" i="10"/>
  <c r="D53" i="10" s="1"/>
  <c r="C294" i="10"/>
  <c r="D294" i="10" s="1"/>
  <c r="C521" i="10"/>
  <c r="D521" i="10" s="1"/>
  <c r="C29" i="10"/>
  <c r="D29" i="10" s="1"/>
  <c r="C964" i="10"/>
  <c r="D964" i="10" s="1"/>
  <c r="C960" i="10"/>
  <c r="D960" i="10" s="1"/>
  <c r="C866" i="10"/>
  <c r="D866" i="10" s="1"/>
  <c r="C47" i="10"/>
  <c r="D47" i="10" s="1"/>
  <c r="C320" i="10"/>
  <c r="D320" i="10" s="1"/>
  <c r="C489" i="10"/>
  <c r="D489" i="10" s="1"/>
  <c r="C96" i="10"/>
  <c r="D96" i="10" s="1"/>
  <c r="C48" i="10"/>
  <c r="D48" i="10" s="1"/>
  <c r="C239" i="10"/>
  <c r="D239" i="10" s="1"/>
  <c r="C469" i="10"/>
  <c r="D469" i="10" s="1"/>
  <c r="C459" i="10"/>
  <c r="D459" i="10" s="1"/>
  <c r="C261" i="10"/>
  <c r="D261" i="10" s="1"/>
  <c r="C345" i="10"/>
  <c r="D345" i="10" s="1"/>
  <c r="C438" i="10"/>
  <c r="D438" i="10" s="1"/>
  <c r="C725" i="10"/>
  <c r="D725" i="10" s="1"/>
  <c r="C623" i="10"/>
  <c r="D623" i="10" s="1"/>
  <c r="C673" i="10"/>
  <c r="D673" i="10" s="1"/>
  <c r="C640" i="10"/>
  <c r="D640" i="10" s="1"/>
  <c r="C618" i="10"/>
  <c r="D618" i="10" s="1"/>
  <c r="C650" i="10"/>
  <c r="D650" i="10" s="1"/>
  <c r="C689" i="10"/>
  <c r="D689" i="10" s="1"/>
  <c r="C727" i="10"/>
  <c r="D727" i="10" s="1"/>
  <c r="C767" i="10"/>
  <c r="D767" i="10" s="1"/>
  <c r="C667" i="10"/>
  <c r="D667" i="10" s="1"/>
  <c r="C318" i="10"/>
  <c r="D318" i="10" s="1"/>
  <c r="C902" i="10"/>
  <c r="D902" i="10" s="1"/>
  <c r="C869" i="10"/>
  <c r="D869" i="10" s="1"/>
  <c r="C825" i="10"/>
  <c r="D825" i="10" s="1"/>
  <c r="C661" i="10"/>
  <c r="D661" i="10" s="1"/>
  <c r="C109" i="10"/>
  <c r="D109" i="10" s="1"/>
  <c r="C180" i="10"/>
  <c r="D180" i="10" s="1"/>
  <c r="C848" i="10"/>
  <c r="D848" i="10" s="1"/>
  <c r="C662" i="10"/>
  <c r="D662" i="10" s="1"/>
  <c r="C874" i="10"/>
  <c r="D874" i="10" s="1"/>
  <c r="C190" i="10"/>
  <c r="D190" i="10" s="1"/>
  <c r="C147" i="10"/>
  <c r="D147" i="10" s="1"/>
  <c r="C116" i="10"/>
  <c r="D116" i="10" s="1"/>
  <c r="C37" i="10"/>
  <c r="D37" i="10" s="1"/>
  <c r="C326" i="10"/>
  <c r="D326" i="10" s="1"/>
  <c r="C588" i="10"/>
  <c r="D588" i="10" s="1"/>
  <c r="C828" i="10"/>
  <c r="D828" i="10" s="1"/>
  <c r="C1000" i="10"/>
  <c r="D1000" i="10" s="1"/>
  <c r="C995" i="10"/>
  <c r="D995" i="10" s="1"/>
  <c r="C910" i="10"/>
  <c r="D910" i="10" s="1"/>
  <c r="C205" i="10"/>
  <c r="D205" i="10" s="1"/>
  <c r="C352" i="10"/>
  <c r="D352" i="10" s="1"/>
  <c r="C540" i="10"/>
  <c r="D540" i="10" s="1"/>
  <c r="C88" i="10"/>
  <c r="D88" i="10" s="1"/>
  <c r="C34" i="10"/>
  <c r="D34" i="10" s="1"/>
  <c r="C274" i="10"/>
  <c r="D274" i="10" s="1"/>
  <c r="C530" i="10"/>
  <c r="D530" i="10" s="1"/>
  <c r="C548" i="10"/>
  <c r="D548" i="10" s="1"/>
  <c r="C279" i="10"/>
  <c r="D279" i="10" s="1"/>
  <c r="C363" i="10"/>
  <c r="D363" i="10" s="1"/>
  <c r="C479" i="10"/>
  <c r="D479" i="10" s="1"/>
  <c r="C488" i="10"/>
  <c r="D488" i="10" s="1"/>
  <c r="C701" i="10"/>
  <c r="D701" i="10" s="1"/>
  <c r="C861" i="10"/>
  <c r="D861" i="10" s="1"/>
  <c r="K69" i="5"/>
  <c r="C610" i="10"/>
  <c r="D610" i="10"/>
  <c r="C626" i="10"/>
  <c r="D626" i="10" s="1"/>
  <c r="C642" i="10"/>
  <c r="D642" i="10"/>
  <c r="C658" i="10"/>
  <c r="D658" i="10" s="1"/>
  <c r="C675" i="10"/>
  <c r="D675" i="10" s="1"/>
  <c r="C700" i="10"/>
  <c r="D700" i="10" s="1"/>
  <c r="C719" i="10"/>
  <c r="D719" i="10" s="1"/>
  <c r="C737" i="10"/>
  <c r="D737" i="10" s="1"/>
  <c r="C756" i="10"/>
  <c r="D756" i="10"/>
  <c r="C783" i="10"/>
  <c r="D783" i="10" s="1"/>
  <c r="C819" i="10"/>
  <c r="D819" i="10" s="1"/>
  <c r="C535" i="10"/>
  <c r="D535" i="10"/>
  <c r="C400" i="10"/>
  <c r="D400" i="10"/>
  <c r="C236" i="10"/>
  <c r="D236" i="10"/>
  <c r="C774" i="10"/>
  <c r="D774" i="10" s="1"/>
  <c r="C944" i="10"/>
  <c r="D944" i="10"/>
  <c r="C829" i="10"/>
  <c r="D829" i="10" s="1"/>
  <c r="C881" i="10"/>
  <c r="D881" i="10" s="1"/>
  <c r="C978" i="10"/>
  <c r="D978" i="10" s="1"/>
  <c r="C722" i="10"/>
  <c r="D722" i="10"/>
  <c r="C551" i="10"/>
  <c r="D551" i="10"/>
  <c r="C408" i="10"/>
  <c r="D408" i="10"/>
  <c r="C246" i="10"/>
  <c r="D246" i="10" s="1"/>
  <c r="C73" i="10"/>
  <c r="D73" i="10" s="1"/>
  <c r="C125" i="10"/>
  <c r="D125" i="10" s="1"/>
  <c r="C158" i="10"/>
  <c r="D158" i="10" s="1"/>
  <c r="C204" i="10"/>
  <c r="D204" i="10" s="1"/>
  <c r="C904" i="10"/>
  <c r="D904" i="10" s="1"/>
  <c r="C975" i="10"/>
  <c r="D975" i="10"/>
  <c r="C860" i="10"/>
  <c r="D860" i="10" s="1"/>
  <c r="C681" i="10"/>
  <c r="D681" i="10" s="1"/>
  <c r="C778" i="10"/>
  <c r="D778" i="10"/>
  <c r="C886" i="10"/>
  <c r="D886" i="10" s="1"/>
  <c r="C214" i="10"/>
  <c r="D214" i="10"/>
  <c r="C186" i="10"/>
  <c r="D186" i="10" s="1"/>
  <c r="C161" i="10"/>
  <c r="D161" i="10"/>
  <c r="C145" i="10"/>
  <c r="D145" i="10"/>
  <c r="C128" i="10"/>
  <c r="D128" i="10"/>
  <c r="C114" i="10"/>
  <c r="D114" i="10" s="1"/>
  <c r="C85" i="10"/>
  <c r="D85" i="10" s="1"/>
  <c r="C217" i="10"/>
  <c r="D217" i="10" s="1"/>
  <c r="C248" i="10"/>
  <c r="D248" i="10" s="1"/>
  <c r="C340" i="10"/>
  <c r="D340" i="10" s="1"/>
  <c r="C478" i="10"/>
  <c r="D478" i="10" s="1"/>
  <c r="C597" i="10"/>
  <c r="D597" i="10"/>
  <c r="C771" i="10"/>
  <c r="D771" i="10" s="1"/>
  <c r="C836" i="10"/>
  <c r="D836" i="10" s="1"/>
  <c r="C926" i="10"/>
  <c r="D926" i="10" s="1"/>
  <c r="C832" i="10"/>
  <c r="D832" i="10" s="1"/>
  <c r="C918" i="10"/>
  <c r="D918" i="10"/>
  <c r="C678" i="10"/>
  <c r="D678" i="10" s="1"/>
  <c r="C802" i="10"/>
  <c r="D802" i="10"/>
  <c r="C930" i="10"/>
  <c r="D930" i="10" s="1"/>
  <c r="C79" i="10"/>
  <c r="D79" i="10"/>
  <c r="C189" i="10"/>
  <c r="D189" i="10" s="1"/>
  <c r="C284" i="10"/>
  <c r="D284" i="10" s="1"/>
  <c r="C388" i="10"/>
  <c r="D388" i="10"/>
  <c r="C461" i="10"/>
  <c r="D461" i="10" s="1"/>
  <c r="C556" i="10"/>
  <c r="D556" i="10" s="1"/>
  <c r="C749" i="10"/>
  <c r="D749" i="10"/>
  <c r="C84" i="10"/>
  <c r="D84" i="10"/>
  <c r="C64" i="10"/>
  <c r="D64" i="10"/>
  <c r="C32" i="10"/>
  <c r="D32" i="10" s="1"/>
  <c r="C223" i="10"/>
  <c r="D223" i="10" s="1"/>
  <c r="C282" i="10"/>
  <c r="D282" i="10" s="1"/>
  <c r="C410" i="10"/>
  <c r="D410" i="10" s="1"/>
  <c r="C537" i="10"/>
  <c r="D537" i="10" s="1"/>
  <c r="C398" i="10"/>
  <c r="D398" i="10"/>
  <c r="C553" i="10"/>
  <c r="D553" i="10" s="1"/>
  <c r="C739" i="10"/>
  <c r="D739" i="10"/>
  <c r="C283" i="10"/>
  <c r="D283" i="10" s="1"/>
  <c r="C323" i="10"/>
  <c r="D323" i="10" s="1"/>
  <c r="C365" i="10"/>
  <c r="D365" i="10"/>
  <c r="C409" i="10"/>
  <c r="D409" i="10" s="1"/>
  <c r="C482" i="10"/>
  <c r="D482" i="10" s="1"/>
  <c r="C593" i="10"/>
  <c r="D593" i="10" s="1"/>
  <c r="C496" i="10"/>
  <c r="D496" i="10" s="1"/>
  <c r="C576" i="10"/>
  <c r="D576" i="10" s="1"/>
  <c r="C715" i="10"/>
  <c r="D715" i="10" s="1"/>
  <c r="C905" i="10"/>
  <c r="D905" i="10" s="1"/>
  <c r="C895" i="10"/>
  <c r="D895" i="10" s="1"/>
  <c r="C616" i="10"/>
  <c r="D616" i="10" s="1"/>
  <c r="C632" i="10"/>
  <c r="D632" i="10" s="1"/>
  <c r="C648" i="10"/>
  <c r="D648" i="10" s="1"/>
  <c r="C665" i="10"/>
  <c r="D665" i="10"/>
  <c r="C687" i="10"/>
  <c r="D687" i="10" s="1"/>
  <c r="C708" i="10"/>
  <c r="D708" i="10" s="1"/>
  <c r="C724" i="10"/>
  <c r="D724" i="10" s="1"/>
  <c r="C743" i="10"/>
  <c r="D743" i="10"/>
  <c r="C764" i="10"/>
  <c r="D764" i="10" s="1"/>
  <c r="C785" i="10"/>
  <c r="D785" i="10" s="1"/>
  <c r="C824" i="10"/>
  <c r="D824" i="10" s="1"/>
  <c r="C519" i="10"/>
  <c r="D519" i="10"/>
  <c r="C372" i="10"/>
  <c r="D372" i="10" s="1"/>
  <c r="C220" i="10"/>
  <c r="D220" i="10" s="1"/>
  <c r="C986" i="10"/>
  <c r="D986" i="10" s="1"/>
  <c r="C730" i="10"/>
  <c r="D730" i="10" s="1"/>
  <c r="C923" i="10"/>
  <c r="D923" i="10" s="1"/>
  <c r="C996" i="10"/>
  <c r="D996" i="10" s="1"/>
  <c r="C873" i="10"/>
  <c r="D873" i="10" s="1"/>
  <c r="C958" i="10"/>
  <c r="D958" i="10"/>
  <c r="C702" i="10"/>
  <c r="D702" i="10" s="1"/>
  <c r="C533" i="10"/>
  <c r="D533" i="10" s="1"/>
  <c r="C324" i="10"/>
  <c r="D324" i="10" s="1"/>
  <c r="C177" i="10"/>
  <c r="D177" i="10" s="1"/>
  <c r="C105" i="10"/>
  <c r="D105" i="10" s="1"/>
  <c r="C138" i="10"/>
  <c r="D138" i="10" s="1"/>
  <c r="C172" i="10"/>
  <c r="D172" i="10" s="1"/>
  <c r="C999" i="10"/>
  <c r="D999" i="10"/>
  <c r="C856" i="10"/>
  <c r="D856" i="10" s="1"/>
  <c r="C927" i="10"/>
  <c r="D927" i="10" s="1"/>
  <c r="C823" i="10"/>
  <c r="D823" i="10" s="1"/>
  <c r="C714" i="10"/>
  <c r="D714" i="10" s="1"/>
  <c r="C810" i="10"/>
  <c r="D810" i="10" s="1"/>
  <c r="C938" i="10"/>
  <c r="D938" i="10" s="1"/>
  <c r="C174" i="10"/>
  <c r="D174" i="10" s="1"/>
  <c r="C155" i="10"/>
  <c r="D155" i="10"/>
  <c r="C139" i="10"/>
  <c r="D139" i="10" s="1"/>
  <c r="C122" i="10"/>
  <c r="D122" i="10" s="1"/>
  <c r="C108" i="10"/>
  <c r="D108" i="10" s="1"/>
  <c r="C61" i="10"/>
  <c r="D61" i="10" s="1"/>
  <c r="C185" i="10"/>
  <c r="D185" i="10" s="1"/>
  <c r="C280" i="10"/>
  <c r="D280" i="10" s="1"/>
  <c r="C421" i="10"/>
  <c r="D421" i="10" s="1"/>
  <c r="C513" i="10"/>
  <c r="D513" i="10" s="1"/>
  <c r="C653" i="10"/>
  <c r="D653" i="10" s="1"/>
  <c r="C1001" i="10"/>
  <c r="D1001" i="10" s="1"/>
  <c r="C871" i="10"/>
  <c r="D871" i="10" s="1"/>
  <c r="C956" i="10"/>
  <c r="D956" i="10" s="1"/>
  <c r="C867" i="10"/>
  <c r="D867" i="10" s="1"/>
  <c r="C952" i="10"/>
  <c r="D952" i="10" s="1"/>
  <c r="C718" i="10"/>
  <c r="D718" i="10" s="1"/>
  <c r="C846" i="10"/>
  <c r="D846" i="10"/>
  <c r="C974" i="10"/>
  <c r="D974" i="10" s="1"/>
  <c r="C55" i="10"/>
  <c r="D55" i="10" s="1"/>
  <c r="C232" i="10"/>
  <c r="D232" i="10" s="1"/>
  <c r="C316" i="10"/>
  <c r="D316" i="10"/>
  <c r="C416" i="10"/>
  <c r="D416" i="10" s="1"/>
  <c r="C481" i="10"/>
  <c r="D481" i="10" s="1"/>
  <c r="C583" i="10"/>
  <c r="D583" i="10" s="1"/>
  <c r="C98" i="10"/>
  <c r="D98" i="10" s="1"/>
  <c r="C76" i="10"/>
  <c r="D76" i="10" s="1"/>
  <c r="C50" i="10"/>
  <c r="D50" i="10" s="1"/>
  <c r="C195" i="10"/>
  <c r="D195" i="10" s="1"/>
  <c r="C237" i="10"/>
  <c r="D237" i="10" s="1"/>
  <c r="C330" i="10"/>
  <c r="D330" i="10" s="1"/>
  <c r="C464" i="10"/>
  <c r="D464" i="10" s="1"/>
  <c r="C669" i="10"/>
  <c r="D669" i="10" s="1"/>
  <c r="C452" i="10"/>
  <c r="D452" i="10"/>
  <c r="C601" i="10"/>
  <c r="D601" i="10" s="1"/>
  <c r="C259" i="10"/>
  <c r="D259" i="10" s="1"/>
  <c r="C301" i="10"/>
  <c r="D301" i="10" s="1"/>
  <c r="C341" i="10"/>
  <c r="D341" i="10"/>
  <c r="C385" i="10"/>
  <c r="D385" i="10" s="1"/>
  <c r="C433" i="10"/>
  <c r="D433" i="10" s="1"/>
  <c r="C529" i="10"/>
  <c r="D529" i="10" s="1"/>
  <c r="C704" i="10"/>
  <c r="D704" i="10"/>
  <c r="C531" i="10"/>
  <c r="D531" i="10" s="1"/>
  <c r="C613" i="10"/>
  <c r="D613" i="10" s="1"/>
  <c r="C787" i="10"/>
  <c r="D787" i="10" s="1"/>
  <c r="C791" i="10"/>
  <c r="D791" i="10" s="1"/>
  <c r="L70" i="5"/>
  <c r="L70" i="32" s="1"/>
  <c r="C70" i="5"/>
  <c r="C70" i="32" s="1"/>
  <c r="C612" i="10"/>
  <c r="D612" i="10"/>
  <c r="C620" i="10"/>
  <c r="D620" i="10" s="1"/>
  <c r="C628" i="10"/>
  <c r="D628" i="10" s="1"/>
  <c r="C636" i="10"/>
  <c r="D636" i="10" s="1"/>
  <c r="C644" i="10"/>
  <c r="D644" i="10" s="1"/>
  <c r="C652" i="10"/>
  <c r="D652" i="10" s="1"/>
  <c r="C660" i="10"/>
  <c r="D660" i="10" s="1"/>
  <c r="C672" i="10"/>
  <c r="D672" i="10" s="1"/>
  <c r="C679" i="10"/>
  <c r="D679" i="10" s="1"/>
  <c r="C692" i="10"/>
  <c r="D692" i="10" s="1"/>
  <c r="C703" i="10"/>
  <c r="D703" i="10" s="1"/>
  <c r="C721" i="10"/>
  <c r="D721" i="10" s="1"/>
  <c r="C729" i="10"/>
  <c r="D729" i="10" s="1"/>
  <c r="C748" i="10"/>
  <c r="D748" i="10" s="1"/>
  <c r="C759" i="10"/>
  <c r="D759" i="10" s="1"/>
  <c r="C769" i="10"/>
  <c r="D769" i="10"/>
  <c r="C777" i="10"/>
  <c r="D777" i="10" s="1"/>
  <c r="C788" i="10"/>
  <c r="D788" i="10" s="1"/>
  <c r="C808" i="10"/>
  <c r="D808" i="10" s="1"/>
  <c r="C763" i="10"/>
  <c r="D763" i="10" s="1"/>
  <c r="C502" i="10"/>
  <c r="D502" i="10" s="1"/>
  <c r="C432" i="10"/>
  <c r="D432" i="10" s="1"/>
  <c r="C362" i="10"/>
  <c r="D362" i="10"/>
  <c r="C268" i="10"/>
  <c r="D268" i="10" s="1"/>
  <c r="C197" i="10"/>
  <c r="D197" i="10"/>
  <c r="C83" i="10"/>
  <c r="D83" i="10" s="1"/>
  <c r="C966" i="10"/>
  <c r="D966" i="10" s="1"/>
  <c r="C839" i="10"/>
  <c r="D839" i="10" s="1"/>
  <c r="C710" i="10"/>
  <c r="D710" i="10" s="1"/>
  <c r="C963" i="10"/>
  <c r="D963" i="10" s="1"/>
  <c r="C915" i="10"/>
  <c r="D915" i="10"/>
  <c r="C859" i="10"/>
  <c r="D859" i="10"/>
  <c r="C967" i="10"/>
  <c r="D967" i="10"/>
  <c r="C922" i="10"/>
  <c r="D922" i="10" s="1"/>
  <c r="C863" i="10"/>
  <c r="D863" i="10" s="1"/>
  <c r="C914" i="10"/>
  <c r="D914" i="10" s="1"/>
  <c r="C786" i="10"/>
  <c r="D786" i="10" s="1"/>
  <c r="C997" i="10"/>
  <c r="D997" i="10" s="1"/>
  <c r="C625" i="10"/>
  <c r="D625" i="10" s="1"/>
  <c r="C516" i="10"/>
  <c r="D516" i="10" s="1"/>
  <c r="C443" i="10"/>
  <c r="D443" i="10" s="1"/>
  <c r="C380" i="10"/>
  <c r="D380" i="10" s="1"/>
  <c r="C296" i="10"/>
  <c r="D296" i="10" s="1"/>
  <c r="C230" i="10"/>
  <c r="D230" i="10" s="1"/>
  <c r="C41" i="10"/>
  <c r="D41" i="10" s="1"/>
  <c r="C89" i="10"/>
  <c r="D89" i="10" s="1"/>
  <c r="C113" i="10"/>
  <c r="D113" i="10" s="1"/>
  <c r="C129" i="10"/>
  <c r="D129" i="10"/>
  <c r="C146" i="10"/>
  <c r="D146" i="10" s="1"/>
  <c r="C162" i="10"/>
  <c r="D162" i="10" s="1"/>
  <c r="C212" i="10"/>
  <c r="D212" i="10" s="1"/>
  <c r="C941" i="10"/>
  <c r="D941" i="10" s="1"/>
  <c r="C893" i="10"/>
  <c r="D893" i="10" s="1"/>
  <c r="C837" i="10"/>
  <c r="D837" i="10" s="1"/>
  <c r="C945" i="10"/>
  <c r="D945" i="10" s="1"/>
  <c r="C897" i="10"/>
  <c r="D897" i="10" s="1"/>
  <c r="C852" i="10"/>
  <c r="D852" i="10"/>
  <c r="C804" i="10"/>
  <c r="D804" i="10" s="1"/>
  <c r="C694" i="10"/>
  <c r="D694" i="10" s="1"/>
  <c r="C790" i="10"/>
  <c r="D790" i="10" s="1"/>
  <c r="C842" i="10"/>
  <c r="D842" i="10" s="1"/>
  <c r="C906" i="10"/>
  <c r="D906" i="10" s="1"/>
  <c r="C970" i="10"/>
  <c r="D970" i="10"/>
  <c r="C210" i="10"/>
  <c r="D210" i="10" s="1"/>
  <c r="C198" i="10"/>
  <c r="D198" i="10"/>
  <c r="C182" i="10"/>
  <c r="D182" i="10" s="1"/>
  <c r="C167" i="10"/>
  <c r="D167" i="10" s="1"/>
  <c r="C159" i="10"/>
  <c r="D159" i="10" s="1"/>
  <c r="C151" i="10"/>
  <c r="D151" i="10" s="1"/>
  <c r="C143" i="10"/>
  <c r="D143" i="10" s="1"/>
  <c r="C135" i="10"/>
  <c r="D135" i="10" s="1"/>
  <c r="C126" i="10"/>
  <c r="D126" i="10"/>
  <c r="C118" i="10"/>
  <c r="D118" i="10" s="1"/>
  <c r="C112" i="10"/>
  <c r="D112" i="10" s="1"/>
  <c r="C77" i="10"/>
  <c r="D77" i="10" s="1"/>
  <c r="C45" i="10"/>
  <c r="D45" i="10" s="1"/>
  <c r="C226" i="10"/>
  <c r="D226" i="10" s="1"/>
  <c r="C262" i="10"/>
  <c r="D262" i="10" s="1"/>
  <c r="C308" i="10"/>
  <c r="D308" i="10"/>
  <c r="C344" i="10"/>
  <c r="D344" i="10"/>
  <c r="C447" i="10"/>
  <c r="D447" i="10"/>
  <c r="C495" i="10"/>
  <c r="D495" i="10" s="1"/>
  <c r="C554" i="10"/>
  <c r="D554" i="10" s="1"/>
  <c r="C604" i="10"/>
  <c r="D604" i="10" s="1"/>
  <c r="C696" i="10"/>
  <c r="D696" i="10" s="1"/>
  <c r="C979" i="10"/>
  <c r="D979" i="10" s="1"/>
  <c r="C807" i="10"/>
  <c r="D807" i="10" s="1"/>
  <c r="C849" i="10"/>
  <c r="D849" i="10" s="1"/>
  <c r="C892" i="10"/>
  <c r="D892" i="10" s="1"/>
  <c r="C935" i="10"/>
  <c r="D935" i="10" s="1"/>
  <c r="C977" i="10"/>
  <c r="D977" i="10" s="1"/>
  <c r="C845" i="10"/>
  <c r="D845" i="10" s="1"/>
  <c r="C888" i="10"/>
  <c r="D888" i="10" s="1"/>
  <c r="C931" i="10"/>
  <c r="D931" i="10" s="1"/>
  <c r="C973" i="10"/>
  <c r="D973" i="10"/>
  <c r="C686" i="10"/>
  <c r="D686" i="10" s="1"/>
  <c r="C750" i="10"/>
  <c r="D750" i="10"/>
  <c r="C814" i="10"/>
  <c r="D814" i="10" s="1"/>
  <c r="C878" i="10"/>
  <c r="D878" i="10" s="1"/>
  <c r="C942" i="10"/>
  <c r="D942" i="10" s="1"/>
  <c r="C103" i="10"/>
  <c r="D103" i="10" s="1"/>
  <c r="C71" i="10"/>
  <c r="D71" i="10" s="1"/>
  <c r="C39" i="10"/>
  <c r="D39" i="10" s="1"/>
  <c r="C173" i="10"/>
  <c r="D173" i="10"/>
  <c r="C252" i="10"/>
  <c r="D252" i="10" s="1"/>
  <c r="C288" i="10"/>
  <c r="D288" i="10" s="1"/>
  <c r="C334" i="10"/>
  <c r="D334" i="10" s="1"/>
  <c r="C402" i="10"/>
  <c r="D402" i="10" s="1"/>
  <c r="C429" i="10"/>
  <c r="D429" i="10" s="1"/>
  <c r="C467" i="10"/>
  <c r="D467" i="10" s="1"/>
  <c r="C506" i="10"/>
  <c r="D506" i="10"/>
  <c r="C565" i="10"/>
  <c r="D565" i="10"/>
  <c r="C598" i="10"/>
  <c r="D598" i="10"/>
  <c r="C104" i="10"/>
  <c r="D104" i="10" s="1"/>
  <c r="C92" i="10"/>
  <c r="D92" i="10" s="1"/>
  <c r="C82" i="10"/>
  <c r="D82" i="10" s="1"/>
  <c r="C72" i="10"/>
  <c r="D72" i="10" s="1"/>
  <c r="C58" i="10"/>
  <c r="D58" i="10" s="1"/>
  <c r="C42" i="10"/>
  <c r="D42" i="10"/>
  <c r="C211" i="10"/>
  <c r="D211" i="10" s="1"/>
  <c r="C179" i="10"/>
  <c r="D179" i="10" s="1"/>
  <c r="C229" i="10"/>
  <c r="D229" i="10" s="1"/>
  <c r="C245" i="10"/>
  <c r="D245" i="10" s="1"/>
  <c r="C298" i="10"/>
  <c r="D298" i="10" s="1"/>
  <c r="C360" i="10"/>
  <c r="D360" i="10" s="1"/>
  <c r="C440" i="10"/>
  <c r="D440" i="10" s="1"/>
  <c r="C492" i="10"/>
  <c r="D492" i="10"/>
  <c r="C569" i="10"/>
  <c r="D569" i="10"/>
  <c r="C757" i="10"/>
  <c r="D757" i="10"/>
  <c r="C427" i="10"/>
  <c r="D427" i="10" s="1"/>
  <c r="C487" i="10"/>
  <c r="D487" i="10" s="1"/>
  <c r="C572" i="10"/>
  <c r="D572" i="10" s="1"/>
  <c r="C651" i="10"/>
  <c r="D651" i="10" s="1"/>
  <c r="C247" i="10"/>
  <c r="D247" i="10" s="1"/>
  <c r="C269" i="10"/>
  <c r="D269" i="10" s="1"/>
  <c r="C291" i="10"/>
  <c r="D291" i="10" s="1"/>
  <c r="C311" i="10"/>
  <c r="D311" i="10" s="1"/>
  <c r="C331" i="10"/>
  <c r="D331" i="10" s="1"/>
  <c r="C353" i="10"/>
  <c r="D353" i="10" s="1"/>
  <c r="C373" i="10"/>
  <c r="D373" i="10" s="1"/>
  <c r="C395" i="10"/>
  <c r="D395" i="10" s="1"/>
  <c r="C415" i="10"/>
  <c r="D415" i="10" s="1"/>
  <c r="C454" i="10"/>
  <c r="D454" i="10" s="1"/>
  <c r="C500" i="10"/>
  <c r="D500" i="10"/>
  <c r="C561" i="10"/>
  <c r="D561" i="10" s="1"/>
  <c r="C633" i="10"/>
  <c r="D633" i="10" s="1"/>
  <c r="C773" i="10"/>
  <c r="D773" i="10" s="1"/>
  <c r="C512" i="10"/>
  <c r="D512" i="10" s="1"/>
  <c r="C552" i="10"/>
  <c r="D552" i="10" s="1"/>
  <c r="C592" i="10"/>
  <c r="D592" i="10" s="1"/>
  <c r="C647" i="10"/>
  <c r="D647" i="10"/>
  <c r="C768" i="10"/>
  <c r="D768" i="10" s="1"/>
  <c r="C272" i="10"/>
  <c r="D272" i="10"/>
  <c r="C559" i="10"/>
  <c r="D559" i="10" s="1"/>
  <c r="C891" i="10"/>
  <c r="D891" i="10" s="1"/>
  <c r="C670" i="10"/>
  <c r="D670" i="10" s="1"/>
  <c r="C683" i="10"/>
  <c r="D683" i="10" s="1"/>
  <c r="C864" i="10"/>
  <c r="D864" i="10" s="1"/>
  <c r="C965" i="10"/>
  <c r="D965" i="10"/>
  <c r="C181" i="10"/>
  <c r="D181" i="10"/>
  <c r="C115" i="10"/>
  <c r="D115" i="10"/>
  <c r="C862" i="10"/>
  <c r="D862" i="10" s="1"/>
  <c r="C855" i="10"/>
  <c r="D855" i="10" s="1"/>
  <c r="C798" i="10"/>
  <c r="D798" i="10" s="1"/>
  <c r="C541" i="10"/>
  <c r="D541" i="10" s="1"/>
  <c r="C806" i="10"/>
  <c r="D806" i="10" s="1"/>
  <c r="C476" i="10"/>
  <c r="D476" i="10" s="1"/>
  <c r="C754" i="10"/>
  <c r="D754" i="10" s="1"/>
  <c r="C264" i="10"/>
  <c r="D264" i="10" s="1"/>
  <c r="C961" i="10"/>
  <c r="D961" i="10" s="1"/>
  <c r="C127" i="10"/>
  <c r="D127" i="10" s="1"/>
  <c r="C645" i="10"/>
  <c r="D645" i="10"/>
  <c r="C991" i="10"/>
  <c r="D991" i="10" s="1"/>
  <c r="C890" i="10"/>
  <c r="D890" i="10"/>
  <c r="C107" i="10"/>
  <c r="D107" i="10" s="1"/>
  <c r="C404" i="10"/>
  <c r="D404" i="10" s="1"/>
  <c r="C816" i="10"/>
  <c r="D816" i="10" s="1"/>
  <c r="C776" i="10"/>
  <c r="D776" i="10" s="1"/>
  <c r="C731" i="10"/>
  <c r="D731" i="10" s="1"/>
  <c r="C677" i="10"/>
  <c r="D677" i="10"/>
  <c r="C641" i="10"/>
  <c r="D641" i="10" s="1"/>
  <c r="C619" i="10"/>
  <c r="D619" i="10"/>
  <c r="C600" i="10"/>
  <c r="D600" i="10" s="1"/>
  <c r="C584" i="10"/>
  <c r="D584" i="10" s="1"/>
  <c r="C555" i="10"/>
  <c r="D555" i="10" s="1"/>
  <c r="C539" i="10"/>
  <c r="D539" i="10" s="1"/>
  <c r="C523" i="10"/>
  <c r="D523" i="10" s="1"/>
  <c r="C507" i="10"/>
  <c r="D507" i="10"/>
  <c r="C491" i="10"/>
  <c r="D491" i="10" s="1"/>
  <c r="C26" i="10"/>
  <c r="D26" i="10"/>
  <c r="C755" i="10"/>
  <c r="D755" i="10" s="1"/>
  <c r="C685" i="10"/>
  <c r="D685" i="10" s="1"/>
  <c r="C643" i="10"/>
  <c r="D643" i="10" s="1"/>
  <c r="C596" i="10"/>
  <c r="D596" i="10" s="1"/>
  <c r="C578" i="10"/>
  <c r="D578" i="10" s="1"/>
  <c r="C557" i="10"/>
  <c r="D557" i="10"/>
  <c r="C532" i="10"/>
  <c r="D532" i="10" s="1"/>
  <c r="C514" i="10"/>
  <c r="D514" i="10"/>
  <c r="C493" i="10"/>
  <c r="D493" i="10" s="1"/>
  <c r="C473" i="10"/>
  <c r="D473" i="10" s="1"/>
  <c r="C457" i="10"/>
  <c r="D457" i="10" s="1"/>
  <c r="C441" i="10"/>
  <c r="D441" i="10" s="1"/>
  <c r="C425" i="10"/>
  <c r="D425" i="10" s="1"/>
  <c r="C413" i="10"/>
  <c r="D413" i="10"/>
  <c r="C407" i="10"/>
  <c r="D407" i="10" s="1"/>
  <c r="C399" i="10"/>
  <c r="D399" i="10"/>
  <c r="C391" i="10"/>
  <c r="D391" i="10" s="1"/>
  <c r="C383" i="10"/>
  <c r="D383" i="10" s="1"/>
  <c r="C375" i="10"/>
  <c r="D375" i="10" s="1"/>
  <c r="C367" i="10"/>
  <c r="D367" i="10" s="1"/>
  <c r="C359" i="10"/>
  <c r="D359" i="10" s="1"/>
  <c r="C351" i="10"/>
  <c r="D351" i="10"/>
  <c r="C343" i="10"/>
  <c r="D343" i="10" s="1"/>
  <c r="C335" i="10"/>
  <c r="D335" i="10"/>
  <c r="C327" i="10"/>
  <c r="D327" i="10" s="1"/>
  <c r="C319" i="10"/>
  <c r="D319" i="10" s="1"/>
  <c r="C313" i="10"/>
  <c r="D313" i="10" s="1"/>
  <c r="C305" i="10"/>
  <c r="D305" i="10" s="1"/>
  <c r="C297" i="10"/>
  <c r="D297" i="10" s="1"/>
  <c r="C289" i="10"/>
  <c r="D289" i="10"/>
  <c r="C281" i="10"/>
  <c r="D281" i="10" s="1"/>
  <c r="C273" i="10"/>
  <c r="D273" i="10"/>
  <c r="C265" i="10"/>
  <c r="D265" i="10" s="1"/>
  <c r="C257" i="10"/>
  <c r="D257" i="10" s="1"/>
  <c r="C249" i="10"/>
  <c r="D249" i="10" s="1"/>
  <c r="C779" i="10"/>
  <c r="D779" i="10" s="1"/>
  <c r="C699" i="10"/>
  <c r="D699" i="10" s="1"/>
  <c r="C639" i="10"/>
  <c r="D639" i="10"/>
  <c r="C605" i="10"/>
  <c r="D605" i="10" s="1"/>
  <c r="C581" i="10"/>
  <c r="D581" i="10"/>
  <c r="C562" i="10"/>
  <c r="D562" i="10" s="1"/>
  <c r="C538" i="10"/>
  <c r="D538" i="10"/>
  <c r="C501" i="10"/>
  <c r="D501" i="10" s="1"/>
  <c r="C463" i="10"/>
  <c r="D463" i="10"/>
  <c r="C445" i="10"/>
  <c r="D445" i="10" s="1"/>
  <c r="C420" i="10"/>
  <c r="D420" i="10"/>
  <c r="C390" i="10"/>
  <c r="D390" i="10" s="1"/>
  <c r="C358" i="10"/>
  <c r="D358" i="10"/>
  <c r="C723" i="10"/>
  <c r="D723" i="10" s="1"/>
  <c r="C606" i="10"/>
  <c r="D606" i="10"/>
  <c r="C615" i="10"/>
  <c r="D615" i="10" s="1"/>
  <c r="C734" i="10"/>
  <c r="D734" i="10"/>
  <c r="C508" i="10"/>
  <c r="D508" i="10" s="1"/>
  <c r="C222" i="10"/>
  <c r="D222" i="10"/>
  <c r="C278" i="10"/>
  <c r="D278" i="10" s="1"/>
  <c r="C835" i="10"/>
  <c r="D835" i="10"/>
  <c r="C136" i="10"/>
  <c r="D136" i="10" s="1"/>
  <c r="C972" i="10"/>
  <c r="D972" i="10"/>
  <c r="C132" i="10"/>
  <c r="D132" i="10" s="1"/>
  <c r="C831" i="10"/>
  <c r="D831" i="10"/>
  <c r="C184" i="10"/>
  <c r="D184" i="10" s="1"/>
  <c r="C526" i="10"/>
  <c r="D526" i="10"/>
  <c r="C690" i="10"/>
  <c r="D690" i="10" s="1"/>
  <c r="C228" i="10"/>
  <c r="D228" i="10"/>
  <c r="C868" i="10"/>
  <c r="D868" i="10" s="1"/>
  <c r="C899" i="10"/>
  <c r="D899" i="10"/>
  <c r="C954" i="10"/>
  <c r="D954" i="10" s="1"/>
  <c r="C81" i="10"/>
  <c r="D81" i="10"/>
  <c r="C451" i="10"/>
  <c r="D451" i="10" s="1"/>
  <c r="C820" i="10"/>
  <c r="D820" i="10"/>
  <c r="C912" i="10"/>
  <c r="D912" i="10" s="1"/>
  <c r="C424" i="10"/>
  <c r="D424" i="10"/>
  <c r="C97" i="10"/>
  <c r="D97" i="10" s="1"/>
  <c r="C213" i="10"/>
  <c r="D213" i="10"/>
  <c r="C144" i="10"/>
  <c r="D144" i="10" s="1"/>
  <c r="C818" i="10"/>
  <c r="D818" i="10"/>
  <c r="C887" i="10"/>
  <c r="D887" i="10" s="1"/>
  <c r="C176" i="10"/>
  <c r="D176" i="10"/>
  <c r="C594" i="10"/>
  <c r="D594" i="10" s="1"/>
  <c r="C805" i="10"/>
  <c r="D805" i="10"/>
  <c r="C760" i="10"/>
  <c r="D760" i="10" s="1"/>
  <c r="C693" i="10"/>
  <c r="D693" i="10"/>
  <c r="C635" i="10"/>
  <c r="D635" i="10" s="1"/>
  <c r="C608" i="10"/>
  <c r="D608" i="10"/>
  <c r="C587" i="10"/>
  <c r="D587" i="10" s="1"/>
  <c r="C568" i="10"/>
  <c r="D568" i="10"/>
  <c r="C547" i="10"/>
  <c r="D547" i="10" s="1"/>
  <c r="C528" i="10"/>
  <c r="D528" i="10"/>
  <c r="C504" i="10"/>
  <c r="D504" i="10" s="1"/>
  <c r="C483" i="10"/>
  <c r="D483" i="10"/>
  <c r="C765" i="10"/>
  <c r="D765" i="10" s="1"/>
  <c r="C680" i="10"/>
  <c r="D680" i="10"/>
  <c r="C627" i="10"/>
  <c r="D627" i="10" s="1"/>
  <c r="C582" i="10"/>
  <c r="D582" i="10"/>
  <c r="C550" i="10"/>
  <c r="D550" i="10" s="1"/>
  <c r="C525" i="10"/>
  <c r="D525" i="10"/>
  <c r="C497" i="10"/>
  <c r="D497" i="10" s="1"/>
  <c r="C470" i="10"/>
  <c r="D470" i="10"/>
  <c r="C449" i="10"/>
  <c r="D449" i="10" s="1"/>
  <c r="C430" i="10"/>
  <c r="D430" i="10"/>
  <c r="C403" i="10"/>
  <c r="D403" i="10" s="1"/>
  <c r="C393" i="10"/>
  <c r="D393" i="10"/>
  <c r="C381" i="10"/>
  <c r="D381" i="10" s="1"/>
  <c r="C371" i="10"/>
  <c r="D371" i="10"/>
  <c r="C361" i="10"/>
  <c r="D361" i="10" s="1"/>
  <c r="C349" i="10"/>
  <c r="D349" i="10"/>
  <c r="C339" i="10"/>
  <c r="D339" i="10" s="1"/>
  <c r="C329" i="10"/>
  <c r="D329" i="10"/>
  <c r="C317" i="10"/>
  <c r="D317" i="10" s="1"/>
  <c r="C309" i="10"/>
  <c r="D309" i="10"/>
  <c r="C299" i="10"/>
  <c r="D299" i="10" s="1"/>
  <c r="C287" i="10"/>
  <c r="D287" i="10"/>
  <c r="C277" i="10"/>
  <c r="D277" i="10" s="1"/>
  <c r="C267" i="10"/>
  <c r="D267" i="10"/>
  <c r="C255" i="10"/>
  <c r="D255" i="10" s="1"/>
  <c r="C821" i="10"/>
  <c r="D821" i="10"/>
  <c r="C712" i="10"/>
  <c r="D712" i="10" s="1"/>
  <c r="C631" i="10"/>
  <c r="D631" i="10"/>
  <c r="C591" i="10"/>
  <c r="D591" i="10" s="1"/>
  <c r="C567" i="10"/>
  <c r="D567" i="10"/>
  <c r="C534" i="10"/>
  <c r="D534" i="10" s="1"/>
  <c r="C477" i="10"/>
  <c r="D477" i="10"/>
  <c r="C448" i="10"/>
  <c r="D448" i="10" s="1"/>
  <c r="C414" i="10"/>
  <c r="D414" i="10"/>
  <c r="C374" i="10"/>
  <c r="D374" i="10" s="1"/>
  <c r="C741" i="10"/>
  <c r="D741" i="10"/>
  <c r="C599" i="10"/>
  <c r="D599" i="10" s="1"/>
  <c r="C549" i="10"/>
  <c r="D549" i="10"/>
  <c r="C517" i="10"/>
  <c r="D517" i="10" s="1"/>
  <c r="C485" i="10"/>
  <c r="D485" i="10"/>
  <c r="C460" i="10"/>
  <c r="D460" i="10" s="1"/>
  <c r="C436" i="10"/>
  <c r="D436" i="10"/>
  <c r="C392" i="10"/>
  <c r="D392" i="10" s="1"/>
  <c r="C354" i="10"/>
  <c r="D354" i="10"/>
  <c r="C322" i="10"/>
  <c r="D322" i="10" s="1"/>
  <c r="C290" i="10"/>
  <c r="D290" i="10"/>
  <c r="C266" i="10"/>
  <c r="D266" i="10" s="1"/>
  <c r="C243" i="10"/>
  <c r="D243" i="10"/>
  <c r="C235" i="10"/>
  <c r="D235" i="10" s="1"/>
  <c r="C227" i="10"/>
  <c r="D227" i="10"/>
  <c r="C219" i="10"/>
  <c r="D219" i="10" s="1"/>
  <c r="C183" i="10"/>
  <c r="D183" i="10"/>
  <c r="C199" i="10"/>
  <c r="D199" i="10" s="1"/>
  <c r="C215" i="10"/>
  <c r="D215" i="10"/>
  <c r="C36" i="10"/>
  <c r="D36" i="10" s="1"/>
  <c r="C44" i="10"/>
  <c r="D44" i="10"/>
  <c r="C52" i="10"/>
  <c r="D52" i="10" s="1"/>
  <c r="C60" i="10"/>
  <c r="D60" i="10"/>
  <c r="C742" i="10"/>
  <c r="D742" i="10" s="1"/>
  <c r="C799" i="10"/>
  <c r="D799" i="10"/>
  <c r="C475" i="10"/>
  <c r="D475" i="10" s="1"/>
  <c r="C386" i="10"/>
  <c r="D386" i="10"/>
  <c r="C193" i="10"/>
  <c r="D193" i="10" s="1"/>
  <c r="C160" i="10"/>
  <c r="D160" i="10"/>
  <c r="C969" i="10"/>
  <c r="D969" i="10" s="1"/>
  <c r="C156" i="10"/>
  <c r="D156" i="10"/>
  <c r="C789" i="10"/>
  <c r="D789" i="10" s="1"/>
  <c r="C752" i="10"/>
  <c r="D752" i="10"/>
  <c r="C664" i="10"/>
  <c r="D664" i="10" s="1"/>
  <c r="C629" i="10"/>
  <c r="D629" i="10"/>
  <c r="C603" i="10"/>
  <c r="D603" i="10" s="1"/>
  <c r="C579" i="10"/>
  <c r="D579" i="10"/>
  <c r="C563" i="10"/>
  <c r="D563" i="10" s="1"/>
  <c r="C544" i="10"/>
  <c r="D544" i="10"/>
  <c r="C520" i="10"/>
  <c r="D520" i="10" s="1"/>
  <c r="C499" i="10"/>
  <c r="D499" i="10" s="1"/>
  <c r="C480" i="10"/>
  <c r="D480" i="10"/>
  <c r="C744" i="10"/>
  <c r="D744" i="10"/>
  <c r="C655" i="10"/>
  <c r="D655" i="10"/>
  <c r="C607" i="10"/>
  <c r="D607" i="10" s="1"/>
  <c r="C575" i="10"/>
  <c r="D575" i="10"/>
  <c r="C546" i="10"/>
  <c r="D546" i="10" s="1"/>
  <c r="C518" i="10"/>
  <c r="D518" i="10"/>
  <c r="C486" i="10"/>
  <c r="D486" i="10" s="1"/>
  <c r="C465" i="10"/>
  <c r="D465" i="10"/>
  <c r="C446" i="10"/>
  <c r="D446" i="10"/>
  <c r="C422" i="10"/>
  <c r="D422" i="10"/>
  <c r="C411" i="10"/>
  <c r="D411" i="10" s="1"/>
  <c r="C401" i="10"/>
  <c r="D401" i="10" s="1"/>
  <c r="C389" i="10"/>
  <c r="D389" i="10"/>
  <c r="C379" i="10"/>
  <c r="D379" i="10" s="1"/>
  <c r="C369" i="10"/>
  <c r="D369" i="10" s="1"/>
  <c r="C357" i="10"/>
  <c r="D357" i="10"/>
  <c r="C347" i="10"/>
  <c r="D347" i="10"/>
  <c r="C337" i="10"/>
  <c r="D337" i="10"/>
  <c r="C325" i="10"/>
  <c r="D325" i="10" s="1"/>
  <c r="C307" i="10"/>
  <c r="D307" i="10"/>
  <c r="C295" i="10"/>
  <c r="D295" i="10" s="1"/>
  <c r="C285" i="10"/>
  <c r="D285" i="10"/>
  <c r="C275" i="10"/>
  <c r="D275" i="10" s="1"/>
  <c r="C263" i="10"/>
  <c r="D263" i="10"/>
  <c r="C253" i="10"/>
  <c r="D253" i="10"/>
  <c r="C795" i="10"/>
  <c r="D795" i="10"/>
  <c r="C688" i="10"/>
  <c r="D688" i="10" s="1"/>
  <c r="C621" i="10"/>
  <c r="D621" i="10" s="1"/>
  <c r="C586" i="10"/>
  <c r="D586" i="10"/>
  <c r="C558" i="10"/>
  <c r="D558" i="10" s="1"/>
  <c r="C524" i="10"/>
  <c r="D524" i="10" s="1"/>
  <c r="C466" i="10"/>
  <c r="D466" i="10"/>
  <c r="C434" i="10"/>
  <c r="D434" i="10"/>
  <c r="C406" i="10"/>
  <c r="D406" i="10"/>
  <c r="C366" i="10"/>
  <c r="D366" i="10" s="1"/>
  <c r="C707" i="10"/>
  <c r="D707" i="10"/>
  <c r="C580" i="10"/>
  <c r="D580" i="10" s="1"/>
  <c r="C542" i="10"/>
  <c r="D542" i="10"/>
  <c r="C505" i="10"/>
  <c r="D505" i="10" s="1"/>
  <c r="C474" i="10"/>
  <c r="D474" i="10"/>
  <c r="C455" i="10"/>
  <c r="D455" i="10"/>
  <c r="C426" i="10"/>
  <c r="D426" i="10"/>
  <c r="C378" i="10"/>
  <c r="D378" i="10" s="1"/>
  <c r="C346" i="10"/>
  <c r="D346" i="10" s="1"/>
  <c r="C314" i="10"/>
  <c r="D314" i="10"/>
  <c r="C258" i="10"/>
  <c r="D258" i="10" s="1"/>
  <c r="C241" i="10"/>
  <c r="D241" i="10" s="1"/>
  <c r="C233" i="10"/>
  <c r="D233" i="10"/>
  <c r="C225" i="10"/>
  <c r="D225" i="10"/>
  <c r="C171" i="10"/>
  <c r="D171" i="10"/>
  <c r="C187" i="10"/>
  <c r="D187" i="10" s="1"/>
  <c r="C203" i="10"/>
  <c r="D203" i="10"/>
  <c r="C30" i="10"/>
  <c r="D30" i="10" s="1"/>
  <c r="C38" i="10"/>
  <c r="D38" i="10"/>
  <c r="C46" i="10"/>
  <c r="D46" i="10" s="1"/>
  <c r="C54" i="10"/>
  <c r="D54" i="10"/>
  <c r="C62" i="10"/>
  <c r="D62" i="10"/>
  <c r="C70" i="10"/>
  <c r="D70" i="10"/>
  <c r="C78" i="10"/>
  <c r="D78" i="10" s="1"/>
  <c r="C86" i="10"/>
  <c r="D86" i="10" s="1"/>
  <c r="C94" i="10"/>
  <c r="D94" i="10"/>
  <c r="C102" i="10"/>
  <c r="D102" i="10" s="1"/>
  <c r="C614" i="10"/>
  <c r="D614" i="10" s="1"/>
  <c r="C622" i="10"/>
  <c r="D622" i="10"/>
  <c r="C630" i="10"/>
  <c r="D630" i="10"/>
  <c r="C638" i="10"/>
  <c r="D638" i="10"/>
  <c r="C646" i="10"/>
  <c r="D646" i="10" s="1"/>
  <c r="C654" i="10"/>
  <c r="D654" i="10"/>
  <c r="C663" i="10"/>
  <c r="D663" i="10" s="1"/>
  <c r="C676" i="10"/>
  <c r="D676" i="10"/>
  <c r="C684" i="10"/>
  <c r="D684" i="10" s="1"/>
  <c r="C695" i="10"/>
  <c r="D695" i="10"/>
  <c r="C705" i="10"/>
  <c r="D705" i="10"/>
  <c r="C713" i="10"/>
  <c r="D713" i="10"/>
  <c r="C732" i="10"/>
  <c r="D732" i="10" s="1"/>
  <c r="C740" i="10"/>
  <c r="D740" i="10" s="1"/>
  <c r="C751" i="10"/>
  <c r="D751" i="10"/>
  <c r="C761" i="10"/>
  <c r="D761" i="10" s="1"/>
  <c r="C772" i="10"/>
  <c r="D772" i="10" s="1"/>
  <c r="C780" i="10"/>
  <c r="D780" i="10"/>
  <c r="C792" i="10"/>
  <c r="D792" i="10"/>
  <c r="C813" i="10"/>
  <c r="D813" i="10"/>
  <c r="C717" i="10"/>
  <c r="D717" i="10" s="1"/>
  <c r="C585" i="10"/>
  <c r="D585" i="10"/>
  <c r="C484" i="10"/>
  <c r="D484" i="10" s="1"/>
  <c r="C419" i="10"/>
  <c r="D419" i="10"/>
  <c r="C332" i="10"/>
  <c r="D332" i="10" s="1"/>
  <c r="C254" i="10"/>
  <c r="D254" i="10"/>
  <c r="C35" i="10"/>
  <c r="D35" i="10"/>
  <c r="C99" i="10"/>
  <c r="D99" i="10" s="1"/>
  <c r="C917" i="10"/>
  <c r="D917" i="10"/>
  <c r="C794" i="10"/>
  <c r="D794" i="10" s="1"/>
  <c r="C666" i="10"/>
  <c r="D666" i="10"/>
  <c r="C955" i="10"/>
  <c r="D955" i="10" s="1"/>
  <c r="C907" i="10"/>
  <c r="D907" i="10"/>
  <c r="C838" i="10"/>
  <c r="D838" i="10"/>
  <c r="C959" i="10"/>
  <c r="D959" i="10"/>
  <c r="C911" i="10"/>
  <c r="D911" i="10" s="1"/>
  <c r="C844" i="10"/>
  <c r="D844" i="10" s="1"/>
  <c r="C796" i="10"/>
  <c r="D796" i="10"/>
  <c r="C894" i="10"/>
  <c r="D894" i="10" s="1"/>
  <c r="C766" i="10"/>
  <c r="D766" i="10" s="1"/>
  <c r="C811" i="10"/>
  <c r="D811" i="10"/>
  <c r="C566" i="10"/>
  <c r="D566" i="10"/>
  <c r="C468" i="10"/>
  <c r="D468" i="10"/>
  <c r="C418" i="10"/>
  <c r="D418" i="10" s="1"/>
  <c r="C370" i="10"/>
  <c r="D370" i="10"/>
  <c r="C260" i="10"/>
  <c r="D260" i="10" s="1"/>
  <c r="C57" i="10"/>
  <c r="D57" i="10"/>
  <c r="C117" i="10"/>
  <c r="D117" i="10" s="1"/>
  <c r="C134" i="10"/>
  <c r="D134" i="10"/>
  <c r="C150" i="10"/>
  <c r="D150" i="10"/>
  <c r="C166" i="10"/>
  <c r="D166" i="10"/>
  <c r="C188" i="10"/>
  <c r="D188" i="10" s="1"/>
  <c r="K70" i="5"/>
  <c r="K70" i="32" s="1"/>
  <c r="C933" i="10"/>
  <c r="D933" i="10"/>
  <c r="C885" i="10"/>
  <c r="D885" i="10" s="1"/>
  <c r="C993" i="10"/>
  <c r="D993" i="10" s="1"/>
  <c r="C937" i="10"/>
  <c r="D937" i="10"/>
  <c r="C889" i="10"/>
  <c r="D889" i="10"/>
  <c r="C840" i="10"/>
  <c r="D840" i="10"/>
  <c r="C793" i="10"/>
  <c r="D793" i="10" s="1"/>
  <c r="C746" i="10"/>
  <c r="D746" i="10"/>
  <c r="C854" i="10"/>
  <c r="D854" i="10" s="1"/>
  <c r="C920" i="10"/>
  <c r="D920" i="10"/>
  <c r="C982" i="10"/>
  <c r="D982" i="10" s="1"/>
  <c r="C206" i="10"/>
  <c r="D206" i="10"/>
  <c r="C194" i="10"/>
  <c r="D194" i="10"/>
  <c r="C178" i="10"/>
  <c r="D178" i="10"/>
  <c r="C165" i="10"/>
  <c r="D165" i="10" s="1"/>
  <c r="C157" i="10"/>
  <c r="D157" i="10" s="1"/>
  <c r="C149" i="10"/>
  <c r="D149" i="10"/>
  <c r="C141" i="10"/>
  <c r="D141" i="10" s="1"/>
  <c r="C133" i="10"/>
  <c r="D133" i="10" s="1"/>
  <c r="C124" i="10"/>
  <c r="D124" i="10"/>
  <c r="C110" i="10"/>
  <c r="D110" i="10"/>
  <c r="C101" i="10"/>
  <c r="D101" i="10"/>
  <c r="C69" i="10"/>
  <c r="D69" i="10" s="1"/>
  <c r="C201" i="10"/>
  <c r="D201" i="10"/>
  <c r="C234" i="10"/>
  <c r="D234" i="10" s="1"/>
  <c r="C276" i="10"/>
  <c r="D276" i="10"/>
  <c r="C312" i="10"/>
  <c r="D312" i="10" s="1"/>
  <c r="C368" i="10"/>
  <c r="D368" i="10"/>
  <c r="C453" i="10"/>
  <c r="D453" i="10"/>
  <c r="C503" i="10"/>
  <c r="D503" i="10"/>
  <c r="C570" i="10"/>
  <c r="D570" i="10" s="1"/>
  <c r="C617" i="10"/>
  <c r="D617" i="10" s="1"/>
  <c r="C720" i="10"/>
  <c r="D720" i="10"/>
  <c r="C987" i="10"/>
  <c r="D987" i="10" s="1"/>
  <c r="C815" i="10"/>
  <c r="D815" i="10" s="1"/>
  <c r="C857" i="10"/>
  <c r="D857" i="10"/>
  <c r="C900" i="10"/>
  <c r="D900" i="10"/>
  <c r="C943" i="10"/>
  <c r="D943" i="10"/>
  <c r="C985" i="10"/>
  <c r="D985" i="10" s="1"/>
  <c r="C853" i="10"/>
  <c r="D853" i="10"/>
  <c r="C896" i="10"/>
  <c r="D896" i="10" s="1"/>
  <c r="C939" i="10"/>
  <c r="D939" i="10"/>
  <c r="C981" i="10"/>
  <c r="D981" i="10" s="1"/>
  <c r="C706" i="10"/>
  <c r="D706" i="10"/>
  <c r="C770" i="10"/>
  <c r="D770" i="10"/>
  <c r="C834" i="10"/>
  <c r="D834" i="10"/>
  <c r="C898" i="10"/>
  <c r="D898" i="10" s="1"/>
  <c r="C962" i="10"/>
  <c r="D962" i="10" s="1"/>
  <c r="C95" i="10"/>
  <c r="D95" i="10"/>
  <c r="C63" i="10"/>
  <c r="D63" i="10" s="1"/>
  <c r="C31" i="10"/>
  <c r="D31" i="10" s="1"/>
  <c r="C224" i="10"/>
  <c r="D224" i="10"/>
  <c r="C256" i="10"/>
  <c r="D256" i="10"/>
  <c r="C302" i="10"/>
  <c r="D302" i="10"/>
  <c r="C348" i="10"/>
  <c r="D348" i="10" s="1"/>
  <c r="C412" i="10"/>
  <c r="D412" i="10"/>
  <c r="C435" i="10"/>
  <c r="D435" i="10" s="1"/>
  <c r="C472" i="10"/>
  <c r="D472" i="10"/>
  <c r="C522" i="10"/>
  <c r="D522" i="10" s="1"/>
  <c r="C573" i="10"/>
  <c r="D573" i="10"/>
  <c r="C637" i="10"/>
  <c r="D637" i="10"/>
  <c r="C100" i="10"/>
  <c r="D100" i="10"/>
  <c r="C90" i="10"/>
  <c r="D90" i="10" s="1"/>
  <c r="C80" i="10"/>
  <c r="D80" i="10" s="1"/>
  <c r="C68" i="10"/>
  <c r="D68" i="10"/>
  <c r="C56" i="10"/>
  <c r="D56" i="10" s="1"/>
  <c r="C40" i="10"/>
  <c r="D40" i="10"/>
  <c r="C207" i="10"/>
  <c r="D207" i="10"/>
  <c r="C175" i="10"/>
  <c r="D175" i="10"/>
  <c r="C231" i="10"/>
  <c r="D231" i="10" s="1"/>
  <c r="C250" i="10"/>
  <c r="D250" i="10" s="1"/>
  <c r="C306" i="10"/>
  <c r="D306" i="10"/>
  <c r="C364" i="10"/>
  <c r="D364" i="10" s="1"/>
  <c r="C450" i="10"/>
  <c r="D450" i="10" s="1"/>
  <c r="C498" i="10"/>
  <c r="D498" i="10"/>
  <c r="C574" i="10"/>
  <c r="D574" i="10"/>
  <c r="C800" i="10"/>
  <c r="D800" i="10"/>
  <c r="C431" i="10"/>
  <c r="D431" i="10" s="1"/>
  <c r="C510" i="10"/>
  <c r="D510" i="10"/>
  <c r="C577" i="10"/>
  <c r="D577" i="10" s="1"/>
  <c r="C674" i="10"/>
  <c r="D674" i="10"/>
  <c r="C251" i="10"/>
  <c r="D251" i="10" s="1"/>
  <c r="C271" i="10"/>
  <c r="D271" i="10"/>
  <c r="C293" i="10"/>
  <c r="D293" i="10"/>
  <c r="C315" i="10"/>
  <c r="D315" i="10"/>
  <c r="C333" i="10"/>
  <c r="D333" i="10" s="1"/>
  <c r="C355" i="10"/>
  <c r="D355" i="10" s="1"/>
  <c r="C377" i="10"/>
  <c r="D377" i="10"/>
  <c r="C397" i="10"/>
  <c r="D397" i="10" s="1"/>
  <c r="C417" i="10"/>
  <c r="D417" i="10" s="1"/>
  <c r="C462" i="10"/>
  <c r="D462" i="10"/>
  <c r="C511" i="10"/>
  <c r="D511" i="10"/>
  <c r="C564" i="10"/>
  <c r="D564" i="10"/>
  <c r="C649" i="10"/>
  <c r="D649" i="10" s="1"/>
  <c r="C784" i="10"/>
  <c r="D784" i="10"/>
  <c r="C515" i="10"/>
  <c r="D515" i="10" s="1"/>
  <c r="C560" i="10"/>
  <c r="D560" i="10"/>
  <c r="C595" i="10"/>
  <c r="D595" i="10" s="1"/>
  <c r="C657" i="10"/>
  <c r="D657" i="10"/>
  <c r="C781" i="10"/>
  <c r="D781" i="10"/>
  <c r="C238" i="10"/>
  <c r="D238" i="10"/>
  <c r="C336" i="10"/>
  <c r="D336" i="10" s="1"/>
  <c r="C988" i="10"/>
  <c r="D988" i="10" s="1"/>
  <c r="C883" i="10"/>
  <c r="D883" i="10"/>
  <c r="C951" i="10"/>
  <c r="D951" i="10" s="1"/>
  <c r="O72" i="5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H75" i="32" s="1"/>
  <c r="F71" i="5"/>
  <c r="F71" i="32" s="1"/>
  <c r="L76" i="5"/>
  <c r="L76" i="32" s="1"/>
  <c r="M78" i="5"/>
  <c r="M78" i="32" s="1"/>
  <c r="F77" i="5"/>
  <c r="F77" i="32" s="1"/>
  <c r="I75" i="5"/>
  <c r="F70" i="5"/>
  <c r="F70" i="32" s="1"/>
  <c r="I71" i="5"/>
  <c r="I71" i="32" s="1"/>
  <c r="J75" i="5"/>
  <c r="N78" i="5"/>
  <c r="N78" i="32" s="1"/>
  <c r="L78" i="5"/>
  <c r="L78" i="32" s="1"/>
  <c r="J71" i="5"/>
  <c r="J71" i="32" s="1"/>
  <c r="J70" i="5"/>
  <c r="J70" i="32" s="1"/>
  <c r="M76" i="5"/>
  <c r="M76" i="32" s="1"/>
  <c r="M77" i="5"/>
  <c r="M77" i="32"/>
  <c r="E72" i="5"/>
  <c r="E72" i="32" s="1"/>
  <c r="E77" i="5"/>
  <c r="E77" i="32" s="1"/>
  <c r="G72" i="5"/>
  <c r="L72" i="5"/>
  <c r="L72" i="32" s="1"/>
  <c r="E71" i="5"/>
  <c r="E71" i="32" s="1"/>
  <c r="L77" i="5"/>
  <c r="L77" i="32" s="1"/>
  <c r="H70" i="5"/>
  <c r="H70" i="32" s="1"/>
  <c r="H76" i="5"/>
  <c r="H76" i="32" s="1"/>
  <c r="G75" i="5"/>
  <c r="I69" i="5"/>
  <c r="C71" i="5"/>
  <c r="C71" i="32" s="1"/>
  <c r="F75" i="5"/>
  <c r="O71" i="5"/>
  <c r="I77" i="5"/>
  <c r="I77" i="32" s="1"/>
  <c r="D70" i="5"/>
  <c r="D70" i="32" s="1"/>
  <c r="N77" i="5"/>
  <c r="N77" i="32"/>
  <c r="E69" i="5"/>
  <c r="E69" i="32" s="1"/>
  <c r="F69" i="5"/>
  <c r="F69" i="32" s="1"/>
  <c r="N71" i="5"/>
  <c r="N71" i="32"/>
  <c r="N70" i="5"/>
  <c r="N70" i="32" s="1"/>
  <c r="M69" i="5"/>
  <c r="M69" i="32" s="1"/>
  <c r="K76" i="5"/>
  <c r="D78" i="5"/>
  <c r="D78" i="32" s="1"/>
  <c r="C72" i="5"/>
  <c r="C72" i="32" s="1"/>
  <c r="F72" i="5"/>
  <c r="F72" i="32" s="1"/>
  <c r="L69" i="5"/>
  <c r="O77" i="5"/>
  <c r="J69" i="5"/>
  <c r="I70" i="5"/>
  <c r="I70" i="32" s="1"/>
  <c r="I72" i="5"/>
  <c r="D72" i="5"/>
  <c r="D72" i="32" s="1"/>
  <c r="L71" i="5"/>
  <c r="L71" i="32" s="1"/>
  <c r="E70" i="5"/>
  <c r="E73" i="5" s="1"/>
  <c r="E70" i="32"/>
  <c r="C78" i="5"/>
  <c r="C78" i="32" s="1"/>
  <c r="N75" i="5"/>
  <c r="N79" i="5" s="1"/>
  <c r="G76" i="5"/>
  <c r="G76" i="32" s="1"/>
  <c r="H72" i="5"/>
  <c r="H72" i="32" s="1"/>
  <c r="L75" i="5"/>
  <c r="C75" i="5"/>
  <c r="C79" i="5" s="1"/>
  <c r="H71" i="5"/>
  <c r="H71" i="32" s="1"/>
  <c r="D76" i="5"/>
  <c r="D76" i="32" s="1"/>
  <c r="I78" i="5"/>
  <c r="I78" i="32" s="1"/>
  <c r="K71" i="5"/>
  <c r="D75" i="5"/>
  <c r="D75" i="32" s="1"/>
  <c r="D69" i="5"/>
  <c r="G77" i="5"/>
  <c r="G77" i="32" s="1"/>
  <c r="O78" i="5"/>
  <c r="N69" i="5"/>
  <c r="N69" i="32" s="1"/>
  <c r="N73" i="32" s="1"/>
  <c r="J78" i="5"/>
  <c r="J78" i="32" s="1"/>
  <c r="G71" i="5"/>
  <c r="G71" i="32"/>
  <c r="O69" i="5"/>
  <c r="M70" i="5"/>
  <c r="J76" i="5"/>
  <c r="J76" i="32" s="1"/>
  <c r="G70" i="5"/>
  <c r="G70" i="32" s="1"/>
  <c r="K75" i="5"/>
  <c r="K75" i="32" s="1"/>
  <c r="E75" i="5"/>
  <c r="M71" i="5"/>
  <c r="M71" i="32" s="1"/>
  <c r="D71" i="5"/>
  <c r="D71" i="32" s="1"/>
  <c r="E78" i="5"/>
  <c r="E78" i="32"/>
  <c r="J77" i="5"/>
  <c r="J77" i="32"/>
  <c r="G78" i="5"/>
  <c r="G78" i="32" s="1"/>
  <c r="G69" i="5"/>
  <c r="G69" i="32" s="1"/>
  <c r="C76" i="5"/>
  <c r="C76" i="32" s="1"/>
  <c r="C77" i="5"/>
  <c r="C77" i="32" s="1"/>
  <c r="C69" i="5"/>
  <c r="C69" i="32" s="1"/>
  <c r="H77" i="5"/>
  <c r="H77" i="32"/>
  <c r="F76" i="5"/>
  <c r="F76" i="32"/>
  <c r="E76" i="5"/>
  <c r="E76" i="32" s="1"/>
  <c r="K78" i="5"/>
  <c r="K78" i="32"/>
  <c r="J72" i="5"/>
  <c r="J72" i="32" s="1"/>
  <c r="M75" i="5"/>
  <c r="M79" i="5" s="1"/>
  <c r="H69" i="5"/>
  <c r="H69" i="32" s="1"/>
  <c r="D77" i="5"/>
  <c r="D77" i="32"/>
  <c r="F78" i="5"/>
  <c r="F78" i="32" s="1"/>
  <c r="O76" i="5"/>
  <c r="D1" i="21"/>
  <c r="B2" i="5"/>
  <c r="B2" i="32"/>
  <c r="C527" i="10"/>
  <c r="D527" i="10"/>
  <c r="C376" i="10"/>
  <c r="D376" i="10"/>
  <c r="C33" i="10"/>
  <c r="D33" i="10"/>
  <c r="C123" i="10"/>
  <c r="D123" i="10"/>
  <c r="C208" i="10"/>
  <c r="D208" i="10"/>
  <c r="C826" i="10"/>
  <c r="D826" i="10" s="1"/>
  <c r="C976" i="10"/>
  <c r="D976" i="10"/>
  <c r="C872" i="10"/>
  <c r="D872" i="10" s="1"/>
  <c r="C940" i="10"/>
  <c r="D940" i="10"/>
  <c r="C841" i="10"/>
  <c r="D841" i="10" s="1"/>
  <c r="C490" i="10"/>
  <c r="D490" i="10"/>
  <c r="C43" i="10"/>
  <c r="D43" i="10"/>
  <c r="C216" i="10"/>
  <c r="D216" i="10"/>
  <c r="C27" i="10"/>
  <c r="D27" i="10" s="1"/>
  <c r="C865" i="10"/>
  <c r="D865" i="10" s="1"/>
  <c r="C439" i="10"/>
  <c r="D439" i="10"/>
  <c r="C65" i="10"/>
  <c r="D65" i="10" s="1"/>
  <c r="C968" i="10"/>
  <c r="D968" i="10" s="1"/>
  <c r="C932" i="10"/>
  <c r="D932" i="10"/>
  <c r="C736" i="10"/>
  <c r="D736" i="10"/>
  <c r="C328" i="10"/>
  <c r="D328" i="10"/>
  <c r="C164" i="10"/>
  <c r="D164" i="10" s="1"/>
  <c r="C957" i="10"/>
  <c r="D957" i="10"/>
  <c r="C817" i="10"/>
  <c r="D817" i="10" s="1"/>
  <c r="C384" i="10"/>
  <c r="D384" i="10"/>
  <c r="C168" i="10"/>
  <c r="D168" i="10" s="1"/>
  <c r="C992" i="10"/>
  <c r="D992" i="10"/>
  <c r="C953" i="10"/>
  <c r="D953" i="10"/>
  <c r="C75" i="10"/>
  <c r="D75" i="10" s="1"/>
  <c r="C928" i="10"/>
  <c r="D928" i="10" s="1"/>
  <c r="C509" i="10"/>
  <c r="D509" i="10" s="1"/>
  <c r="C192" i="10"/>
  <c r="D192" i="10"/>
  <c r="C980" i="10"/>
  <c r="D980" i="10" s="1"/>
  <c r="C200" i="10"/>
  <c r="D200" i="10" s="1"/>
  <c r="C437" i="10"/>
  <c r="D437" i="10"/>
  <c r="C921" i="10"/>
  <c r="D921" i="10"/>
  <c r="C286" i="10"/>
  <c r="D286" i="10"/>
  <c r="C119" i="10"/>
  <c r="D119" i="10" s="1"/>
  <c r="C148" i="10"/>
  <c r="D148" i="10"/>
  <c r="C494" i="10"/>
  <c r="D494" i="10" s="1"/>
  <c r="C342" i="10"/>
  <c r="D342" i="10"/>
  <c r="C59" i="10"/>
  <c r="D59" i="10" s="1"/>
  <c r="C140" i="10"/>
  <c r="D140" i="10" s="1"/>
  <c r="C28" i="10"/>
  <c r="D28" i="10"/>
  <c r="C762" i="10"/>
  <c r="D762" i="10" s="1"/>
  <c r="C949" i="10"/>
  <c r="D949" i="10" s="1"/>
  <c r="C851" i="10"/>
  <c r="D851" i="10" s="1"/>
  <c r="C916" i="10"/>
  <c r="D916" i="10" s="1"/>
  <c r="C809" i="10"/>
  <c r="D809" i="10"/>
  <c r="C394" i="10"/>
  <c r="D394" i="10" s="1"/>
  <c r="C91" i="10"/>
  <c r="D91" i="10" s="1"/>
  <c r="C946" i="10"/>
  <c r="D946" i="10"/>
  <c r="C843" i="10"/>
  <c r="D843" i="10" s="1"/>
  <c r="C801" i="10"/>
  <c r="D801" i="10" s="1"/>
  <c r="C292" i="10"/>
  <c r="D292" i="10" s="1"/>
  <c r="C111" i="10"/>
  <c r="D111" i="10" s="1"/>
  <c r="C882" i="10"/>
  <c r="D882" i="10" s="1"/>
  <c r="C947" i="10"/>
  <c r="D947" i="10" s="1"/>
  <c r="C884" i="10"/>
  <c r="D884" i="10" s="1"/>
  <c r="C545" i="10"/>
  <c r="D545" i="10" s="1"/>
  <c r="C244" i="10"/>
  <c r="D244" i="10"/>
  <c r="C934" i="10"/>
  <c r="D934" i="10" s="1"/>
  <c r="C901" i="10"/>
  <c r="D901" i="10"/>
  <c r="C733" i="10"/>
  <c r="D733" i="10" s="1"/>
  <c r="C300" i="10"/>
  <c r="D300" i="10" s="1"/>
  <c r="C925" i="10"/>
  <c r="D925" i="10" s="1"/>
  <c r="C936" i="10"/>
  <c r="D936" i="10" s="1"/>
  <c r="C903" i="10"/>
  <c r="D903" i="10" s="1"/>
  <c r="C609" i="10"/>
  <c r="D609" i="10" s="1"/>
  <c r="C152" i="10"/>
  <c r="D152" i="10" s="1"/>
  <c r="C827" i="10"/>
  <c r="D827" i="10" s="1"/>
  <c r="C356" i="10"/>
  <c r="D356" i="10"/>
  <c r="C998" i="10"/>
  <c r="D998" i="10" s="1"/>
  <c r="C876" i="10"/>
  <c r="D876" i="10" s="1"/>
  <c r="C870" i="10"/>
  <c r="D870" i="10"/>
  <c r="C49" i="10"/>
  <c r="D49" i="10" s="1"/>
  <c r="C350" i="10"/>
  <c r="D350" i="10" s="1"/>
  <c r="C880" i="10"/>
  <c r="D880" i="10" s="1"/>
  <c r="C990" i="10"/>
  <c r="D990" i="10" s="1"/>
  <c r="N75" i="32"/>
  <c r="N79" i="32" s="1"/>
  <c r="C89" i="32"/>
  <c r="O88" i="32"/>
  <c r="K89" i="32"/>
  <c r="G99" i="32"/>
  <c r="K69" i="32"/>
  <c r="E75" i="32"/>
  <c r="J75" i="32"/>
  <c r="I69" i="32"/>
  <c r="I79" i="5"/>
  <c r="I75" i="32"/>
  <c r="M75" i="32"/>
  <c r="C73" i="5"/>
  <c r="F79" i="5"/>
  <c r="F75" i="32"/>
  <c r="G79" i="5"/>
  <c r="G75" i="32"/>
  <c r="K59" i="5"/>
  <c r="K59" i="32" s="1"/>
  <c r="J44" i="5"/>
  <c r="J44" i="32" s="1"/>
  <c r="D14" i="5"/>
  <c r="D14" i="32" s="1"/>
  <c r="C75" i="32" l="1"/>
  <c r="F79" i="32"/>
  <c r="I79" i="32"/>
  <c r="F99" i="5"/>
  <c r="M99" i="5"/>
  <c r="H97" i="32"/>
  <c r="N67" i="32"/>
  <c r="D97" i="32"/>
  <c r="D99" i="32" s="1"/>
  <c r="G79" i="32"/>
  <c r="D79" i="5"/>
  <c r="I99" i="32"/>
  <c r="K94" i="5"/>
  <c r="G94" i="5"/>
  <c r="F94" i="5"/>
  <c r="H93" i="32"/>
  <c r="F73" i="5"/>
  <c r="C92" i="32"/>
  <c r="D73" i="5"/>
  <c r="D67" i="5" s="1"/>
  <c r="N92" i="32"/>
  <c r="N94" i="32" s="1"/>
  <c r="J94" i="5"/>
  <c r="H73" i="32"/>
  <c r="C73" i="32"/>
  <c r="L94" i="5"/>
  <c r="O68" i="32"/>
  <c r="D69" i="32"/>
  <c r="D73" i="32" s="1"/>
  <c r="H73" i="5"/>
  <c r="I94" i="32"/>
  <c r="D94" i="32"/>
  <c r="E73" i="32"/>
  <c r="R26" i="10"/>
  <c r="X31" i="10"/>
  <c r="R28" i="10"/>
  <c r="Z33" i="10"/>
  <c r="R29" i="10"/>
  <c r="O14" i="5" s="1"/>
  <c r="R27" i="10"/>
  <c r="O9" i="5" s="1"/>
  <c r="V32" i="10"/>
  <c r="H5" i="10"/>
  <c r="K56" i="10"/>
  <c r="L48" i="10"/>
  <c r="E16" i="5"/>
  <c r="E16" i="32" s="1"/>
  <c r="F67" i="5"/>
  <c r="E79" i="32"/>
  <c r="C79" i="32"/>
  <c r="N99" i="32"/>
  <c r="O74" i="32"/>
  <c r="O74" i="5"/>
  <c r="O68" i="5"/>
  <c r="O73" i="5" s="1"/>
  <c r="J73" i="5"/>
  <c r="E89" i="32"/>
  <c r="F89" i="32"/>
  <c r="G89" i="32"/>
  <c r="C32" i="5"/>
  <c r="C32" i="32" s="1"/>
  <c r="D43" i="5"/>
  <c r="D43" i="32" s="1"/>
  <c r="I38" i="5"/>
  <c r="I38" i="32" s="1"/>
  <c r="G16" i="5"/>
  <c r="G16" i="32" s="1"/>
  <c r="C60" i="5"/>
  <c r="C60" i="32" s="1"/>
  <c r="G20" i="5"/>
  <c r="G20" i="32" s="1"/>
  <c r="O41" i="5"/>
  <c r="N55" i="5"/>
  <c r="N55" i="32" s="1"/>
  <c r="N47" i="5"/>
  <c r="N47" i="32" s="1"/>
  <c r="J20" i="5"/>
  <c r="J20" i="32" s="1"/>
  <c r="C26" i="5"/>
  <c r="C26" i="32" s="1"/>
  <c r="D35" i="5"/>
  <c r="D35" i="32" s="1"/>
  <c r="K58" i="5"/>
  <c r="K58" i="32" s="1"/>
  <c r="M47" i="5"/>
  <c r="M47" i="32" s="1"/>
  <c r="J79" i="32"/>
  <c r="H79" i="5"/>
  <c r="N10" i="5"/>
  <c r="N10" i="32" s="1"/>
  <c r="D64" i="5"/>
  <c r="D64" i="32" s="1"/>
  <c r="N44" i="5"/>
  <c r="N44" i="32" s="1"/>
  <c r="K49" i="5"/>
  <c r="K49" i="32" s="1"/>
  <c r="E14" i="5"/>
  <c r="E14" i="32" s="1"/>
  <c r="O59" i="5"/>
  <c r="N48" i="5"/>
  <c r="N48" i="32" s="1"/>
  <c r="C19" i="5"/>
  <c r="C19" i="32" s="1"/>
  <c r="K18" i="5"/>
  <c r="K18" i="32" s="1"/>
  <c r="C67" i="5"/>
  <c r="D40" i="5"/>
  <c r="D40" i="32" s="1"/>
  <c r="M29" i="5"/>
  <c r="M29" i="32" s="1"/>
  <c r="N28" i="5"/>
  <c r="N28" i="32" s="1"/>
  <c r="K35" i="5"/>
  <c r="K35" i="32" s="1"/>
  <c r="D42" i="5"/>
  <c r="D42" i="32" s="1"/>
  <c r="E30" i="5"/>
  <c r="E30" i="32" s="1"/>
  <c r="M79" i="32"/>
  <c r="J69" i="32"/>
  <c r="J73" i="32" s="1"/>
  <c r="J79" i="5"/>
  <c r="J67" i="5" s="1"/>
  <c r="I65" i="5"/>
  <c r="I65" i="32" s="1"/>
  <c r="O89" i="5"/>
  <c r="D58" i="5"/>
  <c r="D58" i="32" s="1"/>
  <c r="F73" i="32"/>
  <c r="F67" i="32" s="1"/>
  <c r="L6" i="5"/>
  <c r="L6" i="32" s="1"/>
  <c r="E60" i="5"/>
  <c r="E60" i="32" s="1"/>
  <c r="L15" i="5"/>
  <c r="L15" i="32" s="1"/>
  <c r="F57" i="5"/>
  <c r="F57" i="32" s="1"/>
  <c r="L47" i="5"/>
  <c r="L47" i="32" s="1"/>
  <c r="K7" i="5"/>
  <c r="K7" i="32" s="1"/>
  <c r="N49" i="5"/>
  <c r="N49" i="32" s="1"/>
  <c r="C22" i="5"/>
  <c r="C22" i="32" s="1"/>
  <c r="H79" i="32"/>
  <c r="H67" i="32" s="1"/>
  <c r="E79" i="5"/>
  <c r="E67" i="5" s="1"/>
  <c r="N73" i="5"/>
  <c r="N67" i="5" s="1"/>
  <c r="C94" i="32"/>
  <c r="J94" i="32"/>
  <c r="G94" i="32"/>
  <c r="J99" i="32"/>
  <c r="O94" i="5"/>
  <c r="H94" i="32"/>
  <c r="M94" i="32"/>
  <c r="E94" i="5"/>
  <c r="H99" i="32"/>
  <c r="K99" i="32"/>
  <c r="N32" i="5"/>
  <c r="N32" i="32" s="1"/>
  <c r="L39" i="5"/>
  <c r="L39" i="32" s="1"/>
  <c r="N34" i="5"/>
  <c r="N34" i="32" s="1"/>
  <c r="M23" i="5"/>
  <c r="M23" i="32" s="1"/>
  <c r="G55" i="5"/>
  <c r="G55" i="32" s="1"/>
  <c r="G15" i="5"/>
  <c r="G15" i="32" s="1"/>
  <c r="I50" i="5"/>
  <c r="I50" i="32" s="1"/>
  <c r="L59" i="5"/>
  <c r="L59" i="32" s="1"/>
  <c r="G33" i="5"/>
  <c r="G33" i="32" s="1"/>
  <c r="M16" i="5"/>
  <c r="M16" i="32" s="1"/>
  <c r="O26" i="5"/>
  <c r="L37" i="5"/>
  <c r="L37" i="32" s="1"/>
  <c r="H53" i="5"/>
  <c r="H53" i="32" s="1"/>
  <c r="H38" i="5"/>
  <c r="H38" i="32" s="1"/>
  <c r="H23" i="5"/>
  <c r="H23" i="32" s="1"/>
  <c r="N31" i="5"/>
  <c r="N31" i="32" s="1"/>
  <c r="G47" i="5"/>
  <c r="G47" i="32" s="1"/>
  <c r="M41" i="5"/>
  <c r="M41" i="32" s="1"/>
  <c r="M28" i="5"/>
  <c r="M28" i="32" s="1"/>
  <c r="J26" i="5"/>
  <c r="J26" i="32" s="1"/>
  <c r="E17" i="5"/>
  <c r="E17" i="32" s="1"/>
  <c r="H6" i="5"/>
  <c r="I51" i="5"/>
  <c r="I51" i="32" s="1"/>
  <c r="D44" i="5"/>
  <c r="D44" i="32" s="1"/>
  <c r="I17" i="5"/>
  <c r="I17" i="32" s="1"/>
  <c r="E20" i="5"/>
  <c r="E20" i="32" s="1"/>
  <c r="K28" i="5"/>
  <c r="K28" i="32" s="1"/>
  <c r="C15" i="5"/>
  <c r="C15" i="32" s="1"/>
  <c r="D53" i="5"/>
  <c r="D53" i="32" s="1"/>
  <c r="G58" i="5"/>
  <c r="G58" i="32" s="1"/>
  <c r="J38" i="5"/>
  <c r="J38" i="32" s="1"/>
  <c r="E15" i="5"/>
  <c r="E15" i="32" s="1"/>
  <c r="I44" i="5"/>
  <c r="I44" i="32" s="1"/>
  <c r="C47" i="5"/>
  <c r="C47" i="32" s="1"/>
  <c r="M33" i="5"/>
  <c r="M33" i="32" s="1"/>
  <c r="H36" i="5"/>
  <c r="H36" i="32" s="1"/>
  <c r="J10" i="5"/>
  <c r="J10" i="32" s="1"/>
  <c r="G48" i="5"/>
  <c r="G48" i="32" s="1"/>
  <c r="K76" i="32"/>
  <c r="K79" i="32" s="1"/>
  <c r="K79" i="5"/>
  <c r="G72" i="32"/>
  <c r="G73" i="5"/>
  <c r="G67" i="5" s="1"/>
  <c r="K62" i="5"/>
  <c r="K62" i="32" s="1"/>
  <c r="O47" i="5"/>
  <c r="O35" i="5"/>
  <c r="C51" i="5"/>
  <c r="C51" i="32" s="1"/>
  <c r="N33" i="5"/>
  <c r="N33" i="32" s="1"/>
  <c r="D47" i="5"/>
  <c r="D47" i="32" s="1"/>
  <c r="C14" i="5"/>
  <c r="H16" i="5"/>
  <c r="H16" i="32" s="1"/>
  <c r="E33" i="5"/>
  <c r="E33" i="32" s="1"/>
  <c r="M31" i="5"/>
  <c r="M31" i="32" s="1"/>
  <c r="K16" i="5"/>
  <c r="K16" i="32" s="1"/>
  <c r="F36" i="5"/>
  <c r="F36" i="32" s="1"/>
  <c r="H47" i="5"/>
  <c r="H47" i="32" s="1"/>
  <c r="C49" i="5"/>
  <c r="C49" i="32" s="1"/>
  <c r="G44" i="5"/>
  <c r="G44" i="32" s="1"/>
  <c r="D24" i="5"/>
  <c r="D24" i="32" s="1"/>
  <c r="M45" i="5"/>
  <c r="M45" i="32" s="1"/>
  <c r="E53" i="5"/>
  <c r="E53" i="32" s="1"/>
  <c r="J15" i="5"/>
  <c r="J15" i="32" s="1"/>
  <c r="H22" i="5"/>
  <c r="H22" i="32" s="1"/>
  <c r="L46" i="5"/>
  <c r="L46" i="32" s="1"/>
  <c r="F43" i="5"/>
  <c r="F43" i="32" s="1"/>
  <c r="E36" i="5"/>
  <c r="E36" i="32" s="1"/>
  <c r="C7" i="5"/>
  <c r="C7" i="32" s="1"/>
  <c r="H65" i="5"/>
  <c r="H65" i="32" s="1"/>
  <c r="E18" i="5"/>
  <c r="E18" i="32" s="1"/>
  <c r="F33" i="5"/>
  <c r="F33" i="32" s="1"/>
  <c r="O39" i="5"/>
  <c r="D48" i="5"/>
  <c r="D48" i="32" s="1"/>
  <c r="D26" i="5"/>
  <c r="D26" i="32" s="1"/>
  <c r="O65" i="5"/>
  <c r="D54" i="5"/>
  <c r="D54" i="32" s="1"/>
  <c r="G26" i="5"/>
  <c r="G26" i="32" s="1"/>
  <c r="L45" i="5"/>
  <c r="L45" i="32" s="1"/>
  <c r="N41" i="5"/>
  <c r="N41" i="32" s="1"/>
  <c r="C29" i="5"/>
  <c r="C29" i="32" s="1"/>
  <c r="I59" i="5"/>
  <c r="I59" i="32" s="1"/>
  <c r="G45" i="5"/>
  <c r="G45" i="32" s="1"/>
  <c r="F34" i="5"/>
  <c r="F34" i="32" s="1"/>
  <c r="M65" i="5"/>
  <c r="M65" i="32" s="1"/>
  <c r="C30" i="5"/>
  <c r="C30" i="32" s="1"/>
  <c r="M60" i="5"/>
  <c r="M60" i="32" s="1"/>
  <c r="C25" i="5"/>
  <c r="C25" i="32" s="1"/>
  <c r="M25" i="5"/>
  <c r="M25" i="32" s="1"/>
  <c r="D57" i="5"/>
  <c r="D57" i="32" s="1"/>
  <c r="L44" i="5"/>
  <c r="L44" i="32" s="1"/>
  <c r="E54" i="5"/>
  <c r="E54" i="32" s="1"/>
  <c r="H54" i="5"/>
  <c r="H54" i="32" s="1"/>
  <c r="F56" i="5"/>
  <c r="F56" i="32" s="1"/>
  <c r="J56" i="5"/>
  <c r="J56" i="32" s="1"/>
  <c r="C21" i="5"/>
  <c r="C21" i="32" s="1"/>
  <c r="M54" i="5"/>
  <c r="M54" i="32" s="1"/>
  <c r="O49" i="5"/>
  <c r="H31" i="5"/>
  <c r="H31" i="32" s="1"/>
  <c r="F65" i="5"/>
  <c r="F65" i="32" s="1"/>
  <c r="F46" i="5"/>
  <c r="F46" i="32" s="1"/>
  <c r="E43" i="5"/>
  <c r="E43" i="32" s="1"/>
  <c r="L34" i="5"/>
  <c r="L34" i="32" s="1"/>
  <c r="H48" i="5"/>
  <c r="H48" i="32" s="1"/>
  <c r="H26" i="5"/>
  <c r="H26" i="32" s="1"/>
  <c r="M58" i="5"/>
  <c r="M58" i="32" s="1"/>
  <c r="D32" i="5"/>
  <c r="D32" i="32" s="1"/>
  <c r="H34" i="5"/>
  <c r="H34" i="32" s="1"/>
  <c r="C42" i="5"/>
  <c r="C42" i="32" s="1"/>
  <c r="E65" i="5"/>
  <c r="E65" i="32" s="1"/>
  <c r="E25" i="5"/>
  <c r="E25" i="32" s="1"/>
  <c r="H20" i="5"/>
  <c r="H20" i="32" s="1"/>
  <c r="I45" i="5"/>
  <c r="I45" i="32" s="1"/>
  <c r="O29" i="5"/>
  <c r="E26" i="5"/>
  <c r="E26" i="32" s="1"/>
  <c r="O31" i="5"/>
  <c r="G29" i="5"/>
  <c r="G29" i="32" s="1"/>
  <c r="E29" i="5"/>
  <c r="E29" i="32" s="1"/>
  <c r="F16" i="5"/>
  <c r="F16" i="32" s="1"/>
  <c r="L48" i="5"/>
  <c r="L48" i="32" s="1"/>
  <c r="L38" i="5"/>
  <c r="L38" i="32" s="1"/>
  <c r="D25" i="5"/>
  <c r="D25" i="32" s="1"/>
  <c r="C36" i="5"/>
  <c r="C36" i="32" s="1"/>
  <c r="D30" i="5"/>
  <c r="D30" i="32" s="1"/>
  <c r="D55" i="5"/>
  <c r="D55" i="32" s="1"/>
  <c r="O55" i="5"/>
  <c r="F30" i="5"/>
  <c r="F30" i="32" s="1"/>
  <c r="O42" i="5"/>
  <c r="K45" i="5"/>
  <c r="K45" i="32" s="1"/>
  <c r="G57" i="5"/>
  <c r="G57" i="32" s="1"/>
  <c r="I26" i="5"/>
  <c r="I26" i="32" s="1"/>
  <c r="G34" i="5"/>
  <c r="G34" i="32" s="1"/>
  <c r="D38" i="5"/>
  <c r="D38" i="32" s="1"/>
  <c r="M6" i="5"/>
  <c r="D15" i="5"/>
  <c r="D15" i="32" s="1"/>
  <c r="H49" i="5"/>
  <c r="H49" i="32" s="1"/>
  <c r="F17" i="5"/>
  <c r="F17" i="32" s="1"/>
  <c r="F21" i="5"/>
  <c r="F21" i="32" s="1"/>
  <c r="E27" i="5"/>
  <c r="E27" i="32" s="1"/>
  <c r="D17" i="5"/>
  <c r="D17" i="32" s="1"/>
  <c r="C43" i="5"/>
  <c r="C43" i="32" s="1"/>
  <c r="C18" i="5"/>
  <c r="C18" i="32" s="1"/>
  <c r="I15" i="5"/>
  <c r="I15" i="32" s="1"/>
  <c r="G19" i="5"/>
  <c r="G19" i="32" s="1"/>
  <c r="C58" i="5"/>
  <c r="C58" i="32" s="1"/>
  <c r="F28" i="5"/>
  <c r="F28" i="32" s="1"/>
  <c r="M17" i="5"/>
  <c r="M17" i="32" s="1"/>
  <c r="J32" i="5"/>
  <c r="J32" i="32" s="1"/>
  <c r="F50" i="5"/>
  <c r="F50" i="32" s="1"/>
  <c r="N60" i="5"/>
  <c r="N60" i="32" s="1"/>
  <c r="H10" i="5"/>
  <c r="H10" i="32" s="1"/>
  <c r="E41" i="5"/>
  <c r="E41" i="32" s="1"/>
  <c r="D50" i="5"/>
  <c r="D50" i="32" s="1"/>
  <c r="L50" i="5"/>
  <c r="L50" i="32" s="1"/>
  <c r="H55" i="5"/>
  <c r="H55" i="32" s="1"/>
  <c r="O36" i="5"/>
  <c r="F52" i="5"/>
  <c r="F52" i="32" s="1"/>
  <c r="J30" i="5"/>
  <c r="J30" i="32" s="1"/>
  <c r="C10" i="5"/>
  <c r="C10" i="32" s="1"/>
  <c r="N52" i="5"/>
  <c r="N52" i="32" s="1"/>
  <c r="J22" i="5"/>
  <c r="J22" i="32" s="1"/>
  <c r="H17" i="5"/>
  <c r="H17" i="32" s="1"/>
  <c r="D36" i="5"/>
  <c r="D36" i="32" s="1"/>
  <c r="F55" i="5"/>
  <c r="F55" i="32" s="1"/>
  <c r="G54" i="5"/>
  <c r="G54" i="32" s="1"/>
  <c r="E57" i="5"/>
  <c r="E57" i="32" s="1"/>
  <c r="J25" i="5"/>
  <c r="J25" i="32" s="1"/>
  <c r="I53" i="5"/>
  <c r="I53" i="32" s="1"/>
  <c r="G50" i="5"/>
  <c r="G50" i="32" s="1"/>
  <c r="J17" i="5"/>
  <c r="J17" i="32" s="1"/>
  <c r="G36" i="5"/>
  <c r="G36" i="32" s="1"/>
  <c r="K39" i="5"/>
  <c r="K39" i="32" s="1"/>
  <c r="H46" i="5"/>
  <c r="H46" i="32" s="1"/>
  <c r="O60" i="5"/>
  <c r="C35" i="5"/>
  <c r="C35" i="32" s="1"/>
  <c r="O24" i="5"/>
  <c r="F7" i="5"/>
  <c r="F7" i="32" s="1"/>
  <c r="M37" i="5"/>
  <c r="M37" i="32" s="1"/>
  <c r="I47" i="5"/>
  <c r="I47" i="32" s="1"/>
  <c r="H52" i="5"/>
  <c r="H52" i="32" s="1"/>
  <c r="N19" i="5"/>
  <c r="N19" i="32" s="1"/>
  <c r="E55" i="5"/>
  <c r="E55" i="32" s="1"/>
  <c r="O19" i="5"/>
  <c r="H15" i="5"/>
  <c r="H15" i="32" s="1"/>
  <c r="M18" i="5"/>
  <c r="M18" i="32" s="1"/>
  <c r="E6" i="5"/>
  <c r="C54" i="5"/>
  <c r="C54" i="32" s="1"/>
  <c r="L58" i="5"/>
  <c r="L58" i="32" s="1"/>
  <c r="K9" i="5"/>
  <c r="K9" i="32" s="1"/>
  <c r="L56" i="5"/>
  <c r="L56" i="32" s="1"/>
  <c r="I29" i="5"/>
  <c r="I29" i="32" s="1"/>
  <c r="O38" i="5"/>
  <c r="D33" i="5"/>
  <c r="D33" i="32" s="1"/>
  <c r="L14" i="5"/>
  <c r="J29" i="5"/>
  <c r="J29" i="32" s="1"/>
  <c r="G27" i="5"/>
  <c r="G27" i="32" s="1"/>
  <c r="M26" i="5"/>
  <c r="M26" i="32" s="1"/>
  <c r="L36" i="5"/>
  <c r="L36" i="32" s="1"/>
  <c r="F10" i="5"/>
  <c r="F10" i="32" s="1"/>
  <c r="E31" i="5"/>
  <c r="E31" i="32" s="1"/>
  <c r="K53" i="5"/>
  <c r="K53" i="32" s="1"/>
  <c r="N29" i="5"/>
  <c r="N29" i="32" s="1"/>
  <c r="H41" i="5"/>
  <c r="H41" i="32" s="1"/>
  <c r="K37" i="5"/>
  <c r="K37" i="32" s="1"/>
  <c r="K27" i="5"/>
  <c r="K27" i="32" s="1"/>
  <c r="K44" i="5"/>
  <c r="K44" i="32" s="1"/>
  <c r="H32" i="5"/>
  <c r="H32" i="32" s="1"/>
  <c r="O46" i="5"/>
  <c r="K50" i="5"/>
  <c r="K50" i="32" s="1"/>
  <c r="E52" i="5"/>
  <c r="E52" i="32" s="1"/>
  <c r="D49" i="5"/>
  <c r="D49" i="32" s="1"/>
  <c r="C50" i="5"/>
  <c r="C50" i="32" s="1"/>
  <c r="E59" i="5"/>
  <c r="E59" i="32" s="1"/>
  <c r="F38" i="5"/>
  <c r="F38" i="32" s="1"/>
  <c r="L20" i="5"/>
  <c r="L20" i="32" s="1"/>
  <c r="M52" i="5"/>
  <c r="M52" i="32" s="1"/>
  <c r="I7" i="5"/>
  <c r="I7" i="32" s="1"/>
  <c r="J35" i="5"/>
  <c r="J35" i="32" s="1"/>
  <c r="L25" i="5"/>
  <c r="L25" i="32" s="1"/>
  <c r="G30" i="5"/>
  <c r="G30" i="32" s="1"/>
  <c r="G9" i="5"/>
  <c r="G9" i="32" s="1"/>
  <c r="K30" i="5"/>
  <c r="K30" i="32" s="1"/>
  <c r="D19" i="5"/>
  <c r="D19" i="32" s="1"/>
  <c r="C40" i="5"/>
  <c r="C40" i="32" s="1"/>
  <c r="I18" i="5"/>
  <c r="I18" i="32" s="1"/>
  <c r="G41" i="5"/>
  <c r="G41" i="32" s="1"/>
  <c r="O6" i="5"/>
  <c r="G60" i="5"/>
  <c r="G60" i="32" s="1"/>
  <c r="O7" i="5"/>
  <c r="C37" i="5"/>
  <c r="C37" i="32" s="1"/>
  <c r="D65" i="5"/>
  <c r="D65" i="32" s="1"/>
  <c r="N27" i="5"/>
  <c r="N27" i="32" s="1"/>
  <c r="E45" i="5"/>
  <c r="E45" i="32" s="1"/>
  <c r="F40" i="5"/>
  <c r="F40" i="32" s="1"/>
  <c r="K17" i="5"/>
  <c r="K17" i="32" s="1"/>
  <c r="O56" i="5"/>
  <c r="N9" i="5"/>
  <c r="N9" i="32" s="1"/>
  <c r="G38" i="5"/>
  <c r="G38" i="32" s="1"/>
  <c r="C57" i="5"/>
  <c r="C57" i="32" s="1"/>
  <c r="F24" i="5"/>
  <c r="F24" i="32" s="1"/>
  <c r="J33" i="5"/>
  <c r="J33" i="32" s="1"/>
  <c r="O22" i="5"/>
  <c r="N35" i="5"/>
  <c r="N35" i="32" s="1"/>
  <c r="K46" i="5"/>
  <c r="K46" i="32" s="1"/>
  <c r="N45" i="5"/>
  <c r="N45" i="32" s="1"/>
  <c r="I9" i="5"/>
  <c r="I9" i="32" s="1"/>
  <c r="C20" i="5"/>
  <c r="C20" i="32" s="1"/>
  <c r="M44" i="5"/>
  <c r="M44" i="32" s="1"/>
  <c r="G25" i="5"/>
  <c r="G25" i="32" s="1"/>
  <c r="D28" i="5"/>
  <c r="D28" i="32" s="1"/>
  <c r="D46" i="5"/>
  <c r="D46" i="32" s="1"/>
  <c r="M39" i="5"/>
  <c r="M39" i="32" s="1"/>
  <c r="H27" i="5"/>
  <c r="H27" i="32" s="1"/>
  <c r="J60" i="5"/>
  <c r="J60" i="32" s="1"/>
  <c r="G24" i="5"/>
  <c r="G24" i="32" s="1"/>
  <c r="E28" i="5"/>
  <c r="E28" i="32" s="1"/>
  <c r="G6" i="5"/>
  <c r="K31" i="5"/>
  <c r="K31" i="32" s="1"/>
  <c r="J31" i="5"/>
  <c r="J31" i="32" s="1"/>
  <c r="N25" i="5"/>
  <c r="N25" i="32" s="1"/>
  <c r="M55" i="5"/>
  <c r="M55" i="32" s="1"/>
  <c r="J24" i="5"/>
  <c r="J24" i="32" s="1"/>
  <c r="G14" i="5"/>
  <c r="C59" i="5"/>
  <c r="C59" i="32" s="1"/>
  <c r="F37" i="5"/>
  <c r="F37" i="32" s="1"/>
  <c r="I55" i="5"/>
  <c r="I55" i="32" s="1"/>
  <c r="H28" i="5"/>
  <c r="H28" i="32" s="1"/>
  <c r="N36" i="5"/>
  <c r="N36" i="32" s="1"/>
  <c r="I37" i="5"/>
  <c r="I37" i="32" s="1"/>
  <c r="F23" i="5"/>
  <c r="F23" i="32" s="1"/>
  <c r="I39" i="5"/>
  <c r="I39" i="32" s="1"/>
  <c r="K47" i="5"/>
  <c r="K47" i="32" s="1"/>
  <c r="O52" i="5"/>
  <c r="M46" i="5"/>
  <c r="M46" i="32" s="1"/>
  <c r="L55" i="5"/>
  <c r="L55" i="32" s="1"/>
  <c r="F9" i="5"/>
  <c r="F9" i="32" s="1"/>
  <c r="H57" i="5"/>
  <c r="H57" i="32" s="1"/>
  <c r="H7" i="5"/>
  <c r="H7" i="32" s="1"/>
  <c r="E50" i="5"/>
  <c r="E50" i="32" s="1"/>
  <c r="L51" i="5"/>
  <c r="L51" i="32" s="1"/>
  <c r="J28" i="5"/>
  <c r="J28" i="32" s="1"/>
  <c r="I21" i="5"/>
  <c r="I21" i="32" s="1"/>
  <c r="M40" i="5"/>
  <c r="M40" i="32" s="1"/>
  <c r="F54" i="5"/>
  <c r="F54" i="32" s="1"/>
  <c r="D21" i="5"/>
  <c r="D21" i="32" s="1"/>
  <c r="N39" i="5"/>
  <c r="N39" i="32" s="1"/>
  <c r="F31" i="5"/>
  <c r="F31" i="32" s="1"/>
  <c r="K14" i="5"/>
  <c r="E58" i="5"/>
  <c r="E58" i="32" s="1"/>
  <c r="C9" i="5"/>
  <c r="C9" i="32" s="1"/>
  <c r="O62" i="5"/>
  <c r="L18" i="5"/>
  <c r="L18" i="32" s="1"/>
  <c r="O30" i="5"/>
  <c r="D60" i="5"/>
  <c r="D60" i="32" s="1"/>
  <c r="N58" i="5"/>
  <c r="N58" i="32" s="1"/>
  <c r="F20" i="5"/>
  <c r="F20" i="32" s="1"/>
  <c r="G59" i="5"/>
  <c r="G59" i="32" s="1"/>
  <c r="H44" i="5"/>
  <c r="H44" i="32" s="1"/>
  <c r="H58" i="5"/>
  <c r="H58" i="32" s="1"/>
  <c r="E7" i="5"/>
  <c r="E7" i="32" s="1"/>
  <c r="E32" i="5"/>
  <c r="E32" i="32" s="1"/>
  <c r="I14" i="5"/>
  <c r="E37" i="5"/>
  <c r="E37" i="32" s="1"/>
  <c r="F25" i="5"/>
  <c r="F25" i="32" s="1"/>
  <c r="M20" i="5"/>
  <c r="M20" i="32" s="1"/>
  <c r="J42" i="5"/>
  <c r="J42" i="32" s="1"/>
  <c r="N22" i="5"/>
  <c r="N22" i="32" s="1"/>
  <c r="G28" i="5"/>
  <c r="G28" i="32" s="1"/>
  <c r="H45" i="5"/>
  <c r="H45" i="32" s="1"/>
  <c r="F32" i="5"/>
  <c r="F32" i="32" s="1"/>
  <c r="K94" i="32"/>
  <c r="L99" i="32"/>
  <c r="N46" i="5"/>
  <c r="N46" i="32" s="1"/>
  <c r="N16" i="5"/>
  <c r="N16" i="32" s="1"/>
  <c r="E39" i="5"/>
  <c r="E39" i="32" s="1"/>
  <c r="G73" i="32"/>
  <c r="I49" i="5"/>
  <c r="I49" i="32" s="1"/>
  <c r="J49" i="5"/>
  <c r="J49" i="32" s="1"/>
  <c r="M32" i="5"/>
  <c r="M32" i="32" s="1"/>
  <c r="O51" i="5"/>
  <c r="F14" i="5"/>
  <c r="F29" i="5"/>
  <c r="F29" i="32" s="1"/>
  <c r="N30" i="5"/>
  <c r="N30" i="32" s="1"/>
  <c r="I34" i="5"/>
  <c r="I34" i="32" s="1"/>
  <c r="F59" i="5"/>
  <c r="F59" i="32" s="1"/>
  <c r="E38" i="5"/>
  <c r="E38" i="32" s="1"/>
  <c r="O77" i="32"/>
  <c r="L69" i="32"/>
  <c r="L73" i="32" s="1"/>
  <c r="L73" i="5"/>
  <c r="E24" i="5"/>
  <c r="E24" i="32" s="1"/>
  <c r="J16" i="5"/>
  <c r="J16" i="32" s="1"/>
  <c r="G40" i="5"/>
  <c r="G40" i="32" s="1"/>
  <c r="E46" i="5"/>
  <c r="E46" i="32" s="1"/>
  <c r="C31" i="5"/>
  <c r="C31" i="32" s="1"/>
  <c r="I23" i="5"/>
  <c r="I23" i="32" s="1"/>
  <c r="J27" i="5"/>
  <c r="J27" i="32" s="1"/>
  <c r="M51" i="5"/>
  <c r="M51" i="32" s="1"/>
  <c r="J36" i="5"/>
  <c r="J36" i="32" s="1"/>
  <c r="K48" i="5"/>
  <c r="K48" i="32" s="1"/>
  <c r="D34" i="5"/>
  <c r="D34" i="32" s="1"/>
  <c r="K20" i="5"/>
  <c r="K20" i="32" s="1"/>
  <c r="D7" i="5"/>
  <c r="D7" i="32" s="1"/>
  <c r="G43" i="5"/>
  <c r="G43" i="32" s="1"/>
  <c r="O10" i="5"/>
  <c r="O79" i="5" s="1"/>
  <c r="M30" i="5"/>
  <c r="M30" i="32" s="1"/>
  <c r="M34" i="5"/>
  <c r="M34" i="32" s="1"/>
  <c r="J52" i="5"/>
  <c r="J52" i="32" s="1"/>
  <c r="C16" i="5"/>
  <c r="C16" i="32" s="1"/>
  <c r="H37" i="5"/>
  <c r="H37" i="32" s="1"/>
  <c r="M38" i="5"/>
  <c r="M38" i="32" s="1"/>
  <c r="O44" i="5"/>
  <c r="H63" i="5"/>
  <c r="H63" i="32" s="1"/>
  <c r="D61" i="5"/>
  <c r="D61" i="32" s="1"/>
  <c r="G64" i="5"/>
  <c r="G64" i="32" s="1"/>
  <c r="O64" i="5"/>
  <c r="F64" i="5"/>
  <c r="F64" i="32" s="1"/>
  <c r="C63" i="5"/>
  <c r="C63" i="32" s="1"/>
  <c r="N6" i="5"/>
  <c r="I64" i="5"/>
  <c r="I64" i="32" s="1"/>
  <c r="N62" i="5"/>
  <c r="N62" i="32" s="1"/>
  <c r="G62" i="5"/>
  <c r="G62" i="32" s="1"/>
  <c r="L61" i="5"/>
  <c r="L61" i="32" s="1"/>
  <c r="K64" i="5"/>
  <c r="K64" i="32" s="1"/>
  <c r="C64" i="5"/>
  <c r="C64" i="32" s="1"/>
  <c r="H62" i="5"/>
  <c r="H62" i="32" s="1"/>
  <c r="M62" i="5"/>
  <c r="M62" i="32" s="1"/>
  <c r="C62" i="5"/>
  <c r="C62" i="32" s="1"/>
  <c r="E62" i="5"/>
  <c r="E62" i="32" s="1"/>
  <c r="F63" i="5"/>
  <c r="F63" i="32" s="1"/>
  <c r="J64" i="5"/>
  <c r="J64" i="32" s="1"/>
  <c r="H64" i="5"/>
  <c r="H64" i="32" s="1"/>
  <c r="N56" i="5"/>
  <c r="N56" i="32" s="1"/>
  <c r="E21" i="5"/>
  <c r="E21" i="32" s="1"/>
  <c r="O54" i="5"/>
  <c r="F51" i="5"/>
  <c r="F51" i="32" s="1"/>
  <c r="J43" i="5"/>
  <c r="J43" i="32" s="1"/>
  <c r="G22" i="5"/>
  <c r="G22" i="32" s="1"/>
  <c r="I31" i="5"/>
  <c r="I31" i="32" s="1"/>
  <c r="C39" i="5"/>
  <c r="C39" i="32" s="1"/>
  <c r="C41" i="5"/>
  <c r="C41" i="32" s="1"/>
  <c r="D45" i="5"/>
  <c r="D45" i="32" s="1"/>
  <c r="H40" i="5"/>
  <c r="H40" i="32" s="1"/>
  <c r="D20" i="5"/>
  <c r="D20" i="32" s="1"/>
  <c r="J19" i="5"/>
  <c r="J19" i="32" s="1"/>
  <c r="K42" i="5"/>
  <c r="K42" i="32" s="1"/>
  <c r="I33" i="5"/>
  <c r="I33" i="32" s="1"/>
  <c r="J18" i="5"/>
  <c r="J18" i="32" s="1"/>
  <c r="E10" i="5"/>
  <c r="E10" i="32" s="1"/>
  <c r="I43" i="5"/>
  <c r="I43" i="32" s="1"/>
  <c r="D18" i="5"/>
  <c r="D18" i="32" s="1"/>
  <c r="D39" i="5"/>
  <c r="D39" i="32" s="1"/>
  <c r="N65" i="5"/>
  <c r="N65" i="32" s="1"/>
  <c r="N7" i="5"/>
  <c r="N7" i="32" s="1"/>
  <c r="N51" i="5"/>
  <c r="N51" i="32" s="1"/>
  <c r="E40" i="5"/>
  <c r="E40" i="32" s="1"/>
  <c r="C28" i="5"/>
  <c r="C28" i="32" s="1"/>
  <c r="N38" i="5"/>
  <c r="N38" i="32" s="1"/>
  <c r="C61" i="5"/>
  <c r="C61" i="32" s="1"/>
  <c r="N64" i="5"/>
  <c r="N64" i="32" s="1"/>
  <c r="D22" i="5"/>
  <c r="D22" i="32" s="1"/>
  <c r="L49" i="5"/>
  <c r="L49" i="32" s="1"/>
  <c r="O33" i="5"/>
  <c r="M48" i="5"/>
  <c r="M48" i="32" s="1"/>
  <c r="L10" i="5"/>
  <c r="L10" i="32" s="1"/>
  <c r="L17" i="5"/>
  <c r="L17" i="32" s="1"/>
  <c r="N17" i="5"/>
  <c r="N17" i="32" s="1"/>
  <c r="D9" i="5"/>
  <c r="D9" i="32" s="1"/>
  <c r="J54" i="5"/>
  <c r="J54" i="32" s="1"/>
  <c r="F39" i="5"/>
  <c r="F39" i="32" s="1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O63" i="5"/>
  <c r="L64" i="5"/>
  <c r="L64" i="32" s="1"/>
  <c r="N63" i="5"/>
  <c r="N63" i="32" s="1"/>
  <c r="J63" i="5"/>
  <c r="J63" i="32" s="1"/>
  <c r="J62" i="5"/>
  <c r="J62" i="32" s="1"/>
  <c r="L29" i="5"/>
  <c r="L29" i="32" s="1"/>
  <c r="H35" i="5"/>
  <c r="H35" i="32" s="1"/>
  <c r="F6" i="5"/>
  <c r="I20" i="5"/>
  <c r="I20" i="32" s="1"/>
  <c r="O32" i="5"/>
  <c r="H19" i="5"/>
  <c r="H19" i="32" s="1"/>
  <c r="I54" i="5"/>
  <c r="I54" i="32" s="1"/>
  <c r="K24" i="5"/>
  <c r="K24" i="32" s="1"/>
  <c r="I56" i="5"/>
  <c r="I56" i="32" s="1"/>
  <c r="K65" i="5"/>
  <c r="K65" i="32" s="1"/>
  <c r="M14" i="5"/>
  <c r="H39" i="5"/>
  <c r="H39" i="32" s="1"/>
  <c r="K19" i="5"/>
  <c r="K19" i="32" s="1"/>
  <c r="O53" i="5"/>
  <c r="K23" i="5"/>
  <c r="K23" i="32" s="1"/>
  <c r="I30" i="5"/>
  <c r="I30" i="32" s="1"/>
  <c r="G51" i="5"/>
  <c r="G51" i="32" s="1"/>
  <c r="H18" i="5"/>
  <c r="H18" i="32" s="1"/>
  <c r="E63" i="5"/>
  <c r="E63" i="32" s="1"/>
  <c r="N61" i="5"/>
  <c r="N61" i="32" s="1"/>
  <c r="F62" i="5"/>
  <c r="F62" i="32" s="1"/>
  <c r="O25" i="5"/>
  <c r="G35" i="5"/>
  <c r="G35" i="32" s="1"/>
  <c r="L19" i="5"/>
  <c r="L19" i="32" s="1"/>
  <c r="N43" i="5"/>
  <c r="N43" i="32" s="1"/>
  <c r="H59" i="5"/>
  <c r="H59" i="32" s="1"/>
  <c r="F41" i="5"/>
  <c r="F41" i="32" s="1"/>
  <c r="D41" i="5"/>
  <c r="D41" i="32" s="1"/>
  <c r="O15" i="5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L62" i="5"/>
  <c r="L62" i="32" s="1"/>
  <c r="I63" i="5"/>
  <c r="I63" i="32" s="1"/>
  <c r="E64" i="5"/>
  <c r="E64" i="32" s="1"/>
  <c r="K34" i="5"/>
  <c r="K34" i="32" s="1"/>
  <c r="D10" i="5"/>
  <c r="D10" i="32" s="1"/>
  <c r="O43" i="5"/>
  <c r="G65" i="5"/>
  <c r="G65" i="32" s="1"/>
  <c r="L9" i="5"/>
  <c r="L9" i="32" s="1"/>
  <c r="C6" i="5"/>
  <c r="C56" i="5"/>
  <c r="C56" i="32" s="1"/>
  <c r="M49" i="5"/>
  <c r="M49" i="32" s="1"/>
  <c r="O20" i="5"/>
  <c r="O16" i="5"/>
  <c r="O50" i="5"/>
  <c r="C33" i="5"/>
  <c r="C33" i="32" s="1"/>
  <c r="N24" i="5"/>
  <c r="N24" i="32" s="1"/>
  <c r="J14" i="5"/>
  <c r="F58" i="5"/>
  <c r="F58" i="32" s="1"/>
  <c r="L41" i="5"/>
  <c r="L41" i="32" s="1"/>
  <c r="E34" i="5"/>
  <c r="E34" i="32" s="1"/>
  <c r="D27" i="5"/>
  <c r="D27" i="32" s="1"/>
  <c r="H60" i="5"/>
  <c r="H60" i="32" s="1"/>
  <c r="O37" i="5"/>
  <c r="E22" i="5"/>
  <c r="E22" i="32" s="1"/>
  <c r="D29" i="5"/>
  <c r="D29" i="32" s="1"/>
  <c r="K10" i="5"/>
  <c r="K10" i="32" s="1"/>
  <c r="E44" i="5"/>
  <c r="E44" i="32" s="1"/>
  <c r="I32" i="5"/>
  <c r="I32" i="32" s="1"/>
  <c r="K54" i="5"/>
  <c r="K54" i="32" s="1"/>
  <c r="O58" i="5"/>
  <c r="K63" i="5"/>
  <c r="K63" i="32" s="1"/>
  <c r="L63" i="5"/>
  <c r="L63" i="32" s="1"/>
  <c r="M64" i="5"/>
  <c r="M64" i="32" s="1"/>
  <c r="K61" i="5"/>
  <c r="K61" i="32" s="1"/>
  <c r="M22" i="5"/>
  <c r="M22" i="32" s="1"/>
  <c r="J23" i="5"/>
  <c r="J23" i="32" s="1"/>
  <c r="H30" i="5"/>
  <c r="H30" i="32" s="1"/>
  <c r="J51" i="5"/>
  <c r="J51" i="32" s="1"/>
  <c r="M56" i="5"/>
  <c r="M56" i="32" s="1"/>
  <c r="E42" i="5"/>
  <c r="E42" i="32" s="1"/>
  <c r="F27" i="5"/>
  <c r="F27" i="32" s="1"/>
  <c r="J39" i="5"/>
  <c r="J39" i="32" s="1"/>
  <c r="N50" i="5"/>
  <c r="N50" i="32" s="1"/>
  <c r="J41" i="5"/>
  <c r="J41" i="32" s="1"/>
  <c r="L35" i="5"/>
  <c r="L35" i="32" s="1"/>
  <c r="F49" i="5"/>
  <c r="F49" i="32" s="1"/>
  <c r="D52" i="5"/>
  <c r="D52" i="32" s="1"/>
  <c r="J45" i="5"/>
  <c r="J45" i="32" s="1"/>
  <c r="G52" i="5"/>
  <c r="G52" i="32" s="1"/>
  <c r="L7" i="5"/>
  <c r="L7" i="32" s="1"/>
  <c r="J55" i="5"/>
  <c r="J55" i="32" s="1"/>
  <c r="O18" i="5"/>
  <c r="J59" i="5"/>
  <c r="J59" i="32" s="1"/>
  <c r="K15" i="5"/>
  <c r="K15" i="32" s="1"/>
  <c r="J46" i="5"/>
  <c r="J46" i="32" s="1"/>
  <c r="I28" i="5"/>
  <c r="I28" i="32" s="1"/>
  <c r="I42" i="5"/>
  <c r="I42" i="32" s="1"/>
  <c r="M27" i="5"/>
  <c r="M27" i="32" s="1"/>
  <c r="L54" i="5"/>
  <c r="L54" i="32" s="1"/>
  <c r="D16" i="5"/>
  <c r="D16" i="32" s="1"/>
  <c r="J50" i="5"/>
  <c r="J50" i="32" s="1"/>
  <c r="L33" i="5"/>
  <c r="L33" i="32" s="1"/>
  <c r="F48" i="5"/>
  <c r="F48" i="32" s="1"/>
  <c r="F15" i="5"/>
  <c r="F15" i="32" s="1"/>
  <c r="I58" i="5"/>
  <c r="I58" i="32" s="1"/>
  <c r="C44" i="5"/>
  <c r="C44" i="32" s="1"/>
  <c r="N14" i="5"/>
  <c r="K6" i="5"/>
  <c r="N26" i="5"/>
  <c r="N26" i="32" s="1"/>
  <c r="I22" i="5"/>
  <c r="I22" i="32" s="1"/>
  <c r="I35" i="5"/>
  <c r="I35" i="32" s="1"/>
  <c r="M19" i="5"/>
  <c r="M19" i="32" s="1"/>
  <c r="H14" i="5"/>
  <c r="G31" i="5"/>
  <c r="G31" i="32" s="1"/>
  <c r="I6" i="5"/>
  <c r="N15" i="5"/>
  <c r="N15" i="32" s="1"/>
  <c r="L26" i="5"/>
  <c r="L26" i="32" s="1"/>
  <c r="F26" i="5"/>
  <c r="F26" i="32" s="1"/>
  <c r="I10" i="5"/>
  <c r="I10" i="32" s="1"/>
  <c r="G46" i="5"/>
  <c r="G46" i="32" s="1"/>
  <c r="E19" i="5"/>
  <c r="E19" i="32" s="1"/>
  <c r="F18" i="5"/>
  <c r="F18" i="32" s="1"/>
  <c r="G49" i="5"/>
  <c r="G49" i="32" s="1"/>
  <c r="C45" i="5"/>
  <c r="C45" i="32" s="1"/>
  <c r="K32" i="5"/>
  <c r="K32" i="32" s="1"/>
  <c r="O76" i="32"/>
  <c r="D79" i="32"/>
  <c r="D67" i="32" s="1"/>
  <c r="I60" i="5"/>
  <c r="I60" i="32" s="1"/>
  <c r="E35" i="5"/>
  <c r="E35" i="32" s="1"/>
  <c r="L43" i="5"/>
  <c r="L43" i="32" s="1"/>
  <c r="D31" i="5"/>
  <c r="D31" i="32" s="1"/>
  <c r="F42" i="5"/>
  <c r="F42" i="32" s="1"/>
  <c r="O34" i="5"/>
  <c r="K60" i="5"/>
  <c r="K60" i="32" s="1"/>
  <c r="G7" i="5"/>
  <c r="G7" i="32" s="1"/>
  <c r="G39" i="5"/>
  <c r="G39" i="32" s="1"/>
  <c r="K51" i="5"/>
  <c r="K51" i="32" s="1"/>
  <c r="H25" i="5"/>
  <c r="H25" i="32" s="1"/>
  <c r="M35" i="5"/>
  <c r="M35" i="32" s="1"/>
  <c r="K33" i="5"/>
  <c r="K33" i="32" s="1"/>
  <c r="N20" i="5"/>
  <c r="N20" i="32" s="1"/>
  <c r="K29" i="5"/>
  <c r="K29" i="32" s="1"/>
  <c r="M50" i="5"/>
  <c r="M50" i="32" s="1"/>
  <c r="L16" i="5"/>
  <c r="L16" i="32" s="1"/>
  <c r="N23" i="5"/>
  <c r="N23" i="32" s="1"/>
  <c r="L53" i="5"/>
  <c r="L53" i="32" s="1"/>
  <c r="J37" i="5"/>
  <c r="J37" i="32" s="1"/>
  <c r="F44" i="5"/>
  <c r="F44" i="32" s="1"/>
  <c r="K43" i="5"/>
  <c r="K43" i="32" s="1"/>
  <c r="H21" i="5"/>
  <c r="H21" i="32" s="1"/>
  <c r="L52" i="5"/>
  <c r="L52" i="32" s="1"/>
  <c r="K36" i="5"/>
  <c r="K36" i="32" s="1"/>
  <c r="O17" i="5"/>
  <c r="E56" i="5"/>
  <c r="E56" i="32" s="1"/>
  <c r="G53" i="5"/>
  <c r="G53" i="32" s="1"/>
  <c r="L27" i="5"/>
  <c r="L27" i="32" s="1"/>
  <c r="K25" i="5"/>
  <c r="K25" i="32" s="1"/>
  <c r="F45" i="5"/>
  <c r="F45" i="32" s="1"/>
  <c r="F53" i="5"/>
  <c r="F53" i="32" s="1"/>
  <c r="H51" i="5"/>
  <c r="H51" i="32" s="1"/>
  <c r="K71" i="32"/>
  <c r="K73" i="32" s="1"/>
  <c r="K67" i="32" s="1"/>
  <c r="K73" i="5"/>
  <c r="K67" i="5" s="1"/>
  <c r="O78" i="32"/>
  <c r="L79" i="5"/>
  <c r="L75" i="32"/>
  <c r="L79" i="32" s="1"/>
  <c r="O61" i="5"/>
  <c r="C52" i="5"/>
  <c r="C52" i="32" s="1"/>
  <c r="J65" i="5"/>
  <c r="J65" i="32" s="1"/>
  <c r="F35" i="5"/>
  <c r="F35" i="32" s="1"/>
  <c r="E48" i="5"/>
  <c r="E48" i="32" s="1"/>
  <c r="K22" i="5"/>
  <c r="K22" i="32" s="1"/>
  <c r="J7" i="5"/>
  <c r="J7" i="32" s="1"/>
  <c r="J48" i="5"/>
  <c r="J48" i="32" s="1"/>
  <c r="I48" i="5"/>
  <c r="I48" i="32" s="1"/>
  <c r="I25" i="5"/>
  <c r="I25" i="32" s="1"/>
  <c r="J58" i="5"/>
  <c r="J58" i="32" s="1"/>
  <c r="M7" i="5"/>
  <c r="M7" i="32" s="1"/>
  <c r="L23" i="5"/>
  <c r="L23" i="32" s="1"/>
  <c r="M10" i="5"/>
  <c r="M10" i="32" s="1"/>
  <c r="E23" i="5"/>
  <c r="E23" i="32" s="1"/>
  <c r="J53" i="5"/>
  <c r="J53" i="32" s="1"/>
  <c r="O23" i="5"/>
  <c r="H29" i="5"/>
  <c r="H29" i="32" s="1"/>
  <c r="H9" i="5"/>
  <c r="H9" i="32" s="1"/>
  <c r="N54" i="5"/>
  <c r="N54" i="32" s="1"/>
  <c r="K52" i="5"/>
  <c r="K52" i="32" s="1"/>
  <c r="E9" i="5"/>
  <c r="E9" i="32" s="1"/>
  <c r="C27" i="5"/>
  <c r="C27" i="32" s="1"/>
  <c r="J6" i="5"/>
  <c r="C23" i="5"/>
  <c r="C23" i="32" s="1"/>
  <c r="N40" i="5"/>
  <c r="N40" i="32" s="1"/>
  <c r="M36" i="5"/>
  <c r="M36" i="32" s="1"/>
  <c r="C46" i="5"/>
  <c r="C46" i="32" s="1"/>
  <c r="N53" i="5"/>
  <c r="N53" i="32" s="1"/>
  <c r="D51" i="5"/>
  <c r="D51" i="32" s="1"/>
  <c r="O40" i="5"/>
  <c r="M42" i="5"/>
  <c r="M42" i="32" s="1"/>
  <c r="N42" i="5"/>
  <c r="N42" i="32" s="1"/>
  <c r="M70" i="32"/>
  <c r="M73" i="32" s="1"/>
  <c r="M67" i="32" s="1"/>
  <c r="M73" i="5"/>
  <c r="M67" i="5" s="1"/>
  <c r="I72" i="32"/>
  <c r="I73" i="32" s="1"/>
  <c r="I73" i="5"/>
  <c r="I67" i="5" s="1"/>
  <c r="K55" i="5"/>
  <c r="K55" i="32" s="1"/>
  <c r="O48" i="5"/>
  <c r="G23" i="5"/>
  <c r="G23" i="32" s="1"/>
  <c r="C55" i="5"/>
  <c r="C55" i="32" s="1"/>
  <c r="I36" i="5"/>
  <c r="I36" i="32" s="1"/>
  <c r="D56" i="5"/>
  <c r="D56" i="32" s="1"/>
  <c r="K41" i="5"/>
  <c r="K41" i="32" s="1"/>
  <c r="I19" i="5"/>
  <c r="I19" i="32" s="1"/>
  <c r="C38" i="5"/>
  <c r="C38" i="32" s="1"/>
  <c r="J47" i="5"/>
  <c r="J47" i="32" s="1"/>
  <c r="C24" i="5"/>
  <c r="C24" i="32" s="1"/>
  <c r="I46" i="5"/>
  <c r="I46" i="32" s="1"/>
  <c r="F60" i="5"/>
  <c r="F60" i="32" s="1"/>
  <c r="M53" i="5"/>
  <c r="M53" i="32" s="1"/>
  <c r="H24" i="5"/>
  <c r="H24" i="32" s="1"/>
  <c r="L30" i="5"/>
  <c r="L30" i="32" s="1"/>
  <c r="J40" i="5"/>
  <c r="J40" i="32" s="1"/>
  <c r="C48" i="5"/>
  <c r="C48" i="32" s="1"/>
  <c r="G42" i="5"/>
  <c r="G42" i="32" s="1"/>
  <c r="I24" i="5"/>
  <c r="I24" i="32" s="1"/>
  <c r="K26" i="5"/>
  <c r="K26" i="32" s="1"/>
  <c r="M9" i="5"/>
  <c r="M9" i="32" s="1"/>
  <c r="G37" i="5"/>
  <c r="G37" i="32" s="1"/>
  <c r="K56" i="5"/>
  <c r="K56" i="32" s="1"/>
  <c r="N18" i="5"/>
  <c r="N18" i="32" s="1"/>
  <c r="M43" i="5"/>
  <c r="M43" i="32" s="1"/>
  <c r="C53" i="5"/>
  <c r="C53" i="32" s="1"/>
  <c r="I52" i="5"/>
  <c r="I52" i="32" s="1"/>
  <c r="I16" i="5"/>
  <c r="I16" i="32" s="1"/>
  <c r="H50" i="5"/>
  <c r="H50" i="32" s="1"/>
  <c r="G21" i="5"/>
  <c r="G21" i="32" s="1"/>
  <c r="M24" i="5"/>
  <c r="M24" i="32" s="1"/>
  <c r="H42" i="5"/>
  <c r="H42" i="32" s="1"/>
  <c r="J61" i="5"/>
  <c r="J61" i="32" s="1"/>
  <c r="D59" i="5"/>
  <c r="D59" i="32" s="1"/>
  <c r="I27" i="5"/>
  <c r="I27" i="32" s="1"/>
  <c r="E61" i="5"/>
  <c r="E61" i="32" s="1"/>
  <c r="I62" i="5"/>
  <c r="I62" i="32" s="1"/>
  <c r="D62" i="5"/>
  <c r="D62" i="32" s="1"/>
  <c r="F94" i="32"/>
  <c r="I61" i="5"/>
  <c r="I61" i="32" s="1"/>
  <c r="H61" i="5"/>
  <c r="H61" i="32" s="1"/>
  <c r="D63" i="5"/>
  <c r="D63" i="32" s="1"/>
  <c r="G61" i="5"/>
  <c r="G61" i="32" s="1"/>
  <c r="M61" i="5"/>
  <c r="M61" i="32" s="1"/>
  <c r="G63" i="5"/>
  <c r="G63" i="32" s="1"/>
  <c r="M63" i="5"/>
  <c r="M63" i="32" s="1"/>
  <c r="F61" i="5"/>
  <c r="F61" i="32" s="1"/>
  <c r="M94" i="5"/>
  <c r="E93" i="32"/>
  <c r="M97" i="32"/>
  <c r="M99" i="32" s="1"/>
  <c r="J99" i="5"/>
  <c r="K99" i="5"/>
  <c r="I67" i="32" l="1"/>
  <c r="G67" i="32"/>
  <c r="C67" i="32"/>
  <c r="J67" i="32"/>
  <c r="O92" i="32"/>
  <c r="H67" i="5"/>
  <c r="O70" i="32"/>
  <c r="E67" i="32"/>
  <c r="O67" i="5"/>
  <c r="O55" i="32"/>
  <c r="L56" i="10"/>
  <c r="I57" i="5" s="1"/>
  <c r="I57" i="32" s="1"/>
  <c r="M48" i="10"/>
  <c r="L5" i="10"/>
  <c r="K5" i="10"/>
  <c r="O44" i="32"/>
  <c r="O8" i="5"/>
  <c r="O5" i="5" s="1"/>
  <c r="O12" i="5" s="1"/>
  <c r="O60" i="32"/>
  <c r="O19" i="32"/>
  <c r="O22" i="32"/>
  <c r="O71" i="32"/>
  <c r="O32" i="32"/>
  <c r="O28" i="32"/>
  <c r="O64" i="32"/>
  <c r="O16" i="32"/>
  <c r="O69" i="32"/>
  <c r="D13" i="32"/>
  <c r="O26" i="32"/>
  <c r="O39" i="32"/>
  <c r="E13" i="32"/>
  <c r="N14" i="32"/>
  <c r="G6" i="32"/>
  <c r="G8" i="32" s="1"/>
  <c r="G5" i="32" s="1"/>
  <c r="G12" i="32" s="1"/>
  <c r="G8" i="5"/>
  <c r="G5" i="5" s="1"/>
  <c r="G12" i="5" s="1"/>
  <c r="O52" i="32"/>
  <c r="D13" i="5"/>
  <c r="G3" i="10" s="1" a="1"/>
  <c r="G3" i="10" s="1"/>
  <c r="H14" i="32"/>
  <c r="H13" i="32" s="1"/>
  <c r="H13" i="5"/>
  <c r="K3" i="10" s="1" a="1"/>
  <c r="K3" i="10" s="1"/>
  <c r="O56" i="32"/>
  <c r="G13" i="5"/>
  <c r="J3" i="10" s="1" a="1"/>
  <c r="J3" i="10" s="1"/>
  <c r="G14" i="32"/>
  <c r="G13" i="32" s="1"/>
  <c r="O20" i="32"/>
  <c r="O40" i="32"/>
  <c r="O7" i="32"/>
  <c r="L8" i="5"/>
  <c r="L5" i="5" s="1"/>
  <c r="L12" i="5" s="1"/>
  <c r="O41" i="32"/>
  <c r="K14" i="32"/>
  <c r="E6" i="32"/>
  <c r="E8" i="32" s="1"/>
  <c r="E5" i="32" s="1"/>
  <c r="E12" i="32" s="1"/>
  <c r="E8" i="5"/>
  <c r="E5" i="5" s="1"/>
  <c r="E12" i="5" s="1"/>
  <c r="O36" i="32"/>
  <c r="O15" i="32"/>
  <c r="J6" i="32"/>
  <c r="J8" i="32" s="1"/>
  <c r="J5" i="32" s="1"/>
  <c r="J12" i="32" s="1"/>
  <c r="J8" i="5"/>
  <c r="J5" i="5" s="1"/>
  <c r="J12" i="5" s="1"/>
  <c r="O27" i="32"/>
  <c r="O72" i="32"/>
  <c r="J14" i="32"/>
  <c r="C6" i="32"/>
  <c r="C8" i="5"/>
  <c r="C5" i="5" s="1"/>
  <c r="C12" i="5" s="1"/>
  <c r="M14" i="32"/>
  <c r="F6" i="32"/>
  <c r="F8" i="32" s="1"/>
  <c r="F5" i="32" s="1"/>
  <c r="F12" i="32" s="1"/>
  <c r="F8" i="5"/>
  <c r="F5" i="5" s="1"/>
  <c r="F12" i="5" s="1"/>
  <c r="I14" i="32"/>
  <c r="I13" i="32" s="1"/>
  <c r="O58" i="32"/>
  <c r="O47" i="32"/>
  <c r="L8" i="32"/>
  <c r="L5" i="32" s="1"/>
  <c r="L12" i="32" s="1"/>
  <c r="O59" i="32"/>
  <c r="O38" i="32"/>
  <c r="O65" i="32"/>
  <c r="O37" i="32"/>
  <c r="O35" i="32"/>
  <c r="O29" i="32"/>
  <c r="O49" i="32"/>
  <c r="C13" i="5"/>
  <c r="F3" i="10" s="1" a="1"/>
  <c r="F3" i="10" s="1"/>
  <c r="C14" i="32"/>
  <c r="O48" i="32"/>
  <c r="O33" i="32"/>
  <c r="O34" i="32"/>
  <c r="D6" i="32"/>
  <c r="D8" i="32" s="1"/>
  <c r="D5" i="32" s="1"/>
  <c r="D12" i="32" s="1"/>
  <c r="D8" i="5"/>
  <c r="D5" i="5" s="1"/>
  <c r="D12" i="5" s="1"/>
  <c r="O62" i="32"/>
  <c r="L67" i="5"/>
  <c r="F14" i="32"/>
  <c r="F13" i="32" s="1"/>
  <c r="F13" i="5"/>
  <c r="I3" i="10" s="1" a="1"/>
  <c r="I3" i="10" s="1"/>
  <c r="O10" i="32"/>
  <c r="O25" i="32"/>
  <c r="I6" i="32"/>
  <c r="I8" i="32" s="1"/>
  <c r="I5" i="32" s="1"/>
  <c r="I12" i="32" s="1"/>
  <c r="I8" i="5"/>
  <c r="I5" i="5" s="1"/>
  <c r="I12" i="5" s="1"/>
  <c r="O54" i="32"/>
  <c r="O24" i="32"/>
  <c r="L14" i="32"/>
  <c r="E94" i="32"/>
  <c r="O93" i="32"/>
  <c r="O94" i="32" s="1"/>
  <c r="O46" i="32"/>
  <c r="O61" i="32"/>
  <c r="N6" i="32"/>
  <c r="N8" i="32" s="1"/>
  <c r="N5" i="32" s="1"/>
  <c r="N12" i="32" s="1"/>
  <c r="N8" i="5"/>
  <c r="N5" i="5" s="1"/>
  <c r="N12" i="5" s="1"/>
  <c r="L67" i="32"/>
  <c r="O97" i="32"/>
  <c r="O99" i="32" s="1"/>
  <c r="O50" i="32"/>
  <c r="O18" i="32"/>
  <c r="M6" i="32"/>
  <c r="M8" i="32" s="1"/>
  <c r="M5" i="32" s="1"/>
  <c r="M12" i="32" s="1"/>
  <c r="M8" i="5"/>
  <c r="M5" i="5" s="1"/>
  <c r="M12" i="5" s="1"/>
  <c r="E13" i="5"/>
  <c r="H3" i="10" s="1" a="1"/>
  <c r="H3" i="10" s="1"/>
  <c r="O75" i="32"/>
  <c r="O79" i="32" s="1"/>
  <c r="O23" i="32"/>
  <c r="O53" i="32"/>
  <c r="O45" i="32"/>
  <c r="K6" i="32"/>
  <c r="K8" i="32" s="1"/>
  <c r="K5" i="32" s="1"/>
  <c r="K12" i="32" s="1"/>
  <c r="K8" i="5"/>
  <c r="K5" i="5" s="1"/>
  <c r="K12" i="5" s="1"/>
  <c r="O17" i="32"/>
  <c r="O63" i="32"/>
  <c r="O31" i="32"/>
  <c r="O9" i="32"/>
  <c r="O43" i="32"/>
  <c r="O42" i="32"/>
  <c r="O30" i="32"/>
  <c r="O51" i="32"/>
  <c r="H8" i="5"/>
  <c r="H5" i="5" s="1"/>
  <c r="H12" i="5" s="1"/>
  <c r="H6" i="32"/>
  <c r="H8" i="32" s="1"/>
  <c r="H5" i="32" s="1"/>
  <c r="H12" i="32" s="1"/>
  <c r="O73" i="32" l="1"/>
  <c r="O67" i="32" s="1"/>
  <c r="I13" i="5"/>
  <c r="L3" i="10" s="1" a="1"/>
  <c r="L3" i="10" s="1"/>
  <c r="M56" i="10"/>
  <c r="N48" i="10"/>
  <c r="M5" i="10"/>
  <c r="J21" i="5"/>
  <c r="O81" i="5"/>
  <c r="I81" i="5"/>
  <c r="K81" i="32"/>
  <c r="C81" i="5"/>
  <c r="C66" i="5"/>
  <c r="C80" i="5" s="1"/>
  <c r="C8" i="32"/>
  <c r="C5" i="32" s="1"/>
  <c r="C12" i="32" s="1"/>
  <c r="O6" i="32"/>
  <c r="O8" i="32" s="1"/>
  <c r="O5" i="32" s="1"/>
  <c r="O12" i="32" s="1"/>
  <c r="E66" i="5"/>
  <c r="E80" i="5" s="1"/>
  <c r="E81" i="5"/>
  <c r="C13" i="32"/>
  <c r="O14" i="32"/>
  <c r="E81" i="32"/>
  <c r="E66" i="32"/>
  <c r="E80" i="32" s="1"/>
  <c r="G66" i="5"/>
  <c r="G80" i="5" s="1"/>
  <c r="G81" i="5"/>
  <c r="G81" i="32"/>
  <c r="G66" i="32"/>
  <c r="G80" i="32" s="1"/>
  <c r="F66" i="5"/>
  <c r="F80" i="5" s="1"/>
  <c r="F81" i="5"/>
  <c r="H81" i="5"/>
  <c r="H66" i="5"/>
  <c r="H80" i="5" s="1"/>
  <c r="N81" i="32"/>
  <c r="F66" i="32"/>
  <c r="F80" i="32" s="1"/>
  <c r="F81" i="32"/>
  <c r="J81" i="5"/>
  <c r="H81" i="32"/>
  <c r="H66" i="32"/>
  <c r="H80" i="32" s="1"/>
  <c r="N81" i="5"/>
  <c r="M81" i="5"/>
  <c r="D81" i="5"/>
  <c r="D66" i="5"/>
  <c r="D80" i="5" s="1"/>
  <c r="L81" i="32"/>
  <c r="K81" i="5"/>
  <c r="M81" i="32"/>
  <c r="I81" i="32"/>
  <c r="I66" i="32"/>
  <c r="I80" i="32" s="1"/>
  <c r="D81" i="32"/>
  <c r="D66" i="32"/>
  <c r="D80" i="32" s="1"/>
  <c r="J81" i="32"/>
  <c r="L81" i="5"/>
  <c r="I66" i="5" l="1"/>
  <c r="I80" i="5" s="1"/>
  <c r="J21" i="32"/>
  <c r="N56" i="10"/>
  <c r="K57" i="5" s="1"/>
  <c r="K57" i="32" s="1"/>
  <c r="O48" i="10"/>
  <c r="N5" i="10"/>
  <c r="K21" i="5"/>
  <c r="J57" i="5"/>
  <c r="O81" i="32"/>
  <c r="C81" i="32"/>
  <c r="C66" i="32"/>
  <c r="C80" i="32" s="1"/>
  <c r="J57" i="32" l="1"/>
  <c r="J13" i="32" s="1"/>
  <c r="J66" i="32" s="1"/>
  <c r="J80" i="32" s="1"/>
  <c r="J13" i="5"/>
  <c r="K21" i="32"/>
  <c r="K13" i="32" s="1"/>
  <c r="K66" i="32" s="1"/>
  <c r="K80" i="32" s="1"/>
  <c r="K13" i="5"/>
  <c r="O56" i="10"/>
  <c r="P48" i="10"/>
  <c r="O5" i="10"/>
  <c r="L21" i="5"/>
  <c r="L21" i="32" l="1"/>
  <c r="P56" i="10"/>
  <c r="M57" i="5" s="1"/>
  <c r="M57" i="32" s="1"/>
  <c r="Q48" i="10"/>
  <c r="P5" i="10"/>
  <c r="M21" i="5"/>
  <c r="R48" i="10"/>
  <c r="L57" i="5"/>
  <c r="N3" i="10" a="1"/>
  <c r="N3" i="10" s="1"/>
  <c r="K66" i="5"/>
  <c r="K80" i="5" s="1"/>
  <c r="M3" i="10" a="1"/>
  <c r="M3" i="10" s="1"/>
  <c r="J66" i="5"/>
  <c r="J80" i="5" s="1"/>
  <c r="L57" i="32" l="1"/>
  <c r="L13" i="5"/>
  <c r="O21" i="5"/>
  <c r="M21" i="32"/>
  <c r="M13" i="32" s="1"/>
  <c r="M66" i="32" s="1"/>
  <c r="M80" i="32" s="1"/>
  <c r="M13" i="5"/>
  <c r="Q56" i="10"/>
  <c r="Q5" i="10"/>
  <c r="N21" i="5"/>
  <c r="L13" i="32"/>
  <c r="L66" i="32" s="1"/>
  <c r="L80" i="32" s="1"/>
  <c r="N21" i="32" l="1"/>
  <c r="N57" i="5"/>
  <c r="R56" i="10"/>
  <c r="P3" i="10" a="1"/>
  <c r="P3" i="10" s="1"/>
  <c r="M66" i="5"/>
  <c r="M80" i="5" s="1"/>
  <c r="O3" i="10" a="1"/>
  <c r="O3" i="10" s="1"/>
  <c r="L66" i="5"/>
  <c r="L80" i="5" s="1"/>
  <c r="O57" i="5" l="1"/>
  <c r="O13" i="5" s="1"/>
  <c r="O66" i="5" s="1"/>
  <c r="O80" i="5" s="1"/>
  <c r="R5" i="10"/>
  <c r="N57" i="32"/>
  <c r="O57" i="32" s="1"/>
  <c r="N13" i="5"/>
  <c r="O21" i="32"/>
  <c r="N13" i="32" l="1"/>
  <c r="N66" i="32" s="1"/>
  <c r="N80" i="32" s="1"/>
  <c r="O13" i="32"/>
  <c r="O66" i="32" s="1"/>
  <c r="O80" i="32" s="1"/>
  <c r="Q3" i="10" a="1"/>
  <c r="Q3" i="10" s="1"/>
  <c r="N66" i="5"/>
  <c r="N8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4E1C9D1D-709F-4C8D-8E96-1B142BC12565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426758FE-0D73-4A06-A9D0-64AA522A3B30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<sst xmlns="http://schemas.openxmlformats.org/spreadsheetml/2006/main" count="1753" uniqueCount="799">
  <si>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</si>
  <si>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</si>
  <si>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</si>
  <si>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</si>
  <si>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</si>
  <si>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</si>
  <si>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</si>
  <si>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</si>
  <si>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</si>
  <si>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</si>
  <si>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</si>
  <si>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</si>
  <si>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</si>
  <si>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</si>
  <si>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</si>
  <si>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</si>
  <si>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</si>
  <si>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</si>
  <si>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</si>
  <si>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</si>
  <si>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</si>
  <si>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</si>
  <si>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</si>
  <si>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</si>
  <si>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</si>
  <si>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</si>
  <si>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</si>
  <si>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</si>
  <si>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</si>
  <si>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</si>
  <si>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</si>
  <si>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</si>
  <si>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</si>
  <si>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</si>
  <si>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</si>
  <si>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</si>
  <si>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</si>
  <si>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</si>
  <si>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</si>
  <si>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</si>
  <si>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</si>
  <si>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</si>
  <si>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</si>
  <si>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</si>
  <si>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</si>
  <si>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</si>
  <si>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</si>
  <si>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</si>
  <si>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</si>
  <si>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</si>
  <si>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</si>
  <si>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</si>
  <si>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</si>
  <si>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</si>
  <si>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</si>
  <si>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</si>
  <si>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</si>
  <si>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</si>
  <si>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</si>
  <si>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</si>
  <si>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</si>
  <si>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</si>
  <si>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</si>
  <si>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</si>
  <si>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</si>
  <si>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</si>
  <si>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</si>
  <si>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</si>
  <si>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</si>
  <si>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</si>
  <si>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</si>
  <si>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</si>
  <si>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</si>
  <si>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</si>
  <si>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</si>
  <si>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</si>
  <si>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</si>
  <si>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</si>
  <si>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</si>
  <si>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</si>
  <si>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</si>
  <si>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</si>
  <si>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</si>
  <si>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</si>
  <si>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</si>
  <si>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</si>
  <si>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</si>
  <si>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</si>
  <si>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</si>
  <si>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</si>
  <si>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</si>
  <si>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</si>
  <si>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</si>
  <si>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</si>
  <si>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</si>
  <si>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</si>
  <si>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</si>
  <si>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</si>
  <si>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</si>
  <si>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</si>
  <si>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</si>
  <si>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</si>
  <si>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</si>
  <si>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</si>
  <si>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</si>
  <si>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</si>
  <si>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</si>
  <si>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</si>
  <si>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</si>
  <si>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</si>
  <si>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</si>
  <si>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</si>
  <si>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</si>
  <si>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</si>
  <si>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</si>
  <si>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</si>
  <si>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</si>
  <si>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</si>
  <si>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</si>
  <si>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</si>
  <si>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</si>
  <si>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</si>
  <si>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</si>
  <si>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</si>
  <si>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</si>
  <si>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</si>
  <si>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</si>
  <si>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</si>
  <si>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</si>
  <si>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</si>
  <si>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</si>
  <si>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</si>
  <si>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</si>
  <si>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</si>
  <si>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</si>
  <si>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</si>
  <si>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</si>
  <si>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</si>
  <si>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</si>
  <si>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</si>
  <si>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</si>
  <si>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</si>
  <si>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</si>
  <si>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</si>
  <si>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</si>
  <si>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</si>
  <si>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</si>
  <si>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</si>
  <si>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</si>
  <si>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</si>
  <si>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</si>
  <si>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</si>
  <si>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</si>
  <si>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</si>
  <si>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</si>
  <si>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</si>
  <si>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</si>
  <si>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</si>
  <si>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</si>
  <si>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</si>
  <si>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</si>
  <si>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</si>
  <si>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</si>
  <si>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</si>
  <si>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</si>
  <si>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</si>
  <si>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</si>
  <si>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</si>
  <si>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</si>
  <si>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</si>
  <si>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</si>
  <si>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</si>
  <si>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</si>
  <si>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</si>
  <si>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</si>
  <si>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</si>
  <si>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</si>
  <si>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</si>
  <si>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</si>
  <si>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</si>
  <si>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</si>
  <si>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</si>
  <si>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</si>
  <si>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</si>
  <si>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</si>
  <si>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</si>
  <si>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</si>
  <si>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</si>
  <si>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</si>
  <si>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</si>
  <si>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</si>
  <si>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</si>
  <si>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</si>
  <si>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</si>
  <si>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</si>
  <si>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</si>
  <si>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</si>
  <si>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</si>
  <si>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</si>
  <si>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</si>
  <si>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</si>
  <si>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</si>
  <si>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</si>
  <si>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</si>
  <si>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</si>
  <si>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</si>
  <si>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</si>
  <si>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</si>
  <si>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</si>
  <si>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</si>
  <si>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</si>
  <si>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</si>
  <si>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</si>
  <si>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</si>
  <si>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</si>
  <si>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</si>
  <si>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</si>
  <si>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</si>
  <si>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</si>
  <si>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</si>
  <si>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</si>
  <si>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</si>
  <si>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</si>
  <si>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</si>
  <si>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</si>
  <si>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</si>
  <si>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</si>
  <si>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</si>
  <si>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</si>
  <si>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</si>
  <si>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</si>
  <si>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</si>
  <si>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</si>
  <si>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</si>
  <si>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</si>
  <si>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</si>
  <si>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</si>
  <si>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</si>
  <si>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</si>
  <si>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</si>
  <si>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</si>
  <si>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</si>
  <si>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</si>
  <si>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</si>
  <si>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</si>
  <si>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</si>
  <si>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</si>
  <si>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</si>
  <si>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</si>
  <si>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</si>
  <si>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</si>
  <si>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</si>
  <si>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</si>
  <si>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</si>
  <si>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</si>
  <si>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</si>
  <si>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</si>
  <si>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</si>
  <si>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</si>
  <si>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</si>
  <si>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</si>
  <si>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</si>
  <si>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</si>
  <si>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</si>
  <si>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</si>
  <si>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</si>
  <si>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</si>
  <si>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</si>
  <si>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</si>
  <si>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</si>
  <si>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</si>
  <si>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</si>
  <si>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</si>
  <si>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</si>
  <si>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</si>
  <si>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</si>
  <si>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</si>
  <si>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</si>
  <si>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</si>
  <si>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</si>
  <si>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</si>
  <si>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</si>
  <si>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</si>
  <si>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</si>
  <si>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</si>
  <si>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</si>
  <si>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</si>
  <si>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</si>
  <si>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</si>
  <si>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</si>
  <si>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</si>
  <si>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</si>
  <si>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</si>
  <si>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</si>
  <si>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</si>
  <si>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</si>
  <si>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</si>
  <si>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</si>
  <si>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</si>
  <si>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</si>
  <si>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</si>
  <si>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</si>
  <si>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</si>
  <si>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</si>
  <si>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</si>
  <si>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</si>
  <si>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</si>
  <si>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</si>
  <si>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</si>
  <si>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</si>
  <si>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</si>
  <si>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</si>
  <si>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</si>
  <si>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</si>
  <si>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</si>
  <si>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</si>
  <si>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</si>
  <si>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</si>
  <si>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</si>
  <si>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</si>
  <si>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</si>
  <si>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</si>
  <si>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</si>
  <si>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</si>
  <si>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</si>
  <si>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</si>
  <si>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</si>
  <si>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</si>
  <si>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</si>
  <si>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</si>
  <si>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</si>
  <si>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</si>
  <si>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</si>
  <si>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</si>
  <si>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</si>
  <si>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</si>
  <si>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</si>
  <si>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</si>
  <si>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</si>
  <si>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</si>
  <si>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</si>
  <si>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</si>
  <si>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</si>
  <si>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</si>
  <si>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</si>
  <si>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</si>
  <si>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</si>
  <si>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</si>
  <si>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</si>
  <si>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</si>
  <si>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</si>
  <si>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</si>
  <si>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</si>
  <si>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</si>
  <si>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</si>
  <si>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</si>
  <si>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</si>
  <si>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</si>
  <si>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</si>
  <si>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</si>
  <si>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</si>
  <si>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</si>
  <si>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</si>
  <si>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</si>
  <si>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</si>
  <si>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</si>
  <si>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</si>
  <si>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</si>
  <si>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</si>
  <si>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</si>
  <si>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</si>
  <si>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</si>
  <si>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</si>
  <si>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</si>
  <si>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</si>
  <si>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</si>
  <si>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</si>
  <si>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</si>
  <si>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</si>
  <si>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</si>
  <si>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</si>
  <si>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</si>
  <si>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</si>
  <si>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</si>
  <si>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</si>
  <si>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</si>
  <si>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</si>
  <si>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</si>
  <si>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</si>
  <si>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</si>
  <si>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</si>
  <si>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</si>
  <si>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</si>
  <si>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</si>
  <si>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</si>
  <si>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</si>
  <si>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</si>
  <si>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</si>
  <si>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</si>
  <si>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</si>
  <si>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</si>
  <si>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</si>
  <si>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</si>
  <si>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</si>
  <si>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</si>
  <si>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</si>
  <si>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</si>
  <si>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</si>
  <si>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</si>
  <si>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</si>
  <si>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</si>
  <si>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</si>
  <si>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</si>
  <si>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</si>
  <si>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</si>
  <si>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</si>
  <si>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</si>
  <si>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</si>
  <si>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</si>
  <si>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</si>
  <si>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</si>
  <si>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</si>
  <si>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</si>
  <si>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</si>
  <si>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</si>
  <si>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</si>
  <si>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</si>
  <si>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</si>
  <si>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</si>
  <si>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</si>
  <si>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</si>
  <si>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</si>
  <si>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</si>
  <si>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</si>
  <si>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</si>
  <si>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</si>
  <si>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</si>
  <si>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</si>
  <si>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</si>
  <si>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</si>
  <si>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</si>
  <si>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</si>
  <si>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</si>
  <si>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</si>
  <si>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</si>
  <si>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</si>
  <si>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</si>
  <si>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</si>
  <si>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</si>
  <si>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</si>
  <si>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</si>
  <si>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</si>
  <si>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</si>
  <si>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</si>
  <si>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</si>
  <si>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</si>
  <si>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</si>
  <si>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</si>
  <si>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</si>
  <si>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</si>
  <si>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</si>
  <si>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</si>
  <si>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</si>
  <si>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</si>
  <si>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</si>
  <si>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</si>
  <si>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</si>
  <si>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</si>
  <si>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</si>
  <si>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</si>
  <si>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</si>
  <si>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</si>
  <si>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</si>
  <si>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</si>
  <si>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</si>
  <si>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</si>
  <si>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</si>
  <si>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</si>
  <si>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</si>
  <si>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</si>
  <si>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</si>
  <si>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</si>
  <si>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</si>
  <si>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</si>
  <si>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</si>
  <si>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</si>
  <si>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</si>
  <si>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</si>
  <si>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</si>
  <si>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</si>
  <si>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</si>
  <si>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</si>
  <si>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</si>
  <si>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</si>
  <si>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</si>
  <si>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</si>
  <si>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</si>
  <si>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</si>
  <si>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</si>
  <si>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</si>
  <si>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</si>
  <si>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</si>
  <si>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</si>
  <si>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</si>
  <si>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</si>
  <si>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</si>
  <si>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</si>
  <si>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</si>
  <si>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</si>
  <si>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</si>
  <si>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</si>
  <si>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</si>
  <si>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</si>
  <si>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</si>
  <si>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</si>
  <si>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</si>
  <si>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</si>
  <si>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</si>
  <si>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</si>
  <si>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</si>
  <si>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</si>
  <si>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</si>
  <si>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</si>
  <si>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</si>
  <si>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</si>
  <si>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</si>
  <si>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</si>
  <si>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</si>
  <si>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</si>
  <si>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</si>
  <si>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</si>
  <si>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</si>
  <si>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</si>
  <si>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</si>
  <si>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</si>
  <si>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</si>
  <si>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</si>
  <si>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</si>
  <si>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</si>
  <si>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</si>
  <si>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</si>
  <si>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</si>
  <si>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</si>
  <si>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</si>
  <si>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</si>
  <si>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</si>
  <si>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</si>
  <si>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</si>
  <si>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</si>
  <si>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</si>
  <si>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</si>
  <si>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</si>
  <si>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</si>
  <si>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</si>
  <si>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</si>
  <si>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</si>
  <si>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</si>
  <si>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</si>
  <si>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</si>
  <si>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</si>
  <si>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</si>
  <si>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</si>
  <si>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</si>
  <si>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</si>
  <si>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</si>
  <si>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</si>
  <si>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</si>
  <si>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</si>
  <si>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</si>
  <si>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</si>
  <si>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</si>
  <si>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</si>
  <si>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</si>
  <si>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</si>
  <si>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</si>
  <si>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</si>
  <si>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</si>
  <si>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</si>
  <si>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</si>
  <si>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</si>
  <si>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</si>
  <si>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</si>
  <si>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</si>
  <si>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</si>
  <si>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</si>
  <si>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</si>
  <si>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</si>
  <si>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</si>
  <si>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</si>
  <si>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</si>
  <si>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</si>
  <si>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</si>
  <si>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</si>
  <si>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</si>
  <si>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</si>
  <si>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</si>
  <si>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</si>
  <si>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</si>
  <si>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</si>
  <si>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</si>
  <si>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</si>
  <si>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</si>
  <si>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</si>
  <si>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</si>
  <si>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</si>
  <si>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</si>
  <si>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</si>
  <si>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</si>
  <si>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</si>
  <si>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</si>
  <si>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</si>
  <si>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</si>
  <si>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</si>
  <si>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</si>
  <si>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</si>
  <si>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</si>
  <si>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</si>
  <si>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</si>
  <si>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</si>
  <si>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</si>
  <si>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</si>
  <si>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</si>
  <si>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</si>
  <si>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</si>
  <si>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</si>
  <si>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</si>
  <si>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</si>
  <si>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</si>
  <si>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</si>
  <si>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</si>
  <si>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</si>
  <si>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</si>
  <si>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</si>
  <si>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</si>
  <si>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</si>
  <si>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</si>
  <si>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</si>
  <si>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</si>
  <si>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</si>
  <si>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</si>
  <si>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</si>
  <si>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</si>
  <si>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</si>
  <si>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</si>
  <si>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</si>
  <si>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</si>
  <si>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</si>
  <si>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</si>
  <si>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</si>
  <si>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</si>
  <si>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</si>
  <si>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</si>
  <si>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</si>
  <si>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</si>
  <si>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</si>
  <si>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</si>
  <si>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</si>
  <si>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</si>
  <si>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</si>
  <si>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</si>
  <si>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</si>
  <si>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</si>
  <si>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</si>
  <si>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</si>
  <si>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</si>
  <si>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</si>
  <si>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</si>
  <si>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</si>
  <si>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</si>
  <si>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</si>
  <si>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</si>
  <si>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</si>
  <si>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</si>
  <si>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</si>
  <si>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</si>
  <si>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</si>
  <si>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</si>
  <si>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</si>
  <si>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</si>
  <si>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</si>
  <si>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</si>
  <si>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</si>
  <si>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</si>
  <si>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</si>
  <si>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</si>
  <si>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</si>
  <si>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</si>
  <si>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</si>
  <si>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</si>
  <si>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</si>
  <si>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</si>
  <si>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</si>
  <si>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</si>
  <si>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Chênh lệch giá nguyên vật liệu mua vào FY2022   毎年4月のみ発生</t>
  </si>
  <si>
    <t>IRIS2020ベトナム向け部品トライ (wang ying san-KDTCN機構部品技術部)</t>
  </si>
  <si>
    <t>IRIS 2020 VN金型部品認定の緊急対応 (Tangping san-KDTCN部品品質管理部)</t>
  </si>
  <si>
    <t>機械装置</t>
  </si>
  <si>
    <t>減価償却費（製）　車輌運搬具Mua xe nâng điện NLP (sơn)</t>
  </si>
  <si>
    <t>工具器具備品</t>
  </si>
  <si>
    <t>その 他 (Tn-2)</t>
  </si>
  <si>
    <t>(Tháng n)  FIX ASSETS ( Mr Hajimoto)</t>
  </si>
  <si>
    <t>(Tháng n-1) FIX ASSETS ( Mr Hajimoto)</t>
  </si>
  <si>
    <t xml:space="preserve">(Tháng n-2) 金型償却費 </t>
  </si>
  <si>
    <t>機械装置金利</t>
  </si>
  <si>
    <t>金型金利 (N-2)</t>
  </si>
  <si>
    <t>工具器具備品 金利</t>
  </si>
  <si>
    <t>その他金利</t>
  </si>
  <si>
    <t xml:space="preserve">(Tháng n-1)金型金利　Mr Hajimoto </t>
  </si>
  <si>
    <t>消耗金型費 Mould budget for  EXPENSE (Khuôn)</t>
  </si>
  <si>
    <t>Repair mould budget Tháng n (Khuôn)</t>
  </si>
  <si>
    <t>DOM IMP-EXP</t>
  </si>
  <si>
    <t xml:space="preserve">AIR IMP </t>
  </si>
  <si>
    <t>SEA IMP</t>
  </si>
  <si>
    <t>AIR EXP</t>
  </si>
  <si>
    <t xml:space="preserve">SEA EXP </t>
  </si>
  <si>
    <t>COURIER IMP-EXP</t>
  </si>
  <si>
    <t>生産ライン用備品 Công dụng cụ chế tạo</t>
  </si>
  <si>
    <t>社内出庫 (Mua bán nội bộ) a Vinh mua 2 máy DP luyện tập</t>
  </si>
  <si>
    <t>計測器の校正 (Hiệu chuẩn chế tạo)</t>
  </si>
  <si>
    <t>計測器の修理 (Sửa chữa chế tạo)</t>
  </si>
  <si>
    <t>生産用文房具製造 (Văn phòng phẩm chế tạo)</t>
  </si>
  <si>
    <t>Oricon</t>
  </si>
  <si>
    <t>生産用副資材   (NLP MAI)</t>
  </si>
  <si>
    <t>生産用消耗品費 (NLP MAI)</t>
  </si>
  <si>
    <t>* 手袋 （副資材の (NLP MAI)</t>
  </si>
  <si>
    <t>* マスク（副資材の (NLP MAI)</t>
  </si>
  <si>
    <t>リーフット印刷用(NLP MAI)</t>
  </si>
  <si>
    <t>生産文房具類  (NLP MAI)</t>
  </si>
  <si>
    <t>Eva Venderさんの生産用消耗品費 - Việt</t>
  </si>
  <si>
    <t>Eva Venderさんの生産用副資材Việt</t>
  </si>
  <si>
    <t xml:space="preserve">Tenma, Changhong, Kuroda Venderさんの生産用消耗品費 </t>
  </si>
  <si>
    <t>Tenma, Changhong, Kuroda Venderさんの 生産用副資材</t>
  </si>
  <si>
    <t>*ガス代 gas cost</t>
  </si>
  <si>
    <t>*手洗い洗剤費  hand sanitizer</t>
  </si>
  <si>
    <t>*トイレットペーパ WC paper</t>
  </si>
  <si>
    <t>*清掃費用 Cleanning cost</t>
  </si>
  <si>
    <t>ローカル通勤バス- Xe BUS CN-NV</t>
  </si>
  <si>
    <t xml:space="preserve">シフト・残業・休日出勤の送迎タクシー代 Chi phí Taxi </t>
  </si>
  <si>
    <t>誕生日会 Sinh nhật (157,000VND)</t>
  </si>
  <si>
    <t xml:space="preserve"> </t>
  </si>
  <si>
    <t>制服 ,靴, 帽子が壊れた時に交換する。Đổi đồng phục</t>
  </si>
  <si>
    <t>Đồng phục mới</t>
  </si>
  <si>
    <t>お年玉 tiền mừng tuổi 2月：100,000・人）</t>
  </si>
  <si>
    <t>フィロソフィ論文で応募頂いた方 7月: 100,000/人</t>
  </si>
  <si>
    <t>折りたたみコップ 6,800VND/人(2月+8月 phát định kỳ)</t>
  </si>
  <si>
    <t>結婚費, 葬式費 Tiền mừng cưới, sinh con, tang lễ</t>
  </si>
  <si>
    <t>Chi phí hỗ trợ Khám chữa bệnh</t>
  </si>
  <si>
    <t>Chi phí học tiếng Nhật</t>
  </si>
  <si>
    <t>Chi phí dự tiệc chào mừng người mới</t>
  </si>
  <si>
    <t>Hỗ trợ bão</t>
  </si>
  <si>
    <t>新入社員の折りたたみコップ6,800VND/人</t>
  </si>
  <si>
    <t>新カレンダーLịch bỏ túi 800</t>
  </si>
  <si>
    <t>新入社員の名札+フィロソフィ手帳+ポケットThẻ từ chấm công +philosophy  (85200vnd/人)</t>
  </si>
  <si>
    <t>新ワーカの名札ケース+ペン+ノート (10600)</t>
  </si>
  <si>
    <t>KDTCN開発のシステム利用料</t>
  </si>
  <si>
    <t xml:space="preserve">* システム-MES使用費, Mail 使用費 </t>
  </si>
  <si>
    <t>*建物償却費) Bulding fee</t>
  </si>
  <si>
    <t>*土地(償却費) Land fee</t>
  </si>
  <si>
    <t>*電気代 Electrica usage cost</t>
  </si>
  <si>
    <t>*水道代 Water usage cost</t>
  </si>
  <si>
    <t>* 携帯電話- Telephone cost (2名）</t>
  </si>
  <si>
    <t>Ricoh +Sumiden HKの税金</t>
  </si>
  <si>
    <t>KDTHK送り部材の選別検査工数 Hoaさん</t>
  </si>
  <si>
    <t>Debit NCC Kyowa Hảo- Vtu</t>
  </si>
  <si>
    <t>（MCC）Hongkong からDEBIT (Phương Thúy さん）</t>
  </si>
  <si>
    <t>Khấu trừ công nợ đòi tiền NCC KAGA</t>
  </si>
  <si>
    <t>トラック代-Mr Thành Vật tư</t>
  </si>
  <si>
    <t>郵便 Phi chuyen phat nhanh Aseax</t>
  </si>
  <si>
    <t>Điều chỉnh tồn kho 在庫調整 (Kho)</t>
  </si>
  <si>
    <t>（部品物流）　棚卸資産廃棄損 (Kho)</t>
  </si>
  <si>
    <t>棚卸減耗費Chi phí tổn thất sau kiểm kê (2月+9月）</t>
  </si>
  <si>
    <t>2024年度のスローガン変更についての件</t>
  </si>
  <si>
    <t>Chi phí phần mềm máy tính</t>
  </si>
  <si>
    <t xml:space="preserve">bồi thường bảo hiểm </t>
  </si>
  <si>
    <t>Hàng trả lại</t>
  </si>
  <si>
    <t>Phí đăng kiểm xe nâng điện hàng năm (a Sơn) 11月</t>
  </si>
  <si>
    <t>phân bổ chi phí License Office 2019 trong tháng 11月 (IT)</t>
  </si>
  <si>
    <t xml:space="preserve">thuê xe nâng gấp Kaizo </t>
  </si>
  <si>
    <t>生産技術 KTSX1</t>
  </si>
  <si>
    <t>生産技術 KTSX2</t>
  </si>
  <si>
    <t>生産技術 KTSX3</t>
  </si>
  <si>
    <t>Tiền hỗ trợ học tiếng nhật A Vinh K</t>
  </si>
  <si>
    <t>Vật tư đi lấy lk Vina Taiyo Thảo(Vật tư)</t>
  </si>
  <si>
    <t>新人の健康診断　220,000　Khám sức khỏe người mới</t>
  </si>
  <si>
    <t>新人の 制服 (1月+2月: đông (733000), T5+6+7+8+9: hè(713000), T10+11+12+3+4: đông hè(1063000)</t>
  </si>
  <si>
    <t>固定資産金利 (建物)</t>
  </si>
  <si>
    <t>固定資産金利 (土地)</t>
  </si>
  <si>
    <t>忘年会補助金（300,000/人）3月</t>
  </si>
  <si>
    <t>Tiệc khuấy động năm tài chính 6月</t>
  </si>
  <si>
    <t xml:space="preserve">社員旅行 Du lịch công ty 5月：1,890,000/人 </t>
  </si>
  <si>
    <t>月餅Bánh Trung Thu  （9月）56,000VND</t>
  </si>
  <si>
    <t>京セラフェスティバルLễ hội Kyocera（9月） (126,000)</t>
  </si>
  <si>
    <t>10年勤続記念品Quà kỷ niệm cho CNV 10 năm gắn bó（10月）382,000</t>
  </si>
  <si>
    <t>10年勤続記念コンパTiệc kỷ niệm 10 năm gắn bó（10月）549,000</t>
  </si>
  <si>
    <t>夏服振替（２月-330,000VND）-冬服振替１０月-350,000VND）</t>
  </si>
  <si>
    <t>運動会スポーツ大会 (11月）Đại hội thể thao: 107,000</t>
  </si>
  <si>
    <t>健康診断(ローカル）12月 (Nam 189,000 - Nữ 204,000) Bầu (-30,000)</t>
  </si>
  <si>
    <t>Lịch bỏ túi ポケットカレンダ(11月の規定) - 800 VND</t>
  </si>
  <si>
    <t>Iris生産用設備（新規追加）Hiramatsu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</si>
</sst>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;[Red]&quot;¥&quot;\-#,##0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36" borderId="39" xfId="68" applyNumberFormat="1" applyFont="1" applyFill="1" applyBorder="1" applyAlignment="1" applyProtection="1">
      <alignment horizontal="right" vertical="center"/>
      <protection locked="0"/>
    </xf>
    <xf numFmtId="40" fontId="73" fillId="36" borderId="39" xfId="66" applyFont="1" applyFill="1" applyBorder="1" applyAlignment="1" applyProtection="1">
      <alignment horizontal="right" vertical="center"/>
      <protection locked="0"/>
    </xf>
    <xf numFmtId="40" fontId="80" fillId="32" borderId="0" xfId="0" applyNumberFormat="1" applyFont="1" applyFill="1"/>
    <xf numFmtId="40" fontId="5" fillId="32" borderId="0" xfId="0" applyNumberFormat="1" applyFont="1" applyFill="1"/>
  </cellXfs>
  <cellStyles count="175">
    <cellStyle name="_FY2014 MP作成依頼（KDTCN).1207(3)" xfId="1" xr:uid="{B74532AE-92E0-47E6-9E4A-E2B1CD4AB31D}"/>
    <cellStyle name="20% - Accent1" xfId="2" xr:uid="{3BACF21E-2CCB-46E7-A1AE-BB180ABE8D8A}"/>
    <cellStyle name="20% - Accent2" xfId="3" xr:uid="{0A377ED8-04B8-4AD3-BD31-0ADE2D5D5DD3}"/>
    <cellStyle name="20% - Accent3" xfId="4" xr:uid="{96D8CE7C-27C1-4E3D-BC78-54A5F19CEAAF}"/>
    <cellStyle name="20% - Accent4" xfId="5" xr:uid="{729DAAE8-83AB-445A-864A-05C481997F71}"/>
    <cellStyle name="20% - Accent5" xfId="6" xr:uid="{ED42FDEB-AA88-4BF6-B782-252A2AC7E8CC}"/>
    <cellStyle name="20% - Accent6" xfId="7" xr:uid="{9B04315C-A388-45AF-ACA2-AFDFCD94C1F7}"/>
    <cellStyle name="20% - アクセント 1" xfId="8" xr:uid="{D0101359-3D25-451C-938C-3DC62431A5B3}"/>
    <cellStyle name="20% - アクセント 1 2" xfId="9" xr:uid="{03EE86A7-E71D-4B11-A3B3-246CC7A08D16}"/>
    <cellStyle name="20% - アクセント 2" xfId="10" xr:uid="{90D370A1-5C06-471E-A739-B2ABDEEF357D}"/>
    <cellStyle name="20% - アクセント 2 2" xfId="11" xr:uid="{F58006DD-EB7F-408A-B649-DAFB673262C4}"/>
    <cellStyle name="20% - アクセント 3" xfId="12" xr:uid="{C809F9B5-B7FA-4695-9FC0-472DE4E434A3}"/>
    <cellStyle name="20% - アクセント 3 2" xfId="13" xr:uid="{86360229-DBE5-4A42-9865-9DD1ADC7A9A4}"/>
    <cellStyle name="20% - アクセント 4" xfId="14" xr:uid="{6ED41890-EBE3-45D5-A403-751C267F9E7C}"/>
    <cellStyle name="20% - アクセント 4 2" xfId="15" xr:uid="{EF947CD1-30A9-4EA5-A757-43135E2F282F}"/>
    <cellStyle name="20% - アクセント 5" xfId="16" xr:uid="{FBA0CC42-C40F-41C6-B0BB-ECBFE829F8B9}"/>
    <cellStyle name="20% - アクセント 5 2" xfId="17" xr:uid="{1D89AA9A-4393-47EA-9C40-72BD6872BF51}"/>
    <cellStyle name="20% - アクセント 6" xfId="18" xr:uid="{0915D121-720E-4427-91C3-BF0FD77B39A3}"/>
    <cellStyle name="20% - アクセント 6 2" xfId="19" xr:uid="{837A0409-EAEB-4571-B92B-FA34A870FEEF}"/>
    <cellStyle name="3232" xfId="20" xr:uid="{3F00D97B-FF0C-4910-9F74-65D1F06E0719}"/>
    <cellStyle name="40% - Accent1" xfId="21" xr:uid="{9E9E09D4-F225-4F89-A2DE-AE5550A3BBE3}"/>
    <cellStyle name="40% - Accent2" xfId="22" xr:uid="{1BD5DEF3-C0A8-4090-8460-F9A265EFA0EB}"/>
    <cellStyle name="40% - Accent3" xfId="23" xr:uid="{5B3800C1-CB0B-4FBF-B4E9-63399B5E39C4}"/>
    <cellStyle name="40% - Accent4" xfId="24" xr:uid="{5012D2D7-91D9-457B-BB86-4B747F8F9CB3}"/>
    <cellStyle name="40% - Accent5" xfId="25" xr:uid="{94FA94EC-B301-4DB9-A4CD-CE6A045E9DB0}"/>
    <cellStyle name="40% - Accent6" xfId="26" xr:uid="{7ACDA34C-8070-4543-A149-F38B7D2C9FAB}"/>
    <cellStyle name="40% - アクセント 1" xfId="27" xr:uid="{0EC3AF3D-3CB7-4835-8755-FFF3FDF54835}"/>
    <cellStyle name="40% - アクセント 1 2" xfId="28" xr:uid="{CC78D12B-869F-4FC3-8DC7-B5B1FDB85DFD}"/>
    <cellStyle name="40% - アクセント 2" xfId="29" xr:uid="{E1ADD2FF-E482-442A-8CBA-F706A4A6D51A}"/>
    <cellStyle name="40% - アクセント 2 2" xfId="30" xr:uid="{E71C8307-97BB-4402-9A85-7BFA0BEC1DD9}"/>
    <cellStyle name="40% - アクセント 3" xfId="31" xr:uid="{E1502DF9-7C58-4907-A399-CBE3F035605B}"/>
    <cellStyle name="40% - アクセント 3 2" xfId="32" xr:uid="{F3270E9E-7DD6-42E0-8F2A-E011461731C9}"/>
    <cellStyle name="40% - アクセント 4" xfId="33" xr:uid="{A7895EFB-ED34-400B-B9BC-1DAEC814674B}"/>
    <cellStyle name="40% - アクセント 4 2" xfId="34" xr:uid="{8F3EBBD7-E19B-4E5F-A394-F6C9C8A96607}"/>
    <cellStyle name="40% - アクセント 5" xfId="35" xr:uid="{16D4B8F5-8043-47BA-8C18-D050D323B1BA}"/>
    <cellStyle name="40% - アクセント 5 2" xfId="36" xr:uid="{FED1F2A1-01FF-488A-9968-756AFD57B0C0}"/>
    <cellStyle name="40% - アクセント 6" xfId="37" xr:uid="{B7B6D58C-39AD-403A-A554-DB63FFED0FF0}"/>
    <cellStyle name="40% - アクセント 6 2" xfId="38" xr:uid="{BBE79F50-F8E9-475D-8C45-846DE34C63D1}"/>
    <cellStyle name="60% - Accent1" xfId="39" xr:uid="{FAE669F5-2B05-42E7-826F-81BBB8141301}"/>
    <cellStyle name="60% - Accent2" xfId="40" xr:uid="{161B123A-3DB6-42BF-BF88-D91E58F6A4F0}"/>
    <cellStyle name="60% - Accent3" xfId="41" xr:uid="{DDE424AF-35FE-4270-B3F8-3978213BB0C8}"/>
    <cellStyle name="60% - Accent4" xfId="42" xr:uid="{0FBBBAAD-D25C-4F7E-8124-4DC89CC0AC62}"/>
    <cellStyle name="60% - Accent5" xfId="43" xr:uid="{F024E999-4AF8-4CB9-99E8-D1B549057F1E}"/>
    <cellStyle name="60% - Accent6" xfId="44" xr:uid="{A88AF394-07CC-4EF3-B7EF-8165FF7BB80E}"/>
    <cellStyle name="60% - アクセント 1" xfId="45" xr:uid="{523B7B99-D0DE-441C-84BC-C711AC335D7C}"/>
    <cellStyle name="60% - アクセント 1 2" xfId="46" xr:uid="{DE54BD4E-A445-4CC8-B730-88FFD1B960BC}"/>
    <cellStyle name="60% - アクセント 2" xfId="47" xr:uid="{EFF43C7F-8446-462E-95F4-F9872756AD86}"/>
    <cellStyle name="60% - アクセント 2 2" xfId="48" xr:uid="{3EBCA941-BC5F-4335-8FC0-FC6FBAC17624}"/>
    <cellStyle name="60% - アクセント 3" xfId="49" xr:uid="{94C6A8D6-8C5E-41C0-8131-775943C3C0BA}"/>
    <cellStyle name="60% - アクセント 3 2" xfId="50" xr:uid="{8619F801-17BB-4506-BFD2-C9386ADDC86A}"/>
    <cellStyle name="60% - アクセント 4" xfId="51" xr:uid="{5F106C1C-FEFA-4707-BEA8-221A32C535F7}"/>
    <cellStyle name="60% - アクセント 4 2" xfId="52" xr:uid="{8DE3FD2B-9066-4A7B-A201-FBCFB1E9058C}"/>
    <cellStyle name="60% - アクセント 5" xfId="53" xr:uid="{6286E99B-1B2A-4684-A95E-06C768E09169}"/>
    <cellStyle name="60% - アクセント 5 2" xfId="54" xr:uid="{BA223C23-0AC4-451F-A6E9-D791E7EFD357}"/>
    <cellStyle name="60% - アクセント 6" xfId="55" xr:uid="{144A3888-F20F-4C2B-89E2-4DD0FFCAC721}"/>
    <cellStyle name="60% - アクセント 6 2" xfId="56" xr:uid="{2B44AD8E-205A-43F5-9C7A-CC19CB8BFE77}"/>
    <cellStyle name="Accent1" xfId="57" xr:uid="{9B99581F-0F06-48B2-9D52-E173D309F086}"/>
    <cellStyle name="Accent2" xfId="58" xr:uid="{CC1FE76F-0B67-44BC-8F56-2D4354075A32}"/>
    <cellStyle name="Accent3" xfId="59" xr:uid="{3B9D72ED-031D-43DF-9068-7E5BDCA8EB45}"/>
    <cellStyle name="Accent4" xfId="60" xr:uid="{BD36AC42-94E2-4C52-899F-DEDF6414B647}"/>
    <cellStyle name="Accent5" xfId="61" xr:uid="{051E075C-E5CD-4689-BD67-083CADCFAC71}"/>
    <cellStyle name="Accent6" xfId="62" xr:uid="{6A1CF6E1-81D5-46CE-8D24-BFE01DBB531B}"/>
    <cellStyle name="Bad" xfId="63" xr:uid="{32D72AB7-40A3-47FD-BF96-9B225408C738}"/>
    <cellStyle name="Calculation" xfId="64" xr:uid="{EE76F14B-0063-4747-99DB-E1D7E5D7ABB7}"/>
    <cellStyle name="Check Cell" xfId="65" xr:uid="{72B8AF6F-069C-4C68-BC2F-74DC1430C106}"/>
    <cellStyle name="Comma" xfId="66" builtinId="3"/>
    <cellStyle name="Comma [0]" xfId="67" builtinId="6"/>
    <cellStyle name="Comma [0] 2" xfId="68" xr:uid="{4622BBCF-57D1-4BE7-B5C0-1FBB10A105A7}"/>
    <cellStyle name="Comma [0] 2 2" xfId="69" xr:uid="{0EEDFF61-E1D6-4589-A671-E9588BD613C0}"/>
    <cellStyle name="Comma [0] 3" xfId="70" xr:uid="{D8CC10CC-FBD7-4E67-85E6-14DA5F2519A7}"/>
    <cellStyle name="Comma [0] 4" xfId="71" xr:uid="{510A8676-D46D-44BB-99F3-EABB5758331E}"/>
    <cellStyle name="Comma 2" xfId="72" xr:uid="{54131E9E-37AD-431A-BA3E-DF6350B8CE56}"/>
    <cellStyle name="Comma 2 3" xfId="73" xr:uid="{CEDBB770-1ADA-4083-8147-89B3DCE5D261}"/>
    <cellStyle name="Comma 3" xfId="74" xr:uid="{45728278-6C06-4966-B49A-529ED2C04D1B}"/>
    <cellStyle name="Comma 3 2 2" xfId="75" xr:uid="{49CFC358-B325-4128-9CB3-24D87CC94877}"/>
    <cellStyle name="Comma 4" xfId="76" xr:uid="{DA410FBD-0ACF-49F1-94A6-6C19024BA7E1}"/>
    <cellStyle name="Comma 5" xfId="77" xr:uid="{118372D0-3ABA-4425-A45B-33D81C670AA9}"/>
    <cellStyle name="Comma 6" xfId="78" xr:uid="{A757D7ED-13DA-43D3-ACCB-96E324DE22FC}"/>
    <cellStyle name="Currency [0] 2" xfId="79" xr:uid="{CEFB7C31-D512-41C9-91CD-D50073A18C5D}"/>
    <cellStyle name="Explanatory Text" xfId="80" xr:uid="{3D59A0B5-EEB9-4F19-AFBE-5FA1731FCB19}"/>
    <cellStyle name="Good" xfId="81" xr:uid="{04C91ADA-7F91-4A9F-B729-538A31B5A6C6}"/>
    <cellStyle name="Heading 1" xfId="82" xr:uid="{75F0F3E7-960D-47A3-9A68-85AE488A29B7}"/>
    <cellStyle name="Heading 2" xfId="83" xr:uid="{D362F154-3A01-47F1-BF61-125A667B591F}"/>
    <cellStyle name="Heading 3" xfId="84" xr:uid="{B2014B0B-B1AA-4D6D-BE88-5CDD8046BBF6}"/>
    <cellStyle name="Heading 4" xfId="85" xr:uid="{873E2494-B8B7-4686-AE23-0B7C65774744}"/>
    <cellStyle name="Input" xfId="86" xr:uid="{6C60CC80-B821-4E9C-847C-7DCB03C86422}"/>
    <cellStyle name="Linked Cell" xfId="87" xr:uid="{A3553A44-84A1-4245-A3E6-7520E80BA69C}"/>
    <cellStyle name="Neutral" xfId="88" xr:uid="{EA48D815-57C2-4097-8352-5692BB99271B}"/>
    <cellStyle name="Normal" xfId="0" builtinId="0"/>
    <cellStyle name="Normal 2" xfId="89" xr:uid="{8F78AC7D-053A-4A0B-AC83-06E27A4FCC4D}"/>
    <cellStyle name="Normal 2 2" xfId="90" xr:uid="{6E3988E1-23E0-49C0-9959-FE18A3CDB8B8}"/>
    <cellStyle name="Normal 3" xfId="91" xr:uid="{AB942643-A028-4D5C-9725-B14CCA5AA91A}"/>
    <cellStyle name="Normal 4" xfId="92" xr:uid="{73709495-23FB-43B2-A63B-720D5B085B0F}"/>
    <cellStyle name="Normal 5" xfId="93" xr:uid="{47C9EE6C-C75B-498B-99B6-5530F80A22B2}"/>
    <cellStyle name="Note" xfId="94" xr:uid="{F921F2C9-4868-464D-8CE6-6635F4A53A0B}"/>
    <cellStyle name="Output" xfId="95" xr:uid="{79EF12B6-021E-4BFF-97DB-7059AD96E404}"/>
    <cellStyle name="Percent 2" xfId="96" xr:uid="{CD67A0D4-34A0-442C-B8C0-2EA9B311330B}"/>
    <cellStyle name="Percent 3" xfId="97" xr:uid="{39396E43-F889-46C8-AD99-EB8D5EFC732A}"/>
    <cellStyle name="Title" xfId="98" xr:uid="{8D278541-AD97-43AB-A9B8-821643C20A35}"/>
    <cellStyle name="Total" xfId="99" xr:uid="{284040FD-F33F-40B0-927A-511E3550EE6E}"/>
    <cellStyle name="Warning Text" xfId="100" xr:uid="{18A4671C-5EA4-49DE-9024-B675D996256A}"/>
    <cellStyle name="アクセント 1" xfId="101" xr:uid="{BCB8A621-5832-4660-88AC-F9C71A8E6205}"/>
    <cellStyle name="アクセント 1 2" xfId="102" xr:uid="{154CEA43-AF2C-4076-BB16-38BCFEF1B7AD}"/>
    <cellStyle name="アクセント 2" xfId="103" xr:uid="{24B99CF7-F332-447B-8B19-6530A01713C0}"/>
    <cellStyle name="アクセント 2 2" xfId="104" xr:uid="{A821405E-9AA0-47D8-BC38-3F3DC0117EC2}"/>
    <cellStyle name="アクセント 3" xfId="105" xr:uid="{4B195FFF-1E31-4450-AF45-0C2D4E0E65E1}"/>
    <cellStyle name="アクセント 3 2" xfId="106" xr:uid="{0452EB68-4354-4746-8135-5669192CF0AB}"/>
    <cellStyle name="アクセント 4" xfId="107" xr:uid="{D1B9BBA6-5471-4771-969D-A94ECA951BCB}"/>
    <cellStyle name="アクセント 4 2" xfId="108" xr:uid="{7B706D96-A45A-4685-BD1D-7245E81D78DC}"/>
    <cellStyle name="アクセント 5" xfId="109" xr:uid="{F0BFDF80-F242-497C-BB90-CA15A1639301}"/>
    <cellStyle name="アクセント 5 2" xfId="110" xr:uid="{07A51ED0-7F38-4B1A-A84A-EC237A881E0D}"/>
    <cellStyle name="アクセント 6" xfId="111" xr:uid="{A67A24F8-7759-4AED-AB3F-0DC2C42ED31F}"/>
    <cellStyle name="アクセント 6 2" xfId="112" xr:uid="{66467AF6-3C54-4064-95B8-EA1DC702A01B}"/>
    <cellStyle name="タイトル" xfId="113" xr:uid="{F0BBC35A-08C0-4708-909C-735C0E9481E8}"/>
    <cellStyle name="タイトル 2" xfId="114" xr:uid="{A706E91F-750C-463D-9EF7-D18976C26409}"/>
    <cellStyle name="チェック セル" xfId="115" xr:uid="{DCB6C5FA-5023-4B25-8B0C-3096359D5BA0}"/>
    <cellStyle name="チェック セル 2" xfId="116" xr:uid="{4863C479-4D0D-4B7A-8E22-3A803A812EF9}"/>
    <cellStyle name="どちらでもない" xfId="117" xr:uid="{664D27BF-11D9-4505-84F0-C5560BC6B0FD}"/>
    <cellStyle name="どちらでもない 2" xfId="118" xr:uid="{D27BD558-45EA-441B-A622-92C0B8768423}"/>
    <cellStyle name="パーセント 2" xfId="119" xr:uid="{AF634739-FCD5-481D-809A-79014C831773}"/>
    <cellStyle name="パーセント 3" xfId="120" xr:uid="{6FABA6C5-257B-4FDB-9A51-E28F357E9B09}"/>
    <cellStyle name="パーセント 3 2" xfId="121" xr:uid="{8BE0C81B-0B06-4F9B-8D25-2E5679229046}"/>
    <cellStyle name="メモ" xfId="122" xr:uid="{7F824170-72A6-4465-8F9E-90BF9E8F2025}"/>
    <cellStyle name="メモ 2" xfId="123" xr:uid="{0409C091-EAE3-48B1-B885-583F1D3EE004}"/>
    <cellStyle name="リンク セル" xfId="124" xr:uid="{B3F79795-4BBB-42AA-9C1B-B6B8F310F47D}"/>
    <cellStyle name="リンク セル 2" xfId="125" xr:uid="{6722EFE1-5B4C-4982-90B5-2CCB619AB652}"/>
    <cellStyle name="悪い" xfId="126" xr:uid="{06334AD4-9584-46DE-B28C-C9894470C3A1}"/>
    <cellStyle name="悪い 2" xfId="127" xr:uid="{19308FA3-6BD3-4DED-B3D0-99A79F18D696}"/>
    <cellStyle name="一般_KMHK FY2008 時間当り採算 2007年4月 ( Month Plan )" xfId="128" xr:uid="{2DD23F13-F7BB-4A3C-85BA-4EC6FCD8E1D4}"/>
    <cellStyle name="一般_設備投資金額一覽表" xfId="129" xr:uid="{F87E4560-0DCE-4112-8759-C887FFDCF54B}"/>
    <cellStyle name="計算" xfId="130" xr:uid="{2B36337F-13F3-461E-8C0C-9F598A5F9D4B}"/>
    <cellStyle name="計算 2" xfId="131" xr:uid="{49B074E9-EBE0-4E99-A4D1-7A69B6115DFF}"/>
    <cellStyle name="警告文" xfId="132" xr:uid="{0A0018E7-B053-454D-A4B7-FC0113256047}"/>
    <cellStyle name="警告文 2" xfId="133" xr:uid="{BC9A16AC-CD70-423C-8257-CE8867A9B8B5}"/>
    <cellStyle name="桁区切り [0.00] 2" xfId="134" xr:uid="{C3AEE0C9-6952-449F-8176-ECA23FB38A72}"/>
    <cellStyle name="桁区切り [0.00] 2 2" xfId="135" xr:uid="{5233279D-453E-4BC6-B04E-645C8BC79AB2}"/>
    <cellStyle name="桁区切り [0.00] 2 3" xfId="136" xr:uid="{FBB0FE1D-BED5-4A26-B9D2-D105C960F3F9}"/>
    <cellStyle name="桁区切り 2" xfId="137" xr:uid="{C4DE8F36-DE88-4894-B039-67F347BB6CED}"/>
    <cellStyle name="桁区切り 2 2" xfId="138" xr:uid="{1408CCF1-6D8D-43ED-B0CD-24597811A15C}"/>
    <cellStyle name="桁区切り 2 3" xfId="139" xr:uid="{1CACEC26-1044-4A61-B870-6F21B4E83CB9}"/>
    <cellStyle name="桁区切り 3" xfId="140" xr:uid="{740ACD66-7283-4FE3-99BE-6924BF6394DC}"/>
    <cellStyle name="桁区切り 4" xfId="141" xr:uid="{4053E1B0-C236-4D22-AE6F-49867C1F3F1C}"/>
    <cellStyle name="桁区切り 5" xfId="142" xr:uid="{985F1C74-1CE9-40D7-9290-CBE809EFE1B3}"/>
    <cellStyle name="桁区切り 6" xfId="143" xr:uid="{F4A29027-0A6E-430C-A675-D9DE8BB409CE}"/>
    <cellStyle name="見出し 1" xfId="144" xr:uid="{7F508F75-64CB-4903-827B-65F04C94C893}"/>
    <cellStyle name="見出し 1 2" xfId="145" xr:uid="{B6C6A1D8-4274-4D1A-B01D-0A1DA2238119}"/>
    <cellStyle name="見出し 2" xfId="146" xr:uid="{3EE1BE01-3D9E-4980-B173-00A32EF92276}"/>
    <cellStyle name="見出し 2 2" xfId="147" xr:uid="{15B7B35D-D095-4EB6-9E6E-D662C3213644}"/>
    <cellStyle name="見出し 3" xfId="148" xr:uid="{6170A48B-8268-431F-9C43-599A978C86D1}"/>
    <cellStyle name="見出し 3 2" xfId="149" xr:uid="{CD119139-78F8-4F68-88BF-DDBFD5BAE411}"/>
    <cellStyle name="見出し 4" xfId="150" xr:uid="{ED4F17F5-4EBE-46BF-86FB-F2C1517BC397}"/>
    <cellStyle name="見出し 4 2" xfId="151" xr:uid="{4001C90C-B61D-4629-96DF-BABA5369DEB5}"/>
    <cellStyle name="集計" xfId="152" xr:uid="{79AAF66C-1EE2-474C-8906-EF46896FCB01}"/>
    <cellStyle name="集計 2" xfId="153" xr:uid="{A4CB4EB9-D94E-4CB4-AB86-4496F65E93DD}"/>
    <cellStyle name="出力" xfId="154" xr:uid="{BB4387EC-8F0C-4B53-97E4-FC0C05457B5E}"/>
    <cellStyle name="出力 2" xfId="155" xr:uid="{D4FE760D-B0C4-4DCE-BC0E-1F88F8E88A98}"/>
    <cellStyle name="常规_総生産分析(0605-0606)" xfId="156" xr:uid="{F5684F40-14DE-4C46-B674-A5840D3CEA60}"/>
    <cellStyle name="説明文" xfId="157" xr:uid="{E2C90891-3985-4FE3-96DA-19418E8DB552}"/>
    <cellStyle name="説明文 2" xfId="158" xr:uid="{C2AF4780-8F68-4510-9E80-FCB706C1A3A8}"/>
    <cellStyle name="通貨 2" xfId="159" xr:uid="{95E6C407-F1A3-434C-9801-6ED0B13D6DA3}"/>
    <cellStyle name="通貨 3" xfId="160" xr:uid="{BAF51EEB-945D-4E2C-86A6-02C9203B38F7}"/>
    <cellStyle name="入力" xfId="161" xr:uid="{A43B13BF-A78A-4D74-B587-4D00C8A18A9B}"/>
    <cellStyle name="入力 2" xfId="162" xr:uid="{99E115F0-373B-4D52-93AA-E223B5FF74D9}"/>
    <cellStyle name="標準 2" xfId="163" xr:uid="{B3D09A6E-0566-42B7-9CBB-BE0789E4B232}"/>
    <cellStyle name="標準 2 2" xfId="164" xr:uid="{B3BF8476-46E3-4555-8A69-567B31B01FCF}"/>
    <cellStyle name="標準 3" xfId="165" xr:uid="{1B86BD48-3761-49D2-8345-D05820EC92C5}"/>
    <cellStyle name="標準 3 2" xfId="166" xr:uid="{1DD8D6C8-0C8D-4BD2-AD39-716F2B923A12}"/>
    <cellStyle name="標準 4" xfId="167" xr:uid="{68DD03CD-0869-41BC-B6FE-07D963DFF41D}"/>
    <cellStyle name="標準 4 2" xfId="168" xr:uid="{4DAF519B-3ECF-4940-87B9-148614728E54}"/>
    <cellStyle name="標準_★予定用採算表フォーム（製造課用）" xfId="169" xr:uid="{012BC94C-1000-4378-89D7-9383746FAA89}"/>
    <cellStyle name="標準_03.2012 08 31 KDTVN採算表及集計表 FY2013_09（製技用）" xfId="170" xr:uid="{F77825C4-ACC3-4A94-9BDD-E67E25F889DB}"/>
    <cellStyle name="標準_KDTVN 2012年9月1日付原価センタ" xfId="171" xr:uid="{1C21D110-8AF3-4B79-9CBA-3E5A889F9301}"/>
    <cellStyle name="未定義" xfId="172" xr:uid="{CD02755F-38B8-42FD-A1DE-B3766775D8D4}"/>
    <cellStyle name="良い" xfId="173" xr:uid="{11CF3BE1-68D2-4856-8C50-236285B669BA}"/>
    <cellStyle name="良い 2" xfId="174" xr:uid="{FA65AF8B-1580-4142-843B-BF8D340AB943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2D5E-9F56-40DC-8673-B141F246A149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機器製造3課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19110459.029999997</v>
      </c>
      <c r="D5" s="129">
        <f t="shared" ref="D5:O5" si="0">D8+D9</f>
        <v>20099971.43</v>
      </c>
      <c r="E5" s="129">
        <f t="shared" si="0"/>
        <v>20875338.919999998</v>
      </c>
      <c r="F5" s="129">
        <f t="shared" si="0"/>
        <v>21301794.469999999</v>
      </c>
      <c r="G5" s="129">
        <f t="shared" si="0"/>
        <v>21990307.869999997</v>
      </c>
      <c r="H5" s="129">
        <f t="shared" si="0"/>
        <v>17193928.739999998</v>
      </c>
      <c r="I5" s="129">
        <f t="shared" si="0"/>
        <v>22168206.699999999</v>
      </c>
      <c r="J5" s="129">
        <f t="shared" si="0"/>
        <v>20895139.220000003</v>
      </c>
      <c r="K5" s="129">
        <f t="shared" si="0"/>
        <v>19148366.91</v>
      </c>
      <c r="L5" s="129">
        <f t="shared" si="0"/>
        <v>21182607.699999999</v>
      </c>
      <c r="M5" s="129">
        <f t="shared" si="0"/>
        <v>16597349.379999999</v>
      </c>
      <c r="N5" s="129">
        <f t="shared" si="0"/>
        <v>18301018.330000002</v>
      </c>
      <c r="O5" s="129">
        <f t="shared" si="0"/>
        <v>238864488.70000002</v>
      </c>
    </row>
    <row r="6" spans="1:15" ht="11.25" customHeight="1">
      <c r="A6" s="26"/>
      <c r="B6" s="29" t="s">
        <v>141</v>
      </c>
      <c r="C6" s="130">
        <f>ROUNDDOWN('採算表(VND)'!C6/$N$1,2)</f>
        <v>19108009.149999999</v>
      </c>
      <c r="D6" s="130">
        <f>ROUNDDOWN('採算表(VND)'!D6/$N$1,2)</f>
        <v>20096700.399999999</v>
      </c>
      <c r="E6" s="130">
        <f>ROUNDDOWN('採算表(VND)'!E6/$N$1,2)</f>
        <v>20872160.309999999</v>
      </c>
      <c r="F6" s="130">
        <f>ROUNDDOWN('採算表(VND)'!F6/$N$1,2)</f>
        <v>21298422.699999999</v>
      </c>
      <c r="G6" s="130">
        <f>ROUNDDOWN('採算表(VND)'!G6/$N$1,2)</f>
        <v>21986288.579999998</v>
      </c>
      <c r="H6" s="130">
        <f>ROUNDDOWN('採算表(VND)'!H6/$N$1,2)</f>
        <v>17191412.66</v>
      </c>
      <c r="I6" s="130">
        <f>ROUNDDOWN('採算表(VND)'!I6/$N$1,2)</f>
        <v>22165726.219999999</v>
      </c>
      <c r="J6" s="130">
        <f>ROUNDDOWN('採算表(VND)'!J6/$N$1,2)</f>
        <v>20891836.460000001</v>
      </c>
      <c r="K6" s="130">
        <f>ROUNDDOWN('採算表(VND)'!K6/$N$1,2)</f>
        <v>19145652.18</v>
      </c>
      <c r="L6" s="130">
        <f>ROUNDDOWN('採算表(VND)'!L6/$N$1,2)</f>
        <v>21179383.890000001</v>
      </c>
      <c r="M6" s="130">
        <f>ROUNDDOWN('採算表(VND)'!M6/$N$1,2)</f>
        <v>16595065.68</v>
      </c>
      <c r="N6" s="130">
        <f>ROUNDDOWN('採算表(VND)'!N6/$N$1,2)</f>
        <v>18298390.210000001</v>
      </c>
      <c r="O6" s="130">
        <f>SUM(C6:N6)</f>
        <v>238829048.44000003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19108009.149999999</v>
      </c>
      <c r="D8" s="132">
        <f t="shared" si="1"/>
        <v>20096700.399999999</v>
      </c>
      <c r="E8" s="132">
        <f t="shared" si="1"/>
        <v>20872160.309999999</v>
      </c>
      <c r="F8" s="132">
        <f t="shared" si="1"/>
        <v>21298422.699999999</v>
      </c>
      <c r="G8" s="132">
        <f t="shared" si="1"/>
        <v>21986288.579999998</v>
      </c>
      <c r="H8" s="132">
        <f t="shared" si="1"/>
        <v>17191412.66</v>
      </c>
      <c r="I8" s="132">
        <f t="shared" si="1"/>
        <v>22165726.219999999</v>
      </c>
      <c r="J8" s="132">
        <f t="shared" si="1"/>
        <v>20891836.460000001</v>
      </c>
      <c r="K8" s="132">
        <f t="shared" si="1"/>
        <v>19145652.18</v>
      </c>
      <c r="L8" s="132">
        <f t="shared" si="1"/>
        <v>21179383.890000001</v>
      </c>
      <c r="M8" s="132">
        <f t="shared" si="1"/>
        <v>16595065.68</v>
      </c>
      <c r="N8" s="132">
        <f t="shared" si="1"/>
        <v>18298390.210000001</v>
      </c>
      <c r="O8" s="132">
        <f t="shared" si="1"/>
        <v>238829048.44000003</v>
      </c>
    </row>
    <row r="9" spans="1:15" ht="11.25" customHeight="1">
      <c r="A9" s="26"/>
      <c r="B9" s="28" t="s">
        <v>73</v>
      </c>
      <c r="C9" s="133">
        <f>ROUNDDOWN('採算表(VND)'!C9/$N$1,2)</f>
        <v>2449.88</v>
      </c>
      <c r="D9" s="133">
        <f>ROUNDDOWN('採算表(VND)'!D9/$N$1,2)</f>
        <v>3271.03</v>
      </c>
      <c r="E9" s="133">
        <f>ROUNDDOWN('採算表(VND)'!E9/$N$1,2)</f>
        <v>3178.61</v>
      </c>
      <c r="F9" s="133">
        <f>ROUNDDOWN('採算表(VND)'!F9/$N$1,2)</f>
        <v>3371.77</v>
      </c>
      <c r="G9" s="133">
        <f>ROUNDDOWN('採算表(VND)'!G9/$N$1,2)</f>
        <v>4019.29</v>
      </c>
      <c r="H9" s="133">
        <f>ROUNDDOWN('採算表(VND)'!H9/$N$1,2)</f>
        <v>2516.08</v>
      </c>
      <c r="I9" s="133">
        <f>ROUNDDOWN('採算表(VND)'!I9/$N$1,2)</f>
        <v>2480.48</v>
      </c>
      <c r="J9" s="133">
        <f>ROUNDDOWN('採算表(VND)'!J9/$N$1,2)</f>
        <v>3302.76</v>
      </c>
      <c r="K9" s="133">
        <f>ROUNDDOWN('採算表(VND)'!K9/$N$1,2)</f>
        <v>2714.73</v>
      </c>
      <c r="L9" s="133">
        <f>ROUNDDOWN('採算表(VND)'!L9/$N$1,2)</f>
        <v>3223.81</v>
      </c>
      <c r="M9" s="133">
        <f>ROUNDDOWN('採算表(VND)'!M9/$N$1,2)</f>
        <v>2283.6999999999998</v>
      </c>
      <c r="N9" s="133">
        <f>ROUNDDOWN('採算表(VND)'!N9/$N$1,2)</f>
        <v>2628.12</v>
      </c>
      <c r="O9" s="133">
        <f>SUM(C9:N9)</f>
        <v>35440.26</v>
      </c>
    </row>
    <row r="10" spans="1:15" ht="11.25" customHeight="1">
      <c r="A10" s="26"/>
      <c r="B10" s="28" t="s">
        <v>74</v>
      </c>
      <c r="C10" s="133">
        <f>ROUNDDOWN('採算表(VND)'!C10/$N$1,2)</f>
        <v>243282.45</v>
      </c>
      <c r="D10" s="133">
        <f>ROUNDDOWN('採算表(VND)'!D10/$N$1,2)</f>
        <v>256333.49</v>
      </c>
      <c r="E10" s="133">
        <f>ROUNDDOWN('採算表(VND)'!E10/$N$1,2)</f>
        <v>267175.44</v>
      </c>
      <c r="F10" s="133">
        <f>ROUNDDOWN('採算表(VND)'!F10/$N$1,2)</f>
        <v>267747.17</v>
      </c>
      <c r="G10" s="133">
        <f>ROUNDDOWN('採算表(VND)'!G10/$N$1,2)</f>
        <v>281115.08</v>
      </c>
      <c r="H10" s="133">
        <f>ROUNDDOWN('採算表(VND)'!H10/$N$1,2)</f>
        <v>206428.23</v>
      </c>
      <c r="I10" s="133">
        <f>ROUNDDOWN('採算表(VND)'!I10/$N$1,2)</f>
        <v>542222.05000000005</v>
      </c>
      <c r="J10" s="133">
        <f>ROUNDDOWN('採算表(VND)'!J10/$N$1,2)</f>
        <v>514350.1</v>
      </c>
      <c r="K10" s="133">
        <f>ROUNDDOWN('採算表(VND)'!K10/$N$1,2)</f>
        <v>460184.87</v>
      </c>
      <c r="L10" s="133">
        <f>ROUNDDOWN('採算表(VND)'!L10/$N$1,2)</f>
        <v>510356.37</v>
      </c>
      <c r="M10" s="133">
        <f>ROUNDDOWN('採算表(VND)'!M10/$N$1,2)</f>
        <v>387176.08</v>
      </c>
      <c r="N10" s="133">
        <f>ROUNDDOWN('採算表(VND)'!N10/$N$1,2)</f>
        <v>428611.28</v>
      </c>
      <c r="O10" s="133">
        <f>SUM(C10:N10)</f>
        <v>4364982.6100000003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18867176.579999998</v>
      </c>
      <c r="D12" s="134">
        <f t="shared" ref="D12:O12" si="2">D5-D10</f>
        <v>19843637.940000001</v>
      </c>
      <c r="E12" s="134">
        <f t="shared" si="2"/>
        <v>20608163.479999997</v>
      </c>
      <c r="F12" s="134">
        <f t="shared" si="2"/>
        <v>21034047.299999997</v>
      </c>
      <c r="G12" s="134">
        <f t="shared" si="2"/>
        <v>21709192.789999999</v>
      </c>
      <c r="H12" s="134">
        <f t="shared" si="2"/>
        <v>16987500.509999998</v>
      </c>
      <c r="I12" s="134">
        <f t="shared" si="2"/>
        <v>21625984.649999999</v>
      </c>
      <c r="J12" s="134">
        <f t="shared" si="2"/>
        <v>20380789.120000001</v>
      </c>
      <c r="K12" s="134">
        <f t="shared" si="2"/>
        <v>18688182.039999999</v>
      </c>
      <c r="L12" s="134">
        <f t="shared" si="2"/>
        <v>20672251.329999998</v>
      </c>
      <c r="M12" s="134">
        <f t="shared" si="2"/>
        <v>16210173.299999999</v>
      </c>
      <c r="N12" s="134">
        <f t="shared" si="2"/>
        <v>17872407.050000001</v>
      </c>
      <c r="O12" s="134">
        <f t="shared" si="2"/>
        <v>234499506.09</v>
      </c>
    </row>
    <row r="13" spans="1:15" ht="11.25" customHeight="1">
      <c r="A13" s="26"/>
      <c r="B13" s="28" t="s">
        <v>76</v>
      </c>
      <c r="C13" s="133">
        <f>SUM(C14:C65)</f>
        <v>18004931.770000007</v>
      </c>
      <c r="D13" s="133">
        <f t="shared" ref="D13:O13" si="3">SUM(D14:D65)</f>
        <v>17903078.050000001</v>
      </c>
      <c r="E13" s="133">
        <f t="shared" si="3"/>
        <v>18474675.710000001</v>
      </c>
      <c r="F13" s="133">
        <f t="shared" si="3"/>
        <v>19022180.890000008</v>
      </c>
      <c r="G13" s="133">
        <f t="shared" si="3"/>
        <v>19462873.980000008</v>
      </c>
      <c r="H13" s="133">
        <f t="shared" si="3"/>
        <v>15519916.010000002</v>
      </c>
      <c r="I13" s="133">
        <f t="shared" si="3"/>
        <v>19497582.909999996</v>
      </c>
      <c r="J13" s="133">
        <f t="shared" si="3"/>
        <v>18379248.320000008</v>
      </c>
      <c r="K13" s="133">
        <f t="shared" si="3"/>
        <v>16926518.030000005</v>
      </c>
      <c r="L13" s="133">
        <f t="shared" si="3"/>
        <v>18549301.980000004</v>
      </c>
      <c r="M13" s="133">
        <f t="shared" si="3"/>
        <v>14744895.330000006</v>
      </c>
      <c r="N13" s="133">
        <f t="shared" si="3"/>
        <v>16244674.000000002</v>
      </c>
      <c r="O13" s="133">
        <f t="shared" si="3"/>
        <v>212729876.98000002</v>
      </c>
    </row>
    <row r="14" spans="1:15" ht="11.25" customHeight="1">
      <c r="A14" s="34"/>
      <c r="B14" s="35" t="s">
        <v>101</v>
      </c>
      <c r="C14" s="135">
        <f>ROUNDUP('採算表(VND)'!C14/$N$1,2)</f>
        <v>17004818.310000002</v>
      </c>
      <c r="D14" s="135">
        <f>ROUNDUP('採算表(VND)'!D14/$N$1,2)</f>
        <v>16877152.75</v>
      </c>
      <c r="E14" s="135">
        <f>ROUNDUP('採算表(VND)'!E14/$N$1,2)</f>
        <v>17533652.32</v>
      </c>
      <c r="F14" s="135">
        <f>ROUNDUP('採算表(VND)'!F14/$N$1,2)</f>
        <v>17911203.050000001</v>
      </c>
      <c r="G14" s="135">
        <f>ROUNDUP('採算表(VND)'!G14/$N$1,2)</f>
        <v>18377588.140000001</v>
      </c>
      <c r="H14" s="135">
        <f>ROUNDUP('採算表(VND)'!H14/$N$1,2)</f>
        <v>14418149.09</v>
      </c>
      <c r="I14" s="135">
        <f>ROUNDUP('採算表(VND)'!I14/$N$1,2)</f>
        <v>18318444.82</v>
      </c>
      <c r="J14" s="135">
        <f>ROUNDUP('採算表(VND)'!J14/$N$1,2)</f>
        <v>17252245.690000001</v>
      </c>
      <c r="K14" s="135">
        <f>ROUNDUP('採算表(VND)'!K14/$N$1,2)</f>
        <v>15769653.689999999</v>
      </c>
      <c r="L14" s="135">
        <f>ROUNDUP('採算表(VND)'!L14/$N$1,2)</f>
        <v>17420494.580000002</v>
      </c>
      <c r="M14" s="135">
        <f>ROUNDUP('採算表(VND)'!M14/$N$1,2)</f>
        <v>13671947.949999999</v>
      </c>
      <c r="N14" s="135">
        <f>ROUNDUP('採算表(VND)'!N14/$N$1,2)</f>
        <v>15082528.35</v>
      </c>
      <c r="O14" s="135">
        <f t="shared" ref="O14:O65" si="4">SUM(C14:N14)</f>
        <v>199637878.74000001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95133.22</v>
      </c>
      <c r="D20" s="136">
        <f>ROUNDUP('採算表(VND)'!D20/$N$1,2)</f>
        <v>94714.67</v>
      </c>
      <c r="E20" s="136">
        <f>ROUNDUP('採算表(VND)'!E20/$N$1,2)</f>
        <v>94101.68</v>
      </c>
      <c r="F20" s="136">
        <f>ROUNDUP('採算表(VND)'!F20/$N$1,2)</f>
        <v>94337.61</v>
      </c>
      <c r="G20" s="136">
        <f>ROUNDUP('採算表(VND)'!G20/$N$1,2)</f>
        <v>91853.45</v>
      </c>
      <c r="H20" s="136">
        <f>ROUNDUP('採算表(VND)'!H20/$N$1,2)</f>
        <v>97645.58</v>
      </c>
      <c r="I20" s="136">
        <f>ROUNDUP('採算表(VND)'!I20/$N$1,2)</f>
        <v>96484.65</v>
      </c>
      <c r="J20" s="136">
        <f>ROUNDUP('採算表(VND)'!J20/$N$1,2)</f>
        <v>96068.299999999988</v>
      </c>
      <c r="K20" s="136">
        <f>ROUNDUP('採算表(VND)'!K20/$N$1,2)</f>
        <v>90970.47</v>
      </c>
      <c r="L20" s="136">
        <f>ROUNDUP('採算表(VND)'!L20/$N$1,2)</f>
        <v>88301.189999999988</v>
      </c>
      <c r="M20" s="136">
        <f>ROUNDUP('採算表(VND)'!M20/$N$1,2)</f>
        <v>86073.489999999991</v>
      </c>
      <c r="N20" s="136">
        <f>ROUNDUP('採算表(VND)'!N20/$N$1,2)</f>
        <v>86049.12999999999</v>
      </c>
      <c r="O20" s="136">
        <f t="shared" si="4"/>
        <v>1111733.4399999997</v>
      </c>
    </row>
    <row r="21" spans="1:15" ht="11.25" customHeight="1">
      <c r="A21" s="34"/>
      <c r="B21" s="36" t="s">
        <v>46</v>
      </c>
      <c r="C21" s="136">
        <f>ROUNDUP('採算表(VND)'!C21/$N$1,2)</f>
        <v>84361.64</v>
      </c>
      <c r="D21" s="136">
        <f>ROUNDUP('採算表(VND)'!D21/$N$1,2)</f>
        <v>79707.48</v>
      </c>
      <c r="E21" s="136">
        <f>ROUNDUP('採算表(VND)'!E21/$N$1,2)</f>
        <v>81707.48</v>
      </c>
      <c r="F21" s="136">
        <f>ROUNDUP('採算表(VND)'!F21/$N$1,2)</f>
        <v>138074.48000000001</v>
      </c>
      <c r="G21" s="136">
        <f>ROUNDUP('採算表(VND)'!G21/$N$1,2)</f>
        <v>206324.48000000001</v>
      </c>
      <c r="H21" s="136">
        <f>ROUNDUP('採算表(VND)'!H21/$N$1,2)</f>
        <v>241085.48</v>
      </c>
      <c r="I21" s="136">
        <f>ROUNDUP('採算表(VND)'!I21/$N$1,2)</f>
        <v>252550.48</v>
      </c>
      <c r="J21" s="136">
        <f>ROUNDUP('採算表(VND)'!J21/$N$1,2)</f>
        <v>269959.95</v>
      </c>
      <c r="K21" s="136">
        <f>ROUNDUP('採算表(VND)'!K21/$N$1,2)</f>
        <v>281598.25</v>
      </c>
      <c r="L21" s="136">
        <f>ROUNDUP('採算表(VND)'!L21/$N$1,2)</f>
        <v>292545.33</v>
      </c>
      <c r="M21" s="136">
        <f>ROUNDUP('採算表(VND)'!M21/$N$1,2)</f>
        <v>297563.56</v>
      </c>
      <c r="N21" s="136">
        <f>ROUNDUP('採算表(VND)'!N21/$N$1,2)</f>
        <v>341014.44</v>
      </c>
      <c r="O21" s="136">
        <f t="shared" si="4"/>
        <v>2566493.0499999998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35499.090000000004</v>
      </c>
      <c r="D25" s="136">
        <f>ROUNDUP('採算表(VND)'!D25/$N$1,2)</f>
        <v>32643.759999999998</v>
      </c>
      <c r="E25" s="136">
        <f>ROUNDUP('採算表(VND)'!E25/$N$1,2)</f>
        <v>32746.73</v>
      </c>
      <c r="F25" s="136">
        <f>ROUNDUP('採算表(VND)'!F25/$N$1,2)</f>
        <v>40495.1</v>
      </c>
      <c r="G25" s="136">
        <f>ROUNDUP('採算表(VND)'!G25/$N$1,2)</f>
        <v>36723.64</v>
      </c>
      <c r="H25" s="136">
        <f>ROUNDUP('採算表(VND)'!H25/$N$1,2)</f>
        <v>36571.279999999999</v>
      </c>
      <c r="I25" s="136">
        <f>ROUNDUP('採算表(VND)'!I25/$N$1,2)</f>
        <v>41868.520000000004</v>
      </c>
      <c r="J25" s="136">
        <f>ROUNDUP('採算表(VND)'!J25/$N$1,2)</f>
        <v>37768.83</v>
      </c>
      <c r="K25" s="136">
        <f>ROUNDUP('採算表(VND)'!K25/$N$1,2)</f>
        <v>42070.39</v>
      </c>
      <c r="L25" s="136">
        <f>ROUNDUP('採算表(VND)'!L25/$N$1,2)</f>
        <v>40782.68</v>
      </c>
      <c r="M25" s="136">
        <f>ROUNDUP('採算表(VND)'!M25/$N$1,2)</f>
        <v>34221.880000000005</v>
      </c>
      <c r="N25" s="136">
        <f>ROUNDUP('採算表(VND)'!N25/$N$1,2)</f>
        <v>39511.53</v>
      </c>
      <c r="O25" s="136">
        <f t="shared" si="4"/>
        <v>450903.43000000005</v>
      </c>
    </row>
    <row r="26" spans="1:15" ht="11.25" customHeight="1">
      <c r="A26" s="34"/>
      <c r="B26" s="37" t="s">
        <v>104</v>
      </c>
      <c r="C26" s="136">
        <f>ROUNDUP('採算表(VND)'!C26/$N$1,2)</f>
        <v>19028.07</v>
      </c>
      <c r="D26" s="136">
        <f>ROUNDUP('採算表(VND)'!D26/$N$1,2)</f>
        <v>19623.82</v>
      </c>
      <c r="E26" s="136">
        <f>ROUNDUP('採算表(VND)'!E26/$N$1,2)</f>
        <v>20151.71</v>
      </c>
      <c r="F26" s="136">
        <f>ROUNDUP('採算表(VND)'!F26/$N$1,2)</f>
        <v>21684.35</v>
      </c>
      <c r="G26" s="136">
        <f>ROUNDUP('採算表(VND)'!G26/$N$1,2)</f>
        <v>19639.849999999999</v>
      </c>
      <c r="H26" s="136">
        <f>ROUNDUP('採算表(VND)'!H26/$N$1,2)</f>
        <v>18958.349999999999</v>
      </c>
      <c r="I26" s="136">
        <f>ROUNDUP('採算表(VND)'!I26/$N$1,2)</f>
        <v>21684.35</v>
      </c>
      <c r="J26" s="136">
        <f>ROUNDUP('採算表(VND)'!J26/$N$1,2)</f>
        <v>19639.849999999999</v>
      </c>
      <c r="K26" s="136">
        <f>ROUNDUP('採算表(VND)'!K26/$N$1,2)</f>
        <v>21002.85</v>
      </c>
      <c r="L26" s="136">
        <f>ROUNDUP('採算表(VND)'!L26/$N$1,2)</f>
        <v>21635.55</v>
      </c>
      <c r="M26" s="136">
        <f>ROUNDUP('採算表(VND)'!M26/$N$1,2)</f>
        <v>15932.99</v>
      </c>
      <c r="N26" s="136">
        <f>ROUNDUP('採算表(VND)'!N26/$N$1,2)</f>
        <v>18592.099999999999</v>
      </c>
      <c r="O26" s="136">
        <f t="shared" si="4"/>
        <v>237573.84</v>
      </c>
    </row>
    <row r="27" spans="1:15" ht="11.25" customHeight="1">
      <c r="A27" s="34"/>
      <c r="B27" s="37" t="s">
        <v>54</v>
      </c>
      <c r="C27" s="136">
        <f>ROUNDUP('採算表(VND)'!C27/$N$1,2)</f>
        <v>5000</v>
      </c>
      <c r="D27" s="136">
        <f>ROUNDUP('採算表(VND)'!D27/$N$1,2)</f>
        <v>5000</v>
      </c>
      <c r="E27" s="136">
        <f>ROUNDUP('採算表(VND)'!E27/$N$1,2)</f>
        <v>5000</v>
      </c>
      <c r="F27" s="136">
        <f>ROUNDUP('採算表(VND)'!F27/$N$1,2)</f>
        <v>5000</v>
      </c>
      <c r="G27" s="136">
        <f>ROUNDUP('採算表(VND)'!G27/$N$1,2)</f>
        <v>5000</v>
      </c>
      <c r="H27" s="136">
        <f>ROUNDUP('採算表(VND)'!H27/$N$1,2)</f>
        <v>5000</v>
      </c>
      <c r="I27" s="136">
        <f>ROUNDUP('採算表(VND)'!I27/$N$1,2)</f>
        <v>5000</v>
      </c>
      <c r="J27" s="136">
        <f>ROUNDUP('採算表(VND)'!J27/$N$1,2)</f>
        <v>5000</v>
      </c>
      <c r="K27" s="136">
        <f>ROUNDUP('採算表(VND)'!K27/$N$1,2)</f>
        <v>5000</v>
      </c>
      <c r="L27" s="136">
        <f>ROUNDUP('採算表(VND)'!L27/$N$1,2)</f>
        <v>5000</v>
      </c>
      <c r="M27" s="136">
        <f>ROUNDUP('採算表(VND)'!M27/$N$1,2)</f>
        <v>5000</v>
      </c>
      <c r="N27" s="136">
        <f>ROUNDUP('採算表(VND)'!N27/$N$1,2)</f>
        <v>5000</v>
      </c>
      <c r="O27" s="136">
        <f t="shared" si="4"/>
        <v>60000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16317.31</v>
      </c>
      <c r="D30" s="136">
        <f>ROUNDUP('採算表(VND)'!D30/$N$1,2)</f>
        <v>16689.71</v>
      </c>
      <c r="E30" s="136">
        <f>ROUNDUP('採算表(VND)'!E30/$N$1,2)</f>
        <v>20392.169999999998</v>
      </c>
      <c r="F30" s="136">
        <f>ROUNDUP('採算表(VND)'!F30/$N$1,2)</f>
        <v>22462.03</v>
      </c>
      <c r="G30" s="136">
        <f>ROUNDUP('採算表(VND)'!G30/$N$1,2)</f>
        <v>22997.73</v>
      </c>
      <c r="H30" s="136">
        <f>ROUNDUP('採算表(VND)'!H30/$N$1,2)</f>
        <v>21047.37</v>
      </c>
      <c r="I30" s="136">
        <f>ROUNDUP('採算表(VND)'!I30/$N$1,2)</f>
        <v>21133.219999999998</v>
      </c>
      <c r="J30" s="136">
        <f>ROUNDUP('採算表(VND)'!J30/$N$1,2)</f>
        <v>19386.39</v>
      </c>
      <c r="K30" s="136">
        <f>ROUNDUP('採算表(VND)'!K30/$N$1,2)</f>
        <v>18853.55</v>
      </c>
      <c r="L30" s="136">
        <f>ROUNDUP('採算表(VND)'!L30/$N$1,2)</f>
        <v>16281.880000000001</v>
      </c>
      <c r="M30" s="136">
        <f>ROUNDUP('採算表(VND)'!M30/$N$1,2)</f>
        <v>15654.02</v>
      </c>
      <c r="N30" s="136">
        <f>ROUNDUP('採算表(VND)'!N30/$N$1,2)</f>
        <v>13720.69</v>
      </c>
      <c r="O30" s="136">
        <f t="shared" si="4"/>
        <v>224936.06999999998</v>
      </c>
    </row>
    <row r="31" spans="1:15" ht="11.25" customHeight="1">
      <c r="A31" s="34"/>
      <c r="B31" s="37" t="s">
        <v>59</v>
      </c>
      <c r="C31" s="136">
        <f>ROUNDUP('採算表(VND)'!C31/$N$1,2)</f>
        <v>18468.78</v>
      </c>
      <c r="D31" s="136">
        <f>ROUNDUP('採算表(VND)'!D31/$N$1,2)</f>
        <v>14155.18</v>
      </c>
      <c r="E31" s="136">
        <f>ROUNDUP('採算表(VND)'!E31/$N$1,2)</f>
        <v>26266.25</v>
      </c>
      <c r="F31" s="136">
        <f>ROUNDUP('採算表(VND)'!F31/$N$1,2)</f>
        <v>14529.35</v>
      </c>
      <c r="G31" s="136">
        <f>ROUNDUP('採算表(VND)'!G31/$N$1,2)</f>
        <v>14470.27</v>
      </c>
      <c r="H31" s="136">
        <f>ROUNDUP('採算表(VND)'!H31/$N$1,2)</f>
        <v>15013.79</v>
      </c>
      <c r="I31" s="136">
        <f>ROUNDUP('採算表(VND)'!I31/$N$1,2)</f>
        <v>14470.27</v>
      </c>
      <c r="J31" s="136">
        <f>ROUNDUP('採算表(VND)'!J31/$N$1,2)</f>
        <v>14107.92</v>
      </c>
      <c r="K31" s="136">
        <f>ROUNDUP('採算表(VND)'!K31/$N$1,2)</f>
        <v>14470.27</v>
      </c>
      <c r="L31" s="136">
        <f>ROUNDUP('採算表(VND)'!L31/$N$1,2)</f>
        <v>14060.66</v>
      </c>
      <c r="M31" s="136">
        <f>ROUNDUP('採算表(VND)'!M31/$N$1,2)</f>
        <v>14371.800000000001</v>
      </c>
      <c r="N31" s="136">
        <f>ROUNDUP('採算表(VND)'!N31/$N$1,2)</f>
        <v>14454.51</v>
      </c>
      <c r="O31" s="136">
        <f t="shared" si="4"/>
        <v>188839.05</v>
      </c>
    </row>
    <row r="32" spans="1:15" ht="11.25" customHeight="1">
      <c r="A32" s="38"/>
      <c r="B32" s="37" t="s">
        <v>61</v>
      </c>
      <c r="C32" s="136">
        <f>ROUNDUP('採算表(VND)'!C32/$N$1,2)</f>
        <v>230150.92</v>
      </c>
      <c r="D32" s="136">
        <f>ROUNDUP('採算表(VND)'!D32/$N$1,2)</f>
        <v>225082.97</v>
      </c>
      <c r="E32" s="136">
        <f>ROUNDUP('採算表(VND)'!E32/$N$1,2)</f>
        <v>235218.88</v>
      </c>
      <c r="F32" s="136">
        <f>ROUNDUP('採算表(VND)'!F32/$N$1,2)</f>
        <v>245354.79</v>
      </c>
      <c r="G32" s="136">
        <f>ROUNDUP('採算表(VND)'!G32/$N$1,2)</f>
        <v>230150.92</v>
      </c>
      <c r="H32" s="136">
        <f>ROUNDUP('採算表(VND)'!H32/$N$1,2)</f>
        <v>225082.97</v>
      </c>
      <c r="I32" s="136">
        <f>ROUNDUP('採算表(VND)'!I32/$N$1,2)</f>
        <v>245354.79</v>
      </c>
      <c r="J32" s="136">
        <f>ROUNDUP('採算表(VND)'!J32/$N$1,2)</f>
        <v>230150.92</v>
      </c>
      <c r="K32" s="136">
        <f>ROUNDUP('採算表(VND)'!K32/$N$1,2)</f>
        <v>240286.83000000002</v>
      </c>
      <c r="L32" s="136">
        <f>ROUNDUP('採算表(VND)'!L32/$N$1,2)</f>
        <v>230150.92</v>
      </c>
      <c r="M32" s="136">
        <f>ROUNDUP('採算表(VND)'!M32/$N$1,2)</f>
        <v>204811.15000000002</v>
      </c>
      <c r="N32" s="136">
        <f>ROUNDUP('採算表(VND)'!N32/$N$1,2)</f>
        <v>235218.88</v>
      </c>
      <c r="O32" s="136">
        <f t="shared" si="4"/>
        <v>2777014.9399999995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39.39</v>
      </c>
      <c r="D38" s="136">
        <f>ROUNDUP('採算表(VND)'!D38/$N$1,2)</f>
        <v>39.39</v>
      </c>
      <c r="E38" s="136">
        <f>ROUNDUP('採算表(VND)'!E38/$N$1,2)</f>
        <v>39.39</v>
      </c>
      <c r="F38" s="136">
        <f>ROUNDUP('採算表(VND)'!F38/$N$1,2)</f>
        <v>39.39</v>
      </c>
      <c r="G38" s="136">
        <f>ROUNDUP('採算表(VND)'!G38/$N$1,2)</f>
        <v>39.39</v>
      </c>
      <c r="H38" s="136">
        <f>ROUNDUP('採算表(VND)'!H38/$N$1,2)</f>
        <v>39.39</v>
      </c>
      <c r="I38" s="136">
        <f>ROUNDUP('採算表(VND)'!I38/$N$1,2)</f>
        <v>39.39</v>
      </c>
      <c r="J38" s="136">
        <f>ROUNDUP('採算表(VND)'!J38/$N$1,2)</f>
        <v>39.39</v>
      </c>
      <c r="K38" s="136">
        <f>ROUNDUP('採算表(VND)'!K38/$N$1,2)</f>
        <v>39.39</v>
      </c>
      <c r="L38" s="136">
        <f>ROUNDUP('採算表(VND)'!L38/$N$1,2)</f>
        <v>39.39</v>
      </c>
      <c r="M38" s="136">
        <f>ROUNDUP('採算表(VND)'!M38/$N$1,2)</f>
        <v>39.39</v>
      </c>
      <c r="N38" s="136">
        <f>ROUNDUP('採算表(VND)'!N38/$N$1,2)</f>
        <v>39.39</v>
      </c>
      <c r="O38" s="136">
        <f t="shared" si="4"/>
        <v>472.67999999999989</v>
      </c>
    </row>
    <row r="39" spans="1:15" ht="11.25" customHeight="1">
      <c r="A39" s="38"/>
      <c r="B39" s="37" t="s">
        <v>50</v>
      </c>
      <c r="C39" s="136">
        <f>ROUNDUP('採算表(VND)'!C39/$N$1,2)</f>
        <v>2644.86</v>
      </c>
      <c r="D39" s="136">
        <f>ROUNDUP('採算表(VND)'!D39/$N$1,2)</f>
        <v>2654.2200000000003</v>
      </c>
      <c r="E39" s="136">
        <f>ROUNDUP('採算表(VND)'!E39/$N$1,2)</f>
        <v>2674.8900000000003</v>
      </c>
      <c r="F39" s="136">
        <f>ROUNDUP('採算表(VND)'!F39/$N$1,2)</f>
        <v>2267.0300000000002</v>
      </c>
      <c r="G39" s="136">
        <f>ROUNDUP('採算表(VND)'!G39/$N$1,2)</f>
        <v>2453.2400000000002</v>
      </c>
      <c r="H39" s="136">
        <f>ROUNDUP('採算表(VND)'!H39/$N$1,2)</f>
        <v>2439.13</v>
      </c>
      <c r="I39" s="136">
        <f>ROUNDUP('採算表(VND)'!I39/$N$1,2)</f>
        <v>2363.9700000000003</v>
      </c>
      <c r="J39" s="136">
        <f>ROUNDUP('採算表(VND)'!J39/$N$1,2)</f>
        <v>2331.5700000000002</v>
      </c>
      <c r="K39" s="136">
        <f>ROUNDUP('採算表(VND)'!K39/$N$1,2)</f>
        <v>2339.48</v>
      </c>
      <c r="L39" s="136">
        <f>ROUNDUP('採算表(VND)'!L39/$N$1,2)</f>
        <v>2235.46</v>
      </c>
      <c r="M39" s="136">
        <f>ROUNDUP('採算表(VND)'!M39/$N$1,2)</f>
        <v>2198.4700000000003</v>
      </c>
      <c r="N39" s="136">
        <f>ROUNDUP('採算表(VND)'!N39/$N$1,2)</f>
        <v>2419.5500000000002</v>
      </c>
      <c r="O39" s="136">
        <f t="shared" si="4"/>
        <v>29021.87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396.07</v>
      </c>
      <c r="D41" s="136">
        <f>ROUNDUP('採算表(VND)'!D41/$N$1,2)</f>
        <v>396.07</v>
      </c>
      <c r="E41" s="136">
        <f>ROUNDUP('採算表(VND)'!E41/$N$1,2)</f>
        <v>396.07</v>
      </c>
      <c r="F41" s="136">
        <f>ROUNDUP('採算表(VND)'!F41/$N$1,2)</f>
        <v>396.07</v>
      </c>
      <c r="G41" s="136">
        <f>ROUNDUP('採算表(VND)'!G41/$N$1,2)</f>
        <v>396.07</v>
      </c>
      <c r="H41" s="136">
        <f>ROUNDUP('採算表(VND)'!H41/$N$1,2)</f>
        <v>396.07</v>
      </c>
      <c r="I41" s="136">
        <f>ROUNDUP('採算表(VND)'!I41/$N$1,2)</f>
        <v>396.07</v>
      </c>
      <c r="J41" s="136">
        <f>ROUNDUP('採算表(VND)'!J41/$N$1,2)</f>
        <v>396.07</v>
      </c>
      <c r="K41" s="136">
        <f>ROUNDUP('採算表(VND)'!K41/$N$1,2)</f>
        <v>396.07</v>
      </c>
      <c r="L41" s="136">
        <f>ROUNDUP('採算表(VND)'!L41/$N$1,2)</f>
        <v>396.07</v>
      </c>
      <c r="M41" s="136">
        <f>ROUNDUP('採算表(VND)'!M41/$N$1,2)</f>
        <v>396.07</v>
      </c>
      <c r="N41" s="136">
        <f>ROUNDUP('採算表(VND)'!N41/$N$1,2)</f>
        <v>396.07</v>
      </c>
      <c r="O41" s="136">
        <f t="shared" si="4"/>
        <v>4752.84</v>
      </c>
    </row>
    <row r="42" spans="1:15" ht="11.25" customHeight="1">
      <c r="A42" s="38"/>
      <c r="B42" s="37" t="s">
        <v>98</v>
      </c>
      <c r="C42" s="136">
        <f>ROUNDUP('採算表(VND)'!C42/$N$1,2)</f>
        <v>10777.92</v>
      </c>
      <c r="D42" s="136">
        <f>ROUNDUP('採算表(VND)'!D42/$N$1,2)</f>
        <v>10714.48</v>
      </c>
      <c r="E42" s="136">
        <f>ROUNDUP('採算表(VND)'!E42/$N$1,2)</f>
        <v>10714.48</v>
      </c>
      <c r="F42" s="136">
        <f>ROUNDUP('採算表(VND)'!F42/$N$1,2)</f>
        <v>10714.48</v>
      </c>
      <c r="G42" s="136">
        <f>ROUNDUP('採算表(VND)'!G42/$N$1,2)</f>
        <v>10714.48</v>
      </c>
      <c r="H42" s="136">
        <f>ROUNDUP('採算表(VND)'!H42/$N$1,2)</f>
        <v>10836.23</v>
      </c>
      <c r="I42" s="136">
        <f>ROUNDUP('採算表(VND)'!I42/$N$1,2)</f>
        <v>10779.16</v>
      </c>
      <c r="J42" s="136">
        <f>ROUNDUP('採算表(VND)'!J42/$N$1,2)</f>
        <v>11154.26</v>
      </c>
      <c r="K42" s="136">
        <f>ROUNDUP('採算表(VND)'!K42/$N$1,2)</f>
        <v>10714.48</v>
      </c>
      <c r="L42" s="136">
        <f>ROUNDUP('採算表(VND)'!L42/$N$1,2)</f>
        <v>10954.18</v>
      </c>
      <c r="M42" s="136">
        <f>ROUNDUP('採算表(VND)'!M42/$N$1,2)</f>
        <v>11068.32</v>
      </c>
      <c r="N42" s="136">
        <f>ROUNDUP('採算表(VND)'!N42/$N$1,2)</f>
        <v>10714.48</v>
      </c>
      <c r="O42" s="136">
        <f t="shared" si="4"/>
        <v>129856.95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42247.75</v>
      </c>
      <c r="D44" s="136">
        <f>ROUNDUP('採算表(VND)'!D44/$N$1,2)</f>
        <v>74632.75</v>
      </c>
      <c r="E44" s="136">
        <f>ROUNDUP('採算表(VND)'!E44/$N$1,2)</f>
        <v>23222.199999999997</v>
      </c>
      <c r="F44" s="136">
        <f>ROUNDUP('採算表(VND)'!F44/$N$1,2)</f>
        <v>15211.1</v>
      </c>
      <c r="G44" s="136">
        <f>ROUNDUP('採算表(VND)'!G44/$N$1,2)</f>
        <v>14915.94</v>
      </c>
      <c r="H44" s="136">
        <f>ROUNDUP('採算表(VND)'!H44/$N$1,2)</f>
        <v>23734.55</v>
      </c>
      <c r="I44" s="136">
        <f>ROUNDUP('採算表(VND)'!I44/$N$1,2)</f>
        <v>13560.43</v>
      </c>
      <c r="J44" s="136">
        <f>ROUNDUP('採算表(VND)'!J44/$N$1,2)</f>
        <v>22834.149999999998</v>
      </c>
      <c r="K44" s="136">
        <f>ROUNDUP('採算表(VND)'!K44/$N$1,2)</f>
        <v>24074.329999999998</v>
      </c>
      <c r="L44" s="136">
        <f>ROUNDUP('採算表(VND)'!L44/$N$1,2)</f>
        <v>14586.4</v>
      </c>
      <c r="M44" s="136">
        <f>ROUNDUP('採算表(VND)'!M44/$N$1,2)</f>
        <v>22473.599999999999</v>
      </c>
      <c r="N44" s="136">
        <f>ROUNDUP('採算表(VND)'!N44/$N$1,2)</f>
        <v>27491.66</v>
      </c>
      <c r="O44" s="136">
        <f t="shared" si="4"/>
        <v>318984.85999999993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400</v>
      </c>
      <c r="D50" s="138">
        <f>ROUNDUP('採算表(VND)'!D50/$N$1,2)</f>
        <v>400</v>
      </c>
      <c r="E50" s="138">
        <f>ROUNDUP('採算表(VND)'!E50/$N$1,2)</f>
        <v>400</v>
      </c>
      <c r="F50" s="138">
        <f>ROUNDUP('採算表(VND)'!F50/$N$1,2)</f>
        <v>400</v>
      </c>
      <c r="G50" s="138">
        <f>ROUNDUP('採算表(VND)'!G50/$N$1,2)</f>
        <v>7238.5700000000006</v>
      </c>
      <c r="H50" s="138">
        <f>ROUNDUP('採算表(VND)'!H50/$N$1,2)</f>
        <v>300</v>
      </c>
      <c r="I50" s="138">
        <f>ROUNDUP('採算表(VND)'!I50/$N$1,2)</f>
        <v>400</v>
      </c>
      <c r="J50" s="138">
        <f>ROUNDUP('採算表(VND)'!J50/$N$1,2)</f>
        <v>400</v>
      </c>
      <c r="K50" s="138">
        <f>ROUNDUP('採算表(VND)'!K50/$N$1,2)</f>
        <v>400</v>
      </c>
      <c r="L50" s="138">
        <f>ROUNDUP('採算表(VND)'!L50/$N$1,2)</f>
        <v>400</v>
      </c>
      <c r="M50" s="138">
        <f>ROUNDUP('採算表(VND)'!M50/$N$1,2)</f>
        <v>1500</v>
      </c>
      <c r="N50" s="138">
        <f>ROUNDUP('採算表(VND)'!N50/$N$1,2)</f>
        <v>6038.5700000000006</v>
      </c>
      <c r="O50" s="138">
        <f t="shared" si="4"/>
        <v>18277.14</v>
      </c>
    </row>
    <row r="51" spans="1:15" ht="11.25" customHeight="1">
      <c r="A51" s="38"/>
      <c r="B51" s="39" t="s">
        <v>105</v>
      </c>
      <c r="C51" s="138">
        <f>ROUNDUP('採算表(VND)'!C51/$N$1,2)</f>
        <v>8347.98</v>
      </c>
      <c r="D51" s="138">
        <f>ROUNDUP('採算表(VND)'!D51/$N$1,2)</f>
        <v>8347.98</v>
      </c>
      <c r="E51" s="138">
        <f>ROUNDUP('採算表(VND)'!E51/$N$1,2)</f>
        <v>8347.98</v>
      </c>
      <c r="F51" s="138">
        <f>ROUNDUP('採算表(VND)'!F51/$N$1,2)</f>
        <v>8347.98</v>
      </c>
      <c r="G51" s="138">
        <f>ROUNDUP('採算表(VND)'!G51/$N$1,2)</f>
        <v>16374.300000000001</v>
      </c>
      <c r="H51" s="138">
        <f>ROUNDUP('採算表(VND)'!H51/$N$1,2)</f>
        <v>10302.41</v>
      </c>
      <c r="I51" s="138">
        <f>ROUNDUP('採算表(VND)'!I51/$N$1,2)</f>
        <v>8347.98</v>
      </c>
      <c r="J51" s="138">
        <f>ROUNDUP('採算表(VND)'!J51/$N$1,2)</f>
        <v>8347.98</v>
      </c>
      <c r="K51" s="138">
        <f>ROUNDUP('採算表(VND)'!K51/$N$1,2)</f>
        <v>8347.98</v>
      </c>
      <c r="L51" s="138">
        <f>ROUNDUP('採算表(VND)'!L51/$N$1,2)</f>
        <v>10302.41</v>
      </c>
      <c r="M51" s="138">
        <f>ROUNDUP('採算表(VND)'!M51/$N$1,2)</f>
        <v>7347.9800000000005</v>
      </c>
      <c r="N51" s="138">
        <f>ROUNDUP('採算表(VND)'!N51/$N$1,2)</f>
        <v>8347.98</v>
      </c>
      <c r="O51" s="138">
        <f t="shared" si="4"/>
        <v>111110.93999999999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46831.53</v>
      </c>
      <c r="D57" s="139">
        <f>ROUNDUP('採算表(VND)'!D57/$N$1,2)</f>
        <v>41132.93</v>
      </c>
      <c r="E57" s="139">
        <f>ROUNDUP('採算表(VND)'!E57/$N$1,2)</f>
        <v>41083.700000000004</v>
      </c>
      <c r="F57" s="139">
        <f>ROUNDUP('採算表(VND)'!F57/$N$1,2)</f>
        <v>41393.96</v>
      </c>
      <c r="G57" s="139">
        <f>ROUNDUP('採算表(VND)'!G57/$N$1,2)</f>
        <v>45479.79</v>
      </c>
      <c r="H57" s="139">
        <f>ROUNDUP('採算表(VND)'!H57/$N$1,2)</f>
        <v>50421.25</v>
      </c>
      <c r="I57" s="139">
        <f>ROUNDUP('採算表(VND)'!I57/$N$1,2)</f>
        <v>53900.4</v>
      </c>
      <c r="J57" s="139">
        <f>ROUNDUP('採算表(VND)'!J57/$N$1,2)</f>
        <v>54799.82</v>
      </c>
      <c r="K57" s="139">
        <f>ROUNDUP('採算表(VND)'!K57/$N$1,2)</f>
        <v>55887.73</v>
      </c>
      <c r="L57" s="139">
        <f>ROUNDUP('採算表(VND)'!L57/$N$1,2)</f>
        <v>56940.670000000006</v>
      </c>
      <c r="M57" s="139">
        <f>ROUNDUP('採算表(VND)'!M57/$N$1,2)</f>
        <v>57975.490000000005</v>
      </c>
      <c r="N57" s="139">
        <f>ROUNDUP('採算表(VND)'!N57/$N$1,2)</f>
        <v>58749.51</v>
      </c>
      <c r="O57" s="139">
        <f t="shared" si="4"/>
        <v>604596.78</v>
      </c>
    </row>
    <row r="58" spans="1:15" ht="11.25" customHeight="1">
      <c r="A58" s="38"/>
      <c r="B58" s="37" t="s">
        <v>122</v>
      </c>
      <c r="C58" s="139">
        <f>ROUNDUP('採算表(VND)'!C58/$N$1,2)</f>
        <v>33380.35</v>
      </c>
      <c r="D58" s="139">
        <f>ROUNDUP('採算表(VND)'!D58/$N$1,2)</f>
        <v>31460.25</v>
      </c>
      <c r="E58" s="139">
        <f>ROUNDUP('採算表(VND)'!E58/$N$1,2)</f>
        <v>33425.630000000005</v>
      </c>
      <c r="F58" s="139">
        <f>ROUNDUP('採算表(VND)'!F58/$N$1,2)</f>
        <v>42285.68</v>
      </c>
      <c r="G58" s="139">
        <f>ROUNDUP('採算表(VND)'!G58/$N$1,2)</f>
        <v>38645.440000000002</v>
      </c>
      <c r="H58" s="139">
        <f>ROUNDUP('採算表(VND)'!H58/$N$1,2)</f>
        <v>36211.26</v>
      </c>
      <c r="I58" s="139">
        <f>ROUNDUP('採算表(VND)'!I58/$N$1,2)</f>
        <v>43875.89</v>
      </c>
      <c r="J58" s="139">
        <f>ROUNDUP('採算表(VND)'!J58/$N$1,2)</f>
        <v>40863.730000000003</v>
      </c>
      <c r="K58" s="139">
        <f>ROUNDUP('採算表(VND)'!K58/$N$1,2)</f>
        <v>44163.240000000005</v>
      </c>
      <c r="L58" s="139">
        <f>ROUNDUP('採算表(VND)'!L58/$N$1,2)</f>
        <v>43330.130000000005</v>
      </c>
      <c r="M58" s="139">
        <f>ROUNDUP('採算表(VND)'!M58/$N$1,2)</f>
        <v>35799.670000000006</v>
      </c>
      <c r="N58" s="139">
        <f>ROUNDUP('採算表(VND)'!N58/$N$1,2)</f>
        <v>41276.89</v>
      </c>
      <c r="O58" s="139">
        <f t="shared" si="4"/>
        <v>464718.16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176626.21000000002</v>
      </c>
      <c r="D61" s="139">
        <f>ROUNDUP('採算表(VND)'!D61/$N$1,2)</f>
        <v>166774.33000000002</v>
      </c>
      <c r="E61" s="139">
        <f>ROUNDUP('採算表(VND)'!E61/$N$1,2)</f>
        <v>150659.64000000001</v>
      </c>
      <c r="F61" s="139">
        <f>ROUNDUP('採算表(VND)'!F61/$N$1,2)</f>
        <v>177417.02000000002</v>
      </c>
      <c r="G61" s="139">
        <f>ROUNDUP('採算表(VND)'!G61/$N$1,2)</f>
        <v>178815.39</v>
      </c>
      <c r="H61" s="139">
        <f>ROUNDUP('採算表(VND)'!H61/$N$1,2)</f>
        <v>176334.46000000002</v>
      </c>
      <c r="I61" s="139">
        <f>ROUNDUP('採算表(VND)'!I61/$N$1,2)</f>
        <v>172319.94</v>
      </c>
      <c r="J61" s="139">
        <f>ROUNDUP('採算表(VND)'!J61/$N$1,2)</f>
        <v>161450.05000000002</v>
      </c>
      <c r="K61" s="139">
        <f>ROUNDUP('採算表(VND)'!K61/$N$1,2)</f>
        <v>165238.73000000001</v>
      </c>
      <c r="L61" s="139">
        <f>ROUNDUP('採算表(VND)'!L61/$N$1,2)</f>
        <v>154975.39000000001</v>
      </c>
      <c r="M61" s="139">
        <f>ROUNDUP('採算表(VND)'!M61/$N$1,2)</f>
        <v>162920.47</v>
      </c>
      <c r="N61" s="139">
        <f>ROUNDUP('採算表(VND)'!N61/$N$1,2)</f>
        <v>157378.32</v>
      </c>
      <c r="O61" s="139">
        <f t="shared" si="4"/>
        <v>2000909.9500000002</v>
      </c>
    </row>
    <row r="62" spans="1:15" ht="11.25" customHeight="1">
      <c r="A62" s="38"/>
      <c r="B62" s="37" t="s">
        <v>418</v>
      </c>
      <c r="C62" s="139">
        <f>ROUNDUP('採算表(VND)'!C62/$N$1,2)</f>
        <v>18003.769999999997</v>
      </c>
      <c r="D62" s="139">
        <f>ROUNDUP('採算表(VND)'!D62/$N$1,2)</f>
        <v>16849.03</v>
      </c>
      <c r="E62" s="139">
        <f>ROUNDUP('採算表(VND)'!E62/$N$1,2)</f>
        <v>15499.66</v>
      </c>
      <c r="F62" s="139">
        <f>ROUNDUP('採算表(VND)'!F62/$N$1,2)</f>
        <v>23315.879999999997</v>
      </c>
      <c r="G62" s="139">
        <f>ROUNDUP('採算表(VND)'!G62/$N$1,2)</f>
        <v>20732.759999999998</v>
      </c>
      <c r="H62" s="139">
        <f>ROUNDUP('採算表(VND)'!H62/$N$1,2)</f>
        <v>13865.300000000001</v>
      </c>
      <c r="I62" s="139">
        <f>ROUNDUP('採算表(VND)'!I62/$N$1,2)</f>
        <v>14173.43</v>
      </c>
      <c r="J62" s="139">
        <f>ROUNDUP('採算表(VND)'!J62/$N$1,2)</f>
        <v>13456.82</v>
      </c>
      <c r="K62" s="139">
        <f>ROUNDUP('採算表(VND)'!K62/$N$1,2)</f>
        <v>11838.92</v>
      </c>
      <c r="L62" s="139">
        <f>ROUNDUP('採算表(VND)'!L62/$N$1,2)</f>
        <v>10383.27</v>
      </c>
      <c r="M62" s="139">
        <f>ROUNDUP('採算表(VND)'!M62/$N$1,2)</f>
        <v>11988.380000000001</v>
      </c>
      <c r="N62" s="139">
        <f>ROUNDUP('採算表(VND)'!N62/$N$1,2)</f>
        <v>11344.91</v>
      </c>
      <c r="O62" s="139">
        <f t="shared" si="4"/>
        <v>181452.13</v>
      </c>
    </row>
    <row r="63" spans="1:15" ht="11.25" customHeight="1">
      <c r="A63" s="38"/>
      <c r="B63" s="37" t="s">
        <v>419</v>
      </c>
      <c r="C63" s="139">
        <f>ROUNDUP('採算表(VND)'!C63/$N$1,2)</f>
        <v>22857.059999999998</v>
      </c>
      <c r="D63" s="139">
        <f>ROUNDUP('採算表(VND)'!D63/$N$1,2)</f>
        <v>14217.24</v>
      </c>
      <c r="E63" s="139">
        <f>ROUNDUP('採算表(VND)'!E63/$N$1,2)</f>
        <v>12604.630000000001</v>
      </c>
      <c r="F63" s="139">
        <f>ROUNDUP('採算表(VND)'!F63/$N$1,2)</f>
        <v>14368.130000000001</v>
      </c>
      <c r="G63" s="139">
        <f>ROUNDUP('採算表(VND)'!G63/$N$1,2)</f>
        <v>14850.91</v>
      </c>
      <c r="H63" s="139">
        <f>ROUNDUP('採算表(VND)'!H63/$N$1,2)</f>
        <v>11437.51</v>
      </c>
      <c r="I63" s="139">
        <f>ROUNDUP('採算表(VND)'!I63/$N$1,2)</f>
        <v>35056.660000000003</v>
      </c>
      <c r="J63" s="139">
        <f>ROUNDUP('採算表(VND)'!J63/$N$1,2)</f>
        <v>13218.64</v>
      </c>
      <c r="K63" s="139">
        <f>ROUNDUP('採算表(VND)'!K63/$N$1,2)</f>
        <v>14703.45</v>
      </c>
      <c r="L63" s="139">
        <f>ROUNDUP('採算表(VND)'!L63/$N$1,2)</f>
        <v>10144.530000000001</v>
      </c>
      <c r="M63" s="139">
        <f>ROUNDUP('採算表(VND)'!M63/$N$1,2)</f>
        <v>12853.08</v>
      </c>
      <c r="N63" s="139">
        <f>ROUNDUP('採算表(VND)'!N63/$N$1,2)</f>
        <v>9301.7900000000009</v>
      </c>
      <c r="O63" s="139">
        <f t="shared" si="4"/>
        <v>185613.63</v>
      </c>
    </row>
    <row r="64" spans="1:15" ht="11.25" customHeight="1">
      <c r="A64" s="38"/>
      <c r="B64" s="37" t="s">
        <v>143</v>
      </c>
      <c r="C64" s="139">
        <f>ROUNDUP('採算表(VND)'!C64/$N$1,2)</f>
        <v>133601.54</v>
      </c>
      <c r="D64" s="139">
        <f>ROUNDUP('採算表(VND)'!D64/$N$1,2)</f>
        <v>170689.04</v>
      </c>
      <c r="E64" s="139">
        <f>ROUNDUP('採算表(VND)'!E64/$N$1,2)</f>
        <v>126370.22</v>
      </c>
      <c r="F64" s="139">
        <f>ROUNDUP('採算表(VND)'!F64/$N$1,2)</f>
        <v>192883.41</v>
      </c>
      <c r="G64" s="139">
        <f>ROUNDUP('採算表(VND)'!G64/$N$1,2)</f>
        <v>107469.22</v>
      </c>
      <c r="H64" s="139">
        <f>ROUNDUP('採算表(VND)'!H64/$N$1,2)</f>
        <v>105044.54</v>
      </c>
      <c r="I64" s="139">
        <f>ROUNDUP('採算表(VND)'!I64/$N$1,2)</f>
        <v>125378.48999999999</v>
      </c>
      <c r="J64" s="139">
        <f>ROUNDUP('採算表(VND)'!J64/$N$1,2)</f>
        <v>105627.98999999999</v>
      </c>
      <c r="K64" s="139">
        <f>ROUNDUP('採算表(VND)'!K64/$N$1,2)</f>
        <v>104467.93</v>
      </c>
      <c r="L64" s="139">
        <f>ROUNDUP('採算表(VND)'!L64/$N$1,2)</f>
        <v>105361.29</v>
      </c>
      <c r="M64" s="139">
        <f>ROUNDUP('採算表(VND)'!M64/$N$1,2)</f>
        <v>72757.569999999992</v>
      </c>
      <c r="N64" s="139">
        <f>ROUNDUP('採算表(VND)'!N64/$N$1,2)</f>
        <v>75085.25</v>
      </c>
      <c r="O64" s="139">
        <f t="shared" si="4"/>
        <v>1424736.4900000002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862244.80999999121</v>
      </c>
      <c r="D66" s="134">
        <f t="shared" ref="D66:O66" si="5">IF(ISBLANK(D4),"",D12-D13)</f>
        <v>1940559.8900000006</v>
      </c>
      <c r="E66" s="134">
        <f t="shared" si="5"/>
        <v>2133487.7699999958</v>
      </c>
      <c r="F66" s="134">
        <f t="shared" si="5"/>
        <v>2011866.409999989</v>
      </c>
      <c r="G66" s="134">
        <f t="shared" si="5"/>
        <v>2246318.8099999912</v>
      </c>
      <c r="H66" s="134">
        <f t="shared" si="5"/>
        <v>1467584.4999999963</v>
      </c>
      <c r="I66" s="134">
        <f t="shared" si="5"/>
        <v>2128401.7400000021</v>
      </c>
      <c r="J66" s="134">
        <f t="shared" si="5"/>
        <v>2001540.7999999933</v>
      </c>
      <c r="K66" s="134">
        <f t="shared" si="5"/>
        <v>1761664.0099999942</v>
      </c>
      <c r="L66" s="134">
        <f t="shared" si="5"/>
        <v>2122949.349999994</v>
      </c>
      <c r="M66" s="134">
        <f t="shared" si="5"/>
        <v>1465277.9699999932</v>
      </c>
      <c r="N66" s="134">
        <f t="shared" si="5"/>
        <v>1627733.0499999989</v>
      </c>
      <c r="O66" s="134">
        <f t="shared" si="5"/>
        <v>21769629.109999985</v>
      </c>
    </row>
    <row r="67" spans="1:15" ht="11.25" customHeight="1">
      <c r="A67" s="26"/>
      <c r="B67" s="28" t="s">
        <v>78</v>
      </c>
      <c r="C67" s="133">
        <f>C73+C79</f>
        <v>258557.5</v>
      </c>
      <c r="D67" s="133">
        <f t="shared" ref="D67:O67" si="6">IF(ISBLANK(D4),"",D73+D79)</f>
        <v>241661.5</v>
      </c>
      <c r="E67" s="133">
        <f t="shared" si="6"/>
        <v>249831.25</v>
      </c>
      <c r="F67" s="133">
        <f t="shared" si="6"/>
        <v>306270.75</v>
      </c>
      <c r="G67" s="133">
        <f t="shared" si="6"/>
        <v>280412.5</v>
      </c>
      <c r="H67" s="133">
        <f t="shared" si="6"/>
        <v>281531</v>
      </c>
      <c r="I67" s="133">
        <f t="shared" si="6"/>
        <v>324510</v>
      </c>
      <c r="J67" s="133">
        <f t="shared" si="6"/>
        <v>280664.25</v>
      </c>
      <c r="K67" s="133">
        <f t="shared" si="6"/>
        <v>310694.75</v>
      </c>
      <c r="L67" s="133">
        <f t="shared" si="6"/>
        <v>293295.25</v>
      </c>
      <c r="M67" s="133">
        <f t="shared" si="6"/>
        <v>253690.75</v>
      </c>
      <c r="N67" s="133">
        <f t="shared" si="6"/>
        <v>330529.25</v>
      </c>
      <c r="O67" s="133">
        <f t="shared" si="6"/>
        <v>3411648.75</v>
      </c>
    </row>
    <row r="68" spans="1:15" ht="11.25" customHeight="1">
      <c r="A68" s="38"/>
      <c r="B68" s="46" t="s">
        <v>144</v>
      </c>
      <c r="C68" s="135">
        <f>'採算表(VND)'!C68</f>
        <v>190578</v>
      </c>
      <c r="D68" s="135">
        <f>'採算表(VND)'!D68</f>
        <v>176668.5</v>
      </c>
      <c r="E68" s="135">
        <f>'採算表(VND)'!E68</f>
        <v>178520.5</v>
      </c>
      <c r="F68" s="135">
        <f>'採算表(VND)'!F68</f>
        <v>218430.5</v>
      </c>
      <c r="G68" s="135">
        <f>'採算表(VND)'!G68</f>
        <v>197710</v>
      </c>
      <c r="H68" s="135">
        <f>'採算表(VND)'!H68</f>
        <v>189152.5</v>
      </c>
      <c r="I68" s="135">
        <f>'採算表(VND)'!I68</f>
        <v>236568.5</v>
      </c>
      <c r="J68" s="135">
        <f>'採算表(VND)'!J68</f>
        <v>199147</v>
      </c>
      <c r="K68" s="135">
        <f>'採算表(VND)'!K68</f>
        <v>217371</v>
      </c>
      <c r="L68" s="135">
        <f>'採算表(VND)'!L68</f>
        <v>205146</v>
      </c>
      <c r="M68" s="135">
        <f>'採算表(VND)'!M68</f>
        <v>162428.5</v>
      </c>
      <c r="N68" s="135">
        <f>'採算表(VND)'!N68</f>
        <v>228721</v>
      </c>
      <c r="O68" s="135">
        <f>SUM(C68:N68)</f>
        <v>2400442</v>
      </c>
    </row>
    <row r="69" spans="1:15" ht="11.25" customHeight="1">
      <c r="A69" s="38"/>
      <c r="B69" s="46" t="s">
        <v>88</v>
      </c>
      <c r="C69" s="136">
        <f>'採算表(VND)'!C69</f>
        <v>43379.5</v>
      </c>
      <c r="D69" s="136">
        <f>'採算表(VND)'!D69</f>
        <v>40966</v>
      </c>
      <c r="E69" s="136">
        <f>'採算表(VND)'!E69</f>
        <v>45373.25</v>
      </c>
      <c r="F69" s="136">
        <f>'採算表(VND)'!F69</f>
        <v>56419.25</v>
      </c>
      <c r="G69" s="136">
        <f>'採算表(VND)'!G69</f>
        <v>48584.75</v>
      </c>
      <c r="H69" s="136">
        <f>'採算表(VND)'!H69</f>
        <v>47080.25</v>
      </c>
      <c r="I69" s="136">
        <f>'採算表(VND)'!I69</f>
        <v>54493</v>
      </c>
      <c r="J69" s="136">
        <f>'採算表(VND)'!J69</f>
        <v>46986.25</v>
      </c>
      <c r="K69" s="136">
        <f>'採算表(VND)'!K69</f>
        <v>51606.25</v>
      </c>
      <c r="L69" s="136">
        <f>'採算表(VND)'!L69</f>
        <v>45431.25</v>
      </c>
      <c r="M69" s="136">
        <f>'採算表(VND)'!M69</f>
        <v>36180.25</v>
      </c>
      <c r="N69" s="136">
        <f>'採算表(VND)'!N69</f>
        <v>47529.75</v>
      </c>
      <c r="O69" s="136">
        <f>SUM(C69:N69)</f>
        <v>564029.75</v>
      </c>
    </row>
    <row r="70" spans="1:15" ht="11.25" customHeight="1">
      <c r="A70" s="38"/>
      <c r="B70" s="47" t="s">
        <v>126</v>
      </c>
      <c r="C70" s="140">
        <f>'採算表(VND)'!C70</f>
        <v>8598.5</v>
      </c>
      <c r="D70" s="140">
        <f>'採算表(VND)'!D70</f>
        <v>8381.5</v>
      </c>
      <c r="E70" s="140">
        <f>'採算表(VND)'!E70</f>
        <v>9285.75</v>
      </c>
      <c r="F70" s="140">
        <f>'採算表(VND)'!F70</f>
        <v>11596</v>
      </c>
      <c r="G70" s="140">
        <f>'採算表(VND)'!G70</f>
        <v>10202.25</v>
      </c>
      <c r="H70" s="140">
        <f>'採算表(VND)'!H70</f>
        <v>9713.5</v>
      </c>
      <c r="I70" s="140">
        <f>'採算表(VND)'!I70</f>
        <v>11215.5</v>
      </c>
      <c r="J70" s="140">
        <f>'採算表(VND)'!J70</f>
        <v>9735.75</v>
      </c>
      <c r="K70" s="140">
        <f>'採算表(VND)'!K70</f>
        <v>10787.75</v>
      </c>
      <c r="L70" s="140">
        <f>'採算表(VND)'!L70</f>
        <v>9357.5</v>
      </c>
      <c r="M70" s="140">
        <f>'採算表(VND)'!M70</f>
        <v>6977.75</v>
      </c>
      <c r="N70" s="140">
        <f>'採算表(VND)'!N70</f>
        <v>9357.25</v>
      </c>
      <c r="O70" s="140">
        <f>SUM(C70:N70)</f>
        <v>115209</v>
      </c>
    </row>
    <row r="71" spans="1:15" ht="11.25" customHeight="1">
      <c r="A71" s="38"/>
      <c r="B71" s="47" t="s">
        <v>127</v>
      </c>
      <c r="C71" s="140">
        <f>'採算表(VND)'!C71</f>
        <v>4366.75</v>
      </c>
      <c r="D71" s="140">
        <f>'採算表(VND)'!D71</f>
        <v>4115.25</v>
      </c>
      <c r="E71" s="140">
        <f>'採算表(VND)'!E71</f>
        <v>4624.25</v>
      </c>
      <c r="F71" s="140">
        <f>'採算表(VND)'!F71</f>
        <v>5735.25</v>
      </c>
      <c r="G71" s="140">
        <f>'採算表(VND)'!G71</f>
        <v>5078.5</v>
      </c>
      <c r="H71" s="140">
        <f>'採算表(VND)'!H71</f>
        <v>4861</v>
      </c>
      <c r="I71" s="140">
        <f>'採算表(VND)'!I71</f>
        <v>5646.25</v>
      </c>
      <c r="J71" s="140">
        <f>'採算表(VND)'!J71</f>
        <v>4918.75</v>
      </c>
      <c r="K71" s="140">
        <f>'採算表(VND)'!K71</f>
        <v>5440</v>
      </c>
      <c r="L71" s="140">
        <f>'採算表(VND)'!L71</f>
        <v>4614.5</v>
      </c>
      <c r="M71" s="140">
        <f>'採算表(VND)'!M71</f>
        <v>3396.75</v>
      </c>
      <c r="N71" s="140">
        <f>'採算表(VND)'!N71</f>
        <v>4603.25</v>
      </c>
      <c r="O71" s="140">
        <f>SUM(C71:N71)</f>
        <v>57400.5</v>
      </c>
    </row>
    <row r="72" spans="1:15" ht="11.25" customHeight="1">
      <c r="A72" s="38"/>
      <c r="B72" s="40" t="s">
        <v>89</v>
      </c>
      <c r="C72" s="141">
        <f>'採算表(VND)'!C72</f>
        <v>6694.5</v>
      </c>
      <c r="D72" s="141">
        <f>'採算表(VND)'!D72</f>
        <v>6667</v>
      </c>
      <c r="E72" s="141">
        <f>'採算表(VND)'!E72</f>
        <v>7043.75</v>
      </c>
      <c r="F72" s="141">
        <f>'採算表(VND)'!F72</f>
        <v>8000.5</v>
      </c>
      <c r="G72" s="141">
        <f>'採算表(VND)'!G72</f>
        <v>7312.25</v>
      </c>
      <c r="H72" s="141">
        <f>'採算表(VND)'!H72</f>
        <v>6846.5</v>
      </c>
      <c r="I72" s="141">
        <f>'採算表(VND)'!I72</f>
        <v>7603.25</v>
      </c>
      <c r="J72" s="141">
        <f>'採算表(VND)'!J72</f>
        <v>6943</v>
      </c>
      <c r="K72" s="141">
        <f>'採算表(VND)'!K72</f>
        <v>7487.25</v>
      </c>
      <c r="L72" s="141">
        <f>'採算表(VND)'!L72</f>
        <v>6397.25</v>
      </c>
      <c r="M72" s="141">
        <f>'採算表(VND)'!M72</f>
        <v>4792.5</v>
      </c>
      <c r="N72" s="141">
        <f>'採算表(VND)'!N72</f>
        <v>6430.25</v>
      </c>
      <c r="O72" s="141">
        <f>SUM(C72:N72)</f>
        <v>82218</v>
      </c>
    </row>
    <row r="73" spans="1:15" ht="11.25" customHeight="1">
      <c r="A73" s="38"/>
      <c r="B73" s="41" t="s">
        <v>145</v>
      </c>
      <c r="C73" s="142">
        <f>SUM(C68:C72)</f>
        <v>253617.25</v>
      </c>
      <c r="D73" s="142">
        <f t="shared" ref="D73:O73" si="7">IF(ISBLANK(D4),"",SUM(D68:D72))</f>
        <v>236798.25</v>
      </c>
      <c r="E73" s="142">
        <f t="shared" si="7"/>
        <v>244847.5</v>
      </c>
      <c r="F73" s="142">
        <f t="shared" si="7"/>
        <v>300181.5</v>
      </c>
      <c r="G73" s="142">
        <f t="shared" si="7"/>
        <v>268887.75</v>
      </c>
      <c r="H73" s="142">
        <f t="shared" si="7"/>
        <v>257653.75</v>
      </c>
      <c r="I73" s="142">
        <f t="shared" si="7"/>
        <v>315526.5</v>
      </c>
      <c r="J73" s="142">
        <f t="shared" si="7"/>
        <v>267730.75</v>
      </c>
      <c r="K73" s="142">
        <f t="shared" si="7"/>
        <v>292692.25</v>
      </c>
      <c r="L73" s="142">
        <f t="shared" si="7"/>
        <v>270946.5</v>
      </c>
      <c r="M73" s="142">
        <f t="shared" si="7"/>
        <v>213775.75</v>
      </c>
      <c r="N73" s="142">
        <f t="shared" si="7"/>
        <v>296641.5</v>
      </c>
      <c r="O73" s="142">
        <f t="shared" si="7"/>
        <v>3219299.25</v>
      </c>
    </row>
    <row r="74" spans="1:15" ht="11.25" customHeight="1">
      <c r="A74" s="38"/>
      <c r="B74" s="39" t="s">
        <v>86</v>
      </c>
      <c r="C74" s="135">
        <f>'採算表(VND)'!C74</f>
        <v>534</v>
      </c>
      <c r="D74" s="135">
        <f>'採算表(VND)'!D74</f>
        <v>528</v>
      </c>
      <c r="E74" s="135">
        <f>'採算表(VND)'!E74</f>
        <v>540</v>
      </c>
      <c r="F74" s="135">
        <f>'採算表(VND)'!F74</f>
        <v>851</v>
      </c>
      <c r="G74" s="135">
        <f>'採算表(VND)'!G74</f>
        <v>5700</v>
      </c>
      <c r="H74" s="135">
        <f>'採算表(VND)'!H74</f>
        <v>17870</v>
      </c>
      <c r="I74" s="135">
        <f>'採算表(VND)'!I74</f>
        <v>3075</v>
      </c>
      <c r="J74" s="135">
        <f>'採算表(VND)'!J74</f>
        <v>7679</v>
      </c>
      <c r="K74" s="135">
        <f>'採算表(VND)'!K74</f>
        <v>12063</v>
      </c>
      <c r="L74" s="135">
        <f>'採算表(VND)'!L74</f>
        <v>16500</v>
      </c>
      <c r="M74" s="135">
        <f>'採算表(VND)'!M74</f>
        <v>33926</v>
      </c>
      <c r="N74" s="135">
        <f>'採算表(VND)'!N74</f>
        <v>27690</v>
      </c>
      <c r="O74" s="135">
        <f>SUM(C74:N74)</f>
        <v>126956</v>
      </c>
    </row>
    <row r="75" spans="1:15">
      <c r="A75" s="38"/>
      <c r="B75" s="37" t="s">
        <v>88</v>
      </c>
      <c r="C75" s="136">
        <f>'採算表(VND)'!C75</f>
        <v>3217</v>
      </c>
      <c r="D75" s="136">
        <f>'採算表(VND)'!D75</f>
        <v>3212.75</v>
      </c>
      <c r="E75" s="136">
        <f>'採算表(VND)'!E75</f>
        <v>3261.75</v>
      </c>
      <c r="F75" s="136">
        <f>'採算表(VND)'!F75</f>
        <v>3795</v>
      </c>
      <c r="G75" s="136">
        <f>'採算表(VND)'!G75</f>
        <v>4538.25</v>
      </c>
      <c r="H75" s="136">
        <f>'採算表(VND)'!H75</f>
        <v>4665.5</v>
      </c>
      <c r="I75" s="136">
        <f>'採算表(VND)'!I75</f>
        <v>4562.75</v>
      </c>
      <c r="J75" s="136">
        <f>'採算表(VND)'!J75</f>
        <v>4056</v>
      </c>
      <c r="K75" s="136">
        <f>'採算表(VND)'!K75</f>
        <v>4710.75</v>
      </c>
      <c r="L75" s="136">
        <f>'採算表(VND)'!L75</f>
        <v>4773</v>
      </c>
      <c r="M75" s="136">
        <f>'採算表(VND)'!M75</f>
        <v>4865.25</v>
      </c>
      <c r="N75" s="136">
        <f>'採算表(VND)'!N75</f>
        <v>4999.5</v>
      </c>
      <c r="O75" s="136">
        <f>SUM(C75:N75)</f>
        <v>50657.5</v>
      </c>
    </row>
    <row r="76" spans="1:15">
      <c r="A76" s="38"/>
      <c r="B76" s="37" t="s">
        <v>126</v>
      </c>
      <c r="C76" s="140">
        <f>'採算表(VND)'!C76</f>
        <v>467</v>
      </c>
      <c r="D76" s="140">
        <f>'採算表(VND)'!D76</f>
        <v>460.75</v>
      </c>
      <c r="E76" s="140">
        <f>'採算表(VND)'!E76</f>
        <v>526.75</v>
      </c>
      <c r="F76" s="140">
        <f>'採算表(VND)'!F76</f>
        <v>684.25</v>
      </c>
      <c r="G76" s="140">
        <f>'採算表(VND)'!G76</f>
        <v>566</v>
      </c>
      <c r="H76" s="140">
        <f>'採算表(VND)'!H76</f>
        <v>554.75</v>
      </c>
      <c r="I76" s="140">
        <f>'採算表(VND)'!I76</f>
        <v>648.75</v>
      </c>
      <c r="J76" s="140">
        <f>'採算表(VND)'!J76</f>
        <v>543.75</v>
      </c>
      <c r="K76" s="140">
        <f>'採算表(VND)'!K76</f>
        <v>549</v>
      </c>
      <c r="L76" s="140">
        <f>'採算表(VND)'!L76</f>
        <v>477.75</v>
      </c>
      <c r="M76" s="140">
        <f>'採算表(VND)'!M76</f>
        <v>399</v>
      </c>
      <c r="N76" s="140">
        <f>'採算表(VND)'!N76</f>
        <v>559.25</v>
      </c>
      <c r="O76" s="140">
        <f>SUM(C76:N76)</f>
        <v>6437</v>
      </c>
    </row>
    <row r="77" spans="1:15">
      <c r="A77" s="38"/>
      <c r="B77" s="37" t="s">
        <v>127</v>
      </c>
      <c r="C77" s="140">
        <f>'採算表(VND)'!C77</f>
        <v>347.5</v>
      </c>
      <c r="D77" s="140">
        <f>'採算表(VND)'!D77</f>
        <v>329.75</v>
      </c>
      <c r="E77" s="140">
        <f>'採算表(VND)'!E77</f>
        <v>358.25</v>
      </c>
      <c r="F77" s="140">
        <f>'採算表(VND)'!F77</f>
        <v>412.75</v>
      </c>
      <c r="G77" s="140">
        <f>'採算表(VND)'!G77</f>
        <v>399</v>
      </c>
      <c r="H77" s="140">
        <f>'採算表(VND)'!H77</f>
        <v>352.25</v>
      </c>
      <c r="I77" s="140">
        <f>'採算表(VND)'!I77</f>
        <v>373.75</v>
      </c>
      <c r="J77" s="140">
        <f>'採算表(VND)'!J77</f>
        <v>347.5</v>
      </c>
      <c r="K77" s="140">
        <f>'採算表(VND)'!K77</f>
        <v>366.75</v>
      </c>
      <c r="L77" s="140">
        <f>'採算表(VND)'!L77</f>
        <v>339.25</v>
      </c>
      <c r="M77" s="140">
        <f>'採算表(VND)'!M77</f>
        <v>303.75</v>
      </c>
      <c r="N77" s="140">
        <f>'採算表(VND)'!N77</f>
        <v>356.25</v>
      </c>
      <c r="O77" s="140">
        <f>SUM(C77:N77)</f>
        <v>4286.75</v>
      </c>
    </row>
    <row r="78" spans="1:15">
      <c r="A78" s="38"/>
      <c r="B78" s="40" t="s">
        <v>89</v>
      </c>
      <c r="C78" s="141">
        <f>'採算表(VND)'!C78</f>
        <v>374.75</v>
      </c>
      <c r="D78" s="141">
        <f>'採算表(VND)'!D78</f>
        <v>332</v>
      </c>
      <c r="E78" s="141">
        <f>'採算表(VND)'!E78</f>
        <v>297</v>
      </c>
      <c r="F78" s="141">
        <f>'採算表(VND)'!F78</f>
        <v>346.25</v>
      </c>
      <c r="G78" s="141">
        <f>'採算表(VND)'!G78</f>
        <v>321.5</v>
      </c>
      <c r="H78" s="141">
        <f>'採算表(VND)'!H78</f>
        <v>434.75</v>
      </c>
      <c r="I78" s="141">
        <f>'採算表(VND)'!I78</f>
        <v>323.25</v>
      </c>
      <c r="J78" s="141">
        <f>'採算表(VND)'!J78</f>
        <v>307.25</v>
      </c>
      <c r="K78" s="141">
        <f>'採算表(VND)'!K78</f>
        <v>313</v>
      </c>
      <c r="L78" s="141">
        <f>'採算表(VND)'!L78</f>
        <v>258.75</v>
      </c>
      <c r="M78" s="141">
        <f>'採算表(VND)'!M78</f>
        <v>421</v>
      </c>
      <c r="N78" s="141">
        <f>'採算表(VND)'!N78</f>
        <v>282.75</v>
      </c>
      <c r="O78" s="141">
        <f>SUM(C78:N78)</f>
        <v>4012.25</v>
      </c>
    </row>
    <row r="79" spans="1:15" ht="14.25" customHeight="1">
      <c r="A79" s="38"/>
      <c r="B79" s="41" t="s">
        <v>156</v>
      </c>
      <c r="C79" s="142">
        <f>SUM(C74:C78)</f>
        <v>4940.25</v>
      </c>
      <c r="D79" s="142">
        <f t="shared" ref="D79:O79" si="8">IF(ISBLANK(D4),"",SUM(D74:D78))</f>
        <v>4863.25</v>
      </c>
      <c r="E79" s="142">
        <f t="shared" si="8"/>
        <v>4983.75</v>
      </c>
      <c r="F79" s="142">
        <f t="shared" si="8"/>
        <v>6089.25</v>
      </c>
      <c r="G79" s="142">
        <f t="shared" si="8"/>
        <v>11524.75</v>
      </c>
      <c r="H79" s="142">
        <f t="shared" si="8"/>
        <v>23877.25</v>
      </c>
      <c r="I79" s="142">
        <f t="shared" si="8"/>
        <v>8983.5</v>
      </c>
      <c r="J79" s="142">
        <f t="shared" si="8"/>
        <v>12933.5</v>
      </c>
      <c r="K79" s="142">
        <f t="shared" si="8"/>
        <v>18002.5</v>
      </c>
      <c r="L79" s="142">
        <f t="shared" si="8"/>
        <v>22348.75</v>
      </c>
      <c r="M79" s="142">
        <f t="shared" si="8"/>
        <v>39915</v>
      </c>
      <c r="N79" s="142">
        <f t="shared" si="8"/>
        <v>33887.75</v>
      </c>
      <c r="O79" s="142">
        <f t="shared" si="8"/>
        <v>192349.5</v>
      </c>
    </row>
    <row r="80" spans="1:15" ht="14.25" customHeight="1">
      <c r="A80" s="26"/>
      <c r="B80" s="32" t="s">
        <v>79</v>
      </c>
      <c r="C80" s="143">
        <f>IFERROR(ROUNDDOWN(C66/C67,0),0)</f>
        <v>3</v>
      </c>
      <c r="D80" s="144">
        <f t="shared" ref="D80:O80" si="9">IFERROR(ROUNDDOWN(D66/D67,0),0)</f>
        <v>8</v>
      </c>
      <c r="E80" s="144">
        <f t="shared" si="9"/>
        <v>8</v>
      </c>
      <c r="F80" s="144">
        <f t="shared" si="9"/>
        <v>6</v>
      </c>
      <c r="G80" s="144">
        <f t="shared" si="9"/>
        <v>8</v>
      </c>
      <c r="H80" s="144">
        <f t="shared" si="9"/>
        <v>5</v>
      </c>
      <c r="I80" s="144">
        <f t="shared" si="9"/>
        <v>6</v>
      </c>
      <c r="J80" s="144">
        <f t="shared" si="9"/>
        <v>7</v>
      </c>
      <c r="K80" s="144">
        <f t="shared" si="9"/>
        <v>5</v>
      </c>
      <c r="L80" s="144">
        <f t="shared" si="9"/>
        <v>7</v>
      </c>
      <c r="M80" s="144">
        <f t="shared" si="9"/>
        <v>5</v>
      </c>
      <c r="N80" s="144">
        <f t="shared" si="9"/>
        <v>4</v>
      </c>
      <c r="O80" s="144">
        <f t="shared" si="9"/>
        <v>6</v>
      </c>
    </row>
    <row r="81" spans="1:15" ht="14.25" customHeight="1">
      <c r="A81" s="26"/>
      <c r="B81" s="42" t="s">
        <v>80</v>
      </c>
      <c r="C81" s="145">
        <f>IFERROR(ROUNDDOWN(C12/C67,0),0)</f>
        <v>72</v>
      </c>
      <c r="D81" s="146">
        <f t="shared" ref="D81:O81" si="10">IFERROR(ROUNDDOWN(D12/D67,0),0)</f>
        <v>82</v>
      </c>
      <c r="E81" s="146">
        <f t="shared" si="10"/>
        <v>82</v>
      </c>
      <c r="F81" s="146">
        <f t="shared" si="10"/>
        <v>68</v>
      </c>
      <c r="G81" s="146">
        <f t="shared" si="10"/>
        <v>77</v>
      </c>
      <c r="H81" s="146">
        <f t="shared" si="10"/>
        <v>60</v>
      </c>
      <c r="I81" s="146">
        <f t="shared" si="10"/>
        <v>66</v>
      </c>
      <c r="J81" s="146">
        <f t="shared" si="10"/>
        <v>72</v>
      </c>
      <c r="K81" s="146">
        <f t="shared" si="10"/>
        <v>60</v>
      </c>
      <c r="L81" s="146">
        <f t="shared" si="10"/>
        <v>70</v>
      </c>
      <c r="M81" s="146">
        <f t="shared" si="10"/>
        <v>63</v>
      </c>
      <c r="N81" s="146">
        <f t="shared" si="10"/>
        <v>54</v>
      </c>
      <c r="O81" s="146">
        <f t="shared" si="10"/>
        <v>68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1105</v>
      </c>
      <c r="D88" s="150">
        <f>'採算表(VND)'!D88</f>
        <v>1081</v>
      </c>
      <c r="E88" s="150">
        <f>'採算表(VND)'!E88</f>
        <v>986</v>
      </c>
      <c r="F88" s="150">
        <f>'採算表(VND)'!F88</f>
        <v>1104</v>
      </c>
      <c r="G88" s="150">
        <f>'採算表(VND)'!G88</f>
        <v>1148</v>
      </c>
      <c r="H88" s="150">
        <f>'採算表(VND)'!H88</f>
        <v>1160</v>
      </c>
      <c r="I88" s="150">
        <f>'採算表(VND)'!I88</f>
        <v>1157</v>
      </c>
      <c r="J88" s="150">
        <f>'採算表(VND)'!J88</f>
        <v>1158</v>
      </c>
      <c r="K88" s="150">
        <f>'採算表(VND)'!K88</f>
        <v>1151</v>
      </c>
      <c r="L88" s="150">
        <f>'採算表(VND)'!L88</f>
        <v>1194</v>
      </c>
      <c r="M88" s="150">
        <f>'採算表(VND)'!M88</f>
        <v>1267</v>
      </c>
      <c r="N88" s="150">
        <f>'採算表(VND)'!N88</f>
        <v>1222</v>
      </c>
      <c r="O88" s="150">
        <f>SUM(C88:N88)</f>
        <v>13733</v>
      </c>
    </row>
    <row r="89" spans="1:15">
      <c r="A89" s="44"/>
      <c r="B89" s="60" t="s">
        <v>18</v>
      </c>
      <c r="C89" s="151">
        <f t="shared" ref="C89:O89" si="11">C87+C88</f>
        <v>1105</v>
      </c>
      <c r="D89" s="151">
        <f t="shared" si="11"/>
        <v>1081</v>
      </c>
      <c r="E89" s="151">
        <f t="shared" si="11"/>
        <v>986</v>
      </c>
      <c r="F89" s="151">
        <f t="shared" si="11"/>
        <v>1104</v>
      </c>
      <c r="G89" s="151">
        <f t="shared" si="11"/>
        <v>1148</v>
      </c>
      <c r="H89" s="151">
        <f t="shared" si="11"/>
        <v>1160</v>
      </c>
      <c r="I89" s="151">
        <f t="shared" si="11"/>
        <v>1157</v>
      </c>
      <c r="J89" s="151">
        <f t="shared" si="11"/>
        <v>1158</v>
      </c>
      <c r="K89" s="151">
        <f t="shared" si="11"/>
        <v>1151</v>
      </c>
      <c r="L89" s="151">
        <f t="shared" si="11"/>
        <v>1194</v>
      </c>
      <c r="M89" s="151">
        <f t="shared" si="11"/>
        <v>1267</v>
      </c>
      <c r="N89" s="151">
        <f t="shared" si="11"/>
        <v>1222</v>
      </c>
      <c r="O89" s="151">
        <f t="shared" si="11"/>
        <v>13733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190578</v>
      </c>
      <c r="D93" s="133">
        <f>'採算表(VND)'!D93</f>
        <v>176668.5</v>
      </c>
      <c r="E93" s="133">
        <f>'採算表(VND)'!E93</f>
        <v>178520.5</v>
      </c>
      <c r="F93" s="133">
        <f>'採算表(VND)'!F93</f>
        <v>218430.5</v>
      </c>
      <c r="G93" s="133">
        <f>'採算表(VND)'!G93</f>
        <v>197710</v>
      </c>
      <c r="H93" s="133">
        <f>'採算表(VND)'!H93</f>
        <v>189152.5</v>
      </c>
      <c r="I93" s="133">
        <f>'採算表(VND)'!I93</f>
        <v>236568.5</v>
      </c>
      <c r="J93" s="133">
        <f>'採算表(VND)'!J93</f>
        <v>199147</v>
      </c>
      <c r="K93" s="133">
        <f>'採算表(VND)'!K93</f>
        <v>217371</v>
      </c>
      <c r="L93" s="133">
        <f>'採算表(VND)'!L93</f>
        <v>205146</v>
      </c>
      <c r="M93" s="133">
        <f>'採算表(VND)'!M93</f>
        <v>162428.5</v>
      </c>
      <c r="N93" s="133">
        <f>'採算表(VND)'!N93</f>
        <v>228721</v>
      </c>
      <c r="O93" s="133">
        <f>SUM(C93:N93)</f>
        <v>2400442</v>
      </c>
    </row>
    <row r="94" spans="1:15">
      <c r="B94" s="61" t="s">
        <v>18</v>
      </c>
      <c r="C94" s="147">
        <f t="shared" ref="C94:O94" si="12">C92+C93</f>
        <v>190578</v>
      </c>
      <c r="D94" s="147">
        <f t="shared" si="12"/>
        <v>176668.5</v>
      </c>
      <c r="E94" s="147">
        <f t="shared" si="12"/>
        <v>178520.5</v>
      </c>
      <c r="F94" s="147">
        <f t="shared" si="12"/>
        <v>218430.5</v>
      </c>
      <c r="G94" s="147">
        <f t="shared" si="12"/>
        <v>197710</v>
      </c>
      <c r="H94" s="147">
        <f t="shared" si="12"/>
        <v>189152.5</v>
      </c>
      <c r="I94" s="147">
        <f t="shared" si="12"/>
        <v>236568.5</v>
      </c>
      <c r="J94" s="147">
        <f t="shared" si="12"/>
        <v>199147</v>
      </c>
      <c r="K94" s="147">
        <f t="shared" si="12"/>
        <v>217371</v>
      </c>
      <c r="L94" s="147">
        <f t="shared" si="12"/>
        <v>205146</v>
      </c>
      <c r="M94" s="147">
        <f t="shared" si="12"/>
        <v>162428.5</v>
      </c>
      <c r="N94" s="147">
        <f t="shared" si="12"/>
        <v>228721</v>
      </c>
      <c r="O94" s="147">
        <f t="shared" si="12"/>
        <v>2400442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534</v>
      </c>
      <c r="D98" s="133">
        <f>'採算表(VND)'!D98</f>
        <v>528</v>
      </c>
      <c r="E98" s="133">
        <f>'採算表(VND)'!E98</f>
        <v>540</v>
      </c>
      <c r="F98" s="133">
        <f>'採算表(VND)'!F98</f>
        <v>851</v>
      </c>
      <c r="G98" s="133">
        <f>'採算表(VND)'!G98</f>
        <v>5700</v>
      </c>
      <c r="H98" s="133">
        <f>'採算表(VND)'!H98</f>
        <v>17870</v>
      </c>
      <c r="I98" s="133">
        <f>'採算表(VND)'!I98</f>
        <v>3075</v>
      </c>
      <c r="J98" s="133">
        <f>'採算表(VND)'!J98</f>
        <v>7679</v>
      </c>
      <c r="K98" s="133">
        <f>'採算表(VND)'!K98</f>
        <v>12063</v>
      </c>
      <c r="L98" s="133">
        <f>'採算表(VND)'!L98</f>
        <v>16500</v>
      </c>
      <c r="M98" s="133">
        <f>'採算表(VND)'!M98</f>
        <v>33926</v>
      </c>
      <c r="N98" s="133">
        <f>'採算表(VND)'!N98</f>
        <v>27690</v>
      </c>
      <c r="O98" s="133">
        <f>SUM(C98:N98)</f>
        <v>126956</v>
      </c>
    </row>
    <row r="99" spans="2:15">
      <c r="B99" s="61" t="s">
        <v>18</v>
      </c>
      <c r="C99" s="147">
        <f t="shared" ref="C99:O99" si="13">C97+C98</f>
        <v>534</v>
      </c>
      <c r="D99" s="147">
        <f t="shared" si="13"/>
        <v>528</v>
      </c>
      <c r="E99" s="147">
        <f t="shared" si="13"/>
        <v>540</v>
      </c>
      <c r="F99" s="147">
        <f t="shared" si="13"/>
        <v>851</v>
      </c>
      <c r="G99" s="147">
        <f t="shared" si="13"/>
        <v>5700</v>
      </c>
      <c r="H99" s="147">
        <f t="shared" si="13"/>
        <v>17870</v>
      </c>
      <c r="I99" s="147">
        <f t="shared" si="13"/>
        <v>3075</v>
      </c>
      <c r="J99" s="147">
        <f t="shared" si="13"/>
        <v>7679</v>
      </c>
      <c r="K99" s="147">
        <f t="shared" si="13"/>
        <v>12063</v>
      </c>
      <c r="L99" s="147">
        <f t="shared" si="13"/>
        <v>16500</v>
      </c>
      <c r="M99" s="147">
        <f t="shared" si="13"/>
        <v>33926</v>
      </c>
      <c r="N99" s="147">
        <f t="shared" si="13"/>
        <v>27690</v>
      </c>
      <c r="O99" s="147">
        <f t="shared" si="13"/>
        <v>126956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EFD6-2786-4F3B-9206-4EBC5891B02D}">
  <sheetPr codeName="Sheet2"/>
  <dimension ref="A1:BI99"/>
  <sheetViews>
    <sheetView topLeftCell="A53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機器製造3課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485214554773</v>
      </c>
      <c r="D5" s="152">
        <f t="shared" ref="D5:N5" si="0">D8+D9</f>
        <v>510338274609</v>
      </c>
      <c r="E5" s="152">
        <f t="shared" si="0"/>
        <v>530024855180</v>
      </c>
      <c r="F5" s="152">
        <f t="shared" si="0"/>
        <v>540852561594</v>
      </c>
      <c r="G5" s="152">
        <f t="shared" si="0"/>
        <v>558333916821</v>
      </c>
      <c r="H5" s="152">
        <f t="shared" si="0"/>
        <v>436553850710</v>
      </c>
      <c r="I5" s="152">
        <f t="shared" si="0"/>
        <v>562850768114</v>
      </c>
      <c r="J5" s="152">
        <f t="shared" si="0"/>
        <v>530527584797</v>
      </c>
      <c r="K5" s="152">
        <f t="shared" si="0"/>
        <v>486177035846</v>
      </c>
      <c r="L5" s="152">
        <f t="shared" si="0"/>
        <v>537826409504</v>
      </c>
      <c r="M5" s="152">
        <f t="shared" si="0"/>
        <v>421406700759</v>
      </c>
      <c r="N5" s="152">
        <f t="shared" si="0"/>
        <v>464662855400</v>
      </c>
      <c r="O5" s="152">
        <f>O8+O9</f>
        <v>6064769368107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SUMIF('内訳ﾘｽﾄ(4～3月)'!$D$26:$D$1001,'採算表(VND)'!$B6,'内訳ﾘｽﾄ(4～3月)'!F$26:F$1001)</f>
        <v>485152352319</v>
      </c>
      <c r="D6" s="153">
        <f>SUMIF('内訳ﾘｽﾄ(4～3月)'!$D$26:$D$1001,'採算表(VND)'!$B6,'内訳ﾘｽﾄ(4～3月)'!G$26:G$1001)</f>
        <v>510255223157</v>
      </c>
      <c r="E6" s="153">
        <f>SUMIF('内訳ﾘｽﾄ(4～3月)'!$D$26:$D$1001,'採算表(VND)'!$B6,'内訳ﾘｽﾄ(4～3月)'!H$26:H$1001)</f>
        <v>529944150272</v>
      </c>
      <c r="F6" s="153">
        <f>SUMIF('内訳ﾘｽﾄ(4～3月)'!$D$26:$D$1001,'採算表(VND)'!$B6,'内訳ﾘｽﾄ(4～3月)'!I$26:I$1001)</f>
        <v>540766952353</v>
      </c>
      <c r="G6" s="153">
        <f>SUMIF('内訳ﾘｽﾄ(4～3月)'!$D$26:$D$1001,'採算表(VND)'!$B6,'内訳ﾘｽﾄ(4～3月)'!J$26:J$1001)</f>
        <v>558231867047</v>
      </c>
      <c r="H6" s="153">
        <f>SUMIF('内訳ﾘｽﾄ(4～3月)'!$D$26:$D$1001,'採算表(VND)'!$B6,'内訳ﾘｽﾄ(4～3月)'!K$26:K$1001)</f>
        <v>436489967438</v>
      </c>
      <c r="I6" s="153">
        <f>SUMIF('内訳ﾘｽﾄ(4～3月)'!$D$26:$D$1001,'採算表(VND)'!$B6,'内訳ﾘｽﾄ(4～3月)'!L$26:L$1001)</f>
        <v>562787788726</v>
      </c>
      <c r="J6" s="153">
        <f>SUMIF('内訳ﾘｽﾄ(4～3月)'!$D$26:$D$1001,'採算表(VND)'!$B6,'内訳ﾘｽﾄ(4～3月)'!M$26:M$1001)</f>
        <v>530443727720</v>
      </c>
      <c r="K6" s="153">
        <f>SUMIF('内訳ﾘｽﾄ(4～3月)'!$D$26:$D$1001,'採算表(VND)'!$B6,'内訳ﾘｽﾄ(4～3月)'!N$26:N$1001)</f>
        <v>486108108851</v>
      </c>
      <c r="L6" s="153">
        <f>SUMIF('内訳ﾘｽﾄ(4～3月)'!$D$26:$D$1001,'採算表(VND)'!$B6,'内訳ﾘｽﾄ(4～3月)'!O$26:O$1001)</f>
        <v>537744556968</v>
      </c>
      <c r="M6" s="153">
        <f>SUMIF('内訳ﾘｽﾄ(4～3月)'!$D$26:$D$1001,'採算表(VND)'!$B6,'内訳ﾘｽﾄ(4～3月)'!P$26:P$1001)</f>
        <v>421348717616</v>
      </c>
      <c r="N6" s="153">
        <f>SUMIF('内訳ﾘｽﾄ(4～3月)'!$D$26:$D$1001,'採算表(VND)'!$B6,'内訳ﾘｽﾄ(4～3月)'!Q$26:Q$1001)</f>
        <v>464596127433</v>
      </c>
      <c r="O6" s="153">
        <f>SUMIF('内訳ﾘｽﾄ(4～3月)'!$D$26:$D$800,'採算表(VND)'!$B6,'内訳ﾘｽﾄ(4～3月)'!R$26:R$800)</f>
        <v>6063869539900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485152352319</v>
      </c>
      <c r="D8" s="155">
        <f t="shared" si="1"/>
        <v>510255223157</v>
      </c>
      <c r="E8" s="155">
        <f t="shared" si="1"/>
        <v>529944150272</v>
      </c>
      <c r="F8" s="155">
        <f t="shared" si="1"/>
        <v>540766952353</v>
      </c>
      <c r="G8" s="155">
        <f t="shared" si="1"/>
        <v>558231867047</v>
      </c>
      <c r="H8" s="155">
        <f t="shared" si="1"/>
        <v>436489967438</v>
      </c>
      <c r="I8" s="155">
        <f t="shared" si="1"/>
        <v>562787788726</v>
      </c>
      <c r="J8" s="155">
        <f t="shared" si="1"/>
        <v>530443727720</v>
      </c>
      <c r="K8" s="155">
        <f t="shared" si="1"/>
        <v>486108108851</v>
      </c>
      <c r="L8" s="155">
        <f t="shared" si="1"/>
        <v>537744556968</v>
      </c>
      <c r="M8" s="155">
        <f t="shared" si="1"/>
        <v>421348717616</v>
      </c>
      <c r="N8" s="155">
        <f t="shared" si="1"/>
        <v>464596127433</v>
      </c>
      <c r="O8" s="155">
        <f>O6+O7</f>
        <v>6063869539900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62202454</v>
      </c>
      <c r="D9" s="150">
        <f>SUMIF('内訳ﾘｽﾄ(4～3月)'!$D$26:$D$1001,'採算表(VND)'!$B9,'内訳ﾘｽﾄ(4～3月)'!G$26:G$1001)</f>
        <v>83051452</v>
      </c>
      <c r="E9" s="150">
        <f>SUMIF('内訳ﾘｽﾄ(4～3月)'!$D$26:$D$1001,'採算表(VND)'!$B9,'内訳ﾘｽﾄ(4～3月)'!H$26:H$1001)</f>
        <v>80704908</v>
      </c>
      <c r="F9" s="150">
        <f>SUMIF('内訳ﾘｽﾄ(4～3月)'!$D$26:$D$1001,'採算表(VND)'!$B9,'内訳ﾘｽﾄ(4～3月)'!I$26:I$1001)</f>
        <v>85609241</v>
      </c>
      <c r="G9" s="150">
        <f>SUMIF('内訳ﾘｽﾄ(4～3月)'!$D$26:$D$1001,'採算表(VND)'!$B9,'内訳ﾘｽﾄ(4～3月)'!J$26:J$1001)</f>
        <v>102049774</v>
      </c>
      <c r="H9" s="150">
        <f>SUMIF('内訳ﾘｽﾄ(4～3月)'!$D$26:$D$1001,'採算表(VND)'!$B9,'内訳ﾘｽﾄ(4～3月)'!K$26:K$1001)</f>
        <v>63883272</v>
      </c>
      <c r="I9" s="150">
        <f>SUMIF('内訳ﾘｽﾄ(4～3月)'!$D$26:$D$1001,'採算表(VND)'!$B9,'内訳ﾘｽﾄ(4～3月)'!L$26:L$1001)</f>
        <v>62979388</v>
      </c>
      <c r="J9" s="150">
        <f>SUMIF('内訳ﾘｽﾄ(4～3月)'!$D$26:$D$1001,'採算表(VND)'!$B9,'内訳ﾘｽﾄ(4～3月)'!M$26:M$1001)</f>
        <v>83857077</v>
      </c>
      <c r="K9" s="150">
        <f>SUMIF('内訳ﾘｽﾄ(4～3月)'!$D$26:$D$1001,'採算表(VND)'!$B9,'内訳ﾘｽﾄ(4～3月)'!N$26:N$1001)</f>
        <v>68926995</v>
      </c>
      <c r="L9" s="150">
        <f>SUMIF('内訳ﾘｽﾄ(4～3月)'!$D$26:$D$1001,'採算表(VND)'!$B9,'内訳ﾘｽﾄ(4～3月)'!O$26:O$1001)</f>
        <v>81852536</v>
      </c>
      <c r="M9" s="150">
        <f>SUMIF('内訳ﾘｽﾄ(4～3月)'!$D$26:$D$1001,'採算表(VND)'!$B9,'内訳ﾘｽﾄ(4～3月)'!P$26:P$1001)</f>
        <v>57983143</v>
      </c>
      <c r="N9" s="150">
        <f>SUMIF('内訳ﾘｽﾄ(4～3月)'!$D$26:$D$1001,'採算表(VND)'!$B9,'内訳ﾘｽﾄ(4～3月)'!Q$26:Q$1001)</f>
        <v>66727967</v>
      </c>
      <c r="O9" s="150">
        <f>SUMIF('内訳ﾘｽﾄ(4～3月)'!$D$26:$D$800,'採算表(VND)'!$B9,'内訳ﾘｽﾄ(4～3月)'!R$26:R$800)</f>
        <v>899828207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6176941406</v>
      </c>
      <c r="D10" s="150">
        <f>SUMIF('内訳ﾘｽﾄ(4～3月)'!$D$26:$D$1001,'採算表(VND)'!$B10,'内訳ﾘｽﾄ(4～3月)'!G$26:G$1001)</f>
        <v>6508307312</v>
      </c>
      <c r="E10" s="150">
        <f>SUMIF('内訳ﾘｽﾄ(4～3月)'!$D$26:$D$1001,'採算表(VND)'!$B10,'内訳ﾘｽﾄ(4～3月)'!H$26:H$1001)</f>
        <v>6783584422</v>
      </c>
      <c r="F10" s="150">
        <f>SUMIF('内訳ﾘｽﾄ(4～3月)'!$D$26:$D$1001,'採算表(VND)'!$B10,'内訳ﾘｽﾄ(4～3月)'!I$26:I$1001)</f>
        <v>6798100647</v>
      </c>
      <c r="G10" s="150">
        <f>SUMIF('内訳ﾘｽﾄ(4～3月)'!$D$26:$D$1001,'採算表(VND)'!$B10,'内訳ﾘｽﾄ(4～3月)'!J$26:J$1001)</f>
        <v>7137511882</v>
      </c>
      <c r="H10" s="150">
        <f>SUMIF('内訳ﾘｽﾄ(4～3月)'!$D$26:$D$1001,'採算表(VND)'!$B10,'内訳ﾘｽﾄ(4～3月)'!K$26:K$1001)</f>
        <v>5241212760</v>
      </c>
      <c r="I10" s="150">
        <f>SUMIF('内訳ﾘｽﾄ(4～3月)'!$D$26:$D$1001,'採算表(VND)'!$B10,'内訳ﾘｽﾄ(4～3月)'!L$26:L$1001)</f>
        <v>13767017850</v>
      </c>
      <c r="J10" s="150">
        <f>SUMIF('内訳ﾘｽﾄ(4～3月)'!$D$26:$D$1001,'採算表(VND)'!$B10,'内訳ﾘｽﾄ(4～3月)'!M$26:M$1001)</f>
        <v>13059349039</v>
      </c>
      <c r="K10" s="150">
        <f>SUMIF('内訳ﾘｽﾄ(4～3月)'!$D$26:$D$1001,'採算表(VND)'!$B10,'内訳ﾘｽﾄ(4～3月)'!N$26:N$1001)</f>
        <v>11684093850</v>
      </c>
      <c r="L10" s="150">
        <f>SUMIF('内訳ﾘｽﾄ(4～3月)'!$D$26:$D$1001,'採算表(VND)'!$B10,'内訳ﾘｽﾄ(4～3月)'!O$26:O$1001)</f>
        <v>12957948235</v>
      </c>
      <c r="M10" s="150">
        <f>SUMIF('内訳ﾘｽﾄ(4～3月)'!$D$26:$D$1001,'採算表(VND)'!$B10,'内訳ﾘｽﾄ(4～3月)'!P$26:P$1001)</f>
        <v>9830400672</v>
      </c>
      <c r="N10" s="150">
        <f>SUMIF('内訳ﾘｽﾄ(4～3月)'!$D$26:$D$1001,'採算表(VND)'!$B10,'内訳ﾘｽﾄ(4～3月)'!Q$26:Q$1001)</f>
        <v>10882440400</v>
      </c>
      <c r="O10" s="150">
        <f>SUMIF('内訳ﾘｽﾄ(4～3月)'!$D$26:$D$800,'採算表(VND)'!$B10,'内訳ﾘｽﾄ(4～3月)'!R$26:R$800)</f>
        <v>110826908475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479037613367</v>
      </c>
      <c r="D12" s="156">
        <f t="shared" ref="D12:N12" si="2">D5-D10</f>
        <v>503829967297</v>
      </c>
      <c r="E12" s="156">
        <f t="shared" si="2"/>
        <v>523241270758</v>
      </c>
      <c r="F12" s="156">
        <f t="shared" si="2"/>
        <v>534054460947</v>
      </c>
      <c r="G12" s="156">
        <f t="shared" si="2"/>
        <v>551196404939</v>
      </c>
      <c r="H12" s="156">
        <f t="shared" si="2"/>
        <v>431312637950</v>
      </c>
      <c r="I12" s="156">
        <f t="shared" si="2"/>
        <v>549083750264</v>
      </c>
      <c r="J12" s="156">
        <f t="shared" si="2"/>
        <v>517468235758</v>
      </c>
      <c r="K12" s="156">
        <f t="shared" si="2"/>
        <v>474492941996</v>
      </c>
      <c r="L12" s="156">
        <f t="shared" si="2"/>
        <v>524868461269</v>
      </c>
      <c r="M12" s="156">
        <f t="shared" si="2"/>
        <v>411576300087</v>
      </c>
      <c r="N12" s="156">
        <f t="shared" si="2"/>
        <v>453780415000</v>
      </c>
      <c r="O12" s="156">
        <f>O5-O10</f>
        <v>5953942459632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457145215660</v>
      </c>
      <c r="D13" s="150">
        <f t="shared" ref="D13:N13" si="3">SUM(D14:D65)</f>
        <v>454559148933</v>
      </c>
      <c r="E13" s="150">
        <f t="shared" si="3"/>
        <v>469072013816</v>
      </c>
      <c r="F13" s="150">
        <f t="shared" si="3"/>
        <v>482973170093</v>
      </c>
      <c r="G13" s="150">
        <f t="shared" si="3"/>
        <v>494162367782</v>
      </c>
      <c r="H13" s="150">
        <f t="shared" si="3"/>
        <v>394050665029</v>
      </c>
      <c r="I13" s="150">
        <f t="shared" si="3"/>
        <v>495043627375</v>
      </c>
      <c r="J13" s="150">
        <f t="shared" si="3"/>
        <v>466649112411</v>
      </c>
      <c r="K13" s="150">
        <f t="shared" si="3"/>
        <v>429764290202</v>
      </c>
      <c r="L13" s="150">
        <f t="shared" si="3"/>
        <v>470966774142</v>
      </c>
      <c r="M13" s="150">
        <f t="shared" si="3"/>
        <v>374372889774</v>
      </c>
      <c r="N13" s="150">
        <f t="shared" si="3"/>
        <v>412452270250</v>
      </c>
      <c r="O13" s="150">
        <f>SUM(O14:O65)</f>
        <v>5401211545467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SUMIF('内訳ﾘｽﾄ(4～3月)'!$D$26:$D$1001,$B14,'内訳ﾘｽﾄ(4～3月)'!F$26:F$1001)</f>
        <v>431752336858</v>
      </c>
      <c r="D14" s="157">
        <f>SUMIF('内訳ﾘｽﾄ(4～3月)'!$D$26:$D$1001,$B14,'内訳ﾘｽﾄ(4～3月)'!G$26:G$1001)</f>
        <v>428510908153</v>
      </c>
      <c r="E14" s="157">
        <f>SUMIF('内訳ﾘｽﾄ(4～3月)'!$D$26:$D$1001,$B14,'内訳ﾘｽﾄ(4～3月)'!H$26:H$1001)</f>
        <v>445179432306</v>
      </c>
      <c r="F14" s="157">
        <f>SUMIF('内訳ﾘｽﾄ(4～3月)'!$D$26:$D$1001,$B14,'内訳ﾘｽﾄ(4～3月)'!I$26:I$1001)</f>
        <v>454765445338</v>
      </c>
      <c r="G14" s="157">
        <f>SUMIF('内訳ﾘｽﾄ(4～3月)'!$D$26:$D$1001,$B14,'内訳ﾘｽﾄ(4～3月)'!J$26:J$1001)</f>
        <v>466606962740</v>
      </c>
      <c r="H14" s="157">
        <f>SUMIF('内訳ﾘｽﾄ(4～3月)'!$D$26:$D$1001,$B14,'内訳ﾘｽﾄ(4～3月)'!K$26:K$1001)</f>
        <v>366076805341</v>
      </c>
      <c r="I14" s="157">
        <f>SUMIF('内訳ﾘｽﾄ(4～3月)'!$D$26:$D$1001,$B14,'内訳ﾘｽﾄ(4～3月)'!L$26:L$1001)</f>
        <v>465105313789</v>
      </c>
      <c r="J14" s="157">
        <f>SUMIF('内訳ﾘｽﾄ(4～3月)'!$D$26:$D$1001,$B14,'内訳ﾘｽﾄ(4～3月)'!M$26:M$1001)</f>
        <v>438034517876</v>
      </c>
      <c r="K14" s="157">
        <f>SUMIF('内訳ﾘｽﾄ(4～3月)'!$D$26:$D$1001,$B14,'内訳ﾘｽﾄ(4～3月)'!N$26:N$1001)</f>
        <v>400391507165</v>
      </c>
      <c r="L14" s="157">
        <f>SUMIF('内訳ﾘｽﾄ(4～3月)'!$D$26:$D$1001,$B14,'内訳ﾘｽﾄ(4～3月)'!O$26:O$1001)</f>
        <v>442306357211</v>
      </c>
      <c r="M14" s="157">
        <f>SUMIF('内訳ﾘｽﾄ(4～3月)'!$D$26:$D$1001,$B14,'内訳ﾘｽﾄ(4～3月)'!P$26:P$1001)</f>
        <v>347130758296</v>
      </c>
      <c r="N14" s="157">
        <f>SUMIF('内訳ﾘｽﾄ(4～3月)'!$D$26:$D$1001,$B14,'内訳ﾘｽﾄ(4～3月)'!Q$26:Q$1001)</f>
        <v>382945394687</v>
      </c>
      <c r="O14" s="157">
        <f>SUMIF('内訳ﾘｽﾄ(4～3月)'!$D$26:$D$800,'採算表(VND)'!$B14,'内訳ﾘｽﾄ(4～3月)'!R$26:R$800)</f>
        <v>5068805739760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2415432202</v>
      </c>
      <c r="D20" s="158">
        <f>SUMIF('内訳ﾘｽﾄ(4～3月)'!$D$26:$D$1001,$B20,'内訳ﾘｽﾄ(4～3月)'!G$26:G$1001)</f>
        <v>2404805219</v>
      </c>
      <c r="E20" s="158">
        <f>SUMIF('内訳ﾘｽﾄ(4～3月)'!$D$26:$D$1001,$B20,'内訳ﾘｽﾄ(4～3月)'!H$26:H$1001)</f>
        <v>2389241402</v>
      </c>
      <c r="F20" s="158">
        <f>SUMIF('内訳ﾘｽﾄ(4～3月)'!$D$26:$D$1001,$B20,'内訳ﾘｽﾄ(4～3月)'!I$26:I$1001)</f>
        <v>2395231665</v>
      </c>
      <c r="G20" s="158">
        <f>SUMIF('内訳ﾘｽﾄ(4～3月)'!$D$26:$D$1001,$B20,'内訳ﾘｽﾄ(4～3月)'!J$26:J$1001)</f>
        <v>2332158842</v>
      </c>
      <c r="H20" s="158">
        <f>SUMIF('内訳ﾘｽﾄ(4～3月)'!$D$26:$D$1001,$B20,'内訳ﾘｽﾄ(4～3月)'!K$26:K$1001)</f>
        <v>2479221108</v>
      </c>
      <c r="I20" s="158">
        <f>SUMIF('内訳ﾘｽﾄ(4～3月)'!$D$26:$D$1001,$B20,'内訳ﾘｽﾄ(4～3月)'!L$26:L$1001)</f>
        <v>2449745095</v>
      </c>
      <c r="J20" s="158">
        <f>SUMIF('内訳ﾘｽﾄ(4～3月)'!$D$26:$D$1001,$B20,'内訳ﾘｽﾄ(4～3月)'!M$26:M$1001)</f>
        <v>2439173968</v>
      </c>
      <c r="K20" s="158">
        <f>SUMIF('内訳ﾘｽﾄ(4～3月)'!$D$26:$D$1001,$B20,'内訳ﾘｽﾄ(4～3月)'!N$26:N$1001)</f>
        <v>2309740066</v>
      </c>
      <c r="L20" s="158">
        <f>SUMIF('内訳ﾘｽﾄ(4～3月)'!$D$26:$D$1001,$B20,'内訳ﾘｽﾄ(4～3月)'!O$26:O$1001)</f>
        <v>2241967045</v>
      </c>
      <c r="M20" s="158">
        <f>SUMIF('内訳ﾘｽﾄ(4～3月)'!$D$26:$D$1001,$B20,'内訳ﾘｽﾄ(4～3月)'!P$26:P$1001)</f>
        <v>2185405741</v>
      </c>
      <c r="N20" s="158">
        <f>SUMIF('内訳ﾘｽﾄ(4～3月)'!$D$26:$D$1001,$B20,'内訳ﾘｽﾄ(4～3月)'!Q$26:Q$1001)</f>
        <v>2184787241</v>
      </c>
      <c r="O20" s="158">
        <f>SUMIF('内訳ﾘｽﾄ(4～3月)'!$D$26:$D$800,'採算表(VND)'!$B20,'内訳ﾘｽﾄ(4～3月)'!R$26:R$800)</f>
        <v>28226909594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2141942039</v>
      </c>
      <c r="D21" s="158">
        <f>SUMIF('内訳ﾘｽﾄ(4～3月)'!$D$26:$D$1001,$B21,'内訳ﾘｽﾄ(4～3月)'!G$26:G$1001)</f>
        <v>2023772917</v>
      </c>
      <c r="E21" s="158">
        <f>SUMIF('内訳ﾘｽﾄ(4～3月)'!$D$26:$D$1001,$B21,'内訳ﾘｽﾄ(4～3月)'!H$26:H$1001)</f>
        <v>2074552917</v>
      </c>
      <c r="F21" s="158">
        <f>SUMIF('内訳ﾘｽﾄ(4～3月)'!$D$26:$D$1001,$B21,'内訳ﾘｽﾄ(4～3月)'!I$26:I$1001)</f>
        <v>3505711047</v>
      </c>
      <c r="G21" s="158">
        <f>SUMIF('内訳ﾘｽﾄ(4～3月)'!$D$26:$D$1001,$B21,'内訳ﾘｽﾄ(4～3月)'!J$26:J$1001)</f>
        <v>5238578547</v>
      </c>
      <c r="H21" s="158">
        <f>SUMIF('内訳ﾘｽﾄ(4～3月)'!$D$26:$D$1001,$B21,'内訳ﾘｽﾄ(4～3月)'!K$26:K$1001)</f>
        <v>6121160337</v>
      </c>
      <c r="I21" s="158">
        <f>SUMIF('内訳ﾘｽﾄ(4～3月)'!$D$26:$D$1001,$B21,'内訳ﾘｽﾄ(4～3月)'!L$26:L$1001)</f>
        <v>6412256687</v>
      </c>
      <c r="J21" s="158">
        <f>SUMIF('内訳ﾘｽﾄ(4～3月)'!$D$26:$D$1001,$B21,'内訳ﾘｽﾄ(4～3月)'!M$26:M$1001)</f>
        <v>6854283130</v>
      </c>
      <c r="K21" s="158">
        <f>SUMIF('内訳ﾘｽﾄ(4～3月)'!$D$26:$D$1001,$B21,'内訳ﾘｽﾄ(4～3月)'!N$26:N$1001)</f>
        <v>7149779567</v>
      </c>
      <c r="L21" s="158">
        <f>SUMIF('内訳ﾘｽﾄ(4～3月)'!$D$26:$D$1001,$B21,'内訳ﾘｽﾄ(4～3月)'!O$26:O$1001)</f>
        <v>7427725675</v>
      </c>
      <c r="M21" s="158">
        <f>SUMIF('内訳ﾘｽﾄ(4～3月)'!$D$26:$D$1001,$B21,'内訳ﾘｽﾄ(4～3月)'!P$26:P$1001)</f>
        <v>7555138788</v>
      </c>
      <c r="N21" s="158">
        <f>SUMIF('内訳ﾘｽﾄ(4～3月)'!$D$26:$D$1001,$B21,'内訳ﾘｽﾄ(4～3月)'!Q$26:Q$1001)</f>
        <v>8658356378</v>
      </c>
      <c r="O21" s="158">
        <f>SUMIF('内訳ﾘｽﾄ(4～3月)'!$D$26:$D$800,'採算表(VND)'!$B21,'内訳ﾘｽﾄ(4～3月)'!R$26:R$800)</f>
        <v>65163258029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901321892</v>
      </c>
      <c r="D25" s="158">
        <f>SUMIF('内訳ﾘｽﾄ(4～3月)'!$D$26:$D$1001,$B25,'内訳ﾘｽﾄ(4～3月)'!G$26:G$1001)</f>
        <v>828824828</v>
      </c>
      <c r="E25" s="158">
        <f>SUMIF('内訳ﾘｽﾄ(4～3月)'!$D$26:$D$1001,$B25,'内訳ﾘｽﾄ(4～3月)'!H$26:H$1001)</f>
        <v>831439432</v>
      </c>
      <c r="F25" s="158">
        <f>SUMIF('内訳ﾘｽﾄ(4～3月)'!$D$26:$D$1001,$B25,'内訳ﾘｽﾄ(4～3月)'!I$26:I$1001)</f>
        <v>1028170466</v>
      </c>
      <c r="G25" s="158">
        <f>SUMIF('内訳ﾘｽﾄ(4～3月)'!$D$26:$D$1001,$B25,'内訳ﾘｽﾄ(4～3月)'!J$26:J$1001)</f>
        <v>932413095</v>
      </c>
      <c r="H25" s="158">
        <f>SUMIF('内訳ﾘｽﾄ(4～3月)'!$D$26:$D$1001,$B25,'内訳ﾘｽﾄ(4～3月)'!K$26:K$1001)</f>
        <v>928544614</v>
      </c>
      <c r="I25" s="158">
        <f>SUMIF('内訳ﾘｽﾄ(4～3月)'!$D$26:$D$1001,$B25,'内訳ﾘｽﾄ(4～3月)'!L$26:L$1001)</f>
        <v>1063041646</v>
      </c>
      <c r="J25" s="158">
        <f>SUMIF('内訳ﾘｽﾄ(4～3月)'!$D$26:$D$1001,$B25,'内訳ﾘｽﾄ(4～3月)'!M$26:M$1001)</f>
        <v>958950342</v>
      </c>
      <c r="K25" s="158">
        <f>SUMIF('内訳ﾘｽﾄ(4～3月)'!$D$26:$D$1001,$B25,'内訳ﾘｽﾄ(4～3月)'!N$26:N$1001)</f>
        <v>1068167077</v>
      </c>
      <c r="L25" s="158">
        <f>SUMIF('内訳ﾘｽﾄ(4～3月)'!$D$26:$D$1001,$B25,'内訳ﾘｽﾄ(4～3月)'!O$26:O$1001)</f>
        <v>1035472213</v>
      </c>
      <c r="M25" s="158">
        <f>SUMIF('内訳ﾘｽﾄ(4～3月)'!$D$26:$D$1001,$B25,'内訳ﾘｽﾄ(4～3月)'!P$26:P$1001)</f>
        <v>868893383</v>
      </c>
      <c r="N25" s="158">
        <f>SUMIF('内訳ﾘｽﾄ(4～3月)'!$D$26:$D$1001,$B25,'内訳ﾘｽﾄ(4～3月)'!Q$26:Q$1001)</f>
        <v>1003197579</v>
      </c>
      <c r="O25" s="158">
        <f>SUMIF('内訳ﾘｽﾄ(4～3月)'!$D$26:$D$800,'採算表(VND)'!$B25,'内訳ﾘｽﾄ(4～3月)'!R$26:R$800)</f>
        <v>11448436567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SUMIF('内訳ﾘｽﾄ(4～3月)'!$D$26:$D$1001,$B26,'内訳ﾘｽﾄ(4～3月)'!F$26:F$1001)</f>
        <v>483122607</v>
      </c>
      <c r="D26" s="158">
        <f>SUMIF('内訳ﾘｽﾄ(4～3月)'!$D$26:$D$1001,$B26,'内訳ﾘｽﾄ(4～3月)'!G$26:G$1001)</f>
        <v>498248639</v>
      </c>
      <c r="E26" s="158">
        <f>SUMIF('内訳ﾘｽﾄ(4～3月)'!$D$26:$D$1001,$B26,'内訳ﾘｽﾄ(4～3月)'!H$26:H$1001)</f>
        <v>511651874</v>
      </c>
      <c r="F26" s="158">
        <f>SUMIF('内訳ﾘｽﾄ(4～3月)'!$D$26:$D$1001,$B26,'内訳ﾘｽﾄ(4～3月)'!I$26:I$1001)</f>
        <v>550565483</v>
      </c>
      <c r="G26" s="158">
        <f>SUMIF('内訳ﾘｽﾄ(4～3月)'!$D$26:$D$1001,$B26,'内訳ﾘｽﾄ(4～3月)'!J$26:J$1001)</f>
        <v>498655600</v>
      </c>
      <c r="H26" s="158">
        <f>SUMIF('内訳ﾘｽﾄ(4～3月)'!$D$26:$D$1001,$B26,'内訳ﾘｽﾄ(4～3月)'!K$26:K$1001)</f>
        <v>481352305</v>
      </c>
      <c r="I26" s="158">
        <f>SUMIF('内訳ﾘｽﾄ(4～3月)'!$D$26:$D$1001,$B26,'内訳ﾘｽﾄ(4～3月)'!L$26:L$1001)</f>
        <v>550565483</v>
      </c>
      <c r="J26" s="158">
        <f>SUMIF('内訳ﾘｽﾄ(4～3月)'!$D$26:$D$1001,$B26,'内訳ﾘｽﾄ(4～3月)'!M$26:M$1001)</f>
        <v>498655600</v>
      </c>
      <c r="K26" s="158">
        <f>SUMIF('内訳ﾘｽﾄ(4～3月)'!$D$26:$D$1001,$B26,'内訳ﾘｽﾄ(4～3月)'!N$26:N$1001)</f>
        <v>533262188</v>
      </c>
      <c r="L26" s="158">
        <f>SUMIF('内訳ﾘｽﾄ(4～3月)'!$D$26:$D$1001,$B26,'内訳ﾘｽﾄ(4～3月)'!O$26:O$1001)</f>
        <v>549326423</v>
      </c>
      <c r="M26" s="158">
        <f>SUMIF('内訳ﾘｽﾄ(4～3月)'!$D$26:$D$1001,$B26,'内訳ﾘｽﾄ(4～3月)'!P$26:P$1001)</f>
        <v>404538504</v>
      </c>
      <c r="N26" s="158">
        <f>SUMIF('内訳ﾘｽﾄ(4～3月)'!$D$26:$D$1001,$B26,'内訳ﾘｽﾄ(4～3月)'!Q$26:Q$1001)</f>
        <v>472053417</v>
      </c>
      <c r="O26" s="158">
        <f>SUMIF('内訳ﾘｽﾄ(4～3月)'!$D$26:$D$800,'採算表(VND)'!$B26,'内訳ﾘｽﾄ(4～3月)'!R$26:R$800)</f>
        <v>6031998123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126950000</v>
      </c>
      <c r="D27" s="158">
        <f>SUMIF('内訳ﾘｽﾄ(4～3月)'!$D$26:$D$1001,$B27,'内訳ﾘｽﾄ(4～3月)'!G$26:G$1001)</f>
        <v>126950000</v>
      </c>
      <c r="E27" s="158">
        <f>SUMIF('内訳ﾘｽﾄ(4～3月)'!$D$26:$D$1001,$B27,'内訳ﾘｽﾄ(4～3月)'!H$26:H$1001)</f>
        <v>126950000</v>
      </c>
      <c r="F27" s="158">
        <f>SUMIF('内訳ﾘｽﾄ(4～3月)'!$D$26:$D$1001,$B27,'内訳ﾘｽﾄ(4～3月)'!I$26:I$1001)</f>
        <v>126950000</v>
      </c>
      <c r="G27" s="158">
        <f>SUMIF('内訳ﾘｽﾄ(4～3月)'!$D$26:$D$1001,$B27,'内訳ﾘｽﾄ(4～3月)'!J$26:J$1001)</f>
        <v>126950000</v>
      </c>
      <c r="H27" s="158">
        <f>SUMIF('内訳ﾘｽﾄ(4～3月)'!$D$26:$D$1001,$B27,'内訳ﾘｽﾄ(4～3月)'!K$26:K$1001)</f>
        <v>126950000</v>
      </c>
      <c r="I27" s="158">
        <f>SUMIF('内訳ﾘｽﾄ(4～3月)'!$D$26:$D$1001,$B27,'内訳ﾘｽﾄ(4～3月)'!L$26:L$1001)</f>
        <v>126950000</v>
      </c>
      <c r="J27" s="158">
        <f>SUMIF('内訳ﾘｽﾄ(4～3月)'!$D$26:$D$1001,$B27,'内訳ﾘｽﾄ(4～3月)'!M$26:M$1001)</f>
        <v>126950000</v>
      </c>
      <c r="K27" s="158">
        <f>SUMIF('内訳ﾘｽﾄ(4～3月)'!$D$26:$D$1001,$B27,'内訳ﾘｽﾄ(4～3月)'!N$26:N$1001)</f>
        <v>126950000</v>
      </c>
      <c r="L27" s="158">
        <f>SUMIF('内訳ﾘｽﾄ(4～3月)'!$D$26:$D$1001,$B27,'内訳ﾘｽﾄ(4～3月)'!O$26:O$1001)</f>
        <v>126950000</v>
      </c>
      <c r="M27" s="158">
        <f>SUMIF('内訳ﾘｽﾄ(4～3月)'!$D$26:$D$1001,$B27,'内訳ﾘｽﾄ(4～3月)'!P$26:P$1001)</f>
        <v>126950000</v>
      </c>
      <c r="N27" s="158">
        <f>SUMIF('内訳ﾘｽﾄ(4～3月)'!$D$26:$D$1001,$B27,'内訳ﾘｽﾄ(4～3月)'!Q$26:Q$1001)</f>
        <v>126950000</v>
      </c>
      <c r="O27" s="158">
        <f>SUMIF('内訳ﾘｽﾄ(4～3月)'!$D$26:$D$800,'採算表(VND)'!$B27,'内訳ﾘｽﾄ(4～3月)'!R$26:R$800)</f>
        <v>1523400000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0</v>
      </c>
      <c r="D28" s="158">
        <f>SUMIF('内訳ﾘｽﾄ(4～3月)'!$D$26:$D$1001,$B28,'内訳ﾘｽﾄ(4～3月)'!G$26:G$1001)</f>
        <v>0</v>
      </c>
      <c r="E28" s="158">
        <f>SUMIF('内訳ﾘｽﾄ(4～3月)'!$D$26:$D$1001,$B28,'内訳ﾘｽﾄ(4～3月)'!H$26:H$1001)</f>
        <v>0</v>
      </c>
      <c r="F28" s="158">
        <f>SUMIF('内訳ﾘｽﾄ(4～3月)'!$D$26:$D$1001,$B28,'内訳ﾘｽﾄ(4～3月)'!I$26:I$1001)</f>
        <v>0</v>
      </c>
      <c r="G28" s="158">
        <f>SUMIF('内訳ﾘｽﾄ(4～3月)'!$D$26:$D$1001,$B28,'内訳ﾘｽﾄ(4～3月)'!J$26:J$1001)</f>
        <v>0</v>
      </c>
      <c r="H28" s="158">
        <f>SUMIF('内訳ﾘｽﾄ(4～3月)'!$D$26:$D$1001,$B28,'内訳ﾘｽﾄ(4～3月)'!K$26:K$1001)</f>
        <v>0</v>
      </c>
      <c r="I28" s="158">
        <f>SUMIF('内訳ﾘｽﾄ(4～3月)'!$D$26:$D$1001,$B28,'内訳ﾘｽﾄ(4～3月)'!L$26:L$1001)</f>
        <v>0</v>
      </c>
      <c r="J28" s="158">
        <f>SUMIF('内訳ﾘｽﾄ(4～3月)'!$D$26:$D$1001,$B28,'内訳ﾘｽﾄ(4～3月)'!M$26:M$1001)</f>
        <v>0</v>
      </c>
      <c r="K28" s="158">
        <f>SUMIF('内訳ﾘｽﾄ(4～3月)'!$D$26:$D$1001,$B28,'内訳ﾘｽﾄ(4～3月)'!N$26:N$1001)</f>
        <v>0</v>
      </c>
      <c r="L28" s="158">
        <f>SUMIF('内訳ﾘｽﾄ(4～3月)'!$D$26:$D$1001,$B28,'内訳ﾘｽﾄ(4～3月)'!O$26:O$1001)</f>
        <v>0</v>
      </c>
      <c r="M28" s="158">
        <f>SUMIF('内訳ﾘｽﾄ(4～3月)'!$D$26:$D$1001,$B28,'内訳ﾘｽﾄ(4～3月)'!P$26:P$1001)</f>
        <v>0</v>
      </c>
      <c r="N28" s="158">
        <f>SUMIF('内訳ﾘｽﾄ(4～3月)'!$D$26:$D$1001,$B28,'内訳ﾘｽﾄ(4～3月)'!Q$26:Q$1001)</f>
        <v>0</v>
      </c>
      <c r="O28" s="158">
        <f>SUMIF('内訳ﾘｽﾄ(4～3月)'!$D$26:$D$800,'採算表(VND)'!$B28,'内訳ﾘｽﾄ(4～3月)'!R$26:R$800)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0</v>
      </c>
      <c r="D29" s="158">
        <f>SUMIF('内訳ﾘｽﾄ(4～3月)'!$D$26:$D$1001,$B29,'内訳ﾘｽﾄ(4～3月)'!G$26:G$1001)</f>
        <v>0</v>
      </c>
      <c r="E29" s="158">
        <f>SUMIF('内訳ﾘｽﾄ(4～3月)'!$D$26:$D$1001,$B29,'内訳ﾘｽﾄ(4～3月)'!H$26:H$1001)</f>
        <v>0</v>
      </c>
      <c r="F29" s="158">
        <f>SUMIF('内訳ﾘｽﾄ(4～3月)'!$D$26:$D$1001,$B29,'内訳ﾘｽﾄ(4～3月)'!I$26:I$1001)</f>
        <v>0</v>
      </c>
      <c r="G29" s="158">
        <f>SUMIF('内訳ﾘｽﾄ(4～3月)'!$D$26:$D$1001,$B29,'内訳ﾘｽﾄ(4～3月)'!J$26:J$1001)</f>
        <v>0</v>
      </c>
      <c r="H29" s="158">
        <f>SUMIF('内訳ﾘｽﾄ(4～3月)'!$D$26:$D$1001,$B29,'内訳ﾘｽﾄ(4～3月)'!K$26:K$1001)</f>
        <v>0</v>
      </c>
      <c r="I29" s="158">
        <f>SUMIF('内訳ﾘｽﾄ(4～3月)'!$D$26:$D$1001,$B29,'内訳ﾘｽﾄ(4～3月)'!L$26:L$1001)</f>
        <v>0</v>
      </c>
      <c r="J29" s="158">
        <f>SUMIF('内訳ﾘｽﾄ(4～3月)'!$D$26:$D$1001,$B29,'内訳ﾘｽﾄ(4～3月)'!M$26:M$1001)</f>
        <v>0</v>
      </c>
      <c r="K29" s="158">
        <f>SUMIF('内訳ﾘｽﾄ(4～3月)'!$D$26:$D$1001,$B29,'内訳ﾘｽﾄ(4～3月)'!N$26:N$1001)</f>
        <v>0</v>
      </c>
      <c r="L29" s="158">
        <f>SUMIF('内訳ﾘｽﾄ(4～3月)'!$D$26:$D$1001,$B29,'内訳ﾘｽﾄ(4～3月)'!O$26:O$1001)</f>
        <v>0</v>
      </c>
      <c r="M29" s="158">
        <f>SUMIF('内訳ﾘｽﾄ(4～3月)'!$D$26:$D$1001,$B29,'内訳ﾘｽﾄ(4～3月)'!P$26:P$1001)</f>
        <v>0</v>
      </c>
      <c r="N29" s="158">
        <f>SUMIF('内訳ﾘｽﾄ(4～3月)'!$D$26:$D$1001,$B29,'内訳ﾘｽﾄ(4～3月)'!Q$26:Q$1001)</f>
        <v>0</v>
      </c>
      <c r="O29" s="158">
        <f>SUMIF('内訳ﾘｽﾄ(4～3月)'!$D$26:$D$800,'採算表(VND)'!$B29,'内訳ﾘｽﾄ(4～3月)'!R$26:R$800)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SUMIF('内訳ﾘｽﾄ(4～3月)'!$D$26:$D$1001,$B30,'内訳ﾘｽﾄ(4～3月)'!F$26:F$1001)</f>
        <v>414296451</v>
      </c>
      <c r="D30" s="158">
        <f>SUMIF('内訳ﾘｽﾄ(4～3月)'!$D$26:$D$1001,$B30,'内訳ﾘｽﾄ(4～3月)'!G$26:G$1001)</f>
        <v>423751557</v>
      </c>
      <c r="E30" s="158">
        <f>SUMIF('内訳ﾘｽﾄ(4～3月)'!$D$26:$D$1001,$B30,'内訳ﾘｽﾄ(4～3月)'!H$26:H$1001)</f>
        <v>517757086</v>
      </c>
      <c r="F30" s="158">
        <f>SUMIF('内訳ﾘｽﾄ(4～3月)'!$D$26:$D$1001,$B30,'内訳ﾘｽﾄ(4～3月)'!I$26:I$1001)</f>
        <v>570310769</v>
      </c>
      <c r="G30" s="158">
        <f>SUMIF('内訳ﾘｽﾄ(4～3月)'!$D$26:$D$1001,$B30,'内訳ﾘｽﾄ(4～3月)'!J$26:J$1001)</f>
        <v>583912148</v>
      </c>
      <c r="H30" s="158">
        <f>SUMIF('内訳ﾘｽﾄ(4～3月)'!$D$26:$D$1001,$B30,'内訳ﾘｽﾄ(4～3月)'!K$26:K$1001)</f>
        <v>534392554</v>
      </c>
      <c r="I30" s="158">
        <f>SUMIF('内訳ﾘｽﾄ(4～3月)'!$D$26:$D$1001,$B30,'内訳ﾘｽﾄ(4～3月)'!L$26:L$1001)</f>
        <v>536572316</v>
      </c>
      <c r="J30" s="158">
        <f>SUMIF('内訳ﾘｽﾄ(4～3月)'!$D$26:$D$1001,$B30,'内訳ﾘｽﾄ(4～3月)'!M$26:M$1001)</f>
        <v>492220189</v>
      </c>
      <c r="K30" s="158">
        <f>SUMIF('内訳ﾘｽﾄ(4～3月)'!$D$26:$D$1001,$B30,'内訳ﾘｽﾄ(4～3月)'!N$26:N$1001)</f>
        <v>478691410</v>
      </c>
      <c r="L30" s="158">
        <f>SUMIF('内訳ﾘｽﾄ(4～3月)'!$D$26:$D$1001,$B30,'内訳ﾘｽﾄ(4～3月)'!O$26:O$1001)</f>
        <v>413396688</v>
      </c>
      <c r="M30" s="158">
        <f>SUMIF('内訳ﾘｽﾄ(4～3月)'!$D$26:$D$1001,$B30,'内訳ﾘｽﾄ(4～3月)'!P$26:P$1001)</f>
        <v>397455544</v>
      </c>
      <c r="N30" s="158">
        <f>SUMIF('内訳ﾘｽﾄ(4～3月)'!$D$26:$D$1001,$B30,'内訳ﾘｽﾄ(4～3月)'!Q$26:Q$1001)</f>
        <v>348368133</v>
      </c>
      <c r="O30" s="158">
        <f>SUMIF('内訳ﾘｽﾄ(4～3月)'!$D$26:$D$800,'採算表(VND)'!$B30,'内訳ﾘｽﾄ(4～3月)'!R$26:R$800)</f>
        <v>5711124845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468922198</v>
      </c>
      <c r="D31" s="158">
        <f>SUMIF('内訳ﾘｽﾄ(4～3月)'!$D$26:$D$1001,$B31,'内訳ﾘｽﾄ(4～3月)'!G$26:G$1001)</f>
        <v>359400000</v>
      </c>
      <c r="E31" s="158">
        <f>SUMIF('内訳ﾘｽﾄ(4～3月)'!$D$26:$D$1001,$B31,'内訳ﾘｽﾄ(4～3月)'!H$26:H$1001)</f>
        <v>666900000</v>
      </c>
      <c r="F31" s="158">
        <f>SUMIF('内訳ﾘｽﾄ(4～3月)'!$D$26:$D$1001,$B31,'内訳ﾘｽﾄ(4～3月)'!I$26:I$1001)</f>
        <v>368900000</v>
      </c>
      <c r="G31" s="158">
        <f>SUMIF('内訳ﾘｽﾄ(4～3月)'!$D$26:$D$1001,$B31,'内訳ﾘｽﾄ(4～3月)'!J$26:J$1001)</f>
        <v>367400000</v>
      </c>
      <c r="H31" s="158">
        <f>SUMIF('内訳ﾘｽﾄ(4～3月)'!$D$26:$D$1001,$B31,'内訳ﾘｽﾄ(4～3月)'!K$26:K$1001)</f>
        <v>381200000</v>
      </c>
      <c r="I31" s="158">
        <f>SUMIF('内訳ﾘｽﾄ(4～3月)'!$D$26:$D$1001,$B31,'内訳ﾘｽﾄ(4～3月)'!L$26:L$1001)</f>
        <v>367400000</v>
      </c>
      <c r="J31" s="158">
        <f>SUMIF('内訳ﾘｽﾄ(4～3月)'!$D$26:$D$1001,$B31,'内訳ﾘｽﾄ(4～3月)'!M$26:M$1001)</f>
        <v>358200000</v>
      </c>
      <c r="K31" s="158">
        <f>SUMIF('内訳ﾘｽﾄ(4～3月)'!$D$26:$D$1001,$B31,'内訳ﾘｽﾄ(4～3月)'!N$26:N$1001)</f>
        <v>367400000</v>
      </c>
      <c r="L31" s="158">
        <f>SUMIF('内訳ﾘｽﾄ(4～3月)'!$D$26:$D$1001,$B31,'内訳ﾘｽﾄ(4～3月)'!O$26:O$1001)</f>
        <v>357000000</v>
      </c>
      <c r="M31" s="158">
        <f>SUMIF('内訳ﾘｽﾄ(4～3月)'!$D$26:$D$1001,$B31,'内訳ﾘｽﾄ(4～3月)'!P$26:P$1001)</f>
        <v>364900000</v>
      </c>
      <c r="N31" s="158">
        <f>SUMIF('内訳ﾘｽﾄ(4～3月)'!$D$26:$D$1001,$B31,'内訳ﾘｽﾄ(4～3月)'!Q$26:Q$1001)</f>
        <v>367000000</v>
      </c>
      <c r="O31" s="158">
        <f>SUMIF('内訳ﾘｽﾄ(4～3月)'!$D$26:$D$800,'採算表(VND)'!$B31,'内訳ﾘｽﾄ(4～3月)'!R$26:R$800)</f>
        <v>4794622198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5843531845</v>
      </c>
      <c r="D32" s="158">
        <f>SUMIF('内訳ﾘｽﾄ(4～3月)'!$D$26:$D$1001,$B32,'内訳ﾘｽﾄ(4～3月)'!G$26:G$1001)</f>
        <v>5714856475</v>
      </c>
      <c r="E32" s="158">
        <f>SUMIF('内訳ﾘｽﾄ(4～3月)'!$D$26:$D$1001,$B32,'内訳ﾘｽﾄ(4～3月)'!H$26:H$1001)</f>
        <v>5972207215</v>
      </c>
      <c r="F32" s="158">
        <f>SUMIF('内訳ﾘｽﾄ(4～3月)'!$D$26:$D$1001,$B32,'内訳ﾘｽﾄ(4～3月)'!I$26:I$1001)</f>
        <v>6229557955</v>
      </c>
      <c r="G32" s="158">
        <f>SUMIF('内訳ﾘｽﾄ(4～3月)'!$D$26:$D$1001,$B32,'内訳ﾘｽﾄ(4～3月)'!J$26:J$1001)</f>
        <v>5843531845</v>
      </c>
      <c r="H32" s="158">
        <f>SUMIF('内訳ﾘｽﾄ(4～3月)'!$D$26:$D$1001,$B32,'内訳ﾘｽﾄ(4～3月)'!K$26:K$1001)</f>
        <v>5714856475</v>
      </c>
      <c r="I32" s="158">
        <f>SUMIF('内訳ﾘｽﾄ(4～3月)'!$D$26:$D$1001,$B32,'内訳ﾘｽﾄ(4～3月)'!L$26:L$1001)</f>
        <v>6229557955</v>
      </c>
      <c r="J32" s="158">
        <f>SUMIF('内訳ﾘｽﾄ(4～3月)'!$D$26:$D$1001,$B32,'内訳ﾘｽﾄ(4～3月)'!M$26:M$1001)</f>
        <v>5843531845</v>
      </c>
      <c r="K32" s="158">
        <f>SUMIF('内訳ﾘｽﾄ(4～3月)'!$D$26:$D$1001,$B32,'内訳ﾘｽﾄ(4～3月)'!N$26:N$1001)</f>
        <v>6100882585</v>
      </c>
      <c r="L32" s="158">
        <f>SUMIF('内訳ﾘｽﾄ(4～3月)'!$D$26:$D$1001,$B32,'内訳ﾘｽﾄ(4～3月)'!O$26:O$1001)</f>
        <v>5843531845</v>
      </c>
      <c r="M32" s="158">
        <f>SUMIF('内訳ﾘｽﾄ(4～3月)'!$D$26:$D$1001,$B32,'内訳ﾘｽﾄ(4～3月)'!P$26:P$1001)</f>
        <v>5200154996</v>
      </c>
      <c r="N32" s="158">
        <f>SUMIF('内訳ﾘｽﾄ(4～3月)'!$D$26:$D$1001,$B32,'内訳ﾘｽﾄ(4～3月)'!Q$26:Q$1001)</f>
        <v>5972207215</v>
      </c>
      <c r="O32" s="158">
        <f>SUMIF('内訳ﾘｽﾄ(4～3月)'!$D$26:$D$800,'採算表(VND)'!$B32,'内訳ﾘｽﾄ(4～3月)'!R$26:R$800)</f>
        <v>70508408251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0</v>
      </c>
      <c r="D36" s="158">
        <f>SUMIF('内訳ﾘｽﾄ(4～3月)'!$D$26:$D$1001,$B36,'内訳ﾘｽﾄ(4～3月)'!G$26:G$1001)</f>
        <v>0</v>
      </c>
      <c r="E36" s="158">
        <f>SUMIF('内訳ﾘｽﾄ(4～3月)'!$D$26:$D$1001,$B36,'内訳ﾘｽﾄ(4～3月)'!H$26:H$1001)</f>
        <v>0</v>
      </c>
      <c r="F36" s="158">
        <f>SUMIF('内訳ﾘｽﾄ(4～3月)'!$D$26:$D$1001,$B36,'内訳ﾘｽﾄ(4～3月)'!I$26:I$1001)</f>
        <v>0</v>
      </c>
      <c r="G36" s="158">
        <f>SUMIF('内訳ﾘｽﾄ(4～3月)'!$D$26:$D$1001,$B36,'内訳ﾘｽﾄ(4～3月)'!J$26:J$1001)</f>
        <v>0</v>
      </c>
      <c r="H36" s="158">
        <f>SUMIF('内訳ﾘｽﾄ(4～3月)'!$D$26:$D$1001,$B36,'内訳ﾘｽﾄ(4～3月)'!K$26:K$1001)</f>
        <v>0</v>
      </c>
      <c r="I36" s="158">
        <f>SUMIF('内訳ﾘｽﾄ(4～3月)'!$D$26:$D$1001,$B36,'内訳ﾘｽﾄ(4～3月)'!L$26:L$1001)</f>
        <v>0</v>
      </c>
      <c r="J36" s="158">
        <f>SUMIF('内訳ﾘｽﾄ(4～3月)'!$D$26:$D$1001,$B36,'内訳ﾘｽﾄ(4～3月)'!M$26:M$1001)</f>
        <v>0</v>
      </c>
      <c r="K36" s="158">
        <f>SUMIF('内訳ﾘｽﾄ(4～3月)'!$D$26:$D$1001,$B36,'内訳ﾘｽﾄ(4～3月)'!N$26:N$1001)</f>
        <v>0</v>
      </c>
      <c r="L36" s="158">
        <f>SUMIF('内訳ﾘｽﾄ(4～3月)'!$D$26:$D$1001,$B36,'内訳ﾘｽﾄ(4～3月)'!O$26:O$1001)</f>
        <v>0</v>
      </c>
      <c r="M36" s="158">
        <f>SUMIF('内訳ﾘｽﾄ(4～3月)'!$D$26:$D$1001,$B36,'内訳ﾘｽﾄ(4～3月)'!P$26:P$1001)</f>
        <v>0</v>
      </c>
      <c r="N36" s="158">
        <f>SUMIF('内訳ﾘｽﾄ(4～3月)'!$D$26:$D$1001,$B36,'内訳ﾘｽﾄ(4～3月)'!Q$26:Q$1001)</f>
        <v>0</v>
      </c>
      <c r="O36" s="158">
        <f>SUMIF('内訳ﾘｽﾄ(4～3月)'!$D$26:$D$800,'採算表(VND)'!$B36,'内訳ﾘｽﾄ(4～3月)'!R$26:R$800)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1000000</v>
      </c>
      <c r="D38" s="158">
        <f>SUMIF('内訳ﾘｽﾄ(4～3月)'!$D$26:$D$1001,$B38,'内訳ﾘｽﾄ(4～3月)'!G$26:G$1001)</f>
        <v>1000000</v>
      </c>
      <c r="E38" s="158">
        <f>SUMIF('内訳ﾘｽﾄ(4～3月)'!$D$26:$D$1001,$B38,'内訳ﾘｽﾄ(4～3月)'!H$26:H$1001)</f>
        <v>1000000</v>
      </c>
      <c r="F38" s="158">
        <f>SUMIF('内訳ﾘｽﾄ(4～3月)'!$D$26:$D$1001,$B38,'内訳ﾘｽﾄ(4～3月)'!I$26:I$1001)</f>
        <v>1000000</v>
      </c>
      <c r="G38" s="158">
        <f>SUMIF('内訳ﾘｽﾄ(4～3月)'!$D$26:$D$1001,$B38,'内訳ﾘｽﾄ(4～3月)'!J$26:J$1001)</f>
        <v>1000000</v>
      </c>
      <c r="H38" s="158">
        <f>SUMIF('内訳ﾘｽﾄ(4～3月)'!$D$26:$D$1001,$B38,'内訳ﾘｽﾄ(4～3月)'!K$26:K$1001)</f>
        <v>1000000</v>
      </c>
      <c r="I38" s="158">
        <f>SUMIF('内訳ﾘｽﾄ(4～3月)'!$D$26:$D$1001,$B38,'内訳ﾘｽﾄ(4～3月)'!L$26:L$1001)</f>
        <v>1000000</v>
      </c>
      <c r="J38" s="158">
        <f>SUMIF('内訳ﾘｽﾄ(4～3月)'!$D$26:$D$1001,$B38,'内訳ﾘｽﾄ(4～3月)'!M$26:M$1001)</f>
        <v>1000000</v>
      </c>
      <c r="K38" s="158">
        <f>SUMIF('内訳ﾘｽﾄ(4～3月)'!$D$26:$D$1001,$B38,'内訳ﾘｽﾄ(4～3月)'!N$26:N$1001)</f>
        <v>1000000</v>
      </c>
      <c r="L38" s="158">
        <f>SUMIF('内訳ﾘｽﾄ(4～3月)'!$D$26:$D$1001,$B38,'内訳ﾘｽﾄ(4～3月)'!O$26:O$1001)</f>
        <v>1000000</v>
      </c>
      <c r="M38" s="158">
        <f>SUMIF('内訳ﾘｽﾄ(4～3月)'!$D$26:$D$1001,$B38,'内訳ﾘｽﾄ(4～3月)'!P$26:P$1001)</f>
        <v>1000000</v>
      </c>
      <c r="N38" s="158">
        <f>SUMIF('内訳ﾘｽﾄ(4～3月)'!$D$26:$D$1001,$B38,'内訳ﾘｽﾄ(4～3月)'!Q$26:Q$1001)</f>
        <v>1000000</v>
      </c>
      <c r="O38" s="158">
        <f>SUMIF('内訳ﾘｽﾄ(4～3月)'!$D$26:$D$800,'採算表(VND)'!$B38,'内訳ﾘｽﾄ(4～3月)'!R$26:R$800)</f>
        <v>12000000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67152935</v>
      </c>
      <c r="D39" s="158">
        <f>SUMIF('内訳ﾘｽﾄ(4～3月)'!$D$26:$D$1001,$B39,'内訳ﾘｽﾄ(4～3月)'!G$26:G$1001)</f>
        <v>67390510</v>
      </c>
      <c r="E39" s="158">
        <f>SUMIF('内訳ﾘｽﾄ(4～3月)'!$D$26:$D$1001,$B39,'内訳ﾘｽﾄ(4～3月)'!H$26:H$1001)</f>
        <v>67915281</v>
      </c>
      <c r="F39" s="158">
        <f>SUMIF('内訳ﾘｽﾄ(4～3月)'!$D$26:$D$1001,$B39,'内訳ﾘｽﾄ(4～3月)'!I$26:I$1001)</f>
        <v>57559716</v>
      </c>
      <c r="G39" s="158">
        <f>SUMIF('内訳ﾘｽﾄ(4～3月)'!$D$26:$D$1001,$B39,'内訳ﾘｽﾄ(4～3月)'!J$26:J$1001)</f>
        <v>62287664</v>
      </c>
      <c r="H39" s="158">
        <f>SUMIF('内訳ﾘｽﾄ(4～3月)'!$D$26:$D$1001,$B39,'内訳ﾘｽﾄ(4～3月)'!K$26:K$1001)</f>
        <v>61929320</v>
      </c>
      <c r="I39" s="158">
        <f>SUMIF('内訳ﾘｽﾄ(4～3月)'!$D$26:$D$1001,$B39,'内訳ﾘｽﾄ(4～3月)'!L$26:L$1001)</f>
        <v>60021120</v>
      </c>
      <c r="J39" s="158">
        <f>SUMIF('内訳ﾘｽﾄ(4～3月)'!$D$26:$D$1001,$B39,'内訳ﾘｽﾄ(4～3月)'!M$26:M$1001)</f>
        <v>59198508</v>
      </c>
      <c r="K39" s="158">
        <f>SUMIF('内訳ﾘｽﾄ(4～3月)'!$D$26:$D$1001,$B39,'内訳ﾘｽﾄ(4～3月)'!N$26:N$1001)</f>
        <v>59399366</v>
      </c>
      <c r="L39" s="158">
        <f>SUMIF('内訳ﾘｽﾄ(4～3月)'!$D$26:$D$1001,$B39,'内訳ﾘｽﾄ(4～3月)'!O$26:O$1001)</f>
        <v>56758168</v>
      </c>
      <c r="M39" s="158">
        <f>SUMIF('内訳ﾘｽﾄ(4～3月)'!$D$26:$D$1001,$B39,'内訳ﾘｽﾄ(4～3月)'!P$26:P$1001)</f>
        <v>55819028</v>
      </c>
      <c r="N39" s="158">
        <f>SUMIF('内訳ﾘｽﾄ(4～3月)'!$D$26:$D$1001,$B39,'内訳ﾘｽﾄ(4～3月)'!Q$26:Q$1001)</f>
        <v>61432180</v>
      </c>
      <c r="O39" s="158">
        <f>SUMIF('内訳ﾘｽﾄ(4～3月)'!$D$26:$D$800,'採算表(VND)'!$B39,'内訳ﾘｽﾄ(4～3月)'!R$26:R$800)</f>
        <v>736863796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10056000</v>
      </c>
      <c r="D41" s="158">
        <f>SUMIF('内訳ﾘｽﾄ(4～3月)'!$D$26:$D$1001,$B41,'内訳ﾘｽﾄ(4～3月)'!G$26:G$1001)</f>
        <v>10056000</v>
      </c>
      <c r="E41" s="158">
        <f>SUMIF('内訳ﾘｽﾄ(4～3月)'!$D$26:$D$1001,$B41,'内訳ﾘｽﾄ(4～3月)'!H$26:H$1001)</f>
        <v>10056000</v>
      </c>
      <c r="F41" s="158">
        <f>SUMIF('内訳ﾘｽﾄ(4～3月)'!$D$26:$D$1001,$B41,'内訳ﾘｽﾄ(4～3月)'!I$26:I$1001)</f>
        <v>10056000</v>
      </c>
      <c r="G41" s="158">
        <f>SUMIF('内訳ﾘｽﾄ(4～3月)'!$D$26:$D$1001,$B41,'内訳ﾘｽﾄ(4～3月)'!J$26:J$1001)</f>
        <v>10056000</v>
      </c>
      <c r="H41" s="158">
        <f>SUMIF('内訳ﾘｽﾄ(4～3月)'!$D$26:$D$1001,$B41,'内訳ﾘｽﾄ(4～3月)'!K$26:K$1001)</f>
        <v>10056000</v>
      </c>
      <c r="I41" s="158">
        <f>SUMIF('内訳ﾘｽﾄ(4～3月)'!$D$26:$D$1001,$B41,'内訳ﾘｽﾄ(4～3月)'!L$26:L$1001)</f>
        <v>10056000</v>
      </c>
      <c r="J41" s="158">
        <f>SUMIF('内訳ﾘｽﾄ(4～3月)'!$D$26:$D$1001,$B41,'内訳ﾘｽﾄ(4～3月)'!M$26:M$1001)</f>
        <v>10056000</v>
      </c>
      <c r="K41" s="158">
        <f>SUMIF('内訳ﾘｽﾄ(4～3月)'!$D$26:$D$1001,$B41,'内訳ﾘｽﾄ(4～3月)'!N$26:N$1001)</f>
        <v>10056000</v>
      </c>
      <c r="L41" s="158">
        <f>SUMIF('内訳ﾘｽﾄ(4～3月)'!$D$26:$D$1001,$B41,'内訳ﾘｽﾄ(4～3月)'!O$26:O$1001)</f>
        <v>10056000</v>
      </c>
      <c r="M41" s="158">
        <f>SUMIF('内訳ﾘｽﾄ(4～3月)'!$D$26:$D$1001,$B41,'内訳ﾘｽﾄ(4～3月)'!P$26:P$1001)</f>
        <v>10056000</v>
      </c>
      <c r="N41" s="158">
        <f>SUMIF('内訳ﾘｽﾄ(4～3月)'!$D$26:$D$1001,$B41,'内訳ﾘｽﾄ(4～3月)'!Q$26:Q$1001)</f>
        <v>10056000</v>
      </c>
      <c r="O41" s="158">
        <f>SUMIF('内訳ﾘｽﾄ(4～3月)'!$D$26:$D$800,'採算表(VND)'!$B41,'内訳ﾘｽﾄ(4～3月)'!R$26:R$800)</f>
        <v>120672000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SUMIF('内訳ﾘｽﾄ(4～3月)'!$D$26:$D$1001,$B42,'内訳ﾘｽﾄ(4～3月)'!F$26:F$1001)</f>
        <v>273651240</v>
      </c>
      <c r="D42" s="158">
        <f>SUMIF('内訳ﾘｽﾄ(4～3月)'!$D$26:$D$1001,$B42,'内訳ﾘｽﾄ(4～3月)'!G$26:G$1001)</f>
        <v>272040647</v>
      </c>
      <c r="E42" s="158">
        <f>SUMIF('内訳ﾘｽﾄ(4～3月)'!$D$26:$D$1001,$B42,'内訳ﾘｽﾄ(4～3月)'!H$26:H$1001)</f>
        <v>272040647</v>
      </c>
      <c r="F42" s="158">
        <f>SUMIF('内訳ﾘｽﾄ(4～3月)'!$D$26:$D$1001,$B42,'内訳ﾘｽﾄ(4～3月)'!I$26:I$1001)</f>
        <v>272040647</v>
      </c>
      <c r="G42" s="158">
        <f>SUMIF('内訳ﾘｽﾄ(4～3月)'!$D$26:$D$1001,$B42,'内訳ﾘｽﾄ(4～3月)'!J$26:J$1001)</f>
        <v>272040647</v>
      </c>
      <c r="H42" s="158">
        <f>SUMIF('内訳ﾘｽﾄ(4～3月)'!$D$26:$D$1001,$B42,'内訳ﾘｽﾄ(4～3月)'!K$26:K$1001)</f>
        <v>275131847</v>
      </c>
      <c r="I42" s="158">
        <f>SUMIF('内訳ﾘｽﾄ(4～3月)'!$D$26:$D$1001,$B42,'内訳ﾘｽﾄ(4～3月)'!L$26:L$1001)</f>
        <v>273682847</v>
      </c>
      <c r="J42" s="158">
        <f>SUMIF('内訳ﾘｽﾄ(4～3月)'!$D$26:$D$1001,$B42,'内訳ﾘｽﾄ(4～3月)'!M$26:M$1001)</f>
        <v>283206647</v>
      </c>
      <c r="K42" s="158">
        <f>SUMIF('内訳ﾘｽﾄ(4～3月)'!$D$26:$D$1001,$B42,'内訳ﾘｽﾄ(4～3月)'!N$26:N$1001)</f>
        <v>272040647</v>
      </c>
      <c r="L42" s="158">
        <f>SUMIF('内訳ﾘｽﾄ(4～3月)'!$D$26:$D$1001,$B42,'内訳ﾘｽﾄ(4～3月)'!O$26:O$1001)</f>
        <v>278126447</v>
      </c>
      <c r="M42" s="158">
        <f>SUMIF('内訳ﾘｽﾄ(4～3月)'!$D$26:$D$1001,$B42,'内訳ﾘｽﾄ(4～3月)'!P$26:P$1001)</f>
        <v>281024447</v>
      </c>
      <c r="N42" s="158">
        <f>SUMIF('内訳ﾘｽﾄ(4～3月)'!$D$26:$D$1001,$B42,'内訳ﾘｽﾄ(4～3月)'!Q$26:Q$1001)</f>
        <v>272040647</v>
      </c>
      <c r="O42" s="158">
        <f>SUMIF('内訳ﾘｽﾄ(4～3月)'!$D$26:$D$800,'採算表(VND)'!$B42,'内訳ﾘｽﾄ(4～3月)'!R$26:R$800)</f>
        <v>3297067357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1072670244</v>
      </c>
      <c r="D44" s="158">
        <f>SUMIF('内訳ﾘｽﾄ(4～3月)'!$D$26:$D$1001,$B44,'内訳ﾘｽﾄ(4～3月)'!G$26:G$1001)</f>
        <v>1894925406</v>
      </c>
      <c r="E44" s="158">
        <f>SUMIF('内訳ﾘｽﾄ(4～3月)'!$D$26:$D$1001,$B44,'内訳ﾘｽﾄ(4～3月)'!H$26:H$1001)</f>
        <v>589611446</v>
      </c>
      <c r="F44" s="158">
        <f>SUMIF('内訳ﾘｽﾄ(4～3月)'!$D$26:$D$1001,$B44,'内訳ﾘｽﾄ(4～3月)'!I$26:I$1001)</f>
        <v>386209674</v>
      </c>
      <c r="G44" s="158">
        <f>SUMIF('内訳ﾘｽﾄ(4～3月)'!$D$26:$D$1001,$B44,'内訳ﾘｽﾄ(4～3月)'!J$26:J$1001)</f>
        <v>378715532</v>
      </c>
      <c r="H44" s="158">
        <f>SUMIF('内訳ﾘｽﾄ(4～3月)'!$D$26:$D$1001,$B44,'内訳ﾘｽﾄ(4～3月)'!K$26:K$1001)</f>
        <v>602620174</v>
      </c>
      <c r="I44" s="158">
        <f>SUMIF('内訳ﾘｽﾄ(4～3月)'!$D$26:$D$1001,$B44,'内訳ﾘｽﾄ(4～3月)'!L$26:L$1001)</f>
        <v>344299130</v>
      </c>
      <c r="J44" s="158">
        <f>SUMIF('内訳ﾘｽﾄ(4～3月)'!$D$26:$D$1001,$B44,'内訳ﾘｽﾄ(4～3月)'!M$26:M$1001)</f>
        <v>579758966</v>
      </c>
      <c r="K44" s="158">
        <f>SUMIF('内訳ﾘｽﾄ(4～3月)'!$D$26:$D$1001,$B44,'内訳ﾘｽﾄ(4～3月)'!N$26:N$1001)</f>
        <v>611247216</v>
      </c>
      <c r="L44" s="158">
        <f>SUMIF('内訳ﾘｽﾄ(4～3月)'!$D$26:$D$1001,$B44,'内訳ﾘｽﾄ(4～3月)'!O$26:O$1001)</f>
        <v>370348550</v>
      </c>
      <c r="M44" s="158">
        <f>SUMIF('内訳ﾘｽﾄ(4～3月)'!$D$26:$D$1001,$B44,'内訳ﾘｽﾄ(4～3月)'!P$26:P$1001)</f>
        <v>570604482</v>
      </c>
      <c r="N44" s="158">
        <f>SUMIF('内訳ﾘｽﾄ(4～3月)'!$D$26:$D$1001,$B44,'内訳ﾘｽﾄ(4～3月)'!Q$26:Q$1001)</f>
        <v>698013144</v>
      </c>
      <c r="O44" s="158">
        <f>SUMIF('内訳ﾘｽﾄ(4～3月)'!$D$26:$D$800,'採算表(VND)'!$B44,'内訳ﾘｽﾄ(4～3月)'!R$26:R$800)</f>
        <v>8099023964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SUMIF('内訳ﾘｽﾄ(4～3月)'!$D$26:$D$1001,$B45,'内訳ﾘｽﾄ(4～3月)'!F$26:F$1001)</f>
        <v>0</v>
      </c>
      <c r="D45" s="158">
        <f>SUMIF('内訳ﾘｽﾄ(4～3月)'!$D$26:$D$1001,$B45,'内訳ﾘｽﾄ(4～3月)'!G$26:G$1001)</f>
        <v>0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0</v>
      </c>
      <c r="H45" s="158">
        <f>SUMIF('内訳ﾘｽﾄ(4～3月)'!$D$26:$D$1001,$B45,'内訳ﾘｽﾄ(4～3月)'!K$26:K$1001)</f>
        <v>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0</v>
      </c>
      <c r="K45" s="158">
        <f>SUMIF('内訳ﾘｽﾄ(4～3月)'!$D$26:$D$1001,$B45,'内訳ﾘｽﾄ(4～3月)'!N$26:N$1001)</f>
        <v>0</v>
      </c>
      <c r="L45" s="158">
        <f>SUMIF('内訳ﾘｽﾄ(4～3月)'!$D$26:$D$1001,$B45,'内訳ﾘｽﾄ(4～3月)'!O$26:O$1001)</f>
        <v>0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10156000</v>
      </c>
      <c r="D50" s="158">
        <f>SUMIF('内訳ﾘｽﾄ(4～3月)'!$D$26:$D$1001,$B50,'内訳ﾘｽﾄ(4～3月)'!G$26:G$1001)</f>
        <v>10156000</v>
      </c>
      <c r="E50" s="158">
        <f>SUMIF('内訳ﾘｽﾄ(4～3月)'!$D$26:$D$1001,$B50,'内訳ﾘｽﾄ(4～3月)'!H$26:H$1001)</f>
        <v>10156000</v>
      </c>
      <c r="F50" s="158">
        <f>SUMIF('内訳ﾘｽﾄ(4～3月)'!$D$26:$D$1001,$B50,'内訳ﾘｽﾄ(4～3月)'!I$26:I$1001)</f>
        <v>10156000</v>
      </c>
      <c r="G50" s="158">
        <f>SUMIF('内訳ﾘｽﾄ(4～3月)'!$D$26:$D$1001,$B50,'内訳ﾘｽﾄ(4～3月)'!J$26:J$1001)</f>
        <v>183787292</v>
      </c>
      <c r="H50" s="158">
        <f>SUMIF('内訳ﾘｽﾄ(4～3月)'!$D$26:$D$1001,$B50,'内訳ﾘｽﾄ(4～3月)'!K$26:K$1001)</f>
        <v>7617000</v>
      </c>
      <c r="I50" s="158">
        <f>SUMIF('内訳ﾘｽﾄ(4～3月)'!$D$26:$D$1001,$B50,'内訳ﾘｽﾄ(4～3月)'!L$26:L$1001)</f>
        <v>10156000</v>
      </c>
      <c r="J50" s="158">
        <f>SUMIF('内訳ﾘｽﾄ(4～3月)'!$D$26:$D$1001,$B50,'内訳ﾘｽﾄ(4～3月)'!M$26:M$1001)</f>
        <v>10156000</v>
      </c>
      <c r="K50" s="158">
        <f>SUMIF('内訳ﾘｽﾄ(4～3月)'!$D$26:$D$1001,$B50,'内訳ﾘｽﾄ(4～3月)'!N$26:N$1001)</f>
        <v>10156000</v>
      </c>
      <c r="L50" s="158">
        <f>SUMIF('内訳ﾘｽﾄ(4～3月)'!$D$26:$D$1001,$B50,'内訳ﾘｽﾄ(4～3月)'!O$26:O$1001)</f>
        <v>10156000</v>
      </c>
      <c r="M50" s="158">
        <f>SUMIF('内訳ﾘｽﾄ(4～3月)'!$D$26:$D$1001,$B50,'内訳ﾘｽﾄ(4～3月)'!P$26:P$1001)</f>
        <v>38085000</v>
      </c>
      <c r="N50" s="158">
        <f>SUMIF('内訳ﾘｽﾄ(4～3月)'!$D$26:$D$1001,$B50,'内訳ﾘｽﾄ(4～3月)'!Q$26:Q$1001)</f>
        <v>153319292</v>
      </c>
      <c r="O50" s="158">
        <f>SUMIF('内訳ﾘｽﾄ(4～3月)'!$D$26:$D$800,'採算表(VND)'!$B50,'内訳ﾘｽﾄ(4～3月)'!R$26:R$800)</f>
        <v>464056584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SUMIF('内訳ﾘｽﾄ(4～3月)'!$D$26:$D$1001,$B51,'内訳ﾘｽﾄ(4～3月)'!F$26:F$1001)</f>
        <v>211954976</v>
      </c>
      <c r="D51" s="159">
        <f>SUMIF('内訳ﾘｽﾄ(4～3月)'!$D$26:$D$1001,$B51,'内訳ﾘｽﾄ(4～3月)'!G$26:G$1001)</f>
        <v>211954976</v>
      </c>
      <c r="E51" s="159">
        <f>SUMIF('内訳ﾘｽﾄ(4～3月)'!$D$26:$D$1001,$B51,'内訳ﾘｽﾄ(4～3月)'!H$26:H$1001)</f>
        <v>211954976</v>
      </c>
      <c r="F51" s="159">
        <f>SUMIF('内訳ﾘｽﾄ(4～3月)'!$D$26:$D$1001,$B51,'内訳ﾘｽﾄ(4～3月)'!I$26:I$1001)</f>
        <v>211954976</v>
      </c>
      <c r="G51" s="159">
        <f>SUMIF('内訳ﾘｽﾄ(4～3月)'!$D$26:$D$1001,$B51,'内訳ﾘｽﾄ(4～3月)'!J$26:J$1001)</f>
        <v>415743474</v>
      </c>
      <c r="H51" s="159">
        <f>SUMIF('内訳ﾘｽﾄ(4～3月)'!$D$26:$D$1001,$B51,'内訳ﾘｽﾄ(4～3月)'!K$26:K$1001)</f>
        <v>261578068</v>
      </c>
      <c r="I51" s="159">
        <f>SUMIF('内訳ﾘｽﾄ(4～3月)'!$D$26:$D$1001,$B51,'内訳ﾘｽﾄ(4～3月)'!L$26:L$1001)</f>
        <v>211954976</v>
      </c>
      <c r="J51" s="159">
        <f>SUMIF('内訳ﾘｽﾄ(4～3月)'!$D$26:$D$1001,$B51,'内訳ﾘｽﾄ(4～3月)'!M$26:M$1001)</f>
        <v>211954976</v>
      </c>
      <c r="K51" s="159">
        <f>SUMIF('内訳ﾘｽﾄ(4～3月)'!$D$26:$D$1001,$B51,'内訳ﾘｽﾄ(4～3月)'!N$26:N$1001)</f>
        <v>211954976</v>
      </c>
      <c r="L51" s="159">
        <f>SUMIF('内訳ﾘｽﾄ(4～3月)'!$D$26:$D$1001,$B51,'内訳ﾘｽﾄ(4～3月)'!O$26:O$1001)</f>
        <v>261578068</v>
      </c>
      <c r="M51" s="159">
        <f>SUMIF('内訳ﾘｽﾄ(4～3月)'!$D$26:$D$1001,$B51,'内訳ﾘｽﾄ(4～3月)'!P$26:P$1001)</f>
        <v>186564976</v>
      </c>
      <c r="N51" s="159">
        <f>SUMIF('内訳ﾘｽﾄ(4～3月)'!$D$26:$D$1001,$B51,'内訳ﾘｽﾄ(4～3月)'!Q$26:Q$1001)</f>
        <v>211954976</v>
      </c>
      <c r="O51" s="159">
        <f>SUMIF('内訳ﾘｽﾄ(4～3月)'!$D$26:$D$800,'採算表(VND)'!$B51,'内訳ﾘｽﾄ(4～3月)'!R$26:R$800)</f>
        <v>2821104394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SUMIF('内訳ﾘｽﾄ(4～3月)'!$D$26:$D$1001,$B57,'内訳ﾘｽﾄ(4～3月)'!F$26:F$1001)</f>
        <v>1189052541</v>
      </c>
      <c r="D57" s="160">
        <f>SUMIF('内訳ﾘｽﾄ(4～3月)'!$D$26:$D$1001,$B57,'内訳ﾘｽﾄ(4～3月)'!G$26:G$1001)</f>
        <v>1044365087</v>
      </c>
      <c r="E57" s="160">
        <f>SUMIF('内訳ﾘｽﾄ(4～3月)'!$D$26:$D$1001,$B57,'内訳ﾘｽﾄ(4～3月)'!H$26:H$1001)</f>
        <v>1043115137</v>
      </c>
      <c r="F57" s="160">
        <f>SUMIF('内訳ﾘｽﾄ(4～3月)'!$D$26:$D$1001,$B57,'内訳ﾘｽﾄ(4～3月)'!I$26:I$1001)</f>
        <v>1050992638</v>
      </c>
      <c r="G57" s="160">
        <f>SUMIF('内訳ﾘｽﾄ(4～3月)'!$D$26:$D$1001,$B57,'内訳ﾘｽﾄ(4～3月)'!J$26:J$1001)</f>
        <v>1154731709</v>
      </c>
      <c r="H57" s="160">
        <f>SUMIF('内訳ﾘｽﾄ(4～3月)'!$D$26:$D$1001,$B57,'内訳ﾘｽﾄ(4～3月)'!K$26:K$1001)</f>
        <v>1280195379</v>
      </c>
      <c r="I57" s="160">
        <f>SUMIF('内訳ﾘｽﾄ(4～3月)'!$D$26:$D$1001,$B57,'内訳ﾘｽﾄ(4～3月)'!L$26:L$1001)</f>
        <v>1368531150</v>
      </c>
      <c r="J57" s="160">
        <f>SUMIF('内訳ﾘｽﾄ(4～3月)'!$D$26:$D$1001,$B57,'内訳ﾘｽﾄ(4～3月)'!M$26:M$1001)</f>
        <v>1391367424</v>
      </c>
      <c r="K57" s="160">
        <f>SUMIF('内訳ﾘｽﾄ(4～3月)'!$D$26:$D$1001,$B57,'内訳ﾘｽﾄ(4～3月)'!N$26:N$1001)</f>
        <v>1418989308</v>
      </c>
      <c r="L57" s="160">
        <f>SUMIF('内訳ﾘｽﾄ(4～3月)'!$D$26:$D$1001,$B57,'内訳ﾘｽﾄ(4～3月)'!O$26:O$1001)</f>
        <v>1445723401</v>
      </c>
      <c r="M57" s="160">
        <f>SUMIF('内訳ﾘｽﾄ(4～3月)'!$D$26:$D$1001,$B57,'内訳ﾘｽﾄ(4～3月)'!P$26:P$1001)</f>
        <v>1471997686</v>
      </c>
      <c r="N57" s="160">
        <f>SUMIF('内訳ﾘｽﾄ(4～3月)'!$D$26:$D$1001,$B57,'内訳ﾘｽﾄ(4～3月)'!Q$26:Q$1001)</f>
        <v>1491650053</v>
      </c>
      <c r="O57" s="160">
        <f>SUMIF('内訳ﾘｽﾄ(4～3月)'!$D$26:$D$800,'採算表(VND)'!$B57,'内訳ﾘｽﾄ(4～3月)'!R$26:R$800)</f>
        <v>15350711513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SUMIF('内訳ﾘｽﾄ(4～3月)'!$D$26:$D$1001,$B58,'内訳ﾘｽﾄ(4～3月)'!F$26:F$1001)</f>
        <v>847526833</v>
      </c>
      <c r="D58" s="160">
        <f>SUMIF('内訳ﾘｽﾄ(4～3月)'!$D$26:$D$1001,$B58,'内訳ﾘｽﾄ(4～3月)'!G$26:G$1001)</f>
        <v>798775494</v>
      </c>
      <c r="E58" s="160">
        <f>SUMIF('内訳ﾘｽﾄ(4～3月)'!$D$26:$D$1001,$B58,'内訳ﾘｽﾄ(4～3月)'!H$26:H$1001)</f>
        <v>848676492</v>
      </c>
      <c r="F58" s="160">
        <f>SUMIF('内訳ﾘｽﾄ(4～3月)'!$D$26:$D$1001,$B58,'内訳ﾘｽﾄ(4～3月)'!I$26:I$1001)</f>
        <v>1073633162</v>
      </c>
      <c r="G58" s="160">
        <f>SUMIF('内訳ﾘｽﾄ(4～3月)'!$D$26:$D$1001,$B58,'内訳ﾘｽﾄ(4～3月)'!J$26:J$1001)</f>
        <v>981207468</v>
      </c>
      <c r="H58" s="160">
        <f>SUMIF('内訳ﾘｽﾄ(4～3月)'!$D$26:$D$1001,$B58,'内訳ﾘｽﾄ(4～3月)'!K$26:K$1001)</f>
        <v>919403638</v>
      </c>
      <c r="I58" s="160">
        <f>SUMIF('内訳ﾘｽﾄ(4～3月)'!$D$26:$D$1001,$B58,'内訳ﾘｽﾄ(4～3月)'!L$26:L$1001)</f>
        <v>1114008594</v>
      </c>
      <c r="J58" s="160">
        <f>SUMIF('内訳ﾘｽﾄ(4～3月)'!$D$26:$D$1001,$B58,'内訳ﾘｽﾄ(4～3月)'!M$26:M$1001)</f>
        <v>1037529851</v>
      </c>
      <c r="K58" s="160">
        <f>SUMIF('内訳ﾘｽﾄ(4～3月)'!$D$26:$D$1001,$B58,'内訳ﾘｽﾄ(4～3月)'!N$26:N$1001)</f>
        <v>1121304410</v>
      </c>
      <c r="L58" s="160">
        <f>SUMIF('内訳ﾘｽﾄ(4～3月)'!$D$26:$D$1001,$B58,'内訳ﾘｽﾄ(4～3月)'!O$26:O$1001)</f>
        <v>1100151747</v>
      </c>
      <c r="M58" s="160">
        <f>SUMIF('内訳ﾘｽﾄ(4～3月)'!$D$26:$D$1001,$B58,'内訳ﾘｽﾄ(4～3月)'!P$26:P$1001)</f>
        <v>908953368</v>
      </c>
      <c r="N58" s="160">
        <f>SUMIF('内訳ﾘｽﾄ(4～3月)'!$D$26:$D$1001,$B58,'内訳ﾘｽﾄ(4～3月)'!Q$26:Q$1001)</f>
        <v>1048019984</v>
      </c>
      <c r="O58" s="160">
        <f>SUMIF('内訳ﾘｽﾄ(4～3月)'!$D$26:$D$800,'採算表(VND)'!$B58,'内訳ﾘｽﾄ(4～3月)'!R$26:R$800)</f>
        <v>11799191041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IF('内訳ﾘｽﾄ(4～3月)'!$D$5="製造",SUMIF('内訳ﾘｽﾄ(4～3月)'!$D$26:$D$1001,$B61,'内訳ﾘｽﾄ(4～3月)'!F$26:F$1001),IF('内訳ﾘｽﾄ(4～3月)'!$D$5="部内間接",-SUM(C$14:C$60,C$65),0))</f>
        <v>4484539383</v>
      </c>
      <c r="D61" s="160">
        <f>IF('内訳ﾘｽﾄ(4～3月)'!$D$5="製造",SUMIF('内訳ﾘｽﾄ(4～3月)'!$D$26:$D$1001,$B61,'内訳ﾘｽﾄ(4～3月)'!G$26:G$1001),IF('内訳ﾘｽﾄ(4～3月)'!$D$5="部内間接",-SUM(D$14:D$60,D$65),0))</f>
        <v>4234400121</v>
      </c>
      <c r="E61" s="160">
        <f>IF('内訳ﾘｽﾄ(4～3月)'!$D$5="製造",SUMIF('内訳ﾘｽﾄ(4～3月)'!$D$26:$D$1001,$B61,'内訳ﾘｽﾄ(4～3月)'!H$26:H$1001),IF('内訳ﾘｽﾄ(4～3月)'!$D$5="部内間接",-SUM(E$14:E$60,E$65),0))</f>
        <v>3825248203</v>
      </c>
      <c r="F61" s="160">
        <f>IF('内訳ﾘｽﾄ(4～3月)'!$D$5="製造",SUMIF('内訳ﾘｽﾄ(4～3月)'!$D$26:$D$1001,$B61,'内訳ﾘｽﾄ(4～3月)'!I$26:I$1001),IF('内訳ﾘｽﾄ(4～3月)'!$D$5="部内間接",-SUM(F$14:F$60,F$65),0))</f>
        <v>4504618067</v>
      </c>
      <c r="G61" s="160">
        <f>IF('内訳ﾘｽﾄ(4～3月)'!$D$5="製造",SUMIF('内訳ﾘｽﾄ(4～3月)'!$D$26:$D$1001,$B61,'内訳ﾘｽﾄ(4～3月)'!J$26:J$1001),IF('内訳ﾘｽﾄ(4～3月)'!$D$5="部内間接",-SUM(G$14:G$60,G$65),0))</f>
        <v>4540122625</v>
      </c>
      <c r="H61" s="160">
        <f>IF('内訳ﾘｽﾄ(4～3月)'!$D$5="製造",SUMIF('内訳ﾘｽﾄ(4～3月)'!$D$26:$D$1001,$B61,'内訳ﾘｽﾄ(4～3月)'!K$26:K$1001),IF('内訳ﾘｽﾄ(4～3月)'!$D$5="部内間接",-SUM(H$14:H$60,H$65),0))</f>
        <v>4477131833</v>
      </c>
      <c r="I61" s="160">
        <f>IF('内訳ﾘｽﾄ(4～3月)'!$D$5="製造",SUMIF('内訳ﾘｽﾄ(4～3月)'!$D$26:$D$1001,$B61,'内訳ﾘｽﾄ(4～3月)'!L$26:L$1001),IF('内訳ﾘｽﾄ(4～3月)'!$D$5="部内間接",-SUM(I$14:I$60,I$65),0))</f>
        <v>4375203120</v>
      </c>
      <c r="J61" s="160">
        <f>IF('内訳ﾘｽﾄ(4～3月)'!$D$5="製造",SUMIF('内訳ﾘｽﾄ(4～3月)'!$D$26:$D$1001,$B61,'内訳ﾘｽﾄ(4～3月)'!M$26:M$1001),IF('内訳ﾘｽﾄ(4～3月)'!$D$5="部内間接",-SUM(J$14:J$60,J$65),0))</f>
        <v>4099216550</v>
      </c>
      <c r="K61" s="160">
        <f>IF('内訳ﾘｽﾄ(4～3月)'!$D$5="製造",SUMIF('内訳ﾘｽﾄ(4～3月)'!$D$26:$D$1001,$B61,'内訳ﾘｽﾄ(4～3月)'!N$26:N$1001),IF('内訳ﾘｽﾄ(4～3月)'!$D$5="部内間接",-SUM(K$14:K$60,K$65),0))</f>
        <v>4195411208</v>
      </c>
      <c r="L61" s="160">
        <f>IF('内訳ﾘｽﾄ(4～3月)'!$D$5="製造",SUMIF('内訳ﾘｽﾄ(4～3月)'!$D$26:$D$1001,$B61,'内訳ﾘｽﾄ(4～3月)'!O$26:O$1001),IF('内訳ﾘｽﾄ(4～3月)'!$D$5="部内間接",-SUM(L$14:L$60,L$65),0))</f>
        <v>3934824908</v>
      </c>
      <c r="M61" s="160">
        <f>IF('内訳ﾘｽﾄ(4～3月)'!$D$5="製造",SUMIF('内訳ﾘｽﾄ(4～3月)'!$D$26:$D$1001,$B61,'内訳ﾘｽﾄ(4～3月)'!P$26:P$1001),IF('内訳ﾘｽﾄ(4～3月)'!$D$5="部内間接",-SUM(M$14:M$60,M$65),0))</f>
        <v>4136550530</v>
      </c>
      <c r="N61" s="160">
        <f>IF('内訳ﾘｽﾄ(4～3月)'!$D$5="製造",SUMIF('内訳ﾘｽﾄ(4～3月)'!$D$26:$D$1001,$B61,'内訳ﾘｽﾄ(4～3月)'!Q$26:Q$1001),IF('内訳ﾘｽﾄ(4～3月)'!$D$5="部内間接",-SUM(N$14:N$60,N$65),0))</f>
        <v>3995835475</v>
      </c>
      <c r="O61" s="160">
        <f>IF('内訳ﾘｽﾄ(4～3月)'!$D$5="部内間接",-SUM(O$65,O$14:O$60),IF('内訳ﾘｽﾄ(4～3月)'!$D$5="製造",SUMIF('内訳ﾘｽﾄ(4～3月)'!$D$26:$D$800,'採算表(VND)'!$B61,'内訳ﾘｽﾄ(4～3月)'!R$26:R$800),0))</f>
        <v>50803102023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678</v>
      </c>
      <c r="C62" s="160">
        <f>IF('内訳ﾘｽﾄ(4～3月)'!$D$5="製造",SUMIF('内訳ﾘｽﾄ(4～3月)'!$D$26:$D$1001,$B62,'内訳ﾘｽﾄ(4～3月)'!F$26:F$1001),IF('内訳ﾘｽﾄ(4～3月)'!$D$5="部外間接1",-SUM(C$14:C$60,C$65),0))</f>
        <v>457115709</v>
      </c>
      <c r="D62" s="160">
        <f>IF('内訳ﾘｽﾄ(4～3月)'!$D$5="製造",SUMIF('内訳ﾘｽﾄ(4～3月)'!$D$26:$D$1001,$B62,'内訳ﾘｽﾄ(4～3月)'!G$26:G$1001),IF('内訳ﾘｽﾄ(4～3月)'!$D$5="部外間接1",-SUM(D$14:D$60,D$65),0))</f>
        <v>427796752</v>
      </c>
      <c r="E62" s="160">
        <f>IF('内訳ﾘｽﾄ(4～3月)'!$D$5="製造",SUMIF('内訳ﾘｽﾄ(4～3月)'!$D$26:$D$1001,$B62,'内訳ﾘｽﾄ(4～3月)'!H$26:H$1001),IF('内訳ﾘｽﾄ(4～3月)'!$D$5="部外間接1",-SUM(E$14:E$60,E$65),0))</f>
        <v>393536247</v>
      </c>
      <c r="F62" s="160">
        <f>IF('内訳ﾘｽﾄ(4～3月)'!$D$5="製造",SUMIF('内訳ﾘｽﾄ(4～3月)'!$D$26:$D$1001,$B62,'内訳ﾘｽﾄ(4～3月)'!I$26:I$1001),IF('内訳ﾘｽﾄ(4～3月)'!$D$5="部外間接1",-SUM(F$14:F$60,F$65),0))</f>
        <v>591990067</v>
      </c>
      <c r="G62" s="160">
        <f>IF('内訳ﾘｽﾄ(4～3月)'!$D$5="製造",SUMIF('内訳ﾘｽﾄ(4～3月)'!$D$26:$D$1001,$B62,'内訳ﾘｽﾄ(4～3月)'!J$26:J$1001),IF('内訳ﾘｽﾄ(4～3月)'!$D$5="部外間接1",-SUM(G$14:G$60,G$65),0))</f>
        <v>526404682</v>
      </c>
      <c r="H62" s="160">
        <f>IF('内訳ﾘｽﾄ(4～3月)'!$D$5="製造",SUMIF('内訳ﾘｽﾄ(4～3月)'!$D$26:$D$1001,$B62,'内訳ﾘｽﾄ(4～3月)'!K$26:K$1001),IF('内訳ﾘｽﾄ(4～3月)'!$D$5="部外間接1",-SUM(H$14:H$60,H$65),0))</f>
        <v>352039827</v>
      </c>
      <c r="I62" s="160">
        <f>IF('内訳ﾘｽﾄ(4～3月)'!$D$5="製造",SUMIF('内訳ﾘｽﾄ(4～3月)'!$D$26:$D$1001,$B62,'内訳ﾘｽﾄ(4～3月)'!L$26:L$1001),IF('内訳ﾘｽﾄ(4～3月)'!$D$5="部外間接1",-SUM(I$14:I$60,I$65),0))</f>
        <v>359863292</v>
      </c>
      <c r="J62" s="160">
        <f>IF('内訳ﾘｽﾄ(4～3月)'!$D$5="製造",SUMIF('内訳ﾘｽﾄ(4～3月)'!$D$26:$D$1001,$B62,'内訳ﾘｽﾄ(4～3月)'!M$26:M$1001),IF('内訳ﾘｽﾄ(4～3月)'!$D$5="部外間接1",-SUM(J$14:J$60,J$65),0))</f>
        <v>341668622</v>
      </c>
      <c r="K62" s="160">
        <f>IF('内訳ﾘｽﾄ(4～3月)'!$D$5="製造",SUMIF('内訳ﾘｽﾄ(4～3月)'!$D$26:$D$1001,$B62,'内訳ﾘｽﾄ(4～3月)'!N$26:N$1001),IF('内訳ﾘｽﾄ(4～3月)'!$D$5="部外間接1",-SUM(K$14:K$60,K$65),0))</f>
        <v>300590016</v>
      </c>
      <c r="L62" s="160">
        <f>IF('内訳ﾘｽﾄ(4～3月)'!$D$5="製造",SUMIF('内訳ﾘｽﾄ(4～3月)'!$D$26:$D$1001,$B62,'内訳ﾘｽﾄ(4～3月)'!O$26:O$1001),IF('内訳ﾘｽﾄ(4～3月)'!$D$5="部外間接1",-SUM(L$14:L$60,L$65),0))</f>
        <v>263631183</v>
      </c>
      <c r="M62" s="160">
        <f>IF('内訳ﾘｽﾄ(4～3月)'!$D$5="製造",SUMIF('内訳ﾘｽﾄ(4～3月)'!$D$26:$D$1001,$B62,'内訳ﾘｽﾄ(4～3月)'!P$26:P$1001),IF('内訳ﾘｽﾄ(4～3月)'!$D$5="部外間接1",-SUM(M$14:M$60,M$65),0))</f>
        <v>304384792</v>
      </c>
      <c r="N62" s="160">
        <f>IF('内訳ﾘｽﾄ(4～3月)'!$D$5="製造",SUMIF('内訳ﾘｽﾄ(4～3月)'!$D$26:$D$1001,$B62,'内訳ﾘｽﾄ(4～3月)'!Q$26:Q$1001),IF('内訳ﾘｽﾄ(4～3月)'!$D$5="部外間接1",-SUM(N$14:N$60,N$65),0))</f>
        <v>288047190</v>
      </c>
      <c r="O62" s="160">
        <f>IF('内訳ﾘｽﾄ(4～3月)'!$D$5="部外間接1",-SUM(O$65,O$14:O$60),IF('内訳ﾘｽﾄ(4～3月)'!$D$5="製造",SUMIF('内訳ﾘｽﾄ(4～3月)'!$D$26:$D$800,'採算表(VND)'!$B62,'内訳ﾘｽﾄ(4～3月)'!R$26:R$800),0))</f>
        <v>4607068379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679</v>
      </c>
      <c r="C63" s="160">
        <f>IF('内訳ﾘｽﾄ(4～3月)'!$D$5="製造",SUMIF('内訳ﾘｽﾄ(4～3月)'!$D$26:$D$1001,$B63,'内訳ﾘｽﾄ(4～3月)'!F$26:F$1001),IF('内訳ﾘｽﾄ(4～3月)'!$D$5="部外間接2",-SUM(C$14:C$60,C$65),0))</f>
        <v>580340625</v>
      </c>
      <c r="D63" s="160">
        <f>IF('内訳ﾘｽﾄ(4～3月)'!$D$5="製造",SUMIF('内訳ﾘｽﾄ(4～3月)'!$D$26:$D$1001,$B63,'内訳ﾘｽﾄ(4～3月)'!G$26:G$1001),IF('内訳ﾘｽﾄ(4～3月)'!$D$5="部外間接2",-SUM(D$14:D$60,D$65),0))</f>
        <v>360975478</v>
      </c>
      <c r="E63" s="160">
        <f>IF('内訳ﾘｽﾄ(4～3月)'!$D$5="製造",SUMIF('内訳ﾘｽﾄ(4～3月)'!$D$26:$D$1001,$B63,'内訳ﾘｽﾄ(4～3月)'!H$26:H$1001),IF('内訳ﾘｽﾄ(4～3月)'!$D$5="部外間接2",-SUM(E$14:E$60,E$65),0))</f>
        <v>320031341</v>
      </c>
      <c r="F63" s="160">
        <f>IF('内訳ﾘｽﾄ(4～3月)'!$D$5="製造",SUMIF('内訳ﾘｽﾄ(4～3月)'!$D$26:$D$1001,$B63,'内訳ﾘｽﾄ(4～3月)'!I$26:I$1001),IF('内訳ﾘｽﾄ(4～3月)'!$D$5="部外間接2",-SUM(F$14:F$60,F$65),0))</f>
        <v>364806668</v>
      </c>
      <c r="G63" s="160">
        <f>IF('内訳ﾘｽﾄ(4～3月)'!$D$5="製造",SUMIF('内訳ﾘｽﾄ(4～3月)'!$D$26:$D$1001,$B63,'内訳ﾘｽﾄ(4～3月)'!J$26:J$1001),IF('内訳ﾘｽﾄ(4～3月)'!$D$5="部外間接2",-SUM(G$14:G$60,G$65),0))</f>
        <v>377064541</v>
      </c>
      <c r="H63" s="160">
        <f>IF('内訳ﾘｽﾄ(4～3月)'!$D$5="製造",SUMIF('内訳ﾘｽﾄ(4～3月)'!$D$26:$D$1001,$B63,'内訳ﾘｽﾄ(4～3月)'!K$26:K$1001),IF('内訳ﾘｽﾄ(4～3月)'!$D$5="部外間接2",-SUM(H$14:H$60,H$65),0))</f>
        <v>290398362</v>
      </c>
      <c r="I63" s="160">
        <f>IF('内訳ﾘｽﾄ(4～3月)'!$D$5="製造",SUMIF('内訳ﾘｽﾄ(4～3月)'!$D$26:$D$1001,$B63,'内訳ﾘｽﾄ(4～3月)'!L$26:L$1001),IF('内訳ﾘｽﾄ(4～3月)'!$D$5="部外間接2",-SUM(I$14:I$60,I$65),0))</f>
        <v>890088409</v>
      </c>
      <c r="J63" s="160">
        <f>IF('内訳ﾘｽﾄ(4～3月)'!$D$5="製造",SUMIF('内訳ﾘｽﾄ(4～3月)'!$D$26:$D$1001,$B63,'内訳ﾘｽﾄ(4～3月)'!M$26:M$1001),IF('内訳ﾘｽﾄ(4～3月)'!$D$5="部外間接2",-SUM(J$14:J$60,J$65),0))</f>
        <v>335621262</v>
      </c>
      <c r="K63" s="160">
        <f>IF('内訳ﾘｽﾄ(4～3月)'!$D$5="製造",SUMIF('内訳ﾘｽﾄ(4～3月)'!$D$26:$D$1001,$B63,'内訳ﾘｽﾄ(4～3月)'!N$26:N$1001),IF('内訳ﾘｽﾄ(4～3月)'!$D$5="部外間接2",-SUM(K$14:K$60,K$65),0))</f>
        <v>373320503</v>
      </c>
      <c r="L63" s="160">
        <f>IF('内訳ﾘｽﾄ(4～3月)'!$D$5="製造",SUMIF('内訳ﾘｽﾄ(4～3月)'!$D$26:$D$1001,$B63,'内訳ﾘｽﾄ(4～3月)'!O$26:O$1001),IF('内訳ﾘｽﾄ(4～3月)'!$D$5="部外間接2",-SUM(L$14:L$60,L$65),0))</f>
        <v>257569558</v>
      </c>
      <c r="M63" s="160">
        <f>IF('内訳ﾘｽﾄ(4～3月)'!$D$5="製造",SUMIF('内訳ﾘｽﾄ(4～3月)'!$D$26:$D$1001,$B63,'内訳ﾘｽﾄ(4～3月)'!P$26:P$1001),IF('内訳ﾘｽﾄ(4～3月)'!$D$5="部外間接2",-SUM(M$14:M$60,M$65),0))</f>
        <v>326339655</v>
      </c>
      <c r="N63" s="160">
        <f>IF('内訳ﾘｽﾄ(4～3月)'!$D$5="製造",SUMIF('内訳ﾘｽﾄ(4～3月)'!$D$26:$D$1001,$B63,'内訳ﾘｽﾄ(4～3月)'!Q$26:Q$1001),IF('内訳ﾘｽﾄ(4～3月)'!$D$5="部外間接2",-SUM(N$14:N$60,N$65),0))</f>
        <v>236172393</v>
      </c>
      <c r="O63" s="160">
        <f>IF('内訳ﾘｽﾄ(4～3月)'!$D$5="部外間接2",-SUM(O$65,O$14:O$60),IF('内訳ﾘｽﾄ(4～3月)'!$D$5="製造",SUMIF('内訳ﾘｽﾄ(4～3月)'!$D$26:$D$800,'採算表(VND)'!$B63,'内訳ﾘｽﾄ(4～3月)'!R$26:R$800),0))</f>
        <v>4712728795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IF('内訳ﾘｽﾄ(4～3月)'!$D$5="製造",SUMIF('内訳ﾘｽﾄ(4～3月)'!$D$26:$D$1001,$B64,'内訳ﾘｽﾄ(4～3月)'!F$26:F$1001),IF('内訳ﾘｽﾄ(4～3月)'!$D$5="工場間接",-SUM(C$14:C$60,C$65),0))</f>
        <v>3392143082</v>
      </c>
      <c r="D64" s="160">
        <f>IF('内訳ﾘｽﾄ(4～3月)'!$D$5="製造",SUMIF('内訳ﾘｽﾄ(4～3月)'!$D$26:$D$1001,$B64,'内訳ﾘｽﾄ(4～3月)'!G$26:G$1001),IF('内訳ﾘｽﾄ(4～3月)'!$D$5="工場間接",-SUM(D$14:D$60,D$65),0))</f>
        <v>4333794674</v>
      </c>
      <c r="E64" s="160">
        <f>IF('内訳ﾘｽﾄ(4～3月)'!$D$5="製造",SUMIF('内訳ﾘｽﾄ(4～3月)'!$D$26:$D$1001,$B64,'内訳ﾘｽﾄ(4～3月)'!H$26:H$1001),IF('内訳ﾘｽﾄ(4～3月)'!$D$5="工場間接",-SUM(E$14:E$60,E$65),0))</f>
        <v>3208539814</v>
      </c>
      <c r="F64" s="160">
        <f>IF('内訳ﾘｽﾄ(4～3月)'!$D$5="製造",SUMIF('内訳ﾘｽﾄ(4～3月)'!$D$26:$D$1001,$B64,'内訳ﾘｽﾄ(4～3月)'!I$26:I$1001),IF('内訳ﾘｽﾄ(4～3月)'!$D$5="工場間接",-SUM(F$14:F$60,F$65),0))</f>
        <v>4897309755</v>
      </c>
      <c r="G64" s="160">
        <f>IF('内訳ﾘｽﾄ(4～3月)'!$D$5="製造",SUMIF('内訳ﾘｽﾄ(4～3月)'!$D$26:$D$1001,$B64,'内訳ﾘｽﾄ(4～3月)'!J$26:J$1001),IF('内訳ﾘｽﾄ(4～3月)'!$D$5="工場間接",-SUM(G$14:G$60,G$65),0))</f>
        <v>2728643331</v>
      </c>
      <c r="H64" s="160">
        <f>IF('内訳ﾘｽﾄ(4～3月)'!$D$5="製造",SUMIF('内訳ﾘｽﾄ(4～3月)'!$D$26:$D$1001,$B64,'内訳ﾘｽﾄ(4～3月)'!K$26:K$1001),IF('内訳ﾘｽﾄ(4～3月)'!$D$5="工場間接",-SUM(H$14:H$60,H$65),0))</f>
        <v>2667080847</v>
      </c>
      <c r="I64" s="160">
        <f>IF('内訳ﾘｽﾄ(4～3月)'!$D$5="製造",SUMIF('内訳ﾘｽﾄ(4～3月)'!$D$26:$D$1001,$B64,'内訳ﾘｽﾄ(4～3月)'!L$26:L$1001),IF('内訳ﾘｽﾄ(4～3月)'!$D$5="工場間接",-SUM(I$14:I$60,I$65),0))</f>
        <v>3183359766</v>
      </c>
      <c r="J64" s="160">
        <f>IF('内訳ﾘｽﾄ(4～3月)'!$D$5="製造",SUMIF('内訳ﾘｽﾄ(4～3月)'!$D$26:$D$1001,$B64,'内訳ﾘｽﾄ(4～3月)'!M$26:M$1001),IF('内訳ﾘｽﾄ(4～3月)'!$D$5="工場間接",-SUM(J$14:J$60,J$65),0))</f>
        <v>2681894655</v>
      </c>
      <c r="K64" s="160">
        <f>IF('内訳ﾘｽﾄ(4～3月)'!$D$5="製造",SUMIF('内訳ﾘｽﾄ(4～3月)'!$D$26:$D$1001,$B64,'内訳ﾘｽﾄ(4～3月)'!N$26:N$1001),IF('内訳ﾘｽﾄ(4～3月)'!$D$5="工場間接",-SUM(K$14:K$60,K$65),0))</f>
        <v>2652440494</v>
      </c>
      <c r="L64" s="160">
        <f>IF('内訳ﾘｽﾄ(4～3月)'!$D$5="製造",SUMIF('内訳ﾘｽﾄ(4～3月)'!$D$26:$D$1001,$B64,'内訳ﾘｽﾄ(4～3月)'!O$26:O$1001),IF('内訳ﾘｽﾄ(4～3月)'!$D$5="工場間接",-SUM(L$14:L$60,L$65),0))</f>
        <v>2675123012</v>
      </c>
      <c r="M64" s="160">
        <f>IF('内訳ﾘｽﾄ(4～3月)'!$D$5="製造",SUMIF('内訳ﾘｽﾄ(4～3月)'!$D$26:$D$1001,$B64,'内訳ﾘｽﾄ(4～3月)'!P$26:P$1001),IF('内訳ﾘｽﾄ(4～3月)'!$D$5="工場間接",-SUM(M$14:M$60,M$65),0))</f>
        <v>1847314558</v>
      </c>
      <c r="N64" s="160">
        <f>IF('内訳ﾘｽﾄ(4～3月)'!$D$5="製造",SUMIF('内訳ﾘｽﾄ(4～3月)'!$D$26:$D$1001,$B64,'内訳ﾘｽﾄ(4～3月)'!Q$26:Q$1001),IF('内訳ﾘｽﾄ(4～3月)'!$D$5="工場間接",-SUM(N$14:N$60,N$65),0))</f>
        <v>1906414266</v>
      </c>
      <c r="O64" s="160">
        <f>IF('内訳ﾘｽﾄ(4～3月)'!$D$5="工場間接",-SUM(O$65,O$14:O$60),IF('内訳ﾘｽﾄ(4～3月)'!$D$5="製造",SUMIF('内訳ﾘｽﾄ(4～3月)'!$D$26:$D$800,'採算表(VND)'!$B64,'内訳ﾘｽﾄ(4～3月)'!R$26:R$800),0))</f>
        <v>36174058254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21892397707</v>
      </c>
      <c r="D66" s="156">
        <f t="shared" ref="D66:N66" si="4">D12-D13</f>
        <v>49270818364</v>
      </c>
      <c r="E66" s="156">
        <f t="shared" si="4"/>
        <v>54169256942</v>
      </c>
      <c r="F66" s="156">
        <f t="shared" si="4"/>
        <v>51081290854</v>
      </c>
      <c r="G66" s="156">
        <f t="shared" si="4"/>
        <v>57034037157</v>
      </c>
      <c r="H66" s="156">
        <f t="shared" si="4"/>
        <v>37261972921</v>
      </c>
      <c r="I66" s="156">
        <f t="shared" si="4"/>
        <v>54040122889</v>
      </c>
      <c r="J66" s="156">
        <f t="shared" si="4"/>
        <v>50819123347</v>
      </c>
      <c r="K66" s="156">
        <f t="shared" si="4"/>
        <v>44728651794</v>
      </c>
      <c r="L66" s="156">
        <f t="shared" si="4"/>
        <v>53901687127</v>
      </c>
      <c r="M66" s="156">
        <f t="shared" si="4"/>
        <v>37203410313</v>
      </c>
      <c r="N66" s="156">
        <f t="shared" si="4"/>
        <v>41328144750</v>
      </c>
      <c r="O66" s="156">
        <f>IF(ISBLANK(O4),"",O12-O13)</f>
        <v>552730914165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258557.5</v>
      </c>
      <c r="D67" s="161">
        <f t="shared" ref="D67:N67" si="5">D73+D79</f>
        <v>241661.5</v>
      </c>
      <c r="E67" s="161">
        <f t="shared" si="5"/>
        <v>249831.25</v>
      </c>
      <c r="F67" s="161">
        <f t="shared" si="5"/>
        <v>306270.75</v>
      </c>
      <c r="G67" s="161">
        <f t="shared" si="5"/>
        <v>280412.5</v>
      </c>
      <c r="H67" s="161">
        <f t="shared" si="5"/>
        <v>281531</v>
      </c>
      <c r="I67" s="161">
        <f t="shared" si="5"/>
        <v>324510</v>
      </c>
      <c r="J67" s="161">
        <f t="shared" si="5"/>
        <v>280664.25</v>
      </c>
      <c r="K67" s="161">
        <f t="shared" si="5"/>
        <v>310694.75</v>
      </c>
      <c r="L67" s="161">
        <f t="shared" si="5"/>
        <v>293295.25</v>
      </c>
      <c r="M67" s="161">
        <f t="shared" si="5"/>
        <v>253690.75</v>
      </c>
      <c r="N67" s="161">
        <f t="shared" si="5"/>
        <v>330529.25</v>
      </c>
      <c r="O67" s="161">
        <f>IF(ISBLANK(O4),"",O73+O79)</f>
        <v>3411648.75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190578</v>
      </c>
      <c r="D68" s="162">
        <f>SUMIF('内訳ﾘｽﾄ(4～3月)'!$D$8:$D$15,'採算表(VND)'!$B68,'内訳ﾘｽﾄ(4～3月)'!G$8:G$15)</f>
        <v>176668.5</v>
      </c>
      <c r="E68" s="162">
        <f>SUMIF('内訳ﾘｽﾄ(4～3月)'!$D$8:$D$15,'採算表(VND)'!$B68,'内訳ﾘｽﾄ(4～3月)'!H$8:H$15)</f>
        <v>178520.5</v>
      </c>
      <c r="F68" s="162">
        <f>SUMIF('内訳ﾘｽﾄ(4～3月)'!$D$8:$D$15,'採算表(VND)'!$B68,'内訳ﾘｽﾄ(4～3月)'!I$8:I$15)</f>
        <v>218430.5</v>
      </c>
      <c r="G68" s="162">
        <f>SUMIF('内訳ﾘｽﾄ(4～3月)'!$D$8:$D$15,'採算表(VND)'!$B68,'内訳ﾘｽﾄ(4～3月)'!J$8:J$15)</f>
        <v>197710</v>
      </c>
      <c r="H68" s="162">
        <f>SUMIF('内訳ﾘｽﾄ(4～3月)'!$D$8:$D$15,'採算表(VND)'!$B68,'内訳ﾘｽﾄ(4～3月)'!K$8:K$15)</f>
        <v>189152.5</v>
      </c>
      <c r="I68" s="162">
        <f>SUMIF('内訳ﾘｽﾄ(4～3月)'!$D$8:$D$15,'採算表(VND)'!$B68,'内訳ﾘｽﾄ(4～3月)'!L$8:L$15)</f>
        <v>236568.5</v>
      </c>
      <c r="J68" s="162">
        <f>SUMIF('内訳ﾘｽﾄ(4～3月)'!$D$8:$D$15,'採算表(VND)'!$B68,'内訳ﾘｽﾄ(4～3月)'!M$8:M$15)</f>
        <v>199147</v>
      </c>
      <c r="K68" s="162">
        <f>SUMIF('内訳ﾘｽﾄ(4～3月)'!$D$8:$D$15,'採算表(VND)'!$B68,'内訳ﾘｽﾄ(4～3月)'!N$8:N$15)</f>
        <v>217371</v>
      </c>
      <c r="L68" s="162">
        <f>SUMIF('内訳ﾘｽﾄ(4～3月)'!$D$8:$D$15,'採算表(VND)'!$B68,'内訳ﾘｽﾄ(4～3月)'!O$8:O$15)</f>
        <v>205146</v>
      </c>
      <c r="M68" s="162">
        <f>SUMIF('内訳ﾘｽﾄ(4～3月)'!$D$8:$D$15,'採算表(VND)'!$B68,'内訳ﾘｽﾄ(4～3月)'!P$8:P$15)</f>
        <v>162428.5</v>
      </c>
      <c r="N68" s="162">
        <f>SUMIF('内訳ﾘｽﾄ(4～3月)'!$D$8:$D$15,'採算表(VND)'!$B68,'内訳ﾘｽﾄ(4～3月)'!Q$8:Q$15)</f>
        <v>228721</v>
      </c>
      <c r="O68" s="162">
        <f>SUMIF('内訳ﾘｽﾄ(4～3月)'!$D$8:$D$15,'採算表(VND)'!$B68,'内訳ﾘｽﾄ(4～3月)'!$R$8:$R$15)</f>
        <v>2400442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43379.5</v>
      </c>
      <c r="D69" s="163">
        <f>IF('内訳ﾘｽﾄ(4～3月)'!$D$5="製造",SUMIF('内訳ﾘｽﾄ(4～3月)'!$D$8:$D$15,$B69,'内訳ﾘｽﾄ(4～3月)'!G$8:G$15),IF('内訳ﾘｽﾄ(4～3月)'!$D$5="部内間接",-D$68,0))</f>
        <v>40966</v>
      </c>
      <c r="E69" s="163">
        <f>IF('内訳ﾘｽﾄ(4～3月)'!$D$5="製造",SUMIF('内訳ﾘｽﾄ(4～3月)'!$D$8:$D$15,$B69,'内訳ﾘｽﾄ(4～3月)'!H$8:H$15),IF('内訳ﾘｽﾄ(4～3月)'!$D$5="部内間接",-E$68,0))</f>
        <v>45373.25</v>
      </c>
      <c r="F69" s="163">
        <f>IF('内訳ﾘｽﾄ(4～3月)'!$D$5="製造",SUMIF('内訳ﾘｽﾄ(4～3月)'!$D$8:$D$15,$B69,'内訳ﾘｽﾄ(4～3月)'!I$8:I$15),IF('内訳ﾘｽﾄ(4～3月)'!$D$5="部内間接",-F$68,0))</f>
        <v>56419.25</v>
      </c>
      <c r="G69" s="163">
        <f>IF('内訳ﾘｽﾄ(4～3月)'!$D$5="製造",SUMIF('内訳ﾘｽﾄ(4～3月)'!$D$8:$D$15,$B69,'内訳ﾘｽﾄ(4～3月)'!J$8:J$15),IF('内訳ﾘｽﾄ(4～3月)'!$D$5="部内間接",-G$68,0))</f>
        <v>48584.75</v>
      </c>
      <c r="H69" s="163">
        <f>IF('内訳ﾘｽﾄ(4～3月)'!$D$5="製造",SUMIF('内訳ﾘｽﾄ(4～3月)'!$D$8:$D$15,$B69,'内訳ﾘｽﾄ(4～3月)'!K$8:K$15),IF('内訳ﾘｽﾄ(4～3月)'!$D$5="部内間接",-H$68,0))</f>
        <v>47080.25</v>
      </c>
      <c r="I69" s="163">
        <f>IF('内訳ﾘｽﾄ(4～3月)'!$D$5="製造",SUMIF('内訳ﾘｽﾄ(4～3月)'!$D$8:$D$15,$B69,'内訳ﾘｽﾄ(4～3月)'!L$8:L$15),IF('内訳ﾘｽﾄ(4～3月)'!$D$5="部内間接",-I$68,0))</f>
        <v>54493</v>
      </c>
      <c r="J69" s="163">
        <f>IF('内訳ﾘｽﾄ(4～3月)'!$D$5="製造",SUMIF('内訳ﾘｽﾄ(4～3月)'!$D$8:$D$15,$B69,'内訳ﾘｽﾄ(4～3月)'!M$8:M$15),IF('内訳ﾘｽﾄ(4～3月)'!$D$5="部内間接",-J$68,0))</f>
        <v>46986.25</v>
      </c>
      <c r="K69" s="163">
        <f>IF('内訳ﾘｽﾄ(4～3月)'!$D$5="製造",SUMIF('内訳ﾘｽﾄ(4～3月)'!$D$8:$D$15,$B69,'内訳ﾘｽﾄ(4～3月)'!N$8:N$15),IF('内訳ﾘｽﾄ(4～3月)'!$D$5="部内間接",-K$68,0))</f>
        <v>51606.25</v>
      </c>
      <c r="L69" s="163">
        <f>IF('内訳ﾘｽﾄ(4～3月)'!$D$5="製造",SUMIF('内訳ﾘｽﾄ(4～3月)'!$D$8:$D$15,$B69,'内訳ﾘｽﾄ(4～3月)'!O$8:O$15),IF('内訳ﾘｽﾄ(4～3月)'!$D$5="部内間接",-L$68,0))</f>
        <v>45431.25</v>
      </c>
      <c r="M69" s="163">
        <f>IF('内訳ﾘｽﾄ(4～3月)'!$D$5="製造",SUMIF('内訳ﾘｽﾄ(4～3月)'!$D$8:$D$15,$B69,'内訳ﾘｽﾄ(4～3月)'!P$8:P$15),IF('内訳ﾘｽﾄ(4～3月)'!$D$5="部内間接",-M$68,0))</f>
        <v>36180.25</v>
      </c>
      <c r="N69" s="163">
        <f>IF('内訳ﾘｽﾄ(4～3月)'!$D$5="製造",SUMIF('内訳ﾘｽﾄ(4～3月)'!$D$8:$D$15,$B69,'内訳ﾘｽﾄ(4～3月)'!Q$8:Q$15),IF('内訳ﾘｽﾄ(4～3月)'!$D$5="部内間接",-N$68,0))</f>
        <v>47529.75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564029.75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8598.5</v>
      </c>
      <c r="D70" s="164">
        <f>IF('内訳ﾘｽﾄ(4～3月)'!$D$5="製造",SUMIF('内訳ﾘｽﾄ(4～3月)'!$D$8:$D$15,$B70,'内訳ﾘｽﾄ(4～3月)'!G$8:G$15),IF('内訳ﾘｽﾄ(4～3月)'!$D$5="部外間接1",-D$68,0))</f>
        <v>8381.5</v>
      </c>
      <c r="E70" s="164">
        <f>IF('内訳ﾘｽﾄ(4～3月)'!$D$5="製造",SUMIF('内訳ﾘｽﾄ(4～3月)'!$D$8:$D$15,$B70,'内訳ﾘｽﾄ(4～3月)'!H$8:H$15),IF('内訳ﾘｽﾄ(4～3月)'!$D$5="部外間接1",-E$68,0))</f>
        <v>9285.75</v>
      </c>
      <c r="F70" s="164">
        <f>IF('内訳ﾘｽﾄ(4～3月)'!$D$5="製造",SUMIF('内訳ﾘｽﾄ(4～3月)'!$D$8:$D$15,$B70,'内訳ﾘｽﾄ(4～3月)'!I$8:I$15),IF('内訳ﾘｽﾄ(4～3月)'!$D$5="部外間接1",-F$68,0))</f>
        <v>11596</v>
      </c>
      <c r="G70" s="164">
        <f>IF('内訳ﾘｽﾄ(4～3月)'!$D$5="製造",SUMIF('内訳ﾘｽﾄ(4～3月)'!$D$8:$D$15,$B70,'内訳ﾘｽﾄ(4～3月)'!J$8:J$15),IF('内訳ﾘｽﾄ(4～3月)'!$D$5="部外間接1",-G$68,0))</f>
        <v>10202.25</v>
      </c>
      <c r="H70" s="164">
        <f>IF('内訳ﾘｽﾄ(4～3月)'!$D$5="製造",SUMIF('内訳ﾘｽﾄ(4～3月)'!$D$8:$D$15,$B70,'内訳ﾘｽﾄ(4～3月)'!K$8:K$15),IF('内訳ﾘｽﾄ(4～3月)'!$D$5="部外間接1",-H$68,0))</f>
        <v>9713.5</v>
      </c>
      <c r="I70" s="164">
        <f>IF('内訳ﾘｽﾄ(4～3月)'!$D$5="製造",SUMIF('内訳ﾘｽﾄ(4～3月)'!$D$8:$D$15,$B70,'内訳ﾘｽﾄ(4～3月)'!L$8:L$15),IF('内訳ﾘｽﾄ(4～3月)'!$D$5="部外間接1",-I$68,0))</f>
        <v>11215.5</v>
      </c>
      <c r="J70" s="164">
        <f>IF('内訳ﾘｽﾄ(4～3月)'!$D$5="製造",SUMIF('内訳ﾘｽﾄ(4～3月)'!$D$8:$D$15,$B70,'内訳ﾘｽﾄ(4～3月)'!M$8:M$15),IF('内訳ﾘｽﾄ(4～3月)'!$D$5="部外間接1",-J$68,0))</f>
        <v>9735.75</v>
      </c>
      <c r="K70" s="164">
        <f>IF('内訳ﾘｽﾄ(4～3月)'!$D$5="製造",SUMIF('内訳ﾘｽﾄ(4～3月)'!$D$8:$D$15,$B70,'内訳ﾘｽﾄ(4～3月)'!N$8:N$15),IF('内訳ﾘｽﾄ(4～3月)'!$D$5="部外間接1",-K$68,0))</f>
        <v>10787.75</v>
      </c>
      <c r="L70" s="164">
        <f>IF('内訳ﾘｽﾄ(4～3月)'!$D$5="製造",SUMIF('内訳ﾘｽﾄ(4～3月)'!$D$8:$D$15,$B70,'内訳ﾘｽﾄ(4～3月)'!O$8:O$15),IF('内訳ﾘｽﾄ(4～3月)'!$D$5="部外間接1",-L$68,0))</f>
        <v>9357.5</v>
      </c>
      <c r="M70" s="164">
        <f>IF('内訳ﾘｽﾄ(4～3月)'!$D$5="製造",SUMIF('内訳ﾘｽﾄ(4～3月)'!$D$8:$D$15,$B70,'内訳ﾘｽﾄ(4～3月)'!P$8:P$15),IF('内訳ﾘｽﾄ(4～3月)'!$D$5="部外間接1",-M$68,0))</f>
        <v>6977.75</v>
      </c>
      <c r="N70" s="164">
        <f>IF('内訳ﾘｽﾄ(4～3月)'!$D$5="製造",SUMIF('内訳ﾘｽﾄ(4～3月)'!$D$8:$D$15,$B70,'内訳ﾘｽﾄ(4～3月)'!Q$8:Q$15),IF('内訳ﾘｽﾄ(4～3月)'!$D$5="部外間接1",-N$68,0))</f>
        <v>9357.25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115209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4366.75</v>
      </c>
      <c r="D71" s="164">
        <f>IF('内訳ﾘｽﾄ(4～3月)'!$D$5="製造",SUMIF('内訳ﾘｽﾄ(4～3月)'!$D$8:$D$15,$B71,'内訳ﾘｽﾄ(4～3月)'!G$8:G$15),IF('内訳ﾘｽﾄ(4～3月)'!$D$5="部外間接2",-D$68,0))</f>
        <v>4115.25</v>
      </c>
      <c r="E71" s="164">
        <f>IF('内訳ﾘｽﾄ(4～3月)'!$D$5="製造",SUMIF('内訳ﾘｽﾄ(4～3月)'!$D$8:$D$15,$B71,'内訳ﾘｽﾄ(4～3月)'!H$8:H$15),IF('内訳ﾘｽﾄ(4～3月)'!$D$5="部外間接2",-E$68,0))</f>
        <v>4624.25</v>
      </c>
      <c r="F71" s="164">
        <f>IF('内訳ﾘｽﾄ(4～3月)'!$D$5="製造",SUMIF('内訳ﾘｽﾄ(4～3月)'!$D$8:$D$15,$B71,'内訳ﾘｽﾄ(4～3月)'!I$8:I$15),IF('内訳ﾘｽﾄ(4～3月)'!$D$5="部外間接2",-F$68,0))</f>
        <v>5735.25</v>
      </c>
      <c r="G71" s="164">
        <f>IF('内訳ﾘｽﾄ(4～3月)'!$D$5="製造",SUMIF('内訳ﾘｽﾄ(4～3月)'!$D$8:$D$15,$B71,'内訳ﾘｽﾄ(4～3月)'!J$8:J$15),IF('内訳ﾘｽﾄ(4～3月)'!$D$5="部外間接2",-G$68,0))</f>
        <v>5078.5</v>
      </c>
      <c r="H71" s="164">
        <f>IF('内訳ﾘｽﾄ(4～3月)'!$D$5="製造",SUMIF('内訳ﾘｽﾄ(4～3月)'!$D$8:$D$15,$B71,'内訳ﾘｽﾄ(4～3月)'!K$8:K$15),IF('内訳ﾘｽﾄ(4～3月)'!$D$5="部外間接2",-H$68,0))</f>
        <v>4861</v>
      </c>
      <c r="I71" s="164">
        <f>IF('内訳ﾘｽﾄ(4～3月)'!$D$5="製造",SUMIF('内訳ﾘｽﾄ(4～3月)'!$D$8:$D$15,$B71,'内訳ﾘｽﾄ(4～3月)'!L$8:L$15),IF('内訳ﾘｽﾄ(4～3月)'!$D$5="部外間接2",-I$68,0))</f>
        <v>5646.25</v>
      </c>
      <c r="J71" s="164">
        <f>IF('内訳ﾘｽﾄ(4～3月)'!$D$5="製造",SUMIF('内訳ﾘｽﾄ(4～3月)'!$D$8:$D$15,$B71,'内訳ﾘｽﾄ(4～3月)'!M$8:M$15),IF('内訳ﾘｽﾄ(4～3月)'!$D$5="部外間接2",-J$68,0))</f>
        <v>4918.75</v>
      </c>
      <c r="K71" s="164">
        <f>IF('内訳ﾘｽﾄ(4～3月)'!$D$5="製造",SUMIF('内訳ﾘｽﾄ(4～3月)'!$D$8:$D$15,$B71,'内訳ﾘｽﾄ(4～3月)'!N$8:N$15),IF('内訳ﾘｽﾄ(4～3月)'!$D$5="部外間接2",-K$68,0))</f>
        <v>5440</v>
      </c>
      <c r="L71" s="164">
        <f>IF('内訳ﾘｽﾄ(4～3月)'!$D$5="製造",SUMIF('内訳ﾘｽﾄ(4～3月)'!$D$8:$D$15,$B71,'内訳ﾘｽﾄ(4～3月)'!O$8:O$15),IF('内訳ﾘｽﾄ(4～3月)'!$D$5="部外間接2",-L$68,0))</f>
        <v>4614.5</v>
      </c>
      <c r="M71" s="164">
        <f>IF('内訳ﾘｽﾄ(4～3月)'!$D$5="製造",SUMIF('内訳ﾘｽﾄ(4～3月)'!$D$8:$D$15,$B71,'内訳ﾘｽﾄ(4～3月)'!P$8:P$15),IF('内訳ﾘｽﾄ(4～3月)'!$D$5="部外間接2",-M$68,0))</f>
        <v>3396.75</v>
      </c>
      <c r="N71" s="164">
        <f>IF('内訳ﾘｽﾄ(4～3月)'!$D$5="製造",SUMIF('内訳ﾘｽﾄ(4～3月)'!$D$8:$D$15,$B71,'内訳ﾘｽﾄ(4～3月)'!Q$8:Q$15),IF('内訳ﾘｽﾄ(4～3月)'!$D$5="部外間接2",-N$68,0))</f>
        <v>4603.25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57400.5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6694.5</v>
      </c>
      <c r="D72" s="165">
        <f>IF('内訳ﾘｽﾄ(4～3月)'!$D$5="製造",SUMIF('内訳ﾘｽﾄ(4～3月)'!$D$8:$D$15,$B72,'内訳ﾘｽﾄ(4～3月)'!G$8:G$15),IF('内訳ﾘｽﾄ(4～3月)'!$D$5="工場間接",-D$68,0))</f>
        <v>6667</v>
      </c>
      <c r="E72" s="165">
        <f>IF('内訳ﾘｽﾄ(4～3月)'!$D$5="製造",SUMIF('内訳ﾘｽﾄ(4～3月)'!$D$8:$D$15,$B72,'内訳ﾘｽﾄ(4～3月)'!H$8:H$15),IF('内訳ﾘｽﾄ(4～3月)'!$D$5="工場間接",-E$68,0))</f>
        <v>7043.75</v>
      </c>
      <c r="F72" s="165">
        <f>IF('内訳ﾘｽﾄ(4～3月)'!$D$5="製造",SUMIF('内訳ﾘｽﾄ(4～3月)'!$D$8:$D$15,$B72,'内訳ﾘｽﾄ(4～3月)'!I$8:I$15),IF('内訳ﾘｽﾄ(4～3月)'!$D$5="工場間接",-F$68,0))</f>
        <v>8000.5</v>
      </c>
      <c r="G72" s="165">
        <f>IF('内訳ﾘｽﾄ(4～3月)'!$D$5="製造",SUMIF('内訳ﾘｽﾄ(4～3月)'!$D$8:$D$15,$B72,'内訳ﾘｽﾄ(4～3月)'!J$8:J$15),IF('内訳ﾘｽﾄ(4～3月)'!$D$5="工場間接",-G$68,0))</f>
        <v>7312.25</v>
      </c>
      <c r="H72" s="165">
        <f>IF('内訳ﾘｽﾄ(4～3月)'!$D$5="製造",SUMIF('内訳ﾘｽﾄ(4～3月)'!$D$8:$D$15,$B72,'内訳ﾘｽﾄ(4～3月)'!K$8:K$15),IF('内訳ﾘｽﾄ(4～3月)'!$D$5="工場間接",-H$68,0))</f>
        <v>6846.5</v>
      </c>
      <c r="I72" s="165">
        <f>IF('内訳ﾘｽﾄ(4～3月)'!$D$5="製造",SUMIF('内訳ﾘｽﾄ(4～3月)'!$D$8:$D$15,$B72,'内訳ﾘｽﾄ(4～3月)'!L$8:L$15),IF('内訳ﾘｽﾄ(4～3月)'!$D$5="工場間接",-I$68,0))</f>
        <v>7603.25</v>
      </c>
      <c r="J72" s="165">
        <f>IF('内訳ﾘｽﾄ(4～3月)'!$D$5="製造",SUMIF('内訳ﾘｽﾄ(4～3月)'!$D$8:$D$15,$B72,'内訳ﾘｽﾄ(4～3月)'!M$8:M$15),IF('内訳ﾘｽﾄ(4～3月)'!$D$5="工場間接",-J$68,0))</f>
        <v>6943</v>
      </c>
      <c r="K72" s="165">
        <f>IF('内訳ﾘｽﾄ(4～3月)'!$D$5="製造",SUMIF('内訳ﾘｽﾄ(4～3月)'!$D$8:$D$15,$B72,'内訳ﾘｽﾄ(4～3月)'!N$8:N$15),IF('内訳ﾘｽﾄ(4～3月)'!$D$5="工場間接",-K$68,0))</f>
        <v>7487.25</v>
      </c>
      <c r="L72" s="165">
        <f>IF('内訳ﾘｽﾄ(4～3月)'!$D$5="製造",SUMIF('内訳ﾘｽﾄ(4～3月)'!$D$8:$D$15,$B72,'内訳ﾘｽﾄ(4～3月)'!O$8:O$15),IF('内訳ﾘｽﾄ(4～3月)'!$D$5="工場間接",-L$68,0))</f>
        <v>6397.25</v>
      </c>
      <c r="M72" s="165">
        <f>IF('内訳ﾘｽﾄ(4～3月)'!$D$5="製造",SUMIF('内訳ﾘｽﾄ(4～3月)'!$D$8:$D$15,$B72,'内訳ﾘｽﾄ(4～3月)'!P$8:P$15),IF('内訳ﾘｽﾄ(4～3月)'!$D$5="工場間接",-M$68,0))</f>
        <v>4792.5</v>
      </c>
      <c r="N72" s="165">
        <f>IF('内訳ﾘｽﾄ(4～3月)'!$D$5="製造",SUMIF('内訳ﾘｽﾄ(4～3月)'!$D$8:$D$15,$B72,'内訳ﾘｽﾄ(4～3月)'!Q$8:Q$15),IF('内訳ﾘｽﾄ(4～3月)'!$D$5="工場間接",-N$68,0))</f>
        <v>6430.25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82218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253617.25</v>
      </c>
      <c r="D73" s="166">
        <f t="shared" ref="D73:N73" si="6">SUM(D68:D72)</f>
        <v>236798.25</v>
      </c>
      <c r="E73" s="166">
        <f t="shared" si="6"/>
        <v>244847.5</v>
      </c>
      <c r="F73" s="166">
        <f t="shared" si="6"/>
        <v>300181.5</v>
      </c>
      <c r="G73" s="166">
        <f t="shared" si="6"/>
        <v>268887.75</v>
      </c>
      <c r="H73" s="166">
        <f t="shared" si="6"/>
        <v>257653.75</v>
      </c>
      <c r="I73" s="166">
        <f t="shared" si="6"/>
        <v>315526.5</v>
      </c>
      <c r="J73" s="166">
        <f t="shared" si="6"/>
        <v>267730.75</v>
      </c>
      <c r="K73" s="166">
        <f t="shared" si="6"/>
        <v>292692.25</v>
      </c>
      <c r="L73" s="166">
        <f t="shared" si="6"/>
        <v>270946.5</v>
      </c>
      <c r="M73" s="166">
        <f t="shared" si="6"/>
        <v>213775.75</v>
      </c>
      <c r="N73" s="166">
        <f t="shared" si="6"/>
        <v>296641.5</v>
      </c>
      <c r="O73" s="166">
        <f>IF(ISBLANK(O4),"",SUM(O68:O72))</f>
        <v>3219299.25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534</v>
      </c>
      <c r="D74" s="162">
        <f>SUMIF('内訳ﾘｽﾄ(4～3月)'!$D$16:$D$23,'採算表(VND)'!$B74,'内訳ﾘｽﾄ(4～3月)'!G$16:G$23)</f>
        <v>528</v>
      </c>
      <c r="E74" s="162">
        <f>SUMIF('内訳ﾘｽﾄ(4～3月)'!$D$16:$D$23,'採算表(VND)'!$B74,'内訳ﾘｽﾄ(4～3月)'!H$16:H$23)</f>
        <v>540</v>
      </c>
      <c r="F74" s="162">
        <f>SUMIF('内訳ﾘｽﾄ(4～3月)'!$D$16:$D$23,'採算表(VND)'!$B74,'内訳ﾘｽﾄ(4～3月)'!I$16:I$23)</f>
        <v>851</v>
      </c>
      <c r="G74" s="162">
        <f>SUMIF('内訳ﾘｽﾄ(4～3月)'!$D$16:$D$23,'採算表(VND)'!$B74,'内訳ﾘｽﾄ(4～3月)'!J$16:J$23)</f>
        <v>5700</v>
      </c>
      <c r="H74" s="162">
        <f>SUMIF('内訳ﾘｽﾄ(4～3月)'!$D$16:$D$23,'採算表(VND)'!$B74,'内訳ﾘｽﾄ(4～3月)'!K$16:K$23)</f>
        <v>17870</v>
      </c>
      <c r="I74" s="162">
        <f>SUMIF('内訳ﾘｽﾄ(4～3月)'!$D$16:$D$23,'採算表(VND)'!$B74,'内訳ﾘｽﾄ(4～3月)'!L$16:L$23)</f>
        <v>3075</v>
      </c>
      <c r="J74" s="162">
        <f>SUMIF('内訳ﾘｽﾄ(4～3月)'!$D$16:$D$23,'採算表(VND)'!$B74,'内訳ﾘｽﾄ(4～3月)'!M$16:M$23)</f>
        <v>7679</v>
      </c>
      <c r="K74" s="162">
        <f>SUMIF('内訳ﾘｽﾄ(4～3月)'!$D$16:$D$23,'採算表(VND)'!$B74,'内訳ﾘｽﾄ(4～3月)'!N$16:N$23)</f>
        <v>12063</v>
      </c>
      <c r="L74" s="162">
        <f>SUMIF('内訳ﾘｽﾄ(4～3月)'!$D$16:$D$23,'採算表(VND)'!$B74,'内訳ﾘｽﾄ(4～3月)'!O$16:O$23)</f>
        <v>16500</v>
      </c>
      <c r="M74" s="162">
        <f>SUMIF('内訳ﾘｽﾄ(4～3月)'!$D$16:$D$23,'採算表(VND)'!$B74,'内訳ﾘｽﾄ(4～3月)'!P$16:P$23)</f>
        <v>33926</v>
      </c>
      <c r="N74" s="162">
        <f>SUMIF('内訳ﾘｽﾄ(4～3月)'!$D$16:$D$23,'採算表(VND)'!$B74,'内訳ﾘｽﾄ(4～3月)'!Q$16:Q$23)</f>
        <v>27690</v>
      </c>
      <c r="O74" s="162">
        <f>SUMIF('内訳ﾘｽﾄ(4～3月)'!$D$16:$D$23,'採算表(VND)'!$B74,'内訳ﾘｽﾄ(4～3月)'!$R$16:$R$23)</f>
        <v>126956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3217</v>
      </c>
      <c r="D75" s="163">
        <f>IF('内訳ﾘｽﾄ(4～3月)'!$D$5="製造",SUMIF('内訳ﾘｽﾄ(4～3月)'!$D$16:$D$23,$B75,'内訳ﾘｽﾄ(4～3月)'!G$16:G$23),IF('内訳ﾘｽﾄ(4～3月)'!$D$5="部内間接",-D$74,0))</f>
        <v>3212.75</v>
      </c>
      <c r="E75" s="163">
        <f>IF('内訳ﾘｽﾄ(4～3月)'!$D$5="製造",SUMIF('内訳ﾘｽﾄ(4～3月)'!$D$16:$D$23,$B75,'内訳ﾘｽﾄ(4～3月)'!H$16:H$23),IF('内訳ﾘｽﾄ(4～3月)'!$D$5="部内間接",-E$74,0))</f>
        <v>3261.75</v>
      </c>
      <c r="F75" s="163">
        <f>IF('内訳ﾘｽﾄ(4～3月)'!$D$5="製造",SUMIF('内訳ﾘｽﾄ(4～3月)'!$D$16:$D$23,$B75,'内訳ﾘｽﾄ(4～3月)'!I$16:I$23),IF('内訳ﾘｽﾄ(4～3月)'!$D$5="部内間接",-F$74,0))</f>
        <v>3795</v>
      </c>
      <c r="G75" s="163">
        <f>IF('内訳ﾘｽﾄ(4～3月)'!$D$5="製造",SUMIF('内訳ﾘｽﾄ(4～3月)'!$D$16:$D$23,$B75,'内訳ﾘｽﾄ(4～3月)'!J$16:J$23),IF('内訳ﾘｽﾄ(4～3月)'!$D$5="部内間接",-G$74,0))</f>
        <v>4538.25</v>
      </c>
      <c r="H75" s="163">
        <f>IF('内訳ﾘｽﾄ(4～3月)'!$D$5="製造",SUMIF('内訳ﾘｽﾄ(4～3月)'!$D$16:$D$23,$B75,'内訳ﾘｽﾄ(4～3月)'!K$16:K$23),IF('内訳ﾘｽﾄ(4～3月)'!$D$5="部内間接",-H$74,0))</f>
        <v>4665.5</v>
      </c>
      <c r="I75" s="163">
        <f>IF('内訳ﾘｽﾄ(4～3月)'!$D$5="製造",SUMIF('内訳ﾘｽﾄ(4～3月)'!$D$16:$D$23,$B75,'内訳ﾘｽﾄ(4～3月)'!L$16:L$23),IF('内訳ﾘｽﾄ(4～3月)'!$D$5="部内間接",-I$74,0))</f>
        <v>4562.75</v>
      </c>
      <c r="J75" s="163">
        <f>IF('内訳ﾘｽﾄ(4～3月)'!$D$5="製造",SUMIF('内訳ﾘｽﾄ(4～3月)'!$D$16:$D$23,$B75,'内訳ﾘｽﾄ(4～3月)'!M$16:M$23),IF('内訳ﾘｽﾄ(4～3月)'!$D$5="部内間接",-J$74,0))</f>
        <v>4056</v>
      </c>
      <c r="K75" s="163">
        <f>IF('内訳ﾘｽﾄ(4～3月)'!$D$5="製造",SUMIF('内訳ﾘｽﾄ(4～3月)'!$D$16:$D$23,$B75,'内訳ﾘｽﾄ(4～3月)'!N$16:N$23),IF('内訳ﾘｽﾄ(4～3月)'!$D$5="部内間接",-K$74,0))</f>
        <v>4710.75</v>
      </c>
      <c r="L75" s="163">
        <f>IF('内訳ﾘｽﾄ(4～3月)'!$D$5="製造",SUMIF('内訳ﾘｽﾄ(4～3月)'!$D$16:$D$23,$B75,'内訳ﾘｽﾄ(4～3月)'!O$16:O$23),IF('内訳ﾘｽﾄ(4～3月)'!$D$5="部内間接",-L$74,0))</f>
        <v>4773</v>
      </c>
      <c r="M75" s="163">
        <f>IF('内訳ﾘｽﾄ(4～3月)'!$D$5="製造",SUMIF('内訳ﾘｽﾄ(4～3月)'!$D$16:$D$23,$B75,'内訳ﾘｽﾄ(4～3月)'!P$16:P$23),IF('内訳ﾘｽﾄ(4～3月)'!$D$5="部内間接",-M$74,0))</f>
        <v>4865.25</v>
      </c>
      <c r="N75" s="163">
        <f>IF('内訳ﾘｽﾄ(4～3月)'!$D$5="製造",SUMIF('内訳ﾘｽﾄ(4～3月)'!$D$16:$D$23,$B75,'内訳ﾘｽﾄ(4～3月)'!Q$16:Q$23),IF('内訳ﾘｽﾄ(4～3月)'!$D$5="部内間接",-N$74,0))</f>
        <v>4999.5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50657.5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467</v>
      </c>
      <c r="D76" s="164">
        <f>IF('内訳ﾘｽﾄ(4～3月)'!$D$5="製造",SUMIF('内訳ﾘｽﾄ(4～3月)'!$D$16:$D$23,$B76,'内訳ﾘｽﾄ(4～3月)'!G$16:G$23),IF('内訳ﾘｽﾄ(4～3月)'!$D$5="部外間接1",-D$74,0))</f>
        <v>460.75</v>
      </c>
      <c r="E76" s="164">
        <f>IF('内訳ﾘｽﾄ(4～3月)'!$D$5="製造",SUMIF('内訳ﾘｽﾄ(4～3月)'!$D$16:$D$23,$B76,'内訳ﾘｽﾄ(4～3月)'!H$16:H$23),IF('内訳ﾘｽﾄ(4～3月)'!$D$5="部外間接1",-E$74,0))</f>
        <v>526.75</v>
      </c>
      <c r="F76" s="164">
        <f>IF('内訳ﾘｽﾄ(4～3月)'!$D$5="製造",SUMIF('内訳ﾘｽﾄ(4～3月)'!$D$16:$D$23,$B76,'内訳ﾘｽﾄ(4～3月)'!I$16:I$23),IF('内訳ﾘｽﾄ(4～3月)'!$D$5="部外間接1",-F$74,0))</f>
        <v>684.25</v>
      </c>
      <c r="G76" s="164">
        <f>IF('内訳ﾘｽﾄ(4～3月)'!$D$5="製造",SUMIF('内訳ﾘｽﾄ(4～3月)'!$D$16:$D$23,$B76,'内訳ﾘｽﾄ(4～3月)'!J$16:J$23),IF('内訳ﾘｽﾄ(4～3月)'!$D$5="部外間接1",-G$74,0))</f>
        <v>566</v>
      </c>
      <c r="H76" s="164">
        <f>IF('内訳ﾘｽﾄ(4～3月)'!$D$5="製造",SUMIF('内訳ﾘｽﾄ(4～3月)'!$D$16:$D$23,$B76,'内訳ﾘｽﾄ(4～3月)'!K$16:K$23),IF('内訳ﾘｽﾄ(4～3月)'!$D$5="部外間接1",-H$74,0))</f>
        <v>554.75</v>
      </c>
      <c r="I76" s="164">
        <f>IF('内訳ﾘｽﾄ(4～3月)'!$D$5="製造",SUMIF('内訳ﾘｽﾄ(4～3月)'!$D$16:$D$23,$B76,'内訳ﾘｽﾄ(4～3月)'!L$16:L$23),IF('内訳ﾘｽﾄ(4～3月)'!$D$5="部外間接1",-I$74,0))</f>
        <v>648.75</v>
      </c>
      <c r="J76" s="164">
        <f>IF('内訳ﾘｽﾄ(4～3月)'!$D$5="製造",SUMIF('内訳ﾘｽﾄ(4～3月)'!$D$16:$D$23,$B76,'内訳ﾘｽﾄ(4～3月)'!M$16:M$23),IF('内訳ﾘｽﾄ(4～3月)'!$D$5="部外間接1",-J$74,0))</f>
        <v>543.75</v>
      </c>
      <c r="K76" s="164">
        <f>IF('内訳ﾘｽﾄ(4～3月)'!$D$5="製造",SUMIF('内訳ﾘｽﾄ(4～3月)'!$D$16:$D$23,$B76,'内訳ﾘｽﾄ(4～3月)'!N$16:N$23),IF('内訳ﾘｽﾄ(4～3月)'!$D$5="部外間接1",-K$74,0))</f>
        <v>549</v>
      </c>
      <c r="L76" s="164">
        <f>IF('内訳ﾘｽﾄ(4～3月)'!$D$5="製造",SUMIF('内訳ﾘｽﾄ(4～3月)'!$D$16:$D$23,$B76,'内訳ﾘｽﾄ(4～3月)'!O$16:O$23),IF('内訳ﾘｽﾄ(4～3月)'!$D$5="部外間接1",-L$74,0))</f>
        <v>477.75</v>
      </c>
      <c r="M76" s="164">
        <f>IF('内訳ﾘｽﾄ(4～3月)'!$D$5="製造",SUMIF('内訳ﾘｽﾄ(4～3月)'!$D$16:$D$23,$B76,'内訳ﾘｽﾄ(4～3月)'!P$16:P$23),IF('内訳ﾘｽﾄ(4～3月)'!$D$5="部外間接1",-M$74,0))</f>
        <v>399</v>
      </c>
      <c r="N76" s="164">
        <f>IF('内訳ﾘｽﾄ(4～3月)'!$D$5="製造",SUMIF('内訳ﾘｽﾄ(4～3月)'!$D$16:$D$23,$B76,'内訳ﾘｽﾄ(4～3月)'!Q$16:Q$23),IF('内訳ﾘｽﾄ(4～3月)'!$D$5="部外間接1",-N$74,0))</f>
        <v>559.25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6437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347.5</v>
      </c>
      <c r="D77" s="164">
        <f>IF('内訳ﾘｽﾄ(4～3月)'!$D$5="製造",SUMIF('内訳ﾘｽﾄ(4～3月)'!$D$16:$D$23,$B77,'内訳ﾘｽﾄ(4～3月)'!G$16:G$23),IF('内訳ﾘｽﾄ(4～3月)'!$D$5="部外間接2",-D$74,0))</f>
        <v>329.75</v>
      </c>
      <c r="E77" s="164">
        <f>IF('内訳ﾘｽﾄ(4～3月)'!$D$5="製造",SUMIF('内訳ﾘｽﾄ(4～3月)'!$D$16:$D$23,$B77,'内訳ﾘｽﾄ(4～3月)'!H$16:H$23),IF('内訳ﾘｽﾄ(4～3月)'!$D$5="部外間接2",-E$74,0))</f>
        <v>358.25</v>
      </c>
      <c r="F77" s="164">
        <f>IF('内訳ﾘｽﾄ(4～3月)'!$D$5="製造",SUMIF('内訳ﾘｽﾄ(4～3月)'!$D$16:$D$23,$B77,'内訳ﾘｽﾄ(4～3月)'!I$16:I$23),IF('内訳ﾘｽﾄ(4～3月)'!$D$5="部外間接2",-F$74,0))</f>
        <v>412.75</v>
      </c>
      <c r="G77" s="164">
        <f>IF('内訳ﾘｽﾄ(4～3月)'!$D$5="製造",SUMIF('内訳ﾘｽﾄ(4～3月)'!$D$16:$D$23,$B77,'内訳ﾘｽﾄ(4～3月)'!J$16:J$23),IF('内訳ﾘｽﾄ(4～3月)'!$D$5="部外間接2",-G$74,0))</f>
        <v>399</v>
      </c>
      <c r="H77" s="164">
        <f>IF('内訳ﾘｽﾄ(4～3月)'!$D$5="製造",SUMIF('内訳ﾘｽﾄ(4～3月)'!$D$16:$D$23,$B77,'内訳ﾘｽﾄ(4～3月)'!K$16:K$23),IF('内訳ﾘｽﾄ(4～3月)'!$D$5="部外間接2",-H$74,0))</f>
        <v>352.25</v>
      </c>
      <c r="I77" s="164">
        <f>IF('内訳ﾘｽﾄ(4～3月)'!$D$5="製造",SUMIF('内訳ﾘｽﾄ(4～3月)'!$D$16:$D$23,$B77,'内訳ﾘｽﾄ(4～3月)'!L$16:L$23),IF('内訳ﾘｽﾄ(4～3月)'!$D$5="部外間接2",-I$74,0))</f>
        <v>373.75</v>
      </c>
      <c r="J77" s="164">
        <f>IF('内訳ﾘｽﾄ(4～3月)'!$D$5="製造",SUMIF('内訳ﾘｽﾄ(4～3月)'!$D$16:$D$23,$B77,'内訳ﾘｽﾄ(4～3月)'!M$16:M$23),IF('内訳ﾘｽﾄ(4～3月)'!$D$5="部外間接2",-J$74,0))</f>
        <v>347.5</v>
      </c>
      <c r="K77" s="164">
        <f>IF('内訳ﾘｽﾄ(4～3月)'!$D$5="製造",SUMIF('内訳ﾘｽﾄ(4～3月)'!$D$16:$D$23,$B77,'内訳ﾘｽﾄ(4～3月)'!N$16:N$23),IF('内訳ﾘｽﾄ(4～3月)'!$D$5="部外間接2",-K$74,0))</f>
        <v>366.75</v>
      </c>
      <c r="L77" s="164">
        <f>IF('内訳ﾘｽﾄ(4～3月)'!$D$5="製造",SUMIF('内訳ﾘｽﾄ(4～3月)'!$D$16:$D$23,$B77,'内訳ﾘｽﾄ(4～3月)'!O$16:O$23),IF('内訳ﾘｽﾄ(4～3月)'!$D$5="部外間接2",-L$74,0))</f>
        <v>339.25</v>
      </c>
      <c r="M77" s="164">
        <f>IF('内訳ﾘｽﾄ(4～3月)'!$D$5="製造",SUMIF('内訳ﾘｽﾄ(4～3月)'!$D$16:$D$23,$B77,'内訳ﾘｽﾄ(4～3月)'!P$16:P$23),IF('内訳ﾘｽﾄ(4～3月)'!$D$5="部外間接2",-M$74,0))</f>
        <v>303.75</v>
      </c>
      <c r="N77" s="164">
        <f>IF('内訳ﾘｽﾄ(4～3月)'!$D$5="製造",SUMIF('内訳ﾘｽﾄ(4～3月)'!$D$16:$D$23,$B77,'内訳ﾘｽﾄ(4～3月)'!Q$16:Q$23),IF('内訳ﾘｽﾄ(4～3月)'!$D$5="部外間接2",-N$74,0))</f>
        <v>356.25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4286.75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374.75</v>
      </c>
      <c r="D78" s="165">
        <f>IF('内訳ﾘｽﾄ(4～3月)'!$D$5="製造",SUMIF('内訳ﾘｽﾄ(4～3月)'!$D$16:$D$23,$B78,'内訳ﾘｽﾄ(4～3月)'!G$16:G$23),IF('内訳ﾘｽﾄ(4～3月)'!$D$5="工場間接",-D$74,0))</f>
        <v>332</v>
      </c>
      <c r="E78" s="165">
        <f>IF('内訳ﾘｽﾄ(4～3月)'!$D$5="製造",SUMIF('内訳ﾘｽﾄ(4～3月)'!$D$16:$D$23,$B78,'内訳ﾘｽﾄ(4～3月)'!H$16:H$23),IF('内訳ﾘｽﾄ(4～3月)'!$D$5="工場間接",-E$74,0))</f>
        <v>297</v>
      </c>
      <c r="F78" s="165">
        <f>IF('内訳ﾘｽﾄ(4～3月)'!$D$5="製造",SUMIF('内訳ﾘｽﾄ(4～3月)'!$D$16:$D$23,$B78,'内訳ﾘｽﾄ(4～3月)'!I$16:I$23),IF('内訳ﾘｽﾄ(4～3月)'!$D$5="工場間接",-F$74,0))</f>
        <v>346.25</v>
      </c>
      <c r="G78" s="165">
        <f>IF('内訳ﾘｽﾄ(4～3月)'!$D$5="製造",SUMIF('内訳ﾘｽﾄ(4～3月)'!$D$16:$D$23,$B78,'内訳ﾘｽﾄ(4～3月)'!J$16:J$23),IF('内訳ﾘｽﾄ(4～3月)'!$D$5="工場間接",-G$74,0))</f>
        <v>321.5</v>
      </c>
      <c r="H78" s="165">
        <f>IF('内訳ﾘｽﾄ(4～3月)'!$D$5="製造",SUMIF('内訳ﾘｽﾄ(4～3月)'!$D$16:$D$23,$B78,'内訳ﾘｽﾄ(4～3月)'!K$16:K$23),IF('内訳ﾘｽﾄ(4～3月)'!$D$5="工場間接",-H$74,0))</f>
        <v>434.75</v>
      </c>
      <c r="I78" s="165">
        <f>IF('内訳ﾘｽﾄ(4～3月)'!$D$5="製造",SUMIF('内訳ﾘｽﾄ(4～3月)'!$D$16:$D$23,$B78,'内訳ﾘｽﾄ(4～3月)'!L$16:L$23),IF('内訳ﾘｽﾄ(4～3月)'!$D$5="工場間接",-I$74,0))</f>
        <v>323.25</v>
      </c>
      <c r="J78" s="165">
        <f>IF('内訳ﾘｽﾄ(4～3月)'!$D$5="製造",SUMIF('内訳ﾘｽﾄ(4～3月)'!$D$16:$D$23,$B78,'内訳ﾘｽﾄ(4～3月)'!M$16:M$23),IF('内訳ﾘｽﾄ(4～3月)'!$D$5="工場間接",-J$74,0))</f>
        <v>307.25</v>
      </c>
      <c r="K78" s="165">
        <f>IF('内訳ﾘｽﾄ(4～3月)'!$D$5="製造",SUMIF('内訳ﾘｽﾄ(4～3月)'!$D$16:$D$23,$B78,'内訳ﾘｽﾄ(4～3月)'!N$16:N$23),IF('内訳ﾘｽﾄ(4～3月)'!$D$5="工場間接",-K$74,0))</f>
        <v>313</v>
      </c>
      <c r="L78" s="165">
        <f>IF('内訳ﾘｽﾄ(4～3月)'!$D$5="製造",SUMIF('内訳ﾘｽﾄ(4～3月)'!$D$16:$D$23,$B78,'内訳ﾘｽﾄ(4～3月)'!O$16:O$23),IF('内訳ﾘｽﾄ(4～3月)'!$D$5="工場間接",-L$74,0))</f>
        <v>258.75</v>
      </c>
      <c r="M78" s="165">
        <f>IF('内訳ﾘｽﾄ(4～3月)'!$D$5="製造",SUMIF('内訳ﾘｽﾄ(4～3月)'!$D$16:$D$23,$B78,'内訳ﾘｽﾄ(4～3月)'!P$16:P$23),IF('内訳ﾘｽﾄ(4～3月)'!$D$5="工場間接",-M$74,0))</f>
        <v>421</v>
      </c>
      <c r="N78" s="165">
        <f>IF('内訳ﾘｽﾄ(4～3月)'!$D$5="製造",SUMIF('内訳ﾘｽﾄ(4～3月)'!$D$16:$D$23,$B78,'内訳ﾘｽﾄ(4～3月)'!Q$16:Q$23),IF('内訳ﾘｽﾄ(4～3月)'!$D$5="工場間接",-N$74,0))</f>
        <v>282.75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4012.25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4940.25</v>
      </c>
      <c r="D79" s="166">
        <f t="shared" ref="D79:N79" si="7">SUM(D74:D78)</f>
        <v>4863.25</v>
      </c>
      <c r="E79" s="166">
        <f t="shared" si="7"/>
        <v>4983.75</v>
      </c>
      <c r="F79" s="166">
        <f t="shared" si="7"/>
        <v>6089.25</v>
      </c>
      <c r="G79" s="166">
        <f t="shared" si="7"/>
        <v>11524.75</v>
      </c>
      <c r="H79" s="166">
        <f t="shared" si="7"/>
        <v>23877.25</v>
      </c>
      <c r="I79" s="166">
        <f t="shared" si="7"/>
        <v>8983.5</v>
      </c>
      <c r="J79" s="166">
        <f t="shared" si="7"/>
        <v>12933.5</v>
      </c>
      <c r="K79" s="166">
        <f t="shared" si="7"/>
        <v>18002.5</v>
      </c>
      <c r="L79" s="166">
        <f t="shared" si="7"/>
        <v>22348.75</v>
      </c>
      <c r="M79" s="166">
        <f t="shared" si="7"/>
        <v>39915</v>
      </c>
      <c r="N79" s="166">
        <f t="shared" si="7"/>
        <v>33887.75</v>
      </c>
      <c r="O79" s="166">
        <f>IF(ISBLANK(O10),"",SUM(O74:O78))</f>
        <v>192349.5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84671</v>
      </c>
      <c r="D80" s="167">
        <f t="shared" ref="D80:N80" si="8">IFERROR(ROUNDDOWN(D66/D67,0),0)</f>
        <v>203883</v>
      </c>
      <c r="E80" s="167">
        <f t="shared" si="8"/>
        <v>216823</v>
      </c>
      <c r="F80" s="167">
        <f t="shared" si="8"/>
        <v>166784</v>
      </c>
      <c r="G80" s="167">
        <f t="shared" si="8"/>
        <v>203393</v>
      </c>
      <c r="H80" s="167">
        <f t="shared" si="8"/>
        <v>132354</v>
      </c>
      <c r="I80" s="167">
        <f t="shared" si="8"/>
        <v>166528</v>
      </c>
      <c r="J80" s="167">
        <f t="shared" si="8"/>
        <v>181067</v>
      </c>
      <c r="K80" s="167">
        <f t="shared" si="8"/>
        <v>143963</v>
      </c>
      <c r="L80" s="167">
        <f t="shared" si="8"/>
        <v>183779</v>
      </c>
      <c r="M80" s="167">
        <f t="shared" si="8"/>
        <v>146648</v>
      </c>
      <c r="N80" s="167">
        <f t="shared" si="8"/>
        <v>125036</v>
      </c>
      <c r="O80" s="167">
        <f>IFERROR(ROUNDDOWN(O66/O67,0),0)</f>
        <v>162012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1852731</v>
      </c>
      <c r="D81" s="168">
        <f t="shared" ref="D81:N81" si="9">IFERROR(ROUNDDOWN(D12/D67,0),0)</f>
        <v>2084858</v>
      </c>
      <c r="E81" s="168">
        <f t="shared" si="9"/>
        <v>2094378</v>
      </c>
      <c r="F81" s="168">
        <f t="shared" si="9"/>
        <v>1743733</v>
      </c>
      <c r="G81" s="168">
        <f t="shared" si="9"/>
        <v>1965662</v>
      </c>
      <c r="H81" s="168">
        <f t="shared" si="9"/>
        <v>1532025</v>
      </c>
      <c r="I81" s="168">
        <f t="shared" si="9"/>
        <v>1692039</v>
      </c>
      <c r="J81" s="168">
        <f t="shared" si="9"/>
        <v>1843726</v>
      </c>
      <c r="K81" s="168">
        <f t="shared" si="9"/>
        <v>1527199</v>
      </c>
      <c r="L81" s="168">
        <f t="shared" si="9"/>
        <v>1789556</v>
      </c>
      <c r="M81" s="168">
        <f t="shared" si="9"/>
        <v>1622354</v>
      </c>
      <c r="N81" s="168">
        <f t="shared" si="9"/>
        <v>1372890</v>
      </c>
      <c r="O81" s="168">
        <f>IFERROR(ROUNDDOWN(O12/O67,0),0)</f>
        <v>1745180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1105</v>
      </c>
      <c r="D88" s="150">
        <f>SUMIF('内訳ﾘｽﾄ(4～3月)'!$D$24:$D$25,'採算表(VND)'!$B88,'内訳ﾘｽﾄ(4～3月)'!G$24:G$25)</f>
        <v>1081</v>
      </c>
      <c r="E88" s="150">
        <f>SUMIF('内訳ﾘｽﾄ(4～3月)'!$D$24:$D$25,'採算表(VND)'!$B88,'内訳ﾘｽﾄ(4～3月)'!H$24:H$25)</f>
        <v>986</v>
      </c>
      <c r="F88" s="150">
        <f>SUMIF('内訳ﾘｽﾄ(4～3月)'!$D$24:$D$25,'採算表(VND)'!$B88,'内訳ﾘｽﾄ(4～3月)'!I$24:I$25)</f>
        <v>1104</v>
      </c>
      <c r="G88" s="150">
        <f>SUMIF('内訳ﾘｽﾄ(4～3月)'!$D$24:$D$25,'採算表(VND)'!$B88,'内訳ﾘｽﾄ(4～3月)'!J$24:J$25)</f>
        <v>1148</v>
      </c>
      <c r="H88" s="150">
        <f>SUMIF('内訳ﾘｽﾄ(4～3月)'!$D$24:$D$25,'採算表(VND)'!$B88,'内訳ﾘｽﾄ(4～3月)'!K$24:K$25)</f>
        <v>1160</v>
      </c>
      <c r="I88" s="150">
        <f>SUMIF('内訳ﾘｽﾄ(4～3月)'!$D$24:$D$25,'採算表(VND)'!$B88,'内訳ﾘｽﾄ(4～3月)'!L$24:L$25)</f>
        <v>1157</v>
      </c>
      <c r="J88" s="150">
        <f>SUMIF('内訳ﾘｽﾄ(4～3月)'!$D$24:$D$25,'採算表(VND)'!$B88,'内訳ﾘｽﾄ(4～3月)'!M$24:M$25)</f>
        <v>1158</v>
      </c>
      <c r="K88" s="150">
        <f>SUMIF('内訳ﾘｽﾄ(4～3月)'!$D$24:$D$25,'採算表(VND)'!$B88,'内訳ﾘｽﾄ(4～3月)'!N$24:N$25)</f>
        <v>1151</v>
      </c>
      <c r="L88" s="150">
        <f>SUMIF('内訳ﾘｽﾄ(4～3月)'!$D$24:$D$25,'採算表(VND)'!$B88,'内訳ﾘｽﾄ(4～3月)'!O$24:O$25)</f>
        <v>1194</v>
      </c>
      <c r="M88" s="150">
        <f>SUMIF('内訳ﾘｽﾄ(4～3月)'!$D$24:$D$25,'採算表(VND)'!$B88,'内訳ﾘｽﾄ(4～3月)'!P$24:P$25)</f>
        <v>1267</v>
      </c>
      <c r="N88" s="150">
        <f>SUMIF('内訳ﾘｽﾄ(4～3月)'!$D$24:$D$25,'採算表(VND)'!$B88,'内訳ﾘｽﾄ(4～3月)'!Q$24:Q$25)</f>
        <v>1222</v>
      </c>
      <c r="O88" s="150">
        <f>SUMIF('内訳ﾘｽﾄ(4～3月)'!$D$24:$D$25,'採算表(VND)'!$B88,'内訳ﾘｽﾄ(4～3月)'!R$24:R$25)</f>
        <v>1222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1105</v>
      </c>
      <c r="D89" s="151">
        <f t="shared" si="10"/>
        <v>1081</v>
      </c>
      <c r="E89" s="151">
        <f t="shared" si="10"/>
        <v>986</v>
      </c>
      <c r="F89" s="151">
        <f t="shared" si="10"/>
        <v>1104</v>
      </c>
      <c r="G89" s="151">
        <f t="shared" si="10"/>
        <v>1148</v>
      </c>
      <c r="H89" s="151">
        <f t="shared" si="10"/>
        <v>1160</v>
      </c>
      <c r="I89" s="151">
        <f t="shared" si="10"/>
        <v>1157</v>
      </c>
      <c r="J89" s="151">
        <f t="shared" si="10"/>
        <v>1158</v>
      </c>
      <c r="K89" s="151">
        <f t="shared" si="10"/>
        <v>1151</v>
      </c>
      <c r="L89" s="151">
        <f t="shared" si="10"/>
        <v>1194</v>
      </c>
      <c r="M89" s="151">
        <f t="shared" si="10"/>
        <v>1267</v>
      </c>
      <c r="N89" s="151">
        <f t="shared" si="10"/>
        <v>1222</v>
      </c>
      <c r="O89" s="151">
        <f>O87+O88</f>
        <v>1222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190578</v>
      </c>
      <c r="D93" s="161">
        <f>SUMIF('内訳ﾘｽﾄ(4～3月)'!$B$8:$B$15,$B93,'内訳ﾘｽﾄ(4～3月)'!G$8:G$15)</f>
        <v>176668.5</v>
      </c>
      <c r="E93" s="161">
        <f>SUMIF('内訳ﾘｽﾄ(4～3月)'!$B$8:$B$15,$B93,'内訳ﾘｽﾄ(4～3月)'!H$8:H$15)</f>
        <v>178520.5</v>
      </c>
      <c r="F93" s="161">
        <f>SUMIF('内訳ﾘｽﾄ(4～3月)'!$B$8:$B$15,$B93,'内訳ﾘｽﾄ(4～3月)'!I$8:I$15)</f>
        <v>218430.5</v>
      </c>
      <c r="G93" s="161">
        <f>SUMIF('内訳ﾘｽﾄ(4～3月)'!$B$8:$B$15,$B93,'内訳ﾘｽﾄ(4～3月)'!J$8:J$15)</f>
        <v>197710</v>
      </c>
      <c r="H93" s="161">
        <f>SUMIF('内訳ﾘｽﾄ(4～3月)'!$B$8:$B$15,$B93,'内訳ﾘｽﾄ(4～3月)'!K$8:K$15)</f>
        <v>189152.5</v>
      </c>
      <c r="I93" s="161">
        <f>SUMIF('内訳ﾘｽﾄ(4～3月)'!$B$8:$B$15,$B93,'内訳ﾘｽﾄ(4～3月)'!L$8:L$15)</f>
        <v>236568.5</v>
      </c>
      <c r="J93" s="161">
        <f>SUMIF('内訳ﾘｽﾄ(4～3月)'!$B$8:$B$15,$B93,'内訳ﾘｽﾄ(4～3月)'!M$8:M$15)</f>
        <v>199147</v>
      </c>
      <c r="K93" s="161">
        <f>SUMIF('内訳ﾘｽﾄ(4～3月)'!$B$8:$B$15,$B93,'内訳ﾘｽﾄ(4～3月)'!N$8:N$15)</f>
        <v>217371</v>
      </c>
      <c r="L93" s="161">
        <f>SUMIF('内訳ﾘｽﾄ(4～3月)'!$B$8:$B$15,$B93,'内訳ﾘｽﾄ(4～3月)'!O$8:O$15)</f>
        <v>205146</v>
      </c>
      <c r="M93" s="161">
        <f>SUMIF('内訳ﾘｽﾄ(4～3月)'!$B$8:$B$15,$B93,'内訳ﾘｽﾄ(4～3月)'!P$8:P$15)</f>
        <v>162428.5</v>
      </c>
      <c r="N93" s="161">
        <f>SUMIF('内訳ﾘｽﾄ(4～3月)'!$B$8:$B$15,$B93,'内訳ﾘｽﾄ(4～3月)'!Q$8:Q$15)</f>
        <v>228721</v>
      </c>
      <c r="O93" s="161">
        <f>SUMIF('内訳ﾘｽﾄ(4～3月)'!$B$8:$B$15,$B93,'内訳ﾘｽﾄ(4～3月)'!R$8:R$15)</f>
        <v>2400442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190578</v>
      </c>
      <c r="D94" s="169">
        <f t="shared" si="11"/>
        <v>176668.5</v>
      </c>
      <c r="E94" s="169">
        <f t="shared" si="11"/>
        <v>178520.5</v>
      </c>
      <c r="F94" s="169">
        <f t="shared" si="11"/>
        <v>218430.5</v>
      </c>
      <c r="G94" s="169">
        <f t="shared" si="11"/>
        <v>197710</v>
      </c>
      <c r="H94" s="169">
        <f t="shared" si="11"/>
        <v>189152.5</v>
      </c>
      <c r="I94" s="169">
        <f t="shared" si="11"/>
        <v>236568.5</v>
      </c>
      <c r="J94" s="169">
        <f t="shared" si="11"/>
        <v>199147</v>
      </c>
      <c r="K94" s="169">
        <f t="shared" si="11"/>
        <v>217371</v>
      </c>
      <c r="L94" s="169">
        <f t="shared" si="11"/>
        <v>205146</v>
      </c>
      <c r="M94" s="169">
        <f t="shared" si="11"/>
        <v>162428.5</v>
      </c>
      <c r="N94" s="169">
        <f t="shared" si="11"/>
        <v>228721</v>
      </c>
      <c r="O94" s="169">
        <f>O92+O93</f>
        <v>2400442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534</v>
      </c>
      <c r="D98" s="161">
        <f>SUMIF('内訳ﾘｽﾄ(4～3月)'!$B$16:$B$23,$B98,'内訳ﾘｽﾄ(4～3月)'!G$16:G$23)</f>
        <v>528</v>
      </c>
      <c r="E98" s="161">
        <f>SUMIF('内訳ﾘｽﾄ(4～3月)'!$B$16:$B$23,$B98,'内訳ﾘｽﾄ(4～3月)'!H$16:H$23)</f>
        <v>540</v>
      </c>
      <c r="F98" s="161">
        <f>SUMIF('内訳ﾘｽﾄ(4～3月)'!$B$16:$B$23,$B98,'内訳ﾘｽﾄ(4～3月)'!I$16:I$23)</f>
        <v>851</v>
      </c>
      <c r="G98" s="161">
        <f>SUMIF('内訳ﾘｽﾄ(4～3月)'!$B$16:$B$23,$B98,'内訳ﾘｽﾄ(4～3月)'!J$16:J$23)</f>
        <v>5700</v>
      </c>
      <c r="H98" s="161">
        <f>SUMIF('内訳ﾘｽﾄ(4～3月)'!$B$16:$B$23,$B98,'内訳ﾘｽﾄ(4～3月)'!K$16:K$23)</f>
        <v>17870</v>
      </c>
      <c r="I98" s="161">
        <f>SUMIF('内訳ﾘｽﾄ(4～3月)'!$B$16:$B$23,$B98,'内訳ﾘｽﾄ(4～3月)'!L$16:L$23)</f>
        <v>3075</v>
      </c>
      <c r="J98" s="161">
        <f>SUMIF('内訳ﾘｽﾄ(4～3月)'!$B$16:$B$23,$B98,'内訳ﾘｽﾄ(4～3月)'!M$16:M$23)</f>
        <v>7679</v>
      </c>
      <c r="K98" s="161">
        <f>SUMIF('内訳ﾘｽﾄ(4～3月)'!$B$16:$B$23,$B98,'内訳ﾘｽﾄ(4～3月)'!N$16:N$23)</f>
        <v>12063</v>
      </c>
      <c r="L98" s="161">
        <f>SUMIF('内訳ﾘｽﾄ(4～3月)'!$B$16:$B$23,$B98,'内訳ﾘｽﾄ(4～3月)'!O$16:O$23)</f>
        <v>16500</v>
      </c>
      <c r="M98" s="161">
        <f>SUMIF('内訳ﾘｽﾄ(4～3月)'!$B$16:$B$23,$B98,'内訳ﾘｽﾄ(4～3月)'!P$16:P$23)</f>
        <v>33926</v>
      </c>
      <c r="N98" s="161">
        <f>SUMIF('内訳ﾘｽﾄ(4～3月)'!$B$16:$B$23,$B98,'内訳ﾘｽﾄ(4～3月)'!Q$16:Q$23)</f>
        <v>27690</v>
      </c>
      <c r="O98" s="161">
        <f>SUMIF('内訳ﾘｽﾄ(4～3月)'!$B$16:$B$23,$B98,'内訳ﾘｽﾄ(4～3月)'!R$16:R$23)</f>
        <v>126956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534</v>
      </c>
      <c r="D99" s="169">
        <f t="shared" si="12"/>
        <v>528</v>
      </c>
      <c r="E99" s="169">
        <f t="shared" si="12"/>
        <v>540</v>
      </c>
      <c r="F99" s="169">
        <f t="shared" si="12"/>
        <v>851</v>
      </c>
      <c r="G99" s="169">
        <f t="shared" si="12"/>
        <v>5700</v>
      </c>
      <c r="H99" s="169">
        <f t="shared" si="12"/>
        <v>17870</v>
      </c>
      <c r="I99" s="169">
        <f t="shared" si="12"/>
        <v>3075</v>
      </c>
      <c r="J99" s="169">
        <f t="shared" si="12"/>
        <v>7679</v>
      </c>
      <c r="K99" s="169">
        <f t="shared" si="12"/>
        <v>12063</v>
      </c>
      <c r="L99" s="169">
        <f t="shared" si="12"/>
        <v>16500</v>
      </c>
      <c r="M99" s="169">
        <f t="shared" si="12"/>
        <v>33926</v>
      </c>
      <c r="N99" s="169">
        <f t="shared" si="12"/>
        <v>27690</v>
      </c>
      <c r="O99" s="169">
        <f>O97+O98</f>
        <v>126956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C943EE51-FA69-4DC9-939A-D5FCD667E05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9CA0-9FCA-469E-9152-F787F4F1FC72}">
  <sheetPr codeName="Sheet3">
    <tabColor indexed="13"/>
  </sheetPr>
  <dimension ref="A1:BK1001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20" sqref="F20:Q23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3.81640625" style="124" bestFit="1" customWidth="1"/>
    <col min="7" max="7" width="12.90625" style="125" customWidth="1"/>
    <col min="8" max="8" width="13.26953125" style="125" customWidth="1"/>
    <col min="9" max="9" width="13.6328125" style="125" customWidth="1"/>
    <col min="10" max="10" width="12.7265625" style="125" customWidth="1"/>
    <col min="11" max="17" width="12.363281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1412000081</v>
      </c>
      <c r="C5" s="7" t="str">
        <f>VLOOKUP($B$5,原価センタ!$A:$E,2,0)</f>
        <v>機器製造3課</v>
      </c>
      <c r="D5" s="62" t="str">
        <f>VLOOKUP($B$5,原価センタ!$A:$E,4,0)</f>
        <v>製造</v>
      </c>
      <c r="E5" s="62" t="str">
        <f>VLOOKUP($B$5,原価センタ!$A:$E,5,0)</f>
        <v>製造</v>
      </c>
      <c r="F5" s="252">
        <f t="shared" ref="F5:R5" si="0">SUM(F29:F1001)</f>
        <v>457145215660</v>
      </c>
      <c r="G5" s="252">
        <f t="shared" si="0"/>
        <v>454559148933</v>
      </c>
      <c r="H5" s="252">
        <f t="shared" si="0"/>
        <v>469072013816</v>
      </c>
      <c r="I5" s="252">
        <f t="shared" si="0"/>
        <v>482973170093</v>
      </c>
      <c r="J5" s="252">
        <f t="shared" si="0"/>
        <v>494162367782</v>
      </c>
      <c r="K5" s="252">
        <f t="shared" si="0"/>
        <v>394050665029</v>
      </c>
      <c r="L5" s="252">
        <f t="shared" si="0"/>
        <v>495043627375</v>
      </c>
      <c r="M5" s="252">
        <f t="shared" si="0"/>
        <v>466649112411</v>
      </c>
      <c r="N5" s="252">
        <f t="shared" si="0"/>
        <v>429764290202</v>
      </c>
      <c r="O5" s="252">
        <f t="shared" si="0"/>
        <v>470966774142</v>
      </c>
      <c r="P5" s="252">
        <f t="shared" si="0"/>
        <v>374372889774</v>
      </c>
      <c r="Q5" s="252">
        <f t="shared" si="0"/>
        <v>412452270250</v>
      </c>
      <c r="R5" s="253">
        <f t="shared" si="0"/>
        <v>5401211545467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v>0</v>
      </c>
      <c r="G8" s="186">
        <v>0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6">
        <v>0</v>
      </c>
      <c r="N8" s="186">
        <v>0</v>
      </c>
      <c r="O8" s="186">
        <v>0</v>
      </c>
      <c r="P8" s="186">
        <v>0</v>
      </c>
      <c r="Q8" s="186">
        <v>0</v>
      </c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177036</v>
      </c>
      <c r="G9" s="194">
        <v>164564.5</v>
      </c>
      <c r="H9" s="194">
        <v>165924.5</v>
      </c>
      <c r="I9" s="194">
        <v>203394.5</v>
      </c>
      <c r="J9" s="194">
        <v>183918</v>
      </c>
      <c r="K9" s="194">
        <v>176532.5</v>
      </c>
      <c r="L9" s="194">
        <v>221482.5</v>
      </c>
      <c r="M9" s="194">
        <v>185482</v>
      </c>
      <c r="N9" s="194">
        <v>202845</v>
      </c>
      <c r="O9" s="194">
        <v>191266</v>
      </c>
      <c r="P9" s="194">
        <v>152188.5</v>
      </c>
      <c r="Q9" s="194">
        <v>213429</v>
      </c>
      <c r="R9" s="195">
        <f t="shared" ref="R9:R23" si="1">SUM(F9:Q9)</f>
        <v>2238063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>
        <v>13542</v>
      </c>
      <c r="G11" s="194">
        <v>12104</v>
      </c>
      <c r="H11" s="194">
        <v>12596</v>
      </c>
      <c r="I11" s="194">
        <v>15036</v>
      </c>
      <c r="J11" s="194">
        <v>13792</v>
      </c>
      <c r="K11" s="194">
        <v>12620</v>
      </c>
      <c r="L11" s="194">
        <v>15086</v>
      </c>
      <c r="M11" s="194">
        <v>13665</v>
      </c>
      <c r="N11" s="194">
        <v>14526</v>
      </c>
      <c r="O11" s="194">
        <v>13880</v>
      </c>
      <c r="P11" s="194">
        <v>10240</v>
      </c>
      <c r="Q11" s="194">
        <v>15292</v>
      </c>
      <c r="R11" s="205">
        <f t="shared" si="1"/>
        <v>162379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>
        <v>43379.5</v>
      </c>
      <c r="G12" s="212">
        <v>40966</v>
      </c>
      <c r="H12" s="212">
        <v>45373.25</v>
      </c>
      <c r="I12" s="212">
        <v>56419.25</v>
      </c>
      <c r="J12" s="212">
        <v>48584.75</v>
      </c>
      <c r="K12" s="212">
        <v>47080.25</v>
      </c>
      <c r="L12" s="212">
        <v>54493</v>
      </c>
      <c r="M12" s="212">
        <v>46986.25</v>
      </c>
      <c r="N12" s="212">
        <v>51606.25</v>
      </c>
      <c r="O12" s="212">
        <v>45431.25</v>
      </c>
      <c r="P12" s="212">
        <v>36180.25</v>
      </c>
      <c r="Q12" s="212">
        <v>47529.75</v>
      </c>
      <c r="R12" s="213">
        <f t="shared" si="1"/>
        <v>564029.75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>
        <v>8598.5</v>
      </c>
      <c r="G13" s="212">
        <v>8381.5</v>
      </c>
      <c r="H13" s="212">
        <v>9285.75</v>
      </c>
      <c r="I13" s="212">
        <v>11596</v>
      </c>
      <c r="J13" s="212">
        <v>10202.25</v>
      </c>
      <c r="K13" s="212">
        <v>9713.5</v>
      </c>
      <c r="L13" s="212">
        <v>11215.5</v>
      </c>
      <c r="M13" s="212">
        <v>9735.75</v>
      </c>
      <c r="N13" s="212">
        <v>10787.75</v>
      </c>
      <c r="O13" s="212">
        <v>9357.5</v>
      </c>
      <c r="P13" s="212">
        <v>6977.75</v>
      </c>
      <c r="Q13" s="212">
        <v>9357.25</v>
      </c>
      <c r="R13" s="213">
        <f t="shared" si="1"/>
        <v>115209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>
        <v>4366.75</v>
      </c>
      <c r="G14" s="212">
        <v>4115.25</v>
      </c>
      <c r="H14" s="212">
        <v>4624.25</v>
      </c>
      <c r="I14" s="212">
        <v>5735.25</v>
      </c>
      <c r="J14" s="212">
        <v>5078.5</v>
      </c>
      <c r="K14" s="212">
        <v>4861</v>
      </c>
      <c r="L14" s="212">
        <v>5646.25</v>
      </c>
      <c r="M14" s="212">
        <v>4918.75</v>
      </c>
      <c r="N14" s="212">
        <v>5440</v>
      </c>
      <c r="O14" s="212">
        <v>4614.5</v>
      </c>
      <c r="P14" s="212">
        <v>3396.75</v>
      </c>
      <c r="Q14" s="212">
        <v>4603.25</v>
      </c>
      <c r="R14" s="213">
        <f t="shared" si="1"/>
        <v>57400.5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>
        <v>6694.5</v>
      </c>
      <c r="G15" s="212">
        <v>6667</v>
      </c>
      <c r="H15" s="212">
        <v>7043.75</v>
      </c>
      <c r="I15" s="212">
        <v>8000.5</v>
      </c>
      <c r="J15" s="212">
        <v>7312.25</v>
      </c>
      <c r="K15" s="212">
        <v>6846.5</v>
      </c>
      <c r="L15" s="212">
        <v>7603.25</v>
      </c>
      <c r="M15" s="212">
        <v>6943</v>
      </c>
      <c r="N15" s="212">
        <v>7487.25</v>
      </c>
      <c r="O15" s="212">
        <v>6397.25</v>
      </c>
      <c r="P15" s="212">
        <v>4792.5</v>
      </c>
      <c r="Q15" s="212">
        <v>6430.25</v>
      </c>
      <c r="R15" s="213">
        <f t="shared" si="1"/>
        <v>82218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>
        <v>0</v>
      </c>
      <c r="G16" s="194">
        <v>0</v>
      </c>
      <c r="H16" s="194">
        <v>0</v>
      </c>
      <c r="I16" s="194">
        <v>0</v>
      </c>
      <c r="J16" s="194">
        <v>0</v>
      </c>
      <c r="K16" s="194">
        <v>0</v>
      </c>
      <c r="L16" s="194">
        <v>0</v>
      </c>
      <c r="M16" s="194">
        <v>0</v>
      </c>
      <c r="N16" s="194">
        <v>0</v>
      </c>
      <c r="O16" s="194">
        <v>0</v>
      </c>
      <c r="P16" s="194">
        <v>0</v>
      </c>
      <c r="Q16" s="194">
        <v>0</v>
      </c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63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498</v>
      </c>
      <c r="G17" s="194">
        <v>492</v>
      </c>
      <c r="H17" s="194">
        <v>504</v>
      </c>
      <c r="I17" s="194">
        <v>516</v>
      </c>
      <c r="J17" s="194">
        <v>5234</v>
      </c>
      <c r="K17" s="194">
        <v>16465</v>
      </c>
      <c r="L17" s="194">
        <v>2131</v>
      </c>
      <c r="M17" s="194">
        <v>6936</v>
      </c>
      <c r="N17" s="194">
        <v>10342</v>
      </c>
      <c r="O17" s="194">
        <v>15011</v>
      </c>
      <c r="P17" s="194">
        <v>31127</v>
      </c>
      <c r="Q17" s="194">
        <v>25942</v>
      </c>
      <c r="R17" s="205">
        <f t="shared" si="1"/>
        <v>115198</v>
      </c>
      <c r="S17" s="206"/>
      <c r="T17" s="207"/>
      <c r="U17" s="190"/>
      <c r="V17" s="190"/>
      <c r="W17" s="190"/>
      <c r="BA17"/>
      <c r="BB17"/>
    </row>
    <row r="18" spans="1:63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63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>
        <v>36</v>
      </c>
      <c r="G19" s="216">
        <v>36</v>
      </c>
      <c r="H19" s="216">
        <v>36</v>
      </c>
      <c r="I19" s="216">
        <v>335</v>
      </c>
      <c r="J19" s="216">
        <v>466</v>
      </c>
      <c r="K19" s="216">
        <v>1405</v>
      </c>
      <c r="L19" s="216">
        <v>944</v>
      </c>
      <c r="M19" s="216">
        <v>743</v>
      </c>
      <c r="N19" s="216">
        <v>1721</v>
      </c>
      <c r="O19" s="216">
        <v>1489</v>
      </c>
      <c r="P19" s="216">
        <v>2799</v>
      </c>
      <c r="Q19" s="216">
        <v>1748</v>
      </c>
      <c r="R19" s="216">
        <f t="shared" si="1"/>
        <v>11758</v>
      </c>
      <c r="S19" s="206"/>
      <c r="T19" s="207"/>
      <c r="U19" s="190"/>
      <c r="V19" s="190"/>
      <c r="W19" s="190"/>
      <c r="BA19"/>
      <c r="BB19"/>
    </row>
    <row r="20" spans="1:63" s="208" customFormat="1" ht="13">
      <c r="A20" s="203"/>
      <c r="B20" s="262"/>
      <c r="C20" s="209" t="s">
        <v>458</v>
      </c>
      <c r="D20" s="210" t="s">
        <v>452</v>
      </c>
      <c r="E20" s="211"/>
      <c r="F20" s="212">
        <v>3217</v>
      </c>
      <c r="G20" s="212">
        <v>3212.75</v>
      </c>
      <c r="H20" s="212">
        <v>3261.75</v>
      </c>
      <c r="I20" s="212">
        <v>3795</v>
      </c>
      <c r="J20" s="212">
        <v>4538.25</v>
      </c>
      <c r="K20" s="212">
        <v>4665.5</v>
      </c>
      <c r="L20" s="212">
        <v>4562.75</v>
      </c>
      <c r="M20" s="212">
        <v>4056</v>
      </c>
      <c r="N20" s="212">
        <v>4710.75</v>
      </c>
      <c r="O20" s="212">
        <v>4773</v>
      </c>
      <c r="P20" s="212">
        <v>4865.25</v>
      </c>
      <c r="Q20" s="212">
        <v>4999.5</v>
      </c>
      <c r="R20" s="213">
        <f t="shared" si="1"/>
        <v>50657.5</v>
      </c>
      <c r="S20" s="214" t="s">
        <v>692</v>
      </c>
      <c r="T20" s="207"/>
      <c r="U20" s="190"/>
      <c r="V20" s="190"/>
      <c r="W20" s="190"/>
      <c r="BA20"/>
      <c r="BB20"/>
    </row>
    <row r="21" spans="1:63" s="208" customFormat="1" ht="13">
      <c r="A21" s="203"/>
      <c r="B21" s="262"/>
      <c r="C21" s="209" t="s">
        <v>342</v>
      </c>
      <c r="D21" s="210" t="s">
        <v>454</v>
      </c>
      <c r="E21" s="211"/>
      <c r="F21" s="212">
        <v>467</v>
      </c>
      <c r="G21" s="212">
        <v>460.75</v>
      </c>
      <c r="H21" s="212">
        <v>526.75</v>
      </c>
      <c r="I21" s="212">
        <v>684.25</v>
      </c>
      <c r="J21" s="212">
        <v>566</v>
      </c>
      <c r="K21" s="212">
        <v>554.75</v>
      </c>
      <c r="L21" s="212">
        <v>648.75</v>
      </c>
      <c r="M21" s="212">
        <v>543.75</v>
      </c>
      <c r="N21" s="212">
        <v>549</v>
      </c>
      <c r="O21" s="212">
        <v>477.75</v>
      </c>
      <c r="P21" s="212">
        <v>399</v>
      </c>
      <c r="Q21" s="212">
        <v>559.25</v>
      </c>
      <c r="R21" s="213">
        <f t="shared" si="1"/>
        <v>6437</v>
      </c>
      <c r="S21" s="214" t="s">
        <v>692</v>
      </c>
      <c r="T21" s="207"/>
      <c r="U21" s="190"/>
      <c r="V21" s="190"/>
      <c r="W21" s="190"/>
      <c r="BA21"/>
      <c r="BB21"/>
    </row>
    <row r="22" spans="1:63" s="208" customFormat="1" ht="13">
      <c r="A22" s="203"/>
      <c r="B22" s="262"/>
      <c r="C22" s="209" t="s">
        <v>459</v>
      </c>
      <c r="D22" s="210" t="s">
        <v>456</v>
      </c>
      <c r="E22" s="211"/>
      <c r="F22" s="212">
        <v>347.5</v>
      </c>
      <c r="G22" s="212">
        <v>329.75</v>
      </c>
      <c r="H22" s="212">
        <v>358.25</v>
      </c>
      <c r="I22" s="212">
        <v>412.75</v>
      </c>
      <c r="J22" s="212">
        <v>399</v>
      </c>
      <c r="K22" s="212">
        <v>352.25</v>
      </c>
      <c r="L22" s="212">
        <v>373.75</v>
      </c>
      <c r="M22" s="212">
        <v>347.5</v>
      </c>
      <c r="N22" s="212">
        <v>366.75</v>
      </c>
      <c r="O22" s="212">
        <v>339.25</v>
      </c>
      <c r="P22" s="212">
        <v>303.75</v>
      </c>
      <c r="Q22" s="212">
        <v>356.25</v>
      </c>
      <c r="R22" s="213">
        <f t="shared" si="1"/>
        <v>4286.75</v>
      </c>
      <c r="S22" s="214" t="s">
        <v>692</v>
      </c>
      <c r="T22" s="207"/>
      <c r="U22" s="190"/>
      <c r="V22" s="190"/>
      <c r="W22" s="190"/>
      <c r="BA22"/>
      <c r="BB22"/>
    </row>
    <row r="23" spans="1:63" s="208" customFormat="1" ht="13">
      <c r="A23" s="203"/>
      <c r="B23" s="262"/>
      <c r="C23" s="209" t="s">
        <v>460</v>
      </c>
      <c r="D23" s="210" t="s">
        <v>450</v>
      </c>
      <c r="E23" s="211"/>
      <c r="F23" s="212">
        <v>374.75</v>
      </c>
      <c r="G23" s="212">
        <v>332</v>
      </c>
      <c r="H23" s="212">
        <v>297</v>
      </c>
      <c r="I23" s="212">
        <v>346.25</v>
      </c>
      <c r="J23" s="212">
        <v>321.5</v>
      </c>
      <c r="K23" s="212">
        <v>434.75</v>
      </c>
      <c r="L23" s="212">
        <v>323.25</v>
      </c>
      <c r="M23" s="212">
        <v>307.25</v>
      </c>
      <c r="N23" s="212">
        <v>313</v>
      </c>
      <c r="O23" s="212">
        <v>258.75</v>
      </c>
      <c r="P23" s="212">
        <v>421</v>
      </c>
      <c r="Q23" s="212">
        <v>282.75</v>
      </c>
      <c r="R23" s="213">
        <f t="shared" si="1"/>
        <v>4012.25</v>
      </c>
      <c r="S23" s="214" t="s">
        <v>692</v>
      </c>
      <c r="T23" s="207"/>
      <c r="U23" s="190"/>
      <c r="V23" s="190"/>
      <c r="W23" s="190"/>
      <c r="BA23"/>
      <c r="BB23"/>
    </row>
    <row r="24" spans="1:63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0</v>
      </c>
      <c r="G24" s="267">
        <v>0</v>
      </c>
      <c r="H24" s="267">
        <v>0</v>
      </c>
      <c r="I24" s="267">
        <v>0</v>
      </c>
      <c r="J24" s="267">
        <v>0</v>
      </c>
      <c r="K24" s="267">
        <v>0</v>
      </c>
      <c r="L24" s="267">
        <v>0</v>
      </c>
      <c r="M24" s="267">
        <v>0</v>
      </c>
      <c r="N24" s="267">
        <v>0</v>
      </c>
      <c r="O24" s="267">
        <v>0</v>
      </c>
      <c r="P24" s="267">
        <v>0</v>
      </c>
      <c r="Q24" s="267">
        <v>0</v>
      </c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63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1105</v>
      </c>
      <c r="G25" s="271">
        <v>1081</v>
      </c>
      <c r="H25" s="271">
        <v>986</v>
      </c>
      <c r="I25" s="271">
        <v>1104</v>
      </c>
      <c r="J25" s="271">
        <v>1148</v>
      </c>
      <c r="K25" s="271">
        <v>1160</v>
      </c>
      <c r="L25" s="271">
        <v>1157</v>
      </c>
      <c r="M25" s="271">
        <v>1158</v>
      </c>
      <c r="N25" s="271">
        <v>1151</v>
      </c>
      <c r="O25" s="271">
        <v>1194</v>
      </c>
      <c r="P25" s="271">
        <v>1267</v>
      </c>
      <c r="Q25" s="271">
        <v>1222</v>
      </c>
      <c r="R25" s="272">
        <f>Q25</f>
        <v>1222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  <c r="BE25" s="191">
        <v>12</v>
      </c>
      <c r="BF25" s="191">
        <v>12</v>
      </c>
      <c r="BH25" s="191">
        <v>13</v>
      </c>
      <c r="BI25" s="191">
        <v>14</v>
      </c>
      <c r="BJ25" s="191">
        <v>15</v>
      </c>
      <c r="BK25" s="191">
        <v>16</v>
      </c>
    </row>
    <row r="26" spans="1:63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>ROUNDDOWN(V26*$B$2,0)+1</f>
        <v>485152352319</v>
      </c>
      <c r="G26" s="220">
        <f>ROUNDDOWN(W26*$B$2,0)+1</f>
        <v>510255223157</v>
      </c>
      <c r="H26" s="220">
        <f>ROUNDDOWN(X26*$B$2,0)+1+1</f>
        <v>529944150272</v>
      </c>
      <c r="I26" s="220">
        <f t="shared" ref="I26:P28" si="2">ROUNDDOWN(Y26*$B$2,0)</f>
        <v>540766952353</v>
      </c>
      <c r="J26" s="220">
        <f t="shared" ref="J26:J28" si="3">ROUNDDOWN(Z26*$B$2,0)+1</f>
        <v>558231867047</v>
      </c>
      <c r="K26" s="220">
        <f t="shared" ref="K26:K28" si="4">ROUNDDOWN(AA26*$B$2,0)+1</f>
        <v>436489967438</v>
      </c>
      <c r="L26" s="220">
        <f t="shared" ref="L26:L28" si="5">ROUNDDOWN(AB26*$B$2,0)+1</f>
        <v>562787788726</v>
      </c>
      <c r="M26" s="220">
        <f t="shared" ref="M26:M27" si="6">ROUNDDOWN(AC26*$B$2,0)+1</f>
        <v>530443727720</v>
      </c>
      <c r="N26" s="220">
        <f t="shared" ref="N26:N28" si="7">ROUNDDOWN(AD26*$B$2,0)+1</f>
        <v>486108108851</v>
      </c>
      <c r="O26" s="220">
        <f t="shared" ref="O26:O28" si="8">ROUNDDOWN(AE26*$B$2,0)+1</f>
        <v>537744556968</v>
      </c>
      <c r="P26" s="220">
        <f>ROUNDDOWN(AF26*$B$2,0)+1</f>
        <v>421348717616</v>
      </c>
      <c r="Q26" s="220">
        <f>ROUNDDOWN(AG26*$B$2,0)+1+1</f>
        <v>464596127433</v>
      </c>
      <c r="R26" s="221">
        <f t="shared" ref="R26:R118" si="9">SUM(F26:Q26)</f>
        <v>6063869539900</v>
      </c>
      <c r="S26" s="222" t="s">
        <v>75</v>
      </c>
      <c r="T26" s="223"/>
      <c r="U26" s="190"/>
      <c r="V26" s="224">
        <v>19108009.149999999</v>
      </c>
      <c r="W26" s="224">
        <v>20096700.399999999</v>
      </c>
      <c r="X26" s="225">
        <v>20872160.309999999</v>
      </c>
      <c r="Y26" s="225">
        <v>21298422.699999999</v>
      </c>
      <c r="Z26" s="225">
        <v>21986288.579999998</v>
      </c>
      <c r="AA26" s="225">
        <v>17191412.66</v>
      </c>
      <c r="AB26" s="225">
        <v>22165726.219999999</v>
      </c>
      <c r="AC26" s="225">
        <v>20891836.460000001</v>
      </c>
      <c r="AD26" s="225">
        <v>19145652.18</v>
      </c>
      <c r="AE26" s="225">
        <v>21179383.890000001</v>
      </c>
      <c r="AF26" s="225">
        <v>16595065.68</v>
      </c>
      <c r="AG26" s="225">
        <v>18298390.210000001</v>
      </c>
      <c r="BA26"/>
      <c r="BB26"/>
      <c r="BE26" s="191">
        <v>16725810.18</v>
      </c>
      <c r="BF26" s="191">
        <v>16661050.76</v>
      </c>
      <c r="BH26" s="191">
        <v>12549758.33</v>
      </c>
      <c r="BI26" s="191">
        <v>18362242.559999999</v>
      </c>
    </row>
    <row r="27" spans="1:63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ref="F27:F28" si="10">ROUNDDOWN(V27*$B$2,0)+1</f>
        <v>62202454</v>
      </c>
      <c r="G27" s="230">
        <f t="shared" ref="G27:G28" si="11">ROUNDDOWN(W27*$B$2,0)+1</f>
        <v>83051452</v>
      </c>
      <c r="H27" s="230">
        <f t="shared" ref="H27:H28" si="12">ROUNDDOWN(X27*$B$2,0)+1</f>
        <v>80704908</v>
      </c>
      <c r="I27" s="230">
        <f t="shared" ref="I27:I28" si="13">ROUNDDOWN(Y27*$B$2,0)+1</f>
        <v>85609241</v>
      </c>
      <c r="J27" s="230">
        <f t="shared" si="3"/>
        <v>102049774</v>
      </c>
      <c r="K27" s="230">
        <f t="shared" si="4"/>
        <v>63883272</v>
      </c>
      <c r="L27" s="230">
        <f t="shared" si="5"/>
        <v>62979388</v>
      </c>
      <c r="M27" s="230">
        <f t="shared" si="6"/>
        <v>83857077</v>
      </c>
      <c r="N27" s="230">
        <f t="shared" si="7"/>
        <v>68926995</v>
      </c>
      <c r="O27" s="230">
        <f t="shared" si="8"/>
        <v>81852536</v>
      </c>
      <c r="P27" s="230">
        <f t="shared" si="2"/>
        <v>57983143</v>
      </c>
      <c r="Q27" s="230">
        <f t="shared" ref="Q27:Q28" si="14">ROUNDDOWN(AG27*$B$2,0)+1</f>
        <v>66727967</v>
      </c>
      <c r="R27" s="221">
        <f t="shared" si="9"/>
        <v>899828207</v>
      </c>
      <c r="S27" s="231" t="s">
        <v>75</v>
      </c>
      <c r="T27" s="202"/>
      <c r="U27" s="190"/>
      <c r="V27" s="224">
        <v>2449.88</v>
      </c>
      <c r="W27" s="224">
        <v>3271.03</v>
      </c>
      <c r="X27" s="225">
        <v>3178.61</v>
      </c>
      <c r="Y27" s="225">
        <v>3371.77</v>
      </c>
      <c r="Z27" s="225">
        <v>4019.29</v>
      </c>
      <c r="AA27" s="225">
        <v>2516.08</v>
      </c>
      <c r="AB27" s="225">
        <v>2480.48</v>
      </c>
      <c r="AC27" s="225">
        <v>3302.76</v>
      </c>
      <c r="AD27" s="225">
        <v>2714.73</v>
      </c>
      <c r="AE27" s="225">
        <v>3223.81</v>
      </c>
      <c r="AF27" s="225">
        <v>2283.6999999999998</v>
      </c>
      <c r="AG27" s="225">
        <v>2628.12</v>
      </c>
      <c r="BA27"/>
      <c r="BB27"/>
      <c r="BE27" s="191">
        <v>1442.66</v>
      </c>
      <c r="BF27" s="191">
        <v>1613.24</v>
      </c>
      <c r="BH27" s="191">
        <v>71.040000000000006</v>
      </c>
      <c r="BI27" s="191">
        <v>0</v>
      </c>
    </row>
    <row r="28" spans="1:63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10"/>
        <v>6176941406</v>
      </c>
      <c r="G28" s="230">
        <f t="shared" si="11"/>
        <v>6508307312</v>
      </c>
      <c r="H28" s="230">
        <f t="shared" si="12"/>
        <v>6783584422</v>
      </c>
      <c r="I28" s="230">
        <f t="shared" si="13"/>
        <v>6798100647</v>
      </c>
      <c r="J28" s="230">
        <f t="shared" si="3"/>
        <v>7137511882</v>
      </c>
      <c r="K28" s="230">
        <f t="shared" si="4"/>
        <v>5241212760</v>
      </c>
      <c r="L28" s="230">
        <f t="shared" si="5"/>
        <v>13767017850</v>
      </c>
      <c r="M28" s="230">
        <f t="shared" si="2"/>
        <v>13059349039</v>
      </c>
      <c r="N28" s="230">
        <f t="shared" si="7"/>
        <v>11684093850</v>
      </c>
      <c r="O28" s="230">
        <f t="shared" si="8"/>
        <v>12957948235</v>
      </c>
      <c r="P28" s="230">
        <f>ROUNDDOWN(AF28*$B$2,0)+1</f>
        <v>9830400672</v>
      </c>
      <c r="Q28" s="230">
        <f t="shared" si="14"/>
        <v>10882440400</v>
      </c>
      <c r="R28" s="221">
        <f t="shared" si="9"/>
        <v>110826908475</v>
      </c>
      <c r="S28" s="231" t="s">
        <v>75</v>
      </c>
      <c r="T28" s="202"/>
      <c r="U28" s="190"/>
      <c r="V28" s="224">
        <v>243282.45</v>
      </c>
      <c r="W28" s="224">
        <v>256333.49</v>
      </c>
      <c r="X28" s="225">
        <v>267175.44</v>
      </c>
      <c r="Y28" s="225">
        <v>267747.17</v>
      </c>
      <c r="Z28" s="225">
        <v>281115.08</v>
      </c>
      <c r="AA28" s="225">
        <v>206428.23</v>
      </c>
      <c r="AB28" s="225">
        <v>542222.05000000005</v>
      </c>
      <c r="AC28" s="225">
        <v>514350.1</v>
      </c>
      <c r="AD28" s="225">
        <v>460184.87</v>
      </c>
      <c r="AE28" s="225">
        <v>510356.37</v>
      </c>
      <c r="AF28" s="225">
        <v>387176.08</v>
      </c>
      <c r="AG28" s="225">
        <v>428611.28</v>
      </c>
      <c r="BA28"/>
      <c r="BB28"/>
      <c r="BE28" s="191">
        <v>172413.55</v>
      </c>
      <c r="BF28" s="191">
        <v>171440.63</v>
      </c>
      <c r="BH28" s="191">
        <v>147714.10999999999</v>
      </c>
      <c r="BI28" s="191">
        <v>218528.56</v>
      </c>
    </row>
    <row r="29" spans="1:63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15">ROUNDUP(V29*$B$2,0)</f>
        <v>428086095030</v>
      </c>
      <c r="G29" s="235">
        <f t="shared" si="15"/>
        <v>425084493293</v>
      </c>
      <c r="H29" s="235">
        <f t="shared" si="15"/>
        <v>441796096080</v>
      </c>
      <c r="I29" s="235">
        <f t="shared" si="15"/>
        <v>450579585803</v>
      </c>
      <c r="J29" s="235">
        <f t="shared" si="15"/>
        <v>462813006013</v>
      </c>
      <c r="K29" s="235">
        <f t="shared" si="15"/>
        <v>362202433580</v>
      </c>
      <c r="L29" s="235">
        <f t="shared" si="15"/>
        <v>460923906988</v>
      </c>
      <c r="M29" s="235">
        <f t="shared" si="15"/>
        <v>434154055193</v>
      </c>
      <c r="N29" s="235">
        <f t="shared" si="15"/>
        <v>396121394646</v>
      </c>
      <c r="O29" s="235">
        <f t="shared" si="15"/>
        <v>437987887303</v>
      </c>
      <c r="P29" s="235">
        <f t="shared" si="15"/>
        <v>343369582872</v>
      </c>
      <c r="Q29" s="235">
        <f t="shared" si="15"/>
        <v>378831808059</v>
      </c>
      <c r="R29" s="236">
        <f t="shared" si="9"/>
        <v>5021950344860</v>
      </c>
      <c r="S29" s="237" t="s">
        <v>75</v>
      </c>
      <c r="T29" s="238"/>
      <c r="U29" s="190"/>
      <c r="V29" s="224">
        <v>16860421.229999997</v>
      </c>
      <c r="W29" s="224">
        <v>16742201.390000001</v>
      </c>
      <c r="X29" s="225">
        <v>17400397.640000001</v>
      </c>
      <c r="Y29" s="225">
        <v>17746340.52</v>
      </c>
      <c r="Z29" s="225">
        <v>18228160.93</v>
      </c>
      <c r="AA29" s="225">
        <v>14265554.689999999</v>
      </c>
      <c r="AB29" s="225">
        <v>18153757.66</v>
      </c>
      <c r="AC29" s="225">
        <v>17099411.390000001</v>
      </c>
      <c r="AD29" s="225">
        <v>15601472.809999999</v>
      </c>
      <c r="AE29" s="225">
        <v>17250409.109999999</v>
      </c>
      <c r="AF29" s="225">
        <v>13523811.85</v>
      </c>
      <c r="AG29" s="225">
        <v>14920512.329999998</v>
      </c>
      <c r="BA29"/>
      <c r="BB29"/>
      <c r="BE29" s="191">
        <v>13026574.76</v>
      </c>
      <c r="BF29" s="191">
        <v>13555832.25</v>
      </c>
      <c r="BH29" s="191">
        <v>10314026.779999999</v>
      </c>
      <c r="BI29" s="191">
        <v>15017802.300000001</v>
      </c>
    </row>
    <row r="30" spans="1:63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9"/>
        <v>0</v>
      </c>
      <c r="S30" s="201"/>
      <c r="T30" s="202"/>
      <c r="U30" s="190"/>
      <c r="V30" s="190"/>
      <c r="W30" s="190"/>
      <c r="BA30"/>
      <c r="BB30"/>
    </row>
    <row r="31" spans="1:63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>
        <v>4484539383</v>
      </c>
      <c r="G31" s="241">
        <v>4234400121</v>
      </c>
      <c r="H31" s="241">
        <v>3825248203</v>
      </c>
      <c r="I31" s="241">
        <v>4504618067</v>
      </c>
      <c r="J31" s="241">
        <v>4540122625</v>
      </c>
      <c r="K31" s="241">
        <v>4477131833</v>
      </c>
      <c r="L31" s="241">
        <v>4375203120</v>
      </c>
      <c r="M31" s="241">
        <v>4099216550</v>
      </c>
      <c r="N31" s="241">
        <v>4195411208</v>
      </c>
      <c r="O31" s="241">
        <v>3934824908</v>
      </c>
      <c r="P31" s="241">
        <v>4136550530</v>
      </c>
      <c r="Q31" s="241">
        <v>3995835475</v>
      </c>
      <c r="R31" s="200">
        <f t="shared" si="9"/>
        <v>50803102023</v>
      </c>
      <c r="S31" s="201" t="s">
        <v>692</v>
      </c>
      <c r="T31" s="202"/>
      <c r="U31" s="190"/>
      <c r="V31" s="190">
        <f>ROUNDDOWN(F26/$B$2,2)-V26</f>
        <v>0</v>
      </c>
      <c r="W31" s="190">
        <f t="shared" ref="W31:AG31" si="16">ROUNDDOWN(G26/$B$2,2)-W26</f>
        <v>0</v>
      </c>
      <c r="X31" s="190">
        <f t="shared" si="16"/>
        <v>0</v>
      </c>
      <c r="Y31" s="190">
        <f t="shared" si="16"/>
        <v>0</v>
      </c>
      <c r="Z31" s="190">
        <f t="shared" si="16"/>
        <v>0</v>
      </c>
      <c r="AA31" s="190">
        <f t="shared" si="16"/>
        <v>0</v>
      </c>
      <c r="AB31" s="190">
        <f t="shared" si="16"/>
        <v>0</v>
      </c>
      <c r="AC31" s="190">
        <f t="shared" si="16"/>
        <v>0</v>
      </c>
      <c r="AD31" s="190">
        <f t="shared" si="16"/>
        <v>0</v>
      </c>
      <c r="AE31" s="190">
        <f t="shared" si="16"/>
        <v>0</v>
      </c>
      <c r="AF31" s="190">
        <f t="shared" si="16"/>
        <v>0</v>
      </c>
      <c r="AG31" s="190">
        <f t="shared" si="16"/>
        <v>0</v>
      </c>
      <c r="BA31"/>
      <c r="BB31"/>
      <c r="BE31" s="208" t="e">
        <v>#REF!</v>
      </c>
      <c r="BF31" s="208" t="e">
        <v>#REF!</v>
      </c>
      <c r="BG31" s="208" t="e">
        <v>#REF!</v>
      </c>
      <c r="BH31" s="208" t="e">
        <v>#REF!</v>
      </c>
      <c r="BI31" s="208" t="e">
        <v>#REF!</v>
      </c>
    </row>
    <row r="32" spans="1:63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>
        <v>457115709</v>
      </c>
      <c r="G32" s="241">
        <v>427796752</v>
      </c>
      <c r="H32" s="241">
        <v>393536247</v>
      </c>
      <c r="I32" s="241">
        <v>591990067</v>
      </c>
      <c r="J32" s="241">
        <v>526404682</v>
      </c>
      <c r="K32" s="241">
        <v>352039827</v>
      </c>
      <c r="L32" s="241">
        <v>359863292</v>
      </c>
      <c r="M32" s="241">
        <v>341668622</v>
      </c>
      <c r="N32" s="241">
        <v>300590016</v>
      </c>
      <c r="O32" s="241">
        <v>263631183</v>
      </c>
      <c r="P32" s="241">
        <v>304384792</v>
      </c>
      <c r="Q32" s="241">
        <v>288047190</v>
      </c>
      <c r="R32" s="200">
        <f t="shared" si="9"/>
        <v>4607068379</v>
      </c>
      <c r="S32" s="201" t="s">
        <v>692</v>
      </c>
      <c r="T32" s="202"/>
      <c r="U32" s="190"/>
      <c r="V32" s="190">
        <f t="shared" ref="V32:AG33" si="17">ROUNDDOWN(F27/$B$2,2)-V27</f>
        <v>0</v>
      </c>
      <c r="W32" s="190">
        <f t="shared" si="17"/>
        <v>0</v>
      </c>
      <c r="X32" s="190">
        <f t="shared" si="17"/>
        <v>0</v>
      </c>
      <c r="Y32" s="190">
        <f t="shared" si="17"/>
        <v>0</v>
      </c>
      <c r="Z32" s="190">
        <f t="shared" si="17"/>
        <v>0</v>
      </c>
      <c r="AA32" s="190">
        <f t="shared" si="17"/>
        <v>0</v>
      </c>
      <c r="AB32" s="190">
        <f t="shared" si="17"/>
        <v>0</v>
      </c>
      <c r="AC32" s="190">
        <f t="shared" si="17"/>
        <v>0</v>
      </c>
      <c r="AD32" s="190">
        <f t="shared" si="17"/>
        <v>0</v>
      </c>
      <c r="AE32" s="190">
        <f t="shared" si="17"/>
        <v>0</v>
      </c>
      <c r="AF32" s="190">
        <f t="shared" si="17"/>
        <v>0</v>
      </c>
      <c r="AG32" s="190">
        <f t="shared" si="17"/>
        <v>0</v>
      </c>
      <c r="BA32"/>
      <c r="BB32"/>
      <c r="BE32" s="208" t="e">
        <v>#REF!</v>
      </c>
      <c r="BF32" s="208" t="e">
        <v>#REF!</v>
      </c>
      <c r="BG32" s="208" t="e">
        <v>#REF!</v>
      </c>
      <c r="BH32" s="208" t="e">
        <v>#REF!</v>
      </c>
      <c r="BI32" s="208" t="e">
        <v>#REF!</v>
      </c>
    </row>
    <row r="33" spans="1:63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>
        <v>580340625</v>
      </c>
      <c r="G33" s="241">
        <v>360975478</v>
      </c>
      <c r="H33" s="241">
        <v>320031341</v>
      </c>
      <c r="I33" s="241">
        <v>364806668</v>
      </c>
      <c r="J33" s="241">
        <v>377064541</v>
      </c>
      <c r="K33" s="241">
        <v>290398362</v>
      </c>
      <c r="L33" s="241">
        <v>890088409</v>
      </c>
      <c r="M33" s="241">
        <v>335621262</v>
      </c>
      <c r="N33" s="241">
        <v>373320503</v>
      </c>
      <c r="O33" s="241">
        <v>257569558</v>
      </c>
      <c r="P33" s="241">
        <v>326339655</v>
      </c>
      <c r="Q33" s="241">
        <v>236172393</v>
      </c>
      <c r="R33" s="200">
        <f t="shared" si="9"/>
        <v>4712728795</v>
      </c>
      <c r="S33" s="201" t="s">
        <v>692</v>
      </c>
      <c r="T33" s="202"/>
      <c r="U33" s="190"/>
      <c r="V33" s="190">
        <f t="shared" si="17"/>
        <v>0</v>
      </c>
      <c r="W33" s="190">
        <f t="shared" si="17"/>
        <v>0</v>
      </c>
      <c r="X33" s="190">
        <f t="shared" si="17"/>
        <v>0</v>
      </c>
      <c r="Y33" s="190">
        <f t="shared" si="17"/>
        <v>0</v>
      </c>
      <c r="Z33" s="190">
        <f t="shared" si="17"/>
        <v>0</v>
      </c>
      <c r="AA33" s="190">
        <f t="shared" si="17"/>
        <v>0</v>
      </c>
      <c r="AB33" s="190">
        <f t="shared" si="17"/>
        <v>0</v>
      </c>
      <c r="AC33" s="190">
        <f t="shared" si="17"/>
        <v>0</v>
      </c>
      <c r="AD33" s="190">
        <f t="shared" si="17"/>
        <v>0</v>
      </c>
      <c r="AE33" s="190">
        <f t="shared" si="17"/>
        <v>0</v>
      </c>
      <c r="AF33" s="190">
        <f t="shared" si="17"/>
        <v>0</v>
      </c>
      <c r="AG33" s="190">
        <f t="shared" si="17"/>
        <v>0</v>
      </c>
      <c r="BA33"/>
      <c r="BB33"/>
      <c r="BE33" s="208" t="e">
        <v>#REF!</v>
      </c>
      <c r="BF33" s="208" t="e">
        <v>#REF!</v>
      </c>
      <c r="BG33" s="208" t="e">
        <v>#REF!</v>
      </c>
      <c r="BH33" s="208" t="e">
        <v>#REF!</v>
      </c>
      <c r="BI33" s="208" t="e">
        <v>#REF!</v>
      </c>
    </row>
    <row r="34" spans="1:63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>
        <v>3392143082</v>
      </c>
      <c r="G34" s="241">
        <v>4333794674</v>
      </c>
      <c r="H34" s="241">
        <v>3208539814</v>
      </c>
      <c r="I34" s="241">
        <v>4897309755</v>
      </c>
      <c r="J34" s="241">
        <v>2728643331</v>
      </c>
      <c r="K34" s="241">
        <v>2667080847</v>
      </c>
      <c r="L34" s="241">
        <v>3183359766</v>
      </c>
      <c r="M34" s="241">
        <v>2681894655</v>
      </c>
      <c r="N34" s="241">
        <v>2652440494</v>
      </c>
      <c r="O34" s="241">
        <v>2675123012</v>
      </c>
      <c r="P34" s="241">
        <v>1847314558</v>
      </c>
      <c r="Q34" s="241">
        <v>1906414266</v>
      </c>
      <c r="R34" s="200">
        <f t="shared" si="9"/>
        <v>36174058254</v>
      </c>
      <c r="S34" s="201" t="s">
        <v>692</v>
      </c>
      <c r="T34" s="202"/>
      <c r="U34" s="190"/>
      <c r="V34" s="190"/>
      <c r="W34" s="190"/>
      <c r="BA34"/>
      <c r="BB34"/>
    </row>
    <row r="35" spans="1:63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9"/>
        <v>0</v>
      </c>
      <c r="S35" s="201"/>
      <c r="T35" s="202"/>
      <c r="U35" s="190"/>
      <c r="V35" s="190"/>
      <c r="W35" s="190"/>
      <c r="BA35"/>
      <c r="BB35"/>
    </row>
    <row r="36" spans="1:63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>
        <f t="shared" ref="F36" si="18">ROUNDUP(V36*$B$2,0)</f>
        <v>847526833</v>
      </c>
      <c r="G36" s="241">
        <f t="shared" ref="G36" si="19">ROUNDUP(W36*$B$2,0)</f>
        <v>798775494</v>
      </c>
      <c r="H36" s="241">
        <f t="shared" ref="H36" si="20">ROUNDUP(X36*$B$2,0)</f>
        <v>848676492</v>
      </c>
      <c r="I36" s="241">
        <f t="shared" ref="I36" si="21">ROUNDUP(Y36*$B$2,0)</f>
        <v>1073633162</v>
      </c>
      <c r="J36" s="241">
        <f t="shared" ref="J36" si="22">ROUNDUP(Z36*$B$2,0)</f>
        <v>981207468</v>
      </c>
      <c r="K36" s="241">
        <f t="shared" ref="K36" si="23">ROUNDUP(AA36*$B$2,0)</f>
        <v>919403638</v>
      </c>
      <c r="L36" s="241">
        <f t="shared" ref="L36" si="24">ROUNDUP(AB36*$B$2,0)</f>
        <v>1114008594</v>
      </c>
      <c r="M36" s="241">
        <f t="shared" ref="M36" si="25">ROUNDUP(AC36*$B$2,0)</f>
        <v>1037529851</v>
      </c>
      <c r="N36" s="241">
        <f t="shared" ref="N36" si="26">ROUNDUP(AD36*$B$2,0)</f>
        <v>1121304410</v>
      </c>
      <c r="O36" s="241">
        <f t="shared" ref="O36" si="27">ROUNDUP(AE36*$B$2,0)</f>
        <v>1100151747</v>
      </c>
      <c r="P36" s="241">
        <f t="shared" ref="P36" si="28">ROUNDUP(AF36*$B$2,0)</f>
        <v>908953368</v>
      </c>
      <c r="Q36" s="241">
        <f t="shared" ref="Q36" si="29">ROUNDUP(AG36*$B$2,0)</f>
        <v>1048019984</v>
      </c>
      <c r="R36" s="200">
        <f t="shared" si="9"/>
        <v>11799191041</v>
      </c>
      <c r="S36" s="201"/>
      <c r="T36" s="202"/>
      <c r="U36" s="246"/>
      <c r="V36" s="302">
        <v>33380.339999999997</v>
      </c>
      <c r="W36" s="302">
        <v>31460.240000000002</v>
      </c>
      <c r="X36" s="303">
        <v>33425.620000000003</v>
      </c>
      <c r="Y36" s="303">
        <v>42285.67</v>
      </c>
      <c r="Z36" s="303">
        <v>38645.43</v>
      </c>
      <c r="AA36" s="303">
        <v>36211.25</v>
      </c>
      <c r="AB36" s="303">
        <v>43875.88</v>
      </c>
      <c r="AC36" s="303">
        <v>40863.72</v>
      </c>
      <c r="AD36" s="303">
        <v>44163.23</v>
      </c>
      <c r="AE36" s="303">
        <v>43330.12</v>
      </c>
      <c r="AF36" s="303">
        <v>35799.660000000003</v>
      </c>
      <c r="AG36" s="303">
        <v>41276.879999999997</v>
      </c>
      <c r="BA36"/>
      <c r="BB36"/>
      <c r="BE36" s="191">
        <v>29651.74</v>
      </c>
      <c r="BF36" s="191">
        <v>29651.74</v>
      </c>
      <c r="BG36" s="191">
        <v>29651.74</v>
      </c>
      <c r="BH36" s="191">
        <v>29651.74</v>
      </c>
      <c r="BI36" s="191">
        <v>29651.74</v>
      </c>
      <c r="BJ36" s="191">
        <v>29651.74</v>
      </c>
      <c r="BK36" s="191">
        <v>29651.74</v>
      </c>
    </row>
    <row r="37" spans="1:63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9"/>
        <v>0</v>
      </c>
      <c r="S37" s="201"/>
      <c r="T37" s="202"/>
      <c r="U37" s="246"/>
      <c r="V37" s="246"/>
      <c r="W37" s="246"/>
      <c r="BA37"/>
      <c r="BB37"/>
    </row>
    <row r="38" spans="1:63" s="191" customFormat="1" ht="13">
      <c r="A38" s="226"/>
      <c r="B38" s="180">
        <v>5001016131</v>
      </c>
      <c r="C38" s="183" t="str">
        <f>IFERROR(IF(VLOOKUP($B38,勘定科目!$A:$H,HLOOKUP($E$5,勘定科目!$F$1:$H$2,2,0),0)="","",VLOOKUP($B38,勘定科目!$A:$E,2,0)),"")</f>
        <v>材料仕入割戻高</v>
      </c>
      <c r="D38" s="239" t="str">
        <f>IF(C38="","",VLOOKUP($B38,勘定科目!$A:$E,4,0))</f>
        <v>材料費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9"/>
        <v>0</v>
      </c>
      <c r="S38" s="201" t="s">
        <v>693</v>
      </c>
      <c r="T38" s="202"/>
      <c r="U38" s="246"/>
      <c r="V38" s="246"/>
      <c r="W38" s="246"/>
      <c r="BA38"/>
      <c r="BB38"/>
    </row>
    <row r="39" spans="1:63" s="191" customFormat="1" ht="13">
      <c r="A39" s="226"/>
      <c r="B39" s="180">
        <v>5005246287</v>
      </c>
      <c r="C39" s="183" t="str">
        <f>IFERROR(IF(VLOOKUP($B39,勘定科目!$A:$H,HLOOKUP($E$5,勘定科目!$F$1:$H$2,2,0),0)="","",VLOOKUP($B39,勘定科目!$A:$E,2,0)),"")</f>
        <v>ＫＤＣ手数料（製）</v>
      </c>
      <c r="D39" s="239" t="str">
        <f>IF(C39="","",VLOOKUP($B39,勘定科目!$A:$E,4,0))</f>
        <v>手数料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9"/>
        <v>0</v>
      </c>
      <c r="S39" s="201" t="s">
        <v>694</v>
      </c>
      <c r="T39" s="202"/>
      <c r="U39" s="246"/>
      <c r="V39" s="246"/>
      <c r="W39" s="246"/>
      <c r="BA39"/>
      <c r="BB39"/>
      <c r="BE39" s="191" t="e">
        <v>#REF!</v>
      </c>
      <c r="BF39" s="191" t="e">
        <v>#REF!</v>
      </c>
      <c r="BG39" s="191" t="e">
        <v>#REF!</v>
      </c>
      <c r="BH39" s="191" t="e">
        <v>#REF!</v>
      </c>
      <c r="BI39" s="191" t="e">
        <v>#REF!</v>
      </c>
    </row>
    <row r="40" spans="1:63" s="191" customFormat="1" ht="13">
      <c r="A40" s="226"/>
      <c r="B40" s="180">
        <v>5005246287</v>
      </c>
      <c r="C40" s="183" t="str">
        <f>IFERROR(IF(VLOOKUP($B40,勘定科目!$A:$H,HLOOKUP($E$5,勘定科目!$F$1:$H$2,2,0),0)="","",VLOOKUP($B40,勘定科目!$A:$E,2,0)),"")</f>
        <v>ＫＤＣ手数料（製）</v>
      </c>
      <c r="D40" s="239" t="str">
        <f>IF(C40="","",VLOOKUP($B40,勘定科目!$A:$E,4,0))</f>
        <v>手数料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9"/>
        <v>0</v>
      </c>
      <c r="S40" s="201" t="s">
        <v>695</v>
      </c>
      <c r="T40" s="202"/>
      <c r="U40" s="246"/>
      <c r="V40" s="246"/>
      <c r="W40" s="246"/>
      <c r="BA40"/>
      <c r="BB40"/>
      <c r="BE40" s="191" t="e">
        <v>#REF!</v>
      </c>
      <c r="BF40" s="191" t="e">
        <v>#REF!</v>
      </c>
      <c r="BG40" s="191" t="e">
        <v>#REF!</v>
      </c>
      <c r="BH40" s="191" t="e">
        <v>#REF!</v>
      </c>
      <c r="BI40" s="191" t="e">
        <v>#REF!</v>
      </c>
    </row>
    <row r="41" spans="1:63" s="191" customFormat="1" ht="13">
      <c r="A41" s="226"/>
      <c r="B41" s="180"/>
      <c r="C41" s="183" t="str">
        <f>IFERROR(IF(VLOOKUP($B41,勘定科目!$A:$H,HLOOKUP($E$5,勘定科目!$F$1:$H$2,2,0),0)="","",VLOOKUP($B41,勘定科目!$A:$E,2,0)),"")</f>
        <v/>
      </c>
      <c r="D41" s="239" t="str">
        <f>IF(C41="","",VLOOKUP($B41,勘定科目!$A:$E,4,0))</f>
        <v/>
      </c>
      <c r="E41" s="245"/>
      <c r="F41" s="194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00">
        <f t="shared" si="9"/>
        <v>0</v>
      </c>
      <c r="S41" s="201"/>
      <c r="T41" s="202"/>
      <c r="U41" s="246"/>
      <c r="V41" s="246"/>
      <c r="W41" s="246"/>
      <c r="BA41"/>
      <c r="BB41"/>
      <c r="BE41" s="191" t="e">
        <v>#REF!</v>
      </c>
      <c r="BF41" s="191" t="e">
        <v>#REF!</v>
      </c>
      <c r="BG41" s="191" t="e">
        <v>#REF!</v>
      </c>
      <c r="BH41" s="191" t="e">
        <v>#REF!</v>
      </c>
      <c r="BI41" s="191" t="e">
        <v>#REF!</v>
      </c>
    </row>
    <row r="42" spans="1:63" s="191" customFormat="1" ht="13">
      <c r="A42" s="226"/>
      <c r="B42" s="180">
        <v>5006016242</v>
      </c>
      <c r="C42" s="183" t="str">
        <f>IFERROR(IF(VLOOKUP($B42,勘定科目!$A:$H,HLOOKUP($E$5,勘定科目!$F$1:$H$2,2,0),0)="","",VLOOKUP($B42,勘定科目!$A:$E,2,0)),"")</f>
        <v>減価償却費（製）　機械装置</v>
      </c>
      <c r="D42" s="239" t="str">
        <f>IF(C42="","",VLOOKUP($B42,勘定科目!$A:$E,4,0))</f>
        <v>減価償却費</v>
      </c>
      <c r="E42" s="245"/>
      <c r="F42" s="194">
        <v>371769267</v>
      </c>
      <c r="G42" s="247">
        <v>371769267</v>
      </c>
      <c r="H42" s="247">
        <v>371769267</v>
      </c>
      <c r="I42" s="247">
        <v>371769267</v>
      </c>
      <c r="J42" s="247">
        <v>371769267</v>
      </c>
      <c r="K42" s="247">
        <v>371769267</v>
      </c>
      <c r="L42" s="247">
        <v>343319772</v>
      </c>
      <c r="M42" s="247">
        <v>343319772</v>
      </c>
      <c r="N42" s="247">
        <v>343319772</v>
      </c>
      <c r="O42" s="247">
        <v>310644873</v>
      </c>
      <c r="P42" s="247">
        <v>274536230</v>
      </c>
      <c r="Q42" s="247">
        <v>274536230</v>
      </c>
      <c r="R42" s="200">
        <f t="shared" si="9"/>
        <v>4120292251</v>
      </c>
      <c r="S42" s="201" t="s">
        <v>696</v>
      </c>
      <c r="T42" s="202"/>
      <c r="U42" s="246"/>
      <c r="V42" s="246"/>
      <c r="W42" s="246"/>
      <c r="BA42"/>
      <c r="BB42"/>
    </row>
    <row r="43" spans="1:63" s="191" customFormat="1" ht="13">
      <c r="A43" s="226"/>
      <c r="B43" s="180">
        <v>5006016243</v>
      </c>
      <c r="C43" s="183" t="str">
        <f>IFERROR(IF(VLOOKUP($B43,勘定科目!$A:$H,HLOOKUP($E$5,勘定科目!$F$1:$H$2,2,0),0)="","",VLOOKUP($B43,勘定科目!$A:$E,2,0)),"")</f>
        <v>減価償却費（製）　車輌運搬具</v>
      </c>
      <c r="D43" s="239" t="str">
        <f>IF(C43="","",VLOOKUP($B43,勘定科目!$A:$E,4,0))</f>
        <v>減価償却費</v>
      </c>
      <c r="E43" s="245"/>
      <c r="F43" s="194">
        <v>636020</v>
      </c>
      <c r="G43" s="247">
        <v>636020</v>
      </c>
      <c r="H43" s="247">
        <v>636020</v>
      </c>
      <c r="I43" s="247">
        <v>636020</v>
      </c>
      <c r="J43" s="247">
        <v>636020</v>
      </c>
      <c r="K43" s="247">
        <v>636020</v>
      </c>
      <c r="L43" s="247">
        <v>636020</v>
      </c>
      <c r="M43" s="247">
        <v>636020</v>
      </c>
      <c r="N43" s="247">
        <v>636020</v>
      </c>
      <c r="O43" s="247">
        <v>636020</v>
      </c>
      <c r="P43" s="247">
        <v>636020</v>
      </c>
      <c r="Q43" s="247">
        <v>636020</v>
      </c>
      <c r="R43" s="200">
        <f t="shared" si="9"/>
        <v>7632240</v>
      </c>
      <c r="S43" s="201" t="s">
        <v>697</v>
      </c>
      <c r="T43" s="202"/>
      <c r="U43" s="246"/>
      <c r="V43" s="246"/>
      <c r="W43" s="246"/>
      <c r="BA43"/>
      <c r="BB43"/>
    </row>
    <row r="44" spans="1:63" s="191" customFormat="1" ht="13">
      <c r="A44" s="226"/>
      <c r="B44" s="180">
        <v>5006016244</v>
      </c>
      <c r="C44" s="183" t="str">
        <f>IFERROR(IF(VLOOKUP($B44,勘定科目!$A:$H,HLOOKUP($E$5,勘定科目!$F$1:$H$2,2,0),0)="","",VLOOKUP($B44,勘定科目!$A:$E,2,0)),"")</f>
        <v>減価償却費（製）　工具器具備品</v>
      </c>
      <c r="D44" s="239" t="str">
        <f>IF(C44="","",VLOOKUP($B44,勘定科目!$A:$E,4,0))</f>
        <v>減価償却費</v>
      </c>
      <c r="E44" s="245"/>
      <c r="F44" s="194">
        <v>746274559</v>
      </c>
      <c r="G44" s="247">
        <v>742687714</v>
      </c>
      <c r="H44" s="247">
        <v>734337451</v>
      </c>
      <c r="I44" s="247">
        <v>734029470</v>
      </c>
      <c r="J44" s="247">
        <v>668827950</v>
      </c>
      <c r="K44" s="247">
        <v>668721820</v>
      </c>
      <c r="L44" s="247">
        <v>668721820</v>
      </c>
      <c r="M44" s="247">
        <v>659204632</v>
      </c>
      <c r="N44" s="247">
        <v>529715125</v>
      </c>
      <c r="O44" s="247">
        <v>506856254</v>
      </c>
      <c r="P44" s="247">
        <v>483942794</v>
      </c>
      <c r="Q44" s="247">
        <v>483117365</v>
      </c>
      <c r="R44" s="200">
        <f t="shared" si="9"/>
        <v>7626436954</v>
      </c>
      <c r="S44" s="201" t="s">
        <v>698</v>
      </c>
      <c r="T44" s="202"/>
      <c r="U44" s="246"/>
      <c r="V44" s="246"/>
      <c r="W44" s="246"/>
      <c r="BA44"/>
      <c r="BB44"/>
    </row>
    <row r="45" spans="1:63" s="191" customFormat="1" ht="13">
      <c r="A45" s="226"/>
      <c r="B45" s="180">
        <v>5006016247</v>
      </c>
      <c r="C45" s="183" t="str">
        <f>IFERROR(IF(VLOOKUP($B45,勘定科目!$A:$H,HLOOKUP($E$5,勘定科目!$F$1:$H$2,2,0),0)="","",VLOOKUP($B45,勘定科目!$A:$E,2,0)),"")</f>
        <v>減価償却費（製）　その他有形固定資産</v>
      </c>
      <c r="D45" s="239" t="str">
        <f>IF(C45="","",VLOOKUP($B45,勘定科目!$A:$E,4,0))</f>
        <v>減価償却費</v>
      </c>
      <c r="E45" s="245"/>
      <c r="F45" s="194">
        <v>18533684</v>
      </c>
      <c r="G45" s="247">
        <v>13175379</v>
      </c>
      <c r="H45" s="247">
        <v>13175379</v>
      </c>
      <c r="I45" s="247">
        <v>13175379</v>
      </c>
      <c r="J45" s="247">
        <v>13175379</v>
      </c>
      <c r="K45" s="247">
        <v>13175379</v>
      </c>
      <c r="L45" s="247">
        <v>13175379</v>
      </c>
      <c r="M45" s="247">
        <v>13175379</v>
      </c>
      <c r="N45" s="247">
        <v>13175125</v>
      </c>
      <c r="O45" s="247">
        <v>0</v>
      </c>
      <c r="P45" s="247">
        <v>0</v>
      </c>
      <c r="Q45" s="247">
        <v>0</v>
      </c>
      <c r="R45" s="200">
        <f t="shared" si="9"/>
        <v>123936462</v>
      </c>
      <c r="S45" s="201" t="s">
        <v>699</v>
      </c>
      <c r="T45" s="202"/>
      <c r="U45" s="246"/>
      <c r="V45" s="246"/>
      <c r="W45" s="246"/>
      <c r="BA45"/>
      <c r="BB45"/>
      <c r="BE45" s="191" t="e">
        <v>#REF!</v>
      </c>
      <c r="BF45" s="191" t="e">
        <v>#REF!</v>
      </c>
      <c r="BH45" s="191" t="e">
        <v>#REF!</v>
      </c>
      <c r="BI45" s="191" t="e">
        <v>#REF!</v>
      </c>
    </row>
    <row r="46" spans="1:63" s="191" customFormat="1" ht="13">
      <c r="A46" s="226"/>
      <c r="B46" s="180">
        <v>5006016244</v>
      </c>
      <c r="C46" s="183" t="str">
        <f>IFERROR(IF(VLOOKUP($B46,勘定科目!$A:$H,HLOOKUP($E$5,勘定科目!$F$1:$H$2,2,0),0)="","",VLOOKUP($B46,勘定科目!$A:$E,2,0)),"")</f>
        <v>減価償却費（製）　工具器具備品</v>
      </c>
      <c r="D46" s="239" t="str">
        <f>IF(C46="","",VLOOKUP($B46,勘定科目!$A:$E,4,0))</f>
        <v>減価償却費</v>
      </c>
      <c r="E46" s="245"/>
      <c r="F46" s="300">
        <v>0</v>
      </c>
      <c r="G46" s="301">
        <v>0</v>
      </c>
      <c r="H46" s="301">
        <v>0</v>
      </c>
      <c r="I46" s="301">
        <v>0</v>
      </c>
      <c r="J46" s="301">
        <v>0</v>
      </c>
      <c r="K46" s="301">
        <v>145919715</v>
      </c>
      <c r="L46" s="301">
        <v>145919715</v>
      </c>
      <c r="M46" s="301">
        <v>145919715</v>
      </c>
      <c r="N46" s="301">
        <v>145919715</v>
      </c>
      <c r="O46" s="301">
        <v>145919715</v>
      </c>
      <c r="P46" s="301">
        <v>145919715</v>
      </c>
      <c r="Q46" s="301">
        <v>145919715</v>
      </c>
      <c r="R46" s="200">
        <f t="shared" si="9"/>
        <v>1021438005</v>
      </c>
      <c r="S46" s="201" t="s">
        <v>798</v>
      </c>
      <c r="T46" s="202"/>
      <c r="U46" s="246"/>
      <c r="V46" s="246"/>
      <c r="W46" s="246"/>
      <c r="BA46"/>
      <c r="BB46"/>
      <c r="BE46" s="191" t="e">
        <v>#REF!</v>
      </c>
      <c r="BF46" s="191" t="e">
        <v>#REF!</v>
      </c>
      <c r="BH46" s="191" t="e">
        <v>#REF!</v>
      </c>
      <c r="BI46" s="191" t="e">
        <v>#REF!</v>
      </c>
    </row>
    <row r="47" spans="1:63" s="191" customFormat="1" ht="13">
      <c r="A47" s="226"/>
      <c r="B47" s="180">
        <v>5005036246</v>
      </c>
      <c r="C47" s="183" t="str">
        <f>IFERROR(IF(VLOOKUP($B47,勘定科目!$A:$H,HLOOKUP($E$5,勘定科目!$F$1:$H$2,2,0),0)="","",VLOOKUP($B47,勘定科目!$A:$E,2,0)),"")</f>
        <v>減価償却費（製）　金型</v>
      </c>
      <c r="D47" s="239" t="str">
        <f>IF(C47="","",VLOOKUP($B47,勘定科目!$A:$E,4,0))</f>
        <v>金型償却費</v>
      </c>
      <c r="E47" s="245"/>
      <c r="F47" s="300">
        <v>50780000</v>
      </c>
      <c r="G47" s="301">
        <v>50780000</v>
      </c>
      <c r="H47" s="301">
        <v>50780000</v>
      </c>
      <c r="I47" s="301">
        <v>1431158130</v>
      </c>
      <c r="J47" s="301">
        <v>1732867500</v>
      </c>
      <c r="K47" s="301">
        <v>890198790</v>
      </c>
      <c r="L47" s="301">
        <v>336417500</v>
      </c>
      <c r="M47" s="301">
        <v>473955130</v>
      </c>
      <c r="N47" s="301">
        <v>452805260</v>
      </c>
      <c r="O47" s="301">
        <v>452805260</v>
      </c>
      <c r="P47" s="301">
        <v>336417500</v>
      </c>
      <c r="Q47" s="301">
        <v>1225067500</v>
      </c>
      <c r="R47" s="200">
        <f t="shared" si="9"/>
        <v>7484032570</v>
      </c>
      <c r="S47" s="201" t="s">
        <v>700</v>
      </c>
      <c r="T47" s="202"/>
      <c r="U47" s="246"/>
      <c r="V47" s="246"/>
      <c r="W47" s="246"/>
      <c r="BA47"/>
      <c r="BB47"/>
      <c r="BE47" s="191" t="e">
        <v>#REF!</v>
      </c>
      <c r="BF47" s="191" t="e">
        <v>#REF!</v>
      </c>
      <c r="BH47" s="191" t="e">
        <v>#REF!</v>
      </c>
      <c r="BI47" s="191" t="e">
        <v>#REF!</v>
      </c>
    </row>
    <row r="48" spans="1:63" s="191" customFormat="1" ht="13">
      <c r="A48" s="226"/>
      <c r="B48" s="180">
        <v>5005036246</v>
      </c>
      <c r="C48" s="183" t="str">
        <f>IFERROR(IF(VLOOKUP($B48,勘定科目!$A:$H,HLOOKUP($E$5,勘定科目!$F$1:$H$2,2,0),0)="","",VLOOKUP($B48,勘定科目!$A:$E,2,0)),"")</f>
        <v>減価償却費（製）　金型</v>
      </c>
      <c r="D48" s="239" t="str">
        <f>IF(C48="","",VLOOKUP($B48,勘定科目!$A:$E,4,0))</f>
        <v>金型償却費</v>
      </c>
      <c r="E48" s="245"/>
      <c r="F48" s="194">
        <f>+ROUND(9047.08*25390,0)</f>
        <v>229705361</v>
      </c>
      <c r="G48" s="247">
        <f>+F47+F48</f>
        <v>280485361</v>
      </c>
      <c r="H48" s="247">
        <f t="shared" ref="H48:P48" si="30">+G47+G48</f>
        <v>331265361</v>
      </c>
      <c r="I48" s="247">
        <f t="shared" si="30"/>
        <v>382045361</v>
      </c>
      <c r="J48" s="247">
        <f t="shared" si="30"/>
        <v>1813203491</v>
      </c>
      <c r="K48" s="247">
        <f t="shared" si="30"/>
        <v>3546070991</v>
      </c>
      <c r="L48" s="247">
        <f t="shared" si="30"/>
        <v>4436269781</v>
      </c>
      <c r="M48" s="247">
        <f t="shared" si="30"/>
        <v>4772687281</v>
      </c>
      <c r="N48" s="247">
        <f t="shared" si="30"/>
        <v>5246642411</v>
      </c>
      <c r="O48" s="247">
        <f t="shared" si="30"/>
        <v>5699447671</v>
      </c>
      <c r="P48" s="247">
        <f t="shared" si="30"/>
        <v>6152252931</v>
      </c>
      <c r="Q48" s="247">
        <f>+P47+P48</f>
        <v>6488670431</v>
      </c>
      <c r="R48" s="200">
        <f t="shared" si="9"/>
        <v>39378746432</v>
      </c>
      <c r="S48" s="201" t="s">
        <v>701</v>
      </c>
      <c r="T48" s="202"/>
      <c r="U48" s="246"/>
      <c r="V48" s="246"/>
      <c r="W48" s="246"/>
      <c r="BA48"/>
      <c r="BB48"/>
    </row>
    <row r="49" spans="1:54" s="191" customFormat="1" ht="13">
      <c r="A49" s="226"/>
      <c r="B49" s="180">
        <v>5005036246</v>
      </c>
      <c r="C49" s="183" t="str">
        <f>IFERROR(IF(VLOOKUP($B49,勘定科目!$A:$H,HLOOKUP($E$5,勘定科目!$F$1:$H$2,2,0),0)="","",VLOOKUP($B49,勘定科目!$A:$E,2,0)),"")</f>
        <v>減価償却費（製）　金型</v>
      </c>
      <c r="D49" s="239" t="str">
        <f>IF(C49="","",VLOOKUP($B49,勘定科目!$A:$E,4,0))</f>
        <v>金型償却費</v>
      </c>
      <c r="E49" s="245"/>
      <c r="F49" s="194">
        <v>1861456678</v>
      </c>
      <c r="G49" s="247">
        <v>1692507556</v>
      </c>
      <c r="H49" s="247">
        <v>1692507556</v>
      </c>
      <c r="I49" s="247">
        <v>1692507556</v>
      </c>
      <c r="J49" s="247">
        <v>1692507556</v>
      </c>
      <c r="K49" s="247">
        <v>1684890556</v>
      </c>
      <c r="L49" s="247">
        <v>1639569406</v>
      </c>
      <c r="M49" s="247">
        <v>1607640719</v>
      </c>
      <c r="N49" s="247">
        <v>1450331896</v>
      </c>
      <c r="O49" s="247">
        <v>1275472744</v>
      </c>
      <c r="P49" s="247">
        <v>1066468357</v>
      </c>
      <c r="Q49" s="247">
        <v>944618447</v>
      </c>
      <c r="R49" s="200">
        <f t="shared" si="9"/>
        <v>18300479027</v>
      </c>
      <c r="S49" s="201" t="s">
        <v>702</v>
      </c>
      <c r="T49" s="202"/>
      <c r="U49" s="246"/>
      <c r="V49" s="246"/>
      <c r="W49" s="246"/>
      <c r="BA49"/>
      <c r="BB49"/>
    </row>
    <row r="50" spans="1:54" s="191" customFormat="1" ht="13">
      <c r="A50" s="226"/>
      <c r="B50" s="180"/>
      <c r="C50" s="183" t="str">
        <f>IFERROR(IF(VLOOKUP($B50,勘定科目!$A:$H,HLOOKUP($E$5,勘定科目!$F$1:$H$2,2,0),0)="","",VLOOKUP($B50,勘定科目!$A:$E,2,0)),"")</f>
        <v/>
      </c>
      <c r="D50" s="239" t="str">
        <f>IF(C50="","",VLOOKUP($B50,勘定科目!$A:$E,4,0))</f>
        <v/>
      </c>
      <c r="E50" s="245"/>
      <c r="F50" s="194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00">
        <f t="shared" si="9"/>
        <v>0</v>
      </c>
      <c r="S50" s="201"/>
      <c r="T50" s="202"/>
      <c r="U50" s="246"/>
      <c r="V50" s="246"/>
      <c r="W50" s="246"/>
      <c r="BA50"/>
      <c r="BB50"/>
    </row>
    <row r="51" spans="1:54" s="191" customFormat="1" ht="13">
      <c r="A51" s="226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9" t="str">
        <f>IF(C51="","",VLOOKUP($B51,勘定科目!$A:$E,4,0))</f>
        <v>固定資産金利</v>
      </c>
      <c r="E51" s="245"/>
      <c r="F51" s="194">
        <v>64321757</v>
      </c>
      <c r="G51" s="247">
        <v>50937164</v>
      </c>
      <c r="H51" s="247">
        <v>50937164</v>
      </c>
      <c r="I51" s="247">
        <v>50937164</v>
      </c>
      <c r="J51" s="247">
        <v>50937164</v>
      </c>
      <c r="K51" s="247">
        <v>50937164</v>
      </c>
      <c r="L51" s="247">
        <v>50425302</v>
      </c>
      <c r="M51" s="247">
        <v>50425302</v>
      </c>
      <c r="N51" s="247">
        <v>50425302</v>
      </c>
      <c r="O51" s="247">
        <v>49542999</v>
      </c>
      <c r="P51" s="247">
        <v>48459862</v>
      </c>
      <c r="Q51" s="247">
        <v>48459862</v>
      </c>
      <c r="R51" s="200">
        <f t="shared" si="9"/>
        <v>616746206</v>
      </c>
      <c r="S51" s="201" t="s">
        <v>703</v>
      </c>
      <c r="T51" s="202"/>
      <c r="U51" s="246"/>
      <c r="V51" s="246"/>
      <c r="W51" s="246"/>
      <c r="BA51"/>
      <c r="BB51"/>
    </row>
    <row r="52" spans="1:54" s="191" customFormat="1" ht="13">
      <c r="A52" s="226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245"/>
      <c r="F52" s="194">
        <v>103591</v>
      </c>
      <c r="G52" s="247">
        <v>80740</v>
      </c>
      <c r="H52" s="247">
        <v>80740</v>
      </c>
      <c r="I52" s="247">
        <v>80740</v>
      </c>
      <c r="J52" s="247">
        <v>80740</v>
      </c>
      <c r="K52" s="247">
        <v>80740</v>
      </c>
      <c r="L52" s="247">
        <v>80740</v>
      </c>
      <c r="M52" s="247">
        <v>80740</v>
      </c>
      <c r="N52" s="247">
        <v>80740</v>
      </c>
      <c r="O52" s="247">
        <v>80740</v>
      </c>
      <c r="P52" s="247">
        <v>80740</v>
      </c>
      <c r="Q52" s="247">
        <v>80740</v>
      </c>
      <c r="R52" s="200">
        <f t="shared" si="9"/>
        <v>991731</v>
      </c>
      <c r="S52" s="201" t="s">
        <v>697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>
        <v>9114120007</v>
      </c>
      <c r="C53" s="183" t="str">
        <f>IFERROR(IF(VLOOKUP($B53,勘定科目!$A:$H,HLOOKUP($E$5,勘定科目!$F$1:$H$2,2,0),0)="","",VLOOKUP($B53,勘定科目!$A:$E,2,0)),"")</f>
        <v>社内金利（固定資産）</v>
      </c>
      <c r="D53" s="239" t="str">
        <f>IF(C53="","",VLOOKUP($B53,勘定科目!$A:$E,4,0))</f>
        <v>固定資産金利</v>
      </c>
      <c r="E53" s="245"/>
      <c r="F53" s="194">
        <v>121913894</v>
      </c>
      <c r="G53" s="247">
        <v>61161717</v>
      </c>
      <c r="H53" s="247">
        <v>61161717</v>
      </c>
      <c r="I53" s="247">
        <v>61161717</v>
      </c>
      <c r="J53" s="247">
        <v>61161717</v>
      </c>
      <c r="K53" s="247">
        <v>61047462</v>
      </c>
      <c r="L53" s="247">
        <v>60231681</v>
      </c>
      <c r="M53" s="247">
        <v>59560878</v>
      </c>
      <c r="N53" s="247">
        <v>55785639</v>
      </c>
      <c r="O53" s="247">
        <v>51063860</v>
      </c>
      <c r="P53" s="247">
        <v>44794054</v>
      </c>
      <c r="Q53" s="247">
        <v>40773039</v>
      </c>
      <c r="R53" s="200">
        <f t="shared" si="9"/>
        <v>739817375</v>
      </c>
      <c r="S53" s="201" t="s">
        <v>704</v>
      </c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9114120007</v>
      </c>
      <c r="C54" s="183" t="str">
        <f>IFERROR(IF(VLOOKUP($B54,勘定科目!$A:$H,HLOOKUP($E$5,勘定科目!$F$1:$H$2,2,0),0)="","",VLOOKUP($B54,勘定科目!$A:$E,2,0)),"")</f>
        <v>社内金利（固定資産）</v>
      </c>
      <c r="D54" s="239" t="str">
        <f>IF(C54="","",VLOOKUP($B54,勘定科目!$A:$E,4,0))</f>
        <v>固定資産金利</v>
      </c>
      <c r="E54" s="245"/>
      <c r="F54" s="194">
        <v>71865887</v>
      </c>
      <c r="G54" s="247">
        <v>45522239</v>
      </c>
      <c r="H54" s="247">
        <v>45510559</v>
      </c>
      <c r="I54" s="247">
        <v>45458510</v>
      </c>
      <c r="J54" s="247">
        <v>44710013</v>
      </c>
      <c r="K54" s="247">
        <v>44674213</v>
      </c>
      <c r="L54" s="247">
        <v>44674213</v>
      </c>
      <c r="M54" s="247">
        <v>44674213</v>
      </c>
      <c r="N54" s="247">
        <v>41908734</v>
      </c>
      <c r="O54" s="247">
        <v>41365642</v>
      </c>
      <c r="P54" s="247">
        <v>40721498</v>
      </c>
      <c r="Q54" s="247">
        <v>40032413</v>
      </c>
      <c r="R54" s="200">
        <f t="shared" si="9"/>
        <v>551118134</v>
      </c>
      <c r="S54" s="201" t="s">
        <v>705</v>
      </c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9114120007</v>
      </c>
      <c r="C55" s="183" t="str">
        <f>IFERROR(IF(VLOOKUP($B55,勘定科目!$A:$H,HLOOKUP($E$5,勘定科目!$F$1:$H$2,2,0),0)="","",VLOOKUP($B55,勘定科目!$A:$E,2,0)),"")</f>
        <v>社内金利（固定資産）</v>
      </c>
      <c r="D55" s="239" t="str">
        <f>IF(C55="","",VLOOKUP($B55,勘定科目!$A:$E,4,0))</f>
        <v>固定資産金利</v>
      </c>
      <c r="E55" s="245"/>
      <c r="F55" s="194">
        <v>1038959</v>
      </c>
      <c r="G55" s="247">
        <v>355714</v>
      </c>
      <c r="H55" s="247">
        <v>355714</v>
      </c>
      <c r="I55" s="247">
        <v>355714</v>
      </c>
      <c r="J55" s="247">
        <v>355714</v>
      </c>
      <c r="K55" s="247">
        <v>355714</v>
      </c>
      <c r="L55" s="247">
        <v>355714</v>
      </c>
      <c r="M55" s="247">
        <v>355714</v>
      </c>
      <c r="N55" s="247">
        <v>355714</v>
      </c>
      <c r="O55" s="247">
        <v>0</v>
      </c>
      <c r="P55" s="247">
        <v>0</v>
      </c>
      <c r="Q55" s="247">
        <v>0</v>
      </c>
      <c r="R55" s="200">
        <f t="shared" si="9"/>
        <v>3884671</v>
      </c>
      <c r="S55" s="201" t="s">
        <v>706</v>
      </c>
      <c r="T55" s="202"/>
      <c r="U55" s="246"/>
      <c r="V55" s="246"/>
      <c r="W55" s="246"/>
      <c r="BA55"/>
      <c r="BB55"/>
    </row>
    <row r="56" spans="1:54" s="191" customFormat="1" ht="13">
      <c r="A56" s="226"/>
      <c r="B56" s="180">
        <v>9114120007</v>
      </c>
      <c r="C56" s="183" t="str">
        <f>IFERROR(IF(VLOOKUP($B56,勘定科目!$A:$H,HLOOKUP($E$5,勘定科目!$F$1:$H$2,2,0),0)="","",VLOOKUP($B56,勘定科目!$A:$E,2,0)),"")</f>
        <v>社内金利（固定資産）</v>
      </c>
      <c r="D56" s="239" t="str">
        <f>IF(C56="","",VLOOKUP($B56,勘定科目!$A:$E,4,0))</f>
        <v>固定資産金利</v>
      </c>
      <c r="E56" s="245"/>
      <c r="F56" s="194">
        <f>+ROUND(F48*24*0.003,0)</f>
        <v>16538786</v>
      </c>
      <c r="G56" s="194">
        <f t="shared" ref="G56:Q56" si="31">+ROUND(G48*24*0.003,0)</f>
        <v>20194946</v>
      </c>
      <c r="H56" s="194">
        <f t="shared" si="31"/>
        <v>23851106</v>
      </c>
      <c r="I56" s="194">
        <f t="shared" si="31"/>
        <v>27507266</v>
      </c>
      <c r="J56" s="194">
        <f t="shared" si="31"/>
        <v>130550651</v>
      </c>
      <c r="K56" s="194">
        <f t="shared" si="31"/>
        <v>255317111</v>
      </c>
      <c r="L56" s="194">
        <f t="shared" si="31"/>
        <v>319411424</v>
      </c>
      <c r="M56" s="194">
        <f t="shared" si="31"/>
        <v>343633484</v>
      </c>
      <c r="N56" s="194">
        <f t="shared" si="31"/>
        <v>377758254</v>
      </c>
      <c r="O56" s="194">
        <f t="shared" si="31"/>
        <v>410360232</v>
      </c>
      <c r="P56" s="194">
        <f t="shared" si="31"/>
        <v>442962211</v>
      </c>
      <c r="Q56" s="194">
        <f t="shared" si="31"/>
        <v>467184271</v>
      </c>
      <c r="R56" s="200">
        <f t="shared" si="9"/>
        <v>2835269742</v>
      </c>
      <c r="S56" s="201" t="s">
        <v>707</v>
      </c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9114120007</v>
      </c>
      <c r="C57" s="183" t="str">
        <f>IFERROR(IF(VLOOKUP($B57,勘定科目!$A:$H,HLOOKUP($E$5,勘定科目!$F$1:$H$2,2,0),0)="","",VLOOKUP($B57,勘定科目!$A:$E,2,0)),"")</f>
        <v>社内金利（固定資産）</v>
      </c>
      <c r="D57" s="239" t="str">
        <f>IF(C57="","",VLOOKUP($B57,勘定科目!$A:$E,4,0))</f>
        <v>固定資産金利</v>
      </c>
      <c r="E57" s="245"/>
      <c r="F57" s="194">
        <v>0</v>
      </c>
      <c r="G57" s="247">
        <v>0</v>
      </c>
      <c r="H57" s="247">
        <v>0</v>
      </c>
      <c r="I57" s="247">
        <v>0</v>
      </c>
      <c r="J57" s="301">
        <v>0</v>
      </c>
      <c r="K57" s="301">
        <v>0</v>
      </c>
      <c r="L57" s="301">
        <v>26265549</v>
      </c>
      <c r="M57" s="301">
        <v>26265549</v>
      </c>
      <c r="N57" s="301">
        <v>26265549</v>
      </c>
      <c r="O57" s="301">
        <v>26265549</v>
      </c>
      <c r="P57" s="301">
        <v>26265549</v>
      </c>
      <c r="Q57" s="301">
        <v>26265549</v>
      </c>
      <c r="R57" s="200">
        <f t="shared" si="9"/>
        <v>157593294</v>
      </c>
      <c r="S57" s="201" t="s">
        <v>798</v>
      </c>
      <c r="T57" s="202"/>
      <c r="U57" s="246"/>
      <c r="V57" s="246"/>
      <c r="W57" s="246"/>
      <c r="BA57"/>
      <c r="BB57"/>
    </row>
    <row r="58" spans="1:54" s="191" customFormat="1" ht="13">
      <c r="A58" s="226"/>
      <c r="B58" s="180"/>
      <c r="C58" s="183" t="str">
        <f>IFERROR(IF(VLOOKUP($B58,勘定科目!$A:$H,HLOOKUP($E$5,勘定科目!$F$1:$H$2,2,0),0)="","",VLOOKUP($B58,勘定科目!$A:$E,2,0)),"")</f>
        <v/>
      </c>
      <c r="D58" s="239" t="str">
        <f>IF(C58="","",VLOOKUP($B58,勘定科目!$A:$E,4,0))</f>
        <v/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9"/>
        <v>0</v>
      </c>
      <c r="S58" s="201"/>
      <c r="T58" s="202"/>
      <c r="U58" s="246"/>
      <c r="V58" s="246"/>
      <c r="W58" s="246"/>
      <c r="BA58"/>
      <c r="BB58"/>
    </row>
    <row r="59" spans="1:54" s="191" customFormat="1" ht="13">
      <c r="A59" s="226"/>
      <c r="B59" s="180">
        <v>5005026372</v>
      </c>
      <c r="C59" s="183" t="str">
        <f>IFERROR(IF(VLOOKUP($B59,勘定科目!$A:$H,HLOOKUP($E$5,勘定科目!$F$1:$H$2,2,0),0)="","",VLOOKUP($B59,勘定科目!$A:$E,2,0)),"")</f>
        <v>消耗金型代（製）</v>
      </c>
      <c r="D59" s="239" t="str">
        <f>IF(C59="","",VLOOKUP($B59,勘定科目!$A:$E,4,0))</f>
        <v>消耗金型費</v>
      </c>
      <c r="E59" s="245"/>
      <c r="F59" s="194">
        <v>126950000</v>
      </c>
      <c r="G59" s="247">
        <v>126950000</v>
      </c>
      <c r="H59" s="247">
        <v>126950000</v>
      </c>
      <c r="I59" s="247">
        <v>126950000</v>
      </c>
      <c r="J59" s="247">
        <v>126950000</v>
      </c>
      <c r="K59" s="247">
        <v>126950000</v>
      </c>
      <c r="L59" s="247">
        <v>126950000</v>
      </c>
      <c r="M59" s="247">
        <v>126950000</v>
      </c>
      <c r="N59" s="247">
        <v>126950000</v>
      </c>
      <c r="O59" s="247">
        <v>126950000</v>
      </c>
      <c r="P59" s="247">
        <v>126950000</v>
      </c>
      <c r="Q59" s="247">
        <v>126950000</v>
      </c>
      <c r="R59" s="200">
        <f t="shared" si="9"/>
        <v>1523400000</v>
      </c>
      <c r="S59" s="201" t="s">
        <v>708</v>
      </c>
      <c r="T59" s="202"/>
      <c r="U59" s="246"/>
      <c r="V59" s="246"/>
      <c r="W59" s="246"/>
      <c r="BA59"/>
      <c r="BB59"/>
    </row>
    <row r="60" spans="1:54" s="191" customFormat="1" ht="13">
      <c r="A60" s="226"/>
      <c r="B60" s="180">
        <v>5005046284</v>
      </c>
      <c r="C60" s="183" t="str">
        <f>IFERROR(IF(VLOOKUP($B60,勘定科目!$A:$H,HLOOKUP($E$5,勘定科目!$F$1:$H$2,2,0),0)="","",VLOOKUP($B60,勘定科目!$A:$E,2,0)),"")</f>
        <v>金型修繕費（製造）</v>
      </c>
      <c r="D60" s="239" t="str">
        <f>IF(C60="","",VLOOKUP($B60,勘定科目!$A:$E,4,0))</f>
        <v>修繕費</v>
      </c>
      <c r="E60" s="245"/>
      <c r="F60" s="194">
        <v>253900000</v>
      </c>
      <c r="G60" s="247">
        <v>253900000</v>
      </c>
      <c r="H60" s="247">
        <v>253900000</v>
      </c>
      <c r="I60" s="247">
        <v>253900000</v>
      </c>
      <c r="J60" s="247">
        <v>253900000</v>
      </c>
      <c r="K60" s="247">
        <v>253900000</v>
      </c>
      <c r="L60" s="247">
        <v>253900000</v>
      </c>
      <c r="M60" s="247">
        <v>253900000</v>
      </c>
      <c r="N60" s="247">
        <v>253900000</v>
      </c>
      <c r="O60" s="247">
        <v>253900000</v>
      </c>
      <c r="P60" s="247">
        <v>253900000</v>
      </c>
      <c r="Q60" s="247">
        <v>253900000</v>
      </c>
      <c r="R60" s="200">
        <f t="shared" si="9"/>
        <v>3046800000</v>
      </c>
      <c r="S60" s="201" t="s">
        <v>709</v>
      </c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5005016371</v>
      </c>
      <c r="C61" s="183" t="str">
        <f>IFERROR(IF(VLOOKUP($B61,勘定科目!$A:$H,HLOOKUP($E$5,勘定科目!$F$1:$H$2,2,0),0)="","",VLOOKUP($B61,勘定科目!$A:$E,2,0)),"")</f>
        <v>生産用消耗品費（製）</v>
      </c>
      <c r="D61" s="239" t="str">
        <f>IF(C61="","",VLOOKUP($B61,勘定科目!$A:$E,4,0))</f>
        <v>消耗品費</v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9"/>
        <v>0</v>
      </c>
      <c r="S61" s="201"/>
      <c r="T61" s="202"/>
      <c r="U61" s="246"/>
      <c r="V61" s="246"/>
      <c r="W61" s="246"/>
      <c r="BA61"/>
      <c r="BB61"/>
    </row>
    <row r="62" spans="1:54" s="191" customFormat="1" ht="13">
      <c r="A62" s="226"/>
      <c r="B62" s="180"/>
      <c r="C62" s="183" t="str">
        <f>IFERROR(IF(VLOOKUP($B62,勘定科目!$A:$H,HLOOKUP($E$5,勘定科目!$F$1:$H$2,2,0),0)="","",VLOOKUP($B62,勘定科目!$A:$E,2,0)),"")</f>
        <v/>
      </c>
      <c r="D62" s="239" t="str">
        <f>IF(C62="","",VLOOKUP($B62,勘定科目!$A:$E,4,0))</f>
        <v/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00">
        <f t="shared" si="9"/>
        <v>0</v>
      </c>
      <c r="S62" s="201"/>
      <c r="T62" s="202"/>
      <c r="U62" s="246"/>
      <c r="V62" s="246"/>
      <c r="W62" s="246"/>
      <c r="BA62"/>
      <c r="BB62"/>
    </row>
    <row r="63" spans="1:54" s="191" customFormat="1" ht="13">
      <c r="A63" s="226"/>
      <c r="B63" s="180">
        <v>5005076281</v>
      </c>
      <c r="C63" s="183" t="str">
        <f>IFERROR(IF(VLOOKUP($B63,勘定科目!$A:$H,HLOOKUP($E$5,勘定科目!$F$1:$H$2,2,0),0)="","",VLOOKUP($B63,勘定科目!$A:$E,2,0)),"")</f>
        <v>通関申告費用（製）</v>
      </c>
      <c r="D63" s="239" t="str">
        <f>IF(C63="","",VLOOKUP($B63,勘定科目!$A:$E,4,0))</f>
        <v>荷造運賃</v>
      </c>
      <c r="E63" s="245"/>
      <c r="F63" s="194">
        <v>70796720</v>
      </c>
      <c r="G63" s="194">
        <v>70796720</v>
      </c>
      <c r="H63" s="194">
        <v>70796720</v>
      </c>
      <c r="I63" s="194">
        <v>70796720</v>
      </c>
      <c r="J63" s="194">
        <v>70796720</v>
      </c>
      <c r="K63" s="194">
        <v>70796720</v>
      </c>
      <c r="L63" s="194">
        <v>70796720</v>
      </c>
      <c r="M63" s="194">
        <v>70796720</v>
      </c>
      <c r="N63" s="194">
        <v>70796720</v>
      </c>
      <c r="O63" s="194">
        <v>70796720</v>
      </c>
      <c r="P63" s="194">
        <v>70796720</v>
      </c>
      <c r="Q63" s="194">
        <v>70796720</v>
      </c>
      <c r="R63" s="200">
        <f t="shared" si="9"/>
        <v>849560640</v>
      </c>
      <c r="S63" s="201" t="s">
        <v>710</v>
      </c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5005076283</v>
      </c>
      <c r="C64" s="183" t="str">
        <f>IFERROR(IF(VLOOKUP($B64,勘定科目!$A:$H,HLOOKUP($E$5,勘定科目!$F$1:$H$2,2,0),0)="","",VLOOKUP($B64,勘定科目!$A:$E,2,0)),"")</f>
        <v>輸入航空運賃（製）</v>
      </c>
      <c r="D64" s="239" t="str">
        <f>IF(C64="","",VLOOKUP($B64,勘定科目!$A:$E,4,0))</f>
        <v>荷造運賃</v>
      </c>
      <c r="E64" s="245"/>
      <c r="F64" s="194">
        <v>26915769</v>
      </c>
      <c r="G64" s="194">
        <v>26915769</v>
      </c>
      <c r="H64" s="194">
        <v>26915769</v>
      </c>
      <c r="I64" s="194">
        <v>26915769</v>
      </c>
      <c r="J64" s="194">
        <v>26915769</v>
      </c>
      <c r="K64" s="194">
        <v>26915769</v>
      </c>
      <c r="L64" s="194">
        <v>26915769</v>
      </c>
      <c r="M64" s="194">
        <v>26915769</v>
      </c>
      <c r="N64" s="194">
        <v>26915769</v>
      </c>
      <c r="O64" s="194">
        <v>26915769</v>
      </c>
      <c r="P64" s="194">
        <v>26915769</v>
      </c>
      <c r="Q64" s="194">
        <v>26915769</v>
      </c>
      <c r="R64" s="200">
        <f t="shared" si="9"/>
        <v>322989228</v>
      </c>
      <c r="S64" s="201" t="s">
        <v>711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>
        <v>5005076284</v>
      </c>
      <c r="C65" s="183" t="str">
        <f>IFERROR(IF(VLOOKUP($B65,勘定科目!$A:$H,HLOOKUP($E$5,勘定科目!$F$1:$H$2,2,0),0)="","",VLOOKUP($B65,勘定科目!$A:$E,2,0)),"")</f>
        <v>輸入海上運賃（製）</v>
      </c>
      <c r="D65" s="239" t="str">
        <f>IF(C65="","",VLOOKUP($B65,勘定科目!$A:$E,4,0))</f>
        <v>荷造運賃</v>
      </c>
      <c r="E65" s="245"/>
      <c r="F65" s="194">
        <v>630000000</v>
      </c>
      <c r="G65" s="194">
        <v>630000000</v>
      </c>
      <c r="H65" s="194">
        <v>630000000</v>
      </c>
      <c r="I65" s="194">
        <v>630000000</v>
      </c>
      <c r="J65" s="194">
        <v>630000000</v>
      </c>
      <c r="K65" s="194">
        <v>630000000</v>
      </c>
      <c r="L65" s="194">
        <v>630000000</v>
      </c>
      <c r="M65" s="194">
        <v>630000000</v>
      </c>
      <c r="N65" s="194">
        <v>630000000</v>
      </c>
      <c r="O65" s="194">
        <v>630000000</v>
      </c>
      <c r="P65" s="194">
        <v>630000000</v>
      </c>
      <c r="Q65" s="194">
        <v>630000000</v>
      </c>
      <c r="R65" s="200">
        <f t="shared" si="9"/>
        <v>7560000000</v>
      </c>
      <c r="S65" s="201" t="s">
        <v>712</v>
      </c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6003036543</v>
      </c>
      <c r="C66" s="183" t="str">
        <f>IFERROR(IF(VLOOKUP($B66,勘定科目!$A:$H,HLOOKUP($E$5,勘定科目!$F$1:$H$2,2,0),0)="","",VLOOKUP($B66,勘定科目!$A:$E,2,0)),"")</f>
        <v>輸出航空運賃（販売）</v>
      </c>
      <c r="D66" s="239" t="str">
        <f>IF(C66="","",VLOOKUP($B66,勘定科目!$A:$E,4,0))</f>
        <v>荷造運賃</v>
      </c>
      <c r="E66" s="245"/>
      <c r="F66" s="194">
        <v>269000</v>
      </c>
      <c r="G66" s="194">
        <v>269000</v>
      </c>
      <c r="H66" s="194">
        <v>269000</v>
      </c>
      <c r="I66" s="194">
        <v>269000</v>
      </c>
      <c r="J66" s="194">
        <v>269000</v>
      </c>
      <c r="K66" s="194">
        <v>269000</v>
      </c>
      <c r="L66" s="194">
        <v>269000</v>
      </c>
      <c r="M66" s="194">
        <v>269000</v>
      </c>
      <c r="N66" s="194">
        <v>269000</v>
      </c>
      <c r="O66" s="194">
        <v>269000</v>
      </c>
      <c r="P66" s="194">
        <v>269000</v>
      </c>
      <c r="Q66" s="194">
        <v>269000</v>
      </c>
      <c r="R66" s="200">
        <f t="shared" si="9"/>
        <v>3228000</v>
      </c>
      <c r="S66" s="201" t="s">
        <v>713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>
        <v>6003036544</v>
      </c>
      <c r="C67" s="183" t="str">
        <f>IFERROR(IF(VLOOKUP($B67,勘定科目!$A:$H,HLOOKUP($E$5,勘定科目!$F$1:$H$2,2,0),0)="","",VLOOKUP($B67,勘定科目!$A:$E,2,0)),"")</f>
        <v>輸出海上運賃（販売）</v>
      </c>
      <c r="D67" s="239" t="str">
        <f>IF(C67="","",VLOOKUP($B67,勘定科目!$A:$E,4,0))</f>
        <v>荷造運賃</v>
      </c>
      <c r="E67" s="245"/>
      <c r="F67" s="194">
        <v>2500000000</v>
      </c>
      <c r="G67" s="194">
        <v>2500000000</v>
      </c>
      <c r="H67" s="194">
        <v>2500000000</v>
      </c>
      <c r="I67" s="194">
        <v>2500000000</v>
      </c>
      <c r="J67" s="194">
        <v>2500000000</v>
      </c>
      <c r="K67" s="194">
        <v>2500000000</v>
      </c>
      <c r="L67" s="194">
        <v>2500000000</v>
      </c>
      <c r="M67" s="194">
        <v>2500000000</v>
      </c>
      <c r="N67" s="194">
        <v>2500000000</v>
      </c>
      <c r="O67" s="194">
        <v>2500000000</v>
      </c>
      <c r="P67" s="194">
        <v>2500000000</v>
      </c>
      <c r="Q67" s="194">
        <v>2500000000</v>
      </c>
      <c r="R67" s="200">
        <f t="shared" si="9"/>
        <v>30000000000</v>
      </c>
      <c r="S67" s="201" t="s">
        <v>714</v>
      </c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5005076289</v>
      </c>
      <c r="C68" s="183" t="str">
        <f>IFERROR(IF(VLOOKUP($B68,勘定科目!$A:$H,HLOOKUP($E$5,勘定科目!$F$1:$H$2,2,0),0)="","",VLOOKUP($B68,勘定科目!$A:$E,2,0)),"")</f>
        <v>クーリエ費用（製）</v>
      </c>
      <c r="D68" s="239" t="str">
        <f>IF(C68="","",VLOOKUP($B68,勘定科目!$A:$E,4,0))</f>
        <v>荷造運賃</v>
      </c>
      <c r="E68" s="245"/>
      <c r="F68" s="194">
        <v>42042958</v>
      </c>
      <c r="G68" s="194">
        <v>42042958</v>
      </c>
      <c r="H68" s="194">
        <v>42042958</v>
      </c>
      <c r="I68" s="194">
        <v>42042958</v>
      </c>
      <c r="J68" s="194">
        <v>42042958</v>
      </c>
      <c r="K68" s="194">
        <v>42042958</v>
      </c>
      <c r="L68" s="194">
        <v>42042958</v>
      </c>
      <c r="M68" s="194">
        <v>42042958</v>
      </c>
      <c r="N68" s="194">
        <v>42042958</v>
      </c>
      <c r="O68" s="194">
        <v>42042958</v>
      </c>
      <c r="P68" s="194">
        <v>42042958</v>
      </c>
      <c r="Q68" s="194">
        <v>42042958</v>
      </c>
      <c r="R68" s="200">
        <f t="shared" si="9"/>
        <v>504515496</v>
      </c>
      <c r="S68" s="201" t="s">
        <v>715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/>
      <c r="C69" s="183" t="str">
        <f>IFERROR(IF(VLOOKUP($B69,勘定科目!$A:$H,HLOOKUP($E$5,勘定科目!$F$1:$H$2,2,0),0)="","",VLOOKUP($B69,勘定科目!$A:$E,2,0)),"")</f>
        <v/>
      </c>
      <c r="D69" s="239" t="str">
        <f>IF(C69="","",VLOOKUP($B69,勘定科目!$A:$E,4,0))</f>
        <v/>
      </c>
      <c r="E69" s="245"/>
      <c r="F69" s="194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00">
        <f t="shared" si="9"/>
        <v>0</v>
      </c>
      <c r="S69" s="201"/>
      <c r="T69" s="202"/>
      <c r="U69" s="246"/>
      <c r="V69" s="246"/>
      <c r="W69" s="246"/>
      <c r="BA69"/>
      <c r="BB69"/>
    </row>
    <row r="70" spans="1:54" s="191" customFormat="1" ht="13">
      <c r="A70" s="226"/>
      <c r="B70" s="180">
        <v>5005026371</v>
      </c>
      <c r="C70" s="183" t="str">
        <f>IFERROR(IF(VLOOKUP($B70,勘定科目!$A:$H,HLOOKUP($E$5,勘定科目!$F$1:$H$2,2,0),0)="","",VLOOKUP($B70,勘定科目!$A:$E,2,0)),"")</f>
        <v>消耗工具器具備品費（製）</v>
      </c>
      <c r="D70" s="239" t="str">
        <f>IF(C70="","",VLOOKUP($B70,勘定科目!$A:$E,4,0))</f>
        <v>消耗工具器具備品費</v>
      </c>
      <c r="E70" s="245"/>
      <c r="F70" s="194">
        <v>128000000</v>
      </c>
      <c r="G70" s="194">
        <v>128000000</v>
      </c>
      <c r="H70" s="194">
        <v>128000000</v>
      </c>
      <c r="I70" s="194">
        <v>128000000</v>
      </c>
      <c r="J70" s="194">
        <v>128000000</v>
      </c>
      <c r="K70" s="194">
        <v>128000000</v>
      </c>
      <c r="L70" s="194">
        <v>128000000</v>
      </c>
      <c r="M70" s="194">
        <v>128000000</v>
      </c>
      <c r="N70" s="194">
        <v>128000000</v>
      </c>
      <c r="O70" s="194">
        <v>128000000</v>
      </c>
      <c r="P70" s="194">
        <v>128000000</v>
      </c>
      <c r="Q70" s="194">
        <v>128000000</v>
      </c>
      <c r="R70" s="200">
        <f t="shared" si="9"/>
        <v>1536000000</v>
      </c>
      <c r="S70" s="201" t="s">
        <v>716</v>
      </c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5005026371</v>
      </c>
      <c r="C71" s="183" t="str">
        <f>IFERROR(IF(VLOOKUP($B71,勘定科目!$A:$H,HLOOKUP($E$5,勘定科目!$F$1:$H$2,2,0),0)="","",VLOOKUP($B71,勘定科目!$A:$E,2,0)),"")</f>
        <v>消耗工具器具備品費（製）</v>
      </c>
      <c r="D71" s="239" t="str">
        <f>IF(C71="","",VLOOKUP($B71,勘定科目!$A:$E,4,0))</f>
        <v>消耗工具器具備品費</v>
      </c>
      <c r="E71" s="245"/>
      <c r="F71" s="194">
        <v>20950000</v>
      </c>
      <c r="G71" s="194">
        <v>20950000</v>
      </c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9"/>
        <v>41900000</v>
      </c>
      <c r="S71" s="201" t="s">
        <v>717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5005046281</v>
      </c>
      <c r="C72" s="183" t="str">
        <f>IFERROR(IF(VLOOKUP($B72,勘定科目!$A:$H,HLOOKUP($E$5,勘定科目!$F$1:$H$2,2,0),0)="","",VLOOKUP($B72,勘定科目!$A:$E,2,0)),"")</f>
        <v>機械設備修繕費（製）</v>
      </c>
      <c r="D72" s="239" t="str">
        <f>IF(C72="","",VLOOKUP($B72,勘定科目!$A:$E,4,0))</f>
        <v>修繕費</v>
      </c>
      <c r="E72" s="245"/>
      <c r="F72" s="194">
        <v>3000000</v>
      </c>
      <c r="G72" s="247">
        <v>4500000</v>
      </c>
      <c r="H72" s="247">
        <v>12000000</v>
      </c>
      <c r="I72" s="247">
        <v>14000000</v>
      </c>
      <c r="J72" s="247">
        <v>12500000</v>
      </c>
      <c r="K72" s="247">
        <v>26300000</v>
      </c>
      <c r="L72" s="247">
        <v>12500000</v>
      </c>
      <c r="M72" s="247">
        <v>3300000</v>
      </c>
      <c r="N72" s="247">
        <v>11500000</v>
      </c>
      <c r="O72" s="247">
        <v>2100000</v>
      </c>
      <c r="P72" s="247">
        <v>10000000</v>
      </c>
      <c r="Q72" s="247">
        <v>12100000</v>
      </c>
      <c r="R72" s="200">
        <f t="shared" si="9"/>
        <v>123800000</v>
      </c>
      <c r="S72" s="201" t="s">
        <v>718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5005046281</v>
      </c>
      <c r="C73" s="183" t="str">
        <f>IFERROR(IF(VLOOKUP($B73,勘定科目!$A:$H,HLOOKUP($E$5,勘定科目!$F$1:$H$2,2,0),0)="","",VLOOKUP($B73,勘定科目!$A:$E,2,0)),"")</f>
        <v>機械設備修繕費（製）</v>
      </c>
      <c r="D73" s="239" t="str">
        <f>IF(C73="","",VLOOKUP($B73,勘定科目!$A:$E,4,0))</f>
        <v>修繕費</v>
      </c>
      <c r="E73" s="245"/>
      <c r="F73" s="194">
        <v>30000000</v>
      </c>
      <c r="G73" s="194">
        <v>30000000</v>
      </c>
      <c r="H73" s="194">
        <v>30000000</v>
      </c>
      <c r="I73" s="194">
        <v>30000000</v>
      </c>
      <c r="J73" s="194">
        <v>30000000</v>
      </c>
      <c r="K73" s="194">
        <v>30000000</v>
      </c>
      <c r="L73" s="194">
        <v>30000000</v>
      </c>
      <c r="M73" s="194">
        <v>30000000</v>
      </c>
      <c r="N73" s="194">
        <v>30000000</v>
      </c>
      <c r="O73" s="194">
        <v>30000000</v>
      </c>
      <c r="P73" s="194">
        <v>30000000</v>
      </c>
      <c r="Q73" s="194">
        <v>30000000</v>
      </c>
      <c r="R73" s="200">
        <f t="shared" si="9"/>
        <v>360000000</v>
      </c>
      <c r="S73" s="201" t="s">
        <v>719</v>
      </c>
      <c r="T73" s="202"/>
      <c r="U73" s="246"/>
      <c r="V73" s="246"/>
      <c r="W73" s="246"/>
      <c r="BA73"/>
      <c r="BB73"/>
    </row>
    <row r="74" spans="1:54" s="191" customFormat="1" ht="13">
      <c r="A74" s="226"/>
      <c r="B74" s="180">
        <v>5005016373</v>
      </c>
      <c r="C74" s="183" t="str">
        <f>IFERROR(IF(VLOOKUP($B74,勘定科目!$A:$H,HLOOKUP($E$5,勘定科目!$F$1:$H$2,2,0),0)="","",VLOOKUP($B74,勘定科目!$A:$E,2,0)),"")</f>
        <v>生産用文房具（製造）</v>
      </c>
      <c r="D74" s="239" t="str">
        <f>IF(C74="","",VLOOKUP($B74,勘定科目!$A:$E,4,0))</f>
        <v>消耗品費</v>
      </c>
      <c r="E74" s="245"/>
      <c r="F74" s="194">
        <v>500000</v>
      </c>
      <c r="G74" s="194">
        <v>500000</v>
      </c>
      <c r="H74" s="194">
        <v>500000</v>
      </c>
      <c r="I74" s="194">
        <v>500000</v>
      </c>
      <c r="J74" s="194">
        <v>500000</v>
      </c>
      <c r="K74" s="194">
        <v>500000</v>
      </c>
      <c r="L74" s="194">
        <v>500000</v>
      </c>
      <c r="M74" s="194">
        <v>500000</v>
      </c>
      <c r="N74" s="194">
        <v>500000</v>
      </c>
      <c r="O74" s="194">
        <v>500000</v>
      </c>
      <c r="P74" s="194">
        <v>500000</v>
      </c>
      <c r="Q74" s="194">
        <v>500000</v>
      </c>
      <c r="R74" s="200">
        <f t="shared" si="9"/>
        <v>6000000</v>
      </c>
      <c r="S74" s="201" t="s">
        <v>720</v>
      </c>
      <c r="T74" s="202"/>
      <c r="U74" s="246"/>
      <c r="V74" s="246"/>
      <c r="W74" s="246"/>
      <c r="BA74"/>
      <c r="BB74"/>
    </row>
    <row r="75" spans="1:54" s="191" customFormat="1" ht="13">
      <c r="A75" s="226"/>
      <c r="B75" s="180">
        <v>5005026371</v>
      </c>
      <c r="C75" s="183" t="str">
        <f>IFERROR(IF(VLOOKUP($B75,勘定科目!$A:$H,HLOOKUP($E$5,勘定科目!$F$1:$H$2,2,0),0)="","",VLOOKUP($B75,勘定科目!$A:$E,2,0)),"")</f>
        <v>消耗工具器具備品費（製）</v>
      </c>
      <c r="D75" s="239" t="str">
        <f>IF(C75="","",VLOOKUP($B75,勘定科目!$A:$E,4,0))</f>
        <v>消耗工具器具備品費</v>
      </c>
      <c r="E75" s="245"/>
      <c r="F75" s="194">
        <v>184172607</v>
      </c>
      <c r="G75" s="247">
        <v>199298639</v>
      </c>
      <c r="H75" s="247">
        <v>233651874</v>
      </c>
      <c r="I75" s="247">
        <v>272565483</v>
      </c>
      <c r="J75" s="247">
        <v>220655600</v>
      </c>
      <c r="K75" s="247">
        <v>203352305</v>
      </c>
      <c r="L75" s="247">
        <v>272565483</v>
      </c>
      <c r="M75" s="247">
        <v>220655600</v>
      </c>
      <c r="N75" s="247">
        <v>255262188</v>
      </c>
      <c r="O75" s="247">
        <v>271326423</v>
      </c>
      <c r="P75" s="247">
        <v>126538504</v>
      </c>
      <c r="Q75" s="247">
        <v>194053417</v>
      </c>
      <c r="R75" s="200">
        <f t="shared" si="9"/>
        <v>2654098123</v>
      </c>
      <c r="S75" s="201" t="s">
        <v>721</v>
      </c>
      <c r="T75" s="202"/>
      <c r="U75" s="246"/>
      <c r="V75" s="246"/>
      <c r="W75" s="246"/>
      <c r="BA75"/>
      <c r="BB75"/>
    </row>
    <row r="76" spans="1:54" s="191" customFormat="1" ht="13">
      <c r="A76" s="226"/>
      <c r="B76" s="180"/>
      <c r="C76" s="183" t="str">
        <f>IFERROR(IF(VLOOKUP($B76,勘定科目!$A:$H,HLOOKUP($E$5,勘定科目!$F$1:$H$2,2,0),0)="","",VLOOKUP($B76,勘定科目!$A:$E,2,0)),"")</f>
        <v/>
      </c>
      <c r="D76" s="239" t="str">
        <f>IF(C76="","",VLOOKUP($B76,勘定科目!$A:$E,4,0))</f>
        <v/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9"/>
        <v>0</v>
      </c>
      <c r="S76" s="201"/>
      <c r="T76" s="202"/>
      <c r="U76" s="246"/>
      <c r="V76" s="246"/>
      <c r="W76" s="246"/>
      <c r="BA76"/>
      <c r="BB76"/>
    </row>
    <row r="77" spans="1:54" s="191" customFormat="1" ht="13">
      <c r="A77" s="226"/>
      <c r="B77" s="180">
        <v>5001016151</v>
      </c>
      <c r="C77" s="183" t="str">
        <f>IFERROR(IF(VLOOKUP($B77,勘定科目!$A:$H,HLOOKUP($E$5,勘定科目!$F$1:$H$2,2,0),0)="","",VLOOKUP($B77,勘定科目!$A:$E,2,0)),"")</f>
        <v>生産用副資材</v>
      </c>
      <c r="D77" s="239" t="str">
        <f>IF(C77="","",VLOOKUP($B77,勘定科目!$A:$E,4,0))</f>
        <v>材料費</v>
      </c>
      <c r="E77" s="245"/>
      <c r="F77" s="194">
        <v>3659378455</v>
      </c>
      <c r="G77" s="247">
        <v>3419893939</v>
      </c>
      <c r="H77" s="247">
        <v>3376955109</v>
      </c>
      <c r="I77" s="247">
        <v>4178027553</v>
      </c>
      <c r="J77" s="247">
        <v>3786851088</v>
      </c>
      <c r="K77" s="247">
        <v>3867018847</v>
      </c>
      <c r="L77" s="247">
        <v>4173764716</v>
      </c>
      <c r="M77" s="247">
        <v>3873248435</v>
      </c>
      <c r="N77" s="247">
        <v>4262285547</v>
      </c>
      <c r="O77" s="247">
        <v>4310317789</v>
      </c>
      <c r="P77" s="247">
        <v>3753926794</v>
      </c>
      <c r="Q77" s="247">
        <v>4105835705</v>
      </c>
      <c r="R77" s="200">
        <f t="shared" si="9"/>
        <v>46767503977</v>
      </c>
      <c r="S77" s="201" t="s">
        <v>722</v>
      </c>
      <c r="T77" s="202"/>
      <c r="U77" s="246"/>
      <c r="V77" s="246"/>
      <c r="W77" s="246"/>
      <c r="BA77"/>
      <c r="BB77"/>
    </row>
    <row r="78" spans="1:54" s="191" customFormat="1" ht="13">
      <c r="A78" s="226"/>
      <c r="B78" s="180">
        <v>5005016371</v>
      </c>
      <c r="C78" s="183" t="str">
        <f>IFERROR(IF(VLOOKUP($B78,勘定科目!$A:$H,HLOOKUP($E$5,勘定科目!$F$1:$H$2,2,0),0)="","",VLOOKUP($B78,勘定科目!$A:$E,2,0)),"")</f>
        <v>生産用消耗品費（製）</v>
      </c>
      <c r="D78" s="239" t="str">
        <f>IF(C78="","",VLOOKUP($B78,勘定科目!$A:$E,4,0))</f>
        <v>消耗品費</v>
      </c>
      <c r="E78" s="245"/>
      <c r="F78" s="194">
        <v>727404123</v>
      </c>
      <c r="G78" s="247">
        <v>666339056</v>
      </c>
      <c r="H78" s="247">
        <v>666453681</v>
      </c>
      <c r="I78" s="247">
        <v>831356649</v>
      </c>
      <c r="J78" s="247">
        <v>752677118</v>
      </c>
      <c r="K78" s="247">
        <v>755290569</v>
      </c>
      <c r="L78" s="247">
        <v>853936610</v>
      </c>
      <c r="M78" s="247">
        <v>776780675</v>
      </c>
      <c r="N78" s="247">
        <v>868986409</v>
      </c>
      <c r="O78" s="247">
        <v>848465079</v>
      </c>
      <c r="P78" s="247">
        <v>719867062</v>
      </c>
      <c r="Q78" s="247">
        <v>810058163</v>
      </c>
      <c r="R78" s="200">
        <f t="shared" si="9"/>
        <v>9277615194</v>
      </c>
      <c r="S78" s="201" t="s">
        <v>723</v>
      </c>
      <c r="T78" s="202"/>
      <c r="U78" s="246"/>
      <c r="V78" s="246"/>
      <c r="W78" s="246"/>
      <c r="BA78"/>
      <c r="BB78"/>
    </row>
    <row r="79" spans="1:54" s="191" customFormat="1" ht="13">
      <c r="A79" s="226"/>
      <c r="B79" s="180">
        <v>5005016371</v>
      </c>
      <c r="C79" s="183" t="str">
        <f>IFERROR(IF(VLOOKUP($B79,勘定科目!$A:$H,HLOOKUP($E$5,勘定科目!$F$1:$H$2,2,0),0)="","",VLOOKUP($B79,勘定科目!$A:$E,2,0)),"")</f>
        <v>生産用消耗品費（製）</v>
      </c>
      <c r="D79" s="239" t="str">
        <f>IF(C79="","",VLOOKUP($B79,勘定科目!$A:$E,4,0))</f>
        <v>消耗品費</v>
      </c>
      <c r="E79" s="245"/>
      <c r="F79" s="194">
        <v>140513480</v>
      </c>
      <c r="G79" s="247">
        <v>130606730</v>
      </c>
      <c r="H79" s="247">
        <v>131649024</v>
      </c>
      <c r="I79" s="247">
        <v>161434188</v>
      </c>
      <c r="J79" s="247">
        <v>145991756</v>
      </c>
      <c r="K79" s="247">
        <v>140133038</v>
      </c>
      <c r="L79" s="247">
        <v>169254465</v>
      </c>
      <c r="M79" s="247">
        <v>147236552</v>
      </c>
      <c r="N79" s="247">
        <v>161017361</v>
      </c>
      <c r="O79" s="247">
        <v>151840785</v>
      </c>
      <c r="P79" s="247">
        <v>120836637</v>
      </c>
      <c r="Q79" s="247">
        <v>155435973</v>
      </c>
      <c r="R79" s="200">
        <f t="shared" si="9"/>
        <v>1755949989</v>
      </c>
      <c r="S79" s="201" t="s">
        <v>724</v>
      </c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5005016371</v>
      </c>
      <c r="C80" s="183" t="str">
        <f>IFERROR(IF(VLOOKUP($B80,勘定科目!$A:$H,HLOOKUP($E$5,勘定科目!$F$1:$H$2,2,0),0)="","",VLOOKUP($B80,勘定科目!$A:$E,2,0)),"")</f>
        <v>生産用消耗品費（製）</v>
      </c>
      <c r="D80" s="239" t="str">
        <f>IF(C80="","",VLOOKUP($B80,勘定科目!$A:$E,4,0))</f>
        <v>消耗品費</v>
      </c>
      <c r="E80" s="245"/>
      <c r="F80" s="194">
        <v>10975959</v>
      </c>
      <c r="G80" s="247">
        <v>10202112</v>
      </c>
      <c r="H80" s="247">
        <v>10283529</v>
      </c>
      <c r="I80" s="247">
        <v>12610143</v>
      </c>
      <c r="J80" s="247">
        <v>11403885</v>
      </c>
      <c r="K80" s="247">
        <v>10946243</v>
      </c>
      <c r="L80" s="247">
        <v>13221011</v>
      </c>
      <c r="M80" s="247">
        <v>11501120</v>
      </c>
      <c r="N80" s="247">
        <v>12577583</v>
      </c>
      <c r="O80" s="247">
        <v>11860772</v>
      </c>
      <c r="P80" s="247">
        <v>9438938</v>
      </c>
      <c r="Q80" s="247">
        <v>12141603</v>
      </c>
      <c r="R80" s="200">
        <f t="shared" si="9"/>
        <v>137162898</v>
      </c>
      <c r="S80" s="201" t="s">
        <v>725</v>
      </c>
      <c r="T80" s="202"/>
      <c r="U80" s="246"/>
      <c r="V80" s="246"/>
      <c r="W80" s="246"/>
      <c r="BA80"/>
      <c r="BB80"/>
    </row>
    <row r="81" spans="1:57" s="191" customFormat="1" ht="13">
      <c r="A81" s="226"/>
      <c r="B81" s="180">
        <v>5001016134</v>
      </c>
      <c r="C81" s="183" t="str">
        <f>IFERROR(IF(VLOOKUP($B81,勘定科目!$A:$H,HLOOKUP($E$5,勘定科目!$F$1:$H$2,2,0),0)="","",VLOOKUP($B81,勘定科目!$A:$E,2,0)),"")</f>
        <v>リーフレット用材料</v>
      </c>
      <c r="D81" s="239" t="str">
        <f>IF(C81="","",VLOOKUP($B81,勘定科目!$A:$E,4,0))</f>
        <v>材料費</v>
      </c>
      <c r="E81" s="245"/>
      <c r="F81" s="194">
        <v>6863373</v>
      </c>
      <c r="G81" s="247">
        <v>6520921</v>
      </c>
      <c r="H81" s="247">
        <v>6381117</v>
      </c>
      <c r="I81" s="247">
        <v>7831982</v>
      </c>
      <c r="J81" s="247">
        <v>7105639</v>
      </c>
      <c r="K81" s="247">
        <v>7352914</v>
      </c>
      <c r="L81" s="247">
        <v>7642085</v>
      </c>
      <c r="M81" s="247">
        <v>7214248</v>
      </c>
      <c r="N81" s="247">
        <v>7826972</v>
      </c>
      <c r="O81" s="247">
        <v>8152119</v>
      </c>
      <c r="P81" s="247">
        <v>7248630</v>
      </c>
      <c r="Q81" s="247">
        <v>7750923</v>
      </c>
      <c r="R81" s="200">
        <f t="shared" si="9"/>
        <v>87890923</v>
      </c>
      <c r="S81" s="201" t="s">
        <v>726</v>
      </c>
      <c r="T81" s="202"/>
      <c r="U81" s="246"/>
      <c r="V81" s="246"/>
      <c r="W81" s="246"/>
      <c r="BA81"/>
      <c r="BB81"/>
    </row>
    <row r="82" spans="1:57" s="191" customFormat="1" ht="13">
      <c r="A82" s="226"/>
      <c r="B82" s="180">
        <v>5005016373</v>
      </c>
      <c r="C82" s="183" t="str">
        <f>IFERROR(IF(VLOOKUP($B82,勘定科目!$A:$H,HLOOKUP($E$5,勘定科目!$F$1:$H$2,2,0),0)="","",VLOOKUP($B82,勘定科目!$A:$E,2,0)),"")</f>
        <v>生産用文房具（製造）</v>
      </c>
      <c r="D82" s="239" t="str">
        <f>IF(C82="","",VLOOKUP($B82,勘定科目!$A:$E,4,0))</f>
        <v>消耗品費</v>
      </c>
      <c r="E82" s="245"/>
      <c r="F82" s="194">
        <v>330000</v>
      </c>
      <c r="G82" s="247">
        <v>330000</v>
      </c>
      <c r="H82" s="247">
        <v>330000</v>
      </c>
      <c r="I82" s="247">
        <v>330000</v>
      </c>
      <c r="J82" s="247">
        <v>330000</v>
      </c>
      <c r="K82" s="247">
        <v>330000</v>
      </c>
      <c r="L82" s="247">
        <v>330000</v>
      </c>
      <c r="M82" s="247">
        <v>330000</v>
      </c>
      <c r="N82" s="247">
        <v>330000</v>
      </c>
      <c r="O82" s="247">
        <v>330000</v>
      </c>
      <c r="P82" s="247">
        <v>330000</v>
      </c>
      <c r="Q82" s="247">
        <v>330000</v>
      </c>
      <c r="R82" s="200">
        <f t="shared" si="9"/>
        <v>3960000</v>
      </c>
      <c r="S82" s="201" t="s">
        <v>727</v>
      </c>
      <c r="T82" s="202"/>
      <c r="U82" s="246"/>
      <c r="V82" s="246"/>
      <c r="W82" s="246"/>
      <c r="BA82"/>
      <c r="BB82"/>
    </row>
    <row r="83" spans="1:57" s="191" customFormat="1" ht="13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9"/>
        <v>0</v>
      </c>
      <c r="S83" s="201"/>
      <c r="T83" s="202"/>
      <c r="U83" s="246"/>
      <c r="V83" s="246"/>
      <c r="W83" s="246"/>
      <c r="BA83"/>
      <c r="BB83"/>
    </row>
    <row r="84" spans="1:57" s="191" customFormat="1" ht="13">
      <c r="A84" s="226"/>
      <c r="B84" s="180">
        <v>5005016371</v>
      </c>
      <c r="C84" s="183" t="str">
        <f>IFERROR(IF(VLOOKUP($B84,勘定科目!$A:$H,HLOOKUP($E$5,勘定科目!$F$1:$H$2,2,0),0)="","",VLOOKUP($B84,勘定科目!$A:$E,2,0)),"")</f>
        <v>生産用消耗品費（製）</v>
      </c>
      <c r="D84" s="239" t="str">
        <f>IF(C84="","",VLOOKUP($B84,勘定科目!$A:$E,4,0))</f>
        <v>消耗品費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9"/>
        <v>0</v>
      </c>
      <c r="S84" s="201" t="s">
        <v>728</v>
      </c>
      <c r="T84" s="202"/>
      <c r="U84" s="246"/>
      <c r="V84" s="246"/>
      <c r="W84" s="246"/>
      <c r="BA84"/>
      <c r="BB84"/>
    </row>
    <row r="85" spans="1:57" s="191" customFormat="1" ht="13">
      <c r="A85" s="226"/>
      <c r="B85" s="180">
        <v>5001016151</v>
      </c>
      <c r="C85" s="183" t="str">
        <f>IFERROR(IF(VLOOKUP($B85,勘定科目!$A:$H,HLOOKUP($E$5,勘定科目!$F$1:$H$2,2,0),0)="","",VLOOKUP($B85,勘定科目!$A:$E,2,0)),"")</f>
        <v>生産用副資材</v>
      </c>
      <c r="D85" s="239" t="str">
        <f>IF(C85="","",VLOOKUP($B85,勘定科目!$A:$E,4,0))</f>
        <v>材料費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9"/>
        <v>0</v>
      </c>
      <c r="S85" s="201" t="s">
        <v>729</v>
      </c>
      <c r="T85" s="202"/>
      <c r="U85" s="246"/>
      <c r="V85" s="246"/>
      <c r="W85" s="246"/>
      <c r="BA85"/>
      <c r="BB85"/>
    </row>
    <row r="86" spans="1:57" s="191" customFormat="1" ht="13">
      <c r="A86" s="226"/>
      <c r="B86" s="180">
        <v>5001016151</v>
      </c>
      <c r="C86" s="183" t="str">
        <f>IFERROR(IF(VLOOKUP($B86,勘定科目!$A:$H,HLOOKUP($E$5,勘定科目!$F$1:$H$2,2,0),0)="","",VLOOKUP($B86,勘定科目!$A:$E,2,0)),"")</f>
        <v>生産用副資材</v>
      </c>
      <c r="D86" s="239" t="str">
        <f>IF(C86="","",VLOOKUP($B86,勘定科目!$A:$E,4,0))</f>
        <v>材料費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9"/>
        <v>0</v>
      </c>
      <c r="S86" s="201" t="s">
        <v>730</v>
      </c>
      <c r="T86" s="202"/>
      <c r="U86" s="246"/>
      <c r="V86" s="246"/>
      <c r="W86" s="246"/>
      <c r="BA86"/>
      <c r="BB86"/>
    </row>
    <row r="87" spans="1:57" s="191" customFormat="1" ht="13">
      <c r="A87" s="226"/>
      <c r="B87" s="180">
        <v>5005016371</v>
      </c>
      <c r="C87" s="183" t="str">
        <f>IFERROR(IF(VLOOKUP($B87,勘定科目!$A:$H,HLOOKUP($E$5,勘定科目!$F$1:$H$2,2,0),0)="","",VLOOKUP($B87,勘定科目!$A:$E,2,0)),"")</f>
        <v>生産用消耗品費（製）</v>
      </c>
      <c r="D87" s="239" t="str">
        <f>IF(C87="","",VLOOKUP($B87,勘定科目!$A:$E,4,0))</f>
        <v>消耗品費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9"/>
        <v>0</v>
      </c>
      <c r="S87" s="201" t="s">
        <v>731</v>
      </c>
      <c r="T87" s="202"/>
      <c r="U87" s="246"/>
      <c r="V87" s="246"/>
      <c r="W87" s="246"/>
      <c r="BA87"/>
      <c r="BB87"/>
    </row>
    <row r="88" spans="1:57" s="191" customFormat="1" ht="13">
      <c r="A88" s="226"/>
      <c r="B88" s="180"/>
      <c r="C88" s="183" t="str">
        <f>IFERROR(IF(VLOOKUP($B88,勘定科目!$A:$H,HLOOKUP($E$5,勘定科目!$F$1:$H$2,2,0),0)="","",VLOOKUP($B88,勘定科目!$A:$E,2,0)),"")</f>
        <v/>
      </c>
      <c r="D88" s="239" t="str">
        <f>IF(C88="","",VLOOKUP($B88,勘定科目!$A:$E,4,0))</f>
        <v/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9"/>
        <v>0</v>
      </c>
      <c r="S88" s="201"/>
      <c r="T88" s="202"/>
      <c r="U88" s="246"/>
      <c r="V88" s="246"/>
      <c r="W88" s="246"/>
      <c r="BA88"/>
      <c r="BB88"/>
    </row>
    <row r="89" spans="1:57" s="191" customFormat="1" ht="13">
      <c r="A89" s="226"/>
      <c r="B89" s="180">
        <v>5005056281</v>
      </c>
      <c r="C89" s="183" t="str">
        <f>IFERROR(IF(VLOOKUP($B89,勘定科目!$A:$H,HLOOKUP($E$5,勘定科目!$F$1:$H$2,2,0),0)="","",VLOOKUP($B89,勘定科目!$A:$E,2,0)),"")</f>
        <v>ガス代（製）</v>
      </c>
      <c r="D89" s="239" t="str">
        <f>IF(C89="","",VLOOKUP($B89,勘定科目!$A:$E,4,0))</f>
        <v>水道光熱費</v>
      </c>
      <c r="E89" s="245"/>
      <c r="F89" s="194">
        <v>44604430</v>
      </c>
      <c r="G89" s="247">
        <v>43217655</v>
      </c>
      <c r="H89" s="247">
        <v>48489336</v>
      </c>
      <c r="I89" s="247">
        <v>46271994</v>
      </c>
      <c r="J89" s="247">
        <v>47127552</v>
      </c>
      <c r="K89" s="247">
        <v>44187668</v>
      </c>
      <c r="L89" s="247">
        <v>54493320</v>
      </c>
      <c r="M89" s="247">
        <v>47582782</v>
      </c>
      <c r="N89" s="247">
        <v>51051588</v>
      </c>
      <c r="O89" s="247">
        <v>48870309</v>
      </c>
      <c r="P89" s="247">
        <v>39275436</v>
      </c>
      <c r="Q89" s="247">
        <v>53900714</v>
      </c>
      <c r="R89" s="200">
        <f t="shared" si="9"/>
        <v>569072784</v>
      </c>
      <c r="S89" s="201" t="s">
        <v>732</v>
      </c>
      <c r="T89" s="202"/>
      <c r="U89" s="246"/>
      <c r="V89" s="246"/>
      <c r="W89" s="246"/>
      <c r="BA89"/>
      <c r="BB89"/>
    </row>
    <row r="90" spans="1:57" s="191" customFormat="1" ht="13">
      <c r="A90" s="226"/>
      <c r="B90" s="180">
        <v>5005016372</v>
      </c>
      <c r="C90" s="183" t="str">
        <f>IFERROR(IF(VLOOKUP($B90,勘定科目!$A:$H,HLOOKUP($E$5,勘定科目!$F$1:$H$2,2,0),0)="","",VLOOKUP($B90,勘定科目!$A:$E,2,0)),"")</f>
        <v>その他消耗品（製）</v>
      </c>
      <c r="D90" s="239" t="str">
        <f>IF(C90="","",VLOOKUP($B90,勘定科目!$A:$E,4,0))</f>
        <v>消耗品費</v>
      </c>
      <c r="E90" s="245"/>
      <c r="F90" s="194">
        <v>1239810</v>
      </c>
      <c r="G90" s="247">
        <v>1248650</v>
      </c>
      <c r="H90" s="247">
        <v>1250717</v>
      </c>
      <c r="I90" s="247">
        <v>1097418</v>
      </c>
      <c r="J90" s="247">
        <v>1192320</v>
      </c>
      <c r="K90" s="247">
        <v>1254764</v>
      </c>
      <c r="L90" s="247">
        <v>1311960</v>
      </c>
      <c r="M90" s="247">
        <v>1288898</v>
      </c>
      <c r="N90" s="247">
        <v>1301592</v>
      </c>
      <c r="O90" s="247">
        <v>1298328</v>
      </c>
      <c r="P90" s="247">
        <v>1368324</v>
      </c>
      <c r="Q90" s="247">
        <v>1374695</v>
      </c>
      <c r="R90" s="200">
        <f t="shared" si="9"/>
        <v>15227476</v>
      </c>
      <c r="S90" s="201" t="s">
        <v>733</v>
      </c>
      <c r="T90" s="202"/>
      <c r="U90" s="246"/>
      <c r="V90" s="246"/>
      <c r="W90" s="246"/>
      <c r="BA90"/>
      <c r="BB90"/>
    </row>
    <row r="91" spans="1:57" s="191" customFormat="1" ht="13">
      <c r="A91" s="226"/>
      <c r="B91" s="180">
        <v>5005016372</v>
      </c>
      <c r="C91" s="183" t="str">
        <f>IFERROR(IF(VLOOKUP($B91,勘定科目!$A:$H,HLOOKUP($E$5,勘定科目!$F$1:$H$2,2,0),0)="","",VLOOKUP($B91,勘定科目!$A:$E,2,0)),"")</f>
        <v>その他消耗品（製）</v>
      </c>
      <c r="D91" s="239" t="str">
        <f>IF(C91="","",VLOOKUP($B91,勘定科目!$A:$E,4,0))</f>
        <v>消耗品費</v>
      </c>
      <c r="E91" s="245"/>
      <c r="F91" s="194">
        <v>20358520</v>
      </c>
      <c r="G91" s="247">
        <v>19598280</v>
      </c>
      <c r="H91" s="247">
        <v>20972481</v>
      </c>
      <c r="I91" s="247">
        <v>20842068</v>
      </c>
      <c r="J91" s="247">
        <v>20318016</v>
      </c>
      <c r="K91" s="247">
        <v>20090000</v>
      </c>
      <c r="L91" s="247">
        <v>24487600</v>
      </c>
      <c r="M91" s="247">
        <v>21313097</v>
      </c>
      <c r="N91" s="247">
        <v>23454132</v>
      </c>
      <c r="O91" s="247">
        <v>21177249</v>
      </c>
      <c r="P91" s="247">
        <v>16552422</v>
      </c>
      <c r="Q91" s="247">
        <v>23357145</v>
      </c>
      <c r="R91" s="200">
        <f t="shared" si="9"/>
        <v>252521010</v>
      </c>
      <c r="S91" s="201" t="s">
        <v>734</v>
      </c>
      <c r="T91" s="202"/>
      <c r="U91" s="246"/>
      <c r="V91" s="246"/>
      <c r="W91" s="246"/>
      <c r="BA91"/>
      <c r="BB91"/>
    </row>
    <row r="92" spans="1:57" s="191" customFormat="1" ht="13">
      <c r="A92" s="226"/>
      <c r="B92" s="180">
        <v>5005246286</v>
      </c>
      <c r="C92" s="183" t="str">
        <f>IFERROR(IF(VLOOKUP($B92,勘定科目!$A:$H,HLOOKUP($E$5,勘定科目!$F$1:$H$2,2,0),0)="","",VLOOKUP($B92,勘定科目!$A:$E,2,0)),"")</f>
        <v>その他手数料（製）</v>
      </c>
      <c r="D92" s="239" t="str">
        <f>IF(C92="","",VLOOKUP($B92,勘定科目!$A:$E,4,0))</f>
        <v>手数料</v>
      </c>
      <c r="E92" s="245"/>
      <c r="F92" s="194">
        <v>62152935</v>
      </c>
      <c r="G92" s="247">
        <v>62390510</v>
      </c>
      <c r="H92" s="247">
        <v>62915281</v>
      </c>
      <c r="I92" s="247">
        <v>52559716</v>
      </c>
      <c r="J92" s="247">
        <v>57287664</v>
      </c>
      <c r="K92" s="247">
        <v>56929320</v>
      </c>
      <c r="L92" s="247">
        <v>55021120</v>
      </c>
      <c r="M92" s="247">
        <v>54198508</v>
      </c>
      <c r="N92" s="247">
        <v>54399366</v>
      </c>
      <c r="O92" s="247">
        <v>51758168</v>
      </c>
      <c r="P92" s="247">
        <v>50819028</v>
      </c>
      <c r="Q92" s="247">
        <v>56432180</v>
      </c>
      <c r="R92" s="200">
        <f t="shared" si="9"/>
        <v>676863796</v>
      </c>
      <c r="S92" s="201" t="s">
        <v>735</v>
      </c>
      <c r="T92" s="202"/>
      <c r="U92" s="246"/>
      <c r="V92" s="246"/>
      <c r="W92" s="246"/>
      <c r="BA92"/>
      <c r="BB92"/>
    </row>
    <row r="93" spans="1:57" s="191" customFormat="1" ht="13">
      <c r="A93" s="226"/>
      <c r="B93" s="180">
        <v>5004086291</v>
      </c>
      <c r="C93" s="183" t="str">
        <f>IFERROR(IF(VLOOKUP($B93,勘定科目!$A:$H,HLOOKUP($E$5,勘定科目!$F$1:$H$2,2,0),0)="","",VLOOKUP($B93,勘定科目!$A:$E,2,0)),"")</f>
        <v>福利厚生費（製）</v>
      </c>
      <c r="D93" s="239" t="str">
        <f>IF(C93="","",VLOOKUP($B93,勘定科目!$A:$E,4,0))</f>
        <v>福利厚生費</v>
      </c>
      <c r="E93" s="245"/>
      <c r="F93" s="194">
        <v>272186244</v>
      </c>
      <c r="G93" s="194">
        <v>314175906</v>
      </c>
      <c r="H93" s="194">
        <v>280858446</v>
      </c>
      <c r="I93" s="194">
        <v>294517674</v>
      </c>
      <c r="J93" s="194">
        <v>314490132</v>
      </c>
      <c r="K93" s="194">
        <v>315515574</v>
      </c>
      <c r="L93" s="194">
        <v>236557530</v>
      </c>
      <c r="M93" s="194">
        <v>287618166</v>
      </c>
      <c r="N93" s="194">
        <v>290187216</v>
      </c>
      <c r="O93" s="194">
        <v>273027150</v>
      </c>
      <c r="P93" s="194">
        <v>248165082</v>
      </c>
      <c r="Q93" s="194">
        <v>256653144</v>
      </c>
      <c r="R93" s="200">
        <f t="shared" si="9"/>
        <v>3383952264</v>
      </c>
      <c r="S93" s="201" t="s">
        <v>736</v>
      </c>
      <c r="T93" s="202"/>
      <c r="U93" s="246"/>
      <c r="V93" s="246"/>
      <c r="W93" s="246"/>
      <c r="BA93"/>
      <c r="BB93"/>
    </row>
    <row r="94" spans="1:57" s="191" customFormat="1" ht="13">
      <c r="A94" s="226"/>
      <c r="B94" s="18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>
        <v>20000000</v>
      </c>
      <c r="G94" s="194">
        <v>20000000</v>
      </c>
      <c r="H94" s="194">
        <v>20000000</v>
      </c>
      <c r="I94" s="194">
        <v>20000000</v>
      </c>
      <c r="J94" s="194">
        <v>20000000</v>
      </c>
      <c r="K94" s="194">
        <v>20000000</v>
      </c>
      <c r="L94" s="194">
        <v>20000000</v>
      </c>
      <c r="M94" s="194">
        <v>20000000</v>
      </c>
      <c r="N94" s="194">
        <v>20000000</v>
      </c>
      <c r="O94" s="194">
        <v>20000000</v>
      </c>
      <c r="P94" s="194">
        <v>20000000</v>
      </c>
      <c r="Q94" s="194">
        <v>20000000</v>
      </c>
      <c r="R94" s="200">
        <f t="shared" si="9"/>
        <v>240000000</v>
      </c>
      <c r="S94" s="201" t="s">
        <v>737</v>
      </c>
      <c r="T94" s="202"/>
      <c r="U94" s="246"/>
      <c r="V94" s="246"/>
      <c r="W94" s="246"/>
      <c r="BA94"/>
      <c r="BB94"/>
    </row>
    <row r="95" spans="1:57" s="191" customFormat="1" ht="13">
      <c r="A95" s="226"/>
      <c r="B95" s="180">
        <v>5004086291</v>
      </c>
      <c r="C95" s="183" t="str">
        <f>IFERROR(IF(VLOOKUP($B95,勘定科目!$A:$H,HLOOKUP($E$5,勘定科目!$F$1:$H$2,2,0),0)="","",VLOOKUP($B95,勘定科目!$A:$E,2,0)),"")</f>
        <v>福利厚生費（製）</v>
      </c>
      <c r="D95" s="239" t="str">
        <f>IF(C95="","",VLOOKUP($B95,勘定科目!$A:$E,4,0))</f>
        <v>福利厚生費</v>
      </c>
      <c r="E95" s="245"/>
      <c r="F95" s="194">
        <v>11084000</v>
      </c>
      <c r="G95" s="194">
        <v>10432000</v>
      </c>
      <c r="H95" s="194">
        <v>14018000</v>
      </c>
      <c r="I95" s="194">
        <v>13692000</v>
      </c>
      <c r="J95" s="194">
        <v>18419000</v>
      </c>
      <c r="K95" s="194">
        <v>16463000</v>
      </c>
      <c r="L95" s="194">
        <v>18419000</v>
      </c>
      <c r="M95" s="194">
        <v>13203000</v>
      </c>
      <c r="N95" s="194">
        <v>11736000</v>
      </c>
      <c r="O95" s="194">
        <v>12714000</v>
      </c>
      <c r="P95" s="194">
        <v>14996000</v>
      </c>
      <c r="Q95" s="194">
        <v>16300000</v>
      </c>
      <c r="R95" s="200">
        <f t="shared" si="9"/>
        <v>171476000</v>
      </c>
      <c r="S95" s="201" t="s">
        <v>738</v>
      </c>
      <c r="T95" s="202"/>
      <c r="U95" s="246"/>
      <c r="V95" s="246"/>
      <c r="W95" s="246"/>
      <c r="BA95"/>
      <c r="BB95"/>
      <c r="BE95" s="191" t="s">
        <v>739</v>
      </c>
    </row>
    <row r="96" spans="1:57" s="191" customFormat="1" ht="13">
      <c r="A96" s="226"/>
      <c r="B96" s="180">
        <v>5004086291</v>
      </c>
      <c r="C96" s="183" t="str">
        <f>IFERROR(IF(VLOOKUP($B96,勘定科目!$A:$H,HLOOKUP($E$5,勘定科目!$F$1:$H$2,2,0),0)="","",VLOOKUP($B96,勘定科目!$A:$E,2,0)),"")</f>
        <v>福利厚生費（製）</v>
      </c>
      <c r="D96" s="239" t="str">
        <f>IF(C96="","",VLOOKUP($B96,勘定科目!$A:$E,4,0))</f>
        <v>福利厚生費</v>
      </c>
      <c r="E96" s="245"/>
      <c r="F96" s="194">
        <v>15000000</v>
      </c>
      <c r="G96" s="194">
        <v>15000000</v>
      </c>
      <c r="H96" s="194">
        <v>15000000</v>
      </c>
      <c r="I96" s="194">
        <v>15000000</v>
      </c>
      <c r="J96" s="194">
        <v>15000000</v>
      </c>
      <c r="K96" s="194">
        <v>15000000</v>
      </c>
      <c r="L96" s="194">
        <v>15000000</v>
      </c>
      <c r="M96" s="194">
        <v>15000000</v>
      </c>
      <c r="N96" s="194">
        <v>15000000</v>
      </c>
      <c r="O96" s="194">
        <v>15000000</v>
      </c>
      <c r="P96" s="194">
        <v>15000000</v>
      </c>
      <c r="Q96" s="194">
        <v>15000000</v>
      </c>
      <c r="R96" s="200">
        <f t="shared" si="9"/>
        <v>180000000</v>
      </c>
      <c r="S96" s="201" t="s">
        <v>740</v>
      </c>
      <c r="T96" s="202"/>
      <c r="U96" s="246"/>
      <c r="V96" s="246"/>
      <c r="W96" s="246"/>
      <c r="BA96"/>
      <c r="BB96"/>
    </row>
    <row r="97" spans="1:54" s="191" customFormat="1" ht="13">
      <c r="A97" s="226"/>
      <c r="B97" s="180">
        <v>5004086291</v>
      </c>
      <c r="C97" s="183" t="str">
        <f>IFERROR(IF(VLOOKUP($B97,勘定科目!$A:$H,HLOOKUP($E$5,勘定科目!$F$1:$H$2,2,0),0)="","",VLOOKUP($B97,勘定科目!$A:$E,2,0)),"")</f>
        <v>福利厚生費（製）</v>
      </c>
      <c r="D97" s="239" t="str">
        <f>IF(C97="","",VLOOKUP($B97,勘定科目!$A:$E,4,0))</f>
        <v>福利厚生費</v>
      </c>
      <c r="E97" s="245"/>
      <c r="F97" s="194">
        <f>1105*2*165000+1105*2*175000</f>
        <v>751400000</v>
      </c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9"/>
        <v>751400000</v>
      </c>
      <c r="S97" s="201" t="s">
        <v>741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>
        <v>5004086291</v>
      </c>
      <c r="C98" s="183" t="str">
        <f>IFERROR(IF(VLOOKUP($B98,勘定科目!$A:$H,HLOOKUP($E$5,勘定科目!$F$1:$H$2,2,0),0)="","",VLOOKUP($B98,勘定科目!$A:$E,2,0)),"")</f>
        <v>福利厚生費（製）</v>
      </c>
      <c r="D98" s="239" t="str">
        <f>IF(C98="","",VLOOKUP($B98,勘定科目!$A:$E,4,0))</f>
        <v>福利厚生費</v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>
        <f>1222*300000</f>
        <v>366600000</v>
      </c>
      <c r="R98" s="200">
        <f t="shared" si="9"/>
        <v>366600000</v>
      </c>
      <c r="S98" s="201" t="s">
        <v>787</v>
      </c>
      <c r="T98" s="202"/>
      <c r="U98" s="246"/>
      <c r="V98" s="246"/>
      <c r="W98" s="246"/>
      <c r="BA98"/>
      <c r="BB98"/>
    </row>
    <row r="99" spans="1:54" s="191" customFormat="1" ht="13">
      <c r="A99" s="226"/>
      <c r="B99" s="180">
        <v>5004086291</v>
      </c>
      <c r="C99" s="183" t="str">
        <f>IFERROR(IF(VLOOKUP($B99,勘定科目!$A:$H,HLOOKUP($E$5,勘定科目!$F$1:$H$2,2,0),0)="","",VLOOKUP($B99,勘定科目!$A:$E,2,0)),"")</f>
        <v>福利厚生費（製）</v>
      </c>
      <c r="D99" s="239" t="str">
        <f>IF(C99="","",VLOOKUP($B99,勘定科目!$A:$E,4,0))</f>
        <v>福利厚生費</v>
      </c>
      <c r="E99" s="245"/>
      <c r="F99" s="194"/>
      <c r="G99" s="247"/>
      <c r="H99" s="247">
        <f>986*200000</f>
        <v>197200000</v>
      </c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9"/>
        <v>197200000</v>
      </c>
      <c r="S99" s="201" t="s">
        <v>788</v>
      </c>
      <c r="T99" s="202"/>
      <c r="U99" s="246"/>
      <c r="V99" s="246"/>
      <c r="W99" s="246"/>
      <c r="BA99"/>
      <c r="BB99"/>
    </row>
    <row r="100" spans="1:54" s="191" customFormat="1" ht="13">
      <c r="A100" s="226"/>
      <c r="B100" s="180">
        <v>5004086291</v>
      </c>
      <c r="C100" s="183" t="str">
        <f>IFERROR(IF(VLOOKUP($B100,勘定科目!$A:$H,HLOOKUP($E$5,勘定科目!$F$1:$H$2,2,0),0)="","",VLOOKUP($B100,勘定科目!$A:$E,2,0)),"")</f>
        <v>福利厚生費（製）</v>
      </c>
      <c r="D100" s="239" t="str">
        <f>IF(C100="","",VLOOKUP($B100,勘定科目!$A:$E,4,0))</f>
        <v>福利厚生費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>
        <f>1267*100000</f>
        <v>126700000</v>
      </c>
      <c r="Q100" s="247"/>
      <c r="R100" s="200">
        <f t="shared" si="9"/>
        <v>126700000</v>
      </c>
      <c r="S100" s="201" t="s">
        <v>742</v>
      </c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>
        <v>5004086291</v>
      </c>
      <c r="C101" s="183" t="str">
        <f>IFERROR(IF(VLOOKUP($B101,勘定科目!$A:$H,HLOOKUP($E$5,勘定科目!$F$1:$H$2,2,0),0)="","",VLOOKUP($B101,勘定科目!$A:$E,2,0)),"")</f>
        <v>福利厚生費（製）</v>
      </c>
      <c r="D101" s="239" t="str">
        <f>IF(C101="","",VLOOKUP($B101,勘定科目!$A:$E,4,0))</f>
        <v>福利厚生費</v>
      </c>
      <c r="E101" s="245"/>
      <c r="F101" s="194"/>
      <c r="G101" s="247">
        <f>1081*1890000*0.75</f>
        <v>1532317500</v>
      </c>
      <c r="H101" s="247">
        <f>45*1323000</f>
        <v>59535000</v>
      </c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9"/>
        <v>1591852500</v>
      </c>
      <c r="S101" s="201" t="s">
        <v>789</v>
      </c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>
        <v>5004086291</v>
      </c>
      <c r="C102" s="183" t="str">
        <f>IFERROR(IF(VLOOKUP($B102,勘定科目!$A:$H,HLOOKUP($E$5,勘定科目!$F$1:$H$2,2,0),0)="","",VLOOKUP($B102,勘定科目!$A:$E,2,0)),"")</f>
        <v>福利厚生費（製）</v>
      </c>
      <c r="D102" s="239" t="str">
        <f>IF(C102="","",VLOOKUP($B102,勘定科目!$A:$E,4,0))</f>
        <v>福利厚生費</v>
      </c>
      <c r="E102" s="245"/>
      <c r="F102" s="194"/>
      <c r="G102" s="247"/>
      <c r="H102" s="247"/>
      <c r="I102" s="247">
        <f>400*100000</f>
        <v>40000000</v>
      </c>
      <c r="J102" s="247"/>
      <c r="K102" s="247"/>
      <c r="L102" s="247"/>
      <c r="M102" s="247"/>
      <c r="N102" s="247"/>
      <c r="O102" s="247"/>
      <c r="P102" s="247"/>
      <c r="Q102" s="247"/>
      <c r="R102" s="200">
        <f t="shared" si="9"/>
        <v>40000000</v>
      </c>
      <c r="S102" s="201" t="s">
        <v>743</v>
      </c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>
        <v>5004086291</v>
      </c>
      <c r="C103" s="183" t="str">
        <f>IFERROR(IF(VLOOKUP($B103,勘定科目!$A:$H,HLOOKUP($E$5,勘定科目!$F$1:$H$2,2,0),0)="","",VLOOKUP($B103,勘定科目!$A:$E,2,0)),"")</f>
        <v>福利厚生費（製）</v>
      </c>
      <c r="D103" s="239" t="str">
        <f>IF(C103="","",VLOOKUP($B103,勘定科目!$A:$E,4,0))</f>
        <v>福利厚生費</v>
      </c>
      <c r="E103" s="245"/>
      <c r="F103" s="194"/>
      <c r="G103" s="247"/>
      <c r="H103" s="247"/>
      <c r="I103" s="247"/>
      <c r="J103" s="247">
        <f>1148*6800</f>
        <v>7806400</v>
      </c>
      <c r="K103" s="247"/>
      <c r="L103" s="247"/>
      <c r="M103" s="247"/>
      <c r="N103" s="247"/>
      <c r="O103" s="247"/>
      <c r="P103" s="247">
        <f>1265*6800</f>
        <v>8602000</v>
      </c>
      <c r="Q103" s="247"/>
      <c r="R103" s="200">
        <f t="shared" si="9"/>
        <v>16408400</v>
      </c>
      <c r="S103" s="201" t="s">
        <v>744</v>
      </c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>
        <v>5004086291</v>
      </c>
      <c r="C104" s="183" t="str">
        <f>IFERROR(IF(VLOOKUP($B104,勘定科目!$A:$H,HLOOKUP($E$5,勘定科目!$F$1:$H$2,2,0),0)="","",VLOOKUP($B104,勘定科目!$A:$E,2,0)),"")</f>
        <v>福利厚生費（製）</v>
      </c>
      <c r="D104" s="239" t="str">
        <f>IF(C104="","",VLOOKUP($B104,勘定科目!$A:$E,4,0))</f>
        <v>福利厚生費</v>
      </c>
      <c r="E104" s="245"/>
      <c r="F104" s="194"/>
      <c r="G104" s="247"/>
      <c r="H104" s="247"/>
      <c r="I104" s="247"/>
      <c r="J104" s="247"/>
      <c r="K104" s="247">
        <f>1160*56000</f>
        <v>64960000</v>
      </c>
      <c r="L104" s="247"/>
      <c r="M104" s="247"/>
      <c r="N104" s="247"/>
      <c r="O104" s="247"/>
      <c r="P104" s="247"/>
      <c r="Q104" s="247"/>
      <c r="R104" s="200">
        <f t="shared" si="9"/>
        <v>64960000</v>
      </c>
      <c r="S104" s="201" t="s">
        <v>790</v>
      </c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>
        <v>5004086291</v>
      </c>
      <c r="C105" s="183" t="str">
        <f>IFERROR(IF(VLOOKUP($B105,勘定科目!$A:$H,HLOOKUP($E$5,勘定科目!$F$1:$H$2,2,0),0)="","",VLOOKUP($B105,勘定科目!$A:$E,2,0)),"")</f>
        <v>福利厚生費（製）</v>
      </c>
      <c r="D105" s="239" t="str">
        <f>IF(C105="","",VLOOKUP($B105,勘定科目!$A:$E,4,0))</f>
        <v>福利厚生費</v>
      </c>
      <c r="E105" s="245"/>
      <c r="F105" s="194"/>
      <c r="G105" s="247"/>
      <c r="H105" s="247"/>
      <c r="I105" s="247"/>
      <c r="J105" s="247"/>
      <c r="K105" s="247">
        <f>1148*126000</f>
        <v>144648000</v>
      </c>
      <c r="L105" s="247"/>
      <c r="M105" s="247"/>
      <c r="N105" s="247"/>
      <c r="O105" s="247"/>
      <c r="P105" s="247"/>
      <c r="Q105" s="247"/>
      <c r="R105" s="200">
        <f t="shared" si="9"/>
        <v>144648000</v>
      </c>
      <c r="S105" s="201" t="s">
        <v>791</v>
      </c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>
        <v>5004086291</v>
      </c>
      <c r="C106" s="183" t="str">
        <f>IFERROR(IF(VLOOKUP($B106,勘定科目!$A:$H,HLOOKUP($E$5,勘定科目!$F$1:$H$2,2,0),0)="","",VLOOKUP($B106,勘定科目!$A:$E,2,0)),"")</f>
        <v>福利厚生費（製）</v>
      </c>
      <c r="D106" s="239" t="str">
        <f>IF(C106="","",VLOOKUP($B106,勘定科目!$A:$E,4,0))</f>
        <v>福利厚生費</v>
      </c>
      <c r="E106" s="245"/>
      <c r="F106" s="194"/>
      <c r="G106" s="247"/>
      <c r="H106" s="247"/>
      <c r="I106" s="247"/>
      <c r="J106" s="247"/>
      <c r="K106" s="247"/>
      <c r="L106" s="247">
        <f>16*382000</f>
        <v>6112000</v>
      </c>
      <c r="M106" s="247"/>
      <c r="N106" s="247"/>
      <c r="O106" s="247"/>
      <c r="P106" s="247"/>
      <c r="Q106" s="247"/>
      <c r="R106" s="200">
        <f t="shared" si="9"/>
        <v>6112000</v>
      </c>
      <c r="S106" s="201" t="s">
        <v>792</v>
      </c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>
        <v>5004086291</v>
      </c>
      <c r="C107" s="183" t="str">
        <f>IFERROR(IF(VLOOKUP($B107,勘定科目!$A:$H,HLOOKUP($E$5,勘定科目!$F$1:$H$2,2,0),0)="","",VLOOKUP($B107,勘定科目!$A:$E,2,0)),"")</f>
        <v>福利厚生費（製）</v>
      </c>
      <c r="D107" s="239" t="str">
        <f>IF(C107="","",VLOOKUP($B107,勘定科目!$A:$E,4,0))</f>
        <v>福利厚生費</v>
      </c>
      <c r="E107" s="245"/>
      <c r="F107" s="194"/>
      <c r="G107" s="247"/>
      <c r="H107" s="247"/>
      <c r="I107" s="247"/>
      <c r="J107" s="247"/>
      <c r="K107" s="247"/>
      <c r="L107" s="247">
        <f>16*549000</f>
        <v>8784000</v>
      </c>
      <c r="M107" s="247"/>
      <c r="N107" s="247"/>
      <c r="O107" s="247"/>
      <c r="P107" s="247"/>
      <c r="Q107" s="247"/>
      <c r="R107" s="200">
        <f t="shared" si="9"/>
        <v>8784000</v>
      </c>
      <c r="S107" s="201" t="s">
        <v>793</v>
      </c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>
        <v>5004086291</v>
      </c>
      <c r="C108" s="183" t="str">
        <f>IFERROR(IF(VLOOKUP($B108,勘定科目!$A:$H,HLOOKUP($E$5,勘定科目!$F$1:$H$2,2,0),0)="","",VLOOKUP($B108,勘定科目!$A:$E,2,0)),"")</f>
        <v>福利厚生費（製）</v>
      </c>
      <c r="D108" s="239" t="str">
        <f>IF(C108="","",VLOOKUP($B108,勘定科目!$A:$E,4,0))</f>
        <v>福利厚生費</v>
      </c>
      <c r="E108" s="245"/>
      <c r="F108" s="194"/>
      <c r="G108" s="247"/>
      <c r="H108" s="247"/>
      <c r="I108" s="247"/>
      <c r="J108" s="247"/>
      <c r="K108" s="247"/>
      <c r="L108" s="247">
        <f>32*350000</f>
        <v>11200000</v>
      </c>
      <c r="M108" s="247"/>
      <c r="N108" s="247"/>
      <c r="O108" s="247"/>
      <c r="P108" s="247">
        <f>156*330000</f>
        <v>51480000</v>
      </c>
      <c r="Q108" s="247"/>
      <c r="R108" s="200">
        <f t="shared" si="9"/>
        <v>62680000</v>
      </c>
      <c r="S108" s="201" t="s">
        <v>794</v>
      </c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>
        <v>5004086291</v>
      </c>
      <c r="C109" s="183" t="str">
        <f>IFERROR(IF(VLOOKUP($B109,勘定科目!$A:$H,HLOOKUP($E$5,勘定科目!$F$1:$H$2,2,0),0)="","",VLOOKUP($B109,勘定科目!$A:$E,2,0)),"")</f>
        <v>福利厚生費（製）</v>
      </c>
      <c r="D109" s="239" t="str">
        <f>IF(C109="","",VLOOKUP($B109,勘定科目!$A:$E,4,0))</f>
        <v>福利厚生費</v>
      </c>
      <c r="E109" s="245"/>
      <c r="F109" s="194"/>
      <c r="G109" s="247"/>
      <c r="H109" s="247"/>
      <c r="I109" s="247"/>
      <c r="J109" s="247"/>
      <c r="K109" s="247"/>
      <c r="L109" s="247"/>
      <c r="M109" s="247">
        <f>1157*107000</f>
        <v>123799000</v>
      </c>
      <c r="N109" s="247"/>
      <c r="O109" s="247"/>
      <c r="P109" s="247"/>
      <c r="Q109" s="247"/>
      <c r="R109" s="200">
        <f t="shared" si="9"/>
        <v>123799000</v>
      </c>
      <c r="S109" s="201" t="s">
        <v>795</v>
      </c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>
        <v>5004086291</v>
      </c>
      <c r="C110" s="183" t="str">
        <f>IFERROR(IF(VLOOKUP($B110,勘定科目!$A:$H,HLOOKUP($E$5,勘定科目!$F$1:$H$2,2,0),0)="","",VLOOKUP($B110,勘定科目!$A:$E,2,0)),"")</f>
        <v>福利厚生費（製）</v>
      </c>
      <c r="D110" s="239" t="str">
        <f>IF(C110="","",VLOOKUP($B110,勘定科目!$A:$E,4,0))</f>
        <v>福利厚生費</v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>
        <f>771*204000+480*189000</f>
        <v>248004000</v>
      </c>
      <c r="O110" s="247"/>
      <c r="P110" s="247"/>
      <c r="Q110" s="247"/>
      <c r="R110" s="200">
        <f t="shared" si="9"/>
        <v>248004000</v>
      </c>
      <c r="S110" s="201" t="s">
        <v>796</v>
      </c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>
        <v>5005246281</v>
      </c>
      <c r="C111" s="183" t="str">
        <f>IFERROR(IF(VLOOKUP($B111,勘定科目!$A:$H,HLOOKUP($E$5,勘定科目!$F$1:$H$2,2,0),0)="","",VLOOKUP($B111,勘定科目!$A:$E,2,0)),"")</f>
        <v>図書印刷費（製）</v>
      </c>
      <c r="D111" s="239" t="str">
        <f>IF(C111="","",VLOOKUP($B111,勘定科目!$A:$E,4,0))</f>
        <v>図書及び事務費</v>
      </c>
      <c r="E111" s="245"/>
      <c r="F111" s="194"/>
      <c r="G111" s="247"/>
      <c r="H111" s="247"/>
      <c r="I111" s="247"/>
      <c r="J111" s="247"/>
      <c r="K111" s="247"/>
      <c r="L111" s="247"/>
      <c r="M111" s="247">
        <f>1158*800</f>
        <v>926400</v>
      </c>
      <c r="N111" s="247"/>
      <c r="O111" s="247"/>
      <c r="P111" s="247"/>
      <c r="Q111" s="247"/>
      <c r="R111" s="200">
        <f t="shared" si="9"/>
        <v>926400</v>
      </c>
      <c r="S111" s="201" t="s">
        <v>797</v>
      </c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>
        <v>5004086291</v>
      </c>
      <c r="C112" s="183" t="str">
        <f>IFERROR(IF(VLOOKUP($B112,勘定科目!$A:$H,HLOOKUP($E$5,勘定科目!$F$1:$H$2,2,0),0)="","",VLOOKUP($B112,勘定科目!$A:$E,2,0)),"")</f>
        <v>福利厚生費（製）</v>
      </c>
      <c r="D112" s="239" t="str">
        <f>IF(C112="","",VLOOKUP($B112,勘定科目!$A:$E,4,0))</f>
        <v>福利厚生費</v>
      </c>
      <c r="E112" s="245"/>
      <c r="F112" s="194">
        <v>3000000</v>
      </c>
      <c r="G112" s="194">
        <v>3000000</v>
      </c>
      <c r="H112" s="194">
        <v>3000000</v>
      </c>
      <c r="I112" s="194">
        <v>3000000</v>
      </c>
      <c r="J112" s="194">
        <v>3000000</v>
      </c>
      <c r="K112" s="194">
        <v>3000000</v>
      </c>
      <c r="L112" s="194">
        <v>3000000</v>
      </c>
      <c r="M112" s="194">
        <v>3000000</v>
      </c>
      <c r="N112" s="194">
        <v>3000000</v>
      </c>
      <c r="O112" s="194">
        <v>3000000</v>
      </c>
      <c r="P112" s="194">
        <v>3000000</v>
      </c>
      <c r="Q112" s="194">
        <v>3000000</v>
      </c>
      <c r="R112" s="200">
        <f t="shared" si="9"/>
        <v>36000000</v>
      </c>
      <c r="S112" s="201" t="s">
        <v>745</v>
      </c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>
        <v>5004086291</v>
      </c>
      <c r="C113" s="183" t="str">
        <f>IFERROR(IF(VLOOKUP($B113,勘定科目!$A:$H,HLOOKUP($E$5,勘定科目!$F$1:$H$2,2,0),0)="","",VLOOKUP($B113,勘定科目!$A:$E,2,0)),"")</f>
        <v>福利厚生費（製）</v>
      </c>
      <c r="D113" s="239" t="str">
        <f>IF(C113="","",VLOOKUP($B113,勘定科目!$A:$E,4,0))</f>
        <v>福利厚生費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9"/>
        <v>0</v>
      </c>
      <c r="S113" s="201" t="s">
        <v>746</v>
      </c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>
        <v>5004086291</v>
      </c>
      <c r="C114" s="183" t="str">
        <f>IFERROR(IF(VLOOKUP($B114,勘定科目!$A:$H,HLOOKUP($E$5,勘定科目!$F$1:$H$2,2,0),0)="","",VLOOKUP($B114,勘定科目!$A:$E,2,0)),"")</f>
        <v>福利厚生費（製）</v>
      </c>
      <c r="D114" s="239" t="str">
        <f>IF(C114="","",VLOOKUP($B114,勘定科目!$A:$E,4,0))</f>
        <v>福利厚生費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9"/>
        <v>0</v>
      </c>
      <c r="S114" s="201" t="s">
        <v>747</v>
      </c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>
        <v>5004086291</v>
      </c>
      <c r="C115" s="183" t="str">
        <f>IFERROR(IF(VLOOKUP($B115,勘定科目!$A:$H,HLOOKUP($E$5,勘定科目!$F$1:$H$2,2,0),0)="","",VLOOKUP($B115,勘定科目!$A:$E,2,0)),"")</f>
        <v>福利厚生費（製）</v>
      </c>
      <c r="D115" s="239" t="str">
        <f>IF(C115="","",VLOOKUP($B115,勘定科目!$A:$E,4,0))</f>
        <v>福利厚生費</v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9"/>
        <v>0</v>
      </c>
      <c r="S115" s="201" t="s">
        <v>748</v>
      </c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>
        <v>5004086291</v>
      </c>
      <c r="C116" s="183" t="str">
        <f>IFERROR(IF(VLOOKUP($B116,勘定科目!$A:$H,HLOOKUP($E$5,勘定科目!$F$1:$H$2,2,0),0)="","",VLOOKUP($B116,勘定科目!$A:$E,2,0)),"")</f>
        <v>福利厚生費（製）</v>
      </c>
      <c r="D116" s="239" t="str">
        <f>IF(C116="","",VLOOKUP($B116,勘定科目!$A:$E,4,0))</f>
        <v>福利厚生費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9"/>
        <v>0</v>
      </c>
      <c r="S116" s="201" t="s">
        <v>749</v>
      </c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9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>
        <v>5004086291</v>
      </c>
      <c r="C118" s="183" t="str">
        <f>IFERROR(IF(VLOOKUP($B118,勘定科目!$A:$H,HLOOKUP($E$5,勘定科目!$F$1:$H$2,2,0),0)="","",VLOOKUP($B118,勘定科目!$A:$E,2,0)),"")</f>
        <v>福利厚生費（製）</v>
      </c>
      <c r="D118" s="239" t="str">
        <f>IF(C118="","",VLOOKUP($B118,勘定科目!$A:$E,4,0))</f>
        <v>福利厚生費</v>
      </c>
      <c r="E118" s="245"/>
      <c r="F118" s="194"/>
      <c r="G118" s="247"/>
      <c r="H118" s="247"/>
      <c r="I118" s="247"/>
      <c r="J118" s="247"/>
      <c r="K118" s="247"/>
      <c r="L118" s="247">
        <f>32*220000</f>
        <v>7040000</v>
      </c>
      <c r="M118" s="247">
        <f>17*220000</f>
        <v>3740000</v>
      </c>
      <c r="N118" s="247">
        <f>106*220000</f>
        <v>23320000</v>
      </c>
      <c r="O118" s="247"/>
      <c r="P118" s="247">
        <f>63*220000</f>
        <v>13860000</v>
      </c>
      <c r="Q118" s="247">
        <f>93*220000</f>
        <v>20460000</v>
      </c>
      <c r="R118" s="200">
        <f t="shared" si="9"/>
        <v>68420000</v>
      </c>
      <c r="S118" s="201" t="s">
        <v>783</v>
      </c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>
        <v>5004086291</v>
      </c>
      <c r="C119" s="183" t="str">
        <f>IFERROR(IF(VLOOKUP($B119,勘定科目!$A:$H,HLOOKUP($E$5,勘定科目!$F$1:$H$2,2,0),0)="","",VLOOKUP($B119,勘定科目!$A:$E,2,0)),"")</f>
        <v>福利厚生費（製）</v>
      </c>
      <c r="D119" s="239" t="str">
        <f>IF(C119="","",VLOOKUP($B119,勘定科目!$A:$E,4,0))</f>
        <v>福利厚生費</v>
      </c>
      <c r="E119" s="245"/>
      <c r="F119" s="194"/>
      <c r="G119" s="247"/>
      <c r="H119" s="247"/>
      <c r="I119" s="247"/>
      <c r="J119" s="247"/>
      <c r="K119" s="247">
        <f>32*713000</f>
        <v>22816000</v>
      </c>
      <c r="L119" s="247">
        <f>17*1063000</f>
        <v>18071000</v>
      </c>
      <c r="M119" s="247">
        <f>106*1063000</f>
        <v>112678000</v>
      </c>
      <c r="N119" s="247"/>
      <c r="O119" s="247">
        <f>63*733000</f>
        <v>46179000</v>
      </c>
      <c r="P119" s="247">
        <f>93*733000</f>
        <v>68169000</v>
      </c>
      <c r="Q119" s="247"/>
      <c r="R119" s="200">
        <f t="shared" ref="R119:R183" si="32">SUM(F119:Q119)</f>
        <v>267913000</v>
      </c>
      <c r="S119" s="201" t="s">
        <v>784</v>
      </c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>
        <v>5004086291</v>
      </c>
      <c r="C120" s="183" t="str">
        <f>IFERROR(IF(VLOOKUP($B120,勘定科目!$A:$H,HLOOKUP($E$5,勘定科目!$F$1:$H$2,2,0),0)="","",VLOOKUP($B120,勘定科目!$A:$E,2,0)),"")</f>
        <v>福利厚生費（製）</v>
      </c>
      <c r="D120" s="239" t="str">
        <f>IF(C120="","",VLOOKUP($B120,勘定科目!$A:$E,4,0))</f>
        <v>福利厚生費</v>
      </c>
      <c r="E120" s="245"/>
      <c r="F120" s="194"/>
      <c r="G120" s="247"/>
      <c r="H120" s="247"/>
      <c r="I120" s="247"/>
      <c r="J120" s="247"/>
      <c r="K120" s="247">
        <f>32*6800</f>
        <v>217600</v>
      </c>
      <c r="L120" s="247">
        <f>17*6800</f>
        <v>115600</v>
      </c>
      <c r="M120" s="247">
        <f>106*6800</f>
        <v>720800</v>
      </c>
      <c r="N120" s="247"/>
      <c r="O120" s="247">
        <f>63*6800</f>
        <v>428400</v>
      </c>
      <c r="P120" s="247">
        <f>93*6800</f>
        <v>632400</v>
      </c>
      <c r="Q120" s="247"/>
      <c r="R120" s="200">
        <f t="shared" si="32"/>
        <v>2114800</v>
      </c>
      <c r="S120" s="201" t="s">
        <v>750</v>
      </c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>
        <v>5005246281</v>
      </c>
      <c r="C121" s="183" t="str">
        <f>IFERROR(IF(VLOOKUP($B121,勘定科目!$A:$H,HLOOKUP($E$5,勘定科目!$F$1:$H$2,2,0),0)="","",VLOOKUP($B121,勘定科目!$A:$E,2,0)),"")</f>
        <v>図書印刷費（製）</v>
      </c>
      <c r="D121" s="239" t="str">
        <f>IF(C121="","",VLOOKUP($B121,勘定科目!$A:$E,4,0))</f>
        <v>図書及び事務費</v>
      </c>
      <c r="E121" s="245"/>
      <c r="F121" s="194"/>
      <c r="G121" s="247"/>
      <c r="H121" s="247"/>
      <c r="I121" s="247"/>
      <c r="J121" s="247"/>
      <c r="K121" s="247">
        <f>32*800</f>
        <v>25600</v>
      </c>
      <c r="L121" s="247">
        <f>17*800</f>
        <v>13600</v>
      </c>
      <c r="M121" s="247">
        <f>106*800</f>
        <v>84800</v>
      </c>
      <c r="N121" s="247"/>
      <c r="O121" s="247">
        <f>63*800</f>
        <v>50400</v>
      </c>
      <c r="P121" s="247">
        <f>93*800</f>
        <v>74400</v>
      </c>
      <c r="Q121" s="247"/>
      <c r="R121" s="200">
        <f t="shared" si="32"/>
        <v>248800</v>
      </c>
      <c r="S121" s="201" t="s">
        <v>751</v>
      </c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>
        <v>5005246281</v>
      </c>
      <c r="C122" s="183" t="str">
        <f>IFERROR(IF(VLOOKUP($B122,勘定科目!$A:$H,HLOOKUP($E$5,勘定科目!$F$1:$H$2,2,0),0)="","",VLOOKUP($B122,勘定科目!$A:$E,2,0)),"")</f>
        <v>図書印刷費（製）</v>
      </c>
      <c r="D122" s="239" t="str">
        <f>IF(C122="","",VLOOKUP($B122,勘定科目!$A:$E,4,0))</f>
        <v>図書及び事務費</v>
      </c>
      <c r="E122" s="245"/>
      <c r="F122" s="194"/>
      <c r="G122" s="247"/>
      <c r="H122" s="247"/>
      <c r="I122" s="247"/>
      <c r="J122" s="247"/>
      <c r="K122" s="247">
        <f>32*85200</f>
        <v>2726400</v>
      </c>
      <c r="L122" s="247">
        <f>17*85200</f>
        <v>1448400</v>
      </c>
      <c r="M122" s="247">
        <f>106*85200</f>
        <v>9031200</v>
      </c>
      <c r="N122" s="247"/>
      <c r="O122" s="247">
        <f>63*85200</f>
        <v>5367600</v>
      </c>
      <c r="P122" s="247">
        <f>93*85200</f>
        <v>7923600</v>
      </c>
      <c r="Q122" s="247"/>
      <c r="R122" s="200">
        <f t="shared" si="32"/>
        <v>26497200</v>
      </c>
      <c r="S122" s="201" t="s">
        <v>752</v>
      </c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>
        <v>5005246288</v>
      </c>
      <c r="C123" s="183" t="str">
        <f>IFERROR(IF(VLOOKUP($B123,勘定科目!$A:$H,HLOOKUP($E$5,勘定科目!$F$1:$H$2,2,0),0)="","",VLOOKUP($B123,勘定科目!$A:$E,2,0)),"")</f>
        <v>事務用品費（製）</v>
      </c>
      <c r="D123" s="239" t="str">
        <f>IF(C123="","",VLOOKUP($B123,勘定科目!$A:$E,4,0))</f>
        <v>図書及び事務費</v>
      </c>
      <c r="E123" s="245"/>
      <c r="F123" s="194"/>
      <c r="G123" s="247"/>
      <c r="H123" s="247"/>
      <c r="I123" s="247"/>
      <c r="J123" s="247"/>
      <c r="K123" s="247">
        <f>32*10600</f>
        <v>339200</v>
      </c>
      <c r="L123" s="247">
        <f>17*10600</f>
        <v>180200</v>
      </c>
      <c r="M123" s="247">
        <f>106*10600</f>
        <v>1123600</v>
      </c>
      <c r="N123" s="247"/>
      <c r="O123" s="247">
        <f>63*10600</f>
        <v>667800</v>
      </c>
      <c r="P123" s="247">
        <f>93*10600</f>
        <v>985800</v>
      </c>
      <c r="Q123" s="247"/>
      <c r="R123" s="200">
        <f t="shared" si="32"/>
        <v>3296600</v>
      </c>
      <c r="S123" s="201" t="s">
        <v>753</v>
      </c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32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>
        <v>5005246282</v>
      </c>
      <c r="C125" s="183" t="str">
        <f>IFERROR(IF(VLOOKUP($B125,勘定科目!$A:$H,HLOOKUP($E$5,勘定科目!$F$1:$H$2,2,0),0)="","",VLOOKUP($B125,勘定科目!$A:$E,2,0)),"")</f>
        <v>ＫＤＣシステム使用料（製）</v>
      </c>
      <c r="D125" s="239" t="str">
        <f>IF(C125="","",VLOOKUP($B125,勘定科目!$A:$E,4,0))</f>
        <v>図書及び事務費</v>
      </c>
      <c r="E125" s="245"/>
      <c r="F125" s="194">
        <v>1610593</v>
      </c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32"/>
        <v>1610593</v>
      </c>
      <c r="S125" s="201" t="s">
        <v>754</v>
      </c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>
        <v>5005246282</v>
      </c>
      <c r="C126" s="183" t="str">
        <f>IFERROR(IF(VLOOKUP($B126,勘定科目!$A:$H,HLOOKUP($E$5,勘定科目!$F$1:$H$2,2,0),0)="","",VLOOKUP($B126,勘定科目!$A:$E,2,0)),"")</f>
        <v>ＫＤＣシステム使用料（製）</v>
      </c>
      <c r="D126" s="239" t="str">
        <f>IF(C126="","",VLOOKUP($B126,勘定科目!$A:$E,4,0))</f>
        <v>図書及び事務費</v>
      </c>
      <c r="E126" s="245"/>
      <c r="F126" s="194">
        <v>272040647</v>
      </c>
      <c r="G126" s="194">
        <v>272040647</v>
      </c>
      <c r="H126" s="194">
        <v>272040647</v>
      </c>
      <c r="I126" s="194">
        <v>272040647</v>
      </c>
      <c r="J126" s="194">
        <v>272040647</v>
      </c>
      <c r="K126" s="194">
        <v>272040647</v>
      </c>
      <c r="L126" s="194">
        <v>272040647</v>
      </c>
      <c r="M126" s="194">
        <v>272040647</v>
      </c>
      <c r="N126" s="194">
        <v>272040647</v>
      </c>
      <c r="O126" s="194">
        <v>272040647</v>
      </c>
      <c r="P126" s="194">
        <v>272040647</v>
      </c>
      <c r="Q126" s="194">
        <v>272040647</v>
      </c>
      <c r="R126" s="200">
        <f t="shared" si="32"/>
        <v>3264487764</v>
      </c>
      <c r="S126" s="201" t="s">
        <v>755</v>
      </c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>
        <v>5006016260</v>
      </c>
      <c r="C127" s="183" t="str">
        <f>IFERROR(IF(VLOOKUP($B127,勘定科目!$A:$H,HLOOKUP($E$5,勘定科目!$F$1:$H$2,2,0),0)="","",VLOOKUP($B127,勘定科目!$A:$E,2,0)),"")</f>
        <v>減価償却費配賦（製）　建物</v>
      </c>
      <c r="D127" s="239" t="str">
        <f>IF(C127="","",VLOOKUP($B127,勘定科目!$A:$E,4,0))</f>
        <v>減価償却費</v>
      </c>
      <c r="E127" s="245"/>
      <c r="F127" s="194">
        <v>1197399001</v>
      </c>
      <c r="G127" s="247">
        <v>1195823552</v>
      </c>
      <c r="H127" s="247">
        <v>1189066003</v>
      </c>
      <c r="I127" s="247">
        <v>1194966132</v>
      </c>
      <c r="J127" s="247">
        <v>1196960262</v>
      </c>
      <c r="K127" s="247">
        <v>1198129980</v>
      </c>
      <c r="L127" s="247">
        <v>1197168206</v>
      </c>
      <c r="M127" s="247">
        <v>1196181043</v>
      </c>
      <c r="N127" s="247">
        <v>1196233347</v>
      </c>
      <c r="O127" s="247">
        <v>1197110063</v>
      </c>
      <c r="P127" s="247">
        <v>1199415221</v>
      </c>
      <c r="Q127" s="247">
        <v>1199608947</v>
      </c>
      <c r="R127" s="200">
        <f t="shared" si="32"/>
        <v>14358061757</v>
      </c>
      <c r="S127" s="201" t="s">
        <v>756</v>
      </c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>
        <v>5006016261</v>
      </c>
      <c r="C128" s="183" t="str">
        <f>IFERROR(IF(VLOOKUP($B128,勘定科目!$A:$H,HLOOKUP($E$5,勘定科目!$F$1:$H$2,2,0),0)="","",VLOOKUP($B128,勘定科目!$A:$E,2,0)),"")</f>
        <v>減価償却費配賦（製）　土地使用権</v>
      </c>
      <c r="D128" s="239" t="str">
        <f>IF(C128="","",VLOOKUP($B128,勘定科目!$A:$E,4,0))</f>
        <v>減価償却費</v>
      </c>
      <c r="E128" s="245"/>
      <c r="F128" s="194">
        <v>80819671</v>
      </c>
      <c r="G128" s="247">
        <v>80713287</v>
      </c>
      <c r="H128" s="247">
        <v>80257282</v>
      </c>
      <c r="I128" s="247">
        <v>80655397</v>
      </c>
      <c r="J128" s="247">
        <v>80789964</v>
      </c>
      <c r="K128" s="247">
        <v>80868927</v>
      </c>
      <c r="L128" s="247">
        <v>80804183</v>
      </c>
      <c r="M128" s="247">
        <v>80737407</v>
      </c>
      <c r="N128" s="247">
        <v>80740962</v>
      </c>
      <c r="O128" s="247">
        <v>80800120</v>
      </c>
      <c r="P128" s="247">
        <v>80955761</v>
      </c>
      <c r="Q128" s="247">
        <v>80968964</v>
      </c>
      <c r="R128" s="200">
        <f t="shared" si="32"/>
        <v>969111925</v>
      </c>
      <c r="S128" s="201" t="s">
        <v>757</v>
      </c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>
        <v>9114120007</v>
      </c>
      <c r="C129" s="183" t="str">
        <f>IFERROR(IF(VLOOKUP($B129,勘定科目!$A:$H,HLOOKUP($E$5,勘定科目!$F$1:$H$2,2,0),0)="","",VLOOKUP($B129,勘定科目!$A:$E,2,0)),"")</f>
        <v>社内金利（固定資産）</v>
      </c>
      <c r="D129" s="239" t="str">
        <f>IF(C129="","",VLOOKUP($B129,勘定科目!$A:$E,4,0))</f>
        <v>固定資産金利</v>
      </c>
      <c r="E129" s="245"/>
      <c r="F129" s="194">
        <v>812774016</v>
      </c>
      <c r="G129" s="247">
        <v>768654829</v>
      </c>
      <c r="H129" s="247">
        <v>764311108</v>
      </c>
      <c r="I129" s="247">
        <v>768103612</v>
      </c>
      <c r="J129" s="247">
        <v>769385299</v>
      </c>
      <c r="K129" s="247">
        <v>770137351</v>
      </c>
      <c r="L129" s="247">
        <v>769519104</v>
      </c>
      <c r="M129" s="247">
        <v>768884608</v>
      </c>
      <c r="N129" s="247">
        <v>768918123</v>
      </c>
      <c r="O129" s="247">
        <v>769481781</v>
      </c>
      <c r="P129" s="247">
        <v>770963288</v>
      </c>
      <c r="Q129" s="247">
        <v>771087953</v>
      </c>
      <c r="R129" s="200">
        <f t="shared" si="32"/>
        <v>9272221072</v>
      </c>
      <c r="S129" s="201" t="s">
        <v>785</v>
      </c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>
        <v>9114120007</v>
      </c>
      <c r="C130" s="183" t="str">
        <f>IFERROR(IF(VLOOKUP($B130,勘定科目!$A:$H,HLOOKUP($E$5,勘定科目!$F$1:$H$2,2,0),0)="","",VLOOKUP($B130,勘定科目!$A:$E,2,0)),"")</f>
        <v>社内金利（固定資産）</v>
      </c>
      <c r="D130" s="239" t="str">
        <f>IF(C130="","",VLOOKUP($B130,勘定科目!$A:$E,4,0))</f>
        <v>固定資産金利</v>
      </c>
      <c r="E130" s="245"/>
      <c r="F130" s="194">
        <v>100495651</v>
      </c>
      <c r="G130" s="247">
        <v>97457738</v>
      </c>
      <c r="H130" s="247">
        <v>96907029</v>
      </c>
      <c r="I130" s="247">
        <v>97387915</v>
      </c>
      <c r="J130" s="247">
        <v>97550411</v>
      </c>
      <c r="K130" s="247">
        <v>97645624</v>
      </c>
      <c r="L130" s="247">
        <v>97567423</v>
      </c>
      <c r="M130" s="247">
        <v>97486936</v>
      </c>
      <c r="N130" s="247">
        <v>97491253</v>
      </c>
      <c r="O130" s="247">
        <v>97562598</v>
      </c>
      <c r="P130" s="247">
        <v>97750484</v>
      </c>
      <c r="Q130" s="247">
        <v>97766226</v>
      </c>
      <c r="R130" s="200">
        <f t="shared" si="32"/>
        <v>1173069288</v>
      </c>
      <c r="S130" s="201" t="s">
        <v>786</v>
      </c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>
        <v>5005066281</v>
      </c>
      <c r="C131" s="183" t="str">
        <f>IFERROR(IF(VLOOKUP($B131,勘定科目!$A:$H,HLOOKUP($E$5,勘定科目!$F$1:$H$2,2,0),0)="","",VLOOKUP($B131,勘定科目!$A:$E,2,0)),"")</f>
        <v>電気代（製）</v>
      </c>
      <c r="D131" s="239" t="str">
        <f>IF(C131="","",VLOOKUP($B131,勘定科目!$A:$E,4,0))</f>
        <v>水道光熱費</v>
      </c>
      <c r="E131" s="245"/>
      <c r="F131" s="194">
        <v>337577294</v>
      </c>
      <c r="G131" s="247">
        <v>345812776</v>
      </c>
      <c r="H131" s="247">
        <v>433498485</v>
      </c>
      <c r="I131" s="247">
        <v>466844523</v>
      </c>
      <c r="J131" s="247">
        <v>483517541</v>
      </c>
      <c r="K131" s="247">
        <v>443502297</v>
      </c>
      <c r="L131" s="247">
        <v>450169147</v>
      </c>
      <c r="M131" s="247">
        <v>400152448</v>
      </c>
      <c r="N131" s="247">
        <v>383479429</v>
      </c>
      <c r="O131" s="247">
        <v>333462730</v>
      </c>
      <c r="P131" s="247">
        <v>333462445</v>
      </c>
      <c r="Q131" s="247">
        <v>266768299</v>
      </c>
      <c r="R131" s="200">
        <f t="shared" si="32"/>
        <v>4678247414</v>
      </c>
      <c r="S131" s="201" t="s">
        <v>758</v>
      </c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>
        <v>5005066282</v>
      </c>
      <c r="C132" s="183" t="str">
        <f>IFERROR(IF(VLOOKUP($B132,勘定科目!$A:$H,HLOOKUP($E$5,勘定科目!$F$1:$H$2,2,0),0)="","",VLOOKUP($B132,勘定科目!$A:$E,2,0)),"")</f>
        <v>水道代（製）</v>
      </c>
      <c r="D132" s="239" t="str">
        <f>IF(C132="","",VLOOKUP($B132,勘定科目!$A:$E,4,0))</f>
        <v>水道光熱費</v>
      </c>
      <c r="E132" s="245"/>
      <c r="F132" s="194">
        <v>32114727</v>
      </c>
      <c r="G132" s="247">
        <v>34721126</v>
      </c>
      <c r="H132" s="247">
        <v>35769265</v>
      </c>
      <c r="I132" s="247">
        <v>57194252</v>
      </c>
      <c r="J132" s="247">
        <v>53267055</v>
      </c>
      <c r="K132" s="247">
        <v>46702589</v>
      </c>
      <c r="L132" s="247">
        <v>31909849</v>
      </c>
      <c r="M132" s="247">
        <v>44484959</v>
      </c>
      <c r="N132" s="247">
        <v>44160393</v>
      </c>
      <c r="O132" s="247">
        <v>31063649</v>
      </c>
      <c r="P132" s="247">
        <v>24717663</v>
      </c>
      <c r="Q132" s="247">
        <v>27699120</v>
      </c>
      <c r="R132" s="200">
        <f t="shared" si="32"/>
        <v>463804647</v>
      </c>
      <c r="S132" s="201" t="s">
        <v>759</v>
      </c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>
        <v>5005136281</v>
      </c>
      <c r="C133" s="183" t="str">
        <f>IFERROR(IF(VLOOKUP($B133,勘定科目!$A:$H,HLOOKUP($E$5,勘定科目!$F$1:$H$2,2,0),0)="","",VLOOKUP($B133,勘定科目!$A:$E,2,0)),"")</f>
        <v>通信費（製）</v>
      </c>
      <c r="D133" s="239" t="str">
        <f>IF(C133="","",VLOOKUP($B133,勘定科目!$A:$E,4,0))</f>
        <v>通信費</v>
      </c>
      <c r="E133" s="245"/>
      <c r="F133" s="194">
        <v>10056000</v>
      </c>
      <c r="G133" s="194">
        <v>10056000</v>
      </c>
      <c r="H133" s="194">
        <v>10056000</v>
      </c>
      <c r="I133" s="194">
        <v>10056000</v>
      </c>
      <c r="J133" s="194">
        <v>10056000</v>
      </c>
      <c r="K133" s="194">
        <v>10056000</v>
      </c>
      <c r="L133" s="194">
        <v>10056000</v>
      </c>
      <c r="M133" s="194">
        <v>10056000</v>
      </c>
      <c r="N133" s="194">
        <v>10056000</v>
      </c>
      <c r="O133" s="194">
        <v>10056000</v>
      </c>
      <c r="P133" s="194">
        <v>10056000</v>
      </c>
      <c r="Q133" s="194">
        <v>10056000</v>
      </c>
      <c r="R133" s="200">
        <f t="shared" si="32"/>
        <v>120672000</v>
      </c>
      <c r="S133" s="201" t="s">
        <v>760</v>
      </c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>
        <v>5005186292</v>
      </c>
      <c r="C134" s="183" t="str">
        <f>IFERROR(IF(VLOOKUP($B134,勘定科目!$A:$H,HLOOKUP($E$5,勘定科目!$F$1:$H$2,2,0),0)="","",VLOOKUP($B134,勘定科目!$A:$E,2,0)),"")</f>
        <v>その他税金（製）</v>
      </c>
      <c r="D134" s="239" t="str">
        <f>IF(C134="","",VLOOKUP($B134,勘定科目!$A:$E,4,0))</f>
        <v>公租公課</v>
      </c>
      <c r="E134" s="245"/>
      <c r="F134" s="194">
        <v>1000000</v>
      </c>
      <c r="G134" s="194">
        <v>1000000</v>
      </c>
      <c r="H134" s="194">
        <v>1000000</v>
      </c>
      <c r="I134" s="194">
        <v>1000000</v>
      </c>
      <c r="J134" s="194">
        <v>1000000</v>
      </c>
      <c r="K134" s="194">
        <v>1000000</v>
      </c>
      <c r="L134" s="194">
        <v>1000000</v>
      </c>
      <c r="M134" s="194">
        <v>1000000</v>
      </c>
      <c r="N134" s="194">
        <v>1000000</v>
      </c>
      <c r="O134" s="194">
        <v>1000000</v>
      </c>
      <c r="P134" s="194">
        <v>1000000</v>
      </c>
      <c r="Q134" s="194">
        <v>1000000</v>
      </c>
      <c r="R134" s="200">
        <f t="shared" si="32"/>
        <v>12000000</v>
      </c>
      <c r="S134" s="201" t="s">
        <v>761</v>
      </c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>
        <v>7001075118</v>
      </c>
      <c r="C135" s="183" t="str">
        <f>IFERROR(IF(VLOOKUP($B135,勘定科目!$A:$H,HLOOKUP($E$5,勘定科目!$F$1:$H$2,2,0),0)="","",VLOOKUP($B135,勘定科目!$A:$E,2,0)),"")</f>
        <v>雑収入（関係会社）</v>
      </c>
      <c r="D135" s="239" t="str">
        <f>IF(C135="","",VLOOKUP($B135,勘定科目!$A:$E,4,0))</f>
        <v>雑収入</v>
      </c>
      <c r="E135" s="245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200">
        <f t="shared" si="32"/>
        <v>0</v>
      </c>
      <c r="S135" s="201" t="s">
        <v>762</v>
      </c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>
        <v>7002048112</v>
      </c>
      <c r="C136" s="183" t="str">
        <f>IFERROR(IF(VLOOKUP($B136,勘定科目!$A:$H,HLOOKUP($E$5,勘定科目!$F$1:$H$2,2,0),0)="","",VLOOKUP($B136,勘定科目!$A:$E,2,0)),"")</f>
        <v>棚卸資産廃棄損</v>
      </c>
      <c r="D136" s="239" t="str">
        <f>IF(C136="","",VLOOKUP($B136,勘定科目!$A:$E,4,0))</f>
        <v>棚卸資産廃棄損</v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32"/>
        <v>0</v>
      </c>
      <c r="S136" s="201" t="s">
        <v>763</v>
      </c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>
        <v>7002048112</v>
      </c>
      <c r="C137" s="183" t="str">
        <f>IFERROR(IF(VLOOKUP($B137,勘定科目!$A:$H,HLOOKUP($E$5,勘定科目!$F$1:$H$2,2,0),0)="","",VLOOKUP($B137,勘定科目!$A:$E,2,0)),"")</f>
        <v>棚卸資産廃棄損</v>
      </c>
      <c r="D137" s="239" t="str">
        <f>IF(C137="","",VLOOKUP($B137,勘定科目!$A:$E,4,0))</f>
        <v>棚卸資産廃棄損</v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32"/>
        <v>0</v>
      </c>
      <c r="S137" s="201" t="s">
        <v>764</v>
      </c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>
        <v>7002048112</v>
      </c>
      <c r="C138" s="183" t="str">
        <f>IFERROR(IF(VLOOKUP($B138,勘定科目!$A:$H,HLOOKUP($E$5,勘定科目!$F$1:$H$2,2,0),0)="","",VLOOKUP($B138,勘定科目!$A:$E,2,0)),"")</f>
        <v>棚卸資産廃棄損</v>
      </c>
      <c r="D138" s="239" t="str">
        <f>IF(C138="","",VLOOKUP($B138,勘定科目!$A:$E,4,0))</f>
        <v>棚卸資産廃棄損</v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32"/>
        <v>0</v>
      </c>
      <c r="S138" s="201" t="s">
        <v>765</v>
      </c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>
        <v>5005076286</v>
      </c>
      <c r="C139" s="183" t="str">
        <f>IFERROR(IF(VLOOKUP($B139,勘定科目!$A:$H,HLOOKUP($E$5,勘定科目!$F$1:$H$2,2,0),0)="","",VLOOKUP($B139,勘定科目!$A:$E,2,0)),"")</f>
        <v>部品集荷トラック代</v>
      </c>
      <c r="D139" s="239" t="str">
        <f>IF(C139="","",VLOOKUP($B139,勘定科目!$A:$E,4,0))</f>
        <v>荷造運賃</v>
      </c>
      <c r="E139" s="245"/>
      <c r="F139" s="194">
        <v>2573507398</v>
      </c>
      <c r="G139" s="247">
        <v>2444832028</v>
      </c>
      <c r="H139" s="247">
        <v>2702182768</v>
      </c>
      <c r="I139" s="247">
        <v>2959533508</v>
      </c>
      <c r="J139" s="247">
        <v>2573507398</v>
      </c>
      <c r="K139" s="247">
        <v>2444832028</v>
      </c>
      <c r="L139" s="247">
        <v>2959533508</v>
      </c>
      <c r="M139" s="247">
        <v>2573507398</v>
      </c>
      <c r="N139" s="247">
        <v>2830858138</v>
      </c>
      <c r="O139" s="247">
        <v>2573507398</v>
      </c>
      <c r="P139" s="247">
        <v>1930130549</v>
      </c>
      <c r="Q139" s="247">
        <v>2702182768</v>
      </c>
      <c r="R139" s="200">
        <f t="shared" si="32"/>
        <v>31268114887</v>
      </c>
      <c r="S139" s="201" t="s">
        <v>766</v>
      </c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>
        <v>5005136291</v>
      </c>
      <c r="C140" s="183" t="str">
        <f>IFERROR(IF(VLOOKUP($B140,勘定科目!$A:$H,HLOOKUP($E$5,勘定科目!$F$1:$H$2,2,0),0)="","",VLOOKUP($B140,勘定科目!$A:$E,2,0)),"")</f>
        <v>郵送代（製）</v>
      </c>
      <c r="D140" s="239" t="str">
        <f>IF(C140="","",VLOOKUP($B140,勘定科目!$A:$E,4,0))</f>
        <v>通信費</v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32"/>
        <v>0</v>
      </c>
      <c r="S140" s="201" t="s">
        <v>767</v>
      </c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32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>
        <v>5005256291</v>
      </c>
      <c r="C142" s="183" t="str">
        <f>IFERROR(IF(VLOOKUP($B142,勘定科目!$A:$H,HLOOKUP($E$5,勘定科目!$F$1:$H$2,2,0),0)="","",VLOOKUP($B142,勘定科目!$A:$E,2,0)),"")</f>
        <v>棚卸減耗費（製）</v>
      </c>
      <c r="D142" s="239" t="str">
        <f>IF(C142="","",VLOOKUP($B142,勘定科目!$A:$E,4,0))</f>
        <v>棚卸減耗費</v>
      </c>
      <c r="E142" s="245"/>
      <c r="F142" s="194">
        <v>10156000</v>
      </c>
      <c r="G142" s="247">
        <v>10156000</v>
      </c>
      <c r="H142" s="247">
        <v>10156000</v>
      </c>
      <c r="I142" s="247">
        <v>10156000</v>
      </c>
      <c r="J142" s="247">
        <v>38085000</v>
      </c>
      <c r="K142" s="247">
        <v>7617000</v>
      </c>
      <c r="L142" s="247">
        <v>10156000</v>
      </c>
      <c r="M142" s="247">
        <v>10156000</v>
      </c>
      <c r="N142" s="247">
        <v>10156000</v>
      </c>
      <c r="O142" s="247">
        <v>10156000</v>
      </c>
      <c r="P142" s="247">
        <v>38085000</v>
      </c>
      <c r="Q142" s="247">
        <v>7617000</v>
      </c>
      <c r="R142" s="200">
        <f t="shared" si="32"/>
        <v>172652000</v>
      </c>
      <c r="S142" s="201" t="s">
        <v>768</v>
      </c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>
        <v>7002048112</v>
      </c>
      <c r="C143" s="183" t="str">
        <f>IFERROR(IF(VLOOKUP($B143,勘定科目!$A:$H,HLOOKUP($E$5,勘定科目!$F$1:$H$2,2,0),0)="","",VLOOKUP($B143,勘定科目!$A:$E,2,0)),"")</f>
        <v>棚卸資産廃棄損</v>
      </c>
      <c r="D143" s="239" t="str">
        <f>IF(C143="","",VLOOKUP($B143,勘定科目!$A:$E,4,0))</f>
        <v>棚卸資産廃棄損</v>
      </c>
      <c r="E143" s="245"/>
      <c r="F143" s="194">
        <v>211954976</v>
      </c>
      <c r="G143" s="247">
        <v>211954976</v>
      </c>
      <c r="H143" s="247">
        <v>211954976</v>
      </c>
      <c r="I143" s="247">
        <v>211954976</v>
      </c>
      <c r="J143" s="247">
        <v>415743474</v>
      </c>
      <c r="K143" s="247">
        <v>261578068</v>
      </c>
      <c r="L143" s="247">
        <v>211954976</v>
      </c>
      <c r="M143" s="247">
        <v>211954976</v>
      </c>
      <c r="N143" s="247">
        <v>211954976</v>
      </c>
      <c r="O143" s="247">
        <v>261578068</v>
      </c>
      <c r="P143" s="247">
        <v>186564976</v>
      </c>
      <c r="Q143" s="247">
        <v>211954976</v>
      </c>
      <c r="R143" s="200">
        <f t="shared" si="32"/>
        <v>2821104394</v>
      </c>
      <c r="S143" s="201" t="s">
        <v>769</v>
      </c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>
        <v>5005256291</v>
      </c>
      <c r="C144" s="183" t="str">
        <f>IFERROR(IF(VLOOKUP($B144,勘定科目!$A:$H,HLOOKUP($E$5,勘定科目!$F$1:$H$2,2,0),0)="","",VLOOKUP($B144,勘定科目!$A:$E,2,0)),"")</f>
        <v>棚卸減耗費（製）</v>
      </c>
      <c r="D144" s="239" t="str">
        <f>IF(C144="","",VLOOKUP($B144,勘定科目!$A:$E,4,0))</f>
        <v>棚卸減耗費</v>
      </c>
      <c r="E144" s="245"/>
      <c r="F144" s="194"/>
      <c r="G144" s="247"/>
      <c r="H144" s="247"/>
      <c r="I144" s="247"/>
      <c r="J144" s="247">
        <f>+ROUND(5738.57*25390,0)</f>
        <v>145702292</v>
      </c>
      <c r="K144" s="247"/>
      <c r="L144" s="247"/>
      <c r="M144" s="247"/>
      <c r="N144" s="247"/>
      <c r="O144" s="247"/>
      <c r="P144" s="247"/>
      <c r="Q144" s="247">
        <f>+ROUND(5738.57*25390,0)</f>
        <v>145702292</v>
      </c>
      <c r="R144" s="200">
        <f t="shared" si="32"/>
        <v>291404584</v>
      </c>
      <c r="S144" s="201" t="s">
        <v>770</v>
      </c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32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>
        <v>5005246286</v>
      </c>
      <c r="C146" s="183" t="str">
        <f>IFERROR(IF(VLOOKUP($B146,勘定科目!$A:$H,HLOOKUP($E$5,勘定科目!$F$1:$H$2,2,0),0)="","",VLOOKUP($B146,勘定科目!$A:$E,2,0)),"")</f>
        <v>その他手数料（製）</v>
      </c>
      <c r="D146" s="239" t="str">
        <f>IF(C146="","",VLOOKUP($B146,勘定科目!$A:$E,4,0))</f>
        <v>手数料</v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32"/>
        <v>0</v>
      </c>
      <c r="S146" s="201" t="s">
        <v>771</v>
      </c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>
        <v>5005246283</v>
      </c>
      <c r="C147" s="183" t="str">
        <f>IFERROR(IF(VLOOKUP($B147,勘定科目!$A:$H,HLOOKUP($E$5,勘定科目!$F$1:$H$2,2,0),0)="","",VLOOKUP($B147,勘定科目!$A:$E,2,0)),"")</f>
        <v>ライセンス料（製）</v>
      </c>
      <c r="D147" s="239" t="str">
        <f>IF(C147="","",VLOOKUP($B147,勘定科目!$A:$E,4,0))</f>
        <v>図書及び事務費</v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32"/>
        <v>0</v>
      </c>
      <c r="S147" s="201" t="s">
        <v>772</v>
      </c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>
        <v>8001037111</v>
      </c>
      <c r="C148" s="183" t="str">
        <f>IFERROR(IF(VLOOKUP($B148,勘定科目!$A:$H,HLOOKUP($E$5,勘定科目!$F$1:$H$2,2,0),0)="","",VLOOKUP($B148,勘定科目!$A:$E,2,0)),"")</f>
        <v>その他特別利益</v>
      </c>
      <c r="D148" s="239" t="str">
        <f>IF(C148="","",VLOOKUP($B148,勘定科目!$A:$E,4,0))</f>
        <v>特別利益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32"/>
        <v>0</v>
      </c>
      <c r="S148" s="201" t="s">
        <v>773</v>
      </c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>
        <v>5005246292</v>
      </c>
      <c r="C149" s="183" t="str">
        <f>IFERROR(IF(VLOOKUP($B149,勘定科目!$A:$H,HLOOKUP($E$5,勘定科目!$F$1:$H$2,2,0),0)="","",VLOOKUP($B149,勘定科目!$A:$E,2,0)),"")</f>
        <v>雑費（製）</v>
      </c>
      <c r="D149" s="239" t="str">
        <f>IF(C149="","",VLOOKUP($B149,勘定科目!$A:$E,4,0))</f>
        <v>雑費</v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32"/>
        <v>0</v>
      </c>
      <c r="S149" s="201" t="s">
        <v>774</v>
      </c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>
        <v>5005046283</v>
      </c>
      <c r="C150" s="183" t="str">
        <f>IFERROR(IF(VLOOKUP($B150,勘定科目!$A:$H,HLOOKUP($E$5,勘定科目!$F$1:$H$2,2,0),0)="","",VLOOKUP($B150,勘定科目!$A:$E,2,0)),"")</f>
        <v>年間保守料（製）</v>
      </c>
      <c r="D150" s="239" t="str">
        <f>IF(C150="","",VLOOKUP($B150,勘定科目!$A:$E,4,0))</f>
        <v>修繕費</v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>
        <v>1000000</v>
      </c>
      <c r="O150" s="247"/>
      <c r="P150" s="247"/>
      <c r="Q150" s="247"/>
      <c r="R150" s="200">
        <f t="shared" si="32"/>
        <v>1000000</v>
      </c>
      <c r="S150" s="201" t="s">
        <v>775</v>
      </c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>
        <v>5005246283</v>
      </c>
      <c r="C151" s="183" t="str">
        <f>IFERROR(IF(VLOOKUP($B151,勘定科目!$A:$H,HLOOKUP($E$5,勘定科目!$F$1:$H$2,2,0),0)="","",VLOOKUP($B151,勘定科目!$A:$E,2,0)),"")</f>
        <v>ライセンス料（製）</v>
      </c>
      <c r="D151" s="239" t="str">
        <f>IF(C151="","",VLOOKUP($B151,勘定科目!$A:$E,4,0))</f>
        <v>図書及び事務費</v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32"/>
        <v>0</v>
      </c>
      <c r="S151" s="201" t="s">
        <v>776</v>
      </c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>
        <v>5005076282</v>
      </c>
      <c r="C152" s="183" t="str">
        <f>IFERROR(IF(VLOOKUP($B152,勘定科目!$A:$H,HLOOKUP($E$5,勘定科目!$F$1:$H$2,2,0),0)="","",VLOOKUP($B152,勘定科目!$A:$E,2,0)),"")</f>
        <v>設備輸送費（製）</v>
      </c>
      <c r="D152" s="239" t="str">
        <f>IF(C152="","",VLOOKUP($B152,勘定科目!$A:$E,4,0))</f>
        <v>荷造運賃</v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32"/>
        <v>0</v>
      </c>
      <c r="S152" s="201" t="s">
        <v>777</v>
      </c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32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>
        <v>5005046281</v>
      </c>
      <c r="C154" s="183" t="str">
        <f>IFERROR(IF(VLOOKUP($B154,勘定科目!$A:$H,HLOOKUP($E$5,勘定科目!$F$1:$H$2,2,0),0)="","",VLOOKUP($B154,勘定科目!$A:$E,2,0)),"")</f>
        <v>機械設備修繕費（製）</v>
      </c>
      <c r="D154" s="239" t="str">
        <f>IF(C154="","",VLOOKUP($B154,勘定科目!$A:$E,4,0))</f>
        <v>修繕費</v>
      </c>
      <c r="E154" s="245"/>
      <c r="F154" s="194">
        <v>41000000</v>
      </c>
      <c r="G154" s="247">
        <v>41000000</v>
      </c>
      <c r="H154" s="247">
        <v>341000000</v>
      </c>
      <c r="I154" s="247">
        <v>41000000</v>
      </c>
      <c r="J154" s="247">
        <v>41000000</v>
      </c>
      <c r="K154" s="247">
        <v>41000000</v>
      </c>
      <c r="L154" s="247">
        <v>41000000</v>
      </c>
      <c r="M154" s="247">
        <v>41000000</v>
      </c>
      <c r="N154" s="247">
        <v>41000000</v>
      </c>
      <c r="O154" s="247">
        <v>41000000</v>
      </c>
      <c r="P154" s="247">
        <v>41000000</v>
      </c>
      <c r="Q154" s="247">
        <v>41000000</v>
      </c>
      <c r="R154" s="200">
        <f t="shared" si="32"/>
        <v>792000000</v>
      </c>
      <c r="S154" s="201" t="s">
        <v>778</v>
      </c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>
        <v>5005046282</v>
      </c>
      <c r="C155" s="183" t="str">
        <f>IFERROR(IF(VLOOKUP($B155,勘定科目!$A:$H,HLOOKUP($E$5,勘定科目!$F$1:$H$2,2,0),0)="","",VLOOKUP($B155,勘定科目!$A:$E,2,0)),"")</f>
        <v>その他修繕費（製）</v>
      </c>
      <c r="D155" s="239" t="str">
        <f>IF(C155="","",VLOOKUP($B155,勘定科目!$A:$E,4,0))</f>
        <v>修繕費</v>
      </c>
      <c r="E155" s="245"/>
      <c r="F155" s="194">
        <v>30000000</v>
      </c>
      <c r="G155" s="247">
        <v>30000000</v>
      </c>
      <c r="H155" s="247">
        <v>30000000</v>
      </c>
      <c r="I155" s="247">
        <v>30000000</v>
      </c>
      <c r="J155" s="247">
        <v>30000000</v>
      </c>
      <c r="K155" s="247">
        <v>30000000</v>
      </c>
      <c r="L155" s="247">
        <v>30000000</v>
      </c>
      <c r="M155" s="247">
        <v>30000000</v>
      </c>
      <c r="N155" s="247">
        <v>30000000</v>
      </c>
      <c r="O155" s="247">
        <v>30000000</v>
      </c>
      <c r="P155" s="247">
        <v>30000000</v>
      </c>
      <c r="Q155" s="247">
        <v>30000000</v>
      </c>
      <c r="R155" s="200">
        <f t="shared" si="32"/>
        <v>360000000</v>
      </c>
      <c r="S155" s="201" t="s">
        <v>778</v>
      </c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>
        <v>5005026371</v>
      </c>
      <c r="C156" s="183" t="str">
        <f>IFERROR(IF(VLOOKUP($B156,勘定科目!$A:$H,HLOOKUP($E$5,勘定科目!$F$1:$H$2,2,0),0)="","",VLOOKUP($B156,勘定科目!$A:$E,2,0)),"")</f>
        <v>消耗工具器具備品費（製）</v>
      </c>
      <c r="D156" s="239" t="str">
        <f>IF(C156="","",VLOOKUP($B156,勘定科目!$A:$E,4,0))</f>
        <v>消耗工具器具備品費</v>
      </c>
      <c r="E156" s="245"/>
      <c r="F156" s="194">
        <v>150000000</v>
      </c>
      <c r="G156" s="247">
        <v>150000000</v>
      </c>
      <c r="H156" s="247">
        <v>150000000</v>
      </c>
      <c r="I156" s="247">
        <v>150000000</v>
      </c>
      <c r="J156" s="247">
        <v>150000000</v>
      </c>
      <c r="K156" s="247">
        <v>150000000</v>
      </c>
      <c r="L156" s="247">
        <v>150000000</v>
      </c>
      <c r="M156" s="247">
        <v>150000000</v>
      </c>
      <c r="N156" s="247">
        <v>150000000</v>
      </c>
      <c r="O156" s="247">
        <v>150000000</v>
      </c>
      <c r="P156" s="247">
        <v>150000000</v>
      </c>
      <c r="Q156" s="247">
        <v>150000000</v>
      </c>
      <c r="R156" s="200">
        <f t="shared" si="32"/>
        <v>1800000000</v>
      </c>
      <c r="S156" s="201" t="s">
        <v>778</v>
      </c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>
        <v>5005076282</v>
      </c>
      <c r="C157" s="183" t="str">
        <f>IFERROR(IF(VLOOKUP($B157,勘定科目!$A:$H,HLOOKUP($E$5,勘定科目!$F$1:$H$2,2,0),0)="","",VLOOKUP($B157,勘定科目!$A:$E,2,0)),"")</f>
        <v>設備輸送費（製）</v>
      </c>
      <c r="D157" s="239" t="str">
        <f>IF(C157="","",VLOOKUP($B157,勘定科目!$A:$E,4,0))</f>
        <v>荷造運賃</v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32"/>
        <v>0</v>
      </c>
      <c r="S157" s="201" t="s">
        <v>778</v>
      </c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>
        <v>5005246286</v>
      </c>
      <c r="C158" s="183" t="str">
        <f>IFERROR(IF(VLOOKUP($B158,勘定科目!$A:$H,HLOOKUP($E$5,勘定科目!$F$1:$H$2,2,0),0)="","",VLOOKUP($B158,勘定科目!$A:$E,2,0)),"")</f>
        <v>その他手数料（製）</v>
      </c>
      <c r="D158" s="239" t="str">
        <f>IF(C158="","",VLOOKUP($B158,勘定科目!$A:$E,4,0))</f>
        <v>手数料</v>
      </c>
      <c r="E158" s="245"/>
      <c r="F158" s="194">
        <v>5000000</v>
      </c>
      <c r="G158" s="247">
        <v>5000000</v>
      </c>
      <c r="H158" s="247">
        <v>5000000</v>
      </c>
      <c r="I158" s="247">
        <v>5000000</v>
      </c>
      <c r="J158" s="247">
        <v>5000000</v>
      </c>
      <c r="K158" s="247">
        <v>5000000</v>
      </c>
      <c r="L158" s="247">
        <v>5000000</v>
      </c>
      <c r="M158" s="247">
        <v>5000000</v>
      </c>
      <c r="N158" s="247">
        <v>5000000</v>
      </c>
      <c r="O158" s="247">
        <v>5000000</v>
      </c>
      <c r="P158" s="247">
        <v>5000000</v>
      </c>
      <c r="Q158" s="247">
        <v>5000000</v>
      </c>
      <c r="R158" s="200">
        <f t="shared" si="32"/>
        <v>60000000</v>
      </c>
      <c r="S158" s="201" t="s">
        <v>778</v>
      </c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32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>
        <v>5005046281</v>
      </c>
      <c r="C160" s="183" t="str">
        <f>IFERROR(IF(VLOOKUP($B160,勘定科目!$A:$H,HLOOKUP($E$5,勘定科目!$F$1:$H$2,2,0),0)="","",VLOOKUP($B160,勘定科目!$A:$E,2,0)),"")</f>
        <v>機械設備修繕費（製）</v>
      </c>
      <c r="D160" s="239" t="str">
        <f>IF(C160="","",VLOOKUP($B160,勘定科目!$A:$E,4,0))</f>
        <v>修繕費</v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32"/>
        <v>0</v>
      </c>
      <c r="S160" s="201" t="s">
        <v>779</v>
      </c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>
        <v>5005046282</v>
      </c>
      <c r="C161" s="183" t="str">
        <f>IFERROR(IF(VLOOKUP($B161,勘定科目!$A:$H,HLOOKUP($E$5,勘定科目!$F$1:$H$2,2,0),0)="","",VLOOKUP($B161,勘定科目!$A:$E,2,0)),"")</f>
        <v>その他修繕費（製）</v>
      </c>
      <c r="D161" s="239" t="str">
        <f>IF(C161="","",VLOOKUP($B161,勘定科目!$A:$E,4,0))</f>
        <v>修繕費</v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32"/>
        <v>0</v>
      </c>
      <c r="S161" s="201" t="s">
        <v>779</v>
      </c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>
        <v>5005026371</v>
      </c>
      <c r="C162" s="183" t="str">
        <f>IFERROR(IF(VLOOKUP($B162,勘定科目!$A:$H,HLOOKUP($E$5,勘定科目!$F$1:$H$2,2,0),0)="","",VLOOKUP($B162,勘定科目!$A:$E,2,0)),"")</f>
        <v>消耗工具器具備品費（製）</v>
      </c>
      <c r="D162" s="239" t="str">
        <f>IF(C162="","",VLOOKUP($B162,勘定科目!$A:$E,4,0))</f>
        <v>消耗工具器具備品費</v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32"/>
        <v>0</v>
      </c>
      <c r="S162" s="201" t="s">
        <v>779</v>
      </c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>
        <v>5005076282</v>
      </c>
      <c r="C163" s="183" t="str">
        <f>IFERROR(IF(VLOOKUP($B163,勘定科目!$A:$H,HLOOKUP($E$5,勘定科目!$F$1:$H$2,2,0),0)="","",VLOOKUP($B163,勘定科目!$A:$E,2,0)),"")</f>
        <v>設備輸送費（製）</v>
      </c>
      <c r="D163" s="239" t="str">
        <f>IF(C163="","",VLOOKUP($B163,勘定科目!$A:$E,4,0))</f>
        <v>荷造運賃</v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32"/>
        <v>0</v>
      </c>
      <c r="S163" s="201" t="s">
        <v>779</v>
      </c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>
        <v>5005246286</v>
      </c>
      <c r="C164" s="183" t="str">
        <f>IFERROR(IF(VLOOKUP($B164,勘定科目!$A:$H,HLOOKUP($E$5,勘定科目!$F$1:$H$2,2,0),0)="","",VLOOKUP($B164,勘定科目!$A:$E,2,0)),"")</f>
        <v>その他手数料（製）</v>
      </c>
      <c r="D164" s="239" t="str">
        <f>IF(C164="","",VLOOKUP($B164,勘定科目!$A:$E,4,0))</f>
        <v>手数料</v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32"/>
        <v>0</v>
      </c>
      <c r="S164" s="201" t="s">
        <v>779</v>
      </c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32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>
        <v>5005046281</v>
      </c>
      <c r="C166" s="183" t="str">
        <f>IFERROR(IF(VLOOKUP($B166,勘定科目!$A:$H,HLOOKUP($E$5,勘定科目!$F$1:$H$2,2,0),0)="","",VLOOKUP($B166,勘定科目!$A:$E,2,0)),"")</f>
        <v>機械設備修繕費（製）</v>
      </c>
      <c r="D166" s="239" t="str">
        <f>IF(C166="","",VLOOKUP($B166,勘定科目!$A:$E,4,0))</f>
        <v>修繕費</v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32"/>
        <v>0</v>
      </c>
      <c r="S166" s="201" t="s">
        <v>780</v>
      </c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>
        <v>5005046282</v>
      </c>
      <c r="C167" s="183" t="str">
        <f>IFERROR(IF(VLOOKUP($B167,勘定科目!$A:$H,HLOOKUP($E$5,勘定科目!$F$1:$H$2,2,0),0)="","",VLOOKUP($B167,勘定科目!$A:$E,2,0)),"")</f>
        <v>その他修繕費（製）</v>
      </c>
      <c r="D167" s="239" t="str">
        <f>IF(C167="","",VLOOKUP($B167,勘定科目!$A:$E,4,0))</f>
        <v>修繕費</v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32"/>
        <v>0</v>
      </c>
      <c r="S167" s="201" t="s">
        <v>780</v>
      </c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>
        <v>5005026371</v>
      </c>
      <c r="C168" s="183" t="str">
        <f>IFERROR(IF(VLOOKUP($B168,勘定科目!$A:$H,HLOOKUP($E$5,勘定科目!$F$1:$H$2,2,0),0)="","",VLOOKUP($B168,勘定科目!$A:$E,2,0)),"")</f>
        <v>消耗工具器具備品費（製）</v>
      </c>
      <c r="D168" s="239" t="str">
        <f>IF(C168="","",VLOOKUP($B168,勘定科目!$A:$E,4,0))</f>
        <v>消耗工具器具備品費</v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32"/>
        <v>0</v>
      </c>
      <c r="S168" s="201" t="s">
        <v>780</v>
      </c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>
        <v>5005076282</v>
      </c>
      <c r="C169" s="183" t="str">
        <f>IFERROR(IF(VLOOKUP($B169,勘定科目!$A:$H,HLOOKUP($E$5,勘定科目!$F$1:$H$2,2,0),0)="","",VLOOKUP($B169,勘定科目!$A:$E,2,0)),"")</f>
        <v>設備輸送費（製）</v>
      </c>
      <c r="D169" s="239" t="str">
        <f>IF(C169="","",VLOOKUP($B169,勘定科目!$A:$E,4,0))</f>
        <v>荷造運賃</v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32"/>
        <v>0</v>
      </c>
      <c r="S169" s="201" t="s">
        <v>780</v>
      </c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>
        <v>5005246286</v>
      </c>
      <c r="C170" s="183" t="str">
        <f>IFERROR(IF(VLOOKUP($B170,勘定科目!$A:$H,HLOOKUP($E$5,勘定科目!$F$1:$H$2,2,0),0)="","",VLOOKUP($B170,勘定科目!$A:$E,2,0)),"")</f>
        <v>その他手数料（製）</v>
      </c>
      <c r="D170" s="239" t="str">
        <f>IF(C170="","",VLOOKUP($B170,勘定科目!$A:$E,4,0))</f>
        <v>手数料</v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32"/>
        <v>0</v>
      </c>
      <c r="S170" s="201" t="s">
        <v>780</v>
      </c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>
        <v>5005046283</v>
      </c>
      <c r="C171" s="183" t="str">
        <f>IFERROR(IF(VLOOKUP($B171,勘定科目!$A:$H,HLOOKUP($E$5,勘定科目!$F$1:$H$2,2,0),0)="","",VLOOKUP($B171,勘定科目!$A:$E,2,0)),"")</f>
        <v>年間保守料（製）</v>
      </c>
      <c r="D171" s="239" t="str">
        <f>IF(C171="","",VLOOKUP($B171,勘定科目!$A:$E,4,0))</f>
        <v>修繕費</v>
      </c>
      <c r="E171" s="245"/>
      <c r="F171" s="194">
        <v>111022198</v>
      </c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32"/>
        <v>111022198</v>
      </c>
      <c r="S171" s="201" t="s">
        <v>780</v>
      </c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>
        <v>5004086293</v>
      </c>
      <c r="C172" s="183" t="str">
        <f>IFERROR(IF(VLOOKUP($B172,勘定科目!$A:$H,HLOOKUP($E$5,勘定科目!$F$1:$H$2,2,0),0)="","",VLOOKUP($B172,勘定科目!$A:$E,2,0)),"")</f>
        <v>教育訓練費（製）</v>
      </c>
      <c r="D172" s="239" t="str">
        <f>IF(C172="","",VLOOKUP($B172,勘定科目!$A:$E,4,0))</f>
        <v>募集教育費</v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32"/>
        <v>0</v>
      </c>
      <c r="S172" s="201" t="s">
        <v>781</v>
      </c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>
        <v>5005116291</v>
      </c>
      <c r="C173" s="183" t="str">
        <f>IFERROR(IF(VLOOKUP($B173,勘定科目!$A:$H,HLOOKUP($E$5,勘定科目!$F$1:$H$2,2,0),0)="","",VLOOKUP($B173,勘定科目!$A:$E,2,0)),"")</f>
        <v>ベトナム国内交通費（製）</v>
      </c>
      <c r="D173" s="239" t="str">
        <f>IF(C173="","",VLOOKUP($B173,勘定科目!$A:$E,4,0))</f>
        <v>旅費交通費</v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32"/>
        <v>0</v>
      </c>
      <c r="S173" s="201" t="s">
        <v>782</v>
      </c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32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32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32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32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32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32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32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32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32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32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ref="R184:R247" si="33">SUM(F184:Q184)</f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33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33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33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33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33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33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33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33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33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33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33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33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33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33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33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33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33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33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33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33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33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33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33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33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33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33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33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33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33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33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33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33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33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33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33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33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33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33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33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33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33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33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33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33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33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33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33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33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33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33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33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33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33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33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33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33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33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33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33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33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33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33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33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ref="R248:R311" si="34">SUM(F248:Q248)</f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34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34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34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34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34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34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34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34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34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34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34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34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34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34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34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34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34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34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34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34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34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34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34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34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34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34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34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34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34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34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34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34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34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34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34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34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34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34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34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34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34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34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34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34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34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34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34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34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34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34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34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34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34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34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34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34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34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34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34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34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34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34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34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ref="R312:R375" si="35">SUM(F312:Q312)</f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35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35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35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35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35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35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35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35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35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35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35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35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35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35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35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35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35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35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35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35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35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35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35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35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35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35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35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35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35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35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35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35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35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35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35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35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35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35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35"/>
        <v>0</v>
      </c>
      <c r="S351" s="201" t="s">
        <v>739</v>
      </c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35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35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35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35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35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35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35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35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35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35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35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35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35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35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35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35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35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35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35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35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35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35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35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35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ref="R376:R439" si="36">SUM(F376:Q376)</f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36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36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36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36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36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36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36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36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36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36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36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36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36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36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36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36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36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36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36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36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36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36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36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36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36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36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36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36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36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36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36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36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36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36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36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36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36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36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36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36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36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36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36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36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36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36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36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36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36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36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36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36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36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36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36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36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36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36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36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36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36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36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36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ref="R440:R503" si="37">SUM(F440:Q440)</f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37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37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37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37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37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37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37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37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37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37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37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37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37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37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37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37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37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37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37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37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37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37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37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37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37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37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37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37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37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37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37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37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37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37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37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37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37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37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37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37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37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37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37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37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37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37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37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37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37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37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37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37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37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37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37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37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37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37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37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37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37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37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37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ref="R504:R567" si="38">SUM(F504:Q504)</f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38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38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38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38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38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38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38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38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38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38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38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38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38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38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38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38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38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38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38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38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38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38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38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38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38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38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38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38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38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38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38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38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38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38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38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38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38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38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38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38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38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38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38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38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38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38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38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38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38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38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38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38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38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38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38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38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38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38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38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38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38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38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38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ref="R568:R631" si="39">SUM(F568:Q568)</f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39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39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39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39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39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39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39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39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39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39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39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39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39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39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39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39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39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39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39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39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39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39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39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39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39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39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39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39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39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39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39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39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39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39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39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39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39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39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39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39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39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39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39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39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39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39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39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39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39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39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39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39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39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39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39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39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39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39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39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39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39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39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39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ref="R632:R695" si="40">SUM(F632:Q632)</f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40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40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40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40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40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40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40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40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40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40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40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40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40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40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40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40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40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40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40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40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40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40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40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40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40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40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40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40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40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40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40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40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40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40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40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40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40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40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40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40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40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40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40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40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40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40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40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40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40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40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40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40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40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40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40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40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40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40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40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40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40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40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40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ref="R696:R759" si="41">SUM(F696:Q696)</f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41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41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41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41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41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41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41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41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41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41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41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41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41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41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41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41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41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41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41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41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41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41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41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41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41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41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41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41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41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41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41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41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41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41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41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41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41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41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41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41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41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41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41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41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41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41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41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41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41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41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41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41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41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41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41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41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41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41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41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41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41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41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41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ref="R760:R800" si="42">SUM(F760:Q760)</f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42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42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42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42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42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42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42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42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42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42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42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42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42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42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42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42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42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42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42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42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42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42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42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42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42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42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42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42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42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42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42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42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42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42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42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42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42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42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42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42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</sheetData>
  <autoFilter ref="A7:T800" xr:uid="{61D048BD-870A-4F78-82C7-89FE69E3C23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96E117EE-F70C-4EB9-9C09-D43C4E86FB6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9927-EF6F-4326-9883-A9879A80D7C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機器製造3課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890F0BC-71B2-4447-A11F-CEF70897CBC9}"/>
  <phoneticPr fontId="3"/>
  <dataValidations count="1">
    <dataValidation type="list" allowBlank="1" showInputMessage="1" showErrorMessage="1" sqref="S4:S49" xr:uid="{7415E07C-CEDD-4BDC-A235-ADFDA0FEB78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2888-C59B-426B-8F10-9BC7B81B9AD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83B95877-C699-4662-977E-AA848421C2F5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CFF4-705B-44FA-BE88-EC9EA849E9A4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18094A70-4EA8-44E1-909E-A693670ECF92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500E-BF4D-4445-B08F-C3BE71ACB2A0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Thúy Lan(Nguyen Thi Thuy Lan)</cp:lastModifiedBy>
  <cp:lastPrinted>2017-10-06T02:39:42Z</cp:lastPrinted>
  <dcterms:created xsi:type="dcterms:W3CDTF">2002-04-10T08:05:47Z</dcterms:created>
  <dcterms:modified xsi:type="dcterms:W3CDTF">2025-03-25T02:16:54Z</dcterms:modified>
</cp:coreProperties>
</file>