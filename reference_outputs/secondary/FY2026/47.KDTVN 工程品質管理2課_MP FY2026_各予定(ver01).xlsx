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ISAN\MASTER PLAN FY2026\TÁCH PHÒNG\SỬA\"/>
    </mc:Choice>
  </mc:AlternateContent>
  <xr:revisionPtr revIDLastSave="0" documentId="13_ncr:1_{9E36B0EB-8AD5-41EF-93B4-E7FD718A61D3}" xr6:coauthVersionLast="47" xr6:coauthVersionMax="47" xr10:uidLastSave="{00000000-0000-0000-0000-000000000000}"/>
  <bookViews>
    <workbookView xWindow="-120" yWindow="-120" windowWidth="20730" windowHeight="11040" tabRatio="702" activeTab="2" xr2:uid="{08B20195-9F34-4FA1-8EFF-8822A9A413F4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'内訳ﾘｽﾄ(4～3月)'!$A$7:$T$805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5" i="10" l="1"/>
  <c r="P55" i="10"/>
  <c r="O55" i="10"/>
  <c r="N55" i="10"/>
  <c r="M55" i="10"/>
  <c r="L55" i="10"/>
  <c r="K55" i="10"/>
  <c r="J55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1" i="10"/>
  <c r="R52" i="10"/>
  <c r="R53" i="10"/>
  <c r="R54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7" i="10"/>
  <c r="R18" i="10"/>
  <c r="R19" i="10"/>
  <c r="R10" i="10"/>
  <c r="R11" i="10"/>
  <c r="R55" i="10" l="1"/>
  <c r="Q52" i="10"/>
  <c r="P52" i="10"/>
  <c r="O52" i="10"/>
  <c r="N52" i="10"/>
  <c r="M52" i="10"/>
  <c r="L52" i="10"/>
  <c r="K52" i="10"/>
  <c r="J52" i="10"/>
  <c r="Q45" i="10"/>
  <c r="Q44" i="10"/>
  <c r="P45" i="10"/>
  <c r="P44" i="10"/>
  <c r="O44" i="10"/>
  <c r="O45" i="10"/>
  <c r="N45" i="10"/>
  <c r="N44" i="10"/>
  <c r="M45" i="10"/>
  <c r="M44" i="10"/>
  <c r="L45" i="10"/>
  <c r="L44" i="10"/>
  <c r="K45" i="10"/>
  <c r="K44" i="10"/>
  <c r="J45" i="10"/>
  <c r="J44" i="10"/>
  <c r="Q47" i="10"/>
  <c r="Q46" i="10"/>
  <c r="P47" i="10"/>
  <c r="P46" i="10"/>
  <c r="O47" i="10"/>
  <c r="O46" i="10"/>
  <c r="N47" i="10"/>
  <c r="N46" i="10"/>
  <c r="M47" i="10"/>
  <c r="M46" i="10"/>
  <c r="L47" i="10"/>
  <c r="L46" i="10"/>
  <c r="K47" i="10"/>
  <c r="K46" i="10"/>
  <c r="J47" i="10"/>
  <c r="J46" i="10"/>
  <c r="J57" i="10" l="1"/>
  <c r="L81" i="10"/>
  <c r="L80" i="10"/>
  <c r="Q79" i="10"/>
  <c r="Q78" i="10"/>
  <c r="P78" i="10"/>
  <c r="O78" i="10"/>
  <c r="N78" i="10"/>
  <c r="M78" i="10"/>
  <c r="L78" i="10"/>
  <c r="K78" i="10"/>
  <c r="M77" i="10"/>
  <c r="N76" i="10"/>
  <c r="K75" i="10"/>
  <c r="L74" i="10"/>
  <c r="P73" i="10"/>
  <c r="P72" i="10"/>
  <c r="P70" i="10"/>
  <c r="K70" i="10"/>
  <c r="Q69" i="10"/>
  <c r="P69" i="10"/>
  <c r="O69" i="10"/>
  <c r="N69" i="10"/>
  <c r="M69" i="10"/>
  <c r="L69" i="10"/>
  <c r="K69" i="10"/>
  <c r="J69" i="10"/>
  <c r="I69" i="10"/>
  <c r="M63" i="10"/>
  <c r="P57" i="10"/>
  <c r="Q57" i="10"/>
  <c r="M59" i="10"/>
  <c r="N59" i="10"/>
  <c r="O59" i="10"/>
  <c r="P59" i="10"/>
  <c r="Q59" i="10"/>
  <c r="J59" i="10"/>
  <c r="K59" i="10"/>
  <c r="L59" i="10"/>
  <c r="Q40" i="10"/>
  <c r="P40" i="10"/>
  <c r="O40" i="10"/>
  <c r="N40" i="10"/>
  <c r="M40" i="10"/>
  <c r="L40" i="10"/>
  <c r="K40" i="10"/>
  <c r="J40" i="10"/>
  <c r="P56" i="10"/>
  <c r="O57" i="10"/>
  <c r="N56" i="10"/>
  <c r="M57" i="10"/>
  <c r="L56" i="10"/>
  <c r="K57" i="10"/>
  <c r="J56" i="10"/>
  <c r="Q56" i="10"/>
  <c r="Q50" i="10"/>
  <c r="P50" i="10"/>
  <c r="O50" i="10"/>
  <c r="N50" i="10"/>
  <c r="M50" i="10"/>
  <c r="L50" i="10"/>
  <c r="K50" i="10"/>
  <c r="J50" i="10"/>
  <c r="J98" i="10"/>
  <c r="R50" i="10" l="1"/>
  <c r="O95" i="10"/>
  <c r="N95" i="10"/>
  <c r="L95" i="10"/>
  <c r="K95" i="10"/>
  <c r="O94" i="10"/>
  <c r="N94" i="10"/>
  <c r="L94" i="10"/>
  <c r="K94" i="10"/>
  <c r="J94" i="10"/>
  <c r="M56" i="10"/>
  <c r="N57" i="10"/>
  <c r="O56" i="10"/>
  <c r="L57" i="10"/>
  <c r="K56" i="10"/>
  <c r="R56" i="10" s="1"/>
  <c r="R57" i="10" l="1"/>
  <c r="Q54" i="10"/>
  <c r="P54" i="10"/>
  <c r="O54" i="10"/>
  <c r="N54" i="10"/>
  <c r="M54" i="10"/>
  <c r="L54" i="10"/>
  <c r="K54" i="10"/>
  <c r="J54" i="10"/>
  <c r="Q42" i="10"/>
  <c r="P42" i="10"/>
  <c r="O42" i="10"/>
  <c r="N42" i="10"/>
  <c r="M42" i="10"/>
  <c r="L42" i="10"/>
  <c r="K42" i="10"/>
  <c r="J42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1" i="10"/>
  <c r="R30" i="10"/>
  <c r="E5" i="10"/>
  <c r="C379" i="10" s="1"/>
  <c r="D379" i="10" s="1"/>
  <c r="D5" i="10"/>
  <c r="K70" i="5" s="1"/>
  <c r="K70" i="32" s="1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I98" i="32" s="1"/>
  <c r="H98" i="5"/>
  <c r="H98" i="32" s="1"/>
  <c r="G98" i="5"/>
  <c r="G98" i="32" s="1"/>
  <c r="F98" i="5"/>
  <c r="F98" i="32" s="1"/>
  <c r="E98" i="5"/>
  <c r="D98" i="5"/>
  <c r="D98" i="32" s="1"/>
  <c r="C98" i="5"/>
  <c r="C98" i="32" s="1"/>
  <c r="N97" i="5"/>
  <c r="N97" i="32" s="1"/>
  <c r="M97" i="5"/>
  <c r="L97" i="5"/>
  <c r="L97" i="32" s="1"/>
  <c r="K97" i="5"/>
  <c r="J97" i="5"/>
  <c r="J97" i="32" s="1"/>
  <c r="I97" i="5"/>
  <c r="I97" i="32" s="1"/>
  <c r="H97" i="5"/>
  <c r="H97" i="32" s="1"/>
  <c r="G97" i="5"/>
  <c r="F97" i="5"/>
  <c r="E97" i="5"/>
  <c r="E97" i="32" s="1"/>
  <c r="D97" i="5"/>
  <c r="D97" i="32" s="1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H93" i="5"/>
  <c r="H93" i="32" s="1"/>
  <c r="G93" i="5"/>
  <c r="G93" i="32" s="1"/>
  <c r="F93" i="5"/>
  <c r="E93" i="5"/>
  <c r="E93" i="32" s="1"/>
  <c r="D93" i="5"/>
  <c r="D93" i="32" s="1"/>
  <c r="C93" i="5"/>
  <c r="C93" i="32" s="1"/>
  <c r="N92" i="5"/>
  <c r="N92" i="32" s="1"/>
  <c r="M92" i="5"/>
  <c r="M92" i="32" s="1"/>
  <c r="L92" i="5"/>
  <c r="L92" i="32" s="1"/>
  <c r="K92" i="5"/>
  <c r="K92" i="32" s="1"/>
  <c r="J92" i="5"/>
  <c r="I92" i="5"/>
  <c r="I92" i="32" s="1"/>
  <c r="H92" i="5"/>
  <c r="G92" i="5"/>
  <c r="F92" i="5"/>
  <c r="F92" i="32" s="1"/>
  <c r="E92" i="5"/>
  <c r="E92" i="32" s="1"/>
  <c r="D92" i="5"/>
  <c r="D92" i="32" s="1"/>
  <c r="C92" i="5"/>
  <c r="N88" i="5"/>
  <c r="N88" i="32" s="1"/>
  <c r="M88" i="5"/>
  <c r="M88" i="32" s="1"/>
  <c r="L88" i="5"/>
  <c r="L88" i="32" s="1"/>
  <c r="K88" i="5"/>
  <c r="K88" i="32" s="1"/>
  <c r="J88" i="5"/>
  <c r="I88" i="5"/>
  <c r="I88" i="32" s="1"/>
  <c r="H88" i="5"/>
  <c r="H88" i="32" s="1"/>
  <c r="G88" i="5"/>
  <c r="G88" i="32" s="1"/>
  <c r="F88" i="5"/>
  <c r="F88" i="32" s="1"/>
  <c r="E88" i="5"/>
  <c r="E88" i="32" s="1"/>
  <c r="D88" i="5"/>
  <c r="D88" i="32" s="1"/>
  <c r="C88" i="5"/>
  <c r="C88" i="32" s="1"/>
  <c r="N87" i="5"/>
  <c r="N87" i="32" s="1"/>
  <c r="M87" i="5"/>
  <c r="L87" i="5"/>
  <c r="L87" i="32" s="1"/>
  <c r="K87" i="5"/>
  <c r="K87" i="32" s="1"/>
  <c r="J87" i="5"/>
  <c r="J87" i="32" s="1"/>
  <c r="I87" i="5"/>
  <c r="H87" i="5"/>
  <c r="H87" i="32" s="1"/>
  <c r="G87" i="5"/>
  <c r="G87" i="32" s="1"/>
  <c r="F87" i="5"/>
  <c r="E87" i="5"/>
  <c r="E87" i="32" s="1"/>
  <c r="D87" i="5"/>
  <c r="D87" i="32" s="1"/>
  <c r="C87" i="5"/>
  <c r="N74" i="5"/>
  <c r="N74" i="32" s="1"/>
  <c r="M74" i="5"/>
  <c r="M74" i="32" s="1"/>
  <c r="L74" i="5"/>
  <c r="K74" i="5"/>
  <c r="K74" i="32" s="1"/>
  <c r="J74" i="5"/>
  <c r="I74" i="5"/>
  <c r="I74" i="32" s="1"/>
  <c r="H74" i="5"/>
  <c r="H74" i="32" s="1"/>
  <c r="G74" i="5"/>
  <c r="F74" i="5"/>
  <c r="E74" i="5"/>
  <c r="D74" i="5"/>
  <c r="D74" i="32" s="1"/>
  <c r="C74" i="5"/>
  <c r="N68" i="5"/>
  <c r="M68" i="5"/>
  <c r="M68" i="32" s="1"/>
  <c r="L68" i="5"/>
  <c r="L68" i="32" s="1"/>
  <c r="K68" i="5"/>
  <c r="J68" i="5"/>
  <c r="J68" i="32" s="1"/>
  <c r="I68" i="5"/>
  <c r="I68" i="32" s="1"/>
  <c r="H68" i="5"/>
  <c r="G68" i="5"/>
  <c r="F68" i="5"/>
  <c r="F68" i="32" s="1"/>
  <c r="E68" i="5"/>
  <c r="D68" i="5"/>
  <c r="D68" i="32" s="1"/>
  <c r="C68" i="5"/>
  <c r="C68" i="32" s="1"/>
  <c r="Q5" i="10"/>
  <c r="P5" i="10"/>
  <c r="O5" i="10"/>
  <c r="N5" i="10"/>
  <c r="M5" i="10"/>
  <c r="L5" i="10"/>
  <c r="K5" i="10"/>
  <c r="J5" i="10"/>
  <c r="I5" i="10"/>
  <c r="H5" i="10"/>
  <c r="G5" i="10"/>
  <c r="F5" i="10"/>
  <c r="C1" i="5"/>
  <c r="C1" i="32" s="1"/>
  <c r="R25" i="10"/>
  <c r="O88" i="5" s="1"/>
  <c r="R24" i="10"/>
  <c r="O87" i="5" s="1"/>
  <c r="R23" i="10"/>
  <c r="R22" i="10"/>
  <c r="R21" i="10"/>
  <c r="R20" i="10"/>
  <c r="R16" i="10"/>
  <c r="R15" i="10"/>
  <c r="R14" i="10"/>
  <c r="R13" i="10"/>
  <c r="R12" i="10"/>
  <c r="R9" i="10"/>
  <c r="R8" i="10"/>
  <c r="C5" i="10"/>
  <c r="B2" i="5" s="1"/>
  <c r="B2" i="32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C161" i="10"/>
  <c r="D161" i="10" s="1"/>
  <c r="C881" i="10"/>
  <c r="D881" i="10" s="1"/>
  <c r="C51" i="10" l="1"/>
  <c r="D51" i="10" s="1"/>
  <c r="C52" i="10"/>
  <c r="D52" i="10" s="1"/>
  <c r="C97" i="10"/>
  <c r="D97" i="10" s="1"/>
  <c r="C117" i="10"/>
  <c r="D117" i="10" s="1"/>
  <c r="D1" i="21"/>
  <c r="C342" i="10"/>
  <c r="D342" i="10" s="1"/>
  <c r="C57" i="10"/>
  <c r="D57" i="10" s="1"/>
  <c r="N69" i="5"/>
  <c r="N69" i="32" s="1"/>
  <c r="M76" i="5"/>
  <c r="M76" i="32" s="1"/>
  <c r="G69" i="5"/>
  <c r="G69" i="32" s="1"/>
  <c r="J77" i="5"/>
  <c r="J77" i="32" s="1"/>
  <c r="D78" i="5"/>
  <c r="D78" i="32" s="1"/>
  <c r="M72" i="5"/>
  <c r="M72" i="32" s="1"/>
  <c r="L75" i="5"/>
  <c r="E76" i="5"/>
  <c r="E76" i="32" s="1"/>
  <c r="O78" i="5"/>
  <c r="H70" i="5"/>
  <c r="H70" i="32" s="1"/>
  <c r="I76" i="5"/>
  <c r="I76" i="32" s="1"/>
  <c r="L71" i="5"/>
  <c r="L71" i="32" s="1"/>
  <c r="J72" i="5"/>
  <c r="J72" i="32" s="1"/>
  <c r="G78" i="5"/>
  <c r="G78" i="32" s="1"/>
  <c r="G71" i="5"/>
  <c r="G71" i="32" s="1"/>
  <c r="G76" i="5"/>
  <c r="G76" i="32" s="1"/>
  <c r="C72" i="5"/>
  <c r="C72" i="32" s="1"/>
  <c r="C71" i="5"/>
  <c r="F71" i="5"/>
  <c r="F71" i="32" s="1"/>
  <c r="K78" i="5"/>
  <c r="J78" i="5"/>
  <c r="J78" i="32" s="1"/>
  <c r="C78" i="5"/>
  <c r="C78" i="32" s="1"/>
  <c r="H76" i="5"/>
  <c r="H76" i="32" s="1"/>
  <c r="J70" i="5"/>
  <c r="J70" i="32" s="1"/>
  <c r="C70" i="5"/>
  <c r="C70" i="32" s="1"/>
  <c r="O70" i="5"/>
  <c r="M71" i="5"/>
  <c r="M71" i="32" s="1"/>
  <c r="K71" i="5"/>
  <c r="K71" i="32" s="1"/>
  <c r="D72" i="5"/>
  <c r="D72" i="32" s="1"/>
  <c r="N71" i="5"/>
  <c r="N71" i="32" s="1"/>
  <c r="E71" i="5"/>
  <c r="E71" i="32" s="1"/>
  <c r="F70" i="5"/>
  <c r="F70" i="32" s="1"/>
  <c r="N76" i="5"/>
  <c r="N76" i="32" s="1"/>
  <c r="D77" i="5"/>
  <c r="D77" i="32" s="1"/>
  <c r="C76" i="5"/>
  <c r="C76" i="32" s="1"/>
  <c r="H71" i="5"/>
  <c r="F72" i="5"/>
  <c r="F72" i="32" s="1"/>
  <c r="M77" i="5"/>
  <c r="M77" i="32" s="1"/>
  <c r="L76" i="5"/>
  <c r="L76" i="32" s="1"/>
  <c r="J75" i="5"/>
  <c r="J75" i="32" s="1"/>
  <c r="D71" i="5"/>
  <c r="D71" i="32" s="1"/>
  <c r="L77" i="5"/>
  <c r="L77" i="32" s="1"/>
  <c r="N72" i="5"/>
  <c r="N72" i="32" s="1"/>
  <c r="O76" i="5"/>
  <c r="H77" i="5"/>
  <c r="H77" i="32" s="1"/>
  <c r="G70" i="5"/>
  <c r="G70" i="32" s="1"/>
  <c r="I78" i="5"/>
  <c r="I78" i="32" s="1"/>
  <c r="I72" i="5"/>
  <c r="I72" i="32" s="1"/>
  <c r="N77" i="5"/>
  <c r="N77" i="32" s="1"/>
  <c r="G72" i="5"/>
  <c r="G72" i="32" s="1"/>
  <c r="F77" i="5"/>
  <c r="F77" i="32" s="1"/>
  <c r="K72" i="5"/>
  <c r="K72" i="32" s="1"/>
  <c r="M70" i="5"/>
  <c r="M70" i="32" s="1"/>
  <c r="O71" i="5"/>
  <c r="E78" i="5"/>
  <c r="E78" i="32" s="1"/>
  <c r="E70" i="5"/>
  <c r="E70" i="32" s="1"/>
  <c r="K76" i="5"/>
  <c r="K76" i="32" s="1"/>
  <c r="J71" i="5"/>
  <c r="J71" i="32" s="1"/>
  <c r="L70" i="5"/>
  <c r="L70" i="32" s="1"/>
  <c r="F76" i="5"/>
  <c r="F76" i="32" s="1"/>
  <c r="G77" i="5"/>
  <c r="G77" i="32" s="1"/>
  <c r="N70" i="5"/>
  <c r="N70" i="32" s="1"/>
  <c r="N78" i="5"/>
  <c r="N78" i="32" s="1"/>
  <c r="F78" i="5"/>
  <c r="F78" i="32" s="1"/>
  <c r="C77" i="5"/>
  <c r="C77" i="32" s="1"/>
  <c r="J76" i="5"/>
  <c r="J76" i="32" s="1"/>
  <c r="D76" i="5"/>
  <c r="D76" i="32" s="1"/>
  <c r="I70" i="5"/>
  <c r="I70" i="32" s="1"/>
  <c r="I77" i="5"/>
  <c r="I77" i="32" s="1"/>
  <c r="E72" i="5"/>
  <c r="E72" i="32" s="1"/>
  <c r="M78" i="5"/>
  <c r="M78" i="32" s="1"/>
  <c r="O72" i="5"/>
  <c r="F75" i="5"/>
  <c r="F75" i="32" s="1"/>
  <c r="H72" i="5"/>
  <c r="H72" i="32" s="1"/>
  <c r="O77" i="5"/>
  <c r="D70" i="5"/>
  <c r="D70" i="32" s="1"/>
  <c r="L72" i="5"/>
  <c r="L72" i="32" s="1"/>
  <c r="L78" i="5"/>
  <c r="L78" i="32" s="1"/>
  <c r="K77" i="5"/>
  <c r="K77" i="32" s="1"/>
  <c r="C369" i="10"/>
  <c r="D369" i="10" s="1"/>
  <c r="K69" i="5"/>
  <c r="K69" i="32" s="1"/>
  <c r="G75" i="5"/>
  <c r="G75" i="32" s="1"/>
  <c r="C901" i="10"/>
  <c r="D901" i="10" s="1"/>
  <c r="E77" i="5"/>
  <c r="E77" i="32" s="1"/>
  <c r="I71" i="5"/>
  <c r="I71" i="32" s="1"/>
  <c r="H78" i="5"/>
  <c r="H78" i="32" s="1"/>
  <c r="E69" i="5"/>
  <c r="E69" i="32" s="1"/>
  <c r="C994" i="10"/>
  <c r="D994" i="10" s="1"/>
  <c r="C987" i="10"/>
  <c r="D987" i="10" s="1"/>
  <c r="C650" i="10"/>
  <c r="D650" i="10" s="1"/>
  <c r="C452" i="10"/>
  <c r="D452" i="10" s="1"/>
  <c r="C123" i="10"/>
  <c r="D123" i="10" s="1"/>
  <c r="C777" i="10"/>
  <c r="D777" i="10" s="1"/>
  <c r="C221" i="10"/>
  <c r="D221" i="10" s="1"/>
  <c r="C230" i="10"/>
  <c r="D230" i="10" s="1"/>
  <c r="C991" i="10"/>
  <c r="D991" i="10" s="1"/>
  <c r="C993" i="10"/>
  <c r="D993" i="10" s="1"/>
  <c r="C95" i="10"/>
  <c r="D95" i="10" s="1"/>
  <c r="C432" i="10"/>
  <c r="D432" i="10" s="1"/>
  <c r="J94" i="5"/>
  <c r="J99" i="32"/>
  <c r="O92" i="5"/>
  <c r="O97" i="5"/>
  <c r="K89" i="32"/>
  <c r="C94" i="5"/>
  <c r="K94" i="32"/>
  <c r="C99" i="32"/>
  <c r="D99" i="32"/>
  <c r="M75" i="5"/>
  <c r="M75" i="32" s="1"/>
  <c r="L69" i="5"/>
  <c r="L69" i="32" s="1"/>
  <c r="H75" i="5"/>
  <c r="H75" i="32" s="1"/>
  <c r="D69" i="5"/>
  <c r="D69" i="32" s="1"/>
  <c r="J69" i="5"/>
  <c r="J69" i="32" s="1"/>
  <c r="N75" i="5"/>
  <c r="N75" i="32" s="1"/>
  <c r="M89" i="5"/>
  <c r="F74" i="32"/>
  <c r="D89" i="5"/>
  <c r="H89" i="32"/>
  <c r="G74" i="32"/>
  <c r="K68" i="32"/>
  <c r="C69" i="5"/>
  <c r="C69" i="32" s="1"/>
  <c r="G89" i="32"/>
  <c r="J74" i="32"/>
  <c r="R28" i="10"/>
  <c r="M69" i="5"/>
  <c r="M69" i="32" s="1"/>
  <c r="L89" i="32"/>
  <c r="D89" i="32"/>
  <c r="L89" i="5"/>
  <c r="N89" i="5"/>
  <c r="F69" i="5"/>
  <c r="F69" i="32" s="1"/>
  <c r="E68" i="32"/>
  <c r="I69" i="5"/>
  <c r="I69" i="32" s="1"/>
  <c r="G68" i="32"/>
  <c r="N89" i="32"/>
  <c r="O98" i="5"/>
  <c r="J99" i="5"/>
  <c r="D75" i="5"/>
  <c r="D75" i="32" s="1"/>
  <c r="M87" i="32"/>
  <c r="M89" i="32" s="1"/>
  <c r="K89" i="5"/>
  <c r="O93" i="5"/>
  <c r="G89" i="5"/>
  <c r="L94" i="32"/>
  <c r="D99" i="5"/>
  <c r="E89" i="5"/>
  <c r="H89" i="5"/>
  <c r="E94" i="32"/>
  <c r="M99" i="5"/>
  <c r="R29" i="10"/>
  <c r="R5" i="10" s="1"/>
  <c r="K75" i="5"/>
  <c r="K75" i="32" s="1"/>
  <c r="N68" i="32"/>
  <c r="E89" i="32"/>
  <c r="N94" i="5"/>
  <c r="F99" i="5"/>
  <c r="N99" i="5"/>
  <c r="I75" i="5"/>
  <c r="I75" i="32" s="1"/>
  <c r="J92" i="32"/>
  <c r="J94" i="32" s="1"/>
  <c r="N94" i="32"/>
  <c r="O68" i="5"/>
  <c r="O69" i="5" s="1"/>
  <c r="C89" i="5"/>
  <c r="C87" i="32"/>
  <c r="C514" i="10"/>
  <c r="D514" i="10" s="1"/>
  <c r="C71" i="32"/>
  <c r="C311" i="10"/>
  <c r="D311" i="10" s="1"/>
  <c r="C942" i="10"/>
  <c r="D942" i="10" s="1"/>
  <c r="C635" i="10"/>
  <c r="D635" i="10" s="1"/>
  <c r="C224" i="10"/>
  <c r="D224" i="10" s="1"/>
  <c r="C235" i="10"/>
  <c r="D235" i="10" s="1"/>
  <c r="J88" i="32"/>
  <c r="J89" i="32" s="1"/>
  <c r="J89" i="5"/>
  <c r="C196" i="10"/>
  <c r="D196" i="10" s="1"/>
  <c r="C930" i="10"/>
  <c r="D930" i="10" s="1"/>
  <c r="C767" i="10"/>
  <c r="D767" i="10" s="1"/>
  <c r="C962" i="10"/>
  <c r="D962" i="10" s="1"/>
  <c r="C382" i="10"/>
  <c r="D382" i="10" s="1"/>
  <c r="C440" i="10"/>
  <c r="D440" i="10" s="1"/>
  <c r="C281" i="10"/>
  <c r="D281" i="10" s="1"/>
  <c r="C912" i="10"/>
  <c r="D912" i="10" s="1"/>
  <c r="C627" i="10"/>
  <c r="D627" i="10" s="1"/>
  <c r="C439" i="10"/>
  <c r="D439" i="10" s="1"/>
  <c r="C612" i="10"/>
  <c r="D612" i="10" s="1"/>
  <c r="C232" i="10"/>
  <c r="D232" i="10" s="1"/>
  <c r="C555" i="10"/>
  <c r="D555" i="10" s="1"/>
  <c r="C356" i="10"/>
  <c r="D356" i="10" s="1"/>
  <c r="R26" i="10"/>
  <c r="H68" i="32"/>
  <c r="H69" i="5"/>
  <c r="H69" i="32" s="1"/>
  <c r="C75" i="5"/>
  <c r="C75" i="32" s="1"/>
  <c r="C74" i="32"/>
  <c r="E75" i="5"/>
  <c r="E75" i="32" s="1"/>
  <c r="E74" i="32"/>
  <c r="F89" i="5"/>
  <c r="F87" i="32"/>
  <c r="F89" i="32" s="1"/>
  <c r="C331" i="10"/>
  <c r="D331" i="10" s="1"/>
  <c r="C219" i="10"/>
  <c r="D219" i="10" s="1"/>
  <c r="C606" i="10"/>
  <c r="D606" i="10" s="1"/>
  <c r="C273" i="10"/>
  <c r="D273" i="10" s="1"/>
  <c r="C755" i="10"/>
  <c r="D755" i="10" s="1"/>
  <c r="C557" i="10"/>
  <c r="D557" i="10" s="1"/>
  <c r="C760" i="10"/>
  <c r="D760" i="10" s="1"/>
  <c r="C543" i="10"/>
  <c r="D543" i="10" s="1"/>
  <c r="C599" i="10"/>
  <c r="D599" i="10" s="1"/>
  <c r="C314" i="10"/>
  <c r="D314" i="10" s="1"/>
  <c r="C524" i="10"/>
  <c r="D524" i="10" s="1"/>
  <c r="C187" i="10"/>
  <c r="D187" i="10" s="1"/>
  <c r="C762" i="10"/>
  <c r="D762" i="10" s="1"/>
  <c r="C966" i="10"/>
  <c r="D966" i="10" s="1"/>
  <c r="C364" i="10"/>
  <c r="D364" i="10" s="1"/>
  <c r="C695" i="10"/>
  <c r="D695" i="10" s="1"/>
  <c r="C587" i="10"/>
  <c r="D587" i="10" s="1"/>
  <c r="C1003" i="10"/>
  <c r="D1003" i="10" s="1"/>
  <c r="C806" i="10"/>
  <c r="D806" i="10" s="1"/>
  <c r="C341" i="10"/>
  <c r="D341" i="10" s="1"/>
  <c r="C820" i="10"/>
  <c r="D820" i="10" s="1"/>
  <c r="C843" i="10"/>
  <c r="D843" i="10" s="1"/>
  <c r="C411" i="10"/>
  <c r="D411" i="10" s="1"/>
  <c r="C580" i="10"/>
  <c r="D580" i="10" s="1"/>
  <c r="C304" i="10"/>
  <c r="D304" i="10" s="1"/>
  <c r="C468" i="10"/>
  <c r="D468" i="10" s="1"/>
  <c r="C597" i="10"/>
  <c r="D597" i="10" s="1"/>
  <c r="C166" i="10"/>
  <c r="D166" i="10" s="1"/>
  <c r="L74" i="32"/>
  <c r="C305" i="10"/>
  <c r="D305" i="10" s="1"/>
  <c r="C333" i="10"/>
  <c r="D333" i="10" s="1"/>
  <c r="C360" i="10"/>
  <c r="D360" i="10" s="1"/>
  <c r="C68" i="10"/>
  <c r="D68" i="10" s="1"/>
  <c r="C138" i="10"/>
  <c r="D138" i="10" s="1"/>
  <c r="C139" i="10"/>
  <c r="D139" i="10" s="1"/>
  <c r="C785" i="10"/>
  <c r="D785" i="10" s="1"/>
  <c r="C176" i="10"/>
  <c r="D176" i="10" s="1"/>
  <c r="C330" i="10"/>
  <c r="D330" i="10" s="1"/>
  <c r="C794" i="10"/>
  <c r="D794" i="10" s="1"/>
  <c r="C746" i="10"/>
  <c r="D746" i="10" s="1"/>
  <c r="C690" i="10"/>
  <c r="D690" i="10" s="1"/>
  <c r="C407" i="10"/>
  <c r="D407" i="10" s="1"/>
  <c r="C988" i="10"/>
  <c r="D988" i="10" s="1"/>
  <c r="O74" i="5"/>
  <c r="O75" i="5" s="1"/>
  <c r="O89" i="5"/>
  <c r="R27" i="10"/>
  <c r="I87" i="32"/>
  <c r="I89" i="32" s="1"/>
  <c r="I89" i="5"/>
  <c r="C885" i="10"/>
  <c r="D885" i="10" s="1"/>
  <c r="C157" i="10"/>
  <c r="D157" i="10" s="1"/>
  <c r="C249" i="10"/>
  <c r="D249" i="10" s="1"/>
  <c r="C399" i="10"/>
  <c r="D399" i="10" s="1"/>
  <c r="C153" i="10"/>
  <c r="D153" i="10" s="1"/>
  <c r="C83" i="10"/>
  <c r="D83" i="10" s="1"/>
  <c r="C981" i="10"/>
  <c r="D981" i="10" s="1"/>
  <c r="C679" i="10"/>
  <c r="D679" i="10" s="1"/>
  <c r="C73" i="10"/>
  <c r="D73" i="10" s="1"/>
  <c r="C101" i="10"/>
  <c r="D101" i="10" s="1"/>
  <c r="C992" i="10"/>
  <c r="D992" i="10" s="1"/>
  <c r="C146" i="10"/>
  <c r="D146" i="10" s="1"/>
  <c r="C998" i="10"/>
  <c r="D998" i="10" s="1"/>
  <c r="C571" i="10"/>
  <c r="D571" i="10" s="1"/>
  <c r="C259" i="10"/>
  <c r="D259" i="10" s="1"/>
  <c r="C67" i="10"/>
  <c r="D67" i="10" s="1"/>
  <c r="C431" i="10"/>
  <c r="D431" i="10" s="1"/>
  <c r="C693" i="10"/>
  <c r="D693" i="10" s="1"/>
  <c r="C416" i="10"/>
  <c r="D416" i="10" s="1"/>
  <c r="C549" i="10"/>
  <c r="D549" i="10" s="1"/>
  <c r="C747" i="10"/>
  <c r="D747" i="10" s="1"/>
  <c r="C359" i="10"/>
  <c r="D359" i="10" s="1"/>
  <c r="C636" i="10"/>
  <c r="D636" i="10" s="1"/>
  <c r="C386" i="10"/>
  <c r="D386" i="10" s="1"/>
  <c r="C552" i="10"/>
  <c r="D552" i="10" s="1"/>
  <c r="C429" i="10"/>
  <c r="D429" i="10" s="1"/>
  <c r="C513" i="10"/>
  <c r="D513" i="10" s="1"/>
  <c r="C270" i="10"/>
  <c r="D270" i="10" s="1"/>
  <c r="C430" i="10"/>
  <c r="D430" i="10" s="1"/>
  <c r="C646" i="10"/>
  <c r="D646" i="10" s="1"/>
  <c r="C121" i="10"/>
  <c r="D121" i="10" s="1"/>
  <c r="C400" i="10"/>
  <c r="D400" i="10" s="1"/>
  <c r="C42" i="10"/>
  <c r="D42" i="10" s="1"/>
  <c r="C691" i="10"/>
  <c r="D691" i="10" s="1"/>
  <c r="C911" i="10"/>
  <c r="D911" i="10" s="1"/>
  <c r="C367" i="10"/>
  <c r="D367" i="10" s="1"/>
  <c r="C469" i="10"/>
  <c r="D469" i="10" s="1"/>
  <c r="C415" i="10"/>
  <c r="D415" i="10" s="1"/>
  <c r="C724" i="10"/>
  <c r="D724" i="10" s="1"/>
  <c r="C102" i="10"/>
  <c r="D102" i="10" s="1"/>
  <c r="C355" i="10"/>
  <c r="D355" i="10" s="1"/>
  <c r="C614" i="10"/>
  <c r="D614" i="10" s="1"/>
  <c r="C550" i="10"/>
  <c r="D550" i="10" s="1"/>
  <c r="C814" i="10"/>
  <c r="D814" i="10" s="1"/>
  <c r="C291" i="10"/>
  <c r="D291" i="10" s="1"/>
  <c r="C870" i="10"/>
  <c r="D870" i="10" s="1"/>
  <c r="C213" i="10"/>
  <c r="D213" i="10" s="1"/>
  <c r="C789" i="10"/>
  <c r="D789" i="10" s="1"/>
  <c r="C582" i="10"/>
  <c r="D582" i="10" s="1"/>
  <c r="C81" i="10"/>
  <c r="D81" i="10" s="1"/>
  <c r="C944" i="10"/>
  <c r="D944" i="10" s="1"/>
  <c r="C317" i="10"/>
  <c r="D317" i="10" s="1"/>
  <c r="C211" i="10"/>
  <c r="D211" i="10" s="1"/>
  <c r="C816" i="10"/>
  <c r="D816" i="10" s="1"/>
  <c r="C337" i="10"/>
  <c r="D337" i="10" s="1"/>
  <c r="C700" i="10"/>
  <c r="D700" i="10" s="1"/>
  <c r="C59" i="10"/>
  <c r="D59" i="10" s="1"/>
  <c r="C460" i="10"/>
  <c r="D460" i="10" s="1"/>
  <c r="C800" i="10"/>
  <c r="D800" i="10" s="1"/>
  <c r="C427" i="10"/>
  <c r="D427" i="10" s="1"/>
  <c r="C568" i="10"/>
  <c r="D568" i="10" s="1"/>
  <c r="C65" i="10"/>
  <c r="D65" i="10" s="1"/>
  <c r="C397" i="10"/>
  <c r="D397" i="10" s="1"/>
  <c r="C717" i="10"/>
  <c r="D717" i="10" s="1"/>
  <c r="C398" i="10"/>
  <c r="D398" i="10" s="1"/>
  <c r="C573" i="10"/>
  <c r="D573" i="10" s="1"/>
  <c r="C917" i="10"/>
  <c r="D917" i="10" s="1"/>
  <c r="C739" i="10"/>
  <c r="D739" i="10" s="1"/>
  <c r="C278" i="10"/>
  <c r="D278" i="10" s="1"/>
  <c r="C462" i="10"/>
  <c r="D462" i="10" s="1"/>
  <c r="C682" i="10"/>
  <c r="D682" i="10" s="1"/>
  <c r="C186" i="10"/>
  <c r="D186" i="10" s="1"/>
  <c r="C358" i="10"/>
  <c r="D358" i="10" s="1"/>
  <c r="C63" i="10"/>
  <c r="D63" i="10" s="1"/>
  <c r="C500" i="10"/>
  <c r="D500" i="10" s="1"/>
  <c r="C94" i="10"/>
  <c r="D94" i="10" s="1"/>
  <c r="C426" i="10"/>
  <c r="D426" i="10" s="1"/>
  <c r="C32" i="10"/>
  <c r="D32" i="10" s="1"/>
  <c r="C663" i="10"/>
  <c r="D663" i="10" s="1"/>
  <c r="G92" i="32"/>
  <c r="G94" i="32" s="1"/>
  <c r="G94" i="5"/>
  <c r="G97" i="32"/>
  <c r="G99" i="32" s="1"/>
  <c r="G99" i="5"/>
  <c r="C343" i="10"/>
  <c r="D343" i="10" s="1"/>
  <c r="C410" i="10"/>
  <c r="D410" i="10" s="1"/>
  <c r="C78" i="10"/>
  <c r="D78" i="10" s="1"/>
  <c r="C71" i="10"/>
  <c r="D71" i="10" s="1"/>
  <c r="C731" i="10"/>
  <c r="D731" i="10" s="1"/>
  <c r="C703" i="10"/>
  <c r="D703" i="10" s="1"/>
  <c r="C99" i="10"/>
  <c r="D99" i="10" s="1"/>
  <c r="C929" i="10"/>
  <c r="D929" i="10" s="1"/>
  <c r="C924" i="10"/>
  <c r="D924" i="10" s="1"/>
  <c r="C969" i="10"/>
  <c r="D969" i="10" s="1"/>
  <c r="C464" i="10"/>
  <c r="D464" i="10" s="1"/>
  <c r="C772" i="10"/>
  <c r="D772" i="10" s="1"/>
  <c r="C667" i="10"/>
  <c r="D667" i="10" s="1"/>
  <c r="C833" i="10"/>
  <c r="D833" i="10" s="1"/>
  <c r="C34" i="10"/>
  <c r="D34" i="10" s="1"/>
  <c r="C706" i="10"/>
  <c r="D706" i="10" s="1"/>
  <c r="C631" i="10"/>
  <c r="D631" i="10" s="1"/>
  <c r="C680" i="10"/>
  <c r="D680" i="10" s="1"/>
  <c r="C761" i="10"/>
  <c r="D761" i="10" s="1"/>
  <c r="C949" i="10"/>
  <c r="D949" i="10" s="1"/>
  <c r="C727" i="10"/>
  <c r="D727" i="10" s="1"/>
  <c r="C251" i="10"/>
  <c r="D251" i="10" s="1"/>
  <c r="C209" i="10"/>
  <c r="D209" i="10" s="1"/>
  <c r="C686" i="10"/>
  <c r="D686" i="10" s="1"/>
  <c r="C134" i="10"/>
  <c r="D134" i="10" s="1"/>
  <c r="C253" i="10"/>
  <c r="D253" i="10" s="1"/>
  <c r="C602" i="10"/>
  <c r="D602" i="10" s="1"/>
  <c r="C837" i="10"/>
  <c r="D837" i="10" s="1"/>
  <c r="C935" i="10"/>
  <c r="D935" i="10" s="1"/>
  <c r="C289" i="10"/>
  <c r="D289" i="10" s="1"/>
  <c r="C754" i="10"/>
  <c r="D754" i="10" s="1"/>
  <c r="C228" i="10"/>
  <c r="D228" i="10" s="1"/>
  <c r="C403" i="10"/>
  <c r="D403" i="10" s="1"/>
  <c r="C288" i="10"/>
  <c r="D288" i="10" s="1"/>
  <c r="C487" i="10"/>
  <c r="D487" i="10" s="1"/>
  <c r="C720" i="10"/>
  <c r="D720" i="10" s="1"/>
  <c r="C637" i="10"/>
  <c r="D637" i="10" s="1"/>
  <c r="C769" i="10"/>
  <c r="D769" i="10" s="1"/>
  <c r="C377" i="10"/>
  <c r="D377" i="10" s="1"/>
  <c r="C928" i="10"/>
  <c r="D928" i="10" s="1"/>
  <c r="C707" i="10"/>
  <c r="D707" i="10" s="1"/>
  <c r="C111" i="10"/>
  <c r="D111" i="10" s="1"/>
  <c r="C861" i="10"/>
  <c r="D861" i="10" s="1"/>
  <c r="C719" i="10"/>
  <c r="D719" i="10" s="1"/>
  <c r="C160" i="10"/>
  <c r="D160" i="10" s="1"/>
  <c r="C66" i="10"/>
  <c r="D66" i="10" s="1"/>
  <c r="C518" i="10"/>
  <c r="D518" i="10" s="1"/>
  <c r="C876" i="10"/>
  <c r="D876" i="10" s="1"/>
  <c r="C723" i="10"/>
  <c r="D723" i="10" s="1"/>
  <c r="C237" i="10"/>
  <c r="D237" i="10" s="1"/>
  <c r="C588" i="10"/>
  <c r="D588" i="10" s="1"/>
  <c r="C200" i="10"/>
  <c r="D200" i="10" s="1"/>
  <c r="C674" i="10"/>
  <c r="D674" i="10" s="1"/>
  <c r="C264" i="10"/>
  <c r="D264" i="10" s="1"/>
  <c r="C438" i="10"/>
  <c r="D438" i="10" s="1"/>
  <c r="C618" i="10"/>
  <c r="D618" i="10" s="1"/>
  <c r="C677" i="10"/>
  <c r="D677" i="10" s="1"/>
  <c r="C774" i="10"/>
  <c r="D774" i="10" s="1"/>
  <c r="C507" i="10"/>
  <c r="D507" i="10" s="1"/>
  <c r="C202" i="10"/>
  <c r="D202" i="10" s="1"/>
  <c r="C715" i="10"/>
  <c r="D715" i="10" s="1"/>
  <c r="C972" i="10"/>
  <c r="D972" i="10" s="1"/>
  <c r="C791" i="10"/>
  <c r="D791" i="10" s="1"/>
  <c r="C448" i="10"/>
  <c r="D448" i="10" s="1"/>
  <c r="C41" i="10"/>
  <c r="D41" i="10" s="1"/>
  <c r="C135" i="10"/>
  <c r="D135" i="10" s="1"/>
  <c r="C946" i="10"/>
  <c r="D946" i="10" s="1"/>
  <c r="C902" i="10"/>
  <c r="D902" i="10" s="1"/>
  <c r="C795" i="10"/>
  <c r="D795" i="10" s="1"/>
  <c r="C975" i="10"/>
  <c r="D975" i="10" s="1"/>
  <c r="C172" i="10"/>
  <c r="D172" i="10" s="1"/>
  <c r="C140" i="10"/>
  <c r="D140" i="10" s="1"/>
  <c r="C85" i="10"/>
  <c r="D85" i="10" s="1"/>
  <c r="C127" i="10"/>
  <c r="D127" i="10" s="1"/>
  <c r="C607" i="10"/>
  <c r="D607" i="10" s="1"/>
  <c r="C541" i="10"/>
  <c r="D541" i="10" s="1"/>
  <c r="C576" i="10"/>
  <c r="D576" i="10" s="1"/>
  <c r="C884" i="10"/>
  <c r="D884" i="10" s="1"/>
  <c r="C716" i="10"/>
  <c r="D716" i="10" s="1"/>
  <c r="C918" i="10"/>
  <c r="D918" i="10" s="1"/>
  <c r="C808" i="10"/>
  <c r="D808" i="10" s="1"/>
  <c r="C827" i="10"/>
  <c r="D827" i="10" s="1"/>
  <c r="C871" i="10"/>
  <c r="D871" i="10" s="1"/>
  <c r="C730" i="10"/>
  <c r="D730" i="10" s="1"/>
  <c r="C323" i="10"/>
  <c r="D323" i="10" s="1"/>
  <c r="C195" i="10"/>
  <c r="D195" i="10" s="1"/>
  <c r="C1000" i="10"/>
  <c r="D1000" i="10" s="1"/>
  <c r="C535" i="10"/>
  <c r="D535" i="10" s="1"/>
  <c r="C705" i="10"/>
  <c r="D705" i="10" s="1"/>
  <c r="C788" i="10"/>
  <c r="D788" i="10" s="1"/>
  <c r="C405" i="10"/>
  <c r="D405" i="10" s="1"/>
  <c r="C834" i="10"/>
  <c r="D834" i="10" s="1"/>
  <c r="C556" i="10"/>
  <c r="D556" i="10" s="1"/>
  <c r="C79" i="10"/>
  <c r="D79" i="10" s="1"/>
  <c r="C909" i="10"/>
  <c r="D909" i="10" s="1"/>
  <c r="C783" i="10"/>
  <c r="D783" i="10" s="1"/>
  <c r="C191" i="10"/>
  <c r="D191" i="10" s="1"/>
  <c r="C120" i="10"/>
  <c r="D120" i="10" s="1"/>
  <c r="C345" i="10"/>
  <c r="D345" i="10" s="1"/>
  <c r="C776" i="10"/>
  <c r="D776" i="10" s="1"/>
  <c r="C923" i="10"/>
  <c r="D923" i="10" s="1"/>
  <c r="C80" i="10"/>
  <c r="D80" i="10" s="1"/>
  <c r="C393" i="10"/>
  <c r="D393" i="10" s="1"/>
  <c r="C89" i="10"/>
  <c r="D89" i="10" s="1"/>
  <c r="C287" i="10"/>
  <c r="D287" i="10" s="1"/>
  <c r="C328" i="10"/>
  <c r="D328" i="10" s="1"/>
  <c r="C598" i="10"/>
  <c r="D598" i="10" s="1"/>
  <c r="C910" i="10"/>
  <c r="D910" i="10" s="1"/>
  <c r="C653" i="10"/>
  <c r="D653" i="10" s="1"/>
  <c r="C713" i="10"/>
  <c r="D713" i="10" s="1"/>
  <c r="C790" i="10"/>
  <c r="D790" i="10" s="1"/>
  <c r="C225" i="10"/>
  <c r="D225" i="10" s="1"/>
  <c r="C1001" i="10"/>
  <c r="D1001" i="10" s="1"/>
  <c r="C538" i="10"/>
  <c r="D538" i="10" s="1"/>
  <c r="C143" i="10"/>
  <c r="D143" i="10" s="1"/>
  <c r="C815" i="10"/>
  <c r="D815" i="10" s="1"/>
  <c r="C144" i="10"/>
  <c r="D144" i="10" s="1"/>
  <c r="C190" i="10"/>
  <c r="D190" i="10" s="1"/>
  <c r="C658" i="10"/>
  <c r="D658" i="10" s="1"/>
  <c r="C961" i="10"/>
  <c r="D961" i="10" s="1"/>
  <c r="C851" i="10"/>
  <c r="D851" i="10" s="1"/>
  <c r="C321" i="10"/>
  <c r="D321" i="10" s="1"/>
  <c r="C104" i="10"/>
  <c r="D104" i="10" s="1"/>
  <c r="C242" i="10"/>
  <c r="D242" i="10" s="1"/>
  <c r="C457" i="10"/>
  <c r="D457" i="10" s="1"/>
  <c r="C306" i="10"/>
  <c r="D306" i="10" s="1"/>
  <c r="C534" i="10"/>
  <c r="D534" i="10" s="1"/>
  <c r="C792" i="10"/>
  <c r="D792" i="10" s="1"/>
  <c r="C625" i="10"/>
  <c r="D625" i="10" s="1"/>
  <c r="C697" i="10"/>
  <c r="D697" i="10" s="1"/>
  <c r="C793" i="10"/>
  <c r="D793" i="10" s="1"/>
  <c r="C437" i="10"/>
  <c r="D437" i="10" s="1"/>
  <c r="C88" i="10"/>
  <c r="D88" i="10" s="1"/>
  <c r="C968" i="10"/>
  <c r="D968" i="10" s="1"/>
  <c r="C927" i="10"/>
  <c r="D927" i="10" s="1"/>
  <c r="C1002" i="10"/>
  <c r="D1002" i="10" s="1"/>
  <c r="C385" i="10"/>
  <c r="D385" i="10" s="1"/>
  <c r="C151" i="10"/>
  <c r="D151" i="10" s="1"/>
  <c r="C898" i="10"/>
  <c r="D898" i="10" s="1"/>
  <c r="C857" i="10"/>
  <c r="D857" i="10" s="1"/>
  <c r="C847" i="10"/>
  <c r="D847" i="10" s="1"/>
  <c r="C215" i="10"/>
  <c r="D215" i="10" s="1"/>
  <c r="C164" i="10"/>
  <c r="D164" i="10" s="1"/>
  <c r="C132" i="10"/>
  <c r="D132" i="10" s="1"/>
  <c r="C45" i="10"/>
  <c r="D45" i="10" s="1"/>
  <c r="C313" i="10"/>
  <c r="D313" i="10" s="1"/>
  <c r="C559" i="10"/>
  <c r="D559" i="10" s="1"/>
  <c r="C812" i="10"/>
  <c r="D812" i="10" s="1"/>
  <c r="C982" i="10"/>
  <c r="D982" i="10" s="1"/>
  <c r="C978" i="10"/>
  <c r="D978" i="10" s="1"/>
  <c r="C883" i="10"/>
  <c r="D883" i="10" s="1"/>
  <c r="C39" i="10"/>
  <c r="D39" i="10" s="1"/>
  <c r="C914" i="10"/>
  <c r="D914" i="10" s="1"/>
  <c r="C461" i="10"/>
  <c r="D461" i="10" s="1"/>
  <c r="C763" i="10"/>
  <c r="D763" i="10" s="1"/>
  <c r="C838" i="10"/>
  <c r="D838" i="10" s="1"/>
  <c r="C244" i="10"/>
  <c r="D244" i="10" s="1"/>
  <c r="C185" i="10"/>
  <c r="D185" i="10" s="1"/>
  <c r="C545" i="10"/>
  <c r="D545" i="10" s="1"/>
  <c r="C615" i="10"/>
  <c r="D615" i="10" s="1"/>
  <c r="C742" i="10"/>
  <c r="D742" i="10" s="1"/>
  <c r="C779" i="10"/>
  <c r="D779" i="10" s="1"/>
  <c r="C865" i="10"/>
  <c r="D865" i="10" s="1"/>
  <c r="C150" i="10"/>
  <c r="D150" i="10" s="1"/>
  <c r="C807" i="10"/>
  <c r="D807" i="10" s="1"/>
  <c r="C561" i="10"/>
  <c r="D561" i="10" s="1"/>
  <c r="C542" i="10"/>
  <c r="D542" i="10" s="1"/>
  <c r="C414" i="10"/>
  <c r="D414" i="10" s="1"/>
  <c r="C621" i="10"/>
  <c r="D621" i="10" s="1"/>
  <c r="C748" i="10"/>
  <c r="D748" i="10" s="1"/>
  <c r="C735" i="10"/>
  <c r="D735" i="10" s="1"/>
  <c r="C182" i="10"/>
  <c r="D182" i="10" s="1"/>
  <c r="C828" i="10"/>
  <c r="D828" i="10" s="1"/>
  <c r="C114" i="10"/>
  <c r="D114" i="10" s="1"/>
  <c r="C1006" i="10"/>
  <c r="D1006" i="10" s="1"/>
  <c r="C60" i="10"/>
  <c r="D60" i="10" s="1"/>
  <c r="C50" i="10"/>
  <c r="D50" i="10" s="1"/>
  <c r="C536" i="10"/>
  <c r="D536" i="10" s="1"/>
  <c r="C641" i="10"/>
  <c r="D641" i="10" s="1"/>
  <c r="C971" i="10"/>
  <c r="D971" i="10" s="1"/>
  <c r="C868" i="10"/>
  <c r="D868" i="10" s="1"/>
  <c r="C301" i="10"/>
  <c r="D301" i="10" s="1"/>
  <c r="C167" i="10"/>
  <c r="D167" i="10" s="1"/>
  <c r="C809" i="10"/>
  <c r="D809" i="10" s="1"/>
  <c r="C203" i="10"/>
  <c r="D203" i="10" s="1"/>
  <c r="C124" i="10"/>
  <c r="D124" i="10" s="1"/>
  <c r="C267" i="10"/>
  <c r="D267" i="10" s="1"/>
  <c r="C609" i="10"/>
  <c r="D609" i="10" s="1"/>
  <c r="C897" i="10"/>
  <c r="D897" i="10" s="1"/>
  <c r="C936" i="10"/>
  <c r="D936" i="10" s="1"/>
  <c r="C947" i="10"/>
  <c r="D947" i="10" s="1"/>
  <c r="C257" i="10"/>
  <c r="D257" i="10" s="1"/>
  <c r="C434" i="10"/>
  <c r="D434" i="10" s="1"/>
  <c r="C570" i="10"/>
  <c r="D570" i="10" s="1"/>
  <c r="C87" i="10"/>
  <c r="D87" i="10" s="1"/>
  <c r="C216" i="10"/>
  <c r="D216" i="10" s="1"/>
  <c r="C303" i="10"/>
  <c r="D303" i="10" s="1"/>
  <c r="C574" i="10"/>
  <c r="D574" i="10" s="1"/>
  <c r="C577" i="10"/>
  <c r="D577" i="10" s="1"/>
  <c r="C296" i="10"/>
  <c r="D296" i="10" s="1"/>
  <c r="C378" i="10"/>
  <c r="D378" i="10" s="1"/>
  <c r="C459" i="10"/>
  <c r="D459" i="10" s="1"/>
  <c r="C778" i="10"/>
  <c r="D778" i="10" s="1"/>
  <c r="C652" i="10"/>
  <c r="D652" i="10" s="1"/>
  <c r="C896" i="10"/>
  <c r="D896" i="10" s="1"/>
  <c r="C970" i="10"/>
  <c r="D970" i="10" s="1"/>
  <c r="C860" i="10"/>
  <c r="D860" i="10" s="1"/>
  <c r="C481" i="10"/>
  <c r="D481" i="10" s="1"/>
  <c r="C133" i="10"/>
  <c r="D133" i="10" s="1"/>
  <c r="C895" i="10"/>
  <c r="D895" i="10" s="1"/>
  <c r="C781" i="10"/>
  <c r="D781" i="10" s="1"/>
  <c r="C624" i="10"/>
  <c r="D624" i="10" s="1"/>
  <c r="C544" i="10"/>
  <c r="D544" i="10" s="1"/>
  <c r="C26" i="10"/>
  <c r="D26" i="10" s="1"/>
  <c r="C601" i="10"/>
  <c r="D601" i="10" s="1"/>
  <c r="C519" i="10"/>
  <c r="D519" i="10" s="1"/>
  <c r="C446" i="10"/>
  <c r="D446" i="10" s="1"/>
  <c r="C380" i="10"/>
  <c r="D380" i="10" s="1"/>
  <c r="C348" i="10"/>
  <c r="D348" i="10" s="1"/>
  <c r="C318" i="10"/>
  <c r="D318" i="10" s="1"/>
  <c r="C286" i="10"/>
  <c r="D286" i="10" s="1"/>
  <c r="C254" i="10"/>
  <c r="D254" i="10" s="1"/>
  <c r="C610" i="10"/>
  <c r="D610" i="10" s="1"/>
  <c r="C506" i="10"/>
  <c r="D506" i="10" s="1"/>
  <c r="C395" i="10"/>
  <c r="D395" i="10" s="1"/>
  <c r="C611" i="10"/>
  <c r="D611" i="10" s="1"/>
  <c r="C227" i="10"/>
  <c r="D227" i="10" s="1"/>
  <c r="C977" i="10"/>
  <c r="D977" i="10" s="1"/>
  <c r="C531" i="10"/>
  <c r="D531" i="10" s="1"/>
  <c r="C873" i="10"/>
  <c r="D873" i="10" s="1"/>
  <c r="C428" i="10"/>
  <c r="D428" i="10" s="1"/>
  <c r="C476" i="10"/>
  <c r="D476" i="10" s="1"/>
  <c r="C245" i="10"/>
  <c r="D245" i="10" s="1"/>
  <c r="C226" i="10"/>
  <c r="D226" i="10" s="1"/>
  <c r="C158" i="10"/>
  <c r="D158" i="10" s="1"/>
  <c r="C678" i="10"/>
  <c r="D678" i="10" s="1"/>
  <c r="C122" i="10"/>
  <c r="D122" i="10" s="1"/>
  <c r="C284" i="10"/>
  <c r="D284" i="10" s="1"/>
  <c r="C647" i="10"/>
  <c r="D647" i="10" s="1"/>
  <c r="C824" i="10"/>
  <c r="D824" i="10" s="1"/>
  <c r="C886" i="10"/>
  <c r="D886" i="10" s="1"/>
  <c r="C131" i="10"/>
  <c r="D131" i="10" s="1"/>
  <c r="C891" i="10"/>
  <c r="D891" i="10" s="1"/>
  <c r="C90" i="10"/>
  <c r="D90" i="10" s="1"/>
  <c r="C841" i="10"/>
  <c r="D841" i="10" s="1"/>
  <c r="C69" i="10"/>
  <c r="D69" i="10" s="1"/>
  <c r="C558" i="10"/>
  <c r="D558" i="10" s="1"/>
  <c r="C501" i="10"/>
  <c r="D501" i="10" s="1"/>
  <c r="C670" i="10"/>
  <c r="D670" i="10" s="1"/>
  <c r="C829" i="10"/>
  <c r="D829" i="10" s="1"/>
  <c r="C878" i="10"/>
  <c r="D878" i="10" s="1"/>
  <c r="C177" i="10"/>
  <c r="D177" i="10" s="1"/>
  <c r="C943" i="10"/>
  <c r="D943" i="10" s="1"/>
  <c r="C285" i="10"/>
  <c r="D285" i="10" s="1"/>
  <c r="C872" i="10"/>
  <c r="D872" i="10" s="1"/>
  <c r="C752" i="10"/>
  <c r="D752" i="10" s="1"/>
  <c r="C326" i="10"/>
  <c r="D326" i="10" s="1"/>
  <c r="C623" i="10"/>
  <c r="D623" i="10" s="1"/>
  <c r="C484" i="10"/>
  <c r="D484" i="10" s="1"/>
  <c r="C540" i="10"/>
  <c r="D540" i="10" s="1"/>
  <c r="C163" i="10"/>
  <c r="D163" i="10" s="1"/>
  <c r="C222" i="10"/>
  <c r="D222" i="10" s="1"/>
  <c r="C194" i="10"/>
  <c r="D194" i="10" s="1"/>
  <c r="C744" i="10"/>
  <c r="D744" i="10" s="1"/>
  <c r="C692" i="10"/>
  <c r="D692" i="10" s="1"/>
  <c r="C963" i="10"/>
  <c r="D963" i="10" s="1"/>
  <c r="C179" i="10"/>
  <c r="D179" i="10" s="1"/>
  <c r="C957" i="10"/>
  <c r="D957" i="10" s="1"/>
  <c r="C84" i="10"/>
  <c r="D84" i="10" s="1"/>
  <c r="C346" i="10"/>
  <c r="D346" i="10" s="1"/>
  <c r="C753" i="10"/>
  <c r="D753" i="10" s="1"/>
  <c r="C844" i="10"/>
  <c r="D844" i="10" s="1"/>
  <c r="C630" i="10"/>
  <c r="D630" i="10" s="1"/>
  <c r="C119" i="10"/>
  <c r="D119" i="10" s="1"/>
  <c r="C699" i="10"/>
  <c r="D699" i="10" s="1"/>
  <c r="C156" i="10"/>
  <c r="D156" i="10" s="1"/>
  <c r="C701" i="10"/>
  <c r="D701" i="10" s="1"/>
  <c r="C850" i="10"/>
  <c r="D850" i="10" s="1"/>
  <c r="C819" i="10"/>
  <c r="D819" i="10" s="1"/>
  <c r="C293" i="10"/>
  <c r="D293" i="10" s="1"/>
  <c r="C472" i="10"/>
  <c r="D472" i="10" s="1"/>
  <c r="C184" i="10"/>
  <c r="D184" i="10" s="1"/>
  <c r="C445" i="10"/>
  <c r="D445" i="10" s="1"/>
  <c r="C492" i="10"/>
  <c r="D492" i="10" s="1"/>
  <c r="C316" i="10"/>
  <c r="D316" i="10" s="1"/>
  <c r="C638" i="10"/>
  <c r="D638" i="10" s="1"/>
  <c r="C773" i="10"/>
  <c r="D773" i="10" s="1"/>
  <c r="C688" i="10"/>
  <c r="D688" i="10" s="1"/>
  <c r="C867" i="10"/>
  <c r="D867" i="10" s="1"/>
  <c r="C759" i="10"/>
  <c r="D759" i="10" s="1"/>
  <c r="C996" i="10"/>
  <c r="D996" i="10" s="1"/>
  <c r="C821" i="10"/>
  <c r="D821" i="10" s="1"/>
  <c r="C605" i="10"/>
  <c r="D605" i="10" s="1"/>
  <c r="C512" i="10"/>
  <c r="D512" i="10" s="1"/>
  <c r="C648" i="10"/>
  <c r="D648" i="10" s="1"/>
  <c r="C498" i="10"/>
  <c r="D498" i="10" s="1"/>
  <c r="C418" i="10"/>
  <c r="D418" i="10" s="1"/>
  <c r="C388" i="10"/>
  <c r="D388" i="10" s="1"/>
  <c r="C340" i="10"/>
  <c r="D340" i="10" s="1"/>
  <c r="C302" i="10"/>
  <c r="D302" i="10" s="1"/>
  <c r="C262" i="10"/>
  <c r="D262" i="10" s="1"/>
  <c r="C586" i="10"/>
  <c r="D586" i="10" s="1"/>
  <c r="C450" i="10"/>
  <c r="D450" i="10" s="1"/>
  <c r="C728" i="10"/>
  <c r="D728" i="10" s="1"/>
  <c r="C283" i="10"/>
  <c r="D283" i="10" s="1"/>
  <c r="C836" i="10"/>
  <c r="D836" i="10" s="1"/>
  <c r="C233" i="10"/>
  <c r="D233" i="10" s="1"/>
  <c r="C456" i="10"/>
  <c r="D456" i="10" s="1"/>
  <c r="C103" i="10"/>
  <c r="D103" i="10" s="1"/>
  <c r="C892" i="10"/>
  <c r="D892" i="10" s="1"/>
  <c r="C810" i="10"/>
  <c r="D810" i="10" s="1"/>
  <c r="C613" i="10"/>
  <c r="D613" i="10" s="1"/>
  <c r="C533" i="10"/>
  <c r="D533" i="10" s="1"/>
  <c r="C685" i="10"/>
  <c r="D685" i="10" s="1"/>
  <c r="C530" i="10"/>
  <c r="D530" i="10" s="1"/>
  <c r="C435" i="10"/>
  <c r="D435" i="10" s="1"/>
  <c r="C376" i="10"/>
  <c r="D376" i="10" s="1"/>
  <c r="C334" i="10"/>
  <c r="D334" i="10" s="1"/>
  <c r="C260" i="10"/>
  <c r="D260" i="10" s="1"/>
  <c r="C596" i="10"/>
  <c r="D596" i="10" s="1"/>
  <c r="C453" i="10"/>
  <c r="D453" i="10" s="1"/>
  <c r="C604" i="10"/>
  <c r="D604" i="10" s="1"/>
  <c r="C465" i="10"/>
  <c r="D465" i="10" s="1"/>
  <c r="C327" i="10"/>
  <c r="D327" i="10" s="1"/>
  <c r="C248" i="10"/>
  <c r="D248" i="10" s="1"/>
  <c r="C188" i="10"/>
  <c r="D188" i="10" s="1"/>
  <c r="C44" i="10"/>
  <c r="D44" i="10" s="1"/>
  <c r="C804" i="10"/>
  <c r="D804" i="10" s="1"/>
  <c r="C165" i="10"/>
  <c r="D165" i="10" s="1"/>
  <c r="C608" i="10"/>
  <c r="D608" i="10" s="1"/>
  <c r="C525" i="10"/>
  <c r="D525" i="10" s="1"/>
  <c r="C749" i="10"/>
  <c r="D749" i="10" s="1"/>
  <c r="C551" i="10"/>
  <c r="D551" i="10" s="1"/>
  <c r="C406" i="10"/>
  <c r="D406" i="10" s="1"/>
  <c r="C362" i="10"/>
  <c r="D362" i="10" s="1"/>
  <c r="C312" i="10"/>
  <c r="D312" i="10" s="1"/>
  <c r="C268" i="10"/>
  <c r="D268" i="10" s="1"/>
  <c r="C626" i="10"/>
  <c r="D626" i="10" s="1"/>
  <c r="C471" i="10"/>
  <c r="D471" i="10" s="1"/>
  <c r="C371" i="10"/>
  <c r="D371" i="10" s="1"/>
  <c r="C510" i="10"/>
  <c r="D510" i="10" s="1"/>
  <c r="C383" i="10"/>
  <c r="D383" i="10" s="1"/>
  <c r="C246" i="10"/>
  <c r="D246" i="10" s="1"/>
  <c r="C192" i="10"/>
  <c r="D192" i="10" s="1"/>
  <c r="C75" i="10"/>
  <c r="D75" i="10" s="1"/>
  <c r="C108" i="10"/>
  <c r="D108" i="10" s="1"/>
  <c r="C643" i="10"/>
  <c r="D643" i="10" s="1"/>
  <c r="C681" i="10"/>
  <c r="D681" i="10" s="1"/>
  <c r="C710" i="10"/>
  <c r="D710" i="10" s="1"/>
  <c r="C756" i="10"/>
  <c r="D756" i="10" s="1"/>
  <c r="C797" i="10"/>
  <c r="D797" i="10" s="1"/>
  <c r="C489" i="10"/>
  <c r="D489" i="10" s="1"/>
  <c r="C35" i="10"/>
  <c r="D35" i="10" s="1"/>
  <c r="C671" i="10"/>
  <c r="D671" i="10" s="1"/>
  <c r="C964" i="10"/>
  <c r="D964" i="10" s="1"/>
  <c r="C899" i="10"/>
  <c r="D899" i="10" s="1"/>
  <c r="C473" i="10"/>
  <c r="D473" i="10" s="1"/>
  <c r="C62" i="10"/>
  <c r="D62" i="10" s="1"/>
  <c r="C155" i="10"/>
  <c r="D155" i="10" s="1"/>
  <c r="C938" i="10"/>
  <c r="D938" i="10" s="1"/>
  <c r="C894" i="10"/>
  <c r="D894" i="10" s="1"/>
  <c r="C859" i="10"/>
  <c r="D859" i="10" s="1"/>
  <c r="C162" i="10"/>
  <c r="D162" i="10" s="1"/>
  <c r="C130" i="10"/>
  <c r="D130" i="10" s="1"/>
  <c r="C206" i="10"/>
  <c r="D206" i="10" s="1"/>
  <c r="C373" i="10"/>
  <c r="D373" i="10" s="1"/>
  <c r="C622" i="10"/>
  <c r="D622" i="10" s="1"/>
  <c r="C862" i="10"/>
  <c r="D862" i="10" s="1"/>
  <c r="C990" i="10"/>
  <c r="D990" i="10" s="1"/>
  <c r="C986" i="10"/>
  <c r="D986" i="10" s="1"/>
  <c r="C903" i="10"/>
  <c r="D903" i="10" s="1"/>
  <c r="C31" i="10"/>
  <c r="D31" i="10" s="1"/>
  <c r="C353" i="10"/>
  <c r="D353" i="10" s="1"/>
  <c r="C477" i="10"/>
  <c r="D477" i="10" s="1"/>
  <c r="C106" i="10"/>
  <c r="D106" i="10" s="1"/>
  <c r="C61" i="10"/>
  <c r="D61" i="10" s="1"/>
  <c r="C236" i="10"/>
  <c r="D236" i="10" s="1"/>
  <c r="C455" i="10"/>
  <c r="D455" i="10" s="1"/>
  <c r="C436" i="10"/>
  <c r="D436" i="10" s="1"/>
  <c r="C256" i="10"/>
  <c r="D256" i="10" s="1"/>
  <c r="C320" i="10"/>
  <c r="D320" i="10" s="1"/>
  <c r="C402" i="10"/>
  <c r="D402" i="10" s="1"/>
  <c r="C569" i="10"/>
  <c r="D569" i="10" s="1"/>
  <c r="C520" i="10"/>
  <c r="D520" i="10" s="1"/>
  <c r="C786" i="10"/>
  <c r="D786" i="10" s="1"/>
  <c r="C888" i="10"/>
  <c r="D888" i="10" s="1"/>
  <c r="C381" i="10"/>
  <c r="D381" i="10" s="1"/>
  <c r="C129" i="10"/>
  <c r="D129" i="10" s="1"/>
  <c r="C831" i="10"/>
  <c r="D831" i="10" s="1"/>
  <c r="C877" i="10"/>
  <c r="D877" i="10" s="1"/>
  <c r="C846" i="10"/>
  <c r="D846" i="10" s="1"/>
  <c r="C43" i="10"/>
  <c r="D43" i="10" s="1"/>
  <c r="C27" i="10"/>
  <c r="D27" i="10" s="1"/>
  <c r="C444" i="10"/>
  <c r="D444" i="10" s="1"/>
  <c r="C973" i="10"/>
  <c r="D973" i="10" s="1"/>
  <c r="C741" i="10"/>
  <c r="D741" i="10" s="1"/>
  <c r="C169" i="10"/>
  <c r="D169" i="10" s="1"/>
  <c r="C822" i="10"/>
  <c r="D822" i="10" s="1"/>
  <c r="C173" i="10"/>
  <c r="D173" i="10" s="1"/>
  <c r="C958" i="10"/>
  <c r="D958" i="10" s="1"/>
  <c r="C933" i="10"/>
  <c r="D933" i="10" s="1"/>
  <c r="C197" i="10"/>
  <c r="D197" i="10" s="1"/>
  <c r="C205" i="10"/>
  <c r="D205" i="10" s="1"/>
  <c r="C926" i="10"/>
  <c r="D926" i="10" s="1"/>
  <c r="C125" i="10"/>
  <c r="D125" i="10" s="1"/>
  <c r="C499" i="10"/>
  <c r="D499" i="10" s="1"/>
  <c r="C64" i="10"/>
  <c r="D64" i="10" s="1"/>
  <c r="C28" i="10"/>
  <c r="D28" i="10" s="1"/>
  <c r="C856" i="10"/>
  <c r="D856" i="10" s="1"/>
  <c r="C297" i="10"/>
  <c r="D297" i="10" s="1"/>
  <c r="C889" i="10"/>
  <c r="D889" i="10" s="1"/>
  <c r="C906" i="10"/>
  <c r="D906" i="10" s="1"/>
  <c r="C863" i="10"/>
  <c r="D863" i="10" s="1"/>
  <c r="C309" i="10"/>
  <c r="D309" i="10" s="1"/>
  <c r="C72" i="10"/>
  <c r="D72" i="10" s="1"/>
  <c r="C874" i="10"/>
  <c r="D874" i="10" s="1"/>
  <c r="C241" i="10"/>
  <c r="D241" i="10" s="1"/>
  <c r="C980" i="10"/>
  <c r="D980" i="10" s="1"/>
  <c r="C483" i="10"/>
  <c r="D483" i="10" s="1"/>
  <c r="C466" i="10"/>
  <c r="D466" i="10" s="1"/>
  <c r="C370" i="10"/>
  <c r="D370" i="10" s="1"/>
  <c r="C729" i="10"/>
  <c r="D729" i="10" s="1"/>
  <c r="C329" i="10"/>
  <c r="D329" i="10" s="1"/>
  <c r="C128" i="10"/>
  <c r="D128" i="10" s="1"/>
  <c r="C979" i="10"/>
  <c r="D979" i="10" s="1"/>
  <c r="C335" i="10"/>
  <c r="D335" i="10" s="1"/>
  <c r="C390" i="10"/>
  <c r="D390" i="10" s="1"/>
  <c r="C768" i="10"/>
  <c r="D768" i="10" s="1"/>
  <c r="C920" i="10"/>
  <c r="D920" i="10" s="1"/>
  <c r="C521" i="10"/>
  <c r="D521" i="10" s="1"/>
  <c r="C217" i="10"/>
  <c r="D217" i="10" s="1"/>
  <c r="C148" i="10"/>
  <c r="D148" i="10" s="1"/>
  <c r="C349" i="10"/>
  <c r="D349" i="10" s="1"/>
  <c r="C984" i="10"/>
  <c r="D984" i="10" s="1"/>
  <c r="C893" i="10"/>
  <c r="D893" i="10" s="1"/>
  <c r="C109" i="10"/>
  <c r="D109" i="10" s="1"/>
  <c r="C339" i="10"/>
  <c r="D339" i="10" s="1"/>
  <c r="C511" i="10"/>
  <c r="D511" i="10" s="1"/>
  <c r="C77" i="10"/>
  <c r="D77" i="10" s="1"/>
  <c r="C234" i="10"/>
  <c r="D234" i="10" s="1"/>
  <c r="C497" i="10"/>
  <c r="D497" i="10" s="1"/>
  <c r="C656" i="10"/>
  <c r="D656" i="10" s="1"/>
  <c r="C336" i="10"/>
  <c r="D336" i="10" s="1"/>
  <c r="C420" i="10"/>
  <c r="D420" i="10" s="1"/>
  <c r="C517" i="10"/>
  <c r="D517" i="10" s="1"/>
  <c r="C277" i="10"/>
  <c r="D277" i="10" s="1"/>
  <c r="C869" i="10"/>
  <c r="D869" i="10" s="1"/>
  <c r="C803" i="10"/>
  <c r="D803" i="10" s="1"/>
  <c r="C269" i="10"/>
  <c r="D269" i="10" s="1"/>
  <c r="C736" i="10"/>
  <c r="D736" i="10" s="1"/>
  <c r="C589" i="10"/>
  <c r="D589" i="10" s="1"/>
  <c r="C496" i="10"/>
  <c r="D496" i="10" s="1"/>
  <c r="C583" i="10"/>
  <c r="D583" i="10" s="1"/>
  <c r="C478" i="10"/>
  <c r="D478" i="10" s="1"/>
  <c r="C412" i="10"/>
  <c r="D412" i="10" s="1"/>
  <c r="C372" i="10"/>
  <c r="D372" i="10" s="1"/>
  <c r="C332" i="10"/>
  <c r="D332" i="10" s="1"/>
  <c r="C294" i="10"/>
  <c r="D294" i="10" s="1"/>
  <c r="C784" i="10"/>
  <c r="D784" i="10" s="1"/>
  <c r="C567" i="10"/>
  <c r="D567" i="10" s="1"/>
  <c r="C425" i="10"/>
  <c r="D425" i="10" s="1"/>
  <c r="C620" i="10"/>
  <c r="D620" i="10" s="1"/>
  <c r="C840" i="10"/>
  <c r="D840" i="10" s="1"/>
  <c r="C189" i="10"/>
  <c r="D189" i="10" s="1"/>
  <c r="C904" i="10"/>
  <c r="D904" i="10" s="1"/>
  <c r="C825" i="10"/>
  <c r="D825" i="10" s="1"/>
  <c r="C218" i="10"/>
  <c r="D218" i="10" s="1"/>
  <c r="C181" i="10"/>
  <c r="D181" i="10" s="1"/>
  <c r="C765" i="10"/>
  <c r="D765" i="10" s="1"/>
  <c r="C592" i="10"/>
  <c r="D592" i="10" s="1"/>
  <c r="C509" i="10"/>
  <c r="D509" i="10" s="1"/>
  <c r="C632" i="10"/>
  <c r="D632" i="10" s="1"/>
  <c r="C502" i="10"/>
  <c r="D502" i="10" s="1"/>
  <c r="C408" i="10"/>
  <c r="D408" i="10" s="1"/>
  <c r="C366" i="10"/>
  <c r="D366" i="10" s="1"/>
  <c r="C322" i="10"/>
  <c r="D322" i="10" s="1"/>
  <c r="C292" i="10"/>
  <c r="D292" i="10" s="1"/>
  <c r="C826" i="10"/>
  <c r="D826" i="10" s="1"/>
  <c r="C572" i="10"/>
  <c r="D572" i="10" s="1"/>
  <c r="C419" i="10"/>
  <c r="D419" i="10" s="1"/>
  <c r="C554" i="10"/>
  <c r="D554" i="10" s="1"/>
  <c r="C441" i="10"/>
  <c r="D441" i="10" s="1"/>
  <c r="C240" i="10"/>
  <c r="D240" i="10" s="1"/>
  <c r="C204" i="10"/>
  <c r="D204" i="10" s="1"/>
  <c r="C55" i="10"/>
  <c r="D55" i="10" s="1"/>
  <c r="C480" i="10"/>
  <c r="D480" i="10" s="1"/>
  <c r="C974" i="10"/>
  <c r="D974" i="10" s="1"/>
  <c r="C757" i="10"/>
  <c r="D757" i="10" s="1"/>
  <c r="C584" i="10"/>
  <c r="D584" i="10" s="1"/>
  <c r="C504" i="10"/>
  <c r="D504" i="10" s="1"/>
  <c r="C660" i="10"/>
  <c r="D660" i="10" s="1"/>
  <c r="C523" i="10"/>
  <c r="D523" i="10" s="1"/>
  <c r="C451" i="10"/>
  <c r="D451" i="10" s="1"/>
  <c r="C394" i="10"/>
  <c r="D394" i="10" s="1"/>
  <c r="C352" i="10"/>
  <c r="D352" i="10" s="1"/>
  <c r="C300" i="10"/>
  <c r="D300" i="10" s="1"/>
  <c r="C258" i="10"/>
  <c r="D258" i="10" s="1"/>
  <c r="C591" i="10"/>
  <c r="D591" i="10" s="1"/>
  <c r="C712" i="10"/>
  <c r="D712" i="10" s="1"/>
  <c r="C479" i="10"/>
  <c r="D479" i="10" s="1"/>
  <c r="C351" i="10"/>
  <c r="D351" i="10" s="1"/>
  <c r="C238" i="10"/>
  <c r="D238" i="10" s="1"/>
  <c r="C208" i="10"/>
  <c r="D208" i="10" s="1"/>
  <c r="C46" i="10"/>
  <c r="D46" i="10" s="1"/>
  <c r="C82" i="10"/>
  <c r="D82" i="10" s="1"/>
  <c r="C619" i="10"/>
  <c r="D619" i="10" s="1"/>
  <c r="C651" i="10"/>
  <c r="D651" i="10" s="1"/>
  <c r="C689" i="10"/>
  <c r="D689" i="10" s="1"/>
  <c r="C718" i="10"/>
  <c r="D718" i="10" s="1"/>
  <c r="C766" i="10"/>
  <c r="D766" i="10" s="1"/>
  <c r="C818" i="10"/>
  <c r="D818" i="10" s="1"/>
  <c r="C424" i="10"/>
  <c r="D424" i="10" s="1"/>
  <c r="C105" i="10"/>
  <c r="D105" i="10" s="1"/>
  <c r="C960" i="10"/>
  <c r="D960" i="10" s="1"/>
  <c r="C916" i="10"/>
  <c r="D916" i="10" s="1"/>
  <c r="C771" i="10"/>
  <c r="D771" i="10" s="1"/>
  <c r="C423" i="10"/>
  <c r="D423" i="10" s="1"/>
  <c r="C171" i="10"/>
  <c r="D171" i="10" s="1"/>
  <c r="C890" i="10"/>
  <c r="D890" i="10" s="1"/>
  <c r="C845" i="10"/>
  <c r="D845" i="10" s="1"/>
  <c r="C925" i="10"/>
  <c r="D925" i="10" s="1"/>
  <c r="C199" i="10"/>
  <c r="D199" i="10" s="1"/>
  <c r="C154" i="10"/>
  <c r="D154" i="10" s="1"/>
  <c r="C116" i="10"/>
  <c r="D116" i="10" s="1"/>
  <c r="C239" i="10"/>
  <c r="D239" i="10" s="1"/>
  <c r="C458" i="10"/>
  <c r="D458" i="10" s="1"/>
  <c r="C725" i="10"/>
  <c r="D725" i="10" s="1"/>
  <c r="C858" i="10"/>
  <c r="D858" i="10" s="1"/>
  <c r="C711" i="10"/>
  <c r="D711" i="10" s="1"/>
  <c r="C967" i="10"/>
  <c r="D967" i="10" s="1"/>
  <c r="C229" i="10"/>
  <c r="D229" i="10" s="1"/>
  <c r="C417" i="10"/>
  <c r="D417" i="10" s="1"/>
  <c r="C527" i="10"/>
  <c r="D527" i="10" s="1"/>
  <c r="C96" i="10"/>
  <c r="D96" i="10" s="1"/>
  <c r="C40" i="10"/>
  <c r="D40" i="10" s="1"/>
  <c r="C255" i="10"/>
  <c r="D255" i="10" s="1"/>
  <c r="C503" i="10"/>
  <c r="D503" i="10" s="1"/>
  <c r="C515" i="10"/>
  <c r="D515" i="10" s="1"/>
  <c r="C276" i="10"/>
  <c r="D276" i="10" s="1"/>
  <c r="C338" i="10"/>
  <c r="D338" i="10" s="1"/>
  <c r="C422" i="10"/>
  <c r="D422" i="10" s="1"/>
  <c r="C654" i="10"/>
  <c r="D654" i="10" s="1"/>
  <c r="C565" i="10"/>
  <c r="D565" i="10" s="1"/>
  <c r="C243" i="10"/>
  <c r="D243" i="10" s="1"/>
  <c r="C956" i="10"/>
  <c r="D956" i="10" s="1"/>
  <c r="C49" i="10"/>
  <c r="D49" i="10" s="1"/>
  <c r="C908" i="10"/>
  <c r="D908" i="10" s="1"/>
  <c r="C848" i="10"/>
  <c r="D848" i="10" s="1"/>
  <c r="C347" i="10"/>
  <c r="D347" i="10" s="1"/>
  <c r="C985" i="10"/>
  <c r="D985" i="10" s="1"/>
  <c r="C389" i="10"/>
  <c r="D389" i="10" s="1"/>
  <c r="C532" i="10"/>
  <c r="D532" i="10" s="1"/>
  <c r="C662" i="10"/>
  <c r="D662" i="10" s="1"/>
  <c r="C516" i="10"/>
  <c r="D516" i="10" s="1"/>
  <c r="C298" i="10"/>
  <c r="D298" i="10" s="1"/>
  <c r="C805" i="10"/>
  <c r="D805" i="10" s="1"/>
  <c r="C180" i="10"/>
  <c r="D180" i="10" s="1"/>
  <c r="C642" i="10"/>
  <c r="D642" i="10" s="1"/>
  <c r="C307" i="10"/>
  <c r="D307" i="10" s="1"/>
  <c r="C839" i="10"/>
  <c r="D839" i="10" s="1"/>
  <c r="C948" i="10"/>
  <c r="D948" i="10" s="1"/>
  <c r="C575" i="10"/>
  <c r="D575" i="10" s="1"/>
  <c r="C74" i="10"/>
  <c r="D74" i="10" s="1"/>
  <c r="C170" i="10"/>
  <c r="D170" i="10" s="1"/>
  <c r="C751" i="10"/>
  <c r="D751" i="10" s="1"/>
  <c r="C265" i="10"/>
  <c r="D265" i="10" s="1"/>
  <c r="C801" i="10"/>
  <c r="D801" i="10" s="1"/>
  <c r="C799" i="10"/>
  <c r="D799" i="10" s="1"/>
  <c r="C590" i="10"/>
  <c r="D590" i="10" s="1"/>
  <c r="C745" i="10"/>
  <c r="D745" i="10" s="1"/>
  <c r="C668" i="10"/>
  <c r="D668" i="10" s="1"/>
  <c r="C100" i="10"/>
  <c r="D100" i="10" s="1"/>
  <c r="C38" i="10"/>
  <c r="D38" i="10" s="1"/>
  <c r="C263" i="10"/>
  <c r="D263" i="10" s="1"/>
  <c r="C547" i="10"/>
  <c r="D547" i="10" s="1"/>
  <c r="C529" i="10"/>
  <c r="D529" i="10" s="1"/>
  <c r="C280" i="10"/>
  <c r="D280" i="10" s="1"/>
  <c r="C374" i="10"/>
  <c r="D374" i="10" s="1"/>
  <c r="C470" i="10"/>
  <c r="D470" i="10" s="1"/>
  <c r="C634" i="10"/>
  <c r="D634" i="10" s="1"/>
  <c r="C198" i="10"/>
  <c r="D198" i="10" s="1"/>
  <c r="C36" i="10"/>
  <c r="D36" i="10" s="1"/>
  <c r="C271" i="10"/>
  <c r="D271" i="10" s="1"/>
  <c r="C490" i="10"/>
  <c r="D490" i="10" s="1"/>
  <c r="C482" i="10"/>
  <c r="D482" i="10" s="1"/>
  <c r="C272" i="10"/>
  <c r="D272" i="10" s="1"/>
  <c r="C344" i="10"/>
  <c r="D344" i="10" s="1"/>
  <c r="C454" i="10"/>
  <c r="D454" i="10" s="1"/>
  <c r="C770" i="10"/>
  <c r="D770" i="10" s="1"/>
  <c r="C640" i="10"/>
  <c r="D640" i="10" s="1"/>
  <c r="C823" i="10"/>
  <c r="D823" i="10" s="1"/>
  <c r="C86" i="10"/>
  <c r="D86" i="10" s="1"/>
  <c r="C137" i="10"/>
  <c r="D137" i="10" s="1"/>
  <c r="C363" i="10"/>
  <c r="D363" i="10" s="1"/>
  <c r="C644" i="10"/>
  <c r="D644" i="10" s="1"/>
  <c r="C310" i="10"/>
  <c r="D310" i="10" s="1"/>
  <c r="C396" i="10"/>
  <c r="D396" i="10" s="1"/>
  <c r="C537" i="10"/>
  <c r="D537" i="10" s="1"/>
  <c r="C528" i="10"/>
  <c r="D528" i="10" s="1"/>
  <c r="C409" i="10"/>
  <c r="D409" i="10" s="1"/>
  <c r="C811" i="10"/>
  <c r="D811" i="10" s="1"/>
  <c r="C675" i="10"/>
  <c r="D675" i="10" s="1"/>
  <c r="C566" i="10"/>
  <c r="D566" i="10" s="1"/>
  <c r="C274" i="10"/>
  <c r="D274" i="10" s="1"/>
  <c r="C365" i="10"/>
  <c r="D365" i="10" s="1"/>
  <c r="C110" i="10"/>
  <c r="D110" i="10" s="1"/>
  <c r="C178" i="10"/>
  <c r="D178" i="10" s="1"/>
  <c r="C940" i="10"/>
  <c r="D940" i="10" s="1"/>
  <c r="C231" i="10"/>
  <c r="D231" i="10" s="1"/>
  <c r="C950" i="10"/>
  <c r="D950" i="10" s="1"/>
  <c r="C919" i="10"/>
  <c r="D919" i="10" s="1"/>
  <c r="C726" i="10"/>
  <c r="D726" i="10" s="1"/>
  <c r="C796" i="10"/>
  <c r="D796" i="10" s="1"/>
  <c r="C486" i="10"/>
  <c r="D486" i="10" s="1"/>
  <c r="C932" i="10"/>
  <c r="D932" i="10" s="1"/>
  <c r="C900" i="10"/>
  <c r="D900" i="10" s="1"/>
  <c r="C683" i="10"/>
  <c r="D683" i="10" s="1"/>
  <c r="C413" i="10"/>
  <c r="D413" i="10" s="1"/>
  <c r="C526" i="10"/>
  <c r="D526" i="10" s="1"/>
  <c r="C750" i="10"/>
  <c r="D750" i="10" s="1"/>
  <c r="C361" i="10"/>
  <c r="D361" i="10" s="1"/>
  <c r="C738" i="10"/>
  <c r="D738" i="10" s="1"/>
  <c r="C952" i="10"/>
  <c r="D952" i="10" s="1"/>
  <c r="C921" i="10"/>
  <c r="D921" i="10" s="1"/>
  <c r="C70" i="10"/>
  <c r="D70" i="10" s="1"/>
  <c r="C945" i="10"/>
  <c r="D945" i="10" s="1"/>
  <c r="C995" i="10"/>
  <c r="D995" i="10" s="1"/>
  <c r="C875" i="10"/>
  <c r="D875" i="10" s="1"/>
  <c r="C832" i="10"/>
  <c r="D832" i="10" s="1"/>
  <c r="C941" i="10"/>
  <c r="D941" i="10" s="1"/>
  <c r="C939" i="10"/>
  <c r="D939" i="10" s="1"/>
  <c r="C887" i="10"/>
  <c r="D887" i="10" s="1"/>
  <c r="C951" i="10"/>
  <c r="D951" i="10" s="1"/>
  <c r="C954" i="10"/>
  <c r="D954" i="10" s="1"/>
  <c r="C145" i="10"/>
  <c r="D145" i="10" s="1"/>
  <c r="C442" i="10"/>
  <c r="D442" i="10" s="1"/>
  <c r="C997" i="10"/>
  <c r="D997" i="10" s="1"/>
  <c r="C937" i="10"/>
  <c r="D937" i="10" s="1"/>
  <c r="C495" i="10"/>
  <c r="D495" i="10" s="1"/>
  <c r="C33" i="10"/>
  <c r="D33" i="10" s="1"/>
  <c r="C600" i="10"/>
  <c r="D600" i="10" s="1"/>
  <c r="C467" i="10"/>
  <c r="D467" i="10" s="1"/>
  <c r="C579" i="10"/>
  <c r="D579" i="10" s="1"/>
  <c r="C212" i="10"/>
  <c r="D212" i="10" s="1"/>
  <c r="C578" i="10"/>
  <c r="D578" i="10" s="1"/>
  <c r="C261" i="10"/>
  <c r="D261" i="10" s="1"/>
  <c r="C775" i="10"/>
  <c r="D775" i="10" s="1"/>
  <c r="C905" i="10"/>
  <c r="D905" i="10" s="1"/>
  <c r="C508" i="10"/>
  <c r="D508" i="10" s="1"/>
  <c r="C107" i="10"/>
  <c r="D107" i="10" s="1"/>
  <c r="C183" i="10"/>
  <c r="D183" i="10" s="1"/>
  <c r="C798" i="10"/>
  <c r="D798" i="10" s="1"/>
  <c r="C193" i="10"/>
  <c r="D193" i="10" s="1"/>
  <c r="C375" i="10"/>
  <c r="D375" i="10" s="1"/>
  <c r="C849" i="10"/>
  <c r="D849" i="10" s="1"/>
  <c r="C922" i="10"/>
  <c r="D922" i="10" s="1"/>
  <c r="C722" i="10"/>
  <c r="D722" i="10" s="1"/>
  <c r="C737" i="10"/>
  <c r="D737" i="10" s="1"/>
  <c r="C659" i="10"/>
  <c r="D659" i="10" s="1"/>
  <c r="C91" i="10"/>
  <c r="D91" i="10" s="1"/>
  <c r="C30" i="10"/>
  <c r="D30" i="10" s="1"/>
  <c r="C319" i="10"/>
  <c r="D319" i="10" s="1"/>
  <c r="C585" i="10"/>
  <c r="D585" i="10" s="1"/>
  <c r="C563" i="10"/>
  <c r="D563" i="10" s="1"/>
  <c r="C290" i="10"/>
  <c r="D290" i="10" s="1"/>
  <c r="C384" i="10"/>
  <c r="D384" i="10" s="1"/>
  <c r="C491" i="10"/>
  <c r="D491" i="10" s="1"/>
  <c r="C485" i="10"/>
  <c r="D485" i="10" s="1"/>
  <c r="C669" i="10"/>
  <c r="D669" i="10" s="1"/>
  <c r="C391" i="10"/>
  <c r="D391" i="10" s="1"/>
  <c r="C220" i="10"/>
  <c r="D220" i="10" s="1"/>
  <c r="C295" i="10"/>
  <c r="D295" i="10" s="1"/>
  <c r="C522" i="10"/>
  <c r="D522" i="10" s="1"/>
  <c r="C539" i="10"/>
  <c r="D539" i="10" s="1"/>
  <c r="C282" i="10"/>
  <c r="D282" i="10" s="1"/>
  <c r="C354" i="10"/>
  <c r="D354" i="10" s="1"/>
  <c r="C475" i="10"/>
  <c r="D475" i="10" s="1"/>
  <c r="C488" i="10"/>
  <c r="D488" i="10" s="1"/>
  <c r="C698" i="10"/>
  <c r="D698" i="10" s="1"/>
  <c r="C149" i="10"/>
  <c r="D149" i="10" s="1"/>
  <c r="C959" i="10"/>
  <c r="D959" i="10" s="1"/>
  <c r="C141" i="10"/>
  <c r="D141" i="10" s="1"/>
  <c r="C704" i="10"/>
  <c r="D704" i="10" s="1"/>
  <c r="C324" i="10"/>
  <c r="D324" i="10" s="1"/>
  <c r="C404" i="10"/>
  <c r="D404" i="10" s="1"/>
  <c r="C562" i="10"/>
  <c r="D562" i="10" s="1"/>
  <c r="C560" i="10"/>
  <c r="D560" i="10" s="1"/>
  <c r="C113" i="10"/>
  <c r="D113" i="10" s="1"/>
  <c r="C546" i="10"/>
  <c r="D546" i="10" s="1"/>
  <c r="C564" i="10"/>
  <c r="D564" i="10" s="1"/>
  <c r="C505" i="10"/>
  <c r="D505" i="10" s="1"/>
  <c r="C252" i="10"/>
  <c r="D252" i="10" s="1"/>
  <c r="C250" i="10"/>
  <c r="D250" i="10" s="1"/>
  <c r="C603" i="10"/>
  <c r="D603" i="10" s="1"/>
  <c r="C76" i="10"/>
  <c r="D76" i="10" s="1"/>
  <c r="C854" i="10"/>
  <c r="D854" i="10" s="1"/>
  <c r="C118" i="10"/>
  <c r="D118" i="10" s="1"/>
  <c r="C842" i="10"/>
  <c r="D842" i="10" s="1"/>
  <c r="C864" i="10"/>
  <c r="D864" i="10" s="1"/>
  <c r="C657" i="10"/>
  <c r="D657" i="10" s="1"/>
  <c r="C709" i="10"/>
  <c r="D709" i="10" s="1"/>
  <c r="C421" i="10"/>
  <c r="D421" i="10" s="1"/>
  <c r="C1004" i="10"/>
  <c r="D1004" i="10" s="1"/>
  <c r="C581" i="10"/>
  <c r="D581" i="10" s="1"/>
  <c r="C931" i="10"/>
  <c r="D931" i="10" s="1"/>
  <c r="C983" i="10"/>
  <c r="D983" i="10" s="1"/>
  <c r="C210" i="10"/>
  <c r="D210" i="10" s="1"/>
  <c r="C54" i="10"/>
  <c r="D54" i="10" s="1"/>
  <c r="N99" i="32"/>
  <c r="M97" i="32"/>
  <c r="M99" i="32" s="1"/>
  <c r="E94" i="5"/>
  <c r="F97" i="32"/>
  <c r="F99" i="32" s="1"/>
  <c r="L99" i="32"/>
  <c r="C99" i="5"/>
  <c r="I99" i="5"/>
  <c r="L94" i="5"/>
  <c r="D94" i="32"/>
  <c r="D94" i="5"/>
  <c r="H94" i="5"/>
  <c r="C92" i="32"/>
  <c r="L99" i="5"/>
  <c r="M94" i="5"/>
  <c r="K94" i="5"/>
  <c r="H99" i="5"/>
  <c r="H99" i="32"/>
  <c r="H92" i="32"/>
  <c r="H94" i="32" s="1"/>
  <c r="H71" i="32"/>
  <c r="K78" i="32"/>
  <c r="I93" i="32"/>
  <c r="I94" i="32" s="1"/>
  <c r="I94" i="5"/>
  <c r="E98" i="32"/>
  <c r="O98" i="32" s="1"/>
  <c r="E99" i="5"/>
  <c r="E63" i="5"/>
  <c r="E63" i="32" s="1"/>
  <c r="F93" i="32"/>
  <c r="F94" i="5"/>
  <c r="K97" i="32"/>
  <c r="K99" i="5"/>
  <c r="C989" i="10"/>
  <c r="D989" i="10" s="1"/>
  <c r="C880" i="10"/>
  <c r="D880" i="10" s="1"/>
  <c r="C955" i="10"/>
  <c r="D955" i="10" s="1"/>
  <c r="C223" i="10"/>
  <c r="D223" i="10" s="1"/>
  <c r="C740" i="10"/>
  <c r="D740" i="10" s="1"/>
  <c r="C174" i="10"/>
  <c r="D174" i="10" s="1"/>
  <c r="C392" i="10"/>
  <c r="D392" i="10" s="1"/>
  <c r="C147" i="10"/>
  <c r="D147" i="10" s="1"/>
  <c r="C447" i="10"/>
  <c r="D447" i="10" s="1"/>
  <c r="C661" i="10"/>
  <c r="D661" i="10" s="1"/>
  <c r="C855" i="10"/>
  <c r="D855" i="10" s="1"/>
  <c r="C142" i="10"/>
  <c r="D142" i="10" s="1"/>
  <c r="C999" i="10"/>
  <c r="D999" i="10" s="1"/>
  <c r="C616" i="10"/>
  <c r="D616" i="10" s="1"/>
  <c r="C673" i="10"/>
  <c r="D673" i="10" s="1"/>
  <c r="C835" i="10"/>
  <c r="D835" i="10" s="1"/>
  <c r="C136" i="10"/>
  <c r="D136" i="10" s="1"/>
  <c r="C92" i="10"/>
  <c r="D92" i="10" s="1"/>
  <c r="C733" i="10"/>
  <c r="D733" i="10" s="1"/>
  <c r="C629" i="10"/>
  <c r="D629" i="10" s="1"/>
  <c r="C780" i="10"/>
  <c r="D780" i="10" s="1"/>
  <c r="C953" i="10"/>
  <c r="D953" i="10" s="1"/>
  <c r="C201" i="10"/>
  <c r="D201" i="10" s="1"/>
  <c r="C175" i="10"/>
  <c r="D175" i="10" s="1"/>
  <c r="C433" i="10"/>
  <c r="D433" i="10" s="1"/>
  <c r="C743" i="10"/>
  <c r="D743" i="10" s="1"/>
  <c r="C595" i="10"/>
  <c r="D595" i="10" s="1"/>
  <c r="C696" i="10"/>
  <c r="D696" i="10" s="1"/>
  <c r="C548" i="10"/>
  <c r="D548" i="10" s="1"/>
  <c r="C639" i="10"/>
  <c r="D639" i="10" s="1"/>
  <c r="C802" i="10"/>
  <c r="D802" i="10" s="1"/>
  <c r="C934" i="10"/>
  <c r="D934" i="10" s="1"/>
  <c r="C976" i="10"/>
  <c r="D976" i="10" s="1"/>
  <c r="C168" i="10"/>
  <c r="D168" i="10" s="1"/>
  <c r="C463" i="10"/>
  <c r="D463" i="10" s="1"/>
  <c r="C787" i="10"/>
  <c r="D787" i="10" s="1"/>
  <c r="C664" i="10"/>
  <c r="D664" i="10" s="1"/>
  <c r="C387" i="10"/>
  <c r="D387" i="10" s="1"/>
  <c r="C594" i="10"/>
  <c r="D594" i="10" s="1"/>
  <c r="C687" i="10"/>
  <c r="D687" i="10" s="1"/>
  <c r="C758" i="10"/>
  <c r="D758" i="10" s="1"/>
  <c r="C449" i="10"/>
  <c r="D449" i="10" s="1"/>
  <c r="C882" i="10"/>
  <c r="D882" i="10" s="1"/>
  <c r="C714" i="10"/>
  <c r="D714" i="10" s="1"/>
  <c r="C159" i="10"/>
  <c r="D159" i="10" s="1"/>
  <c r="C817" i="10"/>
  <c r="D817" i="10" s="1"/>
  <c r="C207" i="10"/>
  <c r="D207" i="10" s="1"/>
  <c r="C126" i="10"/>
  <c r="D126" i="10" s="1"/>
  <c r="C299" i="10"/>
  <c r="D299" i="10" s="1"/>
  <c r="C29" i="10"/>
  <c r="D29" i="10" s="1"/>
  <c r="C965" i="10"/>
  <c r="D965" i="10" s="1"/>
  <c r="C47" i="10"/>
  <c r="D47" i="10" s="1"/>
  <c r="C494" i="10"/>
  <c r="D494" i="10" s="1"/>
  <c r="C48" i="10"/>
  <c r="D48" i="10" s="1"/>
  <c r="C474" i="10"/>
  <c r="D474" i="10" s="1"/>
  <c r="C266" i="10"/>
  <c r="D266" i="10" s="1"/>
  <c r="C443" i="10"/>
  <c r="D443" i="10" s="1"/>
  <c r="C628" i="10"/>
  <c r="D628" i="10" s="1"/>
  <c r="C645" i="10"/>
  <c r="D645" i="10" s="1"/>
  <c r="C655" i="10"/>
  <c r="D655" i="10" s="1"/>
  <c r="C732" i="10"/>
  <c r="D732" i="10" s="1"/>
  <c r="C672" i="10"/>
  <c r="D672" i="10" s="1"/>
  <c r="C907" i="10"/>
  <c r="D907" i="10" s="1"/>
  <c r="C830" i="10"/>
  <c r="D830" i="10" s="1"/>
  <c r="C115" i="10"/>
  <c r="D115" i="10" s="1"/>
  <c r="C853" i="10"/>
  <c r="D853" i="10" s="1"/>
  <c r="C852" i="10"/>
  <c r="D852" i="10" s="1"/>
  <c r="C401" i="10"/>
  <c r="D401" i="10" s="1"/>
  <c r="C247" i="10"/>
  <c r="D247" i="10" s="1"/>
  <c r="C676" i="10"/>
  <c r="D676" i="10" s="1"/>
  <c r="C913" i="10"/>
  <c r="D913" i="10" s="1"/>
  <c r="C702" i="10"/>
  <c r="D702" i="10" s="1"/>
  <c r="C112" i="10"/>
  <c r="D112" i="10" s="1"/>
  <c r="C308" i="10"/>
  <c r="D308" i="10" s="1"/>
  <c r="C315" i="10"/>
  <c r="D315" i="10" s="1"/>
  <c r="C275" i="10"/>
  <c r="D275" i="10" s="1"/>
  <c r="C721" i="10"/>
  <c r="D721" i="10" s="1"/>
  <c r="C214" i="10"/>
  <c r="D214" i="10" s="1"/>
  <c r="C56" i="10"/>
  <c r="D56" i="10" s="1"/>
  <c r="C325" i="10"/>
  <c r="D325" i="10" s="1"/>
  <c r="C350" i="10"/>
  <c r="D350" i="10" s="1"/>
  <c r="C694" i="10"/>
  <c r="D694" i="10" s="1"/>
  <c r="C666" i="10"/>
  <c r="D666" i="10" s="1"/>
  <c r="C879" i="10"/>
  <c r="D879" i="10" s="1"/>
  <c r="C152" i="10"/>
  <c r="D152" i="10" s="1"/>
  <c r="C37" i="10"/>
  <c r="D37" i="10" s="1"/>
  <c r="C593" i="10"/>
  <c r="D593" i="10" s="1"/>
  <c r="C1005" i="10"/>
  <c r="D1005" i="10" s="1"/>
  <c r="C915" i="10"/>
  <c r="D915" i="10" s="1"/>
  <c r="C357" i="10"/>
  <c r="D357" i="10" s="1"/>
  <c r="C93" i="10"/>
  <c r="D93" i="10" s="1"/>
  <c r="C279" i="10"/>
  <c r="D279" i="10" s="1"/>
  <c r="C553" i="10"/>
  <c r="D553" i="10" s="1"/>
  <c r="C368" i="10"/>
  <c r="D368" i="10" s="1"/>
  <c r="C493" i="10"/>
  <c r="D493" i="10" s="1"/>
  <c r="C866" i="10"/>
  <c r="D866" i="10" s="1"/>
  <c r="C617" i="10"/>
  <c r="D617" i="10" s="1"/>
  <c r="C633" i="10"/>
  <c r="D633" i="10" s="1"/>
  <c r="C649" i="10"/>
  <c r="D649" i="10" s="1"/>
  <c r="C665" i="10"/>
  <c r="D665" i="10" s="1"/>
  <c r="C684" i="10"/>
  <c r="D684" i="10" s="1"/>
  <c r="C708" i="10"/>
  <c r="D708" i="10" s="1"/>
  <c r="C734" i="10"/>
  <c r="D734" i="10" s="1"/>
  <c r="C764" i="10"/>
  <c r="D764" i="10" s="1"/>
  <c r="C782" i="10"/>
  <c r="D782" i="10" s="1"/>
  <c r="C813" i="10"/>
  <c r="D813" i="10" s="1"/>
  <c r="I99" i="32"/>
  <c r="M94" i="32"/>
  <c r="O77" i="32" l="1"/>
  <c r="N73" i="5"/>
  <c r="O76" i="32"/>
  <c r="E73" i="5"/>
  <c r="K73" i="32"/>
  <c r="D79" i="32"/>
  <c r="J73" i="32"/>
  <c r="J79" i="5"/>
  <c r="O78" i="32"/>
  <c r="F79" i="5"/>
  <c r="N73" i="32"/>
  <c r="M79" i="32"/>
  <c r="D73" i="32"/>
  <c r="J73" i="5"/>
  <c r="K73" i="5"/>
  <c r="O72" i="32"/>
  <c r="G73" i="5"/>
  <c r="G79" i="32"/>
  <c r="H79" i="32"/>
  <c r="L73" i="32"/>
  <c r="L79" i="5"/>
  <c r="I79" i="32"/>
  <c r="E73" i="32"/>
  <c r="J79" i="32"/>
  <c r="F79" i="32"/>
  <c r="F73" i="32"/>
  <c r="L75" i="32"/>
  <c r="L79" i="32" s="1"/>
  <c r="N79" i="32"/>
  <c r="G79" i="5"/>
  <c r="M73" i="5"/>
  <c r="L73" i="5"/>
  <c r="M73" i="32"/>
  <c r="O99" i="5"/>
  <c r="C73" i="32"/>
  <c r="D73" i="5"/>
  <c r="N79" i="5"/>
  <c r="D79" i="5"/>
  <c r="O94" i="5"/>
  <c r="I79" i="5"/>
  <c r="C79" i="5"/>
  <c r="H79" i="5"/>
  <c r="M79" i="5"/>
  <c r="C79" i="32"/>
  <c r="O88" i="32"/>
  <c r="I73" i="5"/>
  <c r="I73" i="32"/>
  <c r="I67" i="32" s="1"/>
  <c r="O68" i="32"/>
  <c r="K79" i="5"/>
  <c r="O69" i="32"/>
  <c r="C73" i="5"/>
  <c r="F73" i="5"/>
  <c r="O70" i="32"/>
  <c r="E79" i="5"/>
  <c r="E79" i="32"/>
  <c r="O73" i="5"/>
  <c r="C89" i="32"/>
  <c r="O87" i="32"/>
  <c r="H73" i="5"/>
  <c r="O74" i="32"/>
  <c r="H73" i="32"/>
  <c r="E99" i="32"/>
  <c r="M27" i="5"/>
  <c r="M27" i="32" s="1"/>
  <c r="O92" i="32"/>
  <c r="C94" i="32"/>
  <c r="J64" i="5"/>
  <c r="J64" i="32" s="1"/>
  <c r="J63" i="5"/>
  <c r="J63" i="32" s="1"/>
  <c r="H35" i="5"/>
  <c r="H35" i="32" s="1"/>
  <c r="H30" i="5"/>
  <c r="H30" i="32" s="1"/>
  <c r="O32" i="5"/>
  <c r="J39" i="5"/>
  <c r="J39" i="32" s="1"/>
  <c r="J41" i="5"/>
  <c r="J41" i="32" s="1"/>
  <c r="F49" i="5"/>
  <c r="F49" i="32" s="1"/>
  <c r="H39" i="5"/>
  <c r="H39" i="32" s="1"/>
  <c r="O53" i="5"/>
  <c r="O18" i="5"/>
  <c r="G51" i="5"/>
  <c r="G51" i="32" s="1"/>
  <c r="M9" i="5"/>
  <c r="M9" i="32" s="1"/>
  <c r="N64" i="5"/>
  <c r="N64" i="32" s="1"/>
  <c r="D59" i="5"/>
  <c r="D59" i="32" s="1"/>
  <c r="D63" i="5"/>
  <c r="D63" i="32" s="1"/>
  <c r="L64" i="5"/>
  <c r="L64" i="32" s="1"/>
  <c r="K34" i="5"/>
  <c r="K34" i="32" s="1"/>
  <c r="O54" i="5"/>
  <c r="J43" i="5"/>
  <c r="J43" i="32" s="1"/>
  <c r="C6" i="5"/>
  <c r="F94" i="32"/>
  <c r="O93" i="32"/>
  <c r="I27" i="5"/>
  <c r="I27" i="32" s="1"/>
  <c r="L63" i="5"/>
  <c r="L63" i="32" s="1"/>
  <c r="E64" i="5"/>
  <c r="E64" i="32" s="1"/>
  <c r="N57" i="5"/>
  <c r="N57" i="32" s="1"/>
  <c r="I20" i="5"/>
  <c r="I20" i="32" s="1"/>
  <c r="E42" i="5"/>
  <c r="E42" i="32" s="1"/>
  <c r="I54" i="5"/>
  <c r="I54" i="32" s="1"/>
  <c r="I56" i="5"/>
  <c r="I56" i="32" s="1"/>
  <c r="M14" i="5"/>
  <c r="J45" i="5"/>
  <c r="J45" i="32" s="1"/>
  <c r="L7" i="5"/>
  <c r="L7" i="32" s="1"/>
  <c r="J59" i="5"/>
  <c r="J59" i="32" s="1"/>
  <c r="J46" i="5"/>
  <c r="J46" i="32" s="1"/>
  <c r="I42" i="5"/>
  <c r="I42" i="32" s="1"/>
  <c r="F64" i="5"/>
  <c r="F64" i="32" s="1"/>
  <c r="M64" i="5"/>
  <c r="M64" i="32" s="1"/>
  <c r="M22" i="5"/>
  <c r="M22" i="32" s="1"/>
  <c r="N56" i="5"/>
  <c r="N56" i="32" s="1"/>
  <c r="O43" i="5"/>
  <c r="G22" i="5"/>
  <c r="G22" i="32" s="1"/>
  <c r="K79" i="32"/>
  <c r="K67" i="32" s="1"/>
  <c r="C25" i="5"/>
  <c r="C25" i="32" s="1"/>
  <c r="C7" i="5"/>
  <c r="C7" i="32" s="1"/>
  <c r="H21" i="5"/>
  <c r="H21" i="32" s="1"/>
  <c r="K37" i="5"/>
  <c r="K37" i="32" s="1"/>
  <c r="H29" i="5"/>
  <c r="H29" i="32" s="1"/>
  <c r="M47" i="5"/>
  <c r="M47" i="32" s="1"/>
  <c r="E28" i="5"/>
  <c r="E28" i="32" s="1"/>
  <c r="M51" i="5"/>
  <c r="M51" i="32" s="1"/>
  <c r="G6" i="5"/>
  <c r="J27" i="5"/>
  <c r="J27" i="32" s="1"/>
  <c r="K27" i="5"/>
  <c r="K27" i="32" s="1"/>
  <c r="G20" i="5"/>
  <c r="G20" i="32" s="1"/>
  <c r="K31" i="5"/>
  <c r="K31" i="32" s="1"/>
  <c r="I23" i="5"/>
  <c r="I23" i="32" s="1"/>
  <c r="K44" i="5"/>
  <c r="K44" i="32" s="1"/>
  <c r="E65" i="5"/>
  <c r="E65" i="32" s="1"/>
  <c r="J31" i="5"/>
  <c r="J31" i="32" s="1"/>
  <c r="C31" i="5"/>
  <c r="C31" i="32" s="1"/>
  <c r="H32" i="5"/>
  <c r="H32" i="32" s="1"/>
  <c r="E36" i="5"/>
  <c r="E36" i="32" s="1"/>
  <c r="N25" i="5"/>
  <c r="N25" i="32" s="1"/>
  <c r="E46" i="5"/>
  <c r="E46" i="32" s="1"/>
  <c r="O46" i="5"/>
  <c r="G40" i="5"/>
  <c r="G40" i="32" s="1"/>
  <c r="K50" i="5"/>
  <c r="K50" i="32" s="1"/>
  <c r="C42" i="5"/>
  <c r="C42" i="32" s="1"/>
  <c r="M55" i="5"/>
  <c r="M55" i="32" s="1"/>
  <c r="J16" i="5"/>
  <c r="J16" i="32" s="1"/>
  <c r="E52" i="5"/>
  <c r="E52" i="32" s="1"/>
  <c r="H51" i="5"/>
  <c r="H51" i="32" s="1"/>
  <c r="O25" i="5"/>
  <c r="E39" i="5"/>
  <c r="E39" i="32" s="1"/>
  <c r="G35" i="5"/>
  <c r="G35" i="32" s="1"/>
  <c r="L19" i="5"/>
  <c r="L19" i="32" s="1"/>
  <c r="M42" i="5"/>
  <c r="M42" i="32" s="1"/>
  <c r="N43" i="5"/>
  <c r="N43" i="32" s="1"/>
  <c r="H59" i="5"/>
  <c r="H59" i="32" s="1"/>
  <c r="O40" i="5"/>
  <c r="F41" i="5"/>
  <c r="F41" i="32" s="1"/>
  <c r="D41" i="5"/>
  <c r="D41" i="32" s="1"/>
  <c r="O44" i="5"/>
  <c r="O15" i="5"/>
  <c r="C39" i="5"/>
  <c r="C39" i="32" s="1"/>
  <c r="C56" i="5"/>
  <c r="C56" i="32" s="1"/>
  <c r="C41" i="5"/>
  <c r="C41" i="32" s="1"/>
  <c r="M49" i="5"/>
  <c r="M49" i="32" s="1"/>
  <c r="D45" i="5"/>
  <c r="D45" i="32" s="1"/>
  <c r="O20" i="5"/>
  <c r="H40" i="5"/>
  <c r="H40" i="32" s="1"/>
  <c r="O16" i="5"/>
  <c r="D20" i="5"/>
  <c r="D20" i="32" s="1"/>
  <c r="J19" i="5"/>
  <c r="J19" i="32" s="1"/>
  <c r="O50" i="5"/>
  <c r="K42" i="5"/>
  <c r="K42" i="32" s="1"/>
  <c r="C33" i="5"/>
  <c r="C33" i="32" s="1"/>
  <c r="N24" i="5"/>
  <c r="N24" i="32" s="1"/>
  <c r="J14" i="5"/>
  <c r="I33" i="5"/>
  <c r="I33" i="32" s="1"/>
  <c r="F58" i="5"/>
  <c r="F58" i="32" s="1"/>
  <c r="J18" i="5"/>
  <c r="J18" i="32" s="1"/>
  <c r="L41" i="5"/>
  <c r="L41" i="32" s="1"/>
  <c r="E10" i="5"/>
  <c r="E10" i="32" s="1"/>
  <c r="E34" i="5"/>
  <c r="E34" i="32" s="1"/>
  <c r="D27" i="5"/>
  <c r="D27" i="32" s="1"/>
  <c r="I43" i="5"/>
  <c r="I43" i="32" s="1"/>
  <c r="H60" i="5"/>
  <c r="H60" i="32" s="1"/>
  <c r="D18" i="5"/>
  <c r="D18" i="32" s="1"/>
  <c r="O37" i="5"/>
  <c r="E22" i="5"/>
  <c r="E22" i="32" s="1"/>
  <c r="D22" i="5"/>
  <c r="D22" i="32" s="1"/>
  <c r="M24" i="5"/>
  <c r="M24" i="32" s="1"/>
  <c r="C45" i="5"/>
  <c r="C45" i="32" s="1"/>
  <c r="N17" i="5"/>
  <c r="N17" i="32" s="1"/>
  <c r="D9" i="5"/>
  <c r="D9" i="32" s="1"/>
  <c r="J54" i="5"/>
  <c r="J54" i="32" s="1"/>
  <c r="F39" i="5"/>
  <c r="F39" i="32" s="1"/>
  <c r="O14" i="5"/>
  <c r="D23" i="5"/>
  <c r="D23" i="32" s="1"/>
  <c r="E49" i="5"/>
  <c r="E49" i="32" s="1"/>
  <c r="O45" i="5"/>
  <c r="L60" i="5"/>
  <c r="L60" i="32" s="1"/>
  <c r="H56" i="5"/>
  <c r="H56" i="32" s="1"/>
  <c r="L65" i="5"/>
  <c r="L65" i="32" s="1"/>
  <c r="L31" i="5"/>
  <c r="L31" i="32" s="1"/>
  <c r="L24" i="5"/>
  <c r="L24" i="32" s="1"/>
  <c r="O28" i="5"/>
  <c r="G10" i="5"/>
  <c r="G10" i="32" s="1"/>
  <c r="G18" i="5"/>
  <c r="G18" i="32" s="1"/>
  <c r="K38" i="5"/>
  <c r="K38" i="32" s="1"/>
  <c r="D6" i="5"/>
  <c r="C65" i="5"/>
  <c r="C65" i="32" s="1"/>
  <c r="C53" i="5"/>
  <c r="C53" i="32" s="1"/>
  <c r="D37" i="5"/>
  <c r="D37" i="32" s="1"/>
  <c r="L42" i="5"/>
  <c r="L42" i="32" s="1"/>
  <c r="N37" i="5"/>
  <c r="N37" i="32" s="1"/>
  <c r="H33" i="5"/>
  <c r="H33" i="32" s="1"/>
  <c r="K40" i="5"/>
  <c r="K40" i="32" s="1"/>
  <c r="G32" i="5"/>
  <c r="G32" i="32" s="1"/>
  <c r="L40" i="5"/>
  <c r="L40" i="32" s="1"/>
  <c r="F19" i="5"/>
  <c r="F19" i="32" s="1"/>
  <c r="J9" i="5"/>
  <c r="J9" i="32" s="1"/>
  <c r="J10" i="5"/>
  <c r="J10" i="32" s="1"/>
  <c r="O17" i="5"/>
  <c r="E9" i="5"/>
  <c r="E9" i="32" s="1"/>
  <c r="K52" i="5"/>
  <c r="K52" i="32" s="1"/>
  <c r="M32" i="5"/>
  <c r="M32" i="32" s="1"/>
  <c r="L52" i="5"/>
  <c r="L52" i="32" s="1"/>
  <c r="E44" i="5"/>
  <c r="E44" i="32" s="1"/>
  <c r="K57" i="5"/>
  <c r="K57" i="32" s="1"/>
  <c r="O58" i="5"/>
  <c r="G24" i="5"/>
  <c r="G24" i="32" s="1"/>
  <c r="I22" i="5"/>
  <c r="I22" i="32" s="1"/>
  <c r="F44" i="5"/>
  <c r="F44" i="32" s="1"/>
  <c r="G38" i="5"/>
  <c r="G38" i="32" s="1"/>
  <c r="L53" i="5"/>
  <c r="L53" i="32" s="1"/>
  <c r="C57" i="5"/>
  <c r="C57" i="32" s="1"/>
  <c r="J40" i="5"/>
  <c r="J40" i="32" s="1"/>
  <c r="H24" i="5"/>
  <c r="H24" i="32" s="1"/>
  <c r="L18" i="5"/>
  <c r="L18" i="32" s="1"/>
  <c r="M20" i="5"/>
  <c r="M20" i="32" s="1"/>
  <c r="O33" i="5"/>
  <c r="L17" i="5"/>
  <c r="L17" i="32" s="1"/>
  <c r="F47" i="5"/>
  <c r="F47" i="32" s="1"/>
  <c r="L28" i="5"/>
  <c r="L28" i="32" s="1"/>
  <c r="G17" i="5"/>
  <c r="G17" i="32" s="1"/>
  <c r="M15" i="5"/>
  <c r="M15" i="32" s="1"/>
  <c r="J34" i="5"/>
  <c r="J34" i="32" s="1"/>
  <c r="N59" i="5"/>
  <c r="N59" i="32" s="1"/>
  <c r="I41" i="5"/>
  <c r="I41" i="32" s="1"/>
  <c r="F22" i="5"/>
  <c r="F22" i="32" s="1"/>
  <c r="E51" i="5"/>
  <c r="E51" i="32" s="1"/>
  <c r="C17" i="5"/>
  <c r="C17" i="32" s="1"/>
  <c r="L22" i="5"/>
  <c r="L22" i="32" s="1"/>
  <c r="G56" i="5"/>
  <c r="G56" i="32" s="1"/>
  <c r="J21" i="5"/>
  <c r="J21" i="32" s="1"/>
  <c r="O27" i="5"/>
  <c r="M59" i="5"/>
  <c r="M59" i="32" s="1"/>
  <c r="E47" i="5"/>
  <c r="E47" i="32" s="1"/>
  <c r="L32" i="5"/>
  <c r="L32" i="32" s="1"/>
  <c r="I40" i="5"/>
  <c r="I40" i="32" s="1"/>
  <c r="H43" i="5"/>
  <c r="H43" i="32" s="1"/>
  <c r="C34" i="5"/>
  <c r="C34" i="32" s="1"/>
  <c r="E31" i="5"/>
  <c r="E31" i="32" s="1"/>
  <c r="N40" i="5"/>
  <c r="N40" i="32" s="1"/>
  <c r="F26" i="5"/>
  <c r="F26" i="32" s="1"/>
  <c r="O21" i="5"/>
  <c r="F29" i="5"/>
  <c r="F29" i="32" s="1"/>
  <c r="N18" i="5"/>
  <c r="N18" i="32" s="1"/>
  <c r="G53" i="5"/>
  <c r="G53" i="32" s="1"/>
  <c r="M39" i="5"/>
  <c r="M39" i="32" s="1"/>
  <c r="J6" i="5"/>
  <c r="N15" i="5"/>
  <c r="N15" i="32" s="1"/>
  <c r="N21" i="5"/>
  <c r="N21" i="32" s="1"/>
  <c r="M34" i="5"/>
  <c r="M34" i="32" s="1"/>
  <c r="O51" i="5"/>
  <c r="N7" i="5"/>
  <c r="N7" i="32" s="1"/>
  <c r="M30" i="5"/>
  <c r="M30" i="32" s="1"/>
  <c r="K36" i="5"/>
  <c r="K36" i="32" s="1"/>
  <c r="N54" i="5"/>
  <c r="N54" i="32" s="1"/>
  <c r="O56" i="5"/>
  <c r="N51" i="5"/>
  <c r="N51" i="32" s="1"/>
  <c r="O10" i="5"/>
  <c r="O79" i="5" s="1"/>
  <c r="N38" i="5"/>
  <c r="N38" i="32" s="1"/>
  <c r="K43" i="5"/>
  <c r="K43" i="32" s="1"/>
  <c r="I24" i="5"/>
  <c r="I24" i="32" s="1"/>
  <c r="O23" i="5"/>
  <c r="K6" i="5"/>
  <c r="J53" i="5"/>
  <c r="J53" i="32" s="1"/>
  <c r="E23" i="5"/>
  <c r="E23" i="32" s="1"/>
  <c r="I45" i="5"/>
  <c r="I45" i="32" s="1"/>
  <c r="L23" i="5"/>
  <c r="L23" i="32" s="1"/>
  <c r="O29" i="5"/>
  <c r="C44" i="5"/>
  <c r="C44" i="32" s="1"/>
  <c r="I64" i="5"/>
  <c r="I64" i="32" s="1"/>
  <c r="O30" i="5"/>
  <c r="J42" i="5"/>
  <c r="J42" i="32" s="1"/>
  <c r="C20" i="5"/>
  <c r="C20" i="32" s="1"/>
  <c r="N22" i="5"/>
  <c r="N22" i="32" s="1"/>
  <c r="G21" i="5"/>
  <c r="G21" i="32" s="1"/>
  <c r="I65" i="5"/>
  <c r="I65" i="32" s="1"/>
  <c r="G49" i="5"/>
  <c r="G49" i="32" s="1"/>
  <c r="G28" i="5"/>
  <c r="G28" i="32" s="1"/>
  <c r="H50" i="5"/>
  <c r="H50" i="32" s="1"/>
  <c r="M38" i="5"/>
  <c r="M38" i="32" s="1"/>
  <c r="H45" i="5"/>
  <c r="H45" i="32" s="1"/>
  <c r="F18" i="5"/>
  <c r="F18" i="32" s="1"/>
  <c r="F32" i="5"/>
  <c r="F32" i="32" s="1"/>
  <c r="I16" i="5"/>
  <c r="I16" i="32" s="1"/>
  <c r="G25" i="5"/>
  <c r="G25" i="32" s="1"/>
  <c r="E19" i="5"/>
  <c r="E19" i="32" s="1"/>
  <c r="D7" i="5"/>
  <c r="D7" i="32" s="1"/>
  <c r="N10" i="5"/>
  <c r="N10" i="32" s="1"/>
  <c r="I52" i="5"/>
  <c r="I52" i="32" s="1"/>
  <c r="D28" i="5"/>
  <c r="D28" i="32" s="1"/>
  <c r="G46" i="5"/>
  <c r="G46" i="32" s="1"/>
  <c r="K20" i="5"/>
  <c r="K20" i="32" s="1"/>
  <c r="M36" i="5"/>
  <c r="M36" i="32" s="1"/>
  <c r="I10" i="5"/>
  <c r="I10" i="32" s="1"/>
  <c r="L51" i="5"/>
  <c r="L51" i="32" s="1"/>
  <c r="H20" i="5"/>
  <c r="H20" i="32" s="1"/>
  <c r="F40" i="5"/>
  <c r="F40" i="32" s="1"/>
  <c r="K53" i="5"/>
  <c r="K53" i="32" s="1"/>
  <c r="C23" i="5"/>
  <c r="C23" i="32" s="1"/>
  <c r="L26" i="5"/>
  <c r="L26" i="32" s="1"/>
  <c r="J52" i="5"/>
  <c r="J52" i="32" s="1"/>
  <c r="D34" i="5"/>
  <c r="D34" i="32" s="1"/>
  <c r="F14" i="5"/>
  <c r="C27" i="5"/>
  <c r="C27" i="32" s="1"/>
  <c r="K48" i="5"/>
  <c r="K48" i="32" s="1"/>
  <c r="D29" i="5"/>
  <c r="D29" i="32" s="1"/>
  <c r="G31" i="5"/>
  <c r="G31" i="32" s="1"/>
  <c r="L21" i="5"/>
  <c r="L21" i="32" s="1"/>
  <c r="H41" i="5"/>
  <c r="H41" i="32" s="1"/>
  <c r="E25" i="5"/>
  <c r="E25" i="32" s="1"/>
  <c r="K10" i="5"/>
  <c r="K10" i="32" s="1"/>
  <c r="I32" i="5"/>
  <c r="I32" i="32" s="1"/>
  <c r="I35" i="5"/>
  <c r="I35" i="32" s="1"/>
  <c r="K54" i="5"/>
  <c r="K54" i="32" s="1"/>
  <c r="N9" i="5"/>
  <c r="N9" i="32" s="1"/>
  <c r="J49" i="5"/>
  <c r="J49" i="32" s="1"/>
  <c r="G42" i="5"/>
  <c r="G42" i="32" s="1"/>
  <c r="I49" i="5"/>
  <c r="I49" i="32" s="1"/>
  <c r="J37" i="5"/>
  <c r="J37" i="32" s="1"/>
  <c r="K39" i="5"/>
  <c r="K39" i="32" s="1"/>
  <c r="N23" i="5"/>
  <c r="N23" i="32" s="1"/>
  <c r="C48" i="5"/>
  <c r="C48" i="32" s="1"/>
  <c r="L30" i="5"/>
  <c r="L30" i="32" s="1"/>
  <c r="M53" i="5"/>
  <c r="M53" i="32" s="1"/>
  <c r="C64" i="5"/>
  <c r="C64" i="32" s="1"/>
  <c r="L10" i="5"/>
  <c r="L10" i="32" s="1"/>
  <c r="D51" i="5"/>
  <c r="D51" i="32" s="1"/>
  <c r="F45" i="5"/>
  <c r="F45" i="32" s="1"/>
  <c r="K25" i="5"/>
  <c r="K25" i="32" s="1"/>
  <c r="L27" i="5"/>
  <c r="L27" i="32" s="1"/>
  <c r="M25" i="5"/>
  <c r="M25" i="32" s="1"/>
  <c r="E56" i="5"/>
  <c r="E56" i="32" s="1"/>
  <c r="G37" i="5"/>
  <c r="G37" i="32" s="1"/>
  <c r="H27" i="5"/>
  <c r="H27" i="32" s="1"/>
  <c r="N26" i="5"/>
  <c r="N26" i="32" s="1"/>
  <c r="H36" i="5"/>
  <c r="H36" i="32" s="1"/>
  <c r="I58" i="5"/>
  <c r="I58" i="32" s="1"/>
  <c r="J50" i="5"/>
  <c r="J50" i="32" s="1"/>
  <c r="M33" i="5"/>
  <c r="M33" i="32" s="1"/>
  <c r="J58" i="5"/>
  <c r="J58" i="32" s="1"/>
  <c r="M28" i="5"/>
  <c r="M28" i="32" s="1"/>
  <c r="L54" i="5"/>
  <c r="L54" i="32" s="1"/>
  <c r="N20" i="5"/>
  <c r="N20" i="32" s="1"/>
  <c r="O24" i="5"/>
  <c r="E50" i="5"/>
  <c r="E50" i="32" s="1"/>
  <c r="D32" i="5"/>
  <c r="D32" i="32" s="1"/>
  <c r="K33" i="5"/>
  <c r="K33" i="32" s="1"/>
  <c r="C18" i="5"/>
  <c r="C18" i="32" s="1"/>
  <c r="M35" i="5"/>
  <c r="M35" i="32" s="1"/>
  <c r="N35" i="5"/>
  <c r="N35" i="32" s="1"/>
  <c r="H25" i="5"/>
  <c r="H25" i="32" s="1"/>
  <c r="L48" i="5"/>
  <c r="L48" i="32" s="1"/>
  <c r="K51" i="5"/>
  <c r="K51" i="32" s="1"/>
  <c r="J15" i="5"/>
  <c r="J15" i="32" s="1"/>
  <c r="G39" i="5"/>
  <c r="G39" i="32" s="1"/>
  <c r="M37" i="5"/>
  <c r="M37" i="32" s="1"/>
  <c r="G7" i="5"/>
  <c r="G7" i="32" s="1"/>
  <c r="D42" i="5"/>
  <c r="D42" i="32" s="1"/>
  <c r="K60" i="5"/>
  <c r="K60" i="32" s="1"/>
  <c r="H7" i="5"/>
  <c r="H7" i="32" s="1"/>
  <c r="O34" i="5"/>
  <c r="F42" i="5"/>
  <c r="F42" i="32" s="1"/>
  <c r="M21" i="5"/>
  <c r="M21" i="32" s="1"/>
  <c r="D31" i="5"/>
  <c r="D31" i="32" s="1"/>
  <c r="M65" i="5"/>
  <c r="M65" i="32" s="1"/>
  <c r="L43" i="5"/>
  <c r="L43" i="32" s="1"/>
  <c r="M18" i="5"/>
  <c r="M18" i="32" s="1"/>
  <c r="E35" i="5"/>
  <c r="E35" i="32" s="1"/>
  <c r="I60" i="5"/>
  <c r="I60" i="32" s="1"/>
  <c r="G58" i="5"/>
  <c r="G58" i="32" s="1"/>
  <c r="D60" i="5"/>
  <c r="D60" i="32" s="1"/>
  <c r="H53" i="5"/>
  <c r="H53" i="32" s="1"/>
  <c r="N58" i="5"/>
  <c r="N58" i="32" s="1"/>
  <c r="I7" i="5"/>
  <c r="I7" i="32" s="1"/>
  <c r="L49" i="5"/>
  <c r="L49" i="32" s="1"/>
  <c r="F53" i="5"/>
  <c r="F53" i="32" s="1"/>
  <c r="I38" i="5"/>
  <c r="I38" i="32" s="1"/>
  <c r="H37" i="5"/>
  <c r="H37" i="32" s="1"/>
  <c r="J28" i="5"/>
  <c r="J28" i="32" s="1"/>
  <c r="C16" i="5"/>
  <c r="C16" i="32" s="1"/>
  <c r="D46" i="5"/>
  <c r="D46" i="32" s="1"/>
  <c r="H65" i="5"/>
  <c r="H65" i="32" s="1"/>
  <c r="N29" i="5"/>
  <c r="N29" i="32" s="1"/>
  <c r="I6" i="5"/>
  <c r="J60" i="5"/>
  <c r="J60" i="32" s="1"/>
  <c r="M60" i="5"/>
  <c r="M60" i="32" s="1"/>
  <c r="F60" i="5"/>
  <c r="F60" i="32" s="1"/>
  <c r="F24" i="5"/>
  <c r="F24" i="32" s="1"/>
  <c r="M50" i="5"/>
  <c r="M50" i="32" s="1"/>
  <c r="J33" i="5"/>
  <c r="J33" i="32" s="1"/>
  <c r="J47" i="5"/>
  <c r="J47" i="32" s="1"/>
  <c r="I19" i="5"/>
  <c r="I19" i="32" s="1"/>
  <c r="E32" i="5"/>
  <c r="E32" i="32" s="1"/>
  <c r="K41" i="5"/>
  <c r="K41" i="32" s="1"/>
  <c r="I14" i="5"/>
  <c r="D56" i="5"/>
  <c r="D56" i="32" s="1"/>
  <c r="E37" i="5"/>
  <c r="E37" i="32" s="1"/>
  <c r="I36" i="5"/>
  <c r="I36" i="32" s="1"/>
  <c r="L57" i="5"/>
  <c r="L57" i="32" s="1"/>
  <c r="C55" i="5"/>
  <c r="C55" i="32" s="1"/>
  <c r="F25" i="5"/>
  <c r="F25" i="32" s="1"/>
  <c r="G23" i="5"/>
  <c r="G23" i="32" s="1"/>
  <c r="C35" i="5"/>
  <c r="C35" i="32" s="1"/>
  <c r="O48" i="5"/>
  <c r="K55" i="5"/>
  <c r="K55" i="32" s="1"/>
  <c r="G47" i="5"/>
  <c r="G47" i="32" s="1"/>
  <c r="C43" i="5"/>
  <c r="C43" i="32" s="1"/>
  <c r="F16" i="5"/>
  <c r="F16" i="32" s="1"/>
  <c r="N45" i="5"/>
  <c r="N45" i="32" s="1"/>
  <c r="I21" i="5"/>
  <c r="I21" i="32" s="1"/>
  <c r="L20" i="5"/>
  <c r="L20" i="32" s="1"/>
  <c r="M40" i="5"/>
  <c r="M40" i="32" s="1"/>
  <c r="C36" i="5"/>
  <c r="C36" i="32" s="1"/>
  <c r="F54" i="5"/>
  <c r="F54" i="32" s="1"/>
  <c r="N55" i="5"/>
  <c r="N55" i="32" s="1"/>
  <c r="D21" i="5"/>
  <c r="D21" i="32" s="1"/>
  <c r="E55" i="5"/>
  <c r="E55" i="32" s="1"/>
  <c r="N39" i="5"/>
  <c r="N39" i="32" s="1"/>
  <c r="E53" i="5"/>
  <c r="E53" i="32" s="1"/>
  <c r="M52" i="5"/>
  <c r="M52" i="32" s="1"/>
  <c r="C22" i="5"/>
  <c r="C22" i="32" s="1"/>
  <c r="C58" i="5"/>
  <c r="C58" i="32" s="1"/>
  <c r="F28" i="5"/>
  <c r="F28" i="32" s="1"/>
  <c r="J35" i="5"/>
  <c r="J35" i="32" s="1"/>
  <c r="M46" i="5"/>
  <c r="M46" i="32" s="1"/>
  <c r="K9" i="5"/>
  <c r="K9" i="32" s="1"/>
  <c r="O52" i="5"/>
  <c r="D64" i="5"/>
  <c r="D64" i="32" s="1"/>
  <c r="N16" i="5"/>
  <c r="N16" i="32" s="1"/>
  <c r="G43" i="5"/>
  <c r="G43" i="32" s="1"/>
  <c r="N46" i="5"/>
  <c r="N46" i="32" s="1"/>
  <c r="F59" i="5"/>
  <c r="F59" i="32" s="1"/>
  <c r="E45" i="5"/>
  <c r="E45" i="32" s="1"/>
  <c r="I34" i="5"/>
  <c r="I34" i="32" s="1"/>
  <c r="N30" i="5"/>
  <c r="N30" i="32" s="1"/>
  <c r="K17" i="5"/>
  <c r="K17" i="32" s="1"/>
  <c r="E30" i="5"/>
  <c r="E30" i="32" s="1"/>
  <c r="N65" i="5"/>
  <c r="N65" i="32" s="1"/>
  <c r="H14" i="5"/>
  <c r="C28" i="5"/>
  <c r="C28" i="32" s="1"/>
  <c r="J36" i="5"/>
  <c r="J36" i="32" s="1"/>
  <c r="F48" i="5"/>
  <c r="F48" i="32" s="1"/>
  <c r="L33" i="5"/>
  <c r="L33" i="32" s="1"/>
  <c r="M7" i="5"/>
  <c r="M7" i="32" s="1"/>
  <c r="E26" i="5"/>
  <c r="E26" i="32" s="1"/>
  <c r="I25" i="5"/>
  <c r="I25" i="32" s="1"/>
  <c r="O31" i="5"/>
  <c r="D16" i="5"/>
  <c r="D16" i="32" s="1"/>
  <c r="E7" i="5"/>
  <c r="E7" i="32" s="1"/>
  <c r="I48" i="5"/>
  <c r="I48" i="32" s="1"/>
  <c r="G29" i="5"/>
  <c r="G29" i="32" s="1"/>
  <c r="J57" i="5"/>
  <c r="J57" i="32" s="1"/>
  <c r="H22" i="5"/>
  <c r="H22" i="32" s="1"/>
  <c r="J48" i="5"/>
  <c r="J48" i="32" s="1"/>
  <c r="I44" i="5"/>
  <c r="I44" i="32" s="1"/>
  <c r="J7" i="5"/>
  <c r="J7" i="32" s="1"/>
  <c r="K46" i="5"/>
  <c r="K46" i="32" s="1"/>
  <c r="K22" i="5"/>
  <c r="K22" i="32" s="1"/>
  <c r="F38" i="5"/>
  <c r="F38" i="32" s="1"/>
  <c r="E48" i="5"/>
  <c r="E48" i="32" s="1"/>
  <c r="L38" i="5"/>
  <c r="L38" i="32" s="1"/>
  <c r="F35" i="5"/>
  <c r="F35" i="32" s="1"/>
  <c r="N31" i="5"/>
  <c r="N31" i="32" s="1"/>
  <c r="J65" i="5"/>
  <c r="J65" i="32" s="1"/>
  <c r="I47" i="5"/>
  <c r="I47" i="32" s="1"/>
  <c r="C52" i="5"/>
  <c r="C52" i="32" s="1"/>
  <c r="K35" i="5"/>
  <c r="K35" i="32" s="1"/>
  <c r="K32" i="5"/>
  <c r="K32" i="32" s="1"/>
  <c r="M48" i="5"/>
  <c r="M48" i="32" s="1"/>
  <c r="G48" i="5"/>
  <c r="G48" i="32" s="1"/>
  <c r="M44" i="5"/>
  <c r="M44" i="32" s="1"/>
  <c r="E38" i="5"/>
  <c r="E38" i="32" s="1"/>
  <c r="N53" i="5"/>
  <c r="N53" i="32" s="1"/>
  <c r="C46" i="5"/>
  <c r="C46" i="32" s="1"/>
  <c r="O57" i="5"/>
  <c r="M43" i="5"/>
  <c r="M43" i="32" s="1"/>
  <c r="K56" i="5"/>
  <c r="K56" i="32" s="1"/>
  <c r="D39" i="5"/>
  <c r="D39" i="32" s="1"/>
  <c r="K26" i="5"/>
  <c r="K26" i="32" s="1"/>
  <c r="E40" i="5"/>
  <c r="E40" i="32" s="1"/>
  <c r="J26" i="5"/>
  <c r="J26" i="32" s="1"/>
  <c r="N14" i="5"/>
  <c r="M10" i="5"/>
  <c r="M10" i="32" s="1"/>
  <c r="F15" i="5"/>
  <c r="F15" i="32" s="1"/>
  <c r="I46" i="5"/>
  <c r="I46" i="32" s="1"/>
  <c r="H46" i="5"/>
  <c r="H46" i="32" s="1"/>
  <c r="L16" i="5"/>
  <c r="L16" i="32" s="1"/>
  <c r="O60" i="5"/>
  <c r="K29" i="5"/>
  <c r="K29" i="32" s="1"/>
  <c r="C24" i="5"/>
  <c r="C24" i="32" s="1"/>
  <c r="C38" i="5"/>
  <c r="C38" i="32" s="1"/>
  <c r="F43" i="5"/>
  <c r="F43" i="32" s="1"/>
  <c r="C47" i="5"/>
  <c r="C47" i="32" s="1"/>
  <c r="E24" i="5"/>
  <c r="E24" i="32" s="1"/>
  <c r="D49" i="5"/>
  <c r="D49" i="32" s="1"/>
  <c r="M41" i="5"/>
  <c r="M41" i="32" s="1"/>
  <c r="D43" i="5"/>
  <c r="D43" i="32" s="1"/>
  <c r="E27" i="5"/>
  <c r="E27" i="32" s="1"/>
  <c r="C50" i="5"/>
  <c r="C50" i="32" s="1"/>
  <c r="H34" i="5"/>
  <c r="H34" i="32" s="1"/>
  <c r="C30" i="5"/>
  <c r="C30" i="32" s="1"/>
  <c r="D17" i="5"/>
  <c r="D17" i="32" s="1"/>
  <c r="L46" i="5"/>
  <c r="L46" i="32" s="1"/>
  <c r="E59" i="5"/>
  <c r="E59" i="32" s="1"/>
  <c r="O22" i="5"/>
  <c r="E29" i="5"/>
  <c r="E29" i="32" s="1"/>
  <c r="F7" i="5"/>
  <c r="F7" i="32" s="1"/>
  <c r="D25" i="5"/>
  <c r="D25" i="32" s="1"/>
  <c r="H52" i="5"/>
  <c r="H52" i="32" s="1"/>
  <c r="E15" i="5"/>
  <c r="E15" i="32" s="1"/>
  <c r="K58" i="5"/>
  <c r="K58" i="32" s="1"/>
  <c r="N19" i="5"/>
  <c r="N19" i="32" s="1"/>
  <c r="H23" i="5"/>
  <c r="H23" i="32" s="1"/>
  <c r="H57" i="5"/>
  <c r="H57" i="32" s="1"/>
  <c r="I15" i="5"/>
  <c r="I15" i="32" s="1"/>
  <c r="M58" i="5"/>
  <c r="M58" i="32" s="1"/>
  <c r="I9" i="5"/>
  <c r="I9" i="32" s="1"/>
  <c r="G19" i="5"/>
  <c r="G19" i="32" s="1"/>
  <c r="J38" i="5"/>
  <c r="J38" i="32" s="1"/>
  <c r="H38" i="5"/>
  <c r="H38" i="32" s="1"/>
  <c r="F31" i="5"/>
  <c r="F31" i="32" s="1"/>
  <c r="K14" i="5"/>
  <c r="E58" i="5"/>
  <c r="E58" i="32" s="1"/>
  <c r="C9" i="5"/>
  <c r="C9" i="32" s="1"/>
  <c r="L55" i="5"/>
  <c r="L55" i="32" s="1"/>
  <c r="M45" i="5"/>
  <c r="M45" i="32" s="1"/>
  <c r="L25" i="5"/>
  <c r="L25" i="32" s="1"/>
  <c r="H44" i="5"/>
  <c r="H44" i="32" s="1"/>
  <c r="F50" i="5"/>
  <c r="F50" i="32" s="1"/>
  <c r="H48" i="5"/>
  <c r="H48" i="32" s="1"/>
  <c r="E41" i="5"/>
  <c r="E41" i="32" s="1"/>
  <c r="L34" i="5"/>
  <c r="L34" i="32" s="1"/>
  <c r="O26" i="5"/>
  <c r="K45" i="5"/>
  <c r="K45" i="32" s="1"/>
  <c r="I59" i="5"/>
  <c r="I59" i="32" s="1"/>
  <c r="G57" i="5"/>
  <c r="G57" i="32" s="1"/>
  <c r="M16" i="5"/>
  <c r="M16" i="32" s="1"/>
  <c r="E20" i="5"/>
  <c r="E20" i="32" s="1"/>
  <c r="I26" i="5"/>
  <c r="I26" i="32" s="1"/>
  <c r="O49" i="5"/>
  <c r="I37" i="5"/>
  <c r="I37" i="32" s="1"/>
  <c r="G34" i="5"/>
  <c r="G34" i="32" s="1"/>
  <c r="K59" i="5"/>
  <c r="K59" i="32" s="1"/>
  <c r="D38" i="5"/>
  <c r="D38" i="32" s="1"/>
  <c r="G26" i="5"/>
  <c r="G26" i="32" s="1"/>
  <c r="M6" i="5"/>
  <c r="M54" i="5"/>
  <c r="M54" i="32" s="1"/>
  <c r="D15" i="5"/>
  <c r="D15" i="32" s="1"/>
  <c r="I50" i="5"/>
  <c r="I50" i="32" s="1"/>
  <c r="H49" i="5"/>
  <c r="H49" i="32" s="1"/>
  <c r="G55" i="5"/>
  <c r="G55" i="32" s="1"/>
  <c r="F17" i="5"/>
  <c r="F17" i="32" s="1"/>
  <c r="H6" i="5"/>
  <c r="F21" i="5"/>
  <c r="F21" i="32" s="1"/>
  <c r="D26" i="5"/>
  <c r="D26" i="32" s="1"/>
  <c r="N33" i="5"/>
  <c r="N33" i="32" s="1"/>
  <c r="N48" i="5"/>
  <c r="N48" i="32" s="1"/>
  <c r="E54" i="5"/>
  <c r="E54" i="32" s="1"/>
  <c r="E16" i="5"/>
  <c r="E16" i="32" s="1"/>
  <c r="L44" i="5"/>
  <c r="L44" i="32" s="1"/>
  <c r="O59" i="5"/>
  <c r="G36" i="5"/>
  <c r="G36" i="32" s="1"/>
  <c r="O39" i="5"/>
  <c r="F33" i="5"/>
  <c r="F33" i="32" s="1"/>
  <c r="J24" i="5"/>
  <c r="J24" i="32" s="1"/>
  <c r="E6" i="5"/>
  <c r="F30" i="5"/>
  <c r="F30" i="32" s="1"/>
  <c r="G16" i="5"/>
  <c r="G16" i="32" s="1"/>
  <c r="C15" i="5"/>
  <c r="C15" i="32" s="1"/>
  <c r="D24" i="5"/>
  <c r="D24" i="32" s="1"/>
  <c r="G9" i="5"/>
  <c r="G9" i="32" s="1"/>
  <c r="G44" i="5"/>
  <c r="G44" i="32" s="1"/>
  <c r="L50" i="5"/>
  <c r="L50" i="32" s="1"/>
  <c r="C60" i="5"/>
  <c r="C60" i="32" s="1"/>
  <c r="H55" i="5"/>
  <c r="H55" i="32" s="1"/>
  <c r="C49" i="5"/>
  <c r="C49" i="32" s="1"/>
  <c r="O36" i="5"/>
  <c r="N28" i="5"/>
  <c r="N28" i="32" s="1"/>
  <c r="F52" i="5"/>
  <c r="F52" i="32" s="1"/>
  <c r="H47" i="5"/>
  <c r="H47" i="32" s="1"/>
  <c r="J30" i="5"/>
  <c r="J30" i="32" s="1"/>
  <c r="O41" i="5"/>
  <c r="C10" i="5"/>
  <c r="C10" i="32" s="1"/>
  <c r="F36" i="5"/>
  <c r="F36" i="32" s="1"/>
  <c r="N52" i="5"/>
  <c r="N52" i="32" s="1"/>
  <c r="J22" i="5"/>
  <c r="J22" i="32" s="1"/>
  <c r="I57" i="5"/>
  <c r="I57" i="32" s="1"/>
  <c r="H17" i="5"/>
  <c r="H17" i="32" s="1"/>
  <c r="K49" i="5"/>
  <c r="K49" i="32" s="1"/>
  <c r="D36" i="5"/>
  <c r="D36" i="32" s="1"/>
  <c r="K16" i="5"/>
  <c r="K16" i="32" s="1"/>
  <c r="F55" i="5"/>
  <c r="F55" i="32" s="1"/>
  <c r="F23" i="5"/>
  <c r="F23" i="32" s="1"/>
  <c r="N41" i="5"/>
  <c r="N41" i="32" s="1"/>
  <c r="K21" i="5"/>
  <c r="K21" i="32" s="1"/>
  <c r="D40" i="5"/>
  <c r="D40" i="32" s="1"/>
  <c r="N36" i="5"/>
  <c r="N36" i="32" s="1"/>
  <c r="G54" i="5"/>
  <c r="G54" i="32" s="1"/>
  <c r="K18" i="5"/>
  <c r="K18" i="32" s="1"/>
  <c r="I51" i="5"/>
  <c r="I51" i="32" s="1"/>
  <c r="E57" i="5"/>
  <c r="E57" i="32" s="1"/>
  <c r="C21" i="5"/>
  <c r="C21" i="32" s="1"/>
  <c r="J25" i="5"/>
  <c r="J25" i="32" s="1"/>
  <c r="L15" i="5"/>
  <c r="L15" i="32" s="1"/>
  <c r="I53" i="5"/>
  <c r="I53" i="32" s="1"/>
  <c r="D48" i="5"/>
  <c r="D48" i="32" s="1"/>
  <c r="G50" i="5"/>
  <c r="G50" i="32" s="1"/>
  <c r="J56" i="5"/>
  <c r="J56" i="32" s="1"/>
  <c r="J17" i="5"/>
  <c r="J17" i="32" s="1"/>
  <c r="G14" i="5"/>
  <c r="E60" i="5"/>
  <c r="E60" i="32" s="1"/>
  <c r="L39" i="5"/>
  <c r="L39" i="32" s="1"/>
  <c r="N32" i="5"/>
  <c r="N32" i="32" s="1"/>
  <c r="L6" i="5"/>
  <c r="O19" i="5"/>
  <c r="H15" i="5"/>
  <c r="H15" i="32" s="1"/>
  <c r="D30" i="5"/>
  <c r="D30" i="32" s="1"/>
  <c r="F9" i="5"/>
  <c r="F9" i="32" s="1"/>
  <c r="F34" i="5"/>
  <c r="F34" i="32" s="1"/>
  <c r="C54" i="5"/>
  <c r="C54" i="32" s="1"/>
  <c r="M17" i="5"/>
  <c r="M17" i="32" s="1"/>
  <c r="F20" i="5"/>
  <c r="F20" i="32" s="1"/>
  <c r="O55" i="5"/>
  <c r="G59" i="5"/>
  <c r="G59" i="32" s="1"/>
  <c r="L58" i="5"/>
  <c r="L58" i="32" s="1"/>
  <c r="H58" i="5"/>
  <c r="H58" i="32" s="1"/>
  <c r="O42" i="5"/>
  <c r="L37" i="5"/>
  <c r="L37" i="32" s="1"/>
  <c r="H10" i="5"/>
  <c r="H10" i="32" s="1"/>
  <c r="N49" i="5"/>
  <c r="N49" i="32" s="1"/>
  <c r="D50" i="5"/>
  <c r="D50" i="32" s="1"/>
  <c r="L56" i="5"/>
  <c r="L56" i="32" s="1"/>
  <c r="K47" i="5"/>
  <c r="K47" i="32" s="1"/>
  <c r="I29" i="5"/>
  <c r="I29" i="32" s="1"/>
  <c r="K28" i="5"/>
  <c r="K28" i="32" s="1"/>
  <c r="O38" i="5"/>
  <c r="I39" i="5"/>
  <c r="I39" i="32" s="1"/>
  <c r="D33" i="5"/>
  <c r="D33" i="32" s="1"/>
  <c r="L59" i="5"/>
  <c r="L59" i="32" s="1"/>
  <c r="L14" i="5"/>
  <c r="L45" i="5"/>
  <c r="L45" i="32" s="1"/>
  <c r="J29" i="5"/>
  <c r="J29" i="32" s="1"/>
  <c r="F57" i="5"/>
  <c r="F57" i="32" s="1"/>
  <c r="G27" i="5"/>
  <c r="G27" i="32" s="1"/>
  <c r="D44" i="5"/>
  <c r="D44" i="32" s="1"/>
  <c r="M26" i="5"/>
  <c r="M26" i="32" s="1"/>
  <c r="E33" i="5"/>
  <c r="E33" i="32" s="1"/>
  <c r="L36" i="5"/>
  <c r="L36" i="32" s="1"/>
  <c r="H28" i="5"/>
  <c r="H28" i="32" s="1"/>
  <c r="F10" i="5"/>
  <c r="F10" i="32" s="1"/>
  <c r="I55" i="5"/>
  <c r="I55" i="32" s="1"/>
  <c r="O65" i="5"/>
  <c r="O62" i="5" s="1"/>
  <c r="M23" i="5"/>
  <c r="M23" i="32" s="1"/>
  <c r="F37" i="5"/>
  <c r="F37" i="32" s="1"/>
  <c r="D14" i="5"/>
  <c r="F56" i="5"/>
  <c r="F56" i="32" s="1"/>
  <c r="E18" i="5"/>
  <c r="E18" i="32" s="1"/>
  <c r="N44" i="5"/>
  <c r="N44" i="32" s="1"/>
  <c r="C51" i="5"/>
  <c r="C51" i="32" s="1"/>
  <c r="O35" i="5"/>
  <c r="D57" i="5"/>
  <c r="D57" i="32" s="1"/>
  <c r="D55" i="5"/>
  <c r="D55" i="32" s="1"/>
  <c r="D35" i="5"/>
  <c r="D35" i="32" s="1"/>
  <c r="J32" i="5"/>
  <c r="J32" i="32" s="1"/>
  <c r="D53" i="5"/>
  <c r="D53" i="32" s="1"/>
  <c r="H26" i="5"/>
  <c r="H26" i="32" s="1"/>
  <c r="G45" i="5"/>
  <c r="G45" i="32" s="1"/>
  <c r="N60" i="5"/>
  <c r="N60" i="32" s="1"/>
  <c r="G30" i="5"/>
  <c r="G30" i="32" s="1"/>
  <c r="M57" i="5"/>
  <c r="M57" i="32" s="1"/>
  <c r="K30" i="5"/>
  <c r="K30" i="32" s="1"/>
  <c r="E14" i="5"/>
  <c r="D19" i="5"/>
  <c r="D19" i="32" s="1"/>
  <c r="E43" i="5"/>
  <c r="E43" i="32" s="1"/>
  <c r="C40" i="5"/>
  <c r="C40" i="32" s="1"/>
  <c r="K7" i="5"/>
  <c r="K7" i="32" s="1"/>
  <c r="F46" i="5"/>
  <c r="F46" i="32" s="1"/>
  <c r="I18" i="5"/>
  <c r="I18" i="32" s="1"/>
  <c r="C26" i="5"/>
  <c r="C26" i="32" s="1"/>
  <c r="G41" i="5"/>
  <c r="G41" i="32" s="1"/>
  <c r="O6" i="5"/>
  <c r="G60" i="5"/>
  <c r="G60" i="32" s="1"/>
  <c r="L47" i="5"/>
  <c r="L47" i="32" s="1"/>
  <c r="O7" i="5"/>
  <c r="F65" i="5"/>
  <c r="F65" i="32" s="1"/>
  <c r="C37" i="5"/>
  <c r="C37" i="32" s="1"/>
  <c r="M29" i="5"/>
  <c r="M29" i="32" s="1"/>
  <c r="D65" i="5"/>
  <c r="D65" i="32" s="1"/>
  <c r="H31" i="5"/>
  <c r="H31" i="32" s="1"/>
  <c r="N27" i="5"/>
  <c r="N27" i="32" s="1"/>
  <c r="N47" i="5"/>
  <c r="N47" i="32" s="1"/>
  <c r="G33" i="5"/>
  <c r="G33" i="32" s="1"/>
  <c r="C29" i="5"/>
  <c r="C29" i="32" s="1"/>
  <c r="I17" i="5"/>
  <c r="I17" i="32" s="1"/>
  <c r="C32" i="5"/>
  <c r="C32" i="32" s="1"/>
  <c r="D54" i="5"/>
  <c r="D54" i="32" s="1"/>
  <c r="M31" i="5"/>
  <c r="M31" i="32" s="1"/>
  <c r="D58" i="5"/>
  <c r="D58" i="32" s="1"/>
  <c r="G15" i="5"/>
  <c r="G15" i="32" s="1"/>
  <c r="J44" i="5"/>
  <c r="J44" i="32" s="1"/>
  <c r="H16" i="5"/>
  <c r="H16" i="32" s="1"/>
  <c r="C14" i="5"/>
  <c r="C19" i="5"/>
  <c r="C19" i="32" s="1"/>
  <c r="C59" i="5"/>
  <c r="C59" i="32" s="1"/>
  <c r="E17" i="5"/>
  <c r="E17" i="32" s="1"/>
  <c r="J20" i="5"/>
  <c r="J20" i="32" s="1"/>
  <c r="D47" i="5"/>
  <c r="D47" i="32" s="1"/>
  <c r="N34" i="5"/>
  <c r="N34" i="32" s="1"/>
  <c r="H54" i="5"/>
  <c r="H54" i="32" s="1"/>
  <c r="O47" i="5"/>
  <c r="K63" i="5"/>
  <c r="K63" i="32" s="1"/>
  <c r="F63" i="5"/>
  <c r="F63" i="32" s="1"/>
  <c r="N42" i="5"/>
  <c r="N42" i="32" s="1"/>
  <c r="J23" i="5"/>
  <c r="J23" i="32" s="1"/>
  <c r="J51" i="5"/>
  <c r="J51" i="32" s="1"/>
  <c r="F27" i="5"/>
  <c r="F27" i="32" s="1"/>
  <c r="N50" i="5"/>
  <c r="N50" i="32" s="1"/>
  <c r="L35" i="5"/>
  <c r="L35" i="32" s="1"/>
  <c r="D52" i="5"/>
  <c r="D52" i="32" s="1"/>
  <c r="K19" i="5"/>
  <c r="K19" i="32" s="1"/>
  <c r="K23" i="5"/>
  <c r="K23" i="32" s="1"/>
  <c r="I30" i="5"/>
  <c r="I30" i="32" s="1"/>
  <c r="H18" i="5"/>
  <c r="H18" i="32" s="1"/>
  <c r="H9" i="5"/>
  <c r="H9" i="32" s="1"/>
  <c r="G64" i="5"/>
  <c r="G64" i="32" s="1"/>
  <c r="K64" i="5"/>
  <c r="K64" i="32" s="1"/>
  <c r="N63" i="5"/>
  <c r="N63" i="32" s="1"/>
  <c r="M63" i="5"/>
  <c r="M63" i="32" s="1"/>
  <c r="H64" i="5"/>
  <c r="H64" i="32" s="1"/>
  <c r="H42" i="5"/>
  <c r="H42" i="32" s="1"/>
  <c r="E21" i="5"/>
  <c r="E21" i="32" s="1"/>
  <c r="F51" i="5"/>
  <c r="F51" i="32" s="1"/>
  <c r="L9" i="5"/>
  <c r="L9" i="32" s="1"/>
  <c r="K99" i="32"/>
  <c r="O97" i="32"/>
  <c r="O99" i="32" s="1"/>
  <c r="I63" i="5"/>
  <c r="I63" i="32" s="1"/>
  <c r="L29" i="5"/>
  <c r="L29" i="32" s="1"/>
  <c r="F6" i="5"/>
  <c r="M56" i="5"/>
  <c r="M56" i="32" s="1"/>
  <c r="H19" i="5"/>
  <c r="H19" i="32" s="1"/>
  <c r="K24" i="5"/>
  <c r="K24" i="32" s="1"/>
  <c r="K65" i="5"/>
  <c r="K65" i="32" s="1"/>
  <c r="O9" i="5"/>
  <c r="G52" i="5"/>
  <c r="G52" i="32" s="1"/>
  <c r="J55" i="5"/>
  <c r="J55" i="32" s="1"/>
  <c r="K15" i="5"/>
  <c r="K15" i="32" s="1"/>
  <c r="I28" i="5"/>
  <c r="I28" i="32" s="1"/>
  <c r="M19" i="5"/>
  <c r="M19" i="32" s="1"/>
  <c r="O64" i="5"/>
  <c r="H63" i="5"/>
  <c r="H63" i="32" s="1"/>
  <c r="G63" i="5"/>
  <c r="G63" i="32" s="1"/>
  <c r="O63" i="5"/>
  <c r="C63" i="5"/>
  <c r="C63" i="32" s="1"/>
  <c r="N6" i="5"/>
  <c r="D10" i="5"/>
  <c r="D10" i="32" s="1"/>
  <c r="G65" i="5"/>
  <c r="G65" i="32" s="1"/>
  <c r="I31" i="5"/>
  <c r="I31" i="32" s="1"/>
  <c r="G73" i="32"/>
  <c r="O71" i="32"/>
  <c r="N67" i="5" l="1"/>
  <c r="E67" i="5"/>
  <c r="J67" i="5"/>
  <c r="D67" i="32"/>
  <c r="J67" i="32"/>
  <c r="M67" i="32"/>
  <c r="F67" i="5"/>
  <c r="N67" i="32"/>
  <c r="E67" i="32"/>
  <c r="H67" i="32"/>
  <c r="L67" i="5"/>
  <c r="G67" i="32"/>
  <c r="G67" i="5"/>
  <c r="K67" i="5"/>
  <c r="L67" i="32"/>
  <c r="F67" i="32"/>
  <c r="O75" i="32"/>
  <c r="O79" i="32" s="1"/>
  <c r="M67" i="5"/>
  <c r="C67" i="32"/>
  <c r="D67" i="5"/>
  <c r="I67" i="5"/>
  <c r="H67" i="5"/>
  <c r="C67" i="5"/>
  <c r="O89" i="32"/>
  <c r="O73" i="32"/>
  <c r="O67" i="5"/>
  <c r="O61" i="5"/>
  <c r="O13" i="5" s="1"/>
  <c r="L61" i="5"/>
  <c r="L61" i="32" s="1"/>
  <c r="D61" i="5"/>
  <c r="D61" i="32" s="1"/>
  <c r="I61" i="5"/>
  <c r="I61" i="32" s="1"/>
  <c r="M61" i="5"/>
  <c r="M61" i="32" s="1"/>
  <c r="N61" i="5"/>
  <c r="N61" i="32" s="1"/>
  <c r="C61" i="5"/>
  <c r="C61" i="32" s="1"/>
  <c r="J61" i="5"/>
  <c r="J61" i="32" s="1"/>
  <c r="H61" i="5"/>
  <c r="H61" i="32" s="1"/>
  <c r="E61" i="5"/>
  <c r="E61" i="32" s="1"/>
  <c r="K61" i="5"/>
  <c r="K61" i="32" s="1"/>
  <c r="F61" i="5"/>
  <c r="F61" i="32" s="1"/>
  <c r="G61" i="5"/>
  <c r="G61" i="32" s="1"/>
  <c r="J62" i="5"/>
  <c r="J62" i="32" s="1"/>
  <c r="L62" i="5"/>
  <c r="L62" i="32" s="1"/>
  <c r="O32" i="32"/>
  <c r="O26" i="32"/>
  <c r="O40" i="32"/>
  <c r="O51" i="32"/>
  <c r="D62" i="5"/>
  <c r="D62" i="32" s="1"/>
  <c r="H62" i="5"/>
  <c r="H62" i="32" s="1"/>
  <c r="I62" i="5"/>
  <c r="I62" i="32" s="1"/>
  <c r="G62" i="5"/>
  <c r="G62" i="32" s="1"/>
  <c r="N62" i="5"/>
  <c r="N62" i="32" s="1"/>
  <c r="K62" i="5"/>
  <c r="K62" i="32" s="1"/>
  <c r="O37" i="32"/>
  <c r="M62" i="5"/>
  <c r="M62" i="32" s="1"/>
  <c r="E62" i="5"/>
  <c r="E62" i="32" s="1"/>
  <c r="F62" i="5"/>
  <c r="F62" i="32" s="1"/>
  <c r="C62" i="5"/>
  <c r="C62" i="32" s="1"/>
  <c r="O94" i="32"/>
  <c r="D14" i="32"/>
  <c r="L8" i="5"/>
  <c r="L5" i="5" s="1"/>
  <c r="L12" i="5" s="1"/>
  <c r="L6" i="32"/>
  <c r="L8" i="32" s="1"/>
  <c r="L5" i="32" s="1"/>
  <c r="L12" i="32" s="1"/>
  <c r="O21" i="32"/>
  <c r="E6" i="32"/>
  <c r="E8" i="32" s="1"/>
  <c r="E5" i="32" s="1"/>
  <c r="E12" i="32" s="1"/>
  <c r="E8" i="5"/>
  <c r="E5" i="5" s="1"/>
  <c r="E12" i="5" s="1"/>
  <c r="O24" i="32"/>
  <c r="N14" i="32"/>
  <c r="O46" i="32"/>
  <c r="H14" i="32"/>
  <c r="O55" i="32"/>
  <c r="I6" i="32"/>
  <c r="I8" i="32" s="1"/>
  <c r="I5" i="32" s="1"/>
  <c r="I12" i="32" s="1"/>
  <c r="I8" i="5"/>
  <c r="I5" i="5" s="1"/>
  <c r="I12" i="5" s="1"/>
  <c r="O16" i="32"/>
  <c r="O18" i="32"/>
  <c r="O27" i="32"/>
  <c r="O34" i="32"/>
  <c r="D6" i="32"/>
  <c r="D8" i="32" s="1"/>
  <c r="D5" i="32" s="1"/>
  <c r="D12" i="32" s="1"/>
  <c r="D8" i="5"/>
  <c r="D5" i="5" s="1"/>
  <c r="D12" i="5" s="1"/>
  <c r="O56" i="32"/>
  <c r="M14" i="32"/>
  <c r="F6" i="32"/>
  <c r="F8" i="32" s="1"/>
  <c r="F5" i="32" s="1"/>
  <c r="F12" i="32" s="1"/>
  <c r="F8" i="5"/>
  <c r="F5" i="5" s="1"/>
  <c r="F12" i="5" s="1"/>
  <c r="G14" i="32"/>
  <c r="O60" i="32"/>
  <c r="N6" i="32"/>
  <c r="N8" i="32" s="1"/>
  <c r="N5" i="32" s="1"/>
  <c r="N12" i="32" s="1"/>
  <c r="N8" i="5"/>
  <c r="N5" i="5" s="1"/>
  <c r="N12" i="5" s="1"/>
  <c r="O29" i="32"/>
  <c r="O8" i="5"/>
  <c r="O5" i="5" s="1"/>
  <c r="O12" i="5" s="1"/>
  <c r="O15" i="32"/>
  <c r="H8" i="5"/>
  <c r="H5" i="5" s="1"/>
  <c r="H12" i="5" s="1"/>
  <c r="H6" i="32"/>
  <c r="H8" i="32" s="1"/>
  <c r="H5" i="32" s="1"/>
  <c r="H12" i="32" s="1"/>
  <c r="O30" i="32"/>
  <c r="O47" i="32"/>
  <c r="O52" i="32"/>
  <c r="O43" i="32"/>
  <c r="O35" i="32"/>
  <c r="I14" i="32"/>
  <c r="F14" i="32"/>
  <c r="O23" i="32"/>
  <c r="O44" i="32"/>
  <c r="O33" i="32"/>
  <c r="O39" i="32"/>
  <c r="O19" i="32"/>
  <c r="C14" i="32"/>
  <c r="M6" i="32"/>
  <c r="M8" i="32" s="1"/>
  <c r="M5" i="32" s="1"/>
  <c r="M12" i="32" s="1"/>
  <c r="M8" i="5"/>
  <c r="M5" i="5" s="1"/>
  <c r="M12" i="5" s="1"/>
  <c r="K14" i="32"/>
  <c r="O63" i="32"/>
  <c r="O59" i="32"/>
  <c r="E14" i="32"/>
  <c r="L14" i="32"/>
  <c r="O54" i="32"/>
  <c r="O49" i="32"/>
  <c r="O9" i="32"/>
  <c r="O58" i="32"/>
  <c r="O48" i="32"/>
  <c r="O17" i="32"/>
  <c r="O57" i="32"/>
  <c r="O53" i="32"/>
  <c r="O45" i="32"/>
  <c r="O42" i="32"/>
  <c r="O31" i="32"/>
  <c r="O7" i="32"/>
  <c r="C6" i="32"/>
  <c r="C8" i="5"/>
  <c r="C5" i="5" s="1"/>
  <c r="C12" i="5" s="1"/>
  <c r="O10" i="32"/>
  <c r="O50" i="32"/>
  <c r="O38" i="32"/>
  <c r="O28" i="32"/>
  <c r="O22" i="32"/>
  <c r="O36" i="32"/>
  <c r="O64" i="32"/>
  <c r="O20" i="32"/>
  <c r="K6" i="32"/>
  <c r="K8" i="32" s="1"/>
  <c r="K5" i="32" s="1"/>
  <c r="K12" i="32" s="1"/>
  <c r="K8" i="5"/>
  <c r="K5" i="5" s="1"/>
  <c r="K12" i="5" s="1"/>
  <c r="J6" i="32"/>
  <c r="J8" i="32" s="1"/>
  <c r="J5" i="32" s="1"/>
  <c r="J12" i="32" s="1"/>
  <c r="J8" i="5"/>
  <c r="J5" i="5" s="1"/>
  <c r="J12" i="5" s="1"/>
  <c r="O65" i="32"/>
  <c r="J14" i="32"/>
  <c r="O41" i="32"/>
  <c r="G6" i="32"/>
  <c r="G8" i="32" s="1"/>
  <c r="G5" i="32" s="1"/>
  <c r="G12" i="32" s="1"/>
  <c r="G8" i="5"/>
  <c r="G5" i="5" s="1"/>
  <c r="G12" i="5" s="1"/>
  <c r="O25" i="32"/>
  <c r="O67" i="32" l="1"/>
  <c r="L13" i="32"/>
  <c r="E13" i="32"/>
  <c r="J13" i="5"/>
  <c r="M3" i="10" s="1" a="1"/>
  <c r="M3" i="10" s="1"/>
  <c r="J13" i="32"/>
  <c r="K13" i="32"/>
  <c r="K66" i="32" s="1"/>
  <c r="K80" i="32" s="1"/>
  <c r="D13" i="5"/>
  <c r="G3" i="10" s="1" a="1"/>
  <c r="G3" i="10" s="1"/>
  <c r="I13" i="5"/>
  <c r="L3" i="10" s="1" a="1"/>
  <c r="L3" i="10" s="1"/>
  <c r="L13" i="5"/>
  <c r="O3" i="10" s="1" a="1"/>
  <c r="O3" i="10" s="1"/>
  <c r="I13" i="32"/>
  <c r="I66" i="32" s="1"/>
  <c r="I80" i="32" s="1"/>
  <c r="O61" i="32"/>
  <c r="O62" i="32"/>
  <c r="H13" i="5"/>
  <c r="K3" i="10" s="1" a="1"/>
  <c r="K3" i="10" s="1"/>
  <c r="F13" i="5"/>
  <c r="I3" i="10" s="1" a="1"/>
  <c r="I3" i="10" s="1"/>
  <c r="E13" i="5"/>
  <c r="H3" i="10" s="1" a="1"/>
  <c r="H3" i="10" s="1"/>
  <c r="K13" i="5"/>
  <c r="N3" i="10" s="1" a="1"/>
  <c r="N3" i="10" s="1"/>
  <c r="F13" i="32"/>
  <c r="F66" i="32" s="1"/>
  <c r="F80" i="32" s="1"/>
  <c r="G13" i="32"/>
  <c r="G66" i="32" s="1"/>
  <c r="G80" i="32" s="1"/>
  <c r="D13" i="32"/>
  <c r="G13" i="5"/>
  <c r="J3" i="10" s="1" a="1"/>
  <c r="J3" i="10" s="1"/>
  <c r="M13" i="5"/>
  <c r="P3" i="10" s="1" a="1"/>
  <c r="P3" i="10" s="1"/>
  <c r="H13" i="32"/>
  <c r="H66" i="32" s="1"/>
  <c r="H80" i="32" s="1"/>
  <c r="N13" i="32"/>
  <c r="N66" i="32" s="1"/>
  <c r="N80" i="32" s="1"/>
  <c r="N13" i="5"/>
  <c r="Q3" i="10" s="1" a="1"/>
  <c r="Q3" i="10" s="1"/>
  <c r="C13" i="5"/>
  <c r="F3" i="10" s="1" a="1"/>
  <c r="F3" i="10" s="1"/>
  <c r="M13" i="32"/>
  <c r="M66" i="32" s="1"/>
  <c r="M80" i="32" s="1"/>
  <c r="H81" i="5"/>
  <c r="N81" i="5"/>
  <c r="I81" i="5"/>
  <c r="L66" i="32"/>
  <c r="L80" i="32" s="1"/>
  <c r="L81" i="32"/>
  <c r="G81" i="32"/>
  <c r="K81" i="32"/>
  <c r="M81" i="32"/>
  <c r="N81" i="32"/>
  <c r="F81" i="5"/>
  <c r="I81" i="32"/>
  <c r="E81" i="5"/>
  <c r="L81" i="5"/>
  <c r="C13" i="32"/>
  <c r="O14" i="32"/>
  <c r="O66" i="5"/>
  <c r="O80" i="5" s="1"/>
  <c r="O81" i="5"/>
  <c r="F81" i="32"/>
  <c r="D81" i="5"/>
  <c r="E81" i="32"/>
  <c r="E66" i="32"/>
  <c r="E80" i="32" s="1"/>
  <c r="G81" i="5"/>
  <c r="K81" i="5"/>
  <c r="M81" i="5"/>
  <c r="J81" i="5"/>
  <c r="C81" i="5"/>
  <c r="J81" i="32"/>
  <c r="J66" i="32"/>
  <c r="J80" i="32" s="1"/>
  <c r="O6" i="32"/>
  <c r="O8" i="32" s="1"/>
  <c r="O5" i="32" s="1"/>
  <c r="O12" i="32" s="1"/>
  <c r="C8" i="32"/>
  <c r="C5" i="32" s="1"/>
  <c r="C12" i="32" s="1"/>
  <c r="H81" i="32"/>
  <c r="D81" i="32"/>
  <c r="D66" i="32"/>
  <c r="D80" i="32" s="1"/>
  <c r="J66" i="5" l="1"/>
  <c r="J80" i="5" s="1"/>
  <c r="D66" i="5"/>
  <c r="D80" i="5" s="1"/>
  <c r="G66" i="5"/>
  <c r="G80" i="5" s="1"/>
  <c r="O13" i="32"/>
  <c r="O66" i="32" s="1"/>
  <c r="O80" i="32" s="1"/>
  <c r="I66" i="5"/>
  <c r="I80" i="5" s="1"/>
  <c r="L66" i="5"/>
  <c r="L80" i="5" s="1"/>
  <c r="M66" i="5"/>
  <c r="M80" i="5" s="1"/>
  <c r="E66" i="5"/>
  <c r="E80" i="5" s="1"/>
  <c r="N66" i="5"/>
  <c r="N80" i="5" s="1"/>
  <c r="F66" i="5"/>
  <c r="F80" i="5" s="1"/>
  <c r="H66" i="5"/>
  <c r="H80" i="5" s="1"/>
  <c r="K66" i="5"/>
  <c r="K80" i="5" s="1"/>
  <c r="C66" i="5"/>
  <c r="C80" i="5" s="1"/>
  <c r="O81" i="32"/>
  <c r="C81" i="32"/>
  <c r="C66" i="32"/>
  <c r="C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Bùi Thị Nga(Bui Thi Nga)</author>
  </authors>
  <commentList>
    <comment ref="E3" authorId="0" shapeId="0" xr:uid="{2EF27613-CD8C-4F41-8621-404B1A3882DB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J42" authorId="1" shapeId="0" xr:uid="{04C6AE27-652E-4178-A3EE-93EEC238EA7C}">
      <text>
        <r>
          <rPr>
            <b/>
            <sz val="9"/>
            <color indexed="81"/>
            <rFont val="Tahoma"/>
            <family val="2"/>
          </rPr>
          <t>Mail: 11.46$ (17名)</t>
        </r>
      </text>
    </comment>
    <comment ref="K42" authorId="1" shapeId="0" xr:uid="{535BBE4C-02DC-478F-AC63-40218E205BA0}">
      <text>
        <r>
          <rPr>
            <b/>
            <sz val="9"/>
            <color indexed="81"/>
            <rFont val="Tahoma"/>
            <family val="2"/>
          </rPr>
          <t>Mail: 11.46$ (17名)</t>
        </r>
      </text>
    </comment>
    <comment ref="L42" authorId="1" shapeId="0" xr:uid="{D9527D83-68B8-4C3B-B76C-A46D83A4E0F1}">
      <text>
        <r>
          <rPr>
            <b/>
            <sz val="9"/>
            <color indexed="81"/>
            <rFont val="Tahoma"/>
            <family val="2"/>
          </rPr>
          <t>Mail: 11.46$ (17名)</t>
        </r>
      </text>
    </comment>
    <comment ref="M42" authorId="1" shapeId="0" xr:uid="{2262FB34-6340-43D9-AC5C-EF16334E4A17}">
      <text>
        <r>
          <rPr>
            <b/>
            <sz val="9"/>
            <color indexed="81"/>
            <rFont val="Tahoma"/>
            <family val="2"/>
          </rPr>
          <t>Mail: 11.46$ (17名)</t>
        </r>
      </text>
    </comment>
    <comment ref="N42" authorId="1" shapeId="0" xr:uid="{25926DE8-4EF1-4F3D-9E0F-B945F3F6ECF7}">
      <text>
        <r>
          <rPr>
            <b/>
            <sz val="9"/>
            <color indexed="81"/>
            <rFont val="Tahoma"/>
            <family val="2"/>
          </rPr>
          <t>Mail: 11.46$ (17名)</t>
        </r>
      </text>
    </comment>
    <comment ref="O42" authorId="1" shapeId="0" xr:uid="{09473ED9-27D0-45F4-8B99-E24217F38B5D}">
      <text>
        <r>
          <rPr>
            <b/>
            <sz val="9"/>
            <color indexed="81"/>
            <rFont val="Tahoma"/>
            <family val="2"/>
          </rPr>
          <t>Mail: 11.46$ (17名)</t>
        </r>
      </text>
    </comment>
    <comment ref="P42" authorId="1" shapeId="0" xr:uid="{F4DEF93F-9C95-42DB-ABFE-AF6C017A8AA3}">
      <text>
        <r>
          <rPr>
            <b/>
            <sz val="9"/>
            <color indexed="81"/>
            <rFont val="Tahoma"/>
            <family val="2"/>
          </rPr>
          <t>Mail: 11.46$ (17名)</t>
        </r>
      </text>
    </comment>
    <comment ref="Q42" authorId="1" shapeId="0" xr:uid="{B12F8C26-E1E0-471F-9CD2-B71B7360E80A}">
      <text>
        <r>
          <rPr>
            <b/>
            <sz val="9"/>
            <color indexed="81"/>
            <rFont val="Tahoma"/>
            <family val="2"/>
          </rPr>
          <t>Mail: 11.46$ (17名)</t>
        </r>
      </text>
    </comment>
    <comment ref="L54" authorId="1" shapeId="0" xr:uid="{458B269E-2786-4CA9-97DF-B15953DBE636}">
      <text>
        <r>
          <rPr>
            <b/>
            <sz val="9"/>
            <color indexed="81"/>
            <rFont val="Tahoma"/>
            <family val="2"/>
          </rPr>
          <t>thêm ng</t>
        </r>
      </text>
    </comment>
    <comment ref="J69" authorId="1" shapeId="0" xr:uid="{8E411DF3-F9C7-4C59-A3C5-18642D5038F2}">
      <text>
        <r>
          <rPr>
            <b/>
            <sz val="9"/>
            <color indexed="81"/>
            <rFont val="Tahoma"/>
            <family val="2"/>
          </rPr>
          <t>19-2 ng nghỉ sinh</t>
        </r>
      </text>
    </comment>
    <comment ref="K69" authorId="1" shapeId="0" xr:uid="{1F7AF018-3824-4008-AE39-8EFA83091B84}">
      <text>
        <r>
          <rPr>
            <b/>
            <sz val="9"/>
            <color indexed="81"/>
            <rFont val="Tahoma"/>
            <family val="2"/>
          </rPr>
          <t>16 người+1 người quay lại sau sinh(sinh tháng 8)</t>
        </r>
      </text>
    </comment>
    <comment ref="N69" authorId="1" shapeId="0" xr:uid="{6555C3FD-FD43-4D41-9E0F-F913A34DD973}">
      <text>
        <r>
          <rPr>
            <b/>
            <sz val="9"/>
            <color indexed="81"/>
            <rFont val="Tahoma"/>
            <family val="2"/>
          </rPr>
          <t>14 ng+1 người nghỉ sinh quay lại (sinh tháng 8)</t>
        </r>
      </text>
    </comment>
    <comment ref="P72" authorId="1" shapeId="0" xr:uid="{D16ABF02-1EAD-4E13-8C12-087856D84D1D}">
      <text>
        <r>
          <rPr>
            <b/>
            <sz val="9"/>
            <color indexed="81"/>
            <rFont val="Tahoma"/>
            <family val="2"/>
          </rPr>
          <t>số người lấy đầu tháng 2, tính tiền tấ niên bên chế tạo</t>
        </r>
      </text>
    </comment>
    <comment ref="P73" authorId="1" shapeId="0" xr:uid="{28B183C5-90A1-4585-8847-1AD68AF541F7}">
      <text>
        <r>
          <rPr>
            <b/>
            <sz val="9"/>
            <color indexed="81"/>
            <rFont val="Tahoma"/>
            <family val="2"/>
          </rPr>
          <t>lấy người đầu tháng thời điểm lì xì đã bao gồm người đã lấy</t>
        </r>
      </text>
    </comment>
    <comment ref="N76" authorId="1" shapeId="0" xr:uid="{1C010963-5E71-4993-94B1-F1153D67A841}">
      <text>
        <r>
          <rPr>
            <b/>
            <sz val="9"/>
            <color indexed="81"/>
            <rFont val="Tahoma"/>
            <family val="2"/>
          </rPr>
          <t>8 nam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77" authorId="1" shapeId="0" xr:uid="{D582499C-9B86-4108-BD5C-605B24C04DB6}">
      <text>
        <r>
          <rPr>
            <b/>
            <sz val="9"/>
            <color indexed="81"/>
            <rFont val="Tahoma"/>
            <family val="2"/>
          </rPr>
          <t>1 ng nghỉ sinh tháng 11(Ngọc Uyên LQC)</t>
        </r>
      </text>
    </comment>
    <comment ref="M79" authorId="1" shapeId="0" xr:uid="{1C9A0FA5-059B-4242-88A1-21A727332F64}">
      <text>
        <r>
          <rPr>
            <b/>
            <sz val="9"/>
            <color indexed="81"/>
            <rFont val="Tahoma"/>
            <family val="2"/>
          </rPr>
          <t>sinh con Huế</t>
        </r>
      </text>
    </comment>
    <comment ref="N79" authorId="1" shapeId="0" xr:uid="{FD9A3EC5-33ED-4C4C-B121-4CD2C0001B72}">
      <text>
        <r>
          <rPr>
            <sz val="9"/>
            <color indexed="81"/>
            <rFont val="Tahoma"/>
            <family val="2"/>
          </rPr>
          <t xml:space="preserve">sinh con Uyên
</t>
        </r>
      </text>
    </comment>
    <comment ref="O79" authorId="1" shapeId="0" xr:uid="{3276B365-4076-48A8-A65F-6CCA39A9EEE9}">
      <text>
        <r>
          <rPr>
            <b/>
            <sz val="9"/>
            <color indexed="81"/>
            <rFont val="Tahoma"/>
            <family val="2"/>
          </rPr>
          <t>kết hôn</t>
        </r>
      </text>
    </comment>
    <comment ref="J94" authorId="1" shapeId="0" xr:uid="{6C6DE74B-0433-49CE-969F-C7E148D61C6A}">
      <text>
        <r>
          <rPr>
            <b/>
            <sz val="9"/>
            <color indexed="81"/>
            <rFont val="Tahoma"/>
            <family val="2"/>
          </rPr>
          <t>đối ứng lên Win11 (3pcs) hết+ 1 máy KIT(PN)(máy+lisence)</t>
        </r>
      </text>
    </comment>
    <comment ref="K94" authorId="1" shapeId="0" xr:uid="{1D00175B-598A-4FA1-9BA5-0B33FC1A9D9A}">
      <text>
        <r>
          <rPr>
            <b/>
            <sz val="9"/>
            <color indexed="81"/>
            <rFont val="Tahoma"/>
            <family val="2"/>
          </rPr>
          <t>1 QC+1 Phân tích+1 phòng ngừa (mua cả máy và Win) đối ứng sx Spica</t>
        </r>
      </text>
    </comment>
    <comment ref="L94" authorId="1" shapeId="0" xr:uid="{EA3F8641-3C1C-4687-85E6-BF6852828D31}">
      <text>
        <r>
          <rPr>
            <b/>
            <sz val="9"/>
            <color indexed="81"/>
            <rFont val="Tahoma"/>
            <family val="2"/>
          </rPr>
          <t>Đối ứng spica nhóm PN (mua cả máy và win)</t>
        </r>
      </text>
    </comment>
    <comment ref="N94" authorId="1" shapeId="0" xr:uid="{F004852B-F1BB-446D-B865-5AA3523C1FFC}">
      <text>
        <r>
          <rPr>
            <b/>
            <sz val="9"/>
            <color indexed="81"/>
            <rFont val="Tahoma"/>
            <family val="2"/>
          </rPr>
          <t>1 QC+1 phòng ngừa (đối ứng sx Leo)</t>
        </r>
      </text>
    </comment>
    <comment ref="O94" authorId="1" shapeId="0" xr:uid="{54AE9D5C-F733-4D91-8292-90754E19927E}">
      <text>
        <r>
          <rPr>
            <b/>
            <sz val="9"/>
            <color indexed="81"/>
            <rFont val="Tahoma"/>
            <family val="2"/>
          </rPr>
          <t>1 phòng ngừa (đối ứng sx Leo)</t>
        </r>
      </text>
    </comment>
    <comment ref="J95" authorId="1" shapeId="0" xr:uid="{B6D1105A-9C50-40CA-9BCB-2516DD4BA01B}">
      <text>
        <r>
          <rPr>
            <b/>
            <sz val="9"/>
            <color indexed="81"/>
            <rFont val="Tahoma"/>
            <family val="2"/>
          </rPr>
          <t>chuột cho KIT</t>
        </r>
      </text>
    </comment>
    <comment ref="K95" authorId="1" shapeId="0" xr:uid="{9C087569-BACA-49DB-9841-AF0944312E63}">
      <text>
        <r>
          <rPr>
            <b/>
            <sz val="9"/>
            <color indexed="81"/>
            <rFont val="Tahoma"/>
            <family val="2"/>
          </rPr>
          <t>chuột cho 3 máy tính mới mua</t>
        </r>
      </text>
    </comment>
    <comment ref="J97" authorId="1" shapeId="0" xr:uid="{3CE12615-2C24-49DC-BE65-5AE8704C6BCF}">
      <text>
        <r>
          <rPr>
            <b/>
            <sz val="9"/>
            <color indexed="81"/>
            <rFont val="Tahoma"/>
            <family val="2"/>
          </rPr>
          <t>hiệu chuẩn máy đo tĩn điện</t>
        </r>
      </text>
    </comment>
    <comment ref="Q97" authorId="1" shapeId="0" xr:uid="{8AF779A5-9EAE-4DD8-BC89-6E6A6AAB7DF0}">
      <text>
        <r>
          <rPr>
            <b/>
            <sz val="9"/>
            <color indexed="81"/>
            <rFont val="Tahoma"/>
            <family val="2"/>
          </rPr>
          <t>hiệu chuẩn máy đo bụi</t>
        </r>
      </text>
    </comment>
    <comment ref="J98" authorId="1" shapeId="0" xr:uid="{3D6F5635-4231-4F16-9B13-E7B89277FACF}">
      <text>
        <r>
          <rPr>
            <b/>
            <sz val="9"/>
            <color indexed="81"/>
            <rFont val="Tahoma"/>
            <family val="2"/>
          </rPr>
          <t>hiệu chuẩn máy đo tĩn điện</t>
        </r>
      </text>
    </comment>
    <comment ref="Q98" authorId="1" shapeId="0" xr:uid="{B5757CC0-5C34-4823-B0CB-617B79047932}">
      <text>
        <r>
          <rPr>
            <b/>
            <sz val="9"/>
            <color indexed="81"/>
            <rFont val="Tahoma"/>
            <family val="2"/>
          </rPr>
          <t>hiệu chuẩn máy đo bụi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D5988B5B-375C-402E-BE51-0EC3A8E40574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<sst xmlns="http://schemas.openxmlformats.org/spreadsheetml/2006/main" count="1668" uniqueCount="728">
  <si>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</si>
  <si>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</si>
  <si>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</si>
  <si>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</si>
  <si>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</si>
  <si>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</si>
  <si>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</si>
  <si>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</si>
  <si>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</si>
  <si>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</si>
  <si>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</si>
  <si>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</si>
  <si>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</si>
  <si>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</si>
  <si>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</si>
  <si>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</si>
  <si>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</si>
  <si>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</si>
  <si>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</si>
  <si>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</si>
  <si>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</si>
  <si>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</si>
  <si>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</si>
  <si>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</si>
  <si>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</si>
  <si>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</si>
  <si>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</si>
  <si>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</si>
  <si>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</si>
  <si>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</si>
  <si>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</si>
  <si>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</si>
  <si>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</si>
  <si>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</si>
  <si>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</si>
  <si>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</si>
  <si>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</si>
  <si>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</si>
  <si>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</si>
  <si>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</si>
  <si>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</si>
  <si>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</si>
  <si>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</si>
  <si>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</si>
  <si>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</si>
  <si>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</si>
  <si>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</si>
  <si>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</si>
  <si>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</si>
  <si>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</si>
  <si>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</si>
  <si>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</si>
  <si>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</si>
  <si>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</si>
  <si>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</si>
  <si>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</si>
  <si>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</si>
  <si>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</si>
  <si>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</si>
  <si>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</si>
  <si>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</si>
  <si>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</si>
  <si>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</si>
  <si>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</si>
  <si>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</si>
  <si>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</si>
  <si>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</si>
  <si>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</si>
  <si>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</si>
  <si>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</si>
  <si>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</si>
  <si>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</si>
  <si>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</si>
  <si>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</si>
  <si>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</si>
  <si>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</si>
  <si>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</si>
  <si>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</si>
  <si>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</si>
  <si>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</si>
  <si>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</si>
  <si>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</si>
  <si>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</si>
  <si>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</si>
  <si>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</si>
  <si>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</si>
  <si>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</si>
  <si>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</si>
  <si>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</si>
  <si>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</si>
  <si>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</si>
  <si>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</si>
  <si>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</si>
  <si>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</si>
  <si>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</si>
  <si>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</si>
  <si>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</si>
  <si>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</si>
  <si>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</si>
  <si>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</si>
  <si>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</si>
  <si>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</si>
  <si>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</si>
  <si>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</si>
  <si>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</si>
  <si>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</si>
  <si>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</si>
  <si>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</si>
  <si>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</si>
  <si>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</si>
  <si>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</si>
  <si>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</si>
  <si>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</si>
  <si>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</si>
  <si>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</si>
  <si>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</si>
  <si>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</si>
  <si>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</si>
  <si>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</si>
  <si>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</si>
  <si>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</si>
  <si>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</si>
  <si>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</si>
  <si>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</si>
  <si>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</si>
  <si>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</si>
  <si>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</si>
  <si>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</si>
  <si>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</si>
  <si>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</si>
  <si>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</si>
  <si>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</si>
  <si>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</si>
  <si>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</si>
  <si>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</si>
  <si>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</si>
  <si>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</si>
  <si>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</si>
  <si>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</si>
  <si>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</si>
  <si>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</si>
  <si>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</si>
  <si>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</si>
  <si>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</si>
  <si>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</si>
  <si>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</si>
  <si>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</si>
  <si>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</si>
  <si>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</si>
  <si>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</si>
  <si>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</si>
  <si>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</si>
  <si>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</si>
  <si>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</si>
  <si>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</si>
  <si>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</si>
  <si>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</si>
  <si>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</si>
  <si>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</si>
  <si>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</si>
  <si>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</si>
  <si>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</si>
  <si>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</si>
  <si>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</si>
  <si>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</si>
  <si>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</si>
  <si>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</si>
  <si>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</si>
  <si>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</si>
  <si>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</si>
  <si>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</si>
  <si>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</si>
  <si>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</si>
  <si>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</si>
  <si>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</si>
  <si>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</si>
  <si>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</si>
  <si>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</si>
  <si>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</si>
  <si>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</si>
  <si>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</si>
  <si>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</si>
  <si>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</si>
  <si>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</si>
  <si>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</si>
  <si>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</si>
  <si>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</si>
  <si>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</si>
  <si>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</si>
  <si>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</si>
  <si>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</si>
  <si>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</si>
  <si>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</si>
  <si>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</si>
  <si>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</si>
  <si>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</si>
  <si>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</si>
  <si>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</si>
  <si>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</si>
  <si>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</si>
  <si>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</si>
  <si>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</si>
  <si>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</si>
  <si>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</si>
  <si>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</si>
  <si>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</si>
  <si>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</si>
  <si>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</si>
  <si>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</si>
  <si>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</si>
  <si>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</si>
  <si>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</si>
  <si>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</si>
  <si>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</si>
  <si>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</si>
  <si>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</si>
  <si>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</si>
  <si>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</si>
  <si>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</si>
  <si>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</si>
  <si>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</si>
  <si>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</si>
  <si>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</si>
  <si>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</si>
  <si>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</si>
  <si>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</si>
  <si>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</si>
  <si>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</si>
  <si>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</si>
  <si>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</si>
  <si>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</si>
  <si>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</si>
  <si>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</si>
  <si>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</si>
  <si>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</si>
  <si>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</si>
  <si>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</si>
  <si>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</si>
  <si>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</si>
  <si>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</si>
  <si>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</si>
  <si>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</si>
  <si>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</si>
  <si>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</si>
  <si>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</si>
  <si>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</si>
  <si>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</si>
  <si>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</si>
  <si>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</si>
  <si>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</si>
  <si>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</si>
  <si>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</si>
  <si>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</si>
  <si>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</si>
  <si>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</si>
  <si>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</si>
  <si>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</si>
  <si>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</si>
  <si>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</si>
  <si>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</si>
  <si>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</si>
  <si>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</si>
  <si>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</si>
  <si>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</si>
  <si>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</si>
  <si>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</si>
  <si>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</si>
  <si>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</si>
  <si>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</si>
  <si>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</si>
  <si>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</si>
  <si>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</si>
  <si>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</si>
  <si>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</si>
  <si>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</si>
  <si>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</si>
  <si>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</si>
  <si>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</si>
  <si>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</si>
  <si>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</si>
  <si>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</si>
  <si>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</si>
  <si>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</si>
  <si>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</si>
  <si>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</si>
  <si>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</si>
  <si>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</si>
  <si>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</si>
  <si>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</si>
  <si>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</si>
  <si>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</si>
  <si>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</si>
  <si>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</si>
  <si>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</si>
  <si>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</si>
  <si>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</si>
  <si>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</si>
  <si>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</si>
  <si>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</si>
  <si>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</si>
  <si>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</si>
  <si>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</si>
  <si>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</si>
  <si>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</si>
  <si>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</si>
  <si>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</si>
  <si>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</si>
  <si>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</si>
  <si>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</si>
  <si>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</si>
  <si>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</si>
  <si>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</si>
  <si>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</si>
  <si>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</si>
  <si>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</si>
  <si>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</si>
  <si>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</si>
  <si>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</si>
  <si>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</si>
  <si>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</si>
  <si>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</si>
  <si>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</si>
  <si>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</si>
  <si>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</si>
  <si>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</si>
  <si>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</si>
  <si>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</si>
  <si>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</si>
  <si>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</si>
  <si>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</si>
  <si>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</si>
  <si>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</si>
  <si>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</si>
  <si>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</si>
  <si>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</si>
  <si>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</si>
  <si>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</si>
  <si>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</si>
  <si>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</si>
  <si>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</si>
  <si>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</si>
  <si>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</si>
  <si>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</si>
  <si>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</si>
  <si>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</si>
  <si>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</si>
  <si>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</si>
  <si>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</si>
  <si>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</si>
  <si>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</si>
  <si>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</si>
  <si>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</si>
  <si>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</si>
  <si>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</si>
  <si>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</si>
  <si>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</si>
  <si>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</si>
  <si>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</si>
  <si>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</si>
  <si>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</si>
  <si>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</si>
  <si>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</si>
  <si>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</si>
  <si>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</si>
  <si>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</si>
  <si>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</si>
  <si>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</si>
  <si>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</si>
  <si>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</si>
  <si>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</si>
  <si>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</si>
  <si>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</si>
  <si>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</si>
  <si>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</si>
  <si>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</si>
  <si>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</si>
  <si>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</si>
  <si>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</si>
  <si>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</si>
  <si>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</si>
  <si>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</si>
  <si>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</si>
  <si>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</si>
  <si>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</si>
  <si>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</si>
  <si>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</si>
  <si>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</si>
  <si>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</si>
  <si>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</si>
  <si>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</si>
  <si>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</si>
  <si>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</si>
  <si>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</si>
  <si>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</si>
  <si>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</si>
  <si>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</si>
  <si>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</si>
  <si>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</si>
  <si>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</si>
  <si>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</si>
  <si>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</si>
  <si>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</si>
  <si>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</si>
  <si>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</si>
  <si>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</si>
  <si>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</si>
  <si>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</si>
  <si>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</si>
  <si>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</si>
  <si>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</si>
  <si>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</si>
  <si>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</si>
  <si>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</si>
  <si>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</si>
  <si>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</si>
  <si>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</si>
  <si>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</si>
  <si>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</si>
  <si>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</si>
  <si>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</si>
  <si>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</si>
  <si>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</si>
  <si>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</si>
  <si>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</si>
  <si>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</si>
  <si>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</si>
  <si>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</si>
  <si>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</si>
  <si>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</si>
  <si>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</si>
  <si>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</si>
  <si>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</si>
  <si>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</si>
  <si>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</si>
  <si>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</si>
  <si>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</si>
  <si>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</si>
  <si>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</si>
  <si>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</si>
  <si>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</si>
  <si>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</si>
  <si>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</si>
  <si>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</si>
  <si>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</si>
  <si>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</si>
  <si>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</si>
  <si>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</si>
  <si>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</si>
  <si>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</si>
  <si>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</si>
  <si>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</si>
  <si>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</si>
  <si>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</si>
  <si>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</si>
  <si>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</si>
  <si>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</si>
  <si>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</si>
  <si>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</si>
  <si>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</si>
  <si>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</si>
  <si>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</si>
  <si>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</si>
  <si>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</si>
  <si>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</si>
  <si>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</si>
  <si>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</si>
  <si>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</si>
  <si>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</si>
  <si>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</si>
  <si>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</si>
  <si>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</si>
  <si>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</si>
  <si>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</si>
  <si>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</si>
  <si>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</si>
  <si>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</si>
  <si>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</si>
  <si>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</si>
  <si>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</si>
  <si>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</si>
  <si>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</si>
  <si>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</si>
  <si>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</si>
  <si>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</si>
  <si>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</si>
  <si>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</si>
  <si>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</si>
  <si>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</si>
  <si>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</si>
  <si>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</si>
  <si>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</si>
  <si>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</si>
  <si>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</si>
  <si>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</si>
  <si>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</si>
  <si>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</si>
  <si>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</si>
  <si>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</si>
  <si>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</si>
  <si>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</si>
  <si>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</si>
  <si>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</si>
  <si>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</si>
  <si>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</si>
  <si>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</si>
  <si>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</si>
  <si>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</si>
  <si>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</si>
  <si>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</si>
  <si>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</si>
  <si>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</si>
  <si>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</si>
  <si>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</si>
  <si>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</si>
  <si>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</si>
  <si>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</si>
  <si>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</si>
  <si>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</si>
  <si>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</si>
  <si>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</si>
  <si>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</si>
  <si>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</si>
  <si>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</si>
  <si>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</si>
  <si>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</si>
  <si>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</si>
  <si>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</si>
  <si>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</si>
  <si>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</si>
  <si>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</si>
  <si>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</si>
  <si>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</si>
  <si>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</si>
  <si>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</si>
  <si>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</si>
  <si>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</si>
  <si>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</si>
  <si>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</si>
  <si>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</si>
  <si>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</si>
  <si>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</si>
  <si>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</si>
  <si>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</si>
  <si>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</si>
  <si>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</si>
  <si>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</si>
  <si>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</si>
  <si>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</si>
  <si>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</si>
  <si>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</si>
  <si>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</si>
  <si>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</si>
  <si>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</si>
  <si>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</si>
  <si>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</si>
  <si>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</si>
  <si>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</si>
  <si>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</si>
  <si>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</si>
  <si>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</si>
  <si>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</si>
  <si>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</si>
  <si>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</si>
  <si>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</si>
  <si>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</si>
  <si>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</si>
  <si>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</si>
  <si>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</si>
  <si>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</si>
  <si>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</si>
  <si>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</si>
  <si>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</si>
  <si>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</si>
  <si>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</si>
  <si>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</si>
  <si>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</si>
  <si>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</si>
  <si>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</si>
  <si>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</si>
  <si>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</si>
  <si>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</si>
  <si>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</si>
  <si>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</si>
  <si>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</si>
  <si>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</si>
  <si>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</si>
  <si>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</si>
  <si>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</si>
  <si>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</si>
  <si>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</si>
  <si>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</si>
  <si>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</si>
  <si>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</si>
  <si>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</si>
  <si>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</si>
  <si>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</si>
  <si>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</si>
  <si>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</si>
  <si>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</si>
  <si>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</si>
  <si>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</si>
  <si>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</si>
  <si>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</si>
  <si>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</si>
  <si>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</si>
  <si>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</si>
  <si>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</si>
  <si>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</si>
  <si>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</si>
  <si>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</si>
  <si>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</si>
  <si>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</si>
  <si>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</si>
  <si>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</si>
  <si>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</si>
  <si>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</si>
  <si>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</si>
  <si>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</si>
  <si>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</si>
  <si>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</si>
  <si>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</si>
  <si>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</si>
  <si>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</si>
  <si>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</si>
  <si>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</si>
  <si>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</si>
  <si>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</si>
  <si>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</si>
  <si>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</si>
  <si>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</si>
  <si>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</si>
  <si>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</si>
  <si>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</si>
  <si>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</si>
  <si>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</si>
  <si>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</si>
  <si>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</si>
  <si>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</si>
  <si>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</si>
  <si>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</si>
  <si>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</si>
  <si>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</si>
  <si>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</si>
  <si>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</si>
  <si>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</si>
  <si>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</si>
  <si>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</si>
  <si>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</si>
  <si>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</si>
  <si>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</si>
  <si>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</si>
  <si>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</si>
  <si>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</si>
  <si>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</si>
  <si>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</si>
  <si>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</si>
  <si>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</si>
  <si>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</si>
  <si>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</si>
  <si>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</si>
  <si>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</si>
  <si>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</si>
  <si>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</si>
  <si>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</si>
  <si>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</si>
  <si>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</si>
  <si>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</si>
  <si>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</si>
  <si>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</si>
  <si>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</si>
  <si>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</si>
  <si>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</si>
  <si>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</si>
  <si>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</si>
  <si>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</si>
  <si>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</si>
  <si>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</si>
  <si>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</si>
  <si>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</si>
  <si>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</si>
  <si>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</si>
  <si>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</si>
  <si>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</si>
  <si>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</si>
  <si>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</si>
  <si>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</si>
  <si>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</si>
  <si>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</si>
  <si>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</si>
  <si>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</si>
  <si>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</si>
  <si>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</si>
  <si>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</si>
  <si>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固定資産金利/Interest (建物Building) Lãi TSCĐ ( Nhà)</t>
  </si>
  <si>
    <t>固定資産金利 /Interest(土地 Land) Lãi TSCĐ ( Đất)</t>
  </si>
  <si>
    <t>システム 使用費 CP sử dụng hệ thống (2024年4月から：-PLM)</t>
  </si>
  <si>
    <t>建物 Building Xây dựng （Depreciation Khấu hao）</t>
  </si>
  <si>
    <t>土地 Land Đất （Depreciation Khấu hao）</t>
  </si>
  <si>
    <t>手袋 Găng tay</t>
  </si>
  <si>
    <t>マスク Khẩu trang</t>
  </si>
  <si>
    <t>トイレットペーパ Giấy vệ sinh</t>
  </si>
  <si>
    <t>手洗い洗剤費 Nước rửa tay</t>
  </si>
  <si>
    <t>4月/2025~1月/2026：LApTOP購入 (未然防止)</t>
  </si>
  <si>
    <t>8月,9月,10月,12月/2025, 1月/2026：パソコンのマウス chuột máy tính</t>
  </si>
  <si>
    <t>計測器 校正費 CP hiệu chuẩn thiết bị (3月,6月,8月,10月)</t>
  </si>
  <si>
    <t>計測器 校正費 CP hiệu chuẩn thiết bị (3月,6月,8月,10月) code mới</t>
  </si>
  <si>
    <t>食堂燃料費 CP tiền gas</t>
  </si>
  <si>
    <t>電気代 CP tiền điện</t>
  </si>
  <si>
    <t>水道代 CP tiền nước</t>
  </si>
  <si>
    <t xml:space="preserve">(4月, 6月/2025)携帯電話 CP điện thoại, </t>
  </si>
  <si>
    <t xml:space="preserve">清掃費用 CP làm sạch </t>
  </si>
  <si>
    <t>11月/2025: ポケットカレンダー Lịch bỏ túi (800vnd/枚)</t>
  </si>
  <si>
    <t xml:space="preserve">文房具( Văn phòng phẩm)ペン,IDカードクリップ,ID カードホルダー </t>
  </si>
  <si>
    <t>優秀不具合発見経費 Chi phí phát hiện lỗi ưu tú</t>
  </si>
  <si>
    <t>制服 ,靴, 帽子を交換する Đổi đồng phục</t>
  </si>
  <si>
    <t>誕生日会FY2026: 163.000 vnd/名  Sinh nhật ( Tính cả người Nhật)</t>
  </si>
  <si>
    <t>02月, 09月折りたたみコップ Cốc gấp : 6800vnd/pc</t>
  </si>
  <si>
    <t>07月: フィロソフィ論文参加賞 （Giải tham gia "Cảm nghĩ về triết lý kinh doanh": 100.000 vnd/名）</t>
  </si>
  <si>
    <t>02月:忘年会補助金 Hỗ trợ tiệc tất niên (300.000 vnd/名)</t>
  </si>
  <si>
    <t>02月: お年玉（Lì xì năm mới: 100,000 FY2026）chỉ dành cho Người Việt</t>
  </si>
  <si>
    <t>10月: 月餅 Bánh Trung Thu (56.000vnd/名)</t>
  </si>
  <si>
    <t>09月: 京セラフェスティバルLễ hội Kyocera (126.000 vnd/名)</t>
  </si>
  <si>
    <t>12月:健康診断（ローカル）khám sk nam男性: 189.000 vnd, nữ女性: 204.000 vnd, k chụp X-quang: 30,000vnd</t>
  </si>
  <si>
    <t>11月: 運動会スポーツ大会 Đại hội thể thao (107.000 vnd/名)</t>
  </si>
  <si>
    <t>ローカル社員通勤送迎費 CP xe đưa đón người Việt</t>
  </si>
  <si>
    <t>結婚費 、 出産祝い金、 慶弔見舞金　（CP mừng sinh con, kết hôn, hiếu hỉ）</t>
  </si>
  <si>
    <t>10月：10年勤続記念コンパ費用-Chi phí tiệc kỷ niệm 10 năm gắn bó 549.000VND (17 người+phó trg Bp trở lên)</t>
  </si>
  <si>
    <t>10月: 10年勤続記念品-Quà kỷ niệm cho CNV 10 năm gắn bó 382.000VND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</si>
</sst>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13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73" fillId="34" borderId="39" xfId="0" applyNumberFormat="1" applyFont="1" applyFill="1" applyBorder="1" applyProtection="1">
      <protection locked="0"/>
    </xf>
    <xf numFmtId="0" fontId="85" fillId="32" borderId="0" xfId="171" applyFont="1" applyFill="1" applyAlignment="1">
      <alignment horizontal="left" vertical="center"/>
    </xf>
    <xf numFmtId="172" fontId="85" fillId="32" borderId="0" xfId="171" applyNumberFormat="1" applyFont="1" applyFill="1">
      <alignment vertical="center"/>
    </xf>
    <xf numFmtId="182" fontId="85" fillId="32" borderId="0" xfId="171" applyNumberFormat="1" applyFont="1" applyFill="1">
      <alignment vertical="center"/>
    </xf>
    <xf numFmtId="0" fontId="85" fillId="32" borderId="0" xfId="171" applyFont="1" applyFill="1">
      <alignment vertical="center"/>
    </xf>
    <xf numFmtId="38" fontId="5" fillId="34" borderId="48" xfId="68" applyFont="1" applyFill="1" applyBorder="1" applyAlignment="1" applyProtection="1">
      <alignment horizontal="right" vertical="center"/>
      <protection locked="0"/>
    </xf>
    <xf numFmtId="40" fontId="73" fillId="36" borderId="39" xfId="68" applyNumberFormat="1" applyFont="1" applyFill="1" applyBorder="1" applyAlignment="1" applyProtection="1">
      <alignment horizontal="right" vertical="center"/>
      <protection locked="0"/>
    </xf>
    <xf numFmtId="40" fontId="5" fillId="36" borderId="0" xfId="0" applyNumberFormat="1" applyFont="1" applyFill="1"/>
    <xf numFmtId="40" fontId="5" fillId="36" borderId="39" xfId="0" applyNumberFormat="1" applyFont="1" applyFill="1" applyBorder="1" applyProtection="1">
      <protection locked="0"/>
    </xf>
    <xf numFmtId="40" fontId="80" fillId="36" borderId="0" xfId="0" applyNumberFormat="1" applyFont="1" applyFill="1"/>
    <xf numFmtId="0" fontId="0" fillId="36" borderId="0" xfId="0" applyFill="1"/>
    <xf numFmtId="40" fontId="73" fillId="34" borderId="54" xfId="68" applyNumberFormat="1" applyFont="1" applyFill="1" applyBorder="1" applyAlignment="1" applyProtection="1">
      <alignment horizontal="right" vertical="center"/>
      <protection locked="0"/>
    </xf>
    <xf numFmtId="38" fontId="73" fillId="34" borderId="39" xfId="66" applyNumberFormat="1" applyFont="1" applyFill="1" applyBorder="1" applyAlignment="1" applyProtection="1">
      <alignment horizontal="right" vertical="center"/>
      <protection locked="0"/>
    </xf>
  </cellXfs>
  <cellStyles count="175">
    <cellStyle name="_FY2014 MP作成依頼（KDTCN).1207(3)" xfId="1" xr:uid="{E8EBE8BE-1A9A-4B72-974E-45D3BA68503C}"/>
    <cellStyle name="20% - Accent1" xfId="2" xr:uid="{E309C004-BAB5-4A79-AF4C-0F52070613B7}"/>
    <cellStyle name="20% - Accent2" xfId="3" xr:uid="{E65F961D-4BF9-4636-9D31-967ED426DFE9}"/>
    <cellStyle name="20% - Accent3" xfId="4" xr:uid="{7D7F5CAA-5D76-4BBB-B732-8DE1D5010C28}"/>
    <cellStyle name="20% - Accent4" xfId="5" xr:uid="{ECD62A3D-38FF-4D03-B0AD-8F796011349B}"/>
    <cellStyle name="20% - Accent5" xfId="6" xr:uid="{EEBE7E38-CE67-4EE3-833D-CC1581041088}"/>
    <cellStyle name="20% - Accent6" xfId="7" xr:uid="{0D0AF17F-0126-42DD-BDAC-F218062C0AAA}"/>
    <cellStyle name="20% - アクセント 1" xfId="8" xr:uid="{18C30F6E-F559-4F24-B549-BB38B594B9C4}"/>
    <cellStyle name="20% - アクセント 1 2" xfId="9" xr:uid="{BF577E49-3C58-4E23-BE94-62C691B7B6F8}"/>
    <cellStyle name="20% - アクセント 2" xfId="10" xr:uid="{A8B21B6E-C7B1-4310-83A1-5999AD425FA5}"/>
    <cellStyle name="20% - アクセント 2 2" xfId="11" xr:uid="{346CB223-55C1-4790-9A35-BF2F94E63B80}"/>
    <cellStyle name="20% - アクセント 3" xfId="12" xr:uid="{270BA52C-BAA6-48C0-9A80-C03A042B840F}"/>
    <cellStyle name="20% - アクセント 3 2" xfId="13" xr:uid="{0412D01E-274A-4F00-9577-175ECD534E25}"/>
    <cellStyle name="20% - アクセント 4" xfId="14" xr:uid="{98148693-D06A-421E-9584-448C9AF424A7}"/>
    <cellStyle name="20% - アクセント 4 2" xfId="15" xr:uid="{BFBD0F94-9A33-4BAE-803F-F3B7988DB45A}"/>
    <cellStyle name="20% - アクセント 5" xfId="16" xr:uid="{0ED5D9EC-1C64-4A53-A2FB-BCCAF0C066C0}"/>
    <cellStyle name="20% - アクセント 5 2" xfId="17" xr:uid="{800E8A86-B0FA-4FDA-B1E8-990E349E36FC}"/>
    <cellStyle name="20% - アクセント 6" xfId="18" xr:uid="{FC6537A6-77AB-4E03-91D6-E40BDDA78FD3}"/>
    <cellStyle name="20% - アクセント 6 2" xfId="19" xr:uid="{C452D4AE-7FAF-4E66-A4D3-D8385E0D054B}"/>
    <cellStyle name="3232" xfId="20" xr:uid="{EB56EDC0-7B41-4496-A49B-62B75DF489B9}"/>
    <cellStyle name="40% - Accent1" xfId="21" xr:uid="{6C528901-9B0D-4B4B-B560-1E58F6197A4D}"/>
    <cellStyle name="40% - Accent2" xfId="22" xr:uid="{BA699B64-D73D-4B07-A661-34BD55BE4E93}"/>
    <cellStyle name="40% - Accent3" xfId="23" xr:uid="{A2740170-F50C-42FB-8BDD-CB2AB6FDB0F1}"/>
    <cellStyle name="40% - Accent4" xfId="24" xr:uid="{82F338C9-DD58-46CF-8540-D9483CDB635D}"/>
    <cellStyle name="40% - Accent5" xfId="25" xr:uid="{CC8E3E71-7992-4A12-9BF6-B940D691D736}"/>
    <cellStyle name="40% - Accent6" xfId="26" xr:uid="{E5191558-2F60-4603-8F2A-5F7AAC7A6951}"/>
    <cellStyle name="40% - アクセント 1" xfId="27" xr:uid="{9B7E554A-AF98-4691-A24E-8382B23F0621}"/>
    <cellStyle name="40% - アクセント 1 2" xfId="28" xr:uid="{0C91C9FE-165B-409C-BDE0-0F94BC7EC722}"/>
    <cellStyle name="40% - アクセント 2" xfId="29" xr:uid="{2525F190-69A5-44CD-B6AB-8B3EE7704F2C}"/>
    <cellStyle name="40% - アクセント 2 2" xfId="30" xr:uid="{D6AE3100-738C-4A7A-83BC-459167F49B38}"/>
    <cellStyle name="40% - アクセント 3" xfId="31" xr:uid="{FB98641E-14A8-4712-8B9B-F814EAFEB779}"/>
    <cellStyle name="40% - アクセント 3 2" xfId="32" xr:uid="{CFB16D1E-CF6D-4194-BD97-5AA5A0154B9D}"/>
    <cellStyle name="40% - アクセント 4" xfId="33" xr:uid="{668CAEE0-C6D9-45BE-B8E2-42B9A532EA5B}"/>
    <cellStyle name="40% - アクセント 4 2" xfId="34" xr:uid="{CFDAA124-5030-49F4-BC55-C4CCA4B774B2}"/>
    <cellStyle name="40% - アクセント 5" xfId="35" xr:uid="{6119520A-7273-4E57-9332-0ACBD20BFB5B}"/>
    <cellStyle name="40% - アクセント 5 2" xfId="36" xr:uid="{6D0A2C48-A011-43FC-A4D9-51E9E2A1C2FB}"/>
    <cellStyle name="40% - アクセント 6" xfId="37" xr:uid="{5F639A17-5EC1-4E1B-8C6C-83FDAFE75154}"/>
    <cellStyle name="40% - アクセント 6 2" xfId="38" xr:uid="{DDDD0539-F30F-403B-9116-7A6A9C3DEB14}"/>
    <cellStyle name="60% - Accent1" xfId="39" xr:uid="{E5AD745C-A387-4810-881F-245C311CB0B3}"/>
    <cellStyle name="60% - Accent2" xfId="40" xr:uid="{CE757207-78BF-4A9D-BF9F-D8EDA0E0E7EC}"/>
    <cellStyle name="60% - Accent3" xfId="41" xr:uid="{FFC0D195-BC7C-4DE4-85AD-8391594262DA}"/>
    <cellStyle name="60% - Accent4" xfId="42" xr:uid="{90E23CBC-B2C4-4FB4-87D6-DBCC16EBDB47}"/>
    <cellStyle name="60% - Accent5" xfId="43" xr:uid="{CADAF7E8-EE7D-44C7-9A10-9369073742A0}"/>
    <cellStyle name="60% - Accent6" xfId="44" xr:uid="{BB28B951-4D73-4538-8955-43BB9EE645A3}"/>
    <cellStyle name="60% - アクセント 1" xfId="45" xr:uid="{22B5FABE-D7CB-48CE-94E8-3BCE887AE416}"/>
    <cellStyle name="60% - アクセント 1 2" xfId="46" xr:uid="{9EF3A6FC-D242-48AD-B086-D3049B7E881E}"/>
    <cellStyle name="60% - アクセント 2" xfId="47" xr:uid="{E859AF7B-DC63-4D28-A9B1-3D7E3AA8FF93}"/>
    <cellStyle name="60% - アクセント 2 2" xfId="48" xr:uid="{5BF86FEC-EDA0-4287-93EB-CEBEE0367D91}"/>
    <cellStyle name="60% - アクセント 3" xfId="49" xr:uid="{66F3369C-9151-4932-A544-5ACA8087EAFC}"/>
    <cellStyle name="60% - アクセント 3 2" xfId="50" xr:uid="{2879B61C-81D7-4850-A69C-69A75C937FE1}"/>
    <cellStyle name="60% - アクセント 4" xfId="51" xr:uid="{E60499AD-A6D7-4062-AB2C-BD218D5BC7CF}"/>
    <cellStyle name="60% - アクセント 4 2" xfId="52" xr:uid="{9F0890DE-F38A-44C5-8E7B-CFD51EAD5C80}"/>
    <cellStyle name="60% - アクセント 5" xfId="53" xr:uid="{ECA1E35E-DA28-4F1B-99C4-7CEB5472226C}"/>
    <cellStyle name="60% - アクセント 5 2" xfId="54" xr:uid="{301C138B-CEE3-4603-96EE-A45707F46C3A}"/>
    <cellStyle name="60% - アクセント 6" xfId="55" xr:uid="{7579BBDD-A34E-4F2B-A28F-1F4892CEB1EE}"/>
    <cellStyle name="60% - アクセント 6 2" xfId="56" xr:uid="{776B3840-B1F2-49CF-B19F-850DA9620CAD}"/>
    <cellStyle name="Accent1" xfId="57" xr:uid="{10508789-FC1F-400D-8789-F25ABECD5FEA}"/>
    <cellStyle name="Accent2" xfId="58" xr:uid="{79A713A6-AAF7-466F-B737-E66ECC3023AE}"/>
    <cellStyle name="Accent3" xfId="59" xr:uid="{9E96BAAC-B8F9-4A9A-97D7-A913809F568C}"/>
    <cellStyle name="Accent4" xfId="60" xr:uid="{8F162309-1B34-499F-AA29-6BEE8AE7621A}"/>
    <cellStyle name="Accent5" xfId="61" xr:uid="{6AAA690F-6F48-40E7-9083-081D53F21D9A}"/>
    <cellStyle name="Accent6" xfId="62" xr:uid="{61976A79-EFBC-41A4-89F1-A607E9B66665}"/>
    <cellStyle name="Bad" xfId="63" xr:uid="{B9251C16-774B-44E3-B402-719B7439258A}"/>
    <cellStyle name="Calculation" xfId="64" xr:uid="{1111568D-9832-4662-97E3-31177D4523C3}"/>
    <cellStyle name="Check Cell" xfId="65" xr:uid="{FE9DE800-B973-47A9-A3DB-0FF8952D9632}"/>
    <cellStyle name="Comma" xfId="66" builtinId="3"/>
    <cellStyle name="Comma [0]" xfId="67" builtinId="6"/>
    <cellStyle name="Comma [0] 2" xfId="68" xr:uid="{F0F7407D-A775-4E78-9201-A5E37BBD5BE9}"/>
    <cellStyle name="Comma [0] 2 2" xfId="69" xr:uid="{0A605DB3-2801-4FE3-8BDE-DEA6CA7932DE}"/>
    <cellStyle name="Comma [0] 3" xfId="70" xr:uid="{FBECD721-3A1D-4D23-B7C0-4B7E8B979380}"/>
    <cellStyle name="Comma [0] 4" xfId="71" xr:uid="{E9FEA4BF-3003-47BA-AEF2-E35E0E519130}"/>
    <cellStyle name="Comma 2" xfId="72" xr:uid="{2DFEE4D4-B542-47F0-AC8E-D983BC508103}"/>
    <cellStyle name="Comma 2 3" xfId="73" xr:uid="{8C663EDD-D420-442A-A9DF-6A0855EBFDBB}"/>
    <cellStyle name="Comma 3" xfId="74" xr:uid="{AD9A43A0-53A1-4FCD-A0C5-583687643E86}"/>
    <cellStyle name="Comma 3 2 2" xfId="75" xr:uid="{576FC7CD-C8EF-4893-BEA8-18F11622562A}"/>
    <cellStyle name="Comma 4" xfId="76" xr:uid="{A01732EA-415F-48F4-9B64-87D1D9326C55}"/>
    <cellStyle name="Comma 5" xfId="77" xr:uid="{84230C4A-A055-41AF-81BA-5B9CFBB66E18}"/>
    <cellStyle name="Comma 6" xfId="78" xr:uid="{06A66CAA-2DE1-4C74-8930-C30B300292C6}"/>
    <cellStyle name="Currency [0] 2" xfId="79" xr:uid="{62A4608A-ACCA-4E01-9436-F3EC1C088B5A}"/>
    <cellStyle name="Explanatory Text" xfId="80" xr:uid="{44EC9AAB-6702-4C95-85F0-348F8B4A2C85}"/>
    <cellStyle name="Good" xfId="81" xr:uid="{BDFA6081-79DC-4997-9EEB-B9BF4EAB29F9}"/>
    <cellStyle name="Heading 1" xfId="82" xr:uid="{5FDED7B4-1660-4B42-932F-1BAEE3F06E7E}"/>
    <cellStyle name="Heading 2" xfId="83" xr:uid="{65DA70FB-3CB4-4D77-B216-F6CB746E9BA4}"/>
    <cellStyle name="Heading 3" xfId="84" xr:uid="{263ABAAB-D3A5-4A33-BF74-DFC6FDD6F4D5}"/>
    <cellStyle name="Heading 4" xfId="85" xr:uid="{257E2BB1-7F07-49F4-AE1E-AA5EB8414911}"/>
    <cellStyle name="Input" xfId="86" xr:uid="{C70D3A30-4C27-4F38-BD56-9CF29CFED615}"/>
    <cellStyle name="Linked Cell" xfId="87" xr:uid="{3120E2F3-227C-454E-9432-EB6360A006B0}"/>
    <cellStyle name="Neutral" xfId="88" xr:uid="{98783755-A2E3-4D49-92E0-0C54D0678FEC}"/>
    <cellStyle name="Normal" xfId="0" builtinId="0"/>
    <cellStyle name="Normal 2" xfId="89" xr:uid="{B5116A89-6540-4330-BE56-69C5ED51EB17}"/>
    <cellStyle name="Normal 2 2" xfId="90" xr:uid="{89B5F6C8-9B68-4199-B45B-EFF687906019}"/>
    <cellStyle name="Normal 3" xfId="91" xr:uid="{02745E6E-0DC1-44F2-B944-A8061907D18A}"/>
    <cellStyle name="Normal 4" xfId="92" xr:uid="{B6684065-3BE2-40C2-95A7-39B4EF475BB9}"/>
    <cellStyle name="Normal 5" xfId="93" xr:uid="{5B969C67-58D6-4A19-A2DD-E85D3B782F93}"/>
    <cellStyle name="Note" xfId="94" xr:uid="{5C423CF6-48BA-409D-ACB9-2A0FE3573FF8}"/>
    <cellStyle name="Output" xfId="95" xr:uid="{11EB46CE-63A1-40EF-A0EB-7F03E5FC38E1}"/>
    <cellStyle name="Percent 2" xfId="96" xr:uid="{CF0C86C8-77A2-4096-9798-02C9FACA655A}"/>
    <cellStyle name="Percent 3" xfId="97" xr:uid="{0907A3DA-BE94-42EE-A933-6B202591E426}"/>
    <cellStyle name="Title" xfId="98" xr:uid="{392845F9-872D-4632-A5F1-EC4D17BB9C39}"/>
    <cellStyle name="Total" xfId="99" xr:uid="{F4A7496A-9796-4BB7-A4E4-356C06AE8B91}"/>
    <cellStyle name="Warning Text" xfId="100" xr:uid="{7CC2BEC5-16B7-4CAC-9218-3B4BFFBA0D37}"/>
    <cellStyle name="アクセント 1" xfId="101" xr:uid="{7BE20ABA-6E42-44D2-A649-BAE9D331753F}"/>
    <cellStyle name="アクセント 1 2" xfId="102" xr:uid="{177B0117-2DF3-4CCE-AEBF-84982CA3EB20}"/>
    <cellStyle name="アクセント 2" xfId="103" xr:uid="{DBB050E6-5EEF-4FB1-A73E-780B78ECC09A}"/>
    <cellStyle name="アクセント 2 2" xfId="104" xr:uid="{25D66254-33E5-4073-8F9F-4978C28B1AC6}"/>
    <cellStyle name="アクセント 3" xfId="105" xr:uid="{B2DCB82C-0CD5-486E-B111-CC10216CB408}"/>
    <cellStyle name="アクセント 3 2" xfId="106" xr:uid="{E9119D8A-4B13-4AB0-A3BE-9F614289B4D7}"/>
    <cellStyle name="アクセント 4" xfId="107" xr:uid="{061B3848-1213-47AA-9117-FEBF65816C53}"/>
    <cellStyle name="アクセント 4 2" xfId="108" xr:uid="{64455F84-58A4-4685-8513-43624CDFC3CC}"/>
    <cellStyle name="アクセント 5" xfId="109" xr:uid="{314F26B0-F880-4605-9B65-5EE845C071DB}"/>
    <cellStyle name="アクセント 5 2" xfId="110" xr:uid="{324F2629-7A1F-4E5F-A8FB-938E9BD49322}"/>
    <cellStyle name="アクセント 6" xfId="111" xr:uid="{732B7201-C20B-44FB-A94A-A49F253D2918}"/>
    <cellStyle name="アクセント 6 2" xfId="112" xr:uid="{9F025002-E6D2-42C7-AEAD-06A70ACF3A4D}"/>
    <cellStyle name="タイトル" xfId="113" xr:uid="{56D1AB5A-46D4-4AEE-BB47-B7F31D96F1E0}"/>
    <cellStyle name="タイトル 2" xfId="114" xr:uid="{105497AF-E11C-47E7-A4E0-214EF1C0CEC1}"/>
    <cellStyle name="チェック セル" xfId="115" xr:uid="{BB68CA08-B399-4055-8F3D-DAB770E4C0ED}"/>
    <cellStyle name="チェック セル 2" xfId="116" xr:uid="{B75D5B54-3522-44CC-80ED-6CCB353D2349}"/>
    <cellStyle name="どちらでもない" xfId="117" xr:uid="{0E4EDA3F-1CF6-417F-A1C1-76C7282E6F25}"/>
    <cellStyle name="どちらでもない 2" xfId="118" xr:uid="{4F25B649-57B4-421A-B00A-7FF1FE19A7EE}"/>
    <cellStyle name="パーセント 2" xfId="119" xr:uid="{5DA4B30C-DFAD-4239-8D38-B920F003A012}"/>
    <cellStyle name="パーセント 3" xfId="120" xr:uid="{0823D5C6-E8A6-409D-BE19-73561629DBFF}"/>
    <cellStyle name="パーセント 3 2" xfId="121" xr:uid="{A23A970A-707F-42AD-819D-351FD5B4A882}"/>
    <cellStyle name="メモ" xfId="122" xr:uid="{733293A5-729C-4E2C-A20D-FF983569D747}"/>
    <cellStyle name="メモ 2" xfId="123" xr:uid="{D8F9012B-7E88-4757-9E8C-F813EA026DC3}"/>
    <cellStyle name="リンク セル" xfId="124" xr:uid="{F006BEA8-1B70-4F8C-8C48-EF482D7531D6}"/>
    <cellStyle name="リンク セル 2" xfId="125" xr:uid="{BC0377FD-A45D-4850-AC28-CCEFF546620E}"/>
    <cellStyle name="一般_KMHK FY2008 時間当り採算 2007年4月 ( Month Plan )" xfId="128" xr:uid="{BEF4DF67-3544-4FF0-9C79-918485419F28}"/>
    <cellStyle name="一般_設備投資金額一覽表" xfId="129" xr:uid="{17ED9C78-4722-4C64-A26C-961700A94ADD}"/>
    <cellStyle name="入力" xfId="161" xr:uid="{54BD8E0E-A305-4583-94C9-2A5E478AB915}"/>
    <cellStyle name="入力 2" xfId="162" xr:uid="{4BC2C04B-EF16-4C4A-92BD-69D48C885B0A}"/>
    <cellStyle name="出力" xfId="154" xr:uid="{63095C6B-3EF3-4306-BC82-F1841657ABCA}"/>
    <cellStyle name="出力 2" xfId="155" xr:uid="{F9D45AC5-218C-44A8-BA1F-AAB047C11F14}"/>
    <cellStyle name="常规_総生産分析(0605-0606)" xfId="156" xr:uid="{F5D9F32F-BFF0-46B9-AF9A-926277295431}"/>
    <cellStyle name="悪い" xfId="126" xr:uid="{7F0DD31F-081F-45F7-80E4-325977A162DD}"/>
    <cellStyle name="悪い 2" xfId="127" xr:uid="{84ACAFC9-A2BD-4C73-A026-9D73B06B69DC}"/>
    <cellStyle name="未定義" xfId="172" xr:uid="{E56D1474-D329-4D7D-B3F6-4CF33F7526A6}"/>
    <cellStyle name="桁区切り [0.00] 2" xfId="134" xr:uid="{65A9B379-FC38-4BE7-9025-F815109860E8}"/>
    <cellStyle name="桁区切り [0.00] 2 2" xfId="135" xr:uid="{0AEF0947-646D-4935-98EB-224D2142ED39}"/>
    <cellStyle name="桁区切り [0.00] 2 3" xfId="136" xr:uid="{575C94C3-AD8E-44AA-A2A2-DC1D481ED208}"/>
    <cellStyle name="桁区切り 2" xfId="137" xr:uid="{D48409B6-CB52-41DC-A7AB-C3039847A15C}"/>
    <cellStyle name="桁区切り 2 2" xfId="138" xr:uid="{2EDB2204-B795-4C4E-8AC8-7B6211F79AE6}"/>
    <cellStyle name="桁区切り 2 3" xfId="139" xr:uid="{5CF8E455-BDE4-488E-BAEC-43EEB9718A31}"/>
    <cellStyle name="桁区切り 3" xfId="140" xr:uid="{43386AD8-5E00-4408-AC54-516757D4EC26}"/>
    <cellStyle name="桁区切り 4" xfId="141" xr:uid="{5E3CDEC6-F499-4F2B-B081-856AD2136E41}"/>
    <cellStyle name="桁区切り 5" xfId="142" xr:uid="{D4B4317A-2C7F-4C28-8802-7B40EFE1D6BC}"/>
    <cellStyle name="桁区切り 6" xfId="143" xr:uid="{687A3DAC-69AF-4DFD-B659-D1A97FAA1DFE}"/>
    <cellStyle name="標準 2" xfId="163" xr:uid="{8A80CED6-3374-4240-B09A-6295F92DBD34}"/>
    <cellStyle name="標準 2 2" xfId="164" xr:uid="{DEE29F51-DDF2-4FD4-AC92-3AE5C1D2A22C}"/>
    <cellStyle name="標準 3" xfId="165" xr:uid="{B3997B57-5829-4CEB-BEC4-DCE8F70DA864}"/>
    <cellStyle name="標準 3 2" xfId="166" xr:uid="{04CAADBE-2237-4A9E-AF5B-CD75091ECCCA}"/>
    <cellStyle name="標準 4" xfId="167" xr:uid="{59A1D3D7-01E1-44B6-891D-33E55EF0253D}"/>
    <cellStyle name="標準 4 2" xfId="168" xr:uid="{08E859E6-D52B-4608-9672-0EF6A7B1C582}"/>
    <cellStyle name="標準_★予定用採算表フォーム（製造課用）" xfId="169" xr:uid="{BD337BD1-8B81-470E-B8D0-A6214188E6C6}"/>
    <cellStyle name="標準_03.2012 08 31 KDTVN採算表及集計表 FY2013_09（製技用）" xfId="170" xr:uid="{B872B85B-0FE8-4A2F-80A6-B4BE7C022418}"/>
    <cellStyle name="標準_KDTVN 2012年9月1日付原価センタ" xfId="171" xr:uid="{7FDC20DB-E7B7-459F-9395-197FF96F16BC}"/>
    <cellStyle name="良い" xfId="173" xr:uid="{5D4A99A9-34AA-4AAD-92F6-9CED1E9D50A6}"/>
    <cellStyle name="良い 2" xfId="174" xr:uid="{6C3AFC09-C406-454F-B3A0-7B564CFED170}"/>
    <cellStyle name="見出し 1" xfId="144" xr:uid="{4D5D9850-CFD6-4D71-96EE-44AF89397EE1}"/>
    <cellStyle name="見出し 1 2" xfId="145" xr:uid="{1225DD1B-F012-40D4-A5E2-54AF96361FAD}"/>
    <cellStyle name="見出し 2" xfId="146" xr:uid="{1CF9729A-2531-486B-AE84-3B8C16552D72}"/>
    <cellStyle name="見出し 2 2" xfId="147" xr:uid="{2C425DD9-CD21-4F52-B89B-B3E771C1661D}"/>
    <cellStyle name="見出し 3" xfId="148" xr:uid="{125E7EF7-1387-4EFD-9D4C-641DF26A1575}"/>
    <cellStyle name="見出し 3 2" xfId="149" xr:uid="{16580745-F1AE-4CE7-887F-EB339A8668A7}"/>
    <cellStyle name="見出し 4" xfId="150" xr:uid="{0A39E28F-8BC1-4A3D-BCCD-042F33D9E911}"/>
    <cellStyle name="見出し 4 2" xfId="151" xr:uid="{B5ECCF56-3DBE-46F2-8320-8603B22C6F83}"/>
    <cellStyle name="計算" xfId="130" xr:uid="{93B970C6-E80C-46BE-B35E-FBBD5F8DA30E}"/>
    <cellStyle name="計算 2" xfId="131" xr:uid="{EA501B05-AFF2-4240-89AD-AFDDF9AB3280}"/>
    <cellStyle name="説明文" xfId="157" xr:uid="{A60B89CA-0D5B-404B-9C21-38A395A5C5FA}"/>
    <cellStyle name="説明文 2" xfId="158" xr:uid="{36510BC6-54C2-4A7F-A17F-54641E946666}"/>
    <cellStyle name="警告文" xfId="132" xr:uid="{0A4A8F0A-68CB-4E27-AB9A-1D30379B12B6}"/>
    <cellStyle name="警告文 2" xfId="133" xr:uid="{A6F01428-8F2A-4274-8949-2BCBE79CCEF8}"/>
    <cellStyle name="通貨 2" xfId="159" xr:uid="{75781059-F56D-4F95-A39B-E33DF7438B9F}"/>
    <cellStyle name="通貨 3" xfId="160" xr:uid="{0E2CEFBA-A57A-48C5-9F4B-A7400477F6E2}"/>
    <cellStyle name="集計" xfId="152" xr:uid="{F4A1ADB5-BAB1-404F-A23B-ABF411AC4C62}"/>
    <cellStyle name="集計 2" xfId="153" xr:uid="{81390C70-78F7-4E5A-A3EE-76770211ABDA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E095-7C40-4202-A2BE-CF76188E11BD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工程品質管理2課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0</v>
      </c>
      <c r="D13" s="133">
        <f t="shared" ref="D13:O13" si="3">SUM(D14:D65)</f>
        <v>0</v>
      </c>
      <c r="E13" s="133">
        <f t="shared" si="3"/>
        <v>0</v>
      </c>
      <c r="F13" s="133">
        <f t="shared" si="3"/>
        <v>0</v>
      </c>
      <c r="G13" s="133">
        <f t="shared" si="3"/>
        <v>6.0000000000400178E-2</v>
      </c>
      <c r="H13" s="133">
        <f t="shared" si="3"/>
        <v>5.9999999999490683E-2</v>
      </c>
      <c r="I13" s="133">
        <f t="shared" si="3"/>
        <v>4.9999999999272404E-2</v>
      </c>
      <c r="J13" s="133">
        <f t="shared" si="3"/>
        <v>3.9999999999054126E-2</v>
      </c>
      <c r="K13" s="133">
        <f t="shared" si="3"/>
        <v>3.999999999996362E-2</v>
      </c>
      <c r="L13" s="133">
        <f t="shared" si="3"/>
        <v>6.0000000000400178E-2</v>
      </c>
      <c r="M13" s="133">
        <f t="shared" si="3"/>
        <v>5.0000000000181899E-2</v>
      </c>
      <c r="N13" s="133">
        <f t="shared" si="3"/>
        <v>5.0000000000181899E-2</v>
      </c>
      <c r="O13" s="133">
        <f t="shared" si="3"/>
        <v>0.4099999999962165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0</v>
      </c>
      <c r="D20" s="136">
        <f>ROUNDUP('採算表(VND)'!D20/$N$1,2)</f>
        <v>0</v>
      </c>
      <c r="E20" s="136">
        <f>ROUNDUP('採算表(VND)'!E20/$N$1,2)</f>
        <v>0</v>
      </c>
      <c r="F20" s="136">
        <f>ROUNDUP('採算表(VND)'!F20/$N$1,2)</f>
        <v>0</v>
      </c>
      <c r="G20" s="136">
        <f>ROUNDUP('採算表(VND)'!G20/$N$1,2)</f>
        <v>994.62</v>
      </c>
      <c r="H20" s="136">
        <f>ROUNDUP('採算表(VND)'!H20/$N$1,2)</f>
        <v>970.73</v>
      </c>
      <c r="I20" s="136">
        <f>ROUNDUP('採算表(VND)'!I20/$N$1,2)</f>
        <v>942.13</v>
      </c>
      <c r="J20" s="136">
        <f>ROUNDUP('採算表(VND)'!J20/$N$1,2)</f>
        <v>940.15</v>
      </c>
      <c r="K20" s="136">
        <f>ROUNDUP('採算表(VND)'!K20/$N$1,2)</f>
        <v>941.6</v>
      </c>
      <c r="L20" s="136">
        <f>ROUNDUP('採算表(VND)'!L20/$N$1,2)</f>
        <v>933.34</v>
      </c>
      <c r="M20" s="136">
        <f>ROUNDUP('採算表(VND)'!M20/$N$1,2)</f>
        <v>937.84</v>
      </c>
      <c r="N20" s="136">
        <f>ROUNDUP('採算表(VND)'!N20/$N$1,2)</f>
        <v>953.85</v>
      </c>
      <c r="O20" s="136">
        <f t="shared" si="4"/>
        <v>7614.2600000000011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0</v>
      </c>
      <c r="D25" s="136">
        <f>ROUNDUP('採算表(VND)'!D25/$N$1,2)</f>
        <v>0</v>
      </c>
      <c r="E25" s="136">
        <f>ROUNDUP('採算表(VND)'!E25/$N$1,2)</f>
        <v>0</v>
      </c>
      <c r="F25" s="136">
        <f>ROUNDUP('採算表(VND)'!F25/$N$1,2)</f>
        <v>0</v>
      </c>
      <c r="G25" s="136">
        <f>ROUNDUP('採算表(VND)'!G25/$N$1,2)</f>
        <v>472.09999999999997</v>
      </c>
      <c r="H25" s="136">
        <f>ROUNDUP('採算表(VND)'!H25/$N$1,2)</f>
        <v>445.92</v>
      </c>
      <c r="I25" s="136">
        <f>ROUNDUP('採算表(VND)'!I25/$N$1,2)</f>
        <v>546.88</v>
      </c>
      <c r="J25" s="136">
        <f>ROUNDUP('採算表(VND)'!J25/$N$1,2)</f>
        <v>476.36</v>
      </c>
      <c r="K25" s="136">
        <f>ROUNDUP('採算表(VND)'!K25/$N$1,2)</f>
        <v>527.01</v>
      </c>
      <c r="L25" s="136">
        <f>ROUNDUP('採算表(VND)'!L25/$N$1,2)</f>
        <v>476.31</v>
      </c>
      <c r="M25" s="136">
        <f>ROUNDUP('採算表(VND)'!M25/$N$1,2)</f>
        <v>375.96</v>
      </c>
      <c r="N25" s="136">
        <f>ROUNDUP('採算表(VND)'!N25/$N$1,2)</f>
        <v>536.89</v>
      </c>
      <c r="O25" s="136">
        <f t="shared" si="4"/>
        <v>3857.4300000000003</v>
      </c>
    </row>
    <row r="26" spans="1:15" ht="11.25" customHeight="1">
      <c r="A26" s="34"/>
      <c r="B26" s="37" t="s">
        <v>104</v>
      </c>
      <c r="C26" s="136">
        <f>ROUNDUP('採算表(VND)'!C26/$N$1,2)</f>
        <v>0</v>
      </c>
      <c r="D26" s="136">
        <f>ROUNDUP('採算表(VND)'!D26/$N$1,2)</f>
        <v>0</v>
      </c>
      <c r="E26" s="136">
        <f>ROUNDUP('採算表(VND)'!E26/$N$1,2)</f>
        <v>0</v>
      </c>
      <c r="F26" s="136">
        <f>ROUNDUP('採算表(VND)'!F26/$N$1,2)</f>
        <v>0</v>
      </c>
      <c r="G26" s="136">
        <f>ROUNDUP('採算表(VND)'!G26/$N$1,2)</f>
        <v>2808.2000000000003</v>
      </c>
      <c r="H26" s="136">
        <f>ROUNDUP('採算表(VND)'!H26/$N$1,2)</f>
        <v>829.06999999999994</v>
      </c>
      <c r="I26" s="136">
        <f>ROUNDUP('採算表(VND)'!I26/$N$1,2)</f>
        <v>829.06999999999994</v>
      </c>
      <c r="J26" s="136">
        <f>ROUNDUP('採算表(VND)'!J26/$N$1,2)</f>
        <v>0</v>
      </c>
      <c r="K26" s="136">
        <f>ROUNDUP('採算表(VND)'!K26/$N$1,2)</f>
        <v>829.06999999999994</v>
      </c>
      <c r="L26" s="136">
        <f>ROUNDUP('採算表(VND)'!L26/$N$1,2)</f>
        <v>829.06999999999994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6124.48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0</v>
      </c>
      <c r="D30" s="136">
        <f>ROUNDUP('採算表(VND)'!D30/$N$1,2)</f>
        <v>0</v>
      </c>
      <c r="E30" s="136">
        <f>ROUNDUP('採算表(VND)'!E30/$N$1,2)</f>
        <v>0</v>
      </c>
      <c r="F30" s="136">
        <f>ROUNDUP('採算表(VND)'!F30/$N$1,2)</f>
        <v>0</v>
      </c>
      <c r="G30" s="136">
        <f>ROUNDUP('採算表(VND)'!G30/$N$1,2)</f>
        <v>648.54</v>
      </c>
      <c r="H30" s="136">
        <f>ROUNDUP('採算表(VND)'!H30/$N$1,2)</f>
        <v>576.42999999999995</v>
      </c>
      <c r="I30" s="136">
        <f>ROUNDUP('採算表(VND)'!I30/$N$1,2)</f>
        <v>550.6</v>
      </c>
      <c r="J30" s="136">
        <f>ROUNDUP('採算表(VND)'!J30/$N$1,2)</f>
        <v>572.9</v>
      </c>
      <c r="K30" s="136">
        <f>ROUNDUP('採算表(VND)'!K30/$N$1,2)</f>
        <v>587.77</v>
      </c>
      <c r="L30" s="136">
        <f>ROUNDUP('採算表(VND)'!L30/$N$1,2)</f>
        <v>492.07</v>
      </c>
      <c r="M30" s="136">
        <f>ROUNDUP('採算表(VND)'!M30/$N$1,2)</f>
        <v>402.68</v>
      </c>
      <c r="N30" s="136">
        <f>ROUNDUP('採算表(VND)'!N30/$N$1,2)</f>
        <v>493.69</v>
      </c>
      <c r="O30" s="136">
        <f t="shared" si="4"/>
        <v>4324.6799999999994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19.700000000000003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118.16000000000001</v>
      </c>
      <c r="O31" s="136">
        <f t="shared" si="4"/>
        <v>137.86000000000001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0</v>
      </c>
      <c r="D39" s="136">
        <f>ROUNDUP('採算表(VND)'!D39/$N$1,2)</f>
        <v>0</v>
      </c>
      <c r="E39" s="136">
        <f>ROUNDUP('採算表(VND)'!E39/$N$1,2)</f>
        <v>0</v>
      </c>
      <c r="F39" s="136">
        <f>ROUNDUP('採算表(VND)'!F39/$N$1,2)</f>
        <v>0</v>
      </c>
      <c r="G39" s="136">
        <f>ROUNDUP('採算表(VND)'!G39/$N$1,2)</f>
        <v>322.92</v>
      </c>
      <c r="H39" s="136">
        <f>ROUNDUP('採算表(VND)'!H39/$N$1,2)</f>
        <v>308.59999999999997</v>
      </c>
      <c r="I39" s="136">
        <f>ROUNDUP('採算表(VND)'!I39/$N$1,2)</f>
        <v>295.17</v>
      </c>
      <c r="J39" s="136">
        <f>ROUNDUP('採算表(VND)'!J39/$N$1,2)</f>
        <v>291.51</v>
      </c>
      <c r="K39" s="136">
        <f>ROUNDUP('採算表(VND)'!K39/$N$1,2)</f>
        <v>292.33999999999997</v>
      </c>
      <c r="L39" s="136">
        <f>ROUNDUP('採算表(VND)'!L39/$N$1,2)</f>
        <v>279.83999999999997</v>
      </c>
      <c r="M39" s="136">
        <f>ROUNDUP('採算表(VND)'!M39/$N$1,2)</f>
        <v>264.87</v>
      </c>
      <c r="N39" s="136">
        <f>ROUNDUP('採算表(VND)'!N39/$N$1,2)</f>
        <v>301.73</v>
      </c>
      <c r="O39" s="136">
        <f t="shared" si="4"/>
        <v>2356.98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0</v>
      </c>
      <c r="D41" s="136">
        <f>ROUNDUP('採算表(VND)'!D41/$N$1,2)</f>
        <v>0</v>
      </c>
      <c r="E41" s="136">
        <f>ROUNDUP('採算表(VND)'!E41/$N$1,2)</f>
        <v>0</v>
      </c>
      <c r="F41" s="136">
        <f>ROUNDUP('採算表(VND)'!F41/$N$1,2)</f>
        <v>0</v>
      </c>
      <c r="G41" s="136">
        <f>ROUNDUP('採算表(VND)'!G41/$N$1,2)</f>
        <v>128.91</v>
      </c>
      <c r="H41" s="136">
        <f>ROUNDUP('採算表(VND)'!H41/$N$1,2)</f>
        <v>128.91</v>
      </c>
      <c r="I41" s="136">
        <f>ROUNDUP('採算表(VND)'!I41/$N$1,2)</f>
        <v>128.91</v>
      </c>
      <c r="J41" s="136">
        <f>ROUNDUP('採算表(VND)'!J41/$N$1,2)</f>
        <v>128.91</v>
      </c>
      <c r="K41" s="136">
        <f>ROUNDUP('採算表(VND)'!K41/$N$1,2)</f>
        <v>128.91</v>
      </c>
      <c r="L41" s="136">
        <f>ROUNDUP('採算表(VND)'!L41/$N$1,2)</f>
        <v>128.91</v>
      </c>
      <c r="M41" s="136">
        <f>ROUNDUP('採算表(VND)'!M41/$N$1,2)</f>
        <v>128.91</v>
      </c>
      <c r="N41" s="136">
        <f>ROUNDUP('採算表(VND)'!N41/$N$1,2)</f>
        <v>128.91</v>
      </c>
      <c r="O41" s="136">
        <f t="shared" si="4"/>
        <v>1031.28</v>
      </c>
    </row>
    <row r="42" spans="1:15" ht="11.25" customHeight="1">
      <c r="A42" s="38"/>
      <c r="B42" s="37" t="s">
        <v>98</v>
      </c>
      <c r="C42" s="136">
        <f>ROUNDUP('採算表(VND)'!C42/$N$1,2)</f>
        <v>0</v>
      </c>
      <c r="D42" s="136">
        <f>ROUNDUP('採算表(VND)'!D42/$N$1,2)</f>
        <v>0</v>
      </c>
      <c r="E42" s="136">
        <f>ROUNDUP('採算表(VND)'!E42/$N$1,2)</f>
        <v>0</v>
      </c>
      <c r="F42" s="136">
        <f>ROUNDUP('採算表(VND)'!F42/$N$1,2)</f>
        <v>0</v>
      </c>
      <c r="G42" s="136">
        <f>ROUNDUP('採算表(VND)'!G42/$N$1,2)</f>
        <v>224.13</v>
      </c>
      <c r="H42" s="136">
        <f>ROUNDUP('採算表(VND)'!H42/$N$1,2)</f>
        <v>224.13</v>
      </c>
      <c r="I42" s="136">
        <f>ROUNDUP('採算表(VND)'!I42/$N$1,2)</f>
        <v>224.13</v>
      </c>
      <c r="J42" s="136">
        <f>ROUNDUP('採算表(VND)'!J42/$N$1,2)</f>
        <v>229.1</v>
      </c>
      <c r="K42" s="136">
        <f>ROUNDUP('採算表(VND)'!K42/$N$1,2)</f>
        <v>224.13</v>
      </c>
      <c r="L42" s="136">
        <f>ROUNDUP('採算表(VND)'!L42/$N$1,2)</f>
        <v>224.13</v>
      </c>
      <c r="M42" s="136">
        <f>ROUNDUP('採算表(VND)'!M42/$N$1,2)</f>
        <v>224.13</v>
      </c>
      <c r="N42" s="136">
        <f>ROUNDUP('採算表(VND)'!N42/$N$1,2)</f>
        <v>224.13</v>
      </c>
      <c r="O42" s="136">
        <f t="shared" si="4"/>
        <v>1798.0100000000002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0</v>
      </c>
      <c r="D44" s="136">
        <f>ROUNDUP('採算表(VND)'!D44/$N$1,2)</f>
        <v>0</v>
      </c>
      <c r="E44" s="136">
        <f>ROUNDUP('採算表(VND)'!E44/$N$1,2)</f>
        <v>0</v>
      </c>
      <c r="F44" s="136">
        <f>ROUNDUP('採算表(VND)'!F44/$N$1,2)</f>
        <v>747.18999999999994</v>
      </c>
      <c r="G44" s="136">
        <f>ROUNDUP('採算表(VND)'!G44/$N$1,2)</f>
        <v>191.85</v>
      </c>
      <c r="H44" s="136">
        <f>ROUNDUP('採算表(VND)'!H44/$N$1,2)</f>
        <v>2271.61</v>
      </c>
      <c r="I44" s="136">
        <f>ROUNDUP('採算表(VND)'!I44/$N$1,2)</f>
        <v>1884.19</v>
      </c>
      <c r="J44" s="136">
        <f>ROUNDUP('採算表(VND)'!J44/$N$1,2)</f>
        <v>2029.27</v>
      </c>
      <c r="K44" s="136">
        <f>ROUNDUP('採算表(VND)'!K44/$N$1,2)</f>
        <v>2655.9500000000003</v>
      </c>
      <c r="L44" s="136">
        <f>ROUNDUP('採算表(VND)'!L44/$N$1,2)</f>
        <v>1293.8399999999999</v>
      </c>
      <c r="M44" s="136">
        <f>ROUNDUP('採算表(VND)'!M44/$N$1,2)</f>
        <v>3765.6400000000003</v>
      </c>
      <c r="N44" s="136">
        <f>ROUNDUP('採算表(VND)'!N44/$N$1,2)</f>
        <v>1243.68</v>
      </c>
      <c r="O44" s="136">
        <f t="shared" si="4"/>
        <v>16083.220000000001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0</v>
      </c>
      <c r="D57" s="139">
        <f>ROUNDUP('採算表(VND)'!D57/$N$1,2)</f>
        <v>0</v>
      </c>
      <c r="E57" s="139">
        <f>ROUNDUP('採算表(VND)'!E57/$N$1,2)</f>
        <v>0</v>
      </c>
      <c r="F57" s="139">
        <f>ROUNDUP('採算表(VND)'!F57/$N$1,2)</f>
        <v>0</v>
      </c>
      <c r="G57" s="139">
        <f>ROUNDUP('採算表(VND)'!G57/$N$1,2)</f>
        <v>674.83</v>
      </c>
      <c r="H57" s="139">
        <f>ROUNDUP('採算表(VND)'!H57/$N$1,2)</f>
        <v>658.63</v>
      </c>
      <c r="I57" s="139">
        <f>ROUNDUP('採算表(VND)'!I57/$N$1,2)</f>
        <v>639.23</v>
      </c>
      <c r="J57" s="139">
        <f>ROUNDUP('採算表(VND)'!J57/$N$1,2)</f>
        <v>637.87</v>
      </c>
      <c r="K57" s="139">
        <f>ROUNDUP('採算表(VND)'!K57/$N$1,2)</f>
        <v>638.86</v>
      </c>
      <c r="L57" s="139">
        <f>ROUNDUP('採算表(VND)'!L57/$N$1,2)</f>
        <v>633.26</v>
      </c>
      <c r="M57" s="139">
        <f>ROUNDUP('採算表(VND)'!M57/$N$1,2)</f>
        <v>636.31999999999994</v>
      </c>
      <c r="N57" s="139">
        <f>ROUNDUP('採算表(VND)'!N57/$N$1,2)</f>
        <v>647.16999999999996</v>
      </c>
      <c r="O57" s="139">
        <f t="shared" si="4"/>
        <v>5166.17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-747.18999999999994</v>
      </c>
      <c r="G61" s="139">
        <f>ROUNDUP('採算表(VND)'!G61/$N$1,2)</f>
        <v>-6485.74</v>
      </c>
      <c r="H61" s="139">
        <f>ROUNDUP('採算表(VND)'!H61/$N$1,2)</f>
        <v>-6413.97</v>
      </c>
      <c r="I61" s="139">
        <f>ROUNDUP('採算表(VND)'!I61/$N$1,2)</f>
        <v>-6040.26</v>
      </c>
      <c r="J61" s="139">
        <f>ROUNDUP('採算表(VND)'!J61/$N$1,2)</f>
        <v>-5306.0300000000007</v>
      </c>
      <c r="K61" s="139">
        <f>ROUNDUP('採算表(VND)'!K61/$N$1,2)</f>
        <v>-6825.6</v>
      </c>
      <c r="L61" s="139">
        <f>ROUNDUP('採算表(VND)'!L61/$N$1,2)</f>
        <v>-5290.71</v>
      </c>
      <c r="M61" s="139">
        <f>ROUNDUP('採算表(VND)'!M61/$N$1,2)</f>
        <v>-6736.3</v>
      </c>
      <c r="N61" s="139">
        <f>ROUNDUP('採算表(VND)'!N61/$N$1,2)</f>
        <v>-4648.16</v>
      </c>
      <c r="O61" s="139">
        <f t="shared" si="4"/>
        <v>-48493.960000000006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0</v>
      </c>
      <c r="D66" s="134">
        <f t="shared" ref="D66:O66" si="5">IF(ISBLANK(D4),"",D12-D13)</f>
        <v>0</v>
      </c>
      <c r="E66" s="134">
        <f t="shared" si="5"/>
        <v>0</v>
      </c>
      <c r="F66" s="134">
        <f t="shared" si="5"/>
        <v>0</v>
      </c>
      <c r="G66" s="134">
        <f t="shared" si="5"/>
        <v>-6.0000000000400178E-2</v>
      </c>
      <c r="H66" s="134">
        <f t="shared" si="5"/>
        <v>-5.9999999999490683E-2</v>
      </c>
      <c r="I66" s="134">
        <f t="shared" si="5"/>
        <v>-4.9999999999272404E-2</v>
      </c>
      <c r="J66" s="134">
        <f t="shared" si="5"/>
        <v>-3.9999999999054126E-2</v>
      </c>
      <c r="K66" s="134">
        <f t="shared" si="5"/>
        <v>-3.999999999996362E-2</v>
      </c>
      <c r="L66" s="134">
        <f t="shared" si="5"/>
        <v>-6.0000000000400178E-2</v>
      </c>
      <c r="M66" s="134">
        <f t="shared" si="5"/>
        <v>-5.0000000000181899E-2</v>
      </c>
      <c r="N66" s="134">
        <f t="shared" si="5"/>
        <v>-5.0000000000181899E-2</v>
      </c>
      <c r="O66" s="134">
        <f t="shared" si="5"/>
        <v>-0.4099999999962165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0</v>
      </c>
      <c r="D68" s="135">
        <f>'採算表(VND)'!D68</f>
        <v>0</v>
      </c>
      <c r="E68" s="135">
        <f>'採算表(VND)'!E68</f>
        <v>0</v>
      </c>
      <c r="F68" s="135">
        <f>'採算表(VND)'!F68</f>
        <v>29036</v>
      </c>
      <c r="G68" s="135">
        <f>'採算表(VND)'!G68</f>
        <v>25248</v>
      </c>
      <c r="H68" s="135">
        <f>'採算表(VND)'!H68</f>
        <v>23986</v>
      </c>
      <c r="I68" s="135">
        <f>'採算表(VND)'!I68</f>
        <v>29036</v>
      </c>
      <c r="J68" s="135">
        <f>'採算表(VND)'!J68</f>
        <v>25248</v>
      </c>
      <c r="K68" s="135">
        <f>'採算表(VND)'!K68</f>
        <v>27774</v>
      </c>
      <c r="L68" s="135">
        <f>'採算表(VND)'!L68</f>
        <v>25248</v>
      </c>
      <c r="M68" s="135">
        <f>'採算表(VND)'!M68</f>
        <v>20615</v>
      </c>
      <c r="N68" s="135">
        <f>'採算表(VND)'!N68</f>
        <v>27485</v>
      </c>
      <c r="O68" s="135">
        <f>SUM(C68:N68)</f>
        <v>233676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-29036</v>
      </c>
      <c r="G69" s="136">
        <f>'採算表(VND)'!G69</f>
        <v>-25248</v>
      </c>
      <c r="H69" s="136">
        <f>'採算表(VND)'!H69</f>
        <v>-23986</v>
      </c>
      <c r="I69" s="136">
        <f>'採算表(VND)'!I69</f>
        <v>-29036</v>
      </c>
      <c r="J69" s="136">
        <f>'採算表(VND)'!J69</f>
        <v>-25248</v>
      </c>
      <c r="K69" s="136">
        <f>'採算表(VND)'!K69</f>
        <v>-27774</v>
      </c>
      <c r="L69" s="136">
        <f>'採算表(VND)'!L69</f>
        <v>-25248</v>
      </c>
      <c r="M69" s="136">
        <f>'採算表(VND)'!M69</f>
        <v>-20615</v>
      </c>
      <c r="N69" s="136">
        <f>'採算表(VND)'!N69</f>
        <v>-27485</v>
      </c>
      <c r="O69" s="136">
        <f>SUM(C69:N69)</f>
        <v>-233676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0</v>
      </c>
      <c r="D74" s="135">
        <f>'採算表(VND)'!D74</f>
        <v>0</v>
      </c>
      <c r="E74" s="135">
        <f>'採算表(VND)'!E74</f>
        <v>0</v>
      </c>
      <c r="F74" s="135">
        <f>'採算表(VND)'!F74</f>
        <v>3971</v>
      </c>
      <c r="G74" s="135">
        <f>'採算表(VND)'!G74</f>
        <v>3965</v>
      </c>
      <c r="H74" s="135">
        <f>'採算表(VND)'!H74</f>
        <v>3963</v>
      </c>
      <c r="I74" s="135">
        <f>'採算表(VND)'!I74</f>
        <v>3971</v>
      </c>
      <c r="J74" s="135">
        <f>'採算表(VND)'!J74</f>
        <v>3965</v>
      </c>
      <c r="K74" s="135">
        <f>'採算表(VND)'!K74</f>
        <v>3969</v>
      </c>
      <c r="L74" s="135">
        <f>'採算表(VND)'!L74</f>
        <v>3965</v>
      </c>
      <c r="M74" s="135">
        <f>'採算表(VND)'!M74</f>
        <v>4305</v>
      </c>
      <c r="N74" s="135">
        <f>'採算表(VND)'!N74</f>
        <v>4315</v>
      </c>
      <c r="O74" s="135">
        <f>SUM(C74:N74)</f>
        <v>36389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-3971</v>
      </c>
      <c r="G75" s="136">
        <f>'採算表(VND)'!G75</f>
        <v>-3965</v>
      </c>
      <c r="H75" s="136">
        <f>'採算表(VND)'!H75</f>
        <v>-3963</v>
      </c>
      <c r="I75" s="136">
        <f>'採算表(VND)'!I75</f>
        <v>-3971</v>
      </c>
      <c r="J75" s="136">
        <f>'採算表(VND)'!J75</f>
        <v>-3965</v>
      </c>
      <c r="K75" s="136">
        <f>'採算表(VND)'!K75</f>
        <v>-3969</v>
      </c>
      <c r="L75" s="136">
        <f>'採算表(VND)'!L75</f>
        <v>-3965</v>
      </c>
      <c r="M75" s="136">
        <f>'採算表(VND)'!M75</f>
        <v>-4305</v>
      </c>
      <c r="N75" s="136">
        <f>'採算表(VND)'!N75</f>
        <v>-4315</v>
      </c>
      <c r="O75" s="136">
        <f>SUM(C75:N75)</f>
        <v>-36389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0</v>
      </c>
      <c r="D88" s="150">
        <f>'採算表(VND)'!D88</f>
        <v>0</v>
      </c>
      <c r="E88" s="150">
        <f>'採算表(VND)'!E88</f>
        <v>0</v>
      </c>
      <c r="F88" s="150">
        <f>'採算表(VND)'!F88</f>
        <v>158</v>
      </c>
      <c r="G88" s="150">
        <f>'採算表(VND)'!G88</f>
        <v>158</v>
      </c>
      <c r="H88" s="150">
        <f>'採算表(VND)'!H88</f>
        <v>158</v>
      </c>
      <c r="I88" s="150">
        <f>'採算表(VND)'!I88</f>
        <v>158</v>
      </c>
      <c r="J88" s="150">
        <f>'採算表(VND)'!J88</f>
        <v>158</v>
      </c>
      <c r="K88" s="150">
        <f>'採算表(VND)'!K88</f>
        <v>158</v>
      </c>
      <c r="L88" s="150">
        <f>'採算表(VND)'!L88</f>
        <v>158</v>
      </c>
      <c r="M88" s="150">
        <f>'採算表(VND)'!M88</f>
        <v>172</v>
      </c>
      <c r="N88" s="150">
        <f>'採算表(VND)'!N88</f>
        <v>172</v>
      </c>
      <c r="O88" s="150">
        <f>SUM(C88:N88)</f>
        <v>1450</v>
      </c>
    </row>
    <row r="89" spans="1:15">
      <c r="A89" s="44"/>
      <c r="B89" s="60" t="s">
        <v>18</v>
      </c>
      <c r="C89" s="151">
        <f t="shared" ref="C89:O89" si="11">C87+C88</f>
        <v>0</v>
      </c>
      <c r="D89" s="151">
        <f t="shared" si="11"/>
        <v>0</v>
      </c>
      <c r="E89" s="151">
        <f t="shared" si="11"/>
        <v>0</v>
      </c>
      <c r="F89" s="151">
        <f t="shared" si="11"/>
        <v>158</v>
      </c>
      <c r="G89" s="151">
        <f t="shared" si="11"/>
        <v>158</v>
      </c>
      <c r="H89" s="151">
        <f t="shared" si="11"/>
        <v>158</v>
      </c>
      <c r="I89" s="151">
        <f t="shared" si="11"/>
        <v>158</v>
      </c>
      <c r="J89" s="151">
        <f t="shared" si="11"/>
        <v>158</v>
      </c>
      <c r="K89" s="151">
        <f t="shared" si="11"/>
        <v>158</v>
      </c>
      <c r="L89" s="151">
        <f t="shared" si="11"/>
        <v>158</v>
      </c>
      <c r="M89" s="151">
        <f t="shared" si="11"/>
        <v>172</v>
      </c>
      <c r="N89" s="151">
        <f t="shared" si="11"/>
        <v>172</v>
      </c>
      <c r="O89" s="151">
        <f t="shared" si="11"/>
        <v>1450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0</v>
      </c>
      <c r="D93" s="133">
        <f>'採算表(VND)'!D93</f>
        <v>0</v>
      </c>
      <c r="E93" s="133">
        <f>'採算表(VND)'!E93</f>
        <v>0</v>
      </c>
      <c r="F93" s="133">
        <f>'採算表(VND)'!F93</f>
        <v>29036</v>
      </c>
      <c r="G93" s="133">
        <f>'採算表(VND)'!G93</f>
        <v>25248</v>
      </c>
      <c r="H93" s="133">
        <f>'採算表(VND)'!H93</f>
        <v>23986</v>
      </c>
      <c r="I93" s="133">
        <f>'採算表(VND)'!I93</f>
        <v>29036</v>
      </c>
      <c r="J93" s="133">
        <f>'採算表(VND)'!J93</f>
        <v>25248</v>
      </c>
      <c r="K93" s="133">
        <f>'採算表(VND)'!K93</f>
        <v>27774</v>
      </c>
      <c r="L93" s="133">
        <f>'採算表(VND)'!L93</f>
        <v>25248</v>
      </c>
      <c r="M93" s="133">
        <f>'採算表(VND)'!M93</f>
        <v>20615</v>
      </c>
      <c r="N93" s="133">
        <f>'採算表(VND)'!N93</f>
        <v>27485</v>
      </c>
      <c r="O93" s="133">
        <f>SUM(C93:N93)</f>
        <v>233676</v>
      </c>
    </row>
    <row r="94" spans="1:15">
      <c r="B94" s="61" t="s">
        <v>18</v>
      </c>
      <c r="C94" s="147">
        <f t="shared" ref="C94:O94" si="12">C92+C93</f>
        <v>0</v>
      </c>
      <c r="D94" s="147">
        <f t="shared" si="12"/>
        <v>0</v>
      </c>
      <c r="E94" s="147">
        <f t="shared" si="12"/>
        <v>0</v>
      </c>
      <c r="F94" s="147">
        <f t="shared" si="12"/>
        <v>29036</v>
      </c>
      <c r="G94" s="147">
        <f t="shared" si="12"/>
        <v>25248</v>
      </c>
      <c r="H94" s="147">
        <f t="shared" si="12"/>
        <v>23986</v>
      </c>
      <c r="I94" s="147">
        <f t="shared" si="12"/>
        <v>29036</v>
      </c>
      <c r="J94" s="147">
        <f t="shared" si="12"/>
        <v>25248</v>
      </c>
      <c r="K94" s="147">
        <f t="shared" si="12"/>
        <v>27774</v>
      </c>
      <c r="L94" s="147">
        <f t="shared" si="12"/>
        <v>25248</v>
      </c>
      <c r="M94" s="147">
        <f t="shared" si="12"/>
        <v>20615</v>
      </c>
      <c r="N94" s="147">
        <f t="shared" si="12"/>
        <v>27485</v>
      </c>
      <c r="O94" s="147">
        <f t="shared" si="12"/>
        <v>233676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0</v>
      </c>
      <c r="D98" s="133">
        <f>'採算表(VND)'!D98</f>
        <v>0</v>
      </c>
      <c r="E98" s="133">
        <f>'採算表(VND)'!E98</f>
        <v>0</v>
      </c>
      <c r="F98" s="133">
        <f>'採算表(VND)'!F98</f>
        <v>3971</v>
      </c>
      <c r="G98" s="133">
        <f>'採算表(VND)'!G98</f>
        <v>3965</v>
      </c>
      <c r="H98" s="133">
        <f>'採算表(VND)'!H98</f>
        <v>3963</v>
      </c>
      <c r="I98" s="133">
        <f>'採算表(VND)'!I98</f>
        <v>3971</v>
      </c>
      <c r="J98" s="133">
        <f>'採算表(VND)'!J98</f>
        <v>3965</v>
      </c>
      <c r="K98" s="133">
        <f>'採算表(VND)'!K98</f>
        <v>3969</v>
      </c>
      <c r="L98" s="133">
        <f>'採算表(VND)'!L98</f>
        <v>3965</v>
      </c>
      <c r="M98" s="133">
        <f>'採算表(VND)'!M98</f>
        <v>4305</v>
      </c>
      <c r="N98" s="133">
        <f>'採算表(VND)'!N98</f>
        <v>4315</v>
      </c>
      <c r="O98" s="133">
        <f>SUM(C98:N98)</f>
        <v>36389</v>
      </c>
    </row>
    <row r="99" spans="2:15">
      <c r="B99" s="61" t="s">
        <v>18</v>
      </c>
      <c r="C99" s="147">
        <f t="shared" ref="C99:O99" si="13">C97+C98</f>
        <v>0</v>
      </c>
      <c r="D99" s="147">
        <f t="shared" si="13"/>
        <v>0</v>
      </c>
      <c r="E99" s="147">
        <f t="shared" si="13"/>
        <v>0</v>
      </c>
      <c r="F99" s="147">
        <f t="shared" si="13"/>
        <v>3971</v>
      </c>
      <c r="G99" s="147">
        <f t="shared" si="13"/>
        <v>3965</v>
      </c>
      <c r="H99" s="147">
        <f t="shared" si="13"/>
        <v>3963</v>
      </c>
      <c r="I99" s="147">
        <f t="shared" si="13"/>
        <v>3971</v>
      </c>
      <c r="J99" s="147">
        <f t="shared" si="13"/>
        <v>3965</v>
      </c>
      <c r="K99" s="147">
        <f t="shared" si="13"/>
        <v>3969</v>
      </c>
      <c r="L99" s="147">
        <f t="shared" si="13"/>
        <v>3965</v>
      </c>
      <c r="M99" s="147">
        <f t="shared" si="13"/>
        <v>4305</v>
      </c>
      <c r="N99" s="147">
        <f t="shared" si="13"/>
        <v>4315</v>
      </c>
      <c r="O99" s="147">
        <f t="shared" si="13"/>
        <v>36389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5014-BB8F-463E-AC7B-DA119898654C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工程品質管理2課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SUMIF('内訳ﾘｽﾄ(4～3月)'!$D$26:$D$1006,'採算表(VND)'!$B6,'内訳ﾘｽﾄ(4～3月)'!F$26:F$1006)</f>
        <v>0</v>
      </c>
      <c r="D6" s="153">
        <f>SUMIF('内訳ﾘｽﾄ(4～3月)'!$D$26:$D$1006,'採算表(VND)'!$B6,'内訳ﾘｽﾄ(4～3月)'!G$26:G$1006)</f>
        <v>0</v>
      </c>
      <c r="E6" s="153">
        <f>SUMIF('内訳ﾘｽﾄ(4～3月)'!$D$26:$D$1006,'採算表(VND)'!$B6,'内訳ﾘｽﾄ(4～3月)'!H$26:H$1006)</f>
        <v>0</v>
      </c>
      <c r="F6" s="153">
        <f>SUMIF('内訳ﾘｽﾄ(4～3月)'!$D$26:$D$1006,'採算表(VND)'!$B6,'内訳ﾘｽﾄ(4～3月)'!I$26:I$1006)</f>
        <v>0</v>
      </c>
      <c r="G6" s="153">
        <f>SUMIF('内訳ﾘｽﾄ(4～3月)'!$D$26:$D$1006,'採算表(VND)'!$B6,'内訳ﾘｽﾄ(4～3月)'!J$26:J$1006)</f>
        <v>0</v>
      </c>
      <c r="H6" s="153">
        <f>SUMIF('内訳ﾘｽﾄ(4～3月)'!$D$26:$D$1006,'採算表(VND)'!$B6,'内訳ﾘｽﾄ(4～3月)'!K$26:K$1006)</f>
        <v>0</v>
      </c>
      <c r="I6" s="153">
        <f>SUMIF('内訳ﾘｽﾄ(4～3月)'!$D$26:$D$1006,'採算表(VND)'!$B6,'内訳ﾘｽﾄ(4～3月)'!L$26:L$1006)</f>
        <v>0</v>
      </c>
      <c r="J6" s="153">
        <f>SUMIF('内訳ﾘｽﾄ(4～3月)'!$D$26:$D$1006,'採算表(VND)'!$B6,'内訳ﾘｽﾄ(4～3月)'!M$26:M$1006)</f>
        <v>0</v>
      </c>
      <c r="K6" s="153">
        <f>SUMIF('内訳ﾘｽﾄ(4～3月)'!$D$26:$D$1006,'採算表(VND)'!$B6,'内訳ﾘｽﾄ(4～3月)'!N$26:N$1006)</f>
        <v>0</v>
      </c>
      <c r="L6" s="153">
        <f>SUMIF('内訳ﾘｽﾄ(4～3月)'!$D$26:$D$1006,'採算表(VND)'!$B6,'内訳ﾘｽﾄ(4～3月)'!O$26:O$1006)</f>
        <v>0</v>
      </c>
      <c r="M6" s="153">
        <f>SUMIF('内訳ﾘｽﾄ(4～3月)'!$D$26:$D$1006,'採算表(VND)'!$B6,'内訳ﾘｽﾄ(4～3月)'!P$26:P$1006)</f>
        <v>0</v>
      </c>
      <c r="N6" s="153">
        <f>SUMIF('内訳ﾘｽﾄ(4～3月)'!$D$26:$D$1006,'採算表(VND)'!$B6,'内訳ﾘｽﾄ(4～3月)'!Q$26:Q$1006)</f>
        <v>0</v>
      </c>
      <c r="O6" s="153">
        <f>SUMIF('内訳ﾘｽﾄ(4～3月)'!$D$26:$D$805,'採算表(VND)'!$B6,'内訳ﾘｽﾄ(4～3月)'!R$26:R$805)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SUMIF('内訳ﾘｽﾄ(4～3月)'!$D$26:$D$1006,'採算表(VND)'!$B7,'内訳ﾘｽﾄ(4～3月)'!F$26:F$1006)</f>
        <v>0</v>
      </c>
      <c r="D7" s="154">
        <f>SUMIF('内訳ﾘｽﾄ(4～3月)'!$D$26:$D$1006,'採算表(VND)'!$B7,'内訳ﾘｽﾄ(4～3月)'!G$26:G$1006)</f>
        <v>0</v>
      </c>
      <c r="E7" s="154">
        <f>SUMIF('内訳ﾘｽﾄ(4～3月)'!$D$26:$D$1006,'採算表(VND)'!$B7,'内訳ﾘｽﾄ(4～3月)'!H$26:H$1006)</f>
        <v>0</v>
      </c>
      <c r="F7" s="154">
        <f>SUMIF('内訳ﾘｽﾄ(4～3月)'!$D$26:$D$1006,'採算表(VND)'!$B7,'内訳ﾘｽﾄ(4～3月)'!I$26:I$1006)</f>
        <v>0</v>
      </c>
      <c r="G7" s="154">
        <f>SUMIF('内訳ﾘｽﾄ(4～3月)'!$D$26:$D$1006,'採算表(VND)'!$B7,'内訳ﾘｽﾄ(4～3月)'!J$26:J$1006)</f>
        <v>0</v>
      </c>
      <c r="H7" s="154">
        <f>SUMIF('内訳ﾘｽﾄ(4～3月)'!$D$26:$D$1006,'採算表(VND)'!$B7,'内訳ﾘｽﾄ(4～3月)'!K$26:K$1006)</f>
        <v>0</v>
      </c>
      <c r="I7" s="154">
        <f>SUMIF('内訳ﾘｽﾄ(4～3月)'!$D$26:$D$1006,'採算表(VND)'!$B7,'内訳ﾘｽﾄ(4～3月)'!L$26:L$1006)</f>
        <v>0</v>
      </c>
      <c r="J7" s="154">
        <f>SUMIF('内訳ﾘｽﾄ(4～3月)'!$D$26:$D$1006,'採算表(VND)'!$B7,'内訳ﾘｽﾄ(4～3月)'!M$26:M$1006)</f>
        <v>0</v>
      </c>
      <c r="K7" s="154">
        <f>SUMIF('内訳ﾘｽﾄ(4～3月)'!$D$26:$D$1006,'採算表(VND)'!$B7,'内訳ﾘｽﾄ(4～3月)'!N$26:N$1006)</f>
        <v>0</v>
      </c>
      <c r="L7" s="154">
        <f>SUMIF('内訳ﾘｽﾄ(4～3月)'!$D$26:$D$1006,'採算表(VND)'!$B7,'内訳ﾘｽﾄ(4～3月)'!O$26:O$1006)</f>
        <v>0</v>
      </c>
      <c r="M7" s="154">
        <f>SUMIF('内訳ﾘｽﾄ(4～3月)'!$D$26:$D$1006,'採算表(VND)'!$B7,'内訳ﾘｽﾄ(4～3月)'!P$26:P$1006)</f>
        <v>0</v>
      </c>
      <c r="N7" s="154">
        <f>SUMIF('内訳ﾘｽﾄ(4～3月)'!$D$26:$D$1006,'採算表(VND)'!$B7,'内訳ﾘｽﾄ(4～3月)'!Q$26:Q$1006)</f>
        <v>0</v>
      </c>
      <c r="O7" s="154">
        <f>SUMIF('内訳ﾘｽﾄ(4～3月)'!$D$26:$D$805,'採算表(VND)'!$B7,'内訳ﾘｽﾄ(4～3月)'!R$26:R$805)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SUMIF('内訳ﾘｽﾄ(4～3月)'!$D$26:$D$1006,'採算表(VND)'!$B9,'内訳ﾘｽﾄ(4～3月)'!F$26:F$1006)</f>
        <v>0</v>
      </c>
      <c r="D9" s="150">
        <f>SUMIF('内訳ﾘｽﾄ(4～3月)'!$D$26:$D$1006,'採算表(VND)'!$B9,'内訳ﾘｽﾄ(4～3月)'!G$26:G$1006)</f>
        <v>0</v>
      </c>
      <c r="E9" s="150">
        <f>SUMIF('内訳ﾘｽﾄ(4～3月)'!$D$26:$D$1006,'採算表(VND)'!$B9,'内訳ﾘｽﾄ(4～3月)'!H$26:H$1006)</f>
        <v>0</v>
      </c>
      <c r="F9" s="150">
        <f>SUMIF('内訳ﾘｽﾄ(4～3月)'!$D$26:$D$1006,'採算表(VND)'!$B9,'内訳ﾘｽﾄ(4～3月)'!I$26:I$1006)</f>
        <v>0</v>
      </c>
      <c r="G9" s="150">
        <f>SUMIF('内訳ﾘｽﾄ(4～3月)'!$D$26:$D$1006,'採算表(VND)'!$B9,'内訳ﾘｽﾄ(4～3月)'!J$26:J$1006)</f>
        <v>0</v>
      </c>
      <c r="H9" s="150">
        <f>SUMIF('内訳ﾘｽﾄ(4～3月)'!$D$26:$D$1006,'採算表(VND)'!$B9,'内訳ﾘｽﾄ(4～3月)'!K$26:K$1006)</f>
        <v>0</v>
      </c>
      <c r="I9" s="150">
        <f>SUMIF('内訳ﾘｽﾄ(4～3月)'!$D$26:$D$1006,'採算表(VND)'!$B9,'内訳ﾘｽﾄ(4～3月)'!L$26:L$1006)</f>
        <v>0</v>
      </c>
      <c r="J9" s="150">
        <f>SUMIF('内訳ﾘｽﾄ(4～3月)'!$D$26:$D$1006,'採算表(VND)'!$B9,'内訳ﾘｽﾄ(4～3月)'!M$26:M$1006)</f>
        <v>0</v>
      </c>
      <c r="K9" s="150">
        <f>SUMIF('内訳ﾘｽﾄ(4～3月)'!$D$26:$D$1006,'採算表(VND)'!$B9,'内訳ﾘｽﾄ(4～3月)'!N$26:N$1006)</f>
        <v>0</v>
      </c>
      <c r="L9" s="150">
        <f>SUMIF('内訳ﾘｽﾄ(4～3月)'!$D$26:$D$1006,'採算表(VND)'!$B9,'内訳ﾘｽﾄ(4～3月)'!O$26:O$1006)</f>
        <v>0</v>
      </c>
      <c r="M9" s="150">
        <f>SUMIF('内訳ﾘｽﾄ(4～3月)'!$D$26:$D$1006,'採算表(VND)'!$B9,'内訳ﾘｽﾄ(4～3月)'!P$26:P$1006)</f>
        <v>0</v>
      </c>
      <c r="N9" s="150">
        <f>SUMIF('内訳ﾘｽﾄ(4～3月)'!$D$26:$D$1006,'採算表(VND)'!$B9,'内訳ﾘｽﾄ(4～3月)'!Q$26:Q$1006)</f>
        <v>0</v>
      </c>
      <c r="O9" s="150">
        <f>SUMIF('内訳ﾘｽﾄ(4～3月)'!$D$26:$D$805,'採算表(VND)'!$B9,'内訳ﾘｽﾄ(4～3月)'!R$26:R$805)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SUMIF('内訳ﾘｽﾄ(4～3月)'!$D$26:$D$1006,'採算表(VND)'!$B10,'内訳ﾘｽﾄ(4～3月)'!F$26:F$1006)</f>
        <v>0</v>
      </c>
      <c r="D10" s="150">
        <f>SUMIF('内訳ﾘｽﾄ(4～3月)'!$D$26:$D$1006,'採算表(VND)'!$B10,'内訳ﾘｽﾄ(4～3月)'!G$26:G$1006)</f>
        <v>0</v>
      </c>
      <c r="E10" s="150">
        <f>SUMIF('内訳ﾘｽﾄ(4～3月)'!$D$26:$D$1006,'採算表(VND)'!$B10,'内訳ﾘｽﾄ(4～3月)'!H$26:H$1006)</f>
        <v>0</v>
      </c>
      <c r="F10" s="150">
        <f>SUMIF('内訳ﾘｽﾄ(4～3月)'!$D$26:$D$1006,'採算表(VND)'!$B10,'内訳ﾘｽﾄ(4～3月)'!I$26:I$1006)</f>
        <v>0</v>
      </c>
      <c r="G10" s="150">
        <f>SUMIF('内訳ﾘｽﾄ(4～3月)'!$D$26:$D$1006,'採算表(VND)'!$B10,'内訳ﾘｽﾄ(4～3月)'!J$26:J$1006)</f>
        <v>0</v>
      </c>
      <c r="H10" s="150">
        <f>SUMIF('内訳ﾘｽﾄ(4～3月)'!$D$26:$D$1006,'採算表(VND)'!$B10,'内訳ﾘｽﾄ(4～3月)'!K$26:K$1006)</f>
        <v>0</v>
      </c>
      <c r="I10" s="150">
        <f>SUMIF('内訳ﾘｽﾄ(4～3月)'!$D$26:$D$1006,'採算表(VND)'!$B10,'内訳ﾘｽﾄ(4～3月)'!L$26:L$1006)</f>
        <v>0</v>
      </c>
      <c r="J10" s="150">
        <f>SUMIF('内訳ﾘｽﾄ(4～3月)'!$D$26:$D$1006,'採算表(VND)'!$B10,'内訳ﾘｽﾄ(4～3月)'!M$26:M$1006)</f>
        <v>0</v>
      </c>
      <c r="K10" s="150">
        <f>SUMIF('内訳ﾘｽﾄ(4～3月)'!$D$26:$D$1006,'採算表(VND)'!$B10,'内訳ﾘｽﾄ(4～3月)'!N$26:N$1006)</f>
        <v>0</v>
      </c>
      <c r="L10" s="150">
        <f>SUMIF('内訳ﾘｽﾄ(4～3月)'!$D$26:$D$1006,'採算表(VND)'!$B10,'内訳ﾘｽﾄ(4～3月)'!O$26:O$1006)</f>
        <v>0</v>
      </c>
      <c r="M10" s="150">
        <f>SUMIF('内訳ﾘｽﾄ(4～3月)'!$D$26:$D$1006,'採算表(VND)'!$B10,'内訳ﾘｽﾄ(4～3月)'!P$26:P$1006)</f>
        <v>0</v>
      </c>
      <c r="N10" s="150">
        <f>SUMIF('内訳ﾘｽﾄ(4～3月)'!$D$26:$D$1006,'採算表(VND)'!$B10,'内訳ﾘｽﾄ(4～3月)'!Q$26:Q$1006)</f>
        <v>0</v>
      </c>
      <c r="O10" s="150">
        <f>SUMIF('内訳ﾘｽﾄ(4～3月)'!$D$26:$D$805,'採算表(VND)'!$B10,'内訳ﾘｽﾄ(4～3月)'!R$26:R$805)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SUMIF('内訳ﾘｽﾄ(4～3月)'!$D$26:$D$1006,$B14,'内訳ﾘｽﾄ(4～3月)'!F$26:F$1006)</f>
        <v>0</v>
      </c>
      <c r="D14" s="157">
        <f>SUMIF('内訳ﾘｽﾄ(4～3月)'!$D$26:$D$1006,$B14,'内訳ﾘｽﾄ(4～3月)'!G$26:G$1006)</f>
        <v>0</v>
      </c>
      <c r="E14" s="157">
        <f>SUMIF('内訳ﾘｽﾄ(4～3月)'!$D$26:$D$1006,$B14,'内訳ﾘｽﾄ(4～3月)'!H$26:H$1006)</f>
        <v>0</v>
      </c>
      <c r="F14" s="157">
        <f>SUMIF('内訳ﾘｽﾄ(4～3月)'!$D$26:$D$1006,$B14,'内訳ﾘｽﾄ(4～3月)'!I$26:I$1006)</f>
        <v>0</v>
      </c>
      <c r="G14" s="157">
        <f>SUMIF('内訳ﾘｽﾄ(4～3月)'!$D$26:$D$1006,$B14,'内訳ﾘｽﾄ(4～3月)'!J$26:J$1006)</f>
        <v>0</v>
      </c>
      <c r="H14" s="157">
        <f>SUMIF('内訳ﾘｽﾄ(4～3月)'!$D$26:$D$1006,$B14,'内訳ﾘｽﾄ(4～3月)'!K$26:K$1006)</f>
        <v>0</v>
      </c>
      <c r="I14" s="157">
        <f>SUMIF('内訳ﾘｽﾄ(4～3月)'!$D$26:$D$1006,$B14,'内訳ﾘｽﾄ(4～3月)'!L$26:L$1006)</f>
        <v>0</v>
      </c>
      <c r="J14" s="157">
        <f>SUMIF('内訳ﾘｽﾄ(4～3月)'!$D$26:$D$1006,$B14,'内訳ﾘｽﾄ(4～3月)'!M$26:M$1006)</f>
        <v>0</v>
      </c>
      <c r="K14" s="157">
        <f>SUMIF('内訳ﾘｽﾄ(4～3月)'!$D$26:$D$1006,$B14,'内訳ﾘｽﾄ(4～3月)'!N$26:N$1006)</f>
        <v>0</v>
      </c>
      <c r="L14" s="157">
        <f>SUMIF('内訳ﾘｽﾄ(4～3月)'!$D$26:$D$1006,$B14,'内訳ﾘｽﾄ(4～3月)'!O$26:O$1006)</f>
        <v>0</v>
      </c>
      <c r="M14" s="157">
        <f>SUMIF('内訳ﾘｽﾄ(4～3月)'!$D$26:$D$1006,$B14,'内訳ﾘｽﾄ(4～3月)'!P$26:P$1006)</f>
        <v>0</v>
      </c>
      <c r="N14" s="157">
        <f>SUMIF('内訳ﾘｽﾄ(4～3月)'!$D$26:$D$1006,$B14,'内訳ﾘｽﾄ(4～3月)'!Q$26:Q$1006)</f>
        <v>0</v>
      </c>
      <c r="O14" s="157">
        <f>SUMIF('内訳ﾘｽﾄ(4～3月)'!$D$26:$D$805,'採算表(VND)'!$B14,'内訳ﾘｽﾄ(4～3月)'!R$26:R$805)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SUMIF('内訳ﾘｽﾄ(4～3月)'!$D$26:$D$1006,$B15,'内訳ﾘｽﾄ(4～3月)'!F$26:F$1006)</f>
        <v>0</v>
      </c>
      <c r="D15" s="157">
        <f>SUMIF('内訳ﾘｽﾄ(4～3月)'!$D$26:$D$1006,$B15,'内訳ﾘｽﾄ(4～3月)'!G$26:G$1006)</f>
        <v>0</v>
      </c>
      <c r="E15" s="157">
        <f>SUMIF('内訳ﾘｽﾄ(4～3月)'!$D$26:$D$1006,$B15,'内訳ﾘｽﾄ(4～3月)'!H$26:H$1006)</f>
        <v>0</v>
      </c>
      <c r="F15" s="157">
        <f>SUMIF('内訳ﾘｽﾄ(4～3月)'!$D$26:$D$1006,$B15,'内訳ﾘｽﾄ(4～3月)'!I$26:I$1006)</f>
        <v>0</v>
      </c>
      <c r="G15" s="157">
        <f>SUMIF('内訳ﾘｽﾄ(4～3月)'!$D$26:$D$1006,$B15,'内訳ﾘｽﾄ(4～3月)'!J$26:J$1006)</f>
        <v>0</v>
      </c>
      <c r="H15" s="157">
        <f>SUMIF('内訳ﾘｽﾄ(4～3月)'!$D$26:$D$1006,$B15,'内訳ﾘｽﾄ(4～3月)'!K$26:K$1006)</f>
        <v>0</v>
      </c>
      <c r="I15" s="157">
        <f>SUMIF('内訳ﾘｽﾄ(4～3月)'!$D$26:$D$1006,$B15,'内訳ﾘｽﾄ(4～3月)'!L$26:L$1006)</f>
        <v>0</v>
      </c>
      <c r="J15" s="157">
        <f>SUMIF('内訳ﾘｽﾄ(4～3月)'!$D$26:$D$1006,$B15,'内訳ﾘｽﾄ(4～3月)'!M$26:M$1006)</f>
        <v>0</v>
      </c>
      <c r="K15" s="157">
        <f>SUMIF('内訳ﾘｽﾄ(4～3月)'!$D$26:$D$1006,$B15,'内訳ﾘｽﾄ(4～3月)'!N$26:N$1006)</f>
        <v>0</v>
      </c>
      <c r="L15" s="157">
        <f>SUMIF('内訳ﾘｽﾄ(4～3月)'!$D$26:$D$1006,$B15,'内訳ﾘｽﾄ(4～3月)'!O$26:O$1006)</f>
        <v>0</v>
      </c>
      <c r="M15" s="157">
        <f>SUMIF('内訳ﾘｽﾄ(4～3月)'!$D$26:$D$1006,$B15,'内訳ﾘｽﾄ(4～3月)'!P$26:P$1006)</f>
        <v>0</v>
      </c>
      <c r="N15" s="157">
        <f>SUMIF('内訳ﾘｽﾄ(4～3月)'!$D$26:$D$1006,$B15,'内訳ﾘｽﾄ(4～3月)'!Q$26:Q$1006)</f>
        <v>0</v>
      </c>
      <c r="O15" s="157">
        <f>SUMIF('内訳ﾘｽﾄ(4～3月)'!$D$26:$D$805,'採算表(VND)'!$B15,'内訳ﾘｽﾄ(4～3月)'!R$26:R$805)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SUMIF('内訳ﾘｽﾄ(4～3月)'!$D$26:$D$1006,$B16,'内訳ﾘｽﾄ(4～3月)'!F$26:F$1006)</f>
        <v>0</v>
      </c>
      <c r="D16" s="157">
        <f>SUMIF('内訳ﾘｽﾄ(4～3月)'!$D$26:$D$1006,$B16,'内訳ﾘｽﾄ(4～3月)'!G$26:G$1006)</f>
        <v>0</v>
      </c>
      <c r="E16" s="157">
        <f>SUMIF('内訳ﾘｽﾄ(4～3月)'!$D$26:$D$1006,$B16,'内訳ﾘｽﾄ(4～3月)'!H$26:H$1006)</f>
        <v>0</v>
      </c>
      <c r="F16" s="157">
        <f>SUMIF('内訳ﾘｽﾄ(4～3月)'!$D$26:$D$1006,$B16,'内訳ﾘｽﾄ(4～3月)'!I$26:I$1006)</f>
        <v>0</v>
      </c>
      <c r="G16" s="157">
        <f>SUMIF('内訳ﾘｽﾄ(4～3月)'!$D$26:$D$1006,$B16,'内訳ﾘｽﾄ(4～3月)'!J$26:J$1006)</f>
        <v>0</v>
      </c>
      <c r="H16" s="157">
        <f>SUMIF('内訳ﾘｽﾄ(4～3月)'!$D$26:$D$1006,$B16,'内訳ﾘｽﾄ(4～3月)'!K$26:K$1006)</f>
        <v>0</v>
      </c>
      <c r="I16" s="157">
        <f>SUMIF('内訳ﾘｽﾄ(4～3月)'!$D$26:$D$1006,$B16,'内訳ﾘｽﾄ(4～3月)'!L$26:L$1006)</f>
        <v>0</v>
      </c>
      <c r="J16" s="157">
        <f>SUMIF('内訳ﾘｽﾄ(4～3月)'!$D$26:$D$1006,$B16,'内訳ﾘｽﾄ(4～3月)'!M$26:M$1006)</f>
        <v>0</v>
      </c>
      <c r="K16" s="157">
        <f>SUMIF('内訳ﾘｽﾄ(4～3月)'!$D$26:$D$1006,$B16,'内訳ﾘｽﾄ(4～3月)'!N$26:N$1006)</f>
        <v>0</v>
      </c>
      <c r="L16" s="157">
        <f>SUMIF('内訳ﾘｽﾄ(4～3月)'!$D$26:$D$1006,$B16,'内訳ﾘｽﾄ(4～3月)'!O$26:O$1006)</f>
        <v>0</v>
      </c>
      <c r="M16" s="157">
        <f>SUMIF('内訳ﾘｽﾄ(4～3月)'!$D$26:$D$1006,$B16,'内訳ﾘｽﾄ(4～3月)'!P$26:P$1006)</f>
        <v>0</v>
      </c>
      <c r="N16" s="157">
        <f>SUMIF('内訳ﾘｽﾄ(4～3月)'!$D$26:$D$1006,$B16,'内訳ﾘｽﾄ(4～3月)'!Q$26:Q$1006)</f>
        <v>0</v>
      </c>
      <c r="O16" s="157">
        <f>SUMIF('内訳ﾘｽﾄ(4～3月)'!$D$26:$D$805,'採算表(VND)'!$B16,'内訳ﾘｽﾄ(4～3月)'!R$26:R$805)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SUMIF('内訳ﾘｽﾄ(4～3月)'!$D$26:$D$1006,$B17,'内訳ﾘｽﾄ(4～3月)'!F$26:F$1006)</f>
        <v>0</v>
      </c>
      <c r="D17" s="158">
        <f>SUMIF('内訳ﾘｽﾄ(4～3月)'!$D$26:$D$1006,$B17,'内訳ﾘｽﾄ(4～3月)'!G$26:G$1006)</f>
        <v>0</v>
      </c>
      <c r="E17" s="158">
        <f>SUMIF('内訳ﾘｽﾄ(4～3月)'!$D$26:$D$1006,$B17,'内訳ﾘｽﾄ(4～3月)'!H$26:H$1006)</f>
        <v>0</v>
      </c>
      <c r="F17" s="158">
        <f>SUMIF('内訳ﾘｽﾄ(4～3月)'!$D$26:$D$1006,$B17,'内訳ﾘｽﾄ(4～3月)'!I$26:I$1006)</f>
        <v>0</v>
      </c>
      <c r="G17" s="158">
        <f>SUMIF('内訳ﾘｽﾄ(4～3月)'!$D$26:$D$1006,$B17,'内訳ﾘｽﾄ(4～3月)'!J$26:J$1006)</f>
        <v>0</v>
      </c>
      <c r="H17" s="158">
        <f>SUMIF('内訳ﾘｽﾄ(4～3月)'!$D$26:$D$1006,$B17,'内訳ﾘｽﾄ(4～3月)'!K$26:K$1006)</f>
        <v>0</v>
      </c>
      <c r="I17" s="158">
        <f>SUMIF('内訳ﾘｽﾄ(4～3月)'!$D$26:$D$1006,$B17,'内訳ﾘｽﾄ(4～3月)'!L$26:L$1006)</f>
        <v>0</v>
      </c>
      <c r="J17" s="158">
        <f>SUMIF('内訳ﾘｽﾄ(4～3月)'!$D$26:$D$1006,$B17,'内訳ﾘｽﾄ(4～3月)'!M$26:M$1006)</f>
        <v>0</v>
      </c>
      <c r="K17" s="158">
        <f>SUMIF('内訳ﾘｽﾄ(4～3月)'!$D$26:$D$1006,$B17,'内訳ﾘｽﾄ(4～3月)'!N$26:N$1006)</f>
        <v>0</v>
      </c>
      <c r="L17" s="158">
        <f>SUMIF('内訳ﾘｽﾄ(4～3月)'!$D$26:$D$1006,$B17,'内訳ﾘｽﾄ(4～3月)'!O$26:O$1006)</f>
        <v>0</v>
      </c>
      <c r="M17" s="158">
        <f>SUMIF('内訳ﾘｽﾄ(4～3月)'!$D$26:$D$1006,$B17,'内訳ﾘｽﾄ(4～3月)'!P$26:P$1006)</f>
        <v>0</v>
      </c>
      <c r="N17" s="158">
        <f>SUMIF('内訳ﾘｽﾄ(4～3月)'!$D$26:$D$1006,$B17,'内訳ﾘｽﾄ(4～3月)'!Q$26:Q$1006)</f>
        <v>0</v>
      </c>
      <c r="O17" s="158">
        <f>SUMIF('内訳ﾘｽﾄ(4～3月)'!$D$26:$D$805,'採算表(VND)'!$B17,'内訳ﾘｽﾄ(4～3月)'!R$26:R$805)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SUMIF('内訳ﾘｽﾄ(4～3月)'!$D$26:$D$1006,$B18,'内訳ﾘｽﾄ(4～3月)'!F$26:F$1006)</f>
        <v>0</v>
      </c>
      <c r="D18" s="158">
        <f>SUMIF('内訳ﾘｽﾄ(4～3月)'!$D$26:$D$1006,$B18,'内訳ﾘｽﾄ(4～3月)'!G$26:G$1006)</f>
        <v>0</v>
      </c>
      <c r="E18" s="158">
        <f>SUMIF('内訳ﾘｽﾄ(4～3月)'!$D$26:$D$1006,$B18,'内訳ﾘｽﾄ(4～3月)'!H$26:H$1006)</f>
        <v>0</v>
      </c>
      <c r="F18" s="158">
        <f>SUMIF('内訳ﾘｽﾄ(4～3月)'!$D$26:$D$1006,$B18,'内訳ﾘｽﾄ(4～3月)'!I$26:I$1006)</f>
        <v>0</v>
      </c>
      <c r="G18" s="158">
        <f>SUMIF('内訳ﾘｽﾄ(4～3月)'!$D$26:$D$1006,$B18,'内訳ﾘｽﾄ(4～3月)'!J$26:J$1006)</f>
        <v>0</v>
      </c>
      <c r="H18" s="158">
        <f>SUMIF('内訳ﾘｽﾄ(4～3月)'!$D$26:$D$1006,$B18,'内訳ﾘｽﾄ(4～3月)'!K$26:K$1006)</f>
        <v>0</v>
      </c>
      <c r="I18" s="158">
        <f>SUMIF('内訳ﾘｽﾄ(4～3月)'!$D$26:$D$1006,$B18,'内訳ﾘｽﾄ(4～3月)'!L$26:L$1006)</f>
        <v>0</v>
      </c>
      <c r="J18" s="158">
        <f>SUMIF('内訳ﾘｽﾄ(4～3月)'!$D$26:$D$1006,$B18,'内訳ﾘｽﾄ(4～3月)'!M$26:M$1006)</f>
        <v>0</v>
      </c>
      <c r="K18" s="158">
        <f>SUMIF('内訳ﾘｽﾄ(4～3月)'!$D$26:$D$1006,$B18,'内訳ﾘｽﾄ(4～3月)'!N$26:N$1006)</f>
        <v>0</v>
      </c>
      <c r="L18" s="158">
        <f>SUMIF('内訳ﾘｽﾄ(4～3月)'!$D$26:$D$1006,$B18,'内訳ﾘｽﾄ(4～3月)'!O$26:O$1006)</f>
        <v>0</v>
      </c>
      <c r="M18" s="158">
        <f>SUMIF('内訳ﾘｽﾄ(4～3月)'!$D$26:$D$1006,$B18,'内訳ﾘｽﾄ(4～3月)'!P$26:P$1006)</f>
        <v>0</v>
      </c>
      <c r="N18" s="158">
        <f>SUMIF('内訳ﾘｽﾄ(4～3月)'!$D$26:$D$1006,$B18,'内訳ﾘｽﾄ(4～3月)'!Q$26:Q$1006)</f>
        <v>0</v>
      </c>
      <c r="O18" s="158">
        <f>SUMIF('内訳ﾘｽﾄ(4～3月)'!$D$26:$D$805,'採算表(VND)'!$B18,'内訳ﾘｽﾄ(4～3月)'!R$26:R$805)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SUMIF('内訳ﾘｽﾄ(4～3月)'!$D$26:$D$1006,$B19,'内訳ﾘｽﾄ(4～3月)'!F$26:F$1006)</f>
        <v>0</v>
      </c>
      <c r="D19" s="158">
        <f>SUMIF('内訳ﾘｽﾄ(4～3月)'!$D$26:$D$1006,$B19,'内訳ﾘｽﾄ(4～3月)'!G$26:G$1006)</f>
        <v>0</v>
      </c>
      <c r="E19" s="158">
        <f>SUMIF('内訳ﾘｽﾄ(4～3月)'!$D$26:$D$1006,$B19,'内訳ﾘｽﾄ(4～3月)'!H$26:H$1006)</f>
        <v>0</v>
      </c>
      <c r="F19" s="158">
        <f>SUMIF('内訳ﾘｽﾄ(4～3月)'!$D$26:$D$1006,$B19,'内訳ﾘｽﾄ(4～3月)'!I$26:I$1006)</f>
        <v>0</v>
      </c>
      <c r="G19" s="158">
        <f>SUMIF('内訳ﾘｽﾄ(4～3月)'!$D$26:$D$1006,$B19,'内訳ﾘｽﾄ(4～3月)'!J$26:J$1006)</f>
        <v>0</v>
      </c>
      <c r="H19" s="158">
        <f>SUMIF('内訳ﾘｽﾄ(4～3月)'!$D$26:$D$1006,$B19,'内訳ﾘｽﾄ(4～3月)'!K$26:K$1006)</f>
        <v>0</v>
      </c>
      <c r="I19" s="158">
        <f>SUMIF('内訳ﾘｽﾄ(4～3月)'!$D$26:$D$1006,$B19,'内訳ﾘｽﾄ(4～3月)'!L$26:L$1006)</f>
        <v>0</v>
      </c>
      <c r="J19" s="158">
        <f>SUMIF('内訳ﾘｽﾄ(4～3月)'!$D$26:$D$1006,$B19,'内訳ﾘｽﾄ(4～3月)'!M$26:M$1006)</f>
        <v>0</v>
      </c>
      <c r="K19" s="158">
        <f>SUMIF('内訳ﾘｽﾄ(4～3月)'!$D$26:$D$1006,$B19,'内訳ﾘｽﾄ(4～3月)'!N$26:N$1006)</f>
        <v>0</v>
      </c>
      <c r="L19" s="158">
        <f>SUMIF('内訳ﾘｽﾄ(4～3月)'!$D$26:$D$1006,$B19,'内訳ﾘｽﾄ(4～3月)'!O$26:O$1006)</f>
        <v>0</v>
      </c>
      <c r="M19" s="158">
        <f>SUMIF('内訳ﾘｽﾄ(4～3月)'!$D$26:$D$1006,$B19,'内訳ﾘｽﾄ(4～3月)'!P$26:P$1006)</f>
        <v>0</v>
      </c>
      <c r="N19" s="158">
        <f>SUMIF('内訳ﾘｽﾄ(4～3月)'!$D$26:$D$1006,$B19,'内訳ﾘｽﾄ(4～3月)'!Q$26:Q$1006)</f>
        <v>0</v>
      </c>
      <c r="O19" s="158">
        <f>SUMIF('内訳ﾘｽﾄ(4～3月)'!$D$26:$D$805,'採算表(VND)'!$B19,'内訳ﾘｽﾄ(4～3月)'!R$26:R$805)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SUMIF('内訳ﾘｽﾄ(4～3月)'!$D$26:$D$1006,$B20,'内訳ﾘｽﾄ(4～3月)'!F$26:F$1006)</f>
        <v>0</v>
      </c>
      <c r="D20" s="158">
        <f>SUMIF('内訳ﾘｽﾄ(4～3月)'!$D$26:$D$1006,$B20,'内訳ﾘｽﾄ(4～3月)'!G$26:G$1006)</f>
        <v>0</v>
      </c>
      <c r="E20" s="158">
        <f>SUMIF('内訳ﾘｽﾄ(4～3月)'!$D$26:$D$1006,$B20,'内訳ﾘｽﾄ(4～3月)'!H$26:H$1006)</f>
        <v>0</v>
      </c>
      <c r="F20" s="158">
        <f>SUMIF('内訳ﾘｽﾄ(4～3月)'!$D$26:$D$1006,$B20,'内訳ﾘｽﾄ(4～3月)'!I$26:I$1006)</f>
        <v>0</v>
      </c>
      <c r="G20" s="158">
        <f>SUMIF('内訳ﾘｽﾄ(4～3月)'!$D$26:$D$1006,$B20,'内訳ﾘｽﾄ(4～3月)'!J$26:J$1006)</f>
        <v>25253148</v>
      </c>
      <c r="H20" s="158">
        <f>SUMIF('内訳ﾘｽﾄ(4～3月)'!$D$26:$D$1006,$B20,'内訳ﾘｽﾄ(4～3月)'!K$26:K$1006)</f>
        <v>24646581</v>
      </c>
      <c r="I20" s="158">
        <f>SUMIF('内訳ﾘｽﾄ(4～3月)'!$D$26:$D$1006,$B20,'内訳ﾘｽﾄ(4～3月)'!L$26:L$1006)</f>
        <v>23920427</v>
      </c>
      <c r="J20" s="158">
        <f>SUMIF('内訳ﾘｽﾄ(4～3月)'!$D$26:$D$1006,$B20,'内訳ﾘｽﾄ(4～3月)'!M$26:M$1006)</f>
        <v>23870155</v>
      </c>
      <c r="K20" s="158">
        <f>SUMIF('内訳ﾘｽﾄ(4～3月)'!$D$26:$D$1006,$B20,'内訳ﾘｽﾄ(4～3月)'!N$26:N$1006)</f>
        <v>23906971</v>
      </c>
      <c r="L20" s="158">
        <f>SUMIF('内訳ﾘｽﾄ(4～3月)'!$D$26:$D$1006,$B20,'内訳ﾘｽﾄ(4～3月)'!O$26:O$1006)</f>
        <v>23697249</v>
      </c>
      <c r="M20" s="158">
        <f>SUMIF('内訳ﾘｽﾄ(4～3月)'!$D$26:$D$1006,$B20,'内訳ﾘｽﾄ(4～3月)'!P$26:P$1006)</f>
        <v>23811504</v>
      </c>
      <c r="N20" s="158">
        <f>SUMIF('内訳ﾘｽﾄ(4～3月)'!$D$26:$D$1006,$B20,'内訳ﾘｽﾄ(4～3月)'!Q$26:Q$1006)</f>
        <v>24217998</v>
      </c>
      <c r="O20" s="158">
        <f>SUMIF('内訳ﾘｽﾄ(4～3月)'!$D$26:$D$805,'採算表(VND)'!$B20,'内訳ﾘｽﾄ(4～3月)'!R$26:R$805)</f>
        <v>193324033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SUMIF('内訳ﾘｽﾄ(4～3月)'!$D$26:$D$1006,$B21,'内訳ﾘｽﾄ(4～3月)'!F$26:F$1006)</f>
        <v>0</v>
      </c>
      <c r="D21" s="158">
        <f>SUMIF('内訳ﾘｽﾄ(4～3月)'!$D$26:$D$1006,$B21,'内訳ﾘｽﾄ(4～3月)'!G$26:G$1006)</f>
        <v>0</v>
      </c>
      <c r="E21" s="158">
        <f>SUMIF('内訳ﾘｽﾄ(4～3月)'!$D$26:$D$1006,$B21,'内訳ﾘｽﾄ(4～3月)'!H$26:H$1006)</f>
        <v>0</v>
      </c>
      <c r="F21" s="158">
        <f>SUMIF('内訳ﾘｽﾄ(4～3月)'!$D$26:$D$1006,$B21,'内訳ﾘｽﾄ(4～3月)'!I$26:I$1006)</f>
        <v>0</v>
      </c>
      <c r="G21" s="158">
        <f>SUMIF('内訳ﾘｽﾄ(4～3月)'!$D$26:$D$1006,$B21,'内訳ﾘｽﾄ(4～3月)'!J$26:J$1006)</f>
        <v>0</v>
      </c>
      <c r="H21" s="158">
        <f>SUMIF('内訳ﾘｽﾄ(4～3月)'!$D$26:$D$1006,$B21,'内訳ﾘｽﾄ(4～3月)'!K$26:K$1006)</f>
        <v>0</v>
      </c>
      <c r="I21" s="158">
        <f>SUMIF('内訳ﾘｽﾄ(4～3月)'!$D$26:$D$1006,$B21,'内訳ﾘｽﾄ(4～3月)'!L$26:L$1006)</f>
        <v>0</v>
      </c>
      <c r="J21" s="158">
        <f>SUMIF('内訳ﾘｽﾄ(4～3月)'!$D$26:$D$1006,$B21,'内訳ﾘｽﾄ(4～3月)'!M$26:M$1006)</f>
        <v>0</v>
      </c>
      <c r="K21" s="158">
        <f>SUMIF('内訳ﾘｽﾄ(4～3月)'!$D$26:$D$1006,$B21,'内訳ﾘｽﾄ(4～3月)'!N$26:N$1006)</f>
        <v>0</v>
      </c>
      <c r="L21" s="158">
        <f>SUMIF('内訳ﾘｽﾄ(4～3月)'!$D$26:$D$1006,$B21,'内訳ﾘｽﾄ(4～3月)'!O$26:O$1006)</f>
        <v>0</v>
      </c>
      <c r="M21" s="158">
        <f>SUMIF('内訳ﾘｽﾄ(4～3月)'!$D$26:$D$1006,$B21,'内訳ﾘｽﾄ(4～3月)'!P$26:P$1006)</f>
        <v>0</v>
      </c>
      <c r="N21" s="158">
        <f>SUMIF('内訳ﾘｽﾄ(4～3月)'!$D$26:$D$1006,$B21,'内訳ﾘｽﾄ(4～3月)'!Q$26:Q$1006)</f>
        <v>0</v>
      </c>
      <c r="O21" s="158">
        <f>SUMIF('内訳ﾘｽﾄ(4～3月)'!$D$26:$D$805,'採算表(VND)'!$B21,'内訳ﾘｽﾄ(4～3月)'!R$26:R$805)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SUMIF('内訳ﾘｽﾄ(4～3月)'!$D$26:$D$1006,$B22,'内訳ﾘｽﾄ(4～3月)'!F$26:F$1006)</f>
        <v>0</v>
      </c>
      <c r="D22" s="158">
        <f>SUMIF('内訳ﾘｽﾄ(4～3月)'!$D$26:$D$1006,$B22,'内訳ﾘｽﾄ(4～3月)'!G$26:G$1006)</f>
        <v>0</v>
      </c>
      <c r="E22" s="158">
        <f>SUMIF('内訳ﾘｽﾄ(4～3月)'!$D$26:$D$1006,$B22,'内訳ﾘｽﾄ(4～3月)'!H$26:H$1006)</f>
        <v>0</v>
      </c>
      <c r="F22" s="158">
        <f>SUMIF('内訳ﾘｽﾄ(4～3月)'!$D$26:$D$1006,$B22,'内訳ﾘｽﾄ(4～3月)'!I$26:I$1006)</f>
        <v>0</v>
      </c>
      <c r="G22" s="158">
        <f>SUMIF('内訳ﾘｽﾄ(4～3月)'!$D$26:$D$1006,$B22,'内訳ﾘｽﾄ(4～3月)'!J$26:J$1006)</f>
        <v>0</v>
      </c>
      <c r="H22" s="158">
        <f>SUMIF('内訳ﾘｽﾄ(4～3月)'!$D$26:$D$1006,$B22,'内訳ﾘｽﾄ(4～3月)'!K$26:K$1006)</f>
        <v>0</v>
      </c>
      <c r="I22" s="158">
        <f>SUMIF('内訳ﾘｽﾄ(4～3月)'!$D$26:$D$1006,$B22,'内訳ﾘｽﾄ(4～3月)'!L$26:L$1006)</f>
        <v>0</v>
      </c>
      <c r="J22" s="158">
        <f>SUMIF('内訳ﾘｽﾄ(4～3月)'!$D$26:$D$1006,$B22,'内訳ﾘｽﾄ(4～3月)'!M$26:M$1006)</f>
        <v>0</v>
      </c>
      <c r="K22" s="158">
        <f>SUMIF('内訳ﾘｽﾄ(4～3月)'!$D$26:$D$1006,$B22,'内訳ﾘｽﾄ(4～3月)'!N$26:N$1006)</f>
        <v>0</v>
      </c>
      <c r="L22" s="158">
        <f>SUMIF('内訳ﾘｽﾄ(4～3月)'!$D$26:$D$1006,$B22,'内訳ﾘｽﾄ(4～3月)'!O$26:O$1006)</f>
        <v>0</v>
      </c>
      <c r="M22" s="158">
        <f>SUMIF('内訳ﾘｽﾄ(4～3月)'!$D$26:$D$1006,$B22,'内訳ﾘｽﾄ(4～3月)'!P$26:P$1006)</f>
        <v>0</v>
      </c>
      <c r="N22" s="158">
        <f>SUMIF('内訳ﾘｽﾄ(4～3月)'!$D$26:$D$1006,$B22,'内訳ﾘｽﾄ(4～3月)'!Q$26:Q$1006)</f>
        <v>0</v>
      </c>
      <c r="O22" s="158">
        <f>SUMIF('内訳ﾘｽﾄ(4～3月)'!$D$26:$D$805,'採算表(VND)'!$B22,'内訳ﾘｽﾄ(4～3月)'!R$26:R$805)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SUMIF('内訳ﾘｽﾄ(4～3月)'!$D$26:$D$1006,$B23,'内訳ﾘｽﾄ(4～3月)'!F$26:F$1006)</f>
        <v>0</v>
      </c>
      <c r="D23" s="158">
        <f>SUMIF('内訳ﾘｽﾄ(4～3月)'!$D$26:$D$1006,$B23,'内訳ﾘｽﾄ(4～3月)'!G$26:G$1006)</f>
        <v>0</v>
      </c>
      <c r="E23" s="158">
        <f>SUMIF('内訳ﾘｽﾄ(4～3月)'!$D$26:$D$1006,$B23,'内訳ﾘｽﾄ(4～3月)'!H$26:H$1006)</f>
        <v>0</v>
      </c>
      <c r="F23" s="158">
        <f>SUMIF('内訳ﾘｽﾄ(4～3月)'!$D$26:$D$1006,$B23,'内訳ﾘｽﾄ(4～3月)'!I$26:I$1006)</f>
        <v>0</v>
      </c>
      <c r="G23" s="158">
        <f>SUMIF('内訳ﾘｽﾄ(4～3月)'!$D$26:$D$1006,$B23,'内訳ﾘｽﾄ(4～3月)'!J$26:J$1006)</f>
        <v>0</v>
      </c>
      <c r="H23" s="158">
        <f>SUMIF('内訳ﾘｽﾄ(4～3月)'!$D$26:$D$1006,$B23,'内訳ﾘｽﾄ(4～3月)'!K$26:K$1006)</f>
        <v>0</v>
      </c>
      <c r="I23" s="158">
        <f>SUMIF('内訳ﾘｽﾄ(4～3月)'!$D$26:$D$1006,$B23,'内訳ﾘｽﾄ(4～3月)'!L$26:L$1006)</f>
        <v>0</v>
      </c>
      <c r="J23" s="158">
        <f>SUMIF('内訳ﾘｽﾄ(4～3月)'!$D$26:$D$1006,$B23,'内訳ﾘｽﾄ(4～3月)'!M$26:M$1006)</f>
        <v>0</v>
      </c>
      <c r="K23" s="158">
        <f>SUMIF('内訳ﾘｽﾄ(4～3月)'!$D$26:$D$1006,$B23,'内訳ﾘｽﾄ(4～3月)'!N$26:N$1006)</f>
        <v>0</v>
      </c>
      <c r="L23" s="158">
        <f>SUMIF('内訳ﾘｽﾄ(4～3月)'!$D$26:$D$1006,$B23,'内訳ﾘｽﾄ(4～3月)'!O$26:O$1006)</f>
        <v>0</v>
      </c>
      <c r="M23" s="158">
        <f>SUMIF('内訳ﾘｽﾄ(4～3月)'!$D$26:$D$1006,$B23,'内訳ﾘｽﾄ(4～3月)'!P$26:P$1006)</f>
        <v>0</v>
      </c>
      <c r="N23" s="158">
        <f>SUMIF('内訳ﾘｽﾄ(4～3月)'!$D$26:$D$1006,$B23,'内訳ﾘｽﾄ(4～3月)'!Q$26:Q$1006)</f>
        <v>0</v>
      </c>
      <c r="O23" s="158">
        <f>SUMIF('内訳ﾘｽﾄ(4～3月)'!$D$26:$D$805,'採算表(VND)'!$B23,'内訳ﾘｽﾄ(4～3月)'!R$26:R$805)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SUMIF('内訳ﾘｽﾄ(4～3月)'!$D$26:$D$1006,$B24,'内訳ﾘｽﾄ(4～3月)'!F$26:F$1006)</f>
        <v>0</v>
      </c>
      <c r="D24" s="158">
        <f>SUMIF('内訳ﾘｽﾄ(4～3月)'!$D$26:$D$1006,$B24,'内訳ﾘｽﾄ(4～3月)'!G$26:G$1006)</f>
        <v>0</v>
      </c>
      <c r="E24" s="158">
        <f>SUMIF('内訳ﾘｽﾄ(4～3月)'!$D$26:$D$1006,$B24,'内訳ﾘｽﾄ(4～3月)'!H$26:H$1006)</f>
        <v>0</v>
      </c>
      <c r="F24" s="158">
        <f>SUMIF('内訳ﾘｽﾄ(4～3月)'!$D$26:$D$1006,$B24,'内訳ﾘｽﾄ(4～3月)'!I$26:I$1006)</f>
        <v>0</v>
      </c>
      <c r="G24" s="158">
        <f>SUMIF('内訳ﾘｽﾄ(4～3月)'!$D$26:$D$1006,$B24,'内訳ﾘｽﾄ(4～3月)'!J$26:J$1006)</f>
        <v>0</v>
      </c>
      <c r="H24" s="158">
        <f>SUMIF('内訳ﾘｽﾄ(4～3月)'!$D$26:$D$1006,$B24,'内訳ﾘｽﾄ(4～3月)'!K$26:K$1006)</f>
        <v>0</v>
      </c>
      <c r="I24" s="158">
        <f>SUMIF('内訳ﾘｽﾄ(4～3月)'!$D$26:$D$1006,$B24,'内訳ﾘｽﾄ(4～3月)'!L$26:L$1006)</f>
        <v>0</v>
      </c>
      <c r="J24" s="158">
        <f>SUMIF('内訳ﾘｽﾄ(4～3月)'!$D$26:$D$1006,$B24,'内訳ﾘｽﾄ(4～3月)'!M$26:M$1006)</f>
        <v>0</v>
      </c>
      <c r="K24" s="158">
        <f>SUMIF('内訳ﾘｽﾄ(4～3月)'!$D$26:$D$1006,$B24,'内訳ﾘｽﾄ(4～3月)'!N$26:N$1006)</f>
        <v>0</v>
      </c>
      <c r="L24" s="158">
        <f>SUMIF('内訳ﾘｽﾄ(4～3月)'!$D$26:$D$1006,$B24,'内訳ﾘｽﾄ(4～3月)'!O$26:O$1006)</f>
        <v>0</v>
      </c>
      <c r="M24" s="158">
        <f>SUMIF('内訳ﾘｽﾄ(4～3月)'!$D$26:$D$1006,$B24,'内訳ﾘｽﾄ(4～3月)'!P$26:P$1006)</f>
        <v>0</v>
      </c>
      <c r="N24" s="158">
        <f>SUMIF('内訳ﾘｽﾄ(4～3月)'!$D$26:$D$1006,$B24,'内訳ﾘｽﾄ(4～3月)'!Q$26:Q$1006)</f>
        <v>0</v>
      </c>
      <c r="O24" s="158">
        <f>SUMIF('内訳ﾘｽﾄ(4～3月)'!$D$26:$D$805,'採算表(VND)'!$B24,'内訳ﾘｽﾄ(4～3月)'!R$26:R$805)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SUMIF('内訳ﾘｽﾄ(4～3月)'!$D$26:$D$1006,$B25,'内訳ﾘｽﾄ(4～3月)'!F$26:F$1006)</f>
        <v>0</v>
      </c>
      <c r="D25" s="158">
        <f>SUMIF('内訳ﾘｽﾄ(4～3月)'!$D$26:$D$1006,$B25,'内訳ﾘｽﾄ(4～3月)'!G$26:G$1006)</f>
        <v>0</v>
      </c>
      <c r="E25" s="158">
        <f>SUMIF('内訳ﾘｽﾄ(4～3月)'!$D$26:$D$1006,$B25,'内訳ﾘｽﾄ(4～3月)'!H$26:H$1006)</f>
        <v>0</v>
      </c>
      <c r="F25" s="158">
        <f>SUMIF('内訳ﾘｽﾄ(4～3月)'!$D$26:$D$1006,$B25,'内訳ﾘｽﾄ(4～3月)'!I$26:I$1006)</f>
        <v>0</v>
      </c>
      <c r="G25" s="158">
        <f>SUMIF('内訳ﾘｽﾄ(4～3月)'!$D$26:$D$1006,$B25,'内訳ﾘｽﾄ(4～3月)'!J$26:J$1006)</f>
        <v>11986472</v>
      </c>
      <c r="H25" s="158">
        <f>SUMIF('内訳ﾘｽﾄ(4～3月)'!$D$26:$D$1006,$B25,'内訳ﾘｽﾄ(4～3月)'!K$26:K$1006)</f>
        <v>11321694</v>
      </c>
      <c r="I25" s="158">
        <f>SUMIF('内訳ﾘｽﾄ(4～3月)'!$D$26:$D$1006,$B25,'内訳ﾘｽﾄ(4～3月)'!L$26:L$1006)</f>
        <v>13885078</v>
      </c>
      <c r="J25" s="158">
        <f>SUMIF('内訳ﾘｽﾄ(4～3月)'!$D$26:$D$1006,$B25,'内訳ﾘｽﾄ(4～3月)'!M$26:M$1006)</f>
        <v>12094530</v>
      </c>
      <c r="K25" s="158">
        <f>SUMIF('内訳ﾘｽﾄ(4～3月)'!$D$26:$D$1006,$B25,'内訳ﾘｽﾄ(4～3月)'!N$26:N$1006)</f>
        <v>13380724</v>
      </c>
      <c r="L25" s="158">
        <f>SUMIF('内訳ﾘｽﾄ(4～3月)'!$D$26:$D$1006,$B25,'内訳ﾘｽﾄ(4～3月)'!O$26:O$1006)</f>
        <v>12093266</v>
      </c>
      <c r="M25" s="158">
        <f>SUMIF('内訳ﾘｽﾄ(4～3月)'!$D$26:$D$1006,$B25,'内訳ﾘｽﾄ(4～3月)'!P$26:P$1006)</f>
        <v>9545422</v>
      </c>
      <c r="N25" s="158">
        <f>SUMIF('内訳ﾘｽﾄ(4～3月)'!$D$26:$D$1006,$B25,'内訳ﾘｽﾄ(4～3月)'!Q$26:Q$1006)</f>
        <v>13631440</v>
      </c>
      <c r="O25" s="158">
        <f>SUMIF('内訳ﾘｽﾄ(4～3月)'!$D$26:$D$805,'採算表(VND)'!$B25,'内訳ﾘｽﾄ(4～3月)'!R$26:R$805)</f>
        <v>97938626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SUMIF('内訳ﾘｽﾄ(4～3月)'!$D$26:$D$1006,$B26,'内訳ﾘｽﾄ(4～3月)'!F$26:F$1006)</f>
        <v>0</v>
      </c>
      <c r="D26" s="158">
        <f>SUMIF('内訳ﾘｽﾄ(4～3月)'!$D$26:$D$1006,$B26,'内訳ﾘｽﾄ(4～3月)'!G$26:G$1006)</f>
        <v>0</v>
      </c>
      <c r="E26" s="158">
        <f>SUMIF('内訳ﾘｽﾄ(4～3月)'!$D$26:$D$1006,$B26,'内訳ﾘｽﾄ(4～3月)'!H$26:H$1006)</f>
        <v>0</v>
      </c>
      <c r="F26" s="158">
        <f>SUMIF('内訳ﾘｽﾄ(4～3月)'!$D$26:$D$1006,$B26,'内訳ﾘｽﾄ(4～3月)'!I$26:I$1006)</f>
        <v>0</v>
      </c>
      <c r="G26" s="158">
        <f>SUMIF('内訳ﾘｽﾄ(4～3月)'!$D$26:$D$1006,$B26,'内訳ﾘｽﾄ(4～3月)'!J$26:J$1006)</f>
        <v>71300000</v>
      </c>
      <c r="H26" s="158">
        <f>SUMIF('内訳ﾘｽﾄ(4～3月)'!$D$26:$D$1006,$B26,'内訳ﾘｽﾄ(4～3月)'!K$26:K$1006)</f>
        <v>21050000</v>
      </c>
      <c r="I26" s="158">
        <f>SUMIF('内訳ﾘｽﾄ(4～3月)'!$D$26:$D$1006,$B26,'内訳ﾘｽﾄ(4～3月)'!L$26:L$1006)</f>
        <v>21050000</v>
      </c>
      <c r="J26" s="158">
        <f>SUMIF('内訳ﾘｽﾄ(4～3月)'!$D$26:$D$1006,$B26,'内訳ﾘｽﾄ(4～3月)'!M$26:M$1006)</f>
        <v>0</v>
      </c>
      <c r="K26" s="158">
        <f>SUMIF('内訳ﾘｽﾄ(4～3月)'!$D$26:$D$1006,$B26,'内訳ﾘｽﾄ(4～3月)'!N$26:N$1006)</f>
        <v>21050000</v>
      </c>
      <c r="L26" s="158">
        <f>SUMIF('内訳ﾘｽﾄ(4～3月)'!$D$26:$D$1006,$B26,'内訳ﾘｽﾄ(4～3月)'!O$26:O$1006)</f>
        <v>21050000</v>
      </c>
      <c r="M26" s="158">
        <f>SUMIF('内訳ﾘｽﾄ(4～3月)'!$D$26:$D$1006,$B26,'内訳ﾘｽﾄ(4～3月)'!P$26:P$1006)</f>
        <v>0</v>
      </c>
      <c r="N26" s="158">
        <f>SUMIF('内訳ﾘｽﾄ(4～3月)'!$D$26:$D$1006,$B26,'内訳ﾘｽﾄ(4～3月)'!Q$26:Q$1006)</f>
        <v>0</v>
      </c>
      <c r="O26" s="158">
        <f>SUMIF('内訳ﾘｽﾄ(4～3月)'!$D$26:$D$805,'採算表(VND)'!$B26,'内訳ﾘｽﾄ(4～3月)'!R$26:R$805)</f>
        <v>155500000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SUMIF('内訳ﾘｽﾄ(4～3月)'!$D$26:$D$1006,$B27,'内訳ﾘｽﾄ(4～3月)'!F$26:F$1006)</f>
        <v>0</v>
      </c>
      <c r="D27" s="158">
        <f>SUMIF('内訳ﾘｽﾄ(4～3月)'!$D$26:$D$1006,$B27,'内訳ﾘｽﾄ(4～3月)'!G$26:G$1006)</f>
        <v>0</v>
      </c>
      <c r="E27" s="158">
        <f>SUMIF('内訳ﾘｽﾄ(4～3月)'!$D$26:$D$1006,$B27,'内訳ﾘｽﾄ(4～3月)'!H$26:H$1006)</f>
        <v>0</v>
      </c>
      <c r="F27" s="158">
        <f>SUMIF('内訳ﾘｽﾄ(4～3月)'!$D$26:$D$1006,$B27,'内訳ﾘｽﾄ(4～3月)'!I$26:I$1006)</f>
        <v>0</v>
      </c>
      <c r="G27" s="158">
        <f>SUMIF('内訳ﾘｽﾄ(4～3月)'!$D$26:$D$1006,$B27,'内訳ﾘｽﾄ(4～3月)'!J$26:J$1006)</f>
        <v>0</v>
      </c>
      <c r="H27" s="158">
        <f>SUMIF('内訳ﾘｽﾄ(4～3月)'!$D$26:$D$1006,$B27,'内訳ﾘｽﾄ(4～3月)'!K$26:K$1006)</f>
        <v>0</v>
      </c>
      <c r="I27" s="158">
        <f>SUMIF('内訳ﾘｽﾄ(4～3月)'!$D$26:$D$1006,$B27,'内訳ﾘｽﾄ(4～3月)'!L$26:L$1006)</f>
        <v>0</v>
      </c>
      <c r="J27" s="158">
        <f>SUMIF('内訳ﾘｽﾄ(4～3月)'!$D$26:$D$1006,$B27,'内訳ﾘｽﾄ(4～3月)'!M$26:M$1006)</f>
        <v>0</v>
      </c>
      <c r="K27" s="158">
        <f>SUMIF('内訳ﾘｽﾄ(4～3月)'!$D$26:$D$1006,$B27,'内訳ﾘｽﾄ(4～3月)'!N$26:N$1006)</f>
        <v>0</v>
      </c>
      <c r="L27" s="158">
        <f>SUMIF('内訳ﾘｽﾄ(4～3月)'!$D$26:$D$1006,$B27,'内訳ﾘｽﾄ(4～3月)'!O$26:O$1006)</f>
        <v>0</v>
      </c>
      <c r="M27" s="158">
        <f>SUMIF('内訳ﾘｽﾄ(4～3月)'!$D$26:$D$1006,$B27,'内訳ﾘｽﾄ(4～3月)'!P$26:P$1006)</f>
        <v>0</v>
      </c>
      <c r="N27" s="158">
        <f>SUMIF('内訳ﾘｽﾄ(4～3月)'!$D$26:$D$1006,$B27,'内訳ﾘｽﾄ(4～3月)'!Q$26:Q$1006)</f>
        <v>0</v>
      </c>
      <c r="O27" s="158">
        <f>SUMIF('内訳ﾘｽﾄ(4～3月)'!$D$26:$D$805,'採算表(VND)'!$B27,'内訳ﾘｽﾄ(4～3月)'!R$26:R$805)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SUMIF('内訳ﾘｽﾄ(4～3月)'!$D$26:$D$1006,$B28,'内訳ﾘｽﾄ(4～3月)'!F$26:F$1006)</f>
        <v>0</v>
      </c>
      <c r="D28" s="158">
        <f>SUMIF('内訳ﾘｽﾄ(4～3月)'!$D$26:$D$1006,$B28,'内訳ﾘｽﾄ(4～3月)'!G$26:G$1006)</f>
        <v>0</v>
      </c>
      <c r="E28" s="158">
        <f>SUMIF('内訳ﾘｽﾄ(4～3月)'!$D$26:$D$1006,$B28,'内訳ﾘｽﾄ(4～3月)'!H$26:H$1006)</f>
        <v>0</v>
      </c>
      <c r="F28" s="158">
        <f>SUMIF('内訳ﾘｽﾄ(4～3月)'!$D$26:$D$1006,$B28,'内訳ﾘｽﾄ(4～3月)'!I$26:I$1006)</f>
        <v>0</v>
      </c>
      <c r="G28" s="158">
        <f>SUMIF('内訳ﾘｽﾄ(4～3月)'!$D$26:$D$1006,$B28,'内訳ﾘｽﾄ(4～3月)'!J$26:J$1006)</f>
        <v>0</v>
      </c>
      <c r="H28" s="158">
        <f>SUMIF('内訳ﾘｽﾄ(4～3月)'!$D$26:$D$1006,$B28,'内訳ﾘｽﾄ(4～3月)'!K$26:K$1006)</f>
        <v>0</v>
      </c>
      <c r="I28" s="158">
        <f>SUMIF('内訳ﾘｽﾄ(4～3月)'!$D$26:$D$1006,$B28,'内訳ﾘｽﾄ(4～3月)'!L$26:L$1006)</f>
        <v>0</v>
      </c>
      <c r="J28" s="158">
        <f>SUMIF('内訳ﾘｽﾄ(4～3月)'!$D$26:$D$1006,$B28,'内訳ﾘｽﾄ(4～3月)'!M$26:M$1006)</f>
        <v>0</v>
      </c>
      <c r="K28" s="158">
        <f>SUMIF('内訳ﾘｽﾄ(4～3月)'!$D$26:$D$1006,$B28,'内訳ﾘｽﾄ(4～3月)'!N$26:N$1006)</f>
        <v>0</v>
      </c>
      <c r="L28" s="158">
        <f>SUMIF('内訳ﾘｽﾄ(4～3月)'!$D$26:$D$1006,$B28,'内訳ﾘｽﾄ(4～3月)'!O$26:O$1006)</f>
        <v>0</v>
      </c>
      <c r="M28" s="158">
        <f>SUMIF('内訳ﾘｽﾄ(4～3月)'!$D$26:$D$1006,$B28,'内訳ﾘｽﾄ(4～3月)'!P$26:P$1006)</f>
        <v>0</v>
      </c>
      <c r="N28" s="158">
        <f>SUMIF('内訳ﾘｽﾄ(4～3月)'!$D$26:$D$1006,$B28,'内訳ﾘｽﾄ(4～3月)'!Q$26:Q$1006)</f>
        <v>0</v>
      </c>
      <c r="O28" s="158">
        <f>SUMIF('内訳ﾘｽﾄ(4～3月)'!$D$26:$D$805,'採算表(VND)'!$B28,'内訳ﾘｽﾄ(4～3月)'!R$26:R$805)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SUMIF('内訳ﾘｽﾄ(4～3月)'!$D$26:$D$1006,$B29,'内訳ﾘｽﾄ(4～3月)'!F$26:F$1006)</f>
        <v>0</v>
      </c>
      <c r="D29" s="158">
        <f>SUMIF('内訳ﾘｽﾄ(4～3月)'!$D$26:$D$1006,$B29,'内訳ﾘｽﾄ(4～3月)'!G$26:G$1006)</f>
        <v>0</v>
      </c>
      <c r="E29" s="158">
        <f>SUMIF('内訳ﾘｽﾄ(4～3月)'!$D$26:$D$1006,$B29,'内訳ﾘｽﾄ(4～3月)'!H$26:H$1006)</f>
        <v>0</v>
      </c>
      <c r="F29" s="158">
        <f>SUMIF('内訳ﾘｽﾄ(4～3月)'!$D$26:$D$1006,$B29,'内訳ﾘｽﾄ(4～3月)'!I$26:I$1006)</f>
        <v>0</v>
      </c>
      <c r="G29" s="158">
        <f>SUMIF('内訳ﾘｽﾄ(4～3月)'!$D$26:$D$1006,$B29,'内訳ﾘｽﾄ(4～3月)'!J$26:J$1006)</f>
        <v>0</v>
      </c>
      <c r="H29" s="158">
        <f>SUMIF('内訳ﾘｽﾄ(4～3月)'!$D$26:$D$1006,$B29,'内訳ﾘｽﾄ(4～3月)'!K$26:K$1006)</f>
        <v>0</v>
      </c>
      <c r="I29" s="158">
        <f>SUMIF('内訳ﾘｽﾄ(4～3月)'!$D$26:$D$1006,$B29,'内訳ﾘｽﾄ(4～3月)'!L$26:L$1006)</f>
        <v>0</v>
      </c>
      <c r="J29" s="158">
        <f>SUMIF('内訳ﾘｽﾄ(4～3月)'!$D$26:$D$1006,$B29,'内訳ﾘｽﾄ(4～3月)'!M$26:M$1006)</f>
        <v>0</v>
      </c>
      <c r="K29" s="158">
        <f>SUMIF('内訳ﾘｽﾄ(4～3月)'!$D$26:$D$1006,$B29,'内訳ﾘｽﾄ(4～3月)'!N$26:N$1006)</f>
        <v>0</v>
      </c>
      <c r="L29" s="158">
        <f>SUMIF('内訳ﾘｽﾄ(4～3月)'!$D$26:$D$1006,$B29,'内訳ﾘｽﾄ(4～3月)'!O$26:O$1006)</f>
        <v>0</v>
      </c>
      <c r="M29" s="158">
        <f>SUMIF('内訳ﾘｽﾄ(4～3月)'!$D$26:$D$1006,$B29,'内訳ﾘｽﾄ(4～3月)'!P$26:P$1006)</f>
        <v>0</v>
      </c>
      <c r="N29" s="158">
        <f>SUMIF('内訳ﾘｽﾄ(4～3月)'!$D$26:$D$1006,$B29,'内訳ﾘｽﾄ(4～3月)'!Q$26:Q$1006)</f>
        <v>0</v>
      </c>
      <c r="O29" s="158">
        <f>SUMIF('内訳ﾘｽﾄ(4～3月)'!$D$26:$D$805,'採算表(VND)'!$B29,'内訳ﾘｽﾄ(4～3月)'!R$26:R$805)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SUMIF('内訳ﾘｽﾄ(4～3月)'!$D$26:$D$1006,$B30,'内訳ﾘｽﾄ(4～3月)'!F$26:F$1006)</f>
        <v>0</v>
      </c>
      <c r="D30" s="158">
        <f>SUMIF('内訳ﾘｽﾄ(4～3月)'!$D$26:$D$1006,$B30,'内訳ﾘｽﾄ(4～3月)'!G$26:G$1006)</f>
        <v>0</v>
      </c>
      <c r="E30" s="158">
        <f>SUMIF('内訳ﾘｽﾄ(4～3月)'!$D$26:$D$1006,$B30,'内訳ﾘｽﾄ(4～3月)'!H$26:H$1006)</f>
        <v>0</v>
      </c>
      <c r="F30" s="158">
        <f>SUMIF('内訳ﾘｽﾄ(4～3月)'!$D$26:$D$1006,$B30,'内訳ﾘｽﾄ(4～3月)'!I$26:I$1006)</f>
        <v>0</v>
      </c>
      <c r="G30" s="158">
        <f>SUMIF('内訳ﾘｽﾄ(4～3月)'!$D$26:$D$1006,$B30,'内訳ﾘｽﾄ(4～3月)'!J$26:J$1006)</f>
        <v>16466228</v>
      </c>
      <c r="H30" s="158">
        <f>SUMIF('内訳ﾘｽﾄ(4～3月)'!$D$26:$D$1006,$B30,'内訳ﾘｽﾄ(4～3月)'!K$26:K$1006)</f>
        <v>14635315</v>
      </c>
      <c r="I30" s="158">
        <f>SUMIF('内訳ﾘｽﾄ(4～3月)'!$D$26:$D$1006,$B30,'内訳ﾘｽﾄ(4～3月)'!L$26:L$1006)</f>
        <v>13979679</v>
      </c>
      <c r="J30" s="158">
        <f>SUMIF('内訳ﾘｽﾄ(4～3月)'!$D$26:$D$1006,$B30,'内訳ﾘｽﾄ(4～3月)'!M$26:M$1006)</f>
        <v>14545746</v>
      </c>
      <c r="K30" s="158">
        <f>SUMIF('内訳ﾘｽﾄ(4～3月)'!$D$26:$D$1006,$B30,'内訳ﾘｽﾄ(4～3月)'!N$26:N$1006)</f>
        <v>14923361</v>
      </c>
      <c r="L30" s="158">
        <f>SUMIF('内訳ﾘｽﾄ(4～3月)'!$D$26:$D$1006,$B30,'内訳ﾘｽﾄ(4～3月)'!O$26:O$1006)</f>
        <v>12493425</v>
      </c>
      <c r="M30" s="158">
        <f>SUMIF('内訳ﾘｽﾄ(4～3月)'!$D$26:$D$1006,$B30,'内訳ﾘｽﾄ(4～3月)'!P$26:P$1006)</f>
        <v>10223954</v>
      </c>
      <c r="N30" s="158">
        <f>SUMIF('内訳ﾘｽﾄ(4～3月)'!$D$26:$D$1006,$B30,'内訳ﾘｽﾄ(4～3月)'!Q$26:Q$1006)</f>
        <v>12534764</v>
      </c>
      <c r="O30" s="158">
        <f>SUMIF('内訳ﾘｽﾄ(4～3月)'!$D$26:$D$805,'採算表(VND)'!$B30,'内訳ﾘｽﾄ(4～3月)'!R$26:R$805)</f>
        <v>109802472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SUMIF('内訳ﾘｽﾄ(4～3月)'!$D$26:$D$1006,$B31,'内訳ﾘｽﾄ(4～3月)'!F$26:F$1006)</f>
        <v>0</v>
      </c>
      <c r="D31" s="158">
        <f>SUMIF('内訳ﾘｽﾄ(4～3月)'!$D$26:$D$1006,$B31,'内訳ﾘｽﾄ(4～3月)'!G$26:G$1006)</f>
        <v>0</v>
      </c>
      <c r="E31" s="158">
        <f>SUMIF('内訳ﾘｽﾄ(4～3月)'!$D$26:$D$1006,$B31,'内訳ﾘｽﾄ(4～3月)'!H$26:H$1006)</f>
        <v>0</v>
      </c>
      <c r="F31" s="158">
        <f>SUMIF('内訳ﾘｽﾄ(4～3月)'!$D$26:$D$1006,$B31,'内訳ﾘｽﾄ(4～3月)'!I$26:I$1006)</f>
        <v>0</v>
      </c>
      <c r="G31" s="158">
        <f>SUMIF('内訳ﾘｽﾄ(4～3月)'!$D$26:$D$1006,$B31,'内訳ﾘｽﾄ(4～3月)'!J$26:J$1006)</f>
        <v>500000</v>
      </c>
      <c r="H31" s="158">
        <f>SUMIF('内訳ﾘｽﾄ(4～3月)'!$D$26:$D$1006,$B31,'内訳ﾘｽﾄ(4～3月)'!K$26:K$1006)</f>
        <v>0</v>
      </c>
      <c r="I31" s="158">
        <f>SUMIF('内訳ﾘｽﾄ(4～3月)'!$D$26:$D$1006,$B31,'内訳ﾘｽﾄ(4～3月)'!L$26:L$1006)</f>
        <v>0</v>
      </c>
      <c r="J31" s="158">
        <f>SUMIF('内訳ﾘｽﾄ(4～3月)'!$D$26:$D$1006,$B31,'内訳ﾘｽﾄ(4～3月)'!M$26:M$1006)</f>
        <v>0</v>
      </c>
      <c r="K31" s="158">
        <f>SUMIF('内訳ﾘｽﾄ(4～3月)'!$D$26:$D$1006,$B31,'内訳ﾘｽﾄ(4～3月)'!N$26:N$1006)</f>
        <v>0</v>
      </c>
      <c r="L31" s="158">
        <f>SUMIF('内訳ﾘｽﾄ(4～3月)'!$D$26:$D$1006,$B31,'内訳ﾘｽﾄ(4～3月)'!O$26:O$1006)</f>
        <v>0</v>
      </c>
      <c r="M31" s="158">
        <f>SUMIF('内訳ﾘｽﾄ(4～3月)'!$D$26:$D$1006,$B31,'内訳ﾘｽﾄ(4～3月)'!P$26:P$1006)</f>
        <v>0</v>
      </c>
      <c r="N31" s="158">
        <f>SUMIF('内訳ﾘｽﾄ(4～3月)'!$D$26:$D$1006,$B31,'内訳ﾘｽﾄ(4～3月)'!Q$26:Q$1006)</f>
        <v>3000000</v>
      </c>
      <c r="O31" s="158">
        <f>SUMIF('内訳ﾘｽﾄ(4～3月)'!$D$26:$D$805,'採算表(VND)'!$B31,'内訳ﾘｽﾄ(4～3月)'!R$26:R$805)</f>
        <v>3500000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SUMIF('内訳ﾘｽﾄ(4～3月)'!$D$26:$D$1006,$B32,'内訳ﾘｽﾄ(4～3月)'!F$26:F$1006)</f>
        <v>0</v>
      </c>
      <c r="D32" s="158">
        <f>SUMIF('内訳ﾘｽﾄ(4～3月)'!$D$26:$D$1006,$B32,'内訳ﾘｽﾄ(4～3月)'!G$26:G$1006)</f>
        <v>0</v>
      </c>
      <c r="E32" s="158">
        <f>SUMIF('内訳ﾘｽﾄ(4～3月)'!$D$26:$D$1006,$B32,'内訳ﾘｽﾄ(4～3月)'!H$26:H$1006)</f>
        <v>0</v>
      </c>
      <c r="F32" s="158">
        <f>SUMIF('内訳ﾘｽﾄ(4～3月)'!$D$26:$D$1006,$B32,'内訳ﾘｽﾄ(4～3月)'!I$26:I$1006)</f>
        <v>0</v>
      </c>
      <c r="G32" s="158">
        <f>SUMIF('内訳ﾘｽﾄ(4～3月)'!$D$26:$D$1006,$B32,'内訳ﾘｽﾄ(4～3月)'!J$26:J$1006)</f>
        <v>0</v>
      </c>
      <c r="H32" s="158">
        <f>SUMIF('内訳ﾘｽﾄ(4～3月)'!$D$26:$D$1006,$B32,'内訳ﾘｽﾄ(4～3月)'!K$26:K$1006)</f>
        <v>0</v>
      </c>
      <c r="I32" s="158">
        <f>SUMIF('内訳ﾘｽﾄ(4～3月)'!$D$26:$D$1006,$B32,'内訳ﾘｽﾄ(4～3月)'!L$26:L$1006)</f>
        <v>0</v>
      </c>
      <c r="J32" s="158">
        <f>SUMIF('内訳ﾘｽﾄ(4～3月)'!$D$26:$D$1006,$B32,'内訳ﾘｽﾄ(4～3月)'!M$26:M$1006)</f>
        <v>0</v>
      </c>
      <c r="K32" s="158">
        <f>SUMIF('内訳ﾘｽﾄ(4～3月)'!$D$26:$D$1006,$B32,'内訳ﾘｽﾄ(4～3月)'!N$26:N$1006)</f>
        <v>0</v>
      </c>
      <c r="L32" s="158">
        <f>SUMIF('内訳ﾘｽﾄ(4～3月)'!$D$26:$D$1006,$B32,'内訳ﾘｽﾄ(4～3月)'!O$26:O$1006)</f>
        <v>0</v>
      </c>
      <c r="M32" s="158">
        <f>SUMIF('内訳ﾘｽﾄ(4～3月)'!$D$26:$D$1006,$B32,'内訳ﾘｽﾄ(4～3月)'!P$26:P$1006)</f>
        <v>0</v>
      </c>
      <c r="N32" s="158">
        <f>SUMIF('内訳ﾘｽﾄ(4～3月)'!$D$26:$D$1006,$B32,'内訳ﾘｽﾄ(4～3月)'!Q$26:Q$1006)</f>
        <v>0</v>
      </c>
      <c r="O32" s="158">
        <f>SUMIF('内訳ﾘｽﾄ(4～3月)'!$D$26:$D$805,'採算表(VND)'!$B32,'内訳ﾘｽﾄ(4～3月)'!R$26:R$805)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SUMIF('内訳ﾘｽﾄ(4～3月)'!$D$26:$D$1006,$B33,'内訳ﾘｽﾄ(4～3月)'!F$26:F$1006)</f>
        <v>0</v>
      </c>
      <c r="D33" s="158">
        <f>SUMIF('内訳ﾘｽﾄ(4～3月)'!$D$26:$D$1006,$B33,'内訳ﾘｽﾄ(4～3月)'!G$26:G$1006)</f>
        <v>0</v>
      </c>
      <c r="E33" s="158">
        <f>SUMIF('内訳ﾘｽﾄ(4～3月)'!$D$26:$D$1006,$B33,'内訳ﾘｽﾄ(4～3月)'!H$26:H$1006)</f>
        <v>0</v>
      </c>
      <c r="F33" s="158">
        <f>SUMIF('内訳ﾘｽﾄ(4～3月)'!$D$26:$D$1006,$B33,'内訳ﾘｽﾄ(4～3月)'!I$26:I$1006)</f>
        <v>0</v>
      </c>
      <c r="G33" s="158">
        <f>SUMIF('内訳ﾘｽﾄ(4～3月)'!$D$26:$D$1006,$B33,'内訳ﾘｽﾄ(4～3月)'!J$26:J$1006)</f>
        <v>0</v>
      </c>
      <c r="H33" s="158">
        <f>SUMIF('内訳ﾘｽﾄ(4～3月)'!$D$26:$D$1006,$B33,'内訳ﾘｽﾄ(4～3月)'!K$26:K$1006)</f>
        <v>0</v>
      </c>
      <c r="I33" s="158">
        <f>SUMIF('内訳ﾘｽﾄ(4～3月)'!$D$26:$D$1006,$B33,'内訳ﾘｽﾄ(4～3月)'!L$26:L$1006)</f>
        <v>0</v>
      </c>
      <c r="J33" s="158">
        <f>SUMIF('内訳ﾘｽﾄ(4～3月)'!$D$26:$D$1006,$B33,'内訳ﾘｽﾄ(4～3月)'!M$26:M$1006)</f>
        <v>0</v>
      </c>
      <c r="K33" s="158">
        <f>SUMIF('内訳ﾘｽﾄ(4～3月)'!$D$26:$D$1006,$B33,'内訳ﾘｽﾄ(4～3月)'!N$26:N$1006)</f>
        <v>0</v>
      </c>
      <c r="L33" s="158">
        <f>SUMIF('内訳ﾘｽﾄ(4～3月)'!$D$26:$D$1006,$B33,'内訳ﾘｽﾄ(4～3月)'!O$26:O$1006)</f>
        <v>0</v>
      </c>
      <c r="M33" s="158">
        <f>SUMIF('内訳ﾘｽﾄ(4～3月)'!$D$26:$D$1006,$B33,'内訳ﾘｽﾄ(4～3月)'!P$26:P$1006)</f>
        <v>0</v>
      </c>
      <c r="N33" s="158">
        <f>SUMIF('内訳ﾘｽﾄ(4～3月)'!$D$26:$D$1006,$B33,'内訳ﾘｽﾄ(4～3月)'!Q$26:Q$1006)</f>
        <v>0</v>
      </c>
      <c r="O33" s="158">
        <f>SUMIF('内訳ﾘｽﾄ(4～3月)'!$D$26:$D$805,'採算表(VND)'!$B33,'内訳ﾘｽﾄ(4～3月)'!R$26:R$805)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SUMIF('内訳ﾘｽﾄ(4～3月)'!$D$26:$D$1006,$B34,'内訳ﾘｽﾄ(4～3月)'!F$26:F$1006)</f>
        <v>0</v>
      </c>
      <c r="D34" s="158">
        <f>SUMIF('内訳ﾘｽﾄ(4～3月)'!$D$26:$D$1006,$B34,'内訳ﾘｽﾄ(4～3月)'!G$26:G$1006)</f>
        <v>0</v>
      </c>
      <c r="E34" s="158">
        <f>SUMIF('内訳ﾘｽﾄ(4～3月)'!$D$26:$D$1006,$B34,'内訳ﾘｽﾄ(4～3月)'!H$26:H$1006)</f>
        <v>0</v>
      </c>
      <c r="F34" s="158">
        <f>SUMIF('内訳ﾘｽﾄ(4～3月)'!$D$26:$D$1006,$B34,'内訳ﾘｽﾄ(4～3月)'!I$26:I$1006)</f>
        <v>0</v>
      </c>
      <c r="G34" s="158">
        <f>SUMIF('内訳ﾘｽﾄ(4～3月)'!$D$26:$D$1006,$B34,'内訳ﾘｽﾄ(4～3月)'!J$26:J$1006)</f>
        <v>0</v>
      </c>
      <c r="H34" s="158">
        <f>SUMIF('内訳ﾘｽﾄ(4～3月)'!$D$26:$D$1006,$B34,'内訳ﾘｽﾄ(4～3月)'!K$26:K$1006)</f>
        <v>0</v>
      </c>
      <c r="I34" s="158">
        <f>SUMIF('内訳ﾘｽﾄ(4～3月)'!$D$26:$D$1006,$B34,'内訳ﾘｽﾄ(4～3月)'!L$26:L$1006)</f>
        <v>0</v>
      </c>
      <c r="J34" s="158">
        <f>SUMIF('内訳ﾘｽﾄ(4～3月)'!$D$26:$D$1006,$B34,'内訳ﾘｽﾄ(4～3月)'!M$26:M$1006)</f>
        <v>0</v>
      </c>
      <c r="K34" s="158">
        <f>SUMIF('内訳ﾘｽﾄ(4～3月)'!$D$26:$D$1006,$B34,'内訳ﾘｽﾄ(4～3月)'!N$26:N$1006)</f>
        <v>0</v>
      </c>
      <c r="L34" s="158">
        <f>SUMIF('内訳ﾘｽﾄ(4～3月)'!$D$26:$D$1006,$B34,'内訳ﾘｽﾄ(4～3月)'!O$26:O$1006)</f>
        <v>0</v>
      </c>
      <c r="M34" s="158">
        <f>SUMIF('内訳ﾘｽﾄ(4～3月)'!$D$26:$D$1006,$B34,'内訳ﾘｽﾄ(4～3月)'!P$26:P$1006)</f>
        <v>0</v>
      </c>
      <c r="N34" s="158">
        <f>SUMIF('内訳ﾘｽﾄ(4～3月)'!$D$26:$D$1006,$B34,'内訳ﾘｽﾄ(4～3月)'!Q$26:Q$1006)</f>
        <v>0</v>
      </c>
      <c r="O34" s="158">
        <f>SUMIF('内訳ﾘｽﾄ(4～3月)'!$D$26:$D$805,'採算表(VND)'!$B34,'内訳ﾘｽﾄ(4～3月)'!R$26:R$805)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SUMIF('内訳ﾘｽﾄ(4～3月)'!$D$26:$D$1006,$B35,'内訳ﾘｽﾄ(4～3月)'!F$26:F$1006)</f>
        <v>0</v>
      </c>
      <c r="D35" s="158">
        <f>SUMIF('内訳ﾘｽﾄ(4～3月)'!$D$26:$D$1006,$B35,'内訳ﾘｽﾄ(4～3月)'!G$26:G$1006)</f>
        <v>0</v>
      </c>
      <c r="E35" s="158">
        <f>SUMIF('内訳ﾘｽﾄ(4～3月)'!$D$26:$D$1006,$B35,'内訳ﾘｽﾄ(4～3月)'!H$26:H$1006)</f>
        <v>0</v>
      </c>
      <c r="F35" s="158">
        <f>SUMIF('内訳ﾘｽﾄ(4～3月)'!$D$26:$D$1006,$B35,'内訳ﾘｽﾄ(4～3月)'!I$26:I$1006)</f>
        <v>0</v>
      </c>
      <c r="G35" s="158">
        <f>SUMIF('内訳ﾘｽﾄ(4～3月)'!$D$26:$D$1006,$B35,'内訳ﾘｽﾄ(4～3月)'!J$26:J$1006)</f>
        <v>0</v>
      </c>
      <c r="H35" s="158">
        <f>SUMIF('内訳ﾘｽﾄ(4～3月)'!$D$26:$D$1006,$B35,'内訳ﾘｽﾄ(4～3月)'!K$26:K$1006)</f>
        <v>0</v>
      </c>
      <c r="I35" s="158">
        <f>SUMIF('内訳ﾘｽﾄ(4～3月)'!$D$26:$D$1006,$B35,'内訳ﾘｽﾄ(4～3月)'!L$26:L$1006)</f>
        <v>0</v>
      </c>
      <c r="J35" s="158">
        <f>SUMIF('内訳ﾘｽﾄ(4～3月)'!$D$26:$D$1006,$B35,'内訳ﾘｽﾄ(4～3月)'!M$26:M$1006)</f>
        <v>0</v>
      </c>
      <c r="K35" s="158">
        <f>SUMIF('内訳ﾘｽﾄ(4～3月)'!$D$26:$D$1006,$B35,'内訳ﾘｽﾄ(4～3月)'!N$26:N$1006)</f>
        <v>0</v>
      </c>
      <c r="L35" s="158">
        <f>SUMIF('内訳ﾘｽﾄ(4～3月)'!$D$26:$D$1006,$B35,'内訳ﾘｽﾄ(4～3月)'!O$26:O$1006)</f>
        <v>0</v>
      </c>
      <c r="M35" s="158">
        <f>SUMIF('内訳ﾘｽﾄ(4～3月)'!$D$26:$D$1006,$B35,'内訳ﾘｽﾄ(4～3月)'!P$26:P$1006)</f>
        <v>0</v>
      </c>
      <c r="N35" s="158">
        <f>SUMIF('内訳ﾘｽﾄ(4～3月)'!$D$26:$D$1006,$B35,'内訳ﾘｽﾄ(4～3月)'!Q$26:Q$1006)</f>
        <v>0</v>
      </c>
      <c r="O35" s="158">
        <f>SUMIF('内訳ﾘｽﾄ(4～3月)'!$D$26:$D$805,'採算表(VND)'!$B35,'内訳ﾘｽﾄ(4～3月)'!R$26:R$805)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SUMIF('内訳ﾘｽﾄ(4～3月)'!$D$26:$D$1006,$B36,'内訳ﾘｽﾄ(4～3月)'!F$26:F$1006)</f>
        <v>0</v>
      </c>
      <c r="D36" s="158">
        <f>SUMIF('内訳ﾘｽﾄ(4～3月)'!$D$26:$D$1006,$B36,'内訳ﾘｽﾄ(4～3月)'!G$26:G$1006)</f>
        <v>0</v>
      </c>
      <c r="E36" s="158">
        <f>SUMIF('内訳ﾘｽﾄ(4～3月)'!$D$26:$D$1006,$B36,'内訳ﾘｽﾄ(4～3月)'!H$26:H$1006)</f>
        <v>0</v>
      </c>
      <c r="F36" s="158">
        <f>SUMIF('内訳ﾘｽﾄ(4～3月)'!$D$26:$D$1006,$B36,'内訳ﾘｽﾄ(4～3月)'!I$26:I$1006)</f>
        <v>0</v>
      </c>
      <c r="G36" s="158">
        <f>SUMIF('内訳ﾘｽﾄ(4～3月)'!$D$26:$D$1006,$B36,'内訳ﾘｽﾄ(4～3月)'!J$26:J$1006)</f>
        <v>0</v>
      </c>
      <c r="H36" s="158">
        <f>SUMIF('内訳ﾘｽﾄ(4～3月)'!$D$26:$D$1006,$B36,'内訳ﾘｽﾄ(4～3月)'!K$26:K$1006)</f>
        <v>0</v>
      </c>
      <c r="I36" s="158">
        <f>SUMIF('内訳ﾘｽﾄ(4～3月)'!$D$26:$D$1006,$B36,'内訳ﾘｽﾄ(4～3月)'!L$26:L$1006)</f>
        <v>0</v>
      </c>
      <c r="J36" s="158">
        <f>SUMIF('内訳ﾘｽﾄ(4～3月)'!$D$26:$D$1006,$B36,'内訳ﾘｽﾄ(4～3月)'!M$26:M$1006)</f>
        <v>0</v>
      </c>
      <c r="K36" s="158">
        <f>SUMIF('内訳ﾘｽﾄ(4～3月)'!$D$26:$D$1006,$B36,'内訳ﾘｽﾄ(4～3月)'!N$26:N$1006)</f>
        <v>0</v>
      </c>
      <c r="L36" s="158">
        <f>SUMIF('内訳ﾘｽﾄ(4～3月)'!$D$26:$D$1006,$B36,'内訳ﾘｽﾄ(4～3月)'!O$26:O$1006)</f>
        <v>0</v>
      </c>
      <c r="M36" s="158">
        <f>SUMIF('内訳ﾘｽﾄ(4～3月)'!$D$26:$D$1006,$B36,'内訳ﾘｽﾄ(4～3月)'!P$26:P$1006)</f>
        <v>0</v>
      </c>
      <c r="N36" s="158">
        <f>SUMIF('内訳ﾘｽﾄ(4～3月)'!$D$26:$D$1006,$B36,'内訳ﾘｽﾄ(4～3月)'!Q$26:Q$1006)</f>
        <v>0</v>
      </c>
      <c r="O36" s="158">
        <f>SUMIF('内訳ﾘｽﾄ(4～3月)'!$D$26:$D$805,'採算表(VND)'!$B36,'内訳ﾘｽﾄ(4～3月)'!R$26:R$805)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SUMIF('内訳ﾘｽﾄ(4～3月)'!$D$26:$D$1006,$B37,'内訳ﾘｽﾄ(4～3月)'!F$26:F$1006)</f>
        <v>0</v>
      </c>
      <c r="D37" s="158">
        <f>SUMIF('内訳ﾘｽﾄ(4～3月)'!$D$26:$D$1006,$B37,'内訳ﾘｽﾄ(4～3月)'!G$26:G$1006)</f>
        <v>0</v>
      </c>
      <c r="E37" s="158">
        <f>SUMIF('内訳ﾘｽﾄ(4～3月)'!$D$26:$D$1006,$B37,'内訳ﾘｽﾄ(4～3月)'!H$26:H$1006)</f>
        <v>0</v>
      </c>
      <c r="F37" s="158">
        <f>SUMIF('内訳ﾘｽﾄ(4～3月)'!$D$26:$D$1006,$B37,'内訳ﾘｽﾄ(4～3月)'!I$26:I$1006)</f>
        <v>0</v>
      </c>
      <c r="G37" s="158">
        <f>SUMIF('内訳ﾘｽﾄ(4～3月)'!$D$26:$D$1006,$B37,'内訳ﾘｽﾄ(4～3月)'!J$26:J$1006)</f>
        <v>0</v>
      </c>
      <c r="H37" s="158">
        <f>SUMIF('内訳ﾘｽﾄ(4～3月)'!$D$26:$D$1006,$B37,'内訳ﾘｽﾄ(4～3月)'!K$26:K$1006)</f>
        <v>0</v>
      </c>
      <c r="I37" s="158">
        <f>SUMIF('内訳ﾘｽﾄ(4～3月)'!$D$26:$D$1006,$B37,'内訳ﾘｽﾄ(4～3月)'!L$26:L$1006)</f>
        <v>0</v>
      </c>
      <c r="J37" s="158">
        <f>SUMIF('内訳ﾘｽﾄ(4～3月)'!$D$26:$D$1006,$B37,'内訳ﾘｽﾄ(4～3月)'!M$26:M$1006)</f>
        <v>0</v>
      </c>
      <c r="K37" s="158">
        <f>SUMIF('内訳ﾘｽﾄ(4～3月)'!$D$26:$D$1006,$B37,'内訳ﾘｽﾄ(4～3月)'!N$26:N$1006)</f>
        <v>0</v>
      </c>
      <c r="L37" s="158">
        <f>SUMIF('内訳ﾘｽﾄ(4～3月)'!$D$26:$D$1006,$B37,'内訳ﾘｽﾄ(4～3月)'!O$26:O$1006)</f>
        <v>0</v>
      </c>
      <c r="M37" s="158">
        <f>SUMIF('内訳ﾘｽﾄ(4～3月)'!$D$26:$D$1006,$B37,'内訳ﾘｽﾄ(4～3月)'!P$26:P$1006)</f>
        <v>0</v>
      </c>
      <c r="N37" s="158">
        <f>SUMIF('内訳ﾘｽﾄ(4～3月)'!$D$26:$D$1006,$B37,'内訳ﾘｽﾄ(4～3月)'!Q$26:Q$1006)</f>
        <v>0</v>
      </c>
      <c r="O37" s="158">
        <f>SUMIF('内訳ﾘｽﾄ(4～3月)'!$D$26:$D$805,'採算表(VND)'!$B37,'内訳ﾘｽﾄ(4～3月)'!R$26:R$805)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SUMIF('内訳ﾘｽﾄ(4～3月)'!$D$26:$D$1006,$B38,'内訳ﾘｽﾄ(4～3月)'!F$26:F$1006)</f>
        <v>0</v>
      </c>
      <c r="D38" s="158">
        <f>SUMIF('内訳ﾘｽﾄ(4～3月)'!$D$26:$D$1006,$B38,'内訳ﾘｽﾄ(4～3月)'!G$26:G$1006)</f>
        <v>0</v>
      </c>
      <c r="E38" s="158">
        <f>SUMIF('内訳ﾘｽﾄ(4～3月)'!$D$26:$D$1006,$B38,'内訳ﾘｽﾄ(4～3月)'!H$26:H$1006)</f>
        <v>0</v>
      </c>
      <c r="F38" s="158">
        <f>SUMIF('内訳ﾘｽﾄ(4～3月)'!$D$26:$D$1006,$B38,'内訳ﾘｽﾄ(4～3月)'!I$26:I$1006)</f>
        <v>0</v>
      </c>
      <c r="G38" s="158">
        <f>SUMIF('内訳ﾘｽﾄ(4～3月)'!$D$26:$D$1006,$B38,'内訳ﾘｽﾄ(4～3月)'!J$26:J$1006)</f>
        <v>0</v>
      </c>
      <c r="H38" s="158">
        <f>SUMIF('内訳ﾘｽﾄ(4～3月)'!$D$26:$D$1006,$B38,'内訳ﾘｽﾄ(4～3月)'!K$26:K$1006)</f>
        <v>0</v>
      </c>
      <c r="I38" s="158">
        <f>SUMIF('内訳ﾘｽﾄ(4～3月)'!$D$26:$D$1006,$B38,'内訳ﾘｽﾄ(4～3月)'!L$26:L$1006)</f>
        <v>0</v>
      </c>
      <c r="J38" s="158">
        <f>SUMIF('内訳ﾘｽﾄ(4～3月)'!$D$26:$D$1006,$B38,'内訳ﾘｽﾄ(4～3月)'!M$26:M$1006)</f>
        <v>0</v>
      </c>
      <c r="K38" s="158">
        <f>SUMIF('内訳ﾘｽﾄ(4～3月)'!$D$26:$D$1006,$B38,'内訳ﾘｽﾄ(4～3月)'!N$26:N$1006)</f>
        <v>0</v>
      </c>
      <c r="L38" s="158">
        <f>SUMIF('内訳ﾘｽﾄ(4～3月)'!$D$26:$D$1006,$B38,'内訳ﾘｽﾄ(4～3月)'!O$26:O$1006)</f>
        <v>0</v>
      </c>
      <c r="M38" s="158">
        <f>SUMIF('内訳ﾘｽﾄ(4～3月)'!$D$26:$D$1006,$B38,'内訳ﾘｽﾄ(4～3月)'!P$26:P$1006)</f>
        <v>0</v>
      </c>
      <c r="N38" s="158">
        <f>SUMIF('内訳ﾘｽﾄ(4～3月)'!$D$26:$D$1006,$B38,'内訳ﾘｽﾄ(4～3月)'!Q$26:Q$1006)</f>
        <v>0</v>
      </c>
      <c r="O38" s="158">
        <f>SUMIF('内訳ﾘｽﾄ(4～3月)'!$D$26:$D$805,'採算表(VND)'!$B38,'内訳ﾘｽﾄ(4～3月)'!R$26:R$805)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SUMIF('内訳ﾘｽﾄ(4～3月)'!$D$26:$D$1006,$B39,'内訳ﾘｽﾄ(4～3月)'!F$26:F$1006)</f>
        <v>0</v>
      </c>
      <c r="D39" s="158">
        <f>SUMIF('内訳ﾘｽﾄ(4～3月)'!$D$26:$D$1006,$B39,'内訳ﾘｽﾄ(4～3月)'!G$26:G$1006)</f>
        <v>0</v>
      </c>
      <c r="E39" s="158">
        <f>SUMIF('内訳ﾘｽﾄ(4～3月)'!$D$26:$D$1006,$B39,'内訳ﾘｽﾄ(4～3月)'!H$26:H$1006)</f>
        <v>0</v>
      </c>
      <c r="F39" s="158">
        <f>SUMIF('内訳ﾘｽﾄ(4～3月)'!$D$26:$D$1006,$B39,'内訳ﾘｽﾄ(4～3月)'!I$26:I$1006)</f>
        <v>0</v>
      </c>
      <c r="G39" s="158">
        <f>SUMIF('内訳ﾘｽﾄ(4～3月)'!$D$26:$D$1006,$B39,'内訳ﾘｽﾄ(4～3月)'!J$26:J$1006)</f>
        <v>8198778</v>
      </c>
      <c r="H39" s="158">
        <f>SUMIF('内訳ﾘｽﾄ(4～3月)'!$D$26:$D$1006,$B39,'内訳ﾘｽﾄ(4～3月)'!K$26:K$1006)</f>
        <v>7835220</v>
      </c>
      <c r="I39" s="158">
        <f>SUMIF('内訳ﾘｽﾄ(4～3月)'!$D$26:$D$1006,$B39,'内訳ﾘｽﾄ(4～3月)'!L$26:L$1006)</f>
        <v>7494256</v>
      </c>
      <c r="J39" s="158">
        <f>SUMIF('内訳ﾘｽﾄ(4～3月)'!$D$26:$D$1006,$B39,'内訳ﾘｽﾄ(4～3月)'!M$26:M$1006)</f>
        <v>7401352</v>
      </c>
      <c r="K39" s="158">
        <f>SUMIF('内訳ﾘｽﾄ(4～3月)'!$D$26:$D$1006,$B39,'内訳ﾘｽﾄ(4～3月)'!N$26:N$1006)</f>
        <v>7422366</v>
      </c>
      <c r="L39" s="158">
        <f>SUMIF('内訳ﾘｽﾄ(4～3月)'!$D$26:$D$1006,$B39,'内訳ﾘｽﾄ(4～3月)'!O$26:O$1006)</f>
        <v>7104944</v>
      </c>
      <c r="M39" s="158">
        <f>SUMIF('内訳ﾘｽﾄ(4～3月)'!$D$26:$D$1006,$B39,'内訳ﾘｽﾄ(4～3月)'!P$26:P$1006)</f>
        <v>6724796</v>
      </c>
      <c r="N39" s="158">
        <f>SUMIF('内訳ﾘｽﾄ(4～3月)'!$D$26:$D$1006,$B39,'内訳ﾘｽﾄ(4～3月)'!Q$26:Q$1006)</f>
        <v>7660880</v>
      </c>
      <c r="O39" s="158">
        <f>SUMIF('内訳ﾘｽﾄ(4～3月)'!$D$26:$D$805,'採算表(VND)'!$B39,'内訳ﾘｽﾄ(4～3月)'!R$26:R$805)</f>
        <v>59842592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SUMIF('内訳ﾘｽﾄ(4～3月)'!$D$26:$D$1006,$B40,'内訳ﾘｽﾄ(4～3月)'!F$26:F$1006)</f>
        <v>0</v>
      </c>
      <c r="D40" s="158">
        <f>SUMIF('内訳ﾘｽﾄ(4～3月)'!$D$26:$D$1006,$B40,'内訳ﾘｽﾄ(4～3月)'!G$26:G$1006)</f>
        <v>0</v>
      </c>
      <c r="E40" s="158">
        <f>SUMIF('内訳ﾘｽﾄ(4～3月)'!$D$26:$D$1006,$B40,'内訳ﾘｽﾄ(4～3月)'!H$26:H$1006)</f>
        <v>0</v>
      </c>
      <c r="F40" s="158">
        <f>SUMIF('内訳ﾘｽﾄ(4～3月)'!$D$26:$D$1006,$B40,'内訳ﾘｽﾄ(4～3月)'!I$26:I$1006)</f>
        <v>0</v>
      </c>
      <c r="G40" s="158">
        <f>SUMIF('内訳ﾘｽﾄ(4～3月)'!$D$26:$D$1006,$B40,'内訳ﾘｽﾄ(4～3月)'!J$26:J$1006)</f>
        <v>0</v>
      </c>
      <c r="H40" s="158">
        <f>SUMIF('内訳ﾘｽﾄ(4～3月)'!$D$26:$D$1006,$B40,'内訳ﾘｽﾄ(4～3月)'!K$26:K$1006)</f>
        <v>0</v>
      </c>
      <c r="I40" s="158">
        <f>SUMIF('内訳ﾘｽﾄ(4～3月)'!$D$26:$D$1006,$B40,'内訳ﾘｽﾄ(4～3月)'!L$26:L$1006)</f>
        <v>0</v>
      </c>
      <c r="J40" s="158">
        <f>SUMIF('内訳ﾘｽﾄ(4～3月)'!$D$26:$D$1006,$B40,'内訳ﾘｽﾄ(4～3月)'!M$26:M$1006)</f>
        <v>0</v>
      </c>
      <c r="K40" s="158">
        <f>SUMIF('内訳ﾘｽﾄ(4～3月)'!$D$26:$D$1006,$B40,'内訳ﾘｽﾄ(4～3月)'!N$26:N$1006)</f>
        <v>0</v>
      </c>
      <c r="L40" s="158">
        <f>SUMIF('内訳ﾘｽﾄ(4～3月)'!$D$26:$D$1006,$B40,'内訳ﾘｽﾄ(4～3月)'!O$26:O$1006)</f>
        <v>0</v>
      </c>
      <c r="M40" s="158">
        <f>SUMIF('内訳ﾘｽﾄ(4～3月)'!$D$26:$D$1006,$B40,'内訳ﾘｽﾄ(4～3月)'!P$26:P$1006)</f>
        <v>0</v>
      </c>
      <c r="N40" s="158">
        <f>SUMIF('内訳ﾘｽﾄ(4～3月)'!$D$26:$D$1006,$B40,'内訳ﾘｽﾄ(4～3月)'!Q$26:Q$1006)</f>
        <v>0</v>
      </c>
      <c r="O40" s="158">
        <f>SUMIF('内訳ﾘｽﾄ(4～3月)'!$D$26:$D$805,'採算表(VND)'!$B40,'内訳ﾘｽﾄ(4～3月)'!R$26:R$805)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SUMIF('内訳ﾘｽﾄ(4～3月)'!$D$26:$D$1006,$B41,'内訳ﾘｽﾄ(4～3月)'!F$26:F$1006)</f>
        <v>0</v>
      </c>
      <c r="D41" s="158">
        <f>SUMIF('内訳ﾘｽﾄ(4～3月)'!$D$26:$D$1006,$B41,'内訳ﾘｽﾄ(4～3月)'!G$26:G$1006)</f>
        <v>0</v>
      </c>
      <c r="E41" s="158">
        <f>SUMIF('内訳ﾘｽﾄ(4～3月)'!$D$26:$D$1006,$B41,'内訳ﾘｽﾄ(4～3月)'!H$26:H$1006)</f>
        <v>0</v>
      </c>
      <c r="F41" s="158">
        <f>SUMIF('内訳ﾘｽﾄ(4～3月)'!$D$26:$D$1006,$B41,'内訳ﾘｽﾄ(4～3月)'!I$26:I$1006)</f>
        <v>0</v>
      </c>
      <c r="G41" s="158">
        <f>SUMIF('内訳ﾘｽﾄ(4～3月)'!$D$26:$D$1006,$B41,'内訳ﾘｽﾄ(4～3月)'!J$26:J$1006)</f>
        <v>3273000</v>
      </c>
      <c r="H41" s="158">
        <f>SUMIF('内訳ﾘｽﾄ(4～3月)'!$D$26:$D$1006,$B41,'内訳ﾘｽﾄ(4～3月)'!K$26:K$1006)</f>
        <v>3273000</v>
      </c>
      <c r="I41" s="158">
        <f>SUMIF('内訳ﾘｽﾄ(4～3月)'!$D$26:$D$1006,$B41,'内訳ﾘｽﾄ(4～3月)'!L$26:L$1006)</f>
        <v>3273000</v>
      </c>
      <c r="J41" s="158">
        <f>SUMIF('内訳ﾘｽﾄ(4～3月)'!$D$26:$D$1006,$B41,'内訳ﾘｽﾄ(4～3月)'!M$26:M$1006)</f>
        <v>3273000</v>
      </c>
      <c r="K41" s="158">
        <f>SUMIF('内訳ﾘｽﾄ(4～3月)'!$D$26:$D$1006,$B41,'内訳ﾘｽﾄ(4～3月)'!N$26:N$1006)</f>
        <v>3273000</v>
      </c>
      <c r="L41" s="158">
        <f>SUMIF('内訳ﾘｽﾄ(4～3月)'!$D$26:$D$1006,$B41,'内訳ﾘｽﾄ(4～3月)'!O$26:O$1006)</f>
        <v>3273000</v>
      </c>
      <c r="M41" s="158">
        <f>SUMIF('内訳ﾘｽﾄ(4～3月)'!$D$26:$D$1006,$B41,'内訳ﾘｽﾄ(4～3月)'!P$26:P$1006)</f>
        <v>3273000</v>
      </c>
      <c r="N41" s="158">
        <f>SUMIF('内訳ﾘｽﾄ(4～3月)'!$D$26:$D$1006,$B41,'内訳ﾘｽﾄ(4～3月)'!Q$26:Q$1006)</f>
        <v>3273000</v>
      </c>
      <c r="O41" s="158">
        <f>SUMIF('内訳ﾘｽﾄ(4～3月)'!$D$26:$D$805,'採算表(VND)'!$B41,'内訳ﾘｽﾄ(4～3月)'!R$26:R$805)</f>
        <v>26184000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SUMIF('内訳ﾘｽﾄ(4～3月)'!$D$26:$D$1006,$B42,'内訳ﾘｽﾄ(4～3月)'!F$26:F$1006)</f>
        <v>0</v>
      </c>
      <c r="D42" s="158">
        <f>SUMIF('内訳ﾘｽﾄ(4～3月)'!$D$26:$D$1006,$B42,'内訳ﾘｽﾄ(4～3月)'!G$26:G$1006)</f>
        <v>0</v>
      </c>
      <c r="E42" s="158">
        <f>SUMIF('内訳ﾘｽﾄ(4～3月)'!$D$26:$D$1006,$B42,'内訳ﾘｽﾄ(4～3月)'!H$26:H$1006)</f>
        <v>0</v>
      </c>
      <c r="F42" s="158">
        <f>SUMIF('内訳ﾘｽﾄ(4～3月)'!$D$26:$D$1006,$B42,'内訳ﾘｽﾄ(4～3月)'!I$26:I$1006)</f>
        <v>0</v>
      </c>
      <c r="G42" s="158">
        <f>SUMIF('内訳ﾘｽﾄ(4～3月)'!$D$26:$D$1006,$B42,'内訳ﾘｽﾄ(4～3月)'!J$26:J$1006)</f>
        <v>5690440</v>
      </c>
      <c r="H42" s="158">
        <f>SUMIF('内訳ﾘｽﾄ(4～3月)'!$D$26:$D$1006,$B42,'内訳ﾘｽﾄ(4～3月)'!K$26:K$1006)</f>
        <v>5690440</v>
      </c>
      <c r="I42" s="158">
        <f>SUMIF('内訳ﾘｽﾄ(4～3月)'!$D$26:$D$1006,$B42,'内訳ﾘｽﾄ(4～3月)'!L$26:L$1006)</f>
        <v>5690440</v>
      </c>
      <c r="J42" s="158">
        <f>SUMIF('内訳ﾘｽﾄ(4～3月)'!$D$26:$D$1006,$B42,'内訳ﾘｽﾄ(4～3月)'!M$26:M$1006)</f>
        <v>5816840</v>
      </c>
      <c r="K42" s="158">
        <f>SUMIF('内訳ﾘｽﾄ(4～3月)'!$D$26:$D$1006,$B42,'内訳ﾘｽﾄ(4～3月)'!N$26:N$1006)</f>
        <v>5690440</v>
      </c>
      <c r="L42" s="158">
        <f>SUMIF('内訳ﾘｽﾄ(4～3月)'!$D$26:$D$1006,$B42,'内訳ﾘｽﾄ(4～3月)'!O$26:O$1006)</f>
        <v>5690440</v>
      </c>
      <c r="M42" s="158">
        <f>SUMIF('内訳ﾘｽﾄ(4～3月)'!$D$26:$D$1006,$B42,'内訳ﾘｽﾄ(4～3月)'!P$26:P$1006)</f>
        <v>5690440</v>
      </c>
      <c r="N42" s="158">
        <f>SUMIF('内訳ﾘｽﾄ(4～3月)'!$D$26:$D$1006,$B42,'内訳ﾘｽﾄ(4～3月)'!Q$26:Q$1006)</f>
        <v>5690440</v>
      </c>
      <c r="O42" s="158">
        <f>SUMIF('内訳ﾘｽﾄ(4～3月)'!$D$26:$D$805,'採算表(VND)'!$B42,'内訳ﾘｽﾄ(4～3月)'!R$26:R$805)</f>
        <v>45649920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SUMIF('内訳ﾘｽﾄ(4～3月)'!$D$26:$D$1006,$B43,'内訳ﾘｽﾄ(4～3月)'!F$26:F$1006)</f>
        <v>0</v>
      </c>
      <c r="D43" s="158">
        <f>SUMIF('内訳ﾘｽﾄ(4～3月)'!$D$26:$D$1006,$B43,'内訳ﾘｽﾄ(4～3月)'!G$26:G$1006)</f>
        <v>0</v>
      </c>
      <c r="E43" s="158">
        <f>SUMIF('内訳ﾘｽﾄ(4～3月)'!$D$26:$D$1006,$B43,'内訳ﾘｽﾄ(4～3月)'!H$26:H$1006)</f>
        <v>0</v>
      </c>
      <c r="F43" s="158">
        <f>SUMIF('内訳ﾘｽﾄ(4～3月)'!$D$26:$D$1006,$B43,'内訳ﾘｽﾄ(4～3月)'!I$26:I$1006)</f>
        <v>0</v>
      </c>
      <c r="G43" s="158">
        <f>SUMIF('内訳ﾘｽﾄ(4～3月)'!$D$26:$D$1006,$B43,'内訳ﾘｽﾄ(4～3月)'!J$26:J$1006)</f>
        <v>0</v>
      </c>
      <c r="H43" s="158">
        <f>SUMIF('内訳ﾘｽﾄ(4～3月)'!$D$26:$D$1006,$B43,'内訳ﾘｽﾄ(4～3月)'!K$26:K$1006)</f>
        <v>0</v>
      </c>
      <c r="I43" s="158">
        <f>SUMIF('内訳ﾘｽﾄ(4～3月)'!$D$26:$D$1006,$B43,'内訳ﾘｽﾄ(4～3月)'!L$26:L$1006)</f>
        <v>0</v>
      </c>
      <c r="J43" s="158">
        <f>SUMIF('内訳ﾘｽﾄ(4～3月)'!$D$26:$D$1006,$B43,'内訳ﾘｽﾄ(4～3月)'!M$26:M$1006)</f>
        <v>0</v>
      </c>
      <c r="K43" s="158">
        <f>SUMIF('内訳ﾘｽﾄ(4～3月)'!$D$26:$D$1006,$B43,'内訳ﾘｽﾄ(4～3月)'!N$26:N$1006)</f>
        <v>0</v>
      </c>
      <c r="L43" s="158">
        <f>SUMIF('内訳ﾘｽﾄ(4～3月)'!$D$26:$D$1006,$B43,'内訳ﾘｽﾄ(4～3月)'!O$26:O$1006)</f>
        <v>0</v>
      </c>
      <c r="M43" s="158">
        <f>SUMIF('内訳ﾘｽﾄ(4～3月)'!$D$26:$D$1006,$B43,'内訳ﾘｽﾄ(4～3月)'!P$26:P$1006)</f>
        <v>0</v>
      </c>
      <c r="N43" s="158">
        <f>SUMIF('内訳ﾘｽﾄ(4～3月)'!$D$26:$D$1006,$B43,'内訳ﾘｽﾄ(4～3月)'!Q$26:Q$1006)</f>
        <v>0</v>
      </c>
      <c r="O43" s="158">
        <f>SUMIF('内訳ﾘｽﾄ(4～3月)'!$D$26:$D$805,'採算表(VND)'!$B43,'内訳ﾘｽﾄ(4～3月)'!R$26:R$805)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SUMIF('内訳ﾘｽﾄ(4～3月)'!$D$26:$D$1006,$B44,'内訳ﾘｽﾄ(4～3月)'!F$26:F$1006)</f>
        <v>0</v>
      </c>
      <c r="D44" s="158">
        <f>SUMIF('内訳ﾘｽﾄ(4～3月)'!$D$26:$D$1006,$B44,'内訳ﾘｽﾄ(4～3月)'!G$26:G$1006)</f>
        <v>0</v>
      </c>
      <c r="E44" s="158">
        <f>SUMIF('内訳ﾘｽﾄ(4～3月)'!$D$26:$D$1006,$B44,'内訳ﾘｽﾄ(4～3月)'!H$26:H$1006)</f>
        <v>0</v>
      </c>
      <c r="F44" s="158">
        <f>SUMIF('内訳ﾘｽﾄ(4～3月)'!$D$26:$D$1006,$B44,'内訳ﾘｽﾄ(4～3月)'!I$26:I$1006)</f>
        <v>18971000</v>
      </c>
      <c r="G44" s="158">
        <f>SUMIF('内訳ﾘｽﾄ(4～3月)'!$D$26:$D$1006,$B44,'内訳ﾘｽﾄ(4～3月)'!J$26:J$1006)</f>
        <v>4871000</v>
      </c>
      <c r="H44" s="158">
        <f>SUMIF('内訳ﾘｽﾄ(4～3月)'!$D$26:$D$1006,$B44,'内訳ﾘｽﾄ(4～3月)'!K$26:K$1006)</f>
        <v>57676060</v>
      </c>
      <c r="I44" s="158">
        <f>SUMIF('内訳ﾘｽﾄ(4～3月)'!$D$26:$D$1006,$B44,'内訳ﾘｽﾄ(4～3月)'!L$26:L$1006)</f>
        <v>47839435</v>
      </c>
      <c r="J44" s="158">
        <f>SUMIF('内訳ﾘｽﾄ(4～3月)'!$D$26:$D$1006,$B44,'内訳ﾘｽﾄ(4～3月)'!M$26:M$1006)</f>
        <v>51522957</v>
      </c>
      <c r="K44" s="158">
        <f>SUMIF('内訳ﾘｽﾄ(4～3月)'!$D$26:$D$1006,$B44,'内訳ﾘｽﾄ(4～3月)'!N$26:N$1006)</f>
        <v>67434432</v>
      </c>
      <c r="L44" s="158">
        <f>SUMIF('内訳ﾘｽﾄ(4～3月)'!$D$26:$D$1006,$B44,'内訳ﾘｽﾄ(4～3月)'!O$26:O$1006)</f>
        <v>32850425</v>
      </c>
      <c r="M44" s="158">
        <f>SUMIF('内訳ﾘｽﾄ(4～3月)'!$D$26:$D$1006,$B44,'内訳ﾘｽﾄ(4～3月)'!P$26:P$1006)</f>
        <v>95609539</v>
      </c>
      <c r="N44" s="158">
        <f>SUMIF('内訳ﾘｽﾄ(4～3月)'!$D$26:$D$1006,$B44,'内訳ﾘｽﾄ(4～3月)'!Q$26:Q$1006)</f>
        <v>31576788</v>
      </c>
      <c r="O44" s="158">
        <f>SUMIF('内訳ﾘｽﾄ(4～3月)'!$D$26:$D$805,'採算表(VND)'!$B44,'内訳ﾘｽﾄ(4～3月)'!R$26:R$805)</f>
        <v>408351636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SUMIF('内訳ﾘｽﾄ(4～3月)'!$D$26:$D$1006,$B45,'内訳ﾘｽﾄ(4～3月)'!F$26:F$1006)</f>
        <v>0</v>
      </c>
      <c r="D45" s="158">
        <f>SUMIF('内訳ﾘｽﾄ(4～3月)'!$D$26:$D$1006,$B45,'内訳ﾘｽﾄ(4～3月)'!G$26:G$1006)</f>
        <v>0</v>
      </c>
      <c r="E45" s="158">
        <f>SUMIF('内訳ﾘｽﾄ(4～3月)'!$D$26:$D$1006,$B45,'内訳ﾘｽﾄ(4～3月)'!H$26:H$1006)</f>
        <v>0</v>
      </c>
      <c r="F45" s="158">
        <f>SUMIF('内訳ﾘｽﾄ(4～3月)'!$D$26:$D$1006,$B45,'内訳ﾘｽﾄ(4～3月)'!I$26:I$1006)</f>
        <v>0</v>
      </c>
      <c r="G45" s="158">
        <f>SUMIF('内訳ﾘｽﾄ(4～3月)'!$D$26:$D$1006,$B45,'内訳ﾘｽﾄ(4～3月)'!J$26:J$1006)</f>
        <v>0</v>
      </c>
      <c r="H45" s="158">
        <f>SUMIF('内訳ﾘｽﾄ(4～3月)'!$D$26:$D$1006,$B45,'内訳ﾘｽﾄ(4～3月)'!K$26:K$1006)</f>
        <v>0</v>
      </c>
      <c r="I45" s="158">
        <f>SUMIF('内訳ﾘｽﾄ(4～3月)'!$D$26:$D$1006,$B45,'内訳ﾘｽﾄ(4～3月)'!L$26:L$1006)</f>
        <v>0</v>
      </c>
      <c r="J45" s="158">
        <f>SUMIF('内訳ﾘｽﾄ(4～3月)'!$D$26:$D$1006,$B45,'内訳ﾘｽﾄ(4～3月)'!M$26:M$1006)</f>
        <v>0</v>
      </c>
      <c r="K45" s="158">
        <f>SUMIF('内訳ﾘｽﾄ(4～3月)'!$D$26:$D$1006,$B45,'内訳ﾘｽﾄ(4～3月)'!N$26:N$1006)</f>
        <v>0</v>
      </c>
      <c r="L45" s="158">
        <f>SUMIF('内訳ﾘｽﾄ(4～3月)'!$D$26:$D$1006,$B45,'内訳ﾘｽﾄ(4～3月)'!O$26:O$1006)</f>
        <v>0</v>
      </c>
      <c r="M45" s="158">
        <f>SUMIF('内訳ﾘｽﾄ(4～3月)'!$D$26:$D$1006,$B45,'内訳ﾘｽﾄ(4～3月)'!P$26:P$1006)</f>
        <v>0</v>
      </c>
      <c r="N45" s="158">
        <f>SUMIF('内訳ﾘｽﾄ(4～3月)'!$D$26:$D$1006,$B45,'内訳ﾘｽﾄ(4～3月)'!Q$26:Q$1006)</f>
        <v>0</v>
      </c>
      <c r="O45" s="158">
        <f>SUMIF('内訳ﾘｽﾄ(4～3月)'!$D$26:$D$805,'採算表(VND)'!$B45,'内訳ﾘｽﾄ(4～3月)'!R$26:R$805)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SUMIF('内訳ﾘｽﾄ(4～3月)'!$D$26:$D$1006,$B46,'内訳ﾘｽﾄ(4～3月)'!F$26:F$1006)</f>
        <v>0</v>
      </c>
      <c r="D46" s="158">
        <f>SUMIF('内訳ﾘｽﾄ(4～3月)'!$D$26:$D$1006,$B46,'内訳ﾘｽﾄ(4～3月)'!G$26:G$1006)</f>
        <v>0</v>
      </c>
      <c r="E46" s="158">
        <f>SUMIF('内訳ﾘｽﾄ(4～3月)'!$D$26:$D$1006,$B46,'内訳ﾘｽﾄ(4～3月)'!H$26:H$1006)</f>
        <v>0</v>
      </c>
      <c r="F46" s="158">
        <f>SUMIF('内訳ﾘｽﾄ(4～3月)'!$D$26:$D$1006,$B46,'内訳ﾘｽﾄ(4～3月)'!I$26:I$1006)</f>
        <v>0</v>
      </c>
      <c r="G46" s="158">
        <f>SUMIF('内訳ﾘｽﾄ(4～3月)'!$D$26:$D$1006,$B46,'内訳ﾘｽﾄ(4～3月)'!J$26:J$1006)</f>
        <v>0</v>
      </c>
      <c r="H46" s="158">
        <f>SUMIF('内訳ﾘｽﾄ(4～3月)'!$D$26:$D$1006,$B46,'内訳ﾘｽﾄ(4～3月)'!K$26:K$1006)</f>
        <v>0</v>
      </c>
      <c r="I46" s="158">
        <f>SUMIF('内訳ﾘｽﾄ(4～3月)'!$D$26:$D$1006,$B46,'内訳ﾘｽﾄ(4～3月)'!L$26:L$1006)</f>
        <v>0</v>
      </c>
      <c r="J46" s="158">
        <f>SUMIF('内訳ﾘｽﾄ(4～3月)'!$D$26:$D$1006,$B46,'内訳ﾘｽﾄ(4～3月)'!M$26:M$1006)</f>
        <v>0</v>
      </c>
      <c r="K46" s="158">
        <f>SUMIF('内訳ﾘｽﾄ(4～3月)'!$D$26:$D$1006,$B46,'内訳ﾘｽﾄ(4～3月)'!N$26:N$1006)</f>
        <v>0</v>
      </c>
      <c r="L46" s="158">
        <f>SUMIF('内訳ﾘｽﾄ(4～3月)'!$D$26:$D$1006,$B46,'内訳ﾘｽﾄ(4～3月)'!O$26:O$1006)</f>
        <v>0</v>
      </c>
      <c r="M46" s="158">
        <f>SUMIF('内訳ﾘｽﾄ(4～3月)'!$D$26:$D$1006,$B46,'内訳ﾘｽﾄ(4～3月)'!P$26:P$1006)</f>
        <v>0</v>
      </c>
      <c r="N46" s="158">
        <f>SUMIF('内訳ﾘｽﾄ(4～3月)'!$D$26:$D$1006,$B46,'内訳ﾘｽﾄ(4～3月)'!Q$26:Q$1006)</f>
        <v>0</v>
      </c>
      <c r="O46" s="158">
        <f>SUMIF('内訳ﾘｽﾄ(4～3月)'!$D$26:$D$805,'採算表(VND)'!$B46,'内訳ﾘｽﾄ(4～3月)'!R$26:R$805)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SUMIF('内訳ﾘｽﾄ(4～3月)'!$D$26:$D$1006,$B47,'内訳ﾘｽﾄ(4～3月)'!F$26:F$1006)</f>
        <v>0</v>
      </c>
      <c r="D47" s="158">
        <f>SUMIF('内訳ﾘｽﾄ(4～3月)'!$D$26:$D$1006,$B47,'内訳ﾘｽﾄ(4～3月)'!G$26:G$1006)</f>
        <v>0</v>
      </c>
      <c r="E47" s="158">
        <f>SUMIF('内訳ﾘｽﾄ(4～3月)'!$D$26:$D$1006,$B47,'内訳ﾘｽﾄ(4～3月)'!H$26:H$1006)</f>
        <v>0</v>
      </c>
      <c r="F47" s="158">
        <f>SUMIF('内訳ﾘｽﾄ(4～3月)'!$D$26:$D$1006,$B47,'内訳ﾘｽﾄ(4～3月)'!I$26:I$1006)</f>
        <v>0</v>
      </c>
      <c r="G47" s="158">
        <f>SUMIF('内訳ﾘｽﾄ(4～3月)'!$D$26:$D$1006,$B47,'内訳ﾘｽﾄ(4～3月)'!J$26:J$1006)</f>
        <v>0</v>
      </c>
      <c r="H47" s="158">
        <f>SUMIF('内訳ﾘｽﾄ(4～3月)'!$D$26:$D$1006,$B47,'内訳ﾘｽﾄ(4～3月)'!K$26:K$1006)</f>
        <v>0</v>
      </c>
      <c r="I47" s="158">
        <f>SUMIF('内訳ﾘｽﾄ(4～3月)'!$D$26:$D$1006,$B47,'内訳ﾘｽﾄ(4～3月)'!L$26:L$1006)</f>
        <v>0</v>
      </c>
      <c r="J47" s="158">
        <f>SUMIF('内訳ﾘｽﾄ(4～3月)'!$D$26:$D$1006,$B47,'内訳ﾘｽﾄ(4～3月)'!M$26:M$1006)</f>
        <v>0</v>
      </c>
      <c r="K47" s="158">
        <f>SUMIF('内訳ﾘｽﾄ(4～3月)'!$D$26:$D$1006,$B47,'内訳ﾘｽﾄ(4～3月)'!N$26:N$1006)</f>
        <v>0</v>
      </c>
      <c r="L47" s="158">
        <f>SUMIF('内訳ﾘｽﾄ(4～3月)'!$D$26:$D$1006,$B47,'内訳ﾘｽﾄ(4～3月)'!O$26:O$1006)</f>
        <v>0</v>
      </c>
      <c r="M47" s="158">
        <f>SUMIF('内訳ﾘｽﾄ(4～3月)'!$D$26:$D$1006,$B47,'内訳ﾘｽﾄ(4～3月)'!P$26:P$1006)</f>
        <v>0</v>
      </c>
      <c r="N47" s="158">
        <f>SUMIF('内訳ﾘｽﾄ(4～3月)'!$D$26:$D$1006,$B47,'内訳ﾘｽﾄ(4～3月)'!Q$26:Q$1006)</f>
        <v>0</v>
      </c>
      <c r="O47" s="158">
        <f>SUMIF('内訳ﾘｽﾄ(4～3月)'!$D$26:$D$805,'採算表(VND)'!$B47,'内訳ﾘｽﾄ(4～3月)'!R$26:R$805)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SUMIF('内訳ﾘｽﾄ(4～3月)'!$D$26:$D$1006,$B48,'内訳ﾘｽﾄ(4～3月)'!F$26:F$1006)</f>
        <v>0</v>
      </c>
      <c r="D48" s="158">
        <f>SUMIF('内訳ﾘｽﾄ(4～3月)'!$D$26:$D$1006,$B48,'内訳ﾘｽﾄ(4～3月)'!G$26:G$1006)</f>
        <v>0</v>
      </c>
      <c r="E48" s="158">
        <f>SUMIF('内訳ﾘｽﾄ(4～3月)'!$D$26:$D$1006,$B48,'内訳ﾘｽﾄ(4～3月)'!H$26:H$1006)</f>
        <v>0</v>
      </c>
      <c r="F48" s="158">
        <f>SUMIF('内訳ﾘｽﾄ(4～3月)'!$D$26:$D$1006,$B48,'内訳ﾘｽﾄ(4～3月)'!I$26:I$1006)</f>
        <v>0</v>
      </c>
      <c r="G48" s="158">
        <f>SUMIF('内訳ﾘｽﾄ(4～3月)'!$D$26:$D$1006,$B48,'内訳ﾘｽﾄ(4～3月)'!J$26:J$1006)</f>
        <v>0</v>
      </c>
      <c r="H48" s="158">
        <f>SUMIF('内訳ﾘｽﾄ(4～3月)'!$D$26:$D$1006,$B48,'内訳ﾘｽﾄ(4～3月)'!K$26:K$1006)</f>
        <v>0</v>
      </c>
      <c r="I48" s="158">
        <f>SUMIF('内訳ﾘｽﾄ(4～3月)'!$D$26:$D$1006,$B48,'内訳ﾘｽﾄ(4～3月)'!L$26:L$1006)</f>
        <v>0</v>
      </c>
      <c r="J48" s="158">
        <f>SUMIF('内訳ﾘｽﾄ(4～3月)'!$D$26:$D$1006,$B48,'内訳ﾘｽﾄ(4～3月)'!M$26:M$1006)</f>
        <v>0</v>
      </c>
      <c r="K48" s="158">
        <f>SUMIF('内訳ﾘｽﾄ(4～3月)'!$D$26:$D$1006,$B48,'内訳ﾘｽﾄ(4～3月)'!N$26:N$1006)</f>
        <v>0</v>
      </c>
      <c r="L48" s="158">
        <f>SUMIF('内訳ﾘｽﾄ(4～3月)'!$D$26:$D$1006,$B48,'内訳ﾘｽﾄ(4～3月)'!O$26:O$1006)</f>
        <v>0</v>
      </c>
      <c r="M48" s="158">
        <f>SUMIF('内訳ﾘｽﾄ(4～3月)'!$D$26:$D$1006,$B48,'内訳ﾘｽﾄ(4～3月)'!P$26:P$1006)</f>
        <v>0</v>
      </c>
      <c r="N48" s="158">
        <f>SUMIF('内訳ﾘｽﾄ(4～3月)'!$D$26:$D$1006,$B48,'内訳ﾘｽﾄ(4～3月)'!Q$26:Q$1006)</f>
        <v>0</v>
      </c>
      <c r="O48" s="158">
        <f>SUMIF('内訳ﾘｽﾄ(4～3月)'!$D$26:$D$805,'採算表(VND)'!$B48,'内訳ﾘｽﾄ(4～3月)'!R$26:R$805)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SUMIF('内訳ﾘｽﾄ(4～3月)'!$D$26:$D$1006,$B49,'内訳ﾘｽﾄ(4～3月)'!F$26:F$1006)</f>
        <v>0</v>
      </c>
      <c r="D49" s="158">
        <f>SUMIF('内訳ﾘｽﾄ(4～3月)'!$D$26:$D$1006,$B49,'内訳ﾘｽﾄ(4～3月)'!G$26:G$1006)</f>
        <v>0</v>
      </c>
      <c r="E49" s="158">
        <f>SUMIF('内訳ﾘｽﾄ(4～3月)'!$D$26:$D$1006,$B49,'内訳ﾘｽﾄ(4～3月)'!H$26:H$1006)</f>
        <v>0</v>
      </c>
      <c r="F49" s="158">
        <f>SUMIF('内訳ﾘｽﾄ(4～3月)'!$D$26:$D$1006,$B49,'内訳ﾘｽﾄ(4～3月)'!I$26:I$1006)</f>
        <v>0</v>
      </c>
      <c r="G49" s="158">
        <f>SUMIF('内訳ﾘｽﾄ(4～3月)'!$D$26:$D$1006,$B49,'内訳ﾘｽﾄ(4～3月)'!J$26:J$1006)</f>
        <v>0</v>
      </c>
      <c r="H49" s="158">
        <f>SUMIF('内訳ﾘｽﾄ(4～3月)'!$D$26:$D$1006,$B49,'内訳ﾘｽﾄ(4～3月)'!K$26:K$1006)</f>
        <v>0</v>
      </c>
      <c r="I49" s="158">
        <f>SUMIF('内訳ﾘｽﾄ(4～3月)'!$D$26:$D$1006,$B49,'内訳ﾘｽﾄ(4～3月)'!L$26:L$1006)</f>
        <v>0</v>
      </c>
      <c r="J49" s="158">
        <f>SUMIF('内訳ﾘｽﾄ(4～3月)'!$D$26:$D$1006,$B49,'内訳ﾘｽﾄ(4～3月)'!M$26:M$1006)</f>
        <v>0</v>
      </c>
      <c r="K49" s="158">
        <f>SUMIF('内訳ﾘｽﾄ(4～3月)'!$D$26:$D$1006,$B49,'内訳ﾘｽﾄ(4～3月)'!N$26:N$1006)</f>
        <v>0</v>
      </c>
      <c r="L49" s="158">
        <f>SUMIF('内訳ﾘｽﾄ(4～3月)'!$D$26:$D$1006,$B49,'内訳ﾘｽﾄ(4～3月)'!O$26:O$1006)</f>
        <v>0</v>
      </c>
      <c r="M49" s="158">
        <f>SUMIF('内訳ﾘｽﾄ(4～3月)'!$D$26:$D$1006,$B49,'内訳ﾘｽﾄ(4～3月)'!P$26:P$1006)</f>
        <v>0</v>
      </c>
      <c r="N49" s="158">
        <f>SUMIF('内訳ﾘｽﾄ(4～3月)'!$D$26:$D$1006,$B49,'内訳ﾘｽﾄ(4～3月)'!Q$26:Q$1006)</f>
        <v>0</v>
      </c>
      <c r="O49" s="158">
        <f>SUMIF('内訳ﾘｽﾄ(4～3月)'!$D$26:$D$805,'採算表(VND)'!$B49,'内訳ﾘｽﾄ(4～3月)'!R$26:R$805)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SUMIF('内訳ﾘｽﾄ(4～3月)'!$D$26:$D$1006,$B50,'内訳ﾘｽﾄ(4～3月)'!F$26:F$1006)</f>
        <v>0</v>
      </c>
      <c r="D50" s="158">
        <f>SUMIF('内訳ﾘｽﾄ(4～3月)'!$D$26:$D$1006,$B50,'内訳ﾘｽﾄ(4～3月)'!G$26:G$1006)</f>
        <v>0</v>
      </c>
      <c r="E50" s="158">
        <f>SUMIF('内訳ﾘｽﾄ(4～3月)'!$D$26:$D$1006,$B50,'内訳ﾘｽﾄ(4～3月)'!H$26:H$1006)</f>
        <v>0</v>
      </c>
      <c r="F50" s="158">
        <f>SUMIF('内訳ﾘｽﾄ(4～3月)'!$D$26:$D$1006,$B50,'内訳ﾘｽﾄ(4～3月)'!I$26:I$1006)</f>
        <v>0</v>
      </c>
      <c r="G50" s="158">
        <f>SUMIF('内訳ﾘｽﾄ(4～3月)'!$D$26:$D$1006,$B50,'内訳ﾘｽﾄ(4～3月)'!J$26:J$1006)</f>
        <v>0</v>
      </c>
      <c r="H50" s="158">
        <f>SUMIF('内訳ﾘｽﾄ(4～3月)'!$D$26:$D$1006,$B50,'内訳ﾘｽﾄ(4～3月)'!K$26:K$1006)</f>
        <v>0</v>
      </c>
      <c r="I50" s="158">
        <f>SUMIF('内訳ﾘｽﾄ(4～3月)'!$D$26:$D$1006,$B50,'内訳ﾘｽﾄ(4～3月)'!L$26:L$1006)</f>
        <v>0</v>
      </c>
      <c r="J50" s="158">
        <f>SUMIF('内訳ﾘｽﾄ(4～3月)'!$D$26:$D$1006,$B50,'内訳ﾘｽﾄ(4～3月)'!M$26:M$1006)</f>
        <v>0</v>
      </c>
      <c r="K50" s="158">
        <f>SUMIF('内訳ﾘｽﾄ(4～3月)'!$D$26:$D$1006,$B50,'内訳ﾘｽﾄ(4～3月)'!N$26:N$1006)</f>
        <v>0</v>
      </c>
      <c r="L50" s="158">
        <f>SUMIF('内訳ﾘｽﾄ(4～3月)'!$D$26:$D$1006,$B50,'内訳ﾘｽﾄ(4～3月)'!O$26:O$1006)</f>
        <v>0</v>
      </c>
      <c r="M50" s="158">
        <f>SUMIF('内訳ﾘｽﾄ(4～3月)'!$D$26:$D$1006,$B50,'内訳ﾘｽﾄ(4～3月)'!P$26:P$1006)</f>
        <v>0</v>
      </c>
      <c r="N50" s="158">
        <f>SUMIF('内訳ﾘｽﾄ(4～3月)'!$D$26:$D$1006,$B50,'内訳ﾘｽﾄ(4～3月)'!Q$26:Q$1006)</f>
        <v>0</v>
      </c>
      <c r="O50" s="158">
        <f>SUMIF('内訳ﾘｽﾄ(4～3月)'!$D$26:$D$805,'採算表(VND)'!$B50,'内訳ﾘｽﾄ(4～3月)'!R$26:R$805)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SUMIF('内訳ﾘｽﾄ(4～3月)'!$D$26:$D$1006,$B51,'内訳ﾘｽﾄ(4～3月)'!F$26:F$1006)</f>
        <v>0</v>
      </c>
      <c r="D51" s="159">
        <f>SUMIF('内訳ﾘｽﾄ(4～3月)'!$D$26:$D$1006,$B51,'内訳ﾘｽﾄ(4～3月)'!G$26:G$1006)</f>
        <v>0</v>
      </c>
      <c r="E51" s="159">
        <f>SUMIF('内訳ﾘｽﾄ(4～3月)'!$D$26:$D$1006,$B51,'内訳ﾘｽﾄ(4～3月)'!H$26:H$1006)</f>
        <v>0</v>
      </c>
      <c r="F51" s="159">
        <f>SUMIF('内訳ﾘｽﾄ(4～3月)'!$D$26:$D$1006,$B51,'内訳ﾘｽﾄ(4～3月)'!I$26:I$1006)</f>
        <v>0</v>
      </c>
      <c r="G51" s="159">
        <f>SUMIF('内訳ﾘｽﾄ(4～3月)'!$D$26:$D$1006,$B51,'内訳ﾘｽﾄ(4～3月)'!J$26:J$1006)</f>
        <v>0</v>
      </c>
      <c r="H51" s="159">
        <f>SUMIF('内訳ﾘｽﾄ(4～3月)'!$D$26:$D$1006,$B51,'内訳ﾘｽﾄ(4～3月)'!K$26:K$1006)</f>
        <v>0</v>
      </c>
      <c r="I51" s="159">
        <f>SUMIF('内訳ﾘｽﾄ(4～3月)'!$D$26:$D$1006,$B51,'内訳ﾘｽﾄ(4～3月)'!L$26:L$1006)</f>
        <v>0</v>
      </c>
      <c r="J51" s="159">
        <f>SUMIF('内訳ﾘｽﾄ(4～3月)'!$D$26:$D$1006,$B51,'内訳ﾘｽﾄ(4～3月)'!M$26:M$1006)</f>
        <v>0</v>
      </c>
      <c r="K51" s="159">
        <f>SUMIF('内訳ﾘｽﾄ(4～3月)'!$D$26:$D$1006,$B51,'内訳ﾘｽﾄ(4～3月)'!N$26:N$1006)</f>
        <v>0</v>
      </c>
      <c r="L51" s="159">
        <f>SUMIF('内訳ﾘｽﾄ(4～3月)'!$D$26:$D$1006,$B51,'内訳ﾘｽﾄ(4～3月)'!O$26:O$1006)</f>
        <v>0</v>
      </c>
      <c r="M51" s="159">
        <f>SUMIF('内訳ﾘｽﾄ(4～3月)'!$D$26:$D$1006,$B51,'内訳ﾘｽﾄ(4～3月)'!P$26:P$1006)</f>
        <v>0</v>
      </c>
      <c r="N51" s="159">
        <f>SUMIF('内訳ﾘｽﾄ(4～3月)'!$D$26:$D$1006,$B51,'内訳ﾘｽﾄ(4～3月)'!Q$26:Q$1006)</f>
        <v>0</v>
      </c>
      <c r="O51" s="159">
        <f>SUMIF('内訳ﾘｽﾄ(4～3月)'!$D$26:$D$805,'採算表(VND)'!$B51,'内訳ﾘｽﾄ(4～3月)'!R$26:R$805)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SUMIF('内訳ﾘｽﾄ(4～3月)'!$D$26:$D$1006,$B52,'内訳ﾘｽﾄ(4～3月)'!F$26:F$1006)</f>
        <v>0</v>
      </c>
      <c r="D52" s="160">
        <f>SUMIF('内訳ﾘｽﾄ(4～3月)'!$D$26:$D$1006,$B52,'内訳ﾘｽﾄ(4～3月)'!G$26:G$1006)</f>
        <v>0</v>
      </c>
      <c r="E52" s="160">
        <f>SUMIF('内訳ﾘｽﾄ(4～3月)'!$D$26:$D$1006,$B52,'内訳ﾘｽﾄ(4～3月)'!H$26:H$1006)</f>
        <v>0</v>
      </c>
      <c r="F52" s="160">
        <f>SUMIF('内訳ﾘｽﾄ(4～3月)'!$D$26:$D$1006,$B52,'内訳ﾘｽﾄ(4～3月)'!I$26:I$1006)</f>
        <v>0</v>
      </c>
      <c r="G52" s="160">
        <f>SUMIF('内訳ﾘｽﾄ(4～3月)'!$D$26:$D$1006,$B52,'内訳ﾘｽﾄ(4～3月)'!J$26:J$1006)</f>
        <v>0</v>
      </c>
      <c r="H52" s="160">
        <f>SUMIF('内訳ﾘｽﾄ(4～3月)'!$D$26:$D$1006,$B52,'内訳ﾘｽﾄ(4～3月)'!K$26:K$1006)</f>
        <v>0</v>
      </c>
      <c r="I52" s="160">
        <f>SUMIF('内訳ﾘｽﾄ(4～3月)'!$D$26:$D$1006,$B52,'内訳ﾘｽﾄ(4～3月)'!L$26:L$1006)</f>
        <v>0</v>
      </c>
      <c r="J52" s="160">
        <f>SUMIF('内訳ﾘｽﾄ(4～3月)'!$D$26:$D$1006,$B52,'内訳ﾘｽﾄ(4～3月)'!M$26:M$1006)</f>
        <v>0</v>
      </c>
      <c r="K52" s="160">
        <f>SUMIF('内訳ﾘｽﾄ(4～3月)'!$D$26:$D$1006,$B52,'内訳ﾘｽﾄ(4～3月)'!N$26:N$1006)</f>
        <v>0</v>
      </c>
      <c r="L52" s="160">
        <f>SUMIF('内訳ﾘｽﾄ(4～3月)'!$D$26:$D$1006,$B52,'内訳ﾘｽﾄ(4～3月)'!O$26:O$1006)</f>
        <v>0</v>
      </c>
      <c r="M52" s="160">
        <f>SUMIF('内訳ﾘｽﾄ(4～3月)'!$D$26:$D$1006,$B52,'内訳ﾘｽﾄ(4～3月)'!P$26:P$1006)</f>
        <v>0</v>
      </c>
      <c r="N52" s="160">
        <f>SUMIF('内訳ﾘｽﾄ(4～3月)'!$D$26:$D$1006,$B52,'内訳ﾘｽﾄ(4～3月)'!Q$26:Q$1006)</f>
        <v>0</v>
      </c>
      <c r="O52" s="160">
        <f>SUMIF('内訳ﾘｽﾄ(4～3月)'!$D$26:$D$805,'採算表(VND)'!$B52,'内訳ﾘｽﾄ(4～3月)'!R$26:R$805)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SUMIF('内訳ﾘｽﾄ(4～3月)'!$D$26:$D$1006,$B53,'内訳ﾘｽﾄ(4～3月)'!F$26:F$1006)</f>
        <v>0</v>
      </c>
      <c r="D53" s="160">
        <f>SUMIF('内訳ﾘｽﾄ(4～3月)'!$D$26:$D$1006,$B53,'内訳ﾘｽﾄ(4～3月)'!G$26:G$1006)</f>
        <v>0</v>
      </c>
      <c r="E53" s="160">
        <f>SUMIF('内訳ﾘｽﾄ(4～3月)'!$D$26:$D$1006,$B53,'内訳ﾘｽﾄ(4～3月)'!H$26:H$1006)</f>
        <v>0</v>
      </c>
      <c r="F53" s="160">
        <f>SUMIF('内訳ﾘｽﾄ(4～3月)'!$D$26:$D$1006,$B53,'内訳ﾘｽﾄ(4～3月)'!I$26:I$1006)</f>
        <v>0</v>
      </c>
      <c r="G53" s="160">
        <f>SUMIF('内訳ﾘｽﾄ(4～3月)'!$D$26:$D$1006,$B53,'内訳ﾘｽﾄ(4～3月)'!J$26:J$1006)</f>
        <v>0</v>
      </c>
      <c r="H53" s="160">
        <f>SUMIF('内訳ﾘｽﾄ(4～3月)'!$D$26:$D$1006,$B53,'内訳ﾘｽﾄ(4～3月)'!K$26:K$1006)</f>
        <v>0</v>
      </c>
      <c r="I53" s="160">
        <f>SUMIF('内訳ﾘｽﾄ(4～3月)'!$D$26:$D$1006,$B53,'内訳ﾘｽﾄ(4～3月)'!L$26:L$1006)</f>
        <v>0</v>
      </c>
      <c r="J53" s="160">
        <f>SUMIF('内訳ﾘｽﾄ(4～3月)'!$D$26:$D$1006,$B53,'内訳ﾘｽﾄ(4～3月)'!M$26:M$1006)</f>
        <v>0</v>
      </c>
      <c r="K53" s="160">
        <f>SUMIF('内訳ﾘｽﾄ(4～3月)'!$D$26:$D$1006,$B53,'内訳ﾘｽﾄ(4～3月)'!N$26:N$1006)</f>
        <v>0</v>
      </c>
      <c r="L53" s="160">
        <f>SUMIF('内訳ﾘｽﾄ(4～3月)'!$D$26:$D$1006,$B53,'内訳ﾘｽﾄ(4～3月)'!O$26:O$1006)</f>
        <v>0</v>
      </c>
      <c r="M53" s="160">
        <f>SUMIF('内訳ﾘｽﾄ(4～3月)'!$D$26:$D$1006,$B53,'内訳ﾘｽﾄ(4～3月)'!P$26:P$1006)</f>
        <v>0</v>
      </c>
      <c r="N53" s="160">
        <f>SUMIF('内訳ﾘｽﾄ(4～3月)'!$D$26:$D$1006,$B53,'内訳ﾘｽﾄ(4～3月)'!Q$26:Q$1006)</f>
        <v>0</v>
      </c>
      <c r="O53" s="160">
        <f>SUMIF('内訳ﾘｽﾄ(4～3月)'!$D$26:$D$805,'採算表(VND)'!$B53,'内訳ﾘｽﾄ(4～3月)'!R$26:R$805)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SUMIF('内訳ﾘｽﾄ(4～3月)'!$D$26:$D$1006,$B54,'内訳ﾘｽﾄ(4～3月)'!F$26:F$1006)</f>
        <v>0</v>
      </c>
      <c r="D54" s="160">
        <f>SUMIF('内訳ﾘｽﾄ(4～3月)'!$D$26:$D$1006,$B54,'内訳ﾘｽﾄ(4～3月)'!G$26:G$1006)</f>
        <v>0</v>
      </c>
      <c r="E54" s="160">
        <f>SUMIF('内訳ﾘｽﾄ(4～3月)'!$D$26:$D$1006,$B54,'内訳ﾘｽﾄ(4～3月)'!H$26:H$1006)</f>
        <v>0</v>
      </c>
      <c r="F54" s="160">
        <f>SUMIF('内訳ﾘｽﾄ(4～3月)'!$D$26:$D$1006,$B54,'内訳ﾘｽﾄ(4～3月)'!I$26:I$1006)</f>
        <v>0</v>
      </c>
      <c r="G54" s="160">
        <f>SUMIF('内訳ﾘｽﾄ(4～3月)'!$D$26:$D$1006,$B54,'内訳ﾘｽﾄ(4～3月)'!J$26:J$1006)</f>
        <v>0</v>
      </c>
      <c r="H54" s="160">
        <f>SUMIF('内訳ﾘｽﾄ(4～3月)'!$D$26:$D$1006,$B54,'内訳ﾘｽﾄ(4～3月)'!K$26:K$1006)</f>
        <v>0</v>
      </c>
      <c r="I54" s="160">
        <f>SUMIF('内訳ﾘｽﾄ(4～3月)'!$D$26:$D$1006,$B54,'内訳ﾘｽﾄ(4～3月)'!L$26:L$1006)</f>
        <v>0</v>
      </c>
      <c r="J54" s="160">
        <f>SUMIF('内訳ﾘｽﾄ(4～3月)'!$D$26:$D$1006,$B54,'内訳ﾘｽﾄ(4～3月)'!M$26:M$1006)</f>
        <v>0</v>
      </c>
      <c r="K54" s="160">
        <f>SUMIF('内訳ﾘｽﾄ(4～3月)'!$D$26:$D$1006,$B54,'内訳ﾘｽﾄ(4～3月)'!N$26:N$1006)</f>
        <v>0</v>
      </c>
      <c r="L54" s="160">
        <f>SUMIF('内訳ﾘｽﾄ(4～3月)'!$D$26:$D$1006,$B54,'内訳ﾘｽﾄ(4～3月)'!O$26:O$1006)</f>
        <v>0</v>
      </c>
      <c r="M54" s="160">
        <f>SUMIF('内訳ﾘｽﾄ(4～3月)'!$D$26:$D$1006,$B54,'内訳ﾘｽﾄ(4～3月)'!P$26:P$1006)</f>
        <v>0</v>
      </c>
      <c r="N54" s="160">
        <f>SUMIF('内訳ﾘｽﾄ(4～3月)'!$D$26:$D$1006,$B54,'内訳ﾘｽﾄ(4～3月)'!Q$26:Q$1006)</f>
        <v>0</v>
      </c>
      <c r="O54" s="160">
        <f>SUMIF('内訳ﾘｽﾄ(4～3月)'!$D$26:$D$805,'採算表(VND)'!$B54,'内訳ﾘｽﾄ(4～3月)'!R$26:R$805)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SUMIF('内訳ﾘｽﾄ(4～3月)'!$D$26:$D$1006,$B55,'内訳ﾘｽﾄ(4～3月)'!F$26:F$1006)</f>
        <v>0</v>
      </c>
      <c r="D55" s="160">
        <f>SUMIF('内訳ﾘｽﾄ(4～3月)'!$D$26:$D$1006,$B55,'内訳ﾘｽﾄ(4～3月)'!G$26:G$1006)</f>
        <v>0</v>
      </c>
      <c r="E55" s="160">
        <f>SUMIF('内訳ﾘｽﾄ(4～3月)'!$D$26:$D$1006,$B55,'内訳ﾘｽﾄ(4～3月)'!H$26:H$1006)</f>
        <v>0</v>
      </c>
      <c r="F55" s="160">
        <f>SUMIF('内訳ﾘｽﾄ(4～3月)'!$D$26:$D$1006,$B55,'内訳ﾘｽﾄ(4～3月)'!I$26:I$1006)</f>
        <v>0</v>
      </c>
      <c r="G55" s="160">
        <f>SUMIF('内訳ﾘｽﾄ(4～3月)'!$D$26:$D$1006,$B55,'内訳ﾘｽﾄ(4～3月)'!J$26:J$1006)</f>
        <v>0</v>
      </c>
      <c r="H55" s="160">
        <f>SUMIF('内訳ﾘｽﾄ(4～3月)'!$D$26:$D$1006,$B55,'内訳ﾘｽﾄ(4～3月)'!K$26:K$1006)</f>
        <v>0</v>
      </c>
      <c r="I55" s="160">
        <f>SUMIF('内訳ﾘｽﾄ(4～3月)'!$D$26:$D$1006,$B55,'内訳ﾘｽﾄ(4～3月)'!L$26:L$1006)</f>
        <v>0</v>
      </c>
      <c r="J55" s="160">
        <f>SUMIF('内訳ﾘｽﾄ(4～3月)'!$D$26:$D$1006,$B55,'内訳ﾘｽﾄ(4～3月)'!M$26:M$1006)</f>
        <v>0</v>
      </c>
      <c r="K55" s="160">
        <f>SUMIF('内訳ﾘｽﾄ(4～3月)'!$D$26:$D$1006,$B55,'内訳ﾘｽﾄ(4～3月)'!N$26:N$1006)</f>
        <v>0</v>
      </c>
      <c r="L55" s="160">
        <f>SUMIF('内訳ﾘｽﾄ(4～3月)'!$D$26:$D$1006,$B55,'内訳ﾘｽﾄ(4～3月)'!O$26:O$1006)</f>
        <v>0</v>
      </c>
      <c r="M55" s="160">
        <f>SUMIF('内訳ﾘｽﾄ(4～3月)'!$D$26:$D$1006,$B55,'内訳ﾘｽﾄ(4～3月)'!P$26:P$1006)</f>
        <v>0</v>
      </c>
      <c r="N55" s="160">
        <f>SUMIF('内訳ﾘｽﾄ(4～3月)'!$D$26:$D$1006,$B55,'内訳ﾘｽﾄ(4～3月)'!Q$26:Q$1006)</f>
        <v>0</v>
      </c>
      <c r="O55" s="160">
        <f>SUMIF('内訳ﾘｽﾄ(4～3月)'!$D$26:$D$805,'採算表(VND)'!$B55,'内訳ﾘｽﾄ(4～3月)'!R$26:R$805)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SUMIF('内訳ﾘｽﾄ(4～3月)'!$D$26:$D$1006,$B56,'内訳ﾘｽﾄ(4～3月)'!F$26:F$1006)</f>
        <v>0</v>
      </c>
      <c r="D56" s="160">
        <f>SUMIF('内訳ﾘｽﾄ(4～3月)'!$D$26:$D$1006,$B56,'内訳ﾘｽﾄ(4～3月)'!G$26:G$1006)</f>
        <v>0</v>
      </c>
      <c r="E56" s="160">
        <f>SUMIF('内訳ﾘｽﾄ(4～3月)'!$D$26:$D$1006,$B56,'内訳ﾘｽﾄ(4～3月)'!H$26:H$1006)</f>
        <v>0</v>
      </c>
      <c r="F56" s="160">
        <f>SUMIF('内訳ﾘｽﾄ(4～3月)'!$D$26:$D$1006,$B56,'内訳ﾘｽﾄ(4～3月)'!I$26:I$1006)</f>
        <v>0</v>
      </c>
      <c r="G56" s="160">
        <f>SUMIF('内訳ﾘｽﾄ(4～3月)'!$D$26:$D$1006,$B56,'内訳ﾘｽﾄ(4～3月)'!J$26:J$1006)</f>
        <v>0</v>
      </c>
      <c r="H56" s="160">
        <f>SUMIF('内訳ﾘｽﾄ(4～3月)'!$D$26:$D$1006,$B56,'内訳ﾘｽﾄ(4～3月)'!K$26:K$1006)</f>
        <v>0</v>
      </c>
      <c r="I56" s="160">
        <f>SUMIF('内訳ﾘｽﾄ(4～3月)'!$D$26:$D$1006,$B56,'内訳ﾘｽﾄ(4～3月)'!L$26:L$1006)</f>
        <v>0</v>
      </c>
      <c r="J56" s="160">
        <f>SUMIF('内訳ﾘｽﾄ(4～3月)'!$D$26:$D$1006,$B56,'内訳ﾘｽﾄ(4～3月)'!M$26:M$1006)</f>
        <v>0</v>
      </c>
      <c r="K56" s="160">
        <f>SUMIF('内訳ﾘｽﾄ(4～3月)'!$D$26:$D$1006,$B56,'内訳ﾘｽﾄ(4～3月)'!N$26:N$1006)</f>
        <v>0</v>
      </c>
      <c r="L56" s="160">
        <f>SUMIF('内訳ﾘｽﾄ(4～3月)'!$D$26:$D$1006,$B56,'内訳ﾘｽﾄ(4～3月)'!O$26:O$1006)</f>
        <v>0</v>
      </c>
      <c r="M56" s="160">
        <f>SUMIF('内訳ﾘｽﾄ(4～3月)'!$D$26:$D$1006,$B56,'内訳ﾘｽﾄ(4～3月)'!P$26:P$1006)</f>
        <v>0</v>
      </c>
      <c r="N56" s="160">
        <f>SUMIF('内訳ﾘｽﾄ(4～3月)'!$D$26:$D$1006,$B56,'内訳ﾘｽﾄ(4～3月)'!Q$26:Q$1006)</f>
        <v>0</v>
      </c>
      <c r="O56" s="160">
        <f>SUMIF('内訳ﾘｽﾄ(4～3月)'!$D$26:$D$805,'採算表(VND)'!$B56,'内訳ﾘｽﾄ(4～3月)'!R$26:R$805)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SUMIF('内訳ﾘｽﾄ(4～3月)'!$D$26:$D$1006,$B57,'内訳ﾘｽﾄ(4～3月)'!F$26:F$1006)</f>
        <v>0</v>
      </c>
      <c r="D57" s="160">
        <f>SUMIF('内訳ﾘｽﾄ(4～3月)'!$D$26:$D$1006,$B57,'内訳ﾘｽﾄ(4～3月)'!G$26:G$1006)</f>
        <v>0</v>
      </c>
      <c r="E57" s="160">
        <f>SUMIF('内訳ﾘｽﾄ(4～3月)'!$D$26:$D$1006,$B57,'内訳ﾘｽﾄ(4～3月)'!H$26:H$1006)</f>
        <v>0</v>
      </c>
      <c r="F57" s="160">
        <f>SUMIF('内訳ﾘｽﾄ(4～3月)'!$D$26:$D$1006,$B57,'内訳ﾘｽﾄ(4～3月)'!I$26:I$1006)</f>
        <v>0</v>
      </c>
      <c r="G57" s="160">
        <f>SUMIF('内訳ﾘｽﾄ(4～3月)'!$D$26:$D$1006,$B57,'内訳ﾘｽﾄ(4～3月)'!J$26:J$1006)</f>
        <v>17133680</v>
      </c>
      <c r="H57" s="160">
        <f>SUMIF('内訳ﾘｽﾄ(4～3月)'!$D$26:$D$1006,$B57,'内訳ﾘｽﾄ(4～3月)'!K$26:K$1006)</f>
        <v>16722362</v>
      </c>
      <c r="I57" s="160">
        <f>SUMIF('内訳ﾘｽﾄ(4～3月)'!$D$26:$D$1006,$B57,'内訳ﾘｽﾄ(4～3月)'!L$26:L$1006)</f>
        <v>16229796</v>
      </c>
      <c r="J57" s="160">
        <f>SUMIF('内訳ﾘｽﾄ(4～3月)'!$D$26:$D$1006,$B57,'内訳ﾘｽﾄ(4～3月)'!M$26:M$1006)</f>
        <v>16195519</v>
      </c>
      <c r="K57" s="160">
        <f>SUMIF('内訳ﾘｽﾄ(4～3月)'!$D$26:$D$1006,$B57,'内訳ﾘｽﾄ(4～3月)'!N$26:N$1006)</f>
        <v>16220655</v>
      </c>
      <c r="L57" s="160">
        <f>SUMIF('内訳ﾘｽﾄ(4～3月)'!$D$26:$D$1006,$B57,'内訳ﾘｽﾄ(4～3月)'!O$26:O$1006)</f>
        <v>16078218</v>
      </c>
      <c r="M57" s="160">
        <f>SUMIF('内訳ﾘｽﾄ(4～3月)'!$D$26:$D$1006,$B57,'内訳ﾘｽﾄ(4～3月)'!P$26:P$1006)</f>
        <v>16155911</v>
      </c>
      <c r="N57" s="160">
        <f>SUMIF('内訳ﾘｽﾄ(4～3月)'!$D$26:$D$1006,$B57,'内訳ﾘｽﾄ(4～3月)'!Q$26:Q$1006)</f>
        <v>16431393</v>
      </c>
      <c r="O57" s="160">
        <f>SUMIF('内訳ﾘｽﾄ(4～3月)'!$D$26:$D$805,'採算表(VND)'!$B57,'内訳ﾘｽﾄ(4～3月)'!R$26:R$805)</f>
        <v>131167534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SUMIF('内訳ﾘｽﾄ(4～3月)'!$D$26:$D$1006,$B58,'内訳ﾘｽﾄ(4～3月)'!F$26:F$1006)</f>
        <v>0</v>
      </c>
      <c r="D58" s="160">
        <f>SUMIF('内訳ﾘｽﾄ(4～3月)'!$D$26:$D$1006,$B58,'内訳ﾘｽﾄ(4～3月)'!G$26:G$1006)</f>
        <v>0</v>
      </c>
      <c r="E58" s="160">
        <f>SUMIF('内訳ﾘｽﾄ(4～3月)'!$D$26:$D$1006,$B58,'内訳ﾘｽﾄ(4～3月)'!H$26:H$1006)</f>
        <v>0</v>
      </c>
      <c r="F58" s="160">
        <f>SUMIF('内訳ﾘｽﾄ(4～3月)'!$D$26:$D$1006,$B58,'内訳ﾘｽﾄ(4～3月)'!I$26:I$1006)</f>
        <v>0</v>
      </c>
      <c r="G58" s="160">
        <f>SUMIF('内訳ﾘｽﾄ(4～3月)'!$D$26:$D$1006,$B58,'内訳ﾘｽﾄ(4～3月)'!J$26:J$1006)</f>
        <v>0</v>
      </c>
      <c r="H58" s="160">
        <f>SUMIF('内訳ﾘｽﾄ(4～3月)'!$D$26:$D$1006,$B58,'内訳ﾘｽﾄ(4～3月)'!K$26:K$1006)</f>
        <v>0</v>
      </c>
      <c r="I58" s="160">
        <f>SUMIF('内訳ﾘｽﾄ(4～3月)'!$D$26:$D$1006,$B58,'内訳ﾘｽﾄ(4～3月)'!L$26:L$1006)</f>
        <v>0</v>
      </c>
      <c r="J58" s="160">
        <f>SUMIF('内訳ﾘｽﾄ(4～3月)'!$D$26:$D$1006,$B58,'内訳ﾘｽﾄ(4～3月)'!M$26:M$1006)</f>
        <v>0</v>
      </c>
      <c r="K58" s="160">
        <f>SUMIF('内訳ﾘｽﾄ(4～3月)'!$D$26:$D$1006,$B58,'内訳ﾘｽﾄ(4～3月)'!N$26:N$1006)</f>
        <v>0</v>
      </c>
      <c r="L58" s="160">
        <f>SUMIF('内訳ﾘｽﾄ(4～3月)'!$D$26:$D$1006,$B58,'内訳ﾘｽﾄ(4～3月)'!O$26:O$1006)</f>
        <v>0</v>
      </c>
      <c r="M58" s="160">
        <f>SUMIF('内訳ﾘｽﾄ(4～3月)'!$D$26:$D$1006,$B58,'内訳ﾘｽﾄ(4～3月)'!P$26:P$1006)</f>
        <v>0</v>
      </c>
      <c r="N58" s="160">
        <f>SUMIF('内訳ﾘｽﾄ(4～3月)'!$D$26:$D$1006,$B58,'内訳ﾘｽﾄ(4～3月)'!Q$26:Q$1006)</f>
        <v>0</v>
      </c>
      <c r="O58" s="160">
        <f>SUMIF('内訳ﾘｽﾄ(4～3月)'!$D$26:$D$805,'採算表(VND)'!$B58,'内訳ﾘｽﾄ(4～3月)'!R$26:R$805)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SUMIF('内訳ﾘｽﾄ(4～3月)'!$D$26:$D$1006,$B59,'内訳ﾘｽﾄ(4～3月)'!F$26:F$1006)</f>
        <v>0</v>
      </c>
      <c r="D59" s="160">
        <f>SUMIF('内訳ﾘｽﾄ(4～3月)'!$D$26:$D$1006,$B59,'内訳ﾘｽﾄ(4～3月)'!G$26:G$1006)</f>
        <v>0</v>
      </c>
      <c r="E59" s="160">
        <f>SUMIF('内訳ﾘｽﾄ(4～3月)'!$D$26:$D$1006,$B59,'内訳ﾘｽﾄ(4～3月)'!H$26:H$1006)</f>
        <v>0</v>
      </c>
      <c r="F59" s="160">
        <f>SUMIF('内訳ﾘｽﾄ(4～3月)'!$D$26:$D$1006,$B59,'内訳ﾘｽﾄ(4～3月)'!I$26:I$1006)</f>
        <v>0</v>
      </c>
      <c r="G59" s="160">
        <f>SUMIF('内訳ﾘｽﾄ(4～3月)'!$D$26:$D$1006,$B59,'内訳ﾘｽﾄ(4～3月)'!J$26:J$1006)</f>
        <v>0</v>
      </c>
      <c r="H59" s="160">
        <f>SUMIF('内訳ﾘｽﾄ(4～3月)'!$D$26:$D$1006,$B59,'内訳ﾘｽﾄ(4～3月)'!K$26:K$1006)</f>
        <v>0</v>
      </c>
      <c r="I59" s="160">
        <f>SUMIF('内訳ﾘｽﾄ(4～3月)'!$D$26:$D$1006,$B59,'内訳ﾘｽﾄ(4～3月)'!L$26:L$1006)</f>
        <v>0</v>
      </c>
      <c r="J59" s="160">
        <f>SUMIF('内訳ﾘｽﾄ(4～3月)'!$D$26:$D$1006,$B59,'内訳ﾘｽﾄ(4～3月)'!M$26:M$1006)</f>
        <v>0</v>
      </c>
      <c r="K59" s="160">
        <f>SUMIF('内訳ﾘｽﾄ(4～3月)'!$D$26:$D$1006,$B59,'内訳ﾘｽﾄ(4～3月)'!N$26:N$1006)</f>
        <v>0</v>
      </c>
      <c r="L59" s="160">
        <f>SUMIF('内訳ﾘｽﾄ(4～3月)'!$D$26:$D$1006,$B59,'内訳ﾘｽﾄ(4～3月)'!O$26:O$1006)</f>
        <v>0</v>
      </c>
      <c r="M59" s="160">
        <f>SUMIF('内訳ﾘｽﾄ(4～3月)'!$D$26:$D$1006,$B59,'内訳ﾘｽﾄ(4～3月)'!P$26:P$1006)</f>
        <v>0</v>
      </c>
      <c r="N59" s="160">
        <f>SUMIF('内訳ﾘｽﾄ(4～3月)'!$D$26:$D$1006,$B59,'内訳ﾘｽﾄ(4～3月)'!Q$26:Q$1006)</f>
        <v>0</v>
      </c>
      <c r="O59" s="160">
        <f>SUMIF('内訳ﾘｽﾄ(4～3月)'!$D$26:$D$805,'採算表(VND)'!$B59,'内訳ﾘｽﾄ(4～3月)'!R$26:R$805)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SUMIF('内訳ﾘｽﾄ(4～3月)'!$D$26:$D$1006,$B60,'内訳ﾘｽﾄ(4～3月)'!F$26:F$1006)</f>
        <v>0</v>
      </c>
      <c r="D60" s="160">
        <f>SUMIF('内訳ﾘｽﾄ(4～3月)'!$D$26:$D$1006,$B60,'内訳ﾘｽﾄ(4～3月)'!G$26:G$1006)</f>
        <v>0</v>
      </c>
      <c r="E60" s="160">
        <f>SUMIF('内訳ﾘｽﾄ(4～3月)'!$D$26:$D$1006,$B60,'内訳ﾘｽﾄ(4～3月)'!H$26:H$1006)</f>
        <v>0</v>
      </c>
      <c r="F60" s="160">
        <f>SUMIF('内訳ﾘｽﾄ(4～3月)'!$D$26:$D$1006,$B60,'内訳ﾘｽﾄ(4～3月)'!I$26:I$1006)</f>
        <v>0</v>
      </c>
      <c r="G60" s="160">
        <f>SUMIF('内訳ﾘｽﾄ(4～3月)'!$D$26:$D$1006,$B60,'内訳ﾘｽﾄ(4～3月)'!J$26:J$1006)</f>
        <v>0</v>
      </c>
      <c r="H60" s="160">
        <f>SUMIF('内訳ﾘｽﾄ(4～3月)'!$D$26:$D$1006,$B60,'内訳ﾘｽﾄ(4～3月)'!K$26:K$1006)</f>
        <v>0</v>
      </c>
      <c r="I60" s="160">
        <f>SUMIF('内訳ﾘｽﾄ(4～3月)'!$D$26:$D$1006,$B60,'内訳ﾘｽﾄ(4～3月)'!L$26:L$1006)</f>
        <v>0</v>
      </c>
      <c r="J60" s="160">
        <f>SUMIF('内訳ﾘｽﾄ(4～3月)'!$D$26:$D$1006,$B60,'内訳ﾘｽﾄ(4～3月)'!M$26:M$1006)</f>
        <v>0</v>
      </c>
      <c r="K60" s="160">
        <f>SUMIF('内訳ﾘｽﾄ(4～3月)'!$D$26:$D$1006,$B60,'内訳ﾘｽﾄ(4～3月)'!N$26:N$1006)</f>
        <v>0</v>
      </c>
      <c r="L60" s="160">
        <f>SUMIF('内訳ﾘｽﾄ(4～3月)'!$D$26:$D$1006,$B60,'内訳ﾘｽﾄ(4～3月)'!O$26:O$1006)</f>
        <v>0</v>
      </c>
      <c r="M60" s="160">
        <f>SUMIF('内訳ﾘｽﾄ(4～3月)'!$D$26:$D$1006,$B60,'内訳ﾘｽﾄ(4～3月)'!P$26:P$1006)</f>
        <v>0</v>
      </c>
      <c r="N60" s="160">
        <f>SUMIF('内訳ﾘｽﾄ(4～3月)'!$D$26:$D$1006,$B60,'内訳ﾘｽﾄ(4～3月)'!Q$26:Q$1006)</f>
        <v>0</v>
      </c>
      <c r="O60" s="160">
        <f>SUMIF('内訳ﾘｽﾄ(4～3月)'!$D$26:$D$805,'採算表(VND)'!$B60,'内訳ﾘｽﾄ(4～3月)'!R$26:R$805)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IF('内訳ﾘｽﾄ(4～3月)'!$D$5="製造",SUMIF('内訳ﾘｽﾄ(4～3月)'!$D$26:$D$1006,$B61,'内訳ﾘｽﾄ(4～3月)'!F$26:F$1006),IF('内訳ﾘｽﾄ(4～3月)'!$D$5="部内間接",-SUM(C$14:C$60,C$65),0))</f>
        <v>0</v>
      </c>
      <c r="D61" s="160">
        <f>IF('内訳ﾘｽﾄ(4～3月)'!$D$5="製造",SUMIF('内訳ﾘｽﾄ(4～3月)'!$D$26:$D$1006,$B61,'内訳ﾘｽﾄ(4～3月)'!G$26:G$1006),IF('内訳ﾘｽﾄ(4～3月)'!$D$5="部内間接",-SUM(D$14:D$60,D$65),0))</f>
        <v>0</v>
      </c>
      <c r="E61" s="160">
        <f>IF('内訳ﾘｽﾄ(4～3月)'!$D$5="製造",SUMIF('内訳ﾘｽﾄ(4～3月)'!$D$26:$D$1006,$B61,'内訳ﾘｽﾄ(4～3月)'!H$26:H$1006),IF('内訳ﾘｽﾄ(4～3月)'!$D$5="部内間接",-SUM(E$14:E$60,E$65),0))</f>
        <v>0</v>
      </c>
      <c r="F61" s="160">
        <f>IF('内訳ﾘｽﾄ(4～3月)'!$D$5="製造",SUMIF('内訳ﾘｽﾄ(4～3月)'!$D$26:$D$1006,$B61,'内訳ﾘｽﾄ(4～3月)'!I$26:I$1006),IF('内訳ﾘｽﾄ(4～3月)'!$D$5="部内間接",-SUM(F$14:F$60,F$65),0))</f>
        <v>-18971000</v>
      </c>
      <c r="G61" s="160">
        <f>IF('内訳ﾘｽﾄ(4～3月)'!$D$5="製造",SUMIF('内訳ﾘｽﾄ(4～3月)'!$D$26:$D$1006,$B61,'内訳ﾘｽﾄ(4～3月)'!J$26:J$1006),IF('内訳ﾘｽﾄ(4～3月)'!$D$5="部内間接",-SUM(G$14:G$60,G$65),0))</f>
        <v>-164672746</v>
      </c>
      <c r="H61" s="160">
        <f>IF('内訳ﾘｽﾄ(4～3月)'!$D$5="製造",SUMIF('内訳ﾘｽﾄ(4～3月)'!$D$26:$D$1006,$B61,'内訳ﾘｽﾄ(4～3月)'!K$26:K$1006),IF('内訳ﾘｽﾄ(4～3月)'!$D$5="部内間接",-SUM(H$14:H$60,H$65),0))</f>
        <v>-162850672</v>
      </c>
      <c r="I61" s="160">
        <f>IF('内訳ﾘｽﾄ(4～3月)'!$D$5="製造",SUMIF('内訳ﾘｽﾄ(4～3月)'!$D$26:$D$1006,$B61,'内訳ﾘｽﾄ(4～3月)'!L$26:L$1006),IF('内訳ﾘｽﾄ(4～3月)'!$D$5="部内間接",-SUM(I$14:I$60,I$65),0))</f>
        <v>-153362111</v>
      </c>
      <c r="J61" s="160">
        <f>IF('内訳ﾘｽﾄ(4～3月)'!$D$5="製造",SUMIF('内訳ﾘｽﾄ(4～3月)'!$D$26:$D$1006,$B61,'内訳ﾘｽﾄ(4～3月)'!M$26:M$1006),IF('内訳ﾘｽﾄ(4～3月)'!$D$5="部内間接",-SUM(J$14:J$60,J$65),0))</f>
        <v>-134720099</v>
      </c>
      <c r="K61" s="160">
        <f>IF('内訳ﾘｽﾄ(4～3月)'!$D$5="製造",SUMIF('内訳ﾘｽﾄ(4～3月)'!$D$26:$D$1006,$B61,'内訳ﾘｽﾄ(4～3月)'!N$26:N$1006),IF('内訳ﾘｽﾄ(4～3月)'!$D$5="部内間接",-SUM(K$14:K$60,K$65),0))</f>
        <v>-173301949</v>
      </c>
      <c r="L61" s="160">
        <f>IF('内訳ﾘｽﾄ(4～3月)'!$D$5="製造",SUMIF('内訳ﾘｽﾄ(4～3月)'!$D$26:$D$1006,$B61,'内訳ﾘｽﾄ(4～3月)'!O$26:O$1006),IF('内訳ﾘｽﾄ(4～3月)'!$D$5="部内間接",-SUM(L$14:L$60,L$65),0))</f>
        <v>-134330967</v>
      </c>
      <c r="M61" s="160">
        <f>IF('内訳ﾘｽﾄ(4～3月)'!$D$5="製造",SUMIF('内訳ﾘｽﾄ(4～3月)'!$D$26:$D$1006,$B61,'内訳ﾘｽﾄ(4～3月)'!P$26:P$1006),IF('内訳ﾘｽﾄ(4～3月)'!$D$5="部内間接",-SUM(M$14:M$60,M$65),0))</f>
        <v>-171034566</v>
      </c>
      <c r="N61" s="160">
        <f>IF('内訳ﾘｽﾄ(4～3月)'!$D$5="製造",SUMIF('内訳ﾘｽﾄ(4～3月)'!$D$26:$D$1006,$B61,'内訳ﾘｽﾄ(4～3月)'!Q$26:Q$1006),IF('内訳ﾘｽﾄ(4～3月)'!$D$5="部内間接",-SUM(N$14:N$60,N$65),0))</f>
        <v>-118016703</v>
      </c>
      <c r="O61" s="160">
        <f>IF('内訳ﾘｽﾄ(4～3月)'!$D$5="部内間接",-SUM(O$65,O$14:O$60),IF('内訳ﾘｽﾄ(4～3月)'!$D$5="製造",SUMIF('内訳ﾘｽﾄ(4～3月)'!$D$26:$D$805,'採算表(VND)'!$B61,'内訳ﾘｽﾄ(4～3月)'!R$26:R$805),0))</f>
        <v>-1231260813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IF('内訳ﾘｽﾄ(4～3月)'!$D$5="製造",SUMIF('内訳ﾘｽﾄ(4～3月)'!$D$26:$D$1006,$B62,'内訳ﾘｽﾄ(4～3月)'!F$26:F$1006),IF('内訳ﾘｽﾄ(4～3月)'!$D$5="部外間接1",-SUM(C$14:C$60,C$65),0))</f>
        <v>0</v>
      </c>
      <c r="D62" s="160">
        <f>IF('内訳ﾘｽﾄ(4～3月)'!$D$5="製造",SUMIF('内訳ﾘｽﾄ(4～3月)'!$D$26:$D$1006,$B62,'内訳ﾘｽﾄ(4～3月)'!G$26:G$1006),IF('内訳ﾘｽﾄ(4～3月)'!$D$5="部外間接1",-SUM(D$14:D$60,D$65),0))</f>
        <v>0</v>
      </c>
      <c r="E62" s="160">
        <f>IF('内訳ﾘｽﾄ(4～3月)'!$D$5="製造",SUMIF('内訳ﾘｽﾄ(4～3月)'!$D$26:$D$1006,$B62,'内訳ﾘｽﾄ(4～3月)'!H$26:H$1006),IF('内訳ﾘｽﾄ(4～3月)'!$D$5="部外間接1",-SUM(E$14:E$60,E$65),0))</f>
        <v>0</v>
      </c>
      <c r="F62" s="160">
        <f>IF('内訳ﾘｽﾄ(4～3月)'!$D$5="製造",SUMIF('内訳ﾘｽﾄ(4～3月)'!$D$26:$D$1006,$B62,'内訳ﾘｽﾄ(4～3月)'!I$26:I$1006),IF('内訳ﾘｽﾄ(4～3月)'!$D$5="部外間接1",-SUM(F$14:F$60,F$65),0))</f>
        <v>0</v>
      </c>
      <c r="G62" s="160">
        <f>IF('内訳ﾘｽﾄ(4～3月)'!$D$5="製造",SUMIF('内訳ﾘｽﾄ(4～3月)'!$D$26:$D$1006,$B62,'内訳ﾘｽﾄ(4～3月)'!J$26:J$1006),IF('内訳ﾘｽﾄ(4～3月)'!$D$5="部外間接1",-SUM(G$14:G$60,G$65),0))</f>
        <v>0</v>
      </c>
      <c r="H62" s="160">
        <f>IF('内訳ﾘｽﾄ(4～3月)'!$D$5="製造",SUMIF('内訳ﾘｽﾄ(4～3月)'!$D$26:$D$1006,$B62,'内訳ﾘｽﾄ(4～3月)'!K$26:K$1006),IF('内訳ﾘｽﾄ(4～3月)'!$D$5="部外間接1",-SUM(H$14:H$60,H$65),0))</f>
        <v>0</v>
      </c>
      <c r="I62" s="160">
        <f>IF('内訳ﾘｽﾄ(4～3月)'!$D$5="製造",SUMIF('内訳ﾘｽﾄ(4～3月)'!$D$26:$D$1006,$B62,'内訳ﾘｽﾄ(4～3月)'!L$26:L$1006),IF('内訳ﾘｽﾄ(4～3月)'!$D$5="部外間接1",-SUM(I$14:I$60,I$65),0))</f>
        <v>0</v>
      </c>
      <c r="J62" s="160">
        <f>IF('内訳ﾘｽﾄ(4～3月)'!$D$5="製造",SUMIF('内訳ﾘｽﾄ(4～3月)'!$D$26:$D$1006,$B62,'内訳ﾘｽﾄ(4～3月)'!M$26:M$1006),IF('内訳ﾘｽﾄ(4～3月)'!$D$5="部外間接1",-SUM(J$14:J$60,J$65),0))</f>
        <v>0</v>
      </c>
      <c r="K62" s="160">
        <f>IF('内訳ﾘｽﾄ(4～3月)'!$D$5="製造",SUMIF('内訳ﾘｽﾄ(4～3月)'!$D$26:$D$1006,$B62,'内訳ﾘｽﾄ(4～3月)'!N$26:N$1006),IF('内訳ﾘｽﾄ(4～3月)'!$D$5="部外間接1",-SUM(K$14:K$60,K$65),0))</f>
        <v>0</v>
      </c>
      <c r="L62" s="160">
        <f>IF('内訳ﾘｽﾄ(4～3月)'!$D$5="製造",SUMIF('内訳ﾘｽﾄ(4～3月)'!$D$26:$D$1006,$B62,'内訳ﾘｽﾄ(4～3月)'!O$26:O$1006),IF('内訳ﾘｽﾄ(4～3月)'!$D$5="部外間接1",-SUM(L$14:L$60,L$65),0))</f>
        <v>0</v>
      </c>
      <c r="M62" s="160">
        <f>IF('内訳ﾘｽﾄ(4～3月)'!$D$5="製造",SUMIF('内訳ﾘｽﾄ(4～3月)'!$D$26:$D$1006,$B62,'内訳ﾘｽﾄ(4～3月)'!P$26:P$1006),IF('内訳ﾘｽﾄ(4～3月)'!$D$5="部外間接1",-SUM(M$14:M$60,M$65),0))</f>
        <v>0</v>
      </c>
      <c r="N62" s="160">
        <f>IF('内訳ﾘｽﾄ(4～3月)'!$D$5="製造",SUMIF('内訳ﾘｽﾄ(4～3月)'!$D$26:$D$1006,$B62,'内訳ﾘｽﾄ(4～3月)'!Q$26:Q$1006),IF('内訳ﾘｽﾄ(4～3月)'!$D$5="部外間接1",-SUM(N$14:N$60,N$65),0))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IF('内訳ﾘｽﾄ(4～3月)'!$D$5="部外間接1",-SUM(O$65,O$14:O$60),IF('内訳ﾘｽﾄ(4～3月)'!$D$5="製造",SUMIF('内訳ﾘｽﾄ(4～3月)'!$D$26:$D$805,'採算表(VND)'!$B62,'内訳ﾘｽﾄ(4～3月)'!R$26:R$805),0))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IF('内訳ﾘｽﾄ(4～3月)'!$D$5="製造",SUMIF('内訳ﾘｽﾄ(4～3月)'!$D$26:$D$1006,$B63,'内訳ﾘｽﾄ(4～3月)'!F$26:F$1006),IF('内訳ﾘｽﾄ(4～3月)'!$D$5="部外間接2",-SUM(C$14:C$60,C$65),0))</f>
        <v>0</v>
      </c>
      <c r="D63" s="160">
        <f>IF('内訳ﾘｽﾄ(4～3月)'!$D$5="製造",SUMIF('内訳ﾘｽﾄ(4～3月)'!$D$26:$D$1006,$B63,'内訳ﾘｽﾄ(4～3月)'!G$26:G$1006),IF('内訳ﾘｽﾄ(4～3月)'!$D$5="部外間接2",-SUM(D$14:D$60,D$65),0))</f>
        <v>0</v>
      </c>
      <c r="E63" s="160">
        <f>IF('内訳ﾘｽﾄ(4～3月)'!$D$5="製造",SUMIF('内訳ﾘｽﾄ(4～3月)'!$D$26:$D$1006,$B63,'内訳ﾘｽﾄ(4～3月)'!H$26:H$1006),IF('内訳ﾘｽﾄ(4～3月)'!$D$5="部外間接2",-SUM(E$14:E$60,E$65),0))</f>
        <v>0</v>
      </c>
      <c r="F63" s="160">
        <f>IF('内訳ﾘｽﾄ(4～3月)'!$D$5="製造",SUMIF('内訳ﾘｽﾄ(4～3月)'!$D$26:$D$1006,$B63,'内訳ﾘｽﾄ(4～3月)'!I$26:I$1006),IF('内訳ﾘｽﾄ(4～3月)'!$D$5="部外間接2",-SUM(F$14:F$60,F$65),0))</f>
        <v>0</v>
      </c>
      <c r="G63" s="160">
        <f>IF('内訳ﾘｽﾄ(4～3月)'!$D$5="製造",SUMIF('内訳ﾘｽﾄ(4～3月)'!$D$26:$D$1006,$B63,'内訳ﾘｽﾄ(4～3月)'!J$26:J$1006),IF('内訳ﾘｽﾄ(4～3月)'!$D$5="部外間接2",-SUM(G$14:G$60,G$65),0))</f>
        <v>0</v>
      </c>
      <c r="H63" s="160">
        <f>IF('内訳ﾘｽﾄ(4～3月)'!$D$5="製造",SUMIF('内訳ﾘｽﾄ(4～3月)'!$D$26:$D$1006,$B63,'内訳ﾘｽﾄ(4～3月)'!K$26:K$1006),IF('内訳ﾘｽﾄ(4～3月)'!$D$5="部外間接2",-SUM(H$14:H$60,H$65),0))</f>
        <v>0</v>
      </c>
      <c r="I63" s="160">
        <f>IF('内訳ﾘｽﾄ(4～3月)'!$D$5="製造",SUMIF('内訳ﾘｽﾄ(4～3月)'!$D$26:$D$1006,$B63,'内訳ﾘｽﾄ(4～3月)'!L$26:L$1006),IF('内訳ﾘｽﾄ(4～3月)'!$D$5="部外間接2",-SUM(I$14:I$60,I$65),0))</f>
        <v>0</v>
      </c>
      <c r="J63" s="160">
        <f>IF('内訳ﾘｽﾄ(4～3月)'!$D$5="製造",SUMIF('内訳ﾘｽﾄ(4～3月)'!$D$26:$D$1006,$B63,'内訳ﾘｽﾄ(4～3月)'!M$26:M$1006),IF('内訳ﾘｽﾄ(4～3月)'!$D$5="部外間接2",-SUM(J$14:J$60,J$65),0))</f>
        <v>0</v>
      </c>
      <c r="K63" s="160">
        <f>IF('内訳ﾘｽﾄ(4～3月)'!$D$5="製造",SUMIF('内訳ﾘｽﾄ(4～3月)'!$D$26:$D$1006,$B63,'内訳ﾘｽﾄ(4～3月)'!N$26:N$1006),IF('内訳ﾘｽﾄ(4～3月)'!$D$5="部外間接2",-SUM(K$14:K$60,K$65),0))</f>
        <v>0</v>
      </c>
      <c r="L63" s="160">
        <f>IF('内訳ﾘｽﾄ(4～3月)'!$D$5="製造",SUMIF('内訳ﾘｽﾄ(4～3月)'!$D$26:$D$1006,$B63,'内訳ﾘｽﾄ(4～3月)'!O$26:O$1006),IF('内訳ﾘｽﾄ(4～3月)'!$D$5="部外間接2",-SUM(L$14:L$60,L$65),0))</f>
        <v>0</v>
      </c>
      <c r="M63" s="160">
        <f>IF('内訳ﾘｽﾄ(4～3月)'!$D$5="製造",SUMIF('内訳ﾘｽﾄ(4～3月)'!$D$26:$D$1006,$B63,'内訳ﾘｽﾄ(4～3月)'!P$26:P$1006),IF('内訳ﾘｽﾄ(4～3月)'!$D$5="部外間接2",-SUM(M$14:M$60,M$65),0))</f>
        <v>0</v>
      </c>
      <c r="N63" s="160">
        <f>IF('内訳ﾘｽﾄ(4～3月)'!$D$5="製造",SUMIF('内訳ﾘｽﾄ(4～3月)'!$D$26:$D$1006,$B63,'内訳ﾘｽﾄ(4～3月)'!Q$26:Q$1006),IF('内訳ﾘｽﾄ(4～3月)'!$D$5="部外間接2",-SUM(N$14:N$60,N$65),0))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IF('内訳ﾘｽﾄ(4～3月)'!$D$5="部外間接2",-SUM(O$65,O$14:O$60),IF('内訳ﾘｽﾄ(4～3月)'!$D$5="製造",SUMIF('内訳ﾘｽﾄ(4～3月)'!$D$26:$D$805,'採算表(VND)'!$B63,'内訳ﾘｽﾄ(4～3月)'!R$26:R$805),0))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IF('内訳ﾘｽﾄ(4～3月)'!$D$5="製造",SUMIF('内訳ﾘｽﾄ(4～3月)'!$D$26:$D$1006,$B64,'内訳ﾘｽﾄ(4～3月)'!F$26:F$1006),IF('内訳ﾘｽﾄ(4～3月)'!$D$5="工場間接",-SUM(C$14:C$60,C$65),0))</f>
        <v>0</v>
      </c>
      <c r="D64" s="160">
        <f>IF('内訳ﾘｽﾄ(4～3月)'!$D$5="製造",SUMIF('内訳ﾘｽﾄ(4～3月)'!$D$26:$D$1006,$B64,'内訳ﾘｽﾄ(4～3月)'!G$26:G$1006),IF('内訳ﾘｽﾄ(4～3月)'!$D$5="工場間接",-SUM(D$14:D$60,D$65),0))</f>
        <v>0</v>
      </c>
      <c r="E64" s="160">
        <f>IF('内訳ﾘｽﾄ(4～3月)'!$D$5="製造",SUMIF('内訳ﾘｽﾄ(4～3月)'!$D$26:$D$1006,$B64,'内訳ﾘｽﾄ(4～3月)'!H$26:H$1006),IF('内訳ﾘｽﾄ(4～3月)'!$D$5="工場間接",-SUM(E$14:E$60,E$65),0))</f>
        <v>0</v>
      </c>
      <c r="F64" s="160">
        <f>IF('内訳ﾘｽﾄ(4～3月)'!$D$5="製造",SUMIF('内訳ﾘｽﾄ(4～3月)'!$D$26:$D$1006,$B64,'内訳ﾘｽﾄ(4～3月)'!I$26:I$1006),IF('内訳ﾘｽﾄ(4～3月)'!$D$5="工場間接",-SUM(F$14:F$60,F$65),0))</f>
        <v>0</v>
      </c>
      <c r="G64" s="160">
        <f>IF('内訳ﾘｽﾄ(4～3月)'!$D$5="製造",SUMIF('内訳ﾘｽﾄ(4～3月)'!$D$26:$D$1006,$B64,'内訳ﾘｽﾄ(4～3月)'!J$26:J$1006),IF('内訳ﾘｽﾄ(4～3月)'!$D$5="工場間接",-SUM(G$14:G$60,G$65),0))</f>
        <v>0</v>
      </c>
      <c r="H64" s="160">
        <f>IF('内訳ﾘｽﾄ(4～3月)'!$D$5="製造",SUMIF('内訳ﾘｽﾄ(4～3月)'!$D$26:$D$1006,$B64,'内訳ﾘｽﾄ(4～3月)'!K$26:K$1006),IF('内訳ﾘｽﾄ(4～3月)'!$D$5="工場間接",-SUM(H$14:H$60,H$65),0))</f>
        <v>0</v>
      </c>
      <c r="I64" s="160">
        <f>IF('内訳ﾘｽﾄ(4～3月)'!$D$5="製造",SUMIF('内訳ﾘｽﾄ(4～3月)'!$D$26:$D$1006,$B64,'内訳ﾘｽﾄ(4～3月)'!L$26:L$1006),IF('内訳ﾘｽﾄ(4～3月)'!$D$5="工場間接",-SUM(I$14:I$60,I$65),0))</f>
        <v>0</v>
      </c>
      <c r="J64" s="160">
        <f>IF('内訳ﾘｽﾄ(4～3月)'!$D$5="製造",SUMIF('内訳ﾘｽﾄ(4～3月)'!$D$26:$D$1006,$B64,'内訳ﾘｽﾄ(4～3月)'!M$26:M$1006),IF('内訳ﾘｽﾄ(4～3月)'!$D$5="工場間接",-SUM(J$14:J$60,J$65),0))</f>
        <v>0</v>
      </c>
      <c r="K64" s="160">
        <f>IF('内訳ﾘｽﾄ(4～3月)'!$D$5="製造",SUMIF('内訳ﾘｽﾄ(4～3月)'!$D$26:$D$1006,$B64,'内訳ﾘｽﾄ(4～3月)'!N$26:N$1006),IF('内訳ﾘｽﾄ(4～3月)'!$D$5="工場間接",-SUM(K$14:K$60,K$65),0))</f>
        <v>0</v>
      </c>
      <c r="L64" s="160">
        <f>IF('内訳ﾘｽﾄ(4～3月)'!$D$5="製造",SUMIF('内訳ﾘｽﾄ(4～3月)'!$D$26:$D$1006,$B64,'内訳ﾘｽﾄ(4～3月)'!O$26:O$1006),IF('内訳ﾘｽﾄ(4～3月)'!$D$5="工場間接",-SUM(L$14:L$60,L$65),0))</f>
        <v>0</v>
      </c>
      <c r="M64" s="160">
        <f>IF('内訳ﾘｽﾄ(4～3月)'!$D$5="製造",SUMIF('内訳ﾘｽﾄ(4～3月)'!$D$26:$D$1006,$B64,'内訳ﾘｽﾄ(4～3月)'!P$26:P$1006),IF('内訳ﾘｽﾄ(4～3月)'!$D$5="工場間接",-SUM(M$14:M$60,M$65),0))</f>
        <v>0</v>
      </c>
      <c r="N64" s="160">
        <f>IF('内訳ﾘｽﾄ(4～3月)'!$D$5="製造",SUMIF('内訳ﾘｽﾄ(4～3月)'!$D$26:$D$1006,$B64,'内訳ﾘｽﾄ(4～3月)'!Q$26:Q$1006),IF('内訳ﾘｽﾄ(4～3月)'!$D$5="工場間接",-SUM(N$14:N$60,N$65),0))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IF('内訳ﾘｽﾄ(4～3月)'!$D$5="工場間接",-SUM(O$65,O$14:O$60),IF('内訳ﾘｽﾄ(4～3月)'!$D$5="製造",SUMIF('内訳ﾘｽﾄ(4～3月)'!$D$26:$D$805,'採算表(VND)'!$B64,'内訳ﾘｽﾄ(4～3月)'!R$26:R$805),0))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SUMIF('内訳ﾘｽﾄ(4～3月)'!$D$26:$D$1006,$B65,'内訳ﾘｽﾄ(4～3月)'!F$26:F$1006)</f>
        <v>0</v>
      </c>
      <c r="D65" s="158">
        <f>SUMIF('内訳ﾘｽﾄ(4～3月)'!$D$26:$D$1006,$B65,'内訳ﾘｽﾄ(4～3月)'!G$26:G$1006)</f>
        <v>0</v>
      </c>
      <c r="E65" s="158">
        <f>SUMIF('内訳ﾘｽﾄ(4～3月)'!$D$26:$D$1006,$B65,'内訳ﾘｽﾄ(4～3月)'!H$26:H$1006)</f>
        <v>0</v>
      </c>
      <c r="F65" s="158">
        <f>SUMIF('内訳ﾘｽﾄ(4～3月)'!$D$26:$D$1006,$B65,'内訳ﾘｽﾄ(4～3月)'!I$26:I$1006)</f>
        <v>0</v>
      </c>
      <c r="G65" s="158">
        <f>SUMIF('内訳ﾘｽﾄ(4～3月)'!$D$26:$D$1006,$B65,'内訳ﾘｽﾄ(4～3月)'!J$26:J$1006)</f>
        <v>0</v>
      </c>
      <c r="H65" s="158">
        <f>SUMIF('内訳ﾘｽﾄ(4～3月)'!$D$26:$D$1006,$B65,'内訳ﾘｽﾄ(4～3月)'!K$26:K$1006)</f>
        <v>0</v>
      </c>
      <c r="I65" s="158">
        <f>SUMIF('内訳ﾘｽﾄ(4～3月)'!$D$26:$D$1006,$B65,'内訳ﾘｽﾄ(4～3月)'!L$26:L$1006)</f>
        <v>0</v>
      </c>
      <c r="J65" s="158">
        <f>SUMIF('内訳ﾘｽﾄ(4～3月)'!$D$26:$D$1006,$B65,'内訳ﾘｽﾄ(4～3月)'!M$26:M$1006)</f>
        <v>0</v>
      </c>
      <c r="K65" s="158">
        <f>SUMIF('内訳ﾘｽﾄ(4～3月)'!$D$26:$D$1006,$B65,'内訳ﾘｽﾄ(4～3月)'!N$26:N$1006)</f>
        <v>0</v>
      </c>
      <c r="L65" s="158">
        <f>SUMIF('内訳ﾘｽﾄ(4～3月)'!$D$26:$D$1006,$B65,'内訳ﾘｽﾄ(4～3月)'!O$26:O$1006)</f>
        <v>0</v>
      </c>
      <c r="M65" s="158">
        <f>SUMIF('内訳ﾘｽﾄ(4～3月)'!$D$26:$D$1006,$B65,'内訳ﾘｽﾄ(4～3月)'!P$26:P$1006)</f>
        <v>0</v>
      </c>
      <c r="N65" s="158">
        <f>SUMIF('内訳ﾘｽﾄ(4～3月)'!$D$26:$D$1006,$B65,'内訳ﾘｽﾄ(4～3月)'!Q$26:Q$1006)</f>
        <v>0</v>
      </c>
      <c r="O65" s="158">
        <f>SUMIF('内訳ﾘｽﾄ(4～3月)'!$D$26:$D$805,'採算表(VND)'!$B65,'内訳ﾘｽﾄ(4～3月)'!R$26:R$805)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0</v>
      </c>
      <c r="D68" s="162">
        <f>SUMIF('内訳ﾘｽﾄ(4～3月)'!$D$8:$D$15,'採算表(VND)'!$B68,'内訳ﾘｽﾄ(4～3月)'!G$8:G$15)</f>
        <v>0</v>
      </c>
      <c r="E68" s="162">
        <f>SUMIF('内訳ﾘｽﾄ(4～3月)'!$D$8:$D$15,'採算表(VND)'!$B68,'内訳ﾘｽﾄ(4～3月)'!H$8:H$15)</f>
        <v>0</v>
      </c>
      <c r="F68" s="162">
        <f>SUMIF('内訳ﾘｽﾄ(4～3月)'!$D$8:$D$15,'採算表(VND)'!$B68,'内訳ﾘｽﾄ(4～3月)'!I$8:I$15)</f>
        <v>29036</v>
      </c>
      <c r="G68" s="162">
        <f>SUMIF('内訳ﾘｽﾄ(4～3月)'!$D$8:$D$15,'採算表(VND)'!$B68,'内訳ﾘｽﾄ(4～3月)'!J$8:J$15)</f>
        <v>25248</v>
      </c>
      <c r="H68" s="162">
        <f>SUMIF('内訳ﾘｽﾄ(4～3月)'!$D$8:$D$15,'採算表(VND)'!$B68,'内訳ﾘｽﾄ(4～3月)'!K$8:K$15)</f>
        <v>23986</v>
      </c>
      <c r="I68" s="162">
        <f>SUMIF('内訳ﾘｽﾄ(4～3月)'!$D$8:$D$15,'採算表(VND)'!$B68,'内訳ﾘｽﾄ(4～3月)'!L$8:L$15)</f>
        <v>29036</v>
      </c>
      <c r="J68" s="162">
        <f>SUMIF('内訳ﾘｽﾄ(4～3月)'!$D$8:$D$15,'採算表(VND)'!$B68,'内訳ﾘｽﾄ(4～3月)'!M$8:M$15)</f>
        <v>25248</v>
      </c>
      <c r="K68" s="162">
        <f>SUMIF('内訳ﾘｽﾄ(4～3月)'!$D$8:$D$15,'採算表(VND)'!$B68,'内訳ﾘｽﾄ(4～3月)'!N$8:N$15)</f>
        <v>27774</v>
      </c>
      <c r="L68" s="162">
        <f>SUMIF('内訳ﾘｽﾄ(4～3月)'!$D$8:$D$15,'採算表(VND)'!$B68,'内訳ﾘｽﾄ(4～3月)'!O$8:O$15)</f>
        <v>25248</v>
      </c>
      <c r="M68" s="162">
        <f>SUMIF('内訳ﾘｽﾄ(4～3月)'!$D$8:$D$15,'採算表(VND)'!$B68,'内訳ﾘｽﾄ(4～3月)'!P$8:P$15)</f>
        <v>20615</v>
      </c>
      <c r="N68" s="162">
        <f>SUMIF('内訳ﾘｽﾄ(4～3月)'!$D$8:$D$15,'採算表(VND)'!$B68,'内訳ﾘｽﾄ(4～3月)'!Q$8:Q$15)</f>
        <v>27485</v>
      </c>
      <c r="O68" s="162">
        <f>SUMIF('内訳ﾘｽﾄ(4～3月)'!$D$8:$D$15,'採算表(VND)'!$B68,'内訳ﾘｽﾄ(4～3月)'!$R$8:$R$15)</f>
        <v>233676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-29036</v>
      </c>
      <c r="G69" s="163">
        <f>IF('内訳ﾘｽﾄ(4～3月)'!$D$5="製造",SUMIF('内訳ﾘｽﾄ(4～3月)'!$D$8:$D$15,$B69,'内訳ﾘｽﾄ(4～3月)'!J$8:J$15),IF('内訳ﾘｽﾄ(4～3月)'!$D$5="部内間接",-G$68,0))</f>
        <v>-25248</v>
      </c>
      <c r="H69" s="163">
        <f>IF('内訳ﾘｽﾄ(4～3月)'!$D$5="製造",SUMIF('内訳ﾘｽﾄ(4～3月)'!$D$8:$D$15,$B69,'内訳ﾘｽﾄ(4～3月)'!K$8:K$15),IF('内訳ﾘｽﾄ(4～3月)'!$D$5="部内間接",-H$68,0))</f>
        <v>-23986</v>
      </c>
      <c r="I69" s="163">
        <f>IF('内訳ﾘｽﾄ(4～3月)'!$D$5="製造",SUMIF('内訳ﾘｽﾄ(4～3月)'!$D$8:$D$15,$B69,'内訳ﾘｽﾄ(4～3月)'!L$8:L$15),IF('内訳ﾘｽﾄ(4～3月)'!$D$5="部内間接",-I$68,0))</f>
        <v>-29036</v>
      </c>
      <c r="J69" s="163">
        <f>IF('内訳ﾘｽﾄ(4～3月)'!$D$5="製造",SUMIF('内訳ﾘｽﾄ(4～3月)'!$D$8:$D$15,$B69,'内訳ﾘｽﾄ(4～3月)'!M$8:M$15),IF('内訳ﾘｽﾄ(4～3月)'!$D$5="部内間接",-J$68,0))</f>
        <v>-25248</v>
      </c>
      <c r="K69" s="163">
        <f>IF('内訳ﾘｽﾄ(4～3月)'!$D$5="製造",SUMIF('内訳ﾘｽﾄ(4～3月)'!$D$8:$D$15,$B69,'内訳ﾘｽﾄ(4～3月)'!N$8:N$15),IF('内訳ﾘｽﾄ(4～3月)'!$D$5="部内間接",-K$68,0))</f>
        <v>-27774</v>
      </c>
      <c r="L69" s="163">
        <f>IF('内訳ﾘｽﾄ(4～3月)'!$D$5="製造",SUMIF('内訳ﾘｽﾄ(4～3月)'!$D$8:$D$15,$B69,'内訳ﾘｽﾄ(4～3月)'!O$8:O$15),IF('内訳ﾘｽﾄ(4～3月)'!$D$5="部内間接",-L$68,0))</f>
        <v>-25248</v>
      </c>
      <c r="M69" s="163">
        <f>IF('内訳ﾘｽﾄ(4～3月)'!$D$5="製造",SUMIF('内訳ﾘｽﾄ(4～3月)'!$D$8:$D$15,$B69,'内訳ﾘｽﾄ(4～3月)'!P$8:P$15),IF('内訳ﾘｽﾄ(4～3月)'!$D$5="部内間接",-M$68,0))</f>
        <v>-20615</v>
      </c>
      <c r="N69" s="163">
        <f>IF('内訳ﾘｽﾄ(4～3月)'!$D$5="製造",SUMIF('内訳ﾘｽﾄ(4～3月)'!$D$8:$D$15,$B69,'内訳ﾘｽﾄ(4～3月)'!Q$8:Q$15),IF('内訳ﾘｽﾄ(4～3月)'!$D$5="部内間接",-N$68,0))</f>
        <v>-27485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-233676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0</v>
      </c>
      <c r="D74" s="162">
        <f>SUMIF('内訳ﾘｽﾄ(4～3月)'!$D$16:$D$23,'採算表(VND)'!$B74,'内訳ﾘｽﾄ(4～3月)'!G$16:G$23)</f>
        <v>0</v>
      </c>
      <c r="E74" s="162">
        <f>SUMIF('内訳ﾘｽﾄ(4～3月)'!$D$16:$D$23,'採算表(VND)'!$B74,'内訳ﾘｽﾄ(4～3月)'!H$16:H$23)</f>
        <v>0</v>
      </c>
      <c r="F74" s="162">
        <f>SUMIF('内訳ﾘｽﾄ(4～3月)'!$D$16:$D$23,'採算表(VND)'!$B74,'内訳ﾘｽﾄ(4～3月)'!I$16:I$23)</f>
        <v>3971</v>
      </c>
      <c r="G74" s="162">
        <f>SUMIF('内訳ﾘｽﾄ(4～3月)'!$D$16:$D$23,'採算表(VND)'!$B74,'内訳ﾘｽﾄ(4～3月)'!J$16:J$23)</f>
        <v>3965</v>
      </c>
      <c r="H74" s="162">
        <f>SUMIF('内訳ﾘｽﾄ(4～3月)'!$D$16:$D$23,'採算表(VND)'!$B74,'内訳ﾘｽﾄ(4～3月)'!K$16:K$23)</f>
        <v>3963</v>
      </c>
      <c r="I74" s="162">
        <f>SUMIF('内訳ﾘｽﾄ(4～3月)'!$D$16:$D$23,'採算表(VND)'!$B74,'内訳ﾘｽﾄ(4～3月)'!L$16:L$23)</f>
        <v>3971</v>
      </c>
      <c r="J74" s="162">
        <f>SUMIF('内訳ﾘｽﾄ(4～3月)'!$D$16:$D$23,'採算表(VND)'!$B74,'内訳ﾘｽﾄ(4～3月)'!M$16:M$23)</f>
        <v>3965</v>
      </c>
      <c r="K74" s="162">
        <f>SUMIF('内訳ﾘｽﾄ(4～3月)'!$D$16:$D$23,'採算表(VND)'!$B74,'内訳ﾘｽﾄ(4～3月)'!N$16:N$23)</f>
        <v>3969</v>
      </c>
      <c r="L74" s="162">
        <f>SUMIF('内訳ﾘｽﾄ(4～3月)'!$D$16:$D$23,'採算表(VND)'!$B74,'内訳ﾘｽﾄ(4～3月)'!O$16:O$23)</f>
        <v>3965</v>
      </c>
      <c r="M74" s="162">
        <f>SUMIF('内訳ﾘｽﾄ(4～3月)'!$D$16:$D$23,'採算表(VND)'!$B74,'内訳ﾘｽﾄ(4～3月)'!P$16:P$23)</f>
        <v>4305</v>
      </c>
      <c r="N74" s="162">
        <f>SUMIF('内訳ﾘｽﾄ(4～3月)'!$D$16:$D$23,'採算表(VND)'!$B74,'内訳ﾘｽﾄ(4～3月)'!Q$16:Q$23)</f>
        <v>4315</v>
      </c>
      <c r="O74" s="162">
        <f>SUMIF('内訳ﾘｽﾄ(4～3月)'!$D$16:$D$23,'採算表(VND)'!$B74,'内訳ﾘｽﾄ(4～3月)'!$R$16:$R$23)</f>
        <v>36389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-3971</v>
      </c>
      <c r="G75" s="163">
        <f>IF('内訳ﾘｽﾄ(4～3月)'!$D$5="製造",SUMIF('内訳ﾘｽﾄ(4～3月)'!$D$16:$D$23,$B75,'内訳ﾘｽﾄ(4～3月)'!J$16:J$23),IF('内訳ﾘｽﾄ(4～3月)'!$D$5="部内間接",-G$74,0))</f>
        <v>-3965</v>
      </c>
      <c r="H75" s="163">
        <f>IF('内訳ﾘｽﾄ(4～3月)'!$D$5="製造",SUMIF('内訳ﾘｽﾄ(4～3月)'!$D$16:$D$23,$B75,'内訳ﾘｽﾄ(4～3月)'!K$16:K$23),IF('内訳ﾘｽﾄ(4～3月)'!$D$5="部内間接",-H$74,0))</f>
        <v>-3963</v>
      </c>
      <c r="I75" s="163">
        <f>IF('内訳ﾘｽﾄ(4～3月)'!$D$5="製造",SUMIF('内訳ﾘｽﾄ(4～3月)'!$D$16:$D$23,$B75,'内訳ﾘｽﾄ(4～3月)'!L$16:L$23),IF('内訳ﾘｽﾄ(4～3月)'!$D$5="部内間接",-I$74,0))</f>
        <v>-3971</v>
      </c>
      <c r="J75" s="163">
        <f>IF('内訳ﾘｽﾄ(4～3月)'!$D$5="製造",SUMIF('内訳ﾘｽﾄ(4～3月)'!$D$16:$D$23,$B75,'内訳ﾘｽﾄ(4～3月)'!M$16:M$23),IF('内訳ﾘｽﾄ(4～3月)'!$D$5="部内間接",-J$74,0))</f>
        <v>-3965</v>
      </c>
      <c r="K75" s="163">
        <f>IF('内訳ﾘｽﾄ(4～3月)'!$D$5="製造",SUMIF('内訳ﾘｽﾄ(4～3月)'!$D$16:$D$23,$B75,'内訳ﾘｽﾄ(4～3月)'!N$16:N$23),IF('内訳ﾘｽﾄ(4～3月)'!$D$5="部内間接",-K$74,0))</f>
        <v>-3969</v>
      </c>
      <c r="L75" s="163">
        <f>IF('内訳ﾘｽﾄ(4～3月)'!$D$5="製造",SUMIF('内訳ﾘｽﾄ(4～3月)'!$D$16:$D$23,$B75,'内訳ﾘｽﾄ(4～3月)'!O$16:O$23),IF('内訳ﾘｽﾄ(4～3月)'!$D$5="部内間接",-L$74,0))</f>
        <v>-3965</v>
      </c>
      <c r="M75" s="163">
        <f>IF('内訳ﾘｽﾄ(4～3月)'!$D$5="製造",SUMIF('内訳ﾘｽﾄ(4～3月)'!$D$16:$D$23,$B75,'内訳ﾘｽﾄ(4～3月)'!P$16:P$23),IF('内訳ﾘｽﾄ(4～3月)'!$D$5="部内間接",-M$74,0))</f>
        <v>-4305</v>
      </c>
      <c r="N75" s="163">
        <f>IF('内訳ﾘｽﾄ(4～3月)'!$D$5="製造",SUMIF('内訳ﾘｽﾄ(4～3月)'!$D$16:$D$23,$B75,'内訳ﾘｽﾄ(4～3月)'!Q$16:Q$23),IF('内訳ﾘｽﾄ(4～3月)'!$D$5="部内間接",-N$74,0))</f>
        <v>-4315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-36389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0</v>
      </c>
      <c r="D88" s="150">
        <f>SUMIF('内訳ﾘｽﾄ(4～3月)'!$D$24:$D$25,'採算表(VND)'!$B88,'内訳ﾘｽﾄ(4～3月)'!G$24:G$25)</f>
        <v>0</v>
      </c>
      <c r="E88" s="150">
        <f>SUMIF('内訳ﾘｽﾄ(4～3月)'!$D$24:$D$25,'採算表(VND)'!$B88,'内訳ﾘｽﾄ(4～3月)'!H$24:H$25)</f>
        <v>0</v>
      </c>
      <c r="F88" s="150">
        <f>SUMIF('内訳ﾘｽﾄ(4～3月)'!$D$24:$D$25,'採算表(VND)'!$B88,'内訳ﾘｽﾄ(4～3月)'!I$24:I$25)</f>
        <v>158</v>
      </c>
      <c r="G88" s="150">
        <f>SUMIF('内訳ﾘｽﾄ(4～3月)'!$D$24:$D$25,'採算表(VND)'!$B88,'内訳ﾘｽﾄ(4～3月)'!J$24:J$25)</f>
        <v>158</v>
      </c>
      <c r="H88" s="150">
        <f>SUMIF('内訳ﾘｽﾄ(4～3月)'!$D$24:$D$25,'採算表(VND)'!$B88,'内訳ﾘｽﾄ(4～3月)'!K$24:K$25)</f>
        <v>158</v>
      </c>
      <c r="I88" s="150">
        <f>SUMIF('内訳ﾘｽﾄ(4～3月)'!$D$24:$D$25,'採算表(VND)'!$B88,'内訳ﾘｽﾄ(4～3月)'!L$24:L$25)</f>
        <v>158</v>
      </c>
      <c r="J88" s="150">
        <f>SUMIF('内訳ﾘｽﾄ(4～3月)'!$D$24:$D$25,'採算表(VND)'!$B88,'内訳ﾘｽﾄ(4～3月)'!M$24:M$25)</f>
        <v>158</v>
      </c>
      <c r="K88" s="150">
        <f>SUMIF('内訳ﾘｽﾄ(4～3月)'!$D$24:$D$25,'採算表(VND)'!$B88,'内訳ﾘｽﾄ(4～3月)'!N$24:N$25)</f>
        <v>158</v>
      </c>
      <c r="L88" s="150">
        <f>SUMIF('内訳ﾘｽﾄ(4～3月)'!$D$24:$D$25,'採算表(VND)'!$B88,'内訳ﾘｽﾄ(4～3月)'!O$24:O$25)</f>
        <v>158</v>
      </c>
      <c r="M88" s="150">
        <f>SUMIF('内訳ﾘｽﾄ(4～3月)'!$D$24:$D$25,'採算表(VND)'!$B88,'内訳ﾘｽﾄ(4～3月)'!P$24:P$25)</f>
        <v>172</v>
      </c>
      <c r="N88" s="150">
        <f>SUMIF('内訳ﾘｽﾄ(4～3月)'!$D$24:$D$25,'採算表(VND)'!$B88,'内訳ﾘｽﾄ(4～3月)'!Q$24:Q$25)</f>
        <v>172</v>
      </c>
      <c r="O88" s="150">
        <f>SUMIF('内訳ﾘｽﾄ(4～3月)'!$D$24:$D$25,'採算表(VND)'!$B88,'内訳ﾘｽﾄ(4～3月)'!R$24:R$25)</f>
        <v>172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0</v>
      </c>
      <c r="D89" s="151">
        <f t="shared" si="10"/>
        <v>0</v>
      </c>
      <c r="E89" s="151">
        <f t="shared" si="10"/>
        <v>0</v>
      </c>
      <c r="F89" s="151">
        <f t="shared" si="10"/>
        <v>158</v>
      </c>
      <c r="G89" s="151">
        <f t="shared" si="10"/>
        <v>158</v>
      </c>
      <c r="H89" s="151">
        <f t="shared" si="10"/>
        <v>158</v>
      </c>
      <c r="I89" s="151">
        <f t="shared" si="10"/>
        <v>158</v>
      </c>
      <c r="J89" s="151">
        <f t="shared" si="10"/>
        <v>158</v>
      </c>
      <c r="K89" s="151">
        <f t="shared" si="10"/>
        <v>158</v>
      </c>
      <c r="L89" s="151">
        <f t="shared" si="10"/>
        <v>158</v>
      </c>
      <c r="M89" s="151">
        <f t="shared" si="10"/>
        <v>172</v>
      </c>
      <c r="N89" s="151">
        <f t="shared" si="10"/>
        <v>172</v>
      </c>
      <c r="O89" s="151">
        <f>O87+O88</f>
        <v>172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0</v>
      </c>
      <c r="D93" s="161">
        <f>SUMIF('内訳ﾘｽﾄ(4～3月)'!$B$8:$B$15,$B93,'内訳ﾘｽﾄ(4～3月)'!G$8:G$15)</f>
        <v>0</v>
      </c>
      <c r="E93" s="161">
        <f>SUMIF('内訳ﾘｽﾄ(4～3月)'!$B$8:$B$15,$B93,'内訳ﾘｽﾄ(4～3月)'!H$8:H$15)</f>
        <v>0</v>
      </c>
      <c r="F93" s="161">
        <f>SUMIF('内訳ﾘｽﾄ(4～3月)'!$B$8:$B$15,$B93,'内訳ﾘｽﾄ(4～3月)'!I$8:I$15)</f>
        <v>29036</v>
      </c>
      <c r="G93" s="161">
        <f>SUMIF('内訳ﾘｽﾄ(4～3月)'!$B$8:$B$15,$B93,'内訳ﾘｽﾄ(4～3月)'!J$8:J$15)</f>
        <v>25248</v>
      </c>
      <c r="H93" s="161">
        <f>SUMIF('内訳ﾘｽﾄ(4～3月)'!$B$8:$B$15,$B93,'内訳ﾘｽﾄ(4～3月)'!K$8:K$15)</f>
        <v>23986</v>
      </c>
      <c r="I93" s="161">
        <f>SUMIF('内訳ﾘｽﾄ(4～3月)'!$B$8:$B$15,$B93,'内訳ﾘｽﾄ(4～3月)'!L$8:L$15)</f>
        <v>29036</v>
      </c>
      <c r="J93" s="161">
        <f>SUMIF('内訳ﾘｽﾄ(4～3月)'!$B$8:$B$15,$B93,'内訳ﾘｽﾄ(4～3月)'!M$8:M$15)</f>
        <v>25248</v>
      </c>
      <c r="K93" s="161">
        <f>SUMIF('内訳ﾘｽﾄ(4～3月)'!$B$8:$B$15,$B93,'内訳ﾘｽﾄ(4～3月)'!N$8:N$15)</f>
        <v>27774</v>
      </c>
      <c r="L93" s="161">
        <f>SUMIF('内訳ﾘｽﾄ(4～3月)'!$B$8:$B$15,$B93,'内訳ﾘｽﾄ(4～3月)'!O$8:O$15)</f>
        <v>25248</v>
      </c>
      <c r="M93" s="161">
        <f>SUMIF('内訳ﾘｽﾄ(4～3月)'!$B$8:$B$15,$B93,'内訳ﾘｽﾄ(4～3月)'!P$8:P$15)</f>
        <v>20615</v>
      </c>
      <c r="N93" s="161">
        <f>SUMIF('内訳ﾘｽﾄ(4～3月)'!$B$8:$B$15,$B93,'内訳ﾘｽﾄ(4～3月)'!Q$8:Q$15)</f>
        <v>27485</v>
      </c>
      <c r="O93" s="161">
        <f>SUMIF('内訳ﾘｽﾄ(4～3月)'!$B$8:$B$15,$B93,'内訳ﾘｽﾄ(4～3月)'!R$8:R$15)</f>
        <v>233676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0</v>
      </c>
      <c r="D94" s="169">
        <f t="shared" si="11"/>
        <v>0</v>
      </c>
      <c r="E94" s="169">
        <f t="shared" si="11"/>
        <v>0</v>
      </c>
      <c r="F94" s="169">
        <f t="shared" si="11"/>
        <v>29036</v>
      </c>
      <c r="G94" s="169">
        <f t="shared" si="11"/>
        <v>25248</v>
      </c>
      <c r="H94" s="169">
        <f t="shared" si="11"/>
        <v>23986</v>
      </c>
      <c r="I94" s="169">
        <f t="shared" si="11"/>
        <v>29036</v>
      </c>
      <c r="J94" s="169">
        <f t="shared" si="11"/>
        <v>25248</v>
      </c>
      <c r="K94" s="169">
        <f t="shared" si="11"/>
        <v>27774</v>
      </c>
      <c r="L94" s="169">
        <f t="shared" si="11"/>
        <v>25248</v>
      </c>
      <c r="M94" s="169">
        <f t="shared" si="11"/>
        <v>20615</v>
      </c>
      <c r="N94" s="169">
        <f t="shared" si="11"/>
        <v>27485</v>
      </c>
      <c r="O94" s="169">
        <f>O92+O93</f>
        <v>233676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0</v>
      </c>
      <c r="D98" s="161">
        <f>SUMIF('内訳ﾘｽﾄ(4～3月)'!$B$16:$B$23,$B98,'内訳ﾘｽﾄ(4～3月)'!G$16:G$23)</f>
        <v>0</v>
      </c>
      <c r="E98" s="161">
        <f>SUMIF('内訳ﾘｽﾄ(4～3月)'!$B$16:$B$23,$B98,'内訳ﾘｽﾄ(4～3月)'!H$16:H$23)</f>
        <v>0</v>
      </c>
      <c r="F98" s="161">
        <f>SUMIF('内訳ﾘｽﾄ(4～3月)'!$B$16:$B$23,$B98,'内訳ﾘｽﾄ(4～3月)'!I$16:I$23)</f>
        <v>3971</v>
      </c>
      <c r="G98" s="161">
        <f>SUMIF('内訳ﾘｽﾄ(4～3月)'!$B$16:$B$23,$B98,'内訳ﾘｽﾄ(4～3月)'!J$16:J$23)</f>
        <v>3965</v>
      </c>
      <c r="H98" s="161">
        <f>SUMIF('内訳ﾘｽﾄ(4～3月)'!$B$16:$B$23,$B98,'内訳ﾘｽﾄ(4～3月)'!K$16:K$23)</f>
        <v>3963</v>
      </c>
      <c r="I98" s="161">
        <f>SUMIF('内訳ﾘｽﾄ(4～3月)'!$B$16:$B$23,$B98,'内訳ﾘｽﾄ(4～3月)'!L$16:L$23)</f>
        <v>3971</v>
      </c>
      <c r="J98" s="161">
        <f>SUMIF('内訳ﾘｽﾄ(4～3月)'!$B$16:$B$23,$B98,'内訳ﾘｽﾄ(4～3月)'!M$16:M$23)</f>
        <v>3965</v>
      </c>
      <c r="K98" s="161">
        <f>SUMIF('内訳ﾘｽﾄ(4～3月)'!$B$16:$B$23,$B98,'内訳ﾘｽﾄ(4～3月)'!N$16:N$23)</f>
        <v>3969</v>
      </c>
      <c r="L98" s="161">
        <f>SUMIF('内訳ﾘｽﾄ(4～3月)'!$B$16:$B$23,$B98,'内訳ﾘｽﾄ(4～3月)'!O$16:O$23)</f>
        <v>3965</v>
      </c>
      <c r="M98" s="161">
        <f>SUMIF('内訳ﾘｽﾄ(4～3月)'!$B$16:$B$23,$B98,'内訳ﾘｽﾄ(4～3月)'!P$16:P$23)</f>
        <v>4305</v>
      </c>
      <c r="N98" s="161">
        <f>SUMIF('内訳ﾘｽﾄ(4～3月)'!$B$16:$B$23,$B98,'内訳ﾘｽﾄ(4～3月)'!Q$16:Q$23)</f>
        <v>4315</v>
      </c>
      <c r="O98" s="161">
        <f>SUMIF('内訳ﾘｽﾄ(4～3月)'!$B$16:$B$23,$B98,'内訳ﾘｽﾄ(4～3月)'!R$16:R$23)</f>
        <v>36389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0</v>
      </c>
      <c r="D99" s="169">
        <f t="shared" si="12"/>
        <v>0</v>
      </c>
      <c r="E99" s="169">
        <f t="shared" si="12"/>
        <v>0</v>
      </c>
      <c r="F99" s="169">
        <f t="shared" si="12"/>
        <v>3971</v>
      </c>
      <c r="G99" s="169">
        <f t="shared" si="12"/>
        <v>3965</v>
      </c>
      <c r="H99" s="169">
        <f t="shared" si="12"/>
        <v>3963</v>
      </c>
      <c r="I99" s="169">
        <f t="shared" si="12"/>
        <v>3971</v>
      </c>
      <c r="J99" s="169">
        <f t="shared" si="12"/>
        <v>3965</v>
      </c>
      <c r="K99" s="169">
        <f t="shared" si="12"/>
        <v>3969</v>
      </c>
      <c r="L99" s="169">
        <f t="shared" si="12"/>
        <v>3965</v>
      </c>
      <c r="M99" s="169">
        <f t="shared" si="12"/>
        <v>4305</v>
      </c>
      <c r="N99" s="169">
        <f t="shared" si="12"/>
        <v>4315</v>
      </c>
      <c r="O99" s="169">
        <f>O97+O98</f>
        <v>36389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E124B1E0-4A1B-4AEB-82E7-B3C260689878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2808-C641-4A57-ABBC-5354E4E6AC78}">
  <sheetPr codeName="Sheet3">
    <tabColor indexed="13"/>
  </sheetPr>
  <dimension ref="A1:BC1006"/>
  <sheetViews>
    <sheetView tabSelected="1" zoomScaleNormal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J47" sqref="J47:Q47"/>
    </sheetView>
  </sheetViews>
  <sheetFormatPr defaultColWidth="9" defaultRowHeight="11.25"/>
  <cols>
    <col min="1" max="1" width="2" style="1" customWidth="1"/>
    <col min="2" max="2" width="12.375" style="181" customWidth="1"/>
    <col min="3" max="3" width="31" style="4" bestFit="1" customWidth="1"/>
    <col min="4" max="4" width="19.125" style="4" customWidth="1"/>
    <col min="5" max="5" width="7.625" style="3" customWidth="1"/>
    <col min="6" max="6" width="13" style="124" hidden="1" customWidth="1"/>
    <col min="7" max="9" width="11.625" style="125" hidden="1" customWidth="1"/>
    <col min="10" max="17" width="11.625" style="125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1006),0)-ROUND((F26:F1006)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1006),0)-ROUND((G26:G1006)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1006),0)-ROUND((H26:H1006)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1006),0)-ROUND((I26:I1006)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1006),0)-ROUND((J26:J1006)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1006),0)-ROUND((K26:K1006)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1006),0)-ROUND((L26:L1006)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1006),0)-ROUND((M26:M1006)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1006),0)-ROUND((N26:N1006)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1006),0)-ROUND((O26:O1006)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1006),0)-ROUND((P26:P1006)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1006),0)-ROUND((Q26:Q1006)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4.25" thickBot="1">
      <c r="B5" s="174">
        <v>1412000104</v>
      </c>
      <c r="C5" s="7" t="str">
        <f>VLOOKUP($B$5,原価センタ!$A:$E,2,0)</f>
        <v>工程品質管理2課</v>
      </c>
      <c r="D5" s="62" t="str">
        <f>VLOOKUP($B$5,原価センタ!$A:$E,4,0)</f>
        <v>部内間接</v>
      </c>
      <c r="E5" s="62" t="str">
        <f>VLOOKUP($B$5,原価センタ!$A:$E,5,0)</f>
        <v>製造</v>
      </c>
      <c r="F5" s="252">
        <f t="shared" ref="F5:R5" si="0">SUM(F29:F1006)</f>
        <v>0</v>
      </c>
      <c r="G5" s="252">
        <f t="shared" si="0"/>
        <v>0</v>
      </c>
      <c r="H5" s="252">
        <f t="shared" si="0"/>
        <v>0</v>
      </c>
      <c r="I5" s="252">
        <f t="shared" si="0"/>
        <v>18971000</v>
      </c>
      <c r="J5" s="252">
        <f t="shared" si="0"/>
        <v>164672746</v>
      </c>
      <c r="K5" s="252">
        <f t="shared" si="0"/>
        <v>162850672</v>
      </c>
      <c r="L5" s="252">
        <f t="shared" si="0"/>
        <v>153362111</v>
      </c>
      <c r="M5" s="252">
        <f t="shared" si="0"/>
        <v>134720099</v>
      </c>
      <c r="N5" s="252">
        <f t="shared" si="0"/>
        <v>173301949</v>
      </c>
      <c r="O5" s="252">
        <f t="shared" si="0"/>
        <v>134330967</v>
      </c>
      <c r="P5" s="252">
        <f t="shared" si="0"/>
        <v>171034566</v>
      </c>
      <c r="Q5" s="252">
        <f t="shared" si="0"/>
        <v>118016703</v>
      </c>
      <c r="R5" s="253">
        <f t="shared" si="0"/>
        <v>1231260813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.5">
      <c r="A8" s="182"/>
      <c r="B8" s="259" t="s">
        <v>324</v>
      </c>
      <c r="C8" s="183" t="s">
        <v>334</v>
      </c>
      <c r="D8" s="184" t="s">
        <v>81</v>
      </c>
      <c r="E8" s="185"/>
      <c r="F8" s="186"/>
      <c r="G8" s="186"/>
      <c r="H8" s="186"/>
      <c r="I8" s="311"/>
      <c r="J8" s="311"/>
      <c r="K8" s="311"/>
      <c r="L8" s="311"/>
      <c r="M8" s="311"/>
      <c r="N8" s="311"/>
      <c r="O8" s="311"/>
      <c r="P8" s="311"/>
      <c r="Q8" s="311"/>
      <c r="R8" s="187">
        <f>SUM(F8:Q8)</f>
        <v>0</v>
      </c>
      <c r="S8" s="188"/>
      <c r="T8" s="189"/>
      <c r="U8" s="190"/>
      <c r="V8" s="190"/>
      <c r="W8" s="190"/>
      <c r="BA8"/>
      <c r="BB8"/>
    </row>
    <row r="9" spans="1:55" s="191" customFormat="1" ht="13.5">
      <c r="A9" s="182"/>
      <c r="B9" s="260" t="s">
        <v>325</v>
      </c>
      <c r="C9" s="183" t="s">
        <v>335</v>
      </c>
      <c r="D9" s="192" t="s">
        <v>81</v>
      </c>
      <c r="E9" s="193"/>
      <c r="F9" s="194"/>
      <c r="G9" s="194"/>
      <c r="H9" s="194"/>
      <c r="I9" s="194">
        <v>29036</v>
      </c>
      <c r="J9" s="194">
        <v>25248</v>
      </c>
      <c r="K9" s="194">
        <v>23986</v>
      </c>
      <c r="L9" s="194">
        <v>29036</v>
      </c>
      <c r="M9" s="194">
        <v>25248</v>
      </c>
      <c r="N9" s="194">
        <v>27774</v>
      </c>
      <c r="O9" s="194">
        <v>25248</v>
      </c>
      <c r="P9" s="194">
        <v>20615</v>
      </c>
      <c r="Q9" s="194">
        <v>27485</v>
      </c>
      <c r="R9" s="195">
        <f t="shared" ref="R9:R23" si="1">SUM(F9:Q9)</f>
        <v>233676</v>
      </c>
      <c r="S9" s="196"/>
      <c r="T9" s="197"/>
      <c r="U9" s="190"/>
      <c r="V9" s="190"/>
      <c r="W9" s="190"/>
      <c r="BA9"/>
      <c r="BB9"/>
    </row>
    <row r="10" spans="1:55" s="191" customFormat="1" ht="13.5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5">
        <f t="shared" si="1"/>
        <v>0</v>
      </c>
      <c r="S10" s="201"/>
      <c r="T10" s="202"/>
      <c r="U10" s="190"/>
      <c r="V10" s="190"/>
      <c r="W10" s="190"/>
      <c r="BA10"/>
      <c r="BB10"/>
    </row>
    <row r="11" spans="1:55" s="208" customFormat="1" ht="13.5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5">
        <f t="shared" si="1"/>
        <v>0</v>
      </c>
      <c r="S11" s="206"/>
      <c r="T11" s="207"/>
      <c r="U11" s="190"/>
      <c r="V11" s="190"/>
      <c r="W11" s="190"/>
      <c r="BA11"/>
      <c r="BB11"/>
    </row>
    <row r="12" spans="1:55" s="208" customFormat="1" ht="13.5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1"/>
        <v>0</v>
      </c>
      <c r="S12" s="214" t="s">
        <v>692</v>
      </c>
      <c r="T12" s="207"/>
      <c r="U12" s="190"/>
      <c r="V12" s="190"/>
      <c r="W12" s="190"/>
      <c r="BA12"/>
      <c r="BB12"/>
    </row>
    <row r="13" spans="1:55" s="208" customFormat="1" ht="13.5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1"/>
        <v>0</v>
      </c>
      <c r="S13" s="214" t="s">
        <v>692</v>
      </c>
      <c r="T13" s="207"/>
      <c r="U13" s="190"/>
      <c r="V13" s="190"/>
      <c r="W13" s="190"/>
      <c r="BA13"/>
      <c r="BB13"/>
    </row>
    <row r="14" spans="1:55" s="208" customFormat="1" ht="13.5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1"/>
        <v>0</v>
      </c>
      <c r="S14" s="214" t="s">
        <v>692</v>
      </c>
      <c r="T14" s="207"/>
      <c r="U14" s="190"/>
      <c r="V14" s="190"/>
      <c r="W14" s="190"/>
      <c r="BA14"/>
      <c r="BB14"/>
    </row>
    <row r="15" spans="1:55" s="208" customFormat="1" ht="13.5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1"/>
        <v>0</v>
      </c>
      <c r="S15" s="214" t="s">
        <v>692</v>
      </c>
      <c r="T15" s="207"/>
      <c r="U15" s="190"/>
      <c r="V15" s="190"/>
      <c r="W15" s="190"/>
      <c r="BA15"/>
      <c r="BB15"/>
    </row>
    <row r="16" spans="1:55" s="208" customFormat="1" ht="13.5">
      <c r="A16" s="203"/>
      <c r="B16" s="263" t="s">
        <v>326</v>
      </c>
      <c r="C16" s="183" t="s">
        <v>338</v>
      </c>
      <c r="D16" s="215" t="s">
        <v>86</v>
      </c>
      <c r="E16" s="20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205">
        <f t="shared" si="1"/>
        <v>0</v>
      </c>
      <c r="S16" s="206"/>
      <c r="T16" s="207"/>
      <c r="U16" s="190"/>
      <c r="V16" s="190"/>
      <c r="W16" s="190"/>
      <c r="BA16"/>
      <c r="BB16"/>
    </row>
    <row r="17" spans="1:54" s="191" customFormat="1" ht="13.5">
      <c r="A17" s="182"/>
      <c r="B17" s="263" t="s">
        <v>327</v>
      </c>
      <c r="C17" s="183" t="s">
        <v>339</v>
      </c>
      <c r="D17" s="215" t="s">
        <v>86</v>
      </c>
      <c r="E17" s="204"/>
      <c r="F17" s="194"/>
      <c r="G17" s="194"/>
      <c r="H17" s="194"/>
      <c r="I17" s="194">
        <v>3971</v>
      </c>
      <c r="J17" s="194">
        <v>3965</v>
      </c>
      <c r="K17" s="194">
        <v>3963</v>
      </c>
      <c r="L17" s="194">
        <v>3971</v>
      </c>
      <c r="M17" s="194">
        <v>3965</v>
      </c>
      <c r="N17" s="194">
        <v>3969</v>
      </c>
      <c r="O17" s="194">
        <v>3965</v>
      </c>
      <c r="P17" s="194">
        <v>4305</v>
      </c>
      <c r="Q17" s="194">
        <v>4315</v>
      </c>
      <c r="R17" s="205">
        <f t="shared" si="1"/>
        <v>36389</v>
      </c>
      <c r="S17" s="206"/>
      <c r="T17" s="207"/>
      <c r="U17" s="190"/>
      <c r="V17" s="190"/>
      <c r="W17" s="190"/>
      <c r="BA17"/>
      <c r="BB17"/>
    </row>
    <row r="18" spans="1:54" s="191" customFormat="1" ht="13.5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5">
        <f t="shared" si="1"/>
        <v>0</v>
      </c>
      <c r="S18" s="201"/>
      <c r="T18" s="202"/>
      <c r="U18" s="190"/>
      <c r="V18" s="190"/>
      <c r="W18" s="190"/>
      <c r="BA18"/>
      <c r="BB18"/>
    </row>
    <row r="19" spans="1:54" s="208" customFormat="1" ht="13.5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05">
        <f t="shared" si="1"/>
        <v>0</v>
      </c>
      <c r="S19" s="206"/>
      <c r="T19" s="207"/>
      <c r="U19" s="190"/>
      <c r="V19" s="190"/>
      <c r="W19" s="190"/>
      <c r="BA19"/>
      <c r="BB19"/>
    </row>
    <row r="20" spans="1:54" s="208" customFormat="1" ht="13.5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1"/>
        <v>0</v>
      </c>
      <c r="S20" s="214" t="s">
        <v>692</v>
      </c>
      <c r="T20" s="207"/>
      <c r="U20" s="190"/>
      <c r="V20" s="190"/>
      <c r="W20" s="190"/>
      <c r="BA20"/>
      <c r="BB20"/>
    </row>
    <row r="21" spans="1:54" s="208" customFormat="1" ht="13.5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1"/>
        <v>0</v>
      </c>
      <c r="S21" s="214" t="s">
        <v>692</v>
      </c>
      <c r="T21" s="207"/>
      <c r="U21" s="190"/>
      <c r="V21" s="190"/>
      <c r="W21" s="190"/>
      <c r="BA21"/>
      <c r="BB21"/>
    </row>
    <row r="22" spans="1:54" s="208" customFormat="1" ht="13.5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1"/>
        <v>0</v>
      </c>
      <c r="S22" s="214" t="s">
        <v>692</v>
      </c>
      <c r="T22" s="207"/>
      <c r="U22" s="190"/>
      <c r="V22" s="190"/>
      <c r="W22" s="190"/>
      <c r="BA22"/>
      <c r="BB22"/>
    </row>
    <row r="23" spans="1:54" s="208" customFormat="1" ht="13.5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1"/>
        <v>0</v>
      </c>
      <c r="S23" s="214" t="s">
        <v>692</v>
      </c>
      <c r="T23" s="207"/>
      <c r="U23" s="190"/>
      <c r="V23" s="190"/>
      <c r="W23" s="190"/>
      <c r="BA23"/>
      <c r="BB23"/>
    </row>
    <row r="24" spans="1:54" s="208" customFormat="1" ht="13.5">
      <c r="A24" s="203"/>
      <c r="B24" s="264" t="s">
        <v>343</v>
      </c>
      <c r="C24" s="265" t="s">
        <v>343</v>
      </c>
      <c r="D24" s="266" t="s">
        <v>343</v>
      </c>
      <c r="E24" s="245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267"/>
      <c r="R24" s="200">
        <f>Q24</f>
        <v>0</v>
      </c>
      <c r="S24" s="201"/>
      <c r="T24" s="202"/>
      <c r="U24" s="268"/>
      <c r="V24" s="190"/>
      <c r="W24" s="190"/>
      <c r="BA24"/>
      <c r="BB24"/>
    </row>
    <row r="25" spans="1:54" s="191" customFormat="1" ht="15.7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/>
      <c r="G25" s="271"/>
      <c r="H25" s="271"/>
      <c r="I25" s="305">
        <v>158</v>
      </c>
      <c r="J25" s="305">
        <v>158</v>
      </c>
      <c r="K25" s="305">
        <v>158</v>
      </c>
      <c r="L25" s="305">
        <v>158</v>
      </c>
      <c r="M25" s="305">
        <v>158</v>
      </c>
      <c r="N25" s="305">
        <v>158</v>
      </c>
      <c r="O25" s="305">
        <v>158</v>
      </c>
      <c r="P25" s="305">
        <v>172</v>
      </c>
      <c r="Q25" s="305">
        <v>172</v>
      </c>
      <c r="R25" s="272">
        <f>Q25</f>
        <v>172</v>
      </c>
      <c r="S25" s="273"/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.5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1">
        <f t="shared" ref="R26:R94" si="2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.5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21">
        <f t="shared" si="2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.5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21">
        <f t="shared" si="2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4.2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6">
        <f t="shared" si="2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.5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2"/>
        <v>0</v>
      </c>
      <c r="S30" s="201"/>
      <c r="T30" s="202"/>
      <c r="U30" s="190"/>
      <c r="V30" s="190"/>
      <c r="W30" s="190"/>
      <c r="BA30"/>
      <c r="BB30"/>
    </row>
    <row r="31" spans="1:54" s="208" customFormat="1" ht="13.5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2"/>
        <v>0</v>
      </c>
      <c r="S31" s="201" t="s">
        <v>692</v>
      </c>
      <c r="T31" s="202"/>
      <c r="U31" s="190"/>
      <c r="V31" s="190"/>
      <c r="W31" s="190"/>
      <c r="BA31"/>
      <c r="BB31"/>
    </row>
    <row r="32" spans="1:54" s="208" customFormat="1" ht="13.5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2"/>
        <v>0</v>
      </c>
      <c r="S32" s="201" t="s">
        <v>692</v>
      </c>
      <c r="T32" s="202"/>
      <c r="U32" s="190"/>
      <c r="V32" s="190"/>
      <c r="W32" s="190"/>
      <c r="BA32"/>
      <c r="BB32"/>
    </row>
    <row r="33" spans="1:54" s="208" customFormat="1" ht="13.5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2"/>
        <v>0</v>
      </c>
      <c r="S33" s="201" t="s">
        <v>692</v>
      </c>
      <c r="T33" s="202"/>
      <c r="U33" s="190"/>
      <c r="V33" s="190"/>
      <c r="W33" s="190"/>
      <c r="BA33"/>
      <c r="BB33"/>
    </row>
    <row r="34" spans="1:54" s="208" customFormat="1" ht="13.5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2"/>
        <v>0</v>
      </c>
      <c r="S34" s="201" t="s">
        <v>692</v>
      </c>
      <c r="T34" s="202"/>
      <c r="U34" s="190"/>
      <c r="V34" s="190"/>
      <c r="W34" s="190"/>
      <c r="BA34"/>
      <c r="BB34"/>
    </row>
    <row r="35" spans="1:54" s="208" customFormat="1" ht="13.5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2"/>
        <v>0</v>
      </c>
      <c r="S35" s="201"/>
      <c r="T35" s="202"/>
      <c r="U35" s="190"/>
      <c r="V35" s="190"/>
      <c r="W35" s="190"/>
      <c r="BA35"/>
      <c r="BB35"/>
    </row>
    <row r="36" spans="1:54" s="191" customFormat="1" ht="13.5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2"/>
        <v>0</v>
      </c>
      <c r="S36" s="201"/>
      <c r="T36" s="202"/>
      <c r="U36" s="246"/>
      <c r="V36" s="246"/>
      <c r="W36" s="246"/>
      <c r="BA36"/>
      <c r="BB36"/>
    </row>
    <row r="37" spans="1:54" s="191" customFormat="1" ht="13.5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2"/>
        <v>0</v>
      </c>
      <c r="S37" s="201"/>
      <c r="T37" s="202"/>
      <c r="U37" s="246"/>
      <c r="V37" s="246"/>
      <c r="W37" s="246"/>
      <c r="BA37"/>
      <c r="BB37"/>
    </row>
    <row r="38" spans="1:54" s="191" customFormat="1" ht="13.5">
      <c r="A38" s="226"/>
      <c r="B38" s="180">
        <v>9114120018</v>
      </c>
      <c r="C38" s="183" t="str">
        <f>IFERROR(IF(VLOOKUP($B38,勘定科目!$A:$H,HLOOKUP($E$5,勘定科目!$F$1:$H$2,2,0),0)="","",VLOOKUP($B38,勘定科目!$A:$E,2,0)),"")</f>
        <v>部内間接経費</v>
      </c>
      <c r="D38" s="239" t="str">
        <f>IF(C38="","",VLOOKUP($B38,勘定科目!$A:$E,4,0))</f>
        <v>部内間接経費</v>
      </c>
      <c r="E38" s="245"/>
      <c r="F38" s="194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00">
        <f t="shared" si="2"/>
        <v>0</v>
      </c>
      <c r="S38" s="201"/>
      <c r="T38" s="202"/>
      <c r="U38" s="246"/>
      <c r="V38" s="246"/>
      <c r="W38" s="246"/>
      <c r="BA38"/>
      <c r="BB38"/>
    </row>
    <row r="39" spans="1:54" s="191" customFormat="1" ht="13.5">
      <c r="A39" s="226"/>
      <c r="B39" s="180"/>
      <c r="C39" s="183" t="str">
        <f>IFERROR(IF(VLOOKUP($B39,勘定科目!$A:$H,HLOOKUP($E$5,勘定科目!$F$1:$H$2,2,0),0)="","",VLOOKUP($B39,勘定科目!$A:$E,2,0)),"")</f>
        <v/>
      </c>
      <c r="D39" s="239" t="str">
        <f>IF(C39="","",VLOOKUP($B39,勘定科目!$A:$E,4,0))</f>
        <v/>
      </c>
      <c r="E39" s="245"/>
      <c r="F39" s="194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00">
        <f t="shared" si="2"/>
        <v>0</v>
      </c>
      <c r="S39" s="201"/>
      <c r="T39" s="202"/>
      <c r="U39" s="246"/>
      <c r="V39" s="246"/>
      <c r="W39" s="246"/>
      <c r="BA39"/>
      <c r="BB39"/>
    </row>
    <row r="40" spans="1:54" s="191" customFormat="1" ht="13.5">
      <c r="A40" s="226"/>
      <c r="B40" s="180">
        <v>5005136281</v>
      </c>
      <c r="C40" s="183" t="str">
        <f>IFERROR(IF(VLOOKUP($B40,勘定科目!$A:$H,HLOOKUP($E$5,勘定科目!$F$1:$H$2,2,0),0)="","",VLOOKUP($B40,勘定科目!$A:$E,2,0)),"")</f>
        <v>通信費（製）</v>
      </c>
      <c r="D40" s="239" t="str">
        <f>IF(C40="","",VLOOKUP($B40,勘定科目!$A:$E,4,0))</f>
        <v>通信費</v>
      </c>
      <c r="E40" s="245"/>
      <c r="F40" s="194"/>
      <c r="G40" s="194"/>
      <c r="H40" s="194"/>
      <c r="I40" s="312"/>
      <c r="J40" s="312">
        <f t="shared" ref="J40:Q40" si="3">(13*99000+12*149000+2*99000)</f>
        <v>3273000</v>
      </c>
      <c r="K40" s="312">
        <f t="shared" si="3"/>
        <v>3273000</v>
      </c>
      <c r="L40" s="312">
        <f t="shared" si="3"/>
        <v>3273000</v>
      </c>
      <c r="M40" s="312">
        <f t="shared" si="3"/>
        <v>3273000</v>
      </c>
      <c r="N40" s="312">
        <f t="shared" si="3"/>
        <v>3273000</v>
      </c>
      <c r="O40" s="312">
        <f t="shared" si="3"/>
        <v>3273000</v>
      </c>
      <c r="P40" s="312">
        <f t="shared" si="3"/>
        <v>3273000</v>
      </c>
      <c r="Q40" s="312">
        <f t="shared" si="3"/>
        <v>3273000</v>
      </c>
      <c r="R40" s="200">
        <f t="shared" si="2"/>
        <v>26184000</v>
      </c>
      <c r="S40" s="300" t="s">
        <v>709</v>
      </c>
      <c r="T40" s="202"/>
      <c r="U40" s="246"/>
      <c r="V40" s="246"/>
      <c r="W40" s="246"/>
      <c r="BA40"/>
      <c r="BB40"/>
    </row>
    <row r="41" spans="1:54" s="191" customFormat="1" ht="13.5">
      <c r="A41" s="226"/>
      <c r="B41" s="180">
        <v>5005136281</v>
      </c>
      <c r="C41" s="183" t="str">
        <f>IFERROR(IF(VLOOKUP($B41,勘定科目!$A:$H,HLOOKUP($E$5,勘定科目!$F$1:$H$2,2,0),0)="","",VLOOKUP($B41,勘定科目!$A:$E,2,0)),"")</f>
        <v>通信費（製）</v>
      </c>
      <c r="D41" s="239" t="str">
        <f>IF(C41="","",VLOOKUP($B41,勘定科目!$A:$E,4,0))</f>
        <v>通信費</v>
      </c>
      <c r="E41" s="245"/>
      <c r="F41" s="194"/>
      <c r="G41" s="194"/>
      <c r="H41" s="194"/>
      <c r="I41" s="312"/>
      <c r="J41" s="312"/>
      <c r="K41" s="312"/>
      <c r="L41" s="312"/>
      <c r="M41" s="312"/>
      <c r="N41" s="312"/>
      <c r="O41" s="312"/>
      <c r="P41" s="312"/>
      <c r="Q41" s="312"/>
      <c r="R41" s="200">
        <f t="shared" si="2"/>
        <v>0</v>
      </c>
      <c r="S41" s="300"/>
      <c r="T41" s="202"/>
      <c r="U41" s="246"/>
      <c r="V41" s="246"/>
      <c r="W41" s="246"/>
      <c r="BA41"/>
      <c r="BB41"/>
    </row>
    <row r="42" spans="1:54" s="191" customFormat="1" ht="13.5">
      <c r="A42" s="226"/>
      <c r="B42" s="180">
        <v>5005246282</v>
      </c>
      <c r="C42" s="183" t="str">
        <f>IFERROR(IF(VLOOKUP($B42,勘定科目!$A:$H,HLOOKUP($E$5,勘定科目!$F$1:$H$2,2,0),0)="","",VLOOKUP($B42,勘定科目!$A:$E,2,0)),"")</f>
        <v>ＫＤＣシステム使用料（製）</v>
      </c>
      <c r="D42" s="239" t="str">
        <f>IF(C42="","",VLOOKUP($B42,勘定科目!$A:$E,4,0))</f>
        <v>図書及び事務費</v>
      </c>
      <c r="E42" s="245"/>
      <c r="F42" s="194"/>
      <c r="G42" s="194"/>
      <c r="H42" s="194"/>
      <c r="I42" s="312"/>
      <c r="J42" s="312">
        <f t="shared" ref="J42:Q42" si="4">ROUND((11.46*17)*25359,0)</f>
        <v>4940440</v>
      </c>
      <c r="K42" s="312">
        <f t="shared" si="4"/>
        <v>4940440</v>
      </c>
      <c r="L42" s="312">
        <f t="shared" si="4"/>
        <v>4940440</v>
      </c>
      <c r="M42" s="312">
        <f t="shared" si="4"/>
        <v>4940440</v>
      </c>
      <c r="N42" s="312">
        <f t="shared" si="4"/>
        <v>4940440</v>
      </c>
      <c r="O42" s="312">
        <f t="shared" si="4"/>
        <v>4940440</v>
      </c>
      <c r="P42" s="312">
        <f t="shared" si="4"/>
        <v>4940440</v>
      </c>
      <c r="Q42" s="312">
        <f t="shared" si="4"/>
        <v>4940440</v>
      </c>
      <c r="R42" s="200">
        <f t="shared" si="2"/>
        <v>39523520</v>
      </c>
      <c r="S42" s="300" t="s">
        <v>695</v>
      </c>
      <c r="T42" s="202"/>
      <c r="U42" s="246"/>
      <c r="V42" s="246"/>
      <c r="W42" s="246"/>
      <c r="BA42"/>
      <c r="BB42"/>
    </row>
    <row r="43" spans="1:54" s="191" customFormat="1" ht="13.5">
      <c r="A43" s="226"/>
      <c r="B43" s="180">
        <v>5005246283</v>
      </c>
      <c r="C43" s="183" t="str">
        <f>IFERROR(IF(VLOOKUP($B43,勘定科目!$A:$H,HLOOKUP($E$5,勘定科目!$F$1:$H$2,2,0),0)="","",VLOOKUP($B43,勘定科目!$A:$E,2,0)),"")</f>
        <v>ライセンス料（製）</v>
      </c>
      <c r="D43" s="239" t="str">
        <f>IF(C43="","",VLOOKUP($B43,勘定科目!$A:$E,4,0))</f>
        <v>図書及び事務費</v>
      </c>
      <c r="E43" s="245"/>
      <c r="F43" s="194"/>
      <c r="G43" s="194"/>
      <c r="H43" s="194"/>
      <c r="I43" s="312"/>
      <c r="J43" s="312"/>
      <c r="K43" s="312"/>
      <c r="L43" s="312"/>
      <c r="M43" s="312"/>
      <c r="N43" s="312"/>
      <c r="O43" s="312"/>
      <c r="P43" s="312"/>
      <c r="Q43" s="312"/>
      <c r="R43" s="200">
        <f t="shared" si="2"/>
        <v>0</v>
      </c>
      <c r="S43" s="300"/>
      <c r="T43" s="202"/>
      <c r="U43" s="246"/>
      <c r="V43" s="246"/>
      <c r="W43" s="246"/>
      <c r="BA43"/>
      <c r="BB43"/>
    </row>
    <row r="44" spans="1:54" s="191" customFormat="1" ht="13.5">
      <c r="A44" s="226"/>
      <c r="B44" s="180">
        <v>5006016260</v>
      </c>
      <c r="C44" s="183" t="str">
        <f>IFERROR(IF(VLOOKUP($B44,勘定科目!$A:$H,HLOOKUP($E$5,勘定科目!$F$1:$H$2,2,0),0)="","",VLOOKUP($B44,勘定科目!$A:$E,2,0)),"")</f>
        <v>減価償却費配賦（製）　建物</v>
      </c>
      <c r="D44" s="239" t="str">
        <f>IF(C44="","",VLOOKUP($B44,勘定科目!$A:$E,4,0))</f>
        <v>減価償却費</v>
      </c>
      <c r="E44" s="245"/>
      <c r="F44" s="194"/>
      <c r="G44" s="194"/>
      <c r="H44" s="194"/>
      <c r="I44" s="312"/>
      <c r="J44" s="312">
        <f>ROUND(931.72*25390,0)</f>
        <v>23656371</v>
      </c>
      <c r="K44" s="312">
        <f>ROUND(909.34*25390,0)</f>
        <v>23088143</v>
      </c>
      <c r="L44" s="312">
        <f>ROUND(882.55*25390,0)</f>
        <v>22407945</v>
      </c>
      <c r="M44" s="312">
        <f>ROUND(880.7*25390,0)</f>
        <v>22360973</v>
      </c>
      <c r="N44" s="312">
        <f>ROUND(882.05*25390,0)</f>
        <v>22395250</v>
      </c>
      <c r="O44" s="312">
        <f>ROUND(874.32*25390,0)</f>
        <v>22198985</v>
      </c>
      <c r="P44" s="312">
        <f>ROUND(878.53*25390,0)</f>
        <v>22305877</v>
      </c>
      <c r="Q44" s="312">
        <f>ROUND(893.53*25390,0)</f>
        <v>22686727</v>
      </c>
      <c r="R44" s="200">
        <f t="shared" si="2"/>
        <v>181100271</v>
      </c>
      <c r="S44" s="201" t="s">
        <v>696</v>
      </c>
      <c r="T44" s="202"/>
      <c r="U44" s="246"/>
      <c r="V44" s="246"/>
      <c r="W44" s="246"/>
      <c r="BA44"/>
      <c r="BB44"/>
    </row>
    <row r="45" spans="1:54" s="191" customFormat="1" ht="13.5">
      <c r="A45" s="226"/>
      <c r="B45" s="180">
        <v>5006016261</v>
      </c>
      <c r="C45" s="183" t="str">
        <f>IFERROR(IF(VLOOKUP($B45,勘定科目!$A:$H,HLOOKUP($E$5,勘定科目!$F$1:$H$2,2,0),0)="","",VLOOKUP($B45,勘定科目!$A:$E,2,0)),"")</f>
        <v>減価償却費配賦（製）　土地使用権</v>
      </c>
      <c r="D45" s="239" t="str">
        <f>IF(C45="","",VLOOKUP($B45,勘定科目!$A:$E,4,0))</f>
        <v>減価償却費</v>
      </c>
      <c r="E45" s="245"/>
      <c r="F45" s="194"/>
      <c r="G45" s="194"/>
      <c r="H45" s="194"/>
      <c r="I45" s="312"/>
      <c r="J45" s="312">
        <f>ROUND(62.89*25390,0)</f>
        <v>1596777</v>
      </c>
      <c r="K45" s="312">
        <f>ROUND(61.38*25390,0)</f>
        <v>1558438</v>
      </c>
      <c r="L45" s="312">
        <f>ROUND(59.57*25390,0)</f>
        <v>1512482</v>
      </c>
      <c r="M45" s="312">
        <f>ROUND(59.44*25390,0)</f>
        <v>1509182</v>
      </c>
      <c r="N45" s="312">
        <f>ROUND(59.54*25390,0)</f>
        <v>1511721</v>
      </c>
      <c r="O45" s="312">
        <f>ROUND(59.01*25390,0)</f>
        <v>1498264</v>
      </c>
      <c r="P45" s="312">
        <f>ROUND(59.3*25390,0)</f>
        <v>1505627</v>
      </c>
      <c r="Q45" s="312">
        <f>ROUND(60.31*25390,0)</f>
        <v>1531271</v>
      </c>
      <c r="R45" s="200">
        <f t="shared" si="2"/>
        <v>12223762</v>
      </c>
      <c r="S45" s="201" t="s">
        <v>697</v>
      </c>
      <c r="T45" s="202"/>
      <c r="U45" s="246"/>
      <c r="V45" s="246"/>
      <c r="W45" s="246"/>
      <c r="BA45"/>
      <c r="BB45"/>
    </row>
    <row r="46" spans="1:54" s="191" customFormat="1" ht="13.5">
      <c r="A46" s="226"/>
      <c r="B46" s="180">
        <v>9114120007</v>
      </c>
      <c r="C46" s="183" t="str">
        <f>IFERROR(IF(VLOOKUP($B46,勘定科目!$A:$H,HLOOKUP($E$5,勘定科目!$F$1:$H$2,2,0),0)="","",VLOOKUP($B46,勘定科目!$A:$E,2,0)),"")</f>
        <v>社内金利（固定資産）</v>
      </c>
      <c r="D46" s="239" t="str">
        <f>IF(C46="","",VLOOKUP($B46,勘定科目!$A:$E,4,0))</f>
        <v>固定資産金利</v>
      </c>
      <c r="E46" s="245"/>
      <c r="F46" s="194"/>
      <c r="G46" s="194"/>
      <c r="H46" s="194"/>
      <c r="I46" s="312"/>
      <c r="J46" s="312">
        <f>ROUND(598.89*25390,0)</f>
        <v>15205817</v>
      </c>
      <c r="K46" s="312">
        <f>ROUND(584.51*25390,0)</f>
        <v>14840709</v>
      </c>
      <c r="L46" s="312">
        <f>ROUND(567.29*25390,0)</f>
        <v>14403493</v>
      </c>
      <c r="M46" s="312">
        <f>ROUND(566.1*25390,0)</f>
        <v>14373279</v>
      </c>
      <c r="N46" s="312">
        <f>ROUND(566.97*25390,0)</f>
        <v>14395368</v>
      </c>
      <c r="O46" s="312">
        <f>ROUND(562*25390,0)</f>
        <v>14269180</v>
      </c>
      <c r="P46" s="312">
        <f>ROUND(564.71*25390,0)</f>
        <v>14337987</v>
      </c>
      <c r="Q46" s="312">
        <f>ROUND(574.34*25390,0)</f>
        <v>14582493</v>
      </c>
      <c r="R46" s="200">
        <f t="shared" si="2"/>
        <v>116408326</v>
      </c>
      <c r="S46" s="201" t="s">
        <v>693</v>
      </c>
      <c r="T46" s="202"/>
      <c r="U46" s="246"/>
      <c r="V46" s="246"/>
      <c r="W46" s="246"/>
      <c r="BA46"/>
      <c r="BB46"/>
    </row>
    <row r="47" spans="1:54" s="191" customFormat="1" ht="13.5">
      <c r="A47" s="226"/>
      <c r="B47" s="180">
        <v>9114120007</v>
      </c>
      <c r="C47" s="183" t="str">
        <f>IFERROR(IF(VLOOKUP($B47,勘定科目!$A:$H,HLOOKUP($E$5,勘定科目!$F$1:$H$2,2,0),0)="","",VLOOKUP($B47,勘定科目!$A:$E,2,0)),"")</f>
        <v>社内金利（固定資産）</v>
      </c>
      <c r="D47" s="239" t="str">
        <f>IF(C47="","",VLOOKUP($B47,勘定科目!$A:$E,4,0))</f>
        <v>固定資産金利</v>
      </c>
      <c r="E47" s="245"/>
      <c r="F47" s="194"/>
      <c r="G47" s="194"/>
      <c r="H47" s="194"/>
      <c r="I47" s="312"/>
      <c r="J47" s="312">
        <f>ROUND(75.93*25390,0)</f>
        <v>1927863</v>
      </c>
      <c r="K47" s="312">
        <f>ROUND(74.11*25390,0)</f>
        <v>1881653</v>
      </c>
      <c r="L47" s="312">
        <f>ROUND(71.93*25390,0)</f>
        <v>1826303</v>
      </c>
      <c r="M47" s="312">
        <f>ROUND(71.77*25390,0)</f>
        <v>1822240</v>
      </c>
      <c r="N47" s="312">
        <f>ROUND(71.89*25390,0)</f>
        <v>1825287</v>
      </c>
      <c r="O47" s="312">
        <f>ROUND(71.25*25390,0)</f>
        <v>1809038</v>
      </c>
      <c r="P47" s="312">
        <f>ROUND(71.6*25390,0)</f>
        <v>1817924</v>
      </c>
      <c r="Q47" s="312">
        <f>ROUND(72.82*25390,0)</f>
        <v>1848900</v>
      </c>
      <c r="R47" s="200">
        <f t="shared" si="2"/>
        <v>14759208</v>
      </c>
      <c r="S47" s="201" t="s">
        <v>694</v>
      </c>
      <c r="T47" s="202"/>
      <c r="U47" s="246"/>
      <c r="V47" s="246"/>
      <c r="W47" s="246"/>
      <c r="BA47"/>
      <c r="BB47"/>
    </row>
    <row r="48" spans="1:54" s="191" customFormat="1" ht="13.5">
      <c r="A48" s="226"/>
      <c r="B48" s="180">
        <v>5005066281</v>
      </c>
      <c r="C48" s="183" t="str">
        <f>IFERROR(IF(VLOOKUP($B48,勘定科目!$A:$H,HLOOKUP($E$5,勘定科目!$F$1:$H$2,2,0),0)="","",VLOOKUP($B48,勘定科目!$A:$E,2,0)),"")</f>
        <v>電気代（製）</v>
      </c>
      <c r="D48" s="239" t="str">
        <f>IF(C48="","",VLOOKUP($B48,勘定科目!$A:$E,4,0))</f>
        <v>水道光熱費</v>
      </c>
      <c r="E48" s="245"/>
      <c r="F48" s="194"/>
      <c r="G48" s="194"/>
      <c r="H48" s="194"/>
      <c r="I48" s="312"/>
      <c r="J48" s="312"/>
      <c r="K48" s="312"/>
      <c r="L48" s="312"/>
      <c r="M48" s="312"/>
      <c r="N48" s="312"/>
      <c r="O48" s="312"/>
      <c r="P48" s="312"/>
      <c r="Q48" s="312"/>
      <c r="R48" s="200">
        <f t="shared" si="2"/>
        <v>0</v>
      </c>
      <c r="S48" s="300"/>
      <c r="T48" s="202"/>
      <c r="U48" s="246"/>
      <c r="V48" s="246"/>
      <c r="W48" s="246"/>
      <c r="BA48"/>
      <c r="BB48"/>
    </row>
    <row r="49" spans="1:54" s="191" customFormat="1" ht="13.5">
      <c r="A49" s="226"/>
      <c r="B49" s="180">
        <v>5005066282</v>
      </c>
      <c r="C49" s="183" t="str">
        <f>IFERROR(IF(VLOOKUP($B49,勘定科目!$A:$H,HLOOKUP($E$5,勘定科目!$F$1:$H$2,2,0),0)="","",VLOOKUP($B49,勘定科目!$A:$E,2,0)),"")</f>
        <v>水道代（製）</v>
      </c>
      <c r="D49" s="239" t="str">
        <f>IF(C49="","",VLOOKUP($B49,勘定科目!$A:$E,4,0))</f>
        <v>水道光熱費</v>
      </c>
      <c r="E49" s="245"/>
      <c r="F49" s="194"/>
      <c r="G49" s="194"/>
      <c r="H49" s="194"/>
      <c r="I49" s="312"/>
      <c r="J49" s="312"/>
      <c r="K49" s="312"/>
      <c r="L49" s="312"/>
      <c r="M49" s="312"/>
      <c r="N49" s="312"/>
      <c r="O49" s="312"/>
      <c r="P49" s="312"/>
      <c r="Q49" s="312"/>
      <c r="R49" s="200">
        <f t="shared" si="2"/>
        <v>0</v>
      </c>
      <c r="S49" s="300"/>
      <c r="T49" s="202"/>
      <c r="U49" s="246"/>
      <c r="V49" s="246"/>
      <c r="W49" s="246"/>
      <c r="BA49"/>
      <c r="BB49"/>
    </row>
    <row r="50" spans="1:54" s="191" customFormat="1" ht="13.5">
      <c r="A50" s="226"/>
      <c r="B50" s="180">
        <v>5005056281</v>
      </c>
      <c r="C50" s="183" t="str">
        <f>IFERROR(IF(VLOOKUP($B50,勘定科目!$A:$H,HLOOKUP($E$5,勘定科目!$F$1:$H$2,2,0),0)="","",VLOOKUP($B50,勘定科目!$A:$E,2,0)),"")</f>
        <v>ガス代（製）</v>
      </c>
      <c r="D50" s="239" t="str">
        <f>IF(C50="","",VLOOKUP($B50,勘定科目!$A:$E,4,0))</f>
        <v>水道光熱費</v>
      </c>
      <c r="E50" s="245"/>
      <c r="F50" s="194"/>
      <c r="G50" s="194"/>
      <c r="H50" s="194"/>
      <c r="I50" s="312"/>
      <c r="J50" s="312">
        <f>ROUND((I24+I25)*42688,0)</f>
        <v>6744704</v>
      </c>
      <c r="K50" s="312">
        <f>ROUND((J24+J25)*38491,0)</f>
        <v>6081578</v>
      </c>
      <c r="L50" s="312">
        <f>ROUND((K25+K24)*46977,0)</f>
        <v>7422366</v>
      </c>
      <c r="M50" s="312">
        <f>ROUND((L24+L25)*41126,0)</f>
        <v>6497908</v>
      </c>
      <c r="N50" s="312">
        <f>ROUND((M24+M25)*44086,0)</f>
        <v>6965588</v>
      </c>
      <c r="O50" s="312">
        <f>ROUND((N24+N25)*42459,0)</f>
        <v>6708522</v>
      </c>
      <c r="P50" s="312">
        <f>ROUND((O24+O25)*32894,0)</f>
        <v>5197252</v>
      </c>
      <c r="Q50" s="312">
        <f>ROUND((P24+P25)*42542,0)</f>
        <v>7317224</v>
      </c>
      <c r="R50" s="200">
        <f t="shared" si="2"/>
        <v>52935142</v>
      </c>
      <c r="S50" s="300" t="s">
        <v>706</v>
      </c>
      <c r="T50" s="202"/>
      <c r="U50" s="246"/>
      <c r="V50" s="246"/>
      <c r="W50" s="246"/>
      <c r="BA50"/>
      <c r="BB50"/>
    </row>
    <row r="51" spans="1:54" s="191" customFormat="1" ht="13.5">
      <c r="A51" s="226"/>
      <c r="B51" s="180">
        <v>5005066281</v>
      </c>
      <c r="C51" s="183" t="str">
        <f>IFERROR(IF(VLOOKUP($B51,勘定科目!$A:$H,HLOOKUP($E$5,勘定科目!$F$1:$H$2,2,0),0)="","",VLOOKUP($B51,勘定科目!$A:$E,2,0)),"")</f>
        <v>電気代（製）</v>
      </c>
      <c r="D51" s="239" t="str">
        <f>IF(C51="","",VLOOKUP($B51,勘定科目!$A:$E,4,0))</f>
        <v>水道光熱費</v>
      </c>
      <c r="E51" s="245"/>
      <c r="F51" s="194"/>
      <c r="G51" s="194"/>
      <c r="H51" s="194"/>
      <c r="I51" s="312"/>
      <c r="J51" s="312">
        <v>2390344</v>
      </c>
      <c r="K51" s="312">
        <v>2192522</v>
      </c>
      <c r="L51" s="312">
        <v>2199702</v>
      </c>
      <c r="M51" s="312">
        <v>1978215</v>
      </c>
      <c r="N51" s="312">
        <v>1895790</v>
      </c>
      <c r="O51" s="312">
        <v>1674303</v>
      </c>
      <c r="P51" s="312">
        <v>1671187</v>
      </c>
      <c r="Q51" s="312">
        <v>1318810</v>
      </c>
      <c r="R51" s="200">
        <f t="shared" si="2"/>
        <v>15320873</v>
      </c>
      <c r="S51" s="300" t="s">
        <v>707</v>
      </c>
      <c r="T51" s="202"/>
      <c r="U51" s="246"/>
      <c r="V51" s="246"/>
      <c r="W51" s="246"/>
      <c r="BA51"/>
      <c r="BB51"/>
    </row>
    <row r="52" spans="1:54" s="191" customFormat="1" ht="13.5">
      <c r="A52" s="226"/>
      <c r="B52" s="180">
        <v>5005066282</v>
      </c>
      <c r="C52" s="183" t="str">
        <f>IFERROR(IF(VLOOKUP($B52,勘定科目!$A:$H,HLOOKUP($E$5,勘定科目!$F$1:$H$2,2,0),0)="","",VLOOKUP($B52,勘定科目!$A:$E,2,0)),"")</f>
        <v>水道代（製）</v>
      </c>
      <c r="D52" s="239" t="str">
        <f>IF(C52="","",VLOOKUP($B52,勘定科目!$A:$E,4,0))</f>
        <v>水道光熱費</v>
      </c>
      <c r="E52" s="245"/>
      <c r="F52" s="194"/>
      <c r="G52" s="194"/>
      <c r="H52" s="194"/>
      <c r="I52" s="312"/>
      <c r="J52" s="312">
        <f>ROUND(7331180.05050505,0)</f>
        <v>7331180</v>
      </c>
      <c r="K52" s="312">
        <f>ROUND(6361214.85858586,0)</f>
        <v>6361215</v>
      </c>
      <c r="L52" s="312">
        <f>ROUND(4357611.05940594,0)</f>
        <v>4357611</v>
      </c>
      <c r="M52" s="312">
        <f>ROUND(6069623.18811881,0)</f>
        <v>6069623</v>
      </c>
      <c r="N52" s="312">
        <f>ROUND(6061982.87128713,0)</f>
        <v>6061983</v>
      </c>
      <c r="O52" s="312">
        <f>ROUND(4110600.38423645,0)</f>
        <v>4110600</v>
      </c>
      <c r="P52" s="312">
        <f>ROUND(3355515.16363636,0)</f>
        <v>3355515</v>
      </c>
      <c r="Q52" s="312">
        <f>ROUND(3898730.25454545,0)</f>
        <v>3898730</v>
      </c>
      <c r="R52" s="200">
        <f t="shared" si="2"/>
        <v>41546457</v>
      </c>
      <c r="S52" s="300" t="s">
        <v>708</v>
      </c>
      <c r="T52" s="202"/>
      <c r="U52" s="246"/>
      <c r="V52" s="246"/>
      <c r="W52" s="246"/>
      <c r="BA52"/>
      <c r="BB52"/>
    </row>
    <row r="53" spans="1:54" s="191" customFormat="1" ht="13.5">
      <c r="A53" s="226"/>
      <c r="B53" s="180"/>
      <c r="C53" s="183"/>
      <c r="D53" s="239"/>
      <c r="E53" s="245"/>
      <c r="F53" s="194"/>
      <c r="G53" s="194"/>
      <c r="H53" s="194"/>
      <c r="I53" s="312"/>
      <c r="J53" s="312"/>
      <c r="K53" s="312"/>
      <c r="L53" s="312"/>
      <c r="M53" s="312"/>
      <c r="N53" s="312"/>
      <c r="O53" s="312"/>
      <c r="P53" s="312"/>
      <c r="Q53" s="312"/>
      <c r="R53" s="200">
        <f t="shared" si="2"/>
        <v>0</v>
      </c>
      <c r="S53" s="300"/>
      <c r="T53" s="202"/>
      <c r="U53" s="246"/>
      <c r="V53" s="246"/>
      <c r="W53" s="246"/>
      <c r="BA53"/>
      <c r="BB53"/>
    </row>
    <row r="54" spans="1:54" s="191" customFormat="1" ht="13.5">
      <c r="A54" s="226"/>
      <c r="B54" s="180">
        <v>5005016372</v>
      </c>
      <c r="C54" s="183" t="str">
        <f>IFERROR(IF(VLOOKUP($B54,勘定科目!$A:$H,HLOOKUP($E$5,勘定科目!$F$1:$H$2,2,0),0)="","",VLOOKUP($B54,勘定科目!$A:$E,2,0)),"")</f>
        <v>その他消耗品（製）</v>
      </c>
      <c r="D54" s="239" t="str">
        <f>IF(C54="","",VLOOKUP($B54,勘定科目!$A:$E,4,0))</f>
        <v>消耗品費</v>
      </c>
      <c r="E54" s="245"/>
      <c r="F54" s="194"/>
      <c r="G54" s="194"/>
      <c r="H54" s="194"/>
      <c r="I54" s="312"/>
      <c r="J54" s="312">
        <f>ROUND(1360*5300,0)</f>
        <v>7208000</v>
      </c>
      <c r="K54" s="312">
        <f>ROUND(1280*5300,0)</f>
        <v>6784000</v>
      </c>
      <c r="L54" s="312">
        <f>ROUND(1570*5300,0)</f>
        <v>8321000</v>
      </c>
      <c r="M54" s="312">
        <f>ROUND(1360*5300,0)</f>
        <v>7208000</v>
      </c>
      <c r="N54" s="312">
        <f>ROUND(1510*5300,0)</f>
        <v>8003000</v>
      </c>
      <c r="O54" s="312">
        <f>ROUND(1360*5300,0)</f>
        <v>7208000</v>
      </c>
      <c r="P54" s="312">
        <f>ROUND(1080*5300,0)</f>
        <v>5724000</v>
      </c>
      <c r="Q54" s="312">
        <f>ROUND(1580*5300,0)</f>
        <v>8374000</v>
      </c>
      <c r="R54" s="200">
        <f t="shared" si="2"/>
        <v>58830000</v>
      </c>
      <c r="S54" s="300" t="s">
        <v>698</v>
      </c>
      <c r="T54" s="202"/>
      <c r="U54" s="246"/>
      <c r="V54" s="246"/>
      <c r="W54" s="246"/>
      <c r="BA54"/>
      <c r="BB54"/>
    </row>
    <row r="55" spans="1:54" s="191" customFormat="1" ht="13.5">
      <c r="A55" s="226"/>
      <c r="B55" s="180">
        <v>5005016372</v>
      </c>
      <c r="C55" s="183" t="str">
        <f>IFERROR(IF(VLOOKUP($B55,勘定科目!$A:$H,HLOOKUP($E$5,勘定科目!$F$1:$H$2,2,0),0)="","",VLOOKUP($B55,勘定科目!$A:$E,2,0)),"")</f>
        <v>その他消耗品（製）</v>
      </c>
      <c r="D55" s="239" t="str">
        <f>IF(C55="","",VLOOKUP($B55,勘定科目!$A:$E,4,0))</f>
        <v>消耗品費</v>
      </c>
      <c r="E55" s="245"/>
      <c r="F55" s="194"/>
      <c r="G55" s="194"/>
      <c r="H55" s="194"/>
      <c r="I55" s="312"/>
      <c r="J55" s="312">
        <f>ROUND(32*50000,0)+100000</f>
        <v>1700000</v>
      </c>
      <c r="K55" s="312">
        <f>ROUND(30*50000,0)+100000</f>
        <v>1600000</v>
      </c>
      <c r="L55" s="312">
        <f>ROUND(39*50000,0)+100000</f>
        <v>2050000</v>
      </c>
      <c r="M55" s="312">
        <f>ROUND(34*50000,0)+100000</f>
        <v>1800000</v>
      </c>
      <c r="N55" s="312">
        <f>ROUND(38*50000,0)+100000</f>
        <v>2000000</v>
      </c>
      <c r="O55" s="312">
        <f>ROUND(34*50000,0)+100000</f>
        <v>1800000</v>
      </c>
      <c r="P55" s="312">
        <f>ROUND(27*50000,0)+100000</f>
        <v>1450000</v>
      </c>
      <c r="Q55" s="312">
        <f>ROUND(36*50000,0)+100000</f>
        <v>1900000</v>
      </c>
      <c r="R55" s="200">
        <f t="shared" si="2"/>
        <v>14300000</v>
      </c>
      <c r="S55" s="300" t="s">
        <v>699</v>
      </c>
      <c r="T55" s="202"/>
      <c r="U55" s="246"/>
      <c r="V55" s="246"/>
      <c r="W55" s="246"/>
      <c r="BA55"/>
      <c r="BB55"/>
    </row>
    <row r="56" spans="1:54" s="191" customFormat="1" ht="13.5">
      <c r="A56" s="226"/>
      <c r="B56" s="180">
        <v>5005016372</v>
      </c>
      <c r="C56" s="183" t="str">
        <f>IFERROR(IF(VLOOKUP($B56,勘定科目!$A:$H,HLOOKUP($E$5,勘定科目!$F$1:$H$2,2,0),0)="","",VLOOKUP($B56,勘定科目!$A:$E,2,0)),"")</f>
        <v>その他消耗品（製）</v>
      </c>
      <c r="D56" s="239" t="str">
        <f>IF(C56="","",VLOOKUP($B56,勘定科目!$A:$E,4,0))</f>
        <v>消耗品費</v>
      </c>
      <c r="E56" s="245"/>
      <c r="F56" s="194"/>
      <c r="G56" s="194"/>
      <c r="H56" s="194"/>
      <c r="I56" s="312"/>
      <c r="J56" s="312">
        <f>ROUND((I24+I25)*18404,0)</f>
        <v>2907832</v>
      </c>
      <c r="K56" s="312">
        <f>ROUND((J24+J25)*17500,0)</f>
        <v>2765000</v>
      </c>
      <c r="L56" s="312">
        <f>ROUND((K24+K25)*21110,0)</f>
        <v>3335380</v>
      </c>
      <c r="M56" s="312">
        <f>ROUND((L24+L25)*18421,0)</f>
        <v>2910518</v>
      </c>
      <c r="N56" s="312">
        <f>ROUND((M24+M25)*20254,0)</f>
        <v>3200132</v>
      </c>
      <c r="O56" s="312">
        <f>ROUND((N24+N25)*18399,0)</f>
        <v>2907042</v>
      </c>
      <c r="P56" s="312">
        <f>ROUND((O24+O25)*13863,0)</f>
        <v>2190354</v>
      </c>
      <c r="Q56" s="312">
        <f>ROUND((P24+P25)*18435,0)</f>
        <v>3170820</v>
      </c>
      <c r="R56" s="200">
        <f t="shared" si="2"/>
        <v>23387078</v>
      </c>
      <c r="S56" s="300" t="s">
        <v>700</v>
      </c>
      <c r="T56" s="202"/>
      <c r="U56" s="246"/>
      <c r="V56" s="246"/>
      <c r="W56" s="246"/>
      <c r="BA56"/>
      <c r="BB56"/>
    </row>
    <row r="57" spans="1:54" s="191" customFormat="1" ht="13.5">
      <c r="A57" s="226"/>
      <c r="B57" s="180">
        <v>5005016372</v>
      </c>
      <c r="C57" s="183" t="str">
        <f>IFERROR(IF(VLOOKUP($B57,勘定科目!$A:$H,HLOOKUP($E$5,勘定科目!$F$1:$H$2,2,0),0)="","",VLOOKUP($B57,勘定科目!$A:$E,2,0)),"")</f>
        <v>その他消耗品（製）</v>
      </c>
      <c r="D57" s="239" t="str">
        <f>IF(C57="","",VLOOKUP($B57,勘定科目!$A:$E,4,0))</f>
        <v>消耗品費</v>
      </c>
      <c r="E57" s="245"/>
      <c r="F57" s="194"/>
      <c r="G57" s="194"/>
      <c r="H57" s="194"/>
      <c r="I57" s="312"/>
      <c r="J57" s="312">
        <f>ROUND((I24+I25)*1080,0)</f>
        <v>170640</v>
      </c>
      <c r="K57" s="312">
        <f>ROUND((J24+J25)*1093,0)</f>
        <v>172694</v>
      </c>
      <c r="L57" s="312">
        <f>ROUND((K24+K25)*1131,0)</f>
        <v>178698</v>
      </c>
      <c r="M57" s="312">
        <f>ROUND((L24+L25)*1114,0)</f>
        <v>176012</v>
      </c>
      <c r="N57" s="312">
        <f>ROUND((M24+M25)*1124,0)</f>
        <v>177592</v>
      </c>
      <c r="O57" s="312">
        <f>ROUND((N24+N25)*1128,0)</f>
        <v>178224</v>
      </c>
      <c r="P57" s="312">
        <f>ROUND((O24+O25)*1146,0)</f>
        <v>181068</v>
      </c>
      <c r="Q57" s="312">
        <f>ROUND((P24+P25)*1085,0)</f>
        <v>186620</v>
      </c>
      <c r="R57" s="200">
        <f t="shared" si="2"/>
        <v>1421548</v>
      </c>
      <c r="S57" s="300" t="s">
        <v>701</v>
      </c>
      <c r="T57" s="202"/>
      <c r="U57" s="246"/>
      <c r="V57" s="246"/>
      <c r="W57" s="246"/>
      <c r="BA57"/>
      <c r="BB57"/>
    </row>
    <row r="58" spans="1:54" s="191" customFormat="1" ht="13.5">
      <c r="A58" s="226"/>
      <c r="B58" s="180"/>
      <c r="C58" s="183"/>
      <c r="D58" s="239"/>
      <c r="E58" s="245"/>
      <c r="F58" s="194"/>
      <c r="G58" s="194"/>
      <c r="H58" s="194"/>
      <c r="I58" s="312"/>
      <c r="J58" s="312"/>
      <c r="K58" s="312"/>
      <c r="L58" s="312"/>
      <c r="M58" s="312"/>
      <c r="N58" s="312"/>
      <c r="O58" s="312"/>
      <c r="P58" s="312"/>
      <c r="Q58" s="312"/>
      <c r="R58" s="200">
        <f t="shared" si="2"/>
        <v>0</v>
      </c>
      <c r="S58" s="300"/>
      <c r="T58" s="202"/>
      <c r="U58" s="246"/>
      <c r="V58" s="246"/>
      <c r="W58" s="246"/>
      <c r="BA58"/>
      <c r="BB58"/>
    </row>
    <row r="59" spans="1:54" s="191" customFormat="1" ht="13.5">
      <c r="A59" s="226"/>
      <c r="B59" s="180">
        <v>5005246286</v>
      </c>
      <c r="C59" s="183" t="str">
        <f>IFERROR(IF(VLOOKUP($B59,勘定科目!$A:$H,HLOOKUP($E$5,勘定科目!$F$1:$H$2,2,0),0)="","",VLOOKUP($B59,勘定科目!$A:$E,2,0)),"")</f>
        <v>その他手数料（製）</v>
      </c>
      <c r="D59" s="239" t="str">
        <f>IF(C59="","",VLOOKUP($B59,勘定科目!$A:$E,4,0))</f>
        <v>手数料</v>
      </c>
      <c r="E59" s="245"/>
      <c r="F59" s="194"/>
      <c r="G59" s="194"/>
      <c r="H59" s="194"/>
      <c r="I59" s="312"/>
      <c r="J59" s="312">
        <f>ROUND(158*51891,0)</f>
        <v>8198778</v>
      </c>
      <c r="K59" s="312">
        <f>ROUND(158*49590,0)</f>
        <v>7835220</v>
      </c>
      <c r="L59" s="312">
        <f>ROUND(158*47432,0)</f>
        <v>7494256</v>
      </c>
      <c r="M59" s="312">
        <f>ROUND(158*46844,0)</f>
        <v>7401352</v>
      </c>
      <c r="N59" s="312">
        <f>ROUND(158*46977,0)</f>
        <v>7422366</v>
      </c>
      <c r="O59" s="312">
        <f>ROUND(158*44968,0)</f>
        <v>7104944</v>
      </c>
      <c r="P59" s="312">
        <f>ROUND(158*42562,0)</f>
        <v>6724796</v>
      </c>
      <c r="Q59" s="312">
        <f>ROUND(172*44540,0)</f>
        <v>7660880</v>
      </c>
      <c r="R59" s="200">
        <f t="shared" si="2"/>
        <v>59842592</v>
      </c>
      <c r="S59" s="300" t="s">
        <v>710</v>
      </c>
      <c r="T59" s="202"/>
      <c r="U59" s="246"/>
      <c r="V59" s="246"/>
      <c r="W59" s="246"/>
      <c r="BA59"/>
      <c r="BB59"/>
    </row>
    <row r="60" spans="1:54" s="191" customFormat="1" ht="13.5">
      <c r="A60" s="226"/>
      <c r="B60" s="180">
        <v>5005246281</v>
      </c>
      <c r="C60" s="183" t="str">
        <f>IFERROR(IF(VLOOKUP($B60,勘定科目!$A:$H,HLOOKUP($E$5,勘定科目!$F$1:$H$2,2,0),0)="","",VLOOKUP($B60,勘定科目!$A:$E,2,0)),"")</f>
        <v>図書印刷費（製）</v>
      </c>
      <c r="D60" s="239" t="str">
        <f>IF(C60="","",VLOOKUP($B60,勘定科目!$A:$E,4,0))</f>
        <v>図書及び事務費</v>
      </c>
      <c r="E60" s="245"/>
      <c r="F60" s="194"/>
      <c r="G60" s="194"/>
      <c r="H60" s="194"/>
      <c r="I60" s="312"/>
      <c r="J60" s="312"/>
      <c r="K60" s="312"/>
      <c r="L60" s="312"/>
      <c r="M60" s="312"/>
      <c r="N60" s="312"/>
      <c r="O60" s="312"/>
      <c r="P60" s="312"/>
      <c r="Q60" s="312"/>
      <c r="R60" s="200">
        <f t="shared" si="2"/>
        <v>0</v>
      </c>
      <c r="S60" s="300"/>
      <c r="T60" s="202"/>
      <c r="U60" s="246"/>
      <c r="V60" s="246"/>
      <c r="W60" s="246"/>
      <c r="BA60"/>
      <c r="BB60"/>
    </row>
    <row r="61" spans="1:54" s="307" customFormat="1" ht="13.5">
      <c r="A61" s="208"/>
      <c r="B61" s="180">
        <v>5005246288</v>
      </c>
      <c r="C61" s="183" t="str">
        <f>IFERROR(IF(VLOOKUP($B61,勘定科目!$A:$H,HLOOKUP($E$5,勘定科目!$F$1:$H$2,2,0),0)="","",VLOOKUP($B61,勘定科目!$A:$E,2,0)),"")</f>
        <v>事務用品費（製）</v>
      </c>
      <c r="D61" s="239" t="str">
        <f>IF(C61="","",VLOOKUP($B61,勘定科目!$A:$E,4,0))</f>
        <v>図書及び事務費</v>
      </c>
      <c r="E61" s="199"/>
      <c r="F61" s="306"/>
      <c r="G61" s="306"/>
      <c r="H61" s="306"/>
      <c r="I61" s="312"/>
      <c r="J61" s="312">
        <v>750000</v>
      </c>
      <c r="K61" s="312">
        <v>750000</v>
      </c>
      <c r="L61" s="312">
        <v>750000</v>
      </c>
      <c r="M61" s="312">
        <v>750000</v>
      </c>
      <c r="N61" s="312">
        <v>750000</v>
      </c>
      <c r="O61" s="312">
        <v>750000</v>
      </c>
      <c r="P61" s="312">
        <v>750000</v>
      </c>
      <c r="Q61" s="312">
        <v>750000</v>
      </c>
      <c r="R61" s="200">
        <f t="shared" si="2"/>
        <v>6000000</v>
      </c>
      <c r="S61" s="300" t="s">
        <v>712</v>
      </c>
      <c r="T61" s="308"/>
      <c r="U61" s="309"/>
      <c r="V61" s="309"/>
      <c r="W61" s="309"/>
      <c r="BA61" s="310"/>
      <c r="BB61" s="310"/>
    </row>
    <row r="62" spans="1:54" s="191" customFormat="1" ht="13.5">
      <c r="A62" s="226"/>
      <c r="B62" s="180">
        <v>5005246288</v>
      </c>
      <c r="C62" s="183" t="str">
        <f>IFERROR(IF(VLOOKUP($B62,勘定科目!$A:$H,HLOOKUP($E$5,勘定科目!$F$1:$H$2,2,0),0)="","",VLOOKUP($B62,勘定科目!$A:$E,2,0)),"")</f>
        <v>事務用品費（製）</v>
      </c>
      <c r="D62" s="239" t="str">
        <f>IF(C62="","",VLOOKUP($B62,勘定科目!$A:$E,4,0))</f>
        <v>図書及び事務費</v>
      </c>
      <c r="E62" s="245"/>
      <c r="F62" s="194"/>
      <c r="G62" s="194"/>
      <c r="H62" s="194"/>
      <c r="I62" s="312"/>
      <c r="J62" s="312"/>
      <c r="K62" s="312"/>
      <c r="L62" s="312"/>
      <c r="M62" s="312"/>
      <c r="N62" s="312"/>
      <c r="O62" s="312"/>
      <c r="P62" s="312"/>
      <c r="Q62" s="312"/>
      <c r="R62" s="200">
        <f t="shared" si="2"/>
        <v>0</v>
      </c>
      <c r="S62" s="300"/>
      <c r="T62" s="202"/>
      <c r="U62" s="246"/>
      <c r="V62" s="246"/>
      <c r="W62" s="246"/>
      <c r="BA62"/>
      <c r="BB62"/>
    </row>
    <row r="63" spans="1:54" s="191" customFormat="1" ht="13.5">
      <c r="A63" s="226"/>
      <c r="B63" s="180">
        <v>5005246281</v>
      </c>
      <c r="C63" s="183" t="str">
        <f>IFERROR(IF(VLOOKUP($B63,勘定科目!$A:$H,HLOOKUP($E$5,勘定科目!$F$1:$H$2,2,0),0)="","",VLOOKUP($B63,勘定科目!$A:$E,2,0)),"")</f>
        <v>図書印刷費（製）</v>
      </c>
      <c r="D63" s="239" t="str">
        <f>IF(C63="","",VLOOKUP($B63,勘定科目!$A:$E,4,0))</f>
        <v>図書及び事務費</v>
      </c>
      <c r="E63" s="245"/>
      <c r="F63" s="194"/>
      <c r="G63" s="194"/>
      <c r="H63" s="194"/>
      <c r="I63" s="312"/>
      <c r="J63" s="312"/>
      <c r="K63" s="312"/>
      <c r="L63" s="312"/>
      <c r="M63" s="312">
        <f>158*800</f>
        <v>126400</v>
      </c>
      <c r="N63" s="312"/>
      <c r="O63" s="312"/>
      <c r="P63" s="312"/>
      <c r="Q63" s="312"/>
      <c r="R63" s="200">
        <f t="shared" si="2"/>
        <v>126400</v>
      </c>
      <c r="S63" s="300" t="s">
        <v>711</v>
      </c>
      <c r="T63" s="202"/>
      <c r="U63" s="246"/>
      <c r="V63" s="246"/>
      <c r="W63" s="246"/>
      <c r="BA63"/>
      <c r="BB63"/>
    </row>
    <row r="64" spans="1:54" s="191" customFormat="1" ht="13.5">
      <c r="A64" s="226"/>
      <c r="B64" s="180">
        <v>5005246281</v>
      </c>
      <c r="C64" s="183" t="str">
        <f>IFERROR(IF(VLOOKUP($B64,勘定科目!$A:$H,HLOOKUP($E$5,勘定科目!$F$1:$H$2,2,0),0)="","",VLOOKUP($B64,勘定科目!$A:$E,2,0)),"")</f>
        <v>図書印刷費（製）</v>
      </c>
      <c r="D64" s="239" t="str">
        <f>IF(C64="","",VLOOKUP($B64,勘定科目!$A:$E,4,0))</f>
        <v>図書及び事務費</v>
      </c>
      <c r="E64" s="245"/>
      <c r="F64" s="194"/>
      <c r="G64" s="194"/>
      <c r="H64" s="194"/>
      <c r="I64" s="312"/>
      <c r="J64" s="312"/>
      <c r="K64" s="312"/>
      <c r="L64" s="312"/>
      <c r="M64" s="312"/>
      <c r="N64" s="312"/>
      <c r="O64" s="312"/>
      <c r="P64" s="312"/>
      <c r="Q64" s="312"/>
      <c r="R64" s="200">
        <f t="shared" si="2"/>
        <v>0</v>
      </c>
      <c r="S64" s="300"/>
      <c r="T64" s="202"/>
      <c r="U64" s="246"/>
      <c r="V64" s="246"/>
      <c r="W64" s="246"/>
      <c r="BA64"/>
      <c r="BB64"/>
    </row>
    <row r="65" spans="1:54" s="191" customFormat="1" ht="13.5">
      <c r="A65" s="226"/>
      <c r="B65" s="180">
        <v>5005116291</v>
      </c>
      <c r="C65" s="183" t="str">
        <f>IFERROR(IF(VLOOKUP($B65,勘定科目!$A:$H,HLOOKUP($E$5,勘定科目!$F$1:$H$2,2,0),0)="","",VLOOKUP($B65,勘定科目!$A:$E,2,0)),"")</f>
        <v>ベトナム国内交通費（製）</v>
      </c>
      <c r="D65" s="239" t="str">
        <f>IF(C65="","",VLOOKUP($B65,勘定科目!$A:$E,4,0))</f>
        <v>旅費交通費</v>
      </c>
      <c r="E65" s="245"/>
      <c r="F65" s="194"/>
      <c r="G65" s="194"/>
      <c r="H65" s="194"/>
      <c r="I65" s="312"/>
      <c r="J65" s="312"/>
      <c r="K65" s="312"/>
      <c r="L65" s="312"/>
      <c r="M65" s="312"/>
      <c r="N65" s="312"/>
      <c r="O65" s="312"/>
      <c r="P65" s="312"/>
      <c r="Q65" s="312"/>
      <c r="R65" s="200">
        <f t="shared" si="2"/>
        <v>0</v>
      </c>
      <c r="S65" s="300"/>
      <c r="T65" s="202"/>
      <c r="U65" s="246"/>
      <c r="V65" s="246"/>
      <c r="W65" s="246"/>
      <c r="BA65"/>
      <c r="BB65"/>
    </row>
    <row r="66" spans="1:54" s="191" customFormat="1" ht="13.5">
      <c r="A66" s="226"/>
      <c r="B66" s="180">
        <v>5005116291</v>
      </c>
      <c r="C66" s="183" t="str">
        <f>IFERROR(IF(VLOOKUP($B66,勘定科目!$A:$H,HLOOKUP($E$5,勘定科目!$F$1:$H$2,2,0),0)="","",VLOOKUP($B66,勘定科目!$A:$E,2,0)),"")</f>
        <v>ベトナム国内交通費（製）</v>
      </c>
      <c r="D66" s="239" t="str">
        <f>IF(C66="","",VLOOKUP($B66,勘定科目!$A:$E,4,0))</f>
        <v>旅費交通費</v>
      </c>
      <c r="E66" s="245"/>
      <c r="F66" s="194"/>
      <c r="G66" s="194"/>
      <c r="H66" s="194"/>
      <c r="I66" s="312"/>
      <c r="J66" s="312"/>
      <c r="K66" s="312"/>
      <c r="L66" s="312"/>
      <c r="M66" s="312"/>
      <c r="N66" s="312"/>
      <c r="O66" s="312"/>
      <c r="P66" s="312"/>
      <c r="Q66" s="312"/>
      <c r="R66" s="200">
        <f t="shared" si="2"/>
        <v>0</v>
      </c>
      <c r="S66" s="300"/>
      <c r="T66" s="202"/>
      <c r="U66" s="246"/>
      <c r="V66" s="246"/>
      <c r="W66" s="246"/>
      <c r="BA66"/>
      <c r="BB66"/>
    </row>
    <row r="67" spans="1:54" s="191" customFormat="1" ht="13.5">
      <c r="A67" s="226"/>
      <c r="B67" s="180">
        <v>5004086291</v>
      </c>
      <c r="C67" s="183" t="str">
        <f>IFERROR(IF(VLOOKUP($B67,勘定科目!$A:$H,HLOOKUP($E$5,勘定科目!$F$1:$H$2,2,0),0)="","",VLOOKUP($B67,勘定科目!$A:$E,2,0)),"")</f>
        <v>福利厚生費（製）</v>
      </c>
      <c r="D67" s="239" t="str">
        <f>IF(C67="","",VLOOKUP($B67,勘定科目!$A:$E,4,0))</f>
        <v>福利厚生費</v>
      </c>
      <c r="E67" s="245"/>
      <c r="F67" s="194"/>
      <c r="G67" s="194"/>
      <c r="H67" s="194"/>
      <c r="I67" s="312"/>
      <c r="J67" s="312">
        <v>300000</v>
      </c>
      <c r="K67" s="312">
        <v>300000</v>
      </c>
      <c r="L67" s="312">
        <v>300000</v>
      </c>
      <c r="M67" s="312">
        <v>300000</v>
      </c>
      <c r="N67" s="312">
        <v>300000</v>
      </c>
      <c r="O67" s="312">
        <v>300000</v>
      </c>
      <c r="P67" s="312">
        <v>300000</v>
      </c>
      <c r="Q67" s="312">
        <v>300000</v>
      </c>
      <c r="R67" s="200">
        <f t="shared" si="2"/>
        <v>2400000</v>
      </c>
      <c r="S67" s="300" t="s">
        <v>713</v>
      </c>
      <c r="T67" s="202"/>
      <c r="U67" s="246"/>
      <c r="V67" s="246"/>
      <c r="W67" s="246"/>
      <c r="BA67"/>
      <c r="BB67"/>
    </row>
    <row r="68" spans="1:54" s="191" customFormat="1" ht="13.5">
      <c r="A68" s="226"/>
      <c r="B68" s="180">
        <v>5004086291</v>
      </c>
      <c r="C68" s="183" t="str">
        <f>IFERROR(IF(VLOOKUP($B68,勘定科目!$A:$H,HLOOKUP($E$5,勘定科目!$F$1:$H$2,2,0),0)="","",VLOOKUP($B68,勘定科目!$A:$E,2,0)),"")</f>
        <v>福利厚生費（製）</v>
      </c>
      <c r="D68" s="239" t="str">
        <f>IF(C68="","",VLOOKUP($B68,勘定科目!$A:$E,4,0))</f>
        <v>福利厚生費</v>
      </c>
      <c r="E68" s="245"/>
      <c r="F68" s="194"/>
      <c r="G68" s="194"/>
      <c r="H68" s="194"/>
      <c r="I68" s="312"/>
      <c r="J68" s="312">
        <v>1500000</v>
      </c>
      <c r="K68" s="312">
        <v>1500000</v>
      </c>
      <c r="L68" s="312">
        <v>1500000</v>
      </c>
      <c r="M68" s="312">
        <v>1500000</v>
      </c>
      <c r="N68" s="312">
        <v>1500000</v>
      </c>
      <c r="O68" s="312">
        <v>1500000</v>
      </c>
      <c r="P68" s="312">
        <v>1500000</v>
      </c>
      <c r="Q68" s="312">
        <v>1500000</v>
      </c>
      <c r="R68" s="200">
        <f t="shared" si="2"/>
        <v>12000000</v>
      </c>
      <c r="S68" s="300" t="s">
        <v>714</v>
      </c>
      <c r="T68" s="202"/>
      <c r="U68" s="246"/>
      <c r="V68" s="246"/>
      <c r="W68" s="246"/>
      <c r="BA68"/>
      <c r="BB68"/>
    </row>
    <row r="69" spans="1:54" s="191" customFormat="1" ht="13.5">
      <c r="A69" s="226"/>
      <c r="B69" s="180">
        <v>5004086291</v>
      </c>
      <c r="C69" s="183" t="str">
        <f>IFERROR(IF(VLOOKUP($B69,勘定科目!$A:$H,HLOOKUP($E$5,勘定科目!$F$1:$H$2,2,0),0)="","",VLOOKUP($B69,勘定科目!$A:$E,2,0)),"")</f>
        <v>福利厚生費（製）</v>
      </c>
      <c r="D69" s="239" t="str">
        <f>IF(C69="","",VLOOKUP($B69,勘定科目!$A:$E,4,0))</f>
        <v>福利厚生費</v>
      </c>
      <c r="E69" s="245"/>
      <c r="F69" s="194"/>
      <c r="G69" s="194"/>
      <c r="H69" s="194"/>
      <c r="I69" s="312">
        <f>17*163000</f>
        <v>2771000</v>
      </c>
      <c r="J69" s="312">
        <f>17*163000</f>
        <v>2771000</v>
      </c>
      <c r="K69" s="312">
        <f>(16+1)*163000</f>
        <v>2771000</v>
      </c>
      <c r="L69" s="312">
        <f>21*163000</f>
        <v>3423000</v>
      </c>
      <c r="M69" s="312">
        <f>13*163000</f>
        <v>2119000</v>
      </c>
      <c r="N69" s="312">
        <f>(14+1)*163000</f>
        <v>2445000</v>
      </c>
      <c r="O69" s="312">
        <f>11*163000</f>
        <v>1793000</v>
      </c>
      <c r="P69" s="312">
        <f>9*163000</f>
        <v>1467000</v>
      </c>
      <c r="Q69" s="312">
        <f>12*163000</f>
        <v>1956000</v>
      </c>
      <c r="R69" s="200">
        <f t="shared" si="2"/>
        <v>21516000</v>
      </c>
      <c r="S69" s="300" t="s">
        <v>715</v>
      </c>
      <c r="T69" s="202"/>
      <c r="U69" s="246"/>
      <c r="V69" s="246"/>
      <c r="W69" s="246"/>
      <c r="BA69"/>
      <c r="BB69"/>
    </row>
    <row r="70" spans="1:54" s="191" customFormat="1" ht="13.5">
      <c r="A70" s="226"/>
      <c r="B70" s="180">
        <v>5004086291</v>
      </c>
      <c r="C70" s="183" t="str">
        <f>IFERROR(IF(VLOOKUP($B70,勘定科目!$A:$H,HLOOKUP($E$5,勘定科目!$F$1:$H$2,2,0),0)="","",VLOOKUP($B70,勘定科目!$A:$E,2,0)),"")</f>
        <v>福利厚生費（製）</v>
      </c>
      <c r="D70" s="239" t="str">
        <f>IF(C70="","",VLOOKUP($B70,勘定科目!$A:$E,4,0))</f>
        <v>福利厚生費</v>
      </c>
      <c r="E70" s="245"/>
      <c r="F70" s="194"/>
      <c r="G70" s="194"/>
      <c r="H70" s="194"/>
      <c r="I70" s="312"/>
      <c r="J70" s="312"/>
      <c r="K70" s="312">
        <f>(176-25)*6800</f>
        <v>1026800</v>
      </c>
      <c r="L70" s="312"/>
      <c r="M70" s="312"/>
      <c r="N70" s="312"/>
      <c r="O70" s="312"/>
      <c r="P70" s="312">
        <f>(176-25+14)*6800</f>
        <v>1122000</v>
      </c>
      <c r="Q70" s="312"/>
      <c r="R70" s="200">
        <f t="shared" si="2"/>
        <v>2148800</v>
      </c>
      <c r="S70" s="300" t="s">
        <v>716</v>
      </c>
      <c r="T70" s="202"/>
      <c r="U70" s="246"/>
      <c r="V70" s="246"/>
      <c r="W70" s="246"/>
      <c r="BA70"/>
      <c r="BB70"/>
    </row>
    <row r="71" spans="1:54" s="191" customFormat="1" ht="13.5">
      <c r="A71" s="226"/>
      <c r="B71" s="180">
        <v>5004086291</v>
      </c>
      <c r="C71" s="183" t="str">
        <f>IFERROR(IF(VLOOKUP($B71,勘定科目!$A:$H,HLOOKUP($E$5,勘定科目!$F$1:$H$2,2,0),0)="","",VLOOKUP($B71,勘定科目!$A:$E,2,0)),"")</f>
        <v>福利厚生費（製）</v>
      </c>
      <c r="D71" s="239" t="str">
        <f>IF(C71="","",VLOOKUP($B71,勘定科目!$A:$E,4,0))</f>
        <v>福利厚生費</v>
      </c>
      <c r="E71" s="245"/>
      <c r="F71" s="194"/>
      <c r="G71" s="194"/>
      <c r="H71" s="194"/>
      <c r="I71" s="312">
        <v>15300000</v>
      </c>
      <c r="J71" s="312"/>
      <c r="K71" s="312"/>
      <c r="L71" s="312"/>
      <c r="M71" s="312"/>
      <c r="N71" s="312"/>
      <c r="O71" s="312"/>
      <c r="P71" s="312"/>
      <c r="Q71" s="312"/>
      <c r="R71" s="200">
        <f t="shared" si="2"/>
        <v>15300000</v>
      </c>
      <c r="S71" s="300" t="s">
        <v>717</v>
      </c>
      <c r="T71" s="202"/>
      <c r="U71" s="246"/>
      <c r="V71" s="246"/>
      <c r="W71" s="246"/>
      <c r="BA71"/>
      <c r="BB71"/>
    </row>
    <row r="72" spans="1:54" s="191" customFormat="1" ht="13.5">
      <c r="A72" s="226"/>
      <c r="B72" s="180">
        <v>5004086291</v>
      </c>
      <c r="C72" s="183" t="str">
        <f>IFERROR(IF(VLOOKUP($B72,勘定科目!$A:$H,HLOOKUP($E$5,勘定科目!$F$1:$H$2,2,0),0)="","",VLOOKUP($B72,勘定科目!$A:$E,2,0)),"")</f>
        <v>福利厚生費（製）</v>
      </c>
      <c r="D72" s="239" t="str">
        <f>IF(C72="","",VLOOKUP($B72,勘定科目!$A:$E,4,0))</f>
        <v>福利厚生費</v>
      </c>
      <c r="E72" s="245"/>
      <c r="F72" s="194"/>
      <c r="G72" s="194"/>
      <c r="H72" s="194"/>
      <c r="I72" s="312"/>
      <c r="J72" s="312"/>
      <c r="K72" s="312"/>
      <c r="L72" s="312"/>
      <c r="M72" s="312"/>
      <c r="N72" s="312"/>
      <c r="O72" s="312"/>
      <c r="P72" s="312">
        <f>158*300000</f>
        <v>47400000</v>
      </c>
      <c r="Q72" s="312"/>
      <c r="R72" s="200">
        <f t="shared" si="2"/>
        <v>47400000</v>
      </c>
      <c r="S72" s="300" t="s">
        <v>718</v>
      </c>
      <c r="T72" s="202"/>
      <c r="U72" s="246"/>
      <c r="V72" s="246"/>
      <c r="W72" s="246"/>
      <c r="BA72"/>
      <c r="BB72"/>
    </row>
    <row r="73" spans="1:54" s="191" customFormat="1" ht="13.5">
      <c r="A73" s="226"/>
      <c r="B73" s="180">
        <v>5004086291</v>
      </c>
      <c r="C73" s="183" t="str">
        <f>IFERROR(IF(VLOOKUP($B73,勘定科目!$A:$H,HLOOKUP($E$5,勘定科目!$F$1:$H$2,2,0),0)="","",VLOOKUP($B73,勘定科目!$A:$E,2,0)),"")</f>
        <v>福利厚生費（製）</v>
      </c>
      <c r="D73" s="239" t="str">
        <f>IF(C73="","",VLOOKUP($B73,勘定科目!$A:$E,4,0))</f>
        <v>福利厚生費</v>
      </c>
      <c r="E73" s="245"/>
      <c r="F73" s="194"/>
      <c r="G73" s="194"/>
      <c r="H73" s="194"/>
      <c r="I73" s="312"/>
      <c r="J73" s="312"/>
      <c r="K73" s="312"/>
      <c r="L73" s="312"/>
      <c r="M73" s="312"/>
      <c r="N73" s="312"/>
      <c r="O73" s="312"/>
      <c r="P73" s="312">
        <f>172*100000</f>
        <v>17200000</v>
      </c>
      <c r="Q73" s="312"/>
      <c r="R73" s="200">
        <f t="shared" si="2"/>
        <v>17200000</v>
      </c>
      <c r="S73" s="300" t="s">
        <v>719</v>
      </c>
      <c r="T73" s="202"/>
      <c r="U73" s="246"/>
      <c r="V73" s="246"/>
      <c r="W73" s="246"/>
      <c r="BA73"/>
      <c r="BB73"/>
    </row>
    <row r="74" spans="1:54" s="191" customFormat="1" ht="13.5">
      <c r="A74" s="226"/>
      <c r="B74" s="180">
        <v>5004086291</v>
      </c>
      <c r="C74" s="183" t="str">
        <f>IFERROR(IF(VLOOKUP($B74,勘定科目!$A:$H,HLOOKUP($E$5,勘定科目!$F$1:$H$2,2,0),0)="","",VLOOKUP($B74,勘定科目!$A:$E,2,0)),"")</f>
        <v>福利厚生費（製）</v>
      </c>
      <c r="D74" s="239" t="str">
        <f>IF(C74="","",VLOOKUP($B74,勘定科目!$A:$E,4,0))</f>
        <v>福利厚生費</v>
      </c>
      <c r="E74" s="245"/>
      <c r="F74" s="194"/>
      <c r="G74" s="194"/>
      <c r="H74" s="194"/>
      <c r="I74" s="312"/>
      <c r="J74" s="312"/>
      <c r="K74" s="312"/>
      <c r="L74" s="312">
        <f>158*56000</f>
        <v>8848000</v>
      </c>
      <c r="M74" s="312"/>
      <c r="N74" s="312"/>
      <c r="O74" s="312"/>
      <c r="P74" s="312"/>
      <c r="Q74" s="312"/>
      <c r="R74" s="200">
        <f t="shared" si="2"/>
        <v>8848000</v>
      </c>
      <c r="S74" s="300" t="s">
        <v>720</v>
      </c>
      <c r="T74" s="202"/>
      <c r="U74" s="246"/>
      <c r="V74" s="246"/>
      <c r="W74" s="246"/>
      <c r="BA74"/>
      <c r="BB74"/>
    </row>
    <row r="75" spans="1:54" s="191" customFormat="1" ht="13.5">
      <c r="A75" s="226"/>
      <c r="B75" s="180">
        <v>5004086291</v>
      </c>
      <c r="C75" s="183" t="str">
        <f>IFERROR(IF(VLOOKUP($B75,勘定科目!$A:$H,HLOOKUP($E$5,勘定科目!$F$1:$H$2,2,0),0)="","",VLOOKUP($B75,勘定科目!$A:$E,2,0)),"")</f>
        <v>福利厚生費（製）</v>
      </c>
      <c r="D75" s="239" t="str">
        <f>IF(C75="","",VLOOKUP($B75,勘定科目!$A:$E,4,0))</f>
        <v>福利厚生費</v>
      </c>
      <c r="E75" s="245"/>
      <c r="F75" s="194"/>
      <c r="G75" s="194"/>
      <c r="H75" s="194"/>
      <c r="I75" s="312"/>
      <c r="J75" s="312"/>
      <c r="K75" s="312">
        <f>158*126000</f>
        <v>19908000</v>
      </c>
      <c r="L75" s="312"/>
      <c r="M75" s="312"/>
      <c r="N75" s="312"/>
      <c r="O75" s="312"/>
      <c r="P75" s="312"/>
      <c r="Q75" s="312"/>
      <c r="R75" s="200">
        <f t="shared" si="2"/>
        <v>19908000</v>
      </c>
      <c r="S75" s="300" t="s">
        <v>721</v>
      </c>
      <c r="T75" s="202"/>
      <c r="U75" s="246"/>
      <c r="V75" s="246"/>
      <c r="W75" s="246"/>
      <c r="BA75"/>
      <c r="BB75"/>
    </row>
    <row r="76" spans="1:54" s="191" customFormat="1" ht="13.5">
      <c r="A76" s="226"/>
      <c r="B76" s="180">
        <v>5004086291</v>
      </c>
      <c r="C76" s="183" t="str">
        <f>IFERROR(IF(VLOOKUP($B76,勘定科目!$A:$H,HLOOKUP($E$5,勘定科目!$F$1:$H$2,2,0),0)="","",VLOOKUP($B76,勘定科目!$A:$E,2,0)),"")</f>
        <v>福利厚生費（製）</v>
      </c>
      <c r="D76" s="239" t="str">
        <f>IF(C76="","",VLOOKUP($B76,勘定科目!$A:$E,4,0))</f>
        <v>福利厚生費</v>
      </c>
      <c r="E76" s="245"/>
      <c r="F76" s="194"/>
      <c r="G76" s="194"/>
      <c r="H76" s="194"/>
      <c r="I76" s="312"/>
      <c r="J76" s="312"/>
      <c r="K76" s="312"/>
      <c r="L76" s="312"/>
      <c r="M76" s="312"/>
      <c r="N76" s="312">
        <f>(158-8)*204000+8*189000</f>
        <v>32112000</v>
      </c>
      <c r="O76" s="312"/>
      <c r="P76" s="312"/>
      <c r="Q76" s="312"/>
      <c r="R76" s="200">
        <f t="shared" si="2"/>
        <v>32112000</v>
      </c>
      <c r="S76" s="300" t="s">
        <v>722</v>
      </c>
      <c r="T76" s="202"/>
      <c r="U76" s="246"/>
      <c r="V76" s="246"/>
      <c r="W76" s="246"/>
      <c r="BA76"/>
      <c r="BB76"/>
    </row>
    <row r="77" spans="1:54" s="191" customFormat="1" ht="13.5">
      <c r="A77" s="226"/>
      <c r="B77" s="180">
        <v>5004086291</v>
      </c>
      <c r="C77" s="183" t="str">
        <f>IFERROR(IF(VLOOKUP($B77,勘定科目!$A:$H,HLOOKUP($E$5,勘定科目!$F$1:$H$2,2,0),0)="","",VLOOKUP($B77,勘定科目!$A:$E,2,0)),"")</f>
        <v>福利厚生費（製）</v>
      </c>
      <c r="D77" s="239" t="str">
        <f>IF(C77="","",VLOOKUP($B77,勘定科目!$A:$E,4,0))</f>
        <v>福利厚生費</v>
      </c>
      <c r="E77" s="245"/>
      <c r="F77" s="194"/>
      <c r="G77" s="194"/>
      <c r="H77" s="194"/>
      <c r="I77" s="312"/>
      <c r="J77" s="312"/>
      <c r="K77" s="312"/>
      <c r="L77" s="312"/>
      <c r="M77" s="312">
        <f>157*107000</f>
        <v>16799000</v>
      </c>
      <c r="N77" s="312"/>
      <c r="O77" s="312"/>
      <c r="P77" s="312"/>
      <c r="Q77" s="312"/>
      <c r="R77" s="200">
        <f t="shared" si="2"/>
        <v>16799000</v>
      </c>
      <c r="S77" s="300" t="s">
        <v>723</v>
      </c>
      <c r="T77" s="202"/>
      <c r="U77" s="246"/>
      <c r="V77" s="246"/>
      <c r="W77" s="246"/>
      <c r="BA77"/>
      <c r="BB77"/>
    </row>
    <row r="78" spans="1:54" s="191" customFormat="1" ht="13.5">
      <c r="A78" s="226"/>
      <c r="B78" s="180">
        <v>5004086291</v>
      </c>
      <c r="C78" s="183" t="str">
        <f>IFERROR(IF(VLOOKUP($B78,勘定科目!$A:$H,HLOOKUP($E$5,勘定科目!$F$1:$H$2,2,0),0)="","",VLOOKUP($B78,勘定科目!$A:$E,2,0)),"")</f>
        <v>福利厚生費（製）</v>
      </c>
      <c r="D78" s="239" t="str">
        <f>IF(C78="","",VLOOKUP($B78,勘定科目!$A:$E,4,0))</f>
        <v>福利厚生費</v>
      </c>
      <c r="E78" s="245"/>
      <c r="F78" s="194"/>
      <c r="G78" s="194"/>
      <c r="H78" s="194"/>
      <c r="I78" s="312"/>
      <c r="J78" s="312"/>
      <c r="K78" s="312">
        <f>ROUND((20*1593513),0)</f>
        <v>31870260</v>
      </c>
      <c r="L78" s="312">
        <f>ROUND((21*1194735),0)</f>
        <v>25089435</v>
      </c>
      <c r="M78" s="312">
        <f>ROUND((21*1452617),0)</f>
        <v>30504957</v>
      </c>
      <c r="N78" s="312">
        <f>ROUND((21*1465592),0)</f>
        <v>30777432</v>
      </c>
      <c r="O78" s="312">
        <f>ROUND((21*1378925),0)</f>
        <v>28957425</v>
      </c>
      <c r="P78" s="312">
        <f>ROUND((21*1253359),0)</f>
        <v>26320539</v>
      </c>
      <c r="Q78" s="312">
        <f>ROUND((21*1296228),0)</f>
        <v>27220788</v>
      </c>
      <c r="R78" s="200">
        <f t="shared" si="2"/>
        <v>200740836</v>
      </c>
      <c r="S78" s="300" t="s">
        <v>724</v>
      </c>
      <c r="T78" s="202"/>
      <c r="U78" s="246"/>
      <c r="V78" s="246"/>
      <c r="W78" s="246"/>
      <c r="BA78"/>
      <c r="BB78"/>
    </row>
    <row r="79" spans="1:54" s="191" customFormat="1" ht="13.5">
      <c r="A79" s="226"/>
      <c r="B79" s="180">
        <v>5004086291</v>
      </c>
      <c r="C79" s="183" t="str">
        <f>IFERROR(IF(VLOOKUP($B79,勘定科目!$A:$H,HLOOKUP($E$5,勘定科目!$F$1:$H$2,2,0),0)="","",VLOOKUP($B79,勘定科目!$A:$E,2,0)),"")</f>
        <v>福利厚生費（製）</v>
      </c>
      <c r="D79" s="239" t="str">
        <f>IF(C79="","",VLOOKUP($B79,勘定科目!$A:$E,4,0))</f>
        <v>福利厚生費</v>
      </c>
      <c r="E79" s="245"/>
      <c r="F79" s="194"/>
      <c r="G79" s="194"/>
      <c r="H79" s="194"/>
      <c r="I79" s="312">
        <v>900000</v>
      </c>
      <c r="J79" s="312">
        <v>300000</v>
      </c>
      <c r="K79" s="312">
        <v>300000</v>
      </c>
      <c r="L79" s="312">
        <v>300000</v>
      </c>
      <c r="M79" s="312">
        <v>300000</v>
      </c>
      <c r="N79" s="312">
        <v>300000</v>
      </c>
      <c r="O79" s="312">
        <v>300000</v>
      </c>
      <c r="P79" s="312">
        <v>300000</v>
      </c>
      <c r="Q79" s="312">
        <f>2*300000</f>
        <v>600000</v>
      </c>
      <c r="R79" s="200">
        <f t="shared" si="2"/>
        <v>3600000</v>
      </c>
      <c r="S79" s="300" t="s">
        <v>725</v>
      </c>
      <c r="T79" s="202"/>
      <c r="U79" s="246"/>
      <c r="V79" s="246"/>
      <c r="W79" s="246"/>
      <c r="BA79"/>
      <c r="BB79"/>
    </row>
    <row r="80" spans="1:54" s="191" customFormat="1" ht="13.5">
      <c r="A80" s="226"/>
      <c r="B80" s="180">
        <v>5004086291</v>
      </c>
      <c r="C80" s="183" t="str">
        <f>IFERROR(IF(VLOOKUP($B80,勘定科目!$A:$H,HLOOKUP($E$5,勘定科目!$F$1:$H$2,2,0),0)="","",VLOOKUP($B80,勘定科目!$A:$E,2,0)),"")</f>
        <v>福利厚生費（製）</v>
      </c>
      <c r="D80" s="239" t="str">
        <f>IF(C80="","",VLOOKUP($B80,勘定科目!$A:$E,4,0))</f>
        <v>福利厚生費</v>
      </c>
      <c r="E80" s="245"/>
      <c r="F80" s="194"/>
      <c r="G80" s="194"/>
      <c r="H80" s="194"/>
      <c r="I80" s="312"/>
      <c r="J80" s="312"/>
      <c r="K80" s="312"/>
      <c r="L80" s="312">
        <f>9*549000</f>
        <v>4941000</v>
      </c>
      <c r="M80" s="312"/>
      <c r="N80" s="312"/>
      <c r="O80" s="312"/>
      <c r="P80" s="312"/>
      <c r="Q80" s="312"/>
      <c r="R80" s="200">
        <f t="shared" si="2"/>
        <v>4941000</v>
      </c>
      <c r="S80" s="300" t="s">
        <v>726</v>
      </c>
      <c r="T80" s="202"/>
      <c r="U80" s="246"/>
      <c r="V80" s="246"/>
      <c r="W80" s="246"/>
      <c r="BA80"/>
      <c r="BB80"/>
    </row>
    <row r="81" spans="1:54" s="191" customFormat="1" ht="13.5">
      <c r="A81" s="226"/>
      <c r="B81" s="180">
        <v>5004086291</v>
      </c>
      <c r="C81" s="183" t="str">
        <f>IFERROR(IF(VLOOKUP($B81,勘定科目!$A:$H,HLOOKUP($E$5,勘定科目!$F$1:$H$2,2,0),0)="","",VLOOKUP($B81,勘定科目!$A:$E,2,0)),"")</f>
        <v>福利厚生費（製）</v>
      </c>
      <c r="D81" s="239" t="str">
        <f>IF(C81="","",VLOOKUP($B81,勘定科目!$A:$E,4,0))</f>
        <v>福利厚生費</v>
      </c>
      <c r="E81" s="245"/>
      <c r="F81" s="194"/>
      <c r="G81" s="194"/>
      <c r="H81" s="194"/>
      <c r="I81" s="312"/>
      <c r="J81" s="312"/>
      <c r="K81" s="312"/>
      <c r="L81" s="312">
        <f>9*382000</f>
        <v>3438000</v>
      </c>
      <c r="M81" s="312"/>
      <c r="N81" s="312"/>
      <c r="O81" s="312"/>
      <c r="P81" s="312"/>
      <c r="Q81" s="312"/>
      <c r="R81" s="200">
        <f t="shared" si="2"/>
        <v>3438000</v>
      </c>
      <c r="S81" s="300" t="s">
        <v>727</v>
      </c>
      <c r="T81" s="202"/>
      <c r="U81" s="246"/>
      <c r="V81" s="246"/>
      <c r="W81" s="246"/>
      <c r="BA81"/>
      <c r="BB81"/>
    </row>
    <row r="82" spans="1:54" s="191" customFormat="1" ht="13.5">
      <c r="A82" s="226"/>
      <c r="B82" s="180">
        <v>5004086291</v>
      </c>
      <c r="C82" s="183" t="str">
        <f>IFERROR(IF(VLOOKUP($B82,勘定科目!$A:$H,HLOOKUP($E$5,勘定科目!$F$1:$H$2,2,0),0)="","",VLOOKUP($B82,勘定科目!$A:$E,2,0)),"")</f>
        <v>福利厚生費（製）</v>
      </c>
      <c r="D82" s="239" t="str">
        <f>IF(C82="","",VLOOKUP($B82,勘定科目!$A:$E,4,0))</f>
        <v>福利厚生費</v>
      </c>
      <c r="E82" s="245"/>
      <c r="F82" s="194"/>
      <c r="G82" s="194"/>
      <c r="H82" s="194"/>
      <c r="I82" s="312"/>
      <c r="J82" s="312"/>
      <c r="K82" s="312"/>
      <c r="L82" s="312"/>
      <c r="M82" s="312"/>
      <c r="N82" s="312"/>
      <c r="O82" s="312"/>
      <c r="P82" s="312"/>
      <c r="Q82" s="312"/>
      <c r="R82" s="200">
        <f t="shared" si="2"/>
        <v>0</v>
      </c>
      <c r="S82" s="300"/>
      <c r="T82" s="202"/>
      <c r="U82" s="246"/>
      <c r="V82" s="246"/>
      <c r="W82" s="246"/>
      <c r="BA82"/>
      <c r="BB82"/>
    </row>
    <row r="83" spans="1:54" s="191" customFormat="1" ht="13.5">
      <c r="A83" s="226"/>
      <c r="B83" s="180">
        <v>5004086291</v>
      </c>
      <c r="C83" s="183" t="str">
        <f>IFERROR(IF(VLOOKUP($B83,勘定科目!$A:$H,HLOOKUP($E$5,勘定科目!$F$1:$H$2,2,0),0)="","",VLOOKUP($B83,勘定科目!$A:$E,2,0)),"")</f>
        <v>福利厚生費（製）</v>
      </c>
      <c r="D83" s="239" t="str">
        <f>IF(C83="","",VLOOKUP($B83,勘定科目!$A:$E,4,0))</f>
        <v>福利厚生費</v>
      </c>
      <c r="E83" s="245"/>
      <c r="F83" s="194"/>
      <c r="G83" s="194"/>
      <c r="H83" s="194"/>
      <c r="I83" s="312"/>
      <c r="J83" s="312"/>
      <c r="K83" s="312"/>
      <c r="L83" s="312"/>
      <c r="M83" s="312"/>
      <c r="N83" s="312"/>
      <c r="O83" s="312"/>
      <c r="P83" s="312"/>
      <c r="Q83" s="312"/>
      <c r="R83" s="200">
        <f t="shared" si="2"/>
        <v>0</v>
      </c>
      <c r="S83" s="300"/>
      <c r="T83" s="202"/>
      <c r="U83" s="246"/>
      <c r="V83" s="246"/>
      <c r="W83" s="246"/>
      <c r="BA83"/>
      <c r="BB83"/>
    </row>
    <row r="84" spans="1:54" s="191" customFormat="1" ht="13.5">
      <c r="A84" s="226"/>
      <c r="B84" s="180">
        <v>5004086291</v>
      </c>
      <c r="C84" s="183" t="str">
        <f>IFERROR(IF(VLOOKUP($B84,勘定科目!$A:$H,HLOOKUP($E$5,勘定科目!$F$1:$H$2,2,0),0)="","",VLOOKUP($B84,勘定科目!$A:$E,2,0)),"")</f>
        <v>福利厚生費（製）</v>
      </c>
      <c r="D84" s="239" t="str">
        <f>IF(C84="","",VLOOKUP($B84,勘定科目!$A:$E,4,0))</f>
        <v>福利厚生費</v>
      </c>
      <c r="E84" s="245"/>
      <c r="F84" s="194"/>
      <c r="G84" s="194"/>
      <c r="H84" s="194"/>
      <c r="I84" s="312"/>
      <c r="J84" s="312"/>
      <c r="K84" s="312"/>
      <c r="L84" s="312"/>
      <c r="M84" s="312"/>
      <c r="N84" s="312"/>
      <c r="O84" s="312"/>
      <c r="P84" s="312"/>
      <c r="Q84" s="312"/>
      <c r="R84" s="200">
        <f t="shared" si="2"/>
        <v>0</v>
      </c>
      <c r="S84" s="300"/>
      <c r="T84" s="202"/>
      <c r="U84" s="246"/>
      <c r="V84" s="246"/>
      <c r="W84" s="246"/>
      <c r="BA84"/>
      <c r="BB84"/>
    </row>
    <row r="85" spans="1:54" s="191" customFormat="1" ht="13.5">
      <c r="A85" s="226"/>
      <c r="B85" s="180">
        <v>5004086291</v>
      </c>
      <c r="C85" s="183" t="str">
        <f>IFERROR(IF(VLOOKUP($B85,勘定科目!$A:$H,HLOOKUP($E$5,勘定科目!$F$1:$H$2,2,0),0)="","",VLOOKUP($B85,勘定科目!$A:$E,2,0)),"")</f>
        <v>福利厚生費（製）</v>
      </c>
      <c r="D85" s="239" t="str">
        <f>IF(C85="","",VLOOKUP($B85,勘定科目!$A:$E,4,0))</f>
        <v>福利厚生費</v>
      </c>
      <c r="E85" s="245"/>
      <c r="F85" s="194"/>
      <c r="G85" s="194"/>
      <c r="H85" s="194"/>
      <c r="I85" s="312"/>
      <c r="J85" s="312"/>
      <c r="K85" s="312"/>
      <c r="L85" s="312"/>
      <c r="M85" s="312"/>
      <c r="N85" s="312"/>
      <c r="O85" s="312"/>
      <c r="P85" s="312"/>
      <c r="Q85" s="312"/>
      <c r="R85" s="200">
        <f t="shared" si="2"/>
        <v>0</v>
      </c>
      <c r="S85" s="300"/>
      <c r="T85" s="202"/>
      <c r="U85" s="246"/>
      <c r="V85" s="246"/>
      <c r="W85" s="246"/>
      <c r="BA85"/>
      <c r="BB85"/>
    </row>
    <row r="86" spans="1:54" s="191" customFormat="1" ht="13.5">
      <c r="A86" s="226"/>
      <c r="B86" s="180">
        <v>5004086291</v>
      </c>
      <c r="C86" s="183" t="str">
        <f>IFERROR(IF(VLOOKUP($B86,勘定科目!$A:$H,HLOOKUP($E$5,勘定科目!$F$1:$H$2,2,0),0)="","",VLOOKUP($B86,勘定科目!$A:$E,2,0)),"")</f>
        <v>福利厚生費（製）</v>
      </c>
      <c r="D86" s="239" t="str">
        <f>IF(C86="","",VLOOKUP($B86,勘定科目!$A:$E,4,0))</f>
        <v>福利厚生費</v>
      </c>
      <c r="E86" s="245"/>
      <c r="F86" s="194"/>
      <c r="G86" s="194"/>
      <c r="H86" s="194"/>
      <c r="I86" s="312"/>
      <c r="J86" s="312"/>
      <c r="K86" s="312"/>
      <c r="L86" s="312"/>
      <c r="M86" s="312"/>
      <c r="N86" s="312"/>
      <c r="O86" s="312"/>
      <c r="P86" s="312"/>
      <c r="Q86" s="312"/>
      <c r="R86" s="200">
        <f t="shared" si="2"/>
        <v>0</v>
      </c>
      <c r="S86" s="300"/>
      <c r="T86" s="202"/>
      <c r="U86" s="246"/>
      <c r="V86" s="246"/>
      <c r="W86" s="246"/>
      <c r="BA86"/>
      <c r="BB86"/>
    </row>
    <row r="87" spans="1:54" s="191" customFormat="1" ht="13.5">
      <c r="A87" s="226"/>
      <c r="B87" s="180">
        <v>5004086291</v>
      </c>
      <c r="C87" s="183" t="str">
        <f>IFERROR(IF(VLOOKUP($B87,勘定科目!$A:$H,HLOOKUP($E$5,勘定科目!$F$1:$H$2,2,0),0)="","",VLOOKUP($B87,勘定科目!$A:$E,2,0)),"")</f>
        <v>福利厚生費（製）</v>
      </c>
      <c r="D87" s="239" t="str">
        <f>IF(C87="","",VLOOKUP($B87,勘定科目!$A:$E,4,0))</f>
        <v>福利厚生費</v>
      </c>
      <c r="E87" s="245"/>
      <c r="F87" s="194"/>
      <c r="G87" s="194"/>
      <c r="H87" s="194"/>
      <c r="I87" s="312"/>
      <c r="J87" s="312"/>
      <c r="K87" s="312"/>
      <c r="L87" s="312"/>
      <c r="M87" s="312"/>
      <c r="N87" s="312"/>
      <c r="O87" s="312"/>
      <c r="P87" s="312"/>
      <c r="Q87" s="312"/>
      <c r="R87" s="200">
        <f t="shared" si="2"/>
        <v>0</v>
      </c>
      <c r="S87" s="300"/>
      <c r="T87" s="202"/>
      <c r="U87" s="246"/>
      <c r="V87" s="246"/>
      <c r="W87" s="246"/>
      <c r="BA87"/>
      <c r="BB87"/>
    </row>
    <row r="88" spans="1:54" s="191" customFormat="1" ht="13.5">
      <c r="A88" s="226"/>
      <c r="B88" s="180">
        <v>5004086291</v>
      </c>
      <c r="C88" s="183" t="str">
        <f>IFERROR(IF(VLOOKUP($B88,勘定科目!$A:$H,HLOOKUP($E$5,勘定科目!$F$1:$H$2,2,0),0)="","",VLOOKUP($B88,勘定科目!$A:$E,2,0)),"")</f>
        <v>福利厚生費（製）</v>
      </c>
      <c r="D88" s="239" t="str">
        <f>IF(C88="","",VLOOKUP($B88,勘定科目!$A:$E,4,0))</f>
        <v>福利厚生費</v>
      </c>
      <c r="E88" s="245"/>
      <c r="F88" s="194"/>
      <c r="G88" s="194"/>
      <c r="H88" s="194"/>
      <c r="I88" s="312"/>
      <c r="J88" s="312"/>
      <c r="K88" s="312"/>
      <c r="L88" s="312"/>
      <c r="M88" s="312"/>
      <c r="N88" s="312"/>
      <c r="O88" s="312"/>
      <c r="P88" s="312"/>
      <c r="Q88" s="312"/>
      <c r="R88" s="200">
        <f t="shared" si="2"/>
        <v>0</v>
      </c>
      <c r="S88" s="300"/>
      <c r="T88" s="202"/>
      <c r="U88" s="246"/>
      <c r="V88" s="246"/>
      <c r="W88" s="246"/>
      <c r="BA88"/>
      <c r="BB88"/>
    </row>
    <row r="89" spans="1:54" s="191" customFormat="1" ht="13.5">
      <c r="A89" s="226"/>
      <c r="B89" s="180"/>
      <c r="C89" s="183" t="str">
        <f>IFERROR(IF(VLOOKUP($B89,勘定科目!$A:$H,HLOOKUP($E$5,勘定科目!$F$1:$H$2,2,0),0)="","",VLOOKUP($B89,勘定科目!$A:$E,2,0)),"")</f>
        <v/>
      </c>
      <c r="D89" s="239" t="str">
        <f>IF(C89="","",VLOOKUP($B89,勘定科目!$A:$E,4,0))</f>
        <v/>
      </c>
      <c r="E89" s="245"/>
      <c r="F89" s="194"/>
      <c r="G89" s="194"/>
      <c r="H89" s="194"/>
      <c r="I89" s="312"/>
      <c r="J89" s="312"/>
      <c r="K89" s="312"/>
      <c r="L89" s="312"/>
      <c r="M89" s="312"/>
      <c r="N89" s="312"/>
      <c r="O89" s="312"/>
      <c r="P89" s="312"/>
      <c r="Q89" s="312"/>
      <c r="R89" s="200">
        <f t="shared" si="2"/>
        <v>0</v>
      </c>
      <c r="S89" s="300"/>
      <c r="T89" s="202"/>
      <c r="U89" s="246"/>
      <c r="V89" s="246"/>
      <c r="W89" s="246"/>
      <c r="BA89"/>
      <c r="BB89"/>
    </row>
    <row r="90" spans="1:54" s="191" customFormat="1" ht="13.5">
      <c r="A90" s="226"/>
      <c r="B90" s="180">
        <v>5005076289</v>
      </c>
      <c r="C90" s="183" t="str">
        <f>IFERROR(IF(VLOOKUP($B90,勘定科目!$A:$H,HLOOKUP($E$5,勘定科目!$F$1:$H$2,2,0),0)="","",VLOOKUP($B90,勘定科目!$A:$E,2,0)),"")</f>
        <v>クーリエ費用（製）</v>
      </c>
      <c r="D90" s="239" t="str">
        <f>IF(C90="","",VLOOKUP($B90,勘定科目!$A:$E,4,0))</f>
        <v>荷造運賃</v>
      </c>
      <c r="E90" s="245"/>
      <c r="F90" s="194"/>
      <c r="G90" s="194"/>
      <c r="H90" s="194"/>
      <c r="I90" s="312"/>
      <c r="J90" s="312"/>
      <c r="K90" s="312"/>
      <c r="L90" s="312"/>
      <c r="M90" s="312"/>
      <c r="N90" s="312"/>
      <c r="O90" s="312"/>
      <c r="P90" s="312"/>
      <c r="Q90" s="312"/>
      <c r="R90" s="200">
        <f t="shared" si="2"/>
        <v>0</v>
      </c>
      <c r="S90" s="300"/>
      <c r="T90" s="202"/>
      <c r="U90" s="246"/>
      <c r="V90" s="246"/>
      <c r="W90" s="246"/>
      <c r="BA90"/>
      <c r="BB90"/>
    </row>
    <row r="91" spans="1:54" s="191" customFormat="1" ht="13.5">
      <c r="A91" s="226"/>
      <c r="B91" s="180">
        <v>5005136291</v>
      </c>
      <c r="C91" s="183" t="str">
        <f>IFERROR(IF(VLOOKUP($B91,勘定科目!$A:$H,HLOOKUP($E$5,勘定科目!$F$1:$H$2,2,0),0)="","",VLOOKUP($B91,勘定科目!$A:$E,2,0)),"")</f>
        <v>郵送代（製）</v>
      </c>
      <c r="D91" s="239" t="str">
        <f>IF(C91="","",VLOOKUP($B91,勘定科目!$A:$E,4,0))</f>
        <v>通信費</v>
      </c>
      <c r="E91" s="245"/>
      <c r="F91" s="194"/>
      <c r="G91" s="194"/>
      <c r="H91" s="194"/>
      <c r="I91" s="312"/>
      <c r="J91" s="312"/>
      <c r="K91" s="312"/>
      <c r="L91" s="312"/>
      <c r="M91" s="312"/>
      <c r="N91" s="312"/>
      <c r="O91" s="312"/>
      <c r="P91" s="312"/>
      <c r="Q91" s="312"/>
      <c r="R91" s="200">
        <f t="shared" si="2"/>
        <v>0</v>
      </c>
      <c r="S91" s="300"/>
      <c r="T91" s="202"/>
      <c r="U91" s="246"/>
      <c r="V91" s="246"/>
      <c r="W91" s="246"/>
      <c r="BA91"/>
      <c r="BB91"/>
    </row>
    <row r="92" spans="1:54" s="191" customFormat="1" ht="13.5">
      <c r="A92" s="226"/>
      <c r="B92" s="180">
        <v>5004086293</v>
      </c>
      <c r="C92" s="183" t="str">
        <f>IFERROR(IF(VLOOKUP($B92,勘定科目!$A:$H,HLOOKUP($E$5,勘定科目!$F$1:$H$2,2,0),0)="","",VLOOKUP($B92,勘定科目!$A:$E,2,0)),"")</f>
        <v>教育訓練費（製）</v>
      </c>
      <c r="D92" s="239" t="str">
        <f>IF(C92="","",VLOOKUP($B92,勘定科目!$A:$E,4,0))</f>
        <v>募集教育費</v>
      </c>
      <c r="E92" s="245"/>
      <c r="F92" s="194"/>
      <c r="G92" s="194"/>
      <c r="H92" s="194"/>
      <c r="I92" s="312"/>
      <c r="J92" s="312"/>
      <c r="K92" s="312"/>
      <c r="L92" s="312"/>
      <c r="M92" s="312"/>
      <c r="N92" s="312"/>
      <c r="O92" s="312"/>
      <c r="P92" s="312"/>
      <c r="Q92" s="312"/>
      <c r="R92" s="200">
        <f t="shared" si="2"/>
        <v>0</v>
      </c>
      <c r="S92" s="300"/>
      <c r="T92" s="202"/>
      <c r="U92" s="246"/>
      <c r="V92" s="246"/>
      <c r="W92" s="246"/>
      <c r="BA92"/>
      <c r="BB92"/>
    </row>
    <row r="93" spans="1:54" s="191" customFormat="1" ht="13.5">
      <c r="A93" s="226"/>
      <c r="B93" s="180">
        <v>5005116291</v>
      </c>
      <c r="C93" s="183" t="str">
        <f>IFERROR(IF(VLOOKUP($B93,勘定科目!$A:$H,HLOOKUP($E$5,勘定科目!$F$1:$H$2,2,0),0)="","",VLOOKUP($B93,勘定科目!$A:$E,2,0)),"")</f>
        <v>ベトナム国内交通費（製）</v>
      </c>
      <c r="D93" s="239" t="str">
        <f>IF(C93="","",VLOOKUP($B93,勘定科目!$A:$E,4,0))</f>
        <v>旅費交通費</v>
      </c>
      <c r="E93" s="245"/>
      <c r="F93" s="194"/>
      <c r="G93" s="194"/>
      <c r="H93" s="194"/>
      <c r="I93" s="312"/>
      <c r="J93" s="312"/>
      <c r="K93" s="312"/>
      <c r="L93" s="312"/>
      <c r="M93" s="312"/>
      <c r="N93" s="312"/>
      <c r="O93" s="312"/>
      <c r="P93" s="312"/>
      <c r="Q93" s="312"/>
      <c r="R93" s="200">
        <f t="shared" si="2"/>
        <v>0</v>
      </c>
      <c r="S93" s="300"/>
      <c r="T93" s="202"/>
      <c r="U93" s="246"/>
      <c r="V93" s="246"/>
      <c r="W93" s="246"/>
      <c r="BA93"/>
      <c r="BB93"/>
    </row>
    <row r="94" spans="1:54" s="191" customFormat="1" ht="13.5">
      <c r="A94" s="226"/>
      <c r="B94" s="180">
        <v>5005026371</v>
      </c>
      <c r="C94" s="183" t="str">
        <f>IFERROR(IF(VLOOKUP($B94,勘定科目!$A:$H,HLOOKUP($E$5,勘定科目!$F$1:$H$2,2,0),0)="","",VLOOKUP($B94,勘定科目!$A:$E,2,0)),"")</f>
        <v>消耗工具器具備品費（製）</v>
      </c>
      <c r="D94" s="239" t="str">
        <f>IF(C94="","",VLOOKUP($B94,勘定科目!$A:$E,4,0))</f>
        <v>消耗工具器具備品費</v>
      </c>
      <c r="E94" s="245"/>
      <c r="F94" s="194"/>
      <c r="G94" s="194"/>
      <c r="H94" s="194"/>
      <c r="I94" s="312"/>
      <c r="J94" s="312">
        <f>3*16750000+1*(16750000+4200000)</f>
        <v>71200000</v>
      </c>
      <c r="K94" s="312">
        <f>1*(16750000+4200000)</f>
        <v>20950000</v>
      </c>
      <c r="L94" s="312">
        <f>(16750000+4200000)</f>
        <v>20950000</v>
      </c>
      <c r="M94" s="312"/>
      <c r="N94" s="312">
        <f>1*(16750000+4200000)</f>
        <v>20950000</v>
      </c>
      <c r="O94" s="312">
        <f>16750000+4200000</f>
        <v>20950000</v>
      </c>
      <c r="P94" s="312"/>
      <c r="Q94" s="312"/>
      <c r="R94" s="200">
        <f t="shared" si="2"/>
        <v>155000000</v>
      </c>
      <c r="S94" s="300" t="s">
        <v>702</v>
      </c>
      <c r="T94" s="202"/>
      <c r="U94" s="246"/>
      <c r="V94" s="246"/>
      <c r="W94" s="246"/>
      <c r="BA94"/>
      <c r="BB94"/>
    </row>
    <row r="95" spans="1:54" s="191" customFormat="1" ht="13.5">
      <c r="A95" s="226"/>
      <c r="B95" s="180">
        <v>5005026371</v>
      </c>
      <c r="C95" s="183" t="str">
        <f>IFERROR(IF(VLOOKUP($B95,勘定科目!$A:$H,HLOOKUP($E$5,勘定科目!$F$1:$H$2,2,0),0)="","",VLOOKUP($B95,勘定科目!$A:$E,2,0)),"")</f>
        <v>消耗工具器具備品費（製）</v>
      </c>
      <c r="D95" s="239" t="str">
        <f>IF(C95="","",VLOOKUP($B95,勘定科目!$A:$E,4,0))</f>
        <v>消耗工具器具備品費</v>
      </c>
      <c r="E95" s="245"/>
      <c r="F95" s="194"/>
      <c r="G95" s="194"/>
      <c r="H95" s="194"/>
      <c r="I95" s="312"/>
      <c r="J95" s="312">
        <v>100000</v>
      </c>
      <c r="K95" s="312">
        <f>100000</f>
        <v>100000</v>
      </c>
      <c r="L95" s="312">
        <f>100000</f>
        <v>100000</v>
      </c>
      <c r="M95" s="312"/>
      <c r="N95" s="312">
        <f>100000</f>
        <v>100000</v>
      </c>
      <c r="O95" s="312">
        <f>100000</f>
        <v>100000</v>
      </c>
      <c r="P95" s="312"/>
      <c r="Q95" s="312"/>
      <c r="R95" s="200">
        <f t="shared" ref="R95:R158" si="5">SUM(F95:Q95)</f>
        <v>500000</v>
      </c>
      <c r="S95" s="300" t="s">
        <v>703</v>
      </c>
      <c r="T95" s="202"/>
      <c r="U95" s="246"/>
      <c r="V95" s="246"/>
      <c r="W95" s="246"/>
      <c r="BA95"/>
      <c r="BB95"/>
    </row>
    <row r="96" spans="1:54" s="191" customFormat="1" ht="13.5">
      <c r="A96" s="226"/>
      <c r="B96" s="180">
        <v>5005046282</v>
      </c>
      <c r="C96" s="183" t="str">
        <f>IFERROR(IF(VLOOKUP($B96,勘定科目!$A:$H,HLOOKUP($E$5,勘定科目!$F$1:$H$2,2,0),0)="","",VLOOKUP($B96,勘定科目!$A:$E,2,0)),"")</f>
        <v>その他修繕費（製）</v>
      </c>
      <c r="D96" s="239" t="str">
        <f>IF(C96="","",VLOOKUP($B96,勘定科目!$A:$E,4,0))</f>
        <v>修繕費</v>
      </c>
      <c r="E96" s="245"/>
      <c r="F96" s="194"/>
      <c r="G96" s="194"/>
      <c r="H96" s="194"/>
      <c r="I96" s="312"/>
      <c r="J96" s="312"/>
      <c r="K96" s="312"/>
      <c r="L96" s="312"/>
      <c r="M96" s="312"/>
      <c r="N96" s="312"/>
      <c r="O96" s="312"/>
      <c r="P96" s="312"/>
      <c r="Q96" s="312"/>
      <c r="R96" s="200">
        <f t="shared" si="5"/>
        <v>0</v>
      </c>
      <c r="S96" s="300"/>
      <c r="T96" s="202"/>
      <c r="U96" s="246"/>
      <c r="V96" s="246"/>
      <c r="W96" s="246"/>
      <c r="BA96"/>
      <c r="BB96"/>
    </row>
    <row r="97" spans="1:54" s="191" customFormat="1" ht="13.5">
      <c r="A97" s="226"/>
      <c r="B97" s="180">
        <v>5005046281</v>
      </c>
      <c r="C97" s="183" t="str">
        <f>IFERROR(IF(VLOOKUP($B97,勘定科目!$A:$H,HLOOKUP($E$5,勘定科目!$F$1:$H$2,2,0),0)="","",VLOOKUP($B97,勘定科目!$A:$E,2,0)),"")</f>
        <v>機械設備修繕費（製）</v>
      </c>
      <c r="D97" s="239" t="str">
        <f>IF(C97="","",VLOOKUP($B97,勘定科目!$A:$E,4,0))</f>
        <v>修繕費</v>
      </c>
      <c r="E97" s="245"/>
      <c r="F97" s="194"/>
      <c r="G97" s="194"/>
      <c r="H97" s="194"/>
      <c r="I97" s="312"/>
      <c r="J97" s="312"/>
      <c r="K97" s="312"/>
      <c r="L97" s="312"/>
      <c r="M97" s="312"/>
      <c r="N97" s="312"/>
      <c r="O97" s="312"/>
      <c r="P97" s="312"/>
      <c r="Q97" s="312"/>
      <c r="R97" s="200">
        <f t="shared" si="5"/>
        <v>0</v>
      </c>
      <c r="S97" s="300" t="s">
        <v>704</v>
      </c>
      <c r="T97" s="202"/>
      <c r="U97" s="246"/>
      <c r="V97" s="246"/>
      <c r="W97" s="246"/>
      <c r="BA97"/>
      <c r="BB97"/>
    </row>
    <row r="98" spans="1:54" s="191" customFormat="1" ht="13.5">
      <c r="A98" s="226"/>
      <c r="B98" s="180">
        <v>5005046283</v>
      </c>
      <c r="C98" s="183" t="s">
        <v>185</v>
      </c>
      <c r="D98" s="239" t="s">
        <v>59</v>
      </c>
      <c r="E98" s="245"/>
      <c r="F98" s="194"/>
      <c r="G98" s="194"/>
      <c r="H98" s="194"/>
      <c r="I98" s="312"/>
      <c r="J98" s="312">
        <f>500000</f>
        <v>500000</v>
      </c>
      <c r="K98" s="312"/>
      <c r="L98" s="312"/>
      <c r="M98" s="312"/>
      <c r="N98" s="312"/>
      <c r="O98" s="312"/>
      <c r="P98" s="312"/>
      <c r="Q98" s="312">
        <v>3000000</v>
      </c>
      <c r="R98" s="200">
        <f t="shared" si="5"/>
        <v>3500000</v>
      </c>
      <c r="S98" s="300" t="s">
        <v>705</v>
      </c>
      <c r="T98" s="202"/>
      <c r="U98" s="246"/>
      <c r="V98" s="246"/>
      <c r="W98" s="246"/>
      <c r="BA98"/>
      <c r="BB98"/>
    </row>
    <row r="99" spans="1:54" s="191" customFormat="1" ht="13.5">
      <c r="A99" s="226"/>
      <c r="B99" s="180"/>
      <c r="C99" s="183" t="str">
        <f>IFERROR(IF(VLOOKUP($B99,勘定科目!$A:$H,HLOOKUP($E$5,勘定科目!$F$1:$H$2,2,0),0)="","",VLOOKUP($B99,勘定科目!$A:$E,2,0)),"")</f>
        <v/>
      </c>
      <c r="D99" s="239" t="str">
        <f>IF(C99="","",VLOOKUP($B99,勘定科目!$A:$E,4,0))</f>
        <v/>
      </c>
      <c r="E99" s="245"/>
      <c r="F99" s="194"/>
      <c r="G99" s="194"/>
      <c r="H99" s="194"/>
      <c r="I99" s="312"/>
      <c r="J99" s="312"/>
      <c r="K99" s="312"/>
      <c r="L99" s="312"/>
      <c r="M99" s="312"/>
      <c r="N99" s="312"/>
      <c r="O99" s="312"/>
      <c r="P99" s="312"/>
      <c r="Q99" s="312"/>
      <c r="R99" s="200">
        <f t="shared" si="5"/>
        <v>0</v>
      </c>
      <c r="S99" s="201"/>
      <c r="T99" s="202"/>
      <c r="U99" s="246"/>
      <c r="V99" s="246"/>
      <c r="W99" s="246"/>
      <c r="BA99"/>
      <c r="BB99"/>
    </row>
    <row r="100" spans="1:54" s="191" customFormat="1" ht="13.5">
      <c r="A100" s="226"/>
      <c r="B100" s="180"/>
      <c r="C100" s="183" t="str">
        <f>IFERROR(IF(VLOOKUP($B100,勘定科目!$A:$H,HLOOKUP($E$5,勘定科目!$F$1:$H$2,2,0),0)="","",VLOOKUP($B100,勘定科目!$A:$E,2,0)),"")</f>
        <v/>
      </c>
      <c r="D100" s="239" t="str">
        <f>IF(C100="","",VLOOKUP($B100,勘定科目!$A:$E,4,0))</f>
        <v/>
      </c>
      <c r="E100" s="245"/>
      <c r="F100" s="194"/>
      <c r="G100" s="194"/>
      <c r="H100" s="194"/>
      <c r="I100" s="312"/>
      <c r="J100" s="312"/>
      <c r="K100" s="312"/>
      <c r="L100" s="312"/>
      <c r="M100" s="312"/>
      <c r="N100" s="312"/>
      <c r="O100" s="312"/>
      <c r="P100" s="312"/>
      <c r="Q100" s="312"/>
      <c r="R100" s="200">
        <f t="shared" si="5"/>
        <v>0</v>
      </c>
      <c r="S100" s="201"/>
      <c r="T100" s="202"/>
      <c r="U100" s="246"/>
      <c r="V100" s="246"/>
      <c r="W100" s="246"/>
      <c r="BA100"/>
      <c r="BB100"/>
    </row>
    <row r="101" spans="1:54" s="191" customFormat="1" ht="13.5">
      <c r="A101" s="226"/>
      <c r="B101" s="180"/>
      <c r="C101" s="183" t="str">
        <f>IFERROR(IF(VLOOKUP($B101,勘定科目!$A:$H,HLOOKUP($E$5,勘定科目!$F$1:$H$2,2,0),0)="","",VLOOKUP($B101,勘定科目!$A:$E,2,0)),"")</f>
        <v/>
      </c>
      <c r="D101" s="239" t="str">
        <f>IF(C101="","",VLOOKUP($B101,勘定科目!$A:$E,4,0))</f>
        <v/>
      </c>
      <c r="E101" s="245"/>
      <c r="F101" s="194"/>
      <c r="G101" s="194"/>
      <c r="H101" s="194"/>
      <c r="I101" s="312"/>
      <c r="J101" s="312"/>
      <c r="K101" s="312"/>
      <c r="L101" s="312"/>
      <c r="M101" s="312"/>
      <c r="N101" s="312"/>
      <c r="O101" s="312"/>
      <c r="P101" s="312"/>
      <c r="Q101" s="312"/>
      <c r="R101" s="200">
        <f t="shared" si="5"/>
        <v>0</v>
      </c>
      <c r="S101" s="201"/>
      <c r="T101" s="202"/>
      <c r="U101" s="246"/>
      <c r="V101" s="246"/>
      <c r="W101" s="246"/>
      <c r="BA101"/>
      <c r="BB101"/>
    </row>
    <row r="102" spans="1:54" s="191" customFormat="1" ht="13.5">
      <c r="A102" s="226"/>
      <c r="B102" s="180"/>
      <c r="C102" s="183" t="str">
        <f>IFERROR(IF(VLOOKUP($B102,勘定科目!$A:$H,HLOOKUP($E$5,勘定科目!$F$1:$H$2,2,0),0)="","",VLOOKUP($B102,勘定科目!$A:$E,2,0)),"")</f>
        <v/>
      </c>
      <c r="D102" s="239" t="str">
        <f>IF(C102="","",VLOOKUP($B102,勘定科目!$A:$E,4,0))</f>
        <v/>
      </c>
      <c r="E102" s="245"/>
      <c r="F102" s="194"/>
      <c r="G102" s="194"/>
      <c r="H102" s="194"/>
      <c r="I102" s="312"/>
      <c r="J102" s="312"/>
      <c r="K102" s="312"/>
      <c r="L102" s="312"/>
      <c r="M102" s="312"/>
      <c r="N102" s="312"/>
      <c r="O102" s="312"/>
      <c r="P102" s="312"/>
      <c r="Q102" s="312"/>
      <c r="R102" s="200">
        <f t="shared" si="5"/>
        <v>0</v>
      </c>
      <c r="S102" s="201"/>
      <c r="T102" s="202"/>
      <c r="U102" s="246"/>
      <c r="V102" s="246"/>
      <c r="W102" s="246"/>
      <c r="BA102"/>
      <c r="BB102"/>
    </row>
    <row r="103" spans="1:54" s="191" customFormat="1" ht="13.5">
      <c r="A103" s="226"/>
      <c r="B103" s="180"/>
      <c r="C103" s="183" t="str">
        <f>IFERROR(IF(VLOOKUP($B103,勘定科目!$A:$H,HLOOKUP($E$5,勘定科目!$F$1:$H$2,2,0),0)="","",VLOOKUP($B103,勘定科目!$A:$E,2,0)),"")</f>
        <v/>
      </c>
      <c r="D103" s="239" t="str">
        <f>IF(C103="","",VLOOKUP($B103,勘定科目!$A:$E,4,0))</f>
        <v/>
      </c>
      <c r="E103" s="245"/>
      <c r="F103" s="194"/>
      <c r="G103" s="194"/>
      <c r="H103" s="194"/>
      <c r="I103" s="312"/>
      <c r="J103" s="312"/>
      <c r="K103" s="312"/>
      <c r="L103" s="312"/>
      <c r="M103" s="312"/>
      <c r="N103" s="312"/>
      <c r="O103" s="312"/>
      <c r="P103" s="312"/>
      <c r="Q103" s="312"/>
      <c r="R103" s="200">
        <f t="shared" si="5"/>
        <v>0</v>
      </c>
      <c r="S103" s="201"/>
      <c r="T103" s="202"/>
      <c r="U103" s="246"/>
      <c r="V103" s="246"/>
      <c r="W103" s="246"/>
      <c r="BA103"/>
      <c r="BB103"/>
    </row>
    <row r="104" spans="1:54" s="191" customFormat="1" ht="13.5">
      <c r="A104" s="226"/>
      <c r="B104" s="180"/>
      <c r="C104" s="183" t="str">
        <f>IFERROR(IF(VLOOKUP($B104,勘定科目!$A:$H,HLOOKUP($E$5,勘定科目!$F$1:$H$2,2,0),0)="","",VLOOKUP($B104,勘定科目!$A:$E,2,0)),"")</f>
        <v/>
      </c>
      <c r="D104" s="239" t="str">
        <f>IF(C104="","",VLOOKUP($B104,勘定科目!$A:$E,4,0))</f>
        <v/>
      </c>
      <c r="E104" s="245"/>
      <c r="F104" s="194"/>
      <c r="G104" s="194"/>
      <c r="H104" s="194"/>
      <c r="I104" s="312"/>
      <c r="J104" s="312"/>
      <c r="K104" s="312"/>
      <c r="L104" s="312"/>
      <c r="M104" s="312"/>
      <c r="N104" s="312"/>
      <c r="O104" s="312"/>
      <c r="P104" s="312"/>
      <c r="Q104" s="312"/>
      <c r="R104" s="200">
        <f t="shared" si="5"/>
        <v>0</v>
      </c>
      <c r="S104" s="201"/>
      <c r="T104" s="202"/>
      <c r="U104" s="246"/>
      <c r="V104" s="246"/>
      <c r="W104" s="246"/>
      <c r="BA104"/>
      <c r="BB104"/>
    </row>
    <row r="105" spans="1:54" s="191" customFormat="1" ht="13.5">
      <c r="A105" s="226"/>
      <c r="B105" s="180"/>
      <c r="C105" s="183" t="str">
        <f>IFERROR(IF(VLOOKUP($B105,勘定科目!$A:$H,HLOOKUP($E$5,勘定科目!$F$1:$H$2,2,0),0)="","",VLOOKUP($B105,勘定科目!$A:$E,2,0)),"")</f>
        <v/>
      </c>
      <c r="D105" s="239" t="str">
        <f>IF(C105="","",VLOOKUP($B105,勘定科目!$A:$E,4,0))</f>
        <v/>
      </c>
      <c r="E105" s="245"/>
      <c r="F105" s="194"/>
      <c r="G105" s="194"/>
      <c r="H105" s="194"/>
      <c r="I105" s="312"/>
      <c r="J105" s="312"/>
      <c r="K105" s="312"/>
      <c r="L105" s="312"/>
      <c r="M105" s="312"/>
      <c r="N105" s="312"/>
      <c r="O105" s="312"/>
      <c r="P105" s="312"/>
      <c r="Q105" s="312"/>
      <c r="R105" s="200">
        <f t="shared" si="5"/>
        <v>0</v>
      </c>
      <c r="S105" s="201"/>
      <c r="T105" s="202"/>
      <c r="U105" s="246"/>
      <c r="V105" s="246"/>
      <c r="W105" s="246"/>
      <c r="BA105"/>
      <c r="BB105"/>
    </row>
    <row r="106" spans="1:54" s="191" customFormat="1" ht="13.5">
      <c r="A106" s="226"/>
      <c r="B106" s="180"/>
      <c r="C106" s="183" t="str">
        <f>IFERROR(IF(VLOOKUP($B106,勘定科目!$A:$H,HLOOKUP($E$5,勘定科目!$F$1:$H$2,2,0),0)="","",VLOOKUP($B106,勘定科目!$A:$E,2,0)),"")</f>
        <v/>
      </c>
      <c r="D106" s="239" t="str">
        <f>IF(C106="","",VLOOKUP($B106,勘定科目!$A:$E,4,0))</f>
        <v/>
      </c>
      <c r="E106" s="245"/>
      <c r="F106" s="194"/>
      <c r="G106" s="194"/>
      <c r="H106" s="194"/>
      <c r="I106" s="312"/>
      <c r="J106" s="312"/>
      <c r="K106" s="312"/>
      <c r="L106" s="312"/>
      <c r="M106" s="312"/>
      <c r="N106" s="312"/>
      <c r="O106" s="312"/>
      <c r="P106" s="312"/>
      <c r="Q106" s="312"/>
      <c r="R106" s="200">
        <f t="shared" si="5"/>
        <v>0</v>
      </c>
      <c r="S106" s="201"/>
      <c r="T106" s="202"/>
      <c r="U106" s="246"/>
      <c r="V106" s="246"/>
      <c r="W106" s="246"/>
      <c r="BA106"/>
      <c r="BB106"/>
    </row>
    <row r="107" spans="1:54" s="191" customFormat="1" ht="13.5">
      <c r="A107" s="226"/>
      <c r="B107" s="180"/>
      <c r="C107" s="183" t="str">
        <f>IFERROR(IF(VLOOKUP($B107,勘定科目!$A:$H,HLOOKUP($E$5,勘定科目!$F$1:$H$2,2,0),0)="","",VLOOKUP($B107,勘定科目!$A:$E,2,0)),"")</f>
        <v/>
      </c>
      <c r="D107" s="239" t="str">
        <f>IF(C107="","",VLOOKUP($B107,勘定科目!$A:$E,4,0))</f>
        <v/>
      </c>
      <c r="E107" s="245"/>
      <c r="F107" s="194"/>
      <c r="G107" s="194"/>
      <c r="H107" s="194"/>
      <c r="I107" s="312"/>
      <c r="J107" s="312"/>
      <c r="K107" s="312"/>
      <c r="L107" s="312"/>
      <c r="M107" s="312"/>
      <c r="N107" s="312"/>
      <c r="O107" s="312"/>
      <c r="P107" s="312"/>
      <c r="Q107" s="312"/>
      <c r="R107" s="200">
        <f t="shared" si="5"/>
        <v>0</v>
      </c>
      <c r="S107" s="201"/>
      <c r="T107" s="202"/>
      <c r="U107" s="246"/>
      <c r="V107" s="246"/>
      <c r="W107" s="246"/>
      <c r="BA107"/>
      <c r="BB107"/>
    </row>
    <row r="108" spans="1:54" s="191" customFormat="1" ht="13.5">
      <c r="A108" s="226"/>
      <c r="B108" s="180"/>
      <c r="C108" s="183" t="str">
        <f>IFERROR(IF(VLOOKUP($B108,勘定科目!$A:$H,HLOOKUP($E$5,勘定科目!$F$1:$H$2,2,0),0)="","",VLOOKUP($B108,勘定科目!$A:$E,2,0)),"")</f>
        <v/>
      </c>
      <c r="D108" s="239" t="str">
        <f>IF(C108="","",VLOOKUP($B108,勘定科目!$A:$E,4,0))</f>
        <v/>
      </c>
      <c r="E108" s="245"/>
      <c r="F108" s="194"/>
      <c r="G108" s="194"/>
      <c r="H108" s="194"/>
      <c r="I108" s="312"/>
      <c r="J108" s="312"/>
      <c r="K108" s="312"/>
      <c r="L108" s="312"/>
      <c r="M108" s="312"/>
      <c r="N108" s="312"/>
      <c r="O108" s="312"/>
      <c r="P108" s="312"/>
      <c r="Q108" s="312"/>
      <c r="R108" s="200">
        <f t="shared" si="5"/>
        <v>0</v>
      </c>
      <c r="S108" s="201"/>
      <c r="T108" s="202"/>
      <c r="U108" s="246"/>
      <c r="V108" s="246"/>
      <c r="W108" s="246"/>
      <c r="BA108"/>
      <c r="BB108"/>
    </row>
    <row r="109" spans="1:54" s="191" customFormat="1" ht="13.5">
      <c r="A109" s="226"/>
      <c r="B109" s="180"/>
      <c r="C109" s="183" t="str">
        <f>IFERROR(IF(VLOOKUP($B109,勘定科目!$A:$H,HLOOKUP($E$5,勘定科目!$F$1:$H$2,2,0),0)="","",VLOOKUP($B109,勘定科目!$A:$E,2,0)),"")</f>
        <v/>
      </c>
      <c r="D109" s="239" t="str">
        <f>IF(C109="","",VLOOKUP($B109,勘定科目!$A:$E,4,0))</f>
        <v/>
      </c>
      <c r="E109" s="245"/>
      <c r="F109" s="194"/>
      <c r="G109" s="247"/>
      <c r="H109" s="247"/>
      <c r="I109" s="312"/>
      <c r="J109" s="312"/>
      <c r="K109" s="312"/>
      <c r="L109" s="312"/>
      <c r="M109" s="312"/>
      <c r="N109" s="312"/>
      <c r="O109" s="312"/>
      <c r="P109" s="312"/>
      <c r="Q109" s="312"/>
      <c r="R109" s="200">
        <f t="shared" si="5"/>
        <v>0</v>
      </c>
      <c r="S109" s="201"/>
      <c r="T109" s="202"/>
      <c r="U109" s="246"/>
      <c r="V109" s="246"/>
      <c r="W109" s="246"/>
      <c r="BA109"/>
      <c r="BB109"/>
    </row>
    <row r="110" spans="1:54" s="191" customFormat="1" ht="13.5">
      <c r="A110" s="226"/>
      <c r="B110" s="180"/>
      <c r="C110" s="183" t="str">
        <f>IFERROR(IF(VLOOKUP($B110,勘定科目!$A:$H,HLOOKUP($E$5,勘定科目!$F$1:$H$2,2,0),0)="","",VLOOKUP($B110,勘定科目!$A:$E,2,0)),"")</f>
        <v/>
      </c>
      <c r="D110" s="239" t="str">
        <f>IF(C110="","",VLOOKUP($B110,勘定科目!$A:$E,4,0))</f>
        <v/>
      </c>
      <c r="E110" s="245"/>
      <c r="F110" s="194"/>
      <c r="G110" s="247"/>
      <c r="H110" s="247"/>
      <c r="I110" s="312"/>
      <c r="J110" s="312"/>
      <c r="K110" s="312"/>
      <c r="L110" s="312"/>
      <c r="M110" s="312"/>
      <c r="N110" s="312"/>
      <c r="O110" s="312"/>
      <c r="P110" s="312"/>
      <c r="Q110" s="312"/>
      <c r="R110" s="200">
        <f t="shared" si="5"/>
        <v>0</v>
      </c>
      <c r="S110" s="201"/>
      <c r="T110" s="202"/>
      <c r="U110" s="246"/>
      <c r="V110" s="246"/>
      <c r="W110" s="246"/>
      <c r="BA110"/>
      <c r="BB110"/>
    </row>
    <row r="111" spans="1:54" s="191" customFormat="1" ht="13.5">
      <c r="A111" s="226"/>
      <c r="B111" s="180"/>
      <c r="C111" s="183" t="str">
        <f>IFERROR(IF(VLOOKUP($B111,勘定科目!$A:$H,HLOOKUP($E$5,勘定科目!$F$1:$H$2,2,0),0)="","",VLOOKUP($B111,勘定科目!$A:$E,2,0)),"")</f>
        <v/>
      </c>
      <c r="D111" s="239" t="str">
        <f>IF(C111="","",VLOOKUP($B111,勘定科目!$A:$E,4,0))</f>
        <v/>
      </c>
      <c r="E111" s="245"/>
      <c r="F111" s="194"/>
      <c r="G111" s="247"/>
      <c r="H111" s="247"/>
      <c r="I111" s="312"/>
      <c r="J111" s="312"/>
      <c r="K111" s="312"/>
      <c r="L111" s="312"/>
      <c r="M111" s="312"/>
      <c r="N111" s="312"/>
      <c r="O111" s="312"/>
      <c r="P111" s="312"/>
      <c r="Q111" s="312"/>
      <c r="R111" s="200">
        <f t="shared" si="5"/>
        <v>0</v>
      </c>
      <c r="S111" s="201"/>
      <c r="T111" s="202"/>
      <c r="U111" s="246"/>
      <c r="V111" s="246"/>
      <c r="W111" s="246"/>
      <c r="BA111"/>
      <c r="BB111"/>
    </row>
    <row r="112" spans="1:54" s="191" customFormat="1" ht="13.5">
      <c r="A112" s="226"/>
      <c r="B112" s="180"/>
      <c r="C112" s="183" t="str">
        <f>IFERROR(IF(VLOOKUP($B112,勘定科目!$A:$H,HLOOKUP($E$5,勘定科目!$F$1:$H$2,2,0),0)="","",VLOOKUP($B112,勘定科目!$A:$E,2,0)),"")</f>
        <v/>
      </c>
      <c r="D112" s="239" t="str">
        <f>IF(C112="","",VLOOKUP($B112,勘定科目!$A:$E,4,0))</f>
        <v/>
      </c>
      <c r="E112" s="245"/>
      <c r="F112" s="194"/>
      <c r="G112" s="247"/>
      <c r="H112" s="247"/>
      <c r="I112" s="312"/>
      <c r="J112" s="312"/>
      <c r="K112" s="312"/>
      <c r="L112" s="312"/>
      <c r="M112" s="312"/>
      <c r="N112" s="312"/>
      <c r="O112" s="312"/>
      <c r="P112" s="312"/>
      <c r="Q112" s="312"/>
      <c r="R112" s="200">
        <f t="shared" si="5"/>
        <v>0</v>
      </c>
      <c r="S112" s="201"/>
      <c r="T112" s="202"/>
      <c r="U112" s="246"/>
      <c r="V112" s="246"/>
      <c r="W112" s="246"/>
      <c r="BA112"/>
      <c r="BB112"/>
    </row>
    <row r="113" spans="1:54" s="191" customFormat="1" ht="13.5">
      <c r="A113" s="226"/>
      <c r="B113" s="180"/>
      <c r="C113" s="183" t="str">
        <f>IFERROR(IF(VLOOKUP($B113,勘定科目!$A:$H,HLOOKUP($E$5,勘定科目!$F$1:$H$2,2,0),0)="","",VLOOKUP($B113,勘定科目!$A:$E,2,0)),"")</f>
        <v/>
      </c>
      <c r="D113" s="239" t="str">
        <f>IF(C113="","",VLOOKUP($B113,勘定科目!$A:$E,4,0))</f>
        <v/>
      </c>
      <c r="E113" s="245"/>
      <c r="F113" s="194"/>
      <c r="G113" s="247"/>
      <c r="H113" s="247"/>
      <c r="I113" s="312"/>
      <c r="J113" s="312"/>
      <c r="K113" s="312"/>
      <c r="L113" s="312"/>
      <c r="M113" s="312"/>
      <c r="N113" s="312"/>
      <c r="O113" s="312"/>
      <c r="P113" s="312"/>
      <c r="Q113" s="312"/>
      <c r="R113" s="200">
        <f t="shared" si="5"/>
        <v>0</v>
      </c>
      <c r="S113" s="201"/>
      <c r="T113" s="202"/>
      <c r="U113" s="246"/>
      <c r="V113" s="246"/>
      <c r="W113" s="246"/>
      <c r="BA113"/>
      <c r="BB113"/>
    </row>
    <row r="114" spans="1:54" s="191" customFormat="1" ht="13.5">
      <c r="A114" s="226"/>
      <c r="B114" s="180"/>
      <c r="C114" s="183" t="str">
        <f>IFERROR(IF(VLOOKUP($B114,勘定科目!$A:$H,HLOOKUP($E$5,勘定科目!$F$1:$H$2,2,0),0)="","",VLOOKUP($B114,勘定科目!$A:$E,2,0)),"")</f>
        <v/>
      </c>
      <c r="D114" s="239" t="str">
        <f>IF(C114="","",VLOOKUP($B114,勘定科目!$A:$E,4,0))</f>
        <v/>
      </c>
      <c r="E114" s="245"/>
      <c r="F114" s="194"/>
      <c r="G114" s="247"/>
      <c r="H114" s="247"/>
      <c r="I114" s="312"/>
      <c r="J114" s="312"/>
      <c r="K114" s="312"/>
      <c r="L114" s="312"/>
      <c r="M114" s="312"/>
      <c r="N114" s="312"/>
      <c r="O114" s="312"/>
      <c r="P114" s="312"/>
      <c r="Q114" s="312"/>
      <c r="R114" s="200">
        <f t="shared" si="5"/>
        <v>0</v>
      </c>
      <c r="S114" s="201"/>
      <c r="T114" s="202"/>
      <c r="U114" s="246"/>
      <c r="V114" s="246"/>
      <c r="W114" s="246"/>
      <c r="BA114"/>
      <c r="BB114"/>
    </row>
    <row r="115" spans="1:54" s="191" customFormat="1" ht="13.5">
      <c r="A115" s="226"/>
      <c r="B115" s="180"/>
      <c r="C115" s="183" t="str">
        <f>IFERROR(IF(VLOOKUP($B115,勘定科目!$A:$H,HLOOKUP($E$5,勘定科目!$F$1:$H$2,2,0),0)="","",VLOOKUP($B115,勘定科目!$A:$E,2,0)),"")</f>
        <v/>
      </c>
      <c r="D115" s="239" t="str">
        <f>IF(C115="","",VLOOKUP($B115,勘定科目!$A:$E,4,0))</f>
        <v/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5"/>
        <v>0</v>
      </c>
      <c r="S115" s="201"/>
      <c r="T115" s="202"/>
      <c r="U115" s="246"/>
      <c r="V115" s="246"/>
      <c r="W115" s="246"/>
      <c r="BA115"/>
      <c r="BB115"/>
    </row>
    <row r="116" spans="1:54" s="191" customFormat="1" ht="13.5">
      <c r="A116" s="226"/>
      <c r="B116" s="180"/>
      <c r="C116" s="183" t="str">
        <f>IFERROR(IF(VLOOKUP($B116,勘定科目!$A:$H,HLOOKUP($E$5,勘定科目!$F$1:$H$2,2,0),0)="","",VLOOKUP($B116,勘定科目!$A:$E,2,0)),"")</f>
        <v/>
      </c>
      <c r="D116" s="239" t="str">
        <f>IF(C116="","",VLOOKUP($B116,勘定科目!$A:$E,4,0))</f>
        <v/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5"/>
        <v>0</v>
      </c>
      <c r="S116" s="201"/>
      <c r="T116" s="202"/>
      <c r="U116" s="246"/>
      <c r="V116" s="246"/>
      <c r="W116" s="246"/>
      <c r="BA116"/>
      <c r="BB116"/>
    </row>
    <row r="117" spans="1:54" s="191" customFormat="1" ht="13.5">
      <c r="A117" s="226"/>
      <c r="B117" s="180"/>
      <c r="C117" s="183" t="str">
        <f>IFERROR(IF(VLOOKUP($B117,勘定科目!$A:$H,HLOOKUP($E$5,勘定科目!$F$1:$H$2,2,0),0)="","",VLOOKUP($B117,勘定科目!$A:$E,2,0)),"")</f>
        <v/>
      </c>
      <c r="D117" s="239" t="str">
        <f>IF(C117="","",VLOOKUP($B117,勘定科目!$A:$E,4,0))</f>
        <v/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si="5"/>
        <v>0</v>
      </c>
      <c r="S117" s="201"/>
      <c r="T117" s="202"/>
      <c r="U117" s="246"/>
      <c r="V117" s="246"/>
      <c r="W117" s="246"/>
      <c r="BA117"/>
      <c r="BB117"/>
    </row>
    <row r="118" spans="1:54" s="191" customFormat="1" ht="13.5">
      <c r="A118" s="226"/>
      <c r="B118" s="180"/>
      <c r="C118" s="183" t="str">
        <f>IFERROR(IF(VLOOKUP($B118,勘定科目!$A:$H,HLOOKUP($E$5,勘定科目!$F$1:$H$2,2,0),0)="","",VLOOKUP($B118,勘定科目!$A:$E,2,0)),"")</f>
        <v/>
      </c>
      <c r="D118" s="239" t="str">
        <f>IF(C118="","",VLOOKUP($B118,勘定科目!$A:$E,4,0))</f>
        <v/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si="5"/>
        <v>0</v>
      </c>
      <c r="S118" s="201"/>
      <c r="T118" s="202"/>
      <c r="U118" s="246"/>
      <c r="V118" s="246"/>
      <c r="W118" s="246"/>
      <c r="BA118"/>
      <c r="BB118"/>
    </row>
    <row r="119" spans="1:54" s="191" customFormat="1" ht="13.5">
      <c r="A119" s="226"/>
      <c r="B119" s="180"/>
      <c r="C119" s="183" t="str">
        <f>IFERROR(IF(VLOOKUP($B119,勘定科目!$A:$H,HLOOKUP($E$5,勘定科目!$F$1:$H$2,2,0),0)="","",VLOOKUP($B119,勘定科目!$A:$E,2,0)),"")</f>
        <v/>
      </c>
      <c r="D119" s="239" t="str">
        <f>IF(C119="","",VLOOKUP($B119,勘定科目!$A:$E,4,0))</f>
        <v/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si="5"/>
        <v>0</v>
      </c>
      <c r="S119" s="201"/>
      <c r="T119" s="202"/>
      <c r="U119" s="246"/>
      <c r="V119" s="246"/>
      <c r="W119" s="246"/>
      <c r="BA119"/>
      <c r="BB119"/>
    </row>
    <row r="120" spans="1:54" s="191" customFormat="1" ht="13.5">
      <c r="A120" s="226"/>
      <c r="B120" s="180"/>
      <c r="C120" s="183" t="str">
        <f>IFERROR(IF(VLOOKUP($B120,勘定科目!$A:$H,HLOOKUP($E$5,勘定科目!$F$1:$H$2,2,0),0)="","",VLOOKUP($B120,勘定科目!$A:$E,2,0)),"")</f>
        <v/>
      </c>
      <c r="D120" s="239" t="str">
        <f>IF(C120="","",VLOOKUP($B120,勘定科目!$A:$E,4,0))</f>
        <v/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si="5"/>
        <v>0</v>
      </c>
      <c r="S120" s="201"/>
      <c r="T120" s="202"/>
      <c r="U120" s="246"/>
      <c r="V120" s="246"/>
      <c r="W120" s="246"/>
      <c r="BA120"/>
      <c r="BB120"/>
    </row>
    <row r="121" spans="1:54" s="191" customFormat="1" ht="13.5">
      <c r="A121" s="226"/>
      <c r="B121" s="180"/>
      <c r="C121" s="183" t="str">
        <f>IFERROR(IF(VLOOKUP($B121,勘定科目!$A:$H,HLOOKUP($E$5,勘定科目!$F$1:$H$2,2,0),0)="","",VLOOKUP($B121,勘定科目!$A:$E,2,0)),"")</f>
        <v/>
      </c>
      <c r="D121" s="239" t="str">
        <f>IF(C121="","",VLOOKUP($B121,勘定科目!$A:$E,4,0))</f>
        <v/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>
        <f t="shared" si="5"/>
        <v>0</v>
      </c>
      <c r="S121" s="201"/>
      <c r="T121" s="202"/>
      <c r="U121" s="246"/>
      <c r="V121" s="246"/>
      <c r="W121" s="246"/>
      <c r="BA121"/>
      <c r="BB121"/>
    </row>
    <row r="122" spans="1:54" s="191" customFormat="1" ht="13.5">
      <c r="A122" s="226"/>
      <c r="B122" s="180"/>
      <c r="C122" s="183" t="str">
        <f>IFERROR(IF(VLOOKUP($B122,勘定科目!$A:$H,HLOOKUP($E$5,勘定科目!$F$1:$H$2,2,0),0)="","",VLOOKUP($B122,勘定科目!$A:$E,2,0)),"")</f>
        <v/>
      </c>
      <c r="D122" s="239" t="str">
        <f>IF(C122="","",VLOOKUP($B122,勘定科目!$A:$E,4,0))</f>
        <v/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5"/>
        <v>0</v>
      </c>
      <c r="S122" s="201"/>
      <c r="T122" s="202"/>
      <c r="U122" s="246"/>
      <c r="V122" s="246"/>
      <c r="W122" s="246"/>
      <c r="BA122"/>
      <c r="BB122"/>
    </row>
    <row r="123" spans="1:54" s="191" customFormat="1" ht="13.5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5"/>
        <v>0</v>
      </c>
      <c r="S123" s="201"/>
      <c r="T123" s="202"/>
      <c r="U123" s="246"/>
      <c r="V123" s="246"/>
      <c r="W123" s="246"/>
      <c r="BA123"/>
      <c r="BB123"/>
    </row>
    <row r="124" spans="1:54" s="191" customFormat="1" ht="13.5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5"/>
        <v>0</v>
      </c>
      <c r="S124" s="201"/>
      <c r="T124" s="202"/>
      <c r="U124" s="246"/>
      <c r="V124" s="246"/>
      <c r="W124" s="246"/>
      <c r="BA124"/>
      <c r="BB124"/>
    </row>
    <row r="125" spans="1:54" s="191" customFormat="1" ht="13.5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5"/>
        <v>0</v>
      </c>
      <c r="S125" s="201"/>
      <c r="T125" s="202"/>
      <c r="U125" s="246"/>
      <c r="V125" s="246"/>
      <c r="W125" s="246"/>
      <c r="BA125"/>
      <c r="BB125"/>
    </row>
    <row r="126" spans="1:54" s="191" customFormat="1" ht="13.5">
      <c r="A126" s="226"/>
      <c r="B126" s="180"/>
      <c r="C126" s="183" t="str">
        <f>IFERROR(IF(VLOOKUP($B126,勘定科目!$A:$H,HLOOKUP($E$5,勘定科目!$F$1:$H$2,2,0),0)="","",VLOOKUP($B126,勘定科目!$A:$E,2,0)),"")</f>
        <v/>
      </c>
      <c r="D126" s="239" t="str">
        <f>IF(C126="","",VLOOKUP($B126,勘定科目!$A:$E,4,0))</f>
        <v/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5"/>
        <v>0</v>
      </c>
      <c r="S126" s="201"/>
      <c r="T126" s="202"/>
      <c r="U126" s="246"/>
      <c r="V126" s="246"/>
      <c r="W126" s="246"/>
      <c r="BA126"/>
      <c r="BB126"/>
    </row>
    <row r="127" spans="1:54" s="191" customFormat="1" ht="13.5">
      <c r="A127" s="226"/>
      <c r="B127" s="180"/>
      <c r="C127" s="183" t="str">
        <f>IFERROR(IF(VLOOKUP($B127,勘定科目!$A:$H,HLOOKUP($E$5,勘定科目!$F$1:$H$2,2,0),0)="","",VLOOKUP($B127,勘定科目!$A:$E,2,0)),"")</f>
        <v/>
      </c>
      <c r="D127" s="239" t="str">
        <f>IF(C127="","",VLOOKUP($B127,勘定科目!$A:$E,4,0))</f>
        <v/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>
        <f t="shared" si="5"/>
        <v>0</v>
      </c>
      <c r="S127" s="201"/>
      <c r="T127" s="202"/>
      <c r="U127" s="246"/>
      <c r="V127" s="246"/>
      <c r="W127" s="246"/>
      <c r="BA127"/>
      <c r="BB127"/>
    </row>
    <row r="128" spans="1:54" s="191" customFormat="1" ht="13.5">
      <c r="A128" s="226"/>
      <c r="B128" s="180"/>
      <c r="C128" s="183" t="str">
        <f>IFERROR(IF(VLOOKUP($B128,勘定科目!$A:$H,HLOOKUP($E$5,勘定科目!$F$1:$H$2,2,0),0)="","",VLOOKUP($B128,勘定科目!$A:$E,2,0)),"")</f>
        <v/>
      </c>
      <c r="D128" s="239" t="str">
        <f>IF(C128="","",VLOOKUP($B128,勘定科目!$A:$E,4,0))</f>
        <v/>
      </c>
      <c r="E128" s="245"/>
      <c r="F128" s="194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>
        <f t="shared" si="5"/>
        <v>0</v>
      </c>
      <c r="S128" s="201"/>
      <c r="T128" s="202"/>
      <c r="U128" s="246"/>
      <c r="V128" s="246"/>
      <c r="W128" s="246"/>
      <c r="BA128"/>
      <c r="BB128"/>
    </row>
    <row r="129" spans="1:54" s="191" customFormat="1" ht="13.5">
      <c r="A129" s="226"/>
      <c r="B129" s="180"/>
      <c r="C129" s="183" t="str">
        <f>IFERROR(IF(VLOOKUP($B129,勘定科目!$A:$H,HLOOKUP($E$5,勘定科目!$F$1:$H$2,2,0),0)="","",VLOOKUP($B129,勘定科目!$A:$E,2,0)),"")</f>
        <v/>
      </c>
      <c r="D129" s="239" t="str">
        <f>IF(C129="","",VLOOKUP($B129,勘定科目!$A:$E,4,0))</f>
        <v/>
      </c>
      <c r="E129" s="245"/>
      <c r="F129" s="194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00">
        <f t="shared" si="5"/>
        <v>0</v>
      </c>
      <c r="S129" s="201"/>
      <c r="T129" s="202"/>
      <c r="U129" s="246"/>
      <c r="V129" s="246"/>
      <c r="W129" s="246"/>
      <c r="BA129"/>
      <c r="BB129"/>
    </row>
    <row r="130" spans="1:54" s="191" customFormat="1" ht="13.5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>
        <f t="shared" si="5"/>
        <v>0</v>
      </c>
      <c r="S130" s="201"/>
      <c r="T130" s="202"/>
      <c r="U130" s="246"/>
      <c r="V130" s="246"/>
      <c r="W130" s="246"/>
      <c r="BA130"/>
      <c r="BB130"/>
    </row>
    <row r="131" spans="1:54" s="191" customFormat="1" ht="13.5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>
        <f t="shared" si="5"/>
        <v>0</v>
      </c>
      <c r="S131" s="201"/>
      <c r="T131" s="202"/>
      <c r="U131" s="246"/>
      <c r="V131" s="246"/>
      <c r="W131" s="246"/>
      <c r="BA131"/>
      <c r="BB131"/>
    </row>
    <row r="132" spans="1:54" s="191" customFormat="1" ht="13.5">
      <c r="A132" s="226"/>
      <c r="B132" s="180"/>
      <c r="C132" s="183" t="str">
        <f>IFERROR(IF(VLOOKUP($B132,勘定科目!$A:$H,HLOOKUP($E$5,勘定科目!$F$1:$H$2,2,0),0)="","",VLOOKUP($B132,勘定科目!$A:$E,2,0)),"")</f>
        <v/>
      </c>
      <c r="D132" s="239" t="str">
        <f>IF(C132="","",VLOOKUP($B132,勘定科目!$A:$E,4,0))</f>
        <v/>
      </c>
      <c r="E132" s="245"/>
      <c r="F132" s="194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00">
        <f t="shared" si="5"/>
        <v>0</v>
      </c>
      <c r="S132" s="201"/>
      <c r="T132" s="202"/>
      <c r="U132" s="246"/>
      <c r="V132" s="246"/>
      <c r="W132" s="246"/>
      <c r="BA132"/>
      <c r="BB132"/>
    </row>
    <row r="133" spans="1:54" s="191" customFormat="1" ht="13.5">
      <c r="A133" s="226"/>
      <c r="B133" s="180"/>
      <c r="C133" s="183" t="str">
        <f>IFERROR(IF(VLOOKUP($B133,勘定科目!$A:$H,HLOOKUP($E$5,勘定科目!$F$1:$H$2,2,0),0)="","",VLOOKUP($B133,勘定科目!$A:$E,2,0)),"")</f>
        <v/>
      </c>
      <c r="D133" s="239" t="str">
        <f>IF(C133="","",VLOOKUP($B133,勘定科目!$A:$E,4,0))</f>
        <v/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00">
        <f t="shared" si="5"/>
        <v>0</v>
      </c>
      <c r="S133" s="201"/>
      <c r="T133" s="202"/>
      <c r="U133" s="246"/>
      <c r="V133" s="246"/>
      <c r="W133" s="246"/>
      <c r="BA133"/>
      <c r="BB133"/>
    </row>
    <row r="134" spans="1:54" s="191" customFormat="1" ht="13.5">
      <c r="A134" s="226"/>
      <c r="B134" s="180"/>
      <c r="C134" s="183" t="str">
        <f>IFERROR(IF(VLOOKUP($B134,勘定科目!$A:$H,HLOOKUP($E$5,勘定科目!$F$1:$H$2,2,0),0)="","",VLOOKUP($B134,勘定科目!$A:$E,2,0)),"")</f>
        <v/>
      </c>
      <c r="D134" s="239" t="str">
        <f>IF(C134="","",VLOOKUP($B134,勘定科目!$A:$E,4,0))</f>
        <v/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00">
        <f t="shared" si="5"/>
        <v>0</v>
      </c>
      <c r="S134" s="201"/>
      <c r="T134" s="202"/>
      <c r="U134" s="246"/>
      <c r="V134" s="246"/>
      <c r="W134" s="246"/>
      <c r="BA134"/>
      <c r="BB134"/>
    </row>
    <row r="135" spans="1:54" s="191" customFormat="1" ht="13.5">
      <c r="A135" s="226"/>
      <c r="B135" s="180"/>
      <c r="C135" s="183" t="str">
        <f>IFERROR(IF(VLOOKUP($B135,勘定科目!$A:$H,HLOOKUP($E$5,勘定科目!$F$1:$H$2,2,0),0)="","",VLOOKUP($B135,勘定科目!$A:$E,2,0)),"")</f>
        <v/>
      </c>
      <c r="D135" s="239" t="str">
        <f>IF(C135="","",VLOOKUP($B135,勘定科目!$A:$E,4,0))</f>
        <v/>
      </c>
      <c r="E135" s="245"/>
      <c r="F135" s="194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00">
        <f t="shared" si="5"/>
        <v>0</v>
      </c>
      <c r="S135" s="201"/>
      <c r="T135" s="202"/>
      <c r="U135" s="246"/>
      <c r="V135" s="246"/>
      <c r="W135" s="246"/>
      <c r="BA135"/>
      <c r="BB135"/>
    </row>
    <row r="136" spans="1:54" s="191" customFormat="1" ht="13.5">
      <c r="A136" s="226"/>
      <c r="B136" s="180"/>
      <c r="C136" s="183" t="str">
        <f>IFERROR(IF(VLOOKUP($B136,勘定科目!$A:$H,HLOOKUP($E$5,勘定科目!$F$1:$H$2,2,0),0)="","",VLOOKUP($B136,勘定科目!$A:$E,2,0)),"")</f>
        <v/>
      </c>
      <c r="D136" s="239" t="str">
        <f>IF(C136="","",VLOOKUP($B136,勘定科目!$A:$E,4,0))</f>
        <v/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5"/>
        <v>0</v>
      </c>
      <c r="S136" s="201"/>
      <c r="T136" s="202"/>
      <c r="U136" s="246"/>
      <c r="V136" s="246"/>
      <c r="W136" s="246"/>
      <c r="BA136"/>
      <c r="BB136"/>
    </row>
    <row r="137" spans="1:54" s="191" customFormat="1" ht="13.5">
      <c r="A137" s="226"/>
      <c r="B137" s="180"/>
      <c r="C137" s="183" t="str">
        <f>IFERROR(IF(VLOOKUP($B137,勘定科目!$A:$H,HLOOKUP($E$5,勘定科目!$F$1:$H$2,2,0),0)="","",VLOOKUP($B137,勘定科目!$A:$E,2,0)),"")</f>
        <v/>
      </c>
      <c r="D137" s="239" t="str">
        <f>IF(C137="","",VLOOKUP($B137,勘定科目!$A:$E,4,0))</f>
        <v/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5"/>
        <v>0</v>
      </c>
      <c r="S137" s="201"/>
      <c r="T137" s="202"/>
      <c r="U137" s="246"/>
      <c r="V137" s="246"/>
      <c r="W137" s="246"/>
      <c r="BA137"/>
      <c r="BB137"/>
    </row>
    <row r="138" spans="1:54" s="191" customFormat="1" ht="13.5">
      <c r="A138" s="226"/>
      <c r="B138" s="180"/>
      <c r="C138" s="183" t="str">
        <f>IFERROR(IF(VLOOKUP($B138,勘定科目!$A:$H,HLOOKUP($E$5,勘定科目!$F$1:$H$2,2,0),0)="","",VLOOKUP($B138,勘定科目!$A:$E,2,0)),"")</f>
        <v/>
      </c>
      <c r="D138" s="239" t="str">
        <f>IF(C138="","",VLOOKUP($B138,勘定科目!$A:$E,4,0))</f>
        <v/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5"/>
        <v>0</v>
      </c>
      <c r="S138" s="201"/>
      <c r="T138" s="202"/>
      <c r="U138" s="246"/>
      <c r="V138" s="246"/>
      <c r="W138" s="246"/>
      <c r="BA138"/>
      <c r="BB138"/>
    </row>
    <row r="139" spans="1:54" s="191" customFormat="1" ht="13.5">
      <c r="A139" s="226"/>
      <c r="B139" s="180"/>
      <c r="C139" s="183" t="str">
        <f>IFERROR(IF(VLOOKUP($B139,勘定科目!$A:$H,HLOOKUP($E$5,勘定科目!$F$1:$H$2,2,0),0)="","",VLOOKUP($B139,勘定科目!$A:$E,2,0)),"")</f>
        <v/>
      </c>
      <c r="D139" s="239" t="str">
        <f>IF(C139="","",VLOOKUP($B139,勘定科目!$A:$E,4,0))</f>
        <v/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5"/>
        <v>0</v>
      </c>
      <c r="S139" s="201"/>
      <c r="T139" s="202"/>
      <c r="U139" s="246"/>
      <c r="V139" s="246"/>
      <c r="W139" s="246"/>
      <c r="BA139"/>
      <c r="BB139"/>
    </row>
    <row r="140" spans="1:54" s="191" customFormat="1" ht="13.5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5"/>
        <v>0</v>
      </c>
      <c r="S140" s="201"/>
      <c r="T140" s="202"/>
      <c r="U140" s="246"/>
      <c r="V140" s="246"/>
      <c r="W140" s="246"/>
      <c r="BA140"/>
      <c r="BB140"/>
    </row>
    <row r="141" spans="1:54" s="191" customFormat="1" ht="13.5">
      <c r="A141" s="226"/>
      <c r="B141" s="180"/>
      <c r="C141" s="183" t="str">
        <f>IFERROR(IF(VLOOKUP($B141,勘定科目!$A:$H,HLOOKUP($E$5,勘定科目!$F$1:$H$2,2,0),0)="","",VLOOKUP($B141,勘定科目!$A:$E,2,0)),"")</f>
        <v/>
      </c>
      <c r="D141" s="239" t="str">
        <f>IF(C141="","",VLOOKUP($B141,勘定科目!$A:$E,4,0))</f>
        <v/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5"/>
        <v>0</v>
      </c>
      <c r="S141" s="201"/>
      <c r="T141" s="202"/>
      <c r="U141" s="246"/>
      <c r="V141" s="246"/>
      <c r="W141" s="246"/>
      <c r="BA141"/>
      <c r="BB141"/>
    </row>
    <row r="142" spans="1:54" s="191" customFormat="1" ht="13.5">
      <c r="A142" s="226"/>
      <c r="B142" s="180"/>
      <c r="C142" s="183" t="str">
        <f>IFERROR(IF(VLOOKUP($B142,勘定科目!$A:$H,HLOOKUP($E$5,勘定科目!$F$1:$H$2,2,0),0)="","",VLOOKUP($B142,勘定科目!$A:$E,2,0)),"")</f>
        <v/>
      </c>
      <c r="D142" s="239" t="str">
        <f>IF(C142="","",VLOOKUP($B142,勘定科目!$A:$E,4,0))</f>
        <v/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5"/>
        <v>0</v>
      </c>
      <c r="S142" s="201"/>
      <c r="T142" s="202"/>
      <c r="U142" s="246"/>
      <c r="V142" s="246"/>
      <c r="W142" s="246"/>
      <c r="BA142"/>
      <c r="BB142"/>
    </row>
    <row r="143" spans="1:54" s="191" customFormat="1" ht="13.5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5"/>
        <v>0</v>
      </c>
      <c r="S143" s="201"/>
      <c r="T143" s="202"/>
      <c r="U143" s="246"/>
      <c r="V143" s="246"/>
      <c r="W143" s="246"/>
      <c r="BA143"/>
      <c r="BB143"/>
    </row>
    <row r="144" spans="1:54" s="191" customFormat="1" ht="13.5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5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.5">
      <c r="A145" s="226"/>
      <c r="B145" s="180"/>
      <c r="C145" s="183" t="str">
        <f>IFERROR(IF(VLOOKUP($B145,勘定科目!$A:$H,HLOOKUP($E$5,勘定科目!$F$1:$H$2,2,0),0)="","",VLOOKUP($B145,勘定科目!$A:$E,2,0)),"")</f>
        <v/>
      </c>
      <c r="D145" s="239" t="str">
        <f>IF(C145="","",VLOOKUP($B145,勘定科目!$A:$E,4,0))</f>
        <v/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5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.5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5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.5">
      <c r="A147" s="226"/>
      <c r="B147" s="180"/>
      <c r="C147" s="183" t="str">
        <f>IFERROR(IF(VLOOKUP($B147,勘定科目!$A:$H,HLOOKUP($E$5,勘定科目!$F$1:$H$2,2,0),0)="","",VLOOKUP($B147,勘定科目!$A:$E,2,0)),"")</f>
        <v/>
      </c>
      <c r="D147" s="239" t="str">
        <f>IF(C147="","",VLOOKUP($B147,勘定科目!$A:$E,4,0))</f>
        <v/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5"/>
        <v>0</v>
      </c>
      <c r="S147" s="201"/>
      <c r="T147" s="202"/>
      <c r="U147" s="246"/>
      <c r="V147" s="246"/>
      <c r="W147" s="246"/>
      <c r="BA147"/>
      <c r="BB147"/>
    </row>
    <row r="148" spans="1:54" s="191" customFormat="1" ht="13.5">
      <c r="A148" s="226"/>
      <c r="B148" s="180"/>
      <c r="C148" s="183" t="str">
        <f>IFERROR(IF(VLOOKUP($B148,勘定科目!$A:$H,HLOOKUP($E$5,勘定科目!$F$1:$H$2,2,0),0)="","",VLOOKUP($B148,勘定科目!$A:$E,2,0)),"")</f>
        <v/>
      </c>
      <c r="D148" s="239" t="str">
        <f>IF(C148="","",VLOOKUP($B148,勘定科目!$A:$E,4,0))</f>
        <v/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5"/>
        <v>0</v>
      </c>
      <c r="S148" s="201"/>
      <c r="T148" s="202"/>
      <c r="U148" s="246"/>
      <c r="V148" s="246"/>
      <c r="W148" s="246"/>
      <c r="BA148"/>
      <c r="BB148"/>
    </row>
    <row r="149" spans="1:54" s="191" customFormat="1" ht="13.5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5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.5">
      <c r="A150" s="226"/>
      <c r="B150" s="180"/>
      <c r="C150" s="183" t="str">
        <f>IFERROR(IF(VLOOKUP($B150,勘定科目!$A:$H,HLOOKUP($E$5,勘定科目!$F$1:$H$2,2,0),0)="","",VLOOKUP($B150,勘定科目!$A:$E,2,0)),"")</f>
        <v/>
      </c>
      <c r="D150" s="239" t="str">
        <f>IF(C150="","",VLOOKUP($B150,勘定科目!$A:$E,4,0))</f>
        <v/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5"/>
        <v>0</v>
      </c>
      <c r="S150" s="201"/>
      <c r="T150" s="202"/>
      <c r="U150" s="246"/>
      <c r="V150" s="246"/>
      <c r="W150" s="246"/>
      <c r="BA150"/>
      <c r="BB150"/>
    </row>
    <row r="151" spans="1:54" s="191" customFormat="1" ht="13.5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5"/>
        <v>0</v>
      </c>
      <c r="S151" s="201"/>
      <c r="T151" s="202"/>
      <c r="U151" s="246"/>
      <c r="V151" s="246"/>
      <c r="W151" s="246"/>
      <c r="BA151"/>
      <c r="BB151"/>
    </row>
    <row r="152" spans="1:54" s="191" customFormat="1" ht="13.5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5"/>
        <v>0</v>
      </c>
      <c r="S152" s="201"/>
      <c r="T152" s="202"/>
      <c r="U152" s="246"/>
      <c r="V152" s="246"/>
      <c r="W152" s="246"/>
      <c r="BA152"/>
      <c r="BB152"/>
    </row>
    <row r="153" spans="1:54" s="191" customFormat="1" ht="13.5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5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.5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5"/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.5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5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.5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5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.5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5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.5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5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.5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ref="R159:R164" si="6">SUM(F159:Q159)</f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.5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6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.5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6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.5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6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.5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6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.5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6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.5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/>
      <c r="S165" s="201"/>
      <c r="T165" s="202"/>
      <c r="U165" s="246"/>
      <c r="V165" s="246"/>
      <c r="W165" s="246"/>
      <c r="BA165"/>
      <c r="BB165"/>
    </row>
    <row r="166" spans="1:54" s="191" customFormat="1" ht="13.5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/>
      <c r="S166" s="201"/>
      <c r="T166" s="202"/>
      <c r="U166" s="246"/>
      <c r="V166" s="246"/>
      <c r="W166" s="246"/>
      <c r="BA166"/>
      <c r="BB166"/>
    </row>
    <row r="167" spans="1:54" s="191" customFormat="1" ht="13.5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/>
      <c r="S167" s="201"/>
      <c r="T167" s="202"/>
      <c r="U167" s="246"/>
      <c r="V167" s="246"/>
      <c r="W167" s="246"/>
      <c r="BA167"/>
      <c r="BB167"/>
    </row>
    <row r="168" spans="1:54" s="191" customFormat="1" ht="13.5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/>
      <c r="S168" s="201"/>
      <c r="T168" s="202"/>
      <c r="U168" s="246"/>
      <c r="V168" s="246"/>
      <c r="W168" s="246"/>
      <c r="BA168"/>
      <c r="BB168"/>
    </row>
    <row r="169" spans="1:54" s="191" customFormat="1" ht="13.5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/>
      <c r="S169" s="201"/>
      <c r="T169" s="202"/>
      <c r="U169" s="246"/>
      <c r="V169" s="246"/>
      <c r="W169" s="246"/>
      <c r="BA169"/>
      <c r="BB169"/>
    </row>
    <row r="170" spans="1:54" s="191" customFormat="1" ht="13.5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/>
      <c r="S170" s="201"/>
      <c r="T170" s="202"/>
      <c r="U170" s="246"/>
      <c r="V170" s="246"/>
      <c r="W170" s="246"/>
      <c r="BA170"/>
      <c r="BB170"/>
    </row>
    <row r="171" spans="1:54" s="191" customFormat="1" ht="13.5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/>
      <c r="S171" s="201"/>
      <c r="T171" s="202"/>
      <c r="U171" s="246"/>
      <c r="V171" s="246"/>
      <c r="W171" s="246"/>
      <c r="BA171"/>
      <c r="BB171"/>
    </row>
    <row r="172" spans="1:54" s="191" customFormat="1" ht="13.5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/>
      <c r="S172" s="201"/>
      <c r="T172" s="202"/>
      <c r="U172" s="246"/>
      <c r="V172" s="246"/>
      <c r="W172" s="246"/>
      <c r="BA172"/>
      <c r="BB172"/>
    </row>
    <row r="173" spans="1:54" s="191" customFormat="1" ht="13.5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/>
      <c r="S173" s="201"/>
      <c r="T173" s="202"/>
      <c r="U173" s="246"/>
      <c r="V173" s="246"/>
      <c r="W173" s="246"/>
      <c r="BA173"/>
      <c r="BB173"/>
    </row>
    <row r="174" spans="1:54" s="191" customFormat="1" ht="13.5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/>
      <c r="S174" s="201"/>
      <c r="T174" s="202"/>
      <c r="U174" s="246"/>
      <c r="V174" s="246"/>
      <c r="W174" s="246"/>
      <c r="BA174"/>
      <c r="BB174"/>
    </row>
    <row r="175" spans="1:54" s="191" customFormat="1" ht="13.5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/>
      <c r="S175" s="201"/>
      <c r="T175" s="202"/>
      <c r="U175" s="246"/>
      <c r="V175" s="246"/>
      <c r="W175" s="246"/>
      <c r="BA175"/>
      <c r="BB175"/>
    </row>
    <row r="176" spans="1:54" s="191" customFormat="1" ht="13.5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/>
      <c r="S176" s="201"/>
      <c r="T176" s="202"/>
      <c r="U176" s="246"/>
      <c r="V176" s="246"/>
      <c r="W176" s="246"/>
      <c r="BA176"/>
      <c r="BB176"/>
    </row>
    <row r="177" spans="1:54" s="191" customFormat="1" ht="13.5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/>
      <c r="S177" s="201"/>
      <c r="T177" s="202"/>
      <c r="U177" s="246"/>
      <c r="V177" s="246"/>
      <c r="W177" s="246"/>
      <c r="BA177"/>
      <c r="BB177"/>
    </row>
    <row r="178" spans="1:54" s="191" customFormat="1" ht="13.5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/>
      <c r="S178" s="201"/>
      <c r="T178" s="202"/>
      <c r="U178" s="246"/>
      <c r="V178" s="246"/>
      <c r="W178" s="246"/>
      <c r="BA178"/>
      <c r="BB178"/>
    </row>
    <row r="179" spans="1:54" s="191" customFormat="1" ht="13.5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/>
      <c r="S179" s="201"/>
      <c r="T179" s="202"/>
      <c r="U179" s="246"/>
      <c r="V179" s="246"/>
      <c r="W179" s="246"/>
      <c r="BA179"/>
      <c r="BB179"/>
    </row>
    <row r="180" spans="1:54" s="191" customFormat="1" ht="13.5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/>
      <c r="S180" s="201"/>
      <c r="T180" s="202"/>
      <c r="U180" s="246"/>
      <c r="V180" s="246"/>
      <c r="W180" s="246"/>
      <c r="BA180"/>
      <c r="BB180"/>
    </row>
    <row r="181" spans="1:54" s="191" customFormat="1" ht="13.5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/>
      <c r="S181" s="201"/>
      <c r="T181" s="202"/>
      <c r="U181" s="246"/>
      <c r="V181" s="246"/>
      <c r="W181" s="246"/>
      <c r="BA181"/>
      <c r="BB181"/>
    </row>
    <row r="182" spans="1:54" s="191" customFormat="1" ht="13.5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/>
      <c r="S182" s="201"/>
      <c r="T182" s="202"/>
      <c r="U182" s="246"/>
      <c r="V182" s="246"/>
      <c r="W182" s="246"/>
      <c r="BA182"/>
      <c r="BB182"/>
    </row>
    <row r="183" spans="1:54" s="191" customFormat="1" ht="13.5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/>
      <c r="S183" s="201"/>
      <c r="T183" s="202"/>
      <c r="U183" s="246"/>
      <c r="V183" s="246"/>
      <c r="W183" s="246"/>
      <c r="BA183"/>
      <c r="BB183"/>
    </row>
    <row r="184" spans="1:54" s="191" customFormat="1" ht="13.5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/>
      <c r="S184" s="201"/>
      <c r="T184" s="202"/>
      <c r="U184" s="246"/>
      <c r="V184" s="246"/>
      <c r="W184" s="246"/>
      <c r="BA184"/>
      <c r="BB184"/>
    </row>
    <row r="185" spans="1:54" s="191" customFormat="1" ht="13.5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/>
      <c r="S185" s="201"/>
      <c r="T185" s="202"/>
      <c r="U185" s="246"/>
      <c r="V185" s="246"/>
      <c r="W185" s="246"/>
      <c r="BA185"/>
      <c r="BB185"/>
    </row>
    <row r="186" spans="1:54" s="191" customFormat="1" ht="13.5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/>
      <c r="S186" s="201"/>
      <c r="T186" s="202"/>
      <c r="U186" s="246"/>
      <c r="V186" s="246"/>
      <c r="W186" s="246"/>
      <c r="BA186"/>
      <c r="BB186"/>
    </row>
    <row r="187" spans="1:54" s="191" customFormat="1" ht="13.5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/>
      <c r="S187" s="201"/>
      <c r="T187" s="202"/>
      <c r="U187" s="246"/>
      <c r="V187" s="246"/>
      <c r="W187" s="246"/>
      <c r="BA187"/>
      <c r="BB187"/>
    </row>
    <row r="188" spans="1:54" s="191" customFormat="1" ht="13.5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/>
      <c r="S188" s="201"/>
      <c r="T188" s="202"/>
      <c r="U188" s="246"/>
      <c r="V188" s="246"/>
      <c r="W188" s="246"/>
      <c r="BA188"/>
      <c r="BB188"/>
    </row>
    <row r="189" spans="1:54" s="191" customFormat="1" ht="13.5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/>
      <c r="S189" s="201"/>
      <c r="T189" s="202"/>
      <c r="U189" s="246"/>
      <c r="V189" s="246"/>
      <c r="W189" s="246"/>
      <c r="BA189"/>
      <c r="BB189"/>
    </row>
    <row r="190" spans="1:54" s="191" customFormat="1" ht="13.5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/>
      <c r="S190" s="201"/>
      <c r="T190" s="202"/>
      <c r="U190" s="246"/>
      <c r="V190" s="246"/>
      <c r="W190" s="246"/>
      <c r="BA190"/>
      <c r="BB190"/>
    </row>
    <row r="191" spans="1:54" s="191" customFormat="1" ht="13.5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/>
      <c r="S191" s="201"/>
      <c r="T191" s="202"/>
      <c r="U191" s="246"/>
      <c r="V191" s="246"/>
      <c r="W191" s="246"/>
      <c r="BA191"/>
      <c r="BB191"/>
    </row>
    <row r="192" spans="1:54" s="191" customFormat="1" ht="13.5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/>
      <c r="S192" s="201"/>
      <c r="T192" s="202"/>
      <c r="U192" s="246"/>
      <c r="V192" s="246"/>
      <c r="W192" s="246"/>
      <c r="BA192"/>
      <c r="BB192"/>
    </row>
    <row r="193" spans="1:54" s="191" customFormat="1" ht="13.5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/>
      <c r="S193" s="201"/>
      <c r="T193" s="202"/>
      <c r="U193" s="246"/>
      <c r="V193" s="246"/>
      <c r="W193" s="246"/>
      <c r="BA193"/>
      <c r="BB193"/>
    </row>
    <row r="194" spans="1:54" s="191" customFormat="1" ht="13.5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/>
      <c r="S194" s="201"/>
      <c r="T194" s="202"/>
      <c r="U194" s="246"/>
      <c r="V194" s="246"/>
      <c r="W194" s="246"/>
      <c r="BA194"/>
      <c r="BB194"/>
    </row>
    <row r="195" spans="1:54" s="191" customFormat="1" ht="13.5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/>
      <c r="S195" s="201"/>
      <c r="T195" s="202"/>
      <c r="U195" s="246"/>
      <c r="V195" s="246"/>
      <c r="W195" s="246"/>
      <c r="BA195"/>
      <c r="BB195"/>
    </row>
    <row r="196" spans="1:54" s="191" customFormat="1" ht="13.5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/>
      <c r="S196" s="201"/>
      <c r="T196" s="202"/>
      <c r="U196" s="246"/>
      <c r="V196" s="246"/>
      <c r="W196" s="246"/>
      <c r="BA196"/>
      <c r="BB196"/>
    </row>
    <row r="197" spans="1:54" s="191" customFormat="1" ht="13.5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/>
      <c r="S197" s="201"/>
      <c r="T197" s="202"/>
      <c r="U197" s="246"/>
      <c r="V197" s="246"/>
      <c r="W197" s="246"/>
      <c r="BA197"/>
      <c r="BB197"/>
    </row>
    <row r="198" spans="1:54" s="191" customFormat="1" ht="13.5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/>
      <c r="S198" s="201"/>
      <c r="T198" s="202"/>
      <c r="U198" s="246"/>
      <c r="V198" s="246"/>
      <c r="W198" s="246"/>
      <c r="BA198"/>
      <c r="BB198"/>
    </row>
    <row r="199" spans="1:54" s="191" customFormat="1" ht="13.5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/>
      <c r="S199" s="201"/>
      <c r="T199" s="202"/>
      <c r="U199" s="246"/>
      <c r="V199" s="246"/>
      <c r="W199" s="246"/>
      <c r="BA199"/>
      <c r="BB199"/>
    </row>
    <row r="200" spans="1:54" s="191" customFormat="1" ht="13.5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/>
      <c r="S200" s="201"/>
      <c r="T200" s="202"/>
      <c r="U200" s="246"/>
      <c r="V200" s="246"/>
      <c r="W200" s="246"/>
      <c r="BA200"/>
      <c r="BB200"/>
    </row>
    <row r="201" spans="1:54" s="191" customFormat="1" ht="13.5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/>
      <c r="S201" s="201"/>
      <c r="T201" s="202"/>
      <c r="U201" s="246"/>
      <c r="V201" s="246"/>
      <c r="W201" s="246"/>
      <c r="BA201"/>
      <c r="BB201"/>
    </row>
    <row r="202" spans="1:54" s="191" customFormat="1" ht="13.5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/>
      <c r="S202" s="201"/>
      <c r="T202" s="202"/>
      <c r="U202" s="246"/>
      <c r="V202" s="246"/>
      <c r="W202" s="246"/>
      <c r="BA202"/>
      <c r="BB202"/>
    </row>
    <row r="203" spans="1:54" s="191" customFormat="1" ht="13.5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/>
      <c r="S203" s="201"/>
      <c r="T203" s="202"/>
      <c r="U203" s="246"/>
      <c r="V203" s="246"/>
      <c r="W203" s="246"/>
      <c r="BA203"/>
      <c r="BB203"/>
    </row>
    <row r="204" spans="1:54" s="191" customFormat="1" ht="13.5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/>
      <c r="S204" s="201"/>
      <c r="T204" s="202"/>
      <c r="U204" s="246"/>
      <c r="V204" s="246"/>
      <c r="W204" s="246"/>
      <c r="BA204"/>
      <c r="BB204"/>
    </row>
    <row r="205" spans="1:54" s="191" customFormat="1" ht="13.5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/>
      <c r="S205" s="201"/>
      <c r="T205" s="202"/>
      <c r="U205" s="246"/>
      <c r="V205" s="246"/>
      <c r="W205" s="246"/>
      <c r="BA205"/>
      <c r="BB205"/>
    </row>
    <row r="206" spans="1:54" s="191" customFormat="1" ht="13.5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/>
      <c r="S206" s="201"/>
      <c r="T206" s="202"/>
      <c r="U206" s="246"/>
      <c r="V206" s="246"/>
      <c r="W206" s="246"/>
      <c r="BA206"/>
      <c r="BB206"/>
    </row>
    <row r="207" spans="1:54" s="191" customFormat="1" ht="13.5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/>
      <c r="S207" s="201"/>
      <c r="T207" s="202"/>
      <c r="U207" s="246"/>
      <c r="V207" s="246"/>
      <c r="W207" s="246"/>
      <c r="BA207"/>
      <c r="BB207"/>
    </row>
    <row r="208" spans="1:54" s="191" customFormat="1" ht="13.5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/>
      <c r="S208" s="201"/>
      <c r="T208" s="202"/>
      <c r="U208" s="246"/>
      <c r="V208" s="246"/>
      <c r="W208" s="246"/>
      <c r="BA208"/>
      <c r="BB208"/>
    </row>
    <row r="209" spans="1:54" s="191" customFormat="1" ht="13.5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/>
      <c r="S209" s="201"/>
      <c r="T209" s="202"/>
      <c r="U209" s="246"/>
      <c r="V209" s="246"/>
      <c r="W209" s="246"/>
      <c r="BA209"/>
      <c r="BB209"/>
    </row>
    <row r="210" spans="1:54" s="191" customFormat="1" ht="13.5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/>
      <c r="S210" s="201"/>
      <c r="T210" s="202"/>
      <c r="U210" s="246"/>
      <c r="V210" s="246"/>
      <c r="W210" s="246"/>
      <c r="BA210"/>
      <c r="BB210"/>
    </row>
    <row r="211" spans="1:54" s="191" customFormat="1" ht="13.5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/>
      <c r="S211" s="201"/>
      <c r="T211" s="202"/>
      <c r="U211" s="246"/>
      <c r="V211" s="246"/>
      <c r="W211" s="246"/>
      <c r="BA211"/>
      <c r="BB211"/>
    </row>
    <row r="212" spans="1:54" s="191" customFormat="1" ht="13.5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/>
      <c r="S212" s="201"/>
      <c r="T212" s="202"/>
      <c r="U212" s="246"/>
      <c r="V212" s="246"/>
      <c r="W212" s="246"/>
      <c r="BA212"/>
      <c r="BB212"/>
    </row>
    <row r="213" spans="1:54" s="191" customFormat="1" ht="13.5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/>
      <c r="S213" s="201"/>
      <c r="T213" s="202"/>
      <c r="U213" s="246"/>
      <c r="V213" s="246"/>
      <c r="W213" s="246"/>
      <c r="BA213"/>
      <c r="BB213"/>
    </row>
    <row r="214" spans="1:54" s="191" customFormat="1" ht="13.5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/>
      <c r="S214" s="201"/>
      <c r="T214" s="202"/>
      <c r="U214" s="246"/>
      <c r="V214" s="246"/>
      <c r="W214" s="246"/>
      <c r="BA214"/>
      <c r="BB214"/>
    </row>
    <row r="215" spans="1:54" s="191" customFormat="1" ht="13.5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/>
      <c r="S215" s="201"/>
      <c r="T215" s="202"/>
      <c r="U215" s="246"/>
      <c r="V215" s="246"/>
      <c r="W215" s="246"/>
      <c r="BA215"/>
      <c r="BB215"/>
    </row>
    <row r="216" spans="1:54" s="191" customFormat="1" ht="13.5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/>
      <c r="S216" s="201"/>
      <c r="T216" s="202"/>
      <c r="U216" s="246"/>
      <c r="V216" s="246"/>
      <c r="W216" s="246"/>
      <c r="BA216"/>
      <c r="BB216"/>
    </row>
    <row r="217" spans="1:54" s="191" customFormat="1" ht="13.5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/>
      <c r="S217" s="201"/>
      <c r="T217" s="202"/>
      <c r="U217" s="246"/>
      <c r="V217" s="246"/>
      <c r="W217" s="246"/>
      <c r="BA217"/>
      <c r="BB217"/>
    </row>
    <row r="218" spans="1:54" s="191" customFormat="1" ht="13.5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/>
      <c r="S218" s="201"/>
      <c r="T218" s="202"/>
      <c r="U218" s="246"/>
      <c r="V218" s="246"/>
      <c r="W218" s="246"/>
      <c r="BA218"/>
      <c r="BB218"/>
    </row>
    <row r="219" spans="1:54" s="191" customFormat="1" ht="13.5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/>
      <c r="S219" s="201"/>
      <c r="T219" s="202"/>
      <c r="U219" s="246"/>
      <c r="V219" s="246"/>
      <c r="W219" s="246"/>
      <c r="BA219"/>
      <c r="BB219"/>
    </row>
    <row r="220" spans="1:54" s="191" customFormat="1" ht="13.5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/>
      <c r="S220" s="201"/>
      <c r="T220" s="202"/>
      <c r="U220" s="246"/>
      <c r="V220" s="246"/>
      <c r="W220" s="246"/>
      <c r="BA220"/>
      <c r="BB220"/>
    </row>
    <row r="221" spans="1:54" s="191" customFormat="1" ht="13.5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/>
      <c r="S221" s="201"/>
      <c r="T221" s="202"/>
      <c r="U221" s="246"/>
      <c r="V221" s="246"/>
      <c r="W221" s="246"/>
      <c r="BA221"/>
      <c r="BB221"/>
    </row>
    <row r="222" spans="1:54" s="191" customFormat="1" ht="13.5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/>
      <c r="S222" s="201"/>
      <c r="T222" s="202"/>
      <c r="U222" s="246"/>
      <c r="V222" s="246"/>
      <c r="W222" s="246"/>
      <c r="BA222"/>
      <c r="BB222"/>
    </row>
    <row r="223" spans="1:54" s="191" customFormat="1" ht="13.5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/>
      <c r="S223" s="201"/>
      <c r="T223" s="202"/>
      <c r="U223" s="246"/>
      <c r="V223" s="246"/>
      <c r="W223" s="246"/>
      <c r="BA223"/>
      <c r="BB223"/>
    </row>
    <row r="224" spans="1:54" s="191" customFormat="1" ht="13.5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/>
      <c r="S224" s="201"/>
      <c r="T224" s="202"/>
      <c r="U224" s="246"/>
      <c r="V224" s="246"/>
      <c r="W224" s="246"/>
      <c r="BA224"/>
      <c r="BB224"/>
    </row>
    <row r="225" spans="1:54" s="191" customFormat="1" ht="13.5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/>
      <c r="S225" s="201"/>
      <c r="T225" s="202"/>
      <c r="U225" s="246"/>
      <c r="V225" s="246"/>
      <c r="W225" s="246"/>
      <c r="BA225"/>
      <c r="BB225"/>
    </row>
    <row r="226" spans="1:54" s="191" customFormat="1" ht="13.5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/>
      <c r="S226" s="201"/>
      <c r="T226" s="202"/>
      <c r="U226" s="246"/>
      <c r="V226" s="246"/>
      <c r="W226" s="246"/>
      <c r="BA226"/>
      <c r="BB226"/>
    </row>
    <row r="227" spans="1:54" s="191" customFormat="1" ht="13.5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/>
      <c r="S227" s="201"/>
      <c r="T227" s="202"/>
      <c r="U227" s="246"/>
      <c r="V227" s="246"/>
      <c r="W227" s="246"/>
      <c r="BA227"/>
      <c r="BB227"/>
    </row>
    <row r="228" spans="1:54" s="191" customFormat="1" ht="13.5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/>
      <c r="S228" s="201"/>
      <c r="T228" s="202"/>
      <c r="U228" s="246"/>
      <c r="V228" s="246"/>
      <c r="W228" s="246"/>
      <c r="BA228"/>
      <c r="BB228"/>
    </row>
    <row r="229" spans="1:54" s="191" customFormat="1" ht="13.5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/>
      <c r="S229" s="201"/>
      <c r="T229" s="202"/>
      <c r="U229" s="246"/>
      <c r="V229" s="246"/>
      <c r="W229" s="246"/>
      <c r="BA229"/>
      <c r="BB229"/>
    </row>
    <row r="230" spans="1:54" s="191" customFormat="1" ht="13.5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/>
      <c r="S230" s="201"/>
      <c r="T230" s="202"/>
      <c r="U230" s="246"/>
      <c r="V230" s="246"/>
      <c r="W230" s="246"/>
      <c r="BA230"/>
      <c r="BB230"/>
    </row>
    <row r="231" spans="1:54" s="191" customFormat="1" ht="13.5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/>
      <c r="S231" s="201"/>
      <c r="T231" s="202"/>
      <c r="U231" s="246"/>
      <c r="V231" s="246"/>
      <c r="W231" s="246"/>
      <c r="BA231"/>
      <c r="BB231"/>
    </row>
    <row r="232" spans="1:54" s="191" customFormat="1" ht="13.5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/>
      <c r="S232" s="201"/>
      <c r="T232" s="202"/>
      <c r="U232" s="246"/>
      <c r="V232" s="246"/>
      <c r="W232" s="246"/>
      <c r="BA232"/>
      <c r="BB232"/>
    </row>
    <row r="233" spans="1:54" s="191" customFormat="1" ht="13.5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/>
      <c r="S233" s="201"/>
      <c r="T233" s="202"/>
      <c r="U233" s="246"/>
      <c r="V233" s="246"/>
      <c r="W233" s="246"/>
      <c r="BA233"/>
      <c r="BB233"/>
    </row>
    <row r="234" spans="1:54" s="191" customFormat="1" ht="13.5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/>
      <c r="S234" s="201"/>
      <c r="T234" s="202"/>
      <c r="U234" s="246"/>
      <c r="V234" s="246"/>
      <c r="W234" s="246"/>
      <c r="BA234"/>
      <c r="BB234"/>
    </row>
    <row r="235" spans="1:54" s="191" customFormat="1" ht="13.5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/>
      <c r="S235" s="201"/>
      <c r="T235" s="202"/>
      <c r="U235" s="246"/>
      <c r="V235" s="246"/>
      <c r="W235" s="246"/>
      <c r="BA235"/>
      <c r="BB235"/>
    </row>
    <row r="236" spans="1:54" s="191" customFormat="1" ht="13.5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/>
      <c r="S236" s="201"/>
      <c r="T236" s="202"/>
      <c r="U236" s="246"/>
      <c r="V236" s="246"/>
      <c r="W236" s="246"/>
      <c r="BA236"/>
      <c r="BB236"/>
    </row>
    <row r="237" spans="1:54" s="191" customFormat="1" ht="13.5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/>
      <c r="S237" s="201"/>
      <c r="T237" s="202"/>
      <c r="U237" s="246"/>
      <c r="V237" s="246"/>
      <c r="W237" s="246"/>
      <c r="BA237"/>
      <c r="BB237"/>
    </row>
    <row r="238" spans="1:54" s="191" customFormat="1" ht="13.5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/>
      <c r="S238" s="201"/>
      <c r="T238" s="202"/>
      <c r="U238" s="246"/>
      <c r="V238" s="246"/>
      <c r="W238" s="246"/>
      <c r="BA238"/>
      <c r="BB238"/>
    </row>
    <row r="239" spans="1:54" s="191" customFormat="1" ht="13.5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/>
      <c r="S239" s="201"/>
      <c r="T239" s="202"/>
      <c r="U239" s="246"/>
      <c r="V239" s="246"/>
      <c r="W239" s="246"/>
      <c r="BA239"/>
      <c r="BB239"/>
    </row>
    <row r="240" spans="1:54" s="191" customFormat="1" ht="13.5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/>
      <c r="S240" s="201"/>
      <c r="T240" s="202"/>
      <c r="U240" s="246"/>
      <c r="V240" s="246"/>
      <c r="W240" s="246"/>
      <c r="BA240"/>
      <c r="BB240"/>
    </row>
    <row r="241" spans="1:54" s="191" customFormat="1" ht="13.5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/>
      <c r="S241" s="201"/>
      <c r="T241" s="202"/>
      <c r="U241" s="246"/>
      <c r="V241" s="246"/>
      <c r="W241" s="246"/>
      <c r="BA241"/>
      <c r="BB241"/>
    </row>
    <row r="242" spans="1:54" s="191" customFormat="1" ht="13.5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/>
      <c r="S242" s="201"/>
      <c r="T242" s="202"/>
      <c r="U242" s="246"/>
      <c r="V242" s="246"/>
      <c r="W242" s="246"/>
      <c r="BA242"/>
      <c r="BB242"/>
    </row>
    <row r="243" spans="1:54" s="191" customFormat="1" ht="13.5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/>
      <c r="S243" s="201"/>
      <c r="T243" s="202"/>
      <c r="U243" s="246"/>
      <c r="V243" s="246"/>
      <c r="W243" s="246"/>
      <c r="BA243"/>
      <c r="BB243"/>
    </row>
    <row r="244" spans="1:54" s="191" customFormat="1" ht="13.5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/>
      <c r="S244" s="201"/>
      <c r="T244" s="202"/>
      <c r="U244" s="246"/>
      <c r="V244" s="246"/>
      <c r="W244" s="246"/>
      <c r="BA244"/>
      <c r="BB244"/>
    </row>
    <row r="245" spans="1:54" s="191" customFormat="1" ht="13.5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/>
      <c r="S245" s="201"/>
      <c r="T245" s="202"/>
      <c r="U245" s="246"/>
      <c r="V245" s="246"/>
      <c r="W245" s="246"/>
      <c r="BA245"/>
      <c r="BB245"/>
    </row>
    <row r="246" spans="1:54" s="191" customFormat="1" ht="13.5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/>
      <c r="S246" s="201"/>
      <c r="T246" s="202"/>
      <c r="U246" s="246"/>
      <c r="V246" s="246"/>
      <c r="W246" s="246"/>
      <c r="BA246"/>
      <c r="BB246"/>
    </row>
    <row r="247" spans="1:54" s="191" customFormat="1" ht="13.5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/>
      <c r="S247" s="201"/>
      <c r="T247" s="202"/>
      <c r="U247" s="246"/>
      <c r="V247" s="246"/>
      <c r="W247" s="246"/>
      <c r="BA247"/>
      <c r="BB247"/>
    </row>
    <row r="248" spans="1:54" s="191" customFormat="1" ht="13.5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/>
      <c r="S248" s="201"/>
      <c r="T248" s="202"/>
      <c r="U248" s="246"/>
      <c r="V248" s="246"/>
      <c r="W248" s="246"/>
      <c r="BA248"/>
      <c r="BB248"/>
    </row>
    <row r="249" spans="1:54" s="191" customFormat="1" ht="13.5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/>
      <c r="S249" s="201"/>
      <c r="T249" s="202"/>
      <c r="U249" s="246"/>
      <c r="V249" s="246"/>
      <c r="W249" s="246"/>
      <c r="BA249"/>
      <c r="BB249"/>
    </row>
    <row r="250" spans="1:54" s="191" customFormat="1" ht="13.5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/>
      <c r="S250" s="201"/>
      <c r="T250" s="202"/>
      <c r="U250" s="246"/>
      <c r="V250" s="246"/>
      <c r="W250" s="246"/>
      <c r="BA250"/>
      <c r="BB250"/>
    </row>
    <row r="251" spans="1:54" s="191" customFormat="1" ht="13.5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/>
      <c r="S251" s="201"/>
      <c r="T251" s="202"/>
      <c r="U251" s="246"/>
      <c r="V251" s="246"/>
      <c r="W251" s="246"/>
      <c r="BA251"/>
      <c r="BB251"/>
    </row>
    <row r="252" spans="1:54" s="191" customFormat="1" ht="13.5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/>
      <c r="S252" s="201"/>
      <c r="T252" s="202"/>
      <c r="U252" s="246"/>
      <c r="V252" s="246"/>
      <c r="W252" s="246"/>
      <c r="BA252"/>
      <c r="BB252"/>
    </row>
    <row r="253" spans="1:54" s="191" customFormat="1" ht="13.5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/>
      <c r="S253" s="201"/>
      <c r="T253" s="202"/>
      <c r="U253" s="246"/>
      <c r="V253" s="246"/>
      <c r="W253" s="246"/>
      <c r="BA253"/>
      <c r="BB253"/>
    </row>
    <row r="254" spans="1:54" s="191" customFormat="1" ht="13.5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/>
      <c r="S254" s="201"/>
      <c r="T254" s="202"/>
      <c r="U254" s="246"/>
      <c r="V254" s="246"/>
      <c r="W254" s="246"/>
      <c r="BA254"/>
      <c r="BB254"/>
    </row>
    <row r="255" spans="1:54" s="191" customFormat="1" ht="13.5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/>
      <c r="S255" s="201"/>
      <c r="T255" s="202"/>
      <c r="U255" s="246"/>
      <c r="V255" s="246"/>
      <c r="W255" s="246"/>
      <c r="BA255"/>
      <c r="BB255"/>
    </row>
    <row r="256" spans="1:54" s="191" customFormat="1" ht="13.5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/>
      <c r="S256" s="201"/>
      <c r="T256" s="202"/>
      <c r="U256" s="246"/>
      <c r="V256" s="246"/>
      <c r="W256" s="246"/>
      <c r="BA256"/>
      <c r="BB256"/>
    </row>
    <row r="257" spans="1:54" s="191" customFormat="1" ht="13.5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/>
      <c r="S257" s="201"/>
      <c r="T257" s="202"/>
      <c r="U257" s="246"/>
      <c r="V257" s="246"/>
      <c r="W257" s="246"/>
      <c r="BA257"/>
      <c r="BB257"/>
    </row>
    <row r="258" spans="1:54" s="191" customFormat="1" ht="13.5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/>
      <c r="S258" s="201"/>
      <c r="T258" s="202"/>
      <c r="U258" s="246"/>
      <c r="V258" s="246"/>
      <c r="W258" s="246"/>
      <c r="BA258"/>
      <c r="BB258"/>
    </row>
    <row r="259" spans="1:54" s="191" customFormat="1" ht="13.5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/>
      <c r="S259" s="201"/>
      <c r="T259" s="202"/>
      <c r="U259" s="246"/>
      <c r="V259" s="246"/>
      <c r="W259" s="246"/>
      <c r="BA259"/>
      <c r="BB259"/>
    </row>
    <row r="260" spans="1:54" s="191" customFormat="1" ht="13.5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/>
      <c r="S260" s="201"/>
      <c r="T260" s="202"/>
      <c r="U260" s="246"/>
      <c r="V260" s="246"/>
      <c r="W260" s="246"/>
      <c r="BA260"/>
      <c r="BB260"/>
    </row>
    <row r="261" spans="1:54" s="191" customFormat="1" ht="13.5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/>
      <c r="S261" s="201"/>
      <c r="T261" s="202"/>
      <c r="U261" s="246"/>
      <c r="V261" s="246"/>
      <c r="W261" s="246"/>
      <c r="BA261"/>
      <c r="BB261"/>
    </row>
    <row r="262" spans="1:54" s="191" customFormat="1" ht="13.5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/>
      <c r="S262" s="201"/>
      <c r="T262" s="202"/>
      <c r="U262" s="246"/>
      <c r="V262" s="246"/>
      <c r="W262" s="246"/>
      <c r="BA262"/>
      <c r="BB262"/>
    </row>
    <row r="263" spans="1:54" s="191" customFormat="1" ht="13.5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/>
      <c r="S263" s="201"/>
      <c r="T263" s="202"/>
      <c r="U263" s="246"/>
      <c r="V263" s="246"/>
      <c r="W263" s="246"/>
      <c r="BA263"/>
      <c r="BB263"/>
    </row>
    <row r="264" spans="1:54" s="191" customFormat="1" ht="13.5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/>
      <c r="S264" s="201"/>
      <c r="T264" s="202"/>
      <c r="U264" s="246"/>
      <c r="V264" s="246"/>
      <c r="W264" s="246"/>
      <c r="BA264"/>
      <c r="BB264"/>
    </row>
    <row r="265" spans="1:54" s="191" customFormat="1" ht="13.5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/>
      <c r="S265" s="201"/>
      <c r="T265" s="202"/>
      <c r="U265" s="246"/>
      <c r="V265" s="246"/>
      <c r="W265" s="246"/>
      <c r="BA265"/>
      <c r="BB265"/>
    </row>
    <row r="266" spans="1:54" s="191" customFormat="1" ht="13.5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/>
      <c r="S266" s="201"/>
      <c r="T266" s="202"/>
      <c r="U266" s="246"/>
      <c r="V266" s="246"/>
      <c r="W266" s="246"/>
      <c r="BA266"/>
      <c r="BB266"/>
    </row>
    <row r="267" spans="1:54" s="191" customFormat="1" ht="13.5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/>
      <c r="S267" s="201"/>
      <c r="T267" s="202"/>
      <c r="U267" s="246"/>
      <c r="V267" s="246"/>
      <c r="W267" s="246"/>
      <c r="BA267"/>
      <c r="BB267"/>
    </row>
    <row r="268" spans="1:54" s="191" customFormat="1" ht="13.5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/>
      <c r="S268" s="201"/>
      <c r="T268" s="202"/>
      <c r="U268" s="246"/>
      <c r="V268" s="246"/>
      <c r="W268" s="246"/>
      <c r="BA268"/>
      <c r="BB268"/>
    </row>
    <row r="269" spans="1:54" s="191" customFormat="1" ht="13.5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/>
      <c r="S269" s="201"/>
      <c r="T269" s="202"/>
      <c r="U269" s="246"/>
      <c r="V269" s="246"/>
      <c r="W269" s="246"/>
      <c r="BA269"/>
      <c r="BB269"/>
    </row>
    <row r="270" spans="1:54" s="191" customFormat="1" ht="13.5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/>
      <c r="S270" s="201"/>
      <c r="T270" s="202"/>
      <c r="U270" s="246"/>
      <c r="V270" s="246"/>
      <c r="W270" s="246"/>
      <c r="BA270"/>
      <c r="BB270"/>
    </row>
    <row r="271" spans="1:54" s="191" customFormat="1" ht="13.5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/>
      <c r="S271" s="201"/>
      <c r="T271" s="202"/>
      <c r="U271" s="246"/>
      <c r="V271" s="246"/>
      <c r="W271" s="246"/>
      <c r="BA271"/>
      <c r="BB271"/>
    </row>
    <row r="272" spans="1:54" s="191" customFormat="1" ht="13.5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/>
      <c r="S272" s="201"/>
      <c r="T272" s="202"/>
      <c r="U272" s="246"/>
      <c r="V272" s="246"/>
      <c r="W272" s="246"/>
      <c r="BA272"/>
      <c r="BB272"/>
    </row>
    <row r="273" spans="1:54" s="191" customFormat="1" ht="13.5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/>
      <c r="S273" s="201"/>
      <c r="T273" s="202"/>
      <c r="U273" s="246"/>
      <c r="V273" s="246"/>
      <c r="W273" s="246"/>
      <c r="BA273"/>
      <c r="BB273"/>
    </row>
    <row r="274" spans="1:54" s="191" customFormat="1" ht="13.5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/>
      <c r="S274" s="201"/>
      <c r="T274" s="202"/>
      <c r="U274" s="246"/>
      <c r="V274" s="246"/>
      <c r="W274" s="246"/>
      <c r="BA274"/>
      <c r="BB274"/>
    </row>
    <row r="275" spans="1:54" s="191" customFormat="1" ht="13.5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/>
      <c r="S275" s="201"/>
      <c r="T275" s="202"/>
      <c r="U275" s="246"/>
      <c r="V275" s="246"/>
      <c r="W275" s="246"/>
      <c r="BA275"/>
      <c r="BB275"/>
    </row>
    <row r="276" spans="1:54" s="191" customFormat="1" ht="13.5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/>
      <c r="S276" s="201"/>
      <c r="T276" s="202"/>
      <c r="U276" s="246"/>
      <c r="V276" s="246"/>
      <c r="W276" s="246"/>
      <c r="BA276"/>
      <c r="BB276"/>
    </row>
    <row r="277" spans="1:54" s="191" customFormat="1" ht="13.5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/>
      <c r="S277" s="201"/>
      <c r="T277" s="202"/>
      <c r="U277" s="246"/>
      <c r="V277" s="246"/>
      <c r="W277" s="246"/>
      <c r="BA277"/>
      <c r="BB277"/>
    </row>
    <row r="278" spans="1:54" s="191" customFormat="1" ht="13.5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/>
      <c r="S278" s="201"/>
      <c r="T278" s="202"/>
      <c r="U278" s="246"/>
      <c r="V278" s="246"/>
      <c r="W278" s="246"/>
      <c r="BA278"/>
      <c r="BB278"/>
    </row>
    <row r="279" spans="1:54" s="191" customFormat="1" ht="13.5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/>
      <c r="S279" s="201"/>
      <c r="T279" s="202"/>
      <c r="U279" s="246"/>
      <c r="V279" s="246"/>
      <c r="W279" s="246"/>
      <c r="BA279"/>
      <c r="BB279"/>
    </row>
    <row r="280" spans="1:54" s="191" customFormat="1" ht="13.5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/>
      <c r="S280" s="201"/>
      <c r="T280" s="202"/>
      <c r="U280" s="246"/>
      <c r="V280" s="246"/>
      <c r="W280" s="246"/>
      <c r="BA280"/>
      <c r="BB280"/>
    </row>
    <row r="281" spans="1:54" s="191" customFormat="1" ht="13.5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/>
      <c r="S281" s="201"/>
      <c r="T281" s="202"/>
      <c r="U281" s="246"/>
      <c r="V281" s="246"/>
      <c r="W281" s="246"/>
      <c r="BA281"/>
      <c r="BB281"/>
    </row>
    <row r="282" spans="1:54" s="191" customFormat="1" ht="13.5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/>
      <c r="S282" s="201"/>
      <c r="T282" s="202"/>
      <c r="U282" s="246"/>
      <c r="V282" s="246"/>
      <c r="W282" s="246"/>
      <c r="BA282"/>
      <c r="BB282"/>
    </row>
    <row r="283" spans="1:54" s="191" customFormat="1" ht="13.5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/>
      <c r="S283" s="201"/>
      <c r="T283" s="202"/>
      <c r="U283" s="246"/>
      <c r="V283" s="246"/>
      <c r="W283" s="246"/>
      <c r="BA283"/>
      <c r="BB283"/>
    </row>
    <row r="284" spans="1:54" s="191" customFormat="1" ht="13.5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/>
      <c r="S284" s="201"/>
      <c r="T284" s="202"/>
      <c r="U284" s="246"/>
      <c r="V284" s="246"/>
      <c r="W284" s="246"/>
      <c r="BA284"/>
      <c r="BB284"/>
    </row>
    <row r="285" spans="1:54" s="191" customFormat="1" ht="13.5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/>
      <c r="S285" s="201"/>
      <c r="T285" s="202"/>
      <c r="U285" s="246"/>
      <c r="V285" s="246"/>
      <c r="W285" s="246"/>
      <c r="BA285"/>
      <c r="BB285"/>
    </row>
    <row r="286" spans="1:54" s="191" customFormat="1" ht="13.5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/>
      <c r="S286" s="201"/>
      <c r="T286" s="202"/>
      <c r="U286" s="246"/>
      <c r="V286" s="246"/>
      <c r="W286" s="246"/>
      <c r="BA286"/>
      <c r="BB286"/>
    </row>
    <row r="287" spans="1:54" s="191" customFormat="1" ht="13.5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/>
      <c r="S287" s="201"/>
      <c r="T287" s="202"/>
      <c r="U287" s="246"/>
      <c r="V287" s="246"/>
      <c r="W287" s="246"/>
      <c r="BA287"/>
      <c r="BB287"/>
    </row>
    <row r="288" spans="1:54" s="191" customFormat="1" ht="13.5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/>
      <c r="S288" s="201"/>
      <c r="T288" s="202"/>
      <c r="U288" s="246"/>
      <c r="V288" s="246"/>
      <c r="W288" s="246"/>
      <c r="BA288"/>
      <c r="BB288"/>
    </row>
    <row r="289" spans="1:54" s="191" customFormat="1" ht="13.5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/>
      <c r="S289" s="201"/>
      <c r="T289" s="202"/>
      <c r="U289" s="246"/>
      <c r="V289" s="246"/>
      <c r="W289" s="246"/>
      <c r="BA289"/>
      <c r="BB289"/>
    </row>
    <row r="290" spans="1:54" s="191" customFormat="1" ht="13.5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/>
      <c r="S290" s="201"/>
      <c r="T290" s="202"/>
      <c r="U290" s="246"/>
      <c r="V290" s="246"/>
      <c r="W290" s="246"/>
      <c r="BA290"/>
      <c r="BB290"/>
    </row>
    <row r="291" spans="1:54" s="191" customFormat="1" ht="13.5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/>
      <c r="S291" s="201"/>
      <c r="T291" s="202"/>
      <c r="U291" s="246"/>
      <c r="V291" s="246"/>
      <c r="W291" s="246"/>
      <c r="BA291"/>
      <c r="BB291"/>
    </row>
    <row r="292" spans="1:54" s="191" customFormat="1" ht="13.5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/>
      <c r="S292" s="201"/>
      <c r="T292" s="202"/>
      <c r="U292" s="246"/>
      <c r="V292" s="246"/>
      <c r="W292" s="246"/>
      <c r="BA292"/>
      <c r="BB292"/>
    </row>
    <row r="293" spans="1:54" s="191" customFormat="1" ht="13.5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/>
      <c r="S293" s="201"/>
      <c r="T293" s="202"/>
      <c r="U293" s="246"/>
      <c r="V293" s="246"/>
      <c r="W293" s="246"/>
      <c r="BA293"/>
      <c r="BB293"/>
    </row>
    <row r="294" spans="1:54" s="191" customFormat="1" ht="13.5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/>
      <c r="S294" s="201"/>
      <c r="T294" s="202"/>
      <c r="U294" s="246"/>
      <c r="V294" s="246"/>
      <c r="W294" s="246"/>
      <c r="BA294"/>
      <c r="BB294"/>
    </row>
    <row r="295" spans="1:54" s="191" customFormat="1" ht="13.5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/>
      <c r="S295" s="201"/>
      <c r="T295" s="202"/>
      <c r="U295" s="246"/>
      <c r="V295" s="246"/>
      <c r="W295" s="246"/>
      <c r="BA295"/>
      <c r="BB295"/>
    </row>
    <row r="296" spans="1:54" s="191" customFormat="1" ht="13.5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/>
      <c r="S296" s="201"/>
      <c r="T296" s="202"/>
      <c r="U296" s="246"/>
      <c r="V296" s="246"/>
      <c r="W296" s="246"/>
      <c r="BA296"/>
      <c r="BB296"/>
    </row>
    <row r="297" spans="1:54" s="191" customFormat="1" ht="13.5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/>
      <c r="S297" s="201"/>
      <c r="T297" s="202"/>
      <c r="U297" s="246"/>
      <c r="V297" s="246"/>
      <c r="W297" s="246"/>
      <c r="BA297"/>
      <c r="BB297"/>
    </row>
    <row r="298" spans="1:54" s="191" customFormat="1" ht="13.5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/>
      <c r="S298" s="201"/>
      <c r="T298" s="202"/>
      <c r="U298" s="246"/>
      <c r="V298" s="246"/>
      <c r="W298" s="246"/>
      <c r="BA298"/>
      <c r="BB298"/>
    </row>
    <row r="299" spans="1:54" s="191" customFormat="1" ht="13.5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/>
      <c r="S299" s="201"/>
      <c r="T299" s="202"/>
      <c r="U299" s="246"/>
      <c r="V299" s="246"/>
      <c r="W299" s="246"/>
      <c r="BA299"/>
      <c r="BB299"/>
    </row>
    <row r="300" spans="1:54" s="191" customFormat="1" ht="13.5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/>
      <c r="S300" s="201"/>
      <c r="T300" s="202"/>
      <c r="U300" s="246"/>
      <c r="V300" s="246"/>
      <c r="W300" s="246"/>
      <c r="BA300"/>
      <c r="BB300"/>
    </row>
    <row r="301" spans="1:54" s="191" customFormat="1" ht="13.5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/>
      <c r="S301" s="201"/>
      <c r="T301" s="202"/>
      <c r="U301" s="246"/>
      <c r="V301" s="246"/>
      <c r="W301" s="246"/>
      <c r="BA301"/>
      <c r="BB301"/>
    </row>
    <row r="302" spans="1:54" s="191" customFormat="1" ht="13.5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/>
      <c r="S302" s="201"/>
      <c r="T302" s="202"/>
      <c r="U302" s="246"/>
      <c r="V302" s="246"/>
      <c r="W302" s="246"/>
      <c r="BA302"/>
      <c r="BB302"/>
    </row>
    <row r="303" spans="1:54" s="191" customFormat="1" ht="13.5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/>
      <c r="S303" s="201"/>
      <c r="T303" s="202"/>
      <c r="U303" s="246"/>
      <c r="V303" s="246"/>
      <c r="W303" s="246"/>
      <c r="BA303"/>
      <c r="BB303"/>
    </row>
    <row r="304" spans="1:54" s="191" customFormat="1" ht="13.5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/>
      <c r="S304" s="201"/>
      <c r="T304" s="202"/>
      <c r="U304" s="246"/>
      <c r="V304" s="246"/>
      <c r="W304" s="246"/>
      <c r="BA304"/>
      <c r="BB304"/>
    </row>
    <row r="305" spans="1:54" s="191" customFormat="1" ht="13.5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/>
      <c r="S305" s="201"/>
      <c r="T305" s="202"/>
      <c r="U305" s="246"/>
      <c r="V305" s="246"/>
      <c r="W305" s="246"/>
      <c r="BA305"/>
      <c r="BB305"/>
    </row>
    <row r="306" spans="1:54" s="191" customFormat="1" ht="13.5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/>
      <c r="S306" s="201"/>
      <c r="T306" s="202"/>
      <c r="U306" s="246"/>
      <c r="V306" s="246"/>
      <c r="W306" s="246"/>
      <c r="BA306"/>
      <c r="BB306"/>
    </row>
    <row r="307" spans="1:54" s="191" customFormat="1" ht="13.5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/>
      <c r="S307" s="201"/>
      <c r="T307" s="202"/>
      <c r="U307" s="246"/>
      <c r="V307" s="246"/>
      <c r="W307" s="246"/>
      <c r="BA307"/>
      <c r="BB307"/>
    </row>
    <row r="308" spans="1:54" s="191" customFormat="1" ht="13.5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/>
      <c r="S308" s="201"/>
      <c r="T308" s="202"/>
      <c r="U308" s="246"/>
      <c r="V308" s="246"/>
      <c r="W308" s="246"/>
      <c r="BA308"/>
      <c r="BB308"/>
    </row>
    <row r="309" spans="1:54" s="191" customFormat="1" ht="13.5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/>
      <c r="S309" s="201"/>
      <c r="T309" s="202"/>
      <c r="U309" s="246"/>
      <c r="V309" s="246"/>
      <c r="W309" s="246"/>
      <c r="BA309"/>
      <c r="BB309"/>
    </row>
    <row r="310" spans="1:54" s="191" customFormat="1" ht="13.5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/>
      <c r="S310" s="201"/>
      <c r="T310" s="202"/>
      <c r="U310" s="246"/>
      <c r="V310" s="246"/>
      <c r="W310" s="246"/>
      <c r="BA310"/>
      <c r="BB310"/>
    </row>
    <row r="311" spans="1:54" s="191" customFormat="1" ht="13.5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/>
      <c r="S311" s="201"/>
      <c r="T311" s="202"/>
      <c r="U311" s="246"/>
      <c r="V311" s="246"/>
      <c r="W311" s="246"/>
      <c r="BA311"/>
      <c r="BB311"/>
    </row>
    <row r="312" spans="1:54" s="191" customFormat="1" ht="13.5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/>
      <c r="S312" s="201"/>
      <c r="T312" s="202"/>
      <c r="U312" s="246"/>
      <c r="V312" s="246"/>
      <c r="W312" s="246"/>
      <c r="BA312"/>
      <c r="BB312"/>
    </row>
    <row r="313" spans="1:54" s="191" customFormat="1" ht="13.5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/>
      <c r="S313" s="201"/>
      <c r="T313" s="202"/>
      <c r="U313" s="246"/>
      <c r="V313" s="246"/>
      <c r="W313" s="246"/>
      <c r="BA313"/>
      <c r="BB313"/>
    </row>
    <row r="314" spans="1:54" s="191" customFormat="1" ht="13.5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/>
      <c r="S314" s="201"/>
      <c r="T314" s="202"/>
      <c r="U314" s="246"/>
      <c r="V314" s="246"/>
      <c r="W314" s="246"/>
      <c r="BA314"/>
      <c r="BB314"/>
    </row>
    <row r="315" spans="1:54" s="191" customFormat="1" ht="13.5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/>
      <c r="S315" s="201"/>
      <c r="T315" s="202"/>
      <c r="U315" s="246"/>
      <c r="V315" s="246"/>
      <c r="W315" s="246"/>
      <c r="BA315"/>
      <c r="BB315"/>
    </row>
    <row r="316" spans="1:54" s="191" customFormat="1" ht="13.5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/>
      <c r="S316" s="201"/>
      <c r="T316" s="202"/>
      <c r="U316" s="246"/>
      <c r="V316" s="246"/>
      <c r="W316" s="246"/>
      <c r="BA316"/>
      <c r="BB316"/>
    </row>
    <row r="317" spans="1:54" s="191" customFormat="1" ht="13.5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/>
      <c r="S317" s="201"/>
      <c r="T317" s="202"/>
      <c r="U317" s="246"/>
      <c r="V317" s="246"/>
      <c r="W317" s="246"/>
      <c r="BA317"/>
      <c r="BB317"/>
    </row>
    <row r="318" spans="1:54" s="191" customFormat="1" ht="13.5">
      <c r="A318" s="226"/>
      <c r="B318" s="180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194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00"/>
      <c r="S318" s="201"/>
      <c r="T318" s="202"/>
      <c r="U318" s="246"/>
      <c r="V318" s="246"/>
      <c r="W318" s="246"/>
      <c r="BA318"/>
      <c r="BB318"/>
    </row>
    <row r="319" spans="1:54" s="191" customFormat="1" ht="13.5">
      <c r="A319" s="226"/>
      <c r="B319" s="180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194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00"/>
      <c r="S319" s="201"/>
      <c r="T319" s="202"/>
      <c r="U319" s="246"/>
      <c r="V319" s="246"/>
      <c r="W319" s="246"/>
      <c r="BA319"/>
      <c r="BB319"/>
    </row>
    <row r="320" spans="1:54" s="191" customFormat="1" ht="13.5">
      <c r="A320" s="226"/>
      <c r="B320" s="180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194"/>
      <c r="G320" s="247"/>
      <c r="H320" s="247"/>
      <c r="I320" s="247"/>
      <c r="J320" s="247"/>
      <c r="K320" s="247"/>
      <c r="L320" s="247"/>
      <c r="M320" s="247"/>
      <c r="N320" s="247"/>
      <c r="O320" s="247"/>
      <c r="P320" s="247"/>
      <c r="Q320" s="247"/>
      <c r="R320" s="200"/>
      <c r="S320" s="201"/>
      <c r="T320" s="202"/>
      <c r="U320" s="246"/>
      <c r="V320" s="246"/>
      <c r="W320" s="246"/>
      <c r="BA320"/>
      <c r="BB320"/>
    </row>
    <row r="321" spans="1:54" s="191" customFormat="1" ht="13.5">
      <c r="A321" s="226"/>
      <c r="B321" s="180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194"/>
      <c r="G321" s="247"/>
      <c r="H321" s="247"/>
      <c r="I321" s="247"/>
      <c r="J321" s="247"/>
      <c r="K321" s="247"/>
      <c r="L321" s="247"/>
      <c r="M321" s="247"/>
      <c r="N321" s="247"/>
      <c r="O321" s="247"/>
      <c r="P321" s="247"/>
      <c r="Q321" s="247"/>
      <c r="R321" s="200"/>
      <c r="S321" s="201"/>
      <c r="T321" s="202"/>
      <c r="U321" s="246"/>
      <c r="V321" s="246"/>
      <c r="W321" s="246"/>
      <c r="BA321"/>
      <c r="BB321"/>
    </row>
    <row r="322" spans="1:54" s="191" customFormat="1" ht="13.5">
      <c r="A322" s="226"/>
      <c r="B322" s="180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194"/>
      <c r="G322" s="247"/>
      <c r="H322" s="247"/>
      <c r="I322" s="247"/>
      <c r="J322" s="247"/>
      <c r="K322" s="247"/>
      <c r="L322" s="247"/>
      <c r="M322" s="247"/>
      <c r="N322" s="247"/>
      <c r="O322" s="247"/>
      <c r="P322" s="247"/>
      <c r="Q322" s="247"/>
      <c r="R322" s="200"/>
      <c r="S322" s="201"/>
      <c r="T322" s="202"/>
      <c r="U322" s="246"/>
      <c r="V322" s="246"/>
      <c r="W322" s="246"/>
      <c r="BA322"/>
      <c r="BB322"/>
    </row>
    <row r="323" spans="1:54" s="191" customFormat="1" ht="13.5">
      <c r="A323" s="226"/>
      <c r="B323" s="180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194"/>
      <c r="G323" s="247"/>
      <c r="H323" s="247"/>
      <c r="I323" s="247"/>
      <c r="J323" s="247"/>
      <c r="K323" s="247"/>
      <c r="L323" s="247"/>
      <c r="M323" s="247"/>
      <c r="N323" s="247"/>
      <c r="O323" s="247"/>
      <c r="P323" s="247"/>
      <c r="Q323" s="247"/>
      <c r="R323" s="200"/>
      <c r="S323" s="201"/>
      <c r="T323" s="202"/>
      <c r="U323" s="246"/>
      <c r="V323" s="246"/>
      <c r="W323" s="246"/>
      <c r="BA323"/>
      <c r="BB323"/>
    </row>
    <row r="324" spans="1:54" s="191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/>
      <c r="S324" s="201"/>
      <c r="T324" s="202"/>
      <c r="U324" s="246"/>
      <c r="V324" s="246"/>
      <c r="W324" s="246"/>
      <c r="BA324"/>
      <c r="BB324"/>
    </row>
    <row r="325" spans="1:54" s="191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/>
      <c r="S325" s="201"/>
      <c r="T325" s="202"/>
      <c r="U325" s="246"/>
      <c r="V325" s="246"/>
      <c r="W325" s="246"/>
      <c r="BA325"/>
      <c r="BB325"/>
    </row>
    <row r="326" spans="1:54" s="191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/>
      <c r="S326" s="201"/>
      <c r="T326" s="202"/>
      <c r="U326" s="246"/>
      <c r="V326" s="246"/>
      <c r="W326" s="246"/>
      <c r="BA326"/>
      <c r="BB326"/>
    </row>
    <row r="327" spans="1:54" s="191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/>
      <c r="S327" s="201"/>
      <c r="T327" s="202"/>
      <c r="U327" s="246"/>
      <c r="V327" s="246"/>
      <c r="W327" s="246"/>
      <c r="BA327"/>
      <c r="BB327"/>
    </row>
    <row r="328" spans="1:54" s="191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/>
      <c r="S328" s="201"/>
      <c r="T328" s="202"/>
      <c r="U328" s="246"/>
      <c r="V328" s="246"/>
      <c r="W328" s="246"/>
      <c r="BA328"/>
      <c r="BB328"/>
    </row>
    <row r="329" spans="1:54" s="191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/>
      <c r="S329" s="201"/>
      <c r="T329" s="202"/>
      <c r="U329" s="246"/>
      <c r="V329" s="246"/>
      <c r="W329" s="246"/>
      <c r="BA329"/>
      <c r="BB329"/>
    </row>
    <row r="330" spans="1:54" s="191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/>
      <c r="S330" s="201"/>
      <c r="T330" s="202"/>
      <c r="U330" s="246"/>
      <c r="V330" s="246"/>
      <c r="W330" s="246"/>
      <c r="BA330"/>
      <c r="BB330"/>
    </row>
    <row r="331" spans="1:54" s="191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/>
      <c r="S331" s="201"/>
      <c r="T331" s="202"/>
      <c r="U331" s="246"/>
      <c r="V331" s="246"/>
      <c r="W331" s="246"/>
      <c r="BA331"/>
      <c r="BB331"/>
    </row>
    <row r="332" spans="1:54" s="191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/>
      <c r="S332" s="201"/>
      <c r="T332" s="202"/>
      <c r="U332" s="246"/>
      <c r="V332" s="246"/>
      <c r="W332" s="246"/>
      <c r="BA332"/>
      <c r="BB332"/>
    </row>
    <row r="333" spans="1:54" s="191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/>
      <c r="S333" s="201"/>
      <c r="T333" s="202"/>
      <c r="U333" s="246"/>
      <c r="V333" s="246"/>
      <c r="W333" s="246"/>
      <c r="BA333"/>
      <c r="BB333"/>
    </row>
    <row r="334" spans="1:54" s="191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/>
      <c r="S334" s="201"/>
      <c r="T334" s="202"/>
      <c r="U334" s="246"/>
      <c r="V334" s="246"/>
      <c r="W334" s="246"/>
      <c r="BA334"/>
      <c r="BB334"/>
    </row>
    <row r="335" spans="1:54" s="191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/>
      <c r="S335" s="201"/>
      <c r="T335" s="202"/>
      <c r="U335" s="246"/>
      <c r="V335" s="246"/>
      <c r="W335" s="246"/>
      <c r="BA335"/>
      <c r="BB335"/>
    </row>
    <row r="336" spans="1:54" s="191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/>
      <c r="S336" s="201"/>
      <c r="T336" s="202"/>
      <c r="U336" s="246"/>
      <c r="V336" s="246"/>
      <c r="W336" s="246"/>
      <c r="BA336"/>
      <c r="BB336"/>
    </row>
    <row r="337" spans="1:54" s="191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/>
      <c r="S337" s="201"/>
      <c r="T337" s="202"/>
      <c r="U337" s="246"/>
      <c r="V337" s="246"/>
      <c r="W337" s="246"/>
      <c r="BA337"/>
      <c r="BB337"/>
    </row>
    <row r="338" spans="1:54" s="191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/>
      <c r="S338" s="201"/>
      <c r="T338" s="202"/>
      <c r="U338" s="246"/>
      <c r="V338" s="246"/>
      <c r="W338" s="246"/>
      <c r="BA338"/>
      <c r="BB338"/>
    </row>
    <row r="339" spans="1:54" s="191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/>
      <c r="S339" s="201"/>
      <c r="T339" s="202"/>
      <c r="U339" s="246"/>
      <c r="V339" s="246"/>
      <c r="W339" s="246"/>
      <c r="BA339"/>
      <c r="BB339"/>
    </row>
    <row r="340" spans="1:54" s="191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/>
      <c r="S340" s="201"/>
      <c r="T340" s="202"/>
      <c r="U340" s="246"/>
      <c r="V340" s="246"/>
      <c r="W340" s="246"/>
      <c r="BA340"/>
      <c r="BB340"/>
    </row>
    <row r="341" spans="1:54" s="191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/>
      <c r="S341" s="201"/>
      <c r="T341" s="202"/>
      <c r="U341" s="246"/>
      <c r="V341" s="246"/>
      <c r="W341" s="246"/>
      <c r="BA341"/>
      <c r="BB341"/>
    </row>
    <row r="342" spans="1:54" s="191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/>
      <c r="S342" s="201"/>
      <c r="T342" s="202"/>
      <c r="U342" s="246"/>
      <c r="V342" s="246"/>
      <c r="W342" s="246"/>
      <c r="BA342"/>
      <c r="BB342"/>
    </row>
    <row r="343" spans="1:54" s="191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/>
      <c r="S343" s="201"/>
      <c r="T343" s="202"/>
      <c r="U343" s="246"/>
      <c r="V343" s="246"/>
      <c r="W343" s="246"/>
      <c r="BA343"/>
      <c r="BB343"/>
    </row>
    <row r="344" spans="1:54" s="191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/>
      <c r="S344" s="201"/>
      <c r="T344" s="202"/>
      <c r="U344" s="246"/>
      <c r="V344" s="246"/>
      <c r="W344" s="246"/>
      <c r="BA344"/>
      <c r="BB344"/>
    </row>
    <row r="345" spans="1:54" s="191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/>
      <c r="S345" s="201"/>
      <c r="T345" s="202"/>
      <c r="U345" s="246"/>
      <c r="V345" s="246"/>
      <c r="W345" s="246"/>
      <c r="BA345"/>
      <c r="BB345"/>
    </row>
    <row r="346" spans="1:54" s="191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/>
      <c r="S346" s="201"/>
      <c r="T346" s="202"/>
      <c r="U346" s="246"/>
      <c r="V346" s="246"/>
      <c r="W346" s="246"/>
      <c r="BA346"/>
      <c r="BB346"/>
    </row>
    <row r="347" spans="1:54" s="191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/>
      <c r="S347" s="201"/>
      <c r="T347" s="202"/>
      <c r="U347" s="246"/>
      <c r="V347" s="246"/>
      <c r="W347" s="246"/>
      <c r="BA347"/>
      <c r="BB347"/>
    </row>
    <row r="348" spans="1:54" s="191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/>
      <c r="S348" s="201"/>
      <c r="T348" s="202"/>
      <c r="U348" s="246"/>
      <c r="V348" s="246"/>
      <c r="W348" s="246"/>
      <c r="BA348"/>
      <c r="BB348"/>
    </row>
    <row r="349" spans="1:54" s="191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/>
      <c r="S349" s="201"/>
      <c r="T349" s="202"/>
      <c r="U349" s="246"/>
      <c r="V349" s="246"/>
      <c r="W349" s="246"/>
      <c r="BA349"/>
      <c r="BB349"/>
    </row>
    <row r="350" spans="1:54" s="191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/>
      <c r="S350" s="201"/>
      <c r="T350" s="202"/>
      <c r="U350" s="246"/>
      <c r="V350" s="246"/>
      <c r="W350" s="246"/>
      <c r="BA350"/>
      <c r="BB350"/>
    </row>
    <row r="351" spans="1:54" s="191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/>
      <c r="S351" s="201"/>
      <c r="T351" s="202"/>
      <c r="U351" s="246"/>
      <c r="V351" s="246"/>
      <c r="W351" s="246"/>
      <c r="BA351"/>
      <c r="BB351"/>
    </row>
    <row r="352" spans="1:54" s="191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/>
      <c r="S352" s="201"/>
      <c r="T352" s="202"/>
      <c r="U352" s="246"/>
      <c r="V352" s="246"/>
      <c r="W352" s="246"/>
      <c r="BA352"/>
      <c r="BB352"/>
    </row>
    <row r="353" spans="1:54" s="191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/>
      <c r="S353" s="201"/>
      <c r="T353" s="202"/>
      <c r="U353" s="246"/>
      <c r="V353" s="246"/>
      <c r="W353" s="246"/>
      <c r="BA353"/>
      <c r="BB353"/>
    </row>
    <row r="354" spans="1:54" s="191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/>
      <c r="S354" s="201"/>
      <c r="T354" s="202"/>
      <c r="U354" s="246"/>
      <c r="V354" s="246"/>
      <c r="W354" s="246"/>
      <c r="BA354"/>
      <c r="BB354"/>
    </row>
    <row r="355" spans="1:54" s="191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/>
      <c r="S355" s="201"/>
      <c r="T355" s="202"/>
      <c r="U355" s="246"/>
      <c r="V355" s="246"/>
      <c r="W355" s="246"/>
      <c r="BA355"/>
      <c r="BB355"/>
    </row>
    <row r="356" spans="1:54" s="191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/>
      <c r="S356" s="201"/>
      <c r="T356" s="202"/>
      <c r="U356" s="246"/>
      <c r="V356" s="246"/>
      <c r="W356" s="246"/>
      <c r="BA356"/>
      <c r="BB356"/>
    </row>
    <row r="357" spans="1:54" s="191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/>
      <c r="S357" s="201"/>
      <c r="T357" s="202"/>
      <c r="U357" s="246"/>
      <c r="V357" s="246"/>
      <c r="W357" s="246"/>
      <c r="BA357"/>
      <c r="BB357"/>
    </row>
    <row r="358" spans="1:54" s="191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/>
      <c r="S358" s="201"/>
      <c r="T358" s="202"/>
      <c r="U358" s="246"/>
      <c r="V358" s="246"/>
      <c r="W358" s="246"/>
      <c r="BA358"/>
      <c r="BB358"/>
    </row>
    <row r="359" spans="1:54" s="191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/>
      <c r="S359" s="201"/>
      <c r="T359" s="202"/>
      <c r="U359" s="246"/>
      <c r="V359" s="246"/>
      <c r="W359" s="246"/>
      <c r="BA359"/>
      <c r="BB359"/>
    </row>
    <row r="360" spans="1:54" s="191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/>
      <c r="S360" s="201"/>
      <c r="T360" s="202"/>
      <c r="U360" s="246"/>
      <c r="V360" s="246"/>
      <c r="W360" s="246"/>
      <c r="BA360"/>
      <c r="BB360"/>
    </row>
    <row r="361" spans="1:54" s="191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/>
      <c r="S361" s="201"/>
      <c r="T361" s="202"/>
      <c r="U361" s="246"/>
      <c r="V361" s="246"/>
      <c r="W361" s="246"/>
      <c r="BA361"/>
      <c r="BB361"/>
    </row>
    <row r="362" spans="1:54" s="191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/>
      <c r="S362" s="201"/>
      <c r="T362" s="202"/>
      <c r="U362" s="246"/>
      <c r="V362" s="246"/>
      <c r="W362" s="246"/>
      <c r="BA362"/>
      <c r="BB362"/>
    </row>
    <row r="363" spans="1:54" s="191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/>
      <c r="S363" s="201"/>
      <c r="T363" s="202"/>
      <c r="U363" s="246"/>
      <c r="V363" s="246"/>
      <c r="W363" s="246"/>
      <c r="BA363"/>
      <c r="BB363"/>
    </row>
    <row r="364" spans="1:54" s="191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/>
      <c r="S364" s="201"/>
      <c r="T364" s="202"/>
      <c r="U364" s="246"/>
      <c r="V364" s="246"/>
      <c r="W364" s="246"/>
      <c r="BA364"/>
      <c r="BB364"/>
    </row>
    <row r="365" spans="1:54" s="191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/>
      <c r="S365" s="201"/>
      <c r="T365" s="202"/>
      <c r="U365" s="246"/>
      <c r="V365" s="246"/>
      <c r="W365" s="246"/>
      <c r="BA365"/>
      <c r="BB365"/>
    </row>
    <row r="366" spans="1:54" s="191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/>
      <c r="S366" s="201"/>
      <c r="T366" s="202"/>
      <c r="U366" s="246"/>
      <c r="V366" s="246"/>
      <c r="W366" s="246"/>
      <c r="BA366"/>
      <c r="BB366"/>
    </row>
    <row r="367" spans="1:54" s="191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/>
      <c r="S367" s="201"/>
      <c r="T367" s="202"/>
      <c r="U367" s="246"/>
      <c r="V367" s="246"/>
      <c r="W367" s="246"/>
      <c r="BA367"/>
      <c r="BB367"/>
    </row>
    <row r="368" spans="1:54" s="191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/>
      <c r="S368" s="201"/>
      <c r="T368" s="202"/>
      <c r="U368" s="246"/>
      <c r="V368" s="246"/>
      <c r="W368" s="246"/>
      <c r="BA368"/>
      <c r="BB368"/>
    </row>
    <row r="369" spans="1:54" s="191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/>
      <c r="S369" s="201"/>
      <c r="T369" s="202"/>
      <c r="U369" s="246"/>
      <c r="V369" s="246"/>
      <c r="W369" s="246"/>
      <c r="BA369"/>
      <c r="BB369"/>
    </row>
    <row r="370" spans="1:54" s="191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/>
      <c r="S370" s="201"/>
      <c r="T370" s="202"/>
      <c r="U370" s="246"/>
      <c r="V370" s="246"/>
      <c r="W370" s="246"/>
      <c r="BA370"/>
      <c r="BB370"/>
    </row>
    <row r="371" spans="1:54" s="191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/>
      <c r="S371" s="201"/>
      <c r="T371" s="202"/>
      <c r="U371" s="246"/>
      <c r="V371" s="246"/>
      <c r="W371" s="246"/>
      <c r="BA371"/>
      <c r="BB371"/>
    </row>
    <row r="372" spans="1:54" s="191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/>
      <c r="S372" s="201"/>
      <c r="T372" s="202"/>
      <c r="U372" s="246"/>
      <c r="V372" s="246"/>
      <c r="W372" s="246"/>
      <c r="BA372"/>
      <c r="BB372"/>
    </row>
    <row r="373" spans="1:54" s="191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/>
      <c r="S373" s="201"/>
      <c r="T373" s="202"/>
      <c r="U373" s="246"/>
      <c r="V373" s="246"/>
      <c r="W373" s="246"/>
      <c r="BA373"/>
      <c r="BB373"/>
    </row>
    <row r="374" spans="1:54" s="191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/>
      <c r="S374" s="201"/>
      <c r="T374" s="202"/>
      <c r="U374" s="246"/>
      <c r="V374" s="246"/>
      <c r="W374" s="246"/>
      <c r="BA374"/>
      <c r="BB374"/>
    </row>
    <row r="375" spans="1:54" s="191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/>
      <c r="S375" s="201"/>
      <c r="T375" s="202"/>
      <c r="U375" s="246"/>
      <c r="V375" s="246"/>
      <c r="W375" s="246"/>
      <c r="BA375"/>
      <c r="BB375"/>
    </row>
    <row r="376" spans="1:54" s="191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/>
      <c r="S376" s="201"/>
      <c r="T376" s="202"/>
      <c r="U376" s="246"/>
      <c r="V376" s="246"/>
      <c r="W376" s="246"/>
      <c r="BA376"/>
      <c r="BB376"/>
    </row>
    <row r="377" spans="1:54" s="191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/>
      <c r="S377" s="201"/>
      <c r="T377" s="202"/>
      <c r="U377" s="246"/>
      <c r="V377" s="246"/>
      <c r="W377" s="246"/>
      <c r="BA377"/>
      <c r="BB377"/>
    </row>
    <row r="378" spans="1:54" s="191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/>
      <c r="S378" s="201"/>
      <c r="T378" s="202"/>
      <c r="U378" s="246"/>
      <c r="V378" s="246"/>
      <c r="W378" s="246"/>
      <c r="BA378"/>
      <c r="BB378"/>
    </row>
    <row r="379" spans="1:54" s="191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/>
      <c r="S379" s="201"/>
      <c r="T379" s="202"/>
      <c r="U379" s="246"/>
      <c r="V379" s="246"/>
      <c r="W379" s="246"/>
      <c r="BA379"/>
      <c r="BB379"/>
    </row>
    <row r="380" spans="1:54" s="191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/>
      <c r="S380" s="201"/>
      <c r="T380" s="202"/>
      <c r="U380" s="246"/>
      <c r="V380" s="246"/>
      <c r="W380" s="246"/>
      <c r="BA380"/>
      <c r="BB380"/>
    </row>
    <row r="381" spans="1:54" s="191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/>
      <c r="S381" s="201"/>
      <c r="T381" s="202"/>
      <c r="U381" s="246"/>
      <c r="V381" s="246"/>
      <c r="W381" s="246"/>
      <c r="BA381"/>
      <c r="BB381"/>
    </row>
    <row r="382" spans="1:54" s="191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/>
      <c r="S382" s="201"/>
      <c r="T382" s="202"/>
      <c r="U382" s="246"/>
      <c r="V382" s="246"/>
      <c r="W382" s="246"/>
      <c r="BA382"/>
      <c r="BB382"/>
    </row>
    <row r="383" spans="1:54" s="191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/>
      <c r="S383" s="201"/>
      <c r="T383" s="202"/>
      <c r="U383" s="246"/>
      <c r="V383" s="246"/>
      <c r="W383" s="246"/>
      <c r="BA383"/>
      <c r="BB383"/>
    </row>
    <row r="384" spans="1:54" s="191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/>
      <c r="S384" s="201"/>
      <c r="T384" s="202"/>
      <c r="U384" s="246"/>
      <c r="V384" s="246"/>
      <c r="W384" s="246"/>
      <c r="BA384"/>
      <c r="BB384"/>
    </row>
    <row r="385" spans="1:54" s="191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/>
      <c r="S385" s="201"/>
      <c r="T385" s="202"/>
      <c r="U385" s="246"/>
      <c r="V385" s="246"/>
      <c r="W385" s="246"/>
      <c r="BA385"/>
      <c r="BB385"/>
    </row>
    <row r="386" spans="1:54" s="191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/>
      <c r="S386" s="201"/>
      <c r="T386" s="202"/>
      <c r="U386" s="246"/>
      <c r="V386" s="246"/>
      <c r="W386" s="246"/>
      <c r="BA386"/>
      <c r="BB386"/>
    </row>
    <row r="387" spans="1:54" s="191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/>
      <c r="S387" s="201"/>
      <c r="T387" s="202"/>
      <c r="U387" s="246"/>
      <c r="V387" s="246"/>
      <c r="W387" s="246"/>
      <c r="BA387"/>
      <c r="BB387"/>
    </row>
    <row r="388" spans="1:54" s="191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/>
      <c r="S388" s="201"/>
      <c r="T388" s="202"/>
      <c r="U388" s="246"/>
      <c r="V388" s="246"/>
      <c r="W388" s="246"/>
      <c r="BA388"/>
      <c r="BB388"/>
    </row>
    <row r="389" spans="1:54" s="191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/>
      <c r="S389" s="201"/>
      <c r="T389" s="202"/>
      <c r="U389" s="246"/>
      <c r="V389" s="246"/>
      <c r="W389" s="246"/>
      <c r="BA389"/>
      <c r="BB389"/>
    </row>
    <row r="390" spans="1:54" s="191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/>
      <c r="S390" s="201"/>
      <c r="T390" s="202"/>
      <c r="U390" s="246"/>
      <c r="V390" s="246"/>
      <c r="W390" s="246"/>
      <c r="BA390"/>
      <c r="BB390"/>
    </row>
    <row r="391" spans="1:54" s="191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/>
      <c r="S391" s="201"/>
      <c r="T391" s="202"/>
      <c r="U391" s="246"/>
      <c r="V391" s="246"/>
      <c r="W391" s="246"/>
      <c r="BA391"/>
      <c r="BB391"/>
    </row>
    <row r="392" spans="1:54" s="191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/>
      <c r="S392" s="201"/>
      <c r="T392" s="202"/>
      <c r="U392" s="246"/>
      <c r="V392" s="246"/>
      <c r="W392" s="246"/>
      <c r="BA392"/>
      <c r="BB392"/>
    </row>
    <row r="393" spans="1:54" s="191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/>
      <c r="S393" s="201"/>
      <c r="T393" s="202"/>
      <c r="U393" s="246"/>
      <c r="V393" s="246"/>
      <c r="W393" s="246"/>
      <c r="BA393"/>
      <c r="BB393"/>
    </row>
    <row r="394" spans="1:54" s="191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/>
      <c r="S394" s="201"/>
      <c r="T394" s="202"/>
      <c r="U394" s="246"/>
      <c r="V394" s="246"/>
      <c r="W394" s="246"/>
      <c r="BA394"/>
      <c r="BB394"/>
    </row>
    <row r="395" spans="1:54" s="191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/>
      <c r="S395" s="201"/>
      <c r="T395" s="202"/>
      <c r="U395" s="246"/>
      <c r="V395" s="246"/>
      <c r="W395" s="246"/>
      <c r="BA395"/>
      <c r="BB395"/>
    </row>
    <row r="396" spans="1:54" s="191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/>
      <c r="S396" s="201"/>
      <c r="T396" s="202"/>
      <c r="U396" s="246"/>
      <c r="V396" s="246"/>
      <c r="W396" s="246"/>
      <c r="BA396"/>
      <c r="BB396"/>
    </row>
    <row r="397" spans="1:54" s="191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/>
      <c r="S397" s="201"/>
      <c r="T397" s="202"/>
      <c r="U397" s="246"/>
      <c r="V397" s="246"/>
      <c r="W397" s="246"/>
      <c r="BA397"/>
      <c r="BB397"/>
    </row>
    <row r="398" spans="1:54" s="191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/>
      <c r="S398" s="201"/>
      <c r="T398" s="202"/>
      <c r="U398" s="246"/>
      <c r="V398" s="246"/>
      <c r="W398" s="246"/>
      <c r="BA398"/>
      <c r="BB398"/>
    </row>
    <row r="399" spans="1:54" s="191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/>
      <c r="S399" s="201"/>
      <c r="T399" s="202"/>
      <c r="U399" s="246"/>
      <c r="V399" s="246"/>
      <c r="W399" s="246"/>
      <c r="BA399"/>
      <c r="BB399"/>
    </row>
    <row r="400" spans="1:54" s="191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/>
      <c r="S400" s="201"/>
      <c r="T400" s="202"/>
      <c r="U400" s="246"/>
      <c r="V400" s="246"/>
      <c r="W400" s="246"/>
      <c r="BA400"/>
      <c r="BB400"/>
    </row>
    <row r="401" spans="1:54" s="191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/>
      <c r="S401" s="201"/>
      <c r="T401" s="202"/>
      <c r="U401" s="246"/>
      <c r="V401" s="246"/>
      <c r="W401" s="246"/>
      <c r="BA401"/>
      <c r="BB401"/>
    </row>
    <row r="402" spans="1:54" s="191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/>
      <c r="S402" s="201"/>
      <c r="T402" s="202"/>
      <c r="U402" s="246"/>
      <c r="V402" s="246"/>
      <c r="W402" s="246"/>
      <c r="BA402"/>
      <c r="BB402"/>
    </row>
    <row r="403" spans="1:54" s="191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/>
      <c r="S403" s="201"/>
      <c r="T403" s="202"/>
      <c r="U403" s="246"/>
      <c r="V403" s="246"/>
      <c r="W403" s="246"/>
      <c r="BA403"/>
      <c r="BB403"/>
    </row>
    <row r="404" spans="1:54" s="191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/>
      <c r="S404" s="201"/>
      <c r="T404" s="202"/>
      <c r="U404" s="246"/>
      <c r="V404" s="246"/>
      <c r="W404" s="246"/>
      <c r="BA404"/>
      <c r="BB404"/>
    </row>
    <row r="405" spans="1:54" s="191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/>
      <c r="S405" s="201"/>
      <c r="T405" s="202"/>
      <c r="U405" s="246"/>
      <c r="V405" s="246"/>
      <c r="W405" s="246"/>
      <c r="BA405"/>
      <c r="BB405"/>
    </row>
    <row r="406" spans="1:54" s="191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/>
      <c r="S406" s="201"/>
      <c r="T406" s="202"/>
      <c r="U406" s="246"/>
      <c r="V406" s="246"/>
      <c r="W406" s="246"/>
      <c r="BA406"/>
      <c r="BB406"/>
    </row>
    <row r="407" spans="1:54" s="191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/>
      <c r="S407" s="201"/>
      <c r="T407" s="202"/>
      <c r="U407" s="246"/>
      <c r="V407" s="246"/>
      <c r="W407" s="246"/>
      <c r="BA407"/>
      <c r="BB407"/>
    </row>
    <row r="408" spans="1:54" s="191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/>
      <c r="S408" s="201"/>
      <c r="T408" s="202"/>
      <c r="U408" s="246"/>
      <c r="V408" s="246"/>
      <c r="W408" s="246"/>
      <c r="BA408"/>
      <c r="BB408"/>
    </row>
    <row r="409" spans="1:54" s="191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/>
      <c r="S409" s="201"/>
      <c r="T409" s="202"/>
      <c r="U409" s="246"/>
      <c r="V409" s="246"/>
      <c r="W409" s="246"/>
      <c r="BA409"/>
      <c r="BB409"/>
    </row>
    <row r="410" spans="1:54" s="191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/>
      <c r="S410" s="201"/>
      <c r="T410" s="202"/>
      <c r="U410" s="246"/>
      <c r="V410" s="246"/>
      <c r="W410" s="246"/>
      <c r="BA410"/>
      <c r="BB410"/>
    </row>
    <row r="411" spans="1:54" s="191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/>
      <c r="S411" s="201"/>
      <c r="T411" s="202"/>
      <c r="U411" s="246"/>
      <c r="V411" s="246"/>
      <c r="W411" s="246"/>
      <c r="BA411"/>
      <c r="BB411"/>
    </row>
    <row r="412" spans="1:54" s="191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/>
      <c r="S412" s="201"/>
      <c r="T412" s="202"/>
      <c r="U412" s="246"/>
      <c r="V412" s="246"/>
      <c r="W412" s="246"/>
      <c r="BA412"/>
      <c r="BB412"/>
    </row>
    <row r="413" spans="1:54" s="191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/>
      <c r="S413" s="201"/>
      <c r="T413" s="202"/>
      <c r="U413" s="246"/>
      <c r="V413" s="246"/>
      <c r="W413" s="246"/>
      <c r="BA413"/>
      <c r="BB413"/>
    </row>
    <row r="414" spans="1:54" s="191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/>
      <c r="S414" s="201"/>
      <c r="T414" s="202"/>
      <c r="U414" s="246"/>
      <c r="V414" s="246"/>
      <c r="W414" s="246"/>
      <c r="BA414"/>
      <c r="BB414"/>
    </row>
    <row r="415" spans="1:54" s="191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/>
      <c r="S415" s="201"/>
      <c r="T415" s="202"/>
      <c r="U415" s="246"/>
      <c r="V415" s="246"/>
      <c r="W415" s="246"/>
      <c r="BA415"/>
      <c r="BB415"/>
    </row>
    <row r="416" spans="1:54" s="191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/>
      <c r="S416" s="201"/>
      <c r="T416" s="202"/>
      <c r="U416" s="246"/>
      <c r="V416" s="246"/>
      <c r="W416" s="246"/>
      <c r="BA416"/>
      <c r="BB416"/>
    </row>
    <row r="417" spans="1:54" s="191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/>
      <c r="S417" s="201"/>
      <c r="T417" s="202"/>
      <c r="U417" s="246"/>
      <c r="V417" s="246"/>
      <c r="W417" s="246"/>
      <c r="BA417"/>
      <c r="BB417"/>
    </row>
    <row r="418" spans="1:54" s="191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/>
      <c r="S418" s="201"/>
      <c r="T418" s="202"/>
      <c r="U418" s="246"/>
      <c r="V418" s="246"/>
      <c r="W418" s="246"/>
      <c r="BA418"/>
      <c r="BB418"/>
    </row>
    <row r="419" spans="1:54" s="191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/>
      <c r="S419" s="201"/>
      <c r="T419" s="202"/>
      <c r="U419" s="246"/>
      <c r="V419" s="246"/>
      <c r="W419" s="246"/>
      <c r="BA419"/>
      <c r="BB419"/>
    </row>
    <row r="420" spans="1:54" s="191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/>
      <c r="S420" s="201"/>
      <c r="T420" s="202"/>
      <c r="U420" s="246"/>
      <c r="V420" s="246"/>
      <c r="W420" s="246"/>
      <c r="BA420"/>
      <c r="BB420"/>
    </row>
    <row r="421" spans="1:54" s="191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/>
      <c r="S421" s="201"/>
      <c r="T421" s="202"/>
      <c r="U421" s="246"/>
      <c r="V421" s="246"/>
      <c r="W421" s="246"/>
      <c r="BA421"/>
      <c r="BB421"/>
    </row>
    <row r="422" spans="1:54" s="191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/>
      <c r="S422" s="201"/>
      <c r="T422" s="202"/>
      <c r="U422" s="246"/>
      <c r="V422" s="246"/>
      <c r="W422" s="246"/>
      <c r="BA422"/>
      <c r="BB422"/>
    </row>
    <row r="423" spans="1:54" s="191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/>
      <c r="S423" s="201"/>
      <c r="T423" s="202"/>
      <c r="U423" s="246"/>
      <c r="V423" s="246"/>
      <c r="W423" s="246"/>
      <c r="BA423"/>
      <c r="BB423"/>
    </row>
    <row r="424" spans="1:54" s="191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/>
      <c r="S424" s="201"/>
      <c r="T424" s="202"/>
      <c r="U424" s="246"/>
      <c r="V424" s="246"/>
      <c r="W424" s="246"/>
      <c r="BA424"/>
      <c r="BB424"/>
    </row>
    <row r="425" spans="1:54" s="191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/>
      <c r="S425" s="201"/>
      <c r="T425" s="202"/>
      <c r="U425" s="246"/>
      <c r="V425" s="246"/>
      <c r="W425" s="246"/>
      <c r="BA425"/>
      <c r="BB425"/>
    </row>
    <row r="426" spans="1:54" s="191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/>
      <c r="S426" s="201"/>
      <c r="T426" s="202"/>
      <c r="U426" s="246"/>
      <c r="V426" s="246"/>
      <c r="W426" s="246"/>
      <c r="BA426"/>
      <c r="BB426"/>
    </row>
    <row r="427" spans="1:54" s="191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/>
      <c r="S427" s="201"/>
      <c r="T427" s="202"/>
      <c r="U427" s="246"/>
      <c r="V427" s="246"/>
      <c r="W427" s="246"/>
      <c r="BA427"/>
      <c r="BB427"/>
    </row>
    <row r="428" spans="1:54" s="191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/>
      <c r="S428" s="201"/>
      <c r="T428" s="202"/>
      <c r="U428" s="246"/>
      <c r="V428" s="246"/>
      <c r="W428" s="246"/>
      <c r="BA428"/>
      <c r="BB428"/>
    </row>
    <row r="429" spans="1:54" s="191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/>
      <c r="S429" s="201"/>
      <c r="T429" s="202"/>
      <c r="U429" s="246"/>
      <c r="V429" s="246"/>
      <c r="W429" s="246"/>
      <c r="BA429"/>
      <c r="BB429"/>
    </row>
    <row r="430" spans="1:54" s="191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/>
      <c r="S430" s="201"/>
      <c r="T430" s="202"/>
      <c r="U430" s="246"/>
      <c r="V430" s="246"/>
      <c r="W430" s="246"/>
      <c r="BA430"/>
      <c r="BB430"/>
    </row>
    <row r="431" spans="1:54" s="191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/>
      <c r="S431" s="201"/>
      <c r="T431" s="202"/>
      <c r="U431" s="246"/>
      <c r="V431" s="246"/>
      <c r="W431" s="246"/>
      <c r="BA431"/>
      <c r="BB431"/>
    </row>
    <row r="432" spans="1:54" s="191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/>
      <c r="S432" s="201"/>
      <c r="T432" s="202"/>
      <c r="U432" s="246"/>
      <c r="V432" s="246"/>
      <c r="W432" s="246"/>
      <c r="BA432"/>
      <c r="BB432"/>
    </row>
    <row r="433" spans="1:54" s="191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/>
      <c r="S433" s="201"/>
      <c r="T433" s="202"/>
      <c r="U433" s="246"/>
      <c r="V433" s="246"/>
      <c r="W433" s="246"/>
      <c r="BA433"/>
      <c r="BB433"/>
    </row>
    <row r="434" spans="1:54" s="191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/>
      <c r="S434" s="201"/>
      <c r="T434" s="202"/>
      <c r="U434" s="246"/>
      <c r="V434" s="246"/>
      <c r="W434" s="246"/>
      <c r="BA434"/>
      <c r="BB434"/>
    </row>
    <row r="435" spans="1:54" s="191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/>
      <c r="S435" s="201"/>
      <c r="T435" s="202"/>
      <c r="U435" s="246"/>
      <c r="V435" s="246"/>
      <c r="W435" s="246"/>
      <c r="BA435"/>
      <c r="BB435"/>
    </row>
    <row r="436" spans="1:54" s="191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/>
      <c r="S436" s="201"/>
      <c r="T436" s="202"/>
      <c r="U436" s="246"/>
      <c r="V436" s="246"/>
      <c r="W436" s="246"/>
      <c r="BA436"/>
      <c r="BB436"/>
    </row>
    <row r="437" spans="1:54" s="191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/>
      <c r="S437" s="201"/>
      <c r="T437" s="202"/>
      <c r="U437" s="246"/>
      <c r="V437" s="246"/>
      <c r="W437" s="246"/>
      <c r="BA437"/>
      <c r="BB437"/>
    </row>
    <row r="438" spans="1:54" s="191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/>
      <c r="S438" s="201"/>
      <c r="T438" s="202"/>
      <c r="U438" s="246"/>
      <c r="V438" s="246"/>
      <c r="W438" s="246"/>
      <c r="BA438"/>
      <c r="BB438"/>
    </row>
    <row r="439" spans="1:54" s="191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/>
      <c r="S439" s="201"/>
      <c r="T439" s="202"/>
      <c r="U439" s="246"/>
      <c r="V439" s="246"/>
      <c r="W439" s="246"/>
      <c r="BA439"/>
      <c r="BB439"/>
    </row>
    <row r="440" spans="1:54" s="191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/>
      <c r="S440" s="201"/>
      <c r="T440" s="202"/>
      <c r="U440" s="246"/>
      <c r="V440" s="246"/>
      <c r="W440" s="246"/>
      <c r="BA440"/>
      <c r="BB440"/>
    </row>
    <row r="441" spans="1:54" s="191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/>
      <c r="S441" s="201"/>
      <c r="T441" s="202"/>
      <c r="U441" s="246"/>
      <c r="V441" s="246"/>
      <c r="W441" s="246"/>
      <c r="BA441"/>
      <c r="BB441"/>
    </row>
    <row r="442" spans="1:54" s="191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/>
      <c r="S442" s="201"/>
      <c r="T442" s="202"/>
      <c r="U442" s="246"/>
      <c r="V442" s="246"/>
      <c r="W442" s="246"/>
      <c r="BA442"/>
      <c r="BB442"/>
    </row>
    <row r="443" spans="1:54" s="191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/>
      <c r="S443" s="201"/>
      <c r="T443" s="202"/>
      <c r="U443" s="246"/>
      <c r="V443" s="246"/>
      <c r="W443" s="246"/>
      <c r="BA443"/>
      <c r="BB443"/>
    </row>
    <row r="444" spans="1:54" s="191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/>
      <c r="S444" s="201"/>
      <c r="T444" s="202"/>
      <c r="U444" s="246"/>
      <c r="V444" s="246"/>
      <c r="W444" s="246"/>
      <c r="BA444"/>
      <c r="BB444"/>
    </row>
    <row r="445" spans="1:54" s="191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/>
      <c r="S445" s="201"/>
      <c r="T445" s="202"/>
      <c r="U445" s="246"/>
      <c r="V445" s="246"/>
      <c r="W445" s="246"/>
      <c r="BA445"/>
      <c r="BB445"/>
    </row>
    <row r="446" spans="1:54" s="191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/>
      <c r="S446" s="201"/>
      <c r="T446" s="202"/>
      <c r="U446" s="246"/>
      <c r="V446" s="246"/>
      <c r="W446" s="246"/>
      <c r="BA446"/>
      <c r="BB446"/>
    </row>
    <row r="447" spans="1:54" s="191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/>
      <c r="S447" s="201"/>
      <c r="T447" s="202"/>
      <c r="U447" s="246"/>
      <c r="V447" s="246"/>
      <c r="W447" s="246"/>
      <c r="BA447"/>
      <c r="BB447"/>
    </row>
    <row r="448" spans="1:54" s="191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/>
      <c r="S448" s="201"/>
      <c r="T448" s="202"/>
      <c r="U448" s="246"/>
      <c r="V448" s="246"/>
      <c r="W448" s="246"/>
      <c r="BA448"/>
      <c r="BB448"/>
    </row>
    <row r="449" spans="1:54" s="191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/>
      <c r="S449" s="201"/>
      <c r="T449" s="202"/>
      <c r="U449" s="246"/>
      <c r="V449" s="246"/>
      <c r="W449" s="246"/>
      <c r="BA449"/>
      <c r="BB449"/>
    </row>
    <row r="450" spans="1:54" s="191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/>
      <c r="S450" s="201"/>
      <c r="T450" s="202"/>
      <c r="U450" s="246"/>
      <c r="V450" s="246"/>
      <c r="W450" s="246"/>
      <c r="BA450"/>
      <c r="BB450"/>
    </row>
    <row r="451" spans="1:54" s="191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/>
      <c r="S451" s="201"/>
      <c r="T451" s="202"/>
      <c r="U451" s="246"/>
      <c r="V451" s="246"/>
      <c r="W451" s="246"/>
      <c r="BA451"/>
      <c r="BB451"/>
    </row>
    <row r="452" spans="1:54" s="191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/>
      <c r="S452" s="201"/>
      <c r="T452" s="202"/>
      <c r="U452" s="246"/>
      <c r="V452" s="246"/>
      <c r="W452" s="246"/>
      <c r="BA452"/>
      <c r="BB452"/>
    </row>
    <row r="453" spans="1:54" s="191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/>
      <c r="S453" s="201"/>
      <c r="T453" s="202"/>
      <c r="U453" s="246"/>
      <c r="V453" s="246"/>
      <c r="W453" s="246"/>
      <c r="BA453"/>
      <c r="BB453"/>
    </row>
    <row r="454" spans="1:54" s="191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/>
      <c r="S454" s="201"/>
      <c r="T454" s="202"/>
      <c r="U454" s="246"/>
      <c r="V454" s="246"/>
      <c r="W454" s="246"/>
      <c r="BA454"/>
      <c r="BB454"/>
    </row>
    <row r="455" spans="1:54" s="191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/>
      <c r="S455" s="201"/>
      <c r="T455" s="202"/>
      <c r="U455" s="246"/>
      <c r="V455" s="246"/>
      <c r="W455" s="246"/>
      <c r="BA455"/>
      <c r="BB455"/>
    </row>
    <row r="456" spans="1:54" s="191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/>
      <c r="S456" s="201"/>
      <c r="T456" s="202"/>
      <c r="U456" s="246"/>
      <c r="V456" s="246"/>
      <c r="W456" s="246"/>
      <c r="BA456"/>
      <c r="BB456"/>
    </row>
    <row r="457" spans="1:54" s="191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/>
      <c r="S457" s="201"/>
      <c r="T457" s="202"/>
      <c r="U457" s="246"/>
      <c r="V457" s="246"/>
      <c r="W457" s="246"/>
      <c r="BA457"/>
      <c r="BB457"/>
    </row>
    <row r="458" spans="1:54" s="191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/>
      <c r="S458" s="201"/>
      <c r="T458" s="202"/>
      <c r="U458" s="246"/>
      <c r="V458" s="246"/>
      <c r="W458" s="246"/>
      <c r="BA458"/>
      <c r="BB458"/>
    </row>
    <row r="459" spans="1:54" s="191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/>
      <c r="S459" s="201"/>
      <c r="T459" s="202"/>
      <c r="U459" s="246"/>
      <c r="V459" s="246"/>
      <c r="W459" s="246"/>
      <c r="BA459"/>
      <c r="BB459"/>
    </row>
    <row r="460" spans="1:54" s="191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/>
      <c r="S460" s="201"/>
      <c r="T460" s="202"/>
      <c r="U460" s="246"/>
      <c r="V460" s="246"/>
      <c r="W460" s="246"/>
      <c r="BA460"/>
      <c r="BB460"/>
    </row>
    <row r="461" spans="1:54" s="191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/>
      <c r="S461" s="201"/>
      <c r="T461" s="202"/>
      <c r="U461" s="246"/>
      <c r="V461" s="246"/>
      <c r="W461" s="246"/>
      <c r="BA461"/>
      <c r="BB461"/>
    </row>
    <row r="462" spans="1:54" s="191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/>
      <c r="S462" s="201"/>
      <c r="T462" s="202"/>
      <c r="U462" s="246"/>
      <c r="V462" s="246"/>
      <c r="W462" s="246"/>
      <c r="BA462"/>
      <c r="BB462"/>
    </row>
    <row r="463" spans="1:54" s="191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/>
      <c r="S463" s="201"/>
      <c r="T463" s="202"/>
      <c r="U463" s="246"/>
      <c r="V463" s="246"/>
      <c r="W463" s="246"/>
      <c r="BA463"/>
      <c r="BB463"/>
    </row>
    <row r="464" spans="1:54" s="191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/>
      <c r="S464" s="201"/>
      <c r="T464" s="202"/>
      <c r="U464" s="246"/>
      <c r="V464" s="246"/>
      <c r="W464" s="246"/>
      <c r="BA464"/>
      <c r="BB464"/>
    </row>
    <row r="465" spans="1:54" s="191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/>
      <c r="S465" s="201"/>
      <c r="T465" s="202"/>
      <c r="U465" s="246"/>
      <c r="V465" s="246"/>
      <c r="W465" s="246"/>
      <c r="BA465"/>
      <c r="BB465"/>
    </row>
    <row r="466" spans="1:54" s="191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/>
      <c r="S466" s="201"/>
      <c r="T466" s="202"/>
      <c r="U466" s="246"/>
      <c r="V466" s="246"/>
      <c r="W466" s="246"/>
      <c r="BA466"/>
      <c r="BB466"/>
    </row>
    <row r="467" spans="1:54" s="191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/>
      <c r="S467" s="201"/>
      <c r="T467" s="202"/>
      <c r="U467" s="246"/>
      <c r="V467" s="246"/>
      <c r="W467" s="246"/>
      <c r="BA467"/>
      <c r="BB467"/>
    </row>
    <row r="468" spans="1:54" s="191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/>
      <c r="S468" s="201"/>
      <c r="T468" s="202"/>
      <c r="U468" s="246"/>
      <c r="V468" s="246"/>
      <c r="W468" s="246"/>
      <c r="BA468"/>
      <c r="BB468"/>
    </row>
    <row r="469" spans="1:54" s="191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/>
      <c r="S469" s="201"/>
      <c r="T469" s="202"/>
      <c r="U469" s="246"/>
      <c r="V469" s="246"/>
      <c r="W469" s="246"/>
      <c r="BA469"/>
      <c r="BB469"/>
    </row>
    <row r="470" spans="1:54" s="191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/>
      <c r="S470" s="201"/>
      <c r="T470" s="202"/>
      <c r="U470" s="246"/>
      <c r="V470" s="246"/>
      <c r="W470" s="246"/>
      <c r="BA470"/>
      <c r="BB470"/>
    </row>
    <row r="471" spans="1:54" s="191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/>
      <c r="S471" s="201"/>
      <c r="T471" s="202"/>
      <c r="U471" s="246"/>
      <c r="V471" s="246"/>
      <c r="W471" s="246"/>
      <c r="BA471"/>
      <c r="BB471"/>
    </row>
    <row r="472" spans="1:54" s="191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/>
      <c r="S472" s="201"/>
      <c r="T472" s="202"/>
      <c r="U472" s="246"/>
      <c r="V472" s="246"/>
      <c r="W472" s="246"/>
      <c r="BA472"/>
      <c r="BB472"/>
    </row>
    <row r="473" spans="1:54" s="191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/>
      <c r="S473" s="201"/>
      <c r="T473" s="202"/>
      <c r="U473" s="246"/>
      <c r="V473" s="246"/>
      <c r="W473" s="246"/>
      <c r="BA473"/>
      <c r="BB473"/>
    </row>
    <row r="474" spans="1:54" s="191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/>
      <c r="S474" s="201"/>
      <c r="T474" s="202"/>
      <c r="U474" s="246"/>
      <c r="V474" s="246"/>
      <c r="W474" s="246"/>
      <c r="BA474"/>
      <c r="BB474"/>
    </row>
    <row r="475" spans="1:54" s="191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/>
      <c r="S475" s="201"/>
      <c r="T475" s="202"/>
      <c r="U475" s="246"/>
      <c r="V475" s="246"/>
      <c r="W475" s="246"/>
      <c r="BA475"/>
      <c r="BB475"/>
    </row>
    <row r="476" spans="1:54" s="191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/>
      <c r="S476" s="201"/>
      <c r="T476" s="202"/>
      <c r="U476" s="246"/>
      <c r="V476" s="246"/>
      <c r="W476" s="246"/>
      <c r="BA476"/>
      <c r="BB476"/>
    </row>
    <row r="477" spans="1:54" s="191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/>
      <c r="S477" s="201"/>
      <c r="T477" s="202"/>
      <c r="U477" s="246"/>
      <c r="V477" s="246"/>
      <c r="W477" s="246"/>
      <c r="BA477"/>
      <c r="BB477"/>
    </row>
    <row r="478" spans="1:54" s="191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/>
      <c r="S478" s="201"/>
      <c r="T478" s="202"/>
      <c r="U478" s="246"/>
      <c r="V478" s="246"/>
      <c r="W478" s="246"/>
      <c r="BA478"/>
      <c r="BB478"/>
    </row>
    <row r="479" spans="1:54" s="191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/>
      <c r="S479" s="201"/>
      <c r="T479" s="202"/>
      <c r="U479" s="246"/>
      <c r="V479" s="246"/>
      <c r="W479" s="246"/>
      <c r="BA479"/>
      <c r="BB479"/>
    </row>
    <row r="480" spans="1:54" s="191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/>
      <c r="S480" s="201"/>
      <c r="T480" s="202"/>
      <c r="U480" s="246"/>
      <c r="V480" s="246"/>
      <c r="W480" s="246"/>
      <c r="BA480"/>
      <c r="BB480"/>
    </row>
    <row r="481" spans="1:54" s="191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/>
      <c r="S481" s="201"/>
      <c r="T481" s="202"/>
      <c r="U481" s="246"/>
      <c r="V481" s="246"/>
      <c r="W481" s="246"/>
      <c r="BA481"/>
      <c r="BB481"/>
    </row>
    <row r="482" spans="1:54" s="191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/>
      <c r="S482" s="201"/>
      <c r="T482" s="202"/>
      <c r="U482" s="246"/>
      <c r="V482" s="246"/>
      <c r="W482" s="246"/>
      <c r="BA482"/>
      <c r="BB482"/>
    </row>
    <row r="483" spans="1:54" s="191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/>
      <c r="S483" s="201"/>
      <c r="T483" s="202"/>
      <c r="U483" s="246"/>
      <c r="V483" s="246"/>
      <c r="W483" s="246"/>
      <c r="BA483"/>
      <c r="BB483"/>
    </row>
    <row r="484" spans="1:54" s="191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/>
      <c r="S484" s="201"/>
      <c r="T484" s="202"/>
      <c r="U484" s="246"/>
      <c r="V484" s="246"/>
      <c r="W484" s="246"/>
      <c r="BA484"/>
      <c r="BB484"/>
    </row>
    <row r="485" spans="1:54" s="191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/>
      <c r="S485" s="201"/>
      <c r="T485" s="202"/>
      <c r="U485" s="246"/>
      <c r="V485" s="246"/>
      <c r="W485" s="246"/>
      <c r="BA485"/>
      <c r="BB485"/>
    </row>
    <row r="486" spans="1:54" s="191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/>
      <c r="S486" s="201"/>
      <c r="T486" s="202"/>
      <c r="U486" s="246"/>
      <c r="V486" s="246"/>
      <c r="W486" s="246"/>
      <c r="BA486"/>
      <c r="BB486"/>
    </row>
    <row r="487" spans="1:54" s="191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/>
      <c r="S487" s="201"/>
      <c r="T487" s="202"/>
      <c r="U487" s="246"/>
      <c r="V487" s="246"/>
      <c r="W487" s="246"/>
      <c r="BA487"/>
      <c r="BB487"/>
    </row>
    <row r="488" spans="1:54" s="191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/>
      <c r="S488" s="201"/>
      <c r="T488" s="202"/>
      <c r="U488" s="246"/>
      <c r="V488" s="246"/>
      <c r="W488" s="246"/>
      <c r="BA488"/>
      <c r="BB488"/>
    </row>
    <row r="489" spans="1:54" s="191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/>
      <c r="S489" s="201"/>
      <c r="T489" s="202"/>
      <c r="U489" s="246"/>
      <c r="V489" s="246"/>
      <c r="W489" s="246"/>
      <c r="BA489"/>
      <c r="BB489"/>
    </row>
    <row r="490" spans="1:54" s="191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/>
      <c r="S490" s="201"/>
      <c r="T490" s="202"/>
      <c r="U490" s="246"/>
      <c r="V490" s="246"/>
      <c r="W490" s="246"/>
      <c r="BA490"/>
      <c r="BB490"/>
    </row>
    <row r="491" spans="1:54" s="191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/>
      <c r="S491" s="201"/>
      <c r="T491" s="202"/>
      <c r="U491" s="246"/>
      <c r="V491" s="246"/>
      <c r="W491" s="246"/>
      <c r="BA491"/>
      <c r="BB491"/>
    </row>
    <row r="492" spans="1:54" s="191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/>
      <c r="S492" s="201"/>
      <c r="T492" s="202"/>
      <c r="U492" s="246"/>
      <c r="V492" s="246"/>
      <c r="W492" s="246"/>
      <c r="BA492"/>
      <c r="BB492"/>
    </row>
    <row r="493" spans="1:54" s="191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/>
      <c r="S493" s="201"/>
      <c r="T493" s="202"/>
      <c r="U493" s="246"/>
      <c r="V493" s="246"/>
      <c r="W493" s="246"/>
      <c r="BA493"/>
      <c r="BB493"/>
    </row>
    <row r="494" spans="1:54" s="191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/>
      <c r="S494" s="201"/>
      <c r="T494" s="202"/>
      <c r="U494" s="246"/>
      <c r="V494" s="246"/>
      <c r="W494" s="246"/>
      <c r="BA494"/>
      <c r="BB494"/>
    </row>
    <row r="495" spans="1:54" s="191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/>
      <c r="S495" s="201"/>
      <c r="T495" s="202"/>
      <c r="U495" s="246"/>
      <c r="V495" s="246"/>
      <c r="W495" s="246"/>
      <c r="BA495"/>
      <c r="BB495"/>
    </row>
    <row r="496" spans="1:54" s="191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/>
      <c r="S496" s="201"/>
      <c r="T496" s="202"/>
      <c r="U496" s="246"/>
      <c r="V496" s="246"/>
      <c r="W496" s="246"/>
      <c r="BA496"/>
      <c r="BB496"/>
    </row>
    <row r="497" spans="1:54" s="191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/>
      <c r="S497" s="201"/>
      <c r="T497" s="202"/>
      <c r="U497" s="246"/>
      <c r="V497" s="246"/>
      <c r="W497" s="246"/>
      <c r="BA497"/>
      <c r="BB497"/>
    </row>
    <row r="498" spans="1:54" s="191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/>
      <c r="S498" s="201"/>
      <c r="T498" s="202"/>
      <c r="U498" s="246"/>
      <c r="V498" s="246"/>
      <c r="W498" s="246"/>
      <c r="BA498"/>
      <c r="BB498"/>
    </row>
    <row r="499" spans="1:54" s="191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/>
      <c r="S499" s="201"/>
      <c r="T499" s="202"/>
      <c r="U499" s="246"/>
      <c r="V499" s="246"/>
      <c r="W499" s="246"/>
      <c r="BA499"/>
      <c r="BB499"/>
    </row>
    <row r="500" spans="1:54" s="191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/>
      <c r="S500" s="201"/>
      <c r="T500" s="202"/>
      <c r="U500" s="246"/>
      <c r="V500" s="246"/>
      <c r="W500" s="246"/>
      <c r="BA500"/>
      <c r="BB500"/>
    </row>
    <row r="501" spans="1:54" s="191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/>
      <c r="S501" s="201"/>
      <c r="T501" s="202"/>
      <c r="U501" s="246"/>
      <c r="V501" s="246"/>
      <c r="W501" s="246"/>
      <c r="BA501"/>
      <c r="BB501"/>
    </row>
    <row r="502" spans="1:54" s="191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/>
      <c r="S502" s="201"/>
      <c r="T502" s="202"/>
      <c r="U502" s="246"/>
      <c r="V502" s="246"/>
      <c r="W502" s="246"/>
      <c r="BA502"/>
      <c r="BB502"/>
    </row>
    <row r="503" spans="1:54" s="191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/>
      <c r="S503" s="201"/>
      <c r="T503" s="202"/>
      <c r="U503" s="246"/>
      <c r="V503" s="246"/>
      <c r="W503" s="246"/>
      <c r="BA503"/>
      <c r="BB503"/>
    </row>
    <row r="504" spans="1:54" s="191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/>
      <c r="S504" s="201"/>
      <c r="T504" s="202"/>
      <c r="U504" s="246"/>
      <c r="V504" s="246"/>
      <c r="W504" s="246"/>
      <c r="BA504"/>
      <c r="BB504"/>
    </row>
    <row r="505" spans="1:54" s="191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/>
      <c r="S505" s="201"/>
      <c r="T505" s="202"/>
      <c r="U505" s="246"/>
      <c r="V505" s="246"/>
      <c r="W505" s="246"/>
      <c r="BA505"/>
      <c r="BB505"/>
    </row>
    <row r="506" spans="1:54" s="191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/>
      <c r="S506" s="201"/>
      <c r="T506" s="202"/>
      <c r="U506" s="246"/>
      <c r="V506" s="246"/>
      <c r="W506" s="246"/>
      <c r="BA506"/>
      <c r="BB506"/>
    </row>
    <row r="507" spans="1:54" s="191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/>
      <c r="S507" s="201"/>
      <c r="T507" s="202"/>
      <c r="U507" s="246"/>
      <c r="V507" s="246"/>
      <c r="W507" s="246"/>
      <c r="BA507"/>
      <c r="BB507"/>
    </row>
    <row r="508" spans="1:54" s="191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/>
      <c r="S508" s="201"/>
      <c r="T508" s="202"/>
      <c r="U508" s="246"/>
      <c r="V508" s="246"/>
      <c r="W508" s="246"/>
      <c r="BA508"/>
      <c r="BB508"/>
    </row>
    <row r="509" spans="1:54" s="191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/>
      <c r="S509" s="201"/>
      <c r="T509" s="202"/>
      <c r="U509" s="246"/>
      <c r="V509" s="246"/>
      <c r="W509" s="246"/>
      <c r="BA509"/>
      <c r="BB509"/>
    </row>
    <row r="510" spans="1:54" s="191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/>
      <c r="S510" s="201"/>
      <c r="T510" s="202"/>
      <c r="U510" s="246"/>
      <c r="V510" s="246"/>
      <c r="W510" s="246"/>
      <c r="BA510"/>
      <c r="BB510"/>
    </row>
    <row r="511" spans="1:54" s="191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/>
      <c r="S511" s="201"/>
      <c r="T511" s="202"/>
      <c r="U511" s="246"/>
      <c r="V511" s="246"/>
      <c r="W511" s="246"/>
      <c r="BA511"/>
      <c r="BB511"/>
    </row>
    <row r="512" spans="1:54" s="191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/>
      <c r="S512" s="201"/>
      <c r="T512" s="202"/>
      <c r="U512" s="246"/>
      <c r="V512" s="246"/>
      <c r="W512" s="246"/>
      <c r="BA512"/>
      <c r="BB512"/>
    </row>
    <row r="513" spans="1:54" s="191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/>
      <c r="S513" s="201"/>
      <c r="T513" s="202"/>
      <c r="U513" s="246"/>
      <c r="V513" s="246"/>
      <c r="W513" s="246"/>
      <c r="BA513"/>
      <c r="BB513"/>
    </row>
    <row r="514" spans="1:54" s="191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/>
      <c r="S514" s="201"/>
      <c r="T514" s="202"/>
      <c r="U514" s="246"/>
      <c r="V514" s="246"/>
      <c r="W514" s="246"/>
      <c r="BA514"/>
      <c r="BB514"/>
    </row>
    <row r="515" spans="1:54" s="191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/>
      <c r="S515" s="201"/>
      <c r="T515" s="202"/>
      <c r="U515" s="246"/>
      <c r="V515" s="246"/>
      <c r="W515" s="246"/>
      <c r="BA515"/>
      <c r="BB515"/>
    </row>
    <row r="516" spans="1:54" s="191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/>
      <c r="S516" s="201"/>
      <c r="T516" s="202"/>
      <c r="U516" s="246"/>
      <c r="V516" s="246"/>
      <c r="W516" s="246"/>
      <c r="BA516"/>
      <c r="BB516"/>
    </row>
    <row r="517" spans="1:54" s="191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/>
      <c r="S517" s="201"/>
      <c r="T517" s="202"/>
      <c r="U517" s="246"/>
      <c r="V517" s="246"/>
      <c r="W517" s="246"/>
      <c r="BA517"/>
      <c r="BB517"/>
    </row>
    <row r="518" spans="1:54" s="191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/>
      <c r="S518" s="201"/>
      <c r="T518" s="202"/>
      <c r="U518" s="246"/>
      <c r="V518" s="246"/>
      <c r="W518" s="246"/>
      <c r="BA518"/>
      <c r="BB518"/>
    </row>
    <row r="519" spans="1:54" s="191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/>
      <c r="S519" s="201"/>
      <c r="T519" s="202"/>
      <c r="U519" s="246"/>
      <c r="V519" s="246"/>
      <c r="W519" s="246"/>
      <c r="BA519"/>
      <c r="BB519"/>
    </row>
    <row r="520" spans="1:54" s="191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/>
      <c r="S520" s="201"/>
      <c r="T520" s="202"/>
      <c r="U520" s="246"/>
      <c r="V520" s="246"/>
      <c r="W520" s="246"/>
      <c r="BA520"/>
      <c r="BB520"/>
    </row>
    <row r="521" spans="1:54" s="191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/>
      <c r="S521" s="201"/>
      <c r="T521" s="202"/>
      <c r="U521" s="246"/>
      <c r="V521" s="246"/>
      <c r="W521" s="246"/>
      <c r="BA521"/>
      <c r="BB521"/>
    </row>
    <row r="522" spans="1:54" s="191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/>
      <c r="S522" s="201"/>
      <c r="T522" s="202"/>
      <c r="U522" s="246"/>
      <c r="V522" s="246"/>
      <c r="W522" s="246"/>
      <c r="BA522"/>
      <c r="BB522"/>
    </row>
    <row r="523" spans="1:54" s="191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/>
      <c r="S523" s="201"/>
      <c r="T523" s="202"/>
      <c r="U523" s="246"/>
      <c r="V523" s="246"/>
      <c r="W523" s="246"/>
      <c r="BA523"/>
      <c r="BB523"/>
    </row>
    <row r="524" spans="1:54" s="191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/>
      <c r="S524" s="201"/>
      <c r="T524" s="202"/>
      <c r="U524" s="246"/>
      <c r="V524" s="246"/>
      <c r="W524" s="246"/>
      <c r="BA524"/>
      <c r="BB524"/>
    </row>
    <row r="525" spans="1:54" s="191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/>
      <c r="S525" s="201"/>
      <c r="T525" s="202"/>
      <c r="U525" s="246"/>
      <c r="V525" s="246"/>
      <c r="W525" s="246"/>
      <c r="BA525"/>
      <c r="BB525"/>
    </row>
    <row r="526" spans="1:54" s="191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/>
      <c r="S526" s="201"/>
      <c r="T526" s="202"/>
      <c r="U526" s="246"/>
      <c r="V526" s="246"/>
      <c r="W526" s="246"/>
      <c r="BA526"/>
      <c r="BB526"/>
    </row>
    <row r="527" spans="1:54" s="191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/>
      <c r="S527" s="201"/>
      <c r="T527" s="202"/>
      <c r="U527" s="246"/>
      <c r="V527" s="246"/>
      <c r="W527" s="246"/>
      <c r="BA527"/>
      <c r="BB527"/>
    </row>
    <row r="528" spans="1:54" s="191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/>
      <c r="S528" s="201"/>
      <c r="T528" s="202"/>
      <c r="U528" s="246"/>
      <c r="V528" s="246"/>
      <c r="W528" s="246"/>
      <c r="BA528"/>
      <c r="BB528"/>
    </row>
    <row r="529" spans="1:54" s="191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/>
      <c r="S529" s="201"/>
      <c r="T529" s="202"/>
      <c r="U529" s="246"/>
      <c r="V529" s="246"/>
      <c r="W529" s="246"/>
      <c r="BA529"/>
      <c r="BB529"/>
    </row>
    <row r="530" spans="1:54" s="191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/>
      <c r="S530" s="201"/>
      <c r="T530" s="202"/>
      <c r="U530" s="246"/>
      <c r="V530" s="246"/>
      <c r="W530" s="246"/>
      <c r="BA530"/>
      <c r="BB530"/>
    </row>
    <row r="531" spans="1:54" s="191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/>
      <c r="S531" s="201"/>
      <c r="T531" s="202"/>
      <c r="U531" s="246"/>
      <c r="V531" s="246"/>
      <c r="W531" s="246"/>
      <c r="BA531"/>
      <c r="BB531"/>
    </row>
    <row r="532" spans="1:54" s="191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/>
      <c r="S532" s="201"/>
      <c r="T532" s="202"/>
      <c r="U532" s="246"/>
      <c r="V532" s="246"/>
      <c r="W532" s="246"/>
      <c r="BA532"/>
      <c r="BB532"/>
    </row>
    <row r="533" spans="1:54" s="191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/>
      <c r="S533" s="201"/>
      <c r="T533" s="202"/>
      <c r="U533" s="246"/>
      <c r="V533" s="246"/>
      <c r="W533" s="246"/>
      <c r="BA533"/>
      <c r="BB533"/>
    </row>
    <row r="534" spans="1:54" s="191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/>
      <c r="S534" s="201"/>
      <c r="T534" s="202"/>
      <c r="U534" s="246"/>
      <c r="V534" s="246"/>
      <c r="W534" s="246"/>
      <c r="BA534"/>
      <c r="BB534"/>
    </row>
    <row r="535" spans="1:54" s="191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/>
      <c r="S535" s="201"/>
      <c r="T535" s="202"/>
      <c r="U535" s="246"/>
      <c r="V535" s="246"/>
      <c r="W535" s="246"/>
      <c r="BA535"/>
      <c r="BB535"/>
    </row>
    <row r="536" spans="1:54" s="191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/>
      <c r="S536" s="201"/>
      <c r="T536" s="202"/>
      <c r="U536" s="246"/>
      <c r="V536" s="246"/>
      <c r="W536" s="246"/>
      <c r="BA536"/>
      <c r="BB536"/>
    </row>
    <row r="537" spans="1:54" s="191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/>
      <c r="S537" s="201"/>
      <c r="T537" s="202"/>
      <c r="U537" s="246"/>
      <c r="V537" s="246"/>
      <c r="W537" s="246"/>
      <c r="BA537"/>
      <c r="BB537"/>
    </row>
    <row r="538" spans="1:54" s="191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/>
      <c r="S538" s="201"/>
      <c r="T538" s="202"/>
      <c r="U538" s="246"/>
      <c r="V538" s="246"/>
      <c r="W538" s="246"/>
      <c r="BA538"/>
      <c r="BB538"/>
    </row>
    <row r="539" spans="1:54" s="191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/>
      <c r="S539" s="201"/>
      <c r="T539" s="202"/>
      <c r="U539" s="246"/>
      <c r="V539" s="246"/>
      <c r="W539" s="246"/>
      <c r="BA539"/>
      <c r="BB539"/>
    </row>
    <row r="540" spans="1:54" s="191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/>
      <c r="S540" s="201"/>
      <c r="T540" s="202"/>
      <c r="U540" s="246"/>
      <c r="V540" s="246"/>
      <c r="W540" s="246"/>
      <c r="BA540"/>
      <c r="BB540"/>
    </row>
    <row r="541" spans="1:54" s="191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/>
      <c r="S541" s="201"/>
      <c r="T541" s="202"/>
      <c r="U541" s="246"/>
      <c r="V541" s="246"/>
      <c r="W541" s="246"/>
      <c r="BA541"/>
      <c r="BB541"/>
    </row>
    <row r="542" spans="1:54" s="191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/>
      <c r="S542" s="201"/>
      <c r="T542" s="202"/>
      <c r="U542" s="246"/>
      <c r="V542" s="246"/>
      <c r="W542" s="246"/>
      <c r="BA542"/>
      <c r="BB542"/>
    </row>
    <row r="543" spans="1:54" s="191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/>
      <c r="S543" s="201"/>
      <c r="T543" s="202"/>
      <c r="U543" s="246"/>
      <c r="V543" s="246"/>
      <c r="W543" s="246"/>
      <c r="BA543"/>
      <c r="BB543"/>
    </row>
    <row r="544" spans="1:54" s="191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/>
      <c r="S544" s="201"/>
      <c r="T544" s="202"/>
      <c r="U544" s="246"/>
      <c r="V544" s="246"/>
      <c r="W544" s="246"/>
      <c r="BA544"/>
      <c r="BB544"/>
    </row>
    <row r="545" spans="1:54" s="191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/>
      <c r="S545" s="201"/>
      <c r="T545" s="202"/>
      <c r="U545" s="246"/>
      <c r="V545" s="246"/>
      <c r="W545" s="246"/>
      <c r="BA545"/>
      <c r="BB545"/>
    </row>
    <row r="546" spans="1:54" s="191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/>
      <c r="S546" s="201"/>
      <c r="T546" s="202"/>
      <c r="U546" s="246"/>
      <c r="V546" s="246"/>
      <c r="W546" s="246"/>
      <c r="BA546"/>
      <c r="BB546"/>
    </row>
    <row r="547" spans="1:54" s="191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/>
      <c r="S547" s="201"/>
      <c r="T547" s="202"/>
      <c r="U547" s="246"/>
      <c r="V547" s="246"/>
      <c r="W547" s="246"/>
      <c r="BA547"/>
      <c r="BB547"/>
    </row>
    <row r="548" spans="1:54" s="191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/>
      <c r="S548" s="201"/>
      <c r="T548" s="202"/>
      <c r="U548" s="246"/>
      <c r="V548" s="246"/>
      <c r="W548" s="246"/>
      <c r="BA548"/>
      <c r="BB548"/>
    </row>
    <row r="549" spans="1:54" s="191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/>
      <c r="S549" s="201"/>
      <c r="T549" s="202"/>
      <c r="U549" s="246"/>
      <c r="V549" s="246"/>
      <c r="W549" s="246"/>
      <c r="BA549"/>
      <c r="BB549"/>
    </row>
    <row r="550" spans="1:54" s="191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/>
      <c r="S550" s="201"/>
      <c r="T550" s="202"/>
      <c r="U550" s="246"/>
      <c r="V550" s="246"/>
      <c r="W550" s="246"/>
      <c r="BA550"/>
      <c r="BB550"/>
    </row>
    <row r="551" spans="1:54" s="191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/>
      <c r="S551" s="201"/>
      <c r="T551" s="202"/>
      <c r="U551" s="246"/>
      <c r="V551" s="246"/>
      <c r="W551" s="246"/>
      <c r="BA551"/>
      <c r="BB551"/>
    </row>
    <row r="552" spans="1:54" s="191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/>
      <c r="S552" s="201"/>
      <c r="T552" s="202"/>
      <c r="U552" s="246"/>
      <c r="V552" s="246"/>
      <c r="W552" s="246"/>
      <c r="BA552"/>
      <c r="BB552"/>
    </row>
    <row r="553" spans="1:54" s="191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/>
      <c r="S553" s="201"/>
      <c r="T553" s="202"/>
      <c r="U553" s="246"/>
      <c r="V553" s="246"/>
      <c r="W553" s="246"/>
      <c r="BA553"/>
      <c r="BB553"/>
    </row>
    <row r="554" spans="1:54" s="191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/>
      <c r="S554" s="201"/>
      <c r="T554" s="202"/>
      <c r="U554" s="246"/>
      <c r="V554" s="246"/>
      <c r="W554" s="246"/>
      <c r="BA554"/>
      <c r="BB554"/>
    </row>
    <row r="555" spans="1:54" s="191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/>
      <c r="S555" s="201"/>
      <c r="T555" s="202"/>
      <c r="U555" s="246"/>
      <c r="V555" s="246"/>
      <c r="W555" s="246"/>
      <c r="BA555"/>
      <c r="BB555"/>
    </row>
    <row r="556" spans="1:54" s="191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/>
      <c r="S556" s="201"/>
      <c r="T556" s="202"/>
      <c r="U556" s="246"/>
      <c r="V556" s="246"/>
      <c r="W556" s="246"/>
      <c r="BA556"/>
      <c r="BB556"/>
    </row>
    <row r="557" spans="1:54" s="191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/>
      <c r="S557" s="201"/>
      <c r="T557" s="202"/>
      <c r="U557" s="246"/>
      <c r="V557" s="246"/>
      <c r="W557" s="246"/>
      <c r="BA557"/>
      <c r="BB557"/>
    </row>
    <row r="558" spans="1:54" s="191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/>
      <c r="S558" s="201"/>
      <c r="T558" s="202"/>
      <c r="U558" s="246"/>
      <c r="V558" s="246"/>
      <c r="W558" s="246"/>
      <c r="BA558"/>
      <c r="BB558"/>
    </row>
    <row r="559" spans="1:54" s="191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/>
      <c r="S559" s="201"/>
      <c r="T559" s="202"/>
      <c r="U559" s="246"/>
      <c r="V559" s="246"/>
      <c r="W559" s="246"/>
      <c r="BA559"/>
      <c r="BB559"/>
    </row>
    <row r="560" spans="1:54" s="191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/>
      <c r="S560" s="201"/>
      <c r="T560" s="202"/>
      <c r="U560" s="246"/>
      <c r="V560" s="246"/>
      <c r="W560" s="246"/>
      <c r="BA560"/>
      <c r="BB560"/>
    </row>
    <row r="561" spans="1:54" s="191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/>
      <c r="S561" s="201"/>
      <c r="T561" s="202"/>
      <c r="U561" s="246"/>
      <c r="V561" s="246"/>
      <c r="W561" s="246"/>
      <c r="BA561"/>
      <c r="BB561"/>
    </row>
    <row r="562" spans="1:54" s="191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/>
      <c r="S562" s="201"/>
      <c r="T562" s="202"/>
      <c r="U562" s="246"/>
      <c r="V562" s="246"/>
      <c r="W562" s="246"/>
      <c r="BA562"/>
      <c r="BB562"/>
    </row>
    <row r="563" spans="1:54" s="191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/>
      <c r="S563" s="201"/>
      <c r="T563" s="202"/>
      <c r="U563" s="246"/>
      <c r="V563" s="246"/>
      <c r="W563" s="246"/>
      <c r="BA563"/>
      <c r="BB563"/>
    </row>
    <row r="564" spans="1:54" s="191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/>
      <c r="S564" s="201"/>
      <c r="T564" s="202"/>
      <c r="U564" s="246"/>
      <c r="V564" s="246"/>
      <c r="W564" s="246"/>
      <c r="BA564"/>
      <c r="BB564"/>
    </row>
    <row r="565" spans="1:54" s="191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/>
      <c r="S565" s="201"/>
      <c r="T565" s="202"/>
      <c r="U565" s="246"/>
      <c r="V565" s="246"/>
      <c r="W565" s="246"/>
      <c r="BA565"/>
      <c r="BB565"/>
    </row>
    <row r="566" spans="1:54" s="191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/>
      <c r="S566" s="201"/>
      <c r="T566" s="202"/>
      <c r="U566" s="246"/>
      <c r="V566" s="246"/>
      <c r="W566" s="246"/>
      <c r="BA566"/>
      <c r="BB566"/>
    </row>
    <row r="567" spans="1:54" s="191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/>
      <c r="S567" s="201"/>
      <c r="T567" s="202"/>
      <c r="U567" s="246"/>
      <c r="V567" s="246"/>
      <c r="W567" s="246"/>
      <c r="BA567"/>
      <c r="BB567"/>
    </row>
    <row r="568" spans="1:54" s="191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/>
      <c r="S568" s="201"/>
      <c r="T568" s="202"/>
      <c r="U568" s="246"/>
      <c r="V568" s="246"/>
      <c r="W568" s="246"/>
      <c r="BA568"/>
      <c r="BB568"/>
    </row>
    <row r="569" spans="1:54" s="191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/>
      <c r="S569" s="201"/>
      <c r="T569" s="202"/>
      <c r="U569" s="246"/>
      <c r="V569" s="246"/>
      <c r="W569" s="246"/>
      <c r="BA569"/>
      <c r="BB569"/>
    </row>
    <row r="570" spans="1:54" s="191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/>
      <c r="S570" s="201"/>
      <c r="T570" s="202"/>
      <c r="U570" s="246"/>
      <c r="V570" s="246"/>
      <c r="W570" s="246"/>
      <c r="BA570"/>
      <c r="BB570"/>
    </row>
    <row r="571" spans="1:54" s="191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/>
      <c r="S571" s="201"/>
      <c r="T571" s="202"/>
      <c r="U571" s="246"/>
      <c r="V571" s="246"/>
      <c r="W571" s="246"/>
      <c r="BA571"/>
      <c r="BB571"/>
    </row>
    <row r="572" spans="1:54" s="191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/>
      <c r="S572" s="201"/>
      <c r="T572" s="202"/>
      <c r="U572" s="246"/>
      <c r="V572" s="246"/>
      <c r="W572" s="246"/>
      <c r="BA572"/>
      <c r="BB572"/>
    </row>
    <row r="573" spans="1:54" s="191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/>
      <c r="S573" s="201"/>
      <c r="T573" s="202"/>
      <c r="U573" s="246"/>
      <c r="V573" s="246"/>
      <c r="W573" s="246"/>
      <c r="BA573"/>
      <c r="BB573"/>
    </row>
    <row r="574" spans="1:54" s="191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/>
      <c r="S574" s="201"/>
      <c r="T574" s="202"/>
      <c r="U574" s="246"/>
      <c r="V574" s="246"/>
      <c r="W574" s="246"/>
      <c r="BA574"/>
      <c r="BB574"/>
    </row>
    <row r="575" spans="1:54" s="191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/>
      <c r="S575" s="201"/>
      <c r="T575" s="202"/>
      <c r="U575" s="246"/>
      <c r="V575" s="246"/>
      <c r="W575" s="246"/>
      <c r="BA575"/>
      <c r="BB575"/>
    </row>
    <row r="576" spans="1:54" s="191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/>
      <c r="S576" s="201"/>
      <c r="T576" s="202"/>
      <c r="U576" s="246"/>
      <c r="V576" s="246"/>
      <c r="W576" s="246"/>
      <c r="BA576"/>
      <c r="BB576"/>
    </row>
    <row r="577" spans="1:54" s="191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/>
      <c r="S577" s="201"/>
      <c r="T577" s="202"/>
      <c r="U577" s="246"/>
      <c r="V577" s="246"/>
      <c r="W577" s="246"/>
      <c r="BA577"/>
      <c r="BB577"/>
    </row>
    <row r="578" spans="1:54" s="191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/>
      <c r="S578" s="201"/>
      <c r="T578" s="202"/>
      <c r="U578" s="246"/>
      <c r="V578" s="246"/>
      <c r="W578" s="246"/>
      <c r="BA578"/>
      <c r="BB578"/>
    </row>
    <row r="579" spans="1:54" s="191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/>
      <c r="S579" s="201"/>
      <c r="T579" s="202"/>
      <c r="U579" s="246"/>
      <c r="V579" s="246"/>
      <c r="W579" s="246"/>
      <c r="BA579"/>
      <c r="BB579"/>
    </row>
    <row r="580" spans="1:54" s="191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/>
      <c r="S580" s="201"/>
      <c r="T580" s="202"/>
      <c r="U580" s="246"/>
      <c r="V580" s="246"/>
      <c r="W580" s="246"/>
      <c r="BA580"/>
      <c r="BB580"/>
    </row>
    <row r="581" spans="1:54" s="191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/>
      <c r="S581" s="201"/>
      <c r="T581" s="202"/>
      <c r="U581" s="246"/>
      <c r="V581" s="246"/>
      <c r="W581" s="246"/>
      <c r="BA581"/>
      <c r="BB581"/>
    </row>
    <row r="582" spans="1:54" s="191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/>
      <c r="S582" s="201"/>
      <c r="T582" s="202"/>
      <c r="U582" s="246"/>
      <c r="V582" s="246"/>
      <c r="W582" s="246"/>
      <c r="BA582"/>
      <c r="BB582"/>
    </row>
    <row r="583" spans="1:54" s="191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/>
      <c r="S583" s="201"/>
      <c r="T583" s="202"/>
      <c r="U583" s="246"/>
      <c r="V583" s="246"/>
      <c r="W583" s="246"/>
      <c r="BA583"/>
      <c r="BB583"/>
    </row>
    <row r="584" spans="1:54" s="191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/>
      <c r="S584" s="201"/>
      <c r="T584" s="202"/>
      <c r="U584" s="246"/>
      <c r="V584" s="246"/>
      <c r="W584" s="246"/>
      <c r="BA584"/>
      <c r="BB584"/>
    </row>
    <row r="585" spans="1:54" s="191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/>
      <c r="S585" s="201"/>
      <c r="T585" s="202"/>
      <c r="U585" s="246"/>
      <c r="V585" s="246"/>
      <c r="W585" s="246"/>
      <c r="BA585"/>
      <c r="BB585"/>
    </row>
    <row r="586" spans="1:54" s="191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/>
      <c r="S586" s="201"/>
      <c r="T586" s="202"/>
      <c r="U586" s="246"/>
      <c r="V586" s="246"/>
      <c r="W586" s="246"/>
      <c r="BA586"/>
      <c r="BB586"/>
    </row>
    <row r="587" spans="1:54" s="191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/>
      <c r="S587" s="201"/>
      <c r="T587" s="202"/>
      <c r="U587" s="246"/>
      <c r="V587" s="246"/>
      <c r="W587" s="246"/>
      <c r="BA587"/>
      <c r="BB587"/>
    </row>
    <row r="588" spans="1:54" s="191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/>
      <c r="S588" s="201"/>
      <c r="T588" s="202"/>
      <c r="U588" s="246"/>
      <c r="V588" s="246"/>
      <c r="W588" s="246"/>
      <c r="BA588"/>
      <c r="BB588"/>
    </row>
    <row r="589" spans="1:54" s="191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/>
      <c r="S589" s="201"/>
      <c r="T589" s="202"/>
      <c r="U589" s="246"/>
      <c r="V589" s="246"/>
      <c r="W589" s="246"/>
      <c r="BA589"/>
      <c r="BB589"/>
    </row>
    <row r="590" spans="1:54" s="191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/>
      <c r="S590" s="201"/>
      <c r="T590" s="202"/>
      <c r="U590" s="246"/>
      <c r="V590" s="246"/>
      <c r="W590" s="246"/>
      <c r="BA590"/>
      <c r="BB590"/>
    </row>
    <row r="591" spans="1:54" s="191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/>
      <c r="S591" s="201"/>
      <c r="T591" s="202"/>
      <c r="U591" s="246"/>
      <c r="V591" s="246"/>
      <c r="W591" s="246"/>
      <c r="BA591"/>
      <c r="BB591"/>
    </row>
    <row r="592" spans="1:54" s="191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/>
      <c r="S592" s="201"/>
      <c r="T592" s="202"/>
      <c r="U592" s="246"/>
      <c r="V592" s="246"/>
      <c r="W592" s="246"/>
      <c r="BA592"/>
      <c r="BB592"/>
    </row>
    <row r="593" spans="1:54" s="191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/>
      <c r="S593" s="201"/>
      <c r="T593" s="202"/>
      <c r="U593" s="246"/>
      <c r="V593" s="246"/>
      <c r="W593" s="246"/>
      <c r="BA593"/>
      <c r="BB593"/>
    </row>
    <row r="594" spans="1:54" s="191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/>
      <c r="S594" s="201"/>
      <c r="T594" s="202"/>
      <c r="U594" s="246"/>
      <c r="V594" s="246"/>
      <c r="W594" s="246"/>
      <c r="BA594"/>
      <c r="BB594"/>
    </row>
    <row r="595" spans="1:54" s="191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/>
      <c r="S595" s="201"/>
      <c r="T595" s="202"/>
      <c r="U595" s="246"/>
      <c r="V595" s="246"/>
      <c r="W595" s="246"/>
      <c r="BA595"/>
      <c r="BB595"/>
    </row>
    <row r="596" spans="1:54" s="191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/>
      <c r="S596" s="201"/>
      <c r="T596" s="202"/>
      <c r="U596" s="246"/>
      <c r="V596" s="246"/>
      <c r="W596" s="246"/>
      <c r="BA596"/>
      <c r="BB596"/>
    </row>
    <row r="597" spans="1:54" s="191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/>
      <c r="S597" s="201"/>
      <c r="T597" s="202"/>
      <c r="U597" s="246"/>
      <c r="V597" s="246"/>
      <c r="W597" s="246"/>
      <c r="BA597"/>
      <c r="BB597"/>
    </row>
    <row r="598" spans="1:54" s="191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/>
      <c r="S598" s="201"/>
      <c r="T598" s="202"/>
      <c r="U598" s="246"/>
      <c r="V598" s="246"/>
      <c r="W598" s="246"/>
      <c r="BA598"/>
      <c r="BB598"/>
    </row>
    <row r="599" spans="1:54" s="191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/>
      <c r="S599" s="201"/>
      <c r="T599" s="202"/>
      <c r="U599" s="246"/>
      <c r="V599" s="246"/>
      <c r="W599" s="246"/>
      <c r="BA599"/>
      <c r="BB599"/>
    </row>
    <row r="600" spans="1:54" s="191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/>
      <c r="S600" s="201"/>
      <c r="T600" s="202"/>
      <c r="U600" s="246"/>
      <c r="V600" s="246"/>
      <c r="W600" s="246"/>
      <c r="BA600"/>
      <c r="BB600"/>
    </row>
    <row r="601" spans="1:54" s="191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/>
      <c r="S601" s="201"/>
      <c r="T601" s="202"/>
      <c r="U601" s="246"/>
      <c r="V601" s="246"/>
      <c r="W601" s="246"/>
      <c r="BA601"/>
      <c r="BB601"/>
    </row>
    <row r="602" spans="1:54" s="191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/>
      <c r="S602" s="201"/>
      <c r="T602" s="202"/>
      <c r="U602" s="246"/>
      <c r="V602" s="246"/>
      <c r="W602" s="246"/>
      <c r="BA602"/>
      <c r="BB602"/>
    </row>
    <row r="603" spans="1:54" s="191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/>
      <c r="S603" s="201"/>
      <c r="T603" s="202"/>
      <c r="U603" s="246"/>
      <c r="V603" s="246"/>
      <c r="W603" s="246"/>
      <c r="BA603"/>
      <c r="BB603"/>
    </row>
    <row r="604" spans="1:54" s="191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/>
      <c r="S604" s="201"/>
      <c r="T604" s="202"/>
      <c r="U604" s="246"/>
      <c r="V604" s="246"/>
      <c r="W604" s="246"/>
      <c r="BA604"/>
      <c r="BB604"/>
    </row>
    <row r="605" spans="1:54" s="191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/>
      <c r="S605" s="201"/>
      <c r="T605" s="202"/>
      <c r="U605" s="246"/>
      <c r="V605" s="246"/>
      <c r="W605" s="246"/>
      <c r="BA605"/>
      <c r="BB605"/>
    </row>
    <row r="606" spans="1:54" s="191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/>
      <c r="S606" s="201"/>
      <c r="T606" s="202"/>
      <c r="U606" s="246"/>
      <c r="V606" s="246"/>
      <c r="W606" s="246"/>
      <c r="BA606"/>
      <c r="BB606"/>
    </row>
    <row r="607" spans="1:54" s="191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/>
      <c r="S607" s="201"/>
      <c r="T607" s="202"/>
      <c r="U607" s="246"/>
      <c r="V607" s="246"/>
      <c r="W607" s="246"/>
      <c r="BA607"/>
      <c r="BB607"/>
    </row>
    <row r="608" spans="1:54" s="191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/>
      <c r="S608" s="201"/>
      <c r="T608" s="202"/>
      <c r="U608" s="246"/>
      <c r="V608" s="246"/>
      <c r="W608" s="246"/>
      <c r="BA608"/>
      <c r="BB608"/>
    </row>
    <row r="609" spans="1:54" s="191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/>
      <c r="S609" s="201"/>
      <c r="T609" s="202"/>
      <c r="U609" s="246"/>
      <c r="V609" s="246"/>
      <c r="W609" s="246"/>
      <c r="BA609"/>
      <c r="BB609"/>
    </row>
    <row r="610" spans="1:54" s="191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/>
      <c r="S610" s="201"/>
      <c r="T610" s="202"/>
      <c r="U610" s="246"/>
      <c r="V610" s="246"/>
      <c r="W610" s="246"/>
      <c r="BA610"/>
      <c r="BB610"/>
    </row>
    <row r="611" spans="1:54" s="191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/>
      <c r="S611" s="201"/>
      <c r="T611" s="202"/>
      <c r="U611" s="246"/>
      <c r="V611" s="246"/>
      <c r="W611" s="246"/>
      <c r="BA611"/>
      <c r="BB611"/>
    </row>
    <row r="612" spans="1:54" s="191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/>
      <c r="S612" s="201"/>
      <c r="T612" s="202"/>
      <c r="U612" s="246"/>
      <c r="V612" s="246"/>
      <c r="W612" s="246"/>
      <c r="BA612"/>
      <c r="BB612"/>
    </row>
    <row r="613" spans="1:54" s="191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/>
      <c r="S613" s="201"/>
      <c r="T613" s="202"/>
      <c r="U613" s="246"/>
      <c r="V613" s="246"/>
      <c r="W613" s="246"/>
      <c r="BA613"/>
      <c r="BB613"/>
    </row>
    <row r="614" spans="1:54" s="191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/>
      <c r="S614" s="201"/>
      <c r="T614" s="202"/>
      <c r="U614" s="246"/>
      <c r="V614" s="246"/>
      <c r="W614" s="246"/>
      <c r="BA614"/>
      <c r="BB614"/>
    </row>
    <row r="615" spans="1:54" s="191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/>
      <c r="S615" s="201"/>
      <c r="T615" s="202"/>
      <c r="U615" s="246"/>
      <c r="V615" s="246"/>
      <c r="W615" s="246"/>
      <c r="BA615"/>
      <c r="BB615"/>
    </row>
    <row r="616" spans="1:54" s="191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/>
      <c r="S616" s="201"/>
      <c r="T616" s="202"/>
      <c r="U616" s="246"/>
      <c r="V616" s="246"/>
      <c r="W616" s="246"/>
      <c r="BA616"/>
      <c r="BB616"/>
    </row>
    <row r="617" spans="1:54" s="191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/>
      <c r="S617" s="201"/>
      <c r="T617" s="202"/>
      <c r="U617" s="246"/>
      <c r="V617" s="246"/>
      <c r="W617" s="246"/>
      <c r="BA617"/>
      <c r="BB617"/>
    </row>
    <row r="618" spans="1:54" s="191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/>
      <c r="S618" s="201"/>
      <c r="T618" s="202"/>
      <c r="U618" s="246"/>
      <c r="V618" s="246"/>
      <c r="W618" s="246"/>
      <c r="BA618"/>
      <c r="BB618"/>
    </row>
    <row r="619" spans="1:54" s="191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/>
      <c r="S619" s="201"/>
      <c r="T619" s="202"/>
      <c r="U619" s="246"/>
      <c r="V619" s="246"/>
      <c r="W619" s="246"/>
      <c r="BA619"/>
      <c r="BB619"/>
    </row>
    <row r="620" spans="1:54" s="191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/>
      <c r="S620" s="201"/>
      <c r="T620" s="202"/>
      <c r="U620" s="246"/>
      <c r="V620" s="246"/>
      <c r="W620" s="246"/>
      <c r="BA620"/>
      <c r="BB620"/>
    </row>
    <row r="621" spans="1:54" s="191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/>
      <c r="S621" s="201"/>
      <c r="T621" s="202"/>
      <c r="U621" s="246"/>
      <c r="V621" s="246"/>
      <c r="W621" s="246"/>
      <c r="BA621"/>
      <c r="BB621"/>
    </row>
    <row r="622" spans="1:54" s="191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/>
      <c r="S622" s="201"/>
      <c r="T622" s="202"/>
      <c r="U622" s="246"/>
      <c r="V622" s="246"/>
      <c r="W622" s="246"/>
      <c r="BA622"/>
      <c r="BB622"/>
    </row>
    <row r="623" spans="1:54" s="191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/>
      <c r="S623" s="201"/>
      <c r="T623" s="202"/>
      <c r="U623" s="246"/>
      <c r="V623" s="246"/>
      <c r="W623" s="246"/>
      <c r="BA623"/>
      <c r="BB623"/>
    </row>
    <row r="624" spans="1:54" s="191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/>
      <c r="S624" s="201"/>
      <c r="T624" s="202"/>
      <c r="U624" s="246"/>
      <c r="V624" s="246"/>
      <c r="W624" s="246"/>
      <c r="BA624"/>
      <c r="BB624"/>
    </row>
    <row r="625" spans="1:54" s="191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/>
      <c r="S625" s="201"/>
      <c r="T625" s="202"/>
      <c r="U625" s="246"/>
      <c r="V625" s="246"/>
      <c r="W625" s="246"/>
      <c r="BA625"/>
      <c r="BB625"/>
    </row>
    <row r="626" spans="1:54" s="191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/>
      <c r="S626" s="201"/>
      <c r="T626" s="202"/>
      <c r="U626" s="246"/>
      <c r="V626" s="246"/>
      <c r="W626" s="246"/>
      <c r="BA626"/>
      <c r="BB626"/>
    </row>
    <row r="627" spans="1:54" s="191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/>
      <c r="S627" s="201"/>
      <c r="T627" s="202"/>
      <c r="U627" s="246"/>
      <c r="V627" s="246"/>
      <c r="W627" s="246"/>
      <c r="BA627"/>
      <c r="BB627"/>
    </row>
    <row r="628" spans="1:54" s="191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/>
      <c r="S628" s="201"/>
      <c r="T628" s="202"/>
      <c r="U628" s="246"/>
      <c r="V628" s="246"/>
      <c r="W628" s="246"/>
      <c r="BA628"/>
      <c r="BB628"/>
    </row>
    <row r="629" spans="1:54" s="191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/>
      <c r="S629" s="201"/>
      <c r="T629" s="202"/>
      <c r="U629" s="246"/>
      <c r="V629" s="246"/>
      <c r="W629" s="246"/>
      <c r="BA629"/>
      <c r="BB629"/>
    </row>
    <row r="630" spans="1:54" s="191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/>
      <c r="S630" s="201"/>
      <c r="T630" s="202"/>
      <c r="U630" s="246"/>
      <c r="V630" s="246"/>
      <c r="W630" s="246"/>
      <c r="BA630"/>
      <c r="BB630"/>
    </row>
    <row r="631" spans="1:54" s="191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/>
      <c r="S631" s="201"/>
      <c r="T631" s="202"/>
      <c r="U631" s="246"/>
      <c r="V631" s="246"/>
      <c r="W631" s="246"/>
      <c r="BA631"/>
      <c r="BB631"/>
    </row>
    <row r="632" spans="1:54" s="191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/>
      <c r="S632" s="201"/>
      <c r="T632" s="202"/>
      <c r="U632" s="246"/>
      <c r="V632" s="246"/>
      <c r="W632" s="246"/>
      <c r="BA632"/>
      <c r="BB632"/>
    </row>
    <row r="633" spans="1:54" s="191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/>
      <c r="S633" s="201"/>
      <c r="T633" s="202"/>
      <c r="U633" s="246"/>
      <c r="V633" s="246"/>
      <c r="W633" s="246"/>
      <c r="BA633"/>
      <c r="BB633"/>
    </row>
    <row r="634" spans="1:54" s="191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/>
      <c r="S634" s="201"/>
      <c r="T634" s="202"/>
      <c r="U634" s="246"/>
      <c r="V634" s="246"/>
      <c r="W634" s="246"/>
      <c r="BA634"/>
      <c r="BB634"/>
    </row>
    <row r="635" spans="1:54" s="191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/>
      <c r="S635" s="201"/>
      <c r="T635" s="202"/>
      <c r="U635" s="246"/>
      <c r="V635" s="246"/>
      <c r="W635" s="246"/>
      <c r="BA635"/>
      <c r="BB635"/>
    </row>
    <row r="636" spans="1:54" s="191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/>
      <c r="S636" s="201"/>
      <c r="T636" s="202"/>
      <c r="U636" s="246"/>
      <c r="V636" s="246"/>
      <c r="W636" s="246"/>
      <c r="BA636"/>
      <c r="BB636"/>
    </row>
    <row r="637" spans="1:54" s="191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/>
      <c r="S637" s="201"/>
      <c r="T637" s="202"/>
      <c r="U637" s="246"/>
      <c r="V637" s="246"/>
      <c r="W637" s="246"/>
      <c r="BA637"/>
      <c r="BB637"/>
    </row>
    <row r="638" spans="1:54" s="191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/>
      <c r="S638" s="201"/>
      <c r="T638" s="202"/>
      <c r="U638" s="246"/>
      <c r="V638" s="246"/>
      <c r="W638" s="246"/>
      <c r="BA638"/>
      <c r="BB638"/>
    </row>
    <row r="639" spans="1:54" s="191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/>
      <c r="S639" s="201"/>
      <c r="T639" s="202"/>
      <c r="U639" s="246"/>
      <c r="V639" s="246"/>
      <c r="W639" s="246"/>
      <c r="BA639"/>
      <c r="BB639"/>
    </row>
    <row r="640" spans="1:54" s="191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/>
      <c r="S640" s="201"/>
      <c r="T640" s="202"/>
      <c r="U640" s="246"/>
      <c r="V640" s="246"/>
      <c r="W640" s="246"/>
      <c r="BA640"/>
      <c r="BB640"/>
    </row>
    <row r="641" spans="1:54" s="191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/>
      <c r="S641" s="201"/>
      <c r="T641" s="202"/>
      <c r="U641" s="246"/>
      <c r="V641" s="246"/>
      <c r="W641" s="246"/>
      <c r="BA641"/>
      <c r="BB641"/>
    </row>
    <row r="642" spans="1:54" s="191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/>
      <c r="S642" s="201"/>
      <c r="T642" s="202"/>
      <c r="U642" s="246"/>
      <c r="V642" s="246"/>
      <c r="W642" s="246"/>
      <c r="BA642"/>
      <c r="BB642"/>
    </row>
    <row r="643" spans="1:54" s="191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/>
      <c r="S643" s="201"/>
      <c r="T643" s="202"/>
      <c r="U643" s="246"/>
      <c r="V643" s="246"/>
      <c r="W643" s="246"/>
      <c r="BA643"/>
      <c r="BB643"/>
    </row>
    <row r="644" spans="1:54" s="191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/>
      <c r="S644" s="201"/>
      <c r="T644" s="202"/>
      <c r="U644" s="246"/>
      <c r="V644" s="246"/>
      <c r="W644" s="246"/>
      <c r="BA644"/>
      <c r="BB644"/>
    </row>
    <row r="645" spans="1:54" s="191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/>
      <c r="S645" s="201"/>
      <c r="T645" s="202"/>
      <c r="U645" s="246"/>
      <c r="V645" s="246"/>
      <c r="W645" s="246"/>
      <c r="BA645"/>
      <c r="BB645"/>
    </row>
    <row r="646" spans="1:54" s="191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/>
      <c r="S646" s="201"/>
      <c r="T646" s="202"/>
      <c r="U646" s="246"/>
      <c r="V646" s="246"/>
      <c r="W646" s="246"/>
      <c r="BA646"/>
      <c r="BB646"/>
    </row>
    <row r="647" spans="1:54" s="191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/>
      <c r="S647" s="201"/>
      <c r="T647" s="202"/>
      <c r="U647" s="246"/>
      <c r="V647" s="246"/>
      <c r="W647" s="246"/>
      <c r="BA647"/>
      <c r="BB647"/>
    </row>
    <row r="648" spans="1:54" s="191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/>
      <c r="S648" s="201"/>
      <c r="T648" s="202"/>
      <c r="U648" s="246"/>
      <c r="V648" s="246"/>
      <c r="W648" s="246"/>
      <c r="BA648"/>
      <c r="BB648"/>
    </row>
    <row r="649" spans="1:54" s="191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/>
      <c r="S649" s="201"/>
      <c r="T649" s="202"/>
      <c r="U649" s="246"/>
      <c r="V649" s="246"/>
      <c r="W649" s="246"/>
      <c r="BA649"/>
      <c r="BB649"/>
    </row>
    <row r="650" spans="1:54" s="191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/>
      <c r="S650" s="201"/>
      <c r="T650" s="202"/>
      <c r="U650" s="246"/>
      <c r="V650" s="246"/>
      <c r="W650" s="246"/>
      <c r="BA650"/>
      <c r="BB650"/>
    </row>
    <row r="651" spans="1:54" s="191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/>
      <c r="S651" s="201"/>
      <c r="T651" s="202"/>
      <c r="U651" s="246"/>
      <c r="V651" s="246"/>
      <c r="W651" s="246"/>
      <c r="BA651"/>
      <c r="BB651"/>
    </row>
    <row r="652" spans="1:54" s="191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/>
      <c r="S652" s="201"/>
      <c r="T652" s="202"/>
      <c r="U652" s="246"/>
      <c r="V652" s="246"/>
      <c r="W652" s="246"/>
      <c r="BA652"/>
      <c r="BB652"/>
    </row>
    <row r="653" spans="1:54" s="191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/>
      <c r="S653" s="201"/>
      <c r="T653" s="202"/>
      <c r="U653" s="246"/>
      <c r="V653" s="246"/>
      <c r="W653" s="246"/>
      <c r="BA653"/>
      <c r="BB653"/>
    </row>
    <row r="654" spans="1:54" s="191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/>
      <c r="S654" s="201"/>
      <c r="T654" s="202"/>
      <c r="U654" s="246"/>
      <c r="V654" s="246"/>
      <c r="W654" s="246"/>
      <c r="BA654"/>
      <c r="BB654"/>
    </row>
    <row r="655" spans="1:54" s="191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/>
      <c r="S655" s="201"/>
      <c r="T655" s="202"/>
      <c r="U655" s="246"/>
      <c r="V655" s="246"/>
      <c r="W655" s="246"/>
      <c r="BA655"/>
      <c r="BB655"/>
    </row>
    <row r="656" spans="1:54" s="191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/>
      <c r="S656" s="201"/>
      <c r="T656" s="202"/>
      <c r="U656" s="246"/>
      <c r="V656" s="246"/>
      <c r="W656" s="246"/>
      <c r="BA656"/>
      <c r="BB656"/>
    </row>
    <row r="657" spans="1:54" s="191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/>
      <c r="S657" s="201"/>
      <c r="T657" s="202"/>
      <c r="U657" s="246"/>
      <c r="V657" s="246"/>
      <c r="W657" s="246"/>
      <c r="BA657"/>
      <c r="BB657"/>
    </row>
    <row r="658" spans="1:54" s="191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/>
      <c r="S658" s="201"/>
      <c r="T658" s="202"/>
      <c r="U658" s="246"/>
      <c r="V658" s="246"/>
      <c r="W658" s="246"/>
      <c r="BA658"/>
      <c r="BB658"/>
    </row>
    <row r="659" spans="1:54" s="191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/>
      <c r="S659" s="201"/>
      <c r="T659" s="202"/>
      <c r="U659" s="246"/>
      <c r="V659" s="246"/>
      <c r="W659" s="246"/>
      <c r="BA659"/>
      <c r="BB659"/>
    </row>
    <row r="660" spans="1:54" s="191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/>
      <c r="S660" s="201"/>
      <c r="T660" s="202"/>
      <c r="U660" s="246"/>
      <c r="V660" s="246"/>
      <c r="W660" s="246"/>
      <c r="BA660"/>
      <c r="BB660"/>
    </row>
    <row r="661" spans="1:54" s="191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/>
      <c r="S661" s="201"/>
      <c r="T661" s="202"/>
      <c r="U661" s="246"/>
      <c r="V661" s="246"/>
      <c r="W661" s="246"/>
      <c r="BA661"/>
      <c r="BB661"/>
    </row>
    <row r="662" spans="1:54" s="191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/>
      <c r="S662" s="201"/>
      <c r="T662" s="202"/>
      <c r="U662" s="246"/>
      <c r="V662" s="246"/>
      <c r="W662" s="246"/>
      <c r="BA662"/>
      <c r="BB662"/>
    </row>
    <row r="663" spans="1:54" s="191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/>
      <c r="S663" s="201"/>
      <c r="T663" s="202"/>
      <c r="U663" s="246"/>
      <c r="V663" s="246"/>
      <c r="W663" s="246"/>
      <c r="BA663"/>
      <c r="BB663"/>
    </row>
    <row r="664" spans="1:54" s="191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/>
      <c r="S664" s="201"/>
      <c r="T664" s="202"/>
      <c r="U664" s="246"/>
      <c r="V664" s="246"/>
      <c r="W664" s="246"/>
      <c r="BA664"/>
      <c r="BB664"/>
    </row>
    <row r="665" spans="1:54" s="191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/>
      <c r="S665" s="201"/>
      <c r="T665" s="202"/>
      <c r="U665" s="246"/>
      <c r="V665" s="246"/>
      <c r="W665" s="246"/>
      <c r="BA665"/>
      <c r="BB665"/>
    </row>
    <row r="666" spans="1:54" s="191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/>
      <c r="S666" s="201"/>
      <c r="T666" s="202"/>
      <c r="U666" s="246"/>
      <c r="V666" s="246"/>
      <c r="W666" s="246"/>
      <c r="BA666"/>
      <c r="BB666"/>
    </row>
    <row r="667" spans="1:54" s="191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/>
      <c r="S667" s="201"/>
      <c r="T667" s="202"/>
      <c r="U667" s="246"/>
      <c r="V667" s="246"/>
      <c r="W667" s="246"/>
      <c r="BA667"/>
      <c r="BB667"/>
    </row>
    <row r="668" spans="1:54" s="191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/>
      <c r="S668" s="201"/>
      <c r="T668" s="202"/>
      <c r="U668" s="246"/>
      <c r="V668" s="246"/>
      <c r="W668" s="246"/>
      <c r="BA668"/>
      <c r="BB668"/>
    </row>
    <row r="669" spans="1:54" s="191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/>
      <c r="S669" s="201"/>
      <c r="T669" s="202"/>
      <c r="U669" s="246"/>
      <c r="V669" s="246"/>
      <c r="W669" s="246"/>
      <c r="BA669"/>
      <c r="BB669"/>
    </row>
    <row r="670" spans="1:54" s="191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/>
      <c r="S670" s="201"/>
      <c r="T670" s="202"/>
      <c r="U670" s="246"/>
      <c r="V670" s="246"/>
      <c r="W670" s="246"/>
      <c r="BA670"/>
      <c r="BB670"/>
    </row>
    <row r="671" spans="1:54" s="191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/>
      <c r="S671" s="201"/>
      <c r="T671" s="202"/>
      <c r="U671" s="246"/>
      <c r="V671" s="246"/>
      <c r="W671" s="246"/>
      <c r="BA671"/>
      <c r="BB671"/>
    </row>
    <row r="672" spans="1:54" s="191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/>
      <c r="S672" s="201"/>
      <c r="T672" s="202"/>
      <c r="U672" s="246"/>
      <c r="V672" s="246"/>
      <c r="W672" s="246"/>
      <c r="BA672"/>
      <c r="BB672"/>
    </row>
    <row r="673" spans="1:54" s="191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/>
      <c r="S673" s="201"/>
      <c r="T673" s="202"/>
      <c r="U673" s="246"/>
      <c r="V673" s="246"/>
      <c r="W673" s="246"/>
      <c r="BA673"/>
      <c r="BB673"/>
    </row>
    <row r="674" spans="1:54" s="191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/>
      <c r="S674" s="201"/>
      <c r="T674" s="202"/>
      <c r="U674" s="246"/>
      <c r="V674" s="246"/>
      <c r="W674" s="246"/>
      <c r="BA674"/>
      <c r="BB674"/>
    </row>
    <row r="675" spans="1:54" s="191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/>
      <c r="S675" s="201"/>
      <c r="T675" s="202"/>
      <c r="U675" s="246"/>
      <c r="V675" s="246"/>
      <c r="W675" s="246"/>
      <c r="BA675"/>
      <c r="BB675"/>
    </row>
    <row r="676" spans="1:54" s="191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/>
      <c r="S676" s="201"/>
      <c r="T676" s="202"/>
      <c r="U676" s="246"/>
      <c r="V676" s="246"/>
      <c r="W676" s="246"/>
      <c r="BA676"/>
      <c r="BB676"/>
    </row>
    <row r="677" spans="1:54" s="191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/>
      <c r="S677" s="201"/>
      <c r="T677" s="202"/>
      <c r="U677" s="246"/>
      <c r="V677" s="246"/>
      <c r="W677" s="246"/>
      <c r="BA677"/>
      <c r="BB677"/>
    </row>
    <row r="678" spans="1:54" s="191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/>
      <c r="S678" s="201"/>
      <c r="T678" s="202"/>
      <c r="U678" s="246"/>
      <c r="V678" s="246"/>
      <c r="W678" s="246"/>
      <c r="BA678"/>
      <c r="BB678"/>
    </row>
    <row r="679" spans="1:54" s="191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/>
      <c r="S679" s="201"/>
      <c r="T679" s="202"/>
      <c r="U679" s="246"/>
      <c r="V679" s="246"/>
      <c r="W679" s="246"/>
      <c r="BA679"/>
      <c r="BB679"/>
    </row>
    <row r="680" spans="1:54" s="191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/>
      <c r="S680" s="201"/>
      <c r="T680" s="202"/>
      <c r="U680" s="246"/>
      <c r="V680" s="246"/>
      <c r="W680" s="246"/>
      <c r="BA680"/>
      <c r="BB680"/>
    </row>
    <row r="681" spans="1:54" s="191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/>
      <c r="S681" s="201"/>
      <c r="T681" s="202"/>
      <c r="U681" s="246"/>
      <c r="V681" s="246"/>
      <c r="W681" s="246"/>
      <c r="BA681"/>
      <c r="BB681"/>
    </row>
    <row r="682" spans="1:54" s="191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/>
      <c r="S682" s="201"/>
      <c r="T682" s="202"/>
      <c r="U682" s="246"/>
      <c r="V682" s="246"/>
      <c r="W682" s="246"/>
      <c r="BA682"/>
      <c r="BB682"/>
    </row>
    <row r="683" spans="1:54" s="191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/>
      <c r="S683" s="201"/>
      <c r="T683" s="202"/>
      <c r="U683" s="246"/>
      <c r="V683" s="246"/>
      <c r="W683" s="246"/>
      <c r="BA683"/>
      <c r="BB683"/>
    </row>
    <row r="684" spans="1:54" s="191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/>
      <c r="S684" s="201"/>
      <c r="T684" s="202"/>
      <c r="U684" s="246"/>
      <c r="V684" s="246"/>
      <c r="W684" s="246"/>
      <c r="BA684"/>
      <c r="BB684"/>
    </row>
    <row r="685" spans="1:54" s="191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/>
      <c r="S685" s="201"/>
      <c r="T685" s="202"/>
      <c r="U685" s="246"/>
      <c r="V685" s="246"/>
      <c r="W685" s="246"/>
      <c r="BA685"/>
      <c r="BB685"/>
    </row>
    <row r="686" spans="1:54" s="191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/>
      <c r="S686" s="201"/>
      <c r="T686" s="202"/>
      <c r="U686" s="246"/>
      <c r="V686" s="246"/>
      <c r="W686" s="246"/>
      <c r="BA686"/>
      <c r="BB686"/>
    </row>
    <row r="687" spans="1:54" s="191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/>
      <c r="S687" s="201"/>
      <c r="T687" s="202"/>
      <c r="U687" s="246"/>
      <c r="V687" s="246"/>
      <c r="W687" s="246"/>
      <c r="BA687"/>
      <c r="BB687"/>
    </row>
    <row r="688" spans="1:54" s="191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/>
      <c r="S688" s="201"/>
      <c r="T688" s="202"/>
      <c r="U688" s="246"/>
      <c r="V688" s="246"/>
      <c r="W688" s="246"/>
      <c r="BA688"/>
      <c r="BB688"/>
    </row>
    <row r="689" spans="1:54" s="191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/>
      <c r="S689" s="201"/>
      <c r="T689" s="202"/>
      <c r="U689" s="246"/>
      <c r="V689" s="246"/>
      <c r="W689" s="246"/>
      <c r="BA689"/>
      <c r="BB689"/>
    </row>
    <row r="690" spans="1:54" s="191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/>
      <c r="S690" s="201"/>
      <c r="T690" s="202"/>
      <c r="U690" s="246"/>
      <c r="V690" s="246"/>
      <c r="W690" s="246"/>
      <c r="BA690"/>
      <c r="BB690"/>
    </row>
    <row r="691" spans="1:54" s="191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/>
      <c r="S691" s="201"/>
      <c r="T691" s="202"/>
      <c r="U691" s="246"/>
      <c r="V691" s="246"/>
      <c r="W691" s="246"/>
      <c r="BA691"/>
      <c r="BB691"/>
    </row>
    <row r="692" spans="1:54" s="191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/>
      <c r="S692" s="201"/>
      <c r="T692" s="202"/>
      <c r="U692" s="246"/>
      <c r="V692" s="246"/>
      <c r="W692" s="246"/>
      <c r="BA692"/>
      <c r="BB692"/>
    </row>
    <row r="693" spans="1:54" s="191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/>
      <c r="S693" s="201"/>
      <c r="T693" s="202"/>
      <c r="U693" s="246"/>
      <c r="V693" s="246"/>
      <c r="W693" s="246"/>
      <c r="BA693"/>
      <c r="BB693"/>
    </row>
    <row r="694" spans="1:54" s="191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/>
      <c r="S694" s="201"/>
      <c r="T694" s="202"/>
      <c r="U694" s="246"/>
      <c r="V694" s="246"/>
      <c r="W694" s="246"/>
      <c r="BA694"/>
      <c r="BB694"/>
    </row>
    <row r="695" spans="1:54" s="191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/>
      <c r="S695" s="201"/>
      <c r="T695" s="202"/>
      <c r="U695" s="246"/>
      <c r="V695" s="246"/>
      <c r="W695" s="246"/>
      <c r="BA695"/>
      <c r="BB695"/>
    </row>
    <row r="696" spans="1:54" s="191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/>
      <c r="S696" s="201"/>
      <c r="T696" s="202"/>
      <c r="U696" s="246"/>
      <c r="V696" s="246"/>
      <c r="W696" s="246"/>
      <c r="BA696"/>
      <c r="BB696"/>
    </row>
    <row r="697" spans="1:54" s="191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/>
      <c r="S697" s="201"/>
      <c r="T697" s="202"/>
      <c r="U697" s="246"/>
      <c r="V697" s="246"/>
      <c r="W697" s="246"/>
      <c r="BA697"/>
      <c r="BB697"/>
    </row>
    <row r="698" spans="1:54" s="191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/>
      <c r="S698" s="201"/>
      <c r="T698" s="202"/>
      <c r="U698" s="246"/>
      <c r="V698" s="246"/>
      <c r="W698" s="246"/>
      <c r="BA698"/>
      <c r="BB698"/>
    </row>
    <row r="699" spans="1:54" s="191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/>
      <c r="S699" s="201"/>
      <c r="T699" s="202"/>
      <c r="U699" s="246"/>
      <c r="V699" s="246"/>
      <c r="W699" s="246"/>
      <c r="BA699"/>
      <c r="BB699"/>
    </row>
    <row r="700" spans="1:54" s="191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/>
      <c r="S700" s="201"/>
      <c r="T700" s="202"/>
      <c r="U700" s="246"/>
      <c r="V700" s="246"/>
      <c r="W700" s="246"/>
      <c r="BA700"/>
      <c r="BB700"/>
    </row>
    <row r="701" spans="1:54" s="191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/>
      <c r="S701" s="201"/>
      <c r="T701" s="202"/>
      <c r="U701" s="246"/>
      <c r="V701" s="246"/>
      <c r="W701" s="246"/>
      <c r="BA701"/>
      <c r="BB701"/>
    </row>
    <row r="702" spans="1:54" s="191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/>
      <c r="S702" s="201"/>
      <c r="T702" s="202"/>
      <c r="U702" s="246"/>
      <c r="V702" s="246"/>
      <c r="W702" s="246"/>
      <c r="BA702"/>
      <c r="BB702"/>
    </row>
    <row r="703" spans="1:54" s="191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/>
      <c r="S703" s="201"/>
      <c r="T703" s="202"/>
      <c r="U703" s="246"/>
      <c r="V703" s="246"/>
      <c r="W703" s="246"/>
      <c r="BA703"/>
      <c r="BB703"/>
    </row>
    <row r="704" spans="1:54" s="191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/>
      <c r="S704" s="201"/>
      <c r="T704" s="202"/>
      <c r="U704" s="246"/>
      <c r="V704" s="246"/>
      <c r="W704" s="246"/>
      <c r="BA704"/>
      <c r="BB704"/>
    </row>
    <row r="705" spans="1:54" s="191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/>
      <c r="S705" s="201"/>
      <c r="T705" s="202"/>
      <c r="U705" s="246"/>
      <c r="V705" s="246"/>
      <c r="W705" s="246"/>
      <c r="BA705"/>
      <c r="BB705"/>
    </row>
    <row r="706" spans="1:54" s="191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/>
      <c r="S706" s="201"/>
      <c r="T706" s="202"/>
      <c r="U706" s="246"/>
      <c r="V706" s="246"/>
      <c r="W706" s="246"/>
      <c r="BA706"/>
      <c r="BB706"/>
    </row>
    <row r="707" spans="1:54" s="191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/>
      <c r="S707" s="201"/>
      <c r="T707" s="202"/>
      <c r="U707" s="246"/>
      <c r="V707" s="246"/>
      <c r="W707" s="246"/>
      <c r="BA707"/>
      <c r="BB707"/>
    </row>
    <row r="708" spans="1:54" s="191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/>
      <c r="S708" s="201"/>
      <c r="T708" s="202"/>
      <c r="U708" s="246"/>
      <c r="V708" s="246"/>
      <c r="W708" s="246"/>
      <c r="BA708"/>
      <c r="BB708"/>
    </row>
    <row r="709" spans="1:54" s="191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/>
      <c r="S709" s="201"/>
      <c r="T709" s="202"/>
      <c r="U709" s="246"/>
      <c r="V709" s="246"/>
      <c r="W709" s="246"/>
      <c r="BA709"/>
      <c r="BB709"/>
    </row>
    <row r="710" spans="1:54" s="191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/>
      <c r="S710" s="201"/>
      <c r="T710" s="202"/>
      <c r="U710" s="246"/>
      <c r="V710" s="246"/>
      <c r="W710" s="246"/>
      <c r="BA710"/>
      <c r="BB710"/>
    </row>
    <row r="711" spans="1:54" s="191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/>
      <c r="S711" s="201"/>
      <c r="T711" s="202"/>
      <c r="U711" s="246"/>
      <c r="V711" s="246"/>
      <c r="W711" s="246"/>
      <c r="BA711"/>
      <c r="BB711"/>
    </row>
    <row r="712" spans="1:54" s="191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/>
      <c r="S712" s="201"/>
      <c r="T712" s="202"/>
      <c r="U712" s="246"/>
      <c r="V712" s="246"/>
      <c r="W712" s="246"/>
      <c r="BA712"/>
      <c r="BB712"/>
    </row>
    <row r="713" spans="1:54" s="191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/>
      <c r="S713" s="201"/>
      <c r="T713" s="202"/>
      <c r="U713" s="246"/>
      <c r="V713" s="246"/>
      <c r="W713" s="246"/>
      <c r="BA713"/>
      <c r="BB713"/>
    </row>
    <row r="714" spans="1:54" s="191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/>
      <c r="S714" s="201"/>
      <c r="T714" s="202"/>
      <c r="U714" s="246"/>
      <c r="V714" s="246"/>
      <c r="W714" s="246"/>
      <c r="BA714"/>
      <c r="BB714"/>
    </row>
    <row r="715" spans="1:54" s="191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/>
      <c r="S715" s="201"/>
      <c r="T715" s="202"/>
      <c r="U715" s="246"/>
      <c r="V715" s="246"/>
      <c r="W715" s="246"/>
      <c r="BA715"/>
      <c r="BB715"/>
    </row>
    <row r="716" spans="1:54" s="191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/>
      <c r="S716" s="201"/>
      <c r="T716" s="202"/>
      <c r="U716" s="246"/>
      <c r="V716" s="246"/>
      <c r="W716" s="246"/>
      <c r="BA716"/>
      <c r="BB716"/>
    </row>
    <row r="717" spans="1:54" s="191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/>
      <c r="S717" s="201"/>
      <c r="T717" s="202"/>
      <c r="U717" s="246"/>
      <c r="V717" s="246"/>
      <c r="W717" s="246"/>
      <c r="BA717"/>
      <c r="BB717"/>
    </row>
    <row r="718" spans="1:54" s="191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/>
      <c r="S718" s="201"/>
      <c r="T718" s="202"/>
      <c r="U718" s="246"/>
      <c r="V718" s="246"/>
      <c r="W718" s="246"/>
      <c r="BA718"/>
      <c r="BB718"/>
    </row>
    <row r="719" spans="1:54" s="191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/>
      <c r="S719" s="201"/>
      <c r="T719" s="202"/>
      <c r="U719" s="246"/>
      <c r="V719" s="246"/>
      <c r="W719" s="246"/>
      <c r="BA719"/>
      <c r="BB719"/>
    </row>
    <row r="720" spans="1:54" s="191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/>
      <c r="S720" s="201"/>
      <c r="T720" s="202"/>
      <c r="U720" s="246"/>
      <c r="V720" s="246"/>
      <c r="W720" s="246"/>
      <c r="BA720"/>
      <c r="BB720"/>
    </row>
    <row r="721" spans="1:54" s="191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/>
      <c r="S721" s="201"/>
      <c r="T721" s="202"/>
      <c r="U721" s="246"/>
      <c r="V721" s="246"/>
      <c r="W721" s="246"/>
      <c r="BA721"/>
      <c r="BB721"/>
    </row>
    <row r="722" spans="1:54" s="191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/>
      <c r="S722" s="201"/>
      <c r="T722" s="202"/>
      <c r="U722" s="246"/>
      <c r="V722" s="246"/>
      <c r="W722" s="246"/>
      <c r="BA722"/>
      <c r="BB722"/>
    </row>
    <row r="723" spans="1:54" s="191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/>
      <c r="S723" s="201"/>
      <c r="T723" s="202"/>
      <c r="U723" s="246"/>
      <c r="V723" s="246"/>
      <c r="W723" s="246"/>
      <c r="BA723"/>
      <c r="BB723"/>
    </row>
    <row r="724" spans="1:54" s="191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/>
      <c r="S724" s="201"/>
      <c r="T724" s="202"/>
      <c r="U724" s="246"/>
      <c r="V724" s="246"/>
      <c r="W724" s="246"/>
      <c r="BA724"/>
      <c r="BB724"/>
    </row>
    <row r="725" spans="1:54" s="191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/>
      <c r="S725" s="201"/>
      <c r="T725" s="202"/>
      <c r="U725" s="246"/>
      <c r="V725" s="246"/>
      <c r="W725" s="246"/>
      <c r="BA725"/>
      <c r="BB725"/>
    </row>
    <row r="726" spans="1:54" s="191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/>
      <c r="S726" s="201"/>
      <c r="T726" s="202"/>
      <c r="U726" s="246"/>
      <c r="V726" s="246"/>
      <c r="W726" s="246"/>
      <c r="BA726"/>
      <c r="BB726"/>
    </row>
    <row r="727" spans="1:54" s="191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/>
      <c r="S727" s="201"/>
      <c r="T727" s="202"/>
      <c r="U727" s="246"/>
      <c r="V727" s="246"/>
      <c r="W727" s="246"/>
      <c r="BA727"/>
      <c r="BB727"/>
    </row>
    <row r="728" spans="1:54" s="191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/>
      <c r="S728" s="201"/>
      <c r="T728" s="202"/>
      <c r="U728" s="246"/>
      <c r="V728" s="246"/>
      <c r="W728" s="246"/>
      <c r="BA728"/>
      <c r="BB728"/>
    </row>
    <row r="729" spans="1:54" s="191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/>
      <c r="S729" s="201"/>
      <c r="T729" s="202"/>
      <c r="U729" s="246"/>
      <c r="V729" s="246"/>
      <c r="W729" s="246"/>
      <c r="BA729"/>
      <c r="BB729"/>
    </row>
    <row r="730" spans="1:54" s="191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/>
      <c r="S730" s="201"/>
      <c r="T730" s="202"/>
      <c r="U730" s="246"/>
      <c r="V730" s="246"/>
      <c r="W730" s="246"/>
      <c r="BA730"/>
      <c r="BB730"/>
    </row>
    <row r="731" spans="1:54" s="191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/>
      <c r="S731" s="201"/>
      <c r="T731" s="202"/>
      <c r="U731" s="246"/>
      <c r="V731" s="246"/>
      <c r="W731" s="246"/>
      <c r="BA731"/>
      <c r="BB731"/>
    </row>
    <row r="732" spans="1:54" s="191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/>
      <c r="S732" s="201"/>
      <c r="T732" s="202"/>
      <c r="U732" s="246"/>
      <c r="V732" s="246"/>
      <c r="W732" s="246"/>
      <c r="BA732"/>
      <c r="BB732"/>
    </row>
    <row r="733" spans="1:54" s="191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/>
      <c r="S733" s="201"/>
      <c r="T733" s="202"/>
      <c r="U733" s="246"/>
      <c r="V733" s="246"/>
      <c r="W733" s="246"/>
      <c r="BA733"/>
      <c r="BB733"/>
    </row>
    <row r="734" spans="1:54" s="191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/>
      <c r="S734" s="201"/>
      <c r="T734" s="202"/>
      <c r="U734" s="246"/>
      <c r="V734" s="246"/>
      <c r="W734" s="246"/>
      <c r="BA734"/>
      <c r="BB734"/>
    </row>
    <row r="735" spans="1:54" s="191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/>
      <c r="S735" s="201"/>
      <c r="T735" s="202"/>
      <c r="U735" s="246"/>
      <c r="V735" s="246"/>
      <c r="W735" s="246"/>
      <c r="BA735"/>
      <c r="BB735"/>
    </row>
    <row r="736" spans="1:54" s="191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/>
      <c r="S736" s="201"/>
      <c r="T736" s="202"/>
      <c r="U736" s="246"/>
      <c r="V736" s="246"/>
      <c r="W736" s="246"/>
      <c r="BA736"/>
      <c r="BB736"/>
    </row>
    <row r="737" spans="1:54" s="191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/>
      <c r="S737" s="201"/>
      <c r="T737" s="202"/>
      <c r="U737" s="246"/>
      <c r="V737" s="246"/>
      <c r="W737" s="246"/>
      <c r="BA737"/>
      <c r="BB737"/>
    </row>
    <row r="738" spans="1:54" s="191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/>
      <c r="S738" s="201"/>
      <c r="T738" s="202"/>
      <c r="U738" s="246"/>
      <c r="V738" s="246"/>
      <c r="W738" s="246"/>
      <c r="BA738"/>
      <c r="BB738"/>
    </row>
    <row r="739" spans="1:54" s="191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/>
      <c r="S739" s="201"/>
      <c r="T739" s="202"/>
      <c r="U739" s="246"/>
      <c r="V739" s="246"/>
      <c r="W739" s="246"/>
      <c r="BA739"/>
      <c r="BB739"/>
    </row>
    <row r="740" spans="1:54" s="191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/>
      <c r="S740" s="201"/>
      <c r="T740" s="202"/>
      <c r="U740" s="246"/>
      <c r="V740" s="246"/>
      <c r="W740" s="246"/>
      <c r="BA740"/>
      <c r="BB740"/>
    </row>
    <row r="741" spans="1:54" s="191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/>
      <c r="S741" s="201"/>
      <c r="T741" s="202"/>
      <c r="U741" s="246"/>
      <c r="V741" s="246"/>
      <c r="W741" s="246"/>
      <c r="BA741"/>
      <c r="BB741"/>
    </row>
    <row r="742" spans="1:54" s="191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/>
      <c r="S742" s="201"/>
      <c r="T742" s="202"/>
      <c r="U742" s="246"/>
      <c r="V742" s="246"/>
      <c r="W742" s="246"/>
      <c r="BA742"/>
      <c r="BB742"/>
    </row>
    <row r="743" spans="1:54" s="191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/>
      <c r="S743" s="201"/>
      <c r="T743" s="202"/>
      <c r="U743" s="246"/>
      <c r="V743" s="246"/>
      <c r="W743" s="246"/>
      <c r="BA743"/>
      <c r="BB743"/>
    </row>
    <row r="744" spans="1:54" s="191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/>
      <c r="S744" s="201"/>
      <c r="T744" s="202"/>
      <c r="U744" s="246"/>
      <c r="V744" s="246"/>
      <c r="W744" s="246"/>
      <c r="BA744"/>
      <c r="BB744"/>
    </row>
    <row r="745" spans="1:54" s="191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/>
      <c r="S745" s="201"/>
      <c r="T745" s="202"/>
      <c r="U745" s="246"/>
      <c r="V745" s="246"/>
      <c r="W745" s="246"/>
      <c r="BA745"/>
      <c r="BB745"/>
    </row>
    <row r="746" spans="1:54" s="191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/>
      <c r="S746" s="201"/>
      <c r="T746" s="202"/>
      <c r="U746" s="246"/>
      <c r="V746" s="246"/>
      <c r="W746" s="246"/>
      <c r="BA746"/>
      <c r="BB746"/>
    </row>
    <row r="747" spans="1:54" s="191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/>
      <c r="S747" s="201"/>
      <c r="T747" s="202"/>
      <c r="U747" s="246"/>
      <c r="V747" s="246"/>
      <c r="W747" s="246"/>
      <c r="BA747"/>
      <c r="BB747"/>
    </row>
    <row r="748" spans="1:54" s="191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/>
      <c r="S748" s="201"/>
      <c r="T748" s="202"/>
      <c r="U748" s="246"/>
      <c r="V748" s="246"/>
      <c r="W748" s="246"/>
      <c r="BA748"/>
      <c r="BB748"/>
    </row>
    <row r="749" spans="1:54" s="191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/>
      <c r="S749" s="201"/>
      <c r="T749" s="202"/>
      <c r="U749" s="246"/>
      <c r="V749" s="246"/>
      <c r="W749" s="246"/>
      <c r="BA749"/>
      <c r="BB749"/>
    </row>
    <row r="750" spans="1:54" s="191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/>
      <c r="S750" s="201"/>
      <c r="T750" s="202"/>
      <c r="U750" s="246"/>
      <c r="V750" s="246"/>
      <c r="W750" s="246"/>
      <c r="BA750"/>
      <c r="BB750"/>
    </row>
    <row r="751" spans="1:54" s="191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/>
      <c r="S751" s="201"/>
      <c r="T751" s="202"/>
      <c r="U751" s="246"/>
      <c r="V751" s="246"/>
      <c r="W751" s="246"/>
      <c r="BA751"/>
      <c r="BB751"/>
    </row>
    <row r="752" spans="1:54" s="191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/>
      <c r="S752" s="201"/>
      <c r="T752" s="202"/>
      <c r="U752" s="246"/>
      <c r="V752" s="246"/>
      <c r="W752" s="246"/>
      <c r="BA752"/>
      <c r="BB752"/>
    </row>
    <row r="753" spans="1:54" s="191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/>
      <c r="S753" s="201"/>
      <c r="T753" s="202"/>
      <c r="U753" s="246"/>
      <c r="V753" s="246"/>
      <c r="W753" s="246"/>
      <c r="BA753"/>
      <c r="BB753"/>
    </row>
    <row r="754" spans="1:54" s="191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/>
      <c r="S754" s="201"/>
      <c r="T754" s="202"/>
      <c r="U754" s="246"/>
      <c r="V754" s="246"/>
      <c r="W754" s="246"/>
      <c r="BA754"/>
      <c r="BB754"/>
    </row>
    <row r="755" spans="1:54" s="191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/>
      <c r="S755" s="201"/>
      <c r="T755" s="202"/>
      <c r="U755" s="246"/>
      <c r="V755" s="246"/>
      <c r="W755" s="246"/>
      <c r="BA755"/>
      <c r="BB755"/>
    </row>
    <row r="756" spans="1:54" s="191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/>
      <c r="S756" s="201"/>
      <c r="T756" s="202"/>
      <c r="U756" s="246"/>
      <c r="V756" s="246"/>
      <c r="W756" s="246"/>
      <c r="BA756"/>
      <c r="BB756"/>
    </row>
    <row r="757" spans="1:54" s="191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/>
      <c r="S757" s="201"/>
      <c r="T757" s="202"/>
      <c r="U757" s="246"/>
      <c r="V757" s="246"/>
      <c r="W757" s="246"/>
      <c r="BA757"/>
      <c r="BB757"/>
    </row>
    <row r="758" spans="1:54" s="191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/>
      <c r="S758" s="201"/>
      <c r="T758" s="202"/>
      <c r="U758" s="246"/>
      <c r="V758" s="246"/>
      <c r="W758" s="246"/>
      <c r="BA758"/>
      <c r="BB758"/>
    </row>
    <row r="759" spans="1:54" s="191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/>
      <c r="S759" s="201"/>
      <c r="T759" s="202"/>
      <c r="U759" s="246"/>
      <c r="V759" s="246"/>
      <c r="W759" s="246"/>
      <c r="BA759"/>
      <c r="BB759"/>
    </row>
    <row r="760" spans="1:54" s="191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/>
      <c r="S760" s="201"/>
      <c r="T760" s="202"/>
      <c r="U760" s="246"/>
      <c r="V760" s="246"/>
      <c r="W760" s="246"/>
      <c r="BA760"/>
      <c r="BB760"/>
    </row>
    <row r="761" spans="1:54" s="191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/>
      <c r="S761" s="201"/>
      <c r="T761" s="202"/>
      <c r="U761" s="246"/>
      <c r="V761" s="246"/>
      <c r="W761" s="246"/>
      <c r="BA761"/>
      <c r="BB761"/>
    </row>
    <row r="762" spans="1:54" s="191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/>
      <c r="S762" s="201"/>
      <c r="T762" s="202"/>
      <c r="U762" s="246"/>
      <c r="V762" s="246"/>
      <c r="W762" s="246"/>
      <c r="BA762"/>
      <c r="BB762"/>
    </row>
    <row r="763" spans="1:54" s="191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/>
      <c r="S763" s="201"/>
      <c r="T763" s="202"/>
      <c r="U763" s="246"/>
      <c r="V763" s="246"/>
      <c r="W763" s="246"/>
      <c r="BA763"/>
      <c r="BB763"/>
    </row>
    <row r="764" spans="1:54" s="191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/>
      <c r="S764" s="201"/>
      <c r="T764" s="202"/>
      <c r="U764" s="246"/>
      <c r="V764" s="246"/>
      <c r="W764" s="246"/>
      <c r="BA764"/>
      <c r="BB764"/>
    </row>
    <row r="765" spans="1:54" s="191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/>
      <c r="S765" s="201"/>
      <c r="T765" s="202"/>
      <c r="U765" s="246"/>
      <c r="V765" s="246"/>
      <c r="W765" s="246"/>
      <c r="BA765"/>
      <c r="BB765"/>
    </row>
    <row r="766" spans="1:54" s="191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/>
      <c r="S766" s="201"/>
      <c r="T766" s="202"/>
      <c r="U766" s="246"/>
      <c r="V766" s="246"/>
      <c r="W766" s="246"/>
      <c r="BA766"/>
      <c r="BB766"/>
    </row>
    <row r="767" spans="1:54" s="191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/>
      <c r="S767" s="201"/>
      <c r="T767" s="202"/>
      <c r="U767" s="246"/>
      <c r="V767" s="246"/>
      <c r="W767" s="246"/>
      <c r="BA767"/>
      <c r="BB767"/>
    </row>
    <row r="768" spans="1:54" s="191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/>
      <c r="S768" s="201"/>
      <c r="T768" s="202"/>
      <c r="U768" s="246"/>
      <c r="V768" s="246"/>
      <c r="W768" s="246"/>
      <c r="BA768"/>
      <c r="BB768"/>
    </row>
    <row r="769" spans="1:54" s="191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/>
      <c r="S769" s="201"/>
      <c r="T769" s="202"/>
      <c r="U769" s="246"/>
      <c r="V769" s="246"/>
      <c r="W769" s="246"/>
      <c r="BA769"/>
      <c r="BB769"/>
    </row>
    <row r="770" spans="1:54" s="191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/>
      <c r="S770" s="201"/>
      <c r="T770" s="202"/>
      <c r="U770" s="246"/>
      <c r="V770" s="246"/>
      <c r="W770" s="246"/>
      <c r="BA770"/>
      <c r="BB770"/>
    </row>
    <row r="771" spans="1:54" s="191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/>
      <c r="S771" s="201"/>
      <c r="T771" s="202"/>
      <c r="U771" s="246"/>
      <c r="V771" s="246"/>
      <c r="W771" s="246"/>
      <c r="BA771"/>
      <c r="BB771"/>
    </row>
    <row r="772" spans="1:54" s="191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/>
      <c r="S772" s="201"/>
      <c r="T772" s="202"/>
      <c r="U772" s="246"/>
      <c r="V772" s="246"/>
      <c r="W772" s="246"/>
      <c r="BA772"/>
      <c r="BB772"/>
    </row>
    <row r="773" spans="1:54" s="191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/>
      <c r="S773" s="201"/>
      <c r="T773" s="202"/>
      <c r="U773" s="246"/>
      <c r="V773" s="246"/>
      <c r="W773" s="246"/>
      <c r="BA773"/>
      <c r="BB773"/>
    </row>
    <row r="774" spans="1:54" s="191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/>
      <c r="S774" s="201"/>
      <c r="T774" s="202"/>
      <c r="U774" s="246"/>
      <c r="V774" s="246"/>
      <c r="W774" s="246"/>
      <c r="BA774"/>
      <c r="BB774"/>
    </row>
    <row r="775" spans="1:54" s="191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/>
      <c r="S775" s="201"/>
      <c r="T775" s="202"/>
      <c r="U775" s="246"/>
      <c r="V775" s="246"/>
      <c r="W775" s="246"/>
      <c r="BA775"/>
      <c r="BB775"/>
    </row>
    <row r="776" spans="1:54" s="191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/>
      <c r="S776" s="201"/>
      <c r="T776" s="202"/>
      <c r="U776" s="246"/>
      <c r="V776" s="246"/>
      <c r="W776" s="246"/>
      <c r="BA776"/>
      <c r="BB776"/>
    </row>
    <row r="777" spans="1:54" s="191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/>
      <c r="S777" s="201"/>
      <c r="T777" s="202"/>
      <c r="U777" s="246"/>
      <c r="V777" s="246"/>
      <c r="W777" s="246"/>
      <c r="BA777"/>
      <c r="BB777"/>
    </row>
    <row r="778" spans="1:54" s="191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/>
      <c r="S778" s="201"/>
      <c r="T778" s="202"/>
      <c r="U778" s="246"/>
      <c r="V778" s="246"/>
      <c r="W778" s="246"/>
      <c r="BA778"/>
      <c r="BB778"/>
    </row>
    <row r="779" spans="1:54" s="191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/>
      <c r="S779" s="201"/>
      <c r="T779" s="202"/>
      <c r="U779" s="246"/>
      <c r="V779" s="246"/>
      <c r="W779" s="246"/>
      <c r="BA779"/>
      <c r="BB779"/>
    </row>
    <row r="780" spans="1:54" s="191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/>
      <c r="S780" s="201"/>
      <c r="T780" s="202"/>
      <c r="U780" s="246"/>
      <c r="V780" s="246"/>
      <c r="W780" s="246"/>
      <c r="BA780"/>
      <c r="BB780"/>
    </row>
    <row r="781" spans="1:54" s="191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/>
      <c r="S781" s="201"/>
      <c r="T781" s="202"/>
      <c r="U781" s="246"/>
      <c r="V781" s="246"/>
      <c r="W781" s="246"/>
      <c r="BA781"/>
      <c r="BB781"/>
    </row>
    <row r="782" spans="1:54" s="191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/>
      <c r="S782" s="201"/>
      <c r="T782" s="202"/>
      <c r="U782" s="246"/>
      <c r="V782" s="246"/>
      <c r="W782" s="246"/>
      <c r="BA782"/>
      <c r="BB782"/>
    </row>
    <row r="783" spans="1:54" s="191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/>
      <c r="S783" s="201"/>
      <c r="T783" s="202"/>
      <c r="U783" s="246"/>
      <c r="V783" s="246"/>
      <c r="W783" s="246"/>
      <c r="BA783"/>
      <c r="BB783"/>
    </row>
    <row r="784" spans="1:54" s="191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/>
      <c r="S784" s="201"/>
      <c r="T784" s="202"/>
      <c r="U784" s="246"/>
      <c r="V784" s="246"/>
      <c r="W784" s="246"/>
      <c r="BA784"/>
      <c r="BB784"/>
    </row>
    <row r="785" spans="1:54" s="191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/>
      <c r="S785" s="201"/>
      <c r="T785" s="202"/>
      <c r="U785" s="246"/>
      <c r="V785" s="246"/>
      <c r="W785" s="246"/>
      <c r="BA785"/>
      <c r="BB785"/>
    </row>
    <row r="786" spans="1:54" s="191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/>
      <c r="S786" s="201"/>
      <c r="T786" s="202"/>
      <c r="U786" s="246"/>
      <c r="V786" s="246"/>
      <c r="W786" s="246"/>
      <c r="BA786"/>
      <c r="BB786"/>
    </row>
    <row r="787" spans="1:54" s="191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/>
      <c r="S787" s="201"/>
      <c r="T787" s="202"/>
      <c r="U787" s="246"/>
      <c r="V787" s="246"/>
      <c r="W787" s="246"/>
      <c r="BA787"/>
      <c r="BB787"/>
    </row>
    <row r="788" spans="1:54" s="191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/>
      <c r="S788" s="201"/>
      <c r="T788" s="202"/>
      <c r="U788" s="246"/>
      <c r="V788" s="246"/>
      <c r="W788" s="246"/>
      <c r="BA788"/>
      <c r="BB788"/>
    </row>
    <row r="789" spans="1:54" s="191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/>
      <c r="S789" s="201"/>
      <c r="T789" s="202"/>
      <c r="U789" s="246"/>
      <c r="V789" s="246"/>
      <c r="W789" s="246"/>
      <c r="BA789"/>
      <c r="BB789"/>
    </row>
    <row r="790" spans="1:54" s="191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/>
      <c r="S790" s="201"/>
      <c r="T790" s="202"/>
      <c r="U790" s="246"/>
      <c r="V790" s="246"/>
      <c r="W790" s="246"/>
      <c r="BA790"/>
      <c r="BB790"/>
    </row>
    <row r="791" spans="1:54" s="191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/>
      <c r="S791" s="201"/>
      <c r="T791" s="202"/>
      <c r="U791" s="246"/>
      <c r="V791" s="246"/>
      <c r="W791" s="246"/>
      <c r="BA791"/>
      <c r="BB791"/>
    </row>
    <row r="792" spans="1:54" s="191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/>
      <c r="S792" s="201"/>
      <c r="T792" s="202"/>
      <c r="U792" s="246"/>
      <c r="V792" s="246"/>
      <c r="W792" s="246"/>
      <c r="BA792"/>
      <c r="BB792"/>
    </row>
    <row r="793" spans="1:54" s="191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/>
      <c r="S793" s="201"/>
      <c r="T793" s="202"/>
      <c r="U793" s="246"/>
      <c r="V793" s="246"/>
      <c r="W793" s="246"/>
      <c r="BA793"/>
      <c r="BB793"/>
    </row>
    <row r="794" spans="1:54" s="191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/>
      <c r="S794" s="201"/>
      <c r="T794" s="202"/>
      <c r="U794" s="246"/>
      <c r="V794" s="246"/>
      <c r="W794" s="246"/>
      <c r="BA794"/>
      <c r="BB794"/>
    </row>
    <row r="795" spans="1:54" s="191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/>
      <c r="S795" s="201"/>
      <c r="T795" s="202"/>
      <c r="U795" s="246"/>
      <c r="V795" s="246"/>
      <c r="W795" s="246"/>
      <c r="BA795"/>
      <c r="BB795"/>
    </row>
    <row r="796" spans="1:54" s="191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/>
      <c r="S796" s="201"/>
      <c r="T796" s="202"/>
      <c r="U796" s="246"/>
      <c r="V796" s="246"/>
      <c r="W796" s="246"/>
      <c r="BA796"/>
      <c r="BB796"/>
    </row>
    <row r="797" spans="1:54" s="191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/>
      <c r="S797" s="201"/>
      <c r="T797" s="202"/>
      <c r="U797" s="246"/>
      <c r="V797" s="246"/>
      <c r="W797" s="246"/>
      <c r="BA797"/>
      <c r="BB797"/>
    </row>
    <row r="798" spans="1:54" s="191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/>
      <c r="S798" s="201"/>
      <c r="T798" s="202"/>
      <c r="U798" s="246"/>
      <c r="V798" s="246"/>
      <c r="W798" s="246"/>
      <c r="BA798"/>
      <c r="BB798"/>
    </row>
    <row r="799" spans="1:54" s="191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/>
      <c r="S799" s="201"/>
      <c r="T799" s="202"/>
      <c r="U799" s="246"/>
      <c r="V799" s="246"/>
      <c r="W799" s="246"/>
      <c r="BA799"/>
      <c r="BB799"/>
    </row>
    <row r="800" spans="1:54" s="191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  <row r="1001" spans="1:54" s="191" customFormat="1" ht="13.5">
      <c r="A1001" s="182"/>
      <c r="B1001" s="178"/>
      <c r="C1001" s="183" t="str">
        <f>IFERROR(IF(VLOOKUP($B1001,勘定科目!$A:$H,HLOOKUP($E$5,勘定科目!$F$1:$H$2,2,0),0)="","",VLOOKUP($B1001,勘定科目!$A:$E,2,0)),"")</f>
        <v/>
      </c>
      <c r="D1001" s="239" t="str">
        <f>IF(C1001="","",VLOOKUP($B1001,勘定科目!$A:$E,4,0))</f>
        <v/>
      </c>
      <c r="E1001" s="245"/>
      <c r="F1001" s="240"/>
      <c r="G1001" s="241"/>
      <c r="H1001" s="241"/>
      <c r="I1001" s="241"/>
      <c r="J1001" s="241"/>
      <c r="K1001" s="241"/>
      <c r="L1001" s="241"/>
      <c r="M1001" s="241"/>
      <c r="N1001" s="241"/>
      <c r="O1001" s="241"/>
      <c r="P1001" s="241"/>
      <c r="Q1001" s="241"/>
      <c r="R1001" s="200"/>
      <c r="S1001" s="201"/>
      <c r="T1001" s="202"/>
      <c r="U1001" s="246"/>
      <c r="V1001" s="246"/>
      <c r="W1001" s="246"/>
      <c r="BA1001"/>
      <c r="BB1001"/>
    </row>
    <row r="1002" spans="1:54" s="191" customFormat="1" ht="13.5">
      <c r="A1002" s="182"/>
      <c r="B1002" s="178"/>
      <c r="C1002" s="183" t="str">
        <f>IFERROR(IF(VLOOKUP($B1002,勘定科目!$A:$H,HLOOKUP($E$5,勘定科目!$F$1:$H$2,2,0),0)="","",VLOOKUP($B1002,勘定科目!$A:$E,2,0)),"")</f>
        <v/>
      </c>
      <c r="D1002" s="239" t="str">
        <f>IF(C1002="","",VLOOKUP($B1002,勘定科目!$A:$E,4,0))</f>
        <v/>
      </c>
      <c r="E1002" s="245"/>
      <c r="F1002" s="240"/>
      <c r="G1002" s="241"/>
      <c r="H1002" s="241"/>
      <c r="I1002" s="241"/>
      <c r="J1002" s="241"/>
      <c r="K1002" s="241"/>
      <c r="L1002" s="241"/>
      <c r="M1002" s="241"/>
      <c r="N1002" s="241"/>
      <c r="O1002" s="241"/>
      <c r="P1002" s="241"/>
      <c r="Q1002" s="241"/>
      <c r="R1002" s="200"/>
      <c r="S1002" s="201"/>
      <c r="T1002" s="202"/>
      <c r="U1002" s="246"/>
      <c r="V1002" s="246"/>
      <c r="W1002" s="246"/>
      <c r="BA1002"/>
      <c r="BB1002"/>
    </row>
    <row r="1003" spans="1:54" s="191" customFormat="1" ht="13.5">
      <c r="A1003" s="182"/>
      <c r="B1003" s="178"/>
      <c r="C1003" s="183" t="str">
        <f>IFERROR(IF(VLOOKUP($B1003,勘定科目!$A:$H,HLOOKUP($E$5,勘定科目!$F$1:$H$2,2,0),0)="","",VLOOKUP($B1003,勘定科目!$A:$E,2,0)),"")</f>
        <v/>
      </c>
      <c r="D1003" s="239" t="str">
        <f>IF(C1003="","",VLOOKUP($B1003,勘定科目!$A:$E,4,0))</f>
        <v/>
      </c>
      <c r="E1003" s="245"/>
      <c r="F1003" s="240"/>
      <c r="G1003" s="241"/>
      <c r="H1003" s="241"/>
      <c r="I1003" s="241"/>
      <c r="J1003" s="241"/>
      <c r="K1003" s="241"/>
      <c r="L1003" s="241"/>
      <c r="M1003" s="241"/>
      <c r="N1003" s="241"/>
      <c r="O1003" s="241"/>
      <c r="P1003" s="241"/>
      <c r="Q1003" s="241"/>
      <c r="R1003" s="200"/>
      <c r="S1003" s="201"/>
      <c r="T1003" s="202"/>
      <c r="U1003" s="246"/>
      <c r="V1003" s="246"/>
      <c r="W1003" s="246"/>
      <c r="BA1003"/>
      <c r="BB1003"/>
    </row>
    <row r="1004" spans="1:54" s="191" customFormat="1" ht="13.5">
      <c r="A1004" s="182"/>
      <c r="B1004" s="178"/>
      <c r="C1004" s="183" t="str">
        <f>IFERROR(IF(VLOOKUP($B1004,勘定科目!$A:$H,HLOOKUP($E$5,勘定科目!$F$1:$H$2,2,0),0)="","",VLOOKUP($B1004,勘定科目!$A:$E,2,0)),"")</f>
        <v/>
      </c>
      <c r="D1004" s="239" t="str">
        <f>IF(C1004="","",VLOOKUP($B1004,勘定科目!$A:$E,4,0))</f>
        <v/>
      </c>
      <c r="E1004" s="245"/>
      <c r="F1004" s="240"/>
      <c r="G1004" s="241"/>
      <c r="H1004" s="241"/>
      <c r="I1004" s="241"/>
      <c r="J1004" s="241"/>
      <c r="K1004" s="241"/>
      <c r="L1004" s="241"/>
      <c r="M1004" s="241"/>
      <c r="N1004" s="241"/>
      <c r="O1004" s="241"/>
      <c r="P1004" s="241"/>
      <c r="Q1004" s="241"/>
      <c r="R1004" s="200"/>
      <c r="S1004" s="201"/>
      <c r="T1004" s="202"/>
      <c r="U1004" s="246"/>
      <c r="V1004" s="246"/>
      <c r="W1004" s="246"/>
      <c r="BA1004"/>
      <c r="BB1004"/>
    </row>
    <row r="1005" spans="1:54" s="191" customFormat="1" ht="13.5">
      <c r="A1005" s="182"/>
      <c r="B1005" s="178"/>
      <c r="C1005" s="183" t="str">
        <f>IFERROR(IF(VLOOKUP($B1005,勘定科目!$A:$H,HLOOKUP($E$5,勘定科目!$F$1:$H$2,2,0),0)="","",VLOOKUP($B1005,勘定科目!$A:$E,2,0)),"")</f>
        <v/>
      </c>
      <c r="D1005" s="239" t="str">
        <f>IF(C1005="","",VLOOKUP($B1005,勘定科目!$A:$E,4,0))</f>
        <v/>
      </c>
      <c r="E1005" s="245"/>
      <c r="F1005" s="240"/>
      <c r="G1005" s="241"/>
      <c r="H1005" s="241"/>
      <c r="I1005" s="241"/>
      <c r="J1005" s="241"/>
      <c r="K1005" s="241"/>
      <c r="L1005" s="241"/>
      <c r="M1005" s="241"/>
      <c r="N1005" s="241"/>
      <c r="O1005" s="241"/>
      <c r="P1005" s="241"/>
      <c r="Q1005" s="241"/>
      <c r="R1005" s="200"/>
      <c r="S1005" s="201"/>
      <c r="T1005" s="202"/>
      <c r="U1005" s="246"/>
      <c r="V1005" s="246"/>
      <c r="W1005" s="246"/>
      <c r="BA1005"/>
      <c r="BB1005"/>
    </row>
    <row r="1006" spans="1:54" s="191" customFormat="1" ht="13.5">
      <c r="A1006" s="182"/>
      <c r="B1006" s="178"/>
      <c r="C1006" s="183" t="str">
        <f>IFERROR(IF(VLOOKUP($B1006,勘定科目!$A:$H,HLOOKUP($E$5,勘定科目!$F$1:$H$2,2,0),0)="","",VLOOKUP($B1006,勘定科目!$A:$E,2,0)),"")</f>
        <v/>
      </c>
      <c r="D1006" s="239" t="str">
        <f>IF(C1006="","",VLOOKUP($B1006,勘定科目!$A:$E,4,0))</f>
        <v/>
      </c>
      <c r="E1006" s="245"/>
      <c r="F1006" s="240"/>
      <c r="G1006" s="241"/>
      <c r="H1006" s="241"/>
      <c r="I1006" s="241"/>
      <c r="J1006" s="241"/>
      <c r="K1006" s="241"/>
      <c r="L1006" s="241"/>
      <c r="M1006" s="241"/>
      <c r="N1006" s="241"/>
      <c r="O1006" s="241"/>
      <c r="P1006" s="241"/>
      <c r="Q1006" s="241"/>
      <c r="R1006" s="200"/>
      <c r="S1006" s="201"/>
      <c r="T1006" s="202"/>
      <c r="U1006" s="246"/>
      <c r="V1006" s="246"/>
      <c r="W1006" s="246"/>
      <c r="BA1006"/>
      <c r="BB1006"/>
    </row>
  </sheetData>
  <autoFilter ref="A7:T805" xr:uid="{DF469C0A-517C-4883-A945-F04B9383B197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05" xr:uid="{77325825-0E2C-4679-A194-CDBB453AD175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B297-6CE1-4D15-B640-20426A6746B3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工程品質管理2課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7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.25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2E564B4B-45C7-4C14-8EB9-22B9088CDFF6}"/>
  <phoneticPr fontId="3"/>
  <dataValidations count="1">
    <dataValidation type="list" allowBlank="1" showInputMessage="1" showErrorMessage="1" sqref="S4:S49" xr:uid="{52F671B1-AD66-4D37-9719-93ECB5C459BD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E9C7-03EA-42D8-B59D-98539F30958F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8BBDA61B-FABF-45E1-9CCE-EF0419B8281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5750-41CB-4A63-B1CD-9363AD3DFCBA}">
  <sheetPr codeName="Sheet8"/>
  <dimension ref="A1:G58"/>
  <sheetViews>
    <sheetView workbookViewId="0">
      <pane ySplit="1" topLeftCell="A34" activePane="bottomLeft" state="frozen"/>
      <selection pane="bottomLeft" activeCell="A43" sqref="A43"/>
    </sheetView>
  </sheetViews>
  <sheetFormatPr defaultColWidth="9" defaultRowHeight="13.5"/>
  <cols>
    <col min="1" max="1" width="11.625" style="294" bestFit="1" customWidth="1"/>
    <col min="2" max="2" width="19" style="291" bestFit="1" customWidth="1"/>
    <col min="3" max="3" width="3.875" style="292" bestFit="1" customWidth="1"/>
    <col min="4" max="4" width="10.25" style="291" bestFit="1" customWidth="1"/>
    <col min="5" max="5" width="9" style="291"/>
    <col min="6" max="6" width="10.875" style="291" bestFit="1" customWidth="1"/>
    <col min="7" max="7" width="19.5" style="291" bestFit="1" customWidth="1"/>
    <col min="8" max="8" width="9" style="291"/>
    <col min="9" max="9" width="13.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301">
        <v>1412000104</v>
      </c>
      <c r="B43" s="302" t="s">
        <v>583</v>
      </c>
      <c r="C43" s="303" t="s">
        <v>598</v>
      </c>
      <c r="D43" s="304" t="s">
        <v>444</v>
      </c>
      <c r="E43" s="304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642F3A18-20A5-43AC-B9F5-01E464E47FB4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C44E-DC30-4F1E-A59B-3874F90D1974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8"/>
  </cols>
  <sheetData>
    <row r="2" spans="1:2">
      <c r="A2" s="123" t="s">
        <v>674</v>
      </c>
      <c r="B2" s="248" t="s">
        <v>401</v>
      </c>
    </row>
    <row r="3" spans="1:2" ht="15">
      <c r="A3" s="92">
        <v>4</v>
      </c>
      <c r="B3" s="249">
        <v>20</v>
      </c>
    </row>
    <row r="4" spans="1:2" ht="15">
      <c r="A4" s="92">
        <v>5</v>
      </c>
      <c r="B4" s="249">
        <v>19</v>
      </c>
    </row>
    <row r="5" spans="1:2" ht="15">
      <c r="A5" s="92">
        <v>6</v>
      </c>
      <c r="B5" s="249">
        <v>21</v>
      </c>
    </row>
    <row r="6" spans="1:2" ht="15">
      <c r="A6" s="92">
        <v>7</v>
      </c>
      <c r="B6" s="249">
        <v>23</v>
      </c>
    </row>
    <row r="7" spans="1:2" ht="15">
      <c r="A7" s="92">
        <v>8</v>
      </c>
      <c r="B7" s="249">
        <v>20</v>
      </c>
    </row>
    <row r="8" spans="1:2" ht="15">
      <c r="A8" s="92">
        <v>9</v>
      </c>
      <c r="B8" s="249">
        <v>19</v>
      </c>
    </row>
    <row r="9" spans="1:2" ht="15">
      <c r="A9" s="92">
        <v>10</v>
      </c>
      <c r="B9" s="249">
        <v>23</v>
      </c>
    </row>
    <row r="10" spans="1:2" ht="15">
      <c r="A10" s="92">
        <v>11</v>
      </c>
      <c r="B10" s="249">
        <v>20</v>
      </c>
    </row>
    <row r="11" spans="1:2" ht="15">
      <c r="A11" s="92">
        <v>12</v>
      </c>
      <c r="B11" s="249">
        <v>22</v>
      </c>
    </row>
    <row r="12" spans="1:2" ht="15">
      <c r="A12" s="92">
        <v>1</v>
      </c>
      <c r="B12" s="249">
        <v>20</v>
      </c>
    </row>
    <row r="13" spans="1:2" ht="15">
      <c r="A13" s="92">
        <v>2</v>
      </c>
      <c r="B13" s="249">
        <v>15</v>
      </c>
    </row>
    <row r="14" spans="1:2" ht="1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Bùi Thị Nga(Bui Thi Nga)</cp:lastModifiedBy>
  <cp:lastPrinted>2017-10-06T02:39:42Z</cp:lastPrinted>
  <dcterms:created xsi:type="dcterms:W3CDTF">2002-04-10T08:05:47Z</dcterms:created>
  <dcterms:modified xsi:type="dcterms:W3CDTF">2025-07-04T06:45:14Z</dcterms:modified>
</cp:coreProperties>
</file>