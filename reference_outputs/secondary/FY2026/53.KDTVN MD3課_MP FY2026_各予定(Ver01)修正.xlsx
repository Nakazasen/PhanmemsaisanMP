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Profit Managerment\"/>
    </mc:Choice>
  </mc:AlternateContent>
  <xr:revisionPtr revIDLastSave="0" documentId="13_ncr:1_{14C93C4A-9845-41B9-B37F-7D714E8FD136}" xr6:coauthVersionLast="47" xr6:coauthVersionMax="47" xr10:uidLastSave="{00000000-0000-0000-0000-000000000000}"/>
  <bookViews>
    <workbookView xWindow="-120" yWindow="-120" windowWidth="21840" windowHeight="13020" tabRatio="702" activeTab="2" xr2:uid="{55C46D79-E157-4EB4-92FE-D429D8379241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externalReferences>
    <externalReference r:id="rId8"/>
  </externalReferences>
  <definedNames>
    <definedName name="_Fill" hidden="1">#REF!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xlnm._FilterDatabase" localSheetId="2" hidden="1">'内訳ﾘｽﾄ(4～3月)'!$A$7:$T$394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5" i="5" l="1"/>
  <c r="N65" i="5"/>
  <c r="M65" i="5"/>
  <c r="L65" i="5"/>
  <c r="K65" i="5"/>
  <c r="J65" i="5"/>
  <c r="I65" i="5"/>
  <c r="H65" i="5"/>
  <c r="G65" i="5"/>
  <c r="F65" i="5"/>
  <c r="E65" i="5"/>
  <c r="D65" i="5"/>
  <c r="C65" i="5"/>
  <c r="N64" i="5"/>
  <c r="M64" i="5"/>
  <c r="L64" i="5"/>
  <c r="K64" i="5"/>
  <c r="J64" i="5"/>
  <c r="I64" i="5"/>
  <c r="H64" i="5"/>
  <c r="G64" i="5"/>
  <c r="F64" i="5"/>
  <c r="E64" i="5"/>
  <c r="D64" i="5"/>
  <c r="C64" i="5"/>
  <c r="N63" i="5"/>
  <c r="M63" i="5"/>
  <c r="L63" i="5"/>
  <c r="K63" i="5"/>
  <c r="J63" i="5"/>
  <c r="I63" i="5"/>
  <c r="H63" i="5"/>
  <c r="G63" i="5"/>
  <c r="F63" i="5"/>
  <c r="E63" i="5"/>
  <c r="D63" i="5"/>
  <c r="C63" i="5"/>
  <c r="N62" i="5"/>
  <c r="M62" i="5"/>
  <c r="L62" i="5"/>
  <c r="K62" i="5"/>
  <c r="J62" i="5"/>
  <c r="I62" i="5"/>
  <c r="H62" i="5"/>
  <c r="G62" i="5"/>
  <c r="F62" i="5"/>
  <c r="E62" i="5"/>
  <c r="D62" i="5"/>
  <c r="C62" i="5"/>
  <c r="N61" i="5"/>
  <c r="M61" i="5"/>
  <c r="L61" i="5"/>
  <c r="K61" i="5"/>
  <c r="J61" i="5"/>
  <c r="I61" i="5"/>
  <c r="H61" i="5"/>
  <c r="G61" i="5"/>
  <c r="F61" i="5"/>
  <c r="E61" i="5"/>
  <c r="D61" i="5"/>
  <c r="C61" i="5"/>
  <c r="Q26" i="10"/>
  <c r="P26" i="10"/>
  <c r="O26" i="10"/>
  <c r="N26" i="10"/>
  <c r="M26" i="10"/>
  <c r="L26" i="10"/>
  <c r="K26" i="10"/>
  <c r="I26" i="10"/>
  <c r="H26" i="10"/>
  <c r="G26" i="10"/>
  <c r="F26" i="10"/>
  <c r="J26" i="10"/>
  <c r="H5" i="21"/>
  <c r="I4" i="21"/>
  <c r="C148" i="10" l="1"/>
  <c r="D148" i="10" s="1"/>
  <c r="C149" i="10"/>
  <c r="D149" i="10" s="1"/>
  <c r="C150" i="10"/>
  <c r="D150" i="10" s="1"/>
  <c r="C151" i="10"/>
  <c r="D151" i="10" s="1"/>
  <c r="C152" i="10"/>
  <c r="D152" i="10" s="1"/>
  <c r="C153" i="10"/>
  <c r="D153" i="10" s="1"/>
  <c r="C154" i="10"/>
  <c r="D154" i="10" s="1"/>
  <c r="C155" i="10"/>
  <c r="D155" i="10" s="1"/>
  <c r="C156" i="10"/>
  <c r="D156" i="10" s="1"/>
  <c r="C157" i="10"/>
  <c r="D157" i="10" s="1"/>
  <c r="C158" i="10"/>
  <c r="D158" i="10" s="1"/>
  <c r="C159" i="10"/>
  <c r="D159" i="10" s="1"/>
  <c r="C160" i="10"/>
  <c r="D160" i="10" s="1"/>
  <c r="C161" i="10"/>
  <c r="D161" i="10" s="1"/>
  <c r="C162" i="10"/>
  <c r="D162" i="10" s="1"/>
  <c r="C163" i="10"/>
  <c r="D163" i="10" s="1"/>
  <c r="C164" i="10"/>
  <c r="D164" i="10" s="1"/>
  <c r="C165" i="10"/>
  <c r="D165" i="10" s="1"/>
  <c r="C166" i="10"/>
  <c r="D166" i="10" s="1"/>
  <c r="C167" i="10"/>
  <c r="D167" i="10"/>
  <c r="C168" i="10"/>
  <c r="D168" i="10" s="1"/>
  <c r="C169" i="10"/>
  <c r="D169" i="10" s="1"/>
  <c r="C170" i="10"/>
  <c r="D170" i="10" s="1"/>
  <c r="C171" i="10"/>
  <c r="D171" i="10" s="1"/>
  <c r="C172" i="10"/>
  <c r="D172" i="10" s="1"/>
  <c r="C173" i="10"/>
  <c r="D173" i="10" s="1"/>
  <c r="C174" i="10"/>
  <c r="D174" i="10" s="1"/>
  <c r="C175" i="10"/>
  <c r="D175" i="10" s="1"/>
  <c r="C176" i="10"/>
  <c r="D176" i="10" s="1"/>
  <c r="C177" i="10"/>
  <c r="D177" i="10" s="1"/>
  <c r="C178" i="10"/>
  <c r="D178" i="10" s="1"/>
  <c r="C179" i="10"/>
  <c r="D179" i="10" s="1"/>
  <c r="C180" i="10"/>
  <c r="D180" i="10" s="1"/>
  <c r="C181" i="10"/>
  <c r="D181" i="10" s="1"/>
  <c r="C182" i="10"/>
  <c r="D182" i="10" s="1"/>
  <c r="C183" i="10"/>
  <c r="D183" i="10" s="1"/>
  <c r="C184" i="10"/>
  <c r="D184" i="10" s="1"/>
  <c r="C185" i="10"/>
  <c r="D185" i="10" s="1"/>
  <c r="C186" i="10"/>
  <c r="D186" i="10" s="1"/>
  <c r="C187" i="10"/>
  <c r="D187" i="10" s="1"/>
  <c r="C188" i="10"/>
  <c r="D188" i="10" s="1"/>
  <c r="C189" i="10"/>
  <c r="D189" i="10" s="1"/>
  <c r="C190" i="10"/>
  <c r="D190" i="10" s="1"/>
  <c r="C191" i="10"/>
  <c r="D191" i="10" s="1"/>
  <c r="C192" i="10"/>
  <c r="D192" i="10" s="1"/>
  <c r="C193" i="10"/>
  <c r="D193" i="10" s="1"/>
  <c r="C194" i="10"/>
  <c r="D194" i="10" s="1"/>
  <c r="C195" i="10"/>
  <c r="D195" i="10" s="1"/>
  <c r="C196" i="10"/>
  <c r="D196" i="10" s="1"/>
  <c r="C197" i="10"/>
  <c r="D197" i="10" s="1"/>
  <c r="C198" i="10"/>
  <c r="D198" i="10" s="1"/>
  <c r="C199" i="10"/>
  <c r="D199" i="10" s="1"/>
  <c r="C200" i="10"/>
  <c r="D200" i="10" s="1"/>
  <c r="C201" i="10"/>
  <c r="D201" i="10" s="1"/>
  <c r="C202" i="10"/>
  <c r="D202" i="10" s="1"/>
  <c r="C203" i="10"/>
  <c r="D203" i="10" s="1"/>
  <c r="C204" i="10"/>
  <c r="D204" i="10" s="1"/>
  <c r="C205" i="10"/>
  <c r="D205" i="10" s="1"/>
  <c r="C206" i="10"/>
  <c r="D206" i="10" s="1"/>
  <c r="C207" i="10"/>
  <c r="D207" i="10"/>
  <c r="C208" i="10"/>
  <c r="D208" i="10" s="1"/>
  <c r="C209" i="10"/>
  <c r="D209" i="10" s="1"/>
  <c r="C210" i="10"/>
  <c r="D210" i="10" s="1"/>
  <c r="C211" i="10"/>
  <c r="D211" i="10" s="1"/>
  <c r="C212" i="10"/>
  <c r="D212" i="10" s="1"/>
  <c r="C213" i="10"/>
  <c r="D213" i="10" s="1"/>
  <c r="R8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8" i="10"/>
  <c r="R37" i="10"/>
  <c r="R36" i="10"/>
  <c r="R35" i="10"/>
  <c r="R34" i="10"/>
  <c r="O64" i="5" s="1"/>
  <c r="R33" i="10"/>
  <c r="O63" i="5" s="1"/>
  <c r="R32" i="10"/>
  <c r="O62" i="5" s="1"/>
  <c r="R31" i="10"/>
  <c r="O61" i="5" s="1"/>
  <c r="R30" i="10"/>
  <c r="R29" i="10"/>
  <c r="R28" i="10"/>
  <c r="R27" i="10"/>
  <c r="R26" i="10"/>
  <c r="R25" i="10"/>
  <c r="R24" i="10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C147" i="10"/>
  <c r="D147" i="10" s="1"/>
  <c r="C146" i="10"/>
  <c r="D146" i="10" s="1"/>
  <c r="C145" i="10"/>
  <c r="D145" i="10" s="1"/>
  <c r="C144" i="10"/>
  <c r="D144" i="10" s="1"/>
  <c r="C143" i="10"/>
  <c r="D143" i="10" s="1"/>
  <c r="C142" i="10"/>
  <c r="D142" i="10" s="1"/>
  <c r="C141" i="10"/>
  <c r="D141" i="10" s="1"/>
  <c r="C140" i="10"/>
  <c r="D140" i="10" s="1"/>
  <c r="C139" i="10"/>
  <c r="D139" i="10" s="1"/>
  <c r="C138" i="10"/>
  <c r="D138" i="10" s="1"/>
  <c r="C137" i="10"/>
  <c r="D137" i="10" s="1"/>
  <c r="C136" i="10"/>
  <c r="D136" i="10" s="1"/>
  <c r="C135" i="10"/>
  <c r="D135" i="10" s="1"/>
  <c r="C134" i="10"/>
  <c r="D134" i="10" s="1"/>
  <c r="C133" i="10"/>
  <c r="D133" i="10" s="1"/>
  <c r="C132" i="10"/>
  <c r="D132" i="10" s="1"/>
  <c r="C131" i="10"/>
  <c r="D131" i="10" s="1"/>
  <c r="C130" i="10"/>
  <c r="D130" i="10" s="1"/>
  <c r="C129" i="10"/>
  <c r="D129" i="10" s="1"/>
  <c r="C128" i="10"/>
  <c r="D128" i="10" s="1"/>
  <c r="C127" i="10"/>
  <c r="D127" i="10" s="1"/>
  <c r="C126" i="10"/>
  <c r="D126" i="10" s="1"/>
  <c r="C125" i="10"/>
  <c r="D125" i="10" s="1"/>
  <c r="C124" i="10"/>
  <c r="D124" i="10" s="1"/>
  <c r="C123" i="10"/>
  <c r="D123" i="10" s="1"/>
  <c r="C122" i="10"/>
  <c r="D122" i="10" s="1"/>
  <c r="C121" i="10"/>
  <c r="D121" i="10" s="1"/>
  <c r="C120" i="10"/>
  <c r="D120" i="10" s="1"/>
  <c r="C119" i="10"/>
  <c r="D119" i="10" s="1"/>
  <c r="C118" i="10"/>
  <c r="D118" i="10" s="1"/>
  <c r="C117" i="10"/>
  <c r="D117" i="10" s="1"/>
  <c r="C116" i="10"/>
  <c r="D116" i="10" s="1"/>
  <c r="C115" i="10"/>
  <c r="D115" i="10" s="1"/>
  <c r="C114" i="10"/>
  <c r="D114" i="10" s="1"/>
  <c r="C113" i="10"/>
  <c r="D113" i="10" s="1"/>
  <c r="C112" i="10"/>
  <c r="D112" i="10" s="1"/>
  <c r="C111" i="10"/>
  <c r="D111" i="10" s="1"/>
  <c r="C110" i="10"/>
  <c r="D110" i="10" s="1"/>
  <c r="C109" i="10"/>
  <c r="D109" i="10" s="1"/>
  <c r="C108" i="10"/>
  <c r="D108" i="10" s="1"/>
  <c r="C107" i="10"/>
  <c r="D107" i="10" s="1"/>
  <c r="C106" i="10"/>
  <c r="D106" i="10" s="1"/>
  <c r="C105" i="10"/>
  <c r="D105" i="10" s="1"/>
  <c r="C104" i="10"/>
  <c r="D104" i="10" s="1"/>
  <c r="C103" i="10"/>
  <c r="D103" i="10" s="1"/>
  <c r="C102" i="10"/>
  <c r="D102" i="10" s="1"/>
  <c r="C101" i="10"/>
  <c r="D101" i="10" s="1"/>
  <c r="C100" i="10"/>
  <c r="D100" i="10" s="1"/>
  <c r="C99" i="10"/>
  <c r="D99" i="10" s="1"/>
  <c r="C98" i="10"/>
  <c r="D98" i="10" s="1"/>
  <c r="C97" i="10"/>
  <c r="D97" i="10" s="1"/>
  <c r="C96" i="10"/>
  <c r="D96" i="10" s="1"/>
  <c r="C95" i="10"/>
  <c r="D95" i="10" s="1"/>
  <c r="C94" i="10"/>
  <c r="D94" i="10" s="1"/>
  <c r="C93" i="10"/>
  <c r="D93" i="10" s="1"/>
  <c r="C92" i="10"/>
  <c r="D92" i="10" s="1"/>
  <c r="C91" i="10"/>
  <c r="D91" i="10" s="1"/>
  <c r="C90" i="10"/>
  <c r="D90" i="10" s="1"/>
  <c r="C89" i="10"/>
  <c r="D89" i="10" s="1"/>
  <c r="C88" i="10"/>
  <c r="D88" i="10" s="1"/>
  <c r="C87" i="10"/>
  <c r="D87" i="10" s="1"/>
  <c r="C86" i="10"/>
  <c r="D86" i="10" s="1"/>
  <c r="C85" i="10"/>
  <c r="D85" i="10" s="1"/>
  <c r="C84" i="10"/>
  <c r="D84" i="10" s="1"/>
  <c r="C83" i="10"/>
  <c r="D83" i="10" s="1"/>
  <c r="C82" i="10"/>
  <c r="D82" i="10" s="1"/>
  <c r="C81" i="10"/>
  <c r="D81" i="10" s="1"/>
  <c r="C80" i="10"/>
  <c r="D80" i="10" s="1"/>
  <c r="C79" i="10"/>
  <c r="D79" i="10" s="1"/>
  <c r="C78" i="10"/>
  <c r="D78" i="10" s="1"/>
  <c r="C77" i="10"/>
  <c r="D77" i="10" s="1"/>
  <c r="C76" i="10"/>
  <c r="D76" i="10" s="1"/>
  <c r="C75" i="10"/>
  <c r="D75" i="10" s="1"/>
  <c r="C74" i="10"/>
  <c r="D74" i="10" s="1"/>
  <c r="C73" i="10"/>
  <c r="D73" i="10" s="1"/>
  <c r="C72" i="10"/>
  <c r="D72" i="10" s="1"/>
  <c r="C71" i="10"/>
  <c r="D71" i="10" s="1"/>
  <c r="C70" i="10"/>
  <c r="D70" i="10" s="1"/>
  <c r="C69" i="10"/>
  <c r="D69" i="10" s="1"/>
  <c r="C68" i="10"/>
  <c r="D68" i="10" s="1"/>
  <c r="C67" i="10"/>
  <c r="D67" i="10" s="1"/>
  <c r="C66" i="10"/>
  <c r="D66" i="10" s="1"/>
  <c r="C65" i="10"/>
  <c r="D65" i="10" s="1"/>
  <c r="C64" i="10"/>
  <c r="D64" i="10" s="1"/>
  <c r="C63" i="10"/>
  <c r="D63" i="10" s="1"/>
  <c r="C62" i="10"/>
  <c r="D62" i="10" s="1"/>
  <c r="C61" i="10"/>
  <c r="D61" i="10" s="1"/>
  <c r="C60" i="10"/>
  <c r="D60" i="10" s="1"/>
  <c r="C59" i="10"/>
  <c r="D59" i="10" s="1"/>
  <c r="C58" i="10"/>
  <c r="D58" i="10" s="1"/>
  <c r="C57" i="10"/>
  <c r="D57" i="10" s="1"/>
  <c r="C56" i="10"/>
  <c r="D56" i="10" s="1"/>
  <c r="C55" i="10"/>
  <c r="D55" i="10" s="1"/>
  <c r="C54" i="10"/>
  <c r="D54" i="10" s="1"/>
  <c r="C53" i="10"/>
  <c r="D53" i="10" s="1"/>
  <c r="C52" i="10"/>
  <c r="D52" i="10" s="1"/>
  <c r="C51" i="10"/>
  <c r="D51" i="10" s="1"/>
  <c r="C50" i="10"/>
  <c r="D50" i="10" s="1"/>
  <c r="C49" i="10"/>
  <c r="D49" i="10" s="1"/>
  <c r="C48" i="10"/>
  <c r="D48" i="10" s="1"/>
  <c r="C47" i="10"/>
  <c r="D47" i="10" s="1"/>
  <c r="C46" i="10"/>
  <c r="D46" i="10" s="1"/>
  <c r="C45" i="10"/>
  <c r="D45" i="10" s="1"/>
  <c r="C44" i="10"/>
  <c r="D44" i="10" s="1"/>
  <c r="C43" i="10"/>
  <c r="D43" i="10" s="1"/>
  <c r="C42" i="10"/>
  <c r="D42" i="10" s="1"/>
  <c r="C41" i="10"/>
  <c r="D41" i="10" s="1"/>
  <c r="C40" i="10"/>
  <c r="D40" i="10" s="1"/>
  <c r="C39" i="10"/>
  <c r="D39" i="10" s="1"/>
  <c r="C38" i="10"/>
  <c r="D38" i="10" s="1"/>
  <c r="C37" i="10"/>
  <c r="D37" i="10" s="1"/>
  <c r="C36" i="10"/>
  <c r="D36" i="10" s="1"/>
  <c r="C35" i="10"/>
  <c r="D35" i="10" s="1"/>
  <c r="C34" i="10"/>
  <c r="D34" i="10" s="1"/>
  <c r="C33" i="10"/>
  <c r="D33" i="10" s="1"/>
  <c r="C32" i="10"/>
  <c r="D32" i="10" s="1"/>
  <c r="C31" i="10"/>
  <c r="D31" i="10" s="1"/>
  <c r="C30" i="10"/>
  <c r="D30" i="10" s="1"/>
  <c r="G5" i="10" l="1"/>
  <c r="H5" i="10"/>
  <c r="I5" i="10"/>
  <c r="J5" i="10"/>
  <c r="K5" i="10"/>
  <c r="L5" i="10"/>
  <c r="M5" i="10"/>
  <c r="N5" i="10"/>
  <c r="O5" i="10"/>
  <c r="P5" i="10"/>
  <c r="Q5" i="10"/>
  <c r="F5" i="10"/>
  <c r="R4" i="21" l="1"/>
  <c r="R5" i="21"/>
  <c r="F2" i="10" l="1"/>
  <c r="G2" i="10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E5" i="10"/>
  <c r="D5" i="10"/>
  <c r="H2" i="36"/>
  <c r="G2" i="36"/>
  <c r="F2" i="36"/>
  <c r="N98" i="5"/>
  <c r="N98" i="32" s="1"/>
  <c r="M98" i="5"/>
  <c r="M98" i="32" s="1"/>
  <c r="L98" i="5"/>
  <c r="L98" i="32" s="1"/>
  <c r="K98" i="5"/>
  <c r="K98" i="32" s="1"/>
  <c r="J98" i="5"/>
  <c r="J98" i="32" s="1"/>
  <c r="I98" i="5"/>
  <c r="I98" i="32" s="1"/>
  <c r="H98" i="5"/>
  <c r="H98" i="32" s="1"/>
  <c r="G98" i="5"/>
  <c r="G98" i="32" s="1"/>
  <c r="F98" i="5"/>
  <c r="F98" i="32" s="1"/>
  <c r="E98" i="5"/>
  <c r="E98" i="32" s="1"/>
  <c r="D98" i="5"/>
  <c r="D98" i="32" s="1"/>
  <c r="C98" i="5"/>
  <c r="C98" i="32" s="1"/>
  <c r="N97" i="5"/>
  <c r="M97" i="5"/>
  <c r="L97" i="5"/>
  <c r="L97" i="32" s="1"/>
  <c r="K97" i="5"/>
  <c r="J97" i="5"/>
  <c r="J97" i="32" s="1"/>
  <c r="I97" i="5"/>
  <c r="I97" i="32" s="1"/>
  <c r="H97" i="5"/>
  <c r="H97" i="32" s="1"/>
  <c r="G97" i="5"/>
  <c r="G97" i="32" s="1"/>
  <c r="F97" i="5"/>
  <c r="E97" i="5"/>
  <c r="D97" i="5"/>
  <c r="C97" i="5"/>
  <c r="C97" i="32" s="1"/>
  <c r="N93" i="5"/>
  <c r="N93" i="32" s="1"/>
  <c r="M93" i="5"/>
  <c r="L93" i="5"/>
  <c r="L93" i="32" s="1"/>
  <c r="K93" i="5"/>
  <c r="J93" i="5"/>
  <c r="J93" i="32" s="1"/>
  <c r="I93" i="5"/>
  <c r="I93" i="32" s="1"/>
  <c r="H93" i="5"/>
  <c r="G93" i="5"/>
  <c r="F93" i="5"/>
  <c r="F93" i="32" s="1"/>
  <c r="E93" i="5"/>
  <c r="E93" i="32" s="1"/>
  <c r="D93" i="5"/>
  <c r="D93" i="32" s="1"/>
  <c r="C93" i="5"/>
  <c r="N92" i="5"/>
  <c r="M92" i="5"/>
  <c r="M92" i="32" s="1"/>
  <c r="L92" i="5"/>
  <c r="L92" i="32" s="1"/>
  <c r="K92" i="5"/>
  <c r="K92" i="32" s="1"/>
  <c r="J92" i="5"/>
  <c r="J92" i="32" s="1"/>
  <c r="I92" i="5"/>
  <c r="I92" i="32" s="1"/>
  <c r="H92" i="5"/>
  <c r="H92" i="32" s="1"/>
  <c r="G92" i="5"/>
  <c r="F92" i="5"/>
  <c r="E92" i="5"/>
  <c r="D92" i="5"/>
  <c r="C92" i="5"/>
  <c r="C92" i="32" s="1"/>
  <c r="N88" i="5"/>
  <c r="N88" i="32" s="1"/>
  <c r="M88" i="5"/>
  <c r="M88" i="32" s="1"/>
  <c r="L88" i="5"/>
  <c r="L88" i="32" s="1"/>
  <c r="K88" i="5"/>
  <c r="J88" i="5"/>
  <c r="J88" i="32" s="1"/>
  <c r="I88" i="5"/>
  <c r="I88" i="32" s="1"/>
  <c r="H88" i="5"/>
  <c r="H88" i="32" s="1"/>
  <c r="G88" i="5"/>
  <c r="G88" i="32" s="1"/>
  <c r="F88" i="5"/>
  <c r="F88" i="32" s="1"/>
  <c r="E88" i="5"/>
  <c r="E88" i="32" s="1"/>
  <c r="D88" i="5"/>
  <c r="D88" i="32" s="1"/>
  <c r="C88" i="5"/>
  <c r="C88" i="32" s="1"/>
  <c r="N87" i="5"/>
  <c r="N87" i="32" s="1"/>
  <c r="M87" i="5"/>
  <c r="M87" i="32" s="1"/>
  <c r="L87" i="5"/>
  <c r="L87" i="32" s="1"/>
  <c r="K87" i="5"/>
  <c r="J87" i="5"/>
  <c r="J87" i="32" s="1"/>
  <c r="I87" i="5"/>
  <c r="I87" i="32" s="1"/>
  <c r="H87" i="5"/>
  <c r="G87" i="5"/>
  <c r="F87" i="5"/>
  <c r="F87" i="32" s="1"/>
  <c r="E87" i="5"/>
  <c r="E87" i="32" s="1"/>
  <c r="D87" i="5"/>
  <c r="C87" i="5"/>
  <c r="C87" i="32" s="1"/>
  <c r="N74" i="5"/>
  <c r="M74" i="5"/>
  <c r="M74" i="32" s="1"/>
  <c r="L74" i="5"/>
  <c r="L74" i="32" s="1"/>
  <c r="K74" i="5"/>
  <c r="K74" i="32" s="1"/>
  <c r="J74" i="5"/>
  <c r="J74" i="32" s="1"/>
  <c r="I74" i="5"/>
  <c r="I74" i="32" s="1"/>
  <c r="H74" i="5"/>
  <c r="H74" i="32" s="1"/>
  <c r="G74" i="5"/>
  <c r="G74" i="32" s="1"/>
  <c r="F74" i="5"/>
  <c r="F74" i="32" s="1"/>
  <c r="E74" i="5"/>
  <c r="E74" i="32" s="1"/>
  <c r="D74" i="5"/>
  <c r="D74" i="32" s="1"/>
  <c r="C74" i="5"/>
  <c r="C74" i="32" s="1"/>
  <c r="N68" i="5"/>
  <c r="N68" i="32" s="1"/>
  <c r="M68" i="5"/>
  <c r="M68" i="32" s="1"/>
  <c r="L68" i="5"/>
  <c r="L68" i="32" s="1"/>
  <c r="K68" i="5"/>
  <c r="K68" i="32" s="1"/>
  <c r="J68" i="5"/>
  <c r="J68" i="32" s="1"/>
  <c r="I68" i="5"/>
  <c r="I68" i="32" s="1"/>
  <c r="H68" i="5"/>
  <c r="H68" i="32" s="1"/>
  <c r="G68" i="5"/>
  <c r="G68" i="32" s="1"/>
  <c r="F68" i="5"/>
  <c r="F68" i="32" s="1"/>
  <c r="E68" i="5"/>
  <c r="E68" i="32" s="1"/>
  <c r="D68" i="5"/>
  <c r="D68" i="32" s="1"/>
  <c r="C68" i="5"/>
  <c r="C68" i="32" s="1"/>
  <c r="C1" i="5"/>
  <c r="C1" i="32"/>
  <c r="O88" i="5"/>
  <c r="O87" i="5"/>
  <c r="O77" i="5"/>
  <c r="O75" i="5"/>
  <c r="O97" i="5"/>
  <c r="O72" i="5"/>
  <c r="O71" i="5"/>
  <c r="N74" i="32"/>
  <c r="C5" i="10"/>
  <c r="B2" i="5" s="1"/>
  <c r="B2" i="32" s="1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D97" i="32"/>
  <c r="D4" i="32"/>
  <c r="E4" i="32"/>
  <c r="F4" i="32"/>
  <c r="G4" i="32"/>
  <c r="H4" i="32"/>
  <c r="I4" i="32"/>
  <c r="J4" i="32"/>
  <c r="K4" i="32"/>
  <c r="L4" i="32"/>
  <c r="M4" i="32"/>
  <c r="N4" i="32"/>
  <c r="O4" i="32"/>
  <c r="N92" i="32"/>
  <c r="K87" i="32"/>
  <c r="E92" i="32"/>
  <c r="G93" i="32"/>
  <c r="E97" i="32"/>
  <c r="M97" i="32"/>
  <c r="K69" i="5"/>
  <c r="K69" i="32" s="1"/>
  <c r="L70" i="5"/>
  <c r="L70" i="32" s="1"/>
  <c r="C70" i="5"/>
  <c r="C70" i="32" s="1"/>
  <c r="K70" i="5"/>
  <c r="K70" i="32" s="1"/>
  <c r="K72" i="5"/>
  <c r="K72" i="32" s="1"/>
  <c r="N76" i="5"/>
  <c r="N76" i="32" s="1"/>
  <c r="N72" i="5"/>
  <c r="N72" i="32" s="1"/>
  <c r="I76" i="5"/>
  <c r="I76" i="32" s="1"/>
  <c r="H78" i="5"/>
  <c r="H78" i="32" s="1"/>
  <c r="M72" i="5"/>
  <c r="M72" i="32" s="1"/>
  <c r="K77" i="5"/>
  <c r="K77" i="32" s="1"/>
  <c r="H75" i="5"/>
  <c r="H75" i="32" s="1"/>
  <c r="F71" i="5"/>
  <c r="F71" i="32" s="1"/>
  <c r="L76" i="5"/>
  <c r="L76" i="32" s="1"/>
  <c r="M78" i="5"/>
  <c r="M78" i="32" s="1"/>
  <c r="F77" i="5"/>
  <c r="F77" i="32" s="1"/>
  <c r="I75" i="5"/>
  <c r="I75" i="32" s="1"/>
  <c r="F70" i="5"/>
  <c r="F70" i="32" s="1"/>
  <c r="I71" i="5"/>
  <c r="I71" i="32" s="1"/>
  <c r="J75" i="5"/>
  <c r="J75" i="32" s="1"/>
  <c r="N78" i="5"/>
  <c r="N78" i="32" s="1"/>
  <c r="L78" i="5"/>
  <c r="L78" i="32" s="1"/>
  <c r="J71" i="5"/>
  <c r="J71" i="32" s="1"/>
  <c r="J70" i="5"/>
  <c r="J70" i="32" s="1"/>
  <c r="M76" i="5"/>
  <c r="M76" i="32" s="1"/>
  <c r="M77" i="5"/>
  <c r="M77" i="32" s="1"/>
  <c r="E72" i="5"/>
  <c r="E72" i="32" s="1"/>
  <c r="E77" i="5"/>
  <c r="E77" i="32" s="1"/>
  <c r="G72" i="5"/>
  <c r="G72" i="32" s="1"/>
  <c r="L72" i="5"/>
  <c r="L72" i="32" s="1"/>
  <c r="E71" i="5"/>
  <c r="E71" i="32" s="1"/>
  <c r="L77" i="5"/>
  <c r="L77" i="32" s="1"/>
  <c r="H70" i="5"/>
  <c r="H70" i="32" s="1"/>
  <c r="H76" i="5"/>
  <c r="H76" i="32" s="1"/>
  <c r="G75" i="5"/>
  <c r="I69" i="5"/>
  <c r="I69" i="32" s="1"/>
  <c r="C71" i="5"/>
  <c r="C71" i="32" s="1"/>
  <c r="F75" i="5"/>
  <c r="F75" i="32" s="1"/>
  <c r="I77" i="5"/>
  <c r="I77" i="32" s="1"/>
  <c r="D70" i="5"/>
  <c r="D70" i="32" s="1"/>
  <c r="N77" i="5"/>
  <c r="N77" i="32" s="1"/>
  <c r="E69" i="5"/>
  <c r="E69" i="32" s="1"/>
  <c r="F69" i="5"/>
  <c r="F69" i="32" s="1"/>
  <c r="N71" i="5"/>
  <c r="N71" i="32" s="1"/>
  <c r="N70" i="5"/>
  <c r="N70" i="32" s="1"/>
  <c r="M69" i="5"/>
  <c r="M69" i="32" s="1"/>
  <c r="K76" i="5"/>
  <c r="K76" i="32" s="1"/>
  <c r="D78" i="5"/>
  <c r="D78" i="32" s="1"/>
  <c r="C72" i="5"/>
  <c r="C72" i="32" s="1"/>
  <c r="F72" i="5"/>
  <c r="F72" i="32" s="1"/>
  <c r="L69" i="5"/>
  <c r="L69" i="32" s="1"/>
  <c r="J69" i="5"/>
  <c r="J69" i="32" s="1"/>
  <c r="I70" i="5"/>
  <c r="I70" i="32" s="1"/>
  <c r="I72" i="5"/>
  <c r="I72" i="32" s="1"/>
  <c r="D72" i="5"/>
  <c r="D72" i="32" s="1"/>
  <c r="L71" i="5"/>
  <c r="L71" i="32" s="1"/>
  <c r="E70" i="5"/>
  <c r="E70" i="32" s="1"/>
  <c r="C78" i="5"/>
  <c r="C78" i="32" s="1"/>
  <c r="N75" i="5"/>
  <c r="N75" i="32" s="1"/>
  <c r="G76" i="5"/>
  <c r="G76" i="32" s="1"/>
  <c r="H72" i="5"/>
  <c r="H72" i="32" s="1"/>
  <c r="L75" i="5"/>
  <c r="L75" i="32" s="1"/>
  <c r="C75" i="5"/>
  <c r="C75" i="32" s="1"/>
  <c r="H71" i="5"/>
  <c r="H71" i="32" s="1"/>
  <c r="D76" i="5"/>
  <c r="D76" i="32" s="1"/>
  <c r="I78" i="5"/>
  <c r="I78" i="32" s="1"/>
  <c r="K71" i="5"/>
  <c r="K71" i="32" s="1"/>
  <c r="D75" i="5"/>
  <c r="D75" i="32" s="1"/>
  <c r="D69" i="5"/>
  <c r="D69" i="32" s="1"/>
  <c r="G77" i="5"/>
  <c r="G77" i="32" s="1"/>
  <c r="O78" i="5"/>
  <c r="N69" i="5"/>
  <c r="J78" i="5"/>
  <c r="J78" i="32" s="1"/>
  <c r="G71" i="5"/>
  <c r="G71" i="32" s="1"/>
  <c r="O69" i="5"/>
  <c r="M70" i="5"/>
  <c r="M70" i="32" s="1"/>
  <c r="J76" i="5"/>
  <c r="J76" i="32" s="1"/>
  <c r="G70" i="5"/>
  <c r="G70" i="32" s="1"/>
  <c r="K75" i="5"/>
  <c r="K75" i="32" s="1"/>
  <c r="E75" i="5"/>
  <c r="E75" i="32" s="1"/>
  <c r="M71" i="5"/>
  <c r="M71" i="32" s="1"/>
  <c r="D71" i="5"/>
  <c r="D71" i="32" s="1"/>
  <c r="E78" i="5"/>
  <c r="E78" i="32" s="1"/>
  <c r="J77" i="5"/>
  <c r="G78" i="5"/>
  <c r="G78" i="32" s="1"/>
  <c r="G69" i="5"/>
  <c r="C76" i="5"/>
  <c r="C76" i="32" s="1"/>
  <c r="C77" i="5"/>
  <c r="C77" i="32" s="1"/>
  <c r="C69" i="5"/>
  <c r="C69" i="32" s="1"/>
  <c r="H77" i="5"/>
  <c r="H77" i="32" s="1"/>
  <c r="O70" i="5"/>
  <c r="F76" i="5"/>
  <c r="F76" i="32" s="1"/>
  <c r="E76" i="5"/>
  <c r="E76" i="32" s="1"/>
  <c r="K78" i="5"/>
  <c r="K78" i="32" s="1"/>
  <c r="J72" i="5"/>
  <c r="J72" i="32" s="1"/>
  <c r="M75" i="5"/>
  <c r="M75" i="32" s="1"/>
  <c r="H69" i="5"/>
  <c r="H69" i="32" s="1"/>
  <c r="D77" i="5"/>
  <c r="D77" i="32" s="1"/>
  <c r="F78" i="5"/>
  <c r="F78" i="32" s="1"/>
  <c r="O76" i="5"/>
  <c r="D1" i="21"/>
  <c r="C99" i="32" l="1"/>
  <c r="H89" i="5"/>
  <c r="H99" i="32"/>
  <c r="E94" i="5"/>
  <c r="L94" i="32"/>
  <c r="L94" i="5"/>
  <c r="D89" i="5"/>
  <c r="I89" i="32"/>
  <c r="I94" i="5"/>
  <c r="E94" i="32"/>
  <c r="C89" i="5"/>
  <c r="I99" i="5"/>
  <c r="J89" i="5"/>
  <c r="C99" i="5"/>
  <c r="L73" i="5"/>
  <c r="N73" i="5"/>
  <c r="I89" i="5"/>
  <c r="F79" i="32"/>
  <c r="E89" i="32"/>
  <c r="C89" i="32"/>
  <c r="M73" i="5"/>
  <c r="F94" i="5"/>
  <c r="F99" i="5"/>
  <c r="N99" i="5"/>
  <c r="E89" i="5"/>
  <c r="O93" i="5"/>
  <c r="L89" i="32"/>
  <c r="M89" i="32"/>
  <c r="N97" i="32"/>
  <c r="N99" i="32" s="1"/>
  <c r="F89" i="5"/>
  <c r="D87" i="32"/>
  <c r="D89" i="32" s="1"/>
  <c r="J99" i="32"/>
  <c r="F73" i="32"/>
  <c r="I79" i="32"/>
  <c r="O89" i="5"/>
  <c r="J73" i="5"/>
  <c r="H73" i="32"/>
  <c r="G99" i="5"/>
  <c r="K89" i="5"/>
  <c r="G99" i="32"/>
  <c r="F89" i="32"/>
  <c r="C73" i="32"/>
  <c r="K73" i="5"/>
  <c r="E79" i="32"/>
  <c r="C79" i="32"/>
  <c r="H79" i="5"/>
  <c r="M89" i="5"/>
  <c r="J73" i="32"/>
  <c r="K79" i="5"/>
  <c r="L89" i="5"/>
  <c r="F92" i="32"/>
  <c r="F94" i="32" s="1"/>
  <c r="D73" i="5"/>
  <c r="L79" i="5"/>
  <c r="F73" i="5"/>
  <c r="I99" i="32"/>
  <c r="D73" i="32"/>
  <c r="I73" i="5"/>
  <c r="L73" i="32"/>
  <c r="D79" i="32"/>
  <c r="N89" i="32"/>
  <c r="M79" i="5"/>
  <c r="H73" i="5"/>
  <c r="F79" i="5"/>
  <c r="O74" i="32"/>
  <c r="H87" i="32"/>
  <c r="H89" i="32" s="1"/>
  <c r="O98" i="32"/>
  <c r="K88" i="32"/>
  <c r="K89" i="32" s="1"/>
  <c r="D99" i="5"/>
  <c r="G79" i="5"/>
  <c r="N89" i="5"/>
  <c r="M79" i="32"/>
  <c r="O98" i="5"/>
  <c r="O99" i="5" s="1"/>
  <c r="O74" i="5"/>
  <c r="D94" i="5"/>
  <c r="D92" i="32"/>
  <c r="L79" i="32"/>
  <c r="N79" i="32"/>
  <c r="C73" i="5"/>
  <c r="M73" i="32"/>
  <c r="I73" i="32"/>
  <c r="E73" i="32"/>
  <c r="J79" i="5"/>
  <c r="O78" i="32"/>
  <c r="O68" i="32"/>
  <c r="N79" i="5"/>
  <c r="G75" i="32"/>
  <c r="G79" i="32" s="1"/>
  <c r="C79" i="5"/>
  <c r="I79" i="5"/>
  <c r="E73" i="5"/>
  <c r="K73" i="32"/>
  <c r="L99" i="5"/>
  <c r="J89" i="32"/>
  <c r="O68" i="5"/>
  <c r="O73" i="5" s="1"/>
  <c r="O92" i="5"/>
  <c r="J94" i="32"/>
  <c r="H93" i="32"/>
  <c r="H94" i="32" s="1"/>
  <c r="H94" i="5"/>
  <c r="K93" i="32"/>
  <c r="K94" i="32" s="1"/>
  <c r="K94" i="5"/>
  <c r="G87" i="32"/>
  <c r="G89" i="5"/>
  <c r="N94" i="32"/>
  <c r="D99" i="32"/>
  <c r="E99" i="32"/>
  <c r="G92" i="32"/>
  <c r="G94" i="32" s="1"/>
  <c r="G94" i="5"/>
  <c r="J94" i="5"/>
  <c r="E99" i="5"/>
  <c r="N94" i="5"/>
  <c r="L99" i="32"/>
  <c r="G69" i="32"/>
  <c r="G73" i="5"/>
  <c r="E79" i="5"/>
  <c r="H79" i="32"/>
  <c r="O76" i="32"/>
  <c r="J77" i="32"/>
  <c r="J79" i="32" s="1"/>
  <c r="K79" i="32"/>
  <c r="O72" i="32"/>
  <c r="D79" i="5"/>
  <c r="O71" i="32"/>
  <c r="N69" i="32"/>
  <c r="N73" i="32" s="1"/>
  <c r="O70" i="32"/>
  <c r="M93" i="32"/>
  <c r="M94" i="32" s="1"/>
  <c r="M94" i="5"/>
  <c r="H99" i="5"/>
  <c r="M99" i="5"/>
  <c r="K62" i="32"/>
  <c r="I94" i="32"/>
  <c r="C93" i="32"/>
  <c r="C94" i="5"/>
  <c r="M99" i="32"/>
  <c r="F97" i="32"/>
  <c r="K97" i="32"/>
  <c r="K99" i="32" s="1"/>
  <c r="K99" i="5"/>
  <c r="J99" i="5"/>
  <c r="N67" i="5" l="1"/>
  <c r="C67" i="5"/>
  <c r="I67" i="5"/>
  <c r="K24" i="5"/>
  <c r="K24" i="32" s="1"/>
  <c r="O94" i="5"/>
  <c r="F67" i="32"/>
  <c r="H67" i="5"/>
  <c r="D67" i="5"/>
  <c r="F67" i="5"/>
  <c r="L67" i="5"/>
  <c r="M67" i="32"/>
  <c r="M67" i="5"/>
  <c r="G67" i="5"/>
  <c r="I67" i="32"/>
  <c r="L67" i="32"/>
  <c r="K67" i="5"/>
  <c r="H67" i="32"/>
  <c r="N67" i="32"/>
  <c r="J67" i="5"/>
  <c r="E67" i="32"/>
  <c r="D67" i="32"/>
  <c r="C67" i="32"/>
  <c r="J67" i="32"/>
  <c r="O88" i="32"/>
  <c r="O75" i="32"/>
  <c r="E53" i="5"/>
  <c r="E53" i="32" s="1"/>
  <c r="K67" i="32"/>
  <c r="E67" i="5"/>
  <c r="D94" i="32"/>
  <c r="O92" i="32"/>
  <c r="G89" i="32"/>
  <c r="O87" i="32"/>
  <c r="O89" i="32" s="1"/>
  <c r="L29" i="5"/>
  <c r="L29" i="32" s="1"/>
  <c r="I54" i="5"/>
  <c r="I54" i="32" s="1"/>
  <c r="F32" i="5"/>
  <c r="F32" i="32" s="1"/>
  <c r="I27" i="5"/>
  <c r="I27" i="32" s="1"/>
  <c r="O53" i="5"/>
  <c r="H19" i="5"/>
  <c r="H19" i="32" s="1"/>
  <c r="O14" i="5"/>
  <c r="O33" i="5"/>
  <c r="C63" i="32"/>
  <c r="N63" i="32"/>
  <c r="I62" i="32"/>
  <c r="M39" i="5"/>
  <c r="M39" i="32" s="1"/>
  <c r="J6" i="5"/>
  <c r="J48" i="5"/>
  <c r="J48" i="32" s="1"/>
  <c r="O23" i="5"/>
  <c r="H7" i="5"/>
  <c r="H7" i="32" s="1"/>
  <c r="O21" i="5"/>
  <c r="K55" i="5"/>
  <c r="K55" i="32" s="1"/>
  <c r="C38" i="5"/>
  <c r="C38" i="32" s="1"/>
  <c r="J40" i="5"/>
  <c r="J40" i="32" s="1"/>
  <c r="D29" i="5"/>
  <c r="D29" i="32" s="1"/>
  <c r="H37" i="5"/>
  <c r="H37" i="32" s="1"/>
  <c r="C56" i="5"/>
  <c r="C56" i="32" s="1"/>
  <c r="I24" i="5"/>
  <c r="I24" i="32" s="1"/>
  <c r="O17" i="5"/>
  <c r="N37" i="5"/>
  <c r="N37" i="32" s="1"/>
  <c r="F59" i="5"/>
  <c r="F59" i="32" s="1"/>
  <c r="L19" i="5"/>
  <c r="L19" i="32" s="1"/>
  <c r="K44" i="5"/>
  <c r="K44" i="32" s="1"/>
  <c r="H9" i="5"/>
  <c r="H9" i="32" s="1"/>
  <c r="G10" i="5"/>
  <c r="G10" i="32" s="1"/>
  <c r="C39" i="5"/>
  <c r="C39" i="32" s="1"/>
  <c r="H46" i="5"/>
  <c r="H46" i="32" s="1"/>
  <c r="L52" i="5"/>
  <c r="L52" i="32" s="1"/>
  <c r="K56" i="5"/>
  <c r="K56" i="32" s="1"/>
  <c r="K20" i="5"/>
  <c r="K20" i="32" s="1"/>
  <c r="G17" i="5"/>
  <c r="G17" i="32" s="1"/>
  <c r="E64" i="32"/>
  <c r="L20" i="5"/>
  <c r="L20" i="32" s="1"/>
  <c r="E37" i="5"/>
  <c r="E37" i="32" s="1"/>
  <c r="F48" i="5"/>
  <c r="F48" i="32" s="1"/>
  <c r="C28" i="5"/>
  <c r="C28" i="32" s="1"/>
  <c r="J55" i="5"/>
  <c r="J55" i="32" s="1"/>
  <c r="N59" i="5"/>
  <c r="N59" i="32" s="1"/>
  <c r="K29" i="5"/>
  <c r="K29" i="32" s="1"/>
  <c r="N9" i="5"/>
  <c r="N9" i="32" s="1"/>
  <c r="D34" i="5"/>
  <c r="D34" i="32" s="1"/>
  <c r="I10" i="5"/>
  <c r="I10" i="32" s="1"/>
  <c r="N53" i="5"/>
  <c r="N53" i="32" s="1"/>
  <c r="H30" i="5"/>
  <c r="H30" i="32" s="1"/>
  <c r="E46" i="5"/>
  <c r="E46" i="32" s="1"/>
  <c r="M47" i="5"/>
  <c r="M47" i="32" s="1"/>
  <c r="K15" i="5"/>
  <c r="K15" i="32" s="1"/>
  <c r="L24" i="5"/>
  <c r="L24" i="32" s="1"/>
  <c r="F51" i="5"/>
  <c r="F51" i="32" s="1"/>
  <c r="F45" i="5"/>
  <c r="F45" i="32" s="1"/>
  <c r="K51" i="5"/>
  <c r="K51" i="32" s="1"/>
  <c r="K61" i="32"/>
  <c r="G21" i="5"/>
  <c r="G21" i="32" s="1"/>
  <c r="K32" i="5"/>
  <c r="K32" i="32" s="1"/>
  <c r="F18" i="5"/>
  <c r="F18" i="32" s="1"/>
  <c r="N22" i="5"/>
  <c r="N22" i="32" s="1"/>
  <c r="L18" i="5"/>
  <c r="L18" i="32" s="1"/>
  <c r="D59" i="5"/>
  <c r="D59" i="32" s="1"/>
  <c r="K19" i="5"/>
  <c r="K19" i="32" s="1"/>
  <c r="O32" i="5"/>
  <c r="J64" i="32"/>
  <c r="F39" i="5"/>
  <c r="F39" i="32" s="1"/>
  <c r="L49" i="5"/>
  <c r="L49" i="32" s="1"/>
  <c r="I61" i="32"/>
  <c r="E61" i="32"/>
  <c r="M30" i="5"/>
  <c r="M30" i="32" s="1"/>
  <c r="H14" i="5"/>
  <c r="E48" i="5"/>
  <c r="E48" i="32" s="1"/>
  <c r="E23" i="5"/>
  <c r="E23" i="32" s="1"/>
  <c r="H52" i="5"/>
  <c r="H52" i="32" s="1"/>
  <c r="N21" i="5"/>
  <c r="N21" i="32" s="1"/>
  <c r="O48" i="5"/>
  <c r="J47" i="5"/>
  <c r="J47" i="32" s="1"/>
  <c r="C48" i="5"/>
  <c r="C48" i="32" s="1"/>
  <c r="E22" i="5"/>
  <c r="E22" i="32" s="1"/>
  <c r="C17" i="5"/>
  <c r="C17" i="32" s="1"/>
  <c r="O44" i="5"/>
  <c r="J60" i="5"/>
  <c r="J60" i="32" s="1"/>
  <c r="J10" i="5"/>
  <c r="J10" i="32" s="1"/>
  <c r="L42" i="5"/>
  <c r="L42" i="32" s="1"/>
  <c r="H56" i="5"/>
  <c r="H56" i="32" s="1"/>
  <c r="N42" i="5"/>
  <c r="N42" i="32" s="1"/>
  <c r="K31" i="5"/>
  <c r="K31" i="32" s="1"/>
  <c r="M9" i="5"/>
  <c r="M9" i="32" s="1"/>
  <c r="J18" i="5"/>
  <c r="J18" i="32" s="1"/>
  <c r="L9" i="5"/>
  <c r="L9" i="32" s="1"/>
  <c r="C57" i="5"/>
  <c r="C57" i="32" s="1"/>
  <c r="H41" i="5"/>
  <c r="H41" i="32" s="1"/>
  <c r="K17" i="5"/>
  <c r="K17" i="32" s="1"/>
  <c r="L32" i="5"/>
  <c r="L32" i="32" s="1"/>
  <c r="F49" i="5"/>
  <c r="F49" i="32" s="1"/>
  <c r="N45" i="5"/>
  <c r="N45" i="32" s="1"/>
  <c r="I14" i="5"/>
  <c r="F15" i="5"/>
  <c r="F15" i="32" s="1"/>
  <c r="E40" i="5"/>
  <c r="E40" i="32" s="1"/>
  <c r="M36" i="5"/>
  <c r="M36" i="32" s="1"/>
  <c r="J39" i="5"/>
  <c r="J39" i="32" s="1"/>
  <c r="M50" i="5"/>
  <c r="M50" i="32" s="1"/>
  <c r="K57" i="5"/>
  <c r="K57" i="32" s="1"/>
  <c r="J52" i="5"/>
  <c r="J52" i="32" s="1"/>
  <c r="H43" i="5"/>
  <c r="H43" i="32" s="1"/>
  <c r="O9" i="5"/>
  <c r="H64" i="32"/>
  <c r="E36" i="5"/>
  <c r="E36" i="32" s="1"/>
  <c r="K37" i="5"/>
  <c r="K37" i="32" s="1"/>
  <c r="J59" i="5"/>
  <c r="J59" i="32" s="1"/>
  <c r="E51" i="5"/>
  <c r="E51" i="32" s="1"/>
  <c r="D10" i="5"/>
  <c r="D10" i="32" s="1"/>
  <c r="F29" i="5"/>
  <c r="F29" i="32" s="1"/>
  <c r="J65" i="32"/>
  <c r="G48" i="5"/>
  <c r="G48" i="32" s="1"/>
  <c r="I16" i="5"/>
  <c r="I16" i="32" s="1"/>
  <c r="E62" i="32"/>
  <c r="J54" i="5"/>
  <c r="J54" i="32" s="1"/>
  <c r="J36" i="5"/>
  <c r="J36" i="32" s="1"/>
  <c r="G7" i="5"/>
  <c r="G7" i="32" s="1"/>
  <c r="I25" i="5"/>
  <c r="I25" i="32" s="1"/>
  <c r="F31" i="5"/>
  <c r="F31" i="32" s="1"/>
  <c r="I45" i="5"/>
  <c r="I45" i="32" s="1"/>
  <c r="G23" i="5"/>
  <c r="G23" i="32" s="1"/>
  <c r="C24" i="5"/>
  <c r="C24" i="32" s="1"/>
  <c r="G42" i="5"/>
  <c r="G42" i="32" s="1"/>
  <c r="O37" i="5"/>
  <c r="I38" i="5"/>
  <c r="I38" i="32" s="1"/>
  <c r="F41" i="5"/>
  <c r="F41" i="32" s="1"/>
  <c r="O56" i="5"/>
  <c r="J9" i="5"/>
  <c r="J9" i="32" s="1"/>
  <c r="D37" i="5"/>
  <c r="D37" i="32" s="1"/>
  <c r="J34" i="5"/>
  <c r="J34" i="32" s="1"/>
  <c r="L62" i="32"/>
  <c r="K27" i="5"/>
  <c r="K27" i="32" s="1"/>
  <c r="H18" i="5"/>
  <c r="H18" i="32" s="1"/>
  <c r="E19" i="5"/>
  <c r="E19" i="32" s="1"/>
  <c r="O40" i="5"/>
  <c r="K39" i="5"/>
  <c r="K39" i="32" s="1"/>
  <c r="K52" i="5"/>
  <c r="K52" i="32" s="1"/>
  <c r="H65" i="32"/>
  <c r="G18" i="5"/>
  <c r="G18" i="32" s="1"/>
  <c r="H40" i="5"/>
  <c r="H40" i="32" s="1"/>
  <c r="I63" i="32"/>
  <c r="F16" i="5"/>
  <c r="F16" i="32" s="1"/>
  <c r="E32" i="5"/>
  <c r="E32" i="32" s="1"/>
  <c r="I58" i="5"/>
  <c r="I58" i="32" s="1"/>
  <c r="N51" i="5"/>
  <c r="N51" i="32" s="1"/>
  <c r="I40" i="5"/>
  <c r="I40" i="32" s="1"/>
  <c r="G22" i="5"/>
  <c r="G22" i="32" s="1"/>
  <c r="L16" i="5"/>
  <c r="L16" i="32" s="1"/>
  <c r="E25" i="5"/>
  <c r="E25" i="32" s="1"/>
  <c r="L26" i="5"/>
  <c r="L26" i="32" s="1"/>
  <c r="D6" i="5"/>
  <c r="F53" i="5"/>
  <c r="F53" i="32" s="1"/>
  <c r="N64" i="32"/>
  <c r="C31" i="5"/>
  <c r="C31" i="32" s="1"/>
  <c r="C7" i="5"/>
  <c r="C7" i="32" s="1"/>
  <c r="O18" i="5"/>
  <c r="C33" i="5"/>
  <c r="C33" i="32" s="1"/>
  <c r="M42" i="5"/>
  <c r="M42" i="32" s="1"/>
  <c r="G37" i="5"/>
  <c r="G37" i="32" s="1"/>
  <c r="O34" i="5"/>
  <c r="G49" i="5"/>
  <c r="G49" i="32" s="1"/>
  <c r="L10" i="5"/>
  <c r="L10" i="32" s="1"/>
  <c r="I65" i="32"/>
  <c r="C45" i="5"/>
  <c r="C45" i="32" s="1"/>
  <c r="I20" i="5"/>
  <c r="I20" i="32" s="1"/>
  <c r="F64" i="32"/>
  <c r="F62" i="32"/>
  <c r="C62" i="32"/>
  <c r="M14" i="5"/>
  <c r="F6" i="5"/>
  <c r="K63" i="32"/>
  <c r="D9" i="5"/>
  <c r="D9" i="32" s="1"/>
  <c r="G62" i="32"/>
  <c r="D63" i="32"/>
  <c r="M60" i="5"/>
  <c r="M60" i="32" s="1"/>
  <c r="J62" i="32"/>
  <c r="C47" i="5"/>
  <c r="C47" i="32" s="1"/>
  <c r="K14" i="5"/>
  <c r="N39" i="5"/>
  <c r="N39" i="32" s="1"/>
  <c r="C55" i="5"/>
  <c r="C55" i="32" s="1"/>
  <c r="I46" i="5"/>
  <c r="I46" i="32" s="1"/>
  <c r="O58" i="5"/>
  <c r="H60" i="5"/>
  <c r="H60" i="32" s="1"/>
  <c r="N24" i="5"/>
  <c r="N24" i="32" s="1"/>
  <c r="J51" i="5"/>
  <c r="J51" i="32" s="1"/>
  <c r="K26" i="5"/>
  <c r="K26" i="32" s="1"/>
  <c r="F19" i="5"/>
  <c r="F19" i="32" s="1"/>
  <c r="E10" i="5"/>
  <c r="E10" i="32" s="1"/>
  <c r="J19" i="5"/>
  <c r="J19" i="32" s="1"/>
  <c r="K50" i="5"/>
  <c r="K50" i="32" s="1"/>
  <c r="G6" i="5"/>
  <c r="G51" i="5"/>
  <c r="G51" i="32" s="1"/>
  <c r="L22" i="5"/>
  <c r="L22" i="32" s="1"/>
  <c r="J23" i="5"/>
  <c r="J23" i="32" s="1"/>
  <c r="G38" i="5"/>
  <c r="G38" i="32" s="1"/>
  <c r="G31" i="5"/>
  <c r="G31" i="32" s="1"/>
  <c r="M25" i="5"/>
  <c r="M25" i="32" s="1"/>
  <c r="J45" i="5"/>
  <c r="J45" i="32" s="1"/>
  <c r="M49" i="5"/>
  <c r="M49" i="32" s="1"/>
  <c r="F63" i="32"/>
  <c r="C43" i="5"/>
  <c r="C43" i="32" s="1"/>
  <c r="E7" i="5"/>
  <c r="E7" i="32" s="1"/>
  <c r="C44" i="5"/>
  <c r="C44" i="32" s="1"/>
  <c r="N7" i="5"/>
  <c r="N7" i="32" s="1"/>
  <c r="K38" i="5"/>
  <c r="K38" i="32" s="1"/>
  <c r="G65" i="32"/>
  <c r="N23" i="5"/>
  <c r="N23" i="32" s="1"/>
  <c r="M32" i="5"/>
  <c r="M32" i="32" s="1"/>
  <c r="C23" i="5"/>
  <c r="C23" i="32" s="1"/>
  <c r="E45" i="5"/>
  <c r="E45" i="32" s="1"/>
  <c r="F47" i="5"/>
  <c r="F47" i="32" s="1"/>
  <c r="E24" i="5"/>
  <c r="E24" i="32" s="1"/>
  <c r="E65" i="32"/>
  <c r="M19" i="5"/>
  <c r="M19" i="32" s="1"/>
  <c r="E34" i="5"/>
  <c r="E34" i="32" s="1"/>
  <c r="D51" i="5"/>
  <c r="D51" i="32" s="1"/>
  <c r="G35" i="5"/>
  <c r="G35" i="32" s="1"/>
  <c r="H36" i="5"/>
  <c r="H36" i="32" s="1"/>
  <c r="E15" i="5"/>
  <c r="E15" i="32" s="1"/>
  <c r="H62" i="32"/>
  <c r="F61" i="32"/>
  <c r="K23" i="5"/>
  <c r="K23" i="32" s="1"/>
  <c r="H45" i="5"/>
  <c r="H45" i="32" s="1"/>
  <c r="H39" i="5"/>
  <c r="H39" i="32" s="1"/>
  <c r="H61" i="32"/>
  <c r="C20" i="5"/>
  <c r="C20" i="32" s="1"/>
  <c r="H50" i="5"/>
  <c r="H50" i="32" s="1"/>
  <c r="J42" i="5"/>
  <c r="J42" i="32" s="1"/>
  <c r="N61" i="32"/>
  <c r="K64" i="32"/>
  <c r="K65" i="32"/>
  <c r="N57" i="5"/>
  <c r="N57" i="32" s="1"/>
  <c r="L60" i="5"/>
  <c r="L60" i="32" s="1"/>
  <c r="N17" i="5"/>
  <c r="N17" i="32" s="1"/>
  <c r="N62" i="32"/>
  <c r="G61" i="32"/>
  <c r="G64" i="32"/>
  <c r="G73" i="32"/>
  <c r="G67" i="32" s="1"/>
  <c r="O69" i="32"/>
  <c r="O73" i="32" s="1"/>
  <c r="O77" i="32"/>
  <c r="M28" i="5"/>
  <c r="M28" i="32" s="1"/>
  <c r="N10" i="5"/>
  <c r="N10" i="32" s="1"/>
  <c r="M41" i="5"/>
  <c r="M41" i="32" s="1"/>
  <c r="E58" i="5"/>
  <c r="E58" i="32" s="1"/>
  <c r="D21" i="5"/>
  <c r="D21" i="32" s="1"/>
  <c r="I36" i="5"/>
  <c r="I36" i="32" s="1"/>
  <c r="F60" i="5"/>
  <c r="F60" i="32" s="1"/>
  <c r="K54" i="5"/>
  <c r="K54" i="32" s="1"/>
  <c r="D27" i="5"/>
  <c r="D27" i="32" s="1"/>
  <c r="K42" i="5"/>
  <c r="K42" i="32" s="1"/>
  <c r="E21" i="5"/>
  <c r="E21" i="32" s="1"/>
  <c r="K36" i="5"/>
  <c r="K36" i="32" s="1"/>
  <c r="L40" i="5"/>
  <c r="L40" i="32" s="1"/>
  <c r="I34" i="5"/>
  <c r="I34" i="32" s="1"/>
  <c r="O16" i="5"/>
  <c r="O46" i="5"/>
  <c r="E28" i="5"/>
  <c r="E28" i="32" s="1"/>
  <c r="I30" i="5"/>
  <c r="I30" i="32" s="1"/>
  <c r="F22" i="5"/>
  <c r="F22" i="32" s="1"/>
  <c r="H42" i="5"/>
  <c r="H42" i="32" s="1"/>
  <c r="I49" i="5"/>
  <c r="I49" i="32" s="1"/>
  <c r="K48" i="5"/>
  <c r="K48" i="32" s="1"/>
  <c r="D46" i="5"/>
  <c r="D46" i="32" s="1"/>
  <c r="D7" i="5"/>
  <c r="D7" i="32" s="1"/>
  <c r="D41" i="5"/>
  <c r="D41" i="32" s="1"/>
  <c r="L63" i="32"/>
  <c r="G47" i="5"/>
  <c r="G47" i="32" s="1"/>
  <c r="L54" i="5"/>
  <c r="L54" i="32" s="1"/>
  <c r="N14" i="5"/>
  <c r="N65" i="32"/>
  <c r="J28" i="5"/>
  <c r="J28" i="32" s="1"/>
  <c r="N43" i="5"/>
  <c r="N43" i="32" s="1"/>
  <c r="L53" i="5"/>
  <c r="L53" i="32" s="1"/>
  <c r="L21" i="5"/>
  <c r="L21" i="32" s="1"/>
  <c r="K53" i="5"/>
  <c r="K53" i="32" s="1"/>
  <c r="L7" i="5"/>
  <c r="L7" i="32" s="1"/>
  <c r="L35" i="5"/>
  <c r="L35" i="32" s="1"/>
  <c r="F43" i="5"/>
  <c r="F43" i="32" s="1"/>
  <c r="I23" i="5"/>
  <c r="I23" i="32" s="1"/>
  <c r="M27" i="5"/>
  <c r="M27" i="32" s="1"/>
  <c r="C34" i="5"/>
  <c r="C34" i="32" s="1"/>
  <c r="M15" i="5"/>
  <c r="M15" i="32" s="1"/>
  <c r="K34" i="5"/>
  <c r="K34" i="32" s="1"/>
  <c r="M33" i="5"/>
  <c r="M33" i="32" s="1"/>
  <c r="D62" i="32"/>
  <c r="N56" i="5"/>
  <c r="N56" i="32" s="1"/>
  <c r="C64" i="32"/>
  <c r="F99" i="32"/>
  <c r="O97" i="32"/>
  <c r="O99" i="32" s="1"/>
  <c r="D64" i="32"/>
  <c r="C61" i="32"/>
  <c r="D22" i="5"/>
  <c r="D22" i="32" s="1"/>
  <c r="M38" i="5"/>
  <c r="M38" i="32" s="1"/>
  <c r="G53" i="5"/>
  <c r="G53" i="32" s="1"/>
  <c r="O29" i="5"/>
  <c r="E26" i="5"/>
  <c r="E26" i="32" s="1"/>
  <c r="D49" i="5"/>
  <c r="D49" i="32" s="1"/>
  <c r="L46" i="5"/>
  <c r="L46" i="32" s="1"/>
  <c r="J7" i="5"/>
  <c r="J7" i="32" s="1"/>
  <c r="H25" i="5"/>
  <c r="H25" i="32" s="1"/>
  <c r="F35" i="5"/>
  <c r="F35" i="32" s="1"/>
  <c r="K60" i="5"/>
  <c r="K60" i="32" s="1"/>
  <c r="D25" i="5"/>
  <c r="D25" i="32" s="1"/>
  <c r="G19" i="5"/>
  <c r="G19" i="32" s="1"/>
  <c r="H38" i="5"/>
  <c r="H38" i="32" s="1"/>
  <c r="O55" i="5"/>
  <c r="L37" i="5"/>
  <c r="L37" i="32" s="1"/>
  <c r="O26" i="5"/>
  <c r="I59" i="5"/>
  <c r="I59" i="32" s="1"/>
  <c r="M16" i="5"/>
  <c r="M16" i="32" s="1"/>
  <c r="E20" i="5"/>
  <c r="E20" i="32" s="1"/>
  <c r="O49" i="5"/>
  <c r="I37" i="5"/>
  <c r="I37" i="32" s="1"/>
  <c r="K59" i="5"/>
  <c r="K59" i="32" s="1"/>
  <c r="G26" i="5"/>
  <c r="G26" i="32" s="1"/>
  <c r="M54" i="5"/>
  <c r="M54" i="32" s="1"/>
  <c r="I50" i="5"/>
  <c r="I50" i="32" s="1"/>
  <c r="G55" i="5"/>
  <c r="G55" i="32" s="1"/>
  <c r="H6" i="5"/>
  <c r="D26" i="5"/>
  <c r="D26" i="32" s="1"/>
  <c r="N48" i="5"/>
  <c r="N48" i="32" s="1"/>
  <c r="E16" i="5"/>
  <c r="E16" i="32" s="1"/>
  <c r="O59" i="5"/>
  <c r="K18" i="5"/>
  <c r="K18" i="32" s="1"/>
  <c r="C21" i="5"/>
  <c r="C21" i="32" s="1"/>
  <c r="L15" i="5"/>
  <c r="L15" i="32" s="1"/>
  <c r="D48" i="5"/>
  <c r="D48" i="32" s="1"/>
  <c r="K43" i="5"/>
  <c r="K43" i="32" s="1"/>
  <c r="J58" i="5"/>
  <c r="J58" i="32" s="1"/>
  <c r="E27" i="5"/>
  <c r="E27" i="32" s="1"/>
  <c r="E59" i="5"/>
  <c r="E59" i="32" s="1"/>
  <c r="C18" i="5"/>
  <c r="C18" i="32" s="1"/>
  <c r="K46" i="5"/>
  <c r="K46" i="32" s="1"/>
  <c r="J15" i="5"/>
  <c r="J15" i="32" s="1"/>
  <c r="I47" i="5"/>
  <c r="I47" i="32" s="1"/>
  <c r="K58" i="5"/>
  <c r="K58" i="32" s="1"/>
  <c r="M58" i="5"/>
  <c r="M58" i="32" s="1"/>
  <c r="M21" i="5"/>
  <c r="M21" i="32" s="1"/>
  <c r="M65" i="32"/>
  <c r="M18" i="5"/>
  <c r="M18" i="32" s="1"/>
  <c r="G58" i="5"/>
  <c r="G58" i="32" s="1"/>
  <c r="H53" i="5"/>
  <c r="H53" i="32" s="1"/>
  <c r="I7" i="5"/>
  <c r="I7" i="32" s="1"/>
  <c r="J32" i="5"/>
  <c r="J32" i="32" s="1"/>
  <c r="F30" i="5"/>
  <c r="F30" i="32" s="1"/>
  <c r="H26" i="5"/>
  <c r="H26" i="32" s="1"/>
  <c r="C15" i="5"/>
  <c r="C15" i="32" s="1"/>
  <c r="D24" i="5"/>
  <c r="D24" i="32" s="1"/>
  <c r="M57" i="5"/>
  <c r="M57" i="32" s="1"/>
  <c r="G44" i="5"/>
  <c r="G44" i="32" s="1"/>
  <c r="C60" i="5"/>
  <c r="C60" i="32" s="1"/>
  <c r="C49" i="5"/>
  <c r="C49" i="32" s="1"/>
  <c r="N28" i="5"/>
  <c r="N28" i="32" s="1"/>
  <c r="H47" i="5"/>
  <c r="H47" i="32" s="1"/>
  <c r="O41" i="5"/>
  <c r="F36" i="5"/>
  <c r="F36" i="32" s="1"/>
  <c r="I57" i="5"/>
  <c r="I57" i="32" s="1"/>
  <c r="K49" i="5"/>
  <c r="K49" i="32" s="1"/>
  <c r="K16" i="5"/>
  <c r="K16" i="32" s="1"/>
  <c r="F23" i="5"/>
  <c r="F23" i="32" s="1"/>
  <c r="N41" i="5"/>
  <c r="N41" i="32" s="1"/>
  <c r="D40" i="5"/>
  <c r="D40" i="32" s="1"/>
  <c r="N36" i="5"/>
  <c r="N36" i="32" s="1"/>
  <c r="I51" i="5"/>
  <c r="I51" i="32" s="1"/>
  <c r="L39" i="5"/>
  <c r="L39" i="32" s="1"/>
  <c r="H57" i="5"/>
  <c r="H57" i="32" s="1"/>
  <c r="M52" i="5"/>
  <c r="M52" i="32" s="1"/>
  <c r="C58" i="5"/>
  <c r="C58" i="32" s="1"/>
  <c r="F28" i="5"/>
  <c r="F28" i="32" s="1"/>
  <c r="J35" i="5"/>
  <c r="J35" i="32" s="1"/>
  <c r="O52" i="5"/>
  <c r="K47" i="5"/>
  <c r="K47" i="32" s="1"/>
  <c r="K28" i="5"/>
  <c r="K28" i="32" s="1"/>
  <c r="I39" i="5"/>
  <c r="I39" i="32" s="1"/>
  <c r="L59" i="5"/>
  <c r="L59" i="32" s="1"/>
  <c r="L45" i="5"/>
  <c r="L45" i="32" s="1"/>
  <c r="F57" i="5"/>
  <c r="F57" i="32" s="1"/>
  <c r="D44" i="5"/>
  <c r="D44" i="32" s="1"/>
  <c r="E33" i="5"/>
  <c r="E33" i="32" s="1"/>
  <c r="H28" i="5"/>
  <c r="H28" i="32" s="1"/>
  <c r="I55" i="5"/>
  <c r="I55" i="32" s="1"/>
  <c r="M23" i="5"/>
  <c r="M23" i="32" s="1"/>
  <c r="F56" i="5"/>
  <c r="F56" i="32" s="1"/>
  <c r="N44" i="5"/>
  <c r="N44" i="32" s="1"/>
  <c r="L6" i="5"/>
  <c r="C19" i="5"/>
  <c r="C19" i="32" s="1"/>
  <c r="D47" i="5"/>
  <c r="D47" i="32" s="1"/>
  <c r="J24" i="5"/>
  <c r="J24" i="32" s="1"/>
  <c r="L44" i="5"/>
  <c r="L44" i="32" s="1"/>
  <c r="J22" i="5"/>
  <c r="J22" i="32" s="1"/>
  <c r="F55" i="5"/>
  <c r="F55" i="32" s="1"/>
  <c r="E57" i="5"/>
  <c r="E57" i="32" s="1"/>
  <c r="J17" i="5"/>
  <c r="J17" i="32" s="1"/>
  <c r="G60" i="5"/>
  <c r="G60" i="32" s="1"/>
  <c r="O47" i="5"/>
  <c r="L25" i="5"/>
  <c r="L25" i="32" s="1"/>
  <c r="L58" i="5"/>
  <c r="L58" i="32" s="1"/>
  <c r="F50" i="5"/>
  <c r="F50" i="32" s="1"/>
  <c r="O42" i="5"/>
  <c r="H48" i="5"/>
  <c r="H48" i="32" s="1"/>
  <c r="N49" i="5"/>
  <c r="N49" i="32" s="1"/>
  <c r="L34" i="5"/>
  <c r="L34" i="32" s="1"/>
  <c r="E14" i="5"/>
  <c r="E43" i="5"/>
  <c r="E43" i="32" s="1"/>
  <c r="K7" i="5"/>
  <c r="K7" i="32" s="1"/>
  <c r="F46" i="5"/>
  <c r="F46" i="32" s="1"/>
  <c r="C26" i="5"/>
  <c r="C26" i="32" s="1"/>
  <c r="L47" i="5"/>
  <c r="L47" i="32" s="1"/>
  <c r="F65" i="32"/>
  <c r="M29" i="5"/>
  <c r="M29" i="32" s="1"/>
  <c r="H31" i="5"/>
  <c r="H31" i="32" s="1"/>
  <c r="N47" i="5"/>
  <c r="N47" i="32" s="1"/>
  <c r="C29" i="5"/>
  <c r="C29" i="32" s="1"/>
  <c r="I17" i="5"/>
  <c r="I17" i="32" s="1"/>
  <c r="D54" i="5"/>
  <c r="D54" i="32" s="1"/>
  <c r="D58" i="5"/>
  <c r="D58" i="32" s="1"/>
  <c r="G15" i="5"/>
  <c r="G15" i="32" s="1"/>
  <c r="H16" i="5"/>
  <c r="H16" i="32" s="1"/>
  <c r="E17" i="5"/>
  <c r="E17" i="32" s="1"/>
  <c r="H54" i="5"/>
  <c r="H54" i="32" s="1"/>
  <c r="E54" i="5"/>
  <c r="E54" i="32" s="1"/>
  <c r="N52" i="5"/>
  <c r="N52" i="32" s="1"/>
  <c r="G54" i="5"/>
  <c r="G54" i="32" s="1"/>
  <c r="G50" i="5"/>
  <c r="G50" i="32" s="1"/>
  <c r="I18" i="5"/>
  <c r="I18" i="32" s="1"/>
  <c r="C37" i="5"/>
  <c r="C37" i="32" s="1"/>
  <c r="C32" i="5"/>
  <c r="C32" i="32" s="1"/>
  <c r="C59" i="5"/>
  <c r="C59" i="32" s="1"/>
  <c r="J56" i="5"/>
  <c r="J56" i="32" s="1"/>
  <c r="O31" i="5"/>
  <c r="C50" i="5"/>
  <c r="C50" i="32" s="1"/>
  <c r="N20" i="5"/>
  <c r="N20" i="32" s="1"/>
  <c r="O22" i="5"/>
  <c r="J57" i="5"/>
  <c r="J57" i="32" s="1"/>
  <c r="M35" i="5"/>
  <c r="M35" i="32" s="1"/>
  <c r="F7" i="5"/>
  <c r="F7" i="32" s="1"/>
  <c r="K22" i="5"/>
  <c r="K22" i="32" s="1"/>
  <c r="G39" i="5"/>
  <c r="G39" i="32" s="1"/>
  <c r="C52" i="5"/>
  <c r="C52" i="32" s="1"/>
  <c r="N19" i="5"/>
  <c r="N19" i="32" s="1"/>
  <c r="I9" i="5"/>
  <c r="I9" i="32" s="1"/>
  <c r="J38" i="5"/>
  <c r="J38" i="32" s="1"/>
  <c r="O19" i="5"/>
  <c r="E6" i="5"/>
  <c r="D35" i="5"/>
  <c r="D35" i="32" s="1"/>
  <c r="N60" i="5"/>
  <c r="N60" i="32" s="1"/>
  <c r="K45" i="5"/>
  <c r="K45" i="32" s="1"/>
  <c r="G57" i="5"/>
  <c r="G57" i="32" s="1"/>
  <c r="I26" i="5"/>
  <c r="I26" i="32" s="1"/>
  <c r="G34" i="5"/>
  <c r="G34" i="32" s="1"/>
  <c r="D38" i="5"/>
  <c r="D38" i="32" s="1"/>
  <c r="M6" i="5"/>
  <c r="D15" i="5"/>
  <c r="D15" i="32" s="1"/>
  <c r="H49" i="5"/>
  <c r="H49" i="32" s="1"/>
  <c r="F17" i="5"/>
  <c r="F17" i="32" s="1"/>
  <c r="F21" i="5"/>
  <c r="F21" i="32" s="1"/>
  <c r="N33" i="5"/>
  <c r="N33" i="32" s="1"/>
  <c r="H17" i="5"/>
  <c r="H17" i="32" s="1"/>
  <c r="I53" i="5"/>
  <c r="I53" i="32" s="1"/>
  <c r="G36" i="5"/>
  <c r="G36" i="32" s="1"/>
  <c r="O6" i="5"/>
  <c r="C14" i="5"/>
  <c r="E60" i="5"/>
  <c r="E60" i="32" s="1"/>
  <c r="I41" i="5"/>
  <c r="I41" i="32" s="1"/>
  <c r="K25" i="5"/>
  <c r="K25" i="32" s="1"/>
  <c r="M10" i="5"/>
  <c r="M10" i="32" s="1"/>
  <c r="D17" i="5"/>
  <c r="D17" i="32" s="1"/>
  <c r="G29" i="5"/>
  <c r="G29" i="32" s="1"/>
  <c r="E50" i="5"/>
  <c r="E50" i="32" s="1"/>
  <c r="I44" i="5"/>
  <c r="I44" i="32" s="1"/>
  <c r="L38" i="5"/>
  <c r="L38" i="32" s="1"/>
  <c r="D42" i="5"/>
  <c r="D42" i="32" s="1"/>
  <c r="I15" i="5"/>
  <c r="I15" i="32" s="1"/>
  <c r="F42" i="5"/>
  <c r="F42" i="32" s="1"/>
  <c r="D31" i="5"/>
  <c r="D31" i="32" s="1"/>
  <c r="L43" i="5"/>
  <c r="L43" i="32" s="1"/>
  <c r="E35" i="5"/>
  <c r="E35" i="32" s="1"/>
  <c r="I60" i="5"/>
  <c r="I60" i="32" s="1"/>
  <c r="D60" i="5"/>
  <c r="D60" i="32" s="1"/>
  <c r="N58" i="5"/>
  <c r="N58" i="32" s="1"/>
  <c r="F20" i="5"/>
  <c r="F20" i="32" s="1"/>
  <c r="G59" i="5"/>
  <c r="G59" i="32" s="1"/>
  <c r="H44" i="5"/>
  <c r="H44" i="32" s="1"/>
  <c r="H58" i="5"/>
  <c r="H58" i="32" s="1"/>
  <c r="H10" i="5"/>
  <c r="H10" i="32" s="1"/>
  <c r="E41" i="5"/>
  <c r="E41" i="32" s="1"/>
  <c r="D50" i="5"/>
  <c r="D50" i="32" s="1"/>
  <c r="L50" i="5"/>
  <c r="L50" i="32" s="1"/>
  <c r="H55" i="5"/>
  <c r="H55" i="32" s="1"/>
  <c r="O36" i="5"/>
  <c r="F52" i="5"/>
  <c r="F52" i="32" s="1"/>
  <c r="J30" i="5"/>
  <c r="J30" i="32" s="1"/>
  <c r="C10" i="5"/>
  <c r="C10" i="32" s="1"/>
  <c r="D36" i="5"/>
  <c r="D36" i="32" s="1"/>
  <c r="K21" i="5"/>
  <c r="K21" i="32" s="1"/>
  <c r="J25" i="5"/>
  <c r="J25" i="32" s="1"/>
  <c r="O39" i="5"/>
  <c r="G41" i="5"/>
  <c r="G41" i="32" s="1"/>
  <c r="N27" i="5"/>
  <c r="N27" i="32" s="1"/>
  <c r="J44" i="5"/>
  <c r="J44" i="32" s="1"/>
  <c r="D57" i="5"/>
  <c r="D57" i="32" s="1"/>
  <c r="G14" i="5"/>
  <c r="K9" i="5"/>
  <c r="K9" i="32" s="1"/>
  <c r="L56" i="5"/>
  <c r="L56" i="32" s="1"/>
  <c r="I29" i="5"/>
  <c r="I29" i="32" s="1"/>
  <c r="O38" i="5"/>
  <c r="D33" i="5"/>
  <c r="D33" i="32" s="1"/>
  <c r="L14" i="5"/>
  <c r="J29" i="5"/>
  <c r="J29" i="32" s="1"/>
  <c r="G27" i="5"/>
  <c r="G27" i="32" s="1"/>
  <c r="M26" i="5"/>
  <c r="M26" i="32" s="1"/>
  <c r="L36" i="5"/>
  <c r="L36" i="32" s="1"/>
  <c r="F10" i="5"/>
  <c r="F10" i="32" s="1"/>
  <c r="F37" i="5"/>
  <c r="F37" i="32" s="1"/>
  <c r="D14" i="5"/>
  <c r="E18" i="5"/>
  <c r="E18" i="32" s="1"/>
  <c r="C51" i="5"/>
  <c r="C51" i="32" s="1"/>
  <c r="O35" i="5"/>
  <c r="F33" i="5"/>
  <c r="F33" i="32" s="1"/>
  <c r="O24" i="5"/>
  <c r="N35" i="5"/>
  <c r="N35" i="32" s="1"/>
  <c r="F38" i="5"/>
  <c r="F38" i="32" s="1"/>
  <c r="K35" i="5"/>
  <c r="K35" i="32" s="1"/>
  <c r="F9" i="5"/>
  <c r="F9" i="32" s="1"/>
  <c r="C54" i="5"/>
  <c r="C54" i="32" s="1"/>
  <c r="D55" i="5"/>
  <c r="D55" i="32" s="1"/>
  <c r="D53" i="5"/>
  <c r="D53" i="32" s="1"/>
  <c r="G16" i="5"/>
  <c r="G16" i="32" s="1"/>
  <c r="G30" i="5"/>
  <c r="G30" i="32" s="1"/>
  <c r="K30" i="5"/>
  <c r="K30" i="32" s="1"/>
  <c r="D65" i="32"/>
  <c r="M31" i="5"/>
  <c r="M31" i="32" s="1"/>
  <c r="N34" i="5"/>
  <c r="N34" i="32" s="1"/>
  <c r="L64" i="32"/>
  <c r="N50" i="5"/>
  <c r="N50" i="32" s="1"/>
  <c r="C53" i="5"/>
  <c r="C53" i="32" s="1"/>
  <c r="N18" i="5"/>
  <c r="N18" i="32" s="1"/>
  <c r="O51" i="5"/>
  <c r="O10" i="5"/>
  <c r="O79" i="5" s="1"/>
  <c r="O67" i="5" s="1"/>
  <c r="J53" i="5"/>
  <c r="J53" i="32" s="1"/>
  <c r="L23" i="5"/>
  <c r="L23" i="32" s="1"/>
  <c r="M7" i="5"/>
  <c r="M7" i="32" s="1"/>
  <c r="H34" i="5"/>
  <c r="H34" i="32" s="1"/>
  <c r="E29" i="5"/>
  <c r="E29" i="32" s="1"/>
  <c r="H22" i="5"/>
  <c r="H22" i="32" s="1"/>
  <c r="M37" i="5"/>
  <c r="M37" i="32" s="1"/>
  <c r="H23" i="5"/>
  <c r="H23" i="32" s="1"/>
  <c r="E55" i="5"/>
  <c r="E55" i="32" s="1"/>
  <c r="H15" i="5"/>
  <c r="H15" i="32" s="1"/>
  <c r="D30" i="5"/>
  <c r="D30" i="32" s="1"/>
  <c r="F34" i="5"/>
  <c r="F34" i="32" s="1"/>
  <c r="M17" i="5"/>
  <c r="M17" i="32" s="1"/>
  <c r="G45" i="5"/>
  <c r="G45" i="32" s="1"/>
  <c r="G9" i="5"/>
  <c r="G9" i="32" s="1"/>
  <c r="D19" i="5"/>
  <c r="D19" i="32" s="1"/>
  <c r="C40" i="5"/>
  <c r="C40" i="32" s="1"/>
  <c r="O7" i="5"/>
  <c r="G33" i="5"/>
  <c r="G33" i="32" s="1"/>
  <c r="J20" i="5"/>
  <c r="J20" i="32" s="1"/>
  <c r="N32" i="5"/>
  <c r="N32" i="32" s="1"/>
  <c r="O93" i="32"/>
  <c r="C94" i="32"/>
  <c r="G28" i="5"/>
  <c r="G28" i="32" s="1"/>
  <c r="O30" i="5"/>
  <c r="M62" i="32"/>
  <c r="L61" i="32"/>
  <c r="I56" i="5"/>
  <c r="I56" i="32" s="1"/>
  <c r="H35" i="5"/>
  <c r="H35" i="32" s="1"/>
  <c r="O45" i="5"/>
  <c r="L17" i="5"/>
  <c r="L17" i="32" s="1"/>
  <c r="I64" i="32"/>
  <c r="M61" i="32"/>
  <c r="D61" i="32"/>
  <c r="O28" i="5"/>
  <c r="O50" i="5"/>
  <c r="M55" i="5"/>
  <c r="M55" i="32" s="1"/>
  <c r="F26" i="5"/>
  <c r="F26" i="32" s="1"/>
  <c r="D32" i="5"/>
  <c r="D32" i="32" s="1"/>
  <c r="C9" i="5"/>
  <c r="C9" i="32" s="1"/>
  <c r="F54" i="5"/>
  <c r="F54" i="32" s="1"/>
  <c r="D56" i="5"/>
  <c r="D56" i="32" s="1"/>
  <c r="M53" i="5"/>
  <c r="M53" i="32" s="1"/>
  <c r="I32" i="5"/>
  <c r="I32" i="32" s="1"/>
  <c r="C16" i="5"/>
  <c r="C16" i="32" s="1"/>
  <c r="N16" i="5"/>
  <c r="N16" i="32" s="1"/>
  <c r="E39" i="5"/>
  <c r="E39" i="32" s="1"/>
  <c r="H27" i="5"/>
  <c r="H27" i="32" s="1"/>
  <c r="G32" i="5"/>
  <c r="G32" i="32" s="1"/>
  <c r="D28" i="5"/>
  <c r="D28" i="32" s="1"/>
  <c r="F27" i="5"/>
  <c r="F27" i="32" s="1"/>
  <c r="N25" i="5"/>
  <c r="N25" i="32" s="1"/>
  <c r="H29" i="5"/>
  <c r="H29" i="32" s="1"/>
  <c r="O57" i="5"/>
  <c r="D52" i="5"/>
  <c r="D52" i="32" s="1"/>
  <c r="J33" i="5"/>
  <c r="J33" i="32" s="1"/>
  <c r="J49" i="5"/>
  <c r="J49" i="32" s="1"/>
  <c r="E30" i="5"/>
  <c r="E30" i="32" s="1"/>
  <c r="L27" i="5"/>
  <c r="L27" i="32" s="1"/>
  <c r="L65" i="32"/>
  <c r="M56" i="5"/>
  <c r="M56" i="32" s="1"/>
  <c r="E63" i="32"/>
  <c r="C35" i="5"/>
  <c r="C35" i="32" s="1"/>
  <c r="D16" i="5"/>
  <c r="D16" i="32" s="1"/>
  <c r="K6" i="5"/>
  <c r="D39" i="5"/>
  <c r="D39" i="32" s="1"/>
  <c r="G52" i="5"/>
  <c r="G52" i="32" s="1"/>
  <c r="H51" i="5"/>
  <c r="H51" i="32" s="1"/>
  <c r="J37" i="5"/>
  <c r="J37" i="32" s="1"/>
  <c r="E9" i="5"/>
  <c r="E9" i="32" s="1"/>
  <c r="F40" i="5"/>
  <c r="F40" i="32" s="1"/>
  <c r="J14" i="5"/>
  <c r="C41" i="5"/>
  <c r="C41" i="32" s="1"/>
  <c r="J16" i="5"/>
  <c r="J16" i="32" s="1"/>
  <c r="G20" i="5"/>
  <c r="G20" i="32" s="1"/>
  <c r="I42" i="5"/>
  <c r="I42" i="32" s="1"/>
  <c r="C65" i="32"/>
  <c r="D20" i="5"/>
  <c r="D20" i="32" s="1"/>
  <c r="M22" i="5"/>
  <c r="M22" i="32" s="1"/>
  <c r="E52" i="5"/>
  <c r="E52" i="32" s="1"/>
  <c r="C22" i="5"/>
  <c r="C22" i="32" s="1"/>
  <c r="M24" i="5"/>
  <c r="M24" i="32" s="1"/>
  <c r="G63" i="32"/>
  <c r="L41" i="5"/>
  <c r="L41" i="32" s="1"/>
  <c r="C30" i="5"/>
  <c r="C30" i="32" s="1"/>
  <c r="N15" i="5"/>
  <c r="N15" i="32" s="1"/>
  <c r="L48" i="5"/>
  <c r="L48" i="32" s="1"/>
  <c r="L55" i="5"/>
  <c r="L55" i="32" s="1"/>
  <c r="M40" i="5"/>
  <c r="M40" i="32" s="1"/>
  <c r="K41" i="5"/>
  <c r="K41" i="32" s="1"/>
  <c r="H24" i="5"/>
  <c r="H24" i="32" s="1"/>
  <c r="E44" i="5"/>
  <c r="E44" i="32" s="1"/>
  <c r="I52" i="5"/>
  <c r="I52" i="32" s="1"/>
  <c r="L28" i="5"/>
  <c r="L28" i="32" s="1"/>
  <c r="H63" i="32"/>
  <c r="I6" i="5"/>
  <c r="K40" i="5"/>
  <c r="K40" i="32" s="1"/>
  <c r="M59" i="5"/>
  <c r="M59" i="32" s="1"/>
  <c r="J43" i="5"/>
  <c r="J43" i="32" s="1"/>
  <c r="H32" i="5"/>
  <c r="H32" i="32" s="1"/>
  <c r="H21" i="5"/>
  <c r="H21" i="32" s="1"/>
  <c r="G46" i="5"/>
  <c r="G46" i="32" s="1"/>
  <c r="O15" i="5"/>
  <c r="O60" i="5"/>
  <c r="G24" i="5"/>
  <c r="G24" i="32" s="1"/>
  <c r="N29" i="5"/>
  <c r="N29" i="32" s="1"/>
  <c r="M43" i="5"/>
  <c r="M43" i="32" s="1"/>
  <c r="N46" i="5"/>
  <c r="N46" i="32" s="1"/>
  <c r="O54" i="5"/>
  <c r="N55" i="5"/>
  <c r="N55" i="32" s="1"/>
  <c r="F25" i="5"/>
  <c r="F25" i="32" s="1"/>
  <c r="J50" i="5"/>
  <c r="J50" i="32" s="1"/>
  <c r="N26" i="5"/>
  <c r="N26" i="32" s="1"/>
  <c r="D18" i="5"/>
  <c r="D18" i="32" s="1"/>
  <c r="G56" i="5"/>
  <c r="G56" i="32" s="1"/>
  <c r="J61" i="32"/>
  <c r="F44" i="5"/>
  <c r="F44" i="32" s="1"/>
  <c r="C27" i="5"/>
  <c r="C27" i="32" s="1"/>
  <c r="H20" i="5"/>
  <c r="H20" i="32" s="1"/>
  <c r="J21" i="5"/>
  <c r="J21" i="32" s="1"/>
  <c r="C6" i="5"/>
  <c r="C42" i="5"/>
  <c r="C42" i="32" s="1"/>
  <c r="J27" i="5"/>
  <c r="J27" i="32" s="1"/>
  <c r="I28" i="5"/>
  <c r="I28" i="32" s="1"/>
  <c r="C46" i="5"/>
  <c r="C46" i="32" s="1"/>
  <c r="O20" i="5"/>
  <c r="M64" i="32"/>
  <c r="D43" i="5"/>
  <c r="D43" i="32" s="1"/>
  <c r="M46" i="5"/>
  <c r="M46" i="32" s="1"/>
  <c r="G25" i="5"/>
  <c r="G25" i="32" s="1"/>
  <c r="E49" i="5"/>
  <c r="E49" i="32" s="1"/>
  <c r="M20" i="5"/>
  <c r="M20" i="32" s="1"/>
  <c r="D23" i="5"/>
  <c r="D23" i="32" s="1"/>
  <c r="M48" i="5"/>
  <c r="M48" i="32" s="1"/>
  <c r="N6" i="5"/>
  <c r="M63" i="32"/>
  <c r="E31" i="5"/>
  <c r="E31" i="32" s="1"/>
  <c r="N40" i="5"/>
  <c r="N40" i="32" s="1"/>
  <c r="I48" i="5"/>
  <c r="I48" i="32" s="1"/>
  <c r="N54" i="5"/>
  <c r="N54" i="32" s="1"/>
  <c r="N31" i="5"/>
  <c r="N31" i="32" s="1"/>
  <c r="M45" i="5"/>
  <c r="M45" i="32" s="1"/>
  <c r="I21" i="5"/>
  <c r="I21" i="32" s="1"/>
  <c r="I19" i="5"/>
  <c r="I19" i="32" s="1"/>
  <c r="L30" i="5"/>
  <c r="L30" i="32" s="1"/>
  <c r="K10" i="5"/>
  <c r="K10" i="32" s="1"/>
  <c r="O27" i="5"/>
  <c r="D45" i="5"/>
  <c r="D45" i="32" s="1"/>
  <c r="J26" i="5"/>
  <c r="J26" i="32" s="1"/>
  <c r="M34" i="5"/>
  <c r="M34" i="32" s="1"/>
  <c r="H33" i="5"/>
  <c r="H33" i="32" s="1"/>
  <c r="I33" i="5"/>
  <c r="I33" i="32" s="1"/>
  <c r="O43" i="5"/>
  <c r="J31" i="5"/>
  <c r="J31" i="32" s="1"/>
  <c r="C25" i="5"/>
  <c r="C25" i="32" s="1"/>
  <c r="E47" i="5"/>
  <c r="E47" i="32" s="1"/>
  <c r="J41" i="5"/>
  <c r="J41" i="32" s="1"/>
  <c r="F24" i="5"/>
  <c r="F24" i="32" s="1"/>
  <c r="I35" i="5"/>
  <c r="I35" i="32" s="1"/>
  <c r="E56" i="5"/>
  <c r="E56" i="32" s="1"/>
  <c r="N30" i="5"/>
  <c r="N30" i="32" s="1"/>
  <c r="M44" i="5"/>
  <c r="M44" i="32" s="1"/>
  <c r="O25" i="5"/>
  <c r="C36" i="5"/>
  <c r="C36" i="32" s="1"/>
  <c r="L57" i="5"/>
  <c r="L57" i="32" s="1"/>
  <c r="L33" i="5"/>
  <c r="L33" i="32" s="1"/>
  <c r="N38" i="5"/>
  <c r="N38" i="32" s="1"/>
  <c r="I43" i="5"/>
  <c r="I43" i="32" s="1"/>
  <c r="G43" i="5"/>
  <c r="G43" i="32" s="1"/>
  <c r="J63" i="32"/>
  <c r="I22" i="5"/>
  <c r="I22" i="32" s="1"/>
  <c r="F14" i="5"/>
  <c r="L51" i="5"/>
  <c r="L51" i="32" s="1"/>
  <c r="L31" i="5"/>
  <c r="L31" i="32" s="1"/>
  <c r="H59" i="5"/>
  <c r="H59" i="32" s="1"/>
  <c r="G40" i="5"/>
  <c r="G40" i="32" s="1"/>
  <c r="M51" i="5"/>
  <c r="M51" i="32" s="1"/>
  <c r="J46" i="5"/>
  <c r="J46" i="32" s="1"/>
  <c r="F58" i="5"/>
  <c r="F58" i="32" s="1"/>
  <c r="E42" i="5"/>
  <c r="E42" i="32" s="1"/>
  <c r="E38" i="5"/>
  <c r="E38" i="32" s="1"/>
  <c r="K33" i="5"/>
  <c r="K33" i="32" s="1"/>
  <c r="I31" i="5"/>
  <c r="I31" i="32" s="1"/>
  <c r="O79" i="32" l="1"/>
  <c r="O94" i="32"/>
  <c r="O42" i="32"/>
  <c r="O54" i="32"/>
  <c r="O51" i="32"/>
  <c r="C14" i="32"/>
  <c r="C13" i="5"/>
  <c r="F3" i="10" s="1" a="1"/>
  <c r="F3" i="10" s="1"/>
  <c r="G6" i="32"/>
  <c r="G8" i="32" s="1"/>
  <c r="G5" i="32" s="1"/>
  <c r="G12" i="32" s="1"/>
  <c r="G8" i="5"/>
  <c r="G5" i="5" s="1"/>
  <c r="G12" i="5" s="1"/>
  <c r="O56" i="32"/>
  <c r="C6" i="32"/>
  <c r="C8" i="5"/>
  <c r="C5" i="5" s="1"/>
  <c r="C12" i="5" s="1"/>
  <c r="K6" i="32"/>
  <c r="K8" i="32" s="1"/>
  <c r="K5" i="32" s="1"/>
  <c r="K12" i="32" s="1"/>
  <c r="K8" i="5"/>
  <c r="K5" i="5" s="1"/>
  <c r="K12" i="5" s="1"/>
  <c r="O40" i="32"/>
  <c r="O10" i="32"/>
  <c r="O8" i="5"/>
  <c r="O5" i="5" s="1"/>
  <c r="O12" i="5" s="1"/>
  <c r="O29" i="32"/>
  <c r="O21" i="32"/>
  <c r="N14" i="32"/>
  <c r="N13" i="32" s="1"/>
  <c r="N13" i="5"/>
  <c r="Q3" i="10" s="1" a="1"/>
  <c r="Q3" i="10" s="1"/>
  <c r="D6" i="32"/>
  <c r="D8" i="32" s="1"/>
  <c r="D5" i="32" s="1"/>
  <c r="D12" i="32" s="1"/>
  <c r="D8" i="5"/>
  <c r="D5" i="5" s="1"/>
  <c r="D12" i="5" s="1"/>
  <c r="O57" i="32"/>
  <c r="I6" i="32"/>
  <c r="I8" i="32" s="1"/>
  <c r="I5" i="32" s="1"/>
  <c r="I12" i="32" s="1"/>
  <c r="I8" i="5"/>
  <c r="I5" i="5" s="1"/>
  <c r="I12" i="5" s="1"/>
  <c r="J14" i="32"/>
  <c r="J13" i="32" s="1"/>
  <c r="J13" i="5"/>
  <c r="M3" i="10" s="1" a="1"/>
  <c r="M3" i="10" s="1"/>
  <c r="O9" i="32"/>
  <c r="D13" i="5"/>
  <c r="G3" i="10" s="1" a="1"/>
  <c r="G3" i="10" s="1"/>
  <c r="D14" i="32"/>
  <c r="D13" i="32" s="1"/>
  <c r="L13" i="5"/>
  <c r="O3" i="10" s="1" a="1"/>
  <c r="O3" i="10" s="1"/>
  <c r="L14" i="32"/>
  <c r="L13" i="32" s="1"/>
  <c r="M6" i="32"/>
  <c r="M8" i="32" s="1"/>
  <c r="M5" i="32" s="1"/>
  <c r="M12" i="32" s="1"/>
  <c r="M8" i="5"/>
  <c r="M5" i="5" s="1"/>
  <c r="M12" i="5" s="1"/>
  <c r="E8" i="5"/>
  <c r="E5" i="5" s="1"/>
  <c r="E12" i="5" s="1"/>
  <c r="E6" i="32"/>
  <c r="E8" i="32" s="1"/>
  <c r="E5" i="32" s="1"/>
  <c r="E12" i="32" s="1"/>
  <c r="O59" i="32"/>
  <c r="O18" i="32"/>
  <c r="I13" i="5"/>
  <c r="L3" i="10" s="1" a="1"/>
  <c r="L3" i="10" s="1"/>
  <c r="I14" i="32"/>
  <c r="I13" i="32" s="1"/>
  <c r="J6" i="32"/>
  <c r="J8" i="32" s="1"/>
  <c r="J5" i="32" s="1"/>
  <c r="J12" i="32" s="1"/>
  <c r="J8" i="5"/>
  <c r="J5" i="5" s="1"/>
  <c r="J12" i="5" s="1"/>
  <c r="O13" i="5"/>
  <c r="O22" i="32"/>
  <c r="N6" i="32"/>
  <c r="N8" i="32" s="1"/>
  <c r="N5" i="32" s="1"/>
  <c r="N12" i="32" s="1"/>
  <c r="N8" i="5"/>
  <c r="N5" i="5" s="1"/>
  <c r="N12" i="5" s="1"/>
  <c r="O35" i="32"/>
  <c r="O32" i="32"/>
  <c r="E14" i="32"/>
  <c r="E13" i="32" s="1"/>
  <c r="E13" i="5"/>
  <c r="H3" i="10" s="1" a="1"/>
  <c r="H3" i="10" s="1"/>
  <c r="O15" i="32"/>
  <c r="O61" i="32"/>
  <c r="O55" i="32"/>
  <c r="O33" i="32"/>
  <c r="G14" i="32"/>
  <c r="G13" i="32" s="1"/>
  <c r="G13" i="5"/>
  <c r="J3" i="10" s="1" a="1"/>
  <c r="J3" i="10" s="1"/>
  <c r="O27" i="32"/>
  <c r="O37" i="32"/>
  <c r="O19" i="32"/>
  <c r="O20" i="32"/>
  <c r="O44" i="32"/>
  <c r="O45" i="32"/>
  <c r="O17" i="32"/>
  <c r="O38" i="32"/>
  <c r="O46" i="32"/>
  <c r="O30" i="32"/>
  <c r="O65" i="32"/>
  <c r="O16" i="32"/>
  <c r="O53" i="32"/>
  <c r="L8" i="5"/>
  <c r="L5" i="5" s="1"/>
  <c r="L12" i="5" s="1"/>
  <c r="L6" i="32"/>
  <c r="L8" i="32" s="1"/>
  <c r="L5" i="32" s="1"/>
  <c r="L12" i="32" s="1"/>
  <c r="O34" i="32"/>
  <c r="K13" i="5"/>
  <c r="N3" i="10" s="1" a="1"/>
  <c r="N3" i="10" s="1"/>
  <c r="K14" i="32"/>
  <c r="K13" i="32" s="1"/>
  <c r="O7" i="32"/>
  <c r="H14" i="32"/>
  <c r="H13" i="32" s="1"/>
  <c r="H13" i="5"/>
  <c r="K3" i="10" s="1" a="1"/>
  <c r="K3" i="10" s="1"/>
  <c r="O28" i="32"/>
  <c r="O62" i="32"/>
  <c r="O36" i="32"/>
  <c r="O58" i="32"/>
  <c r="O49" i="32"/>
  <c r="O23" i="32"/>
  <c r="O43" i="32"/>
  <c r="O47" i="32"/>
  <c r="F6" i="32"/>
  <c r="F8" i="32" s="1"/>
  <c r="F5" i="32" s="1"/>
  <c r="F12" i="32" s="1"/>
  <c r="F8" i="5"/>
  <c r="F5" i="5" s="1"/>
  <c r="F12" i="5" s="1"/>
  <c r="O31" i="32"/>
  <c r="O24" i="32"/>
  <c r="O48" i="32"/>
  <c r="O63" i="32"/>
  <c r="O41" i="32"/>
  <c r="F14" i="32"/>
  <c r="F13" i="32" s="1"/>
  <c r="F13" i="5"/>
  <c r="I3" i="10" s="1" a="1"/>
  <c r="I3" i="10" s="1"/>
  <c r="O25" i="32"/>
  <c r="O52" i="32"/>
  <c r="O50" i="32"/>
  <c r="O26" i="32"/>
  <c r="O60" i="32"/>
  <c r="H8" i="5"/>
  <c r="H5" i="5" s="1"/>
  <c r="H12" i="5" s="1"/>
  <c r="H6" i="32"/>
  <c r="H8" i="32" s="1"/>
  <c r="H5" i="32" s="1"/>
  <c r="H12" i="32" s="1"/>
  <c r="O64" i="32"/>
  <c r="O67" i="32"/>
  <c r="M14" i="32"/>
  <c r="M13" i="32" s="1"/>
  <c r="M13" i="5"/>
  <c r="P3" i="10" s="1" a="1"/>
  <c r="P3" i="10" s="1"/>
  <c r="O39" i="32"/>
  <c r="E81" i="5" l="1"/>
  <c r="E66" i="5"/>
  <c r="E80" i="5" s="1"/>
  <c r="C66" i="5"/>
  <c r="C80" i="5" s="1"/>
  <c r="C81" i="5"/>
  <c r="N81" i="32"/>
  <c r="N66" i="32"/>
  <c r="N80" i="32" s="1"/>
  <c r="H81" i="5"/>
  <c r="H66" i="5"/>
  <c r="H80" i="5" s="1"/>
  <c r="E66" i="32"/>
  <c r="E80" i="32" s="1"/>
  <c r="E81" i="32"/>
  <c r="K66" i="32"/>
  <c r="K80" i="32" s="1"/>
  <c r="K81" i="32"/>
  <c r="J81" i="5"/>
  <c r="J66" i="5"/>
  <c r="J80" i="5" s="1"/>
  <c r="M66" i="5"/>
  <c r="M80" i="5" s="1"/>
  <c r="M81" i="5"/>
  <c r="O6" i="32"/>
  <c r="O8" i="32" s="1"/>
  <c r="O5" i="32" s="1"/>
  <c r="O12" i="32" s="1"/>
  <c r="C8" i="32"/>
  <c r="C5" i="32" s="1"/>
  <c r="C12" i="32" s="1"/>
  <c r="F81" i="5"/>
  <c r="F66" i="5"/>
  <c r="F80" i="5" s="1"/>
  <c r="J81" i="32"/>
  <c r="J66" i="32"/>
  <c r="J80" i="32" s="1"/>
  <c r="M81" i="32"/>
  <c r="M66" i="32"/>
  <c r="M80" i="32" s="1"/>
  <c r="I66" i="5"/>
  <c r="I80" i="5" s="1"/>
  <c r="I81" i="5"/>
  <c r="I81" i="32"/>
  <c r="I66" i="32"/>
  <c r="I80" i="32" s="1"/>
  <c r="O66" i="5"/>
  <c r="O80" i="5" s="1"/>
  <c r="O81" i="5"/>
  <c r="G66" i="5"/>
  <c r="G80" i="5" s="1"/>
  <c r="G81" i="5"/>
  <c r="G81" i="32"/>
  <c r="G66" i="32"/>
  <c r="G80" i="32" s="1"/>
  <c r="F66" i="32"/>
  <c r="F80" i="32" s="1"/>
  <c r="F81" i="32"/>
  <c r="L81" i="5"/>
  <c r="L66" i="5"/>
  <c r="L80" i="5" s="1"/>
  <c r="N66" i="5"/>
  <c r="N80" i="5" s="1"/>
  <c r="N81" i="5"/>
  <c r="D81" i="5"/>
  <c r="D66" i="5"/>
  <c r="D80" i="5" s="1"/>
  <c r="L81" i="32"/>
  <c r="L66" i="32"/>
  <c r="L80" i="32" s="1"/>
  <c r="H81" i="32"/>
  <c r="H66" i="32"/>
  <c r="H80" i="32" s="1"/>
  <c r="D81" i="32"/>
  <c r="D66" i="32"/>
  <c r="D80" i="32" s="1"/>
  <c r="K66" i="5"/>
  <c r="K80" i="5" s="1"/>
  <c r="K81" i="5"/>
  <c r="O14" i="32"/>
  <c r="O13" i="32" s="1"/>
  <c r="C13" i="32"/>
  <c r="O66" i="32" l="1"/>
  <c r="O80" i="32" s="1"/>
  <c r="O81" i="32"/>
  <c r="C66" i="32"/>
  <c r="C80" i="32" s="1"/>
  <c r="C81" i="32"/>
  <c r="R5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  <author>Ishii，Takeshi(石井毅)</author>
  </authors>
  <commentList>
    <comment ref="E3" authorId="0" shapeId="0" xr:uid="{3828F255-8672-43E6-AD34-E8F9A9DE404C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  <comment ref="N106" authorId="1" shapeId="0" xr:uid="{8EB0A9C0-2FC1-4D95-BCB3-231B87C4FD88}">
      <text>
        <r>
          <rPr>
            <b/>
            <sz val="11"/>
            <color indexed="81"/>
            <rFont val="MS P ゴシック"/>
            <family val="3"/>
            <charset val="128"/>
          </rPr>
          <t>Ishii，Takeshi(石井毅):</t>
        </r>
        <r>
          <rPr>
            <sz val="11"/>
            <color indexed="81"/>
            <rFont val="MS P ゴシック"/>
            <family val="3"/>
            <charset val="128"/>
          </rPr>
          <t xml:space="preserve">
2280000000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1669A3B2-E34F-4339-8739-013D2008893D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<sst xmlns="http://schemas.openxmlformats.org/spreadsheetml/2006/main" count="2614" uniqueCount="869">
  <si>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</si>
  <si>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</si>
  <si>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</si>
  <si>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</si>
  <si>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</si>
  <si>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</si>
  <si>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</si>
  <si>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</si>
  <si>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</si>
  <si>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</si>
  <si>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</si>
  <si>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</si>
  <si>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</si>
  <si>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</si>
  <si>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</si>
  <si>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</si>
  <si>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</si>
  <si>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</si>
  <si>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</si>
  <si>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</si>
  <si>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</si>
  <si>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</si>
  <si>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</si>
  <si>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</si>
  <si>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</si>
  <si>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</si>
  <si>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</si>
  <si>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</si>
  <si>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</si>
  <si>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</si>
  <si>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</si>
  <si>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</si>
  <si>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</si>
  <si>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</si>
  <si>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</si>
  <si>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</si>
  <si>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</si>
  <si>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</si>
  <si>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</si>
  <si>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</si>
  <si>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</si>
  <si>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</si>
  <si>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</si>
  <si>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</si>
  <si>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</si>
  <si>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</si>
  <si>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</si>
  <si>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</si>
  <si>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</si>
  <si>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</si>
  <si>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</si>
  <si>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</si>
  <si>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</si>
  <si>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</si>
  <si>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</si>
  <si>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</si>
  <si>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</si>
  <si>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</si>
  <si>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</si>
  <si>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</si>
  <si>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</si>
  <si>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</si>
  <si>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</si>
  <si>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</si>
  <si>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</si>
  <si>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</si>
  <si>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</si>
  <si>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</si>
  <si>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</si>
  <si>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</si>
  <si>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</si>
  <si>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</si>
  <si>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</si>
  <si>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</si>
  <si>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</si>
  <si>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</si>
  <si>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</si>
  <si>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</si>
  <si>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</si>
  <si>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</si>
  <si>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</si>
  <si>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</si>
  <si>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</si>
  <si>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</si>
  <si>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</si>
  <si>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</si>
  <si>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</si>
  <si>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</si>
  <si>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</si>
  <si>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</si>
  <si>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</si>
  <si>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</si>
  <si>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</si>
  <si>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</si>
  <si>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</si>
  <si>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</si>
  <si>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</si>
  <si>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</si>
  <si>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</si>
  <si>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</si>
  <si>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</si>
  <si>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</si>
  <si>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</si>
  <si>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</si>
  <si>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</si>
  <si>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</si>
  <si>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</si>
  <si>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</si>
  <si>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</si>
  <si>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</si>
  <si>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</si>
  <si>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</si>
  <si>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</si>
  <si>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</si>
  <si>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</si>
  <si>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</si>
  <si>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</si>
  <si>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</si>
  <si>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</si>
  <si>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</si>
  <si>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</si>
  <si>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</si>
  <si>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</si>
  <si>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</si>
  <si>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</si>
  <si>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</si>
  <si>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</si>
  <si>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</si>
  <si>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</si>
  <si>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</si>
  <si>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</si>
  <si>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</si>
  <si>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</si>
  <si>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</si>
  <si>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</si>
  <si>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</si>
  <si>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</si>
  <si>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</si>
  <si>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</si>
  <si>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</si>
  <si>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</si>
  <si>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</si>
  <si>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</si>
  <si>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</si>
  <si>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</si>
  <si>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</si>
  <si>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</si>
  <si>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</si>
  <si>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</si>
  <si>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</si>
  <si>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</si>
  <si>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</si>
  <si>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</si>
  <si>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</si>
  <si>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</si>
  <si>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</si>
  <si>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</si>
  <si>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</si>
  <si>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</si>
  <si>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</si>
  <si>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</si>
  <si>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</si>
  <si>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</si>
  <si>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</si>
  <si>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</si>
  <si>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</si>
  <si>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</si>
  <si>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</si>
  <si>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</si>
  <si>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</si>
  <si>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</si>
  <si>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</si>
  <si>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</si>
  <si>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</si>
  <si>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</si>
  <si>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</si>
  <si>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</si>
  <si>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</si>
  <si>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</si>
  <si>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</si>
  <si>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</si>
  <si>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</si>
  <si>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</si>
  <si>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</si>
  <si>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</si>
  <si>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</si>
  <si>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</si>
  <si>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</si>
  <si>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</si>
  <si>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</si>
  <si>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</si>
  <si>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</si>
  <si>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</si>
  <si>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</si>
  <si>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</si>
  <si>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</si>
  <si>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</si>
  <si>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</si>
  <si>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</si>
  <si>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</si>
  <si>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</si>
  <si>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</si>
  <si>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</si>
  <si>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</si>
  <si>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</si>
  <si>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</si>
  <si>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</si>
  <si>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</si>
  <si>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</si>
  <si>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</si>
  <si>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</si>
  <si>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</si>
  <si>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</si>
  <si>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</si>
  <si>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</si>
  <si>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</si>
  <si>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</si>
  <si>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</si>
  <si>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</si>
  <si>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</si>
  <si>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</si>
  <si>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</si>
  <si>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</si>
  <si>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</si>
  <si>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</si>
  <si>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</si>
  <si>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</si>
  <si>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</si>
  <si>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</si>
  <si>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</si>
  <si>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</si>
  <si>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</si>
  <si>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</si>
  <si>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</si>
  <si>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</si>
  <si>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</si>
  <si>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</si>
  <si>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</si>
  <si>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</si>
  <si>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</si>
  <si>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</si>
  <si>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</si>
  <si>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</si>
  <si>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</si>
  <si>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</si>
  <si>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</si>
  <si>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</si>
  <si>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</si>
  <si>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</si>
  <si>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</si>
  <si>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</si>
  <si>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</si>
  <si>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</si>
  <si>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</si>
  <si>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</si>
  <si>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</si>
  <si>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</si>
  <si>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</si>
  <si>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</si>
  <si>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</si>
  <si>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</si>
  <si>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</si>
  <si>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</si>
  <si>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</si>
  <si>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</si>
  <si>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</si>
  <si>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</si>
  <si>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</si>
  <si>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</si>
  <si>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</si>
  <si>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</si>
  <si>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</si>
  <si>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</si>
  <si>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</si>
  <si>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</si>
  <si>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</si>
  <si>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</si>
  <si>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</si>
  <si>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</si>
  <si>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</si>
  <si>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</si>
  <si>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</si>
  <si>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</si>
  <si>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</si>
  <si>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</si>
  <si>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</si>
  <si>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</si>
  <si>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</si>
  <si>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</si>
  <si>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</si>
  <si>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</si>
  <si>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</si>
  <si>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</si>
  <si>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</si>
  <si>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</si>
  <si>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</si>
  <si>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</si>
  <si>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</si>
  <si>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</si>
  <si>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</si>
  <si>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</si>
  <si>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</si>
  <si>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</si>
  <si>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</si>
  <si>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</si>
  <si>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</si>
  <si>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</si>
  <si>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</si>
  <si>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</si>
  <si>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</si>
  <si>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</si>
  <si>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</si>
  <si>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</si>
  <si>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</si>
  <si>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</si>
  <si>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</si>
  <si>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</si>
  <si>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</si>
  <si>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</si>
  <si>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</si>
  <si>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</si>
  <si>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</si>
  <si>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</si>
  <si>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</si>
  <si>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</si>
  <si>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</si>
  <si>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</si>
  <si>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</si>
  <si>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</si>
  <si>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</si>
  <si>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</si>
  <si>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</si>
  <si>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</si>
  <si>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</si>
  <si>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</si>
  <si>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</si>
  <si>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</si>
  <si>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</si>
  <si>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</si>
  <si>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</si>
  <si>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</si>
  <si>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</si>
  <si>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</si>
  <si>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</si>
  <si>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</si>
  <si>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</si>
  <si>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</si>
  <si>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</si>
  <si>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</si>
  <si>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</si>
  <si>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</si>
  <si>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</si>
  <si>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</si>
  <si>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</si>
  <si>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</si>
  <si>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</si>
  <si>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</si>
  <si>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</si>
  <si>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</si>
  <si>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</si>
  <si>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</si>
  <si>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</si>
  <si>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</si>
  <si>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</si>
  <si>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</si>
  <si>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</si>
  <si>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</si>
  <si>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</si>
  <si>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</si>
  <si>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</si>
  <si>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</si>
  <si>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</si>
  <si>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</si>
  <si>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</si>
  <si>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</si>
  <si>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</si>
  <si>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</si>
  <si>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</si>
  <si>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</si>
  <si>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</si>
  <si>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</si>
  <si>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</si>
  <si>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</si>
  <si>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</si>
  <si>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</si>
  <si>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</si>
  <si>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</si>
  <si>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</si>
  <si>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</si>
  <si>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</si>
  <si>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</si>
  <si>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</si>
  <si>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</si>
  <si>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</si>
  <si>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</si>
  <si>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</si>
  <si>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</si>
  <si>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</si>
  <si>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</si>
  <si>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</si>
  <si>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</si>
  <si>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</si>
  <si>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</si>
  <si>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</si>
  <si>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</si>
  <si>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</si>
  <si>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</si>
  <si>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</si>
  <si>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</si>
  <si>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</si>
  <si>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</si>
  <si>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</si>
  <si>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</si>
  <si>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</si>
  <si>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</si>
  <si>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</si>
  <si>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</si>
  <si>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</si>
  <si>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</si>
  <si>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</si>
  <si>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</si>
  <si>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</si>
  <si>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</si>
  <si>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</si>
  <si>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</si>
  <si>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</si>
  <si>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</si>
  <si>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</si>
  <si>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</si>
  <si>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</si>
  <si>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</si>
  <si>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</si>
  <si>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</si>
  <si>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</si>
  <si>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</si>
  <si>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</si>
  <si>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</si>
  <si>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</si>
  <si>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</si>
  <si>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</si>
  <si>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</si>
  <si>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</si>
  <si>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</si>
  <si>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</si>
  <si>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</si>
  <si>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</si>
  <si>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</si>
  <si>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</si>
  <si>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</si>
  <si>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</si>
  <si>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</si>
  <si>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</si>
  <si>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</si>
  <si>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</si>
  <si>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</si>
  <si>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</si>
  <si>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</si>
  <si>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</si>
  <si>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</si>
  <si>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</si>
  <si>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</si>
  <si>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</si>
  <si>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</si>
  <si>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</si>
  <si>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</si>
  <si>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</si>
  <si>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</si>
  <si>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</si>
  <si>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</si>
  <si>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</si>
  <si>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</si>
  <si>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</si>
  <si>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</si>
  <si>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</si>
  <si>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</si>
  <si>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</si>
  <si>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</si>
  <si>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</si>
  <si>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</si>
  <si>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</si>
  <si>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</si>
  <si>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</si>
  <si>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</si>
  <si>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</si>
  <si>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</si>
  <si>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</si>
  <si>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</si>
  <si>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</si>
  <si>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</si>
  <si>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</si>
  <si>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</si>
  <si>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</si>
  <si>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</si>
  <si>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</si>
  <si>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</si>
  <si>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</si>
  <si>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</si>
  <si>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</si>
  <si>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</si>
  <si>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</si>
  <si>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</si>
  <si>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</si>
  <si>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</si>
  <si>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</si>
  <si>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</si>
  <si>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</si>
  <si>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</si>
  <si>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</si>
  <si>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</si>
  <si>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</si>
  <si>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</si>
  <si>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</si>
  <si>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</si>
  <si>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</si>
  <si>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</si>
  <si>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</si>
  <si>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</si>
  <si>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</si>
  <si>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</si>
  <si>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</si>
  <si>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</si>
  <si>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</si>
  <si>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</si>
  <si>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</si>
  <si>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</si>
  <si>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</si>
  <si>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</si>
  <si>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</si>
  <si>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</si>
  <si>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</si>
  <si>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</si>
  <si>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</si>
  <si>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</si>
  <si>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</si>
  <si>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</si>
  <si>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</si>
  <si>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</si>
  <si>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</si>
  <si>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</si>
  <si>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</si>
  <si>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</si>
  <si>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</si>
  <si>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</si>
  <si>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</si>
  <si>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</si>
  <si>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</si>
  <si>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</si>
  <si>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</si>
  <si>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</si>
  <si>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</si>
  <si>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</si>
  <si>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</si>
  <si>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</si>
  <si>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</si>
  <si>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</si>
  <si>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</si>
  <si>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</si>
  <si>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</si>
  <si>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</si>
  <si>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</si>
  <si>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</si>
  <si>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</si>
  <si>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</si>
  <si>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</si>
  <si>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</si>
  <si>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</si>
  <si>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</si>
  <si>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</si>
  <si>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</si>
  <si>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</si>
  <si>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</si>
  <si>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</si>
  <si>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</si>
  <si>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</si>
  <si>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</si>
  <si>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</si>
  <si>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</si>
  <si>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</si>
  <si>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</si>
  <si>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</si>
  <si>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</si>
  <si>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</si>
  <si>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</si>
  <si>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</si>
  <si>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</si>
  <si>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</si>
  <si>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</si>
  <si>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</si>
  <si>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</si>
  <si>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</si>
  <si>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</si>
  <si>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</si>
  <si>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</si>
  <si>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</si>
  <si>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</si>
  <si>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</si>
  <si>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</si>
  <si>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</si>
  <si>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</si>
  <si>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</si>
  <si>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</si>
  <si>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</si>
  <si>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</si>
  <si>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</si>
  <si>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</si>
  <si>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</si>
  <si>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</si>
  <si>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</si>
  <si>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</si>
  <si>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</si>
  <si>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</si>
  <si>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</si>
  <si>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</si>
  <si>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</si>
  <si>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</si>
  <si>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</si>
  <si>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</si>
  <si>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</si>
  <si>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</si>
  <si>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</si>
  <si>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</si>
  <si>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</si>
  <si>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</si>
  <si>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</si>
  <si>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</si>
  <si>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</si>
  <si>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</si>
  <si>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</si>
  <si>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</si>
  <si>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</si>
  <si>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</si>
  <si>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</si>
  <si>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</si>
  <si>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</si>
  <si>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</si>
  <si>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</si>
  <si>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</si>
  <si>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</si>
  <si>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</si>
  <si>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</si>
  <si>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</si>
  <si>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</si>
  <si>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</si>
  <si>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</si>
  <si>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</si>
  <si>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</si>
  <si>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</si>
  <si>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</si>
  <si>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</si>
  <si>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</si>
  <si>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</si>
  <si>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</si>
  <si>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</si>
  <si>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</si>
  <si>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</si>
  <si>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</si>
  <si>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</si>
  <si>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</si>
  <si>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</si>
  <si>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</si>
  <si>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</si>
  <si>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</si>
  <si>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</si>
  <si>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</si>
  <si>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</si>
  <si>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</si>
  <si>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</si>
  <si>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</si>
  <si>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</si>
  <si>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</si>
  <si>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</si>
  <si>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</si>
  <si>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</si>
  <si>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</si>
  <si>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</si>
  <si>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</si>
  <si>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</si>
  <si>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</si>
  <si>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</si>
  <si>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</si>
  <si>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</si>
  <si>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</si>
  <si>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</si>
  <si>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</si>
  <si>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</si>
  <si>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</si>
  <si>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</si>
  <si>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</si>
  <si>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</si>
  <si>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</si>
  <si>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</si>
  <si>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USD換算Rate (VND/USD)</t>
  </si>
  <si>
    <t>JPY換算Rate (VND/JPY)</t>
  </si>
  <si>
    <t>164.27</t>
  </si>
  <si>
    <t>【システム課金金額】　Mail</t>
  </si>
  <si>
    <t>【システム課金金額】　R3</t>
  </si>
  <si>
    <t>この分には間接部門から直接部門に配賦された数字</t>
  </si>
  <si>
    <t>【システム課金金額】 VPS</t>
  </si>
  <si>
    <t>【システム課金金額】 VPN</t>
  </si>
  <si>
    <t>[減価償却費]　建物</t>
  </si>
  <si>
    <t>(USD)</t>
  </si>
  <si>
    <t>[減価償却費]　土地使用権</t>
  </si>
  <si>
    <t>[固定資産金利]　建物</t>
  </si>
  <si>
    <t>[固定資産金利]　土地使用権</t>
  </si>
  <si>
    <t>電気代</t>
  </si>
  <si>
    <t>(VND)</t>
  </si>
  <si>
    <t>水道代</t>
  </si>
  <si>
    <t>ガス</t>
  </si>
  <si>
    <t>手洗い洗剤</t>
  </si>
  <si>
    <t>トイレットペーパー</t>
  </si>
  <si>
    <t>清掃費</t>
  </si>
  <si>
    <t>出向者送迎費</t>
  </si>
  <si>
    <t>Local社員送迎費</t>
  </si>
  <si>
    <t>休(出向) 人日</t>
  </si>
  <si>
    <t>休(Local)　人日</t>
  </si>
  <si>
    <t>残(Local)　時間</t>
  </si>
  <si>
    <t>誕生会人数</t>
  </si>
  <si>
    <t>CHI さん産休 ( 9/5~9/11)</t>
  </si>
  <si>
    <t/>
  </si>
  <si>
    <t>一般経費↓</t>
  </si>
  <si>
    <t>固定資産金利　建物</t>
    <rPh sb="7" eb="9">
      <t>タテモノ</t>
    </rPh>
    <phoneticPr fontId="3"/>
  </si>
  <si>
    <t>アルコール　消毒</t>
    <rPh sb="6" eb="8">
      <t>ショウドク</t>
    </rPh>
    <phoneticPr fontId="3"/>
  </si>
  <si>
    <t>ローカルバス利用者</t>
    <rPh sb="6" eb="9">
      <t>リヨウシャ</t>
    </rPh>
    <phoneticPr fontId="3"/>
  </si>
  <si>
    <t>残業時のタクシー送迎費</t>
  </si>
  <si>
    <t>出向者　通勤タクシー費用　（140,000*4 朝会　160,000×8　英語　固定 ＋α)</t>
    <rPh sb="0" eb="3">
      <t>シュッコウシャ</t>
    </rPh>
    <rPh sb="4" eb="6">
      <t>ツウキン</t>
    </rPh>
    <rPh sb="10" eb="12">
      <t>ヒヨウ</t>
    </rPh>
    <rPh sb="24" eb="26">
      <t>アサカイ</t>
    </rPh>
    <rPh sb="37" eb="39">
      <t>エイゴ</t>
    </rPh>
    <rPh sb="40" eb="42">
      <t>コテイ</t>
    </rPh>
    <phoneticPr fontId="3"/>
  </si>
  <si>
    <t xml:space="preserve">月餅 </t>
  </si>
  <si>
    <t>昼食代　(前月21日～当月20日を当月)</t>
  </si>
  <si>
    <t>社員旅行</t>
  </si>
  <si>
    <t>運動会　</t>
  </si>
  <si>
    <t>忘年会補助金</t>
    <rPh sb="0" eb="3">
      <t>ボウネンカイ</t>
    </rPh>
    <rPh sb="3" eb="6">
      <t>ホジョキン</t>
    </rPh>
    <phoneticPr fontId="4"/>
  </si>
  <si>
    <t>お年玉</t>
    <rPh sb="1" eb="2">
      <t>トシ</t>
    </rPh>
    <rPh sb="2" eb="3">
      <t>ダマ</t>
    </rPh>
    <phoneticPr fontId="3"/>
  </si>
  <si>
    <t>誕生日会</t>
  </si>
  <si>
    <t>決起コンパ</t>
    <rPh sb="0" eb="2">
      <t>ケッキ</t>
    </rPh>
    <phoneticPr fontId="3"/>
  </si>
  <si>
    <t>ポケットカレンダー</t>
  </si>
  <si>
    <t>健康診断（ローカル）男性</t>
    <rPh sb="10" eb="12">
      <t>ダンセイ</t>
    </rPh>
    <phoneticPr fontId="3"/>
  </si>
  <si>
    <t>健康診断（ローカル）女性</t>
    <rPh sb="10" eb="12">
      <t>ジョセイ</t>
    </rPh>
    <phoneticPr fontId="3"/>
  </si>
  <si>
    <t>システム経費↓</t>
  </si>
  <si>
    <t>翻訳ツール(COTOHA)</t>
  </si>
  <si>
    <t>VPN 出向者分</t>
    <rPh sb="4" eb="7">
      <t>シュッコウシャ</t>
    </rPh>
    <rPh sb="7" eb="8">
      <t>ブン</t>
    </rPh>
    <phoneticPr fontId="4"/>
  </si>
  <si>
    <t>新入社員経費↓</t>
  </si>
  <si>
    <t>新入社員　社員証</t>
    <rPh sb="5" eb="7">
      <t>シャイン</t>
    </rPh>
    <rPh sb="7" eb="8">
      <t>ショウ</t>
    </rPh>
    <phoneticPr fontId="3"/>
  </si>
  <si>
    <t>新入社員　社員証ケース</t>
    <rPh sb="5" eb="7">
      <t>シャイン</t>
    </rPh>
    <rPh sb="7" eb="8">
      <t>ショウ</t>
    </rPh>
    <phoneticPr fontId="3"/>
  </si>
  <si>
    <t>新入社員　採用時健康診断 （採用時）男性</t>
    <rPh sb="8" eb="10">
      <t>ケンコウ</t>
    </rPh>
    <rPh sb="10" eb="12">
      <t>シンダン</t>
    </rPh>
    <phoneticPr fontId="3"/>
  </si>
  <si>
    <t>新入社員　採用時健康診断 （採用時）女性</t>
    <rPh sb="8" eb="10">
      <t>ケンコウ</t>
    </rPh>
    <rPh sb="10" eb="12">
      <t>シンダン</t>
    </rPh>
    <phoneticPr fontId="3"/>
  </si>
  <si>
    <t>新入社員　制服上着(夏服) x2枚/人</t>
    <rPh sb="7" eb="9">
      <t>ウワギ</t>
    </rPh>
    <rPh sb="11" eb="12">
      <t>フク</t>
    </rPh>
    <rPh sb="18" eb="19">
      <t>ヒト</t>
    </rPh>
    <phoneticPr fontId="4"/>
  </si>
  <si>
    <t>新入社員　制服上着(冬服) x2枚/人</t>
    <rPh sb="7" eb="9">
      <t>ウワギ</t>
    </rPh>
    <rPh sb="11" eb="12">
      <t>フク</t>
    </rPh>
    <phoneticPr fontId="3"/>
  </si>
  <si>
    <t>新入社員　靴 男性</t>
    <rPh sb="7" eb="9">
      <t>ダンセイ</t>
    </rPh>
    <phoneticPr fontId="4"/>
  </si>
  <si>
    <t xml:space="preserve">新入社員　靴 女性 </t>
    <rPh sb="7" eb="9">
      <t>ジョセイ</t>
    </rPh>
    <phoneticPr fontId="4"/>
  </si>
  <si>
    <t>データ印　(12期生)</t>
    <rPh sb="3" eb="4">
      <t>イン</t>
    </rPh>
    <rPh sb="8" eb="10">
      <t>キセイ</t>
    </rPh>
    <phoneticPr fontId="3"/>
  </si>
  <si>
    <t>新入社員PC購入費　1名</t>
    <rPh sb="0" eb="4">
      <t>シンニュウシャイン</t>
    </rPh>
    <rPh sb="6" eb="9">
      <t>コウニュウヒ</t>
    </rPh>
    <rPh sb="11" eb="12">
      <t>メイ</t>
    </rPh>
    <phoneticPr fontId="3"/>
  </si>
  <si>
    <t>事務机</t>
  </si>
  <si>
    <t>新入社員机/椅子購入費　1名</t>
    <rPh sb="0" eb="4">
      <t>シンニュウシャイン</t>
    </rPh>
    <rPh sb="4" eb="5">
      <t>ツクエ</t>
    </rPh>
    <rPh sb="6" eb="8">
      <t>イス</t>
    </rPh>
    <rPh sb="8" eb="11">
      <t>コウニュウヒ</t>
    </rPh>
    <rPh sb="13" eb="14">
      <t>メイ</t>
    </rPh>
    <phoneticPr fontId="3"/>
  </si>
  <si>
    <t>INTERNSHIP↓</t>
  </si>
  <si>
    <t>計測器校正費↓</t>
  </si>
  <si>
    <t>減価償却費↓</t>
  </si>
  <si>
    <t>防音室　5,000,000JPY</t>
    <rPh sb="0" eb="3">
      <t>ボウオンシツ</t>
    </rPh>
    <phoneticPr fontId="3"/>
  </si>
  <si>
    <t>環境試験室</t>
    <rPh sb="0" eb="5">
      <t>カンキョウシケンシツ</t>
    </rPh>
    <phoneticPr fontId="3"/>
  </si>
  <si>
    <t>集塵装置</t>
    <rPh sb="0" eb="4">
      <t>シュウジンソウチ</t>
    </rPh>
    <phoneticPr fontId="3"/>
  </si>
  <si>
    <t>濃度計FD-5</t>
    <rPh sb="0" eb="3">
      <t>ノウドケイ</t>
    </rPh>
    <phoneticPr fontId="3"/>
  </si>
  <si>
    <t>高圧テスター149-10A</t>
    <rPh sb="0" eb="2">
      <t>コウアツ</t>
    </rPh>
    <phoneticPr fontId="3"/>
  </si>
  <si>
    <t>安定化電源ES2000S</t>
    <rPh sb="0" eb="5">
      <t>アンテイカデンゲン</t>
    </rPh>
    <phoneticPr fontId="3"/>
  </si>
  <si>
    <t>元素分析ヘッド　6,340,650JPY</t>
    <rPh sb="0" eb="4">
      <t>ゲンソブンセキ</t>
    </rPh>
    <phoneticPr fontId="3"/>
  </si>
  <si>
    <t>社内金利↓</t>
  </si>
  <si>
    <t>防音室</t>
    <rPh sb="0" eb="3">
      <t>ボウオンシツ</t>
    </rPh>
    <phoneticPr fontId="3"/>
  </si>
  <si>
    <t>元素分析ヘッド</t>
    <rPh sb="0" eb="4">
      <t>ゲンソブンセキ</t>
    </rPh>
    <phoneticPr fontId="3"/>
  </si>
  <si>
    <t>消耗品費↓</t>
  </si>
  <si>
    <t>PC（故障、寿命で購入 x２台20,000,000 VND/台）出向者2台</t>
    <rPh sb="30" eb="31">
      <t>ダイ</t>
    </rPh>
    <rPh sb="32" eb="35">
      <t>シュッコウシャ</t>
    </rPh>
    <rPh sb="36" eb="37">
      <t>ダイ</t>
    </rPh>
    <phoneticPr fontId="3"/>
  </si>
  <si>
    <t>PC　Monitor</t>
  </si>
  <si>
    <t>Window</t>
  </si>
  <si>
    <t>テーブルタップ購入費</t>
    <rPh sb="7" eb="10">
      <t>コウニュウヒ</t>
    </rPh>
    <phoneticPr fontId="3"/>
  </si>
  <si>
    <t>HDMIケーブル</t>
  </si>
  <si>
    <t>マスク、手袋、事務機器用トナー、部品棚</t>
    <rPh sb="4" eb="6">
      <t>テブクロ</t>
    </rPh>
    <rPh sb="7" eb="9">
      <t>ジム</t>
    </rPh>
    <rPh sb="9" eb="11">
      <t>キキ</t>
    </rPh>
    <rPh sb="11" eb="12">
      <t>ヨウ</t>
    </rPh>
    <rPh sb="16" eb="18">
      <t>ブヒン</t>
    </rPh>
    <rPh sb="18" eb="19">
      <t>タナ</t>
    </rPh>
    <phoneticPr fontId="3"/>
  </si>
  <si>
    <t>その他↓</t>
  </si>
  <si>
    <t>出向者携帯</t>
  </si>
  <si>
    <t>郵便代</t>
  </si>
  <si>
    <t>物品送付/クーリエ代</t>
  </si>
  <si>
    <t>SimSolidライセンス料 →MD4課に移動</t>
    <rPh sb="13" eb="14">
      <t>リョウ</t>
    </rPh>
    <rPh sb="19" eb="20">
      <t>カ</t>
    </rPh>
    <rPh sb="21" eb="23">
      <t>イドウ</t>
    </rPh>
    <phoneticPr fontId="3"/>
  </si>
  <si>
    <t>4Fj実験場のセキュリティドア設置</t>
    <rPh sb="3" eb="6">
      <t>ジッケンジョウ</t>
    </rPh>
    <rPh sb="15" eb="17">
      <t>セッチ</t>
    </rPh>
    <phoneticPr fontId="3"/>
  </si>
  <si>
    <t>出向者↓　←MD2課に移動(20250103)</t>
    <rPh sb="9" eb="10">
      <t>カ</t>
    </rPh>
    <rPh sb="11" eb="13">
      <t>イドウ</t>
    </rPh>
    <phoneticPr fontId="3"/>
  </si>
  <si>
    <t>VISA申請　（大井）145 USD（2025/12）</t>
    <rPh sb="8" eb="10">
      <t>オオイ</t>
    </rPh>
    <phoneticPr fontId="3"/>
  </si>
  <si>
    <t>試験研究費↓</t>
  </si>
  <si>
    <t>Spica、KIZUNA3改良試作費</t>
    <rPh sb="13" eb="17">
      <t>カイリョウシサク</t>
    </rPh>
    <rPh sb="17" eb="18">
      <t>ヒ</t>
    </rPh>
    <phoneticPr fontId="3"/>
  </si>
  <si>
    <t>Spica　DMT出庫　1台</t>
    <rPh sb="9" eb="11">
      <t>シュッコ</t>
    </rPh>
    <rPh sb="13" eb="14">
      <t>ダイ</t>
    </rPh>
    <phoneticPr fontId="3"/>
  </si>
  <si>
    <t>Spica　PMT出庫　1台</t>
    <rPh sb="9" eb="11">
      <t>シュッコ</t>
    </rPh>
    <rPh sb="13" eb="14">
      <t>ダイ</t>
    </rPh>
    <phoneticPr fontId="3"/>
  </si>
  <si>
    <t>KIZUNA3 PMT出庫　1台</t>
    <rPh sb="11" eb="13">
      <t>シュッコ</t>
    </rPh>
    <rPh sb="15" eb="16">
      <t>ダイ</t>
    </rPh>
    <phoneticPr fontId="3"/>
  </si>
  <si>
    <t>KIZUNA3 DMT出庫　1台</t>
    <rPh sb="11" eb="13">
      <t>シュッコ</t>
    </rPh>
    <rPh sb="15" eb="16">
      <t>ダイ</t>
    </rPh>
    <phoneticPr fontId="3"/>
  </si>
  <si>
    <t>セミナー参加費（一般研修、2,3,4年目）2人×1,000,000</t>
    <rPh sb="4" eb="6">
      <t>サンカ</t>
    </rPh>
    <rPh sb="6" eb="7">
      <t>ヒ</t>
    </rPh>
    <rPh sb="8" eb="10">
      <t>イッパン</t>
    </rPh>
    <rPh sb="10" eb="12">
      <t>ケンシュウ</t>
    </rPh>
    <rPh sb="18" eb="20">
      <t>ネンメ</t>
    </rPh>
    <rPh sb="22" eb="23">
      <t>ニン</t>
    </rPh>
    <phoneticPr fontId="3"/>
  </si>
  <si>
    <t>セミナー参加用交通費(一般研修）</t>
    <rPh sb="4" eb="6">
      <t>サンカ</t>
    </rPh>
    <rPh sb="6" eb="7">
      <t>ヨウ</t>
    </rPh>
    <rPh sb="7" eb="9">
      <t>コウツウ</t>
    </rPh>
    <rPh sb="9" eb="10">
      <t>ヒ</t>
    </rPh>
    <rPh sb="11" eb="13">
      <t>イッパン</t>
    </rPh>
    <rPh sb="13" eb="15">
      <t>ケンシュウ</t>
    </rPh>
    <phoneticPr fontId="3"/>
  </si>
  <si>
    <t>語学能力試験↓</t>
    <rPh sb="0" eb="2">
      <t>ゴガク</t>
    </rPh>
    <rPh sb="2" eb="4">
      <t>ノウリョク</t>
    </rPh>
    <rPh sb="4" eb="6">
      <t>シケン</t>
    </rPh>
    <phoneticPr fontId="3"/>
  </si>
  <si>
    <t>国内出張↓</t>
    <rPh sb="0" eb="2">
      <t>コクナイ</t>
    </rPh>
    <rPh sb="2" eb="4">
      <t>シュッチョウ</t>
    </rPh>
    <phoneticPr fontId="3"/>
  </si>
  <si>
    <t>ローカルKDC出張↓</t>
  </si>
  <si>
    <t>Spica　ローカルメンバーKDC出張　1名(DMT評価)　パスポート　200000VND　＋写真代60000VND</t>
    <rPh sb="17" eb="19">
      <t>シュッチョウ</t>
    </rPh>
    <rPh sb="26" eb="28">
      <t>ヒョウカ</t>
    </rPh>
    <phoneticPr fontId="3"/>
  </si>
  <si>
    <t>Spica　ローカルメンバーKDC出張　1名(DMT評価)　VISA 350000USD　＋写真代80000VND</t>
    <rPh sb="21" eb="22">
      <t>メイ</t>
    </rPh>
    <rPh sb="46" eb="48">
      <t>シャシン</t>
    </rPh>
    <rPh sb="48" eb="49">
      <t>ダイ</t>
    </rPh>
    <phoneticPr fontId="3"/>
  </si>
  <si>
    <t>Spica  ローカルメンバーKDC出張　1名(DMT評価)　大使館手数料　640000VND</t>
    <rPh sb="18" eb="20">
      <t>シュッチョウ</t>
    </rPh>
    <rPh sb="22" eb="23">
      <t>メイ</t>
    </rPh>
    <rPh sb="31" eb="34">
      <t>タイシカン</t>
    </rPh>
    <rPh sb="34" eb="37">
      <t>テスウリョウ</t>
    </rPh>
    <phoneticPr fontId="3"/>
  </si>
  <si>
    <t>Spica  ローカルメンバーKDC出張　1名(DMT評価)　保険　48USD</t>
    <rPh sb="18" eb="20">
      <t>シュッチョウ</t>
    </rPh>
    <rPh sb="22" eb="23">
      <t>メイ</t>
    </rPh>
    <rPh sb="31" eb="33">
      <t>ホケン</t>
    </rPh>
    <phoneticPr fontId="3"/>
  </si>
  <si>
    <t>Spica　ローカルメンバーKDC出張  1名(DMT評価)  航空券 1500USD</t>
    <rPh sb="17" eb="19">
      <t>シュッチョウ</t>
    </rPh>
    <phoneticPr fontId="3"/>
  </si>
  <si>
    <t>Spica　ローカルメンバーKDC出張　1名(DMT評価)　空港TAXI 3000000VND（往復）×1台</t>
    <rPh sb="21" eb="22">
      <t>メイ</t>
    </rPh>
    <rPh sb="48" eb="50">
      <t>オウフク</t>
    </rPh>
    <phoneticPr fontId="3"/>
  </si>
  <si>
    <t>Spica　ローカルメンバーKDC出張　1名(DMT評価)　日当　37USD×30日</t>
    <rPh sb="17" eb="19">
      <t>シュッチョウ</t>
    </rPh>
    <rPh sb="21" eb="22">
      <t>メイ</t>
    </rPh>
    <rPh sb="41" eb="42">
      <t>ニチ</t>
    </rPh>
    <phoneticPr fontId="3"/>
  </si>
  <si>
    <t>Spica　ローカルメンバーKDC出張　1名(DMT評価)　海外出張の携帯電話代　30USD</t>
    <rPh sb="17" eb="19">
      <t>シュッチョウ</t>
    </rPh>
    <rPh sb="21" eb="22">
      <t>メイ</t>
    </rPh>
    <rPh sb="35" eb="37">
      <t>ケイタイ</t>
    </rPh>
    <rPh sb="37" eb="39">
      <t>デンワ</t>
    </rPh>
    <rPh sb="39" eb="40">
      <t>ダイ</t>
    </rPh>
    <phoneticPr fontId="3"/>
  </si>
  <si>
    <t>Spica　ローカルメンバーKDC出張　1名(DMT評価)　宿泊費　\6500×29日</t>
    <rPh sb="17" eb="19">
      <t>シュッチョウ</t>
    </rPh>
    <rPh sb="21" eb="22">
      <t>メイ</t>
    </rPh>
    <rPh sb="30" eb="33">
      <t>シュクハクヒ</t>
    </rPh>
    <rPh sb="42" eb="43">
      <t>ニチ</t>
    </rPh>
    <phoneticPr fontId="3"/>
  </si>
  <si>
    <t>Spica　ローカルメンバーKDC出張　1名(DMT評価)　現地交通費　\5000</t>
    <rPh sb="17" eb="19">
      <t>シュッチョウ</t>
    </rPh>
    <rPh sb="21" eb="22">
      <t>メイ</t>
    </rPh>
    <rPh sb="30" eb="32">
      <t>ゲンチ</t>
    </rPh>
    <rPh sb="32" eb="35">
      <t>コウツウヒ</t>
    </rPh>
    <phoneticPr fontId="3"/>
  </si>
  <si>
    <t>Spica　ローカルメンバーKDC出張　1名(DMT評価)　電話代　\3500</t>
    <rPh sb="17" eb="19">
      <t>シュッチョウ</t>
    </rPh>
    <rPh sb="21" eb="22">
      <t>メイ</t>
    </rPh>
    <rPh sb="30" eb="33">
      <t>デンワダイ</t>
    </rPh>
    <phoneticPr fontId="3"/>
  </si>
  <si>
    <t>Spica　ローカルメンバーKDC出張　1名(DMT評価)　宿泊費　\6500×日数</t>
    <rPh sb="17" eb="19">
      <t>シュッチョウ</t>
    </rPh>
    <rPh sb="21" eb="22">
      <t>メイ</t>
    </rPh>
    <rPh sb="30" eb="33">
      <t>シュクハクヒ</t>
    </rPh>
    <rPh sb="40" eb="42">
      <t>ニッスウ</t>
    </rPh>
    <phoneticPr fontId="3"/>
  </si>
  <si>
    <t>KIZUNA3　ローカルメンバーKDC出張　1名(DMT評価)　パスポート　200000VND　＋写真代60000VND</t>
    <rPh sb="19" eb="21">
      <t>シュッチョウ</t>
    </rPh>
    <rPh sb="28" eb="30">
      <t>ヒョウカ</t>
    </rPh>
    <phoneticPr fontId="3"/>
  </si>
  <si>
    <t>KIZUNA3　ローカルメンバーKDC出張　1名(DMT評価)　VISA 350000USD　＋写真代80000VND</t>
    <rPh sb="23" eb="24">
      <t>メイ</t>
    </rPh>
    <rPh sb="48" eb="50">
      <t>シャシン</t>
    </rPh>
    <rPh sb="50" eb="51">
      <t>ダイ</t>
    </rPh>
    <phoneticPr fontId="3"/>
  </si>
  <si>
    <t>KIZUNA3  ローカルメンバーKDC出張　1名(DMT評価)　大使館手数料　640000VND</t>
    <rPh sb="20" eb="22">
      <t>シュッチョウ</t>
    </rPh>
    <rPh sb="24" eb="25">
      <t>メイ</t>
    </rPh>
    <rPh sb="33" eb="36">
      <t>タイシカン</t>
    </rPh>
    <rPh sb="36" eb="39">
      <t>テスウリョウ</t>
    </rPh>
    <phoneticPr fontId="3"/>
  </si>
  <si>
    <t>KIZUNA3  ローカルメンバーKDC出張　1名(DMT評価)　保険　48USD</t>
    <rPh sb="20" eb="22">
      <t>シュッチョウ</t>
    </rPh>
    <rPh sb="24" eb="25">
      <t>メイ</t>
    </rPh>
    <rPh sb="33" eb="35">
      <t>ホケン</t>
    </rPh>
    <phoneticPr fontId="3"/>
  </si>
  <si>
    <t>KIZUNA3　ローカルメンバーKDC出張  1名(DMT評価)  航空券 1500USD</t>
    <rPh sb="19" eb="21">
      <t>シュッチョウ</t>
    </rPh>
    <phoneticPr fontId="3"/>
  </si>
  <si>
    <t>KIZUNA3　ローカルメンバーKDC出張　1名(DMT評価)　現地交通費　\5000</t>
    <rPh sb="19" eb="21">
      <t>シュッチョウ</t>
    </rPh>
    <rPh sb="23" eb="24">
      <t>メイ</t>
    </rPh>
    <rPh sb="32" eb="34">
      <t>ゲンチ</t>
    </rPh>
    <rPh sb="34" eb="37">
      <t>コウツウヒ</t>
    </rPh>
    <phoneticPr fontId="3"/>
  </si>
  <si>
    <t>KIZUNA3　ローカルメンバーKDC出張　1名(DMT評価)　空港TAXI 3000000VND（往復）×1台</t>
    <rPh sb="23" eb="24">
      <t>メイ</t>
    </rPh>
    <rPh sb="50" eb="52">
      <t>オウフク</t>
    </rPh>
    <phoneticPr fontId="3"/>
  </si>
  <si>
    <t>KIZUNA3　ローカルメンバーKDC出張　1名(DMT評価)　日当　37USD×60日</t>
    <rPh sb="19" eb="21">
      <t>シュッチョウ</t>
    </rPh>
    <rPh sb="23" eb="24">
      <t>メイ</t>
    </rPh>
    <rPh sb="43" eb="44">
      <t>ニチ</t>
    </rPh>
    <phoneticPr fontId="3"/>
  </si>
  <si>
    <t>KIZUNA3　ローカルメンバーKDC出張　1名(DMT評価)　海外出張の携帯電話代　30USD</t>
    <rPh sb="19" eb="21">
      <t>シュッチョウ</t>
    </rPh>
    <rPh sb="23" eb="24">
      <t>メイ</t>
    </rPh>
    <rPh sb="37" eb="39">
      <t>ケイタイ</t>
    </rPh>
    <rPh sb="39" eb="41">
      <t>デンワ</t>
    </rPh>
    <rPh sb="41" eb="42">
      <t>ダイ</t>
    </rPh>
    <phoneticPr fontId="3"/>
  </si>
  <si>
    <t>KIZUNA3　ローカルメンバーKDC出張　1名(DMT評価)　電話代　\3500</t>
    <rPh sb="19" eb="21">
      <t>シュッチョウ</t>
    </rPh>
    <rPh sb="23" eb="24">
      <t>メイ</t>
    </rPh>
    <rPh sb="32" eb="35">
      <t>デンワダイ</t>
    </rPh>
    <phoneticPr fontId="3"/>
  </si>
  <si>
    <t>KIZUNA3　ローカルメンバーKDC出張　1名(DMT評価)　宿泊費　\6500×日数</t>
    <rPh sb="19" eb="21">
      <t>シュッチョウ</t>
    </rPh>
    <rPh sb="23" eb="24">
      <t>メイ</t>
    </rPh>
    <rPh sb="32" eb="35">
      <t>シュクハクヒ</t>
    </rPh>
    <rPh sb="42" eb="44">
      <t>ニッスウ</t>
    </rPh>
    <phoneticPr fontId="3"/>
  </si>
  <si>
    <t>ローカルKDC出向↓</t>
  </si>
  <si>
    <t>フィリピン出張↓</t>
  </si>
  <si>
    <t>フィリピン語学研修　1名　新規パスポート申請＋証明写真</t>
    <rPh sb="5" eb="9">
      <t>ゴガクケンシュウ</t>
    </rPh>
    <rPh sb="11" eb="12">
      <t>メイ</t>
    </rPh>
    <rPh sb="13" eb="15">
      <t>シンキ</t>
    </rPh>
    <rPh sb="20" eb="22">
      <t>シンセイ</t>
    </rPh>
    <rPh sb="23" eb="27">
      <t>ショウメイシャシン</t>
    </rPh>
    <phoneticPr fontId="3"/>
  </si>
  <si>
    <t>フィリピン語学研修　1名　語学学校支払い（登録料、授業料）</t>
    <rPh sb="11" eb="12">
      <t>メイ</t>
    </rPh>
    <rPh sb="13" eb="15">
      <t>ゴガク</t>
    </rPh>
    <rPh sb="15" eb="17">
      <t>ガッコウ</t>
    </rPh>
    <rPh sb="17" eb="19">
      <t>シハラ</t>
    </rPh>
    <rPh sb="21" eb="24">
      <t>トウロクリョウ</t>
    </rPh>
    <rPh sb="25" eb="28">
      <t>ジュギョウリョウ</t>
    </rPh>
    <phoneticPr fontId="3"/>
  </si>
  <si>
    <t>フィリピン語学研修　1名　語学学校支払い（教材費、就学許可証）</t>
    <rPh sb="11" eb="12">
      <t>メイ</t>
    </rPh>
    <rPh sb="13" eb="15">
      <t>ゴガク</t>
    </rPh>
    <rPh sb="15" eb="17">
      <t>ガッコウ</t>
    </rPh>
    <rPh sb="17" eb="19">
      <t>シハラ</t>
    </rPh>
    <rPh sb="21" eb="24">
      <t>キョウザイヒ</t>
    </rPh>
    <rPh sb="25" eb="30">
      <t>シュウガクキョカショウ</t>
    </rPh>
    <phoneticPr fontId="3"/>
  </si>
  <si>
    <t>フィリピン語学研修　1名　保険代</t>
    <rPh sb="11" eb="12">
      <t>メイ</t>
    </rPh>
    <rPh sb="13" eb="15">
      <t>ホケン</t>
    </rPh>
    <rPh sb="15" eb="16">
      <t>ダイ</t>
    </rPh>
    <phoneticPr fontId="3"/>
  </si>
  <si>
    <t>フィリピン語学研修　1名　交通費（飛行機）PH</t>
    <rPh sb="11" eb="12">
      <t>メイ</t>
    </rPh>
    <rPh sb="13" eb="16">
      <t>コウツウヒ</t>
    </rPh>
    <rPh sb="17" eb="20">
      <t>ヒコウキ</t>
    </rPh>
    <phoneticPr fontId="3"/>
  </si>
  <si>
    <t>フィリピン語学研修　1名　交通費（PH）</t>
    <rPh sb="11" eb="12">
      <t>メイ</t>
    </rPh>
    <rPh sb="13" eb="16">
      <t>コウツウヒ</t>
    </rPh>
    <phoneticPr fontId="3"/>
  </si>
  <si>
    <t>フィリピン語学研修　1名　交通費（工場－空港）</t>
    <rPh sb="11" eb="12">
      <t>メイ</t>
    </rPh>
    <rPh sb="13" eb="16">
      <t>コウツウヒ</t>
    </rPh>
    <rPh sb="17" eb="19">
      <t>コウジョウ</t>
    </rPh>
    <rPh sb="20" eb="22">
      <t>クウコウ</t>
    </rPh>
    <phoneticPr fontId="3"/>
  </si>
  <si>
    <t>フィリピン語学研修　1名　日当(1日~14日）</t>
    <rPh sb="11" eb="12">
      <t>メイ</t>
    </rPh>
    <rPh sb="13" eb="15">
      <t>ニットウ</t>
    </rPh>
    <rPh sb="17" eb="18">
      <t>ニチ</t>
    </rPh>
    <rPh sb="21" eb="22">
      <t>ニチ</t>
    </rPh>
    <phoneticPr fontId="3"/>
  </si>
  <si>
    <t>フィリピン語学研修　1名　食費</t>
    <rPh sb="11" eb="12">
      <t>メイ</t>
    </rPh>
    <rPh sb="13" eb="15">
      <t>ショクヒ</t>
    </rPh>
    <phoneticPr fontId="3"/>
  </si>
  <si>
    <t>フィリピン語学研修　1名　宿泊費(PH)</t>
    <rPh sb="11" eb="12">
      <t>メイ</t>
    </rPh>
    <rPh sb="13" eb="16">
      <t>シュクハクヒ</t>
    </rPh>
    <phoneticPr fontId="3"/>
  </si>
  <si>
    <t>出向者KDC出張　←MD4課に移動(20250103)</t>
    <rPh sb="0" eb="2">
      <t>シュッコウ</t>
    </rPh>
    <rPh sb="2" eb="3">
      <t>シャ</t>
    </rPh>
    <rPh sb="13" eb="14">
      <t>カ</t>
    </rPh>
    <rPh sb="15" eb="17">
      <t>イドウ</t>
    </rPh>
    <phoneticPr fontId="3"/>
  </si>
  <si>
    <t>出向者日本出張　1名　保険代</t>
    <rPh sb="0" eb="3">
      <t>シュッコウシャ</t>
    </rPh>
    <rPh sb="3" eb="5">
      <t>ニホン</t>
    </rPh>
    <rPh sb="5" eb="7">
      <t>シュッチョウ</t>
    </rPh>
    <rPh sb="9" eb="10">
      <t>メイ</t>
    </rPh>
    <rPh sb="11" eb="13">
      <t>ホケン</t>
    </rPh>
    <rPh sb="13" eb="14">
      <t>ダイ</t>
    </rPh>
    <phoneticPr fontId="3"/>
  </si>
  <si>
    <t>出向者日本出張　1名　交通費（飛行機）JP</t>
    <rPh sb="9" eb="10">
      <t>メイ</t>
    </rPh>
    <rPh sb="11" eb="14">
      <t>コウツウヒ</t>
    </rPh>
    <rPh sb="15" eb="18">
      <t>ヒコウキ</t>
    </rPh>
    <phoneticPr fontId="3"/>
  </si>
  <si>
    <t>出向者日本出張　1名　交通費（JP）</t>
    <rPh sb="9" eb="10">
      <t>メイ</t>
    </rPh>
    <rPh sb="11" eb="14">
      <t>コウツウヒ</t>
    </rPh>
    <phoneticPr fontId="3"/>
  </si>
  <si>
    <t>出向者日本出張　1名　交通費（工場－空港）</t>
    <rPh sb="9" eb="10">
      <t>メイ</t>
    </rPh>
    <rPh sb="11" eb="14">
      <t>コウツウヒ</t>
    </rPh>
    <rPh sb="15" eb="17">
      <t>コウジョウ</t>
    </rPh>
    <rPh sb="18" eb="20">
      <t>クウコウ</t>
    </rPh>
    <phoneticPr fontId="3"/>
  </si>
  <si>
    <t>出向者日本出張　1名　日当(1日~14日）</t>
    <rPh sb="9" eb="10">
      <t>メイ</t>
    </rPh>
    <rPh sb="11" eb="13">
      <t>ニットウ</t>
    </rPh>
    <rPh sb="15" eb="16">
      <t>ニチ</t>
    </rPh>
    <rPh sb="19" eb="20">
      <t>ニチ</t>
    </rPh>
    <phoneticPr fontId="3"/>
  </si>
  <si>
    <t>出向者日本出張　1名　日当(32日目以降）日本</t>
    <rPh sb="9" eb="10">
      <t>メイ</t>
    </rPh>
    <rPh sb="11" eb="13">
      <t>ニットウ</t>
    </rPh>
    <rPh sb="16" eb="17">
      <t>ニチ</t>
    </rPh>
    <rPh sb="17" eb="18">
      <t>メ</t>
    </rPh>
    <rPh sb="18" eb="20">
      <t>イコウ</t>
    </rPh>
    <rPh sb="21" eb="23">
      <t>ニホン</t>
    </rPh>
    <phoneticPr fontId="3"/>
  </si>
  <si>
    <t>出向者日本出張　1名　電話代</t>
    <rPh sb="9" eb="10">
      <t>メイ</t>
    </rPh>
    <rPh sb="11" eb="14">
      <t>デンワダイ</t>
    </rPh>
    <phoneticPr fontId="3"/>
  </si>
  <si>
    <t>出向者日本出張　1名　宿泊費</t>
    <rPh sb="9" eb="10">
      <t>メイ</t>
    </rPh>
    <rPh sb="11" eb="14">
      <t>シュクハクヒ</t>
    </rPh>
    <phoneticPr fontId="3"/>
  </si>
  <si>
    <t>騒音測定、異常音調査</t>
    <rPh sb="0" eb="4">
      <t>ソウオンソクテイ</t>
    </rPh>
    <rPh sb="5" eb="8">
      <t>イジョウオン</t>
    </rPh>
    <rPh sb="8" eb="10">
      <t>チョウサ</t>
    </rPh>
    <phoneticPr fontId="3"/>
  </si>
  <si>
    <t>元素分析</t>
    <rPh sb="0" eb="4">
      <t>ゲンソブンセキ</t>
    </rPh>
    <phoneticPr fontId="3"/>
  </si>
  <si>
    <t>13時間/人・月(1-12期生)で計算 係責任者は2時間のみなし残業</t>
  </si>
  <si>
    <t>総生産情報</t>
  </si>
  <si>
    <t>減価償却費配賦　建物</t>
  </si>
  <si>
    <t>減価償却費配賦　土地使用権</t>
  </si>
  <si>
    <t>固定資産金利　土地使用権</t>
  </si>
  <si>
    <t>Local Bus送迎費 (local Member 人員比率　で計算)</t>
  </si>
  <si>
    <t>kyouceraフェスティバル</t>
  </si>
  <si>
    <t>フィロソフィ論文参加賞</t>
  </si>
  <si>
    <t>メール</t>
  </si>
  <si>
    <t>R3</t>
  </si>
  <si>
    <t>PLM</t>
  </si>
  <si>
    <t>VPS</t>
  </si>
  <si>
    <t>CAD \4,931,701/月　（新CADも含む CADユーザー追加分で予測）→FY2026～MD4課へ移動</t>
  </si>
  <si>
    <t>新入社員　Pen</t>
  </si>
  <si>
    <t>新入社員　Note</t>
  </si>
  <si>
    <t>新入社員　フィロソフィ手帳</t>
  </si>
  <si>
    <t>新入社員　帽子</t>
  </si>
  <si>
    <t>新入社員　制服(ズボン) x2枚/人</t>
  </si>
  <si>
    <t>新入社員　ポケットカレンダー</t>
  </si>
  <si>
    <t xml:space="preserve">KEYENCE製　三次元測定器　LV-770  </t>
  </si>
  <si>
    <t>マイクロスコープ</t>
  </si>
  <si>
    <t>サーモビューアーR450</t>
  </si>
  <si>
    <t>サーモビューアーR450Pro</t>
  </si>
  <si>
    <t>写真+公証 50,000VND</t>
  </si>
  <si>
    <t>データの翻訳 1,000,000VND</t>
  </si>
  <si>
    <t>郵便局で輸運送費 60,000VND</t>
  </si>
  <si>
    <t>プロファイルセット費用 60,000VND</t>
  </si>
  <si>
    <t>労働許可証取得時の健康診断費用 1,259,500VND</t>
  </si>
  <si>
    <t>セミナー↓</t>
  </si>
  <si>
    <t>支度金 x名（x月）</t>
  </si>
  <si>
    <t>Spica</t>
  </si>
  <si>
    <t>KIZUNA3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</si>
</sst>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164" formatCode="&quot;¥&quot;#,##0;[Red]&quot;¥&quot;\-#,##0"/>
    <numFmt numFmtId="165" formatCode="_ &quot;¥&quot;* #,##0_ ;_ &quot;¥&quot;* \-#,##0_ ;_ &quot;¥&quot;* &quot;-&quot;_ ;_ @_ "/>
    <numFmt numFmtId="166" formatCode="_(* #,##0.00_);_(* \(#,##0.00\);_(* &quot;-&quot;??_);_(@_)"/>
    <numFmt numFmtId="167" formatCode="#,##0.0;[Red]\-#,##0.0"/>
    <numFmt numFmtId="168" formatCode="&quot;　　&quot;General"/>
    <numFmt numFmtId="169" formatCode="0&quot;月度&quot;"/>
    <numFmt numFmtId="170" formatCode="0&quot;月&quot;"/>
    <numFmt numFmtId="171" formatCode="0&quot;日&quot;"/>
    <numFmt numFmtId="172" formatCode="&quot;1US$=&quot;0&quot;VND&quot;"/>
    <numFmt numFmtId="173" formatCode="yyyy&quot;年&quot;m&quot;月&quot;;@"/>
    <numFmt numFmtId="174" formatCode="0_ "/>
    <numFmt numFmtId="175" formatCode="0.0"/>
    <numFmt numFmtId="176" formatCode="#,##0.0_);[Red]\(#,##0.0\)"/>
    <numFmt numFmtId="177" formatCode="#,##0.000_);[Red]\(#,##0.000\)"/>
    <numFmt numFmtId="178" formatCode="#,##0.0000_);[Red]\(#,##0.0000\)"/>
    <numFmt numFmtId="179" formatCode="&quot;NT$&quot;#,##0;[Red]\-&quot;NT$&quot;#,##0"/>
    <numFmt numFmtId="180" formatCode="&quot;換算Rate：1US$=&quot;0,000&quot;VND&quot;"/>
    <numFmt numFmtId="181" formatCode="&quot;1USD  =  &quot;#,#00&quot; VND&quot;"/>
    <numFmt numFmtId="182" formatCode="#,##0_);[Red]\-#,##0_)"/>
    <numFmt numFmtId="183" formatCode="&quot;1USD = &quot;#,#00&quot; VND&quot;"/>
    <numFmt numFmtId="184" formatCode="#,##0."/>
    <numFmt numFmtId="185" formatCode="_-&quot;US$&quot;* #,##0.00_ ;_-&quot;US$&quot;* \-#,##0.00\ ;_-&quot;US$&quot;* &quot;-&quot;??_ ;_-@_ "/>
    <numFmt numFmtId="186" formatCode="_ [$VND]\ * #,##0_ ;_ [$VND]\ * \-#,##0_ ;_ [$VND]\ * &quot;-&quot;_ ;_ @_ "/>
    <numFmt numFmtId="187" formatCode="_ * #,##0_ ;_ * \-#,##0_ ;_ * &quot;-&quot;??_ ;_ @_ "/>
    <numFmt numFmtId="188" formatCode="#,##0.0_ ;[Red]\-#,##0.0\ "/>
    <numFmt numFmtId="189" formatCode="_ [$JPY]\ * #,##0_ ;_ [$JPY]\ * \-#,##0_ ;_ [$JPY]\ * &quot;-&quot;_ ;_ @_ "/>
  </numFmts>
  <fonts count="103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8"/>
      <name val="Meiryo UI"/>
      <family val="3"/>
      <charset val="128"/>
    </font>
    <font>
      <sz val="8"/>
      <color theme="1"/>
      <name val="Meiryo UI"/>
      <family val="3"/>
      <charset val="128"/>
    </font>
    <font>
      <b/>
      <i/>
      <sz val="8"/>
      <name val="Meiryo UI"/>
      <family val="3"/>
      <charset val="128"/>
    </font>
    <font>
      <b/>
      <sz val="8"/>
      <color theme="1"/>
      <name val="Meiryo UI"/>
      <family val="3"/>
      <charset val="128"/>
    </font>
    <font>
      <b/>
      <sz val="12"/>
      <color rgb="FFFF0000"/>
      <name val="Meiryo UI"/>
      <family val="3"/>
      <charset val="128"/>
    </font>
    <font>
      <b/>
      <i/>
      <sz val="8"/>
      <color theme="1"/>
      <name val="Meiryo UI"/>
      <family val="3"/>
      <charset val="128"/>
    </font>
    <font>
      <b/>
      <sz val="8"/>
      <name val="Meiryo UI"/>
      <family val="3"/>
      <charset val="128"/>
    </font>
    <font>
      <i/>
      <sz val="8"/>
      <name val="Meiryo UI"/>
      <family val="3"/>
      <charset val="128"/>
    </font>
    <font>
      <b/>
      <sz val="8"/>
      <color rgb="FFFF0000"/>
      <name val="Meiryo UI"/>
      <family val="3"/>
      <charset val="128"/>
    </font>
    <font>
      <i/>
      <sz val="8"/>
      <color rgb="FFFF0000"/>
      <name val="Meiryo UI"/>
      <family val="3"/>
      <charset val="128"/>
    </font>
    <font>
      <b/>
      <i/>
      <sz val="8"/>
      <color rgb="FFFF0000"/>
      <name val="Meiryo UI"/>
      <family val="3"/>
      <charset val="128"/>
    </font>
    <font>
      <sz val="8"/>
      <color rgb="FFFF0000"/>
      <name val="Meiryo UI"/>
      <family val="3"/>
      <charset val="128"/>
    </font>
    <font>
      <i/>
      <sz val="8"/>
      <color theme="1"/>
      <name val="Meiryo UI"/>
      <family val="3"/>
      <charset val="128"/>
    </font>
    <font>
      <b/>
      <strike/>
      <sz val="8"/>
      <name val="Meiryo UI"/>
      <family val="3"/>
      <charset val="128"/>
    </font>
    <font>
      <sz val="8"/>
      <color rgb="FF002060"/>
      <name val="Meiryo UI"/>
      <family val="3"/>
      <charset val="128"/>
    </font>
    <font>
      <b/>
      <sz val="11"/>
      <color indexed="81"/>
      <name val="MS P ゴシック"/>
      <family val="3"/>
      <charset val="128"/>
    </font>
    <font>
      <sz val="11"/>
      <color indexed="81"/>
      <name val="MS P ゴシック"/>
      <family val="3"/>
      <charset val="128"/>
    </font>
  </fonts>
  <fills count="4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5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</borders>
  <cellStyleXfs count="177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166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166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9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72" fillId="0" borderId="0"/>
    <xf numFmtId="38" fontId="1" fillId="0" borderId="0" applyFont="0" applyFill="0" applyBorder="0" applyAlignment="0" applyProtection="0"/>
  </cellStyleXfs>
  <cellXfs count="410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8" fontId="37" fillId="0" borderId="19" xfId="0" applyNumberFormat="1" applyFont="1" applyBorder="1" applyAlignment="1" applyProtection="1">
      <alignment horizontal="left"/>
    </xf>
    <xf numFmtId="168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71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9" fontId="5" fillId="0" borderId="0" xfId="67" applyNumberFormat="1" applyFont="1" applyFill="1"/>
    <xf numFmtId="170" fontId="37" fillId="0" borderId="13" xfId="0" applyNumberFormat="1" applyFont="1" applyBorder="1" applyAlignment="1" applyProtection="1">
      <alignment horizontal="center" wrapText="1"/>
      <protection locked="0"/>
    </xf>
    <xf numFmtId="169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7" fontId="37" fillId="0" borderId="0" xfId="0" applyNumberFormat="1" applyFont="1" applyProtection="1">
      <protection locked="0"/>
    </xf>
    <xf numFmtId="178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4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71" fontId="73" fillId="0" borderId="0" xfId="67" applyNumberFormat="1" applyFont="1" applyFill="1" applyAlignment="1">
      <alignment horizontal="center" vertical="center"/>
    </xf>
    <xf numFmtId="170" fontId="74" fillId="25" borderId="10" xfId="67" applyNumberFormat="1" applyFont="1" applyFill="1" applyBorder="1" applyAlignment="1">
      <alignment horizontal="center" vertical="center"/>
    </xf>
    <xf numFmtId="170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71" fontId="73" fillId="0" borderId="0" xfId="68" applyNumberFormat="1" applyFont="1" applyFill="1" applyAlignment="1">
      <alignment horizontal="center" vertical="center"/>
    </xf>
    <xf numFmtId="170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2" fontId="59" fillId="31" borderId="0" xfId="0" applyNumberFormat="1" applyFont="1" applyFill="1" applyAlignment="1" applyProtection="1">
      <alignment horizontal="centerContinuous"/>
      <protection locked="0"/>
    </xf>
    <xf numFmtId="180" fontId="11" fillId="31" borderId="0" xfId="0" applyNumberFormat="1" applyFont="1" applyFill="1" applyAlignment="1" applyProtection="1">
      <alignment horizontal="centerContinuous"/>
      <protection locked="0"/>
    </xf>
    <xf numFmtId="169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9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81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4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2" fontId="73" fillId="0" borderId="0" xfId="67" applyNumberFormat="1" applyFont="1" applyAlignment="1">
      <alignment horizontal="center" vertical="center"/>
    </xf>
    <xf numFmtId="182" fontId="73" fillId="0" borderId="0" xfId="66" applyNumberFormat="1" applyFont="1" applyAlignment="1">
      <alignment horizontal="center" vertical="center"/>
    </xf>
    <xf numFmtId="182" fontId="5" fillId="0" borderId="0" xfId="67" applyNumberFormat="1" applyFont="1"/>
    <xf numFmtId="183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7" fontId="37" fillId="0" borderId="13" xfId="68" applyNumberFormat="1" applyFont="1" applyBorder="1" applyProtection="1"/>
    <xf numFmtId="167" fontId="37" fillId="0" borderId="19" xfId="68" applyNumberFormat="1" applyFont="1" applyBorder="1" applyProtection="1">
      <protection locked="0"/>
    </xf>
    <xf numFmtId="167" fontId="37" fillId="0" borderId="20" xfId="68" applyNumberFormat="1" applyFont="1" applyBorder="1" applyProtection="1">
      <protection locked="0"/>
    </xf>
    <xf numFmtId="167" fontId="37" fillId="0" borderId="32" xfId="68" applyNumberFormat="1" applyFont="1" applyBorder="1" applyProtection="1">
      <protection locked="0"/>
    </xf>
    <xf numFmtId="167" fontId="37" fillId="0" borderId="17" xfId="68" applyNumberFormat="1" applyFont="1" applyBorder="1" applyProtection="1">
      <protection locked="0"/>
    </xf>
    <xf numFmtId="167" fontId="37" fillId="0" borderId="21" xfId="68" applyNumberFormat="1" applyFont="1" applyBorder="1" applyProtection="1"/>
    <xf numFmtId="167" fontId="37" fillId="24" borderId="13" xfId="68" applyNumberFormat="1" applyFont="1" applyFill="1" applyBorder="1" applyAlignment="1" applyProtection="1"/>
    <xf numFmtId="167" fontId="37" fillId="0" borderId="21" xfId="68" applyNumberFormat="1" applyFont="1" applyBorder="1" applyAlignment="1" applyProtection="1"/>
    <xf numFmtId="167" fontId="37" fillId="27" borderId="13" xfId="68" applyNumberFormat="1" applyFont="1" applyFill="1" applyBorder="1" applyProtection="1"/>
    <xf numFmtId="167" fontId="37" fillId="0" borderId="0" xfId="0" applyNumberFormat="1" applyFont="1" applyProtection="1">
      <protection locked="0"/>
    </xf>
    <xf numFmtId="167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0" fontId="0" fillId="0" borderId="0" xfId="0" applyAlignment="1">
      <alignment horizontal="center"/>
    </xf>
    <xf numFmtId="171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70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3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4" fontId="85" fillId="0" borderId="0" xfId="171" applyNumberFormat="1" applyFont="1">
      <alignment vertical="center"/>
    </xf>
    <xf numFmtId="174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4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0" fontId="86" fillId="0" borderId="0" xfId="0" applyNumberFormat="1" applyFont="1" applyFill="1" applyProtection="1"/>
    <xf numFmtId="1" fontId="86" fillId="0" borderId="34" xfId="0" applyNumberFormat="1" applyFont="1" applyFill="1" applyBorder="1" applyAlignment="1" applyProtection="1">
      <alignment horizontal="center"/>
    </xf>
    <xf numFmtId="40" fontId="86" fillId="0" borderId="49" xfId="0" applyNumberFormat="1" applyFont="1" applyFill="1" applyBorder="1" applyAlignment="1" applyProtection="1">
      <alignment horizontal="center"/>
    </xf>
    <xf numFmtId="38" fontId="87" fillId="34" borderId="39" xfId="68" applyFont="1" applyFill="1" applyBorder="1" applyAlignment="1" applyProtection="1">
      <alignment horizontal="right"/>
    </xf>
    <xf numFmtId="38" fontId="87" fillId="34" borderId="39" xfId="66" applyNumberFormat="1" applyFont="1" applyFill="1" applyBorder="1" applyAlignment="1" applyProtection="1">
      <alignment horizontal="right"/>
    </xf>
    <xf numFmtId="38" fontId="88" fillId="34" borderId="39" xfId="67" applyFont="1" applyFill="1" applyBorder="1" applyProtection="1"/>
    <xf numFmtId="40" fontId="86" fillId="34" borderId="39" xfId="0" applyNumberFormat="1" applyFont="1" applyFill="1" applyBorder="1" applyProtection="1"/>
    <xf numFmtId="40" fontId="86" fillId="0" borderId="39" xfId="0" applyNumberFormat="1" applyFont="1" applyFill="1" applyBorder="1" applyProtection="1"/>
    <xf numFmtId="38" fontId="86" fillId="0" borderId="0" xfId="0" applyNumberFormat="1" applyFont="1" applyAlignment="1" applyProtection="1">
      <alignment vertical="center"/>
    </xf>
    <xf numFmtId="0" fontId="86" fillId="0" borderId="0" xfId="0" applyFont="1" applyFill="1" applyAlignment="1" applyProtection="1">
      <alignment vertical="center"/>
    </xf>
    <xf numFmtId="0" fontId="86" fillId="0" borderId="0" xfId="0" applyNumberFormat="1" applyFont="1" applyAlignment="1" applyProtection="1">
      <alignment vertical="center"/>
    </xf>
    <xf numFmtId="0" fontId="86" fillId="0" borderId="0" xfId="0" applyFont="1" applyAlignment="1" applyProtection="1">
      <alignment vertical="center"/>
    </xf>
    <xf numFmtId="4" fontId="86" fillId="0" borderId="0" xfId="0" applyNumberFormat="1" applyFont="1" applyFill="1" applyBorder="1" applyProtection="1"/>
    <xf numFmtId="0" fontId="86" fillId="0" borderId="0" xfId="0" applyFont="1" applyFill="1" applyProtection="1"/>
    <xf numFmtId="0" fontId="86" fillId="0" borderId="0" xfId="0" applyFont="1" applyProtection="1"/>
    <xf numFmtId="40" fontId="86" fillId="33" borderId="0" xfId="0" applyNumberFormat="1" applyFont="1" applyFill="1" applyProtection="1"/>
    <xf numFmtId="1" fontId="86" fillId="33" borderId="34" xfId="0" applyNumberFormat="1" applyFont="1" applyFill="1" applyBorder="1" applyAlignment="1" applyProtection="1">
      <alignment horizontal="center"/>
    </xf>
    <xf numFmtId="40" fontId="86" fillId="0" borderId="19" xfId="0" applyNumberFormat="1" applyFont="1" applyFill="1" applyBorder="1" applyProtection="1"/>
    <xf numFmtId="40" fontId="86" fillId="0" borderId="38" xfId="0" applyNumberFormat="1" applyFont="1" applyFill="1" applyBorder="1" applyProtection="1"/>
    <xf numFmtId="40" fontId="86" fillId="33" borderId="41" xfId="0" applyNumberFormat="1" applyFont="1" applyFill="1" applyBorder="1" applyAlignment="1" applyProtection="1">
      <alignment horizontal="center"/>
    </xf>
    <xf numFmtId="38" fontId="89" fillId="34" borderId="39" xfId="68" applyFont="1" applyFill="1" applyBorder="1" applyAlignment="1" applyProtection="1">
      <alignment horizontal="right"/>
    </xf>
    <xf numFmtId="38" fontId="89" fillId="34" borderId="39" xfId="66" applyNumberFormat="1" applyFont="1" applyFill="1" applyBorder="1" applyAlignment="1" applyProtection="1">
      <alignment horizontal="right"/>
    </xf>
    <xf numFmtId="0" fontId="86" fillId="0" borderId="0" xfId="0" applyFont="1" applyAlignment="1" applyProtection="1">
      <alignment vertical="center"/>
      <protection locked="0"/>
    </xf>
    <xf numFmtId="0" fontId="86" fillId="0" borderId="0" xfId="0" applyNumberFormat="1" applyFont="1" applyAlignment="1" applyProtection="1">
      <alignment vertical="center"/>
      <protection locked="0"/>
    </xf>
    <xf numFmtId="0" fontId="86" fillId="0" borderId="0" xfId="0" applyFont="1" applyBorder="1" applyProtection="1">
      <protection locked="0"/>
    </xf>
    <xf numFmtId="40" fontId="86" fillId="0" borderId="0" xfId="0" applyNumberFormat="1" applyFont="1" applyProtection="1"/>
    <xf numFmtId="38" fontId="87" fillId="34" borderId="39" xfId="68" applyFont="1" applyFill="1" applyBorder="1" applyAlignment="1" applyProtection="1">
      <alignment horizontal="right" vertical="center"/>
    </xf>
    <xf numFmtId="38" fontId="87" fillId="34" borderId="39" xfId="66" applyNumberFormat="1" applyFont="1" applyFill="1" applyBorder="1" applyAlignment="1" applyProtection="1">
      <alignment horizontal="right" vertical="center"/>
    </xf>
    <xf numFmtId="0" fontId="86" fillId="0" borderId="0" xfId="0" applyFont="1" applyBorder="1" applyProtection="1"/>
    <xf numFmtId="40" fontId="86" fillId="0" borderId="41" xfId="0" applyNumberFormat="1" applyFont="1" applyFill="1" applyBorder="1" applyAlignment="1" applyProtection="1">
      <alignment horizontal="center"/>
    </xf>
    <xf numFmtId="38" fontId="87" fillId="0" borderId="39" xfId="68" applyFont="1" applyFill="1" applyBorder="1" applyAlignment="1" applyProtection="1">
      <alignment horizontal="right" vertical="center"/>
    </xf>
    <xf numFmtId="38" fontId="87" fillId="0" borderId="39" xfId="66" applyNumberFormat="1" applyFont="1" applyFill="1" applyBorder="1" applyAlignment="1" applyProtection="1">
      <alignment horizontal="right" vertical="center"/>
    </xf>
    <xf numFmtId="40" fontId="90" fillId="36" borderId="39" xfId="0" applyNumberFormat="1" applyFont="1" applyFill="1" applyBorder="1" applyProtection="1"/>
    <xf numFmtId="38" fontId="86" fillId="0" borderId="0" xfId="0" applyNumberFormat="1" applyFont="1" applyFill="1" applyAlignment="1" applyProtection="1">
      <alignment vertical="center"/>
    </xf>
    <xf numFmtId="0" fontId="86" fillId="0" borderId="0" xfId="0" applyNumberFormat="1" applyFont="1" applyFill="1" applyAlignment="1" applyProtection="1">
      <alignment vertical="center"/>
    </xf>
    <xf numFmtId="0" fontId="86" fillId="0" borderId="0" xfId="0" applyFont="1" applyFill="1" applyBorder="1" applyProtection="1"/>
    <xf numFmtId="38" fontId="91" fillId="34" borderId="39" xfId="68" applyFont="1" applyFill="1" applyBorder="1" applyAlignment="1" applyProtection="1">
      <alignment horizontal="right" vertical="center"/>
    </xf>
    <xf numFmtId="40" fontId="92" fillId="34" borderId="39" xfId="0" applyNumberFormat="1" applyFont="1" applyFill="1" applyBorder="1" applyProtection="1"/>
    <xf numFmtId="38" fontId="92" fillId="0" borderId="0" xfId="0" applyNumberFormat="1" applyFont="1" applyAlignment="1" applyProtection="1">
      <alignment vertical="center"/>
    </xf>
    <xf numFmtId="0" fontId="86" fillId="0" borderId="34" xfId="0" applyNumberFormat="1" applyFont="1" applyFill="1" applyBorder="1" applyAlignment="1" applyProtection="1">
      <alignment horizontal="center"/>
    </xf>
    <xf numFmtId="185" fontId="86" fillId="0" borderId="0" xfId="0" applyNumberFormat="1" applyFont="1" applyAlignment="1" applyProtection="1">
      <alignment vertical="center"/>
    </xf>
    <xf numFmtId="38" fontId="88" fillId="34" borderId="39" xfId="68" applyFont="1" applyFill="1" applyBorder="1" applyAlignment="1" applyProtection="1">
      <alignment horizontal="right" vertical="center"/>
    </xf>
    <xf numFmtId="0" fontId="92" fillId="0" borderId="0" xfId="0" applyFont="1" applyBorder="1" applyProtection="1"/>
    <xf numFmtId="9" fontId="92" fillId="0" borderId="0" xfId="0" applyNumberFormat="1" applyFont="1" applyAlignment="1" applyProtection="1">
      <alignment vertical="center"/>
    </xf>
    <xf numFmtId="40" fontId="89" fillId="32" borderId="39" xfId="0" applyNumberFormat="1" applyFont="1" applyFill="1" applyBorder="1" applyProtection="1"/>
    <xf numFmtId="38" fontId="91" fillId="34" borderId="39" xfId="66" applyNumberFormat="1" applyFont="1" applyFill="1" applyBorder="1" applyAlignment="1" applyProtection="1">
      <alignment horizontal="right" vertical="center"/>
    </xf>
    <xf numFmtId="186" fontId="92" fillId="0" borderId="0" xfId="0" applyNumberFormat="1" applyFont="1" applyAlignment="1" applyProtection="1">
      <alignment vertical="center"/>
    </xf>
    <xf numFmtId="0" fontId="86" fillId="0" borderId="0" xfId="0" applyNumberFormat="1" applyFont="1" applyBorder="1" applyProtection="1"/>
    <xf numFmtId="0" fontId="92" fillId="0" borderId="0" xfId="0" applyNumberFormat="1" applyFont="1" applyAlignment="1" applyProtection="1">
      <alignment vertical="center"/>
    </xf>
    <xf numFmtId="186" fontId="92" fillId="0" borderId="0" xfId="175" applyNumberFormat="1" applyFont="1" applyAlignment="1">
      <alignment vertical="center"/>
    </xf>
    <xf numFmtId="0" fontId="92" fillId="0" borderId="0" xfId="175" applyFont="1"/>
    <xf numFmtId="38" fontId="93" fillId="34" borderId="39" xfId="68" applyFont="1" applyFill="1" applyBorder="1" applyAlignment="1" applyProtection="1">
      <alignment horizontal="right" vertical="center"/>
    </xf>
    <xf numFmtId="38" fontId="88" fillId="34" borderId="39" xfId="66" applyNumberFormat="1" applyFont="1" applyFill="1" applyBorder="1" applyAlignment="1" applyProtection="1">
      <alignment horizontal="right" vertical="center"/>
    </xf>
    <xf numFmtId="38" fontId="93" fillId="34" borderId="39" xfId="66" applyNumberFormat="1" applyFont="1" applyFill="1" applyBorder="1" applyAlignment="1" applyProtection="1">
      <alignment horizontal="right" vertical="center"/>
    </xf>
    <xf numFmtId="186" fontId="86" fillId="0" borderId="0" xfId="0" applyNumberFormat="1" applyFont="1" applyAlignment="1" applyProtection="1">
      <alignment vertical="center"/>
    </xf>
    <xf numFmtId="0" fontId="92" fillId="0" borderId="0" xfId="0" applyNumberFormat="1" applyFont="1" applyFill="1" applyAlignment="1" applyProtection="1">
      <alignment vertical="center"/>
    </xf>
    <xf numFmtId="185" fontId="92" fillId="0" borderId="0" xfId="0" applyNumberFormat="1" applyFont="1" applyAlignment="1" applyProtection="1">
      <alignment vertical="center"/>
    </xf>
    <xf numFmtId="0" fontId="92" fillId="0" borderId="0" xfId="0" applyFont="1" applyAlignment="1" applyProtection="1">
      <alignment vertical="center"/>
    </xf>
    <xf numFmtId="164" fontId="92" fillId="0" borderId="0" xfId="0" applyNumberFormat="1" applyFont="1" applyAlignment="1" applyProtection="1">
      <alignment vertical="center"/>
    </xf>
    <xf numFmtId="38" fontId="91" fillId="0" borderId="39" xfId="66" applyNumberFormat="1" applyFont="1" applyFill="1" applyBorder="1" applyAlignment="1" applyProtection="1">
      <alignment horizontal="right" vertical="center"/>
    </xf>
    <xf numFmtId="165" fontId="92" fillId="0" borderId="0" xfId="0" applyNumberFormat="1" applyFont="1" applyFill="1" applyAlignment="1" applyProtection="1">
      <alignment vertical="center"/>
    </xf>
    <xf numFmtId="40" fontId="92" fillId="0" borderId="0" xfId="0" applyNumberFormat="1" applyFont="1" applyProtection="1"/>
    <xf numFmtId="0" fontId="92" fillId="0" borderId="0" xfId="0" applyNumberFormat="1" applyFont="1" applyBorder="1" applyProtection="1"/>
    <xf numFmtId="38" fontId="88" fillId="0" borderId="39" xfId="68" applyFont="1" applyFill="1" applyBorder="1" applyAlignment="1" applyProtection="1">
      <alignment horizontal="right" vertical="center"/>
    </xf>
    <xf numFmtId="38" fontId="95" fillId="34" borderId="39" xfId="66" applyNumberFormat="1" applyFont="1" applyFill="1" applyBorder="1" applyAlignment="1" applyProtection="1">
      <alignment horizontal="right" vertical="center"/>
    </xf>
    <xf numFmtId="38" fontId="96" fillId="34" borderId="39" xfId="66" applyNumberFormat="1" applyFont="1" applyFill="1" applyBorder="1" applyAlignment="1" applyProtection="1">
      <alignment horizontal="right" vertical="center"/>
    </xf>
    <xf numFmtId="3" fontId="92" fillId="0" borderId="0" xfId="175" applyNumberFormat="1" applyFont="1"/>
    <xf numFmtId="40" fontId="89" fillId="37" borderId="39" xfId="0" applyNumberFormat="1" applyFont="1" applyFill="1" applyBorder="1" applyProtection="1"/>
    <xf numFmtId="40" fontId="89" fillId="34" borderId="39" xfId="0" applyNumberFormat="1" applyFont="1" applyFill="1" applyBorder="1" applyProtection="1"/>
    <xf numFmtId="186" fontId="86" fillId="0" borderId="0" xfId="0" applyNumberFormat="1" applyFont="1" applyFill="1" applyAlignment="1" applyProtection="1">
      <alignment vertical="center"/>
    </xf>
    <xf numFmtId="38" fontId="93" fillId="38" borderId="39" xfId="66" applyNumberFormat="1" applyFont="1" applyFill="1" applyBorder="1" applyAlignment="1" applyProtection="1">
      <alignment horizontal="right" vertical="center"/>
    </xf>
    <xf numFmtId="40" fontId="87" fillId="33" borderId="0" xfId="0" applyNumberFormat="1" applyFont="1" applyFill="1" applyProtection="1"/>
    <xf numFmtId="0" fontId="87" fillId="0" borderId="34" xfId="0" applyNumberFormat="1" applyFont="1" applyFill="1" applyBorder="1" applyAlignment="1" applyProtection="1">
      <alignment horizontal="center"/>
    </xf>
    <xf numFmtId="40" fontId="87" fillId="33" borderId="41" xfId="0" applyNumberFormat="1" applyFont="1" applyFill="1" applyBorder="1" applyAlignment="1" applyProtection="1">
      <alignment horizontal="center"/>
    </xf>
    <xf numFmtId="38" fontId="91" fillId="36" borderId="39" xfId="68" applyFont="1" applyFill="1" applyBorder="1" applyAlignment="1" applyProtection="1">
      <alignment horizontal="right" vertical="center"/>
    </xf>
    <xf numFmtId="40" fontId="87" fillId="0" borderId="39" xfId="0" applyNumberFormat="1" applyFont="1" applyFill="1" applyBorder="1" applyProtection="1"/>
    <xf numFmtId="38" fontId="89" fillId="0" borderId="0" xfId="0" applyNumberFormat="1" applyFont="1" applyAlignment="1" applyProtection="1">
      <alignment vertical="center"/>
    </xf>
    <xf numFmtId="0" fontId="89" fillId="0" borderId="0" xfId="0" applyNumberFormat="1" applyFont="1" applyBorder="1" applyProtection="1"/>
    <xf numFmtId="0" fontId="89" fillId="0" borderId="0" xfId="0" applyNumberFormat="1" applyFont="1" applyAlignment="1" applyProtection="1">
      <alignment vertical="center"/>
    </xf>
    <xf numFmtId="0" fontId="87" fillId="0" borderId="0" xfId="0" applyFont="1" applyAlignment="1" applyProtection="1">
      <alignment vertical="center"/>
    </xf>
    <xf numFmtId="0" fontId="87" fillId="0" borderId="0" xfId="0" applyFont="1" applyBorder="1" applyProtection="1"/>
    <xf numFmtId="0" fontId="87" fillId="0" borderId="0" xfId="0" applyFont="1" applyProtection="1"/>
    <xf numFmtId="0" fontId="85" fillId="0" borderId="0" xfId="0" applyFont="1"/>
    <xf numFmtId="40" fontId="87" fillId="0" borderId="0" xfId="0" applyNumberFormat="1" applyFont="1" applyProtection="1"/>
    <xf numFmtId="40" fontId="97" fillId="33" borderId="41" xfId="0" applyNumberFormat="1" applyFont="1" applyFill="1" applyBorder="1" applyAlignment="1" applyProtection="1">
      <alignment horizontal="center"/>
    </xf>
    <xf numFmtId="38" fontId="95" fillId="34" borderId="39" xfId="68" applyFont="1" applyFill="1" applyBorder="1" applyAlignment="1" applyProtection="1">
      <alignment horizontal="right" vertical="center"/>
    </xf>
    <xf numFmtId="40" fontId="94" fillId="34" borderId="39" xfId="0" applyNumberFormat="1" applyFont="1" applyFill="1" applyBorder="1" applyProtection="1"/>
    <xf numFmtId="165" fontId="5" fillId="0" borderId="0" xfId="0" applyNumberFormat="1" applyFont="1" applyAlignment="1" applyProtection="1">
      <alignment vertical="center"/>
    </xf>
    <xf numFmtId="187" fontId="86" fillId="0" borderId="0" xfId="0" applyNumberFormat="1" applyFont="1" applyAlignment="1" applyProtection="1">
      <alignment vertical="center"/>
    </xf>
    <xf numFmtId="38" fontId="95" fillId="36" borderId="39" xfId="68" applyFont="1" applyFill="1" applyBorder="1" applyAlignment="1" applyProtection="1">
      <alignment horizontal="right" vertical="center"/>
    </xf>
    <xf numFmtId="40" fontId="94" fillId="39" borderId="39" xfId="0" applyNumberFormat="1" applyFont="1" applyFill="1" applyBorder="1" applyProtection="1"/>
    <xf numFmtId="40" fontId="89" fillId="40" borderId="39" xfId="0" applyNumberFormat="1" applyFont="1" applyFill="1" applyBorder="1" applyProtection="1"/>
    <xf numFmtId="38" fontId="98" fillId="34" borderId="39" xfId="68" applyFont="1" applyFill="1" applyBorder="1" applyAlignment="1" applyProtection="1">
      <alignment horizontal="right" vertical="center"/>
    </xf>
    <xf numFmtId="38" fontId="98" fillId="34" borderId="39" xfId="66" applyNumberFormat="1" applyFont="1" applyFill="1" applyBorder="1" applyAlignment="1" applyProtection="1">
      <alignment horizontal="right" vertical="center"/>
    </xf>
    <xf numFmtId="188" fontId="86" fillId="0" borderId="0" xfId="0" applyNumberFormat="1" applyFont="1" applyAlignment="1" applyProtection="1">
      <alignment vertical="center"/>
    </xf>
    <xf numFmtId="40" fontId="88" fillId="34" borderId="39" xfId="0" applyNumberFormat="1" applyFont="1" applyFill="1" applyBorder="1" applyProtection="1"/>
    <xf numFmtId="0" fontId="97" fillId="0" borderId="34" xfId="0" applyNumberFormat="1" applyFont="1" applyFill="1" applyBorder="1" applyAlignment="1" applyProtection="1">
      <alignment horizontal="center"/>
    </xf>
    <xf numFmtId="40" fontId="97" fillId="0" borderId="19" xfId="0" applyNumberFormat="1" applyFont="1" applyFill="1" applyBorder="1" applyProtection="1"/>
    <xf numFmtId="40" fontId="97" fillId="0" borderId="38" xfId="0" applyNumberFormat="1" applyFont="1" applyFill="1" applyBorder="1" applyProtection="1"/>
    <xf numFmtId="40" fontId="94" fillId="34" borderId="39" xfId="0" applyNumberFormat="1" applyFont="1" applyFill="1" applyBorder="1" applyAlignment="1" applyProtection="1">
      <alignment wrapText="1"/>
    </xf>
    <xf numFmtId="0" fontId="97" fillId="0" borderId="0" xfId="0" applyFont="1" applyFill="1" applyAlignment="1">
      <alignment horizontal="center"/>
    </xf>
    <xf numFmtId="38" fontId="95" fillId="38" borderId="39" xfId="66" applyNumberFormat="1" applyFont="1" applyFill="1" applyBorder="1" applyAlignment="1" applyProtection="1">
      <alignment horizontal="right" vertical="center"/>
    </xf>
    <xf numFmtId="38" fontId="98" fillId="0" borderId="54" xfId="66" applyNumberFormat="1" applyFont="1" applyFill="1" applyBorder="1" applyAlignment="1" applyProtection="1">
      <alignment horizontal="right" vertical="center"/>
    </xf>
    <xf numFmtId="185" fontId="86" fillId="0" borderId="0" xfId="0" applyNumberFormat="1" applyFont="1" applyFill="1" applyBorder="1" applyAlignment="1" applyProtection="1">
      <alignment vertical="center"/>
    </xf>
    <xf numFmtId="0" fontId="86" fillId="0" borderId="0" xfId="0" applyNumberFormat="1" applyFont="1" applyFill="1" applyBorder="1" applyAlignment="1" applyProtection="1">
      <alignment vertical="center"/>
    </xf>
    <xf numFmtId="38" fontId="98" fillId="0" borderId="0" xfId="66" applyNumberFormat="1" applyFont="1" applyFill="1" applyBorder="1" applyAlignment="1" applyProtection="1">
      <alignment horizontal="right" vertical="center"/>
    </xf>
    <xf numFmtId="40" fontId="87" fillId="0" borderId="0" xfId="0" applyNumberFormat="1" applyFont="1" applyFill="1" applyProtection="1"/>
    <xf numFmtId="40" fontId="87" fillId="0" borderId="41" xfId="0" applyNumberFormat="1" applyFont="1" applyFill="1" applyBorder="1" applyAlignment="1" applyProtection="1">
      <alignment horizontal="center"/>
    </xf>
    <xf numFmtId="40" fontId="90" fillId="0" borderId="39" xfId="0" applyNumberFormat="1" applyFont="1" applyFill="1" applyBorder="1" applyProtection="1"/>
    <xf numFmtId="38" fontId="87" fillId="0" borderId="0" xfId="0" applyNumberFormat="1" applyFont="1" applyAlignment="1" applyProtection="1">
      <alignment vertical="center"/>
    </xf>
    <xf numFmtId="189" fontId="86" fillId="0" borderId="0" xfId="0" applyNumberFormat="1" applyFont="1" applyAlignment="1" applyProtection="1">
      <alignment vertical="center"/>
    </xf>
    <xf numFmtId="0" fontId="86" fillId="0" borderId="34" xfId="0" applyNumberFormat="1" applyFont="1" applyFill="1" applyBorder="1" applyAlignment="1" applyProtection="1">
      <alignment horizontal="center"/>
      <protection locked="0"/>
    </xf>
    <xf numFmtId="38" fontId="93" fillId="0" borderId="39" xfId="66" applyNumberFormat="1" applyFont="1" applyFill="1" applyBorder="1" applyAlignment="1" applyProtection="1">
      <alignment horizontal="right" vertical="center"/>
    </xf>
    <xf numFmtId="38" fontId="95" fillId="0" borderId="39" xfId="66" applyNumberFormat="1" applyFont="1" applyFill="1" applyBorder="1" applyAlignment="1" applyProtection="1">
      <alignment horizontal="right" vertical="center"/>
    </xf>
    <xf numFmtId="40" fontId="99" fillId="34" borderId="39" xfId="0" applyNumberFormat="1" applyFont="1" applyFill="1" applyBorder="1" applyProtection="1"/>
    <xf numFmtId="0" fontId="100" fillId="0" borderId="0" xfId="0" applyFont="1" applyProtection="1"/>
    <xf numFmtId="0" fontId="100" fillId="0" borderId="0" xfId="0" applyFont="1" applyBorder="1" applyProtection="1"/>
    <xf numFmtId="0" fontId="100" fillId="0" borderId="0" xfId="0" applyNumberFormat="1" applyFont="1" applyBorder="1" applyProtection="1"/>
  </cellXfs>
  <cellStyles count="177">
    <cellStyle name="_FY2014 MP作成依頼（KDTCN).1207(3)" xfId="1" xr:uid="{34DA01CD-FFBD-4665-B16C-4E2166920C0B}"/>
    <cellStyle name="20% - Accent1" xfId="2" xr:uid="{DFB85C1A-43BC-4951-BC2C-8FB43225311B}"/>
    <cellStyle name="20% - Accent2" xfId="3" xr:uid="{A94860F5-2085-4A1A-8277-A0242930367F}"/>
    <cellStyle name="20% - Accent3" xfId="4" xr:uid="{7EF0175C-9E83-42DD-9F00-B3B523701F30}"/>
    <cellStyle name="20% - Accent4" xfId="5" xr:uid="{0DA24C31-B2B1-4975-A13A-9F51AD7983ED}"/>
    <cellStyle name="20% - Accent5" xfId="6" xr:uid="{6C9D4B2D-A14A-43E8-A84A-779BA607599B}"/>
    <cellStyle name="20% - Accent6" xfId="7" xr:uid="{5A28C12A-4C90-4853-8227-0F7D03B6845F}"/>
    <cellStyle name="20% - アクセント 1" xfId="8" xr:uid="{256373B2-16CD-4CF1-AB56-B10E26E2D25A}"/>
    <cellStyle name="20% - アクセント 1 2" xfId="9" xr:uid="{2BB8E894-0AA7-4ECD-8948-BD58D20C93E8}"/>
    <cellStyle name="20% - アクセント 2" xfId="10" xr:uid="{3420CE34-4650-4A29-AD69-9B16905D56D5}"/>
    <cellStyle name="20% - アクセント 2 2" xfId="11" xr:uid="{D98B1FCB-E7AA-4A08-8152-BD0081412CA9}"/>
    <cellStyle name="20% - アクセント 3" xfId="12" xr:uid="{EF382C9F-B8BF-4AC0-92C2-033463802CD0}"/>
    <cellStyle name="20% - アクセント 3 2" xfId="13" xr:uid="{BD773603-FA48-46A9-8D99-92488124A3DF}"/>
    <cellStyle name="20% - アクセント 4" xfId="14" xr:uid="{89BB9E75-73F2-4F88-86FC-596162B2C477}"/>
    <cellStyle name="20% - アクセント 4 2" xfId="15" xr:uid="{5246367C-BBB7-4B47-8075-821F21BD6E92}"/>
    <cellStyle name="20% - アクセント 5" xfId="16" xr:uid="{8CB53631-ED1C-445D-8C72-BE9154F45338}"/>
    <cellStyle name="20% - アクセント 5 2" xfId="17" xr:uid="{054FB19D-41BA-4C16-9CCD-C7B30DEB00A4}"/>
    <cellStyle name="20% - アクセント 6" xfId="18" xr:uid="{1FD4E43D-C3AF-463E-8881-13790EF4F9D2}"/>
    <cellStyle name="20% - アクセント 6 2" xfId="19" xr:uid="{9CBCAF8D-E3C8-42EA-B59C-A3ACFD5169BD}"/>
    <cellStyle name="3232" xfId="20" xr:uid="{B4931CB3-49C7-4E56-BE09-5B513F01ED01}"/>
    <cellStyle name="40% - Accent1" xfId="21" xr:uid="{50DCBBCC-F28D-49D9-8D5B-D67713E6201B}"/>
    <cellStyle name="40% - Accent2" xfId="22" xr:uid="{249C2982-4FCF-4A59-B195-8912B35C254C}"/>
    <cellStyle name="40% - Accent3" xfId="23" xr:uid="{E63DF442-7A63-4FE6-841C-2C26D91C30CD}"/>
    <cellStyle name="40% - Accent4" xfId="24" xr:uid="{975A6B31-CC82-45DC-9DFD-BA417C59C020}"/>
    <cellStyle name="40% - Accent5" xfId="25" xr:uid="{9038200E-4BCF-4977-937D-F6BB471B4403}"/>
    <cellStyle name="40% - Accent6" xfId="26" xr:uid="{17EC02AD-6678-4A6C-9C64-73CB4E92A2A1}"/>
    <cellStyle name="40% - アクセント 1" xfId="27" xr:uid="{372E11FB-6B68-4642-8B1C-99F813AED861}"/>
    <cellStyle name="40% - アクセント 1 2" xfId="28" xr:uid="{71E799EA-2C7D-4A7B-A9C2-1560F9280857}"/>
    <cellStyle name="40% - アクセント 2" xfId="29" xr:uid="{A795DE93-2015-43D3-89C9-57464A322DE2}"/>
    <cellStyle name="40% - アクセント 2 2" xfId="30" xr:uid="{6C6A60D4-AC47-4D29-8E2B-0EECB3F768FC}"/>
    <cellStyle name="40% - アクセント 3" xfId="31" xr:uid="{6A72518A-DC8A-4CE6-9794-04454CCD4D9D}"/>
    <cellStyle name="40% - アクセント 3 2" xfId="32" xr:uid="{4BD42E92-35D7-4B6B-9973-F89E0B7558A0}"/>
    <cellStyle name="40% - アクセント 4" xfId="33" xr:uid="{B74A668A-2130-4530-933D-6F2E389512CA}"/>
    <cellStyle name="40% - アクセント 4 2" xfId="34" xr:uid="{1E1C30D7-00AF-4D43-A07F-830E8196A6B3}"/>
    <cellStyle name="40% - アクセント 5" xfId="35" xr:uid="{56DEE92F-0D48-4C81-A409-3CF9730F7AB3}"/>
    <cellStyle name="40% - アクセント 5 2" xfId="36" xr:uid="{4AF034AB-DF69-4C38-8274-4455315530A9}"/>
    <cellStyle name="40% - アクセント 6" xfId="37" xr:uid="{48B33B92-8E2B-47EB-B18D-A221881D910B}"/>
    <cellStyle name="40% - アクセント 6 2" xfId="38" xr:uid="{5796B2DD-9AB4-43FA-8194-00BDDACCE4B8}"/>
    <cellStyle name="60% - Accent1" xfId="39" xr:uid="{2CC34C28-DC8B-4DAF-8CEF-C554C722BEEE}"/>
    <cellStyle name="60% - Accent2" xfId="40" xr:uid="{84D7DF03-24C4-45FF-8B13-7F649EA824C1}"/>
    <cellStyle name="60% - Accent3" xfId="41" xr:uid="{B879FCDE-9E82-46BC-9A22-FBF225297125}"/>
    <cellStyle name="60% - Accent4" xfId="42" xr:uid="{12C7546F-8BE5-416B-90BE-1B68EE5DC588}"/>
    <cellStyle name="60% - Accent5" xfId="43" xr:uid="{ABB50A98-95E4-4438-91AB-765FFE7AFB7C}"/>
    <cellStyle name="60% - Accent6" xfId="44" xr:uid="{307F4B7A-A580-497A-BB62-5EBF82121A80}"/>
    <cellStyle name="60% - アクセント 1" xfId="45" xr:uid="{0B87E70C-2CC4-46D9-AB33-9937762CC0A7}"/>
    <cellStyle name="60% - アクセント 1 2" xfId="46" xr:uid="{03F9F66D-A141-4D44-B867-8606F688E409}"/>
    <cellStyle name="60% - アクセント 2" xfId="47" xr:uid="{BCB6B175-2106-4E18-92D6-2DF5095B2F7F}"/>
    <cellStyle name="60% - アクセント 2 2" xfId="48" xr:uid="{FD9B00E3-0C19-4A8D-A7EE-50DAF89F4821}"/>
    <cellStyle name="60% - アクセント 3" xfId="49" xr:uid="{93703C26-C3FC-46B8-86C6-80CD8D4BECCE}"/>
    <cellStyle name="60% - アクセント 3 2" xfId="50" xr:uid="{4F1A9091-5057-4325-B837-E3E09ED48E0C}"/>
    <cellStyle name="60% - アクセント 4" xfId="51" xr:uid="{A0F79365-2D80-485B-AA0E-55B0F9FE6B93}"/>
    <cellStyle name="60% - アクセント 4 2" xfId="52" xr:uid="{B0EE1946-1299-4E2E-891E-C54039181B73}"/>
    <cellStyle name="60% - アクセント 5" xfId="53" xr:uid="{6B78E816-7932-4658-AAEC-C2C193392DA6}"/>
    <cellStyle name="60% - アクセント 5 2" xfId="54" xr:uid="{A59936E4-FCA6-41B0-9B79-38349994AD92}"/>
    <cellStyle name="60% - アクセント 6" xfId="55" xr:uid="{2DD3070C-AE24-4B1B-8D8C-83C2C80F3A47}"/>
    <cellStyle name="60% - アクセント 6 2" xfId="56" xr:uid="{DE1B5066-E7F8-40F8-8714-4BE046A79260}"/>
    <cellStyle name="Accent1" xfId="57" xr:uid="{B31B6D2F-B2AB-45C5-8559-240407798204}"/>
    <cellStyle name="Accent2" xfId="58" xr:uid="{AC626481-9120-465A-A375-58F42E0F741F}"/>
    <cellStyle name="Accent3" xfId="59" xr:uid="{E286EEF6-9B5F-43D2-9952-E6C61310A802}"/>
    <cellStyle name="Accent4" xfId="60" xr:uid="{741B11DE-98BF-4305-840C-4D17EC4B7957}"/>
    <cellStyle name="Accent5" xfId="61" xr:uid="{36B65465-3F1F-4C00-A3BF-F48F29A5C981}"/>
    <cellStyle name="Accent6" xfId="62" xr:uid="{E56FDA0B-98A6-4719-AAA1-7870070B14A9}"/>
    <cellStyle name="Bad" xfId="63" xr:uid="{B992F26C-88C5-4824-9D8F-D9E3F49889F7}"/>
    <cellStyle name="Calculation" xfId="64" xr:uid="{6E5983A2-D2BD-4C13-A23B-D57FE06868C5}"/>
    <cellStyle name="Check Cell" xfId="65" xr:uid="{F134588C-7943-497B-B027-8D69D18C4B75}"/>
    <cellStyle name="Comma" xfId="66" builtinId="3"/>
    <cellStyle name="Comma [0]" xfId="67" builtinId="6"/>
    <cellStyle name="Comma [0] 2" xfId="68" xr:uid="{EE6847FD-954E-46BA-B781-618320A09757}"/>
    <cellStyle name="Comma [0] 2 2" xfId="69" xr:uid="{4BAFAD77-4FA0-48E3-9968-F7E1C25177D0}"/>
    <cellStyle name="Comma [0] 3" xfId="70" xr:uid="{B02C0DF5-B1B6-4B7D-81CC-7CC757B517FB}"/>
    <cellStyle name="Comma [0] 4" xfId="71" xr:uid="{9D44EA58-01B7-4E47-92DF-1FA97CDAA3C0}"/>
    <cellStyle name="Comma 2" xfId="72" xr:uid="{5719FBB3-A604-4F69-8746-9C1AEC7D2176}"/>
    <cellStyle name="Comma 2 3" xfId="73" xr:uid="{D13CBC25-5DF3-4B13-9FFF-3EF734D82517}"/>
    <cellStyle name="Comma 3" xfId="74" xr:uid="{DDF945CB-D339-4E1D-9093-8851DA61383C}"/>
    <cellStyle name="Comma 3 2 2" xfId="75" xr:uid="{ADD8D5B2-5F36-468F-AB24-D1BA5FD2439F}"/>
    <cellStyle name="Comma 4" xfId="76" xr:uid="{C61455E9-1E8D-4B79-BDFE-F5E2E579E46D}"/>
    <cellStyle name="Comma 5" xfId="77" xr:uid="{3E057097-560B-4D32-A5A9-E3CBF3ED940D}"/>
    <cellStyle name="Comma 6" xfId="78" xr:uid="{2F88717A-3ED0-459C-A196-EFFEC9DFBC5A}"/>
    <cellStyle name="Currency [0] 2" xfId="79" xr:uid="{22005F9F-07D3-48FD-AE84-798B60E00963}"/>
    <cellStyle name="Explanatory Text" xfId="80" xr:uid="{0DC79F1C-A876-4050-AA0E-0895DCDAD3A9}"/>
    <cellStyle name="Good" xfId="81" xr:uid="{D389E4D4-C819-4110-BA50-6EEBE7E86B47}"/>
    <cellStyle name="Heading 1" xfId="82" xr:uid="{47E9CDFF-3DE6-424E-9204-2D71B19C0E7D}"/>
    <cellStyle name="Heading 2" xfId="83" xr:uid="{1D9C8DE6-9D3D-4303-8B63-0B2A9018C55D}"/>
    <cellStyle name="Heading 3" xfId="84" xr:uid="{96135945-515E-4788-ABDF-E47C68AF6AC8}"/>
    <cellStyle name="Heading 4" xfId="85" xr:uid="{4A4AA2B5-8151-497E-B252-DA7E4C0E9FDF}"/>
    <cellStyle name="Input" xfId="86" xr:uid="{398653E2-317F-4518-9BD9-2FE0D0232C1A}"/>
    <cellStyle name="Linked Cell" xfId="87" xr:uid="{484598AE-AB31-44B8-A438-47F18FC5E277}"/>
    <cellStyle name="Neutral" xfId="88" xr:uid="{56671E12-D635-4740-9253-4CC21F8C6476}"/>
    <cellStyle name="Normal" xfId="0" builtinId="0"/>
    <cellStyle name="Normal 2" xfId="89" xr:uid="{FAB1D51C-7B0C-4375-8ABE-8292028BA970}"/>
    <cellStyle name="Normal 2 2" xfId="90" xr:uid="{828989B9-2634-443F-B0AD-B8B03ED330EB}"/>
    <cellStyle name="Normal 3" xfId="91" xr:uid="{85206581-5640-4C9D-B74A-32BF84A32B3E}"/>
    <cellStyle name="Normal 4" xfId="92" xr:uid="{F722C878-37D7-4B88-8124-EC6D03624973}"/>
    <cellStyle name="Normal 5" xfId="93" xr:uid="{0CB1B6E6-B871-43E1-85E2-05D8644CE002}"/>
    <cellStyle name="Note" xfId="94" xr:uid="{3EBB7013-6A68-441A-ACCE-DF1C8CF4BC8B}"/>
    <cellStyle name="Output" xfId="95" xr:uid="{486CEFF0-EEC2-4E0A-AC86-D4B59EE3D40D}"/>
    <cellStyle name="Percent 2" xfId="96" xr:uid="{11DE55E9-E204-4F71-8DD1-3B830EF8E6FF}"/>
    <cellStyle name="Percent 3" xfId="97" xr:uid="{D6536F31-50D6-448F-A054-A01C00966949}"/>
    <cellStyle name="Title" xfId="98" xr:uid="{6C1BE095-0F62-4F84-BB1E-F8D84A95BC8B}"/>
    <cellStyle name="Total" xfId="99" xr:uid="{DC3B394D-C6AB-4032-B03F-B8C7F1FCBFBE}"/>
    <cellStyle name="Warning Text" xfId="100" xr:uid="{CE65C101-165D-4292-AFA8-D3DCB77C16BF}"/>
    <cellStyle name="アクセント 1" xfId="101" xr:uid="{63B139A1-84F9-47AF-BC3A-DF67BAFA10B9}"/>
    <cellStyle name="アクセント 1 2" xfId="102" xr:uid="{BC9EBF86-ABC2-4B72-B855-C6193D12FFA5}"/>
    <cellStyle name="アクセント 2" xfId="103" xr:uid="{6B7643D6-51B6-4419-AFA3-F8D431D4F29A}"/>
    <cellStyle name="アクセント 2 2" xfId="104" xr:uid="{040C0110-DDF1-4D87-A1F7-0C0B615737CF}"/>
    <cellStyle name="アクセント 3" xfId="105" xr:uid="{CBD54051-BCC4-41F9-B89A-8F28393CC51C}"/>
    <cellStyle name="アクセント 3 2" xfId="106" xr:uid="{67EE87E2-9068-415F-A059-74B59DDD458C}"/>
    <cellStyle name="アクセント 4" xfId="107" xr:uid="{CEC45CD1-0BCD-4FEF-8E42-4667C141A215}"/>
    <cellStyle name="アクセント 4 2" xfId="108" xr:uid="{880453E4-1EB4-436F-95CC-BD8502F920B3}"/>
    <cellStyle name="アクセント 5" xfId="109" xr:uid="{E90E4210-7C28-4B12-95FA-B382369F8ACC}"/>
    <cellStyle name="アクセント 5 2" xfId="110" xr:uid="{A80B4E38-3251-4DD5-B996-B464BBC191FD}"/>
    <cellStyle name="アクセント 6" xfId="111" xr:uid="{47EBE072-C1B7-4A56-94F2-D7B0BC45075A}"/>
    <cellStyle name="アクセント 6 2" xfId="112" xr:uid="{B27EC5E5-7CAF-4C36-A1AE-C06EAD1544D3}"/>
    <cellStyle name="タイトル" xfId="113" xr:uid="{6CD67DBF-25D0-4FD9-9537-BDE6EBBA4B32}"/>
    <cellStyle name="タイトル 2" xfId="114" xr:uid="{60AEF731-44E6-4FF3-B5F3-71987EFAE482}"/>
    <cellStyle name="チェック セル" xfId="115" xr:uid="{120EE7F1-9E97-4F04-AD7D-EFA10EFEDD27}"/>
    <cellStyle name="チェック セル 2" xfId="116" xr:uid="{3E8947D5-2C8E-4DB5-BC6B-AFC754203ECD}"/>
    <cellStyle name="どちらでもない" xfId="117" xr:uid="{DA0BCE2F-CD5A-454C-AA25-9ACC695DF7D6}"/>
    <cellStyle name="どちらでもない 2" xfId="118" xr:uid="{BBD400BB-3ECC-41AB-A211-1FB7D7C5D478}"/>
    <cellStyle name="パーセント 2" xfId="119" xr:uid="{51DCA501-FA4F-4265-B88C-CFC318C196B5}"/>
    <cellStyle name="パーセント 3" xfId="120" xr:uid="{3C434864-9153-4791-91B4-4D6DA1E81CC8}"/>
    <cellStyle name="パーセント 3 2" xfId="121" xr:uid="{BDEBE38B-AD48-4C2C-9A08-EB5F45C94AB3}"/>
    <cellStyle name="メモ" xfId="122" xr:uid="{9E29E034-FF8A-43FA-B4C5-9031F46B8300}"/>
    <cellStyle name="メモ 2" xfId="123" xr:uid="{EE588CBC-60EC-41DF-AD14-0EDCCCF0890C}"/>
    <cellStyle name="リンク セル" xfId="124" xr:uid="{2114A396-F096-4070-A39B-83219A5CBDA5}"/>
    <cellStyle name="リンク セル 2" xfId="125" xr:uid="{00D544EA-1B51-4E49-96AF-CDF7FB7089FD}"/>
    <cellStyle name="悪い" xfId="126" xr:uid="{4F6A88D5-25DB-4CAE-8172-9ABA5AF0424D}"/>
    <cellStyle name="悪い 2" xfId="127" xr:uid="{F43320CB-8880-4BFA-BF70-68039510EA38}"/>
    <cellStyle name="一般_KMHK FY2008 時間当り採算 2007年4月 ( Month Plan )" xfId="128" xr:uid="{48AC43D8-69B4-4847-9091-63399944FDF4}"/>
    <cellStyle name="一般_設備投資金額一覽表" xfId="129" xr:uid="{AF492A90-C414-41D9-96F4-BD7D07579249}"/>
    <cellStyle name="計算" xfId="130" xr:uid="{78271E4B-D4CF-4A55-A5F8-83EFA8B5AE21}"/>
    <cellStyle name="計算 2" xfId="131" xr:uid="{7FEFCA25-00BA-4EBF-8E0B-563201C1AE3E}"/>
    <cellStyle name="警告文" xfId="132" xr:uid="{C4BEE4F7-1810-4D53-A6B0-4D8501E50AA4}"/>
    <cellStyle name="警告文 2" xfId="133" xr:uid="{52513447-40FC-4771-9D40-D37C2BA0A2B3}"/>
    <cellStyle name="桁区切り [0.00] 2" xfId="134" xr:uid="{6433C5D8-6FCA-4B54-8FA2-9E6B8923A13F}"/>
    <cellStyle name="桁区切り [0.00] 2 2" xfId="135" xr:uid="{860F653A-1424-4D02-9AC1-FA23AF432750}"/>
    <cellStyle name="桁区切り [0.00] 2 3" xfId="136" xr:uid="{1E724B37-6A17-428C-9D17-4D440CBCF7F6}"/>
    <cellStyle name="桁区切り 10" xfId="176" xr:uid="{AE1CEE13-DED7-4EA3-AE14-E5741175B74A}"/>
    <cellStyle name="桁区切り 2" xfId="137" xr:uid="{0FB62967-0606-4925-976D-F85CCCB9001B}"/>
    <cellStyle name="桁区切り 2 2" xfId="138" xr:uid="{1BFE4BEA-7D1E-4DDD-907B-F2FC357F8BB0}"/>
    <cellStyle name="桁区切り 2 3" xfId="139" xr:uid="{62FB5857-0D96-4767-8F65-06F95A6AB7B5}"/>
    <cellStyle name="桁区切り 3" xfId="140" xr:uid="{EE6A855E-4092-49B5-B0E4-3BF21DD96D51}"/>
    <cellStyle name="桁区切り 4" xfId="141" xr:uid="{D24B5991-B3EA-4E00-A70D-636B893984C8}"/>
    <cellStyle name="桁区切り 5" xfId="142" xr:uid="{47D048EF-43E7-413D-98F2-EEED876DA48D}"/>
    <cellStyle name="桁区切り 6" xfId="143" xr:uid="{53E76BDC-5F51-4D51-B77C-93394FA589BC}"/>
    <cellStyle name="見出し 1" xfId="144" xr:uid="{3C34CFA3-43BD-4A48-A794-13C5F808C698}"/>
    <cellStyle name="見出し 1 2" xfId="145" xr:uid="{3153A705-50D1-44AE-9485-D1F684F93E78}"/>
    <cellStyle name="見出し 2" xfId="146" xr:uid="{87BB2B0F-8ED4-42C6-B417-7649A0CC7794}"/>
    <cellStyle name="見出し 2 2" xfId="147" xr:uid="{5F2F62D1-B8B2-4A72-A5DD-5FAF3FA1FEBB}"/>
    <cellStyle name="見出し 3" xfId="148" xr:uid="{B1AFFECA-34C2-4912-87E6-92F890C98B7C}"/>
    <cellStyle name="見出し 3 2" xfId="149" xr:uid="{842998FB-99B2-4D1F-AC4F-AEA66579697E}"/>
    <cellStyle name="見出し 4" xfId="150" xr:uid="{EB305796-832B-499B-B581-F39B5FCCE1D0}"/>
    <cellStyle name="見出し 4 2" xfId="151" xr:uid="{AC017FE2-3FFF-4FFA-BACE-9DD4C1A94B1C}"/>
    <cellStyle name="集計" xfId="152" xr:uid="{37D155C6-A65F-45DB-BE00-31F7C8273459}"/>
    <cellStyle name="集計 2" xfId="153" xr:uid="{E109C569-6F86-41F4-A5F0-7CEB3CF06D8C}"/>
    <cellStyle name="出力" xfId="154" xr:uid="{24EF244C-7FAC-46EB-91C7-E10EAB335329}"/>
    <cellStyle name="出力 2" xfId="155" xr:uid="{FCEC7597-6AE1-452B-8EA8-9587E519C18E}"/>
    <cellStyle name="常规_総生産分析(0605-0606)" xfId="156" xr:uid="{F1D1416E-AE90-4669-A8EA-63B7A4B4999D}"/>
    <cellStyle name="説明文" xfId="157" xr:uid="{D25E7131-617A-4D9D-B304-78F3D8D2FAEF}"/>
    <cellStyle name="説明文 2" xfId="158" xr:uid="{F45C27DB-638C-4239-AACC-F1E944E881E1}"/>
    <cellStyle name="通貨 2" xfId="159" xr:uid="{842B3699-DD39-4925-8CB6-418A1852C9AC}"/>
    <cellStyle name="通貨 3" xfId="160" xr:uid="{08B3E4F7-ACA0-45A0-89AB-BD87AEEA88C0}"/>
    <cellStyle name="入力" xfId="161" xr:uid="{1A0F51ED-859C-4786-8D89-09036BB434FD}"/>
    <cellStyle name="入力 2" xfId="162" xr:uid="{54438F97-8801-4E73-8793-323067CA8804}"/>
    <cellStyle name="標準 16" xfId="175" xr:uid="{B7DEC620-6360-4F8E-9E94-2EF545FA082E}"/>
    <cellStyle name="標準 2" xfId="163" xr:uid="{E72BEC0D-FAA2-47C2-95CC-1F4F182079D3}"/>
    <cellStyle name="標準 2 2" xfId="164" xr:uid="{E38F8148-E453-46BF-8031-B8C9769F02F8}"/>
    <cellStyle name="標準 3" xfId="165" xr:uid="{235D54B3-AED5-4147-9FF0-D525DC7565EF}"/>
    <cellStyle name="標準 3 2" xfId="166" xr:uid="{FD616DE1-EB07-4AB5-93AF-1B8B9DB80592}"/>
    <cellStyle name="標準 4" xfId="167" xr:uid="{E5317D7C-3104-4D0B-81D8-1AED285D8D71}"/>
    <cellStyle name="標準 4 2" xfId="168" xr:uid="{06DC72B6-F871-4425-8A92-B614459E664F}"/>
    <cellStyle name="標準_★予定用採算表フォーム（製造課用）" xfId="169" xr:uid="{6B907812-4819-48D2-9672-669B2DF21C40}"/>
    <cellStyle name="標準_03.2012 08 31 KDTVN採算表及集計表 FY2013_09（製技用）" xfId="170" xr:uid="{CEF1C305-55B6-428F-8C5F-894534951F26}"/>
    <cellStyle name="標準_KDTVN 2012年9月1日付原価センタ" xfId="171" xr:uid="{152D8D62-3C61-4B67-9419-49A2D268C54D}"/>
    <cellStyle name="未定義" xfId="172" xr:uid="{92C807E3-C178-4EBD-B31C-13A3F29681D9}"/>
    <cellStyle name="良い" xfId="173" xr:uid="{AFB1A83C-E4C6-4F14-A935-9A755B01091E}"/>
    <cellStyle name="良い 2" xfId="174" xr:uid="{57674CA6-86B9-4CC2-8124-04BD76B2C748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213360</xdr:colOff>
      <xdr:row>249</xdr:row>
      <xdr:rowOff>0</xdr:rowOff>
    </xdr:from>
    <xdr:ext cx="886781" cy="275717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7DA27CE-8530-4AC4-B75F-369A953E5092}"/>
            </a:ext>
          </a:extLst>
        </xdr:cNvPr>
        <xdr:cNvSpPr txBox="1"/>
      </xdr:nvSpPr>
      <xdr:spPr>
        <a:xfrm>
          <a:off x="1273810" y="57884695"/>
          <a:ext cx="886781" cy="275717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MD1</a:t>
          </a:r>
          <a:r>
            <a:rPr kumimoji="1" lang="ja-JP" altLang="en-US" sz="1100"/>
            <a:t>課経費</a:t>
          </a:r>
        </a:p>
      </xdr:txBody>
    </xdr:sp>
    <xdr:clientData/>
  </xdr:oneCellAnchor>
  <xdr:oneCellAnchor>
    <xdr:from>
      <xdr:col>2</xdr:col>
      <xdr:colOff>220980</xdr:colOff>
      <xdr:row>249</xdr:row>
      <xdr:rowOff>0</xdr:rowOff>
    </xdr:from>
    <xdr:ext cx="911724" cy="275717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D14393C-14E0-4E1D-ADC8-D14FEE79D443}"/>
            </a:ext>
          </a:extLst>
        </xdr:cNvPr>
        <xdr:cNvSpPr txBox="1"/>
      </xdr:nvSpPr>
      <xdr:spPr>
        <a:xfrm>
          <a:off x="1275080" y="59676665"/>
          <a:ext cx="911724" cy="275717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MD3</a:t>
          </a:r>
          <a:r>
            <a:rPr kumimoji="1" lang="ja-JP" altLang="en-US" sz="1100"/>
            <a:t>課経費</a:t>
          </a:r>
        </a:p>
      </xdr:txBody>
    </xdr:sp>
    <xdr:clientData/>
  </xdr:oneCellAnchor>
  <xdr:oneCellAnchor>
    <xdr:from>
      <xdr:col>2</xdr:col>
      <xdr:colOff>243840</xdr:colOff>
      <xdr:row>249</xdr:row>
      <xdr:rowOff>0</xdr:rowOff>
    </xdr:from>
    <xdr:ext cx="911724" cy="275717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6B68A85D-33F3-4256-A20D-AB6C3A895D19}"/>
            </a:ext>
          </a:extLst>
        </xdr:cNvPr>
        <xdr:cNvSpPr txBox="1"/>
      </xdr:nvSpPr>
      <xdr:spPr>
        <a:xfrm>
          <a:off x="1297940" y="57063005"/>
          <a:ext cx="911724" cy="275717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MD3</a:t>
          </a:r>
          <a:r>
            <a:rPr kumimoji="1" lang="ja-JP" altLang="en-US" sz="1100"/>
            <a:t>課経費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stvn01\Data\00_KDTVN%20Common(KDTVN&#20849;&#36890;)\&#9315;Production%20Control(&#29983;&#29987;&#31649;&#29702;)\1.%20Ph&#242;ng%20QLLN\MASTER%20PLAN\FY2026MP\&#21508;&#20104;&#23450;&#20316;&#25104;\FORM\53.KDTVN%20MD3&#35506;_MP%20FY2026_&#21508;&#20104;&#23450;(Ver01).xlsx" TargetMode="External"/><Relationship Id="rId1" Type="http://schemas.openxmlformats.org/officeDocument/2006/relationships/externalLinkPath" Target="/00_KDTVN%20Common(KDTVN&#20849;&#36890;)/&#9315;Production%20Control(&#29983;&#29987;&#31649;&#29702;)/1.%20Ph&#242;ng%20QLLN/MASTER%20PLAN/FY2026MP/&#21508;&#20104;&#23450;&#20316;&#25104;/FORM/53.KDTVN%20MD3&#35506;_MP%20FY2026_&#21508;&#20104;&#23450;(Ver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採算表(USD)"/>
      <sheetName val="採算表(VND)"/>
      <sheetName val="内訳ﾘｽﾄ(4～3月)"/>
      <sheetName val="設備投資計画"/>
      <sheetName val="勘定科目"/>
      <sheetName val="原価センタ"/>
      <sheetName val="稼働日"/>
    </sheetNames>
    <sheetDataSet>
      <sheetData sheetId="0"/>
      <sheetData sheetId="1"/>
      <sheetData sheetId="2"/>
      <sheetData sheetId="3"/>
      <sheetData sheetId="4">
        <row r="1">
          <cell r="A1" t="str">
            <v>Account_Code</v>
          </cell>
          <cell r="B1" t="str">
            <v>JPN (50cha)</v>
          </cell>
          <cell r="C1" t="str">
            <v>Tiếng Việt_Tên tài khoản kế toán</v>
          </cell>
          <cell r="D1" t="str">
            <v>JP_Name</v>
          </cell>
          <cell r="E1" t="str">
            <v>Tiếng Việt_Hạng mục lợi nhuận</v>
          </cell>
          <cell r="F1" t="str">
            <v>製造</v>
          </cell>
          <cell r="G1" t="str">
            <v>一般</v>
          </cell>
          <cell r="H1" t="str">
            <v>販売</v>
          </cell>
        </row>
        <row r="2">
          <cell r="A2"/>
          <cell r="B2"/>
          <cell r="C2"/>
          <cell r="D2"/>
          <cell r="E2"/>
          <cell r="F2">
            <v>6</v>
          </cell>
          <cell r="G2">
            <v>7</v>
          </cell>
          <cell r="H2">
            <v>8</v>
          </cell>
        </row>
        <row r="3">
          <cell r="A3">
            <v>7001065118</v>
          </cell>
          <cell r="B3" t="str">
            <v>雑収入</v>
          </cell>
          <cell r="C3" t="str">
            <v>Doanh thu khác</v>
          </cell>
          <cell r="D3" t="str">
            <v>雑収入</v>
          </cell>
          <cell r="E3" t="str">
            <v>Thu nhập khác</v>
          </cell>
          <cell r="F3" t="str">
            <v>7001065118</v>
          </cell>
          <cell r="G3">
            <v>7001065118</v>
          </cell>
          <cell r="H3">
            <v>7001065118</v>
          </cell>
        </row>
        <row r="4">
          <cell r="A4">
            <v>7001075118</v>
          </cell>
          <cell r="B4" t="str">
            <v>雑収入（関係会社）</v>
          </cell>
          <cell r="C4" t="str">
            <v>Doanh thu khác</v>
          </cell>
          <cell r="D4" t="str">
            <v>雑収入</v>
          </cell>
          <cell r="E4" t="str">
            <v>Thu nhập khác</v>
          </cell>
          <cell r="F4" t="str">
            <v>7001075118</v>
          </cell>
          <cell r="G4">
            <v>7001075118</v>
          </cell>
          <cell r="H4">
            <v>7001075118</v>
          </cell>
        </row>
        <row r="5">
          <cell r="A5">
            <v>7001065119</v>
          </cell>
          <cell r="B5" t="str">
            <v>固定資産売却勘定</v>
          </cell>
          <cell r="C5" t="str">
            <v>Doanh thu khác</v>
          </cell>
          <cell r="D5" t="str">
            <v>雑収入</v>
          </cell>
          <cell r="E5" t="str">
            <v>Thu nhập khác</v>
          </cell>
          <cell r="F5" t="str">
            <v>7001065119</v>
          </cell>
          <cell r="G5">
            <v>7001065119</v>
          </cell>
          <cell r="H5">
            <v>7001065119</v>
          </cell>
        </row>
        <row r="6">
          <cell r="A6">
            <v>5001016131</v>
          </cell>
          <cell r="B6" t="str">
            <v>材料仕入割戻高</v>
          </cell>
          <cell r="C6" t="str">
            <v>Chi phí nguyên liệu, vật liệu trực tiếp</v>
          </cell>
          <cell r="D6" t="str">
            <v>材料費</v>
          </cell>
          <cell r="E6" t="str">
            <v>Chi phí nguyên vật liệu</v>
          </cell>
          <cell r="F6" t="str">
            <v>5001016131</v>
          </cell>
          <cell r="G6"/>
          <cell r="H6"/>
        </row>
        <row r="7">
          <cell r="A7">
            <v>5001016134</v>
          </cell>
          <cell r="B7" t="str">
            <v>リーフレット用材料</v>
          </cell>
          <cell r="C7" t="str">
            <v>Chi phí nguyên liệu, vật liệu trực tiếp</v>
          </cell>
          <cell r="D7" t="str">
            <v>材料費</v>
          </cell>
          <cell r="E7" t="str">
            <v>Chi phí nguyên vật liệu</v>
          </cell>
          <cell r="F7" t="str">
            <v>5001016134</v>
          </cell>
          <cell r="G7">
            <v>5001016134</v>
          </cell>
          <cell r="H7">
            <v>5001016134</v>
          </cell>
        </row>
        <row r="8">
          <cell r="A8">
            <v>5001016135</v>
          </cell>
          <cell r="B8" t="str">
            <v>不良部品材料費</v>
          </cell>
          <cell r="C8" t="str">
            <v>Chi phí nguyên liệu, vật liệu trực tiếp</v>
          </cell>
          <cell r="D8" t="str">
            <v>材料費</v>
          </cell>
          <cell r="E8" t="str">
            <v>Chi phí nguyên vật liệu</v>
          </cell>
          <cell r="F8" t="str">
            <v>5001016135</v>
          </cell>
          <cell r="G8">
            <v>5001016135</v>
          </cell>
          <cell r="H8">
            <v>5001016135</v>
          </cell>
        </row>
        <row r="9">
          <cell r="A9">
            <v>5001016136</v>
          </cell>
          <cell r="B9" t="str">
            <v>追加指図部品費</v>
          </cell>
          <cell r="C9" t="str">
            <v>Chi phí nguyên liệu, vật liệu trực tiếp</v>
          </cell>
          <cell r="D9" t="str">
            <v>材料費</v>
          </cell>
          <cell r="E9" t="str">
            <v>Chi phí nguyên vật liệu</v>
          </cell>
          <cell r="F9" t="str">
            <v>5001016136</v>
          </cell>
          <cell r="G9">
            <v>5001016136</v>
          </cell>
          <cell r="H9">
            <v>5001016136</v>
          </cell>
        </row>
        <row r="10">
          <cell r="A10">
            <v>5001016142</v>
          </cell>
          <cell r="B10" t="str">
            <v>加工中不良廃棄損</v>
          </cell>
          <cell r="C10" t="str">
            <v>Chi phí nguyên liệu, vật liệu trực tiếp</v>
          </cell>
          <cell r="D10" t="str">
            <v>仕掛仕損</v>
          </cell>
          <cell r="E10" t="str">
            <v>Sản phẩm chưa hoàn thiện,hỏng</v>
          </cell>
          <cell r="F10" t="str">
            <v>5001016142</v>
          </cell>
          <cell r="G10">
            <v>5001016142</v>
          </cell>
          <cell r="H10">
            <v>5001016142</v>
          </cell>
        </row>
        <row r="11">
          <cell r="A11">
            <v>5001016149</v>
          </cell>
          <cell r="B11" t="str">
            <v>金型材料仕入</v>
          </cell>
          <cell r="C11" t="str">
            <v>Chi phí nguyên liệu, vật liệu trực tiếp</v>
          </cell>
          <cell r="D11" t="str">
            <v>材料費</v>
          </cell>
          <cell r="E11" t="str">
            <v>Chi phí nguyên vật liệu</v>
          </cell>
          <cell r="F11" t="str">
            <v>5001016149</v>
          </cell>
          <cell r="G11">
            <v>5001016149</v>
          </cell>
          <cell r="H11">
            <v>5001016149</v>
          </cell>
        </row>
        <row r="12">
          <cell r="A12">
            <v>5001016151</v>
          </cell>
          <cell r="B12" t="str">
            <v>生産用副資材</v>
          </cell>
          <cell r="C12" t="str">
            <v>Chi phí nguyên liệu, vật liệu trực tiếp</v>
          </cell>
          <cell r="D12" t="str">
            <v>材料費</v>
          </cell>
          <cell r="E12" t="str">
            <v>Chi phí nguyên vật liệu</v>
          </cell>
          <cell r="F12" t="str">
            <v>5001016151</v>
          </cell>
          <cell r="G12"/>
          <cell r="H12"/>
        </row>
        <row r="13">
          <cell r="A13">
            <v>5004046221</v>
          </cell>
          <cell r="B13" t="str">
            <v>雑給（直製）</v>
          </cell>
          <cell r="C13" t="str">
            <v>Chi phí nhân công trực tiếp</v>
          </cell>
          <cell r="D13" t="str">
            <v>雑給</v>
          </cell>
          <cell r="E13" t="str">
            <v>Chi phí nhân công trực tiếp</v>
          </cell>
          <cell r="F13" t="str">
            <v>5004046221</v>
          </cell>
          <cell r="G13"/>
          <cell r="H13"/>
        </row>
        <row r="14">
          <cell r="A14">
            <v>5004046371</v>
          </cell>
          <cell r="B14" t="str">
            <v>雑給（間製）</v>
          </cell>
          <cell r="C14" t="str">
            <v>Chi phí nhân viên phân xưởng</v>
          </cell>
          <cell r="D14" t="str">
            <v>雑給</v>
          </cell>
          <cell r="E14" t="str">
            <v>Chi phí nhân công trực tiếp</v>
          </cell>
          <cell r="F14" t="str">
            <v>5004046371</v>
          </cell>
          <cell r="G14"/>
          <cell r="H14"/>
        </row>
        <row r="15">
          <cell r="A15">
            <v>5005016371</v>
          </cell>
          <cell r="B15" t="str">
            <v>生産用消耗品費（製）</v>
          </cell>
          <cell r="C15" t="str">
            <v>Chi phí dụng cụ sản xuất</v>
          </cell>
          <cell r="D15" t="str">
            <v>消耗品費</v>
          </cell>
          <cell r="E15" t="str">
            <v>Chi phí hàng hóa tiêu hao</v>
          </cell>
          <cell r="F15" t="str">
            <v>5005016371</v>
          </cell>
          <cell r="G15"/>
          <cell r="H15"/>
        </row>
        <row r="16">
          <cell r="A16">
            <v>5005016372</v>
          </cell>
          <cell r="B16" t="str">
            <v>その他消耗品（製）</v>
          </cell>
          <cell r="C16" t="str">
            <v>Chi phí dụng cụ sản xuất</v>
          </cell>
          <cell r="D16" t="str">
            <v>消耗品費</v>
          </cell>
          <cell r="E16" t="str">
            <v>Chi phí hàng hóa tiêu hao</v>
          </cell>
          <cell r="F16" t="str">
            <v>5005016372</v>
          </cell>
          <cell r="G16"/>
          <cell r="H16"/>
        </row>
        <row r="17">
          <cell r="A17">
            <v>5005016373</v>
          </cell>
          <cell r="B17" t="str">
            <v>生産用文房具（製造）</v>
          </cell>
          <cell r="C17" t="str">
            <v>Chi phí dụng cụ sản xuất</v>
          </cell>
          <cell r="D17" t="str">
            <v>消耗品費</v>
          </cell>
          <cell r="E17" t="str">
            <v>Chi phí hàng hóa tiêu hao</v>
          </cell>
          <cell r="F17" t="str">
            <v>5005016373</v>
          </cell>
          <cell r="G17"/>
          <cell r="H17"/>
        </row>
        <row r="18">
          <cell r="A18">
            <v>5005026371</v>
          </cell>
          <cell r="B18" t="str">
            <v>消耗工具器具備品費（製）</v>
          </cell>
          <cell r="C18" t="str">
            <v>Chi phí dụng cụ sản xuất</v>
          </cell>
          <cell r="D18" t="str">
            <v>消耗工具器具備品費</v>
          </cell>
          <cell r="E18" t="str">
            <v>Chi phí sử dụng công cụ,đồ đạc</v>
          </cell>
          <cell r="F18" t="str">
            <v>5005026371</v>
          </cell>
          <cell r="G18"/>
          <cell r="H18"/>
        </row>
        <row r="19">
          <cell r="A19">
            <v>5005026372</v>
          </cell>
          <cell r="B19" t="str">
            <v>消耗金型代（製）</v>
          </cell>
          <cell r="C19" t="str">
            <v>Chi phí dụng cụ sản xuất</v>
          </cell>
          <cell r="D19" t="str">
            <v>消耗金型費</v>
          </cell>
          <cell r="E19" t="str">
            <v>Chi phí tiêu hao khuôn</v>
          </cell>
          <cell r="F19" t="str">
            <v>5005026372</v>
          </cell>
          <cell r="G19"/>
          <cell r="H19"/>
        </row>
        <row r="20">
          <cell r="A20">
            <v>5006016241</v>
          </cell>
          <cell r="B20" t="str">
            <v>減価償却費（製）　建物</v>
          </cell>
          <cell r="C20" t="str">
            <v>Chi phí khấu hao TSCĐ</v>
          </cell>
          <cell r="D20" t="str">
            <v>減価償却費</v>
          </cell>
          <cell r="E20" t="str">
            <v>Chi phí khấu hao</v>
          </cell>
          <cell r="F20" t="str">
            <v>5006016241</v>
          </cell>
          <cell r="G20"/>
          <cell r="H20"/>
        </row>
        <row r="21">
          <cell r="A21">
            <v>5006016242</v>
          </cell>
          <cell r="B21" t="str">
            <v>減価償却費（製）　機械装置</v>
          </cell>
          <cell r="C21" t="str">
            <v>Chi phí khấu hao TSCĐ</v>
          </cell>
          <cell r="D21" t="str">
            <v>減価償却費</v>
          </cell>
          <cell r="E21" t="str">
            <v>Chi phí khấu hao</v>
          </cell>
          <cell r="F21" t="str">
            <v>5006016242</v>
          </cell>
          <cell r="G21"/>
          <cell r="H21"/>
        </row>
        <row r="22">
          <cell r="A22">
            <v>5006016243</v>
          </cell>
          <cell r="B22" t="str">
            <v>減価償却費（製）　車輌運搬具</v>
          </cell>
          <cell r="C22" t="str">
            <v>Chi phí khấu hao TSCĐ</v>
          </cell>
          <cell r="D22" t="str">
            <v>減価償却費</v>
          </cell>
          <cell r="E22" t="str">
            <v>Chi phí khấu hao</v>
          </cell>
          <cell r="F22" t="str">
            <v>5006016243</v>
          </cell>
          <cell r="G22"/>
          <cell r="H22"/>
        </row>
        <row r="23">
          <cell r="A23">
            <v>5006016244</v>
          </cell>
          <cell r="B23" t="str">
            <v>減価償却費（製）　工具器具備品</v>
          </cell>
          <cell r="C23" t="str">
            <v>Chi phí khấu hao TSCĐ</v>
          </cell>
          <cell r="D23" t="str">
            <v>減価償却費</v>
          </cell>
          <cell r="E23" t="str">
            <v>Chi phí khấu hao</v>
          </cell>
          <cell r="F23" t="str">
            <v>5006016244</v>
          </cell>
          <cell r="G23"/>
          <cell r="H23"/>
        </row>
        <row r="24">
          <cell r="A24">
            <v>5006016245</v>
          </cell>
          <cell r="B24" t="str">
            <v>減価償却費（製）　構築物</v>
          </cell>
          <cell r="C24" t="str">
            <v>Chi phí khấu hao TSCĐ</v>
          </cell>
          <cell r="D24" t="str">
            <v>減価償却費</v>
          </cell>
          <cell r="E24" t="str">
            <v>Chi phí khấu hao</v>
          </cell>
          <cell r="F24" t="str">
            <v>5006016245</v>
          </cell>
          <cell r="G24"/>
          <cell r="H24"/>
        </row>
        <row r="25">
          <cell r="A25">
            <v>5005036246</v>
          </cell>
          <cell r="B25" t="str">
            <v>減価償却費（製）　金型</v>
          </cell>
          <cell r="C25" t="str">
            <v>Chi phí khấu hao TSCĐ</v>
          </cell>
          <cell r="D25" t="str">
            <v>金型償却費</v>
          </cell>
          <cell r="E25" t="str">
            <v>Chi phí khấu hao khuôn</v>
          </cell>
          <cell r="F25" t="str">
            <v>5005036246</v>
          </cell>
          <cell r="G25"/>
          <cell r="H25"/>
        </row>
        <row r="26">
          <cell r="A26">
            <v>5006016247</v>
          </cell>
          <cell r="B26" t="str">
            <v>減価償却費（製）　その他有形固定資産</v>
          </cell>
          <cell r="C26" t="str">
            <v>Chi phí khấu hao TSCĐ</v>
          </cell>
          <cell r="D26" t="str">
            <v>減価償却費</v>
          </cell>
          <cell r="E26" t="str">
            <v>Chi phí khấu hao</v>
          </cell>
          <cell r="F26" t="str">
            <v>5006016247</v>
          </cell>
          <cell r="G26"/>
          <cell r="H26"/>
        </row>
        <row r="27">
          <cell r="A27">
            <v>5006016248</v>
          </cell>
          <cell r="B27" t="str">
            <v>減価償却費（製）　リース建物</v>
          </cell>
          <cell r="C27" t="str">
            <v>Chi phí khấu hao TSCĐ</v>
          </cell>
          <cell r="D27" t="str">
            <v>減価償却費</v>
          </cell>
          <cell r="E27" t="str">
            <v>Chi phí khấu hao</v>
          </cell>
          <cell r="F27" t="str">
            <v>5006016248</v>
          </cell>
          <cell r="G27"/>
          <cell r="H27"/>
        </row>
        <row r="28">
          <cell r="A28">
            <v>5006016249</v>
          </cell>
          <cell r="B28" t="str">
            <v>減価償却費（製）　リース機械装置</v>
          </cell>
          <cell r="C28" t="str">
            <v>Chi phí khấu hao TSCĐ</v>
          </cell>
          <cell r="D28" t="str">
            <v>減価償却費</v>
          </cell>
          <cell r="E28" t="str">
            <v>Chi phí khấu hao</v>
          </cell>
          <cell r="F28" t="str">
            <v>5006016249</v>
          </cell>
          <cell r="G28"/>
          <cell r="H28"/>
        </row>
        <row r="29">
          <cell r="A29">
            <v>5006016250</v>
          </cell>
          <cell r="B29" t="str">
            <v>減価償却費（製）　リース車輌運搬具</v>
          </cell>
          <cell r="C29" t="str">
            <v>Chi phí khấu hao TSCĐ</v>
          </cell>
          <cell r="D29" t="str">
            <v>減価償却費</v>
          </cell>
          <cell r="E29" t="str">
            <v>Chi phí khấu hao</v>
          </cell>
          <cell r="F29" t="str">
            <v>5006016250</v>
          </cell>
          <cell r="G29"/>
          <cell r="H29"/>
        </row>
        <row r="30">
          <cell r="A30">
            <v>5006016251</v>
          </cell>
          <cell r="B30" t="str">
            <v>減価償却費（製）　リース工具器具備品</v>
          </cell>
          <cell r="C30" t="str">
            <v>Chi phí khấu hao TSCĐ</v>
          </cell>
          <cell r="D30" t="str">
            <v>減価償却費</v>
          </cell>
          <cell r="E30" t="str">
            <v>Chi phí khấu hao</v>
          </cell>
          <cell r="F30" t="str">
            <v>5006016251</v>
          </cell>
          <cell r="G30"/>
          <cell r="H30"/>
        </row>
        <row r="31">
          <cell r="A31">
            <v>5006016252</v>
          </cell>
          <cell r="B31" t="str">
            <v>減価償却費（製）　リース構築物</v>
          </cell>
          <cell r="C31" t="str">
            <v>Chi phí khấu hao TSCĐ</v>
          </cell>
          <cell r="D31" t="str">
            <v>減価償却費</v>
          </cell>
          <cell r="E31" t="str">
            <v>Chi phí khấu hao</v>
          </cell>
          <cell r="F31" t="str">
            <v>5006016252</v>
          </cell>
          <cell r="G31"/>
          <cell r="H31"/>
        </row>
        <row r="32">
          <cell r="A32">
            <v>5006016253</v>
          </cell>
          <cell r="B32" t="str">
            <v>減価償却費（製）　土地使用権</v>
          </cell>
          <cell r="C32" t="str">
            <v>Chi phí khấu hao TSCĐ</v>
          </cell>
          <cell r="D32" t="str">
            <v>減価償却費</v>
          </cell>
          <cell r="E32" t="str">
            <v>Chi phí khấu hao</v>
          </cell>
          <cell r="F32" t="str">
            <v>5006016253</v>
          </cell>
          <cell r="G32"/>
          <cell r="H32"/>
        </row>
        <row r="33">
          <cell r="A33">
            <v>5006016254</v>
          </cell>
          <cell r="B33" t="str">
            <v>減価償却費（製）　出版著作権</v>
          </cell>
          <cell r="C33" t="str">
            <v>Chi phí khấu hao TSCĐ</v>
          </cell>
          <cell r="D33" t="str">
            <v>減価償却費</v>
          </cell>
          <cell r="E33" t="str">
            <v>Chi phí khấu hao</v>
          </cell>
          <cell r="F33" t="str">
            <v>5006016254</v>
          </cell>
          <cell r="G33"/>
          <cell r="H33"/>
        </row>
        <row r="34">
          <cell r="A34">
            <v>5006016255</v>
          </cell>
          <cell r="B34" t="str">
            <v>減価償却費（製）　特許権</v>
          </cell>
          <cell r="C34" t="str">
            <v>Chi phí khấu hao TSCĐ</v>
          </cell>
          <cell r="D34" t="str">
            <v>減価償却費</v>
          </cell>
          <cell r="E34" t="str">
            <v>Chi phí khấu hao</v>
          </cell>
          <cell r="F34" t="str">
            <v>5006016255</v>
          </cell>
          <cell r="G34"/>
          <cell r="H34"/>
        </row>
        <row r="35">
          <cell r="A35">
            <v>5006016256</v>
          </cell>
          <cell r="B35" t="str">
            <v>減価償却費（製）　商標権</v>
          </cell>
          <cell r="C35" t="str">
            <v>Chi phí khấu hao TSCĐ</v>
          </cell>
          <cell r="D35" t="str">
            <v>減価償却費</v>
          </cell>
          <cell r="E35" t="str">
            <v>Chi phí khấu hao</v>
          </cell>
          <cell r="F35" t="str">
            <v>5006016256</v>
          </cell>
          <cell r="G35"/>
          <cell r="H35"/>
        </row>
        <row r="36">
          <cell r="A36">
            <v>5006016257</v>
          </cell>
          <cell r="B36" t="str">
            <v>減価償却費（製）　ソフトウェア</v>
          </cell>
          <cell r="C36" t="str">
            <v>Chi phí khấu hao TSCĐ</v>
          </cell>
          <cell r="D36" t="str">
            <v>減価償却費</v>
          </cell>
          <cell r="E36" t="str">
            <v>Chi phí khấu hao</v>
          </cell>
          <cell r="F36" t="str">
            <v>5006016257</v>
          </cell>
          <cell r="G36"/>
          <cell r="H36"/>
        </row>
        <row r="37">
          <cell r="A37">
            <v>5006016258</v>
          </cell>
          <cell r="B37" t="str">
            <v>減価償却費（製）　営業権</v>
          </cell>
          <cell r="C37" t="str">
            <v>Chi phí khấu hao TSCĐ</v>
          </cell>
          <cell r="D37" t="str">
            <v>減価償却費</v>
          </cell>
          <cell r="E37" t="str">
            <v>Chi phí khấu hao</v>
          </cell>
          <cell r="F37" t="str">
            <v>5006016258</v>
          </cell>
          <cell r="G37"/>
          <cell r="H37"/>
        </row>
        <row r="38">
          <cell r="A38">
            <v>5006016259</v>
          </cell>
          <cell r="B38" t="str">
            <v>減価償却費（製）　その他無形固定資産</v>
          </cell>
          <cell r="C38" t="str">
            <v>Chi phí khấu hao TSCĐ</v>
          </cell>
          <cell r="D38" t="str">
            <v>減価償却費</v>
          </cell>
          <cell r="E38" t="str">
            <v>Chi phí khấu hao</v>
          </cell>
          <cell r="F38" t="str">
            <v>5006016259</v>
          </cell>
          <cell r="G38"/>
          <cell r="H38"/>
        </row>
        <row r="39">
          <cell r="A39">
            <v>5006016260</v>
          </cell>
          <cell r="B39" t="str">
            <v>減価償却費配賦（製）　建物</v>
          </cell>
          <cell r="C39" t="str">
            <v>Chi phí khấu hao TSCĐ</v>
          </cell>
          <cell r="D39" t="str">
            <v>減価償却費</v>
          </cell>
          <cell r="E39" t="str">
            <v>Chi phí khấu hao</v>
          </cell>
          <cell r="F39" t="str">
            <v>5006016260</v>
          </cell>
          <cell r="G39"/>
          <cell r="H39"/>
        </row>
        <row r="40">
          <cell r="A40">
            <v>5006016261</v>
          </cell>
          <cell r="B40" t="str">
            <v>減価償却費配賦（製）　土地使用権</v>
          </cell>
          <cell r="C40" t="str">
            <v>Chi phí khấu hao TSCĐ</v>
          </cell>
          <cell r="D40" t="str">
            <v>減価償却費</v>
          </cell>
          <cell r="E40" t="str">
            <v>Chi phí khấu hao</v>
          </cell>
          <cell r="F40" t="str">
            <v>5006016261</v>
          </cell>
          <cell r="G40"/>
          <cell r="H40"/>
        </row>
        <row r="41">
          <cell r="A41">
            <v>5004096281</v>
          </cell>
          <cell r="B41" t="str">
            <v>求人費（製）</v>
          </cell>
          <cell r="C41" t="str">
            <v>Chi phi dịch vụ mua ngoài</v>
          </cell>
          <cell r="D41" t="str">
            <v>募集教育費</v>
          </cell>
          <cell r="E41" t="str">
            <v>Chi phí tuyển dụng,đào tạo</v>
          </cell>
          <cell r="F41" t="str">
            <v>5004096281</v>
          </cell>
          <cell r="G41"/>
          <cell r="H41"/>
        </row>
        <row r="42">
          <cell r="A42">
            <v>5005046281</v>
          </cell>
          <cell r="B42" t="str">
            <v>機械設備修繕費（製）</v>
          </cell>
          <cell r="C42" t="str">
            <v>Chi phi dịch vụ mua ngoài</v>
          </cell>
          <cell r="D42" t="str">
            <v>修繕費</v>
          </cell>
          <cell r="E42" t="str">
            <v>Chi phí sửa chữa</v>
          </cell>
          <cell r="F42" t="str">
            <v>5005046281</v>
          </cell>
          <cell r="G42"/>
          <cell r="H42"/>
        </row>
        <row r="43">
          <cell r="A43">
            <v>5005046282</v>
          </cell>
          <cell r="B43" t="str">
            <v>その他修繕費（製）</v>
          </cell>
          <cell r="C43" t="str">
            <v>Chi phi dịch vụ mua ngoài</v>
          </cell>
          <cell r="D43" t="str">
            <v>修繕費</v>
          </cell>
          <cell r="E43" t="str">
            <v>Chi phí sửa chữa</v>
          </cell>
          <cell r="F43" t="str">
            <v>5005046282</v>
          </cell>
          <cell r="G43"/>
          <cell r="H43"/>
        </row>
        <row r="44">
          <cell r="A44">
            <v>5005046283</v>
          </cell>
          <cell r="B44" t="str">
            <v>年間保守料（製）</v>
          </cell>
          <cell r="C44" t="str">
            <v>Chi phi dịch vụ mua ngoài</v>
          </cell>
          <cell r="D44" t="str">
            <v>修繕費</v>
          </cell>
          <cell r="E44" t="str">
            <v>Chi phí sửa chữa</v>
          </cell>
          <cell r="F44" t="str">
            <v>5005046283</v>
          </cell>
          <cell r="G44"/>
          <cell r="H44"/>
        </row>
        <row r="45">
          <cell r="A45">
            <v>5005046284</v>
          </cell>
          <cell r="B45" t="str">
            <v>金型修繕費（製造）</v>
          </cell>
          <cell r="C45" t="str">
            <v>Chi phi dịch vụ mua ngoài</v>
          </cell>
          <cell r="D45" t="str">
            <v>修繕費</v>
          </cell>
          <cell r="E45" t="str">
            <v>Chi phí sửa chữa</v>
          </cell>
          <cell r="F45" t="str">
            <v>5005046284</v>
          </cell>
          <cell r="G45"/>
          <cell r="H45"/>
        </row>
        <row r="46">
          <cell r="A46">
            <v>5005066281</v>
          </cell>
          <cell r="B46" t="str">
            <v>電気代（製）</v>
          </cell>
          <cell r="C46" t="str">
            <v>Chi phi dịch vụ mua ngoài</v>
          </cell>
          <cell r="D46" t="str">
            <v>水道光熱費</v>
          </cell>
          <cell r="E46" t="str">
            <v>Chi phí Utilities(điện,nước..)</v>
          </cell>
          <cell r="F46" t="str">
            <v>5005066281</v>
          </cell>
          <cell r="G46"/>
          <cell r="H46"/>
        </row>
        <row r="47">
          <cell r="A47">
            <v>5005066282</v>
          </cell>
          <cell r="B47" t="str">
            <v>水道代（製）</v>
          </cell>
          <cell r="C47" t="str">
            <v>Chi phi dịch vụ mua ngoài</v>
          </cell>
          <cell r="D47" t="str">
            <v>水道光熱費</v>
          </cell>
          <cell r="E47" t="str">
            <v>Chi phí Utilities(điện,nước..)</v>
          </cell>
          <cell r="F47" t="str">
            <v>5005066282</v>
          </cell>
          <cell r="G47"/>
          <cell r="H47"/>
        </row>
        <row r="48">
          <cell r="A48">
            <v>5005056281</v>
          </cell>
          <cell r="B48" t="str">
            <v>ガス代（製）</v>
          </cell>
          <cell r="C48" t="str">
            <v>Chi phi dịch vụ mua ngoài</v>
          </cell>
          <cell r="D48" t="str">
            <v>水道光熱費</v>
          </cell>
          <cell r="E48" t="str">
            <v>Chi phí Utilities(điện,nước..)</v>
          </cell>
          <cell r="F48" t="str">
            <v>5005056281</v>
          </cell>
          <cell r="G48"/>
          <cell r="H48"/>
        </row>
        <row r="49">
          <cell r="A49">
            <v>5005076281</v>
          </cell>
          <cell r="B49" t="str">
            <v>通関申告費用（製）</v>
          </cell>
          <cell r="C49" t="str">
            <v>Chi phi dịch vụ mua ngoài</v>
          </cell>
          <cell r="D49" t="str">
            <v>荷造運賃</v>
          </cell>
          <cell r="E49" t="str">
            <v>Chi phí vận chuyển hàng hóa</v>
          </cell>
          <cell r="F49" t="str">
            <v>5005076281</v>
          </cell>
          <cell r="G49"/>
          <cell r="H49"/>
        </row>
        <row r="50">
          <cell r="A50">
            <v>5005076282</v>
          </cell>
          <cell r="B50" t="str">
            <v>設備輸送費（製）</v>
          </cell>
          <cell r="C50" t="str">
            <v>Chi phi dịch vụ mua ngoài</v>
          </cell>
          <cell r="D50" t="str">
            <v>荷造運賃</v>
          </cell>
          <cell r="E50" t="str">
            <v>Chi phí vận chuyển hàng hóa</v>
          </cell>
          <cell r="F50" t="str">
            <v>5005076282</v>
          </cell>
          <cell r="G50"/>
          <cell r="H50"/>
        </row>
        <row r="51">
          <cell r="A51">
            <v>5005076283</v>
          </cell>
          <cell r="B51" t="str">
            <v>輸入航空運賃（製）</v>
          </cell>
          <cell r="C51" t="str">
            <v>Chi phi dịch vụ mua ngoài</v>
          </cell>
          <cell r="D51" t="str">
            <v>荷造運賃</v>
          </cell>
          <cell r="E51" t="str">
            <v>Chi phí vận chuyển hàng hóa</v>
          </cell>
          <cell r="F51" t="str">
            <v>5005076283</v>
          </cell>
          <cell r="G51"/>
          <cell r="H51"/>
        </row>
        <row r="52">
          <cell r="A52">
            <v>5005076284</v>
          </cell>
          <cell r="B52" t="str">
            <v>輸入海上運賃（製）</v>
          </cell>
          <cell r="C52" t="str">
            <v>Chi phi dịch vụ mua ngoài</v>
          </cell>
          <cell r="D52" t="str">
            <v>荷造運賃</v>
          </cell>
          <cell r="E52" t="str">
            <v>Chi phí vận chuyển hàng hóa</v>
          </cell>
          <cell r="F52" t="str">
            <v>5005076284</v>
          </cell>
          <cell r="G52"/>
          <cell r="H52"/>
        </row>
        <row r="53">
          <cell r="A53">
            <v>5005076285</v>
          </cell>
          <cell r="B53" t="str">
            <v>空箱返却費用</v>
          </cell>
          <cell r="C53" t="str">
            <v>Chi phi dịch vụ mua ngoài</v>
          </cell>
          <cell r="D53" t="str">
            <v>荷造運賃</v>
          </cell>
          <cell r="E53" t="str">
            <v>Chi phí vận chuyển hàng hóa</v>
          </cell>
          <cell r="F53" t="str">
            <v>5005076285</v>
          </cell>
          <cell r="G53"/>
          <cell r="H53"/>
        </row>
        <row r="54">
          <cell r="A54">
            <v>5005076286</v>
          </cell>
          <cell r="B54" t="str">
            <v>部品集荷トラック代</v>
          </cell>
          <cell r="C54" t="str">
            <v>Chi phi dịch vụ mua ngoài</v>
          </cell>
          <cell r="D54" t="str">
            <v>荷造運賃</v>
          </cell>
          <cell r="E54" t="str">
            <v>Chi phí vận chuyển hàng hóa</v>
          </cell>
          <cell r="F54" t="str">
            <v>5005076286</v>
          </cell>
          <cell r="G54"/>
          <cell r="H54"/>
        </row>
        <row r="55">
          <cell r="A55">
            <v>5005076287</v>
          </cell>
          <cell r="B55" t="str">
            <v>物流保険料（製）</v>
          </cell>
          <cell r="C55" t="str">
            <v>Chi phi dịch vụ mua ngoài</v>
          </cell>
          <cell r="D55" t="str">
            <v>荷造運賃</v>
          </cell>
          <cell r="E55" t="str">
            <v>Chi phí vận chuyển hàng hóa</v>
          </cell>
          <cell r="F55" t="str">
            <v>5005076287</v>
          </cell>
          <cell r="G55"/>
          <cell r="H55"/>
        </row>
        <row r="56">
          <cell r="A56">
            <v>5005076288</v>
          </cell>
          <cell r="B56" t="str">
            <v>梱包材料費（製）</v>
          </cell>
          <cell r="C56" t="str">
            <v>Chi phi dịch vụ mua ngoài</v>
          </cell>
          <cell r="D56" t="str">
            <v>荷造用品費</v>
          </cell>
          <cell r="E56" t="str">
            <v>Chi phí NVL dùng đóng gói hàng</v>
          </cell>
          <cell r="F56" t="str">
            <v>5005076288</v>
          </cell>
          <cell r="G56"/>
          <cell r="H56"/>
        </row>
        <row r="57">
          <cell r="A57">
            <v>5005076289</v>
          </cell>
          <cell r="B57" t="str">
            <v>クーリエ費用（製）</v>
          </cell>
          <cell r="C57" t="str">
            <v>Chi phi dịch vụ mua ngoài</v>
          </cell>
          <cell r="D57" t="str">
            <v>荷造運賃</v>
          </cell>
          <cell r="E57" t="str">
            <v>Chi phí vận chuyển hàng hóa</v>
          </cell>
          <cell r="F57" t="str">
            <v>5005076289</v>
          </cell>
          <cell r="G57"/>
          <cell r="H57"/>
        </row>
        <row r="58">
          <cell r="A58">
            <v>5005076291</v>
          </cell>
          <cell r="B58" t="str">
            <v>外部倉庫　取扱手数料（製造）</v>
          </cell>
          <cell r="C58" t="str">
            <v>Chi phi dịch vụ mua ngoài</v>
          </cell>
          <cell r="D58" t="str">
            <v>荷造運賃</v>
          </cell>
          <cell r="E58" t="str">
            <v>Chi phí vận chuyển hàng hóa</v>
          </cell>
          <cell r="F58" t="str">
            <v>5005076291</v>
          </cell>
          <cell r="G58"/>
          <cell r="H58"/>
        </row>
        <row r="59">
          <cell r="A59">
            <v>5005076292</v>
          </cell>
          <cell r="B59" t="str">
            <v>外部倉庫　保管料（製造）</v>
          </cell>
          <cell r="C59" t="str">
            <v>Chi phi dịch vụ mua ngoài</v>
          </cell>
          <cell r="D59" t="str">
            <v>荷造運賃</v>
          </cell>
          <cell r="E59" t="str">
            <v>Chi phí vận chuyển hàng hóa</v>
          </cell>
          <cell r="F59" t="str">
            <v>5005076292</v>
          </cell>
          <cell r="G59"/>
          <cell r="H59"/>
        </row>
        <row r="60">
          <cell r="A60">
            <v>5005076293</v>
          </cell>
          <cell r="B60" t="str">
            <v>外部倉庫　輸送料（製造）</v>
          </cell>
          <cell r="C60" t="str">
            <v>Chi phi dịch vụ mua ngoài</v>
          </cell>
          <cell r="D60" t="str">
            <v>荷造運賃</v>
          </cell>
          <cell r="E60" t="str">
            <v>Chi phí vận chuyển hàng hóa</v>
          </cell>
          <cell r="F60" t="str">
            <v>5005076293</v>
          </cell>
          <cell r="G60"/>
          <cell r="H60"/>
        </row>
        <row r="61">
          <cell r="A61">
            <v>5005076294</v>
          </cell>
          <cell r="B61" t="str">
            <v>外部物流業者　取扱手数料（製造）</v>
          </cell>
          <cell r="C61" t="str">
            <v>Chi phi dịch vụ mua ngoài</v>
          </cell>
          <cell r="D61" t="str">
            <v>荷造運賃</v>
          </cell>
          <cell r="E61" t="str">
            <v>Chi phí vận chuyển hàng hóa</v>
          </cell>
          <cell r="F61" t="str">
            <v>5005076294</v>
          </cell>
          <cell r="G61"/>
          <cell r="H61"/>
        </row>
        <row r="62">
          <cell r="A62">
            <v>5005086281</v>
          </cell>
          <cell r="B62" t="str">
            <v>技術料（製）</v>
          </cell>
          <cell r="C62" t="str">
            <v>Chi phi dịch vụ mua ngoài</v>
          </cell>
          <cell r="D62" t="str">
            <v>技術料</v>
          </cell>
          <cell r="E62" t="str">
            <v>Phí kỹ thuật</v>
          </cell>
          <cell r="F62" t="str">
            <v>5005086281</v>
          </cell>
          <cell r="G62"/>
          <cell r="H62"/>
        </row>
        <row r="63">
          <cell r="A63">
            <v>5005136281</v>
          </cell>
          <cell r="B63" t="str">
            <v>通信費（製）</v>
          </cell>
          <cell r="C63" t="str">
            <v>Chi phi dịch vụ mua ngoài</v>
          </cell>
          <cell r="D63" t="str">
            <v>通信費</v>
          </cell>
          <cell r="E63" t="str">
            <v>Chi phí điện thoại</v>
          </cell>
          <cell r="F63" t="str">
            <v>5005136281</v>
          </cell>
          <cell r="G63"/>
          <cell r="H63"/>
        </row>
        <row r="64">
          <cell r="A64">
            <v>5005246281</v>
          </cell>
          <cell r="B64" t="str">
            <v>図書印刷費（製）</v>
          </cell>
          <cell r="C64" t="str">
            <v>Chi phi dịch vụ mua ngoài</v>
          </cell>
          <cell r="D64" t="str">
            <v>図書及び事務費</v>
          </cell>
          <cell r="E64" t="str">
            <v>Chi phí văn phòng</v>
          </cell>
          <cell r="F64" t="str">
            <v>5005246281</v>
          </cell>
          <cell r="G64"/>
          <cell r="H64"/>
        </row>
        <row r="65">
          <cell r="A65">
            <v>5005246282</v>
          </cell>
          <cell r="B65" t="str">
            <v>ＫＤＣシステム使用料（製）</v>
          </cell>
          <cell r="C65" t="str">
            <v>Chi phi dịch vụ mua ngoài</v>
          </cell>
          <cell r="D65" t="str">
            <v>図書及び事務費</v>
          </cell>
          <cell r="E65" t="str">
            <v>Chi phí văn phòng</v>
          </cell>
          <cell r="F65" t="str">
            <v>5005246282</v>
          </cell>
          <cell r="G65"/>
          <cell r="H65"/>
        </row>
        <row r="66">
          <cell r="A66">
            <v>5005246283</v>
          </cell>
          <cell r="B66" t="str">
            <v>ライセンス料（製）</v>
          </cell>
          <cell r="C66" t="str">
            <v>Chi phi dịch vụ mua ngoài</v>
          </cell>
          <cell r="D66" t="str">
            <v>図書及び事務費</v>
          </cell>
          <cell r="E66" t="str">
            <v>Chi phí văn phòng</v>
          </cell>
          <cell r="F66" t="str">
            <v>5005246283</v>
          </cell>
          <cell r="G66"/>
          <cell r="H66"/>
        </row>
        <row r="67">
          <cell r="A67">
            <v>5005246284</v>
          </cell>
          <cell r="B67" t="str">
            <v>会費（製）</v>
          </cell>
          <cell r="C67" t="str">
            <v>Chi phi dịch vụ mua ngoài</v>
          </cell>
          <cell r="D67" t="str">
            <v>会費及び会議費</v>
          </cell>
          <cell r="E67" t="str">
            <v>Chi phí cuộc họp</v>
          </cell>
          <cell r="F67" t="str">
            <v>5005246284</v>
          </cell>
          <cell r="G67"/>
          <cell r="H67"/>
        </row>
        <row r="68">
          <cell r="A68">
            <v>5005216281</v>
          </cell>
          <cell r="B68" t="str">
            <v>委嘱報酬・設計委託費（製）</v>
          </cell>
          <cell r="C68" t="str">
            <v>Chi phi dịch vụ mua ngoài</v>
          </cell>
          <cell r="D68" t="str">
            <v>委嘱報酬</v>
          </cell>
          <cell r="E68" t="str">
            <v>Thù lao ủy thác,phí hoa hồng</v>
          </cell>
          <cell r="F68" t="str">
            <v>5005216281</v>
          </cell>
          <cell r="G68"/>
          <cell r="H68"/>
        </row>
        <row r="69">
          <cell r="A69">
            <v>5005226281</v>
          </cell>
          <cell r="B69" t="str">
            <v>保険料（製）</v>
          </cell>
          <cell r="C69" t="str">
            <v>Chi phi dịch vụ mua ngoài</v>
          </cell>
          <cell r="D69" t="str">
            <v>保険料</v>
          </cell>
          <cell r="E69" t="str">
            <v>Chi phí bảo hiểm</v>
          </cell>
          <cell r="F69" t="str">
            <v>5005226281</v>
          </cell>
          <cell r="G69"/>
          <cell r="H69"/>
        </row>
        <row r="70">
          <cell r="A70">
            <v>5005236281</v>
          </cell>
          <cell r="B70" t="str">
            <v>事務所賃借料（製）</v>
          </cell>
          <cell r="C70" t="str">
            <v>Chi phi dịch vụ mua ngoài</v>
          </cell>
          <cell r="D70" t="str">
            <v>賃借料</v>
          </cell>
          <cell r="E70" t="str">
            <v>Chi phí thuê</v>
          </cell>
          <cell r="F70" t="str">
            <v>5005236281</v>
          </cell>
          <cell r="G70"/>
          <cell r="H70"/>
        </row>
        <row r="71">
          <cell r="A71">
            <v>5005236282</v>
          </cell>
          <cell r="B71" t="str">
            <v>倉庫賃借料（製）</v>
          </cell>
          <cell r="C71" t="str">
            <v>Chi phi dịch vụ mua ngoài</v>
          </cell>
          <cell r="D71" t="str">
            <v>賃借料</v>
          </cell>
          <cell r="E71" t="str">
            <v>Chi phí thuê</v>
          </cell>
          <cell r="F71" t="str">
            <v>5005236282</v>
          </cell>
          <cell r="G71"/>
          <cell r="H71"/>
        </row>
        <row r="72">
          <cell r="A72">
            <v>5005246285</v>
          </cell>
          <cell r="B72" t="str">
            <v>取扱手数料（製）</v>
          </cell>
          <cell r="C72" t="str">
            <v>Chi phi dịch vụ mua ngoài</v>
          </cell>
          <cell r="D72" t="str">
            <v>手数料</v>
          </cell>
          <cell r="E72" t="str">
            <v>Tiền dịch vụ,tiền lệ phí</v>
          </cell>
          <cell r="F72" t="str">
            <v>5005246285</v>
          </cell>
          <cell r="G72"/>
          <cell r="H72"/>
        </row>
        <row r="73">
          <cell r="A73">
            <v>5005246286</v>
          </cell>
          <cell r="B73" t="str">
            <v>その他手数料（製）</v>
          </cell>
          <cell r="C73" t="str">
            <v>Chi phi dịch vụ mua ngoài</v>
          </cell>
          <cell r="D73" t="str">
            <v>手数料</v>
          </cell>
          <cell r="E73" t="str">
            <v>Tiền dịch vụ,tiền lệ phí</v>
          </cell>
          <cell r="F73" t="str">
            <v>5005246286</v>
          </cell>
          <cell r="G73"/>
          <cell r="H73"/>
        </row>
        <row r="74">
          <cell r="A74">
            <v>5005246287</v>
          </cell>
          <cell r="B74" t="str">
            <v>ＫＤＣ手数料（製）</v>
          </cell>
          <cell r="C74" t="str">
            <v>Chi phi dịch vụ mua ngoài</v>
          </cell>
          <cell r="D74" t="str">
            <v>手数料</v>
          </cell>
          <cell r="E74" t="str">
            <v>Tiền dịch vụ,tiền lệ phí</v>
          </cell>
          <cell r="F74" t="str">
            <v>5005246287</v>
          </cell>
          <cell r="G74"/>
          <cell r="H74"/>
        </row>
        <row r="75">
          <cell r="A75">
            <v>5005246288</v>
          </cell>
          <cell r="B75" t="str">
            <v>事務用品費（製）</v>
          </cell>
          <cell r="C75" t="str">
            <v>Chi phi dịch vụ mua ngoài</v>
          </cell>
          <cell r="D75" t="str">
            <v>図書及び事務費</v>
          </cell>
          <cell r="E75" t="str">
            <v>Chi phí văn phòng</v>
          </cell>
          <cell r="F75" t="str">
            <v>5005246288</v>
          </cell>
          <cell r="G75"/>
          <cell r="H75"/>
        </row>
        <row r="76">
          <cell r="A76">
            <v>5004086291</v>
          </cell>
          <cell r="B76" t="str">
            <v>福利厚生費（製）</v>
          </cell>
          <cell r="C76" t="str">
            <v>Chi phí bằng tiền khác</v>
          </cell>
          <cell r="D76" t="str">
            <v>福利厚生費</v>
          </cell>
          <cell r="E76" t="str">
            <v>Chi phí phúc lợi</v>
          </cell>
          <cell r="F76" t="str">
            <v>5004086291</v>
          </cell>
          <cell r="G76"/>
          <cell r="H76"/>
        </row>
        <row r="77">
          <cell r="A77">
            <v>5004086293</v>
          </cell>
          <cell r="B77" t="str">
            <v>教育訓練費（製）</v>
          </cell>
          <cell r="C77" t="str">
            <v>Chi phí bằng tiền khác</v>
          </cell>
          <cell r="D77" t="str">
            <v>募集教育費</v>
          </cell>
          <cell r="E77" t="str">
            <v>Chi phí tuyển dụng,đào tạo</v>
          </cell>
          <cell r="F77" t="str">
            <v>5004086293</v>
          </cell>
          <cell r="G77"/>
          <cell r="H77"/>
        </row>
        <row r="78">
          <cell r="A78">
            <v>5005116291</v>
          </cell>
          <cell r="B78" t="str">
            <v>ベトナム国内交通費（製）</v>
          </cell>
          <cell r="C78" t="str">
            <v>Chi phí bằng tiền khác</v>
          </cell>
          <cell r="D78" t="str">
            <v>旅費交通費</v>
          </cell>
          <cell r="E78" t="str">
            <v>Chi phí di chuyển</v>
          </cell>
          <cell r="F78" t="str">
            <v>5005116291</v>
          </cell>
          <cell r="G78"/>
          <cell r="H78"/>
        </row>
        <row r="79">
          <cell r="A79">
            <v>5005116292</v>
          </cell>
          <cell r="B79" t="str">
            <v>海外渡航費（製）</v>
          </cell>
          <cell r="C79" t="str">
            <v>Chi phí bằng tiền khác</v>
          </cell>
          <cell r="D79" t="str">
            <v>渡航費</v>
          </cell>
          <cell r="E79" t="str">
            <v>Chi phí di chuyển(nước ngoài)</v>
          </cell>
          <cell r="F79" t="str">
            <v>5005116292</v>
          </cell>
          <cell r="G79"/>
          <cell r="H79"/>
        </row>
        <row r="80">
          <cell r="A80">
            <v>5005136291</v>
          </cell>
          <cell r="B80" t="str">
            <v>郵送代（製）</v>
          </cell>
          <cell r="C80" t="str">
            <v>Chi phí bằng tiền khác</v>
          </cell>
          <cell r="D80" t="str">
            <v>通信費</v>
          </cell>
          <cell r="E80" t="str">
            <v>Chi phí điện thoại</v>
          </cell>
          <cell r="F80" t="str">
            <v>5005136291</v>
          </cell>
          <cell r="G80"/>
          <cell r="H80"/>
        </row>
        <row r="81">
          <cell r="A81">
            <v>5005166291</v>
          </cell>
          <cell r="B81" t="str">
            <v>接待交際費（製）</v>
          </cell>
          <cell r="C81" t="str">
            <v>Chi phí bằng tiền khác</v>
          </cell>
          <cell r="D81" t="str">
            <v>接待交際費</v>
          </cell>
          <cell r="E81" t="str">
            <v>Chi phí tiếp khách</v>
          </cell>
          <cell r="F81" t="str">
            <v>5005166291</v>
          </cell>
          <cell r="G81"/>
          <cell r="H81"/>
        </row>
        <row r="82">
          <cell r="A82">
            <v>5005186292</v>
          </cell>
          <cell r="B82" t="str">
            <v>その他税金（製）</v>
          </cell>
          <cell r="C82" t="str">
            <v>Chi phí bằng tiền khác</v>
          </cell>
          <cell r="D82" t="str">
            <v>公租公課</v>
          </cell>
          <cell r="E82" t="str">
            <v>Thuế,phí công cộng</v>
          </cell>
          <cell r="F82" t="str">
            <v>5005186292</v>
          </cell>
          <cell r="G82"/>
          <cell r="H82"/>
        </row>
        <row r="83">
          <cell r="A83">
            <v>5005196373</v>
          </cell>
          <cell r="B83" t="str">
            <v>試験研究用材料費</v>
          </cell>
          <cell r="C83" t="str">
            <v>Chi phí dụng cụ sản xuất</v>
          </cell>
          <cell r="D83" t="str">
            <v>試験研究費</v>
          </cell>
          <cell r="E83" t="str">
            <v>Chi phí thử nghiệm,nghiên cứu</v>
          </cell>
          <cell r="F83" t="str">
            <v>5005196373</v>
          </cell>
          <cell r="G83">
            <v>5005196373</v>
          </cell>
          <cell r="H83">
            <v>5005196373</v>
          </cell>
        </row>
        <row r="84">
          <cell r="A84">
            <v>5005196277</v>
          </cell>
          <cell r="B84" t="str">
            <v>試験研究用役務費</v>
          </cell>
          <cell r="C84" t="str">
            <v>Chi phi dịch vụ mua ngoài</v>
          </cell>
          <cell r="D84" t="str">
            <v>試験研究費</v>
          </cell>
          <cell r="E84" t="str">
            <v>Chi phí thử nghiệm,nghiên cứu</v>
          </cell>
          <cell r="F84" t="str">
            <v>5005196277</v>
          </cell>
          <cell r="G84">
            <v>5005196277</v>
          </cell>
          <cell r="H84">
            <v>5005196277</v>
          </cell>
        </row>
        <row r="85">
          <cell r="A85">
            <v>5005246291</v>
          </cell>
          <cell r="B85" t="str">
            <v>会議費（製）</v>
          </cell>
          <cell r="C85" t="str">
            <v>Chi phí bằng tiền khác</v>
          </cell>
          <cell r="D85" t="str">
            <v>会費及び会議費</v>
          </cell>
          <cell r="E85" t="str">
            <v>Chi phí cuộc họp</v>
          </cell>
          <cell r="F85" t="str">
            <v>5005246291</v>
          </cell>
          <cell r="G85"/>
          <cell r="H85"/>
        </row>
        <row r="86">
          <cell r="A86">
            <v>5005246292</v>
          </cell>
          <cell r="B86" t="str">
            <v>雑費（製）</v>
          </cell>
          <cell r="C86" t="str">
            <v>Chi phí bằng tiền khác</v>
          </cell>
          <cell r="D86" t="str">
            <v>雑費</v>
          </cell>
          <cell r="E86" t="str">
            <v>Các loại chi phí bằng tiền khác</v>
          </cell>
          <cell r="F86" t="str">
            <v>5005246292</v>
          </cell>
          <cell r="G86"/>
          <cell r="H86"/>
        </row>
        <row r="87">
          <cell r="A87">
            <v>5005246294</v>
          </cell>
          <cell r="B87" t="str">
            <v>開発費振替勘定（製）</v>
          </cell>
          <cell r="C87" t="str">
            <v>Chi phí bằng tiền khác</v>
          </cell>
          <cell r="D87" t="str">
            <v>雑費</v>
          </cell>
          <cell r="E87" t="str">
            <v>Các loại chi phí bằng tiền khác</v>
          </cell>
          <cell r="F87" t="str">
            <v>5005246294</v>
          </cell>
          <cell r="G87"/>
          <cell r="H87"/>
        </row>
        <row r="88">
          <cell r="A88">
            <v>5005256291</v>
          </cell>
          <cell r="B88" t="str">
            <v>棚卸減耗費（製）</v>
          </cell>
          <cell r="C88" t="str">
            <v>Chi phí bằng tiền khác</v>
          </cell>
          <cell r="D88" t="str">
            <v>棚卸減耗費</v>
          </cell>
          <cell r="E88" t="str">
            <v>Chi phí hao hụt sau kiểm kê</v>
          </cell>
          <cell r="F88" t="str">
            <v>5005256291</v>
          </cell>
          <cell r="G88"/>
          <cell r="H88"/>
        </row>
        <row r="89">
          <cell r="A89">
            <v>5101016174</v>
          </cell>
          <cell r="B89" t="str">
            <v>製商品仕入諸掛</v>
          </cell>
          <cell r="C89" t="str">
            <v>Giá vốn hàng bán</v>
          </cell>
          <cell r="D89" t="str">
            <v>仕入製商品費</v>
          </cell>
          <cell r="E89" t="str">
            <v>Chi phí bán hàng</v>
          </cell>
          <cell r="F89" t="str">
            <v>5101016174</v>
          </cell>
          <cell r="G89"/>
          <cell r="H89"/>
        </row>
        <row r="90">
          <cell r="A90">
            <v>5101016179</v>
          </cell>
          <cell r="B90" t="str">
            <v>製品品目外注加工費</v>
          </cell>
          <cell r="C90" t="str">
            <v>Giá vốn hàng bán</v>
          </cell>
          <cell r="D90" t="str">
            <v>外注加工費</v>
          </cell>
          <cell r="E90" t="str">
            <v>Chi phí gia công ngoài</v>
          </cell>
          <cell r="F90" t="str">
            <v>5101016179</v>
          </cell>
          <cell r="G90"/>
          <cell r="H90"/>
        </row>
        <row r="91">
          <cell r="A91">
            <v>5101016187</v>
          </cell>
          <cell r="B91" t="str">
            <v>製商品在庫廃棄損</v>
          </cell>
          <cell r="C91" t="str">
            <v>Giá vốn hàng bán</v>
          </cell>
          <cell r="D91" t="str">
            <v>雑損失</v>
          </cell>
          <cell r="E91" t="str">
            <v>Tổn thất,lỗ khác</v>
          </cell>
          <cell r="F91" t="str">
            <v>5101016187</v>
          </cell>
          <cell r="G91"/>
          <cell r="H91"/>
        </row>
        <row r="92">
          <cell r="A92">
            <v>5101016189</v>
          </cell>
          <cell r="B92" t="str">
            <v>金型製作収入</v>
          </cell>
          <cell r="C92" t="str">
            <v>Doanh thu bán thành phẩm</v>
          </cell>
          <cell r="D92" t="str">
            <v>雑収入</v>
          </cell>
          <cell r="E92" t="str">
            <v>Thu nhập khác</v>
          </cell>
          <cell r="F92" t="str">
            <v>5101016189</v>
          </cell>
          <cell r="G92"/>
          <cell r="H92"/>
        </row>
        <row r="93">
          <cell r="A93">
            <v>6004046511</v>
          </cell>
          <cell r="B93" t="str">
            <v>雑給（販売）</v>
          </cell>
          <cell r="C93" t="str">
            <v>Chi phí nhân viên</v>
          </cell>
          <cell r="D93" t="str">
            <v>雑給</v>
          </cell>
          <cell r="E93" t="str">
            <v>Chi phí nhân công trực tiếp</v>
          </cell>
          <cell r="F93"/>
          <cell r="G93"/>
          <cell r="H93">
            <v>6004046511</v>
          </cell>
        </row>
        <row r="94">
          <cell r="A94">
            <v>6003036412</v>
          </cell>
          <cell r="B94" t="str">
            <v>梱包材料費（販売）</v>
          </cell>
          <cell r="C94" t="str">
            <v>Chi phí vật liệu bao bì</v>
          </cell>
          <cell r="D94" t="str">
            <v>荷造用品費</v>
          </cell>
          <cell r="E94" t="str">
            <v>Chi phí NVL dùng đóng gói hàng</v>
          </cell>
          <cell r="F94"/>
          <cell r="G94"/>
          <cell r="H94">
            <v>6003036412</v>
          </cell>
        </row>
        <row r="95">
          <cell r="A95">
            <v>6005016413</v>
          </cell>
          <cell r="B95" t="str">
            <v>消耗品費（販売）</v>
          </cell>
          <cell r="C95" t="str">
            <v>Chi phí dụng cụ đồ dùng</v>
          </cell>
          <cell r="D95" t="str">
            <v>消耗品費</v>
          </cell>
          <cell r="E95" t="str">
            <v>Chi phí hàng hóa tiêu hao</v>
          </cell>
          <cell r="F95"/>
          <cell r="G95"/>
          <cell r="H95">
            <v>6005016413</v>
          </cell>
        </row>
        <row r="96">
          <cell r="A96">
            <v>6005016414</v>
          </cell>
          <cell r="B96" t="str">
            <v>消耗備品費（販売）</v>
          </cell>
          <cell r="C96" t="str">
            <v>Chi phí dụng cụ đồ dùng</v>
          </cell>
          <cell r="D96" t="str">
            <v>消耗工具器具備品費</v>
          </cell>
          <cell r="E96" t="str">
            <v>Chi phí sử dụng công cụ,đồ đạc</v>
          </cell>
          <cell r="F96"/>
          <cell r="G96">
            <v>6005016414</v>
          </cell>
          <cell r="H96">
            <v>6005016414</v>
          </cell>
        </row>
        <row r="97">
          <cell r="A97">
            <v>6006016521</v>
          </cell>
          <cell r="B97" t="str">
            <v>減価償却費（販）　建物</v>
          </cell>
          <cell r="C97" t="str">
            <v>Chi phí khấu hao TSCĐ</v>
          </cell>
          <cell r="D97" t="str">
            <v>減価償却費</v>
          </cell>
          <cell r="E97" t="str">
            <v>Chi phí khấu hao</v>
          </cell>
          <cell r="F97"/>
          <cell r="G97"/>
          <cell r="H97">
            <v>6006016521</v>
          </cell>
        </row>
        <row r="98">
          <cell r="A98">
            <v>6006016522</v>
          </cell>
          <cell r="B98" t="str">
            <v>減価償却費（販）　機械装置</v>
          </cell>
          <cell r="C98" t="str">
            <v>Chi phí khấu hao TSCĐ</v>
          </cell>
          <cell r="D98" t="str">
            <v>減価償却費</v>
          </cell>
          <cell r="E98" t="str">
            <v>Chi phí khấu hao</v>
          </cell>
          <cell r="F98"/>
          <cell r="G98"/>
          <cell r="H98">
            <v>6006016522</v>
          </cell>
        </row>
        <row r="99">
          <cell r="A99">
            <v>6006016523</v>
          </cell>
          <cell r="B99" t="str">
            <v>減価償却費（販）　車輌運搬具</v>
          </cell>
          <cell r="C99" t="str">
            <v>Chi phí khấu hao TSCĐ</v>
          </cell>
          <cell r="D99" t="str">
            <v>減価償却費</v>
          </cell>
          <cell r="E99" t="str">
            <v>Chi phí khấu hao</v>
          </cell>
          <cell r="F99"/>
          <cell r="G99"/>
          <cell r="H99">
            <v>6006016523</v>
          </cell>
        </row>
        <row r="100">
          <cell r="A100">
            <v>6006016524</v>
          </cell>
          <cell r="B100" t="str">
            <v>減価償却費（販）　工具器具備品</v>
          </cell>
          <cell r="C100" t="str">
            <v>Chi phí khấu hao TSCĐ</v>
          </cell>
          <cell r="D100" t="str">
            <v>減価償却費</v>
          </cell>
          <cell r="E100" t="str">
            <v>Chi phí khấu hao</v>
          </cell>
          <cell r="F100"/>
          <cell r="G100"/>
          <cell r="H100">
            <v>6006016524</v>
          </cell>
        </row>
        <row r="101">
          <cell r="A101">
            <v>6006016525</v>
          </cell>
          <cell r="B101" t="str">
            <v>減価償却費（販）　構築物</v>
          </cell>
          <cell r="C101" t="str">
            <v>Chi phí khấu hao TSCĐ</v>
          </cell>
          <cell r="D101" t="str">
            <v>減価償却費</v>
          </cell>
          <cell r="E101" t="str">
            <v>Chi phí khấu hao</v>
          </cell>
          <cell r="F101"/>
          <cell r="G101"/>
          <cell r="H101">
            <v>6006016525</v>
          </cell>
        </row>
        <row r="102">
          <cell r="A102">
            <v>6006016526</v>
          </cell>
          <cell r="B102" t="str">
            <v>減価償却費（販）　その他有形固定資産</v>
          </cell>
          <cell r="C102" t="str">
            <v>Chi phí khấu hao TSCĐ</v>
          </cell>
          <cell r="D102" t="str">
            <v>減価償却費</v>
          </cell>
          <cell r="E102" t="str">
            <v>Chi phí khấu hao</v>
          </cell>
          <cell r="F102"/>
          <cell r="G102"/>
          <cell r="H102">
            <v>6006016526</v>
          </cell>
        </row>
        <row r="103">
          <cell r="A103">
            <v>6006016527</v>
          </cell>
          <cell r="B103" t="str">
            <v>減価償却費（販）　リース建物</v>
          </cell>
          <cell r="C103" t="str">
            <v>Chi phí khấu hao TSCĐ</v>
          </cell>
          <cell r="D103" t="str">
            <v>減価償却費</v>
          </cell>
          <cell r="E103" t="str">
            <v>Chi phí khấu hao</v>
          </cell>
          <cell r="F103"/>
          <cell r="G103"/>
          <cell r="H103">
            <v>6006016527</v>
          </cell>
        </row>
        <row r="104">
          <cell r="A104">
            <v>6006016528</v>
          </cell>
          <cell r="B104" t="str">
            <v>減価償却費（販）　リース機械装置</v>
          </cell>
          <cell r="C104" t="str">
            <v>Chi phí khấu hao TSCĐ</v>
          </cell>
          <cell r="D104" t="str">
            <v>減価償却費</v>
          </cell>
          <cell r="E104" t="str">
            <v>Chi phí khấu hao</v>
          </cell>
          <cell r="F104"/>
          <cell r="G104"/>
          <cell r="H104">
            <v>6006016528</v>
          </cell>
        </row>
        <row r="105">
          <cell r="A105">
            <v>6006016529</v>
          </cell>
          <cell r="B105" t="str">
            <v>減価償却費（販）　リース車輌運搬具</v>
          </cell>
          <cell r="C105" t="str">
            <v>Chi phí khấu hao TSCĐ</v>
          </cell>
          <cell r="D105" t="str">
            <v>減価償却費</v>
          </cell>
          <cell r="E105" t="str">
            <v>Chi phí khấu hao</v>
          </cell>
          <cell r="F105"/>
          <cell r="G105"/>
          <cell r="H105">
            <v>6006016529</v>
          </cell>
        </row>
        <row r="106">
          <cell r="A106">
            <v>6006016530</v>
          </cell>
          <cell r="B106" t="str">
            <v>減価償却費（販）　リース工具器具備品</v>
          </cell>
          <cell r="C106" t="str">
            <v>Chi phí khấu hao TSCĐ</v>
          </cell>
          <cell r="D106" t="str">
            <v>減価償却費</v>
          </cell>
          <cell r="E106" t="str">
            <v>Chi phí khấu hao</v>
          </cell>
          <cell r="F106"/>
          <cell r="G106"/>
          <cell r="H106">
            <v>6006016530</v>
          </cell>
        </row>
        <row r="107">
          <cell r="A107">
            <v>6006016531</v>
          </cell>
          <cell r="B107" t="str">
            <v>減価償却費（販）　リース構築物</v>
          </cell>
          <cell r="C107" t="str">
            <v>Chi phí khấu hao TSCĐ</v>
          </cell>
          <cell r="D107" t="str">
            <v>減価償却費</v>
          </cell>
          <cell r="E107" t="str">
            <v>Chi phí khấu hao</v>
          </cell>
          <cell r="F107"/>
          <cell r="G107"/>
          <cell r="H107">
            <v>6006016531</v>
          </cell>
        </row>
        <row r="108">
          <cell r="A108">
            <v>6006016532</v>
          </cell>
          <cell r="B108" t="str">
            <v>減価償却費（販）　土地使用権</v>
          </cell>
          <cell r="C108" t="str">
            <v>Chi phí khấu hao TSCĐ</v>
          </cell>
          <cell r="D108" t="str">
            <v>減価償却費</v>
          </cell>
          <cell r="E108" t="str">
            <v>Chi phí khấu hao</v>
          </cell>
          <cell r="F108"/>
          <cell r="G108"/>
          <cell r="H108">
            <v>6006016532</v>
          </cell>
        </row>
        <row r="109">
          <cell r="A109">
            <v>6006016533</v>
          </cell>
          <cell r="B109" t="str">
            <v>減価償却費（販）　出版著作権</v>
          </cell>
          <cell r="C109" t="str">
            <v>Chi phí khấu hao TSCĐ</v>
          </cell>
          <cell r="D109" t="str">
            <v>減価償却費</v>
          </cell>
          <cell r="E109" t="str">
            <v>Chi phí khấu hao</v>
          </cell>
          <cell r="F109"/>
          <cell r="G109"/>
          <cell r="H109">
            <v>6006016533</v>
          </cell>
        </row>
        <row r="110">
          <cell r="A110">
            <v>6006016534</v>
          </cell>
          <cell r="B110" t="str">
            <v>減価償却費（販）　特許権</v>
          </cell>
          <cell r="C110" t="str">
            <v>Chi phí khấu hao TSCĐ</v>
          </cell>
          <cell r="D110" t="str">
            <v>減価償却費</v>
          </cell>
          <cell r="E110" t="str">
            <v>Chi phí khấu hao</v>
          </cell>
          <cell r="F110"/>
          <cell r="G110"/>
          <cell r="H110">
            <v>6006016534</v>
          </cell>
        </row>
        <row r="111">
          <cell r="A111">
            <v>6006016535</v>
          </cell>
          <cell r="B111" t="str">
            <v>減価償却費（販）　商標権</v>
          </cell>
          <cell r="C111" t="str">
            <v>Chi phí khấu hao TSCĐ</v>
          </cell>
          <cell r="D111" t="str">
            <v>減価償却費</v>
          </cell>
          <cell r="E111" t="str">
            <v>Chi phí khấu hao</v>
          </cell>
          <cell r="F111"/>
          <cell r="G111"/>
          <cell r="H111">
            <v>6006016535</v>
          </cell>
        </row>
        <row r="112">
          <cell r="A112">
            <v>6006016536</v>
          </cell>
          <cell r="B112" t="str">
            <v>減価償却費（販）　ソフトウェア</v>
          </cell>
          <cell r="C112" t="str">
            <v>Chi phí khấu hao TSCĐ</v>
          </cell>
          <cell r="D112" t="str">
            <v>減価償却費</v>
          </cell>
          <cell r="E112" t="str">
            <v>Chi phí khấu hao</v>
          </cell>
          <cell r="F112"/>
          <cell r="G112"/>
          <cell r="H112">
            <v>6006016536</v>
          </cell>
        </row>
        <row r="113">
          <cell r="A113">
            <v>6006016537</v>
          </cell>
          <cell r="B113" t="str">
            <v>減価償却費（販）　営業権</v>
          </cell>
          <cell r="C113" t="str">
            <v>Chi phí khấu hao TSCĐ</v>
          </cell>
          <cell r="D113" t="str">
            <v>減価償却費</v>
          </cell>
          <cell r="E113" t="str">
            <v>Chi phí khấu hao</v>
          </cell>
          <cell r="F113"/>
          <cell r="G113"/>
          <cell r="H113">
            <v>6006016537</v>
          </cell>
        </row>
        <row r="114">
          <cell r="A114">
            <v>6006016538</v>
          </cell>
          <cell r="B114" t="str">
            <v>減価償却費（販）　その他無形固定資産</v>
          </cell>
          <cell r="C114" t="str">
            <v>Chi phí khấu hao TSCĐ</v>
          </cell>
          <cell r="D114" t="str">
            <v>減価償却費</v>
          </cell>
          <cell r="E114" t="str">
            <v>Chi phí khấu hao</v>
          </cell>
          <cell r="F114"/>
          <cell r="G114"/>
          <cell r="H114">
            <v>6006016538</v>
          </cell>
        </row>
        <row r="115">
          <cell r="A115">
            <v>6006016539</v>
          </cell>
          <cell r="B115" t="str">
            <v>減価償却費配賦（販）　建物</v>
          </cell>
          <cell r="C115" t="str">
            <v>Chi phí khấu hao TSCĐ</v>
          </cell>
          <cell r="D115" t="str">
            <v>減価償却費</v>
          </cell>
          <cell r="E115" t="str">
            <v>Chi phí khấu hao</v>
          </cell>
          <cell r="F115"/>
          <cell r="G115"/>
          <cell r="H115">
            <v>6006016539</v>
          </cell>
        </row>
        <row r="116">
          <cell r="A116">
            <v>6006016540</v>
          </cell>
          <cell r="B116" t="str">
            <v>減価償却費配賦（販）　土地使用権</v>
          </cell>
          <cell r="C116" t="str">
            <v>Chi phí khấu hao TSCĐ</v>
          </cell>
          <cell r="D116" t="str">
            <v>減価償却費</v>
          </cell>
          <cell r="E116" t="str">
            <v>Chi phí khấu hao</v>
          </cell>
          <cell r="F116"/>
          <cell r="G116"/>
          <cell r="H116">
            <v>6006016540</v>
          </cell>
        </row>
        <row r="117">
          <cell r="A117">
            <v>6005046541</v>
          </cell>
          <cell r="B117" t="str">
            <v>その他修繕費（販売）</v>
          </cell>
          <cell r="C117" t="str">
            <v>Chi phí bảo hành</v>
          </cell>
          <cell r="D117" t="str">
            <v>修繕費</v>
          </cell>
          <cell r="E117" t="str">
            <v>Chi phí sửa chữa</v>
          </cell>
          <cell r="F117"/>
          <cell r="G117"/>
          <cell r="H117">
            <v>6005046541</v>
          </cell>
        </row>
        <row r="118">
          <cell r="A118">
            <v>6005046542</v>
          </cell>
          <cell r="B118" t="str">
            <v>年間保守料（販売）</v>
          </cell>
          <cell r="C118" t="str">
            <v>Chi phí bảo hành</v>
          </cell>
          <cell r="D118" t="str">
            <v>修繕費</v>
          </cell>
          <cell r="E118" t="str">
            <v>Chi phí sửa chữa</v>
          </cell>
          <cell r="F118"/>
          <cell r="G118"/>
          <cell r="H118">
            <v>6005046542</v>
          </cell>
        </row>
        <row r="119">
          <cell r="A119">
            <v>6003016541</v>
          </cell>
          <cell r="B119" t="str">
            <v>販売手数料（販売）</v>
          </cell>
          <cell r="C119" t="str">
            <v>Chi phí dịch vụ mua ngòai</v>
          </cell>
          <cell r="D119" t="str">
            <v>手数料</v>
          </cell>
          <cell r="E119" t="str">
            <v>Tiền dịch vụ,tiền lệ phí</v>
          </cell>
          <cell r="F119"/>
          <cell r="G119"/>
          <cell r="H119">
            <v>6003016541</v>
          </cell>
        </row>
        <row r="120">
          <cell r="A120">
            <v>6003026541</v>
          </cell>
          <cell r="B120" t="str">
            <v>販売促進費（販売）</v>
          </cell>
          <cell r="C120" t="str">
            <v>Chi phí dịch vụ mua ngòai</v>
          </cell>
          <cell r="D120" t="str">
            <v>雑費</v>
          </cell>
          <cell r="E120" t="str">
            <v>Các loại chi phí bằng tiền khác</v>
          </cell>
          <cell r="F120"/>
          <cell r="G120"/>
          <cell r="H120">
            <v>6003026541</v>
          </cell>
        </row>
        <row r="121">
          <cell r="A121">
            <v>6003036541</v>
          </cell>
          <cell r="B121" t="str">
            <v>通関申告料（販売）</v>
          </cell>
          <cell r="C121" t="str">
            <v>Chi phí dịch vụ mua ngòai</v>
          </cell>
          <cell r="D121" t="str">
            <v>荷造運賃</v>
          </cell>
          <cell r="E121" t="str">
            <v>Chi phí vận chuyển hàng hóa</v>
          </cell>
          <cell r="F121"/>
          <cell r="G121"/>
          <cell r="H121">
            <v>6003036541</v>
          </cell>
        </row>
        <row r="122">
          <cell r="A122">
            <v>6003036542</v>
          </cell>
          <cell r="B122" t="str">
            <v>クーリエ費用（販売）</v>
          </cell>
          <cell r="C122" t="str">
            <v>Chi phí dịch vụ mua ngòai</v>
          </cell>
          <cell r="D122" t="str">
            <v>荷造運賃</v>
          </cell>
          <cell r="E122" t="str">
            <v>Chi phí vận chuyển hàng hóa</v>
          </cell>
          <cell r="F122"/>
          <cell r="G122"/>
          <cell r="H122">
            <v>6003036542</v>
          </cell>
        </row>
        <row r="123">
          <cell r="A123">
            <v>6003036543</v>
          </cell>
          <cell r="B123" t="str">
            <v>輸出航空運賃（販売）</v>
          </cell>
          <cell r="C123" t="str">
            <v>Chi phí dịch vụ mua ngòai</v>
          </cell>
          <cell r="D123" t="str">
            <v>荷造運賃</v>
          </cell>
          <cell r="E123" t="str">
            <v>Chi phí vận chuyển hàng hóa</v>
          </cell>
          <cell r="F123" t="str">
            <v>6003036543</v>
          </cell>
          <cell r="G123"/>
          <cell r="H123">
            <v>6003036543</v>
          </cell>
        </row>
        <row r="124">
          <cell r="A124">
            <v>6003036544</v>
          </cell>
          <cell r="B124" t="str">
            <v>輸出海上運賃（販売）</v>
          </cell>
          <cell r="C124" t="str">
            <v>Chi phí dịch vụ mua ngòai</v>
          </cell>
          <cell r="D124" t="str">
            <v>荷造運賃</v>
          </cell>
          <cell r="E124" t="str">
            <v>Chi phí vận chuyển hàng hóa</v>
          </cell>
          <cell r="F124" t="str">
            <v>6003036544</v>
          </cell>
          <cell r="G124">
            <v>6003036544</v>
          </cell>
          <cell r="H124">
            <v>6003036544</v>
          </cell>
        </row>
        <row r="125">
          <cell r="A125">
            <v>6003036545</v>
          </cell>
          <cell r="B125" t="str">
            <v>保管延長費（販売）</v>
          </cell>
          <cell r="C125" t="str">
            <v>Chi phí dịch vụ mua ngòai</v>
          </cell>
          <cell r="D125" t="str">
            <v>荷造運賃</v>
          </cell>
          <cell r="E125" t="str">
            <v>Chi phí vận chuyển hàng hóa</v>
          </cell>
          <cell r="F125"/>
          <cell r="G125"/>
          <cell r="H125">
            <v>6003036545</v>
          </cell>
        </row>
        <row r="126">
          <cell r="A126">
            <v>6003036546</v>
          </cell>
          <cell r="B126" t="str">
            <v>物流保険料（販売）</v>
          </cell>
          <cell r="C126" t="str">
            <v>Chi phí dịch vụ mua ngòai</v>
          </cell>
          <cell r="D126" t="str">
            <v>荷造運賃</v>
          </cell>
          <cell r="E126" t="str">
            <v>Chi phí vận chuyển hàng hóa</v>
          </cell>
          <cell r="F126"/>
          <cell r="G126"/>
          <cell r="H126">
            <v>6003036546</v>
          </cell>
        </row>
        <row r="127">
          <cell r="A127">
            <v>6003036547</v>
          </cell>
          <cell r="B127" t="str">
            <v>梱包費用（販売）</v>
          </cell>
          <cell r="C127" t="str">
            <v>Chi phí dịch vụ mua ngòai</v>
          </cell>
          <cell r="D127" t="str">
            <v>荷造運賃</v>
          </cell>
          <cell r="E127" t="str">
            <v>Chi phí vận chuyển hàng hóa</v>
          </cell>
          <cell r="F127"/>
          <cell r="G127"/>
          <cell r="H127">
            <v>6003036547</v>
          </cell>
        </row>
        <row r="128">
          <cell r="A128">
            <v>6003036548</v>
          </cell>
          <cell r="B128" t="str">
            <v>返品手数料（販売）</v>
          </cell>
          <cell r="C128" t="str">
            <v>Chi phí dịch vụ mua ngòai</v>
          </cell>
          <cell r="D128" t="str">
            <v>荷造運賃</v>
          </cell>
          <cell r="E128" t="str">
            <v>Chi phí vận chuyển hàng hóa</v>
          </cell>
          <cell r="F128"/>
          <cell r="G128"/>
          <cell r="H128">
            <v>6003036548</v>
          </cell>
        </row>
        <row r="129">
          <cell r="A129">
            <v>6003036549</v>
          </cell>
          <cell r="B129" t="str">
            <v>保管料（販売）</v>
          </cell>
          <cell r="C129" t="str">
            <v>Chi phí dịch vụ mua ngòai</v>
          </cell>
          <cell r="D129" t="str">
            <v>荷造運賃</v>
          </cell>
          <cell r="E129" t="str">
            <v>Chi phí vận chuyển hàng hóa</v>
          </cell>
          <cell r="F129"/>
          <cell r="G129"/>
          <cell r="H129">
            <v>6003036549</v>
          </cell>
        </row>
        <row r="130">
          <cell r="A130">
            <v>6003036550</v>
          </cell>
          <cell r="B130" t="str">
            <v>オーバーナイト費（販売）</v>
          </cell>
          <cell r="C130" t="str">
            <v>Chi phí dịch vụ mua ngòai</v>
          </cell>
          <cell r="D130" t="str">
            <v>荷造運賃</v>
          </cell>
          <cell r="E130" t="str">
            <v>Chi phí vận chuyển hàng hóa</v>
          </cell>
          <cell r="F130"/>
          <cell r="G130"/>
          <cell r="H130">
            <v>6003036550</v>
          </cell>
        </row>
        <row r="131">
          <cell r="A131">
            <v>6003036551</v>
          </cell>
          <cell r="B131" t="str">
            <v>バンニング費（販売）</v>
          </cell>
          <cell r="C131" t="str">
            <v>Chi phí dịch vụ mua ngòai</v>
          </cell>
          <cell r="D131" t="str">
            <v>荷造運賃</v>
          </cell>
          <cell r="E131" t="str">
            <v>Chi phí vận chuyển hàng hóa</v>
          </cell>
          <cell r="F131"/>
          <cell r="G131"/>
          <cell r="H131">
            <v>6003036551</v>
          </cell>
        </row>
        <row r="132">
          <cell r="A132">
            <v>6003036552</v>
          </cell>
          <cell r="B132" t="str">
            <v>その他物流費（販売）</v>
          </cell>
          <cell r="C132" t="str">
            <v>Chi phí dịch vụ mua ngòai</v>
          </cell>
          <cell r="D132" t="str">
            <v>荷造運賃</v>
          </cell>
          <cell r="E132" t="str">
            <v>Chi phí vận chuyển hàng hóa</v>
          </cell>
          <cell r="F132" t="str">
            <v>6003036552</v>
          </cell>
          <cell r="G132"/>
          <cell r="H132">
            <v>6003036552</v>
          </cell>
        </row>
        <row r="133">
          <cell r="A133">
            <v>6003036554</v>
          </cell>
          <cell r="B133" t="str">
            <v>外部倉庫　取扱手数料（販売）</v>
          </cell>
          <cell r="C133" t="str">
            <v>Chi phí dịch vụ mua ngòai</v>
          </cell>
          <cell r="D133" t="str">
            <v>荷造運賃</v>
          </cell>
          <cell r="E133" t="str">
            <v>Chi phí vận chuyển hàng hóa</v>
          </cell>
          <cell r="F133" t="str">
            <v>6003036554</v>
          </cell>
          <cell r="G133">
            <v>6003036554</v>
          </cell>
          <cell r="H133">
            <v>6003036554</v>
          </cell>
        </row>
        <row r="134">
          <cell r="A134">
            <v>6003036555</v>
          </cell>
          <cell r="B134" t="str">
            <v>外部倉庫　保管料（販売）</v>
          </cell>
          <cell r="C134" t="str">
            <v>Chi phí dịch vụ mua ngòai</v>
          </cell>
          <cell r="D134" t="str">
            <v>荷造運賃</v>
          </cell>
          <cell r="E134" t="str">
            <v>Chi phí vận chuyển hàng hóa</v>
          </cell>
          <cell r="F134" t="str">
            <v>6003036555</v>
          </cell>
          <cell r="G134">
            <v>6003036555</v>
          </cell>
          <cell r="H134">
            <v>6003036555</v>
          </cell>
        </row>
        <row r="135">
          <cell r="A135">
            <v>6003036556</v>
          </cell>
          <cell r="B135" t="str">
            <v>外部倉庫　輸送料（販売）</v>
          </cell>
          <cell r="C135" t="str">
            <v>Chi phí dịch vụ mua ngòai</v>
          </cell>
          <cell r="D135" t="str">
            <v>荷造運賃</v>
          </cell>
          <cell r="E135" t="str">
            <v>Chi phí vận chuyển hàng hóa</v>
          </cell>
          <cell r="F135" t="str">
            <v>6003036556</v>
          </cell>
          <cell r="G135">
            <v>6003036556</v>
          </cell>
          <cell r="H135">
            <v>6003036556</v>
          </cell>
        </row>
        <row r="136">
          <cell r="A136">
            <v>6003036557</v>
          </cell>
          <cell r="B136" t="str">
            <v>外部物流業者　取扱手数料（販売）</v>
          </cell>
          <cell r="C136" t="str">
            <v>Chi phí dịch vụ mua ngòai</v>
          </cell>
          <cell r="D136" t="str">
            <v>荷造運賃</v>
          </cell>
          <cell r="E136" t="str">
            <v>Chi phí vận chuyển hàng hóa</v>
          </cell>
          <cell r="F136" t="str">
            <v>6003036557</v>
          </cell>
          <cell r="G136">
            <v>6003036557</v>
          </cell>
          <cell r="H136">
            <v>6003036557</v>
          </cell>
        </row>
        <row r="137">
          <cell r="A137">
            <v>6004096541</v>
          </cell>
          <cell r="B137" t="str">
            <v>求人費（販売）</v>
          </cell>
          <cell r="C137" t="str">
            <v>Chi phí dịch vụ mua ngòai</v>
          </cell>
          <cell r="D137" t="str">
            <v>募集教育費</v>
          </cell>
          <cell r="E137" t="str">
            <v>Chi phí tuyển dụng,đào tạo</v>
          </cell>
          <cell r="F137"/>
          <cell r="G137"/>
          <cell r="H137">
            <v>6004096541</v>
          </cell>
        </row>
        <row r="138">
          <cell r="A138">
            <v>6005056541</v>
          </cell>
          <cell r="B138" t="str">
            <v>電気代（販売）</v>
          </cell>
          <cell r="C138" t="str">
            <v>Chi phí dịch vụ mua ngòai</v>
          </cell>
          <cell r="D138" t="str">
            <v>水道光熱費</v>
          </cell>
          <cell r="E138" t="str">
            <v>Chi phí Utilities(điện,nước..)</v>
          </cell>
          <cell r="F138"/>
          <cell r="G138"/>
          <cell r="H138">
            <v>6005056541</v>
          </cell>
        </row>
        <row r="139">
          <cell r="A139">
            <v>6005056542</v>
          </cell>
          <cell r="B139" t="str">
            <v>水道代（販売）</v>
          </cell>
          <cell r="C139" t="str">
            <v>Chi phí dịch vụ mua ngòai</v>
          </cell>
          <cell r="D139" t="str">
            <v>水道光熱費</v>
          </cell>
          <cell r="E139" t="str">
            <v>Chi phí Utilities(điện,nước..)</v>
          </cell>
          <cell r="F139"/>
          <cell r="G139"/>
          <cell r="H139">
            <v>6005056542</v>
          </cell>
        </row>
        <row r="140">
          <cell r="A140">
            <v>6005056543</v>
          </cell>
          <cell r="B140" t="str">
            <v>ガス代（販売）</v>
          </cell>
          <cell r="C140" t="str">
            <v>Chi phí dịch vụ mua ngòai</v>
          </cell>
          <cell r="D140" t="str">
            <v>水道光熱費</v>
          </cell>
          <cell r="E140" t="str">
            <v>Chi phí Utilities(điện,nước..)</v>
          </cell>
          <cell r="F140"/>
          <cell r="G140"/>
          <cell r="H140">
            <v>6005056543</v>
          </cell>
        </row>
        <row r="141">
          <cell r="A141">
            <v>6005136541</v>
          </cell>
          <cell r="B141" t="str">
            <v>通信費（販売）</v>
          </cell>
          <cell r="C141" t="str">
            <v>Chi phí dịch vụ mua ngòai</v>
          </cell>
          <cell r="D141" t="str">
            <v>通信費</v>
          </cell>
          <cell r="E141" t="str">
            <v>Chi phí điện thoại</v>
          </cell>
          <cell r="F141"/>
          <cell r="G141"/>
          <cell r="H141">
            <v>6005136541</v>
          </cell>
        </row>
        <row r="142">
          <cell r="A142">
            <v>6005146541</v>
          </cell>
          <cell r="B142" t="str">
            <v>図書印刷費（販売）</v>
          </cell>
          <cell r="C142" t="str">
            <v>Chi phí dịch vụ mua ngòai</v>
          </cell>
          <cell r="D142" t="str">
            <v>図書及び事務費</v>
          </cell>
          <cell r="E142" t="str">
            <v>Chi phí văn phòng</v>
          </cell>
          <cell r="F142"/>
          <cell r="G142"/>
          <cell r="H142">
            <v>6005146541</v>
          </cell>
        </row>
        <row r="143">
          <cell r="A143">
            <v>6005146542</v>
          </cell>
          <cell r="B143" t="str">
            <v>ＫＤＣシステム使用料（販売）</v>
          </cell>
          <cell r="C143" t="str">
            <v>Chi phí dịch vụ mua ngòai</v>
          </cell>
          <cell r="D143" t="str">
            <v>図書及び事務費</v>
          </cell>
          <cell r="E143" t="str">
            <v>Chi phí văn phòng</v>
          </cell>
          <cell r="F143"/>
          <cell r="G143"/>
          <cell r="H143">
            <v>6005146542</v>
          </cell>
        </row>
        <row r="144">
          <cell r="A144">
            <v>6005146543</v>
          </cell>
          <cell r="B144" t="str">
            <v>ライセンス料（販売）</v>
          </cell>
          <cell r="C144" t="str">
            <v>Chi phí dịch vụ mua ngòai</v>
          </cell>
          <cell r="D144" t="str">
            <v>図書及び事務費</v>
          </cell>
          <cell r="E144" t="str">
            <v>Chi phí văn phòng</v>
          </cell>
          <cell r="F144"/>
          <cell r="G144"/>
          <cell r="H144">
            <v>6005146543</v>
          </cell>
        </row>
        <row r="145">
          <cell r="A145">
            <v>6005156541</v>
          </cell>
          <cell r="B145" t="str">
            <v>広告宣伝費（販売）</v>
          </cell>
          <cell r="C145" t="str">
            <v>Chi phí dịch vụ mua ngòai</v>
          </cell>
          <cell r="D145" t="str">
            <v>雑費</v>
          </cell>
          <cell r="E145" t="str">
            <v>Các loại chi phí bằng tiền khác</v>
          </cell>
          <cell r="F145"/>
          <cell r="G145"/>
          <cell r="H145">
            <v>6005156541</v>
          </cell>
        </row>
        <row r="146">
          <cell r="A146">
            <v>6005206541</v>
          </cell>
          <cell r="B146" t="str">
            <v>会費（販売）</v>
          </cell>
          <cell r="C146" t="str">
            <v>Chi phí dịch vụ mua ngòai</v>
          </cell>
          <cell r="D146" t="str">
            <v>会費及び会議費</v>
          </cell>
          <cell r="E146" t="str">
            <v>Chi phí cuộc họp</v>
          </cell>
          <cell r="F146"/>
          <cell r="G146"/>
          <cell r="H146">
            <v>6005206541</v>
          </cell>
        </row>
        <row r="147">
          <cell r="A147">
            <v>6005216541</v>
          </cell>
          <cell r="B147" t="str">
            <v>委嘱報酬・設計委託費（販売）</v>
          </cell>
          <cell r="C147" t="str">
            <v>Chi phí dịch vụ mua ngòai</v>
          </cell>
          <cell r="D147" t="str">
            <v>委嘱報酬</v>
          </cell>
          <cell r="E147" t="str">
            <v>Thù lao ủy thác,phí hoa hồng</v>
          </cell>
          <cell r="F147"/>
          <cell r="G147"/>
          <cell r="H147">
            <v>6005216541</v>
          </cell>
        </row>
        <row r="148">
          <cell r="A148">
            <v>6005226541</v>
          </cell>
          <cell r="B148" t="str">
            <v>保険料（販売）</v>
          </cell>
          <cell r="C148" t="str">
            <v>Chi phí dịch vụ mua ngòai</v>
          </cell>
          <cell r="D148" t="str">
            <v>保険料</v>
          </cell>
          <cell r="E148" t="str">
            <v>Chi phí bảo hiểm</v>
          </cell>
          <cell r="F148"/>
          <cell r="G148"/>
          <cell r="H148">
            <v>6005226541</v>
          </cell>
        </row>
        <row r="149">
          <cell r="A149">
            <v>6005236541</v>
          </cell>
          <cell r="B149" t="str">
            <v>事務所賃借料（販売）</v>
          </cell>
          <cell r="C149" t="str">
            <v>Chi phí dịch vụ mua ngòai</v>
          </cell>
          <cell r="D149" t="str">
            <v>賃借料</v>
          </cell>
          <cell r="E149" t="str">
            <v>Chi phí thuê</v>
          </cell>
          <cell r="F149"/>
          <cell r="G149"/>
          <cell r="H149">
            <v>6005236541</v>
          </cell>
        </row>
        <row r="150">
          <cell r="A150">
            <v>6005246541</v>
          </cell>
          <cell r="B150" t="str">
            <v>取扱手数料（販売）</v>
          </cell>
          <cell r="C150" t="str">
            <v>Chi phí dịch vụ mua ngòai</v>
          </cell>
          <cell r="D150" t="str">
            <v>手数料</v>
          </cell>
          <cell r="E150" t="str">
            <v>Tiền dịch vụ,tiền lệ phí</v>
          </cell>
          <cell r="F150"/>
          <cell r="G150"/>
          <cell r="H150">
            <v>6005246541</v>
          </cell>
        </row>
        <row r="151">
          <cell r="A151">
            <v>6005246542</v>
          </cell>
          <cell r="B151" t="str">
            <v>その他手数料</v>
          </cell>
          <cell r="C151" t="str">
            <v>Chi phí dịch vụ mua ngòai</v>
          </cell>
          <cell r="D151" t="str">
            <v>手数料</v>
          </cell>
          <cell r="E151" t="str">
            <v>Tiền dịch vụ,tiền lệ phí</v>
          </cell>
          <cell r="F151" t="str">
            <v>6005246542</v>
          </cell>
          <cell r="G151">
            <v>6005246542</v>
          </cell>
          <cell r="H151">
            <v>6005246542</v>
          </cell>
        </row>
        <row r="152">
          <cell r="A152">
            <v>6005246543</v>
          </cell>
          <cell r="B152" t="str">
            <v>ＫＤＣ手数料</v>
          </cell>
          <cell r="C152" t="str">
            <v>Chi phí dịch vụ mua ngòai</v>
          </cell>
          <cell r="D152" t="str">
            <v>手数料</v>
          </cell>
          <cell r="E152" t="str">
            <v>Tiền dịch vụ,tiền lệ phí</v>
          </cell>
          <cell r="F152" t="str">
            <v>6005246543</v>
          </cell>
          <cell r="G152">
            <v>6005246543</v>
          </cell>
          <cell r="H152">
            <v>6005246543</v>
          </cell>
        </row>
        <row r="153">
          <cell r="A153">
            <v>6005246544</v>
          </cell>
          <cell r="B153" t="str">
            <v>事務用品費（販売）</v>
          </cell>
          <cell r="C153" t="str">
            <v>Chi phí dịch vụ mua ngòai</v>
          </cell>
          <cell r="D153" t="str">
            <v>図書及び事務費</v>
          </cell>
          <cell r="E153" t="str">
            <v>Chi phí văn phòng</v>
          </cell>
          <cell r="F153"/>
          <cell r="G153"/>
          <cell r="H153">
            <v>6005246544</v>
          </cell>
        </row>
        <row r="154">
          <cell r="A154">
            <v>6004086551</v>
          </cell>
          <cell r="B154" t="str">
            <v>福利厚生費（販売）</v>
          </cell>
          <cell r="C154" t="str">
            <v>Chi phí bằng tiền khác</v>
          </cell>
          <cell r="D154" t="str">
            <v>福利厚生費</v>
          </cell>
          <cell r="E154" t="str">
            <v>Chi phí phúc lợi</v>
          </cell>
          <cell r="F154"/>
          <cell r="G154"/>
          <cell r="H154">
            <v>6004086551</v>
          </cell>
        </row>
        <row r="155">
          <cell r="A155">
            <v>6004086553</v>
          </cell>
          <cell r="B155" t="str">
            <v>教育訓練費（販売）</v>
          </cell>
          <cell r="C155" t="str">
            <v>Chi phí bằng tiền khác</v>
          </cell>
          <cell r="D155" t="str">
            <v>募集教育費</v>
          </cell>
          <cell r="E155" t="str">
            <v>Chi phí tuyển dụng,đào tạo</v>
          </cell>
          <cell r="F155"/>
          <cell r="G155"/>
          <cell r="H155">
            <v>6004086553</v>
          </cell>
        </row>
        <row r="156">
          <cell r="A156">
            <v>6005116551</v>
          </cell>
          <cell r="B156" t="str">
            <v>ベトナム国内交通費（販売）</v>
          </cell>
          <cell r="C156" t="str">
            <v>Chi phí bằng tiền khác</v>
          </cell>
          <cell r="D156" t="str">
            <v>旅費交通費</v>
          </cell>
          <cell r="E156" t="str">
            <v>Chi phí di chuyển</v>
          </cell>
          <cell r="F156"/>
          <cell r="G156"/>
          <cell r="H156">
            <v>6005116551</v>
          </cell>
        </row>
        <row r="157">
          <cell r="A157">
            <v>6005116552</v>
          </cell>
          <cell r="B157" t="str">
            <v>海外渡航費（販売）</v>
          </cell>
          <cell r="C157" t="str">
            <v>Chi phí bằng tiền khác</v>
          </cell>
          <cell r="D157" t="str">
            <v>渡航費</v>
          </cell>
          <cell r="E157" t="str">
            <v>Chi phí di chuyển(nước ngoài)</v>
          </cell>
          <cell r="F157"/>
          <cell r="G157"/>
          <cell r="H157">
            <v>6005116552</v>
          </cell>
        </row>
        <row r="158">
          <cell r="A158">
            <v>6005136551</v>
          </cell>
          <cell r="B158" t="str">
            <v>郵送代（販売）</v>
          </cell>
          <cell r="C158" t="str">
            <v>Chi phí bằng tiền khác</v>
          </cell>
          <cell r="D158" t="str">
            <v>通信費</v>
          </cell>
          <cell r="E158" t="str">
            <v>Chi phí điện thoại</v>
          </cell>
          <cell r="F158"/>
          <cell r="G158"/>
          <cell r="H158">
            <v>6005136551</v>
          </cell>
        </row>
        <row r="159">
          <cell r="A159">
            <v>6005166551</v>
          </cell>
          <cell r="B159" t="str">
            <v>接待交際費（販売）</v>
          </cell>
          <cell r="C159" t="str">
            <v>Chi phí bằng tiền khác</v>
          </cell>
          <cell r="D159" t="str">
            <v>接待交際費</v>
          </cell>
          <cell r="E159" t="str">
            <v>Chi phí tiếp khách</v>
          </cell>
          <cell r="F159"/>
          <cell r="G159"/>
          <cell r="H159">
            <v>6005166551</v>
          </cell>
        </row>
        <row r="160">
          <cell r="A160">
            <v>6005186552</v>
          </cell>
          <cell r="B160" t="str">
            <v>その他税金（販売）</v>
          </cell>
          <cell r="C160" t="str">
            <v>Chi phí bằng tiền khác</v>
          </cell>
          <cell r="D160" t="str">
            <v>公租公課</v>
          </cell>
          <cell r="E160" t="str">
            <v>Thuế,phí công cộng</v>
          </cell>
          <cell r="F160"/>
          <cell r="G160"/>
          <cell r="H160">
            <v>6005186552</v>
          </cell>
        </row>
        <row r="161">
          <cell r="A161">
            <v>6005246551</v>
          </cell>
          <cell r="B161" t="str">
            <v>会議費（販売）</v>
          </cell>
          <cell r="C161" t="str">
            <v>Chi phí bằng tiền khác</v>
          </cell>
          <cell r="D161" t="str">
            <v>会費及び会議費</v>
          </cell>
          <cell r="E161" t="str">
            <v>Chi phí cuộc họp</v>
          </cell>
          <cell r="F161"/>
          <cell r="G161"/>
          <cell r="H161">
            <v>6005246551</v>
          </cell>
        </row>
        <row r="162">
          <cell r="A162">
            <v>6005246552</v>
          </cell>
          <cell r="B162" t="str">
            <v>雑費（販売）</v>
          </cell>
          <cell r="C162" t="str">
            <v>Chi phí bằng tiền khác</v>
          </cell>
          <cell r="D162" t="str">
            <v>雑費</v>
          </cell>
          <cell r="E162" t="str">
            <v>Các loại chi phí bằng tiền khác</v>
          </cell>
          <cell r="F162"/>
          <cell r="G162"/>
          <cell r="H162">
            <v>6005246552</v>
          </cell>
        </row>
        <row r="163">
          <cell r="A163">
            <v>6005246553</v>
          </cell>
          <cell r="B163" t="str">
            <v>棚卸減耗費（販売）</v>
          </cell>
          <cell r="C163" t="str">
            <v>Chi phí bằng tiền khác</v>
          </cell>
          <cell r="D163" t="str">
            <v>棚卸減耗費</v>
          </cell>
          <cell r="E163" t="str">
            <v>Chi phí hao hụt sau kiểm kê</v>
          </cell>
          <cell r="F163"/>
          <cell r="G163"/>
          <cell r="H163">
            <v>6005246553</v>
          </cell>
        </row>
        <row r="164">
          <cell r="A164">
            <v>6004046421</v>
          </cell>
          <cell r="B164" t="str">
            <v>雑給（一般）</v>
          </cell>
          <cell r="C164" t="str">
            <v>Chi phí nhân viên quản lý</v>
          </cell>
          <cell r="D164" t="str">
            <v>雑給</v>
          </cell>
          <cell r="E164" t="str">
            <v>Chi phí nhân công trực tiếp</v>
          </cell>
          <cell r="F164"/>
          <cell r="G164">
            <v>6004046421</v>
          </cell>
          <cell r="H164"/>
        </row>
        <row r="165">
          <cell r="A165">
            <v>6005016422</v>
          </cell>
          <cell r="B165" t="str">
            <v>消耗品費（一般）</v>
          </cell>
          <cell r="C165" t="str">
            <v>Chi phí vật liệu quản lý</v>
          </cell>
          <cell r="D165" t="str">
            <v>消耗品費</v>
          </cell>
          <cell r="E165" t="str">
            <v>Chi phí hàng hóa tiêu hao</v>
          </cell>
          <cell r="F165"/>
          <cell r="G165">
            <v>6005016422</v>
          </cell>
          <cell r="H165"/>
        </row>
        <row r="166">
          <cell r="A166">
            <v>6005016423</v>
          </cell>
          <cell r="B166" t="str">
            <v>消耗備品費（一般）</v>
          </cell>
          <cell r="C166" t="str">
            <v>Chi phí vật liệu quản lý</v>
          </cell>
          <cell r="D166" t="str">
            <v>消耗工具器具備品費</v>
          </cell>
          <cell r="E166" t="str">
            <v>Chi phí sử dụng công cụ,đồ đạc</v>
          </cell>
          <cell r="F166"/>
          <cell r="G166">
            <v>6005016423</v>
          </cell>
          <cell r="H166">
            <v>6005016423</v>
          </cell>
        </row>
        <row r="167">
          <cell r="A167">
            <v>6005126423</v>
          </cell>
          <cell r="B167" t="str">
            <v>事務用品費（一般）</v>
          </cell>
          <cell r="C167" t="str">
            <v>Chi phí đồ dùng văn phòng</v>
          </cell>
          <cell r="D167" t="str">
            <v>図書及び事務費</v>
          </cell>
          <cell r="E167" t="str">
            <v>Chi phí văn phòng</v>
          </cell>
          <cell r="F167"/>
          <cell r="G167">
            <v>6005126423</v>
          </cell>
          <cell r="H167"/>
        </row>
        <row r="168">
          <cell r="A168">
            <v>6006016611</v>
          </cell>
          <cell r="B168" t="str">
            <v>減価償却費（一般）　建物</v>
          </cell>
          <cell r="C168" t="str">
            <v>Chi phí khấu hao TSCĐ</v>
          </cell>
          <cell r="D168" t="str">
            <v>減価償却費</v>
          </cell>
          <cell r="E168" t="str">
            <v>Chi phí khấu hao</v>
          </cell>
          <cell r="F168"/>
          <cell r="G168">
            <v>6006016611</v>
          </cell>
          <cell r="H168"/>
        </row>
        <row r="169">
          <cell r="A169">
            <v>6006016612</v>
          </cell>
          <cell r="B169" t="str">
            <v>減価償却費（一般）　車輌運搬具</v>
          </cell>
          <cell r="C169" t="str">
            <v>Chi phí khấu hao TSCĐ</v>
          </cell>
          <cell r="D169" t="str">
            <v>減価償却費</v>
          </cell>
          <cell r="E169" t="str">
            <v>Chi phí khấu hao</v>
          </cell>
          <cell r="F169"/>
          <cell r="G169">
            <v>6006016612</v>
          </cell>
          <cell r="H169"/>
        </row>
        <row r="170">
          <cell r="A170">
            <v>6006016613</v>
          </cell>
          <cell r="B170" t="str">
            <v>減価償却費（一般）　工具器具備品</v>
          </cell>
          <cell r="C170" t="str">
            <v>Chi phí khấu hao TSCĐ</v>
          </cell>
          <cell r="D170" t="str">
            <v>減価償却費</v>
          </cell>
          <cell r="E170" t="str">
            <v>Chi phí khấu hao</v>
          </cell>
          <cell r="F170"/>
          <cell r="G170">
            <v>6006016613</v>
          </cell>
          <cell r="H170"/>
        </row>
        <row r="171">
          <cell r="A171">
            <v>6006016614</v>
          </cell>
          <cell r="B171" t="str">
            <v>減価償却費（一般）　構築物</v>
          </cell>
          <cell r="C171" t="str">
            <v>Chi phí khấu hao TSCĐ</v>
          </cell>
          <cell r="D171" t="str">
            <v>減価償却費</v>
          </cell>
          <cell r="E171" t="str">
            <v>Chi phí khấu hao</v>
          </cell>
          <cell r="F171"/>
          <cell r="G171">
            <v>6006016614</v>
          </cell>
          <cell r="H171"/>
        </row>
        <row r="172">
          <cell r="A172">
            <v>6006016615</v>
          </cell>
          <cell r="B172" t="str">
            <v>減価償却費（一般）　その他有形固定資産</v>
          </cell>
          <cell r="C172" t="str">
            <v>Chi phí khấu hao TSCĐ</v>
          </cell>
          <cell r="D172" t="str">
            <v>減価償却費</v>
          </cell>
          <cell r="E172" t="str">
            <v>Chi phí khấu hao</v>
          </cell>
          <cell r="F172"/>
          <cell r="G172">
            <v>6006016615</v>
          </cell>
          <cell r="H172"/>
        </row>
        <row r="173">
          <cell r="A173">
            <v>6006016616</v>
          </cell>
          <cell r="B173" t="str">
            <v>減価償却費（一般）　リース建物</v>
          </cell>
          <cell r="C173" t="str">
            <v>Chi phí khấu hao TSCĐ</v>
          </cell>
          <cell r="D173" t="str">
            <v>減価償却費</v>
          </cell>
          <cell r="E173" t="str">
            <v>Chi phí khấu hao</v>
          </cell>
          <cell r="F173"/>
          <cell r="G173">
            <v>6006016616</v>
          </cell>
          <cell r="H173"/>
        </row>
        <row r="174">
          <cell r="A174">
            <v>6006016617</v>
          </cell>
          <cell r="B174" t="str">
            <v>減価償却費（一般）　リース車輌運搬具</v>
          </cell>
          <cell r="C174" t="str">
            <v>Chi phí khấu hao TSCĐ</v>
          </cell>
          <cell r="D174" t="str">
            <v>減価償却費</v>
          </cell>
          <cell r="E174" t="str">
            <v>Chi phí khấu hao</v>
          </cell>
          <cell r="F174"/>
          <cell r="G174">
            <v>6006016617</v>
          </cell>
          <cell r="H174"/>
        </row>
        <row r="175">
          <cell r="A175">
            <v>6006016618</v>
          </cell>
          <cell r="B175" t="str">
            <v>減価償却費（一般）　リース工具器具備品</v>
          </cell>
          <cell r="C175" t="str">
            <v>Chi phí khấu hao TSCĐ</v>
          </cell>
          <cell r="D175" t="str">
            <v>減価償却費</v>
          </cell>
          <cell r="E175" t="str">
            <v>Chi phí khấu hao</v>
          </cell>
          <cell r="F175"/>
          <cell r="G175">
            <v>6006016618</v>
          </cell>
          <cell r="H175"/>
        </row>
        <row r="176">
          <cell r="A176">
            <v>6006016619</v>
          </cell>
          <cell r="B176" t="str">
            <v>減価償却費（一般）　リース構築物</v>
          </cell>
          <cell r="C176" t="str">
            <v>Chi phí khấu hao TSCĐ</v>
          </cell>
          <cell r="D176" t="str">
            <v>減価償却費</v>
          </cell>
          <cell r="E176" t="str">
            <v>Chi phí khấu hao</v>
          </cell>
          <cell r="F176"/>
          <cell r="G176">
            <v>6006016619</v>
          </cell>
          <cell r="H176"/>
        </row>
        <row r="177">
          <cell r="A177">
            <v>6006016620</v>
          </cell>
          <cell r="B177" t="str">
            <v>減価償却費（一般）　土地使用権</v>
          </cell>
          <cell r="C177" t="str">
            <v>Chi phí khấu hao TSCĐ</v>
          </cell>
          <cell r="D177" t="str">
            <v>減価償却費</v>
          </cell>
          <cell r="E177" t="str">
            <v>Chi phí khấu hao</v>
          </cell>
          <cell r="F177"/>
          <cell r="G177">
            <v>6006016620</v>
          </cell>
          <cell r="H177"/>
        </row>
        <row r="178">
          <cell r="A178">
            <v>6006016621</v>
          </cell>
          <cell r="B178" t="str">
            <v>減価償却費（一般）　出版著作権</v>
          </cell>
          <cell r="C178" t="str">
            <v>Chi phí khấu hao TSCĐ</v>
          </cell>
          <cell r="D178" t="str">
            <v>減価償却費</v>
          </cell>
          <cell r="E178" t="str">
            <v>Chi phí khấu hao</v>
          </cell>
          <cell r="F178"/>
          <cell r="G178">
            <v>6006016621</v>
          </cell>
          <cell r="H178"/>
        </row>
        <row r="179">
          <cell r="A179">
            <v>6006016622</v>
          </cell>
          <cell r="B179" t="str">
            <v>減価償却費（一般）　特許権</v>
          </cell>
          <cell r="C179" t="str">
            <v>Chi phí khấu hao TSCĐ</v>
          </cell>
          <cell r="D179" t="str">
            <v>減価償却費</v>
          </cell>
          <cell r="E179" t="str">
            <v>Chi phí khấu hao</v>
          </cell>
          <cell r="F179"/>
          <cell r="G179">
            <v>6006016622</v>
          </cell>
          <cell r="H179"/>
        </row>
        <row r="180">
          <cell r="A180">
            <v>6006016623</v>
          </cell>
          <cell r="B180" t="str">
            <v>減価償却費（一般）　商標権</v>
          </cell>
          <cell r="C180" t="str">
            <v>Chi phí khấu hao TSCĐ</v>
          </cell>
          <cell r="D180" t="str">
            <v>減価償却費</v>
          </cell>
          <cell r="E180" t="str">
            <v>Chi phí khấu hao</v>
          </cell>
          <cell r="F180"/>
          <cell r="G180">
            <v>6006016623</v>
          </cell>
          <cell r="H180"/>
        </row>
        <row r="181">
          <cell r="A181">
            <v>6006016624</v>
          </cell>
          <cell r="B181" t="str">
            <v>減価償却費（一般）　ソフトウェア</v>
          </cell>
          <cell r="C181" t="str">
            <v>Chi phí khấu hao TSCĐ</v>
          </cell>
          <cell r="D181" t="str">
            <v>減価償却費</v>
          </cell>
          <cell r="E181" t="str">
            <v>Chi phí khấu hao</v>
          </cell>
          <cell r="F181"/>
          <cell r="G181">
            <v>6006016624</v>
          </cell>
          <cell r="H181"/>
        </row>
        <row r="182">
          <cell r="A182">
            <v>6006016625</v>
          </cell>
          <cell r="B182" t="str">
            <v>減価償却費（一般）　営業権</v>
          </cell>
          <cell r="C182" t="str">
            <v>Chi phí khấu hao TSCĐ</v>
          </cell>
          <cell r="D182" t="str">
            <v>減価償却費</v>
          </cell>
          <cell r="E182" t="str">
            <v>Chi phí khấu hao</v>
          </cell>
          <cell r="F182"/>
          <cell r="G182">
            <v>6006016625</v>
          </cell>
          <cell r="H182"/>
        </row>
        <row r="183">
          <cell r="A183">
            <v>6006016626</v>
          </cell>
          <cell r="B183" t="str">
            <v>減価償却費（一般）　その他無形固定資産</v>
          </cell>
          <cell r="C183" t="str">
            <v>Chi phí khấu hao TSCĐ</v>
          </cell>
          <cell r="D183" t="str">
            <v>減価償却費</v>
          </cell>
          <cell r="E183" t="str">
            <v>Chi phí khấu hao</v>
          </cell>
          <cell r="F183"/>
          <cell r="G183">
            <v>6006016626</v>
          </cell>
          <cell r="H183"/>
        </row>
        <row r="184">
          <cell r="A184">
            <v>6006016627</v>
          </cell>
          <cell r="B184" t="str">
            <v>減価償却費（一般）　差異調整</v>
          </cell>
          <cell r="C184" t="str">
            <v>Chi phí khấu hao TSCĐ</v>
          </cell>
          <cell r="D184" t="str">
            <v>減価償却費</v>
          </cell>
          <cell r="E184" t="str">
            <v>Chi phí khấu hao</v>
          </cell>
          <cell r="F184"/>
          <cell r="G184">
            <v>6006016627</v>
          </cell>
          <cell r="H184"/>
        </row>
        <row r="185">
          <cell r="A185">
            <v>6006016628</v>
          </cell>
          <cell r="B185" t="str">
            <v>減価償却費配賦（一般）　建物</v>
          </cell>
          <cell r="C185" t="str">
            <v>Chi phí khấu hao TSCĐ</v>
          </cell>
          <cell r="D185" t="str">
            <v>減価償却費</v>
          </cell>
          <cell r="E185" t="str">
            <v>Chi phí khấu hao</v>
          </cell>
          <cell r="F185"/>
          <cell r="G185">
            <v>6006016628</v>
          </cell>
          <cell r="H185"/>
        </row>
        <row r="186">
          <cell r="A186">
            <v>6006016629</v>
          </cell>
          <cell r="B186" t="str">
            <v>減価償却費配賦（一般）　土地使用権</v>
          </cell>
          <cell r="C186" t="str">
            <v>Chi phí khấu hao TSCĐ</v>
          </cell>
          <cell r="D186" t="str">
            <v>減価償却費</v>
          </cell>
          <cell r="E186" t="str">
            <v>Chi phí khấu hao</v>
          </cell>
          <cell r="F186"/>
          <cell r="G186">
            <v>6006016629</v>
          </cell>
          <cell r="H186"/>
        </row>
        <row r="187">
          <cell r="A187">
            <v>6005186425</v>
          </cell>
          <cell r="B187" t="str">
            <v>外国契約者税（一般）</v>
          </cell>
          <cell r="C187" t="str">
            <v>Thuế phí và lệ phí</v>
          </cell>
          <cell r="D187" t="str">
            <v>公租公課</v>
          </cell>
          <cell r="E187" t="str">
            <v>Thuế,phí công cộng</v>
          </cell>
          <cell r="F187"/>
          <cell r="G187">
            <v>6005186425</v>
          </cell>
          <cell r="H187"/>
        </row>
        <row r="188">
          <cell r="A188">
            <v>6005186429</v>
          </cell>
          <cell r="B188" t="str">
            <v>その他税金（一般）</v>
          </cell>
          <cell r="C188" t="str">
            <v>Thuế phí và lệ phí</v>
          </cell>
          <cell r="D188" t="str">
            <v>公租公課</v>
          </cell>
          <cell r="E188" t="str">
            <v>Thuế,phí công cộng</v>
          </cell>
          <cell r="F188"/>
          <cell r="G188">
            <v>6005186429</v>
          </cell>
          <cell r="H188"/>
        </row>
        <row r="189">
          <cell r="A189">
            <v>6005266426</v>
          </cell>
          <cell r="B189" t="str">
            <v>貸倒引当金繰入（一般）</v>
          </cell>
          <cell r="C189" t="str">
            <v>Chi phí dự phòng</v>
          </cell>
          <cell r="D189" t="str">
            <v>雑費</v>
          </cell>
          <cell r="E189" t="str">
            <v>Các loại chi phí bằng tiền khác</v>
          </cell>
          <cell r="F189"/>
          <cell r="G189">
            <v>6005266426</v>
          </cell>
          <cell r="H189"/>
        </row>
        <row r="190">
          <cell r="A190">
            <v>6004096621</v>
          </cell>
          <cell r="B190" t="str">
            <v>求人費（一般）</v>
          </cell>
          <cell r="C190" t="str">
            <v>Chi phí dịch vụ mua ngoài</v>
          </cell>
          <cell r="D190" t="str">
            <v>募集教育費</v>
          </cell>
          <cell r="E190" t="str">
            <v>Chi phí tuyển dụng,đào tạo</v>
          </cell>
          <cell r="F190"/>
          <cell r="G190">
            <v>6004096621</v>
          </cell>
          <cell r="H190"/>
        </row>
        <row r="191">
          <cell r="A191">
            <v>6005046622</v>
          </cell>
          <cell r="B191" t="str">
            <v>修繕費（一般）</v>
          </cell>
          <cell r="C191" t="str">
            <v>Chi phí dịch vụ mua ngoài</v>
          </cell>
          <cell r="D191" t="str">
            <v>修繕費</v>
          </cell>
          <cell r="E191" t="str">
            <v>Chi phí sửa chữa</v>
          </cell>
          <cell r="F191"/>
          <cell r="G191">
            <v>6005046622</v>
          </cell>
          <cell r="H191"/>
        </row>
        <row r="192">
          <cell r="A192">
            <v>6005046635</v>
          </cell>
          <cell r="B192" t="str">
            <v>保守料（一般）</v>
          </cell>
          <cell r="C192" t="str">
            <v>Chi phí dịch vụ mua ngoài</v>
          </cell>
          <cell r="D192" t="str">
            <v>修繕費</v>
          </cell>
          <cell r="E192" t="str">
            <v>Chi phí sửa chữa</v>
          </cell>
          <cell r="F192"/>
          <cell r="G192">
            <v>6005046635</v>
          </cell>
          <cell r="H192"/>
        </row>
        <row r="193">
          <cell r="A193">
            <v>6005056623</v>
          </cell>
          <cell r="B193" t="str">
            <v>電気代（一般）</v>
          </cell>
          <cell r="C193" t="str">
            <v>Chi phí dịch vụ mua ngoài</v>
          </cell>
          <cell r="D193" t="str">
            <v>水道光熱費</v>
          </cell>
          <cell r="E193" t="str">
            <v>Chi phí Utilities(điện,nước..)</v>
          </cell>
          <cell r="F193"/>
          <cell r="G193">
            <v>6005056623</v>
          </cell>
          <cell r="H193"/>
        </row>
        <row r="194">
          <cell r="A194">
            <v>6005056624</v>
          </cell>
          <cell r="B194" t="str">
            <v>水道代（一般）</v>
          </cell>
          <cell r="C194" t="str">
            <v>Chi phí dịch vụ mua ngoài</v>
          </cell>
          <cell r="D194" t="str">
            <v>水道光熱費</v>
          </cell>
          <cell r="E194" t="str">
            <v>Chi phí Utilities(điện,nước..)</v>
          </cell>
          <cell r="F194"/>
          <cell r="G194">
            <v>6005056624</v>
          </cell>
          <cell r="H194"/>
        </row>
        <row r="195">
          <cell r="A195">
            <v>6005056625</v>
          </cell>
          <cell r="B195" t="str">
            <v>ガス代（一般）</v>
          </cell>
          <cell r="C195" t="str">
            <v>Chi phí dịch vụ mua ngoài</v>
          </cell>
          <cell r="D195" t="str">
            <v>水道光熱費</v>
          </cell>
          <cell r="E195" t="str">
            <v>Chi phí Utilities(điện,nước..)</v>
          </cell>
          <cell r="F195"/>
          <cell r="G195">
            <v>6005056625</v>
          </cell>
          <cell r="H195"/>
        </row>
        <row r="196">
          <cell r="A196">
            <v>6005136626</v>
          </cell>
          <cell r="B196" t="str">
            <v>通信費（一般）</v>
          </cell>
          <cell r="C196" t="str">
            <v>Chi phí dịch vụ mua ngoài</v>
          </cell>
          <cell r="D196" t="str">
            <v>通信費</v>
          </cell>
          <cell r="E196" t="str">
            <v>Chi phí điện thoại</v>
          </cell>
          <cell r="F196"/>
          <cell r="G196">
            <v>6005136626</v>
          </cell>
          <cell r="H196"/>
        </row>
        <row r="197">
          <cell r="A197">
            <v>6005146627</v>
          </cell>
          <cell r="B197" t="str">
            <v>図書印刷費（一般）</v>
          </cell>
          <cell r="C197" t="str">
            <v>Chi phí dịch vụ mua ngoài</v>
          </cell>
          <cell r="D197" t="str">
            <v>図書及び事務費</v>
          </cell>
          <cell r="E197" t="str">
            <v>Chi phí văn phòng</v>
          </cell>
          <cell r="F197"/>
          <cell r="G197">
            <v>6005146627</v>
          </cell>
          <cell r="H197"/>
        </row>
        <row r="198">
          <cell r="A198">
            <v>6005146628</v>
          </cell>
          <cell r="B198" t="str">
            <v>ＫＤＣシステム使用料（一般）</v>
          </cell>
          <cell r="C198" t="str">
            <v>Chi phí dịch vụ mua ngoài</v>
          </cell>
          <cell r="D198" t="str">
            <v>図書及び事務費</v>
          </cell>
          <cell r="E198" t="str">
            <v>Chi phí văn phòng</v>
          </cell>
          <cell r="F198"/>
          <cell r="G198">
            <v>6005146628</v>
          </cell>
          <cell r="H198"/>
        </row>
        <row r="199">
          <cell r="A199">
            <v>6005146629</v>
          </cell>
          <cell r="B199" t="str">
            <v>ライセンス料（一般）</v>
          </cell>
          <cell r="C199" t="str">
            <v>Chi phí dịch vụ mua ngoài</v>
          </cell>
          <cell r="D199" t="str">
            <v>図書及び事務費</v>
          </cell>
          <cell r="E199" t="str">
            <v>Chi phí văn phòng</v>
          </cell>
          <cell r="F199"/>
          <cell r="G199">
            <v>6005146629</v>
          </cell>
          <cell r="H199"/>
        </row>
        <row r="200">
          <cell r="A200">
            <v>6005156630</v>
          </cell>
          <cell r="B200" t="str">
            <v>広告宣伝費（一般）</v>
          </cell>
          <cell r="C200" t="str">
            <v>Chi phí dịch vụ mua ngoài</v>
          </cell>
          <cell r="D200" t="str">
            <v>雑費</v>
          </cell>
          <cell r="E200" t="str">
            <v>Các loại chi phí bằng tiền khác</v>
          </cell>
          <cell r="F200"/>
          <cell r="G200">
            <v>6005156630</v>
          </cell>
          <cell r="H200"/>
        </row>
        <row r="201">
          <cell r="A201">
            <v>6005206631</v>
          </cell>
          <cell r="B201" t="str">
            <v>会費（一般）</v>
          </cell>
          <cell r="C201" t="str">
            <v>Chi phí dịch vụ mua ngoài</v>
          </cell>
          <cell r="D201" t="str">
            <v>会費及び会議費</v>
          </cell>
          <cell r="E201" t="str">
            <v>Chi phí cuộc họp</v>
          </cell>
          <cell r="F201"/>
          <cell r="G201">
            <v>6005206631</v>
          </cell>
          <cell r="H201"/>
        </row>
        <row r="202">
          <cell r="A202">
            <v>6005216632</v>
          </cell>
          <cell r="B202" t="str">
            <v>委嘱報酬・設計委託費（一般）</v>
          </cell>
          <cell r="C202" t="str">
            <v>Chi phí dịch vụ mua ngoài</v>
          </cell>
          <cell r="D202" t="str">
            <v>委嘱報酬</v>
          </cell>
          <cell r="E202" t="str">
            <v>Thù lao ủy thác,phí hoa hồng</v>
          </cell>
          <cell r="F202"/>
          <cell r="G202">
            <v>6005216632</v>
          </cell>
          <cell r="H202"/>
        </row>
        <row r="203">
          <cell r="A203">
            <v>6005226633</v>
          </cell>
          <cell r="B203" t="str">
            <v>保険料（一般）</v>
          </cell>
          <cell r="C203" t="str">
            <v>Chi phí dịch vụ mua ngoài</v>
          </cell>
          <cell r="D203" t="str">
            <v>保険料</v>
          </cell>
          <cell r="E203" t="str">
            <v>Chi phí bảo hiểm</v>
          </cell>
          <cell r="F203"/>
          <cell r="G203">
            <v>6005226633</v>
          </cell>
          <cell r="H203"/>
        </row>
        <row r="204">
          <cell r="A204">
            <v>6005236634</v>
          </cell>
          <cell r="B204" t="str">
            <v>事務所賃借料（一般）</v>
          </cell>
          <cell r="C204" t="str">
            <v>Chi phí dịch vụ mua ngoài</v>
          </cell>
          <cell r="D204" t="str">
            <v>賃借料</v>
          </cell>
          <cell r="E204" t="str">
            <v>Chi phí thuê</v>
          </cell>
          <cell r="F204"/>
          <cell r="G204">
            <v>6005236634</v>
          </cell>
          <cell r="H204"/>
        </row>
        <row r="205">
          <cell r="A205">
            <v>6005246636</v>
          </cell>
          <cell r="B205" t="str">
            <v>取扱手数料（一般）</v>
          </cell>
          <cell r="C205" t="str">
            <v>Chi phí dịch vụ mua ngoài</v>
          </cell>
          <cell r="D205" t="str">
            <v>手数料</v>
          </cell>
          <cell r="E205" t="str">
            <v>Tiền dịch vụ,tiền lệ phí</v>
          </cell>
          <cell r="F205"/>
          <cell r="G205">
            <v>6005246636</v>
          </cell>
          <cell r="H205"/>
        </row>
        <row r="206">
          <cell r="A206">
            <v>6005246672</v>
          </cell>
          <cell r="B206" t="str">
            <v>銀行手数料（一般）</v>
          </cell>
          <cell r="C206" t="str">
            <v>Chi phí dịch vụ mua ngoài</v>
          </cell>
          <cell r="D206" t="str">
            <v>手数料</v>
          </cell>
          <cell r="E206" t="str">
            <v>Tiền dịch vụ,tiền lệ phí</v>
          </cell>
          <cell r="F206"/>
          <cell r="G206">
            <v>6005246672</v>
          </cell>
          <cell r="H206"/>
        </row>
        <row r="207">
          <cell r="A207">
            <v>6005246673</v>
          </cell>
          <cell r="B207" t="str">
            <v>その他手数料（一般）</v>
          </cell>
          <cell r="C207" t="str">
            <v>Chi phí dịch vụ mua ngoài</v>
          </cell>
          <cell r="D207" t="str">
            <v>手数料</v>
          </cell>
          <cell r="E207" t="str">
            <v>Tiền dịch vụ,tiền lệ phí</v>
          </cell>
          <cell r="F207"/>
          <cell r="G207">
            <v>6005246673</v>
          </cell>
          <cell r="H207"/>
        </row>
        <row r="208">
          <cell r="A208">
            <v>6005246674</v>
          </cell>
          <cell r="B208" t="str">
            <v>ＫＤＣ手数料（一般）</v>
          </cell>
          <cell r="C208" t="str">
            <v>Chi phí dịch vụ mua ngoài</v>
          </cell>
          <cell r="D208" t="str">
            <v>手数料</v>
          </cell>
          <cell r="E208" t="str">
            <v>Tiền dịch vụ,tiền lệ phí</v>
          </cell>
          <cell r="F208"/>
          <cell r="G208">
            <v>6005246674</v>
          </cell>
          <cell r="H208"/>
        </row>
        <row r="209">
          <cell r="A209">
            <v>6004086651</v>
          </cell>
          <cell r="B209" t="str">
            <v>福利厚生費（一般）</v>
          </cell>
          <cell r="C209" t="str">
            <v>Chi phí bằng tiền khác</v>
          </cell>
          <cell r="D209" t="str">
            <v>福利厚生費</v>
          </cell>
          <cell r="E209" t="str">
            <v>Chi phí phúc lợi</v>
          </cell>
          <cell r="F209"/>
          <cell r="G209">
            <v>6004086651</v>
          </cell>
          <cell r="H209"/>
        </row>
        <row r="210">
          <cell r="A210">
            <v>6004086653</v>
          </cell>
          <cell r="B210" t="str">
            <v>教育訓練費（一般）</v>
          </cell>
          <cell r="C210" t="str">
            <v>Chi phí bằng tiền khác</v>
          </cell>
          <cell r="D210" t="str">
            <v>募集教育費</v>
          </cell>
          <cell r="E210" t="str">
            <v>Chi phí tuyển dụng,đào tạo</v>
          </cell>
          <cell r="F210"/>
          <cell r="G210">
            <v>6004086653</v>
          </cell>
          <cell r="H210"/>
        </row>
        <row r="211">
          <cell r="A211">
            <v>6005116654</v>
          </cell>
          <cell r="B211" t="str">
            <v>ベトナム国内交通費（一般）</v>
          </cell>
          <cell r="C211" t="str">
            <v>Chi phí bằng tiền khác</v>
          </cell>
          <cell r="D211" t="str">
            <v>旅費交通費</v>
          </cell>
          <cell r="E211" t="str">
            <v>Chi phí di chuyển</v>
          </cell>
          <cell r="F211"/>
          <cell r="G211">
            <v>6005116654</v>
          </cell>
          <cell r="H211"/>
        </row>
        <row r="212">
          <cell r="A212">
            <v>6005116655</v>
          </cell>
          <cell r="B212" t="str">
            <v>海外渡航費（一般）</v>
          </cell>
          <cell r="C212" t="str">
            <v>Chi phí bằng tiền khác</v>
          </cell>
          <cell r="D212" t="str">
            <v>渡航費</v>
          </cell>
          <cell r="E212" t="str">
            <v>Chi phí di chuyển(nước ngoài)</v>
          </cell>
          <cell r="F212"/>
          <cell r="G212">
            <v>6005116655</v>
          </cell>
          <cell r="H212"/>
        </row>
        <row r="213">
          <cell r="A213">
            <v>6005136657</v>
          </cell>
          <cell r="B213" t="str">
            <v>郵送代（一般）</v>
          </cell>
          <cell r="C213" t="str">
            <v>Chi phí bằng tiền khác</v>
          </cell>
          <cell r="D213" t="str">
            <v>通信費</v>
          </cell>
          <cell r="E213" t="str">
            <v>Chi phí điện thoại</v>
          </cell>
          <cell r="F213"/>
          <cell r="G213">
            <v>6005136657</v>
          </cell>
          <cell r="H213"/>
        </row>
        <row r="214">
          <cell r="A214">
            <v>6005166658</v>
          </cell>
          <cell r="B214" t="str">
            <v>接待交際費（一般）</v>
          </cell>
          <cell r="C214" t="str">
            <v>Chi phí bằng tiền khác</v>
          </cell>
          <cell r="D214" t="str">
            <v>接待交際費</v>
          </cell>
          <cell r="E214" t="str">
            <v>Chi phí tiếp khách</v>
          </cell>
          <cell r="F214"/>
          <cell r="G214">
            <v>6005166658</v>
          </cell>
          <cell r="H214"/>
        </row>
        <row r="215">
          <cell r="A215">
            <v>6005176659</v>
          </cell>
          <cell r="B215" t="str">
            <v>寄付金（一般）</v>
          </cell>
          <cell r="C215" t="str">
            <v>Chi phí bằng tiền khác</v>
          </cell>
          <cell r="D215" t="str">
            <v>雑費</v>
          </cell>
          <cell r="E215" t="str">
            <v>Các loại chi phí bằng tiền khác</v>
          </cell>
          <cell r="F215"/>
          <cell r="G215">
            <v>6005176659</v>
          </cell>
          <cell r="H215"/>
        </row>
        <row r="216">
          <cell r="A216">
            <v>6005246671</v>
          </cell>
          <cell r="B216" t="str">
            <v>雑費（一般）</v>
          </cell>
          <cell r="C216" t="str">
            <v>Chi phí bằng tiền khác</v>
          </cell>
          <cell r="D216" t="str">
            <v>雑費</v>
          </cell>
          <cell r="E216" t="str">
            <v>Các loại chi phí bằng tiền khác</v>
          </cell>
          <cell r="F216"/>
          <cell r="G216">
            <v>6005246671</v>
          </cell>
          <cell r="H216"/>
        </row>
        <row r="217">
          <cell r="A217">
            <v>6005246675</v>
          </cell>
          <cell r="B217" t="str">
            <v>会議費（一般）</v>
          </cell>
          <cell r="C217" t="str">
            <v>Chi phí bằng tiền khác</v>
          </cell>
          <cell r="D217" t="str">
            <v>会費及び会議費</v>
          </cell>
          <cell r="E217" t="str">
            <v>Chi phí cuộc họp</v>
          </cell>
          <cell r="F217"/>
          <cell r="G217">
            <v>6005246675</v>
          </cell>
          <cell r="H217"/>
        </row>
        <row r="218">
          <cell r="A218">
            <v>6005246676</v>
          </cell>
          <cell r="B218" t="str">
            <v>開発費振替勘定（一般）</v>
          </cell>
          <cell r="C218" t="str">
            <v>Chi phí bằng tiền khác</v>
          </cell>
          <cell r="D218" t="str">
            <v>雑費</v>
          </cell>
          <cell r="E218" t="str">
            <v>Các loại chi phí bằng tiền khác</v>
          </cell>
          <cell r="F218"/>
          <cell r="G218">
            <v>6005246676</v>
          </cell>
          <cell r="H218"/>
        </row>
        <row r="219">
          <cell r="A219">
            <v>8001017111</v>
          </cell>
          <cell r="B219" t="str">
            <v>固定資産売却益</v>
          </cell>
          <cell r="C219" t="str">
            <v>Thu nhập khác</v>
          </cell>
          <cell r="D219" t="str">
            <v>特別利益</v>
          </cell>
          <cell r="E219" t="str">
            <v>Lợi nhuận đặc biệt</v>
          </cell>
          <cell r="F219" t="str">
            <v>8001017111</v>
          </cell>
          <cell r="G219">
            <v>8001017111</v>
          </cell>
          <cell r="H219">
            <v>8001017111</v>
          </cell>
        </row>
        <row r="220">
          <cell r="A220">
            <v>8001027111</v>
          </cell>
          <cell r="B220" t="str">
            <v>前期損益修正益</v>
          </cell>
          <cell r="C220" t="str">
            <v>Thu nhập khác</v>
          </cell>
          <cell r="D220" t="str">
            <v>特別利益</v>
          </cell>
          <cell r="E220" t="str">
            <v>Lợi nhuận đặc biệt</v>
          </cell>
          <cell r="F220" t="str">
            <v>8001027111</v>
          </cell>
          <cell r="G220">
            <v>8001027111</v>
          </cell>
          <cell r="H220">
            <v>8001027111</v>
          </cell>
        </row>
        <row r="221">
          <cell r="A221">
            <v>8001037111</v>
          </cell>
          <cell r="B221" t="str">
            <v>その他特別利益</v>
          </cell>
          <cell r="C221" t="str">
            <v>Thu nhập khác</v>
          </cell>
          <cell r="D221" t="str">
            <v>特別利益</v>
          </cell>
          <cell r="E221" t="str">
            <v>Lợi nhuận đặc biệt</v>
          </cell>
          <cell r="F221" t="str">
            <v>8001037111</v>
          </cell>
          <cell r="G221">
            <v>8001037111</v>
          </cell>
          <cell r="H221">
            <v>8001037111</v>
          </cell>
        </row>
        <row r="222">
          <cell r="A222">
            <v>7002048111</v>
          </cell>
          <cell r="B222" t="str">
            <v>雑損失</v>
          </cell>
          <cell r="C222" t="str">
            <v>Chi phí khác</v>
          </cell>
          <cell r="D222" t="str">
            <v>雑損失</v>
          </cell>
          <cell r="E222" t="str">
            <v>Tổn thất,lỗ khác</v>
          </cell>
          <cell r="F222" t="str">
            <v>7002048111</v>
          </cell>
          <cell r="G222">
            <v>7002048111</v>
          </cell>
          <cell r="H222">
            <v>7002048111</v>
          </cell>
        </row>
        <row r="223">
          <cell r="A223">
            <v>7002048112</v>
          </cell>
          <cell r="B223" t="str">
            <v>棚卸資産廃棄損</v>
          </cell>
          <cell r="C223" t="str">
            <v>Chi phí khác</v>
          </cell>
          <cell r="D223" t="str">
            <v>棚卸資産廃棄損</v>
          </cell>
          <cell r="E223" t="str">
            <v>Tổn thất tài sản hư hỏng sau kiểm kê</v>
          </cell>
          <cell r="F223" t="str">
            <v>7002048112</v>
          </cell>
          <cell r="G223">
            <v>7002048112</v>
          </cell>
          <cell r="H223">
            <v>7002048112</v>
          </cell>
        </row>
        <row r="224">
          <cell r="A224">
            <v>8002018111</v>
          </cell>
          <cell r="B224" t="str">
            <v>固定資産売却損・除却損</v>
          </cell>
          <cell r="C224" t="str">
            <v>Chi phí khác</v>
          </cell>
          <cell r="D224" t="str">
            <v>特別損失</v>
          </cell>
          <cell r="E224" t="str">
            <v>Lỗ đặc biệt</v>
          </cell>
          <cell r="F224" t="str">
            <v>8002018111</v>
          </cell>
          <cell r="G224">
            <v>8002018111</v>
          </cell>
          <cell r="H224">
            <v>8002018111</v>
          </cell>
        </row>
        <row r="225">
          <cell r="A225">
            <v>8002028111</v>
          </cell>
          <cell r="B225" t="str">
            <v>前期損益修正損</v>
          </cell>
          <cell r="C225" t="str">
            <v>Chi phí khác</v>
          </cell>
          <cell r="D225" t="str">
            <v>特別損失</v>
          </cell>
          <cell r="E225" t="str">
            <v>Lỗ đặc biệt</v>
          </cell>
          <cell r="F225" t="str">
            <v>8002028111</v>
          </cell>
          <cell r="G225">
            <v>8002028111</v>
          </cell>
          <cell r="H225">
            <v>8002028111</v>
          </cell>
        </row>
        <row r="226">
          <cell r="A226">
            <v>8002038111</v>
          </cell>
          <cell r="B226" t="str">
            <v>その他特別損失</v>
          </cell>
          <cell r="C226" t="str">
            <v>Chi phí khác</v>
          </cell>
          <cell r="D226" t="str">
            <v>特別損失</v>
          </cell>
          <cell r="E226" t="str">
            <v>Lỗ đặc biệt</v>
          </cell>
          <cell r="F226" t="str">
            <v>8002038111</v>
          </cell>
          <cell r="G226">
            <v>8002038111</v>
          </cell>
          <cell r="H226">
            <v>8002038111</v>
          </cell>
        </row>
        <row r="227">
          <cell r="A227">
            <v>9114120002</v>
          </cell>
          <cell r="B227" t="str">
            <v>社外出荷</v>
          </cell>
          <cell r="C227"/>
          <cell r="D227" t="str">
            <v>社外出荷</v>
          </cell>
          <cell r="E227" t="str">
            <v>Xuất hàng ra ngoài</v>
          </cell>
          <cell r="F227" t="str">
            <v>9114120002</v>
          </cell>
          <cell r="G227">
            <v>9114120002</v>
          </cell>
          <cell r="H227">
            <v>9114120002</v>
          </cell>
        </row>
        <row r="228">
          <cell r="A228">
            <v>9114120004</v>
          </cell>
          <cell r="B228" t="str">
            <v>社内売</v>
          </cell>
          <cell r="C228"/>
          <cell r="D228" t="str">
            <v>社内売</v>
          </cell>
          <cell r="E228" t="str">
            <v>Bán hàng nội bộ</v>
          </cell>
          <cell r="F228" t="str">
            <v>9114120004</v>
          </cell>
          <cell r="G228">
            <v>9114120004</v>
          </cell>
          <cell r="H228">
            <v>9114120004</v>
          </cell>
        </row>
        <row r="229">
          <cell r="A229">
            <v>9114120005</v>
          </cell>
          <cell r="B229" t="str">
            <v>支払営業口銭</v>
          </cell>
          <cell r="C229"/>
          <cell r="D229" t="str">
            <v>営業経費</v>
          </cell>
          <cell r="E229" t="str">
            <v>Chi phí hoạt động</v>
          </cell>
          <cell r="F229" t="str">
            <v>9114120005</v>
          </cell>
          <cell r="G229">
            <v>9114120005</v>
          </cell>
          <cell r="H229">
            <v>9114120005</v>
          </cell>
        </row>
        <row r="230">
          <cell r="A230">
            <v>9114120006</v>
          </cell>
          <cell r="B230" t="str">
            <v>材料費(指図出庫）</v>
          </cell>
          <cell r="C230"/>
          <cell r="D230" t="str">
            <v>材料費</v>
          </cell>
          <cell r="E230" t="str">
            <v>Chi phí nguyên vật liệu</v>
          </cell>
          <cell r="F230" t="str">
            <v>9114120006</v>
          </cell>
          <cell r="G230">
            <v>9114120006</v>
          </cell>
          <cell r="H230">
            <v>9114120006</v>
          </cell>
        </row>
        <row r="231">
          <cell r="A231">
            <v>9114120007</v>
          </cell>
          <cell r="B231" t="str">
            <v>社内金利（固定資産）</v>
          </cell>
          <cell r="C231"/>
          <cell r="D231" t="str">
            <v>固定資産金利</v>
          </cell>
          <cell r="E231" t="str">
            <v>Lãi suất tài sản cố định</v>
          </cell>
          <cell r="F231" t="str">
            <v>9114120007</v>
          </cell>
          <cell r="G231">
            <v>9114120007</v>
          </cell>
          <cell r="H231">
            <v>9114120007</v>
          </cell>
        </row>
        <row r="232">
          <cell r="A232">
            <v>9114120008</v>
          </cell>
          <cell r="B232" t="str">
            <v>仕入製商品費</v>
          </cell>
          <cell r="C232"/>
          <cell r="D232" t="str">
            <v>仕入製商品費</v>
          </cell>
          <cell r="E232" t="str">
            <v>Chi phí bán hàng</v>
          </cell>
          <cell r="F232" t="str">
            <v>9114120008</v>
          </cell>
          <cell r="G232"/>
          <cell r="H232"/>
        </row>
        <row r="233">
          <cell r="A233">
            <v>9114120009</v>
          </cell>
          <cell r="B233" t="str">
            <v>社内金利（在庫）</v>
          </cell>
          <cell r="C233"/>
          <cell r="D233" t="str">
            <v>在庫金利</v>
          </cell>
          <cell r="E233" t="str">
            <v>Lãi suất tồn kho</v>
          </cell>
          <cell r="F233" t="str">
            <v>9114120009</v>
          </cell>
          <cell r="G233">
            <v>9114120009</v>
          </cell>
          <cell r="H233">
            <v>9114120009</v>
          </cell>
        </row>
        <row r="234">
          <cell r="A234">
            <v>9114120011</v>
          </cell>
          <cell r="B234" t="str">
            <v>内部諸経費</v>
          </cell>
          <cell r="C234"/>
          <cell r="D234" t="str">
            <v>内部諸経費</v>
          </cell>
          <cell r="E234" t="str">
            <v>Chi phí nội bộ</v>
          </cell>
          <cell r="F234" t="str">
            <v>9114120011</v>
          </cell>
          <cell r="G234">
            <v>9114120011</v>
          </cell>
          <cell r="H234">
            <v>9114120011</v>
          </cell>
        </row>
        <row r="235">
          <cell r="A235">
            <v>9114120014</v>
          </cell>
          <cell r="B235" t="str">
            <v>社内買</v>
          </cell>
          <cell r="C235"/>
          <cell r="D235" t="str">
            <v>社内買</v>
          </cell>
          <cell r="E235" t="str">
            <v>Mua hàng nội bộ</v>
          </cell>
          <cell r="F235" t="str">
            <v>9114120014</v>
          </cell>
          <cell r="G235">
            <v>9114120014</v>
          </cell>
          <cell r="H235">
            <v>9114120014</v>
          </cell>
        </row>
        <row r="236">
          <cell r="A236">
            <v>9114120018</v>
          </cell>
          <cell r="B236" t="str">
            <v>部内間接経費</v>
          </cell>
          <cell r="C236"/>
          <cell r="D236" t="str">
            <v>部内間接経費</v>
          </cell>
          <cell r="E236" t="str">
            <v>Chi phí trong bộ phận(gián tiếp)</v>
          </cell>
          <cell r="F236" t="str">
            <v>9114120018</v>
          </cell>
          <cell r="G236">
            <v>9114120018</v>
          </cell>
          <cell r="H236">
            <v>9114120018</v>
          </cell>
        </row>
        <row r="237">
          <cell r="A237">
            <v>9114120021</v>
          </cell>
          <cell r="B237" t="str">
            <v>工場間接経費</v>
          </cell>
          <cell r="C237"/>
          <cell r="D237" t="str">
            <v>工場間接経費</v>
          </cell>
          <cell r="E237" t="str">
            <v xml:space="preserve">Chi phí nhà máy(gián tiếp) </v>
          </cell>
          <cell r="F237" t="str">
            <v>9114120021</v>
          </cell>
          <cell r="G237">
            <v>9114120021</v>
          </cell>
          <cell r="H237">
            <v>9114120021</v>
          </cell>
        </row>
        <row r="238">
          <cell r="A238">
            <v>9114120028</v>
          </cell>
          <cell r="B238" t="str">
            <v>社内システム使用料</v>
          </cell>
          <cell r="C238"/>
          <cell r="D238" t="str">
            <v>社内システム使用料</v>
          </cell>
          <cell r="E238" t="str">
            <v>Phí sử dụng phần mềm nội bộ</v>
          </cell>
          <cell r="F238" t="str">
            <v>9114120028</v>
          </cell>
          <cell r="G238">
            <v>9114120028</v>
          </cell>
          <cell r="H238">
            <v>9114120028</v>
          </cell>
        </row>
        <row r="239">
          <cell r="A239">
            <v>9114120029</v>
          </cell>
          <cell r="B239" t="str">
            <v>部外間接経費1</v>
          </cell>
          <cell r="C239"/>
          <cell r="D239" t="str">
            <v>部外間接経費1</v>
          </cell>
          <cell r="E239" t="str">
            <v>Chi phí ngoài bộ phận(gián tiếp 1)</v>
          </cell>
          <cell r="F239" t="str">
            <v>9114120029</v>
          </cell>
          <cell r="G239">
            <v>9114120029</v>
          </cell>
          <cell r="H239">
            <v>9114120029</v>
          </cell>
        </row>
        <row r="240">
          <cell r="A240">
            <v>9114120030</v>
          </cell>
          <cell r="B240" t="str">
            <v>部外間接経費2</v>
          </cell>
          <cell r="C240"/>
          <cell r="D240" t="str">
            <v>部外間接経費2</v>
          </cell>
          <cell r="E240" t="str">
            <v>Chi phí ngoài bộ phận(gián tiếp 2)</v>
          </cell>
          <cell r="F240" t="str">
            <v>9114120030</v>
          </cell>
          <cell r="G240">
            <v>9114120030</v>
          </cell>
          <cell r="H240">
            <v>9114120030</v>
          </cell>
        </row>
        <row r="241">
          <cell r="A241">
            <v>5005046284</v>
          </cell>
          <cell r="B241" t="str">
            <v>金型修繕費（製造）</v>
          </cell>
          <cell r="C241" t="str">
            <v>Chi phi dịch vụ mua ngoài</v>
          </cell>
          <cell r="D241" t="str">
            <v>修繕費</v>
          </cell>
          <cell r="E241" t="str">
            <v>Chi phi dịch vụ mua ngoài</v>
          </cell>
          <cell r="F241" t="str">
            <v>5005046284</v>
          </cell>
          <cell r="G241"/>
          <cell r="H241"/>
        </row>
        <row r="242">
          <cell r="A242">
            <v>5005016373</v>
          </cell>
          <cell r="B242" t="str">
            <v>生産用文房具（製造）</v>
          </cell>
          <cell r="C242" t="str">
            <v>Chi phí dụng cụ sản xuất</v>
          </cell>
          <cell r="D242" t="str">
            <v>消耗品費</v>
          </cell>
          <cell r="E242" t="str">
            <v>Chi phí dụng cụ sản xuất</v>
          </cell>
          <cell r="F242" t="str">
            <v>5005016373</v>
          </cell>
          <cell r="G242"/>
          <cell r="H242"/>
        </row>
        <row r="243">
          <cell r="A243">
            <v>6005016422</v>
          </cell>
          <cell r="B243" t="str">
            <v>消耗品費（一般）</v>
          </cell>
          <cell r="C243" t="str">
            <v>Chi phí vật liệu quản lý</v>
          </cell>
          <cell r="D243" t="str">
            <v>消耗品費</v>
          </cell>
          <cell r="E243" t="str">
            <v>Chi phí hàng hóa tiêu hao</v>
          </cell>
          <cell r="F243"/>
          <cell r="G243">
            <v>6005016422</v>
          </cell>
        </row>
        <row r="244">
          <cell r="A244">
            <v>5001016151</v>
          </cell>
          <cell r="B244" t="str">
            <v>生産用副資材</v>
          </cell>
          <cell r="C244" t="str">
            <v>Chi phí nguyên liệu, vật liệu trực tiếp</v>
          </cell>
          <cell r="D244" t="str">
            <v>材料費</v>
          </cell>
          <cell r="E244" t="str">
            <v>Chi phí nguyên liệu, vật liệu trực tiếp</v>
          </cell>
          <cell r="F244" t="str">
            <v>5001016151</v>
          </cell>
          <cell r="G244"/>
          <cell r="H244"/>
        </row>
        <row r="245">
          <cell r="A245">
            <v>6006016630</v>
          </cell>
          <cell r="B245" t="str">
            <v>減価償却費（一般）機械装置</v>
          </cell>
          <cell r="C245" t="str">
            <v>Chi phí khấu hao TBMM</v>
          </cell>
          <cell r="D245" t="str">
            <v>減価償却費</v>
          </cell>
          <cell r="E245" t="str">
            <v>Chi phí khấu hao</v>
          </cell>
          <cell r="G245">
            <v>6006016630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853EC-87B1-4505-9EB8-844769B82242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MD3課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29803.37</v>
      </c>
      <c r="D5" s="129">
        <f t="shared" ref="D5:O5" si="0">D8+D9</f>
        <v>43553.32</v>
      </c>
      <c r="E5" s="129">
        <f t="shared" si="0"/>
        <v>40419.06</v>
      </c>
      <c r="F5" s="129">
        <f t="shared" si="0"/>
        <v>41786.85</v>
      </c>
      <c r="G5" s="129">
        <f t="shared" si="0"/>
        <v>45272.7</v>
      </c>
      <c r="H5" s="129">
        <f t="shared" si="0"/>
        <v>45438.09</v>
      </c>
      <c r="I5" s="129">
        <f t="shared" si="0"/>
        <v>57256.11</v>
      </c>
      <c r="J5" s="129">
        <f t="shared" si="0"/>
        <v>46122.27</v>
      </c>
      <c r="K5" s="129">
        <f t="shared" si="0"/>
        <v>44739.85</v>
      </c>
      <c r="L5" s="129">
        <f t="shared" si="0"/>
        <v>45751.57</v>
      </c>
      <c r="M5" s="129">
        <f t="shared" si="0"/>
        <v>44922.720000000001</v>
      </c>
      <c r="N5" s="129">
        <f t="shared" si="0"/>
        <v>44490.33</v>
      </c>
      <c r="O5" s="129">
        <f t="shared" si="0"/>
        <v>529556.24</v>
      </c>
    </row>
    <row r="6" spans="1:15" ht="11.25" customHeight="1">
      <c r="A6" s="26"/>
      <c r="B6" s="29" t="s">
        <v>140</v>
      </c>
      <c r="C6" s="130">
        <f>ROUNDDOWN('採算表(VND)'!C6/$N$1,2)</f>
        <v>29803.37</v>
      </c>
      <c r="D6" s="130">
        <f>ROUNDDOWN('採算表(VND)'!D6/$N$1,2)</f>
        <v>43553.32</v>
      </c>
      <c r="E6" s="130">
        <f>ROUNDDOWN('採算表(VND)'!E6/$N$1,2)</f>
        <v>40419.06</v>
      </c>
      <c r="F6" s="130">
        <f>ROUNDDOWN('採算表(VND)'!F6/$N$1,2)</f>
        <v>41786.85</v>
      </c>
      <c r="G6" s="130">
        <f>ROUNDDOWN('採算表(VND)'!G6/$N$1,2)</f>
        <v>45272.7</v>
      </c>
      <c r="H6" s="130">
        <f>ROUNDDOWN('採算表(VND)'!H6/$N$1,2)</f>
        <v>45438.09</v>
      </c>
      <c r="I6" s="130">
        <f>ROUNDDOWN('採算表(VND)'!I6/$N$1,2)</f>
        <v>57256.11</v>
      </c>
      <c r="J6" s="130">
        <f>ROUNDDOWN('採算表(VND)'!J6/$N$1,2)</f>
        <v>46122.27</v>
      </c>
      <c r="K6" s="130">
        <f>ROUNDDOWN('採算表(VND)'!K6/$N$1,2)</f>
        <v>44739.85</v>
      </c>
      <c r="L6" s="130">
        <f>ROUNDDOWN('採算表(VND)'!L6/$N$1,2)</f>
        <v>45751.57</v>
      </c>
      <c r="M6" s="130">
        <f>ROUNDDOWN('採算表(VND)'!M6/$N$1,2)</f>
        <v>44922.720000000001</v>
      </c>
      <c r="N6" s="130">
        <f>ROUNDDOWN('採算表(VND)'!N6/$N$1,2)</f>
        <v>44490.33</v>
      </c>
      <c r="O6" s="130">
        <f>SUM(C6:N6)</f>
        <v>529556.24</v>
      </c>
    </row>
    <row r="7" spans="1:15" ht="11.25" customHeight="1">
      <c r="A7" s="26"/>
      <c r="B7" s="30" t="s">
        <v>111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84</v>
      </c>
      <c r="C8" s="132">
        <f t="shared" ref="C8:O8" si="1">C6+C7</f>
        <v>29803.37</v>
      </c>
      <c r="D8" s="132">
        <f t="shared" si="1"/>
        <v>43553.32</v>
      </c>
      <c r="E8" s="132">
        <f t="shared" si="1"/>
        <v>40419.06</v>
      </c>
      <c r="F8" s="132">
        <f t="shared" si="1"/>
        <v>41786.85</v>
      </c>
      <c r="G8" s="132">
        <f t="shared" si="1"/>
        <v>45272.7</v>
      </c>
      <c r="H8" s="132">
        <f t="shared" si="1"/>
        <v>45438.09</v>
      </c>
      <c r="I8" s="132">
        <f t="shared" si="1"/>
        <v>57256.11</v>
      </c>
      <c r="J8" s="132">
        <f t="shared" si="1"/>
        <v>46122.27</v>
      </c>
      <c r="K8" s="132">
        <f t="shared" si="1"/>
        <v>44739.85</v>
      </c>
      <c r="L8" s="132">
        <f t="shared" si="1"/>
        <v>45751.57</v>
      </c>
      <c r="M8" s="132">
        <f t="shared" si="1"/>
        <v>44922.720000000001</v>
      </c>
      <c r="N8" s="132">
        <f t="shared" si="1"/>
        <v>44490.33</v>
      </c>
      <c r="O8" s="132">
        <f t="shared" si="1"/>
        <v>529556.24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29803.37</v>
      </c>
      <c r="D12" s="134">
        <f t="shared" ref="D12:O12" si="2">D5-D10</f>
        <v>43553.32</v>
      </c>
      <c r="E12" s="134">
        <f t="shared" si="2"/>
        <v>40419.06</v>
      </c>
      <c r="F12" s="134">
        <f t="shared" si="2"/>
        <v>41786.85</v>
      </c>
      <c r="G12" s="134">
        <f t="shared" si="2"/>
        <v>45272.7</v>
      </c>
      <c r="H12" s="134">
        <f t="shared" si="2"/>
        <v>45438.09</v>
      </c>
      <c r="I12" s="134">
        <f t="shared" si="2"/>
        <v>57256.11</v>
      </c>
      <c r="J12" s="134">
        <f t="shared" si="2"/>
        <v>46122.27</v>
      </c>
      <c r="K12" s="134">
        <f t="shared" si="2"/>
        <v>44739.85</v>
      </c>
      <c r="L12" s="134">
        <f t="shared" si="2"/>
        <v>45751.57</v>
      </c>
      <c r="M12" s="134">
        <f t="shared" si="2"/>
        <v>44922.720000000001</v>
      </c>
      <c r="N12" s="134">
        <f t="shared" si="2"/>
        <v>44490.33</v>
      </c>
      <c r="O12" s="134">
        <f t="shared" si="2"/>
        <v>529556.24</v>
      </c>
    </row>
    <row r="13" spans="1:15" ht="11.25" customHeight="1">
      <c r="A13" s="26"/>
      <c r="B13" s="28" t="s">
        <v>76</v>
      </c>
      <c r="C13" s="133">
        <f>SUM(C14:C65)</f>
        <v>15786.730000000003</v>
      </c>
      <c r="D13" s="133">
        <f t="shared" ref="D13:O13" si="3">SUM(D14:D65)</f>
        <v>17904.100000000002</v>
      </c>
      <c r="E13" s="133">
        <f t="shared" si="3"/>
        <v>16382.289999999999</v>
      </c>
      <c r="F13" s="133">
        <f t="shared" si="3"/>
        <v>18303.13</v>
      </c>
      <c r="G13" s="133">
        <f t="shared" si="3"/>
        <v>18206.710000000003</v>
      </c>
      <c r="H13" s="133">
        <f t="shared" si="3"/>
        <v>30694.920000000002</v>
      </c>
      <c r="I13" s="133">
        <f t="shared" si="3"/>
        <v>18556.049999999996</v>
      </c>
      <c r="J13" s="133">
        <f t="shared" si="3"/>
        <v>17609.38</v>
      </c>
      <c r="K13" s="133">
        <f t="shared" si="3"/>
        <v>17677.170000000002</v>
      </c>
      <c r="L13" s="133">
        <f t="shared" si="3"/>
        <v>18425.919999999998</v>
      </c>
      <c r="M13" s="133">
        <f t="shared" si="3"/>
        <v>17375.750000000007</v>
      </c>
      <c r="N13" s="133">
        <f t="shared" si="3"/>
        <v>17288.690000000002</v>
      </c>
      <c r="O13" s="133">
        <f t="shared" si="3"/>
        <v>224210.84</v>
      </c>
    </row>
    <row r="14" spans="1:15" ht="11.25" customHeight="1">
      <c r="A14" s="34"/>
      <c r="B14" s="35" t="s">
        <v>100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123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119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101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10862.61</v>
      </c>
      <c r="D20" s="136">
        <f>ROUNDUP('採算表(VND)'!D20/$N$1,2)</f>
        <v>10789.26</v>
      </c>
      <c r="E20" s="136">
        <f>ROUNDUP('採算表(VND)'!E20/$N$1,2)</f>
        <v>10790.77</v>
      </c>
      <c r="F20" s="136">
        <f>ROUNDUP('採算表(VND)'!F20/$N$1,2)</f>
        <v>11982</v>
      </c>
      <c r="G20" s="136">
        <f>ROUNDUP('採算表(VND)'!G20/$N$1,2)</f>
        <v>12864.18</v>
      </c>
      <c r="H20" s="136">
        <f>ROUNDUP('採算表(VND)'!H20/$N$1,2)</f>
        <v>12847.1</v>
      </c>
      <c r="I20" s="136">
        <f>ROUNDUP('採算表(VND)'!I20/$N$1,2)</f>
        <v>12847.1</v>
      </c>
      <c r="J20" s="136">
        <f>ROUNDUP('採算表(VND)'!J20/$N$1,2)</f>
        <v>12832.58</v>
      </c>
      <c r="K20" s="136">
        <f>ROUNDUP('採算表(VND)'!K20/$N$1,2)</f>
        <v>12845.630000000001</v>
      </c>
      <c r="L20" s="136">
        <f>ROUNDUP('採算表(VND)'!L20/$N$1,2)</f>
        <v>12845.27</v>
      </c>
      <c r="M20" s="136">
        <f>ROUNDUP('採算表(VND)'!M20/$N$1,2)</f>
        <v>12831.37</v>
      </c>
      <c r="N20" s="136">
        <f>ROUNDUP('採算表(VND)'!N20/$N$1,2)</f>
        <v>12830.48</v>
      </c>
      <c r="O20" s="136">
        <f t="shared" si="4"/>
        <v>147168.35000000003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33.15</v>
      </c>
      <c r="D25" s="136">
        <f>ROUNDUP('採算表(VND)'!D25/$N$1,2)</f>
        <v>33.15</v>
      </c>
      <c r="E25" s="136">
        <f>ROUNDUP('採算表(VND)'!E25/$N$1,2)</f>
        <v>33.15</v>
      </c>
      <c r="F25" s="136">
        <f>ROUNDUP('採算表(VND)'!F25/$N$1,2)</f>
        <v>33.15</v>
      </c>
      <c r="G25" s="136">
        <f>ROUNDUP('採算表(VND)'!G25/$N$1,2)</f>
        <v>33.15</v>
      </c>
      <c r="H25" s="136">
        <f>ROUNDUP('採算表(VND)'!H25/$N$1,2)</f>
        <v>33.15</v>
      </c>
      <c r="I25" s="136">
        <f>ROUNDUP('採算表(VND)'!I25/$N$1,2)</f>
        <v>33.15</v>
      </c>
      <c r="J25" s="136">
        <f>ROUNDUP('採算表(VND)'!J25/$N$1,2)</f>
        <v>33.15</v>
      </c>
      <c r="K25" s="136">
        <f>ROUNDUP('採算表(VND)'!K25/$N$1,2)</f>
        <v>33.15</v>
      </c>
      <c r="L25" s="136">
        <f>ROUNDUP('採算表(VND)'!L25/$N$1,2)</f>
        <v>33.15</v>
      </c>
      <c r="M25" s="136">
        <f>ROUNDUP('採算表(VND)'!M25/$N$1,2)</f>
        <v>33.15</v>
      </c>
      <c r="N25" s="136">
        <f>ROUNDUP('採算表(VND)'!N25/$N$1,2)</f>
        <v>33.15</v>
      </c>
      <c r="O25" s="136">
        <f t="shared" si="4"/>
        <v>397.7999999999999</v>
      </c>
    </row>
    <row r="26" spans="1:15" ht="11.25" customHeight="1">
      <c r="A26" s="34"/>
      <c r="B26" s="37" t="s">
        <v>103</v>
      </c>
      <c r="C26" s="136">
        <f>ROUNDUP('採算表(VND)'!C26/$N$1,2)</f>
        <v>13.79</v>
      </c>
      <c r="D26" s="136">
        <f>ROUNDUP('採算表(VND)'!D26/$N$1,2)</f>
        <v>0</v>
      </c>
      <c r="E26" s="136">
        <f>ROUNDUP('採算表(VND)'!E26/$N$1,2)</f>
        <v>139.82</v>
      </c>
      <c r="F26" s="136">
        <f>ROUNDUP('採算表(VND)'!F26/$N$1,2)</f>
        <v>0</v>
      </c>
      <c r="G26" s="136">
        <f>ROUNDUP('採算表(VND)'!G26/$N$1,2)</f>
        <v>13.79</v>
      </c>
      <c r="H26" s="136">
        <f>ROUNDUP('採算表(VND)'!H26/$N$1,2)</f>
        <v>4726.2800000000007</v>
      </c>
      <c r="I26" s="136">
        <f>ROUNDUP('採算表(VND)'!I26/$N$1,2)</f>
        <v>13.79</v>
      </c>
      <c r="J26" s="136">
        <f>ROUNDUP('採算表(VND)'!J26/$N$1,2)</f>
        <v>0</v>
      </c>
      <c r="K26" s="136">
        <f>ROUNDUP('採算表(VND)'!K26/$N$1,2)</f>
        <v>13.79</v>
      </c>
      <c r="L26" s="136">
        <f>ROUNDUP('採算表(VND)'!L26/$N$1,2)</f>
        <v>0</v>
      </c>
      <c r="M26" s="136">
        <f>ROUNDUP('採算表(VND)'!M26/$N$1,2)</f>
        <v>13.79</v>
      </c>
      <c r="N26" s="136">
        <f>ROUNDUP('採算表(VND)'!N26/$N$1,2)</f>
        <v>0</v>
      </c>
      <c r="O26" s="136">
        <f t="shared" si="4"/>
        <v>4935.05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0</v>
      </c>
      <c r="D28" s="136">
        <f>ROUNDUP('採算表(VND)'!D28/$N$1,2)</f>
        <v>0</v>
      </c>
      <c r="E28" s="136">
        <f>ROUNDUP('採算表(VND)'!E28/$N$1,2)</f>
        <v>0</v>
      </c>
      <c r="F28" s="136">
        <f>ROUNDUP('採算表(VND)'!F28/$N$1,2)</f>
        <v>0</v>
      </c>
      <c r="G28" s="136">
        <f>ROUNDUP('採算表(VND)'!G28/$N$1,2)</f>
        <v>0</v>
      </c>
      <c r="H28" s="136">
        <f>ROUNDUP('採算表(VND)'!H28/$N$1,2)</f>
        <v>0</v>
      </c>
      <c r="I28" s="136">
        <f>ROUNDUP('採算表(VND)'!I28/$N$1,2)</f>
        <v>0</v>
      </c>
      <c r="J28" s="136">
        <f>ROUNDUP('採算表(VND)'!J28/$N$1,2)</f>
        <v>0</v>
      </c>
      <c r="K28" s="136">
        <f>ROUNDUP('採算表(VND)'!K28/$N$1,2)</f>
        <v>0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0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296.18</v>
      </c>
      <c r="G29" s="136">
        <f>ROUNDUP('採算表(VND)'!G29/$N$1,2)</f>
        <v>225.85</v>
      </c>
      <c r="H29" s="136">
        <f>ROUNDUP('採算表(VND)'!H29/$N$1,2)</f>
        <v>7779.05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8301.08</v>
      </c>
    </row>
    <row r="30" spans="1:15" ht="11.25" customHeight="1">
      <c r="A30" s="34"/>
      <c r="B30" s="37" t="s">
        <v>96</v>
      </c>
      <c r="C30" s="136">
        <f>ROUNDUP('採算表(VND)'!C30/$N$1,2)</f>
        <v>200.42999999999998</v>
      </c>
      <c r="D30" s="136">
        <f>ROUNDUP('採算表(VND)'!D30/$N$1,2)</f>
        <v>166.60999999999999</v>
      </c>
      <c r="E30" s="136">
        <f>ROUNDUP('採算表(VND)'!E30/$N$1,2)</f>
        <v>164.91</v>
      </c>
      <c r="F30" s="136">
        <f>ROUNDUP('採算表(VND)'!F30/$N$1,2)</f>
        <v>214.42999999999998</v>
      </c>
      <c r="G30" s="136">
        <f>ROUNDUP('採算表(VND)'!G30/$N$1,2)</f>
        <v>236.06</v>
      </c>
      <c r="H30" s="136">
        <f>ROUNDUP('採算表(VND)'!H30/$N$1,2)</f>
        <v>219.32</v>
      </c>
      <c r="I30" s="136">
        <f>ROUNDUP('採算表(VND)'!I30/$N$1,2)</f>
        <v>184.45999999999998</v>
      </c>
      <c r="J30" s="136">
        <f>ROUNDUP('採算表(VND)'!J30/$N$1,2)</f>
        <v>191.75</v>
      </c>
      <c r="K30" s="136">
        <f>ROUNDUP('採算表(VND)'!K30/$N$1,2)</f>
        <v>202.34</v>
      </c>
      <c r="L30" s="136">
        <f>ROUNDUP('採算表(VND)'!L30/$N$1,2)</f>
        <v>135.22999999999999</v>
      </c>
      <c r="M30" s="136">
        <f>ROUNDUP('採算表(VND)'!M30/$N$1,2)</f>
        <v>170.01999999999998</v>
      </c>
      <c r="N30" s="136">
        <f>ROUNDUP('採算表(VND)'!N30/$N$1,2)</f>
        <v>126.57000000000001</v>
      </c>
      <c r="O30" s="136">
        <f t="shared" si="4"/>
        <v>2212.1299999999997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1181.57</v>
      </c>
      <c r="E31" s="136">
        <f>ROUNDUP('採算表(VND)'!E31/$N$1,2)</f>
        <v>0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1181.57</v>
      </c>
    </row>
    <row r="32" spans="1:15" ht="11.25" customHeight="1">
      <c r="A32" s="38"/>
      <c r="B32" s="37" t="s">
        <v>61</v>
      </c>
      <c r="C32" s="136">
        <f>ROUNDUP('採算表(VND)'!C32/$N$1,2)</f>
        <v>472.63</v>
      </c>
      <c r="D32" s="136">
        <f>ROUNDUP('採算表(VND)'!D32/$N$1,2)</f>
        <v>472.63</v>
      </c>
      <c r="E32" s="136">
        <f>ROUNDUP('採算表(VND)'!E32/$N$1,2)</f>
        <v>472.63</v>
      </c>
      <c r="F32" s="136">
        <f>ROUNDUP('採算表(VND)'!F32/$N$1,2)</f>
        <v>472.63</v>
      </c>
      <c r="G32" s="136">
        <f>ROUNDUP('採算表(VND)'!G32/$N$1,2)</f>
        <v>472.63</v>
      </c>
      <c r="H32" s="136">
        <f>ROUNDUP('採算表(VND)'!H32/$N$1,2)</f>
        <v>472.63</v>
      </c>
      <c r="I32" s="136">
        <f>ROUNDUP('採算表(VND)'!I32/$N$1,2)</f>
        <v>472.63</v>
      </c>
      <c r="J32" s="136">
        <f>ROUNDUP('採算表(VND)'!J32/$N$1,2)</f>
        <v>472.63</v>
      </c>
      <c r="K32" s="136">
        <f>ROUNDUP('採算表(VND)'!K32/$N$1,2)</f>
        <v>472.63</v>
      </c>
      <c r="L32" s="136">
        <f>ROUNDUP('採算表(VND)'!L32/$N$1,2)</f>
        <v>472.63</v>
      </c>
      <c r="M32" s="136">
        <f>ROUNDUP('採算表(VND)'!M32/$N$1,2)</f>
        <v>472.63</v>
      </c>
      <c r="N32" s="136">
        <f>ROUNDUP('採算表(VND)'!N32/$N$1,2)</f>
        <v>472.63</v>
      </c>
      <c r="O32" s="136">
        <f t="shared" si="4"/>
        <v>5671.56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657.9</v>
      </c>
      <c r="D36" s="136">
        <f>ROUNDUP('採算表(VND)'!D36/$N$1,2)</f>
        <v>657.9</v>
      </c>
      <c r="E36" s="136">
        <f>ROUNDUP('採算表(VND)'!E36/$N$1,2)</f>
        <v>1440.8</v>
      </c>
      <c r="F36" s="136">
        <f>ROUNDUP('採算表(VND)'!F36/$N$1,2)</f>
        <v>657.9</v>
      </c>
      <c r="G36" s="136">
        <f>ROUNDUP('採算表(VND)'!G36/$N$1,2)</f>
        <v>657.9</v>
      </c>
      <c r="H36" s="136">
        <f>ROUNDUP('採算表(VND)'!H36/$N$1,2)</f>
        <v>1381.59</v>
      </c>
      <c r="I36" s="136">
        <f>ROUNDUP('採算表(VND)'!I36/$N$1,2)</f>
        <v>1440.8</v>
      </c>
      <c r="J36" s="136">
        <f>ROUNDUP('採算表(VND)'!J36/$N$1,2)</f>
        <v>657.9</v>
      </c>
      <c r="K36" s="136">
        <f>ROUNDUP('採算表(VND)'!K36/$N$1,2)</f>
        <v>657.9</v>
      </c>
      <c r="L36" s="136">
        <f>ROUNDUP('採算表(VND)'!L36/$N$1,2)</f>
        <v>1381.59</v>
      </c>
      <c r="M36" s="136">
        <f>ROUNDUP('採算表(VND)'!M36/$N$1,2)</f>
        <v>657.9</v>
      </c>
      <c r="N36" s="136">
        <f>ROUNDUP('採算表(VND)'!N36/$N$1,2)</f>
        <v>657.9</v>
      </c>
      <c r="O36" s="136">
        <f t="shared" si="4"/>
        <v>10907.98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1.79</v>
      </c>
      <c r="D39" s="136">
        <f>ROUNDUP('採算表(VND)'!D39/$N$1,2)</f>
        <v>1.79</v>
      </c>
      <c r="E39" s="136">
        <f>ROUNDUP('採算表(VND)'!E39/$N$1,2)</f>
        <v>1.79</v>
      </c>
      <c r="F39" s="136">
        <f>ROUNDUP('採算表(VND)'!F39/$N$1,2)</f>
        <v>1.79</v>
      </c>
      <c r="G39" s="136">
        <f>ROUNDUP('採算表(VND)'!G39/$N$1,2)</f>
        <v>1.79</v>
      </c>
      <c r="H39" s="136">
        <f>ROUNDUP('採算表(VND)'!H39/$N$1,2)</f>
        <v>1.79</v>
      </c>
      <c r="I39" s="136">
        <f>ROUNDUP('採算表(VND)'!I39/$N$1,2)</f>
        <v>1.79</v>
      </c>
      <c r="J39" s="136">
        <f>ROUNDUP('採算表(VND)'!J39/$N$1,2)</f>
        <v>1.79</v>
      </c>
      <c r="K39" s="136">
        <f>ROUNDUP('採算表(VND)'!K39/$N$1,2)</f>
        <v>1.79</v>
      </c>
      <c r="L39" s="136">
        <f>ROUNDUP('採算表(VND)'!L39/$N$1,2)</f>
        <v>1.79</v>
      </c>
      <c r="M39" s="136">
        <f>ROUNDUP('採算表(VND)'!M39/$N$1,2)</f>
        <v>1.79</v>
      </c>
      <c r="N39" s="136">
        <f>ROUNDUP('採算表(VND)'!N39/$N$1,2)</f>
        <v>1.79</v>
      </c>
      <c r="O39" s="136">
        <f t="shared" si="4"/>
        <v>21.479999999999993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3.94</v>
      </c>
      <c r="D41" s="136">
        <f>ROUNDUP('採算表(VND)'!D41/$N$1,2)</f>
        <v>3.94</v>
      </c>
      <c r="E41" s="136">
        <f>ROUNDUP('採算表(VND)'!E41/$N$1,2)</f>
        <v>3.94</v>
      </c>
      <c r="F41" s="136">
        <f>ROUNDUP('採算表(VND)'!F41/$N$1,2)</f>
        <v>3.94</v>
      </c>
      <c r="G41" s="136">
        <f>ROUNDUP('採算表(VND)'!G41/$N$1,2)</f>
        <v>3.94</v>
      </c>
      <c r="H41" s="136">
        <f>ROUNDUP('採算表(VND)'!H41/$N$1,2)</f>
        <v>1.97</v>
      </c>
      <c r="I41" s="136">
        <f>ROUNDUP('採算表(VND)'!I41/$N$1,2)</f>
        <v>1.97</v>
      </c>
      <c r="J41" s="136">
        <f>ROUNDUP('採算表(VND)'!J41/$N$1,2)</f>
        <v>3.94</v>
      </c>
      <c r="K41" s="136">
        <f>ROUNDUP('採算表(VND)'!K41/$N$1,2)</f>
        <v>1.97</v>
      </c>
      <c r="L41" s="136">
        <f>ROUNDUP('採算表(VND)'!L41/$N$1,2)</f>
        <v>1.97</v>
      </c>
      <c r="M41" s="136">
        <f>ROUNDUP('採算表(VND)'!M41/$N$1,2)</f>
        <v>3.94</v>
      </c>
      <c r="N41" s="136">
        <f>ROUNDUP('採算表(VND)'!N41/$N$1,2)</f>
        <v>1.97</v>
      </c>
      <c r="O41" s="136">
        <f t="shared" si="4"/>
        <v>37.429999999999993</v>
      </c>
    </row>
    <row r="42" spans="1:15" ht="11.25" customHeight="1">
      <c r="A42" s="38"/>
      <c r="B42" s="37" t="s">
        <v>97</v>
      </c>
      <c r="C42" s="136">
        <f>ROUNDUP('採算表(VND)'!C42/$N$1,2)</f>
        <v>83.03</v>
      </c>
      <c r="D42" s="136">
        <f>ROUNDUP('採算表(VND)'!D42/$N$1,2)</f>
        <v>83.03</v>
      </c>
      <c r="E42" s="136">
        <f>ROUNDUP('採算表(VND)'!E42/$N$1,2)</f>
        <v>83.03</v>
      </c>
      <c r="F42" s="136">
        <f>ROUNDUP('採算表(VND)'!F42/$N$1,2)</f>
        <v>83.03</v>
      </c>
      <c r="G42" s="136">
        <f>ROUNDUP('採算表(VND)'!G42/$N$1,2)</f>
        <v>83.03</v>
      </c>
      <c r="H42" s="136">
        <f>ROUNDUP('採算表(VND)'!H42/$N$1,2)</f>
        <v>83.03</v>
      </c>
      <c r="I42" s="136">
        <f>ROUNDUP('採算表(VND)'!I42/$N$1,2)</f>
        <v>98.79</v>
      </c>
      <c r="J42" s="136">
        <f>ROUNDUP('採算表(VND)'!J42/$N$1,2)</f>
        <v>83.75</v>
      </c>
      <c r="K42" s="136">
        <f>ROUNDUP('採算表(VND)'!K42/$N$1,2)</f>
        <v>83.03</v>
      </c>
      <c r="L42" s="136">
        <f>ROUNDUP('採算表(VND)'!L42/$N$1,2)</f>
        <v>83.03</v>
      </c>
      <c r="M42" s="136">
        <f>ROUNDUP('採算表(VND)'!M42/$N$1,2)</f>
        <v>83.03</v>
      </c>
      <c r="N42" s="136">
        <f>ROUNDUP('採算表(VND)'!N42/$N$1,2)</f>
        <v>83.03</v>
      </c>
      <c r="O42" s="136">
        <f t="shared" si="4"/>
        <v>1012.8399999999998</v>
      </c>
    </row>
    <row r="43" spans="1:15" ht="11.25" customHeight="1">
      <c r="A43" s="38"/>
      <c r="B43" s="37" t="s">
        <v>98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161.48999999999998</v>
      </c>
      <c r="D44" s="136">
        <f>ROUNDUP('採算表(VND)'!D44/$N$1,2)</f>
        <v>1035.8499999999999</v>
      </c>
      <c r="E44" s="136">
        <f>ROUNDUP('採算表(VND)'!E44/$N$1,2)</f>
        <v>161.48999999999998</v>
      </c>
      <c r="F44" s="136">
        <f>ROUNDUP('採算表(VND)'!F44/$N$1,2)</f>
        <v>172.32</v>
      </c>
      <c r="G44" s="136">
        <f>ROUNDUP('採算表(VND)'!G44/$N$1,2)</f>
        <v>161.48999999999998</v>
      </c>
      <c r="H44" s="136">
        <f>ROUNDUP('採算表(VND)'!H44/$N$1,2)</f>
        <v>247.85999999999999</v>
      </c>
      <c r="I44" s="136">
        <f>ROUNDUP('採算表(VND)'!I44/$N$1,2)</f>
        <v>161.48999999999998</v>
      </c>
      <c r="J44" s="136">
        <f>ROUNDUP('採算表(VND)'!J44/$N$1,2)</f>
        <v>210.17</v>
      </c>
      <c r="K44" s="136">
        <f>ROUNDUP('採算表(VND)'!K44/$N$1,2)</f>
        <v>244.54999999999998</v>
      </c>
      <c r="L44" s="136">
        <f>ROUNDUP('採算表(VND)'!L44/$N$1,2)</f>
        <v>256.01</v>
      </c>
      <c r="M44" s="136">
        <f>ROUNDUP('採算表(VND)'!M44/$N$1,2)</f>
        <v>208.75</v>
      </c>
      <c r="N44" s="136">
        <f>ROUNDUP('採算表(VND)'!N44/$N$1,2)</f>
        <v>161.48999999999998</v>
      </c>
      <c r="O44" s="136">
        <f t="shared" si="4"/>
        <v>3182.96</v>
      </c>
    </row>
    <row r="45" spans="1:15" ht="11.25" customHeight="1">
      <c r="A45" s="38"/>
      <c r="B45" s="37" t="s">
        <v>114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115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116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104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117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118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99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109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112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113</v>
      </c>
      <c r="C57" s="139">
        <f>ROUNDUP('採算表(VND)'!C57/$N$1,2)</f>
        <v>2047.61</v>
      </c>
      <c r="D57" s="139">
        <f>ROUNDUP('採算表(VND)'!D57/$N$1,2)</f>
        <v>1975.01</v>
      </c>
      <c r="E57" s="139">
        <f>ROUNDUP('採算表(VND)'!E57/$N$1,2)</f>
        <v>1976.08</v>
      </c>
      <c r="F57" s="139">
        <f>ROUNDUP('採算表(VND)'!F57/$N$1,2)</f>
        <v>1999.3</v>
      </c>
      <c r="G57" s="139">
        <f>ROUNDUP('採算表(VND)'!G57/$N$1,2)</f>
        <v>2101.8900000000003</v>
      </c>
      <c r="H57" s="139">
        <f>ROUNDUP('採算表(VND)'!H57/$N$1,2)</f>
        <v>1580.67</v>
      </c>
      <c r="I57" s="139">
        <f>ROUNDUP('採算表(VND)'!I57/$N$1,2)</f>
        <v>2188.36</v>
      </c>
      <c r="J57" s="139">
        <f>ROUNDUP('採算表(VND)'!J57/$N$1,2)</f>
        <v>2177.9900000000002</v>
      </c>
      <c r="K57" s="139">
        <f>ROUNDUP('採算表(VND)'!K57/$N$1,2)</f>
        <v>2187.3300000000004</v>
      </c>
      <c r="L57" s="139">
        <f>ROUNDUP('採算表(VND)'!L57/$N$1,2)</f>
        <v>2187.17</v>
      </c>
      <c r="M57" s="139">
        <f>ROUNDUP('採算表(VND)'!M57/$N$1,2)</f>
        <v>2177.13</v>
      </c>
      <c r="N57" s="139">
        <f>ROUNDUP('採算表(VND)'!N57/$N$1,2)</f>
        <v>2176.4900000000002</v>
      </c>
      <c r="O57" s="139">
        <f t="shared" si="4"/>
        <v>24775.030000000006</v>
      </c>
    </row>
    <row r="58" spans="1:15" ht="11.25" customHeight="1">
      <c r="A58" s="38"/>
      <c r="B58" s="37" t="s">
        <v>121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120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122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105</v>
      </c>
      <c r="C61" s="139">
        <f>ROUNDUP('採算表(VND)'!C61/$N$1,2)</f>
        <v>0</v>
      </c>
      <c r="D61" s="139">
        <f>ROUNDUP('採算表(VND)'!D61/$N$1,2)</f>
        <v>0</v>
      </c>
      <c r="E61" s="139">
        <f>ROUNDUP('採算表(VND)'!E61/$N$1,2)</f>
        <v>0</v>
      </c>
      <c r="F61" s="139">
        <f>ROUNDUP('採算表(VND)'!F61/$N$1,2)</f>
        <v>0</v>
      </c>
      <c r="G61" s="139">
        <f>ROUNDUP('採算表(VND)'!G61/$N$1,2)</f>
        <v>0</v>
      </c>
      <c r="H61" s="139">
        <f>ROUNDUP('採算表(VND)'!H61/$N$1,2)</f>
        <v>0</v>
      </c>
      <c r="I61" s="139">
        <f>ROUNDUP('採算表(VND)'!I61/$N$1,2)</f>
        <v>0</v>
      </c>
      <c r="J61" s="139">
        <f>ROUNDUP('採算表(VND)'!J61/$N$1,2)</f>
        <v>0</v>
      </c>
      <c r="K61" s="139">
        <f>ROUNDUP('採算表(VND)'!K61/$N$1,2)</f>
        <v>0</v>
      </c>
      <c r="L61" s="139">
        <f>ROUNDUP('採算表(VND)'!L61/$N$1,2)</f>
        <v>0</v>
      </c>
      <c r="M61" s="139">
        <f>ROUNDUP('採算表(VND)'!M61/$N$1,2)</f>
        <v>0</v>
      </c>
      <c r="N61" s="139">
        <f>ROUNDUP('採算表(VND)'!N61/$N$1,2)</f>
        <v>0</v>
      </c>
      <c r="O61" s="139">
        <f t="shared" si="4"/>
        <v>0</v>
      </c>
    </row>
    <row r="62" spans="1:15" ht="11.25" customHeight="1">
      <c r="A62" s="38"/>
      <c r="B62" s="37" t="s">
        <v>417</v>
      </c>
      <c r="C62" s="139">
        <f>ROUNDUP('採算表(VND)'!C62/$N$1,2)</f>
        <v>15.67</v>
      </c>
      <c r="D62" s="139">
        <f>ROUNDUP('採算表(VND)'!D62/$N$1,2)</f>
        <v>17.990000000000002</v>
      </c>
      <c r="E62" s="139">
        <f>ROUNDUP('採算表(VND)'!E62/$N$1,2)</f>
        <v>14.97</v>
      </c>
      <c r="F62" s="139">
        <f>ROUNDUP('採算表(VND)'!F62/$N$1,2)</f>
        <v>24.740000000000002</v>
      </c>
      <c r="G62" s="139">
        <f>ROUNDUP('採算表(VND)'!G62/$N$1,2)</f>
        <v>22.240000000000002</v>
      </c>
      <c r="H62" s="139">
        <f>ROUNDUP('採算表(VND)'!H62/$N$1,2)</f>
        <v>24.34</v>
      </c>
      <c r="I62" s="139">
        <f>ROUNDUP('採算表(VND)'!I62/$N$1,2)</f>
        <v>14.64</v>
      </c>
      <c r="J62" s="139">
        <f>ROUNDUP('採算表(VND)'!J62/$N$1,2)</f>
        <v>14.73</v>
      </c>
      <c r="K62" s="139">
        <f>ROUNDUP('採算表(VND)'!K62/$N$1,2)</f>
        <v>14.879999999999999</v>
      </c>
      <c r="L62" s="139">
        <f>ROUNDUP('採算表(VND)'!L62/$N$1,2)</f>
        <v>14.32</v>
      </c>
      <c r="M62" s="139">
        <f>ROUNDUP('採算表(VND)'!M62/$N$1,2)</f>
        <v>15.15</v>
      </c>
      <c r="N62" s="139">
        <f>ROUNDUP('採算表(VND)'!N62/$N$1,2)</f>
        <v>14.49</v>
      </c>
      <c r="O62" s="139">
        <f t="shared" si="4"/>
        <v>208.16000000000003</v>
      </c>
    </row>
    <row r="63" spans="1:15" ht="11.25" customHeight="1">
      <c r="A63" s="38"/>
      <c r="B63" s="37" t="s">
        <v>418</v>
      </c>
      <c r="C63" s="139">
        <f>ROUNDUP('採算表(VND)'!C63/$N$1,2)</f>
        <v>95.65</v>
      </c>
      <c r="D63" s="139">
        <f>ROUNDUP('採算表(VND)'!D63/$N$1,2)</f>
        <v>32.69</v>
      </c>
      <c r="E63" s="139">
        <f>ROUNDUP('採算表(VND)'!E63/$N$1,2)</f>
        <v>23.41</v>
      </c>
      <c r="F63" s="139">
        <f>ROUNDUP('採算表(VND)'!F63/$N$1,2)</f>
        <v>37.82</v>
      </c>
      <c r="G63" s="139">
        <f>ROUNDUP('採算表(VND)'!G63/$N$1,2)</f>
        <v>33.96</v>
      </c>
      <c r="H63" s="139">
        <f>ROUNDUP('採算表(VND)'!H63/$N$1,2)</f>
        <v>30.540000000000003</v>
      </c>
      <c r="I63" s="139">
        <f>ROUNDUP('採算表(VND)'!I63/$N$1,2)</f>
        <v>25.46</v>
      </c>
      <c r="J63" s="139">
        <f>ROUNDUP('採算表(VND)'!J63/$N$1,2)</f>
        <v>26.19</v>
      </c>
      <c r="K63" s="139">
        <f>ROUNDUP('採算表(VND)'!K63/$N$1,2)</f>
        <v>25.290000000000003</v>
      </c>
      <c r="L63" s="139">
        <f>ROUNDUP('採算表(VND)'!L63/$N$1,2)</f>
        <v>19.78</v>
      </c>
      <c r="M63" s="139">
        <f>ROUNDUP('採算表(VND)'!M63/$N$1,2)</f>
        <v>20.700000000000003</v>
      </c>
      <c r="N63" s="139">
        <f>ROUNDUP('採算表(VND)'!N63/$N$1,2)</f>
        <v>20.34</v>
      </c>
      <c r="O63" s="139">
        <f t="shared" si="4"/>
        <v>391.82999999999993</v>
      </c>
    </row>
    <row r="64" spans="1:15" ht="11.25" customHeight="1">
      <c r="A64" s="38"/>
      <c r="B64" s="37" t="s">
        <v>142</v>
      </c>
      <c r="C64" s="139">
        <f>ROUNDUP('採算表(VND)'!C64/$N$1,2)</f>
        <v>1137.04</v>
      </c>
      <c r="D64" s="139">
        <f>ROUNDUP('採算表(VND)'!D64/$N$1,2)</f>
        <v>1452.68</v>
      </c>
      <c r="E64" s="139">
        <f>ROUNDUP('採算表(VND)'!E64/$N$1,2)</f>
        <v>1075.5</v>
      </c>
      <c r="F64" s="139">
        <f>ROUNDUP('採算表(VND)'!F64/$N$1,2)</f>
        <v>2323.9</v>
      </c>
      <c r="G64" s="139">
        <f>ROUNDUP('採算表(VND)'!G64/$N$1,2)</f>
        <v>1294.81</v>
      </c>
      <c r="H64" s="139">
        <f>ROUNDUP('採算表(VND)'!H64/$N$1,2)</f>
        <v>1265.5999999999999</v>
      </c>
      <c r="I64" s="139">
        <f>ROUNDUP('採算表(VND)'!I64/$N$1,2)</f>
        <v>1071.6199999999999</v>
      </c>
      <c r="J64" s="139">
        <f>ROUNDUP('採算表(VND)'!J64/$N$1,2)</f>
        <v>902.81</v>
      </c>
      <c r="K64" s="139">
        <f>ROUNDUP('採算表(VND)'!K64/$N$1,2)</f>
        <v>892.89</v>
      </c>
      <c r="L64" s="139">
        <f>ROUNDUP('採算表(VND)'!L64/$N$1,2)</f>
        <v>993.98</v>
      </c>
      <c r="M64" s="139">
        <f>ROUNDUP('採算表(VND)'!M64/$N$1,2)</f>
        <v>686.4</v>
      </c>
      <c r="N64" s="139">
        <f>ROUNDUP('採算表(VND)'!N64/$N$1,2)</f>
        <v>708.36</v>
      </c>
      <c r="O64" s="139">
        <f t="shared" si="4"/>
        <v>13805.59</v>
      </c>
    </row>
    <row r="65" spans="1:15" ht="11.25" customHeight="1">
      <c r="A65" s="38"/>
      <c r="B65" s="37" t="s">
        <v>110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14016.639999999996</v>
      </c>
      <c r="D66" s="134">
        <f t="shared" ref="D66:O66" si="5">IF(ISBLANK(D4),"",D12-D13)</f>
        <v>25649.219999999998</v>
      </c>
      <c r="E66" s="134">
        <f t="shared" si="5"/>
        <v>24036.769999999997</v>
      </c>
      <c r="F66" s="134">
        <f t="shared" si="5"/>
        <v>23483.719999999998</v>
      </c>
      <c r="G66" s="134">
        <f t="shared" si="5"/>
        <v>27065.989999999994</v>
      </c>
      <c r="H66" s="134">
        <f t="shared" si="5"/>
        <v>14743.169999999995</v>
      </c>
      <c r="I66" s="134">
        <f t="shared" si="5"/>
        <v>38700.060000000005</v>
      </c>
      <c r="J66" s="134">
        <f t="shared" si="5"/>
        <v>28512.889999999996</v>
      </c>
      <c r="K66" s="134">
        <f t="shared" si="5"/>
        <v>27062.679999999997</v>
      </c>
      <c r="L66" s="134">
        <f t="shared" si="5"/>
        <v>27325.65</v>
      </c>
      <c r="M66" s="134">
        <f t="shared" si="5"/>
        <v>27546.969999999994</v>
      </c>
      <c r="N66" s="134">
        <f t="shared" si="5"/>
        <v>27201.64</v>
      </c>
      <c r="O66" s="134">
        <f t="shared" si="5"/>
        <v>305345.40000000002</v>
      </c>
    </row>
    <row r="67" spans="1:15" ht="11.25" customHeight="1">
      <c r="A67" s="26"/>
      <c r="B67" s="28" t="s">
        <v>78</v>
      </c>
      <c r="C67" s="133">
        <f>C73+C79</f>
        <v>2247</v>
      </c>
      <c r="D67" s="133">
        <f t="shared" ref="D67:O67" si="6">IF(ISBLANK(D4),"",D73+D79)</f>
        <v>2097.5</v>
      </c>
      <c r="E67" s="133">
        <f t="shared" si="6"/>
        <v>2315.25</v>
      </c>
      <c r="F67" s="133">
        <f t="shared" si="6"/>
        <v>2579.5</v>
      </c>
      <c r="G67" s="133">
        <f t="shared" si="6"/>
        <v>2257.5</v>
      </c>
      <c r="H67" s="133">
        <f t="shared" si="6"/>
        <v>2146.25</v>
      </c>
      <c r="I67" s="133">
        <f t="shared" si="6"/>
        <v>2545.25</v>
      </c>
      <c r="J67" s="133">
        <f t="shared" si="6"/>
        <v>2228.75</v>
      </c>
      <c r="K67" s="133">
        <f t="shared" si="6"/>
        <v>2447.5</v>
      </c>
      <c r="L67" s="133">
        <f t="shared" si="6"/>
        <v>2230.25</v>
      </c>
      <c r="M67" s="133">
        <f t="shared" si="6"/>
        <v>1679.5</v>
      </c>
      <c r="N67" s="133">
        <f t="shared" si="6"/>
        <v>2230.25</v>
      </c>
      <c r="O67" s="133">
        <f t="shared" si="6"/>
        <v>27004.5</v>
      </c>
    </row>
    <row r="68" spans="1:15" ht="11.25" customHeight="1">
      <c r="A68" s="38"/>
      <c r="B68" s="46" t="s">
        <v>143</v>
      </c>
      <c r="C68" s="135">
        <f>'採算表(VND)'!C68</f>
        <v>1997.5</v>
      </c>
      <c r="D68" s="135">
        <f>'採算表(VND)'!D68</f>
        <v>1853</v>
      </c>
      <c r="E68" s="135">
        <f>'採算表(VND)'!E68</f>
        <v>2057</v>
      </c>
      <c r="F68" s="135">
        <f>'採算表(VND)'!F68</f>
        <v>2261</v>
      </c>
      <c r="G68" s="135">
        <f>'採算表(VND)'!G68</f>
        <v>1955</v>
      </c>
      <c r="H68" s="135">
        <f>'採算表(VND)'!H68</f>
        <v>1853</v>
      </c>
      <c r="I68" s="135">
        <f>'採算表(VND)'!I68</f>
        <v>2261</v>
      </c>
      <c r="J68" s="135">
        <f>'採算表(VND)'!J68</f>
        <v>1963.5</v>
      </c>
      <c r="K68" s="135">
        <f>'採算表(VND)'!K68</f>
        <v>2167.5</v>
      </c>
      <c r="L68" s="135">
        <f>'採算表(VND)'!L68</f>
        <v>1963.5</v>
      </c>
      <c r="M68" s="135">
        <f>'採算表(VND)'!M68</f>
        <v>1453.5</v>
      </c>
      <c r="N68" s="135">
        <f>'採算表(VND)'!N68</f>
        <v>1963.5</v>
      </c>
      <c r="O68" s="135">
        <f>SUM(C68:N68)</f>
        <v>23749</v>
      </c>
    </row>
    <row r="69" spans="1:15" ht="11.25" customHeight="1">
      <c r="A69" s="38"/>
      <c r="B69" s="46" t="s">
        <v>87</v>
      </c>
      <c r="C69" s="136">
        <f>'採算表(VND)'!C69</f>
        <v>0</v>
      </c>
      <c r="D69" s="136">
        <f>'採算表(VND)'!D69</f>
        <v>0</v>
      </c>
      <c r="E69" s="136">
        <f>'採算表(VND)'!E69</f>
        <v>0</v>
      </c>
      <c r="F69" s="136">
        <f>'採算表(VND)'!F69</f>
        <v>0</v>
      </c>
      <c r="G69" s="136">
        <f>'採算表(VND)'!G69</f>
        <v>0</v>
      </c>
      <c r="H69" s="136">
        <f>'採算表(VND)'!H69</f>
        <v>0</v>
      </c>
      <c r="I69" s="136">
        <f>'採算表(VND)'!I69</f>
        <v>0</v>
      </c>
      <c r="J69" s="136">
        <f>'採算表(VND)'!J69</f>
        <v>0</v>
      </c>
      <c r="K69" s="136">
        <f>'採算表(VND)'!K69</f>
        <v>0</v>
      </c>
      <c r="L69" s="136">
        <f>'採算表(VND)'!L69</f>
        <v>0</v>
      </c>
      <c r="M69" s="136">
        <f>'採算表(VND)'!M69</f>
        <v>0</v>
      </c>
      <c r="N69" s="136">
        <f>'採算表(VND)'!N69</f>
        <v>0</v>
      </c>
      <c r="O69" s="136">
        <f>SUM(C69:N69)</f>
        <v>0</v>
      </c>
    </row>
    <row r="70" spans="1:15" ht="11.25" customHeight="1">
      <c r="A70" s="38"/>
      <c r="B70" s="47" t="s">
        <v>125</v>
      </c>
      <c r="C70" s="140">
        <f>'採算表(VND)'!C70</f>
        <v>6.75</v>
      </c>
      <c r="D70" s="140">
        <f>'採算表(VND)'!D70</f>
        <v>7</v>
      </c>
      <c r="E70" s="140">
        <f>'採算表(VND)'!E70</f>
        <v>7.75</v>
      </c>
      <c r="F70" s="140">
        <f>'採算表(VND)'!F70</f>
        <v>12</v>
      </c>
      <c r="G70" s="140">
        <f>'採算表(VND)'!G70</f>
        <v>10.75</v>
      </c>
      <c r="H70" s="140">
        <f>'採算表(VND)'!H70</f>
        <v>10</v>
      </c>
      <c r="I70" s="140">
        <f>'採算表(VND)'!I70</f>
        <v>8.25</v>
      </c>
      <c r="J70" s="140">
        <f>'採算表(VND)'!J70</f>
        <v>7.25</v>
      </c>
      <c r="K70" s="140">
        <f>'採算表(VND)'!K70</f>
        <v>8</v>
      </c>
      <c r="L70" s="140">
        <f>'採算表(VND)'!L70</f>
        <v>7.5</v>
      </c>
      <c r="M70" s="140">
        <f>'採算表(VND)'!M70</f>
        <v>5.5</v>
      </c>
      <c r="N70" s="140">
        <f>'採算表(VND)'!N70</f>
        <v>7.5</v>
      </c>
      <c r="O70" s="140">
        <f>SUM(C70:N70)</f>
        <v>98.25</v>
      </c>
    </row>
    <row r="71" spans="1:15" ht="11.25" customHeight="1">
      <c r="A71" s="38"/>
      <c r="B71" s="47" t="s">
        <v>126</v>
      </c>
      <c r="C71" s="140">
        <f>'採算表(VND)'!C71</f>
        <v>12.75</v>
      </c>
      <c r="D71" s="140">
        <f>'採算表(VND)'!D71</f>
        <v>12.25</v>
      </c>
      <c r="E71" s="140">
        <f>'採算表(VND)'!E71</f>
        <v>14</v>
      </c>
      <c r="F71" s="140">
        <f>'採算表(VND)'!F71</f>
        <v>23.25</v>
      </c>
      <c r="G71" s="140">
        <f>'採算表(VND)'!G71</f>
        <v>20.25</v>
      </c>
      <c r="H71" s="140">
        <f>'採算表(VND)'!H71</f>
        <v>19.75</v>
      </c>
      <c r="I71" s="140">
        <f>'採算表(VND)'!I71</f>
        <v>16.25</v>
      </c>
      <c r="J71" s="140">
        <f>'採算表(VND)'!J71</f>
        <v>14</v>
      </c>
      <c r="K71" s="140">
        <f>'採算表(VND)'!K71</f>
        <v>15.5</v>
      </c>
      <c r="L71" s="140">
        <f>'採算表(VND)'!L71</f>
        <v>14.25</v>
      </c>
      <c r="M71" s="140">
        <f>'採算表(VND)'!M71</f>
        <v>10.75</v>
      </c>
      <c r="N71" s="140">
        <f>'採算表(VND)'!N71</f>
        <v>14</v>
      </c>
      <c r="O71" s="140">
        <f>SUM(C71:N71)</f>
        <v>187</v>
      </c>
    </row>
    <row r="72" spans="1:15" ht="11.25" customHeight="1">
      <c r="A72" s="38"/>
      <c r="B72" s="40" t="s">
        <v>88</v>
      </c>
      <c r="C72" s="141">
        <f>'採算表(VND)'!C72</f>
        <v>57</v>
      </c>
      <c r="D72" s="141">
        <f>'採算表(VND)'!D72</f>
        <v>56.5</v>
      </c>
      <c r="E72" s="141">
        <f>'採算表(VND)'!E72</f>
        <v>60</v>
      </c>
      <c r="F72" s="141">
        <f>'採算表(VND)'!F72</f>
        <v>96</v>
      </c>
      <c r="G72" s="141">
        <f>'採算表(VND)'!G72</f>
        <v>88.25</v>
      </c>
      <c r="H72" s="141">
        <f>'採算表(VND)'!H72</f>
        <v>82.5</v>
      </c>
      <c r="I72" s="141">
        <f>'採算表(VND)'!I72</f>
        <v>65</v>
      </c>
      <c r="J72" s="141">
        <f>'採算表(VND)'!J72</f>
        <v>59.25</v>
      </c>
      <c r="K72" s="141">
        <f>'採算表(VND)'!K72</f>
        <v>63.75</v>
      </c>
      <c r="L72" s="141">
        <f>'採算表(VND)'!L72</f>
        <v>60.25</v>
      </c>
      <c r="M72" s="141">
        <f>'採算表(VND)'!M72</f>
        <v>45.25</v>
      </c>
      <c r="N72" s="141">
        <f>'採算表(VND)'!N72</f>
        <v>60.5</v>
      </c>
      <c r="O72" s="141">
        <f>SUM(C72:N72)</f>
        <v>794.25</v>
      </c>
    </row>
    <row r="73" spans="1:15" ht="11.25" customHeight="1">
      <c r="A73" s="38"/>
      <c r="B73" s="41" t="s">
        <v>144</v>
      </c>
      <c r="C73" s="142">
        <f>SUM(C68:C72)</f>
        <v>2074</v>
      </c>
      <c r="D73" s="142">
        <f t="shared" ref="D73:O73" si="7">IF(ISBLANK(D4),"",SUM(D68:D72))</f>
        <v>1928.75</v>
      </c>
      <c r="E73" s="142">
        <f t="shared" si="7"/>
        <v>2138.75</v>
      </c>
      <c r="F73" s="142">
        <f t="shared" si="7"/>
        <v>2392.25</v>
      </c>
      <c r="G73" s="142">
        <f t="shared" si="7"/>
        <v>2074.25</v>
      </c>
      <c r="H73" s="142">
        <f t="shared" si="7"/>
        <v>1965.25</v>
      </c>
      <c r="I73" s="142">
        <f t="shared" si="7"/>
        <v>2350.5</v>
      </c>
      <c r="J73" s="142">
        <f t="shared" si="7"/>
        <v>2044</v>
      </c>
      <c r="K73" s="142">
        <f t="shared" si="7"/>
        <v>2254.75</v>
      </c>
      <c r="L73" s="142">
        <f t="shared" si="7"/>
        <v>2045.5</v>
      </c>
      <c r="M73" s="142">
        <f t="shared" si="7"/>
        <v>1515</v>
      </c>
      <c r="N73" s="142">
        <f t="shared" si="7"/>
        <v>2045.5</v>
      </c>
      <c r="O73" s="142">
        <f t="shared" si="7"/>
        <v>24828.5</v>
      </c>
    </row>
    <row r="74" spans="1:15" ht="11.25" customHeight="1">
      <c r="A74" s="38"/>
      <c r="B74" s="39" t="s">
        <v>85</v>
      </c>
      <c r="C74" s="135">
        <f>'採算表(VND)'!C74</f>
        <v>168</v>
      </c>
      <c r="D74" s="135">
        <f>'採算表(VND)'!D74</f>
        <v>164</v>
      </c>
      <c r="E74" s="135">
        <f>'採算表(VND)'!E74</f>
        <v>172</v>
      </c>
      <c r="F74" s="135">
        <f>'採算表(VND)'!F74</f>
        <v>180</v>
      </c>
      <c r="G74" s="135">
        <f>'採算表(VND)'!G74</f>
        <v>178</v>
      </c>
      <c r="H74" s="135">
        <f>'採算表(VND)'!H74</f>
        <v>174</v>
      </c>
      <c r="I74" s="135">
        <f>'採算表(VND)'!I74</f>
        <v>190</v>
      </c>
      <c r="J74" s="135">
        <f>'採算表(VND)'!J74</f>
        <v>180</v>
      </c>
      <c r="K74" s="135">
        <f>'採算表(VND)'!K74</f>
        <v>188</v>
      </c>
      <c r="L74" s="135">
        <f>'採算表(VND)'!L74</f>
        <v>180</v>
      </c>
      <c r="M74" s="135">
        <f>'採算表(VND)'!M74</f>
        <v>160</v>
      </c>
      <c r="N74" s="135">
        <f>'採算表(VND)'!N74</f>
        <v>180</v>
      </c>
      <c r="O74" s="135">
        <f>SUM(C74:N74)</f>
        <v>2114</v>
      </c>
    </row>
    <row r="75" spans="1:15">
      <c r="A75" s="38"/>
      <c r="B75" s="37" t="s">
        <v>87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0</v>
      </c>
      <c r="G75" s="136">
        <f>'採算表(VND)'!G75</f>
        <v>0</v>
      </c>
      <c r="H75" s="136">
        <f>'採算表(VND)'!H75</f>
        <v>0</v>
      </c>
      <c r="I75" s="136">
        <f>'採算表(VND)'!I75</f>
        <v>0</v>
      </c>
      <c r="J75" s="136">
        <f>'採算表(VND)'!J75</f>
        <v>0</v>
      </c>
      <c r="K75" s="136">
        <f>'採算表(VND)'!K75</f>
        <v>0</v>
      </c>
      <c r="L75" s="136">
        <f>'採算表(VND)'!L75</f>
        <v>0</v>
      </c>
      <c r="M75" s="136">
        <f>'採算表(VND)'!M75</f>
        <v>0</v>
      </c>
      <c r="N75" s="136">
        <f>'採算表(VND)'!N75</f>
        <v>0</v>
      </c>
      <c r="O75" s="136">
        <f>SUM(C75:N75)</f>
        <v>0</v>
      </c>
    </row>
    <row r="76" spans="1:15">
      <c r="A76" s="38"/>
      <c r="B76" s="37" t="s">
        <v>125</v>
      </c>
      <c r="C76" s="140">
        <f>'採算表(VND)'!C76</f>
        <v>0.5</v>
      </c>
      <c r="D76" s="140">
        <f>'採算表(VND)'!D76</f>
        <v>0.5</v>
      </c>
      <c r="E76" s="140">
        <f>'採算表(VND)'!E76</f>
        <v>0.5</v>
      </c>
      <c r="F76" s="140">
        <f>'採算表(VND)'!F76</f>
        <v>0.75</v>
      </c>
      <c r="G76" s="140">
        <f>'採算表(VND)'!G76</f>
        <v>0.75</v>
      </c>
      <c r="H76" s="140">
        <f>'採算表(VND)'!H76</f>
        <v>0.75</v>
      </c>
      <c r="I76" s="140">
        <f>'採算表(VND)'!I76</f>
        <v>0.5</v>
      </c>
      <c r="J76" s="140">
        <f>'採算表(VND)'!J76</f>
        <v>0.5</v>
      </c>
      <c r="K76" s="140">
        <f>'採算表(VND)'!K76</f>
        <v>0.5</v>
      </c>
      <c r="L76" s="140">
        <f>'採算表(VND)'!L76</f>
        <v>0.5</v>
      </c>
      <c r="M76" s="140">
        <f>'採算表(VND)'!M76</f>
        <v>0.25</v>
      </c>
      <c r="N76" s="140">
        <f>'採算表(VND)'!N76</f>
        <v>0.5</v>
      </c>
      <c r="O76" s="140">
        <f>SUM(C76:N76)</f>
        <v>6.5</v>
      </c>
    </row>
    <row r="77" spans="1:15">
      <c r="A77" s="38"/>
      <c r="B77" s="37" t="s">
        <v>126</v>
      </c>
      <c r="C77" s="140">
        <f>'採算表(VND)'!C77</f>
        <v>1.25</v>
      </c>
      <c r="D77" s="140">
        <f>'採算表(VND)'!D77</f>
        <v>1</v>
      </c>
      <c r="E77" s="140">
        <f>'採算表(VND)'!E77</f>
        <v>1.25</v>
      </c>
      <c r="F77" s="140">
        <f>'採算表(VND)'!F77</f>
        <v>2</v>
      </c>
      <c r="G77" s="140">
        <f>'採算表(VND)'!G77</f>
        <v>1.25</v>
      </c>
      <c r="H77" s="140">
        <f>'採算表(VND)'!H77</f>
        <v>1.25</v>
      </c>
      <c r="I77" s="140">
        <f>'採算表(VND)'!I77</f>
        <v>1.25</v>
      </c>
      <c r="J77" s="140">
        <f>'採算表(VND)'!J77</f>
        <v>1.25</v>
      </c>
      <c r="K77" s="140">
        <f>'採算表(VND)'!K77</f>
        <v>1.25</v>
      </c>
      <c r="L77" s="140">
        <f>'採算表(VND)'!L77</f>
        <v>1.5</v>
      </c>
      <c r="M77" s="140">
        <f>'採算表(VND)'!M77</f>
        <v>0.5</v>
      </c>
      <c r="N77" s="140">
        <f>'採算表(VND)'!N77</f>
        <v>1.5</v>
      </c>
      <c r="O77" s="140">
        <f>SUM(C77:N77)</f>
        <v>15.25</v>
      </c>
    </row>
    <row r="78" spans="1:15">
      <c r="A78" s="38"/>
      <c r="B78" s="40" t="s">
        <v>88</v>
      </c>
      <c r="C78" s="141">
        <f>'採算表(VND)'!C78</f>
        <v>3.25</v>
      </c>
      <c r="D78" s="141">
        <f>'採算表(VND)'!D78</f>
        <v>3.25</v>
      </c>
      <c r="E78" s="141">
        <f>'採算表(VND)'!E78</f>
        <v>2.75</v>
      </c>
      <c r="F78" s="141">
        <f>'採算表(VND)'!F78</f>
        <v>4.5</v>
      </c>
      <c r="G78" s="141">
        <f>'採算表(VND)'!G78</f>
        <v>3.25</v>
      </c>
      <c r="H78" s="141">
        <f>'採算表(VND)'!H78</f>
        <v>5</v>
      </c>
      <c r="I78" s="141">
        <f>'採算表(VND)'!I78</f>
        <v>3</v>
      </c>
      <c r="J78" s="141">
        <f>'採算表(VND)'!J78</f>
        <v>3</v>
      </c>
      <c r="K78" s="141">
        <f>'採算表(VND)'!K78</f>
        <v>3</v>
      </c>
      <c r="L78" s="141">
        <f>'採算表(VND)'!L78</f>
        <v>2.75</v>
      </c>
      <c r="M78" s="141">
        <f>'採算表(VND)'!M78</f>
        <v>3.75</v>
      </c>
      <c r="N78" s="141">
        <f>'採算表(VND)'!N78</f>
        <v>2.75</v>
      </c>
      <c r="O78" s="141">
        <f>SUM(C78:N78)</f>
        <v>40.25</v>
      </c>
    </row>
    <row r="79" spans="1:15" ht="14.25" customHeight="1">
      <c r="A79" s="38"/>
      <c r="B79" s="41" t="s">
        <v>155</v>
      </c>
      <c r="C79" s="142">
        <f>SUM(C74:C78)</f>
        <v>173</v>
      </c>
      <c r="D79" s="142">
        <f t="shared" ref="D79:O79" si="8">IF(ISBLANK(D4),"",SUM(D74:D78))</f>
        <v>168.75</v>
      </c>
      <c r="E79" s="142">
        <f t="shared" si="8"/>
        <v>176.5</v>
      </c>
      <c r="F79" s="142">
        <f t="shared" si="8"/>
        <v>187.25</v>
      </c>
      <c r="G79" s="142">
        <f t="shared" si="8"/>
        <v>183.25</v>
      </c>
      <c r="H79" s="142">
        <f t="shared" si="8"/>
        <v>181</v>
      </c>
      <c r="I79" s="142">
        <f t="shared" si="8"/>
        <v>194.75</v>
      </c>
      <c r="J79" s="142">
        <f t="shared" si="8"/>
        <v>184.75</v>
      </c>
      <c r="K79" s="142">
        <f t="shared" si="8"/>
        <v>192.75</v>
      </c>
      <c r="L79" s="142">
        <f t="shared" si="8"/>
        <v>184.75</v>
      </c>
      <c r="M79" s="142">
        <f t="shared" si="8"/>
        <v>164.5</v>
      </c>
      <c r="N79" s="142">
        <f t="shared" si="8"/>
        <v>184.75</v>
      </c>
      <c r="O79" s="142">
        <f t="shared" si="8"/>
        <v>2176</v>
      </c>
    </row>
    <row r="80" spans="1:15" ht="14.25" customHeight="1">
      <c r="A80" s="26"/>
      <c r="B80" s="32" t="s">
        <v>79</v>
      </c>
      <c r="C80" s="143">
        <f>IFERROR(ROUNDDOWN(C66/C67,0),0)</f>
        <v>6</v>
      </c>
      <c r="D80" s="144">
        <f t="shared" ref="D80:O80" si="9">IFERROR(ROUNDDOWN(D66/D67,0),0)</f>
        <v>12</v>
      </c>
      <c r="E80" s="144">
        <f t="shared" si="9"/>
        <v>10</v>
      </c>
      <c r="F80" s="144">
        <f t="shared" si="9"/>
        <v>9</v>
      </c>
      <c r="G80" s="144">
        <f t="shared" si="9"/>
        <v>11</v>
      </c>
      <c r="H80" s="144">
        <f t="shared" si="9"/>
        <v>6</v>
      </c>
      <c r="I80" s="144">
        <f t="shared" si="9"/>
        <v>15</v>
      </c>
      <c r="J80" s="144">
        <f t="shared" si="9"/>
        <v>12</v>
      </c>
      <c r="K80" s="144">
        <f t="shared" si="9"/>
        <v>11</v>
      </c>
      <c r="L80" s="144">
        <f t="shared" si="9"/>
        <v>12</v>
      </c>
      <c r="M80" s="144">
        <f t="shared" si="9"/>
        <v>16</v>
      </c>
      <c r="N80" s="144">
        <f t="shared" si="9"/>
        <v>12</v>
      </c>
      <c r="O80" s="144">
        <f t="shared" si="9"/>
        <v>11</v>
      </c>
    </row>
    <row r="81" spans="1:15" ht="14.25" customHeight="1">
      <c r="A81" s="26"/>
      <c r="B81" s="42" t="s">
        <v>80</v>
      </c>
      <c r="C81" s="145">
        <f>IFERROR(ROUNDDOWN(C12/C67,0),0)</f>
        <v>13</v>
      </c>
      <c r="D81" s="146">
        <f t="shared" ref="D81:O81" si="10">IFERROR(ROUNDDOWN(D12/D67,0),0)</f>
        <v>20</v>
      </c>
      <c r="E81" s="146">
        <f t="shared" si="10"/>
        <v>17</v>
      </c>
      <c r="F81" s="146">
        <f t="shared" si="10"/>
        <v>16</v>
      </c>
      <c r="G81" s="146">
        <f t="shared" si="10"/>
        <v>20</v>
      </c>
      <c r="H81" s="146">
        <f t="shared" si="10"/>
        <v>21</v>
      </c>
      <c r="I81" s="146">
        <f t="shared" si="10"/>
        <v>22</v>
      </c>
      <c r="J81" s="146">
        <f t="shared" si="10"/>
        <v>20</v>
      </c>
      <c r="K81" s="146">
        <f t="shared" si="10"/>
        <v>18</v>
      </c>
      <c r="L81" s="146">
        <f t="shared" si="10"/>
        <v>20</v>
      </c>
      <c r="M81" s="146">
        <f t="shared" si="10"/>
        <v>26</v>
      </c>
      <c r="N81" s="146">
        <f t="shared" si="10"/>
        <v>19</v>
      </c>
      <c r="O81" s="146">
        <f t="shared" si="10"/>
        <v>19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342</v>
      </c>
      <c r="C87" s="150">
        <f>'採算表(VND)'!C87</f>
        <v>1</v>
      </c>
      <c r="D87" s="150">
        <f>'採算表(VND)'!D87</f>
        <v>1</v>
      </c>
      <c r="E87" s="150">
        <f>'採算表(VND)'!E87</f>
        <v>1</v>
      </c>
      <c r="F87" s="150">
        <f>'採算表(VND)'!F87</f>
        <v>1</v>
      </c>
      <c r="G87" s="150">
        <f>'採算表(VND)'!G87</f>
        <v>1</v>
      </c>
      <c r="H87" s="150">
        <f>'採算表(VND)'!H87</f>
        <v>1</v>
      </c>
      <c r="I87" s="150">
        <f>'採算表(VND)'!I87</f>
        <v>1</v>
      </c>
      <c r="J87" s="150">
        <f>'採算表(VND)'!J87</f>
        <v>1</v>
      </c>
      <c r="K87" s="150">
        <f>'採算表(VND)'!K87</f>
        <v>1</v>
      </c>
      <c r="L87" s="150">
        <f>'採算表(VND)'!L87</f>
        <v>1</v>
      </c>
      <c r="M87" s="150">
        <f>'採算表(VND)'!M87</f>
        <v>1</v>
      </c>
      <c r="N87" s="150">
        <f>'採算表(VND)'!N87</f>
        <v>1</v>
      </c>
      <c r="O87" s="150">
        <f>SUM(C87:N87)</f>
        <v>12</v>
      </c>
    </row>
    <row r="88" spans="1:15">
      <c r="A88" s="43"/>
      <c r="B88" s="59" t="s">
        <v>343</v>
      </c>
      <c r="C88" s="150">
        <f>'採算表(VND)'!C88</f>
        <v>11</v>
      </c>
      <c r="D88" s="150">
        <f>'採算表(VND)'!D88</f>
        <v>11</v>
      </c>
      <c r="E88" s="150">
        <f>'採算表(VND)'!E88</f>
        <v>11</v>
      </c>
      <c r="F88" s="150">
        <f>'採算表(VND)'!F88</f>
        <v>11</v>
      </c>
      <c r="G88" s="150">
        <f>'採算表(VND)'!G88</f>
        <v>11</v>
      </c>
      <c r="H88" s="150">
        <f>'採算表(VND)'!H88</f>
        <v>11</v>
      </c>
      <c r="I88" s="150">
        <f>'採算表(VND)'!I88</f>
        <v>11</v>
      </c>
      <c r="J88" s="150">
        <f>'採算表(VND)'!J88</f>
        <v>11</v>
      </c>
      <c r="K88" s="150">
        <f>'採算表(VND)'!K88</f>
        <v>11</v>
      </c>
      <c r="L88" s="150">
        <f>'採算表(VND)'!L88</f>
        <v>11</v>
      </c>
      <c r="M88" s="150">
        <f>'採算表(VND)'!M88</f>
        <v>11</v>
      </c>
      <c r="N88" s="150">
        <f>'採算表(VND)'!N88</f>
        <v>11</v>
      </c>
      <c r="O88" s="150">
        <f>SUM(C88:N88)</f>
        <v>132</v>
      </c>
    </row>
    <row r="89" spans="1:15">
      <c r="A89" s="44"/>
      <c r="B89" s="60" t="s">
        <v>18</v>
      </c>
      <c r="C89" s="151">
        <f t="shared" ref="C89:O89" si="11">C87+C88</f>
        <v>12</v>
      </c>
      <c r="D89" s="151">
        <f t="shared" si="11"/>
        <v>12</v>
      </c>
      <c r="E89" s="151">
        <f t="shared" si="11"/>
        <v>12</v>
      </c>
      <c r="F89" s="151">
        <f t="shared" si="11"/>
        <v>12</v>
      </c>
      <c r="G89" s="151">
        <f t="shared" si="11"/>
        <v>12</v>
      </c>
      <c r="H89" s="151">
        <f t="shared" si="11"/>
        <v>12</v>
      </c>
      <c r="I89" s="151">
        <f t="shared" si="11"/>
        <v>12</v>
      </c>
      <c r="J89" s="151">
        <f t="shared" si="11"/>
        <v>12</v>
      </c>
      <c r="K89" s="151">
        <f t="shared" si="11"/>
        <v>12</v>
      </c>
      <c r="L89" s="151">
        <f t="shared" si="11"/>
        <v>12</v>
      </c>
      <c r="M89" s="151">
        <f t="shared" si="11"/>
        <v>12</v>
      </c>
      <c r="N89" s="151">
        <f t="shared" si="11"/>
        <v>12</v>
      </c>
      <c r="O89" s="151">
        <f t="shared" si="11"/>
        <v>144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323</v>
      </c>
      <c r="C92" s="133">
        <f>'採算表(VND)'!C92</f>
        <v>161.5</v>
      </c>
      <c r="D92" s="133">
        <f>'採算表(VND)'!D92</f>
        <v>153</v>
      </c>
      <c r="E92" s="133">
        <f>'採算表(VND)'!E92</f>
        <v>170</v>
      </c>
      <c r="F92" s="133">
        <f>'採算表(VND)'!F92</f>
        <v>187</v>
      </c>
      <c r="G92" s="133">
        <f>'採算表(VND)'!G92</f>
        <v>161.5</v>
      </c>
      <c r="H92" s="133">
        <f>'採算表(VND)'!H92</f>
        <v>153</v>
      </c>
      <c r="I92" s="133">
        <f>'採算表(VND)'!I92</f>
        <v>187</v>
      </c>
      <c r="J92" s="133">
        <f>'採算表(VND)'!J92</f>
        <v>170</v>
      </c>
      <c r="K92" s="133">
        <f>'採算表(VND)'!K92</f>
        <v>187</v>
      </c>
      <c r="L92" s="133">
        <f>'採算表(VND)'!L92</f>
        <v>170</v>
      </c>
      <c r="M92" s="133">
        <f>'採算表(VND)'!M92</f>
        <v>127.5</v>
      </c>
      <c r="N92" s="133">
        <f>'採算表(VND)'!N92</f>
        <v>170</v>
      </c>
      <c r="O92" s="133">
        <f>SUM(C92:N92)</f>
        <v>1997.5</v>
      </c>
    </row>
    <row r="93" spans="1:15">
      <c r="B93" s="59" t="s">
        <v>324</v>
      </c>
      <c r="C93" s="133">
        <f>'採算表(VND)'!C93</f>
        <v>1836</v>
      </c>
      <c r="D93" s="133">
        <f>'採算表(VND)'!D93</f>
        <v>1700</v>
      </c>
      <c r="E93" s="133">
        <f>'採算表(VND)'!E93</f>
        <v>1887</v>
      </c>
      <c r="F93" s="133">
        <f>'採算表(VND)'!F93</f>
        <v>2074</v>
      </c>
      <c r="G93" s="133">
        <f>'採算表(VND)'!G93</f>
        <v>1793.5</v>
      </c>
      <c r="H93" s="133">
        <f>'採算表(VND)'!H93</f>
        <v>1700</v>
      </c>
      <c r="I93" s="133">
        <f>'採算表(VND)'!I93</f>
        <v>2074</v>
      </c>
      <c r="J93" s="133">
        <f>'採算表(VND)'!J93</f>
        <v>1793.5</v>
      </c>
      <c r="K93" s="133">
        <f>'採算表(VND)'!K93</f>
        <v>1980.5</v>
      </c>
      <c r="L93" s="133">
        <f>'採算表(VND)'!L93</f>
        <v>1793.5</v>
      </c>
      <c r="M93" s="133">
        <f>'採算表(VND)'!M93</f>
        <v>1326</v>
      </c>
      <c r="N93" s="133">
        <f>'採算表(VND)'!N93</f>
        <v>1793.5</v>
      </c>
      <c r="O93" s="133">
        <f>SUM(C93:N93)</f>
        <v>21751.5</v>
      </c>
    </row>
    <row r="94" spans="1:15">
      <c r="B94" s="61" t="s">
        <v>18</v>
      </c>
      <c r="C94" s="147">
        <f t="shared" ref="C94:O94" si="12">C92+C93</f>
        <v>1997.5</v>
      </c>
      <c r="D94" s="147">
        <f t="shared" si="12"/>
        <v>1853</v>
      </c>
      <c r="E94" s="147">
        <f t="shared" si="12"/>
        <v>2057</v>
      </c>
      <c r="F94" s="147">
        <f t="shared" si="12"/>
        <v>2261</v>
      </c>
      <c r="G94" s="147">
        <f t="shared" si="12"/>
        <v>1955</v>
      </c>
      <c r="H94" s="147">
        <f t="shared" si="12"/>
        <v>1853</v>
      </c>
      <c r="I94" s="147">
        <f t="shared" si="12"/>
        <v>2261</v>
      </c>
      <c r="J94" s="147">
        <f t="shared" si="12"/>
        <v>1963.5</v>
      </c>
      <c r="K94" s="147">
        <f t="shared" si="12"/>
        <v>2167.5</v>
      </c>
      <c r="L94" s="147">
        <f t="shared" si="12"/>
        <v>1963.5</v>
      </c>
      <c r="M94" s="147">
        <f t="shared" si="12"/>
        <v>1453.5</v>
      </c>
      <c r="N94" s="147">
        <f t="shared" si="12"/>
        <v>1963.5</v>
      </c>
      <c r="O94" s="147">
        <f t="shared" si="12"/>
        <v>23749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325</v>
      </c>
      <c r="C97" s="133">
        <f>'採算表(VND)'!C97</f>
        <v>38</v>
      </c>
      <c r="D97" s="133">
        <f>'採算表(VND)'!D97</f>
        <v>36</v>
      </c>
      <c r="E97" s="133">
        <f>'採算表(VND)'!E97</f>
        <v>40</v>
      </c>
      <c r="F97" s="133">
        <f>'採算表(VND)'!F97</f>
        <v>44</v>
      </c>
      <c r="G97" s="133">
        <f>'採算表(VND)'!G97</f>
        <v>38</v>
      </c>
      <c r="H97" s="133">
        <f>'採算表(VND)'!H97</f>
        <v>36</v>
      </c>
      <c r="I97" s="133">
        <f>'採算表(VND)'!I97</f>
        <v>44</v>
      </c>
      <c r="J97" s="133">
        <f>'採算表(VND)'!J97</f>
        <v>40</v>
      </c>
      <c r="K97" s="133">
        <f>'採算表(VND)'!K97</f>
        <v>44</v>
      </c>
      <c r="L97" s="133">
        <f>'採算表(VND)'!L97</f>
        <v>40</v>
      </c>
      <c r="M97" s="133">
        <f>'採算表(VND)'!M97</f>
        <v>30</v>
      </c>
      <c r="N97" s="133">
        <f>'採算表(VND)'!N97</f>
        <v>40</v>
      </c>
      <c r="O97" s="133">
        <f>SUM(C97:N97)</f>
        <v>470</v>
      </c>
    </row>
    <row r="98" spans="2:15">
      <c r="B98" s="59" t="s">
        <v>326</v>
      </c>
      <c r="C98" s="133">
        <f>'採算表(VND)'!C98</f>
        <v>130</v>
      </c>
      <c r="D98" s="133">
        <f>'採算表(VND)'!D98</f>
        <v>128</v>
      </c>
      <c r="E98" s="133">
        <f>'採算表(VND)'!E98</f>
        <v>132</v>
      </c>
      <c r="F98" s="133">
        <f>'採算表(VND)'!F98</f>
        <v>136</v>
      </c>
      <c r="G98" s="133">
        <f>'採算表(VND)'!G98</f>
        <v>140</v>
      </c>
      <c r="H98" s="133">
        <f>'採算表(VND)'!H98</f>
        <v>138</v>
      </c>
      <c r="I98" s="133">
        <f>'採算表(VND)'!I98</f>
        <v>146</v>
      </c>
      <c r="J98" s="133">
        <f>'採算表(VND)'!J98</f>
        <v>140</v>
      </c>
      <c r="K98" s="133">
        <f>'採算表(VND)'!K98</f>
        <v>144</v>
      </c>
      <c r="L98" s="133">
        <f>'採算表(VND)'!L98</f>
        <v>140</v>
      </c>
      <c r="M98" s="133">
        <f>'採算表(VND)'!M98</f>
        <v>130</v>
      </c>
      <c r="N98" s="133">
        <f>'採算表(VND)'!N98</f>
        <v>140</v>
      </c>
      <c r="O98" s="133">
        <f>SUM(C98:N98)</f>
        <v>1644</v>
      </c>
    </row>
    <row r="99" spans="2:15">
      <c r="B99" s="61" t="s">
        <v>18</v>
      </c>
      <c r="C99" s="147">
        <f t="shared" ref="C99:O99" si="13">C97+C98</f>
        <v>168</v>
      </c>
      <c r="D99" s="147">
        <f t="shared" si="13"/>
        <v>164</v>
      </c>
      <c r="E99" s="147">
        <f t="shared" si="13"/>
        <v>172</v>
      </c>
      <c r="F99" s="147">
        <f t="shared" si="13"/>
        <v>180</v>
      </c>
      <c r="G99" s="147">
        <f t="shared" si="13"/>
        <v>178</v>
      </c>
      <c r="H99" s="147">
        <f t="shared" si="13"/>
        <v>174</v>
      </c>
      <c r="I99" s="147">
        <f t="shared" si="13"/>
        <v>190</v>
      </c>
      <c r="J99" s="147">
        <f t="shared" si="13"/>
        <v>180</v>
      </c>
      <c r="K99" s="147">
        <f t="shared" si="13"/>
        <v>188</v>
      </c>
      <c r="L99" s="147">
        <f t="shared" si="13"/>
        <v>180</v>
      </c>
      <c r="M99" s="147">
        <f t="shared" si="13"/>
        <v>160</v>
      </c>
      <c r="N99" s="147">
        <f t="shared" si="13"/>
        <v>180</v>
      </c>
      <c r="O99" s="147">
        <f t="shared" si="13"/>
        <v>2114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E4D68-AF29-4C82-93F1-82D38991062D}">
  <sheetPr codeName="Sheet2"/>
  <dimension ref="A1:BI99"/>
  <sheetViews>
    <sheetView topLeftCell="C37" zoomScaleNormal="100" workbookViewId="0">
      <selection activeCell="C61" sqref="C61:O65"/>
    </sheetView>
  </sheetViews>
  <sheetFormatPr defaultColWidth="9"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MD3課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0">
        <v>2</v>
      </c>
      <c r="D3" s="250">
        <v>3</v>
      </c>
      <c r="E3" s="250">
        <v>4</v>
      </c>
      <c r="F3" s="250">
        <v>5</v>
      </c>
      <c r="G3" s="250">
        <v>6</v>
      </c>
      <c r="H3" s="250">
        <v>7</v>
      </c>
      <c r="I3" s="250">
        <v>8</v>
      </c>
      <c r="J3" s="250">
        <v>9</v>
      </c>
      <c r="K3" s="250">
        <v>10</v>
      </c>
      <c r="L3" s="250">
        <v>11</v>
      </c>
      <c r="M3" s="250">
        <v>12</v>
      </c>
      <c r="N3" s="250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154</v>
      </c>
      <c r="AV4" s="73"/>
    </row>
    <row r="5" spans="1:61" ht="11.25" customHeight="1">
      <c r="A5" s="26"/>
      <c r="B5" s="27" t="s">
        <v>72</v>
      </c>
      <c r="C5" s="152">
        <f>C8+C9</f>
        <v>756707565</v>
      </c>
      <c r="D5" s="152">
        <f t="shared" ref="D5:N5" si="0">D8+D9</f>
        <v>1105818795</v>
      </c>
      <c r="E5" s="152">
        <f t="shared" si="0"/>
        <v>1026239934</v>
      </c>
      <c r="F5" s="152">
        <f t="shared" si="0"/>
        <v>1060968122</v>
      </c>
      <c r="G5" s="152">
        <f t="shared" si="0"/>
        <v>1149473853</v>
      </c>
      <c r="H5" s="152">
        <f t="shared" si="0"/>
        <v>1153673106</v>
      </c>
      <c r="I5" s="152">
        <f t="shared" si="0"/>
        <v>1453732633</v>
      </c>
      <c r="J5" s="152">
        <f t="shared" si="0"/>
        <v>1171044436</v>
      </c>
      <c r="K5" s="152">
        <f t="shared" si="0"/>
        <v>1135944792</v>
      </c>
      <c r="L5" s="152">
        <f t="shared" si="0"/>
        <v>1161632363</v>
      </c>
      <c r="M5" s="152">
        <f t="shared" si="0"/>
        <v>1140587861</v>
      </c>
      <c r="N5" s="152">
        <f t="shared" si="0"/>
        <v>1129609479</v>
      </c>
      <c r="O5" s="152">
        <f>O8+O9</f>
        <v>13445432939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140</v>
      </c>
      <c r="C6" s="153">
        <f>SUMIF('内訳ﾘｽﾄ(4～3月)'!$D$26:$D$595,'採算表(VND)'!$B6,'内訳ﾘｽﾄ(4～3月)'!F$26:F$595)</f>
        <v>756707565</v>
      </c>
      <c r="D6" s="153">
        <f>SUMIF('内訳ﾘｽﾄ(4～3月)'!$D$26:$D$595,'採算表(VND)'!$B6,'内訳ﾘｽﾄ(4～3月)'!G$26:G$595)</f>
        <v>1105818795</v>
      </c>
      <c r="E6" s="153">
        <f>SUMIF('内訳ﾘｽﾄ(4～3月)'!$D$26:$D$595,'採算表(VND)'!$B6,'内訳ﾘｽﾄ(4～3月)'!H$26:H$595)</f>
        <v>1026239934</v>
      </c>
      <c r="F6" s="153">
        <f>SUMIF('内訳ﾘｽﾄ(4～3月)'!$D$26:$D$595,'採算表(VND)'!$B6,'内訳ﾘｽﾄ(4～3月)'!I$26:I$595)</f>
        <v>1060968122</v>
      </c>
      <c r="G6" s="153">
        <f>SUMIF('内訳ﾘｽﾄ(4～3月)'!$D$26:$D$595,'採算表(VND)'!$B6,'内訳ﾘｽﾄ(4～3月)'!J$26:J$595)</f>
        <v>1149473853</v>
      </c>
      <c r="H6" s="153">
        <f>SUMIF('内訳ﾘｽﾄ(4～3月)'!$D$26:$D$595,'採算表(VND)'!$B6,'内訳ﾘｽﾄ(4～3月)'!K$26:K$595)</f>
        <v>1153673106</v>
      </c>
      <c r="I6" s="153">
        <f>SUMIF('内訳ﾘｽﾄ(4～3月)'!$D$26:$D$595,'採算表(VND)'!$B6,'内訳ﾘｽﾄ(4～3月)'!L$26:L$595)</f>
        <v>1453732633</v>
      </c>
      <c r="J6" s="153">
        <f>SUMIF('内訳ﾘｽﾄ(4～3月)'!$D$26:$D$595,'採算表(VND)'!$B6,'内訳ﾘｽﾄ(4～3月)'!M$26:M$595)</f>
        <v>1171044436</v>
      </c>
      <c r="K6" s="153">
        <f>SUMIF('内訳ﾘｽﾄ(4～3月)'!$D$26:$D$595,'採算表(VND)'!$B6,'内訳ﾘｽﾄ(4～3月)'!N$26:N$595)</f>
        <v>1135944792</v>
      </c>
      <c r="L6" s="153">
        <f>SUMIF('内訳ﾘｽﾄ(4～3月)'!$D$26:$D$595,'採算表(VND)'!$B6,'内訳ﾘｽﾄ(4～3月)'!O$26:O$595)</f>
        <v>1161632363</v>
      </c>
      <c r="M6" s="153">
        <f>SUMIF('内訳ﾘｽﾄ(4～3月)'!$D$26:$D$595,'採算表(VND)'!$B6,'内訳ﾘｽﾄ(4～3月)'!P$26:P$595)</f>
        <v>1140587861</v>
      </c>
      <c r="N6" s="153">
        <f>SUMIF('内訳ﾘｽﾄ(4～3月)'!$D$26:$D$595,'採算表(VND)'!$B6,'内訳ﾘｽﾄ(4～3月)'!Q$26:Q$595)</f>
        <v>1129609479</v>
      </c>
      <c r="O6" s="153">
        <f>SUMIF('内訳ﾘｽﾄ(4～3月)'!$D$26:$D$394,'採算表(VND)'!$B6,'内訳ﾘｽﾄ(4～3月)'!R$26:R$394)</f>
        <v>13445432939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111</v>
      </c>
      <c r="C7" s="154">
        <f>SUMIF('内訳ﾘｽﾄ(4～3月)'!$D$26:$D$595,'採算表(VND)'!$B7,'内訳ﾘｽﾄ(4～3月)'!F$26:F$595)</f>
        <v>0</v>
      </c>
      <c r="D7" s="154">
        <f>SUMIF('内訳ﾘｽﾄ(4～3月)'!$D$26:$D$595,'採算表(VND)'!$B7,'内訳ﾘｽﾄ(4～3月)'!G$26:G$595)</f>
        <v>0</v>
      </c>
      <c r="E7" s="154">
        <f>SUMIF('内訳ﾘｽﾄ(4～3月)'!$D$26:$D$595,'採算表(VND)'!$B7,'内訳ﾘｽﾄ(4～3月)'!H$26:H$595)</f>
        <v>0</v>
      </c>
      <c r="F7" s="154">
        <f>SUMIF('内訳ﾘｽﾄ(4～3月)'!$D$26:$D$595,'採算表(VND)'!$B7,'内訳ﾘｽﾄ(4～3月)'!I$26:I$595)</f>
        <v>0</v>
      </c>
      <c r="G7" s="154">
        <f>SUMIF('内訳ﾘｽﾄ(4～3月)'!$D$26:$D$595,'採算表(VND)'!$B7,'内訳ﾘｽﾄ(4～3月)'!J$26:J$595)</f>
        <v>0</v>
      </c>
      <c r="H7" s="154">
        <f>SUMIF('内訳ﾘｽﾄ(4～3月)'!$D$26:$D$595,'採算表(VND)'!$B7,'内訳ﾘｽﾄ(4～3月)'!K$26:K$595)</f>
        <v>0</v>
      </c>
      <c r="I7" s="154">
        <f>SUMIF('内訳ﾘｽﾄ(4～3月)'!$D$26:$D$595,'採算表(VND)'!$B7,'内訳ﾘｽﾄ(4～3月)'!L$26:L$595)</f>
        <v>0</v>
      </c>
      <c r="J7" s="154">
        <f>SUMIF('内訳ﾘｽﾄ(4～3月)'!$D$26:$D$595,'採算表(VND)'!$B7,'内訳ﾘｽﾄ(4～3月)'!M$26:M$595)</f>
        <v>0</v>
      </c>
      <c r="K7" s="154">
        <f>SUMIF('内訳ﾘｽﾄ(4～3月)'!$D$26:$D$595,'採算表(VND)'!$B7,'内訳ﾘｽﾄ(4～3月)'!N$26:N$595)</f>
        <v>0</v>
      </c>
      <c r="L7" s="154">
        <f>SUMIF('内訳ﾘｽﾄ(4～3月)'!$D$26:$D$595,'採算表(VND)'!$B7,'内訳ﾘｽﾄ(4～3月)'!O$26:O$595)</f>
        <v>0</v>
      </c>
      <c r="M7" s="154">
        <f>SUMIF('内訳ﾘｽﾄ(4～3月)'!$D$26:$D$595,'採算表(VND)'!$B7,'内訳ﾘｽﾄ(4～3月)'!P$26:P$595)</f>
        <v>0</v>
      </c>
      <c r="N7" s="154">
        <f>SUMIF('内訳ﾘｽﾄ(4～3月)'!$D$26:$D$595,'採算表(VND)'!$B7,'内訳ﾘｽﾄ(4～3月)'!Q$26:Q$595)</f>
        <v>0</v>
      </c>
      <c r="O7" s="154">
        <f>SUMIF('内訳ﾘｽﾄ(4～3月)'!$D$26:$D$394,'採算表(VND)'!$B7,'内訳ﾘｽﾄ(4～3月)'!R$26:R$394)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84</v>
      </c>
      <c r="C8" s="155">
        <f t="shared" ref="C8:N8" si="1">C6+C7</f>
        <v>756707565</v>
      </c>
      <c r="D8" s="155">
        <f t="shared" si="1"/>
        <v>1105818795</v>
      </c>
      <c r="E8" s="155">
        <f t="shared" si="1"/>
        <v>1026239934</v>
      </c>
      <c r="F8" s="155">
        <f t="shared" si="1"/>
        <v>1060968122</v>
      </c>
      <c r="G8" s="155">
        <f t="shared" si="1"/>
        <v>1149473853</v>
      </c>
      <c r="H8" s="155">
        <f t="shared" si="1"/>
        <v>1153673106</v>
      </c>
      <c r="I8" s="155">
        <f t="shared" si="1"/>
        <v>1453732633</v>
      </c>
      <c r="J8" s="155">
        <f t="shared" si="1"/>
        <v>1171044436</v>
      </c>
      <c r="K8" s="155">
        <f t="shared" si="1"/>
        <v>1135944792</v>
      </c>
      <c r="L8" s="155">
        <f t="shared" si="1"/>
        <v>1161632363</v>
      </c>
      <c r="M8" s="155">
        <f t="shared" si="1"/>
        <v>1140587861</v>
      </c>
      <c r="N8" s="155">
        <f t="shared" si="1"/>
        <v>1129609479</v>
      </c>
      <c r="O8" s="155">
        <f>O6+O7</f>
        <v>13445432939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SUMIF('内訳ﾘｽﾄ(4～3月)'!$D$26:$D$595,'採算表(VND)'!$B9,'内訳ﾘｽﾄ(4～3月)'!F$26:F$595)</f>
        <v>0</v>
      </c>
      <c r="D9" s="150">
        <f>SUMIF('内訳ﾘｽﾄ(4～3月)'!$D$26:$D$595,'採算表(VND)'!$B9,'内訳ﾘｽﾄ(4～3月)'!G$26:G$595)</f>
        <v>0</v>
      </c>
      <c r="E9" s="150">
        <f>SUMIF('内訳ﾘｽﾄ(4～3月)'!$D$26:$D$595,'採算表(VND)'!$B9,'内訳ﾘｽﾄ(4～3月)'!H$26:H$595)</f>
        <v>0</v>
      </c>
      <c r="F9" s="150">
        <f>SUMIF('内訳ﾘｽﾄ(4～3月)'!$D$26:$D$595,'採算表(VND)'!$B9,'内訳ﾘｽﾄ(4～3月)'!I$26:I$595)</f>
        <v>0</v>
      </c>
      <c r="G9" s="150">
        <f>SUMIF('内訳ﾘｽﾄ(4～3月)'!$D$26:$D$595,'採算表(VND)'!$B9,'内訳ﾘｽﾄ(4～3月)'!J$26:J$595)</f>
        <v>0</v>
      </c>
      <c r="H9" s="150">
        <f>SUMIF('内訳ﾘｽﾄ(4～3月)'!$D$26:$D$595,'採算表(VND)'!$B9,'内訳ﾘｽﾄ(4～3月)'!K$26:K$595)</f>
        <v>0</v>
      </c>
      <c r="I9" s="150">
        <f>SUMIF('内訳ﾘｽﾄ(4～3月)'!$D$26:$D$595,'採算表(VND)'!$B9,'内訳ﾘｽﾄ(4～3月)'!L$26:L$595)</f>
        <v>0</v>
      </c>
      <c r="J9" s="150">
        <f>SUMIF('内訳ﾘｽﾄ(4～3月)'!$D$26:$D$595,'採算表(VND)'!$B9,'内訳ﾘｽﾄ(4～3月)'!M$26:M$595)</f>
        <v>0</v>
      </c>
      <c r="K9" s="150">
        <f>SUMIF('内訳ﾘｽﾄ(4～3月)'!$D$26:$D$595,'採算表(VND)'!$B9,'内訳ﾘｽﾄ(4～3月)'!N$26:N$595)</f>
        <v>0</v>
      </c>
      <c r="L9" s="150">
        <f>SUMIF('内訳ﾘｽﾄ(4～3月)'!$D$26:$D$595,'採算表(VND)'!$B9,'内訳ﾘｽﾄ(4～3月)'!O$26:O$595)</f>
        <v>0</v>
      </c>
      <c r="M9" s="150">
        <f>SUMIF('内訳ﾘｽﾄ(4～3月)'!$D$26:$D$595,'採算表(VND)'!$B9,'内訳ﾘｽﾄ(4～3月)'!P$26:P$595)</f>
        <v>0</v>
      </c>
      <c r="N9" s="150">
        <f>SUMIF('内訳ﾘｽﾄ(4～3月)'!$D$26:$D$595,'採算表(VND)'!$B9,'内訳ﾘｽﾄ(4～3月)'!Q$26:Q$595)</f>
        <v>0</v>
      </c>
      <c r="O9" s="150">
        <f>SUMIF('内訳ﾘｽﾄ(4～3月)'!$D$26:$D$394,'採算表(VND)'!$B9,'内訳ﾘｽﾄ(4～3月)'!R$26:R$394)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SUMIF('内訳ﾘｽﾄ(4～3月)'!$D$26:$D$595,'採算表(VND)'!$B10,'内訳ﾘｽﾄ(4～3月)'!F$26:F$595)</f>
        <v>0</v>
      </c>
      <c r="D10" s="150">
        <f>SUMIF('内訳ﾘｽﾄ(4～3月)'!$D$26:$D$595,'採算表(VND)'!$B10,'内訳ﾘｽﾄ(4～3月)'!G$26:G$595)</f>
        <v>0</v>
      </c>
      <c r="E10" s="150">
        <f>SUMIF('内訳ﾘｽﾄ(4～3月)'!$D$26:$D$595,'採算表(VND)'!$B10,'内訳ﾘｽﾄ(4～3月)'!H$26:H$595)</f>
        <v>0</v>
      </c>
      <c r="F10" s="150">
        <f>SUMIF('内訳ﾘｽﾄ(4～3月)'!$D$26:$D$595,'採算表(VND)'!$B10,'内訳ﾘｽﾄ(4～3月)'!I$26:I$595)</f>
        <v>0</v>
      </c>
      <c r="G10" s="150">
        <f>SUMIF('内訳ﾘｽﾄ(4～3月)'!$D$26:$D$595,'採算表(VND)'!$B10,'内訳ﾘｽﾄ(4～3月)'!J$26:J$595)</f>
        <v>0</v>
      </c>
      <c r="H10" s="150">
        <f>SUMIF('内訳ﾘｽﾄ(4～3月)'!$D$26:$D$595,'採算表(VND)'!$B10,'内訳ﾘｽﾄ(4～3月)'!K$26:K$595)</f>
        <v>0</v>
      </c>
      <c r="I10" s="150">
        <f>SUMIF('内訳ﾘｽﾄ(4～3月)'!$D$26:$D$595,'採算表(VND)'!$B10,'内訳ﾘｽﾄ(4～3月)'!L$26:L$595)</f>
        <v>0</v>
      </c>
      <c r="J10" s="150">
        <f>SUMIF('内訳ﾘｽﾄ(4～3月)'!$D$26:$D$595,'採算表(VND)'!$B10,'内訳ﾘｽﾄ(4～3月)'!M$26:M$595)</f>
        <v>0</v>
      </c>
      <c r="K10" s="150">
        <f>SUMIF('内訳ﾘｽﾄ(4～3月)'!$D$26:$D$595,'採算表(VND)'!$B10,'内訳ﾘｽﾄ(4～3月)'!N$26:N$595)</f>
        <v>0</v>
      </c>
      <c r="L10" s="150">
        <f>SUMIF('内訳ﾘｽﾄ(4～3月)'!$D$26:$D$595,'採算表(VND)'!$B10,'内訳ﾘｽﾄ(4～3月)'!O$26:O$595)</f>
        <v>0</v>
      </c>
      <c r="M10" s="150">
        <f>SUMIF('内訳ﾘｽﾄ(4～3月)'!$D$26:$D$595,'採算表(VND)'!$B10,'内訳ﾘｽﾄ(4～3月)'!P$26:P$595)</f>
        <v>0</v>
      </c>
      <c r="N10" s="150">
        <f>SUMIF('内訳ﾘｽﾄ(4～3月)'!$D$26:$D$595,'採算表(VND)'!$B10,'内訳ﾘｽﾄ(4～3月)'!Q$26:Q$595)</f>
        <v>0</v>
      </c>
      <c r="O10" s="150">
        <f>SUMIF('内訳ﾘｽﾄ(4～3月)'!$D$26:$D$394,'採算表(VND)'!$B10,'内訳ﾘｽﾄ(4～3月)'!R$26:R$394)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756707565</v>
      </c>
      <c r="D12" s="156">
        <f t="shared" ref="D12:N12" si="2">D5-D10</f>
        <v>1105818795</v>
      </c>
      <c r="E12" s="156">
        <f t="shared" si="2"/>
        <v>1026239934</v>
      </c>
      <c r="F12" s="156">
        <f t="shared" si="2"/>
        <v>1060968122</v>
      </c>
      <c r="G12" s="156">
        <f t="shared" si="2"/>
        <v>1149473853</v>
      </c>
      <c r="H12" s="156">
        <f t="shared" si="2"/>
        <v>1153673106</v>
      </c>
      <c r="I12" s="156">
        <f t="shared" si="2"/>
        <v>1453732633</v>
      </c>
      <c r="J12" s="156">
        <f t="shared" si="2"/>
        <v>1171044436</v>
      </c>
      <c r="K12" s="156">
        <f t="shared" si="2"/>
        <v>1135944792</v>
      </c>
      <c r="L12" s="156">
        <f t="shared" si="2"/>
        <v>1161632363</v>
      </c>
      <c r="M12" s="156">
        <f t="shared" si="2"/>
        <v>1140587861</v>
      </c>
      <c r="N12" s="156">
        <f t="shared" si="2"/>
        <v>1129609479</v>
      </c>
      <c r="O12" s="156">
        <f>O5-O10</f>
        <v>13445432939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400823203</v>
      </c>
      <c r="D13" s="150">
        <f t="shared" ref="D13:N13" si="3">SUM(D14:D65)</f>
        <v>454583044</v>
      </c>
      <c r="E13" s="150">
        <f t="shared" si="3"/>
        <v>415944472</v>
      </c>
      <c r="F13" s="150">
        <f t="shared" si="3"/>
        <v>464714882</v>
      </c>
      <c r="G13" s="150">
        <f t="shared" si="3"/>
        <v>462266346</v>
      </c>
      <c r="H13" s="150">
        <f t="shared" si="3"/>
        <v>779341928</v>
      </c>
      <c r="I13" s="150">
        <f t="shared" si="3"/>
        <v>471136190</v>
      </c>
      <c r="J13" s="150">
        <f t="shared" si="3"/>
        <v>447100639</v>
      </c>
      <c r="K13" s="150">
        <f t="shared" si="3"/>
        <v>448822005</v>
      </c>
      <c r="L13" s="150">
        <f t="shared" si="3"/>
        <v>467832486</v>
      </c>
      <c r="M13" s="150">
        <f t="shared" si="3"/>
        <v>441168487</v>
      </c>
      <c r="N13" s="150">
        <f t="shared" si="3"/>
        <v>438958219</v>
      </c>
      <c r="O13" s="150">
        <f>SUM(O14:O65)</f>
        <v>5692691901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100</v>
      </c>
      <c r="C14" s="157">
        <f>SUMIF('内訳ﾘｽﾄ(4～3月)'!$D$26:$D$595,$B14,'内訳ﾘｽﾄ(4～3月)'!F$26:F$595)</f>
        <v>0</v>
      </c>
      <c r="D14" s="157">
        <f>SUMIF('内訳ﾘｽﾄ(4～3月)'!$D$26:$D$595,$B14,'内訳ﾘｽﾄ(4～3月)'!G$26:G$595)</f>
        <v>0</v>
      </c>
      <c r="E14" s="157">
        <f>SUMIF('内訳ﾘｽﾄ(4～3月)'!$D$26:$D$595,$B14,'内訳ﾘｽﾄ(4～3月)'!H$26:H$595)</f>
        <v>0</v>
      </c>
      <c r="F14" s="157">
        <f>SUMIF('内訳ﾘｽﾄ(4～3月)'!$D$26:$D$595,$B14,'内訳ﾘｽﾄ(4～3月)'!I$26:I$595)</f>
        <v>0</v>
      </c>
      <c r="G14" s="157">
        <f>SUMIF('内訳ﾘｽﾄ(4～3月)'!$D$26:$D$595,$B14,'内訳ﾘｽﾄ(4～3月)'!J$26:J$595)</f>
        <v>0</v>
      </c>
      <c r="H14" s="157">
        <f>SUMIF('内訳ﾘｽﾄ(4～3月)'!$D$26:$D$595,$B14,'内訳ﾘｽﾄ(4～3月)'!K$26:K$595)</f>
        <v>0</v>
      </c>
      <c r="I14" s="157">
        <f>SUMIF('内訳ﾘｽﾄ(4～3月)'!$D$26:$D$595,$B14,'内訳ﾘｽﾄ(4～3月)'!L$26:L$595)</f>
        <v>0</v>
      </c>
      <c r="J14" s="157">
        <f>SUMIF('内訳ﾘｽﾄ(4～3月)'!$D$26:$D$595,$B14,'内訳ﾘｽﾄ(4～3月)'!M$26:M$595)</f>
        <v>0</v>
      </c>
      <c r="K14" s="157">
        <f>SUMIF('内訳ﾘｽﾄ(4～3月)'!$D$26:$D$595,$B14,'内訳ﾘｽﾄ(4～3月)'!N$26:N$595)</f>
        <v>0</v>
      </c>
      <c r="L14" s="157">
        <f>SUMIF('内訳ﾘｽﾄ(4～3月)'!$D$26:$D$595,$B14,'内訳ﾘｽﾄ(4～3月)'!O$26:O$595)</f>
        <v>0</v>
      </c>
      <c r="M14" s="157">
        <f>SUMIF('内訳ﾘｽﾄ(4～3月)'!$D$26:$D$595,$B14,'内訳ﾘｽﾄ(4～3月)'!P$26:P$595)</f>
        <v>0</v>
      </c>
      <c r="N14" s="157">
        <f>SUMIF('内訳ﾘｽﾄ(4～3月)'!$D$26:$D$595,$B14,'内訳ﾘｽﾄ(4～3月)'!Q$26:Q$595)</f>
        <v>0</v>
      </c>
      <c r="O14" s="157">
        <f>SUMIF('内訳ﾘｽﾄ(4～3月)'!$D$26:$D$394,'採算表(VND)'!$B14,'内訳ﾘｽﾄ(4～3月)'!R$26:R$394)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123</v>
      </c>
      <c r="C15" s="157">
        <f>SUMIF('内訳ﾘｽﾄ(4～3月)'!$D$26:$D$595,$B15,'内訳ﾘｽﾄ(4～3月)'!F$26:F$595)</f>
        <v>0</v>
      </c>
      <c r="D15" s="157">
        <f>SUMIF('内訳ﾘｽﾄ(4～3月)'!$D$26:$D$595,$B15,'内訳ﾘｽﾄ(4～3月)'!G$26:G$595)</f>
        <v>0</v>
      </c>
      <c r="E15" s="157">
        <f>SUMIF('内訳ﾘｽﾄ(4～3月)'!$D$26:$D$595,$B15,'内訳ﾘｽﾄ(4～3月)'!H$26:H$595)</f>
        <v>0</v>
      </c>
      <c r="F15" s="157">
        <f>SUMIF('内訳ﾘｽﾄ(4～3月)'!$D$26:$D$595,$B15,'内訳ﾘｽﾄ(4～3月)'!I$26:I$595)</f>
        <v>0</v>
      </c>
      <c r="G15" s="157">
        <f>SUMIF('内訳ﾘｽﾄ(4～3月)'!$D$26:$D$595,$B15,'内訳ﾘｽﾄ(4～3月)'!J$26:J$595)</f>
        <v>0</v>
      </c>
      <c r="H15" s="157">
        <f>SUMIF('内訳ﾘｽﾄ(4～3月)'!$D$26:$D$595,$B15,'内訳ﾘｽﾄ(4～3月)'!K$26:K$595)</f>
        <v>0</v>
      </c>
      <c r="I15" s="157">
        <f>SUMIF('内訳ﾘｽﾄ(4～3月)'!$D$26:$D$595,$B15,'内訳ﾘｽﾄ(4～3月)'!L$26:L$595)</f>
        <v>0</v>
      </c>
      <c r="J15" s="157">
        <f>SUMIF('内訳ﾘｽﾄ(4～3月)'!$D$26:$D$595,$B15,'内訳ﾘｽﾄ(4～3月)'!M$26:M$595)</f>
        <v>0</v>
      </c>
      <c r="K15" s="157">
        <f>SUMIF('内訳ﾘｽﾄ(4～3月)'!$D$26:$D$595,$B15,'内訳ﾘｽﾄ(4～3月)'!N$26:N$595)</f>
        <v>0</v>
      </c>
      <c r="L15" s="157">
        <f>SUMIF('内訳ﾘｽﾄ(4～3月)'!$D$26:$D$595,$B15,'内訳ﾘｽﾄ(4～3月)'!O$26:O$595)</f>
        <v>0</v>
      </c>
      <c r="M15" s="157">
        <f>SUMIF('内訳ﾘｽﾄ(4～3月)'!$D$26:$D$595,$B15,'内訳ﾘｽﾄ(4～3月)'!P$26:P$595)</f>
        <v>0</v>
      </c>
      <c r="N15" s="157">
        <f>SUMIF('内訳ﾘｽﾄ(4～3月)'!$D$26:$D$595,$B15,'内訳ﾘｽﾄ(4～3月)'!Q$26:Q$595)</f>
        <v>0</v>
      </c>
      <c r="O15" s="157">
        <f>SUMIF('内訳ﾘｽﾄ(4～3月)'!$D$26:$D$394,'採算表(VND)'!$B15,'内訳ﾘｽﾄ(4～3月)'!R$26:R$394)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119</v>
      </c>
      <c r="C16" s="157">
        <f>SUMIF('内訳ﾘｽﾄ(4～3月)'!$D$26:$D$595,$B16,'内訳ﾘｽﾄ(4～3月)'!F$26:F$595)</f>
        <v>0</v>
      </c>
      <c r="D16" s="157">
        <f>SUMIF('内訳ﾘｽﾄ(4～3月)'!$D$26:$D$595,$B16,'内訳ﾘｽﾄ(4～3月)'!G$26:G$595)</f>
        <v>0</v>
      </c>
      <c r="E16" s="157">
        <f>SUMIF('内訳ﾘｽﾄ(4～3月)'!$D$26:$D$595,$B16,'内訳ﾘｽﾄ(4～3月)'!H$26:H$595)</f>
        <v>0</v>
      </c>
      <c r="F16" s="157">
        <f>SUMIF('内訳ﾘｽﾄ(4～3月)'!$D$26:$D$595,$B16,'内訳ﾘｽﾄ(4～3月)'!I$26:I$595)</f>
        <v>0</v>
      </c>
      <c r="G16" s="157">
        <f>SUMIF('内訳ﾘｽﾄ(4～3月)'!$D$26:$D$595,$B16,'内訳ﾘｽﾄ(4～3月)'!J$26:J$595)</f>
        <v>0</v>
      </c>
      <c r="H16" s="157">
        <f>SUMIF('内訳ﾘｽﾄ(4～3月)'!$D$26:$D$595,$B16,'内訳ﾘｽﾄ(4～3月)'!K$26:K$595)</f>
        <v>0</v>
      </c>
      <c r="I16" s="157">
        <f>SUMIF('内訳ﾘｽﾄ(4～3月)'!$D$26:$D$595,$B16,'内訳ﾘｽﾄ(4～3月)'!L$26:L$595)</f>
        <v>0</v>
      </c>
      <c r="J16" s="157">
        <f>SUMIF('内訳ﾘｽﾄ(4～3月)'!$D$26:$D$595,$B16,'内訳ﾘｽﾄ(4～3月)'!M$26:M$595)</f>
        <v>0</v>
      </c>
      <c r="K16" s="157">
        <f>SUMIF('内訳ﾘｽﾄ(4～3月)'!$D$26:$D$595,$B16,'内訳ﾘｽﾄ(4～3月)'!N$26:N$595)</f>
        <v>0</v>
      </c>
      <c r="L16" s="157">
        <f>SUMIF('内訳ﾘｽﾄ(4～3月)'!$D$26:$D$595,$B16,'内訳ﾘｽﾄ(4～3月)'!O$26:O$595)</f>
        <v>0</v>
      </c>
      <c r="M16" s="157">
        <f>SUMIF('内訳ﾘｽﾄ(4～3月)'!$D$26:$D$595,$B16,'内訳ﾘｽﾄ(4～3月)'!P$26:P$595)</f>
        <v>0</v>
      </c>
      <c r="N16" s="157">
        <f>SUMIF('内訳ﾘｽﾄ(4～3月)'!$D$26:$D$595,$B16,'内訳ﾘｽﾄ(4～3月)'!Q$26:Q$595)</f>
        <v>0</v>
      </c>
      <c r="O16" s="157">
        <f>SUMIF('内訳ﾘｽﾄ(4～3月)'!$D$26:$D$394,'採算表(VND)'!$B16,'内訳ﾘｽﾄ(4～3月)'!R$26:R$394)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101</v>
      </c>
      <c r="C17" s="158">
        <f>SUMIF('内訳ﾘｽﾄ(4～3月)'!$D$26:$D$595,$B17,'内訳ﾘｽﾄ(4～3月)'!F$26:F$595)</f>
        <v>0</v>
      </c>
      <c r="D17" s="158">
        <f>SUMIF('内訳ﾘｽﾄ(4～3月)'!$D$26:$D$595,$B17,'内訳ﾘｽﾄ(4～3月)'!G$26:G$595)</f>
        <v>0</v>
      </c>
      <c r="E17" s="158">
        <f>SUMIF('内訳ﾘｽﾄ(4～3月)'!$D$26:$D$595,$B17,'内訳ﾘｽﾄ(4～3月)'!H$26:H$595)</f>
        <v>0</v>
      </c>
      <c r="F17" s="158">
        <f>SUMIF('内訳ﾘｽﾄ(4～3月)'!$D$26:$D$595,$B17,'内訳ﾘｽﾄ(4～3月)'!I$26:I$595)</f>
        <v>0</v>
      </c>
      <c r="G17" s="158">
        <f>SUMIF('内訳ﾘｽﾄ(4～3月)'!$D$26:$D$595,$B17,'内訳ﾘｽﾄ(4～3月)'!J$26:J$595)</f>
        <v>0</v>
      </c>
      <c r="H17" s="158">
        <f>SUMIF('内訳ﾘｽﾄ(4～3月)'!$D$26:$D$595,$B17,'内訳ﾘｽﾄ(4～3月)'!K$26:K$595)</f>
        <v>0</v>
      </c>
      <c r="I17" s="158">
        <f>SUMIF('内訳ﾘｽﾄ(4～3月)'!$D$26:$D$595,$B17,'内訳ﾘｽﾄ(4～3月)'!L$26:L$595)</f>
        <v>0</v>
      </c>
      <c r="J17" s="158">
        <f>SUMIF('内訳ﾘｽﾄ(4～3月)'!$D$26:$D$595,$B17,'内訳ﾘｽﾄ(4～3月)'!M$26:M$595)</f>
        <v>0</v>
      </c>
      <c r="K17" s="158">
        <f>SUMIF('内訳ﾘｽﾄ(4～3月)'!$D$26:$D$595,$B17,'内訳ﾘｽﾄ(4～3月)'!N$26:N$595)</f>
        <v>0</v>
      </c>
      <c r="L17" s="158">
        <f>SUMIF('内訳ﾘｽﾄ(4～3月)'!$D$26:$D$595,$B17,'内訳ﾘｽﾄ(4～3月)'!O$26:O$595)</f>
        <v>0</v>
      </c>
      <c r="M17" s="158">
        <f>SUMIF('内訳ﾘｽﾄ(4～3月)'!$D$26:$D$595,$B17,'内訳ﾘｽﾄ(4～3月)'!P$26:P$595)</f>
        <v>0</v>
      </c>
      <c r="N17" s="158">
        <f>SUMIF('内訳ﾘｽﾄ(4～3月)'!$D$26:$D$595,$B17,'内訳ﾘｽﾄ(4～3月)'!Q$26:Q$595)</f>
        <v>0</v>
      </c>
      <c r="O17" s="158">
        <f>SUMIF('内訳ﾘｽﾄ(4～3月)'!$D$26:$D$394,'採算表(VND)'!$B17,'内訳ﾘｽﾄ(4～3月)'!R$26:R$394)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SUMIF('内訳ﾘｽﾄ(4～3月)'!$D$26:$D$595,$B18,'内訳ﾘｽﾄ(4～3月)'!F$26:F$595)</f>
        <v>0</v>
      </c>
      <c r="D18" s="158">
        <f>SUMIF('内訳ﾘｽﾄ(4～3月)'!$D$26:$D$595,$B18,'内訳ﾘｽﾄ(4～3月)'!G$26:G$595)</f>
        <v>0</v>
      </c>
      <c r="E18" s="158">
        <f>SUMIF('内訳ﾘｽﾄ(4～3月)'!$D$26:$D$595,$B18,'内訳ﾘｽﾄ(4～3月)'!H$26:H$595)</f>
        <v>0</v>
      </c>
      <c r="F18" s="158">
        <f>SUMIF('内訳ﾘｽﾄ(4～3月)'!$D$26:$D$595,$B18,'内訳ﾘｽﾄ(4～3月)'!I$26:I$595)</f>
        <v>0</v>
      </c>
      <c r="G18" s="158">
        <f>SUMIF('内訳ﾘｽﾄ(4～3月)'!$D$26:$D$595,$B18,'内訳ﾘｽﾄ(4～3月)'!J$26:J$595)</f>
        <v>0</v>
      </c>
      <c r="H18" s="158">
        <f>SUMIF('内訳ﾘｽﾄ(4～3月)'!$D$26:$D$595,$B18,'内訳ﾘｽﾄ(4～3月)'!K$26:K$595)</f>
        <v>0</v>
      </c>
      <c r="I18" s="158">
        <f>SUMIF('内訳ﾘｽﾄ(4～3月)'!$D$26:$D$595,$B18,'内訳ﾘｽﾄ(4～3月)'!L$26:L$595)</f>
        <v>0</v>
      </c>
      <c r="J18" s="158">
        <f>SUMIF('内訳ﾘｽﾄ(4～3月)'!$D$26:$D$595,$B18,'内訳ﾘｽﾄ(4～3月)'!M$26:M$595)</f>
        <v>0</v>
      </c>
      <c r="K18" s="158">
        <f>SUMIF('内訳ﾘｽﾄ(4～3月)'!$D$26:$D$595,$B18,'内訳ﾘｽﾄ(4～3月)'!N$26:N$595)</f>
        <v>0</v>
      </c>
      <c r="L18" s="158">
        <f>SUMIF('内訳ﾘｽﾄ(4～3月)'!$D$26:$D$595,$B18,'内訳ﾘｽﾄ(4～3月)'!O$26:O$595)</f>
        <v>0</v>
      </c>
      <c r="M18" s="158">
        <f>SUMIF('内訳ﾘｽﾄ(4～3月)'!$D$26:$D$595,$B18,'内訳ﾘｽﾄ(4～3月)'!P$26:P$595)</f>
        <v>0</v>
      </c>
      <c r="N18" s="158">
        <f>SUMIF('内訳ﾘｽﾄ(4～3月)'!$D$26:$D$595,$B18,'内訳ﾘｽﾄ(4～3月)'!Q$26:Q$595)</f>
        <v>0</v>
      </c>
      <c r="O18" s="158">
        <f>SUMIF('内訳ﾘｽﾄ(4～3月)'!$D$26:$D$394,'採算表(VND)'!$B18,'内訳ﾘｽﾄ(4～3月)'!R$26:R$394)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SUMIF('内訳ﾘｽﾄ(4～3月)'!$D$26:$D$595,$B19,'内訳ﾘｽﾄ(4～3月)'!F$26:F$595)</f>
        <v>0</v>
      </c>
      <c r="D19" s="158">
        <f>SUMIF('内訳ﾘｽﾄ(4～3月)'!$D$26:$D$595,$B19,'内訳ﾘｽﾄ(4～3月)'!G$26:G$595)</f>
        <v>0</v>
      </c>
      <c r="E19" s="158">
        <f>SUMIF('内訳ﾘｽﾄ(4～3月)'!$D$26:$D$595,$B19,'内訳ﾘｽﾄ(4～3月)'!H$26:H$595)</f>
        <v>0</v>
      </c>
      <c r="F19" s="158">
        <f>SUMIF('内訳ﾘｽﾄ(4～3月)'!$D$26:$D$595,$B19,'内訳ﾘｽﾄ(4～3月)'!I$26:I$595)</f>
        <v>0</v>
      </c>
      <c r="G19" s="158">
        <f>SUMIF('内訳ﾘｽﾄ(4～3月)'!$D$26:$D$595,$B19,'内訳ﾘｽﾄ(4～3月)'!J$26:J$595)</f>
        <v>0</v>
      </c>
      <c r="H19" s="158">
        <f>SUMIF('内訳ﾘｽﾄ(4～3月)'!$D$26:$D$595,$B19,'内訳ﾘｽﾄ(4～3月)'!K$26:K$595)</f>
        <v>0</v>
      </c>
      <c r="I19" s="158">
        <f>SUMIF('内訳ﾘｽﾄ(4～3月)'!$D$26:$D$595,$B19,'内訳ﾘｽﾄ(4～3月)'!L$26:L$595)</f>
        <v>0</v>
      </c>
      <c r="J19" s="158">
        <f>SUMIF('内訳ﾘｽﾄ(4～3月)'!$D$26:$D$595,$B19,'内訳ﾘｽﾄ(4～3月)'!M$26:M$595)</f>
        <v>0</v>
      </c>
      <c r="K19" s="158">
        <f>SUMIF('内訳ﾘｽﾄ(4～3月)'!$D$26:$D$595,$B19,'内訳ﾘｽﾄ(4～3月)'!N$26:N$595)</f>
        <v>0</v>
      </c>
      <c r="L19" s="158">
        <f>SUMIF('内訳ﾘｽﾄ(4～3月)'!$D$26:$D$595,$B19,'内訳ﾘｽﾄ(4～3月)'!O$26:O$595)</f>
        <v>0</v>
      </c>
      <c r="M19" s="158">
        <f>SUMIF('内訳ﾘｽﾄ(4～3月)'!$D$26:$D$595,$B19,'内訳ﾘｽﾄ(4～3月)'!P$26:P$595)</f>
        <v>0</v>
      </c>
      <c r="N19" s="158">
        <f>SUMIF('内訳ﾘｽﾄ(4～3月)'!$D$26:$D$595,$B19,'内訳ﾘｽﾄ(4～3月)'!Q$26:Q$595)</f>
        <v>0</v>
      </c>
      <c r="O19" s="158">
        <f>SUMIF('内訳ﾘｽﾄ(4～3月)'!$D$26:$D$394,'採算表(VND)'!$B19,'内訳ﾘｽﾄ(4～3月)'!R$26:R$394)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SUMIF('内訳ﾘｽﾄ(4～3月)'!$D$26:$D$595,$B20,'内訳ﾘｽﾄ(4～3月)'!F$26:F$595)</f>
        <v>275801558</v>
      </c>
      <c r="D20" s="158">
        <f>SUMIF('内訳ﾘｽﾄ(4～3月)'!$D$26:$D$595,$B20,'内訳ﾘｽﾄ(4～3月)'!G$26:G$595)</f>
        <v>273939202</v>
      </c>
      <c r="E20" s="158">
        <f>SUMIF('内訳ﾘｽﾄ(4～3月)'!$D$26:$D$595,$B20,'内訳ﾘｽﾄ(4～3月)'!H$26:H$595)</f>
        <v>273977541</v>
      </c>
      <c r="F20" s="158">
        <f>SUMIF('内訳ﾘｽﾄ(4～3月)'!$D$26:$D$595,$B20,'内訳ﾘｽﾄ(4～3月)'!I$26:I$595)</f>
        <v>304222824</v>
      </c>
      <c r="G20" s="158">
        <f>SUMIF('内訳ﾘｽﾄ(4～3月)'!$D$26:$D$595,$B20,'内訳ﾘｽﾄ(4～3月)'!J$26:J$595)</f>
        <v>326621516</v>
      </c>
      <c r="H20" s="158">
        <f>SUMIF('内訳ﾘｽﾄ(4～3月)'!$D$26:$D$595,$B20,'内訳ﾘｽﾄ(4～3月)'!K$26:K$595)</f>
        <v>326187855</v>
      </c>
      <c r="I20" s="158">
        <f>SUMIF('内訳ﾘｽﾄ(4～3月)'!$D$26:$D$595,$B20,'内訳ﾘｽﾄ(4～3月)'!L$26:L$595)</f>
        <v>326187855</v>
      </c>
      <c r="J20" s="158">
        <f>SUMIF('内訳ﾘｽﾄ(4～3月)'!$D$26:$D$595,$B20,'内訳ﾘｽﾄ(4～3月)'!M$26:M$595)</f>
        <v>325819192</v>
      </c>
      <c r="K20" s="158">
        <f>SUMIF('内訳ﾘｽﾄ(4～3月)'!$D$26:$D$595,$B20,'内訳ﾘｽﾄ(4～3月)'!N$26:N$595)</f>
        <v>326150531</v>
      </c>
      <c r="L20" s="158">
        <f>SUMIF('内訳ﾘｽﾄ(4～3月)'!$D$26:$D$595,$B20,'内訳ﾘｽﾄ(4～3月)'!O$26:O$595)</f>
        <v>326141391</v>
      </c>
      <c r="M20" s="158">
        <f>SUMIF('内訳ﾘｽﾄ(4～3月)'!$D$26:$D$595,$B20,'内訳ﾘｽﾄ(4～3月)'!P$26:P$595)</f>
        <v>325788470</v>
      </c>
      <c r="N20" s="158">
        <f>SUMIF('内訳ﾘｽﾄ(4～3月)'!$D$26:$D$595,$B20,'内訳ﾘｽﾄ(4～3月)'!Q$26:Q$595)</f>
        <v>325765873</v>
      </c>
      <c r="O20" s="158">
        <f>SUMIF('内訳ﾘｽﾄ(4～3月)'!$D$26:$D$394,'採算表(VND)'!$B20,'内訳ﾘｽﾄ(4～3月)'!R$26:R$394)</f>
        <v>3736603808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SUMIF('内訳ﾘｽﾄ(4～3月)'!$D$26:$D$595,$B21,'内訳ﾘｽﾄ(4～3月)'!F$26:F$595)</f>
        <v>0</v>
      </c>
      <c r="D21" s="158">
        <f>SUMIF('内訳ﾘｽﾄ(4～3月)'!$D$26:$D$595,$B21,'内訳ﾘｽﾄ(4～3月)'!G$26:G$595)</f>
        <v>0</v>
      </c>
      <c r="E21" s="158">
        <f>SUMIF('内訳ﾘｽﾄ(4～3月)'!$D$26:$D$595,$B21,'内訳ﾘｽﾄ(4～3月)'!H$26:H$595)</f>
        <v>0</v>
      </c>
      <c r="F21" s="158">
        <f>SUMIF('内訳ﾘｽﾄ(4～3月)'!$D$26:$D$595,$B21,'内訳ﾘｽﾄ(4～3月)'!I$26:I$595)</f>
        <v>0</v>
      </c>
      <c r="G21" s="158">
        <f>SUMIF('内訳ﾘｽﾄ(4～3月)'!$D$26:$D$595,$B21,'内訳ﾘｽﾄ(4～3月)'!J$26:J$595)</f>
        <v>0</v>
      </c>
      <c r="H21" s="158">
        <f>SUMIF('内訳ﾘｽﾄ(4～3月)'!$D$26:$D$595,$B21,'内訳ﾘｽﾄ(4～3月)'!K$26:K$595)</f>
        <v>0</v>
      </c>
      <c r="I21" s="158">
        <f>SUMIF('内訳ﾘｽﾄ(4～3月)'!$D$26:$D$595,$B21,'内訳ﾘｽﾄ(4～3月)'!L$26:L$595)</f>
        <v>0</v>
      </c>
      <c r="J21" s="158">
        <f>SUMIF('内訳ﾘｽﾄ(4～3月)'!$D$26:$D$595,$B21,'内訳ﾘｽﾄ(4～3月)'!M$26:M$595)</f>
        <v>0</v>
      </c>
      <c r="K21" s="158">
        <f>SUMIF('内訳ﾘｽﾄ(4～3月)'!$D$26:$D$595,$B21,'内訳ﾘｽﾄ(4～3月)'!N$26:N$595)</f>
        <v>0</v>
      </c>
      <c r="L21" s="158">
        <f>SUMIF('内訳ﾘｽﾄ(4～3月)'!$D$26:$D$595,$B21,'内訳ﾘｽﾄ(4～3月)'!O$26:O$595)</f>
        <v>0</v>
      </c>
      <c r="M21" s="158">
        <f>SUMIF('内訳ﾘｽﾄ(4～3月)'!$D$26:$D$595,$B21,'内訳ﾘｽﾄ(4～3月)'!P$26:P$595)</f>
        <v>0</v>
      </c>
      <c r="N21" s="158">
        <f>SUMIF('内訳ﾘｽﾄ(4～3月)'!$D$26:$D$595,$B21,'内訳ﾘｽﾄ(4～3月)'!Q$26:Q$595)</f>
        <v>0</v>
      </c>
      <c r="O21" s="158">
        <f>SUMIF('内訳ﾘｽﾄ(4～3月)'!$D$26:$D$394,'採算表(VND)'!$B21,'内訳ﾘｽﾄ(4～3月)'!R$26:R$394)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SUMIF('内訳ﾘｽﾄ(4～3月)'!$D$26:$D$595,$B22,'内訳ﾘｽﾄ(4～3月)'!F$26:F$595)</f>
        <v>0</v>
      </c>
      <c r="D22" s="158">
        <f>SUMIF('内訳ﾘｽﾄ(4～3月)'!$D$26:$D$595,$B22,'内訳ﾘｽﾄ(4～3月)'!G$26:G$595)</f>
        <v>0</v>
      </c>
      <c r="E22" s="158">
        <f>SUMIF('内訳ﾘｽﾄ(4～3月)'!$D$26:$D$595,$B22,'内訳ﾘｽﾄ(4～3月)'!H$26:H$595)</f>
        <v>0</v>
      </c>
      <c r="F22" s="158">
        <f>SUMIF('内訳ﾘｽﾄ(4～3月)'!$D$26:$D$595,$B22,'内訳ﾘｽﾄ(4～3月)'!I$26:I$595)</f>
        <v>0</v>
      </c>
      <c r="G22" s="158">
        <f>SUMIF('内訳ﾘｽﾄ(4～3月)'!$D$26:$D$595,$B22,'内訳ﾘｽﾄ(4～3月)'!J$26:J$595)</f>
        <v>0</v>
      </c>
      <c r="H22" s="158">
        <f>SUMIF('内訳ﾘｽﾄ(4～3月)'!$D$26:$D$595,$B22,'内訳ﾘｽﾄ(4～3月)'!K$26:K$595)</f>
        <v>0</v>
      </c>
      <c r="I22" s="158">
        <f>SUMIF('内訳ﾘｽﾄ(4～3月)'!$D$26:$D$595,$B22,'内訳ﾘｽﾄ(4～3月)'!L$26:L$595)</f>
        <v>0</v>
      </c>
      <c r="J22" s="158">
        <f>SUMIF('内訳ﾘｽﾄ(4～3月)'!$D$26:$D$595,$B22,'内訳ﾘｽﾄ(4～3月)'!M$26:M$595)</f>
        <v>0</v>
      </c>
      <c r="K22" s="158">
        <f>SUMIF('内訳ﾘｽﾄ(4～3月)'!$D$26:$D$595,$B22,'内訳ﾘｽﾄ(4～3月)'!N$26:N$595)</f>
        <v>0</v>
      </c>
      <c r="L22" s="158">
        <f>SUMIF('内訳ﾘｽﾄ(4～3月)'!$D$26:$D$595,$B22,'内訳ﾘｽﾄ(4～3月)'!O$26:O$595)</f>
        <v>0</v>
      </c>
      <c r="M22" s="158">
        <f>SUMIF('内訳ﾘｽﾄ(4～3月)'!$D$26:$D$595,$B22,'内訳ﾘｽﾄ(4～3月)'!P$26:P$595)</f>
        <v>0</v>
      </c>
      <c r="N22" s="158">
        <f>SUMIF('内訳ﾘｽﾄ(4～3月)'!$D$26:$D$595,$B22,'内訳ﾘｽﾄ(4～3月)'!Q$26:Q$595)</f>
        <v>0</v>
      </c>
      <c r="O22" s="158">
        <f>SUMIF('内訳ﾘｽﾄ(4～3月)'!$D$26:$D$394,'採算表(VND)'!$B22,'内訳ﾘｽﾄ(4～3月)'!R$26:R$394)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SUMIF('内訳ﾘｽﾄ(4～3月)'!$D$26:$D$595,$B23,'内訳ﾘｽﾄ(4～3月)'!F$26:F$595)</f>
        <v>0</v>
      </c>
      <c r="D23" s="158">
        <f>SUMIF('内訳ﾘｽﾄ(4～3月)'!$D$26:$D$595,$B23,'内訳ﾘｽﾄ(4～3月)'!G$26:G$595)</f>
        <v>0</v>
      </c>
      <c r="E23" s="158">
        <f>SUMIF('内訳ﾘｽﾄ(4～3月)'!$D$26:$D$595,$B23,'内訳ﾘｽﾄ(4～3月)'!H$26:H$595)</f>
        <v>0</v>
      </c>
      <c r="F23" s="158">
        <f>SUMIF('内訳ﾘｽﾄ(4～3月)'!$D$26:$D$595,$B23,'内訳ﾘｽﾄ(4～3月)'!I$26:I$595)</f>
        <v>0</v>
      </c>
      <c r="G23" s="158">
        <f>SUMIF('内訳ﾘｽﾄ(4～3月)'!$D$26:$D$595,$B23,'内訳ﾘｽﾄ(4～3月)'!J$26:J$595)</f>
        <v>0</v>
      </c>
      <c r="H23" s="158">
        <f>SUMIF('内訳ﾘｽﾄ(4～3月)'!$D$26:$D$595,$B23,'内訳ﾘｽﾄ(4～3月)'!K$26:K$595)</f>
        <v>0</v>
      </c>
      <c r="I23" s="158">
        <f>SUMIF('内訳ﾘｽﾄ(4～3月)'!$D$26:$D$595,$B23,'内訳ﾘｽﾄ(4～3月)'!L$26:L$595)</f>
        <v>0</v>
      </c>
      <c r="J23" s="158">
        <f>SUMIF('内訳ﾘｽﾄ(4～3月)'!$D$26:$D$595,$B23,'内訳ﾘｽﾄ(4～3月)'!M$26:M$595)</f>
        <v>0</v>
      </c>
      <c r="K23" s="158">
        <f>SUMIF('内訳ﾘｽﾄ(4～3月)'!$D$26:$D$595,$B23,'内訳ﾘｽﾄ(4～3月)'!N$26:N$595)</f>
        <v>0</v>
      </c>
      <c r="L23" s="158">
        <f>SUMIF('内訳ﾘｽﾄ(4～3月)'!$D$26:$D$595,$B23,'内訳ﾘｽﾄ(4～3月)'!O$26:O$595)</f>
        <v>0</v>
      </c>
      <c r="M23" s="158">
        <f>SUMIF('内訳ﾘｽﾄ(4～3月)'!$D$26:$D$595,$B23,'内訳ﾘｽﾄ(4～3月)'!P$26:P$595)</f>
        <v>0</v>
      </c>
      <c r="N23" s="158">
        <f>SUMIF('内訳ﾘｽﾄ(4～3月)'!$D$26:$D$595,$B23,'内訳ﾘｽﾄ(4～3月)'!Q$26:Q$595)</f>
        <v>0</v>
      </c>
      <c r="O23" s="158">
        <f>SUMIF('内訳ﾘｽﾄ(4～3月)'!$D$26:$D$394,'採算表(VND)'!$B23,'内訳ﾘｽﾄ(4～3月)'!R$26:R$394)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SUMIF('内訳ﾘｽﾄ(4～3月)'!$D$26:$D$595,$B24,'内訳ﾘｽﾄ(4～3月)'!F$26:F$595)</f>
        <v>0</v>
      </c>
      <c r="D24" s="158">
        <f>SUMIF('内訳ﾘｽﾄ(4～3月)'!$D$26:$D$595,$B24,'内訳ﾘｽﾄ(4～3月)'!G$26:G$595)</f>
        <v>0</v>
      </c>
      <c r="E24" s="158">
        <f>SUMIF('内訳ﾘｽﾄ(4～3月)'!$D$26:$D$595,$B24,'内訳ﾘｽﾄ(4～3月)'!H$26:H$595)</f>
        <v>0</v>
      </c>
      <c r="F24" s="158">
        <f>SUMIF('内訳ﾘｽﾄ(4～3月)'!$D$26:$D$595,$B24,'内訳ﾘｽﾄ(4～3月)'!I$26:I$595)</f>
        <v>0</v>
      </c>
      <c r="G24" s="158">
        <f>SUMIF('内訳ﾘｽﾄ(4～3月)'!$D$26:$D$595,$B24,'内訳ﾘｽﾄ(4～3月)'!J$26:J$595)</f>
        <v>0</v>
      </c>
      <c r="H24" s="158">
        <f>SUMIF('内訳ﾘｽﾄ(4～3月)'!$D$26:$D$595,$B24,'内訳ﾘｽﾄ(4～3月)'!K$26:K$595)</f>
        <v>0</v>
      </c>
      <c r="I24" s="158">
        <f>SUMIF('内訳ﾘｽﾄ(4～3月)'!$D$26:$D$595,$B24,'内訳ﾘｽﾄ(4～3月)'!L$26:L$595)</f>
        <v>0</v>
      </c>
      <c r="J24" s="158">
        <f>SUMIF('内訳ﾘｽﾄ(4～3月)'!$D$26:$D$595,$B24,'内訳ﾘｽﾄ(4～3月)'!M$26:M$595)</f>
        <v>0</v>
      </c>
      <c r="K24" s="158">
        <f>SUMIF('内訳ﾘｽﾄ(4～3月)'!$D$26:$D$595,$B24,'内訳ﾘｽﾄ(4～3月)'!N$26:N$595)</f>
        <v>0</v>
      </c>
      <c r="L24" s="158">
        <f>SUMIF('内訳ﾘｽﾄ(4～3月)'!$D$26:$D$595,$B24,'内訳ﾘｽﾄ(4～3月)'!O$26:O$595)</f>
        <v>0</v>
      </c>
      <c r="M24" s="158">
        <f>SUMIF('内訳ﾘｽﾄ(4～3月)'!$D$26:$D$595,$B24,'内訳ﾘｽﾄ(4～3月)'!P$26:P$595)</f>
        <v>0</v>
      </c>
      <c r="N24" s="158">
        <f>SUMIF('内訳ﾘｽﾄ(4～3月)'!$D$26:$D$595,$B24,'内訳ﾘｽﾄ(4～3月)'!Q$26:Q$595)</f>
        <v>0</v>
      </c>
      <c r="O24" s="158">
        <f>SUMIF('内訳ﾘｽﾄ(4～3月)'!$D$26:$D$394,'採算表(VND)'!$B24,'内訳ﾘｽﾄ(4～3月)'!R$26:R$394)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SUMIF('内訳ﾘｽﾄ(4～3月)'!$D$26:$D$595,$B25,'内訳ﾘｽﾄ(4～3月)'!F$26:F$595)</f>
        <v>841440</v>
      </c>
      <c r="D25" s="158">
        <f>SUMIF('内訳ﾘｽﾄ(4～3月)'!$D$26:$D$595,$B25,'内訳ﾘｽﾄ(4～3月)'!G$26:G$595)</f>
        <v>841440</v>
      </c>
      <c r="E25" s="158">
        <f>SUMIF('内訳ﾘｽﾄ(4～3月)'!$D$26:$D$595,$B25,'内訳ﾘｽﾄ(4～3月)'!H$26:H$595)</f>
        <v>841440</v>
      </c>
      <c r="F25" s="158">
        <f>SUMIF('内訳ﾘｽﾄ(4～3月)'!$D$26:$D$595,$B25,'内訳ﾘｽﾄ(4～3月)'!I$26:I$595)</f>
        <v>841440</v>
      </c>
      <c r="G25" s="158">
        <f>SUMIF('内訳ﾘｽﾄ(4～3月)'!$D$26:$D$595,$B25,'内訳ﾘｽﾄ(4～3月)'!J$26:J$595)</f>
        <v>841440</v>
      </c>
      <c r="H25" s="158">
        <f>SUMIF('内訳ﾘｽﾄ(4～3月)'!$D$26:$D$595,$B25,'内訳ﾘｽﾄ(4～3月)'!K$26:K$595)</f>
        <v>841440</v>
      </c>
      <c r="I25" s="158">
        <f>SUMIF('内訳ﾘｽﾄ(4～3月)'!$D$26:$D$595,$B25,'内訳ﾘｽﾄ(4～3月)'!L$26:L$595)</f>
        <v>841440</v>
      </c>
      <c r="J25" s="158">
        <f>SUMIF('内訳ﾘｽﾄ(4～3月)'!$D$26:$D$595,$B25,'内訳ﾘｽﾄ(4～3月)'!M$26:M$595)</f>
        <v>841440</v>
      </c>
      <c r="K25" s="158">
        <f>SUMIF('内訳ﾘｽﾄ(4～3月)'!$D$26:$D$595,$B25,'内訳ﾘｽﾄ(4～3月)'!N$26:N$595)</f>
        <v>841440</v>
      </c>
      <c r="L25" s="158">
        <f>SUMIF('内訳ﾘｽﾄ(4～3月)'!$D$26:$D$595,$B25,'内訳ﾘｽﾄ(4～3月)'!O$26:O$595)</f>
        <v>841440</v>
      </c>
      <c r="M25" s="158">
        <f>SUMIF('内訳ﾘｽﾄ(4～3月)'!$D$26:$D$595,$B25,'内訳ﾘｽﾄ(4～3月)'!P$26:P$595)</f>
        <v>841440</v>
      </c>
      <c r="N25" s="158">
        <f>SUMIF('内訳ﾘｽﾄ(4～3月)'!$D$26:$D$595,$B25,'内訳ﾘｽﾄ(4～3月)'!Q$26:Q$595)</f>
        <v>841440</v>
      </c>
      <c r="O25" s="158">
        <f>SUMIF('内訳ﾘｽﾄ(4～3月)'!$D$26:$D$394,'採算表(VND)'!$B25,'内訳ﾘｽﾄ(4～3月)'!R$26:R$394)</f>
        <v>10097280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103</v>
      </c>
      <c r="C26" s="158">
        <f>SUMIF('内訳ﾘｽﾄ(4～3月)'!$D$26:$D$595,$B26,'内訳ﾘｽﾄ(4～3月)'!F$26:F$595)</f>
        <v>350000</v>
      </c>
      <c r="D26" s="158">
        <f>SUMIF('内訳ﾘｽﾄ(4～3月)'!$D$26:$D$595,$B26,'内訳ﾘｽﾄ(4～3月)'!G$26:G$595)</f>
        <v>0</v>
      </c>
      <c r="E26" s="158">
        <f>SUMIF('内訳ﾘｽﾄ(4～3月)'!$D$26:$D$595,$B26,'内訳ﾘｽﾄ(4～3月)'!H$26:H$595)</f>
        <v>3550000</v>
      </c>
      <c r="F26" s="158">
        <f>SUMIF('内訳ﾘｽﾄ(4～3月)'!$D$26:$D$595,$B26,'内訳ﾘｽﾄ(4～3月)'!I$26:I$595)</f>
        <v>0</v>
      </c>
      <c r="G26" s="158">
        <f>SUMIF('内訳ﾘｽﾄ(4～3月)'!$D$26:$D$595,$B26,'内訳ﾘｽﾄ(4～3月)'!J$26:J$595)</f>
        <v>350000</v>
      </c>
      <c r="H26" s="158">
        <f>SUMIF('内訳ﾘｽﾄ(4～3月)'!$D$26:$D$595,$B26,'内訳ﾘｽﾄ(4～3月)'!K$26:K$595)</f>
        <v>120000000</v>
      </c>
      <c r="I26" s="158">
        <f>SUMIF('内訳ﾘｽﾄ(4～3月)'!$D$26:$D$595,$B26,'内訳ﾘｽﾄ(4～3月)'!L$26:L$595)</f>
        <v>350000</v>
      </c>
      <c r="J26" s="158">
        <f>SUMIF('内訳ﾘｽﾄ(4～3月)'!$D$26:$D$595,$B26,'内訳ﾘｽﾄ(4～3月)'!M$26:M$595)</f>
        <v>0</v>
      </c>
      <c r="K26" s="158">
        <f>SUMIF('内訳ﾘｽﾄ(4～3月)'!$D$26:$D$595,$B26,'内訳ﾘｽﾄ(4～3月)'!N$26:N$595)</f>
        <v>350000</v>
      </c>
      <c r="L26" s="158">
        <f>SUMIF('内訳ﾘｽﾄ(4～3月)'!$D$26:$D$595,$B26,'内訳ﾘｽﾄ(4～3月)'!O$26:O$595)</f>
        <v>0</v>
      </c>
      <c r="M26" s="158">
        <f>SUMIF('内訳ﾘｽﾄ(4～3月)'!$D$26:$D$595,$B26,'内訳ﾘｽﾄ(4～3月)'!P$26:P$595)</f>
        <v>350000</v>
      </c>
      <c r="N26" s="158">
        <f>SUMIF('内訳ﾘｽﾄ(4～3月)'!$D$26:$D$595,$B26,'内訳ﾘｽﾄ(4～3月)'!Q$26:Q$595)</f>
        <v>0</v>
      </c>
      <c r="O26" s="158">
        <f>SUMIF('内訳ﾘｽﾄ(4～3月)'!$D$26:$D$394,'採算表(VND)'!$B26,'内訳ﾘｽﾄ(4～3月)'!R$26:R$394)</f>
        <v>125300000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SUMIF('内訳ﾘｽﾄ(4～3月)'!$D$26:$D$595,$B27,'内訳ﾘｽﾄ(4～3月)'!F$26:F$595)</f>
        <v>0</v>
      </c>
      <c r="D27" s="158">
        <f>SUMIF('内訳ﾘｽﾄ(4～3月)'!$D$26:$D$595,$B27,'内訳ﾘｽﾄ(4～3月)'!G$26:G$595)</f>
        <v>0</v>
      </c>
      <c r="E27" s="158">
        <f>SUMIF('内訳ﾘｽﾄ(4～3月)'!$D$26:$D$595,$B27,'内訳ﾘｽﾄ(4～3月)'!H$26:H$595)</f>
        <v>0</v>
      </c>
      <c r="F27" s="158">
        <f>SUMIF('内訳ﾘｽﾄ(4～3月)'!$D$26:$D$595,$B27,'内訳ﾘｽﾄ(4～3月)'!I$26:I$595)</f>
        <v>0</v>
      </c>
      <c r="G27" s="158">
        <f>SUMIF('内訳ﾘｽﾄ(4～3月)'!$D$26:$D$595,$B27,'内訳ﾘｽﾄ(4～3月)'!J$26:J$595)</f>
        <v>0</v>
      </c>
      <c r="H27" s="158">
        <f>SUMIF('内訳ﾘｽﾄ(4～3月)'!$D$26:$D$595,$B27,'内訳ﾘｽﾄ(4～3月)'!K$26:K$595)</f>
        <v>0</v>
      </c>
      <c r="I27" s="158">
        <f>SUMIF('内訳ﾘｽﾄ(4～3月)'!$D$26:$D$595,$B27,'内訳ﾘｽﾄ(4～3月)'!L$26:L$595)</f>
        <v>0</v>
      </c>
      <c r="J27" s="158">
        <f>SUMIF('内訳ﾘｽﾄ(4～3月)'!$D$26:$D$595,$B27,'内訳ﾘｽﾄ(4～3月)'!M$26:M$595)</f>
        <v>0</v>
      </c>
      <c r="K27" s="158">
        <f>SUMIF('内訳ﾘｽﾄ(4～3月)'!$D$26:$D$595,$B27,'内訳ﾘｽﾄ(4～3月)'!N$26:N$595)</f>
        <v>0</v>
      </c>
      <c r="L27" s="158">
        <f>SUMIF('内訳ﾘｽﾄ(4～3月)'!$D$26:$D$595,$B27,'内訳ﾘｽﾄ(4～3月)'!O$26:O$595)</f>
        <v>0</v>
      </c>
      <c r="M27" s="158">
        <f>SUMIF('内訳ﾘｽﾄ(4～3月)'!$D$26:$D$595,$B27,'内訳ﾘｽﾄ(4～3月)'!P$26:P$595)</f>
        <v>0</v>
      </c>
      <c r="N27" s="158">
        <f>SUMIF('内訳ﾘｽﾄ(4～3月)'!$D$26:$D$595,$B27,'内訳ﾘｽﾄ(4～3月)'!Q$26:Q$595)</f>
        <v>0</v>
      </c>
      <c r="O27" s="158">
        <f>SUMIF('内訳ﾘｽﾄ(4～3月)'!$D$26:$D$394,'採算表(VND)'!$B27,'内訳ﾘｽﾄ(4～3月)'!R$26:R$394)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SUMIF('内訳ﾘｽﾄ(4～3月)'!$D$26:$D$595,$B28,'内訳ﾘｽﾄ(4～3月)'!F$26:F$595)</f>
        <v>0</v>
      </c>
      <c r="D28" s="158">
        <f>SUMIF('内訳ﾘｽﾄ(4～3月)'!$D$26:$D$595,$B28,'内訳ﾘｽﾄ(4～3月)'!G$26:G$595)</f>
        <v>0</v>
      </c>
      <c r="E28" s="158">
        <f>SUMIF('内訳ﾘｽﾄ(4～3月)'!$D$26:$D$595,$B28,'内訳ﾘｽﾄ(4～3月)'!H$26:H$595)</f>
        <v>0</v>
      </c>
      <c r="F28" s="158">
        <f>SUMIF('内訳ﾘｽﾄ(4～3月)'!$D$26:$D$595,$B28,'内訳ﾘｽﾄ(4～3月)'!I$26:I$595)</f>
        <v>0</v>
      </c>
      <c r="G28" s="158">
        <f>SUMIF('内訳ﾘｽﾄ(4～3月)'!$D$26:$D$595,$B28,'内訳ﾘｽﾄ(4～3月)'!J$26:J$595)</f>
        <v>0</v>
      </c>
      <c r="H28" s="158">
        <f>SUMIF('内訳ﾘｽﾄ(4～3月)'!$D$26:$D$595,$B28,'内訳ﾘｽﾄ(4～3月)'!K$26:K$595)</f>
        <v>0</v>
      </c>
      <c r="I28" s="158">
        <f>SUMIF('内訳ﾘｽﾄ(4～3月)'!$D$26:$D$595,$B28,'内訳ﾘｽﾄ(4～3月)'!L$26:L$595)</f>
        <v>0</v>
      </c>
      <c r="J28" s="158">
        <f>SUMIF('内訳ﾘｽﾄ(4～3月)'!$D$26:$D$595,$B28,'内訳ﾘｽﾄ(4～3月)'!M$26:M$595)</f>
        <v>0</v>
      </c>
      <c r="K28" s="158">
        <f>SUMIF('内訳ﾘｽﾄ(4～3月)'!$D$26:$D$595,$B28,'内訳ﾘｽﾄ(4～3月)'!N$26:N$595)</f>
        <v>0</v>
      </c>
      <c r="L28" s="158">
        <f>SUMIF('内訳ﾘｽﾄ(4～3月)'!$D$26:$D$595,$B28,'内訳ﾘｽﾄ(4～3月)'!O$26:O$595)</f>
        <v>0</v>
      </c>
      <c r="M28" s="158">
        <f>SUMIF('内訳ﾘｽﾄ(4～3月)'!$D$26:$D$595,$B28,'内訳ﾘｽﾄ(4～3月)'!P$26:P$595)</f>
        <v>0</v>
      </c>
      <c r="N28" s="158">
        <f>SUMIF('内訳ﾘｽﾄ(4～3月)'!$D$26:$D$595,$B28,'内訳ﾘｽﾄ(4～3月)'!Q$26:Q$595)</f>
        <v>0</v>
      </c>
      <c r="O28" s="158">
        <f>SUMIF('内訳ﾘｽﾄ(4～3月)'!$D$26:$D$394,'採算表(VND)'!$B28,'内訳ﾘｽﾄ(4～3月)'!R$26:R$394)</f>
        <v>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SUMIF('内訳ﾘｽﾄ(4～3月)'!$D$26:$D$595,$B29,'内訳ﾘｽﾄ(4～3月)'!F$26:F$595)</f>
        <v>0</v>
      </c>
      <c r="D29" s="158">
        <f>SUMIF('内訳ﾘｽﾄ(4～3月)'!$D$26:$D$595,$B29,'内訳ﾘｽﾄ(4～3月)'!G$26:G$595)</f>
        <v>0</v>
      </c>
      <c r="E29" s="158">
        <f>SUMIF('内訳ﾘｽﾄ(4～3月)'!$D$26:$D$595,$B29,'内訳ﾘｽﾄ(4～3月)'!H$26:H$595)</f>
        <v>0</v>
      </c>
      <c r="F29" s="158">
        <f>SUMIF('内訳ﾘｽﾄ(4～3月)'!$D$26:$D$595,$B29,'内訳ﾘｽﾄ(4～3月)'!I$26:I$595)</f>
        <v>7520000</v>
      </c>
      <c r="G29" s="158">
        <f>SUMIF('内訳ﾘｽﾄ(4～3月)'!$D$26:$D$595,$B29,'内訳ﾘｽﾄ(4～3月)'!J$26:J$595)</f>
        <v>5734140</v>
      </c>
      <c r="H29" s="158">
        <f>SUMIF('内訳ﾘｽﾄ(4～3月)'!$D$26:$D$595,$B29,'内訳ﾘｽﾄ(4～3月)'!K$26:K$595)</f>
        <v>197509880</v>
      </c>
      <c r="I29" s="158">
        <f>SUMIF('内訳ﾘｽﾄ(4～3月)'!$D$26:$D$595,$B29,'内訳ﾘｽﾄ(4～3月)'!L$26:L$595)</f>
        <v>0</v>
      </c>
      <c r="J29" s="158">
        <f>SUMIF('内訳ﾘｽﾄ(4～3月)'!$D$26:$D$595,$B29,'内訳ﾘｽﾄ(4～3月)'!M$26:M$595)</f>
        <v>0</v>
      </c>
      <c r="K29" s="158">
        <f>SUMIF('内訳ﾘｽﾄ(4～3月)'!$D$26:$D$595,$B29,'内訳ﾘｽﾄ(4～3月)'!N$26:N$595)</f>
        <v>0</v>
      </c>
      <c r="L29" s="158">
        <f>SUMIF('内訳ﾘｽﾄ(4～3月)'!$D$26:$D$595,$B29,'内訳ﾘｽﾄ(4～3月)'!O$26:O$595)</f>
        <v>0</v>
      </c>
      <c r="M29" s="158">
        <f>SUMIF('内訳ﾘｽﾄ(4～3月)'!$D$26:$D$595,$B29,'内訳ﾘｽﾄ(4～3月)'!P$26:P$595)</f>
        <v>0</v>
      </c>
      <c r="N29" s="158">
        <f>SUMIF('内訳ﾘｽﾄ(4～3月)'!$D$26:$D$595,$B29,'内訳ﾘｽﾄ(4～3月)'!Q$26:Q$595)</f>
        <v>0</v>
      </c>
      <c r="O29" s="158">
        <f>SUMIF('内訳ﾘｽﾄ(4～3月)'!$D$26:$D$394,'採算表(VND)'!$B29,'内訳ﾘｽﾄ(4～3月)'!R$26:R$394)</f>
        <v>210764020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96</v>
      </c>
      <c r="C30" s="158">
        <f>SUMIF('内訳ﾘｽﾄ(4～3月)'!$D$26:$D$595,$B30,'内訳ﾘｽﾄ(4～3月)'!F$26:F$595)</f>
        <v>5088878</v>
      </c>
      <c r="D30" s="158">
        <f>SUMIF('内訳ﾘｽﾄ(4～3月)'!$D$26:$D$595,$B30,'内訳ﾘｽﾄ(4～3月)'!G$26:G$595)</f>
        <v>4230024</v>
      </c>
      <c r="E30" s="158">
        <f>SUMIF('内訳ﾘｽﾄ(4～3月)'!$D$26:$D$595,$B30,'内訳ﾘｽﾄ(4～3月)'!H$26:H$595)</f>
        <v>4187030</v>
      </c>
      <c r="F30" s="158">
        <f>SUMIF('内訳ﾘｽﾄ(4～3月)'!$D$26:$D$595,$B30,'内訳ﾘｽﾄ(4～3月)'!I$26:I$595)</f>
        <v>5444310</v>
      </c>
      <c r="G30" s="158">
        <f>SUMIF('内訳ﾘｽﾄ(4～3月)'!$D$26:$D$595,$B30,'内訳ﾘｽﾄ(4～3月)'!J$26:J$595)</f>
        <v>5993359</v>
      </c>
      <c r="H30" s="158">
        <f>SUMIF('内訳ﾘｽﾄ(4～3月)'!$D$26:$D$595,$B30,'内訳ﾘｽﾄ(4～3月)'!K$26:K$595)</f>
        <v>5568290</v>
      </c>
      <c r="I30" s="158">
        <f>SUMIF('内訳ﾘｽﾄ(4～3月)'!$D$26:$D$595,$B30,'内訳ﾘｽﾄ(4～3月)'!L$26:L$595)</f>
        <v>4683419</v>
      </c>
      <c r="J30" s="158">
        <f>SUMIF('内訳ﾘｽﾄ(4～3月)'!$D$26:$D$595,$B30,'内訳ﾘｽﾄ(4～3月)'!M$26:M$595)</f>
        <v>4868465</v>
      </c>
      <c r="K30" s="158">
        <f>SUMIF('内訳ﾘｽﾄ(4～3月)'!$D$26:$D$595,$B30,'内訳ﾘｽﾄ(4～3月)'!N$26:N$595)</f>
        <v>5137361</v>
      </c>
      <c r="L30" s="158">
        <f>SUMIF('内訳ﾘｽﾄ(4～3月)'!$D$26:$D$595,$B30,'内訳ﾘｽﾄ(4～3月)'!O$26:O$595)</f>
        <v>3433431</v>
      </c>
      <c r="M30" s="158">
        <f>SUMIF('内訳ﾘｽﾄ(4～3月)'!$D$26:$D$595,$B30,'内訳ﾘｽﾄ(4～3月)'!P$26:P$595)</f>
        <v>4316557</v>
      </c>
      <c r="N30" s="158">
        <f>SUMIF('内訳ﾘｽﾄ(4～3月)'!$D$26:$D$595,$B30,'内訳ﾘｽﾄ(4～3月)'!Q$26:Q$595)</f>
        <v>3213517</v>
      </c>
      <c r="O30" s="158">
        <f>SUMIF('内訳ﾘｽﾄ(4～3月)'!$D$26:$D$394,'採算表(VND)'!$B30,'内訳ﾘｽﾄ(4～3月)'!R$26:R$394)</f>
        <v>56164641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SUMIF('内訳ﾘｽﾄ(4～3月)'!$D$26:$D$595,$B31,'内訳ﾘｽﾄ(4～3月)'!F$26:F$595)</f>
        <v>0</v>
      </c>
      <c r="D31" s="158">
        <f>SUMIF('内訳ﾘｽﾄ(4～3月)'!$D$26:$D$595,$B31,'内訳ﾘｽﾄ(4～3月)'!G$26:G$595)</f>
        <v>30000000</v>
      </c>
      <c r="E31" s="158">
        <f>SUMIF('内訳ﾘｽﾄ(4～3月)'!$D$26:$D$595,$B31,'内訳ﾘｽﾄ(4～3月)'!H$26:H$595)</f>
        <v>0</v>
      </c>
      <c r="F31" s="158">
        <f>SUMIF('内訳ﾘｽﾄ(4～3月)'!$D$26:$D$595,$B31,'内訳ﾘｽﾄ(4～3月)'!I$26:I$595)</f>
        <v>0</v>
      </c>
      <c r="G31" s="158">
        <f>SUMIF('内訳ﾘｽﾄ(4～3月)'!$D$26:$D$595,$B31,'内訳ﾘｽﾄ(4～3月)'!J$26:J$595)</f>
        <v>0</v>
      </c>
      <c r="H31" s="158">
        <f>SUMIF('内訳ﾘｽﾄ(4～3月)'!$D$26:$D$595,$B31,'内訳ﾘｽﾄ(4～3月)'!K$26:K$595)</f>
        <v>0</v>
      </c>
      <c r="I31" s="158">
        <f>SUMIF('内訳ﾘｽﾄ(4～3月)'!$D$26:$D$595,$B31,'内訳ﾘｽﾄ(4～3月)'!L$26:L$595)</f>
        <v>0</v>
      </c>
      <c r="J31" s="158">
        <f>SUMIF('内訳ﾘｽﾄ(4～3月)'!$D$26:$D$595,$B31,'内訳ﾘｽﾄ(4～3月)'!M$26:M$595)</f>
        <v>0</v>
      </c>
      <c r="K31" s="158">
        <f>SUMIF('内訳ﾘｽﾄ(4～3月)'!$D$26:$D$595,$B31,'内訳ﾘｽﾄ(4～3月)'!N$26:N$595)</f>
        <v>0</v>
      </c>
      <c r="L31" s="158">
        <f>SUMIF('内訳ﾘｽﾄ(4～3月)'!$D$26:$D$595,$B31,'内訳ﾘｽﾄ(4～3月)'!O$26:O$595)</f>
        <v>0</v>
      </c>
      <c r="M31" s="158">
        <f>SUMIF('内訳ﾘｽﾄ(4～3月)'!$D$26:$D$595,$B31,'内訳ﾘｽﾄ(4～3月)'!P$26:P$595)</f>
        <v>0</v>
      </c>
      <c r="N31" s="158">
        <f>SUMIF('内訳ﾘｽﾄ(4～3月)'!$D$26:$D$595,$B31,'内訳ﾘｽﾄ(4～3月)'!Q$26:Q$595)</f>
        <v>0</v>
      </c>
      <c r="O31" s="158">
        <f>SUMIF('内訳ﾘｽﾄ(4～3月)'!$D$26:$D$394,'採算表(VND)'!$B31,'内訳ﾘｽﾄ(4～3月)'!R$26:R$394)</f>
        <v>30000000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SUMIF('内訳ﾘｽﾄ(4～3月)'!$D$26:$D$595,$B32,'内訳ﾘｽﾄ(4～3月)'!F$26:F$595)</f>
        <v>12000000</v>
      </c>
      <c r="D32" s="158">
        <f>SUMIF('内訳ﾘｽﾄ(4～3月)'!$D$26:$D$595,$B32,'内訳ﾘｽﾄ(4～3月)'!G$26:G$595)</f>
        <v>12000000</v>
      </c>
      <c r="E32" s="158">
        <f>SUMIF('内訳ﾘｽﾄ(4～3月)'!$D$26:$D$595,$B32,'内訳ﾘｽﾄ(4～3月)'!H$26:H$595)</f>
        <v>12000000</v>
      </c>
      <c r="F32" s="158">
        <f>SUMIF('内訳ﾘｽﾄ(4～3月)'!$D$26:$D$595,$B32,'内訳ﾘｽﾄ(4～3月)'!I$26:I$595)</f>
        <v>12000000</v>
      </c>
      <c r="G32" s="158">
        <f>SUMIF('内訳ﾘｽﾄ(4～3月)'!$D$26:$D$595,$B32,'内訳ﾘｽﾄ(4～3月)'!J$26:J$595)</f>
        <v>12000000</v>
      </c>
      <c r="H32" s="158">
        <f>SUMIF('内訳ﾘｽﾄ(4～3月)'!$D$26:$D$595,$B32,'内訳ﾘｽﾄ(4～3月)'!K$26:K$595)</f>
        <v>12000000</v>
      </c>
      <c r="I32" s="158">
        <f>SUMIF('内訳ﾘｽﾄ(4～3月)'!$D$26:$D$595,$B32,'内訳ﾘｽﾄ(4～3月)'!L$26:L$595)</f>
        <v>12000000</v>
      </c>
      <c r="J32" s="158">
        <f>SUMIF('内訳ﾘｽﾄ(4～3月)'!$D$26:$D$595,$B32,'内訳ﾘｽﾄ(4～3月)'!M$26:M$595)</f>
        <v>12000000</v>
      </c>
      <c r="K32" s="158">
        <f>SUMIF('内訳ﾘｽﾄ(4～3月)'!$D$26:$D$595,$B32,'内訳ﾘｽﾄ(4～3月)'!N$26:N$595)</f>
        <v>12000000</v>
      </c>
      <c r="L32" s="158">
        <f>SUMIF('内訳ﾘｽﾄ(4～3月)'!$D$26:$D$595,$B32,'内訳ﾘｽﾄ(4～3月)'!O$26:O$595)</f>
        <v>12000000</v>
      </c>
      <c r="M32" s="158">
        <f>SUMIF('内訳ﾘｽﾄ(4～3月)'!$D$26:$D$595,$B32,'内訳ﾘｽﾄ(4～3月)'!P$26:P$595)</f>
        <v>12000000</v>
      </c>
      <c r="N32" s="158">
        <f>SUMIF('内訳ﾘｽﾄ(4～3月)'!$D$26:$D$595,$B32,'内訳ﾘｽﾄ(4～3月)'!Q$26:Q$595)</f>
        <v>12000000</v>
      </c>
      <c r="O32" s="158">
        <f>SUMIF('内訳ﾘｽﾄ(4～3月)'!$D$26:$D$394,'採算表(VND)'!$B32,'内訳ﾘｽﾄ(4～3月)'!R$26:R$394)</f>
        <v>144000000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SUMIF('内訳ﾘｽﾄ(4～3月)'!$D$26:$D$595,$B33,'内訳ﾘｽﾄ(4～3月)'!F$26:F$595)</f>
        <v>0</v>
      </c>
      <c r="D33" s="158">
        <f>SUMIF('内訳ﾘｽﾄ(4～3月)'!$D$26:$D$595,$B33,'内訳ﾘｽﾄ(4～3月)'!G$26:G$595)</f>
        <v>0</v>
      </c>
      <c r="E33" s="158">
        <f>SUMIF('内訳ﾘｽﾄ(4～3月)'!$D$26:$D$595,$B33,'内訳ﾘｽﾄ(4～3月)'!H$26:H$595)</f>
        <v>0</v>
      </c>
      <c r="F33" s="158">
        <f>SUMIF('内訳ﾘｽﾄ(4～3月)'!$D$26:$D$595,$B33,'内訳ﾘｽﾄ(4～3月)'!I$26:I$595)</f>
        <v>0</v>
      </c>
      <c r="G33" s="158">
        <f>SUMIF('内訳ﾘｽﾄ(4～3月)'!$D$26:$D$595,$B33,'内訳ﾘｽﾄ(4～3月)'!J$26:J$595)</f>
        <v>0</v>
      </c>
      <c r="H33" s="158">
        <f>SUMIF('内訳ﾘｽﾄ(4～3月)'!$D$26:$D$595,$B33,'内訳ﾘｽﾄ(4～3月)'!K$26:K$595)</f>
        <v>0</v>
      </c>
      <c r="I33" s="158">
        <f>SUMIF('内訳ﾘｽﾄ(4～3月)'!$D$26:$D$595,$B33,'内訳ﾘｽﾄ(4～3月)'!L$26:L$595)</f>
        <v>0</v>
      </c>
      <c r="J33" s="158">
        <f>SUMIF('内訳ﾘｽﾄ(4～3月)'!$D$26:$D$595,$B33,'内訳ﾘｽﾄ(4～3月)'!M$26:M$595)</f>
        <v>0</v>
      </c>
      <c r="K33" s="158">
        <f>SUMIF('内訳ﾘｽﾄ(4～3月)'!$D$26:$D$595,$B33,'内訳ﾘｽﾄ(4～3月)'!N$26:N$595)</f>
        <v>0</v>
      </c>
      <c r="L33" s="158">
        <f>SUMIF('内訳ﾘｽﾄ(4～3月)'!$D$26:$D$595,$B33,'内訳ﾘｽﾄ(4～3月)'!O$26:O$595)</f>
        <v>0</v>
      </c>
      <c r="M33" s="158">
        <f>SUMIF('内訳ﾘｽﾄ(4～3月)'!$D$26:$D$595,$B33,'内訳ﾘｽﾄ(4～3月)'!P$26:P$595)</f>
        <v>0</v>
      </c>
      <c r="N33" s="158">
        <f>SUMIF('内訳ﾘｽﾄ(4～3月)'!$D$26:$D$595,$B33,'内訳ﾘｽﾄ(4～3月)'!Q$26:Q$595)</f>
        <v>0</v>
      </c>
      <c r="O33" s="158">
        <f>SUMIF('内訳ﾘｽﾄ(4～3月)'!$D$26:$D$394,'採算表(VND)'!$B33,'内訳ﾘｽﾄ(4～3月)'!R$26:R$394)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SUMIF('内訳ﾘｽﾄ(4～3月)'!$D$26:$D$595,$B34,'内訳ﾘｽﾄ(4～3月)'!F$26:F$595)</f>
        <v>0</v>
      </c>
      <c r="D34" s="158">
        <f>SUMIF('内訳ﾘｽﾄ(4～3月)'!$D$26:$D$595,$B34,'内訳ﾘｽﾄ(4～3月)'!G$26:G$595)</f>
        <v>0</v>
      </c>
      <c r="E34" s="158">
        <f>SUMIF('内訳ﾘｽﾄ(4～3月)'!$D$26:$D$595,$B34,'内訳ﾘｽﾄ(4～3月)'!H$26:H$595)</f>
        <v>0</v>
      </c>
      <c r="F34" s="158">
        <f>SUMIF('内訳ﾘｽﾄ(4～3月)'!$D$26:$D$595,$B34,'内訳ﾘｽﾄ(4～3月)'!I$26:I$595)</f>
        <v>0</v>
      </c>
      <c r="G34" s="158">
        <f>SUMIF('内訳ﾘｽﾄ(4～3月)'!$D$26:$D$595,$B34,'内訳ﾘｽﾄ(4～3月)'!J$26:J$595)</f>
        <v>0</v>
      </c>
      <c r="H34" s="158">
        <f>SUMIF('内訳ﾘｽﾄ(4～3月)'!$D$26:$D$595,$B34,'内訳ﾘｽﾄ(4～3月)'!K$26:K$595)</f>
        <v>0</v>
      </c>
      <c r="I34" s="158">
        <f>SUMIF('内訳ﾘｽﾄ(4～3月)'!$D$26:$D$595,$B34,'内訳ﾘｽﾄ(4～3月)'!L$26:L$595)</f>
        <v>0</v>
      </c>
      <c r="J34" s="158">
        <f>SUMIF('内訳ﾘｽﾄ(4～3月)'!$D$26:$D$595,$B34,'内訳ﾘｽﾄ(4～3月)'!M$26:M$595)</f>
        <v>0</v>
      </c>
      <c r="K34" s="158">
        <f>SUMIF('内訳ﾘｽﾄ(4～3月)'!$D$26:$D$595,$B34,'内訳ﾘｽﾄ(4～3月)'!N$26:N$595)</f>
        <v>0</v>
      </c>
      <c r="L34" s="158">
        <f>SUMIF('内訳ﾘｽﾄ(4～3月)'!$D$26:$D$595,$B34,'内訳ﾘｽﾄ(4～3月)'!O$26:O$595)</f>
        <v>0</v>
      </c>
      <c r="M34" s="158">
        <f>SUMIF('内訳ﾘｽﾄ(4～3月)'!$D$26:$D$595,$B34,'内訳ﾘｽﾄ(4～3月)'!P$26:P$595)</f>
        <v>0</v>
      </c>
      <c r="N34" s="158">
        <f>SUMIF('内訳ﾘｽﾄ(4～3月)'!$D$26:$D$595,$B34,'内訳ﾘｽﾄ(4～3月)'!Q$26:Q$595)</f>
        <v>0</v>
      </c>
      <c r="O34" s="158">
        <f>SUMIF('内訳ﾘｽﾄ(4～3月)'!$D$26:$D$394,'採算表(VND)'!$B34,'内訳ﾘｽﾄ(4～3月)'!R$26:R$394)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SUMIF('内訳ﾘｽﾄ(4～3月)'!$D$26:$D$595,$B35,'内訳ﾘｽﾄ(4～3月)'!F$26:F$595)</f>
        <v>0</v>
      </c>
      <c r="D35" s="158">
        <f>SUMIF('内訳ﾘｽﾄ(4～3月)'!$D$26:$D$595,$B35,'内訳ﾘｽﾄ(4～3月)'!G$26:G$595)</f>
        <v>0</v>
      </c>
      <c r="E35" s="158">
        <f>SUMIF('内訳ﾘｽﾄ(4～3月)'!$D$26:$D$595,$B35,'内訳ﾘｽﾄ(4～3月)'!H$26:H$595)</f>
        <v>0</v>
      </c>
      <c r="F35" s="158">
        <f>SUMIF('内訳ﾘｽﾄ(4～3月)'!$D$26:$D$595,$B35,'内訳ﾘｽﾄ(4～3月)'!I$26:I$595)</f>
        <v>0</v>
      </c>
      <c r="G35" s="158">
        <f>SUMIF('内訳ﾘｽﾄ(4～3月)'!$D$26:$D$595,$B35,'内訳ﾘｽﾄ(4～3月)'!J$26:J$595)</f>
        <v>0</v>
      </c>
      <c r="H35" s="158">
        <f>SUMIF('内訳ﾘｽﾄ(4～3月)'!$D$26:$D$595,$B35,'内訳ﾘｽﾄ(4～3月)'!K$26:K$595)</f>
        <v>0</v>
      </c>
      <c r="I35" s="158">
        <f>SUMIF('内訳ﾘｽﾄ(4～3月)'!$D$26:$D$595,$B35,'内訳ﾘｽﾄ(4～3月)'!L$26:L$595)</f>
        <v>0</v>
      </c>
      <c r="J35" s="158">
        <f>SUMIF('内訳ﾘｽﾄ(4～3月)'!$D$26:$D$595,$B35,'内訳ﾘｽﾄ(4～3月)'!M$26:M$595)</f>
        <v>0</v>
      </c>
      <c r="K35" s="158">
        <f>SUMIF('内訳ﾘｽﾄ(4～3月)'!$D$26:$D$595,$B35,'内訳ﾘｽﾄ(4～3月)'!N$26:N$595)</f>
        <v>0</v>
      </c>
      <c r="L35" s="158">
        <f>SUMIF('内訳ﾘｽﾄ(4～3月)'!$D$26:$D$595,$B35,'内訳ﾘｽﾄ(4～3月)'!O$26:O$595)</f>
        <v>0</v>
      </c>
      <c r="M35" s="158">
        <f>SUMIF('内訳ﾘｽﾄ(4～3月)'!$D$26:$D$595,$B35,'内訳ﾘｽﾄ(4～3月)'!P$26:P$595)</f>
        <v>0</v>
      </c>
      <c r="N35" s="158">
        <f>SUMIF('内訳ﾘｽﾄ(4～3月)'!$D$26:$D$595,$B35,'内訳ﾘｽﾄ(4～3月)'!Q$26:Q$595)</f>
        <v>0</v>
      </c>
      <c r="O35" s="158">
        <f>SUMIF('内訳ﾘｽﾄ(4～3月)'!$D$26:$D$394,'採算表(VND)'!$B35,'内訳ﾘｽﾄ(4～3月)'!R$26:R$394)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SUMIF('内訳ﾘｽﾄ(4～3月)'!$D$26:$D$595,$B36,'内訳ﾘｽﾄ(4～3月)'!F$26:F$595)</f>
        <v>16704000</v>
      </c>
      <c r="D36" s="158">
        <f>SUMIF('内訳ﾘｽﾄ(4～3月)'!$D$26:$D$595,$B36,'内訳ﾘｽﾄ(4～3月)'!G$26:G$595)</f>
        <v>16704000</v>
      </c>
      <c r="E36" s="158">
        <f>SUMIF('内訳ﾘｽﾄ(4～3月)'!$D$26:$D$595,$B36,'内訳ﾘｽﾄ(4～3月)'!H$26:H$595)</f>
        <v>36581760</v>
      </c>
      <c r="F36" s="158">
        <f>SUMIF('内訳ﾘｽﾄ(4～3月)'!$D$26:$D$595,$B36,'内訳ﾘｽﾄ(4～3月)'!I$26:I$595)</f>
        <v>16704000</v>
      </c>
      <c r="G36" s="158">
        <f>SUMIF('内訳ﾘｽﾄ(4～3月)'!$D$26:$D$595,$B36,'内訳ﾘｽﾄ(4～3月)'!J$26:J$595)</f>
        <v>16704000</v>
      </c>
      <c r="H36" s="158">
        <f>SUMIF('内訳ﾘｽﾄ(4～3月)'!$D$26:$D$595,$B36,'内訳ﾘｽﾄ(4～3月)'!K$26:K$595)</f>
        <v>35078400</v>
      </c>
      <c r="I36" s="158">
        <f>SUMIF('内訳ﾘｽﾄ(4～3月)'!$D$26:$D$595,$B36,'内訳ﾘｽﾄ(4～3月)'!L$26:L$595)</f>
        <v>36581760</v>
      </c>
      <c r="J36" s="158">
        <f>SUMIF('内訳ﾘｽﾄ(4～3月)'!$D$26:$D$595,$B36,'内訳ﾘｽﾄ(4～3月)'!M$26:M$595)</f>
        <v>16704000</v>
      </c>
      <c r="K36" s="158">
        <f>SUMIF('内訳ﾘｽﾄ(4～3月)'!$D$26:$D$595,$B36,'内訳ﾘｽﾄ(4～3月)'!N$26:N$595)</f>
        <v>16704000</v>
      </c>
      <c r="L36" s="158">
        <f>SUMIF('内訳ﾘｽﾄ(4～3月)'!$D$26:$D$595,$B36,'内訳ﾘｽﾄ(4～3月)'!O$26:O$595)</f>
        <v>35078400</v>
      </c>
      <c r="M36" s="158">
        <f>SUMIF('内訳ﾘｽﾄ(4～3月)'!$D$26:$D$595,$B36,'内訳ﾘｽﾄ(4～3月)'!P$26:P$595)</f>
        <v>16704000</v>
      </c>
      <c r="N36" s="158">
        <f>SUMIF('内訳ﾘｽﾄ(4～3月)'!$D$26:$D$595,$B36,'内訳ﾘｽﾄ(4～3月)'!Q$26:Q$595)</f>
        <v>16704000</v>
      </c>
      <c r="O36" s="158">
        <f>SUMIF('内訳ﾘｽﾄ(4～3月)'!$D$26:$D$394,'採算表(VND)'!$B36,'内訳ﾘｽﾄ(4～3月)'!R$26:R$394)</f>
        <v>276952320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SUMIF('内訳ﾘｽﾄ(4～3月)'!$D$26:$D$595,$B37,'内訳ﾘｽﾄ(4～3月)'!F$26:F$595)</f>
        <v>0</v>
      </c>
      <c r="D37" s="158">
        <f>SUMIF('内訳ﾘｽﾄ(4～3月)'!$D$26:$D$595,$B37,'内訳ﾘｽﾄ(4～3月)'!G$26:G$595)</f>
        <v>0</v>
      </c>
      <c r="E37" s="158">
        <f>SUMIF('内訳ﾘｽﾄ(4～3月)'!$D$26:$D$595,$B37,'内訳ﾘｽﾄ(4～3月)'!H$26:H$595)</f>
        <v>0</v>
      </c>
      <c r="F37" s="158">
        <f>SUMIF('内訳ﾘｽﾄ(4～3月)'!$D$26:$D$595,$B37,'内訳ﾘｽﾄ(4～3月)'!I$26:I$595)</f>
        <v>0</v>
      </c>
      <c r="G37" s="158">
        <f>SUMIF('内訳ﾘｽﾄ(4～3月)'!$D$26:$D$595,$B37,'内訳ﾘｽﾄ(4～3月)'!J$26:J$595)</f>
        <v>0</v>
      </c>
      <c r="H37" s="158">
        <f>SUMIF('内訳ﾘｽﾄ(4～3月)'!$D$26:$D$595,$B37,'内訳ﾘｽﾄ(4～3月)'!K$26:K$595)</f>
        <v>0</v>
      </c>
      <c r="I37" s="158">
        <f>SUMIF('内訳ﾘｽﾄ(4～3月)'!$D$26:$D$595,$B37,'内訳ﾘｽﾄ(4～3月)'!L$26:L$595)</f>
        <v>0</v>
      </c>
      <c r="J37" s="158">
        <f>SUMIF('内訳ﾘｽﾄ(4～3月)'!$D$26:$D$595,$B37,'内訳ﾘｽﾄ(4～3月)'!M$26:M$595)</f>
        <v>0</v>
      </c>
      <c r="K37" s="158">
        <f>SUMIF('内訳ﾘｽﾄ(4～3月)'!$D$26:$D$595,$B37,'内訳ﾘｽﾄ(4～3月)'!N$26:N$595)</f>
        <v>0</v>
      </c>
      <c r="L37" s="158">
        <f>SUMIF('内訳ﾘｽﾄ(4～3月)'!$D$26:$D$595,$B37,'内訳ﾘｽﾄ(4～3月)'!O$26:O$595)</f>
        <v>0</v>
      </c>
      <c r="M37" s="158">
        <f>SUMIF('内訳ﾘｽﾄ(4～3月)'!$D$26:$D$595,$B37,'内訳ﾘｽﾄ(4～3月)'!P$26:P$595)</f>
        <v>0</v>
      </c>
      <c r="N37" s="158">
        <f>SUMIF('内訳ﾘｽﾄ(4～3月)'!$D$26:$D$595,$B37,'内訳ﾘｽﾄ(4～3月)'!Q$26:Q$595)</f>
        <v>0</v>
      </c>
      <c r="O37" s="158">
        <f>SUMIF('内訳ﾘｽﾄ(4～3月)'!$D$26:$D$394,'採算表(VND)'!$B37,'内訳ﾘｽﾄ(4～3月)'!R$26:R$394)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SUMIF('内訳ﾘｽﾄ(4～3月)'!$D$26:$D$595,$B38,'内訳ﾘｽﾄ(4～3月)'!F$26:F$595)</f>
        <v>0</v>
      </c>
      <c r="D38" s="158">
        <f>SUMIF('内訳ﾘｽﾄ(4～3月)'!$D$26:$D$595,$B38,'内訳ﾘｽﾄ(4～3月)'!G$26:G$595)</f>
        <v>0</v>
      </c>
      <c r="E38" s="158">
        <f>SUMIF('内訳ﾘｽﾄ(4～3月)'!$D$26:$D$595,$B38,'内訳ﾘｽﾄ(4～3月)'!H$26:H$595)</f>
        <v>0</v>
      </c>
      <c r="F38" s="158">
        <f>SUMIF('内訳ﾘｽﾄ(4～3月)'!$D$26:$D$595,$B38,'内訳ﾘｽﾄ(4～3月)'!I$26:I$595)</f>
        <v>0</v>
      </c>
      <c r="G38" s="158">
        <f>SUMIF('内訳ﾘｽﾄ(4～3月)'!$D$26:$D$595,$B38,'内訳ﾘｽﾄ(4～3月)'!J$26:J$595)</f>
        <v>0</v>
      </c>
      <c r="H38" s="158">
        <f>SUMIF('内訳ﾘｽﾄ(4～3月)'!$D$26:$D$595,$B38,'内訳ﾘｽﾄ(4～3月)'!K$26:K$595)</f>
        <v>0</v>
      </c>
      <c r="I38" s="158">
        <f>SUMIF('内訳ﾘｽﾄ(4～3月)'!$D$26:$D$595,$B38,'内訳ﾘｽﾄ(4～3月)'!L$26:L$595)</f>
        <v>0</v>
      </c>
      <c r="J38" s="158">
        <f>SUMIF('内訳ﾘｽﾄ(4～3月)'!$D$26:$D$595,$B38,'内訳ﾘｽﾄ(4～3月)'!M$26:M$595)</f>
        <v>0</v>
      </c>
      <c r="K38" s="158">
        <f>SUMIF('内訳ﾘｽﾄ(4～3月)'!$D$26:$D$595,$B38,'内訳ﾘｽﾄ(4～3月)'!N$26:N$595)</f>
        <v>0</v>
      </c>
      <c r="L38" s="158">
        <f>SUMIF('内訳ﾘｽﾄ(4～3月)'!$D$26:$D$595,$B38,'内訳ﾘｽﾄ(4～3月)'!O$26:O$595)</f>
        <v>0</v>
      </c>
      <c r="M38" s="158">
        <f>SUMIF('内訳ﾘｽﾄ(4～3月)'!$D$26:$D$595,$B38,'内訳ﾘｽﾄ(4～3月)'!P$26:P$595)</f>
        <v>0</v>
      </c>
      <c r="N38" s="158">
        <f>SUMIF('内訳ﾘｽﾄ(4～3月)'!$D$26:$D$595,$B38,'内訳ﾘｽﾄ(4～3月)'!Q$26:Q$595)</f>
        <v>0</v>
      </c>
      <c r="O38" s="158">
        <f>SUMIF('内訳ﾘｽﾄ(4～3月)'!$D$26:$D$394,'採算表(VND)'!$B38,'内訳ﾘｽﾄ(4～3月)'!R$26:R$394)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SUMIF('内訳ﾘｽﾄ(4～3月)'!$D$26:$D$595,$B39,'内訳ﾘｽﾄ(4～3月)'!F$26:F$595)</f>
        <v>45204</v>
      </c>
      <c r="D39" s="158">
        <f>SUMIF('内訳ﾘｽﾄ(4～3月)'!$D$26:$D$595,$B39,'内訳ﾘｽﾄ(4～3月)'!G$26:G$595)</f>
        <v>45204</v>
      </c>
      <c r="E39" s="158">
        <f>SUMIF('内訳ﾘｽﾄ(4～3月)'!$D$26:$D$595,$B39,'内訳ﾘｽﾄ(4～3月)'!H$26:H$595)</f>
        <v>45204</v>
      </c>
      <c r="F39" s="158">
        <f>SUMIF('内訳ﾘｽﾄ(4～3月)'!$D$26:$D$595,$B39,'内訳ﾘｽﾄ(4～3月)'!I$26:I$595)</f>
        <v>45204</v>
      </c>
      <c r="G39" s="158">
        <f>SUMIF('内訳ﾘｽﾄ(4～3月)'!$D$26:$D$595,$B39,'内訳ﾘｽﾄ(4～3月)'!J$26:J$595)</f>
        <v>45204</v>
      </c>
      <c r="H39" s="158">
        <f>SUMIF('内訳ﾘｽﾄ(4～3月)'!$D$26:$D$595,$B39,'内訳ﾘｽﾄ(4～3月)'!K$26:K$595)</f>
        <v>45204</v>
      </c>
      <c r="I39" s="158">
        <f>SUMIF('内訳ﾘｽﾄ(4～3月)'!$D$26:$D$595,$B39,'内訳ﾘｽﾄ(4～3月)'!L$26:L$595)</f>
        <v>45204</v>
      </c>
      <c r="J39" s="158">
        <f>SUMIF('内訳ﾘｽﾄ(4～3月)'!$D$26:$D$595,$B39,'内訳ﾘｽﾄ(4～3月)'!M$26:M$595)</f>
        <v>45204</v>
      </c>
      <c r="K39" s="158">
        <f>SUMIF('内訳ﾘｽﾄ(4～3月)'!$D$26:$D$595,$B39,'内訳ﾘｽﾄ(4～3月)'!N$26:N$595)</f>
        <v>45204</v>
      </c>
      <c r="L39" s="158">
        <f>SUMIF('内訳ﾘｽﾄ(4～3月)'!$D$26:$D$595,$B39,'内訳ﾘｽﾄ(4～3月)'!O$26:O$595)</f>
        <v>45204</v>
      </c>
      <c r="M39" s="158">
        <f>SUMIF('内訳ﾘｽﾄ(4～3月)'!$D$26:$D$595,$B39,'内訳ﾘｽﾄ(4～3月)'!P$26:P$595)</f>
        <v>45204</v>
      </c>
      <c r="N39" s="158">
        <f>SUMIF('内訳ﾘｽﾄ(4～3月)'!$D$26:$D$595,$B39,'内訳ﾘｽﾄ(4～3月)'!Q$26:Q$595)</f>
        <v>45204</v>
      </c>
      <c r="O39" s="158">
        <f>SUMIF('内訳ﾘｽﾄ(4～3月)'!$D$26:$D$394,'採算表(VND)'!$B39,'内訳ﾘｽﾄ(4～3月)'!R$26:R$394)</f>
        <v>542448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SUMIF('内訳ﾘｽﾄ(4～3月)'!$D$26:$D$595,$B40,'内訳ﾘｽﾄ(4～3月)'!F$26:F$595)</f>
        <v>0</v>
      </c>
      <c r="D40" s="158">
        <f>SUMIF('内訳ﾘｽﾄ(4～3月)'!$D$26:$D$595,$B40,'内訳ﾘｽﾄ(4～3月)'!G$26:G$595)</f>
        <v>0</v>
      </c>
      <c r="E40" s="158">
        <f>SUMIF('内訳ﾘｽﾄ(4～3月)'!$D$26:$D$595,$B40,'内訳ﾘｽﾄ(4～3月)'!H$26:H$595)</f>
        <v>0</v>
      </c>
      <c r="F40" s="158">
        <f>SUMIF('内訳ﾘｽﾄ(4～3月)'!$D$26:$D$595,$B40,'内訳ﾘｽﾄ(4～3月)'!I$26:I$595)</f>
        <v>0</v>
      </c>
      <c r="G40" s="158">
        <f>SUMIF('内訳ﾘｽﾄ(4～3月)'!$D$26:$D$595,$B40,'内訳ﾘｽﾄ(4～3月)'!J$26:J$595)</f>
        <v>0</v>
      </c>
      <c r="H40" s="158">
        <f>SUMIF('内訳ﾘｽﾄ(4～3月)'!$D$26:$D$595,$B40,'内訳ﾘｽﾄ(4～3月)'!K$26:K$595)</f>
        <v>0</v>
      </c>
      <c r="I40" s="158">
        <f>SUMIF('内訳ﾘｽﾄ(4～3月)'!$D$26:$D$595,$B40,'内訳ﾘｽﾄ(4～3月)'!L$26:L$595)</f>
        <v>0</v>
      </c>
      <c r="J40" s="158">
        <f>SUMIF('内訳ﾘｽﾄ(4～3月)'!$D$26:$D$595,$B40,'内訳ﾘｽﾄ(4～3月)'!M$26:M$595)</f>
        <v>0</v>
      </c>
      <c r="K40" s="158">
        <f>SUMIF('内訳ﾘｽﾄ(4～3月)'!$D$26:$D$595,$B40,'内訳ﾘｽﾄ(4～3月)'!N$26:N$595)</f>
        <v>0</v>
      </c>
      <c r="L40" s="158">
        <f>SUMIF('内訳ﾘｽﾄ(4～3月)'!$D$26:$D$595,$B40,'内訳ﾘｽﾄ(4～3月)'!O$26:O$595)</f>
        <v>0</v>
      </c>
      <c r="M40" s="158">
        <f>SUMIF('内訳ﾘｽﾄ(4～3月)'!$D$26:$D$595,$B40,'内訳ﾘｽﾄ(4～3月)'!P$26:P$595)</f>
        <v>0</v>
      </c>
      <c r="N40" s="158">
        <f>SUMIF('内訳ﾘｽﾄ(4～3月)'!$D$26:$D$595,$B40,'内訳ﾘｽﾄ(4～3月)'!Q$26:Q$595)</f>
        <v>0</v>
      </c>
      <c r="O40" s="158">
        <f>SUMIF('内訳ﾘｽﾄ(4～3月)'!$D$26:$D$394,'採算表(VND)'!$B40,'内訳ﾘｽﾄ(4～3月)'!R$26:R$394)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SUMIF('内訳ﾘｽﾄ(4～3月)'!$D$26:$D$595,$B41,'内訳ﾘｽﾄ(4～3月)'!F$26:F$595)</f>
        <v>100000</v>
      </c>
      <c r="D41" s="158">
        <f>SUMIF('内訳ﾘｽﾄ(4～3月)'!$D$26:$D$595,$B41,'内訳ﾘｽﾄ(4～3月)'!G$26:G$595)</f>
        <v>100000</v>
      </c>
      <c r="E41" s="158">
        <f>SUMIF('内訳ﾘｽﾄ(4～3月)'!$D$26:$D$595,$B41,'内訳ﾘｽﾄ(4～3月)'!H$26:H$595)</f>
        <v>100000</v>
      </c>
      <c r="F41" s="158">
        <f>SUMIF('内訳ﾘｽﾄ(4～3月)'!$D$26:$D$595,$B41,'内訳ﾘｽﾄ(4～3月)'!I$26:I$595)</f>
        <v>100000</v>
      </c>
      <c r="G41" s="158">
        <f>SUMIF('内訳ﾘｽﾄ(4～3月)'!$D$26:$D$595,$B41,'内訳ﾘｽﾄ(4～3月)'!J$26:J$595)</f>
        <v>100000</v>
      </c>
      <c r="H41" s="158">
        <f>SUMIF('内訳ﾘｽﾄ(4～3月)'!$D$26:$D$595,$B41,'内訳ﾘｽﾄ(4～3月)'!K$26:K$595)</f>
        <v>50000</v>
      </c>
      <c r="I41" s="158">
        <f>SUMIF('内訳ﾘｽﾄ(4～3月)'!$D$26:$D$595,$B41,'内訳ﾘｽﾄ(4～3月)'!L$26:L$595)</f>
        <v>50000</v>
      </c>
      <c r="J41" s="158">
        <f>SUMIF('内訳ﾘｽﾄ(4～3月)'!$D$26:$D$595,$B41,'内訳ﾘｽﾄ(4～3月)'!M$26:M$595)</f>
        <v>100000</v>
      </c>
      <c r="K41" s="158">
        <f>SUMIF('内訳ﾘｽﾄ(4～3月)'!$D$26:$D$595,$B41,'内訳ﾘｽﾄ(4～3月)'!N$26:N$595)</f>
        <v>50000</v>
      </c>
      <c r="L41" s="158">
        <f>SUMIF('内訳ﾘｽﾄ(4～3月)'!$D$26:$D$595,$B41,'内訳ﾘｽﾄ(4～3月)'!O$26:O$595)</f>
        <v>50000</v>
      </c>
      <c r="M41" s="158">
        <f>SUMIF('内訳ﾘｽﾄ(4～3月)'!$D$26:$D$595,$B41,'内訳ﾘｽﾄ(4～3月)'!P$26:P$595)</f>
        <v>100000</v>
      </c>
      <c r="N41" s="158">
        <f>SUMIF('内訳ﾘｽﾄ(4～3月)'!$D$26:$D$595,$B41,'内訳ﾘｽﾄ(4～3月)'!Q$26:Q$595)</f>
        <v>50000</v>
      </c>
      <c r="O41" s="158">
        <f>SUMIF('内訳ﾘｽﾄ(4～3月)'!$D$26:$D$394,'採算表(VND)'!$B41,'内訳ﾘｽﾄ(4～3月)'!R$26:R$394)</f>
        <v>950000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97</v>
      </c>
      <c r="C42" s="158">
        <f>SUMIF('内訳ﾘｽﾄ(4～3月)'!$D$26:$D$595,$B42,'内訳ﾘｽﾄ(4～3月)'!F$26:F$595)</f>
        <v>2108045</v>
      </c>
      <c r="D42" s="158">
        <f>SUMIF('内訳ﾘｽﾄ(4～3月)'!$D$26:$D$595,$B42,'内訳ﾘｽﾄ(4～3月)'!G$26:G$595)</f>
        <v>2108045</v>
      </c>
      <c r="E42" s="158">
        <f>SUMIF('内訳ﾘｽﾄ(4～3月)'!$D$26:$D$595,$B42,'内訳ﾘｽﾄ(4～3月)'!H$26:H$595)</f>
        <v>2108045</v>
      </c>
      <c r="F42" s="158">
        <f>SUMIF('内訳ﾘｽﾄ(4～3月)'!$D$26:$D$595,$B42,'内訳ﾘｽﾄ(4～3月)'!I$26:I$595)</f>
        <v>2108045</v>
      </c>
      <c r="G42" s="158">
        <f>SUMIF('内訳ﾘｽﾄ(4～3月)'!$D$26:$D$595,$B42,'内訳ﾘｽﾄ(4～3月)'!J$26:J$595)</f>
        <v>2108045</v>
      </c>
      <c r="H42" s="158">
        <f>SUMIF('内訳ﾘｽﾄ(4～3月)'!$D$26:$D$595,$B42,'内訳ﾘｽﾄ(4～3月)'!K$26:K$595)</f>
        <v>2108045</v>
      </c>
      <c r="I42" s="158">
        <f>SUMIF('内訳ﾘｽﾄ(4～3月)'!$D$26:$D$595,$B42,'内訳ﾘｽﾄ(4～3月)'!L$26:L$595)</f>
        <v>2508045</v>
      </c>
      <c r="J42" s="158">
        <f>SUMIF('内訳ﾘｽﾄ(4～3月)'!$D$26:$D$595,$B42,'内訳ﾘｽﾄ(4～3月)'!M$26:M$595)</f>
        <v>2126345</v>
      </c>
      <c r="K42" s="158">
        <f>SUMIF('内訳ﾘｽﾄ(4～3月)'!$D$26:$D$595,$B42,'内訳ﾘｽﾄ(4～3月)'!N$26:N$595)</f>
        <v>2108045</v>
      </c>
      <c r="L42" s="158">
        <f>SUMIF('内訳ﾘｽﾄ(4～3月)'!$D$26:$D$595,$B42,'内訳ﾘｽﾄ(4～3月)'!O$26:O$595)</f>
        <v>2108045</v>
      </c>
      <c r="M42" s="158">
        <f>SUMIF('内訳ﾘｽﾄ(4～3月)'!$D$26:$D$595,$B42,'内訳ﾘｽﾄ(4～3月)'!P$26:P$595)</f>
        <v>2108045</v>
      </c>
      <c r="N42" s="158">
        <f>SUMIF('内訳ﾘｽﾄ(4～3月)'!$D$26:$D$595,$B42,'内訳ﾘｽﾄ(4～3月)'!Q$26:Q$595)</f>
        <v>2108045</v>
      </c>
      <c r="O42" s="158">
        <f>SUMIF('内訳ﾘｽﾄ(4～3月)'!$D$26:$D$394,'採算表(VND)'!$B42,'内訳ﾘｽﾄ(4～3月)'!R$26:R$394)</f>
        <v>25714840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98</v>
      </c>
      <c r="C43" s="158">
        <f>SUMIF('内訳ﾘｽﾄ(4～3月)'!$D$26:$D$595,$B43,'内訳ﾘｽﾄ(4～3月)'!F$26:F$595)</f>
        <v>0</v>
      </c>
      <c r="D43" s="158">
        <f>SUMIF('内訳ﾘｽﾄ(4～3月)'!$D$26:$D$595,$B43,'内訳ﾘｽﾄ(4～3月)'!G$26:G$595)</f>
        <v>0</v>
      </c>
      <c r="E43" s="158">
        <f>SUMIF('内訳ﾘｽﾄ(4～3月)'!$D$26:$D$595,$B43,'内訳ﾘｽﾄ(4～3月)'!H$26:H$595)</f>
        <v>0</v>
      </c>
      <c r="F43" s="158">
        <f>SUMIF('内訳ﾘｽﾄ(4～3月)'!$D$26:$D$595,$B43,'内訳ﾘｽﾄ(4～3月)'!I$26:I$595)</f>
        <v>0</v>
      </c>
      <c r="G43" s="158">
        <f>SUMIF('内訳ﾘｽﾄ(4～3月)'!$D$26:$D$595,$B43,'内訳ﾘｽﾄ(4～3月)'!J$26:J$595)</f>
        <v>0</v>
      </c>
      <c r="H43" s="158">
        <f>SUMIF('内訳ﾘｽﾄ(4～3月)'!$D$26:$D$595,$B43,'内訳ﾘｽﾄ(4～3月)'!K$26:K$595)</f>
        <v>0</v>
      </c>
      <c r="I43" s="158">
        <f>SUMIF('内訳ﾘｽﾄ(4～3月)'!$D$26:$D$595,$B43,'内訳ﾘｽﾄ(4～3月)'!L$26:L$595)</f>
        <v>0</v>
      </c>
      <c r="J43" s="158">
        <f>SUMIF('内訳ﾘｽﾄ(4～3月)'!$D$26:$D$595,$B43,'内訳ﾘｽﾄ(4～3月)'!M$26:M$595)</f>
        <v>0</v>
      </c>
      <c r="K43" s="158">
        <f>SUMIF('内訳ﾘｽﾄ(4～3月)'!$D$26:$D$595,$B43,'内訳ﾘｽﾄ(4～3月)'!N$26:N$595)</f>
        <v>0</v>
      </c>
      <c r="L43" s="158">
        <f>SUMIF('内訳ﾘｽﾄ(4～3月)'!$D$26:$D$595,$B43,'内訳ﾘｽﾄ(4～3月)'!O$26:O$595)</f>
        <v>0</v>
      </c>
      <c r="M43" s="158">
        <f>SUMIF('内訳ﾘｽﾄ(4～3月)'!$D$26:$D$595,$B43,'内訳ﾘｽﾄ(4～3月)'!P$26:P$595)</f>
        <v>0</v>
      </c>
      <c r="N43" s="158">
        <f>SUMIF('内訳ﾘｽﾄ(4～3月)'!$D$26:$D$595,$B43,'内訳ﾘｽﾄ(4～3月)'!Q$26:Q$595)</f>
        <v>0</v>
      </c>
      <c r="O43" s="158">
        <f>SUMIF('内訳ﾘｽﾄ(4～3月)'!$D$26:$D$394,'採算表(VND)'!$B43,'内訳ﾘｽﾄ(4～3月)'!R$26:R$394)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SUMIF('内訳ﾘｽﾄ(4～3月)'!$D$26:$D$595,$B44,'内訳ﾘｽﾄ(4～3月)'!F$26:F$595)</f>
        <v>4100000</v>
      </c>
      <c r="D44" s="158">
        <f>SUMIF('内訳ﾘｽﾄ(4～3月)'!$D$26:$D$595,$B44,'内訳ﾘｽﾄ(4～3月)'!G$26:G$595)</f>
        <v>26300000</v>
      </c>
      <c r="E44" s="158">
        <f>SUMIF('内訳ﾘｽﾄ(4～3月)'!$D$26:$D$595,$B44,'内訳ﾘｽﾄ(4～3月)'!H$26:H$595)</f>
        <v>4100000</v>
      </c>
      <c r="F44" s="158">
        <f>SUMIF('内訳ﾘｽﾄ(4～3月)'!$D$26:$D$595,$B44,'内訳ﾘｽﾄ(4～3月)'!I$26:I$595)</f>
        <v>4375000</v>
      </c>
      <c r="G44" s="158">
        <f>SUMIF('内訳ﾘｽﾄ(4～3月)'!$D$26:$D$595,$B44,'内訳ﾘｽﾄ(4～3月)'!J$26:J$595)</f>
        <v>4100000</v>
      </c>
      <c r="H44" s="158">
        <f>SUMIF('内訳ﾘｽﾄ(4～3月)'!$D$26:$D$595,$B44,'内訳ﾘｽﾄ(4～3月)'!K$26:K$595)</f>
        <v>6293000</v>
      </c>
      <c r="I44" s="158">
        <f>SUMIF('内訳ﾘｽﾄ(4～3月)'!$D$26:$D$595,$B44,'内訳ﾘｽﾄ(4～3月)'!L$26:L$595)</f>
        <v>4100000</v>
      </c>
      <c r="J44" s="158">
        <f>SUMIF('内訳ﾘｽﾄ(4～3月)'!$D$26:$D$595,$B44,'内訳ﾘｽﾄ(4～3月)'!M$26:M$595)</f>
        <v>5336000</v>
      </c>
      <c r="K44" s="158">
        <f>SUMIF('内訳ﾘｽﾄ(4～3月)'!$D$26:$D$595,$B44,'内訳ﾘｽﾄ(4～3月)'!N$26:N$595)</f>
        <v>6209000</v>
      </c>
      <c r="L44" s="158">
        <f>SUMIF('内訳ﾘｽﾄ(4～3月)'!$D$26:$D$595,$B44,'内訳ﾘｽﾄ(4～3月)'!O$26:O$595)</f>
        <v>6500000</v>
      </c>
      <c r="M44" s="158">
        <f>SUMIF('内訳ﾘｽﾄ(4～3月)'!$D$26:$D$595,$B44,'内訳ﾘｽﾄ(4～3月)'!P$26:P$595)</f>
        <v>5300000</v>
      </c>
      <c r="N44" s="158">
        <f>SUMIF('内訳ﾘｽﾄ(4～3月)'!$D$26:$D$595,$B44,'内訳ﾘｽﾄ(4～3月)'!Q$26:Q$595)</f>
        <v>4100000</v>
      </c>
      <c r="O44" s="158">
        <f>SUMIF('内訳ﾘｽﾄ(4～3月)'!$D$26:$D$394,'採算表(VND)'!$B44,'内訳ﾘｽﾄ(4～3月)'!R$26:R$394)</f>
        <v>80813000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114</v>
      </c>
      <c r="C45" s="158">
        <f>SUMIF('内訳ﾘｽﾄ(4～3月)'!$D$26:$D$595,$B45,'内訳ﾘｽﾄ(4～3月)'!F$26:F$595)</f>
        <v>0</v>
      </c>
      <c r="D45" s="158">
        <f>SUMIF('内訳ﾘｽﾄ(4～3月)'!$D$26:$D$595,$B45,'内訳ﾘｽﾄ(4～3月)'!G$26:G$595)</f>
        <v>0</v>
      </c>
      <c r="E45" s="158">
        <f>SUMIF('内訳ﾘｽﾄ(4～3月)'!$D$26:$D$595,$B45,'内訳ﾘｽﾄ(4～3月)'!H$26:H$595)</f>
        <v>0</v>
      </c>
      <c r="F45" s="158">
        <f>SUMIF('内訳ﾘｽﾄ(4～3月)'!$D$26:$D$595,$B45,'内訳ﾘｽﾄ(4～3月)'!I$26:I$595)</f>
        <v>0</v>
      </c>
      <c r="G45" s="158">
        <f>SUMIF('内訳ﾘｽﾄ(4～3月)'!$D$26:$D$595,$B45,'内訳ﾘｽﾄ(4～3月)'!J$26:J$595)</f>
        <v>0</v>
      </c>
      <c r="H45" s="158">
        <f>SUMIF('内訳ﾘｽﾄ(4～3月)'!$D$26:$D$595,$B45,'内訳ﾘｽﾄ(4～3月)'!K$26:K$595)</f>
        <v>0</v>
      </c>
      <c r="I45" s="158">
        <f>SUMIF('内訳ﾘｽﾄ(4～3月)'!$D$26:$D$595,$B45,'内訳ﾘｽﾄ(4～3月)'!L$26:L$595)</f>
        <v>0</v>
      </c>
      <c r="J45" s="158">
        <f>SUMIF('内訳ﾘｽﾄ(4～3月)'!$D$26:$D$595,$B45,'内訳ﾘｽﾄ(4～3月)'!M$26:M$595)</f>
        <v>0</v>
      </c>
      <c r="K45" s="158">
        <f>SUMIF('内訳ﾘｽﾄ(4～3月)'!$D$26:$D$595,$B45,'内訳ﾘｽﾄ(4～3月)'!N$26:N$595)</f>
        <v>0</v>
      </c>
      <c r="L45" s="158">
        <f>SUMIF('内訳ﾘｽﾄ(4～3月)'!$D$26:$D$595,$B45,'内訳ﾘｽﾄ(4～3月)'!O$26:O$595)</f>
        <v>0</v>
      </c>
      <c r="M45" s="158">
        <f>SUMIF('内訳ﾘｽﾄ(4～3月)'!$D$26:$D$595,$B45,'内訳ﾘｽﾄ(4～3月)'!P$26:P$595)</f>
        <v>0</v>
      </c>
      <c r="N45" s="158">
        <f>SUMIF('内訳ﾘｽﾄ(4～3月)'!$D$26:$D$595,$B45,'内訳ﾘｽﾄ(4～3月)'!Q$26:Q$595)</f>
        <v>0</v>
      </c>
      <c r="O45" s="158">
        <f>SUMIF('内訳ﾘｽﾄ(4～3月)'!$D$26:$D$394,'採算表(VND)'!$B45,'内訳ﾘｽﾄ(4～3月)'!R$26:R$394)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115</v>
      </c>
      <c r="C46" s="158">
        <f>SUMIF('内訳ﾘｽﾄ(4～3月)'!$D$26:$D$595,$B46,'内訳ﾘｽﾄ(4～3月)'!F$26:F$595)</f>
        <v>0</v>
      </c>
      <c r="D46" s="158">
        <f>SUMIF('内訳ﾘｽﾄ(4～3月)'!$D$26:$D$595,$B46,'内訳ﾘｽﾄ(4～3月)'!G$26:G$595)</f>
        <v>0</v>
      </c>
      <c r="E46" s="158">
        <f>SUMIF('内訳ﾘｽﾄ(4～3月)'!$D$26:$D$595,$B46,'内訳ﾘｽﾄ(4～3月)'!H$26:H$595)</f>
        <v>0</v>
      </c>
      <c r="F46" s="158">
        <f>SUMIF('内訳ﾘｽﾄ(4～3月)'!$D$26:$D$595,$B46,'内訳ﾘｽﾄ(4～3月)'!I$26:I$595)</f>
        <v>0</v>
      </c>
      <c r="G46" s="158">
        <f>SUMIF('内訳ﾘｽﾄ(4～3月)'!$D$26:$D$595,$B46,'内訳ﾘｽﾄ(4～3月)'!J$26:J$595)</f>
        <v>0</v>
      </c>
      <c r="H46" s="158">
        <f>SUMIF('内訳ﾘｽﾄ(4～3月)'!$D$26:$D$595,$B46,'内訳ﾘｽﾄ(4～3月)'!K$26:K$595)</f>
        <v>0</v>
      </c>
      <c r="I46" s="158">
        <f>SUMIF('内訳ﾘｽﾄ(4～3月)'!$D$26:$D$595,$B46,'内訳ﾘｽﾄ(4～3月)'!L$26:L$595)</f>
        <v>0</v>
      </c>
      <c r="J46" s="158">
        <f>SUMIF('内訳ﾘｽﾄ(4～3月)'!$D$26:$D$595,$B46,'内訳ﾘｽﾄ(4～3月)'!M$26:M$595)</f>
        <v>0</v>
      </c>
      <c r="K46" s="158">
        <f>SUMIF('内訳ﾘｽﾄ(4～3月)'!$D$26:$D$595,$B46,'内訳ﾘｽﾄ(4～3月)'!N$26:N$595)</f>
        <v>0</v>
      </c>
      <c r="L46" s="158">
        <f>SUMIF('内訳ﾘｽﾄ(4～3月)'!$D$26:$D$595,$B46,'内訳ﾘｽﾄ(4～3月)'!O$26:O$595)</f>
        <v>0</v>
      </c>
      <c r="M46" s="158">
        <f>SUMIF('内訳ﾘｽﾄ(4～3月)'!$D$26:$D$595,$B46,'内訳ﾘｽﾄ(4～3月)'!P$26:P$595)</f>
        <v>0</v>
      </c>
      <c r="N46" s="158">
        <f>SUMIF('内訳ﾘｽﾄ(4～3月)'!$D$26:$D$595,$B46,'内訳ﾘｽﾄ(4～3月)'!Q$26:Q$595)</f>
        <v>0</v>
      </c>
      <c r="O46" s="158">
        <f>SUMIF('内訳ﾘｽﾄ(4～3月)'!$D$26:$D$394,'採算表(VND)'!$B46,'内訳ﾘｽﾄ(4～3月)'!R$26:R$394)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116</v>
      </c>
      <c r="C47" s="158">
        <f>SUMIF('内訳ﾘｽﾄ(4～3月)'!$D$26:$D$595,$B47,'内訳ﾘｽﾄ(4～3月)'!F$26:F$595)</f>
        <v>0</v>
      </c>
      <c r="D47" s="158">
        <f>SUMIF('内訳ﾘｽﾄ(4～3月)'!$D$26:$D$595,$B47,'内訳ﾘｽﾄ(4～3月)'!G$26:G$595)</f>
        <v>0</v>
      </c>
      <c r="E47" s="158">
        <f>SUMIF('内訳ﾘｽﾄ(4～3月)'!$D$26:$D$595,$B47,'内訳ﾘｽﾄ(4～3月)'!H$26:H$595)</f>
        <v>0</v>
      </c>
      <c r="F47" s="158">
        <f>SUMIF('内訳ﾘｽﾄ(4～3月)'!$D$26:$D$595,$B47,'内訳ﾘｽﾄ(4～3月)'!I$26:I$595)</f>
        <v>0</v>
      </c>
      <c r="G47" s="158">
        <f>SUMIF('内訳ﾘｽﾄ(4～3月)'!$D$26:$D$595,$B47,'内訳ﾘｽﾄ(4～3月)'!J$26:J$595)</f>
        <v>0</v>
      </c>
      <c r="H47" s="158">
        <f>SUMIF('内訳ﾘｽﾄ(4～3月)'!$D$26:$D$595,$B47,'内訳ﾘｽﾄ(4～3月)'!K$26:K$595)</f>
        <v>0</v>
      </c>
      <c r="I47" s="158">
        <f>SUMIF('内訳ﾘｽﾄ(4～3月)'!$D$26:$D$595,$B47,'内訳ﾘｽﾄ(4～3月)'!L$26:L$595)</f>
        <v>0</v>
      </c>
      <c r="J47" s="158">
        <f>SUMIF('内訳ﾘｽﾄ(4～3月)'!$D$26:$D$595,$B47,'内訳ﾘｽﾄ(4～3月)'!M$26:M$595)</f>
        <v>0</v>
      </c>
      <c r="K47" s="158">
        <f>SUMIF('内訳ﾘｽﾄ(4～3月)'!$D$26:$D$595,$B47,'内訳ﾘｽﾄ(4～3月)'!N$26:N$595)</f>
        <v>0</v>
      </c>
      <c r="L47" s="158">
        <f>SUMIF('内訳ﾘｽﾄ(4～3月)'!$D$26:$D$595,$B47,'内訳ﾘｽﾄ(4～3月)'!O$26:O$595)</f>
        <v>0</v>
      </c>
      <c r="M47" s="158">
        <f>SUMIF('内訳ﾘｽﾄ(4～3月)'!$D$26:$D$595,$B47,'内訳ﾘｽﾄ(4～3月)'!P$26:P$595)</f>
        <v>0</v>
      </c>
      <c r="N47" s="158">
        <f>SUMIF('内訳ﾘｽﾄ(4～3月)'!$D$26:$D$595,$B47,'内訳ﾘｽﾄ(4～3月)'!Q$26:Q$595)</f>
        <v>0</v>
      </c>
      <c r="O47" s="158">
        <f>SUMIF('内訳ﾘｽﾄ(4～3月)'!$D$26:$D$394,'採算表(VND)'!$B47,'内訳ﾘｽﾄ(4～3月)'!R$26:R$394)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SUMIF('内訳ﾘｽﾄ(4～3月)'!$D$26:$D$595,$B48,'内訳ﾘｽﾄ(4～3月)'!F$26:F$595)</f>
        <v>0</v>
      </c>
      <c r="D48" s="158">
        <f>SUMIF('内訳ﾘｽﾄ(4～3月)'!$D$26:$D$595,$B48,'内訳ﾘｽﾄ(4～3月)'!G$26:G$595)</f>
        <v>0</v>
      </c>
      <c r="E48" s="158">
        <f>SUMIF('内訳ﾘｽﾄ(4～3月)'!$D$26:$D$595,$B48,'内訳ﾘｽﾄ(4～3月)'!H$26:H$595)</f>
        <v>0</v>
      </c>
      <c r="F48" s="158">
        <f>SUMIF('内訳ﾘｽﾄ(4～3月)'!$D$26:$D$595,$B48,'内訳ﾘｽﾄ(4～3月)'!I$26:I$595)</f>
        <v>0</v>
      </c>
      <c r="G48" s="158">
        <f>SUMIF('内訳ﾘｽﾄ(4～3月)'!$D$26:$D$595,$B48,'内訳ﾘｽﾄ(4～3月)'!J$26:J$595)</f>
        <v>0</v>
      </c>
      <c r="H48" s="158">
        <f>SUMIF('内訳ﾘｽﾄ(4～3月)'!$D$26:$D$595,$B48,'内訳ﾘｽﾄ(4～3月)'!K$26:K$595)</f>
        <v>0</v>
      </c>
      <c r="I48" s="158">
        <f>SUMIF('内訳ﾘｽﾄ(4～3月)'!$D$26:$D$595,$B48,'内訳ﾘｽﾄ(4～3月)'!L$26:L$595)</f>
        <v>0</v>
      </c>
      <c r="J48" s="158">
        <f>SUMIF('内訳ﾘｽﾄ(4～3月)'!$D$26:$D$595,$B48,'内訳ﾘｽﾄ(4～3月)'!M$26:M$595)</f>
        <v>0</v>
      </c>
      <c r="K48" s="158">
        <f>SUMIF('内訳ﾘｽﾄ(4～3月)'!$D$26:$D$595,$B48,'内訳ﾘｽﾄ(4～3月)'!N$26:N$595)</f>
        <v>0</v>
      </c>
      <c r="L48" s="158">
        <f>SUMIF('内訳ﾘｽﾄ(4～3月)'!$D$26:$D$595,$B48,'内訳ﾘｽﾄ(4～3月)'!O$26:O$595)</f>
        <v>0</v>
      </c>
      <c r="M48" s="158">
        <f>SUMIF('内訳ﾘｽﾄ(4～3月)'!$D$26:$D$595,$B48,'内訳ﾘｽﾄ(4～3月)'!P$26:P$595)</f>
        <v>0</v>
      </c>
      <c r="N48" s="158">
        <f>SUMIF('内訳ﾘｽﾄ(4～3月)'!$D$26:$D$595,$B48,'内訳ﾘｽﾄ(4～3月)'!Q$26:Q$595)</f>
        <v>0</v>
      </c>
      <c r="O48" s="158">
        <f>SUMIF('内訳ﾘｽﾄ(4～3月)'!$D$26:$D$394,'採算表(VND)'!$B48,'内訳ﾘｽﾄ(4～3月)'!R$26:R$394)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SUMIF('内訳ﾘｽﾄ(4～3月)'!$D$26:$D$595,$B49,'内訳ﾘｽﾄ(4～3月)'!F$26:F$595)</f>
        <v>0</v>
      </c>
      <c r="D49" s="158">
        <f>SUMIF('内訳ﾘｽﾄ(4～3月)'!$D$26:$D$595,$B49,'内訳ﾘｽﾄ(4～3月)'!G$26:G$595)</f>
        <v>0</v>
      </c>
      <c r="E49" s="158">
        <f>SUMIF('内訳ﾘｽﾄ(4～3月)'!$D$26:$D$595,$B49,'内訳ﾘｽﾄ(4～3月)'!H$26:H$595)</f>
        <v>0</v>
      </c>
      <c r="F49" s="158">
        <f>SUMIF('内訳ﾘｽﾄ(4～3月)'!$D$26:$D$595,$B49,'内訳ﾘｽﾄ(4～3月)'!I$26:I$595)</f>
        <v>0</v>
      </c>
      <c r="G49" s="158">
        <f>SUMIF('内訳ﾘｽﾄ(4～3月)'!$D$26:$D$595,$B49,'内訳ﾘｽﾄ(4～3月)'!J$26:J$595)</f>
        <v>0</v>
      </c>
      <c r="H49" s="158">
        <f>SUMIF('内訳ﾘｽﾄ(4～3月)'!$D$26:$D$595,$B49,'内訳ﾘｽﾄ(4～3月)'!K$26:K$595)</f>
        <v>0</v>
      </c>
      <c r="I49" s="158">
        <f>SUMIF('内訳ﾘｽﾄ(4～3月)'!$D$26:$D$595,$B49,'内訳ﾘｽﾄ(4～3月)'!L$26:L$595)</f>
        <v>0</v>
      </c>
      <c r="J49" s="158">
        <f>SUMIF('内訳ﾘｽﾄ(4～3月)'!$D$26:$D$595,$B49,'内訳ﾘｽﾄ(4～3月)'!M$26:M$595)</f>
        <v>0</v>
      </c>
      <c r="K49" s="158">
        <f>SUMIF('内訳ﾘｽﾄ(4～3月)'!$D$26:$D$595,$B49,'内訳ﾘｽﾄ(4～3月)'!N$26:N$595)</f>
        <v>0</v>
      </c>
      <c r="L49" s="158">
        <f>SUMIF('内訳ﾘｽﾄ(4～3月)'!$D$26:$D$595,$B49,'内訳ﾘｽﾄ(4～3月)'!O$26:O$595)</f>
        <v>0</v>
      </c>
      <c r="M49" s="158">
        <f>SUMIF('内訳ﾘｽﾄ(4～3月)'!$D$26:$D$595,$B49,'内訳ﾘｽﾄ(4～3月)'!P$26:P$595)</f>
        <v>0</v>
      </c>
      <c r="N49" s="158">
        <f>SUMIF('内訳ﾘｽﾄ(4～3月)'!$D$26:$D$595,$B49,'内訳ﾘｽﾄ(4～3月)'!Q$26:Q$595)</f>
        <v>0</v>
      </c>
      <c r="O49" s="158">
        <f>SUMIF('内訳ﾘｽﾄ(4～3月)'!$D$26:$D$394,'採算表(VND)'!$B49,'内訳ﾘｽﾄ(4～3月)'!R$26:R$394)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SUMIF('内訳ﾘｽﾄ(4～3月)'!$D$26:$D$595,$B50,'内訳ﾘｽﾄ(4～3月)'!F$26:F$595)</f>
        <v>0</v>
      </c>
      <c r="D50" s="158">
        <f>SUMIF('内訳ﾘｽﾄ(4～3月)'!$D$26:$D$595,$B50,'内訳ﾘｽﾄ(4～3月)'!G$26:G$595)</f>
        <v>0</v>
      </c>
      <c r="E50" s="158">
        <f>SUMIF('内訳ﾘｽﾄ(4～3月)'!$D$26:$D$595,$B50,'内訳ﾘｽﾄ(4～3月)'!H$26:H$595)</f>
        <v>0</v>
      </c>
      <c r="F50" s="158">
        <f>SUMIF('内訳ﾘｽﾄ(4～3月)'!$D$26:$D$595,$B50,'内訳ﾘｽﾄ(4～3月)'!I$26:I$595)</f>
        <v>0</v>
      </c>
      <c r="G50" s="158">
        <f>SUMIF('内訳ﾘｽﾄ(4～3月)'!$D$26:$D$595,$B50,'内訳ﾘｽﾄ(4～3月)'!J$26:J$595)</f>
        <v>0</v>
      </c>
      <c r="H50" s="158">
        <f>SUMIF('内訳ﾘｽﾄ(4～3月)'!$D$26:$D$595,$B50,'内訳ﾘｽﾄ(4～3月)'!K$26:K$595)</f>
        <v>0</v>
      </c>
      <c r="I50" s="158">
        <f>SUMIF('内訳ﾘｽﾄ(4～3月)'!$D$26:$D$595,$B50,'内訳ﾘｽﾄ(4～3月)'!L$26:L$595)</f>
        <v>0</v>
      </c>
      <c r="J50" s="158">
        <f>SUMIF('内訳ﾘｽﾄ(4～3月)'!$D$26:$D$595,$B50,'内訳ﾘｽﾄ(4～3月)'!M$26:M$595)</f>
        <v>0</v>
      </c>
      <c r="K50" s="158">
        <f>SUMIF('内訳ﾘｽﾄ(4～3月)'!$D$26:$D$595,$B50,'内訳ﾘｽﾄ(4～3月)'!N$26:N$595)</f>
        <v>0</v>
      </c>
      <c r="L50" s="158">
        <f>SUMIF('内訳ﾘｽﾄ(4～3月)'!$D$26:$D$595,$B50,'内訳ﾘｽﾄ(4～3月)'!O$26:O$595)</f>
        <v>0</v>
      </c>
      <c r="M50" s="158">
        <f>SUMIF('内訳ﾘｽﾄ(4～3月)'!$D$26:$D$595,$B50,'内訳ﾘｽﾄ(4～3月)'!P$26:P$595)</f>
        <v>0</v>
      </c>
      <c r="N50" s="158">
        <f>SUMIF('内訳ﾘｽﾄ(4～3月)'!$D$26:$D$595,$B50,'内訳ﾘｽﾄ(4～3月)'!Q$26:Q$595)</f>
        <v>0</v>
      </c>
      <c r="O50" s="158">
        <f>SUMIF('内訳ﾘｽﾄ(4～3月)'!$D$26:$D$394,'採算表(VND)'!$B50,'内訳ﾘｽﾄ(4～3月)'!R$26:R$394)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104</v>
      </c>
      <c r="C51" s="159">
        <f>SUMIF('内訳ﾘｽﾄ(4～3月)'!$D$26:$D$595,$B51,'内訳ﾘｽﾄ(4～3月)'!F$26:F$595)</f>
        <v>0</v>
      </c>
      <c r="D51" s="159">
        <f>SUMIF('内訳ﾘｽﾄ(4～3月)'!$D$26:$D$595,$B51,'内訳ﾘｽﾄ(4～3月)'!G$26:G$595)</f>
        <v>0</v>
      </c>
      <c r="E51" s="159">
        <f>SUMIF('内訳ﾘｽﾄ(4～3月)'!$D$26:$D$595,$B51,'内訳ﾘｽﾄ(4～3月)'!H$26:H$595)</f>
        <v>0</v>
      </c>
      <c r="F51" s="159">
        <f>SUMIF('内訳ﾘｽﾄ(4～3月)'!$D$26:$D$595,$B51,'内訳ﾘｽﾄ(4～3月)'!I$26:I$595)</f>
        <v>0</v>
      </c>
      <c r="G51" s="159">
        <f>SUMIF('内訳ﾘｽﾄ(4～3月)'!$D$26:$D$595,$B51,'内訳ﾘｽﾄ(4～3月)'!J$26:J$595)</f>
        <v>0</v>
      </c>
      <c r="H51" s="159">
        <f>SUMIF('内訳ﾘｽﾄ(4～3月)'!$D$26:$D$595,$B51,'内訳ﾘｽﾄ(4～3月)'!K$26:K$595)</f>
        <v>0</v>
      </c>
      <c r="I51" s="159">
        <f>SUMIF('内訳ﾘｽﾄ(4～3月)'!$D$26:$D$595,$B51,'内訳ﾘｽﾄ(4～3月)'!L$26:L$595)</f>
        <v>0</v>
      </c>
      <c r="J51" s="159">
        <f>SUMIF('内訳ﾘｽﾄ(4～3月)'!$D$26:$D$595,$B51,'内訳ﾘｽﾄ(4～3月)'!M$26:M$595)</f>
        <v>0</v>
      </c>
      <c r="K51" s="159">
        <f>SUMIF('内訳ﾘｽﾄ(4～3月)'!$D$26:$D$595,$B51,'内訳ﾘｽﾄ(4～3月)'!N$26:N$595)</f>
        <v>0</v>
      </c>
      <c r="L51" s="159">
        <f>SUMIF('内訳ﾘｽﾄ(4～3月)'!$D$26:$D$595,$B51,'内訳ﾘｽﾄ(4～3月)'!O$26:O$595)</f>
        <v>0</v>
      </c>
      <c r="M51" s="159">
        <f>SUMIF('内訳ﾘｽﾄ(4～3月)'!$D$26:$D$595,$B51,'内訳ﾘｽﾄ(4～3月)'!P$26:P$595)</f>
        <v>0</v>
      </c>
      <c r="N51" s="159">
        <f>SUMIF('内訳ﾘｽﾄ(4～3月)'!$D$26:$D$595,$B51,'内訳ﾘｽﾄ(4～3月)'!Q$26:Q$595)</f>
        <v>0</v>
      </c>
      <c r="O51" s="159">
        <f>SUMIF('内訳ﾘｽﾄ(4～3月)'!$D$26:$D$394,'採算表(VND)'!$B51,'内訳ﾘｽﾄ(4～3月)'!R$26:R$394)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117</v>
      </c>
      <c r="C52" s="160">
        <f>SUMIF('内訳ﾘｽﾄ(4～3月)'!$D$26:$D$595,$B52,'内訳ﾘｽﾄ(4～3月)'!F$26:F$595)</f>
        <v>0</v>
      </c>
      <c r="D52" s="160">
        <f>SUMIF('内訳ﾘｽﾄ(4～3月)'!$D$26:$D$595,$B52,'内訳ﾘｽﾄ(4～3月)'!G$26:G$595)</f>
        <v>0</v>
      </c>
      <c r="E52" s="160">
        <f>SUMIF('内訳ﾘｽﾄ(4～3月)'!$D$26:$D$595,$B52,'内訳ﾘｽﾄ(4～3月)'!H$26:H$595)</f>
        <v>0</v>
      </c>
      <c r="F52" s="160">
        <f>SUMIF('内訳ﾘｽﾄ(4～3月)'!$D$26:$D$595,$B52,'内訳ﾘｽﾄ(4～3月)'!I$26:I$595)</f>
        <v>0</v>
      </c>
      <c r="G52" s="160">
        <f>SUMIF('内訳ﾘｽﾄ(4～3月)'!$D$26:$D$595,$B52,'内訳ﾘｽﾄ(4～3月)'!J$26:J$595)</f>
        <v>0</v>
      </c>
      <c r="H52" s="160">
        <f>SUMIF('内訳ﾘｽﾄ(4～3月)'!$D$26:$D$595,$B52,'内訳ﾘｽﾄ(4～3月)'!K$26:K$595)</f>
        <v>0</v>
      </c>
      <c r="I52" s="160">
        <f>SUMIF('内訳ﾘｽﾄ(4～3月)'!$D$26:$D$595,$B52,'内訳ﾘｽﾄ(4～3月)'!L$26:L$595)</f>
        <v>0</v>
      </c>
      <c r="J52" s="160">
        <f>SUMIF('内訳ﾘｽﾄ(4～3月)'!$D$26:$D$595,$B52,'内訳ﾘｽﾄ(4～3月)'!M$26:M$595)</f>
        <v>0</v>
      </c>
      <c r="K52" s="160">
        <f>SUMIF('内訳ﾘｽﾄ(4～3月)'!$D$26:$D$595,$B52,'内訳ﾘｽﾄ(4～3月)'!N$26:N$595)</f>
        <v>0</v>
      </c>
      <c r="L52" s="160">
        <f>SUMIF('内訳ﾘｽﾄ(4～3月)'!$D$26:$D$595,$B52,'内訳ﾘｽﾄ(4～3月)'!O$26:O$595)</f>
        <v>0</v>
      </c>
      <c r="M52" s="160">
        <f>SUMIF('内訳ﾘｽﾄ(4～3月)'!$D$26:$D$595,$B52,'内訳ﾘｽﾄ(4～3月)'!P$26:P$595)</f>
        <v>0</v>
      </c>
      <c r="N52" s="160">
        <f>SUMIF('内訳ﾘｽﾄ(4～3月)'!$D$26:$D$595,$B52,'内訳ﾘｽﾄ(4～3月)'!Q$26:Q$595)</f>
        <v>0</v>
      </c>
      <c r="O52" s="160">
        <f>SUMIF('内訳ﾘｽﾄ(4～3月)'!$D$26:$D$394,'採算表(VND)'!$B52,'内訳ﾘｽﾄ(4～3月)'!R$26:R$394)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118</v>
      </c>
      <c r="C53" s="160">
        <f>SUMIF('内訳ﾘｽﾄ(4～3月)'!$D$26:$D$595,$B53,'内訳ﾘｽﾄ(4～3月)'!F$26:F$595)</f>
        <v>0</v>
      </c>
      <c r="D53" s="160">
        <f>SUMIF('内訳ﾘｽﾄ(4～3月)'!$D$26:$D$595,$B53,'内訳ﾘｽﾄ(4～3月)'!G$26:G$595)</f>
        <v>0</v>
      </c>
      <c r="E53" s="160">
        <f>SUMIF('内訳ﾘｽﾄ(4～3月)'!$D$26:$D$595,$B53,'内訳ﾘｽﾄ(4～3月)'!H$26:H$595)</f>
        <v>0</v>
      </c>
      <c r="F53" s="160">
        <f>SUMIF('内訳ﾘｽﾄ(4～3月)'!$D$26:$D$595,$B53,'内訳ﾘｽﾄ(4～3月)'!I$26:I$595)</f>
        <v>0</v>
      </c>
      <c r="G53" s="160">
        <f>SUMIF('内訳ﾘｽﾄ(4～3月)'!$D$26:$D$595,$B53,'内訳ﾘｽﾄ(4～3月)'!J$26:J$595)</f>
        <v>0</v>
      </c>
      <c r="H53" s="160">
        <f>SUMIF('内訳ﾘｽﾄ(4～3月)'!$D$26:$D$595,$B53,'内訳ﾘｽﾄ(4～3月)'!K$26:K$595)</f>
        <v>0</v>
      </c>
      <c r="I53" s="160">
        <f>SUMIF('内訳ﾘｽﾄ(4～3月)'!$D$26:$D$595,$B53,'内訳ﾘｽﾄ(4～3月)'!L$26:L$595)</f>
        <v>0</v>
      </c>
      <c r="J53" s="160">
        <f>SUMIF('内訳ﾘｽﾄ(4～3月)'!$D$26:$D$595,$B53,'内訳ﾘｽﾄ(4～3月)'!M$26:M$595)</f>
        <v>0</v>
      </c>
      <c r="K53" s="160">
        <f>SUMIF('内訳ﾘｽﾄ(4～3月)'!$D$26:$D$595,$B53,'内訳ﾘｽﾄ(4～3月)'!N$26:N$595)</f>
        <v>0</v>
      </c>
      <c r="L53" s="160">
        <f>SUMIF('内訳ﾘｽﾄ(4～3月)'!$D$26:$D$595,$B53,'内訳ﾘｽﾄ(4～3月)'!O$26:O$595)</f>
        <v>0</v>
      </c>
      <c r="M53" s="160">
        <f>SUMIF('内訳ﾘｽﾄ(4～3月)'!$D$26:$D$595,$B53,'内訳ﾘｽﾄ(4～3月)'!P$26:P$595)</f>
        <v>0</v>
      </c>
      <c r="N53" s="160">
        <f>SUMIF('内訳ﾘｽﾄ(4～3月)'!$D$26:$D$595,$B53,'内訳ﾘｽﾄ(4～3月)'!Q$26:Q$595)</f>
        <v>0</v>
      </c>
      <c r="O53" s="160">
        <f>SUMIF('内訳ﾘｽﾄ(4～3月)'!$D$26:$D$394,'採算表(VND)'!$B53,'内訳ﾘｽﾄ(4～3月)'!R$26:R$394)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99</v>
      </c>
      <c r="C54" s="160">
        <f>SUMIF('内訳ﾘｽﾄ(4～3月)'!$D$26:$D$595,$B54,'内訳ﾘｽﾄ(4～3月)'!F$26:F$595)</f>
        <v>0</v>
      </c>
      <c r="D54" s="160">
        <f>SUMIF('内訳ﾘｽﾄ(4～3月)'!$D$26:$D$595,$B54,'内訳ﾘｽﾄ(4～3月)'!G$26:G$595)</f>
        <v>0</v>
      </c>
      <c r="E54" s="160">
        <f>SUMIF('内訳ﾘｽﾄ(4～3月)'!$D$26:$D$595,$B54,'内訳ﾘｽﾄ(4～3月)'!H$26:H$595)</f>
        <v>0</v>
      </c>
      <c r="F54" s="160">
        <f>SUMIF('内訳ﾘｽﾄ(4～3月)'!$D$26:$D$595,$B54,'内訳ﾘｽﾄ(4～3月)'!I$26:I$595)</f>
        <v>0</v>
      </c>
      <c r="G54" s="160">
        <f>SUMIF('内訳ﾘｽﾄ(4～3月)'!$D$26:$D$595,$B54,'内訳ﾘｽﾄ(4～3月)'!J$26:J$595)</f>
        <v>0</v>
      </c>
      <c r="H54" s="160">
        <f>SUMIF('内訳ﾘｽﾄ(4～3月)'!$D$26:$D$595,$B54,'内訳ﾘｽﾄ(4～3月)'!K$26:K$595)</f>
        <v>0</v>
      </c>
      <c r="I54" s="160">
        <f>SUMIF('内訳ﾘｽﾄ(4～3月)'!$D$26:$D$595,$B54,'内訳ﾘｽﾄ(4～3月)'!L$26:L$595)</f>
        <v>0</v>
      </c>
      <c r="J54" s="160">
        <f>SUMIF('内訳ﾘｽﾄ(4～3月)'!$D$26:$D$595,$B54,'内訳ﾘｽﾄ(4～3月)'!M$26:M$595)</f>
        <v>0</v>
      </c>
      <c r="K54" s="160">
        <f>SUMIF('内訳ﾘｽﾄ(4～3月)'!$D$26:$D$595,$B54,'内訳ﾘｽﾄ(4～3月)'!N$26:N$595)</f>
        <v>0</v>
      </c>
      <c r="L54" s="160">
        <f>SUMIF('内訳ﾘｽﾄ(4～3月)'!$D$26:$D$595,$B54,'内訳ﾘｽﾄ(4～3月)'!O$26:O$595)</f>
        <v>0</v>
      </c>
      <c r="M54" s="160">
        <f>SUMIF('内訳ﾘｽﾄ(4～3月)'!$D$26:$D$595,$B54,'内訳ﾘｽﾄ(4～3月)'!P$26:P$595)</f>
        <v>0</v>
      </c>
      <c r="N54" s="160">
        <f>SUMIF('内訳ﾘｽﾄ(4～3月)'!$D$26:$D$595,$B54,'内訳ﾘｽﾄ(4～3月)'!Q$26:Q$595)</f>
        <v>0</v>
      </c>
      <c r="O54" s="160">
        <f>SUMIF('内訳ﾘｽﾄ(4～3月)'!$D$26:$D$394,'採算表(VND)'!$B54,'内訳ﾘｽﾄ(4～3月)'!R$26:R$394)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109</v>
      </c>
      <c r="C55" s="160">
        <f>SUMIF('内訳ﾘｽﾄ(4～3月)'!$D$26:$D$595,$B55,'内訳ﾘｽﾄ(4～3月)'!F$26:F$595)</f>
        <v>0</v>
      </c>
      <c r="D55" s="160">
        <f>SUMIF('内訳ﾘｽﾄ(4～3月)'!$D$26:$D$595,$B55,'内訳ﾘｽﾄ(4～3月)'!G$26:G$595)</f>
        <v>0</v>
      </c>
      <c r="E55" s="160">
        <f>SUMIF('内訳ﾘｽﾄ(4～3月)'!$D$26:$D$595,$B55,'内訳ﾘｽﾄ(4～3月)'!H$26:H$595)</f>
        <v>0</v>
      </c>
      <c r="F55" s="160">
        <f>SUMIF('内訳ﾘｽﾄ(4～3月)'!$D$26:$D$595,$B55,'内訳ﾘｽﾄ(4～3月)'!I$26:I$595)</f>
        <v>0</v>
      </c>
      <c r="G55" s="160">
        <f>SUMIF('内訳ﾘｽﾄ(4～3月)'!$D$26:$D$595,$B55,'内訳ﾘｽﾄ(4～3月)'!J$26:J$595)</f>
        <v>0</v>
      </c>
      <c r="H55" s="160">
        <f>SUMIF('内訳ﾘｽﾄ(4～3月)'!$D$26:$D$595,$B55,'内訳ﾘｽﾄ(4～3月)'!K$26:K$595)</f>
        <v>0</v>
      </c>
      <c r="I55" s="160">
        <f>SUMIF('内訳ﾘｽﾄ(4～3月)'!$D$26:$D$595,$B55,'内訳ﾘｽﾄ(4～3月)'!L$26:L$595)</f>
        <v>0</v>
      </c>
      <c r="J55" s="160">
        <f>SUMIF('内訳ﾘｽﾄ(4～3月)'!$D$26:$D$595,$B55,'内訳ﾘｽﾄ(4～3月)'!M$26:M$595)</f>
        <v>0</v>
      </c>
      <c r="K55" s="160">
        <f>SUMIF('内訳ﾘｽﾄ(4～3月)'!$D$26:$D$595,$B55,'内訳ﾘｽﾄ(4～3月)'!N$26:N$595)</f>
        <v>0</v>
      </c>
      <c r="L55" s="160">
        <f>SUMIF('内訳ﾘｽﾄ(4～3月)'!$D$26:$D$595,$B55,'内訳ﾘｽﾄ(4～3月)'!O$26:O$595)</f>
        <v>0</v>
      </c>
      <c r="M55" s="160">
        <f>SUMIF('内訳ﾘｽﾄ(4～3月)'!$D$26:$D$595,$B55,'内訳ﾘｽﾄ(4～3月)'!P$26:P$595)</f>
        <v>0</v>
      </c>
      <c r="N55" s="160">
        <f>SUMIF('内訳ﾘｽﾄ(4～3月)'!$D$26:$D$595,$B55,'内訳ﾘｽﾄ(4～3月)'!Q$26:Q$595)</f>
        <v>0</v>
      </c>
      <c r="O55" s="160">
        <f>SUMIF('内訳ﾘｽﾄ(4～3月)'!$D$26:$D$394,'採算表(VND)'!$B55,'内訳ﾘｽﾄ(4～3月)'!R$26:R$394)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112</v>
      </c>
      <c r="C56" s="160">
        <f>SUMIF('内訳ﾘｽﾄ(4～3月)'!$D$26:$D$595,$B56,'内訳ﾘｽﾄ(4～3月)'!F$26:F$595)</f>
        <v>0</v>
      </c>
      <c r="D56" s="160">
        <f>SUMIF('内訳ﾘｽﾄ(4～3月)'!$D$26:$D$595,$B56,'内訳ﾘｽﾄ(4～3月)'!G$26:G$595)</f>
        <v>0</v>
      </c>
      <c r="E56" s="160">
        <f>SUMIF('内訳ﾘｽﾄ(4～3月)'!$D$26:$D$595,$B56,'内訳ﾘｽﾄ(4～3月)'!H$26:H$595)</f>
        <v>0</v>
      </c>
      <c r="F56" s="160">
        <f>SUMIF('内訳ﾘｽﾄ(4～3月)'!$D$26:$D$595,$B56,'内訳ﾘｽﾄ(4～3月)'!I$26:I$595)</f>
        <v>0</v>
      </c>
      <c r="G56" s="160">
        <f>SUMIF('内訳ﾘｽﾄ(4～3月)'!$D$26:$D$595,$B56,'内訳ﾘｽﾄ(4～3月)'!J$26:J$595)</f>
        <v>0</v>
      </c>
      <c r="H56" s="160">
        <f>SUMIF('内訳ﾘｽﾄ(4～3月)'!$D$26:$D$595,$B56,'内訳ﾘｽﾄ(4～3月)'!K$26:K$595)</f>
        <v>0</v>
      </c>
      <c r="I56" s="160">
        <f>SUMIF('内訳ﾘｽﾄ(4～3月)'!$D$26:$D$595,$B56,'内訳ﾘｽﾄ(4～3月)'!L$26:L$595)</f>
        <v>0</v>
      </c>
      <c r="J56" s="160">
        <f>SUMIF('内訳ﾘｽﾄ(4～3月)'!$D$26:$D$595,$B56,'内訳ﾘｽﾄ(4～3月)'!M$26:M$595)</f>
        <v>0</v>
      </c>
      <c r="K56" s="160">
        <f>SUMIF('内訳ﾘｽﾄ(4～3月)'!$D$26:$D$595,$B56,'内訳ﾘｽﾄ(4～3月)'!N$26:N$595)</f>
        <v>0</v>
      </c>
      <c r="L56" s="160">
        <f>SUMIF('内訳ﾘｽﾄ(4～3月)'!$D$26:$D$595,$B56,'内訳ﾘｽﾄ(4～3月)'!O$26:O$595)</f>
        <v>0</v>
      </c>
      <c r="M56" s="160">
        <f>SUMIF('内訳ﾘｽﾄ(4～3月)'!$D$26:$D$595,$B56,'内訳ﾘｽﾄ(4～3月)'!P$26:P$595)</f>
        <v>0</v>
      </c>
      <c r="N56" s="160">
        <f>SUMIF('内訳ﾘｽﾄ(4～3月)'!$D$26:$D$595,$B56,'内訳ﾘｽﾄ(4～3月)'!Q$26:Q$595)</f>
        <v>0</v>
      </c>
      <c r="O56" s="160">
        <f>SUMIF('内訳ﾘｽﾄ(4～3月)'!$D$26:$D$394,'採算表(VND)'!$B56,'内訳ﾘｽﾄ(4～3月)'!R$26:R$394)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113</v>
      </c>
      <c r="C57" s="160">
        <f>SUMIF('内訳ﾘｽﾄ(4～3月)'!$D$26:$D$595,$B57,'内訳ﾘｽﾄ(4～3月)'!F$26:F$595)</f>
        <v>51988719</v>
      </c>
      <c r="D57" s="160">
        <f>SUMIF('内訳ﾘｽﾄ(4～3月)'!$D$26:$D$595,$B57,'内訳ﾘｽﾄ(4～3月)'!G$26:G$595)</f>
        <v>50145405</v>
      </c>
      <c r="E57" s="160">
        <f>SUMIF('内訳ﾘｽﾄ(4～3月)'!$D$26:$D$595,$B57,'内訳ﾘｽﾄ(4～3月)'!H$26:H$595)</f>
        <v>50172573</v>
      </c>
      <c r="F57" s="160">
        <f>SUMIF('内訳ﾘｽﾄ(4～3月)'!$D$26:$D$595,$B57,'内訳ﾘｽﾄ(4～3月)'!I$26:I$595)</f>
        <v>50762128</v>
      </c>
      <c r="G57" s="160">
        <f>SUMIF('内訳ﾘｽﾄ(4～3月)'!$D$26:$D$595,$B57,'内訳ﾘｽﾄ(4～3月)'!J$26:J$595)</f>
        <v>53366757</v>
      </c>
      <c r="H57" s="160">
        <f>SUMIF('内訳ﾘｽﾄ(4～3月)'!$D$26:$D$595,$B57,'内訳ﾘｽﾄ(4～3月)'!K$26:K$595)</f>
        <v>40133210</v>
      </c>
      <c r="I57" s="160">
        <f>SUMIF('内訳ﾘｽﾄ(4～3月)'!$D$26:$D$595,$B57,'内訳ﾘｽﾄ(4～3月)'!L$26:L$595)</f>
        <v>55562345</v>
      </c>
      <c r="J57" s="160">
        <f>SUMIF('内訳ﾘｽﾄ(4～3月)'!$D$26:$D$595,$B57,'内訳ﾘｽﾄ(4～3月)'!M$26:M$595)</f>
        <v>55299051</v>
      </c>
      <c r="K57" s="160">
        <f>SUMIF('内訳ﾘｽﾄ(4～3月)'!$D$26:$D$595,$B57,'内訳ﾘｽﾄ(4～3月)'!N$26:N$595)</f>
        <v>55536193</v>
      </c>
      <c r="L57" s="160">
        <f>SUMIF('内訳ﾘｽﾄ(4～3月)'!$D$26:$D$595,$B57,'内訳ﾘｽﾄ(4～3月)'!O$26:O$595)</f>
        <v>55532131</v>
      </c>
      <c r="M57" s="160">
        <f>SUMIF('内訳ﾘｽﾄ(4～3月)'!$D$26:$D$595,$B57,'内訳ﾘｽﾄ(4～3月)'!P$26:P$595)</f>
        <v>55277216</v>
      </c>
      <c r="N57" s="160">
        <f>SUMIF('内訳ﾘｽﾄ(4～3月)'!$D$26:$D$595,$B57,'内訳ﾘｽﾄ(4～3月)'!Q$26:Q$595)</f>
        <v>55260965</v>
      </c>
      <c r="O57" s="160">
        <f>SUMIF('内訳ﾘｽﾄ(4～3月)'!$D$26:$D$394,'採算表(VND)'!$B57,'内訳ﾘｽﾄ(4～3月)'!R$26:R$394)</f>
        <v>629036693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121</v>
      </c>
      <c r="C58" s="160">
        <f>SUMIF('内訳ﾘｽﾄ(4～3月)'!$D$26:$D$595,$B58,'内訳ﾘｽﾄ(4～3月)'!F$26:F$595)</f>
        <v>0</v>
      </c>
      <c r="D58" s="160">
        <f>SUMIF('内訳ﾘｽﾄ(4～3月)'!$D$26:$D$595,$B58,'内訳ﾘｽﾄ(4～3月)'!G$26:G$595)</f>
        <v>0</v>
      </c>
      <c r="E58" s="160">
        <f>SUMIF('内訳ﾘｽﾄ(4～3月)'!$D$26:$D$595,$B58,'内訳ﾘｽﾄ(4～3月)'!H$26:H$595)</f>
        <v>0</v>
      </c>
      <c r="F58" s="160">
        <f>SUMIF('内訳ﾘｽﾄ(4～3月)'!$D$26:$D$595,$B58,'内訳ﾘｽﾄ(4～3月)'!I$26:I$595)</f>
        <v>0</v>
      </c>
      <c r="G58" s="160">
        <f>SUMIF('内訳ﾘｽﾄ(4～3月)'!$D$26:$D$595,$B58,'内訳ﾘｽﾄ(4～3月)'!J$26:J$595)</f>
        <v>0</v>
      </c>
      <c r="H58" s="160">
        <f>SUMIF('内訳ﾘｽﾄ(4～3月)'!$D$26:$D$595,$B58,'内訳ﾘｽﾄ(4～3月)'!K$26:K$595)</f>
        <v>0</v>
      </c>
      <c r="I58" s="160">
        <f>SUMIF('内訳ﾘｽﾄ(4～3月)'!$D$26:$D$595,$B58,'内訳ﾘｽﾄ(4～3月)'!L$26:L$595)</f>
        <v>0</v>
      </c>
      <c r="J58" s="160">
        <f>SUMIF('内訳ﾘｽﾄ(4～3月)'!$D$26:$D$595,$B58,'内訳ﾘｽﾄ(4～3月)'!M$26:M$595)</f>
        <v>0</v>
      </c>
      <c r="K58" s="160">
        <f>SUMIF('内訳ﾘｽﾄ(4～3月)'!$D$26:$D$595,$B58,'内訳ﾘｽﾄ(4～3月)'!N$26:N$595)</f>
        <v>0</v>
      </c>
      <c r="L58" s="160">
        <f>SUMIF('内訳ﾘｽﾄ(4～3月)'!$D$26:$D$595,$B58,'内訳ﾘｽﾄ(4～3月)'!O$26:O$595)</f>
        <v>0</v>
      </c>
      <c r="M58" s="160">
        <f>SUMIF('内訳ﾘｽﾄ(4～3月)'!$D$26:$D$595,$B58,'内訳ﾘｽﾄ(4～3月)'!P$26:P$595)</f>
        <v>0</v>
      </c>
      <c r="N58" s="160">
        <f>SUMIF('内訳ﾘｽﾄ(4～3月)'!$D$26:$D$595,$B58,'内訳ﾘｽﾄ(4～3月)'!Q$26:Q$595)</f>
        <v>0</v>
      </c>
      <c r="O58" s="160">
        <f>SUMIF('内訳ﾘｽﾄ(4～3月)'!$D$26:$D$394,'採算表(VND)'!$B58,'内訳ﾘｽﾄ(4～3月)'!R$26:R$394)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120</v>
      </c>
      <c r="C59" s="160">
        <f>SUMIF('内訳ﾘｽﾄ(4～3月)'!$D$26:$D$595,$B59,'内訳ﾘｽﾄ(4～3月)'!F$26:F$595)</f>
        <v>0</v>
      </c>
      <c r="D59" s="160">
        <f>SUMIF('内訳ﾘｽﾄ(4～3月)'!$D$26:$D$595,$B59,'内訳ﾘｽﾄ(4～3月)'!G$26:G$595)</f>
        <v>0</v>
      </c>
      <c r="E59" s="160">
        <f>SUMIF('内訳ﾘｽﾄ(4～3月)'!$D$26:$D$595,$B59,'内訳ﾘｽﾄ(4～3月)'!H$26:H$595)</f>
        <v>0</v>
      </c>
      <c r="F59" s="160">
        <f>SUMIF('内訳ﾘｽﾄ(4～3月)'!$D$26:$D$595,$B59,'内訳ﾘｽﾄ(4～3月)'!I$26:I$595)</f>
        <v>0</v>
      </c>
      <c r="G59" s="160">
        <f>SUMIF('内訳ﾘｽﾄ(4～3月)'!$D$26:$D$595,$B59,'内訳ﾘｽﾄ(4～3月)'!J$26:J$595)</f>
        <v>0</v>
      </c>
      <c r="H59" s="160">
        <f>SUMIF('内訳ﾘｽﾄ(4～3月)'!$D$26:$D$595,$B59,'内訳ﾘｽﾄ(4～3月)'!K$26:K$595)</f>
        <v>0</v>
      </c>
      <c r="I59" s="160">
        <f>SUMIF('内訳ﾘｽﾄ(4～3月)'!$D$26:$D$595,$B59,'内訳ﾘｽﾄ(4～3月)'!L$26:L$595)</f>
        <v>0</v>
      </c>
      <c r="J59" s="160">
        <f>SUMIF('内訳ﾘｽﾄ(4～3月)'!$D$26:$D$595,$B59,'内訳ﾘｽﾄ(4～3月)'!M$26:M$595)</f>
        <v>0</v>
      </c>
      <c r="K59" s="160">
        <f>SUMIF('内訳ﾘｽﾄ(4～3月)'!$D$26:$D$595,$B59,'内訳ﾘｽﾄ(4～3月)'!N$26:N$595)</f>
        <v>0</v>
      </c>
      <c r="L59" s="160">
        <f>SUMIF('内訳ﾘｽﾄ(4～3月)'!$D$26:$D$595,$B59,'内訳ﾘｽﾄ(4～3月)'!O$26:O$595)</f>
        <v>0</v>
      </c>
      <c r="M59" s="160">
        <f>SUMIF('内訳ﾘｽﾄ(4～3月)'!$D$26:$D$595,$B59,'内訳ﾘｽﾄ(4～3月)'!P$26:P$595)</f>
        <v>0</v>
      </c>
      <c r="N59" s="160">
        <f>SUMIF('内訳ﾘｽﾄ(4～3月)'!$D$26:$D$595,$B59,'内訳ﾘｽﾄ(4～3月)'!Q$26:Q$595)</f>
        <v>0</v>
      </c>
      <c r="O59" s="160">
        <f>SUMIF('内訳ﾘｽﾄ(4～3月)'!$D$26:$D$394,'採算表(VND)'!$B59,'内訳ﾘｽﾄ(4～3月)'!R$26:R$394)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122</v>
      </c>
      <c r="C60" s="160">
        <f>SUMIF('内訳ﾘｽﾄ(4～3月)'!$D$26:$D$595,$B60,'内訳ﾘｽﾄ(4～3月)'!F$26:F$595)</f>
        <v>0</v>
      </c>
      <c r="D60" s="160">
        <f>SUMIF('内訳ﾘｽﾄ(4～3月)'!$D$26:$D$595,$B60,'内訳ﾘｽﾄ(4～3月)'!G$26:G$595)</f>
        <v>0</v>
      </c>
      <c r="E60" s="160">
        <f>SUMIF('内訳ﾘｽﾄ(4～3月)'!$D$26:$D$595,$B60,'内訳ﾘｽﾄ(4～3月)'!H$26:H$595)</f>
        <v>0</v>
      </c>
      <c r="F60" s="160">
        <f>SUMIF('内訳ﾘｽﾄ(4～3月)'!$D$26:$D$595,$B60,'内訳ﾘｽﾄ(4～3月)'!I$26:I$595)</f>
        <v>0</v>
      </c>
      <c r="G60" s="160">
        <f>SUMIF('内訳ﾘｽﾄ(4～3月)'!$D$26:$D$595,$B60,'内訳ﾘｽﾄ(4～3月)'!J$26:J$595)</f>
        <v>0</v>
      </c>
      <c r="H60" s="160">
        <f>SUMIF('内訳ﾘｽﾄ(4～3月)'!$D$26:$D$595,$B60,'内訳ﾘｽﾄ(4～3月)'!K$26:K$595)</f>
        <v>0</v>
      </c>
      <c r="I60" s="160">
        <f>SUMIF('内訳ﾘｽﾄ(4～3月)'!$D$26:$D$595,$B60,'内訳ﾘｽﾄ(4～3月)'!L$26:L$595)</f>
        <v>0</v>
      </c>
      <c r="J60" s="160">
        <f>SUMIF('内訳ﾘｽﾄ(4～3月)'!$D$26:$D$595,$B60,'内訳ﾘｽﾄ(4～3月)'!M$26:M$595)</f>
        <v>0</v>
      </c>
      <c r="K60" s="160">
        <f>SUMIF('内訳ﾘｽﾄ(4～3月)'!$D$26:$D$595,$B60,'内訳ﾘｽﾄ(4～3月)'!N$26:N$595)</f>
        <v>0</v>
      </c>
      <c r="L60" s="160">
        <f>SUMIF('内訳ﾘｽﾄ(4～3月)'!$D$26:$D$595,$B60,'内訳ﾘｽﾄ(4～3月)'!O$26:O$595)</f>
        <v>0</v>
      </c>
      <c r="M60" s="160">
        <f>SUMIF('内訳ﾘｽﾄ(4～3月)'!$D$26:$D$595,$B60,'内訳ﾘｽﾄ(4～3月)'!P$26:P$595)</f>
        <v>0</v>
      </c>
      <c r="N60" s="160">
        <f>SUMIF('内訳ﾘｽﾄ(4～3月)'!$D$26:$D$595,$B60,'内訳ﾘｽﾄ(4～3月)'!Q$26:Q$595)</f>
        <v>0</v>
      </c>
      <c r="O60" s="160">
        <f>SUMIF('内訳ﾘｽﾄ(4～3月)'!$D$26:$D$394,'採算表(VND)'!$B60,'内訳ﾘｽﾄ(4～3月)'!R$26:R$394)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105</v>
      </c>
      <c r="C61" s="160">
        <f>SUMIF('内訳ﾘｽﾄ(4～3月)'!$D$26:$D$595,$B61,'内訳ﾘｽﾄ(4～3月)'!F$26:F$595)</f>
        <v>0</v>
      </c>
      <c r="D61" s="160">
        <f>SUMIF('内訳ﾘｽﾄ(4～3月)'!$D$26:$D$595,$B61,'内訳ﾘｽﾄ(4～3月)'!G$26:G$595)</f>
        <v>0</v>
      </c>
      <c r="E61" s="160">
        <f>SUMIF('内訳ﾘｽﾄ(4～3月)'!$D$26:$D$595,$B61,'内訳ﾘｽﾄ(4～3月)'!H$26:H$595)</f>
        <v>0</v>
      </c>
      <c r="F61" s="160">
        <f>SUMIF('内訳ﾘｽﾄ(4～3月)'!$D$26:$D$595,$B61,'内訳ﾘｽﾄ(4～3月)'!I$26:I$595)</f>
        <v>0</v>
      </c>
      <c r="G61" s="160">
        <f>SUMIF('内訳ﾘｽﾄ(4～3月)'!$D$26:$D$595,$B61,'内訳ﾘｽﾄ(4～3月)'!J$26:J$595)</f>
        <v>0</v>
      </c>
      <c r="H61" s="160">
        <f>SUMIF('内訳ﾘｽﾄ(4～3月)'!$D$26:$D$595,$B61,'内訳ﾘｽﾄ(4～3月)'!K$26:K$595)</f>
        <v>0</v>
      </c>
      <c r="I61" s="160">
        <f>SUMIF('内訳ﾘｽﾄ(4～3月)'!$D$26:$D$595,$B61,'内訳ﾘｽﾄ(4～3月)'!L$26:L$595)</f>
        <v>0</v>
      </c>
      <c r="J61" s="160">
        <f>SUMIF('内訳ﾘｽﾄ(4～3月)'!$D$26:$D$595,$B61,'内訳ﾘｽﾄ(4～3月)'!M$26:M$595)</f>
        <v>0</v>
      </c>
      <c r="K61" s="160">
        <f>SUMIF('内訳ﾘｽﾄ(4～3月)'!$D$26:$D$595,$B61,'内訳ﾘｽﾄ(4～3月)'!N$26:N$595)</f>
        <v>0</v>
      </c>
      <c r="L61" s="160">
        <f>SUMIF('内訳ﾘｽﾄ(4～3月)'!$D$26:$D$595,$B61,'内訳ﾘｽﾄ(4～3月)'!O$26:O$595)</f>
        <v>0</v>
      </c>
      <c r="M61" s="160">
        <f>SUMIF('内訳ﾘｽﾄ(4～3月)'!$D$26:$D$595,$B61,'内訳ﾘｽﾄ(4～3月)'!P$26:P$595)</f>
        <v>0</v>
      </c>
      <c r="N61" s="160">
        <f>SUMIF('内訳ﾘｽﾄ(4～3月)'!$D$26:$D$595,$B61,'内訳ﾘｽﾄ(4～3月)'!Q$26:Q$595)</f>
        <v>0</v>
      </c>
      <c r="O61" s="160">
        <f>SUMIF('内訳ﾘｽﾄ(4～3月)'!$D$26:$D$394,'採算表(VND)'!$B61,'内訳ﾘｽﾄ(4～3月)'!R$26:R$394)</f>
        <v>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677</v>
      </c>
      <c r="C62" s="160">
        <f>SUMIF('内訳ﾘｽﾄ(4～3月)'!$D$26:$D$595,$B62,'内訳ﾘｽﾄ(4～3月)'!F$26:F$595)</f>
        <v>397748</v>
      </c>
      <c r="D62" s="160">
        <f>SUMIF('内訳ﾘｽﾄ(4～3月)'!$D$26:$D$595,$B62,'内訳ﾘｽﾄ(4～3月)'!G$26:G$595)</f>
        <v>456535</v>
      </c>
      <c r="E62" s="160">
        <f>SUMIF('内訳ﾘｽﾄ(4～3月)'!$D$26:$D$595,$B62,'内訳ﾘｽﾄ(4～3月)'!H$26:H$595)</f>
        <v>380026</v>
      </c>
      <c r="F62" s="160">
        <f>SUMIF('内訳ﾘｽﾄ(4～3月)'!$D$26:$D$595,$B62,'内訳ﾘｽﾄ(4～3月)'!I$26:I$595)</f>
        <v>628019</v>
      </c>
      <c r="G62" s="160">
        <f>SUMIF('内訳ﾘｽﾄ(4～3月)'!$D$26:$D$595,$B62,'内訳ﾘｽﾄ(4～3月)'!J$26:J$595)</f>
        <v>564637</v>
      </c>
      <c r="H62" s="160">
        <f>SUMIF('内訳ﾘｽﾄ(4～3月)'!$D$26:$D$595,$B62,'内訳ﾘｽﾄ(4～3月)'!K$26:K$595)</f>
        <v>617936</v>
      </c>
      <c r="I62" s="160">
        <f>SUMIF('内訳ﾘｽﾄ(4～3月)'!$D$26:$D$595,$B62,'内訳ﾘｽﾄ(4～3月)'!L$26:L$595)</f>
        <v>371560</v>
      </c>
      <c r="J62" s="160">
        <f>SUMIF('内訳ﾘｽﾄ(4～3月)'!$D$26:$D$595,$B62,'内訳ﾘｽﾄ(4～3月)'!M$26:M$595)</f>
        <v>373979</v>
      </c>
      <c r="K62" s="160">
        <f>SUMIF('内訳ﾘｽﾄ(4～3月)'!$D$26:$D$595,$B62,'内訳ﾘｽﾄ(4～3月)'!N$26:N$595)</f>
        <v>377736</v>
      </c>
      <c r="L62" s="160">
        <f>SUMIF('内訳ﾘｽﾄ(4～3月)'!$D$26:$D$595,$B62,'内訳ﾘｽﾄ(4～3月)'!O$26:O$595)</f>
        <v>363367</v>
      </c>
      <c r="M62" s="160">
        <f>SUMIF('内訳ﾘｽﾄ(4～3月)'!$D$26:$D$595,$B62,'内訳ﾘｽﾄ(4～3月)'!P$26:P$595)</f>
        <v>384655</v>
      </c>
      <c r="N62" s="160">
        <f>SUMIF('内訳ﾘｽﾄ(4～3月)'!$D$26:$D$595,$B62,'内訳ﾘｽﾄ(4～3月)'!Q$26:Q$595)</f>
        <v>367742</v>
      </c>
      <c r="O62" s="160">
        <f>SUMIF('内訳ﾘｽﾄ(4～3月)'!$D$26:$D$394,'採算表(VND)'!$B62,'内訳ﾘｽﾄ(4～3月)'!R$26:R$394)</f>
        <v>5283940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678</v>
      </c>
      <c r="C63" s="160">
        <f>SUMIF('内訳ﾘｽﾄ(4～3月)'!$D$26:$D$595,$B63,'内訳ﾘｽﾄ(4～3月)'!F$26:F$595)</f>
        <v>2428308</v>
      </c>
      <c r="D63" s="160">
        <f>SUMIF('内訳ﾘｽﾄ(4～3月)'!$D$26:$D$595,$B63,'内訳ﾘｽﾄ(4～3月)'!G$26:G$595)</f>
        <v>829829</v>
      </c>
      <c r="E63" s="160">
        <f>SUMIF('内訳ﾘｽﾄ(4～3月)'!$D$26:$D$595,$B63,'内訳ﾘｽﾄ(4～3月)'!H$26:H$595)</f>
        <v>594132</v>
      </c>
      <c r="F63" s="160">
        <f>SUMIF('内訳ﾘｽﾄ(4～3月)'!$D$26:$D$595,$B63,'内訳ﾘｽﾄ(4～3月)'!I$26:I$595)</f>
        <v>960180</v>
      </c>
      <c r="G63" s="160">
        <f>SUMIF('内訳ﾘｽﾄ(4～3月)'!$D$26:$D$595,$B63,'内訳ﾘｽﾄ(4～3月)'!J$26:J$595)</f>
        <v>862028</v>
      </c>
      <c r="H63" s="160">
        <f>SUMIF('内訳ﾘｽﾄ(4～3月)'!$D$26:$D$595,$B63,'内訳ﾘｽﾄ(4～3月)'!K$26:K$595)</f>
        <v>775164</v>
      </c>
      <c r="I63" s="160">
        <f>SUMIF('内訳ﾘｽﾄ(4～3月)'!$D$26:$D$595,$B63,'内訳ﾘｽﾄ(4～3月)'!L$26:L$595)</f>
        <v>646360</v>
      </c>
      <c r="J63" s="160">
        <f>SUMIF('内訳ﾘｽﾄ(4～3月)'!$D$26:$D$595,$B63,'内訳ﾘｽﾄ(4～3月)'!M$26:M$595)</f>
        <v>664785</v>
      </c>
      <c r="K63" s="160">
        <f>SUMIF('内訳ﾘｽﾄ(4～3月)'!$D$26:$D$595,$B63,'内訳ﾘｽﾄ(4～3月)'!N$26:N$595)</f>
        <v>642063</v>
      </c>
      <c r="L63" s="160">
        <f>SUMIF('内訳ﾘｽﾄ(4～3月)'!$D$26:$D$595,$B63,'内訳ﾘｽﾄ(4～3月)'!O$26:O$595)</f>
        <v>502068</v>
      </c>
      <c r="M63" s="160">
        <f>SUMIF('内訳ﾘｽﾄ(4～3月)'!$D$26:$D$595,$B63,'内訳ﾘｽﾄ(4～3月)'!P$26:P$595)</f>
        <v>525403</v>
      </c>
      <c r="N63" s="160">
        <f>SUMIF('内訳ﾘｽﾄ(4～3月)'!$D$26:$D$595,$B63,'内訳ﾘｽﾄ(4～3月)'!Q$26:Q$595)</f>
        <v>516391</v>
      </c>
      <c r="O63" s="160">
        <f>SUMIF('内訳ﾘｽﾄ(4～3月)'!$D$26:$D$394,'採算表(VND)'!$B63,'内訳ﾘｽﾄ(4～3月)'!R$26:R$394)</f>
        <v>9946711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142</v>
      </c>
      <c r="C64" s="160">
        <f>SUMIF('内訳ﾘｽﾄ(4～3月)'!$D$26:$D$595,$B64,'内訳ﾘｽﾄ(4～3月)'!F$26:F$595)</f>
        <v>28869303</v>
      </c>
      <c r="D64" s="160">
        <f>SUMIF('内訳ﾘｽﾄ(4～3月)'!$D$26:$D$595,$B64,'内訳ﾘｽﾄ(4～3月)'!G$26:G$595)</f>
        <v>36883360</v>
      </c>
      <c r="E64" s="160">
        <f>SUMIF('内訳ﾘｽﾄ(4～3月)'!$D$26:$D$595,$B64,'内訳ﾘｽﾄ(4～3月)'!H$26:H$595)</f>
        <v>27306721</v>
      </c>
      <c r="F64" s="160">
        <f>SUMIF('内訳ﾘｽﾄ(4～3月)'!$D$26:$D$595,$B64,'内訳ﾘｽﾄ(4～3月)'!I$26:I$595)</f>
        <v>59003732</v>
      </c>
      <c r="G64" s="160">
        <f>SUMIF('内訳ﾘｽﾄ(4～3月)'!$D$26:$D$595,$B64,'内訳ﾘｽﾄ(4～3月)'!J$26:J$595)</f>
        <v>32875220</v>
      </c>
      <c r="H64" s="160">
        <f>SUMIF('内訳ﾘｽﾄ(4～3月)'!$D$26:$D$595,$B64,'内訳ﾘｽﾄ(4～3月)'!K$26:K$595)</f>
        <v>32133504</v>
      </c>
      <c r="I64" s="160">
        <f>SUMIF('内訳ﾘｽﾄ(4～3月)'!$D$26:$D$595,$B64,'内訳ﾘｽﾄ(4～3月)'!L$26:L$595)</f>
        <v>27208202</v>
      </c>
      <c r="J64" s="160">
        <f>SUMIF('内訳ﾘｽﾄ(4～3月)'!$D$26:$D$595,$B64,'内訳ﾘｽﾄ(4～3月)'!M$26:M$595)</f>
        <v>22922178</v>
      </c>
      <c r="K64" s="160">
        <f>SUMIF('内訳ﾘｽﾄ(4～3月)'!$D$26:$D$595,$B64,'内訳ﾘｽﾄ(4～3月)'!N$26:N$595)</f>
        <v>22670432</v>
      </c>
      <c r="L64" s="160">
        <f>SUMIF('内訳ﾘｽﾄ(4～3月)'!$D$26:$D$595,$B64,'内訳ﾘｽﾄ(4～3月)'!O$26:O$595)</f>
        <v>25237009</v>
      </c>
      <c r="M64" s="160">
        <f>SUMIF('内訳ﾘｽﾄ(4～3月)'!$D$26:$D$595,$B64,'内訳ﾘｽﾄ(4～3月)'!P$26:P$595)</f>
        <v>17427497</v>
      </c>
      <c r="N64" s="160">
        <f>SUMIF('内訳ﾘｽﾄ(4～3月)'!$D$26:$D$595,$B64,'内訳ﾘｽﾄ(4～3月)'!Q$26:Q$595)</f>
        <v>17985042</v>
      </c>
      <c r="O64" s="160">
        <f>SUMIF('内訳ﾘｽﾄ(4～3月)'!$D$26:$D$394,'採算表(VND)'!$B64,'内訳ﾘｽﾄ(4～3月)'!R$26:R$394)</f>
        <v>350522200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110</v>
      </c>
      <c r="C65" s="158">
        <f>SUMIF('内訳ﾘｽﾄ(4～3月)'!$D$26:$D$595,$B65,'内訳ﾘｽﾄ(4～3月)'!F$26:F$595)</f>
        <v>0</v>
      </c>
      <c r="D65" s="158">
        <f>SUMIF('内訳ﾘｽﾄ(4～3月)'!$D$26:$D$595,$B65,'内訳ﾘｽﾄ(4～3月)'!G$26:G$595)</f>
        <v>0</v>
      </c>
      <c r="E65" s="158">
        <f>SUMIF('内訳ﾘｽﾄ(4～3月)'!$D$26:$D$595,$B65,'内訳ﾘｽﾄ(4～3月)'!H$26:H$595)</f>
        <v>0</v>
      </c>
      <c r="F65" s="158">
        <f>SUMIF('内訳ﾘｽﾄ(4～3月)'!$D$26:$D$595,$B65,'内訳ﾘｽﾄ(4～3月)'!I$26:I$595)</f>
        <v>0</v>
      </c>
      <c r="G65" s="158">
        <f>SUMIF('内訳ﾘｽﾄ(4～3月)'!$D$26:$D$595,$B65,'内訳ﾘｽﾄ(4～3月)'!J$26:J$595)</f>
        <v>0</v>
      </c>
      <c r="H65" s="158">
        <f>SUMIF('内訳ﾘｽﾄ(4～3月)'!$D$26:$D$595,$B65,'内訳ﾘｽﾄ(4～3月)'!K$26:K$595)</f>
        <v>0</v>
      </c>
      <c r="I65" s="158">
        <f>SUMIF('内訳ﾘｽﾄ(4～3月)'!$D$26:$D$595,$B65,'内訳ﾘｽﾄ(4～3月)'!L$26:L$595)</f>
        <v>0</v>
      </c>
      <c r="J65" s="158">
        <f>SUMIF('内訳ﾘｽﾄ(4～3月)'!$D$26:$D$595,$B65,'内訳ﾘｽﾄ(4～3月)'!M$26:M$595)</f>
        <v>0</v>
      </c>
      <c r="K65" s="158">
        <f>SUMIF('内訳ﾘｽﾄ(4～3月)'!$D$26:$D$595,$B65,'内訳ﾘｽﾄ(4～3月)'!N$26:N$595)</f>
        <v>0</v>
      </c>
      <c r="L65" s="158">
        <f>SUMIF('内訳ﾘｽﾄ(4～3月)'!$D$26:$D$595,$B65,'内訳ﾘｽﾄ(4～3月)'!O$26:O$595)</f>
        <v>0</v>
      </c>
      <c r="M65" s="158">
        <f>SUMIF('内訳ﾘｽﾄ(4～3月)'!$D$26:$D$595,$B65,'内訳ﾘｽﾄ(4～3月)'!P$26:P$595)</f>
        <v>0</v>
      </c>
      <c r="N65" s="158">
        <f>SUMIF('内訳ﾘｽﾄ(4～3月)'!$D$26:$D$595,$B65,'内訳ﾘｽﾄ(4～3月)'!Q$26:Q$595)</f>
        <v>0</v>
      </c>
      <c r="O65" s="158">
        <f>SUMIF('内訳ﾘｽﾄ(4～3月)'!$D$26:$D$394,'採算表(VND)'!$B65,'内訳ﾘｽﾄ(4～3月)'!R$26:R$394)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355884362</v>
      </c>
      <c r="D66" s="156">
        <f t="shared" ref="D66:N66" si="4">D12-D13</f>
        <v>651235751</v>
      </c>
      <c r="E66" s="156">
        <f t="shared" si="4"/>
        <v>610295462</v>
      </c>
      <c r="F66" s="156">
        <f t="shared" si="4"/>
        <v>596253240</v>
      </c>
      <c r="G66" s="156">
        <f t="shared" si="4"/>
        <v>687207507</v>
      </c>
      <c r="H66" s="156">
        <f t="shared" si="4"/>
        <v>374331178</v>
      </c>
      <c r="I66" s="156">
        <f t="shared" si="4"/>
        <v>982596443</v>
      </c>
      <c r="J66" s="156">
        <f t="shared" si="4"/>
        <v>723943797</v>
      </c>
      <c r="K66" s="156">
        <f t="shared" si="4"/>
        <v>687122787</v>
      </c>
      <c r="L66" s="156">
        <f t="shared" si="4"/>
        <v>693799877</v>
      </c>
      <c r="M66" s="156">
        <f t="shared" si="4"/>
        <v>699419374</v>
      </c>
      <c r="N66" s="156">
        <f t="shared" si="4"/>
        <v>690651260</v>
      </c>
      <c r="O66" s="156">
        <f>IF(ISBLANK(O4),"",O12-O13)</f>
        <v>7752741038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2247</v>
      </c>
      <c r="D67" s="161">
        <f t="shared" ref="D67:N67" si="5">D73+D79</f>
        <v>2097.5</v>
      </c>
      <c r="E67" s="161">
        <f t="shared" si="5"/>
        <v>2315.25</v>
      </c>
      <c r="F67" s="161">
        <f t="shared" si="5"/>
        <v>2579.5</v>
      </c>
      <c r="G67" s="161">
        <f t="shared" si="5"/>
        <v>2257.5</v>
      </c>
      <c r="H67" s="161">
        <f t="shared" si="5"/>
        <v>2146.25</v>
      </c>
      <c r="I67" s="161">
        <f t="shared" si="5"/>
        <v>2545.25</v>
      </c>
      <c r="J67" s="161">
        <f t="shared" si="5"/>
        <v>2228.75</v>
      </c>
      <c r="K67" s="161">
        <f t="shared" si="5"/>
        <v>2447.5</v>
      </c>
      <c r="L67" s="161">
        <f t="shared" si="5"/>
        <v>2230.25</v>
      </c>
      <c r="M67" s="161">
        <f t="shared" si="5"/>
        <v>1679.5</v>
      </c>
      <c r="N67" s="161">
        <f t="shared" si="5"/>
        <v>2230.25</v>
      </c>
      <c r="O67" s="161">
        <f>IF(ISBLANK(O4),"",O73+O79)</f>
        <v>27004.5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86</v>
      </c>
      <c r="C68" s="162">
        <f>SUMIF('内訳ﾘｽﾄ(4～3月)'!$D$8:$D$15,'採算表(VND)'!$B68,'内訳ﾘｽﾄ(4～3月)'!F$8:F$15)</f>
        <v>1997.5</v>
      </c>
      <c r="D68" s="162">
        <f>SUMIF('内訳ﾘｽﾄ(4～3月)'!$D$8:$D$15,'採算表(VND)'!$B68,'内訳ﾘｽﾄ(4～3月)'!G$8:G$15)</f>
        <v>1853</v>
      </c>
      <c r="E68" s="162">
        <f>SUMIF('内訳ﾘｽﾄ(4～3月)'!$D$8:$D$15,'採算表(VND)'!$B68,'内訳ﾘｽﾄ(4～3月)'!H$8:H$15)</f>
        <v>2057</v>
      </c>
      <c r="F68" s="162">
        <f>SUMIF('内訳ﾘｽﾄ(4～3月)'!$D$8:$D$15,'採算表(VND)'!$B68,'内訳ﾘｽﾄ(4～3月)'!I$8:I$15)</f>
        <v>2261</v>
      </c>
      <c r="G68" s="162">
        <f>SUMIF('内訳ﾘｽﾄ(4～3月)'!$D$8:$D$15,'採算表(VND)'!$B68,'内訳ﾘｽﾄ(4～3月)'!J$8:J$15)</f>
        <v>1955</v>
      </c>
      <c r="H68" s="162">
        <f>SUMIF('内訳ﾘｽﾄ(4～3月)'!$D$8:$D$15,'採算表(VND)'!$B68,'内訳ﾘｽﾄ(4～3月)'!K$8:K$15)</f>
        <v>1853</v>
      </c>
      <c r="I68" s="162">
        <f>SUMIF('内訳ﾘｽﾄ(4～3月)'!$D$8:$D$15,'採算表(VND)'!$B68,'内訳ﾘｽﾄ(4～3月)'!L$8:L$15)</f>
        <v>2261</v>
      </c>
      <c r="J68" s="162">
        <f>SUMIF('内訳ﾘｽﾄ(4～3月)'!$D$8:$D$15,'採算表(VND)'!$B68,'内訳ﾘｽﾄ(4～3月)'!M$8:M$15)</f>
        <v>1963.5</v>
      </c>
      <c r="K68" s="162">
        <f>SUMIF('内訳ﾘｽﾄ(4～3月)'!$D$8:$D$15,'採算表(VND)'!$B68,'内訳ﾘｽﾄ(4～3月)'!N$8:N$15)</f>
        <v>2167.5</v>
      </c>
      <c r="L68" s="162">
        <f>SUMIF('内訳ﾘｽﾄ(4～3月)'!$D$8:$D$15,'採算表(VND)'!$B68,'内訳ﾘｽﾄ(4～3月)'!O$8:O$15)</f>
        <v>1963.5</v>
      </c>
      <c r="M68" s="162">
        <f>SUMIF('内訳ﾘｽﾄ(4～3月)'!$D$8:$D$15,'採算表(VND)'!$B68,'内訳ﾘｽﾄ(4～3月)'!P$8:P$15)</f>
        <v>1453.5</v>
      </c>
      <c r="N68" s="162">
        <f>SUMIF('内訳ﾘｽﾄ(4～3月)'!$D$8:$D$15,'採算表(VND)'!$B68,'内訳ﾘｽﾄ(4～3月)'!Q$8:Q$15)</f>
        <v>1963.5</v>
      </c>
      <c r="O68" s="162">
        <f>SUMIF('内訳ﾘｽﾄ(4～3月)'!$D$8:$D$15,'採算表(VND)'!$B68,'内訳ﾘｽﾄ(4～3月)'!$R$8:$R$15)</f>
        <v>23749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87</v>
      </c>
      <c r="C69" s="163">
        <f>IF('内訳ﾘｽﾄ(4～3月)'!$D$5="製造",SUMIF('内訳ﾘｽﾄ(4～3月)'!$D$8:$D$15,$B69,'内訳ﾘｽﾄ(4～3月)'!F$8:F$15),IF('内訳ﾘｽﾄ(4～3月)'!$D$5="部内間接",-C$68,0))</f>
        <v>0</v>
      </c>
      <c r="D69" s="163">
        <f>IF('内訳ﾘｽﾄ(4～3月)'!$D$5="製造",SUMIF('内訳ﾘｽﾄ(4～3月)'!$D$8:$D$15,$B69,'内訳ﾘｽﾄ(4～3月)'!G$8:G$15),IF('内訳ﾘｽﾄ(4～3月)'!$D$5="部内間接",-D$68,0))</f>
        <v>0</v>
      </c>
      <c r="E69" s="163">
        <f>IF('内訳ﾘｽﾄ(4～3月)'!$D$5="製造",SUMIF('内訳ﾘｽﾄ(4～3月)'!$D$8:$D$15,$B69,'内訳ﾘｽﾄ(4～3月)'!H$8:H$15),IF('内訳ﾘｽﾄ(4～3月)'!$D$5="部内間接",-E$68,0))</f>
        <v>0</v>
      </c>
      <c r="F69" s="163">
        <f>IF('内訳ﾘｽﾄ(4～3月)'!$D$5="製造",SUMIF('内訳ﾘｽﾄ(4～3月)'!$D$8:$D$15,$B69,'内訳ﾘｽﾄ(4～3月)'!I$8:I$15),IF('内訳ﾘｽﾄ(4～3月)'!$D$5="部内間接",-F$68,0))</f>
        <v>0</v>
      </c>
      <c r="G69" s="163">
        <f>IF('内訳ﾘｽﾄ(4～3月)'!$D$5="製造",SUMIF('内訳ﾘｽﾄ(4～3月)'!$D$8:$D$15,$B69,'内訳ﾘｽﾄ(4～3月)'!J$8:J$15),IF('内訳ﾘｽﾄ(4～3月)'!$D$5="部内間接",-G$68,0))</f>
        <v>0</v>
      </c>
      <c r="H69" s="163">
        <f>IF('内訳ﾘｽﾄ(4～3月)'!$D$5="製造",SUMIF('内訳ﾘｽﾄ(4～3月)'!$D$8:$D$15,$B69,'内訳ﾘｽﾄ(4～3月)'!K$8:K$15),IF('内訳ﾘｽﾄ(4～3月)'!$D$5="部内間接",-H$68,0))</f>
        <v>0</v>
      </c>
      <c r="I69" s="163">
        <f>IF('内訳ﾘｽﾄ(4～3月)'!$D$5="製造",SUMIF('内訳ﾘｽﾄ(4～3月)'!$D$8:$D$15,$B69,'内訳ﾘｽﾄ(4～3月)'!L$8:L$15),IF('内訳ﾘｽﾄ(4～3月)'!$D$5="部内間接",-I$68,0))</f>
        <v>0</v>
      </c>
      <c r="J69" s="163">
        <f>IF('内訳ﾘｽﾄ(4～3月)'!$D$5="製造",SUMIF('内訳ﾘｽﾄ(4～3月)'!$D$8:$D$15,$B69,'内訳ﾘｽﾄ(4～3月)'!M$8:M$15),IF('内訳ﾘｽﾄ(4～3月)'!$D$5="部内間接",-J$68,0))</f>
        <v>0</v>
      </c>
      <c r="K69" s="163">
        <f>IF('内訳ﾘｽﾄ(4～3月)'!$D$5="製造",SUMIF('内訳ﾘｽﾄ(4～3月)'!$D$8:$D$15,$B69,'内訳ﾘｽﾄ(4～3月)'!N$8:N$15),IF('内訳ﾘｽﾄ(4～3月)'!$D$5="部内間接",-K$68,0))</f>
        <v>0</v>
      </c>
      <c r="L69" s="163">
        <f>IF('内訳ﾘｽﾄ(4～3月)'!$D$5="製造",SUMIF('内訳ﾘｽﾄ(4～3月)'!$D$8:$D$15,$B69,'内訳ﾘｽﾄ(4～3月)'!O$8:O$15),IF('内訳ﾘｽﾄ(4～3月)'!$D$5="部内間接",-L$68,0))</f>
        <v>0</v>
      </c>
      <c r="M69" s="163">
        <f>IF('内訳ﾘｽﾄ(4～3月)'!$D$5="製造",SUMIF('内訳ﾘｽﾄ(4～3月)'!$D$8:$D$15,$B69,'内訳ﾘｽﾄ(4～3月)'!P$8:P$15),IF('内訳ﾘｽﾄ(4～3月)'!$D$5="部内間接",-M$68,0))</f>
        <v>0</v>
      </c>
      <c r="N69" s="163">
        <f>IF('内訳ﾘｽﾄ(4～3月)'!$D$5="製造",SUMIF('内訳ﾘｽﾄ(4～3月)'!$D$8:$D$15,$B69,'内訳ﾘｽﾄ(4～3月)'!Q$8:Q$15),IF('内訳ﾘｽﾄ(4～3月)'!$D$5="部内間接",-N$68,0))</f>
        <v>0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125</v>
      </c>
      <c r="C70" s="164">
        <f>IF('内訳ﾘｽﾄ(4～3月)'!$D$5="製造",SUMIF('内訳ﾘｽﾄ(4～3月)'!$D$8:$D$15,$B70,'内訳ﾘｽﾄ(4～3月)'!F$8:F$15),IF('内訳ﾘｽﾄ(4～3月)'!$D$5="部外間接1",-C$68,0))</f>
        <v>6.75</v>
      </c>
      <c r="D70" s="164">
        <f>IF('内訳ﾘｽﾄ(4～3月)'!$D$5="製造",SUMIF('内訳ﾘｽﾄ(4～3月)'!$D$8:$D$15,$B70,'内訳ﾘｽﾄ(4～3月)'!G$8:G$15),IF('内訳ﾘｽﾄ(4～3月)'!$D$5="部外間接1",-D$68,0))</f>
        <v>7</v>
      </c>
      <c r="E70" s="164">
        <f>IF('内訳ﾘｽﾄ(4～3月)'!$D$5="製造",SUMIF('内訳ﾘｽﾄ(4～3月)'!$D$8:$D$15,$B70,'内訳ﾘｽﾄ(4～3月)'!H$8:H$15),IF('内訳ﾘｽﾄ(4～3月)'!$D$5="部外間接1",-E$68,0))</f>
        <v>7.75</v>
      </c>
      <c r="F70" s="164">
        <f>IF('内訳ﾘｽﾄ(4～3月)'!$D$5="製造",SUMIF('内訳ﾘｽﾄ(4～3月)'!$D$8:$D$15,$B70,'内訳ﾘｽﾄ(4～3月)'!I$8:I$15),IF('内訳ﾘｽﾄ(4～3月)'!$D$5="部外間接1",-F$68,0))</f>
        <v>12</v>
      </c>
      <c r="G70" s="164">
        <f>IF('内訳ﾘｽﾄ(4～3月)'!$D$5="製造",SUMIF('内訳ﾘｽﾄ(4～3月)'!$D$8:$D$15,$B70,'内訳ﾘｽﾄ(4～3月)'!J$8:J$15),IF('内訳ﾘｽﾄ(4～3月)'!$D$5="部外間接1",-G$68,0))</f>
        <v>10.75</v>
      </c>
      <c r="H70" s="164">
        <f>IF('内訳ﾘｽﾄ(4～3月)'!$D$5="製造",SUMIF('内訳ﾘｽﾄ(4～3月)'!$D$8:$D$15,$B70,'内訳ﾘｽﾄ(4～3月)'!K$8:K$15),IF('内訳ﾘｽﾄ(4～3月)'!$D$5="部外間接1",-H$68,0))</f>
        <v>10</v>
      </c>
      <c r="I70" s="164">
        <f>IF('内訳ﾘｽﾄ(4～3月)'!$D$5="製造",SUMIF('内訳ﾘｽﾄ(4～3月)'!$D$8:$D$15,$B70,'内訳ﾘｽﾄ(4～3月)'!L$8:L$15),IF('内訳ﾘｽﾄ(4～3月)'!$D$5="部外間接1",-I$68,0))</f>
        <v>8.25</v>
      </c>
      <c r="J70" s="164">
        <f>IF('内訳ﾘｽﾄ(4～3月)'!$D$5="製造",SUMIF('内訳ﾘｽﾄ(4～3月)'!$D$8:$D$15,$B70,'内訳ﾘｽﾄ(4～3月)'!M$8:M$15),IF('内訳ﾘｽﾄ(4～3月)'!$D$5="部外間接1",-J$68,0))</f>
        <v>7.25</v>
      </c>
      <c r="K70" s="164">
        <f>IF('内訳ﾘｽﾄ(4～3月)'!$D$5="製造",SUMIF('内訳ﾘｽﾄ(4～3月)'!$D$8:$D$15,$B70,'内訳ﾘｽﾄ(4～3月)'!N$8:N$15),IF('内訳ﾘｽﾄ(4～3月)'!$D$5="部外間接1",-K$68,0))</f>
        <v>8</v>
      </c>
      <c r="L70" s="164">
        <f>IF('内訳ﾘｽﾄ(4～3月)'!$D$5="製造",SUMIF('内訳ﾘｽﾄ(4～3月)'!$D$8:$D$15,$B70,'内訳ﾘｽﾄ(4～3月)'!O$8:O$15),IF('内訳ﾘｽﾄ(4～3月)'!$D$5="部外間接1",-L$68,0))</f>
        <v>7.5</v>
      </c>
      <c r="M70" s="164">
        <f>IF('内訳ﾘｽﾄ(4～3月)'!$D$5="製造",SUMIF('内訳ﾘｽﾄ(4～3月)'!$D$8:$D$15,$B70,'内訳ﾘｽﾄ(4～3月)'!P$8:P$15),IF('内訳ﾘｽﾄ(4～3月)'!$D$5="部外間接1",-M$68,0))</f>
        <v>5.5</v>
      </c>
      <c r="N70" s="164">
        <f>IF('内訳ﾘｽﾄ(4～3月)'!$D$5="製造",SUMIF('内訳ﾘｽﾄ(4～3月)'!$D$8:$D$15,$B70,'内訳ﾘｽﾄ(4～3月)'!Q$8:Q$15),IF('内訳ﾘｽﾄ(4～3月)'!$D$5="部外間接1",-N$68,0))</f>
        <v>7.5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98.25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126</v>
      </c>
      <c r="C71" s="164">
        <f>IF('内訳ﾘｽﾄ(4～3月)'!$D$5="製造",SUMIF('内訳ﾘｽﾄ(4～3月)'!$D$8:$D$15,$B71,'内訳ﾘｽﾄ(4～3月)'!F$8:F$15),IF('内訳ﾘｽﾄ(4～3月)'!$D$5="部外間接2",-C$68,0))</f>
        <v>12.75</v>
      </c>
      <c r="D71" s="164">
        <f>IF('内訳ﾘｽﾄ(4～3月)'!$D$5="製造",SUMIF('内訳ﾘｽﾄ(4～3月)'!$D$8:$D$15,$B71,'内訳ﾘｽﾄ(4～3月)'!G$8:G$15),IF('内訳ﾘｽﾄ(4～3月)'!$D$5="部外間接2",-D$68,0))</f>
        <v>12.25</v>
      </c>
      <c r="E71" s="164">
        <f>IF('内訳ﾘｽﾄ(4～3月)'!$D$5="製造",SUMIF('内訳ﾘｽﾄ(4～3月)'!$D$8:$D$15,$B71,'内訳ﾘｽﾄ(4～3月)'!H$8:H$15),IF('内訳ﾘｽﾄ(4～3月)'!$D$5="部外間接2",-E$68,0))</f>
        <v>14</v>
      </c>
      <c r="F71" s="164">
        <f>IF('内訳ﾘｽﾄ(4～3月)'!$D$5="製造",SUMIF('内訳ﾘｽﾄ(4～3月)'!$D$8:$D$15,$B71,'内訳ﾘｽﾄ(4～3月)'!I$8:I$15),IF('内訳ﾘｽﾄ(4～3月)'!$D$5="部外間接2",-F$68,0))</f>
        <v>23.25</v>
      </c>
      <c r="G71" s="164">
        <f>IF('内訳ﾘｽﾄ(4～3月)'!$D$5="製造",SUMIF('内訳ﾘｽﾄ(4～3月)'!$D$8:$D$15,$B71,'内訳ﾘｽﾄ(4～3月)'!J$8:J$15),IF('内訳ﾘｽﾄ(4～3月)'!$D$5="部外間接2",-G$68,0))</f>
        <v>20.25</v>
      </c>
      <c r="H71" s="164">
        <f>IF('内訳ﾘｽﾄ(4～3月)'!$D$5="製造",SUMIF('内訳ﾘｽﾄ(4～3月)'!$D$8:$D$15,$B71,'内訳ﾘｽﾄ(4～3月)'!K$8:K$15),IF('内訳ﾘｽﾄ(4～3月)'!$D$5="部外間接2",-H$68,0))</f>
        <v>19.75</v>
      </c>
      <c r="I71" s="164">
        <f>IF('内訳ﾘｽﾄ(4～3月)'!$D$5="製造",SUMIF('内訳ﾘｽﾄ(4～3月)'!$D$8:$D$15,$B71,'内訳ﾘｽﾄ(4～3月)'!L$8:L$15),IF('内訳ﾘｽﾄ(4～3月)'!$D$5="部外間接2",-I$68,0))</f>
        <v>16.25</v>
      </c>
      <c r="J71" s="164">
        <f>IF('内訳ﾘｽﾄ(4～3月)'!$D$5="製造",SUMIF('内訳ﾘｽﾄ(4～3月)'!$D$8:$D$15,$B71,'内訳ﾘｽﾄ(4～3月)'!M$8:M$15),IF('内訳ﾘｽﾄ(4～3月)'!$D$5="部外間接2",-J$68,0))</f>
        <v>14</v>
      </c>
      <c r="K71" s="164">
        <f>IF('内訳ﾘｽﾄ(4～3月)'!$D$5="製造",SUMIF('内訳ﾘｽﾄ(4～3月)'!$D$8:$D$15,$B71,'内訳ﾘｽﾄ(4～3月)'!N$8:N$15),IF('内訳ﾘｽﾄ(4～3月)'!$D$5="部外間接2",-K$68,0))</f>
        <v>15.5</v>
      </c>
      <c r="L71" s="164">
        <f>IF('内訳ﾘｽﾄ(4～3月)'!$D$5="製造",SUMIF('内訳ﾘｽﾄ(4～3月)'!$D$8:$D$15,$B71,'内訳ﾘｽﾄ(4～3月)'!O$8:O$15),IF('内訳ﾘｽﾄ(4～3月)'!$D$5="部外間接2",-L$68,0))</f>
        <v>14.25</v>
      </c>
      <c r="M71" s="164">
        <f>IF('内訳ﾘｽﾄ(4～3月)'!$D$5="製造",SUMIF('内訳ﾘｽﾄ(4～3月)'!$D$8:$D$15,$B71,'内訳ﾘｽﾄ(4～3月)'!P$8:P$15),IF('内訳ﾘｽﾄ(4～3月)'!$D$5="部外間接2",-M$68,0))</f>
        <v>10.75</v>
      </c>
      <c r="N71" s="164">
        <f>IF('内訳ﾘｽﾄ(4～3月)'!$D$5="製造",SUMIF('内訳ﾘｽﾄ(4～3月)'!$D$8:$D$15,$B71,'内訳ﾘｽﾄ(4～3月)'!Q$8:Q$15),IF('内訳ﾘｽﾄ(4～3月)'!$D$5="部外間接2",-N$68,0))</f>
        <v>14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187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88</v>
      </c>
      <c r="C72" s="165">
        <f>IF('内訳ﾘｽﾄ(4～3月)'!$D$5="製造",SUMIF('内訳ﾘｽﾄ(4～3月)'!$D$8:$D$15,$B72,'内訳ﾘｽﾄ(4～3月)'!F$8:F$15),IF('内訳ﾘｽﾄ(4～3月)'!$D$5="工場間接",-C$68,0))</f>
        <v>57</v>
      </c>
      <c r="D72" s="165">
        <f>IF('内訳ﾘｽﾄ(4～3月)'!$D$5="製造",SUMIF('内訳ﾘｽﾄ(4～3月)'!$D$8:$D$15,$B72,'内訳ﾘｽﾄ(4～3月)'!G$8:G$15),IF('内訳ﾘｽﾄ(4～3月)'!$D$5="工場間接",-D$68,0))</f>
        <v>56.5</v>
      </c>
      <c r="E72" s="165">
        <f>IF('内訳ﾘｽﾄ(4～3月)'!$D$5="製造",SUMIF('内訳ﾘｽﾄ(4～3月)'!$D$8:$D$15,$B72,'内訳ﾘｽﾄ(4～3月)'!H$8:H$15),IF('内訳ﾘｽﾄ(4～3月)'!$D$5="工場間接",-E$68,0))</f>
        <v>60</v>
      </c>
      <c r="F72" s="165">
        <f>IF('内訳ﾘｽﾄ(4～3月)'!$D$5="製造",SUMIF('内訳ﾘｽﾄ(4～3月)'!$D$8:$D$15,$B72,'内訳ﾘｽﾄ(4～3月)'!I$8:I$15),IF('内訳ﾘｽﾄ(4～3月)'!$D$5="工場間接",-F$68,0))</f>
        <v>96</v>
      </c>
      <c r="G72" s="165">
        <f>IF('内訳ﾘｽﾄ(4～3月)'!$D$5="製造",SUMIF('内訳ﾘｽﾄ(4～3月)'!$D$8:$D$15,$B72,'内訳ﾘｽﾄ(4～3月)'!J$8:J$15),IF('内訳ﾘｽﾄ(4～3月)'!$D$5="工場間接",-G$68,0))</f>
        <v>88.25</v>
      </c>
      <c r="H72" s="165">
        <f>IF('内訳ﾘｽﾄ(4～3月)'!$D$5="製造",SUMIF('内訳ﾘｽﾄ(4～3月)'!$D$8:$D$15,$B72,'内訳ﾘｽﾄ(4～3月)'!K$8:K$15),IF('内訳ﾘｽﾄ(4～3月)'!$D$5="工場間接",-H$68,0))</f>
        <v>82.5</v>
      </c>
      <c r="I72" s="165">
        <f>IF('内訳ﾘｽﾄ(4～3月)'!$D$5="製造",SUMIF('内訳ﾘｽﾄ(4～3月)'!$D$8:$D$15,$B72,'内訳ﾘｽﾄ(4～3月)'!L$8:L$15),IF('内訳ﾘｽﾄ(4～3月)'!$D$5="工場間接",-I$68,0))</f>
        <v>65</v>
      </c>
      <c r="J72" s="165">
        <f>IF('内訳ﾘｽﾄ(4～3月)'!$D$5="製造",SUMIF('内訳ﾘｽﾄ(4～3月)'!$D$8:$D$15,$B72,'内訳ﾘｽﾄ(4～3月)'!M$8:M$15),IF('内訳ﾘｽﾄ(4～3月)'!$D$5="工場間接",-J$68,0))</f>
        <v>59.25</v>
      </c>
      <c r="K72" s="165">
        <f>IF('内訳ﾘｽﾄ(4～3月)'!$D$5="製造",SUMIF('内訳ﾘｽﾄ(4～3月)'!$D$8:$D$15,$B72,'内訳ﾘｽﾄ(4～3月)'!N$8:N$15),IF('内訳ﾘｽﾄ(4～3月)'!$D$5="工場間接",-K$68,0))</f>
        <v>63.75</v>
      </c>
      <c r="L72" s="165">
        <f>IF('内訳ﾘｽﾄ(4～3月)'!$D$5="製造",SUMIF('内訳ﾘｽﾄ(4～3月)'!$D$8:$D$15,$B72,'内訳ﾘｽﾄ(4～3月)'!O$8:O$15),IF('内訳ﾘｽﾄ(4～3月)'!$D$5="工場間接",-L$68,0))</f>
        <v>60.25</v>
      </c>
      <c r="M72" s="165">
        <f>IF('内訳ﾘｽﾄ(4～3月)'!$D$5="製造",SUMIF('内訳ﾘｽﾄ(4～3月)'!$D$8:$D$15,$B72,'内訳ﾘｽﾄ(4～3月)'!P$8:P$15),IF('内訳ﾘｽﾄ(4～3月)'!$D$5="工場間接",-M$68,0))</f>
        <v>45.25</v>
      </c>
      <c r="N72" s="165">
        <f>IF('内訳ﾘｽﾄ(4～3月)'!$D$5="製造",SUMIF('内訳ﾘｽﾄ(4～3月)'!$D$8:$D$15,$B72,'内訳ﾘｽﾄ(4～3月)'!Q$8:Q$15),IF('内訳ﾘｽﾄ(4～3月)'!$D$5="工場間接",-N$68,0))</f>
        <v>60.5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794.25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89</v>
      </c>
      <c r="C73" s="166">
        <f>SUM(C68:C72)</f>
        <v>2074</v>
      </c>
      <c r="D73" s="166">
        <f t="shared" ref="D73:N73" si="6">SUM(D68:D72)</f>
        <v>1928.75</v>
      </c>
      <c r="E73" s="166">
        <f t="shared" si="6"/>
        <v>2138.75</v>
      </c>
      <c r="F73" s="166">
        <f t="shared" si="6"/>
        <v>2392.25</v>
      </c>
      <c r="G73" s="166">
        <f t="shared" si="6"/>
        <v>2074.25</v>
      </c>
      <c r="H73" s="166">
        <f t="shared" si="6"/>
        <v>1965.25</v>
      </c>
      <c r="I73" s="166">
        <f t="shared" si="6"/>
        <v>2350.5</v>
      </c>
      <c r="J73" s="166">
        <f t="shared" si="6"/>
        <v>2044</v>
      </c>
      <c r="K73" s="166">
        <f t="shared" si="6"/>
        <v>2254.75</v>
      </c>
      <c r="L73" s="166">
        <f t="shared" si="6"/>
        <v>2045.5</v>
      </c>
      <c r="M73" s="166">
        <f t="shared" si="6"/>
        <v>1515</v>
      </c>
      <c r="N73" s="166">
        <f t="shared" si="6"/>
        <v>2045.5</v>
      </c>
      <c r="O73" s="166">
        <f>IF(ISBLANK(O4),"",SUM(O68:O72))</f>
        <v>24828.5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85</v>
      </c>
      <c r="C74" s="162">
        <f>SUMIF('内訳ﾘｽﾄ(4～3月)'!$D$16:$D$23,'採算表(VND)'!$B74,'内訳ﾘｽﾄ(4～3月)'!F$16:F$23)</f>
        <v>168</v>
      </c>
      <c r="D74" s="162">
        <f>SUMIF('内訳ﾘｽﾄ(4～3月)'!$D$16:$D$23,'採算表(VND)'!$B74,'内訳ﾘｽﾄ(4～3月)'!G$16:G$23)</f>
        <v>164</v>
      </c>
      <c r="E74" s="162">
        <f>SUMIF('内訳ﾘｽﾄ(4～3月)'!$D$16:$D$23,'採算表(VND)'!$B74,'内訳ﾘｽﾄ(4～3月)'!H$16:H$23)</f>
        <v>172</v>
      </c>
      <c r="F74" s="162">
        <f>SUMIF('内訳ﾘｽﾄ(4～3月)'!$D$16:$D$23,'採算表(VND)'!$B74,'内訳ﾘｽﾄ(4～3月)'!I$16:I$23)</f>
        <v>180</v>
      </c>
      <c r="G74" s="162">
        <f>SUMIF('内訳ﾘｽﾄ(4～3月)'!$D$16:$D$23,'採算表(VND)'!$B74,'内訳ﾘｽﾄ(4～3月)'!J$16:J$23)</f>
        <v>178</v>
      </c>
      <c r="H74" s="162">
        <f>SUMIF('内訳ﾘｽﾄ(4～3月)'!$D$16:$D$23,'採算表(VND)'!$B74,'内訳ﾘｽﾄ(4～3月)'!K$16:K$23)</f>
        <v>174</v>
      </c>
      <c r="I74" s="162">
        <f>SUMIF('内訳ﾘｽﾄ(4～3月)'!$D$16:$D$23,'採算表(VND)'!$B74,'内訳ﾘｽﾄ(4～3月)'!L$16:L$23)</f>
        <v>190</v>
      </c>
      <c r="J74" s="162">
        <f>SUMIF('内訳ﾘｽﾄ(4～3月)'!$D$16:$D$23,'採算表(VND)'!$B74,'内訳ﾘｽﾄ(4～3月)'!M$16:M$23)</f>
        <v>180</v>
      </c>
      <c r="K74" s="162">
        <f>SUMIF('内訳ﾘｽﾄ(4～3月)'!$D$16:$D$23,'採算表(VND)'!$B74,'内訳ﾘｽﾄ(4～3月)'!N$16:N$23)</f>
        <v>188</v>
      </c>
      <c r="L74" s="162">
        <f>SUMIF('内訳ﾘｽﾄ(4～3月)'!$D$16:$D$23,'採算表(VND)'!$B74,'内訳ﾘｽﾄ(4～3月)'!O$16:O$23)</f>
        <v>180</v>
      </c>
      <c r="M74" s="162">
        <f>SUMIF('内訳ﾘｽﾄ(4～3月)'!$D$16:$D$23,'採算表(VND)'!$B74,'内訳ﾘｽﾄ(4～3月)'!P$16:P$23)</f>
        <v>160</v>
      </c>
      <c r="N74" s="162">
        <f>SUMIF('内訳ﾘｽﾄ(4～3月)'!$D$16:$D$23,'採算表(VND)'!$B74,'内訳ﾘｽﾄ(4～3月)'!Q$16:Q$23)</f>
        <v>180</v>
      </c>
      <c r="O74" s="162">
        <f>SUMIF('内訳ﾘｽﾄ(4～3月)'!$D$16:$D$23,'採算表(VND)'!$B74,'内訳ﾘｽﾄ(4～3月)'!$R$16:$R$23)</f>
        <v>2114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87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0</v>
      </c>
      <c r="G75" s="163">
        <f>IF('内訳ﾘｽﾄ(4～3月)'!$D$5="製造",SUMIF('内訳ﾘｽﾄ(4～3月)'!$D$16:$D$23,$B75,'内訳ﾘｽﾄ(4～3月)'!J$16:J$23),IF('内訳ﾘｽﾄ(4～3月)'!$D$5="部内間接",-G$74,0))</f>
        <v>0</v>
      </c>
      <c r="H75" s="163">
        <f>IF('内訳ﾘｽﾄ(4～3月)'!$D$5="製造",SUMIF('内訳ﾘｽﾄ(4～3月)'!$D$16:$D$23,$B75,'内訳ﾘｽﾄ(4～3月)'!K$16:K$23),IF('内訳ﾘｽﾄ(4～3月)'!$D$5="部内間接",-H$74,0))</f>
        <v>0</v>
      </c>
      <c r="I75" s="163">
        <f>IF('内訳ﾘｽﾄ(4～3月)'!$D$5="製造",SUMIF('内訳ﾘｽﾄ(4～3月)'!$D$16:$D$23,$B75,'内訳ﾘｽﾄ(4～3月)'!L$16:L$23),IF('内訳ﾘｽﾄ(4～3月)'!$D$5="部内間接",-I$74,0))</f>
        <v>0</v>
      </c>
      <c r="J75" s="163">
        <f>IF('内訳ﾘｽﾄ(4～3月)'!$D$5="製造",SUMIF('内訳ﾘｽﾄ(4～3月)'!$D$16:$D$23,$B75,'内訳ﾘｽﾄ(4～3月)'!M$16:M$23),IF('内訳ﾘｽﾄ(4～3月)'!$D$5="部内間接",-J$74,0))</f>
        <v>0</v>
      </c>
      <c r="K75" s="163">
        <f>IF('内訳ﾘｽﾄ(4～3月)'!$D$5="製造",SUMIF('内訳ﾘｽﾄ(4～3月)'!$D$16:$D$23,$B75,'内訳ﾘｽﾄ(4～3月)'!N$16:N$23),IF('内訳ﾘｽﾄ(4～3月)'!$D$5="部内間接",-K$74,0))</f>
        <v>0</v>
      </c>
      <c r="L75" s="163">
        <f>IF('内訳ﾘｽﾄ(4～3月)'!$D$5="製造",SUMIF('内訳ﾘｽﾄ(4～3月)'!$D$16:$D$23,$B75,'内訳ﾘｽﾄ(4～3月)'!O$16:O$23),IF('内訳ﾘｽﾄ(4～3月)'!$D$5="部内間接",-L$74,0))</f>
        <v>0</v>
      </c>
      <c r="M75" s="163">
        <f>IF('内訳ﾘｽﾄ(4～3月)'!$D$5="製造",SUMIF('内訳ﾘｽﾄ(4～3月)'!$D$16:$D$23,$B75,'内訳ﾘｽﾄ(4～3月)'!P$16:P$23),IF('内訳ﾘｽﾄ(4～3月)'!$D$5="部内間接",-M$74,0))</f>
        <v>0</v>
      </c>
      <c r="N75" s="163">
        <f>IF('内訳ﾘｽﾄ(4～3月)'!$D$5="製造",SUMIF('内訳ﾘｽﾄ(4～3月)'!$D$16:$D$23,$B75,'内訳ﾘｽﾄ(4～3月)'!Q$16:Q$23),IF('内訳ﾘｽﾄ(4～3月)'!$D$5="部内間接",-N$74,0))</f>
        <v>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125</v>
      </c>
      <c r="C76" s="164">
        <f>IF('内訳ﾘｽﾄ(4～3月)'!$D$5="製造",SUMIF('内訳ﾘｽﾄ(4～3月)'!$D$16:$D$23,$B76,'内訳ﾘｽﾄ(4～3月)'!F$16:F$23),IF('内訳ﾘｽﾄ(4～3月)'!$D$5="部外間接1",-C$74,0))</f>
        <v>0.5</v>
      </c>
      <c r="D76" s="164">
        <f>IF('内訳ﾘｽﾄ(4～3月)'!$D$5="製造",SUMIF('内訳ﾘｽﾄ(4～3月)'!$D$16:$D$23,$B76,'内訳ﾘｽﾄ(4～3月)'!G$16:G$23),IF('内訳ﾘｽﾄ(4～3月)'!$D$5="部外間接1",-D$74,0))</f>
        <v>0.5</v>
      </c>
      <c r="E76" s="164">
        <f>IF('内訳ﾘｽﾄ(4～3月)'!$D$5="製造",SUMIF('内訳ﾘｽﾄ(4～3月)'!$D$16:$D$23,$B76,'内訳ﾘｽﾄ(4～3月)'!H$16:H$23),IF('内訳ﾘｽﾄ(4～3月)'!$D$5="部外間接1",-E$74,0))</f>
        <v>0.5</v>
      </c>
      <c r="F76" s="164">
        <f>IF('内訳ﾘｽﾄ(4～3月)'!$D$5="製造",SUMIF('内訳ﾘｽﾄ(4～3月)'!$D$16:$D$23,$B76,'内訳ﾘｽﾄ(4～3月)'!I$16:I$23),IF('内訳ﾘｽﾄ(4～3月)'!$D$5="部外間接1",-F$74,0))</f>
        <v>0.75</v>
      </c>
      <c r="G76" s="164">
        <f>IF('内訳ﾘｽﾄ(4～3月)'!$D$5="製造",SUMIF('内訳ﾘｽﾄ(4～3月)'!$D$16:$D$23,$B76,'内訳ﾘｽﾄ(4～3月)'!J$16:J$23),IF('内訳ﾘｽﾄ(4～3月)'!$D$5="部外間接1",-G$74,0))</f>
        <v>0.75</v>
      </c>
      <c r="H76" s="164">
        <f>IF('内訳ﾘｽﾄ(4～3月)'!$D$5="製造",SUMIF('内訳ﾘｽﾄ(4～3月)'!$D$16:$D$23,$B76,'内訳ﾘｽﾄ(4～3月)'!K$16:K$23),IF('内訳ﾘｽﾄ(4～3月)'!$D$5="部外間接1",-H$74,0))</f>
        <v>0.75</v>
      </c>
      <c r="I76" s="164">
        <f>IF('内訳ﾘｽﾄ(4～3月)'!$D$5="製造",SUMIF('内訳ﾘｽﾄ(4～3月)'!$D$16:$D$23,$B76,'内訳ﾘｽﾄ(4～3月)'!L$16:L$23),IF('内訳ﾘｽﾄ(4～3月)'!$D$5="部外間接1",-I$74,0))</f>
        <v>0.5</v>
      </c>
      <c r="J76" s="164">
        <f>IF('内訳ﾘｽﾄ(4～3月)'!$D$5="製造",SUMIF('内訳ﾘｽﾄ(4～3月)'!$D$16:$D$23,$B76,'内訳ﾘｽﾄ(4～3月)'!M$16:M$23),IF('内訳ﾘｽﾄ(4～3月)'!$D$5="部外間接1",-J$74,0))</f>
        <v>0.5</v>
      </c>
      <c r="K76" s="164">
        <f>IF('内訳ﾘｽﾄ(4～3月)'!$D$5="製造",SUMIF('内訳ﾘｽﾄ(4～3月)'!$D$16:$D$23,$B76,'内訳ﾘｽﾄ(4～3月)'!N$16:N$23),IF('内訳ﾘｽﾄ(4～3月)'!$D$5="部外間接1",-K$74,0))</f>
        <v>0.5</v>
      </c>
      <c r="L76" s="164">
        <f>IF('内訳ﾘｽﾄ(4～3月)'!$D$5="製造",SUMIF('内訳ﾘｽﾄ(4～3月)'!$D$16:$D$23,$B76,'内訳ﾘｽﾄ(4～3月)'!O$16:O$23),IF('内訳ﾘｽﾄ(4～3月)'!$D$5="部外間接1",-L$74,0))</f>
        <v>0.5</v>
      </c>
      <c r="M76" s="164">
        <f>IF('内訳ﾘｽﾄ(4～3月)'!$D$5="製造",SUMIF('内訳ﾘｽﾄ(4～3月)'!$D$16:$D$23,$B76,'内訳ﾘｽﾄ(4～3月)'!P$16:P$23),IF('内訳ﾘｽﾄ(4～3月)'!$D$5="部外間接1",-M$74,0))</f>
        <v>0.25</v>
      </c>
      <c r="N76" s="164">
        <f>IF('内訳ﾘｽﾄ(4～3月)'!$D$5="製造",SUMIF('内訳ﾘｽﾄ(4～3月)'!$D$16:$D$23,$B76,'内訳ﾘｽﾄ(4～3月)'!Q$16:Q$23),IF('内訳ﾘｽﾄ(4～3月)'!$D$5="部外間接1",-N$74,0))</f>
        <v>0.5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6.5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126</v>
      </c>
      <c r="C77" s="164">
        <f>IF('内訳ﾘｽﾄ(4～3月)'!$D$5="製造",SUMIF('内訳ﾘｽﾄ(4～3月)'!$D$16:$D$23,$B77,'内訳ﾘｽﾄ(4～3月)'!F$16:F$23),IF('内訳ﾘｽﾄ(4～3月)'!$D$5="部外間接2",-C$74,0))</f>
        <v>1.25</v>
      </c>
      <c r="D77" s="164">
        <f>IF('内訳ﾘｽﾄ(4～3月)'!$D$5="製造",SUMIF('内訳ﾘｽﾄ(4～3月)'!$D$16:$D$23,$B77,'内訳ﾘｽﾄ(4～3月)'!G$16:G$23),IF('内訳ﾘｽﾄ(4～3月)'!$D$5="部外間接2",-D$74,0))</f>
        <v>1</v>
      </c>
      <c r="E77" s="164">
        <f>IF('内訳ﾘｽﾄ(4～3月)'!$D$5="製造",SUMIF('内訳ﾘｽﾄ(4～3月)'!$D$16:$D$23,$B77,'内訳ﾘｽﾄ(4～3月)'!H$16:H$23),IF('内訳ﾘｽﾄ(4～3月)'!$D$5="部外間接2",-E$74,0))</f>
        <v>1.25</v>
      </c>
      <c r="F77" s="164">
        <f>IF('内訳ﾘｽﾄ(4～3月)'!$D$5="製造",SUMIF('内訳ﾘｽﾄ(4～3月)'!$D$16:$D$23,$B77,'内訳ﾘｽﾄ(4～3月)'!I$16:I$23),IF('内訳ﾘｽﾄ(4～3月)'!$D$5="部外間接2",-F$74,0))</f>
        <v>2</v>
      </c>
      <c r="G77" s="164">
        <f>IF('内訳ﾘｽﾄ(4～3月)'!$D$5="製造",SUMIF('内訳ﾘｽﾄ(4～3月)'!$D$16:$D$23,$B77,'内訳ﾘｽﾄ(4～3月)'!J$16:J$23),IF('内訳ﾘｽﾄ(4～3月)'!$D$5="部外間接2",-G$74,0))</f>
        <v>1.25</v>
      </c>
      <c r="H77" s="164">
        <f>IF('内訳ﾘｽﾄ(4～3月)'!$D$5="製造",SUMIF('内訳ﾘｽﾄ(4～3月)'!$D$16:$D$23,$B77,'内訳ﾘｽﾄ(4～3月)'!K$16:K$23),IF('内訳ﾘｽﾄ(4～3月)'!$D$5="部外間接2",-H$74,0))</f>
        <v>1.25</v>
      </c>
      <c r="I77" s="164">
        <f>IF('内訳ﾘｽﾄ(4～3月)'!$D$5="製造",SUMIF('内訳ﾘｽﾄ(4～3月)'!$D$16:$D$23,$B77,'内訳ﾘｽﾄ(4～3月)'!L$16:L$23),IF('内訳ﾘｽﾄ(4～3月)'!$D$5="部外間接2",-I$74,0))</f>
        <v>1.25</v>
      </c>
      <c r="J77" s="164">
        <f>IF('内訳ﾘｽﾄ(4～3月)'!$D$5="製造",SUMIF('内訳ﾘｽﾄ(4～3月)'!$D$16:$D$23,$B77,'内訳ﾘｽﾄ(4～3月)'!M$16:M$23),IF('内訳ﾘｽﾄ(4～3月)'!$D$5="部外間接2",-J$74,0))</f>
        <v>1.25</v>
      </c>
      <c r="K77" s="164">
        <f>IF('内訳ﾘｽﾄ(4～3月)'!$D$5="製造",SUMIF('内訳ﾘｽﾄ(4～3月)'!$D$16:$D$23,$B77,'内訳ﾘｽﾄ(4～3月)'!N$16:N$23),IF('内訳ﾘｽﾄ(4～3月)'!$D$5="部外間接2",-K$74,0))</f>
        <v>1.25</v>
      </c>
      <c r="L77" s="164">
        <f>IF('内訳ﾘｽﾄ(4～3月)'!$D$5="製造",SUMIF('内訳ﾘｽﾄ(4～3月)'!$D$16:$D$23,$B77,'内訳ﾘｽﾄ(4～3月)'!O$16:O$23),IF('内訳ﾘｽﾄ(4～3月)'!$D$5="部外間接2",-L$74,0))</f>
        <v>1.5</v>
      </c>
      <c r="M77" s="164">
        <f>IF('内訳ﾘｽﾄ(4～3月)'!$D$5="製造",SUMIF('内訳ﾘｽﾄ(4～3月)'!$D$16:$D$23,$B77,'内訳ﾘｽﾄ(4～3月)'!P$16:P$23),IF('内訳ﾘｽﾄ(4～3月)'!$D$5="部外間接2",-M$74,0))</f>
        <v>0.5</v>
      </c>
      <c r="N77" s="164">
        <f>IF('内訳ﾘｽﾄ(4～3月)'!$D$5="製造",SUMIF('内訳ﾘｽﾄ(4～3月)'!$D$16:$D$23,$B77,'内訳ﾘｽﾄ(4～3月)'!Q$16:Q$23),IF('内訳ﾘｽﾄ(4～3月)'!$D$5="部外間接2",-N$74,0))</f>
        <v>1.5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15.25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449</v>
      </c>
      <c r="C78" s="165">
        <f>IF('内訳ﾘｽﾄ(4～3月)'!$D$5="製造",SUMIF('内訳ﾘｽﾄ(4～3月)'!$D$16:$D$23,$B78,'内訳ﾘｽﾄ(4～3月)'!F$16:F$23),IF('内訳ﾘｽﾄ(4～3月)'!$D$5="工場間接",-C$74,0))</f>
        <v>3.25</v>
      </c>
      <c r="D78" s="165">
        <f>IF('内訳ﾘｽﾄ(4～3月)'!$D$5="製造",SUMIF('内訳ﾘｽﾄ(4～3月)'!$D$16:$D$23,$B78,'内訳ﾘｽﾄ(4～3月)'!G$16:G$23),IF('内訳ﾘｽﾄ(4～3月)'!$D$5="工場間接",-D$74,0))</f>
        <v>3.25</v>
      </c>
      <c r="E78" s="165">
        <f>IF('内訳ﾘｽﾄ(4～3月)'!$D$5="製造",SUMIF('内訳ﾘｽﾄ(4～3月)'!$D$16:$D$23,$B78,'内訳ﾘｽﾄ(4～3月)'!H$16:H$23),IF('内訳ﾘｽﾄ(4～3月)'!$D$5="工場間接",-E$74,0))</f>
        <v>2.75</v>
      </c>
      <c r="F78" s="165">
        <f>IF('内訳ﾘｽﾄ(4～3月)'!$D$5="製造",SUMIF('内訳ﾘｽﾄ(4～3月)'!$D$16:$D$23,$B78,'内訳ﾘｽﾄ(4～3月)'!I$16:I$23),IF('内訳ﾘｽﾄ(4～3月)'!$D$5="工場間接",-F$74,0))</f>
        <v>4.5</v>
      </c>
      <c r="G78" s="165">
        <f>IF('内訳ﾘｽﾄ(4～3月)'!$D$5="製造",SUMIF('内訳ﾘｽﾄ(4～3月)'!$D$16:$D$23,$B78,'内訳ﾘｽﾄ(4～3月)'!J$16:J$23),IF('内訳ﾘｽﾄ(4～3月)'!$D$5="工場間接",-G$74,0))</f>
        <v>3.25</v>
      </c>
      <c r="H78" s="165">
        <f>IF('内訳ﾘｽﾄ(4～3月)'!$D$5="製造",SUMIF('内訳ﾘｽﾄ(4～3月)'!$D$16:$D$23,$B78,'内訳ﾘｽﾄ(4～3月)'!K$16:K$23),IF('内訳ﾘｽﾄ(4～3月)'!$D$5="工場間接",-H$74,0))</f>
        <v>5</v>
      </c>
      <c r="I78" s="165">
        <f>IF('内訳ﾘｽﾄ(4～3月)'!$D$5="製造",SUMIF('内訳ﾘｽﾄ(4～3月)'!$D$16:$D$23,$B78,'内訳ﾘｽﾄ(4～3月)'!L$16:L$23),IF('内訳ﾘｽﾄ(4～3月)'!$D$5="工場間接",-I$74,0))</f>
        <v>3</v>
      </c>
      <c r="J78" s="165">
        <f>IF('内訳ﾘｽﾄ(4～3月)'!$D$5="製造",SUMIF('内訳ﾘｽﾄ(4～3月)'!$D$16:$D$23,$B78,'内訳ﾘｽﾄ(4～3月)'!M$16:M$23),IF('内訳ﾘｽﾄ(4～3月)'!$D$5="工場間接",-J$74,0))</f>
        <v>3</v>
      </c>
      <c r="K78" s="165">
        <f>IF('内訳ﾘｽﾄ(4～3月)'!$D$5="製造",SUMIF('内訳ﾘｽﾄ(4～3月)'!$D$16:$D$23,$B78,'内訳ﾘｽﾄ(4～3月)'!N$16:N$23),IF('内訳ﾘｽﾄ(4～3月)'!$D$5="工場間接",-K$74,0))</f>
        <v>3</v>
      </c>
      <c r="L78" s="165">
        <f>IF('内訳ﾘｽﾄ(4～3月)'!$D$5="製造",SUMIF('内訳ﾘｽﾄ(4～3月)'!$D$16:$D$23,$B78,'内訳ﾘｽﾄ(4～3月)'!O$16:O$23),IF('内訳ﾘｽﾄ(4～3月)'!$D$5="工場間接",-L$74,0))</f>
        <v>2.75</v>
      </c>
      <c r="M78" s="165">
        <f>IF('内訳ﾘｽﾄ(4～3月)'!$D$5="製造",SUMIF('内訳ﾘｽﾄ(4～3月)'!$D$16:$D$23,$B78,'内訳ﾘｽﾄ(4～3月)'!P$16:P$23),IF('内訳ﾘｽﾄ(4～3月)'!$D$5="工場間接",-M$74,0))</f>
        <v>3.75</v>
      </c>
      <c r="N78" s="165">
        <f>IF('内訳ﾘｽﾄ(4～3月)'!$D$5="製造",SUMIF('内訳ﾘｽﾄ(4～3月)'!$D$16:$D$23,$B78,'内訳ﾘｽﾄ(4～3月)'!Q$16:Q$23),IF('内訳ﾘｽﾄ(4～3月)'!$D$5="工場間接",-N$74,0))</f>
        <v>2.75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40.25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90</v>
      </c>
      <c r="C79" s="166">
        <f>SUM(C74:C78)</f>
        <v>173</v>
      </c>
      <c r="D79" s="166">
        <f t="shared" ref="D79:N79" si="7">SUM(D74:D78)</f>
        <v>168.75</v>
      </c>
      <c r="E79" s="166">
        <f t="shared" si="7"/>
        <v>176.5</v>
      </c>
      <c r="F79" s="166">
        <f t="shared" si="7"/>
        <v>187.25</v>
      </c>
      <c r="G79" s="166">
        <f t="shared" si="7"/>
        <v>183.25</v>
      </c>
      <c r="H79" s="166">
        <f t="shared" si="7"/>
        <v>181</v>
      </c>
      <c r="I79" s="166">
        <f t="shared" si="7"/>
        <v>194.75</v>
      </c>
      <c r="J79" s="166">
        <f t="shared" si="7"/>
        <v>184.75</v>
      </c>
      <c r="K79" s="166">
        <f t="shared" si="7"/>
        <v>192.75</v>
      </c>
      <c r="L79" s="166">
        <f t="shared" si="7"/>
        <v>184.75</v>
      </c>
      <c r="M79" s="166">
        <f t="shared" si="7"/>
        <v>164.5</v>
      </c>
      <c r="N79" s="166">
        <f t="shared" si="7"/>
        <v>184.75</v>
      </c>
      <c r="O79" s="166">
        <f>IF(ISBLANK(O10),"",SUM(O74:O78))</f>
        <v>2176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158382</v>
      </c>
      <c r="D80" s="167">
        <f t="shared" ref="D80:N80" si="8">IFERROR(ROUNDDOWN(D66/D67,0),0)</f>
        <v>310481</v>
      </c>
      <c r="E80" s="167">
        <f t="shared" si="8"/>
        <v>263598</v>
      </c>
      <c r="F80" s="167">
        <f t="shared" si="8"/>
        <v>231150</v>
      </c>
      <c r="G80" s="167">
        <f t="shared" si="8"/>
        <v>304410</v>
      </c>
      <c r="H80" s="167">
        <f t="shared" si="8"/>
        <v>174411</v>
      </c>
      <c r="I80" s="167">
        <f t="shared" si="8"/>
        <v>386051</v>
      </c>
      <c r="J80" s="167">
        <f t="shared" si="8"/>
        <v>324820</v>
      </c>
      <c r="K80" s="167">
        <f t="shared" si="8"/>
        <v>280744</v>
      </c>
      <c r="L80" s="167">
        <f t="shared" si="8"/>
        <v>311086</v>
      </c>
      <c r="M80" s="167">
        <f t="shared" si="8"/>
        <v>416444</v>
      </c>
      <c r="N80" s="167">
        <f t="shared" si="8"/>
        <v>309674</v>
      </c>
      <c r="O80" s="167">
        <f>IFERROR(ROUNDDOWN(O66/O67,0),0)</f>
        <v>287090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336763</v>
      </c>
      <c r="D81" s="168">
        <f t="shared" ref="D81:N81" si="9">IFERROR(ROUNDDOWN(D12/D67,0),0)</f>
        <v>527208</v>
      </c>
      <c r="E81" s="168">
        <f t="shared" si="9"/>
        <v>443252</v>
      </c>
      <c r="F81" s="168">
        <f t="shared" si="9"/>
        <v>411307</v>
      </c>
      <c r="G81" s="168">
        <f t="shared" si="9"/>
        <v>509180</v>
      </c>
      <c r="H81" s="168">
        <f t="shared" si="9"/>
        <v>537529</v>
      </c>
      <c r="I81" s="168">
        <f t="shared" si="9"/>
        <v>571155</v>
      </c>
      <c r="J81" s="168">
        <f t="shared" si="9"/>
        <v>525426</v>
      </c>
      <c r="K81" s="168">
        <f t="shared" si="9"/>
        <v>464124</v>
      </c>
      <c r="L81" s="168">
        <f t="shared" si="9"/>
        <v>520852</v>
      </c>
      <c r="M81" s="168">
        <f t="shared" si="9"/>
        <v>679123</v>
      </c>
      <c r="N81" s="168">
        <f t="shared" si="9"/>
        <v>506494</v>
      </c>
      <c r="O81" s="168">
        <f>IFERROR(ROUNDDOWN(O12/O67,0),0)</f>
        <v>497896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342</v>
      </c>
      <c r="C87" s="150">
        <f>SUMIF('内訳ﾘｽﾄ(4～3月)'!$D$24:$D$25,'採算表(VND)'!$B87,'内訳ﾘｽﾄ(4～3月)'!F$24:F$25)</f>
        <v>1</v>
      </c>
      <c r="D87" s="150">
        <f>SUMIF('内訳ﾘｽﾄ(4～3月)'!$D$24:$D$25,'採算表(VND)'!$B87,'内訳ﾘｽﾄ(4～3月)'!G$24:G$25)</f>
        <v>1</v>
      </c>
      <c r="E87" s="150">
        <f>SUMIF('内訳ﾘｽﾄ(4～3月)'!$D$24:$D$25,'採算表(VND)'!$B87,'内訳ﾘｽﾄ(4～3月)'!H$24:H$25)</f>
        <v>1</v>
      </c>
      <c r="F87" s="150">
        <f>SUMIF('内訳ﾘｽﾄ(4～3月)'!$D$24:$D$25,'採算表(VND)'!$B87,'内訳ﾘｽﾄ(4～3月)'!I$24:I$25)</f>
        <v>1</v>
      </c>
      <c r="G87" s="150">
        <f>SUMIF('内訳ﾘｽﾄ(4～3月)'!$D$24:$D$25,'採算表(VND)'!$B87,'内訳ﾘｽﾄ(4～3月)'!J$24:J$25)</f>
        <v>1</v>
      </c>
      <c r="H87" s="150">
        <f>SUMIF('内訳ﾘｽﾄ(4～3月)'!$D$24:$D$25,'採算表(VND)'!$B87,'内訳ﾘｽﾄ(4～3月)'!K$24:K$25)</f>
        <v>1</v>
      </c>
      <c r="I87" s="150">
        <f>SUMIF('内訳ﾘｽﾄ(4～3月)'!$D$24:$D$25,'採算表(VND)'!$B87,'内訳ﾘｽﾄ(4～3月)'!L$24:L$25)</f>
        <v>1</v>
      </c>
      <c r="J87" s="150">
        <f>SUMIF('内訳ﾘｽﾄ(4～3月)'!$D$24:$D$25,'採算表(VND)'!$B87,'内訳ﾘｽﾄ(4～3月)'!M$24:M$25)</f>
        <v>1</v>
      </c>
      <c r="K87" s="150">
        <f>SUMIF('内訳ﾘｽﾄ(4～3月)'!$D$24:$D$25,'採算表(VND)'!$B87,'内訳ﾘｽﾄ(4～3月)'!N$24:N$25)</f>
        <v>1</v>
      </c>
      <c r="L87" s="150">
        <f>SUMIF('内訳ﾘｽﾄ(4～3月)'!$D$24:$D$25,'採算表(VND)'!$B87,'内訳ﾘｽﾄ(4～3月)'!O$24:O$25)</f>
        <v>1</v>
      </c>
      <c r="M87" s="150">
        <f>SUMIF('内訳ﾘｽﾄ(4～3月)'!$D$24:$D$25,'採算表(VND)'!$B87,'内訳ﾘｽﾄ(4～3月)'!P$24:P$25)</f>
        <v>1</v>
      </c>
      <c r="N87" s="150">
        <f>SUMIF('内訳ﾘｽﾄ(4～3月)'!$D$24:$D$25,'採算表(VND)'!$B87,'内訳ﾘｽﾄ(4～3月)'!Q$24:Q$25)</f>
        <v>1</v>
      </c>
      <c r="O87" s="150">
        <f>SUMIF('内訳ﾘｽﾄ(4～3月)'!$D$24:$D$25,'採算表(VND)'!$B87,'内訳ﾘｽﾄ(4～3月)'!R$24:R$25)</f>
        <v>1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343</v>
      </c>
      <c r="C88" s="150">
        <f>SUMIF('内訳ﾘｽﾄ(4～3月)'!$D$24:$D$25,'採算表(VND)'!$B88,'内訳ﾘｽﾄ(4～3月)'!F$24:F$25)</f>
        <v>11</v>
      </c>
      <c r="D88" s="150">
        <f>SUMIF('内訳ﾘｽﾄ(4～3月)'!$D$24:$D$25,'採算表(VND)'!$B88,'内訳ﾘｽﾄ(4～3月)'!G$24:G$25)</f>
        <v>11</v>
      </c>
      <c r="E88" s="150">
        <f>SUMIF('内訳ﾘｽﾄ(4～3月)'!$D$24:$D$25,'採算表(VND)'!$B88,'内訳ﾘｽﾄ(4～3月)'!H$24:H$25)</f>
        <v>11</v>
      </c>
      <c r="F88" s="150">
        <f>SUMIF('内訳ﾘｽﾄ(4～3月)'!$D$24:$D$25,'採算表(VND)'!$B88,'内訳ﾘｽﾄ(4～3月)'!I$24:I$25)</f>
        <v>11</v>
      </c>
      <c r="G88" s="150">
        <f>SUMIF('内訳ﾘｽﾄ(4～3月)'!$D$24:$D$25,'採算表(VND)'!$B88,'内訳ﾘｽﾄ(4～3月)'!J$24:J$25)</f>
        <v>11</v>
      </c>
      <c r="H88" s="150">
        <f>SUMIF('内訳ﾘｽﾄ(4～3月)'!$D$24:$D$25,'採算表(VND)'!$B88,'内訳ﾘｽﾄ(4～3月)'!K$24:K$25)</f>
        <v>11</v>
      </c>
      <c r="I88" s="150">
        <f>SUMIF('内訳ﾘｽﾄ(4～3月)'!$D$24:$D$25,'採算表(VND)'!$B88,'内訳ﾘｽﾄ(4～3月)'!L$24:L$25)</f>
        <v>11</v>
      </c>
      <c r="J88" s="150">
        <f>SUMIF('内訳ﾘｽﾄ(4～3月)'!$D$24:$D$25,'採算表(VND)'!$B88,'内訳ﾘｽﾄ(4～3月)'!M$24:M$25)</f>
        <v>11</v>
      </c>
      <c r="K88" s="150">
        <f>SUMIF('内訳ﾘｽﾄ(4～3月)'!$D$24:$D$25,'採算表(VND)'!$B88,'内訳ﾘｽﾄ(4～3月)'!N$24:N$25)</f>
        <v>11</v>
      </c>
      <c r="L88" s="150">
        <f>SUMIF('内訳ﾘｽﾄ(4～3月)'!$D$24:$D$25,'採算表(VND)'!$B88,'内訳ﾘｽﾄ(4～3月)'!O$24:O$25)</f>
        <v>11</v>
      </c>
      <c r="M88" s="150">
        <f>SUMIF('内訳ﾘｽﾄ(4～3月)'!$D$24:$D$25,'採算表(VND)'!$B88,'内訳ﾘｽﾄ(4～3月)'!P$24:P$25)</f>
        <v>11</v>
      </c>
      <c r="N88" s="150">
        <f>SUMIF('内訳ﾘｽﾄ(4～3月)'!$D$24:$D$25,'採算表(VND)'!$B88,'内訳ﾘｽﾄ(4～3月)'!Q$24:Q$25)</f>
        <v>11</v>
      </c>
      <c r="O88" s="150">
        <f>SUMIF('内訳ﾘｽﾄ(4～3月)'!$D$24:$D$25,'採算表(VND)'!$B88,'内訳ﾘｽﾄ(4～3月)'!R$24:R$25)</f>
        <v>11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12</v>
      </c>
      <c r="D89" s="151">
        <f t="shared" si="10"/>
        <v>12</v>
      </c>
      <c r="E89" s="151">
        <f t="shared" si="10"/>
        <v>12</v>
      </c>
      <c r="F89" s="151">
        <f t="shared" si="10"/>
        <v>12</v>
      </c>
      <c r="G89" s="151">
        <f t="shared" si="10"/>
        <v>12</v>
      </c>
      <c r="H89" s="151">
        <f t="shared" si="10"/>
        <v>12</v>
      </c>
      <c r="I89" s="151">
        <f t="shared" si="10"/>
        <v>12</v>
      </c>
      <c r="J89" s="151">
        <f t="shared" si="10"/>
        <v>12</v>
      </c>
      <c r="K89" s="151">
        <f t="shared" si="10"/>
        <v>12</v>
      </c>
      <c r="L89" s="151">
        <f t="shared" si="10"/>
        <v>12</v>
      </c>
      <c r="M89" s="151">
        <f t="shared" si="10"/>
        <v>12</v>
      </c>
      <c r="N89" s="151">
        <f t="shared" si="10"/>
        <v>12</v>
      </c>
      <c r="O89" s="151">
        <f>O87+O88</f>
        <v>12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323</v>
      </c>
      <c r="C92" s="161">
        <f>SUMIF('内訳ﾘｽﾄ(4～3月)'!$B$8:$B$15,$B92,'内訳ﾘｽﾄ(4～3月)'!F$8:F$15)</f>
        <v>161.5</v>
      </c>
      <c r="D92" s="161">
        <f>SUMIF('内訳ﾘｽﾄ(4～3月)'!$B$8:$B$15,$B92,'内訳ﾘｽﾄ(4～3月)'!G$8:G$15)</f>
        <v>153</v>
      </c>
      <c r="E92" s="161">
        <f>SUMIF('内訳ﾘｽﾄ(4～3月)'!$B$8:$B$15,$B92,'内訳ﾘｽﾄ(4～3月)'!H$8:H$15)</f>
        <v>170</v>
      </c>
      <c r="F92" s="161">
        <f>SUMIF('内訳ﾘｽﾄ(4～3月)'!$B$8:$B$15,$B92,'内訳ﾘｽﾄ(4～3月)'!I$8:I$15)</f>
        <v>187</v>
      </c>
      <c r="G92" s="161">
        <f>SUMIF('内訳ﾘｽﾄ(4～3月)'!$B$8:$B$15,$B92,'内訳ﾘｽﾄ(4～3月)'!J$8:J$15)</f>
        <v>161.5</v>
      </c>
      <c r="H92" s="161">
        <f>SUMIF('内訳ﾘｽﾄ(4～3月)'!$B$8:$B$15,$B92,'内訳ﾘｽﾄ(4～3月)'!K$8:K$15)</f>
        <v>153</v>
      </c>
      <c r="I92" s="161">
        <f>SUMIF('内訳ﾘｽﾄ(4～3月)'!$B$8:$B$15,$B92,'内訳ﾘｽﾄ(4～3月)'!L$8:L$15)</f>
        <v>187</v>
      </c>
      <c r="J92" s="161">
        <f>SUMIF('内訳ﾘｽﾄ(4～3月)'!$B$8:$B$15,$B92,'内訳ﾘｽﾄ(4～3月)'!M$8:M$15)</f>
        <v>170</v>
      </c>
      <c r="K92" s="161">
        <f>SUMIF('内訳ﾘｽﾄ(4～3月)'!$B$8:$B$15,$B92,'内訳ﾘｽﾄ(4～3月)'!N$8:N$15)</f>
        <v>187</v>
      </c>
      <c r="L92" s="161">
        <f>SUMIF('内訳ﾘｽﾄ(4～3月)'!$B$8:$B$15,$B92,'内訳ﾘｽﾄ(4～3月)'!O$8:O$15)</f>
        <v>170</v>
      </c>
      <c r="M92" s="161">
        <f>SUMIF('内訳ﾘｽﾄ(4～3月)'!$B$8:$B$15,$B92,'内訳ﾘｽﾄ(4～3月)'!P$8:P$15)</f>
        <v>127.5</v>
      </c>
      <c r="N92" s="161">
        <f>SUMIF('内訳ﾘｽﾄ(4～3月)'!$B$8:$B$15,$B92,'内訳ﾘｽﾄ(4～3月)'!Q$8:Q$15)</f>
        <v>170</v>
      </c>
      <c r="O92" s="161">
        <f>SUMIF('内訳ﾘｽﾄ(4～3月)'!$B$8:$B$15,$B92,'内訳ﾘｽﾄ(4～3月)'!R$8:R$15)</f>
        <v>1997.5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324</v>
      </c>
      <c r="C93" s="161">
        <f>SUMIF('内訳ﾘｽﾄ(4～3月)'!$B$8:$B$15,$B93,'内訳ﾘｽﾄ(4～3月)'!F$8:F$15)</f>
        <v>1836</v>
      </c>
      <c r="D93" s="161">
        <f>SUMIF('内訳ﾘｽﾄ(4～3月)'!$B$8:$B$15,$B93,'内訳ﾘｽﾄ(4～3月)'!G$8:G$15)</f>
        <v>1700</v>
      </c>
      <c r="E93" s="161">
        <f>SUMIF('内訳ﾘｽﾄ(4～3月)'!$B$8:$B$15,$B93,'内訳ﾘｽﾄ(4～3月)'!H$8:H$15)</f>
        <v>1887</v>
      </c>
      <c r="F93" s="161">
        <f>SUMIF('内訳ﾘｽﾄ(4～3月)'!$B$8:$B$15,$B93,'内訳ﾘｽﾄ(4～3月)'!I$8:I$15)</f>
        <v>2074</v>
      </c>
      <c r="G93" s="161">
        <f>SUMIF('内訳ﾘｽﾄ(4～3月)'!$B$8:$B$15,$B93,'内訳ﾘｽﾄ(4～3月)'!J$8:J$15)</f>
        <v>1793.5</v>
      </c>
      <c r="H93" s="161">
        <f>SUMIF('内訳ﾘｽﾄ(4～3月)'!$B$8:$B$15,$B93,'内訳ﾘｽﾄ(4～3月)'!K$8:K$15)</f>
        <v>1700</v>
      </c>
      <c r="I93" s="161">
        <f>SUMIF('内訳ﾘｽﾄ(4～3月)'!$B$8:$B$15,$B93,'内訳ﾘｽﾄ(4～3月)'!L$8:L$15)</f>
        <v>2074</v>
      </c>
      <c r="J93" s="161">
        <f>SUMIF('内訳ﾘｽﾄ(4～3月)'!$B$8:$B$15,$B93,'内訳ﾘｽﾄ(4～3月)'!M$8:M$15)</f>
        <v>1793.5</v>
      </c>
      <c r="K93" s="161">
        <f>SUMIF('内訳ﾘｽﾄ(4～3月)'!$B$8:$B$15,$B93,'内訳ﾘｽﾄ(4～3月)'!N$8:N$15)</f>
        <v>1980.5</v>
      </c>
      <c r="L93" s="161">
        <f>SUMIF('内訳ﾘｽﾄ(4～3月)'!$B$8:$B$15,$B93,'内訳ﾘｽﾄ(4～3月)'!O$8:O$15)</f>
        <v>1793.5</v>
      </c>
      <c r="M93" s="161">
        <f>SUMIF('内訳ﾘｽﾄ(4～3月)'!$B$8:$B$15,$B93,'内訳ﾘｽﾄ(4～3月)'!P$8:P$15)</f>
        <v>1326</v>
      </c>
      <c r="N93" s="161">
        <f>SUMIF('内訳ﾘｽﾄ(4～3月)'!$B$8:$B$15,$B93,'内訳ﾘｽﾄ(4～3月)'!Q$8:Q$15)</f>
        <v>1793.5</v>
      </c>
      <c r="O93" s="161">
        <f>SUMIF('内訳ﾘｽﾄ(4～3月)'!$B$8:$B$15,$B93,'内訳ﾘｽﾄ(4～3月)'!R$8:R$15)</f>
        <v>21751.5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1997.5</v>
      </c>
      <c r="D94" s="169">
        <f t="shared" si="11"/>
        <v>1853</v>
      </c>
      <c r="E94" s="169">
        <f t="shared" si="11"/>
        <v>2057</v>
      </c>
      <c r="F94" s="169">
        <f t="shared" si="11"/>
        <v>2261</v>
      </c>
      <c r="G94" s="169">
        <f t="shared" si="11"/>
        <v>1955</v>
      </c>
      <c r="H94" s="169">
        <f t="shared" si="11"/>
        <v>1853</v>
      </c>
      <c r="I94" s="169">
        <f t="shared" si="11"/>
        <v>2261</v>
      </c>
      <c r="J94" s="169">
        <f t="shared" si="11"/>
        <v>1963.5</v>
      </c>
      <c r="K94" s="169">
        <f t="shared" si="11"/>
        <v>2167.5</v>
      </c>
      <c r="L94" s="169">
        <f t="shared" si="11"/>
        <v>1963.5</v>
      </c>
      <c r="M94" s="169">
        <f t="shared" si="11"/>
        <v>1453.5</v>
      </c>
      <c r="N94" s="169">
        <f t="shared" si="11"/>
        <v>1963.5</v>
      </c>
      <c r="O94" s="169">
        <f>O92+O93</f>
        <v>23749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325</v>
      </c>
      <c r="C97" s="161">
        <f>SUMIF('内訳ﾘｽﾄ(4～3月)'!$B$16:$B$23,$B97,'内訳ﾘｽﾄ(4～3月)'!F$16:F$23)</f>
        <v>38</v>
      </c>
      <c r="D97" s="161">
        <f>SUMIF('内訳ﾘｽﾄ(4～3月)'!$B$16:$B$23,$B97,'内訳ﾘｽﾄ(4～3月)'!G$16:G$23)</f>
        <v>36</v>
      </c>
      <c r="E97" s="161">
        <f>SUMIF('内訳ﾘｽﾄ(4～3月)'!$B$16:$B$23,$B97,'内訳ﾘｽﾄ(4～3月)'!H$16:H$23)</f>
        <v>40</v>
      </c>
      <c r="F97" s="161">
        <f>SUMIF('内訳ﾘｽﾄ(4～3月)'!$B$16:$B$23,$B97,'内訳ﾘｽﾄ(4～3月)'!I$16:I$23)</f>
        <v>44</v>
      </c>
      <c r="G97" s="161">
        <f>SUMIF('内訳ﾘｽﾄ(4～3月)'!$B$16:$B$23,$B97,'内訳ﾘｽﾄ(4～3月)'!J$16:J$23)</f>
        <v>38</v>
      </c>
      <c r="H97" s="161">
        <f>SUMIF('内訳ﾘｽﾄ(4～3月)'!$B$16:$B$23,$B97,'内訳ﾘｽﾄ(4～3月)'!K$16:K$23)</f>
        <v>36</v>
      </c>
      <c r="I97" s="161">
        <f>SUMIF('内訳ﾘｽﾄ(4～3月)'!$B$16:$B$23,$B97,'内訳ﾘｽﾄ(4～3月)'!L$16:L$23)</f>
        <v>44</v>
      </c>
      <c r="J97" s="161">
        <f>SUMIF('内訳ﾘｽﾄ(4～3月)'!$B$16:$B$23,$B97,'内訳ﾘｽﾄ(4～3月)'!M$16:M$23)</f>
        <v>40</v>
      </c>
      <c r="K97" s="161">
        <f>SUMIF('内訳ﾘｽﾄ(4～3月)'!$B$16:$B$23,$B97,'内訳ﾘｽﾄ(4～3月)'!N$16:N$23)</f>
        <v>44</v>
      </c>
      <c r="L97" s="161">
        <f>SUMIF('内訳ﾘｽﾄ(4～3月)'!$B$16:$B$23,$B97,'内訳ﾘｽﾄ(4～3月)'!O$16:O$23)</f>
        <v>40</v>
      </c>
      <c r="M97" s="161">
        <f>SUMIF('内訳ﾘｽﾄ(4～3月)'!$B$16:$B$23,$B97,'内訳ﾘｽﾄ(4～3月)'!P$16:P$23)</f>
        <v>30</v>
      </c>
      <c r="N97" s="161">
        <f>SUMIF('内訳ﾘｽﾄ(4～3月)'!$B$16:$B$23,$B97,'内訳ﾘｽﾄ(4～3月)'!Q$16:Q$23)</f>
        <v>40</v>
      </c>
      <c r="O97" s="161">
        <f>SUMIF('内訳ﾘｽﾄ(4～3月)'!$B$16:$B$23,$B97,'内訳ﾘｽﾄ(4～3月)'!R$16:R$23)</f>
        <v>470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326</v>
      </c>
      <c r="C98" s="161">
        <f>SUMIF('内訳ﾘｽﾄ(4～3月)'!$B$16:$B$23,$B98,'内訳ﾘｽﾄ(4～3月)'!F$16:F$23)</f>
        <v>130</v>
      </c>
      <c r="D98" s="161">
        <f>SUMIF('内訳ﾘｽﾄ(4～3月)'!$B$16:$B$23,$B98,'内訳ﾘｽﾄ(4～3月)'!G$16:G$23)</f>
        <v>128</v>
      </c>
      <c r="E98" s="161">
        <f>SUMIF('内訳ﾘｽﾄ(4～3月)'!$B$16:$B$23,$B98,'内訳ﾘｽﾄ(4～3月)'!H$16:H$23)</f>
        <v>132</v>
      </c>
      <c r="F98" s="161">
        <f>SUMIF('内訳ﾘｽﾄ(4～3月)'!$B$16:$B$23,$B98,'内訳ﾘｽﾄ(4～3月)'!I$16:I$23)</f>
        <v>136</v>
      </c>
      <c r="G98" s="161">
        <f>SUMIF('内訳ﾘｽﾄ(4～3月)'!$B$16:$B$23,$B98,'内訳ﾘｽﾄ(4～3月)'!J$16:J$23)</f>
        <v>140</v>
      </c>
      <c r="H98" s="161">
        <f>SUMIF('内訳ﾘｽﾄ(4～3月)'!$B$16:$B$23,$B98,'内訳ﾘｽﾄ(4～3月)'!K$16:K$23)</f>
        <v>138</v>
      </c>
      <c r="I98" s="161">
        <f>SUMIF('内訳ﾘｽﾄ(4～3月)'!$B$16:$B$23,$B98,'内訳ﾘｽﾄ(4～3月)'!L$16:L$23)</f>
        <v>146</v>
      </c>
      <c r="J98" s="161">
        <f>SUMIF('内訳ﾘｽﾄ(4～3月)'!$B$16:$B$23,$B98,'内訳ﾘｽﾄ(4～3月)'!M$16:M$23)</f>
        <v>140</v>
      </c>
      <c r="K98" s="161">
        <f>SUMIF('内訳ﾘｽﾄ(4～3月)'!$B$16:$B$23,$B98,'内訳ﾘｽﾄ(4～3月)'!N$16:N$23)</f>
        <v>144</v>
      </c>
      <c r="L98" s="161">
        <f>SUMIF('内訳ﾘｽﾄ(4～3月)'!$B$16:$B$23,$B98,'内訳ﾘｽﾄ(4～3月)'!O$16:O$23)</f>
        <v>140</v>
      </c>
      <c r="M98" s="161">
        <f>SUMIF('内訳ﾘｽﾄ(4～3月)'!$B$16:$B$23,$B98,'内訳ﾘｽﾄ(4～3月)'!P$16:P$23)</f>
        <v>130</v>
      </c>
      <c r="N98" s="161">
        <f>SUMIF('内訳ﾘｽﾄ(4～3月)'!$B$16:$B$23,$B98,'内訳ﾘｽﾄ(4～3月)'!Q$16:Q$23)</f>
        <v>140</v>
      </c>
      <c r="O98" s="161">
        <f>SUMIF('内訳ﾘｽﾄ(4～3月)'!$B$16:$B$23,$B98,'内訳ﾘｽﾄ(4～3月)'!R$16:R$23)</f>
        <v>1644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168</v>
      </c>
      <c r="D99" s="169">
        <f t="shared" si="12"/>
        <v>164</v>
      </c>
      <c r="E99" s="169">
        <f t="shared" si="12"/>
        <v>172</v>
      </c>
      <c r="F99" s="169">
        <f t="shared" si="12"/>
        <v>180</v>
      </c>
      <c r="G99" s="169">
        <f t="shared" si="12"/>
        <v>178</v>
      </c>
      <c r="H99" s="169">
        <f t="shared" si="12"/>
        <v>174</v>
      </c>
      <c r="I99" s="169">
        <f t="shared" si="12"/>
        <v>190</v>
      </c>
      <c r="J99" s="169">
        <f t="shared" si="12"/>
        <v>180</v>
      </c>
      <c r="K99" s="169">
        <f t="shared" si="12"/>
        <v>188</v>
      </c>
      <c r="L99" s="169">
        <f t="shared" si="12"/>
        <v>180</v>
      </c>
      <c r="M99" s="169">
        <f t="shared" si="12"/>
        <v>160</v>
      </c>
      <c r="N99" s="169">
        <f t="shared" si="12"/>
        <v>180</v>
      </c>
      <c r="O99" s="169">
        <f>O97+O98</f>
        <v>2114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753857C6-99AD-4DA1-8E73-3677EC8B4423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6F5D-0DFA-4413-A21C-1955D189B1EB}">
  <sheetPr codeName="Sheet3">
    <tabColor indexed="13"/>
  </sheetPr>
  <dimension ref="A1:BP595"/>
  <sheetViews>
    <sheetView tabSelected="1" zoomScale="70" zoomScaleNormal="70" workbookViewId="0">
      <pane xSplit="4" ySplit="7" topLeftCell="F8" activePane="bottomRight" state="frozen"/>
      <selection pane="topRight" activeCell="E1" sqref="E1"/>
      <selection pane="bottomLeft" activeCell="A8" sqref="A8"/>
      <selection pane="bottomRight" activeCell="F20" sqref="F20:Q23"/>
    </sheetView>
  </sheetViews>
  <sheetFormatPr defaultColWidth="9" defaultRowHeight="11.25"/>
  <cols>
    <col min="1" max="1" width="2" style="1" customWidth="1"/>
    <col min="2" max="2" width="12.375" style="181" customWidth="1"/>
    <col min="3" max="3" width="31" style="4" bestFit="1" customWidth="1"/>
    <col min="4" max="4" width="19.125" style="4" bestFit="1" customWidth="1"/>
    <col min="5" max="5" width="7.625" style="3" customWidth="1"/>
    <col min="6" max="6" width="13" style="124" bestFit="1" customWidth="1"/>
    <col min="7" max="17" width="11.625" style="125" customWidth="1"/>
    <col min="18" max="18" width="14.625" style="126" customWidth="1"/>
    <col min="19" max="19" width="53.75" style="4" customWidth="1"/>
    <col min="20" max="20" width="18.875" style="72" customWidth="1"/>
    <col min="21" max="23" width="9" style="4" customWidth="1"/>
    <col min="24" max="16384" width="9" style="4"/>
  </cols>
  <sheetData>
    <row r="1" spans="1:65" ht="25.5">
      <c r="A1" s="247" t="s">
        <v>672</v>
      </c>
      <c r="B1" s="248"/>
      <c r="C1" s="249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65" ht="17.25">
      <c r="A2" s="111"/>
      <c r="B2" s="127">
        <v>25390</v>
      </c>
      <c r="C2" s="2"/>
      <c r="D2" s="2"/>
      <c r="E2" s="243" t="s">
        <v>91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65" s="112" customFormat="1" ht="12.75" thickBot="1">
      <c r="A3" s="111"/>
      <c r="B3" s="172"/>
      <c r="D3" s="113"/>
      <c r="E3" s="251" t="s">
        <v>578</v>
      </c>
      <c r="F3" s="267" t="str" cm="1">
        <f t="array" ref="F3">IF(SUM((F8:F25)-ROUNDDOWN((F8:F25)*4,0)/4)&lt;&gt;0,"時間➝0.25の倍数では無い",IF(SUM(ROUND((F26:F1001),0)-ROUND((F26:F1001),4))&lt;&gt;0,"経費➝小数点",IF(F5&lt;&gt;IF($D$5="製造",'採算表(VND)'!C13,-VLOOKUP($D$5&amp;"経費",'採算表(VND)'!$B:$N,'採算表(VND)'!C3,0)),"経費➝NG","OK")))</f>
        <v>OK</v>
      </c>
      <c r="G3" s="267" t="str" cm="1">
        <f t="array" ref="G3">IF(SUM((G8:G25)-ROUNDDOWN((G8:G25)*4,0)/4)&lt;&gt;0,"時間➝0.25の倍数では無い",IF(SUM(ROUND((G26:G1001),0)-ROUND((G26:G1001),4))&lt;&gt;0,"経費➝小数点",IF(G5&lt;&gt;IF($D$5="製造",'採算表(VND)'!D13,-VLOOKUP($D$5&amp;"経費",'採算表(VND)'!$B:$N,'採算表(VND)'!D3,0)),"経費➝NG","OK")))</f>
        <v>OK</v>
      </c>
      <c r="H3" s="267" t="str" cm="1">
        <f t="array" ref="H3">IF(SUM((H8:H25)-ROUNDDOWN((H8:H25)*4,0)/4)&lt;&gt;0,"時間➝0.25の倍数では無い",IF(SUM(ROUND((H26:H1001),0)-ROUND((H26:H1001),4))&lt;&gt;0,"経費➝小数点",IF(H5&lt;&gt;IF($D$5="製造",'採算表(VND)'!E13,-VLOOKUP($D$5&amp;"経費",'採算表(VND)'!$B:$N,'採算表(VND)'!E3,0)),"経費➝NG","OK")))</f>
        <v>OK</v>
      </c>
      <c r="I3" s="267" t="str" cm="1">
        <f t="array" ref="I3">IF(SUM((I8:I25)-ROUNDDOWN((I8:I25)*4,0)/4)&lt;&gt;0,"時間➝0.25の倍数では無い",IF(SUM(ROUND((I26:I1001),0)-ROUND((I26:I1001),4))&lt;&gt;0,"経費➝小数点",IF(I5&lt;&gt;IF($D$5="製造",'採算表(VND)'!F13,-VLOOKUP($D$5&amp;"経費",'採算表(VND)'!$B:$N,'採算表(VND)'!F3,0)),"経費➝NG","OK")))</f>
        <v>OK</v>
      </c>
      <c r="J3" s="267" t="str" cm="1">
        <f t="array" ref="J3">IF(SUM((J8:J25)-ROUNDDOWN((J8:J25)*4,0)/4)&lt;&gt;0,"時間➝0.25の倍数では無い",IF(SUM(ROUND((J26:J1001),0)-ROUND((J26:J1001),4))&lt;&gt;0,"経費➝小数点",IF(J5&lt;&gt;IF($D$5="製造",'採算表(VND)'!G13,-VLOOKUP($D$5&amp;"経費",'採算表(VND)'!$B:$N,'採算表(VND)'!G3,0)),"経費➝NG","OK")))</f>
        <v>OK</v>
      </c>
      <c r="K3" s="267" t="str" cm="1">
        <f t="array" ref="K3">IF(SUM((K8:K25)-ROUNDDOWN((K8:K25)*4,0)/4)&lt;&gt;0,"時間➝0.25の倍数では無い",IF(SUM(ROUND((K26:K1001),0)-ROUND((K26:K1001),4))&lt;&gt;0,"経費➝小数点",IF(K5&lt;&gt;IF($D$5="製造",'採算表(VND)'!H13,-VLOOKUP($D$5&amp;"経費",'採算表(VND)'!$B:$N,'採算表(VND)'!H3,0)),"経費➝NG","OK")))</f>
        <v>OK</v>
      </c>
      <c r="L3" s="267" t="str" cm="1">
        <f t="array" ref="L3">IF(SUM((L8:L25)-ROUNDDOWN((L8:L25)*4,0)/4)&lt;&gt;0,"時間➝0.25の倍数では無い",IF(SUM(ROUND((L26:L1001),0)-ROUND((L26:L1001),4))&lt;&gt;0,"経費➝小数点",IF(L5&lt;&gt;IF($D$5="製造",'採算表(VND)'!I13,-VLOOKUP($D$5&amp;"経費",'採算表(VND)'!$B:$N,'採算表(VND)'!I3,0)),"経費➝NG","OK")))</f>
        <v>OK</v>
      </c>
      <c r="M3" s="267" t="str" cm="1">
        <f t="array" ref="M3">IF(SUM((M8:M25)-ROUNDDOWN((M8:M25)*4,0)/4)&lt;&gt;0,"時間➝0.25の倍数では無い",IF(SUM(ROUND((M26:M1001),0)-ROUND((M26:M1001),4))&lt;&gt;0,"経費➝小数点",IF(M5&lt;&gt;IF($D$5="製造",'採算表(VND)'!J13,-VLOOKUP($D$5&amp;"経費",'採算表(VND)'!$B:$N,'採算表(VND)'!J3,0)),"経費➝NG","OK")))</f>
        <v>OK</v>
      </c>
      <c r="N3" s="267" t="str" cm="1">
        <f t="array" ref="N3">IF(SUM((N8:N25)-ROUNDDOWN((N8:N25)*4,0)/4)&lt;&gt;0,"時間➝0.25の倍数では無い",IF(SUM(ROUND((N26:N1001),0)-ROUND((N26:N1001),4))&lt;&gt;0,"経費➝小数点",IF(N5&lt;&gt;IF($D$5="製造",'採算表(VND)'!K13,-VLOOKUP($D$5&amp;"経費",'採算表(VND)'!$B:$N,'採算表(VND)'!K3,0)),"経費➝NG","OK")))</f>
        <v>OK</v>
      </c>
      <c r="O3" s="267" t="str" cm="1">
        <f t="array" ref="O3">IF(SUM((O8:O25)-ROUNDDOWN((O8:O25)*4,0)/4)&lt;&gt;0,"時間➝0.25の倍数では無い",IF(SUM(ROUND((O26:O1001),0)-ROUND((O26:O1001),4))&lt;&gt;0,"経費➝小数点",IF(O5&lt;&gt;IF($D$5="製造",'採算表(VND)'!L13,-VLOOKUP($D$5&amp;"経費",'採算表(VND)'!$B:$N,'採算表(VND)'!L3,0)),"経費➝NG","OK")))</f>
        <v>OK</v>
      </c>
      <c r="P3" s="267" t="str" cm="1">
        <f t="array" ref="P3">IF(SUM((P8:P25)-ROUNDDOWN((P8:P25)*4,0)/4)&lt;&gt;0,"時間➝0.25の倍数では無い",IF(SUM(ROUND((P26:P1001),0)-ROUND((P26:P1001),4))&lt;&gt;0,"経費➝小数点",IF(P5&lt;&gt;IF($D$5="製造",'採算表(VND)'!M13,-VLOOKUP($D$5&amp;"経費",'採算表(VND)'!$B:$N,'採算表(VND)'!M3,0)),"経費➝NG","OK")))</f>
        <v>OK</v>
      </c>
      <c r="Q3" s="267" t="str" cm="1">
        <f t="array" ref="Q3">IF(SUM((Q8:Q25)-ROUNDDOWN((Q8:Q25)*4,0)/4)&lt;&gt;0,"時間➝0.25の倍数では無い",IF(SUM(ROUND((Q26:Q1001),0)-ROUND((Q26:Q1001)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65" s="6" customFormat="1" ht="12.75" thickBot="1">
      <c r="A4" s="5"/>
      <c r="B4" s="173" t="s">
        <v>579</v>
      </c>
      <c r="C4" s="12" t="s">
        <v>38</v>
      </c>
      <c r="D4" s="12" t="s">
        <v>81</v>
      </c>
      <c r="E4" s="12" t="s">
        <v>82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580</v>
      </c>
      <c r="S4" s="244" t="s">
        <v>589</v>
      </c>
      <c r="T4" s="102"/>
    </row>
    <row r="5" spans="1:65" ht="14.25" thickBot="1">
      <c r="B5" s="174">
        <v>1412000083</v>
      </c>
      <c r="C5" s="7" t="str">
        <f>VLOOKUP($B$5,原価センタ!$A:$E,2,0)</f>
        <v>MD3課</v>
      </c>
      <c r="D5" s="62" t="str">
        <f>VLOOKUP($B$5,原価センタ!$A:$E,4,0)</f>
        <v>製造</v>
      </c>
      <c r="E5" s="62" t="str">
        <f>VLOOKUP($B$5,原価センタ!$A:$E,5,0)</f>
        <v>製造</v>
      </c>
      <c r="F5" s="245">
        <f>SUM(F29:F1000)</f>
        <v>400823203</v>
      </c>
      <c r="G5" s="245">
        <f t="shared" ref="G5:Q5" si="0">SUM(G29:G1000)</f>
        <v>454583044</v>
      </c>
      <c r="H5" s="245">
        <f t="shared" si="0"/>
        <v>415944472</v>
      </c>
      <c r="I5" s="245">
        <f t="shared" si="0"/>
        <v>464714882</v>
      </c>
      <c r="J5" s="245">
        <f t="shared" si="0"/>
        <v>462266346</v>
      </c>
      <c r="K5" s="245">
        <f t="shared" si="0"/>
        <v>779341928</v>
      </c>
      <c r="L5" s="245">
        <f t="shared" si="0"/>
        <v>471136190</v>
      </c>
      <c r="M5" s="245">
        <f t="shared" si="0"/>
        <v>447100639</v>
      </c>
      <c r="N5" s="245">
        <f t="shared" si="0"/>
        <v>448822005</v>
      </c>
      <c r="O5" s="245">
        <f t="shared" si="0"/>
        <v>467832486</v>
      </c>
      <c r="P5" s="245">
        <f t="shared" si="0"/>
        <v>441168487</v>
      </c>
      <c r="Q5" s="245">
        <f t="shared" si="0"/>
        <v>438958219</v>
      </c>
      <c r="R5" s="246">
        <f>SUM(R29:R595)</f>
        <v>5692691901</v>
      </c>
      <c r="S5" s="244"/>
      <c r="T5" s="103"/>
      <c r="BA5"/>
      <c r="BB5"/>
    </row>
    <row r="6" spans="1:6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65" s="10" customFormat="1" ht="14.25" thickBot="1">
      <c r="A7" s="8"/>
      <c r="B7" s="176"/>
      <c r="C7" s="9" t="s">
        <v>83</v>
      </c>
      <c r="D7" s="15" t="s">
        <v>124</v>
      </c>
      <c r="E7" s="13" t="s">
        <v>39</v>
      </c>
      <c r="F7" s="88" t="s">
        <v>153</v>
      </c>
      <c r="G7" s="89" t="s">
        <v>152</v>
      </c>
      <c r="H7" s="89" t="s">
        <v>152</v>
      </c>
      <c r="I7" s="89" t="s">
        <v>152</v>
      </c>
      <c r="J7" s="89" t="s">
        <v>152</v>
      </c>
      <c r="K7" s="89" t="s">
        <v>152</v>
      </c>
      <c r="L7" s="89" t="s">
        <v>152</v>
      </c>
      <c r="M7" s="89" t="s">
        <v>152</v>
      </c>
      <c r="N7" s="89" t="s">
        <v>152</v>
      </c>
      <c r="O7" s="89" t="s">
        <v>152</v>
      </c>
      <c r="P7" s="89" t="s">
        <v>152</v>
      </c>
      <c r="Q7" s="90" t="s">
        <v>152</v>
      </c>
      <c r="R7" s="14" t="s">
        <v>152</v>
      </c>
      <c r="S7" s="12" t="s">
        <v>641</v>
      </c>
      <c r="T7" s="12" t="s">
        <v>416</v>
      </c>
      <c r="U7" s="79"/>
      <c r="V7" s="79"/>
      <c r="W7" s="79"/>
      <c r="BA7"/>
      <c r="BB7"/>
      <c r="BC7" s="10" t="s">
        <v>416</v>
      </c>
      <c r="BG7" s="10">
        <v>12</v>
      </c>
      <c r="BH7" s="10">
        <v>12</v>
      </c>
      <c r="BI7" s="10">
        <v>12</v>
      </c>
      <c r="BJ7" s="10">
        <v>1</v>
      </c>
      <c r="BK7" s="10">
        <v>2</v>
      </c>
      <c r="BL7" s="10">
        <v>3</v>
      </c>
      <c r="BM7" s="10">
        <v>4</v>
      </c>
    </row>
    <row r="8" spans="1:65" s="190" customFormat="1" ht="13.5">
      <c r="A8" s="182"/>
      <c r="B8" s="252" t="s">
        <v>323</v>
      </c>
      <c r="C8" s="183" t="s">
        <v>333</v>
      </c>
      <c r="D8" s="184" t="s">
        <v>85</v>
      </c>
      <c r="E8" s="185"/>
      <c r="F8" s="186">
        <v>161.5</v>
      </c>
      <c r="G8" s="186">
        <v>153</v>
      </c>
      <c r="H8" s="186">
        <v>170</v>
      </c>
      <c r="I8" s="186">
        <v>187</v>
      </c>
      <c r="J8" s="186">
        <v>161.5</v>
      </c>
      <c r="K8" s="186">
        <v>153</v>
      </c>
      <c r="L8" s="186">
        <v>187</v>
      </c>
      <c r="M8" s="186">
        <v>170</v>
      </c>
      <c r="N8" s="186">
        <v>187</v>
      </c>
      <c r="O8" s="186">
        <v>170</v>
      </c>
      <c r="P8" s="186">
        <v>127.5</v>
      </c>
      <c r="Q8" s="186">
        <v>170</v>
      </c>
      <c r="R8" s="186">
        <f>SUM(F8:Q8)</f>
        <v>1997.5</v>
      </c>
      <c r="S8" s="187"/>
      <c r="T8" s="188"/>
      <c r="U8" s="189"/>
      <c r="V8" s="189"/>
      <c r="W8" s="189"/>
      <c r="BA8"/>
      <c r="BB8"/>
      <c r="BE8" s="190" t="s">
        <v>691</v>
      </c>
      <c r="BG8" s="190">
        <v>25359</v>
      </c>
      <c r="BH8" s="190">
        <v>25359</v>
      </c>
      <c r="BI8" s="190">
        <v>25359</v>
      </c>
      <c r="BJ8" s="190">
        <v>25359</v>
      </c>
      <c r="BK8" s="190">
        <v>25359</v>
      </c>
      <c r="BL8" s="190">
        <v>25359</v>
      </c>
      <c r="BM8" s="190">
        <v>25359</v>
      </c>
    </row>
    <row r="9" spans="1:65" s="190" customFormat="1" ht="13.5">
      <c r="A9" s="182"/>
      <c r="B9" s="253" t="s">
        <v>324</v>
      </c>
      <c r="C9" s="183" t="s">
        <v>334</v>
      </c>
      <c r="D9" s="191" t="s">
        <v>85</v>
      </c>
      <c r="E9" s="192"/>
      <c r="F9" s="193">
        <v>1836</v>
      </c>
      <c r="G9" s="193">
        <v>1700</v>
      </c>
      <c r="H9" s="193">
        <v>1887</v>
      </c>
      <c r="I9" s="193">
        <v>2074</v>
      </c>
      <c r="J9" s="193">
        <v>1793.5</v>
      </c>
      <c r="K9" s="193">
        <v>1700</v>
      </c>
      <c r="L9" s="193">
        <v>2074</v>
      </c>
      <c r="M9" s="193">
        <v>1793.5</v>
      </c>
      <c r="N9" s="193">
        <v>1980.5</v>
      </c>
      <c r="O9" s="193">
        <v>1793.5</v>
      </c>
      <c r="P9" s="193">
        <v>1326</v>
      </c>
      <c r="Q9" s="193">
        <v>1793.5</v>
      </c>
      <c r="R9" s="193">
        <f t="shared" ref="R9:R23" si="1">SUM(F9:Q9)</f>
        <v>21751.5</v>
      </c>
      <c r="S9" s="194"/>
      <c r="T9" s="195"/>
      <c r="U9" s="189"/>
      <c r="V9" s="189"/>
      <c r="W9" s="189"/>
      <c r="BA9"/>
      <c r="BB9"/>
      <c r="BE9" s="190" t="s">
        <v>692</v>
      </c>
      <c r="BG9" s="190" t="s">
        <v>693</v>
      </c>
      <c r="BH9" s="190" t="s">
        <v>693</v>
      </c>
      <c r="BI9" s="190" t="s">
        <v>693</v>
      </c>
      <c r="BJ9" s="190" t="s">
        <v>693</v>
      </c>
      <c r="BK9" s="190" t="s">
        <v>693</v>
      </c>
      <c r="BL9" s="190" t="s">
        <v>693</v>
      </c>
      <c r="BM9" s="190" t="s">
        <v>693</v>
      </c>
    </row>
    <row r="10" spans="1:65" s="190" customFormat="1" ht="13.5">
      <c r="A10" s="182"/>
      <c r="B10" s="254" t="s">
        <v>323</v>
      </c>
      <c r="C10" s="183" t="s">
        <v>335</v>
      </c>
      <c r="D10" s="196" t="s">
        <v>85</v>
      </c>
      <c r="E10" s="197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>
        <f t="shared" si="1"/>
        <v>0</v>
      </c>
      <c r="S10" s="199"/>
      <c r="T10" s="200"/>
      <c r="U10" s="189"/>
      <c r="V10" s="189"/>
      <c r="W10" s="189"/>
      <c r="BA10"/>
      <c r="BB10"/>
      <c r="BE10" s="190" t="s">
        <v>694</v>
      </c>
      <c r="BF10" s="190">
        <v>7.05</v>
      </c>
      <c r="BG10" s="190">
        <v>1966590</v>
      </c>
      <c r="BH10" s="190">
        <v>1966590</v>
      </c>
      <c r="BI10" s="190">
        <v>1966590</v>
      </c>
      <c r="BJ10" s="190">
        <v>1966590</v>
      </c>
      <c r="BK10" s="190">
        <v>1966590</v>
      </c>
      <c r="BL10" s="190">
        <v>1966590</v>
      </c>
      <c r="BM10" s="190">
        <v>1966590</v>
      </c>
    </row>
    <row r="11" spans="1:65" s="205" customFormat="1" ht="13.5">
      <c r="A11" s="201"/>
      <c r="B11" s="255" t="s">
        <v>324</v>
      </c>
      <c r="C11" s="183" t="s">
        <v>336</v>
      </c>
      <c r="D11" s="196" t="s">
        <v>85</v>
      </c>
      <c r="E11" s="202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193">
        <f t="shared" si="1"/>
        <v>0</v>
      </c>
      <c r="S11" s="203"/>
      <c r="T11" s="204"/>
      <c r="U11" s="189"/>
      <c r="V11" s="189"/>
      <c r="W11" s="189"/>
      <c r="BA11"/>
      <c r="BB11"/>
      <c r="BE11" s="205" t="s">
        <v>695</v>
      </c>
      <c r="BF11" s="205">
        <v>0</v>
      </c>
    </row>
    <row r="12" spans="1:65" s="205" customFormat="1" ht="13.5">
      <c r="A12" s="201"/>
      <c r="B12" s="254"/>
      <c r="C12" s="206" t="s">
        <v>450</v>
      </c>
      <c r="D12" s="207" t="s">
        <v>451</v>
      </c>
      <c r="E12" s="208"/>
      <c r="F12" s="209">
        <v>0</v>
      </c>
      <c r="G12" s="209">
        <v>0</v>
      </c>
      <c r="H12" s="209">
        <v>0</v>
      </c>
      <c r="I12" s="209">
        <v>0</v>
      </c>
      <c r="J12" s="209">
        <v>0</v>
      </c>
      <c r="K12" s="209">
        <v>0</v>
      </c>
      <c r="L12" s="209">
        <v>0</v>
      </c>
      <c r="M12" s="209">
        <v>0</v>
      </c>
      <c r="N12" s="209">
        <v>0</v>
      </c>
      <c r="O12" s="209">
        <v>0</v>
      </c>
      <c r="P12" s="209">
        <v>0</v>
      </c>
      <c r="Q12" s="209">
        <v>0</v>
      </c>
      <c r="R12" s="209">
        <f t="shared" si="1"/>
        <v>0</v>
      </c>
      <c r="S12" s="210" t="s">
        <v>696</v>
      </c>
      <c r="T12" s="204"/>
      <c r="U12" s="189"/>
      <c r="V12" s="189"/>
      <c r="W12" s="189"/>
      <c r="BA12"/>
      <c r="BB12"/>
      <c r="BE12" s="205" t="s">
        <v>697</v>
      </c>
      <c r="BF12" s="205">
        <v>0</v>
      </c>
    </row>
    <row r="13" spans="1:65" s="205" customFormat="1" ht="13.5">
      <c r="A13" s="201"/>
      <c r="B13" s="254"/>
      <c r="C13" s="206" t="s">
        <v>452</v>
      </c>
      <c r="D13" s="207" t="s">
        <v>453</v>
      </c>
      <c r="E13" s="208"/>
      <c r="F13" s="209">
        <v>6.75</v>
      </c>
      <c r="G13" s="209">
        <v>7</v>
      </c>
      <c r="H13" s="209">
        <v>7.75</v>
      </c>
      <c r="I13" s="209">
        <v>12</v>
      </c>
      <c r="J13" s="209">
        <v>10.75</v>
      </c>
      <c r="K13" s="209">
        <v>10</v>
      </c>
      <c r="L13" s="209">
        <v>8.25</v>
      </c>
      <c r="M13" s="209">
        <v>7.25</v>
      </c>
      <c r="N13" s="209">
        <v>8</v>
      </c>
      <c r="O13" s="209">
        <v>7.5</v>
      </c>
      <c r="P13" s="209">
        <v>5.5</v>
      </c>
      <c r="Q13" s="209">
        <v>7.5</v>
      </c>
      <c r="R13" s="209">
        <f t="shared" si="1"/>
        <v>98.25</v>
      </c>
      <c r="S13" s="210" t="s">
        <v>696</v>
      </c>
      <c r="T13" s="204"/>
      <c r="U13" s="189"/>
      <c r="V13" s="189"/>
      <c r="W13" s="189"/>
      <c r="BA13"/>
      <c r="BB13"/>
      <c r="BE13" s="205" t="s">
        <v>698</v>
      </c>
      <c r="BF13" s="205">
        <v>3.52</v>
      </c>
      <c r="BG13" s="205">
        <v>89264</v>
      </c>
      <c r="BH13" s="205">
        <v>89264</v>
      </c>
      <c r="BI13" s="205">
        <v>89264</v>
      </c>
      <c r="BJ13" s="205">
        <v>89264</v>
      </c>
      <c r="BK13" s="205">
        <v>89264</v>
      </c>
      <c r="BL13" s="205">
        <v>89264</v>
      </c>
      <c r="BM13" s="205">
        <v>89264</v>
      </c>
    </row>
    <row r="14" spans="1:65" s="205" customFormat="1" ht="13.5">
      <c r="A14" s="201"/>
      <c r="B14" s="255"/>
      <c r="C14" s="206" t="s">
        <v>454</v>
      </c>
      <c r="D14" s="207" t="s">
        <v>455</v>
      </c>
      <c r="E14" s="208"/>
      <c r="F14" s="209">
        <v>12.75</v>
      </c>
      <c r="G14" s="209">
        <v>12.25</v>
      </c>
      <c r="H14" s="209">
        <v>14</v>
      </c>
      <c r="I14" s="209">
        <v>23.25</v>
      </c>
      <c r="J14" s="209">
        <v>20.25</v>
      </c>
      <c r="K14" s="209">
        <v>19.75</v>
      </c>
      <c r="L14" s="209">
        <v>16.25</v>
      </c>
      <c r="M14" s="209">
        <v>14</v>
      </c>
      <c r="N14" s="209">
        <v>15.5</v>
      </c>
      <c r="O14" s="209">
        <v>14.25</v>
      </c>
      <c r="P14" s="209">
        <v>10.75</v>
      </c>
      <c r="Q14" s="209">
        <v>14</v>
      </c>
      <c r="R14" s="209">
        <f t="shared" si="1"/>
        <v>187</v>
      </c>
      <c r="S14" s="210" t="s">
        <v>696</v>
      </c>
      <c r="T14" s="204"/>
      <c r="U14" s="189"/>
      <c r="V14" s="189"/>
      <c r="W14" s="189"/>
      <c r="BA14"/>
      <c r="BB14"/>
      <c r="BE14" s="205" t="s">
        <v>699</v>
      </c>
      <c r="BF14" s="205" t="s">
        <v>700</v>
      </c>
      <c r="BG14" s="205">
        <v>182.06</v>
      </c>
      <c r="BH14" s="205">
        <v>182.06</v>
      </c>
      <c r="BI14" s="205">
        <v>182.06</v>
      </c>
      <c r="BJ14" s="205">
        <v>182.01</v>
      </c>
      <c r="BK14" s="205">
        <v>182.01</v>
      </c>
      <c r="BL14" s="205">
        <v>182.01</v>
      </c>
      <c r="BM14" s="205">
        <v>182.01</v>
      </c>
    </row>
    <row r="15" spans="1:65" s="205" customFormat="1" ht="13.5">
      <c r="A15" s="201"/>
      <c r="B15" s="255"/>
      <c r="C15" s="206" t="s">
        <v>456</v>
      </c>
      <c r="D15" s="207" t="s">
        <v>449</v>
      </c>
      <c r="E15" s="208"/>
      <c r="F15" s="209">
        <v>57</v>
      </c>
      <c r="G15" s="209">
        <v>56.5</v>
      </c>
      <c r="H15" s="209">
        <v>60</v>
      </c>
      <c r="I15" s="209">
        <v>96</v>
      </c>
      <c r="J15" s="209">
        <v>88.25</v>
      </c>
      <c r="K15" s="209">
        <v>82.5</v>
      </c>
      <c r="L15" s="209">
        <v>65</v>
      </c>
      <c r="M15" s="209">
        <v>59.25</v>
      </c>
      <c r="N15" s="209">
        <v>63.75</v>
      </c>
      <c r="O15" s="209">
        <v>60.25</v>
      </c>
      <c r="P15" s="209">
        <v>45.25</v>
      </c>
      <c r="Q15" s="209">
        <v>60.5</v>
      </c>
      <c r="R15" s="209">
        <f t="shared" si="1"/>
        <v>794.25</v>
      </c>
      <c r="S15" s="210" t="s">
        <v>696</v>
      </c>
      <c r="T15" s="204"/>
      <c r="U15" s="189"/>
      <c r="V15" s="189"/>
      <c r="W15" s="189"/>
      <c r="BA15"/>
      <c r="BB15"/>
      <c r="BE15" s="205" t="s">
        <v>701</v>
      </c>
      <c r="BF15" s="205" t="s">
        <v>700</v>
      </c>
      <c r="BG15" s="205">
        <v>12.29</v>
      </c>
      <c r="BH15" s="205">
        <v>12.29</v>
      </c>
      <c r="BI15" s="205">
        <v>12.29</v>
      </c>
      <c r="BJ15" s="205">
        <v>12.29</v>
      </c>
      <c r="BK15" s="205">
        <v>12.29</v>
      </c>
      <c r="BL15" s="205">
        <v>12.29</v>
      </c>
      <c r="BM15" s="205">
        <v>12.29</v>
      </c>
    </row>
    <row r="16" spans="1:65" s="205" customFormat="1" ht="13.5">
      <c r="A16" s="201"/>
      <c r="B16" s="256" t="s">
        <v>325</v>
      </c>
      <c r="C16" s="183" t="s">
        <v>337</v>
      </c>
      <c r="D16" s="211" t="s">
        <v>85</v>
      </c>
      <c r="E16" s="202"/>
      <c r="F16" s="193">
        <v>38</v>
      </c>
      <c r="G16" s="193">
        <v>36</v>
      </c>
      <c r="H16" s="193">
        <v>40</v>
      </c>
      <c r="I16" s="193">
        <v>44</v>
      </c>
      <c r="J16" s="193">
        <v>38</v>
      </c>
      <c r="K16" s="193">
        <v>36</v>
      </c>
      <c r="L16" s="193">
        <v>44</v>
      </c>
      <c r="M16" s="193">
        <v>40</v>
      </c>
      <c r="N16" s="193">
        <v>44</v>
      </c>
      <c r="O16" s="193">
        <v>40</v>
      </c>
      <c r="P16" s="193">
        <v>30</v>
      </c>
      <c r="Q16" s="193">
        <v>40</v>
      </c>
      <c r="R16" s="193">
        <f t="shared" si="1"/>
        <v>470</v>
      </c>
      <c r="S16" s="203"/>
      <c r="T16" s="204"/>
      <c r="U16" s="189"/>
      <c r="V16" s="189"/>
      <c r="W16" s="189"/>
      <c r="BA16"/>
      <c r="BB16"/>
      <c r="BE16" s="205" t="s">
        <v>702</v>
      </c>
      <c r="BF16" s="205" t="s">
        <v>700</v>
      </c>
      <c r="BG16" s="205">
        <v>123.58</v>
      </c>
      <c r="BH16" s="205">
        <v>123.58</v>
      </c>
      <c r="BI16" s="205">
        <v>123.58</v>
      </c>
      <c r="BJ16" s="205">
        <v>123.55</v>
      </c>
      <c r="BK16" s="205">
        <v>123.55</v>
      </c>
      <c r="BL16" s="205">
        <v>123.55</v>
      </c>
      <c r="BM16" s="205">
        <v>123.55</v>
      </c>
    </row>
    <row r="17" spans="1:65" s="190" customFormat="1" ht="13.5">
      <c r="A17" s="182"/>
      <c r="B17" s="256" t="s">
        <v>326</v>
      </c>
      <c r="C17" s="183" t="s">
        <v>338</v>
      </c>
      <c r="D17" s="211" t="s">
        <v>85</v>
      </c>
      <c r="E17" s="202"/>
      <c r="F17" s="193">
        <v>130</v>
      </c>
      <c r="G17" s="193">
        <v>128</v>
      </c>
      <c r="H17" s="193">
        <v>132</v>
      </c>
      <c r="I17" s="193">
        <v>136</v>
      </c>
      <c r="J17" s="193">
        <v>140</v>
      </c>
      <c r="K17" s="193">
        <v>138</v>
      </c>
      <c r="L17" s="193">
        <v>146</v>
      </c>
      <c r="M17" s="193">
        <v>140</v>
      </c>
      <c r="N17" s="193">
        <v>144</v>
      </c>
      <c r="O17" s="193">
        <v>140</v>
      </c>
      <c r="P17" s="193">
        <v>130</v>
      </c>
      <c r="Q17" s="193">
        <v>140</v>
      </c>
      <c r="R17" s="193">
        <f t="shared" si="1"/>
        <v>1644</v>
      </c>
      <c r="S17" s="203" t="s">
        <v>837</v>
      </c>
      <c r="T17" s="204"/>
      <c r="U17" s="189"/>
      <c r="V17" s="189"/>
      <c r="W17" s="189"/>
      <c r="BA17"/>
      <c r="BB17"/>
      <c r="BE17" s="190" t="s">
        <v>703</v>
      </c>
      <c r="BF17" s="190" t="s">
        <v>700</v>
      </c>
      <c r="BG17" s="190">
        <v>15.28</v>
      </c>
      <c r="BH17" s="190">
        <v>15.28</v>
      </c>
      <c r="BI17" s="190">
        <v>15.28</v>
      </c>
      <c r="BJ17" s="190">
        <v>15.28</v>
      </c>
      <c r="BK17" s="190">
        <v>15.28</v>
      </c>
      <c r="BL17" s="190">
        <v>15.28</v>
      </c>
      <c r="BM17" s="190">
        <v>15.28</v>
      </c>
    </row>
    <row r="18" spans="1:65" s="190" customFormat="1" ht="13.5">
      <c r="A18" s="182"/>
      <c r="B18" s="254" t="s">
        <v>325</v>
      </c>
      <c r="C18" s="183" t="s">
        <v>339</v>
      </c>
      <c r="D18" s="196" t="s">
        <v>85</v>
      </c>
      <c r="E18" s="197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>
        <f t="shared" si="1"/>
        <v>0</v>
      </c>
      <c r="S18" s="199"/>
      <c r="T18" s="200"/>
      <c r="U18" s="189"/>
      <c r="V18" s="189"/>
      <c r="W18" s="189"/>
      <c r="BA18"/>
      <c r="BB18"/>
      <c r="BE18" s="190" t="s">
        <v>704</v>
      </c>
      <c r="BF18" s="190" t="s">
        <v>705</v>
      </c>
      <c r="BG18" s="190">
        <v>1278721</v>
      </c>
      <c r="BH18" s="190">
        <v>1323787</v>
      </c>
      <c r="BI18" s="190">
        <v>1323787</v>
      </c>
      <c r="BJ18" s="190">
        <v>1226674</v>
      </c>
      <c r="BK18" s="190">
        <v>858672</v>
      </c>
      <c r="BL18" s="190">
        <v>1104007</v>
      </c>
      <c r="BM18" s="190">
        <v>1300274</v>
      </c>
    </row>
    <row r="19" spans="1:65" s="205" customFormat="1" ht="13.5">
      <c r="A19" s="201"/>
      <c r="B19" s="255" t="s">
        <v>326</v>
      </c>
      <c r="C19" s="183" t="s">
        <v>340</v>
      </c>
      <c r="D19" s="196" t="s">
        <v>85</v>
      </c>
      <c r="E19" s="20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>
        <f t="shared" si="1"/>
        <v>0</v>
      </c>
      <c r="S19" s="203"/>
      <c r="T19" s="204"/>
      <c r="U19" s="189"/>
      <c r="V19" s="189"/>
      <c r="W19" s="189"/>
      <c r="BA19"/>
      <c r="BB19"/>
      <c r="BE19" s="205" t="s">
        <v>706</v>
      </c>
      <c r="BF19" s="205" t="s">
        <v>705</v>
      </c>
      <c r="BG19" s="205">
        <v>424631</v>
      </c>
      <c r="BH19" s="205">
        <v>424631</v>
      </c>
      <c r="BI19" s="205">
        <v>424631</v>
      </c>
      <c r="BJ19" s="205">
        <v>295783</v>
      </c>
      <c r="BK19" s="205">
        <v>235769</v>
      </c>
      <c r="BL19" s="205">
        <v>257202</v>
      </c>
      <c r="BM19" s="205">
        <v>300069</v>
      </c>
    </row>
    <row r="20" spans="1:65" s="205" customFormat="1" ht="13.5">
      <c r="A20" s="201"/>
      <c r="B20" s="255"/>
      <c r="C20" s="206" t="s">
        <v>457</v>
      </c>
      <c r="D20" s="207" t="s">
        <v>451</v>
      </c>
      <c r="E20" s="208"/>
      <c r="F20" s="209">
        <v>0</v>
      </c>
      <c r="G20" s="209">
        <v>0</v>
      </c>
      <c r="H20" s="209">
        <v>0</v>
      </c>
      <c r="I20" s="209">
        <v>0</v>
      </c>
      <c r="J20" s="209">
        <v>0</v>
      </c>
      <c r="K20" s="209">
        <v>0</v>
      </c>
      <c r="L20" s="209">
        <v>0</v>
      </c>
      <c r="M20" s="209">
        <v>0</v>
      </c>
      <c r="N20" s="209">
        <v>0</v>
      </c>
      <c r="O20" s="209">
        <v>0</v>
      </c>
      <c r="P20" s="209">
        <v>0</v>
      </c>
      <c r="Q20" s="209">
        <v>0</v>
      </c>
      <c r="R20" s="209">
        <f t="shared" si="1"/>
        <v>0</v>
      </c>
      <c r="S20" s="210" t="s">
        <v>696</v>
      </c>
      <c r="T20" s="204"/>
      <c r="U20" s="189"/>
      <c r="V20" s="189"/>
      <c r="W20" s="189"/>
      <c r="BA20"/>
      <c r="BB20"/>
      <c r="BE20" s="205" t="s">
        <v>707</v>
      </c>
      <c r="BF20" s="205" t="s">
        <v>700</v>
      </c>
      <c r="BG20" s="205">
        <v>39585</v>
      </c>
      <c r="BH20" s="205">
        <v>39585</v>
      </c>
      <c r="BI20" s="205">
        <v>39585</v>
      </c>
      <c r="BJ20" s="205">
        <v>35606</v>
      </c>
      <c r="BK20" s="205">
        <v>38435</v>
      </c>
      <c r="BL20" s="205">
        <v>38435</v>
      </c>
      <c r="BM20" s="205">
        <v>38435</v>
      </c>
    </row>
    <row r="21" spans="1:65" s="205" customFormat="1" ht="13.5">
      <c r="A21" s="201"/>
      <c r="B21" s="255"/>
      <c r="C21" s="206" t="s">
        <v>341</v>
      </c>
      <c r="D21" s="207" t="s">
        <v>453</v>
      </c>
      <c r="E21" s="208"/>
      <c r="F21" s="209">
        <v>0.5</v>
      </c>
      <c r="G21" s="209">
        <v>0.5</v>
      </c>
      <c r="H21" s="209">
        <v>0.5</v>
      </c>
      <c r="I21" s="209">
        <v>0.75</v>
      </c>
      <c r="J21" s="209">
        <v>0.75</v>
      </c>
      <c r="K21" s="209">
        <v>0.75</v>
      </c>
      <c r="L21" s="209">
        <v>0.5</v>
      </c>
      <c r="M21" s="209">
        <v>0.5</v>
      </c>
      <c r="N21" s="209">
        <v>0.5</v>
      </c>
      <c r="O21" s="209">
        <v>0.5</v>
      </c>
      <c r="P21" s="209">
        <v>0.25</v>
      </c>
      <c r="Q21" s="209">
        <v>0.5</v>
      </c>
      <c r="R21" s="209">
        <f t="shared" si="1"/>
        <v>6.5</v>
      </c>
      <c r="S21" s="210" t="s">
        <v>696</v>
      </c>
      <c r="T21" s="204"/>
      <c r="U21" s="189"/>
      <c r="V21" s="189"/>
      <c r="W21" s="189"/>
      <c r="BA21"/>
      <c r="BB21"/>
      <c r="BE21" s="205" t="s">
        <v>708</v>
      </c>
      <c r="BF21" s="205" t="s">
        <v>700</v>
      </c>
      <c r="BG21" s="205">
        <v>1079</v>
      </c>
      <c r="BH21" s="205">
        <v>1079</v>
      </c>
      <c r="BI21" s="205">
        <v>1079</v>
      </c>
      <c r="BJ21" s="205">
        <v>1028</v>
      </c>
      <c r="BK21" s="205">
        <v>1126</v>
      </c>
      <c r="BL21" s="205">
        <v>1174</v>
      </c>
      <c r="BM21" s="205">
        <v>1174</v>
      </c>
    </row>
    <row r="22" spans="1:65" s="205" customFormat="1" ht="13.5">
      <c r="A22" s="201"/>
      <c r="B22" s="255"/>
      <c r="C22" s="206" t="s">
        <v>458</v>
      </c>
      <c r="D22" s="207" t="s">
        <v>455</v>
      </c>
      <c r="E22" s="208"/>
      <c r="F22" s="209">
        <v>1.25</v>
      </c>
      <c r="G22" s="209">
        <v>1</v>
      </c>
      <c r="H22" s="209">
        <v>1.25</v>
      </c>
      <c r="I22" s="209">
        <v>2</v>
      </c>
      <c r="J22" s="209">
        <v>1.25</v>
      </c>
      <c r="K22" s="209">
        <v>1.25</v>
      </c>
      <c r="L22" s="209">
        <v>1.25</v>
      </c>
      <c r="M22" s="209">
        <v>1.25</v>
      </c>
      <c r="N22" s="209">
        <v>1.25</v>
      </c>
      <c r="O22" s="209">
        <v>1.5</v>
      </c>
      <c r="P22" s="209">
        <v>0.5</v>
      </c>
      <c r="Q22" s="209">
        <v>1.5</v>
      </c>
      <c r="R22" s="209">
        <f t="shared" si="1"/>
        <v>15.25</v>
      </c>
      <c r="S22" s="210" t="s">
        <v>696</v>
      </c>
      <c r="T22" s="204"/>
      <c r="U22" s="189"/>
      <c r="V22" s="189"/>
      <c r="W22" s="189"/>
      <c r="BA22"/>
      <c r="BB22"/>
      <c r="BE22" s="205" t="s">
        <v>709</v>
      </c>
      <c r="BF22" s="205" t="s">
        <v>700</v>
      </c>
      <c r="BG22" s="205">
        <v>17105</v>
      </c>
      <c r="BH22" s="205">
        <v>17105</v>
      </c>
      <c r="BI22" s="205">
        <v>17105</v>
      </c>
      <c r="BJ22" s="205">
        <v>15443</v>
      </c>
      <c r="BK22" s="205">
        <v>16391</v>
      </c>
      <c r="BL22" s="205">
        <v>17520</v>
      </c>
      <c r="BM22" s="205">
        <v>17520</v>
      </c>
    </row>
    <row r="23" spans="1:65" s="205" customFormat="1" ht="13.5">
      <c r="A23" s="201"/>
      <c r="B23" s="255"/>
      <c r="C23" s="206" t="s">
        <v>459</v>
      </c>
      <c r="D23" s="207" t="s">
        <v>449</v>
      </c>
      <c r="E23" s="208"/>
      <c r="F23" s="209">
        <v>3.25</v>
      </c>
      <c r="G23" s="209">
        <v>3.25</v>
      </c>
      <c r="H23" s="209">
        <v>2.75</v>
      </c>
      <c r="I23" s="209">
        <v>4.5</v>
      </c>
      <c r="J23" s="209">
        <v>3.25</v>
      </c>
      <c r="K23" s="209">
        <v>5</v>
      </c>
      <c r="L23" s="209">
        <v>3</v>
      </c>
      <c r="M23" s="209">
        <v>3</v>
      </c>
      <c r="N23" s="209">
        <v>3</v>
      </c>
      <c r="O23" s="209">
        <v>2.75</v>
      </c>
      <c r="P23" s="209">
        <v>3.75</v>
      </c>
      <c r="Q23" s="209">
        <v>2.75</v>
      </c>
      <c r="R23" s="209">
        <f t="shared" si="1"/>
        <v>40.25</v>
      </c>
      <c r="S23" s="210" t="s">
        <v>696</v>
      </c>
      <c r="T23" s="204"/>
      <c r="U23" s="189"/>
      <c r="V23" s="189"/>
      <c r="W23" s="189"/>
      <c r="BA23"/>
      <c r="BB23"/>
      <c r="BE23" s="205" t="s">
        <v>710</v>
      </c>
      <c r="BF23" s="205" t="s">
        <v>700</v>
      </c>
      <c r="BG23" s="205">
        <v>49155</v>
      </c>
      <c r="BH23" s="205">
        <v>49155</v>
      </c>
      <c r="BI23" s="205">
        <v>49155</v>
      </c>
      <c r="BJ23" s="205">
        <v>49027</v>
      </c>
      <c r="BK23" s="205">
        <v>48431</v>
      </c>
      <c r="BL23" s="205">
        <v>48915</v>
      </c>
      <c r="BM23" s="205">
        <v>49077</v>
      </c>
    </row>
    <row r="24" spans="1:65" s="205" customFormat="1" ht="13.5">
      <c r="A24" s="201"/>
      <c r="B24" s="257" t="s">
        <v>342</v>
      </c>
      <c r="C24" s="258" t="s">
        <v>342</v>
      </c>
      <c r="D24" s="259" t="s">
        <v>342</v>
      </c>
      <c r="E24" s="239"/>
      <c r="F24" s="260">
        <v>1</v>
      </c>
      <c r="G24" s="260">
        <v>1</v>
      </c>
      <c r="H24" s="260">
        <v>1</v>
      </c>
      <c r="I24" s="260">
        <v>1</v>
      </c>
      <c r="J24" s="260">
        <v>1</v>
      </c>
      <c r="K24" s="260">
        <v>1</v>
      </c>
      <c r="L24" s="260">
        <v>1</v>
      </c>
      <c r="M24" s="260">
        <v>1</v>
      </c>
      <c r="N24" s="260">
        <v>1</v>
      </c>
      <c r="O24" s="260">
        <v>1</v>
      </c>
      <c r="P24" s="260">
        <v>1</v>
      </c>
      <c r="Q24" s="260">
        <v>1</v>
      </c>
      <c r="R24" s="260">
        <f>Q24</f>
        <v>1</v>
      </c>
      <c r="S24" s="199"/>
      <c r="T24" s="200"/>
      <c r="U24" s="261"/>
      <c r="V24" s="189"/>
      <c r="W24" s="189"/>
      <c r="BA24"/>
      <c r="BB24"/>
      <c r="BE24" s="205" t="s">
        <v>711</v>
      </c>
      <c r="BF24" s="205" t="s">
        <v>700</v>
      </c>
      <c r="BG24" s="205">
        <v>727642</v>
      </c>
      <c r="BH24" s="205">
        <v>727642</v>
      </c>
      <c r="BI24" s="205">
        <v>727642</v>
      </c>
      <c r="BJ24" s="205">
        <v>585189</v>
      </c>
      <c r="BK24" s="205">
        <v>546296</v>
      </c>
      <c r="BL24" s="205">
        <v>803438</v>
      </c>
      <c r="BM24" s="205">
        <v>803438</v>
      </c>
    </row>
    <row r="25" spans="1:65" s="190" customFormat="1" ht="15.75" thickBot="1">
      <c r="A25" s="182"/>
      <c r="B25" s="256" t="s">
        <v>343</v>
      </c>
      <c r="C25" s="262" t="s">
        <v>343</v>
      </c>
      <c r="D25" s="211" t="s">
        <v>343</v>
      </c>
      <c r="E25" s="263"/>
      <c r="F25" s="264">
        <v>11</v>
      </c>
      <c r="G25" s="264">
        <v>11</v>
      </c>
      <c r="H25" s="264">
        <v>11</v>
      </c>
      <c r="I25" s="264">
        <v>11</v>
      </c>
      <c r="J25" s="264">
        <v>11</v>
      </c>
      <c r="K25" s="264">
        <v>11</v>
      </c>
      <c r="L25" s="264">
        <v>11</v>
      </c>
      <c r="M25" s="264">
        <v>11</v>
      </c>
      <c r="N25" s="264">
        <v>11</v>
      </c>
      <c r="O25" s="264">
        <v>11</v>
      </c>
      <c r="P25" s="264">
        <v>11</v>
      </c>
      <c r="Q25" s="264">
        <v>11</v>
      </c>
      <c r="R25" s="264">
        <f>Q25</f>
        <v>11</v>
      </c>
      <c r="S25" s="265"/>
      <c r="T25" s="232"/>
      <c r="U25" s="261"/>
      <c r="V25" s="266">
        <v>4</v>
      </c>
      <c r="W25" s="266">
        <v>5</v>
      </c>
      <c r="X25" s="266">
        <v>6</v>
      </c>
      <c r="Y25" s="266">
        <v>7</v>
      </c>
      <c r="Z25" s="266">
        <v>8</v>
      </c>
      <c r="AA25" s="266">
        <v>9</v>
      </c>
      <c r="AB25" s="266">
        <v>10</v>
      </c>
      <c r="AC25" s="266">
        <v>11</v>
      </c>
      <c r="AD25" s="266">
        <v>12</v>
      </c>
      <c r="AE25" s="266">
        <v>1</v>
      </c>
      <c r="AF25" s="266">
        <v>2</v>
      </c>
      <c r="AG25" s="266">
        <v>3</v>
      </c>
      <c r="BA25"/>
      <c r="BB25"/>
      <c r="BE25" s="190" t="s">
        <v>712</v>
      </c>
      <c r="BF25" s="190" t="s">
        <v>700</v>
      </c>
      <c r="BG25" s="190">
        <v>1620318</v>
      </c>
      <c r="BH25" s="190">
        <v>1620318</v>
      </c>
      <c r="BI25" s="190">
        <v>1620318</v>
      </c>
      <c r="BJ25" s="190">
        <v>1505412</v>
      </c>
      <c r="BK25" s="190">
        <v>1488121</v>
      </c>
      <c r="BL25" s="190">
        <v>1167909</v>
      </c>
      <c r="BM25" s="190">
        <v>1259044</v>
      </c>
    </row>
    <row r="26" spans="1:65" s="190" customFormat="1" ht="13.5">
      <c r="A26" s="182"/>
      <c r="B26" s="177">
        <v>9114120002</v>
      </c>
      <c r="C26" s="213" t="s">
        <v>70</v>
      </c>
      <c r="D26" s="214" t="s">
        <v>70</v>
      </c>
      <c r="E26" s="215"/>
      <c r="F26" s="216">
        <f>ROUNDDOWN(V26*$B$2,0)+1</f>
        <v>756707565</v>
      </c>
      <c r="G26" s="216">
        <f t="shared" ref="G26:I26" si="2">ROUNDDOWN(W26*$B$2,0)+1</f>
        <v>1105818795</v>
      </c>
      <c r="H26" s="216">
        <f t="shared" si="2"/>
        <v>1026239934</v>
      </c>
      <c r="I26" s="216">
        <f t="shared" si="2"/>
        <v>1060968122</v>
      </c>
      <c r="J26" s="216">
        <f t="shared" ref="J26" si="3">ROUNDDOWN(Z26*$B$2,0)</f>
        <v>1149473853</v>
      </c>
      <c r="K26" s="216">
        <f t="shared" ref="K26:Q26" si="4">ROUNDDOWN(AA26*$B$2,0)+1</f>
        <v>1153673106</v>
      </c>
      <c r="L26" s="216">
        <f t="shared" si="4"/>
        <v>1453732633</v>
      </c>
      <c r="M26" s="216">
        <f t="shared" si="4"/>
        <v>1171044436</v>
      </c>
      <c r="N26" s="216">
        <f t="shared" si="4"/>
        <v>1135944792</v>
      </c>
      <c r="O26" s="216">
        <f t="shared" si="4"/>
        <v>1161632363</v>
      </c>
      <c r="P26" s="216">
        <f t="shared" si="4"/>
        <v>1140587861</v>
      </c>
      <c r="Q26" s="216">
        <f t="shared" si="4"/>
        <v>1129609479</v>
      </c>
      <c r="R26" s="216">
        <f t="shared" ref="R26:R118" si="5">SUM(F26:Q26)</f>
        <v>13445432939</v>
      </c>
      <c r="S26" s="217" t="s">
        <v>838</v>
      </c>
      <c r="T26" s="218"/>
      <c r="U26" s="189"/>
      <c r="V26" s="219">
        <v>29803.37</v>
      </c>
      <c r="W26" s="219">
        <v>43553.32</v>
      </c>
      <c r="X26" s="220">
        <v>40419.06</v>
      </c>
      <c r="Y26" s="220">
        <v>41786.85</v>
      </c>
      <c r="Z26" s="220">
        <v>45272.7</v>
      </c>
      <c r="AA26" s="220">
        <v>45438.09</v>
      </c>
      <c r="AB26" s="220">
        <v>57256.11</v>
      </c>
      <c r="AC26" s="220">
        <v>46122.27</v>
      </c>
      <c r="AD26" s="220">
        <v>44739.85</v>
      </c>
      <c r="AE26" s="220">
        <v>45751.57</v>
      </c>
      <c r="AF26" s="220">
        <v>44922.720000000001</v>
      </c>
      <c r="AG26" s="220">
        <v>44490.33</v>
      </c>
      <c r="BA26"/>
      <c r="BB26"/>
      <c r="BE26" s="190" t="s">
        <v>713</v>
      </c>
      <c r="BG26" s="190">
        <v>1</v>
      </c>
      <c r="BH26" s="190">
        <v>1</v>
      </c>
      <c r="BI26" s="190">
        <v>1</v>
      </c>
      <c r="BJ26" s="190">
        <v>1</v>
      </c>
      <c r="BK26" s="190">
        <v>1</v>
      </c>
      <c r="BL26" s="190">
        <v>1</v>
      </c>
      <c r="BM26" s="190">
        <v>1</v>
      </c>
    </row>
    <row r="27" spans="1:65" s="190" customFormat="1" ht="13.5">
      <c r="A27" s="221"/>
      <c r="B27" s="178">
        <v>9114120004</v>
      </c>
      <c r="C27" s="222" t="s">
        <v>73</v>
      </c>
      <c r="D27" s="223" t="s">
        <v>73</v>
      </c>
      <c r="E27" s="224"/>
      <c r="F27" s="225">
        <v>0</v>
      </c>
      <c r="G27" s="225">
        <v>0</v>
      </c>
      <c r="H27" s="225">
        <v>0</v>
      </c>
      <c r="I27" s="225">
        <v>0</v>
      </c>
      <c r="J27" s="225">
        <v>0</v>
      </c>
      <c r="K27" s="225">
        <v>0</v>
      </c>
      <c r="L27" s="225">
        <v>0</v>
      </c>
      <c r="M27" s="225">
        <v>0</v>
      </c>
      <c r="N27" s="225">
        <v>0</v>
      </c>
      <c r="O27" s="225">
        <v>0</v>
      </c>
      <c r="P27" s="225">
        <v>0</v>
      </c>
      <c r="Q27" s="225">
        <v>0</v>
      </c>
      <c r="R27" s="225">
        <f t="shared" si="5"/>
        <v>0</v>
      </c>
      <c r="S27" s="226" t="s">
        <v>838</v>
      </c>
      <c r="T27" s="200"/>
      <c r="U27" s="189"/>
      <c r="V27" s="219"/>
      <c r="W27" s="219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BA27"/>
      <c r="BB27"/>
      <c r="BE27" s="190" t="s">
        <v>714</v>
      </c>
      <c r="BG27" s="190">
        <v>7</v>
      </c>
      <c r="BH27" s="190">
        <v>7</v>
      </c>
      <c r="BI27" s="190">
        <v>7</v>
      </c>
      <c r="BJ27" s="190">
        <v>5</v>
      </c>
      <c r="BK27" s="190">
        <v>5</v>
      </c>
      <c r="BL27" s="190">
        <v>5</v>
      </c>
      <c r="BM27" s="190">
        <v>6</v>
      </c>
    </row>
    <row r="28" spans="1:65" s="190" customFormat="1" ht="13.5">
      <c r="A28" s="221"/>
      <c r="B28" s="178">
        <v>9114120014</v>
      </c>
      <c r="C28" s="222" t="s">
        <v>74</v>
      </c>
      <c r="D28" s="223" t="s">
        <v>74</v>
      </c>
      <c r="E28" s="224"/>
      <c r="F28" s="225">
        <v>0</v>
      </c>
      <c r="G28" s="225">
        <v>0</v>
      </c>
      <c r="H28" s="225">
        <v>0</v>
      </c>
      <c r="I28" s="225">
        <v>0</v>
      </c>
      <c r="J28" s="225">
        <v>0</v>
      </c>
      <c r="K28" s="225">
        <v>0</v>
      </c>
      <c r="L28" s="225">
        <v>0</v>
      </c>
      <c r="M28" s="225">
        <v>0</v>
      </c>
      <c r="N28" s="225">
        <v>0</v>
      </c>
      <c r="O28" s="225">
        <v>0</v>
      </c>
      <c r="P28" s="225">
        <v>0</v>
      </c>
      <c r="Q28" s="225">
        <v>0</v>
      </c>
      <c r="R28" s="225">
        <f t="shared" si="5"/>
        <v>0</v>
      </c>
      <c r="S28" s="226" t="s">
        <v>838</v>
      </c>
      <c r="T28" s="200"/>
      <c r="U28" s="189"/>
      <c r="V28" s="219"/>
      <c r="W28" s="219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BA28"/>
      <c r="BB28"/>
      <c r="BE28" s="190" t="s">
        <v>715</v>
      </c>
      <c r="BG28" s="190">
        <v>10</v>
      </c>
      <c r="BH28" s="190">
        <v>10</v>
      </c>
      <c r="BI28" s="190">
        <v>10</v>
      </c>
      <c r="BJ28" s="190">
        <v>10</v>
      </c>
      <c r="BK28" s="190">
        <v>100</v>
      </c>
      <c r="BL28" s="190">
        <v>100</v>
      </c>
      <c r="BM28" s="190">
        <v>100</v>
      </c>
    </row>
    <row r="29" spans="1:65" s="190" customFormat="1" ht="14.25" thickBot="1">
      <c r="A29" s="221"/>
      <c r="B29" s="179">
        <v>9114120006</v>
      </c>
      <c r="C29" s="227" t="s">
        <v>141</v>
      </c>
      <c r="D29" s="228" t="s">
        <v>100</v>
      </c>
      <c r="E29" s="229"/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f t="shared" si="5"/>
        <v>0</v>
      </c>
      <c r="S29" s="231" t="s">
        <v>838</v>
      </c>
      <c r="T29" s="232"/>
      <c r="U29" s="189"/>
      <c r="V29" s="219"/>
      <c r="W29" s="219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BA29"/>
      <c r="BB29"/>
      <c r="BE29" s="190" t="s">
        <v>716</v>
      </c>
      <c r="BG29" s="190">
        <v>0</v>
      </c>
      <c r="BH29" s="190">
        <v>0</v>
      </c>
      <c r="BI29" s="190">
        <v>0</v>
      </c>
      <c r="BJ29" s="190">
        <v>2</v>
      </c>
      <c r="BK29" s="190">
        <v>2</v>
      </c>
      <c r="BL29" s="190">
        <v>2</v>
      </c>
      <c r="BM29" s="190">
        <v>1</v>
      </c>
    </row>
    <row r="30" spans="1:65" s="205" customFormat="1" ht="13.5">
      <c r="B30" s="180" t="s">
        <v>718</v>
      </c>
      <c r="C30" s="236" t="str">
        <f>IFERROR(IF(VLOOKUP($B30,[1]勘定科目!$A:$H,HLOOKUP($E$5,[1]勘定科目!$F$1:$H$2,2,0),0)="","",VLOOKUP($B30,[1]勘定科目!$A:$E,2,0)),"")</f>
        <v/>
      </c>
      <c r="D30" s="237" t="str">
        <f>IF(C30="","",VLOOKUP($B30,[1]勘定科目!$A:$E,4,0))</f>
        <v/>
      </c>
      <c r="E30" s="238"/>
      <c r="F30" s="234"/>
      <c r="G30" s="235"/>
      <c r="H30" s="235"/>
      <c r="I30" s="235"/>
      <c r="J30" s="235"/>
      <c r="K30" s="235"/>
      <c r="L30" s="235"/>
      <c r="M30" s="235"/>
      <c r="N30" s="235"/>
      <c r="O30" s="235"/>
      <c r="P30" s="235"/>
      <c r="Q30" s="235"/>
      <c r="R30" s="235">
        <f t="shared" si="5"/>
        <v>0</v>
      </c>
      <c r="S30" s="199"/>
      <c r="T30" s="200"/>
      <c r="U30" s="189"/>
      <c r="V30" s="189"/>
      <c r="W30" s="189"/>
      <c r="BA30"/>
      <c r="BB30"/>
      <c r="BE30" s="205" t="s">
        <v>717</v>
      </c>
      <c r="BG30" s="205">
        <v>20</v>
      </c>
      <c r="BH30" s="205">
        <v>20</v>
      </c>
      <c r="BI30" s="205">
        <v>20</v>
      </c>
      <c r="BJ30" s="205">
        <v>17</v>
      </c>
      <c r="BK30" s="205">
        <v>19</v>
      </c>
      <c r="BL30" s="205">
        <v>20</v>
      </c>
      <c r="BM30" s="205">
        <v>19</v>
      </c>
    </row>
    <row r="31" spans="1:65" s="205" customFormat="1" ht="13.5">
      <c r="B31" s="180">
        <v>9114120018</v>
      </c>
      <c r="C31" s="236" t="str">
        <f>IFERROR(IF(VLOOKUP($B31,[1]勘定科目!$A:$H,HLOOKUP($E$5,[1]勘定科目!$F$1:$H$2,2,0),0)="","",VLOOKUP($B31,[1]勘定科目!$A:$E,2,0)),"")</f>
        <v>部内間接経費</v>
      </c>
      <c r="D31" s="237" t="str">
        <f>IF(C31="","",VLOOKUP($B31,[1]勘定科目!$A:$E,4,0))</f>
        <v>部内間接経費</v>
      </c>
      <c r="E31" s="238"/>
      <c r="F31" s="234">
        <v>0</v>
      </c>
      <c r="G31" s="235">
        <v>0</v>
      </c>
      <c r="H31" s="235">
        <v>0</v>
      </c>
      <c r="I31" s="235">
        <v>0</v>
      </c>
      <c r="J31" s="235">
        <v>0</v>
      </c>
      <c r="K31" s="235">
        <v>0</v>
      </c>
      <c r="L31" s="235">
        <v>0</v>
      </c>
      <c r="M31" s="235">
        <v>0</v>
      </c>
      <c r="N31" s="235">
        <v>0</v>
      </c>
      <c r="O31" s="235">
        <v>0</v>
      </c>
      <c r="P31" s="235">
        <v>0</v>
      </c>
      <c r="Q31" s="235">
        <v>0</v>
      </c>
      <c r="R31" s="235">
        <f t="shared" si="5"/>
        <v>0</v>
      </c>
      <c r="S31" s="199" t="s">
        <v>696</v>
      </c>
      <c r="T31" s="200"/>
      <c r="U31" s="189"/>
      <c r="V31" s="189"/>
      <c r="W31" s="189"/>
      <c r="BA31"/>
      <c r="BB31"/>
    </row>
    <row r="32" spans="1:65" s="205" customFormat="1" ht="13.5">
      <c r="B32" s="180">
        <v>9114120029</v>
      </c>
      <c r="C32" s="236" t="str">
        <f>IFERROR(IF(VLOOKUP($B32,[1]勘定科目!$A:$H,HLOOKUP($E$5,[1]勘定科目!$F$1:$H$2,2,0),0)="","",VLOOKUP($B32,[1]勘定科目!$A:$E,2,0)),"")</f>
        <v>部外間接経費1</v>
      </c>
      <c r="D32" s="237" t="str">
        <f>IF(C32="","",VLOOKUP($B32,[1]勘定科目!$A:$E,4,0))</f>
        <v>部外間接経費1</v>
      </c>
      <c r="E32" s="238"/>
      <c r="F32" s="234">
        <v>397748</v>
      </c>
      <c r="G32" s="235">
        <v>456535</v>
      </c>
      <c r="H32" s="235">
        <v>380026</v>
      </c>
      <c r="I32" s="235">
        <v>628019</v>
      </c>
      <c r="J32" s="235">
        <v>564637</v>
      </c>
      <c r="K32" s="235">
        <v>617936</v>
      </c>
      <c r="L32" s="235">
        <v>371560</v>
      </c>
      <c r="M32" s="235">
        <v>373979</v>
      </c>
      <c r="N32" s="235">
        <v>377736</v>
      </c>
      <c r="O32" s="235">
        <v>363367</v>
      </c>
      <c r="P32" s="235">
        <v>384655</v>
      </c>
      <c r="Q32" s="235">
        <v>367742</v>
      </c>
      <c r="R32" s="235">
        <f t="shared" si="5"/>
        <v>5283940</v>
      </c>
      <c r="S32" s="199" t="s">
        <v>696</v>
      </c>
      <c r="T32" s="200"/>
      <c r="U32" s="189"/>
      <c r="V32" s="189"/>
      <c r="W32" s="189"/>
      <c r="BA32"/>
      <c r="BB32"/>
    </row>
    <row r="33" spans="1:68" s="205" customFormat="1" ht="13.5">
      <c r="B33" s="180">
        <v>9114120030</v>
      </c>
      <c r="C33" s="236" t="str">
        <f>IFERROR(IF(VLOOKUP($B33,[1]勘定科目!$A:$H,HLOOKUP($E$5,[1]勘定科目!$F$1:$H$2,2,0),0)="","",VLOOKUP($B33,[1]勘定科目!$A:$E,2,0)),"")</f>
        <v>部外間接経費2</v>
      </c>
      <c r="D33" s="237" t="str">
        <f>IF(C33="","",VLOOKUP($B33,[1]勘定科目!$A:$E,4,0))</f>
        <v>部外間接経費2</v>
      </c>
      <c r="E33" s="238"/>
      <c r="F33" s="234">
        <v>2428308</v>
      </c>
      <c r="G33" s="235">
        <v>829829</v>
      </c>
      <c r="H33" s="235">
        <v>594132</v>
      </c>
      <c r="I33" s="235">
        <v>960180</v>
      </c>
      <c r="J33" s="235">
        <v>862028</v>
      </c>
      <c r="K33" s="235">
        <v>775164</v>
      </c>
      <c r="L33" s="235">
        <v>646360</v>
      </c>
      <c r="M33" s="235">
        <v>664785</v>
      </c>
      <c r="N33" s="235">
        <v>642063</v>
      </c>
      <c r="O33" s="235">
        <v>502068</v>
      </c>
      <c r="P33" s="235">
        <v>525403</v>
      </c>
      <c r="Q33" s="235">
        <v>516391</v>
      </c>
      <c r="R33" s="235">
        <f t="shared" si="5"/>
        <v>9946711</v>
      </c>
      <c r="S33" s="199" t="s">
        <v>696</v>
      </c>
      <c r="T33" s="200"/>
      <c r="U33" s="189"/>
      <c r="V33" s="189"/>
      <c r="W33" s="189"/>
      <c r="BA33"/>
      <c r="BB33"/>
    </row>
    <row r="34" spans="1:68" s="205" customFormat="1" ht="13.5">
      <c r="B34" s="180">
        <v>9114120021</v>
      </c>
      <c r="C34" s="236" t="str">
        <f>IFERROR(IF(VLOOKUP($B34,[1]勘定科目!$A:$H,HLOOKUP($E$5,[1]勘定科目!$F$1:$H$2,2,0),0)="","",VLOOKUP($B34,[1]勘定科目!$A:$E,2,0)),"")</f>
        <v>工場間接経費</v>
      </c>
      <c r="D34" s="237" t="str">
        <f>IF(C34="","",VLOOKUP($B34,[1]勘定科目!$A:$E,4,0))</f>
        <v>工場間接経費</v>
      </c>
      <c r="E34" s="238"/>
      <c r="F34" s="234">
        <v>28869303</v>
      </c>
      <c r="G34" s="235">
        <v>36883360</v>
      </c>
      <c r="H34" s="235">
        <v>27306721</v>
      </c>
      <c r="I34" s="235">
        <v>59003732</v>
      </c>
      <c r="J34" s="235">
        <v>32875220</v>
      </c>
      <c r="K34" s="235">
        <v>32133504</v>
      </c>
      <c r="L34" s="235">
        <v>27208202</v>
      </c>
      <c r="M34" s="235">
        <v>22922178</v>
      </c>
      <c r="N34" s="235">
        <v>22670432</v>
      </c>
      <c r="O34" s="235">
        <v>25237009</v>
      </c>
      <c r="P34" s="235">
        <v>17427497</v>
      </c>
      <c r="Q34" s="235">
        <v>17985042</v>
      </c>
      <c r="R34" s="235">
        <f t="shared" si="5"/>
        <v>350522200</v>
      </c>
      <c r="S34" s="199" t="s">
        <v>696</v>
      </c>
      <c r="T34" s="200"/>
      <c r="U34" s="189"/>
      <c r="V34" s="189"/>
      <c r="W34" s="189"/>
      <c r="BA34"/>
      <c r="BB34"/>
    </row>
    <row r="35" spans="1:68" s="292" customFormat="1" ht="14.25">
      <c r="B35" s="293" t="s">
        <v>718</v>
      </c>
      <c r="C35" s="236" t="str">
        <f>IFERROR(IF(VLOOKUP($B35,[1]勘定科目!$A:$H,HLOOKUP($E$5,[1]勘定科目!$F$1:$H$2,2,0),0)="","",VLOOKUP($B35,[1]勘定科目!$A:$E,2,0)),"")</f>
        <v/>
      </c>
      <c r="D35" s="237" t="str">
        <f>IF(C35="","",VLOOKUP($B35,[1]勘定科目!$A:$E,4,0))</f>
        <v/>
      </c>
      <c r="E35" s="294"/>
      <c r="F35" s="295"/>
      <c r="G35" s="296"/>
      <c r="H35" s="296"/>
      <c r="I35" s="296"/>
      <c r="J35" s="296"/>
      <c r="K35" s="296"/>
      <c r="L35" s="296"/>
      <c r="M35" s="296"/>
      <c r="N35" s="296"/>
      <c r="O35" s="296"/>
      <c r="P35" s="296"/>
      <c r="Q35" s="296"/>
      <c r="R35" s="296">
        <f t="shared" si="5"/>
        <v>0</v>
      </c>
      <c r="S35" s="298"/>
      <c r="T35" s="299"/>
      <c r="U35" s="300"/>
      <c r="V35" s="301"/>
      <c r="W35" s="302"/>
      <c r="X35" s="303"/>
      <c r="Y35" s="303"/>
      <c r="Z35" s="303"/>
      <c r="AA35" s="303"/>
      <c r="AB35" s="303"/>
      <c r="AC35" s="304"/>
      <c r="AD35" s="304"/>
      <c r="AE35" s="304"/>
      <c r="AF35" s="304"/>
      <c r="AG35" s="304"/>
      <c r="AH35" s="305"/>
      <c r="AI35" s="306"/>
      <c r="AJ35" s="306"/>
      <c r="AK35" s="306"/>
      <c r="AL35" s="306"/>
      <c r="AM35" s="306"/>
      <c r="AN35" s="306"/>
      <c r="AO35" s="306"/>
      <c r="AP35" s="306"/>
      <c r="AQ35" s="306"/>
      <c r="AR35" s="306"/>
      <c r="AS35" s="306"/>
      <c r="AT35" s="306"/>
      <c r="AU35" s="306"/>
      <c r="AV35" s="305"/>
      <c r="AW35" s="305"/>
      <c r="AX35" s="305"/>
      <c r="AY35" s="305"/>
      <c r="AZ35" s="30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</row>
    <row r="36" spans="1:68" s="317" customFormat="1" ht="14.25">
      <c r="A36" s="307"/>
      <c r="B36" s="308"/>
      <c r="C36" s="183" t="str">
        <f>IFERROR(IF(VLOOKUP($B36,[1]勘定科目!$A:$H,HLOOKUP($E$5,[1]勘定科目!$F$1:$H$2,2,0),0)="","",VLOOKUP($B36,[1]勘定科目!$A:$E,2,0)),"")</f>
        <v/>
      </c>
      <c r="D36" s="233" t="str">
        <f>IF(C36="","",VLOOKUP($B36,[1]勘定科目!$A:$E,4,0))</f>
        <v/>
      </c>
      <c r="E36" s="311"/>
      <c r="F36" s="312"/>
      <c r="G36" s="313"/>
      <c r="H36" s="313"/>
      <c r="I36" s="313"/>
      <c r="J36" s="313"/>
      <c r="K36" s="313"/>
      <c r="L36" s="313"/>
      <c r="M36" s="313"/>
      <c r="N36" s="313"/>
      <c r="O36" s="313"/>
      <c r="P36" s="313"/>
      <c r="Q36" s="313"/>
      <c r="R36" s="313">
        <f t="shared" si="5"/>
        <v>0</v>
      </c>
      <c r="S36" s="298"/>
      <c r="T36" s="299"/>
      <c r="U36" s="300"/>
      <c r="V36" s="314"/>
      <c r="W36" s="315"/>
      <c r="X36" s="314"/>
      <c r="Y36" s="314"/>
      <c r="Z36" s="314"/>
      <c r="AA36" s="314"/>
      <c r="AB36" s="314"/>
      <c r="AC36" s="316"/>
      <c r="AD36" s="316"/>
      <c r="AE36" s="316"/>
      <c r="AF36" s="316"/>
      <c r="AG36" s="316"/>
      <c r="AH36" s="306"/>
      <c r="AI36" s="306"/>
      <c r="AJ36" s="306"/>
      <c r="AK36" s="306"/>
      <c r="AL36" s="306"/>
      <c r="AM36" s="306"/>
      <c r="AN36" s="306"/>
      <c r="AO36" s="306"/>
      <c r="AP36" s="306"/>
      <c r="AQ36" s="306"/>
      <c r="AR36" s="306"/>
      <c r="AS36" s="306"/>
      <c r="AT36" s="306"/>
      <c r="AU36" s="306"/>
      <c r="AV36" s="306"/>
      <c r="AW36" s="306"/>
      <c r="AX36" s="306"/>
      <c r="AY36" s="306"/>
      <c r="AZ36" s="30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</row>
    <row r="37" spans="1:68" s="317" customFormat="1" ht="14.25">
      <c r="A37" s="307"/>
      <c r="B37" s="308"/>
      <c r="C37" s="183" t="str">
        <f>IFERROR(IF(VLOOKUP($B37,[1]勘定科目!$A:$H,HLOOKUP($E$5,[1]勘定科目!$F$1:$H$2,2,0),0)="","",VLOOKUP($B37,[1]勘定科目!$A:$E,2,0)),"")</f>
        <v/>
      </c>
      <c r="D37" s="233" t="str">
        <f>IF(C37="","",VLOOKUP($B37,[1]勘定科目!$A:$E,4,0))</f>
        <v/>
      </c>
      <c r="E37" s="311"/>
      <c r="F37" s="295"/>
      <c r="G37" s="296"/>
      <c r="H37" s="296"/>
      <c r="I37" s="296"/>
      <c r="J37" s="296"/>
      <c r="K37" s="296"/>
      <c r="L37" s="296"/>
      <c r="M37" s="296"/>
      <c r="N37" s="296"/>
      <c r="O37" s="296"/>
      <c r="P37" s="296"/>
      <c r="Q37" s="296"/>
      <c r="R37" s="296">
        <f t="shared" si="5"/>
        <v>0</v>
      </c>
      <c r="S37" s="298"/>
      <c r="T37" s="299"/>
      <c r="U37" s="300"/>
      <c r="V37" s="314"/>
      <c r="W37" s="315"/>
      <c r="X37" s="314"/>
      <c r="Y37" s="314"/>
      <c r="Z37" s="314"/>
      <c r="AA37" s="314"/>
      <c r="AB37" s="314"/>
      <c r="AC37" s="316"/>
      <c r="AD37" s="316"/>
      <c r="AE37" s="316"/>
      <c r="AF37" s="316"/>
      <c r="AG37" s="316"/>
      <c r="AH37" s="306"/>
      <c r="AI37" s="306"/>
      <c r="AJ37" s="306"/>
      <c r="AK37" s="306"/>
      <c r="AL37" s="306"/>
      <c r="AM37" s="306"/>
      <c r="AN37" s="306"/>
      <c r="AO37" s="306"/>
      <c r="AP37" s="306"/>
      <c r="AQ37" s="306"/>
      <c r="AR37" s="306"/>
      <c r="AS37" s="306"/>
      <c r="AT37" s="306"/>
      <c r="AU37" s="306"/>
      <c r="AV37" s="306"/>
      <c r="AW37" s="306"/>
      <c r="AX37" s="306"/>
      <c r="AY37" s="306"/>
      <c r="AZ37" s="306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</row>
    <row r="38" spans="1:68" s="317" customFormat="1" ht="14.25">
      <c r="A38" s="307"/>
      <c r="B38" s="293"/>
      <c r="C38" s="183" t="str">
        <f>IFERROR(IF(VLOOKUP($B38,[1]勘定科目!$A:$H,HLOOKUP($E$5,[1]勘定科目!$F$1:$H$2,2,0),0)="","",VLOOKUP($B38,[1]勘定科目!$A:$E,2,0)),"")</f>
        <v/>
      </c>
      <c r="D38" s="233" t="str">
        <f>IF(C38="","",VLOOKUP($B38,[1]勘定科目!$A:$E,4,0))</f>
        <v/>
      </c>
      <c r="E38" s="311"/>
      <c r="F38" s="318"/>
      <c r="G38" s="319"/>
      <c r="H38" s="319"/>
      <c r="I38" s="319"/>
      <c r="J38" s="319"/>
      <c r="K38" s="319"/>
      <c r="L38" s="319"/>
      <c r="M38" s="319"/>
      <c r="N38" s="319"/>
      <c r="O38" s="319"/>
      <c r="P38" s="319"/>
      <c r="Q38" s="319"/>
      <c r="R38" s="319">
        <f t="shared" si="5"/>
        <v>0</v>
      </c>
      <c r="S38" s="298"/>
      <c r="T38" s="299"/>
      <c r="U38" s="300"/>
      <c r="V38" s="303"/>
      <c r="W38" s="302"/>
      <c r="X38" s="303"/>
      <c r="Y38" s="303"/>
      <c r="Z38" s="303"/>
      <c r="AA38" s="303"/>
      <c r="AB38" s="303"/>
      <c r="AC38" s="320"/>
      <c r="AD38" s="320"/>
      <c r="AE38" s="320"/>
      <c r="AF38" s="320"/>
      <c r="AG38" s="320"/>
      <c r="AH38" s="306"/>
      <c r="AI38" s="306"/>
      <c r="AJ38" s="306"/>
      <c r="AK38" s="306"/>
      <c r="AL38" s="306"/>
      <c r="AM38" s="306"/>
      <c r="AN38" s="306"/>
      <c r="AO38" s="306"/>
      <c r="AP38" s="306"/>
      <c r="AQ38" s="306"/>
      <c r="AR38" s="306"/>
      <c r="AS38" s="306"/>
      <c r="AT38" s="306"/>
      <c r="AU38" s="306"/>
      <c r="AV38" s="306"/>
      <c r="AW38" s="306"/>
      <c r="AX38" s="306"/>
      <c r="AY38" s="306"/>
      <c r="AZ38" s="306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</row>
    <row r="39" spans="1:68" s="292" customFormat="1" ht="16.5">
      <c r="B39" s="293"/>
      <c r="C39" s="183" t="str">
        <f>IFERROR(IF(VLOOKUP($B39,[1]勘定科目!$A:$H,HLOOKUP($E$5,[1]勘定科目!$F$1:$H$2,2,0),0)="","",VLOOKUP($B39,[1]勘定科目!$A:$E,2,0)),"")</f>
        <v/>
      </c>
      <c r="D39" s="233" t="str">
        <f>IF(C39="","",VLOOKUP($B39,[1]勘定科目!$A:$E,4,0))</f>
        <v/>
      </c>
      <c r="E39" s="321"/>
      <c r="F39" s="322"/>
      <c r="G39" s="323"/>
      <c r="H39" s="323"/>
      <c r="I39" s="323"/>
      <c r="J39" s="323"/>
      <c r="K39" s="323"/>
      <c r="L39" s="323"/>
      <c r="M39" s="323"/>
      <c r="N39" s="323"/>
      <c r="O39" s="323"/>
      <c r="P39" s="323"/>
      <c r="Q39" s="323"/>
      <c r="R39" s="323"/>
      <c r="S39" s="324" t="s">
        <v>719</v>
      </c>
      <c r="T39" s="299"/>
      <c r="U39" s="325"/>
      <c r="V39" s="301"/>
      <c r="W39" s="326"/>
      <c r="X39" s="301"/>
      <c r="Y39" s="301"/>
      <c r="Z39" s="301"/>
      <c r="AA39" s="301"/>
      <c r="AB39" s="301"/>
      <c r="AC39" s="327"/>
      <c r="AD39" s="327"/>
      <c r="AE39" s="327"/>
      <c r="AF39" s="327"/>
      <c r="AG39" s="327"/>
      <c r="AH39" s="305"/>
      <c r="AI39" s="305"/>
      <c r="AJ39" s="305"/>
      <c r="AK39" s="305"/>
      <c r="AL39" s="305"/>
      <c r="AM39" s="305"/>
      <c r="AN39" s="305"/>
      <c r="AO39" s="305"/>
      <c r="AP39" s="305"/>
      <c r="AQ39" s="305"/>
      <c r="AR39" s="305"/>
      <c r="AS39" s="305"/>
      <c r="AT39" s="305"/>
      <c r="AU39" s="305"/>
      <c r="AV39" s="305"/>
      <c r="AW39" s="305"/>
      <c r="AX39" s="305"/>
      <c r="AY39" s="305"/>
      <c r="AZ39" s="305"/>
      <c r="BA39" s="107"/>
      <c r="BB39" s="107"/>
      <c r="BC39" s="107"/>
      <c r="BD39" s="107"/>
      <c r="BE39" s="107"/>
      <c r="BF39" s="107"/>
      <c r="BG39" s="107"/>
      <c r="BH39" s="107"/>
      <c r="BI39" s="107"/>
      <c r="BJ39" s="107"/>
      <c r="BK39" s="107"/>
      <c r="BL39" s="107"/>
      <c r="BM39" s="107"/>
      <c r="BN39" s="107"/>
      <c r="BO39" s="107"/>
      <c r="BP39" s="107"/>
    </row>
    <row r="40" spans="1:68" s="317" customFormat="1" ht="14.25">
      <c r="A40" s="307"/>
      <c r="B40" s="293">
        <v>5006016260</v>
      </c>
      <c r="C40" s="183" t="str">
        <f>IFERROR(IF(VLOOKUP($B40,[1]勘定科目!$A:$H,HLOOKUP($E$5,[1]勘定科目!$F$1:$H$2,2,0),0)="","",VLOOKUP($B40,[1]勘定科目!$A:$E,2,0)),"")</f>
        <v>減価償却費配賦（製）　建物</v>
      </c>
      <c r="D40" s="233" t="str">
        <f>IF(C40="","",VLOOKUP($B40,[1]勘定科目!$A:$E,4,0))</f>
        <v>減価償却費</v>
      </c>
      <c r="E40" s="311"/>
      <c r="F40" s="328">
        <v>13339144</v>
      </c>
      <c r="G40" s="328">
        <v>11594597</v>
      </c>
      <c r="H40" s="328">
        <v>11630397</v>
      </c>
      <c r="I40" s="328">
        <v>12403015</v>
      </c>
      <c r="J40" s="328">
        <v>11652233</v>
      </c>
      <c r="K40" s="328">
        <v>11245993</v>
      </c>
      <c r="L40" s="328">
        <v>11245993</v>
      </c>
      <c r="M40" s="328">
        <v>10900689</v>
      </c>
      <c r="N40" s="328">
        <v>11211208</v>
      </c>
      <c r="O40" s="328">
        <v>11202576</v>
      </c>
      <c r="P40" s="328">
        <v>10871998</v>
      </c>
      <c r="Q40" s="328">
        <v>10850670</v>
      </c>
      <c r="R40" s="328">
        <f t="shared" si="5"/>
        <v>138148513</v>
      </c>
      <c r="S40" s="329" t="s">
        <v>839</v>
      </c>
      <c r="T40" s="299"/>
      <c r="U40" s="330"/>
      <c r="V40" s="303"/>
      <c r="W40" s="302"/>
      <c r="X40" s="303"/>
      <c r="Y40" s="303"/>
      <c r="Z40" s="303"/>
      <c r="AA40" s="303"/>
      <c r="AB40" s="303"/>
      <c r="AC40" s="320"/>
      <c r="AD40" s="320"/>
      <c r="AE40" s="320"/>
      <c r="AF40" s="320"/>
      <c r="AG40" s="320"/>
      <c r="AH40" s="306"/>
      <c r="AI40" s="306"/>
      <c r="AJ40" s="306"/>
      <c r="AK40" s="306"/>
      <c r="AL40" s="306"/>
      <c r="AM40" s="306"/>
      <c r="AN40" s="306"/>
      <c r="AO40" s="306"/>
      <c r="AP40" s="306"/>
      <c r="AQ40" s="306"/>
      <c r="AR40" s="306"/>
      <c r="AS40" s="306"/>
      <c r="AT40" s="306"/>
      <c r="AU40" s="306"/>
      <c r="AV40" s="306"/>
      <c r="AW40" s="306"/>
      <c r="AX40" s="306"/>
      <c r="AY40" s="306"/>
      <c r="AZ40" s="306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</row>
    <row r="41" spans="1:68" s="317" customFormat="1" ht="14.25">
      <c r="A41" s="307"/>
      <c r="B41" s="293">
        <v>5006016261</v>
      </c>
      <c r="C41" s="183" t="str">
        <f>IFERROR(IF(VLOOKUP($B41,[1]勘定科目!$A:$H,HLOOKUP($E$5,[1]勘定科目!$F$1:$H$2,2,0),0)="","",VLOOKUP($B41,[1]勘定科目!$A:$E,2,0)),"")</f>
        <v>減価償却費配賦（製）　土地使用権</v>
      </c>
      <c r="D41" s="233" t="str">
        <f>IF(C41="","",VLOOKUP($B41,[1]勘定科目!$A:$E,4,0))</f>
        <v>減価償却費</v>
      </c>
      <c r="E41" s="311"/>
      <c r="F41" s="328">
        <v>900329</v>
      </c>
      <c r="G41" s="328">
        <v>782520</v>
      </c>
      <c r="H41" s="328">
        <v>785059</v>
      </c>
      <c r="I41" s="328">
        <v>837108</v>
      </c>
      <c r="J41" s="328">
        <v>786582</v>
      </c>
      <c r="K41" s="328">
        <v>759161</v>
      </c>
      <c r="L41" s="328">
        <v>759161</v>
      </c>
      <c r="M41" s="328">
        <v>735802</v>
      </c>
      <c r="N41" s="328">
        <v>756622</v>
      </c>
      <c r="O41" s="328">
        <v>756114</v>
      </c>
      <c r="P41" s="328">
        <v>733771</v>
      </c>
      <c r="Q41" s="328">
        <v>732502</v>
      </c>
      <c r="R41" s="328">
        <f t="shared" si="5"/>
        <v>9324731</v>
      </c>
      <c r="S41" s="329" t="s">
        <v>840</v>
      </c>
      <c r="T41" s="299"/>
      <c r="U41" s="330"/>
      <c r="V41" s="303"/>
      <c r="W41" s="302"/>
      <c r="X41" s="303"/>
      <c r="Y41" s="303"/>
      <c r="Z41" s="303"/>
      <c r="AA41" s="303"/>
      <c r="AB41" s="303"/>
      <c r="AC41" s="320"/>
      <c r="AD41" s="320"/>
      <c r="AE41" s="320"/>
      <c r="AF41" s="320"/>
      <c r="AG41" s="320"/>
      <c r="AH41" s="306"/>
      <c r="AI41" s="306"/>
      <c r="AJ41" s="306"/>
      <c r="AK41" s="306"/>
      <c r="AL41" s="306"/>
      <c r="AM41" s="306"/>
      <c r="AN41" s="306"/>
      <c r="AO41" s="306"/>
      <c r="AP41" s="306"/>
      <c r="AQ41" s="306"/>
      <c r="AR41" s="306"/>
      <c r="AS41" s="306"/>
      <c r="AT41" s="306"/>
      <c r="AU41" s="306"/>
      <c r="AV41" s="306"/>
      <c r="AW41" s="306"/>
      <c r="AX41" s="306"/>
      <c r="AY41" s="306"/>
      <c r="AZ41" s="306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</row>
    <row r="42" spans="1:68" s="317" customFormat="1" ht="14.25">
      <c r="A42" s="307"/>
      <c r="B42" s="293">
        <v>9114120007</v>
      </c>
      <c r="C42" s="183" t="str">
        <f>IFERROR(IF(VLOOKUP($B42,[1]勘定科目!$A:$H,HLOOKUP($E$5,[1]勘定科目!$F$1:$H$2,2,0),0)="","",VLOOKUP($B42,[1]勘定科目!$A:$E,2,0)),"")</f>
        <v>社内金利（固定資産）</v>
      </c>
      <c r="D42" s="233" t="str">
        <f>IF(C42="","",VLOOKUP($B42,[1]勘定科目!$A:$E,4,0))</f>
        <v>固定資産金利</v>
      </c>
      <c r="E42" s="311"/>
      <c r="F42" s="328">
        <v>9534707</v>
      </c>
      <c r="G42" s="328">
        <v>7870138</v>
      </c>
      <c r="H42" s="328">
        <v>7894513</v>
      </c>
      <c r="I42" s="328">
        <v>8419070</v>
      </c>
      <c r="J42" s="328">
        <v>7909239</v>
      </c>
      <c r="K42" s="328">
        <v>7633757</v>
      </c>
      <c r="L42" s="328">
        <v>7633504</v>
      </c>
      <c r="M42" s="328">
        <v>7399154</v>
      </c>
      <c r="N42" s="328">
        <v>7610145</v>
      </c>
      <c r="O42" s="328">
        <v>7606590</v>
      </c>
      <c r="P42" s="328">
        <v>7379604</v>
      </c>
      <c r="Q42" s="328">
        <v>7365131</v>
      </c>
      <c r="R42" s="328">
        <f t="shared" si="5"/>
        <v>94255552</v>
      </c>
      <c r="S42" s="329" t="s">
        <v>720</v>
      </c>
      <c r="T42" s="299"/>
      <c r="U42" s="330"/>
      <c r="V42" s="303"/>
      <c r="W42" s="302"/>
      <c r="X42" s="303"/>
      <c r="Y42" s="303"/>
      <c r="Z42" s="303"/>
      <c r="AA42" s="303"/>
      <c r="AB42" s="303"/>
      <c r="AC42" s="320"/>
      <c r="AD42" s="320"/>
      <c r="AE42" s="320"/>
      <c r="AF42" s="320"/>
      <c r="AG42" s="320"/>
      <c r="AH42" s="306"/>
      <c r="AI42" s="306"/>
      <c r="AJ42" s="306"/>
      <c r="AK42" s="306"/>
      <c r="AL42" s="306"/>
      <c r="AM42" s="306"/>
      <c r="AN42" s="306"/>
      <c r="AO42" s="306"/>
      <c r="AP42" s="306"/>
      <c r="AQ42" s="306"/>
      <c r="AR42" s="306"/>
      <c r="AS42" s="306"/>
      <c r="AT42" s="306"/>
      <c r="AU42" s="306"/>
      <c r="AV42" s="306"/>
      <c r="AW42" s="306"/>
      <c r="AX42" s="306"/>
      <c r="AY42" s="306"/>
      <c r="AZ42" s="306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</row>
    <row r="43" spans="1:68" s="317" customFormat="1" ht="14.25">
      <c r="A43" s="307"/>
      <c r="B43" s="293">
        <v>9114120007</v>
      </c>
      <c r="C43" s="183" t="str">
        <f>IFERROR(IF(VLOOKUP($B43,[1]勘定科目!$A:$H,HLOOKUP($E$5,[1]勘定科目!$F$1:$H$2,2,0),0)="","",VLOOKUP($B43,[1]勘定科目!$A:$E,2,0)),"")</f>
        <v>社内金利（固定資産）</v>
      </c>
      <c r="D43" s="233" t="str">
        <f>IF(C43="","",VLOOKUP($B43,[1]勘定科目!$A:$E,4,0))</f>
        <v>固定資産金利</v>
      </c>
      <c r="E43" s="311"/>
      <c r="F43" s="328">
        <v>1151944</v>
      </c>
      <c r="G43" s="328">
        <v>973199</v>
      </c>
      <c r="H43" s="328">
        <v>975992</v>
      </c>
      <c r="I43" s="328">
        <v>1040990</v>
      </c>
      <c r="J43" s="328">
        <v>978023</v>
      </c>
      <c r="K43" s="328">
        <v>943746</v>
      </c>
      <c r="L43" s="328">
        <v>943746</v>
      </c>
      <c r="M43" s="328">
        <v>914802</v>
      </c>
      <c r="N43" s="328">
        <v>940953</v>
      </c>
      <c r="O43" s="328">
        <v>940446</v>
      </c>
      <c r="P43" s="328">
        <v>912517</v>
      </c>
      <c r="Q43" s="328">
        <v>910739</v>
      </c>
      <c r="R43" s="328">
        <f t="shared" si="5"/>
        <v>11627097</v>
      </c>
      <c r="S43" s="329" t="s">
        <v>841</v>
      </c>
      <c r="T43" s="299"/>
      <c r="U43" s="330"/>
      <c r="V43" s="303"/>
      <c r="W43" s="302"/>
      <c r="X43" s="303"/>
      <c r="Y43" s="303"/>
      <c r="Z43" s="303"/>
      <c r="AA43" s="303"/>
      <c r="AB43" s="303"/>
      <c r="AC43" s="320"/>
      <c r="AD43" s="320"/>
      <c r="AE43" s="320"/>
      <c r="AF43" s="320"/>
      <c r="AG43" s="320"/>
      <c r="AH43" s="306"/>
      <c r="AI43" s="306"/>
      <c r="AJ43" s="306"/>
      <c r="AK43" s="306"/>
      <c r="AL43" s="306"/>
      <c r="AM43" s="306"/>
      <c r="AN43" s="306"/>
      <c r="AO43" s="306"/>
      <c r="AP43" s="306"/>
      <c r="AQ43" s="306"/>
      <c r="AR43" s="306"/>
      <c r="AS43" s="306"/>
      <c r="AT43" s="306"/>
      <c r="AU43" s="306"/>
      <c r="AV43" s="306"/>
      <c r="AW43" s="306"/>
      <c r="AX43" s="306"/>
      <c r="AY43" s="306"/>
      <c r="AZ43" s="306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</row>
    <row r="44" spans="1:68" s="317" customFormat="1" ht="14.25">
      <c r="A44" s="307"/>
      <c r="B44" s="293">
        <v>5005066281</v>
      </c>
      <c r="C44" s="183" t="str">
        <f>IFERROR(IF(VLOOKUP($B44,[1]勘定科目!$A:$H,HLOOKUP($E$5,[1]勘定科目!$F$1:$H$2,2,0),0)="","",VLOOKUP($B44,[1]勘定科目!$A:$E,2,0)),"")</f>
        <v>電気代（製）</v>
      </c>
      <c r="D44" s="233" t="str">
        <f>IF(C44="","",VLOOKUP($B44,[1]勘定科目!$A:$E,4,0))</f>
        <v>水道光熱費</v>
      </c>
      <c r="E44" s="311"/>
      <c r="F44" s="328">
        <v>3626471</v>
      </c>
      <c r="G44" s="328">
        <v>2849621</v>
      </c>
      <c r="H44" s="328">
        <v>2879559</v>
      </c>
      <c r="I44" s="328">
        <v>3850638</v>
      </c>
      <c r="J44" s="328">
        <v>4268883</v>
      </c>
      <c r="K44" s="328">
        <v>3980921</v>
      </c>
      <c r="L44" s="328">
        <v>3349017</v>
      </c>
      <c r="M44" s="328">
        <v>3405947</v>
      </c>
      <c r="N44" s="328">
        <v>3754361</v>
      </c>
      <c r="O44" s="328">
        <v>2166157</v>
      </c>
      <c r="P44" s="328">
        <v>3101743</v>
      </c>
      <c r="Q44" s="328">
        <v>2097317</v>
      </c>
      <c r="R44" s="328">
        <f t="shared" si="5"/>
        <v>39330635</v>
      </c>
      <c r="S44" s="329" t="s">
        <v>704</v>
      </c>
      <c r="T44" s="299"/>
      <c r="U44" s="330"/>
      <c r="V44" s="303"/>
      <c r="W44" s="302"/>
      <c r="X44" s="303"/>
      <c r="Y44" s="303"/>
      <c r="Z44" s="303"/>
      <c r="AA44" s="303"/>
      <c r="AB44" s="303"/>
      <c r="AC44" s="320"/>
      <c r="AD44" s="320"/>
      <c r="AE44" s="320"/>
      <c r="AF44" s="320"/>
      <c r="AG44" s="320"/>
      <c r="AH44" s="306"/>
      <c r="AI44" s="306"/>
      <c r="AJ44" s="306"/>
      <c r="AK44" s="306"/>
      <c r="AL44" s="306"/>
      <c r="AM44" s="306"/>
      <c r="AN44" s="306"/>
      <c r="AO44" s="306"/>
      <c r="AP44" s="306"/>
      <c r="AQ44" s="306"/>
      <c r="AR44" s="306"/>
      <c r="AS44" s="306"/>
      <c r="AT44" s="306"/>
      <c r="AU44" s="306"/>
      <c r="AV44" s="306"/>
      <c r="AW44" s="306"/>
      <c r="AX44" s="306"/>
      <c r="AY44" s="306"/>
      <c r="AZ44" s="306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</row>
    <row r="45" spans="1:68" s="317" customFormat="1" ht="14.25">
      <c r="A45" s="307"/>
      <c r="B45" s="293">
        <v>5005066282</v>
      </c>
      <c r="C45" s="183" t="str">
        <f>IFERROR(IF(VLOOKUP($B45,[1]勘定科目!$A:$H,HLOOKUP($E$5,[1]勘定科目!$F$1:$H$2,2,0),0)="","",VLOOKUP($B45,[1]勘定科目!$A:$E,2,0)),"")</f>
        <v>水道代（製）</v>
      </c>
      <c r="D45" s="233" t="str">
        <f>IF(C45="","",VLOOKUP($B45,[1]勘定科目!$A:$E,4,0))</f>
        <v>水道光熱費</v>
      </c>
      <c r="E45" s="311"/>
      <c r="F45" s="328">
        <v>921387</v>
      </c>
      <c r="G45" s="328">
        <v>839383</v>
      </c>
      <c r="H45" s="328">
        <v>766451</v>
      </c>
      <c r="I45" s="328">
        <v>1052652</v>
      </c>
      <c r="J45" s="328">
        <v>1183456</v>
      </c>
      <c r="K45" s="328">
        <v>1046349</v>
      </c>
      <c r="L45" s="328">
        <v>793382</v>
      </c>
      <c r="M45" s="328">
        <v>921498</v>
      </c>
      <c r="N45" s="328">
        <v>841980</v>
      </c>
      <c r="O45" s="328">
        <v>726254</v>
      </c>
      <c r="P45" s="328">
        <v>673794</v>
      </c>
      <c r="Q45" s="328">
        <v>575180</v>
      </c>
      <c r="R45" s="328">
        <f t="shared" si="5"/>
        <v>10341766</v>
      </c>
      <c r="S45" s="329" t="s">
        <v>706</v>
      </c>
      <c r="T45" s="299"/>
      <c r="U45" s="330"/>
      <c r="V45" s="303"/>
      <c r="W45" s="302"/>
      <c r="X45" s="303"/>
      <c r="Y45" s="303"/>
      <c r="Z45" s="303"/>
      <c r="AA45" s="303"/>
      <c r="AB45" s="303"/>
      <c r="AC45" s="320"/>
      <c r="AD45" s="320"/>
      <c r="AE45" s="320"/>
      <c r="AF45" s="320"/>
      <c r="AG45" s="320"/>
      <c r="AH45" s="306"/>
      <c r="AI45" s="306"/>
      <c r="AJ45" s="306"/>
      <c r="AK45" s="306"/>
      <c r="AL45" s="306"/>
      <c r="AM45" s="306"/>
      <c r="AN45" s="306"/>
      <c r="AO45" s="306"/>
      <c r="AP45" s="306"/>
      <c r="AQ45" s="306"/>
      <c r="AR45" s="306"/>
      <c r="AS45" s="306"/>
      <c r="AT45" s="306"/>
      <c r="AU45" s="306"/>
      <c r="AV45" s="306"/>
      <c r="AW45" s="306"/>
      <c r="AX45" s="306"/>
      <c r="AY45" s="306"/>
      <c r="AZ45" s="306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</row>
    <row r="46" spans="1:68" s="317" customFormat="1" ht="14.25">
      <c r="A46" s="307"/>
      <c r="B46" s="331">
        <v>5005056281</v>
      </c>
      <c r="C46" s="183" t="str">
        <f>IFERROR(IF(VLOOKUP($B46,[1]勘定科目!$A:$H,HLOOKUP($E$5,[1]勘定科目!$F$1:$H$2,2,0),0)="","",VLOOKUP($B46,[1]勘定科目!$A:$E,2,0)),"")</f>
        <v>ガス代（製）</v>
      </c>
      <c r="D46" s="233" t="str">
        <f>IF(C46="","",VLOOKUP($B46,[1]勘定科目!$A:$E,4,0))</f>
        <v>水道光熱費</v>
      </c>
      <c r="E46" s="311"/>
      <c r="F46" s="328">
        <v>541020</v>
      </c>
      <c r="G46" s="328">
        <v>541020</v>
      </c>
      <c r="H46" s="328">
        <v>541020</v>
      </c>
      <c r="I46" s="328">
        <v>541020</v>
      </c>
      <c r="J46" s="328">
        <v>541020</v>
      </c>
      <c r="K46" s="328">
        <v>541020</v>
      </c>
      <c r="L46" s="328">
        <v>541020</v>
      </c>
      <c r="M46" s="328">
        <v>541020</v>
      </c>
      <c r="N46" s="328">
        <v>541020</v>
      </c>
      <c r="O46" s="328">
        <v>541020</v>
      </c>
      <c r="P46" s="328">
        <v>541020</v>
      </c>
      <c r="Q46" s="328">
        <v>541020</v>
      </c>
      <c r="R46" s="328">
        <f t="shared" si="5"/>
        <v>6492240</v>
      </c>
      <c r="S46" s="329" t="s">
        <v>707</v>
      </c>
      <c r="T46" s="299"/>
      <c r="U46" s="330"/>
      <c r="V46" s="303"/>
      <c r="W46" s="302"/>
      <c r="X46" s="303"/>
      <c r="Y46" s="303"/>
      <c r="Z46" s="303"/>
      <c r="AA46" s="303"/>
      <c r="AB46" s="303"/>
      <c r="AC46" s="320"/>
      <c r="AD46" s="320"/>
      <c r="AE46" s="320"/>
      <c r="AF46" s="320"/>
      <c r="AG46" s="320"/>
      <c r="AH46" s="306"/>
      <c r="AI46" s="306"/>
      <c r="AJ46" s="306"/>
      <c r="AK46" s="306"/>
      <c r="AL46" s="306"/>
      <c r="AM46" s="306"/>
      <c r="AN46" s="306"/>
      <c r="AO46" s="306"/>
      <c r="AP46" s="306"/>
      <c r="AQ46" s="306"/>
      <c r="AR46" s="306"/>
      <c r="AS46" s="306"/>
      <c r="AT46" s="306"/>
      <c r="AU46" s="306"/>
      <c r="AV46" s="306"/>
      <c r="AW46" s="306"/>
      <c r="AX46" s="306"/>
      <c r="AY46" s="306"/>
      <c r="AZ46" s="30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</row>
    <row r="47" spans="1:68" s="317" customFormat="1" ht="14.25">
      <c r="A47" s="307"/>
      <c r="B47" s="331">
        <v>5005016372</v>
      </c>
      <c r="C47" s="183" t="str">
        <f>IFERROR(IF(VLOOKUP($B47,[1]勘定科目!$A:$H,HLOOKUP($E$5,[1]勘定科目!$F$1:$H$2,2,0),0)="","",VLOOKUP($B47,[1]勘定科目!$A:$E,2,0)),"")</f>
        <v>その他消耗品（製）</v>
      </c>
      <c r="D47" s="233" t="str">
        <f>IF(C47="","",VLOOKUP($B47,[1]勘定科目!$A:$E,4,0))</f>
        <v>消耗品費</v>
      </c>
      <c r="E47" s="311"/>
      <c r="F47" s="328">
        <v>18240</v>
      </c>
      <c r="G47" s="328">
        <v>18240</v>
      </c>
      <c r="H47" s="328">
        <v>18240</v>
      </c>
      <c r="I47" s="328">
        <v>18240</v>
      </c>
      <c r="J47" s="328">
        <v>18240</v>
      </c>
      <c r="K47" s="328">
        <v>18240</v>
      </c>
      <c r="L47" s="328">
        <v>18240</v>
      </c>
      <c r="M47" s="328">
        <v>18240</v>
      </c>
      <c r="N47" s="328">
        <v>18240</v>
      </c>
      <c r="O47" s="328">
        <v>18240</v>
      </c>
      <c r="P47" s="328">
        <v>18240</v>
      </c>
      <c r="Q47" s="328">
        <v>18240</v>
      </c>
      <c r="R47" s="328">
        <f t="shared" si="5"/>
        <v>218880</v>
      </c>
      <c r="S47" s="329" t="s">
        <v>708</v>
      </c>
      <c r="T47" s="299"/>
      <c r="U47" s="330"/>
      <c r="V47" s="303"/>
      <c r="W47" s="302"/>
      <c r="X47" s="303"/>
      <c r="Y47" s="303"/>
      <c r="Z47" s="303"/>
      <c r="AA47" s="303"/>
      <c r="AB47" s="303"/>
      <c r="AC47" s="320"/>
      <c r="AD47" s="320"/>
      <c r="AE47" s="320"/>
      <c r="AF47" s="320"/>
      <c r="AG47" s="320"/>
      <c r="AH47" s="306"/>
      <c r="AI47" s="306"/>
      <c r="AJ47" s="306"/>
      <c r="AK47" s="306"/>
      <c r="AL47" s="306"/>
      <c r="AM47" s="306"/>
      <c r="AN47" s="306"/>
      <c r="AO47" s="306"/>
      <c r="AP47" s="306"/>
      <c r="AQ47" s="306"/>
      <c r="AR47" s="306"/>
      <c r="AS47" s="306"/>
      <c r="AT47" s="306"/>
      <c r="AU47" s="306"/>
      <c r="AV47" s="306"/>
      <c r="AW47" s="306"/>
      <c r="AX47" s="306"/>
      <c r="AY47" s="306"/>
      <c r="AZ47" s="306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</row>
    <row r="48" spans="1:68" s="317" customFormat="1" ht="14.25">
      <c r="A48" s="307"/>
      <c r="B48" s="331">
        <v>5005016372</v>
      </c>
      <c r="C48" s="183" t="str">
        <f>IFERROR(IF(VLOOKUP($B48,[1]勘定科目!$A:$H,HLOOKUP($E$5,[1]勘定科目!$F$1:$H$2,2,0),0)="","",VLOOKUP($B48,[1]勘定科目!$A:$E,2,0)),"")</f>
        <v>その他消耗品（製）</v>
      </c>
      <c r="D48" s="233" t="str">
        <f>IF(C48="","",VLOOKUP($B48,[1]勘定科目!$A:$E,4,0))</f>
        <v>消耗品費</v>
      </c>
      <c r="E48" s="311"/>
      <c r="F48" s="328">
        <v>215652</v>
      </c>
      <c r="G48" s="328">
        <v>215652</v>
      </c>
      <c r="H48" s="328">
        <v>215652</v>
      </c>
      <c r="I48" s="328">
        <v>215652</v>
      </c>
      <c r="J48" s="328">
        <v>215652</v>
      </c>
      <c r="K48" s="328">
        <v>215652</v>
      </c>
      <c r="L48" s="328">
        <v>215652</v>
      </c>
      <c r="M48" s="328">
        <v>215652</v>
      </c>
      <c r="N48" s="328">
        <v>215652</v>
      </c>
      <c r="O48" s="328">
        <v>215652</v>
      </c>
      <c r="P48" s="328">
        <v>215652</v>
      </c>
      <c r="Q48" s="328">
        <v>215652</v>
      </c>
      <c r="R48" s="328">
        <f t="shared" si="5"/>
        <v>2587824</v>
      </c>
      <c r="S48" s="329" t="s">
        <v>709</v>
      </c>
      <c r="T48" s="299"/>
      <c r="U48" s="330"/>
      <c r="V48" s="303"/>
      <c r="W48" s="302"/>
      <c r="X48" s="303"/>
      <c r="Y48" s="303"/>
      <c r="Z48" s="303"/>
      <c r="AA48" s="303"/>
      <c r="AB48" s="303"/>
      <c r="AC48" s="320"/>
      <c r="AD48" s="320"/>
      <c r="AE48" s="320"/>
      <c r="AF48" s="320"/>
      <c r="AG48" s="320"/>
      <c r="AH48" s="306"/>
      <c r="AI48" s="306"/>
      <c r="AJ48" s="306"/>
      <c r="AK48" s="306"/>
      <c r="AL48" s="306"/>
      <c r="AM48" s="306"/>
      <c r="AN48" s="306"/>
      <c r="AO48" s="306"/>
      <c r="AP48" s="306"/>
      <c r="AQ48" s="306"/>
      <c r="AR48" s="306"/>
      <c r="AS48" s="306"/>
      <c r="AT48" s="306"/>
      <c r="AU48" s="306"/>
      <c r="AV48" s="306"/>
      <c r="AW48" s="306"/>
      <c r="AX48" s="306"/>
      <c r="AY48" s="306"/>
      <c r="AZ48" s="306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</row>
    <row r="49" spans="1:68" s="317" customFormat="1" ht="14.25">
      <c r="A49" s="307"/>
      <c r="B49" s="331">
        <v>5005016372</v>
      </c>
      <c r="C49" s="183" t="str">
        <f>IFERROR(IF(VLOOKUP($B49,[1]勘定科目!$A:$H,HLOOKUP($E$5,[1]勘定科目!$F$1:$H$2,2,0),0)="","",VLOOKUP($B49,[1]勘定科目!$A:$E,2,0)),"")</f>
        <v>その他消耗品（製）</v>
      </c>
      <c r="D49" s="233" t="str">
        <f>IF(C49="","",VLOOKUP($B49,[1]勘定科目!$A:$E,4,0))</f>
        <v>消耗品費</v>
      </c>
      <c r="E49" s="311"/>
      <c r="F49" s="328">
        <v>607548</v>
      </c>
      <c r="G49" s="328">
        <v>607548</v>
      </c>
      <c r="H49" s="328">
        <v>607548</v>
      </c>
      <c r="I49" s="328">
        <v>607548</v>
      </c>
      <c r="J49" s="328">
        <v>607548</v>
      </c>
      <c r="K49" s="328">
        <v>607548</v>
      </c>
      <c r="L49" s="328">
        <v>607548</v>
      </c>
      <c r="M49" s="328">
        <v>607548</v>
      </c>
      <c r="N49" s="328">
        <v>607548</v>
      </c>
      <c r="O49" s="328">
        <v>607548</v>
      </c>
      <c r="P49" s="328">
        <v>607548</v>
      </c>
      <c r="Q49" s="328">
        <v>607548</v>
      </c>
      <c r="R49" s="328">
        <f t="shared" si="5"/>
        <v>7290576</v>
      </c>
      <c r="S49" s="329" t="s">
        <v>721</v>
      </c>
      <c r="T49" s="299"/>
      <c r="U49" s="332"/>
      <c r="V49" s="332"/>
      <c r="X49" s="303"/>
      <c r="Y49" s="303"/>
      <c r="Z49" s="303"/>
      <c r="AA49" s="303"/>
      <c r="AB49" s="303"/>
      <c r="AC49" s="320"/>
      <c r="AD49" s="320"/>
      <c r="AE49" s="320"/>
      <c r="AF49" s="320"/>
      <c r="AG49" s="320"/>
      <c r="AH49" s="306"/>
      <c r="AI49" s="306"/>
      <c r="AJ49" s="306"/>
      <c r="AK49" s="306"/>
      <c r="AL49" s="306"/>
      <c r="AM49" s="306"/>
      <c r="AN49" s="306"/>
      <c r="AO49" s="306"/>
      <c r="AP49" s="306"/>
      <c r="AQ49" s="306"/>
      <c r="AR49" s="306"/>
      <c r="AS49" s="306"/>
      <c r="AT49" s="306"/>
      <c r="AU49" s="306"/>
      <c r="AV49" s="306"/>
      <c r="AW49" s="306"/>
      <c r="AX49" s="306"/>
      <c r="AY49" s="306"/>
      <c r="AZ49" s="306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</row>
    <row r="50" spans="1:68" s="317" customFormat="1" ht="14.25">
      <c r="A50" s="307"/>
      <c r="B50" s="331">
        <v>5005246286</v>
      </c>
      <c r="C50" s="183" t="str">
        <f>IFERROR(IF(VLOOKUP($B50,[1]勘定科目!$A:$H,HLOOKUP($E$5,[1]勘定科目!$F$1:$H$2,2,0),0)="","",VLOOKUP($B50,[1]勘定科目!$A:$E,2,0)),"")</f>
        <v>その他手数料（製）</v>
      </c>
      <c r="D50" s="233" t="str">
        <f>IF(C50="","",VLOOKUP($B50,[1]勘定科目!$A:$E,4,0))</f>
        <v>手数料</v>
      </c>
      <c r="E50" s="311"/>
      <c r="F50" s="328">
        <v>45204</v>
      </c>
      <c r="G50" s="328">
        <v>45204</v>
      </c>
      <c r="H50" s="328">
        <v>45204</v>
      </c>
      <c r="I50" s="328">
        <v>45204</v>
      </c>
      <c r="J50" s="328">
        <v>45204</v>
      </c>
      <c r="K50" s="328">
        <v>45204</v>
      </c>
      <c r="L50" s="328">
        <v>45204</v>
      </c>
      <c r="M50" s="328">
        <v>45204</v>
      </c>
      <c r="N50" s="328">
        <v>45204</v>
      </c>
      <c r="O50" s="328">
        <v>45204</v>
      </c>
      <c r="P50" s="328">
        <v>45204</v>
      </c>
      <c r="Q50" s="328">
        <v>45204</v>
      </c>
      <c r="R50" s="328">
        <f t="shared" si="5"/>
        <v>542448</v>
      </c>
      <c r="S50" s="329" t="s">
        <v>710</v>
      </c>
      <c r="T50" s="299"/>
      <c r="U50" s="330"/>
      <c r="V50" s="303"/>
      <c r="W50" s="302"/>
      <c r="X50" s="303"/>
      <c r="Y50" s="303"/>
      <c r="Z50" s="303"/>
      <c r="AA50" s="303"/>
      <c r="AB50" s="303"/>
      <c r="AC50" s="320"/>
      <c r="AD50" s="320"/>
      <c r="AE50" s="320"/>
      <c r="AF50" s="320"/>
      <c r="AG50" s="320"/>
      <c r="AH50" s="306"/>
      <c r="AI50" s="306"/>
      <c r="AJ50" s="306"/>
      <c r="AK50" s="306"/>
      <c r="AL50" s="306"/>
      <c r="AM50" s="306"/>
      <c r="AN50" s="306"/>
      <c r="AO50" s="306"/>
      <c r="AP50" s="306"/>
      <c r="AQ50" s="306"/>
      <c r="AR50" s="306"/>
      <c r="AS50" s="306"/>
      <c r="AT50" s="306"/>
      <c r="AU50" s="306"/>
      <c r="AV50" s="306"/>
      <c r="AW50" s="306"/>
      <c r="AX50" s="306"/>
      <c r="AY50" s="306"/>
      <c r="AZ50" s="306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</row>
    <row r="51" spans="1:68" s="317" customFormat="1" ht="14.25">
      <c r="A51" s="307"/>
      <c r="B51" s="331">
        <v>5004086291</v>
      </c>
      <c r="C51" s="183" t="str">
        <f>IFERROR(IF(VLOOKUP($B51,[1]勘定科目!$A:$H,HLOOKUP($E$5,[1]勘定科目!$F$1:$H$2,2,0),0)="","",VLOOKUP($B51,[1]勘定科目!$A:$E,2,0)),"")</f>
        <v>福利厚生費（製）</v>
      </c>
      <c r="D51" s="233" t="str">
        <f>IF(C51="","",VLOOKUP($B51,[1]勘定科目!$A:$E,4,0))</f>
        <v>福利厚生費</v>
      </c>
      <c r="E51" s="311"/>
      <c r="F51" s="328">
        <v>700000</v>
      </c>
      <c r="G51" s="328">
        <v>700000</v>
      </c>
      <c r="H51" s="328">
        <v>700000</v>
      </c>
      <c r="I51" s="328">
        <v>700000</v>
      </c>
      <c r="J51" s="328">
        <v>700000</v>
      </c>
      <c r="K51" s="328">
        <v>700000</v>
      </c>
      <c r="L51" s="328">
        <v>700000</v>
      </c>
      <c r="M51" s="328">
        <v>700000</v>
      </c>
      <c r="N51" s="328">
        <v>700000</v>
      </c>
      <c r="O51" s="328">
        <v>700000</v>
      </c>
      <c r="P51" s="328">
        <v>700000</v>
      </c>
      <c r="Q51" s="328">
        <v>700000</v>
      </c>
      <c r="R51" s="328">
        <f t="shared" si="5"/>
        <v>8400000</v>
      </c>
      <c r="S51" s="329" t="s">
        <v>711</v>
      </c>
      <c r="T51" s="299"/>
      <c r="V51" s="303"/>
      <c r="W51" s="302"/>
      <c r="X51" s="303"/>
      <c r="Y51" s="303"/>
      <c r="Z51" s="303"/>
      <c r="AA51" s="303"/>
      <c r="AB51" s="303"/>
      <c r="AC51" s="320"/>
      <c r="AD51" s="320"/>
      <c r="AE51" s="320"/>
      <c r="AF51" s="320"/>
      <c r="AG51" s="320"/>
      <c r="AH51" s="306"/>
      <c r="AI51" s="306"/>
      <c r="AJ51" s="306"/>
      <c r="AK51" s="306"/>
      <c r="AL51" s="306"/>
      <c r="AM51" s="306"/>
      <c r="AN51" s="306"/>
      <c r="AO51" s="306"/>
      <c r="AP51" s="306"/>
      <c r="AQ51" s="306"/>
      <c r="AR51" s="306"/>
      <c r="AS51" s="306"/>
      <c r="AT51" s="306"/>
      <c r="AU51" s="306"/>
      <c r="AV51" s="306"/>
      <c r="AW51" s="306"/>
      <c r="AX51" s="306"/>
      <c r="AY51" s="306"/>
      <c r="AZ51" s="306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</row>
    <row r="52" spans="1:68" s="317" customFormat="1" ht="14.25">
      <c r="A52" s="307"/>
      <c r="B52" s="331">
        <v>5004086291</v>
      </c>
      <c r="C52" s="183" t="str">
        <f>IFERROR(IF(VLOOKUP($B52,[1]勘定科目!$A:$H,HLOOKUP($E$5,[1]勘定科目!$F$1:$H$2,2,0),0)="","",VLOOKUP($B52,[1]勘定科目!$A:$E,2,0)),"")</f>
        <v>福利厚生費（製）</v>
      </c>
      <c r="D52" s="233" t="str">
        <f>IF(C52="","",VLOOKUP($B52,[1]勘定科目!$A:$E,4,0))</f>
        <v>福利厚生費</v>
      </c>
      <c r="E52" s="311"/>
      <c r="F52" s="333">
        <v>3400000</v>
      </c>
      <c r="G52" s="333">
        <v>3400000</v>
      </c>
      <c r="H52" s="333">
        <v>3400000</v>
      </c>
      <c r="I52" s="333">
        <v>3400000</v>
      </c>
      <c r="J52" s="333">
        <v>3400000</v>
      </c>
      <c r="K52" s="333">
        <v>3400000</v>
      </c>
      <c r="L52" s="333">
        <v>3400000</v>
      </c>
      <c r="M52" s="333">
        <v>3400000</v>
      </c>
      <c r="N52" s="333">
        <v>3400000</v>
      </c>
      <c r="O52" s="333">
        <v>3400000</v>
      </c>
      <c r="P52" s="333">
        <v>3400000</v>
      </c>
      <c r="Q52" s="333">
        <v>3400000</v>
      </c>
      <c r="R52" s="333">
        <f t="shared" si="5"/>
        <v>40800000</v>
      </c>
      <c r="S52" s="329" t="s">
        <v>842</v>
      </c>
      <c r="T52" s="299"/>
      <c r="U52" s="330">
        <v>2</v>
      </c>
      <c r="V52" s="334" t="s">
        <v>722</v>
      </c>
      <c r="W52" s="335"/>
      <c r="X52" s="303"/>
      <c r="Y52" s="303"/>
      <c r="Z52" s="303"/>
      <c r="AA52" s="303"/>
      <c r="AB52" s="303"/>
      <c r="AC52" s="320"/>
      <c r="AD52" s="320"/>
      <c r="AE52" s="320"/>
      <c r="AF52" s="320"/>
      <c r="AG52" s="320"/>
      <c r="AH52" s="306"/>
      <c r="AI52" s="306"/>
      <c r="AJ52" s="306"/>
      <c r="AK52" s="306"/>
      <c r="AL52" s="306"/>
      <c r="AM52" s="306"/>
      <c r="AN52" s="306"/>
      <c r="AO52" s="306"/>
      <c r="AP52" s="306"/>
      <c r="AQ52" s="306"/>
      <c r="AR52" s="306"/>
      <c r="AS52" s="306"/>
      <c r="AT52" s="306"/>
      <c r="AU52" s="306"/>
      <c r="AV52" s="306"/>
      <c r="AW52" s="306"/>
      <c r="AX52" s="306"/>
      <c r="AY52" s="306"/>
      <c r="AZ52" s="306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</row>
    <row r="53" spans="1:68" s="317" customFormat="1" ht="14.25">
      <c r="A53" s="307"/>
      <c r="B53" s="331">
        <v>5004086291</v>
      </c>
      <c r="C53" s="183" t="str">
        <f>IFERROR(IF(VLOOKUP($B53,[1]勘定科目!$A:$H,HLOOKUP($E$5,[1]勘定科目!$F$1:$H$2,2,0),0)="","",VLOOKUP($B53,[1]勘定科目!$A:$E,2,0)),"")</f>
        <v>福利厚生費（製）</v>
      </c>
      <c r="D53" s="233" t="str">
        <f>IF(C53="","",VLOOKUP($B53,[1]勘定科目!$A:$E,4,0))</f>
        <v>福利厚生費</v>
      </c>
      <c r="E53" s="311"/>
      <c r="F53" s="333">
        <v>0</v>
      </c>
      <c r="G53" s="333">
        <v>0</v>
      </c>
      <c r="H53" s="333">
        <v>0</v>
      </c>
      <c r="I53" s="333">
        <v>0</v>
      </c>
      <c r="J53" s="333">
        <v>0</v>
      </c>
      <c r="K53" s="333">
        <v>0</v>
      </c>
      <c r="L53" s="333">
        <v>0</v>
      </c>
      <c r="M53" s="333">
        <v>0</v>
      </c>
      <c r="N53" s="333">
        <v>0</v>
      </c>
      <c r="O53" s="333">
        <v>0</v>
      </c>
      <c r="P53" s="333">
        <v>0</v>
      </c>
      <c r="Q53" s="333">
        <v>0</v>
      </c>
      <c r="R53" s="333">
        <f t="shared" si="5"/>
        <v>0</v>
      </c>
      <c r="S53" s="329" t="s">
        <v>723</v>
      </c>
      <c r="T53" s="299"/>
      <c r="U53" s="330">
        <v>2</v>
      </c>
      <c r="V53" s="334" t="s">
        <v>722</v>
      </c>
      <c r="W53" s="335"/>
      <c r="X53" s="303"/>
      <c r="Y53" s="303"/>
      <c r="Z53" s="303"/>
      <c r="AA53" s="303"/>
      <c r="AB53" s="303"/>
      <c r="AC53" s="320"/>
      <c r="AD53" s="320"/>
      <c r="AE53" s="320"/>
      <c r="AF53" s="320"/>
      <c r="AG53" s="320"/>
      <c r="AH53" s="306"/>
      <c r="AI53" s="306"/>
      <c r="AJ53" s="306"/>
      <c r="AK53" s="306"/>
      <c r="AL53" s="306"/>
      <c r="AM53" s="306"/>
      <c r="AN53" s="306"/>
      <c r="AO53" s="306"/>
      <c r="AP53" s="306"/>
      <c r="AQ53" s="306"/>
      <c r="AR53" s="306"/>
      <c r="AS53" s="306"/>
      <c r="AT53" s="306"/>
      <c r="AU53" s="306"/>
      <c r="AV53" s="306"/>
      <c r="AW53" s="306"/>
      <c r="AX53" s="306"/>
      <c r="AY53" s="306"/>
      <c r="AZ53" s="306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</row>
    <row r="54" spans="1:68" s="317" customFormat="1" ht="14.25">
      <c r="A54" s="307"/>
      <c r="B54" s="331">
        <v>5004086291</v>
      </c>
      <c r="C54" s="183" t="str">
        <f>IFERROR(IF(VLOOKUP($B54,[1]勘定科目!$A:$H,HLOOKUP($E$5,[1]勘定科目!$F$1:$H$2,2,0),0)="","",VLOOKUP($B54,[1]勘定科目!$A:$E,2,0)),"")</f>
        <v>福利厚生費（製）</v>
      </c>
      <c r="D54" s="233" t="str">
        <f>IF(C54="","",VLOOKUP($B54,[1]勘定科目!$A:$E,4,0))</f>
        <v>福利厚生費</v>
      </c>
      <c r="E54" s="311"/>
      <c r="F54" s="333">
        <v>0</v>
      </c>
      <c r="G54" s="333">
        <v>0</v>
      </c>
      <c r="H54" s="333">
        <v>0</v>
      </c>
      <c r="I54" s="333">
        <v>0</v>
      </c>
      <c r="J54" s="333">
        <v>0</v>
      </c>
      <c r="K54" s="333">
        <v>0</v>
      </c>
      <c r="L54" s="333">
        <v>0</v>
      </c>
      <c r="M54" s="333">
        <v>0</v>
      </c>
      <c r="N54" s="333">
        <v>0</v>
      </c>
      <c r="O54" s="333">
        <v>0</v>
      </c>
      <c r="P54" s="333">
        <v>0</v>
      </c>
      <c r="Q54" s="333">
        <v>0</v>
      </c>
      <c r="R54" s="333">
        <f t="shared" si="5"/>
        <v>0</v>
      </c>
      <c r="S54" s="336" t="s">
        <v>724</v>
      </c>
      <c r="T54" s="299"/>
      <c r="U54" s="330"/>
      <c r="V54" s="334"/>
      <c r="W54" s="335"/>
      <c r="X54" s="303"/>
      <c r="Y54" s="303"/>
      <c r="Z54" s="303"/>
      <c r="AA54" s="303"/>
      <c r="AB54" s="303"/>
      <c r="AC54" s="320"/>
      <c r="AD54" s="320"/>
      <c r="AE54" s="320"/>
      <c r="AF54" s="320"/>
      <c r="AG54" s="320"/>
      <c r="AH54" s="306"/>
      <c r="AI54" s="306"/>
      <c r="AJ54" s="306"/>
      <c r="AK54" s="306"/>
      <c r="AL54" s="306"/>
      <c r="AM54" s="306"/>
      <c r="AN54" s="306"/>
      <c r="AO54" s="306"/>
      <c r="AP54" s="306"/>
      <c r="AQ54" s="306"/>
      <c r="AR54" s="306"/>
      <c r="AS54" s="306"/>
      <c r="AT54" s="306"/>
      <c r="AU54" s="306"/>
      <c r="AV54" s="306"/>
      <c r="AW54" s="306"/>
      <c r="AX54" s="306"/>
      <c r="AY54" s="306"/>
      <c r="AZ54" s="306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</row>
    <row r="55" spans="1:68" s="317" customFormat="1" ht="14.25">
      <c r="A55" s="307"/>
      <c r="B55" s="331">
        <v>5004086291</v>
      </c>
      <c r="C55" s="183" t="str">
        <f>IFERROR(IF(VLOOKUP($B55,[1]勘定科目!$A:$H,HLOOKUP($E$5,[1]勘定科目!$F$1:$H$2,2,0),0)="","",VLOOKUP($B55,[1]勘定科目!$A:$E,2,0)),"")</f>
        <v>福利厚生費（製）</v>
      </c>
      <c r="D55" s="233" t="str">
        <f>IF(C55="","",VLOOKUP($B55,[1]勘定科目!$A:$E,4,0))</f>
        <v>福利厚生費</v>
      </c>
      <c r="E55" s="311"/>
      <c r="F55" s="333">
        <v>0</v>
      </c>
      <c r="G55" s="333">
        <v>0</v>
      </c>
      <c r="H55" s="333">
        <v>0</v>
      </c>
      <c r="I55" s="333">
        <v>0</v>
      </c>
      <c r="J55" s="333">
        <v>0</v>
      </c>
      <c r="K55" s="333">
        <v>585000</v>
      </c>
      <c r="L55" s="333">
        <v>0</v>
      </c>
      <c r="M55" s="333">
        <v>0</v>
      </c>
      <c r="N55" s="333">
        <v>0</v>
      </c>
      <c r="O55" s="333">
        <v>0</v>
      </c>
      <c r="P55" s="333">
        <v>0</v>
      </c>
      <c r="Q55" s="333">
        <v>0</v>
      </c>
      <c r="R55" s="333">
        <f t="shared" si="5"/>
        <v>585000</v>
      </c>
      <c r="S55" s="336" t="s">
        <v>725</v>
      </c>
      <c r="T55" s="299"/>
      <c r="U55" s="330"/>
      <c r="V55" s="334"/>
      <c r="W55" s="335"/>
      <c r="X55" s="303"/>
      <c r="Y55" s="303"/>
      <c r="Z55" s="303"/>
      <c r="AA55" s="303"/>
      <c r="AB55" s="303"/>
      <c r="AC55" s="320"/>
      <c r="AD55" s="320"/>
      <c r="AE55" s="320"/>
      <c r="AF55" s="320"/>
      <c r="AG55" s="320"/>
      <c r="AH55" s="306"/>
      <c r="AI55" s="306"/>
      <c r="AJ55" s="306"/>
      <c r="AK55" s="306"/>
      <c r="AL55" s="306"/>
      <c r="AM55" s="306"/>
      <c r="AN55" s="306"/>
      <c r="AO55" s="306"/>
      <c r="AP55" s="306"/>
      <c r="AQ55" s="306"/>
      <c r="AR55" s="306"/>
      <c r="AS55" s="306"/>
      <c r="AT55" s="306"/>
      <c r="AU55" s="306"/>
      <c r="AV55" s="306"/>
      <c r="AW55" s="306"/>
      <c r="AX55" s="306"/>
      <c r="AY55" s="306"/>
      <c r="AZ55" s="306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</row>
    <row r="56" spans="1:68" s="317" customFormat="1" ht="14.25">
      <c r="A56" s="307"/>
      <c r="B56" s="331">
        <v>5004086291</v>
      </c>
      <c r="C56" s="183" t="str">
        <f>IFERROR(IF(VLOOKUP($B56,[1]勘定科目!$A:$H,HLOOKUP($E$5,[1]勘定科目!$F$1:$H$2,2,0),0)="","",VLOOKUP($B56,[1]勘定科目!$A:$E,2,0)),"")</f>
        <v>福利厚生費（製）</v>
      </c>
      <c r="D56" s="233" t="str">
        <f>IF(C56="","",VLOOKUP($B56,[1]勘定科目!$A:$E,4,0))</f>
        <v>福利厚生費</v>
      </c>
      <c r="E56" s="311"/>
      <c r="F56" s="337">
        <v>0</v>
      </c>
      <c r="G56" s="337">
        <v>0</v>
      </c>
      <c r="H56" s="337">
        <v>0</v>
      </c>
      <c r="I56" s="337">
        <v>0</v>
      </c>
      <c r="J56" s="337">
        <v>0</v>
      </c>
      <c r="K56" s="337">
        <v>0</v>
      </c>
      <c r="L56" s="337">
        <v>0</v>
      </c>
      <c r="M56" s="337">
        <v>0</v>
      </c>
      <c r="N56" s="337">
        <v>0</v>
      </c>
      <c r="O56" s="337">
        <v>0</v>
      </c>
      <c r="P56" s="337">
        <v>0</v>
      </c>
      <c r="Q56" s="337">
        <v>0</v>
      </c>
      <c r="R56" s="337">
        <f t="shared" si="5"/>
        <v>0</v>
      </c>
      <c r="S56" s="329" t="s">
        <v>726</v>
      </c>
      <c r="T56" s="299"/>
      <c r="U56" s="338"/>
      <c r="V56" s="320"/>
      <c r="W56" s="339"/>
      <c r="X56" s="340"/>
      <c r="Y56" s="340"/>
      <c r="Z56" s="302"/>
      <c r="AA56" s="303"/>
      <c r="AB56" s="303"/>
      <c r="AC56" s="320"/>
      <c r="AD56" s="320"/>
      <c r="AE56" s="320"/>
      <c r="AF56" s="320"/>
      <c r="AG56" s="320"/>
      <c r="AH56" s="306"/>
      <c r="AI56" s="306"/>
      <c r="AJ56" s="306"/>
      <c r="AK56" s="306"/>
      <c r="AL56" s="306"/>
      <c r="AM56" s="306"/>
      <c r="AN56" s="306"/>
      <c r="AO56" s="306"/>
      <c r="AP56" s="306"/>
      <c r="AQ56" s="306"/>
      <c r="AR56" s="306"/>
      <c r="AS56" s="306"/>
      <c r="AT56" s="306"/>
      <c r="AU56" s="306"/>
      <c r="AV56" s="306"/>
      <c r="AW56" s="306"/>
      <c r="AX56" s="306"/>
      <c r="AY56" s="306"/>
      <c r="AZ56" s="30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</row>
    <row r="57" spans="1:68" s="317" customFormat="1" ht="14.25">
      <c r="A57" s="307"/>
      <c r="B57" s="331">
        <v>5004086291</v>
      </c>
      <c r="C57" s="183" t="str">
        <f>IFERROR(IF(VLOOKUP($B57,[1]勘定科目!$A:$H,HLOOKUP($E$5,[1]勘定科目!$F$1:$H$2,2,0),0)="","",VLOOKUP($B57,[1]勘定科目!$A:$E,2,0)),"")</f>
        <v>福利厚生費（製）</v>
      </c>
      <c r="D57" s="233" t="str">
        <f>IF(C57="","",VLOOKUP($B57,[1]勘定科目!$A:$E,4,0))</f>
        <v>福利厚生費</v>
      </c>
      <c r="E57" s="311"/>
      <c r="F57" s="328">
        <v>0</v>
      </c>
      <c r="G57" s="328">
        <v>21000000</v>
      </c>
      <c r="H57" s="328">
        <v>0</v>
      </c>
      <c r="I57" s="328">
        <v>0</v>
      </c>
      <c r="J57" s="328">
        <v>0</v>
      </c>
      <c r="K57" s="328">
        <v>0</v>
      </c>
      <c r="L57" s="328">
        <v>0</v>
      </c>
      <c r="M57" s="328">
        <v>0</v>
      </c>
      <c r="N57" s="328">
        <v>0</v>
      </c>
      <c r="O57" s="328">
        <v>0</v>
      </c>
      <c r="P57" s="328">
        <v>0</v>
      </c>
      <c r="Q57" s="328">
        <v>0</v>
      </c>
      <c r="R57" s="328">
        <f t="shared" si="5"/>
        <v>21000000</v>
      </c>
      <c r="S57" s="329" t="s">
        <v>727</v>
      </c>
      <c r="T57" s="299"/>
      <c r="U57" s="341"/>
      <c r="V57" s="342"/>
      <c r="W57" s="339"/>
      <c r="X57" s="303"/>
      <c r="Y57" s="340"/>
      <c r="Z57" s="303"/>
      <c r="AA57" s="303"/>
      <c r="AB57" s="303"/>
      <c r="AC57" s="320"/>
      <c r="AD57" s="320"/>
      <c r="AE57" s="320"/>
      <c r="AF57" s="320"/>
      <c r="AG57" s="320"/>
      <c r="AH57" s="306"/>
      <c r="AI57" s="306"/>
      <c r="AJ57" s="306"/>
      <c r="AK57" s="306"/>
      <c r="AL57" s="306"/>
      <c r="AM57" s="306"/>
      <c r="AN57" s="306"/>
      <c r="AO57" s="306"/>
      <c r="AP57" s="306"/>
      <c r="AQ57" s="306"/>
      <c r="AR57" s="306"/>
      <c r="AS57" s="306"/>
      <c r="AT57" s="306"/>
      <c r="AU57" s="306"/>
      <c r="AV57" s="306"/>
      <c r="AW57" s="306"/>
      <c r="AX57" s="306"/>
      <c r="AY57" s="306"/>
      <c r="AZ57" s="306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</row>
    <row r="58" spans="1:68" s="317" customFormat="1" ht="14.45" customHeight="1">
      <c r="A58" s="307"/>
      <c r="B58" s="331">
        <v>5004086291</v>
      </c>
      <c r="C58" s="183" t="str">
        <f>IFERROR(IF(VLOOKUP($B58,[1]勘定科目!$A:$H,HLOOKUP($E$5,[1]勘定科目!$F$1:$H$2,2,0),0)="","",VLOOKUP($B58,[1]勘定科目!$A:$E,2,0)),"")</f>
        <v>福利厚生費（製）</v>
      </c>
      <c r="D58" s="233" t="str">
        <f>IF(C58="","",VLOOKUP($B58,[1]勘定科目!$A:$E,4,0))</f>
        <v>福利厚生費</v>
      </c>
      <c r="E58" s="311"/>
      <c r="F58" s="337">
        <v>0</v>
      </c>
      <c r="G58" s="337">
        <v>0</v>
      </c>
      <c r="H58" s="337">
        <v>0</v>
      </c>
      <c r="I58" s="337">
        <v>0</v>
      </c>
      <c r="J58" s="337">
        <v>0</v>
      </c>
      <c r="K58" s="337">
        <v>1608000</v>
      </c>
      <c r="L58" s="337">
        <v>0</v>
      </c>
      <c r="M58" s="337">
        <v>0</v>
      </c>
      <c r="N58" s="337">
        <v>0</v>
      </c>
      <c r="O58" s="337">
        <v>0</v>
      </c>
      <c r="P58" s="337">
        <v>0</v>
      </c>
      <c r="Q58" s="337">
        <v>0</v>
      </c>
      <c r="R58" s="337">
        <f t="shared" si="5"/>
        <v>1608000</v>
      </c>
      <c r="S58" s="329" t="s">
        <v>843</v>
      </c>
      <c r="T58" s="299"/>
      <c r="U58" s="338"/>
      <c r="V58" s="320"/>
      <c r="W58" s="339"/>
      <c r="X58" s="340"/>
      <c r="Y58" s="340"/>
      <c r="Z58" s="302"/>
      <c r="AA58" s="303"/>
      <c r="AB58" s="303"/>
      <c r="AC58" s="320"/>
      <c r="AD58" s="320"/>
      <c r="AE58" s="320"/>
      <c r="AF58" s="320"/>
      <c r="AG58" s="320"/>
      <c r="AH58" s="306"/>
      <c r="AI58" s="306"/>
      <c r="AJ58" s="306"/>
      <c r="AK58" s="306"/>
      <c r="AL58" s="306"/>
      <c r="AM58" s="306"/>
      <c r="AN58" s="306"/>
      <c r="AO58" s="306"/>
      <c r="AP58" s="306"/>
      <c r="AQ58" s="306"/>
      <c r="AR58" s="306"/>
      <c r="AS58" s="306"/>
      <c r="AT58" s="306"/>
      <c r="AU58" s="306"/>
      <c r="AV58" s="306"/>
      <c r="AW58" s="306"/>
      <c r="AX58" s="306"/>
      <c r="AY58" s="306"/>
      <c r="AZ58" s="306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</row>
    <row r="59" spans="1:68" s="317" customFormat="1" ht="14.25">
      <c r="A59" s="307"/>
      <c r="B59" s="331">
        <v>5004086291</v>
      </c>
      <c r="C59" s="183" t="str">
        <f>IFERROR(IF(VLOOKUP($B59,[1]勘定科目!$A:$H,HLOOKUP($E$5,[1]勘定科目!$F$1:$H$2,2,0),0)="","",VLOOKUP($B59,[1]勘定科目!$A:$E,2,0)),"")</f>
        <v>福利厚生費（製）</v>
      </c>
      <c r="D59" s="233" t="str">
        <f>IF(C59="","",VLOOKUP($B59,[1]勘定科目!$A:$E,4,0))</f>
        <v>福利厚生費</v>
      </c>
      <c r="E59" s="311"/>
      <c r="F59" s="337">
        <v>0</v>
      </c>
      <c r="G59" s="337">
        <v>0</v>
      </c>
      <c r="H59" s="337">
        <v>0</v>
      </c>
      <c r="I59" s="337">
        <v>0</v>
      </c>
      <c r="J59" s="337">
        <v>0</v>
      </c>
      <c r="K59" s="337">
        <v>0</v>
      </c>
      <c r="L59" s="337">
        <v>0</v>
      </c>
      <c r="M59" s="337">
        <v>1236000</v>
      </c>
      <c r="N59" s="337">
        <v>0</v>
      </c>
      <c r="O59" s="337">
        <v>0</v>
      </c>
      <c r="P59" s="337">
        <v>0</v>
      </c>
      <c r="Q59" s="337">
        <v>0</v>
      </c>
      <c r="R59" s="337">
        <f t="shared" si="5"/>
        <v>1236000</v>
      </c>
      <c r="S59" s="329" t="s">
        <v>728</v>
      </c>
      <c r="T59" s="299"/>
      <c r="U59" s="338"/>
      <c r="V59" s="320"/>
      <c r="W59" s="339"/>
      <c r="X59" s="340"/>
      <c r="Y59" s="340"/>
      <c r="Z59" s="302"/>
      <c r="AA59" s="303"/>
      <c r="AB59" s="303"/>
      <c r="AC59" s="320"/>
      <c r="AD59" s="320"/>
      <c r="AE59" s="320"/>
      <c r="AF59" s="320"/>
      <c r="AG59" s="320"/>
      <c r="AH59" s="306"/>
      <c r="AI59" s="306"/>
      <c r="AJ59" s="306"/>
      <c r="AK59" s="306"/>
      <c r="AL59" s="306"/>
      <c r="AM59" s="306"/>
      <c r="AN59" s="306"/>
      <c r="AO59" s="306"/>
      <c r="AP59" s="306"/>
      <c r="AQ59" s="306"/>
      <c r="AR59" s="306"/>
      <c r="AS59" s="306"/>
      <c r="AT59" s="306"/>
      <c r="AU59" s="306"/>
      <c r="AV59" s="306"/>
      <c r="AW59" s="306"/>
      <c r="AX59" s="306"/>
      <c r="AY59" s="306"/>
      <c r="AZ59" s="306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</row>
    <row r="60" spans="1:68" s="317" customFormat="1" ht="14.25">
      <c r="A60" s="307"/>
      <c r="B60" s="331">
        <v>5004086291</v>
      </c>
      <c r="C60" s="183" t="str">
        <f>IFERROR(IF(VLOOKUP($B60,[1]勘定科目!$A:$H,HLOOKUP($E$5,[1]勘定科目!$F$1:$H$2,2,0),0)="","",VLOOKUP($B60,[1]勘定科目!$A:$E,2,0)),"")</f>
        <v>福利厚生費（製）</v>
      </c>
      <c r="D60" s="233" t="str">
        <f>IF(C60="","",VLOOKUP($B60,[1]勘定科目!$A:$E,4,0))</f>
        <v>福利厚生費</v>
      </c>
      <c r="E60" s="311"/>
      <c r="F60" s="337">
        <v>0</v>
      </c>
      <c r="G60" s="337">
        <v>0</v>
      </c>
      <c r="H60" s="337">
        <v>0</v>
      </c>
      <c r="I60" s="337">
        <v>0</v>
      </c>
      <c r="J60" s="337">
        <v>0</v>
      </c>
      <c r="K60" s="337">
        <v>0</v>
      </c>
      <c r="L60" s="337">
        <v>0</v>
      </c>
      <c r="M60" s="337">
        <v>0</v>
      </c>
      <c r="N60" s="337">
        <v>0</v>
      </c>
      <c r="O60" s="337">
        <v>2400000</v>
      </c>
      <c r="P60" s="337">
        <v>0</v>
      </c>
      <c r="Q60" s="337">
        <v>0</v>
      </c>
      <c r="R60" s="337">
        <f t="shared" si="5"/>
        <v>2400000</v>
      </c>
      <c r="S60" s="329" t="s">
        <v>729</v>
      </c>
      <c r="T60" s="299"/>
      <c r="U60" s="338"/>
      <c r="V60" s="320"/>
      <c r="W60" s="339"/>
      <c r="X60" s="340"/>
      <c r="Y60" s="340"/>
      <c r="Z60" s="302"/>
      <c r="AA60" s="303"/>
      <c r="AB60" s="303"/>
      <c r="AC60" s="320"/>
      <c r="AD60" s="320"/>
      <c r="AE60" s="320"/>
      <c r="AF60" s="320"/>
      <c r="AG60" s="320"/>
      <c r="AH60" s="306"/>
      <c r="AI60" s="306"/>
      <c r="AJ60" s="306"/>
      <c r="AK60" s="306"/>
      <c r="AL60" s="306"/>
      <c r="AM60" s="306"/>
      <c r="AN60" s="306"/>
      <c r="AO60" s="306"/>
      <c r="AP60" s="306"/>
      <c r="AQ60" s="306"/>
      <c r="AR60" s="306"/>
      <c r="AS60" s="306"/>
      <c r="AT60" s="306"/>
      <c r="AU60" s="306"/>
      <c r="AV60" s="306"/>
      <c r="AW60" s="306"/>
      <c r="AX60" s="306"/>
      <c r="AY60" s="306"/>
      <c r="AZ60" s="306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</row>
    <row r="61" spans="1:68" s="317" customFormat="1" ht="14.25">
      <c r="A61" s="307"/>
      <c r="B61" s="331">
        <v>5004086291</v>
      </c>
      <c r="C61" s="183" t="str">
        <f>IFERROR(IF(VLOOKUP($B61,[1]勘定科目!$A:$H,HLOOKUP($E$5,[1]勘定科目!$F$1:$H$2,2,0),0)="","",VLOOKUP($B61,[1]勘定科目!$A:$E,2,0)),"")</f>
        <v>福利厚生費（製）</v>
      </c>
      <c r="D61" s="233" t="str">
        <f>IF(C61="","",VLOOKUP($B61,[1]勘定科目!$A:$E,4,0))</f>
        <v>福利厚生費</v>
      </c>
      <c r="E61" s="311"/>
      <c r="F61" s="337">
        <v>0</v>
      </c>
      <c r="G61" s="337">
        <v>0</v>
      </c>
      <c r="H61" s="337">
        <v>0</v>
      </c>
      <c r="I61" s="337">
        <v>0</v>
      </c>
      <c r="J61" s="337">
        <v>0</v>
      </c>
      <c r="K61" s="337">
        <v>0</v>
      </c>
      <c r="L61" s="337">
        <v>0</v>
      </c>
      <c r="M61" s="337">
        <v>0</v>
      </c>
      <c r="N61" s="337">
        <v>0</v>
      </c>
      <c r="O61" s="337">
        <v>0</v>
      </c>
      <c r="P61" s="337">
        <v>1200000</v>
      </c>
      <c r="Q61" s="337">
        <v>0</v>
      </c>
      <c r="R61" s="337">
        <f t="shared" si="5"/>
        <v>1200000</v>
      </c>
      <c r="S61" s="329" t="s">
        <v>730</v>
      </c>
      <c r="T61" s="299"/>
      <c r="U61" s="338"/>
      <c r="V61" s="320"/>
      <c r="W61" s="339"/>
      <c r="X61" s="340"/>
      <c r="Y61" s="340"/>
      <c r="Z61" s="302"/>
      <c r="AA61" s="303"/>
      <c r="AB61" s="303"/>
      <c r="AC61" s="320"/>
      <c r="AD61" s="320"/>
      <c r="AE61" s="320"/>
      <c r="AF61" s="320"/>
      <c r="AG61" s="320"/>
      <c r="AH61" s="306"/>
      <c r="AI61" s="306"/>
      <c r="AJ61" s="306"/>
      <c r="AK61" s="306"/>
      <c r="AL61" s="306"/>
      <c r="AM61" s="306"/>
      <c r="AN61" s="306"/>
      <c r="AO61" s="306"/>
      <c r="AP61" s="306"/>
      <c r="AQ61" s="306"/>
      <c r="AR61" s="306"/>
      <c r="AS61" s="306"/>
      <c r="AT61" s="306"/>
      <c r="AU61" s="306"/>
      <c r="AV61" s="306"/>
      <c r="AW61" s="306"/>
      <c r="AX61" s="306"/>
      <c r="AY61" s="306"/>
      <c r="AZ61" s="306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</row>
    <row r="62" spans="1:68" s="317" customFormat="1" ht="14.25">
      <c r="A62" s="307"/>
      <c r="B62" s="331">
        <v>5004086291</v>
      </c>
      <c r="C62" s="183" t="str">
        <f>IFERROR(IF(VLOOKUP($B62,[1]勘定科目!$A:$H,HLOOKUP($E$5,[1]勘定科目!$F$1:$H$2,2,0),0)="","",VLOOKUP($B62,[1]勘定科目!$A:$E,2,0)),"")</f>
        <v>福利厚生費（製）</v>
      </c>
      <c r="D62" s="233" t="str">
        <f>IF(C62="","",VLOOKUP($B62,[1]勘定科目!$A:$E,4,0))</f>
        <v>福利厚生費</v>
      </c>
      <c r="E62" s="311"/>
      <c r="F62" s="337">
        <v>0</v>
      </c>
      <c r="G62" s="337">
        <v>0</v>
      </c>
      <c r="H62" s="337">
        <v>0</v>
      </c>
      <c r="I62" s="337">
        <v>0</v>
      </c>
      <c r="J62" s="337">
        <v>0</v>
      </c>
      <c r="K62" s="337">
        <v>0</v>
      </c>
      <c r="L62" s="337">
        <v>0</v>
      </c>
      <c r="M62" s="337">
        <v>0</v>
      </c>
      <c r="N62" s="337">
        <v>0</v>
      </c>
      <c r="O62" s="337">
        <v>0</v>
      </c>
      <c r="P62" s="337">
        <v>0</v>
      </c>
      <c r="Q62" s="337">
        <v>0</v>
      </c>
      <c r="R62" s="337">
        <f t="shared" si="5"/>
        <v>0</v>
      </c>
      <c r="S62" s="329" t="s">
        <v>731</v>
      </c>
      <c r="T62" s="299"/>
      <c r="U62" s="341"/>
      <c r="V62" s="342"/>
      <c r="W62" s="339"/>
      <c r="X62" s="303"/>
      <c r="Y62" s="340"/>
      <c r="Z62" s="303"/>
      <c r="AA62" s="303"/>
      <c r="AB62" s="303"/>
      <c r="AC62" s="320"/>
      <c r="AD62" s="320"/>
      <c r="AE62" s="320"/>
      <c r="AF62" s="320"/>
      <c r="AG62" s="320"/>
      <c r="AH62" s="306"/>
      <c r="AI62" s="306"/>
      <c r="AJ62" s="306"/>
      <c r="AK62" s="306"/>
      <c r="AL62" s="306"/>
      <c r="AM62" s="306"/>
      <c r="AN62" s="306"/>
      <c r="AO62" s="306"/>
      <c r="AP62" s="306"/>
      <c r="AQ62" s="306"/>
      <c r="AR62" s="306"/>
      <c r="AS62" s="306"/>
      <c r="AT62" s="306"/>
      <c r="AU62" s="306"/>
      <c r="AV62" s="306"/>
      <c r="AW62" s="306"/>
      <c r="AX62" s="306"/>
      <c r="AY62" s="306"/>
      <c r="AZ62" s="306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</row>
    <row r="63" spans="1:68" s="317" customFormat="1" ht="14.25">
      <c r="A63" s="307"/>
      <c r="B63" s="331">
        <v>5004086291</v>
      </c>
      <c r="C63" s="183" t="str">
        <f>IFERROR(IF(VLOOKUP($B63,[1]勘定科目!$A:$H,HLOOKUP($E$5,[1]勘定科目!$F$1:$H$2,2,0),0)="","",VLOOKUP($B63,[1]勘定科目!$A:$E,2,0)),"")</f>
        <v>福利厚生費（製）</v>
      </c>
      <c r="D63" s="233" t="str">
        <f>IF(C63="","",VLOOKUP($B63,[1]勘定科目!$A:$E,4,0))</f>
        <v>福利厚生費</v>
      </c>
      <c r="E63" s="311"/>
      <c r="F63" s="337"/>
      <c r="G63" s="337">
        <v>1200000</v>
      </c>
      <c r="H63" s="337"/>
      <c r="I63" s="337"/>
      <c r="J63" s="337"/>
      <c r="K63" s="337"/>
      <c r="L63" s="337"/>
      <c r="M63" s="337"/>
      <c r="N63" s="337"/>
      <c r="O63" s="337"/>
      <c r="P63" s="337"/>
      <c r="Q63" s="337"/>
      <c r="R63" s="337">
        <f t="shared" si="5"/>
        <v>1200000</v>
      </c>
      <c r="S63" s="329" t="s">
        <v>732</v>
      </c>
      <c r="T63" s="299"/>
      <c r="U63" s="341"/>
      <c r="V63" s="342"/>
      <c r="W63" s="339"/>
      <c r="X63" s="303"/>
      <c r="Y63" s="340"/>
      <c r="Z63" s="303"/>
      <c r="AA63" s="303"/>
      <c r="AB63" s="303"/>
      <c r="AC63" s="320"/>
      <c r="AD63" s="320"/>
      <c r="AE63" s="320"/>
      <c r="AF63" s="320"/>
      <c r="AG63" s="320"/>
      <c r="AH63" s="306"/>
      <c r="AI63" s="306"/>
      <c r="AJ63" s="306"/>
      <c r="AK63" s="306"/>
      <c r="AL63" s="306"/>
      <c r="AM63" s="306"/>
      <c r="AN63" s="306"/>
      <c r="AO63" s="306"/>
      <c r="AP63" s="306"/>
      <c r="AQ63" s="306"/>
      <c r="AR63" s="306"/>
      <c r="AS63" s="306"/>
      <c r="AT63" s="306"/>
      <c r="AU63" s="306"/>
      <c r="AV63" s="306"/>
      <c r="AW63" s="306"/>
      <c r="AX63" s="306"/>
      <c r="AY63" s="306"/>
      <c r="AZ63" s="306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</row>
    <row r="64" spans="1:68" s="317" customFormat="1" ht="14.25">
      <c r="A64" s="307"/>
      <c r="B64" s="331">
        <v>5005246281</v>
      </c>
      <c r="C64" s="183" t="str">
        <f>IFERROR(IF(VLOOKUP($B64,[1]勘定科目!$A:$H,HLOOKUP($E$5,[1]勘定科目!$F$1:$H$2,2,0),0)="","",VLOOKUP($B64,[1]勘定科目!$A:$E,2,0)),"")</f>
        <v>図書印刷費（製）</v>
      </c>
      <c r="D64" s="233" t="str">
        <f>IF(C64="","",VLOOKUP($B64,[1]勘定科目!$A:$E,4,0))</f>
        <v>図書及び事務費</v>
      </c>
      <c r="E64" s="311"/>
      <c r="F64" s="343">
        <v>0</v>
      </c>
      <c r="G64" s="344">
        <v>0</v>
      </c>
      <c r="H64" s="345">
        <v>0</v>
      </c>
      <c r="I64" s="345">
        <v>0</v>
      </c>
      <c r="J64" s="345">
        <v>0</v>
      </c>
      <c r="K64" s="345">
        <v>0</v>
      </c>
      <c r="L64" s="345">
        <v>0</v>
      </c>
      <c r="M64" s="345">
        <v>18300</v>
      </c>
      <c r="N64" s="345">
        <v>0</v>
      </c>
      <c r="O64" s="345">
        <v>0</v>
      </c>
      <c r="P64" s="345">
        <v>0</v>
      </c>
      <c r="Q64" s="345">
        <v>0</v>
      </c>
      <c r="R64" s="345">
        <f t="shared" si="5"/>
        <v>18300</v>
      </c>
      <c r="S64" s="329" t="s">
        <v>733</v>
      </c>
      <c r="T64" s="299"/>
      <c r="U64" s="325"/>
      <c r="V64" s="303"/>
      <c r="W64" s="302"/>
      <c r="X64" s="303"/>
      <c r="Y64" s="303"/>
      <c r="Z64" s="303"/>
      <c r="AA64" s="303"/>
      <c r="AB64" s="303"/>
      <c r="AC64" s="320"/>
      <c r="AD64" s="320"/>
      <c r="AE64" s="320"/>
      <c r="AF64" s="320"/>
      <c r="AG64" s="320"/>
      <c r="AH64" s="306"/>
      <c r="AI64" s="306"/>
      <c r="AJ64" s="306"/>
      <c r="AK64" s="306"/>
      <c r="AL64" s="306"/>
      <c r="AM64" s="306"/>
      <c r="AN64" s="306"/>
      <c r="AO64" s="306"/>
      <c r="AP64" s="306"/>
      <c r="AQ64" s="306"/>
      <c r="AR64" s="306"/>
      <c r="AS64" s="306"/>
      <c r="AT64" s="306"/>
      <c r="AU64" s="306"/>
      <c r="AV64" s="306"/>
      <c r="AW64" s="306"/>
      <c r="AX64" s="306"/>
      <c r="AY64" s="306"/>
      <c r="AZ64" s="306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</row>
    <row r="65" spans="1:68" s="317" customFormat="1" ht="14.25">
      <c r="A65" s="307"/>
      <c r="B65" s="331">
        <v>5004086291</v>
      </c>
      <c r="C65" s="183" t="str">
        <f>IFERROR(IF(VLOOKUP($B65,[1]勘定科目!$A:$H,HLOOKUP($E$5,[1]勘定科目!$F$1:$H$2,2,0),0)="","",VLOOKUP($B65,[1]勘定科目!$A:$E,2,0)),"")</f>
        <v>福利厚生費（製）</v>
      </c>
      <c r="D65" s="233" t="str">
        <f>IF(C65="","",VLOOKUP($B65,[1]勘定科目!$A:$E,4,0))</f>
        <v>福利厚生費</v>
      </c>
      <c r="E65" s="311"/>
      <c r="F65" s="337">
        <v>0</v>
      </c>
      <c r="G65" s="337">
        <v>0</v>
      </c>
      <c r="H65" s="337">
        <v>0</v>
      </c>
      <c r="I65" s="337">
        <v>275000</v>
      </c>
      <c r="J65" s="337">
        <v>0</v>
      </c>
      <c r="K65" s="337">
        <v>0</v>
      </c>
      <c r="L65" s="337">
        <v>0</v>
      </c>
      <c r="M65" s="337">
        <v>0</v>
      </c>
      <c r="N65" s="337">
        <v>0</v>
      </c>
      <c r="O65" s="337">
        <v>0</v>
      </c>
      <c r="P65" s="337">
        <v>0</v>
      </c>
      <c r="Q65" s="337">
        <v>0</v>
      </c>
      <c r="R65" s="337">
        <f t="shared" si="5"/>
        <v>275000</v>
      </c>
      <c r="S65" s="329" t="s">
        <v>844</v>
      </c>
      <c r="T65" s="299"/>
      <c r="U65" s="346"/>
      <c r="V65" s="320"/>
      <c r="W65" s="339"/>
      <c r="X65" s="347"/>
      <c r="Y65" s="347"/>
      <c r="Z65" s="302"/>
      <c r="AA65" s="303"/>
      <c r="AB65" s="303"/>
      <c r="AC65" s="320"/>
      <c r="AD65" s="320"/>
      <c r="AE65" s="320"/>
      <c r="AF65" s="320"/>
      <c r="AG65" s="320"/>
      <c r="AH65" s="306"/>
      <c r="AI65" s="306"/>
      <c r="AJ65" s="306"/>
      <c r="AK65" s="306"/>
      <c r="AL65" s="306"/>
      <c r="AM65" s="306"/>
      <c r="AN65" s="306"/>
      <c r="AO65" s="306"/>
      <c r="AP65" s="306"/>
      <c r="AQ65" s="306"/>
      <c r="AR65" s="306"/>
      <c r="AS65" s="306"/>
      <c r="AT65" s="306"/>
      <c r="AU65" s="306"/>
      <c r="AV65" s="306"/>
      <c r="AW65" s="306"/>
      <c r="AX65" s="306"/>
      <c r="AY65" s="306"/>
      <c r="AZ65" s="306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</row>
    <row r="66" spans="1:68" s="317" customFormat="1" ht="14.25">
      <c r="A66" s="307"/>
      <c r="B66" s="331">
        <v>5004086291</v>
      </c>
      <c r="C66" s="183" t="str">
        <f>IFERROR(IF(VLOOKUP($B66,[1]勘定科目!$A:$H,HLOOKUP($E$5,[1]勘定科目!$F$1:$H$2,2,0),0)="","",VLOOKUP($B66,[1]勘定科目!$A:$E,2,0)),"")</f>
        <v>福利厚生費（製）</v>
      </c>
      <c r="D66" s="233" t="str">
        <f>IF(C66="","",VLOOKUP($B66,[1]勘定科目!$A:$E,4,0))</f>
        <v>福利厚生費</v>
      </c>
      <c r="E66" s="311"/>
      <c r="F66" s="337">
        <v>0</v>
      </c>
      <c r="G66" s="337">
        <v>0</v>
      </c>
      <c r="H66" s="337">
        <v>0</v>
      </c>
      <c r="I66" s="337">
        <v>0</v>
      </c>
      <c r="J66" s="337">
        <v>0</v>
      </c>
      <c r="K66" s="337">
        <v>0</v>
      </c>
      <c r="L66" s="337">
        <v>0</v>
      </c>
      <c r="M66" s="337">
        <v>0</v>
      </c>
      <c r="N66" s="337">
        <v>1701000</v>
      </c>
      <c r="O66" s="337">
        <v>0</v>
      </c>
      <c r="P66" s="337">
        <v>0</v>
      </c>
      <c r="Q66" s="337">
        <v>0</v>
      </c>
      <c r="R66" s="337">
        <f t="shared" si="5"/>
        <v>1701000</v>
      </c>
      <c r="S66" s="329" t="s">
        <v>734</v>
      </c>
      <c r="T66" s="299"/>
      <c r="U66" s="332"/>
      <c r="V66" s="303"/>
      <c r="W66" s="302"/>
      <c r="X66" s="303"/>
      <c r="Y66" s="303"/>
      <c r="Z66" s="303"/>
      <c r="AA66" s="303"/>
      <c r="AB66" s="303"/>
      <c r="AC66" s="320"/>
      <c r="AD66" s="320"/>
      <c r="AE66" s="320"/>
      <c r="AF66" s="320"/>
      <c r="AG66" s="320"/>
      <c r="AH66" s="306"/>
      <c r="AI66" s="306"/>
      <c r="AJ66" s="306"/>
      <c r="AK66" s="306"/>
      <c r="AL66" s="306"/>
      <c r="AM66" s="306"/>
      <c r="AN66" s="306"/>
      <c r="AO66" s="306"/>
      <c r="AP66" s="306"/>
      <c r="AQ66" s="306"/>
      <c r="AR66" s="306"/>
      <c r="AS66" s="306"/>
      <c r="AT66" s="306"/>
      <c r="AU66" s="306"/>
      <c r="AV66" s="306"/>
      <c r="AW66" s="306"/>
      <c r="AX66" s="306"/>
      <c r="AY66" s="306"/>
      <c r="AZ66" s="30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</row>
    <row r="67" spans="1:68" s="317" customFormat="1" ht="14.25">
      <c r="A67" s="307"/>
      <c r="B67" s="331">
        <v>5004086291</v>
      </c>
      <c r="C67" s="183" t="str">
        <f>IFERROR(IF(VLOOKUP($B67,[1]勘定科目!$A:$H,HLOOKUP($E$5,[1]勘定科目!$F$1:$H$2,2,0),0)="","",VLOOKUP($B67,[1]勘定科目!$A:$E,2,0)),"")</f>
        <v>福利厚生費（製）</v>
      </c>
      <c r="D67" s="233" t="str">
        <f>IF(C67="","",VLOOKUP($B67,[1]勘定科目!$A:$E,4,0))</f>
        <v>福利厚生費</v>
      </c>
      <c r="E67" s="311"/>
      <c r="F67" s="337">
        <v>0</v>
      </c>
      <c r="G67" s="337">
        <v>0</v>
      </c>
      <c r="H67" s="337">
        <v>0</v>
      </c>
      <c r="I67" s="337">
        <v>0</v>
      </c>
      <c r="J67" s="337">
        <v>0</v>
      </c>
      <c r="K67" s="337">
        <v>0</v>
      </c>
      <c r="L67" s="337">
        <v>0</v>
      </c>
      <c r="M67" s="337">
        <v>0</v>
      </c>
      <c r="N67" s="337">
        <v>408000</v>
      </c>
      <c r="O67" s="337">
        <v>0</v>
      </c>
      <c r="P67" s="337">
        <v>0</v>
      </c>
      <c r="Q67" s="337">
        <v>0</v>
      </c>
      <c r="R67" s="337">
        <f t="shared" si="5"/>
        <v>408000</v>
      </c>
      <c r="S67" s="329" t="s">
        <v>735</v>
      </c>
      <c r="T67" s="299"/>
      <c r="U67" s="348"/>
      <c r="V67" s="348"/>
      <c r="W67" s="349"/>
      <c r="X67" s="350"/>
      <c r="Y67" s="340"/>
      <c r="Z67" s="303"/>
      <c r="AA67" s="306"/>
      <c r="AB67" s="306"/>
      <c r="AC67" s="320"/>
      <c r="AD67" s="320"/>
      <c r="AE67" s="320"/>
      <c r="AF67" s="320"/>
      <c r="AG67" s="320"/>
      <c r="AH67" s="306"/>
      <c r="AI67" s="306"/>
      <c r="AJ67" s="306"/>
      <c r="AK67" s="306"/>
      <c r="AL67" s="306"/>
      <c r="AM67" s="306"/>
      <c r="AN67" s="306"/>
      <c r="AO67" s="306"/>
      <c r="AP67" s="306"/>
      <c r="AQ67" s="306"/>
      <c r="AR67" s="306"/>
      <c r="AS67" s="306"/>
      <c r="AT67" s="306"/>
      <c r="AU67" s="306"/>
      <c r="AV67" s="306"/>
      <c r="AW67" s="306"/>
      <c r="AX67" s="306"/>
      <c r="AY67" s="306"/>
      <c r="AZ67" s="306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</row>
    <row r="68" spans="1:68" s="317" customFormat="1" ht="14.25">
      <c r="A68" s="307"/>
      <c r="B68" s="331"/>
      <c r="C68" s="183" t="str">
        <f>IFERROR(IF(VLOOKUP($B68,[1]勘定科目!$A:$H,HLOOKUP($E$5,[1]勘定科目!$F$1:$H$2,2,0),0)="","",VLOOKUP($B68,[1]勘定科目!$A:$E,2,0)),"")</f>
        <v/>
      </c>
      <c r="D68" s="233" t="str">
        <f>IF(C68="","",VLOOKUP($B68,[1]勘定科目!$A:$E,4,0))</f>
        <v/>
      </c>
      <c r="E68" s="311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37"/>
      <c r="R68" s="337">
        <f t="shared" si="5"/>
        <v>0</v>
      </c>
      <c r="S68" s="329"/>
      <c r="T68" s="299"/>
      <c r="U68" s="348"/>
      <c r="V68" s="348"/>
      <c r="W68" s="349"/>
      <c r="X68" s="350"/>
      <c r="Y68" s="340"/>
      <c r="Z68" s="303"/>
      <c r="AA68" s="306"/>
      <c r="AB68" s="306"/>
      <c r="AC68" s="320"/>
      <c r="AD68" s="320"/>
      <c r="AE68" s="320"/>
      <c r="AF68" s="320"/>
      <c r="AG68" s="320"/>
      <c r="AH68" s="306"/>
      <c r="AI68" s="306"/>
      <c r="AJ68" s="306"/>
      <c r="AK68" s="306"/>
      <c r="AL68" s="306"/>
      <c r="AM68" s="306"/>
      <c r="AN68" s="306"/>
      <c r="AO68" s="306"/>
      <c r="AP68" s="306"/>
      <c r="AQ68" s="306"/>
      <c r="AR68" s="306"/>
      <c r="AS68" s="306"/>
      <c r="AT68" s="306"/>
      <c r="AU68" s="306"/>
      <c r="AV68" s="306"/>
      <c r="AW68" s="306"/>
      <c r="AX68" s="306"/>
      <c r="AY68" s="306"/>
      <c r="AZ68" s="306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</row>
    <row r="69" spans="1:68" s="317" customFormat="1" ht="14.25">
      <c r="A69" s="307"/>
      <c r="B69" s="331"/>
      <c r="C69" s="183" t="str">
        <f>IFERROR(IF(VLOOKUP($B69,[1]勘定科目!$A:$H,HLOOKUP($E$5,[1]勘定科目!$F$1:$H$2,2,0),0)="","",VLOOKUP($B69,[1]勘定科目!$A:$E,2,0)),"")</f>
        <v/>
      </c>
      <c r="D69" s="233" t="str">
        <f>IF(C69="","",VLOOKUP($B69,[1]勘定科目!$A:$E,4,0))</f>
        <v/>
      </c>
      <c r="E69" s="311"/>
      <c r="F69" s="337"/>
      <c r="G69" s="337"/>
      <c r="H69" s="337"/>
      <c r="I69" s="337"/>
      <c r="J69" s="337"/>
      <c r="K69" s="337"/>
      <c r="L69" s="337"/>
      <c r="M69" s="337"/>
      <c r="N69" s="337"/>
      <c r="O69" s="337"/>
      <c r="P69" s="337"/>
      <c r="Q69" s="337"/>
      <c r="R69" s="337">
        <f t="shared" si="5"/>
        <v>0</v>
      </c>
      <c r="S69" s="329" t="s">
        <v>736</v>
      </c>
      <c r="T69" s="299"/>
      <c r="U69" s="348"/>
      <c r="V69" s="348"/>
      <c r="W69" s="349"/>
      <c r="X69" s="350"/>
      <c r="Y69" s="340"/>
      <c r="Z69" s="303"/>
      <c r="AA69" s="306"/>
      <c r="AB69" s="306"/>
      <c r="AC69" s="320"/>
      <c r="AD69" s="320"/>
      <c r="AE69" s="320"/>
      <c r="AF69" s="320"/>
      <c r="AG69" s="320"/>
      <c r="AH69" s="306"/>
      <c r="AI69" s="306"/>
      <c r="AJ69" s="306"/>
      <c r="AK69" s="306"/>
      <c r="AL69" s="306"/>
      <c r="AM69" s="306"/>
      <c r="AN69" s="306"/>
      <c r="AO69" s="306"/>
      <c r="AP69" s="306"/>
      <c r="AQ69" s="306"/>
      <c r="AR69" s="306"/>
      <c r="AS69" s="306"/>
      <c r="AT69" s="306"/>
      <c r="AU69" s="306"/>
      <c r="AV69" s="306"/>
      <c r="AW69" s="306"/>
      <c r="AX69" s="306"/>
      <c r="AY69" s="306"/>
      <c r="AZ69" s="306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</row>
    <row r="70" spans="1:68" s="317" customFormat="1" ht="16.5">
      <c r="A70" s="307"/>
      <c r="B70" s="331">
        <v>5005246282</v>
      </c>
      <c r="C70" s="183" t="str">
        <f>IFERROR(IF(VLOOKUP($B70,[1]勘定科目!$A:$H,HLOOKUP($E$5,[1]勘定科目!$F$1:$H$2,2,0),0)="","",VLOOKUP($B70,[1]勘定科目!$A:$E,2,0)),"")</f>
        <v>ＫＤＣシステム使用料（製）</v>
      </c>
      <c r="D70" s="233" t="str">
        <f>IF(C70="","",VLOOKUP($B70,[1]勘定科目!$A:$E,4,0))</f>
        <v>図書及び事務費</v>
      </c>
      <c r="E70" s="321"/>
      <c r="F70" s="351">
        <v>2024525</v>
      </c>
      <c r="G70" s="351">
        <v>2024525</v>
      </c>
      <c r="H70" s="351">
        <v>2024525</v>
      </c>
      <c r="I70" s="351">
        <v>2024525</v>
      </c>
      <c r="J70" s="351">
        <v>2024525</v>
      </c>
      <c r="K70" s="351">
        <v>2024525</v>
      </c>
      <c r="L70" s="351">
        <v>2024525</v>
      </c>
      <c r="M70" s="351">
        <v>2024525</v>
      </c>
      <c r="N70" s="351">
        <v>2024525</v>
      </c>
      <c r="O70" s="351">
        <v>2024525</v>
      </c>
      <c r="P70" s="351">
        <v>2024525</v>
      </c>
      <c r="Q70" s="351">
        <v>2024525</v>
      </c>
      <c r="R70" s="351">
        <f t="shared" si="5"/>
        <v>24294300</v>
      </c>
      <c r="S70" s="324" t="s">
        <v>845</v>
      </c>
      <c r="T70" s="299"/>
      <c r="U70" s="348"/>
      <c r="V70" s="348"/>
      <c r="W70" s="349"/>
      <c r="X70" s="350"/>
      <c r="Y70" s="340"/>
      <c r="Z70" s="303"/>
      <c r="AA70" s="306"/>
      <c r="AB70" s="306"/>
      <c r="AC70" s="320"/>
      <c r="AD70" s="320"/>
      <c r="AE70" s="320"/>
      <c r="AF70" s="320"/>
      <c r="AG70" s="320"/>
      <c r="AH70" s="306"/>
      <c r="AI70" s="306"/>
      <c r="AJ70" s="306"/>
      <c r="AK70" s="306"/>
      <c r="AL70" s="306"/>
      <c r="AM70" s="306"/>
      <c r="AN70" s="306"/>
      <c r="AO70" s="306"/>
      <c r="AP70" s="306"/>
      <c r="AQ70" s="306"/>
      <c r="AR70" s="306"/>
      <c r="AS70" s="306"/>
      <c r="AT70" s="306"/>
      <c r="AU70" s="306"/>
      <c r="AV70" s="306"/>
      <c r="AW70" s="306"/>
      <c r="AX70" s="306"/>
      <c r="AY70" s="306"/>
      <c r="AZ70" s="306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</row>
    <row r="71" spans="1:68" s="317" customFormat="1" ht="14.25">
      <c r="A71" s="307"/>
      <c r="B71" s="331">
        <v>5005246282</v>
      </c>
      <c r="C71" s="183" t="str">
        <f>IFERROR(IF(VLOOKUP($B71,[1]勘定科目!$A:$H,HLOOKUP($E$5,[1]勘定科目!$F$1:$H$2,2,0),0)="","",VLOOKUP($B71,[1]勘定科目!$A:$E,2,0)),"")</f>
        <v>ＫＤＣシステム使用料（製）</v>
      </c>
      <c r="D71" s="233" t="str">
        <f>IF(C71="","",VLOOKUP($B71,[1]勘定科目!$A:$E,4,0))</f>
        <v>図書及び事務費</v>
      </c>
      <c r="E71" s="311"/>
      <c r="F71" s="333"/>
      <c r="G71" s="333"/>
      <c r="H71" s="333"/>
      <c r="I71" s="333"/>
      <c r="J71" s="333"/>
      <c r="K71" s="333"/>
      <c r="L71" s="333"/>
      <c r="M71" s="333"/>
      <c r="N71" s="333"/>
      <c r="O71" s="333"/>
      <c r="P71" s="333"/>
      <c r="Q71" s="333"/>
      <c r="R71" s="333">
        <f t="shared" si="5"/>
        <v>0</v>
      </c>
      <c r="S71" s="329" t="s">
        <v>846</v>
      </c>
      <c r="T71" s="299"/>
      <c r="U71" s="352"/>
      <c r="V71" s="353"/>
      <c r="W71" s="352"/>
      <c r="X71" s="349"/>
      <c r="Y71" s="349"/>
      <c r="Z71" s="303"/>
      <c r="AA71" s="303"/>
      <c r="AB71" s="303"/>
      <c r="AC71" s="320"/>
      <c r="AD71" s="320"/>
      <c r="AE71" s="320"/>
      <c r="AF71" s="320"/>
      <c r="AG71" s="320"/>
      <c r="AH71" s="306"/>
      <c r="AI71" s="306"/>
      <c r="AJ71" s="306"/>
      <c r="AK71" s="306"/>
      <c r="AL71" s="306"/>
      <c r="AM71" s="306"/>
      <c r="AN71" s="306"/>
      <c r="AO71" s="306"/>
      <c r="AP71" s="306"/>
      <c r="AQ71" s="306"/>
      <c r="AR71" s="306"/>
      <c r="AS71" s="306"/>
      <c r="AT71" s="306"/>
      <c r="AU71" s="306"/>
      <c r="AV71" s="306"/>
      <c r="AW71" s="306"/>
      <c r="AX71" s="306"/>
      <c r="AY71" s="306"/>
      <c r="AZ71" s="306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</row>
    <row r="72" spans="1:68" s="317" customFormat="1" ht="14.25">
      <c r="A72" s="307"/>
      <c r="B72" s="331">
        <v>5005246282</v>
      </c>
      <c r="C72" s="183" t="str">
        <f>IFERROR(IF(VLOOKUP($B72,[1]勘定科目!$A:$H,HLOOKUP($E$5,[1]勘定科目!$F$1:$H$2,2,0),0)="","",VLOOKUP($B72,[1]勘定科目!$A:$E,2,0)),"")</f>
        <v>ＫＤＣシステム使用料（製）</v>
      </c>
      <c r="D72" s="233" t="str">
        <f>IF(C72="","",VLOOKUP($B72,[1]勘定科目!$A:$E,4,0))</f>
        <v>図書及び事務費</v>
      </c>
      <c r="E72" s="311"/>
      <c r="F72" s="333"/>
      <c r="G72" s="333"/>
      <c r="H72" s="333"/>
      <c r="I72" s="333"/>
      <c r="J72" s="333"/>
      <c r="K72" s="333"/>
      <c r="L72" s="333"/>
      <c r="M72" s="333"/>
      <c r="N72" s="333"/>
      <c r="O72" s="333"/>
      <c r="P72" s="333"/>
      <c r="Q72" s="333"/>
      <c r="R72" s="333">
        <f t="shared" si="5"/>
        <v>0</v>
      </c>
      <c r="S72" s="329" t="s">
        <v>847</v>
      </c>
      <c r="T72" s="299"/>
      <c r="U72" s="352"/>
      <c r="V72" s="353"/>
      <c r="W72" s="352"/>
      <c r="X72" s="349"/>
      <c r="Y72" s="349"/>
      <c r="Z72" s="303"/>
      <c r="AA72" s="303"/>
      <c r="AB72" s="303"/>
      <c r="AC72" s="320"/>
      <c r="AD72" s="320"/>
      <c r="AE72" s="320"/>
      <c r="AF72" s="320"/>
      <c r="AG72" s="320"/>
      <c r="AH72" s="306"/>
      <c r="AI72" s="306"/>
      <c r="AJ72" s="306"/>
      <c r="AK72" s="306"/>
      <c r="AL72" s="306"/>
      <c r="AM72" s="306"/>
      <c r="AN72" s="306"/>
      <c r="AO72" s="306"/>
      <c r="AP72" s="306"/>
      <c r="AQ72" s="306"/>
      <c r="AR72" s="306"/>
      <c r="AS72" s="306"/>
      <c r="AT72" s="306"/>
      <c r="AU72" s="306"/>
      <c r="AV72" s="306"/>
      <c r="AW72" s="306"/>
      <c r="AX72" s="306"/>
      <c r="AY72" s="306"/>
      <c r="AZ72" s="306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</row>
    <row r="73" spans="1:68" s="317" customFormat="1" ht="14.25">
      <c r="A73" s="307"/>
      <c r="B73" s="331">
        <v>5005246282</v>
      </c>
      <c r="C73" s="183" t="str">
        <f>IFERROR(IF(VLOOKUP($B73,[1]勘定科目!$A:$H,HLOOKUP($E$5,[1]勘定科目!$F$1:$H$2,2,0),0)="","",VLOOKUP($B73,[1]勘定科目!$A:$E,2,0)),"")</f>
        <v>ＫＤＣシステム使用料（製）</v>
      </c>
      <c r="D73" s="233" t="str">
        <f>IF(C73="","",VLOOKUP($B73,[1]勘定科目!$A:$E,4,0))</f>
        <v>図書及び事務費</v>
      </c>
      <c r="E73" s="311"/>
      <c r="F73" s="333"/>
      <c r="G73" s="333"/>
      <c r="H73" s="333"/>
      <c r="I73" s="333"/>
      <c r="J73" s="333"/>
      <c r="K73" s="333"/>
      <c r="L73" s="333"/>
      <c r="M73" s="333"/>
      <c r="N73" s="333"/>
      <c r="O73" s="333"/>
      <c r="P73" s="333"/>
      <c r="Q73" s="333"/>
      <c r="R73" s="333">
        <f t="shared" si="5"/>
        <v>0</v>
      </c>
      <c r="S73" s="329" t="s">
        <v>848</v>
      </c>
      <c r="T73" s="299"/>
      <c r="U73" s="352"/>
      <c r="V73" s="334"/>
      <c r="W73" s="354"/>
      <c r="X73" s="334"/>
      <c r="Y73" s="349"/>
      <c r="Z73" s="303"/>
      <c r="AA73" s="303"/>
      <c r="AB73" s="303"/>
      <c r="AC73" s="320"/>
      <c r="AD73" s="320"/>
      <c r="AE73" s="320"/>
      <c r="AF73" s="320"/>
      <c r="AG73" s="320"/>
      <c r="AH73" s="306"/>
      <c r="AI73" s="306"/>
      <c r="AJ73" s="306"/>
      <c r="AK73" s="306"/>
      <c r="AL73" s="306"/>
      <c r="AM73" s="306"/>
      <c r="AN73" s="306"/>
      <c r="AO73" s="306"/>
      <c r="AP73" s="306"/>
      <c r="AQ73" s="306"/>
      <c r="AR73" s="306"/>
      <c r="AS73" s="306"/>
      <c r="AT73" s="306"/>
      <c r="AU73" s="306"/>
      <c r="AV73" s="306"/>
      <c r="AW73" s="306"/>
      <c r="AX73" s="306"/>
      <c r="AY73" s="306"/>
      <c r="AZ73" s="306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</row>
    <row r="74" spans="1:68" s="317" customFormat="1" ht="14.25">
      <c r="A74" s="307"/>
      <c r="B74" s="331">
        <v>5005246282</v>
      </c>
      <c r="C74" s="183" t="str">
        <f>IFERROR(IF(VLOOKUP($B74,[1]勘定科目!$A:$H,HLOOKUP($E$5,[1]勘定科目!$F$1:$H$2,2,0),0)="","",VLOOKUP($B74,[1]勘定科目!$A:$E,2,0)),"")</f>
        <v>ＫＤＣシステム使用料（製）</v>
      </c>
      <c r="D74" s="233" t="str">
        <f>IF(C74="","",VLOOKUP($B74,[1]勘定科目!$A:$E,4,0))</f>
        <v>図書及び事務費</v>
      </c>
      <c r="E74" s="311"/>
      <c r="F74" s="333"/>
      <c r="G74" s="333"/>
      <c r="H74" s="333"/>
      <c r="I74" s="333"/>
      <c r="J74" s="333"/>
      <c r="K74" s="333"/>
      <c r="L74" s="333"/>
      <c r="M74" s="333"/>
      <c r="N74" s="333"/>
      <c r="O74" s="333"/>
      <c r="P74" s="333"/>
      <c r="Q74" s="333"/>
      <c r="R74" s="333">
        <f t="shared" si="5"/>
        <v>0</v>
      </c>
      <c r="S74" s="329" t="s">
        <v>737</v>
      </c>
      <c r="T74" s="299"/>
      <c r="U74" s="352"/>
      <c r="V74" s="334"/>
      <c r="W74" s="354"/>
      <c r="X74" s="334"/>
      <c r="Y74" s="349"/>
      <c r="Z74" s="303"/>
      <c r="AA74" s="303"/>
      <c r="AB74" s="303"/>
      <c r="AC74" s="320"/>
      <c r="AD74" s="320"/>
      <c r="AE74" s="320"/>
      <c r="AF74" s="320"/>
      <c r="AG74" s="320"/>
      <c r="AH74" s="306"/>
      <c r="AI74" s="306"/>
      <c r="AJ74" s="306"/>
      <c r="AK74" s="306"/>
      <c r="AL74" s="306"/>
      <c r="AM74" s="306"/>
      <c r="AN74" s="306"/>
      <c r="AO74" s="306"/>
      <c r="AP74" s="306"/>
      <c r="AQ74" s="306"/>
      <c r="AR74" s="306"/>
      <c r="AS74" s="306"/>
      <c r="AT74" s="306"/>
      <c r="AU74" s="306"/>
      <c r="AV74" s="306"/>
      <c r="AW74" s="306"/>
      <c r="AX74" s="306"/>
      <c r="AY74" s="306"/>
      <c r="AZ74" s="306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</row>
    <row r="75" spans="1:68" s="317" customFormat="1" ht="14.25">
      <c r="A75" s="307"/>
      <c r="B75" s="331">
        <v>5005246282</v>
      </c>
      <c r="C75" s="183" t="str">
        <f>IFERROR(IF(VLOOKUP($B75,[1]勘定科目!$A:$H,HLOOKUP($E$5,[1]勘定科目!$F$1:$H$2,2,0),0)="","",VLOOKUP($B75,[1]勘定科目!$A:$E,2,0)),"")</f>
        <v>ＫＤＣシステム使用料（製）</v>
      </c>
      <c r="D75" s="233" t="str">
        <f>IF(C75="","",VLOOKUP($B75,[1]勘定科目!$A:$E,4,0))</f>
        <v>図書及び事務費</v>
      </c>
      <c r="E75" s="311"/>
      <c r="F75" s="333"/>
      <c r="G75" s="333"/>
      <c r="H75" s="333"/>
      <c r="I75" s="333"/>
      <c r="J75" s="333"/>
      <c r="K75" s="333"/>
      <c r="L75" s="333"/>
      <c r="M75" s="333"/>
      <c r="N75" s="333"/>
      <c r="O75" s="333"/>
      <c r="P75" s="333"/>
      <c r="Q75" s="333"/>
      <c r="R75" s="333">
        <f t="shared" si="5"/>
        <v>0</v>
      </c>
      <c r="S75" s="329" t="s">
        <v>849</v>
      </c>
      <c r="T75" s="299"/>
      <c r="U75" s="352"/>
      <c r="V75" s="334"/>
      <c r="W75" s="354"/>
      <c r="X75" s="334"/>
      <c r="Y75" s="349"/>
      <c r="Z75" s="303"/>
      <c r="AA75" s="303"/>
      <c r="AB75" s="303"/>
      <c r="AC75" s="320"/>
      <c r="AD75" s="320"/>
      <c r="AE75" s="320"/>
      <c r="AF75" s="320"/>
      <c r="AG75" s="320"/>
      <c r="AH75" s="306"/>
      <c r="AI75" s="306"/>
      <c r="AJ75" s="306"/>
      <c r="AK75" s="306"/>
      <c r="AL75" s="306"/>
      <c r="AM75" s="306"/>
      <c r="AN75" s="306"/>
      <c r="AO75" s="306"/>
      <c r="AP75" s="306"/>
      <c r="AQ75" s="306"/>
      <c r="AR75" s="306"/>
      <c r="AS75" s="306"/>
      <c r="AT75" s="306"/>
      <c r="AU75" s="306"/>
      <c r="AV75" s="306"/>
      <c r="AW75" s="306"/>
      <c r="AX75" s="306"/>
      <c r="AY75" s="306"/>
      <c r="AZ75" s="306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</row>
    <row r="76" spans="1:68" s="317" customFormat="1" ht="14.25">
      <c r="A76" s="307"/>
      <c r="B76" s="331">
        <v>5005246282</v>
      </c>
      <c r="C76" s="183" t="str">
        <f>IFERROR(IF(VLOOKUP($B76,[1]勘定科目!$A:$H,HLOOKUP($E$5,[1]勘定科目!$F$1:$H$2,2,0),0)="","",VLOOKUP($B76,[1]勘定科目!$A:$E,2,0)),"")</f>
        <v>ＫＤＣシステム使用料（製）</v>
      </c>
      <c r="D76" s="233" t="str">
        <f>IF(C76="","",VLOOKUP($B76,[1]勘定科目!$A:$E,4,0))</f>
        <v>図書及び事務費</v>
      </c>
      <c r="E76" s="311"/>
      <c r="F76" s="333">
        <v>83520</v>
      </c>
      <c r="G76" s="333">
        <v>83520</v>
      </c>
      <c r="H76" s="333">
        <v>83520</v>
      </c>
      <c r="I76" s="333">
        <v>83520</v>
      </c>
      <c r="J76" s="333">
        <v>83520</v>
      </c>
      <c r="K76" s="333">
        <v>83520</v>
      </c>
      <c r="L76" s="333">
        <v>83520</v>
      </c>
      <c r="M76" s="333">
        <v>83520</v>
      </c>
      <c r="N76" s="333">
        <v>83520</v>
      </c>
      <c r="O76" s="333">
        <v>83520</v>
      </c>
      <c r="P76" s="333">
        <v>83520</v>
      </c>
      <c r="Q76" s="333">
        <v>83520</v>
      </c>
      <c r="R76" s="333">
        <f t="shared" si="5"/>
        <v>1002240</v>
      </c>
      <c r="S76" s="336" t="s">
        <v>738</v>
      </c>
      <c r="T76" s="299"/>
      <c r="U76" s="352"/>
      <c r="V76" s="334"/>
      <c r="W76" s="354"/>
      <c r="X76" s="334"/>
      <c r="Y76" s="349"/>
      <c r="Z76" s="303"/>
      <c r="AA76" s="303"/>
      <c r="AB76" s="303"/>
      <c r="AC76" s="320"/>
      <c r="AD76" s="320"/>
      <c r="AE76" s="320"/>
      <c r="AF76" s="320"/>
      <c r="AG76" s="320"/>
      <c r="AH76" s="306"/>
      <c r="AI76" s="306"/>
      <c r="AJ76" s="306"/>
      <c r="AK76" s="306"/>
      <c r="AL76" s="306"/>
      <c r="AM76" s="306"/>
      <c r="AN76" s="306"/>
      <c r="AO76" s="306"/>
      <c r="AP76" s="306"/>
      <c r="AQ76" s="306"/>
      <c r="AR76" s="306"/>
      <c r="AS76" s="306"/>
      <c r="AT76" s="306"/>
      <c r="AU76" s="306"/>
      <c r="AV76" s="306"/>
      <c r="AW76" s="306"/>
      <c r="AX76" s="306"/>
      <c r="AY76" s="306"/>
      <c r="AZ76" s="30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</row>
    <row r="77" spans="1:68" s="317" customFormat="1" ht="14.25">
      <c r="A77" s="307"/>
      <c r="B77" s="331"/>
      <c r="C77" s="183" t="str">
        <f>IFERROR(IF(VLOOKUP($B77,[1]勘定科目!$A:$H,HLOOKUP($E$5,[1]勘定科目!$F$1:$H$2,2,0),0)="","",VLOOKUP($B77,[1]勘定科目!$A:$E,2,0)),"")</f>
        <v/>
      </c>
      <c r="D77" s="233" t="str">
        <f>IF(C77="","",VLOOKUP($B77,[1]勘定科目!$A:$E,4,0))</f>
        <v/>
      </c>
      <c r="E77" s="311"/>
      <c r="F77" s="333"/>
      <c r="G77" s="333"/>
      <c r="H77" s="333"/>
      <c r="I77" s="333"/>
      <c r="J77" s="333"/>
      <c r="K77" s="333"/>
      <c r="L77" s="333"/>
      <c r="M77" s="333"/>
      <c r="N77" s="333"/>
      <c r="O77" s="333"/>
      <c r="P77" s="333"/>
      <c r="Q77" s="333"/>
      <c r="R77" s="333">
        <f t="shared" si="5"/>
        <v>0</v>
      </c>
      <c r="S77" s="329" t="s">
        <v>739</v>
      </c>
      <c r="T77" s="299"/>
      <c r="U77" s="352"/>
      <c r="V77" s="334"/>
      <c r="W77" s="354"/>
      <c r="X77" s="334"/>
      <c r="Y77" s="349"/>
      <c r="Z77" s="303"/>
      <c r="AA77" s="303"/>
      <c r="AB77" s="303"/>
      <c r="AC77" s="320"/>
      <c r="AD77" s="320"/>
      <c r="AE77" s="320"/>
      <c r="AF77" s="320"/>
      <c r="AG77" s="320"/>
      <c r="AH77" s="306"/>
      <c r="AI77" s="306"/>
      <c r="AJ77" s="306"/>
      <c r="AK77" s="306"/>
      <c r="AL77" s="306"/>
      <c r="AM77" s="306"/>
      <c r="AN77" s="306"/>
      <c r="AO77" s="306"/>
      <c r="AP77" s="306"/>
      <c r="AQ77" s="306"/>
      <c r="AR77" s="306"/>
      <c r="AS77" s="306"/>
      <c r="AT77" s="306"/>
      <c r="AU77" s="306"/>
      <c r="AV77" s="306"/>
      <c r="AW77" s="306"/>
      <c r="AX77" s="306"/>
      <c r="AY77" s="306"/>
      <c r="AZ77" s="306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</row>
    <row r="78" spans="1:68" s="317" customFormat="1" ht="16.5">
      <c r="A78" s="307"/>
      <c r="B78" s="331">
        <v>5005246281</v>
      </c>
      <c r="C78" s="183" t="str">
        <f>IFERROR(IF(VLOOKUP($B78,[1]勘定科目!$A:$H,HLOOKUP($E$5,[1]勘定科目!$F$1:$H$2,2,0),0)="","",VLOOKUP($B78,[1]勘定科目!$A:$E,2,0)),"")</f>
        <v>図書印刷費（製）</v>
      </c>
      <c r="D78" s="233" t="str">
        <f>IF(C78="","",VLOOKUP($B78,[1]勘定科目!$A:$E,4,0))</f>
        <v>図書及び事務費</v>
      </c>
      <c r="E78" s="321"/>
      <c r="F78" s="355"/>
      <c r="G78" s="355"/>
      <c r="H78" s="355"/>
      <c r="I78" s="355"/>
      <c r="J78" s="355">
        <v>0</v>
      </c>
      <c r="K78" s="355"/>
      <c r="L78" s="355"/>
      <c r="M78" s="355"/>
      <c r="N78" s="355"/>
      <c r="O78" s="355"/>
      <c r="P78" s="355"/>
      <c r="Q78" s="355"/>
      <c r="R78" s="355">
        <f t="shared" si="5"/>
        <v>0</v>
      </c>
      <c r="S78" s="324" t="s">
        <v>740</v>
      </c>
      <c r="T78" s="299"/>
      <c r="U78" s="352"/>
      <c r="V78" s="334"/>
      <c r="W78" s="354"/>
      <c r="X78" s="334"/>
      <c r="Y78" s="349"/>
      <c r="Z78" s="303"/>
      <c r="AA78" s="303"/>
      <c r="AB78" s="303"/>
      <c r="AC78" s="320"/>
      <c r="AD78" s="320"/>
      <c r="AE78" s="320"/>
      <c r="AF78" s="320"/>
      <c r="AG78" s="320"/>
      <c r="AH78" s="306"/>
      <c r="AI78" s="306"/>
      <c r="AJ78" s="306"/>
      <c r="AK78" s="306"/>
      <c r="AL78" s="306"/>
      <c r="AM78" s="306"/>
      <c r="AN78" s="306"/>
      <c r="AO78" s="306"/>
      <c r="AP78" s="306"/>
      <c r="AQ78" s="306"/>
      <c r="AR78" s="306"/>
      <c r="AS78" s="306"/>
      <c r="AT78" s="306"/>
      <c r="AU78" s="306"/>
      <c r="AV78" s="306"/>
      <c r="AW78" s="306"/>
      <c r="AX78" s="306"/>
      <c r="AY78" s="306"/>
      <c r="AZ78" s="306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</row>
    <row r="79" spans="1:68" s="317" customFormat="1" ht="14.25">
      <c r="A79" s="307"/>
      <c r="B79" s="331">
        <v>5005246281</v>
      </c>
      <c r="C79" s="183" t="str">
        <f>IFERROR(IF(VLOOKUP($B79,[1]勘定科目!$A:$H,HLOOKUP($E$5,[1]勘定科目!$F$1:$H$2,2,0),0)="","",VLOOKUP($B79,[1]勘定科目!$A:$E,2,0)),"")</f>
        <v>図書印刷費（製）</v>
      </c>
      <c r="D79" s="233" t="str">
        <f>IF(C79="","",VLOOKUP($B79,[1]勘定科目!$A:$E,4,0))</f>
        <v>図書及び事務費</v>
      </c>
      <c r="E79" s="311"/>
      <c r="F79" s="343"/>
      <c r="G79" s="345"/>
      <c r="H79" s="345"/>
      <c r="I79" s="345"/>
      <c r="J79" s="356">
        <v>0</v>
      </c>
      <c r="K79" s="357"/>
      <c r="L79" s="345"/>
      <c r="M79" s="345"/>
      <c r="N79" s="345"/>
      <c r="O79" s="344"/>
      <c r="P79" s="345"/>
      <c r="Q79" s="345"/>
      <c r="R79" s="345">
        <f t="shared" si="5"/>
        <v>0</v>
      </c>
      <c r="S79" s="329" t="s">
        <v>741</v>
      </c>
      <c r="T79" s="299"/>
      <c r="U79" s="341"/>
      <c r="V79" s="320"/>
      <c r="W79" s="339"/>
      <c r="X79" s="342"/>
      <c r="Y79" s="340"/>
      <c r="Z79" s="303"/>
      <c r="AA79" s="303"/>
      <c r="AB79" s="303"/>
      <c r="AC79" s="320"/>
      <c r="AD79" s="320"/>
      <c r="AE79" s="320"/>
      <c r="AF79" s="320"/>
      <c r="AG79" s="320"/>
      <c r="AH79" s="306"/>
      <c r="AI79" s="306"/>
      <c r="AJ79" s="306"/>
      <c r="AK79" s="306"/>
      <c r="AL79" s="306"/>
      <c r="AM79" s="306"/>
      <c r="AN79" s="306"/>
      <c r="AO79" s="306"/>
      <c r="AP79" s="306"/>
      <c r="AQ79" s="306"/>
      <c r="AR79" s="306"/>
      <c r="AS79" s="306"/>
      <c r="AT79" s="306"/>
      <c r="AU79" s="306"/>
      <c r="AV79" s="306"/>
      <c r="AW79" s="306"/>
      <c r="AX79" s="306"/>
      <c r="AY79" s="306"/>
      <c r="AZ79" s="306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</row>
    <row r="80" spans="1:68" s="317" customFormat="1" ht="14.25">
      <c r="A80" s="307"/>
      <c r="B80" s="331">
        <v>5005246288</v>
      </c>
      <c r="C80" s="183" t="str">
        <f>IFERROR(IF(VLOOKUP($B80,[1]勘定科目!$A:$H,HLOOKUP($E$5,[1]勘定科目!$F$1:$H$2,2,0),0)="","",VLOOKUP($B80,[1]勘定科目!$A:$E,2,0)),"")</f>
        <v>事務用品費（製）</v>
      </c>
      <c r="D80" s="233" t="str">
        <f>IF(C80="","",VLOOKUP($B80,[1]勘定科目!$A:$E,4,0))</f>
        <v>図書及び事務費</v>
      </c>
      <c r="E80" s="311"/>
      <c r="F80" s="343"/>
      <c r="G80" s="345"/>
      <c r="H80" s="345"/>
      <c r="I80" s="345"/>
      <c r="J80" s="356">
        <v>0</v>
      </c>
      <c r="K80" s="357"/>
      <c r="L80" s="345"/>
      <c r="M80" s="345"/>
      <c r="N80" s="345"/>
      <c r="O80" s="344"/>
      <c r="P80" s="345"/>
      <c r="Q80" s="345"/>
      <c r="R80" s="345">
        <f t="shared" si="5"/>
        <v>0</v>
      </c>
      <c r="S80" s="329" t="s">
        <v>850</v>
      </c>
      <c r="T80" s="299"/>
      <c r="U80" s="341"/>
      <c r="V80" s="320"/>
      <c r="W80" s="339"/>
      <c r="X80" s="342"/>
      <c r="Y80" s="340"/>
      <c r="Z80" s="303"/>
      <c r="AA80" s="303"/>
      <c r="AB80" s="303"/>
      <c r="AC80" s="320"/>
      <c r="AD80" s="320"/>
      <c r="AE80" s="320"/>
      <c r="AF80" s="320"/>
      <c r="AG80" s="320"/>
      <c r="AH80" s="306"/>
      <c r="AI80" s="306"/>
      <c r="AJ80" s="306"/>
      <c r="AK80" s="306"/>
      <c r="AL80" s="306"/>
      <c r="AM80" s="306"/>
      <c r="AN80" s="306"/>
      <c r="AO80" s="306"/>
      <c r="AP80" s="306"/>
      <c r="AQ80" s="306"/>
      <c r="AR80" s="306"/>
      <c r="AS80" s="306"/>
      <c r="AT80" s="306"/>
      <c r="AU80" s="306"/>
      <c r="AV80" s="306"/>
      <c r="AW80" s="306"/>
      <c r="AX80" s="306"/>
      <c r="AY80" s="306"/>
      <c r="AZ80" s="306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</row>
    <row r="81" spans="1:68" s="317" customFormat="1" ht="14.25">
      <c r="A81" s="307"/>
      <c r="B81" s="331">
        <v>5005246288</v>
      </c>
      <c r="C81" s="183" t="str">
        <f>IFERROR(IF(VLOOKUP($B81,[1]勘定科目!$A:$H,HLOOKUP($E$5,[1]勘定科目!$F$1:$H$2,2,0),0)="","",VLOOKUP($B81,[1]勘定科目!$A:$E,2,0)),"")</f>
        <v>事務用品費（製）</v>
      </c>
      <c r="D81" s="233" t="str">
        <f>IF(C81="","",VLOOKUP($B81,[1]勘定科目!$A:$E,4,0))</f>
        <v>図書及び事務費</v>
      </c>
      <c r="E81" s="311"/>
      <c r="F81" s="343"/>
      <c r="G81" s="345"/>
      <c r="H81" s="345"/>
      <c r="I81" s="345"/>
      <c r="J81" s="356">
        <v>0</v>
      </c>
      <c r="K81" s="357"/>
      <c r="L81" s="345"/>
      <c r="M81" s="345"/>
      <c r="N81" s="345"/>
      <c r="O81" s="344"/>
      <c r="P81" s="345"/>
      <c r="Q81" s="345"/>
      <c r="R81" s="345">
        <f t="shared" si="5"/>
        <v>0</v>
      </c>
      <c r="S81" s="329" t="s">
        <v>851</v>
      </c>
      <c r="T81" s="299"/>
      <c r="U81" s="341"/>
      <c r="V81" s="320"/>
      <c r="W81" s="339"/>
      <c r="X81" s="358"/>
      <c r="Y81" s="340"/>
      <c r="Z81" s="303"/>
      <c r="AA81" s="303"/>
      <c r="AB81" s="303"/>
      <c r="AC81" s="320"/>
      <c r="AD81" s="320"/>
      <c r="AE81" s="320"/>
      <c r="AF81" s="320"/>
      <c r="AG81" s="320"/>
      <c r="AH81" s="306"/>
      <c r="AI81" s="306"/>
      <c r="AJ81" s="306"/>
      <c r="AK81" s="306"/>
      <c r="AL81" s="306"/>
      <c r="AM81" s="306"/>
      <c r="AN81" s="306"/>
      <c r="AO81" s="306"/>
      <c r="AP81" s="306"/>
      <c r="AQ81" s="306"/>
      <c r="AR81" s="306"/>
      <c r="AS81" s="306"/>
      <c r="AT81" s="306"/>
      <c r="AU81" s="306"/>
      <c r="AV81" s="306"/>
      <c r="AW81" s="306"/>
      <c r="AX81" s="306"/>
      <c r="AY81" s="306"/>
      <c r="AZ81" s="306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</row>
    <row r="82" spans="1:68" s="317" customFormat="1" ht="14.25">
      <c r="A82" s="307"/>
      <c r="B82" s="331">
        <v>5005246281</v>
      </c>
      <c r="C82" s="183" t="str">
        <f>IFERROR(IF(VLOOKUP($B82,[1]勘定科目!$A:$H,HLOOKUP($E$5,[1]勘定科目!$F$1:$H$2,2,0),0)="","",VLOOKUP($B82,[1]勘定科目!$A:$E,2,0)),"")</f>
        <v>図書印刷費（製）</v>
      </c>
      <c r="D82" s="233" t="str">
        <f>IF(C82="","",VLOOKUP($B82,[1]勘定科目!$A:$E,4,0))</f>
        <v>図書及び事務費</v>
      </c>
      <c r="E82" s="311"/>
      <c r="F82" s="343"/>
      <c r="G82" s="345"/>
      <c r="H82" s="345"/>
      <c r="I82" s="345"/>
      <c r="J82" s="356">
        <v>0</v>
      </c>
      <c r="K82" s="357"/>
      <c r="L82" s="345"/>
      <c r="M82" s="345"/>
      <c r="N82" s="345"/>
      <c r="O82" s="344"/>
      <c r="P82" s="345"/>
      <c r="Q82" s="345"/>
      <c r="R82" s="345">
        <f t="shared" si="5"/>
        <v>0</v>
      </c>
      <c r="S82" s="329" t="s">
        <v>852</v>
      </c>
      <c r="T82" s="299"/>
      <c r="U82" s="341"/>
      <c r="V82" s="320"/>
      <c r="W82" s="339"/>
      <c r="X82" s="358"/>
      <c r="Y82" s="340"/>
      <c r="Z82" s="303"/>
      <c r="AA82" s="303"/>
      <c r="AB82" s="303"/>
      <c r="AC82" s="320"/>
      <c r="AD82" s="320"/>
      <c r="AE82" s="320"/>
      <c r="AF82" s="320"/>
      <c r="AG82" s="320"/>
      <c r="AH82" s="306"/>
      <c r="AI82" s="306"/>
      <c r="AJ82" s="306"/>
      <c r="AK82" s="306"/>
      <c r="AL82" s="306"/>
      <c r="AM82" s="306"/>
      <c r="AN82" s="306"/>
      <c r="AO82" s="306"/>
      <c r="AP82" s="306"/>
      <c r="AQ82" s="306"/>
      <c r="AR82" s="306"/>
      <c r="AS82" s="306"/>
      <c r="AT82" s="306"/>
      <c r="AU82" s="306"/>
      <c r="AV82" s="306"/>
      <c r="AW82" s="306"/>
      <c r="AX82" s="306"/>
      <c r="AY82" s="306"/>
      <c r="AZ82" s="306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</row>
    <row r="83" spans="1:68" s="317" customFormat="1" ht="14.25">
      <c r="A83" s="307"/>
      <c r="B83" s="331">
        <v>5004086291</v>
      </c>
      <c r="C83" s="183" t="str">
        <f>IFERROR(IF(VLOOKUP($B83,[1]勘定科目!$A:$H,HLOOKUP($E$5,[1]勘定科目!$F$1:$H$2,2,0),0)="","",VLOOKUP($B83,[1]勘定科目!$A:$E,2,0)),"")</f>
        <v>福利厚生費（製）</v>
      </c>
      <c r="D83" s="233" t="str">
        <f>IF(C83="","",VLOOKUP($B83,[1]勘定科目!$A:$E,4,0))</f>
        <v>福利厚生費</v>
      </c>
      <c r="E83" s="311"/>
      <c r="F83" s="343"/>
      <c r="G83" s="345"/>
      <c r="H83" s="345"/>
      <c r="I83" s="345"/>
      <c r="J83" s="356">
        <v>0</v>
      </c>
      <c r="K83" s="357"/>
      <c r="L83" s="345"/>
      <c r="M83" s="345"/>
      <c r="N83" s="345"/>
      <c r="O83" s="344"/>
      <c r="P83" s="345"/>
      <c r="Q83" s="345"/>
      <c r="R83" s="345">
        <f t="shared" si="5"/>
        <v>0</v>
      </c>
      <c r="S83" s="329" t="s">
        <v>742</v>
      </c>
      <c r="T83" s="299"/>
      <c r="U83" s="341"/>
      <c r="V83" s="320"/>
      <c r="W83" s="339"/>
      <c r="X83" s="358"/>
      <c r="Y83" s="340"/>
      <c r="Z83" s="303"/>
      <c r="AA83" s="303"/>
      <c r="AB83" s="303"/>
      <c r="AC83" s="320"/>
      <c r="AD83" s="320"/>
      <c r="AE83" s="320"/>
      <c r="AF83" s="320"/>
      <c r="AG83" s="320"/>
      <c r="AH83" s="306"/>
      <c r="AI83" s="306"/>
      <c r="AJ83" s="306"/>
      <c r="AK83" s="306"/>
      <c r="AL83" s="306"/>
      <c r="AM83" s="306"/>
      <c r="AN83" s="306"/>
      <c r="AO83" s="306"/>
      <c r="AP83" s="306"/>
      <c r="AQ83" s="306"/>
      <c r="AR83" s="306"/>
      <c r="AS83" s="306"/>
      <c r="AT83" s="306"/>
      <c r="AU83" s="306"/>
      <c r="AV83" s="306"/>
      <c r="AW83" s="306"/>
      <c r="AX83" s="306"/>
      <c r="AY83" s="306"/>
      <c r="AZ83" s="306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</row>
    <row r="84" spans="1:68" s="317" customFormat="1" ht="14.25">
      <c r="A84" s="307"/>
      <c r="B84" s="331">
        <v>5004086291</v>
      </c>
      <c r="C84" s="183" t="str">
        <f>IFERROR(IF(VLOOKUP($B84,[1]勘定科目!$A:$H,HLOOKUP($E$5,[1]勘定科目!$F$1:$H$2,2,0),0)="","",VLOOKUP($B84,[1]勘定科目!$A:$E,2,0)),"")</f>
        <v>福利厚生費（製）</v>
      </c>
      <c r="D84" s="233" t="str">
        <f>IF(C84="","",VLOOKUP($B84,[1]勘定科目!$A:$E,4,0))</f>
        <v>福利厚生費</v>
      </c>
      <c r="E84" s="311"/>
      <c r="F84" s="343"/>
      <c r="G84" s="345"/>
      <c r="H84" s="345"/>
      <c r="I84" s="345"/>
      <c r="J84" s="356"/>
      <c r="K84" s="357"/>
      <c r="L84" s="345"/>
      <c r="M84" s="345"/>
      <c r="N84" s="345"/>
      <c r="O84" s="344"/>
      <c r="P84" s="345"/>
      <c r="Q84" s="345"/>
      <c r="R84" s="345">
        <f t="shared" si="5"/>
        <v>0</v>
      </c>
      <c r="S84" s="359" t="s">
        <v>743</v>
      </c>
      <c r="T84" s="299"/>
      <c r="U84" s="341"/>
      <c r="V84" s="320"/>
      <c r="W84" s="339"/>
      <c r="X84" s="358"/>
      <c r="Y84" s="340"/>
      <c r="Z84" s="303"/>
      <c r="AA84" s="303"/>
      <c r="AB84" s="303"/>
      <c r="AC84" s="320"/>
      <c r="AD84" s="320"/>
      <c r="AE84" s="320"/>
      <c r="AF84" s="320"/>
      <c r="AG84" s="320"/>
      <c r="AH84" s="306"/>
      <c r="AI84" s="306"/>
      <c r="AJ84" s="306"/>
      <c r="AK84" s="306"/>
      <c r="AL84" s="306"/>
      <c r="AM84" s="306"/>
      <c r="AN84" s="306"/>
      <c r="AO84" s="306"/>
      <c r="AP84" s="306"/>
      <c r="AQ84" s="306"/>
      <c r="AR84" s="306"/>
      <c r="AS84" s="306"/>
      <c r="AT84" s="306"/>
      <c r="AU84" s="306"/>
      <c r="AV84" s="306"/>
      <c r="AW84" s="306"/>
      <c r="AX84" s="306"/>
      <c r="AY84" s="306"/>
      <c r="AZ84" s="306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</row>
    <row r="85" spans="1:68" s="317" customFormat="1" ht="14.25">
      <c r="A85" s="307"/>
      <c r="B85" s="331">
        <v>5004086291</v>
      </c>
      <c r="C85" s="183" t="str">
        <f>IFERROR(IF(VLOOKUP($B85,[1]勘定科目!$A:$H,HLOOKUP($E$5,[1]勘定科目!$F$1:$H$2,2,0),0)="","",VLOOKUP($B85,[1]勘定科目!$A:$E,2,0)),"")</f>
        <v>福利厚生費（製）</v>
      </c>
      <c r="D85" s="233" t="str">
        <f>IF(C85="","",VLOOKUP($B85,[1]勘定科目!$A:$E,4,0))</f>
        <v>福利厚生費</v>
      </c>
      <c r="E85" s="311"/>
      <c r="F85" s="343"/>
      <c r="G85" s="345"/>
      <c r="H85" s="345"/>
      <c r="I85" s="345"/>
      <c r="J85" s="356">
        <v>0</v>
      </c>
      <c r="K85" s="357"/>
      <c r="L85" s="345"/>
      <c r="M85" s="345"/>
      <c r="N85" s="345"/>
      <c r="O85" s="344"/>
      <c r="P85" s="345"/>
      <c r="Q85" s="345"/>
      <c r="R85" s="345">
        <f t="shared" si="5"/>
        <v>0</v>
      </c>
      <c r="S85" s="359" t="s">
        <v>853</v>
      </c>
      <c r="T85" s="299"/>
      <c r="U85" s="341"/>
      <c r="V85" s="320"/>
      <c r="W85" s="339"/>
      <c r="X85" s="358"/>
      <c r="Y85" s="340"/>
      <c r="Z85" s="303"/>
      <c r="AA85" s="303"/>
      <c r="AB85" s="303"/>
      <c r="AC85" s="320"/>
      <c r="AD85" s="320"/>
      <c r="AE85" s="320"/>
      <c r="AF85" s="320"/>
      <c r="AG85" s="320"/>
      <c r="AH85" s="306"/>
      <c r="AI85" s="306"/>
      <c r="AJ85" s="306"/>
      <c r="AK85" s="306"/>
      <c r="AL85" s="306"/>
      <c r="AM85" s="306"/>
      <c r="AN85" s="306"/>
      <c r="AO85" s="306"/>
      <c r="AP85" s="306"/>
      <c r="AQ85" s="306"/>
      <c r="AR85" s="306"/>
      <c r="AS85" s="306"/>
      <c r="AT85" s="306"/>
      <c r="AU85" s="306"/>
      <c r="AV85" s="306"/>
      <c r="AW85" s="306"/>
      <c r="AX85" s="306"/>
      <c r="AY85" s="306"/>
      <c r="AZ85" s="306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</row>
    <row r="86" spans="1:68" s="317" customFormat="1" ht="14.25">
      <c r="A86" s="307"/>
      <c r="B86" s="331">
        <v>5004086291</v>
      </c>
      <c r="C86" s="183" t="str">
        <f>IFERROR(IF(VLOOKUP($B86,[1]勘定科目!$A:$H,HLOOKUP($E$5,[1]勘定科目!$F$1:$H$2,2,0),0)="","",VLOOKUP($B86,[1]勘定科目!$A:$E,2,0)),"")</f>
        <v>福利厚生費（製）</v>
      </c>
      <c r="D86" s="233" t="str">
        <f>IF(C86="","",VLOOKUP($B86,[1]勘定科目!$A:$E,4,0))</f>
        <v>福利厚生費</v>
      </c>
      <c r="E86" s="311"/>
      <c r="F86" s="343"/>
      <c r="G86" s="345"/>
      <c r="H86" s="345"/>
      <c r="I86" s="345"/>
      <c r="J86" s="356">
        <v>0</v>
      </c>
      <c r="K86" s="357"/>
      <c r="L86" s="345"/>
      <c r="M86" s="345"/>
      <c r="N86" s="345"/>
      <c r="O86" s="344"/>
      <c r="P86" s="345"/>
      <c r="Q86" s="345"/>
      <c r="R86" s="345">
        <f t="shared" si="5"/>
        <v>0</v>
      </c>
      <c r="S86" s="329" t="s">
        <v>744</v>
      </c>
      <c r="T86" s="299"/>
      <c r="U86" s="341"/>
      <c r="V86" s="320"/>
      <c r="W86" s="339"/>
      <c r="X86" s="358"/>
      <c r="Y86" s="340"/>
      <c r="Z86" s="303"/>
      <c r="AA86" s="303"/>
      <c r="AB86" s="303"/>
      <c r="AC86" s="320"/>
      <c r="AD86" s="320"/>
      <c r="AE86" s="320"/>
      <c r="AF86" s="320"/>
      <c r="AG86" s="320"/>
      <c r="AH86" s="306"/>
      <c r="AI86" s="306"/>
      <c r="AJ86" s="306"/>
      <c r="AK86" s="306"/>
      <c r="AL86" s="306"/>
      <c r="AM86" s="306"/>
      <c r="AN86" s="306"/>
      <c r="AO86" s="306"/>
      <c r="AP86" s="306"/>
      <c r="AQ86" s="306"/>
      <c r="AR86" s="306"/>
      <c r="AS86" s="306"/>
      <c r="AT86" s="306"/>
      <c r="AU86" s="306"/>
      <c r="AV86" s="306"/>
      <c r="AW86" s="306"/>
      <c r="AX86" s="306"/>
      <c r="AY86" s="306"/>
      <c r="AZ86" s="30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</row>
    <row r="87" spans="1:68" s="317" customFormat="1" ht="14.25">
      <c r="A87" s="307"/>
      <c r="B87" s="331">
        <v>5004086291</v>
      </c>
      <c r="C87" s="183" t="str">
        <f>IFERROR(IF(VLOOKUP($B87,[1]勘定科目!$A:$H,HLOOKUP($E$5,[1]勘定科目!$F$1:$H$2,2,0),0)="","",VLOOKUP($B87,[1]勘定科目!$A:$E,2,0)),"")</f>
        <v>福利厚生費（製）</v>
      </c>
      <c r="D87" s="233" t="str">
        <f>IF(C87="","",VLOOKUP($B87,[1]勘定科目!$A:$E,4,0))</f>
        <v>福利厚生費</v>
      </c>
      <c r="E87" s="311"/>
      <c r="F87" s="343"/>
      <c r="G87" s="345"/>
      <c r="H87" s="345"/>
      <c r="I87" s="345"/>
      <c r="J87" s="356">
        <v>0</v>
      </c>
      <c r="K87" s="357"/>
      <c r="L87" s="345"/>
      <c r="M87" s="345"/>
      <c r="N87" s="345"/>
      <c r="O87" s="344"/>
      <c r="P87" s="345"/>
      <c r="Q87" s="345"/>
      <c r="R87" s="345">
        <f t="shared" si="5"/>
        <v>0</v>
      </c>
      <c r="S87" s="329" t="s">
        <v>745</v>
      </c>
      <c r="T87" s="299"/>
      <c r="U87" s="341"/>
      <c r="V87" s="341"/>
      <c r="W87" s="339"/>
      <c r="X87" s="358"/>
      <c r="Y87" s="340"/>
      <c r="Z87" s="303"/>
      <c r="AA87" s="303"/>
      <c r="AB87" s="303"/>
      <c r="AC87" s="320"/>
      <c r="AD87" s="320"/>
      <c r="AE87" s="320"/>
      <c r="AF87" s="320"/>
      <c r="AG87" s="320"/>
      <c r="AH87" s="306"/>
      <c r="AI87" s="306"/>
      <c r="AJ87" s="306"/>
      <c r="AK87" s="306"/>
      <c r="AL87" s="306"/>
      <c r="AM87" s="306"/>
      <c r="AN87" s="306"/>
      <c r="AO87" s="306"/>
      <c r="AP87" s="306"/>
      <c r="AQ87" s="306"/>
      <c r="AR87" s="306"/>
      <c r="AS87" s="306"/>
      <c r="AT87" s="306"/>
      <c r="AU87" s="306"/>
      <c r="AV87" s="306"/>
      <c r="AW87" s="306"/>
      <c r="AX87" s="306"/>
      <c r="AY87" s="306"/>
      <c r="AZ87" s="306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</row>
    <row r="88" spans="1:68" s="317" customFormat="1" ht="14.25">
      <c r="A88" s="307"/>
      <c r="B88" s="331">
        <v>5004086291</v>
      </c>
      <c r="C88" s="183" t="str">
        <f>IFERROR(IF(VLOOKUP($B88,[1]勘定科目!$A:$H,HLOOKUP($E$5,[1]勘定科目!$F$1:$H$2,2,0),0)="","",VLOOKUP($B88,[1]勘定科目!$A:$E,2,0)),"")</f>
        <v>福利厚生費（製）</v>
      </c>
      <c r="D88" s="233" t="str">
        <f>IF(C88="","",VLOOKUP($B88,[1]勘定科目!$A:$E,4,0))</f>
        <v>福利厚生費</v>
      </c>
      <c r="E88" s="311"/>
      <c r="F88" s="343"/>
      <c r="G88" s="345"/>
      <c r="H88" s="345"/>
      <c r="I88" s="345"/>
      <c r="J88" s="356">
        <v>0</v>
      </c>
      <c r="K88" s="357"/>
      <c r="L88" s="345"/>
      <c r="M88" s="345"/>
      <c r="N88" s="345"/>
      <c r="O88" s="344"/>
      <c r="P88" s="345"/>
      <c r="Q88" s="345"/>
      <c r="R88" s="345">
        <f t="shared" si="5"/>
        <v>0</v>
      </c>
      <c r="S88" s="329" t="s">
        <v>854</v>
      </c>
      <c r="T88" s="299"/>
      <c r="U88" s="341"/>
      <c r="V88" s="341"/>
      <c r="W88" s="339"/>
      <c r="X88" s="342"/>
      <c r="Y88" s="340"/>
      <c r="Z88" s="303"/>
      <c r="AA88" s="303"/>
      <c r="AB88" s="303"/>
      <c r="AC88" s="320"/>
      <c r="AD88" s="320"/>
      <c r="AE88" s="320"/>
      <c r="AF88" s="320"/>
      <c r="AG88" s="320"/>
      <c r="AH88" s="306"/>
      <c r="AI88" s="306"/>
      <c r="AJ88" s="306"/>
      <c r="AK88" s="306"/>
      <c r="AL88" s="306"/>
      <c r="AM88" s="306"/>
      <c r="AN88" s="306"/>
      <c r="AO88" s="306"/>
      <c r="AP88" s="306"/>
      <c r="AQ88" s="306"/>
      <c r="AR88" s="306"/>
      <c r="AS88" s="306"/>
      <c r="AT88" s="306"/>
      <c r="AU88" s="306"/>
      <c r="AV88" s="306"/>
      <c r="AW88" s="306"/>
      <c r="AX88" s="306"/>
      <c r="AY88" s="306"/>
      <c r="AZ88" s="306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</row>
    <row r="89" spans="1:68" s="317" customFormat="1" ht="14.25">
      <c r="A89" s="307"/>
      <c r="B89" s="331">
        <v>5004086291</v>
      </c>
      <c r="C89" s="183" t="str">
        <f>IFERROR(IF(VLOOKUP($B89,[1]勘定科目!$A:$H,HLOOKUP($E$5,[1]勘定科目!$F$1:$H$2,2,0),0)="","",VLOOKUP($B89,[1]勘定科目!$A:$E,2,0)),"")</f>
        <v>福利厚生費（製）</v>
      </c>
      <c r="D89" s="233" t="str">
        <f>IF(C89="","",VLOOKUP($B89,[1]勘定科目!$A:$E,4,0))</f>
        <v>福利厚生費</v>
      </c>
      <c r="E89" s="311"/>
      <c r="F89" s="343"/>
      <c r="G89" s="345"/>
      <c r="H89" s="345"/>
      <c r="I89" s="345"/>
      <c r="J89" s="356">
        <v>0</v>
      </c>
      <c r="K89" s="357"/>
      <c r="L89" s="345"/>
      <c r="M89" s="345"/>
      <c r="N89" s="345"/>
      <c r="O89" s="344"/>
      <c r="P89" s="345"/>
      <c r="Q89" s="345"/>
      <c r="R89" s="345">
        <f t="shared" si="5"/>
        <v>0</v>
      </c>
      <c r="S89" s="329" t="s">
        <v>746</v>
      </c>
      <c r="T89" s="299"/>
      <c r="U89" s="341"/>
      <c r="V89" s="341"/>
      <c r="W89" s="339"/>
      <c r="X89" s="358"/>
      <c r="Y89" s="340"/>
      <c r="Z89" s="303"/>
      <c r="AA89" s="303"/>
      <c r="AB89" s="303"/>
      <c r="AC89" s="320"/>
      <c r="AD89" s="320"/>
      <c r="AE89" s="320"/>
      <c r="AF89" s="320"/>
      <c r="AG89" s="320"/>
      <c r="AH89" s="306"/>
      <c r="AI89" s="306"/>
      <c r="AJ89" s="306"/>
      <c r="AK89" s="306"/>
      <c r="AL89" s="306"/>
      <c r="AM89" s="306"/>
      <c r="AN89" s="306"/>
      <c r="AO89" s="306"/>
      <c r="AP89" s="306"/>
      <c r="AQ89" s="306"/>
      <c r="AR89" s="306"/>
      <c r="AS89" s="306"/>
      <c r="AT89" s="306"/>
      <c r="AU89" s="306"/>
      <c r="AV89" s="306"/>
      <c r="AW89" s="306"/>
      <c r="AX89" s="306"/>
      <c r="AY89" s="306"/>
      <c r="AZ89" s="306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</row>
    <row r="90" spans="1:68" s="317" customFormat="1" ht="14.25">
      <c r="A90" s="307"/>
      <c r="B90" s="331">
        <v>5004086291</v>
      </c>
      <c r="C90" s="183" t="str">
        <f>IFERROR(IF(VLOOKUP($B90,[1]勘定科目!$A:$H,HLOOKUP($E$5,[1]勘定科目!$F$1:$H$2,2,0),0)="","",VLOOKUP($B90,[1]勘定科目!$A:$E,2,0)),"")</f>
        <v>福利厚生費（製）</v>
      </c>
      <c r="D90" s="233" t="str">
        <f>IF(C90="","",VLOOKUP($B90,[1]勘定科目!$A:$E,4,0))</f>
        <v>福利厚生費</v>
      </c>
      <c r="E90" s="311"/>
      <c r="F90" s="343"/>
      <c r="G90" s="345"/>
      <c r="H90" s="345"/>
      <c r="I90" s="345"/>
      <c r="J90" s="356">
        <v>0</v>
      </c>
      <c r="K90" s="357"/>
      <c r="L90" s="345"/>
      <c r="M90" s="345"/>
      <c r="N90" s="345"/>
      <c r="O90" s="344"/>
      <c r="P90" s="345"/>
      <c r="Q90" s="345"/>
      <c r="R90" s="345">
        <f t="shared" si="5"/>
        <v>0</v>
      </c>
      <c r="S90" s="360" t="s">
        <v>747</v>
      </c>
      <c r="T90" s="299"/>
      <c r="U90" s="341"/>
      <c r="V90" s="320"/>
      <c r="W90" s="339"/>
      <c r="X90" s="342"/>
      <c r="Y90" s="340"/>
      <c r="Z90" s="303"/>
      <c r="AA90" s="303"/>
      <c r="AB90" s="303"/>
      <c r="AC90" s="320"/>
      <c r="AD90" s="320"/>
      <c r="AE90" s="320"/>
      <c r="AF90" s="320"/>
      <c r="AG90" s="320"/>
      <c r="AH90" s="306"/>
      <c r="AI90" s="306"/>
      <c r="AJ90" s="306"/>
      <c r="AK90" s="306"/>
      <c r="AL90" s="306"/>
      <c r="AM90" s="306"/>
      <c r="AN90" s="306"/>
      <c r="AO90" s="306"/>
      <c r="AP90" s="306"/>
      <c r="AQ90" s="306"/>
      <c r="AR90" s="306"/>
      <c r="AS90" s="306"/>
      <c r="AT90" s="306"/>
      <c r="AU90" s="306"/>
      <c r="AV90" s="306"/>
      <c r="AW90" s="306"/>
      <c r="AX90" s="306"/>
      <c r="AY90" s="306"/>
      <c r="AZ90" s="306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</row>
    <row r="91" spans="1:68" s="317" customFormat="1" ht="14.25">
      <c r="A91" s="307"/>
      <c r="B91" s="331">
        <v>5005246281</v>
      </c>
      <c r="C91" s="183" t="str">
        <f>IFERROR(IF(VLOOKUP($B91,[1]勘定科目!$A:$H,HLOOKUP($E$5,[1]勘定科目!$F$1:$H$2,2,0),0)="","",VLOOKUP($B91,[1]勘定科目!$A:$E,2,0)),"")</f>
        <v>図書印刷費（製）</v>
      </c>
      <c r="D91" s="233" t="str">
        <f>IF(C91="","",VLOOKUP($B91,[1]勘定科目!$A:$E,4,0))</f>
        <v>図書及び事務費</v>
      </c>
      <c r="E91" s="311"/>
      <c r="F91" s="343"/>
      <c r="G91" s="345"/>
      <c r="H91" s="345"/>
      <c r="I91" s="345"/>
      <c r="J91" s="356">
        <v>0</v>
      </c>
      <c r="K91" s="357"/>
      <c r="L91" s="345"/>
      <c r="M91" s="345"/>
      <c r="N91" s="345"/>
      <c r="O91" s="344"/>
      <c r="P91" s="345"/>
      <c r="Q91" s="345"/>
      <c r="R91" s="345">
        <f t="shared" si="5"/>
        <v>0</v>
      </c>
      <c r="S91" s="360" t="s">
        <v>855</v>
      </c>
      <c r="T91" s="299"/>
      <c r="U91" s="341"/>
      <c r="V91" s="320"/>
      <c r="W91" s="339"/>
      <c r="X91" s="342"/>
      <c r="Y91" s="340"/>
      <c r="Z91" s="303"/>
      <c r="AA91" s="303"/>
      <c r="AB91" s="303"/>
      <c r="AC91" s="320"/>
      <c r="AD91" s="320"/>
      <c r="AE91" s="320"/>
      <c r="AF91" s="320"/>
      <c r="AG91" s="320"/>
      <c r="AH91" s="306"/>
      <c r="AI91" s="306"/>
      <c r="AJ91" s="306"/>
      <c r="AK91" s="306"/>
      <c r="AL91" s="306"/>
      <c r="AM91" s="306"/>
      <c r="AN91" s="306"/>
      <c r="AO91" s="306"/>
      <c r="AP91" s="306"/>
      <c r="AQ91" s="306"/>
      <c r="AR91" s="306"/>
      <c r="AS91" s="306"/>
      <c r="AT91" s="306"/>
      <c r="AU91" s="306"/>
      <c r="AV91" s="306"/>
      <c r="AW91" s="306"/>
      <c r="AX91" s="306"/>
      <c r="AY91" s="306"/>
      <c r="AZ91" s="306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</row>
    <row r="92" spans="1:68" s="317" customFormat="1" ht="14.25">
      <c r="A92" s="307"/>
      <c r="B92" s="331">
        <v>5005246288</v>
      </c>
      <c r="C92" s="183" t="str">
        <f>IFERROR(IF(VLOOKUP($B92,[1]勘定科目!$A:$H,HLOOKUP($E$5,[1]勘定科目!$F$1:$H$2,2,0),0)="","",VLOOKUP($B92,[1]勘定科目!$A:$E,2,0)),"")</f>
        <v>事務用品費（製）</v>
      </c>
      <c r="D92" s="233" t="str">
        <f>IF(C92="","",VLOOKUP($B92,[1]勘定科目!$A:$E,4,0))</f>
        <v>図書及び事務費</v>
      </c>
      <c r="E92" s="311"/>
      <c r="F92" s="343"/>
      <c r="G92" s="345"/>
      <c r="H92" s="345"/>
      <c r="I92" s="345"/>
      <c r="J92" s="356"/>
      <c r="K92" s="357"/>
      <c r="L92" s="345">
        <v>400000</v>
      </c>
      <c r="M92" s="345"/>
      <c r="N92" s="345"/>
      <c r="O92" s="344"/>
      <c r="P92" s="345"/>
      <c r="Q92" s="345"/>
      <c r="R92" s="345">
        <f t="shared" si="5"/>
        <v>400000</v>
      </c>
      <c r="S92" s="329" t="s">
        <v>748</v>
      </c>
      <c r="T92" s="299"/>
      <c r="U92" s="361"/>
      <c r="V92" s="301"/>
      <c r="W92" s="326"/>
      <c r="X92" s="303"/>
      <c r="Y92" s="303"/>
      <c r="Z92" s="303"/>
      <c r="AA92" s="303"/>
      <c r="AB92" s="303"/>
      <c r="AC92" s="320"/>
      <c r="AD92" s="320"/>
      <c r="AE92" s="320"/>
      <c r="AF92" s="320"/>
      <c r="AG92" s="320"/>
      <c r="AH92" s="306"/>
      <c r="AI92" s="306"/>
      <c r="AJ92" s="306"/>
      <c r="AK92" s="306"/>
      <c r="AL92" s="306"/>
      <c r="AM92" s="306"/>
      <c r="AN92" s="306"/>
      <c r="AO92" s="306"/>
      <c r="AP92" s="306"/>
      <c r="AQ92" s="306"/>
      <c r="AR92" s="306"/>
      <c r="AS92" s="306"/>
      <c r="AT92" s="306"/>
      <c r="AU92" s="306"/>
      <c r="AV92" s="306"/>
      <c r="AW92" s="306"/>
      <c r="AX92" s="306"/>
      <c r="AY92" s="306"/>
      <c r="AZ92" s="306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</row>
    <row r="93" spans="1:68" s="317" customFormat="1" ht="14.25">
      <c r="A93" s="307"/>
      <c r="B93" s="293">
        <v>5005026371</v>
      </c>
      <c r="C93" s="183" t="str">
        <f>IFERROR(IF(VLOOKUP($B93,[1]勘定科目!$A:$H,HLOOKUP($E$5,[1]勘定科目!$F$1:$H$2,2,0),0)="","",VLOOKUP($B93,[1]勘定科目!$A:$E,2,0)),"")</f>
        <v>消耗工具器具備品費（製）</v>
      </c>
      <c r="D93" s="233" t="str">
        <f>IF(C93="","",VLOOKUP($B93,[1]勘定科目!$A:$E,4,0))</f>
        <v>消耗工具器具備品費</v>
      </c>
      <c r="E93" s="311"/>
      <c r="F93" s="343"/>
      <c r="G93" s="345"/>
      <c r="H93" s="345"/>
      <c r="I93" s="345">
        <v>0</v>
      </c>
      <c r="J93" s="345"/>
      <c r="K93" s="345"/>
      <c r="L93" s="345"/>
      <c r="M93" s="345"/>
      <c r="N93" s="345"/>
      <c r="O93" s="345"/>
      <c r="P93" s="345"/>
      <c r="Q93" s="345"/>
      <c r="R93" s="345">
        <f t="shared" si="5"/>
        <v>0</v>
      </c>
      <c r="S93" s="329" t="s">
        <v>749</v>
      </c>
      <c r="T93" s="299"/>
      <c r="U93" s="332"/>
      <c r="V93" s="332"/>
      <c r="W93" s="302"/>
      <c r="X93" s="303"/>
      <c r="Y93" s="303"/>
      <c r="Z93" s="303"/>
      <c r="AA93" s="303"/>
      <c r="AB93" s="303"/>
      <c r="AC93" s="320"/>
      <c r="AD93" s="320"/>
      <c r="AE93" s="320"/>
      <c r="AF93" s="320"/>
      <c r="AG93" s="320"/>
      <c r="AH93" s="306"/>
      <c r="AI93" s="306"/>
      <c r="AJ93" s="306"/>
      <c r="AK93" s="306"/>
      <c r="AL93" s="306"/>
      <c r="AM93" s="306"/>
      <c r="AN93" s="306"/>
      <c r="AO93" s="306"/>
      <c r="AP93" s="306"/>
      <c r="AQ93" s="306"/>
      <c r="AR93" s="306"/>
      <c r="AS93" s="306"/>
      <c r="AT93" s="306"/>
      <c r="AU93" s="306"/>
      <c r="AV93" s="306"/>
      <c r="AW93" s="306"/>
      <c r="AX93" s="306"/>
      <c r="AY93" s="306"/>
      <c r="AZ93" s="306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</row>
    <row r="94" spans="1:68" s="317" customFormat="1" ht="14.25">
      <c r="A94" s="307"/>
      <c r="B94" s="331">
        <v>5005026371</v>
      </c>
      <c r="C94" s="183" t="str">
        <f>IFERROR(IF(VLOOKUP($B94,[1]勘定科目!$A:$H,HLOOKUP($E$5,[1]勘定科目!$F$1:$H$2,2,0),0)="","",VLOOKUP($B94,[1]勘定科目!$A:$E,2,0)),"")</f>
        <v>消耗工具器具備品費（製）</v>
      </c>
      <c r="D94" s="233" t="str">
        <f>IF(C94="","",VLOOKUP($B94,[1]勘定科目!$A:$E,4,0))</f>
        <v>消耗工具器具備品費</v>
      </c>
      <c r="E94" s="311"/>
      <c r="F94" s="343"/>
      <c r="G94" s="345"/>
      <c r="H94" s="345"/>
      <c r="I94" s="362"/>
      <c r="J94" s="345"/>
      <c r="K94" s="345"/>
      <c r="L94" s="345"/>
      <c r="M94" s="345"/>
      <c r="N94" s="345"/>
      <c r="O94" s="345"/>
      <c r="P94" s="345"/>
      <c r="Q94" s="345"/>
      <c r="R94" s="345">
        <f t="shared" si="5"/>
        <v>0</v>
      </c>
      <c r="S94" s="329" t="s">
        <v>750</v>
      </c>
      <c r="T94" s="299"/>
      <c r="U94" s="300"/>
      <c r="V94" s="303"/>
      <c r="W94" s="302"/>
      <c r="X94" s="303"/>
      <c r="Y94" s="303"/>
      <c r="Z94" s="303"/>
      <c r="AA94" s="303"/>
      <c r="AB94" s="303"/>
      <c r="AC94" s="320"/>
      <c r="AD94" s="320"/>
      <c r="AE94" s="320"/>
      <c r="AF94" s="320"/>
      <c r="AG94" s="320"/>
      <c r="AH94" s="306"/>
      <c r="AI94" s="306"/>
      <c r="AJ94" s="306"/>
      <c r="AK94" s="306"/>
      <c r="AL94" s="306"/>
      <c r="AM94" s="306"/>
      <c r="AN94" s="306"/>
      <c r="AO94" s="306"/>
      <c r="AP94" s="306"/>
      <c r="AQ94" s="306"/>
      <c r="AR94" s="306"/>
      <c r="AS94" s="306"/>
      <c r="AT94" s="306"/>
      <c r="AU94" s="306"/>
      <c r="AV94" s="306"/>
      <c r="AW94" s="306"/>
      <c r="AX94" s="306"/>
      <c r="AY94" s="306"/>
      <c r="AZ94" s="306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</row>
    <row r="95" spans="1:68" s="317" customFormat="1" ht="14.25">
      <c r="A95" s="307"/>
      <c r="B95" s="331">
        <v>5005026371</v>
      </c>
      <c r="C95" s="183" t="str">
        <f>IFERROR(IF(VLOOKUP($B95,[1]勘定科目!$A:$H,HLOOKUP($E$5,[1]勘定科目!$F$1:$H$2,2,0),0)="","",VLOOKUP($B95,[1]勘定科目!$A:$E,2,0)),"")</f>
        <v>消耗工具器具備品費（製）</v>
      </c>
      <c r="D95" s="233" t="str">
        <f>IF(C95="","",VLOOKUP($B95,[1]勘定科目!$A:$E,4,0))</f>
        <v>消耗工具器具備品費</v>
      </c>
      <c r="E95" s="311"/>
      <c r="F95" s="343"/>
      <c r="G95" s="343"/>
      <c r="H95" s="343"/>
      <c r="I95" s="345">
        <v>0</v>
      </c>
      <c r="J95" s="343"/>
      <c r="K95" s="343"/>
      <c r="L95" s="343"/>
      <c r="M95" s="343"/>
      <c r="N95" s="343"/>
      <c r="O95" s="343"/>
      <c r="P95" s="343"/>
      <c r="Q95" s="343"/>
      <c r="R95" s="343">
        <f t="shared" si="5"/>
        <v>0</v>
      </c>
      <c r="S95" s="336" t="s">
        <v>751</v>
      </c>
      <c r="T95" s="299"/>
      <c r="U95" s="346"/>
      <c r="V95" s="332"/>
      <c r="W95" s="302"/>
      <c r="X95" s="303"/>
      <c r="Y95" s="303"/>
      <c r="Z95" s="303"/>
      <c r="AA95" s="303"/>
      <c r="AB95" s="303"/>
      <c r="AC95" s="320"/>
      <c r="AD95" s="320"/>
      <c r="AE95" s="320"/>
      <c r="AF95" s="320"/>
      <c r="AG95" s="320"/>
      <c r="AH95" s="306"/>
      <c r="AI95" s="306"/>
      <c r="AJ95" s="306"/>
      <c r="AK95" s="306"/>
      <c r="AL95" s="306"/>
      <c r="AM95" s="306"/>
      <c r="AN95" s="306"/>
      <c r="AO95" s="306"/>
      <c r="AP95" s="306"/>
      <c r="AQ95" s="306"/>
      <c r="AR95" s="306"/>
      <c r="AS95" s="306"/>
      <c r="AT95" s="306"/>
      <c r="AU95" s="306"/>
      <c r="AV95" s="306"/>
      <c r="AW95" s="306"/>
      <c r="AX95" s="306"/>
      <c r="AY95" s="306"/>
      <c r="AZ95" s="306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</row>
    <row r="96" spans="1:68" s="317" customFormat="1" ht="14.25">
      <c r="A96" s="307"/>
      <c r="B96" s="331"/>
      <c r="C96" s="183" t="str">
        <f>IFERROR(IF(VLOOKUP($B96,[1]勘定科目!$A:$H,HLOOKUP($E$5,[1]勘定科目!$F$1:$H$2,2,0),0)="","",VLOOKUP($B96,[1]勘定科目!$A:$E,2,0)),"")</f>
        <v/>
      </c>
      <c r="D96" s="233" t="str">
        <f>IF(C96="","",VLOOKUP($B96,[1]勘定科目!$A:$E,4,0))</f>
        <v/>
      </c>
      <c r="E96" s="311"/>
      <c r="F96" s="343"/>
      <c r="G96" s="345"/>
      <c r="H96" s="345"/>
      <c r="I96" s="362"/>
      <c r="J96" s="345"/>
      <c r="K96" s="345"/>
      <c r="L96" s="345"/>
      <c r="M96" s="345"/>
      <c r="N96" s="345"/>
      <c r="O96" s="345"/>
      <c r="P96" s="345"/>
      <c r="Q96" s="345"/>
      <c r="R96" s="345">
        <f t="shared" si="5"/>
        <v>0</v>
      </c>
      <c r="S96" s="329" t="s">
        <v>752</v>
      </c>
      <c r="T96" s="299"/>
      <c r="U96" s="346"/>
      <c r="V96" s="332"/>
      <c r="W96" s="302"/>
      <c r="X96" s="303"/>
      <c r="Y96" s="303"/>
      <c r="Z96" s="303"/>
      <c r="AA96" s="303"/>
      <c r="AB96" s="303"/>
      <c r="AC96" s="320"/>
      <c r="AD96" s="320"/>
      <c r="AE96" s="320"/>
      <c r="AF96" s="320"/>
      <c r="AG96" s="320"/>
      <c r="AH96" s="306"/>
      <c r="AI96" s="306"/>
      <c r="AJ96" s="306"/>
      <c r="AK96" s="306"/>
      <c r="AL96" s="306"/>
      <c r="AM96" s="306"/>
      <c r="AN96" s="306"/>
      <c r="AO96" s="306"/>
      <c r="AP96" s="306"/>
      <c r="AQ96" s="306"/>
      <c r="AR96" s="306"/>
      <c r="AS96" s="306"/>
      <c r="AT96" s="306"/>
      <c r="AU96" s="306"/>
      <c r="AV96" s="306"/>
      <c r="AW96" s="306"/>
      <c r="AX96" s="306"/>
      <c r="AY96" s="306"/>
      <c r="AZ96" s="30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</row>
    <row r="97" spans="1:68" s="375" customFormat="1" ht="16.5">
      <c r="A97" s="363"/>
      <c r="B97" s="364"/>
      <c r="C97" s="183" t="str">
        <f>IFERROR(IF(VLOOKUP($B97,[1]勘定科目!$A:$H,HLOOKUP($E$5,[1]勘定科目!$F$1:$H$2,2,0),0)="","",VLOOKUP($B97,[1]勘定科目!$A:$E,2,0)),"")</f>
        <v/>
      </c>
      <c r="D97" s="233" t="str">
        <f>IF(C97="","",VLOOKUP($B97,[1]勘定科目!$A:$E,4,0))</f>
        <v/>
      </c>
      <c r="E97" s="365"/>
      <c r="F97" s="366"/>
      <c r="G97" s="366"/>
      <c r="H97" s="366"/>
      <c r="I97" s="366"/>
      <c r="J97" s="366"/>
      <c r="K97" s="366"/>
      <c r="L97" s="366"/>
      <c r="M97" s="366"/>
      <c r="N97" s="366"/>
      <c r="O97" s="366"/>
      <c r="P97" s="366"/>
      <c r="Q97" s="366"/>
      <c r="R97" s="366">
        <f t="shared" si="5"/>
        <v>0</v>
      </c>
      <c r="S97" s="324"/>
      <c r="T97" s="367"/>
      <c r="U97" s="368"/>
      <c r="V97" s="368"/>
      <c r="W97" s="369"/>
      <c r="X97" s="370"/>
      <c r="Y97" s="371"/>
      <c r="Z97" s="371"/>
      <c r="AA97" s="371"/>
      <c r="AB97" s="371"/>
      <c r="AC97" s="372"/>
      <c r="AD97" s="372"/>
      <c r="AE97" s="372"/>
      <c r="AF97" s="372"/>
      <c r="AG97" s="372"/>
      <c r="AH97" s="373"/>
      <c r="AI97" s="373"/>
      <c r="AJ97" s="373"/>
      <c r="AK97" s="373"/>
      <c r="AL97" s="373"/>
      <c r="AM97" s="373"/>
      <c r="AN97" s="373"/>
      <c r="AO97" s="373"/>
      <c r="AP97" s="373"/>
      <c r="AQ97" s="373"/>
      <c r="AR97" s="373"/>
      <c r="AS97" s="373"/>
      <c r="AT97" s="373"/>
      <c r="AU97" s="373"/>
      <c r="AV97" s="373"/>
      <c r="AW97" s="373"/>
      <c r="AX97" s="373"/>
      <c r="AY97" s="373"/>
      <c r="AZ97" s="373"/>
      <c r="BA97" s="374"/>
      <c r="BB97" s="374"/>
      <c r="BC97" s="374"/>
      <c r="BD97" s="374"/>
      <c r="BE97" s="374"/>
      <c r="BF97" s="374"/>
      <c r="BG97" s="374"/>
      <c r="BH97" s="374"/>
      <c r="BI97" s="374"/>
      <c r="BJ97" s="374"/>
      <c r="BK97" s="374"/>
      <c r="BL97" s="374"/>
      <c r="BM97" s="374"/>
      <c r="BN97" s="374"/>
      <c r="BO97" s="374"/>
      <c r="BP97" s="374"/>
    </row>
    <row r="98" spans="1:68" s="317" customFormat="1" ht="14.25">
      <c r="A98" s="307"/>
      <c r="B98" s="331"/>
      <c r="C98" s="183" t="str">
        <f>IFERROR(IF(VLOOKUP($B98,[1]勘定科目!$A:$H,HLOOKUP($E$5,[1]勘定科目!$F$1:$H$2,2,0),0)="","",VLOOKUP($B98,[1]勘定科目!$A:$E,2,0)),"")</f>
        <v/>
      </c>
      <c r="D98" s="233" t="str">
        <f>IF(C98="","",VLOOKUP($B98,[1]勘定科目!$A:$E,4,0))</f>
        <v/>
      </c>
      <c r="E98" s="311"/>
      <c r="F98" s="343"/>
      <c r="G98" s="343"/>
      <c r="H98" s="343"/>
      <c r="I98" s="343"/>
      <c r="J98" s="343"/>
      <c r="K98" s="343"/>
      <c r="L98" s="343"/>
      <c r="M98" s="343"/>
      <c r="N98" s="343"/>
      <c r="O98" s="343"/>
      <c r="P98" s="343"/>
      <c r="Q98" s="343"/>
      <c r="R98" s="343">
        <f t="shared" si="5"/>
        <v>0</v>
      </c>
      <c r="S98" s="329" t="s">
        <v>753</v>
      </c>
      <c r="T98" s="299"/>
      <c r="U98" s="346"/>
      <c r="V98" s="332"/>
      <c r="W98" s="302"/>
      <c r="X98" s="303"/>
      <c r="Y98" s="303"/>
      <c r="Z98" s="303"/>
      <c r="AA98" s="303"/>
      <c r="AB98" s="303"/>
      <c r="AC98" s="320"/>
      <c r="AD98" s="320"/>
      <c r="AE98" s="320"/>
      <c r="AF98" s="320"/>
      <c r="AG98" s="320"/>
      <c r="AH98" s="306"/>
      <c r="AI98" s="306"/>
      <c r="AJ98" s="306"/>
      <c r="AK98" s="306"/>
      <c r="AL98" s="306"/>
      <c r="AM98" s="306"/>
      <c r="AN98" s="306"/>
      <c r="AO98" s="306"/>
      <c r="AP98" s="306"/>
      <c r="AQ98" s="306"/>
      <c r="AR98" s="306"/>
      <c r="AS98" s="306"/>
      <c r="AT98" s="306"/>
      <c r="AU98" s="306"/>
      <c r="AV98" s="306"/>
      <c r="AW98" s="306"/>
      <c r="AX98" s="306"/>
      <c r="AY98" s="306"/>
      <c r="AZ98" s="306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</row>
    <row r="99" spans="1:68" s="375" customFormat="1" ht="16.5">
      <c r="A99" s="363"/>
      <c r="B99" s="364"/>
      <c r="C99" s="183" t="str">
        <f>IFERROR(IF(VLOOKUP($B99,[1]勘定科目!$A:$H,HLOOKUP($E$5,[1]勘定科目!$F$1:$H$2,2,0),0)="","",VLOOKUP($B99,[1]勘定科目!$A:$E,2,0)),"")</f>
        <v/>
      </c>
      <c r="D99" s="233" t="str">
        <f>IF(C99="","",VLOOKUP($B99,[1]勘定科目!$A:$E,4,0))</f>
        <v/>
      </c>
      <c r="E99" s="365"/>
      <c r="F99" s="366"/>
      <c r="G99" s="366"/>
      <c r="H99" s="366"/>
      <c r="I99" s="366"/>
      <c r="J99" s="366"/>
      <c r="K99" s="366"/>
      <c r="L99" s="366"/>
      <c r="M99" s="366"/>
      <c r="N99" s="366"/>
      <c r="O99" s="366"/>
      <c r="P99" s="366"/>
      <c r="Q99" s="366"/>
      <c r="R99" s="366">
        <f t="shared" si="5"/>
        <v>0</v>
      </c>
      <c r="S99" s="324"/>
      <c r="T99" s="367"/>
      <c r="U99" s="368"/>
      <c r="V99" s="368"/>
      <c r="W99" s="369"/>
      <c r="X99" s="370"/>
      <c r="Y99" s="371"/>
      <c r="Z99" s="371"/>
      <c r="AA99" s="371"/>
      <c r="AB99" s="371"/>
      <c r="AC99" s="372"/>
      <c r="AD99" s="372"/>
      <c r="AE99" s="372"/>
      <c r="AF99" s="372"/>
      <c r="AG99" s="372"/>
      <c r="AH99" s="373"/>
      <c r="AI99" s="373"/>
      <c r="AJ99" s="373"/>
      <c r="AK99" s="373"/>
      <c r="AL99" s="373"/>
      <c r="AM99" s="373"/>
      <c r="AN99" s="373"/>
      <c r="AO99" s="373"/>
      <c r="AP99" s="373"/>
      <c r="AQ99" s="373"/>
      <c r="AR99" s="373"/>
      <c r="AS99" s="373"/>
      <c r="AT99" s="373"/>
      <c r="AU99" s="373"/>
      <c r="AV99" s="373"/>
      <c r="AW99" s="373"/>
      <c r="AX99" s="373"/>
      <c r="AY99" s="373"/>
      <c r="AZ99" s="373"/>
      <c r="BA99" s="374"/>
      <c r="BB99" s="374"/>
      <c r="BC99" s="374"/>
      <c r="BD99" s="374"/>
      <c r="BE99" s="374"/>
      <c r="BF99" s="374"/>
      <c r="BG99" s="374"/>
      <c r="BH99" s="374"/>
      <c r="BI99" s="374"/>
      <c r="BJ99" s="374"/>
      <c r="BK99" s="374"/>
      <c r="BL99" s="374"/>
      <c r="BM99" s="374"/>
      <c r="BN99" s="374"/>
      <c r="BO99" s="374"/>
      <c r="BP99" s="374"/>
    </row>
    <row r="100" spans="1:68" s="317" customFormat="1" ht="14.25">
      <c r="A100" s="307"/>
      <c r="B100" s="331"/>
      <c r="C100" s="183" t="str">
        <f>IFERROR(IF(VLOOKUP($B100,[1]勘定科目!$A:$H,HLOOKUP($E$5,[1]勘定科目!$F$1:$H$2,2,0),0)="","",VLOOKUP($B100,[1]勘定科目!$A:$E,2,0)),"")</f>
        <v/>
      </c>
      <c r="D100" s="233" t="str">
        <f>IF(C100="","",VLOOKUP($B100,[1]勘定科目!$A:$E,4,0))</f>
        <v/>
      </c>
      <c r="E100" s="311"/>
      <c r="F100" s="343"/>
      <c r="G100" s="343"/>
      <c r="H100" s="343"/>
      <c r="I100" s="343"/>
      <c r="J100" s="343"/>
      <c r="K100" s="343"/>
      <c r="L100" s="343"/>
      <c r="M100" s="343"/>
      <c r="N100" s="343"/>
      <c r="O100" s="343"/>
      <c r="P100" s="343"/>
      <c r="Q100" s="343"/>
      <c r="R100" s="343">
        <f t="shared" si="5"/>
        <v>0</v>
      </c>
      <c r="S100" s="329" t="s">
        <v>754</v>
      </c>
      <c r="T100" s="299"/>
      <c r="U100" s="346"/>
      <c r="V100" s="332"/>
      <c r="W100" s="302"/>
      <c r="X100" s="303"/>
      <c r="Y100" s="303"/>
      <c r="Z100" s="303"/>
      <c r="AA100" s="303"/>
      <c r="AB100" s="303"/>
      <c r="AC100" s="320"/>
      <c r="AD100" s="320"/>
      <c r="AE100" s="320"/>
      <c r="AF100" s="320"/>
      <c r="AG100" s="320"/>
      <c r="AH100" s="306"/>
      <c r="AI100" s="306"/>
      <c r="AJ100" s="306"/>
      <c r="AK100" s="306"/>
      <c r="AL100" s="306"/>
      <c r="AM100" s="306"/>
      <c r="AN100" s="306"/>
      <c r="AO100" s="306"/>
      <c r="AP100" s="306"/>
      <c r="AQ100" s="306"/>
      <c r="AR100" s="306"/>
      <c r="AS100" s="306"/>
      <c r="AT100" s="306"/>
      <c r="AU100" s="306"/>
      <c r="AV100" s="306"/>
      <c r="AW100" s="306"/>
      <c r="AX100" s="306"/>
      <c r="AY100" s="306"/>
      <c r="AZ100" s="306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</row>
    <row r="101" spans="1:68" s="375" customFormat="1" ht="16.5">
      <c r="A101" s="363"/>
      <c r="B101" s="364">
        <v>5006016244</v>
      </c>
      <c r="C101" s="183" t="str">
        <f>IFERROR(IF(VLOOKUP($B101,[1]勘定科目!$A:$H,HLOOKUP($E$5,[1]勘定科目!$F$1:$H$2,2,0),0)="","",VLOOKUP($B101,[1]勘定科目!$A:$E,2,0)),"")</f>
        <v>減価償却費（製）　工具器具備品</v>
      </c>
      <c r="D101" s="233" t="str">
        <f>IF(C101="","",VLOOKUP($B101,[1]勘定科目!$A:$E,4,0))</f>
        <v>減価償却費</v>
      </c>
      <c r="E101" s="365"/>
      <c r="F101" s="366"/>
      <c r="G101" s="366"/>
      <c r="H101" s="366"/>
      <c r="I101" s="366"/>
      <c r="J101" s="328">
        <v>23200000</v>
      </c>
      <c r="K101" s="328">
        <v>23200000</v>
      </c>
      <c r="L101" s="328">
        <v>23200000</v>
      </c>
      <c r="M101" s="328">
        <v>23200000</v>
      </c>
      <c r="N101" s="328">
        <v>23200000</v>
      </c>
      <c r="O101" s="328">
        <v>23200000</v>
      </c>
      <c r="P101" s="328">
        <v>23200000</v>
      </c>
      <c r="Q101" s="328">
        <v>23200000</v>
      </c>
      <c r="R101" s="328">
        <f t="shared" si="5"/>
        <v>185600000</v>
      </c>
      <c r="S101" s="324" t="s">
        <v>755</v>
      </c>
      <c r="T101" s="367"/>
      <c r="U101" s="368"/>
      <c r="V101" s="368"/>
      <c r="W101" s="369"/>
      <c r="X101" s="370"/>
      <c r="Y101" s="371"/>
      <c r="Z101" s="371"/>
      <c r="AA101" s="371"/>
      <c r="AB101" s="371"/>
      <c r="AC101" s="372"/>
      <c r="AD101" s="372"/>
      <c r="AE101" s="372"/>
      <c r="AF101" s="372"/>
      <c r="AG101" s="372"/>
      <c r="AH101" s="373"/>
      <c r="AI101" s="373"/>
      <c r="AJ101" s="373"/>
      <c r="AK101" s="373"/>
      <c r="AL101" s="373"/>
      <c r="AM101" s="373"/>
      <c r="AN101" s="373"/>
      <c r="AO101" s="373"/>
      <c r="AP101" s="373"/>
      <c r="AQ101" s="373"/>
      <c r="AR101" s="373"/>
      <c r="AS101" s="373"/>
      <c r="AT101" s="373"/>
      <c r="AU101" s="373"/>
      <c r="AV101" s="373"/>
      <c r="AW101" s="373"/>
      <c r="AX101" s="373"/>
      <c r="AY101" s="373"/>
      <c r="AZ101" s="373"/>
      <c r="BA101" s="374"/>
      <c r="BB101" s="374"/>
      <c r="BC101" s="374"/>
      <c r="BD101" s="374"/>
      <c r="BE101" s="374"/>
      <c r="BF101" s="374"/>
      <c r="BG101" s="374"/>
      <c r="BH101" s="374"/>
      <c r="BI101" s="374"/>
      <c r="BJ101" s="374"/>
      <c r="BK101" s="374"/>
      <c r="BL101" s="374"/>
      <c r="BM101" s="374"/>
      <c r="BN101" s="374"/>
      <c r="BO101" s="374"/>
      <c r="BP101" s="374"/>
    </row>
    <row r="102" spans="1:68" s="317" customFormat="1" ht="14.25">
      <c r="A102" s="307"/>
      <c r="B102" s="364">
        <v>5006016244</v>
      </c>
      <c r="C102" s="183" t="str">
        <f>IFERROR(IF(VLOOKUP($B102,[1]勘定科目!$A:$H,HLOOKUP($E$5,[1]勘定科目!$F$1:$H$2,2,0),0)="","",VLOOKUP($B102,[1]勘定科目!$A:$E,2,0)),"")</f>
        <v>減価償却費（製）　工具器具備品</v>
      </c>
      <c r="D102" s="233" t="str">
        <f>IF(C102="","",VLOOKUP($B102,[1]勘定科目!$A:$E,4,0))</f>
        <v>減価償却費</v>
      </c>
      <c r="E102" s="376"/>
      <c r="F102" s="343">
        <v>77850222</v>
      </c>
      <c r="G102" s="343">
        <v>77850222</v>
      </c>
      <c r="H102" s="343">
        <v>77850222</v>
      </c>
      <c r="I102" s="343">
        <v>77850222</v>
      </c>
      <c r="J102" s="377">
        <v>77850222</v>
      </c>
      <c r="K102" s="377">
        <v>77850222</v>
      </c>
      <c r="L102" s="377">
        <v>77850222</v>
      </c>
      <c r="M102" s="377">
        <v>77850222</v>
      </c>
      <c r="N102" s="377">
        <v>77850222</v>
      </c>
      <c r="O102" s="377">
        <v>77850222</v>
      </c>
      <c r="P102" s="377">
        <v>77850222</v>
      </c>
      <c r="Q102" s="377">
        <v>77850222</v>
      </c>
      <c r="R102" s="377">
        <f t="shared" si="5"/>
        <v>934202664</v>
      </c>
      <c r="S102" s="378" t="s">
        <v>856</v>
      </c>
      <c r="T102" s="299"/>
      <c r="U102" s="379"/>
      <c r="V102" s="303"/>
      <c r="W102" s="380"/>
      <c r="X102" s="332"/>
      <c r="Y102" s="303"/>
      <c r="Z102" s="303"/>
      <c r="AA102" s="303"/>
      <c r="AB102" s="303"/>
      <c r="AC102" s="320"/>
      <c r="AD102" s="320"/>
      <c r="AE102" s="320"/>
      <c r="AF102" s="320"/>
      <c r="AG102" s="320"/>
      <c r="AH102" s="306"/>
      <c r="AI102" s="306"/>
      <c r="AJ102" s="306"/>
      <c r="AK102" s="306"/>
      <c r="AL102" s="306"/>
      <c r="AM102" s="306"/>
      <c r="AN102" s="306"/>
      <c r="AO102" s="306"/>
      <c r="AP102" s="306"/>
      <c r="AQ102" s="306"/>
      <c r="AR102" s="306"/>
      <c r="AS102" s="306"/>
      <c r="AT102" s="306"/>
      <c r="AU102" s="306"/>
      <c r="AV102" s="306"/>
      <c r="AW102" s="306"/>
      <c r="AX102" s="306"/>
      <c r="AY102" s="306"/>
      <c r="AZ102" s="306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</row>
    <row r="103" spans="1:68" s="317" customFormat="1" ht="14.25">
      <c r="A103" s="307"/>
      <c r="B103" s="331">
        <v>5006016244</v>
      </c>
      <c r="C103" s="183" t="str">
        <f>IFERROR(IF(VLOOKUP($B103,[1]勘定科目!$A:$H,HLOOKUP($E$5,[1]勘定科目!$F$1:$H$2,2,0),0)="","",VLOOKUP($B103,[1]勘定科目!$A:$E,2,0)),"")</f>
        <v>減価償却費（製）　工具器具備品</v>
      </c>
      <c r="D103" s="233" t="str">
        <f>IF(C103="","",VLOOKUP($B103,[1]勘定科目!$A:$E,4,0))</f>
        <v>減価償却費</v>
      </c>
      <c r="E103" s="376"/>
      <c r="F103" s="377">
        <v>43021944</v>
      </c>
      <c r="G103" s="377">
        <v>43021944</v>
      </c>
      <c r="H103" s="377">
        <v>43021944</v>
      </c>
      <c r="I103" s="377">
        <v>43021944</v>
      </c>
      <c r="J103" s="377">
        <v>43021944</v>
      </c>
      <c r="K103" s="377">
        <v>43021944</v>
      </c>
      <c r="L103" s="377">
        <v>43021944</v>
      </c>
      <c r="M103" s="377">
        <v>43021944</v>
      </c>
      <c r="N103" s="377">
        <v>43021944</v>
      </c>
      <c r="O103" s="377">
        <v>43021944</v>
      </c>
      <c r="P103" s="377">
        <v>43021944</v>
      </c>
      <c r="Q103" s="377">
        <v>43021944</v>
      </c>
      <c r="R103" s="377">
        <f t="shared" si="5"/>
        <v>516263328</v>
      </c>
      <c r="S103" s="329" t="s">
        <v>857</v>
      </c>
      <c r="T103" s="299"/>
      <c r="U103" s="346"/>
      <c r="V103" s="332"/>
      <c r="W103" s="380"/>
      <c r="X103" s="303"/>
      <c r="Y103" s="303"/>
      <c r="Z103" s="303"/>
      <c r="AA103" s="303"/>
      <c r="AB103" s="303"/>
      <c r="AC103" s="320"/>
      <c r="AD103" s="320"/>
      <c r="AE103" s="320"/>
      <c r="AF103" s="320"/>
      <c r="AG103" s="320"/>
      <c r="AH103" s="306"/>
      <c r="AI103" s="306"/>
      <c r="AJ103" s="306"/>
      <c r="AK103" s="306"/>
      <c r="AL103" s="306"/>
      <c r="AM103" s="306"/>
      <c r="AN103" s="306"/>
      <c r="AO103" s="306"/>
      <c r="AP103" s="306"/>
      <c r="AQ103" s="306"/>
      <c r="AR103" s="306"/>
      <c r="AS103" s="306"/>
      <c r="AT103" s="306"/>
      <c r="AU103" s="306"/>
      <c r="AV103" s="306"/>
      <c r="AW103" s="306"/>
      <c r="AX103" s="306"/>
      <c r="AY103" s="306"/>
      <c r="AZ103" s="306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</row>
    <row r="104" spans="1:68" s="317" customFormat="1" ht="14.25">
      <c r="A104" s="307"/>
      <c r="B104" s="331">
        <v>5006016244</v>
      </c>
      <c r="C104" s="183" t="str">
        <f>IFERROR(IF(VLOOKUP($B104,[1]勘定科目!$A:$H,HLOOKUP($E$5,[1]勘定科目!$F$1:$H$2,2,0),0)="","",VLOOKUP($B104,[1]勘定科目!$A:$E,2,0)),"")</f>
        <v>減価償却費（製）　工具器具備品</v>
      </c>
      <c r="D104" s="233" t="str">
        <f>IF(C104="","",VLOOKUP($B104,[1]勘定科目!$A:$E,4,0))</f>
        <v>減価償却費</v>
      </c>
      <c r="E104" s="376"/>
      <c r="F104" s="377">
        <v>90648345</v>
      </c>
      <c r="G104" s="377">
        <v>90648345</v>
      </c>
      <c r="H104" s="377">
        <v>90648345</v>
      </c>
      <c r="I104" s="377">
        <v>90648345</v>
      </c>
      <c r="J104" s="377">
        <v>90648345</v>
      </c>
      <c r="K104" s="377">
        <v>90648345</v>
      </c>
      <c r="L104" s="377">
        <v>90648345</v>
      </c>
      <c r="M104" s="377">
        <v>90648345</v>
      </c>
      <c r="N104" s="377">
        <v>90648345</v>
      </c>
      <c r="O104" s="377">
        <v>90648345</v>
      </c>
      <c r="P104" s="377">
        <v>90648345</v>
      </c>
      <c r="Q104" s="377">
        <v>90648345</v>
      </c>
      <c r="R104" s="377">
        <f t="shared" si="5"/>
        <v>1087780140</v>
      </c>
      <c r="S104" s="329" t="s">
        <v>756</v>
      </c>
      <c r="T104" s="299"/>
      <c r="U104" s="332"/>
      <c r="V104" s="332"/>
      <c r="W104" s="380"/>
      <c r="X104" s="303"/>
      <c r="Y104" s="303"/>
      <c r="Z104" s="303"/>
      <c r="AA104" s="303"/>
      <c r="AB104" s="303"/>
      <c r="AC104" s="320"/>
      <c r="AD104" s="320"/>
      <c r="AE104" s="320"/>
      <c r="AF104" s="320"/>
      <c r="AG104" s="320"/>
      <c r="AH104" s="306"/>
      <c r="AI104" s="306"/>
      <c r="AJ104" s="306"/>
      <c r="AK104" s="306"/>
      <c r="AL104" s="306"/>
      <c r="AM104" s="306"/>
      <c r="AN104" s="306"/>
      <c r="AO104" s="306"/>
      <c r="AP104" s="306"/>
      <c r="AQ104" s="306"/>
      <c r="AR104" s="306"/>
      <c r="AS104" s="306"/>
      <c r="AT104" s="306"/>
      <c r="AU104" s="306"/>
      <c r="AV104" s="306"/>
      <c r="AW104" s="306"/>
      <c r="AX104" s="306"/>
      <c r="AY104" s="306"/>
      <c r="AZ104" s="306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</row>
    <row r="105" spans="1:68" s="317" customFormat="1" ht="14.25">
      <c r="A105" s="307"/>
      <c r="B105" s="331">
        <v>5006016244</v>
      </c>
      <c r="C105" s="183" t="str">
        <f>IFERROR(IF(VLOOKUP($B105,[1]勘定科目!$A:$H,HLOOKUP($E$5,[1]勘定科目!$F$1:$H$2,2,0),0)="","",VLOOKUP($B105,[1]勘定科目!$A:$E,2,0)),"")</f>
        <v>減価償却費（製）　工具器具備品</v>
      </c>
      <c r="D105" s="233" t="str">
        <f>IF(C105="","",VLOOKUP($B105,[1]勘定科目!$A:$E,4,0))</f>
        <v>減価償却費</v>
      </c>
      <c r="E105" s="376"/>
      <c r="F105" s="377">
        <v>17631944</v>
      </c>
      <c r="G105" s="377">
        <v>17631944</v>
      </c>
      <c r="H105" s="377">
        <v>17631944</v>
      </c>
      <c r="I105" s="377">
        <v>17631944</v>
      </c>
      <c r="J105" s="377">
        <v>17631944</v>
      </c>
      <c r="K105" s="377">
        <v>17631944</v>
      </c>
      <c r="L105" s="377">
        <v>17631944</v>
      </c>
      <c r="M105" s="377">
        <v>17631944</v>
      </c>
      <c r="N105" s="377">
        <v>17631944</v>
      </c>
      <c r="O105" s="377">
        <v>17631944</v>
      </c>
      <c r="P105" s="377">
        <v>17631944</v>
      </c>
      <c r="Q105" s="377">
        <v>17631944</v>
      </c>
      <c r="R105" s="377">
        <f t="shared" si="5"/>
        <v>211583328</v>
      </c>
      <c r="S105" s="329" t="s">
        <v>757</v>
      </c>
      <c r="T105" s="299"/>
      <c r="U105" s="332"/>
      <c r="V105" s="303"/>
      <c r="W105" s="380"/>
      <c r="X105" s="303"/>
      <c r="Y105" s="303"/>
      <c r="Z105" s="303"/>
      <c r="AA105" s="303"/>
      <c r="AB105" s="303"/>
      <c r="AC105" s="320"/>
      <c r="AD105" s="320"/>
      <c r="AE105" s="320"/>
      <c r="AF105" s="320"/>
      <c r="AG105" s="320"/>
      <c r="AH105" s="306"/>
      <c r="AI105" s="306"/>
      <c r="AJ105" s="306"/>
      <c r="AK105" s="306"/>
      <c r="AL105" s="306"/>
      <c r="AM105" s="306"/>
      <c r="AN105" s="306"/>
      <c r="AO105" s="306"/>
      <c r="AP105" s="306"/>
      <c r="AQ105" s="306"/>
      <c r="AR105" s="306"/>
      <c r="AS105" s="306"/>
      <c r="AT105" s="306"/>
      <c r="AU105" s="306"/>
      <c r="AV105" s="306"/>
      <c r="AW105" s="306"/>
      <c r="AX105" s="306"/>
      <c r="AY105" s="306"/>
      <c r="AZ105" s="306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</row>
    <row r="106" spans="1:68" s="317" customFormat="1" ht="14.25">
      <c r="A106" s="307"/>
      <c r="B106" s="331">
        <v>5006016244</v>
      </c>
      <c r="C106" s="183" t="str">
        <f>IFERROR(IF(VLOOKUP($B106,[1]勘定科目!$A:$H,HLOOKUP($E$5,[1]勘定科目!$F$1:$H$2,2,0),0)="","",VLOOKUP($B106,[1]勘定科目!$A:$E,2,0)),"")</f>
        <v>減価償却費（製）　工具器具備品</v>
      </c>
      <c r="D106" s="233" t="str">
        <f>IF(C106="","",VLOOKUP($B106,[1]勘定科目!$A:$E,4,0))</f>
        <v>減価償却費</v>
      </c>
      <c r="E106" s="376"/>
      <c r="F106" s="377">
        <v>9795603</v>
      </c>
      <c r="G106" s="377">
        <v>9795603</v>
      </c>
      <c r="H106" s="377">
        <v>9795603</v>
      </c>
      <c r="I106" s="377">
        <v>9795603</v>
      </c>
      <c r="J106" s="377">
        <v>9795603</v>
      </c>
      <c r="K106" s="377">
        <v>9795603</v>
      </c>
      <c r="L106" s="377">
        <v>9795603</v>
      </c>
      <c r="M106" s="377">
        <v>9795603</v>
      </c>
      <c r="N106" s="377">
        <v>9795603</v>
      </c>
      <c r="O106" s="377">
        <v>9795603</v>
      </c>
      <c r="P106" s="377">
        <v>9795603</v>
      </c>
      <c r="Q106" s="377">
        <v>9795603</v>
      </c>
      <c r="R106" s="377">
        <f t="shared" si="5"/>
        <v>117547236</v>
      </c>
      <c r="S106" s="329" t="s">
        <v>858</v>
      </c>
      <c r="T106" s="299"/>
      <c r="U106" s="379"/>
      <c r="V106" s="303"/>
      <c r="W106" s="302"/>
      <c r="X106" s="332"/>
      <c r="Y106" s="303"/>
      <c r="Z106" s="303"/>
      <c r="AA106" s="303"/>
      <c r="AB106" s="303"/>
      <c r="AC106" s="320"/>
      <c r="AD106" s="320"/>
      <c r="AE106" s="320"/>
      <c r="AF106" s="320"/>
      <c r="AG106" s="320"/>
      <c r="AH106" s="306"/>
      <c r="AI106" s="306"/>
      <c r="AJ106" s="306"/>
      <c r="AK106" s="306"/>
      <c r="AL106" s="306"/>
      <c r="AM106" s="306"/>
      <c r="AN106" s="306"/>
      <c r="AO106" s="306"/>
      <c r="AP106" s="306"/>
      <c r="AQ106" s="306"/>
      <c r="AR106" s="306"/>
      <c r="AS106" s="306"/>
      <c r="AT106" s="306"/>
      <c r="AU106" s="306"/>
      <c r="AV106" s="306"/>
      <c r="AW106" s="306"/>
      <c r="AX106" s="306"/>
      <c r="AY106" s="306"/>
      <c r="AZ106" s="3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</row>
    <row r="107" spans="1:68" s="317" customFormat="1" ht="14.25">
      <c r="A107" s="307"/>
      <c r="B107" s="331">
        <v>5006016244</v>
      </c>
      <c r="C107" s="183" t="str">
        <f>IFERROR(IF(VLOOKUP($B107,[1]勘定科目!$A:$H,HLOOKUP($E$5,[1]勘定科目!$F$1:$H$2,2,0),0)="","",VLOOKUP($B107,[1]勘定科目!$A:$E,2,0)),"")</f>
        <v>減価償却費（製）　工具器具備品</v>
      </c>
      <c r="D107" s="233" t="str">
        <f>IF(C107="","",VLOOKUP($B107,[1]勘定科目!$A:$E,4,0))</f>
        <v>減価償却費</v>
      </c>
      <c r="E107" s="376"/>
      <c r="F107" s="343">
        <v>3045389</v>
      </c>
      <c r="G107" s="343">
        <v>3045389</v>
      </c>
      <c r="H107" s="343">
        <v>3045389</v>
      </c>
      <c r="I107" s="343">
        <v>3045389</v>
      </c>
      <c r="J107" s="343">
        <v>3045389</v>
      </c>
      <c r="K107" s="343">
        <v>3045389</v>
      </c>
      <c r="L107" s="343">
        <v>3045389</v>
      </c>
      <c r="M107" s="343">
        <v>3045389</v>
      </c>
      <c r="N107" s="343">
        <v>3045389</v>
      </c>
      <c r="O107" s="343">
        <v>3045389</v>
      </c>
      <c r="P107" s="343">
        <v>3045389</v>
      </c>
      <c r="Q107" s="343">
        <v>3045389</v>
      </c>
      <c r="R107" s="343">
        <f t="shared" si="5"/>
        <v>36544668</v>
      </c>
      <c r="S107" s="329" t="s">
        <v>758</v>
      </c>
      <c r="T107" s="299"/>
      <c r="U107" s="379"/>
      <c r="V107" s="303"/>
      <c r="W107" s="302"/>
      <c r="X107" s="303"/>
      <c r="Y107" s="303"/>
      <c r="Z107" s="303"/>
      <c r="AA107" s="303"/>
      <c r="AB107" s="303"/>
      <c r="AC107" s="320"/>
      <c r="AD107" s="320"/>
      <c r="AE107" s="320"/>
      <c r="AF107" s="320"/>
      <c r="AG107" s="320"/>
      <c r="AH107" s="306"/>
      <c r="AI107" s="306"/>
      <c r="AJ107" s="306"/>
      <c r="AK107" s="306"/>
      <c r="AL107" s="306"/>
      <c r="AM107" s="306"/>
      <c r="AN107" s="306"/>
      <c r="AO107" s="306"/>
      <c r="AP107" s="306"/>
      <c r="AQ107" s="306"/>
      <c r="AR107" s="306"/>
      <c r="AS107" s="306"/>
      <c r="AT107" s="306"/>
      <c r="AU107" s="306"/>
      <c r="AV107" s="306"/>
      <c r="AW107" s="306"/>
      <c r="AX107" s="306"/>
      <c r="AY107" s="306"/>
      <c r="AZ107" s="306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</row>
    <row r="108" spans="1:68" s="317" customFormat="1" ht="14.25">
      <c r="A108" s="307"/>
      <c r="B108" s="331">
        <v>5006016244</v>
      </c>
      <c r="C108" s="183" t="str">
        <f>IFERROR(IF(VLOOKUP($B108,[1]勘定科目!$A:$H,HLOOKUP($E$5,[1]勘定科目!$F$1:$H$2,2,0),0)="","",VLOOKUP($B108,[1]勘定科目!$A:$E,2,0)),"")</f>
        <v>減価償却費（製）　工具器具備品</v>
      </c>
      <c r="D108" s="233" t="str">
        <f>IF(C108="","",VLOOKUP($B108,[1]勘定科目!$A:$E,4,0))</f>
        <v>減価償却費</v>
      </c>
      <c r="E108" s="311"/>
      <c r="F108" s="343">
        <v>1387987</v>
      </c>
      <c r="G108" s="343">
        <v>1387987</v>
      </c>
      <c r="H108" s="343">
        <v>1387987</v>
      </c>
      <c r="I108" s="343">
        <v>1387987</v>
      </c>
      <c r="J108" s="343">
        <v>1387987</v>
      </c>
      <c r="K108" s="343">
        <v>1387987</v>
      </c>
      <c r="L108" s="343">
        <v>1387987</v>
      </c>
      <c r="M108" s="343">
        <v>1387987</v>
      </c>
      <c r="N108" s="343">
        <v>1387987</v>
      </c>
      <c r="O108" s="343">
        <v>1387987</v>
      </c>
      <c r="P108" s="343">
        <v>1387987</v>
      </c>
      <c r="Q108" s="343">
        <v>1387987</v>
      </c>
      <c r="R108" s="343">
        <f t="shared" si="5"/>
        <v>16655844</v>
      </c>
      <c r="S108" s="329" t="s">
        <v>759</v>
      </c>
      <c r="T108" s="299"/>
      <c r="U108" s="379"/>
      <c r="V108" s="332"/>
      <c r="W108" s="302"/>
      <c r="X108" s="303"/>
      <c r="Y108" s="303"/>
      <c r="Z108" s="303"/>
      <c r="AA108" s="303"/>
      <c r="AB108" s="303"/>
      <c r="AC108" s="320"/>
      <c r="AD108" s="320"/>
      <c r="AE108" s="320"/>
      <c r="AF108" s="320"/>
      <c r="AG108" s="320"/>
      <c r="AH108" s="306"/>
      <c r="AI108" s="306"/>
      <c r="AJ108" s="306"/>
      <c r="AK108" s="306"/>
      <c r="AL108" s="306"/>
      <c r="AM108" s="306"/>
      <c r="AN108" s="306"/>
      <c r="AO108" s="306"/>
      <c r="AP108" s="306"/>
      <c r="AQ108" s="306"/>
      <c r="AR108" s="306"/>
      <c r="AS108" s="306"/>
      <c r="AT108" s="306"/>
      <c r="AU108" s="306"/>
      <c r="AV108" s="306"/>
      <c r="AW108" s="306"/>
      <c r="AX108" s="306"/>
      <c r="AY108" s="306"/>
      <c r="AZ108" s="306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</row>
    <row r="109" spans="1:68" s="317" customFormat="1" ht="14.25">
      <c r="A109" s="307"/>
      <c r="B109" s="331">
        <v>5006016244</v>
      </c>
      <c r="C109" s="183" t="str">
        <f>IFERROR(IF(VLOOKUP($B109,[1]勘定科目!$A:$H,HLOOKUP($E$5,[1]勘定科目!$F$1:$H$2,2,0),0)="","",VLOOKUP($B109,[1]勘定科目!$A:$E,2,0)),"")</f>
        <v>減価償却費（製）　工具器具備品</v>
      </c>
      <c r="D109" s="233" t="str">
        <f>IF(C109="","",VLOOKUP($B109,[1]勘定科目!$A:$E,4,0))</f>
        <v>減価償却費</v>
      </c>
      <c r="E109" s="311"/>
      <c r="F109" s="343">
        <v>6748098</v>
      </c>
      <c r="G109" s="343">
        <v>6748098</v>
      </c>
      <c r="H109" s="343">
        <v>6748098</v>
      </c>
      <c r="I109" s="343">
        <v>6748098</v>
      </c>
      <c r="J109" s="343">
        <v>6748098</v>
      </c>
      <c r="K109" s="343">
        <v>6748098</v>
      </c>
      <c r="L109" s="343">
        <v>6748098</v>
      </c>
      <c r="M109" s="343">
        <v>6748098</v>
      </c>
      <c r="N109" s="343">
        <v>6748098</v>
      </c>
      <c r="O109" s="343">
        <v>6748098</v>
      </c>
      <c r="P109" s="343">
        <v>6748098</v>
      </c>
      <c r="Q109" s="343">
        <v>6748098</v>
      </c>
      <c r="R109" s="343">
        <f t="shared" si="5"/>
        <v>80977176</v>
      </c>
      <c r="S109" s="329" t="s">
        <v>760</v>
      </c>
      <c r="T109" s="299"/>
      <c r="U109" s="346"/>
      <c r="V109" s="332"/>
      <c r="W109" s="302"/>
      <c r="X109" s="303"/>
      <c r="Y109" s="303"/>
      <c r="Z109" s="303"/>
      <c r="AA109" s="303"/>
      <c r="AB109" s="303"/>
      <c r="AC109" s="320"/>
      <c r="AD109" s="320"/>
      <c r="AE109" s="320"/>
      <c r="AF109" s="320"/>
      <c r="AG109" s="320"/>
      <c r="AH109" s="306"/>
      <c r="AI109" s="306"/>
      <c r="AJ109" s="306"/>
      <c r="AK109" s="306"/>
      <c r="AL109" s="306"/>
      <c r="AM109" s="306"/>
      <c r="AN109" s="306"/>
      <c r="AO109" s="306"/>
      <c r="AP109" s="306"/>
      <c r="AQ109" s="306"/>
      <c r="AR109" s="306"/>
      <c r="AS109" s="306"/>
      <c r="AT109" s="306"/>
      <c r="AU109" s="306"/>
      <c r="AV109" s="306"/>
      <c r="AW109" s="306"/>
      <c r="AX109" s="306"/>
      <c r="AY109" s="306"/>
      <c r="AZ109" s="306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</row>
    <row r="110" spans="1:68" s="317" customFormat="1" ht="14.25">
      <c r="A110" s="307"/>
      <c r="B110" s="331">
        <v>5006016244</v>
      </c>
      <c r="C110" s="183" t="str">
        <f>IFERROR(IF(VLOOKUP($B110,[1]勘定科目!$A:$H,HLOOKUP($E$5,[1]勘定科目!$F$1:$H$2,2,0),0)="","",VLOOKUP($B110,[1]勘定科目!$A:$E,2,0)),"")</f>
        <v>減価償却費（製）　工具器具備品</v>
      </c>
      <c r="D110" s="233" t="str">
        <f>IF(C110="","",VLOOKUP($B110,[1]勘定科目!$A:$E,4,0))</f>
        <v>減価償却費</v>
      </c>
      <c r="E110" s="311"/>
      <c r="F110" s="343">
        <v>11432553</v>
      </c>
      <c r="G110" s="343">
        <v>11432553</v>
      </c>
      <c r="H110" s="343">
        <v>11432553</v>
      </c>
      <c r="I110" s="343">
        <v>11432553</v>
      </c>
      <c r="J110" s="343">
        <v>11432553</v>
      </c>
      <c r="K110" s="343">
        <v>11432553</v>
      </c>
      <c r="L110" s="343">
        <v>11432553</v>
      </c>
      <c r="M110" s="343">
        <v>11432553</v>
      </c>
      <c r="N110" s="343">
        <v>11432553</v>
      </c>
      <c r="O110" s="343">
        <v>11432553</v>
      </c>
      <c r="P110" s="343">
        <v>11432553</v>
      </c>
      <c r="Q110" s="343">
        <v>11432553</v>
      </c>
      <c r="R110" s="343">
        <f t="shared" si="5"/>
        <v>137190636</v>
      </c>
      <c r="S110" s="329" t="s">
        <v>859</v>
      </c>
      <c r="T110" s="299"/>
      <c r="U110" s="346"/>
      <c r="V110" s="332"/>
      <c r="W110" s="302"/>
      <c r="X110" s="303"/>
      <c r="Y110" s="303"/>
      <c r="Z110" s="303"/>
      <c r="AA110" s="303"/>
      <c r="AB110" s="303"/>
      <c r="AC110" s="320"/>
      <c r="AD110" s="320"/>
      <c r="AE110" s="320"/>
      <c r="AF110" s="320"/>
      <c r="AG110" s="320"/>
      <c r="AH110" s="306"/>
      <c r="AI110" s="306"/>
      <c r="AJ110" s="306"/>
      <c r="AK110" s="306"/>
      <c r="AL110" s="306"/>
      <c r="AM110" s="306"/>
      <c r="AN110" s="306"/>
      <c r="AO110" s="306"/>
      <c r="AP110" s="306"/>
      <c r="AQ110" s="306"/>
      <c r="AR110" s="306"/>
      <c r="AS110" s="306"/>
      <c r="AT110" s="306"/>
      <c r="AU110" s="306"/>
      <c r="AV110" s="306"/>
      <c r="AW110" s="306"/>
      <c r="AX110" s="306"/>
      <c r="AY110" s="306"/>
      <c r="AZ110" s="306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</row>
    <row r="111" spans="1:68" s="317" customFormat="1" ht="14.25">
      <c r="A111" s="307"/>
      <c r="B111" s="331">
        <v>5006016244</v>
      </c>
      <c r="C111" s="183" t="str">
        <f>IFERROR(IF(VLOOKUP($B111,[1]勘定科目!$A:$H,HLOOKUP($E$5,[1]勘定科目!$F$1:$H$2,2,0),0)="","",VLOOKUP($B111,[1]勘定科目!$A:$E,2,0)),"")</f>
        <v>減価償却費（製）　工具器具備品</v>
      </c>
      <c r="D111" s="233" t="str">
        <f>IF(C111="","",VLOOKUP($B111,[1]勘定科目!$A:$E,4,0))</f>
        <v>減価償却費</v>
      </c>
      <c r="E111" s="311"/>
      <c r="F111" s="343"/>
      <c r="G111" s="343"/>
      <c r="H111" s="343"/>
      <c r="I111" s="343">
        <v>29420616</v>
      </c>
      <c r="J111" s="343">
        <v>29420616</v>
      </c>
      <c r="K111" s="343">
        <v>29420616</v>
      </c>
      <c r="L111" s="343">
        <v>29420616</v>
      </c>
      <c r="M111" s="343">
        <v>29420616</v>
      </c>
      <c r="N111" s="343">
        <v>29420616</v>
      </c>
      <c r="O111" s="343">
        <v>29420616</v>
      </c>
      <c r="P111" s="343">
        <v>29420616</v>
      </c>
      <c r="Q111" s="343">
        <v>29420616</v>
      </c>
      <c r="R111" s="343">
        <f t="shared" si="5"/>
        <v>264785544</v>
      </c>
      <c r="S111" s="329" t="s">
        <v>761</v>
      </c>
      <c r="T111" s="299"/>
      <c r="U111" s="346"/>
      <c r="V111" s="332"/>
      <c r="W111" s="302"/>
      <c r="X111" s="303"/>
      <c r="Y111" s="303"/>
      <c r="Z111" s="303"/>
      <c r="AA111" s="303"/>
      <c r="AB111" s="303"/>
      <c r="AC111" s="320"/>
      <c r="AD111" s="320"/>
      <c r="AE111" s="320"/>
      <c r="AF111" s="320"/>
      <c r="AG111" s="320"/>
      <c r="AH111" s="306"/>
      <c r="AI111" s="306"/>
      <c r="AJ111" s="306"/>
      <c r="AK111" s="306"/>
      <c r="AL111" s="306"/>
      <c r="AM111" s="306"/>
      <c r="AN111" s="306"/>
      <c r="AO111" s="306"/>
      <c r="AP111" s="306"/>
      <c r="AQ111" s="306"/>
      <c r="AR111" s="306"/>
      <c r="AS111" s="306"/>
      <c r="AT111" s="306"/>
      <c r="AU111" s="306"/>
      <c r="AV111" s="306"/>
      <c r="AW111" s="306"/>
      <c r="AX111" s="306"/>
      <c r="AY111" s="306"/>
      <c r="AZ111" s="306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</row>
    <row r="112" spans="1:68" s="317" customFormat="1" ht="14.25">
      <c r="A112" s="307"/>
      <c r="B112" s="331"/>
      <c r="C112" s="183" t="str">
        <f>IFERROR(IF(VLOOKUP($B112,[1]勘定科目!$A:$H,HLOOKUP($E$5,[1]勘定科目!$F$1:$H$2,2,0),0)="","",VLOOKUP($B112,[1]勘定科目!$A:$E,2,0)),"")</f>
        <v/>
      </c>
      <c r="D112" s="233" t="str">
        <f>IF(C112="","",VLOOKUP($B112,[1]勘定科目!$A:$E,4,0))</f>
        <v/>
      </c>
      <c r="E112" s="311"/>
      <c r="F112" s="343"/>
      <c r="G112" s="343"/>
      <c r="H112" s="343"/>
      <c r="I112" s="377"/>
      <c r="J112" s="377"/>
      <c r="K112" s="377"/>
      <c r="L112" s="377"/>
      <c r="M112" s="377"/>
      <c r="N112" s="377"/>
      <c r="O112" s="377"/>
      <c r="P112" s="377"/>
      <c r="Q112" s="377"/>
      <c r="R112" s="377">
        <f t="shared" si="5"/>
        <v>0</v>
      </c>
      <c r="S112" s="378"/>
      <c r="T112" s="299"/>
      <c r="U112" s="346"/>
      <c r="V112" s="332"/>
      <c r="W112" s="302"/>
      <c r="X112" s="303"/>
      <c r="Y112" s="303"/>
      <c r="Z112" s="303"/>
      <c r="AA112" s="303"/>
      <c r="AB112" s="303"/>
      <c r="AC112" s="320"/>
      <c r="AD112" s="320"/>
      <c r="AE112" s="320"/>
      <c r="AF112" s="320"/>
      <c r="AG112" s="320"/>
      <c r="AH112" s="306"/>
      <c r="AI112" s="306"/>
      <c r="AJ112" s="306"/>
      <c r="AK112" s="306"/>
      <c r="AL112" s="306"/>
      <c r="AM112" s="306"/>
      <c r="AN112" s="306"/>
      <c r="AO112" s="306"/>
      <c r="AP112" s="306"/>
      <c r="AQ112" s="306"/>
      <c r="AR112" s="306"/>
      <c r="AS112" s="306"/>
      <c r="AT112" s="306"/>
      <c r="AU112" s="306"/>
      <c r="AV112" s="306"/>
      <c r="AW112" s="306"/>
      <c r="AX112" s="306"/>
      <c r="AY112" s="306"/>
      <c r="AZ112" s="306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</row>
    <row r="113" spans="1:68" s="317" customFormat="1" ht="14.25">
      <c r="A113" s="307"/>
      <c r="B113" s="331"/>
      <c r="C113" s="183" t="str">
        <f>IFERROR(IF(VLOOKUP($B113,[1]勘定科目!$A:$H,HLOOKUP($E$5,[1]勘定科目!$F$1:$H$2,2,0),0)="","",VLOOKUP($B113,[1]勘定科目!$A:$E,2,0)),"")</f>
        <v/>
      </c>
      <c r="D113" s="233" t="str">
        <f>IF(C113="","",VLOOKUP($B113,[1]勘定科目!$A:$E,4,0))</f>
        <v/>
      </c>
      <c r="E113" s="311"/>
      <c r="F113" s="343"/>
      <c r="G113" s="343"/>
      <c r="H113" s="343"/>
      <c r="I113" s="343"/>
      <c r="J113" s="343"/>
      <c r="K113" s="343"/>
      <c r="L113" s="343"/>
      <c r="M113" s="343"/>
      <c r="N113" s="343"/>
      <c r="O113" s="343"/>
      <c r="P113" s="343"/>
      <c r="Q113" s="343"/>
      <c r="R113" s="343">
        <f t="shared" si="5"/>
        <v>0</v>
      </c>
      <c r="S113" s="329" t="s">
        <v>762</v>
      </c>
      <c r="T113" s="299"/>
      <c r="U113" s="346"/>
      <c r="V113" s="332"/>
      <c r="W113" s="302"/>
      <c r="X113" s="303"/>
      <c r="Y113" s="303"/>
      <c r="Z113" s="303"/>
      <c r="AA113" s="303"/>
      <c r="AB113" s="303"/>
      <c r="AC113" s="320"/>
      <c r="AD113" s="320"/>
      <c r="AE113" s="320"/>
      <c r="AF113" s="320"/>
      <c r="AG113" s="320"/>
      <c r="AH113" s="306"/>
      <c r="AI113" s="306"/>
      <c r="AJ113" s="306"/>
      <c r="AK113" s="306"/>
      <c r="AL113" s="306"/>
      <c r="AM113" s="306"/>
      <c r="AN113" s="306"/>
      <c r="AO113" s="306"/>
      <c r="AP113" s="306"/>
      <c r="AQ113" s="306"/>
      <c r="AR113" s="306"/>
      <c r="AS113" s="306"/>
      <c r="AT113" s="306"/>
      <c r="AU113" s="306"/>
      <c r="AV113" s="306"/>
      <c r="AW113" s="306"/>
      <c r="AX113" s="306"/>
      <c r="AY113" s="306"/>
      <c r="AZ113" s="306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</row>
    <row r="114" spans="1:68" s="375" customFormat="1" ht="16.5">
      <c r="A114" s="363"/>
      <c r="B114" s="364">
        <v>9114120007</v>
      </c>
      <c r="C114" s="183" t="str">
        <f>IFERROR(IF(VLOOKUP($B114,[1]勘定科目!$A:$H,HLOOKUP($E$5,[1]勘定科目!$F$1:$H$2,2,0),0)="","",VLOOKUP($B114,[1]勘定科目!$A:$E,2,0)),"")</f>
        <v>社内金利（固定資産）</v>
      </c>
      <c r="D114" s="233" t="str">
        <f>IF(C114="","",VLOOKUP($B114,[1]勘定科目!$A:$E,4,0))</f>
        <v>固定資産金利</v>
      </c>
      <c r="E114" s="365"/>
      <c r="F114" s="366"/>
      <c r="G114" s="366"/>
      <c r="H114" s="366"/>
      <c r="I114" s="366"/>
      <c r="J114" s="366"/>
      <c r="K114" s="366">
        <v>2505600</v>
      </c>
      <c r="L114" s="366">
        <v>2505600</v>
      </c>
      <c r="M114" s="366">
        <v>2505600</v>
      </c>
      <c r="N114" s="366">
        <v>2505600</v>
      </c>
      <c r="O114" s="366">
        <v>2505600</v>
      </c>
      <c r="P114" s="366">
        <v>2505600</v>
      </c>
      <c r="Q114" s="366">
        <v>2505600</v>
      </c>
      <c r="R114" s="366">
        <f t="shared" si="5"/>
        <v>17539200</v>
      </c>
      <c r="S114" s="324" t="s">
        <v>763</v>
      </c>
      <c r="T114" s="367"/>
      <c r="U114" s="368"/>
      <c r="V114" s="368"/>
      <c r="W114" s="369"/>
      <c r="X114" s="370"/>
      <c r="Y114" s="371"/>
      <c r="Z114" s="371"/>
      <c r="AA114" s="371"/>
      <c r="AB114" s="371"/>
      <c r="AC114" s="372"/>
      <c r="AD114" s="372"/>
      <c r="AE114" s="372"/>
      <c r="AF114" s="372"/>
      <c r="AG114" s="372"/>
      <c r="AH114" s="373"/>
      <c r="AI114" s="373"/>
      <c r="AJ114" s="373"/>
      <c r="AK114" s="373"/>
      <c r="AL114" s="373"/>
      <c r="AM114" s="373"/>
      <c r="AN114" s="373"/>
      <c r="AO114" s="373"/>
      <c r="AP114" s="373"/>
      <c r="AQ114" s="373"/>
      <c r="AR114" s="373"/>
      <c r="AS114" s="373"/>
      <c r="AT114" s="373"/>
      <c r="AU114" s="373"/>
      <c r="AV114" s="373"/>
      <c r="AW114" s="373"/>
      <c r="AX114" s="373"/>
      <c r="AY114" s="373"/>
      <c r="AZ114" s="373"/>
      <c r="BA114" s="374"/>
      <c r="BB114" s="374"/>
      <c r="BC114" s="374"/>
      <c r="BD114" s="374"/>
      <c r="BE114" s="374"/>
      <c r="BF114" s="374"/>
      <c r="BG114" s="374"/>
      <c r="BH114" s="374"/>
      <c r="BI114" s="374"/>
      <c r="BJ114" s="374"/>
      <c r="BK114" s="374"/>
      <c r="BL114" s="374"/>
      <c r="BM114" s="374"/>
      <c r="BN114" s="374"/>
      <c r="BO114" s="374"/>
      <c r="BP114" s="374"/>
    </row>
    <row r="115" spans="1:68" s="317" customFormat="1" ht="14.25">
      <c r="A115" s="307"/>
      <c r="B115" s="331">
        <v>9114120007</v>
      </c>
      <c r="C115" s="183" t="str">
        <f>IFERROR(IF(VLOOKUP($B115,[1]勘定科目!$A:$H,HLOOKUP($E$5,[1]勘定科目!$F$1:$H$2,2,0),0)="","",VLOOKUP($B115,[1]勘定科目!$A:$E,2,0)),"")</f>
        <v>社内金利（固定資産）</v>
      </c>
      <c r="D115" s="233" t="str">
        <f>IF(C115="","",VLOOKUP($B115,[1]勘定科目!$A:$E,4,0))</f>
        <v>固定資産金利</v>
      </c>
      <c r="E115" s="311"/>
      <c r="F115" s="343">
        <v>8407824</v>
      </c>
      <c r="G115" s="345">
        <v>8407824</v>
      </c>
      <c r="H115" s="345">
        <v>8407824</v>
      </c>
      <c r="I115" s="345">
        <v>8407824</v>
      </c>
      <c r="J115" s="356">
        <v>8407824</v>
      </c>
      <c r="K115" s="356">
        <v>8407824</v>
      </c>
      <c r="L115" s="356">
        <v>8407824</v>
      </c>
      <c r="M115" s="356">
        <v>8407824</v>
      </c>
      <c r="N115" s="356">
        <v>8407824</v>
      </c>
      <c r="O115" s="356">
        <v>8407824</v>
      </c>
      <c r="P115" s="356">
        <v>8407824</v>
      </c>
      <c r="Q115" s="356">
        <v>8407824</v>
      </c>
      <c r="R115" s="356">
        <f t="shared" si="5"/>
        <v>100893888</v>
      </c>
      <c r="S115" s="378" t="s">
        <v>856</v>
      </c>
      <c r="T115" s="299"/>
      <c r="U115" s="346"/>
      <c r="V115" s="332"/>
      <c r="W115" s="302"/>
      <c r="X115" s="303"/>
      <c r="Y115" s="303"/>
      <c r="Z115" s="303"/>
      <c r="AA115" s="303"/>
      <c r="AB115" s="303"/>
      <c r="AC115" s="320"/>
      <c r="AD115" s="320"/>
      <c r="AE115" s="320"/>
      <c r="AF115" s="320"/>
      <c r="AG115" s="320"/>
      <c r="AH115" s="306"/>
      <c r="AI115" s="306"/>
      <c r="AJ115" s="306"/>
      <c r="AK115" s="306"/>
      <c r="AL115" s="306"/>
      <c r="AM115" s="306"/>
      <c r="AN115" s="306"/>
      <c r="AO115" s="306"/>
      <c r="AP115" s="306"/>
      <c r="AQ115" s="306"/>
      <c r="AR115" s="306"/>
      <c r="AS115" s="306"/>
      <c r="AT115" s="306"/>
      <c r="AU115" s="306"/>
      <c r="AV115" s="306"/>
      <c r="AW115" s="306"/>
      <c r="AX115" s="306"/>
      <c r="AY115" s="306"/>
      <c r="AZ115" s="306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</row>
    <row r="116" spans="1:68" s="317" customFormat="1" ht="14.25">
      <c r="A116" s="307"/>
      <c r="B116" s="331">
        <v>9114120007</v>
      </c>
      <c r="C116" s="183" t="str">
        <f>IFERROR(IF(VLOOKUP($B116,[1]勘定科目!$A:$H,HLOOKUP($E$5,[1]勘定科目!$F$1:$H$2,2,0),0)="","",VLOOKUP($B116,[1]勘定科目!$A:$E,2,0)),"")</f>
        <v>社内金利（固定資産）</v>
      </c>
      <c r="D116" s="233" t="str">
        <f>IF(C116="","",VLOOKUP($B116,[1]勘定科目!$A:$E,4,0))</f>
        <v>固定資産金利</v>
      </c>
      <c r="E116" s="376"/>
      <c r="F116" s="377">
        <v>4646370</v>
      </c>
      <c r="G116" s="377">
        <v>4646370</v>
      </c>
      <c r="H116" s="377">
        <v>4646370</v>
      </c>
      <c r="I116" s="377">
        <v>4646370</v>
      </c>
      <c r="J116" s="377">
        <v>4646370</v>
      </c>
      <c r="K116" s="377">
        <v>4646370</v>
      </c>
      <c r="L116" s="377">
        <v>4646370</v>
      </c>
      <c r="M116" s="377">
        <v>4646370</v>
      </c>
      <c r="N116" s="377">
        <v>4646370</v>
      </c>
      <c r="O116" s="377">
        <v>4646370</v>
      </c>
      <c r="P116" s="377">
        <v>4646370</v>
      </c>
      <c r="Q116" s="377">
        <v>4646370</v>
      </c>
      <c r="R116" s="377">
        <f t="shared" si="5"/>
        <v>55756440</v>
      </c>
      <c r="S116" s="329" t="s">
        <v>857</v>
      </c>
      <c r="T116" s="299"/>
      <c r="U116" s="332"/>
      <c r="V116" s="332"/>
      <c r="X116" s="303"/>
      <c r="Y116" s="303"/>
      <c r="Z116" s="303"/>
      <c r="AA116" s="303"/>
      <c r="AB116" s="303"/>
      <c r="AC116" s="320"/>
      <c r="AD116" s="320"/>
      <c r="AE116" s="320"/>
      <c r="AF116" s="320"/>
      <c r="AG116" s="320"/>
      <c r="AH116" s="306"/>
      <c r="AI116" s="306"/>
      <c r="AJ116" s="306"/>
      <c r="AK116" s="306"/>
      <c r="AL116" s="306"/>
      <c r="AM116" s="306"/>
      <c r="AN116" s="306"/>
      <c r="AO116" s="306"/>
      <c r="AP116" s="306"/>
      <c r="AQ116" s="306"/>
      <c r="AR116" s="306"/>
      <c r="AS116" s="306"/>
      <c r="AT116" s="306"/>
      <c r="AU116" s="306"/>
      <c r="AV116" s="306"/>
      <c r="AW116" s="306"/>
      <c r="AX116" s="306"/>
      <c r="AY116" s="306"/>
      <c r="AZ116" s="30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</row>
    <row r="117" spans="1:68" s="317" customFormat="1" ht="14.25">
      <c r="A117" s="307"/>
      <c r="B117" s="331">
        <v>9114120007</v>
      </c>
      <c r="C117" s="183" t="str">
        <f>IFERROR(IF(VLOOKUP($B117,[1]勘定科目!$A:$H,HLOOKUP($E$5,[1]勘定科目!$F$1:$H$2,2,0),0)="","",VLOOKUP($B117,[1]勘定科目!$A:$E,2,0)),"")</f>
        <v>社内金利（固定資産）</v>
      </c>
      <c r="D117" s="233" t="str">
        <f>IF(C117="","",VLOOKUP($B117,[1]勘定科目!$A:$E,4,0))</f>
        <v>固定資産金利</v>
      </c>
      <c r="E117" s="376"/>
      <c r="F117" s="356">
        <v>22843383</v>
      </c>
      <c r="G117" s="356">
        <v>22843383</v>
      </c>
      <c r="H117" s="356">
        <v>22843383</v>
      </c>
      <c r="I117" s="356">
        <v>22843383</v>
      </c>
      <c r="J117" s="356">
        <v>22843383</v>
      </c>
      <c r="K117" s="356">
        <v>7413995</v>
      </c>
      <c r="L117" s="356">
        <v>22843383</v>
      </c>
      <c r="M117" s="356">
        <v>22843383</v>
      </c>
      <c r="N117" s="356">
        <v>22843383</v>
      </c>
      <c r="O117" s="356">
        <v>22843383</v>
      </c>
      <c r="P117" s="356">
        <v>22843383</v>
      </c>
      <c r="Q117" s="356">
        <v>22843383</v>
      </c>
      <c r="R117" s="356">
        <f t="shared" si="5"/>
        <v>258691208</v>
      </c>
      <c r="S117" s="329" t="s">
        <v>756</v>
      </c>
      <c r="T117" s="299"/>
      <c r="U117" s="332"/>
      <c r="V117" s="332"/>
      <c r="W117" s="302"/>
      <c r="X117" s="303"/>
      <c r="Y117" s="303"/>
      <c r="Z117" s="303"/>
      <c r="AA117" s="303"/>
      <c r="AB117" s="303"/>
      <c r="AC117" s="320"/>
      <c r="AD117" s="320"/>
      <c r="AE117" s="320"/>
      <c r="AF117" s="320"/>
      <c r="AG117" s="320"/>
      <c r="AH117" s="306"/>
      <c r="AI117" s="306"/>
      <c r="AJ117" s="306"/>
      <c r="AK117" s="306"/>
      <c r="AL117" s="306"/>
      <c r="AM117" s="306"/>
      <c r="AN117" s="306"/>
      <c r="AO117" s="306"/>
      <c r="AP117" s="306"/>
      <c r="AQ117" s="306"/>
      <c r="AR117" s="306"/>
      <c r="AS117" s="306"/>
      <c r="AT117" s="306"/>
      <c r="AU117" s="306"/>
      <c r="AV117" s="306"/>
      <c r="AW117" s="306"/>
      <c r="AX117" s="306"/>
      <c r="AY117" s="306"/>
      <c r="AZ117" s="306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</row>
    <row r="118" spans="1:68" s="317" customFormat="1" ht="14.25">
      <c r="A118" s="307"/>
      <c r="B118" s="331">
        <v>9114120007</v>
      </c>
      <c r="C118" s="183" t="str">
        <f>IFERROR(IF(VLOOKUP($B118,[1]勘定科目!$A:$H,HLOOKUP($E$5,[1]勘定科目!$F$1:$H$2,2,0),0)="","",VLOOKUP($B118,[1]勘定科目!$A:$E,2,0)),"")</f>
        <v>社内金利（固定資産）</v>
      </c>
      <c r="D118" s="233" t="str">
        <f>IF(C118="","",VLOOKUP($B118,[1]勘定科目!$A:$E,4,0))</f>
        <v>固定資産金利</v>
      </c>
      <c r="E118" s="376"/>
      <c r="F118" s="377">
        <v>1904250</v>
      </c>
      <c r="G118" s="377">
        <v>1904250</v>
      </c>
      <c r="H118" s="377">
        <v>1904250</v>
      </c>
      <c r="I118" s="377">
        <v>1904250</v>
      </c>
      <c r="J118" s="377">
        <v>1904250</v>
      </c>
      <c r="K118" s="377">
        <v>1904250</v>
      </c>
      <c r="L118" s="377">
        <v>1904250</v>
      </c>
      <c r="M118" s="377">
        <v>1904250</v>
      </c>
      <c r="N118" s="377">
        <v>1904250</v>
      </c>
      <c r="O118" s="377">
        <v>1904250</v>
      </c>
      <c r="P118" s="377">
        <v>1904250</v>
      </c>
      <c r="Q118" s="377">
        <v>1904250</v>
      </c>
      <c r="R118" s="377">
        <f t="shared" si="5"/>
        <v>22851000</v>
      </c>
      <c r="S118" s="329" t="s">
        <v>757</v>
      </c>
      <c r="T118" s="299"/>
      <c r="U118" s="379"/>
      <c r="V118" s="303"/>
      <c r="W118" s="302"/>
      <c r="X118" s="332"/>
      <c r="Y118" s="303"/>
      <c r="Z118" s="303"/>
      <c r="AA118" s="303"/>
      <c r="AB118" s="303"/>
      <c r="AC118" s="320"/>
      <c r="AD118" s="320"/>
      <c r="AE118" s="320"/>
      <c r="AF118" s="320"/>
      <c r="AG118" s="320"/>
      <c r="AH118" s="306"/>
      <c r="AI118" s="306"/>
      <c r="AJ118" s="306"/>
      <c r="AK118" s="306"/>
      <c r="AL118" s="306"/>
      <c r="AM118" s="306"/>
      <c r="AN118" s="306"/>
      <c r="AO118" s="306"/>
      <c r="AP118" s="306"/>
      <c r="AQ118" s="306"/>
      <c r="AR118" s="306"/>
      <c r="AS118" s="306"/>
      <c r="AT118" s="306"/>
      <c r="AU118" s="306"/>
      <c r="AV118" s="306"/>
      <c r="AW118" s="306"/>
      <c r="AX118" s="306"/>
      <c r="AY118" s="306"/>
      <c r="AZ118" s="306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</row>
    <row r="119" spans="1:68" s="317" customFormat="1" ht="14.25">
      <c r="A119" s="307"/>
      <c r="B119" s="331">
        <v>9114120007</v>
      </c>
      <c r="C119" s="183" t="str">
        <f>IFERROR(IF(VLOOKUP($B119,[1]勘定科目!$A:$H,HLOOKUP($E$5,[1]勘定科目!$F$1:$H$2,2,0),0)="","",VLOOKUP($B119,[1]勘定科目!$A:$E,2,0)),"")</f>
        <v>社内金利（固定資産）</v>
      </c>
      <c r="D119" s="233" t="str">
        <f>IF(C119="","",VLOOKUP($B119,[1]勘定科目!$A:$E,4,0))</f>
        <v>固定資産金利</v>
      </c>
      <c r="E119" s="376"/>
      <c r="F119" s="377">
        <v>1057925</v>
      </c>
      <c r="G119" s="377">
        <v>1057925</v>
      </c>
      <c r="H119" s="377">
        <v>1057925</v>
      </c>
      <c r="I119" s="377">
        <v>1057925</v>
      </c>
      <c r="J119" s="377">
        <v>1057925</v>
      </c>
      <c r="K119" s="377">
        <v>1057925</v>
      </c>
      <c r="L119" s="377">
        <v>1057925</v>
      </c>
      <c r="M119" s="377">
        <v>1057925</v>
      </c>
      <c r="N119" s="377">
        <v>1057925</v>
      </c>
      <c r="O119" s="377">
        <v>1057925</v>
      </c>
      <c r="P119" s="377">
        <v>1057925</v>
      </c>
      <c r="Q119" s="377">
        <v>1057925</v>
      </c>
      <c r="R119" s="377">
        <f t="shared" ref="R119:R182" si="6">SUM(F119:Q119)</f>
        <v>12695100</v>
      </c>
      <c r="S119" s="329" t="s">
        <v>858</v>
      </c>
      <c r="T119" s="299"/>
      <c r="U119" s="379"/>
      <c r="V119" s="303"/>
      <c r="W119" s="302"/>
      <c r="X119" s="303"/>
      <c r="Y119" s="303"/>
      <c r="Z119" s="303"/>
      <c r="AA119" s="303"/>
      <c r="AB119" s="303"/>
      <c r="AC119" s="320"/>
      <c r="AD119" s="320"/>
      <c r="AE119" s="320"/>
      <c r="AF119" s="320"/>
      <c r="AG119" s="320"/>
      <c r="AH119" s="306"/>
      <c r="AI119" s="306"/>
      <c r="AJ119" s="306"/>
      <c r="AK119" s="306"/>
      <c r="AL119" s="306"/>
      <c r="AM119" s="306"/>
      <c r="AN119" s="306"/>
      <c r="AO119" s="306"/>
      <c r="AP119" s="306"/>
      <c r="AQ119" s="306"/>
      <c r="AR119" s="306"/>
      <c r="AS119" s="306"/>
      <c r="AT119" s="306"/>
      <c r="AU119" s="306"/>
      <c r="AV119" s="306"/>
      <c r="AW119" s="306"/>
      <c r="AX119" s="306"/>
      <c r="AY119" s="306"/>
      <c r="AZ119" s="306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</row>
    <row r="120" spans="1:68" s="317" customFormat="1" ht="14.25">
      <c r="A120" s="307"/>
      <c r="B120" s="331">
        <v>9114120007</v>
      </c>
      <c r="C120" s="183" t="str">
        <f>IFERROR(IF(VLOOKUP($B120,[1]勘定科目!$A:$H,HLOOKUP($E$5,[1]勘定科目!$F$1:$H$2,2,0),0)="","",VLOOKUP($B120,[1]勘定科目!$A:$E,2,0)),"")</f>
        <v>社内金利（固定資産）</v>
      </c>
      <c r="D120" s="233" t="str">
        <f>IF(C120="","",VLOOKUP($B120,[1]勘定科目!$A:$E,4,0))</f>
        <v>固定資産金利</v>
      </c>
      <c r="E120" s="376"/>
      <c r="F120" s="343">
        <v>328902</v>
      </c>
      <c r="G120" s="343">
        <v>328902</v>
      </c>
      <c r="H120" s="343">
        <v>328902</v>
      </c>
      <c r="I120" s="343">
        <v>328902</v>
      </c>
      <c r="J120" s="343">
        <v>328902</v>
      </c>
      <c r="K120" s="343">
        <v>328902</v>
      </c>
      <c r="L120" s="343">
        <v>328902</v>
      </c>
      <c r="M120" s="343">
        <v>328902</v>
      </c>
      <c r="N120" s="343">
        <v>328902</v>
      </c>
      <c r="O120" s="343">
        <v>328902</v>
      </c>
      <c r="P120" s="343">
        <v>328902</v>
      </c>
      <c r="Q120" s="343">
        <v>328902</v>
      </c>
      <c r="R120" s="343">
        <f t="shared" si="6"/>
        <v>3946824</v>
      </c>
      <c r="S120" s="329" t="s">
        <v>758</v>
      </c>
      <c r="T120" s="299"/>
      <c r="U120" s="379"/>
      <c r="V120" s="332"/>
      <c r="W120" s="302"/>
      <c r="X120" s="303"/>
      <c r="Y120" s="303"/>
      <c r="Z120" s="303"/>
      <c r="AA120" s="303"/>
      <c r="AB120" s="303"/>
      <c r="AC120" s="320"/>
      <c r="AD120" s="320"/>
      <c r="AE120" s="320"/>
      <c r="AF120" s="320"/>
      <c r="AG120" s="320"/>
      <c r="AH120" s="306"/>
      <c r="AI120" s="306"/>
      <c r="AJ120" s="306"/>
      <c r="AK120" s="306"/>
      <c r="AL120" s="306"/>
      <c r="AM120" s="306"/>
      <c r="AN120" s="306"/>
      <c r="AO120" s="306"/>
      <c r="AP120" s="306"/>
      <c r="AQ120" s="306"/>
      <c r="AR120" s="306"/>
      <c r="AS120" s="306"/>
      <c r="AT120" s="306"/>
      <c r="AU120" s="306"/>
      <c r="AV120" s="306"/>
      <c r="AW120" s="306"/>
      <c r="AX120" s="306"/>
      <c r="AY120" s="306"/>
      <c r="AZ120" s="306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</row>
    <row r="121" spans="1:68" s="317" customFormat="1" ht="14.25">
      <c r="A121" s="307"/>
      <c r="B121" s="331">
        <v>9114120007</v>
      </c>
      <c r="C121" s="183" t="str">
        <f>IFERROR(IF(VLOOKUP($B121,[1]勘定科目!$A:$H,HLOOKUP($E$5,[1]勘定科目!$F$1:$H$2,2,0),0)="","",VLOOKUP($B121,[1]勘定科目!$A:$E,2,0)),"")</f>
        <v>社内金利（固定資産）</v>
      </c>
      <c r="D121" s="233" t="str">
        <f>IF(C121="","",VLOOKUP($B121,[1]勘定科目!$A:$E,4,0))</f>
        <v>固定資産金利</v>
      </c>
      <c r="E121" s="311"/>
      <c r="F121" s="343">
        <v>149903</v>
      </c>
      <c r="G121" s="343">
        <v>149903</v>
      </c>
      <c r="H121" s="343">
        <v>149903</v>
      </c>
      <c r="I121" s="343">
        <v>149903</v>
      </c>
      <c r="J121" s="343">
        <v>149903</v>
      </c>
      <c r="K121" s="343">
        <v>149903</v>
      </c>
      <c r="L121" s="343">
        <v>149903</v>
      </c>
      <c r="M121" s="343">
        <v>149903</v>
      </c>
      <c r="N121" s="343">
        <v>149903</v>
      </c>
      <c r="O121" s="343">
        <v>149903</v>
      </c>
      <c r="P121" s="343">
        <v>149903</v>
      </c>
      <c r="Q121" s="343">
        <v>149903</v>
      </c>
      <c r="R121" s="343">
        <f t="shared" si="6"/>
        <v>1798836</v>
      </c>
      <c r="S121" s="329" t="s">
        <v>759</v>
      </c>
      <c r="T121" s="299"/>
      <c r="U121" s="346"/>
      <c r="V121" s="332"/>
      <c r="W121" s="302"/>
      <c r="X121" s="303"/>
      <c r="Y121" s="303"/>
      <c r="Z121" s="303"/>
      <c r="AA121" s="303"/>
      <c r="AB121" s="303"/>
      <c r="AC121" s="320"/>
      <c r="AD121" s="320"/>
      <c r="AE121" s="320"/>
      <c r="AF121" s="320"/>
      <c r="AG121" s="320"/>
      <c r="AH121" s="306"/>
      <c r="AI121" s="306"/>
      <c r="AJ121" s="306"/>
      <c r="AK121" s="306"/>
      <c r="AL121" s="306"/>
      <c r="AM121" s="306"/>
      <c r="AN121" s="306"/>
      <c r="AO121" s="306"/>
      <c r="AP121" s="306"/>
      <c r="AQ121" s="306"/>
      <c r="AR121" s="306"/>
      <c r="AS121" s="306"/>
      <c r="AT121" s="306"/>
      <c r="AU121" s="306"/>
      <c r="AV121" s="306"/>
      <c r="AW121" s="306"/>
      <c r="AX121" s="306"/>
      <c r="AY121" s="306"/>
      <c r="AZ121" s="306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</row>
    <row r="122" spans="1:68" s="317" customFormat="1" ht="14.25">
      <c r="A122" s="307"/>
      <c r="B122" s="331">
        <v>9114120007</v>
      </c>
      <c r="C122" s="183" t="str">
        <f>IFERROR(IF(VLOOKUP($B122,[1]勘定科目!$A:$H,HLOOKUP($E$5,[1]勘定科目!$F$1:$H$2,2,0),0)="","",VLOOKUP($B122,[1]勘定科目!$A:$E,2,0)),"")</f>
        <v>社内金利（固定資産）</v>
      </c>
      <c r="D122" s="233" t="str">
        <f>IF(C122="","",VLOOKUP($B122,[1]勘定科目!$A:$E,4,0))</f>
        <v>固定資産金利</v>
      </c>
      <c r="E122" s="311"/>
      <c r="F122" s="343">
        <v>728795</v>
      </c>
      <c r="G122" s="343">
        <v>728795</v>
      </c>
      <c r="H122" s="343">
        <v>728795</v>
      </c>
      <c r="I122" s="343">
        <v>728795</v>
      </c>
      <c r="J122" s="343">
        <v>728795</v>
      </c>
      <c r="K122" s="343">
        <v>728795</v>
      </c>
      <c r="L122" s="343">
        <v>728795</v>
      </c>
      <c r="M122" s="343">
        <v>728795</v>
      </c>
      <c r="N122" s="343">
        <v>728795</v>
      </c>
      <c r="O122" s="343">
        <v>728795</v>
      </c>
      <c r="P122" s="343">
        <v>728795</v>
      </c>
      <c r="Q122" s="343">
        <v>728795</v>
      </c>
      <c r="R122" s="343">
        <f t="shared" si="6"/>
        <v>8745540</v>
      </c>
      <c r="S122" s="329" t="s">
        <v>760</v>
      </c>
      <c r="T122" s="299"/>
      <c r="U122" s="346"/>
      <c r="V122" s="332"/>
      <c r="W122" s="302"/>
      <c r="X122" s="303"/>
      <c r="Y122" s="303"/>
      <c r="Z122" s="303"/>
      <c r="AA122" s="303"/>
      <c r="AB122" s="303"/>
      <c r="AC122" s="320"/>
      <c r="AD122" s="320"/>
      <c r="AE122" s="320"/>
      <c r="AF122" s="320"/>
      <c r="AG122" s="320"/>
      <c r="AH122" s="306"/>
      <c r="AI122" s="306"/>
      <c r="AJ122" s="306"/>
      <c r="AK122" s="306"/>
      <c r="AL122" s="306"/>
      <c r="AM122" s="306"/>
      <c r="AN122" s="306"/>
      <c r="AO122" s="306"/>
      <c r="AP122" s="306"/>
      <c r="AQ122" s="306"/>
      <c r="AR122" s="306"/>
      <c r="AS122" s="306"/>
      <c r="AT122" s="306"/>
      <c r="AU122" s="306"/>
      <c r="AV122" s="306"/>
      <c r="AW122" s="306"/>
      <c r="AX122" s="306"/>
      <c r="AY122" s="306"/>
      <c r="AZ122" s="306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</row>
    <row r="123" spans="1:68" s="317" customFormat="1" ht="14.25">
      <c r="A123" s="307"/>
      <c r="B123" s="331">
        <v>9114120007</v>
      </c>
      <c r="C123" s="183" t="str">
        <f>IFERROR(IF(VLOOKUP($B123,[1]勘定科目!$A:$H,HLOOKUP($E$5,[1]勘定科目!$F$1:$H$2,2,0),0)="","",VLOOKUP($B123,[1]勘定科目!$A:$E,2,0)),"")</f>
        <v>社内金利（固定資産）</v>
      </c>
      <c r="D123" s="233" t="str">
        <f>IF(C123="","",VLOOKUP($B123,[1]勘定科目!$A:$E,4,0))</f>
        <v>固定資産金利</v>
      </c>
      <c r="E123" s="311"/>
      <c r="F123" s="343">
        <v>1234716</v>
      </c>
      <c r="G123" s="343">
        <v>1234716</v>
      </c>
      <c r="H123" s="343">
        <v>1234716</v>
      </c>
      <c r="I123" s="343">
        <v>1234716</v>
      </c>
      <c r="J123" s="343">
        <v>1234716</v>
      </c>
      <c r="K123" s="343">
        <v>1234716</v>
      </c>
      <c r="L123" s="343">
        <v>1234716</v>
      </c>
      <c r="M123" s="343">
        <v>1234716</v>
      </c>
      <c r="N123" s="343">
        <v>1234716</v>
      </c>
      <c r="O123" s="343">
        <v>1234716</v>
      </c>
      <c r="P123" s="343">
        <v>1234716</v>
      </c>
      <c r="Q123" s="343">
        <v>1234716</v>
      </c>
      <c r="R123" s="343">
        <f t="shared" si="6"/>
        <v>14816592</v>
      </c>
      <c r="S123" s="329" t="s">
        <v>859</v>
      </c>
      <c r="T123" s="299"/>
      <c r="U123" s="346"/>
      <c r="V123" s="332"/>
      <c r="W123" s="302"/>
      <c r="X123" s="303"/>
      <c r="Y123" s="303"/>
      <c r="Z123" s="303"/>
      <c r="AA123" s="303"/>
      <c r="AB123" s="303"/>
      <c r="AC123" s="320"/>
      <c r="AD123" s="320"/>
      <c r="AE123" s="320"/>
      <c r="AF123" s="320"/>
      <c r="AG123" s="320"/>
      <c r="AH123" s="306"/>
      <c r="AI123" s="306"/>
      <c r="AJ123" s="306"/>
      <c r="AK123" s="306"/>
      <c r="AL123" s="306"/>
      <c r="AM123" s="306"/>
      <c r="AN123" s="306"/>
      <c r="AO123" s="306"/>
      <c r="AP123" s="306"/>
      <c r="AQ123" s="306"/>
      <c r="AR123" s="306"/>
      <c r="AS123" s="306"/>
      <c r="AT123" s="306"/>
      <c r="AU123" s="306"/>
      <c r="AV123" s="306"/>
      <c r="AW123" s="306"/>
      <c r="AX123" s="306"/>
      <c r="AY123" s="306"/>
      <c r="AZ123" s="306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</row>
    <row r="124" spans="1:68" s="317" customFormat="1" ht="14.25">
      <c r="A124" s="307"/>
      <c r="B124" s="331">
        <v>9114120007</v>
      </c>
      <c r="C124" s="183" t="str">
        <f>IFERROR(IF(VLOOKUP($B124,[1]勘定科目!$A:$H,HLOOKUP($E$5,[1]勘定科目!$F$1:$H$2,2,0),0)="","",VLOOKUP($B124,[1]勘定科目!$A:$E,2,0)),"")</f>
        <v>社内金利（固定資産）</v>
      </c>
      <c r="D124" s="233" t="str">
        <f>IF(C124="","",VLOOKUP($B124,[1]勘定科目!$A:$E,4,0))</f>
        <v>固定資産金利</v>
      </c>
      <c r="E124" s="311"/>
      <c r="F124" s="343"/>
      <c r="G124" s="343"/>
      <c r="H124" s="343"/>
      <c r="I124" s="343"/>
      <c r="J124" s="343">
        <v>3177427</v>
      </c>
      <c r="K124" s="343">
        <v>3177427</v>
      </c>
      <c r="L124" s="343">
        <v>3177427</v>
      </c>
      <c r="M124" s="343">
        <v>3177427</v>
      </c>
      <c r="N124" s="343">
        <v>3177427</v>
      </c>
      <c r="O124" s="343">
        <v>3177427</v>
      </c>
      <c r="P124" s="343">
        <v>3177427</v>
      </c>
      <c r="Q124" s="343">
        <v>3177427</v>
      </c>
      <c r="R124" s="343">
        <f t="shared" si="6"/>
        <v>25419416</v>
      </c>
      <c r="S124" s="329" t="s">
        <v>764</v>
      </c>
      <c r="T124" s="299"/>
      <c r="U124" s="346"/>
      <c r="V124" s="332"/>
      <c r="W124" s="302"/>
      <c r="X124" s="303"/>
      <c r="Y124" s="303"/>
      <c r="Z124" s="303"/>
      <c r="AA124" s="303"/>
      <c r="AB124" s="303"/>
      <c r="AC124" s="320"/>
      <c r="AD124" s="320"/>
      <c r="AE124" s="320"/>
      <c r="AF124" s="320"/>
      <c r="AG124" s="320"/>
      <c r="AH124" s="306"/>
      <c r="AI124" s="306"/>
      <c r="AJ124" s="306"/>
      <c r="AK124" s="306"/>
      <c r="AL124" s="306"/>
      <c r="AM124" s="306"/>
      <c r="AN124" s="306"/>
      <c r="AO124" s="306"/>
      <c r="AP124" s="306"/>
      <c r="AQ124" s="306"/>
      <c r="AR124" s="306"/>
      <c r="AS124" s="306"/>
      <c r="AT124" s="306"/>
      <c r="AU124" s="306"/>
      <c r="AV124" s="306"/>
      <c r="AW124" s="306"/>
      <c r="AX124" s="306"/>
      <c r="AY124" s="306"/>
      <c r="AZ124" s="306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</row>
    <row r="125" spans="1:68" s="317" customFormat="1" ht="14.25">
      <c r="A125" s="307"/>
      <c r="B125" s="331"/>
      <c r="C125" s="183" t="str">
        <f>IFERROR(IF(VLOOKUP($B125,[1]勘定科目!$A:$H,HLOOKUP($E$5,[1]勘定科目!$F$1:$H$2,2,0),0)="","",VLOOKUP($B125,[1]勘定科目!$A:$E,2,0)),"")</f>
        <v/>
      </c>
      <c r="D125" s="233" t="str">
        <f>IF(C125="","",VLOOKUP($B125,[1]勘定科目!$A:$E,4,0))</f>
        <v/>
      </c>
      <c r="E125" s="311"/>
      <c r="F125" s="343"/>
      <c r="G125" s="343"/>
      <c r="H125" s="343"/>
      <c r="I125" s="343"/>
      <c r="J125" s="377"/>
      <c r="K125" s="377"/>
      <c r="L125" s="377"/>
      <c r="M125" s="377"/>
      <c r="N125" s="377"/>
      <c r="O125" s="377"/>
      <c r="P125" s="377"/>
      <c r="Q125" s="377"/>
      <c r="R125" s="377">
        <f t="shared" si="6"/>
        <v>0</v>
      </c>
      <c r="S125" s="378"/>
      <c r="T125" s="299"/>
      <c r="U125" s="346"/>
      <c r="V125" s="332"/>
      <c r="W125" s="302"/>
      <c r="X125" s="303"/>
      <c r="Y125" s="303"/>
      <c r="Z125" s="303"/>
      <c r="AA125" s="303"/>
      <c r="AB125" s="303"/>
      <c r="AC125" s="320"/>
      <c r="AD125" s="320"/>
      <c r="AE125" s="320"/>
      <c r="AF125" s="320"/>
      <c r="AG125" s="320"/>
      <c r="AH125" s="306"/>
      <c r="AI125" s="306"/>
      <c r="AJ125" s="306"/>
      <c r="AK125" s="306"/>
      <c r="AL125" s="306"/>
      <c r="AM125" s="306"/>
      <c r="AN125" s="306"/>
      <c r="AO125" s="306"/>
      <c r="AP125" s="306"/>
      <c r="AQ125" s="306"/>
      <c r="AR125" s="306"/>
      <c r="AS125" s="306"/>
      <c r="AT125" s="306"/>
      <c r="AU125" s="306"/>
      <c r="AV125" s="306"/>
      <c r="AW125" s="306"/>
      <c r="AX125" s="306"/>
      <c r="AY125" s="306"/>
      <c r="AZ125" s="306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</row>
    <row r="126" spans="1:68" s="317" customFormat="1" ht="14.25">
      <c r="A126" s="307"/>
      <c r="B126" s="331"/>
      <c r="C126" s="183" t="str">
        <f>IFERROR(IF(VLOOKUP($B126,[1]勘定科目!$A:$H,HLOOKUP($E$5,[1]勘定科目!$F$1:$H$2,2,0),0)="","",VLOOKUP($B126,[1]勘定科目!$A:$E,2,0)),"")</f>
        <v/>
      </c>
      <c r="D126" s="233" t="str">
        <f>IF(C126="","",VLOOKUP($B126,[1]勘定科目!$A:$E,4,0))</f>
        <v/>
      </c>
      <c r="E126" s="311"/>
      <c r="F126" s="343"/>
      <c r="G126" s="343"/>
      <c r="H126" s="343"/>
      <c r="I126" s="343"/>
      <c r="J126" s="343"/>
      <c r="K126" s="343"/>
      <c r="L126" s="343"/>
      <c r="M126" s="343"/>
      <c r="N126" s="343"/>
      <c r="O126" s="343"/>
      <c r="P126" s="343"/>
      <c r="Q126" s="343"/>
      <c r="R126" s="343">
        <f t="shared" si="6"/>
        <v>0</v>
      </c>
      <c r="S126" s="329" t="s">
        <v>765</v>
      </c>
      <c r="T126" s="299"/>
      <c r="U126" s="346"/>
      <c r="V126" s="332"/>
      <c r="W126" s="302"/>
      <c r="X126" s="303"/>
      <c r="Y126" s="303"/>
      <c r="Z126" s="303"/>
      <c r="AA126" s="303"/>
      <c r="AB126" s="303"/>
      <c r="AC126" s="320"/>
      <c r="AD126" s="320"/>
      <c r="AE126" s="320"/>
      <c r="AF126" s="320"/>
      <c r="AG126" s="320"/>
      <c r="AH126" s="306"/>
      <c r="AI126" s="306"/>
      <c r="AJ126" s="306"/>
      <c r="AK126" s="306"/>
      <c r="AL126" s="306"/>
      <c r="AM126" s="306"/>
      <c r="AN126" s="306"/>
      <c r="AO126" s="306"/>
      <c r="AP126" s="306"/>
      <c r="AQ126" s="306"/>
      <c r="AR126" s="306"/>
      <c r="AS126" s="306"/>
      <c r="AT126" s="306"/>
      <c r="AU126" s="306"/>
      <c r="AV126" s="306"/>
      <c r="AW126" s="306"/>
      <c r="AX126" s="306"/>
      <c r="AY126" s="306"/>
      <c r="AZ126" s="30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</row>
    <row r="127" spans="1:68" s="375" customFormat="1" ht="16.5">
      <c r="A127" s="363"/>
      <c r="B127" s="364">
        <v>5005026371</v>
      </c>
      <c r="C127" s="183" t="str">
        <f>IFERROR(IF(VLOOKUP($B127,[1]勘定科目!$A:$H,HLOOKUP($E$5,[1]勘定科目!$F$1:$H$2,2,0),0)="","",VLOOKUP($B127,[1]勘定科目!$A:$E,2,0)),"")</f>
        <v>消耗工具器具備品費（製）</v>
      </c>
      <c r="D127" s="233" t="str">
        <f>IF(C127="","",VLOOKUP($B127,[1]勘定科目!$A:$E,4,0))</f>
        <v>消耗工具器具備品費</v>
      </c>
      <c r="E127" s="365"/>
      <c r="F127" s="366"/>
      <c r="G127" s="366"/>
      <c r="H127" s="366"/>
      <c r="I127" s="366"/>
      <c r="J127" s="366"/>
      <c r="K127" s="366">
        <v>120000000</v>
      </c>
      <c r="L127" s="366"/>
      <c r="M127" s="366"/>
      <c r="N127" s="366"/>
      <c r="O127" s="366"/>
      <c r="P127" s="366"/>
      <c r="Q127" s="366"/>
      <c r="R127" s="366">
        <f t="shared" si="6"/>
        <v>120000000</v>
      </c>
      <c r="S127" s="324" t="s">
        <v>766</v>
      </c>
      <c r="T127" s="367"/>
      <c r="U127" s="368"/>
      <c r="V127" s="368"/>
      <c r="W127" s="369"/>
      <c r="X127" s="370"/>
      <c r="Y127" s="371"/>
      <c r="Z127" s="371"/>
      <c r="AA127" s="371"/>
      <c r="AB127" s="371"/>
      <c r="AC127" s="372"/>
      <c r="AD127" s="372"/>
      <c r="AE127" s="372"/>
      <c r="AF127" s="372"/>
      <c r="AG127" s="372"/>
      <c r="AH127" s="373"/>
      <c r="AI127" s="373"/>
      <c r="AJ127" s="373"/>
      <c r="AK127" s="373"/>
      <c r="AL127" s="373"/>
      <c r="AM127" s="373"/>
      <c r="AN127" s="373"/>
      <c r="AO127" s="373"/>
      <c r="AP127" s="373"/>
      <c r="AQ127" s="373"/>
      <c r="AR127" s="373"/>
      <c r="AS127" s="373"/>
      <c r="AT127" s="373"/>
      <c r="AU127" s="373"/>
      <c r="AV127" s="373"/>
      <c r="AW127" s="373"/>
      <c r="AX127" s="373"/>
      <c r="AY127" s="373"/>
      <c r="AZ127" s="373"/>
      <c r="BA127" s="374"/>
      <c r="BB127" s="374"/>
      <c r="BC127" s="374"/>
      <c r="BD127" s="374"/>
      <c r="BE127" s="374"/>
      <c r="BF127" s="374"/>
      <c r="BG127" s="374"/>
      <c r="BH127" s="374"/>
      <c r="BI127" s="374"/>
      <c r="BJ127" s="374"/>
      <c r="BK127" s="374"/>
      <c r="BL127" s="374"/>
      <c r="BM127" s="374"/>
      <c r="BN127" s="374"/>
      <c r="BO127" s="374"/>
      <c r="BP127" s="374"/>
    </row>
    <row r="128" spans="1:68" s="375" customFormat="1" ht="14.25">
      <c r="A128" s="363"/>
      <c r="B128" s="331">
        <v>5005026371</v>
      </c>
      <c r="C128" s="183" t="str">
        <f>IFERROR(IF(VLOOKUP($B128,[1]勘定科目!$A:$H,HLOOKUP($E$5,[1]勘定科目!$F$1:$H$2,2,0),0)="","",VLOOKUP($B128,[1]勘定科目!$A:$E,2,0)),"")</f>
        <v>消耗工具器具備品費（製）</v>
      </c>
      <c r="D128" s="233" t="str">
        <f>IF(C128="","",VLOOKUP($B128,[1]勘定科目!$A:$E,4,0))</f>
        <v>消耗工具器具備品費</v>
      </c>
      <c r="E128" s="365"/>
      <c r="F128" s="366"/>
      <c r="G128" s="366"/>
      <c r="H128" s="366"/>
      <c r="I128" s="366"/>
      <c r="J128" s="366"/>
      <c r="K128" s="381"/>
      <c r="L128" s="366"/>
      <c r="M128" s="366"/>
      <c r="N128" s="366"/>
      <c r="O128" s="366"/>
      <c r="P128" s="366"/>
      <c r="Q128" s="366"/>
      <c r="R128" s="366">
        <f t="shared" si="6"/>
        <v>0</v>
      </c>
      <c r="S128" s="382" t="s">
        <v>767</v>
      </c>
      <c r="T128" s="367"/>
      <c r="U128" s="368"/>
      <c r="V128" s="368"/>
      <c r="W128" s="369"/>
      <c r="X128" s="370"/>
      <c r="Y128" s="371"/>
      <c r="Z128" s="371"/>
      <c r="AA128" s="371"/>
      <c r="AB128" s="371"/>
      <c r="AC128" s="372"/>
      <c r="AD128" s="372"/>
      <c r="AE128" s="372"/>
      <c r="AF128" s="372"/>
      <c r="AG128" s="372"/>
      <c r="AH128" s="373"/>
      <c r="AI128" s="373"/>
      <c r="AJ128" s="373"/>
      <c r="AK128" s="373"/>
      <c r="AL128" s="373"/>
      <c r="AM128" s="373"/>
      <c r="AN128" s="373"/>
      <c r="AO128" s="373"/>
      <c r="AP128" s="373"/>
      <c r="AQ128" s="373"/>
      <c r="AR128" s="373"/>
      <c r="AS128" s="373"/>
      <c r="AT128" s="373"/>
      <c r="AU128" s="373"/>
      <c r="AV128" s="373"/>
      <c r="AW128" s="373"/>
      <c r="AX128" s="373"/>
      <c r="AY128" s="373"/>
      <c r="AZ128" s="373"/>
      <c r="BA128" s="374"/>
      <c r="BB128" s="374"/>
      <c r="BC128" s="374"/>
      <c r="BD128" s="374"/>
      <c r="BE128" s="374"/>
      <c r="BF128" s="374"/>
      <c r="BG128" s="374"/>
      <c r="BH128" s="374"/>
      <c r="BI128" s="374"/>
      <c r="BJ128" s="374"/>
      <c r="BK128" s="374"/>
      <c r="BL128" s="374"/>
      <c r="BM128" s="374"/>
      <c r="BN128" s="374"/>
      <c r="BO128" s="374"/>
      <c r="BP128" s="374"/>
    </row>
    <row r="129" spans="1:68" s="317" customFormat="1" ht="14.25">
      <c r="A129" s="307"/>
      <c r="B129" s="331">
        <v>5005026371</v>
      </c>
      <c r="C129" s="183" t="str">
        <f>IFERROR(IF(VLOOKUP($B129,[1]勘定科目!$A:$H,HLOOKUP($E$5,[1]勘定科目!$F$1:$H$2,2,0),0)="","",VLOOKUP($B129,[1]勘定科目!$A:$E,2,0)),"")</f>
        <v>消耗工具器具備品費（製）</v>
      </c>
      <c r="D129" s="233" t="str">
        <f>IF(C129="","",VLOOKUP($B129,[1]勘定科目!$A:$E,4,0))</f>
        <v>消耗工具器具備品費</v>
      </c>
      <c r="E129" s="311"/>
      <c r="F129" s="343"/>
      <c r="G129" s="345"/>
      <c r="H129" s="345"/>
      <c r="I129" s="345"/>
      <c r="J129" s="345"/>
      <c r="K129" s="345"/>
      <c r="L129" s="345"/>
      <c r="M129" s="345"/>
      <c r="N129" s="345"/>
      <c r="O129" s="345"/>
      <c r="P129" s="345"/>
      <c r="Q129" s="345"/>
      <c r="R129" s="345">
        <f t="shared" si="6"/>
        <v>0</v>
      </c>
      <c r="S129" s="383" t="s">
        <v>768</v>
      </c>
      <c r="T129" s="299"/>
      <c r="U129" s="300"/>
      <c r="V129" s="303"/>
      <c r="W129" s="302"/>
      <c r="X129" s="303"/>
      <c r="Y129" s="303"/>
      <c r="Z129" s="303"/>
      <c r="AA129" s="303"/>
      <c r="AB129" s="303"/>
      <c r="AC129" s="320"/>
      <c r="AD129" s="320"/>
      <c r="AE129" s="320"/>
      <c r="AF129" s="320"/>
      <c r="AG129" s="320"/>
      <c r="AH129" s="306"/>
      <c r="AI129" s="306"/>
      <c r="AJ129" s="306"/>
      <c r="AK129" s="306"/>
      <c r="AL129" s="306"/>
      <c r="AM129" s="306"/>
      <c r="AN129" s="306"/>
      <c r="AO129" s="306"/>
      <c r="AP129" s="306"/>
      <c r="AQ129" s="306"/>
      <c r="AR129" s="306"/>
      <c r="AS129" s="306"/>
      <c r="AT129" s="306"/>
      <c r="AU129" s="306"/>
      <c r="AV129" s="306"/>
      <c r="AW129" s="306"/>
      <c r="AX129" s="306"/>
      <c r="AY129" s="306"/>
      <c r="AZ129" s="306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</row>
    <row r="130" spans="1:68" s="317" customFormat="1" ht="14.25">
      <c r="A130" s="307"/>
      <c r="B130" s="331">
        <v>5005026371</v>
      </c>
      <c r="C130" s="183" t="str">
        <f>IFERROR(IF(VLOOKUP($B130,[1]勘定科目!$A:$H,HLOOKUP($E$5,[1]勘定科目!$F$1:$H$2,2,0),0)="","",VLOOKUP($B130,[1]勘定科目!$A:$E,2,0)),"")</f>
        <v>消耗工具器具備品費（製）</v>
      </c>
      <c r="D130" s="233" t="str">
        <f>IF(C130="","",VLOOKUP($B130,[1]勘定科目!$A:$E,4,0))</f>
        <v>消耗工具器具備品費</v>
      </c>
      <c r="E130" s="311"/>
      <c r="F130" s="343"/>
      <c r="G130" s="345"/>
      <c r="H130" s="345"/>
      <c r="I130" s="345">
        <v>0</v>
      </c>
      <c r="J130" s="345"/>
      <c r="K130" s="345"/>
      <c r="L130" s="345"/>
      <c r="M130" s="345"/>
      <c r="N130" s="345"/>
      <c r="O130" s="345"/>
      <c r="P130" s="345"/>
      <c r="Q130" s="345"/>
      <c r="R130" s="345">
        <f t="shared" si="6"/>
        <v>0</v>
      </c>
      <c r="S130" s="336" t="s">
        <v>769</v>
      </c>
      <c r="T130" s="299"/>
      <c r="U130" s="300"/>
      <c r="V130" s="303"/>
      <c r="W130" s="302"/>
      <c r="X130" s="303"/>
      <c r="Y130" s="303"/>
      <c r="Z130" s="303"/>
      <c r="AA130" s="303"/>
      <c r="AB130" s="303"/>
      <c r="AC130" s="320"/>
      <c r="AD130" s="320"/>
      <c r="AE130" s="320"/>
      <c r="AF130" s="320"/>
      <c r="AG130" s="320"/>
      <c r="AH130" s="306"/>
      <c r="AI130" s="306"/>
      <c r="AJ130" s="306"/>
      <c r="AK130" s="306"/>
      <c r="AL130" s="306"/>
      <c r="AM130" s="306"/>
      <c r="AN130" s="306"/>
      <c r="AO130" s="306"/>
      <c r="AP130" s="306"/>
      <c r="AQ130" s="306"/>
      <c r="AR130" s="306"/>
      <c r="AS130" s="306"/>
      <c r="AT130" s="306"/>
      <c r="AU130" s="306"/>
      <c r="AV130" s="306"/>
      <c r="AW130" s="306"/>
      <c r="AX130" s="306"/>
      <c r="AY130" s="306"/>
      <c r="AZ130" s="306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</row>
    <row r="131" spans="1:68" s="317" customFormat="1" ht="14.25">
      <c r="A131" s="307"/>
      <c r="B131" s="331">
        <v>5005026371</v>
      </c>
      <c r="C131" s="183" t="str">
        <f>IFERROR(IF(VLOOKUP($B131,[1]勘定科目!$A:$H,HLOOKUP($E$5,[1]勘定科目!$F$1:$H$2,2,0),0)="","",VLOOKUP($B131,[1]勘定科目!$A:$E,2,0)),"")</f>
        <v>消耗工具器具備品費（製）</v>
      </c>
      <c r="D131" s="233" t="str">
        <f>IF(C131="","",VLOOKUP($B131,[1]勘定科目!$A:$E,4,0))</f>
        <v>消耗工具器具備品費</v>
      </c>
      <c r="E131" s="311"/>
      <c r="F131" s="343"/>
      <c r="G131" s="343"/>
      <c r="H131" s="343"/>
      <c r="I131" s="362"/>
      <c r="J131" s="343"/>
      <c r="K131" s="343"/>
      <c r="L131" s="343"/>
      <c r="M131" s="343"/>
      <c r="N131" s="343"/>
      <c r="O131" s="343"/>
      <c r="P131" s="343"/>
      <c r="Q131" s="343"/>
      <c r="R131" s="343">
        <f t="shared" si="6"/>
        <v>0</v>
      </c>
      <c r="S131" s="329" t="s">
        <v>770</v>
      </c>
      <c r="T131" s="299"/>
      <c r="U131" s="346"/>
      <c r="V131" s="332"/>
      <c r="W131" s="302"/>
      <c r="X131" s="303"/>
      <c r="Y131" s="303"/>
      <c r="Z131" s="303"/>
      <c r="AA131" s="303"/>
      <c r="AB131" s="303"/>
      <c r="AC131" s="320"/>
      <c r="AD131" s="320"/>
      <c r="AE131" s="320"/>
      <c r="AF131" s="320"/>
      <c r="AG131" s="320"/>
      <c r="AH131" s="306"/>
      <c r="AI131" s="306"/>
      <c r="AJ131" s="306"/>
      <c r="AK131" s="306"/>
      <c r="AL131" s="306"/>
      <c r="AM131" s="306"/>
      <c r="AN131" s="306"/>
      <c r="AO131" s="306"/>
      <c r="AP131" s="306"/>
      <c r="AQ131" s="306"/>
      <c r="AR131" s="306"/>
      <c r="AS131" s="306"/>
      <c r="AT131" s="306"/>
      <c r="AU131" s="306"/>
      <c r="AV131" s="306"/>
      <c r="AW131" s="306"/>
      <c r="AX131" s="306"/>
      <c r="AY131" s="306"/>
      <c r="AZ131" s="306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</row>
    <row r="132" spans="1:68" s="317" customFormat="1" ht="14.25">
      <c r="A132" s="307"/>
      <c r="B132" s="331">
        <v>5005026371</v>
      </c>
      <c r="C132" s="183" t="str">
        <f>IFERROR(IF(VLOOKUP($B132,[1]勘定科目!$A:$H,HLOOKUP($E$5,[1]勘定科目!$F$1:$H$2,2,0),0)="","",VLOOKUP($B132,[1]勘定科目!$A:$E,2,0)),"")</f>
        <v>消耗工具器具備品費（製）</v>
      </c>
      <c r="D132" s="233" t="str">
        <f>IF(C132="","",VLOOKUP($B132,[1]勘定科目!$A:$E,4,0))</f>
        <v>消耗工具器具備品費</v>
      </c>
      <c r="E132" s="311"/>
      <c r="F132" s="343">
        <v>350000</v>
      </c>
      <c r="G132" s="343"/>
      <c r="H132" s="343">
        <v>3550000</v>
      </c>
      <c r="I132" s="345"/>
      <c r="J132" s="343">
        <v>350000</v>
      </c>
      <c r="K132" s="343"/>
      <c r="L132" s="343">
        <v>350000</v>
      </c>
      <c r="M132" s="343"/>
      <c r="N132" s="343">
        <v>350000</v>
      </c>
      <c r="O132" s="343"/>
      <c r="P132" s="343">
        <v>350000</v>
      </c>
      <c r="Q132" s="343"/>
      <c r="R132" s="343">
        <f t="shared" si="6"/>
        <v>5300000</v>
      </c>
      <c r="S132" s="336" t="s">
        <v>771</v>
      </c>
      <c r="T132" s="299"/>
      <c r="U132" s="346"/>
      <c r="V132" s="332"/>
      <c r="W132" s="302"/>
      <c r="X132" s="303"/>
      <c r="Y132" s="303"/>
      <c r="Z132" s="303"/>
      <c r="AA132" s="303"/>
      <c r="AB132" s="303"/>
      <c r="AC132" s="320"/>
      <c r="AD132" s="320"/>
      <c r="AE132" s="320"/>
      <c r="AF132" s="320"/>
      <c r="AG132" s="320"/>
      <c r="AH132" s="306"/>
      <c r="AI132" s="306"/>
      <c r="AJ132" s="306"/>
      <c r="AK132" s="306"/>
      <c r="AL132" s="306"/>
      <c r="AM132" s="306"/>
      <c r="AN132" s="306"/>
      <c r="AO132" s="306"/>
      <c r="AP132" s="306"/>
      <c r="AQ132" s="306"/>
      <c r="AR132" s="306"/>
      <c r="AS132" s="306"/>
      <c r="AT132" s="306"/>
      <c r="AU132" s="306"/>
      <c r="AV132" s="306"/>
      <c r="AW132" s="306"/>
      <c r="AX132" s="306"/>
      <c r="AY132" s="306"/>
      <c r="AZ132" s="306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</row>
    <row r="133" spans="1:68" s="317" customFormat="1" ht="14.25">
      <c r="A133" s="307"/>
      <c r="B133" s="331"/>
      <c r="C133" s="183" t="str">
        <f>IFERROR(IF(VLOOKUP($B133,[1]勘定科目!$A:$H,HLOOKUP($E$5,[1]勘定科目!$F$1:$H$2,2,0),0)="","",VLOOKUP($B133,[1]勘定科目!$A:$E,2,0)),"")</f>
        <v/>
      </c>
      <c r="D133" s="233" t="str">
        <f>IF(C133="","",VLOOKUP($B133,[1]勘定科目!$A:$E,4,0))</f>
        <v/>
      </c>
      <c r="E133" s="311"/>
      <c r="F133" s="343"/>
      <c r="G133" s="345"/>
      <c r="H133" s="345"/>
      <c r="I133" s="345"/>
      <c r="J133" s="345"/>
      <c r="K133" s="345"/>
      <c r="L133" s="345"/>
      <c r="M133" s="345"/>
      <c r="N133" s="345"/>
      <c r="O133" s="345"/>
      <c r="P133" s="345"/>
      <c r="Q133" s="345"/>
      <c r="R133" s="345">
        <f t="shared" si="6"/>
        <v>0</v>
      </c>
      <c r="S133" s="329"/>
      <c r="T133" s="299"/>
      <c r="U133" s="346"/>
      <c r="V133" s="303"/>
      <c r="W133" s="302"/>
      <c r="X133" s="303"/>
      <c r="Y133" s="303"/>
      <c r="Z133" s="303"/>
      <c r="AA133" s="303"/>
      <c r="AB133" s="303"/>
      <c r="AC133" s="320"/>
      <c r="AD133" s="320"/>
      <c r="AE133" s="320"/>
      <c r="AF133" s="320"/>
      <c r="AG133" s="320"/>
      <c r="AH133" s="306"/>
      <c r="AI133" s="306"/>
      <c r="AJ133" s="306"/>
      <c r="AK133" s="306"/>
      <c r="AL133" s="306"/>
      <c r="AM133" s="306"/>
      <c r="AN133" s="306"/>
      <c r="AO133" s="306"/>
      <c r="AP133" s="306"/>
      <c r="AQ133" s="306"/>
      <c r="AR133" s="306"/>
      <c r="AS133" s="306"/>
      <c r="AT133" s="306"/>
      <c r="AU133" s="306"/>
      <c r="AV133" s="306"/>
      <c r="AW133" s="306"/>
      <c r="AX133" s="306"/>
      <c r="AY133" s="306"/>
      <c r="AZ133" s="306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</row>
    <row r="134" spans="1:68" s="317" customFormat="1" ht="14.25">
      <c r="A134" s="307"/>
      <c r="B134" s="331"/>
      <c r="C134" s="183" t="str">
        <f>IFERROR(IF(VLOOKUP($B134,[1]勘定科目!$A:$H,HLOOKUP($E$5,[1]勘定科目!$F$1:$H$2,2,0),0)="","",VLOOKUP($B134,[1]勘定科目!$A:$E,2,0)),"")</f>
        <v/>
      </c>
      <c r="D134" s="233" t="str">
        <f>IF(C134="","",VLOOKUP($B134,[1]勘定科目!$A:$E,4,0))</f>
        <v/>
      </c>
      <c r="E134" s="311"/>
      <c r="F134" s="343"/>
      <c r="G134" s="345"/>
      <c r="H134" s="345"/>
      <c r="I134" s="345"/>
      <c r="J134" s="345"/>
      <c r="K134" s="345"/>
      <c r="L134" s="345"/>
      <c r="M134" s="345"/>
      <c r="N134" s="345"/>
      <c r="O134" s="345"/>
      <c r="P134" s="345"/>
      <c r="Q134" s="345"/>
      <c r="R134" s="345">
        <f t="shared" si="6"/>
        <v>0</v>
      </c>
      <c r="S134" s="329" t="s">
        <v>772</v>
      </c>
      <c r="T134" s="299"/>
      <c r="U134" s="346"/>
      <c r="V134" s="303"/>
      <c r="W134" s="302"/>
      <c r="X134" s="303"/>
      <c r="Y134" s="303"/>
      <c r="Z134" s="303"/>
      <c r="AA134" s="303"/>
      <c r="AB134" s="303"/>
      <c r="AC134" s="320"/>
      <c r="AD134" s="320"/>
      <c r="AE134" s="320"/>
      <c r="AF134" s="320"/>
      <c r="AG134" s="320"/>
      <c r="AH134" s="306"/>
      <c r="AI134" s="306"/>
      <c r="AJ134" s="306"/>
      <c r="AK134" s="306"/>
      <c r="AL134" s="306"/>
      <c r="AM134" s="306"/>
      <c r="AN134" s="306"/>
      <c r="AO134" s="306"/>
      <c r="AP134" s="306"/>
      <c r="AQ134" s="306"/>
      <c r="AR134" s="306"/>
      <c r="AS134" s="306"/>
      <c r="AT134" s="306"/>
      <c r="AU134" s="306"/>
      <c r="AV134" s="306"/>
      <c r="AW134" s="306"/>
      <c r="AX134" s="306"/>
      <c r="AY134" s="306"/>
      <c r="AZ134" s="306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</row>
    <row r="135" spans="1:68" s="375" customFormat="1" ht="16.5">
      <c r="A135" s="363"/>
      <c r="B135" s="364">
        <v>5005136281</v>
      </c>
      <c r="C135" s="183" t="str">
        <f>IFERROR(IF(VLOOKUP($B135,[1]勘定科目!$A:$H,HLOOKUP($E$5,[1]勘定科目!$F$1:$H$2,2,0),0)="","",VLOOKUP($B135,[1]勘定科目!$A:$E,2,0)),"")</f>
        <v>通信費（製）</v>
      </c>
      <c r="D135" s="233" t="str">
        <f>IF(C135="","",VLOOKUP($B135,[1]勘定科目!$A:$E,4,0))</f>
        <v>通信費</v>
      </c>
      <c r="E135" s="365"/>
      <c r="F135" s="366">
        <v>50000</v>
      </c>
      <c r="G135" s="366">
        <v>50000</v>
      </c>
      <c r="H135" s="366">
        <v>50000</v>
      </c>
      <c r="I135" s="366">
        <v>50000</v>
      </c>
      <c r="J135" s="366">
        <v>50000</v>
      </c>
      <c r="K135" s="366">
        <v>50000</v>
      </c>
      <c r="L135" s="366">
        <v>50000</v>
      </c>
      <c r="M135" s="366">
        <v>50000</v>
      </c>
      <c r="N135" s="366">
        <v>50000</v>
      </c>
      <c r="O135" s="366">
        <v>50000</v>
      </c>
      <c r="P135" s="366">
        <v>50000</v>
      </c>
      <c r="Q135" s="366">
        <v>50000</v>
      </c>
      <c r="R135" s="366">
        <f t="shared" si="6"/>
        <v>600000</v>
      </c>
      <c r="S135" s="324" t="s">
        <v>773</v>
      </c>
      <c r="T135" s="367"/>
      <c r="U135" s="368"/>
      <c r="V135" s="368"/>
      <c r="W135" s="369"/>
      <c r="X135" s="370"/>
      <c r="Y135" s="371"/>
      <c r="Z135" s="371"/>
      <c r="AA135" s="371"/>
      <c r="AB135" s="371"/>
      <c r="AC135" s="372"/>
      <c r="AD135" s="372"/>
      <c r="AE135" s="372"/>
      <c r="AF135" s="372"/>
      <c r="AG135" s="372"/>
      <c r="AH135" s="373"/>
      <c r="AI135" s="373"/>
      <c r="AJ135" s="373"/>
      <c r="AK135" s="373"/>
      <c r="AL135" s="373"/>
      <c r="AM135" s="373"/>
      <c r="AN135" s="373"/>
      <c r="AO135" s="373"/>
      <c r="AP135" s="373"/>
      <c r="AQ135" s="373"/>
      <c r="AR135" s="373"/>
      <c r="AS135" s="373"/>
      <c r="AT135" s="373"/>
      <c r="AU135" s="373"/>
      <c r="AV135" s="373"/>
      <c r="AW135" s="373"/>
      <c r="AX135" s="373"/>
      <c r="AY135" s="373"/>
      <c r="AZ135" s="373"/>
      <c r="BA135" s="374"/>
      <c r="BB135" s="374"/>
      <c r="BC135" s="374"/>
      <c r="BD135" s="374"/>
      <c r="BE135" s="374"/>
      <c r="BF135" s="374"/>
      <c r="BG135" s="374"/>
      <c r="BH135" s="374"/>
      <c r="BI135" s="374"/>
      <c r="BJ135" s="374"/>
      <c r="BK135" s="374"/>
      <c r="BL135" s="374"/>
      <c r="BM135" s="374"/>
      <c r="BN135" s="374"/>
      <c r="BO135" s="374"/>
      <c r="BP135" s="374"/>
    </row>
    <row r="136" spans="1:68" s="317" customFormat="1" ht="14.25">
      <c r="A136" s="307"/>
      <c r="B136" s="331">
        <v>5005136291</v>
      </c>
      <c r="C136" s="183" t="str">
        <f>IFERROR(IF(VLOOKUP($B136,[1]勘定科目!$A:$H,HLOOKUP($E$5,[1]勘定科目!$F$1:$H$2,2,0),0)="","",VLOOKUP($B136,[1]勘定科目!$A:$E,2,0)),"")</f>
        <v>郵送代（製）</v>
      </c>
      <c r="D136" s="233" t="str">
        <f>IF(C136="","",VLOOKUP($B136,[1]勘定科目!$A:$E,4,0))</f>
        <v>通信費</v>
      </c>
      <c r="E136" s="311"/>
      <c r="F136" s="384">
        <v>50000</v>
      </c>
      <c r="G136" s="385">
        <v>50000</v>
      </c>
      <c r="H136" s="385">
        <v>50000</v>
      </c>
      <c r="I136" s="385">
        <v>50000</v>
      </c>
      <c r="J136" s="385">
        <v>50000</v>
      </c>
      <c r="K136" s="385"/>
      <c r="L136" s="385"/>
      <c r="M136" s="385">
        <v>50000</v>
      </c>
      <c r="N136" s="385"/>
      <c r="O136" s="385"/>
      <c r="P136" s="385">
        <v>50000</v>
      </c>
      <c r="Q136" s="385"/>
      <c r="R136" s="385">
        <f t="shared" si="6"/>
        <v>350000</v>
      </c>
      <c r="S136" s="329" t="s">
        <v>774</v>
      </c>
      <c r="T136" s="299"/>
      <c r="U136" s="338"/>
      <c r="V136" s="349"/>
      <c r="Y136" s="303"/>
      <c r="Z136" s="303"/>
      <c r="AA136" s="303"/>
      <c r="AB136" s="303"/>
      <c r="AC136" s="320"/>
      <c r="AD136" s="320"/>
      <c r="AE136" s="320"/>
      <c r="AF136" s="320"/>
      <c r="AG136" s="320"/>
      <c r="AH136" s="306"/>
      <c r="AI136" s="306"/>
      <c r="AJ136" s="306"/>
      <c r="AK136" s="306"/>
      <c r="AL136" s="306"/>
      <c r="AM136" s="306"/>
      <c r="AN136" s="306"/>
      <c r="AO136" s="306"/>
      <c r="AP136" s="306"/>
      <c r="AQ136" s="306"/>
      <c r="AR136" s="306"/>
      <c r="AS136" s="306"/>
      <c r="AT136" s="306"/>
      <c r="AU136" s="306"/>
      <c r="AV136" s="306"/>
      <c r="AW136" s="306"/>
      <c r="AX136" s="306"/>
      <c r="AY136" s="306"/>
      <c r="AZ136" s="30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</row>
    <row r="137" spans="1:68" s="317" customFormat="1" ht="14.25">
      <c r="A137" s="307"/>
      <c r="B137" s="331">
        <v>5005076289</v>
      </c>
      <c r="C137" s="183" t="str">
        <f>IFERROR(IF(VLOOKUP($B137,[1]勘定科目!$A:$H,HLOOKUP($E$5,[1]勘定科目!$F$1:$H$2,2,0),0)="","",VLOOKUP($B137,[1]勘定科目!$A:$E,2,0)),"")</f>
        <v>クーリエ費用（製）</v>
      </c>
      <c r="D137" s="233" t="str">
        <f>IF(C137="","",VLOOKUP($B137,[1]勘定科目!$A:$E,4,0))</f>
        <v>荷造運賃</v>
      </c>
      <c r="E137" s="311"/>
      <c r="F137" s="385">
        <v>12000000</v>
      </c>
      <c r="G137" s="385">
        <v>12000000</v>
      </c>
      <c r="H137" s="385">
        <v>12000000</v>
      </c>
      <c r="I137" s="385">
        <v>12000000</v>
      </c>
      <c r="J137" s="385">
        <v>12000000</v>
      </c>
      <c r="K137" s="385">
        <v>12000000</v>
      </c>
      <c r="L137" s="385">
        <v>12000000</v>
      </c>
      <c r="M137" s="385">
        <v>12000000</v>
      </c>
      <c r="N137" s="385">
        <v>12000000</v>
      </c>
      <c r="O137" s="385">
        <v>12000000</v>
      </c>
      <c r="P137" s="385">
        <v>12000000</v>
      </c>
      <c r="Q137" s="385">
        <v>12000000</v>
      </c>
      <c r="R137" s="385">
        <f t="shared" si="6"/>
        <v>144000000</v>
      </c>
      <c r="S137" s="329" t="s">
        <v>775</v>
      </c>
      <c r="T137" s="299"/>
      <c r="U137" s="338"/>
      <c r="V137" s="349"/>
      <c r="Y137" s="386"/>
      <c r="Z137" s="303"/>
      <c r="AA137" s="303"/>
      <c r="AB137" s="303"/>
      <c r="AC137" s="320"/>
      <c r="AD137" s="320"/>
      <c r="AE137" s="320"/>
      <c r="AF137" s="320"/>
      <c r="AG137" s="320"/>
      <c r="AH137" s="306"/>
      <c r="AI137" s="306"/>
      <c r="AJ137" s="306"/>
      <c r="AK137" s="306"/>
      <c r="AL137" s="306"/>
      <c r="AM137" s="306"/>
      <c r="AN137" s="306"/>
      <c r="AO137" s="306"/>
      <c r="AP137" s="306"/>
      <c r="AQ137" s="306"/>
      <c r="AR137" s="306"/>
      <c r="AS137" s="306"/>
      <c r="AT137" s="306"/>
      <c r="AU137" s="306"/>
      <c r="AV137" s="306"/>
      <c r="AW137" s="306"/>
      <c r="AX137" s="306"/>
      <c r="AY137" s="306"/>
      <c r="AZ137" s="306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</row>
    <row r="138" spans="1:68" s="317" customFormat="1" ht="14.25">
      <c r="A138" s="307"/>
      <c r="B138" s="331">
        <v>9114120009</v>
      </c>
      <c r="C138" s="183" t="str">
        <f>IFERROR(IF(VLOOKUP($B138,[1]勘定科目!$A:$H,HLOOKUP($E$5,[1]勘定科目!$F$1:$H$2,2,0),0)="","",VLOOKUP($B138,[1]勘定科目!$A:$E,2,0)),"")</f>
        <v>社内金利（在庫）</v>
      </c>
      <c r="D138" s="233" t="str">
        <f>IF(C138="","",VLOOKUP($B138,[1]勘定科目!$A:$E,4,0))</f>
        <v>在庫金利</v>
      </c>
      <c r="E138" s="311"/>
      <c r="F138" s="356"/>
      <c r="G138" s="356"/>
      <c r="H138" s="356"/>
      <c r="I138" s="356"/>
      <c r="J138" s="356"/>
      <c r="K138" s="356"/>
      <c r="L138" s="356"/>
      <c r="M138" s="356"/>
      <c r="N138" s="356"/>
      <c r="O138" s="356"/>
      <c r="P138" s="356"/>
      <c r="Q138" s="356"/>
      <c r="R138" s="356">
        <f t="shared" si="6"/>
        <v>0</v>
      </c>
      <c r="S138" s="387" t="s">
        <v>121</v>
      </c>
      <c r="T138" s="299"/>
      <c r="U138" s="348"/>
      <c r="V138" s="349"/>
      <c r="X138" s="303"/>
      <c r="Y138" s="303"/>
      <c r="Z138" s="303"/>
      <c r="AA138" s="303"/>
      <c r="AB138" s="303"/>
      <c r="AC138" s="320"/>
      <c r="AD138" s="320"/>
      <c r="AE138" s="320"/>
      <c r="AF138" s="320"/>
      <c r="AG138" s="320"/>
      <c r="AH138" s="306"/>
      <c r="AI138" s="306"/>
      <c r="AJ138" s="306"/>
      <c r="AK138" s="306"/>
      <c r="AL138" s="306"/>
      <c r="AM138" s="306"/>
      <c r="AN138" s="306"/>
      <c r="AO138" s="306"/>
      <c r="AP138" s="306"/>
      <c r="AQ138" s="306"/>
      <c r="AR138" s="306"/>
      <c r="AS138" s="306"/>
      <c r="AT138" s="306"/>
      <c r="AU138" s="306"/>
      <c r="AV138" s="306"/>
      <c r="AW138" s="306"/>
      <c r="AX138" s="306"/>
      <c r="AY138" s="306"/>
      <c r="AZ138" s="306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</row>
    <row r="139" spans="1:68" s="317" customFormat="1" ht="14.25">
      <c r="A139" s="307"/>
      <c r="B139" s="331">
        <v>5005246283</v>
      </c>
      <c r="C139" s="183" t="str">
        <f>IFERROR(IF(VLOOKUP($B139,[1]勘定科目!$A:$H,HLOOKUP($E$5,[1]勘定科目!$F$1:$H$2,2,0),0)="","",VLOOKUP($B139,[1]勘定科目!$A:$E,2,0)),"")</f>
        <v>ライセンス料（製）</v>
      </c>
      <c r="D139" s="233" t="str">
        <f>IF(C139="","",VLOOKUP($B139,[1]勘定科目!$A:$E,4,0))</f>
        <v>図書及び事務費</v>
      </c>
      <c r="E139" s="311"/>
      <c r="F139" s="385"/>
      <c r="G139" s="385"/>
      <c r="H139" s="385"/>
      <c r="I139" s="385"/>
      <c r="J139" s="385"/>
      <c r="K139" s="385"/>
      <c r="L139" s="385"/>
      <c r="M139" s="385"/>
      <c r="N139" s="385"/>
      <c r="O139" s="385"/>
      <c r="P139" s="385"/>
      <c r="Q139" s="385"/>
      <c r="R139" s="385">
        <f t="shared" si="6"/>
        <v>0</v>
      </c>
      <c r="S139" s="387" t="s">
        <v>776</v>
      </c>
      <c r="T139" s="299"/>
      <c r="U139" s="348"/>
      <c r="V139" s="349"/>
      <c r="X139" s="303"/>
      <c r="Y139" s="303"/>
      <c r="Z139" s="303"/>
      <c r="AA139" s="303"/>
      <c r="AB139" s="303"/>
      <c r="AC139" s="320"/>
      <c r="AD139" s="320"/>
      <c r="AE139" s="320"/>
      <c r="AF139" s="320"/>
      <c r="AG139" s="320"/>
      <c r="AH139" s="306"/>
      <c r="AI139" s="306"/>
      <c r="AJ139" s="306"/>
      <c r="AK139" s="306"/>
      <c r="AL139" s="306"/>
      <c r="AM139" s="306"/>
      <c r="AN139" s="306"/>
      <c r="AO139" s="306"/>
      <c r="AP139" s="306"/>
      <c r="AQ139" s="306"/>
      <c r="AR139" s="306"/>
      <c r="AS139" s="306"/>
      <c r="AT139" s="306"/>
      <c r="AU139" s="306"/>
      <c r="AV139" s="306"/>
      <c r="AW139" s="306"/>
      <c r="AX139" s="306"/>
      <c r="AY139" s="306"/>
      <c r="AZ139" s="306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</row>
    <row r="140" spans="1:68" s="317" customFormat="1" ht="14.25">
      <c r="A140" s="307"/>
      <c r="B140" s="388">
        <v>5005046282</v>
      </c>
      <c r="C140" s="183" t="str">
        <f>IFERROR(IF(VLOOKUP($B140,[1]勘定科目!$A:$H,HLOOKUP($E$5,[1]勘定科目!$F$1:$H$2,2,0),0)="","",VLOOKUP($B140,[1]勘定科目!$A:$E,2,0)),"")</f>
        <v>その他修繕費（製）</v>
      </c>
      <c r="D140" s="233" t="str">
        <f>IF(C140="","",VLOOKUP($B140,[1]勘定科目!$A:$E,4,0))</f>
        <v>修繕費</v>
      </c>
      <c r="E140" s="311"/>
      <c r="F140" s="343"/>
      <c r="G140" s="377">
        <v>30000000</v>
      </c>
      <c r="H140" s="343"/>
      <c r="I140" s="343"/>
      <c r="J140" s="343"/>
      <c r="K140" s="343"/>
      <c r="L140" s="343"/>
      <c r="M140" s="343"/>
      <c r="N140" s="343"/>
      <c r="O140" s="343"/>
      <c r="P140" s="343"/>
      <c r="Q140" s="343"/>
      <c r="R140" s="343">
        <f t="shared" si="6"/>
        <v>30000000</v>
      </c>
      <c r="S140" s="391" t="s">
        <v>777</v>
      </c>
      <c r="T140" s="299"/>
      <c r="U140" s="346"/>
      <c r="V140" s="332"/>
      <c r="W140" s="302"/>
      <c r="X140" s="303"/>
      <c r="Y140" s="303"/>
      <c r="Z140" s="303"/>
      <c r="AA140" s="303"/>
      <c r="AB140" s="303"/>
      <c r="AC140" s="320"/>
      <c r="AD140" s="320"/>
      <c r="AE140" s="320"/>
      <c r="AF140" s="320"/>
      <c r="AG140" s="320"/>
      <c r="AH140" s="306"/>
      <c r="AI140" s="306"/>
      <c r="AJ140" s="306"/>
      <c r="AK140" s="306"/>
      <c r="AL140" s="306"/>
      <c r="AM140" s="306"/>
      <c r="AN140" s="306"/>
      <c r="AO140" s="306"/>
      <c r="AP140" s="306"/>
      <c r="AQ140" s="306"/>
      <c r="AR140" s="306"/>
      <c r="AS140" s="306"/>
      <c r="AT140" s="306"/>
      <c r="AU140" s="306"/>
      <c r="AV140" s="306"/>
      <c r="AW140" s="306"/>
      <c r="AX140" s="306"/>
      <c r="AY140" s="306"/>
      <c r="AZ140" s="306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</row>
    <row r="141" spans="1:68" s="317" customFormat="1" ht="14.25">
      <c r="A141" s="307"/>
      <c r="B141" s="392"/>
      <c r="C141" s="183" t="str">
        <f>IFERROR(IF(VLOOKUP($B141,[1]勘定科目!$A:$H,HLOOKUP($E$5,[1]勘定科目!$F$1:$H$2,2,0),0)="","",VLOOKUP($B141,[1]勘定科目!$A:$E,2,0)),"")</f>
        <v/>
      </c>
      <c r="D141" s="233" t="str">
        <f>IF(C141="","",VLOOKUP($B141,[1]勘定科目!$A:$E,4,0))</f>
        <v/>
      </c>
      <c r="E141" s="311"/>
      <c r="F141" s="343"/>
      <c r="G141" s="377"/>
      <c r="H141" s="343"/>
      <c r="I141" s="343"/>
      <c r="J141" s="343"/>
      <c r="K141" s="343"/>
      <c r="L141" s="343"/>
      <c r="M141" s="343"/>
      <c r="N141" s="343"/>
      <c r="O141" s="343"/>
      <c r="P141" s="343"/>
      <c r="Q141" s="343"/>
      <c r="R141" s="343">
        <f t="shared" si="6"/>
        <v>0</v>
      </c>
      <c r="S141" s="391" t="s">
        <v>778</v>
      </c>
      <c r="T141" s="299"/>
      <c r="U141" s="346"/>
      <c r="V141" s="332"/>
      <c r="W141" s="302"/>
      <c r="X141" s="303"/>
      <c r="Y141" s="303"/>
      <c r="Z141" s="303"/>
      <c r="AA141" s="303"/>
      <c r="AB141" s="303"/>
      <c r="AC141" s="320"/>
      <c r="AD141" s="320"/>
      <c r="AE141" s="320"/>
      <c r="AF141" s="320"/>
      <c r="AG141" s="320"/>
      <c r="AH141" s="306"/>
      <c r="AI141" s="306"/>
      <c r="AJ141" s="306"/>
      <c r="AK141" s="306"/>
      <c r="AL141" s="306"/>
      <c r="AM141" s="306"/>
      <c r="AN141" s="306"/>
      <c r="AO141" s="306"/>
      <c r="AP141" s="306"/>
      <c r="AQ141" s="306"/>
      <c r="AR141" s="306"/>
      <c r="AS141" s="306"/>
      <c r="AT141" s="306"/>
      <c r="AU141" s="306"/>
      <c r="AV141" s="306"/>
      <c r="AW141" s="306"/>
      <c r="AX141" s="306"/>
      <c r="AY141" s="306"/>
      <c r="AZ141" s="306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</row>
    <row r="142" spans="1:68" s="375" customFormat="1" ht="16.5">
      <c r="A142" s="363"/>
      <c r="B142" s="364">
        <v>5005246286</v>
      </c>
      <c r="C142" s="183" t="str">
        <f>IFERROR(IF(VLOOKUP($B142,[1]勘定科目!$A:$H,HLOOKUP($E$5,[1]勘定科目!$F$1:$H$2,2,0),0)="","",VLOOKUP($B142,[1]勘定科目!$A:$E,2,0)),"")</f>
        <v>その他手数料（製）</v>
      </c>
      <c r="D142" s="233" t="str">
        <f>IF(C142="","",VLOOKUP($B142,[1]勘定科目!$A:$E,4,0))</f>
        <v>手数料</v>
      </c>
      <c r="E142" s="365"/>
      <c r="F142" s="366"/>
      <c r="G142" s="366"/>
      <c r="H142" s="366"/>
      <c r="I142" s="366"/>
      <c r="J142" s="366"/>
      <c r="K142" s="366"/>
      <c r="L142" s="366"/>
      <c r="M142" s="366"/>
      <c r="N142" s="366"/>
      <c r="O142" s="366"/>
      <c r="P142" s="366"/>
      <c r="Q142" s="366"/>
      <c r="R142" s="366">
        <f t="shared" si="6"/>
        <v>0</v>
      </c>
      <c r="S142" s="324" t="s">
        <v>779</v>
      </c>
      <c r="T142" s="367"/>
      <c r="U142" s="368"/>
      <c r="V142" s="368"/>
      <c r="W142" s="369"/>
      <c r="X142" s="370"/>
      <c r="Y142" s="371"/>
      <c r="Z142" s="371"/>
      <c r="AA142" s="371"/>
      <c r="AB142" s="371"/>
      <c r="AC142" s="372"/>
      <c r="AD142" s="372"/>
      <c r="AE142" s="372"/>
      <c r="AF142" s="372"/>
      <c r="AG142" s="372"/>
      <c r="AH142" s="373"/>
      <c r="AI142" s="373"/>
      <c r="AJ142" s="373"/>
      <c r="AK142" s="373"/>
      <c r="AL142" s="373"/>
      <c r="AM142" s="373"/>
      <c r="AN142" s="373"/>
      <c r="AO142" s="373"/>
      <c r="AP142" s="373"/>
      <c r="AQ142" s="373"/>
      <c r="AR142" s="373"/>
      <c r="AS142" s="373"/>
      <c r="AT142" s="373"/>
      <c r="AU142" s="373"/>
      <c r="AV142" s="373"/>
      <c r="AW142" s="373"/>
      <c r="AX142" s="373"/>
      <c r="AY142" s="373"/>
      <c r="AZ142" s="373"/>
      <c r="BA142" s="374"/>
      <c r="BB142" s="374"/>
      <c r="BC142" s="374"/>
      <c r="BD142" s="374"/>
      <c r="BE142" s="374"/>
      <c r="BF142" s="374"/>
      <c r="BG142" s="374"/>
      <c r="BH142" s="374"/>
      <c r="BI142" s="374"/>
      <c r="BJ142" s="374"/>
      <c r="BK142" s="374"/>
      <c r="BL142" s="374"/>
      <c r="BM142" s="374"/>
      <c r="BN142" s="374"/>
      <c r="BO142" s="374"/>
      <c r="BP142" s="374"/>
    </row>
    <row r="143" spans="1:68" s="317" customFormat="1" ht="14.25">
      <c r="A143" s="307"/>
      <c r="B143" s="331">
        <v>5005246286</v>
      </c>
      <c r="C143" s="183" t="str">
        <f>IFERROR(IF(VLOOKUP($B143,[1]勘定科目!$A:$H,HLOOKUP($E$5,[1]勘定科目!$F$1:$H$2,2,0),0)="","",VLOOKUP($B143,[1]勘定科目!$A:$E,2,0)),"")</f>
        <v>その他手数料（製）</v>
      </c>
      <c r="D143" s="233" t="str">
        <f>IF(C143="","",VLOOKUP($B143,[1]勘定科目!$A:$E,4,0))</f>
        <v>手数料</v>
      </c>
      <c r="E143" s="321"/>
      <c r="F143" s="345"/>
      <c r="G143" s="345"/>
      <c r="H143" s="345"/>
      <c r="I143" s="345"/>
      <c r="J143" s="345"/>
      <c r="K143" s="345"/>
      <c r="L143" s="345"/>
      <c r="M143" s="356"/>
      <c r="N143" s="356"/>
      <c r="O143" s="345"/>
      <c r="P143" s="345"/>
      <c r="Q143" s="345"/>
      <c r="R143" s="345">
        <f t="shared" si="6"/>
        <v>0</v>
      </c>
      <c r="S143" s="378" t="s">
        <v>860</v>
      </c>
      <c r="T143" s="299"/>
      <c r="U143" s="341"/>
      <c r="V143" s="303"/>
      <c r="W143" s="302"/>
      <c r="X143" s="303"/>
      <c r="Y143" s="303"/>
      <c r="Z143" s="303"/>
      <c r="AA143" s="303"/>
      <c r="AB143" s="303"/>
      <c r="AC143" s="320"/>
      <c r="AD143" s="320"/>
      <c r="AE143" s="320"/>
      <c r="AF143" s="320"/>
      <c r="AG143" s="320"/>
      <c r="AH143" s="306"/>
      <c r="AI143" s="306"/>
      <c r="AJ143" s="306"/>
      <c r="AK143" s="306"/>
      <c r="AL143" s="306"/>
      <c r="AM143" s="306"/>
      <c r="AN143" s="306"/>
      <c r="AO143" s="306"/>
      <c r="AP143" s="306"/>
      <c r="AQ143" s="306"/>
      <c r="AR143" s="306"/>
      <c r="AS143" s="306"/>
      <c r="AT143" s="306"/>
      <c r="AU143" s="306"/>
      <c r="AV143" s="306"/>
      <c r="AW143" s="306"/>
      <c r="AX143" s="306"/>
      <c r="AY143" s="306"/>
      <c r="AZ143" s="306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</row>
    <row r="144" spans="1:68" s="317" customFormat="1" ht="14.25">
      <c r="A144" s="307"/>
      <c r="B144" s="331">
        <v>5005246286</v>
      </c>
      <c r="C144" s="183" t="str">
        <f>IFERROR(IF(VLOOKUP($B144,[1]勘定科目!$A:$H,HLOOKUP($E$5,[1]勘定科目!$F$1:$H$2,2,0),0)="","",VLOOKUP($B144,[1]勘定科目!$A:$E,2,0)),"")</f>
        <v>その他手数料（製）</v>
      </c>
      <c r="D144" s="233" t="str">
        <f>IF(C144="","",VLOOKUP($B144,[1]勘定科目!$A:$E,4,0))</f>
        <v>手数料</v>
      </c>
      <c r="E144" s="321"/>
      <c r="F144" s="345"/>
      <c r="G144" s="345"/>
      <c r="H144" s="345"/>
      <c r="I144" s="345"/>
      <c r="J144" s="345"/>
      <c r="K144" s="345"/>
      <c r="L144" s="345"/>
      <c r="M144" s="356"/>
      <c r="N144" s="356"/>
      <c r="O144" s="345"/>
      <c r="P144" s="345"/>
      <c r="Q144" s="345"/>
      <c r="R144" s="345">
        <f t="shared" si="6"/>
        <v>0</v>
      </c>
      <c r="S144" s="378" t="s">
        <v>861</v>
      </c>
      <c r="T144" s="299"/>
      <c r="U144" s="341"/>
      <c r="V144" s="303"/>
      <c r="W144" s="302"/>
      <c r="X144" s="303"/>
      <c r="Y144" s="303"/>
      <c r="Z144" s="303"/>
      <c r="AA144" s="303"/>
      <c r="AB144" s="303"/>
      <c r="AC144" s="320"/>
      <c r="AD144" s="320"/>
      <c r="AE144" s="320"/>
      <c r="AF144" s="320"/>
      <c r="AG144" s="320"/>
      <c r="AH144" s="306"/>
      <c r="AI144" s="306"/>
      <c r="AJ144" s="306"/>
      <c r="AK144" s="306"/>
      <c r="AL144" s="306"/>
      <c r="AM144" s="306"/>
      <c r="AN144" s="306"/>
      <c r="AO144" s="306"/>
      <c r="AP144" s="306"/>
      <c r="AQ144" s="306"/>
      <c r="AR144" s="306"/>
      <c r="AS144" s="306"/>
      <c r="AT144" s="306"/>
      <c r="AU144" s="306"/>
      <c r="AV144" s="306"/>
      <c r="AW144" s="306"/>
      <c r="AX144" s="306"/>
      <c r="AY144" s="306"/>
      <c r="AZ144" s="306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</row>
    <row r="145" spans="1:68" s="317" customFormat="1" ht="14.25">
      <c r="A145" s="307"/>
      <c r="B145" s="331">
        <v>5005246286</v>
      </c>
      <c r="C145" s="183" t="str">
        <f>IFERROR(IF(VLOOKUP($B145,[1]勘定科目!$A:$H,HLOOKUP($E$5,[1]勘定科目!$F$1:$H$2,2,0),0)="","",VLOOKUP($B145,[1]勘定科目!$A:$E,2,0)),"")</f>
        <v>その他手数料（製）</v>
      </c>
      <c r="D145" s="233" t="str">
        <f>IF(C145="","",VLOOKUP($B145,[1]勘定科目!$A:$E,4,0))</f>
        <v>手数料</v>
      </c>
      <c r="E145" s="321"/>
      <c r="F145" s="345"/>
      <c r="G145" s="345"/>
      <c r="H145" s="345"/>
      <c r="I145" s="345"/>
      <c r="J145" s="345"/>
      <c r="K145" s="345"/>
      <c r="L145" s="345"/>
      <c r="M145" s="356"/>
      <c r="N145" s="356"/>
      <c r="O145" s="345"/>
      <c r="P145" s="345"/>
      <c r="Q145" s="345"/>
      <c r="R145" s="345">
        <f t="shared" si="6"/>
        <v>0</v>
      </c>
      <c r="S145" s="378" t="s">
        <v>862</v>
      </c>
      <c r="T145" s="299"/>
      <c r="U145" s="341"/>
      <c r="V145" s="303"/>
      <c r="W145" s="302"/>
      <c r="X145" s="303"/>
      <c r="Y145" s="303"/>
      <c r="Z145" s="303"/>
      <c r="AA145" s="303"/>
      <c r="AB145" s="303"/>
      <c r="AC145" s="320"/>
      <c r="AD145" s="320"/>
      <c r="AE145" s="320"/>
      <c r="AF145" s="320"/>
      <c r="AG145" s="320"/>
      <c r="AH145" s="306"/>
      <c r="AI145" s="306"/>
      <c r="AJ145" s="306"/>
      <c r="AK145" s="306"/>
      <c r="AL145" s="306"/>
      <c r="AM145" s="306"/>
      <c r="AN145" s="306"/>
      <c r="AO145" s="306"/>
      <c r="AP145" s="306"/>
      <c r="AQ145" s="306"/>
      <c r="AR145" s="306"/>
      <c r="AS145" s="306"/>
      <c r="AT145" s="306"/>
      <c r="AU145" s="306"/>
      <c r="AV145" s="306"/>
      <c r="AW145" s="306"/>
      <c r="AX145" s="306"/>
      <c r="AY145" s="306"/>
      <c r="AZ145" s="306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</row>
    <row r="146" spans="1:68" s="317" customFormat="1" ht="14.25">
      <c r="A146" s="307"/>
      <c r="B146" s="331">
        <v>5005246286</v>
      </c>
      <c r="C146" s="183" t="str">
        <f>IFERROR(IF(VLOOKUP($B146,[1]勘定科目!$A:$H,HLOOKUP($E$5,[1]勘定科目!$F$1:$H$2,2,0),0)="","",VLOOKUP($B146,[1]勘定科目!$A:$E,2,0)),"")</f>
        <v>その他手数料（製）</v>
      </c>
      <c r="D146" s="233" t="str">
        <f>IF(C146="","",VLOOKUP($B146,[1]勘定科目!$A:$E,4,0))</f>
        <v>手数料</v>
      </c>
      <c r="E146" s="321"/>
      <c r="F146" s="345"/>
      <c r="G146" s="345"/>
      <c r="H146" s="345"/>
      <c r="I146" s="345"/>
      <c r="J146" s="345"/>
      <c r="K146" s="345"/>
      <c r="L146" s="345"/>
      <c r="M146" s="356"/>
      <c r="N146" s="356"/>
      <c r="O146" s="345"/>
      <c r="P146" s="345"/>
      <c r="Q146" s="345"/>
      <c r="R146" s="345">
        <f t="shared" si="6"/>
        <v>0</v>
      </c>
      <c r="S146" s="378" t="s">
        <v>863</v>
      </c>
      <c r="T146" s="299"/>
      <c r="U146" s="341"/>
      <c r="V146" s="303"/>
      <c r="W146" s="302"/>
      <c r="X146" s="303"/>
      <c r="Y146" s="303"/>
      <c r="Z146" s="303"/>
      <c r="AA146" s="303"/>
      <c r="AB146" s="303"/>
      <c r="AC146" s="320"/>
      <c r="AD146" s="320"/>
      <c r="AE146" s="320"/>
      <c r="AF146" s="320"/>
      <c r="AG146" s="320"/>
      <c r="AH146" s="306"/>
      <c r="AI146" s="306"/>
      <c r="AJ146" s="306"/>
      <c r="AK146" s="306"/>
      <c r="AL146" s="306"/>
      <c r="AM146" s="306"/>
      <c r="AN146" s="306"/>
      <c r="AO146" s="306"/>
      <c r="AP146" s="306"/>
      <c r="AQ146" s="306"/>
      <c r="AR146" s="306"/>
      <c r="AS146" s="306"/>
      <c r="AT146" s="306"/>
      <c r="AU146" s="306"/>
      <c r="AV146" s="306"/>
      <c r="AW146" s="306"/>
      <c r="AX146" s="306"/>
      <c r="AY146" s="306"/>
      <c r="AZ146" s="30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</row>
    <row r="147" spans="1:68" s="317" customFormat="1" ht="14.25">
      <c r="A147" s="307"/>
      <c r="B147" s="331">
        <v>5005246286</v>
      </c>
      <c r="C147" s="183" t="str">
        <f>IFERROR(IF(VLOOKUP($B147,[1]勘定科目!$A:$H,HLOOKUP($E$5,[1]勘定科目!$F$1:$H$2,2,0),0)="","",VLOOKUP($B147,[1]勘定科目!$A:$E,2,0)),"")</f>
        <v>その他手数料（製）</v>
      </c>
      <c r="D147" s="233" t="str">
        <f>IF(C147="","",VLOOKUP($B147,[1]勘定科目!$A:$E,4,0))</f>
        <v>手数料</v>
      </c>
      <c r="E147" s="321"/>
      <c r="F147" s="345"/>
      <c r="G147" s="345"/>
      <c r="H147" s="345"/>
      <c r="I147" s="345"/>
      <c r="J147" s="345"/>
      <c r="K147" s="345"/>
      <c r="L147" s="345"/>
      <c r="M147" s="356"/>
      <c r="N147" s="356"/>
      <c r="O147" s="345"/>
      <c r="P147" s="345"/>
      <c r="Q147" s="345"/>
      <c r="R147" s="345">
        <f t="shared" si="6"/>
        <v>0</v>
      </c>
      <c r="S147" s="378" t="s">
        <v>864</v>
      </c>
      <c r="T147" s="299"/>
      <c r="U147" s="341"/>
      <c r="V147" s="303"/>
      <c r="W147" s="302"/>
      <c r="X147" s="303"/>
      <c r="Y147" s="303"/>
      <c r="Z147" s="303"/>
      <c r="AA147" s="303"/>
      <c r="AB147" s="303"/>
      <c r="AC147" s="320"/>
      <c r="AD147" s="320"/>
      <c r="AE147" s="320"/>
      <c r="AF147" s="320"/>
      <c r="AG147" s="320"/>
      <c r="AH147" s="306"/>
      <c r="AI147" s="306"/>
      <c r="AJ147" s="306"/>
      <c r="AK147" s="306"/>
      <c r="AL147" s="306"/>
      <c r="AM147" s="306"/>
      <c r="AN147" s="306"/>
      <c r="AO147" s="306"/>
      <c r="AP147" s="306"/>
      <c r="AQ147" s="306"/>
      <c r="AR147" s="306"/>
      <c r="AS147" s="306"/>
      <c r="AT147" s="306"/>
      <c r="AU147" s="306"/>
      <c r="AV147" s="306"/>
      <c r="AW147" s="306"/>
      <c r="AX147" s="306"/>
      <c r="AY147" s="306"/>
      <c r="AZ147" s="306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</row>
    <row r="148" spans="1:68" s="317" customFormat="1" ht="14.25">
      <c r="A148" s="307"/>
      <c r="B148" s="331"/>
      <c r="C148" s="183" t="str">
        <f>IFERROR(IF(VLOOKUP($B148,[1]勘定科目!$A:$H,HLOOKUP($E$5,[1]勘定科目!$F$1:$H$2,2,0),0)="","",VLOOKUP($B148,[1]勘定科目!$A:$E,2,0)),"")</f>
        <v/>
      </c>
      <c r="D148" s="233" t="str">
        <f>IF(C148="","",VLOOKUP($B148,[1]勘定科目!$A:$E,4,0))</f>
        <v/>
      </c>
      <c r="E148" s="311"/>
      <c r="F148" s="345"/>
      <c r="G148" s="345"/>
      <c r="H148" s="345"/>
      <c r="I148" s="345"/>
      <c r="J148" s="345"/>
      <c r="K148" s="345"/>
      <c r="L148" s="345"/>
      <c r="M148" s="356"/>
      <c r="N148" s="356"/>
      <c r="O148" s="345"/>
      <c r="P148" s="345"/>
      <c r="Q148" s="345"/>
      <c r="R148" s="345">
        <f t="shared" si="6"/>
        <v>0</v>
      </c>
      <c r="S148" s="378"/>
      <c r="T148" s="299"/>
      <c r="U148" s="341"/>
      <c r="V148" s="303"/>
      <c r="W148" s="302"/>
      <c r="X148" s="303"/>
      <c r="Y148" s="303"/>
      <c r="Z148" s="303"/>
      <c r="AA148" s="303"/>
      <c r="AB148" s="303"/>
      <c r="AC148" s="320"/>
      <c r="AD148" s="320"/>
      <c r="AE148" s="320"/>
      <c r="AF148" s="320"/>
      <c r="AG148" s="320"/>
      <c r="AH148" s="306"/>
      <c r="AI148" s="306"/>
      <c r="AJ148" s="306"/>
      <c r="AK148" s="306"/>
      <c r="AL148" s="306"/>
      <c r="AM148" s="306"/>
      <c r="AN148" s="306"/>
      <c r="AO148" s="306"/>
      <c r="AP148" s="306"/>
      <c r="AQ148" s="306"/>
      <c r="AR148" s="306"/>
      <c r="AS148" s="306"/>
      <c r="AT148" s="306"/>
      <c r="AU148" s="306"/>
      <c r="AV148" s="306"/>
      <c r="AW148" s="306"/>
      <c r="AX148" s="306"/>
      <c r="AY148" s="306"/>
      <c r="AZ148" s="306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</row>
    <row r="149" spans="1:68" s="317" customFormat="1" ht="14.25">
      <c r="A149" s="307"/>
      <c r="B149" s="331"/>
      <c r="C149" s="183" t="str">
        <f>IFERROR(IF(VLOOKUP($B149,[1]勘定科目!$A:$H,HLOOKUP($E$5,[1]勘定科目!$F$1:$H$2,2,0),0)="","",VLOOKUP($B149,[1]勘定科目!$A:$E,2,0)),"")</f>
        <v/>
      </c>
      <c r="D149" s="233" t="str">
        <f>IF(C149="","",VLOOKUP($B149,[1]勘定科目!$A:$E,4,0))</f>
        <v/>
      </c>
      <c r="E149" s="311"/>
      <c r="F149" s="345"/>
      <c r="G149" s="345"/>
      <c r="H149" s="345"/>
      <c r="I149" s="345"/>
      <c r="J149" s="345"/>
      <c r="K149" s="345"/>
      <c r="L149" s="345"/>
      <c r="M149" s="356"/>
      <c r="N149" s="356"/>
      <c r="O149" s="345"/>
      <c r="P149" s="345"/>
      <c r="Q149" s="345"/>
      <c r="R149" s="345">
        <f t="shared" si="6"/>
        <v>0</v>
      </c>
      <c r="S149" s="378" t="s">
        <v>780</v>
      </c>
      <c r="T149" s="299"/>
      <c r="U149" s="341"/>
      <c r="V149" s="303"/>
      <c r="W149" s="302"/>
      <c r="X149" s="303"/>
      <c r="Y149" s="303"/>
      <c r="Z149" s="303"/>
      <c r="AA149" s="303"/>
      <c r="AB149" s="303"/>
      <c r="AC149" s="320"/>
      <c r="AD149" s="320"/>
      <c r="AE149" s="320"/>
      <c r="AF149" s="320"/>
      <c r="AG149" s="320"/>
      <c r="AH149" s="306"/>
      <c r="AI149" s="306"/>
      <c r="AJ149" s="306"/>
      <c r="AK149" s="306"/>
      <c r="AL149" s="306"/>
      <c r="AM149" s="306"/>
      <c r="AN149" s="306"/>
      <c r="AO149" s="306"/>
      <c r="AP149" s="306"/>
      <c r="AQ149" s="306"/>
      <c r="AR149" s="306"/>
      <c r="AS149" s="306"/>
      <c r="AT149" s="306"/>
      <c r="AU149" s="306"/>
      <c r="AV149" s="306"/>
      <c r="AW149" s="306"/>
      <c r="AX149" s="306"/>
      <c r="AY149" s="306"/>
      <c r="AZ149" s="306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</row>
    <row r="150" spans="1:68" s="375" customFormat="1" ht="16.5">
      <c r="A150" s="363"/>
      <c r="B150" s="364">
        <v>5005196373</v>
      </c>
      <c r="C150" s="183" t="str">
        <f>IFERROR(IF(VLOOKUP($B150,[1]勘定科目!$A:$H,HLOOKUP($E$5,[1]勘定科目!$F$1:$H$2,2,0),0)="","",VLOOKUP($B150,[1]勘定科目!$A:$E,2,0)),"")</f>
        <v>試験研究用材料費</v>
      </c>
      <c r="D150" s="233" t="str">
        <f>IF(C150="","",VLOOKUP($B150,[1]勘定科目!$A:$E,4,0))</f>
        <v>試験研究費</v>
      </c>
      <c r="E150" s="365" t="s">
        <v>867</v>
      </c>
      <c r="F150" s="366">
        <v>16704000</v>
      </c>
      <c r="G150" s="366">
        <v>16704000</v>
      </c>
      <c r="H150" s="366">
        <v>16704000</v>
      </c>
      <c r="I150" s="366">
        <v>16704000</v>
      </c>
      <c r="J150" s="366">
        <v>16704000</v>
      </c>
      <c r="K150" s="366">
        <v>16704000</v>
      </c>
      <c r="L150" s="366">
        <v>16704000</v>
      </c>
      <c r="M150" s="366">
        <v>16704000</v>
      </c>
      <c r="N150" s="366">
        <v>16704000</v>
      </c>
      <c r="O150" s="366">
        <v>16704000</v>
      </c>
      <c r="P150" s="366">
        <v>16704000</v>
      </c>
      <c r="Q150" s="366">
        <v>16704000</v>
      </c>
      <c r="R150" s="366">
        <f t="shared" si="6"/>
        <v>200448000</v>
      </c>
      <c r="S150" s="324" t="s">
        <v>781</v>
      </c>
      <c r="T150" s="367"/>
      <c r="U150" s="368"/>
      <c r="V150" s="368"/>
      <c r="W150" s="369"/>
      <c r="X150" s="370"/>
      <c r="Y150" s="371"/>
      <c r="Z150" s="371"/>
      <c r="AA150" s="371"/>
      <c r="AB150" s="371"/>
      <c r="AC150" s="372"/>
      <c r="AD150" s="372"/>
      <c r="AE150" s="372"/>
      <c r="AF150" s="372"/>
      <c r="AG150" s="372"/>
      <c r="AH150" s="373"/>
      <c r="AI150" s="373"/>
      <c r="AJ150" s="373"/>
      <c r="AK150" s="373"/>
      <c r="AL150" s="373"/>
      <c r="AM150" s="373"/>
      <c r="AN150" s="373"/>
      <c r="AO150" s="373"/>
      <c r="AP150" s="373"/>
      <c r="AQ150" s="373"/>
      <c r="AR150" s="373"/>
      <c r="AS150" s="373"/>
      <c r="AT150" s="373"/>
      <c r="AU150" s="373"/>
      <c r="AV150" s="373"/>
      <c r="AW150" s="373"/>
      <c r="AX150" s="373"/>
      <c r="AY150" s="373"/>
      <c r="AZ150" s="373"/>
      <c r="BA150" s="374"/>
      <c r="BB150" s="374"/>
      <c r="BC150" s="374"/>
      <c r="BD150" s="374"/>
      <c r="BE150" s="374"/>
      <c r="BF150" s="374"/>
      <c r="BG150" s="374"/>
      <c r="BH150" s="374"/>
      <c r="BI150" s="374"/>
      <c r="BJ150" s="374"/>
      <c r="BK150" s="374"/>
      <c r="BL150" s="374"/>
      <c r="BM150" s="374"/>
      <c r="BN150" s="374"/>
      <c r="BO150" s="374"/>
      <c r="BP150" s="374"/>
    </row>
    <row r="151" spans="1:68" s="317" customFormat="1" ht="14.25">
      <c r="A151" s="307"/>
      <c r="B151" s="331">
        <v>5005196373</v>
      </c>
      <c r="C151" s="183" t="str">
        <f>IFERROR(IF(VLOOKUP($B151,[1]勘定科目!$A:$H,HLOOKUP($E$5,[1]勘定科目!$F$1:$H$2,2,0),0)="","",VLOOKUP($B151,[1]勘定科目!$A:$E,2,0)),"")</f>
        <v>試験研究用材料費</v>
      </c>
      <c r="D151" s="233" t="str">
        <f>IF(C151="","",VLOOKUP($B151,[1]勘定科目!$A:$E,4,0))</f>
        <v>試験研究費</v>
      </c>
      <c r="E151" s="311" t="s">
        <v>867</v>
      </c>
      <c r="F151" s="377"/>
      <c r="G151" s="377"/>
      <c r="H151" s="377"/>
      <c r="I151" s="377"/>
      <c r="J151" s="377"/>
      <c r="K151" s="377">
        <v>18374400</v>
      </c>
      <c r="L151" s="377"/>
      <c r="M151" s="377"/>
      <c r="N151" s="377"/>
      <c r="O151" s="377"/>
      <c r="P151" s="377"/>
      <c r="Q151" s="377"/>
      <c r="R151" s="377">
        <f t="shared" si="6"/>
        <v>18374400</v>
      </c>
      <c r="S151" s="378" t="s">
        <v>782</v>
      </c>
      <c r="T151" s="299"/>
      <c r="U151" s="348"/>
      <c r="V151" s="338"/>
      <c r="W151" s="349"/>
      <c r="X151" s="350"/>
      <c r="Y151" s="340"/>
      <c r="Z151" s="303"/>
      <c r="AA151" s="306"/>
      <c r="AB151" s="306"/>
      <c r="AC151" s="320"/>
      <c r="AD151" s="320"/>
      <c r="AE151" s="320"/>
      <c r="AF151" s="320"/>
      <c r="AG151" s="320"/>
      <c r="AH151" s="306"/>
      <c r="AI151" s="306"/>
      <c r="AJ151" s="306"/>
      <c r="AK151" s="306"/>
      <c r="AL151" s="306"/>
      <c r="AM151" s="306"/>
      <c r="AN151" s="306"/>
      <c r="AO151" s="306"/>
      <c r="AP151" s="306"/>
      <c r="AQ151" s="306"/>
      <c r="AR151" s="306"/>
      <c r="AS151" s="306"/>
      <c r="AT151" s="306"/>
      <c r="AU151" s="306"/>
      <c r="AV151" s="306"/>
      <c r="AW151" s="306"/>
      <c r="AX151" s="306"/>
      <c r="AY151" s="306"/>
      <c r="AZ151" s="306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</row>
    <row r="152" spans="1:68" s="317" customFormat="1" ht="14.25">
      <c r="A152" s="307"/>
      <c r="B152" s="331">
        <v>5005196373</v>
      </c>
      <c r="C152" s="183" t="str">
        <f>IFERROR(IF(VLOOKUP($B152,[1]勘定科目!$A:$H,HLOOKUP($E$5,[1]勘定科目!$F$1:$H$2,2,0),0)="","",VLOOKUP($B152,[1]勘定科目!$A:$E,2,0)),"")</f>
        <v>試験研究用材料費</v>
      </c>
      <c r="D152" s="233" t="str">
        <f>IF(C152="","",VLOOKUP($B152,[1]勘定科目!$A:$E,4,0))</f>
        <v>試験研究費</v>
      </c>
      <c r="E152" s="311" t="s">
        <v>867</v>
      </c>
      <c r="F152" s="343"/>
      <c r="G152" s="343"/>
      <c r="H152" s="356"/>
      <c r="I152" s="356"/>
      <c r="J152" s="356"/>
      <c r="K152" s="356"/>
      <c r="L152" s="356"/>
      <c r="M152" s="345"/>
      <c r="N152" s="345"/>
      <c r="O152" s="345">
        <v>18374400</v>
      </c>
      <c r="P152" s="345"/>
      <c r="Q152" s="345"/>
      <c r="R152" s="345">
        <f t="shared" si="6"/>
        <v>18374400</v>
      </c>
      <c r="S152" s="378" t="s">
        <v>783</v>
      </c>
      <c r="T152" s="299"/>
      <c r="U152" s="348"/>
      <c r="V152" s="338"/>
      <c r="W152" s="349"/>
      <c r="X152" s="350"/>
      <c r="Y152" s="340"/>
      <c r="Z152" s="303"/>
      <c r="AA152" s="306"/>
      <c r="AB152" s="306"/>
      <c r="AC152" s="320"/>
      <c r="AD152" s="320"/>
      <c r="AE152" s="320"/>
      <c r="AF152" s="320"/>
      <c r="AG152" s="320"/>
      <c r="AH152" s="306"/>
      <c r="AI152" s="306"/>
      <c r="AJ152" s="306"/>
      <c r="AK152" s="306"/>
      <c r="AL152" s="306"/>
      <c r="AM152" s="306"/>
      <c r="AN152" s="306"/>
      <c r="AO152" s="306"/>
      <c r="AP152" s="306"/>
      <c r="AQ152" s="306"/>
      <c r="AR152" s="306"/>
      <c r="AS152" s="306"/>
      <c r="AT152" s="306"/>
      <c r="AU152" s="306"/>
      <c r="AV152" s="306"/>
      <c r="AW152" s="306"/>
      <c r="AX152" s="306"/>
      <c r="AY152" s="306"/>
      <c r="AZ152" s="306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</row>
    <row r="153" spans="1:68" s="317" customFormat="1" ht="14.25">
      <c r="A153" s="307"/>
      <c r="B153" s="331">
        <v>5005196373</v>
      </c>
      <c r="C153" s="183" t="str">
        <f>IFERROR(IF(VLOOKUP($B153,[1]勘定科目!$A:$H,HLOOKUP($E$5,[1]勘定科目!$F$1:$H$2,2,0),0)="","",VLOOKUP($B153,[1]勘定科目!$A:$E,2,0)),"")</f>
        <v>試験研究用材料費</v>
      </c>
      <c r="D153" s="233" t="str">
        <f>IF(C153="","",VLOOKUP($B153,[1]勘定科目!$A:$E,4,0))</f>
        <v>試験研究費</v>
      </c>
      <c r="E153" s="311" t="s">
        <v>868</v>
      </c>
      <c r="F153" s="343">
        <v>0</v>
      </c>
      <c r="G153" s="356">
        <v>0</v>
      </c>
      <c r="H153" s="356">
        <v>0</v>
      </c>
      <c r="I153" s="356">
        <v>0</v>
      </c>
      <c r="J153" s="356">
        <v>0</v>
      </c>
      <c r="K153" s="356">
        <v>0</v>
      </c>
      <c r="L153" s="356">
        <v>19877760</v>
      </c>
      <c r="M153" s="345">
        <v>0</v>
      </c>
      <c r="N153" s="345">
        <v>0</v>
      </c>
      <c r="O153" s="356">
        <v>0</v>
      </c>
      <c r="P153" s="345">
        <v>0</v>
      </c>
      <c r="Q153" s="345">
        <v>0</v>
      </c>
      <c r="R153" s="345">
        <f t="shared" si="6"/>
        <v>19877760</v>
      </c>
      <c r="S153" s="378" t="s">
        <v>784</v>
      </c>
      <c r="T153" s="299"/>
      <c r="U153" s="348"/>
      <c r="V153" s="338"/>
      <c r="W153" s="349"/>
      <c r="X153" s="350"/>
      <c r="Y153" s="340"/>
      <c r="Z153" s="303"/>
      <c r="AA153" s="306"/>
      <c r="AB153" s="306"/>
      <c r="AC153" s="320"/>
      <c r="AD153" s="320"/>
      <c r="AE153" s="320"/>
      <c r="AF153" s="320"/>
      <c r="AG153" s="320"/>
      <c r="AH153" s="306"/>
      <c r="AI153" s="306"/>
      <c r="AJ153" s="306"/>
      <c r="AK153" s="306"/>
      <c r="AL153" s="306"/>
      <c r="AM153" s="306"/>
      <c r="AN153" s="306"/>
      <c r="AO153" s="306"/>
      <c r="AP153" s="306"/>
      <c r="AQ153" s="306"/>
      <c r="AR153" s="306"/>
      <c r="AS153" s="306"/>
      <c r="AT153" s="306"/>
      <c r="AU153" s="306"/>
      <c r="AV153" s="306"/>
      <c r="AW153" s="306"/>
      <c r="AX153" s="306"/>
      <c r="AY153" s="306"/>
      <c r="AZ153" s="306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</row>
    <row r="154" spans="1:68" s="317" customFormat="1" ht="14.25">
      <c r="A154" s="307"/>
      <c r="B154" s="331">
        <v>5005196373</v>
      </c>
      <c r="C154" s="183" t="str">
        <f>IFERROR(IF(VLOOKUP($B154,[1]勘定科目!$A:$H,HLOOKUP($E$5,[1]勘定科目!$F$1:$H$2,2,0),0)="","",VLOOKUP($B154,[1]勘定科目!$A:$E,2,0)),"")</f>
        <v>試験研究用材料費</v>
      </c>
      <c r="D154" s="233" t="str">
        <f>IF(C154="","",VLOOKUP($B154,[1]勘定科目!$A:$E,4,0))</f>
        <v>試験研究費</v>
      </c>
      <c r="E154" s="311" t="s">
        <v>868</v>
      </c>
      <c r="F154" s="356">
        <v>0</v>
      </c>
      <c r="G154" s="356">
        <v>0</v>
      </c>
      <c r="H154" s="356">
        <v>19877760</v>
      </c>
      <c r="I154" s="393">
        <v>0</v>
      </c>
      <c r="J154" s="356">
        <v>0</v>
      </c>
      <c r="K154" s="356">
        <v>0</v>
      </c>
      <c r="L154" s="393">
        <v>0</v>
      </c>
      <c r="M154" s="356">
        <v>0</v>
      </c>
      <c r="N154" s="356">
        <v>0</v>
      </c>
      <c r="O154" s="356">
        <v>0</v>
      </c>
      <c r="P154" s="356">
        <v>0</v>
      </c>
      <c r="Q154" s="356">
        <v>0</v>
      </c>
      <c r="R154" s="356">
        <f t="shared" si="6"/>
        <v>19877760</v>
      </c>
      <c r="S154" s="378" t="s">
        <v>785</v>
      </c>
      <c r="T154" s="299"/>
      <c r="U154" s="394"/>
      <c r="V154" s="395"/>
      <c r="W154" s="396"/>
      <c r="X154" s="303"/>
      <c r="Y154" s="303"/>
      <c r="Z154" s="303"/>
      <c r="AA154" s="303"/>
      <c r="AB154" s="303"/>
      <c r="AC154" s="320"/>
      <c r="AD154" s="320"/>
      <c r="AE154" s="320"/>
      <c r="AF154" s="320"/>
      <c r="AG154" s="320"/>
      <c r="AH154" s="306"/>
      <c r="AI154" s="306"/>
      <c r="AJ154" s="306"/>
      <c r="AK154" s="306"/>
      <c r="AL154" s="306"/>
      <c r="AM154" s="306"/>
      <c r="AN154" s="306"/>
      <c r="AO154" s="306"/>
      <c r="AP154" s="306"/>
      <c r="AQ154" s="306"/>
      <c r="AR154" s="306"/>
      <c r="AS154" s="306"/>
      <c r="AT154" s="306"/>
      <c r="AU154" s="306"/>
      <c r="AV154" s="306"/>
      <c r="AW154" s="306"/>
      <c r="AX154" s="306"/>
      <c r="AY154" s="306"/>
      <c r="AZ154" s="306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</row>
    <row r="155" spans="1:68" s="317" customFormat="1" ht="14.25">
      <c r="A155" s="307"/>
      <c r="B155" s="331"/>
      <c r="C155" s="183" t="str">
        <f>IFERROR(IF(VLOOKUP($B155,[1]勘定科目!$A:$H,HLOOKUP($E$5,[1]勘定科目!$F$1:$H$2,2,0),0)="","",VLOOKUP($B155,[1]勘定科目!$A:$E,2,0)),"")</f>
        <v/>
      </c>
      <c r="D155" s="233" t="str">
        <f>IF(C155="","",VLOOKUP($B155,[1]勘定科目!$A:$E,4,0))</f>
        <v/>
      </c>
      <c r="E155" s="311"/>
      <c r="F155" s="393"/>
      <c r="G155" s="356"/>
      <c r="H155" s="393"/>
      <c r="I155" s="356"/>
      <c r="J155" s="356"/>
      <c r="K155" s="356"/>
      <c r="L155" s="356"/>
      <c r="M155" s="356"/>
      <c r="N155" s="356"/>
      <c r="O155" s="356"/>
      <c r="P155" s="356"/>
      <c r="Q155" s="356"/>
      <c r="R155" s="356">
        <f t="shared" si="6"/>
        <v>0</v>
      </c>
      <c r="S155" s="378"/>
      <c r="T155" s="299"/>
      <c r="U155" s="397"/>
      <c r="V155" s="395"/>
      <c r="W155" s="396"/>
      <c r="X155" s="303"/>
      <c r="Y155" s="303"/>
      <c r="Z155" s="303"/>
      <c r="AA155" s="303"/>
      <c r="AB155" s="303"/>
      <c r="AC155" s="320"/>
      <c r="AD155" s="320"/>
      <c r="AE155" s="320"/>
      <c r="AF155" s="320"/>
      <c r="AG155" s="320"/>
      <c r="AH155" s="306"/>
      <c r="AI155" s="306"/>
      <c r="AJ155" s="306"/>
      <c r="AK155" s="306"/>
      <c r="AL155" s="306"/>
      <c r="AM155" s="306"/>
      <c r="AN155" s="306"/>
      <c r="AO155" s="306"/>
      <c r="AP155" s="306"/>
      <c r="AQ155" s="306"/>
      <c r="AR155" s="306"/>
      <c r="AS155" s="306"/>
      <c r="AT155" s="306"/>
      <c r="AU155" s="306"/>
      <c r="AV155" s="306"/>
      <c r="AW155" s="306"/>
      <c r="AX155" s="306"/>
      <c r="AY155" s="306"/>
      <c r="AZ155" s="306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</row>
    <row r="156" spans="1:68" s="317" customFormat="1" ht="14.25">
      <c r="A156" s="307"/>
      <c r="B156" s="331"/>
      <c r="C156" s="183" t="str">
        <f>IFERROR(IF(VLOOKUP($B156,[1]勘定科目!$A:$H,HLOOKUP($E$5,[1]勘定科目!$F$1:$H$2,2,0),0)="","",VLOOKUP($B156,[1]勘定科目!$A:$E,2,0)),"")</f>
        <v/>
      </c>
      <c r="D156" s="233" t="str">
        <f>IF(C156="","",VLOOKUP($B156,[1]勘定科目!$A:$E,4,0))</f>
        <v/>
      </c>
      <c r="E156" s="311"/>
      <c r="F156" s="345"/>
      <c r="G156" s="356"/>
      <c r="H156" s="356"/>
      <c r="I156" s="356"/>
      <c r="J156" s="345"/>
      <c r="K156" s="345"/>
      <c r="L156" s="345"/>
      <c r="M156" s="345"/>
      <c r="N156" s="345"/>
      <c r="O156" s="345"/>
      <c r="P156" s="345"/>
      <c r="Q156" s="345"/>
      <c r="R156" s="345">
        <f t="shared" si="6"/>
        <v>0</v>
      </c>
      <c r="S156" s="378" t="s">
        <v>865</v>
      </c>
      <c r="T156" s="299"/>
      <c r="U156" s="397"/>
      <c r="V156" s="395"/>
      <c r="W156" s="396"/>
      <c r="X156" s="303"/>
      <c r="Y156" s="303"/>
      <c r="Z156" s="303"/>
      <c r="AA156" s="303"/>
      <c r="AB156" s="303"/>
      <c r="AC156" s="320"/>
      <c r="AD156" s="320"/>
      <c r="AE156" s="320"/>
      <c r="AF156" s="320"/>
      <c r="AG156" s="320"/>
      <c r="AH156" s="306"/>
      <c r="AI156" s="306"/>
      <c r="AJ156" s="306"/>
      <c r="AK156" s="306"/>
      <c r="AL156" s="306"/>
      <c r="AM156" s="306"/>
      <c r="AN156" s="306"/>
      <c r="AO156" s="306"/>
      <c r="AP156" s="306"/>
      <c r="AQ156" s="306"/>
      <c r="AR156" s="306"/>
      <c r="AS156" s="306"/>
      <c r="AT156" s="306"/>
      <c r="AU156" s="306"/>
      <c r="AV156" s="306"/>
      <c r="AW156" s="306"/>
      <c r="AX156" s="306"/>
      <c r="AY156" s="306"/>
      <c r="AZ156" s="30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</row>
    <row r="157" spans="1:68" s="375" customFormat="1" ht="16.5">
      <c r="A157" s="398"/>
      <c r="B157" s="364">
        <v>5004086293</v>
      </c>
      <c r="C157" s="183" t="str">
        <f>IFERROR(IF(VLOOKUP($B157,[1]勘定科目!$A:$H,HLOOKUP($E$5,[1]勘定科目!$F$1:$H$2,2,0),0)="","",VLOOKUP($B157,[1]勘定科目!$A:$E,2,0)),"")</f>
        <v>教育訓練費（製）</v>
      </c>
      <c r="D157" s="233" t="str">
        <f>IF(C157="","",VLOOKUP($B157,[1]勘定科目!$A:$E,4,0))</f>
        <v>募集教育費</v>
      </c>
      <c r="E157" s="399"/>
      <c r="F157" s="351"/>
      <c r="G157" s="351"/>
      <c r="H157" s="351"/>
      <c r="I157" s="351"/>
      <c r="J157" s="351"/>
      <c r="K157" s="351"/>
      <c r="L157" s="351"/>
      <c r="M157" s="351"/>
      <c r="N157" s="351"/>
      <c r="O157" s="351"/>
      <c r="P157" s="351"/>
      <c r="Q157" s="351"/>
      <c r="R157" s="351">
        <f t="shared" si="6"/>
        <v>0</v>
      </c>
      <c r="S157" s="400" t="s">
        <v>786</v>
      </c>
      <c r="T157" s="367"/>
      <c r="U157" s="401"/>
      <c r="V157" s="401"/>
      <c r="X157" s="371"/>
      <c r="Y157" s="371"/>
      <c r="Z157" s="371"/>
      <c r="AA157" s="371"/>
      <c r="AB157" s="371"/>
      <c r="AC157" s="372"/>
      <c r="AD157" s="372"/>
      <c r="AE157" s="372"/>
      <c r="AF157" s="372"/>
      <c r="AG157" s="372"/>
      <c r="AH157" s="373"/>
      <c r="AI157" s="373"/>
      <c r="AJ157" s="373"/>
      <c r="AK157" s="373"/>
      <c r="AL157" s="373"/>
      <c r="AM157" s="373"/>
      <c r="AN157" s="373"/>
      <c r="AO157" s="373"/>
      <c r="AP157" s="373"/>
      <c r="AQ157" s="373"/>
      <c r="AR157" s="373"/>
      <c r="AS157" s="373"/>
      <c r="AT157" s="373"/>
      <c r="AU157" s="373"/>
      <c r="AV157" s="373"/>
      <c r="AW157" s="373"/>
      <c r="AX157" s="373"/>
      <c r="AY157" s="373"/>
      <c r="AZ157" s="373"/>
      <c r="BA157" s="374"/>
      <c r="BB157" s="374"/>
      <c r="BC157" s="374"/>
      <c r="BD157" s="374"/>
      <c r="BE157" s="374"/>
      <c r="BF157" s="374"/>
      <c r="BG157" s="374"/>
      <c r="BH157" s="374"/>
      <c r="BI157" s="374"/>
      <c r="BJ157" s="374"/>
      <c r="BK157" s="374"/>
      <c r="BL157" s="374"/>
      <c r="BM157" s="374"/>
      <c r="BN157" s="374"/>
      <c r="BO157" s="374"/>
      <c r="BP157" s="374"/>
    </row>
    <row r="158" spans="1:68" s="317" customFormat="1" ht="14.25">
      <c r="A158" s="307"/>
      <c r="B158" s="293">
        <v>5005116291</v>
      </c>
      <c r="C158" s="183" t="str">
        <f>IFERROR(IF(VLOOKUP($B158,[1]勘定科目!$A:$H,HLOOKUP($E$5,[1]勘定科目!$F$1:$H$2,2,0),0)="","",VLOOKUP($B158,[1]勘定科目!$A:$E,2,0)),"")</f>
        <v>ベトナム国内交通費（製）</v>
      </c>
      <c r="D158" s="233" t="str">
        <f>IF(C158="","",VLOOKUP($B158,[1]勘定科目!$A:$E,4,0))</f>
        <v>旅費交通費</v>
      </c>
      <c r="E158" s="311"/>
      <c r="F158" s="343"/>
      <c r="G158" s="345"/>
      <c r="H158" s="345"/>
      <c r="I158" s="345"/>
      <c r="J158" s="345"/>
      <c r="K158" s="345"/>
      <c r="L158" s="345"/>
      <c r="M158" s="345"/>
      <c r="N158" s="345"/>
      <c r="O158" s="345"/>
      <c r="P158" s="345"/>
      <c r="Q158" s="345"/>
      <c r="R158" s="345">
        <f t="shared" si="6"/>
        <v>0</v>
      </c>
      <c r="S158" s="329" t="s">
        <v>787</v>
      </c>
      <c r="T158" s="299"/>
      <c r="U158" s="402"/>
      <c r="V158" s="402"/>
      <c r="W158" s="302"/>
      <c r="X158" s="303"/>
      <c r="Y158" s="303"/>
      <c r="Z158" s="303"/>
      <c r="AA158" s="303"/>
      <c r="AB158" s="303"/>
      <c r="AC158" s="320"/>
      <c r="AD158" s="320"/>
      <c r="AE158" s="320"/>
      <c r="AF158" s="320"/>
      <c r="AG158" s="320"/>
      <c r="AH158" s="306"/>
      <c r="AI158" s="306"/>
      <c r="AJ158" s="306"/>
      <c r="AK158" s="306"/>
      <c r="AL158" s="306"/>
      <c r="AM158" s="306"/>
      <c r="AN158" s="306"/>
      <c r="AO158" s="306"/>
      <c r="AP158" s="306"/>
      <c r="AQ158" s="306"/>
      <c r="AR158" s="306"/>
      <c r="AS158" s="306"/>
      <c r="AT158" s="306"/>
      <c r="AU158" s="306"/>
      <c r="AV158" s="306"/>
      <c r="AW158" s="306"/>
      <c r="AX158" s="306"/>
      <c r="AY158" s="306"/>
      <c r="AZ158" s="306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</row>
    <row r="159" spans="1:68" s="317" customFormat="1" ht="14.25">
      <c r="A159" s="307"/>
      <c r="B159" s="403"/>
      <c r="C159" s="183" t="str">
        <f>IFERROR(IF(VLOOKUP($B159,[1]勘定科目!$A:$H,HLOOKUP($E$5,[1]勘定科目!$F$1:$H$2,2,0),0)="","",VLOOKUP($B159,[1]勘定科目!$A:$E,2,0)),"")</f>
        <v/>
      </c>
      <c r="D159" s="233" t="str">
        <f>IF(C159="","",VLOOKUP($B159,[1]勘定科目!$A:$E,4,0))</f>
        <v/>
      </c>
      <c r="E159" s="311"/>
      <c r="F159" s="343"/>
      <c r="G159" s="345"/>
      <c r="H159" s="345"/>
      <c r="I159" s="345"/>
      <c r="J159" s="345"/>
      <c r="K159" s="345"/>
      <c r="L159" s="345"/>
      <c r="M159" s="345"/>
      <c r="N159" s="345"/>
      <c r="O159" s="345"/>
      <c r="P159" s="345"/>
      <c r="Q159" s="345"/>
      <c r="R159" s="345">
        <f t="shared" si="6"/>
        <v>0</v>
      </c>
      <c r="S159" s="329"/>
      <c r="T159" s="299"/>
      <c r="U159" s="402"/>
      <c r="V159" s="402"/>
      <c r="W159" s="302"/>
      <c r="X159" s="303"/>
      <c r="Y159" s="303"/>
      <c r="Z159" s="303"/>
      <c r="AA159" s="303"/>
      <c r="AB159" s="303"/>
      <c r="AC159" s="320"/>
      <c r="AD159" s="320"/>
      <c r="AE159" s="320"/>
      <c r="AF159" s="320"/>
      <c r="AG159" s="320"/>
      <c r="AH159" s="306"/>
      <c r="AI159" s="306"/>
      <c r="AJ159" s="306"/>
      <c r="AK159" s="306"/>
      <c r="AL159" s="306"/>
      <c r="AM159" s="306"/>
      <c r="AN159" s="306"/>
      <c r="AO159" s="306"/>
      <c r="AP159" s="306"/>
      <c r="AQ159" s="306"/>
      <c r="AR159" s="306"/>
      <c r="AS159" s="306"/>
      <c r="AT159" s="306"/>
      <c r="AU159" s="306"/>
      <c r="AV159" s="306"/>
      <c r="AW159" s="306"/>
      <c r="AX159" s="306"/>
      <c r="AY159" s="306"/>
      <c r="AZ159" s="306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</row>
    <row r="160" spans="1:68" s="317" customFormat="1" ht="14.25">
      <c r="A160" s="307"/>
      <c r="B160" s="331"/>
      <c r="C160" s="183" t="str">
        <f>IFERROR(IF(VLOOKUP($B160,[1]勘定科目!$A:$H,HLOOKUP($E$5,[1]勘定科目!$F$1:$H$2,2,0),0)="","",VLOOKUP($B160,[1]勘定科目!$A:$E,2,0)),"")</f>
        <v/>
      </c>
      <c r="D160" s="233" t="str">
        <f>IF(C160="","",VLOOKUP($B160,[1]勘定科目!$A:$E,4,0))</f>
        <v/>
      </c>
      <c r="E160" s="311"/>
      <c r="F160" s="345"/>
      <c r="G160" s="356"/>
      <c r="H160" s="356"/>
      <c r="I160" s="356"/>
      <c r="J160" s="345"/>
      <c r="K160" s="345"/>
      <c r="L160" s="345"/>
      <c r="M160" s="345"/>
      <c r="N160" s="345"/>
      <c r="O160" s="345"/>
      <c r="P160" s="345"/>
      <c r="Q160" s="345"/>
      <c r="R160" s="345">
        <f t="shared" si="6"/>
        <v>0</v>
      </c>
      <c r="S160" s="378" t="s">
        <v>788</v>
      </c>
      <c r="T160" s="299"/>
      <c r="U160" s="397"/>
      <c r="V160" s="395"/>
      <c r="W160" s="396"/>
      <c r="X160" s="303"/>
      <c r="Y160" s="303"/>
      <c r="Z160" s="303"/>
      <c r="AA160" s="303"/>
      <c r="AB160" s="303"/>
      <c r="AC160" s="320"/>
      <c r="AD160" s="320"/>
      <c r="AE160" s="320"/>
      <c r="AF160" s="320"/>
      <c r="AG160" s="320"/>
      <c r="AH160" s="306"/>
      <c r="AI160" s="306"/>
      <c r="AJ160" s="306"/>
      <c r="AK160" s="306"/>
      <c r="AL160" s="306"/>
      <c r="AM160" s="306"/>
      <c r="AN160" s="306"/>
      <c r="AO160" s="306"/>
      <c r="AP160" s="306"/>
      <c r="AQ160" s="306"/>
      <c r="AR160" s="306"/>
      <c r="AS160" s="306"/>
      <c r="AT160" s="306"/>
      <c r="AU160" s="306"/>
      <c r="AV160" s="306"/>
      <c r="AW160" s="306"/>
      <c r="AX160" s="306"/>
      <c r="AY160" s="306"/>
      <c r="AZ160" s="306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</row>
    <row r="161" spans="1:68" s="317" customFormat="1" ht="16.5">
      <c r="A161" s="292"/>
      <c r="B161" s="331"/>
      <c r="C161" s="183" t="str">
        <f>IFERROR(IF(VLOOKUP($B161,[1]勘定科目!$A:$H,HLOOKUP($E$5,[1]勘定科目!$F$1:$H$2,2,0),0)="","",VLOOKUP($B161,[1]勘定科目!$A:$E,2,0)),"")</f>
        <v/>
      </c>
      <c r="D161" s="233" t="str">
        <f>IF(C161="","",VLOOKUP($B161,[1]勘定科目!$A:$E,4,0))</f>
        <v/>
      </c>
      <c r="E161" s="321"/>
      <c r="F161" s="404"/>
      <c r="G161" s="405"/>
      <c r="H161" s="405"/>
      <c r="I161" s="405"/>
      <c r="J161" s="404"/>
      <c r="K161" s="404"/>
      <c r="L161" s="404"/>
      <c r="M161" s="404"/>
      <c r="N161" s="404"/>
      <c r="O161" s="404"/>
      <c r="P161" s="404"/>
      <c r="Q161" s="404"/>
      <c r="R161" s="404">
        <f t="shared" si="6"/>
        <v>0</v>
      </c>
      <c r="S161" s="400"/>
      <c r="T161" s="299"/>
      <c r="U161" s="397"/>
      <c r="V161" s="395"/>
      <c r="W161" s="396"/>
      <c r="X161" s="303"/>
      <c r="Y161" s="303"/>
      <c r="Z161" s="303"/>
      <c r="AA161" s="303"/>
      <c r="AB161" s="303"/>
      <c r="AC161" s="320"/>
      <c r="AD161" s="320"/>
      <c r="AE161" s="320"/>
      <c r="AF161" s="320"/>
      <c r="AG161" s="320"/>
      <c r="AH161" s="306"/>
      <c r="AI161" s="306"/>
      <c r="AJ161" s="306"/>
      <c r="AK161" s="306"/>
      <c r="AL161" s="306"/>
      <c r="AM161" s="306"/>
      <c r="AN161" s="306"/>
      <c r="AO161" s="306"/>
      <c r="AP161" s="306"/>
      <c r="AQ161" s="306"/>
      <c r="AR161" s="306"/>
      <c r="AS161" s="306"/>
      <c r="AT161" s="306"/>
      <c r="AU161" s="306"/>
      <c r="AV161" s="306"/>
      <c r="AW161" s="306"/>
      <c r="AX161" s="306"/>
      <c r="AY161" s="306"/>
      <c r="AZ161" s="306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</row>
    <row r="162" spans="1:68" s="317" customFormat="1" ht="14.25">
      <c r="A162" s="307"/>
      <c r="B162" s="331"/>
      <c r="C162" s="183" t="str">
        <f>IFERROR(IF(VLOOKUP($B162,[1]勘定科目!$A:$H,HLOOKUP($E$5,[1]勘定科目!$F$1:$H$2,2,0),0)="","",VLOOKUP($B162,[1]勘定科目!$A:$E,2,0)),"")</f>
        <v/>
      </c>
      <c r="D162" s="233" t="str">
        <f>IF(C162="","",VLOOKUP($B162,[1]勘定科目!$A:$E,4,0))</f>
        <v/>
      </c>
      <c r="E162" s="311"/>
      <c r="F162" s="345"/>
      <c r="G162" s="356"/>
      <c r="H162" s="356"/>
      <c r="I162" s="356"/>
      <c r="J162" s="345"/>
      <c r="K162" s="345"/>
      <c r="L162" s="345"/>
      <c r="M162" s="345"/>
      <c r="N162" s="345"/>
      <c r="O162" s="345"/>
      <c r="P162" s="345"/>
      <c r="Q162" s="345"/>
      <c r="R162" s="345">
        <f t="shared" si="6"/>
        <v>0</v>
      </c>
      <c r="S162" s="378" t="s">
        <v>789</v>
      </c>
      <c r="T162" s="299"/>
      <c r="U162" s="397"/>
      <c r="V162" s="395"/>
      <c r="W162" s="396"/>
      <c r="X162" s="303"/>
      <c r="Y162" s="303"/>
      <c r="Z162" s="303"/>
      <c r="AA162" s="303"/>
      <c r="AB162" s="303"/>
      <c r="AC162" s="320"/>
      <c r="AD162" s="320"/>
      <c r="AE162" s="320"/>
      <c r="AF162" s="320"/>
      <c r="AG162" s="320"/>
      <c r="AH162" s="306"/>
      <c r="AI162" s="306"/>
      <c r="AJ162" s="306"/>
      <c r="AK162" s="306"/>
      <c r="AL162" s="306"/>
      <c r="AM162" s="306"/>
      <c r="AN162" s="306"/>
      <c r="AO162" s="306"/>
      <c r="AP162" s="306"/>
      <c r="AQ162" s="306"/>
      <c r="AR162" s="306"/>
      <c r="AS162" s="306"/>
      <c r="AT162" s="306"/>
      <c r="AU162" s="306"/>
      <c r="AV162" s="306"/>
      <c r="AW162" s="306"/>
      <c r="AX162" s="306"/>
      <c r="AY162" s="306"/>
      <c r="AZ162" s="306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</row>
    <row r="163" spans="1:68" s="317" customFormat="1" ht="16.5">
      <c r="A163" s="292"/>
      <c r="B163" s="331"/>
      <c r="C163" s="183" t="str">
        <f>IFERROR(IF(VLOOKUP($B163,[1]勘定科目!$A:$H,HLOOKUP($E$5,[1]勘定科目!$F$1:$H$2,2,0),0)="","",VLOOKUP($B163,[1]勘定科目!$A:$E,2,0)),"")</f>
        <v/>
      </c>
      <c r="D163" s="233" t="str">
        <f>IF(C163="","",VLOOKUP($B163,[1]勘定科目!$A:$E,4,0))</f>
        <v/>
      </c>
      <c r="E163" s="321"/>
      <c r="F163" s="404"/>
      <c r="G163" s="405"/>
      <c r="H163" s="405"/>
      <c r="I163" s="405"/>
      <c r="J163" s="404"/>
      <c r="K163" s="404"/>
      <c r="L163" s="404"/>
      <c r="M163" s="404"/>
      <c r="N163" s="404"/>
      <c r="O163" s="404"/>
      <c r="P163" s="404"/>
      <c r="Q163" s="404"/>
      <c r="R163" s="404">
        <f t="shared" si="6"/>
        <v>0</v>
      </c>
      <c r="S163" s="324"/>
      <c r="T163" s="299"/>
      <c r="U163" s="397"/>
      <c r="V163" s="395"/>
      <c r="W163" s="396"/>
      <c r="X163" s="303"/>
      <c r="Y163" s="303"/>
      <c r="Z163" s="303"/>
      <c r="AA163" s="303"/>
      <c r="AB163" s="303"/>
      <c r="AC163" s="320"/>
      <c r="AD163" s="320"/>
      <c r="AE163" s="320"/>
      <c r="AF163" s="320"/>
      <c r="AG163" s="320"/>
      <c r="AH163" s="306"/>
      <c r="AI163" s="306"/>
      <c r="AJ163" s="306"/>
      <c r="AK163" s="306"/>
      <c r="AL163" s="306"/>
      <c r="AM163" s="306"/>
      <c r="AN163" s="306"/>
      <c r="AO163" s="306"/>
      <c r="AP163" s="306"/>
      <c r="AQ163" s="306"/>
      <c r="AR163" s="306"/>
      <c r="AS163" s="306"/>
      <c r="AT163" s="306"/>
      <c r="AU163" s="306"/>
      <c r="AV163" s="306"/>
      <c r="AW163" s="306"/>
      <c r="AX163" s="306"/>
      <c r="AY163" s="306"/>
      <c r="AZ163" s="306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</row>
    <row r="164" spans="1:68" s="317" customFormat="1" ht="14.25">
      <c r="A164" s="307"/>
      <c r="B164" s="331"/>
      <c r="C164" s="183" t="str">
        <f>IFERROR(IF(VLOOKUP($B164,[1]勘定科目!$A:$H,HLOOKUP($E$5,[1]勘定科目!$F$1:$H$2,2,0),0)="","",VLOOKUP($B164,[1]勘定科目!$A:$E,2,0)),"")</f>
        <v/>
      </c>
      <c r="D164" s="233" t="str">
        <f>IF(C164="","",VLOOKUP($B164,[1]勘定科目!$A:$E,4,0))</f>
        <v/>
      </c>
      <c r="E164" s="311"/>
      <c r="F164" s="345"/>
      <c r="G164" s="356"/>
      <c r="H164" s="356"/>
      <c r="I164" s="356"/>
      <c r="J164" s="345"/>
      <c r="K164" s="345"/>
      <c r="L164" s="345"/>
      <c r="M164" s="345"/>
      <c r="N164" s="345"/>
      <c r="O164" s="345"/>
      <c r="P164" s="345"/>
      <c r="Q164" s="345"/>
      <c r="R164" s="345">
        <f t="shared" si="6"/>
        <v>0</v>
      </c>
      <c r="S164" s="378" t="s">
        <v>790</v>
      </c>
      <c r="T164" s="299"/>
      <c r="U164" s="397"/>
      <c r="V164" s="395"/>
      <c r="W164" s="396"/>
      <c r="X164" s="303"/>
      <c r="Y164" s="303"/>
      <c r="Z164" s="303"/>
      <c r="AA164" s="303"/>
      <c r="AB164" s="303"/>
      <c r="AC164" s="320"/>
      <c r="AD164" s="320"/>
      <c r="AE164" s="320"/>
      <c r="AF164" s="320"/>
      <c r="AG164" s="320"/>
      <c r="AH164" s="306"/>
      <c r="AI164" s="306"/>
      <c r="AJ164" s="306"/>
      <c r="AK164" s="306"/>
      <c r="AL164" s="306"/>
      <c r="AM164" s="306"/>
      <c r="AN164" s="306"/>
      <c r="AO164" s="306"/>
      <c r="AP164" s="306"/>
      <c r="AQ164" s="306"/>
      <c r="AR164" s="306"/>
      <c r="AS164" s="306"/>
      <c r="AT164" s="306"/>
      <c r="AU164" s="306"/>
      <c r="AV164" s="306"/>
      <c r="AW164" s="306"/>
      <c r="AX164" s="306"/>
      <c r="AY164" s="306"/>
      <c r="AZ164" s="306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</row>
    <row r="165" spans="1:68" s="375" customFormat="1" ht="16.5">
      <c r="A165" s="363"/>
      <c r="B165" s="364">
        <v>5005116292</v>
      </c>
      <c r="C165" s="183" t="str">
        <f>IFERROR(IF(VLOOKUP($B165,[1]勘定科目!$A:$H,HLOOKUP($E$5,[1]勘定科目!$F$1:$H$2,2,0),0)="","",VLOOKUP($B165,[1]勘定科目!$A:$E,2,0)),"")</f>
        <v>海外渡航費（製）</v>
      </c>
      <c r="D165" s="233" t="str">
        <f>IF(C165="","",VLOOKUP($B165,[1]勘定科目!$A:$E,4,0))</f>
        <v>渡航費</v>
      </c>
      <c r="E165" s="365" t="s">
        <v>867</v>
      </c>
      <c r="F165" s="366"/>
      <c r="G165" s="366"/>
      <c r="H165" s="366"/>
      <c r="I165" s="366">
        <v>260000</v>
      </c>
      <c r="J165" s="366"/>
      <c r="K165" s="366"/>
      <c r="L165" s="366"/>
      <c r="M165" s="366"/>
      <c r="N165" s="366"/>
      <c r="O165" s="366"/>
      <c r="P165" s="366"/>
      <c r="Q165" s="366"/>
      <c r="R165" s="366">
        <f t="shared" si="6"/>
        <v>260000</v>
      </c>
      <c r="S165" s="324" t="s">
        <v>791</v>
      </c>
      <c r="T165" s="367"/>
      <c r="U165" s="368"/>
      <c r="V165" s="368"/>
      <c r="W165" s="369"/>
      <c r="X165" s="370"/>
      <c r="Y165" s="371"/>
      <c r="Z165" s="371"/>
      <c r="AA165" s="371"/>
      <c r="AB165" s="371"/>
      <c r="AC165" s="372"/>
      <c r="AD165" s="372"/>
      <c r="AE165" s="372"/>
      <c r="AF165" s="372"/>
      <c r="AG165" s="372"/>
      <c r="AH165" s="373"/>
      <c r="AI165" s="373"/>
      <c r="AJ165" s="373"/>
      <c r="AK165" s="373"/>
      <c r="AL165" s="373"/>
      <c r="AM165" s="373"/>
      <c r="AN165" s="373"/>
      <c r="AO165" s="373"/>
      <c r="AP165" s="373"/>
      <c r="AQ165" s="373"/>
      <c r="AR165" s="373"/>
      <c r="AS165" s="373"/>
      <c r="AT165" s="373"/>
      <c r="AU165" s="373"/>
      <c r="AV165" s="373"/>
      <c r="AW165" s="373"/>
      <c r="AX165" s="373"/>
      <c r="AY165" s="373"/>
      <c r="AZ165" s="373"/>
      <c r="BA165" s="374"/>
      <c r="BB165" s="374"/>
      <c r="BC165" s="374"/>
      <c r="BD165" s="374"/>
      <c r="BE165" s="374"/>
      <c r="BF165" s="374"/>
      <c r="BG165" s="374"/>
      <c r="BH165" s="374"/>
      <c r="BI165" s="374"/>
      <c r="BJ165" s="374"/>
      <c r="BK165" s="374"/>
      <c r="BL165" s="374"/>
      <c r="BM165" s="374"/>
      <c r="BN165" s="374"/>
      <c r="BO165" s="374"/>
      <c r="BP165" s="374"/>
    </row>
    <row r="166" spans="1:68" s="317" customFormat="1" ht="14.25">
      <c r="A166" s="307"/>
      <c r="B166" s="331">
        <v>5005116292</v>
      </c>
      <c r="C166" s="183" t="str">
        <f>IFERROR(IF(VLOOKUP($B166,[1]勘定科目!$A:$H,HLOOKUP($E$5,[1]勘定科目!$F$1:$H$2,2,0),0)="","",VLOOKUP($B166,[1]勘定科目!$A:$E,2,0)),"")</f>
        <v>海外渡航費（製）</v>
      </c>
      <c r="D166" s="233" t="str">
        <f>IF(C166="","",VLOOKUP($B166,[1]勘定科目!$A:$E,4,0))</f>
        <v>渡航費</v>
      </c>
      <c r="E166" s="311" t="s">
        <v>867</v>
      </c>
      <c r="F166" s="343"/>
      <c r="G166" s="356"/>
      <c r="H166" s="356"/>
      <c r="I166" s="356">
        <v>3500000</v>
      </c>
      <c r="J166" s="356"/>
      <c r="K166" s="356"/>
      <c r="L166" s="345"/>
      <c r="M166" s="345"/>
      <c r="N166" s="345"/>
      <c r="O166" s="345"/>
      <c r="P166" s="345"/>
      <c r="Q166" s="345"/>
      <c r="R166" s="345">
        <f t="shared" si="6"/>
        <v>3500000</v>
      </c>
      <c r="S166" s="378" t="s">
        <v>792</v>
      </c>
      <c r="T166" s="299"/>
      <c r="U166" s="348"/>
      <c r="V166" s="338"/>
      <c r="W166" s="349"/>
      <c r="X166" s="350"/>
      <c r="Y166" s="340"/>
      <c r="Z166" s="303"/>
      <c r="AA166" s="306"/>
      <c r="AB166" s="306"/>
      <c r="AC166" s="320"/>
      <c r="AD166" s="320"/>
      <c r="AE166" s="320"/>
      <c r="AF166" s="320"/>
      <c r="AG166" s="320"/>
      <c r="AH166" s="306"/>
      <c r="AI166" s="306"/>
      <c r="AJ166" s="306"/>
      <c r="AK166" s="306"/>
      <c r="AL166" s="306"/>
      <c r="AM166" s="306"/>
      <c r="AN166" s="306"/>
      <c r="AO166" s="306"/>
      <c r="AP166" s="306"/>
      <c r="AQ166" s="306"/>
      <c r="AR166" s="306"/>
      <c r="AS166" s="306"/>
      <c r="AT166" s="306"/>
      <c r="AU166" s="306"/>
      <c r="AV166" s="306"/>
      <c r="AW166" s="306"/>
      <c r="AX166" s="306"/>
      <c r="AY166" s="306"/>
      <c r="AZ166" s="30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</row>
    <row r="167" spans="1:68" s="317" customFormat="1" ht="14.25">
      <c r="A167" s="307"/>
      <c r="B167" s="331">
        <v>5005116292</v>
      </c>
      <c r="C167" s="183" t="str">
        <f>IFERROR(IF(VLOOKUP($B167,[1]勘定科目!$A:$H,HLOOKUP($E$5,[1]勘定科目!$F$1:$H$2,2,0),0)="","",VLOOKUP($B167,[1]勘定科目!$A:$E,2,0)),"")</f>
        <v>海外渡航費（製）</v>
      </c>
      <c r="D167" s="233" t="str">
        <f>IF(C167="","",VLOOKUP($B167,[1]勘定科目!$A:$E,4,0))</f>
        <v>渡航費</v>
      </c>
      <c r="E167" s="311" t="s">
        <v>867</v>
      </c>
      <c r="F167" s="343"/>
      <c r="G167" s="356"/>
      <c r="H167" s="356"/>
      <c r="I167" s="356"/>
      <c r="J167" s="356"/>
      <c r="K167" s="356"/>
      <c r="L167" s="345"/>
      <c r="M167" s="345"/>
      <c r="N167" s="345"/>
      <c r="O167" s="345"/>
      <c r="P167" s="345"/>
      <c r="Q167" s="345"/>
      <c r="R167" s="345">
        <f t="shared" si="6"/>
        <v>0</v>
      </c>
      <c r="S167" s="378" t="s">
        <v>793</v>
      </c>
      <c r="T167" s="299"/>
      <c r="U167" s="348"/>
      <c r="V167" s="338"/>
      <c r="W167" s="349"/>
      <c r="X167" s="350"/>
      <c r="Y167" s="340"/>
      <c r="Z167" s="303"/>
      <c r="AA167" s="306"/>
      <c r="AB167" s="306"/>
      <c r="AC167" s="320"/>
      <c r="AD167" s="320"/>
      <c r="AE167" s="320"/>
      <c r="AF167" s="320"/>
      <c r="AG167" s="320"/>
      <c r="AH167" s="306"/>
      <c r="AI167" s="306"/>
      <c r="AJ167" s="306"/>
      <c r="AK167" s="306"/>
      <c r="AL167" s="306"/>
      <c r="AM167" s="306"/>
      <c r="AN167" s="306"/>
      <c r="AO167" s="306"/>
      <c r="AP167" s="306"/>
      <c r="AQ167" s="306"/>
      <c r="AR167" s="306"/>
      <c r="AS167" s="306"/>
      <c r="AT167" s="306"/>
      <c r="AU167" s="306"/>
      <c r="AV167" s="306"/>
      <c r="AW167" s="306"/>
      <c r="AX167" s="306"/>
      <c r="AY167" s="306"/>
      <c r="AZ167" s="306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</row>
    <row r="168" spans="1:68" s="317" customFormat="1" ht="14.25">
      <c r="A168" s="307"/>
      <c r="B168" s="331">
        <v>5005116292</v>
      </c>
      <c r="C168" s="183" t="str">
        <f>IFERROR(IF(VLOOKUP($B168,[1]勘定科目!$A:$H,HLOOKUP($E$5,[1]勘定科目!$F$1:$H$2,2,0),0)="","",VLOOKUP($B168,[1]勘定科目!$A:$E,2,0)),"")</f>
        <v>海外渡航費（製）</v>
      </c>
      <c r="D168" s="233" t="str">
        <f>IF(C168="","",VLOOKUP($B168,[1]勘定科目!$A:$E,4,0))</f>
        <v>渡航費</v>
      </c>
      <c r="E168" s="311" t="s">
        <v>867</v>
      </c>
      <c r="F168" s="343"/>
      <c r="G168" s="356"/>
      <c r="H168" s="356"/>
      <c r="I168" s="356"/>
      <c r="J168" s="356">
        <v>1447230</v>
      </c>
      <c r="K168" s="356"/>
      <c r="L168" s="345"/>
      <c r="M168" s="345"/>
      <c r="N168" s="345"/>
      <c r="O168" s="345"/>
      <c r="P168" s="345"/>
      <c r="Q168" s="345"/>
      <c r="R168" s="345">
        <f t="shared" si="6"/>
        <v>1447230</v>
      </c>
      <c r="S168" s="378" t="s">
        <v>794</v>
      </c>
      <c r="T168" s="299"/>
      <c r="U168" s="348"/>
      <c r="V168" s="338"/>
      <c r="W168" s="349"/>
      <c r="X168" s="350"/>
      <c r="Y168" s="340"/>
      <c r="Z168" s="303"/>
      <c r="AA168" s="306"/>
      <c r="AB168" s="306"/>
      <c r="AC168" s="320"/>
      <c r="AD168" s="320"/>
      <c r="AE168" s="320"/>
      <c r="AF168" s="320"/>
      <c r="AG168" s="320"/>
      <c r="AH168" s="306"/>
      <c r="AI168" s="306"/>
      <c r="AJ168" s="306"/>
      <c r="AK168" s="306"/>
      <c r="AL168" s="306"/>
      <c r="AM168" s="306"/>
      <c r="AN168" s="306"/>
      <c r="AO168" s="306"/>
      <c r="AP168" s="306"/>
      <c r="AQ168" s="306"/>
      <c r="AR168" s="306"/>
      <c r="AS168" s="306"/>
      <c r="AT168" s="306"/>
      <c r="AU168" s="306"/>
      <c r="AV168" s="306"/>
      <c r="AW168" s="306"/>
      <c r="AX168" s="306"/>
      <c r="AY168" s="306"/>
      <c r="AZ168" s="306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</row>
    <row r="169" spans="1:68" s="317" customFormat="1" ht="14.25">
      <c r="A169" s="307"/>
      <c r="B169" s="331">
        <v>5005116292</v>
      </c>
      <c r="C169" s="183" t="str">
        <f>IFERROR(IF(VLOOKUP($B169,[1]勘定科目!$A:$H,HLOOKUP($E$5,[1]勘定科目!$F$1:$H$2,2,0),0)="","",VLOOKUP($B169,[1]勘定科目!$A:$E,2,0)),"")</f>
        <v>海外渡航費（製）</v>
      </c>
      <c r="D169" s="233" t="str">
        <f>IF(C169="","",VLOOKUP($B169,[1]勘定科目!$A:$E,4,0))</f>
        <v>渡航費</v>
      </c>
      <c r="E169" s="311" t="s">
        <v>867</v>
      </c>
      <c r="F169" s="343"/>
      <c r="G169" s="356"/>
      <c r="H169" s="356"/>
      <c r="I169" s="356"/>
      <c r="J169" s="356"/>
      <c r="K169" s="356">
        <v>38085000</v>
      </c>
      <c r="L169" s="345"/>
      <c r="M169" s="345"/>
      <c r="N169" s="345"/>
      <c r="O169" s="345"/>
      <c r="P169" s="345"/>
      <c r="Q169" s="345"/>
      <c r="R169" s="345">
        <f t="shared" si="6"/>
        <v>38085000</v>
      </c>
      <c r="S169" s="378" t="s">
        <v>795</v>
      </c>
      <c r="T169" s="299"/>
      <c r="U169" s="348"/>
      <c r="V169" s="338"/>
      <c r="W169" s="349"/>
      <c r="X169" s="350"/>
      <c r="Y169" s="340"/>
      <c r="Z169" s="303"/>
      <c r="AA169" s="306"/>
      <c r="AB169" s="306"/>
      <c r="AC169" s="320"/>
      <c r="AD169" s="320"/>
      <c r="AE169" s="320"/>
      <c r="AF169" s="320"/>
      <c r="AG169" s="320"/>
      <c r="AH169" s="306"/>
      <c r="AI169" s="306"/>
      <c r="AJ169" s="306"/>
      <c r="AK169" s="306"/>
      <c r="AL169" s="306"/>
      <c r="AM169" s="306"/>
      <c r="AN169" s="306"/>
      <c r="AO169" s="306"/>
      <c r="AP169" s="306"/>
      <c r="AQ169" s="306"/>
      <c r="AR169" s="306"/>
      <c r="AS169" s="306"/>
      <c r="AT169" s="306"/>
      <c r="AU169" s="306"/>
      <c r="AV169" s="306"/>
      <c r="AW169" s="306"/>
      <c r="AX169" s="306"/>
      <c r="AY169" s="306"/>
      <c r="AZ169" s="306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</row>
    <row r="170" spans="1:68" s="317" customFormat="1" ht="14.25">
      <c r="A170" s="307"/>
      <c r="B170" s="331">
        <v>5005116292</v>
      </c>
      <c r="C170" s="183" t="str">
        <f>IFERROR(IF(VLOOKUP($B170,[1]勘定科目!$A:$H,HLOOKUP($E$5,[1]勘定科目!$F$1:$H$2,2,0),0)="","",VLOOKUP($B170,[1]勘定科目!$A:$E,2,0)),"")</f>
        <v>海外渡航費（製）</v>
      </c>
      <c r="D170" s="233" t="str">
        <f>IF(C170="","",VLOOKUP($B170,[1]勘定科目!$A:$E,4,0))</f>
        <v>渡航費</v>
      </c>
      <c r="E170" s="311" t="s">
        <v>867</v>
      </c>
      <c r="F170" s="343"/>
      <c r="G170" s="345"/>
      <c r="H170" s="356"/>
      <c r="I170" s="356"/>
      <c r="J170" s="345"/>
      <c r="K170" s="356"/>
      <c r="L170" s="345"/>
      <c r="M170" s="345"/>
      <c r="N170" s="345"/>
      <c r="O170" s="345"/>
      <c r="P170" s="345"/>
      <c r="Q170" s="345"/>
      <c r="R170" s="345">
        <f t="shared" si="6"/>
        <v>0</v>
      </c>
      <c r="S170" s="378" t="s">
        <v>796</v>
      </c>
      <c r="T170" s="299"/>
      <c r="U170" s="348"/>
      <c r="V170" s="338"/>
      <c r="W170" s="349"/>
      <c r="X170" s="350"/>
      <c r="Y170" s="340"/>
      <c r="Z170" s="303"/>
      <c r="AA170" s="306"/>
      <c r="AB170" s="306"/>
      <c r="AC170" s="320"/>
      <c r="AD170" s="320"/>
      <c r="AE170" s="320"/>
      <c r="AF170" s="320"/>
      <c r="AG170" s="320"/>
      <c r="AH170" s="306"/>
      <c r="AI170" s="306"/>
      <c r="AJ170" s="306"/>
      <c r="AK170" s="306"/>
      <c r="AL170" s="306"/>
      <c r="AM170" s="306"/>
      <c r="AN170" s="306"/>
      <c r="AO170" s="306"/>
      <c r="AP170" s="306"/>
      <c r="AQ170" s="306"/>
      <c r="AR170" s="306"/>
      <c r="AS170" s="306"/>
      <c r="AT170" s="306"/>
      <c r="AU170" s="306"/>
      <c r="AV170" s="306"/>
      <c r="AW170" s="306"/>
      <c r="AX170" s="306"/>
      <c r="AY170" s="306"/>
      <c r="AZ170" s="306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</row>
    <row r="171" spans="1:68" s="317" customFormat="1" ht="14.25">
      <c r="A171" s="307"/>
      <c r="B171" s="331">
        <v>5005116292</v>
      </c>
      <c r="C171" s="183" t="str">
        <f>IFERROR(IF(VLOOKUP($B171,[1]勘定科目!$A:$H,HLOOKUP($E$5,[1]勘定科目!$F$1:$H$2,2,0),0)="","",VLOOKUP($B171,[1]勘定科目!$A:$E,2,0)),"")</f>
        <v>海外渡航費（製）</v>
      </c>
      <c r="D171" s="233" t="str">
        <f>IF(C171="","",VLOOKUP($B171,[1]勘定科目!$A:$E,4,0))</f>
        <v>渡航費</v>
      </c>
      <c r="E171" s="311" t="s">
        <v>867</v>
      </c>
      <c r="F171" s="343"/>
      <c r="G171" s="345"/>
      <c r="H171" s="356"/>
      <c r="I171" s="356"/>
      <c r="J171" s="356">
        <v>835200</v>
      </c>
      <c r="K171" s="356"/>
      <c r="L171" s="345"/>
      <c r="M171" s="345"/>
      <c r="N171" s="345"/>
      <c r="O171" s="345"/>
      <c r="P171" s="345"/>
      <c r="Q171" s="345"/>
      <c r="R171" s="345">
        <f t="shared" si="6"/>
        <v>835200</v>
      </c>
      <c r="S171" s="378" t="s">
        <v>797</v>
      </c>
      <c r="T171" s="299"/>
      <c r="U171" s="348"/>
      <c r="V171" s="338"/>
      <c r="W171" s="349"/>
      <c r="X171" s="350"/>
      <c r="Y171" s="340"/>
      <c r="Z171" s="303"/>
      <c r="AA171" s="306"/>
      <c r="AB171" s="306"/>
      <c r="AC171" s="320"/>
      <c r="AD171" s="320"/>
      <c r="AE171" s="320"/>
      <c r="AF171" s="320"/>
      <c r="AG171" s="320"/>
      <c r="AH171" s="306"/>
      <c r="AI171" s="306"/>
      <c r="AJ171" s="306"/>
      <c r="AK171" s="306"/>
      <c r="AL171" s="306"/>
      <c r="AM171" s="306"/>
      <c r="AN171" s="306"/>
      <c r="AO171" s="306"/>
      <c r="AP171" s="306"/>
      <c r="AQ171" s="306"/>
      <c r="AR171" s="306"/>
      <c r="AS171" s="306"/>
      <c r="AT171" s="306"/>
      <c r="AU171" s="306"/>
      <c r="AV171" s="306"/>
      <c r="AW171" s="306"/>
      <c r="AX171" s="306"/>
      <c r="AY171" s="306"/>
      <c r="AZ171" s="306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</row>
    <row r="172" spans="1:68" s="317" customFormat="1" ht="14.25">
      <c r="A172" s="307"/>
      <c r="B172" s="331">
        <v>5005116292</v>
      </c>
      <c r="C172" s="183" t="str">
        <f>IFERROR(IF(VLOOKUP($B172,[1]勘定科目!$A:$H,HLOOKUP($E$5,[1]勘定科目!$F$1:$H$2,2,0),0)="","",VLOOKUP($B172,[1]勘定科目!$A:$E,2,0)),"")</f>
        <v>海外渡航費（製）</v>
      </c>
      <c r="D172" s="233" t="str">
        <f>IF(C172="","",VLOOKUP($B172,[1]勘定科目!$A:$E,4,0))</f>
        <v>渡航費</v>
      </c>
      <c r="E172" s="311" t="s">
        <v>867</v>
      </c>
      <c r="F172" s="343"/>
      <c r="G172" s="345"/>
      <c r="H172" s="356"/>
      <c r="I172" s="356"/>
      <c r="J172" s="356"/>
      <c r="K172" s="356">
        <v>1000000</v>
      </c>
      <c r="L172" s="345"/>
      <c r="M172" s="345"/>
      <c r="N172" s="345"/>
      <c r="O172" s="345"/>
      <c r="P172" s="345"/>
      <c r="Q172" s="345"/>
      <c r="R172" s="345">
        <f t="shared" si="6"/>
        <v>1000000</v>
      </c>
      <c r="S172" s="378" t="s">
        <v>798</v>
      </c>
      <c r="T172" s="299"/>
      <c r="U172" s="348"/>
      <c r="V172" s="338"/>
      <c r="W172" s="349"/>
      <c r="X172" s="350"/>
      <c r="Y172" s="340"/>
      <c r="Z172" s="303"/>
      <c r="AA172" s="306"/>
      <c r="AB172" s="306"/>
      <c r="AC172" s="320"/>
      <c r="AD172" s="320"/>
      <c r="AE172" s="320"/>
      <c r="AF172" s="320"/>
      <c r="AG172" s="320"/>
      <c r="AH172" s="306"/>
      <c r="AI172" s="306"/>
      <c r="AJ172" s="306"/>
      <c r="AK172" s="306"/>
      <c r="AL172" s="306"/>
      <c r="AM172" s="306"/>
      <c r="AN172" s="306"/>
      <c r="AO172" s="306"/>
      <c r="AP172" s="306"/>
      <c r="AQ172" s="306"/>
      <c r="AR172" s="306"/>
      <c r="AS172" s="306"/>
      <c r="AT172" s="306"/>
      <c r="AU172" s="306"/>
      <c r="AV172" s="306"/>
      <c r="AW172" s="306"/>
      <c r="AX172" s="306"/>
      <c r="AY172" s="306"/>
      <c r="AZ172" s="306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</row>
    <row r="173" spans="1:68" s="317" customFormat="1" ht="14.25">
      <c r="A173" s="307"/>
      <c r="B173" s="331">
        <v>5005116292</v>
      </c>
      <c r="C173" s="183" t="str">
        <f>IFERROR(IF(VLOOKUP($B173,[1]勘定科目!$A:$H,HLOOKUP($E$5,[1]勘定科目!$F$1:$H$2,2,0),0)="","",VLOOKUP($B173,[1]勘定科目!$A:$E,2,0)),"")</f>
        <v>海外渡航費（製）</v>
      </c>
      <c r="D173" s="233" t="str">
        <f>IF(C173="","",VLOOKUP($B173,[1]勘定科目!$A:$E,4,0))</f>
        <v>渡航費</v>
      </c>
      <c r="E173" s="311" t="s">
        <v>867</v>
      </c>
      <c r="F173" s="343"/>
      <c r="G173" s="345"/>
      <c r="H173" s="356"/>
      <c r="I173" s="356"/>
      <c r="J173" s="356"/>
      <c r="K173" s="356">
        <v>28182900</v>
      </c>
      <c r="L173" s="345"/>
      <c r="M173" s="345"/>
      <c r="N173" s="345"/>
      <c r="O173" s="345"/>
      <c r="P173" s="345"/>
      <c r="Q173" s="345"/>
      <c r="R173" s="345">
        <f t="shared" si="6"/>
        <v>28182900</v>
      </c>
      <c r="S173" s="378" t="s">
        <v>799</v>
      </c>
      <c r="T173" s="299"/>
      <c r="U173" s="348"/>
      <c r="V173" s="338"/>
      <c r="W173" s="349"/>
      <c r="X173" s="350"/>
      <c r="Y173" s="340"/>
      <c r="Z173" s="303"/>
      <c r="AA173" s="306"/>
      <c r="AB173" s="306"/>
      <c r="AC173" s="320"/>
      <c r="AD173" s="320"/>
      <c r="AE173" s="320"/>
      <c r="AF173" s="320"/>
      <c r="AG173" s="320"/>
      <c r="AH173" s="306"/>
      <c r="AI173" s="306"/>
      <c r="AJ173" s="306"/>
      <c r="AK173" s="306"/>
      <c r="AL173" s="306"/>
      <c r="AM173" s="306"/>
      <c r="AN173" s="306"/>
      <c r="AO173" s="306"/>
      <c r="AP173" s="306"/>
      <c r="AQ173" s="306"/>
      <c r="AR173" s="306"/>
      <c r="AS173" s="306"/>
      <c r="AT173" s="306"/>
      <c r="AU173" s="306"/>
      <c r="AV173" s="306"/>
      <c r="AW173" s="306"/>
      <c r="AX173" s="306"/>
      <c r="AY173" s="306"/>
      <c r="AZ173" s="306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</row>
    <row r="174" spans="1:68" s="317" customFormat="1" ht="14.25">
      <c r="A174" s="307"/>
      <c r="B174" s="331">
        <v>5005116292</v>
      </c>
      <c r="C174" s="183" t="str">
        <f>IFERROR(IF(VLOOKUP($B174,[1]勘定科目!$A:$H,HLOOKUP($E$5,[1]勘定科目!$F$1:$H$2,2,0),0)="","",VLOOKUP($B174,[1]勘定科目!$A:$E,2,0)),"")</f>
        <v>海外渡航費（製）</v>
      </c>
      <c r="D174" s="233" t="str">
        <f>IF(C174="","",VLOOKUP($B174,[1]勘定科目!$A:$E,4,0))</f>
        <v>渡航費</v>
      </c>
      <c r="E174" s="311" t="s">
        <v>867</v>
      </c>
      <c r="F174" s="343"/>
      <c r="G174" s="345"/>
      <c r="H174" s="356"/>
      <c r="I174" s="356"/>
      <c r="J174" s="356"/>
      <c r="K174" s="356"/>
      <c r="L174" s="345"/>
      <c r="M174" s="345"/>
      <c r="N174" s="345"/>
      <c r="O174" s="345"/>
      <c r="P174" s="345"/>
      <c r="Q174" s="345"/>
      <c r="R174" s="345">
        <f t="shared" si="6"/>
        <v>0</v>
      </c>
      <c r="S174" s="378" t="s">
        <v>800</v>
      </c>
      <c r="T174" s="299"/>
      <c r="U174" s="348"/>
      <c r="V174" s="338"/>
      <c r="W174" s="349"/>
      <c r="X174" s="350"/>
      <c r="Y174" s="340"/>
      <c r="Z174" s="303"/>
      <c r="AA174" s="306"/>
      <c r="AB174" s="306"/>
      <c r="AC174" s="320"/>
      <c r="AD174" s="320"/>
      <c r="AE174" s="320"/>
      <c r="AF174" s="320"/>
      <c r="AG174" s="320"/>
      <c r="AH174" s="306"/>
      <c r="AI174" s="306"/>
      <c r="AJ174" s="306"/>
      <c r="AK174" s="306"/>
      <c r="AL174" s="306"/>
      <c r="AM174" s="306"/>
      <c r="AN174" s="306"/>
      <c r="AO174" s="306"/>
      <c r="AP174" s="306"/>
      <c r="AQ174" s="306"/>
      <c r="AR174" s="306"/>
      <c r="AS174" s="306"/>
      <c r="AT174" s="306"/>
      <c r="AU174" s="306"/>
      <c r="AV174" s="306"/>
      <c r="AW174" s="306"/>
      <c r="AX174" s="306"/>
      <c r="AY174" s="306"/>
      <c r="AZ174" s="306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</row>
    <row r="175" spans="1:68" s="317" customFormat="1" ht="14.25">
      <c r="A175" s="307"/>
      <c r="B175" s="331">
        <v>5005116292</v>
      </c>
      <c r="C175" s="183" t="str">
        <f>IFERROR(IF(VLOOKUP($B175,[1]勘定科目!$A:$H,HLOOKUP($E$5,[1]勘定科目!$F$1:$H$2,2,0),0)="","",VLOOKUP($B175,[1]勘定科目!$A:$E,2,0)),"")</f>
        <v>海外渡航費（製）</v>
      </c>
      <c r="D175" s="233" t="str">
        <f>IF(C175="","",VLOOKUP($B175,[1]勘定科目!$A:$E,4,0))</f>
        <v>渡航費</v>
      </c>
      <c r="E175" s="311" t="s">
        <v>867</v>
      </c>
      <c r="F175" s="343"/>
      <c r="G175" s="345"/>
      <c r="H175" s="356"/>
      <c r="I175" s="356"/>
      <c r="J175" s="356">
        <v>584640</v>
      </c>
      <c r="K175" s="356"/>
      <c r="L175" s="345"/>
      <c r="M175" s="345"/>
      <c r="N175" s="345"/>
      <c r="O175" s="345"/>
      <c r="P175" s="345"/>
      <c r="Q175" s="345"/>
      <c r="R175" s="345">
        <f t="shared" si="6"/>
        <v>584640</v>
      </c>
      <c r="S175" s="378" t="s">
        <v>801</v>
      </c>
      <c r="T175" s="299"/>
      <c r="U175" s="348"/>
      <c r="V175" s="338"/>
      <c r="W175" s="349"/>
      <c r="X175" s="350"/>
      <c r="Y175" s="340"/>
      <c r="Z175" s="303"/>
      <c r="AA175" s="306"/>
      <c r="AB175" s="306"/>
      <c r="AC175" s="320"/>
      <c r="AD175" s="320"/>
      <c r="AE175" s="320"/>
      <c r="AF175" s="320"/>
      <c r="AG175" s="320"/>
      <c r="AH175" s="306"/>
      <c r="AI175" s="306"/>
      <c r="AJ175" s="306"/>
      <c r="AK175" s="306"/>
      <c r="AL175" s="306"/>
      <c r="AM175" s="306"/>
      <c r="AN175" s="306"/>
      <c r="AO175" s="306"/>
      <c r="AP175" s="306"/>
      <c r="AQ175" s="306"/>
      <c r="AR175" s="306"/>
      <c r="AS175" s="306"/>
      <c r="AT175" s="306"/>
      <c r="AU175" s="306"/>
      <c r="AV175" s="306"/>
      <c r="AW175" s="306"/>
      <c r="AX175" s="306"/>
      <c r="AY175" s="306"/>
      <c r="AZ175" s="306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</row>
    <row r="176" spans="1:68" s="317" customFormat="1" ht="14.25">
      <c r="A176" s="307"/>
      <c r="B176" s="331">
        <v>5005116292</v>
      </c>
      <c r="C176" s="183" t="str">
        <f>IFERROR(IF(VLOOKUP($B176,[1]勘定科目!$A:$H,HLOOKUP($E$5,[1]勘定科目!$F$1:$H$2,2,0),0)="","",VLOOKUP($B176,[1]勘定科目!$A:$E,2,0)),"")</f>
        <v>海外渡航費（製）</v>
      </c>
      <c r="D176" s="233" t="str">
        <f>IF(C176="","",VLOOKUP($B176,[1]勘定科目!$A:$E,4,0))</f>
        <v>渡航費</v>
      </c>
      <c r="E176" s="311" t="s">
        <v>867</v>
      </c>
      <c r="F176" s="343"/>
      <c r="G176" s="345"/>
      <c r="H176" s="356"/>
      <c r="I176" s="356"/>
      <c r="J176" s="356"/>
      <c r="K176" s="356">
        <v>31487040</v>
      </c>
      <c r="L176" s="345"/>
      <c r="M176" s="345"/>
      <c r="N176" s="345"/>
      <c r="O176" s="345"/>
      <c r="P176" s="345"/>
      <c r="Q176" s="345"/>
      <c r="R176" s="345">
        <f t="shared" si="6"/>
        <v>31487040</v>
      </c>
      <c r="S176" s="378" t="s">
        <v>802</v>
      </c>
      <c r="T176" s="299"/>
      <c r="U176" s="348"/>
      <c r="V176" s="338"/>
      <c r="W176" s="349"/>
      <c r="X176" s="350"/>
      <c r="Y176" s="340"/>
      <c r="Z176" s="303"/>
      <c r="AA176" s="306"/>
      <c r="AB176" s="306"/>
      <c r="AC176" s="320"/>
      <c r="AD176" s="320"/>
      <c r="AE176" s="320"/>
      <c r="AF176" s="320"/>
      <c r="AG176" s="320"/>
      <c r="AH176" s="306"/>
      <c r="AI176" s="306"/>
      <c r="AJ176" s="306"/>
      <c r="AK176" s="306"/>
      <c r="AL176" s="306"/>
      <c r="AM176" s="306"/>
      <c r="AN176" s="306"/>
      <c r="AO176" s="306"/>
      <c r="AP176" s="306"/>
      <c r="AQ176" s="306"/>
      <c r="AR176" s="306"/>
      <c r="AS176" s="306"/>
      <c r="AT176" s="306"/>
      <c r="AU176" s="306"/>
      <c r="AV176" s="306"/>
      <c r="AW176" s="306"/>
      <c r="AX176" s="306"/>
      <c r="AY176" s="306"/>
      <c r="AZ176" s="30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</row>
    <row r="177" spans="1:68" s="317" customFormat="1" ht="14.25">
      <c r="A177" s="307"/>
      <c r="B177" s="331"/>
      <c r="C177" s="183" t="str">
        <f>IFERROR(IF(VLOOKUP($B177,[1]勘定科目!$A:$H,HLOOKUP($E$5,[1]勘定科目!$F$1:$H$2,2,0),0)="","",VLOOKUP($B177,[1]勘定科目!$A:$E,2,0)),"")</f>
        <v/>
      </c>
      <c r="D177" s="233" t="str">
        <f>IF(C177="","",VLOOKUP($B177,[1]勘定科目!$A:$E,4,0))</f>
        <v/>
      </c>
      <c r="E177" s="311"/>
      <c r="F177" s="343"/>
      <c r="G177" s="345"/>
      <c r="H177" s="356"/>
      <c r="I177" s="356"/>
      <c r="J177" s="356"/>
      <c r="K177" s="356"/>
      <c r="L177" s="345"/>
      <c r="M177" s="345"/>
      <c r="N177" s="345"/>
      <c r="O177" s="345"/>
      <c r="P177" s="345"/>
      <c r="Q177" s="345"/>
      <c r="R177" s="345">
        <f t="shared" si="6"/>
        <v>0</v>
      </c>
      <c r="S177" s="378"/>
      <c r="T177" s="299"/>
      <c r="U177" s="348"/>
      <c r="V177" s="338"/>
      <c r="W177" s="349"/>
      <c r="X177" s="350"/>
      <c r="Y177" s="340"/>
      <c r="Z177" s="303"/>
      <c r="AA177" s="306"/>
      <c r="AB177" s="306"/>
      <c r="AC177" s="320"/>
      <c r="AD177" s="320"/>
      <c r="AE177" s="320"/>
      <c r="AF177" s="320"/>
      <c r="AG177" s="320"/>
      <c r="AH177" s="306"/>
      <c r="AI177" s="306"/>
      <c r="AJ177" s="306"/>
      <c r="AK177" s="306"/>
      <c r="AL177" s="306"/>
      <c r="AM177" s="306"/>
      <c r="AN177" s="306"/>
      <c r="AO177" s="306"/>
      <c r="AP177" s="306"/>
      <c r="AQ177" s="306"/>
      <c r="AR177" s="306"/>
      <c r="AS177" s="306"/>
      <c r="AT177" s="306"/>
      <c r="AU177" s="306"/>
      <c r="AV177" s="306"/>
      <c r="AW177" s="306"/>
      <c r="AX177" s="306"/>
      <c r="AY177" s="306"/>
      <c r="AZ177" s="306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</row>
    <row r="178" spans="1:68" s="317" customFormat="1" ht="14.25">
      <c r="A178" s="307"/>
      <c r="B178" s="331">
        <v>5005116292</v>
      </c>
      <c r="C178" s="183" t="str">
        <f>IFERROR(IF(VLOOKUP($B178,[1]勘定科目!$A:$H,HLOOKUP($E$5,[1]勘定科目!$F$1:$H$2,2,0),0)="","",VLOOKUP($B178,[1]勘定科目!$A:$E,2,0)),"")</f>
        <v>海外渡航費（製）</v>
      </c>
      <c r="D178" s="233" t="str">
        <f>IF(C178="","",VLOOKUP($B178,[1]勘定科目!$A:$E,4,0))</f>
        <v>渡航費</v>
      </c>
      <c r="E178" s="311" t="s">
        <v>868</v>
      </c>
      <c r="F178" s="343"/>
      <c r="G178" s="345"/>
      <c r="H178" s="356"/>
      <c r="I178" s="356">
        <v>260000</v>
      </c>
      <c r="J178" s="356"/>
      <c r="K178" s="345"/>
      <c r="L178" s="345"/>
      <c r="M178" s="345"/>
      <c r="N178" s="345"/>
      <c r="O178" s="345"/>
      <c r="P178" s="345"/>
      <c r="Q178" s="345"/>
      <c r="R178" s="345">
        <f t="shared" si="6"/>
        <v>260000</v>
      </c>
      <c r="S178" s="378" t="s">
        <v>803</v>
      </c>
      <c r="T178" s="299"/>
      <c r="U178" s="348"/>
      <c r="V178" s="338"/>
      <c r="W178" s="349"/>
      <c r="X178" s="350"/>
      <c r="Y178" s="340"/>
      <c r="Z178" s="303"/>
      <c r="AA178" s="306"/>
      <c r="AB178" s="306"/>
      <c r="AC178" s="320"/>
      <c r="AD178" s="320"/>
      <c r="AE178" s="320"/>
      <c r="AF178" s="320"/>
      <c r="AG178" s="320"/>
      <c r="AH178" s="306"/>
      <c r="AI178" s="306"/>
      <c r="AJ178" s="306"/>
      <c r="AK178" s="306"/>
      <c r="AL178" s="306"/>
      <c r="AM178" s="306"/>
      <c r="AN178" s="306"/>
      <c r="AO178" s="306"/>
      <c r="AP178" s="306"/>
      <c r="AQ178" s="306"/>
      <c r="AR178" s="306"/>
      <c r="AS178" s="306"/>
      <c r="AT178" s="306"/>
      <c r="AU178" s="306"/>
      <c r="AV178" s="306"/>
      <c r="AW178" s="306"/>
      <c r="AX178" s="306"/>
      <c r="AY178" s="306"/>
      <c r="AZ178" s="306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</row>
    <row r="179" spans="1:68" s="317" customFormat="1" ht="14.25">
      <c r="A179" s="307"/>
      <c r="B179" s="331">
        <v>5005116292</v>
      </c>
      <c r="C179" s="183" t="str">
        <f>IFERROR(IF(VLOOKUP($B179,[1]勘定科目!$A:$H,HLOOKUP($E$5,[1]勘定科目!$F$1:$H$2,2,0),0)="","",VLOOKUP($B179,[1]勘定科目!$A:$E,2,0)),"")</f>
        <v>海外渡航費（製）</v>
      </c>
      <c r="D179" s="233" t="str">
        <f>IF(C179="","",VLOOKUP($B179,[1]勘定科目!$A:$E,4,0))</f>
        <v>渡航費</v>
      </c>
      <c r="E179" s="311" t="s">
        <v>868</v>
      </c>
      <c r="F179" s="343"/>
      <c r="G179" s="356"/>
      <c r="H179" s="356"/>
      <c r="I179" s="356">
        <v>3500000</v>
      </c>
      <c r="J179" s="356"/>
      <c r="K179" s="356"/>
      <c r="L179" s="345"/>
      <c r="M179" s="345"/>
      <c r="N179" s="345"/>
      <c r="O179" s="345"/>
      <c r="P179" s="345"/>
      <c r="Q179" s="343"/>
      <c r="R179" s="343">
        <f t="shared" si="6"/>
        <v>3500000</v>
      </c>
      <c r="S179" s="378" t="s">
        <v>804</v>
      </c>
      <c r="T179" s="299"/>
      <c r="U179" s="348"/>
      <c r="V179" s="338"/>
      <c r="W179" s="349"/>
      <c r="X179" s="350"/>
      <c r="Y179" s="340"/>
      <c r="Z179" s="303"/>
      <c r="AA179" s="306"/>
      <c r="AB179" s="306"/>
      <c r="AC179" s="320"/>
      <c r="AD179" s="320"/>
      <c r="AE179" s="320"/>
      <c r="AF179" s="320"/>
      <c r="AG179" s="320"/>
      <c r="AH179" s="306"/>
      <c r="AI179" s="306"/>
      <c r="AJ179" s="306"/>
      <c r="AK179" s="306"/>
      <c r="AL179" s="306"/>
      <c r="AM179" s="306"/>
      <c r="AN179" s="306"/>
      <c r="AO179" s="306"/>
      <c r="AP179" s="306"/>
      <c r="AQ179" s="306"/>
      <c r="AR179" s="306"/>
      <c r="AS179" s="306"/>
      <c r="AT179" s="306"/>
      <c r="AU179" s="306"/>
      <c r="AV179" s="306"/>
      <c r="AW179" s="306"/>
      <c r="AX179" s="306"/>
      <c r="AY179" s="306"/>
      <c r="AZ179" s="306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</row>
    <row r="180" spans="1:68" s="317" customFormat="1" ht="14.25">
      <c r="A180" s="307"/>
      <c r="B180" s="331">
        <v>5005116292</v>
      </c>
      <c r="C180" s="183" t="str">
        <f>IFERROR(IF(VLOOKUP($B180,[1]勘定科目!$A:$H,HLOOKUP($E$5,[1]勘定科目!$F$1:$H$2,2,0),0)="","",VLOOKUP($B180,[1]勘定科目!$A:$E,2,0)),"")</f>
        <v>海外渡航費（製）</v>
      </c>
      <c r="D180" s="233" t="str">
        <f>IF(C180="","",VLOOKUP($B180,[1]勘定科目!$A:$E,4,0))</f>
        <v>渡航費</v>
      </c>
      <c r="E180" s="311" t="s">
        <v>868</v>
      </c>
      <c r="F180" s="343"/>
      <c r="G180" s="356"/>
      <c r="H180" s="356"/>
      <c r="I180" s="356"/>
      <c r="J180" s="356"/>
      <c r="K180" s="356"/>
      <c r="L180" s="345"/>
      <c r="M180" s="345"/>
      <c r="N180" s="345"/>
      <c r="O180" s="345"/>
      <c r="P180" s="345"/>
      <c r="Q180" s="343"/>
      <c r="R180" s="343">
        <f t="shared" si="6"/>
        <v>0</v>
      </c>
      <c r="S180" s="378" t="s">
        <v>805</v>
      </c>
      <c r="T180" s="299"/>
      <c r="U180" s="348"/>
      <c r="V180" s="338"/>
      <c r="W180" s="349"/>
      <c r="X180" s="350"/>
      <c r="Y180" s="340"/>
      <c r="Z180" s="303"/>
      <c r="AA180" s="306"/>
      <c r="AB180" s="306"/>
      <c r="AC180" s="320"/>
      <c r="AD180" s="320"/>
      <c r="AE180" s="320"/>
      <c r="AF180" s="320"/>
      <c r="AG180" s="320"/>
      <c r="AH180" s="306"/>
      <c r="AI180" s="306"/>
      <c r="AJ180" s="306"/>
      <c r="AK180" s="306"/>
      <c r="AL180" s="306"/>
      <c r="AM180" s="306"/>
      <c r="AN180" s="306"/>
      <c r="AO180" s="306"/>
      <c r="AP180" s="306"/>
      <c r="AQ180" s="306"/>
      <c r="AR180" s="306"/>
      <c r="AS180" s="306"/>
      <c r="AT180" s="306"/>
      <c r="AU180" s="306"/>
      <c r="AV180" s="306"/>
      <c r="AW180" s="306"/>
      <c r="AX180" s="306"/>
      <c r="AY180" s="306"/>
      <c r="AZ180" s="306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</row>
    <row r="181" spans="1:68" s="317" customFormat="1" ht="14.25">
      <c r="A181" s="307"/>
      <c r="B181" s="331">
        <v>5005116292</v>
      </c>
      <c r="C181" s="183" t="str">
        <f>IFERROR(IF(VLOOKUP($B181,[1]勘定科目!$A:$H,HLOOKUP($E$5,[1]勘定科目!$F$1:$H$2,2,0),0)="","",VLOOKUP($B181,[1]勘定科目!$A:$E,2,0)),"")</f>
        <v>海外渡航費（製）</v>
      </c>
      <c r="D181" s="233" t="str">
        <f>IF(C181="","",VLOOKUP($B181,[1]勘定科目!$A:$E,4,0))</f>
        <v>渡航費</v>
      </c>
      <c r="E181" s="311" t="s">
        <v>868</v>
      </c>
      <c r="F181" s="343"/>
      <c r="G181" s="356"/>
      <c r="H181" s="356"/>
      <c r="I181" s="356"/>
      <c r="J181" s="356">
        <v>1447230</v>
      </c>
      <c r="K181" s="356"/>
      <c r="L181" s="345"/>
      <c r="M181" s="345"/>
      <c r="N181" s="345"/>
      <c r="O181" s="345"/>
      <c r="P181" s="345"/>
      <c r="Q181" s="343"/>
      <c r="R181" s="343">
        <f t="shared" si="6"/>
        <v>1447230</v>
      </c>
      <c r="S181" s="378" t="s">
        <v>806</v>
      </c>
      <c r="T181" s="299"/>
      <c r="U181" s="348"/>
      <c r="V181" s="338"/>
      <c r="W181" s="349"/>
      <c r="X181" s="350"/>
      <c r="Y181" s="340"/>
      <c r="Z181" s="303"/>
      <c r="AA181" s="306"/>
      <c r="AB181" s="306"/>
      <c r="AC181" s="320"/>
      <c r="AD181" s="320"/>
      <c r="AE181" s="320"/>
      <c r="AF181" s="320"/>
      <c r="AG181" s="320"/>
      <c r="AH181" s="306"/>
      <c r="AI181" s="306"/>
      <c r="AJ181" s="306"/>
      <c r="AK181" s="306"/>
      <c r="AL181" s="306"/>
      <c r="AM181" s="306"/>
      <c r="AN181" s="306"/>
      <c r="AO181" s="306"/>
      <c r="AP181" s="306"/>
      <c r="AQ181" s="306"/>
      <c r="AR181" s="306"/>
      <c r="AS181" s="306"/>
      <c r="AT181" s="306"/>
      <c r="AU181" s="306"/>
      <c r="AV181" s="306"/>
      <c r="AW181" s="306"/>
      <c r="AX181" s="306"/>
      <c r="AY181" s="306"/>
      <c r="AZ181" s="306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</row>
    <row r="182" spans="1:68" s="317" customFormat="1" ht="14.25">
      <c r="A182" s="307"/>
      <c r="B182" s="331">
        <v>5005116292</v>
      </c>
      <c r="C182" s="183" t="str">
        <f>IFERROR(IF(VLOOKUP($B182,[1]勘定科目!$A:$H,HLOOKUP($E$5,[1]勘定科目!$F$1:$H$2,2,0),0)="","",VLOOKUP($B182,[1]勘定科目!$A:$E,2,0)),"")</f>
        <v>海外渡航費（製）</v>
      </c>
      <c r="D182" s="233" t="str">
        <f>IF(C182="","",VLOOKUP($B182,[1]勘定科目!$A:$E,4,0))</f>
        <v>渡航費</v>
      </c>
      <c r="E182" s="311" t="s">
        <v>868</v>
      </c>
      <c r="F182" s="343"/>
      <c r="G182" s="356"/>
      <c r="H182" s="356"/>
      <c r="I182" s="356"/>
      <c r="J182" s="356"/>
      <c r="K182" s="356">
        <v>38085000</v>
      </c>
      <c r="L182" s="345"/>
      <c r="M182" s="345"/>
      <c r="N182" s="345"/>
      <c r="O182" s="345"/>
      <c r="P182" s="345"/>
      <c r="Q182" s="343"/>
      <c r="R182" s="343">
        <f t="shared" si="6"/>
        <v>38085000</v>
      </c>
      <c r="S182" s="378" t="s">
        <v>807</v>
      </c>
      <c r="T182" s="299"/>
      <c r="U182" s="348"/>
      <c r="V182" s="338"/>
      <c r="W182" s="349"/>
      <c r="X182" s="350"/>
      <c r="Y182" s="340"/>
      <c r="Z182" s="303"/>
      <c r="AA182" s="306"/>
      <c r="AB182" s="306"/>
      <c r="AC182" s="320"/>
      <c r="AD182" s="320"/>
      <c r="AE182" s="320"/>
      <c r="AF182" s="320"/>
      <c r="AG182" s="320"/>
      <c r="AH182" s="306"/>
      <c r="AI182" s="306"/>
      <c r="AJ182" s="306"/>
      <c r="AK182" s="306"/>
      <c r="AL182" s="306"/>
      <c r="AM182" s="306"/>
      <c r="AN182" s="306"/>
      <c r="AO182" s="306"/>
      <c r="AP182" s="306"/>
      <c r="AQ182" s="306"/>
      <c r="AR182" s="306"/>
      <c r="AS182" s="306"/>
      <c r="AT182" s="306"/>
      <c r="AU182" s="306"/>
      <c r="AV182" s="306"/>
      <c r="AW182" s="306"/>
      <c r="AX182" s="306"/>
      <c r="AY182" s="306"/>
      <c r="AZ182" s="306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</row>
    <row r="183" spans="1:68" s="317" customFormat="1" ht="14.25">
      <c r="A183" s="307"/>
      <c r="B183" s="331">
        <v>5005116292</v>
      </c>
      <c r="C183" s="183" t="str">
        <f>IFERROR(IF(VLOOKUP($B183,[1]勘定科目!$A:$H,HLOOKUP($E$5,[1]勘定科目!$F$1:$H$2,2,0),0)="","",VLOOKUP($B183,[1]勘定科目!$A:$E,2,0)),"")</f>
        <v>海外渡航費（製）</v>
      </c>
      <c r="D183" s="233" t="str">
        <f>IF(C183="","",VLOOKUP($B183,[1]勘定科目!$A:$E,4,0))</f>
        <v>渡航費</v>
      </c>
      <c r="E183" s="311" t="s">
        <v>868</v>
      </c>
      <c r="F183" s="343"/>
      <c r="G183" s="356"/>
      <c r="H183" s="356"/>
      <c r="I183" s="356"/>
      <c r="J183" s="356"/>
      <c r="K183" s="356"/>
      <c r="L183" s="345"/>
      <c r="M183" s="345"/>
      <c r="N183" s="345"/>
      <c r="O183" s="345"/>
      <c r="P183" s="345"/>
      <c r="Q183" s="343"/>
      <c r="R183" s="343">
        <f t="shared" ref="R183:R213" si="7">SUM(F183:Q183)</f>
        <v>0</v>
      </c>
      <c r="S183" s="378" t="s">
        <v>808</v>
      </c>
      <c r="T183" s="299"/>
      <c r="U183" s="348"/>
      <c r="V183" s="338"/>
      <c r="W183" s="349"/>
      <c r="X183" s="350"/>
      <c r="Y183" s="340"/>
      <c r="Z183" s="303"/>
      <c r="AA183" s="306"/>
      <c r="AB183" s="306"/>
      <c r="AC183" s="320"/>
      <c r="AD183" s="320"/>
      <c r="AE183" s="320"/>
      <c r="AF183" s="320"/>
      <c r="AG183" s="320"/>
      <c r="AH183" s="306"/>
      <c r="AI183" s="306"/>
      <c r="AJ183" s="306"/>
      <c r="AK183" s="306"/>
      <c r="AL183" s="306"/>
      <c r="AM183" s="306"/>
      <c r="AN183" s="306"/>
      <c r="AO183" s="306"/>
      <c r="AP183" s="306"/>
      <c r="AQ183" s="306"/>
      <c r="AR183" s="306"/>
      <c r="AS183" s="306"/>
      <c r="AT183" s="306"/>
      <c r="AU183" s="306"/>
      <c r="AV183" s="306"/>
      <c r="AW183" s="306"/>
      <c r="AX183" s="306"/>
      <c r="AY183" s="306"/>
      <c r="AZ183" s="306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</row>
    <row r="184" spans="1:68" s="317" customFormat="1" ht="14.25">
      <c r="A184" s="307"/>
      <c r="B184" s="331">
        <v>5005116292</v>
      </c>
      <c r="C184" s="183" t="str">
        <f>IFERROR(IF(VLOOKUP($B184,[1]勘定科目!$A:$H,HLOOKUP($E$5,[1]勘定科目!$F$1:$H$2,2,0),0)="","",VLOOKUP($B184,[1]勘定科目!$A:$E,2,0)),"")</f>
        <v>海外渡航費（製）</v>
      </c>
      <c r="D184" s="233" t="str">
        <f>IF(C184="","",VLOOKUP($B184,[1]勘定科目!$A:$E,4,0))</f>
        <v>渡航費</v>
      </c>
      <c r="E184" s="311" t="s">
        <v>868</v>
      </c>
      <c r="F184" s="343"/>
      <c r="G184" s="356"/>
      <c r="H184" s="356"/>
      <c r="I184" s="356"/>
      <c r="J184" s="356">
        <v>835200</v>
      </c>
      <c r="K184" s="356"/>
      <c r="L184" s="345"/>
      <c r="M184" s="345"/>
      <c r="N184" s="345"/>
      <c r="O184" s="345"/>
      <c r="P184" s="345"/>
      <c r="Q184" s="343"/>
      <c r="R184" s="343">
        <f t="shared" si="7"/>
        <v>835200</v>
      </c>
      <c r="S184" s="378" t="s">
        <v>809</v>
      </c>
      <c r="T184" s="299"/>
      <c r="U184" s="348"/>
      <c r="V184" s="338"/>
      <c r="W184" s="349"/>
      <c r="X184" s="350"/>
      <c r="Y184" s="340"/>
      <c r="Z184" s="303"/>
      <c r="AA184" s="306"/>
      <c r="AB184" s="306"/>
      <c r="AC184" s="320"/>
      <c r="AD184" s="320"/>
      <c r="AE184" s="320"/>
      <c r="AF184" s="320"/>
      <c r="AG184" s="320"/>
      <c r="AH184" s="306"/>
      <c r="AI184" s="306"/>
      <c r="AJ184" s="306"/>
      <c r="AK184" s="306"/>
      <c r="AL184" s="306"/>
      <c r="AM184" s="306"/>
      <c r="AN184" s="306"/>
      <c r="AO184" s="306"/>
      <c r="AP184" s="306"/>
      <c r="AQ184" s="306"/>
      <c r="AR184" s="306"/>
      <c r="AS184" s="306"/>
      <c r="AT184" s="306"/>
      <c r="AU184" s="306"/>
      <c r="AV184" s="306"/>
      <c r="AW184" s="306"/>
      <c r="AX184" s="306"/>
      <c r="AY184" s="306"/>
      <c r="AZ184" s="306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</row>
    <row r="185" spans="1:68" s="317" customFormat="1" ht="14.25">
      <c r="A185" s="307"/>
      <c r="B185" s="331">
        <v>5005116292</v>
      </c>
      <c r="C185" s="183" t="str">
        <f>IFERROR(IF(VLOOKUP($B185,[1]勘定科目!$A:$H,HLOOKUP($E$5,[1]勘定科目!$F$1:$H$2,2,0),0)="","",VLOOKUP($B185,[1]勘定科目!$A:$E,2,0)),"")</f>
        <v>海外渡航費（製）</v>
      </c>
      <c r="D185" s="233" t="str">
        <f>IF(C185="","",VLOOKUP($B185,[1]勘定科目!$A:$E,4,0))</f>
        <v>渡航費</v>
      </c>
      <c r="E185" s="311" t="s">
        <v>868</v>
      </c>
      <c r="F185" s="343"/>
      <c r="G185" s="356"/>
      <c r="H185" s="356"/>
      <c r="I185" s="356"/>
      <c r="J185" s="356"/>
      <c r="K185" s="356">
        <v>1000000</v>
      </c>
      <c r="L185" s="345"/>
      <c r="M185" s="345"/>
      <c r="N185" s="345"/>
      <c r="O185" s="345"/>
      <c r="P185" s="345"/>
      <c r="Q185" s="343"/>
      <c r="R185" s="343">
        <f t="shared" si="7"/>
        <v>1000000</v>
      </c>
      <c r="S185" s="378" t="s">
        <v>810</v>
      </c>
      <c r="T185" s="299"/>
      <c r="U185" s="348"/>
      <c r="V185" s="338"/>
      <c r="W185" s="349"/>
      <c r="X185" s="350"/>
      <c r="Y185" s="340"/>
      <c r="Z185" s="303"/>
      <c r="AA185" s="306"/>
      <c r="AB185" s="306"/>
      <c r="AC185" s="320"/>
      <c r="AD185" s="320"/>
      <c r="AE185" s="320"/>
      <c r="AF185" s="320"/>
      <c r="AG185" s="320"/>
      <c r="AH185" s="306"/>
      <c r="AI185" s="306"/>
      <c r="AJ185" s="306"/>
      <c r="AK185" s="306"/>
      <c r="AL185" s="306"/>
      <c r="AM185" s="306"/>
      <c r="AN185" s="306"/>
      <c r="AO185" s="306"/>
      <c r="AP185" s="306"/>
      <c r="AQ185" s="306"/>
      <c r="AR185" s="306"/>
      <c r="AS185" s="306"/>
      <c r="AT185" s="306"/>
      <c r="AU185" s="306"/>
      <c r="AV185" s="306"/>
      <c r="AW185" s="306"/>
      <c r="AX185" s="306"/>
      <c r="AY185" s="306"/>
      <c r="AZ185" s="306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</row>
    <row r="186" spans="1:68" s="317" customFormat="1" ht="14.25">
      <c r="A186" s="307"/>
      <c r="B186" s="331">
        <v>5005116292</v>
      </c>
      <c r="C186" s="183" t="str">
        <f>IFERROR(IF(VLOOKUP($B186,[1]勘定科目!$A:$H,HLOOKUP($E$5,[1]勘定科目!$F$1:$H$2,2,0),0)="","",VLOOKUP($B186,[1]勘定科目!$A:$E,2,0)),"")</f>
        <v>海外渡航費（製）</v>
      </c>
      <c r="D186" s="233" t="str">
        <f>IF(C186="","",VLOOKUP($B186,[1]勘定科目!$A:$E,4,0))</f>
        <v>渡航費</v>
      </c>
      <c r="E186" s="311" t="s">
        <v>868</v>
      </c>
      <c r="F186" s="343"/>
      <c r="G186" s="356"/>
      <c r="H186" s="356"/>
      <c r="I186" s="356"/>
      <c r="J186" s="356"/>
      <c r="K186" s="356">
        <v>28182900</v>
      </c>
      <c r="L186" s="345"/>
      <c r="M186" s="345"/>
      <c r="N186" s="345"/>
      <c r="O186" s="345"/>
      <c r="P186" s="345"/>
      <c r="Q186" s="343"/>
      <c r="R186" s="343">
        <f t="shared" si="7"/>
        <v>28182900</v>
      </c>
      <c r="S186" s="378" t="s">
        <v>811</v>
      </c>
      <c r="T186" s="299"/>
      <c r="U186" s="348"/>
      <c r="V186" s="338"/>
      <c r="W186" s="349"/>
      <c r="X186" s="350"/>
      <c r="Y186" s="340"/>
      <c r="Z186" s="303"/>
      <c r="AA186" s="306"/>
      <c r="AB186" s="306"/>
      <c r="AC186" s="320"/>
      <c r="AD186" s="320"/>
      <c r="AE186" s="320"/>
      <c r="AF186" s="320"/>
      <c r="AG186" s="320"/>
      <c r="AH186" s="306"/>
      <c r="AI186" s="306"/>
      <c r="AJ186" s="306"/>
      <c r="AK186" s="306"/>
      <c r="AL186" s="306"/>
      <c r="AM186" s="306"/>
      <c r="AN186" s="306"/>
      <c r="AO186" s="306"/>
      <c r="AP186" s="306"/>
      <c r="AQ186" s="306"/>
      <c r="AR186" s="306"/>
      <c r="AS186" s="306"/>
      <c r="AT186" s="306"/>
      <c r="AU186" s="306"/>
      <c r="AV186" s="306"/>
      <c r="AW186" s="306"/>
      <c r="AX186" s="306"/>
      <c r="AY186" s="306"/>
      <c r="AZ186" s="30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</row>
    <row r="187" spans="1:68" s="317" customFormat="1" ht="14.25">
      <c r="A187" s="307"/>
      <c r="B187" s="331">
        <v>5005116292</v>
      </c>
      <c r="C187" s="183" t="str">
        <f>IFERROR(IF(VLOOKUP($B187,[1]勘定科目!$A:$H,HLOOKUP($E$5,[1]勘定科目!$F$1:$H$2,2,0),0)="","",VLOOKUP($B187,[1]勘定科目!$A:$E,2,0)),"")</f>
        <v>海外渡航費（製）</v>
      </c>
      <c r="D187" s="233" t="str">
        <f>IF(C187="","",VLOOKUP($B187,[1]勘定科目!$A:$E,4,0))</f>
        <v>渡航費</v>
      </c>
      <c r="E187" s="311" t="s">
        <v>868</v>
      </c>
      <c r="F187" s="343"/>
      <c r="G187" s="356"/>
      <c r="H187" s="356"/>
      <c r="I187" s="356"/>
      <c r="J187" s="356">
        <v>584640</v>
      </c>
      <c r="K187" s="356"/>
      <c r="L187" s="345"/>
      <c r="M187" s="345"/>
      <c r="N187" s="345"/>
      <c r="O187" s="345"/>
      <c r="P187" s="345"/>
      <c r="Q187" s="345"/>
      <c r="R187" s="345">
        <f t="shared" si="7"/>
        <v>584640</v>
      </c>
      <c r="S187" s="378" t="s">
        <v>812</v>
      </c>
      <c r="T187" s="299"/>
      <c r="U187" s="348"/>
      <c r="V187" s="338"/>
      <c r="W187" s="349"/>
      <c r="X187" s="350"/>
      <c r="Y187" s="340"/>
      <c r="Z187" s="303"/>
      <c r="AA187" s="306"/>
      <c r="AB187" s="306"/>
      <c r="AC187" s="320"/>
      <c r="AD187" s="320"/>
      <c r="AE187" s="320"/>
      <c r="AF187" s="320"/>
      <c r="AG187" s="320"/>
      <c r="AH187" s="306"/>
      <c r="AI187" s="306"/>
      <c r="AJ187" s="306"/>
      <c r="AK187" s="306"/>
      <c r="AL187" s="306"/>
      <c r="AM187" s="306"/>
      <c r="AN187" s="306"/>
      <c r="AO187" s="306"/>
      <c r="AP187" s="306"/>
      <c r="AQ187" s="306"/>
      <c r="AR187" s="306"/>
      <c r="AS187" s="306"/>
      <c r="AT187" s="306"/>
      <c r="AU187" s="306"/>
      <c r="AV187" s="306"/>
      <c r="AW187" s="306"/>
      <c r="AX187" s="306"/>
      <c r="AY187" s="306"/>
      <c r="AZ187" s="306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</row>
    <row r="188" spans="1:68" s="317" customFormat="1" ht="14.25">
      <c r="A188" s="307"/>
      <c r="B188" s="331">
        <v>5005116292</v>
      </c>
      <c r="C188" s="183" t="str">
        <f>IFERROR(IF(VLOOKUP($B188,[1]勘定科目!$A:$H,HLOOKUP($E$5,[1]勘定科目!$F$1:$H$2,2,0),0)="","",VLOOKUP($B188,[1]勘定科目!$A:$E,2,0)),"")</f>
        <v>海外渡航費（製）</v>
      </c>
      <c r="D188" s="233" t="str">
        <f>IF(C188="","",VLOOKUP($B188,[1]勘定科目!$A:$E,4,0))</f>
        <v>渡航費</v>
      </c>
      <c r="E188" s="311" t="s">
        <v>868</v>
      </c>
      <c r="F188" s="343"/>
      <c r="G188" s="356"/>
      <c r="H188" s="356"/>
      <c r="I188" s="356"/>
      <c r="J188" s="356"/>
      <c r="K188" s="356">
        <v>31487040</v>
      </c>
      <c r="L188" s="345"/>
      <c r="M188" s="345"/>
      <c r="N188" s="345"/>
      <c r="O188" s="345"/>
      <c r="P188" s="345"/>
      <c r="Q188" s="345"/>
      <c r="R188" s="345">
        <f t="shared" si="7"/>
        <v>31487040</v>
      </c>
      <c r="S188" s="378" t="s">
        <v>813</v>
      </c>
      <c r="T188" s="299"/>
      <c r="U188" s="348"/>
      <c r="V188" s="348"/>
      <c r="W188" s="349"/>
      <c r="X188" s="350"/>
      <c r="Y188" s="340"/>
      <c r="Z188" s="303"/>
      <c r="AA188" s="306"/>
      <c r="AB188" s="306"/>
      <c r="AC188" s="320"/>
      <c r="AD188" s="320"/>
      <c r="AE188" s="320"/>
      <c r="AF188" s="320"/>
      <c r="AG188" s="320"/>
      <c r="AH188" s="306"/>
      <c r="AI188" s="306"/>
      <c r="AJ188" s="306"/>
      <c r="AK188" s="306"/>
      <c r="AL188" s="306"/>
      <c r="AM188" s="306"/>
      <c r="AN188" s="306"/>
      <c r="AO188" s="306"/>
      <c r="AP188" s="306"/>
      <c r="AQ188" s="306"/>
      <c r="AR188" s="306"/>
      <c r="AS188" s="306"/>
      <c r="AT188" s="306"/>
      <c r="AU188" s="306"/>
      <c r="AV188" s="306"/>
      <c r="AW188" s="306"/>
      <c r="AX188" s="306"/>
      <c r="AY188" s="306"/>
      <c r="AZ188" s="306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</row>
    <row r="189" spans="1:68" s="317" customFormat="1" ht="14.25">
      <c r="A189" s="307"/>
      <c r="B189" s="331"/>
      <c r="C189" s="183" t="str">
        <f>IFERROR(IF(VLOOKUP($B189,[1]勘定科目!$A:$H,HLOOKUP($E$5,[1]勘定科目!$F$1:$H$2,2,0),0)="","",VLOOKUP($B189,[1]勘定科目!$A:$E,2,0)),"")</f>
        <v/>
      </c>
      <c r="D189" s="233" t="str">
        <f>IF(C189="","",VLOOKUP($B189,[1]勘定科目!$A:$E,4,0))</f>
        <v/>
      </c>
      <c r="E189" s="311"/>
      <c r="F189" s="343"/>
      <c r="G189" s="356"/>
      <c r="H189" s="356"/>
      <c r="I189" s="356"/>
      <c r="J189" s="356"/>
      <c r="K189" s="356"/>
      <c r="L189" s="345"/>
      <c r="M189" s="345"/>
      <c r="N189" s="345"/>
      <c r="O189" s="345"/>
      <c r="P189" s="345"/>
      <c r="Q189" s="345"/>
      <c r="R189" s="345">
        <f t="shared" si="7"/>
        <v>0</v>
      </c>
      <c r="S189" s="378"/>
      <c r="T189" s="299"/>
      <c r="U189" s="348"/>
      <c r="V189" s="348"/>
      <c r="W189" s="349"/>
      <c r="X189" s="350"/>
      <c r="Y189" s="340"/>
      <c r="Z189" s="303"/>
      <c r="AA189" s="306"/>
      <c r="AB189" s="306"/>
      <c r="AC189" s="320"/>
      <c r="AD189" s="320"/>
      <c r="AE189" s="320"/>
      <c r="AF189" s="320"/>
      <c r="AG189" s="320"/>
      <c r="AH189" s="306"/>
      <c r="AI189" s="306"/>
      <c r="AJ189" s="306"/>
      <c r="AK189" s="306"/>
      <c r="AL189" s="306"/>
      <c r="AM189" s="306"/>
      <c r="AN189" s="306"/>
      <c r="AO189" s="306"/>
      <c r="AP189" s="306"/>
      <c r="AQ189" s="306"/>
      <c r="AR189" s="306"/>
      <c r="AS189" s="306"/>
      <c r="AT189" s="306"/>
      <c r="AU189" s="306"/>
      <c r="AV189" s="306"/>
      <c r="AW189" s="306"/>
      <c r="AX189" s="306"/>
      <c r="AY189" s="306"/>
      <c r="AZ189" s="306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</row>
    <row r="190" spans="1:68" s="317" customFormat="1" ht="14.25">
      <c r="A190" s="307"/>
      <c r="B190" s="331"/>
      <c r="C190" s="183" t="str">
        <f>IFERROR(IF(VLOOKUP($B190,[1]勘定科目!$A:$H,HLOOKUP($E$5,[1]勘定科目!$F$1:$H$2,2,0),0)="","",VLOOKUP($B190,[1]勘定科目!$A:$E,2,0)),"")</f>
        <v/>
      </c>
      <c r="D190" s="233" t="str">
        <f>IF(C190="","",VLOOKUP($B190,[1]勘定科目!$A:$E,4,0))</f>
        <v/>
      </c>
      <c r="E190" s="311"/>
      <c r="F190" s="343"/>
      <c r="G190" s="356"/>
      <c r="H190" s="356"/>
      <c r="I190" s="356"/>
      <c r="J190" s="345"/>
      <c r="K190" s="345"/>
      <c r="L190" s="345"/>
      <c r="M190" s="345"/>
      <c r="N190" s="345"/>
      <c r="O190" s="345"/>
      <c r="P190" s="345"/>
      <c r="Q190" s="345"/>
      <c r="R190" s="345">
        <f t="shared" si="7"/>
        <v>0</v>
      </c>
      <c r="S190" s="378" t="s">
        <v>814</v>
      </c>
      <c r="T190" s="299"/>
      <c r="U190" s="348"/>
      <c r="V190" s="348"/>
      <c r="W190" s="349"/>
      <c r="X190" s="350"/>
      <c r="Y190" s="340"/>
      <c r="Z190" s="303"/>
      <c r="AA190" s="306"/>
      <c r="AB190" s="306"/>
      <c r="AC190" s="320"/>
      <c r="AD190" s="320"/>
      <c r="AE190" s="320"/>
      <c r="AF190" s="320"/>
      <c r="AG190" s="320"/>
      <c r="AH190" s="306"/>
      <c r="AI190" s="306"/>
      <c r="AJ190" s="306"/>
      <c r="AK190" s="306"/>
      <c r="AL190" s="306"/>
      <c r="AM190" s="306"/>
      <c r="AN190" s="306"/>
      <c r="AO190" s="306"/>
      <c r="AP190" s="306"/>
      <c r="AQ190" s="306"/>
      <c r="AR190" s="306"/>
      <c r="AS190" s="306"/>
      <c r="AT190" s="306"/>
      <c r="AU190" s="306"/>
      <c r="AV190" s="306"/>
      <c r="AW190" s="306"/>
      <c r="AX190" s="306"/>
      <c r="AY190" s="306"/>
      <c r="AZ190" s="306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</row>
    <row r="191" spans="1:68" s="375" customFormat="1" ht="16.5">
      <c r="A191" s="363"/>
      <c r="B191" s="364">
        <v>5005116292</v>
      </c>
      <c r="C191" s="183" t="str">
        <f>IFERROR(IF(VLOOKUP($B191,[1]勘定科目!$A:$H,HLOOKUP($E$5,[1]勘定科目!$F$1:$H$2,2,0),0)="","",VLOOKUP($B191,[1]勘定科目!$A:$E,2,0)),"")</f>
        <v>海外渡航費（製）</v>
      </c>
      <c r="D191" s="233" t="str">
        <f>IF(C191="","",VLOOKUP($B191,[1]勘定科目!$A:$E,4,0))</f>
        <v>渡航費</v>
      </c>
      <c r="E191" s="365"/>
      <c r="F191" s="366"/>
      <c r="G191" s="366"/>
      <c r="H191" s="366"/>
      <c r="I191" s="366"/>
      <c r="J191" s="366"/>
      <c r="K191" s="366"/>
      <c r="L191" s="366"/>
      <c r="M191" s="366"/>
      <c r="N191" s="366"/>
      <c r="O191" s="366"/>
      <c r="P191" s="366"/>
      <c r="Q191" s="366"/>
      <c r="R191" s="366">
        <f t="shared" si="7"/>
        <v>0</v>
      </c>
      <c r="S191" s="324" t="s">
        <v>866</v>
      </c>
      <c r="T191" s="367"/>
      <c r="U191" s="368"/>
      <c r="V191" s="368"/>
      <c r="W191" s="369"/>
      <c r="X191" s="370"/>
      <c r="Y191" s="371"/>
      <c r="Z191" s="371"/>
      <c r="AA191" s="371"/>
      <c r="AB191" s="371"/>
      <c r="AC191" s="372"/>
      <c r="AD191" s="372"/>
      <c r="AE191" s="372"/>
      <c r="AF191" s="372"/>
      <c r="AG191" s="372"/>
      <c r="AH191" s="373"/>
      <c r="AI191" s="373"/>
      <c r="AJ191" s="373"/>
      <c r="AK191" s="373"/>
      <c r="AL191" s="373"/>
      <c r="AM191" s="373"/>
      <c r="AN191" s="373"/>
      <c r="AO191" s="373"/>
      <c r="AP191" s="373"/>
      <c r="AQ191" s="373"/>
      <c r="AR191" s="373"/>
      <c r="AS191" s="373"/>
      <c r="AT191" s="373"/>
      <c r="AU191" s="373"/>
      <c r="AV191" s="373"/>
      <c r="AW191" s="373"/>
      <c r="AX191" s="373"/>
      <c r="AY191" s="373"/>
      <c r="AZ191" s="373"/>
      <c r="BA191" s="374"/>
      <c r="BB191" s="374"/>
      <c r="BC191" s="374"/>
      <c r="BD191" s="374"/>
      <c r="BE191" s="374"/>
      <c r="BF191" s="374"/>
      <c r="BG191" s="374"/>
      <c r="BH191" s="374"/>
      <c r="BI191" s="374"/>
      <c r="BJ191" s="374"/>
      <c r="BK191" s="374"/>
      <c r="BL191" s="374"/>
      <c r="BM191" s="374"/>
      <c r="BN191" s="374"/>
      <c r="BO191" s="374"/>
      <c r="BP191" s="374"/>
    </row>
    <row r="192" spans="1:68" s="375" customFormat="1" ht="14.25">
      <c r="A192" s="363"/>
      <c r="B192" s="331"/>
      <c r="C192" s="183" t="str">
        <f>IFERROR(IF(VLOOKUP($B192,[1]勘定科目!$A:$H,HLOOKUP($E$5,[1]勘定科目!$F$1:$H$2,2,0),0)="","",VLOOKUP($B192,[1]勘定科目!$A:$E,2,0)),"")</f>
        <v/>
      </c>
      <c r="D192" s="233" t="str">
        <f>IF(C192="","",VLOOKUP($B192,[1]勘定科目!$A:$E,4,0))</f>
        <v/>
      </c>
      <c r="E192" s="365"/>
      <c r="F192" s="328"/>
      <c r="G192" s="328"/>
      <c r="H192" s="328"/>
      <c r="I192" s="328"/>
      <c r="J192" s="328"/>
      <c r="K192" s="328"/>
      <c r="L192" s="328"/>
      <c r="M192" s="328"/>
      <c r="N192" s="328"/>
      <c r="O192" s="328"/>
      <c r="P192" s="328"/>
      <c r="Q192" s="328"/>
      <c r="R192" s="328">
        <f t="shared" si="7"/>
        <v>0</v>
      </c>
      <c r="S192" s="360"/>
      <c r="T192" s="367"/>
      <c r="U192" s="368"/>
      <c r="V192" s="368"/>
      <c r="W192" s="369"/>
      <c r="X192" s="370"/>
      <c r="Y192" s="371"/>
      <c r="Z192" s="371"/>
      <c r="AA192" s="371"/>
      <c r="AB192" s="371"/>
      <c r="AC192" s="372"/>
      <c r="AD192" s="372"/>
      <c r="AE192" s="372"/>
      <c r="AF192" s="372"/>
      <c r="AG192" s="372"/>
      <c r="AH192" s="373"/>
      <c r="AI192" s="373"/>
      <c r="AJ192" s="373"/>
      <c r="AK192" s="373"/>
      <c r="AL192" s="373"/>
      <c r="AM192" s="373"/>
      <c r="AN192" s="373"/>
      <c r="AO192" s="373"/>
      <c r="AP192" s="373"/>
      <c r="AQ192" s="373"/>
      <c r="AR192" s="373"/>
      <c r="AS192" s="373"/>
      <c r="AT192" s="373"/>
      <c r="AU192" s="373"/>
      <c r="AV192" s="373"/>
      <c r="AW192" s="373"/>
      <c r="AX192" s="373"/>
      <c r="AY192" s="373"/>
      <c r="AZ192" s="373"/>
      <c r="BA192" s="374"/>
      <c r="BB192" s="374"/>
      <c r="BC192" s="374"/>
      <c r="BD192" s="374"/>
      <c r="BE192" s="374"/>
      <c r="BF192" s="374"/>
      <c r="BG192" s="374"/>
      <c r="BH192" s="374"/>
      <c r="BI192" s="374"/>
      <c r="BJ192" s="374"/>
      <c r="BK192" s="374"/>
      <c r="BL192" s="374"/>
      <c r="BM192" s="374"/>
      <c r="BN192" s="374"/>
      <c r="BO192" s="374"/>
      <c r="BP192" s="374"/>
    </row>
    <row r="193" spans="1:68" s="375" customFormat="1" ht="14.25">
      <c r="A193" s="363"/>
      <c r="B193" s="331"/>
      <c r="C193" s="183" t="str">
        <f>IFERROR(IF(VLOOKUP($B193,[1]勘定科目!$A:$H,HLOOKUP($E$5,[1]勘定科目!$F$1:$H$2,2,0),0)="","",VLOOKUP($B193,[1]勘定科目!$A:$E,2,0)),"")</f>
        <v/>
      </c>
      <c r="D193" s="233" t="str">
        <f>IF(C193="","",VLOOKUP($B193,[1]勘定科目!$A:$E,4,0))</f>
        <v/>
      </c>
      <c r="E193" s="365"/>
      <c r="F193" s="328"/>
      <c r="G193" s="328"/>
      <c r="H193" s="328"/>
      <c r="I193" s="328"/>
      <c r="J193" s="328"/>
      <c r="K193" s="328"/>
      <c r="L193" s="328"/>
      <c r="M193" s="328"/>
      <c r="N193" s="328"/>
      <c r="O193" s="328"/>
      <c r="P193" s="328"/>
      <c r="Q193" s="328"/>
      <c r="R193" s="328">
        <f t="shared" si="7"/>
        <v>0</v>
      </c>
      <c r="S193" s="360" t="s">
        <v>815</v>
      </c>
      <c r="T193" s="367"/>
      <c r="U193" s="368"/>
      <c r="V193" s="368"/>
      <c r="W193" s="369"/>
      <c r="X193" s="370"/>
      <c r="Y193" s="371"/>
      <c r="Z193" s="371"/>
      <c r="AA193" s="371"/>
      <c r="AB193" s="371"/>
      <c r="AC193" s="372"/>
      <c r="AD193" s="372"/>
      <c r="AE193" s="372"/>
      <c r="AF193" s="372"/>
      <c r="AG193" s="372"/>
      <c r="AH193" s="373"/>
      <c r="AI193" s="373"/>
      <c r="AJ193" s="373"/>
      <c r="AK193" s="373"/>
      <c r="AL193" s="373"/>
      <c r="AM193" s="373"/>
      <c r="AN193" s="373"/>
      <c r="AO193" s="373"/>
      <c r="AP193" s="373"/>
      <c r="AQ193" s="373"/>
      <c r="AR193" s="373"/>
      <c r="AS193" s="373"/>
      <c r="AT193" s="373"/>
      <c r="AU193" s="373"/>
      <c r="AV193" s="373"/>
      <c r="AW193" s="373"/>
      <c r="AX193" s="373"/>
      <c r="AY193" s="373"/>
      <c r="AZ193" s="373"/>
      <c r="BA193" s="374"/>
      <c r="BB193" s="374"/>
      <c r="BC193" s="374"/>
      <c r="BD193" s="374"/>
      <c r="BE193" s="374"/>
      <c r="BF193" s="374"/>
      <c r="BG193" s="374"/>
      <c r="BH193" s="374"/>
      <c r="BI193" s="374"/>
      <c r="BJ193" s="374"/>
      <c r="BK193" s="374"/>
      <c r="BL193" s="374"/>
      <c r="BM193" s="374"/>
      <c r="BN193" s="374"/>
      <c r="BO193" s="374"/>
      <c r="BP193" s="374"/>
    </row>
    <row r="194" spans="1:68" s="375" customFormat="1" ht="16.5">
      <c r="A194" s="363"/>
      <c r="B194" s="364">
        <v>5005116292</v>
      </c>
      <c r="C194" s="183" t="str">
        <f>IFERROR(IF(VLOOKUP($B194,[1]勘定科目!$A:$H,HLOOKUP($E$5,[1]勘定科目!$F$1:$H$2,2,0),0)="","",VLOOKUP($B194,[1]勘定科目!$A:$E,2,0)),"")</f>
        <v>海外渡航費（製）</v>
      </c>
      <c r="D194" s="233" t="str">
        <f>IF(C194="","",VLOOKUP($B194,[1]勘定科目!$A:$E,4,0))</f>
        <v>渡航費</v>
      </c>
      <c r="E194" s="365"/>
      <c r="F194" s="366">
        <v>0</v>
      </c>
      <c r="G194" s="366">
        <v>0</v>
      </c>
      <c r="H194" s="366">
        <v>0</v>
      </c>
      <c r="I194" s="366">
        <v>0</v>
      </c>
      <c r="J194" s="366">
        <v>0</v>
      </c>
      <c r="K194" s="366">
        <v>0</v>
      </c>
      <c r="L194" s="366">
        <v>0</v>
      </c>
      <c r="M194" s="366">
        <v>0</v>
      </c>
      <c r="N194" s="366">
        <v>0</v>
      </c>
      <c r="O194" s="366">
        <v>0</v>
      </c>
      <c r="P194" s="366">
        <v>0</v>
      </c>
      <c r="Q194" s="366">
        <v>0</v>
      </c>
      <c r="R194" s="366">
        <f t="shared" si="7"/>
        <v>0</v>
      </c>
      <c r="S194" s="324" t="s">
        <v>816</v>
      </c>
      <c r="T194" s="367"/>
      <c r="U194" s="368"/>
      <c r="V194" s="368"/>
      <c r="W194" s="369"/>
      <c r="X194" s="370"/>
      <c r="Y194" s="371"/>
      <c r="Z194" s="371"/>
      <c r="AA194" s="371"/>
      <c r="AB194" s="371"/>
      <c r="AC194" s="372"/>
      <c r="AD194" s="372"/>
      <c r="AE194" s="372"/>
      <c r="AF194" s="372"/>
      <c r="AG194" s="372"/>
      <c r="AH194" s="373"/>
      <c r="AI194" s="373"/>
      <c r="AJ194" s="373"/>
      <c r="AK194" s="373"/>
      <c r="AL194" s="373"/>
      <c r="AM194" s="373"/>
      <c r="AN194" s="373"/>
      <c r="AO194" s="373"/>
      <c r="AP194" s="373"/>
      <c r="AQ194" s="373"/>
      <c r="AR194" s="373"/>
      <c r="AS194" s="373"/>
      <c r="AT194" s="373"/>
      <c r="AU194" s="373"/>
      <c r="AV194" s="373"/>
      <c r="AW194" s="373"/>
      <c r="AX194" s="373"/>
      <c r="AY194" s="373"/>
      <c r="AZ194" s="373"/>
      <c r="BA194" s="374"/>
      <c r="BB194" s="374"/>
      <c r="BC194" s="374"/>
      <c r="BD194" s="374"/>
      <c r="BE194" s="374"/>
      <c r="BF194" s="374"/>
      <c r="BG194" s="374"/>
      <c r="BH194" s="374"/>
      <c r="BI194" s="374"/>
      <c r="BJ194" s="374"/>
      <c r="BK194" s="374"/>
      <c r="BL194" s="374"/>
      <c r="BM194" s="374"/>
      <c r="BN194" s="374"/>
      <c r="BO194" s="374"/>
      <c r="BP194" s="374"/>
    </row>
    <row r="195" spans="1:68" s="317" customFormat="1" ht="14.25">
      <c r="A195" s="307"/>
      <c r="B195" s="331">
        <v>5005116292</v>
      </c>
      <c r="C195" s="183" t="str">
        <f>IFERROR(IF(VLOOKUP($B195,[1]勘定科目!$A:$H,HLOOKUP($E$5,[1]勘定科目!$F$1:$H$2,2,0),0)="","",VLOOKUP($B195,[1]勘定科目!$A:$E,2,0)),"")</f>
        <v>海外渡航費（製）</v>
      </c>
      <c r="D195" s="233" t="str">
        <f>IF(C195="","",VLOOKUP($B195,[1]勘定科目!$A:$E,4,0))</f>
        <v>渡航費</v>
      </c>
      <c r="E195" s="311"/>
      <c r="F195" s="343">
        <v>0</v>
      </c>
      <c r="G195" s="343">
        <v>0</v>
      </c>
      <c r="H195" s="343">
        <v>0</v>
      </c>
      <c r="I195" s="343">
        <v>0</v>
      </c>
      <c r="J195" s="343">
        <v>0</v>
      </c>
      <c r="K195" s="343">
        <v>0</v>
      </c>
      <c r="L195" s="343">
        <v>0</v>
      </c>
      <c r="M195" s="343">
        <v>0</v>
      </c>
      <c r="N195" s="343">
        <v>0</v>
      </c>
      <c r="O195" s="343">
        <v>0</v>
      </c>
      <c r="P195" s="343">
        <v>0</v>
      </c>
      <c r="Q195" s="343">
        <v>0</v>
      </c>
      <c r="R195" s="343">
        <f t="shared" si="7"/>
        <v>0</v>
      </c>
      <c r="S195" s="329" t="s">
        <v>817</v>
      </c>
      <c r="T195" s="299"/>
      <c r="U195" s="379"/>
      <c r="V195" s="303"/>
      <c r="W195" s="302"/>
      <c r="X195" s="303"/>
      <c r="Y195" s="303"/>
      <c r="Z195" s="303"/>
      <c r="AA195" s="303"/>
      <c r="AB195" s="303"/>
      <c r="AC195" s="320"/>
      <c r="AD195" s="320"/>
      <c r="AE195" s="320"/>
      <c r="AF195" s="320"/>
      <c r="AG195" s="320"/>
      <c r="AH195" s="306"/>
      <c r="AI195" s="306"/>
      <c r="AJ195" s="306"/>
      <c r="AK195" s="306"/>
      <c r="AL195" s="306"/>
      <c r="AM195" s="306"/>
      <c r="AN195" s="306"/>
      <c r="AO195" s="306"/>
      <c r="AP195" s="306"/>
      <c r="AQ195" s="306"/>
      <c r="AR195" s="306"/>
      <c r="AS195" s="306"/>
      <c r="AT195" s="306"/>
      <c r="AU195" s="306"/>
      <c r="AV195" s="306"/>
      <c r="AW195" s="306"/>
      <c r="AX195" s="306"/>
      <c r="AY195" s="306"/>
      <c r="AZ195" s="306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</row>
    <row r="196" spans="1:68" s="317" customFormat="1" ht="14.25">
      <c r="A196" s="307"/>
      <c r="B196" s="331">
        <v>5005116292</v>
      </c>
      <c r="C196" s="183" t="str">
        <f>IFERROR(IF(VLOOKUP($B196,[1]勘定科目!$A:$H,HLOOKUP($E$5,[1]勘定科目!$F$1:$H$2,2,0),0)="","",VLOOKUP($B196,[1]勘定科目!$A:$E,2,0)),"")</f>
        <v>海外渡航費（製）</v>
      </c>
      <c r="D196" s="233" t="str">
        <f>IF(C196="","",VLOOKUP($B196,[1]勘定科目!$A:$E,4,0))</f>
        <v>渡航費</v>
      </c>
      <c r="E196" s="311"/>
      <c r="F196" s="343">
        <v>0</v>
      </c>
      <c r="G196" s="343">
        <v>0</v>
      </c>
      <c r="H196" s="343">
        <v>0</v>
      </c>
      <c r="I196" s="343">
        <v>0</v>
      </c>
      <c r="J196" s="343">
        <v>0</v>
      </c>
      <c r="K196" s="343">
        <v>0</v>
      </c>
      <c r="L196" s="343">
        <v>0</v>
      </c>
      <c r="M196" s="343">
        <v>0</v>
      </c>
      <c r="N196" s="343">
        <v>0</v>
      </c>
      <c r="O196" s="343">
        <v>0</v>
      </c>
      <c r="P196" s="343">
        <v>0</v>
      </c>
      <c r="Q196" s="343">
        <v>0</v>
      </c>
      <c r="R196" s="343">
        <f t="shared" si="7"/>
        <v>0</v>
      </c>
      <c r="S196" s="329" t="s">
        <v>818</v>
      </c>
      <c r="T196" s="299"/>
      <c r="U196" s="379"/>
      <c r="V196" s="332"/>
      <c r="W196" s="302"/>
      <c r="X196" s="303"/>
      <c r="Y196" s="303"/>
      <c r="Z196" s="303"/>
      <c r="AA196" s="303"/>
      <c r="AB196" s="303"/>
      <c r="AC196" s="320"/>
      <c r="AD196" s="320"/>
      <c r="AE196" s="320"/>
      <c r="AF196" s="320"/>
      <c r="AG196" s="320"/>
      <c r="AH196" s="306"/>
      <c r="AI196" s="306"/>
      <c r="AJ196" s="306"/>
      <c r="AK196" s="306"/>
      <c r="AL196" s="306"/>
      <c r="AM196" s="306"/>
      <c r="AN196" s="306"/>
      <c r="AO196" s="306"/>
      <c r="AP196" s="306"/>
      <c r="AQ196" s="306"/>
      <c r="AR196" s="306"/>
      <c r="AS196" s="306"/>
      <c r="AT196" s="306"/>
      <c r="AU196" s="306"/>
      <c r="AV196" s="306"/>
      <c r="AW196" s="306"/>
      <c r="AX196" s="306"/>
      <c r="AY196" s="306"/>
      <c r="AZ196" s="30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</row>
    <row r="197" spans="1:68" s="317" customFormat="1" ht="14.25">
      <c r="A197" s="307"/>
      <c r="B197" s="331">
        <v>5005116292</v>
      </c>
      <c r="C197" s="183" t="str">
        <f>IFERROR(IF(VLOOKUP($B197,[1]勘定科目!$A:$H,HLOOKUP($E$5,[1]勘定科目!$F$1:$H$2,2,0),0)="","",VLOOKUP($B197,[1]勘定科目!$A:$E,2,0)),"")</f>
        <v>海外渡航費（製）</v>
      </c>
      <c r="D197" s="233" t="str">
        <f>IF(C197="","",VLOOKUP($B197,[1]勘定科目!$A:$E,4,0))</f>
        <v>渡航費</v>
      </c>
      <c r="E197" s="311"/>
      <c r="F197" s="343">
        <v>0</v>
      </c>
      <c r="G197" s="343">
        <v>0</v>
      </c>
      <c r="H197" s="343">
        <v>0</v>
      </c>
      <c r="I197" s="343">
        <v>0</v>
      </c>
      <c r="J197" s="343">
        <v>0</v>
      </c>
      <c r="K197" s="343">
        <v>0</v>
      </c>
      <c r="L197" s="343">
        <v>0</v>
      </c>
      <c r="M197" s="343">
        <v>0</v>
      </c>
      <c r="N197" s="343">
        <v>0</v>
      </c>
      <c r="O197" s="343">
        <v>0</v>
      </c>
      <c r="P197" s="343">
        <v>0</v>
      </c>
      <c r="Q197" s="343">
        <v>0</v>
      </c>
      <c r="R197" s="343">
        <f t="shared" si="7"/>
        <v>0</v>
      </c>
      <c r="S197" s="329" t="s">
        <v>819</v>
      </c>
      <c r="T197" s="299"/>
      <c r="U197" s="346"/>
      <c r="V197" s="332"/>
      <c r="W197" s="302"/>
      <c r="X197" s="303"/>
      <c r="Y197" s="303"/>
      <c r="Z197" s="303"/>
      <c r="AA197" s="303"/>
      <c r="AB197" s="303"/>
      <c r="AC197" s="320"/>
      <c r="AD197" s="320"/>
      <c r="AE197" s="320"/>
      <c r="AF197" s="320"/>
      <c r="AG197" s="320"/>
      <c r="AH197" s="306"/>
      <c r="AI197" s="306"/>
      <c r="AJ197" s="306"/>
      <c r="AK197" s="306"/>
      <c r="AL197" s="306"/>
      <c r="AM197" s="306"/>
      <c r="AN197" s="306"/>
      <c r="AO197" s="306"/>
      <c r="AP197" s="306"/>
      <c r="AQ197" s="306"/>
      <c r="AR197" s="306"/>
      <c r="AS197" s="306"/>
      <c r="AT197" s="306"/>
      <c r="AU197" s="306"/>
      <c r="AV197" s="306"/>
      <c r="AW197" s="306"/>
      <c r="AX197" s="306"/>
      <c r="AY197" s="306"/>
      <c r="AZ197" s="306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</row>
    <row r="198" spans="1:68" s="317" customFormat="1" ht="14.25">
      <c r="A198" s="307"/>
      <c r="B198" s="331">
        <v>5005116292</v>
      </c>
      <c r="C198" s="183" t="str">
        <f>IFERROR(IF(VLOOKUP($B198,[1]勘定科目!$A:$H,HLOOKUP($E$5,[1]勘定科目!$F$1:$H$2,2,0),0)="","",VLOOKUP($B198,[1]勘定科目!$A:$E,2,0)),"")</f>
        <v>海外渡航費（製）</v>
      </c>
      <c r="D198" s="233" t="str">
        <f>IF(C198="","",VLOOKUP($B198,[1]勘定科目!$A:$E,4,0))</f>
        <v>渡航費</v>
      </c>
      <c r="E198" s="311"/>
      <c r="F198" s="343">
        <v>0</v>
      </c>
      <c r="G198" s="343">
        <v>0</v>
      </c>
      <c r="H198" s="343">
        <v>0</v>
      </c>
      <c r="I198" s="343">
        <v>0</v>
      </c>
      <c r="J198" s="343">
        <v>0</v>
      </c>
      <c r="K198" s="343">
        <v>0</v>
      </c>
      <c r="L198" s="343">
        <v>0</v>
      </c>
      <c r="M198" s="343">
        <v>0</v>
      </c>
      <c r="N198" s="343">
        <v>0</v>
      </c>
      <c r="O198" s="343">
        <v>0</v>
      </c>
      <c r="P198" s="343">
        <v>0</v>
      </c>
      <c r="Q198" s="343">
        <v>0</v>
      </c>
      <c r="R198" s="343">
        <f t="shared" si="7"/>
        <v>0</v>
      </c>
      <c r="S198" s="329" t="s">
        <v>820</v>
      </c>
      <c r="T198" s="299"/>
      <c r="U198" s="346"/>
      <c r="V198" s="303"/>
      <c r="W198" s="302"/>
      <c r="X198" s="303"/>
      <c r="Y198" s="303"/>
      <c r="Z198" s="303"/>
      <c r="AA198" s="303"/>
      <c r="AB198" s="303"/>
      <c r="AC198" s="320"/>
      <c r="AD198" s="320"/>
      <c r="AE198" s="320"/>
      <c r="AF198" s="320"/>
      <c r="AG198" s="320"/>
      <c r="AH198" s="306"/>
      <c r="AI198" s="306"/>
      <c r="AJ198" s="306"/>
      <c r="AK198" s="306"/>
      <c r="AL198" s="306"/>
      <c r="AM198" s="306"/>
      <c r="AN198" s="306"/>
      <c r="AO198" s="306"/>
      <c r="AP198" s="306"/>
      <c r="AQ198" s="306"/>
      <c r="AR198" s="306"/>
      <c r="AS198" s="306"/>
      <c r="AT198" s="306"/>
      <c r="AU198" s="306"/>
      <c r="AV198" s="306"/>
      <c r="AW198" s="306"/>
      <c r="AX198" s="306"/>
      <c r="AY198" s="306"/>
      <c r="AZ198" s="306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</row>
    <row r="199" spans="1:68" s="317" customFormat="1" ht="14.25">
      <c r="A199" s="307"/>
      <c r="B199" s="331">
        <v>5005116292</v>
      </c>
      <c r="C199" s="183" t="str">
        <f>IFERROR(IF(VLOOKUP($B199,[1]勘定科目!$A:$H,HLOOKUP($E$5,[1]勘定科目!$F$1:$H$2,2,0),0)="","",VLOOKUP($B199,[1]勘定科目!$A:$E,2,0)),"")</f>
        <v>海外渡航費（製）</v>
      </c>
      <c r="D199" s="233" t="str">
        <f>IF(C199="","",VLOOKUP($B199,[1]勘定科目!$A:$E,4,0))</f>
        <v>渡航費</v>
      </c>
      <c r="E199" s="311"/>
      <c r="F199" s="343">
        <v>0</v>
      </c>
      <c r="G199" s="343">
        <v>0</v>
      </c>
      <c r="H199" s="343">
        <v>0</v>
      </c>
      <c r="I199" s="343">
        <v>0</v>
      </c>
      <c r="J199" s="343">
        <v>0</v>
      </c>
      <c r="K199" s="343">
        <v>0</v>
      </c>
      <c r="L199" s="343">
        <v>0</v>
      </c>
      <c r="M199" s="343">
        <v>0</v>
      </c>
      <c r="N199" s="343">
        <v>0</v>
      </c>
      <c r="O199" s="343">
        <v>0</v>
      </c>
      <c r="P199" s="343">
        <v>0</v>
      </c>
      <c r="Q199" s="343">
        <v>0</v>
      </c>
      <c r="R199" s="343">
        <f t="shared" si="7"/>
        <v>0</v>
      </c>
      <c r="S199" s="329" t="s">
        <v>821</v>
      </c>
      <c r="T199" s="299"/>
      <c r="U199" s="346"/>
      <c r="V199" s="332"/>
      <c r="W199" s="302"/>
      <c r="X199" s="303"/>
      <c r="Y199" s="303"/>
      <c r="Z199" s="303"/>
      <c r="AA199" s="303"/>
      <c r="AB199" s="303"/>
      <c r="AC199" s="320"/>
      <c r="AD199" s="320"/>
      <c r="AE199" s="320"/>
      <c r="AF199" s="320"/>
      <c r="AG199" s="320"/>
      <c r="AH199" s="306"/>
      <c r="AI199" s="306"/>
      <c r="AJ199" s="306"/>
      <c r="AK199" s="306"/>
      <c r="AL199" s="306"/>
      <c r="AM199" s="306"/>
      <c r="AN199" s="306"/>
      <c r="AO199" s="306"/>
      <c r="AP199" s="306"/>
      <c r="AQ199" s="306"/>
      <c r="AR199" s="306"/>
      <c r="AS199" s="306"/>
      <c r="AT199" s="306"/>
      <c r="AU199" s="306"/>
      <c r="AV199" s="306"/>
      <c r="AW199" s="306"/>
      <c r="AX199" s="306"/>
      <c r="AY199" s="306"/>
      <c r="AZ199" s="306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</row>
    <row r="200" spans="1:68" s="317" customFormat="1" ht="14.25">
      <c r="A200" s="307"/>
      <c r="B200" s="331">
        <v>5005116292</v>
      </c>
      <c r="C200" s="183" t="str">
        <f>IFERROR(IF(VLOOKUP($B200,[1]勘定科目!$A:$H,HLOOKUP($E$5,[1]勘定科目!$F$1:$H$2,2,0),0)="","",VLOOKUP($B200,[1]勘定科目!$A:$E,2,0)),"")</f>
        <v>海外渡航費（製）</v>
      </c>
      <c r="D200" s="233" t="str">
        <f>IF(C200="","",VLOOKUP($B200,[1]勘定科目!$A:$E,4,0))</f>
        <v>渡航費</v>
      </c>
      <c r="E200" s="311"/>
      <c r="F200" s="343">
        <v>0</v>
      </c>
      <c r="G200" s="343">
        <v>0</v>
      </c>
      <c r="H200" s="343">
        <v>0</v>
      </c>
      <c r="I200" s="343">
        <v>0</v>
      </c>
      <c r="J200" s="343">
        <v>0</v>
      </c>
      <c r="K200" s="343">
        <v>0</v>
      </c>
      <c r="L200" s="343">
        <v>0</v>
      </c>
      <c r="M200" s="343">
        <v>0</v>
      </c>
      <c r="N200" s="343">
        <v>0</v>
      </c>
      <c r="O200" s="343">
        <v>0</v>
      </c>
      <c r="P200" s="343">
        <v>0</v>
      </c>
      <c r="Q200" s="343">
        <v>0</v>
      </c>
      <c r="R200" s="343">
        <f t="shared" si="7"/>
        <v>0</v>
      </c>
      <c r="S200" s="329" t="s">
        <v>822</v>
      </c>
      <c r="T200" s="299"/>
      <c r="U200" s="346"/>
      <c r="V200" s="332"/>
      <c r="W200" s="302"/>
      <c r="X200" s="303"/>
      <c r="Y200" s="303"/>
      <c r="Z200" s="303"/>
      <c r="AA200" s="303"/>
      <c r="AB200" s="303"/>
      <c r="AC200" s="320"/>
      <c r="AD200" s="320"/>
      <c r="AE200" s="320"/>
      <c r="AF200" s="320"/>
      <c r="AG200" s="320"/>
      <c r="AH200" s="306"/>
      <c r="AI200" s="306"/>
      <c r="AJ200" s="306"/>
      <c r="AK200" s="306"/>
      <c r="AL200" s="306"/>
      <c r="AM200" s="306"/>
      <c r="AN200" s="306"/>
      <c r="AO200" s="306"/>
      <c r="AP200" s="306"/>
      <c r="AQ200" s="306"/>
      <c r="AR200" s="306"/>
      <c r="AS200" s="306"/>
      <c r="AT200" s="306"/>
      <c r="AU200" s="306"/>
      <c r="AV200" s="306"/>
      <c r="AW200" s="306"/>
      <c r="AX200" s="306"/>
      <c r="AY200" s="306"/>
      <c r="AZ200" s="306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</row>
    <row r="201" spans="1:68" s="317" customFormat="1" ht="14.25">
      <c r="A201" s="307"/>
      <c r="B201" s="331">
        <v>5005116292</v>
      </c>
      <c r="C201" s="183" t="str">
        <f>IFERROR(IF(VLOOKUP($B201,[1]勘定科目!$A:$H,HLOOKUP($E$5,[1]勘定科目!$F$1:$H$2,2,0),0)="","",VLOOKUP($B201,[1]勘定科目!$A:$E,2,0)),"")</f>
        <v>海外渡航費（製）</v>
      </c>
      <c r="D201" s="233" t="str">
        <f>IF(C201="","",VLOOKUP($B201,[1]勘定科目!$A:$E,4,0))</f>
        <v>渡航費</v>
      </c>
      <c r="E201" s="311"/>
      <c r="F201" s="343">
        <v>0</v>
      </c>
      <c r="G201" s="343">
        <v>0</v>
      </c>
      <c r="H201" s="343">
        <v>0</v>
      </c>
      <c r="I201" s="343">
        <v>0</v>
      </c>
      <c r="J201" s="343">
        <v>0</v>
      </c>
      <c r="K201" s="343">
        <v>0</v>
      </c>
      <c r="L201" s="343">
        <v>0</v>
      </c>
      <c r="M201" s="343">
        <v>0</v>
      </c>
      <c r="N201" s="343">
        <v>0</v>
      </c>
      <c r="O201" s="343">
        <v>0</v>
      </c>
      <c r="P201" s="343">
        <v>0</v>
      </c>
      <c r="Q201" s="343">
        <v>0</v>
      </c>
      <c r="R201" s="343">
        <f t="shared" si="7"/>
        <v>0</v>
      </c>
      <c r="S201" s="329" t="s">
        <v>823</v>
      </c>
      <c r="T201" s="299"/>
      <c r="U201" s="332"/>
      <c r="V201" s="303"/>
      <c r="W201" s="302"/>
      <c r="X201" s="303"/>
      <c r="Y201" s="303"/>
      <c r="Z201" s="303"/>
      <c r="AA201" s="303"/>
      <c r="AB201" s="303"/>
      <c r="AC201" s="320"/>
      <c r="AD201" s="320"/>
      <c r="AE201" s="320"/>
      <c r="AF201" s="320"/>
      <c r="AG201" s="320"/>
      <c r="AH201" s="306"/>
      <c r="AI201" s="306"/>
      <c r="AJ201" s="306"/>
      <c r="AK201" s="306"/>
      <c r="AL201" s="306"/>
      <c r="AM201" s="306"/>
      <c r="AN201" s="306"/>
      <c r="AO201" s="306"/>
      <c r="AP201" s="306"/>
      <c r="AQ201" s="306"/>
      <c r="AR201" s="306"/>
      <c r="AS201" s="306"/>
      <c r="AT201" s="306"/>
      <c r="AU201" s="306"/>
      <c r="AV201" s="306"/>
      <c r="AW201" s="306"/>
      <c r="AX201" s="306"/>
      <c r="AY201" s="306"/>
      <c r="AZ201" s="306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</row>
    <row r="202" spans="1:68" s="317" customFormat="1" ht="14.25">
      <c r="A202" s="307"/>
      <c r="B202" s="331">
        <v>5005116292</v>
      </c>
      <c r="C202" s="183" t="str">
        <f>IFERROR(IF(VLOOKUP($B202,[1]勘定科目!$A:$H,HLOOKUP($E$5,[1]勘定科目!$F$1:$H$2,2,0),0)="","",VLOOKUP($B202,[1]勘定科目!$A:$E,2,0)),"")</f>
        <v>海外渡航費（製）</v>
      </c>
      <c r="D202" s="233" t="str">
        <f>IF(C202="","",VLOOKUP($B202,[1]勘定科目!$A:$E,4,0))</f>
        <v>渡航費</v>
      </c>
      <c r="E202" s="311"/>
      <c r="F202" s="343">
        <v>0</v>
      </c>
      <c r="G202" s="343">
        <v>0</v>
      </c>
      <c r="H202" s="343">
        <v>0</v>
      </c>
      <c r="I202" s="343">
        <v>0</v>
      </c>
      <c r="J202" s="343">
        <v>0</v>
      </c>
      <c r="K202" s="343">
        <v>0</v>
      </c>
      <c r="L202" s="343">
        <v>0</v>
      </c>
      <c r="M202" s="343">
        <v>0</v>
      </c>
      <c r="N202" s="343">
        <v>0</v>
      </c>
      <c r="O202" s="343">
        <v>0</v>
      </c>
      <c r="P202" s="343">
        <v>0</v>
      </c>
      <c r="Q202" s="343">
        <v>0</v>
      </c>
      <c r="R202" s="343">
        <f t="shared" si="7"/>
        <v>0</v>
      </c>
      <c r="S202" s="329" t="s">
        <v>824</v>
      </c>
      <c r="T202" s="299"/>
      <c r="U202" s="332"/>
      <c r="V202" s="332"/>
      <c r="W202" s="302"/>
      <c r="X202" s="303"/>
      <c r="Y202" s="303"/>
      <c r="Z202" s="303"/>
      <c r="AA202" s="303"/>
      <c r="AB202" s="303"/>
      <c r="AC202" s="320"/>
      <c r="AD202" s="320"/>
      <c r="AE202" s="320"/>
      <c r="AF202" s="320"/>
      <c r="AG202" s="320"/>
      <c r="AH202" s="306"/>
      <c r="AI202" s="306"/>
      <c r="AJ202" s="306"/>
      <c r="AK202" s="306"/>
      <c r="AL202" s="306"/>
      <c r="AM202" s="306"/>
      <c r="AN202" s="306"/>
      <c r="AO202" s="306"/>
      <c r="AP202" s="306"/>
      <c r="AQ202" s="306"/>
      <c r="AR202" s="306"/>
      <c r="AS202" s="306"/>
      <c r="AT202" s="306"/>
      <c r="AU202" s="306"/>
      <c r="AV202" s="306"/>
      <c r="AW202" s="306"/>
      <c r="AX202" s="306"/>
      <c r="AY202" s="306"/>
      <c r="AZ202" s="306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</row>
    <row r="203" spans="1:68" s="317" customFormat="1" ht="14.25">
      <c r="A203" s="307"/>
      <c r="B203" s="331">
        <v>5005116292</v>
      </c>
      <c r="C203" s="183" t="str">
        <f>IFERROR(IF(VLOOKUP($B203,[1]勘定科目!$A:$H,HLOOKUP($E$5,[1]勘定科目!$F$1:$H$2,2,0),0)="","",VLOOKUP($B203,[1]勘定科目!$A:$E,2,0)),"")</f>
        <v>海外渡航費（製）</v>
      </c>
      <c r="D203" s="233" t="str">
        <f>IF(C203="","",VLOOKUP($B203,[1]勘定科目!$A:$E,4,0))</f>
        <v>渡航費</v>
      </c>
      <c r="E203" s="311"/>
      <c r="F203" s="343">
        <v>0</v>
      </c>
      <c r="G203" s="343">
        <v>0</v>
      </c>
      <c r="H203" s="343">
        <v>0</v>
      </c>
      <c r="I203" s="343">
        <v>0</v>
      </c>
      <c r="J203" s="343">
        <v>0</v>
      </c>
      <c r="K203" s="343">
        <v>0</v>
      </c>
      <c r="L203" s="343">
        <v>0</v>
      </c>
      <c r="M203" s="343">
        <v>0</v>
      </c>
      <c r="N203" s="343">
        <v>0</v>
      </c>
      <c r="O203" s="343">
        <v>0</v>
      </c>
      <c r="P203" s="343">
        <v>0</v>
      </c>
      <c r="Q203" s="343">
        <v>0</v>
      </c>
      <c r="R203" s="343">
        <f t="shared" si="7"/>
        <v>0</v>
      </c>
      <c r="S203" s="329" t="s">
        <v>825</v>
      </c>
      <c r="T203" s="299"/>
      <c r="U203" s="379"/>
      <c r="V203" s="303"/>
      <c r="W203" s="302"/>
      <c r="X203" s="303"/>
      <c r="Y203" s="303"/>
      <c r="Z203" s="303"/>
      <c r="AA203" s="303"/>
      <c r="AB203" s="303"/>
      <c r="AC203" s="320"/>
      <c r="AD203" s="320"/>
      <c r="AE203" s="320"/>
      <c r="AF203" s="320"/>
      <c r="AG203" s="320"/>
      <c r="AH203" s="306"/>
      <c r="AI203" s="306"/>
      <c r="AJ203" s="306"/>
      <c r="AK203" s="306"/>
      <c r="AL203" s="306"/>
      <c r="AM203" s="306"/>
      <c r="AN203" s="306"/>
      <c r="AO203" s="306"/>
      <c r="AP203" s="306"/>
      <c r="AQ203" s="306"/>
      <c r="AR203" s="306"/>
      <c r="AS203" s="306"/>
      <c r="AT203" s="306"/>
      <c r="AU203" s="306"/>
      <c r="AV203" s="306"/>
      <c r="AW203" s="306"/>
      <c r="AX203" s="306"/>
      <c r="AY203" s="306"/>
      <c r="AZ203" s="306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</row>
    <row r="204" spans="1:68" s="317" customFormat="1" ht="14.25">
      <c r="A204" s="307"/>
      <c r="B204" s="331"/>
      <c r="C204" s="183" t="str">
        <f>IFERROR(IF(VLOOKUP($B204,[1]勘定科目!$A:$H,HLOOKUP($E$5,[1]勘定科目!$F$1:$H$2,2,0),0)="","",VLOOKUP($B204,[1]勘定科目!$A:$E,2,0)),"")</f>
        <v/>
      </c>
      <c r="D204" s="233" t="str">
        <f>IF(C204="","",VLOOKUP($B204,[1]勘定科目!$A:$E,4,0))</f>
        <v/>
      </c>
      <c r="E204" s="311"/>
      <c r="F204" s="343"/>
      <c r="G204" s="343"/>
      <c r="H204" s="343"/>
      <c r="I204" s="343"/>
      <c r="J204" s="343"/>
      <c r="K204" s="343"/>
      <c r="L204" s="343"/>
      <c r="M204" s="343"/>
      <c r="N204" s="343"/>
      <c r="O204" s="343"/>
      <c r="P204" s="343"/>
      <c r="Q204" s="343"/>
      <c r="R204" s="343">
        <f t="shared" si="7"/>
        <v>0</v>
      </c>
      <c r="S204" s="329"/>
      <c r="T204" s="299"/>
      <c r="U204" s="379"/>
      <c r="V204" s="332"/>
      <c r="W204" s="302"/>
      <c r="X204" s="303"/>
      <c r="Y204" s="303"/>
      <c r="Z204" s="303"/>
      <c r="AA204" s="303"/>
      <c r="AB204" s="303"/>
      <c r="AC204" s="320"/>
      <c r="AD204" s="320"/>
      <c r="AE204" s="320"/>
      <c r="AF204" s="320"/>
      <c r="AG204" s="320"/>
      <c r="AH204" s="306"/>
      <c r="AI204" s="306"/>
      <c r="AJ204" s="306"/>
      <c r="AK204" s="306"/>
      <c r="AL204" s="306"/>
      <c r="AM204" s="306"/>
      <c r="AN204" s="306"/>
      <c r="AO204" s="306"/>
      <c r="AP204" s="306"/>
      <c r="AQ204" s="306"/>
      <c r="AR204" s="306"/>
      <c r="AS204" s="306"/>
      <c r="AT204" s="306"/>
      <c r="AU204" s="306"/>
      <c r="AV204" s="306"/>
      <c r="AW204" s="306"/>
      <c r="AX204" s="306"/>
      <c r="AY204" s="306"/>
      <c r="AZ204" s="306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</row>
    <row r="205" spans="1:68" s="317" customFormat="1" ht="14.25">
      <c r="A205" s="307"/>
      <c r="B205" s="331"/>
      <c r="C205" s="183" t="str">
        <f>IFERROR(IF(VLOOKUP($B205,[1]勘定科目!$A:$H,HLOOKUP($E$5,[1]勘定科目!$F$1:$H$2,2,0),0)="","",VLOOKUP($B205,[1]勘定科目!$A:$E,2,0)),"")</f>
        <v/>
      </c>
      <c r="D205" s="233" t="str">
        <f>IF(C205="","",VLOOKUP($B205,[1]勘定科目!$A:$E,4,0))</f>
        <v/>
      </c>
      <c r="E205" s="311"/>
      <c r="F205" s="384"/>
      <c r="G205" s="385"/>
      <c r="H205" s="385"/>
      <c r="I205" s="385"/>
      <c r="J205" s="385"/>
      <c r="K205" s="385"/>
      <c r="L205" s="385"/>
      <c r="M205" s="385"/>
      <c r="N205" s="385"/>
      <c r="O205" s="385"/>
      <c r="P205" s="385"/>
      <c r="Q205" s="385"/>
      <c r="R205" s="385">
        <f t="shared" si="7"/>
        <v>0</v>
      </c>
      <c r="S205" s="298" t="s">
        <v>826</v>
      </c>
      <c r="T205" s="299"/>
      <c r="U205" s="325"/>
      <c r="V205" s="303"/>
      <c r="W205" s="339"/>
      <c r="X205" s="303"/>
      <c r="Y205" s="303"/>
      <c r="Z205" s="303"/>
      <c r="AA205" s="303"/>
      <c r="AB205" s="303"/>
      <c r="AC205" s="320"/>
      <c r="AD205" s="320"/>
      <c r="AE205" s="320"/>
      <c r="AF205" s="320"/>
      <c r="AG205" s="320"/>
      <c r="AH205" s="306"/>
      <c r="AI205" s="306"/>
      <c r="AJ205" s="306"/>
      <c r="AK205" s="306"/>
      <c r="AL205" s="306"/>
      <c r="AM205" s="306"/>
      <c r="AN205" s="306"/>
      <c r="AO205" s="306"/>
      <c r="AP205" s="306"/>
      <c r="AQ205" s="306"/>
      <c r="AR205" s="306"/>
      <c r="AS205" s="306"/>
      <c r="AT205" s="306"/>
      <c r="AU205" s="306"/>
      <c r="AV205" s="306"/>
      <c r="AW205" s="306"/>
      <c r="AX205" s="306"/>
      <c r="AY205" s="306"/>
      <c r="AZ205" s="306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</row>
    <row r="206" spans="1:68" s="375" customFormat="1" ht="16.5">
      <c r="A206" s="363"/>
      <c r="B206" s="364">
        <v>5005116292</v>
      </c>
      <c r="C206" s="183" t="str">
        <f>IFERROR(IF(VLOOKUP($B206,[1]勘定科目!$A:$H,HLOOKUP($E$5,[1]勘定科目!$F$1:$H$2,2,0),0)="","",VLOOKUP($B206,[1]勘定科目!$A:$E,2,0)),"")</f>
        <v>海外渡航費（製）</v>
      </c>
      <c r="D206" s="233" t="str">
        <f>IF(C206="","",VLOOKUP($B206,[1]勘定科目!$A:$E,4,0))</f>
        <v>渡航費</v>
      </c>
      <c r="E206" s="365"/>
      <c r="F206" s="366">
        <v>0</v>
      </c>
      <c r="G206" s="366">
        <v>0</v>
      </c>
      <c r="H206" s="366">
        <v>0</v>
      </c>
      <c r="I206" s="366">
        <v>0</v>
      </c>
      <c r="J206" s="366">
        <v>0</v>
      </c>
      <c r="K206" s="366">
        <v>0</v>
      </c>
      <c r="L206" s="366">
        <v>0</v>
      </c>
      <c r="M206" s="366">
        <v>0</v>
      </c>
      <c r="N206" s="366">
        <v>0</v>
      </c>
      <c r="O206" s="366">
        <v>0</v>
      </c>
      <c r="P206" s="366">
        <v>0</v>
      </c>
      <c r="Q206" s="366">
        <v>0</v>
      </c>
      <c r="R206" s="366">
        <f t="shared" si="7"/>
        <v>0</v>
      </c>
      <c r="S206" s="324" t="s">
        <v>827</v>
      </c>
      <c r="T206" s="367"/>
      <c r="U206" s="368"/>
      <c r="V206" s="368"/>
      <c r="W206" s="369"/>
      <c r="X206" s="370"/>
      <c r="Y206" s="371"/>
      <c r="Z206" s="371"/>
      <c r="AA206" s="371"/>
      <c r="AB206" s="371"/>
      <c r="AC206" s="372"/>
      <c r="AD206" s="372"/>
      <c r="AE206" s="372"/>
      <c r="AF206" s="372"/>
      <c r="AG206" s="372"/>
      <c r="AH206" s="373"/>
      <c r="AI206" s="373"/>
      <c r="AJ206" s="373"/>
      <c r="AK206" s="373"/>
      <c r="AL206" s="373"/>
      <c r="AM206" s="373"/>
      <c r="AN206" s="373"/>
      <c r="AO206" s="373"/>
      <c r="AP206" s="373"/>
      <c r="AQ206" s="373"/>
      <c r="AR206" s="373"/>
      <c r="AS206" s="373"/>
      <c r="AT206" s="373"/>
      <c r="AU206" s="373"/>
      <c r="AV206" s="373"/>
      <c r="AW206" s="373"/>
      <c r="AX206" s="373"/>
      <c r="AY206" s="373"/>
      <c r="AZ206" s="373"/>
      <c r="BA206" s="374"/>
      <c r="BB206" s="374"/>
      <c r="BC206" s="374"/>
      <c r="BD206" s="374"/>
      <c r="BE206" s="374"/>
      <c r="BF206" s="374"/>
      <c r="BG206" s="374"/>
      <c r="BH206" s="374"/>
      <c r="BI206" s="374"/>
      <c r="BJ206" s="374"/>
      <c r="BK206" s="374"/>
      <c r="BL206" s="374"/>
      <c r="BM206" s="374"/>
      <c r="BN206" s="374"/>
      <c r="BO206" s="374"/>
      <c r="BP206" s="374"/>
    </row>
    <row r="207" spans="1:68" s="317" customFormat="1" ht="14.25">
      <c r="A207" s="307"/>
      <c r="B207" s="331">
        <v>5005116292</v>
      </c>
      <c r="C207" s="183" t="str">
        <f>IFERROR(IF(VLOOKUP($B207,[1]勘定科目!$A:$H,HLOOKUP($E$5,[1]勘定科目!$F$1:$H$2,2,0),0)="","",VLOOKUP($B207,[1]勘定科目!$A:$E,2,0)),"")</f>
        <v>海外渡航費（製）</v>
      </c>
      <c r="D207" s="233" t="str">
        <f>IF(C207="","",VLOOKUP($B207,[1]勘定科目!$A:$E,4,0))</f>
        <v>渡航費</v>
      </c>
      <c r="E207" s="311"/>
      <c r="F207" s="343">
        <v>0</v>
      </c>
      <c r="G207" s="343">
        <v>0</v>
      </c>
      <c r="H207" s="343">
        <v>0</v>
      </c>
      <c r="I207" s="343">
        <v>0</v>
      </c>
      <c r="J207" s="343">
        <v>0</v>
      </c>
      <c r="K207" s="343">
        <v>0</v>
      </c>
      <c r="L207" s="343">
        <v>0</v>
      </c>
      <c r="M207" s="343">
        <v>0</v>
      </c>
      <c r="N207" s="343">
        <v>0</v>
      </c>
      <c r="O207" s="343">
        <v>0</v>
      </c>
      <c r="P207" s="343">
        <v>0</v>
      </c>
      <c r="Q207" s="343">
        <v>0</v>
      </c>
      <c r="R207" s="343">
        <f t="shared" si="7"/>
        <v>0</v>
      </c>
      <c r="S207" s="329" t="s">
        <v>828</v>
      </c>
      <c r="T207" s="299"/>
      <c r="U207" s="346"/>
      <c r="V207" s="332"/>
      <c r="W207" s="302"/>
      <c r="X207" s="303"/>
      <c r="Y207" s="303"/>
      <c r="Z207" s="303"/>
      <c r="AA207" s="303"/>
      <c r="AB207" s="303"/>
      <c r="AC207" s="320"/>
      <c r="AD207" s="320"/>
      <c r="AE207" s="320"/>
      <c r="AF207" s="320"/>
      <c r="AG207" s="320"/>
      <c r="AH207" s="306"/>
      <c r="AI207" s="306"/>
      <c r="AJ207" s="306"/>
      <c r="AK207" s="306"/>
      <c r="AL207" s="306"/>
      <c r="AM207" s="306"/>
      <c r="AN207" s="306"/>
      <c r="AO207" s="306"/>
      <c r="AP207" s="306"/>
      <c r="AQ207" s="306"/>
      <c r="AR207" s="306"/>
      <c r="AS207" s="306"/>
      <c r="AT207" s="306"/>
      <c r="AU207" s="306"/>
      <c r="AV207" s="306"/>
      <c r="AW207" s="306"/>
      <c r="AX207" s="306"/>
      <c r="AY207" s="306"/>
      <c r="AZ207" s="306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</row>
    <row r="208" spans="1:68" s="317" customFormat="1" ht="14.25">
      <c r="A208" s="307"/>
      <c r="B208" s="331">
        <v>5005116292</v>
      </c>
      <c r="C208" s="183" t="str">
        <f>IFERROR(IF(VLOOKUP($B208,[1]勘定科目!$A:$H,HLOOKUP($E$5,[1]勘定科目!$F$1:$H$2,2,0),0)="","",VLOOKUP($B208,[1]勘定科目!$A:$E,2,0)),"")</f>
        <v>海外渡航費（製）</v>
      </c>
      <c r="D208" s="233" t="str">
        <f>IF(C208="","",VLOOKUP($B208,[1]勘定科目!$A:$E,4,0))</f>
        <v>渡航費</v>
      </c>
      <c r="E208" s="311"/>
      <c r="F208" s="343">
        <v>0</v>
      </c>
      <c r="G208" s="343">
        <v>0</v>
      </c>
      <c r="H208" s="343">
        <v>0</v>
      </c>
      <c r="I208" s="343">
        <v>0</v>
      </c>
      <c r="J208" s="343">
        <v>0</v>
      </c>
      <c r="K208" s="343">
        <v>0</v>
      </c>
      <c r="L208" s="343">
        <v>0</v>
      </c>
      <c r="M208" s="343">
        <v>0</v>
      </c>
      <c r="N208" s="343">
        <v>0</v>
      </c>
      <c r="O208" s="343">
        <v>0</v>
      </c>
      <c r="P208" s="343">
        <v>0</v>
      </c>
      <c r="Q208" s="343">
        <v>0</v>
      </c>
      <c r="R208" s="343">
        <f t="shared" si="7"/>
        <v>0</v>
      </c>
      <c r="S208" s="329" t="s">
        <v>829</v>
      </c>
      <c r="T208" s="299"/>
      <c r="U208" s="346"/>
      <c r="V208" s="332"/>
      <c r="W208" s="302"/>
      <c r="X208" s="303"/>
      <c r="Y208" s="303"/>
      <c r="Z208" s="303"/>
      <c r="AA208" s="303"/>
      <c r="AB208" s="303"/>
      <c r="AC208" s="320"/>
      <c r="AD208" s="320"/>
      <c r="AE208" s="320"/>
      <c r="AF208" s="320"/>
      <c r="AG208" s="320"/>
      <c r="AH208" s="306"/>
      <c r="AI208" s="306"/>
      <c r="AJ208" s="306"/>
      <c r="AK208" s="306"/>
      <c r="AL208" s="306"/>
      <c r="AM208" s="306"/>
      <c r="AN208" s="306"/>
      <c r="AO208" s="306"/>
      <c r="AP208" s="306"/>
      <c r="AQ208" s="306"/>
      <c r="AR208" s="306"/>
      <c r="AS208" s="306"/>
      <c r="AT208" s="306"/>
      <c r="AU208" s="306"/>
      <c r="AV208" s="306"/>
      <c r="AW208" s="306"/>
      <c r="AX208" s="306"/>
      <c r="AY208" s="306"/>
      <c r="AZ208" s="306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</row>
    <row r="209" spans="1:68" s="317" customFormat="1" ht="14.25">
      <c r="A209" s="307"/>
      <c r="B209" s="331">
        <v>5005116292</v>
      </c>
      <c r="C209" s="183" t="str">
        <f>IFERROR(IF(VLOOKUP($B209,[1]勘定科目!$A:$H,HLOOKUP($E$5,[1]勘定科目!$F$1:$H$2,2,0),0)="","",VLOOKUP($B209,[1]勘定科目!$A:$E,2,0)),"")</f>
        <v>海外渡航費（製）</v>
      </c>
      <c r="D209" s="233" t="str">
        <f>IF(C209="","",VLOOKUP($B209,[1]勘定科目!$A:$E,4,0))</f>
        <v>渡航費</v>
      </c>
      <c r="E209" s="311"/>
      <c r="F209" s="343">
        <v>0</v>
      </c>
      <c r="G209" s="343">
        <v>0</v>
      </c>
      <c r="H209" s="343">
        <v>0</v>
      </c>
      <c r="I209" s="343">
        <v>0</v>
      </c>
      <c r="J209" s="343">
        <v>0</v>
      </c>
      <c r="K209" s="343">
        <v>0</v>
      </c>
      <c r="L209" s="343">
        <v>0</v>
      </c>
      <c r="M209" s="343">
        <v>0</v>
      </c>
      <c r="N209" s="343">
        <v>0</v>
      </c>
      <c r="O209" s="343">
        <v>0</v>
      </c>
      <c r="P209" s="343">
        <v>0</v>
      </c>
      <c r="Q209" s="343">
        <v>0</v>
      </c>
      <c r="R209" s="343">
        <f t="shared" si="7"/>
        <v>0</v>
      </c>
      <c r="S209" s="329" t="s">
        <v>830</v>
      </c>
      <c r="T209" s="299"/>
      <c r="U209" s="346"/>
      <c r="V209" s="332"/>
      <c r="W209" s="302"/>
      <c r="X209" s="303"/>
      <c r="Y209" s="303"/>
      <c r="Z209" s="303"/>
      <c r="AA209" s="303"/>
      <c r="AB209" s="303"/>
      <c r="AC209" s="320"/>
      <c r="AD209" s="320"/>
      <c r="AE209" s="320"/>
      <c r="AF209" s="320"/>
      <c r="AG209" s="320"/>
      <c r="AH209" s="306"/>
      <c r="AI209" s="306"/>
      <c r="AJ209" s="306"/>
      <c r="AK209" s="306"/>
      <c r="AL209" s="306"/>
      <c r="AM209" s="306"/>
      <c r="AN209" s="306"/>
      <c r="AO209" s="306"/>
      <c r="AP209" s="306"/>
      <c r="AQ209" s="306"/>
      <c r="AR209" s="306"/>
      <c r="AS209" s="306"/>
      <c r="AT209" s="306"/>
      <c r="AU209" s="306"/>
      <c r="AV209" s="306"/>
      <c r="AW209" s="306"/>
      <c r="AX209" s="306"/>
      <c r="AY209" s="306"/>
      <c r="AZ209" s="306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</row>
    <row r="210" spans="1:68" s="317" customFormat="1" ht="14.25">
      <c r="A210" s="307"/>
      <c r="B210" s="331">
        <v>5005116292</v>
      </c>
      <c r="C210" s="183" t="str">
        <f>IFERROR(IF(VLOOKUP($B210,[1]勘定科目!$A:$H,HLOOKUP($E$5,[1]勘定科目!$F$1:$H$2,2,0),0)="","",VLOOKUP($B210,[1]勘定科目!$A:$E,2,0)),"")</f>
        <v>海外渡航費（製）</v>
      </c>
      <c r="D210" s="233" t="str">
        <f>IF(C210="","",VLOOKUP($B210,[1]勘定科目!$A:$E,4,0))</f>
        <v>渡航費</v>
      </c>
      <c r="E210" s="311"/>
      <c r="F210" s="343">
        <v>0</v>
      </c>
      <c r="G210" s="343">
        <v>0</v>
      </c>
      <c r="H210" s="343">
        <v>0</v>
      </c>
      <c r="I210" s="343">
        <v>0</v>
      </c>
      <c r="J210" s="343">
        <v>0</v>
      </c>
      <c r="K210" s="343">
        <v>0</v>
      </c>
      <c r="L210" s="343">
        <v>0</v>
      </c>
      <c r="M210" s="343">
        <v>0</v>
      </c>
      <c r="N210" s="343">
        <v>0</v>
      </c>
      <c r="O210" s="343">
        <v>0</v>
      </c>
      <c r="P210" s="343">
        <v>0</v>
      </c>
      <c r="Q210" s="343">
        <v>0</v>
      </c>
      <c r="R210" s="343">
        <f t="shared" si="7"/>
        <v>0</v>
      </c>
      <c r="S210" s="329" t="s">
        <v>831</v>
      </c>
      <c r="T210" s="299"/>
      <c r="U210" s="346"/>
      <c r="V210" s="332"/>
      <c r="W210" s="302"/>
      <c r="X210" s="303"/>
      <c r="Y210" s="303"/>
      <c r="Z210" s="303"/>
      <c r="AA210" s="303"/>
      <c r="AB210" s="303"/>
      <c r="AC210" s="320"/>
      <c r="AD210" s="320"/>
      <c r="AE210" s="320"/>
      <c r="AF210" s="320"/>
      <c r="AG210" s="320"/>
      <c r="AH210" s="306"/>
      <c r="AI210" s="306"/>
      <c r="AJ210" s="306"/>
      <c r="AK210" s="306"/>
      <c r="AL210" s="306"/>
      <c r="AM210" s="306"/>
      <c r="AN210" s="306"/>
      <c r="AO210" s="306"/>
      <c r="AP210" s="306"/>
      <c r="AQ210" s="306"/>
      <c r="AR210" s="306"/>
      <c r="AS210" s="306"/>
      <c r="AT210" s="306"/>
      <c r="AU210" s="306"/>
      <c r="AV210" s="306"/>
      <c r="AW210" s="306"/>
      <c r="AX210" s="306"/>
      <c r="AY210" s="306"/>
      <c r="AZ210" s="306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</row>
    <row r="211" spans="1:68" s="317" customFormat="1" ht="14.25">
      <c r="A211" s="307"/>
      <c r="B211" s="331">
        <v>5005116292</v>
      </c>
      <c r="C211" s="183" t="str">
        <f>IFERROR(IF(VLOOKUP($B211,[1]勘定科目!$A:$H,HLOOKUP($E$5,[1]勘定科目!$F$1:$H$2,2,0),0)="","",VLOOKUP($B211,[1]勘定科目!$A:$E,2,0)),"")</f>
        <v>海外渡航費（製）</v>
      </c>
      <c r="D211" s="233" t="str">
        <f>IF(C211="","",VLOOKUP($B211,[1]勘定科目!$A:$E,4,0))</f>
        <v>渡航費</v>
      </c>
      <c r="E211" s="311"/>
      <c r="F211" s="343">
        <v>0</v>
      </c>
      <c r="G211" s="343">
        <v>0</v>
      </c>
      <c r="H211" s="343">
        <v>0</v>
      </c>
      <c r="I211" s="343">
        <v>0</v>
      </c>
      <c r="J211" s="343">
        <v>0</v>
      </c>
      <c r="K211" s="343">
        <v>0</v>
      </c>
      <c r="L211" s="343">
        <v>0</v>
      </c>
      <c r="M211" s="343">
        <v>0</v>
      </c>
      <c r="N211" s="343">
        <v>0</v>
      </c>
      <c r="O211" s="343">
        <v>0</v>
      </c>
      <c r="P211" s="343">
        <v>0</v>
      </c>
      <c r="Q211" s="343">
        <v>0</v>
      </c>
      <c r="R211" s="343">
        <f t="shared" si="7"/>
        <v>0</v>
      </c>
      <c r="S211" s="329" t="s">
        <v>832</v>
      </c>
      <c r="T211" s="299"/>
      <c r="U211" s="346"/>
      <c r="V211" s="332"/>
      <c r="W211" s="302"/>
      <c r="X211" s="303"/>
      <c r="Y211" s="303"/>
      <c r="Z211" s="303"/>
      <c r="AA211" s="303"/>
      <c r="AB211" s="303"/>
      <c r="AC211" s="320"/>
      <c r="AD211" s="320"/>
      <c r="AE211" s="320"/>
      <c r="AF211" s="320"/>
      <c r="AG211" s="320"/>
      <c r="AH211" s="306"/>
      <c r="AI211" s="306"/>
      <c r="AJ211" s="306"/>
      <c r="AK211" s="306"/>
      <c r="AL211" s="306"/>
      <c r="AM211" s="306"/>
      <c r="AN211" s="306"/>
      <c r="AO211" s="306"/>
      <c r="AP211" s="306"/>
      <c r="AQ211" s="306"/>
      <c r="AR211" s="306"/>
      <c r="AS211" s="306"/>
      <c r="AT211" s="306"/>
      <c r="AU211" s="306"/>
      <c r="AV211" s="306"/>
      <c r="AW211" s="306"/>
      <c r="AX211" s="306"/>
      <c r="AY211" s="306"/>
      <c r="AZ211" s="306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</row>
    <row r="212" spans="1:68" s="317" customFormat="1" ht="14.25">
      <c r="A212" s="307"/>
      <c r="B212" s="331">
        <v>5005116292</v>
      </c>
      <c r="C212" s="183" t="str">
        <f>IFERROR(IF(VLOOKUP($B212,[1]勘定科目!$A:$H,HLOOKUP($E$5,[1]勘定科目!$F$1:$H$2,2,0),0)="","",VLOOKUP($B212,[1]勘定科目!$A:$E,2,0)),"")</f>
        <v>海外渡航費（製）</v>
      </c>
      <c r="D212" s="233" t="str">
        <f>IF(C212="","",VLOOKUP($B212,[1]勘定科目!$A:$E,4,0))</f>
        <v>渡航費</v>
      </c>
      <c r="E212" s="311"/>
      <c r="F212" s="343">
        <v>0</v>
      </c>
      <c r="G212" s="343">
        <v>0</v>
      </c>
      <c r="H212" s="343">
        <v>0</v>
      </c>
      <c r="I212" s="343">
        <v>0</v>
      </c>
      <c r="J212" s="343">
        <v>0</v>
      </c>
      <c r="K212" s="343">
        <v>0</v>
      </c>
      <c r="L212" s="343">
        <v>0</v>
      </c>
      <c r="M212" s="343">
        <v>0</v>
      </c>
      <c r="N212" s="343">
        <v>0</v>
      </c>
      <c r="O212" s="343">
        <v>0</v>
      </c>
      <c r="P212" s="343">
        <v>0</v>
      </c>
      <c r="Q212" s="343">
        <v>0</v>
      </c>
      <c r="R212" s="343">
        <f t="shared" si="7"/>
        <v>0</v>
      </c>
      <c r="S212" s="329" t="s">
        <v>833</v>
      </c>
      <c r="T212" s="299"/>
      <c r="U212" s="346"/>
      <c r="V212" s="332"/>
      <c r="W212" s="302"/>
      <c r="X212" s="303"/>
      <c r="Y212" s="303"/>
      <c r="Z212" s="303"/>
      <c r="AA212" s="303"/>
      <c r="AB212" s="303"/>
      <c r="AC212" s="320"/>
      <c r="AD212" s="320"/>
      <c r="AE212" s="320"/>
      <c r="AF212" s="320"/>
      <c r="AG212" s="320"/>
      <c r="AH212" s="306"/>
      <c r="AI212" s="306"/>
      <c r="AJ212" s="306"/>
      <c r="AK212" s="306"/>
      <c r="AL212" s="306"/>
      <c r="AM212" s="306"/>
      <c r="AN212" s="306"/>
      <c r="AO212" s="306"/>
      <c r="AP212" s="306"/>
      <c r="AQ212" s="306"/>
      <c r="AR212" s="306"/>
      <c r="AS212" s="306"/>
      <c r="AT212" s="306"/>
      <c r="AU212" s="306"/>
      <c r="AV212" s="306"/>
      <c r="AW212" s="306"/>
      <c r="AX212" s="306"/>
      <c r="AY212" s="306"/>
      <c r="AZ212" s="306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</row>
    <row r="213" spans="1:68" s="317" customFormat="1" ht="14.25">
      <c r="A213" s="307"/>
      <c r="B213" s="331">
        <v>5005116292</v>
      </c>
      <c r="C213" s="183" t="str">
        <f>IFERROR(IF(VLOOKUP($B213,[1]勘定科目!$A:$H,HLOOKUP($E$5,[1]勘定科目!$F$1:$H$2,2,0),0)="","",VLOOKUP($B213,[1]勘定科目!$A:$E,2,0)),"")</f>
        <v>海外渡航費（製）</v>
      </c>
      <c r="D213" s="233" t="str">
        <f>IF(C213="","",VLOOKUP($B213,[1]勘定科目!$A:$E,4,0))</f>
        <v>渡航費</v>
      </c>
      <c r="E213" s="311"/>
      <c r="F213" s="343">
        <v>0</v>
      </c>
      <c r="G213" s="343">
        <v>0</v>
      </c>
      <c r="H213" s="343">
        <v>0</v>
      </c>
      <c r="I213" s="343">
        <v>0</v>
      </c>
      <c r="J213" s="343">
        <v>0</v>
      </c>
      <c r="K213" s="343">
        <v>0</v>
      </c>
      <c r="L213" s="343">
        <v>0</v>
      </c>
      <c r="M213" s="343">
        <v>0</v>
      </c>
      <c r="N213" s="343">
        <v>0</v>
      </c>
      <c r="O213" s="343">
        <v>0</v>
      </c>
      <c r="P213" s="343">
        <v>0</v>
      </c>
      <c r="Q213" s="343">
        <v>0</v>
      </c>
      <c r="R213" s="343">
        <f t="shared" si="7"/>
        <v>0</v>
      </c>
      <c r="S213" s="329" t="s">
        <v>834</v>
      </c>
      <c r="T213" s="299"/>
      <c r="U213" s="346"/>
      <c r="V213" s="332"/>
      <c r="W213" s="302"/>
      <c r="X213" s="303"/>
      <c r="Y213" s="303"/>
      <c r="Z213" s="303"/>
      <c r="AA213" s="303"/>
      <c r="AB213" s="303"/>
      <c r="AC213" s="320"/>
      <c r="AD213" s="320"/>
      <c r="AE213" s="320"/>
      <c r="AF213" s="320"/>
      <c r="AG213" s="320"/>
      <c r="AH213" s="306"/>
      <c r="AI213" s="306"/>
      <c r="AJ213" s="306"/>
      <c r="AK213" s="306"/>
      <c r="AL213" s="306"/>
      <c r="AM213" s="306"/>
      <c r="AN213" s="306"/>
      <c r="AO213" s="306"/>
      <c r="AP213" s="306"/>
      <c r="AQ213" s="306"/>
      <c r="AR213" s="306"/>
      <c r="AS213" s="306"/>
      <c r="AT213" s="306"/>
      <c r="AU213" s="306"/>
      <c r="AV213" s="306"/>
      <c r="AW213" s="306"/>
      <c r="AX213" s="306"/>
      <c r="AY213" s="306"/>
      <c r="AZ213" s="306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</row>
    <row r="214" spans="1:68" s="317" customFormat="1" ht="14.25">
      <c r="A214" s="307"/>
      <c r="B214" s="331"/>
      <c r="C214" s="309" t="s">
        <v>718</v>
      </c>
      <c r="D214" s="310" t="s">
        <v>718</v>
      </c>
      <c r="E214" s="311"/>
      <c r="F214" s="343"/>
      <c r="G214" s="343"/>
      <c r="H214" s="343"/>
      <c r="I214" s="343"/>
      <c r="J214" s="343"/>
      <c r="K214" s="343"/>
      <c r="L214" s="343"/>
      <c r="M214" s="343"/>
      <c r="N214" s="343"/>
      <c r="O214" s="343"/>
      <c r="P214" s="343"/>
      <c r="Q214" s="343"/>
      <c r="R214" s="198"/>
      <c r="S214" s="329"/>
      <c r="T214" s="299"/>
      <c r="U214" s="346"/>
      <c r="V214" s="332"/>
      <c r="W214" s="302"/>
      <c r="X214" s="303"/>
      <c r="Y214" s="303"/>
      <c r="Z214" s="303"/>
      <c r="AA214" s="303"/>
      <c r="AB214" s="303"/>
      <c r="AC214" s="320"/>
      <c r="AD214" s="320"/>
      <c r="AE214" s="320"/>
      <c r="AF214" s="320"/>
      <c r="AG214" s="320"/>
      <c r="AH214" s="306"/>
      <c r="AI214" s="306"/>
      <c r="AJ214" s="306"/>
      <c r="AK214" s="306"/>
      <c r="AL214" s="306"/>
      <c r="AM214" s="306"/>
      <c r="AN214" s="306"/>
      <c r="AO214" s="306"/>
      <c r="AP214" s="306"/>
      <c r="AQ214" s="306"/>
      <c r="AR214" s="306"/>
      <c r="AS214" s="306"/>
      <c r="AT214" s="306"/>
      <c r="AU214" s="306"/>
      <c r="AV214" s="306"/>
      <c r="AW214" s="306"/>
      <c r="AX214" s="306"/>
      <c r="AY214" s="306"/>
      <c r="AZ214" s="306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</row>
    <row r="215" spans="1:68" s="317" customFormat="1" ht="14.25">
      <c r="A215" s="307"/>
      <c r="B215" s="331"/>
      <c r="C215" s="309" t="s">
        <v>718</v>
      </c>
      <c r="D215" s="310" t="s">
        <v>718</v>
      </c>
      <c r="E215" s="311"/>
      <c r="F215" s="345"/>
      <c r="G215" s="345"/>
      <c r="H215" s="345"/>
      <c r="I215" s="345"/>
      <c r="J215" s="345"/>
      <c r="K215" s="345"/>
      <c r="L215" s="345"/>
      <c r="M215" s="345"/>
      <c r="N215" s="345"/>
      <c r="O215" s="345"/>
      <c r="P215" s="345"/>
      <c r="Q215" s="345"/>
      <c r="R215" s="198"/>
      <c r="S215" s="378"/>
      <c r="T215" s="299"/>
      <c r="U215" s="341"/>
      <c r="V215" s="303"/>
      <c r="W215" s="302"/>
      <c r="X215" s="303"/>
      <c r="Y215" s="303"/>
      <c r="Z215" s="303"/>
      <c r="AA215" s="303"/>
      <c r="AB215" s="303"/>
      <c r="AC215" s="320"/>
      <c r="AD215" s="320"/>
      <c r="AE215" s="320"/>
      <c r="AF215" s="320"/>
      <c r="AG215" s="320"/>
      <c r="AH215" s="306"/>
      <c r="AI215" s="306"/>
      <c r="AJ215" s="306"/>
      <c r="AK215" s="306"/>
      <c r="AL215" s="306"/>
      <c r="AM215" s="306"/>
      <c r="AN215" s="306"/>
      <c r="AO215" s="306"/>
      <c r="AP215" s="306"/>
      <c r="AQ215" s="306"/>
      <c r="AR215" s="306"/>
      <c r="AS215" s="306"/>
      <c r="AT215" s="306"/>
      <c r="AU215" s="306"/>
      <c r="AV215" s="306"/>
      <c r="AW215" s="306"/>
      <c r="AX215" s="306"/>
      <c r="AY215" s="306"/>
      <c r="AZ215" s="306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</row>
    <row r="216" spans="1:68" s="317" customFormat="1" ht="14.25">
      <c r="A216" s="307"/>
      <c r="B216" s="331"/>
      <c r="C216" s="309" t="s">
        <v>718</v>
      </c>
      <c r="D216" s="310" t="s">
        <v>718</v>
      </c>
      <c r="E216" s="311"/>
      <c r="F216" s="343"/>
      <c r="G216" s="345"/>
      <c r="H216" s="345"/>
      <c r="I216" s="345"/>
      <c r="J216" s="345"/>
      <c r="K216" s="345"/>
      <c r="L216" s="345"/>
      <c r="M216" s="345"/>
      <c r="N216" s="343"/>
      <c r="O216" s="343"/>
      <c r="P216" s="343"/>
      <c r="Q216" s="345"/>
      <c r="R216" s="198"/>
      <c r="S216" s="329"/>
      <c r="T216" s="299"/>
      <c r="U216" s="338"/>
      <c r="V216" s="303"/>
      <c r="W216" s="302"/>
      <c r="X216" s="349"/>
      <c r="Y216" s="349"/>
      <c r="Z216" s="303"/>
      <c r="AA216" s="303"/>
      <c r="AB216" s="303"/>
      <c r="AC216" s="320"/>
      <c r="AD216" s="320"/>
      <c r="AE216" s="320"/>
      <c r="AF216" s="320"/>
      <c r="AG216" s="320"/>
      <c r="AH216" s="306"/>
      <c r="AI216" s="306"/>
      <c r="AJ216" s="306"/>
      <c r="AK216" s="306"/>
      <c r="AL216" s="306"/>
      <c r="AM216" s="306"/>
      <c r="AN216" s="306"/>
      <c r="AO216" s="306"/>
      <c r="AP216" s="306"/>
      <c r="AQ216" s="306"/>
      <c r="AR216" s="306"/>
      <c r="AS216" s="306"/>
      <c r="AT216" s="306"/>
      <c r="AU216" s="306"/>
      <c r="AV216" s="306"/>
      <c r="AW216" s="306"/>
      <c r="AX216" s="306"/>
      <c r="AY216" s="306"/>
      <c r="AZ216" s="30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</row>
    <row r="217" spans="1:68" s="317" customFormat="1" ht="14.25">
      <c r="A217" s="307"/>
      <c r="B217" s="331"/>
      <c r="C217" s="309" t="s">
        <v>718</v>
      </c>
      <c r="D217" s="310" t="s">
        <v>718</v>
      </c>
      <c r="E217" s="311"/>
      <c r="F217" s="343"/>
      <c r="G217" s="343"/>
      <c r="H217" s="343"/>
      <c r="I217" s="343"/>
      <c r="J217" s="343"/>
      <c r="K217" s="343"/>
      <c r="L217" s="345"/>
      <c r="M217" s="345"/>
      <c r="N217" s="345"/>
      <c r="O217" s="345"/>
      <c r="P217" s="345"/>
      <c r="Q217" s="345"/>
      <c r="R217" s="198"/>
      <c r="S217" s="329"/>
      <c r="T217" s="299"/>
      <c r="U217" s="348"/>
      <c r="V217" s="338"/>
      <c r="W217" s="349"/>
      <c r="X217" s="350"/>
      <c r="Y217" s="340"/>
      <c r="Z217" s="303"/>
      <c r="AA217" s="306"/>
      <c r="AB217" s="306"/>
      <c r="AC217" s="320"/>
      <c r="AD217" s="320"/>
      <c r="AE217" s="320"/>
      <c r="AF217" s="320"/>
      <c r="AG217" s="320"/>
      <c r="AH217" s="306"/>
      <c r="AI217" s="306"/>
      <c r="AJ217" s="306"/>
      <c r="AK217" s="306"/>
      <c r="AL217" s="306"/>
      <c r="AM217" s="306"/>
      <c r="AN217" s="306"/>
      <c r="AO217" s="306"/>
      <c r="AP217" s="306"/>
      <c r="AQ217" s="306"/>
      <c r="AR217" s="306"/>
      <c r="AS217" s="306"/>
      <c r="AT217" s="306"/>
      <c r="AU217" s="306"/>
      <c r="AV217" s="306"/>
      <c r="AW217" s="306"/>
      <c r="AX217" s="306"/>
      <c r="AY217" s="306"/>
      <c r="AZ217" s="306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</row>
    <row r="218" spans="1:68" s="317" customFormat="1" ht="14.25">
      <c r="A218" s="307"/>
      <c r="B218" s="331"/>
      <c r="C218" s="309"/>
      <c r="D218" s="310" t="s">
        <v>718</v>
      </c>
      <c r="E218" s="311"/>
      <c r="F218" s="343"/>
      <c r="G218" s="345"/>
      <c r="H218" s="345"/>
      <c r="I218" s="345"/>
      <c r="J218" s="345"/>
      <c r="K218" s="343"/>
      <c r="L218" s="345"/>
      <c r="M218" s="345"/>
      <c r="N218" s="345"/>
      <c r="O218" s="345"/>
      <c r="P218" s="345"/>
      <c r="Q218" s="343"/>
      <c r="R218" s="198"/>
      <c r="S218" s="329"/>
      <c r="T218" s="299"/>
      <c r="U218" s="348"/>
      <c r="V218" s="338"/>
      <c r="W218" s="349"/>
      <c r="X218" s="350"/>
      <c r="Y218" s="340"/>
      <c r="Z218" s="303"/>
      <c r="AA218" s="306"/>
      <c r="AB218" s="306"/>
      <c r="AC218" s="320"/>
      <c r="AD218" s="320"/>
      <c r="AE218" s="320"/>
      <c r="AF218" s="320"/>
      <c r="AG218" s="320"/>
      <c r="AH218" s="306"/>
      <c r="AI218" s="306"/>
      <c r="AJ218" s="306"/>
      <c r="AK218" s="306"/>
      <c r="AL218" s="306"/>
      <c r="AM218" s="306"/>
      <c r="AN218" s="306"/>
      <c r="AO218" s="306"/>
      <c r="AP218" s="306"/>
      <c r="AQ218" s="306"/>
      <c r="AR218" s="306"/>
      <c r="AS218" s="306"/>
      <c r="AT218" s="306"/>
      <c r="AU218" s="306"/>
      <c r="AV218" s="306"/>
      <c r="AW218" s="306"/>
      <c r="AX218" s="306"/>
      <c r="AY218" s="306"/>
      <c r="AZ218" s="306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</row>
    <row r="219" spans="1:68" s="317" customFormat="1" ht="14.25">
      <c r="A219" s="307"/>
      <c r="B219" s="331"/>
      <c r="C219" s="309"/>
      <c r="D219" s="310"/>
      <c r="E219" s="311"/>
      <c r="F219" s="343"/>
      <c r="G219" s="356"/>
      <c r="H219" s="356"/>
      <c r="I219" s="356"/>
      <c r="J219" s="345"/>
      <c r="K219" s="345"/>
      <c r="L219" s="345"/>
      <c r="M219" s="345"/>
      <c r="N219" s="345"/>
      <c r="O219" s="345"/>
      <c r="P219" s="345"/>
      <c r="Q219" s="345"/>
      <c r="R219" s="198"/>
      <c r="S219" s="406"/>
      <c r="T219" s="299"/>
      <c r="U219" s="348"/>
      <c r="V219" s="348"/>
      <c r="W219" s="349"/>
      <c r="X219" s="350"/>
      <c r="Y219" s="340"/>
      <c r="Z219" s="303"/>
      <c r="AA219" s="306"/>
      <c r="AB219" s="306"/>
      <c r="AC219" s="320"/>
      <c r="AD219" s="320"/>
      <c r="AE219" s="320"/>
      <c r="AF219" s="320"/>
      <c r="AG219" s="320"/>
      <c r="AH219" s="306"/>
      <c r="AI219" s="306"/>
      <c r="AJ219" s="306"/>
      <c r="AK219" s="306"/>
      <c r="AL219" s="306"/>
      <c r="AM219" s="306"/>
      <c r="AN219" s="306"/>
      <c r="AO219" s="306"/>
      <c r="AP219" s="306"/>
      <c r="AQ219" s="306"/>
      <c r="AR219" s="306"/>
      <c r="AS219" s="306"/>
      <c r="AT219" s="306"/>
      <c r="AU219" s="306"/>
      <c r="AV219" s="306"/>
      <c r="AW219" s="306"/>
      <c r="AX219" s="306"/>
      <c r="AY219" s="306"/>
      <c r="AZ219" s="306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</row>
    <row r="220" spans="1:68" s="317" customFormat="1" ht="14.25">
      <c r="A220" s="307"/>
      <c r="B220" s="331"/>
      <c r="C220" s="309"/>
      <c r="D220" s="310"/>
      <c r="E220" s="311"/>
      <c r="F220" s="345"/>
      <c r="G220" s="356"/>
      <c r="H220" s="356"/>
      <c r="I220" s="356"/>
      <c r="J220" s="345"/>
      <c r="K220" s="345"/>
      <c r="L220" s="345"/>
      <c r="M220" s="345"/>
      <c r="N220" s="345"/>
      <c r="O220" s="345"/>
      <c r="P220" s="345"/>
      <c r="Q220" s="345"/>
      <c r="R220" s="198"/>
      <c r="S220" s="329"/>
      <c r="T220" s="299"/>
      <c r="U220" s="348"/>
      <c r="V220" s="348"/>
      <c r="W220" s="349"/>
      <c r="X220" s="350"/>
      <c r="Y220" s="340"/>
      <c r="Z220" s="303"/>
      <c r="AA220" s="306"/>
      <c r="AB220" s="306"/>
      <c r="AC220" s="320"/>
      <c r="AD220" s="320"/>
      <c r="AE220" s="320"/>
      <c r="AF220" s="320"/>
      <c r="AG220" s="320"/>
      <c r="AH220" s="306"/>
      <c r="AI220" s="306"/>
      <c r="AJ220" s="306"/>
      <c r="AK220" s="306"/>
      <c r="AL220" s="306"/>
      <c r="AM220" s="306"/>
      <c r="AN220" s="306"/>
      <c r="AO220" s="306"/>
      <c r="AP220" s="306"/>
      <c r="AQ220" s="306"/>
      <c r="AR220" s="306"/>
      <c r="AS220" s="306"/>
      <c r="AT220" s="306"/>
      <c r="AU220" s="306"/>
      <c r="AV220" s="306"/>
      <c r="AW220" s="306"/>
      <c r="AX220" s="306"/>
      <c r="AY220" s="306"/>
      <c r="AZ220" s="306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</row>
    <row r="221" spans="1:68" s="317" customFormat="1" ht="14.25">
      <c r="A221" s="307"/>
      <c r="B221" s="331"/>
      <c r="C221" s="309"/>
      <c r="D221" s="310"/>
      <c r="E221" s="311"/>
      <c r="F221" s="345"/>
      <c r="G221" s="356"/>
      <c r="H221" s="356"/>
      <c r="I221" s="356"/>
      <c r="J221" s="345"/>
      <c r="K221" s="345"/>
      <c r="L221" s="345"/>
      <c r="M221" s="345"/>
      <c r="N221" s="345"/>
      <c r="O221" s="345"/>
      <c r="P221" s="345"/>
      <c r="Q221" s="345"/>
      <c r="R221" s="198"/>
      <c r="S221" s="378"/>
      <c r="T221" s="299"/>
      <c r="U221" s="397"/>
      <c r="V221" s="395"/>
      <c r="W221" s="396"/>
      <c r="X221" s="303"/>
      <c r="Y221" s="303"/>
      <c r="Z221" s="303"/>
      <c r="AA221" s="303"/>
      <c r="AB221" s="303"/>
      <c r="AC221" s="320"/>
      <c r="AD221" s="320"/>
      <c r="AE221" s="320"/>
      <c r="AF221" s="320"/>
      <c r="AG221" s="320"/>
      <c r="AH221" s="306"/>
      <c r="AI221" s="306"/>
      <c r="AJ221" s="306"/>
      <c r="AK221" s="306"/>
      <c r="AL221" s="306"/>
      <c r="AM221" s="306"/>
      <c r="AN221" s="306"/>
      <c r="AO221" s="306"/>
      <c r="AP221" s="306"/>
      <c r="AQ221" s="306"/>
      <c r="AR221" s="306"/>
      <c r="AS221" s="306"/>
      <c r="AT221" s="306"/>
      <c r="AU221" s="306"/>
      <c r="AV221" s="306"/>
      <c r="AW221" s="306"/>
      <c r="AX221" s="306"/>
      <c r="AY221" s="306"/>
      <c r="AZ221" s="306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</row>
    <row r="222" spans="1:68" s="317" customFormat="1" ht="14.25">
      <c r="A222" s="307"/>
      <c r="B222" s="331"/>
      <c r="C222" s="309"/>
      <c r="D222" s="310"/>
      <c r="E222" s="311"/>
      <c r="F222" s="343"/>
      <c r="G222" s="343"/>
      <c r="H222" s="343"/>
      <c r="I222" s="343"/>
      <c r="J222" s="345"/>
      <c r="K222" s="345"/>
      <c r="L222" s="345"/>
      <c r="M222" s="345"/>
      <c r="N222" s="345"/>
      <c r="O222" s="345"/>
      <c r="P222" s="345"/>
      <c r="Q222" s="345"/>
      <c r="R222" s="198"/>
      <c r="S222" s="329"/>
      <c r="T222" s="299"/>
      <c r="U222" s="402"/>
      <c r="V222" s="402"/>
      <c r="W222" s="302"/>
      <c r="X222" s="303"/>
      <c r="Y222" s="303"/>
      <c r="Z222" s="303"/>
      <c r="AA222" s="303"/>
      <c r="AB222" s="303"/>
      <c r="AC222" s="320"/>
      <c r="AD222" s="320"/>
      <c r="AE222" s="320"/>
      <c r="AF222" s="320"/>
      <c r="AG222" s="320"/>
      <c r="AH222" s="306"/>
      <c r="AI222" s="306"/>
      <c r="AJ222" s="306"/>
      <c r="AK222" s="306"/>
      <c r="AL222" s="306"/>
      <c r="AM222" s="306"/>
      <c r="AN222" s="306"/>
      <c r="AO222" s="306"/>
      <c r="AP222" s="306"/>
      <c r="AQ222" s="306"/>
      <c r="AR222" s="306"/>
      <c r="AS222" s="306"/>
      <c r="AT222" s="306"/>
      <c r="AU222" s="306"/>
      <c r="AV222" s="306"/>
      <c r="AW222" s="306"/>
      <c r="AX222" s="306"/>
      <c r="AY222" s="306"/>
      <c r="AZ222" s="306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</row>
    <row r="223" spans="1:68" s="317" customFormat="1" ht="14.25">
      <c r="A223" s="307"/>
      <c r="B223" s="331"/>
      <c r="C223" s="309" t="s">
        <v>718</v>
      </c>
      <c r="D223" s="310" t="s">
        <v>718</v>
      </c>
      <c r="E223" s="311"/>
      <c r="F223" s="343"/>
      <c r="G223" s="345"/>
      <c r="H223" s="345"/>
      <c r="I223" s="345"/>
      <c r="J223" s="345"/>
      <c r="K223" s="345"/>
      <c r="L223" s="345"/>
      <c r="M223" s="345"/>
      <c r="N223" s="345"/>
      <c r="O223" s="345"/>
      <c r="P223" s="345"/>
      <c r="Q223" s="345"/>
      <c r="R223" s="198"/>
      <c r="S223" s="329"/>
      <c r="T223" s="299"/>
      <c r="U223" s="332"/>
      <c r="V223" s="332"/>
      <c r="W223" s="302"/>
      <c r="X223" s="303"/>
      <c r="Y223" s="303"/>
      <c r="Z223" s="303"/>
      <c r="AA223" s="303"/>
      <c r="AB223" s="303"/>
      <c r="AC223" s="320"/>
      <c r="AD223" s="320"/>
      <c r="AE223" s="320"/>
      <c r="AF223" s="320"/>
      <c r="AG223" s="320"/>
      <c r="AH223" s="306"/>
      <c r="AI223" s="306"/>
      <c r="AJ223" s="306"/>
      <c r="AK223" s="306"/>
      <c r="AL223" s="306"/>
      <c r="AM223" s="306"/>
      <c r="AN223" s="306"/>
      <c r="AO223" s="306"/>
      <c r="AP223" s="306"/>
      <c r="AQ223" s="306"/>
      <c r="AR223" s="306"/>
      <c r="AS223" s="306"/>
      <c r="AT223" s="306"/>
      <c r="AU223" s="306"/>
      <c r="AV223" s="306"/>
      <c r="AW223" s="306"/>
      <c r="AX223" s="306"/>
      <c r="AY223" s="306"/>
      <c r="AZ223" s="306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</row>
    <row r="224" spans="1:68" s="317" customFormat="1" ht="14.25">
      <c r="A224" s="307"/>
      <c r="B224" s="293"/>
      <c r="C224" s="309"/>
      <c r="D224" s="310"/>
      <c r="E224" s="311"/>
      <c r="F224" s="343"/>
      <c r="G224" s="345"/>
      <c r="H224" s="345"/>
      <c r="I224" s="345"/>
      <c r="J224" s="345"/>
      <c r="K224" s="345"/>
      <c r="L224" s="345"/>
      <c r="M224" s="345"/>
      <c r="N224" s="345"/>
      <c r="O224" s="345"/>
      <c r="P224" s="345"/>
      <c r="Q224" s="345"/>
      <c r="R224" s="198"/>
      <c r="S224" s="329"/>
      <c r="T224" s="299"/>
      <c r="U224" s="332"/>
      <c r="V224" s="332"/>
      <c r="W224" s="302"/>
      <c r="X224" s="303"/>
      <c r="Y224" s="303"/>
      <c r="Z224" s="303"/>
      <c r="AA224" s="303"/>
      <c r="AB224" s="303"/>
      <c r="AC224" s="320"/>
      <c r="AD224" s="320"/>
      <c r="AE224" s="320"/>
      <c r="AF224" s="320"/>
      <c r="AG224" s="320"/>
      <c r="AH224" s="306"/>
      <c r="AI224" s="306"/>
      <c r="AJ224" s="306"/>
      <c r="AK224" s="306"/>
      <c r="AL224" s="306"/>
      <c r="AM224" s="306"/>
      <c r="AN224" s="306"/>
      <c r="AO224" s="306"/>
      <c r="AP224" s="306"/>
      <c r="AQ224" s="306"/>
      <c r="AR224" s="306"/>
      <c r="AS224" s="306"/>
      <c r="AT224" s="306"/>
      <c r="AU224" s="306"/>
      <c r="AV224" s="306"/>
      <c r="AW224" s="306"/>
      <c r="AX224" s="306"/>
      <c r="AY224" s="306"/>
      <c r="AZ224" s="306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</row>
    <row r="225" spans="1:68" s="317" customFormat="1" ht="14.25">
      <c r="A225" s="307"/>
      <c r="B225" s="293"/>
      <c r="C225" s="309" t="s">
        <v>718</v>
      </c>
      <c r="D225" s="310" t="s">
        <v>718</v>
      </c>
      <c r="E225" s="311"/>
      <c r="F225" s="343"/>
      <c r="G225" s="343"/>
      <c r="H225" s="343"/>
      <c r="I225" s="343"/>
      <c r="J225" s="343"/>
      <c r="K225" s="343"/>
      <c r="L225" s="343"/>
      <c r="M225" s="343"/>
      <c r="N225" s="343"/>
      <c r="O225" s="343"/>
      <c r="P225" s="343"/>
      <c r="Q225" s="343"/>
      <c r="R225" s="198"/>
      <c r="S225" s="329"/>
      <c r="T225" s="299"/>
      <c r="U225" s="346"/>
      <c r="V225" s="332"/>
      <c r="W225" s="302"/>
      <c r="X225" s="303"/>
      <c r="Y225" s="303"/>
      <c r="Z225" s="303"/>
      <c r="AA225" s="303"/>
      <c r="AB225" s="303"/>
      <c r="AC225" s="320"/>
      <c r="AD225" s="320"/>
      <c r="AE225" s="320"/>
      <c r="AF225" s="320"/>
      <c r="AG225" s="320"/>
      <c r="AH225" s="306"/>
      <c r="AI225" s="306"/>
      <c r="AJ225" s="306"/>
      <c r="AK225" s="306"/>
      <c r="AL225" s="306"/>
      <c r="AM225" s="306"/>
      <c r="AN225" s="306"/>
      <c r="AO225" s="306"/>
      <c r="AP225" s="306"/>
      <c r="AQ225" s="306"/>
      <c r="AR225" s="306"/>
      <c r="AS225" s="306"/>
      <c r="AT225" s="306"/>
      <c r="AU225" s="306"/>
      <c r="AV225" s="306"/>
      <c r="AW225" s="306"/>
      <c r="AX225" s="306"/>
      <c r="AY225" s="306"/>
      <c r="AZ225" s="306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</row>
    <row r="226" spans="1:68" s="317" customFormat="1" ht="14.25">
      <c r="A226" s="307"/>
      <c r="B226" s="331"/>
      <c r="C226" s="309"/>
      <c r="D226" s="310"/>
      <c r="E226" s="311"/>
      <c r="F226" s="345"/>
      <c r="G226" s="345"/>
      <c r="H226" s="345"/>
      <c r="I226" s="345"/>
      <c r="J226" s="345"/>
      <c r="K226" s="345"/>
      <c r="L226" s="345"/>
      <c r="M226" s="345"/>
      <c r="N226" s="345"/>
      <c r="O226" s="345"/>
      <c r="P226" s="345"/>
      <c r="Q226" s="345"/>
      <c r="R226" s="198"/>
      <c r="S226" s="378"/>
      <c r="T226" s="299"/>
      <c r="U226" s="346"/>
      <c r="V226" s="303"/>
      <c r="W226" s="302"/>
      <c r="X226" s="303"/>
      <c r="Y226" s="303"/>
      <c r="Z226" s="303"/>
      <c r="AA226" s="303"/>
      <c r="AB226" s="303"/>
      <c r="AC226" s="320"/>
      <c r="AD226" s="320"/>
      <c r="AE226" s="320"/>
      <c r="AF226" s="320"/>
      <c r="AG226" s="320"/>
      <c r="AH226" s="306"/>
      <c r="AI226" s="306"/>
      <c r="AJ226" s="306"/>
      <c r="AK226" s="306"/>
      <c r="AL226" s="306"/>
      <c r="AM226" s="306"/>
      <c r="AN226" s="306"/>
      <c r="AO226" s="306"/>
      <c r="AP226" s="306"/>
      <c r="AQ226" s="306"/>
      <c r="AR226" s="306"/>
      <c r="AS226" s="306"/>
      <c r="AT226" s="306"/>
      <c r="AU226" s="306"/>
      <c r="AV226" s="306"/>
      <c r="AW226" s="306"/>
      <c r="AX226" s="306"/>
      <c r="AY226" s="306"/>
      <c r="AZ226" s="30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</row>
    <row r="227" spans="1:68" s="317" customFormat="1" ht="14.25">
      <c r="A227" s="307"/>
      <c r="B227" s="331"/>
      <c r="C227" s="309"/>
      <c r="D227" s="310"/>
      <c r="E227" s="311"/>
      <c r="F227" s="343"/>
      <c r="G227" s="345"/>
      <c r="H227" s="345"/>
      <c r="I227" s="345"/>
      <c r="J227" s="345"/>
      <c r="K227" s="345"/>
      <c r="L227" s="345"/>
      <c r="M227" s="345"/>
      <c r="N227" s="345"/>
      <c r="O227" s="345"/>
      <c r="P227" s="345"/>
      <c r="Q227" s="345"/>
      <c r="R227" s="198"/>
      <c r="S227" s="378"/>
      <c r="T227" s="299"/>
      <c r="U227" s="346"/>
      <c r="V227" s="303"/>
      <c r="W227" s="302"/>
      <c r="X227" s="303"/>
      <c r="Y227" s="303"/>
      <c r="Z227" s="303"/>
      <c r="AA227" s="303"/>
      <c r="AB227" s="303"/>
      <c r="AC227" s="320"/>
      <c r="AD227" s="320"/>
      <c r="AE227" s="320"/>
      <c r="AF227" s="320"/>
      <c r="AG227" s="320"/>
      <c r="AH227" s="306"/>
      <c r="AI227" s="306"/>
      <c r="AJ227" s="306"/>
      <c r="AK227" s="306"/>
      <c r="AL227" s="306"/>
      <c r="AM227" s="306"/>
      <c r="AN227" s="306"/>
      <c r="AO227" s="306"/>
      <c r="AP227" s="306"/>
      <c r="AQ227" s="306"/>
      <c r="AR227" s="306"/>
      <c r="AS227" s="306"/>
      <c r="AT227" s="306"/>
      <c r="AU227" s="306"/>
      <c r="AV227" s="306"/>
      <c r="AW227" s="306"/>
      <c r="AX227" s="306"/>
      <c r="AY227" s="306"/>
      <c r="AZ227" s="306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</row>
    <row r="228" spans="1:68" s="317" customFormat="1" ht="14.25">
      <c r="A228" s="307"/>
      <c r="B228" s="331"/>
      <c r="C228" s="309"/>
      <c r="D228" s="310"/>
      <c r="E228" s="311"/>
      <c r="F228" s="343"/>
      <c r="G228" s="345"/>
      <c r="H228" s="345"/>
      <c r="I228" s="345"/>
      <c r="J228" s="345"/>
      <c r="K228" s="345"/>
      <c r="L228" s="345"/>
      <c r="M228" s="345"/>
      <c r="N228" s="345"/>
      <c r="O228" s="345"/>
      <c r="P228" s="345"/>
      <c r="Q228" s="345"/>
      <c r="R228" s="198"/>
      <c r="S228" s="329"/>
      <c r="T228" s="299"/>
      <c r="U228" s="332"/>
      <c r="V228" s="332"/>
      <c r="X228" s="303"/>
      <c r="Y228" s="303"/>
      <c r="Z228" s="303"/>
      <c r="AA228" s="303"/>
      <c r="AB228" s="303"/>
      <c r="AC228" s="320"/>
      <c r="AD228" s="320"/>
      <c r="AE228" s="320"/>
      <c r="AF228" s="320"/>
      <c r="AG228" s="320"/>
      <c r="AH228" s="306"/>
      <c r="AI228" s="306"/>
      <c r="AJ228" s="306"/>
      <c r="AK228" s="306"/>
      <c r="AL228" s="306"/>
      <c r="AM228" s="306"/>
      <c r="AN228" s="306"/>
      <c r="AO228" s="306"/>
      <c r="AP228" s="306"/>
      <c r="AQ228" s="306"/>
      <c r="AR228" s="306"/>
      <c r="AS228" s="306"/>
      <c r="AT228" s="306"/>
      <c r="AU228" s="306"/>
      <c r="AV228" s="306"/>
      <c r="AW228" s="306"/>
      <c r="AX228" s="306"/>
      <c r="AY228" s="306"/>
      <c r="AZ228" s="306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</row>
    <row r="229" spans="1:68" s="317" customFormat="1" ht="14.25">
      <c r="A229" s="307"/>
      <c r="B229" s="331"/>
      <c r="C229" s="309" t="s">
        <v>718</v>
      </c>
      <c r="D229" s="310" t="s">
        <v>718</v>
      </c>
      <c r="E229" s="311"/>
      <c r="F229" s="343"/>
      <c r="G229" s="345"/>
      <c r="H229" s="345"/>
      <c r="I229" s="345"/>
      <c r="J229" s="345"/>
      <c r="K229" s="345"/>
      <c r="L229" s="345"/>
      <c r="M229" s="345"/>
      <c r="N229" s="345"/>
      <c r="O229" s="345"/>
      <c r="P229" s="345"/>
      <c r="Q229" s="345"/>
      <c r="R229" s="198"/>
      <c r="S229" s="329"/>
      <c r="T229" s="299"/>
      <c r="U229" s="332"/>
      <c r="V229" s="332"/>
      <c r="W229" s="302"/>
      <c r="X229" s="303"/>
      <c r="Y229" s="303"/>
      <c r="Z229" s="303"/>
      <c r="AA229" s="303"/>
      <c r="AB229" s="303"/>
      <c r="AC229" s="320"/>
      <c r="AD229" s="320"/>
      <c r="AE229" s="320"/>
      <c r="AF229" s="320"/>
      <c r="AG229" s="320"/>
      <c r="AH229" s="306"/>
      <c r="AI229" s="306"/>
      <c r="AJ229" s="306"/>
      <c r="AK229" s="306"/>
      <c r="AL229" s="306"/>
      <c r="AM229" s="306"/>
      <c r="AN229" s="306"/>
      <c r="AO229" s="306"/>
      <c r="AP229" s="306"/>
      <c r="AQ229" s="306"/>
      <c r="AR229" s="306"/>
      <c r="AS229" s="306"/>
      <c r="AT229" s="306"/>
      <c r="AU229" s="306"/>
      <c r="AV229" s="306"/>
      <c r="AW229" s="306"/>
      <c r="AX229" s="306"/>
      <c r="AY229" s="306"/>
      <c r="AZ229" s="306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</row>
    <row r="230" spans="1:68" s="317" customFormat="1" ht="14.25">
      <c r="A230" s="307"/>
      <c r="B230" s="331"/>
      <c r="C230" s="309" t="s">
        <v>718</v>
      </c>
      <c r="D230" s="310" t="s">
        <v>718</v>
      </c>
      <c r="E230" s="311"/>
      <c r="F230" s="343"/>
      <c r="G230" s="345"/>
      <c r="H230" s="345"/>
      <c r="I230" s="345"/>
      <c r="J230" s="345"/>
      <c r="K230" s="345"/>
      <c r="L230" s="345"/>
      <c r="M230" s="345"/>
      <c r="N230" s="345"/>
      <c r="O230" s="345"/>
      <c r="P230" s="345"/>
      <c r="Q230" s="345"/>
      <c r="R230" s="198"/>
      <c r="S230" s="329"/>
      <c r="T230" s="299"/>
      <c r="U230" s="379"/>
      <c r="V230" s="303"/>
      <c r="W230" s="302"/>
      <c r="X230" s="332"/>
      <c r="Y230" s="303"/>
      <c r="Z230" s="303"/>
      <c r="AA230" s="303"/>
      <c r="AB230" s="303"/>
      <c r="AC230" s="320"/>
      <c r="AD230" s="320"/>
      <c r="AE230" s="320"/>
      <c r="AF230" s="320"/>
      <c r="AG230" s="320"/>
      <c r="AH230" s="306"/>
      <c r="AI230" s="306"/>
      <c r="AJ230" s="306"/>
      <c r="AK230" s="306"/>
      <c r="AL230" s="306"/>
      <c r="AM230" s="306"/>
      <c r="AN230" s="306"/>
      <c r="AO230" s="306"/>
      <c r="AP230" s="306"/>
      <c r="AQ230" s="306"/>
      <c r="AR230" s="306"/>
      <c r="AS230" s="306"/>
      <c r="AT230" s="306"/>
      <c r="AU230" s="306"/>
      <c r="AV230" s="306"/>
      <c r="AW230" s="306"/>
      <c r="AX230" s="306"/>
      <c r="AY230" s="306"/>
      <c r="AZ230" s="306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</row>
    <row r="231" spans="1:68" s="317" customFormat="1" ht="14.25">
      <c r="A231" s="307"/>
      <c r="B231" s="331"/>
      <c r="C231" s="309" t="s">
        <v>718</v>
      </c>
      <c r="D231" s="310" t="s">
        <v>718</v>
      </c>
      <c r="E231" s="311"/>
      <c r="F231" s="343"/>
      <c r="G231" s="345"/>
      <c r="H231" s="343"/>
      <c r="I231" s="345"/>
      <c r="J231" s="343"/>
      <c r="K231" s="343"/>
      <c r="L231" s="345"/>
      <c r="M231" s="345"/>
      <c r="N231" s="345"/>
      <c r="O231" s="345"/>
      <c r="P231" s="345"/>
      <c r="Q231" s="345"/>
      <c r="R231" s="198"/>
      <c r="S231" s="329"/>
      <c r="T231" s="299"/>
      <c r="U231" s="346"/>
      <c r="V231" s="332"/>
      <c r="W231" s="302"/>
      <c r="X231" s="303"/>
      <c r="Y231" s="303"/>
      <c r="Z231" s="303"/>
      <c r="AA231" s="303"/>
      <c r="AB231" s="303"/>
      <c r="AC231" s="320"/>
      <c r="AD231" s="320"/>
      <c r="AE231" s="320"/>
      <c r="AF231" s="320"/>
      <c r="AG231" s="320"/>
      <c r="AH231" s="306"/>
      <c r="AI231" s="306"/>
      <c r="AJ231" s="306"/>
      <c r="AK231" s="306"/>
      <c r="AL231" s="306"/>
      <c r="AM231" s="306"/>
      <c r="AN231" s="306"/>
      <c r="AO231" s="306"/>
      <c r="AP231" s="306"/>
      <c r="AQ231" s="306"/>
      <c r="AR231" s="306"/>
      <c r="AS231" s="306"/>
      <c r="AT231" s="306"/>
      <c r="AU231" s="306"/>
      <c r="AV231" s="306"/>
      <c r="AW231" s="306"/>
      <c r="AX231" s="306"/>
      <c r="AY231" s="306"/>
      <c r="AZ231" s="306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</row>
    <row r="232" spans="1:68" s="317" customFormat="1" ht="14.25">
      <c r="A232" s="307"/>
      <c r="B232" s="331"/>
      <c r="C232" s="309"/>
      <c r="D232" s="310"/>
      <c r="E232" s="311"/>
      <c r="F232" s="343"/>
      <c r="G232" s="343"/>
      <c r="H232" s="343"/>
      <c r="I232" s="343"/>
      <c r="J232" s="343"/>
      <c r="K232" s="343"/>
      <c r="L232" s="343"/>
      <c r="M232" s="343"/>
      <c r="N232" s="343"/>
      <c r="O232" s="343"/>
      <c r="P232" s="343"/>
      <c r="Q232" s="343"/>
      <c r="R232" s="198"/>
      <c r="S232" s="329"/>
      <c r="T232" s="299"/>
      <c r="U232" s="346"/>
      <c r="V232" s="332"/>
      <c r="W232" s="302"/>
      <c r="X232" s="303"/>
      <c r="Y232" s="303"/>
      <c r="Z232" s="303"/>
      <c r="AA232" s="303"/>
      <c r="AB232" s="303"/>
      <c r="AC232" s="320"/>
      <c r="AD232" s="320"/>
      <c r="AE232" s="320"/>
      <c r="AF232" s="320"/>
      <c r="AG232" s="320"/>
      <c r="AH232" s="306"/>
      <c r="AI232" s="306"/>
      <c r="AJ232" s="306"/>
      <c r="AK232" s="306"/>
      <c r="AL232" s="306"/>
      <c r="AM232" s="306"/>
      <c r="AN232" s="306"/>
      <c r="AO232" s="306"/>
      <c r="AP232" s="306"/>
      <c r="AQ232" s="306"/>
      <c r="AR232" s="306"/>
      <c r="AS232" s="306"/>
      <c r="AT232" s="306"/>
      <c r="AU232" s="306"/>
      <c r="AV232" s="306"/>
      <c r="AW232" s="306"/>
      <c r="AX232" s="306"/>
      <c r="AY232" s="306"/>
      <c r="AZ232" s="306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</row>
    <row r="233" spans="1:68" s="317" customFormat="1" ht="14.25">
      <c r="A233" s="307"/>
      <c r="B233" s="331"/>
      <c r="C233" s="309"/>
      <c r="D233" s="310"/>
      <c r="E233" s="311"/>
      <c r="F233" s="343"/>
      <c r="G233" s="343"/>
      <c r="H233" s="343"/>
      <c r="I233" s="343"/>
      <c r="J233" s="343"/>
      <c r="K233" s="343"/>
      <c r="L233" s="343"/>
      <c r="M233" s="343"/>
      <c r="N233" s="343"/>
      <c r="O233" s="343"/>
      <c r="P233" s="343"/>
      <c r="Q233" s="343"/>
      <c r="R233" s="198"/>
      <c r="S233" s="329"/>
      <c r="T233" s="299"/>
      <c r="U233" s="346"/>
      <c r="V233" s="332"/>
      <c r="W233" s="302"/>
      <c r="X233" s="303"/>
      <c r="Y233" s="303"/>
      <c r="Z233" s="303"/>
      <c r="AA233" s="303"/>
      <c r="AB233" s="303"/>
      <c r="AC233" s="320"/>
      <c r="AD233" s="320"/>
      <c r="AE233" s="320"/>
      <c r="AF233" s="320"/>
      <c r="AG233" s="320"/>
      <c r="AH233" s="306"/>
      <c r="AI233" s="306"/>
      <c r="AJ233" s="306"/>
      <c r="AK233" s="306"/>
      <c r="AL233" s="306"/>
      <c r="AM233" s="306"/>
      <c r="AN233" s="306"/>
      <c r="AO233" s="306"/>
      <c r="AP233" s="306"/>
      <c r="AQ233" s="306"/>
      <c r="AR233" s="306"/>
      <c r="AS233" s="306"/>
      <c r="AT233" s="306"/>
      <c r="AU233" s="306"/>
      <c r="AV233" s="306"/>
      <c r="AW233" s="306"/>
      <c r="AX233" s="306"/>
      <c r="AY233" s="306"/>
      <c r="AZ233" s="306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</row>
    <row r="234" spans="1:68" s="317" customFormat="1" ht="14.25">
      <c r="A234" s="307"/>
      <c r="B234" s="331"/>
      <c r="C234" s="309"/>
      <c r="D234" s="310"/>
      <c r="E234" s="311"/>
      <c r="F234" s="343"/>
      <c r="G234" s="345"/>
      <c r="H234" s="343"/>
      <c r="I234" s="345"/>
      <c r="J234" s="343"/>
      <c r="K234" s="343"/>
      <c r="L234" s="345"/>
      <c r="M234" s="345"/>
      <c r="N234" s="345"/>
      <c r="O234" s="345"/>
      <c r="P234" s="345"/>
      <c r="Q234" s="345"/>
      <c r="R234" s="198"/>
      <c r="S234" s="329"/>
      <c r="T234" s="299"/>
      <c r="U234" s="346"/>
      <c r="V234" s="332"/>
      <c r="W234" s="302"/>
      <c r="X234" s="303"/>
      <c r="Y234" s="303"/>
      <c r="Z234" s="303"/>
      <c r="AA234" s="303"/>
      <c r="AB234" s="303"/>
      <c r="AC234" s="320"/>
      <c r="AD234" s="320"/>
      <c r="AE234" s="320"/>
      <c r="AF234" s="320"/>
      <c r="AG234" s="320"/>
      <c r="AH234" s="306"/>
      <c r="AI234" s="306"/>
      <c r="AJ234" s="306"/>
      <c r="AK234" s="306"/>
      <c r="AL234" s="306"/>
      <c r="AM234" s="306"/>
      <c r="AN234" s="306"/>
      <c r="AO234" s="306"/>
      <c r="AP234" s="306"/>
      <c r="AQ234" s="306"/>
      <c r="AR234" s="306"/>
      <c r="AS234" s="306"/>
      <c r="AT234" s="306"/>
      <c r="AU234" s="306"/>
      <c r="AV234" s="306"/>
      <c r="AW234" s="306"/>
      <c r="AX234" s="306"/>
      <c r="AY234" s="306"/>
      <c r="AZ234" s="306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</row>
    <row r="235" spans="1:68" s="317" customFormat="1" ht="14.25">
      <c r="A235" s="307"/>
      <c r="B235" s="331"/>
      <c r="C235" s="309" t="s">
        <v>718</v>
      </c>
      <c r="D235" s="310" t="s">
        <v>718</v>
      </c>
      <c r="E235" s="311"/>
      <c r="F235" s="343"/>
      <c r="G235" s="345"/>
      <c r="H235" s="345"/>
      <c r="I235" s="345"/>
      <c r="J235" s="345"/>
      <c r="K235" s="345"/>
      <c r="L235" s="345"/>
      <c r="M235" s="345"/>
      <c r="N235" s="345"/>
      <c r="O235" s="345"/>
      <c r="P235" s="345"/>
      <c r="Q235" s="345"/>
      <c r="R235" s="198"/>
      <c r="S235" s="298"/>
      <c r="T235" s="299"/>
      <c r="U235" s="346"/>
      <c r="V235" s="332"/>
      <c r="W235" s="302"/>
      <c r="X235" s="303"/>
      <c r="Y235" s="303"/>
      <c r="Z235" s="303"/>
      <c r="AA235" s="303"/>
      <c r="AB235" s="303"/>
      <c r="AC235" s="320"/>
      <c r="AD235" s="320"/>
      <c r="AE235" s="320"/>
      <c r="AF235" s="320"/>
      <c r="AG235" s="320"/>
      <c r="AH235" s="306"/>
      <c r="AI235" s="306"/>
      <c r="AJ235" s="306"/>
      <c r="AK235" s="306"/>
      <c r="AL235" s="306"/>
      <c r="AM235" s="306"/>
      <c r="AN235" s="306"/>
      <c r="AO235" s="306"/>
      <c r="AP235" s="306"/>
      <c r="AQ235" s="306"/>
      <c r="AR235" s="306"/>
      <c r="AS235" s="306"/>
      <c r="AT235" s="306"/>
      <c r="AU235" s="306"/>
      <c r="AV235" s="306"/>
      <c r="AW235" s="306"/>
      <c r="AX235" s="306"/>
      <c r="AY235" s="306"/>
      <c r="AZ235" s="306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</row>
    <row r="236" spans="1:68" s="317" customFormat="1" ht="14.25">
      <c r="A236" s="307"/>
      <c r="B236" s="331"/>
      <c r="C236" s="309" t="s">
        <v>718</v>
      </c>
      <c r="D236" s="310" t="s">
        <v>718</v>
      </c>
      <c r="E236" s="311"/>
      <c r="F236" s="343"/>
      <c r="G236" s="345"/>
      <c r="H236" s="345"/>
      <c r="I236" s="343"/>
      <c r="J236" s="345"/>
      <c r="K236" s="345"/>
      <c r="L236" s="345"/>
      <c r="M236" s="345"/>
      <c r="N236" s="345"/>
      <c r="O236" s="345"/>
      <c r="P236" s="345"/>
      <c r="Q236" s="345"/>
      <c r="R236" s="198"/>
      <c r="S236" s="329"/>
      <c r="T236" s="299"/>
      <c r="U236" s="332"/>
      <c r="V236" s="332"/>
      <c r="X236" s="303"/>
      <c r="Y236" s="303"/>
      <c r="Z236" s="303"/>
      <c r="AA236" s="303"/>
      <c r="AB236" s="303"/>
      <c r="AC236" s="320"/>
      <c r="AD236" s="320"/>
      <c r="AE236" s="320"/>
      <c r="AF236" s="320"/>
      <c r="AG236" s="320"/>
      <c r="AH236" s="306"/>
      <c r="AI236" s="306"/>
      <c r="AJ236" s="306"/>
      <c r="AK236" s="306"/>
      <c r="AL236" s="306"/>
      <c r="AM236" s="306"/>
      <c r="AN236" s="306"/>
      <c r="AO236" s="306"/>
      <c r="AP236" s="306"/>
      <c r="AQ236" s="306"/>
      <c r="AR236" s="306"/>
      <c r="AS236" s="306"/>
      <c r="AT236" s="306"/>
      <c r="AU236" s="306"/>
      <c r="AV236" s="306"/>
      <c r="AW236" s="306"/>
      <c r="AX236" s="306"/>
      <c r="AY236" s="306"/>
      <c r="AZ236" s="30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</row>
    <row r="237" spans="1:68" s="317" customFormat="1" ht="14.25">
      <c r="A237" s="307"/>
      <c r="B237" s="331"/>
      <c r="C237" s="309" t="s">
        <v>718</v>
      </c>
      <c r="D237" s="310" t="s">
        <v>718</v>
      </c>
      <c r="E237" s="376"/>
      <c r="F237" s="343"/>
      <c r="G237" s="343"/>
      <c r="H237" s="343"/>
      <c r="I237" s="343"/>
      <c r="J237" s="343"/>
      <c r="K237" s="343"/>
      <c r="L237" s="343"/>
      <c r="M237" s="343"/>
      <c r="N237" s="343"/>
      <c r="O237" s="343"/>
      <c r="P237" s="343"/>
      <c r="Q237" s="343"/>
      <c r="R237" s="198"/>
      <c r="S237" s="329"/>
      <c r="T237" s="299"/>
      <c r="U237" s="332"/>
      <c r="V237" s="303"/>
      <c r="W237" s="380"/>
      <c r="X237" s="303"/>
      <c r="Y237" s="303"/>
      <c r="Z237" s="303"/>
      <c r="AA237" s="303"/>
      <c r="AB237" s="303"/>
      <c r="AC237" s="320"/>
      <c r="AD237" s="320"/>
      <c r="AE237" s="320"/>
      <c r="AF237" s="320"/>
      <c r="AG237" s="320"/>
      <c r="AH237" s="306"/>
      <c r="AI237" s="306"/>
      <c r="AJ237" s="306"/>
      <c r="AK237" s="306"/>
      <c r="AL237" s="306"/>
      <c r="AM237" s="306"/>
      <c r="AN237" s="306"/>
      <c r="AO237" s="306"/>
      <c r="AP237" s="306"/>
      <c r="AQ237" s="306"/>
      <c r="AR237" s="306"/>
      <c r="AS237" s="306"/>
      <c r="AT237" s="306"/>
      <c r="AU237" s="306"/>
      <c r="AV237" s="306"/>
      <c r="AW237" s="306"/>
      <c r="AX237" s="306"/>
      <c r="AY237" s="306"/>
      <c r="AZ237" s="306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</row>
    <row r="238" spans="1:68" s="317" customFormat="1" ht="14.25">
      <c r="A238" s="307"/>
      <c r="B238" s="331"/>
      <c r="C238" s="309"/>
      <c r="D238" s="310"/>
      <c r="E238" s="311"/>
      <c r="F238" s="343"/>
      <c r="G238" s="343"/>
      <c r="H238" s="343"/>
      <c r="I238" s="343"/>
      <c r="J238" s="343"/>
      <c r="K238" s="343"/>
      <c r="L238" s="343"/>
      <c r="M238" s="343"/>
      <c r="N238" s="343"/>
      <c r="O238" s="343"/>
      <c r="P238" s="343"/>
      <c r="Q238" s="343"/>
      <c r="R238" s="198"/>
      <c r="S238" s="329"/>
      <c r="T238" s="299"/>
      <c r="U238" s="346"/>
      <c r="V238" s="332"/>
      <c r="W238" s="302"/>
      <c r="X238" s="303"/>
      <c r="Y238" s="303"/>
      <c r="Z238" s="303"/>
      <c r="AA238" s="303"/>
      <c r="AB238" s="303"/>
      <c r="AC238" s="320"/>
      <c r="AD238" s="320"/>
      <c r="AE238" s="320"/>
      <c r="AF238" s="320"/>
      <c r="AG238" s="320"/>
      <c r="AH238" s="306"/>
      <c r="AI238" s="306"/>
      <c r="AJ238" s="306"/>
      <c r="AK238" s="306"/>
      <c r="AL238" s="306"/>
      <c r="AM238" s="306"/>
      <c r="AN238" s="306"/>
      <c r="AO238" s="306"/>
      <c r="AP238" s="306"/>
      <c r="AQ238" s="306"/>
      <c r="AR238" s="306"/>
      <c r="AS238" s="306"/>
      <c r="AT238" s="306"/>
      <c r="AU238" s="306"/>
      <c r="AV238" s="306"/>
      <c r="AW238" s="306"/>
      <c r="AX238" s="306"/>
      <c r="AY238" s="306"/>
      <c r="AZ238" s="306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</row>
    <row r="239" spans="1:68" s="317" customFormat="1" ht="14.25">
      <c r="A239" s="307"/>
      <c r="B239" s="388"/>
      <c r="C239" s="389"/>
      <c r="D239" s="390"/>
      <c r="E239" s="311"/>
      <c r="F239" s="343"/>
      <c r="G239" s="345"/>
      <c r="H239" s="345"/>
      <c r="I239" s="345"/>
      <c r="J239" s="345"/>
      <c r="K239" s="345"/>
      <c r="L239" s="345"/>
      <c r="M239" s="345"/>
      <c r="N239" s="345"/>
      <c r="O239" s="345"/>
      <c r="P239" s="345"/>
      <c r="Q239" s="345"/>
      <c r="R239" s="198"/>
      <c r="S239" s="298"/>
      <c r="T239" s="299"/>
      <c r="U239" s="407"/>
      <c r="V239" s="408"/>
      <c r="W239" s="409"/>
      <c r="X239" s="320"/>
      <c r="Y239" s="320"/>
      <c r="Z239" s="320"/>
      <c r="AA239" s="320"/>
      <c r="AB239" s="320"/>
      <c r="AC239" s="320"/>
      <c r="AD239" s="320"/>
      <c r="AE239" s="320"/>
      <c r="AF239" s="320"/>
      <c r="AG239" s="320"/>
      <c r="AH239" s="306"/>
      <c r="AI239" s="306"/>
      <c r="AJ239" s="306"/>
      <c r="AK239" s="306"/>
      <c r="AL239" s="306"/>
      <c r="AM239" s="306"/>
      <c r="AN239" s="306"/>
      <c r="AO239" s="306"/>
      <c r="AP239" s="306"/>
      <c r="AQ239" s="306"/>
      <c r="AR239" s="306"/>
      <c r="AS239" s="306"/>
      <c r="AT239" s="306"/>
      <c r="AU239" s="306"/>
      <c r="AV239" s="306"/>
      <c r="AW239" s="306"/>
      <c r="AX239" s="306"/>
      <c r="AY239" s="306"/>
      <c r="AZ239" s="306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</row>
    <row r="240" spans="1:68" s="317" customFormat="1" ht="14.25">
      <c r="A240" s="307"/>
      <c r="B240" s="293"/>
      <c r="C240" s="309" t="s">
        <v>718</v>
      </c>
      <c r="D240" s="310" t="s">
        <v>718</v>
      </c>
      <c r="E240" s="311"/>
      <c r="F240" s="343"/>
      <c r="G240" s="345"/>
      <c r="H240" s="345"/>
      <c r="I240" s="345"/>
      <c r="J240" s="345"/>
      <c r="K240" s="345"/>
      <c r="L240" s="345"/>
      <c r="M240" s="345"/>
      <c r="N240" s="345"/>
      <c r="O240" s="345"/>
      <c r="P240" s="345"/>
      <c r="Q240" s="345"/>
      <c r="R240" s="198"/>
      <c r="S240" s="298"/>
      <c r="T240" s="299"/>
      <c r="U240" s="407"/>
      <c r="V240" s="408"/>
      <c r="W240" s="409"/>
      <c r="X240" s="320"/>
      <c r="Y240" s="320"/>
      <c r="Z240" s="320"/>
      <c r="AA240" s="320"/>
      <c r="AB240" s="320"/>
      <c r="AC240" s="320"/>
      <c r="AD240" s="320"/>
      <c r="AE240" s="320"/>
      <c r="AF240" s="320"/>
      <c r="AG240" s="320"/>
      <c r="AH240" s="306"/>
      <c r="AI240" s="306"/>
      <c r="AJ240" s="306"/>
      <c r="AK240" s="306"/>
      <c r="AL240" s="306"/>
      <c r="AM240" s="306"/>
      <c r="AN240" s="306"/>
      <c r="AO240" s="306"/>
      <c r="AP240" s="306"/>
      <c r="AQ240" s="306"/>
      <c r="AR240" s="306"/>
      <c r="AS240" s="306"/>
      <c r="AT240" s="306"/>
      <c r="AU240" s="306"/>
      <c r="AV240" s="306"/>
      <c r="AW240" s="306"/>
      <c r="AX240" s="306"/>
      <c r="AY240" s="306"/>
      <c r="AZ240" s="306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</row>
    <row r="241" spans="1:68" s="317" customFormat="1" ht="14.25">
      <c r="A241" s="307"/>
      <c r="B241" s="293"/>
      <c r="C241" s="309" t="s">
        <v>718</v>
      </c>
      <c r="D241" s="310" t="s">
        <v>718</v>
      </c>
      <c r="E241" s="311"/>
      <c r="F241" s="343"/>
      <c r="G241" s="345"/>
      <c r="H241" s="345"/>
      <c r="I241" s="345"/>
      <c r="J241" s="345"/>
      <c r="K241" s="345"/>
      <c r="L241" s="345"/>
      <c r="M241" s="345"/>
      <c r="N241" s="345"/>
      <c r="O241" s="345"/>
      <c r="P241" s="345"/>
      <c r="Q241" s="345"/>
      <c r="R241" s="198"/>
      <c r="S241" s="298"/>
      <c r="T241" s="299"/>
      <c r="U241" s="407"/>
      <c r="V241" s="408"/>
      <c r="W241" s="409"/>
      <c r="X241" s="320"/>
      <c r="Y241" s="320"/>
      <c r="Z241" s="320"/>
      <c r="AA241" s="320"/>
      <c r="AB241" s="320"/>
      <c r="AC241" s="320"/>
      <c r="AD241" s="320"/>
      <c r="AE241" s="320"/>
      <c r="AF241" s="320"/>
      <c r="AG241" s="320"/>
      <c r="AH241" s="306"/>
      <c r="AI241" s="306"/>
      <c r="AJ241" s="306"/>
      <c r="AK241" s="306"/>
      <c r="AL241" s="306"/>
      <c r="AM241" s="306"/>
      <c r="AN241" s="306"/>
      <c r="AO241" s="306"/>
      <c r="AP241" s="306"/>
      <c r="AQ241" s="306"/>
      <c r="AR241" s="306"/>
      <c r="AS241" s="306"/>
      <c r="AT241" s="306"/>
      <c r="AU241" s="306"/>
      <c r="AV241" s="306"/>
      <c r="AW241" s="306"/>
      <c r="AX241" s="306"/>
      <c r="AY241" s="306"/>
      <c r="AZ241" s="306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</row>
    <row r="242" spans="1:68" s="317" customFormat="1" ht="14.25">
      <c r="A242" s="307"/>
      <c r="B242" s="293"/>
      <c r="C242" s="309" t="s">
        <v>718</v>
      </c>
      <c r="D242" s="310" t="s">
        <v>718</v>
      </c>
      <c r="E242" s="311"/>
      <c r="F242" s="343"/>
      <c r="G242" s="345"/>
      <c r="H242" s="345"/>
      <c r="I242" s="345"/>
      <c r="J242" s="345"/>
      <c r="K242" s="345"/>
      <c r="L242" s="345"/>
      <c r="M242" s="345"/>
      <c r="N242" s="345"/>
      <c r="O242" s="345"/>
      <c r="P242" s="345"/>
      <c r="Q242" s="345"/>
      <c r="R242" s="297"/>
      <c r="S242" s="298"/>
      <c r="T242" s="299"/>
      <c r="U242" s="407"/>
      <c r="V242" s="408"/>
      <c r="W242" s="409"/>
      <c r="X242" s="320"/>
      <c r="Y242" s="320"/>
      <c r="Z242" s="320"/>
      <c r="AA242" s="320"/>
      <c r="AB242" s="320"/>
      <c r="AC242" s="320"/>
      <c r="AD242" s="320"/>
      <c r="AE242" s="320"/>
      <c r="AF242" s="320"/>
      <c r="AG242" s="320"/>
      <c r="AH242" s="306"/>
      <c r="AI242" s="306"/>
      <c r="AJ242" s="306"/>
      <c r="AK242" s="306"/>
      <c r="AL242" s="306"/>
      <c r="AM242" s="306"/>
      <c r="AN242" s="306"/>
      <c r="AO242" s="306"/>
      <c r="AP242" s="306"/>
      <c r="AQ242" s="306"/>
      <c r="AR242" s="306"/>
      <c r="AS242" s="306"/>
      <c r="AT242" s="306"/>
      <c r="AU242" s="306"/>
      <c r="AV242" s="306"/>
      <c r="AW242" s="306"/>
      <c r="AX242" s="306"/>
      <c r="AY242" s="306"/>
      <c r="AZ242" s="306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</row>
    <row r="243" spans="1:68" s="317" customFormat="1" ht="14.25">
      <c r="A243" s="307"/>
      <c r="B243" s="293"/>
      <c r="C243" s="309" t="s">
        <v>718</v>
      </c>
      <c r="D243" s="310" t="s">
        <v>718</v>
      </c>
      <c r="E243" s="311"/>
      <c r="F243" s="343"/>
      <c r="G243" s="345"/>
      <c r="H243" s="345"/>
      <c r="I243" s="345"/>
      <c r="J243" s="345"/>
      <c r="K243" s="345"/>
      <c r="L243" s="345"/>
      <c r="M243" s="345"/>
      <c r="N243" s="345"/>
      <c r="O243" s="345"/>
      <c r="P243" s="345"/>
      <c r="Q243" s="345"/>
      <c r="R243" s="297"/>
      <c r="S243" s="298"/>
      <c r="T243" s="299"/>
      <c r="U243" s="407"/>
      <c r="V243" s="408"/>
      <c r="W243" s="409"/>
      <c r="X243" s="320"/>
      <c r="Y243" s="320"/>
      <c r="Z243" s="320"/>
      <c r="AA243" s="320"/>
      <c r="AB243" s="320"/>
      <c r="AC243" s="320"/>
      <c r="AD243" s="320"/>
      <c r="AE243" s="320"/>
      <c r="AF243" s="320"/>
      <c r="AG243" s="320"/>
      <c r="AH243" s="306"/>
      <c r="AI243" s="306"/>
      <c r="AJ243" s="306"/>
      <c r="AK243" s="306"/>
      <c r="AL243" s="306"/>
      <c r="AM243" s="306"/>
      <c r="AN243" s="306"/>
      <c r="AO243" s="306"/>
      <c r="AP243" s="306"/>
      <c r="AQ243" s="306"/>
      <c r="AR243" s="306"/>
      <c r="AS243" s="306"/>
      <c r="AT243" s="306"/>
      <c r="AU243" s="306"/>
      <c r="AV243" s="306"/>
      <c r="AW243" s="306"/>
      <c r="AX243" s="306"/>
      <c r="AY243" s="306"/>
      <c r="AZ243" s="306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</row>
    <row r="244" spans="1:68" s="317" customFormat="1" ht="14.25">
      <c r="A244" s="307"/>
      <c r="B244" s="293"/>
      <c r="C244" s="309" t="s">
        <v>718</v>
      </c>
      <c r="D244" s="310" t="s">
        <v>718</v>
      </c>
      <c r="E244" s="311"/>
      <c r="F244" s="343"/>
      <c r="G244" s="345"/>
      <c r="H244" s="345"/>
      <c r="I244" s="345"/>
      <c r="J244" s="345"/>
      <c r="K244" s="345"/>
      <c r="L244" s="345"/>
      <c r="M244" s="345"/>
      <c r="N244" s="345"/>
      <c r="O244" s="345"/>
      <c r="P244" s="345"/>
      <c r="Q244" s="345"/>
      <c r="R244" s="297"/>
      <c r="S244" s="298"/>
      <c r="T244" s="299"/>
      <c r="U244" s="407"/>
      <c r="V244" s="408"/>
      <c r="W244" s="409"/>
      <c r="X244" s="320"/>
      <c r="Y244" s="320"/>
      <c r="Z244" s="320"/>
      <c r="AA244" s="320"/>
      <c r="AB244" s="320"/>
      <c r="AC244" s="320"/>
      <c r="AD244" s="320"/>
      <c r="AE244" s="320"/>
      <c r="AF244" s="320"/>
      <c r="AG244" s="320"/>
      <c r="AH244" s="306"/>
      <c r="AI244" s="306"/>
      <c r="AJ244" s="306"/>
      <c r="AK244" s="306"/>
      <c r="AL244" s="306"/>
      <c r="AM244" s="306"/>
      <c r="AN244" s="306"/>
      <c r="AO244" s="306"/>
      <c r="AP244" s="306"/>
      <c r="AQ244" s="306"/>
      <c r="AR244" s="306"/>
      <c r="AS244" s="306"/>
      <c r="AT244" s="306"/>
      <c r="AU244" s="306"/>
      <c r="AV244" s="306"/>
      <c r="AW244" s="306"/>
      <c r="AX244" s="306"/>
      <c r="AY244" s="306"/>
      <c r="AZ244" s="306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</row>
    <row r="245" spans="1:68" s="317" customFormat="1" ht="14.25">
      <c r="A245" s="307"/>
      <c r="B245" s="293"/>
      <c r="C245" s="309" t="s">
        <v>718</v>
      </c>
      <c r="D245" s="310" t="s">
        <v>718</v>
      </c>
      <c r="E245" s="311"/>
      <c r="F245" s="343"/>
      <c r="G245" s="345"/>
      <c r="H245" s="345"/>
      <c r="I245" s="345"/>
      <c r="J245" s="345"/>
      <c r="K245" s="345"/>
      <c r="L245" s="345"/>
      <c r="M245" s="345"/>
      <c r="N245" s="345"/>
      <c r="O245" s="345"/>
      <c r="P245" s="345"/>
      <c r="Q245" s="345"/>
      <c r="R245" s="297"/>
      <c r="S245" s="298"/>
      <c r="T245" s="299"/>
      <c r="U245" s="407"/>
      <c r="V245" s="408"/>
      <c r="W245" s="409"/>
      <c r="X245" s="320"/>
      <c r="Y245" s="320"/>
      <c r="Z245" s="320"/>
      <c r="AA245" s="320"/>
      <c r="AB245" s="320"/>
      <c r="AC245" s="320"/>
      <c r="AD245" s="320"/>
      <c r="AE245" s="320"/>
      <c r="AF245" s="320"/>
      <c r="AG245" s="320"/>
      <c r="AH245" s="306"/>
      <c r="AI245" s="306"/>
      <c r="AJ245" s="306"/>
      <c r="AK245" s="306"/>
      <c r="AL245" s="306"/>
      <c r="AM245" s="306"/>
      <c r="AN245" s="306"/>
      <c r="AO245" s="306"/>
      <c r="AP245" s="306"/>
      <c r="AQ245" s="306"/>
      <c r="AR245" s="306"/>
      <c r="AS245" s="306"/>
      <c r="AT245" s="306"/>
      <c r="AU245" s="306"/>
      <c r="AV245" s="306"/>
      <c r="AW245" s="306"/>
      <c r="AX245" s="306"/>
      <c r="AY245" s="306"/>
      <c r="AZ245" s="306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</row>
    <row r="246" spans="1:68" s="317" customFormat="1" ht="14.25">
      <c r="A246" s="307"/>
      <c r="B246" s="293"/>
      <c r="C246" s="309" t="s">
        <v>718</v>
      </c>
      <c r="D246" s="310" t="s">
        <v>718</v>
      </c>
      <c r="E246" s="311"/>
      <c r="F246" s="343"/>
      <c r="G246" s="345"/>
      <c r="H246" s="345"/>
      <c r="I246" s="345"/>
      <c r="J246" s="345"/>
      <c r="K246" s="345"/>
      <c r="L246" s="345"/>
      <c r="M246" s="345"/>
      <c r="N246" s="345"/>
      <c r="O246" s="345"/>
      <c r="P246" s="345"/>
      <c r="Q246" s="345"/>
      <c r="R246" s="297"/>
      <c r="S246" s="298"/>
      <c r="T246" s="299"/>
      <c r="U246" s="407"/>
      <c r="V246" s="408"/>
      <c r="W246" s="409"/>
      <c r="X246" s="320"/>
      <c r="Y246" s="320"/>
      <c r="Z246" s="320"/>
      <c r="AA246" s="320"/>
      <c r="AB246" s="320"/>
      <c r="AC246" s="320"/>
      <c r="AD246" s="320"/>
      <c r="AE246" s="320"/>
      <c r="AF246" s="320"/>
      <c r="AG246" s="320"/>
      <c r="AH246" s="306"/>
      <c r="AI246" s="306"/>
      <c r="AJ246" s="306"/>
      <c r="AK246" s="306"/>
      <c r="AL246" s="306"/>
      <c r="AM246" s="306"/>
      <c r="AN246" s="306"/>
      <c r="AO246" s="306"/>
      <c r="AP246" s="306"/>
      <c r="AQ246" s="306"/>
      <c r="AR246" s="306"/>
      <c r="AS246" s="306"/>
      <c r="AT246" s="306"/>
      <c r="AU246" s="306"/>
      <c r="AV246" s="306"/>
      <c r="AW246" s="306"/>
      <c r="AX246" s="306"/>
      <c r="AY246" s="306"/>
      <c r="AZ246" s="30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</row>
    <row r="247" spans="1:68" s="317" customFormat="1" ht="14.25">
      <c r="A247" s="307"/>
      <c r="B247" s="293"/>
      <c r="C247" s="309" t="s">
        <v>718</v>
      </c>
      <c r="D247" s="310" t="s">
        <v>718</v>
      </c>
      <c r="E247" s="311"/>
      <c r="F247" s="343"/>
      <c r="G247" s="345"/>
      <c r="H247" s="345"/>
      <c r="I247" s="345"/>
      <c r="J247" s="345"/>
      <c r="K247" s="345"/>
      <c r="L247" s="345"/>
      <c r="M247" s="345"/>
      <c r="N247" s="345"/>
      <c r="O247" s="345"/>
      <c r="P247" s="345"/>
      <c r="Q247" s="345"/>
      <c r="R247" s="297"/>
      <c r="S247" s="298"/>
      <c r="T247" s="299"/>
      <c r="U247" s="407"/>
      <c r="V247" s="408"/>
      <c r="W247" s="409"/>
      <c r="X247" s="320"/>
      <c r="Y247" s="320"/>
      <c r="Z247" s="320"/>
      <c r="AA247" s="320"/>
      <c r="AB247" s="320"/>
      <c r="AC247" s="320"/>
      <c r="AD247" s="320"/>
      <c r="AE247" s="320"/>
      <c r="AF247" s="320"/>
      <c r="AG247" s="320"/>
      <c r="AH247" s="306"/>
      <c r="AI247" s="306"/>
      <c r="AJ247" s="306"/>
      <c r="AK247" s="306"/>
      <c r="AL247" s="306"/>
      <c r="AM247" s="306"/>
      <c r="AN247" s="306"/>
      <c r="AO247" s="306"/>
      <c r="AP247" s="306"/>
      <c r="AQ247" s="306"/>
      <c r="AR247" s="306"/>
      <c r="AS247" s="306"/>
      <c r="AT247" s="306"/>
      <c r="AU247" s="306"/>
      <c r="AV247" s="306"/>
      <c r="AW247" s="306"/>
      <c r="AX247" s="306"/>
      <c r="AY247" s="306"/>
      <c r="AZ247" s="306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</row>
    <row r="248" spans="1:68" s="317" customFormat="1" ht="14.25">
      <c r="A248" s="307"/>
      <c r="B248" s="293"/>
      <c r="C248" s="309" t="s">
        <v>718</v>
      </c>
      <c r="D248" s="310" t="s">
        <v>718</v>
      </c>
      <c r="E248" s="311"/>
      <c r="F248" s="343"/>
      <c r="G248" s="345"/>
      <c r="H248" s="345"/>
      <c r="I248" s="345"/>
      <c r="J248" s="345"/>
      <c r="K248" s="345"/>
      <c r="L248" s="345"/>
      <c r="M248" s="345"/>
      <c r="N248" s="345"/>
      <c r="O248" s="345"/>
      <c r="P248" s="345"/>
      <c r="Q248" s="345"/>
      <c r="R248" s="297"/>
      <c r="S248" s="298"/>
      <c r="T248" s="299"/>
      <c r="U248" s="407"/>
      <c r="V248" s="408"/>
      <c r="W248" s="409"/>
      <c r="X248" s="320"/>
      <c r="Y248" s="320"/>
      <c r="Z248" s="320"/>
      <c r="AA248" s="320"/>
      <c r="AB248" s="320"/>
      <c r="AC248" s="320"/>
      <c r="AD248" s="320"/>
      <c r="AE248" s="320"/>
      <c r="AF248" s="320"/>
      <c r="AG248" s="320"/>
      <c r="AH248" s="306"/>
      <c r="AI248" s="306"/>
      <c r="AJ248" s="306"/>
      <c r="AK248" s="306"/>
      <c r="AL248" s="306"/>
      <c r="AM248" s="306"/>
      <c r="AN248" s="306"/>
      <c r="AO248" s="306"/>
      <c r="AP248" s="306"/>
      <c r="AQ248" s="306"/>
      <c r="AR248" s="306"/>
      <c r="AS248" s="306"/>
      <c r="AT248" s="306"/>
      <c r="AU248" s="306"/>
      <c r="AV248" s="306"/>
      <c r="AW248" s="306"/>
      <c r="AX248" s="306"/>
      <c r="AY248" s="306"/>
      <c r="AZ248" s="306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</row>
    <row r="249" spans="1:68" s="317" customFormat="1" ht="14.25">
      <c r="A249" s="307"/>
      <c r="B249" s="293"/>
      <c r="C249" s="309" t="s">
        <v>718</v>
      </c>
      <c r="D249" s="310" t="s">
        <v>718</v>
      </c>
      <c r="E249" s="311"/>
      <c r="F249" s="343"/>
      <c r="G249" s="345"/>
      <c r="H249" s="345"/>
      <c r="I249" s="345"/>
      <c r="J249" s="345"/>
      <c r="K249" s="345"/>
      <c r="L249" s="345"/>
      <c r="M249" s="345"/>
      <c r="N249" s="345"/>
      <c r="O249" s="345"/>
      <c r="P249" s="345"/>
      <c r="Q249" s="345"/>
      <c r="R249" s="297"/>
      <c r="S249" s="298"/>
      <c r="T249" s="299"/>
      <c r="U249" s="407"/>
      <c r="V249" s="408"/>
      <c r="W249" s="409"/>
      <c r="X249" s="320"/>
      <c r="Y249" s="320"/>
      <c r="Z249" s="320"/>
      <c r="AA249" s="320"/>
      <c r="AB249" s="320"/>
      <c r="AC249" s="320"/>
      <c r="AD249" s="320"/>
      <c r="AE249" s="320"/>
      <c r="AF249" s="320"/>
      <c r="AG249" s="320"/>
      <c r="AH249" s="306"/>
      <c r="AI249" s="306"/>
      <c r="AJ249" s="306"/>
      <c r="AK249" s="306"/>
      <c r="AL249" s="306"/>
      <c r="AM249" s="306"/>
      <c r="AN249" s="306"/>
      <c r="AO249" s="306"/>
      <c r="AP249" s="306"/>
      <c r="AQ249" s="306"/>
      <c r="AR249" s="306"/>
      <c r="AS249" s="306"/>
      <c r="AT249" s="306"/>
      <c r="AU249" s="306"/>
      <c r="AV249" s="306"/>
      <c r="AW249" s="306"/>
      <c r="AX249" s="306"/>
      <c r="AY249" s="306"/>
      <c r="AZ249" s="306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</row>
    <row r="250" spans="1:68" s="190" customFormat="1" ht="13.5">
      <c r="A250" s="182"/>
      <c r="B250" s="178"/>
      <c r="C250" s="183" t="s">
        <v>718</v>
      </c>
      <c r="D250" s="233" t="s">
        <v>718</v>
      </c>
      <c r="E250" s="239"/>
      <c r="F250" s="234"/>
      <c r="G250" s="235"/>
      <c r="H250" s="235"/>
      <c r="I250" s="235"/>
      <c r="J250" s="235"/>
      <c r="K250" s="235"/>
      <c r="L250" s="235"/>
      <c r="M250" s="235"/>
      <c r="N250" s="235"/>
      <c r="O250" s="235"/>
      <c r="P250" s="235"/>
      <c r="Q250" s="235"/>
      <c r="R250" s="198"/>
      <c r="S250" s="199"/>
      <c r="T250" s="200"/>
      <c r="U250" s="240"/>
      <c r="V250" s="240"/>
      <c r="W250" s="240"/>
      <c r="BA250"/>
      <c r="BB250"/>
    </row>
    <row r="251" spans="1:68" s="190" customFormat="1" ht="13.5">
      <c r="A251" s="182"/>
      <c r="B251" s="178"/>
      <c r="C251" s="183" t="s">
        <v>718</v>
      </c>
      <c r="D251" s="233" t="s">
        <v>718</v>
      </c>
      <c r="E251" s="239"/>
      <c r="F251" s="234"/>
      <c r="G251" s="235"/>
      <c r="H251" s="235"/>
      <c r="I251" s="235"/>
      <c r="J251" s="235"/>
      <c r="K251" s="235"/>
      <c r="L251" s="235"/>
      <c r="M251" s="235"/>
      <c r="N251" s="235"/>
      <c r="O251" s="235"/>
      <c r="P251" s="235"/>
      <c r="Q251" s="235"/>
      <c r="R251" s="198"/>
      <c r="S251" s="199"/>
      <c r="T251" s="200"/>
      <c r="U251" s="240"/>
      <c r="V251" s="240"/>
      <c r="W251" s="240"/>
      <c r="BA251"/>
      <c r="BB251"/>
    </row>
    <row r="252" spans="1:68" s="190" customFormat="1" ht="13.5">
      <c r="A252" s="182"/>
      <c r="B252" s="178"/>
      <c r="C252" s="183" t="s">
        <v>718</v>
      </c>
      <c r="D252" s="233" t="s">
        <v>718</v>
      </c>
      <c r="E252" s="239"/>
      <c r="F252" s="234"/>
      <c r="G252" s="235"/>
      <c r="H252" s="235"/>
      <c r="I252" s="235"/>
      <c r="J252" s="235"/>
      <c r="K252" s="235"/>
      <c r="L252" s="235"/>
      <c r="M252" s="235"/>
      <c r="N252" s="235"/>
      <c r="O252" s="235"/>
      <c r="P252" s="235"/>
      <c r="Q252" s="235"/>
      <c r="R252" s="198"/>
      <c r="S252" s="199"/>
      <c r="T252" s="200"/>
      <c r="U252" s="240"/>
      <c r="V252" s="240"/>
      <c r="W252" s="240"/>
      <c r="BA252"/>
      <c r="BB252"/>
    </row>
    <row r="253" spans="1:68" s="190" customFormat="1" ht="13.5">
      <c r="A253" s="182"/>
      <c r="B253" s="178"/>
      <c r="C253" s="183" t="s">
        <v>718</v>
      </c>
      <c r="D253" s="233" t="s">
        <v>718</v>
      </c>
      <c r="E253" s="239"/>
      <c r="F253" s="234"/>
      <c r="G253" s="235"/>
      <c r="H253" s="235"/>
      <c r="I253" s="235"/>
      <c r="J253" s="235"/>
      <c r="K253" s="235"/>
      <c r="L253" s="235"/>
      <c r="M253" s="235"/>
      <c r="N253" s="235"/>
      <c r="O253" s="235"/>
      <c r="P253" s="235"/>
      <c r="Q253" s="235"/>
      <c r="R253" s="198"/>
      <c r="S253" s="199"/>
      <c r="T253" s="200"/>
      <c r="U253" s="240"/>
      <c r="V253" s="240"/>
      <c r="W253" s="240"/>
      <c r="BA253"/>
      <c r="BB253"/>
    </row>
    <row r="254" spans="1:68" s="190" customFormat="1" ht="13.5">
      <c r="A254" s="182"/>
      <c r="B254" s="178"/>
      <c r="C254" s="183" t="s">
        <v>718</v>
      </c>
      <c r="D254" s="233" t="s">
        <v>718</v>
      </c>
      <c r="E254" s="239"/>
      <c r="F254" s="234"/>
      <c r="G254" s="235"/>
      <c r="H254" s="235"/>
      <c r="I254" s="235"/>
      <c r="J254" s="235"/>
      <c r="K254" s="235"/>
      <c r="L254" s="235"/>
      <c r="M254" s="235"/>
      <c r="N254" s="235"/>
      <c r="O254" s="235"/>
      <c r="P254" s="235"/>
      <c r="Q254" s="235"/>
      <c r="R254" s="198"/>
      <c r="S254" s="199"/>
      <c r="T254" s="200"/>
      <c r="U254" s="240"/>
      <c r="V254" s="240"/>
      <c r="W254" s="240"/>
      <c r="BA254"/>
      <c r="BB254"/>
    </row>
    <row r="255" spans="1:68" s="190" customFormat="1" ht="13.5">
      <c r="A255" s="182"/>
      <c r="B255" s="178"/>
      <c r="C255" s="183" t="s">
        <v>718</v>
      </c>
      <c r="D255" s="233" t="s">
        <v>718</v>
      </c>
      <c r="E255" s="239"/>
      <c r="F255" s="234"/>
      <c r="G255" s="235"/>
      <c r="H255" s="235"/>
      <c r="I255" s="235"/>
      <c r="J255" s="235"/>
      <c r="K255" s="235"/>
      <c r="L255" s="235"/>
      <c r="M255" s="235"/>
      <c r="N255" s="235"/>
      <c r="O255" s="235"/>
      <c r="P255" s="235"/>
      <c r="Q255" s="235"/>
      <c r="R255" s="198"/>
      <c r="S255" s="199"/>
      <c r="T255" s="200"/>
      <c r="U255" s="240"/>
      <c r="V255" s="240"/>
      <c r="W255" s="240"/>
      <c r="BA255"/>
      <c r="BB255"/>
    </row>
    <row r="256" spans="1:68" s="190" customFormat="1" ht="13.5">
      <c r="A256" s="182"/>
      <c r="B256" s="178"/>
      <c r="C256" s="183" t="s">
        <v>718</v>
      </c>
      <c r="D256" s="233" t="s">
        <v>718</v>
      </c>
      <c r="E256" s="239"/>
      <c r="F256" s="234"/>
      <c r="G256" s="235"/>
      <c r="H256" s="235"/>
      <c r="I256" s="235"/>
      <c r="J256" s="235"/>
      <c r="K256" s="235"/>
      <c r="L256" s="235"/>
      <c r="M256" s="235"/>
      <c r="N256" s="235"/>
      <c r="O256" s="235"/>
      <c r="P256" s="235"/>
      <c r="Q256" s="235"/>
      <c r="R256" s="198"/>
      <c r="S256" s="199"/>
      <c r="T256" s="200"/>
      <c r="U256" s="240"/>
      <c r="V256" s="240"/>
      <c r="W256" s="240"/>
      <c r="BA256"/>
      <c r="BB256"/>
    </row>
    <row r="257" spans="1:54" s="190" customFormat="1" ht="13.5">
      <c r="A257" s="182"/>
      <c r="B257" s="178"/>
      <c r="C257" s="183" t="s">
        <v>718</v>
      </c>
      <c r="D257" s="233" t="s">
        <v>718</v>
      </c>
      <c r="E257" s="239"/>
      <c r="F257" s="234"/>
      <c r="G257" s="235"/>
      <c r="H257" s="235"/>
      <c r="I257" s="235"/>
      <c r="J257" s="235"/>
      <c r="K257" s="235"/>
      <c r="L257" s="235"/>
      <c r="M257" s="235"/>
      <c r="N257" s="235"/>
      <c r="O257" s="235"/>
      <c r="P257" s="235"/>
      <c r="Q257" s="235"/>
      <c r="R257" s="198"/>
      <c r="S257" s="199"/>
      <c r="T257" s="200"/>
      <c r="U257" s="240"/>
      <c r="V257" s="240"/>
      <c r="W257" s="240"/>
      <c r="BA257"/>
      <c r="BB257"/>
    </row>
    <row r="258" spans="1:54" s="190" customFormat="1" ht="13.5">
      <c r="A258" s="182"/>
      <c r="B258" s="178"/>
      <c r="C258" s="183" t="s">
        <v>718</v>
      </c>
      <c r="D258" s="233" t="s">
        <v>718</v>
      </c>
      <c r="E258" s="239"/>
      <c r="F258" s="234"/>
      <c r="G258" s="235"/>
      <c r="H258" s="235"/>
      <c r="I258" s="235"/>
      <c r="J258" s="235"/>
      <c r="K258" s="235"/>
      <c r="L258" s="235"/>
      <c r="M258" s="235"/>
      <c r="N258" s="235"/>
      <c r="O258" s="235"/>
      <c r="P258" s="235"/>
      <c r="Q258" s="235"/>
      <c r="R258" s="198"/>
      <c r="S258" s="199"/>
      <c r="T258" s="200"/>
      <c r="U258" s="240"/>
      <c r="V258" s="240"/>
      <c r="W258" s="240"/>
      <c r="BA258"/>
      <c r="BB258"/>
    </row>
    <row r="259" spans="1:54" s="190" customFormat="1" ht="13.5">
      <c r="A259" s="182"/>
      <c r="B259" s="178"/>
      <c r="C259" s="183" t="s">
        <v>718</v>
      </c>
      <c r="D259" s="233" t="s">
        <v>718</v>
      </c>
      <c r="E259" s="239"/>
      <c r="F259" s="234"/>
      <c r="G259" s="235"/>
      <c r="H259" s="235"/>
      <c r="I259" s="235"/>
      <c r="J259" s="235"/>
      <c r="K259" s="235"/>
      <c r="L259" s="235"/>
      <c r="M259" s="235"/>
      <c r="N259" s="235"/>
      <c r="O259" s="235"/>
      <c r="P259" s="235"/>
      <c r="Q259" s="235"/>
      <c r="R259" s="198"/>
      <c r="S259" s="199"/>
      <c r="T259" s="200"/>
      <c r="U259" s="240"/>
      <c r="V259" s="240"/>
      <c r="W259" s="240"/>
      <c r="BA259"/>
      <c r="BB259"/>
    </row>
    <row r="260" spans="1:54" s="190" customFormat="1" ht="13.5">
      <c r="A260" s="182"/>
      <c r="B260" s="178"/>
      <c r="C260" s="183" t="s">
        <v>718</v>
      </c>
      <c r="D260" s="233" t="s">
        <v>718</v>
      </c>
      <c r="E260" s="239"/>
      <c r="F260" s="234"/>
      <c r="G260" s="235"/>
      <c r="H260" s="235"/>
      <c r="I260" s="235"/>
      <c r="J260" s="235"/>
      <c r="K260" s="235"/>
      <c r="L260" s="235"/>
      <c r="M260" s="235"/>
      <c r="N260" s="235"/>
      <c r="O260" s="235"/>
      <c r="P260" s="235"/>
      <c r="Q260" s="235"/>
      <c r="R260" s="198"/>
      <c r="S260" s="199"/>
      <c r="T260" s="200"/>
      <c r="U260" s="240"/>
      <c r="V260" s="240"/>
      <c r="W260" s="240"/>
      <c r="BA260"/>
      <c r="BB260"/>
    </row>
    <row r="261" spans="1:54" s="190" customFormat="1" ht="13.5">
      <c r="A261" s="182"/>
      <c r="B261" s="178"/>
      <c r="C261" s="183" t="s">
        <v>718</v>
      </c>
      <c r="D261" s="233" t="s">
        <v>718</v>
      </c>
      <c r="E261" s="239"/>
      <c r="F261" s="234"/>
      <c r="G261" s="235"/>
      <c r="H261" s="235"/>
      <c r="I261" s="235"/>
      <c r="J261" s="235"/>
      <c r="K261" s="235"/>
      <c r="L261" s="235"/>
      <c r="M261" s="235"/>
      <c r="N261" s="235"/>
      <c r="O261" s="235"/>
      <c r="P261" s="235"/>
      <c r="Q261" s="235"/>
      <c r="R261" s="198"/>
      <c r="S261" s="199"/>
      <c r="T261" s="200"/>
      <c r="U261" s="240"/>
      <c r="V261" s="240"/>
      <c r="W261" s="240"/>
      <c r="BA261"/>
      <c r="BB261"/>
    </row>
    <row r="262" spans="1:54" s="190" customFormat="1" ht="13.5">
      <c r="A262" s="182"/>
      <c r="B262" s="178"/>
      <c r="C262" s="183" t="s">
        <v>718</v>
      </c>
      <c r="D262" s="233" t="s">
        <v>718</v>
      </c>
      <c r="E262" s="239"/>
      <c r="F262" s="234"/>
      <c r="G262" s="235"/>
      <c r="H262" s="235"/>
      <c r="I262" s="235"/>
      <c r="J262" s="235"/>
      <c r="K262" s="235"/>
      <c r="L262" s="235"/>
      <c r="M262" s="235"/>
      <c r="N262" s="235"/>
      <c r="O262" s="235"/>
      <c r="P262" s="235"/>
      <c r="Q262" s="235"/>
      <c r="R262" s="198"/>
      <c r="S262" s="199"/>
      <c r="T262" s="200"/>
      <c r="U262" s="240"/>
      <c r="V262" s="240"/>
      <c r="W262" s="240"/>
      <c r="BA262"/>
      <c r="BB262"/>
    </row>
    <row r="263" spans="1:54" s="190" customFormat="1" ht="13.5">
      <c r="A263" s="182"/>
      <c r="B263" s="178"/>
      <c r="C263" s="183" t="s">
        <v>718</v>
      </c>
      <c r="D263" s="233" t="s">
        <v>718</v>
      </c>
      <c r="E263" s="239"/>
      <c r="F263" s="234"/>
      <c r="G263" s="235"/>
      <c r="H263" s="235"/>
      <c r="I263" s="235"/>
      <c r="J263" s="235"/>
      <c r="K263" s="235"/>
      <c r="L263" s="235"/>
      <c r="M263" s="235"/>
      <c r="N263" s="235"/>
      <c r="O263" s="235"/>
      <c r="P263" s="235"/>
      <c r="Q263" s="235"/>
      <c r="R263" s="198"/>
      <c r="S263" s="199"/>
      <c r="T263" s="200"/>
      <c r="U263" s="240"/>
      <c r="V263" s="240"/>
      <c r="W263" s="240"/>
      <c r="BA263"/>
      <c r="BB263"/>
    </row>
    <row r="264" spans="1:54" s="190" customFormat="1" ht="13.5">
      <c r="A264" s="182"/>
      <c r="B264" s="178"/>
      <c r="C264" s="183" t="s">
        <v>718</v>
      </c>
      <c r="D264" s="233" t="s">
        <v>718</v>
      </c>
      <c r="E264" s="239"/>
      <c r="F264" s="234"/>
      <c r="G264" s="235"/>
      <c r="H264" s="235"/>
      <c r="I264" s="235"/>
      <c r="J264" s="235"/>
      <c r="K264" s="235"/>
      <c r="L264" s="235"/>
      <c r="M264" s="235"/>
      <c r="N264" s="235"/>
      <c r="O264" s="235"/>
      <c r="P264" s="235"/>
      <c r="Q264" s="235"/>
      <c r="R264" s="198"/>
      <c r="S264" s="199"/>
      <c r="T264" s="200"/>
      <c r="U264" s="240"/>
      <c r="V264" s="240"/>
      <c r="W264" s="240"/>
      <c r="BA264"/>
      <c r="BB264"/>
    </row>
    <row r="265" spans="1:54" s="190" customFormat="1" ht="13.5">
      <c r="A265" s="182"/>
      <c r="B265" s="178"/>
      <c r="C265" s="183" t="s">
        <v>718</v>
      </c>
      <c r="D265" s="233" t="s">
        <v>718</v>
      </c>
      <c r="E265" s="239"/>
      <c r="F265" s="234"/>
      <c r="G265" s="235"/>
      <c r="H265" s="235"/>
      <c r="I265" s="235"/>
      <c r="J265" s="235"/>
      <c r="K265" s="235"/>
      <c r="L265" s="235"/>
      <c r="M265" s="235"/>
      <c r="N265" s="235"/>
      <c r="O265" s="235"/>
      <c r="P265" s="235"/>
      <c r="Q265" s="235"/>
      <c r="R265" s="198"/>
      <c r="S265" s="199"/>
      <c r="T265" s="200"/>
      <c r="U265" s="240"/>
      <c r="V265" s="240"/>
      <c r="W265" s="240"/>
      <c r="BA265"/>
      <c r="BB265"/>
    </row>
    <row r="266" spans="1:54" s="190" customFormat="1" ht="13.5">
      <c r="A266" s="182"/>
      <c r="B266" s="178"/>
      <c r="C266" s="183" t="s">
        <v>718</v>
      </c>
      <c r="D266" s="233" t="s">
        <v>718</v>
      </c>
      <c r="E266" s="239"/>
      <c r="F266" s="234"/>
      <c r="G266" s="235"/>
      <c r="H266" s="235"/>
      <c r="I266" s="235"/>
      <c r="J266" s="235"/>
      <c r="K266" s="235"/>
      <c r="L266" s="235"/>
      <c r="M266" s="235"/>
      <c r="N266" s="235"/>
      <c r="O266" s="235"/>
      <c r="P266" s="235"/>
      <c r="Q266" s="235"/>
      <c r="R266" s="198"/>
      <c r="S266" s="199"/>
      <c r="T266" s="200"/>
      <c r="U266" s="240"/>
      <c r="V266" s="240"/>
      <c r="W266" s="240"/>
      <c r="BA266"/>
      <c r="BB266"/>
    </row>
    <row r="267" spans="1:54" s="190" customFormat="1" ht="13.5">
      <c r="A267" s="182"/>
      <c r="B267" s="178"/>
      <c r="C267" s="183" t="s">
        <v>718</v>
      </c>
      <c r="D267" s="233" t="s">
        <v>718</v>
      </c>
      <c r="E267" s="239"/>
      <c r="F267" s="234"/>
      <c r="G267" s="235"/>
      <c r="H267" s="235"/>
      <c r="I267" s="235"/>
      <c r="J267" s="235"/>
      <c r="K267" s="235"/>
      <c r="L267" s="235"/>
      <c r="M267" s="235"/>
      <c r="N267" s="235"/>
      <c r="O267" s="235"/>
      <c r="P267" s="235"/>
      <c r="Q267" s="235"/>
      <c r="R267" s="198"/>
      <c r="S267" s="199"/>
      <c r="T267" s="200"/>
      <c r="U267" s="240"/>
      <c r="V267" s="240"/>
      <c r="W267" s="240"/>
      <c r="BA267"/>
      <c r="BB267"/>
    </row>
    <row r="268" spans="1:54" s="190" customFormat="1" ht="13.5">
      <c r="A268" s="182"/>
      <c r="B268" s="178"/>
      <c r="C268" s="183" t="s">
        <v>718</v>
      </c>
      <c r="D268" s="233" t="s">
        <v>718</v>
      </c>
      <c r="E268" s="239"/>
      <c r="F268" s="234"/>
      <c r="G268" s="235"/>
      <c r="H268" s="235"/>
      <c r="I268" s="235"/>
      <c r="J268" s="235"/>
      <c r="K268" s="235"/>
      <c r="L268" s="235"/>
      <c r="M268" s="235"/>
      <c r="N268" s="235"/>
      <c r="O268" s="235"/>
      <c r="P268" s="235"/>
      <c r="Q268" s="235"/>
      <c r="R268" s="198"/>
      <c r="S268" s="199"/>
      <c r="T268" s="200"/>
      <c r="U268" s="240"/>
      <c r="V268" s="240"/>
      <c r="W268" s="240"/>
      <c r="BA268"/>
      <c r="BB268"/>
    </row>
    <row r="269" spans="1:54" s="190" customFormat="1" ht="13.5">
      <c r="A269" s="182"/>
      <c r="B269" s="178"/>
      <c r="C269" s="183" t="s">
        <v>718</v>
      </c>
      <c r="D269" s="233" t="s">
        <v>718</v>
      </c>
      <c r="E269" s="239"/>
      <c r="F269" s="234"/>
      <c r="G269" s="235"/>
      <c r="H269" s="235"/>
      <c r="I269" s="235"/>
      <c r="J269" s="235"/>
      <c r="K269" s="235"/>
      <c r="L269" s="235"/>
      <c r="M269" s="235"/>
      <c r="N269" s="235"/>
      <c r="O269" s="235"/>
      <c r="P269" s="235"/>
      <c r="Q269" s="235"/>
      <c r="R269" s="198"/>
      <c r="S269" s="199"/>
      <c r="T269" s="200"/>
      <c r="U269" s="240"/>
      <c r="V269" s="240"/>
      <c r="W269" s="240"/>
      <c r="BA269"/>
      <c r="BB269"/>
    </row>
    <row r="270" spans="1:54" s="190" customFormat="1" ht="13.5">
      <c r="A270" s="182"/>
      <c r="B270" s="178"/>
      <c r="C270" s="183" t="s">
        <v>718</v>
      </c>
      <c r="D270" s="233" t="s">
        <v>718</v>
      </c>
      <c r="E270" s="239"/>
      <c r="F270" s="234"/>
      <c r="G270" s="235"/>
      <c r="H270" s="235"/>
      <c r="I270" s="235"/>
      <c r="J270" s="235"/>
      <c r="K270" s="235"/>
      <c r="L270" s="235"/>
      <c r="M270" s="235"/>
      <c r="N270" s="235"/>
      <c r="O270" s="235"/>
      <c r="P270" s="235"/>
      <c r="Q270" s="235"/>
      <c r="R270" s="198"/>
      <c r="S270" s="199"/>
      <c r="T270" s="200"/>
      <c r="U270" s="240"/>
      <c r="V270" s="240"/>
      <c r="W270" s="240"/>
      <c r="BA270"/>
      <c r="BB270"/>
    </row>
    <row r="271" spans="1:54" s="190" customFormat="1" ht="13.5">
      <c r="A271" s="182"/>
      <c r="B271" s="178"/>
      <c r="C271" s="183" t="s">
        <v>718</v>
      </c>
      <c r="D271" s="233" t="s">
        <v>718</v>
      </c>
      <c r="E271" s="239"/>
      <c r="F271" s="234"/>
      <c r="G271" s="235"/>
      <c r="H271" s="235"/>
      <c r="I271" s="235"/>
      <c r="J271" s="235"/>
      <c r="K271" s="235"/>
      <c r="L271" s="235"/>
      <c r="M271" s="235"/>
      <c r="N271" s="235"/>
      <c r="O271" s="235"/>
      <c r="P271" s="235"/>
      <c r="Q271" s="235"/>
      <c r="R271" s="198"/>
      <c r="S271" s="199"/>
      <c r="T271" s="200"/>
      <c r="U271" s="240"/>
      <c r="V271" s="240"/>
      <c r="W271" s="240"/>
      <c r="BA271"/>
      <c r="BB271"/>
    </row>
    <row r="272" spans="1:54" s="190" customFormat="1" ht="13.5">
      <c r="A272" s="182"/>
      <c r="B272" s="178"/>
      <c r="C272" s="183" t="s">
        <v>718</v>
      </c>
      <c r="D272" s="233" t="s">
        <v>718</v>
      </c>
      <c r="E272" s="239"/>
      <c r="F272" s="234"/>
      <c r="G272" s="235"/>
      <c r="H272" s="235"/>
      <c r="I272" s="235"/>
      <c r="J272" s="235"/>
      <c r="K272" s="235"/>
      <c r="L272" s="235"/>
      <c r="M272" s="235"/>
      <c r="N272" s="235"/>
      <c r="O272" s="235"/>
      <c r="P272" s="235"/>
      <c r="Q272" s="235"/>
      <c r="R272" s="198"/>
      <c r="S272" s="199"/>
      <c r="T272" s="200"/>
      <c r="U272" s="240"/>
      <c r="V272" s="240"/>
      <c r="W272" s="240"/>
      <c r="BA272"/>
      <c r="BB272"/>
    </row>
    <row r="273" spans="1:54" s="190" customFormat="1" ht="13.5">
      <c r="A273" s="182"/>
      <c r="B273" s="178"/>
      <c r="C273" s="183" t="s">
        <v>718</v>
      </c>
      <c r="D273" s="233" t="s">
        <v>718</v>
      </c>
      <c r="E273" s="239"/>
      <c r="F273" s="234"/>
      <c r="G273" s="235"/>
      <c r="H273" s="235"/>
      <c r="I273" s="235"/>
      <c r="J273" s="235"/>
      <c r="K273" s="235"/>
      <c r="L273" s="235"/>
      <c r="M273" s="235"/>
      <c r="N273" s="235"/>
      <c r="O273" s="235"/>
      <c r="P273" s="235"/>
      <c r="Q273" s="235"/>
      <c r="R273" s="198"/>
      <c r="S273" s="199"/>
      <c r="T273" s="200"/>
      <c r="U273" s="240"/>
      <c r="V273" s="240"/>
      <c r="W273" s="240"/>
      <c r="BA273"/>
      <c r="BB273"/>
    </row>
    <row r="274" spans="1:54" s="190" customFormat="1" ht="13.5">
      <c r="A274" s="182"/>
      <c r="B274" s="178"/>
      <c r="C274" s="183" t="s">
        <v>718</v>
      </c>
      <c r="D274" s="233" t="s">
        <v>718</v>
      </c>
      <c r="E274" s="239"/>
      <c r="F274" s="234"/>
      <c r="G274" s="235"/>
      <c r="H274" s="235"/>
      <c r="I274" s="235"/>
      <c r="J274" s="235"/>
      <c r="K274" s="235"/>
      <c r="L274" s="235"/>
      <c r="M274" s="235"/>
      <c r="N274" s="235"/>
      <c r="O274" s="235"/>
      <c r="P274" s="235"/>
      <c r="Q274" s="235"/>
      <c r="R274" s="198"/>
      <c r="S274" s="199"/>
      <c r="T274" s="200"/>
      <c r="U274" s="240"/>
      <c r="V274" s="240"/>
      <c r="W274" s="240"/>
      <c r="BA274"/>
      <c r="BB274"/>
    </row>
    <row r="275" spans="1:54" s="190" customFormat="1" ht="13.5">
      <c r="A275" s="182"/>
      <c r="B275" s="178"/>
      <c r="C275" s="183" t="s">
        <v>718</v>
      </c>
      <c r="D275" s="233" t="s">
        <v>718</v>
      </c>
      <c r="E275" s="239"/>
      <c r="F275" s="234"/>
      <c r="G275" s="235"/>
      <c r="H275" s="235"/>
      <c r="I275" s="235"/>
      <c r="J275" s="235"/>
      <c r="K275" s="235"/>
      <c r="L275" s="235"/>
      <c r="M275" s="235"/>
      <c r="N275" s="235"/>
      <c r="O275" s="235"/>
      <c r="P275" s="235"/>
      <c r="Q275" s="235"/>
      <c r="R275" s="198"/>
      <c r="S275" s="199"/>
      <c r="T275" s="200"/>
      <c r="U275" s="240"/>
      <c r="V275" s="240"/>
      <c r="W275" s="240"/>
      <c r="BA275"/>
      <c r="BB275"/>
    </row>
    <row r="276" spans="1:54" s="190" customFormat="1" ht="13.5">
      <c r="A276" s="182"/>
      <c r="B276" s="178"/>
      <c r="C276" s="183" t="s">
        <v>718</v>
      </c>
      <c r="D276" s="233" t="s">
        <v>718</v>
      </c>
      <c r="E276" s="239"/>
      <c r="F276" s="234"/>
      <c r="G276" s="235"/>
      <c r="H276" s="235"/>
      <c r="I276" s="235"/>
      <c r="J276" s="235"/>
      <c r="K276" s="235"/>
      <c r="L276" s="235"/>
      <c r="M276" s="235"/>
      <c r="N276" s="235"/>
      <c r="O276" s="235"/>
      <c r="P276" s="235"/>
      <c r="Q276" s="235"/>
      <c r="R276" s="198"/>
      <c r="S276" s="199"/>
      <c r="T276" s="200"/>
      <c r="U276" s="240"/>
      <c r="V276" s="240"/>
      <c r="W276" s="240"/>
      <c r="BA276"/>
      <c r="BB276"/>
    </row>
    <row r="277" spans="1:54" s="190" customFormat="1" ht="13.5">
      <c r="A277" s="182"/>
      <c r="B277" s="178"/>
      <c r="C277" s="183" t="s">
        <v>718</v>
      </c>
      <c r="D277" s="233" t="s">
        <v>718</v>
      </c>
      <c r="E277" s="239"/>
      <c r="F277" s="234"/>
      <c r="G277" s="235"/>
      <c r="H277" s="235"/>
      <c r="I277" s="235"/>
      <c r="J277" s="235"/>
      <c r="K277" s="235"/>
      <c r="L277" s="235"/>
      <c r="M277" s="235"/>
      <c r="N277" s="235"/>
      <c r="O277" s="235"/>
      <c r="P277" s="235"/>
      <c r="Q277" s="235"/>
      <c r="R277" s="198"/>
      <c r="S277" s="199"/>
      <c r="T277" s="200"/>
      <c r="U277" s="240"/>
      <c r="V277" s="240"/>
      <c r="W277" s="240"/>
      <c r="BA277"/>
      <c r="BB277"/>
    </row>
    <row r="278" spans="1:54" s="190" customFormat="1" ht="13.5">
      <c r="A278" s="182"/>
      <c r="B278" s="178"/>
      <c r="C278" s="183" t="s">
        <v>718</v>
      </c>
      <c r="D278" s="233" t="s">
        <v>718</v>
      </c>
      <c r="E278" s="239"/>
      <c r="F278" s="234"/>
      <c r="G278" s="235"/>
      <c r="H278" s="235"/>
      <c r="I278" s="235"/>
      <c r="J278" s="235"/>
      <c r="K278" s="235"/>
      <c r="L278" s="235"/>
      <c r="M278" s="235"/>
      <c r="N278" s="235"/>
      <c r="O278" s="235"/>
      <c r="P278" s="235"/>
      <c r="Q278" s="235"/>
      <c r="R278" s="198"/>
      <c r="S278" s="199"/>
      <c r="T278" s="200"/>
      <c r="U278" s="240"/>
      <c r="V278" s="240"/>
      <c r="W278" s="240"/>
      <c r="BA278"/>
      <c r="BB278"/>
    </row>
    <row r="279" spans="1:54" s="190" customFormat="1" ht="13.5">
      <c r="A279" s="182"/>
      <c r="B279" s="178"/>
      <c r="C279" s="183" t="s">
        <v>718</v>
      </c>
      <c r="D279" s="233" t="s">
        <v>718</v>
      </c>
      <c r="E279" s="239"/>
      <c r="F279" s="234"/>
      <c r="G279" s="235"/>
      <c r="H279" s="235"/>
      <c r="I279" s="235"/>
      <c r="J279" s="235"/>
      <c r="K279" s="235"/>
      <c r="L279" s="235"/>
      <c r="M279" s="235"/>
      <c r="N279" s="235"/>
      <c r="O279" s="235"/>
      <c r="P279" s="235"/>
      <c r="Q279" s="235"/>
      <c r="R279" s="198"/>
      <c r="S279" s="199"/>
      <c r="T279" s="200"/>
      <c r="U279" s="240"/>
      <c r="V279" s="240"/>
      <c r="W279" s="240"/>
      <c r="BA279"/>
      <c r="BB279"/>
    </row>
    <row r="280" spans="1:54" s="190" customFormat="1" ht="13.5">
      <c r="A280" s="182"/>
      <c r="B280" s="178"/>
      <c r="C280" s="183" t="s">
        <v>718</v>
      </c>
      <c r="D280" s="233" t="s">
        <v>718</v>
      </c>
      <c r="E280" s="239"/>
      <c r="F280" s="234"/>
      <c r="G280" s="235"/>
      <c r="H280" s="235"/>
      <c r="I280" s="235"/>
      <c r="J280" s="235"/>
      <c r="K280" s="235"/>
      <c r="L280" s="235"/>
      <c r="M280" s="235"/>
      <c r="N280" s="235"/>
      <c r="O280" s="235"/>
      <c r="P280" s="235"/>
      <c r="Q280" s="235"/>
      <c r="R280" s="198"/>
      <c r="S280" s="199"/>
      <c r="T280" s="200"/>
      <c r="U280" s="240"/>
      <c r="V280" s="240"/>
      <c r="W280" s="240"/>
      <c r="BA280"/>
      <c r="BB280"/>
    </row>
    <row r="281" spans="1:54" s="190" customFormat="1" ht="13.5">
      <c r="A281" s="182"/>
      <c r="B281" s="178"/>
      <c r="C281" s="183" t="s">
        <v>718</v>
      </c>
      <c r="D281" s="233" t="s">
        <v>718</v>
      </c>
      <c r="E281" s="239"/>
      <c r="F281" s="234"/>
      <c r="G281" s="235"/>
      <c r="H281" s="235"/>
      <c r="I281" s="235"/>
      <c r="J281" s="235"/>
      <c r="K281" s="235"/>
      <c r="L281" s="235"/>
      <c r="M281" s="235"/>
      <c r="N281" s="235"/>
      <c r="O281" s="235"/>
      <c r="P281" s="235"/>
      <c r="Q281" s="235"/>
      <c r="R281" s="198"/>
      <c r="S281" s="199"/>
      <c r="T281" s="200"/>
      <c r="U281" s="240"/>
      <c r="V281" s="240"/>
      <c r="W281" s="240"/>
      <c r="BA281"/>
      <c r="BB281"/>
    </row>
    <row r="282" spans="1:54" s="190" customFormat="1" ht="13.5">
      <c r="A282" s="182"/>
      <c r="B282" s="178"/>
      <c r="C282" s="183" t="s">
        <v>718</v>
      </c>
      <c r="D282" s="233" t="s">
        <v>718</v>
      </c>
      <c r="E282" s="239"/>
      <c r="F282" s="234"/>
      <c r="G282" s="235"/>
      <c r="H282" s="235"/>
      <c r="I282" s="235"/>
      <c r="J282" s="235"/>
      <c r="K282" s="235"/>
      <c r="L282" s="235"/>
      <c r="M282" s="235"/>
      <c r="N282" s="235"/>
      <c r="O282" s="235"/>
      <c r="P282" s="235"/>
      <c r="Q282" s="235"/>
      <c r="R282" s="198"/>
      <c r="S282" s="199"/>
      <c r="T282" s="200"/>
      <c r="U282" s="240"/>
      <c r="V282" s="240"/>
      <c r="W282" s="240"/>
      <c r="BA282"/>
      <c r="BB282"/>
    </row>
    <row r="283" spans="1:54" s="190" customFormat="1" ht="13.5">
      <c r="A283" s="182"/>
      <c r="B283" s="178"/>
      <c r="C283" s="183" t="s">
        <v>718</v>
      </c>
      <c r="D283" s="233" t="s">
        <v>718</v>
      </c>
      <c r="E283" s="239"/>
      <c r="F283" s="234"/>
      <c r="G283" s="235"/>
      <c r="H283" s="235"/>
      <c r="I283" s="235"/>
      <c r="J283" s="235"/>
      <c r="K283" s="235"/>
      <c r="L283" s="235"/>
      <c r="M283" s="235"/>
      <c r="N283" s="235"/>
      <c r="O283" s="235"/>
      <c r="P283" s="235"/>
      <c r="Q283" s="235"/>
      <c r="R283" s="198"/>
      <c r="S283" s="199"/>
      <c r="T283" s="200"/>
      <c r="U283" s="240"/>
      <c r="V283" s="240"/>
      <c r="W283" s="240"/>
      <c r="BA283"/>
      <c r="BB283"/>
    </row>
    <row r="284" spans="1:54" s="190" customFormat="1" ht="13.5">
      <c r="A284" s="182"/>
      <c r="B284" s="178"/>
      <c r="C284" s="183" t="s">
        <v>718</v>
      </c>
      <c r="D284" s="233" t="s">
        <v>718</v>
      </c>
      <c r="E284" s="239"/>
      <c r="F284" s="234"/>
      <c r="G284" s="235"/>
      <c r="H284" s="235"/>
      <c r="I284" s="235"/>
      <c r="J284" s="235"/>
      <c r="K284" s="235"/>
      <c r="L284" s="235"/>
      <c r="M284" s="235"/>
      <c r="N284" s="235"/>
      <c r="O284" s="235"/>
      <c r="P284" s="235"/>
      <c r="Q284" s="235"/>
      <c r="R284" s="198"/>
      <c r="S284" s="199"/>
      <c r="T284" s="200"/>
      <c r="U284" s="240"/>
      <c r="V284" s="240"/>
      <c r="W284" s="240"/>
      <c r="BA284"/>
      <c r="BB284"/>
    </row>
    <row r="285" spans="1:54" s="190" customFormat="1" ht="13.5">
      <c r="A285" s="182"/>
      <c r="B285" s="178"/>
      <c r="C285" s="183" t="s">
        <v>718</v>
      </c>
      <c r="D285" s="233" t="s">
        <v>718</v>
      </c>
      <c r="E285" s="239"/>
      <c r="F285" s="234"/>
      <c r="G285" s="235"/>
      <c r="H285" s="235"/>
      <c r="I285" s="235"/>
      <c r="J285" s="235"/>
      <c r="K285" s="235"/>
      <c r="L285" s="235"/>
      <c r="M285" s="235"/>
      <c r="N285" s="235"/>
      <c r="O285" s="235"/>
      <c r="P285" s="235"/>
      <c r="Q285" s="235"/>
      <c r="R285" s="198"/>
      <c r="S285" s="199"/>
      <c r="T285" s="200"/>
      <c r="U285" s="240"/>
      <c r="V285" s="240"/>
      <c r="W285" s="240"/>
      <c r="BA285"/>
      <c r="BB285"/>
    </row>
    <row r="286" spans="1:54" s="190" customFormat="1" ht="13.5">
      <c r="A286" s="182"/>
      <c r="B286" s="178"/>
      <c r="C286" s="183" t="s">
        <v>718</v>
      </c>
      <c r="D286" s="233" t="s">
        <v>718</v>
      </c>
      <c r="E286" s="239"/>
      <c r="F286" s="234"/>
      <c r="G286" s="235"/>
      <c r="H286" s="235"/>
      <c r="I286" s="235"/>
      <c r="J286" s="235"/>
      <c r="K286" s="235"/>
      <c r="L286" s="235"/>
      <c r="M286" s="235"/>
      <c r="N286" s="235"/>
      <c r="O286" s="235"/>
      <c r="P286" s="235"/>
      <c r="Q286" s="235"/>
      <c r="R286" s="198"/>
      <c r="S286" s="199"/>
      <c r="T286" s="200"/>
      <c r="U286" s="240"/>
      <c r="V286" s="240"/>
      <c r="W286" s="240"/>
      <c r="BA286"/>
      <c r="BB286"/>
    </row>
    <row r="287" spans="1:54" s="190" customFormat="1" ht="13.5">
      <c r="A287" s="182"/>
      <c r="B287" s="178"/>
      <c r="C287" s="183" t="s">
        <v>718</v>
      </c>
      <c r="D287" s="233" t="s">
        <v>718</v>
      </c>
      <c r="E287" s="239"/>
      <c r="F287" s="234"/>
      <c r="G287" s="235"/>
      <c r="H287" s="235"/>
      <c r="I287" s="235"/>
      <c r="J287" s="235"/>
      <c r="K287" s="235"/>
      <c r="L287" s="235"/>
      <c r="M287" s="235"/>
      <c r="N287" s="235"/>
      <c r="O287" s="235"/>
      <c r="P287" s="235"/>
      <c r="Q287" s="235"/>
      <c r="R287" s="198"/>
      <c r="S287" s="199"/>
      <c r="T287" s="200"/>
      <c r="U287" s="240"/>
      <c r="V287" s="240"/>
      <c r="W287" s="240"/>
      <c r="BA287"/>
      <c r="BB287"/>
    </row>
    <row r="288" spans="1:54" s="190" customFormat="1" ht="13.5">
      <c r="A288" s="182"/>
      <c r="B288" s="178"/>
      <c r="C288" s="183" t="s">
        <v>718</v>
      </c>
      <c r="D288" s="233" t="s">
        <v>718</v>
      </c>
      <c r="E288" s="239"/>
      <c r="F288" s="234"/>
      <c r="G288" s="235"/>
      <c r="H288" s="235"/>
      <c r="I288" s="235"/>
      <c r="J288" s="235"/>
      <c r="K288" s="235"/>
      <c r="L288" s="235"/>
      <c r="M288" s="235"/>
      <c r="N288" s="235"/>
      <c r="O288" s="235"/>
      <c r="P288" s="235"/>
      <c r="Q288" s="235"/>
      <c r="R288" s="198"/>
      <c r="S288" s="199"/>
      <c r="T288" s="200"/>
      <c r="U288" s="240"/>
      <c r="V288" s="240"/>
      <c r="W288" s="240"/>
      <c r="BA288"/>
      <c r="BB288"/>
    </row>
    <row r="289" spans="1:54" s="190" customFormat="1" ht="13.5">
      <c r="A289" s="182"/>
      <c r="B289" s="178"/>
      <c r="C289" s="183" t="s">
        <v>718</v>
      </c>
      <c r="D289" s="233" t="s">
        <v>718</v>
      </c>
      <c r="E289" s="239"/>
      <c r="F289" s="234"/>
      <c r="G289" s="235"/>
      <c r="H289" s="235"/>
      <c r="I289" s="235"/>
      <c r="J289" s="235"/>
      <c r="K289" s="235"/>
      <c r="L289" s="235"/>
      <c r="M289" s="235"/>
      <c r="N289" s="235"/>
      <c r="O289" s="235"/>
      <c r="P289" s="235"/>
      <c r="Q289" s="235"/>
      <c r="R289" s="198"/>
      <c r="S289" s="199"/>
      <c r="T289" s="200"/>
      <c r="U289" s="240"/>
      <c r="V289" s="240"/>
      <c r="W289" s="240"/>
      <c r="BA289"/>
      <c r="BB289"/>
    </row>
    <row r="290" spans="1:54" s="190" customFormat="1" ht="13.5">
      <c r="A290" s="182"/>
      <c r="B290" s="178"/>
      <c r="C290" s="183" t="s">
        <v>718</v>
      </c>
      <c r="D290" s="233" t="s">
        <v>718</v>
      </c>
      <c r="E290" s="239"/>
      <c r="F290" s="234"/>
      <c r="G290" s="235"/>
      <c r="H290" s="235"/>
      <c r="I290" s="235"/>
      <c r="J290" s="235"/>
      <c r="K290" s="235"/>
      <c r="L290" s="235"/>
      <c r="M290" s="235"/>
      <c r="N290" s="235"/>
      <c r="O290" s="235"/>
      <c r="P290" s="235"/>
      <c r="Q290" s="235"/>
      <c r="R290" s="198"/>
      <c r="S290" s="199"/>
      <c r="T290" s="200"/>
      <c r="U290" s="240"/>
      <c r="V290" s="240"/>
      <c r="W290" s="240"/>
      <c r="BA290"/>
      <c r="BB290"/>
    </row>
    <row r="291" spans="1:54" s="190" customFormat="1" ht="13.5">
      <c r="A291" s="182"/>
      <c r="B291" s="178"/>
      <c r="C291" s="183" t="s">
        <v>718</v>
      </c>
      <c r="D291" s="233" t="s">
        <v>718</v>
      </c>
      <c r="E291" s="239"/>
      <c r="F291" s="234"/>
      <c r="G291" s="235"/>
      <c r="H291" s="235"/>
      <c r="I291" s="235"/>
      <c r="J291" s="235"/>
      <c r="K291" s="235"/>
      <c r="L291" s="235"/>
      <c r="M291" s="235"/>
      <c r="N291" s="235"/>
      <c r="O291" s="235"/>
      <c r="P291" s="235"/>
      <c r="Q291" s="235"/>
      <c r="R291" s="198"/>
      <c r="S291" s="199"/>
      <c r="T291" s="200"/>
      <c r="U291" s="240"/>
      <c r="V291" s="240"/>
      <c r="W291" s="240"/>
      <c r="BA291"/>
      <c r="BB291"/>
    </row>
    <row r="292" spans="1:54" s="190" customFormat="1" ht="13.5">
      <c r="A292" s="182"/>
      <c r="B292" s="178"/>
      <c r="C292" s="183" t="s">
        <v>718</v>
      </c>
      <c r="D292" s="233" t="s">
        <v>718</v>
      </c>
      <c r="E292" s="239"/>
      <c r="F292" s="234"/>
      <c r="G292" s="235"/>
      <c r="H292" s="235"/>
      <c r="I292" s="235"/>
      <c r="J292" s="235"/>
      <c r="K292" s="235"/>
      <c r="L292" s="235"/>
      <c r="M292" s="235"/>
      <c r="N292" s="235"/>
      <c r="O292" s="235"/>
      <c r="P292" s="235"/>
      <c r="Q292" s="235"/>
      <c r="R292" s="198"/>
      <c r="S292" s="199"/>
      <c r="T292" s="200"/>
      <c r="U292" s="240"/>
      <c r="V292" s="240"/>
      <c r="W292" s="240"/>
      <c r="BA292"/>
      <c r="BB292"/>
    </row>
    <row r="293" spans="1:54" s="190" customFormat="1" ht="13.5">
      <c r="A293" s="182"/>
      <c r="B293" s="178"/>
      <c r="C293" s="183" t="s">
        <v>718</v>
      </c>
      <c r="D293" s="233" t="s">
        <v>718</v>
      </c>
      <c r="E293" s="239"/>
      <c r="F293" s="234"/>
      <c r="G293" s="235"/>
      <c r="H293" s="235"/>
      <c r="I293" s="235"/>
      <c r="J293" s="235"/>
      <c r="K293" s="235"/>
      <c r="L293" s="235"/>
      <c r="M293" s="235"/>
      <c r="N293" s="235"/>
      <c r="O293" s="235"/>
      <c r="P293" s="235"/>
      <c r="Q293" s="235"/>
      <c r="R293" s="198"/>
      <c r="S293" s="199"/>
      <c r="T293" s="200"/>
      <c r="U293" s="240"/>
      <c r="V293" s="240"/>
      <c r="W293" s="240"/>
      <c r="BA293"/>
      <c r="BB293"/>
    </row>
    <row r="294" spans="1:54" s="190" customFormat="1" ht="13.5">
      <c r="A294" s="182"/>
      <c r="B294" s="178"/>
      <c r="C294" s="183" t="s">
        <v>718</v>
      </c>
      <c r="D294" s="233" t="s">
        <v>718</v>
      </c>
      <c r="E294" s="239"/>
      <c r="F294" s="234"/>
      <c r="G294" s="235"/>
      <c r="H294" s="235"/>
      <c r="I294" s="235"/>
      <c r="J294" s="235"/>
      <c r="K294" s="235"/>
      <c r="L294" s="235"/>
      <c r="M294" s="235"/>
      <c r="N294" s="235"/>
      <c r="O294" s="235"/>
      <c r="P294" s="235"/>
      <c r="Q294" s="235"/>
      <c r="R294" s="198"/>
      <c r="S294" s="199"/>
      <c r="T294" s="200"/>
      <c r="U294" s="240"/>
      <c r="V294" s="240"/>
      <c r="W294" s="240"/>
      <c r="BA294"/>
      <c r="BB294"/>
    </row>
    <row r="295" spans="1:54" s="190" customFormat="1" ht="13.5">
      <c r="A295" s="182"/>
      <c r="B295" s="178"/>
      <c r="C295" s="183" t="s">
        <v>718</v>
      </c>
      <c r="D295" s="233" t="s">
        <v>718</v>
      </c>
      <c r="E295" s="239"/>
      <c r="F295" s="234"/>
      <c r="G295" s="235"/>
      <c r="H295" s="235"/>
      <c r="I295" s="235"/>
      <c r="J295" s="235"/>
      <c r="K295" s="235"/>
      <c r="L295" s="235"/>
      <c r="M295" s="235"/>
      <c r="N295" s="235"/>
      <c r="O295" s="235"/>
      <c r="P295" s="235"/>
      <c r="Q295" s="235"/>
      <c r="R295" s="198"/>
      <c r="S295" s="199"/>
      <c r="T295" s="200"/>
      <c r="U295" s="240"/>
      <c r="V295" s="240"/>
      <c r="W295" s="240"/>
      <c r="BA295"/>
      <c r="BB295"/>
    </row>
    <row r="296" spans="1:54" s="190" customFormat="1" ht="13.5">
      <c r="A296" s="182"/>
      <c r="B296" s="178"/>
      <c r="C296" s="183" t="s">
        <v>718</v>
      </c>
      <c r="D296" s="233" t="s">
        <v>718</v>
      </c>
      <c r="E296" s="239"/>
      <c r="F296" s="234"/>
      <c r="G296" s="235"/>
      <c r="H296" s="235"/>
      <c r="I296" s="235"/>
      <c r="J296" s="235"/>
      <c r="K296" s="235"/>
      <c r="L296" s="235"/>
      <c r="M296" s="235"/>
      <c r="N296" s="235"/>
      <c r="O296" s="235"/>
      <c r="P296" s="235"/>
      <c r="Q296" s="235"/>
      <c r="R296" s="198"/>
      <c r="S296" s="199"/>
      <c r="T296" s="200"/>
      <c r="U296" s="240"/>
      <c r="V296" s="240"/>
      <c r="W296" s="240"/>
      <c r="BA296"/>
      <c r="BB296"/>
    </row>
    <row r="297" spans="1:54" s="190" customFormat="1" ht="13.5">
      <c r="A297" s="182"/>
      <c r="B297" s="178"/>
      <c r="C297" s="183" t="s">
        <v>718</v>
      </c>
      <c r="D297" s="233" t="s">
        <v>718</v>
      </c>
      <c r="E297" s="239"/>
      <c r="F297" s="234"/>
      <c r="G297" s="235"/>
      <c r="H297" s="235"/>
      <c r="I297" s="235"/>
      <c r="J297" s="235"/>
      <c r="K297" s="235"/>
      <c r="L297" s="235"/>
      <c r="M297" s="235"/>
      <c r="N297" s="235"/>
      <c r="O297" s="235"/>
      <c r="P297" s="235"/>
      <c r="Q297" s="235"/>
      <c r="R297" s="198"/>
      <c r="S297" s="199"/>
      <c r="T297" s="200"/>
      <c r="U297" s="240"/>
      <c r="V297" s="240"/>
      <c r="W297" s="240"/>
      <c r="BA297"/>
      <c r="BB297"/>
    </row>
    <row r="298" spans="1:54" s="190" customFormat="1" ht="13.5">
      <c r="A298" s="182"/>
      <c r="B298" s="178"/>
      <c r="C298" s="183" t="s">
        <v>718</v>
      </c>
      <c r="D298" s="233" t="s">
        <v>718</v>
      </c>
      <c r="E298" s="239"/>
      <c r="F298" s="234"/>
      <c r="G298" s="235"/>
      <c r="H298" s="235"/>
      <c r="I298" s="235"/>
      <c r="J298" s="235"/>
      <c r="K298" s="235"/>
      <c r="L298" s="235"/>
      <c r="M298" s="235"/>
      <c r="N298" s="235"/>
      <c r="O298" s="235"/>
      <c r="P298" s="235"/>
      <c r="Q298" s="235"/>
      <c r="R298" s="198"/>
      <c r="S298" s="199"/>
      <c r="T298" s="200"/>
      <c r="U298" s="240"/>
      <c r="V298" s="240"/>
      <c r="W298" s="240"/>
      <c r="BA298"/>
      <c r="BB298"/>
    </row>
    <row r="299" spans="1:54" s="190" customFormat="1" ht="13.5">
      <c r="A299" s="182"/>
      <c r="B299" s="178"/>
      <c r="C299" s="183" t="s">
        <v>718</v>
      </c>
      <c r="D299" s="233" t="s">
        <v>718</v>
      </c>
      <c r="E299" s="239"/>
      <c r="F299" s="234"/>
      <c r="G299" s="235"/>
      <c r="H299" s="235"/>
      <c r="I299" s="235"/>
      <c r="J299" s="235"/>
      <c r="K299" s="235"/>
      <c r="L299" s="235"/>
      <c r="M299" s="235"/>
      <c r="N299" s="235"/>
      <c r="O299" s="235"/>
      <c r="P299" s="235"/>
      <c r="Q299" s="235"/>
      <c r="R299" s="198"/>
      <c r="S299" s="199"/>
      <c r="T299" s="200"/>
      <c r="U299" s="240"/>
      <c r="V299" s="240"/>
      <c r="W299" s="240"/>
      <c r="BA299"/>
      <c r="BB299"/>
    </row>
    <row r="300" spans="1:54" s="190" customFormat="1" ht="13.5">
      <c r="A300" s="182"/>
      <c r="B300" s="178"/>
      <c r="C300" s="183" t="s">
        <v>718</v>
      </c>
      <c r="D300" s="233" t="s">
        <v>718</v>
      </c>
      <c r="E300" s="239"/>
      <c r="F300" s="234"/>
      <c r="G300" s="235"/>
      <c r="H300" s="235"/>
      <c r="I300" s="235"/>
      <c r="J300" s="235"/>
      <c r="K300" s="235"/>
      <c r="L300" s="235"/>
      <c r="M300" s="235"/>
      <c r="N300" s="235"/>
      <c r="O300" s="235"/>
      <c r="P300" s="235"/>
      <c r="Q300" s="235"/>
      <c r="R300" s="198"/>
      <c r="S300" s="199"/>
      <c r="T300" s="200"/>
      <c r="U300" s="240"/>
      <c r="V300" s="240"/>
      <c r="W300" s="240"/>
      <c r="BA300"/>
      <c r="BB300"/>
    </row>
    <row r="301" spans="1:54" s="190" customFormat="1" ht="13.5">
      <c r="A301" s="182"/>
      <c r="B301" s="178"/>
      <c r="C301" s="183" t="s">
        <v>718</v>
      </c>
      <c r="D301" s="233" t="s">
        <v>718</v>
      </c>
      <c r="E301" s="239"/>
      <c r="F301" s="234"/>
      <c r="G301" s="235"/>
      <c r="H301" s="235"/>
      <c r="I301" s="235"/>
      <c r="J301" s="235"/>
      <c r="K301" s="235"/>
      <c r="L301" s="235"/>
      <c r="M301" s="235"/>
      <c r="N301" s="235"/>
      <c r="O301" s="235"/>
      <c r="P301" s="235"/>
      <c r="Q301" s="235"/>
      <c r="R301" s="198"/>
      <c r="S301" s="199"/>
      <c r="T301" s="200"/>
      <c r="U301" s="240"/>
      <c r="V301" s="240"/>
      <c r="W301" s="240"/>
      <c r="BA301"/>
      <c r="BB301"/>
    </row>
    <row r="302" spans="1:54" s="190" customFormat="1" ht="13.5">
      <c r="A302" s="182"/>
      <c r="B302" s="178"/>
      <c r="C302" s="183" t="s">
        <v>718</v>
      </c>
      <c r="D302" s="233" t="s">
        <v>718</v>
      </c>
      <c r="E302" s="239"/>
      <c r="F302" s="234"/>
      <c r="G302" s="235"/>
      <c r="H302" s="235"/>
      <c r="I302" s="235"/>
      <c r="J302" s="235"/>
      <c r="K302" s="235"/>
      <c r="L302" s="235"/>
      <c r="M302" s="235"/>
      <c r="N302" s="235"/>
      <c r="O302" s="235"/>
      <c r="P302" s="235"/>
      <c r="Q302" s="235"/>
      <c r="R302" s="198"/>
      <c r="S302" s="199"/>
      <c r="T302" s="200"/>
      <c r="U302" s="240"/>
      <c r="V302" s="240"/>
      <c r="W302" s="240"/>
      <c r="BA302"/>
      <c r="BB302"/>
    </row>
    <row r="303" spans="1:54" s="190" customFormat="1" ht="13.5">
      <c r="A303" s="182"/>
      <c r="B303" s="178"/>
      <c r="C303" s="183" t="s">
        <v>718</v>
      </c>
      <c r="D303" s="233" t="s">
        <v>718</v>
      </c>
      <c r="E303" s="239"/>
      <c r="F303" s="234"/>
      <c r="G303" s="235"/>
      <c r="H303" s="235"/>
      <c r="I303" s="235"/>
      <c r="J303" s="235"/>
      <c r="K303" s="235"/>
      <c r="L303" s="235"/>
      <c r="M303" s="235"/>
      <c r="N303" s="235"/>
      <c r="O303" s="235"/>
      <c r="P303" s="235"/>
      <c r="Q303" s="235"/>
      <c r="R303" s="198"/>
      <c r="S303" s="199"/>
      <c r="T303" s="200"/>
      <c r="U303" s="240"/>
      <c r="V303" s="240"/>
      <c r="W303" s="240"/>
      <c r="BA303"/>
      <c r="BB303"/>
    </row>
    <row r="304" spans="1:54" s="190" customFormat="1" ht="13.5">
      <c r="A304" s="182"/>
      <c r="B304" s="178"/>
      <c r="C304" s="183" t="s">
        <v>718</v>
      </c>
      <c r="D304" s="233" t="s">
        <v>718</v>
      </c>
      <c r="E304" s="239"/>
      <c r="F304" s="234"/>
      <c r="G304" s="235"/>
      <c r="H304" s="235"/>
      <c r="I304" s="235"/>
      <c r="J304" s="235"/>
      <c r="K304" s="235"/>
      <c r="L304" s="235"/>
      <c r="M304" s="235"/>
      <c r="N304" s="235"/>
      <c r="O304" s="235"/>
      <c r="P304" s="235"/>
      <c r="Q304" s="235"/>
      <c r="R304" s="198"/>
      <c r="S304" s="199"/>
      <c r="T304" s="200"/>
      <c r="U304" s="240"/>
      <c r="V304" s="240"/>
      <c r="W304" s="240"/>
      <c r="BA304"/>
      <c r="BB304"/>
    </row>
    <row r="305" spans="1:54" s="190" customFormat="1" ht="13.5">
      <c r="A305" s="182"/>
      <c r="B305" s="178"/>
      <c r="C305" s="183" t="s">
        <v>718</v>
      </c>
      <c r="D305" s="233" t="s">
        <v>718</v>
      </c>
      <c r="E305" s="239"/>
      <c r="F305" s="234"/>
      <c r="G305" s="235"/>
      <c r="H305" s="235"/>
      <c r="I305" s="235"/>
      <c r="J305" s="235"/>
      <c r="K305" s="235"/>
      <c r="L305" s="235"/>
      <c r="M305" s="235"/>
      <c r="N305" s="235"/>
      <c r="O305" s="235"/>
      <c r="P305" s="235"/>
      <c r="Q305" s="235"/>
      <c r="R305" s="198"/>
      <c r="S305" s="199"/>
      <c r="T305" s="200"/>
      <c r="U305" s="240"/>
      <c r="V305" s="240"/>
      <c r="W305" s="240"/>
      <c r="BA305"/>
      <c r="BB305"/>
    </row>
    <row r="306" spans="1:54" s="190" customFormat="1" ht="13.5">
      <c r="A306" s="182"/>
      <c r="B306" s="178"/>
      <c r="C306" s="183" t="s">
        <v>718</v>
      </c>
      <c r="D306" s="233" t="s">
        <v>718</v>
      </c>
      <c r="E306" s="239"/>
      <c r="F306" s="234"/>
      <c r="G306" s="235"/>
      <c r="H306" s="235"/>
      <c r="I306" s="235"/>
      <c r="J306" s="235"/>
      <c r="K306" s="235"/>
      <c r="L306" s="235"/>
      <c r="M306" s="235"/>
      <c r="N306" s="235"/>
      <c r="O306" s="235"/>
      <c r="P306" s="235"/>
      <c r="Q306" s="235"/>
      <c r="R306" s="198"/>
      <c r="S306" s="199"/>
      <c r="T306" s="200"/>
      <c r="U306" s="240"/>
      <c r="V306" s="240"/>
      <c r="W306" s="240"/>
      <c r="BA306"/>
      <c r="BB306"/>
    </row>
    <row r="307" spans="1:54" s="190" customFormat="1" ht="13.5">
      <c r="A307" s="182"/>
      <c r="B307" s="178"/>
      <c r="C307" s="183" t="s">
        <v>718</v>
      </c>
      <c r="D307" s="233" t="s">
        <v>718</v>
      </c>
      <c r="E307" s="239"/>
      <c r="F307" s="234"/>
      <c r="G307" s="235"/>
      <c r="H307" s="235"/>
      <c r="I307" s="235"/>
      <c r="J307" s="235"/>
      <c r="K307" s="235"/>
      <c r="L307" s="235"/>
      <c r="M307" s="235"/>
      <c r="N307" s="235"/>
      <c r="O307" s="235"/>
      <c r="P307" s="235"/>
      <c r="Q307" s="235"/>
      <c r="R307" s="198"/>
      <c r="S307" s="199"/>
      <c r="T307" s="200"/>
      <c r="U307" s="240"/>
      <c r="V307" s="240"/>
      <c r="W307" s="240"/>
      <c r="BA307"/>
      <c r="BB307"/>
    </row>
    <row r="308" spans="1:54" s="190" customFormat="1" ht="13.5">
      <c r="A308" s="182"/>
      <c r="B308" s="178"/>
      <c r="C308" s="183" t="s">
        <v>718</v>
      </c>
      <c r="D308" s="233" t="s">
        <v>718</v>
      </c>
      <c r="E308" s="239"/>
      <c r="F308" s="234"/>
      <c r="G308" s="235"/>
      <c r="H308" s="235"/>
      <c r="I308" s="235"/>
      <c r="J308" s="235"/>
      <c r="K308" s="235"/>
      <c r="L308" s="235"/>
      <c r="M308" s="235"/>
      <c r="N308" s="235"/>
      <c r="O308" s="235"/>
      <c r="P308" s="235"/>
      <c r="Q308" s="235"/>
      <c r="R308" s="198"/>
      <c r="S308" s="199"/>
      <c r="T308" s="200"/>
      <c r="U308" s="240"/>
      <c r="V308" s="240"/>
      <c r="W308" s="240"/>
      <c r="BA308"/>
      <c r="BB308"/>
    </row>
    <row r="309" spans="1:54" s="190" customFormat="1" ht="13.5">
      <c r="A309" s="182"/>
      <c r="B309" s="178"/>
      <c r="C309" s="183" t="s">
        <v>718</v>
      </c>
      <c r="D309" s="233" t="s">
        <v>718</v>
      </c>
      <c r="E309" s="239"/>
      <c r="F309" s="234"/>
      <c r="G309" s="235"/>
      <c r="H309" s="235"/>
      <c r="I309" s="235"/>
      <c r="J309" s="235"/>
      <c r="K309" s="235"/>
      <c r="L309" s="235"/>
      <c r="M309" s="235"/>
      <c r="N309" s="235"/>
      <c r="O309" s="235"/>
      <c r="P309" s="235"/>
      <c r="Q309" s="235"/>
      <c r="R309" s="198"/>
      <c r="S309" s="199"/>
      <c r="T309" s="200"/>
      <c r="U309" s="240"/>
      <c r="V309" s="240"/>
      <c r="W309" s="240"/>
      <c r="BA309"/>
      <c r="BB309"/>
    </row>
    <row r="310" spans="1:54" s="190" customFormat="1" ht="13.5">
      <c r="A310" s="182"/>
      <c r="B310" s="178"/>
      <c r="C310" s="183" t="s">
        <v>718</v>
      </c>
      <c r="D310" s="233" t="s">
        <v>718</v>
      </c>
      <c r="E310" s="239"/>
      <c r="F310" s="234"/>
      <c r="G310" s="235"/>
      <c r="H310" s="235"/>
      <c r="I310" s="235"/>
      <c r="J310" s="235"/>
      <c r="K310" s="235"/>
      <c r="L310" s="235"/>
      <c r="M310" s="235"/>
      <c r="N310" s="235"/>
      <c r="O310" s="235"/>
      <c r="P310" s="235"/>
      <c r="Q310" s="235"/>
      <c r="R310" s="198"/>
      <c r="S310" s="199"/>
      <c r="T310" s="200"/>
      <c r="U310" s="240"/>
      <c r="V310" s="240"/>
      <c r="W310" s="240"/>
      <c r="BA310"/>
      <c r="BB310"/>
    </row>
    <row r="311" spans="1:54" s="190" customFormat="1" ht="13.5">
      <c r="A311" s="182"/>
      <c r="B311" s="178"/>
      <c r="C311" s="183" t="s">
        <v>718</v>
      </c>
      <c r="D311" s="233" t="s">
        <v>718</v>
      </c>
      <c r="E311" s="239"/>
      <c r="F311" s="234"/>
      <c r="G311" s="235"/>
      <c r="H311" s="235"/>
      <c r="I311" s="235"/>
      <c r="J311" s="235"/>
      <c r="K311" s="235"/>
      <c r="L311" s="235"/>
      <c r="M311" s="235"/>
      <c r="N311" s="235"/>
      <c r="O311" s="235"/>
      <c r="P311" s="235"/>
      <c r="Q311" s="235"/>
      <c r="R311" s="198"/>
      <c r="S311" s="199"/>
      <c r="T311" s="200"/>
      <c r="U311" s="240"/>
      <c r="V311" s="240"/>
      <c r="W311" s="240"/>
      <c r="BA311"/>
      <c r="BB311"/>
    </row>
    <row r="312" spans="1:54" s="190" customFormat="1" ht="13.5">
      <c r="A312" s="182"/>
      <c r="B312" s="178"/>
      <c r="C312" s="183" t="s">
        <v>718</v>
      </c>
      <c r="D312" s="233" t="s">
        <v>718</v>
      </c>
      <c r="E312" s="239"/>
      <c r="F312" s="234"/>
      <c r="G312" s="235"/>
      <c r="H312" s="235"/>
      <c r="I312" s="235"/>
      <c r="J312" s="235"/>
      <c r="K312" s="235"/>
      <c r="L312" s="235"/>
      <c r="M312" s="235"/>
      <c r="N312" s="235"/>
      <c r="O312" s="235"/>
      <c r="P312" s="235"/>
      <c r="Q312" s="235"/>
      <c r="R312" s="198"/>
      <c r="S312" s="199"/>
      <c r="T312" s="200"/>
      <c r="U312" s="240"/>
      <c r="V312" s="240"/>
      <c r="W312" s="240"/>
      <c r="BA312"/>
      <c r="BB312"/>
    </row>
    <row r="313" spans="1:54" s="190" customFormat="1" ht="13.5">
      <c r="A313" s="182"/>
      <c r="B313" s="178"/>
      <c r="C313" s="183" t="s">
        <v>718</v>
      </c>
      <c r="D313" s="233" t="s">
        <v>718</v>
      </c>
      <c r="E313" s="239"/>
      <c r="F313" s="234"/>
      <c r="G313" s="235"/>
      <c r="H313" s="235"/>
      <c r="I313" s="235"/>
      <c r="J313" s="235"/>
      <c r="K313" s="235"/>
      <c r="L313" s="235"/>
      <c r="M313" s="235"/>
      <c r="N313" s="235"/>
      <c r="O313" s="235"/>
      <c r="P313" s="235"/>
      <c r="Q313" s="235"/>
      <c r="R313" s="198"/>
      <c r="S313" s="199"/>
      <c r="T313" s="200"/>
      <c r="U313" s="240"/>
      <c r="V313" s="240"/>
      <c r="W313" s="240"/>
      <c r="BA313"/>
      <c r="BB313"/>
    </row>
    <row r="314" spans="1:54" s="190" customFormat="1" ht="13.5">
      <c r="A314" s="182"/>
      <c r="B314" s="178"/>
      <c r="C314" s="183" t="s">
        <v>718</v>
      </c>
      <c r="D314" s="233" t="s">
        <v>718</v>
      </c>
      <c r="E314" s="239"/>
      <c r="F314" s="234"/>
      <c r="G314" s="235"/>
      <c r="H314" s="235"/>
      <c r="I314" s="235"/>
      <c r="J314" s="235"/>
      <c r="K314" s="235"/>
      <c r="L314" s="235"/>
      <c r="M314" s="235"/>
      <c r="N314" s="235"/>
      <c r="O314" s="235"/>
      <c r="P314" s="235"/>
      <c r="Q314" s="235"/>
      <c r="R314" s="198"/>
      <c r="S314" s="199"/>
      <c r="T314" s="200"/>
      <c r="U314" s="240"/>
      <c r="V314" s="240"/>
      <c r="W314" s="240"/>
      <c r="BA314"/>
      <c r="BB314"/>
    </row>
    <row r="315" spans="1:54" s="190" customFormat="1" ht="13.5">
      <c r="A315" s="182"/>
      <c r="B315" s="178"/>
      <c r="C315" s="183" t="s">
        <v>718</v>
      </c>
      <c r="D315" s="233" t="s">
        <v>718</v>
      </c>
      <c r="E315" s="239"/>
      <c r="F315" s="234"/>
      <c r="G315" s="235"/>
      <c r="H315" s="235"/>
      <c r="I315" s="235"/>
      <c r="J315" s="235"/>
      <c r="K315" s="235"/>
      <c r="L315" s="235"/>
      <c r="M315" s="235"/>
      <c r="N315" s="235"/>
      <c r="O315" s="235"/>
      <c r="P315" s="235"/>
      <c r="Q315" s="235"/>
      <c r="R315" s="198"/>
      <c r="S315" s="199"/>
      <c r="T315" s="200"/>
      <c r="U315" s="240"/>
      <c r="V315" s="240"/>
      <c r="W315" s="240"/>
      <c r="BA315"/>
      <c r="BB315"/>
    </row>
    <row r="316" spans="1:54" s="190" customFormat="1" ht="13.5">
      <c r="A316" s="182"/>
      <c r="B316" s="178"/>
      <c r="C316" s="183" t="s">
        <v>718</v>
      </c>
      <c r="D316" s="233" t="s">
        <v>718</v>
      </c>
      <c r="E316" s="239"/>
      <c r="F316" s="234"/>
      <c r="G316" s="235"/>
      <c r="H316" s="235"/>
      <c r="I316" s="235"/>
      <c r="J316" s="235"/>
      <c r="K316" s="235"/>
      <c r="L316" s="235"/>
      <c r="M316" s="235"/>
      <c r="N316" s="235"/>
      <c r="O316" s="235"/>
      <c r="P316" s="235"/>
      <c r="Q316" s="235"/>
      <c r="R316" s="198"/>
      <c r="S316" s="199"/>
      <c r="T316" s="200"/>
      <c r="U316" s="240"/>
      <c r="V316" s="240"/>
      <c r="W316" s="240"/>
      <c r="BA316"/>
      <c r="BB316"/>
    </row>
    <row r="317" spans="1:54" s="190" customFormat="1" ht="13.5">
      <c r="A317" s="182"/>
      <c r="B317" s="178"/>
      <c r="C317" s="183" t="s">
        <v>718</v>
      </c>
      <c r="D317" s="233" t="s">
        <v>718</v>
      </c>
      <c r="E317" s="239"/>
      <c r="F317" s="234"/>
      <c r="G317" s="235"/>
      <c r="H317" s="235"/>
      <c r="I317" s="235"/>
      <c r="J317" s="235"/>
      <c r="K317" s="235"/>
      <c r="L317" s="235"/>
      <c r="M317" s="235"/>
      <c r="N317" s="235"/>
      <c r="O317" s="235"/>
      <c r="P317" s="235"/>
      <c r="Q317" s="235"/>
      <c r="R317" s="198"/>
      <c r="S317" s="199"/>
      <c r="T317" s="200"/>
      <c r="U317" s="240"/>
      <c r="V317" s="240"/>
      <c r="W317" s="240"/>
      <c r="BA317"/>
      <c r="BB317"/>
    </row>
    <row r="318" spans="1:54" s="190" customFormat="1" ht="13.5">
      <c r="A318" s="182"/>
      <c r="B318" s="178"/>
      <c r="C318" s="183" t="s">
        <v>718</v>
      </c>
      <c r="D318" s="233" t="s">
        <v>718</v>
      </c>
      <c r="E318" s="239"/>
      <c r="F318" s="234"/>
      <c r="G318" s="235"/>
      <c r="H318" s="235"/>
      <c r="I318" s="235"/>
      <c r="J318" s="235"/>
      <c r="K318" s="235"/>
      <c r="L318" s="235"/>
      <c r="M318" s="235"/>
      <c r="N318" s="235"/>
      <c r="O318" s="235"/>
      <c r="P318" s="235"/>
      <c r="Q318" s="235"/>
      <c r="R318" s="198"/>
      <c r="S318" s="199"/>
      <c r="T318" s="200"/>
      <c r="U318" s="240"/>
      <c r="V318" s="240"/>
      <c r="W318" s="240"/>
      <c r="BA318"/>
      <c r="BB318"/>
    </row>
    <row r="319" spans="1:54" s="190" customFormat="1" ht="13.5">
      <c r="A319" s="182"/>
      <c r="B319" s="178"/>
      <c r="C319" s="183" t="s">
        <v>718</v>
      </c>
      <c r="D319" s="233" t="s">
        <v>718</v>
      </c>
      <c r="E319" s="239"/>
      <c r="F319" s="234"/>
      <c r="G319" s="235"/>
      <c r="H319" s="235"/>
      <c r="I319" s="235"/>
      <c r="J319" s="235"/>
      <c r="K319" s="235"/>
      <c r="L319" s="235"/>
      <c r="M319" s="235"/>
      <c r="N319" s="235"/>
      <c r="O319" s="235"/>
      <c r="P319" s="235"/>
      <c r="Q319" s="235"/>
      <c r="R319" s="198"/>
      <c r="S319" s="199"/>
      <c r="T319" s="200"/>
      <c r="U319" s="240"/>
      <c r="V319" s="240"/>
      <c r="W319" s="240"/>
      <c r="BA319"/>
      <c r="BB319"/>
    </row>
    <row r="320" spans="1:54" s="190" customFormat="1" ht="13.5">
      <c r="A320" s="182"/>
      <c r="B320" s="178"/>
      <c r="C320" s="183" t="s">
        <v>718</v>
      </c>
      <c r="D320" s="233" t="s">
        <v>718</v>
      </c>
      <c r="E320" s="239"/>
      <c r="F320" s="234"/>
      <c r="G320" s="235"/>
      <c r="H320" s="235"/>
      <c r="I320" s="235"/>
      <c r="J320" s="235"/>
      <c r="K320" s="235"/>
      <c r="L320" s="235"/>
      <c r="M320" s="235"/>
      <c r="N320" s="235"/>
      <c r="O320" s="235"/>
      <c r="P320" s="235"/>
      <c r="Q320" s="235"/>
      <c r="R320" s="198"/>
      <c r="S320" s="199"/>
      <c r="T320" s="200"/>
      <c r="U320" s="240"/>
      <c r="V320" s="240"/>
      <c r="W320" s="240"/>
      <c r="BA320"/>
      <c r="BB320"/>
    </row>
    <row r="321" spans="1:54" s="190" customFormat="1" ht="13.5">
      <c r="A321" s="182"/>
      <c r="B321" s="178"/>
      <c r="C321" s="183" t="s">
        <v>718</v>
      </c>
      <c r="D321" s="233" t="s">
        <v>718</v>
      </c>
      <c r="E321" s="239"/>
      <c r="F321" s="234"/>
      <c r="G321" s="235"/>
      <c r="H321" s="235"/>
      <c r="I321" s="235"/>
      <c r="J321" s="235"/>
      <c r="K321" s="235"/>
      <c r="L321" s="235"/>
      <c r="M321" s="235"/>
      <c r="N321" s="235"/>
      <c r="O321" s="235"/>
      <c r="P321" s="235"/>
      <c r="Q321" s="235"/>
      <c r="R321" s="198"/>
      <c r="S321" s="199"/>
      <c r="T321" s="200"/>
      <c r="U321" s="240"/>
      <c r="V321" s="240"/>
      <c r="W321" s="240"/>
      <c r="BA321"/>
      <c r="BB321"/>
    </row>
    <row r="322" spans="1:54" s="190" customFormat="1" ht="13.5">
      <c r="A322" s="182"/>
      <c r="B322" s="178"/>
      <c r="C322" s="183" t="s">
        <v>718</v>
      </c>
      <c r="D322" s="233" t="s">
        <v>718</v>
      </c>
      <c r="E322" s="239"/>
      <c r="F322" s="234"/>
      <c r="G322" s="235"/>
      <c r="H322" s="235"/>
      <c r="I322" s="235"/>
      <c r="J322" s="235"/>
      <c r="K322" s="235"/>
      <c r="L322" s="235"/>
      <c r="M322" s="235"/>
      <c r="N322" s="235"/>
      <c r="O322" s="235"/>
      <c r="P322" s="235"/>
      <c r="Q322" s="235"/>
      <c r="R322" s="198"/>
      <c r="S322" s="199"/>
      <c r="T322" s="200"/>
      <c r="U322" s="240"/>
      <c r="V322" s="240"/>
      <c r="W322" s="240"/>
      <c r="BA322"/>
      <c r="BB322"/>
    </row>
    <row r="323" spans="1:54" s="190" customFormat="1" ht="13.5">
      <c r="A323" s="182"/>
      <c r="B323" s="178"/>
      <c r="C323" s="183" t="s">
        <v>718</v>
      </c>
      <c r="D323" s="233" t="s">
        <v>718</v>
      </c>
      <c r="E323" s="239"/>
      <c r="F323" s="234"/>
      <c r="G323" s="235"/>
      <c r="H323" s="235"/>
      <c r="I323" s="235"/>
      <c r="J323" s="235"/>
      <c r="K323" s="235"/>
      <c r="L323" s="235"/>
      <c r="M323" s="235"/>
      <c r="N323" s="235"/>
      <c r="O323" s="235"/>
      <c r="P323" s="235"/>
      <c r="Q323" s="235"/>
      <c r="R323" s="198"/>
      <c r="S323" s="199"/>
      <c r="T323" s="200"/>
      <c r="U323" s="240"/>
      <c r="V323" s="240"/>
      <c r="W323" s="240"/>
      <c r="BA323"/>
      <c r="BB323"/>
    </row>
    <row r="324" spans="1:54" s="190" customFormat="1" ht="13.5">
      <c r="A324" s="182"/>
      <c r="B324" s="178"/>
      <c r="C324" s="183" t="s">
        <v>718</v>
      </c>
      <c r="D324" s="233" t="s">
        <v>718</v>
      </c>
      <c r="E324" s="239"/>
      <c r="F324" s="234"/>
      <c r="G324" s="235"/>
      <c r="H324" s="235"/>
      <c r="I324" s="235"/>
      <c r="J324" s="235"/>
      <c r="K324" s="235"/>
      <c r="L324" s="235"/>
      <c r="M324" s="235"/>
      <c r="N324" s="235"/>
      <c r="O324" s="235"/>
      <c r="P324" s="235"/>
      <c r="Q324" s="235"/>
      <c r="R324" s="198"/>
      <c r="S324" s="199"/>
      <c r="T324" s="200"/>
      <c r="U324" s="240"/>
      <c r="V324" s="240"/>
      <c r="W324" s="240"/>
      <c r="BA324"/>
      <c r="BB324"/>
    </row>
    <row r="325" spans="1:54" s="190" customFormat="1" ht="13.5">
      <c r="A325" s="182"/>
      <c r="B325" s="178"/>
      <c r="C325" s="183" t="s">
        <v>718</v>
      </c>
      <c r="D325" s="233" t="s">
        <v>718</v>
      </c>
      <c r="E325" s="239"/>
      <c r="F325" s="234"/>
      <c r="G325" s="235"/>
      <c r="H325" s="235"/>
      <c r="I325" s="235"/>
      <c r="J325" s="235"/>
      <c r="K325" s="235"/>
      <c r="L325" s="235"/>
      <c r="M325" s="235"/>
      <c r="N325" s="235"/>
      <c r="O325" s="235"/>
      <c r="P325" s="235"/>
      <c r="Q325" s="235"/>
      <c r="R325" s="198"/>
      <c r="S325" s="199"/>
      <c r="T325" s="200"/>
      <c r="U325" s="240"/>
      <c r="V325" s="240"/>
      <c r="W325" s="240"/>
      <c r="BA325"/>
      <c r="BB325"/>
    </row>
    <row r="326" spans="1:54" s="190" customFormat="1" ht="13.5">
      <c r="A326" s="182"/>
      <c r="B326" s="178"/>
      <c r="C326" s="183" t="s">
        <v>718</v>
      </c>
      <c r="D326" s="233" t="s">
        <v>718</v>
      </c>
      <c r="E326" s="239"/>
      <c r="F326" s="234"/>
      <c r="G326" s="235"/>
      <c r="H326" s="235"/>
      <c r="I326" s="235"/>
      <c r="J326" s="235"/>
      <c r="K326" s="235"/>
      <c r="L326" s="235"/>
      <c r="M326" s="235"/>
      <c r="N326" s="235"/>
      <c r="O326" s="235"/>
      <c r="P326" s="235"/>
      <c r="Q326" s="235"/>
      <c r="R326" s="198"/>
      <c r="S326" s="199"/>
      <c r="T326" s="200"/>
      <c r="U326" s="240"/>
      <c r="V326" s="240"/>
      <c r="W326" s="240"/>
      <c r="BA326"/>
      <c r="BB326"/>
    </row>
    <row r="327" spans="1:54" s="190" customFormat="1" ht="13.5">
      <c r="A327" s="182"/>
      <c r="B327" s="178"/>
      <c r="C327" s="183" t="s">
        <v>718</v>
      </c>
      <c r="D327" s="233" t="s">
        <v>718</v>
      </c>
      <c r="E327" s="239"/>
      <c r="F327" s="234"/>
      <c r="G327" s="235"/>
      <c r="H327" s="235"/>
      <c r="I327" s="235"/>
      <c r="J327" s="235"/>
      <c r="K327" s="235"/>
      <c r="L327" s="235"/>
      <c r="M327" s="235"/>
      <c r="N327" s="235"/>
      <c r="O327" s="235"/>
      <c r="P327" s="235"/>
      <c r="Q327" s="235"/>
      <c r="R327" s="198"/>
      <c r="S327" s="199"/>
      <c r="T327" s="200"/>
      <c r="U327" s="240"/>
      <c r="V327" s="240"/>
      <c r="W327" s="240"/>
      <c r="BA327"/>
      <c r="BB327"/>
    </row>
    <row r="328" spans="1:54" s="190" customFormat="1" ht="13.5">
      <c r="A328" s="182"/>
      <c r="B328" s="178"/>
      <c r="C328" s="183" t="s">
        <v>718</v>
      </c>
      <c r="D328" s="233" t="s">
        <v>718</v>
      </c>
      <c r="E328" s="239"/>
      <c r="F328" s="234"/>
      <c r="G328" s="235"/>
      <c r="H328" s="235"/>
      <c r="I328" s="235"/>
      <c r="J328" s="235"/>
      <c r="K328" s="235"/>
      <c r="L328" s="235"/>
      <c r="M328" s="235"/>
      <c r="N328" s="235"/>
      <c r="O328" s="235"/>
      <c r="P328" s="235"/>
      <c r="Q328" s="235"/>
      <c r="R328" s="198"/>
      <c r="S328" s="199"/>
      <c r="T328" s="200"/>
      <c r="U328" s="240"/>
      <c r="V328" s="240"/>
      <c r="W328" s="240"/>
      <c r="BA328"/>
      <c r="BB328"/>
    </row>
    <row r="329" spans="1:54" s="190" customFormat="1" ht="13.5">
      <c r="A329" s="182"/>
      <c r="B329" s="178"/>
      <c r="C329" s="183" t="s">
        <v>718</v>
      </c>
      <c r="D329" s="233" t="s">
        <v>718</v>
      </c>
      <c r="E329" s="239"/>
      <c r="F329" s="234"/>
      <c r="G329" s="235"/>
      <c r="H329" s="235"/>
      <c r="I329" s="235"/>
      <c r="J329" s="235"/>
      <c r="K329" s="235"/>
      <c r="L329" s="235"/>
      <c r="M329" s="235"/>
      <c r="N329" s="235"/>
      <c r="O329" s="235"/>
      <c r="P329" s="235"/>
      <c r="Q329" s="235"/>
      <c r="R329" s="198"/>
      <c r="S329" s="199"/>
      <c r="T329" s="200"/>
      <c r="U329" s="240"/>
      <c r="V329" s="240"/>
      <c r="W329" s="240"/>
      <c r="BA329"/>
      <c r="BB329"/>
    </row>
    <row r="330" spans="1:54" s="190" customFormat="1" ht="13.5">
      <c r="A330" s="182"/>
      <c r="B330" s="178"/>
      <c r="C330" s="183" t="s">
        <v>718</v>
      </c>
      <c r="D330" s="233" t="s">
        <v>718</v>
      </c>
      <c r="E330" s="239"/>
      <c r="F330" s="234"/>
      <c r="G330" s="235"/>
      <c r="H330" s="235"/>
      <c r="I330" s="235"/>
      <c r="J330" s="235"/>
      <c r="K330" s="235"/>
      <c r="L330" s="235"/>
      <c r="M330" s="235"/>
      <c r="N330" s="235"/>
      <c r="O330" s="235"/>
      <c r="P330" s="235"/>
      <c r="Q330" s="235"/>
      <c r="R330" s="198"/>
      <c r="S330" s="199"/>
      <c r="T330" s="200"/>
      <c r="U330" s="240"/>
      <c r="V330" s="240"/>
      <c r="W330" s="240"/>
      <c r="BA330"/>
      <c r="BB330"/>
    </row>
    <row r="331" spans="1:54" s="190" customFormat="1" ht="13.5">
      <c r="A331" s="182"/>
      <c r="B331" s="178"/>
      <c r="C331" s="183" t="s">
        <v>718</v>
      </c>
      <c r="D331" s="233" t="s">
        <v>718</v>
      </c>
      <c r="E331" s="239"/>
      <c r="F331" s="234"/>
      <c r="G331" s="235"/>
      <c r="H331" s="235"/>
      <c r="I331" s="235"/>
      <c r="J331" s="235"/>
      <c r="K331" s="235"/>
      <c r="L331" s="235"/>
      <c r="M331" s="235"/>
      <c r="N331" s="235"/>
      <c r="O331" s="235"/>
      <c r="P331" s="235"/>
      <c r="Q331" s="235"/>
      <c r="R331" s="198"/>
      <c r="S331" s="199"/>
      <c r="T331" s="200"/>
      <c r="U331" s="240"/>
      <c r="V331" s="240"/>
      <c r="W331" s="240"/>
      <c r="BA331"/>
      <c r="BB331"/>
    </row>
    <row r="332" spans="1:54" s="190" customFormat="1" ht="13.5">
      <c r="A332" s="182"/>
      <c r="B332" s="178"/>
      <c r="C332" s="183" t="s">
        <v>718</v>
      </c>
      <c r="D332" s="233" t="s">
        <v>718</v>
      </c>
      <c r="E332" s="239"/>
      <c r="F332" s="234"/>
      <c r="G332" s="235"/>
      <c r="H332" s="235"/>
      <c r="I332" s="235"/>
      <c r="J332" s="235"/>
      <c r="K332" s="235"/>
      <c r="L332" s="235"/>
      <c r="M332" s="235"/>
      <c r="N332" s="235"/>
      <c r="O332" s="235"/>
      <c r="P332" s="235"/>
      <c r="Q332" s="235"/>
      <c r="R332" s="198"/>
      <c r="S332" s="199"/>
      <c r="T332" s="200"/>
      <c r="U332" s="240"/>
      <c r="V332" s="240"/>
      <c r="W332" s="240"/>
      <c r="BA332"/>
      <c r="BB332"/>
    </row>
    <row r="333" spans="1:54" s="190" customFormat="1" ht="13.5">
      <c r="A333" s="182"/>
      <c r="B333" s="178"/>
      <c r="C333" s="183" t="s">
        <v>718</v>
      </c>
      <c r="D333" s="233" t="s">
        <v>718</v>
      </c>
      <c r="E333" s="239"/>
      <c r="F333" s="234"/>
      <c r="G333" s="235"/>
      <c r="H333" s="235"/>
      <c r="I333" s="235"/>
      <c r="J333" s="235"/>
      <c r="K333" s="235"/>
      <c r="L333" s="235"/>
      <c r="M333" s="235"/>
      <c r="N333" s="235"/>
      <c r="O333" s="235"/>
      <c r="P333" s="235"/>
      <c r="Q333" s="235"/>
      <c r="R333" s="198"/>
      <c r="S333" s="199"/>
      <c r="T333" s="200"/>
      <c r="U333" s="240"/>
      <c r="V333" s="240"/>
      <c r="W333" s="240"/>
      <c r="BA333"/>
      <c r="BB333"/>
    </row>
    <row r="334" spans="1:54" s="190" customFormat="1" ht="13.5">
      <c r="A334" s="182"/>
      <c r="B334" s="178"/>
      <c r="C334" s="183" t="s">
        <v>718</v>
      </c>
      <c r="D334" s="233" t="s">
        <v>718</v>
      </c>
      <c r="E334" s="239"/>
      <c r="F334" s="234"/>
      <c r="G334" s="235"/>
      <c r="H334" s="235"/>
      <c r="I334" s="235"/>
      <c r="J334" s="235"/>
      <c r="K334" s="235"/>
      <c r="L334" s="235"/>
      <c r="M334" s="235"/>
      <c r="N334" s="235"/>
      <c r="O334" s="235"/>
      <c r="P334" s="235"/>
      <c r="Q334" s="235"/>
      <c r="R334" s="198"/>
      <c r="S334" s="199"/>
      <c r="T334" s="200"/>
      <c r="U334" s="240"/>
      <c r="V334" s="240"/>
      <c r="W334" s="240"/>
      <c r="BA334"/>
      <c r="BB334"/>
    </row>
    <row r="335" spans="1:54" s="190" customFormat="1" ht="13.5">
      <c r="A335" s="182"/>
      <c r="B335" s="178"/>
      <c r="C335" s="183" t="s">
        <v>718</v>
      </c>
      <c r="D335" s="233" t="s">
        <v>718</v>
      </c>
      <c r="E335" s="239"/>
      <c r="F335" s="234"/>
      <c r="G335" s="235"/>
      <c r="H335" s="235"/>
      <c r="I335" s="235"/>
      <c r="J335" s="235"/>
      <c r="K335" s="235"/>
      <c r="L335" s="235"/>
      <c r="M335" s="235"/>
      <c r="N335" s="235"/>
      <c r="O335" s="235"/>
      <c r="P335" s="235"/>
      <c r="Q335" s="235"/>
      <c r="R335" s="198"/>
      <c r="S335" s="199"/>
      <c r="T335" s="200"/>
      <c r="U335" s="240"/>
      <c r="V335" s="240"/>
      <c r="W335" s="240"/>
      <c r="BA335"/>
      <c r="BB335"/>
    </row>
    <row r="336" spans="1:54" s="190" customFormat="1" ht="13.5">
      <c r="A336" s="182"/>
      <c r="B336" s="178"/>
      <c r="C336" s="183" t="s">
        <v>718</v>
      </c>
      <c r="D336" s="233" t="s">
        <v>718</v>
      </c>
      <c r="E336" s="239"/>
      <c r="F336" s="234"/>
      <c r="G336" s="235"/>
      <c r="H336" s="235"/>
      <c r="I336" s="235"/>
      <c r="J336" s="235"/>
      <c r="K336" s="235"/>
      <c r="L336" s="235"/>
      <c r="M336" s="235"/>
      <c r="N336" s="235"/>
      <c r="O336" s="235"/>
      <c r="P336" s="235"/>
      <c r="Q336" s="235"/>
      <c r="R336" s="198"/>
      <c r="S336" s="199"/>
      <c r="T336" s="200"/>
      <c r="U336" s="240"/>
      <c r="V336" s="240"/>
      <c r="W336" s="240"/>
      <c r="BA336"/>
      <c r="BB336"/>
    </row>
    <row r="337" spans="1:54" s="190" customFormat="1" ht="13.5">
      <c r="A337" s="182"/>
      <c r="B337" s="178"/>
      <c r="C337" s="183" t="s">
        <v>718</v>
      </c>
      <c r="D337" s="233" t="s">
        <v>718</v>
      </c>
      <c r="E337" s="239"/>
      <c r="F337" s="234"/>
      <c r="G337" s="235"/>
      <c r="H337" s="235"/>
      <c r="I337" s="235"/>
      <c r="J337" s="235"/>
      <c r="K337" s="235"/>
      <c r="L337" s="235"/>
      <c r="M337" s="235"/>
      <c r="N337" s="235"/>
      <c r="O337" s="235"/>
      <c r="P337" s="235"/>
      <c r="Q337" s="235"/>
      <c r="R337" s="198"/>
      <c r="S337" s="199"/>
      <c r="T337" s="200"/>
      <c r="U337" s="240"/>
      <c r="V337" s="240"/>
      <c r="W337" s="240"/>
      <c r="BA337"/>
      <c r="BB337"/>
    </row>
    <row r="338" spans="1:54" s="190" customFormat="1" ht="13.5">
      <c r="A338" s="182"/>
      <c r="B338" s="178"/>
      <c r="C338" s="183" t="s">
        <v>718</v>
      </c>
      <c r="D338" s="233" t="s">
        <v>718</v>
      </c>
      <c r="E338" s="239"/>
      <c r="F338" s="234"/>
      <c r="G338" s="235"/>
      <c r="H338" s="235"/>
      <c r="I338" s="235"/>
      <c r="J338" s="235"/>
      <c r="K338" s="235"/>
      <c r="L338" s="235"/>
      <c r="M338" s="235"/>
      <c r="N338" s="235"/>
      <c r="O338" s="235"/>
      <c r="P338" s="235"/>
      <c r="Q338" s="235"/>
      <c r="R338" s="198"/>
      <c r="S338" s="199"/>
      <c r="T338" s="200"/>
      <c r="U338" s="240"/>
      <c r="V338" s="240"/>
      <c r="W338" s="240"/>
      <c r="BA338"/>
      <c r="BB338"/>
    </row>
    <row r="339" spans="1:54" s="190" customFormat="1" ht="13.5">
      <c r="A339" s="182"/>
      <c r="B339" s="178"/>
      <c r="C339" s="183" t="s">
        <v>718</v>
      </c>
      <c r="D339" s="233" t="s">
        <v>718</v>
      </c>
      <c r="E339" s="239"/>
      <c r="F339" s="234"/>
      <c r="G339" s="235"/>
      <c r="H339" s="235"/>
      <c r="I339" s="235"/>
      <c r="J339" s="235"/>
      <c r="K339" s="235"/>
      <c r="L339" s="235"/>
      <c r="M339" s="235"/>
      <c r="N339" s="235"/>
      <c r="O339" s="235"/>
      <c r="P339" s="235"/>
      <c r="Q339" s="235"/>
      <c r="R339" s="198"/>
      <c r="S339" s="199"/>
      <c r="T339" s="200"/>
      <c r="U339" s="240"/>
      <c r="V339" s="240"/>
      <c r="W339" s="240"/>
      <c r="BA339"/>
      <c r="BB339"/>
    </row>
    <row r="340" spans="1:54" s="190" customFormat="1" ht="13.5">
      <c r="A340" s="182"/>
      <c r="B340" s="178"/>
      <c r="C340" s="183" t="s">
        <v>718</v>
      </c>
      <c r="D340" s="233" t="s">
        <v>718</v>
      </c>
      <c r="E340" s="239"/>
      <c r="F340" s="234"/>
      <c r="G340" s="235"/>
      <c r="H340" s="235"/>
      <c r="I340" s="235"/>
      <c r="J340" s="235"/>
      <c r="K340" s="235"/>
      <c r="L340" s="235"/>
      <c r="M340" s="235"/>
      <c r="N340" s="235"/>
      <c r="O340" s="235"/>
      <c r="P340" s="235"/>
      <c r="Q340" s="235"/>
      <c r="R340" s="198"/>
      <c r="S340" s="199"/>
      <c r="T340" s="200"/>
      <c r="U340" s="240"/>
      <c r="V340" s="240"/>
      <c r="W340" s="240"/>
      <c r="BA340"/>
      <c r="BB340"/>
    </row>
    <row r="341" spans="1:54" s="190" customFormat="1" ht="13.5">
      <c r="A341" s="182"/>
      <c r="B341" s="178"/>
      <c r="C341" s="183" t="s">
        <v>718</v>
      </c>
      <c r="D341" s="233" t="s">
        <v>718</v>
      </c>
      <c r="E341" s="239"/>
      <c r="F341" s="234"/>
      <c r="G341" s="235"/>
      <c r="H341" s="235"/>
      <c r="I341" s="235"/>
      <c r="J341" s="235"/>
      <c r="K341" s="235"/>
      <c r="L341" s="235"/>
      <c r="M341" s="235"/>
      <c r="N341" s="235"/>
      <c r="O341" s="235"/>
      <c r="P341" s="235"/>
      <c r="Q341" s="235"/>
      <c r="R341" s="198"/>
      <c r="S341" s="199"/>
      <c r="T341" s="200"/>
      <c r="U341" s="240"/>
      <c r="V341" s="240"/>
      <c r="W341" s="240"/>
      <c r="BA341"/>
      <c r="BB341"/>
    </row>
    <row r="342" spans="1:54" s="190" customFormat="1" ht="13.5">
      <c r="A342" s="182"/>
      <c r="B342" s="178"/>
      <c r="C342" s="183" t="s">
        <v>718</v>
      </c>
      <c r="D342" s="233" t="s">
        <v>718</v>
      </c>
      <c r="E342" s="239"/>
      <c r="F342" s="234"/>
      <c r="G342" s="235"/>
      <c r="H342" s="235"/>
      <c r="I342" s="235"/>
      <c r="J342" s="235"/>
      <c r="K342" s="235"/>
      <c r="L342" s="235"/>
      <c r="M342" s="235"/>
      <c r="N342" s="235"/>
      <c r="O342" s="235"/>
      <c r="P342" s="235"/>
      <c r="Q342" s="235"/>
      <c r="R342" s="198"/>
      <c r="S342" s="199"/>
      <c r="T342" s="200"/>
      <c r="U342" s="240"/>
      <c r="V342" s="240"/>
      <c r="W342" s="240"/>
      <c r="BA342"/>
      <c r="BB342"/>
    </row>
    <row r="343" spans="1:54" s="190" customFormat="1" ht="13.5">
      <c r="A343" s="182"/>
      <c r="B343" s="178"/>
      <c r="C343" s="183" t="s">
        <v>718</v>
      </c>
      <c r="D343" s="233" t="s">
        <v>718</v>
      </c>
      <c r="E343" s="239"/>
      <c r="F343" s="234"/>
      <c r="G343" s="235"/>
      <c r="H343" s="235"/>
      <c r="I343" s="235"/>
      <c r="J343" s="235"/>
      <c r="K343" s="235"/>
      <c r="L343" s="235"/>
      <c r="M343" s="235"/>
      <c r="N343" s="235"/>
      <c r="O343" s="235"/>
      <c r="P343" s="235"/>
      <c r="Q343" s="235"/>
      <c r="R343" s="198"/>
      <c r="S343" s="199"/>
      <c r="T343" s="200"/>
      <c r="U343" s="240"/>
      <c r="V343" s="240"/>
      <c r="W343" s="240"/>
      <c r="BA343"/>
      <c r="BB343"/>
    </row>
    <row r="344" spans="1:54" s="190" customFormat="1" ht="13.5">
      <c r="A344" s="182"/>
      <c r="B344" s="178"/>
      <c r="C344" s="183" t="s">
        <v>718</v>
      </c>
      <c r="D344" s="233" t="s">
        <v>718</v>
      </c>
      <c r="E344" s="239"/>
      <c r="F344" s="234"/>
      <c r="G344" s="235"/>
      <c r="H344" s="235"/>
      <c r="I344" s="235"/>
      <c r="J344" s="235"/>
      <c r="K344" s="235"/>
      <c r="L344" s="235"/>
      <c r="M344" s="235"/>
      <c r="N344" s="235"/>
      <c r="O344" s="235"/>
      <c r="P344" s="235"/>
      <c r="Q344" s="235"/>
      <c r="R344" s="198"/>
      <c r="S344" s="199"/>
      <c r="T344" s="200"/>
      <c r="U344" s="240"/>
      <c r="V344" s="240"/>
      <c r="W344" s="240"/>
      <c r="BA344"/>
      <c r="BB344"/>
    </row>
    <row r="345" spans="1:54" s="190" customFormat="1" ht="13.5">
      <c r="A345" s="182"/>
      <c r="B345" s="178"/>
      <c r="C345" s="183" t="s">
        <v>718</v>
      </c>
      <c r="D345" s="233" t="s">
        <v>718</v>
      </c>
      <c r="E345" s="239"/>
      <c r="F345" s="234"/>
      <c r="G345" s="235"/>
      <c r="H345" s="235"/>
      <c r="I345" s="235"/>
      <c r="J345" s="235"/>
      <c r="K345" s="235"/>
      <c r="L345" s="235"/>
      <c r="M345" s="235"/>
      <c r="N345" s="235"/>
      <c r="O345" s="235"/>
      <c r="P345" s="235"/>
      <c r="Q345" s="235"/>
      <c r="R345" s="198"/>
      <c r="S345" s="199"/>
      <c r="T345" s="200"/>
      <c r="U345" s="240"/>
      <c r="V345" s="240"/>
      <c r="W345" s="240"/>
      <c r="BA345"/>
      <c r="BB345"/>
    </row>
    <row r="346" spans="1:54" s="190" customFormat="1" ht="13.5">
      <c r="A346" s="182"/>
      <c r="B346" s="178"/>
      <c r="C346" s="183" t="s">
        <v>718</v>
      </c>
      <c r="D346" s="233" t="s">
        <v>718</v>
      </c>
      <c r="E346" s="239"/>
      <c r="F346" s="234"/>
      <c r="G346" s="235"/>
      <c r="H346" s="235"/>
      <c r="I346" s="235"/>
      <c r="J346" s="235"/>
      <c r="K346" s="235"/>
      <c r="L346" s="235"/>
      <c r="M346" s="235"/>
      <c r="N346" s="235"/>
      <c r="O346" s="235"/>
      <c r="P346" s="235"/>
      <c r="Q346" s="235"/>
      <c r="R346" s="198"/>
      <c r="S346" s="199"/>
      <c r="T346" s="200"/>
      <c r="U346" s="240"/>
      <c r="V346" s="240"/>
      <c r="W346" s="240"/>
      <c r="BA346"/>
      <c r="BB346"/>
    </row>
    <row r="347" spans="1:54" s="190" customFormat="1" ht="13.5">
      <c r="A347" s="182"/>
      <c r="B347" s="178"/>
      <c r="C347" s="183" t="s">
        <v>718</v>
      </c>
      <c r="D347" s="233" t="s">
        <v>718</v>
      </c>
      <c r="E347" s="239"/>
      <c r="F347" s="234"/>
      <c r="G347" s="235"/>
      <c r="H347" s="235"/>
      <c r="I347" s="235"/>
      <c r="J347" s="235"/>
      <c r="K347" s="235"/>
      <c r="L347" s="235"/>
      <c r="M347" s="235"/>
      <c r="N347" s="235"/>
      <c r="O347" s="235"/>
      <c r="P347" s="235"/>
      <c r="Q347" s="235"/>
      <c r="R347" s="198"/>
      <c r="S347" s="199"/>
      <c r="T347" s="200"/>
      <c r="U347" s="240"/>
      <c r="V347" s="240"/>
      <c r="W347" s="240"/>
      <c r="BA347"/>
      <c r="BB347"/>
    </row>
    <row r="348" spans="1:54" s="190" customFormat="1" ht="13.5">
      <c r="A348" s="182"/>
      <c r="B348" s="178"/>
      <c r="C348" s="183" t="s">
        <v>718</v>
      </c>
      <c r="D348" s="233" t="s">
        <v>718</v>
      </c>
      <c r="E348" s="239"/>
      <c r="F348" s="234"/>
      <c r="G348" s="235"/>
      <c r="H348" s="235"/>
      <c r="I348" s="235"/>
      <c r="J348" s="235"/>
      <c r="K348" s="235"/>
      <c r="L348" s="235"/>
      <c r="M348" s="235"/>
      <c r="N348" s="235"/>
      <c r="O348" s="235"/>
      <c r="P348" s="235"/>
      <c r="Q348" s="235"/>
      <c r="R348" s="198"/>
      <c r="S348" s="199"/>
      <c r="T348" s="200"/>
      <c r="U348" s="240"/>
      <c r="V348" s="240"/>
      <c r="W348" s="240"/>
      <c r="BA348"/>
      <c r="BB348"/>
    </row>
    <row r="349" spans="1:54" s="190" customFormat="1" ht="13.5">
      <c r="A349" s="182"/>
      <c r="B349" s="178"/>
      <c r="C349" s="183" t="s">
        <v>718</v>
      </c>
      <c r="D349" s="233" t="s">
        <v>718</v>
      </c>
      <c r="E349" s="239"/>
      <c r="F349" s="234"/>
      <c r="G349" s="235"/>
      <c r="H349" s="235"/>
      <c r="I349" s="235"/>
      <c r="J349" s="235"/>
      <c r="K349" s="235"/>
      <c r="L349" s="235"/>
      <c r="M349" s="235"/>
      <c r="N349" s="235"/>
      <c r="O349" s="235"/>
      <c r="P349" s="235"/>
      <c r="Q349" s="235"/>
      <c r="R349" s="198"/>
      <c r="S349" s="199"/>
      <c r="T349" s="200"/>
      <c r="U349" s="240"/>
      <c r="V349" s="240"/>
      <c r="W349" s="240"/>
      <c r="BA349"/>
      <c r="BB349"/>
    </row>
    <row r="350" spans="1:54" s="190" customFormat="1" ht="13.5">
      <c r="A350" s="182"/>
      <c r="B350" s="178"/>
      <c r="C350" s="183" t="s">
        <v>718</v>
      </c>
      <c r="D350" s="233" t="s">
        <v>718</v>
      </c>
      <c r="E350" s="239"/>
      <c r="F350" s="234"/>
      <c r="G350" s="235"/>
      <c r="H350" s="235"/>
      <c r="I350" s="235"/>
      <c r="J350" s="235"/>
      <c r="K350" s="235"/>
      <c r="L350" s="235"/>
      <c r="M350" s="235"/>
      <c r="N350" s="235"/>
      <c r="O350" s="235"/>
      <c r="P350" s="235"/>
      <c r="Q350" s="235"/>
      <c r="R350" s="198"/>
      <c r="S350" s="199"/>
      <c r="T350" s="200"/>
      <c r="U350" s="240"/>
      <c r="V350" s="240"/>
      <c r="W350" s="240"/>
      <c r="BA350"/>
      <c r="BB350"/>
    </row>
    <row r="351" spans="1:54" s="190" customFormat="1" ht="13.5">
      <c r="A351" s="182"/>
      <c r="B351" s="178"/>
      <c r="C351" s="183" t="s">
        <v>718</v>
      </c>
      <c r="D351" s="233" t="s">
        <v>718</v>
      </c>
      <c r="E351" s="239"/>
      <c r="F351" s="234"/>
      <c r="G351" s="235"/>
      <c r="H351" s="235"/>
      <c r="I351" s="235"/>
      <c r="J351" s="235"/>
      <c r="K351" s="235"/>
      <c r="L351" s="235"/>
      <c r="M351" s="235"/>
      <c r="N351" s="235"/>
      <c r="O351" s="235"/>
      <c r="P351" s="235"/>
      <c r="Q351" s="235"/>
      <c r="R351" s="198"/>
      <c r="S351" s="199"/>
      <c r="T351" s="200"/>
      <c r="U351" s="240"/>
      <c r="V351" s="240"/>
      <c r="W351" s="240"/>
      <c r="BA351"/>
      <c r="BB351"/>
    </row>
    <row r="352" spans="1:54" s="190" customFormat="1" ht="13.5">
      <c r="A352" s="182"/>
      <c r="B352" s="178"/>
      <c r="C352" s="183" t="s">
        <v>718</v>
      </c>
      <c r="D352" s="233" t="s">
        <v>718</v>
      </c>
      <c r="E352" s="239"/>
      <c r="F352" s="234"/>
      <c r="G352" s="235"/>
      <c r="H352" s="235"/>
      <c r="I352" s="235"/>
      <c r="J352" s="235"/>
      <c r="K352" s="235"/>
      <c r="L352" s="235"/>
      <c r="M352" s="235"/>
      <c r="N352" s="235"/>
      <c r="O352" s="235"/>
      <c r="P352" s="235"/>
      <c r="Q352" s="235"/>
      <c r="R352" s="198"/>
      <c r="S352" s="199"/>
      <c r="T352" s="200"/>
      <c r="U352" s="240"/>
      <c r="V352" s="240"/>
      <c r="W352" s="240"/>
      <c r="BA352"/>
      <c r="BB352"/>
    </row>
    <row r="353" spans="1:54" s="190" customFormat="1" ht="13.5">
      <c r="A353" s="182"/>
      <c r="B353" s="178"/>
      <c r="C353" s="183" t="s">
        <v>718</v>
      </c>
      <c r="D353" s="233" t="s">
        <v>718</v>
      </c>
      <c r="E353" s="239"/>
      <c r="F353" s="234"/>
      <c r="G353" s="235"/>
      <c r="H353" s="235"/>
      <c r="I353" s="235"/>
      <c r="J353" s="235"/>
      <c r="K353" s="235"/>
      <c r="L353" s="235"/>
      <c r="M353" s="235"/>
      <c r="N353" s="235"/>
      <c r="O353" s="235"/>
      <c r="P353" s="235"/>
      <c r="Q353" s="235"/>
      <c r="R353" s="198"/>
      <c r="S353" s="199"/>
      <c r="T353" s="200"/>
      <c r="U353" s="240"/>
      <c r="V353" s="240"/>
      <c r="W353" s="240"/>
      <c r="BA353"/>
      <c r="BB353"/>
    </row>
    <row r="354" spans="1:54" s="190" customFormat="1" ht="13.5">
      <c r="A354" s="182"/>
      <c r="B354" s="178"/>
      <c r="C354" s="183" t="s">
        <v>718</v>
      </c>
      <c r="D354" s="233" t="s">
        <v>718</v>
      </c>
      <c r="E354" s="239"/>
      <c r="F354" s="234"/>
      <c r="G354" s="235"/>
      <c r="H354" s="235"/>
      <c r="I354" s="235"/>
      <c r="J354" s="235"/>
      <c r="K354" s="235"/>
      <c r="L354" s="235"/>
      <c r="M354" s="235"/>
      <c r="N354" s="235"/>
      <c r="O354" s="235"/>
      <c r="P354" s="235"/>
      <c r="Q354" s="235"/>
      <c r="R354" s="198"/>
      <c r="S354" s="199"/>
      <c r="T354" s="200"/>
      <c r="U354" s="240"/>
      <c r="V354" s="240"/>
      <c r="W354" s="240"/>
      <c r="BA354"/>
      <c r="BB354"/>
    </row>
    <row r="355" spans="1:54" s="190" customFormat="1" ht="13.5">
      <c r="A355" s="182"/>
      <c r="B355" s="178"/>
      <c r="C355" s="183" t="s">
        <v>718</v>
      </c>
      <c r="D355" s="233" t="s">
        <v>718</v>
      </c>
      <c r="E355" s="239"/>
      <c r="F355" s="234"/>
      <c r="G355" s="235"/>
      <c r="H355" s="235"/>
      <c r="I355" s="235"/>
      <c r="J355" s="235"/>
      <c r="K355" s="235"/>
      <c r="L355" s="235"/>
      <c r="M355" s="235"/>
      <c r="N355" s="235"/>
      <c r="O355" s="235"/>
      <c r="P355" s="235"/>
      <c r="Q355" s="235"/>
      <c r="R355" s="198"/>
      <c r="S355" s="199"/>
      <c r="T355" s="200"/>
      <c r="U355" s="240"/>
      <c r="V355" s="240"/>
      <c r="W355" s="240"/>
      <c r="BA355"/>
      <c r="BB355"/>
    </row>
    <row r="356" spans="1:54" s="190" customFormat="1" ht="13.5">
      <c r="A356" s="182"/>
      <c r="B356" s="178"/>
      <c r="C356" s="183" t="s">
        <v>718</v>
      </c>
      <c r="D356" s="233" t="s">
        <v>718</v>
      </c>
      <c r="E356" s="239"/>
      <c r="F356" s="234"/>
      <c r="G356" s="235"/>
      <c r="H356" s="235"/>
      <c r="I356" s="235"/>
      <c r="J356" s="235"/>
      <c r="K356" s="235"/>
      <c r="L356" s="235"/>
      <c r="M356" s="235"/>
      <c r="N356" s="235"/>
      <c r="O356" s="235"/>
      <c r="P356" s="235"/>
      <c r="Q356" s="235"/>
      <c r="R356" s="198"/>
      <c r="S356" s="199"/>
      <c r="T356" s="200"/>
      <c r="U356" s="240"/>
      <c r="V356" s="240"/>
      <c r="W356" s="240"/>
      <c r="BA356"/>
      <c r="BB356"/>
    </row>
    <row r="357" spans="1:54" s="190" customFormat="1" ht="13.5">
      <c r="A357" s="182"/>
      <c r="B357" s="178"/>
      <c r="C357" s="183" t="s">
        <v>718</v>
      </c>
      <c r="D357" s="233" t="s">
        <v>718</v>
      </c>
      <c r="E357" s="239"/>
      <c r="F357" s="234"/>
      <c r="G357" s="235"/>
      <c r="H357" s="235"/>
      <c r="I357" s="235"/>
      <c r="J357" s="235"/>
      <c r="K357" s="235"/>
      <c r="L357" s="235"/>
      <c r="M357" s="235"/>
      <c r="N357" s="235"/>
      <c r="O357" s="235"/>
      <c r="P357" s="235"/>
      <c r="Q357" s="235"/>
      <c r="R357" s="198"/>
      <c r="S357" s="199"/>
      <c r="T357" s="200"/>
      <c r="U357" s="240"/>
      <c r="V357" s="240"/>
      <c r="W357" s="240"/>
      <c r="BA357"/>
      <c r="BB357"/>
    </row>
    <row r="358" spans="1:54" s="190" customFormat="1" ht="13.5">
      <c r="A358" s="182"/>
      <c r="B358" s="178"/>
      <c r="C358" s="183" t="s">
        <v>718</v>
      </c>
      <c r="D358" s="233" t="s">
        <v>718</v>
      </c>
      <c r="E358" s="239"/>
      <c r="F358" s="234"/>
      <c r="G358" s="235"/>
      <c r="H358" s="235"/>
      <c r="I358" s="235"/>
      <c r="J358" s="235"/>
      <c r="K358" s="235"/>
      <c r="L358" s="235"/>
      <c r="M358" s="235"/>
      <c r="N358" s="235"/>
      <c r="O358" s="235"/>
      <c r="P358" s="235"/>
      <c r="Q358" s="235"/>
      <c r="R358" s="198"/>
      <c r="S358" s="199"/>
      <c r="T358" s="200"/>
      <c r="U358" s="240"/>
      <c r="V358" s="240"/>
      <c r="W358" s="240"/>
      <c r="BA358"/>
      <c r="BB358"/>
    </row>
    <row r="359" spans="1:54" s="190" customFormat="1" ht="13.5">
      <c r="A359" s="182"/>
      <c r="B359" s="178"/>
      <c r="C359" s="183" t="s">
        <v>718</v>
      </c>
      <c r="D359" s="233" t="s">
        <v>718</v>
      </c>
      <c r="E359" s="239"/>
      <c r="F359" s="234"/>
      <c r="G359" s="235"/>
      <c r="H359" s="235"/>
      <c r="I359" s="235"/>
      <c r="J359" s="235"/>
      <c r="K359" s="235"/>
      <c r="L359" s="235"/>
      <c r="M359" s="235"/>
      <c r="N359" s="235"/>
      <c r="O359" s="235"/>
      <c r="P359" s="235"/>
      <c r="Q359" s="235"/>
      <c r="R359" s="198"/>
      <c r="S359" s="199"/>
      <c r="T359" s="200"/>
      <c r="U359" s="240"/>
      <c r="V359" s="240"/>
      <c r="W359" s="240"/>
      <c r="BA359"/>
      <c r="BB359"/>
    </row>
    <row r="360" spans="1:54" s="190" customFormat="1" ht="13.5">
      <c r="A360" s="182"/>
      <c r="B360" s="178"/>
      <c r="C360" s="183" t="s">
        <v>718</v>
      </c>
      <c r="D360" s="233" t="s">
        <v>718</v>
      </c>
      <c r="E360" s="239"/>
      <c r="F360" s="234"/>
      <c r="G360" s="235"/>
      <c r="H360" s="235"/>
      <c r="I360" s="235"/>
      <c r="J360" s="235"/>
      <c r="K360" s="235"/>
      <c r="L360" s="235"/>
      <c r="M360" s="235"/>
      <c r="N360" s="235"/>
      <c r="O360" s="235"/>
      <c r="P360" s="235"/>
      <c r="Q360" s="235"/>
      <c r="R360" s="198"/>
      <c r="S360" s="199"/>
      <c r="T360" s="200"/>
      <c r="U360" s="240"/>
      <c r="V360" s="240"/>
      <c r="W360" s="240"/>
      <c r="BA360"/>
      <c r="BB360"/>
    </row>
    <row r="361" spans="1:54" s="190" customFormat="1" ht="13.5">
      <c r="A361" s="182"/>
      <c r="B361" s="178"/>
      <c r="C361" s="183" t="s">
        <v>718</v>
      </c>
      <c r="D361" s="233" t="s">
        <v>718</v>
      </c>
      <c r="E361" s="239"/>
      <c r="F361" s="234"/>
      <c r="G361" s="235"/>
      <c r="H361" s="235"/>
      <c r="I361" s="235"/>
      <c r="J361" s="235"/>
      <c r="K361" s="235"/>
      <c r="L361" s="235"/>
      <c r="M361" s="235"/>
      <c r="N361" s="235"/>
      <c r="O361" s="235"/>
      <c r="P361" s="235"/>
      <c r="Q361" s="235"/>
      <c r="R361" s="198"/>
      <c r="S361" s="199"/>
      <c r="T361" s="200"/>
      <c r="U361" s="240"/>
      <c r="V361" s="240"/>
      <c r="W361" s="240"/>
      <c r="BA361"/>
      <c r="BB361"/>
    </row>
    <row r="362" spans="1:54" s="190" customFormat="1" ht="13.5">
      <c r="A362" s="182"/>
      <c r="B362" s="178"/>
      <c r="C362" s="183" t="s">
        <v>718</v>
      </c>
      <c r="D362" s="233" t="s">
        <v>718</v>
      </c>
      <c r="E362" s="239"/>
      <c r="F362" s="234"/>
      <c r="G362" s="235"/>
      <c r="H362" s="235"/>
      <c r="I362" s="235"/>
      <c r="J362" s="235"/>
      <c r="K362" s="235"/>
      <c r="L362" s="235"/>
      <c r="M362" s="235"/>
      <c r="N362" s="235"/>
      <c r="O362" s="235"/>
      <c r="P362" s="235"/>
      <c r="Q362" s="235"/>
      <c r="R362" s="198"/>
      <c r="S362" s="199"/>
      <c r="T362" s="200"/>
      <c r="U362" s="240"/>
      <c r="V362" s="240"/>
      <c r="W362" s="240"/>
      <c r="BA362"/>
      <c r="BB362"/>
    </row>
    <row r="363" spans="1:54" s="190" customFormat="1" ht="13.5">
      <c r="A363" s="182"/>
      <c r="B363" s="178"/>
      <c r="C363" s="183" t="s">
        <v>718</v>
      </c>
      <c r="D363" s="233" t="s">
        <v>718</v>
      </c>
      <c r="E363" s="239"/>
      <c r="F363" s="234"/>
      <c r="G363" s="235"/>
      <c r="H363" s="235"/>
      <c r="I363" s="235"/>
      <c r="J363" s="235"/>
      <c r="K363" s="235"/>
      <c r="L363" s="235"/>
      <c r="M363" s="235"/>
      <c r="N363" s="235"/>
      <c r="O363" s="235"/>
      <c r="P363" s="235"/>
      <c r="Q363" s="235"/>
      <c r="R363" s="198"/>
      <c r="S363" s="199"/>
      <c r="T363" s="200"/>
      <c r="U363" s="240"/>
      <c r="V363" s="240"/>
      <c r="W363" s="240"/>
      <c r="BA363"/>
      <c r="BB363"/>
    </row>
    <row r="364" spans="1:54" s="190" customFormat="1" ht="13.5">
      <c r="A364" s="182"/>
      <c r="B364" s="178"/>
      <c r="C364" s="183" t="s">
        <v>718</v>
      </c>
      <c r="D364" s="233" t="s">
        <v>718</v>
      </c>
      <c r="E364" s="239"/>
      <c r="F364" s="234"/>
      <c r="G364" s="235"/>
      <c r="H364" s="235"/>
      <c r="I364" s="235"/>
      <c r="J364" s="235"/>
      <c r="K364" s="235"/>
      <c r="L364" s="235"/>
      <c r="M364" s="235"/>
      <c r="N364" s="235"/>
      <c r="O364" s="235"/>
      <c r="P364" s="235"/>
      <c r="Q364" s="235"/>
      <c r="R364" s="198"/>
      <c r="S364" s="199"/>
      <c r="T364" s="200"/>
      <c r="U364" s="240"/>
      <c r="V364" s="240"/>
      <c r="W364" s="240"/>
      <c r="BA364"/>
      <c r="BB364"/>
    </row>
    <row r="365" spans="1:54" s="190" customFormat="1" ht="13.5">
      <c r="A365" s="182"/>
      <c r="B365" s="178"/>
      <c r="C365" s="183" t="s">
        <v>718</v>
      </c>
      <c r="D365" s="233" t="s">
        <v>718</v>
      </c>
      <c r="E365" s="239"/>
      <c r="F365" s="234"/>
      <c r="G365" s="235"/>
      <c r="H365" s="235"/>
      <c r="I365" s="235"/>
      <c r="J365" s="235"/>
      <c r="K365" s="235"/>
      <c r="L365" s="235"/>
      <c r="M365" s="235"/>
      <c r="N365" s="235"/>
      <c r="O365" s="235"/>
      <c r="P365" s="235"/>
      <c r="Q365" s="235"/>
      <c r="R365" s="198"/>
      <c r="S365" s="199"/>
      <c r="T365" s="200"/>
      <c r="U365" s="240"/>
      <c r="V365" s="240"/>
      <c r="W365" s="240"/>
      <c r="BA365"/>
      <c r="BB365"/>
    </row>
    <row r="366" spans="1:54" s="190" customFormat="1" ht="13.5">
      <c r="A366" s="182"/>
      <c r="B366" s="178"/>
      <c r="C366" s="183" t="s">
        <v>718</v>
      </c>
      <c r="D366" s="233" t="s">
        <v>718</v>
      </c>
      <c r="E366" s="239"/>
      <c r="F366" s="234"/>
      <c r="G366" s="235"/>
      <c r="H366" s="235"/>
      <c r="I366" s="235"/>
      <c r="J366" s="235"/>
      <c r="K366" s="235"/>
      <c r="L366" s="235"/>
      <c r="M366" s="235"/>
      <c r="N366" s="235"/>
      <c r="O366" s="235"/>
      <c r="P366" s="235"/>
      <c r="Q366" s="235"/>
      <c r="R366" s="198"/>
      <c r="S366" s="199"/>
      <c r="T366" s="200"/>
      <c r="U366" s="240"/>
      <c r="V366" s="240"/>
      <c r="W366" s="240"/>
      <c r="BA366"/>
      <c r="BB366"/>
    </row>
    <row r="367" spans="1:54" s="190" customFormat="1" ht="13.5">
      <c r="A367" s="182"/>
      <c r="B367" s="178"/>
      <c r="C367" s="183" t="s">
        <v>718</v>
      </c>
      <c r="D367" s="233" t="s">
        <v>718</v>
      </c>
      <c r="E367" s="239"/>
      <c r="F367" s="234"/>
      <c r="G367" s="235"/>
      <c r="H367" s="235"/>
      <c r="I367" s="235"/>
      <c r="J367" s="235"/>
      <c r="K367" s="235"/>
      <c r="L367" s="235"/>
      <c r="M367" s="235"/>
      <c r="N367" s="235"/>
      <c r="O367" s="235"/>
      <c r="P367" s="235"/>
      <c r="Q367" s="235"/>
      <c r="R367" s="198"/>
      <c r="S367" s="199"/>
      <c r="T367" s="200"/>
      <c r="U367" s="240"/>
      <c r="V367" s="240"/>
      <c r="W367" s="240"/>
      <c r="BA367"/>
      <c r="BB367"/>
    </row>
    <row r="368" spans="1:54" s="190" customFormat="1" ht="13.5">
      <c r="A368" s="182"/>
      <c r="B368" s="178"/>
      <c r="C368" s="183" t="s">
        <v>718</v>
      </c>
      <c r="D368" s="233" t="s">
        <v>718</v>
      </c>
      <c r="E368" s="239"/>
      <c r="F368" s="234"/>
      <c r="G368" s="235"/>
      <c r="H368" s="235"/>
      <c r="I368" s="235"/>
      <c r="J368" s="235"/>
      <c r="K368" s="235"/>
      <c r="L368" s="235"/>
      <c r="M368" s="235"/>
      <c r="N368" s="235"/>
      <c r="O368" s="235"/>
      <c r="P368" s="235"/>
      <c r="Q368" s="235"/>
      <c r="R368" s="198"/>
      <c r="S368" s="199"/>
      <c r="T368" s="200"/>
      <c r="U368" s="240"/>
      <c r="V368" s="240"/>
      <c r="W368" s="240"/>
      <c r="BA368"/>
      <c r="BB368"/>
    </row>
    <row r="369" spans="1:54" s="190" customFormat="1" ht="13.5">
      <c r="A369" s="182"/>
      <c r="B369" s="178"/>
      <c r="C369" s="183" t="s">
        <v>718</v>
      </c>
      <c r="D369" s="233" t="s">
        <v>718</v>
      </c>
      <c r="E369" s="239"/>
      <c r="F369" s="234"/>
      <c r="G369" s="235"/>
      <c r="H369" s="235"/>
      <c r="I369" s="235"/>
      <c r="J369" s="235"/>
      <c r="K369" s="235"/>
      <c r="L369" s="235"/>
      <c r="M369" s="235"/>
      <c r="N369" s="235"/>
      <c r="O369" s="235"/>
      <c r="P369" s="235"/>
      <c r="Q369" s="235"/>
      <c r="R369" s="198"/>
      <c r="S369" s="199"/>
      <c r="T369" s="200"/>
      <c r="U369" s="240"/>
      <c r="V369" s="240"/>
      <c r="W369" s="240"/>
      <c r="BA369"/>
      <c r="BB369"/>
    </row>
    <row r="370" spans="1:54" s="190" customFormat="1" ht="13.5">
      <c r="A370" s="182"/>
      <c r="B370" s="178"/>
      <c r="C370" s="183" t="s">
        <v>718</v>
      </c>
      <c r="D370" s="233" t="s">
        <v>718</v>
      </c>
      <c r="E370" s="239"/>
      <c r="F370" s="234"/>
      <c r="G370" s="235"/>
      <c r="H370" s="235"/>
      <c r="I370" s="235"/>
      <c r="J370" s="235"/>
      <c r="K370" s="235"/>
      <c r="L370" s="235"/>
      <c r="M370" s="235"/>
      <c r="N370" s="235"/>
      <c r="O370" s="235"/>
      <c r="P370" s="235"/>
      <c r="Q370" s="235"/>
      <c r="R370" s="198"/>
      <c r="S370" s="199"/>
      <c r="T370" s="200"/>
      <c r="U370" s="240"/>
      <c r="V370" s="240"/>
      <c r="W370" s="240"/>
      <c r="BA370"/>
      <c r="BB370"/>
    </row>
    <row r="371" spans="1:54" s="190" customFormat="1" ht="13.5">
      <c r="A371" s="182"/>
      <c r="B371" s="178"/>
      <c r="C371" s="183" t="s">
        <v>718</v>
      </c>
      <c r="D371" s="233" t="s">
        <v>718</v>
      </c>
      <c r="E371" s="239"/>
      <c r="F371" s="234"/>
      <c r="G371" s="235"/>
      <c r="H371" s="235"/>
      <c r="I371" s="235"/>
      <c r="J371" s="235"/>
      <c r="K371" s="235"/>
      <c r="L371" s="235"/>
      <c r="M371" s="235"/>
      <c r="N371" s="235"/>
      <c r="O371" s="235"/>
      <c r="P371" s="235"/>
      <c r="Q371" s="235"/>
      <c r="R371" s="198"/>
      <c r="S371" s="199"/>
      <c r="T371" s="200"/>
      <c r="U371" s="240"/>
      <c r="V371" s="240"/>
      <c r="W371" s="240"/>
      <c r="BA371"/>
      <c r="BB371"/>
    </row>
    <row r="372" spans="1:54" s="190" customFormat="1" ht="13.5">
      <c r="A372" s="182"/>
      <c r="B372" s="178"/>
      <c r="C372" s="183" t="s">
        <v>718</v>
      </c>
      <c r="D372" s="233" t="s">
        <v>718</v>
      </c>
      <c r="E372" s="239"/>
      <c r="F372" s="234"/>
      <c r="G372" s="235"/>
      <c r="H372" s="235"/>
      <c r="I372" s="235"/>
      <c r="J372" s="235"/>
      <c r="K372" s="235"/>
      <c r="L372" s="235"/>
      <c r="M372" s="235"/>
      <c r="N372" s="235"/>
      <c r="O372" s="235"/>
      <c r="P372" s="235"/>
      <c r="Q372" s="235"/>
      <c r="R372" s="198"/>
      <c r="S372" s="199"/>
      <c r="T372" s="200"/>
      <c r="U372" s="240"/>
      <c r="V372" s="240"/>
      <c r="W372" s="240"/>
      <c r="BA372"/>
      <c r="BB372"/>
    </row>
    <row r="373" spans="1:54" s="190" customFormat="1" ht="13.5">
      <c r="A373" s="182"/>
      <c r="B373" s="178"/>
      <c r="C373" s="183" t="s">
        <v>718</v>
      </c>
      <c r="D373" s="233" t="s">
        <v>718</v>
      </c>
      <c r="E373" s="239"/>
      <c r="F373" s="234"/>
      <c r="G373" s="235"/>
      <c r="H373" s="235"/>
      <c r="I373" s="235"/>
      <c r="J373" s="235"/>
      <c r="K373" s="235"/>
      <c r="L373" s="235"/>
      <c r="M373" s="235"/>
      <c r="N373" s="235"/>
      <c r="O373" s="235"/>
      <c r="P373" s="235"/>
      <c r="Q373" s="235"/>
      <c r="R373" s="198"/>
      <c r="S373" s="199"/>
      <c r="T373" s="200"/>
      <c r="U373" s="240"/>
      <c r="V373" s="240"/>
      <c r="W373" s="240"/>
      <c r="BA373"/>
      <c r="BB373"/>
    </row>
    <row r="374" spans="1:54" s="190" customFormat="1" ht="13.5">
      <c r="A374" s="182"/>
      <c r="B374" s="178"/>
      <c r="C374" s="183" t="s">
        <v>718</v>
      </c>
      <c r="D374" s="233" t="s">
        <v>718</v>
      </c>
      <c r="E374" s="239"/>
      <c r="F374" s="234"/>
      <c r="G374" s="235"/>
      <c r="H374" s="235"/>
      <c r="I374" s="235"/>
      <c r="J374" s="235"/>
      <c r="K374" s="235"/>
      <c r="L374" s="235"/>
      <c r="M374" s="235"/>
      <c r="N374" s="235"/>
      <c r="O374" s="235"/>
      <c r="P374" s="235"/>
      <c r="Q374" s="235"/>
      <c r="R374" s="198"/>
      <c r="S374" s="199"/>
      <c r="T374" s="200"/>
      <c r="U374" s="240"/>
      <c r="V374" s="240"/>
      <c r="W374" s="240"/>
      <c r="BA374"/>
      <c r="BB374"/>
    </row>
    <row r="375" spans="1:54" s="190" customFormat="1" ht="13.5">
      <c r="A375" s="182"/>
      <c r="B375" s="178"/>
      <c r="C375" s="183" t="s">
        <v>718</v>
      </c>
      <c r="D375" s="233" t="s">
        <v>718</v>
      </c>
      <c r="E375" s="239"/>
      <c r="F375" s="234"/>
      <c r="G375" s="235"/>
      <c r="H375" s="235"/>
      <c r="I375" s="235"/>
      <c r="J375" s="235"/>
      <c r="K375" s="235"/>
      <c r="L375" s="235"/>
      <c r="M375" s="235"/>
      <c r="N375" s="235"/>
      <c r="O375" s="235"/>
      <c r="P375" s="235"/>
      <c r="Q375" s="235"/>
      <c r="R375" s="198"/>
      <c r="S375" s="199"/>
      <c r="T375" s="200"/>
      <c r="U375" s="240"/>
      <c r="V375" s="240"/>
      <c r="W375" s="240"/>
      <c r="BA375"/>
      <c r="BB375"/>
    </row>
    <row r="376" spans="1:54" s="190" customFormat="1" ht="13.5">
      <c r="A376" s="182"/>
      <c r="B376" s="178"/>
      <c r="C376" s="183" t="s">
        <v>718</v>
      </c>
      <c r="D376" s="233" t="s">
        <v>718</v>
      </c>
      <c r="E376" s="239"/>
      <c r="F376" s="234"/>
      <c r="G376" s="235"/>
      <c r="H376" s="235"/>
      <c r="I376" s="235"/>
      <c r="J376" s="235"/>
      <c r="K376" s="235"/>
      <c r="L376" s="235"/>
      <c r="M376" s="235"/>
      <c r="N376" s="235"/>
      <c r="O376" s="235"/>
      <c r="P376" s="235"/>
      <c r="Q376" s="235"/>
      <c r="R376" s="198"/>
      <c r="S376" s="199"/>
      <c r="T376" s="200"/>
      <c r="U376" s="240"/>
      <c r="V376" s="240"/>
      <c r="W376" s="240"/>
      <c r="BA376"/>
      <c r="BB376"/>
    </row>
    <row r="377" spans="1:54" s="190" customFormat="1" ht="13.5">
      <c r="A377" s="182"/>
      <c r="B377" s="178"/>
      <c r="C377" s="183" t="s">
        <v>718</v>
      </c>
      <c r="D377" s="233" t="s">
        <v>718</v>
      </c>
      <c r="E377" s="239"/>
      <c r="F377" s="234"/>
      <c r="G377" s="235"/>
      <c r="H377" s="235"/>
      <c r="I377" s="235"/>
      <c r="J377" s="235"/>
      <c r="K377" s="235"/>
      <c r="L377" s="235"/>
      <c r="M377" s="235"/>
      <c r="N377" s="235"/>
      <c r="O377" s="235"/>
      <c r="P377" s="235"/>
      <c r="Q377" s="235"/>
      <c r="R377" s="198"/>
      <c r="S377" s="199"/>
      <c r="T377" s="200"/>
      <c r="U377" s="240"/>
      <c r="V377" s="240"/>
      <c r="W377" s="240"/>
      <c r="BA377"/>
      <c r="BB377"/>
    </row>
    <row r="378" spans="1:54" s="190" customFormat="1" ht="13.5">
      <c r="A378" s="182"/>
      <c r="B378" s="178"/>
      <c r="C378" s="183" t="s">
        <v>718</v>
      </c>
      <c r="D378" s="233" t="s">
        <v>718</v>
      </c>
      <c r="E378" s="239"/>
      <c r="F378" s="234"/>
      <c r="G378" s="235"/>
      <c r="H378" s="235"/>
      <c r="I378" s="235"/>
      <c r="J378" s="235"/>
      <c r="K378" s="235"/>
      <c r="L378" s="235"/>
      <c r="M378" s="235"/>
      <c r="N378" s="235"/>
      <c r="O378" s="235"/>
      <c r="P378" s="235"/>
      <c r="Q378" s="235"/>
      <c r="R378" s="198"/>
      <c r="S378" s="199"/>
      <c r="T378" s="200"/>
      <c r="U378" s="240"/>
      <c r="V378" s="240"/>
      <c r="W378" s="240"/>
      <c r="BA378"/>
      <c r="BB378"/>
    </row>
    <row r="379" spans="1:54" s="190" customFormat="1" ht="13.5">
      <c r="A379" s="182"/>
      <c r="B379" s="178"/>
      <c r="C379" s="183" t="s">
        <v>718</v>
      </c>
      <c r="D379" s="233" t="s">
        <v>718</v>
      </c>
      <c r="E379" s="239"/>
      <c r="F379" s="234"/>
      <c r="G379" s="235"/>
      <c r="H379" s="235"/>
      <c r="I379" s="235"/>
      <c r="J379" s="235"/>
      <c r="K379" s="235"/>
      <c r="L379" s="235"/>
      <c r="M379" s="235"/>
      <c r="N379" s="235"/>
      <c r="O379" s="235"/>
      <c r="P379" s="235"/>
      <c r="Q379" s="235"/>
      <c r="R379" s="198"/>
      <c r="S379" s="199"/>
      <c r="T379" s="200"/>
      <c r="U379" s="240"/>
      <c r="V379" s="240"/>
      <c r="W379" s="240"/>
      <c r="BA379"/>
      <c r="BB379"/>
    </row>
    <row r="380" spans="1:54" s="190" customFormat="1" ht="13.5">
      <c r="A380" s="182"/>
      <c r="B380" s="178"/>
      <c r="C380" s="183" t="s">
        <v>718</v>
      </c>
      <c r="D380" s="233" t="s">
        <v>718</v>
      </c>
      <c r="E380" s="239"/>
      <c r="F380" s="234"/>
      <c r="G380" s="235"/>
      <c r="H380" s="235"/>
      <c r="I380" s="235"/>
      <c r="J380" s="235"/>
      <c r="K380" s="235"/>
      <c r="L380" s="235"/>
      <c r="M380" s="235"/>
      <c r="N380" s="235"/>
      <c r="O380" s="235"/>
      <c r="P380" s="235"/>
      <c r="Q380" s="235"/>
      <c r="R380" s="198"/>
      <c r="S380" s="199"/>
      <c r="T380" s="200"/>
      <c r="U380" s="240"/>
      <c r="V380" s="240"/>
      <c r="W380" s="240"/>
      <c r="BA380"/>
      <c r="BB380"/>
    </row>
    <row r="381" spans="1:54" s="190" customFormat="1" ht="13.5">
      <c r="A381" s="182"/>
      <c r="B381" s="178"/>
      <c r="C381" s="183" t="s">
        <v>718</v>
      </c>
      <c r="D381" s="233" t="s">
        <v>718</v>
      </c>
      <c r="E381" s="239"/>
      <c r="F381" s="234"/>
      <c r="G381" s="235"/>
      <c r="H381" s="235"/>
      <c r="I381" s="235"/>
      <c r="J381" s="235"/>
      <c r="K381" s="235"/>
      <c r="L381" s="235"/>
      <c r="M381" s="235"/>
      <c r="N381" s="235"/>
      <c r="O381" s="235"/>
      <c r="P381" s="235"/>
      <c r="Q381" s="235"/>
      <c r="R381" s="198"/>
      <c r="S381" s="199"/>
      <c r="T381" s="200"/>
      <c r="U381" s="240"/>
      <c r="V381" s="240"/>
      <c r="W381" s="240"/>
      <c r="BA381"/>
      <c r="BB381"/>
    </row>
    <row r="382" spans="1:54" s="190" customFormat="1" ht="13.5">
      <c r="A382" s="182"/>
      <c r="B382" s="178"/>
      <c r="C382" s="183" t="s">
        <v>718</v>
      </c>
      <c r="D382" s="233" t="s">
        <v>718</v>
      </c>
      <c r="E382" s="239"/>
      <c r="F382" s="234"/>
      <c r="G382" s="235"/>
      <c r="H382" s="235"/>
      <c r="I382" s="235"/>
      <c r="J382" s="235"/>
      <c r="K382" s="235"/>
      <c r="L382" s="235"/>
      <c r="M382" s="235"/>
      <c r="N382" s="235"/>
      <c r="O382" s="235"/>
      <c r="P382" s="235"/>
      <c r="Q382" s="235"/>
      <c r="R382" s="198"/>
      <c r="S382" s="199"/>
      <c r="T382" s="200"/>
      <c r="U382" s="240"/>
      <c r="V382" s="240"/>
      <c r="W382" s="240"/>
      <c r="BA382"/>
      <c r="BB382"/>
    </row>
    <row r="383" spans="1:54" s="190" customFormat="1" ht="13.5">
      <c r="A383" s="182"/>
      <c r="B383" s="178"/>
      <c r="C383" s="183" t="s">
        <v>718</v>
      </c>
      <c r="D383" s="233" t="s">
        <v>718</v>
      </c>
      <c r="E383" s="239"/>
      <c r="F383" s="234"/>
      <c r="G383" s="235"/>
      <c r="H383" s="235"/>
      <c r="I383" s="235"/>
      <c r="J383" s="235"/>
      <c r="K383" s="235"/>
      <c r="L383" s="235"/>
      <c r="M383" s="235"/>
      <c r="N383" s="235"/>
      <c r="O383" s="235"/>
      <c r="P383" s="235"/>
      <c r="Q383" s="235"/>
      <c r="R383" s="198"/>
      <c r="S383" s="199"/>
      <c r="T383" s="200"/>
      <c r="U383" s="240"/>
      <c r="V383" s="240"/>
      <c r="W383" s="240"/>
      <c r="BA383"/>
      <c r="BB383"/>
    </row>
    <row r="384" spans="1:54" s="190" customFormat="1" ht="13.5">
      <c r="A384" s="182"/>
      <c r="B384" s="178"/>
      <c r="C384" s="183" t="s">
        <v>718</v>
      </c>
      <c r="D384" s="233" t="s">
        <v>718</v>
      </c>
      <c r="E384" s="239"/>
      <c r="F384" s="234"/>
      <c r="G384" s="235"/>
      <c r="H384" s="235"/>
      <c r="I384" s="235"/>
      <c r="J384" s="235"/>
      <c r="K384" s="235"/>
      <c r="L384" s="235"/>
      <c r="M384" s="235"/>
      <c r="N384" s="235"/>
      <c r="O384" s="235"/>
      <c r="P384" s="235"/>
      <c r="Q384" s="235"/>
      <c r="R384" s="198"/>
      <c r="S384" s="199"/>
      <c r="T384" s="200"/>
      <c r="U384" s="240"/>
      <c r="V384" s="240"/>
      <c r="W384" s="240"/>
      <c r="BA384"/>
      <c r="BB384"/>
    </row>
    <row r="385" spans="1:54" s="190" customFormat="1" ht="13.5">
      <c r="A385" s="182"/>
      <c r="B385" s="178"/>
      <c r="C385" s="183" t="s">
        <v>718</v>
      </c>
      <c r="D385" s="233" t="s">
        <v>718</v>
      </c>
      <c r="E385" s="239"/>
      <c r="F385" s="234"/>
      <c r="G385" s="235"/>
      <c r="H385" s="235"/>
      <c r="I385" s="235"/>
      <c r="J385" s="235"/>
      <c r="K385" s="235"/>
      <c r="L385" s="235"/>
      <c r="M385" s="235"/>
      <c r="N385" s="235"/>
      <c r="O385" s="235"/>
      <c r="P385" s="235"/>
      <c r="Q385" s="235"/>
      <c r="R385" s="198"/>
      <c r="S385" s="199"/>
      <c r="T385" s="200"/>
      <c r="U385" s="240"/>
      <c r="V385" s="240"/>
      <c r="W385" s="240"/>
      <c r="BA385"/>
      <c r="BB385"/>
    </row>
    <row r="386" spans="1:54" s="190" customFormat="1" ht="13.5">
      <c r="A386" s="182"/>
      <c r="B386" s="178"/>
      <c r="C386" s="183" t="s">
        <v>718</v>
      </c>
      <c r="D386" s="233" t="s">
        <v>718</v>
      </c>
      <c r="E386" s="239"/>
      <c r="F386" s="234"/>
      <c r="G386" s="235"/>
      <c r="H386" s="235"/>
      <c r="I386" s="235"/>
      <c r="J386" s="235"/>
      <c r="K386" s="235"/>
      <c r="L386" s="235"/>
      <c r="M386" s="235"/>
      <c r="N386" s="235"/>
      <c r="O386" s="235"/>
      <c r="P386" s="235"/>
      <c r="Q386" s="235"/>
      <c r="R386" s="198"/>
      <c r="S386" s="199"/>
      <c r="T386" s="200"/>
      <c r="U386" s="240"/>
      <c r="V386" s="240"/>
      <c r="W386" s="240"/>
      <c r="BA386"/>
      <c r="BB386"/>
    </row>
    <row r="387" spans="1:54" s="190" customFormat="1" ht="13.5">
      <c r="A387" s="182"/>
      <c r="B387" s="178"/>
      <c r="C387" s="183" t="s">
        <v>718</v>
      </c>
      <c r="D387" s="233" t="s">
        <v>718</v>
      </c>
      <c r="E387" s="239"/>
      <c r="F387" s="234"/>
      <c r="G387" s="235"/>
      <c r="H387" s="235"/>
      <c r="I387" s="235"/>
      <c r="J387" s="235"/>
      <c r="K387" s="235"/>
      <c r="L387" s="235"/>
      <c r="M387" s="235"/>
      <c r="N387" s="235"/>
      <c r="O387" s="235"/>
      <c r="P387" s="235"/>
      <c r="Q387" s="235"/>
      <c r="R387" s="198"/>
      <c r="S387" s="199"/>
      <c r="T387" s="200"/>
      <c r="U387" s="240"/>
      <c r="V387" s="240"/>
      <c r="W387" s="240"/>
      <c r="BA387"/>
      <c r="BB387"/>
    </row>
    <row r="388" spans="1:54" s="190" customFormat="1" ht="13.5">
      <c r="A388" s="182"/>
      <c r="B388" s="178"/>
      <c r="C388" s="183" t="s">
        <v>718</v>
      </c>
      <c r="D388" s="233" t="s">
        <v>718</v>
      </c>
      <c r="E388" s="239"/>
      <c r="F388" s="234"/>
      <c r="G388" s="235"/>
      <c r="H388" s="235"/>
      <c r="I388" s="235"/>
      <c r="J388" s="235"/>
      <c r="K388" s="235"/>
      <c r="L388" s="235"/>
      <c r="M388" s="235"/>
      <c r="N388" s="235"/>
      <c r="O388" s="235"/>
      <c r="P388" s="235"/>
      <c r="Q388" s="235"/>
      <c r="R388" s="198"/>
      <c r="S388" s="199"/>
      <c r="T388" s="200"/>
      <c r="U388" s="240"/>
      <c r="V388" s="240"/>
      <c r="W388" s="240"/>
      <c r="BA388"/>
      <c r="BB388"/>
    </row>
    <row r="389" spans="1:54" s="190" customFormat="1" ht="13.5">
      <c r="A389" s="182"/>
      <c r="B389" s="178"/>
      <c r="C389" s="183" t="s">
        <v>718</v>
      </c>
      <c r="D389" s="233" t="s">
        <v>718</v>
      </c>
      <c r="E389" s="239"/>
      <c r="F389" s="234"/>
      <c r="G389" s="235"/>
      <c r="H389" s="235"/>
      <c r="I389" s="235"/>
      <c r="J389" s="235"/>
      <c r="K389" s="235"/>
      <c r="L389" s="235"/>
      <c r="M389" s="235"/>
      <c r="N389" s="235"/>
      <c r="O389" s="235"/>
      <c r="P389" s="235"/>
      <c r="Q389" s="235"/>
      <c r="R389" s="198"/>
      <c r="S389" s="199"/>
      <c r="T389" s="200"/>
      <c r="U389" s="240"/>
      <c r="V389" s="240"/>
      <c r="W389" s="240"/>
      <c r="BA389"/>
      <c r="BB389"/>
    </row>
    <row r="390" spans="1:54" s="190" customFormat="1" ht="13.5">
      <c r="A390" s="182"/>
      <c r="B390" s="178"/>
      <c r="C390" s="183" t="s">
        <v>718</v>
      </c>
      <c r="D390" s="233" t="s">
        <v>718</v>
      </c>
      <c r="E390" s="239"/>
      <c r="F390" s="234"/>
      <c r="G390" s="235"/>
      <c r="H390" s="235"/>
      <c r="I390" s="235"/>
      <c r="J390" s="235"/>
      <c r="K390" s="235"/>
      <c r="L390" s="235"/>
      <c r="M390" s="235"/>
      <c r="N390" s="235"/>
      <c r="O390" s="235"/>
      <c r="P390" s="235"/>
      <c r="Q390" s="235"/>
      <c r="R390" s="198"/>
      <c r="S390" s="199"/>
      <c r="T390" s="200"/>
      <c r="U390" s="240"/>
      <c r="V390" s="240"/>
      <c r="W390" s="240"/>
      <c r="BA390"/>
      <c r="BB390"/>
    </row>
    <row r="391" spans="1:54" s="190" customFormat="1" ht="13.5">
      <c r="A391" s="182"/>
      <c r="B391" s="178"/>
      <c r="C391" s="183" t="s">
        <v>718</v>
      </c>
      <c r="D391" s="233" t="s">
        <v>718</v>
      </c>
      <c r="E391" s="239"/>
      <c r="F391" s="234"/>
      <c r="G391" s="235"/>
      <c r="H391" s="235"/>
      <c r="I391" s="235"/>
      <c r="J391" s="235"/>
      <c r="K391" s="235"/>
      <c r="L391" s="235"/>
      <c r="M391" s="235"/>
      <c r="N391" s="235"/>
      <c r="O391" s="235"/>
      <c r="P391" s="235"/>
      <c r="Q391" s="235"/>
      <c r="R391" s="198"/>
      <c r="S391" s="199"/>
      <c r="T391" s="200"/>
      <c r="U391" s="240"/>
      <c r="V391" s="240"/>
      <c r="W391" s="240"/>
      <c r="BA391"/>
      <c r="BB391"/>
    </row>
    <row r="392" spans="1:54" s="190" customFormat="1" ht="13.5">
      <c r="A392" s="182"/>
      <c r="B392" s="178"/>
      <c r="C392" s="183" t="s">
        <v>718</v>
      </c>
      <c r="D392" s="233" t="s">
        <v>718</v>
      </c>
      <c r="E392" s="239"/>
      <c r="F392" s="234"/>
      <c r="G392" s="235"/>
      <c r="H392" s="235"/>
      <c r="I392" s="235"/>
      <c r="J392" s="235"/>
      <c r="K392" s="235"/>
      <c r="L392" s="235"/>
      <c r="M392" s="235"/>
      <c r="N392" s="235"/>
      <c r="O392" s="235"/>
      <c r="P392" s="235"/>
      <c r="Q392" s="235"/>
      <c r="R392" s="198"/>
      <c r="S392" s="199"/>
      <c r="T392" s="200"/>
      <c r="U392" s="240"/>
      <c r="V392" s="240"/>
      <c r="W392" s="240"/>
      <c r="BA392"/>
      <c r="BB392"/>
    </row>
    <row r="393" spans="1:54" s="190" customFormat="1" ht="13.5">
      <c r="A393" s="182"/>
      <c r="B393" s="178"/>
      <c r="C393" s="183" t="s">
        <v>718</v>
      </c>
      <c r="D393" s="233" t="s">
        <v>718</v>
      </c>
      <c r="E393" s="239"/>
      <c r="F393" s="234"/>
      <c r="G393" s="235"/>
      <c r="H393" s="235"/>
      <c r="I393" s="235"/>
      <c r="J393" s="235"/>
      <c r="K393" s="235"/>
      <c r="L393" s="235"/>
      <c r="M393" s="235"/>
      <c r="N393" s="235"/>
      <c r="O393" s="235"/>
      <c r="P393" s="235"/>
      <c r="Q393" s="235"/>
      <c r="R393" s="198"/>
      <c r="S393" s="199"/>
      <c r="T393" s="200"/>
      <c r="U393" s="240"/>
      <c r="V393" s="240"/>
      <c r="W393" s="240"/>
      <c r="BA393"/>
      <c r="BB393"/>
    </row>
    <row r="394" spans="1:54" s="190" customFormat="1" ht="13.5">
      <c r="A394" s="182"/>
      <c r="B394" s="178"/>
      <c r="C394" s="183" t="s">
        <v>718</v>
      </c>
      <c r="D394" s="233" t="s">
        <v>718</v>
      </c>
      <c r="E394" s="239"/>
      <c r="F394" s="234"/>
      <c r="G394" s="235"/>
      <c r="H394" s="235"/>
      <c r="I394" s="235"/>
      <c r="J394" s="235"/>
      <c r="K394" s="235"/>
      <c r="L394" s="235"/>
      <c r="M394" s="235"/>
      <c r="N394" s="235"/>
      <c r="O394" s="235"/>
      <c r="P394" s="235"/>
      <c r="Q394" s="235"/>
      <c r="R394" s="198"/>
      <c r="S394" s="199"/>
      <c r="T394" s="200"/>
      <c r="U394" s="240"/>
      <c r="V394" s="240"/>
      <c r="W394" s="240"/>
      <c r="BA394"/>
      <c r="BB394"/>
    </row>
    <row r="395" spans="1:54" s="190" customFormat="1" ht="13.5">
      <c r="A395" s="182"/>
      <c r="B395" s="178"/>
      <c r="C395" s="183" t="s">
        <v>718</v>
      </c>
      <c r="D395" s="233" t="s">
        <v>718</v>
      </c>
      <c r="E395" s="239"/>
      <c r="F395" s="234"/>
      <c r="G395" s="235"/>
      <c r="H395" s="235"/>
      <c r="I395" s="235"/>
      <c r="J395" s="235"/>
      <c r="K395" s="235"/>
      <c r="L395" s="235"/>
      <c r="M395" s="235"/>
      <c r="N395" s="235"/>
      <c r="O395" s="235"/>
      <c r="P395" s="235"/>
      <c r="Q395" s="235"/>
      <c r="R395" s="198"/>
      <c r="S395" s="199"/>
      <c r="T395" s="200"/>
      <c r="U395" s="240"/>
      <c r="V395" s="240"/>
      <c r="W395" s="240"/>
      <c r="BA395"/>
      <c r="BB395"/>
    </row>
    <row r="396" spans="1:54" s="190" customFormat="1" ht="13.5">
      <c r="A396" s="182"/>
      <c r="B396" s="178"/>
      <c r="C396" s="183" t="s">
        <v>718</v>
      </c>
      <c r="D396" s="233" t="s">
        <v>718</v>
      </c>
      <c r="E396" s="239"/>
      <c r="F396" s="234"/>
      <c r="G396" s="235"/>
      <c r="H396" s="235"/>
      <c r="I396" s="235"/>
      <c r="J396" s="235"/>
      <c r="K396" s="235"/>
      <c r="L396" s="235"/>
      <c r="M396" s="235"/>
      <c r="N396" s="235"/>
      <c r="O396" s="235"/>
      <c r="P396" s="235"/>
      <c r="Q396" s="235"/>
      <c r="R396" s="198"/>
      <c r="S396" s="199"/>
      <c r="T396" s="200"/>
      <c r="U396" s="240"/>
      <c r="V396" s="240"/>
      <c r="W396" s="240"/>
      <c r="BA396"/>
      <c r="BB396"/>
    </row>
    <row r="397" spans="1:54" s="190" customFormat="1" ht="13.5">
      <c r="A397" s="182"/>
      <c r="B397" s="178"/>
      <c r="C397" s="183" t="s">
        <v>718</v>
      </c>
      <c r="D397" s="233" t="s">
        <v>718</v>
      </c>
      <c r="E397" s="239"/>
      <c r="F397" s="234"/>
      <c r="G397" s="235"/>
      <c r="H397" s="235"/>
      <c r="I397" s="235"/>
      <c r="J397" s="235"/>
      <c r="K397" s="235"/>
      <c r="L397" s="235"/>
      <c r="M397" s="235"/>
      <c r="N397" s="235"/>
      <c r="O397" s="235"/>
      <c r="P397" s="235"/>
      <c r="Q397" s="235"/>
      <c r="R397" s="198"/>
      <c r="S397" s="199"/>
      <c r="T397" s="200"/>
      <c r="U397" s="240"/>
      <c r="V397" s="240"/>
      <c r="W397" s="240"/>
      <c r="BA397"/>
      <c r="BB397"/>
    </row>
    <row r="398" spans="1:54" s="190" customFormat="1" ht="13.5">
      <c r="A398" s="182"/>
      <c r="B398" s="178"/>
      <c r="C398" s="183" t="s">
        <v>718</v>
      </c>
      <c r="D398" s="233" t="s">
        <v>718</v>
      </c>
      <c r="E398" s="239"/>
      <c r="F398" s="234"/>
      <c r="G398" s="235"/>
      <c r="H398" s="235"/>
      <c r="I398" s="235"/>
      <c r="J398" s="235"/>
      <c r="K398" s="235"/>
      <c r="L398" s="235"/>
      <c r="M398" s="235"/>
      <c r="N398" s="235"/>
      <c r="O398" s="235"/>
      <c r="P398" s="235"/>
      <c r="Q398" s="235"/>
      <c r="R398" s="198"/>
      <c r="S398" s="199"/>
      <c r="T398" s="200"/>
      <c r="U398" s="240"/>
      <c r="V398" s="240"/>
      <c r="W398" s="240"/>
      <c r="BA398"/>
      <c r="BB398"/>
    </row>
    <row r="399" spans="1:54" s="190" customFormat="1" ht="13.5">
      <c r="A399" s="182"/>
      <c r="B399" s="178"/>
      <c r="C399" s="183" t="s">
        <v>718</v>
      </c>
      <c r="D399" s="233" t="s">
        <v>718</v>
      </c>
      <c r="E399" s="239"/>
      <c r="F399" s="234"/>
      <c r="G399" s="235"/>
      <c r="H399" s="235"/>
      <c r="I399" s="235"/>
      <c r="J399" s="235"/>
      <c r="K399" s="235"/>
      <c r="L399" s="235"/>
      <c r="M399" s="235"/>
      <c r="N399" s="235"/>
      <c r="O399" s="235"/>
      <c r="P399" s="235"/>
      <c r="Q399" s="235"/>
      <c r="R399" s="198"/>
      <c r="S399" s="199"/>
      <c r="T399" s="200"/>
      <c r="U399" s="240"/>
      <c r="V399" s="240"/>
      <c r="W399" s="240"/>
      <c r="BA399"/>
      <c r="BB399"/>
    </row>
    <row r="400" spans="1:54" s="190" customFormat="1" ht="13.5">
      <c r="A400" s="182"/>
      <c r="B400" s="178"/>
      <c r="C400" s="183" t="s">
        <v>718</v>
      </c>
      <c r="D400" s="233" t="s">
        <v>718</v>
      </c>
      <c r="E400" s="239"/>
      <c r="F400" s="234"/>
      <c r="G400" s="235"/>
      <c r="H400" s="235"/>
      <c r="I400" s="235"/>
      <c r="J400" s="235"/>
      <c r="K400" s="235"/>
      <c r="L400" s="235"/>
      <c r="M400" s="235"/>
      <c r="N400" s="235"/>
      <c r="O400" s="235"/>
      <c r="P400" s="235"/>
      <c r="Q400" s="235"/>
      <c r="R400" s="198"/>
      <c r="S400" s="199"/>
      <c r="T400" s="200"/>
      <c r="U400" s="240"/>
      <c r="V400" s="240"/>
      <c r="W400" s="240"/>
      <c r="BA400"/>
      <c r="BB400"/>
    </row>
    <row r="401" spans="1:54" s="190" customFormat="1" ht="13.5">
      <c r="A401" s="182"/>
      <c r="B401" s="178"/>
      <c r="C401" s="183" t="s">
        <v>718</v>
      </c>
      <c r="D401" s="233" t="s">
        <v>718</v>
      </c>
      <c r="E401" s="239"/>
      <c r="F401" s="234"/>
      <c r="G401" s="235"/>
      <c r="H401" s="235"/>
      <c r="I401" s="235"/>
      <c r="J401" s="235"/>
      <c r="K401" s="235"/>
      <c r="L401" s="235"/>
      <c r="M401" s="235"/>
      <c r="N401" s="235"/>
      <c r="O401" s="235"/>
      <c r="P401" s="235"/>
      <c r="Q401" s="235"/>
      <c r="R401" s="198"/>
      <c r="S401" s="199"/>
      <c r="T401" s="200"/>
      <c r="U401" s="240"/>
      <c r="V401" s="240"/>
      <c r="W401" s="240"/>
      <c r="BA401"/>
      <c r="BB401"/>
    </row>
    <row r="402" spans="1:54" s="190" customFormat="1" ht="13.5">
      <c r="A402" s="182"/>
      <c r="B402" s="178"/>
      <c r="C402" s="183" t="s">
        <v>718</v>
      </c>
      <c r="D402" s="233" t="s">
        <v>718</v>
      </c>
      <c r="E402" s="239"/>
      <c r="F402" s="234"/>
      <c r="G402" s="235"/>
      <c r="H402" s="235"/>
      <c r="I402" s="235"/>
      <c r="J402" s="235"/>
      <c r="K402" s="235"/>
      <c r="L402" s="235"/>
      <c r="M402" s="235"/>
      <c r="N402" s="235"/>
      <c r="O402" s="235"/>
      <c r="P402" s="235"/>
      <c r="Q402" s="235"/>
      <c r="R402" s="198"/>
      <c r="S402" s="199"/>
      <c r="T402" s="200"/>
      <c r="U402" s="240"/>
      <c r="V402" s="240"/>
      <c r="W402" s="240"/>
      <c r="BA402"/>
      <c r="BB402"/>
    </row>
    <row r="403" spans="1:54" s="190" customFormat="1" ht="13.5">
      <c r="A403" s="182"/>
      <c r="B403" s="178"/>
      <c r="C403" s="183" t="s">
        <v>718</v>
      </c>
      <c r="D403" s="233" t="s">
        <v>718</v>
      </c>
      <c r="E403" s="239"/>
      <c r="F403" s="234"/>
      <c r="G403" s="235"/>
      <c r="H403" s="235"/>
      <c r="I403" s="235"/>
      <c r="J403" s="235"/>
      <c r="K403" s="235"/>
      <c r="L403" s="235"/>
      <c r="M403" s="235"/>
      <c r="N403" s="235"/>
      <c r="O403" s="235"/>
      <c r="P403" s="235"/>
      <c r="Q403" s="235"/>
      <c r="R403" s="198"/>
      <c r="S403" s="199"/>
      <c r="T403" s="200"/>
      <c r="U403" s="240"/>
      <c r="V403" s="240"/>
      <c r="W403" s="240"/>
      <c r="BA403"/>
      <c r="BB403"/>
    </row>
    <row r="404" spans="1:54" s="190" customFormat="1" ht="13.5">
      <c r="A404" s="182"/>
      <c r="B404" s="178"/>
      <c r="C404" s="183" t="s">
        <v>718</v>
      </c>
      <c r="D404" s="233" t="s">
        <v>718</v>
      </c>
      <c r="E404" s="239"/>
      <c r="F404" s="234"/>
      <c r="G404" s="235"/>
      <c r="H404" s="235"/>
      <c r="I404" s="235"/>
      <c r="J404" s="235"/>
      <c r="K404" s="235"/>
      <c r="L404" s="235"/>
      <c r="M404" s="235"/>
      <c r="N404" s="235"/>
      <c r="O404" s="235"/>
      <c r="P404" s="235"/>
      <c r="Q404" s="235"/>
      <c r="R404" s="198"/>
      <c r="S404" s="199"/>
      <c r="T404" s="200"/>
      <c r="U404" s="240"/>
      <c r="V404" s="240"/>
      <c r="W404" s="240"/>
      <c r="BA404"/>
      <c r="BB404"/>
    </row>
    <row r="405" spans="1:54" s="190" customFormat="1" ht="13.5">
      <c r="A405" s="182"/>
      <c r="B405" s="178"/>
      <c r="C405" s="183" t="s">
        <v>718</v>
      </c>
      <c r="D405" s="233" t="s">
        <v>718</v>
      </c>
      <c r="E405" s="239"/>
      <c r="F405" s="234"/>
      <c r="G405" s="235"/>
      <c r="H405" s="235"/>
      <c r="I405" s="235"/>
      <c r="J405" s="235"/>
      <c r="K405" s="235"/>
      <c r="L405" s="235"/>
      <c r="M405" s="235"/>
      <c r="N405" s="235"/>
      <c r="O405" s="235"/>
      <c r="P405" s="235"/>
      <c r="Q405" s="235"/>
      <c r="R405" s="198"/>
      <c r="S405" s="199"/>
      <c r="T405" s="200"/>
      <c r="U405" s="240"/>
      <c r="V405" s="240"/>
      <c r="W405" s="240"/>
      <c r="BA405"/>
      <c r="BB405"/>
    </row>
    <row r="406" spans="1:54" s="190" customFormat="1" ht="13.5">
      <c r="A406" s="182"/>
      <c r="B406" s="178"/>
      <c r="C406" s="183" t="s">
        <v>718</v>
      </c>
      <c r="D406" s="233" t="s">
        <v>718</v>
      </c>
      <c r="E406" s="239"/>
      <c r="F406" s="234"/>
      <c r="G406" s="235"/>
      <c r="H406" s="235"/>
      <c r="I406" s="235"/>
      <c r="J406" s="235"/>
      <c r="K406" s="235"/>
      <c r="L406" s="235"/>
      <c r="M406" s="235"/>
      <c r="N406" s="235"/>
      <c r="O406" s="235"/>
      <c r="P406" s="235"/>
      <c r="Q406" s="235"/>
      <c r="R406" s="198"/>
      <c r="S406" s="199"/>
      <c r="T406" s="200"/>
      <c r="U406" s="240"/>
      <c r="V406" s="240"/>
      <c r="W406" s="240"/>
      <c r="BA406"/>
      <c r="BB406"/>
    </row>
    <row r="407" spans="1:54" s="190" customFormat="1" ht="13.5">
      <c r="A407" s="182"/>
      <c r="B407" s="178"/>
      <c r="C407" s="183" t="s">
        <v>718</v>
      </c>
      <c r="D407" s="233" t="s">
        <v>718</v>
      </c>
      <c r="E407" s="239"/>
      <c r="F407" s="234"/>
      <c r="G407" s="235"/>
      <c r="H407" s="235"/>
      <c r="I407" s="235"/>
      <c r="J407" s="235"/>
      <c r="K407" s="235"/>
      <c r="L407" s="235"/>
      <c r="M407" s="235"/>
      <c r="N407" s="235"/>
      <c r="O407" s="235"/>
      <c r="P407" s="235"/>
      <c r="Q407" s="235"/>
      <c r="R407" s="198"/>
      <c r="S407" s="199"/>
      <c r="T407" s="200"/>
      <c r="U407" s="240"/>
      <c r="V407" s="240"/>
      <c r="W407" s="240"/>
      <c r="BA407"/>
      <c r="BB407"/>
    </row>
    <row r="408" spans="1:54" s="190" customFormat="1" ht="13.5">
      <c r="A408" s="182"/>
      <c r="B408" s="178"/>
      <c r="C408" s="183" t="s">
        <v>718</v>
      </c>
      <c r="D408" s="233" t="s">
        <v>718</v>
      </c>
      <c r="E408" s="239"/>
      <c r="F408" s="234"/>
      <c r="G408" s="235"/>
      <c r="H408" s="235"/>
      <c r="I408" s="235"/>
      <c r="J408" s="235"/>
      <c r="K408" s="235"/>
      <c r="L408" s="235"/>
      <c r="M408" s="235"/>
      <c r="N408" s="235"/>
      <c r="O408" s="235"/>
      <c r="P408" s="235"/>
      <c r="Q408" s="235"/>
      <c r="R408" s="198"/>
      <c r="S408" s="199"/>
      <c r="T408" s="200"/>
      <c r="U408" s="240"/>
      <c r="V408" s="240"/>
      <c r="W408" s="240"/>
      <c r="BA408"/>
      <c r="BB408"/>
    </row>
    <row r="409" spans="1:54" s="190" customFormat="1" ht="13.5">
      <c r="A409" s="182"/>
      <c r="B409" s="178"/>
      <c r="C409" s="183" t="s">
        <v>718</v>
      </c>
      <c r="D409" s="233" t="s">
        <v>718</v>
      </c>
      <c r="E409" s="239"/>
      <c r="F409" s="234"/>
      <c r="G409" s="235"/>
      <c r="H409" s="235"/>
      <c r="I409" s="235"/>
      <c r="J409" s="235"/>
      <c r="K409" s="235"/>
      <c r="L409" s="235"/>
      <c r="M409" s="235"/>
      <c r="N409" s="235"/>
      <c r="O409" s="235"/>
      <c r="P409" s="235"/>
      <c r="Q409" s="235"/>
      <c r="R409" s="198"/>
      <c r="S409" s="199"/>
      <c r="T409" s="200"/>
      <c r="U409" s="240"/>
      <c r="V409" s="240"/>
      <c r="W409" s="240"/>
      <c r="BA409"/>
      <c r="BB409"/>
    </row>
    <row r="410" spans="1:54" s="190" customFormat="1" ht="13.5">
      <c r="A410" s="182"/>
      <c r="B410" s="178"/>
      <c r="C410" s="183" t="s">
        <v>718</v>
      </c>
      <c r="D410" s="233" t="s">
        <v>718</v>
      </c>
      <c r="E410" s="239"/>
      <c r="F410" s="234"/>
      <c r="G410" s="235"/>
      <c r="H410" s="235"/>
      <c r="I410" s="235"/>
      <c r="J410" s="235"/>
      <c r="K410" s="235"/>
      <c r="L410" s="235"/>
      <c r="M410" s="235"/>
      <c r="N410" s="235"/>
      <c r="O410" s="235"/>
      <c r="P410" s="235"/>
      <c r="Q410" s="235"/>
      <c r="R410" s="198"/>
      <c r="S410" s="199"/>
      <c r="T410" s="200"/>
      <c r="U410" s="240"/>
      <c r="V410" s="240"/>
      <c r="W410" s="240"/>
      <c r="BA410"/>
      <c r="BB410"/>
    </row>
    <row r="411" spans="1:54" s="190" customFormat="1" ht="13.5">
      <c r="A411" s="182"/>
      <c r="B411" s="178"/>
      <c r="C411" s="183" t="s">
        <v>718</v>
      </c>
      <c r="D411" s="233" t="s">
        <v>718</v>
      </c>
      <c r="E411" s="239"/>
      <c r="F411" s="234"/>
      <c r="G411" s="235"/>
      <c r="H411" s="235"/>
      <c r="I411" s="235"/>
      <c r="J411" s="235"/>
      <c r="K411" s="235"/>
      <c r="L411" s="235"/>
      <c r="M411" s="235"/>
      <c r="N411" s="235"/>
      <c r="O411" s="235"/>
      <c r="P411" s="235"/>
      <c r="Q411" s="235"/>
      <c r="R411" s="198"/>
      <c r="S411" s="199"/>
      <c r="T411" s="200"/>
      <c r="U411" s="240"/>
      <c r="V411" s="240"/>
      <c r="W411" s="240"/>
      <c r="BA411"/>
      <c r="BB411"/>
    </row>
    <row r="412" spans="1:54" s="190" customFormat="1" ht="13.5">
      <c r="A412" s="182"/>
      <c r="B412" s="178"/>
      <c r="C412" s="183" t="s">
        <v>718</v>
      </c>
      <c r="D412" s="233" t="s">
        <v>718</v>
      </c>
      <c r="E412" s="239"/>
      <c r="F412" s="234"/>
      <c r="G412" s="235"/>
      <c r="H412" s="235"/>
      <c r="I412" s="235"/>
      <c r="J412" s="235"/>
      <c r="K412" s="235"/>
      <c r="L412" s="235"/>
      <c r="M412" s="235"/>
      <c r="N412" s="235"/>
      <c r="O412" s="235"/>
      <c r="P412" s="235"/>
      <c r="Q412" s="235"/>
      <c r="R412" s="198"/>
      <c r="S412" s="199"/>
      <c r="T412" s="200"/>
      <c r="U412" s="240"/>
      <c r="V412" s="240"/>
      <c r="W412" s="240"/>
      <c r="BA412"/>
      <c r="BB412"/>
    </row>
    <row r="413" spans="1:54" s="190" customFormat="1" ht="13.5">
      <c r="A413" s="182"/>
      <c r="B413" s="178"/>
      <c r="C413" s="183" t="s">
        <v>718</v>
      </c>
      <c r="D413" s="233" t="s">
        <v>718</v>
      </c>
      <c r="E413" s="239"/>
      <c r="F413" s="234"/>
      <c r="G413" s="235"/>
      <c r="H413" s="235"/>
      <c r="I413" s="235"/>
      <c r="J413" s="235"/>
      <c r="K413" s="235"/>
      <c r="L413" s="235"/>
      <c r="M413" s="235"/>
      <c r="N413" s="235"/>
      <c r="O413" s="235"/>
      <c r="P413" s="235"/>
      <c r="Q413" s="235"/>
      <c r="R413" s="198"/>
      <c r="S413" s="199"/>
      <c r="T413" s="200"/>
      <c r="U413" s="240"/>
      <c r="V413" s="240"/>
      <c r="W413" s="240"/>
      <c r="BA413"/>
      <c r="BB413"/>
    </row>
    <row r="414" spans="1:54" s="190" customFormat="1" ht="13.5">
      <c r="A414" s="182"/>
      <c r="B414" s="178"/>
      <c r="C414" s="183" t="s">
        <v>718</v>
      </c>
      <c r="D414" s="233" t="s">
        <v>718</v>
      </c>
      <c r="E414" s="239"/>
      <c r="F414" s="234"/>
      <c r="G414" s="235"/>
      <c r="H414" s="235"/>
      <c r="I414" s="235"/>
      <c r="J414" s="235"/>
      <c r="K414" s="235"/>
      <c r="L414" s="235"/>
      <c r="M414" s="235"/>
      <c r="N414" s="235"/>
      <c r="O414" s="235"/>
      <c r="P414" s="235"/>
      <c r="Q414" s="235"/>
      <c r="R414" s="198"/>
      <c r="S414" s="199"/>
      <c r="T414" s="200"/>
      <c r="U414" s="240"/>
      <c r="V414" s="240"/>
      <c r="W414" s="240"/>
      <c r="BA414"/>
      <c r="BB414"/>
    </row>
    <row r="415" spans="1:54" s="190" customFormat="1" ht="13.5">
      <c r="A415" s="182"/>
      <c r="B415" s="178"/>
      <c r="C415" s="183" t="s">
        <v>718</v>
      </c>
      <c r="D415" s="233" t="s">
        <v>718</v>
      </c>
      <c r="E415" s="239"/>
      <c r="F415" s="234"/>
      <c r="G415" s="235"/>
      <c r="H415" s="235"/>
      <c r="I415" s="235"/>
      <c r="J415" s="235"/>
      <c r="K415" s="235"/>
      <c r="L415" s="235"/>
      <c r="M415" s="235"/>
      <c r="N415" s="235"/>
      <c r="O415" s="235"/>
      <c r="P415" s="235"/>
      <c r="Q415" s="235"/>
      <c r="R415" s="198"/>
      <c r="S415" s="199"/>
      <c r="T415" s="200"/>
      <c r="U415" s="240"/>
      <c r="V415" s="240"/>
      <c r="W415" s="240"/>
      <c r="BA415"/>
      <c r="BB415"/>
    </row>
    <row r="416" spans="1:54" s="190" customFormat="1" ht="13.5">
      <c r="A416" s="182"/>
      <c r="B416" s="178"/>
      <c r="C416" s="183" t="s">
        <v>718</v>
      </c>
      <c r="D416" s="233" t="s">
        <v>718</v>
      </c>
      <c r="E416" s="239"/>
      <c r="F416" s="234"/>
      <c r="G416" s="235"/>
      <c r="H416" s="235"/>
      <c r="I416" s="235"/>
      <c r="J416" s="235"/>
      <c r="K416" s="235"/>
      <c r="L416" s="235"/>
      <c r="M416" s="235"/>
      <c r="N416" s="235"/>
      <c r="O416" s="235"/>
      <c r="P416" s="235"/>
      <c r="Q416" s="235"/>
      <c r="R416" s="198"/>
      <c r="S416" s="199"/>
      <c r="T416" s="200"/>
      <c r="U416" s="240"/>
      <c r="V416" s="240"/>
      <c r="W416" s="240"/>
      <c r="BA416"/>
      <c r="BB416"/>
    </row>
    <row r="417" spans="1:54" s="190" customFormat="1" ht="13.5">
      <c r="A417" s="182"/>
      <c r="B417" s="178"/>
      <c r="C417" s="183" t="s">
        <v>718</v>
      </c>
      <c r="D417" s="233" t="s">
        <v>718</v>
      </c>
      <c r="E417" s="239"/>
      <c r="F417" s="234"/>
      <c r="G417" s="235"/>
      <c r="H417" s="235"/>
      <c r="I417" s="235"/>
      <c r="J417" s="235"/>
      <c r="K417" s="235"/>
      <c r="L417" s="235"/>
      <c r="M417" s="235"/>
      <c r="N417" s="235"/>
      <c r="O417" s="235"/>
      <c r="P417" s="235"/>
      <c r="Q417" s="235"/>
      <c r="R417" s="198"/>
      <c r="S417" s="199"/>
      <c r="T417" s="200"/>
      <c r="U417" s="240"/>
      <c r="V417" s="240"/>
      <c r="W417" s="240"/>
      <c r="BA417"/>
      <c r="BB417"/>
    </row>
    <row r="418" spans="1:54" s="190" customFormat="1" ht="13.5">
      <c r="A418" s="182"/>
      <c r="B418" s="178"/>
      <c r="C418" s="183" t="s">
        <v>718</v>
      </c>
      <c r="D418" s="233" t="s">
        <v>718</v>
      </c>
      <c r="E418" s="239"/>
      <c r="F418" s="234"/>
      <c r="G418" s="235"/>
      <c r="H418" s="235"/>
      <c r="I418" s="235"/>
      <c r="J418" s="235"/>
      <c r="K418" s="235"/>
      <c r="L418" s="235"/>
      <c r="M418" s="235"/>
      <c r="N418" s="235"/>
      <c r="O418" s="235"/>
      <c r="P418" s="235"/>
      <c r="Q418" s="235"/>
      <c r="R418" s="198"/>
      <c r="S418" s="199"/>
      <c r="T418" s="200"/>
      <c r="U418" s="240"/>
      <c r="V418" s="240"/>
      <c r="W418" s="240"/>
      <c r="BA418"/>
      <c r="BB418"/>
    </row>
    <row r="419" spans="1:54" s="190" customFormat="1" ht="13.5">
      <c r="A419" s="182"/>
      <c r="B419" s="178"/>
      <c r="C419" s="183" t="s">
        <v>718</v>
      </c>
      <c r="D419" s="233" t="s">
        <v>718</v>
      </c>
      <c r="E419" s="239"/>
      <c r="F419" s="234"/>
      <c r="G419" s="235"/>
      <c r="H419" s="235"/>
      <c r="I419" s="235"/>
      <c r="J419" s="235"/>
      <c r="K419" s="235"/>
      <c r="L419" s="235"/>
      <c r="M419" s="235"/>
      <c r="N419" s="235"/>
      <c r="O419" s="235"/>
      <c r="P419" s="235"/>
      <c r="Q419" s="235"/>
      <c r="R419" s="198"/>
      <c r="S419" s="199"/>
      <c r="T419" s="200"/>
      <c r="U419" s="240"/>
      <c r="V419" s="240"/>
      <c r="W419" s="240"/>
      <c r="BA419"/>
      <c r="BB419"/>
    </row>
    <row r="420" spans="1:54" s="190" customFormat="1" ht="13.5">
      <c r="A420" s="182"/>
      <c r="B420" s="178"/>
      <c r="C420" s="183" t="s">
        <v>718</v>
      </c>
      <c r="D420" s="233" t="s">
        <v>718</v>
      </c>
      <c r="E420" s="239"/>
      <c r="F420" s="234"/>
      <c r="G420" s="235"/>
      <c r="H420" s="235"/>
      <c r="I420" s="235"/>
      <c r="J420" s="235"/>
      <c r="K420" s="235"/>
      <c r="L420" s="235"/>
      <c r="M420" s="235"/>
      <c r="N420" s="235"/>
      <c r="O420" s="235"/>
      <c r="P420" s="235"/>
      <c r="Q420" s="235"/>
      <c r="R420" s="198"/>
      <c r="S420" s="199"/>
      <c r="T420" s="200"/>
      <c r="U420" s="240"/>
      <c r="V420" s="240"/>
      <c r="W420" s="240"/>
      <c r="BA420"/>
      <c r="BB420"/>
    </row>
    <row r="421" spans="1:54" s="190" customFormat="1" ht="13.5">
      <c r="A421" s="182"/>
      <c r="B421" s="178"/>
      <c r="C421" s="183" t="s">
        <v>718</v>
      </c>
      <c r="D421" s="233" t="s">
        <v>718</v>
      </c>
      <c r="E421" s="239"/>
      <c r="F421" s="234"/>
      <c r="G421" s="235"/>
      <c r="H421" s="235"/>
      <c r="I421" s="235"/>
      <c r="J421" s="235"/>
      <c r="K421" s="235"/>
      <c r="L421" s="235"/>
      <c r="M421" s="235"/>
      <c r="N421" s="235"/>
      <c r="O421" s="235"/>
      <c r="P421" s="235"/>
      <c r="Q421" s="235"/>
      <c r="R421" s="198"/>
      <c r="S421" s="199"/>
      <c r="T421" s="200"/>
      <c r="U421" s="240"/>
      <c r="V421" s="240"/>
      <c r="W421" s="240"/>
      <c r="BA421"/>
      <c r="BB421"/>
    </row>
    <row r="422" spans="1:54" s="190" customFormat="1" ht="13.5">
      <c r="A422" s="182"/>
      <c r="B422" s="178"/>
      <c r="C422" s="183" t="s">
        <v>718</v>
      </c>
      <c r="D422" s="233" t="s">
        <v>718</v>
      </c>
      <c r="E422" s="239"/>
      <c r="F422" s="234"/>
      <c r="G422" s="235"/>
      <c r="H422" s="235"/>
      <c r="I422" s="235"/>
      <c r="J422" s="235"/>
      <c r="K422" s="235"/>
      <c r="L422" s="235"/>
      <c r="M422" s="235"/>
      <c r="N422" s="235"/>
      <c r="O422" s="235"/>
      <c r="P422" s="235"/>
      <c r="Q422" s="235"/>
      <c r="R422" s="198"/>
      <c r="S422" s="199"/>
      <c r="T422" s="200"/>
      <c r="U422" s="240"/>
      <c r="V422" s="240"/>
      <c r="W422" s="240"/>
      <c r="BA422"/>
      <c r="BB422"/>
    </row>
    <row r="423" spans="1:54" s="190" customFormat="1" ht="13.5">
      <c r="A423" s="182"/>
      <c r="B423" s="178"/>
      <c r="C423" s="183" t="s">
        <v>718</v>
      </c>
      <c r="D423" s="233" t="s">
        <v>718</v>
      </c>
      <c r="E423" s="239"/>
      <c r="F423" s="234"/>
      <c r="G423" s="235"/>
      <c r="H423" s="235"/>
      <c r="I423" s="235"/>
      <c r="J423" s="235"/>
      <c r="K423" s="235"/>
      <c r="L423" s="235"/>
      <c r="M423" s="235"/>
      <c r="N423" s="235"/>
      <c r="O423" s="235"/>
      <c r="P423" s="235"/>
      <c r="Q423" s="235"/>
      <c r="R423" s="198"/>
      <c r="S423" s="199"/>
      <c r="T423" s="200"/>
      <c r="U423" s="240"/>
      <c r="V423" s="240"/>
      <c r="W423" s="240"/>
      <c r="BA423"/>
      <c r="BB423"/>
    </row>
    <row r="424" spans="1:54" s="190" customFormat="1" ht="13.5">
      <c r="A424" s="182"/>
      <c r="B424" s="178"/>
      <c r="C424" s="183" t="s">
        <v>718</v>
      </c>
      <c r="D424" s="233" t="s">
        <v>718</v>
      </c>
      <c r="E424" s="239"/>
      <c r="F424" s="234"/>
      <c r="G424" s="235"/>
      <c r="H424" s="235"/>
      <c r="I424" s="235"/>
      <c r="J424" s="235"/>
      <c r="K424" s="235"/>
      <c r="L424" s="235"/>
      <c r="M424" s="235"/>
      <c r="N424" s="235"/>
      <c r="O424" s="235"/>
      <c r="P424" s="235"/>
      <c r="Q424" s="235"/>
      <c r="R424" s="198"/>
      <c r="S424" s="199"/>
      <c r="T424" s="200"/>
      <c r="U424" s="240"/>
      <c r="V424" s="240"/>
      <c r="W424" s="240"/>
      <c r="BA424"/>
      <c r="BB424"/>
    </row>
    <row r="425" spans="1:54" s="190" customFormat="1" ht="13.5">
      <c r="A425" s="182"/>
      <c r="B425" s="178"/>
      <c r="C425" s="183" t="s">
        <v>718</v>
      </c>
      <c r="D425" s="233" t="s">
        <v>718</v>
      </c>
      <c r="E425" s="239"/>
      <c r="F425" s="234"/>
      <c r="G425" s="235"/>
      <c r="H425" s="235"/>
      <c r="I425" s="235"/>
      <c r="J425" s="235"/>
      <c r="K425" s="235"/>
      <c r="L425" s="235"/>
      <c r="M425" s="235"/>
      <c r="N425" s="235"/>
      <c r="O425" s="235"/>
      <c r="P425" s="235"/>
      <c r="Q425" s="235"/>
      <c r="R425" s="198"/>
      <c r="S425" s="199"/>
      <c r="T425" s="200"/>
      <c r="U425" s="240"/>
      <c r="V425" s="240"/>
      <c r="W425" s="240"/>
      <c r="BA425"/>
      <c r="BB425"/>
    </row>
    <row r="426" spans="1:54" s="190" customFormat="1" ht="13.5">
      <c r="A426" s="182"/>
      <c r="B426" s="178"/>
      <c r="C426" s="183" t="s">
        <v>718</v>
      </c>
      <c r="D426" s="233" t="s">
        <v>718</v>
      </c>
      <c r="E426" s="239"/>
      <c r="F426" s="234"/>
      <c r="G426" s="235"/>
      <c r="H426" s="235"/>
      <c r="I426" s="235"/>
      <c r="J426" s="235"/>
      <c r="K426" s="235"/>
      <c r="L426" s="235"/>
      <c r="M426" s="235"/>
      <c r="N426" s="235"/>
      <c r="O426" s="235"/>
      <c r="P426" s="235"/>
      <c r="Q426" s="235"/>
      <c r="R426" s="198"/>
      <c r="S426" s="199"/>
      <c r="T426" s="200"/>
      <c r="U426" s="240"/>
      <c r="V426" s="240"/>
      <c r="W426" s="240"/>
      <c r="BA426"/>
      <c r="BB426"/>
    </row>
    <row r="427" spans="1:54" s="190" customFormat="1" ht="13.5">
      <c r="A427" s="182"/>
      <c r="B427" s="178"/>
      <c r="C427" s="183" t="s">
        <v>718</v>
      </c>
      <c r="D427" s="233" t="s">
        <v>718</v>
      </c>
      <c r="E427" s="239"/>
      <c r="F427" s="234"/>
      <c r="G427" s="235"/>
      <c r="H427" s="235"/>
      <c r="I427" s="235"/>
      <c r="J427" s="235"/>
      <c r="K427" s="235"/>
      <c r="L427" s="235"/>
      <c r="M427" s="235"/>
      <c r="N427" s="235"/>
      <c r="O427" s="235"/>
      <c r="P427" s="235"/>
      <c r="Q427" s="235"/>
      <c r="R427" s="198"/>
      <c r="S427" s="199"/>
      <c r="T427" s="200"/>
      <c r="U427" s="240"/>
      <c r="V427" s="240"/>
      <c r="W427" s="240"/>
      <c r="BA427"/>
      <c r="BB427"/>
    </row>
    <row r="428" spans="1:54" s="190" customFormat="1" ht="13.5">
      <c r="A428" s="182"/>
      <c r="B428" s="178"/>
      <c r="C428" s="183" t="s">
        <v>718</v>
      </c>
      <c r="D428" s="233" t="s">
        <v>718</v>
      </c>
      <c r="E428" s="239"/>
      <c r="F428" s="234"/>
      <c r="G428" s="235"/>
      <c r="H428" s="235"/>
      <c r="I428" s="235"/>
      <c r="J428" s="235"/>
      <c r="K428" s="235"/>
      <c r="L428" s="235"/>
      <c r="M428" s="235"/>
      <c r="N428" s="235"/>
      <c r="O428" s="235"/>
      <c r="P428" s="235"/>
      <c r="Q428" s="235"/>
      <c r="R428" s="198"/>
      <c r="S428" s="199"/>
      <c r="T428" s="200"/>
      <c r="U428" s="240"/>
      <c r="V428" s="240"/>
      <c r="W428" s="240"/>
      <c r="BA428"/>
      <c r="BB428"/>
    </row>
    <row r="429" spans="1:54" s="190" customFormat="1" ht="13.5">
      <c r="A429" s="182"/>
      <c r="B429" s="178"/>
      <c r="C429" s="183" t="s">
        <v>718</v>
      </c>
      <c r="D429" s="233" t="s">
        <v>718</v>
      </c>
      <c r="E429" s="239"/>
      <c r="F429" s="234"/>
      <c r="G429" s="235"/>
      <c r="H429" s="235"/>
      <c r="I429" s="235"/>
      <c r="J429" s="235"/>
      <c r="K429" s="235"/>
      <c r="L429" s="235"/>
      <c r="M429" s="235"/>
      <c r="N429" s="235"/>
      <c r="O429" s="235"/>
      <c r="P429" s="235"/>
      <c r="Q429" s="235"/>
      <c r="R429" s="198"/>
      <c r="S429" s="199"/>
      <c r="T429" s="200"/>
      <c r="U429" s="240"/>
      <c r="V429" s="240"/>
      <c r="W429" s="240"/>
      <c r="BA429"/>
      <c r="BB429"/>
    </row>
    <row r="430" spans="1:54" s="190" customFormat="1" ht="13.5">
      <c r="A430" s="182"/>
      <c r="B430" s="178"/>
      <c r="C430" s="183" t="s">
        <v>718</v>
      </c>
      <c r="D430" s="233" t="s">
        <v>718</v>
      </c>
      <c r="E430" s="239"/>
      <c r="F430" s="234"/>
      <c r="G430" s="235"/>
      <c r="H430" s="235"/>
      <c r="I430" s="235"/>
      <c r="J430" s="235"/>
      <c r="K430" s="235"/>
      <c r="L430" s="235"/>
      <c r="M430" s="235"/>
      <c r="N430" s="235"/>
      <c r="O430" s="235"/>
      <c r="P430" s="235"/>
      <c r="Q430" s="235"/>
      <c r="R430" s="198"/>
      <c r="S430" s="199"/>
      <c r="T430" s="200"/>
      <c r="U430" s="240"/>
      <c r="V430" s="240"/>
      <c r="W430" s="240"/>
      <c r="BA430"/>
      <c r="BB430"/>
    </row>
    <row r="431" spans="1:54" s="190" customFormat="1" ht="13.5">
      <c r="A431" s="182"/>
      <c r="B431" s="178"/>
      <c r="C431" s="183" t="s">
        <v>718</v>
      </c>
      <c r="D431" s="233" t="s">
        <v>718</v>
      </c>
      <c r="E431" s="239"/>
      <c r="F431" s="234"/>
      <c r="G431" s="235"/>
      <c r="H431" s="235"/>
      <c r="I431" s="235"/>
      <c r="J431" s="235"/>
      <c r="K431" s="235"/>
      <c r="L431" s="235"/>
      <c r="M431" s="235"/>
      <c r="N431" s="235"/>
      <c r="O431" s="235"/>
      <c r="P431" s="235"/>
      <c r="Q431" s="235"/>
      <c r="R431" s="198"/>
      <c r="S431" s="199"/>
      <c r="T431" s="200"/>
      <c r="U431" s="240"/>
      <c r="V431" s="240"/>
      <c r="W431" s="240"/>
      <c r="BA431"/>
      <c r="BB431"/>
    </row>
    <row r="432" spans="1:54" s="190" customFormat="1" ht="13.5">
      <c r="A432" s="182"/>
      <c r="B432" s="178"/>
      <c r="C432" s="183" t="s">
        <v>718</v>
      </c>
      <c r="D432" s="233" t="s">
        <v>718</v>
      </c>
      <c r="E432" s="239"/>
      <c r="F432" s="234"/>
      <c r="G432" s="235"/>
      <c r="H432" s="235"/>
      <c r="I432" s="235"/>
      <c r="J432" s="235"/>
      <c r="K432" s="235"/>
      <c r="L432" s="235"/>
      <c r="M432" s="235"/>
      <c r="N432" s="235"/>
      <c r="O432" s="235"/>
      <c r="P432" s="235"/>
      <c r="Q432" s="235"/>
      <c r="R432" s="198"/>
      <c r="S432" s="199"/>
      <c r="T432" s="200"/>
      <c r="U432" s="240"/>
      <c r="V432" s="240"/>
      <c r="W432" s="240"/>
      <c r="BA432"/>
      <c r="BB432"/>
    </row>
    <row r="433" spans="1:54" s="190" customFormat="1" ht="13.5">
      <c r="A433" s="182"/>
      <c r="B433" s="178"/>
      <c r="C433" s="183" t="s">
        <v>718</v>
      </c>
      <c r="D433" s="233" t="s">
        <v>718</v>
      </c>
      <c r="E433" s="239"/>
      <c r="F433" s="234"/>
      <c r="G433" s="235"/>
      <c r="H433" s="235"/>
      <c r="I433" s="235"/>
      <c r="J433" s="235"/>
      <c r="K433" s="235"/>
      <c r="L433" s="235"/>
      <c r="M433" s="235"/>
      <c r="N433" s="235"/>
      <c r="O433" s="235"/>
      <c r="P433" s="235"/>
      <c r="Q433" s="235"/>
      <c r="R433" s="198"/>
      <c r="S433" s="199"/>
      <c r="T433" s="200"/>
      <c r="U433" s="240"/>
      <c r="V433" s="240"/>
      <c r="W433" s="240"/>
      <c r="BA433"/>
      <c r="BB433"/>
    </row>
    <row r="434" spans="1:54" s="190" customFormat="1" ht="13.5">
      <c r="A434" s="182"/>
      <c r="B434" s="178"/>
      <c r="C434" s="183" t="s">
        <v>718</v>
      </c>
      <c r="D434" s="233" t="s">
        <v>718</v>
      </c>
      <c r="E434" s="239"/>
      <c r="F434" s="234"/>
      <c r="G434" s="235"/>
      <c r="H434" s="235"/>
      <c r="I434" s="235"/>
      <c r="J434" s="235"/>
      <c r="K434" s="235"/>
      <c r="L434" s="235"/>
      <c r="M434" s="235"/>
      <c r="N434" s="235"/>
      <c r="O434" s="235"/>
      <c r="P434" s="235"/>
      <c r="Q434" s="235"/>
      <c r="R434" s="198"/>
      <c r="S434" s="199"/>
      <c r="T434" s="200"/>
      <c r="U434" s="240"/>
      <c r="V434" s="240"/>
      <c r="W434" s="240"/>
      <c r="BA434"/>
      <c r="BB434"/>
    </row>
    <row r="435" spans="1:54" s="190" customFormat="1" ht="13.5">
      <c r="A435" s="182"/>
      <c r="B435" s="178"/>
      <c r="C435" s="183" t="s">
        <v>718</v>
      </c>
      <c r="D435" s="233" t="s">
        <v>718</v>
      </c>
      <c r="E435" s="239"/>
      <c r="F435" s="234"/>
      <c r="G435" s="235"/>
      <c r="H435" s="235"/>
      <c r="I435" s="235"/>
      <c r="J435" s="235"/>
      <c r="K435" s="235"/>
      <c r="L435" s="235"/>
      <c r="M435" s="235"/>
      <c r="N435" s="235"/>
      <c r="O435" s="235"/>
      <c r="P435" s="235"/>
      <c r="Q435" s="235"/>
      <c r="R435" s="198"/>
      <c r="S435" s="199"/>
      <c r="T435" s="200"/>
      <c r="U435" s="240"/>
      <c r="V435" s="240"/>
      <c r="W435" s="240"/>
      <c r="BA435"/>
      <c r="BB435"/>
    </row>
    <row r="436" spans="1:54" s="190" customFormat="1" ht="13.5">
      <c r="A436" s="182"/>
      <c r="B436" s="178"/>
      <c r="C436" s="183" t="s">
        <v>718</v>
      </c>
      <c r="D436" s="233" t="s">
        <v>718</v>
      </c>
      <c r="E436" s="239"/>
      <c r="F436" s="234"/>
      <c r="G436" s="235"/>
      <c r="H436" s="235"/>
      <c r="I436" s="235"/>
      <c r="J436" s="235"/>
      <c r="K436" s="235"/>
      <c r="L436" s="235"/>
      <c r="M436" s="235"/>
      <c r="N436" s="235"/>
      <c r="O436" s="235"/>
      <c r="P436" s="235"/>
      <c r="Q436" s="235"/>
      <c r="R436" s="198"/>
      <c r="S436" s="199"/>
      <c r="T436" s="200"/>
      <c r="U436" s="240"/>
      <c r="V436" s="240"/>
      <c r="W436" s="240"/>
      <c r="BA436"/>
      <c r="BB436"/>
    </row>
    <row r="437" spans="1:54" s="190" customFormat="1" ht="13.5">
      <c r="A437" s="182"/>
      <c r="B437" s="178"/>
      <c r="C437" s="183" t="s">
        <v>718</v>
      </c>
      <c r="D437" s="233" t="s">
        <v>718</v>
      </c>
      <c r="E437" s="239"/>
      <c r="F437" s="234"/>
      <c r="G437" s="235"/>
      <c r="H437" s="235"/>
      <c r="I437" s="235"/>
      <c r="J437" s="235"/>
      <c r="K437" s="235"/>
      <c r="L437" s="235"/>
      <c r="M437" s="235"/>
      <c r="N437" s="235"/>
      <c r="O437" s="235"/>
      <c r="P437" s="235"/>
      <c r="Q437" s="235"/>
      <c r="R437" s="198"/>
      <c r="S437" s="199"/>
      <c r="T437" s="200"/>
      <c r="U437" s="240"/>
      <c r="V437" s="240"/>
      <c r="W437" s="240"/>
      <c r="BA437"/>
      <c r="BB437"/>
    </row>
    <row r="438" spans="1:54" s="190" customFormat="1" ht="13.5">
      <c r="A438" s="182"/>
      <c r="B438" s="178"/>
      <c r="C438" s="183" t="s">
        <v>718</v>
      </c>
      <c r="D438" s="233" t="s">
        <v>718</v>
      </c>
      <c r="E438" s="239"/>
      <c r="F438" s="234"/>
      <c r="G438" s="235"/>
      <c r="H438" s="235"/>
      <c r="I438" s="235"/>
      <c r="J438" s="235"/>
      <c r="K438" s="235"/>
      <c r="L438" s="235"/>
      <c r="M438" s="235"/>
      <c r="N438" s="235"/>
      <c r="O438" s="235"/>
      <c r="P438" s="235"/>
      <c r="Q438" s="235"/>
      <c r="R438" s="198"/>
      <c r="S438" s="199"/>
      <c r="T438" s="200"/>
      <c r="U438" s="240"/>
      <c r="V438" s="240"/>
      <c r="W438" s="240"/>
      <c r="BA438"/>
      <c r="BB438"/>
    </row>
    <row r="439" spans="1:54" s="190" customFormat="1" ht="13.5">
      <c r="A439" s="182"/>
      <c r="B439" s="178"/>
      <c r="C439" s="183" t="s">
        <v>718</v>
      </c>
      <c r="D439" s="233" t="s">
        <v>718</v>
      </c>
      <c r="E439" s="239"/>
      <c r="F439" s="234"/>
      <c r="G439" s="235"/>
      <c r="H439" s="235"/>
      <c r="I439" s="235"/>
      <c r="J439" s="235"/>
      <c r="K439" s="235"/>
      <c r="L439" s="235"/>
      <c r="M439" s="235"/>
      <c r="N439" s="235"/>
      <c r="O439" s="235"/>
      <c r="P439" s="235"/>
      <c r="Q439" s="235"/>
      <c r="R439" s="198"/>
      <c r="S439" s="199"/>
      <c r="T439" s="200"/>
      <c r="U439" s="240"/>
      <c r="V439" s="240"/>
      <c r="W439" s="240"/>
      <c r="BA439"/>
      <c r="BB439"/>
    </row>
    <row r="440" spans="1:54" s="190" customFormat="1" ht="13.5">
      <c r="A440" s="182"/>
      <c r="B440" s="178"/>
      <c r="C440" s="183" t="s">
        <v>718</v>
      </c>
      <c r="D440" s="233" t="s">
        <v>718</v>
      </c>
      <c r="E440" s="239"/>
      <c r="F440" s="234"/>
      <c r="G440" s="235"/>
      <c r="H440" s="235"/>
      <c r="I440" s="235"/>
      <c r="J440" s="235"/>
      <c r="K440" s="235"/>
      <c r="L440" s="235"/>
      <c r="M440" s="235"/>
      <c r="N440" s="235"/>
      <c r="O440" s="235"/>
      <c r="P440" s="235"/>
      <c r="Q440" s="235"/>
      <c r="R440" s="198"/>
      <c r="S440" s="199"/>
      <c r="T440" s="200"/>
      <c r="U440" s="240"/>
      <c r="V440" s="240"/>
      <c r="W440" s="240"/>
      <c r="BA440"/>
      <c r="BB440"/>
    </row>
    <row r="441" spans="1:54" s="190" customFormat="1" ht="13.5">
      <c r="A441" s="182"/>
      <c r="B441" s="178"/>
      <c r="C441" s="183" t="s">
        <v>718</v>
      </c>
      <c r="D441" s="233" t="s">
        <v>718</v>
      </c>
      <c r="E441" s="239"/>
      <c r="F441" s="234"/>
      <c r="G441" s="235"/>
      <c r="H441" s="235"/>
      <c r="I441" s="235"/>
      <c r="J441" s="235"/>
      <c r="K441" s="235"/>
      <c r="L441" s="235"/>
      <c r="M441" s="235"/>
      <c r="N441" s="235"/>
      <c r="O441" s="235"/>
      <c r="P441" s="235"/>
      <c r="Q441" s="235"/>
      <c r="R441" s="198"/>
      <c r="S441" s="199"/>
      <c r="T441" s="200"/>
      <c r="U441" s="240"/>
      <c r="V441" s="240"/>
      <c r="W441" s="240"/>
      <c r="BA441"/>
      <c r="BB441"/>
    </row>
    <row r="442" spans="1:54" s="190" customFormat="1" ht="13.5">
      <c r="A442" s="182"/>
      <c r="B442" s="178"/>
      <c r="C442" s="183" t="s">
        <v>718</v>
      </c>
      <c r="D442" s="233" t="s">
        <v>718</v>
      </c>
      <c r="E442" s="239"/>
      <c r="F442" s="234"/>
      <c r="G442" s="235"/>
      <c r="H442" s="235"/>
      <c r="I442" s="235"/>
      <c r="J442" s="235"/>
      <c r="K442" s="235"/>
      <c r="L442" s="235"/>
      <c r="M442" s="235"/>
      <c r="N442" s="235"/>
      <c r="O442" s="235"/>
      <c r="P442" s="235"/>
      <c r="Q442" s="235"/>
      <c r="R442" s="198"/>
      <c r="S442" s="199"/>
      <c r="T442" s="200"/>
      <c r="U442" s="240"/>
      <c r="V442" s="240"/>
      <c r="W442" s="240"/>
      <c r="BA442"/>
      <c r="BB442"/>
    </row>
    <row r="443" spans="1:54" s="190" customFormat="1" ht="13.5">
      <c r="A443" s="182"/>
      <c r="B443" s="178"/>
      <c r="C443" s="183" t="s">
        <v>718</v>
      </c>
      <c r="D443" s="233" t="s">
        <v>718</v>
      </c>
      <c r="E443" s="239"/>
      <c r="F443" s="234"/>
      <c r="G443" s="235"/>
      <c r="H443" s="235"/>
      <c r="I443" s="235"/>
      <c r="J443" s="235"/>
      <c r="K443" s="235"/>
      <c r="L443" s="235"/>
      <c r="M443" s="235"/>
      <c r="N443" s="235"/>
      <c r="O443" s="235"/>
      <c r="P443" s="235"/>
      <c r="Q443" s="235"/>
      <c r="R443" s="198"/>
      <c r="S443" s="199"/>
      <c r="T443" s="200"/>
      <c r="U443" s="240"/>
      <c r="V443" s="240"/>
      <c r="W443" s="240"/>
      <c r="BA443"/>
      <c r="BB443"/>
    </row>
    <row r="444" spans="1:54" s="190" customFormat="1" ht="13.5">
      <c r="A444" s="182"/>
      <c r="B444" s="178"/>
      <c r="C444" s="183" t="s">
        <v>718</v>
      </c>
      <c r="D444" s="233" t="s">
        <v>718</v>
      </c>
      <c r="E444" s="239"/>
      <c r="F444" s="234"/>
      <c r="G444" s="235"/>
      <c r="H444" s="235"/>
      <c r="I444" s="235"/>
      <c r="J444" s="235"/>
      <c r="K444" s="235"/>
      <c r="L444" s="235"/>
      <c r="M444" s="235"/>
      <c r="N444" s="235"/>
      <c r="O444" s="235"/>
      <c r="P444" s="235"/>
      <c r="Q444" s="235"/>
      <c r="R444" s="198"/>
      <c r="S444" s="199"/>
      <c r="T444" s="200"/>
      <c r="U444" s="240"/>
      <c r="V444" s="240"/>
      <c r="W444" s="240"/>
      <c r="BA444"/>
      <c r="BB444"/>
    </row>
    <row r="445" spans="1:54" s="190" customFormat="1" ht="13.5">
      <c r="A445" s="182"/>
      <c r="B445" s="178"/>
      <c r="C445" s="183" t="s">
        <v>718</v>
      </c>
      <c r="D445" s="233" t="s">
        <v>718</v>
      </c>
      <c r="E445" s="239"/>
      <c r="F445" s="234"/>
      <c r="G445" s="235"/>
      <c r="H445" s="235"/>
      <c r="I445" s="235"/>
      <c r="J445" s="235"/>
      <c r="K445" s="235"/>
      <c r="L445" s="235"/>
      <c r="M445" s="235"/>
      <c r="N445" s="235"/>
      <c r="O445" s="235"/>
      <c r="P445" s="235"/>
      <c r="Q445" s="235"/>
      <c r="R445" s="198"/>
      <c r="S445" s="199"/>
      <c r="T445" s="200"/>
      <c r="U445" s="240"/>
      <c r="V445" s="240"/>
      <c r="W445" s="240"/>
      <c r="BA445"/>
      <c r="BB445"/>
    </row>
    <row r="446" spans="1:54" s="190" customFormat="1" ht="13.5">
      <c r="A446" s="182"/>
      <c r="B446" s="178"/>
      <c r="C446" s="183" t="s">
        <v>718</v>
      </c>
      <c r="D446" s="233" t="s">
        <v>718</v>
      </c>
      <c r="E446" s="239"/>
      <c r="F446" s="234"/>
      <c r="G446" s="235"/>
      <c r="H446" s="235"/>
      <c r="I446" s="235"/>
      <c r="J446" s="235"/>
      <c r="K446" s="235"/>
      <c r="L446" s="235"/>
      <c r="M446" s="235"/>
      <c r="N446" s="235"/>
      <c r="O446" s="235"/>
      <c r="P446" s="235"/>
      <c r="Q446" s="235"/>
      <c r="R446" s="198"/>
      <c r="S446" s="199"/>
      <c r="T446" s="200"/>
      <c r="U446" s="240"/>
      <c r="V446" s="240"/>
      <c r="W446" s="240"/>
      <c r="BA446"/>
      <c r="BB446"/>
    </row>
    <row r="447" spans="1:54" s="190" customFormat="1" ht="13.5">
      <c r="A447" s="182"/>
      <c r="B447" s="178"/>
      <c r="C447" s="183" t="s">
        <v>718</v>
      </c>
      <c r="D447" s="233" t="s">
        <v>718</v>
      </c>
      <c r="E447" s="239"/>
      <c r="F447" s="234"/>
      <c r="G447" s="235"/>
      <c r="H447" s="235"/>
      <c r="I447" s="235"/>
      <c r="J447" s="235"/>
      <c r="K447" s="235"/>
      <c r="L447" s="235"/>
      <c r="M447" s="235"/>
      <c r="N447" s="235"/>
      <c r="O447" s="235"/>
      <c r="P447" s="235"/>
      <c r="Q447" s="235"/>
      <c r="R447" s="198"/>
      <c r="S447" s="199"/>
      <c r="T447" s="200"/>
      <c r="U447" s="240"/>
      <c r="V447" s="240"/>
      <c r="W447" s="240"/>
      <c r="BA447"/>
      <c r="BB447"/>
    </row>
    <row r="448" spans="1:54" s="190" customFormat="1" ht="13.5">
      <c r="A448" s="182"/>
      <c r="B448" s="178"/>
      <c r="C448" s="183" t="s">
        <v>718</v>
      </c>
      <c r="D448" s="233" t="s">
        <v>718</v>
      </c>
      <c r="E448" s="239"/>
      <c r="F448" s="234"/>
      <c r="G448" s="235"/>
      <c r="H448" s="235"/>
      <c r="I448" s="235"/>
      <c r="J448" s="235"/>
      <c r="K448" s="235"/>
      <c r="L448" s="235"/>
      <c r="M448" s="235"/>
      <c r="N448" s="235"/>
      <c r="O448" s="235"/>
      <c r="P448" s="235"/>
      <c r="Q448" s="235"/>
      <c r="R448" s="198"/>
      <c r="S448" s="199"/>
      <c r="T448" s="200"/>
      <c r="U448" s="240"/>
      <c r="V448" s="240"/>
      <c r="W448" s="240"/>
      <c r="BA448"/>
      <c r="BB448"/>
    </row>
    <row r="449" spans="1:54" s="190" customFormat="1" ht="13.5">
      <c r="A449" s="182"/>
      <c r="B449" s="178"/>
      <c r="C449" s="183" t="s">
        <v>718</v>
      </c>
      <c r="D449" s="233" t="s">
        <v>718</v>
      </c>
      <c r="E449" s="239"/>
      <c r="F449" s="234"/>
      <c r="G449" s="235"/>
      <c r="H449" s="235"/>
      <c r="I449" s="235"/>
      <c r="J449" s="235"/>
      <c r="K449" s="235"/>
      <c r="L449" s="235"/>
      <c r="M449" s="235"/>
      <c r="N449" s="235"/>
      <c r="O449" s="235"/>
      <c r="P449" s="235"/>
      <c r="Q449" s="235"/>
      <c r="R449" s="198"/>
      <c r="S449" s="199"/>
      <c r="T449" s="200"/>
      <c r="U449" s="240"/>
      <c r="V449" s="240"/>
      <c r="W449" s="240"/>
      <c r="BA449"/>
      <c r="BB449"/>
    </row>
    <row r="450" spans="1:54" s="190" customFormat="1" ht="13.5">
      <c r="A450" s="182"/>
      <c r="B450" s="178"/>
      <c r="C450" s="183" t="s">
        <v>718</v>
      </c>
      <c r="D450" s="233" t="s">
        <v>718</v>
      </c>
      <c r="E450" s="239"/>
      <c r="F450" s="234"/>
      <c r="G450" s="235"/>
      <c r="H450" s="235"/>
      <c r="I450" s="235"/>
      <c r="J450" s="235"/>
      <c r="K450" s="235"/>
      <c r="L450" s="235"/>
      <c r="M450" s="235"/>
      <c r="N450" s="235"/>
      <c r="O450" s="235"/>
      <c r="P450" s="235"/>
      <c r="Q450" s="235"/>
      <c r="R450" s="198"/>
      <c r="S450" s="199"/>
      <c r="T450" s="200"/>
      <c r="U450" s="240"/>
      <c r="V450" s="240"/>
      <c r="W450" s="240"/>
      <c r="BA450"/>
      <c r="BB450"/>
    </row>
    <row r="451" spans="1:54" s="190" customFormat="1" ht="13.5">
      <c r="A451" s="182"/>
      <c r="B451" s="178"/>
      <c r="C451" s="183" t="s">
        <v>718</v>
      </c>
      <c r="D451" s="233" t="s">
        <v>718</v>
      </c>
      <c r="E451" s="239"/>
      <c r="F451" s="234"/>
      <c r="G451" s="235"/>
      <c r="H451" s="235"/>
      <c r="I451" s="235"/>
      <c r="J451" s="235"/>
      <c r="K451" s="235"/>
      <c r="L451" s="235"/>
      <c r="M451" s="235"/>
      <c r="N451" s="235"/>
      <c r="O451" s="235"/>
      <c r="P451" s="235"/>
      <c r="Q451" s="235"/>
      <c r="R451" s="198"/>
      <c r="S451" s="199"/>
      <c r="T451" s="200"/>
      <c r="U451" s="240"/>
      <c r="V451" s="240"/>
      <c r="W451" s="240"/>
      <c r="BA451"/>
      <c r="BB451"/>
    </row>
    <row r="452" spans="1:54" s="190" customFormat="1" ht="13.5">
      <c r="A452" s="182"/>
      <c r="B452" s="178"/>
      <c r="C452" s="183" t="s">
        <v>718</v>
      </c>
      <c r="D452" s="233" t="s">
        <v>718</v>
      </c>
      <c r="E452" s="239"/>
      <c r="F452" s="234"/>
      <c r="G452" s="235"/>
      <c r="H452" s="235"/>
      <c r="I452" s="235"/>
      <c r="J452" s="235"/>
      <c r="K452" s="235"/>
      <c r="L452" s="235"/>
      <c r="M452" s="235"/>
      <c r="N452" s="235"/>
      <c r="O452" s="235"/>
      <c r="P452" s="235"/>
      <c r="Q452" s="235"/>
      <c r="R452" s="198"/>
      <c r="S452" s="199"/>
      <c r="T452" s="200"/>
      <c r="U452" s="240"/>
      <c r="V452" s="240"/>
      <c r="W452" s="240"/>
      <c r="BA452"/>
      <c r="BB452"/>
    </row>
    <row r="453" spans="1:54" s="190" customFormat="1" ht="13.5">
      <c r="A453" s="182"/>
      <c r="B453" s="178"/>
      <c r="C453" s="183" t="s">
        <v>718</v>
      </c>
      <c r="D453" s="233" t="s">
        <v>718</v>
      </c>
      <c r="E453" s="239"/>
      <c r="F453" s="234"/>
      <c r="G453" s="235"/>
      <c r="H453" s="235"/>
      <c r="I453" s="235"/>
      <c r="J453" s="235"/>
      <c r="K453" s="235"/>
      <c r="L453" s="235"/>
      <c r="M453" s="235"/>
      <c r="N453" s="235"/>
      <c r="O453" s="235"/>
      <c r="P453" s="235"/>
      <c r="Q453" s="235"/>
      <c r="R453" s="198"/>
      <c r="S453" s="199"/>
      <c r="T453" s="200"/>
      <c r="U453" s="240"/>
      <c r="V453" s="240"/>
      <c r="W453" s="240"/>
      <c r="BA453"/>
      <c r="BB453"/>
    </row>
    <row r="454" spans="1:54" s="190" customFormat="1" ht="13.5">
      <c r="A454" s="182"/>
      <c r="B454" s="178"/>
      <c r="C454" s="183" t="s">
        <v>718</v>
      </c>
      <c r="D454" s="233" t="s">
        <v>718</v>
      </c>
      <c r="E454" s="239"/>
      <c r="F454" s="234"/>
      <c r="G454" s="235"/>
      <c r="H454" s="235"/>
      <c r="I454" s="235"/>
      <c r="J454" s="235"/>
      <c r="K454" s="235"/>
      <c r="L454" s="235"/>
      <c r="M454" s="235"/>
      <c r="N454" s="235"/>
      <c r="O454" s="235"/>
      <c r="P454" s="235"/>
      <c r="Q454" s="235"/>
      <c r="R454" s="198"/>
      <c r="S454" s="199"/>
      <c r="T454" s="200"/>
      <c r="U454" s="240"/>
      <c r="V454" s="240"/>
      <c r="W454" s="240"/>
      <c r="BA454"/>
      <c r="BB454"/>
    </row>
    <row r="455" spans="1:54" s="190" customFormat="1" ht="13.5">
      <c r="A455" s="182"/>
      <c r="B455" s="178"/>
      <c r="C455" s="183" t="s">
        <v>718</v>
      </c>
      <c r="D455" s="233" t="s">
        <v>718</v>
      </c>
      <c r="E455" s="239"/>
      <c r="F455" s="234"/>
      <c r="G455" s="235"/>
      <c r="H455" s="235"/>
      <c r="I455" s="235"/>
      <c r="J455" s="235"/>
      <c r="K455" s="235"/>
      <c r="L455" s="235"/>
      <c r="M455" s="235"/>
      <c r="N455" s="235"/>
      <c r="O455" s="235"/>
      <c r="P455" s="235"/>
      <c r="Q455" s="235"/>
      <c r="R455" s="198"/>
      <c r="S455" s="199"/>
      <c r="T455" s="200"/>
      <c r="U455" s="240"/>
      <c r="V455" s="240"/>
      <c r="W455" s="240"/>
      <c r="BA455"/>
      <c r="BB455"/>
    </row>
    <row r="456" spans="1:54" s="190" customFormat="1" ht="13.5">
      <c r="A456" s="182"/>
      <c r="B456" s="178"/>
      <c r="C456" s="183" t="s">
        <v>718</v>
      </c>
      <c r="D456" s="233" t="s">
        <v>718</v>
      </c>
      <c r="E456" s="239"/>
      <c r="F456" s="234"/>
      <c r="G456" s="235"/>
      <c r="H456" s="235"/>
      <c r="I456" s="235"/>
      <c r="J456" s="235"/>
      <c r="K456" s="235"/>
      <c r="L456" s="235"/>
      <c r="M456" s="235"/>
      <c r="N456" s="235"/>
      <c r="O456" s="235"/>
      <c r="P456" s="235"/>
      <c r="Q456" s="235"/>
      <c r="R456" s="198"/>
      <c r="S456" s="199"/>
      <c r="T456" s="200"/>
      <c r="U456" s="240"/>
      <c r="V456" s="240"/>
      <c r="W456" s="240"/>
      <c r="BA456"/>
      <c r="BB456"/>
    </row>
    <row r="457" spans="1:54" s="190" customFormat="1" ht="13.5">
      <c r="A457" s="182"/>
      <c r="B457" s="178"/>
      <c r="C457" s="183" t="s">
        <v>718</v>
      </c>
      <c r="D457" s="233" t="s">
        <v>718</v>
      </c>
      <c r="E457" s="239"/>
      <c r="F457" s="234"/>
      <c r="G457" s="235"/>
      <c r="H457" s="235"/>
      <c r="I457" s="235"/>
      <c r="J457" s="235"/>
      <c r="K457" s="235"/>
      <c r="L457" s="235"/>
      <c r="M457" s="235"/>
      <c r="N457" s="235"/>
      <c r="O457" s="235"/>
      <c r="P457" s="235"/>
      <c r="Q457" s="235"/>
      <c r="R457" s="198"/>
      <c r="S457" s="199"/>
      <c r="T457" s="200"/>
      <c r="U457" s="240"/>
      <c r="V457" s="240"/>
      <c r="W457" s="240"/>
      <c r="BA457"/>
      <c r="BB457"/>
    </row>
    <row r="458" spans="1:54" s="190" customFormat="1" ht="13.5">
      <c r="A458" s="182"/>
      <c r="B458" s="178"/>
      <c r="C458" s="183" t="s">
        <v>718</v>
      </c>
      <c r="D458" s="233" t="s">
        <v>718</v>
      </c>
      <c r="E458" s="239"/>
      <c r="F458" s="234"/>
      <c r="G458" s="235"/>
      <c r="H458" s="235"/>
      <c r="I458" s="235"/>
      <c r="J458" s="235"/>
      <c r="K458" s="235"/>
      <c r="L458" s="235"/>
      <c r="M458" s="235"/>
      <c r="N458" s="235"/>
      <c r="O458" s="235"/>
      <c r="P458" s="235"/>
      <c r="Q458" s="235"/>
      <c r="R458" s="198"/>
      <c r="S458" s="199"/>
      <c r="T458" s="200"/>
      <c r="U458" s="240"/>
      <c r="V458" s="240"/>
      <c r="W458" s="240"/>
      <c r="BA458"/>
      <c r="BB458"/>
    </row>
    <row r="459" spans="1:54" s="190" customFormat="1" ht="13.5">
      <c r="A459" s="182"/>
      <c r="B459" s="178"/>
      <c r="C459" s="183" t="s">
        <v>718</v>
      </c>
      <c r="D459" s="233" t="s">
        <v>718</v>
      </c>
      <c r="E459" s="239"/>
      <c r="F459" s="234"/>
      <c r="G459" s="235"/>
      <c r="H459" s="235"/>
      <c r="I459" s="235"/>
      <c r="J459" s="235"/>
      <c r="K459" s="235"/>
      <c r="L459" s="235"/>
      <c r="M459" s="235"/>
      <c r="N459" s="235"/>
      <c r="O459" s="235"/>
      <c r="P459" s="235"/>
      <c r="Q459" s="235"/>
      <c r="R459" s="198"/>
      <c r="S459" s="199"/>
      <c r="T459" s="200"/>
      <c r="U459" s="240"/>
      <c r="V459" s="240"/>
      <c r="W459" s="240"/>
      <c r="BA459"/>
      <c r="BB459"/>
    </row>
    <row r="460" spans="1:54" s="190" customFormat="1" ht="13.5">
      <c r="A460" s="182"/>
      <c r="B460" s="178"/>
      <c r="C460" s="183" t="s">
        <v>718</v>
      </c>
      <c r="D460" s="233" t="s">
        <v>718</v>
      </c>
      <c r="E460" s="239"/>
      <c r="F460" s="234"/>
      <c r="G460" s="235"/>
      <c r="H460" s="235"/>
      <c r="I460" s="235"/>
      <c r="J460" s="235"/>
      <c r="K460" s="235"/>
      <c r="L460" s="235"/>
      <c r="M460" s="235"/>
      <c r="N460" s="235"/>
      <c r="O460" s="235"/>
      <c r="P460" s="235"/>
      <c r="Q460" s="235"/>
      <c r="R460" s="198"/>
      <c r="S460" s="199"/>
      <c r="T460" s="200"/>
      <c r="U460" s="240"/>
      <c r="V460" s="240"/>
      <c r="W460" s="240"/>
      <c r="BA460"/>
      <c r="BB460"/>
    </row>
    <row r="461" spans="1:54" s="190" customFormat="1" ht="13.5">
      <c r="A461" s="182"/>
      <c r="B461" s="178"/>
      <c r="C461" s="183" t="s">
        <v>718</v>
      </c>
      <c r="D461" s="233" t="s">
        <v>718</v>
      </c>
      <c r="E461" s="239"/>
      <c r="F461" s="234"/>
      <c r="G461" s="235"/>
      <c r="H461" s="235"/>
      <c r="I461" s="235"/>
      <c r="J461" s="235"/>
      <c r="K461" s="235"/>
      <c r="L461" s="235"/>
      <c r="M461" s="235"/>
      <c r="N461" s="235"/>
      <c r="O461" s="235"/>
      <c r="P461" s="235"/>
      <c r="Q461" s="235"/>
      <c r="R461" s="198"/>
      <c r="S461" s="199"/>
      <c r="T461" s="200"/>
      <c r="U461" s="240"/>
      <c r="V461" s="240"/>
      <c r="W461" s="240"/>
      <c r="BA461"/>
      <c r="BB461"/>
    </row>
    <row r="462" spans="1:54" s="190" customFormat="1" ht="13.5">
      <c r="A462" s="182"/>
      <c r="B462" s="178"/>
      <c r="C462" s="183" t="s">
        <v>718</v>
      </c>
      <c r="D462" s="233" t="s">
        <v>718</v>
      </c>
      <c r="E462" s="239"/>
      <c r="F462" s="234"/>
      <c r="G462" s="235"/>
      <c r="H462" s="235"/>
      <c r="I462" s="235"/>
      <c r="J462" s="235"/>
      <c r="K462" s="235"/>
      <c r="L462" s="235"/>
      <c r="M462" s="235"/>
      <c r="N462" s="235"/>
      <c r="O462" s="235"/>
      <c r="P462" s="235"/>
      <c r="Q462" s="235"/>
      <c r="R462" s="198"/>
      <c r="S462" s="199"/>
      <c r="T462" s="200"/>
      <c r="U462" s="240"/>
      <c r="V462" s="240"/>
      <c r="W462" s="240"/>
      <c r="BA462"/>
      <c r="BB462"/>
    </row>
    <row r="463" spans="1:54" s="190" customFormat="1" ht="13.5">
      <c r="A463" s="182"/>
      <c r="B463" s="178"/>
      <c r="C463" s="183" t="s">
        <v>718</v>
      </c>
      <c r="D463" s="233" t="s">
        <v>718</v>
      </c>
      <c r="E463" s="239"/>
      <c r="F463" s="234"/>
      <c r="G463" s="235"/>
      <c r="H463" s="235"/>
      <c r="I463" s="235"/>
      <c r="J463" s="235"/>
      <c r="K463" s="235"/>
      <c r="L463" s="235"/>
      <c r="M463" s="235"/>
      <c r="N463" s="235"/>
      <c r="O463" s="235"/>
      <c r="P463" s="235"/>
      <c r="Q463" s="235"/>
      <c r="R463" s="198"/>
      <c r="S463" s="199"/>
      <c r="T463" s="200"/>
      <c r="U463" s="240"/>
      <c r="V463" s="240"/>
      <c r="W463" s="240"/>
      <c r="BA463"/>
      <c r="BB463"/>
    </row>
    <row r="464" spans="1:54" s="190" customFormat="1" ht="13.5">
      <c r="A464" s="182"/>
      <c r="B464" s="178"/>
      <c r="C464" s="183" t="s">
        <v>718</v>
      </c>
      <c r="D464" s="233" t="s">
        <v>718</v>
      </c>
      <c r="E464" s="239"/>
      <c r="F464" s="234"/>
      <c r="G464" s="235"/>
      <c r="H464" s="235"/>
      <c r="I464" s="235"/>
      <c r="J464" s="235"/>
      <c r="K464" s="235"/>
      <c r="L464" s="235"/>
      <c r="M464" s="235"/>
      <c r="N464" s="235"/>
      <c r="O464" s="235"/>
      <c r="P464" s="235"/>
      <c r="Q464" s="235"/>
      <c r="R464" s="198"/>
      <c r="S464" s="199"/>
      <c r="T464" s="200"/>
      <c r="U464" s="240"/>
      <c r="V464" s="240"/>
      <c r="W464" s="240"/>
      <c r="BA464"/>
      <c r="BB464"/>
    </row>
    <row r="465" spans="1:54" s="190" customFormat="1" ht="13.5">
      <c r="A465" s="182"/>
      <c r="B465" s="178"/>
      <c r="C465" s="183" t="s">
        <v>718</v>
      </c>
      <c r="D465" s="233" t="s">
        <v>718</v>
      </c>
      <c r="E465" s="239"/>
      <c r="F465" s="234"/>
      <c r="G465" s="235"/>
      <c r="H465" s="235"/>
      <c r="I465" s="235"/>
      <c r="J465" s="235"/>
      <c r="K465" s="235"/>
      <c r="L465" s="235"/>
      <c r="M465" s="235"/>
      <c r="N465" s="235"/>
      <c r="O465" s="235"/>
      <c r="P465" s="235"/>
      <c r="Q465" s="235"/>
      <c r="R465" s="198"/>
      <c r="S465" s="199"/>
      <c r="T465" s="200"/>
      <c r="U465" s="240"/>
      <c r="V465" s="240"/>
      <c r="W465" s="240"/>
      <c r="BA465"/>
      <c r="BB465"/>
    </row>
    <row r="466" spans="1:54" s="190" customFormat="1" ht="13.5">
      <c r="A466" s="182"/>
      <c r="B466" s="178"/>
      <c r="C466" s="183" t="s">
        <v>718</v>
      </c>
      <c r="D466" s="233" t="s">
        <v>718</v>
      </c>
      <c r="E466" s="239"/>
      <c r="F466" s="234"/>
      <c r="G466" s="235"/>
      <c r="H466" s="235"/>
      <c r="I466" s="235"/>
      <c r="J466" s="235"/>
      <c r="K466" s="235"/>
      <c r="L466" s="235"/>
      <c r="M466" s="235"/>
      <c r="N466" s="235"/>
      <c r="O466" s="235"/>
      <c r="P466" s="235"/>
      <c r="Q466" s="235"/>
      <c r="R466" s="198"/>
      <c r="S466" s="199"/>
      <c r="T466" s="200"/>
      <c r="U466" s="240"/>
      <c r="V466" s="240"/>
      <c r="W466" s="240"/>
      <c r="BA466"/>
      <c r="BB466"/>
    </row>
    <row r="467" spans="1:54" s="190" customFormat="1" ht="13.5">
      <c r="A467" s="182"/>
      <c r="B467" s="178"/>
      <c r="C467" s="183" t="s">
        <v>718</v>
      </c>
      <c r="D467" s="233" t="s">
        <v>718</v>
      </c>
      <c r="E467" s="239"/>
      <c r="F467" s="234"/>
      <c r="G467" s="235"/>
      <c r="H467" s="235"/>
      <c r="I467" s="235"/>
      <c r="J467" s="235"/>
      <c r="K467" s="235"/>
      <c r="L467" s="235"/>
      <c r="M467" s="235"/>
      <c r="N467" s="235"/>
      <c r="O467" s="235"/>
      <c r="P467" s="235"/>
      <c r="Q467" s="235"/>
      <c r="R467" s="198"/>
      <c r="S467" s="199"/>
      <c r="T467" s="200"/>
      <c r="U467" s="240"/>
      <c r="V467" s="240"/>
      <c r="W467" s="240"/>
      <c r="BA467"/>
      <c r="BB467"/>
    </row>
    <row r="468" spans="1:54" s="190" customFormat="1" ht="13.5">
      <c r="A468" s="182"/>
      <c r="B468" s="178"/>
      <c r="C468" s="183" t="s">
        <v>718</v>
      </c>
      <c r="D468" s="233" t="s">
        <v>718</v>
      </c>
      <c r="E468" s="239"/>
      <c r="F468" s="234"/>
      <c r="G468" s="235"/>
      <c r="H468" s="235"/>
      <c r="I468" s="235"/>
      <c r="J468" s="235"/>
      <c r="K468" s="235"/>
      <c r="L468" s="235"/>
      <c r="M468" s="235"/>
      <c r="N468" s="235"/>
      <c r="O468" s="235"/>
      <c r="P468" s="235"/>
      <c r="Q468" s="235"/>
      <c r="R468" s="198"/>
      <c r="S468" s="199"/>
      <c r="T468" s="200"/>
      <c r="U468" s="240"/>
      <c r="V468" s="240"/>
      <c r="W468" s="240"/>
      <c r="BA468"/>
      <c r="BB468"/>
    </row>
    <row r="469" spans="1:54" s="190" customFormat="1" ht="13.5">
      <c r="A469" s="182"/>
      <c r="B469" s="178"/>
      <c r="C469" s="183" t="s">
        <v>718</v>
      </c>
      <c r="D469" s="233" t="s">
        <v>718</v>
      </c>
      <c r="E469" s="239"/>
      <c r="F469" s="234"/>
      <c r="G469" s="235"/>
      <c r="H469" s="235"/>
      <c r="I469" s="235"/>
      <c r="J469" s="235"/>
      <c r="K469" s="235"/>
      <c r="L469" s="235"/>
      <c r="M469" s="235"/>
      <c r="N469" s="235"/>
      <c r="O469" s="235"/>
      <c r="P469" s="235"/>
      <c r="Q469" s="235"/>
      <c r="R469" s="198"/>
      <c r="S469" s="199"/>
      <c r="T469" s="200"/>
      <c r="U469" s="240"/>
      <c r="V469" s="240"/>
      <c r="W469" s="240"/>
      <c r="BA469"/>
      <c r="BB469"/>
    </row>
    <row r="470" spans="1:54" s="190" customFormat="1" ht="13.5">
      <c r="A470" s="182"/>
      <c r="B470" s="178"/>
      <c r="C470" s="183" t="s">
        <v>718</v>
      </c>
      <c r="D470" s="233" t="s">
        <v>718</v>
      </c>
      <c r="E470" s="239"/>
      <c r="F470" s="234"/>
      <c r="G470" s="235"/>
      <c r="H470" s="235"/>
      <c r="I470" s="235"/>
      <c r="J470" s="235"/>
      <c r="K470" s="235"/>
      <c r="L470" s="235"/>
      <c r="M470" s="235"/>
      <c r="N470" s="235"/>
      <c r="O470" s="235"/>
      <c r="P470" s="235"/>
      <c r="Q470" s="235"/>
      <c r="R470" s="198"/>
      <c r="S470" s="199"/>
      <c r="T470" s="200"/>
      <c r="U470" s="240"/>
      <c r="V470" s="240"/>
      <c r="W470" s="240"/>
      <c r="BA470"/>
      <c r="BB470"/>
    </row>
    <row r="471" spans="1:54" s="190" customFormat="1" ht="13.5">
      <c r="A471" s="182"/>
      <c r="B471" s="178"/>
      <c r="C471" s="183" t="s">
        <v>718</v>
      </c>
      <c r="D471" s="233" t="s">
        <v>718</v>
      </c>
      <c r="E471" s="239"/>
      <c r="F471" s="234"/>
      <c r="G471" s="235"/>
      <c r="H471" s="235"/>
      <c r="I471" s="235"/>
      <c r="J471" s="235"/>
      <c r="K471" s="235"/>
      <c r="L471" s="235"/>
      <c r="M471" s="235"/>
      <c r="N471" s="235"/>
      <c r="O471" s="235"/>
      <c r="P471" s="235"/>
      <c r="Q471" s="235"/>
      <c r="R471" s="198"/>
      <c r="S471" s="199"/>
      <c r="T471" s="200"/>
      <c r="U471" s="240"/>
      <c r="V471" s="240"/>
      <c r="W471" s="240"/>
      <c r="BA471"/>
      <c r="BB471"/>
    </row>
    <row r="472" spans="1:54" s="190" customFormat="1" ht="13.5">
      <c r="A472" s="182"/>
      <c r="B472" s="178"/>
      <c r="C472" s="183" t="s">
        <v>718</v>
      </c>
      <c r="D472" s="233" t="s">
        <v>718</v>
      </c>
      <c r="E472" s="239"/>
      <c r="F472" s="234"/>
      <c r="G472" s="235"/>
      <c r="H472" s="235"/>
      <c r="I472" s="235"/>
      <c r="J472" s="235"/>
      <c r="K472" s="235"/>
      <c r="L472" s="235"/>
      <c r="M472" s="235"/>
      <c r="N472" s="235"/>
      <c r="O472" s="235"/>
      <c r="P472" s="235"/>
      <c r="Q472" s="235"/>
      <c r="R472" s="198"/>
      <c r="S472" s="199"/>
      <c r="T472" s="200"/>
      <c r="U472" s="240"/>
      <c r="V472" s="240"/>
      <c r="W472" s="240"/>
      <c r="BA472"/>
      <c r="BB472"/>
    </row>
    <row r="473" spans="1:54" s="190" customFormat="1" ht="13.5">
      <c r="A473" s="182"/>
      <c r="B473" s="178"/>
      <c r="C473" s="183" t="s">
        <v>718</v>
      </c>
      <c r="D473" s="233" t="s">
        <v>718</v>
      </c>
      <c r="E473" s="239"/>
      <c r="F473" s="234"/>
      <c r="G473" s="235"/>
      <c r="H473" s="235"/>
      <c r="I473" s="235"/>
      <c r="J473" s="235"/>
      <c r="K473" s="235"/>
      <c r="L473" s="235"/>
      <c r="M473" s="235"/>
      <c r="N473" s="235"/>
      <c r="O473" s="235"/>
      <c r="P473" s="235"/>
      <c r="Q473" s="235"/>
      <c r="R473" s="198"/>
      <c r="S473" s="199"/>
      <c r="T473" s="200"/>
      <c r="U473" s="240"/>
      <c r="V473" s="240"/>
      <c r="W473" s="240"/>
      <c r="BA473"/>
      <c r="BB473"/>
    </row>
    <row r="474" spans="1:54" s="190" customFormat="1" ht="13.5">
      <c r="A474" s="182"/>
      <c r="B474" s="178"/>
      <c r="C474" s="183" t="s">
        <v>718</v>
      </c>
      <c r="D474" s="233" t="s">
        <v>718</v>
      </c>
      <c r="E474" s="239"/>
      <c r="F474" s="234"/>
      <c r="G474" s="235"/>
      <c r="H474" s="235"/>
      <c r="I474" s="235"/>
      <c r="J474" s="235"/>
      <c r="K474" s="235"/>
      <c r="L474" s="235"/>
      <c r="M474" s="235"/>
      <c r="N474" s="235"/>
      <c r="O474" s="235"/>
      <c r="P474" s="235"/>
      <c r="Q474" s="235"/>
      <c r="R474" s="198"/>
      <c r="S474" s="199"/>
      <c r="T474" s="200"/>
      <c r="U474" s="240"/>
      <c r="V474" s="240"/>
      <c r="W474" s="240"/>
      <c r="BA474"/>
      <c r="BB474"/>
    </row>
    <row r="475" spans="1:54" s="190" customFormat="1" ht="13.5">
      <c r="A475" s="182"/>
      <c r="B475" s="178"/>
      <c r="C475" s="183" t="s">
        <v>718</v>
      </c>
      <c r="D475" s="233" t="s">
        <v>718</v>
      </c>
      <c r="E475" s="239"/>
      <c r="F475" s="234"/>
      <c r="G475" s="235"/>
      <c r="H475" s="235"/>
      <c r="I475" s="235"/>
      <c r="J475" s="235"/>
      <c r="K475" s="235"/>
      <c r="L475" s="235"/>
      <c r="M475" s="235"/>
      <c r="N475" s="235"/>
      <c r="O475" s="235"/>
      <c r="P475" s="235"/>
      <c r="Q475" s="235"/>
      <c r="R475" s="198"/>
      <c r="S475" s="199"/>
      <c r="T475" s="200"/>
      <c r="U475" s="240"/>
      <c r="V475" s="240"/>
      <c r="W475" s="240"/>
      <c r="BA475"/>
      <c r="BB475"/>
    </row>
    <row r="476" spans="1:54" s="190" customFormat="1" ht="13.5">
      <c r="A476" s="182"/>
      <c r="B476" s="178"/>
      <c r="C476" s="183" t="s">
        <v>718</v>
      </c>
      <c r="D476" s="233" t="s">
        <v>718</v>
      </c>
      <c r="E476" s="239"/>
      <c r="F476" s="234"/>
      <c r="G476" s="235"/>
      <c r="H476" s="235"/>
      <c r="I476" s="235"/>
      <c r="J476" s="235"/>
      <c r="K476" s="235"/>
      <c r="L476" s="235"/>
      <c r="M476" s="235"/>
      <c r="N476" s="235"/>
      <c r="O476" s="235"/>
      <c r="P476" s="235"/>
      <c r="Q476" s="235"/>
      <c r="R476" s="198"/>
      <c r="S476" s="199"/>
      <c r="T476" s="200"/>
      <c r="U476" s="240"/>
      <c r="V476" s="240"/>
      <c r="W476" s="240"/>
      <c r="BA476"/>
      <c r="BB476"/>
    </row>
    <row r="477" spans="1:54" s="190" customFormat="1" ht="13.5">
      <c r="A477" s="182"/>
      <c r="B477" s="178"/>
      <c r="C477" s="183" t="s">
        <v>718</v>
      </c>
      <c r="D477" s="233" t="s">
        <v>718</v>
      </c>
      <c r="E477" s="239"/>
      <c r="F477" s="234"/>
      <c r="G477" s="235"/>
      <c r="H477" s="235"/>
      <c r="I477" s="235"/>
      <c r="J477" s="235"/>
      <c r="K477" s="235"/>
      <c r="L477" s="235"/>
      <c r="M477" s="235"/>
      <c r="N477" s="235"/>
      <c r="O477" s="235"/>
      <c r="P477" s="235"/>
      <c r="Q477" s="235"/>
      <c r="R477" s="198"/>
      <c r="S477" s="199"/>
      <c r="T477" s="200"/>
      <c r="U477" s="240"/>
      <c r="V477" s="240"/>
      <c r="W477" s="240"/>
      <c r="BA477"/>
      <c r="BB477"/>
    </row>
    <row r="478" spans="1:54" s="190" customFormat="1" ht="13.5">
      <c r="A478" s="182"/>
      <c r="B478" s="178"/>
      <c r="C478" s="183" t="s">
        <v>718</v>
      </c>
      <c r="D478" s="233" t="s">
        <v>718</v>
      </c>
      <c r="E478" s="239"/>
      <c r="F478" s="234"/>
      <c r="G478" s="235"/>
      <c r="H478" s="235"/>
      <c r="I478" s="235"/>
      <c r="J478" s="235"/>
      <c r="K478" s="235"/>
      <c r="L478" s="235"/>
      <c r="M478" s="235"/>
      <c r="N478" s="235"/>
      <c r="O478" s="235"/>
      <c r="P478" s="235"/>
      <c r="Q478" s="235"/>
      <c r="R478" s="198"/>
      <c r="S478" s="199"/>
      <c r="T478" s="200"/>
      <c r="U478" s="240"/>
      <c r="V478" s="240"/>
      <c r="W478" s="240"/>
      <c r="BA478"/>
      <c r="BB478"/>
    </row>
    <row r="479" spans="1:54" s="190" customFormat="1" ht="13.5">
      <c r="A479" s="182"/>
      <c r="B479" s="178"/>
      <c r="C479" s="183" t="s">
        <v>718</v>
      </c>
      <c r="D479" s="233" t="s">
        <v>718</v>
      </c>
      <c r="E479" s="239"/>
      <c r="F479" s="234"/>
      <c r="G479" s="235"/>
      <c r="H479" s="235"/>
      <c r="I479" s="235"/>
      <c r="J479" s="235"/>
      <c r="K479" s="235"/>
      <c r="L479" s="235"/>
      <c r="M479" s="235"/>
      <c r="N479" s="235"/>
      <c r="O479" s="235"/>
      <c r="P479" s="235"/>
      <c r="Q479" s="235"/>
      <c r="R479" s="198"/>
      <c r="S479" s="199"/>
      <c r="T479" s="200"/>
      <c r="U479" s="240"/>
      <c r="V479" s="240"/>
      <c r="W479" s="240"/>
      <c r="BA479"/>
      <c r="BB479"/>
    </row>
    <row r="480" spans="1:54" s="190" customFormat="1" ht="13.5">
      <c r="A480" s="182"/>
      <c r="B480" s="178"/>
      <c r="C480" s="183" t="s">
        <v>718</v>
      </c>
      <c r="D480" s="233" t="s">
        <v>718</v>
      </c>
      <c r="E480" s="239"/>
      <c r="F480" s="234"/>
      <c r="G480" s="235"/>
      <c r="H480" s="235"/>
      <c r="I480" s="235"/>
      <c r="J480" s="235"/>
      <c r="K480" s="235"/>
      <c r="L480" s="235"/>
      <c r="M480" s="235"/>
      <c r="N480" s="235"/>
      <c r="O480" s="235"/>
      <c r="P480" s="235"/>
      <c r="Q480" s="235"/>
      <c r="R480" s="198"/>
      <c r="S480" s="199"/>
      <c r="T480" s="200"/>
      <c r="U480" s="240"/>
      <c r="V480" s="240"/>
      <c r="W480" s="240"/>
      <c r="BA480"/>
      <c r="BB480"/>
    </row>
    <row r="481" spans="1:54" s="190" customFormat="1" ht="13.5">
      <c r="A481" s="182"/>
      <c r="B481" s="178"/>
      <c r="C481" s="183" t="s">
        <v>718</v>
      </c>
      <c r="D481" s="233" t="s">
        <v>718</v>
      </c>
      <c r="E481" s="239"/>
      <c r="F481" s="234"/>
      <c r="G481" s="235"/>
      <c r="H481" s="235"/>
      <c r="I481" s="235"/>
      <c r="J481" s="235"/>
      <c r="K481" s="235"/>
      <c r="L481" s="235"/>
      <c r="M481" s="235"/>
      <c r="N481" s="235"/>
      <c r="O481" s="235"/>
      <c r="P481" s="235"/>
      <c r="Q481" s="235"/>
      <c r="R481" s="198"/>
      <c r="S481" s="199"/>
      <c r="T481" s="200"/>
      <c r="U481" s="240"/>
      <c r="V481" s="240"/>
      <c r="W481" s="240"/>
      <c r="BA481"/>
      <c r="BB481"/>
    </row>
    <row r="482" spans="1:54" s="190" customFormat="1" ht="13.5">
      <c r="A482" s="182"/>
      <c r="B482" s="178"/>
      <c r="C482" s="183" t="s">
        <v>718</v>
      </c>
      <c r="D482" s="233" t="s">
        <v>718</v>
      </c>
      <c r="E482" s="239"/>
      <c r="F482" s="234"/>
      <c r="G482" s="235"/>
      <c r="H482" s="235"/>
      <c r="I482" s="235"/>
      <c r="J482" s="235"/>
      <c r="K482" s="235"/>
      <c r="L482" s="235"/>
      <c r="M482" s="235"/>
      <c r="N482" s="235"/>
      <c r="O482" s="235"/>
      <c r="P482" s="235"/>
      <c r="Q482" s="235"/>
      <c r="R482" s="198"/>
      <c r="S482" s="199"/>
      <c r="T482" s="200"/>
      <c r="U482" s="240"/>
      <c r="V482" s="240"/>
      <c r="W482" s="240"/>
      <c r="BA482"/>
      <c r="BB482"/>
    </row>
    <row r="483" spans="1:54" s="190" customFormat="1" ht="13.5">
      <c r="A483" s="182"/>
      <c r="B483" s="178"/>
      <c r="C483" s="183" t="s">
        <v>718</v>
      </c>
      <c r="D483" s="233" t="s">
        <v>718</v>
      </c>
      <c r="E483" s="239"/>
      <c r="F483" s="234"/>
      <c r="G483" s="235"/>
      <c r="H483" s="235"/>
      <c r="I483" s="235"/>
      <c r="J483" s="235"/>
      <c r="K483" s="235"/>
      <c r="L483" s="235"/>
      <c r="M483" s="235"/>
      <c r="N483" s="235"/>
      <c r="O483" s="235"/>
      <c r="P483" s="235"/>
      <c r="Q483" s="235"/>
      <c r="R483" s="198"/>
      <c r="S483" s="199"/>
      <c r="T483" s="200"/>
      <c r="U483" s="240"/>
      <c r="V483" s="240"/>
      <c r="W483" s="240"/>
      <c r="BA483"/>
      <c r="BB483"/>
    </row>
    <row r="484" spans="1:54" s="190" customFormat="1" ht="13.5">
      <c r="A484" s="182"/>
      <c r="B484" s="178"/>
      <c r="C484" s="183" t="s">
        <v>718</v>
      </c>
      <c r="D484" s="233" t="s">
        <v>718</v>
      </c>
      <c r="E484" s="239"/>
      <c r="F484" s="234"/>
      <c r="G484" s="235"/>
      <c r="H484" s="235"/>
      <c r="I484" s="235"/>
      <c r="J484" s="235"/>
      <c r="K484" s="235"/>
      <c r="L484" s="235"/>
      <c r="M484" s="235"/>
      <c r="N484" s="235"/>
      <c r="O484" s="235"/>
      <c r="P484" s="235"/>
      <c r="Q484" s="235"/>
      <c r="R484" s="198"/>
      <c r="S484" s="199"/>
      <c r="T484" s="200"/>
      <c r="U484" s="240"/>
      <c r="V484" s="240"/>
      <c r="W484" s="240"/>
      <c r="BA484"/>
      <c r="BB484"/>
    </row>
    <row r="485" spans="1:54" s="190" customFormat="1" ht="13.5">
      <c r="A485" s="182"/>
      <c r="B485" s="178"/>
      <c r="C485" s="183" t="s">
        <v>718</v>
      </c>
      <c r="D485" s="233" t="s">
        <v>718</v>
      </c>
      <c r="E485" s="239"/>
      <c r="F485" s="234"/>
      <c r="G485" s="235"/>
      <c r="H485" s="235"/>
      <c r="I485" s="235"/>
      <c r="J485" s="235"/>
      <c r="K485" s="235"/>
      <c r="L485" s="235"/>
      <c r="M485" s="235"/>
      <c r="N485" s="235"/>
      <c r="O485" s="235"/>
      <c r="P485" s="235"/>
      <c r="Q485" s="235"/>
      <c r="R485" s="198"/>
      <c r="S485" s="199"/>
      <c r="T485" s="200"/>
      <c r="U485" s="240"/>
      <c r="V485" s="240"/>
      <c r="W485" s="240"/>
      <c r="BA485"/>
      <c r="BB485"/>
    </row>
    <row r="486" spans="1:54" s="190" customFormat="1" ht="13.5">
      <c r="A486" s="182"/>
      <c r="B486" s="178"/>
      <c r="C486" s="183" t="s">
        <v>718</v>
      </c>
      <c r="D486" s="233" t="s">
        <v>718</v>
      </c>
      <c r="E486" s="239"/>
      <c r="F486" s="234"/>
      <c r="G486" s="235"/>
      <c r="H486" s="235"/>
      <c r="I486" s="235"/>
      <c r="J486" s="235"/>
      <c r="K486" s="235"/>
      <c r="L486" s="235"/>
      <c r="M486" s="235"/>
      <c r="N486" s="235"/>
      <c r="O486" s="235"/>
      <c r="P486" s="235"/>
      <c r="Q486" s="235"/>
      <c r="R486" s="198"/>
      <c r="S486" s="199"/>
      <c r="T486" s="200"/>
      <c r="U486" s="240"/>
      <c r="V486" s="240"/>
      <c r="W486" s="240"/>
      <c r="BA486"/>
      <c r="BB486"/>
    </row>
    <row r="487" spans="1:54" s="190" customFormat="1" ht="13.5">
      <c r="A487" s="182"/>
      <c r="B487" s="178"/>
      <c r="C487" s="183" t="s">
        <v>718</v>
      </c>
      <c r="D487" s="233" t="s">
        <v>718</v>
      </c>
      <c r="E487" s="239"/>
      <c r="F487" s="234"/>
      <c r="G487" s="235"/>
      <c r="H487" s="235"/>
      <c r="I487" s="235"/>
      <c r="J487" s="235"/>
      <c r="K487" s="235"/>
      <c r="L487" s="235"/>
      <c r="M487" s="235"/>
      <c r="N487" s="235"/>
      <c r="O487" s="235"/>
      <c r="P487" s="235"/>
      <c r="Q487" s="235"/>
      <c r="R487" s="198"/>
      <c r="S487" s="199"/>
      <c r="T487" s="200"/>
      <c r="U487" s="240"/>
      <c r="V487" s="240"/>
      <c r="W487" s="240"/>
      <c r="BA487"/>
      <c r="BB487"/>
    </row>
    <row r="488" spans="1:54" s="190" customFormat="1" ht="13.5">
      <c r="A488" s="182"/>
      <c r="B488" s="178"/>
      <c r="C488" s="183" t="s">
        <v>718</v>
      </c>
      <c r="D488" s="233" t="s">
        <v>718</v>
      </c>
      <c r="E488" s="239"/>
      <c r="F488" s="234"/>
      <c r="G488" s="235"/>
      <c r="H488" s="235"/>
      <c r="I488" s="235"/>
      <c r="J488" s="235"/>
      <c r="K488" s="235"/>
      <c r="L488" s="235"/>
      <c r="M488" s="235"/>
      <c r="N488" s="235"/>
      <c r="O488" s="235"/>
      <c r="P488" s="235"/>
      <c r="Q488" s="235"/>
      <c r="R488" s="198"/>
      <c r="S488" s="199"/>
      <c r="T488" s="200"/>
      <c r="U488" s="240"/>
      <c r="V488" s="240"/>
      <c r="W488" s="240"/>
      <c r="BA488"/>
      <c r="BB488"/>
    </row>
    <row r="489" spans="1:54" s="190" customFormat="1" ht="13.5">
      <c r="A489" s="182"/>
      <c r="B489" s="178"/>
      <c r="C489" s="183" t="s">
        <v>718</v>
      </c>
      <c r="D489" s="233" t="s">
        <v>718</v>
      </c>
      <c r="E489" s="239"/>
      <c r="F489" s="234"/>
      <c r="G489" s="235"/>
      <c r="H489" s="235"/>
      <c r="I489" s="235"/>
      <c r="J489" s="235"/>
      <c r="K489" s="235"/>
      <c r="L489" s="235"/>
      <c r="M489" s="235"/>
      <c r="N489" s="235"/>
      <c r="O489" s="235"/>
      <c r="P489" s="235"/>
      <c r="Q489" s="235"/>
      <c r="R489" s="198"/>
      <c r="S489" s="199"/>
      <c r="T489" s="200"/>
      <c r="U489" s="240"/>
      <c r="V489" s="240"/>
      <c r="W489" s="240"/>
      <c r="BA489"/>
      <c r="BB489"/>
    </row>
    <row r="490" spans="1:54" s="190" customFormat="1" ht="13.5">
      <c r="A490" s="182"/>
      <c r="B490" s="178"/>
      <c r="C490" s="183" t="s">
        <v>718</v>
      </c>
      <c r="D490" s="233" t="s">
        <v>718</v>
      </c>
      <c r="E490" s="239"/>
      <c r="F490" s="234"/>
      <c r="G490" s="235"/>
      <c r="H490" s="235"/>
      <c r="I490" s="235"/>
      <c r="J490" s="235"/>
      <c r="K490" s="235"/>
      <c r="L490" s="235"/>
      <c r="M490" s="235"/>
      <c r="N490" s="235"/>
      <c r="O490" s="235"/>
      <c r="P490" s="235"/>
      <c r="Q490" s="235"/>
      <c r="R490" s="198"/>
      <c r="S490" s="199"/>
      <c r="T490" s="200"/>
      <c r="U490" s="240"/>
      <c r="V490" s="240"/>
      <c r="W490" s="240"/>
      <c r="BA490"/>
      <c r="BB490"/>
    </row>
    <row r="491" spans="1:54" s="190" customFormat="1" ht="13.5">
      <c r="A491" s="182"/>
      <c r="B491" s="178"/>
      <c r="C491" s="183" t="s">
        <v>718</v>
      </c>
      <c r="D491" s="233" t="s">
        <v>718</v>
      </c>
      <c r="E491" s="239"/>
      <c r="F491" s="234"/>
      <c r="G491" s="235"/>
      <c r="H491" s="235"/>
      <c r="I491" s="235"/>
      <c r="J491" s="235"/>
      <c r="K491" s="235"/>
      <c r="L491" s="235"/>
      <c r="M491" s="235"/>
      <c r="N491" s="235"/>
      <c r="O491" s="235"/>
      <c r="P491" s="235"/>
      <c r="Q491" s="235"/>
      <c r="R491" s="198"/>
      <c r="S491" s="199"/>
      <c r="T491" s="200"/>
      <c r="U491" s="240"/>
      <c r="V491" s="240"/>
      <c r="W491" s="240"/>
      <c r="BA491"/>
      <c r="BB491"/>
    </row>
    <row r="492" spans="1:54" s="190" customFormat="1" ht="13.5">
      <c r="A492" s="182"/>
      <c r="B492" s="178"/>
      <c r="C492" s="183" t="s">
        <v>718</v>
      </c>
      <c r="D492" s="233" t="s">
        <v>718</v>
      </c>
      <c r="E492" s="239"/>
      <c r="F492" s="234"/>
      <c r="G492" s="235"/>
      <c r="H492" s="235"/>
      <c r="I492" s="235"/>
      <c r="J492" s="235"/>
      <c r="K492" s="235"/>
      <c r="L492" s="235"/>
      <c r="M492" s="235"/>
      <c r="N492" s="235"/>
      <c r="O492" s="235"/>
      <c r="P492" s="235"/>
      <c r="Q492" s="235"/>
      <c r="R492" s="198"/>
      <c r="S492" s="199"/>
      <c r="T492" s="200"/>
      <c r="U492" s="240"/>
      <c r="V492" s="240"/>
      <c r="W492" s="240"/>
      <c r="BA492"/>
      <c r="BB492"/>
    </row>
    <row r="493" spans="1:54" s="190" customFormat="1" ht="13.5">
      <c r="A493" s="182"/>
      <c r="B493" s="178"/>
      <c r="C493" s="183" t="s">
        <v>718</v>
      </c>
      <c r="D493" s="233" t="s">
        <v>718</v>
      </c>
      <c r="E493" s="239"/>
      <c r="F493" s="234"/>
      <c r="G493" s="235"/>
      <c r="H493" s="235"/>
      <c r="I493" s="235"/>
      <c r="J493" s="235"/>
      <c r="K493" s="235"/>
      <c r="L493" s="235"/>
      <c r="M493" s="235"/>
      <c r="N493" s="235"/>
      <c r="O493" s="235"/>
      <c r="P493" s="235"/>
      <c r="Q493" s="235"/>
      <c r="R493" s="198"/>
      <c r="S493" s="199"/>
      <c r="T493" s="200"/>
      <c r="U493" s="240"/>
      <c r="V493" s="240"/>
      <c r="W493" s="240"/>
      <c r="BA493"/>
      <c r="BB493"/>
    </row>
    <row r="494" spans="1:54" s="190" customFormat="1" ht="13.5">
      <c r="A494" s="182"/>
      <c r="B494" s="178"/>
      <c r="C494" s="183" t="s">
        <v>718</v>
      </c>
      <c r="D494" s="233" t="s">
        <v>718</v>
      </c>
      <c r="E494" s="239"/>
      <c r="F494" s="234"/>
      <c r="G494" s="235"/>
      <c r="H494" s="235"/>
      <c r="I494" s="235"/>
      <c r="J494" s="235"/>
      <c r="K494" s="235"/>
      <c r="L494" s="235"/>
      <c r="M494" s="235"/>
      <c r="N494" s="235"/>
      <c r="O494" s="235"/>
      <c r="P494" s="235"/>
      <c r="Q494" s="235"/>
      <c r="R494" s="198"/>
      <c r="S494" s="199"/>
      <c r="T494" s="200"/>
      <c r="U494" s="240"/>
      <c r="V494" s="240"/>
      <c r="W494" s="240"/>
      <c r="BA494"/>
      <c r="BB494"/>
    </row>
    <row r="495" spans="1:54" s="190" customFormat="1" ht="13.5">
      <c r="A495" s="182"/>
      <c r="B495" s="178"/>
      <c r="C495" s="183" t="s">
        <v>718</v>
      </c>
      <c r="D495" s="233" t="s">
        <v>718</v>
      </c>
      <c r="E495" s="239"/>
      <c r="F495" s="234"/>
      <c r="G495" s="235"/>
      <c r="H495" s="235"/>
      <c r="I495" s="235"/>
      <c r="J495" s="235"/>
      <c r="K495" s="235"/>
      <c r="L495" s="235"/>
      <c r="M495" s="235"/>
      <c r="N495" s="235"/>
      <c r="O495" s="235"/>
      <c r="P495" s="235"/>
      <c r="Q495" s="235"/>
      <c r="R495" s="198"/>
      <c r="S495" s="199"/>
      <c r="T495" s="200"/>
      <c r="U495" s="240"/>
      <c r="V495" s="240"/>
      <c r="W495" s="240"/>
      <c r="BA495"/>
      <c r="BB495"/>
    </row>
    <row r="496" spans="1:54" s="190" customFormat="1" ht="13.5">
      <c r="A496" s="182"/>
      <c r="B496" s="178"/>
      <c r="C496" s="183" t="s">
        <v>718</v>
      </c>
      <c r="D496" s="233" t="s">
        <v>718</v>
      </c>
      <c r="E496" s="239"/>
      <c r="F496" s="234"/>
      <c r="G496" s="235"/>
      <c r="H496" s="235"/>
      <c r="I496" s="235"/>
      <c r="J496" s="235"/>
      <c r="K496" s="235"/>
      <c r="L496" s="235"/>
      <c r="M496" s="235"/>
      <c r="N496" s="235"/>
      <c r="O496" s="235"/>
      <c r="P496" s="235"/>
      <c r="Q496" s="235"/>
      <c r="R496" s="198"/>
      <c r="S496" s="199"/>
      <c r="T496" s="200"/>
      <c r="U496" s="240"/>
      <c r="V496" s="240"/>
      <c r="W496" s="240"/>
      <c r="BA496"/>
      <c r="BB496"/>
    </row>
    <row r="497" spans="1:54" s="190" customFormat="1" ht="13.5">
      <c r="A497" s="182"/>
      <c r="B497" s="178"/>
      <c r="C497" s="183" t="s">
        <v>718</v>
      </c>
      <c r="D497" s="233" t="s">
        <v>718</v>
      </c>
      <c r="E497" s="239"/>
      <c r="F497" s="234"/>
      <c r="G497" s="235"/>
      <c r="H497" s="235"/>
      <c r="I497" s="235"/>
      <c r="J497" s="235"/>
      <c r="K497" s="235"/>
      <c r="L497" s="235"/>
      <c r="M497" s="235"/>
      <c r="N497" s="235"/>
      <c r="O497" s="235"/>
      <c r="P497" s="235"/>
      <c r="Q497" s="235"/>
      <c r="R497" s="198"/>
      <c r="S497" s="199"/>
      <c r="T497" s="200"/>
      <c r="U497" s="240"/>
      <c r="V497" s="240"/>
      <c r="W497" s="240"/>
      <c r="BA497"/>
      <c r="BB497"/>
    </row>
    <row r="498" spans="1:54" s="190" customFormat="1" ht="13.5">
      <c r="A498" s="182"/>
      <c r="B498" s="178"/>
      <c r="C498" s="183" t="s">
        <v>718</v>
      </c>
      <c r="D498" s="233" t="s">
        <v>718</v>
      </c>
      <c r="E498" s="239"/>
      <c r="F498" s="234"/>
      <c r="G498" s="235"/>
      <c r="H498" s="235"/>
      <c r="I498" s="235"/>
      <c r="J498" s="235"/>
      <c r="K498" s="235"/>
      <c r="L498" s="235"/>
      <c r="M498" s="235"/>
      <c r="N498" s="235"/>
      <c r="O498" s="235"/>
      <c r="P498" s="235"/>
      <c r="Q498" s="235"/>
      <c r="R498" s="198"/>
      <c r="S498" s="199"/>
      <c r="T498" s="200"/>
      <c r="U498" s="240"/>
      <c r="V498" s="240"/>
      <c r="W498" s="240"/>
      <c r="BA498"/>
      <c r="BB498"/>
    </row>
    <row r="499" spans="1:54" s="190" customFormat="1" ht="13.5">
      <c r="A499" s="182"/>
      <c r="B499" s="178"/>
      <c r="C499" s="183" t="s">
        <v>718</v>
      </c>
      <c r="D499" s="233" t="s">
        <v>718</v>
      </c>
      <c r="E499" s="239"/>
      <c r="F499" s="234"/>
      <c r="G499" s="235"/>
      <c r="H499" s="235"/>
      <c r="I499" s="235"/>
      <c r="J499" s="235"/>
      <c r="K499" s="235"/>
      <c r="L499" s="235"/>
      <c r="M499" s="235"/>
      <c r="N499" s="235"/>
      <c r="O499" s="235"/>
      <c r="P499" s="235"/>
      <c r="Q499" s="235"/>
      <c r="R499" s="198"/>
      <c r="S499" s="199"/>
      <c r="T499" s="200"/>
      <c r="U499" s="240"/>
      <c r="V499" s="240"/>
      <c r="W499" s="240"/>
      <c r="BA499"/>
      <c r="BB499"/>
    </row>
    <row r="500" spans="1:54" s="190" customFormat="1" ht="13.5">
      <c r="A500" s="182"/>
      <c r="B500" s="178"/>
      <c r="C500" s="183" t="s">
        <v>718</v>
      </c>
      <c r="D500" s="233" t="s">
        <v>718</v>
      </c>
      <c r="E500" s="239"/>
      <c r="F500" s="234"/>
      <c r="G500" s="235"/>
      <c r="H500" s="235"/>
      <c r="I500" s="235"/>
      <c r="J500" s="235"/>
      <c r="K500" s="235"/>
      <c r="L500" s="235"/>
      <c r="M500" s="235"/>
      <c r="N500" s="235"/>
      <c r="O500" s="235"/>
      <c r="P500" s="235"/>
      <c r="Q500" s="235"/>
      <c r="R500" s="198"/>
      <c r="S500" s="199"/>
      <c r="T500" s="200"/>
      <c r="U500" s="240"/>
      <c r="V500" s="240"/>
      <c r="W500" s="240"/>
      <c r="BA500"/>
      <c r="BB500"/>
    </row>
    <row r="501" spans="1:54" s="190" customFormat="1" ht="13.5">
      <c r="A501" s="182"/>
      <c r="B501" s="178"/>
      <c r="C501" s="183" t="s">
        <v>718</v>
      </c>
      <c r="D501" s="233" t="s">
        <v>718</v>
      </c>
      <c r="E501" s="239"/>
      <c r="F501" s="234"/>
      <c r="G501" s="235"/>
      <c r="H501" s="235"/>
      <c r="I501" s="235"/>
      <c r="J501" s="235"/>
      <c r="K501" s="235"/>
      <c r="L501" s="235"/>
      <c r="M501" s="235"/>
      <c r="N501" s="235"/>
      <c r="O501" s="235"/>
      <c r="P501" s="235"/>
      <c r="Q501" s="235"/>
      <c r="R501" s="198"/>
      <c r="S501" s="199"/>
      <c r="T501" s="200"/>
      <c r="U501" s="240"/>
      <c r="V501" s="240"/>
      <c r="W501" s="240"/>
      <c r="BA501"/>
      <c r="BB501"/>
    </row>
    <row r="502" spans="1:54" s="190" customFormat="1" ht="13.5">
      <c r="A502" s="182"/>
      <c r="B502" s="178"/>
      <c r="C502" s="183" t="s">
        <v>718</v>
      </c>
      <c r="D502" s="233" t="s">
        <v>718</v>
      </c>
      <c r="E502" s="239"/>
      <c r="F502" s="234"/>
      <c r="G502" s="235"/>
      <c r="H502" s="235"/>
      <c r="I502" s="235"/>
      <c r="J502" s="235"/>
      <c r="K502" s="235"/>
      <c r="L502" s="235"/>
      <c r="M502" s="235"/>
      <c r="N502" s="235"/>
      <c r="O502" s="235"/>
      <c r="P502" s="235"/>
      <c r="Q502" s="235"/>
      <c r="R502" s="198"/>
      <c r="S502" s="199"/>
      <c r="T502" s="200"/>
      <c r="U502" s="240"/>
      <c r="V502" s="240"/>
      <c r="W502" s="240"/>
      <c r="BA502"/>
      <c r="BB502"/>
    </row>
    <row r="503" spans="1:54" s="190" customFormat="1" ht="13.5">
      <c r="A503" s="182"/>
      <c r="B503" s="178"/>
      <c r="C503" s="183" t="s">
        <v>718</v>
      </c>
      <c r="D503" s="233" t="s">
        <v>718</v>
      </c>
      <c r="E503" s="239"/>
      <c r="F503" s="234"/>
      <c r="G503" s="235"/>
      <c r="H503" s="235"/>
      <c r="I503" s="235"/>
      <c r="J503" s="235"/>
      <c r="K503" s="235"/>
      <c r="L503" s="235"/>
      <c r="M503" s="235"/>
      <c r="N503" s="235"/>
      <c r="O503" s="235"/>
      <c r="P503" s="235"/>
      <c r="Q503" s="235"/>
      <c r="R503" s="198"/>
      <c r="S503" s="199"/>
      <c r="T503" s="200"/>
      <c r="U503" s="240"/>
      <c r="V503" s="240"/>
      <c r="W503" s="240"/>
      <c r="BA503"/>
      <c r="BB503"/>
    </row>
    <row r="504" spans="1:54" s="190" customFormat="1" ht="13.5">
      <c r="A504" s="182"/>
      <c r="B504" s="178"/>
      <c r="C504" s="183" t="s">
        <v>718</v>
      </c>
      <c r="D504" s="233" t="s">
        <v>718</v>
      </c>
      <c r="E504" s="239"/>
      <c r="F504" s="234"/>
      <c r="G504" s="235"/>
      <c r="H504" s="235"/>
      <c r="I504" s="235"/>
      <c r="J504" s="235"/>
      <c r="K504" s="235"/>
      <c r="L504" s="235"/>
      <c r="M504" s="235"/>
      <c r="N504" s="235"/>
      <c r="O504" s="235"/>
      <c r="P504" s="235"/>
      <c r="Q504" s="235"/>
      <c r="R504" s="198"/>
      <c r="S504" s="199"/>
      <c r="T504" s="200"/>
      <c r="U504" s="240"/>
      <c r="V504" s="240"/>
      <c r="W504" s="240"/>
      <c r="BA504"/>
      <c r="BB504"/>
    </row>
    <row r="505" spans="1:54" s="190" customFormat="1" ht="13.5">
      <c r="A505" s="182"/>
      <c r="B505" s="178"/>
      <c r="C505" s="183" t="s">
        <v>718</v>
      </c>
      <c r="D505" s="233" t="s">
        <v>718</v>
      </c>
      <c r="E505" s="239"/>
      <c r="F505" s="234"/>
      <c r="G505" s="235"/>
      <c r="H505" s="235"/>
      <c r="I505" s="235"/>
      <c r="J505" s="235"/>
      <c r="K505" s="235"/>
      <c r="L505" s="235"/>
      <c r="M505" s="235"/>
      <c r="N505" s="235"/>
      <c r="O505" s="235"/>
      <c r="P505" s="235"/>
      <c r="Q505" s="235"/>
      <c r="R505" s="198"/>
      <c r="S505" s="199"/>
      <c r="T505" s="200"/>
      <c r="U505" s="240"/>
      <c r="V505" s="240"/>
      <c r="W505" s="240"/>
      <c r="BA505"/>
      <c r="BB505"/>
    </row>
    <row r="506" spans="1:54" s="190" customFormat="1" ht="13.5">
      <c r="A506" s="182"/>
      <c r="B506" s="178"/>
      <c r="C506" s="183" t="s">
        <v>718</v>
      </c>
      <c r="D506" s="233" t="s">
        <v>718</v>
      </c>
      <c r="E506" s="239"/>
      <c r="F506" s="234"/>
      <c r="G506" s="235"/>
      <c r="H506" s="235"/>
      <c r="I506" s="235"/>
      <c r="J506" s="235"/>
      <c r="K506" s="235"/>
      <c r="L506" s="235"/>
      <c r="M506" s="235"/>
      <c r="N506" s="235"/>
      <c r="O506" s="235"/>
      <c r="P506" s="235"/>
      <c r="Q506" s="235"/>
      <c r="R506" s="198"/>
      <c r="S506" s="199"/>
      <c r="T506" s="200"/>
      <c r="U506" s="240"/>
      <c r="V506" s="240"/>
      <c r="W506" s="240"/>
      <c r="BA506"/>
      <c r="BB506"/>
    </row>
    <row r="507" spans="1:54" s="190" customFormat="1" ht="13.5">
      <c r="A507" s="182"/>
      <c r="B507" s="178"/>
      <c r="C507" s="183" t="s">
        <v>718</v>
      </c>
      <c r="D507" s="233" t="s">
        <v>718</v>
      </c>
      <c r="E507" s="239"/>
      <c r="F507" s="234"/>
      <c r="G507" s="235"/>
      <c r="H507" s="235"/>
      <c r="I507" s="235"/>
      <c r="J507" s="235"/>
      <c r="K507" s="235"/>
      <c r="L507" s="235"/>
      <c r="M507" s="235"/>
      <c r="N507" s="235"/>
      <c r="O507" s="235"/>
      <c r="P507" s="235"/>
      <c r="Q507" s="235"/>
      <c r="R507" s="198"/>
      <c r="S507" s="199"/>
      <c r="T507" s="200"/>
      <c r="U507" s="240"/>
      <c r="V507" s="240"/>
      <c r="W507" s="240"/>
      <c r="BA507"/>
      <c r="BB507"/>
    </row>
    <row r="508" spans="1:54" s="190" customFormat="1" ht="13.5">
      <c r="A508" s="182"/>
      <c r="B508" s="178"/>
      <c r="C508" s="183" t="s">
        <v>718</v>
      </c>
      <c r="D508" s="233" t="s">
        <v>718</v>
      </c>
      <c r="E508" s="239"/>
      <c r="F508" s="234"/>
      <c r="G508" s="235"/>
      <c r="H508" s="235"/>
      <c r="I508" s="235"/>
      <c r="J508" s="235"/>
      <c r="K508" s="235"/>
      <c r="L508" s="235"/>
      <c r="M508" s="235"/>
      <c r="N508" s="235"/>
      <c r="O508" s="235"/>
      <c r="P508" s="235"/>
      <c r="Q508" s="235"/>
      <c r="R508" s="198"/>
      <c r="S508" s="199"/>
      <c r="T508" s="200"/>
      <c r="U508" s="240"/>
      <c r="V508" s="240"/>
      <c r="W508" s="240"/>
      <c r="BA508"/>
      <c r="BB508"/>
    </row>
    <row r="509" spans="1:54" s="190" customFormat="1" ht="13.5">
      <c r="A509" s="182"/>
      <c r="B509" s="178"/>
      <c r="C509" s="183" t="s">
        <v>718</v>
      </c>
      <c r="D509" s="233" t="s">
        <v>718</v>
      </c>
      <c r="E509" s="239"/>
      <c r="F509" s="234"/>
      <c r="G509" s="235"/>
      <c r="H509" s="235"/>
      <c r="I509" s="235"/>
      <c r="J509" s="235"/>
      <c r="K509" s="235"/>
      <c r="L509" s="235"/>
      <c r="M509" s="235"/>
      <c r="N509" s="235"/>
      <c r="O509" s="235"/>
      <c r="P509" s="235"/>
      <c r="Q509" s="235"/>
      <c r="R509" s="198"/>
      <c r="S509" s="199"/>
      <c r="T509" s="200"/>
      <c r="U509" s="240"/>
      <c r="V509" s="240"/>
      <c r="W509" s="240"/>
      <c r="BA509"/>
      <c r="BB509"/>
    </row>
    <row r="510" spans="1:54" s="190" customFormat="1" ht="13.5">
      <c r="A510" s="182"/>
      <c r="B510" s="178"/>
      <c r="C510" s="183" t="s">
        <v>718</v>
      </c>
      <c r="D510" s="233" t="s">
        <v>718</v>
      </c>
      <c r="E510" s="239"/>
      <c r="F510" s="234"/>
      <c r="G510" s="235"/>
      <c r="H510" s="235"/>
      <c r="I510" s="235"/>
      <c r="J510" s="235"/>
      <c r="K510" s="235"/>
      <c r="L510" s="235"/>
      <c r="M510" s="235"/>
      <c r="N510" s="235"/>
      <c r="O510" s="235"/>
      <c r="P510" s="235"/>
      <c r="Q510" s="235"/>
      <c r="R510" s="198"/>
      <c r="S510" s="199"/>
      <c r="T510" s="200"/>
      <c r="U510" s="240"/>
      <c r="V510" s="240"/>
      <c r="W510" s="240"/>
      <c r="BA510"/>
      <c r="BB510"/>
    </row>
    <row r="511" spans="1:54" s="190" customFormat="1" ht="13.5">
      <c r="A511" s="182"/>
      <c r="B511" s="178"/>
      <c r="C511" s="183" t="s">
        <v>718</v>
      </c>
      <c r="D511" s="233" t="s">
        <v>718</v>
      </c>
      <c r="E511" s="239"/>
      <c r="F511" s="234"/>
      <c r="G511" s="235"/>
      <c r="H511" s="235"/>
      <c r="I511" s="235"/>
      <c r="J511" s="235"/>
      <c r="K511" s="235"/>
      <c r="L511" s="235"/>
      <c r="M511" s="235"/>
      <c r="N511" s="235"/>
      <c r="O511" s="235"/>
      <c r="P511" s="235"/>
      <c r="Q511" s="235"/>
      <c r="R511" s="198"/>
      <c r="S511" s="199"/>
      <c r="T511" s="200"/>
      <c r="U511" s="240"/>
      <c r="V511" s="240"/>
      <c r="W511" s="240"/>
      <c r="BA511"/>
      <c r="BB511"/>
    </row>
    <row r="512" spans="1:54" s="190" customFormat="1" ht="13.5">
      <c r="A512" s="182"/>
      <c r="B512" s="178"/>
      <c r="C512" s="183" t="s">
        <v>718</v>
      </c>
      <c r="D512" s="233" t="s">
        <v>718</v>
      </c>
      <c r="E512" s="239"/>
      <c r="F512" s="234"/>
      <c r="G512" s="235"/>
      <c r="H512" s="235"/>
      <c r="I512" s="235"/>
      <c r="J512" s="235"/>
      <c r="K512" s="235"/>
      <c r="L512" s="235"/>
      <c r="M512" s="235"/>
      <c r="N512" s="235"/>
      <c r="O512" s="235"/>
      <c r="P512" s="235"/>
      <c r="Q512" s="235"/>
      <c r="R512" s="198"/>
      <c r="S512" s="199"/>
      <c r="T512" s="200"/>
      <c r="U512" s="240"/>
      <c r="V512" s="240"/>
      <c r="W512" s="240"/>
      <c r="BA512"/>
      <c r="BB512"/>
    </row>
    <row r="513" spans="1:54" s="190" customFormat="1" ht="13.5">
      <c r="A513" s="182"/>
      <c r="B513" s="178"/>
      <c r="C513" s="183" t="s">
        <v>718</v>
      </c>
      <c r="D513" s="233" t="s">
        <v>718</v>
      </c>
      <c r="E513" s="239"/>
      <c r="F513" s="234"/>
      <c r="G513" s="235"/>
      <c r="H513" s="235"/>
      <c r="I513" s="235"/>
      <c r="J513" s="235"/>
      <c r="K513" s="235"/>
      <c r="L513" s="235"/>
      <c r="M513" s="235"/>
      <c r="N513" s="235"/>
      <c r="O513" s="235"/>
      <c r="P513" s="235"/>
      <c r="Q513" s="235"/>
      <c r="R513" s="198"/>
      <c r="S513" s="199"/>
      <c r="T513" s="200"/>
      <c r="U513" s="240"/>
      <c r="V513" s="240"/>
      <c r="W513" s="240"/>
      <c r="BA513"/>
      <c r="BB513"/>
    </row>
    <row r="514" spans="1:54" s="190" customFormat="1" ht="13.5">
      <c r="A514" s="182"/>
      <c r="B514" s="178"/>
      <c r="C514" s="183" t="s">
        <v>718</v>
      </c>
      <c r="D514" s="233" t="s">
        <v>718</v>
      </c>
      <c r="E514" s="239"/>
      <c r="F514" s="234"/>
      <c r="G514" s="235"/>
      <c r="H514" s="235"/>
      <c r="I514" s="235"/>
      <c r="J514" s="235"/>
      <c r="K514" s="235"/>
      <c r="L514" s="235"/>
      <c r="M514" s="235"/>
      <c r="N514" s="235"/>
      <c r="O514" s="235"/>
      <c r="P514" s="235"/>
      <c r="Q514" s="235"/>
      <c r="R514" s="198"/>
      <c r="S514" s="199"/>
      <c r="T514" s="200"/>
      <c r="U514" s="240"/>
      <c r="V514" s="240"/>
      <c r="W514" s="240"/>
      <c r="BA514"/>
      <c r="BB514"/>
    </row>
    <row r="515" spans="1:54" s="190" customFormat="1" ht="13.5">
      <c r="A515" s="182"/>
      <c r="B515" s="178"/>
      <c r="C515" s="183" t="s">
        <v>718</v>
      </c>
      <c r="D515" s="233" t="s">
        <v>718</v>
      </c>
      <c r="E515" s="239"/>
      <c r="F515" s="234"/>
      <c r="G515" s="235"/>
      <c r="H515" s="235"/>
      <c r="I515" s="235"/>
      <c r="J515" s="235"/>
      <c r="K515" s="235"/>
      <c r="L515" s="235"/>
      <c r="M515" s="235"/>
      <c r="N515" s="235"/>
      <c r="O515" s="235"/>
      <c r="P515" s="235"/>
      <c r="Q515" s="235"/>
      <c r="R515" s="198"/>
      <c r="S515" s="199"/>
      <c r="T515" s="200"/>
      <c r="U515" s="240"/>
      <c r="V515" s="240"/>
      <c r="W515" s="240"/>
      <c r="BA515"/>
      <c r="BB515"/>
    </row>
    <row r="516" spans="1:54" s="190" customFormat="1" ht="13.5">
      <c r="A516" s="182"/>
      <c r="B516" s="178"/>
      <c r="C516" s="183" t="s">
        <v>718</v>
      </c>
      <c r="D516" s="233" t="s">
        <v>718</v>
      </c>
      <c r="E516" s="239"/>
      <c r="F516" s="234"/>
      <c r="G516" s="235"/>
      <c r="H516" s="235"/>
      <c r="I516" s="235"/>
      <c r="J516" s="235"/>
      <c r="K516" s="235"/>
      <c r="L516" s="235"/>
      <c r="M516" s="235"/>
      <c r="N516" s="235"/>
      <c r="O516" s="235"/>
      <c r="P516" s="235"/>
      <c r="Q516" s="235"/>
      <c r="R516" s="198"/>
      <c r="S516" s="199"/>
      <c r="T516" s="200"/>
      <c r="U516" s="240"/>
      <c r="V516" s="240"/>
      <c r="W516" s="240"/>
      <c r="BA516"/>
      <c r="BB516"/>
    </row>
    <row r="517" spans="1:54" s="190" customFormat="1" ht="13.5">
      <c r="A517" s="182"/>
      <c r="B517" s="178"/>
      <c r="C517" s="183" t="s">
        <v>718</v>
      </c>
      <c r="D517" s="233" t="s">
        <v>718</v>
      </c>
      <c r="E517" s="239"/>
      <c r="F517" s="234"/>
      <c r="G517" s="235"/>
      <c r="H517" s="235"/>
      <c r="I517" s="235"/>
      <c r="J517" s="235"/>
      <c r="K517" s="235"/>
      <c r="L517" s="235"/>
      <c r="M517" s="235"/>
      <c r="N517" s="235"/>
      <c r="O517" s="235"/>
      <c r="P517" s="235"/>
      <c r="Q517" s="235"/>
      <c r="R517" s="198"/>
      <c r="S517" s="199"/>
      <c r="T517" s="200"/>
      <c r="U517" s="240"/>
      <c r="V517" s="240"/>
      <c r="W517" s="240"/>
      <c r="BA517"/>
      <c r="BB517"/>
    </row>
    <row r="518" spans="1:54" s="190" customFormat="1" ht="13.5">
      <c r="A518" s="182"/>
      <c r="B518" s="178"/>
      <c r="C518" s="183" t="s">
        <v>718</v>
      </c>
      <c r="D518" s="233" t="s">
        <v>718</v>
      </c>
      <c r="E518" s="239"/>
      <c r="F518" s="234"/>
      <c r="G518" s="235"/>
      <c r="H518" s="235"/>
      <c r="I518" s="235"/>
      <c r="J518" s="235"/>
      <c r="K518" s="235"/>
      <c r="L518" s="235"/>
      <c r="M518" s="235"/>
      <c r="N518" s="235"/>
      <c r="O518" s="235"/>
      <c r="P518" s="235"/>
      <c r="Q518" s="235"/>
      <c r="R518" s="198"/>
      <c r="S518" s="199"/>
      <c r="T518" s="200"/>
      <c r="U518" s="240"/>
      <c r="V518" s="240"/>
      <c r="W518" s="240"/>
      <c r="BA518"/>
      <c r="BB518"/>
    </row>
    <row r="519" spans="1:54" s="190" customFormat="1" ht="13.5">
      <c r="A519" s="182"/>
      <c r="B519" s="178"/>
      <c r="C519" s="183" t="s">
        <v>718</v>
      </c>
      <c r="D519" s="233" t="s">
        <v>718</v>
      </c>
      <c r="E519" s="239"/>
      <c r="F519" s="234"/>
      <c r="G519" s="235"/>
      <c r="H519" s="235"/>
      <c r="I519" s="235"/>
      <c r="J519" s="235"/>
      <c r="K519" s="235"/>
      <c r="L519" s="235"/>
      <c r="M519" s="235"/>
      <c r="N519" s="235"/>
      <c r="O519" s="235"/>
      <c r="P519" s="235"/>
      <c r="Q519" s="235"/>
      <c r="R519" s="198"/>
      <c r="S519" s="199"/>
      <c r="T519" s="200"/>
      <c r="U519" s="240"/>
      <c r="V519" s="240"/>
      <c r="W519" s="240"/>
      <c r="BA519"/>
      <c r="BB519"/>
    </row>
    <row r="520" spans="1:54" s="190" customFormat="1" ht="13.5">
      <c r="A520" s="182"/>
      <c r="B520" s="178"/>
      <c r="C520" s="183" t="s">
        <v>718</v>
      </c>
      <c r="D520" s="233" t="s">
        <v>718</v>
      </c>
      <c r="E520" s="239"/>
      <c r="F520" s="234"/>
      <c r="G520" s="235"/>
      <c r="H520" s="235"/>
      <c r="I520" s="235"/>
      <c r="J520" s="235"/>
      <c r="K520" s="235"/>
      <c r="L520" s="235"/>
      <c r="M520" s="235"/>
      <c r="N520" s="235"/>
      <c r="O520" s="235"/>
      <c r="P520" s="235"/>
      <c r="Q520" s="235"/>
      <c r="R520" s="198"/>
      <c r="S520" s="199"/>
      <c r="T520" s="200"/>
      <c r="U520" s="240"/>
      <c r="V520" s="240"/>
      <c r="W520" s="240"/>
      <c r="BA520"/>
      <c r="BB520"/>
    </row>
    <row r="521" spans="1:54" s="190" customFormat="1" ht="13.5">
      <c r="A521" s="182"/>
      <c r="B521" s="178"/>
      <c r="C521" s="183" t="s">
        <v>718</v>
      </c>
      <c r="D521" s="233" t="s">
        <v>718</v>
      </c>
      <c r="E521" s="239"/>
      <c r="F521" s="234"/>
      <c r="G521" s="235"/>
      <c r="H521" s="235"/>
      <c r="I521" s="235"/>
      <c r="J521" s="235"/>
      <c r="K521" s="235"/>
      <c r="L521" s="235"/>
      <c r="M521" s="235"/>
      <c r="N521" s="235"/>
      <c r="O521" s="235"/>
      <c r="P521" s="235"/>
      <c r="Q521" s="235"/>
      <c r="R521" s="198"/>
      <c r="S521" s="199"/>
      <c r="T521" s="200"/>
      <c r="U521" s="240"/>
      <c r="V521" s="240"/>
      <c r="W521" s="240"/>
      <c r="BA521"/>
      <c r="BB521"/>
    </row>
    <row r="522" spans="1:54" s="190" customFormat="1" ht="13.5">
      <c r="A522" s="182"/>
      <c r="B522" s="178"/>
      <c r="C522" s="183" t="s">
        <v>718</v>
      </c>
      <c r="D522" s="233" t="s">
        <v>718</v>
      </c>
      <c r="E522" s="239"/>
      <c r="F522" s="234"/>
      <c r="G522" s="235"/>
      <c r="H522" s="235"/>
      <c r="I522" s="235"/>
      <c r="J522" s="235"/>
      <c r="K522" s="235"/>
      <c r="L522" s="235"/>
      <c r="M522" s="235"/>
      <c r="N522" s="235"/>
      <c r="O522" s="235"/>
      <c r="P522" s="235"/>
      <c r="Q522" s="235"/>
      <c r="R522" s="198"/>
      <c r="S522" s="199"/>
      <c r="T522" s="200"/>
      <c r="U522" s="240"/>
      <c r="V522" s="240"/>
      <c r="W522" s="240"/>
      <c r="BA522"/>
      <c r="BB522"/>
    </row>
    <row r="523" spans="1:54" s="190" customFormat="1" ht="13.5">
      <c r="A523" s="182"/>
      <c r="B523" s="178"/>
      <c r="C523" s="183" t="s">
        <v>718</v>
      </c>
      <c r="D523" s="233" t="s">
        <v>718</v>
      </c>
      <c r="E523" s="239"/>
      <c r="F523" s="234"/>
      <c r="G523" s="235"/>
      <c r="H523" s="235"/>
      <c r="I523" s="235"/>
      <c r="J523" s="235"/>
      <c r="K523" s="235"/>
      <c r="L523" s="235"/>
      <c r="M523" s="235"/>
      <c r="N523" s="235"/>
      <c r="O523" s="235"/>
      <c r="P523" s="235"/>
      <c r="Q523" s="235"/>
      <c r="R523" s="198"/>
      <c r="S523" s="199"/>
      <c r="T523" s="200"/>
      <c r="U523" s="240"/>
      <c r="V523" s="240"/>
      <c r="W523" s="240"/>
      <c r="BA523"/>
      <c r="BB523"/>
    </row>
    <row r="524" spans="1:54" s="190" customFormat="1" ht="13.5">
      <c r="A524" s="182"/>
      <c r="B524" s="178"/>
      <c r="C524" s="183" t="s">
        <v>718</v>
      </c>
      <c r="D524" s="233" t="s">
        <v>718</v>
      </c>
      <c r="E524" s="239"/>
      <c r="F524" s="234"/>
      <c r="G524" s="235"/>
      <c r="H524" s="235"/>
      <c r="I524" s="235"/>
      <c r="J524" s="235"/>
      <c r="K524" s="235"/>
      <c r="L524" s="235"/>
      <c r="M524" s="235"/>
      <c r="N524" s="235"/>
      <c r="O524" s="235"/>
      <c r="P524" s="235"/>
      <c r="Q524" s="235"/>
      <c r="R524" s="198"/>
      <c r="S524" s="199"/>
      <c r="T524" s="200"/>
      <c r="U524" s="240"/>
      <c r="V524" s="240"/>
      <c r="W524" s="240"/>
      <c r="BA524"/>
      <c r="BB524"/>
    </row>
    <row r="525" spans="1:54" s="190" customFormat="1" ht="13.5">
      <c r="A525" s="182"/>
      <c r="B525" s="178"/>
      <c r="C525" s="183" t="s">
        <v>718</v>
      </c>
      <c r="D525" s="233" t="s">
        <v>718</v>
      </c>
      <c r="E525" s="239"/>
      <c r="F525" s="234"/>
      <c r="G525" s="235"/>
      <c r="H525" s="235"/>
      <c r="I525" s="235"/>
      <c r="J525" s="235"/>
      <c r="K525" s="235"/>
      <c r="L525" s="235"/>
      <c r="M525" s="235"/>
      <c r="N525" s="235"/>
      <c r="O525" s="235"/>
      <c r="P525" s="235"/>
      <c r="Q525" s="235"/>
      <c r="R525" s="198"/>
      <c r="S525" s="199"/>
      <c r="T525" s="200"/>
      <c r="U525" s="240"/>
      <c r="V525" s="240"/>
      <c r="W525" s="240"/>
      <c r="BA525"/>
      <c r="BB525"/>
    </row>
    <row r="526" spans="1:54" s="190" customFormat="1" ht="13.5">
      <c r="A526" s="182"/>
      <c r="B526" s="178"/>
      <c r="C526" s="183" t="s">
        <v>718</v>
      </c>
      <c r="D526" s="233" t="s">
        <v>718</v>
      </c>
      <c r="E526" s="239"/>
      <c r="F526" s="234"/>
      <c r="G526" s="235"/>
      <c r="H526" s="235"/>
      <c r="I526" s="235"/>
      <c r="J526" s="235"/>
      <c r="K526" s="235"/>
      <c r="L526" s="235"/>
      <c r="M526" s="235"/>
      <c r="N526" s="235"/>
      <c r="O526" s="235"/>
      <c r="P526" s="235"/>
      <c r="Q526" s="235"/>
      <c r="R526" s="198"/>
      <c r="S526" s="199"/>
      <c r="T526" s="200"/>
      <c r="U526" s="240"/>
      <c r="V526" s="240"/>
      <c r="W526" s="240"/>
      <c r="BA526"/>
      <c r="BB526"/>
    </row>
    <row r="527" spans="1:54" s="190" customFormat="1" ht="13.5">
      <c r="A527" s="182"/>
      <c r="B527" s="178"/>
      <c r="C527" s="183" t="s">
        <v>718</v>
      </c>
      <c r="D527" s="233" t="s">
        <v>718</v>
      </c>
      <c r="E527" s="239"/>
      <c r="F527" s="234"/>
      <c r="G527" s="235"/>
      <c r="H527" s="235"/>
      <c r="I527" s="235"/>
      <c r="J527" s="235"/>
      <c r="K527" s="235"/>
      <c r="L527" s="235"/>
      <c r="M527" s="235"/>
      <c r="N527" s="235"/>
      <c r="O527" s="235"/>
      <c r="P527" s="235"/>
      <c r="Q527" s="235"/>
      <c r="R527" s="198"/>
      <c r="S527" s="199"/>
      <c r="T527" s="200"/>
      <c r="U527" s="240"/>
      <c r="V527" s="240"/>
      <c r="W527" s="240"/>
      <c r="BA527"/>
      <c r="BB527"/>
    </row>
    <row r="528" spans="1:54" s="190" customFormat="1" ht="13.5">
      <c r="A528" s="182"/>
      <c r="B528" s="178"/>
      <c r="C528" s="183" t="s">
        <v>718</v>
      </c>
      <c r="D528" s="233" t="s">
        <v>718</v>
      </c>
      <c r="E528" s="239"/>
      <c r="F528" s="234"/>
      <c r="G528" s="235"/>
      <c r="H528" s="235"/>
      <c r="I528" s="235"/>
      <c r="J528" s="235"/>
      <c r="K528" s="235"/>
      <c r="L528" s="235"/>
      <c r="M528" s="235"/>
      <c r="N528" s="235"/>
      <c r="O528" s="235"/>
      <c r="P528" s="235"/>
      <c r="Q528" s="235"/>
      <c r="R528" s="198"/>
      <c r="S528" s="199"/>
      <c r="T528" s="200"/>
      <c r="U528" s="240"/>
      <c r="V528" s="240"/>
      <c r="W528" s="240"/>
      <c r="BA528"/>
      <c r="BB528"/>
    </row>
    <row r="529" spans="1:54" s="190" customFormat="1" ht="13.5">
      <c r="A529" s="182"/>
      <c r="B529" s="178"/>
      <c r="C529" s="183" t="s">
        <v>718</v>
      </c>
      <c r="D529" s="233" t="s">
        <v>718</v>
      </c>
      <c r="E529" s="239"/>
      <c r="F529" s="234"/>
      <c r="G529" s="235"/>
      <c r="H529" s="235"/>
      <c r="I529" s="235"/>
      <c r="J529" s="235"/>
      <c r="K529" s="235"/>
      <c r="L529" s="235"/>
      <c r="M529" s="235"/>
      <c r="N529" s="235"/>
      <c r="O529" s="235"/>
      <c r="P529" s="235"/>
      <c r="Q529" s="235"/>
      <c r="R529" s="198"/>
      <c r="S529" s="199"/>
      <c r="T529" s="200"/>
      <c r="U529" s="240"/>
      <c r="V529" s="240"/>
      <c r="W529" s="240"/>
      <c r="BA529"/>
      <c r="BB529"/>
    </row>
    <row r="530" spans="1:54" s="190" customFormat="1" ht="13.5">
      <c r="A530" s="182"/>
      <c r="B530" s="178"/>
      <c r="C530" s="183" t="s">
        <v>718</v>
      </c>
      <c r="D530" s="233" t="s">
        <v>718</v>
      </c>
      <c r="E530" s="239"/>
      <c r="F530" s="234"/>
      <c r="G530" s="235"/>
      <c r="H530" s="235"/>
      <c r="I530" s="235"/>
      <c r="J530" s="235"/>
      <c r="K530" s="235"/>
      <c r="L530" s="235"/>
      <c r="M530" s="235"/>
      <c r="N530" s="235"/>
      <c r="O530" s="235"/>
      <c r="P530" s="235"/>
      <c r="Q530" s="235"/>
      <c r="R530" s="198"/>
      <c r="S530" s="199"/>
      <c r="T530" s="200"/>
      <c r="U530" s="240"/>
      <c r="V530" s="240"/>
      <c r="W530" s="240"/>
      <c r="BA530"/>
      <c r="BB530"/>
    </row>
    <row r="531" spans="1:54" s="190" customFormat="1" ht="13.5">
      <c r="A531" s="182"/>
      <c r="B531" s="178"/>
      <c r="C531" s="183" t="s">
        <v>718</v>
      </c>
      <c r="D531" s="233" t="s">
        <v>718</v>
      </c>
      <c r="E531" s="239"/>
      <c r="F531" s="234"/>
      <c r="G531" s="235"/>
      <c r="H531" s="235"/>
      <c r="I531" s="235"/>
      <c r="J531" s="235"/>
      <c r="K531" s="235"/>
      <c r="L531" s="235"/>
      <c r="M531" s="235"/>
      <c r="N531" s="235"/>
      <c r="O531" s="235"/>
      <c r="P531" s="235"/>
      <c r="Q531" s="235"/>
      <c r="R531" s="198"/>
      <c r="S531" s="199"/>
      <c r="T531" s="200"/>
      <c r="U531" s="240"/>
      <c r="V531" s="240"/>
      <c r="W531" s="240"/>
      <c r="BA531"/>
      <c r="BB531"/>
    </row>
    <row r="532" spans="1:54" s="190" customFormat="1" ht="13.5">
      <c r="A532" s="182"/>
      <c r="B532" s="178"/>
      <c r="C532" s="183" t="s">
        <v>718</v>
      </c>
      <c r="D532" s="233" t="s">
        <v>718</v>
      </c>
      <c r="E532" s="239"/>
      <c r="F532" s="234"/>
      <c r="G532" s="235"/>
      <c r="H532" s="235"/>
      <c r="I532" s="235"/>
      <c r="J532" s="235"/>
      <c r="K532" s="235"/>
      <c r="L532" s="235"/>
      <c r="M532" s="235"/>
      <c r="N532" s="235"/>
      <c r="O532" s="235"/>
      <c r="P532" s="235"/>
      <c r="Q532" s="235"/>
      <c r="R532" s="198"/>
      <c r="S532" s="199"/>
      <c r="T532" s="200"/>
      <c r="U532" s="240"/>
      <c r="V532" s="240"/>
      <c r="W532" s="240"/>
      <c r="BA532"/>
      <c r="BB532"/>
    </row>
    <row r="533" spans="1:54" s="190" customFormat="1" ht="13.5">
      <c r="A533" s="182"/>
      <c r="B533" s="178"/>
      <c r="C533" s="183" t="s">
        <v>718</v>
      </c>
      <c r="D533" s="233" t="s">
        <v>718</v>
      </c>
      <c r="E533" s="239"/>
      <c r="F533" s="234"/>
      <c r="G533" s="235"/>
      <c r="H533" s="235"/>
      <c r="I533" s="235"/>
      <c r="J533" s="235"/>
      <c r="K533" s="235"/>
      <c r="L533" s="235"/>
      <c r="M533" s="235"/>
      <c r="N533" s="235"/>
      <c r="O533" s="235"/>
      <c r="P533" s="235"/>
      <c r="Q533" s="235"/>
      <c r="R533" s="198"/>
      <c r="S533" s="199"/>
      <c r="T533" s="200"/>
      <c r="U533" s="240"/>
      <c r="V533" s="240"/>
      <c r="W533" s="240"/>
      <c r="BA533"/>
      <c r="BB533"/>
    </row>
    <row r="534" spans="1:54" s="190" customFormat="1" ht="13.5">
      <c r="A534" s="182"/>
      <c r="B534" s="178"/>
      <c r="C534" s="183" t="s">
        <v>718</v>
      </c>
      <c r="D534" s="233" t="s">
        <v>718</v>
      </c>
      <c r="E534" s="239"/>
      <c r="F534" s="234"/>
      <c r="G534" s="235"/>
      <c r="H534" s="235"/>
      <c r="I534" s="235"/>
      <c r="J534" s="235"/>
      <c r="K534" s="235"/>
      <c r="L534" s="235"/>
      <c r="M534" s="235"/>
      <c r="N534" s="235"/>
      <c r="O534" s="235"/>
      <c r="P534" s="235"/>
      <c r="Q534" s="235"/>
      <c r="R534" s="198"/>
      <c r="S534" s="199"/>
      <c r="T534" s="200"/>
      <c r="U534" s="240"/>
      <c r="V534" s="240"/>
      <c r="W534" s="240"/>
      <c r="BA534"/>
      <c r="BB534"/>
    </row>
    <row r="535" spans="1:54" s="190" customFormat="1" ht="13.5">
      <c r="A535" s="182"/>
      <c r="B535" s="178"/>
      <c r="C535" s="183" t="s">
        <v>718</v>
      </c>
      <c r="D535" s="233" t="s">
        <v>718</v>
      </c>
      <c r="E535" s="239"/>
      <c r="F535" s="234"/>
      <c r="G535" s="235"/>
      <c r="H535" s="235"/>
      <c r="I535" s="235"/>
      <c r="J535" s="235"/>
      <c r="K535" s="235"/>
      <c r="L535" s="235"/>
      <c r="M535" s="235"/>
      <c r="N535" s="235"/>
      <c r="O535" s="235"/>
      <c r="P535" s="235"/>
      <c r="Q535" s="235"/>
      <c r="R535" s="198"/>
      <c r="S535" s="199"/>
      <c r="T535" s="200"/>
      <c r="U535" s="240"/>
      <c r="V535" s="240"/>
      <c r="W535" s="240"/>
      <c r="BA535"/>
      <c r="BB535"/>
    </row>
    <row r="536" spans="1:54" s="190" customFormat="1" ht="13.5">
      <c r="A536" s="182"/>
      <c r="B536" s="178"/>
      <c r="C536" s="183" t="s">
        <v>718</v>
      </c>
      <c r="D536" s="233" t="s">
        <v>718</v>
      </c>
      <c r="E536" s="239"/>
      <c r="F536" s="234"/>
      <c r="G536" s="235"/>
      <c r="H536" s="235"/>
      <c r="I536" s="235"/>
      <c r="J536" s="235"/>
      <c r="K536" s="235"/>
      <c r="L536" s="235"/>
      <c r="M536" s="235"/>
      <c r="N536" s="235"/>
      <c r="O536" s="235"/>
      <c r="P536" s="235"/>
      <c r="Q536" s="235"/>
      <c r="R536" s="198"/>
      <c r="S536" s="199"/>
      <c r="T536" s="200"/>
      <c r="U536" s="240"/>
      <c r="V536" s="240"/>
      <c r="W536" s="240"/>
      <c r="BA536"/>
      <c r="BB536"/>
    </row>
    <row r="537" spans="1:54" s="190" customFormat="1" ht="13.5">
      <c r="A537" s="182"/>
      <c r="B537" s="178"/>
      <c r="C537" s="183" t="s">
        <v>718</v>
      </c>
      <c r="D537" s="233" t="s">
        <v>718</v>
      </c>
      <c r="E537" s="239"/>
      <c r="F537" s="234"/>
      <c r="G537" s="235"/>
      <c r="H537" s="235"/>
      <c r="I537" s="235"/>
      <c r="J537" s="235"/>
      <c r="K537" s="235"/>
      <c r="L537" s="235"/>
      <c r="M537" s="235"/>
      <c r="N537" s="235"/>
      <c r="O537" s="235"/>
      <c r="P537" s="235"/>
      <c r="Q537" s="235"/>
      <c r="R537" s="198"/>
      <c r="S537" s="199"/>
      <c r="T537" s="200"/>
      <c r="U537" s="240"/>
      <c r="V537" s="240"/>
      <c r="W537" s="240"/>
      <c r="BA537"/>
      <c r="BB537"/>
    </row>
    <row r="538" spans="1:54" s="190" customFormat="1" ht="13.5">
      <c r="A538" s="182"/>
      <c r="B538" s="178"/>
      <c r="C538" s="183" t="s">
        <v>718</v>
      </c>
      <c r="D538" s="233" t="s">
        <v>718</v>
      </c>
      <c r="E538" s="239"/>
      <c r="F538" s="234"/>
      <c r="G538" s="235"/>
      <c r="H538" s="235"/>
      <c r="I538" s="235"/>
      <c r="J538" s="235"/>
      <c r="K538" s="235"/>
      <c r="L538" s="235"/>
      <c r="M538" s="235"/>
      <c r="N538" s="235"/>
      <c r="O538" s="235"/>
      <c r="P538" s="235"/>
      <c r="Q538" s="235"/>
      <c r="R538" s="198"/>
      <c r="S538" s="199"/>
      <c r="T538" s="200"/>
      <c r="U538" s="240"/>
      <c r="V538" s="240"/>
      <c r="W538" s="240"/>
      <c r="BA538"/>
      <c r="BB538"/>
    </row>
    <row r="539" spans="1:54" s="190" customFormat="1" ht="13.5">
      <c r="A539" s="182"/>
      <c r="B539" s="178"/>
      <c r="C539" s="183" t="s">
        <v>718</v>
      </c>
      <c r="D539" s="233" t="s">
        <v>718</v>
      </c>
      <c r="E539" s="239"/>
      <c r="F539" s="234"/>
      <c r="G539" s="235"/>
      <c r="H539" s="235"/>
      <c r="I539" s="235"/>
      <c r="J539" s="235"/>
      <c r="K539" s="235"/>
      <c r="L539" s="235"/>
      <c r="M539" s="235"/>
      <c r="N539" s="235"/>
      <c r="O539" s="235"/>
      <c r="P539" s="235"/>
      <c r="Q539" s="235"/>
      <c r="R539" s="198"/>
      <c r="S539" s="199"/>
      <c r="T539" s="200"/>
      <c r="U539" s="240"/>
      <c r="V539" s="240"/>
      <c r="W539" s="240"/>
      <c r="BA539"/>
      <c r="BB539"/>
    </row>
    <row r="540" spans="1:54" s="190" customFormat="1" ht="13.5">
      <c r="A540" s="182"/>
      <c r="B540" s="178"/>
      <c r="C540" s="183" t="s">
        <v>718</v>
      </c>
      <c r="D540" s="233" t="s">
        <v>718</v>
      </c>
      <c r="E540" s="239"/>
      <c r="F540" s="234"/>
      <c r="G540" s="235"/>
      <c r="H540" s="235"/>
      <c r="I540" s="235"/>
      <c r="J540" s="235"/>
      <c r="K540" s="235"/>
      <c r="L540" s="235"/>
      <c r="M540" s="235"/>
      <c r="N540" s="235"/>
      <c r="O540" s="235"/>
      <c r="P540" s="235"/>
      <c r="Q540" s="235"/>
      <c r="R540" s="198"/>
      <c r="S540" s="199"/>
      <c r="T540" s="200"/>
      <c r="U540" s="240"/>
      <c r="V540" s="240"/>
      <c r="W540" s="240"/>
      <c r="BA540"/>
      <c r="BB540"/>
    </row>
    <row r="541" spans="1:54" s="190" customFormat="1" ht="13.5">
      <c r="A541" s="182"/>
      <c r="B541" s="178"/>
      <c r="C541" s="183" t="s">
        <v>718</v>
      </c>
      <c r="D541" s="233" t="s">
        <v>718</v>
      </c>
      <c r="E541" s="239"/>
      <c r="F541" s="234"/>
      <c r="G541" s="235"/>
      <c r="H541" s="235"/>
      <c r="I541" s="235"/>
      <c r="J541" s="235"/>
      <c r="K541" s="235"/>
      <c r="L541" s="235"/>
      <c r="M541" s="235"/>
      <c r="N541" s="235"/>
      <c r="O541" s="235"/>
      <c r="P541" s="235"/>
      <c r="Q541" s="235"/>
      <c r="R541" s="198"/>
      <c r="S541" s="199"/>
      <c r="T541" s="200"/>
      <c r="U541" s="240"/>
      <c r="V541" s="240"/>
      <c r="W541" s="240"/>
      <c r="BA541"/>
      <c r="BB541"/>
    </row>
    <row r="542" spans="1:54" s="190" customFormat="1" ht="13.5">
      <c r="A542" s="182"/>
      <c r="B542" s="178"/>
      <c r="C542" s="183" t="s">
        <v>718</v>
      </c>
      <c r="D542" s="233" t="s">
        <v>718</v>
      </c>
      <c r="E542" s="239"/>
      <c r="F542" s="234"/>
      <c r="G542" s="235"/>
      <c r="H542" s="235"/>
      <c r="I542" s="235"/>
      <c r="J542" s="235"/>
      <c r="K542" s="235"/>
      <c r="L542" s="235"/>
      <c r="M542" s="235"/>
      <c r="N542" s="235"/>
      <c r="O542" s="235"/>
      <c r="P542" s="235"/>
      <c r="Q542" s="235"/>
      <c r="R542" s="198"/>
      <c r="S542" s="199"/>
      <c r="T542" s="200"/>
      <c r="U542" s="240"/>
      <c r="V542" s="240"/>
      <c r="W542" s="240"/>
      <c r="BA542"/>
      <c r="BB542"/>
    </row>
    <row r="543" spans="1:54" s="190" customFormat="1" ht="13.5">
      <c r="A543" s="182"/>
      <c r="B543" s="178"/>
      <c r="C543" s="183" t="s">
        <v>718</v>
      </c>
      <c r="D543" s="233" t="s">
        <v>718</v>
      </c>
      <c r="E543" s="239"/>
      <c r="F543" s="234"/>
      <c r="G543" s="235"/>
      <c r="H543" s="235"/>
      <c r="I543" s="235"/>
      <c r="J543" s="235"/>
      <c r="K543" s="235"/>
      <c r="L543" s="235"/>
      <c r="M543" s="235"/>
      <c r="N543" s="235"/>
      <c r="O543" s="235"/>
      <c r="P543" s="235"/>
      <c r="Q543" s="235"/>
      <c r="R543" s="198"/>
      <c r="S543" s="199"/>
      <c r="T543" s="200"/>
      <c r="U543" s="240"/>
      <c r="V543" s="240"/>
      <c r="W543" s="240"/>
      <c r="BA543"/>
      <c r="BB543"/>
    </row>
    <row r="544" spans="1:54" s="190" customFormat="1" ht="13.5">
      <c r="A544" s="182"/>
      <c r="B544" s="178"/>
      <c r="C544" s="183" t="s">
        <v>718</v>
      </c>
      <c r="D544" s="233" t="s">
        <v>718</v>
      </c>
      <c r="E544" s="239"/>
      <c r="F544" s="234"/>
      <c r="G544" s="235"/>
      <c r="H544" s="235"/>
      <c r="I544" s="235"/>
      <c r="J544" s="235"/>
      <c r="K544" s="235"/>
      <c r="L544" s="235"/>
      <c r="M544" s="235"/>
      <c r="N544" s="235"/>
      <c r="O544" s="235"/>
      <c r="P544" s="235"/>
      <c r="Q544" s="235"/>
      <c r="R544" s="198"/>
      <c r="S544" s="199"/>
      <c r="T544" s="200"/>
      <c r="U544" s="240"/>
      <c r="V544" s="240"/>
      <c r="W544" s="240"/>
      <c r="BA544"/>
      <c r="BB544"/>
    </row>
    <row r="545" spans="1:54" s="190" customFormat="1" ht="13.5">
      <c r="A545" s="182"/>
      <c r="B545" s="178"/>
      <c r="C545" s="183" t="s">
        <v>718</v>
      </c>
      <c r="D545" s="233" t="s">
        <v>718</v>
      </c>
      <c r="E545" s="239"/>
      <c r="F545" s="234"/>
      <c r="G545" s="235"/>
      <c r="H545" s="235"/>
      <c r="I545" s="235"/>
      <c r="J545" s="235"/>
      <c r="K545" s="235"/>
      <c r="L545" s="235"/>
      <c r="M545" s="235"/>
      <c r="N545" s="235"/>
      <c r="O545" s="235"/>
      <c r="P545" s="235"/>
      <c r="Q545" s="235"/>
      <c r="R545" s="198"/>
      <c r="S545" s="199"/>
      <c r="T545" s="200"/>
      <c r="U545" s="240"/>
      <c r="V545" s="240"/>
      <c r="W545" s="240"/>
      <c r="BA545"/>
      <c r="BB545"/>
    </row>
    <row r="546" spans="1:54" s="190" customFormat="1" ht="13.5">
      <c r="A546" s="182"/>
      <c r="B546" s="178"/>
      <c r="C546" s="183" t="s">
        <v>718</v>
      </c>
      <c r="D546" s="233" t="s">
        <v>718</v>
      </c>
      <c r="E546" s="239"/>
      <c r="F546" s="234"/>
      <c r="G546" s="235"/>
      <c r="H546" s="235"/>
      <c r="I546" s="235"/>
      <c r="J546" s="235"/>
      <c r="K546" s="235"/>
      <c r="L546" s="235"/>
      <c r="M546" s="235"/>
      <c r="N546" s="235"/>
      <c r="O546" s="235"/>
      <c r="P546" s="235"/>
      <c r="Q546" s="235"/>
      <c r="R546" s="198"/>
      <c r="S546" s="199"/>
      <c r="T546" s="200"/>
      <c r="U546" s="240"/>
      <c r="V546" s="240"/>
      <c r="W546" s="240"/>
      <c r="BA546"/>
      <c r="BB546"/>
    </row>
    <row r="547" spans="1:54" s="190" customFormat="1" ht="13.5">
      <c r="A547" s="182"/>
      <c r="B547" s="178"/>
      <c r="C547" s="183" t="s">
        <v>718</v>
      </c>
      <c r="D547" s="233" t="s">
        <v>718</v>
      </c>
      <c r="E547" s="239"/>
      <c r="F547" s="234"/>
      <c r="G547" s="235"/>
      <c r="H547" s="235"/>
      <c r="I547" s="235"/>
      <c r="J547" s="235"/>
      <c r="K547" s="235"/>
      <c r="L547" s="235"/>
      <c r="M547" s="235"/>
      <c r="N547" s="235"/>
      <c r="O547" s="235"/>
      <c r="P547" s="235"/>
      <c r="Q547" s="235"/>
      <c r="R547" s="198"/>
      <c r="S547" s="199"/>
      <c r="T547" s="200"/>
      <c r="U547" s="240"/>
      <c r="V547" s="240"/>
      <c r="W547" s="240"/>
      <c r="BA547"/>
      <c r="BB547"/>
    </row>
    <row r="548" spans="1:54" s="190" customFormat="1" ht="13.5">
      <c r="A548" s="182"/>
      <c r="B548" s="178"/>
      <c r="C548" s="183" t="s">
        <v>718</v>
      </c>
      <c r="D548" s="233" t="s">
        <v>718</v>
      </c>
      <c r="E548" s="239"/>
      <c r="F548" s="234"/>
      <c r="G548" s="235"/>
      <c r="H548" s="235"/>
      <c r="I548" s="235"/>
      <c r="J548" s="235"/>
      <c r="K548" s="235"/>
      <c r="L548" s="235"/>
      <c r="M548" s="235"/>
      <c r="N548" s="235"/>
      <c r="O548" s="235"/>
      <c r="P548" s="235"/>
      <c r="Q548" s="235"/>
      <c r="R548" s="198"/>
      <c r="S548" s="199"/>
      <c r="T548" s="200"/>
      <c r="U548" s="240"/>
      <c r="V548" s="240"/>
      <c r="W548" s="240"/>
      <c r="BA548"/>
      <c r="BB548"/>
    </row>
    <row r="549" spans="1:54" s="190" customFormat="1" ht="13.5">
      <c r="A549" s="182"/>
      <c r="B549" s="178"/>
      <c r="C549" s="183" t="s">
        <v>718</v>
      </c>
      <c r="D549" s="233" t="s">
        <v>718</v>
      </c>
      <c r="E549" s="239"/>
      <c r="F549" s="234"/>
      <c r="G549" s="235"/>
      <c r="H549" s="235"/>
      <c r="I549" s="235"/>
      <c r="J549" s="235"/>
      <c r="K549" s="235"/>
      <c r="L549" s="235"/>
      <c r="M549" s="235"/>
      <c r="N549" s="235"/>
      <c r="O549" s="235"/>
      <c r="P549" s="235"/>
      <c r="Q549" s="235"/>
      <c r="R549" s="198"/>
      <c r="S549" s="199"/>
      <c r="T549" s="200"/>
      <c r="U549" s="240"/>
      <c r="V549" s="240"/>
      <c r="W549" s="240"/>
      <c r="BA549"/>
      <c r="BB549"/>
    </row>
    <row r="550" spans="1:54" s="190" customFormat="1" ht="13.5">
      <c r="A550" s="182"/>
      <c r="B550" s="178"/>
      <c r="C550" s="183" t="s">
        <v>718</v>
      </c>
      <c r="D550" s="233" t="s">
        <v>718</v>
      </c>
      <c r="E550" s="239"/>
      <c r="F550" s="234"/>
      <c r="G550" s="235"/>
      <c r="H550" s="235"/>
      <c r="I550" s="235"/>
      <c r="J550" s="235"/>
      <c r="K550" s="235"/>
      <c r="L550" s="235"/>
      <c r="M550" s="235"/>
      <c r="N550" s="235"/>
      <c r="O550" s="235"/>
      <c r="P550" s="235"/>
      <c r="Q550" s="235"/>
      <c r="R550" s="198"/>
      <c r="S550" s="199"/>
      <c r="T550" s="200"/>
      <c r="U550" s="240"/>
      <c r="V550" s="240"/>
      <c r="W550" s="240"/>
      <c r="BA550"/>
      <c r="BB550"/>
    </row>
    <row r="551" spans="1:54" s="190" customFormat="1" ht="13.5">
      <c r="A551" s="182"/>
      <c r="B551" s="178"/>
      <c r="C551" s="183" t="s">
        <v>718</v>
      </c>
      <c r="D551" s="233" t="s">
        <v>718</v>
      </c>
      <c r="E551" s="239"/>
      <c r="F551" s="234"/>
      <c r="G551" s="235"/>
      <c r="H551" s="235"/>
      <c r="I551" s="235"/>
      <c r="J551" s="235"/>
      <c r="K551" s="235"/>
      <c r="L551" s="235"/>
      <c r="M551" s="235"/>
      <c r="N551" s="235"/>
      <c r="O551" s="235"/>
      <c r="P551" s="235"/>
      <c r="Q551" s="235"/>
      <c r="R551" s="198"/>
      <c r="S551" s="199"/>
      <c r="T551" s="200"/>
      <c r="U551" s="240"/>
      <c r="V551" s="240"/>
      <c r="W551" s="240"/>
      <c r="BA551"/>
      <c r="BB551"/>
    </row>
    <row r="552" spans="1:54" s="190" customFormat="1" ht="13.5">
      <c r="A552" s="182"/>
      <c r="B552" s="178"/>
      <c r="C552" s="183" t="s">
        <v>718</v>
      </c>
      <c r="D552" s="233" t="s">
        <v>718</v>
      </c>
      <c r="E552" s="239"/>
      <c r="F552" s="234"/>
      <c r="G552" s="235"/>
      <c r="H552" s="235"/>
      <c r="I552" s="235"/>
      <c r="J552" s="235"/>
      <c r="K552" s="235"/>
      <c r="L552" s="235"/>
      <c r="M552" s="235"/>
      <c r="N552" s="235"/>
      <c r="O552" s="235"/>
      <c r="P552" s="235"/>
      <c r="Q552" s="235"/>
      <c r="R552" s="198"/>
      <c r="S552" s="199"/>
      <c r="T552" s="200"/>
      <c r="U552" s="240"/>
      <c r="V552" s="240"/>
      <c r="W552" s="240"/>
      <c r="BA552"/>
      <c r="BB552"/>
    </row>
    <row r="553" spans="1:54" s="190" customFormat="1" ht="13.5">
      <c r="A553" s="182"/>
      <c r="B553" s="178"/>
      <c r="C553" s="183" t="s">
        <v>718</v>
      </c>
      <c r="D553" s="233" t="s">
        <v>718</v>
      </c>
      <c r="E553" s="239"/>
      <c r="F553" s="234"/>
      <c r="G553" s="235"/>
      <c r="H553" s="235"/>
      <c r="I553" s="235"/>
      <c r="J553" s="235"/>
      <c r="K553" s="235"/>
      <c r="L553" s="235"/>
      <c r="M553" s="235"/>
      <c r="N553" s="235"/>
      <c r="O553" s="235"/>
      <c r="P553" s="235"/>
      <c r="Q553" s="235"/>
      <c r="R553" s="198"/>
      <c r="S553" s="199"/>
      <c r="T553" s="200"/>
      <c r="U553" s="240"/>
      <c r="V553" s="240"/>
      <c r="W553" s="240"/>
      <c r="BA553"/>
      <c r="BB553"/>
    </row>
    <row r="554" spans="1:54" s="190" customFormat="1" ht="13.5">
      <c r="A554" s="182"/>
      <c r="B554" s="178"/>
      <c r="C554" s="183" t="s">
        <v>718</v>
      </c>
      <c r="D554" s="233" t="s">
        <v>718</v>
      </c>
      <c r="E554" s="239"/>
      <c r="F554" s="234"/>
      <c r="G554" s="235"/>
      <c r="H554" s="235"/>
      <c r="I554" s="235"/>
      <c r="J554" s="235"/>
      <c r="K554" s="235"/>
      <c r="L554" s="235"/>
      <c r="M554" s="235"/>
      <c r="N554" s="235"/>
      <c r="O554" s="235"/>
      <c r="P554" s="235"/>
      <c r="Q554" s="235"/>
      <c r="R554" s="198"/>
      <c r="S554" s="199"/>
      <c r="T554" s="200"/>
      <c r="U554" s="240"/>
      <c r="V554" s="240"/>
      <c r="W554" s="240"/>
      <c r="BA554"/>
      <c r="BB554"/>
    </row>
    <row r="555" spans="1:54" s="190" customFormat="1" ht="13.5">
      <c r="A555" s="182"/>
      <c r="B555" s="178"/>
      <c r="C555" s="183" t="s">
        <v>718</v>
      </c>
      <c r="D555" s="233" t="s">
        <v>718</v>
      </c>
      <c r="E555" s="239"/>
      <c r="F555" s="234"/>
      <c r="G555" s="235"/>
      <c r="H555" s="235"/>
      <c r="I555" s="235"/>
      <c r="J555" s="235"/>
      <c r="K555" s="235"/>
      <c r="L555" s="235"/>
      <c r="M555" s="235"/>
      <c r="N555" s="235"/>
      <c r="O555" s="235"/>
      <c r="P555" s="235"/>
      <c r="Q555" s="235"/>
      <c r="R555" s="198"/>
      <c r="S555" s="199"/>
      <c r="T555" s="200"/>
      <c r="U555" s="240"/>
      <c r="V555" s="240"/>
      <c r="W555" s="240"/>
      <c r="BA555"/>
      <c r="BB555"/>
    </row>
    <row r="556" spans="1:54" s="190" customFormat="1" ht="13.5">
      <c r="A556" s="182"/>
      <c r="B556" s="178"/>
      <c r="C556" s="183" t="s">
        <v>718</v>
      </c>
      <c r="D556" s="233" t="s">
        <v>718</v>
      </c>
      <c r="E556" s="239"/>
      <c r="F556" s="234"/>
      <c r="G556" s="235"/>
      <c r="H556" s="235"/>
      <c r="I556" s="235"/>
      <c r="J556" s="235"/>
      <c r="K556" s="235"/>
      <c r="L556" s="235"/>
      <c r="M556" s="235"/>
      <c r="N556" s="235"/>
      <c r="O556" s="235"/>
      <c r="P556" s="235"/>
      <c r="Q556" s="235"/>
      <c r="R556" s="198"/>
      <c r="S556" s="199"/>
      <c r="T556" s="200"/>
      <c r="U556" s="240"/>
      <c r="V556" s="240"/>
      <c r="W556" s="240"/>
      <c r="BA556"/>
      <c r="BB556"/>
    </row>
    <row r="557" spans="1:54" s="190" customFormat="1" ht="13.5">
      <c r="A557" s="182"/>
      <c r="B557" s="178"/>
      <c r="C557" s="183" t="s">
        <v>718</v>
      </c>
      <c r="D557" s="233" t="s">
        <v>718</v>
      </c>
      <c r="E557" s="239"/>
      <c r="F557" s="234"/>
      <c r="G557" s="235"/>
      <c r="H557" s="235"/>
      <c r="I557" s="235"/>
      <c r="J557" s="235"/>
      <c r="K557" s="235"/>
      <c r="L557" s="235"/>
      <c r="M557" s="235"/>
      <c r="N557" s="235"/>
      <c r="O557" s="235"/>
      <c r="P557" s="235"/>
      <c r="Q557" s="235"/>
      <c r="R557" s="198"/>
      <c r="S557" s="199"/>
      <c r="T557" s="200"/>
      <c r="U557" s="240"/>
      <c r="V557" s="240"/>
      <c r="W557" s="240"/>
      <c r="BA557"/>
      <c r="BB557"/>
    </row>
    <row r="558" spans="1:54" s="190" customFormat="1" ht="13.5">
      <c r="A558" s="182"/>
      <c r="B558" s="178"/>
      <c r="C558" s="183" t="s">
        <v>718</v>
      </c>
      <c r="D558" s="233" t="s">
        <v>718</v>
      </c>
      <c r="E558" s="239"/>
      <c r="F558" s="234"/>
      <c r="G558" s="235"/>
      <c r="H558" s="235"/>
      <c r="I558" s="235"/>
      <c r="J558" s="235"/>
      <c r="K558" s="235"/>
      <c r="L558" s="235"/>
      <c r="M558" s="235"/>
      <c r="N558" s="235"/>
      <c r="O558" s="235"/>
      <c r="P558" s="235"/>
      <c r="Q558" s="235"/>
      <c r="R558" s="198"/>
      <c r="S558" s="199"/>
      <c r="T558" s="200"/>
      <c r="U558" s="240"/>
      <c r="V558" s="240"/>
      <c r="W558" s="240"/>
      <c r="BA558"/>
      <c r="BB558"/>
    </row>
    <row r="559" spans="1:54" s="190" customFormat="1" ht="13.5">
      <c r="A559" s="182"/>
      <c r="B559" s="178"/>
      <c r="C559" s="183" t="s">
        <v>718</v>
      </c>
      <c r="D559" s="233" t="s">
        <v>718</v>
      </c>
      <c r="E559" s="239"/>
      <c r="F559" s="234"/>
      <c r="G559" s="235"/>
      <c r="H559" s="235"/>
      <c r="I559" s="235"/>
      <c r="J559" s="235"/>
      <c r="K559" s="235"/>
      <c r="L559" s="235"/>
      <c r="M559" s="235"/>
      <c r="N559" s="235"/>
      <c r="O559" s="235"/>
      <c r="P559" s="235"/>
      <c r="Q559" s="235"/>
      <c r="R559" s="198"/>
      <c r="S559" s="199"/>
      <c r="T559" s="200"/>
      <c r="U559" s="240"/>
      <c r="V559" s="240"/>
      <c r="W559" s="240"/>
      <c r="BA559"/>
      <c r="BB559"/>
    </row>
    <row r="560" spans="1:54" s="190" customFormat="1" ht="13.5">
      <c r="A560" s="182"/>
      <c r="B560" s="178"/>
      <c r="C560" s="183" t="s">
        <v>718</v>
      </c>
      <c r="D560" s="233" t="s">
        <v>718</v>
      </c>
      <c r="E560" s="239"/>
      <c r="F560" s="234"/>
      <c r="G560" s="235"/>
      <c r="H560" s="235"/>
      <c r="I560" s="235"/>
      <c r="J560" s="235"/>
      <c r="K560" s="235"/>
      <c r="L560" s="235"/>
      <c r="M560" s="235"/>
      <c r="N560" s="235"/>
      <c r="O560" s="235"/>
      <c r="P560" s="235"/>
      <c r="Q560" s="235"/>
      <c r="R560" s="198"/>
      <c r="S560" s="199"/>
      <c r="T560" s="200"/>
      <c r="U560" s="240"/>
      <c r="V560" s="240"/>
      <c r="W560" s="240"/>
      <c r="BA560"/>
      <c r="BB560"/>
    </row>
    <row r="561" spans="1:54" s="190" customFormat="1" ht="13.5">
      <c r="A561" s="182"/>
      <c r="B561" s="178"/>
      <c r="C561" s="183" t="s">
        <v>718</v>
      </c>
      <c r="D561" s="233" t="s">
        <v>718</v>
      </c>
      <c r="E561" s="239"/>
      <c r="F561" s="234"/>
      <c r="G561" s="235"/>
      <c r="H561" s="235"/>
      <c r="I561" s="235"/>
      <c r="J561" s="235"/>
      <c r="K561" s="235"/>
      <c r="L561" s="235"/>
      <c r="M561" s="235"/>
      <c r="N561" s="235"/>
      <c r="O561" s="235"/>
      <c r="P561" s="235"/>
      <c r="Q561" s="235"/>
      <c r="R561" s="198"/>
      <c r="S561" s="199"/>
      <c r="T561" s="200"/>
      <c r="U561" s="240"/>
      <c r="V561" s="240"/>
      <c r="W561" s="240"/>
      <c r="BA561"/>
      <c r="BB561"/>
    </row>
    <row r="562" spans="1:54" s="190" customFormat="1" ht="13.5">
      <c r="A562" s="182"/>
      <c r="B562" s="178"/>
      <c r="C562" s="183" t="s">
        <v>718</v>
      </c>
      <c r="D562" s="233" t="s">
        <v>718</v>
      </c>
      <c r="E562" s="239"/>
      <c r="F562" s="234"/>
      <c r="G562" s="235"/>
      <c r="H562" s="235"/>
      <c r="I562" s="235"/>
      <c r="J562" s="235"/>
      <c r="K562" s="235"/>
      <c r="L562" s="235"/>
      <c r="M562" s="235"/>
      <c r="N562" s="235"/>
      <c r="O562" s="235"/>
      <c r="P562" s="235"/>
      <c r="Q562" s="235"/>
      <c r="R562" s="198"/>
      <c r="S562" s="199"/>
      <c r="T562" s="200"/>
      <c r="U562" s="240"/>
      <c r="V562" s="240"/>
      <c r="W562" s="240"/>
      <c r="BA562"/>
      <c r="BB562"/>
    </row>
    <row r="563" spans="1:54" s="190" customFormat="1" ht="13.5">
      <c r="A563" s="182"/>
      <c r="B563" s="178"/>
      <c r="C563" s="183" t="s">
        <v>718</v>
      </c>
      <c r="D563" s="233" t="s">
        <v>718</v>
      </c>
      <c r="E563" s="239"/>
      <c r="F563" s="234"/>
      <c r="G563" s="235"/>
      <c r="H563" s="235"/>
      <c r="I563" s="235"/>
      <c r="J563" s="235"/>
      <c r="K563" s="235"/>
      <c r="L563" s="235"/>
      <c r="M563" s="235"/>
      <c r="N563" s="235"/>
      <c r="O563" s="235"/>
      <c r="P563" s="235"/>
      <c r="Q563" s="235"/>
      <c r="R563" s="198"/>
      <c r="S563" s="199"/>
      <c r="T563" s="200"/>
      <c r="U563" s="240"/>
      <c r="V563" s="240"/>
      <c r="W563" s="240"/>
      <c r="BA563"/>
      <c r="BB563"/>
    </row>
    <row r="564" spans="1:54" s="190" customFormat="1" ht="13.5">
      <c r="A564" s="182"/>
      <c r="B564" s="178"/>
      <c r="C564" s="183" t="s">
        <v>718</v>
      </c>
      <c r="D564" s="233" t="s">
        <v>718</v>
      </c>
      <c r="E564" s="239"/>
      <c r="F564" s="234"/>
      <c r="G564" s="235"/>
      <c r="H564" s="235"/>
      <c r="I564" s="235"/>
      <c r="J564" s="235"/>
      <c r="K564" s="235"/>
      <c r="L564" s="235"/>
      <c r="M564" s="235"/>
      <c r="N564" s="235"/>
      <c r="O564" s="235"/>
      <c r="P564" s="235"/>
      <c r="Q564" s="235"/>
      <c r="R564" s="198"/>
      <c r="S564" s="199"/>
      <c r="T564" s="200"/>
      <c r="U564" s="240"/>
      <c r="V564" s="240"/>
      <c r="W564" s="240"/>
      <c r="BA564"/>
      <c r="BB564"/>
    </row>
    <row r="565" spans="1:54" s="190" customFormat="1" ht="13.5">
      <c r="A565" s="182"/>
      <c r="B565" s="178"/>
      <c r="C565" s="183" t="s">
        <v>718</v>
      </c>
      <c r="D565" s="233" t="s">
        <v>718</v>
      </c>
      <c r="E565" s="239"/>
      <c r="F565" s="234"/>
      <c r="G565" s="235"/>
      <c r="H565" s="235"/>
      <c r="I565" s="235"/>
      <c r="J565" s="235"/>
      <c r="K565" s="235"/>
      <c r="L565" s="235"/>
      <c r="M565" s="235"/>
      <c r="N565" s="235"/>
      <c r="O565" s="235"/>
      <c r="P565" s="235"/>
      <c r="Q565" s="235"/>
      <c r="R565" s="198"/>
      <c r="S565" s="199"/>
      <c r="T565" s="200"/>
      <c r="U565" s="240"/>
      <c r="V565" s="240"/>
      <c r="W565" s="240"/>
      <c r="BA565"/>
      <c r="BB565"/>
    </row>
    <row r="566" spans="1:54" s="190" customFormat="1" ht="13.5">
      <c r="A566" s="182"/>
      <c r="B566" s="178"/>
      <c r="C566" s="183" t="s">
        <v>718</v>
      </c>
      <c r="D566" s="233" t="s">
        <v>718</v>
      </c>
      <c r="E566" s="239"/>
      <c r="F566" s="234"/>
      <c r="G566" s="235"/>
      <c r="H566" s="235"/>
      <c r="I566" s="235"/>
      <c r="J566" s="235"/>
      <c r="K566" s="235"/>
      <c r="L566" s="235"/>
      <c r="M566" s="235"/>
      <c r="N566" s="235"/>
      <c r="O566" s="235"/>
      <c r="P566" s="235"/>
      <c r="Q566" s="235"/>
      <c r="R566" s="198"/>
      <c r="S566" s="199"/>
      <c r="T566" s="200"/>
      <c r="U566" s="240"/>
      <c r="V566" s="240"/>
      <c r="W566" s="240"/>
      <c r="BA566"/>
      <c r="BB566"/>
    </row>
    <row r="567" spans="1:54" s="190" customFormat="1" ht="13.5">
      <c r="A567" s="182"/>
      <c r="B567" s="178"/>
      <c r="C567" s="183" t="s">
        <v>718</v>
      </c>
      <c r="D567" s="233" t="s">
        <v>718</v>
      </c>
      <c r="E567" s="239"/>
      <c r="F567" s="234"/>
      <c r="G567" s="235"/>
      <c r="H567" s="235"/>
      <c r="I567" s="235"/>
      <c r="J567" s="235"/>
      <c r="K567" s="235"/>
      <c r="L567" s="235"/>
      <c r="M567" s="235"/>
      <c r="N567" s="235"/>
      <c r="O567" s="235"/>
      <c r="P567" s="235"/>
      <c r="Q567" s="235"/>
      <c r="R567" s="198"/>
      <c r="S567" s="199"/>
      <c r="T567" s="200"/>
      <c r="U567" s="240"/>
      <c r="V567" s="240"/>
      <c r="W567" s="240"/>
      <c r="BA567"/>
      <c r="BB567"/>
    </row>
    <row r="568" spans="1:54" s="190" customFormat="1" ht="13.5">
      <c r="A568" s="182"/>
      <c r="B568" s="178"/>
      <c r="C568" s="183" t="s">
        <v>718</v>
      </c>
      <c r="D568" s="233" t="s">
        <v>718</v>
      </c>
      <c r="E568" s="239"/>
      <c r="F568" s="234"/>
      <c r="G568" s="235"/>
      <c r="H568" s="235"/>
      <c r="I568" s="235"/>
      <c r="J568" s="235"/>
      <c r="K568" s="235"/>
      <c r="L568" s="235"/>
      <c r="M568" s="235"/>
      <c r="N568" s="235"/>
      <c r="O568" s="235"/>
      <c r="P568" s="235"/>
      <c r="Q568" s="235"/>
      <c r="R568" s="198"/>
      <c r="S568" s="199"/>
      <c r="T568" s="200"/>
      <c r="U568" s="240"/>
      <c r="V568" s="240"/>
      <c r="W568" s="240"/>
      <c r="BA568"/>
      <c r="BB568"/>
    </row>
    <row r="569" spans="1:54" s="190" customFormat="1" ht="13.5">
      <c r="A569" s="182"/>
      <c r="B569" s="178"/>
      <c r="C569" s="183" t="s">
        <v>718</v>
      </c>
      <c r="D569" s="233" t="s">
        <v>718</v>
      </c>
      <c r="E569" s="239"/>
      <c r="F569" s="234"/>
      <c r="G569" s="235"/>
      <c r="H569" s="235"/>
      <c r="I569" s="235"/>
      <c r="J569" s="235"/>
      <c r="K569" s="235"/>
      <c r="L569" s="235"/>
      <c r="M569" s="235"/>
      <c r="N569" s="235"/>
      <c r="O569" s="235"/>
      <c r="P569" s="235"/>
      <c r="Q569" s="235"/>
      <c r="R569" s="198"/>
      <c r="S569" s="199"/>
      <c r="T569" s="200"/>
      <c r="U569" s="240"/>
      <c r="V569" s="240"/>
      <c r="W569" s="240"/>
      <c r="BA569"/>
      <c r="BB569"/>
    </row>
    <row r="570" spans="1:54" s="190" customFormat="1" ht="13.5">
      <c r="A570" s="182"/>
      <c r="B570" s="178"/>
      <c r="C570" s="183" t="s">
        <v>718</v>
      </c>
      <c r="D570" s="233" t="s">
        <v>718</v>
      </c>
      <c r="E570" s="239"/>
      <c r="F570" s="234"/>
      <c r="G570" s="235"/>
      <c r="H570" s="235"/>
      <c r="I570" s="235"/>
      <c r="J570" s="235"/>
      <c r="K570" s="235"/>
      <c r="L570" s="235"/>
      <c r="M570" s="235"/>
      <c r="N570" s="235"/>
      <c r="O570" s="235"/>
      <c r="P570" s="235"/>
      <c r="Q570" s="235"/>
      <c r="R570" s="198"/>
      <c r="S570" s="199"/>
      <c r="T570" s="200"/>
      <c r="U570" s="240"/>
      <c r="V570" s="240"/>
      <c r="W570" s="240"/>
      <c r="BA570"/>
      <c r="BB570"/>
    </row>
    <row r="571" spans="1:54" s="190" customFormat="1" ht="13.5">
      <c r="A571" s="182"/>
      <c r="B571" s="178"/>
      <c r="C571" s="183" t="s">
        <v>718</v>
      </c>
      <c r="D571" s="233" t="s">
        <v>718</v>
      </c>
      <c r="E571" s="239"/>
      <c r="F571" s="234"/>
      <c r="G571" s="235"/>
      <c r="H571" s="235"/>
      <c r="I571" s="235"/>
      <c r="J571" s="235"/>
      <c r="K571" s="235"/>
      <c r="L571" s="235"/>
      <c r="M571" s="235"/>
      <c r="N571" s="235"/>
      <c r="O571" s="235"/>
      <c r="P571" s="235"/>
      <c r="Q571" s="235"/>
      <c r="R571" s="198"/>
      <c r="S571" s="199"/>
      <c r="T571" s="200"/>
      <c r="U571" s="240"/>
      <c r="V571" s="240"/>
      <c r="W571" s="240"/>
      <c r="BA571"/>
      <c r="BB571"/>
    </row>
    <row r="572" spans="1:54" s="190" customFormat="1" ht="13.5">
      <c r="A572" s="182"/>
      <c r="B572" s="178"/>
      <c r="C572" s="183" t="s">
        <v>718</v>
      </c>
      <c r="D572" s="233" t="s">
        <v>718</v>
      </c>
      <c r="E572" s="239"/>
      <c r="F572" s="234"/>
      <c r="G572" s="235"/>
      <c r="H572" s="235"/>
      <c r="I572" s="235"/>
      <c r="J572" s="235"/>
      <c r="K572" s="235"/>
      <c r="L572" s="235"/>
      <c r="M572" s="235"/>
      <c r="N572" s="235"/>
      <c r="O572" s="235"/>
      <c r="P572" s="235"/>
      <c r="Q572" s="235"/>
      <c r="R572" s="198"/>
      <c r="S572" s="199"/>
      <c r="T572" s="200"/>
      <c r="U572" s="240"/>
      <c r="V572" s="240"/>
      <c r="W572" s="240"/>
      <c r="BA572"/>
      <c r="BB572"/>
    </row>
    <row r="573" spans="1:54" s="190" customFormat="1" ht="13.5">
      <c r="A573" s="182"/>
      <c r="B573" s="178"/>
      <c r="C573" s="183" t="s">
        <v>718</v>
      </c>
      <c r="D573" s="233" t="s">
        <v>718</v>
      </c>
      <c r="E573" s="239"/>
      <c r="F573" s="234"/>
      <c r="G573" s="235"/>
      <c r="H573" s="235"/>
      <c r="I573" s="235"/>
      <c r="J573" s="235"/>
      <c r="K573" s="235"/>
      <c r="L573" s="235"/>
      <c r="M573" s="235"/>
      <c r="N573" s="235"/>
      <c r="O573" s="235"/>
      <c r="P573" s="235"/>
      <c r="Q573" s="235"/>
      <c r="R573" s="198"/>
      <c r="S573" s="199"/>
      <c r="T573" s="200"/>
      <c r="U573" s="240"/>
      <c r="V573" s="240"/>
      <c r="W573" s="240"/>
      <c r="BA573"/>
      <c r="BB573"/>
    </row>
    <row r="574" spans="1:54" s="190" customFormat="1" ht="13.5">
      <c r="A574" s="182"/>
      <c r="B574" s="178"/>
      <c r="C574" s="183" t="s">
        <v>718</v>
      </c>
      <c r="D574" s="233" t="s">
        <v>718</v>
      </c>
      <c r="E574" s="239"/>
      <c r="F574" s="234"/>
      <c r="G574" s="235"/>
      <c r="H574" s="235"/>
      <c r="I574" s="235"/>
      <c r="J574" s="235"/>
      <c r="K574" s="235"/>
      <c r="L574" s="235"/>
      <c r="M574" s="235"/>
      <c r="N574" s="235"/>
      <c r="O574" s="235"/>
      <c r="P574" s="235"/>
      <c r="Q574" s="235"/>
      <c r="R574" s="198"/>
      <c r="S574" s="199"/>
      <c r="T574" s="200"/>
      <c r="U574" s="240"/>
      <c r="V574" s="240"/>
      <c r="W574" s="240"/>
      <c r="BA574"/>
      <c r="BB574"/>
    </row>
    <row r="575" spans="1:54" s="190" customFormat="1" ht="13.5">
      <c r="A575" s="182"/>
      <c r="B575" s="178"/>
      <c r="C575" s="183" t="s">
        <v>718</v>
      </c>
      <c r="D575" s="233" t="s">
        <v>718</v>
      </c>
      <c r="E575" s="239"/>
      <c r="F575" s="234"/>
      <c r="G575" s="235"/>
      <c r="H575" s="235"/>
      <c r="I575" s="235"/>
      <c r="J575" s="235"/>
      <c r="K575" s="235"/>
      <c r="L575" s="235"/>
      <c r="M575" s="235"/>
      <c r="N575" s="235"/>
      <c r="O575" s="235"/>
      <c r="P575" s="235"/>
      <c r="Q575" s="235"/>
      <c r="R575" s="198"/>
      <c r="S575" s="199"/>
      <c r="T575" s="200"/>
      <c r="U575" s="240"/>
      <c r="V575" s="240"/>
      <c r="W575" s="240"/>
      <c r="BA575"/>
      <c r="BB575"/>
    </row>
    <row r="576" spans="1:54" s="190" customFormat="1" ht="13.5">
      <c r="A576" s="182"/>
      <c r="B576" s="178"/>
      <c r="C576" s="183" t="s">
        <v>718</v>
      </c>
      <c r="D576" s="233" t="s">
        <v>718</v>
      </c>
      <c r="E576" s="239"/>
      <c r="F576" s="234"/>
      <c r="G576" s="235"/>
      <c r="H576" s="235"/>
      <c r="I576" s="235"/>
      <c r="J576" s="235"/>
      <c r="K576" s="235"/>
      <c r="L576" s="235"/>
      <c r="M576" s="235"/>
      <c r="N576" s="235"/>
      <c r="O576" s="235"/>
      <c r="P576" s="235"/>
      <c r="Q576" s="235"/>
      <c r="R576" s="198"/>
      <c r="S576" s="199"/>
      <c r="T576" s="200"/>
      <c r="U576" s="240"/>
      <c r="V576" s="240"/>
      <c r="W576" s="240"/>
      <c r="BA576"/>
      <c r="BB576"/>
    </row>
    <row r="577" spans="1:54" s="190" customFormat="1" ht="13.5">
      <c r="A577" s="182"/>
      <c r="B577" s="178"/>
      <c r="C577" s="183" t="s">
        <v>718</v>
      </c>
      <c r="D577" s="233" t="s">
        <v>718</v>
      </c>
      <c r="E577" s="239"/>
      <c r="F577" s="234"/>
      <c r="G577" s="235"/>
      <c r="H577" s="235"/>
      <c r="I577" s="235"/>
      <c r="J577" s="235"/>
      <c r="K577" s="235"/>
      <c r="L577" s="235"/>
      <c r="M577" s="235"/>
      <c r="N577" s="235"/>
      <c r="O577" s="235"/>
      <c r="P577" s="235"/>
      <c r="Q577" s="235"/>
      <c r="R577" s="198"/>
      <c r="S577" s="199"/>
      <c r="T577" s="200"/>
      <c r="U577" s="240"/>
      <c r="V577" s="240"/>
      <c r="W577" s="240"/>
      <c r="BA577"/>
      <c r="BB577"/>
    </row>
    <row r="578" spans="1:54" s="190" customFormat="1" ht="13.5">
      <c r="A578" s="182"/>
      <c r="B578" s="178"/>
      <c r="C578" s="183" t="s">
        <v>718</v>
      </c>
      <c r="D578" s="233" t="s">
        <v>718</v>
      </c>
      <c r="E578" s="239"/>
      <c r="F578" s="234"/>
      <c r="G578" s="235"/>
      <c r="H578" s="235"/>
      <c r="I578" s="235"/>
      <c r="J578" s="235"/>
      <c r="K578" s="235"/>
      <c r="L578" s="235"/>
      <c r="M578" s="235"/>
      <c r="N578" s="235"/>
      <c r="O578" s="235"/>
      <c r="P578" s="235"/>
      <c r="Q578" s="235"/>
      <c r="R578" s="198"/>
      <c r="S578" s="199"/>
      <c r="T578" s="200"/>
      <c r="U578" s="240"/>
      <c r="V578" s="240"/>
      <c r="W578" s="240"/>
      <c r="BA578"/>
      <c r="BB578"/>
    </row>
    <row r="579" spans="1:54" s="190" customFormat="1" ht="13.5">
      <c r="A579" s="182"/>
      <c r="B579" s="178"/>
      <c r="C579" s="183" t="s">
        <v>718</v>
      </c>
      <c r="D579" s="233" t="s">
        <v>718</v>
      </c>
      <c r="E579" s="239"/>
      <c r="F579" s="234"/>
      <c r="G579" s="235"/>
      <c r="H579" s="235"/>
      <c r="I579" s="235"/>
      <c r="J579" s="235"/>
      <c r="K579" s="235"/>
      <c r="L579" s="235"/>
      <c r="M579" s="235"/>
      <c r="N579" s="235"/>
      <c r="O579" s="235"/>
      <c r="P579" s="235"/>
      <c r="Q579" s="235"/>
      <c r="R579" s="198"/>
      <c r="S579" s="199"/>
      <c r="T579" s="200"/>
      <c r="U579" s="240"/>
      <c r="V579" s="240"/>
      <c r="W579" s="240"/>
      <c r="BA579"/>
      <c r="BB579"/>
    </row>
    <row r="580" spans="1:54" s="190" customFormat="1" ht="13.5">
      <c r="A580" s="182"/>
      <c r="B580" s="178"/>
      <c r="C580" s="183" t="s">
        <v>718</v>
      </c>
      <c r="D580" s="233" t="s">
        <v>718</v>
      </c>
      <c r="E580" s="239"/>
      <c r="F580" s="234"/>
      <c r="G580" s="235"/>
      <c r="H580" s="235"/>
      <c r="I580" s="235"/>
      <c r="J580" s="235"/>
      <c r="K580" s="235"/>
      <c r="L580" s="235"/>
      <c r="M580" s="235"/>
      <c r="N580" s="235"/>
      <c r="O580" s="235"/>
      <c r="P580" s="235"/>
      <c r="Q580" s="235"/>
      <c r="R580" s="198"/>
      <c r="S580" s="199"/>
      <c r="T580" s="200"/>
      <c r="U580" s="240"/>
      <c r="V580" s="240"/>
      <c r="W580" s="240"/>
      <c r="BA580"/>
      <c r="BB580"/>
    </row>
    <row r="581" spans="1:54" s="190" customFormat="1" ht="13.5">
      <c r="A581" s="182"/>
      <c r="B581" s="178"/>
      <c r="C581" s="183" t="s">
        <v>718</v>
      </c>
      <c r="D581" s="233" t="s">
        <v>718</v>
      </c>
      <c r="E581" s="239"/>
      <c r="F581" s="234"/>
      <c r="G581" s="235"/>
      <c r="H581" s="235"/>
      <c r="I581" s="235"/>
      <c r="J581" s="235"/>
      <c r="K581" s="235"/>
      <c r="L581" s="235"/>
      <c r="M581" s="235"/>
      <c r="N581" s="235"/>
      <c r="O581" s="235"/>
      <c r="P581" s="235"/>
      <c r="Q581" s="235"/>
      <c r="R581" s="198"/>
      <c r="S581" s="199"/>
      <c r="T581" s="200"/>
      <c r="U581" s="240"/>
      <c r="V581" s="240"/>
      <c r="W581" s="240"/>
      <c r="BA581"/>
      <c r="BB581"/>
    </row>
    <row r="582" spans="1:54" s="190" customFormat="1" ht="13.5">
      <c r="A582" s="182"/>
      <c r="B582" s="178"/>
      <c r="C582" s="183" t="s">
        <v>718</v>
      </c>
      <c r="D582" s="233" t="s">
        <v>718</v>
      </c>
      <c r="E582" s="239"/>
      <c r="F582" s="234"/>
      <c r="G582" s="235"/>
      <c r="H582" s="235"/>
      <c r="I582" s="235"/>
      <c r="J582" s="235"/>
      <c r="K582" s="235"/>
      <c r="L582" s="235"/>
      <c r="M582" s="235"/>
      <c r="N582" s="235"/>
      <c r="O582" s="235"/>
      <c r="P582" s="235"/>
      <c r="Q582" s="235"/>
      <c r="R582" s="198"/>
      <c r="S582" s="199"/>
      <c r="T582" s="200"/>
      <c r="U582" s="240"/>
      <c r="V582" s="240"/>
      <c r="W582" s="240"/>
      <c r="BA582"/>
      <c r="BB582"/>
    </row>
    <row r="583" spans="1:54" s="190" customFormat="1" ht="13.5">
      <c r="A583" s="182"/>
      <c r="B583" s="178"/>
      <c r="C583" s="183" t="s">
        <v>718</v>
      </c>
      <c r="D583" s="233" t="s">
        <v>718</v>
      </c>
      <c r="E583" s="239"/>
      <c r="F583" s="234"/>
      <c r="G583" s="235"/>
      <c r="H583" s="235"/>
      <c r="I583" s="235"/>
      <c r="J583" s="235"/>
      <c r="K583" s="235"/>
      <c r="L583" s="235"/>
      <c r="M583" s="235"/>
      <c r="N583" s="235"/>
      <c r="O583" s="235"/>
      <c r="P583" s="235"/>
      <c r="Q583" s="235"/>
      <c r="R583" s="198"/>
      <c r="S583" s="199"/>
      <c r="T583" s="200"/>
      <c r="U583" s="240"/>
      <c r="V583" s="240"/>
      <c r="W583" s="240"/>
      <c r="BA583"/>
      <c r="BB583"/>
    </row>
    <row r="584" spans="1:54" s="190" customFormat="1" ht="13.5">
      <c r="A584" s="182"/>
      <c r="B584" s="178"/>
      <c r="C584" s="183" t="s">
        <v>718</v>
      </c>
      <c r="D584" s="233" t="s">
        <v>718</v>
      </c>
      <c r="E584" s="239"/>
      <c r="F584" s="234"/>
      <c r="G584" s="235"/>
      <c r="H584" s="235"/>
      <c r="I584" s="235"/>
      <c r="J584" s="235"/>
      <c r="K584" s="235"/>
      <c r="L584" s="235"/>
      <c r="M584" s="235"/>
      <c r="N584" s="235"/>
      <c r="O584" s="235"/>
      <c r="P584" s="235"/>
      <c r="Q584" s="235"/>
      <c r="R584" s="198"/>
      <c r="S584" s="199"/>
      <c r="T584" s="200"/>
      <c r="U584" s="240"/>
      <c r="V584" s="240"/>
      <c r="W584" s="240"/>
      <c r="BA584"/>
      <c r="BB584"/>
    </row>
    <row r="585" spans="1:54" s="190" customFormat="1" ht="13.5">
      <c r="A585" s="182"/>
      <c r="B585" s="178"/>
      <c r="C585" s="183" t="s">
        <v>718</v>
      </c>
      <c r="D585" s="233" t="s">
        <v>718</v>
      </c>
      <c r="E585" s="239"/>
      <c r="F585" s="234"/>
      <c r="G585" s="235"/>
      <c r="H585" s="235"/>
      <c r="I585" s="235"/>
      <c r="J585" s="235"/>
      <c r="K585" s="235"/>
      <c r="L585" s="235"/>
      <c r="M585" s="235"/>
      <c r="N585" s="235"/>
      <c r="O585" s="235"/>
      <c r="P585" s="235"/>
      <c r="Q585" s="235"/>
      <c r="R585" s="198"/>
      <c r="S585" s="199"/>
      <c r="T585" s="200"/>
      <c r="U585" s="240"/>
      <c r="V585" s="240"/>
      <c r="W585" s="240"/>
      <c r="BA585"/>
      <c r="BB585"/>
    </row>
    <row r="586" spans="1:54" s="190" customFormat="1" ht="13.5">
      <c r="A586" s="182"/>
      <c r="B586" s="178"/>
      <c r="C586" s="183" t="s">
        <v>718</v>
      </c>
      <c r="D586" s="233" t="s">
        <v>718</v>
      </c>
      <c r="E586" s="239"/>
      <c r="F586" s="234"/>
      <c r="G586" s="235"/>
      <c r="H586" s="235"/>
      <c r="I586" s="235"/>
      <c r="J586" s="235"/>
      <c r="K586" s="235"/>
      <c r="L586" s="235"/>
      <c r="M586" s="235"/>
      <c r="N586" s="235"/>
      <c r="O586" s="235"/>
      <c r="P586" s="235"/>
      <c r="Q586" s="235"/>
      <c r="R586" s="198"/>
      <c r="S586" s="199"/>
      <c r="T586" s="200"/>
      <c r="U586" s="240"/>
      <c r="V586" s="240"/>
      <c r="W586" s="240"/>
      <c r="BA586"/>
      <c r="BB586"/>
    </row>
    <row r="587" spans="1:54" s="190" customFormat="1" ht="13.5">
      <c r="A587" s="182"/>
      <c r="B587" s="178"/>
      <c r="C587" s="183" t="s">
        <v>718</v>
      </c>
      <c r="D587" s="233" t="s">
        <v>718</v>
      </c>
      <c r="E587" s="239"/>
      <c r="F587" s="234"/>
      <c r="G587" s="235"/>
      <c r="H587" s="235"/>
      <c r="I587" s="235"/>
      <c r="J587" s="235"/>
      <c r="K587" s="235"/>
      <c r="L587" s="235"/>
      <c r="M587" s="235"/>
      <c r="N587" s="235"/>
      <c r="O587" s="235"/>
      <c r="P587" s="235"/>
      <c r="Q587" s="235"/>
      <c r="R587" s="198"/>
      <c r="S587" s="199"/>
      <c r="T587" s="200"/>
      <c r="U587" s="240"/>
      <c r="V587" s="240"/>
      <c r="W587" s="240"/>
      <c r="BA587"/>
      <c r="BB587"/>
    </row>
    <row r="588" spans="1:54" s="190" customFormat="1" ht="13.5">
      <c r="A588" s="182"/>
      <c r="B588" s="178"/>
      <c r="C588" s="183" t="s">
        <v>718</v>
      </c>
      <c r="D588" s="233" t="s">
        <v>718</v>
      </c>
      <c r="E588" s="239"/>
      <c r="F588" s="234"/>
      <c r="G588" s="235"/>
      <c r="H588" s="235"/>
      <c r="I588" s="235"/>
      <c r="J588" s="235"/>
      <c r="K588" s="235"/>
      <c r="L588" s="235"/>
      <c r="M588" s="235"/>
      <c r="N588" s="235"/>
      <c r="O588" s="235"/>
      <c r="P588" s="235"/>
      <c r="Q588" s="235"/>
      <c r="R588" s="198"/>
      <c r="S588" s="199"/>
      <c r="T588" s="200"/>
      <c r="U588" s="240"/>
      <c r="V588" s="240"/>
      <c r="W588" s="240"/>
      <c r="BA588"/>
      <c r="BB588"/>
    </row>
    <row r="589" spans="1:54" s="190" customFormat="1" ht="13.5">
      <c r="A589" s="182"/>
      <c r="B589" s="178"/>
      <c r="C589" s="183" t="s">
        <v>718</v>
      </c>
      <c r="D589" s="233" t="s">
        <v>718</v>
      </c>
      <c r="E589" s="239"/>
      <c r="F589" s="234"/>
      <c r="G589" s="235"/>
      <c r="H589" s="235"/>
      <c r="I589" s="235"/>
      <c r="J589" s="235"/>
      <c r="K589" s="235"/>
      <c r="L589" s="235"/>
      <c r="M589" s="235"/>
      <c r="N589" s="235"/>
      <c r="O589" s="235"/>
      <c r="P589" s="235"/>
      <c r="Q589" s="235"/>
      <c r="R589" s="198"/>
      <c r="S589" s="199"/>
      <c r="T589" s="200"/>
      <c r="U589" s="240"/>
      <c r="V589" s="240"/>
      <c r="W589" s="240"/>
      <c r="BA589"/>
      <c r="BB589"/>
    </row>
    <row r="590" spans="1:54" s="190" customFormat="1" ht="13.5">
      <c r="A590" s="182"/>
      <c r="B590" s="178"/>
      <c r="C590" s="183" t="s">
        <v>718</v>
      </c>
      <c r="D590" s="233" t="s">
        <v>718</v>
      </c>
      <c r="E590" s="239"/>
      <c r="F590" s="234"/>
      <c r="G590" s="235"/>
      <c r="H590" s="235"/>
      <c r="I590" s="235"/>
      <c r="J590" s="235"/>
      <c r="K590" s="235"/>
      <c r="L590" s="235"/>
      <c r="M590" s="235"/>
      <c r="N590" s="235"/>
      <c r="O590" s="235"/>
      <c r="P590" s="235"/>
      <c r="Q590" s="235"/>
      <c r="R590" s="198"/>
      <c r="S590" s="199"/>
      <c r="T590" s="200"/>
      <c r="U590" s="240"/>
      <c r="V590" s="240"/>
      <c r="W590" s="240"/>
      <c r="BA590"/>
      <c r="BB590"/>
    </row>
    <row r="591" spans="1:54" s="190" customFormat="1" ht="13.5">
      <c r="A591" s="182"/>
      <c r="B591" s="178"/>
      <c r="C591" s="183" t="s">
        <v>718</v>
      </c>
      <c r="D591" s="233" t="s">
        <v>718</v>
      </c>
      <c r="E591" s="239"/>
      <c r="F591" s="234"/>
      <c r="G591" s="235"/>
      <c r="H591" s="235"/>
      <c r="I591" s="235"/>
      <c r="J591" s="235"/>
      <c r="K591" s="235"/>
      <c r="L591" s="235"/>
      <c r="M591" s="235"/>
      <c r="N591" s="235"/>
      <c r="O591" s="235"/>
      <c r="P591" s="235"/>
      <c r="Q591" s="235"/>
      <c r="R591" s="198"/>
      <c r="S591" s="199"/>
      <c r="T591" s="200"/>
      <c r="U591" s="240"/>
      <c r="V591" s="240"/>
      <c r="W591" s="240"/>
      <c r="BA591"/>
      <c r="BB591"/>
    </row>
    <row r="592" spans="1:54" s="190" customFormat="1" ht="13.5">
      <c r="A592" s="182"/>
      <c r="B592" s="178"/>
      <c r="C592" s="183" t="s">
        <v>718</v>
      </c>
      <c r="D592" s="233" t="s">
        <v>718</v>
      </c>
      <c r="E592" s="239"/>
      <c r="F592" s="234"/>
      <c r="G592" s="235"/>
      <c r="H592" s="235"/>
      <c r="I592" s="235"/>
      <c r="J592" s="235"/>
      <c r="K592" s="235"/>
      <c r="L592" s="235"/>
      <c r="M592" s="235"/>
      <c r="N592" s="235"/>
      <c r="O592" s="235"/>
      <c r="P592" s="235"/>
      <c r="Q592" s="235"/>
      <c r="R592" s="198"/>
      <c r="S592" s="199"/>
      <c r="T592" s="200"/>
      <c r="U592" s="240"/>
      <c r="V592" s="240"/>
      <c r="W592" s="240"/>
      <c r="BA592"/>
      <c r="BB592"/>
    </row>
    <row r="593" spans="1:54" s="190" customFormat="1" ht="13.5">
      <c r="A593" s="182"/>
      <c r="B593" s="178"/>
      <c r="C593" s="183" t="s">
        <v>718</v>
      </c>
      <c r="D593" s="233" t="s">
        <v>718</v>
      </c>
      <c r="E593" s="239"/>
      <c r="F593" s="234"/>
      <c r="G593" s="235"/>
      <c r="H593" s="235"/>
      <c r="I593" s="235"/>
      <c r="J593" s="235"/>
      <c r="K593" s="235"/>
      <c r="L593" s="235"/>
      <c r="M593" s="235"/>
      <c r="N593" s="235"/>
      <c r="O593" s="235"/>
      <c r="P593" s="235"/>
      <c r="Q593" s="235"/>
      <c r="R593" s="198"/>
      <c r="S593" s="199"/>
      <c r="T593" s="200"/>
      <c r="U593" s="240"/>
      <c r="V593" s="240"/>
      <c r="W593" s="240"/>
      <c r="BA593"/>
      <c r="BB593"/>
    </row>
    <row r="594" spans="1:54" s="190" customFormat="1" ht="13.5">
      <c r="A594" s="182"/>
      <c r="B594" s="178"/>
      <c r="C594" s="183" t="s">
        <v>718</v>
      </c>
      <c r="D594" s="233" t="s">
        <v>718</v>
      </c>
      <c r="E594" s="239"/>
      <c r="F594" s="234"/>
      <c r="G594" s="235"/>
      <c r="H594" s="235"/>
      <c r="I594" s="235"/>
      <c r="J594" s="235"/>
      <c r="K594" s="235"/>
      <c r="L594" s="235"/>
      <c r="M594" s="235"/>
      <c r="N594" s="235"/>
      <c r="O594" s="235"/>
      <c r="P594" s="235"/>
      <c r="Q594" s="235"/>
      <c r="R594" s="198"/>
      <c r="S594" s="199"/>
      <c r="T594" s="200"/>
      <c r="U594" s="240"/>
      <c r="V594" s="240"/>
      <c r="W594" s="240"/>
      <c r="BA594"/>
      <c r="BB594"/>
    </row>
    <row r="595" spans="1:54" s="190" customFormat="1" ht="13.5">
      <c r="A595" s="182"/>
      <c r="B595" s="178"/>
      <c r="C595" s="183" t="s">
        <v>718</v>
      </c>
      <c r="D595" s="233" t="s">
        <v>718</v>
      </c>
      <c r="E595" s="239"/>
      <c r="F595" s="234"/>
      <c r="G595" s="235"/>
      <c r="H595" s="235"/>
      <c r="I595" s="235"/>
      <c r="J595" s="235"/>
      <c r="K595" s="235"/>
      <c r="L595" s="235"/>
      <c r="M595" s="235"/>
      <c r="N595" s="235"/>
      <c r="O595" s="235"/>
      <c r="P595" s="235"/>
      <c r="Q595" s="235"/>
      <c r="R595" s="198"/>
      <c r="S595" s="199"/>
      <c r="T595" s="200"/>
      <c r="U595" s="240"/>
      <c r="V595" s="240"/>
      <c r="W595" s="240"/>
      <c r="BA595"/>
      <c r="BB595"/>
    </row>
  </sheetData>
  <autoFilter ref="A7:T394" xr:uid="{0B54661E-A636-4EE4-BAA9-FC5CD1FC3CF2}"/>
  <phoneticPr fontId="3"/>
  <conditionalFormatting sqref="F3:Q3">
    <cfRule type="expression" dxfId="0" priority="2">
      <formula>F3&lt;&gt;"OK"</formula>
    </cfRule>
  </conditionalFormatting>
  <dataValidations count="1">
    <dataValidation type="list" allowBlank="1" showInputMessage="1" showErrorMessage="1" sqref="T8:T394" xr:uid="{A9691A1D-AAE1-4608-9657-A5D4757D04EC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7C4F9-152C-40E2-857B-19C671582342}">
  <sheetPr codeName="Sheet4">
    <pageSetUpPr fitToPage="1"/>
  </sheetPr>
  <dimension ref="B1:S55"/>
  <sheetViews>
    <sheetView zoomScale="85" zoomScaleNormal="85"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L12" sqref="L12:L13"/>
    </sheetView>
  </sheetViews>
  <sheetFormatPr defaultColWidth="9"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7" width="14.125" style="48" customWidth="1"/>
    <col min="8" max="8" width="18.5" style="48" customWidth="1"/>
    <col min="9" max="18" width="14.125" style="48" customWidth="1"/>
    <col min="19" max="19" width="12.75" style="57" customWidth="1"/>
    <col min="20" max="16384" width="9" style="48"/>
  </cols>
  <sheetData>
    <row r="1" spans="2:19" ht="17.25">
      <c r="B1" s="53" t="s">
        <v>327</v>
      </c>
      <c r="D1" s="54" t="str">
        <f>'内訳ﾘｽﾄ(4～3月)'!C5</f>
        <v>MD3課</v>
      </c>
      <c r="E1" s="271" t="s">
        <v>328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1" customFormat="1" ht="27">
      <c r="B3" s="276" t="s">
        <v>329</v>
      </c>
      <c r="C3" s="276" t="s">
        <v>145</v>
      </c>
      <c r="D3" s="277" t="s">
        <v>146</v>
      </c>
      <c r="E3" s="278">
        <v>4</v>
      </c>
      <c r="F3" s="278">
        <v>5</v>
      </c>
      <c r="G3" s="278">
        <v>6</v>
      </c>
      <c r="H3" s="278">
        <v>7</v>
      </c>
      <c r="I3" s="278">
        <v>8</v>
      </c>
      <c r="J3" s="278">
        <v>9</v>
      </c>
      <c r="K3" s="278">
        <v>10</v>
      </c>
      <c r="L3" s="278">
        <v>11</v>
      </c>
      <c r="M3" s="278">
        <v>12</v>
      </c>
      <c r="N3" s="278">
        <v>1</v>
      </c>
      <c r="O3" s="278">
        <v>2</v>
      </c>
      <c r="P3" s="278">
        <v>3</v>
      </c>
      <c r="Q3" s="279" t="s">
        <v>642</v>
      </c>
      <c r="R3" s="282" t="s">
        <v>643</v>
      </c>
      <c r="S3" s="280" t="s">
        <v>416</v>
      </c>
    </row>
    <row r="4" spans="2:19">
      <c r="B4" s="270">
        <v>1412000083</v>
      </c>
      <c r="C4" s="270" t="s">
        <v>763</v>
      </c>
      <c r="D4" s="66" t="s">
        <v>835</v>
      </c>
      <c r="E4" s="272"/>
      <c r="F4" s="272"/>
      <c r="G4" s="272"/>
      <c r="H4" s="272"/>
      <c r="I4" s="272">
        <f>23200000*36</f>
        <v>835200000</v>
      </c>
      <c r="J4" s="272"/>
      <c r="K4" s="272"/>
      <c r="L4" s="272"/>
      <c r="M4" s="272"/>
      <c r="N4" s="272"/>
      <c r="O4" s="272"/>
      <c r="P4" s="272"/>
      <c r="Q4" s="275">
        <v>36</v>
      </c>
      <c r="R4" s="275">
        <f>SUM(E4:P4)</f>
        <v>835200000</v>
      </c>
      <c r="S4" s="268"/>
    </row>
    <row r="5" spans="2:19">
      <c r="B5" s="65">
        <v>1412000083</v>
      </c>
      <c r="C5" s="65"/>
      <c r="D5" s="66" t="s">
        <v>836</v>
      </c>
      <c r="E5" s="272"/>
      <c r="F5" s="272"/>
      <c r="G5" s="272"/>
      <c r="H5" s="272">
        <f>29420616*36</f>
        <v>1059142176</v>
      </c>
      <c r="I5" s="272"/>
      <c r="J5" s="272"/>
      <c r="K5" s="272"/>
      <c r="L5" s="272"/>
      <c r="M5" s="272"/>
      <c r="N5" s="272"/>
      <c r="O5" s="272"/>
      <c r="P5" s="272"/>
      <c r="Q5" s="275">
        <v>36</v>
      </c>
      <c r="R5" s="275">
        <f t="shared" ref="R5:R50" si="0">SUM(E5:P5)</f>
        <v>1059142176</v>
      </c>
      <c r="S5" s="268"/>
    </row>
    <row r="6" spans="2:19">
      <c r="B6" s="65"/>
      <c r="C6" s="65"/>
      <c r="D6" s="66"/>
      <c r="E6" s="272"/>
      <c r="F6" s="272"/>
      <c r="G6" s="272"/>
      <c r="H6" s="272"/>
      <c r="I6" s="272"/>
      <c r="J6" s="272"/>
      <c r="K6" s="272"/>
      <c r="L6" s="272"/>
      <c r="M6" s="272"/>
      <c r="N6" s="272"/>
      <c r="O6" s="272"/>
      <c r="P6" s="272"/>
      <c r="Q6" s="275"/>
      <c r="R6" s="275">
        <f t="shared" si="0"/>
        <v>0</v>
      </c>
      <c r="S6" s="268"/>
    </row>
    <row r="7" spans="2:19" ht="14.25">
      <c r="B7" s="65"/>
      <c r="C7" s="67"/>
      <c r="D7" s="66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2"/>
      <c r="P7" s="272"/>
      <c r="Q7" s="275"/>
      <c r="R7" s="275">
        <f t="shared" si="0"/>
        <v>0</v>
      </c>
      <c r="S7" s="268"/>
    </row>
    <row r="8" spans="2:19">
      <c r="B8" s="65"/>
      <c r="C8" s="68"/>
      <c r="D8" s="65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5"/>
      <c r="R8" s="275">
        <f t="shared" si="0"/>
        <v>0</v>
      </c>
      <c r="S8" s="268"/>
    </row>
    <row r="9" spans="2:19">
      <c r="B9" s="65"/>
      <c r="C9" s="65"/>
      <c r="D9" s="65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5"/>
      <c r="R9" s="275">
        <f t="shared" si="0"/>
        <v>0</v>
      </c>
      <c r="S9" s="268"/>
    </row>
    <row r="10" spans="2:19">
      <c r="B10" s="65"/>
      <c r="C10" s="65"/>
      <c r="D10" s="65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5"/>
      <c r="R10" s="275">
        <f t="shared" si="0"/>
        <v>0</v>
      </c>
      <c r="S10" s="268"/>
    </row>
    <row r="11" spans="2:19">
      <c r="B11" s="65"/>
      <c r="C11" s="65"/>
      <c r="D11" s="65"/>
      <c r="E11" s="273"/>
      <c r="F11" s="273"/>
      <c r="G11" s="273"/>
      <c r="H11" s="273"/>
      <c r="I11" s="273"/>
      <c r="J11" s="273"/>
      <c r="K11" s="273"/>
      <c r="L11" s="273"/>
      <c r="M11" s="273"/>
      <c r="N11" s="273"/>
      <c r="O11" s="273"/>
      <c r="P11" s="273"/>
      <c r="Q11" s="275"/>
      <c r="R11" s="275">
        <f t="shared" si="0"/>
        <v>0</v>
      </c>
      <c r="S11" s="268"/>
    </row>
    <row r="12" spans="2:19">
      <c r="B12" s="65"/>
      <c r="C12" s="65"/>
      <c r="D12" s="65"/>
      <c r="E12" s="273"/>
      <c r="F12" s="273"/>
      <c r="G12" s="273"/>
      <c r="H12" s="273"/>
      <c r="I12" s="273"/>
      <c r="J12" s="273"/>
      <c r="K12" s="273"/>
      <c r="L12" s="273"/>
      <c r="M12" s="273"/>
      <c r="N12" s="273"/>
      <c r="O12" s="273"/>
      <c r="P12" s="273"/>
      <c r="Q12" s="275"/>
      <c r="R12" s="275">
        <f t="shared" si="0"/>
        <v>0</v>
      </c>
      <c r="S12" s="268"/>
    </row>
    <row r="13" spans="2:19">
      <c r="B13" s="65"/>
      <c r="C13" s="65"/>
      <c r="D13" s="65"/>
      <c r="E13" s="273"/>
      <c r="F13" s="273"/>
      <c r="G13" s="273"/>
      <c r="H13" s="273"/>
      <c r="I13" s="273"/>
      <c r="J13" s="273"/>
      <c r="K13" s="273"/>
      <c r="L13" s="273"/>
      <c r="M13" s="273"/>
      <c r="N13" s="273"/>
      <c r="O13" s="273"/>
      <c r="P13" s="273"/>
      <c r="Q13" s="275"/>
      <c r="R13" s="275">
        <f t="shared" si="0"/>
        <v>0</v>
      </c>
      <c r="S13" s="268"/>
    </row>
    <row r="14" spans="2:19">
      <c r="B14" s="65"/>
      <c r="C14" s="65"/>
      <c r="D14" s="65"/>
      <c r="E14" s="273"/>
      <c r="F14" s="273"/>
      <c r="G14" s="273"/>
      <c r="H14" s="273"/>
      <c r="I14" s="273"/>
      <c r="J14" s="273"/>
      <c r="K14" s="273"/>
      <c r="L14" s="273"/>
      <c r="M14" s="273"/>
      <c r="N14" s="273"/>
      <c r="O14" s="273"/>
      <c r="P14" s="273"/>
      <c r="Q14" s="275"/>
      <c r="R14" s="275">
        <f t="shared" si="0"/>
        <v>0</v>
      </c>
      <c r="S14" s="268"/>
    </row>
    <row r="15" spans="2:19">
      <c r="B15" s="65"/>
      <c r="C15" s="65"/>
      <c r="D15" s="65"/>
      <c r="E15" s="273"/>
      <c r="F15" s="273"/>
      <c r="G15" s="273"/>
      <c r="H15" s="273"/>
      <c r="I15" s="273"/>
      <c r="J15" s="273"/>
      <c r="K15" s="273"/>
      <c r="L15" s="273"/>
      <c r="M15" s="273"/>
      <c r="N15" s="273"/>
      <c r="O15" s="273"/>
      <c r="P15" s="273"/>
      <c r="Q15" s="275"/>
      <c r="R15" s="275">
        <f t="shared" si="0"/>
        <v>0</v>
      </c>
      <c r="S15" s="268"/>
    </row>
    <row r="16" spans="2:19">
      <c r="B16" s="65"/>
      <c r="C16" s="65"/>
      <c r="D16" s="65"/>
      <c r="E16" s="273"/>
      <c r="F16" s="273"/>
      <c r="G16" s="273"/>
      <c r="H16" s="273"/>
      <c r="I16" s="273"/>
      <c r="J16" s="273"/>
      <c r="K16" s="273"/>
      <c r="L16" s="273"/>
      <c r="M16" s="273"/>
      <c r="N16" s="273"/>
      <c r="O16" s="273"/>
      <c r="P16" s="273"/>
      <c r="Q16" s="275"/>
      <c r="R16" s="275">
        <f t="shared" si="0"/>
        <v>0</v>
      </c>
      <c r="S16" s="268"/>
    </row>
    <row r="17" spans="2:19">
      <c r="B17" s="65"/>
      <c r="C17" s="65"/>
      <c r="D17" s="65"/>
      <c r="E17" s="273"/>
      <c r="F17" s="273"/>
      <c r="G17" s="273"/>
      <c r="H17" s="273"/>
      <c r="I17" s="273"/>
      <c r="J17" s="273"/>
      <c r="K17" s="273"/>
      <c r="L17" s="273"/>
      <c r="M17" s="273"/>
      <c r="N17" s="273"/>
      <c r="O17" s="273"/>
      <c r="P17" s="273"/>
      <c r="Q17" s="275"/>
      <c r="R17" s="275">
        <f t="shared" si="0"/>
        <v>0</v>
      </c>
      <c r="S17" s="268"/>
    </row>
    <row r="18" spans="2:19">
      <c r="B18" s="65"/>
      <c r="C18" s="65"/>
      <c r="D18" s="65"/>
      <c r="E18" s="273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273"/>
      <c r="Q18" s="275"/>
      <c r="R18" s="275">
        <f t="shared" si="0"/>
        <v>0</v>
      </c>
      <c r="S18" s="268"/>
    </row>
    <row r="19" spans="2:19">
      <c r="B19" s="65"/>
      <c r="C19" s="65"/>
      <c r="D19" s="65"/>
      <c r="E19" s="273"/>
      <c r="F19" s="273"/>
      <c r="G19" s="273"/>
      <c r="H19" s="273"/>
      <c r="I19" s="273"/>
      <c r="J19" s="273"/>
      <c r="K19" s="273"/>
      <c r="L19" s="273"/>
      <c r="M19" s="273"/>
      <c r="N19" s="273"/>
      <c r="O19" s="273"/>
      <c r="P19" s="273"/>
      <c r="Q19" s="275"/>
      <c r="R19" s="275">
        <f t="shared" si="0"/>
        <v>0</v>
      </c>
      <c r="S19" s="268"/>
    </row>
    <row r="20" spans="2:19">
      <c r="B20" s="65"/>
      <c r="C20" s="65"/>
      <c r="D20" s="65"/>
      <c r="E20" s="273"/>
      <c r="F20" s="273"/>
      <c r="G20" s="273"/>
      <c r="H20" s="273"/>
      <c r="I20" s="273"/>
      <c r="J20" s="273"/>
      <c r="K20" s="273"/>
      <c r="L20" s="273"/>
      <c r="M20" s="273"/>
      <c r="N20" s="273"/>
      <c r="O20" s="273"/>
      <c r="P20" s="273"/>
      <c r="Q20" s="275"/>
      <c r="R20" s="275">
        <f t="shared" si="0"/>
        <v>0</v>
      </c>
      <c r="S20" s="268"/>
    </row>
    <row r="21" spans="2:19">
      <c r="B21" s="65"/>
      <c r="C21" s="65"/>
      <c r="D21" s="65"/>
      <c r="E21" s="273"/>
      <c r="F21" s="273"/>
      <c r="G21" s="273"/>
      <c r="H21" s="273"/>
      <c r="I21" s="273"/>
      <c r="J21" s="273"/>
      <c r="K21" s="273"/>
      <c r="L21" s="273"/>
      <c r="M21" s="273"/>
      <c r="N21" s="273"/>
      <c r="O21" s="273"/>
      <c r="P21" s="273"/>
      <c r="Q21" s="275"/>
      <c r="R21" s="275">
        <f t="shared" si="0"/>
        <v>0</v>
      </c>
      <c r="S21" s="268"/>
    </row>
    <row r="22" spans="2:19">
      <c r="B22" s="65"/>
      <c r="C22" s="65"/>
      <c r="D22" s="65"/>
      <c r="E22" s="273"/>
      <c r="F22" s="273"/>
      <c r="G22" s="273"/>
      <c r="H22" s="273"/>
      <c r="I22" s="273"/>
      <c r="J22" s="273"/>
      <c r="K22" s="273"/>
      <c r="L22" s="273"/>
      <c r="M22" s="273"/>
      <c r="N22" s="273"/>
      <c r="O22" s="273"/>
      <c r="P22" s="273"/>
      <c r="Q22" s="275"/>
      <c r="R22" s="275">
        <f t="shared" si="0"/>
        <v>0</v>
      </c>
      <c r="S22" s="268"/>
    </row>
    <row r="23" spans="2:19">
      <c r="B23" s="65"/>
      <c r="C23" s="65"/>
      <c r="D23" s="65"/>
      <c r="E23" s="273"/>
      <c r="F23" s="273"/>
      <c r="G23" s="273"/>
      <c r="H23" s="273"/>
      <c r="I23" s="273"/>
      <c r="J23" s="273"/>
      <c r="K23" s="273"/>
      <c r="L23" s="273"/>
      <c r="M23" s="273"/>
      <c r="N23" s="273"/>
      <c r="O23" s="273"/>
      <c r="P23" s="273"/>
      <c r="Q23" s="275"/>
      <c r="R23" s="275">
        <f t="shared" si="0"/>
        <v>0</v>
      </c>
      <c r="S23" s="268"/>
    </row>
    <row r="24" spans="2:19">
      <c r="B24" s="65"/>
      <c r="C24" s="65"/>
      <c r="D24" s="65"/>
      <c r="E24" s="273"/>
      <c r="F24" s="273"/>
      <c r="G24" s="273"/>
      <c r="H24" s="273"/>
      <c r="I24" s="273"/>
      <c r="J24" s="273"/>
      <c r="K24" s="273"/>
      <c r="L24" s="273"/>
      <c r="M24" s="273"/>
      <c r="N24" s="273"/>
      <c r="O24" s="273"/>
      <c r="P24" s="273"/>
      <c r="Q24" s="275"/>
      <c r="R24" s="275">
        <f t="shared" si="0"/>
        <v>0</v>
      </c>
      <c r="S24" s="268"/>
    </row>
    <row r="25" spans="2:19">
      <c r="B25" s="65"/>
      <c r="C25" s="65"/>
      <c r="D25" s="65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5"/>
      <c r="R25" s="275">
        <f t="shared" si="0"/>
        <v>0</v>
      </c>
      <c r="S25" s="268"/>
    </row>
    <row r="26" spans="2:19">
      <c r="B26" s="65"/>
      <c r="C26" s="65"/>
      <c r="D26" s="65"/>
      <c r="E26" s="273"/>
      <c r="F26" s="273"/>
      <c r="G26" s="273"/>
      <c r="H26" s="273"/>
      <c r="I26" s="273"/>
      <c r="J26" s="273"/>
      <c r="K26" s="273"/>
      <c r="L26" s="273"/>
      <c r="M26" s="273"/>
      <c r="N26" s="273"/>
      <c r="O26" s="273"/>
      <c r="P26" s="273"/>
      <c r="Q26" s="275"/>
      <c r="R26" s="275">
        <f t="shared" si="0"/>
        <v>0</v>
      </c>
      <c r="S26" s="268"/>
    </row>
    <row r="27" spans="2:19">
      <c r="B27" s="65"/>
      <c r="C27" s="65"/>
      <c r="D27" s="65"/>
      <c r="E27" s="273"/>
      <c r="F27" s="273"/>
      <c r="G27" s="273"/>
      <c r="H27" s="273"/>
      <c r="I27" s="273"/>
      <c r="J27" s="273"/>
      <c r="K27" s="273"/>
      <c r="L27" s="273"/>
      <c r="M27" s="273"/>
      <c r="N27" s="273"/>
      <c r="O27" s="273"/>
      <c r="P27" s="273"/>
      <c r="Q27" s="275"/>
      <c r="R27" s="275">
        <f t="shared" si="0"/>
        <v>0</v>
      </c>
      <c r="S27" s="268"/>
    </row>
    <row r="28" spans="2:19">
      <c r="B28" s="65"/>
      <c r="C28" s="65"/>
      <c r="D28" s="65"/>
      <c r="E28" s="273"/>
      <c r="F28" s="273"/>
      <c r="G28" s="273"/>
      <c r="H28" s="273"/>
      <c r="I28" s="273"/>
      <c r="J28" s="273"/>
      <c r="K28" s="273"/>
      <c r="L28" s="273"/>
      <c r="M28" s="273"/>
      <c r="N28" s="273"/>
      <c r="O28" s="273"/>
      <c r="P28" s="273"/>
      <c r="Q28" s="275"/>
      <c r="R28" s="275">
        <f t="shared" si="0"/>
        <v>0</v>
      </c>
      <c r="S28" s="268"/>
    </row>
    <row r="29" spans="2:19">
      <c r="B29" s="65"/>
      <c r="C29" s="65"/>
      <c r="D29" s="65"/>
      <c r="E29" s="273"/>
      <c r="F29" s="273"/>
      <c r="G29" s="273"/>
      <c r="H29" s="273"/>
      <c r="I29" s="273"/>
      <c r="J29" s="273"/>
      <c r="K29" s="273"/>
      <c r="L29" s="273"/>
      <c r="M29" s="273"/>
      <c r="N29" s="273"/>
      <c r="O29" s="273"/>
      <c r="P29" s="273"/>
      <c r="Q29" s="275"/>
      <c r="R29" s="275">
        <f t="shared" si="0"/>
        <v>0</v>
      </c>
      <c r="S29" s="268"/>
    </row>
    <row r="30" spans="2:19">
      <c r="B30" s="65"/>
      <c r="C30" s="65"/>
      <c r="D30" s="65"/>
      <c r="E30" s="273"/>
      <c r="F30" s="273"/>
      <c r="G30" s="273"/>
      <c r="H30" s="273"/>
      <c r="I30" s="273"/>
      <c r="J30" s="273"/>
      <c r="K30" s="273"/>
      <c r="L30" s="273"/>
      <c r="M30" s="273"/>
      <c r="N30" s="273"/>
      <c r="O30" s="273"/>
      <c r="P30" s="273"/>
      <c r="Q30" s="275"/>
      <c r="R30" s="275">
        <f t="shared" si="0"/>
        <v>0</v>
      </c>
      <c r="S30" s="268"/>
    </row>
    <row r="31" spans="2:19">
      <c r="B31" s="65"/>
      <c r="C31" s="65"/>
      <c r="D31" s="65"/>
      <c r="E31" s="273"/>
      <c r="F31" s="273"/>
      <c r="G31" s="273"/>
      <c r="H31" s="273"/>
      <c r="I31" s="273"/>
      <c r="J31" s="273"/>
      <c r="K31" s="273"/>
      <c r="L31" s="273"/>
      <c r="M31" s="273"/>
      <c r="N31" s="273"/>
      <c r="O31" s="273"/>
      <c r="P31" s="273"/>
      <c r="Q31" s="275"/>
      <c r="R31" s="275">
        <f t="shared" si="0"/>
        <v>0</v>
      </c>
      <c r="S31" s="268"/>
    </row>
    <row r="32" spans="2:19">
      <c r="B32" s="65"/>
      <c r="C32" s="65"/>
      <c r="D32" s="65"/>
      <c r="E32" s="273"/>
      <c r="F32" s="273"/>
      <c r="G32" s="273"/>
      <c r="H32" s="273"/>
      <c r="I32" s="273"/>
      <c r="J32" s="273"/>
      <c r="K32" s="273"/>
      <c r="L32" s="273"/>
      <c r="M32" s="273"/>
      <c r="N32" s="273"/>
      <c r="O32" s="273"/>
      <c r="P32" s="273"/>
      <c r="Q32" s="275"/>
      <c r="R32" s="275">
        <f t="shared" si="0"/>
        <v>0</v>
      </c>
      <c r="S32" s="268"/>
    </row>
    <row r="33" spans="2:19">
      <c r="B33" s="65"/>
      <c r="C33" s="65"/>
      <c r="D33" s="65"/>
      <c r="E33" s="273"/>
      <c r="F33" s="273"/>
      <c r="G33" s="273"/>
      <c r="H33" s="273"/>
      <c r="I33" s="273"/>
      <c r="J33" s="273"/>
      <c r="K33" s="273"/>
      <c r="L33" s="273"/>
      <c r="M33" s="273"/>
      <c r="N33" s="273"/>
      <c r="O33" s="273"/>
      <c r="P33" s="273"/>
      <c r="Q33" s="275"/>
      <c r="R33" s="275">
        <f t="shared" si="0"/>
        <v>0</v>
      </c>
      <c r="S33" s="268"/>
    </row>
    <row r="34" spans="2:19">
      <c r="B34" s="65"/>
      <c r="C34" s="65"/>
      <c r="D34" s="65"/>
      <c r="E34" s="273"/>
      <c r="F34" s="273"/>
      <c r="G34" s="273"/>
      <c r="H34" s="273"/>
      <c r="I34" s="273"/>
      <c r="J34" s="273"/>
      <c r="K34" s="273"/>
      <c r="L34" s="273"/>
      <c r="M34" s="273"/>
      <c r="N34" s="273"/>
      <c r="O34" s="273"/>
      <c r="P34" s="273"/>
      <c r="Q34" s="275"/>
      <c r="R34" s="275">
        <f t="shared" si="0"/>
        <v>0</v>
      </c>
      <c r="S34" s="268"/>
    </row>
    <row r="35" spans="2:19">
      <c r="B35" s="65"/>
      <c r="C35" s="65"/>
      <c r="D35" s="65"/>
      <c r="E35" s="273"/>
      <c r="F35" s="273"/>
      <c r="G35" s="273"/>
      <c r="H35" s="273"/>
      <c r="I35" s="273"/>
      <c r="J35" s="273"/>
      <c r="K35" s="273"/>
      <c r="L35" s="273"/>
      <c r="M35" s="273"/>
      <c r="N35" s="273"/>
      <c r="O35" s="273"/>
      <c r="P35" s="273"/>
      <c r="Q35" s="275"/>
      <c r="R35" s="275">
        <f t="shared" si="0"/>
        <v>0</v>
      </c>
      <c r="S35" s="268"/>
    </row>
    <row r="36" spans="2:19">
      <c r="B36" s="65"/>
      <c r="C36" s="65"/>
      <c r="D36" s="65"/>
      <c r="E36" s="273"/>
      <c r="F36" s="273"/>
      <c r="G36" s="273"/>
      <c r="H36" s="273"/>
      <c r="I36" s="273"/>
      <c r="J36" s="273"/>
      <c r="K36" s="273"/>
      <c r="L36" s="273"/>
      <c r="M36" s="273"/>
      <c r="N36" s="273"/>
      <c r="O36" s="273"/>
      <c r="P36" s="273"/>
      <c r="Q36" s="275"/>
      <c r="R36" s="275">
        <f t="shared" si="0"/>
        <v>0</v>
      </c>
      <c r="S36" s="268"/>
    </row>
    <row r="37" spans="2:19">
      <c r="B37" s="65"/>
      <c r="C37" s="65"/>
      <c r="D37" s="65"/>
      <c r="E37" s="273"/>
      <c r="F37" s="273"/>
      <c r="G37" s="273"/>
      <c r="H37" s="273"/>
      <c r="I37" s="273"/>
      <c r="J37" s="273"/>
      <c r="K37" s="273"/>
      <c r="L37" s="273"/>
      <c r="M37" s="273"/>
      <c r="N37" s="273"/>
      <c r="O37" s="273"/>
      <c r="P37" s="273"/>
      <c r="Q37" s="275"/>
      <c r="R37" s="275">
        <f t="shared" si="0"/>
        <v>0</v>
      </c>
      <c r="S37" s="268"/>
    </row>
    <row r="38" spans="2:19">
      <c r="B38" s="65"/>
      <c r="C38" s="65"/>
      <c r="D38" s="65"/>
      <c r="E38" s="273"/>
      <c r="F38" s="273"/>
      <c r="G38" s="273"/>
      <c r="H38" s="273"/>
      <c r="I38" s="273"/>
      <c r="J38" s="273"/>
      <c r="K38" s="273"/>
      <c r="L38" s="273"/>
      <c r="M38" s="273"/>
      <c r="N38" s="273"/>
      <c r="O38" s="273"/>
      <c r="P38" s="273"/>
      <c r="Q38" s="275"/>
      <c r="R38" s="275">
        <f t="shared" si="0"/>
        <v>0</v>
      </c>
      <c r="S38" s="268"/>
    </row>
    <row r="39" spans="2:19">
      <c r="B39" s="65"/>
      <c r="C39" s="65"/>
      <c r="D39" s="65"/>
      <c r="E39" s="273"/>
      <c r="F39" s="273"/>
      <c r="G39" s="273"/>
      <c r="H39" s="273"/>
      <c r="I39" s="273"/>
      <c r="J39" s="273"/>
      <c r="K39" s="273"/>
      <c r="L39" s="273"/>
      <c r="M39" s="273"/>
      <c r="N39" s="273"/>
      <c r="O39" s="273"/>
      <c r="P39" s="273"/>
      <c r="Q39" s="275"/>
      <c r="R39" s="275">
        <f t="shared" si="0"/>
        <v>0</v>
      </c>
      <c r="S39" s="268"/>
    </row>
    <row r="40" spans="2:19">
      <c r="B40" s="65"/>
      <c r="C40" s="65"/>
      <c r="D40" s="65"/>
      <c r="E40" s="273"/>
      <c r="F40" s="273"/>
      <c r="G40" s="273"/>
      <c r="H40" s="273"/>
      <c r="I40" s="273"/>
      <c r="J40" s="273"/>
      <c r="K40" s="273"/>
      <c r="L40" s="273"/>
      <c r="M40" s="273"/>
      <c r="N40" s="273"/>
      <c r="O40" s="273"/>
      <c r="P40" s="273"/>
      <c r="Q40" s="275"/>
      <c r="R40" s="275">
        <f t="shared" si="0"/>
        <v>0</v>
      </c>
      <c r="S40" s="268"/>
    </row>
    <row r="41" spans="2:19">
      <c r="B41" s="65"/>
      <c r="C41" s="65"/>
      <c r="D41" s="65"/>
      <c r="E41" s="273"/>
      <c r="F41" s="273"/>
      <c r="G41" s="273"/>
      <c r="H41" s="273"/>
      <c r="I41" s="273"/>
      <c r="J41" s="273"/>
      <c r="K41" s="273"/>
      <c r="L41" s="273"/>
      <c r="M41" s="273"/>
      <c r="N41" s="273"/>
      <c r="O41" s="273"/>
      <c r="P41" s="273"/>
      <c r="Q41" s="275"/>
      <c r="R41" s="275">
        <f t="shared" si="0"/>
        <v>0</v>
      </c>
      <c r="S41" s="268"/>
    </row>
    <row r="42" spans="2:19">
      <c r="B42" s="65"/>
      <c r="C42" s="65"/>
      <c r="D42" s="65"/>
      <c r="E42" s="273"/>
      <c r="F42" s="273"/>
      <c r="G42" s="273"/>
      <c r="H42" s="273"/>
      <c r="I42" s="273"/>
      <c r="J42" s="273"/>
      <c r="K42" s="273"/>
      <c r="L42" s="273"/>
      <c r="M42" s="273"/>
      <c r="N42" s="273"/>
      <c r="O42" s="273"/>
      <c r="P42" s="273"/>
      <c r="Q42" s="275"/>
      <c r="R42" s="275">
        <f t="shared" si="0"/>
        <v>0</v>
      </c>
      <c r="S42" s="268"/>
    </row>
    <row r="43" spans="2:19">
      <c r="B43" s="65"/>
      <c r="C43" s="65"/>
      <c r="D43" s="65"/>
      <c r="E43" s="273"/>
      <c r="F43" s="273"/>
      <c r="G43" s="273"/>
      <c r="H43" s="273"/>
      <c r="I43" s="273"/>
      <c r="J43" s="273"/>
      <c r="K43" s="273"/>
      <c r="L43" s="273"/>
      <c r="M43" s="273"/>
      <c r="N43" s="273"/>
      <c r="O43" s="273"/>
      <c r="P43" s="273"/>
      <c r="Q43" s="275"/>
      <c r="R43" s="275">
        <f t="shared" si="0"/>
        <v>0</v>
      </c>
      <c r="S43" s="268"/>
    </row>
    <row r="44" spans="2:19">
      <c r="B44" s="65"/>
      <c r="C44" s="65"/>
      <c r="D44" s="65"/>
      <c r="E44" s="273"/>
      <c r="F44" s="273"/>
      <c r="G44" s="273"/>
      <c r="H44" s="273"/>
      <c r="I44" s="273"/>
      <c r="J44" s="273"/>
      <c r="K44" s="273"/>
      <c r="L44" s="273"/>
      <c r="M44" s="273"/>
      <c r="N44" s="273"/>
      <c r="O44" s="273"/>
      <c r="P44" s="273"/>
      <c r="Q44" s="275"/>
      <c r="R44" s="275">
        <f t="shared" si="0"/>
        <v>0</v>
      </c>
      <c r="S44" s="268"/>
    </row>
    <row r="45" spans="2:19">
      <c r="B45" s="65"/>
      <c r="C45" s="65"/>
      <c r="D45" s="65"/>
      <c r="E45" s="273"/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5"/>
      <c r="R45" s="275">
        <f t="shared" si="0"/>
        <v>0</v>
      </c>
      <c r="S45" s="268"/>
    </row>
    <row r="46" spans="2:19">
      <c r="B46" s="65"/>
      <c r="C46" s="65"/>
      <c r="D46" s="65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P46" s="273"/>
      <c r="Q46" s="275"/>
      <c r="R46" s="275">
        <f t="shared" si="0"/>
        <v>0</v>
      </c>
      <c r="S46" s="268"/>
    </row>
    <row r="47" spans="2:19">
      <c r="B47" s="65"/>
      <c r="C47" s="65"/>
      <c r="D47" s="65"/>
      <c r="E47" s="273"/>
      <c r="F47" s="273"/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5"/>
      <c r="R47" s="275">
        <f t="shared" si="0"/>
        <v>0</v>
      </c>
      <c r="S47" s="268"/>
    </row>
    <row r="48" spans="2:19">
      <c r="B48" s="65"/>
      <c r="C48" s="65"/>
      <c r="D48" s="65"/>
      <c r="E48" s="273"/>
      <c r="F48" s="273"/>
      <c r="G48" s="273"/>
      <c r="H48" s="273"/>
      <c r="I48" s="273"/>
      <c r="J48" s="273"/>
      <c r="K48" s="273"/>
      <c r="L48" s="273"/>
      <c r="M48" s="273"/>
      <c r="N48" s="273"/>
      <c r="O48" s="273"/>
      <c r="P48" s="273"/>
      <c r="Q48" s="275"/>
      <c r="R48" s="275">
        <f t="shared" si="0"/>
        <v>0</v>
      </c>
      <c r="S48" s="268"/>
    </row>
    <row r="49" spans="2:19">
      <c r="B49" s="65"/>
      <c r="C49" s="65"/>
      <c r="D49" s="65"/>
      <c r="E49" s="273"/>
      <c r="F49" s="273"/>
      <c r="G49" s="273"/>
      <c r="H49" s="273"/>
      <c r="I49" s="273"/>
      <c r="J49" s="273"/>
      <c r="K49" s="273"/>
      <c r="L49" s="273"/>
      <c r="M49" s="273"/>
      <c r="N49" s="273"/>
      <c r="O49" s="273"/>
      <c r="P49" s="273"/>
      <c r="Q49" s="275"/>
      <c r="R49" s="275">
        <f t="shared" si="0"/>
        <v>0</v>
      </c>
      <c r="S49" s="268"/>
    </row>
    <row r="50" spans="2:19">
      <c r="B50" s="56"/>
      <c r="C50" s="56"/>
      <c r="D50" s="56" t="s">
        <v>147</v>
      </c>
      <c r="E50" s="274"/>
      <c r="F50" s="274"/>
      <c r="G50" s="274"/>
      <c r="H50" s="274"/>
      <c r="I50" s="274"/>
      <c r="J50" s="274"/>
      <c r="K50" s="274"/>
      <c r="L50" s="274"/>
      <c r="M50" s="274"/>
      <c r="N50" s="274"/>
      <c r="O50" s="274"/>
      <c r="P50" s="274"/>
      <c r="Q50" s="274"/>
      <c r="R50" s="274">
        <f t="shared" si="0"/>
        <v>0</v>
      </c>
      <c r="S50" s="269"/>
    </row>
    <row r="51" spans="2:19">
      <c r="S51" s="48"/>
    </row>
    <row r="52" spans="2:19">
      <c r="B52" s="93" t="s">
        <v>401</v>
      </c>
    </row>
    <row r="53" spans="2:19">
      <c r="B53" s="48" t="s">
        <v>330</v>
      </c>
    </row>
    <row r="54" spans="2:19">
      <c r="B54" s="48" t="s">
        <v>331</v>
      </c>
    </row>
    <row r="55" spans="2:19">
      <c r="B55" s="48" t="s">
        <v>332</v>
      </c>
    </row>
  </sheetData>
  <autoFilter ref="B3:T55" xr:uid="{B5FEE433-7393-4367-B274-C2B2C6298A07}"/>
  <phoneticPr fontId="3"/>
  <dataValidations count="1">
    <dataValidation type="list" allowBlank="1" showInputMessage="1" showErrorMessage="1" sqref="S4:S49" xr:uid="{16DB16B3-F3A5-44F7-A893-EAC437327922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497F4-75C1-4279-9B4B-ADBFA5C000E7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.5"/>
  <cols>
    <col min="1" max="1" width="15.375" style="106" bestFit="1" customWidth="1"/>
    <col min="2" max="2" width="34.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25" style="107" bestFit="1" customWidth="1"/>
    <col min="10" max="16384" width="9" style="107"/>
  </cols>
  <sheetData>
    <row r="1" spans="1:9" s="84" customFormat="1" ht="12">
      <c r="A1" s="80" t="s">
        <v>344</v>
      </c>
      <c r="B1" s="81" t="s">
        <v>156</v>
      </c>
      <c r="C1" s="81" t="s">
        <v>345</v>
      </c>
      <c r="D1" s="82" t="s">
        <v>157</v>
      </c>
      <c r="E1" s="83" t="s">
        <v>346</v>
      </c>
      <c r="F1" s="83" t="s">
        <v>158</v>
      </c>
      <c r="G1" s="83" t="s">
        <v>159</v>
      </c>
      <c r="H1" s="83" t="s">
        <v>160</v>
      </c>
      <c r="I1" s="83" t="s">
        <v>347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115</v>
      </c>
      <c r="C3" t="s">
        <v>32</v>
      </c>
      <c r="D3" t="s">
        <v>115</v>
      </c>
      <c r="E3" t="s">
        <v>14</v>
      </c>
      <c r="F3" s="108" t="s">
        <v>460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115</v>
      </c>
      <c r="E4" t="s">
        <v>14</v>
      </c>
      <c r="F4" s="108" t="s">
        <v>461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115</v>
      </c>
      <c r="E5" t="s">
        <v>14</v>
      </c>
      <c r="F5" s="108" t="s">
        <v>462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399</v>
      </c>
      <c r="C6" t="s">
        <v>35</v>
      </c>
      <c r="D6" t="s">
        <v>100</v>
      </c>
      <c r="E6" t="s">
        <v>348</v>
      </c>
      <c r="F6" s="108" t="s">
        <v>463</v>
      </c>
      <c r="G6" s="108"/>
      <c r="H6" s="108"/>
      <c r="I6" t="s">
        <v>445</v>
      </c>
    </row>
    <row r="7" spans="1:9" s="84" customFormat="1">
      <c r="A7" s="105">
        <v>5001016134</v>
      </c>
      <c r="B7" t="s">
        <v>415</v>
      </c>
      <c r="C7" t="s">
        <v>35</v>
      </c>
      <c r="D7" t="s">
        <v>100</v>
      </c>
      <c r="E7" t="s">
        <v>348</v>
      </c>
      <c r="F7" s="108" t="s">
        <v>464</v>
      </c>
      <c r="G7" s="108">
        <v>5001016134</v>
      </c>
      <c r="H7" s="108">
        <v>5001016134</v>
      </c>
      <c r="I7" t="s">
        <v>446</v>
      </c>
    </row>
    <row r="8" spans="1:9" s="84" customFormat="1">
      <c r="A8" s="105">
        <v>5001016135</v>
      </c>
      <c r="B8" t="s">
        <v>151</v>
      </c>
      <c r="C8" t="s">
        <v>35</v>
      </c>
      <c r="D8" t="s">
        <v>100</v>
      </c>
      <c r="E8" t="s">
        <v>348</v>
      </c>
      <c r="F8" s="108" t="s">
        <v>465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102</v>
      </c>
      <c r="C9" t="s">
        <v>35</v>
      </c>
      <c r="D9" t="s">
        <v>100</v>
      </c>
      <c r="E9" t="s">
        <v>348</v>
      </c>
      <c r="F9" s="108" t="s">
        <v>466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162</v>
      </c>
      <c r="C10" t="s">
        <v>35</v>
      </c>
      <c r="D10" t="s">
        <v>119</v>
      </c>
      <c r="E10" t="s">
        <v>349</v>
      </c>
      <c r="F10" s="108" t="s">
        <v>467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350</v>
      </c>
      <c r="C11" t="s">
        <v>35</v>
      </c>
      <c r="D11" t="s">
        <v>100</v>
      </c>
      <c r="E11" t="s">
        <v>348</v>
      </c>
      <c r="F11" s="108" t="s">
        <v>685</v>
      </c>
      <c r="G11" s="108">
        <v>5001016149</v>
      </c>
      <c r="H11" s="108">
        <v>5001016149</v>
      </c>
      <c r="I11" t="s">
        <v>351</v>
      </c>
    </row>
    <row r="12" spans="1:9" s="84" customFormat="1">
      <c r="A12" s="105">
        <v>5001016151</v>
      </c>
      <c r="B12" t="s">
        <v>161</v>
      </c>
      <c r="C12" t="s">
        <v>35</v>
      </c>
      <c r="D12" t="s">
        <v>100</v>
      </c>
      <c r="E12" t="s">
        <v>348</v>
      </c>
      <c r="F12" s="108" t="s">
        <v>468</v>
      </c>
      <c r="G12" s="108"/>
      <c r="H12" s="108"/>
      <c r="I12" t="s">
        <v>447</v>
      </c>
    </row>
    <row r="13" spans="1:9" s="84" customFormat="1">
      <c r="A13" s="105">
        <v>5004046221</v>
      </c>
      <c r="B13" t="s">
        <v>163</v>
      </c>
      <c r="C13" t="s">
        <v>148</v>
      </c>
      <c r="D13" t="s">
        <v>41</v>
      </c>
      <c r="E13" t="s">
        <v>148</v>
      </c>
      <c r="F13" s="108" t="s">
        <v>469</v>
      </c>
      <c r="G13" s="108"/>
      <c r="H13" s="108"/>
      <c r="I13"/>
    </row>
    <row r="14" spans="1:9" s="84" customFormat="1">
      <c r="A14" s="105">
        <v>5004046371</v>
      </c>
      <c r="B14" t="s">
        <v>164</v>
      </c>
      <c r="C14" t="s">
        <v>149</v>
      </c>
      <c r="D14" t="s">
        <v>41</v>
      </c>
      <c r="E14" t="s">
        <v>148</v>
      </c>
      <c r="F14" s="108" t="s">
        <v>470</v>
      </c>
      <c r="G14" s="108"/>
      <c r="H14" s="108"/>
      <c r="I14"/>
    </row>
    <row r="15" spans="1:9" s="84" customFormat="1">
      <c r="A15" s="105">
        <v>5005016371</v>
      </c>
      <c r="B15" t="s">
        <v>165</v>
      </c>
      <c r="C15" t="s">
        <v>150</v>
      </c>
      <c r="D15" t="s">
        <v>55</v>
      </c>
      <c r="E15" t="s">
        <v>352</v>
      </c>
      <c r="F15" s="108" t="s">
        <v>471</v>
      </c>
      <c r="G15" s="108"/>
      <c r="H15" s="108"/>
      <c r="I15"/>
    </row>
    <row r="16" spans="1:9" s="84" customFormat="1">
      <c r="A16" s="105">
        <v>5005016372</v>
      </c>
      <c r="B16" t="s">
        <v>166</v>
      </c>
      <c r="C16" t="s">
        <v>150</v>
      </c>
      <c r="D16" t="s">
        <v>55</v>
      </c>
      <c r="E16" t="s">
        <v>352</v>
      </c>
      <c r="F16" s="108" t="s">
        <v>472</v>
      </c>
      <c r="G16" s="108"/>
      <c r="H16" s="108"/>
      <c r="I16"/>
    </row>
    <row r="17" spans="1:9" s="84" customFormat="1">
      <c r="A17" s="105">
        <v>5005016373</v>
      </c>
      <c r="B17" t="s">
        <v>412</v>
      </c>
      <c r="C17" t="s">
        <v>150</v>
      </c>
      <c r="D17" t="s">
        <v>55</v>
      </c>
      <c r="E17" t="s">
        <v>352</v>
      </c>
      <c r="F17" s="108" t="s">
        <v>473</v>
      </c>
      <c r="G17" s="108"/>
      <c r="H17" s="108"/>
      <c r="I17" t="s">
        <v>447</v>
      </c>
    </row>
    <row r="18" spans="1:9" s="84" customFormat="1">
      <c r="A18" s="105">
        <v>5005026371</v>
      </c>
      <c r="B18" t="s">
        <v>167</v>
      </c>
      <c r="C18" t="s">
        <v>150</v>
      </c>
      <c r="D18" t="s">
        <v>103</v>
      </c>
      <c r="E18" t="s">
        <v>353</v>
      </c>
      <c r="F18" s="108" t="s">
        <v>474</v>
      </c>
      <c r="G18" s="108"/>
      <c r="H18" s="108"/>
      <c r="I18"/>
    </row>
    <row r="19" spans="1:9" s="84" customFormat="1">
      <c r="A19" s="105">
        <v>5005026372</v>
      </c>
      <c r="B19" t="s">
        <v>168</v>
      </c>
      <c r="C19" t="s">
        <v>150</v>
      </c>
      <c r="D19" t="s">
        <v>54</v>
      </c>
      <c r="E19" t="s">
        <v>354</v>
      </c>
      <c r="F19" s="108" t="s">
        <v>475</v>
      </c>
      <c r="G19" s="108"/>
      <c r="H19" s="108"/>
      <c r="I19"/>
    </row>
    <row r="20" spans="1:9" s="84" customFormat="1">
      <c r="A20" s="105">
        <v>5006016241</v>
      </c>
      <c r="B20" t="s">
        <v>169</v>
      </c>
      <c r="C20" t="s">
        <v>21</v>
      </c>
      <c r="D20" t="s">
        <v>45</v>
      </c>
      <c r="E20" t="s">
        <v>355</v>
      </c>
      <c r="F20" s="108" t="s">
        <v>476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355</v>
      </c>
      <c r="F21" s="108" t="s">
        <v>477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355</v>
      </c>
      <c r="F22" s="108" t="s">
        <v>478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355</v>
      </c>
      <c r="F23" s="108" t="s">
        <v>479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355</v>
      </c>
      <c r="F24" s="108" t="s">
        <v>480</v>
      </c>
      <c r="G24" s="108"/>
      <c r="H24" s="108"/>
      <c r="I24"/>
    </row>
    <row r="25" spans="1:9" s="84" customFormat="1">
      <c r="A25" s="105">
        <v>5005036246</v>
      </c>
      <c r="B25" t="s">
        <v>170</v>
      </c>
      <c r="C25" t="s">
        <v>21</v>
      </c>
      <c r="D25" t="s">
        <v>46</v>
      </c>
      <c r="E25" t="s">
        <v>356</v>
      </c>
      <c r="F25" s="108" t="s">
        <v>481</v>
      </c>
      <c r="G25" s="108"/>
      <c r="H25" s="108"/>
      <c r="I25"/>
    </row>
    <row r="26" spans="1:9" s="84" customFormat="1">
      <c r="A26" s="105">
        <v>5006016247</v>
      </c>
      <c r="B26" t="s">
        <v>171</v>
      </c>
      <c r="C26" t="s">
        <v>21</v>
      </c>
      <c r="D26" t="s">
        <v>45</v>
      </c>
      <c r="E26" t="s">
        <v>355</v>
      </c>
      <c r="F26" s="108" t="s">
        <v>482</v>
      </c>
      <c r="G26" s="108"/>
      <c r="H26" s="108"/>
      <c r="I26"/>
    </row>
    <row r="27" spans="1:9" s="84" customFormat="1">
      <c r="A27" s="105">
        <v>5006016248</v>
      </c>
      <c r="B27" t="s">
        <v>172</v>
      </c>
      <c r="C27" t="s">
        <v>21</v>
      </c>
      <c r="D27" t="s">
        <v>45</v>
      </c>
      <c r="E27" t="s">
        <v>355</v>
      </c>
      <c r="F27" s="108" t="s">
        <v>483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355</v>
      </c>
      <c r="F28" s="108" t="s">
        <v>484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355</v>
      </c>
      <c r="F29" s="108" t="s">
        <v>485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355</v>
      </c>
      <c r="F30" s="108" t="s">
        <v>486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355</v>
      </c>
      <c r="F31" s="108" t="s">
        <v>487</v>
      </c>
      <c r="G31" s="108"/>
      <c r="H31" s="108"/>
      <c r="I31"/>
    </row>
    <row r="32" spans="1:9" s="84" customFormat="1">
      <c r="A32" s="105">
        <v>5006016253</v>
      </c>
      <c r="B32" t="s">
        <v>173</v>
      </c>
      <c r="C32" t="s">
        <v>21</v>
      </c>
      <c r="D32" t="s">
        <v>45</v>
      </c>
      <c r="E32" t="s">
        <v>355</v>
      </c>
      <c r="F32" s="108" t="s">
        <v>488</v>
      </c>
      <c r="G32" s="108"/>
      <c r="H32" s="108"/>
      <c r="I32"/>
    </row>
    <row r="33" spans="1:9" s="84" customFormat="1">
      <c r="A33" s="105">
        <v>5006016254</v>
      </c>
      <c r="B33" t="s">
        <v>174</v>
      </c>
      <c r="C33" t="s">
        <v>21</v>
      </c>
      <c r="D33" t="s">
        <v>45</v>
      </c>
      <c r="E33" t="s">
        <v>355</v>
      </c>
      <c r="F33" s="108" t="s">
        <v>489</v>
      </c>
      <c r="G33" s="108"/>
      <c r="H33" s="108"/>
      <c r="I33"/>
    </row>
    <row r="34" spans="1:9" s="84" customFormat="1">
      <c r="A34" s="105">
        <v>5006016255</v>
      </c>
      <c r="B34" t="s">
        <v>175</v>
      </c>
      <c r="C34" t="s">
        <v>21</v>
      </c>
      <c r="D34" t="s">
        <v>45</v>
      </c>
      <c r="E34" t="s">
        <v>355</v>
      </c>
      <c r="F34" s="108" t="s">
        <v>490</v>
      </c>
      <c r="G34" s="108"/>
      <c r="H34" s="108"/>
      <c r="I34"/>
    </row>
    <row r="35" spans="1:9" s="84" customFormat="1">
      <c r="A35" s="105">
        <v>5006016256</v>
      </c>
      <c r="B35" t="s">
        <v>176</v>
      </c>
      <c r="C35" t="s">
        <v>21</v>
      </c>
      <c r="D35" t="s">
        <v>45</v>
      </c>
      <c r="E35" t="s">
        <v>355</v>
      </c>
      <c r="F35" s="108" t="s">
        <v>491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355</v>
      </c>
      <c r="F36" s="108" t="s">
        <v>492</v>
      </c>
      <c r="G36" s="108"/>
      <c r="H36" s="108"/>
      <c r="I36"/>
    </row>
    <row r="37" spans="1:9" s="84" customFormat="1">
      <c r="A37" s="105">
        <v>5006016258</v>
      </c>
      <c r="B37" t="s">
        <v>177</v>
      </c>
      <c r="C37" t="s">
        <v>21</v>
      </c>
      <c r="D37" t="s">
        <v>45</v>
      </c>
      <c r="E37" t="s">
        <v>355</v>
      </c>
      <c r="F37" s="108" t="s">
        <v>493</v>
      </c>
      <c r="G37" s="108"/>
      <c r="H37" s="108"/>
      <c r="I37"/>
    </row>
    <row r="38" spans="1:9" s="84" customFormat="1">
      <c r="A38" s="105">
        <v>5006016259</v>
      </c>
      <c r="B38" t="s">
        <v>178</v>
      </c>
      <c r="C38" t="s">
        <v>21</v>
      </c>
      <c r="D38" t="s">
        <v>45</v>
      </c>
      <c r="E38" t="s">
        <v>355</v>
      </c>
      <c r="F38" s="108" t="s">
        <v>494</v>
      </c>
      <c r="G38" s="108"/>
      <c r="H38" s="108"/>
      <c r="I38"/>
    </row>
    <row r="39" spans="1:9" s="84" customFormat="1">
      <c r="A39" s="105">
        <v>5006016260</v>
      </c>
      <c r="B39" t="s">
        <v>179</v>
      </c>
      <c r="C39" t="s">
        <v>21</v>
      </c>
      <c r="D39" t="s">
        <v>45</v>
      </c>
      <c r="E39" t="s">
        <v>355</v>
      </c>
      <c r="F39" s="108" t="s">
        <v>495</v>
      </c>
      <c r="G39" s="108"/>
      <c r="H39" s="108"/>
      <c r="I39"/>
    </row>
    <row r="40" spans="1:9" s="84" customFormat="1">
      <c r="A40" s="105">
        <v>5006016261</v>
      </c>
      <c r="B40" t="s">
        <v>180</v>
      </c>
      <c r="C40" t="s">
        <v>21</v>
      </c>
      <c r="D40" t="s">
        <v>45</v>
      </c>
      <c r="E40" t="s">
        <v>355</v>
      </c>
      <c r="F40" s="108" t="s">
        <v>496</v>
      </c>
      <c r="G40" s="108"/>
      <c r="H40" s="108"/>
      <c r="I40"/>
    </row>
    <row r="41" spans="1:9" s="84" customFormat="1">
      <c r="A41" s="105">
        <v>5004096281</v>
      </c>
      <c r="B41" t="s">
        <v>181</v>
      </c>
      <c r="C41" t="s">
        <v>31</v>
      </c>
      <c r="D41" t="s">
        <v>114</v>
      </c>
      <c r="E41" t="s">
        <v>357</v>
      </c>
      <c r="F41" s="108" t="s">
        <v>497</v>
      </c>
      <c r="G41" s="108"/>
      <c r="H41" s="108"/>
      <c r="I41"/>
    </row>
    <row r="42" spans="1:9" s="84" customFormat="1">
      <c r="A42" s="105">
        <v>5005046281</v>
      </c>
      <c r="B42" t="s">
        <v>182</v>
      </c>
      <c r="C42" t="s">
        <v>31</v>
      </c>
      <c r="D42" t="s">
        <v>59</v>
      </c>
      <c r="E42" t="s">
        <v>358</v>
      </c>
      <c r="F42" s="108" t="s">
        <v>498</v>
      </c>
      <c r="G42" s="108"/>
      <c r="H42" s="108"/>
      <c r="I42"/>
    </row>
    <row r="43" spans="1:9" s="84" customFormat="1">
      <c r="A43" s="105">
        <v>5005046282</v>
      </c>
      <c r="B43" t="s">
        <v>183</v>
      </c>
      <c r="C43" t="s">
        <v>31</v>
      </c>
      <c r="D43" t="s">
        <v>59</v>
      </c>
      <c r="E43" t="s">
        <v>358</v>
      </c>
      <c r="F43" s="108" t="s">
        <v>499</v>
      </c>
      <c r="G43" s="108"/>
      <c r="H43" s="108"/>
      <c r="I43"/>
    </row>
    <row r="44" spans="1:9" s="84" customFormat="1">
      <c r="A44" s="105">
        <v>5005046283</v>
      </c>
      <c r="B44" t="s">
        <v>184</v>
      </c>
      <c r="C44" t="s">
        <v>31</v>
      </c>
      <c r="D44" t="s">
        <v>59</v>
      </c>
      <c r="E44" t="s">
        <v>358</v>
      </c>
      <c r="F44" s="108" t="s">
        <v>500</v>
      </c>
      <c r="G44" s="108"/>
      <c r="H44" s="108"/>
      <c r="I44"/>
    </row>
    <row r="45" spans="1:9" s="84" customFormat="1">
      <c r="A45" s="105">
        <v>5005046284</v>
      </c>
      <c r="B45" t="s">
        <v>411</v>
      </c>
      <c r="C45" t="s">
        <v>31</v>
      </c>
      <c r="D45" t="s">
        <v>59</v>
      </c>
      <c r="E45" t="s">
        <v>358</v>
      </c>
      <c r="F45" s="108" t="s">
        <v>501</v>
      </c>
      <c r="G45" s="108"/>
      <c r="H45" s="108"/>
      <c r="I45" t="s">
        <v>447</v>
      </c>
    </row>
    <row r="46" spans="1:9" s="84" customFormat="1">
      <c r="A46" s="105">
        <v>5005066281</v>
      </c>
      <c r="B46" t="s">
        <v>185</v>
      </c>
      <c r="C46" t="s">
        <v>31</v>
      </c>
      <c r="D46" t="s">
        <v>96</v>
      </c>
      <c r="E46" t="s">
        <v>359</v>
      </c>
      <c r="F46" s="108" t="s">
        <v>502</v>
      </c>
      <c r="G46" s="108"/>
      <c r="H46" s="108"/>
      <c r="I46"/>
    </row>
    <row r="47" spans="1:9" s="84" customFormat="1">
      <c r="A47" s="105">
        <v>5005066282</v>
      </c>
      <c r="B47" t="s">
        <v>186</v>
      </c>
      <c r="C47" t="s">
        <v>31</v>
      </c>
      <c r="D47" t="s">
        <v>96</v>
      </c>
      <c r="E47" t="s">
        <v>359</v>
      </c>
      <c r="F47" s="108" t="s">
        <v>503</v>
      </c>
      <c r="G47" s="108"/>
      <c r="H47" s="108"/>
      <c r="I47"/>
    </row>
    <row r="48" spans="1:9" s="84" customFormat="1">
      <c r="A48" s="105">
        <v>5005056281</v>
      </c>
      <c r="B48" t="s">
        <v>187</v>
      </c>
      <c r="C48" t="s">
        <v>31</v>
      </c>
      <c r="D48" t="s">
        <v>96</v>
      </c>
      <c r="E48" t="s">
        <v>359</v>
      </c>
      <c r="F48" s="108" t="s">
        <v>504</v>
      </c>
      <c r="G48" s="108"/>
      <c r="H48" s="108"/>
      <c r="I48"/>
    </row>
    <row r="49" spans="1:9" s="84" customFormat="1">
      <c r="A49" s="105">
        <v>5005076281</v>
      </c>
      <c r="B49" t="s">
        <v>188</v>
      </c>
      <c r="C49" t="s">
        <v>31</v>
      </c>
      <c r="D49" t="s">
        <v>61</v>
      </c>
      <c r="E49" t="s">
        <v>360</v>
      </c>
      <c r="F49" s="108" t="s">
        <v>505</v>
      </c>
      <c r="G49" s="108"/>
      <c r="H49" s="108"/>
      <c r="I49"/>
    </row>
    <row r="50" spans="1:9" s="84" customFormat="1">
      <c r="A50" s="105">
        <v>5005076282</v>
      </c>
      <c r="B50" t="s">
        <v>189</v>
      </c>
      <c r="C50" t="s">
        <v>31</v>
      </c>
      <c r="D50" t="s">
        <v>61</v>
      </c>
      <c r="E50" t="s">
        <v>360</v>
      </c>
      <c r="F50" s="108" t="s">
        <v>506</v>
      </c>
      <c r="G50" s="108"/>
      <c r="H50" s="108"/>
      <c r="I50"/>
    </row>
    <row r="51" spans="1:9" s="84" customFormat="1">
      <c r="A51" s="105">
        <v>5005076283</v>
      </c>
      <c r="B51" t="s">
        <v>190</v>
      </c>
      <c r="C51" t="s">
        <v>31</v>
      </c>
      <c r="D51" t="s">
        <v>61</v>
      </c>
      <c r="E51" t="s">
        <v>360</v>
      </c>
      <c r="F51" s="108" t="s">
        <v>507</v>
      </c>
      <c r="G51" s="108"/>
      <c r="H51" s="108"/>
      <c r="I51"/>
    </row>
    <row r="52" spans="1:9" s="84" customFormat="1">
      <c r="A52" s="105">
        <v>5005076284</v>
      </c>
      <c r="B52" t="s">
        <v>191</v>
      </c>
      <c r="C52" t="s">
        <v>31</v>
      </c>
      <c r="D52" t="s">
        <v>61</v>
      </c>
      <c r="E52" t="s">
        <v>360</v>
      </c>
      <c r="F52" s="108" t="s">
        <v>508</v>
      </c>
      <c r="G52" s="108"/>
      <c r="H52" s="108"/>
      <c r="I52"/>
    </row>
    <row r="53" spans="1:9" s="84" customFormat="1">
      <c r="A53" s="105">
        <v>5005076285</v>
      </c>
      <c r="B53" s="289" t="s">
        <v>590</v>
      </c>
      <c r="C53" t="s">
        <v>31</v>
      </c>
      <c r="D53" t="s">
        <v>61</v>
      </c>
      <c r="E53" t="s">
        <v>360</v>
      </c>
      <c r="F53" s="108" t="s">
        <v>509</v>
      </c>
      <c r="G53" s="108"/>
      <c r="H53" s="108"/>
      <c r="I53"/>
    </row>
    <row r="54" spans="1:9" s="84" customFormat="1">
      <c r="A54" s="105">
        <v>5005076286</v>
      </c>
      <c r="B54" s="289" t="s">
        <v>591</v>
      </c>
      <c r="C54" t="s">
        <v>31</v>
      </c>
      <c r="D54" t="s">
        <v>61</v>
      </c>
      <c r="E54" t="s">
        <v>360</v>
      </c>
      <c r="F54" s="108" t="s">
        <v>510</v>
      </c>
      <c r="G54" s="108"/>
      <c r="H54" s="108"/>
      <c r="I54"/>
    </row>
    <row r="55" spans="1:9" s="84" customFormat="1">
      <c r="A55" s="105">
        <v>5005076287</v>
      </c>
      <c r="B55" s="289" t="s">
        <v>676</v>
      </c>
      <c r="C55" t="s">
        <v>31</v>
      </c>
      <c r="D55" t="s">
        <v>61</v>
      </c>
      <c r="E55" t="s">
        <v>360</v>
      </c>
      <c r="F55" s="108" t="s">
        <v>511</v>
      </c>
      <c r="G55" s="108"/>
      <c r="H55" s="108"/>
      <c r="I55"/>
    </row>
    <row r="56" spans="1:9" s="84" customFormat="1">
      <c r="A56" s="105">
        <v>5005076288</v>
      </c>
      <c r="B56" t="s">
        <v>192</v>
      </c>
      <c r="C56" t="s">
        <v>31</v>
      </c>
      <c r="D56" t="s">
        <v>60</v>
      </c>
      <c r="E56" t="s">
        <v>361</v>
      </c>
      <c r="F56" s="108" t="s">
        <v>512</v>
      </c>
      <c r="G56" s="108"/>
      <c r="H56" s="108"/>
      <c r="I56"/>
    </row>
    <row r="57" spans="1:9" s="84" customFormat="1">
      <c r="A57" s="105">
        <v>5005076289</v>
      </c>
      <c r="B57" t="s">
        <v>193</v>
      </c>
      <c r="C57" t="s">
        <v>31</v>
      </c>
      <c r="D57" t="s">
        <v>61</v>
      </c>
      <c r="E57" t="s">
        <v>360</v>
      </c>
      <c r="F57" s="108" t="s">
        <v>513</v>
      </c>
      <c r="G57" s="108"/>
      <c r="H57" s="108"/>
      <c r="I57"/>
    </row>
    <row r="58" spans="1:9" s="84" customFormat="1">
      <c r="A58" s="105">
        <v>5005076291</v>
      </c>
      <c r="B58" t="s">
        <v>408</v>
      </c>
      <c r="C58" t="s">
        <v>31</v>
      </c>
      <c r="D58" t="s">
        <v>61</v>
      </c>
      <c r="E58" t="s">
        <v>360</v>
      </c>
      <c r="F58" s="108" t="s">
        <v>514</v>
      </c>
      <c r="G58" s="108"/>
      <c r="H58" s="108"/>
      <c r="I58" t="s">
        <v>447</v>
      </c>
    </row>
    <row r="59" spans="1:9" s="84" customFormat="1">
      <c r="A59" s="105">
        <v>5005076292</v>
      </c>
      <c r="B59" t="s">
        <v>409</v>
      </c>
      <c r="C59" t="s">
        <v>31</v>
      </c>
      <c r="D59" t="s">
        <v>61</v>
      </c>
      <c r="E59" t="s">
        <v>360</v>
      </c>
      <c r="F59" s="108" t="s">
        <v>515</v>
      </c>
      <c r="G59" s="108"/>
      <c r="H59" s="108"/>
      <c r="I59" t="s">
        <v>447</v>
      </c>
    </row>
    <row r="60" spans="1:9" s="84" customFormat="1">
      <c r="A60" s="105">
        <v>5005076293</v>
      </c>
      <c r="B60" t="s">
        <v>410</v>
      </c>
      <c r="C60" t="s">
        <v>31</v>
      </c>
      <c r="D60" t="s">
        <v>61</v>
      </c>
      <c r="E60" t="s">
        <v>360</v>
      </c>
      <c r="F60" s="108" t="s">
        <v>516</v>
      </c>
      <c r="G60" s="108"/>
      <c r="H60" s="108"/>
      <c r="I60" t="s">
        <v>447</v>
      </c>
    </row>
    <row r="61" spans="1:9" s="84" customFormat="1">
      <c r="A61" s="105">
        <v>5005076294</v>
      </c>
      <c r="B61" t="s">
        <v>413</v>
      </c>
      <c r="C61" t="s">
        <v>31</v>
      </c>
      <c r="D61" t="s">
        <v>61</v>
      </c>
      <c r="E61" t="s">
        <v>360</v>
      </c>
      <c r="F61" s="108" t="s">
        <v>517</v>
      </c>
      <c r="G61" s="108"/>
      <c r="H61" s="108"/>
      <c r="I61" t="s">
        <v>447</v>
      </c>
    </row>
    <row r="62" spans="1:9" s="84" customFormat="1">
      <c r="A62" s="105">
        <v>5005086281</v>
      </c>
      <c r="B62" t="s">
        <v>194</v>
      </c>
      <c r="C62" t="s">
        <v>31</v>
      </c>
      <c r="D62" t="s">
        <v>44</v>
      </c>
      <c r="E62" t="s">
        <v>362</v>
      </c>
      <c r="F62" s="108" t="s">
        <v>518</v>
      </c>
      <c r="G62" s="108"/>
      <c r="H62" s="108"/>
      <c r="I62"/>
    </row>
    <row r="63" spans="1:9" s="84" customFormat="1">
      <c r="A63" s="105">
        <v>5005136281</v>
      </c>
      <c r="B63" t="s">
        <v>195</v>
      </c>
      <c r="C63" t="s">
        <v>31</v>
      </c>
      <c r="D63" t="s">
        <v>58</v>
      </c>
      <c r="E63" t="s">
        <v>363</v>
      </c>
      <c r="F63" s="108" t="s">
        <v>519</v>
      </c>
      <c r="G63" s="108"/>
      <c r="H63" s="108"/>
      <c r="I63"/>
    </row>
    <row r="64" spans="1:9" s="84" customFormat="1">
      <c r="A64" s="105">
        <v>5005246281</v>
      </c>
      <c r="B64" t="s">
        <v>196</v>
      </c>
      <c r="C64" t="s">
        <v>31</v>
      </c>
      <c r="D64" t="s">
        <v>97</v>
      </c>
      <c r="E64" t="s">
        <v>364</v>
      </c>
      <c r="F64" s="108" t="s">
        <v>520</v>
      </c>
      <c r="G64" s="108"/>
      <c r="H64" s="108"/>
      <c r="I64"/>
    </row>
    <row r="65" spans="1:9" s="84" customFormat="1">
      <c r="A65" s="105">
        <v>5005246282</v>
      </c>
      <c r="B65" t="s">
        <v>197</v>
      </c>
      <c r="C65" t="s">
        <v>31</v>
      </c>
      <c r="D65" t="s">
        <v>97</v>
      </c>
      <c r="E65" t="s">
        <v>364</v>
      </c>
      <c r="F65" s="108" t="s">
        <v>521</v>
      </c>
      <c r="G65" s="108"/>
      <c r="H65" s="108"/>
      <c r="I65"/>
    </row>
    <row r="66" spans="1:9" s="84" customFormat="1">
      <c r="A66" s="105">
        <v>5005246283</v>
      </c>
      <c r="B66" t="s">
        <v>198</v>
      </c>
      <c r="C66" t="s">
        <v>31</v>
      </c>
      <c r="D66" t="s">
        <v>97</v>
      </c>
      <c r="E66" t="s">
        <v>364</v>
      </c>
      <c r="F66" s="108" t="s">
        <v>522</v>
      </c>
      <c r="G66" s="108"/>
      <c r="H66" s="108"/>
      <c r="I66"/>
    </row>
    <row r="67" spans="1:9" s="84" customFormat="1">
      <c r="A67" s="105">
        <v>5005246284</v>
      </c>
      <c r="B67" t="s">
        <v>199</v>
      </c>
      <c r="C67" t="s">
        <v>31</v>
      </c>
      <c r="D67" t="s">
        <v>98</v>
      </c>
      <c r="E67" t="s">
        <v>365</v>
      </c>
      <c r="F67" s="108" t="s">
        <v>523</v>
      </c>
      <c r="G67" s="108"/>
      <c r="H67" s="108"/>
      <c r="I67"/>
    </row>
    <row r="68" spans="1:9" s="84" customFormat="1">
      <c r="A68" s="105">
        <v>5005216281</v>
      </c>
      <c r="B68" t="s">
        <v>200</v>
      </c>
      <c r="C68" t="s">
        <v>31</v>
      </c>
      <c r="D68" t="s">
        <v>51</v>
      </c>
      <c r="E68" t="s">
        <v>366</v>
      </c>
      <c r="F68" s="108" t="s">
        <v>524</v>
      </c>
      <c r="G68" s="108"/>
      <c r="H68" s="108"/>
      <c r="I68"/>
    </row>
    <row r="69" spans="1:9" s="84" customFormat="1">
      <c r="A69" s="105">
        <v>5005226281</v>
      </c>
      <c r="B69" t="s">
        <v>201</v>
      </c>
      <c r="C69" t="s">
        <v>31</v>
      </c>
      <c r="D69" t="s">
        <v>49</v>
      </c>
      <c r="E69" t="s">
        <v>367</v>
      </c>
      <c r="F69" s="108" t="s">
        <v>525</v>
      </c>
      <c r="G69" s="108"/>
      <c r="H69" s="108"/>
      <c r="I69"/>
    </row>
    <row r="70" spans="1:9" s="84" customFormat="1">
      <c r="A70" s="105">
        <v>5005236281</v>
      </c>
      <c r="B70" t="s">
        <v>202</v>
      </c>
      <c r="C70" t="s">
        <v>31</v>
      </c>
      <c r="D70" t="s">
        <v>47</v>
      </c>
      <c r="E70" t="s">
        <v>368</v>
      </c>
      <c r="F70" s="108" t="s">
        <v>526</v>
      </c>
      <c r="G70" s="108"/>
      <c r="H70" s="108"/>
      <c r="I70"/>
    </row>
    <row r="71" spans="1:9" s="84" customFormat="1">
      <c r="A71" s="105">
        <v>5005236282</v>
      </c>
      <c r="B71" t="s">
        <v>203</v>
      </c>
      <c r="C71" t="s">
        <v>31</v>
      </c>
      <c r="D71" t="s">
        <v>47</v>
      </c>
      <c r="E71" t="s">
        <v>368</v>
      </c>
      <c r="F71" s="108" t="s">
        <v>527</v>
      </c>
      <c r="G71" s="108"/>
      <c r="H71" s="108"/>
      <c r="I71"/>
    </row>
    <row r="72" spans="1:9" s="84" customFormat="1">
      <c r="A72" s="105">
        <v>5005246285</v>
      </c>
      <c r="B72" t="s">
        <v>204</v>
      </c>
      <c r="C72" t="s">
        <v>31</v>
      </c>
      <c r="D72" t="s">
        <v>50</v>
      </c>
      <c r="E72" t="s">
        <v>369</v>
      </c>
      <c r="F72" s="108" t="s">
        <v>528</v>
      </c>
      <c r="G72" s="108"/>
      <c r="H72" s="108"/>
      <c r="I72"/>
    </row>
    <row r="73" spans="1:9" s="84" customFormat="1">
      <c r="A73" s="105">
        <v>5005246286</v>
      </c>
      <c r="B73" t="s">
        <v>205</v>
      </c>
      <c r="C73" t="s">
        <v>31</v>
      </c>
      <c r="D73" t="s">
        <v>50</v>
      </c>
      <c r="E73" t="s">
        <v>369</v>
      </c>
      <c r="F73" s="108" t="s">
        <v>529</v>
      </c>
      <c r="G73" s="108"/>
      <c r="H73" s="108"/>
      <c r="I73"/>
    </row>
    <row r="74" spans="1:9" s="84" customFormat="1">
      <c r="A74" s="105">
        <v>5005246287</v>
      </c>
      <c r="B74" t="s">
        <v>206</v>
      </c>
      <c r="C74" t="s">
        <v>31</v>
      </c>
      <c r="D74" t="s">
        <v>50</v>
      </c>
      <c r="E74" t="s">
        <v>369</v>
      </c>
      <c r="F74" s="108" t="s">
        <v>530</v>
      </c>
      <c r="G74" s="108"/>
      <c r="H74" s="108"/>
      <c r="I74"/>
    </row>
    <row r="75" spans="1:9" s="84" customFormat="1">
      <c r="A75" s="105">
        <v>5005246288</v>
      </c>
      <c r="B75" t="s">
        <v>207</v>
      </c>
      <c r="C75" t="s">
        <v>31</v>
      </c>
      <c r="D75" t="s">
        <v>97</v>
      </c>
      <c r="E75" t="s">
        <v>364</v>
      </c>
      <c r="F75" s="108" t="s">
        <v>531</v>
      </c>
      <c r="G75" s="108"/>
      <c r="H75" s="108"/>
      <c r="I75"/>
    </row>
    <row r="76" spans="1:9" s="84" customFormat="1">
      <c r="A76" s="105">
        <v>5004086291</v>
      </c>
      <c r="B76" t="s">
        <v>208</v>
      </c>
      <c r="C76" t="s">
        <v>36</v>
      </c>
      <c r="D76" t="s">
        <v>42</v>
      </c>
      <c r="E76" t="s">
        <v>370</v>
      </c>
      <c r="F76" s="108" t="s">
        <v>532</v>
      </c>
      <c r="G76" s="108"/>
      <c r="H76" s="108"/>
      <c r="I76"/>
    </row>
    <row r="77" spans="1:9" s="84" customFormat="1">
      <c r="A77" s="105">
        <v>5004086293</v>
      </c>
      <c r="B77" t="s">
        <v>209</v>
      </c>
      <c r="C77" t="s">
        <v>36</v>
      </c>
      <c r="D77" t="s">
        <v>114</v>
      </c>
      <c r="E77" t="s">
        <v>357</v>
      </c>
      <c r="F77" s="108" t="s">
        <v>533</v>
      </c>
      <c r="G77" s="108"/>
      <c r="H77" s="108"/>
      <c r="I77"/>
    </row>
    <row r="78" spans="1:9" s="84" customFormat="1">
      <c r="A78" s="105">
        <v>5005116291</v>
      </c>
      <c r="B78" t="s">
        <v>210</v>
      </c>
      <c r="C78" t="s">
        <v>36</v>
      </c>
      <c r="D78" t="s">
        <v>56</v>
      </c>
      <c r="E78" t="s">
        <v>371</v>
      </c>
      <c r="F78" s="108" t="s">
        <v>534</v>
      </c>
      <c r="G78" s="108"/>
      <c r="H78" s="108"/>
      <c r="I78"/>
    </row>
    <row r="79" spans="1:9" s="84" customFormat="1">
      <c r="A79" s="105">
        <v>5005116292</v>
      </c>
      <c r="B79" t="s">
        <v>211</v>
      </c>
      <c r="C79" t="s">
        <v>36</v>
      </c>
      <c r="D79" t="s">
        <v>57</v>
      </c>
      <c r="E79" t="s">
        <v>372</v>
      </c>
      <c r="F79" s="108" t="s">
        <v>535</v>
      </c>
      <c r="G79" s="108"/>
      <c r="H79" s="108"/>
      <c r="I79"/>
    </row>
    <row r="80" spans="1:9" s="84" customFormat="1">
      <c r="A80" s="105">
        <v>5005136291</v>
      </c>
      <c r="B80" t="s">
        <v>212</v>
      </c>
      <c r="C80" t="s">
        <v>36</v>
      </c>
      <c r="D80" t="s">
        <v>58</v>
      </c>
      <c r="E80" t="s">
        <v>363</v>
      </c>
      <c r="F80" s="108" t="s">
        <v>536</v>
      </c>
      <c r="G80" s="108"/>
      <c r="H80" s="108"/>
      <c r="I80"/>
    </row>
    <row r="81" spans="1:9" s="84" customFormat="1">
      <c r="A81" s="105">
        <v>5005166291</v>
      </c>
      <c r="B81" t="s">
        <v>213</v>
      </c>
      <c r="C81" t="s">
        <v>36</v>
      </c>
      <c r="D81" t="s">
        <v>53</v>
      </c>
      <c r="E81" t="s">
        <v>373</v>
      </c>
      <c r="F81" s="108" t="s">
        <v>686</v>
      </c>
      <c r="G81" s="108"/>
      <c r="H81" s="108"/>
      <c r="I81"/>
    </row>
    <row r="82" spans="1:9" s="84" customFormat="1">
      <c r="A82" s="105">
        <v>5005186292</v>
      </c>
      <c r="B82" t="s">
        <v>214</v>
      </c>
      <c r="C82" t="s">
        <v>36</v>
      </c>
      <c r="D82" t="s">
        <v>48</v>
      </c>
      <c r="E82" t="s">
        <v>374</v>
      </c>
      <c r="F82" s="108" t="s">
        <v>537</v>
      </c>
      <c r="G82" s="108"/>
      <c r="H82" s="108"/>
      <c r="I82"/>
    </row>
    <row r="83" spans="1:9" s="84" customFormat="1">
      <c r="A83" s="105">
        <v>5005196373</v>
      </c>
      <c r="B83" t="s">
        <v>375</v>
      </c>
      <c r="C83" t="s">
        <v>150</v>
      </c>
      <c r="D83" t="s">
        <v>63</v>
      </c>
      <c r="E83" t="s">
        <v>376</v>
      </c>
      <c r="F83" s="108" t="s">
        <v>687</v>
      </c>
      <c r="G83" s="108">
        <v>5005196373</v>
      </c>
      <c r="H83" s="108">
        <v>5005196373</v>
      </c>
      <c r="I83" t="s">
        <v>351</v>
      </c>
    </row>
    <row r="84" spans="1:9" s="84" customFormat="1">
      <c r="A84" s="105">
        <v>5005196277</v>
      </c>
      <c r="B84" t="s">
        <v>377</v>
      </c>
      <c r="C84" t="s">
        <v>31</v>
      </c>
      <c r="D84" t="s">
        <v>63</v>
      </c>
      <c r="E84" t="s">
        <v>376</v>
      </c>
      <c r="F84" s="108" t="s">
        <v>688</v>
      </c>
      <c r="G84" s="108">
        <v>5005196277</v>
      </c>
      <c r="H84" s="108">
        <v>5005196277</v>
      </c>
      <c r="I84" t="s">
        <v>351</v>
      </c>
    </row>
    <row r="85" spans="1:9" s="84" customFormat="1">
      <c r="A85" s="105">
        <v>5005246291</v>
      </c>
      <c r="B85" t="s">
        <v>215</v>
      </c>
      <c r="C85" t="s">
        <v>36</v>
      </c>
      <c r="D85" t="s">
        <v>98</v>
      </c>
      <c r="E85" t="s">
        <v>365</v>
      </c>
      <c r="F85" s="108" t="s">
        <v>538</v>
      </c>
      <c r="G85" s="108"/>
      <c r="H85" s="108"/>
      <c r="I85"/>
    </row>
    <row r="86" spans="1:9" s="84" customFormat="1">
      <c r="A86" s="105">
        <v>5005246292</v>
      </c>
      <c r="B86" t="s">
        <v>216</v>
      </c>
      <c r="C86" t="s">
        <v>36</v>
      </c>
      <c r="D86" t="s">
        <v>64</v>
      </c>
      <c r="E86" t="s">
        <v>378</v>
      </c>
      <c r="F86" s="108" t="s">
        <v>539</v>
      </c>
      <c r="G86" s="108"/>
      <c r="H86" s="108"/>
      <c r="I86"/>
    </row>
    <row r="87" spans="1:9" s="84" customFormat="1">
      <c r="A87" s="105">
        <v>5005246294</v>
      </c>
      <c r="B87" t="s">
        <v>398</v>
      </c>
      <c r="C87" t="s">
        <v>36</v>
      </c>
      <c r="D87" t="s">
        <v>64</v>
      </c>
      <c r="E87" t="s">
        <v>378</v>
      </c>
      <c r="F87" s="108" t="s">
        <v>689</v>
      </c>
      <c r="G87" s="108"/>
      <c r="H87" s="108"/>
      <c r="I87" t="s">
        <v>448</v>
      </c>
    </row>
    <row r="88" spans="1:9" s="84" customFormat="1">
      <c r="A88" s="105">
        <v>5005256291</v>
      </c>
      <c r="B88" t="s">
        <v>217</v>
      </c>
      <c r="C88" t="s">
        <v>36</v>
      </c>
      <c r="D88" t="s">
        <v>62</v>
      </c>
      <c r="E88" t="s">
        <v>379</v>
      </c>
      <c r="F88" s="108" t="s">
        <v>540</v>
      </c>
      <c r="G88" s="108"/>
      <c r="H88" s="108"/>
      <c r="I88"/>
    </row>
    <row r="89" spans="1:9" s="84" customFormat="1">
      <c r="A89" s="105">
        <v>5101016174</v>
      </c>
      <c r="B89" t="s">
        <v>218</v>
      </c>
      <c r="C89" t="s">
        <v>131</v>
      </c>
      <c r="D89" t="s">
        <v>101</v>
      </c>
      <c r="E89" t="s">
        <v>12</v>
      </c>
      <c r="F89" s="108" t="s">
        <v>541</v>
      </c>
      <c r="G89" s="108"/>
      <c r="H89" s="108"/>
      <c r="I89"/>
    </row>
    <row r="90" spans="1:9" s="84" customFormat="1">
      <c r="A90" s="105">
        <v>5101016179</v>
      </c>
      <c r="B90" t="s">
        <v>219</v>
      </c>
      <c r="C90" t="s">
        <v>131</v>
      </c>
      <c r="D90" t="s">
        <v>43</v>
      </c>
      <c r="E90" t="s">
        <v>380</v>
      </c>
      <c r="F90" s="108" t="s">
        <v>542</v>
      </c>
      <c r="G90" s="108"/>
      <c r="H90" s="108"/>
      <c r="I90"/>
    </row>
    <row r="91" spans="1:9" s="84" customFormat="1">
      <c r="A91" s="105">
        <v>5101016187</v>
      </c>
      <c r="B91" t="s">
        <v>220</v>
      </c>
      <c r="C91" t="s">
        <v>131</v>
      </c>
      <c r="D91" t="s">
        <v>116</v>
      </c>
      <c r="E91" t="s">
        <v>381</v>
      </c>
      <c r="F91" s="108" t="s">
        <v>543</v>
      </c>
      <c r="G91" s="108"/>
      <c r="H91" s="108"/>
      <c r="I91"/>
    </row>
    <row r="92" spans="1:9" s="84" customFormat="1">
      <c r="A92" s="105">
        <v>5101016189</v>
      </c>
      <c r="B92" t="s">
        <v>382</v>
      </c>
      <c r="C92" t="s">
        <v>34</v>
      </c>
      <c r="D92" t="s">
        <v>115</v>
      </c>
      <c r="E92" t="s">
        <v>14</v>
      </c>
      <c r="F92" s="108" t="s">
        <v>690</v>
      </c>
      <c r="G92" s="108"/>
      <c r="H92" s="108"/>
      <c r="I92" t="s">
        <v>351</v>
      </c>
    </row>
    <row r="93" spans="1:9" s="84" customFormat="1">
      <c r="A93" s="105">
        <v>6004046511</v>
      </c>
      <c r="B93" t="s">
        <v>221</v>
      </c>
      <c r="C93" t="s">
        <v>127</v>
      </c>
      <c r="D93" t="s">
        <v>41</v>
      </c>
      <c r="E93" t="s">
        <v>148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222</v>
      </c>
      <c r="C94" t="s">
        <v>128</v>
      </c>
      <c r="D94" t="s">
        <v>60</v>
      </c>
      <c r="E94" t="s">
        <v>361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223</v>
      </c>
      <c r="C95" t="s">
        <v>129</v>
      </c>
      <c r="D95" t="s">
        <v>55</v>
      </c>
      <c r="E95" t="s">
        <v>352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402</v>
      </c>
      <c r="C96" t="s">
        <v>129</v>
      </c>
      <c r="D96" t="s">
        <v>103</v>
      </c>
      <c r="E96" t="s">
        <v>353</v>
      </c>
      <c r="F96" s="108"/>
      <c r="G96" s="108">
        <v>6005016414</v>
      </c>
      <c r="H96" s="108">
        <v>6005016414</v>
      </c>
      <c r="I96" t="s">
        <v>447</v>
      </c>
    </row>
    <row r="97" spans="1:9" s="84" customFormat="1">
      <c r="A97" s="105">
        <v>6006016521</v>
      </c>
      <c r="B97" t="s">
        <v>224</v>
      </c>
      <c r="C97" t="s">
        <v>21</v>
      </c>
      <c r="D97" t="s">
        <v>45</v>
      </c>
      <c r="E97" t="s">
        <v>355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132</v>
      </c>
      <c r="C98" t="s">
        <v>21</v>
      </c>
      <c r="D98" t="s">
        <v>45</v>
      </c>
      <c r="E98" t="s">
        <v>355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133</v>
      </c>
      <c r="C99" t="s">
        <v>21</v>
      </c>
      <c r="D99" t="s">
        <v>45</v>
      </c>
      <c r="E99" t="s">
        <v>355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134</v>
      </c>
      <c r="C100" t="s">
        <v>21</v>
      </c>
      <c r="D100" t="s">
        <v>45</v>
      </c>
      <c r="E100" t="s">
        <v>355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135</v>
      </c>
      <c r="C101" t="s">
        <v>21</v>
      </c>
      <c r="D101" t="s">
        <v>45</v>
      </c>
      <c r="E101" t="s">
        <v>355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225</v>
      </c>
      <c r="C102" t="s">
        <v>21</v>
      </c>
      <c r="D102" t="s">
        <v>45</v>
      </c>
      <c r="E102" t="s">
        <v>355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226</v>
      </c>
      <c r="C103" t="s">
        <v>21</v>
      </c>
      <c r="D103" t="s">
        <v>45</v>
      </c>
      <c r="E103" t="s">
        <v>355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136</v>
      </c>
      <c r="C104" t="s">
        <v>21</v>
      </c>
      <c r="D104" t="s">
        <v>45</v>
      </c>
      <c r="E104" t="s">
        <v>355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137</v>
      </c>
      <c r="C105" t="s">
        <v>21</v>
      </c>
      <c r="D105" t="s">
        <v>45</v>
      </c>
      <c r="E105" t="s">
        <v>355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138</v>
      </c>
      <c r="C106" t="s">
        <v>21</v>
      </c>
      <c r="D106" t="s">
        <v>45</v>
      </c>
      <c r="E106" t="s">
        <v>355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139</v>
      </c>
      <c r="C107" t="s">
        <v>21</v>
      </c>
      <c r="D107" t="s">
        <v>45</v>
      </c>
      <c r="E107" t="s">
        <v>355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227</v>
      </c>
      <c r="C108" t="s">
        <v>21</v>
      </c>
      <c r="D108" t="s">
        <v>45</v>
      </c>
      <c r="E108" t="s">
        <v>355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228</v>
      </c>
      <c r="C109" t="s">
        <v>21</v>
      </c>
      <c r="D109" t="s">
        <v>45</v>
      </c>
      <c r="E109" t="s">
        <v>355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229</v>
      </c>
      <c r="C110" t="s">
        <v>21</v>
      </c>
      <c r="D110" t="s">
        <v>45</v>
      </c>
      <c r="E110" t="s">
        <v>355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230</v>
      </c>
      <c r="C111" t="s">
        <v>21</v>
      </c>
      <c r="D111" t="s">
        <v>45</v>
      </c>
      <c r="E111" t="s">
        <v>355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93</v>
      </c>
      <c r="C112" t="s">
        <v>21</v>
      </c>
      <c r="D112" t="s">
        <v>45</v>
      </c>
      <c r="E112" t="s">
        <v>355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231</v>
      </c>
      <c r="C113" t="s">
        <v>21</v>
      </c>
      <c r="D113" t="s">
        <v>45</v>
      </c>
      <c r="E113" t="s">
        <v>355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232</v>
      </c>
      <c r="C114" t="s">
        <v>21</v>
      </c>
      <c r="D114" t="s">
        <v>45</v>
      </c>
      <c r="E114" t="s">
        <v>355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233</v>
      </c>
      <c r="C115" t="s">
        <v>21</v>
      </c>
      <c r="D115" t="s">
        <v>45</v>
      </c>
      <c r="E115" t="s">
        <v>355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234</v>
      </c>
      <c r="C116" t="s">
        <v>21</v>
      </c>
      <c r="D116" t="s">
        <v>45</v>
      </c>
      <c r="E116" t="s">
        <v>355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235</v>
      </c>
      <c r="C117" t="s">
        <v>94</v>
      </c>
      <c r="D117" t="s">
        <v>59</v>
      </c>
      <c r="E117" t="s">
        <v>358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236</v>
      </c>
      <c r="C118" t="s">
        <v>94</v>
      </c>
      <c r="D118" t="s">
        <v>59</v>
      </c>
      <c r="E118" t="s">
        <v>358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237</v>
      </c>
      <c r="C119" t="s">
        <v>95</v>
      </c>
      <c r="D119" t="s">
        <v>50</v>
      </c>
      <c r="E119" t="s">
        <v>369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238</v>
      </c>
      <c r="C120" t="s">
        <v>95</v>
      </c>
      <c r="D120" t="s">
        <v>64</v>
      </c>
      <c r="E120" t="s">
        <v>378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239</v>
      </c>
      <c r="C121" t="s">
        <v>95</v>
      </c>
      <c r="D121" t="s">
        <v>61</v>
      </c>
      <c r="E121" t="s">
        <v>360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240</v>
      </c>
      <c r="C122" t="s">
        <v>95</v>
      </c>
      <c r="D122" t="s">
        <v>61</v>
      </c>
      <c r="E122" t="s">
        <v>360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241</v>
      </c>
      <c r="C123" t="s">
        <v>95</v>
      </c>
      <c r="D123" t="s">
        <v>61</v>
      </c>
      <c r="E123" t="s">
        <v>360</v>
      </c>
      <c r="F123" s="108" t="s">
        <v>544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242</v>
      </c>
      <c r="C124" t="s">
        <v>95</v>
      </c>
      <c r="D124" t="s">
        <v>61</v>
      </c>
      <c r="E124" t="s">
        <v>360</v>
      </c>
      <c r="F124" s="108" t="s">
        <v>545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243</v>
      </c>
      <c r="C125" t="s">
        <v>95</v>
      </c>
      <c r="D125" t="s">
        <v>61</v>
      </c>
      <c r="E125" t="s">
        <v>360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244</v>
      </c>
      <c r="C126" t="s">
        <v>95</v>
      </c>
      <c r="D126" t="s">
        <v>61</v>
      </c>
      <c r="E126" t="s">
        <v>360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245</v>
      </c>
      <c r="C127" t="s">
        <v>95</v>
      </c>
      <c r="D127" t="s">
        <v>61</v>
      </c>
      <c r="E127" t="s">
        <v>360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246</v>
      </c>
      <c r="C128" t="s">
        <v>95</v>
      </c>
      <c r="D128" t="s">
        <v>61</v>
      </c>
      <c r="E128" t="s">
        <v>360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247</v>
      </c>
      <c r="C129" t="s">
        <v>95</v>
      </c>
      <c r="D129" t="s">
        <v>61</v>
      </c>
      <c r="E129" t="s">
        <v>360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248</v>
      </c>
      <c r="C130" t="s">
        <v>95</v>
      </c>
      <c r="D130" t="s">
        <v>61</v>
      </c>
      <c r="E130" t="s">
        <v>360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249</v>
      </c>
      <c r="C131" t="s">
        <v>95</v>
      </c>
      <c r="D131" t="s">
        <v>61</v>
      </c>
      <c r="E131" t="s">
        <v>360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250</v>
      </c>
      <c r="C132" t="s">
        <v>95</v>
      </c>
      <c r="D132" t="s">
        <v>61</v>
      </c>
      <c r="E132" t="s">
        <v>360</v>
      </c>
      <c r="F132" s="108" t="s">
        <v>546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404</v>
      </c>
      <c r="C133" t="s">
        <v>95</v>
      </c>
      <c r="D133" t="s">
        <v>61</v>
      </c>
      <c r="E133" t="s">
        <v>360</v>
      </c>
      <c r="F133" s="108" t="s">
        <v>547</v>
      </c>
      <c r="G133" s="108">
        <v>6003036554</v>
      </c>
      <c r="H133" s="108">
        <v>6003036554</v>
      </c>
      <c r="I133" t="s">
        <v>447</v>
      </c>
    </row>
    <row r="134" spans="1:9" s="84" customFormat="1">
      <c r="A134" s="105">
        <v>6003036555</v>
      </c>
      <c r="B134" t="s">
        <v>405</v>
      </c>
      <c r="C134" t="s">
        <v>95</v>
      </c>
      <c r="D134" t="s">
        <v>61</v>
      </c>
      <c r="E134" t="s">
        <v>360</v>
      </c>
      <c r="F134" s="108" t="s">
        <v>548</v>
      </c>
      <c r="G134" s="108">
        <v>6003036555</v>
      </c>
      <c r="H134" s="108">
        <v>6003036555</v>
      </c>
      <c r="I134" t="s">
        <v>447</v>
      </c>
    </row>
    <row r="135" spans="1:9" s="84" customFormat="1">
      <c r="A135" s="105">
        <v>6003036556</v>
      </c>
      <c r="B135" t="s">
        <v>406</v>
      </c>
      <c r="C135" t="s">
        <v>95</v>
      </c>
      <c r="D135" t="s">
        <v>61</v>
      </c>
      <c r="E135" t="s">
        <v>360</v>
      </c>
      <c r="F135" s="108" t="s">
        <v>549</v>
      </c>
      <c r="G135" s="108">
        <v>6003036556</v>
      </c>
      <c r="H135" s="108">
        <v>6003036556</v>
      </c>
      <c r="I135" t="s">
        <v>447</v>
      </c>
    </row>
    <row r="136" spans="1:9" s="84" customFormat="1">
      <c r="A136" s="105">
        <v>6003036557</v>
      </c>
      <c r="B136" t="s">
        <v>407</v>
      </c>
      <c r="C136" t="s">
        <v>95</v>
      </c>
      <c r="D136" t="s">
        <v>61</v>
      </c>
      <c r="E136" t="s">
        <v>360</v>
      </c>
      <c r="F136" s="108" t="s">
        <v>550</v>
      </c>
      <c r="G136" s="108">
        <v>6003036557</v>
      </c>
      <c r="H136" s="108">
        <v>6003036557</v>
      </c>
      <c r="I136" t="s">
        <v>447</v>
      </c>
    </row>
    <row r="137" spans="1:9" s="84" customFormat="1">
      <c r="A137" s="105">
        <v>6004096541</v>
      </c>
      <c r="B137" t="s">
        <v>251</v>
      </c>
      <c r="C137" t="s">
        <v>95</v>
      </c>
      <c r="D137" t="s">
        <v>114</v>
      </c>
      <c r="E137" t="s">
        <v>357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252</v>
      </c>
      <c r="C138" t="s">
        <v>95</v>
      </c>
      <c r="D138" t="s">
        <v>96</v>
      </c>
      <c r="E138" t="s">
        <v>359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253</v>
      </c>
      <c r="C139" t="s">
        <v>95</v>
      </c>
      <c r="D139" t="s">
        <v>96</v>
      </c>
      <c r="E139" t="s">
        <v>359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254</v>
      </c>
      <c r="C140" t="s">
        <v>95</v>
      </c>
      <c r="D140" t="s">
        <v>96</v>
      </c>
      <c r="E140" t="s">
        <v>359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255</v>
      </c>
      <c r="C141" t="s">
        <v>95</v>
      </c>
      <c r="D141" t="s">
        <v>58</v>
      </c>
      <c r="E141" t="s">
        <v>363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256</v>
      </c>
      <c r="C142" t="s">
        <v>95</v>
      </c>
      <c r="D142" t="s">
        <v>97</v>
      </c>
      <c r="E142" t="s">
        <v>364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257</v>
      </c>
      <c r="C143" t="s">
        <v>95</v>
      </c>
      <c r="D143" t="s">
        <v>97</v>
      </c>
      <c r="E143" t="s">
        <v>364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258</v>
      </c>
      <c r="C144" t="s">
        <v>95</v>
      </c>
      <c r="D144" t="s">
        <v>97</v>
      </c>
      <c r="E144" t="s">
        <v>364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259</v>
      </c>
      <c r="C145" t="s">
        <v>95</v>
      </c>
      <c r="D145" t="s">
        <v>64</v>
      </c>
      <c r="E145" t="s">
        <v>378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260</v>
      </c>
      <c r="C146" t="s">
        <v>95</v>
      </c>
      <c r="D146" t="s">
        <v>98</v>
      </c>
      <c r="E146" t="s">
        <v>365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261</v>
      </c>
      <c r="C147" t="s">
        <v>95</v>
      </c>
      <c r="D147" t="s">
        <v>51</v>
      </c>
      <c r="E147" t="s">
        <v>366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262</v>
      </c>
      <c r="C148" t="s">
        <v>95</v>
      </c>
      <c r="D148" t="s">
        <v>49</v>
      </c>
      <c r="E148" t="s">
        <v>367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263</v>
      </c>
      <c r="C149" t="s">
        <v>95</v>
      </c>
      <c r="D149" t="s">
        <v>47</v>
      </c>
      <c r="E149" t="s">
        <v>368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264</v>
      </c>
      <c r="C150" t="s">
        <v>95</v>
      </c>
      <c r="D150" t="s">
        <v>50</v>
      </c>
      <c r="E150" t="s">
        <v>369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265</v>
      </c>
      <c r="C151" t="s">
        <v>95</v>
      </c>
      <c r="D151" t="s">
        <v>50</v>
      </c>
      <c r="E151" t="s">
        <v>369</v>
      </c>
      <c r="F151" s="108" t="s">
        <v>551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266</v>
      </c>
      <c r="C152" t="s">
        <v>95</v>
      </c>
      <c r="D152" t="s">
        <v>50</v>
      </c>
      <c r="E152" t="s">
        <v>369</v>
      </c>
      <c r="F152" s="108" t="s">
        <v>552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267</v>
      </c>
      <c r="C153" t="s">
        <v>95</v>
      </c>
      <c r="D153" t="s">
        <v>97</v>
      </c>
      <c r="E153" t="s">
        <v>364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268</v>
      </c>
      <c r="C154" t="s">
        <v>36</v>
      </c>
      <c r="D154" t="s">
        <v>42</v>
      </c>
      <c r="E154" t="s">
        <v>370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269</v>
      </c>
      <c r="C155" t="s">
        <v>36</v>
      </c>
      <c r="D155" t="s">
        <v>114</v>
      </c>
      <c r="E155" t="s">
        <v>357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270</v>
      </c>
      <c r="C156" t="s">
        <v>36</v>
      </c>
      <c r="D156" t="s">
        <v>56</v>
      </c>
      <c r="E156" t="s">
        <v>371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271</v>
      </c>
      <c r="C157" t="s">
        <v>36</v>
      </c>
      <c r="D157" t="s">
        <v>57</v>
      </c>
      <c r="E157" t="s">
        <v>372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272</v>
      </c>
      <c r="C158" t="s">
        <v>36</v>
      </c>
      <c r="D158" t="s">
        <v>58</v>
      </c>
      <c r="E158" t="s">
        <v>363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273</v>
      </c>
      <c r="C159" t="s">
        <v>36</v>
      </c>
      <c r="D159" t="s">
        <v>53</v>
      </c>
      <c r="E159" t="s">
        <v>373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274</v>
      </c>
      <c r="C160" t="s">
        <v>36</v>
      </c>
      <c r="D160" t="s">
        <v>48</v>
      </c>
      <c r="E160" t="s">
        <v>374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275</v>
      </c>
      <c r="C161" t="s">
        <v>36</v>
      </c>
      <c r="D161" t="s">
        <v>98</v>
      </c>
      <c r="E161" t="s">
        <v>365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276</v>
      </c>
      <c r="C162" t="s">
        <v>36</v>
      </c>
      <c r="D162" t="s">
        <v>64</v>
      </c>
      <c r="E162" t="s">
        <v>378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277</v>
      </c>
      <c r="C163" t="s">
        <v>36</v>
      </c>
      <c r="D163" t="s">
        <v>62</v>
      </c>
      <c r="E163" t="s">
        <v>379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278</v>
      </c>
      <c r="C164" t="s">
        <v>130</v>
      </c>
      <c r="D164" t="s">
        <v>41</v>
      </c>
      <c r="E164" t="s">
        <v>148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414</v>
      </c>
      <c r="C165" t="s">
        <v>0</v>
      </c>
      <c r="D165" t="s">
        <v>55</v>
      </c>
      <c r="E165" t="s">
        <v>352</v>
      </c>
      <c r="F165" s="108"/>
      <c r="G165" s="108">
        <v>6005016422</v>
      </c>
      <c r="H165" s="108"/>
      <c r="I165" t="s">
        <v>446</v>
      </c>
    </row>
    <row r="166" spans="1:9" s="84" customFormat="1">
      <c r="A166" s="105">
        <v>6005016423</v>
      </c>
      <c r="B166" t="s">
        <v>403</v>
      </c>
      <c r="C166" t="s">
        <v>0</v>
      </c>
      <c r="D166" t="s">
        <v>103</v>
      </c>
      <c r="E166" t="s">
        <v>353</v>
      </c>
      <c r="F166" s="108"/>
      <c r="G166" s="108">
        <v>6005016423</v>
      </c>
      <c r="H166" s="108">
        <v>6005016423</v>
      </c>
      <c r="I166" t="s">
        <v>447</v>
      </c>
    </row>
    <row r="167" spans="1:9" s="84" customFormat="1">
      <c r="A167" s="105">
        <v>6005126423</v>
      </c>
      <c r="B167" t="s">
        <v>279</v>
      </c>
      <c r="C167" t="s">
        <v>1</v>
      </c>
      <c r="D167" t="s">
        <v>97</v>
      </c>
      <c r="E167" t="s">
        <v>364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280</v>
      </c>
      <c r="C168" t="s">
        <v>21</v>
      </c>
      <c r="D168" t="s">
        <v>45</v>
      </c>
      <c r="E168" t="s">
        <v>355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355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355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355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281</v>
      </c>
      <c r="C172" t="s">
        <v>21</v>
      </c>
      <c r="D172" t="s">
        <v>45</v>
      </c>
      <c r="E172" t="s">
        <v>355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282</v>
      </c>
      <c r="C173" t="s">
        <v>21</v>
      </c>
      <c r="D173" t="s">
        <v>45</v>
      </c>
      <c r="E173" t="s">
        <v>355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355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355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355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283</v>
      </c>
      <c r="C177" t="s">
        <v>21</v>
      </c>
      <c r="D177" t="s">
        <v>45</v>
      </c>
      <c r="E177" t="s">
        <v>355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284</v>
      </c>
      <c r="C178" t="s">
        <v>21</v>
      </c>
      <c r="D178" t="s">
        <v>45</v>
      </c>
      <c r="E178" t="s">
        <v>355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285</v>
      </c>
      <c r="C179" t="s">
        <v>21</v>
      </c>
      <c r="D179" t="s">
        <v>45</v>
      </c>
      <c r="E179" t="s">
        <v>355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286</v>
      </c>
      <c r="C180" t="s">
        <v>21</v>
      </c>
      <c r="D180" t="s">
        <v>45</v>
      </c>
      <c r="E180" t="s">
        <v>355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355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287</v>
      </c>
      <c r="C182" t="s">
        <v>21</v>
      </c>
      <c r="D182" t="s">
        <v>45</v>
      </c>
      <c r="E182" t="s">
        <v>355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288</v>
      </c>
      <c r="C183" t="s">
        <v>21</v>
      </c>
      <c r="D183" t="s">
        <v>45</v>
      </c>
      <c r="E183" t="s">
        <v>355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289</v>
      </c>
      <c r="C184" t="s">
        <v>21</v>
      </c>
      <c r="D184" t="s">
        <v>45</v>
      </c>
      <c r="E184" t="s">
        <v>355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290</v>
      </c>
      <c r="C185" t="s">
        <v>21</v>
      </c>
      <c r="D185" t="s">
        <v>45</v>
      </c>
      <c r="E185" t="s">
        <v>355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291</v>
      </c>
      <c r="C186" t="s">
        <v>21</v>
      </c>
      <c r="D186" t="s">
        <v>45</v>
      </c>
      <c r="E186" t="s">
        <v>355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292</v>
      </c>
      <c r="C187" t="s">
        <v>9</v>
      </c>
      <c r="D187" t="s">
        <v>48</v>
      </c>
      <c r="E187" t="s">
        <v>374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293</v>
      </c>
      <c r="C188" t="s">
        <v>9</v>
      </c>
      <c r="D188" t="s">
        <v>48</v>
      </c>
      <c r="E188" t="s">
        <v>374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294</v>
      </c>
      <c r="C189" t="s">
        <v>10</v>
      </c>
      <c r="D189" t="s">
        <v>64</v>
      </c>
      <c r="E189" t="s">
        <v>378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295</v>
      </c>
      <c r="C190" t="s">
        <v>11</v>
      </c>
      <c r="D190" t="s">
        <v>114</v>
      </c>
      <c r="E190" t="s">
        <v>357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296</v>
      </c>
      <c r="C191" t="s">
        <v>11</v>
      </c>
      <c r="D191" t="s">
        <v>59</v>
      </c>
      <c r="E191" t="s">
        <v>358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297</v>
      </c>
      <c r="C192" t="s">
        <v>11</v>
      </c>
      <c r="D192" t="s">
        <v>59</v>
      </c>
      <c r="E192" t="s">
        <v>358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298</v>
      </c>
      <c r="C193" t="s">
        <v>11</v>
      </c>
      <c r="D193" t="s">
        <v>96</v>
      </c>
      <c r="E193" t="s">
        <v>359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299</v>
      </c>
      <c r="C194" t="s">
        <v>11</v>
      </c>
      <c r="D194" t="s">
        <v>96</v>
      </c>
      <c r="E194" t="s">
        <v>359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300</v>
      </c>
      <c r="C195" t="s">
        <v>11</v>
      </c>
      <c r="D195" t="s">
        <v>96</v>
      </c>
      <c r="E195" t="s">
        <v>359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301</v>
      </c>
      <c r="C196" t="s">
        <v>11</v>
      </c>
      <c r="D196" t="s">
        <v>58</v>
      </c>
      <c r="E196" t="s">
        <v>363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302</v>
      </c>
      <c r="C197" t="s">
        <v>11</v>
      </c>
      <c r="D197" t="s">
        <v>97</v>
      </c>
      <c r="E197" t="s">
        <v>364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303</v>
      </c>
      <c r="C198" t="s">
        <v>11</v>
      </c>
      <c r="D198" t="s">
        <v>97</v>
      </c>
      <c r="E198" t="s">
        <v>364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304</v>
      </c>
      <c r="C199" t="s">
        <v>11</v>
      </c>
      <c r="D199" t="s">
        <v>97</v>
      </c>
      <c r="E199" t="s">
        <v>364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305</v>
      </c>
      <c r="C200" t="s">
        <v>11</v>
      </c>
      <c r="D200" t="s">
        <v>64</v>
      </c>
      <c r="E200" t="s">
        <v>378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306</v>
      </c>
      <c r="C201" t="s">
        <v>11</v>
      </c>
      <c r="D201" t="s">
        <v>98</v>
      </c>
      <c r="E201" t="s">
        <v>365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307</v>
      </c>
      <c r="C202" t="s">
        <v>11</v>
      </c>
      <c r="D202" t="s">
        <v>51</v>
      </c>
      <c r="E202" t="s">
        <v>366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308</v>
      </c>
      <c r="C203" t="s">
        <v>11</v>
      </c>
      <c r="D203" t="s">
        <v>49</v>
      </c>
      <c r="E203" t="s">
        <v>367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309</v>
      </c>
      <c r="C204" t="s">
        <v>11</v>
      </c>
      <c r="D204" t="s">
        <v>47</v>
      </c>
      <c r="E204" t="s">
        <v>368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310</v>
      </c>
      <c r="C205" t="s">
        <v>11</v>
      </c>
      <c r="D205" t="s">
        <v>50</v>
      </c>
      <c r="E205" t="s">
        <v>369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311</v>
      </c>
      <c r="C206" t="s">
        <v>11</v>
      </c>
      <c r="D206" t="s">
        <v>50</v>
      </c>
      <c r="E206" t="s">
        <v>369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312</v>
      </c>
      <c r="C207" t="s">
        <v>11</v>
      </c>
      <c r="D207" t="s">
        <v>50</v>
      </c>
      <c r="E207" t="s">
        <v>369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313</v>
      </c>
      <c r="C208" t="s">
        <v>11</v>
      </c>
      <c r="D208" t="s">
        <v>50</v>
      </c>
      <c r="E208" t="s">
        <v>369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314</v>
      </c>
      <c r="C209" t="s">
        <v>36</v>
      </c>
      <c r="D209" t="s">
        <v>42</v>
      </c>
      <c r="E209" t="s">
        <v>370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315</v>
      </c>
      <c r="C210" t="s">
        <v>36</v>
      </c>
      <c r="D210" t="s">
        <v>114</v>
      </c>
      <c r="E210" t="s">
        <v>357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316</v>
      </c>
      <c r="C211" t="s">
        <v>36</v>
      </c>
      <c r="D211" t="s">
        <v>56</v>
      </c>
      <c r="E211" t="s">
        <v>371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317</v>
      </c>
      <c r="C212" t="s">
        <v>36</v>
      </c>
      <c r="D212" t="s">
        <v>57</v>
      </c>
      <c r="E212" t="s">
        <v>372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318</v>
      </c>
      <c r="C213" t="s">
        <v>36</v>
      </c>
      <c r="D213" t="s">
        <v>58</v>
      </c>
      <c r="E213" t="s">
        <v>363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319</v>
      </c>
      <c r="C214" t="s">
        <v>36</v>
      </c>
      <c r="D214" t="s">
        <v>53</v>
      </c>
      <c r="E214" t="s">
        <v>373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320</v>
      </c>
      <c r="C215" t="s">
        <v>36</v>
      </c>
      <c r="D215" t="s">
        <v>64</v>
      </c>
      <c r="E215" t="s">
        <v>378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321</v>
      </c>
      <c r="C216" t="s">
        <v>36</v>
      </c>
      <c r="D216" t="s">
        <v>64</v>
      </c>
      <c r="E216" t="s">
        <v>378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322</v>
      </c>
      <c r="C217" t="s">
        <v>36</v>
      </c>
      <c r="D217" t="s">
        <v>98</v>
      </c>
      <c r="E217" t="s">
        <v>365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444</v>
      </c>
      <c r="C218" t="s">
        <v>36</v>
      </c>
      <c r="D218" t="s">
        <v>64</v>
      </c>
      <c r="E218" t="s">
        <v>378</v>
      </c>
      <c r="F218" s="108"/>
      <c r="G218" s="108">
        <v>6005246676</v>
      </c>
      <c r="H218" s="108"/>
      <c r="I218" t="s">
        <v>448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117</v>
      </c>
      <c r="E219" t="s">
        <v>383</v>
      </c>
      <c r="F219" s="108" t="s">
        <v>553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117</v>
      </c>
      <c r="E220" t="s">
        <v>383</v>
      </c>
      <c r="F220" s="108" t="s">
        <v>554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117</v>
      </c>
      <c r="E221" t="s">
        <v>383</v>
      </c>
      <c r="F221" s="108" t="s">
        <v>555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116</v>
      </c>
      <c r="C222" t="s">
        <v>15</v>
      </c>
      <c r="D222" t="s">
        <v>116</v>
      </c>
      <c r="E222" t="s">
        <v>381</v>
      </c>
      <c r="F222" s="108" t="s">
        <v>556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104</v>
      </c>
      <c r="C223" t="s">
        <v>15</v>
      </c>
      <c r="D223" t="s">
        <v>104</v>
      </c>
      <c r="E223" t="s">
        <v>384</v>
      </c>
      <c r="F223" s="108" t="s">
        <v>557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118</v>
      </c>
      <c r="E224" t="s">
        <v>385</v>
      </c>
      <c r="F224" s="108" t="s">
        <v>558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118</v>
      </c>
      <c r="E225" t="s">
        <v>385</v>
      </c>
      <c r="F225" s="108" t="s">
        <v>559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118</v>
      </c>
      <c r="E226" t="s">
        <v>385</v>
      </c>
      <c r="F226" s="108" t="s">
        <v>560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386</v>
      </c>
      <c r="F227" s="108" t="s">
        <v>561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387</v>
      </c>
      <c r="F228" s="108" t="s">
        <v>562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106</v>
      </c>
      <c r="C229"/>
      <c r="D229" t="s">
        <v>120</v>
      </c>
      <c r="E229" t="s">
        <v>388</v>
      </c>
      <c r="F229" s="108" t="s">
        <v>563</v>
      </c>
      <c r="G229" s="108">
        <v>9114120005</v>
      </c>
      <c r="H229" s="108">
        <v>9114120005</v>
      </c>
      <c r="I229"/>
    </row>
    <row r="230" spans="1:9" s="84" customFormat="1">
      <c r="A230" s="290">
        <v>9114120006</v>
      </c>
      <c r="B230" s="291" t="s">
        <v>141</v>
      </c>
      <c r="C230"/>
      <c r="D230" s="291" t="s">
        <v>100</v>
      </c>
      <c r="E230" t="s">
        <v>348</v>
      </c>
      <c r="F230" s="108" t="s">
        <v>564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107</v>
      </c>
      <c r="C231"/>
      <c r="D231" t="s">
        <v>113</v>
      </c>
      <c r="E231" t="s">
        <v>389</v>
      </c>
      <c r="F231" s="108" t="s">
        <v>565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101</v>
      </c>
      <c r="C232"/>
      <c r="D232" t="s">
        <v>101</v>
      </c>
      <c r="E232" t="s">
        <v>12</v>
      </c>
      <c r="F232" s="108" t="s">
        <v>566</v>
      </c>
      <c r="G232" s="108"/>
      <c r="H232" s="108"/>
      <c r="I232"/>
    </row>
    <row r="233" spans="1:9" s="84" customFormat="1">
      <c r="A233" s="105">
        <v>9114120009</v>
      </c>
      <c r="B233" t="s">
        <v>108</v>
      </c>
      <c r="C233"/>
      <c r="D233" t="s">
        <v>121</v>
      </c>
      <c r="E233" t="s">
        <v>390</v>
      </c>
      <c r="F233" s="108" t="s">
        <v>567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99</v>
      </c>
      <c r="C234"/>
      <c r="D234" t="s">
        <v>99</v>
      </c>
      <c r="E234" t="s">
        <v>391</v>
      </c>
      <c r="F234" s="108" t="s">
        <v>568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392</v>
      </c>
      <c r="F235" s="108" t="s">
        <v>569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105</v>
      </c>
      <c r="C236"/>
      <c r="D236" t="s">
        <v>105</v>
      </c>
      <c r="E236" t="s">
        <v>393</v>
      </c>
      <c r="F236" s="108" t="s">
        <v>570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142</v>
      </c>
      <c r="C237"/>
      <c r="D237" t="s">
        <v>142</v>
      </c>
      <c r="E237" t="s">
        <v>394</v>
      </c>
      <c r="F237" s="108" t="s">
        <v>571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112</v>
      </c>
      <c r="C238"/>
      <c r="D238" t="s">
        <v>112</v>
      </c>
      <c r="E238" t="s">
        <v>395</v>
      </c>
      <c r="F238" s="108" t="s">
        <v>572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677</v>
      </c>
      <c r="C239"/>
      <c r="D239" t="s">
        <v>677</v>
      </c>
      <c r="E239" t="s">
        <v>396</v>
      </c>
      <c r="F239" s="108" t="s">
        <v>573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678</v>
      </c>
      <c r="C240"/>
      <c r="D240" t="s">
        <v>678</v>
      </c>
      <c r="E240" t="s">
        <v>397</v>
      </c>
      <c r="F240" s="108" t="s">
        <v>574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411</v>
      </c>
      <c r="C241" t="s">
        <v>31</v>
      </c>
      <c r="D241" t="s">
        <v>59</v>
      </c>
      <c r="E241" t="s">
        <v>31</v>
      </c>
      <c r="F241" t="s">
        <v>501</v>
      </c>
      <c r="G241" s="108"/>
      <c r="H241"/>
      <c r="I241"/>
    </row>
    <row r="242" spans="1:9" s="84" customFormat="1">
      <c r="A242" s="106">
        <v>5005016373</v>
      </c>
      <c r="B242" s="107" t="s">
        <v>412</v>
      </c>
      <c r="C242" s="107" t="s">
        <v>150</v>
      </c>
      <c r="D242" s="107" t="s">
        <v>55</v>
      </c>
      <c r="E242" s="107" t="s">
        <v>150</v>
      </c>
      <c r="F242" s="107" t="s">
        <v>473</v>
      </c>
      <c r="G242" s="107"/>
      <c r="H242" s="108"/>
      <c r="I242" s="107"/>
    </row>
    <row r="243" spans="1:9" s="84" customFormat="1">
      <c r="A243" s="106">
        <v>6005016422</v>
      </c>
      <c r="B243" s="107" t="s">
        <v>414</v>
      </c>
      <c r="C243" s="107" t="s">
        <v>0</v>
      </c>
      <c r="D243" s="107" t="s">
        <v>55</v>
      </c>
      <c r="E243" s="107" t="s">
        <v>352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161</v>
      </c>
      <c r="C244" s="107" t="s">
        <v>35</v>
      </c>
      <c r="D244" s="107" t="s">
        <v>100</v>
      </c>
      <c r="E244" s="107" t="s">
        <v>35</v>
      </c>
      <c r="F244" s="107" t="s">
        <v>468</v>
      </c>
      <c r="G244" s="107"/>
      <c r="H244" s="108"/>
      <c r="I244" s="107"/>
    </row>
    <row r="245" spans="1:9">
      <c r="A245" s="106">
        <v>6006016630</v>
      </c>
      <c r="B245" s="107" t="s">
        <v>674</v>
      </c>
      <c r="C245" s="107" t="s">
        <v>675</v>
      </c>
      <c r="D245" s="107" t="s">
        <v>45</v>
      </c>
      <c r="E245" s="107" t="s">
        <v>355</v>
      </c>
      <c r="G245" s="107">
        <v>6006016630</v>
      </c>
    </row>
  </sheetData>
  <autoFilter ref="A1:I244" xr:uid="{5BB6D050-CF39-46AB-B269-585FF25605FE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F4AD2-9033-4AC7-982B-D4CCEC32731F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.5"/>
  <cols>
    <col min="1" max="1" width="11.625" style="286" bestFit="1" customWidth="1"/>
    <col min="2" max="2" width="19" style="283" bestFit="1" customWidth="1"/>
    <col min="3" max="3" width="3.875" style="284" bestFit="1" customWidth="1"/>
    <col min="4" max="4" width="10.25" style="283" bestFit="1" customWidth="1"/>
    <col min="5" max="5" width="9" style="283"/>
    <col min="6" max="6" width="10.875" style="283" bestFit="1" customWidth="1"/>
    <col min="7" max="7" width="19.5" style="283" bestFit="1" customWidth="1"/>
    <col min="8" max="8" width="9" style="283"/>
    <col min="9" max="9" width="13.5" style="283" customWidth="1"/>
    <col min="10" max="16384" width="9" style="283"/>
  </cols>
  <sheetData>
    <row r="1" spans="1:7">
      <c r="B1" s="283" t="s">
        <v>92</v>
      </c>
      <c r="D1" s="283" t="s">
        <v>81</v>
      </c>
      <c r="E1" s="283" t="s">
        <v>82</v>
      </c>
    </row>
    <row r="2" spans="1:7">
      <c r="A2" s="286">
        <v>1412000004</v>
      </c>
      <c r="B2" s="285" t="s">
        <v>664</v>
      </c>
      <c r="C2" s="284" t="s">
        <v>592</v>
      </c>
      <c r="D2" s="283" t="s">
        <v>158</v>
      </c>
      <c r="E2" s="283" t="s">
        <v>158</v>
      </c>
      <c r="G2" s="283" t="s">
        <v>639</v>
      </c>
    </row>
    <row r="3" spans="1:7">
      <c r="A3" s="287">
        <v>1412000005</v>
      </c>
      <c r="B3" s="285" t="s">
        <v>665</v>
      </c>
      <c r="C3" s="284" t="s">
        <v>593</v>
      </c>
      <c r="D3" s="283" t="s">
        <v>158</v>
      </c>
      <c r="E3" s="283" t="s">
        <v>158</v>
      </c>
    </row>
    <row r="4" spans="1:7">
      <c r="A4" s="287">
        <v>1412000062</v>
      </c>
      <c r="B4" s="285" t="s">
        <v>645</v>
      </c>
      <c r="C4" s="284" t="s">
        <v>595</v>
      </c>
      <c r="D4" s="283" t="s">
        <v>443</v>
      </c>
      <c r="E4" s="283" t="s">
        <v>158</v>
      </c>
    </row>
    <row r="5" spans="1:7">
      <c r="A5" s="287">
        <v>1412000034</v>
      </c>
      <c r="B5" s="285" t="s">
        <v>421</v>
      </c>
      <c r="C5" s="284" t="s">
        <v>598</v>
      </c>
      <c r="D5" s="283" t="s">
        <v>158</v>
      </c>
      <c r="E5" s="283" t="s">
        <v>158</v>
      </c>
    </row>
    <row r="6" spans="1:7">
      <c r="A6" s="287">
        <v>1412000048</v>
      </c>
      <c r="B6" s="285" t="s">
        <v>420</v>
      </c>
      <c r="C6" s="284" t="s">
        <v>599</v>
      </c>
      <c r="D6" s="283" t="s">
        <v>443</v>
      </c>
      <c r="E6" s="283" t="s">
        <v>158</v>
      </c>
    </row>
    <row r="7" spans="1:7">
      <c r="A7" s="286">
        <v>1412000055</v>
      </c>
      <c r="B7" s="283" t="s">
        <v>658</v>
      </c>
      <c r="C7" s="284" t="s">
        <v>600</v>
      </c>
      <c r="D7" s="283" t="s">
        <v>443</v>
      </c>
      <c r="E7" s="283" t="s">
        <v>158</v>
      </c>
    </row>
    <row r="8" spans="1:7">
      <c r="A8" s="287">
        <v>1412000050</v>
      </c>
      <c r="B8" s="285" t="s">
        <v>618</v>
      </c>
      <c r="C8" s="284" t="s">
        <v>619</v>
      </c>
      <c r="D8" s="283" t="s">
        <v>158</v>
      </c>
      <c r="E8" s="283" t="s">
        <v>158</v>
      </c>
    </row>
    <row r="9" spans="1:7">
      <c r="A9" s="286">
        <v>1412000077</v>
      </c>
      <c r="B9" s="285" t="s">
        <v>620</v>
      </c>
      <c r="C9" s="284" t="s">
        <v>621</v>
      </c>
      <c r="D9" s="283" t="s">
        <v>158</v>
      </c>
      <c r="E9" s="283" t="s">
        <v>158</v>
      </c>
    </row>
    <row r="10" spans="1:7">
      <c r="A10" s="287">
        <v>1412000053</v>
      </c>
      <c r="B10" s="285" t="s">
        <v>581</v>
      </c>
      <c r="C10" s="284" t="s">
        <v>596</v>
      </c>
      <c r="D10" s="283" t="s">
        <v>443</v>
      </c>
      <c r="E10" s="283" t="s">
        <v>158</v>
      </c>
    </row>
    <row r="11" spans="1:7">
      <c r="A11" s="287">
        <v>1412000008</v>
      </c>
      <c r="B11" s="285" t="s">
        <v>431</v>
      </c>
      <c r="C11" s="284" t="s">
        <v>605</v>
      </c>
      <c r="D11" s="283" t="s">
        <v>443</v>
      </c>
      <c r="E11" s="283" t="s">
        <v>158</v>
      </c>
    </row>
    <row r="12" spans="1:7">
      <c r="A12" s="287">
        <v>1412000010</v>
      </c>
      <c r="B12" s="285" t="s">
        <v>429</v>
      </c>
      <c r="C12" s="284" t="s">
        <v>606</v>
      </c>
      <c r="D12" s="283" t="s">
        <v>575</v>
      </c>
      <c r="E12" s="283" t="s">
        <v>158</v>
      </c>
    </row>
    <row r="13" spans="1:7">
      <c r="A13" s="287">
        <v>1412000054</v>
      </c>
      <c r="B13" s="285" t="s">
        <v>422</v>
      </c>
      <c r="C13" s="284" t="s">
        <v>607</v>
      </c>
      <c r="D13" s="283" t="s">
        <v>575</v>
      </c>
      <c r="E13" s="283" t="s">
        <v>158</v>
      </c>
    </row>
    <row r="14" spans="1:7">
      <c r="A14" s="287">
        <v>1412000036</v>
      </c>
      <c r="B14" s="285" t="s">
        <v>644</v>
      </c>
      <c r="C14" s="284" t="s">
        <v>610</v>
      </c>
      <c r="D14" s="283" t="s">
        <v>443</v>
      </c>
      <c r="E14" s="283" t="s">
        <v>158</v>
      </c>
    </row>
    <row r="15" spans="1:7">
      <c r="A15" s="287">
        <v>1412000006</v>
      </c>
      <c r="B15" s="285" t="s">
        <v>423</v>
      </c>
      <c r="C15" s="284" t="s">
        <v>613</v>
      </c>
      <c r="D15" s="283" t="s">
        <v>575</v>
      </c>
      <c r="E15" s="283" t="s">
        <v>158</v>
      </c>
    </row>
    <row r="16" spans="1:7">
      <c r="A16" s="287">
        <v>1412000039</v>
      </c>
      <c r="B16" s="285" t="s">
        <v>424</v>
      </c>
      <c r="C16" s="284" t="s">
        <v>614</v>
      </c>
      <c r="D16" s="283" t="s">
        <v>575</v>
      </c>
      <c r="E16" s="283" t="s">
        <v>158</v>
      </c>
    </row>
    <row r="17" spans="1:5">
      <c r="A17" s="287">
        <v>1412000040</v>
      </c>
      <c r="B17" s="285" t="s">
        <v>442</v>
      </c>
      <c r="C17" s="284" t="s">
        <v>615</v>
      </c>
      <c r="D17" s="283" t="s">
        <v>575</v>
      </c>
      <c r="E17" s="283" t="s">
        <v>158</v>
      </c>
    </row>
    <row r="18" spans="1:5">
      <c r="A18" s="286">
        <v>1412000013</v>
      </c>
      <c r="B18" s="285" t="s">
        <v>666</v>
      </c>
      <c r="C18" s="284" t="s">
        <v>608</v>
      </c>
      <c r="D18" s="283" t="s">
        <v>575</v>
      </c>
      <c r="E18" s="283" t="s">
        <v>158</v>
      </c>
    </row>
    <row r="19" spans="1:5">
      <c r="A19" s="286">
        <v>1412000080</v>
      </c>
      <c r="B19" s="285" t="s">
        <v>439</v>
      </c>
      <c r="C19" s="284" t="s">
        <v>604</v>
      </c>
      <c r="D19" s="283" t="s">
        <v>575</v>
      </c>
      <c r="E19" s="283" t="s">
        <v>158</v>
      </c>
    </row>
    <row r="20" spans="1:5">
      <c r="A20" s="286">
        <v>1412000044</v>
      </c>
      <c r="B20" s="285" t="s">
        <v>441</v>
      </c>
      <c r="C20" s="284" t="s">
        <v>603</v>
      </c>
      <c r="D20" s="283" t="s">
        <v>443</v>
      </c>
      <c r="E20" s="283" t="s">
        <v>158</v>
      </c>
    </row>
    <row r="21" spans="1:5">
      <c r="A21" s="287">
        <v>1412000056</v>
      </c>
      <c r="B21" s="285" t="s">
        <v>440</v>
      </c>
      <c r="C21" s="284" t="s">
        <v>602</v>
      </c>
      <c r="D21" s="283" t="s">
        <v>158</v>
      </c>
      <c r="E21" s="283" t="s">
        <v>158</v>
      </c>
    </row>
    <row r="22" spans="1:5">
      <c r="A22" s="287">
        <v>1412000018</v>
      </c>
      <c r="B22" s="285" t="s">
        <v>427</v>
      </c>
      <c r="C22" s="284" t="s">
        <v>625</v>
      </c>
      <c r="D22" s="283" t="s">
        <v>576</v>
      </c>
      <c r="E22" s="283" t="s">
        <v>158</v>
      </c>
    </row>
    <row r="23" spans="1:5">
      <c r="A23" s="287">
        <v>1412000019</v>
      </c>
      <c r="B23" s="285" t="s">
        <v>587</v>
      </c>
      <c r="C23" s="284" t="s">
        <v>626</v>
      </c>
      <c r="D23" s="283" t="s">
        <v>576</v>
      </c>
      <c r="E23" s="283" t="s">
        <v>158</v>
      </c>
    </row>
    <row r="24" spans="1:5">
      <c r="A24" s="287">
        <v>1412000058</v>
      </c>
      <c r="B24" s="285" t="s">
        <v>432</v>
      </c>
      <c r="C24" s="284" t="s">
        <v>627</v>
      </c>
      <c r="D24" s="283" t="s">
        <v>576</v>
      </c>
      <c r="E24" s="283" t="s">
        <v>158</v>
      </c>
    </row>
    <row r="25" spans="1:5">
      <c r="A25" s="287">
        <v>1412000042</v>
      </c>
      <c r="B25" s="285" t="s">
        <v>433</v>
      </c>
      <c r="C25" s="284" t="s">
        <v>628</v>
      </c>
      <c r="D25" s="283" t="s">
        <v>576</v>
      </c>
      <c r="E25" s="283" t="s">
        <v>158</v>
      </c>
    </row>
    <row r="26" spans="1:5">
      <c r="A26" s="287">
        <v>1412000021</v>
      </c>
      <c r="B26" s="285" t="s">
        <v>434</v>
      </c>
      <c r="C26" s="284" t="s">
        <v>629</v>
      </c>
      <c r="D26" s="283" t="s">
        <v>576</v>
      </c>
      <c r="E26" s="283" t="s">
        <v>158</v>
      </c>
    </row>
    <row r="27" spans="1:5">
      <c r="A27" s="287">
        <v>1412000022</v>
      </c>
      <c r="B27" s="285" t="s">
        <v>438</v>
      </c>
      <c r="C27" s="284" t="s">
        <v>631</v>
      </c>
      <c r="D27" s="283" t="s">
        <v>576</v>
      </c>
      <c r="E27" s="283" t="s">
        <v>158</v>
      </c>
    </row>
    <row r="28" spans="1:5">
      <c r="A28" s="287">
        <v>1412000024</v>
      </c>
      <c r="B28" s="285" t="s">
        <v>436</v>
      </c>
      <c r="C28" s="284" t="s">
        <v>632</v>
      </c>
      <c r="D28" s="283" t="s">
        <v>577</v>
      </c>
      <c r="E28" s="283" t="s">
        <v>159</v>
      </c>
    </row>
    <row r="29" spans="1:5">
      <c r="A29" s="287">
        <v>1412000025</v>
      </c>
      <c r="B29" s="285" t="s">
        <v>425</v>
      </c>
      <c r="C29" s="284" t="s">
        <v>633</v>
      </c>
      <c r="D29" s="283" t="s">
        <v>577</v>
      </c>
      <c r="E29" s="283" t="s">
        <v>159</v>
      </c>
    </row>
    <row r="30" spans="1:5">
      <c r="A30" s="287">
        <v>1412000026</v>
      </c>
      <c r="B30" s="285" t="s">
        <v>430</v>
      </c>
      <c r="C30" s="284" t="s">
        <v>634</v>
      </c>
      <c r="D30" s="283" t="s">
        <v>577</v>
      </c>
      <c r="E30" s="283" t="s">
        <v>159</v>
      </c>
    </row>
    <row r="31" spans="1:5">
      <c r="A31" s="287">
        <v>1412000028</v>
      </c>
      <c r="B31" s="285" t="s">
        <v>426</v>
      </c>
      <c r="C31" s="284" t="s">
        <v>635</v>
      </c>
      <c r="D31" s="283" t="s">
        <v>577</v>
      </c>
      <c r="E31" s="283" t="s">
        <v>159</v>
      </c>
    </row>
    <row r="32" spans="1:5">
      <c r="A32" s="287">
        <v>1412000029</v>
      </c>
      <c r="B32" s="285" t="s">
        <v>435</v>
      </c>
      <c r="C32" s="284" t="s">
        <v>636</v>
      </c>
      <c r="D32" s="283" t="s">
        <v>577</v>
      </c>
      <c r="E32" s="283" t="s">
        <v>159</v>
      </c>
    </row>
    <row r="33" spans="1:5">
      <c r="A33" s="287">
        <v>1412000030</v>
      </c>
      <c r="B33" s="285" t="s">
        <v>437</v>
      </c>
      <c r="C33" s="284" t="s">
        <v>637</v>
      </c>
      <c r="D33" s="283" t="s">
        <v>577</v>
      </c>
      <c r="E33" s="283" t="s">
        <v>160</v>
      </c>
    </row>
    <row r="34" spans="1:5">
      <c r="A34" s="287">
        <v>1412000086</v>
      </c>
      <c r="B34" s="285" t="s">
        <v>428</v>
      </c>
      <c r="C34" s="284" t="s">
        <v>638</v>
      </c>
      <c r="D34" s="283" t="s">
        <v>577</v>
      </c>
      <c r="E34" s="283" t="s">
        <v>159</v>
      </c>
    </row>
    <row r="35" spans="1:5">
      <c r="A35" s="287">
        <v>1412000063</v>
      </c>
      <c r="B35" s="285" t="s">
        <v>667</v>
      </c>
      <c r="C35" s="284" t="s">
        <v>601</v>
      </c>
      <c r="D35" s="283" t="s">
        <v>443</v>
      </c>
      <c r="E35" s="283" t="s">
        <v>158</v>
      </c>
    </row>
    <row r="36" spans="1:5">
      <c r="A36" s="287">
        <v>1412000066</v>
      </c>
      <c r="B36" s="285" t="s">
        <v>419</v>
      </c>
      <c r="C36" s="284" t="s">
        <v>594</v>
      </c>
      <c r="D36" s="283" t="s">
        <v>158</v>
      </c>
      <c r="E36" s="283" t="s">
        <v>158</v>
      </c>
    </row>
    <row r="37" spans="1:5">
      <c r="A37" s="287">
        <v>1412000035</v>
      </c>
      <c r="B37" s="285" t="s">
        <v>586</v>
      </c>
      <c r="C37" s="284" t="s">
        <v>609</v>
      </c>
      <c r="D37" s="283" t="s">
        <v>575</v>
      </c>
      <c r="E37" s="283" t="s">
        <v>158</v>
      </c>
    </row>
    <row r="38" spans="1:5">
      <c r="A38" s="287">
        <v>1412000016</v>
      </c>
      <c r="B38" s="285" t="s">
        <v>583</v>
      </c>
      <c r="C38" s="284" t="s">
        <v>616</v>
      </c>
      <c r="D38" s="283" t="s">
        <v>575</v>
      </c>
      <c r="E38" s="283" t="s">
        <v>158</v>
      </c>
    </row>
    <row r="39" spans="1:5">
      <c r="A39" s="287">
        <v>1412000069</v>
      </c>
      <c r="B39" s="285" t="s">
        <v>584</v>
      </c>
      <c r="C39" s="284" t="s">
        <v>617</v>
      </c>
      <c r="D39" s="283" t="s">
        <v>575</v>
      </c>
      <c r="E39" s="283" t="s">
        <v>158</v>
      </c>
    </row>
    <row r="40" spans="1:5">
      <c r="A40" s="287">
        <v>1412000070</v>
      </c>
      <c r="B40" s="285" t="s">
        <v>588</v>
      </c>
      <c r="C40" s="284" t="s">
        <v>630</v>
      </c>
      <c r="D40" s="283" t="s">
        <v>576</v>
      </c>
      <c r="E40" s="283" t="s">
        <v>158</v>
      </c>
    </row>
    <row r="41" spans="1:5">
      <c r="A41" s="287">
        <v>1412000072</v>
      </c>
      <c r="B41" s="285" t="s">
        <v>646</v>
      </c>
      <c r="C41" s="284" t="s">
        <v>611</v>
      </c>
      <c r="D41" s="283" t="s">
        <v>443</v>
      </c>
      <c r="E41" s="283" t="s">
        <v>160</v>
      </c>
    </row>
    <row r="42" spans="1:5">
      <c r="A42" s="287">
        <v>1412000073</v>
      </c>
      <c r="B42" s="285" t="s">
        <v>585</v>
      </c>
      <c r="C42" s="284" t="s">
        <v>612</v>
      </c>
      <c r="D42" s="283" t="s">
        <v>443</v>
      </c>
      <c r="E42" s="283" t="s">
        <v>158</v>
      </c>
    </row>
    <row r="43" spans="1:5">
      <c r="A43" s="286">
        <v>1412000075</v>
      </c>
      <c r="B43" s="285" t="s">
        <v>582</v>
      </c>
      <c r="C43" s="284" t="s">
        <v>597</v>
      </c>
      <c r="D43" s="283" t="s">
        <v>443</v>
      </c>
      <c r="E43" s="283" t="s">
        <v>158</v>
      </c>
    </row>
    <row r="44" spans="1:5">
      <c r="A44" s="286">
        <v>1412000057</v>
      </c>
      <c r="B44" s="285" t="s">
        <v>622</v>
      </c>
      <c r="C44" s="284" t="s">
        <v>623</v>
      </c>
      <c r="D44" s="283" t="s">
        <v>158</v>
      </c>
      <c r="E44" s="283" t="s">
        <v>158</v>
      </c>
    </row>
    <row r="45" spans="1:5">
      <c r="A45" s="287">
        <v>1412000078</v>
      </c>
      <c r="B45" s="285" t="s">
        <v>668</v>
      </c>
      <c r="C45" s="284" t="s">
        <v>624</v>
      </c>
      <c r="D45" s="283" t="s">
        <v>158</v>
      </c>
      <c r="E45" s="283" t="s">
        <v>158</v>
      </c>
    </row>
    <row r="46" spans="1:5">
      <c r="A46" s="286">
        <v>1412000081</v>
      </c>
      <c r="B46" s="285" t="s">
        <v>647</v>
      </c>
      <c r="C46" s="284" t="s">
        <v>640</v>
      </c>
      <c r="D46" s="283" t="s">
        <v>158</v>
      </c>
      <c r="E46" s="283" t="s">
        <v>158</v>
      </c>
    </row>
    <row r="47" spans="1:5">
      <c r="A47" s="286">
        <v>1412000083</v>
      </c>
      <c r="B47" s="285" t="s">
        <v>648</v>
      </c>
      <c r="C47" s="284" t="s">
        <v>650</v>
      </c>
      <c r="D47" s="283" t="s">
        <v>158</v>
      </c>
      <c r="E47" s="283" t="s">
        <v>158</v>
      </c>
    </row>
    <row r="48" spans="1:5">
      <c r="A48" s="286">
        <v>1412000084</v>
      </c>
      <c r="B48" s="283" t="s">
        <v>649</v>
      </c>
      <c r="C48" s="284" t="s">
        <v>654</v>
      </c>
      <c r="D48" s="283" t="s">
        <v>575</v>
      </c>
      <c r="E48" s="283" t="s">
        <v>158</v>
      </c>
    </row>
    <row r="49" spans="1:5">
      <c r="A49" s="286">
        <v>1412000087</v>
      </c>
      <c r="B49" s="285" t="s">
        <v>651</v>
      </c>
      <c r="C49" s="284" t="s">
        <v>655</v>
      </c>
      <c r="D49" s="283" t="s">
        <v>443</v>
      </c>
      <c r="E49" s="283" t="s">
        <v>158</v>
      </c>
    </row>
    <row r="50" spans="1:5">
      <c r="A50" s="286">
        <v>1412000088</v>
      </c>
      <c r="B50" s="283" t="s">
        <v>652</v>
      </c>
      <c r="C50" s="284" t="s">
        <v>656</v>
      </c>
      <c r="D50" s="283" t="s">
        <v>443</v>
      </c>
      <c r="E50" s="283" t="s">
        <v>158</v>
      </c>
    </row>
    <row r="51" spans="1:5">
      <c r="A51" s="286">
        <v>1412000089</v>
      </c>
      <c r="B51" s="283" t="s">
        <v>653</v>
      </c>
      <c r="C51" s="284" t="s">
        <v>657</v>
      </c>
      <c r="D51" s="283" t="s">
        <v>575</v>
      </c>
      <c r="E51" s="283" t="s">
        <v>158</v>
      </c>
    </row>
    <row r="52" spans="1:5">
      <c r="A52" s="286">
        <v>1412000091</v>
      </c>
      <c r="B52" s="283" t="s">
        <v>660</v>
      </c>
      <c r="C52" s="288" t="s">
        <v>659</v>
      </c>
      <c r="D52" s="283" t="s">
        <v>577</v>
      </c>
      <c r="E52" s="283" t="s">
        <v>159</v>
      </c>
    </row>
    <row r="53" spans="1:5">
      <c r="A53" s="286">
        <v>1412000092</v>
      </c>
      <c r="B53" s="283" t="s">
        <v>661</v>
      </c>
      <c r="C53" s="288" t="s">
        <v>662</v>
      </c>
      <c r="D53" s="283" t="s">
        <v>575</v>
      </c>
      <c r="E53" s="283" t="s">
        <v>158</v>
      </c>
    </row>
    <row r="54" spans="1:5">
      <c r="A54" s="286">
        <v>1412000093</v>
      </c>
      <c r="B54" s="283" t="s">
        <v>669</v>
      </c>
      <c r="C54" s="288" t="s">
        <v>663</v>
      </c>
      <c r="D54" s="283" t="s">
        <v>577</v>
      </c>
      <c r="E54" s="283" t="s">
        <v>159</v>
      </c>
    </row>
    <row r="55" spans="1:5">
      <c r="A55" s="286">
        <v>1412000094</v>
      </c>
      <c r="B55" s="283" t="s">
        <v>670</v>
      </c>
      <c r="C55" s="288" t="s">
        <v>681</v>
      </c>
      <c r="D55" s="283" t="s">
        <v>443</v>
      </c>
      <c r="E55" s="283" t="s">
        <v>158</v>
      </c>
    </row>
    <row r="56" spans="1:5">
      <c r="A56" s="286">
        <v>1412000096</v>
      </c>
      <c r="B56" s="285" t="s">
        <v>671</v>
      </c>
      <c r="C56" s="288" t="s">
        <v>682</v>
      </c>
      <c r="D56" s="283" t="s">
        <v>158</v>
      </c>
      <c r="E56" s="283" t="s">
        <v>158</v>
      </c>
    </row>
    <row r="57" spans="1:5">
      <c r="A57" s="286">
        <v>1412000098</v>
      </c>
      <c r="B57" s="283" t="s">
        <v>679</v>
      </c>
      <c r="C57" s="288" t="s">
        <v>683</v>
      </c>
      <c r="D57" s="283" t="s">
        <v>158</v>
      </c>
      <c r="E57" s="283" t="s">
        <v>158</v>
      </c>
    </row>
    <row r="58" spans="1:5">
      <c r="A58" s="286">
        <v>1412000099</v>
      </c>
      <c r="B58" s="283" t="s">
        <v>680</v>
      </c>
      <c r="C58" s="288" t="s">
        <v>684</v>
      </c>
      <c r="D58" s="283" t="s">
        <v>158</v>
      </c>
      <c r="E58" s="283" t="s">
        <v>158</v>
      </c>
    </row>
  </sheetData>
  <autoFilter ref="A1:K479" xr:uid="{EF6A5615-F10A-4481-954D-6EA61DBA7BD3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86B1-5A2E-4E9B-8569-A1735A5B76FB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41" customWidth="1"/>
  </cols>
  <sheetData>
    <row r="2" spans="1:2">
      <c r="A2" s="123" t="s">
        <v>673</v>
      </c>
      <c r="B2" s="241" t="s">
        <v>400</v>
      </c>
    </row>
    <row r="3" spans="1:2" ht="15">
      <c r="A3" s="92">
        <v>4</v>
      </c>
      <c r="B3" s="242">
        <v>20</v>
      </c>
    </row>
    <row r="4" spans="1:2" ht="15">
      <c r="A4" s="92">
        <v>5</v>
      </c>
      <c r="B4" s="242">
        <v>19</v>
      </c>
    </row>
    <row r="5" spans="1:2" ht="15">
      <c r="A5" s="92">
        <v>6</v>
      </c>
      <c r="B5" s="242">
        <v>21</v>
      </c>
    </row>
    <row r="6" spans="1:2" ht="15">
      <c r="A6" s="92">
        <v>7</v>
      </c>
      <c r="B6" s="242">
        <v>23</v>
      </c>
    </row>
    <row r="7" spans="1:2" ht="15">
      <c r="A7" s="92">
        <v>8</v>
      </c>
      <c r="B7" s="242">
        <v>20</v>
      </c>
    </row>
    <row r="8" spans="1:2" ht="15">
      <c r="A8" s="92">
        <v>9</v>
      </c>
      <c r="B8" s="242">
        <v>19</v>
      </c>
    </row>
    <row r="9" spans="1:2" ht="15">
      <c r="A9" s="92">
        <v>10</v>
      </c>
      <c r="B9" s="242">
        <v>23</v>
      </c>
    </row>
    <row r="10" spans="1:2" ht="15">
      <c r="A10" s="92">
        <v>11</v>
      </c>
      <c r="B10" s="242">
        <v>20</v>
      </c>
    </row>
    <row r="11" spans="1:2" ht="15">
      <c r="A11" s="92">
        <v>12</v>
      </c>
      <c r="B11" s="242">
        <v>22</v>
      </c>
    </row>
    <row r="12" spans="1:2" ht="15">
      <c r="A12" s="92">
        <v>1</v>
      </c>
      <c r="B12" s="242">
        <v>20</v>
      </c>
    </row>
    <row r="13" spans="1:2" ht="15">
      <c r="A13" s="92">
        <v>2</v>
      </c>
      <c r="B13" s="242">
        <v>15</v>
      </c>
    </row>
    <row r="14" spans="1:2" ht="15">
      <c r="A14" s="92">
        <v>3</v>
      </c>
      <c r="B14" s="242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Lâm Thị Phương Thúy(Lam Thi Phuong Thuy)</cp:lastModifiedBy>
  <cp:lastPrinted>2017-10-06T02:39:42Z</cp:lastPrinted>
  <dcterms:created xsi:type="dcterms:W3CDTF">2002-04-10T08:05:47Z</dcterms:created>
  <dcterms:modified xsi:type="dcterms:W3CDTF">2025-03-25T02:19:36Z</dcterms:modified>
</cp:coreProperties>
</file>