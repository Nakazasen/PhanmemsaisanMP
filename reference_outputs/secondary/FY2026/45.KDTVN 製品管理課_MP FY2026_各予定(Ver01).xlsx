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"/>
    </mc:Choice>
  </mc:AlternateContent>
  <xr:revisionPtr revIDLastSave="0" documentId="13_ncr:1_{34A93F9C-0C9E-4969-A8C4-8F721233C52F}" xr6:coauthVersionLast="47" xr6:coauthVersionMax="47" xr10:uidLastSave="{00000000-0000-0000-0000-000000000000}"/>
  <bookViews>
    <workbookView xWindow="-108" yWindow="-108" windowWidth="23256" windowHeight="12456" tabRatio="702" activeTab="3" xr2:uid="{CCD30359-7011-48D6-9033-E5EB21908F36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'内訳ﾘｽﾄ(4～3月)'!$A$7:$T$799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21" l="1"/>
  <c r="Q4" i="21"/>
  <c r="F2" i="10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C988" i="10"/>
  <c r="D988" i="10" s="1"/>
  <c r="D5" i="10"/>
  <c r="H2" i="36"/>
  <c r="G2" i="36"/>
  <c r="F2" i="36"/>
  <c r="N98" i="5"/>
  <c r="N98" i="32" s="1"/>
  <c r="M98" i="5"/>
  <c r="M98" i="32" s="1"/>
  <c r="L98" i="5"/>
  <c r="K98" i="5"/>
  <c r="J98" i="5"/>
  <c r="J98" i="32" s="1"/>
  <c r="I98" i="5"/>
  <c r="I98" i="32" s="1"/>
  <c r="H98" i="5"/>
  <c r="H98" i="32" s="1"/>
  <c r="G98" i="5"/>
  <c r="F98" i="5"/>
  <c r="E98" i="5"/>
  <c r="E98" i="32" s="1"/>
  <c r="D98" i="5"/>
  <c r="C98" i="5"/>
  <c r="C98" i="32" s="1"/>
  <c r="N97" i="5"/>
  <c r="N99" i="5" s="1"/>
  <c r="M97" i="5"/>
  <c r="M99" i="5" s="1"/>
  <c r="L97" i="5"/>
  <c r="L97" i="32" s="1"/>
  <c r="K97" i="5"/>
  <c r="J97" i="5"/>
  <c r="J97" i="32" s="1"/>
  <c r="J99" i="32" s="1"/>
  <c r="I97" i="5"/>
  <c r="H97" i="5"/>
  <c r="H97" i="32" s="1"/>
  <c r="G97" i="5"/>
  <c r="G97" i="32" s="1"/>
  <c r="G99" i="32" s="1"/>
  <c r="F97" i="5"/>
  <c r="F99" i="5" s="1"/>
  <c r="E97" i="5"/>
  <c r="E97" i="32" s="1"/>
  <c r="E99" i="32" s="1"/>
  <c r="D97" i="5"/>
  <c r="C97" i="5"/>
  <c r="N93" i="5"/>
  <c r="N93" i="32"/>
  <c r="M93" i="5"/>
  <c r="M93" i="32" s="1"/>
  <c r="L93" i="5"/>
  <c r="L93" i="32" s="1"/>
  <c r="K93" i="5"/>
  <c r="K93" i="32" s="1"/>
  <c r="J93" i="5"/>
  <c r="J93" i="32" s="1"/>
  <c r="I93" i="5"/>
  <c r="I93" i="32" s="1"/>
  <c r="H93" i="5"/>
  <c r="G93" i="5"/>
  <c r="F93" i="5"/>
  <c r="F93" i="32" s="1"/>
  <c r="E93" i="5"/>
  <c r="E93" i="32" s="1"/>
  <c r="O93" i="32" s="1"/>
  <c r="D93" i="5"/>
  <c r="C93" i="5"/>
  <c r="C93" i="32" s="1"/>
  <c r="N92" i="5"/>
  <c r="M92" i="5"/>
  <c r="M92" i="32" s="1"/>
  <c r="L92" i="5"/>
  <c r="K92" i="5"/>
  <c r="J92" i="5"/>
  <c r="I92" i="5"/>
  <c r="I92" i="32" s="1"/>
  <c r="I94" i="32" s="1"/>
  <c r="H92" i="5"/>
  <c r="H92" i="32"/>
  <c r="G92" i="5"/>
  <c r="G92" i="32" s="1"/>
  <c r="F92" i="5"/>
  <c r="E92" i="5"/>
  <c r="D92" i="5"/>
  <c r="D92" i="32" s="1"/>
  <c r="D94" i="32" s="1"/>
  <c r="C92" i="5"/>
  <c r="N88" i="5"/>
  <c r="N88" i="32" s="1"/>
  <c r="M88" i="5"/>
  <c r="M88" i="32" s="1"/>
  <c r="L88" i="5"/>
  <c r="K88" i="5"/>
  <c r="K88" i="32" s="1"/>
  <c r="J88" i="5"/>
  <c r="I88" i="5"/>
  <c r="I89" i="5" s="1"/>
  <c r="H88" i="5"/>
  <c r="G88" i="5"/>
  <c r="G88" i="32" s="1"/>
  <c r="F88" i="5"/>
  <c r="F88" i="32" s="1"/>
  <c r="E88" i="5"/>
  <c r="E88" i="32"/>
  <c r="E89" i="32" s="1"/>
  <c r="D88" i="5"/>
  <c r="C88" i="5"/>
  <c r="C88" i="32"/>
  <c r="C89" i="32" s="1"/>
  <c r="N87" i="5"/>
  <c r="N87" i="32" s="1"/>
  <c r="N89" i="32" s="1"/>
  <c r="M87" i="5"/>
  <c r="L87" i="5"/>
  <c r="K87" i="5"/>
  <c r="J87" i="5"/>
  <c r="J89" i="5" s="1"/>
  <c r="I87" i="5"/>
  <c r="H87" i="5"/>
  <c r="H87" i="32" s="1"/>
  <c r="G87" i="5"/>
  <c r="G87" i="32" s="1"/>
  <c r="G89" i="32" s="1"/>
  <c r="F87" i="5"/>
  <c r="F87" i="32" s="1"/>
  <c r="F89" i="32" s="1"/>
  <c r="E87" i="5"/>
  <c r="E87" i="32" s="1"/>
  <c r="D87" i="5"/>
  <c r="D89" i="5" s="1"/>
  <c r="C87" i="5"/>
  <c r="N74" i="5"/>
  <c r="N74" i="32" s="1"/>
  <c r="M74" i="5"/>
  <c r="M74" i="32" s="1"/>
  <c r="L74" i="5"/>
  <c r="K74" i="5"/>
  <c r="J74" i="5"/>
  <c r="J74" i="32" s="1"/>
  <c r="I74" i="5"/>
  <c r="I74" i="32" s="1"/>
  <c r="H74" i="5"/>
  <c r="G74" i="5"/>
  <c r="G74" i="32" s="1"/>
  <c r="F74" i="5"/>
  <c r="E74" i="5"/>
  <c r="D74" i="5"/>
  <c r="D74" i="32" s="1"/>
  <c r="C74" i="5"/>
  <c r="C74" i="32" s="1"/>
  <c r="N68" i="5"/>
  <c r="M68" i="5"/>
  <c r="M68" i="32" s="1"/>
  <c r="L68" i="5"/>
  <c r="L68" i="32" s="1"/>
  <c r="K68" i="5"/>
  <c r="J68" i="5"/>
  <c r="I68" i="5"/>
  <c r="H68" i="5"/>
  <c r="H68" i="32" s="1"/>
  <c r="G68" i="5"/>
  <c r="G68" i="32" s="1"/>
  <c r="F68" i="5"/>
  <c r="F68" i="32" s="1"/>
  <c r="E68" i="5"/>
  <c r="E68" i="32" s="1"/>
  <c r="D68" i="5"/>
  <c r="C68" i="5"/>
  <c r="N94" i="5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Q29" i="10"/>
  <c r="Q5" i="10"/>
  <c r="P29" i="10"/>
  <c r="P5" i="10" s="1"/>
  <c r="O29" i="10"/>
  <c r="O5" i="10"/>
  <c r="N29" i="10"/>
  <c r="N5" i="10" s="1"/>
  <c r="M29" i="10"/>
  <c r="M5" i="10"/>
  <c r="L29" i="10"/>
  <c r="L5" i="10" s="1"/>
  <c r="K29" i="10"/>
  <c r="K5" i="10"/>
  <c r="J29" i="10"/>
  <c r="J5" i="10" s="1"/>
  <c r="I29" i="10"/>
  <c r="I5" i="10"/>
  <c r="H29" i="10"/>
  <c r="G29" i="10"/>
  <c r="G5" i="10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28" i="10"/>
  <c r="R28" i="10" s="1"/>
  <c r="F27" i="10"/>
  <c r="F26" i="10"/>
  <c r="C1" i="5"/>
  <c r="C1" i="32" s="1"/>
  <c r="R38" i="10"/>
  <c r="R37" i="10"/>
  <c r="R35" i="10"/>
  <c r="R25" i="10"/>
  <c r="O88" i="5" s="1"/>
  <c r="R24" i="10"/>
  <c r="O87" i="5" s="1"/>
  <c r="R23" i="10"/>
  <c r="R22" i="10"/>
  <c r="R21" i="10"/>
  <c r="R20" i="10"/>
  <c r="R19" i="10"/>
  <c r="R18" i="10"/>
  <c r="R17" i="10"/>
  <c r="R16" i="10"/>
  <c r="O74" i="5" s="1"/>
  <c r="O75" i="5" s="1"/>
  <c r="R15" i="10"/>
  <c r="R14" i="10"/>
  <c r="R13" i="10"/>
  <c r="R12" i="10"/>
  <c r="R11" i="10"/>
  <c r="R10" i="10"/>
  <c r="R9" i="10"/>
  <c r="O93" i="5" s="1"/>
  <c r="R8" i="10"/>
  <c r="H74" i="32"/>
  <c r="N68" i="32"/>
  <c r="J68" i="32"/>
  <c r="C5" i="10"/>
  <c r="N1" i="32"/>
  <c r="Q2" i="10"/>
  <c r="P2" i="10"/>
  <c r="O2" i="10"/>
  <c r="N2" i="10"/>
  <c r="M2" i="10"/>
  <c r="L2" i="10"/>
  <c r="K2" i="10"/>
  <c r="J2" i="10"/>
  <c r="I2" i="10"/>
  <c r="H2" i="10"/>
  <c r="C4" i="5"/>
  <c r="C4" i="32"/>
  <c r="D87" i="32"/>
  <c r="L87" i="32"/>
  <c r="D88" i="32"/>
  <c r="H88" i="32"/>
  <c r="J88" i="32"/>
  <c r="D93" i="32"/>
  <c r="H93" i="32"/>
  <c r="D97" i="32"/>
  <c r="D4" i="32"/>
  <c r="E4" i="32"/>
  <c r="F4" i="32"/>
  <c r="G4" i="32"/>
  <c r="H4" i="32"/>
  <c r="I4" i="32"/>
  <c r="J4" i="32"/>
  <c r="K4" i="32"/>
  <c r="L4" i="32"/>
  <c r="M4" i="32"/>
  <c r="N4" i="32"/>
  <c r="O4" i="32"/>
  <c r="F92" i="32"/>
  <c r="N97" i="32"/>
  <c r="N99" i="32" s="1"/>
  <c r="F97" i="32"/>
  <c r="L88" i="32"/>
  <c r="N92" i="32"/>
  <c r="L74" i="32"/>
  <c r="O98" i="5"/>
  <c r="C68" i="32"/>
  <c r="I68" i="32"/>
  <c r="K68" i="32"/>
  <c r="E74" i="32"/>
  <c r="C87" i="32"/>
  <c r="C89" i="5"/>
  <c r="K87" i="32"/>
  <c r="K89" i="32" s="1"/>
  <c r="K98" i="32"/>
  <c r="F98" i="32"/>
  <c r="H94" i="5"/>
  <c r="D68" i="32"/>
  <c r="F74" i="32"/>
  <c r="K74" i="32"/>
  <c r="I87" i="32"/>
  <c r="M87" i="32"/>
  <c r="M89" i="32" s="1"/>
  <c r="C92" i="32"/>
  <c r="G93" i="32"/>
  <c r="G94" i="5"/>
  <c r="C97" i="32"/>
  <c r="G98" i="32"/>
  <c r="F5" i="10"/>
  <c r="L89" i="5"/>
  <c r="I94" i="5"/>
  <c r="J92" i="32"/>
  <c r="H5" i="10"/>
  <c r="C983" i="10"/>
  <c r="D983" i="10" s="1"/>
  <c r="C874" i="10"/>
  <c r="D874" i="10" s="1"/>
  <c r="C908" i="10"/>
  <c r="D908" i="10" s="1"/>
  <c r="C949" i="10"/>
  <c r="D949" i="10"/>
  <c r="C337" i="10"/>
  <c r="D337" i="10" s="1"/>
  <c r="C395" i="10"/>
  <c r="D395" i="10"/>
  <c r="C121" i="10"/>
  <c r="D121" i="10" s="1"/>
  <c r="C168" i="10"/>
  <c r="D168" i="10" s="1"/>
  <c r="C422" i="10"/>
  <c r="D422" i="10" s="1"/>
  <c r="C386" i="10"/>
  <c r="D386" i="10" s="1"/>
  <c r="C744" i="10"/>
  <c r="D744" i="10" s="1"/>
  <c r="C141" i="10"/>
  <c r="D141" i="10" s="1"/>
  <c r="C441" i="10"/>
  <c r="D441" i="10"/>
  <c r="C655" i="10"/>
  <c r="D655" i="10" s="1"/>
  <c r="C601" i="10"/>
  <c r="D601" i="10" s="1"/>
  <c r="C849" i="10"/>
  <c r="D849" i="10" s="1"/>
  <c r="C982" i="10"/>
  <c r="D982" i="10" s="1"/>
  <c r="C670" i="10"/>
  <c r="D670" i="10" s="1"/>
  <c r="C74" i="10"/>
  <c r="D74" i="10" s="1"/>
  <c r="C610" i="10"/>
  <c r="D610" i="10" s="1"/>
  <c r="C535" i="10"/>
  <c r="D535" i="10" s="1"/>
  <c r="C667" i="10"/>
  <c r="D667" i="10" s="1"/>
  <c r="C470" i="10"/>
  <c r="D470" i="10" s="1"/>
  <c r="C829" i="10"/>
  <c r="D829" i="10" s="1"/>
  <c r="C130" i="10"/>
  <c r="D130" i="10" s="1"/>
  <c r="C87" i="10"/>
  <c r="D87" i="10"/>
  <c r="C66" i="10"/>
  <c r="D66" i="10" s="1"/>
  <c r="C727" i="10"/>
  <c r="D727" i="10" s="1"/>
  <c r="C570" i="10"/>
  <c r="D570" i="10" s="1"/>
  <c r="C696" i="10"/>
  <c r="D696" i="10" s="1"/>
  <c r="C303" i="10"/>
  <c r="D303" i="10" s="1"/>
  <c r="C947" i="10"/>
  <c r="D947" i="10" s="1"/>
  <c r="C455" i="10"/>
  <c r="D455" i="10"/>
  <c r="C195" i="10"/>
  <c r="D195" i="10" s="1"/>
  <c r="C725" i="10"/>
  <c r="D725" i="10" s="1"/>
  <c r="C169" i="10"/>
  <c r="D169" i="10"/>
  <c r="C427" i="10"/>
  <c r="D427" i="10" s="1"/>
  <c r="C737" i="10"/>
  <c r="D737" i="10"/>
  <c r="C239" i="10"/>
  <c r="D239" i="10" s="1"/>
  <c r="C589" i="10"/>
  <c r="D589" i="10"/>
  <c r="C190" i="10"/>
  <c r="D190" i="10" s="1"/>
  <c r="C302" i="10"/>
  <c r="D302" i="10" s="1"/>
  <c r="C542" i="10"/>
  <c r="D542" i="10" s="1"/>
  <c r="C697" i="10"/>
  <c r="D697" i="10" s="1"/>
  <c r="C633" i="10"/>
  <c r="D633" i="10" s="1"/>
  <c r="C796" i="10"/>
  <c r="D796" i="10" s="1"/>
  <c r="C51" i="10"/>
  <c r="D51" i="10" s="1"/>
  <c r="C309" i="10"/>
  <c r="D309" i="10" s="1"/>
  <c r="C970" i="10"/>
  <c r="D970" i="10" s="1"/>
  <c r="C162" i="10"/>
  <c r="D162" i="10" s="1"/>
  <c r="C93" i="10"/>
  <c r="D93" i="10" s="1"/>
  <c r="C457" i="10"/>
  <c r="D457" i="10" s="1"/>
  <c r="C912" i="10"/>
  <c r="D912" i="10" s="1"/>
  <c r="C781" i="10"/>
  <c r="D781" i="10" s="1"/>
  <c r="C269" i="10"/>
  <c r="D269" i="10" s="1"/>
  <c r="C658" i="10"/>
  <c r="D658" i="10" s="1"/>
  <c r="C381" i="10"/>
  <c r="D381" i="10" s="1"/>
  <c r="C320" i="10"/>
  <c r="D320" i="10" s="1"/>
  <c r="C588" i="10"/>
  <c r="D588" i="10" s="1"/>
  <c r="C681" i="10"/>
  <c r="D681" i="10" s="1"/>
  <c r="C715" i="10"/>
  <c r="D715" i="10" s="1"/>
  <c r="C802" i="10"/>
  <c r="D802" i="10" s="1"/>
  <c r="C443" i="10"/>
  <c r="D443" i="10" s="1"/>
  <c r="C876" i="10"/>
  <c r="D876" i="10" s="1"/>
  <c r="C832" i="10"/>
  <c r="D832" i="10" s="1"/>
  <c r="C208" i="10"/>
  <c r="D208" i="10"/>
  <c r="C153" i="10"/>
  <c r="D153" i="10" s="1"/>
  <c r="C811" i="10"/>
  <c r="D811" i="10" s="1"/>
  <c r="C821" i="10"/>
  <c r="D821" i="10" s="1"/>
  <c r="C201" i="10"/>
  <c r="D201" i="10" s="1"/>
  <c r="C120" i="10"/>
  <c r="D120" i="10" s="1"/>
  <c r="C53" i="10"/>
  <c r="D53" i="10" s="1"/>
  <c r="C520" i="10"/>
  <c r="D520" i="10" s="1"/>
  <c r="C29" i="10"/>
  <c r="D29" i="10" s="1"/>
  <c r="C963" i="10"/>
  <c r="D963" i="10" s="1"/>
  <c r="C959" i="10"/>
  <c r="D959" i="10" s="1"/>
  <c r="C865" i="10"/>
  <c r="D865" i="10" s="1"/>
  <c r="C47" i="10"/>
  <c r="D47" i="10" s="1"/>
  <c r="C488" i="10"/>
  <c r="D488" i="10" s="1"/>
  <c r="C96" i="10"/>
  <c r="D96" i="10" s="1"/>
  <c r="C48" i="10"/>
  <c r="D48" i="10" s="1"/>
  <c r="C468" i="10"/>
  <c r="D468" i="10" s="1"/>
  <c r="C458" i="10"/>
  <c r="D458" i="10" s="1"/>
  <c r="C260" i="10"/>
  <c r="D260" i="10" s="1"/>
  <c r="C344" i="10"/>
  <c r="D344" i="10" s="1"/>
  <c r="C437" i="10"/>
  <c r="D437" i="10" s="1"/>
  <c r="C724" i="10"/>
  <c r="D724" i="10" s="1"/>
  <c r="C672" i="10"/>
  <c r="D672" i="10"/>
  <c r="C639" i="10"/>
  <c r="D639" i="10" s="1"/>
  <c r="C649" i="10"/>
  <c r="D649" i="10" s="1"/>
  <c r="C688" i="10"/>
  <c r="D688" i="10" s="1"/>
  <c r="C726" i="10"/>
  <c r="D726" i="10" s="1"/>
  <c r="C666" i="10"/>
  <c r="D666" i="10" s="1"/>
  <c r="C317" i="10"/>
  <c r="D317" i="10" s="1"/>
  <c r="C901" i="10"/>
  <c r="D901" i="10" s="1"/>
  <c r="C824" i="10"/>
  <c r="D824" i="10" s="1"/>
  <c r="C660" i="10"/>
  <c r="D660" i="10" s="1"/>
  <c r="C179" i="10"/>
  <c r="D179" i="10" s="1"/>
  <c r="C847" i="10"/>
  <c r="D847" i="10" s="1"/>
  <c r="C661" i="10"/>
  <c r="D661" i="10" s="1"/>
  <c r="C873" i="10"/>
  <c r="D873" i="10" s="1"/>
  <c r="C189" i="10"/>
  <c r="D189" i="10" s="1"/>
  <c r="C146" i="10"/>
  <c r="D146" i="10" s="1"/>
  <c r="C37" i="10"/>
  <c r="D37" i="10" s="1"/>
  <c r="C325" i="10"/>
  <c r="D325" i="10" s="1"/>
  <c r="C587" i="10"/>
  <c r="D587" i="10" s="1"/>
  <c r="C999" i="10"/>
  <c r="D999" i="10" s="1"/>
  <c r="C994" i="10"/>
  <c r="D994" i="10" s="1"/>
  <c r="C909" i="10"/>
  <c r="D909" i="10"/>
  <c r="C204" i="10"/>
  <c r="D204" i="10" s="1"/>
  <c r="C351" i="10"/>
  <c r="D351" i="10" s="1"/>
  <c r="C539" i="10"/>
  <c r="D539" i="10" s="1"/>
  <c r="C88" i="10"/>
  <c r="D88" i="10" s="1"/>
  <c r="C34" i="10"/>
  <c r="D34" i="10" s="1"/>
  <c r="C273" i="10"/>
  <c r="D273" i="10" s="1"/>
  <c r="C529" i="10"/>
  <c r="D529" i="10" s="1"/>
  <c r="C547" i="10"/>
  <c r="D547" i="10" s="1"/>
  <c r="C278" i="10"/>
  <c r="D278" i="10" s="1"/>
  <c r="C362" i="10"/>
  <c r="D362" i="10" s="1"/>
  <c r="C478" i="10"/>
  <c r="D478" i="10" s="1"/>
  <c r="C487" i="10"/>
  <c r="D487" i="10" s="1"/>
  <c r="C700" i="10"/>
  <c r="D700" i="10" s="1"/>
  <c r="C860" i="10"/>
  <c r="D860" i="10" s="1"/>
  <c r="K69" i="5"/>
  <c r="I62" i="5"/>
  <c r="I62" i="32" s="1"/>
  <c r="C609" i="10"/>
  <c r="D609" i="10" s="1"/>
  <c r="C625" i="10"/>
  <c r="D625" i="10"/>
  <c r="C641" i="10"/>
  <c r="D641" i="10" s="1"/>
  <c r="C657" i="10"/>
  <c r="D657" i="10" s="1"/>
  <c r="C674" i="10"/>
  <c r="D674" i="10" s="1"/>
  <c r="C699" i="10"/>
  <c r="D699" i="10"/>
  <c r="C718" i="10"/>
  <c r="D718" i="10" s="1"/>
  <c r="C736" i="10"/>
  <c r="D736" i="10" s="1"/>
  <c r="C755" i="10"/>
  <c r="D755" i="10"/>
  <c r="C782" i="10"/>
  <c r="D782" i="10" s="1"/>
  <c r="C818" i="10"/>
  <c r="D818" i="10"/>
  <c r="C534" i="10"/>
  <c r="D534" i="10" s="1"/>
  <c r="C399" i="10"/>
  <c r="D399" i="10"/>
  <c r="C235" i="10"/>
  <c r="D235" i="10" s="1"/>
  <c r="C773" i="10"/>
  <c r="D773" i="10"/>
  <c r="C943" i="10"/>
  <c r="D943" i="10" s="1"/>
  <c r="C828" i="10"/>
  <c r="D828" i="10" s="1"/>
  <c r="C880" i="10"/>
  <c r="D880" i="10"/>
  <c r="C977" i="10"/>
  <c r="D977" i="10" s="1"/>
  <c r="C721" i="10"/>
  <c r="D721" i="10" s="1"/>
  <c r="C550" i="10"/>
  <c r="D550" i="10" s="1"/>
  <c r="C407" i="10"/>
  <c r="D407" i="10"/>
  <c r="C245" i="10"/>
  <c r="D245" i="10" s="1"/>
  <c r="C73" i="10"/>
  <c r="D73" i="10" s="1"/>
  <c r="C125" i="10"/>
  <c r="D125" i="10"/>
  <c r="C157" i="10"/>
  <c r="D157" i="10" s="1"/>
  <c r="C203" i="10"/>
  <c r="D203" i="10"/>
  <c r="C903" i="10"/>
  <c r="D903" i="10" s="1"/>
  <c r="C974" i="10"/>
  <c r="D974" i="10"/>
  <c r="C859" i="10"/>
  <c r="D859" i="10" s="1"/>
  <c r="C680" i="10"/>
  <c r="D680" i="10"/>
  <c r="C777" i="10"/>
  <c r="D777" i="10" s="1"/>
  <c r="C885" i="10"/>
  <c r="D885" i="10" s="1"/>
  <c r="C213" i="10"/>
  <c r="D213" i="10"/>
  <c r="C185" i="10"/>
  <c r="D185" i="10" s="1"/>
  <c r="C160" i="10"/>
  <c r="D160" i="10" s="1"/>
  <c r="C144" i="10"/>
  <c r="D144" i="10" s="1"/>
  <c r="C128" i="10"/>
  <c r="D128" i="10"/>
  <c r="C114" i="10"/>
  <c r="D114" i="10" s="1"/>
  <c r="C85" i="10"/>
  <c r="D85" i="10" s="1"/>
  <c r="C216" i="10"/>
  <c r="D216" i="10"/>
  <c r="C247" i="10"/>
  <c r="D247" i="10" s="1"/>
  <c r="C339" i="10"/>
  <c r="D339" i="10"/>
  <c r="C477" i="10"/>
  <c r="D477" i="10" s="1"/>
  <c r="C596" i="10"/>
  <c r="D596" i="10"/>
  <c r="C770" i="10"/>
  <c r="D770" i="10" s="1"/>
  <c r="C835" i="10"/>
  <c r="D835" i="10"/>
  <c r="C925" i="10"/>
  <c r="D925" i="10" s="1"/>
  <c r="C831" i="10"/>
  <c r="D831" i="10" s="1"/>
  <c r="C917" i="10"/>
  <c r="D917" i="10"/>
  <c r="C677" i="10"/>
  <c r="D677" i="10" s="1"/>
  <c r="C801" i="10"/>
  <c r="D801" i="10" s="1"/>
  <c r="C929" i="10"/>
  <c r="D929" i="10" s="1"/>
  <c r="C79" i="10"/>
  <c r="D79" i="10"/>
  <c r="C188" i="10"/>
  <c r="D188" i="10" s="1"/>
  <c r="C283" i="10"/>
  <c r="D283" i="10" s="1"/>
  <c r="C387" i="10"/>
  <c r="D387" i="10"/>
  <c r="C460" i="10"/>
  <c r="D460" i="10" s="1"/>
  <c r="C555" i="10"/>
  <c r="D555" i="10"/>
  <c r="C748" i="10"/>
  <c r="D748" i="10" s="1"/>
  <c r="C84" i="10"/>
  <c r="D84" i="10"/>
  <c r="C64" i="10"/>
  <c r="D64" i="10" s="1"/>
  <c r="C32" i="10"/>
  <c r="D32" i="10"/>
  <c r="C222" i="10"/>
  <c r="D222" i="10" s="1"/>
  <c r="C281" i="10"/>
  <c r="D281" i="10" s="1"/>
  <c r="C409" i="10"/>
  <c r="D409" i="10"/>
  <c r="C536" i="10"/>
  <c r="D536" i="10" s="1"/>
  <c r="C397" i="10"/>
  <c r="D397" i="10" s="1"/>
  <c r="C552" i="10"/>
  <c r="D552" i="10" s="1"/>
  <c r="C738" i="10"/>
  <c r="D738" i="10"/>
  <c r="C282" i="10"/>
  <c r="D282" i="10" s="1"/>
  <c r="C322" i="10"/>
  <c r="D322" i="10" s="1"/>
  <c r="C364" i="10"/>
  <c r="D364" i="10"/>
  <c r="C408" i="10"/>
  <c r="D408" i="10" s="1"/>
  <c r="C481" i="10"/>
  <c r="D481" i="10"/>
  <c r="C592" i="10"/>
  <c r="D592" i="10" s="1"/>
  <c r="C495" i="10"/>
  <c r="D495" i="10"/>
  <c r="C575" i="10"/>
  <c r="D575" i="10" s="1"/>
  <c r="C714" i="10"/>
  <c r="D714" i="10"/>
  <c r="C904" i="10"/>
  <c r="D904" i="10" s="1"/>
  <c r="C894" i="10"/>
  <c r="D894" i="10" s="1"/>
  <c r="C615" i="10"/>
  <c r="D615" i="10"/>
  <c r="C631" i="10"/>
  <c r="D631" i="10" s="1"/>
  <c r="C647" i="10"/>
  <c r="D647" i="10" s="1"/>
  <c r="C664" i="10"/>
  <c r="D664" i="10" s="1"/>
  <c r="C686" i="10"/>
  <c r="D686" i="10"/>
  <c r="C707" i="10"/>
  <c r="D707" i="10" s="1"/>
  <c r="C723" i="10"/>
  <c r="D723" i="10" s="1"/>
  <c r="C742" i="10"/>
  <c r="D742" i="10"/>
  <c r="C763" i="10"/>
  <c r="D763" i="10" s="1"/>
  <c r="C784" i="10"/>
  <c r="D784" i="10"/>
  <c r="C823" i="10"/>
  <c r="D823" i="10" s="1"/>
  <c r="C518" i="10"/>
  <c r="D518" i="10"/>
  <c r="C371" i="10"/>
  <c r="D371" i="10" s="1"/>
  <c r="C219" i="10"/>
  <c r="D219" i="10"/>
  <c r="C985" i="10"/>
  <c r="D985" i="10" s="1"/>
  <c r="C729" i="10"/>
  <c r="D729" i="10" s="1"/>
  <c r="C922" i="10"/>
  <c r="D922" i="10"/>
  <c r="C995" i="10"/>
  <c r="D995" i="10" s="1"/>
  <c r="C872" i="10"/>
  <c r="D872" i="10" s="1"/>
  <c r="C957" i="10"/>
  <c r="D957" i="10" s="1"/>
  <c r="C701" i="10"/>
  <c r="D701" i="10"/>
  <c r="C532" i="10"/>
  <c r="D532" i="10" s="1"/>
  <c r="C323" i="10"/>
  <c r="D323" i="10" s="1"/>
  <c r="C176" i="10"/>
  <c r="D176" i="10"/>
  <c r="C105" i="10"/>
  <c r="D105" i="10" s="1"/>
  <c r="C137" i="10"/>
  <c r="D137" i="10"/>
  <c r="C171" i="10"/>
  <c r="D171" i="10" s="1"/>
  <c r="C998" i="10"/>
  <c r="D998" i="10"/>
  <c r="C855" i="10"/>
  <c r="D855" i="10" s="1"/>
  <c r="C926" i="10"/>
  <c r="D926" i="10"/>
  <c r="C822" i="10"/>
  <c r="D822" i="10" s="1"/>
  <c r="C713" i="10"/>
  <c r="D713" i="10" s="1"/>
  <c r="C809" i="10"/>
  <c r="D809" i="10"/>
  <c r="C937" i="10"/>
  <c r="D937" i="10" s="1"/>
  <c r="C173" i="10"/>
  <c r="D173" i="10" s="1"/>
  <c r="C154" i="10"/>
  <c r="D154" i="10" s="1"/>
  <c r="C138" i="10"/>
  <c r="D138" i="10"/>
  <c r="C122" i="10"/>
  <c r="D122" i="10" s="1"/>
  <c r="C108" i="10"/>
  <c r="D108" i="10" s="1"/>
  <c r="C61" i="10"/>
  <c r="D61" i="10"/>
  <c r="C184" i="10"/>
  <c r="D184" i="10" s="1"/>
  <c r="C279" i="10"/>
  <c r="D279" i="10"/>
  <c r="C420" i="10"/>
  <c r="D420" i="10" s="1"/>
  <c r="C512" i="10"/>
  <c r="D512" i="10"/>
  <c r="C652" i="10"/>
  <c r="D652" i="10" s="1"/>
  <c r="C1000" i="10"/>
  <c r="D1000" i="10"/>
  <c r="C870" i="10"/>
  <c r="D870" i="10" s="1"/>
  <c r="C955" i="10"/>
  <c r="D955" i="10" s="1"/>
  <c r="C866" i="10"/>
  <c r="D866" i="10"/>
  <c r="C951" i="10"/>
  <c r="D951" i="10" s="1"/>
  <c r="C717" i="10"/>
  <c r="D717" i="10" s="1"/>
  <c r="C845" i="10"/>
  <c r="D845" i="10" s="1"/>
  <c r="C973" i="10"/>
  <c r="D973" i="10"/>
  <c r="C55" i="10"/>
  <c r="D55" i="10" s="1"/>
  <c r="C231" i="10"/>
  <c r="D231" i="10" s="1"/>
  <c r="C315" i="10"/>
  <c r="D315" i="10"/>
  <c r="C415" i="10"/>
  <c r="D415" i="10" s="1"/>
  <c r="C480" i="10"/>
  <c r="D480" i="10"/>
  <c r="C582" i="10"/>
  <c r="D582" i="10" s="1"/>
  <c r="C98" i="10"/>
  <c r="D98" i="10"/>
  <c r="C76" i="10"/>
  <c r="D76" i="10" s="1"/>
  <c r="C50" i="10"/>
  <c r="D50" i="10"/>
  <c r="C194" i="10"/>
  <c r="D194" i="10" s="1"/>
  <c r="C236" i="10"/>
  <c r="D236" i="10" s="1"/>
  <c r="C329" i="10"/>
  <c r="D329" i="10"/>
  <c r="C463" i="10"/>
  <c r="D463" i="10" s="1"/>
  <c r="C668" i="10"/>
  <c r="D668" i="10" s="1"/>
  <c r="C451" i="10"/>
  <c r="D451" i="10" s="1"/>
  <c r="C600" i="10"/>
  <c r="D600" i="10"/>
  <c r="C258" i="10"/>
  <c r="D258" i="10" s="1"/>
  <c r="C300" i="10"/>
  <c r="D300" i="10" s="1"/>
  <c r="C340" i="10"/>
  <c r="D340" i="10"/>
  <c r="C384" i="10"/>
  <c r="D384" i="10" s="1"/>
  <c r="C432" i="10"/>
  <c r="D432" i="10"/>
  <c r="C528" i="10"/>
  <c r="D528" i="10" s="1"/>
  <c r="C703" i="10"/>
  <c r="D703" i="10"/>
  <c r="C530" i="10"/>
  <c r="D530" i="10" s="1"/>
  <c r="C612" i="10"/>
  <c r="D612" i="10"/>
  <c r="C786" i="10"/>
  <c r="D786" i="10" s="1"/>
  <c r="C790" i="10"/>
  <c r="D790" i="10" s="1"/>
  <c r="K62" i="5"/>
  <c r="K62" i="32"/>
  <c r="L70" i="5"/>
  <c r="L70" i="32" s="1"/>
  <c r="C70" i="5"/>
  <c r="C70" i="32" s="1"/>
  <c r="C611" i="10"/>
  <c r="D611" i="10" s="1"/>
  <c r="C619" i="10"/>
  <c r="D619" i="10" s="1"/>
  <c r="C627" i="10"/>
  <c r="D627" i="10" s="1"/>
  <c r="C635" i="10"/>
  <c r="D635" i="10" s="1"/>
  <c r="C643" i="10"/>
  <c r="D643" i="10" s="1"/>
  <c r="C651" i="10"/>
  <c r="D651" i="10" s="1"/>
  <c r="C659" i="10"/>
  <c r="D659" i="10" s="1"/>
  <c r="C671" i="10"/>
  <c r="D671" i="10" s="1"/>
  <c r="C678" i="10"/>
  <c r="D678" i="10" s="1"/>
  <c r="C691" i="10"/>
  <c r="D691" i="10"/>
  <c r="C702" i="10"/>
  <c r="D702" i="10" s="1"/>
  <c r="C720" i="10"/>
  <c r="D720" i="10" s="1"/>
  <c r="C728" i="10"/>
  <c r="D728" i="10" s="1"/>
  <c r="C747" i="10"/>
  <c r="D747" i="10" s="1"/>
  <c r="C758" i="10"/>
  <c r="D758" i="10" s="1"/>
  <c r="C768" i="10"/>
  <c r="D768" i="10" s="1"/>
  <c r="C776" i="10"/>
  <c r="D776" i="10"/>
  <c r="C787" i="10"/>
  <c r="D787" i="10" s="1"/>
  <c r="C807" i="10"/>
  <c r="D807" i="10"/>
  <c r="C762" i="10"/>
  <c r="D762" i="10" s="1"/>
  <c r="C501" i="10"/>
  <c r="D501" i="10" s="1"/>
  <c r="C431" i="10"/>
  <c r="D431" i="10" s="1"/>
  <c r="C361" i="10"/>
  <c r="D361" i="10" s="1"/>
  <c r="C267" i="10"/>
  <c r="D267" i="10" s="1"/>
  <c r="C196" i="10"/>
  <c r="D196" i="10"/>
  <c r="C83" i="10"/>
  <c r="D83" i="10" s="1"/>
  <c r="C965" i="10"/>
  <c r="D965" i="10"/>
  <c r="C838" i="10"/>
  <c r="D838" i="10" s="1"/>
  <c r="C709" i="10"/>
  <c r="D709" i="10" s="1"/>
  <c r="C962" i="10"/>
  <c r="D962" i="10" s="1"/>
  <c r="C914" i="10"/>
  <c r="D914" i="10" s="1"/>
  <c r="C858" i="10"/>
  <c r="D858" i="10" s="1"/>
  <c r="C966" i="10"/>
  <c r="D966" i="10"/>
  <c r="C921" i="10"/>
  <c r="D921" i="10" s="1"/>
  <c r="C862" i="10"/>
  <c r="D862" i="10"/>
  <c r="C913" i="10"/>
  <c r="D913" i="10" s="1"/>
  <c r="C785" i="10"/>
  <c r="D785" i="10" s="1"/>
  <c r="C996" i="10"/>
  <c r="D996" i="10"/>
  <c r="C624" i="10"/>
  <c r="D624" i="10" s="1"/>
  <c r="C515" i="10"/>
  <c r="D515" i="10" s="1"/>
  <c r="C442" i="10"/>
  <c r="D442" i="10"/>
  <c r="C379" i="10"/>
  <c r="D379" i="10" s="1"/>
  <c r="C295" i="10"/>
  <c r="D295" i="10" s="1"/>
  <c r="C229" i="10"/>
  <c r="D229" i="10" s="1"/>
  <c r="C41" i="10"/>
  <c r="D41" i="10" s="1"/>
  <c r="C89" i="10"/>
  <c r="D89" i="10" s="1"/>
  <c r="C113" i="10"/>
  <c r="D113" i="10"/>
  <c r="C129" i="10"/>
  <c r="D129" i="10" s="1"/>
  <c r="C145" i="10"/>
  <c r="D145" i="10" s="1"/>
  <c r="C161" i="10"/>
  <c r="D161" i="10"/>
  <c r="C211" i="10"/>
  <c r="D211" i="10" s="1"/>
  <c r="C940" i="10"/>
  <c r="D940" i="10" s="1"/>
  <c r="C892" i="10"/>
  <c r="D892" i="10" s="1"/>
  <c r="C836" i="10"/>
  <c r="D836" i="10" s="1"/>
  <c r="C944" i="10"/>
  <c r="D944" i="10" s="1"/>
  <c r="C896" i="10"/>
  <c r="D896" i="10" s="1"/>
  <c r="C851" i="10"/>
  <c r="D851" i="10" s="1"/>
  <c r="C803" i="10"/>
  <c r="D803" i="10" s="1"/>
  <c r="C693" i="10"/>
  <c r="D693" i="10"/>
  <c r="C789" i="10"/>
  <c r="D789" i="10" s="1"/>
  <c r="C841" i="10"/>
  <c r="D841" i="10"/>
  <c r="C905" i="10"/>
  <c r="D905" i="10" s="1"/>
  <c r="C969" i="10"/>
  <c r="D969" i="10" s="1"/>
  <c r="C209" i="10"/>
  <c r="D209" i="10" s="1"/>
  <c r="C197" i="10"/>
  <c r="D197" i="10"/>
  <c r="C181" i="10"/>
  <c r="D181" i="10" s="1"/>
  <c r="C166" i="10"/>
  <c r="D166" i="10"/>
  <c r="C158" i="10"/>
  <c r="D158" i="10" s="1"/>
  <c r="C150" i="10"/>
  <c r="D150" i="10" s="1"/>
  <c r="C142" i="10"/>
  <c r="D142" i="10"/>
  <c r="C134" i="10"/>
  <c r="D134" i="10" s="1"/>
  <c r="C126" i="10"/>
  <c r="D126" i="10" s="1"/>
  <c r="C118" i="10"/>
  <c r="D118" i="10" s="1"/>
  <c r="C112" i="10"/>
  <c r="D112" i="10"/>
  <c r="C77" i="10"/>
  <c r="D77" i="10" s="1"/>
  <c r="C45" i="10"/>
  <c r="D45" i="10" s="1"/>
  <c r="C225" i="10"/>
  <c r="D225" i="10" s="1"/>
  <c r="C261" i="10"/>
  <c r="D261" i="10" s="1"/>
  <c r="C307" i="10"/>
  <c r="D307" i="10"/>
  <c r="C343" i="10"/>
  <c r="D343" i="10" s="1"/>
  <c r="C446" i="10"/>
  <c r="D446" i="10" s="1"/>
  <c r="C494" i="10"/>
  <c r="D494" i="10" s="1"/>
  <c r="C553" i="10"/>
  <c r="D553" i="10" s="1"/>
  <c r="C603" i="10"/>
  <c r="D603" i="10" s="1"/>
  <c r="C695" i="10"/>
  <c r="D695" i="10" s="1"/>
  <c r="C978" i="10"/>
  <c r="D978" i="10" s="1"/>
  <c r="C806" i="10"/>
  <c r="D806" i="10" s="1"/>
  <c r="C848" i="10"/>
  <c r="D848" i="10" s="1"/>
  <c r="C891" i="10"/>
  <c r="D891" i="10" s="1"/>
  <c r="C934" i="10"/>
  <c r="D934" i="10" s="1"/>
  <c r="C976" i="10"/>
  <c r="D976" i="10" s="1"/>
  <c r="C844" i="10"/>
  <c r="D844" i="10" s="1"/>
  <c r="C887" i="10"/>
  <c r="D887" i="10" s="1"/>
  <c r="C930" i="10"/>
  <c r="D930" i="10" s="1"/>
  <c r="C972" i="10"/>
  <c r="D972" i="10" s="1"/>
  <c r="C685" i="10"/>
  <c r="D685" i="10" s="1"/>
  <c r="C749" i="10"/>
  <c r="D749" i="10" s="1"/>
  <c r="C813" i="10"/>
  <c r="D813" i="10" s="1"/>
  <c r="C877" i="10"/>
  <c r="D877" i="10" s="1"/>
  <c r="C941" i="10"/>
  <c r="D941" i="10" s="1"/>
  <c r="C103" i="10"/>
  <c r="D103" i="10" s="1"/>
  <c r="C71" i="10"/>
  <c r="D71" i="10" s="1"/>
  <c r="C39" i="10"/>
  <c r="D39" i="10" s="1"/>
  <c r="C172" i="10"/>
  <c r="D172" i="10" s="1"/>
  <c r="C251" i="10"/>
  <c r="D251" i="10" s="1"/>
  <c r="C287" i="10"/>
  <c r="D287" i="10" s="1"/>
  <c r="C333" i="10"/>
  <c r="D333" i="10"/>
  <c r="C401" i="10"/>
  <c r="D401" i="10" s="1"/>
  <c r="C428" i="10"/>
  <c r="D428" i="10" s="1"/>
  <c r="C466" i="10"/>
  <c r="D466" i="10" s="1"/>
  <c r="C505" i="10"/>
  <c r="D505" i="10" s="1"/>
  <c r="C564" i="10"/>
  <c r="D564" i="10" s="1"/>
  <c r="C597" i="10"/>
  <c r="D597" i="10"/>
  <c r="C104" i="10"/>
  <c r="D104" i="10" s="1"/>
  <c r="C92" i="10"/>
  <c r="D92" i="10"/>
  <c r="C82" i="10"/>
  <c r="D82" i="10" s="1"/>
  <c r="C72" i="10"/>
  <c r="D72" i="10" s="1"/>
  <c r="C58" i="10"/>
  <c r="D58" i="10" s="1"/>
  <c r="C42" i="10"/>
  <c r="D42" i="10" s="1"/>
  <c r="C210" i="10"/>
  <c r="D210" i="10" s="1"/>
  <c r="C178" i="10"/>
  <c r="D178" i="10" s="1"/>
  <c r="C228" i="10"/>
  <c r="D228" i="10" s="1"/>
  <c r="C244" i="10"/>
  <c r="D244" i="10" s="1"/>
  <c r="C297" i="10"/>
  <c r="D297" i="10" s="1"/>
  <c r="C359" i="10"/>
  <c r="D359" i="10"/>
  <c r="C439" i="10"/>
  <c r="D439" i="10" s="1"/>
  <c r="C491" i="10"/>
  <c r="D491" i="10" s="1"/>
  <c r="C568" i="10"/>
  <c r="D568" i="10"/>
  <c r="C756" i="10"/>
  <c r="D756" i="10" s="1"/>
  <c r="C426" i="10"/>
  <c r="D426" i="10" s="1"/>
  <c r="C486" i="10"/>
  <c r="D486" i="10" s="1"/>
  <c r="C571" i="10"/>
  <c r="D571" i="10" s="1"/>
  <c r="C650" i="10"/>
  <c r="D650" i="10"/>
  <c r="C246" i="10"/>
  <c r="D246" i="10" s="1"/>
  <c r="C268" i="10"/>
  <c r="D268" i="10" s="1"/>
  <c r="C290" i="10"/>
  <c r="D290" i="10"/>
  <c r="C310" i="10"/>
  <c r="D310" i="10" s="1"/>
  <c r="C330" i="10"/>
  <c r="D330" i="10" s="1"/>
  <c r="C352" i="10"/>
  <c r="D352" i="10" s="1"/>
  <c r="C372" i="10"/>
  <c r="D372" i="10" s="1"/>
  <c r="C394" i="10"/>
  <c r="D394" i="10" s="1"/>
  <c r="C414" i="10"/>
  <c r="D414" i="10"/>
  <c r="C453" i="10"/>
  <c r="D453" i="10" s="1"/>
  <c r="C499" i="10"/>
  <c r="D499" i="10"/>
  <c r="C560" i="10"/>
  <c r="D560" i="10" s="1"/>
  <c r="C632" i="10"/>
  <c r="D632" i="10" s="1"/>
  <c r="C772" i="10"/>
  <c r="D772" i="10" s="1"/>
  <c r="C511" i="10"/>
  <c r="D511" i="10"/>
  <c r="C551" i="10"/>
  <c r="D551" i="10" s="1"/>
  <c r="C591" i="10"/>
  <c r="D591" i="10" s="1"/>
  <c r="C646" i="10"/>
  <c r="D646" i="10" s="1"/>
  <c r="C767" i="10"/>
  <c r="D767" i="10" s="1"/>
  <c r="C271" i="10"/>
  <c r="D271" i="10" s="1"/>
  <c r="C558" i="10"/>
  <c r="D558" i="10" s="1"/>
  <c r="C890" i="10"/>
  <c r="D890" i="10" s="1"/>
  <c r="C669" i="10"/>
  <c r="D669" i="10"/>
  <c r="C682" i="10"/>
  <c r="D682" i="10" s="1"/>
  <c r="C863" i="10"/>
  <c r="D863" i="10"/>
  <c r="C964" i="10"/>
  <c r="D964" i="10" s="1"/>
  <c r="C180" i="10"/>
  <c r="D180" i="10" s="1"/>
  <c r="C115" i="10"/>
  <c r="D115" i="10" s="1"/>
  <c r="C861" i="10"/>
  <c r="D861" i="10" s="1"/>
  <c r="C854" i="10"/>
  <c r="D854" i="10" s="1"/>
  <c r="C797" i="10"/>
  <c r="D797" i="10"/>
  <c r="C540" i="10"/>
  <c r="D540" i="10" s="1"/>
  <c r="C805" i="10"/>
  <c r="D805" i="10"/>
  <c r="C475" i="10"/>
  <c r="D475" i="10" s="1"/>
  <c r="C753" i="10"/>
  <c r="D753" i="10" s="1"/>
  <c r="C263" i="10"/>
  <c r="D263" i="10" s="1"/>
  <c r="C960" i="10"/>
  <c r="D960" i="10" s="1"/>
  <c r="C127" i="10"/>
  <c r="D127" i="10" s="1"/>
  <c r="C644" i="10"/>
  <c r="D644" i="10"/>
  <c r="C990" i="10"/>
  <c r="D990" i="10" s="1"/>
  <c r="C889" i="10"/>
  <c r="D889" i="10" s="1"/>
  <c r="C107" i="10"/>
  <c r="D107" i="10" s="1"/>
  <c r="C403" i="10"/>
  <c r="D403" i="10" s="1"/>
  <c r="C815" i="10"/>
  <c r="D815" i="10" s="1"/>
  <c r="C775" i="10"/>
  <c r="D775" i="10" s="1"/>
  <c r="C730" i="10"/>
  <c r="D730" i="10" s="1"/>
  <c r="C676" i="10"/>
  <c r="D676" i="10" s="1"/>
  <c r="C640" i="10"/>
  <c r="D640" i="10"/>
  <c r="C618" i="10"/>
  <c r="D618" i="10" s="1"/>
  <c r="C599" i="10"/>
  <c r="D599" i="10" s="1"/>
  <c r="C583" i="10"/>
  <c r="D583" i="10"/>
  <c r="C554" i="10"/>
  <c r="D554" i="10" s="1"/>
  <c r="C538" i="10"/>
  <c r="D538" i="10" s="1"/>
  <c r="C522" i="10"/>
  <c r="D522" i="10" s="1"/>
  <c r="C506" i="10"/>
  <c r="D506" i="10" s="1"/>
  <c r="C490" i="10"/>
  <c r="D490" i="10"/>
  <c r="C26" i="10"/>
  <c r="D26" i="10" s="1"/>
  <c r="C754" i="10"/>
  <c r="D754" i="10" s="1"/>
  <c r="C684" i="10"/>
  <c r="D684" i="10"/>
  <c r="C642" i="10"/>
  <c r="D642" i="10" s="1"/>
  <c r="C595" i="10"/>
  <c r="D595" i="10" s="1"/>
  <c r="C577" i="10"/>
  <c r="D577" i="10" s="1"/>
  <c r="C556" i="10"/>
  <c r="D556" i="10" s="1"/>
  <c r="C531" i="10"/>
  <c r="D531" i="10"/>
  <c r="C513" i="10"/>
  <c r="D513" i="10" s="1"/>
  <c r="C492" i="10"/>
  <c r="D492" i="10" s="1"/>
  <c r="C472" i="10"/>
  <c r="D472" i="10"/>
  <c r="C456" i="10"/>
  <c r="D456" i="10" s="1"/>
  <c r="C440" i="10"/>
  <c r="D440" i="10" s="1"/>
  <c r="C424" i="10"/>
  <c r="D424" i="10" s="1"/>
  <c r="C412" i="10"/>
  <c r="D412" i="10" s="1"/>
  <c r="C406" i="10"/>
  <c r="D406" i="10" s="1"/>
  <c r="C398" i="10"/>
  <c r="D398" i="10"/>
  <c r="C390" i="10"/>
  <c r="D390" i="10" s="1"/>
  <c r="C382" i="10"/>
  <c r="D382" i="10"/>
  <c r="C374" i="10"/>
  <c r="D374" i="10" s="1"/>
  <c r="C366" i="10"/>
  <c r="D366" i="10" s="1"/>
  <c r="C358" i="10"/>
  <c r="D358" i="10" s="1"/>
  <c r="C350" i="10"/>
  <c r="D350" i="10"/>
  <c r="C342" i="10"/>
  <c r="D342" i="10" s="1"/>
  <c r="C334" i="10"/>
  <c r="D334" i="10" s="1"/>
  <c r="C326" i="10"/>
  <c r="D326" i="10" s="1"/>
  <c r="C318" i="10"/>
  <c r="D318" i="10" s="1"/>
  <c r="C312" i="10"/>
  <c r="D312" i="10" s="1"/>
  <c r="C304" i="10"/>
  <c r="D304" i="10" s="1"/>
  <c r="C296" i="10"/>
  <c r="D296" i="10" s="1"/>
  <c r="C288" i="10"/>
  <c r="D288" i="10"/>
  <c r="C280" i="10"/>
  <c r="D280" i="10" s="1"/>
  <c r="C272" i="10"/>
  <c r="D272" i="10"/>
  <c r="C264" i="10"/>
  <c r="D264" i="10" s="1"/>
  <c r="C256" i="10"/>
  <c r="D256" i="10" s="1"/>
  <c r="C248" i="10"/>
  <c r="D248" i="10" s="1"/>
  <c r="C778" i="10"/>
  <c r="D778" i="10" s="1"/>
  <c r="C698" i="10"/>
  <c r="D698" i="10" s="1"/>
  <c r="C638" i="10"/>
  <c r="D638" i="10" s="1"/>
  <c r="C604" i="10"/>
  <c r="D604" i="10" s="1"/>
  <c r="C580" i="10"/>
  <c r="D580" i="10" s="1"/>
  <c r="C561" i="10"/>
  <c r="D561" i="10" s="1"/>
  <c r="C537" i="10"/>
  <c r="D537" i="10" s="1"/>
  <c r="C500" i="10"/>
  <c r="D500" i="10" s="1"/>
  <c r="C462" i="10"/>
  <c r="D462" i="10" s="1"/>
  <c r="C444" i="10"/>
  <c r="D444" i="10" s="1"/>
  <c r="C419" i="10"/>
  <c r="D419" i="10" s="1"/>
  <c r="C389" i="10"/>
  <c r="D389" i="10" s="1"/>
  <c r="C357" i="10"/>
  <c r="D357" i="10" s="1"/>
  <c r="C722" i="10"/>
  <c r="D722" i="10" s="1"/>
  <c r="C605" i="10"/>
  <c r="D605" i="10" s="1"/>
  <c r="C614" i="10"/>
  <c r="D614" i="10" s="1"/>
  <c r="C733" i="10"/>
  <c r="D733" i="10" s="1"/>
  <c r="C507" i="10"/>
  <c r="D507" i="10" s="1"/>
  <c r="C221" i="10"/>
  <c r="D221" i="10" s="1"/>
  <c r="C277" i="10"/>
  <c r="D277" i="10" s="1"/>
  <c r="C834" i="10"/>
  <c r="D834" i="10" s="1"/>
  <c r="C135" i="10"/>
  <c r="D135" i="10" s="1"/>
  <c r="C971" i="10"/>
  <c r="D971" i="10" s="1"/>
  <c r="C131" i="10"/>
  <c r="D131" i="10" s="1"/>
  <c r="C830" i="10"/>
  <c r="D830" i="10" s="1"/>
  <c r="C183" i="10"/>
  <c r="D183" i="10" s="1"/>
  <c r="C525" i="10"/>
  <c r="D525" i="10" s="1"/>
  <c r="C689" i="10"/>
  <c r="D689" i="10" s="1"/>
  <c r="C227" i="10"/>
  <c r="D227" i="10" s="1"/>
  <c r="C867" i="10"/>
  <c r="D867" i="10" s="1"/>
  <c r="C898" i="10"/>
  <c r="D898" i="10" s="1"/>
  <c r="C953" i="10"/>
  <c r="D953" i="10" s="1"/>
  <c r="C81" i="10"/>
  <c r="D81" i="10" s="1"/>
  <c r="C450" i="10"/>
  <c r="D450" i="10" s="1"/>
  <c r="C819" i="10"/>
  <c r="D819" i="10" s="1"/>
  <c r="C911" i="10"/>
  <c r="D911" i="10" s="1"/>
  <c r="C423" i="10"/>
  <c r="D423" i="10" s="1"/>
  <c r="C97" i="10"/>
  <c r="D97" i="10" s="1"/>
  <c r="C212" i="10"/>
  <c r="D212" i="10" s="1"/>
  <c r="C143" i="10"/>
  <c r="D143" i="10" s="1"/>
  <c r="C817" i="10"/>
  <c r="D817" i="10" s="1"/>
  <c r="C886" i="10"/>
  <c r="D886" i="10" s="1"/>
  <c r="C175" i="10"/>
  <c r="D175" i="10" s="1"/>
  <c r="C593" i="10"/>
  <c r="D593" i="10" s="1"/>
  <c r="C804" i="10"/>
  <c r="D804" i="10" s="1"/>
  <c r="C759" i="10"/>
  <c r="D759" i="10" s="1"/>
  <c r="C692" i="10"/>
  <c r="D692" i="10" s="1"/>
  <c r="C634" i="10"/>
  <c r="D634" i="10" s="1"/>
  <c r="C607" i="10"/>
  <c r="D607" i="10" s="1"/>
  <c r="C586" i="10"/>
  <c r="D586" i="10" s="1"/>
  <c r="C567" i="10"/>
  <c r="D567" i="10" s="1"/>
  <c r="C546" i="10"/>
  <c r="D546" i="10" s="1"/>
  <c r="C527" i="10"/>
  <c r="D527" i="10" s="1"/>
  <c r="C503" i="10"/>
  <c r="D503" i="10" s="1"/>
  <c r="C482" i="10"/>
  <c r="D482" i="10" s="1"/>
  <c r="C764" i="10"/>
  <c r="D764" i="10" s="1"/>
  <c r="C679" i="10"/>
  <c r="D679" i="10" s="1"/>
  <c r="C626" i="10"/>
  <c r="D626" i="10" s="1"/>
  <c r="C581" i="10"/>
  <c r="D581" i="10" s="1"/>
  <c r="C549" i="10"/>
  <c r="D549" i="10" s="1"/>
  <c r="C524" i="10"/>
  <c r="D524" i="10" s="1"/>
  <c r="C496" i="10"/>
  <c r="D496" i="10" s="1"/>
  <c r="C469" i="10"/>
  <c r="D469" i="10" s="1"/>
  <c r="C448" i="10"/>
  <c r="D448" i="10" s="1"/>
  <c r="C429" i="10"/>
  <c r="D429" i="10" s="1"/>
  <c r="C402" i="10"/>
  <c r="D402" i="10" s="1"/>
  <c r="C392" i="10"/>
  <c r="D392" i="10" s="1"/>
  <c r="C380" i="10"/>
  <c r="D380" i="10" s="1"/>
  <c r="C370" i="10"/>
  <c r="D370" i="10" s="1"/>
  <c r="C360" i="10"/>
  <c r="D360" i="10" s="1"/>
  <c r="C348" i="10"/>
  <c r="D348" i="10" s="1"/>
  <c r="C338" i="10"/>
  <c r="D338" i="10" s="1"/>
  <c r="C328" i="10"/>
  <c r="D328" i="10" s="1"/>
  <c r="C316" i="10"/>
  <c r="D316" i="10" s="1"/>
  <c r="C308" i="10"/>
  <c r="D308" i="10" s="1"/>
  <c r="C298" i="10"/>
  <c r="D298" i="10" s="1"/>
  <c r="C286" i="10"/>
  <c r="D286" i="10" s="1"/>
  <c r="C276" i="10"/>
  <c r="D276" i="10" s="1"/>
  <c r="C266" i="10"/>
  <c r="D266" i="10" s="1"/>
  <c r="C254" i="10"/>
  <c r="D254" i="10" s="1"/>
  <c r="C820" i="10"/>
  <c r="D820" i="10" s="1"/>
  <c r="C711" i="10"/>
  <c r="D711" i="10" s="1"/>
  <c r="C630" i="10"/>
  <c r="D630" i="10" s="1"/>
  <c r="C590" i="10"/>
  <c r="D590" i="10" s="1"/>
  <c r="C566" i="10"/>
  <c r="D566" i="10" s="1"/>
  <c r="C533" i="10"/>
  <c r="D533" i="10" s="1"/>
  <c r="C476" i="10"/>
  <c r="D476" i="10" s="1"/>
  <c r="C447" i="10"/>
  <c r="D447" i="10" s="1"/>
  <c r="C413" i="10"/>
  <c r="D413" i="10" s="1"/>
  <c r="C373" i="10"/>
  <c r="D373" i="10" s="1"/>
  <c r="C740" i="10"/>
  <c r="D740" i="10" s="1"/>
  <c r="C598" i="10"/>
  <c r="D598" i="10" s="1"/>
  <c r="C548" i="10"/>
  <c r="D548" i="10" s="1"/>
  <c r="C516" i="10"/>
  <c r="D516" i="10" s="1"/>
  <c r="C484" i="10"/>
  <c r="D484" i="10" s="1"/>
  <c r="C459" i="10"/>
  <c r="D459" i="10" s="1"/>
  <c r="C435" i="10"/>
  <c r="D435" i="10" s="1"/>
  <c r="C391" i="10"/>
  <c r="D391" i="10" s="1"/>
  <c r="C353" i="10"/>
  <c r="D353" i="10" s="1"/>
  <c r="C321" i="10"/>
  <c r="D321" i="10" s="1"/>
  <c r="C289" i="10"/>
  <c r="D289" i="10" s="1"/>
  <c r="C265" i="10"/>
  <c r="D265" i="10" s="1"/>
  <c r="C242" i="10"/>
  <c r="D242" i="10" s="1"/>
  <c r="C234" i="10"/>
  <c r="D234" i="10" s="1"/>
  <c r="C226" i="10"/>
  <c r="D226" i="10" s="1"/>
  <c r="C218" i="10"/>
  <c r="D218" i="10" s="1"/>
  <c r="C182" i="10"/>
  <c r="D182" i="10" s="1"/>
  <c r="C198" i="10"/>
  <c r="D198" i="10" s="1"/>
  <c r="C214" i="10"/>
  <c r="D214" i="10" s="1"/>
  <c r="C36" i="10"/>
  <c r="D36" i="10" s="1"/>
  <c r="C44" i="10"/>
  <c r="D44" i="10" s="1"/>
  <c r="C52" i="10"/>
  <c r="D52" i="10" s="1"/>
  <c r="C60" i="10"/>
  <c r="D60" i="10" s="1"/>
  <c r="C741" i="10"/>
  <c r="D741" i="10" s="1"/>
  <c r="C798" i="10"/>
  <c r="D798" i="10" s="1"/>
  <c r="C474" i="10"/>
  <c r="D474" i="10" s="1"/>
  <c r="C385" i="10"/>
  <c r="D385" i="10" s="1"/>
  <c r="C192" i="10"/>
  <c r="D192" i="10" s="1"/>
  <c r="C159" i="10"/>
  <c r="D159" i="10" s="1"/>
  <c r="C968" i="10"/>
  <c r="D968" i="10" s="1"/>
  <c r="C155" i="10"/>
  <c r="D155" i="10" s="1"/>
  <c r="C788" i="10"/>
  <c r="D788" i="10" s="1"/>
  <c r="C751" i="10"/>
  <c r="D751" i="10" s="1"/>
  <c r="C663" i="10"/>
  <c r="D663" i="10" s="1"/>
  <c r="C628" i="10"/>
  <c r="D628" i="10" s="1"/>
  <c r="C602" i="10"/>
  <c r="D602" i="10" s="1"/>
  <c r="C578" i="10"/>
  <c r="D578" i="10" s="1"/>
  <c r="C562" i="10"/>
  <c r="D562" i="10" s="1"/>
  <c r="C543" i="10"/>
  <c r="D543" i="10" s="1"/>
  <c r="C519" i="10"/>
  <c r="D519" i="10" s="1"/>
  <c r="C498" i="10"/>
  <c r="D498" i="10" s="1"/>
  <c r="C479" i="10"/>
  <c r="D479" i="10" s="1"/>
  <c r="C743" i="10"/>
  <c r="D743" i="10" s="1"/>
  <c r="C654" i="10"/>
  <c r="D654" i="10" s="1"/>
  <c r="C606" i="10"/>
  <c r="D606" i="10" s="1"/>
  <c r="C574" i="10"/>
  <c r="D574" i="10" s="1"/>
  <c r="C545" i="10"/>
  <c r="D545" i="10" s="1"/>
  <c r="C517" i="10"/>
  <c r="D517" i="10" s="1"/>
  <c r="C485" i="10"/>
  <c r="D485" i="10" s="1"/>
  <c r="C464" i="10"/>
  <c r="D464" i="10" s="1"/>
  <c r="C445" i="10"/>
  <c r="D445" i="10" s="1"/>
  <c r="C421" i="10"/>
  <c r="D421" i="10" s="1"/>
  <c r="C410" i="10"/>
  <c r="D410" i="10" s="1"/>
  <c r="C400" i="10"/>
  <c r="D400" i="10" s="1"/>
  <c r="C388" i="10"/>
  <c r="D388" i="10" s="1"/>
  <c r="C378" i="10"/>
  <c r="D378" i="10" s="1"/>
  <c r="C368" i="10"/>
  <c r="D368" i="10" s="1"/>
  <c r="C356" i="10"/>
  <c r="D356" i="10" s="1"/>
  <c r="C346" i="10"/>
  <c r="D346" i="10" s="1"/>
  <c r="C336" i="10"/>
  <c r="D336" i="10" s="1"/>
  <c r="C324" i="10"/>
  <c r="D324" i="10" s="1"/>
  <c r="C306" i="10"/>
  <c r="D306" i="10" s="1"/>
  <c r="C294" i="10"/>
  <c r="D294" i="10" s="1"/>
  <c r="C284" i="10"/>
  <c r="D284" i="10" s="1"/>
  <c r="C274" i="10"/>
  <c r="D274" i="10" s="1"/>
  <c r="C262" i="10"/>
  <c r="D262" i="10" s="1"/>
  <c r="C252" i="10"/>
  <c r="D252" i="10" s="1"/>
  <c r="C794" i="10"/>
  <c r="D794" i="10" s="1"/>
  <c r="C687" i="10"/>
  <c r="D687" i="10" s="1"/>
  <c r="C620" i="10"/>
  <c r="D620" i="10" s="1"/>
  <c r="C585" i="10"/>
  <c r="D585" i="10" s="1"/>
  <c r="C557" i="10"/>
  <c r="D557" i="10" s="1"/>
  <c r="C523" i="10"/>
  <c r="D523" i="10" s="1"/>
  <c r="C465" i="10"/>
  <c r="D465" i="10" s="1"/>
  <c r="C433" i="10"/>
  <c r="D433" i="10" s="1"/>
  <c r="C405" i="10"/>
  <c r="D405" i="10" s="1"/>
  <c r="C365" i="10"/>
  <c r="D365" i="10" s="1"/>
  <c r="C706" i="10"/>
  <c r="D706" i="10" s="1"/>
  <c r="C579" i="10"/>
  <c r="D579" i="10" s="1"/>
  <c r="C541" i="10"/>
  <c r="D541" i="10" s="1"/>
  <c r="C504" i="10"/>
  <c r="D504" i="10" s="1"/>
  <c r="C473" i="10"/>
  <c r="D473" i="10" s="1"/>
  <c r="C454" i="10"/>
  <c r="D454" i="10" s="1"/>
  <c r="C425" i="10"/>
  <c r="D425" i="10" s="1"/>
  <c r="C377" i="10"/>
  <c r="D377" i="10" s="1"/>
  <c r="C345" i="10"/>
  <c r="D345" i="10" s="1"/>
  <c r="C313" i="10"/>
  <c r="D313" i="10" s="1"/>
  <c r="C257" i="10"/>
  <c r="D257" i="10" s="1"/>
  <c r="C240" i="10"/>
  <c r="D240" i="10" s="1"/>
  <c r="C232" i="10"/>
  <c r="D232" i="10" s="1"/>
  <c r="C224" i="10"/>
  <c r="D224" i="10" s="1"/>
  <c r="C170" i="10"/>
  <c r="D170" i="10" s="1"/>
  <c r="C186" i="10"/>
  <c r="D186" i="10" s="1"/>
  <c r="C202" i="10"/>
  <c r="D202" i="10" s="1"/>
  <c r="C30" i="10"/>
  <c r="D30" i="10" s="1"/>
  <c r="C38" i="10"/>
  <c r="D38" i="10" s="1"/>
  <c r="C46" i="10"/>
  <c r="D46" i="10" s="1"/>
  <c r="C54" i="10"/>
  <c r="D54" i="10" s="1"/>
  <c r="C62" i="10"/>
  <c r="D62" i="10" s="1"/>
  <c r="C70" i="10"/>
  <c r="D70" i="10" s="1"/>
  <c r="C78" i="10"/>
  <c r="D78" i="10" s="1"/>
  <c r="C86" i="10"/>
  <c r="D86" i="10" s="1"/>
  <c r="C94" i="10"/>
  <c r="D94" i="10" s="1"/>
  <c r="C102" i="10"/>
  <c r="D102" i="10" s="1"/>
  <c r="C613" i="10"/>
  <c r="D613" i="10" s="1"/>
  <c r="C621" i="10"/>
  <c r="D621" i="10"/>
  <c r="C629" i="10"/>
  <c r="D629" i="10" s="1"/>
  <c r="C637" i="10"/>
  <c r="D637" i="10"/>
  <c r="C645" i="10"/>
  <c r="D645" i="10" s="1"/>
  <c r="C653" i="10"/>
  <c r="D653" i="10" s="1"/>
  <c r="C662" i="10"/>
  <c r="D662" i="10" s="1"/>
  <c r="C675" i="10"/>
  <c r="D675" i="10" s="1"/>
  <c r="C683" i="10"/>
  <c r="D683" i="10" s="1"/>
  <c r="C694" i="10"/>
  <c r="D694" i="10"/>
  <c r="C704" i="10"/>
  <c r="D704" i="10" s="1"/>
  <c r="C712" i="10"/>
  <c r="D712" i="10"/>
  <c r="C731" i="10"/>
  <c r="D731" i="10" s="1"/>
  <c r="C739" i="10"/>
  <c r="D739" i="10" s="1"/>
  <c r="C750" i="10"/>
  <c r="D750" i="10" s="1"/>
  <c r="C760" i="10"/>
  <c r="D760" i="10" s="1"/>
  <c r="C771" i="10"/>
  <c r="D771" i="10" s="1"/>
  <c r="C779" i="10"/>
  <c r="D779" i="10" s="1"/>
  <c r="C791" i="10"/>
  <c r="D791" i="10"/>
  <c r="C812" i="10"/>
  <c r="D812" i="10" s="1"/>
  <c r="C716" i="10"/>
  <c r="D716" i="10" s="1"/>
  <c r="C584" i="10"/>
  <c r="D584" i="10" s="1"/>
  <c r="C483" i="10"/>
  <c r="D483" i="10" s="1"/>
  <c r="C418" i="10"/>
  <c r="D418" i="10" s="1"/>
  <c r="C331" i="10"/>
  <c r="D331" i="10" s="1"/>
  <c r="C253" i="10"/>
  <c r="D253" i="10" s="1"/>
  <c r="C35" i="10"/>
  <c r="D35" i="10"/>
  <c r="C99" i="10"/>
  <c r="D99" i="10" s="1"/>
  <c r="C916" i="10"/>
  <c r="D916" i="10" s="1"/>
  <c r="C793" i="10"/>
  <c r="D793" i="10" s="1"/>
  <c r="C665" i="10"/>
  <c r="D665" i="10" s="1"/>
  <c r="C954" i="10"/>
  <c r="D954" i="10" s="1"/>
  <c r="C906" i="10"/>
  <c r="D906" i="10" s="1"/>
  <c r="C837" i="10"/>
  <c r="D837" i="10"/>
  <c r="C958" i="10"/>
  <c r="D958" i="10" s="1"/>
  <c r="C910" i="10"/>
  <c r="D910" i="10" s="1"/>
  <c r="C843" i="10"/>
  <c r="D843" i="10" s="1"/>
  <c r="C795" i="10"/>
  <c r="D795" i="10" s="1"/>
  <c r="C893" i="10"/>
  <c r="D893" i="10" s="1"/>
  <c r="C765" i="10"/>
  <c r="D765" i="10" s="1"/>
  <c r="C810" i="10"/>
  <c r="D810" i="10" s="1"/>
  <c r="C565" i="10"/>
  <c r="D565" i="10"/>
  <c r="C467" i="10"/>
  <c r="D467" i="10" s="1"/>
  <c r="C417" i="10"/>
  <c r="D417" i="10" s="1"/>
  <c r="C369" i="10"/>
  <c r="D369" i="10" s="1"/>
  <c r="C259" i="10"/>
  <c r="D259" i="10" s="1"/>
  <c r="C57" i="10"/>
  <c r="D57" i="10" s="1"/>
  <c r="C117" i="10"/>
  <c r="D117" i="10" s="1"/>
  <c r="C133" i="10"/>
  <c r="D133" i="10"/>
  <c r="C149" i="10"/>
  <c r="D149" i="10" s="1"/>
  <c r="C165" i="10"/>
  <c r="D165" i="10"/>
  <c r="C187" i="10"/>
  <c r="D187" i="10" s="1"/>
  <c r="K70" i="5"/>
  <c r="K70" i="32" s="1"/>
  <c r="C932" i="10"/>
  <c r="D932" i="10"/>
  <c r="C884" i="10"/>
  <c r="D884" i="10" s="1"/>
  <c r="C992" i="10"/>
  <c r="D992" i="10" s="1"/>
  <c r="C936" i="10"/>
  <c r="D936" i="10"/>
  <c r="C888" i="10"/>
  <c r="D888" i="10" s="1"/>
  <c r="C839" i="10"/>
  <c r="D839" i="10"/>
  <c r="C792" i="10"/>
  <c r="D792" i="10" s="1"/>
  <c r="C745" i="10"/>
  <c r="D745" i="10" s="1"/>
  <c r="C853" i="10"/>
  <c r="D853" i="10" s="1"/>
  <c r="C919" i="10"/>
  <c r="D919" i="10"/>
  <c r="C981" i="10"/>
  <c r="D981" i="10" s="1"/>
  <c r="C205" i="10"/>
  <c r="D205" i="10"/>
  <c r="C193" i="10"/>
  <c r="D193" i="10" s="1"/>
  <c r="C177" i="10"/>
  <c r="D177" i="10"/>
  <c r="C164" i="10"/>
  <c r="D164" i="10" s="1"/>
  <c r="C156" i="10"/>
  <c r="D156" i="10" s="1"/>
  <c r="C148" i="10"/>
  <c r="D148" i="10" s="1"/>
  <c r="C140" i="10"/>
  <c r="D140" i="10" s="1"/>
  <c r="C132" i="10"/>
  <c r="D132" i="10" s="1"/>
  <c r="C124" i="10"/>
  <c r="D124" i="10" s="1"/>
  <c r="C110" i="10"/>
  <c r="D110" i="10"/>
  <c r="C101" i="10"/>
  <c r="D101" i="10" s="1"/>
  <c r="C69" i="10"/>
  <c r="D69" i="10" s="1"/>
  <c r="C200" i="10"/>
  <c r="D200" i="10" s="1"/>
  <c r="C233" i="10"/>
  <c r="D233" i="10" s="1"/>
  <c r="C275" i="10"/>
  <c r="D275" i="10" s="1"/>
  <c r="C311" i="10"/>
  <c r="D311" i="10" s="1"/>
  <c r="C367" i="10"/>
  <c r="D367" i="10"/>
  <c r="C452" i="10"/>
  <c r="D452" i="10" s="1"/>
  <c r="C502" i="10"/>
  <c r="D502" i="10"/>
  <c r="C569" i="10"/>
  <c r="D569" i="10" s="1"/>
  <c r="C616" i="10"/>
  <c r="D616" i="10" s="1"/>
  <c r="C719" i="10"/>
  <c r="D719" i="10" s="1"/>
  <c r="C986" i="10"/>
  <c r="D986" i="10" s="1"/>
  <c r="C814" i="10"/>
  <c r="D814" i="10" s="1"/>
  <c r="C856" i="10"/>
  <c r="D856" i="10"/>
  <c r="C899" i="10"/>
  <c r="D899" i="10" s="1"/>
  <c r="C942" i="10"/>
  <c r="D942" i="10" s="1"/>
  <c r="C984" i="10"/>
  <c r="D984" i="10" s="1"/>
  <c r="C852" i="10"/>
  <c r="D852" i="10" s="1"/>
  <c r="C895" i="10"/>
  <c r="D895" i="10" s="1"/>
  <c r="C938" i="10"/>
  <c r="D938" i="10"/>
  <c r="C980" i="10"/>
  <c r="D980" i="10" s="1"/>
  <c r="C705" i="10"/>
  <c r="D705" i="10" s="1"/>
  <c r="C769" i="10"/>
  <c r="D769" i="10"/>
  <c r="C833" i="10"/>
  <c r="D833" i="10" s="1"/>
  <c r="C897" i="10"/>
  <c r="D897" i="10" s="1"/>
  <c r="C961" i="10"/>
  <c r="D961" i="10" s="1"/>
  <c r="C95" i="10"/>
  <c r="D95" i="10" s="1"/>
  <c r="C63" i="10"/>
  <c r="D63" i="10" s="1"/>
  <c r="C31" i="10"/>
  <c r="D31" i="10" s="1"/>
  <c r="C223" i="10"/>
  <c r="D223" i="10" s="1"/>
  <c r="C255" i="10"/>
  <c r="D255" i="10" s="1"/>
  <c r="C301" i="10"/>
  <c r="D301" i="10"/>
  <c r="C347" i="10"/>
  <c r="D347" i="10" s="1"/>
  <c r="C411" i="10"/>
  <c r="D411" i="10"/>
  <c r="C434" i="10"/>
  <c r="D434" i="10" s="1"/>
  <c r="C471" i="10"/>
  <c r="D471" i="10" s="1"/>
  <c r="C521" i="10"/>
  <c r="D521" i="10" s="1"/>
  <c r="C572" i="10"/>
  <c r="D572" i="10"/>
  <c r="C636" i="10"/>
  <c r="D636" i="10" s="1"/>
  <c r="C100" i="10"/>
  <c r="D100" i="10"/>
  <c r="C90" i="10"/>
  <c r="D90" i="10" s="1"/>
  <c r="C80" i="10"/>
  <c r="D80" i="10" s="1"/>
  <c r="C68" i="10"/>
  <c r="D68" i="10" s="1"/>
  <c r="C56" i="10"/>
  <c r="D56" i="10" s="1"/>
  <c r="C40" i="10"/>
  <c r="D40" i="10" s="1"/>
  <c r="C206" i="10"/>
  <c r="D206" i="10"/>
  <c r="C174" i="10"/>
  <c r="D174" i="10" s="1"/>
  <c r="C230" i="10"/>
  <c r="D230" i="10" s="1"/>
  <c r="C249" i="10"/>
  <c r="D249" i="10" s="1"/>
  <c r="C305" i="10"/>
  <c r="D305" i="10" s="1"/>
  <c r="C363" i="10"/>
  <c r="D363" i="10" s="1"/>
  <c r="C449" i="10"/>
  <c r="D449" i="10" s="1"/>
  <c r="C497" i="10"/>
  <c r="D497" i="10" s="1"/>
  <c r="C573" i="10"/>
  <c r="D573" i="10"/>
  <c r="C799" i="10"/>
  <c r="D799" i="10" s="1"/>
  <c r="C430" i="10"/>
  <c r="D430" i="10" s="1"/>
  <c r="C509" i="10"/>
  <c r="D509" i="10" s="1"/>
  <c r="C576" i="10"/>
  <c r="D576" i="10" s="1"/>
  <c r="C673" i="10"/>
  <c r="D673" i="10" s="1"/>
  <c r="C250" i="10"/>
  <c r="D250" i="10" s="1"/>
  <c r="C270" i="10"/>
  <c r="D270" i="10" s="1"/>
  <c r="C292" i="10"/>
  <c r="D292" i="10" s="1"/>
  <c r="C314" i="10"/>
  <c r="D314" i="10"/>
  <c r="C332" i="10"/>
  <c r="D332" i="10" s="1"/>
  <c r="C354" i="10"/>
  <c r="D354" i="10" s="1"/>
  <c r="C376" i="10"/>
  <c r="D376" i="10" s="1"/>
  <c r="C396" i="10"/>
  <c r="D396" i="10" s="1"/>
  <c r="C416" i="10"/>
  <c r="D416" i="10" s="1"/>
  <c r="C461" i="10"/>
  <c r="D461" i="10" s="1"/>
  <c r="C510" i="10"/>
  <c r="D510" i="10"/>
  <c r="C563" i="10"/>
  <c r="D563" i="10" s="1"/>
  <c r="C648" i="10"/>
  <c r="D648" i="10" s="1"/>
  <c r="C783" i="10"/>
  <c r="D783" i="10" s="1"/>
  <c r="C514" i="10"/>
  <c r="D514" i="10" s="1"/>
  <c r="C559" i="10"/>
  <c r="D559" i="10" s="1"/>
  <c r="C594" i="10"/>
  <c r="D594" i="10" s="1"/>
  <c r="C656" i="10"/>
  <c r="D656" i="10" s="1"/>
  <c r="C780" i="10"/>
  <c r="D780" i="10" s="1"/>
  <c r="C237" i="10"/>
  <c r="D237" i="10"/>
  <c r="C335" i="10"/>
  <c r="D335" i="10" s="1"/>
  <c r="C987" i="10"/>
  <c r="D987" i="10" s="1"/>
  <c r="C882" i="10"/>
  <c r="D882" i="10"/>
  <c r="C950" i="10"/>
  <c r="D950" i="10" s="1"/>
  <c r="O72" i="5"/>
  <c r="K72" i="5"/>
  <c r="K72" i="32" s="1"/>
  <c r="N76" i="5"/>
  <c r="N76" i="32" s="1"/>
  <c r="N72" i="5"/>
  <c r="N72" i="32" s="1"/>
  <c r="I76" i="5"/>
  <c r="I76" i="32" s="1"/>
  <c r="M63" i="5"/>
  <c r="M63" i="32" s="1"/>
  <c r="H78" i="5"/>
  <c r="H78" i="32" s="1"/>
  <c r="M72" i="5"/>
  <c r="M72" i="32" s="1"/>
  <c r="K77" i="5"/>
  <c r="K77" i="32"/>
  <c r="G63" i="5"/>
  <c r="G63" i="32" s="1"/>
  <c r="K63" i="5"/>
  <c r="K63" i="32" s="1"/>
  <c r="H75" i="5"/>
  <c r="C64" i="5"/>
  <c r="C64" i="32" s="1"/>
  <c r="F71" i="5"/>
  <c r="F71" i="32" s="1"/>
  <c r="L76" i="5"/>
  <c r="L76" i="32"/>
  <c r="M78" i="5"/>
  <c r="M78" i="32" s="1"/>
  <c r="F77" i="5"/>
  <c r="F77" i="32" s="1"/>
  <c r="D62" i="5"/>
  <c r="D62" i="32" s="1"/>
  <c r="F70" i="5"/>
  <c r="F70" i="32" s="1"/>
  <c r="I71" i="5"/>
  <c r="I71" i="32" s="1"/>
  <c r="J75" i="5"/>
  <c r="N78" i="5"/>
  <c r="N78" i="32" s="1"/>
  <c r="L78" i="5"/>
  <c r="L78" i="32" s="1"/>
  <c r="J71" i="5"/>
  <c r="J71" i="32" s="1"/>
  <c r="J70" i="5"/>
  <c r="J70" i="32" s="1"/>
  <c r="G64" i="5"/>
  <c r="G64" i="32" s="1"/>
  <c r="M76" i="5"/>
  <c r="M76" i="32" s="1"/>
  <c r="M77" i="5"/>
  <c r="M77" i="32"/>
  <c r="H62" i="5"/>
  <c r="H62" i="32" s="1"/>
  <c r="O64" i="5"/>
  <c r="E72" i="5"/>
  <c r="E72" i="32" s="1"/>
  <c r="E77" i="5"/>
  <c r="E77" i="32"/>
  <c r="G72" i="5"/>
  <c r="G72" i="32" s="1"/>
  <c r="L72" i="5"/>
  <c r="L72" i="32" s="1"/>
  <c r="E71" i="5"/>
  <c r="E71" i="32" s="1"/>
  <c r="L77" i="5"/>
  <c r="L77" i="32" s="1"/>
  <c r="H70" i="5"/>
  <c r="E63" i="5"/>
  <c r="E63" i="32" s="1"/>
  <c r="H76" i="5"/>
  <c r="H76" i="32" s="1"/>
  <c r="I69" i="5"/>
  <c r="C62" i="5"/>
  <c r="C62" i="32" s="1"/>
  <c r="C71" i="5"/>
  <c r="C71" i="32" s="1"/>
  <c r="F75" i="5"/>
  <c r="F75" i="32" s="1"/>
  <c r="O71" i="5"/>
  <c r="L63" i="5"/>
  <c r="L63" i="32" s="1"/>
  <c r="I77" i="5"/>
  <c r="I77" i="32" s="1"/>
  <c r="E62" i="5"/>
  <c r="E62" i="32" s="1"/>
  <c r="D70" i="5"/>
  <c r="D70" i="32" s="1"/>
  <c r="N77" i="5"/>
  <c r="E69" i="5"/>
  <c r="E69" i="32" s="1"/>
  <c r="M62" i="5"/>
  <c r="M62" i="32" s="1"/>
  <c r="F64" i="5"/>
  <c r="F64" i="32" s="1"/>
  <c r="N71" i="5"/>
  <c r="N71" i="32" s="1"/>
  <c r="K64" i="5"/>
  <c r="K64" i="32" s="1"/>
  <c r="N70" i="5"/>
  <c r="N70" i="32" s="1"/>
  <c r="M69" i="5"/>
  <c r="M69" i="32" s="1"/>
  <c r="D63" i="5"/>
  <c r="D63" i="32" s="1"/>
  <c r="K76" i="5"/>
  <c r="K76" i="32" s="1"/>
  <c r="D78" i="5"/>
  <c r="D78" i="32" s="1"/>
  <c r="F63" i="5"/>
  <c r="F63" i="32" s="1"/>
  <c r="C72" i="5"/>
  <c r="C72" i="32" s="1"/>
  <c r="F72" i="5"/>
  <c r="F72" i="32" s="1"/>
  <c r="L69" i="5"/>
  <c r="O77" i="5"/>
  <c r="J69" i="5"/>
  <c r="I70" i="5"/>
  <c r="I70" i="32"/>
  <c r="L62" i="5"/>
  <c r="L62" i="32" s="1"/>
  <c r="I72" i="5"/>
  <c r="I72" i="32" s="1"/>
  <c r="D72" i="5"/>
  <c r="D72" i="32" s="1"/>
  <c r="L71" i="5"/>
  <c r="L71" i="32" s="1"/>
  <c r="I63" i="5"/>
  <c r="I63" i="32"/>
  <c r="E70" i="5"/>
  <c r="C78" i="5"/>
  <c r="C78" i="32" s="1"/>
  <c r="N75" i="5"/>
  <c r="G76" i="5"/>
  <c r="G76" i="32" s="1"/>
  <c r="J64" i="5"/>
  <c r="J64" i="32" s="1"/>
  <c r="O63" i="5"/>
  <c r="H72" i="5"/>
  <c r="H72" i="32" s="1"/>
  <c r="L75" i="5"/>
  <c r="L75" i="32" s="1"/>
  <c r="L79" i="32" s="1"/>
  <c r="H71" i="5"/>
  <c r="H71" i="32" s="1"/>
  <c r="N64" i="5"/>
  <c r="N64" i="32" s="1"/>
  <c r="E64" i="5"/>
  <c r="E64" i="32"/>
  <c r="D76" i="5"/>
  <c r="D76" i="32" s="1"/>
  <c r="I78" i="5"/>
  <c r="I78" i="32"/>
  <c r="L64" i="5"/>
  <c r="L64" i="32" s="1"/>
  <c r="F62" i="5"/>
  <c r="F62" i="32" s="1"/>
  <c r="K71" i="5"/>
  <c r="K71" i="32"/>
  <c r="I64" i="5"/>
  <c r="I64" i="32" s="1"/>
  <c r="D75" i="5"/>
  <c r="D75" i="32" s="1"/>
  <c r="D79" i="32" s="1"/>
  <c r="D69" i="5"/>
  <c r="D69" i="32" s="1"/>
  <c r="D73" i="32" s="1"/>
  <c r="G77" i="5"/>
  <c r="G77" i="32" s="1"/>
  <c r="O78" i="5"/>
  <c r="N69" i="5"/>
  <c r="O62" i="5"/>
  <c r="M64" i="5"/>
  <c r="M64" i="32"/>
  <c r="J78" i="5"/>
  <c r="J78" i="32" s="1"/>
  <c r="N63" i="5"/>
  <c r="N63" i="32" s="1"/>
  <c r="G71" i="5"/>
  <c r="G71" i="32" s="1"/>
  <c r="M70" i="5"/>
  <c r="M70" i="32" s="1"/>
  <c r="J76" i="5"/>
  <c r="J76" i="32" s="1"/>
  <c r="N62" i="5"/>
  <c r="N62" i="32" s="1"/>
  <c r="G70" i="5"/>
  <c r="G70" i="32"/>
  <c r="K75" i="5"/>
  <c r="K75" i="32" s="1"/>
  <c r="D64" i="5"/>
  <c r="D64" i="32" s="1"/>
  <c r="G62" i="5"/>
  <c r="G62" i="32" s="1"/>
  <c r="E75" i="5"/>
  <c r="M71" i="5"/>
  <c r="D71" i="5"/>
  <c r="D71" i="32" s="1"/>
  <c r="E78" i="5"/>
  <c r="E78" i="32" s="1"/>
  <c r="J77" i="5"/>
  <c r="G78" i="5"/>
  <c r="G78" i="32" s="1"/>
  <c r="G69" i="5"/>
  <c r="G69" i="32" s="1"/>
  <c r="H64" i="5"/>
  <c r="H64" i="32" s="1"/>
  <c r="J63" i="5"/>
  <c r="J63" i="32"/>
  <c r="C76" i="5"/>
  <c r="C76" i="32" s="1"/>
  <c r="C77" i="5"/>
  <c r="C77" i="32" s="1"/>
  <c r="J62" i="5"/>
  <c r="J62" i="32" s="1"/>
  <c r="C63" i="5"/>
  <c r="C63" i="32" s="1"/>
  <c r="C69" i="5"/>
  <c r="H77" i="5"/>
  <c r="H77" i="32"/>
  <c r="O70" i="5"/>
  <c r="F76" i="5"/>
  <c r="F76" i="32" s="1"/>
  <c r="E76" i="5"/>
  <c r="E76" i="32" s="1"/>
  <c r="K78" i="5"/>
  <c r="K78" i="32" s="1"/>
  <c r="J72" i="5"/>
  <c r="J72" i="32" s="1"/>
  <c r="M75" i="5"/>
  <c r="H69" i="5"/>
  <c r="H69" i="32" s="1"/>
  <c r="H63" i="5"/>
  <c r="H63" i="32" s="1"/>
  <c r="D77" i="5"/>
  <c r="D77" i="32" s="1"/>
  <c r="F78" i="5"/>
  <c r="F78" i="32" s="1"/>
  <c r="O76" i="5"/>
  <c r="D1" i="21"/>
  <c r="B2" i="5"/>
  <c r="B2" i="32"/>
  <c r="C526" i="10"/>
  <c r="D526" i="10" s="1"/>
  <c r="C375" i="10"/>
  <c r="D375" i="10"/>
  <c r="C33" i="10"/>
  <c r="D33" i="10" s="1"/>
  <c r="C123" i="10"/>
  <c r="D123" i="10" s="1"/>
  <c r="C207" i="10"/>
  <c r="D207" i="10" s="1"/>
  <c r="C825" i="10"/>
  <c r="D825" i="10"/>
  <c r="C975" i="10"/>
  <c r="D975" i="10" s="1"/>
  <c r="C871" i="10"/>
  <c r="D871" i="10"/>
  <c r="C939" i="10"/>
  <c r="D939" i="10" s="1"/>
  <c r="C840" i="10"/>
  <c r="D840" i="10"/>
  <c r="C489" i="10"/>
  <c r="D489" i="10" s="1"/>
  <c r="C43" i="10"/>
  <c r="D43" i="10" s="1"/>
  <c r="C215" i="10"/>
  <c r="D215" i="10" s="1"/>
  <c r="C27" i="10"/>
  <c r="D27" i="10" s="1"/>
  <c r="C864" i="10"/>
  <c r="D864" i="10" s="1"/>
  <c r="C438" i="10"/>
  <c r="D438" i="10"/>
  <c r="C65" i="10"/>
  <c r="D65" i="10" s="1"/>
  <c r="C967" i="10"/>
  <c r="D967" i="10"/>
  <c r="C931" i="10"/>
  <c r="D931" i="10" s="1"/>
  <c r="C735" i="10"/>
  <c r="D735" i="10" s="1"/>
  <c r="C327" i="10"/>
  <c r="D327" i="10" s="1"/>
  <c r="C163" i="10"/>
  <c r="D163" i="10"/>
  <c r="C956" i="10"/>
  <c r="D956" i="10" s="1"/>
  <c r="C816" i="10"/>
  <c r="D816" i="10"/>
  <c r="C383" i="10"/>
  <c r="D383" i="10" s="1"/>
  <c r="C167" i="10"/>
  <c r="D167" i="10"/>
  <c r="C991" i="10"/>
  <c r="D991" i="10" s="1"/>
  <c r="C952" i="10"/>
  <c r="D952" i="10" s="1"/>
  <c r="C75" i="10"/>
  <c r="D75" i="10" s="1"/>
  <c r="C927" i="10"/>
  <c r="D927" i="10" s="1"/>
  <c r="C508" i="10"/>
  <c r="D508" i="10" s="1"/>
  <c r="C191" i="10"/>
  <c r="D191" i="10"/>
  <c r="C979" i="10"/>
  <c r="D979" i="10" s="1"/>
  <c r="C199" i="10"/>
  <c r="D199" i="10"/>
  <c r="C436" i="10"/>
  <c r="D436" i="10" s="1"/>
  <c r="C920" i="10"/>
  <c r="D920" i="10" s="1"/>
  <c r="C285" i="10"/>
  <c r="D285" i="10" s="1"/>
  <c r="C119" i="10"/>
  <c r="D119" i="10"/>
  <c r="C147" i="10"/>
  <c r="D147" i="10" s="1"/>
  <c r="C493" i="10"/>
  <c r="D493" i="10"/>
  <c r="C341" i="10"/>
  <c r="D341" i="10" s="1"/>
  <c r="C59" i="10"/>
  <c r="D59" i="10"/>
  <c r="C139" i="10"/>
  <c r="D139" i="10" s="1"/>
  <c r="C28" i="10"/>
  <c r="D28" i="10" s="1"/>
  <c r="C761" i="10"/>
  <c r="D761" i="10" s="1"/>
  <c r="C948" i="10"/>
  <c r="D948" i="10" s="1"/>
  <c r="C850" i="10"/>
  <c r="D850" i="10" s="1"/>
  <c r="C915" i="10"/>
  <c r="D915" i="10"/>
  <c r="C808" i="10"/>
  <c r="D808" i="10" s="1"/>
  <c r="C393" i="10"/>
  <c r="D393" i="10" s="1"/>
  <c r="C91" i="10"/>
  <c r="D91" i="10" s="1"/>
  <c r="C945" i="10"/>
  <c r="D945" i="10" s="1"/>
  <c r="C842" i="10"/>
  <c r="D842" i="10" s="1"/>
  <c r="C800" i="10"/>
  <c r="D800" i="10" s="1"/>
  <c r="C291" i="10"/>
  <c r="D291" i="10" s="1"/>
  <c r="C111" i="10"/>
  <c r="D111" i="10" s="1"/>
  <c r="C881" i="10"/>
  <c r="D881" i="10" s="1"/>
  <c r="C946" i="10"/>
  <c r="D946" i="10" s="1"/>
  <c r="C883" i="10"/>
  <c r="D883" i="10" s="1"/>
  <c r="C544" i="10"/>
  <c r="D544" i="10" s="1"/>
  <c r="C243" i="10"/>
  <c r="D243" i="10" s="1"/>
  <c r="C933" i="10"/>
  <c r="D933" i="10"/>
  <c r="C900" i="10"/>
  <c r="D900" i="10" s="1"/>
  <c r="C732" i="10"/>
  <c r="D732" i="10"/>
  <c r="C299" i="10"/>
  <c r="D299" i="10" s="1"/>
  <c r="C924" i="10"/>
  <c r="D924" i="10" s="1"/>
  <c r="C935" i="10"/>
  <c r="D935" i="10" s="1"/>
  <c r="C902" i="10"/>
  <c r="D902" i="10"/>
  <c r="C608" i="10"/>
  <c r="D608" i="10" s="1"/>
  <c r="C151" i="10"/>
  <c r="D151" i="10" s="1"/>
  <c r="C826" i="10"/>
  <c r="D826" i="10" s="1"/>
  <c r="C355" i="10"/>
  <c r="D355" i="10" s="1"/>
  <c r="C997" i="10"/>
  <c r="D997" i="10" s="1"/>
  <c r="C875" i="10"/>
  <c r="D875" i="10" s="1"/>
  <c r="C869" i="10"/>
  <c r="D869" i="10" s="1"/>
  <c r="C49" i="10"/>
  <c r="D49" i="10" s="1"/>
  <c r="C349" i="10"/>
  <c r="D349" i="10" s="1"/>
  <c r="C879" i="10"/>
  <c r="D879" i="10" s="1"/>
  <c r="C989" i="10"/>
  <c r="D989" i="10" s="1"/>
  <c r="N75" i="32"/>
  <c r="C99" i="32"/>
  <c r="K69" i="32"/>
  <c r="L69" i="32"/>
  <c r="L73" i="5"/>
  <c r="J75" i="32"/>
  <c r="J73" i="5"/>
  <c r="J69" i="32"/>
  <c r="J73" i="32" s="1"/>
  <c r="M79" i="5"/>
  <c r="M75" i="32"/>
  <c r="C69" i="32"/>
  <c r="C73" i="32" s="1"/>
  <c r="H75" i="32"/>
  <c r="D73" i="5"/>
  <c r="R29" i="10"/>
  <c r="R5" i="10" s="1"/>
  <c r="R26" i="10"/>
  <c r="F79" i="32" l="1"/>
  <c r="L79" i="5"/>
  <c r="L67" i="5" s="1"/>
  <c r="G99" i="5"/>
  <c r="G75" i="5"/>
  <c r="C99" i="5"/>
  <c r="C79" i="5"/>
  <c r="K79" i="5"/>
  <c r="C75" i="5"/>
  <c r="C75" i="32" s="1"/>
  <c r="M97" i="32"/>
  <c r="M99" i="32" s="1"/>
  <c r="H79" i="32"/>
  <c r="D67" i="32"/>
  <c r="I75" i="5"/>
  <c r="I75" i="32" s="1"/>
  <c r="I79" i="32" s="1"/>
  <c r="F79" i="5"/>
  <c r="F69" i="5"/>
  <c r="I73" i="5"/>
  <c r="O68" i="32"/>
  <c r="F94" i="32"/>
  <c r="K67" i="5"/>
  <c r="K73" i="32"/>
  <c r="J94" i="32"/>
  <c r="C73" i="5"/>
  <c r="K73" i="5"/>
  <c r="F94" i="5"/>
  <c r="D89" i="32"/>
  <c r="F89" i="5"/>
  <c r="M89" i="5"/>
  <c r="N89" i="5"/>
  <c r="O87" i="32"/>
  <c r="O89" i="5"/>
  <c r="I89" i="32"/>
  <c r="G89" i="5"/>
  <c r="H89" i="32"/>
  <c r="J87" i="32"/>
  <c r="J89" i="32" s="1"/>
  <c r="L89" i="32"/>
  <c r="I88" i="32"/>
  <c r="O88" i="32" s="1"/>
  <c r="C79" i="32"/>
  <c r="C67" i="32" s="1"/>
  <c r="I69" i="32"/>
  <c r="I73" i="32" s="1"/>
  <c r="I67" i="32" s="1"/>
  <c r="O76" i="32"/>
  <c r="E70" i="32"/>
  <c r="E73" i="32" s="1"/>
  <c r="E73" i="5"/>
  <c r="I79" i="5"/>
  <c r="I67" i="5" s="1"/>
  <c r="H79" i="5"/>
  <c r="J79" i="5"/>
  <c r="J67" i="5" s="1"/>
  <c r="J77" i="32"/>
  <c r="J79" i="32" s="1"/>
  <c r="J67" i="32" s="1"/>
  <c r="E79" i="5"/>
  <c r="L73" i="32"/>
  <c r="L67" i="32" s="1"/>
  <c r="L98" i="32"/>
  <c r="L99" i="5"/>
  <c r="C846" i="10"/>
  <c r="D846" i="10" s="1"/>
  <c r="C857" i="10"/>
  <c r="D857" i="10" s="1"/>
  <c r="C217" i="10"/>
  <c r="D217" i="10" s="1"/>
  <c r="C734" i="10"/>
  <c r="D734" i="10" s="1"/>
  <c r="C241" i="10"/>
  <c r="D241" i="10" s="1"/>
  <c r="C404" i="10"/>
  <c r="D404" i="10" s="1"/>
  <c r="C136" i="10"/>
  <c r="D136" i="10" s="1"/>
  <c r="C993" i="10"/>
  <c r="D993" i="10" s="1"/>
  <c r="C907" i="10"/>
  <c r="D907" i="10" s="1"/>
  <c r="C746" i="10"/>
  <c r="D746" i="10" s="1"/>
  <c r="C623" i="10"/>
  <c r="D623" i="10" s="1"/>
  <c r="C774" i="10"/>
  <c r="D774" i="10" s="1"/>
  <c r="C106" i="10"/>
  <c r="D106" i="10" s="1"/>
  <c r="C878" i="10"/>
  <c r="D878" i="10" s="1"/>
  <c r="C690" i="10"/>
  <c r="D690" i="10" s="1"/>
  <c r="C710" i="10"/>
  <c r="D710" i="10" s="1"/>
  <c r="C928" i="10"/>
  <c r="D928" i="10" s="1"/>
  <c r="C757" i="10"/>
  <c r="D757" i="10" s="1"/>
  <c r="C220" i="10"/>
  <c r="D220" i="10" s="1"/>
  <c r="C923" i="10"/>
  <c r="D923" i="10" s="1"/>
  <c r="C752" i="10"/>
  <c r="D752" i="10" s="1"/>
  <c r="C67" i="10"/>
  <c r="D67" i="10" s="1"/>
  <c r="L25" i="5" s="1"/>
  <c r="L25" i="32" s="1"/>
  <c r="C708" i="10"/>
  <c r="D708" i="10" s="1"/>
  <c r="C918" i="10"/>
  <c r="D918" i="10" s="1"/>
  <c r="C152" i="10"/>
  <c r="D152" i="10" s="1"/>
  <c r="C293" i="10"/>
  <c r="D293" i="10" s="1"/>
  <c r="C319" i="10"/>
  <c r="D319" i="10" s="1"/>
  <c r="C238" i="10"/>
  <c r="D238" i="10" s="1"/>
  <c r="C622" i="10"/>
  <c r="D622" i="10" s="1"/>
  <c r="C617" i="10"/>
  <c r="D617" i="10" s="1"/>
  <c r="C766" i="10"/>
  <c r="D766" i="10" s="1"/>
  <c r="C868" i="10"/>
  <c r="D868" i="10" s="1"/>
  <c r="C109" i="10"/>
  <c r="D109" i="10" s="1"/>
  <c r="C116" i="10"/>
  <c r="D116" i="10" s="1"/>
  <c r="D60" i="5" s="1"/>
  <c r="D60" i="32" s="1"/>
  <c r="C827" i="10"/>
  <c r="D827" i="10" s="1"/>
  <c r="E99" i="5"/>
  <c r="O68" i="5"/>
  <c r="O92" i="5"/>
  <c r="O94" i="5" s="1"/>
  <c r="R27" i="10"/>
  <c r="G94" i="32"/>
  <c r="J94" i="5"/>
  <c r="E89" i="5"/>
  <c r="K89" i="5"/>
  <c r="O74" i="32"/>
  <c r="N94" i="32"/>
  <c r="O97" i="5"/>
  <c r="O99" i="5" s="1"/>
  <c r="H89" i="5"/>
  <c r="D94" i="5"/>
  <c r="F99" i="32"/>
  <c r="C94" i="32"/>
  <c r="E47" i="5"/>
  <c r="E47" i="32" s="1"/>
  <c r="G32" i="5"/>
  <c r="G32" i="32" s="1"/>
  <c r="I42" i="5"/>
  <c r="I42" i="32" s="1"/>
  <c r="N54" i="5"/>
  <c r="N54" i="32" s="1"/>
  <c r="G20" i="5"/>
  <c r="G20" i="32" s="1"/>
  <c r="E65" i="5"/>
  <c r="E65" i="32" s="1"/>
  <c r="F43" i="5"/>
  <c r="F43" i="32" s="1"/>
  <c r="C50" i="5"/>
  <c r="C50" i="32" s="1"/>
  <c r="L48" i="5"/>
  <c r="L48" i="32" s="1"/>
  <c r="F35" i="5"/>
  <c r="F35" i="32" s="1"/>
  <c r="N19" i="5"/>
  <c r="N19" i="32" s="1"/>
  <c r="N39" i="5"/>
  <c r="N39" i="32" s="1"/>
  <c r="F9" i="5"/>
  <c r="F9" i="32" s="1"/>
  <c r="F34" i="5"/>
  <c r="F34" i="32" s="1"/>
  <c r="C46" i="5"/>
  <c r="C46" i="32" s="1"/>
  <c r="E10" i="5"/>
  <c r="E10" i="32" s="1"/>
  <c r="K17" i="5"/>
  <c r="K17" i="32" s="1"/>
  <c r="G37" i="5"/>
  <c r="G37" i="32" s="1"/>
  <c r="J37" i="5"/>
  <c r="J37" i="32" s="1"/>
  <c r="N23" i="5"/>
  <c r="N23" i="32" s="1"/>
  <c r="M41" i="5"/>
  <c r="M41" i="32" s="1"/>
  <c r="O24" i="5"/>
  <c r="K60" i="5"/>
  <c r="K60" i="32" s="1"/>
  <c r="N45" i="5"/>
  <c r="N45" i="32" s="1"/>
  <c r="J38" i="5"/>
  <c r="J38" i="32" s="1"/>
  <c r="F42" i="5"/>
  <c r="F42" i="32" s="1"/>
  <c r="O26" i="5"/>
  <c r="I59" i="5"/>
  <c r="I59" i="32" s="1"/>
  <c r="N37" i="5"/>
  <c r="N37" i="32" s="1"/>
  <c r="L40" i="5"/>
  <c r="L40" i="32" s="1"/>
  <c r="O56" i="5"/>
  <c r="I24" i="5"/>
  <c r="I24" i="32" s="1"/>
  <c r="E26" i="5"/>
  <c r="E26" i="32" s="1"/>
  <c r="O31" i="5"/>
  <c r="E29" i="5"/>
  <c r="E29" i="32" s="1"/>
  <c r="N35" i="5"/>
  <c r="N35" i="32" s="1"/>
  <c r="D25" i="5"/>
  <c r="D25" i="32" s="1"/>
  <c r="F54" i="5"/>
  <c r="F54" i="32" s="1"/>
  <c r="G58" i="5"/>
  <c r="G58" i="32" s="1"/>
  <c r="H53" i="5"/>
  <c r="H53" i="32" s="1"/>
  <c r="F30" i="5"/>
  <c r="F30" i="32" s="1"/>
  <c r="H26" i="5"/>
  <c r="H26" i="32" s="1"/>
  <c r="M57" i="5"/>
  <c r="M57" i="32" s="1"/>
  <c r="K53" i="5"/>
  <c r="K53" i="32" s="1"/>
  <c r="J36" i="5"/>
  <c r="J36" i="32" s="1"/>
  <c r="M10" i="5"/>
  <c r="M10" i="32" s="1"/>
  <c r="H34" i="5"/>
  <c r="H34" i="32" s="1"/>
  <c r="C18" i="5"/>
  <c r="C18" i="32" s="1"/>
  <c r="I15" i="5"/>
  <c r="I15" i="32" s="1"/>
  <c r="C22" i="5"/>
  <c r="C22" i="32" s="1"/>
  <c r="J35" i="5"/>
  <c r="J35" i="32" s="1"/>
  <c r="O52" i="5"/>
  <c r="I39" i="5"/>
  <c r="I39" i="32" s="1"/>
  <c r="L59" i="5"/>
  <c r="L59" i="32" s="1"/>
  <c r="D44" i="5"/>
  <c r="D44" i="32" s="1"/>
  <c r="E33" i="5"/>
  <c r="E33" i="32" s="1"/>
  <c r="I40" i="5"/>
  <c r="I40" i="32" s="1"/>
  <c r="N30" i="5"/>
  <c r="N30" i="32" s="1"/>
  <c r="O51" i="5"/>
  <c r="K36" i="5"/>
  <c r="K36" i="32" s="1"/>
  <c r="K37" i="5"/>
  <c r="K37" i="32" s="1"/>
  <c r="M51" i="5"/>
  <c r="M51" i="32" s="1"/>
  <c r="C31" i="5"/>
  <c r="C31" i="32" s="1"/>
  <c r="E46" i="5"/>
  <c r="E46" i="32" s="1"/>
  <c r="E24" i="5"/>
  <c r="E24" i="32" s="1"/>
  <c r="O48" i="5"/>
  <c r="K51" i="5"/>
  <c r="K51" i="32" s="1"/>
  <c r="H7" i="5"/>
  <c r="H7" i="32" s="1"/>
  <c r="E53" i="5"/>
  <c r="E53" i="32" s="1"/>
  <c r="H38" i="5"/>
  <c r="H38" i="32" s="1"/>
  <c r="C9" i="5"/>
  <c r="C9" i="32" s="1"/>
  <c r="L55" i="5"/>
  <c r="L55" i="32" s="1"/>
  <c r="F58" i="5"/>
  <c r="F58" i="32" s="1"/>
  <c r="D37" i="5"/>
  <c r="D37" i="32" s="1"/>
  <c r="H14" i="5"/>
  <c r="K57" i="5"/>
  <c r="K57" i="32" s="1"/>
  <c r="L53" i="5"/>
  <c r="L53" i="32" s="1"/>
  <c r="M50" i="5"/>
  <c r="M50" i="32" s="1"/>
  <c r="D32" i="5"/>
  <c r="D32" i="32" s="1"/>
  <c r="J48" i="5"/>
  <c r="J48" i="32" s="1"/>
  <c r="K58" i="5"/>
  <c r="K58" i="32" s="1"/>
  <c r="E55" i="5"/>
  <c r="E55" i="32" s="1"/>
  <c r="E6" i="5"/>
  <c r="D35" i="5"/>
  <c r="D35" i="32" s="1"/>
  <c r="G57" i="5"/>
  <c r="G57" i="32" s="1"/>
  <c r="I26" i="5"/>
  <c r="I26" i="32" s="1"/>
  <c r="J6" i="5"/>
  <c r="J60" i="5"/>
  <c r="J60" i="32" s="1"/>
  <c r="J26" i="5"/>
  <c r="J26" i="32" s="1"/>
  <c r="H36" i="5"/>
  <c r="H36" i="32" s="1"/>
  <c r="M33" i="5"/>
  <c r="M33" i="32" s="1"/>
  <c r="M28" i="5"/>
  <c r="M28" i="32" s="1"/>
  <c r="E27" i="5"/>
  <c r="E27" i="32" s="1"/>
  <c r="O22" i="5"/>
  <c r="M37" i="5"/>
  <c r="M37" i="32" s="1"/>
  <c r="H52" i="5"/>
  <c r="H52" i="32" s="1"/>
  <c r="N55" i="5"/>
  <c r="N55" i="32" s="1"/>
  <c r="M58" i="5"/>
  <c r="M58" i="32" s="1"/>
  <c r="F31" i="5"/>
  <c r="F31" i="32" s="1"/>
  <c r="E35" i="5"/>
  <c r="E35" i="32" s="1"/>
  <c r="I60" i="5"/>
  <c r="I60" i="32" s="1"/>
  <c r="N58" i="5"/>
  <c r="N58" i="32" s="1"/>
  <c r="F20" i="5"/>
  <c r="F20" i="32" s="1"/>
  <c r="G59" i="5"/>
  <c r="G59" i="32" s="1"/>
  <c r="H44" i="5"/>
  <c r="H44" i="32" s="1"/>
  <c r="H58" i="5"/>
  <c r="H58" i="32" s="1"/>
  <c r="H10" i="5"/>
  <c r="H10" i="32" s="1"/>
  <c r="L6" i="5"/>
  <c r="N44" i="5"/>
  <c r="N44" i="32" s="1"/>
  <c r="F56" i="5"/>
  <c r="F56" i="32" s="1"/>
  <c r="M23" i="5"/>
  <c r="M23" i="32" s="1"/>
  <c r="I55" i="5"/>
  <c r="I55" i="32" s="1"/>
  <c r="M54" i="5"/>
  <c r="M54" i="32" s="1"/>
  <c r="M31" i="5"/>
  <c r="M31" i="32" s="1"/>
  <c r="C32" i="5"/>
  <c r="C32" i="32" s="1"/>
  <c r="F23" i="5"/>
  <c r="F23" i="32" s="1"/>
  <c r="N27" i="5"/>
  <c r="N27" i="32" s="1"/>
  <c r="H17" i="5"/>
  <c r="H17" i="32" s="1"/>
  <c r="G60" i="5"/>
  <c r="G60" i="32" s="1"/>
  <c r="G41" i="5"/>
  <c r="G41" i="32" s="1"/>
  <c r="F46" i="5"/>
  <c r="F46" i="32" s="1"/>
  <c r="G44" i="5"/>
  <c r="G44" i="32" s="1"/>
  <c r="N49" i="5"/>
  <c r="N49" i="32" s="1"/>
  <c r="H57" i="5"/>
  <c r="H57" i="32" s="1"/>
  <c r="F16" i="5"/>
  <c r="F16" i="32" s="1"/>
  <c r="E23" i="5"/>
  <c r="E23" i="32" s="1"/>
  <c r="J46" i="5"/>
  <c r="J46" i="32" s="1"/>
  <c r="N32" i="5"/>
  <c r="N32" i="32" s="1"/>
  <c r="L39" i="5"/>
  <c r="L39" i="32" s="1"/>
  <c r="E60" i="5"/>
  <c r="E60" i="32" s="1"/>
  <c r="G14" i="5"/>
  <c r="J56" i="5"/>
  <c r="J56" i="32" s="1"/>
  <c r="D48" i="5"/>
  <c r="D48" i="32" s="1"/>
  <c r="L15" i="5"/>
  <c r="C21" i="5"/>
  <c r="C21" i="32" s="1"/>
  <c r="I51" i="5"/>
  <c r="I51" i="32" s="1"/>
  <c r="I50" i="5"/>
  <c r="I50" i="32" s="1"/>
  <c r="D38" i="5"/>
  <c r="D38" i="32" s="1"/>
  <c r="M29" i="5"/>
  <c r="M29" i="32" s="1"/>
  <c r="N28" i="5"/>
  <c r="N28" i="32" s="1"/>
  <c r="H55" i="5"/>
  <c r="H55" i="32" s="1"/>
  <c r="K30" i="5"/>
  <c r="K30" i="32" s="1"/>
  <c r="G30" i="5"/>
  <c r="G30" i="32" s="1"/>
  <c r="F50" i="5"/>
  <c r="F50" i="32" s="1"/>
  <c r="M46" i="5"/>
  <c r="M46" i="32" s="1"/>
  <c r="C36" i="5"/>
  <c r="C36" i="32" s="1"/>
  <c r="M35" i="5"/>
  <c r="M35" i="32" s="1"/>
  <c r="J53" i="5"/>
  <c r="J53" i="32" s="1"/>
  <c r="J9" i="5"/>
  <c r="J9" i="32" s="1"/>
  <c r="H6" i="5"/>
  <c r="G55" i="5"/>
  <c r="G55" i="32" s="1"/>
  <c r="M26" i="5"/>
  <c r="M26" i="32" s="1"/>
  <c r="G54" i="5"/>
  <c r="G54" i="32" s="1"/>
  <c r="M6" i="5"/>
  <c r="I37" i="5"/>
  <c r="I37" i="32" s="1"/>
  <c r="K21" i="5"/>
  <c r="K21" i="32" s="1"/>
  <c r="G33" i="5"/>
  <c r="G33" i="32" s="1"/>
  <c r="D36" i="5"/>
  <c r="D36" i="32" s="1"/>
  <c r="I57" i="5"/>
  <c r="I57" i="32" s="1"/>
  <c r="O7" i="5"/>
  <c r="C10" i="5"/>
  <c r="C10" i="32" s="1"/>
  <c r="J30" i="5"/>
  <c r="J30" i="32" s="1"/>
  <c r="E43" i="5"/>
  <c r="E43" i="32" s="1"/>
  <c r="G16" i="5"/>
  <c r="G16" i="32" s="1"/>
  <c r="J57" i="5"/>
  <c r="J57" i="32" s="1"/>
  <c r="I25" i="5"/>
  <c r="I25" i="32" s="1"/>
  <c r="O23" i="5"/>
  <c r="C41" i="5"/>
  <c r="C41" i="32" s="1"/>
  <c r="N34" i="5"/>
  <c r="N34" i="32" s="1"/>
  <c r="J20" i="5"/>
  <c r="J20" i="32" s="1"/>
  <c r="C59" i="5"/>
  <c r="C59" i="32" s="1"/>
  <c r="C14" i="5"/>
  <c r="J44" i="5"/>
  <c r="J44" i="32" s="1"/>
  <c r="L36" i="5"/>
  <c r="L36" i="32" s="1"/>
  <c r="I17" i="5"/>
  <c r="I17" i="32" s="1"/>
  <c r="E20" i="5"/>
  <c r="E20" i="32" s="1"/>
  <c r="H31" i="5"/>
  <c r="H31" i="32" s="1"/>
  <c r="C26" i="5"/>
  <c r="C26" i="32" s="1"/>
  <c r="L56" i="5"/>
  <c r="L56" i="32" s="1"/>
  <c r="C60" i="5"/>
  <c r="C60" i="32" s="1"/>
  <c r="D50" i="5"/>
  <c r="D50" i="32" s="1"/>
  <c r="H48" i="5"/>
  <c r="H48" i="32" s="1"/>
  <c r="D55" i="5"/>
  <c r="D55" i="32" s="1"/>
  <c r="L43" i="5"/>
  <c r="L43" i="32" s="1"/>
  <c r="E50" i="5"/>
  <c r="E50" i="32" s="1"/>
  <c r="M7" i="5"/>
  <c r="M7" i="32" s="1"/>
  <c r="K43" i="5"/>
  <c r="K43" i="32" s="1"/>
  <c r="I43" i="5"/>
  <c r="I43" i="32" s="1"/>
  <c r="F10" i="5"/>
  <c r="F10" i="32" s="1"/>
  <c r="D54" i="5"/>
  <c r="D54" i="32" s="1"/>
  <c r="K59" i="5"/>
  <c r="K59" i="32" s="1"/>
  <c r="N41" i="5"/>
  <c r="N41" i="32" s="1"/>
  <c r="F55" i="5"/>
  <c r="F55" i="32" s="1"/>
  <c r="K49" i="5"/>
  <c r="K49" i="32" s="1"/>
  <c r="C37" i="5"/>
  <c r="C37" i="32" s="1"/>
  <c r="N52" i="5"/>
  <c r="N52" i="32" s="1"/>
  <c r="I29" i="5"/>
  <c r="I29" i="32" s="1"/>
  <c r="H47" i="5"/>
  <c r="H47" i="32" s="1"/>
  <c r="O36" i="5"/>
  <c r="D19" i="5"/>
  <c r="D19" i="32" s="1"/>
  <c r="L34" i="5"/>
  <c r="L34" i="32" s="1"/>
  <c r="L58" i="5"/>
  <c r="L58" i="32" s="1"/>
  <c r="J65" i="5"/>
  <c r="J65" i="32" s="1"/>
  <c r="N20" i="5"/>
  <c r="N20" i="32" s="1"/>
  <c r="O10" i="5"/>
  <c r="O79" i="5" s="1"/>
  <c r="I34" i="5"/>
  <c r="I34" i="32" s="1"/>
  <c r="I53" i="5"/>
  <c r="I53" i="32" s="1"/>
  <c r="J25" i="5"/>
  <c r="J25" i="32" s="1"/>
  <c r="E57" i="5"/>
  <c r="E57" i="32" s="1"/>
  <c r="D15" i="5"/>
  <c r="D58" i="5"/>
  <c r="D58" i="32" s="1"/>
  <c r="N36" i="5"/>
  <c r="N36" i="32" s="1"/>
  <c r="G26" i="5"/>
  <c r="G26" i="32" s="1"/>
  <c r="O49" i="5"/>
  <c r="D33" i="5"/>
  <c r="D33" i="32" s="1"/>
  <c r="N47" i="5"/>
  <c r="N47" i="32" s="1"/>
  <c r="L47" i="5"/>
  <c r="L47" i="32" s="1"/>
  <c r="M16" i="5"/>
  <c r="M16" i="32" s="1"/>
  <c r="I18" i="5"/>
  <c r="I18" i="32" s="1"/>
  <c r="K7" i="5"/>
  <c r="K7" i="32" s="1"/>
  <c r="G9" i="5"/>
  <c r="G9" i="32" s="1"/>
  <c r="K9" i="5"/>
  <c r="K9" i="32" s="1"/>
  <c r="D53" i="5"/>
  <c r="D53" i="32" s="1"/>
  <c r="M17" i="5"/>
  <c r="M17" i="32" s="1"/>
  <c r="E54" i="5"/>
  <c r="E54" i="32" s="1"/>
  <c r="N33" i="5"/>
  <c r="N33" i="32" s="1"/>
  <c r="F21" i="5"/>
  <c r="F21" i="32" s="1"/>
  <c r="F17" i="5"/>
  <c r="F17" i="32" s="1"/>
  <c r="H49" i="5"/>
  <c r="H49" i="32" s="1"/>
  <c r="K18" i="5"/>
  <c r="K18" i="32" s="1"/>
  <c r="J29" i="5"/>
  <c r="J29" i="32" s="1"/>
  <c r="D40" i="5"/>
  <c r="D40" i="32" s="1"/>
  <c r="K16" i="5"/>
  <c r="K16" i="32" s="1"/>
  <c r="D65" i="5"/>
  <c r="D65" i="32" s="1"/>
  <c r="J22" i="5"/>
  <c r="J22" i="32" s="1"/>
  <c r="F36" i="5"/>
  <c r="F36" i="32" s="1"/>
  <c r="O6" i="5"/>
  <c r="O8" i="5" s="1"/>
  <c r="C49" i="5"/>
  <c r="C49" i="32" s="1"/>
  <c r="L50" i="5"/>
  <c r="L50" i="32" s="1"/>
  <c r="O42" i="5"/>
  <c r="M52" i="5"/>
  <c r="M52" i="32" s="1"/>
  <c r="J15" i="5"/>
  <c r="J15" i="32" s="1"/>
  <c r="K26" i="5"/>
  <c r="K26" i="32" s="1"/>
  <c r="H51" i="5"/>
  <c r="H51" i="32" s="1"/>
  <c r="C6" i="5"/>
  <c r="O50" i="5"/>
  <c r="G35" i="5"/>
  <c r="G35" i="32" s="1"/>
  <c r="H70" i="32"/>
  <c r="H73" i="32" s="1"/>
  <c r="H73" i="5"/>
  <c r="H67" i="5" s="1"/>
  <c r="F26" i="5"/>
  <c r="F26" i="32" s="1"/>
  <c r="J19" i="5"/>
  <c r="J19" i="32" s="1"/>
  <c r="J43" i="5"/>
  <c r="J43" i="32" s="1"/>
  <c r="N56" i="5"/>
  <c r="N56" i="32" s="1"/>
  <c r="G48" i="5"/>
  <c r="G48" i="32" s="1"/>
  <c r="F53" i="5"/>
  <c r="F53" i="32" s="1"/>
  <c r="M44" i="5"/>
  <c r="M44" i="32" s="1"/>
  <c r="E38" i="5"/>
  <c r="E38" i="32" s="1"/>
  <c r="N46" i="5"/>
  <c r="N46" i="32" s="1"/>
  <c r="F45" i="5"/>
  <c r="F45" i="32" s="1"/>
  <c r="F59" i="5"/>
  <c r="F59" i="32" s="1"/>
  <c r="M59" i="5"/>
  <c r="M59" i="32" s="1"/>
  <c r="E31" i="5"/>
  <c r="E31" i="32" s="1"/>
  <c r="H20" i="5"/>
  <c r="H20" i="32" s="1"/>
  <c r="G51" i="5"/>
  <c r="G51" i="32" s="1"/>
  <c r="K40" i="5"/>
  <c r="K40" i="32" s="1"/>
  <c r="M39" i="5"/>
  <c r="M39" i="32" s="1"/>
  <c r="D34" i="5"/>
  <c r="D34" i="32" s="1"/>
  <c r="F14" i="5"/>
  <c r="C27" i="5"/>
  <c r="C27" i="32" s="1"/>
  <c r="E9" i="5"/>
  <c r="E9" i="32" s="1"/>
  <c r="L21" i="5"/>
  <c r="L21" i="32" s="1"/>
  <c r="M32" i="5"/>
  <c r="M32" i="32" s="1"/>
  <c r="E25" i="5"/>
  <c r="E25" i="32" s="1"/>
  <c r="K6" i="5"/>
  <c r="N14" i="5"/>
  <c r="C44" i="5"/>
  <c r="C44" i="32" s="1"/>
  <c r="I58" i="5"/>
  <c r="I58" i="32" s="1"/>
  <c r="F15" i="5"/>
  <c r="F15" i="32" s="1"/>
  <c r="F48" i="5"/>
  <c r="F48" i="32" s="1"/>
  <c r="L33" i="5"/>
  <c r="L33" i="32" s="1"/>
  <c r="J50" i="5"/>
  <c r="J50" i="32" s="1"/>
  <c r="D16" i="5"/>
  <c r="D16" i="32" s="1"/>
  <c r="L54" i="5"/>
  <c r="L54" i="32" s="1"/>
  <c r="E7" i="5"/>
  <c r="E7" i="32" s="1"/>
  <c r="E32" i="5"/>
  <c r="E32" i="32" s="1"/>
  <c r="I14" i="5"/>
  <c r="E37" i="5"/>
  <c r="E37" i="32" s="1"/>
  <c r="L57" i="5"/>
  <c r="L57" i="32" s="1"/>
  <c r="F25" i="5"/>
  <c r="F25" i="32" s="1"/>
  <c r="C35" i="5"/>
  <c r="C35" i="32" s="1"/>
  <c r="G47" i="5"/>
  <c r="G47" i="32" s="1"/>
  <c r="C43" i="5"/>
  <c r="C43" i="32" s="1"/>
  <c r="H46" i="5"/>
  <c r="H46" i="32" s="1"/>
  <c r="F24" i="5"/>
  <c r="F24" i="32" s="1"/>
  <c r="O60" i="5"/>
  <c r="J33" i="5"/>
  <c r="J33" i="32" s="1"/>
  <c r="G29" i="5"/>
  <c r="G29" i="32" s="1"/>
  <c r="H22" i="5"/>
  <c r="H22" i="32" s="1"/>
  <c r="I44" i="5"/>
  <c r="I44" i="32" s="1"/>
  <c r="K46" i="5"/>
  <c r="K46" i="32" s="1"/>
  <c r="F38" i="5"/>
  <c r="F38" i="32" s="1"/>
  <c r="L38" i="5"/>
  <c r="L38" i="32" s="1"/>
  <c r="N31" i="5"/>
  <c r="N31" i="32" s="1"/>
  <c r="I47" i="5"/>
  <c r="I47" i="32" s="1"/>
  <c r="K35" i="5"/>
  <c r="K35" i="32" s="1"/>
  <c r="H15" i="5"/>
  <c r="H15" i="32" s="1"/>
  <c r="D30" i="5"/>
  <c r="D30" i="32" s="1"/>
  <c r="H9" i="5"/>
  <c r="H9" i="32" s="1"/>
  <c r="C25" i="5"/>
  <c r="C25" i="32" s="1"/>
  <c r="H21" i="5"/>
  <c r="H21" i="32" s="1"/>
  <c r="H29" i="5"/>
  <c r="H29" i="32" s="1"/>
  <c r="E28" i="5"/>
  <c r="E28" i="32" s="1"/>
  <c r="G6" i="5"/>
  <c r="K27" i="5"/>
  <c r="K27" i="32" s="1"/>
  <c r="K31" i="5"/>
  <c r="K31" i="32" s="1"/>
  <c r="K44" i="5"/>
  <c r="K44" i="32" s="1"/>
  <c r="J31" i="5"/>
  <c r="J31" i="32" s="1"/>
  <c r="H32" i="5"/>
  <c r="H32" i="32" s="1"/>
  <c r="N25" i="5"/>
  <c r="N25" i="32" s="1"/>
  <c r="O46" i="5"/>
  <c r="K50" i="5"/>
  <c r="K50" i="32" s="1"/>
  <c r="M55" i="5"/>
  <c r="M55" i="32" s="1"/>
  <c r="E52" i="5"/>
  <c r="E52" i="32" s="1"/>
  <c r="C47" i="5"/>
  <c r="C47" i="32" s="1"/>
  <c r="C48" i="5"/>
  <c r="C48" i="32" s="1"/>
  <c r="J40" i="5"/>
  <c r="J40" i="32" s="1"/>
  <c r="L30" i="5"/>
  <c r="L30" i="32" s="1"/>
  <c r="H24" i="5"/>
  <c r="H24" i="32" s="1"/>
  <c r="M53" i="5"/>
  <c r="M53" i="32" s="1"/>
  <c r="F60" i="5"/>
  <c r="F60" i="32" s="1"/>
  <c r="I46" i="5"/>
  <c r="I46" i="32" s="1"/>
  <c r="C24" i="5"/>
  <c r="C24" i="32" s="1"/>
  <c r="J47" i="5"/>
  <c r="J47" i="32" s="1"/>
  <c r="C38" i="5"/>
  <c r="C38" i="32" s="1"/>
  <c r="I19" i="5"/>
  <c r="I19" i="32" s="1"/>
  <c r="K41" i="5"/>
  <c r="K41" i="32" s="1"/>
  <c r="D56" i="5"/>
  <c r="D56" i="32" s="1"/>
  <c r="I36" i="5"/>
  <c r="I36" i="32" s="1"/>
  <c r="C55" i="5"/>
  <c r="C55" i="32" s="1"/>
  <c r="G23" i="5"/>
  <c r="G23" i="32" s="1"/>
  <c r="M22" i="5"/>
  <c r="M22" i="32" s="1"/>
  <c r="G42" i="5"/>
  <c r="G42" i="32" s="1"/>
  <c r="O58" i="5"/>
  <c r="K54" i="5"/>
  <c r="K54" i="32" s="1"/>
  <c r="I32" i="5"/>
  <c r="I32" i="32" s="1"/>
  <c r="E44" i="5"/>
  <c r="E44" i="32" s="1"/>
  <c r="K10" i="5"/>
  <c r="K10" i="32" s="1"/>
  <c r="D29" i="5"/>
  <c r="D29" i="32" s="1"/>
  <c r="E22" i="5"/>
  <c r="E22" i="32" s="1"/>
  <c r="F19" i="5"/>
  <c r="F19" i="32" s="1"/>
  <c r="H65" i="5"/>
  <c r="H65" i="32" s="1"/>
  <c r="O21" i="5"/>
  <c r="L42" i="5"/>
  <c r="L42" i="32" s="1"/>
  <c r="O57" i="5"/>
  <c r="H43" i="5"/>
  <c r="H43" i="32" s="1"/>
  <c r="D6" i="5"/>
  <c r="J21" i="5"/>
  <c r="J21" i="32" s="1"/>
  <c r="L22" i="5"/>
  <c r="L22" i="32" s="1"/>
  <c r="E51" i="5"/>
  <c r="E51" i="32" s="1"/>
  <c r="N24" i="5"/>
  <c r="N24" i="32" s="1"/>
  <c r="F22" i="5"/>
  <c r="F22" i="32" s="1"/>
  <c r="N59" i="5"/>
  <c r="N59" i="32" s="1"/>
  <c r="M15" i="5"/>
  <c r="M15" i="32" s="1"/>
  <c r="L28" i="5"/>
  <c r="L28" i="32" s="1"/>
  <c r="O15" i="5"/>
  <c r="F41" i="5"/>
  <c r="F41" i="32" s="1"/>
  <c r="N43" i="5"/>
  <c r="N43" i="32" s="1"/>
  <c r="K34" i="5"/>
  <c r="K34" i="32" s="1"/>
  <c r="K79" i="32"/>
  <c r="K67" i="32" s="1"/>
  <c r="N73" i="5"/>
  <c r="M9" i="5"/>
  <c r="M9" i="32" s="1"/>
  <c r="H18" i="5"/>
  <c r="H18" i="32" s="1"/>
  <c r="K56" i="5"/>
  <c r="K56" i="32" s="1"/>
  <c r="C23" i="5"/>
  <c r="C23" i="32" s="1"/>
  <c r="F29" i="5"/>
  <c r="F29" i="32" s="1"/>
  <c r="H60" i="5"/>
  <c r="H60" i="32" s="1"/>
  <c r="H33" i="5"/>
  <c r="H33" i="32" s="1"/>
  <c r="M43" i="5"/>
  <c r="M43" i="32" s="1"/>
  <c r="C34" i="5"/>
  <c r="C34" i="32" s="1"/>
  <c r="C65" i="5"/>
  <c r="C65" i="32" s="1"/>
  <c r="K25" i="5"/>
  <c r="K25" i="32" s="1"/>
  <c r="L41" i="5"/>
  <c r="L41" i="32" s="1"/>
  <c r="H37" i="5"/>
  <c r="H37" i="32" s="1"/>
  <c r="N53" i="5"/>
  <c r="N53" i="32" s="1"/>
  <c r="I38" i="5"/>
  <c r="I38" i="32" s="1"/>
  <c r="G43" i="5"/>
  <c r="G43" i="32" s="1"/>
  <c r="D51" i="5"/>
  <c r="D51" i="32" s="1"/>
  <c r="N16" i="5"/>
  <c r="N16" i="32" s="1"/>
  <c r="O44" i="5"/>
  <c r="O40" i="5"/>
  <c r="M42" i="5"/>
  <c r="M42" i="32" s="1"/>
  <c r="N6" i="5"/>
  <c r="O78" i="32"/>
  <c r="C57" i="5"/>
  <c r="C57" i="32" s="1"/>
  <c r="K39" i="5"/>
  <c r="K39" i="32" s="1"/>
  <c r="G38" i="5"/>
  <c r="G38" i="32" s="1"/>
  <c r="I49" i="5"/>
  <c r="I49" i="32" s="1"/>
  <c r="J49" i="5"/>
  <c r="J49" i="32" s="1"/>
  <c r="G24" i="5"/>
  <c r="G24" i="32" s="1"/>
  <c r="I35" i="5"/>
  <c r="I35" i="32" s="1"/>
  <c r="L52" i="5"/>
  <c r="L52" i="32" s="1"/>
  <c r="H41" i="5"/>
  <c r="H41" i="32" s="1"/>
  <c r="K52" i="5"/>
  <c r="K52" i="32" s="1"/>
  <c r="G31" i="5"/>
  <c r="G31" i="32" s="1"/>
  <c r="K48" i="5"/>
  <c r="K48" i="32" s="1"/>
  <c r="E30" i="5"/>
  <c r="E30" i="32" s="1"/>
  <c r="N29" i="5"/>
  <c r="N29" i="32" s="1"/>
  <c r="E56" i="5"/>
  <c r="E56" i="32" s="1"/>
  <c r="L26" i="5"/>
  <c r="L26" i="32" s="1"/>
  <c r="N18" i="5"/>
  <c r="N18" i="32" s="1"/>
  <c r="O37" i="5"/>
  <c r="L27" i="5"/>
  <c r="L27" i="32" s="1"/>
  <c r="I10" i="5"/>
  <c r="I10" i="32" s="1"/>
  <c r="M79" i="32"/>
  <c r="E34" i="5"/>
  <c r="E34" i="32" s="1"/>
  <c r="O27" i="5"/>
  <c r="J14" i="5"/>
  <c r="G73" i="5"/>
  <c r="C33" i="5"/>
  <c r="C33" i="32" s="1"/>
  <c r="O20" i="5"/>
  <c r="C56" i="5"/>
  <c r="C56" i="32" s="1"/>
  <c r="L9" i="5"/>
  <c r="L9" i="32" s="1"/>
  <c r="G65" i="5"/>
  <c r="G65" i="32" s="1"/>
  <c r="D10" i="5"/>
  <c r="D10" i="32" s="1"/>
  <c r="E39" i="5"/>
  <c r="E39" i="32" s="1"/>
  <c r="D22" i="5"/>
  <c r="D22" i="32" s="1"/>
  <c r="L49" i="5"/>
  <c r="L49" i="32" s="1"/>
  <c r="O33" i="5"/>
  <c r="M48" i="5"/>
  <c r="M48" i="32" s="1"/>
  <c r="L10" i="5"/>
  <c r="L10" i="32" s="1"/>
  <c r="L17" i="5"/>
  <c r="L17" i="32" s="1"/>
  <c r="N17" i="5"/>
  <c r="N17" i="32" s="1"/>
  <c r="D9" i="5"/>
  <c r="D9" i="32" s="1"/>
  <c r="J54" i="5"/>
  <c r="J54" i="32" s="1"/>
  <c r="F39" i="5"/>
  <c r="F39" i="32" s="1"/>
  <c r="O14" i="5"/>
  <c r="D23" i="5"/>
  <c r="D23" i="32" s="1"/>
  <c r="E49" i="5"/>
  <c r="E49" i="32" s="1"/>
  <c r="O45" i="5"/>
  <c r="L60" i="5"/>
  <c r="L60" i="32" s="1"/>
  <c r="H56" i="5"/>
  <c r="H56" i="32" s="1"/>
  <c r="L65" i="5"/>
  <c r="L65" i="32" s="1"/>
  <c r="L31" i="5"/>
  <c r="L31" i="32" s="1"/>
  <c r="L24" i="5"/>
  <c r="L24" i="32" s="1"/>
  <c r="O28" i="5"/>
  <c r="G10" i="5"/>
  <c r="G10" i="32" s="1"/>
  <c r="G18" i="5"/>
  <c r="G18" i="32" s="1"/>
  <c r="K38" i="5"/>
  <c r="K38" i="32" s="1"/>
  <c r="L29" i="5"/>
  <c r="L29" i="32" s="1"/>
  <c r="H35" i="5"/>
  <c r="H35" i="32" s="1"/>
  <c r="N57" i="5"/>
  <c r="N57" i="32" s="1"/>
  <c r="F6" i="5"/>
  <c r="I20" i="5"/>
  <c r="I20" i="32" s="1"/>
  <c r="O32" i="5"/>
  <c r="H19" i="5"/>
  <c r="H19" i="32" s="1"/>
  <c r="I54" i="5"/>
  <c r="I54" i="32" s="1"/>
  <c r="K24" i="5"/>
  <c r="K24" i="32" s="1"/>
  <c r="I56" i="5"/>
  <c r="I56" i="32" s="1"/>
  <c r="K65" i="5"/>
  <c r="K65" i="32" s="1"/>
  <c r="M14" i="5"/>
  <c r="H39" i="5"/>
  <c r="H39" i="32" s="1"/>
  <c r="K19" i="5"/>
  <c r="K19" i="32" s="1"/>
  <c r="L18" i="5"/>
  <c r="L18" i="32" s="1"/>
  <c r="K32" i="5"/>
  <c r="K32" i="32" s="1"/>
  <c r="M20" i="5"/>
  <c r="M20" i="32" s="1"/>
  <c r="M24" i="5"/>
  <c r="M24" i="32" s="1"/>
  <c r="O30" i="5"/>
  <c r="J42" i="5"/>
  <c r="J42" i="32" s="1"/>
  <c r="C20" i="5"/>
  <c r="C20" i="32" s="1"/>
  <c r="C45" i="5"/>
  <c r="C45" i="32" s="1"/>
  <c r="N22" i="5"/>
  <c r="N22" i="32" s="1"/>
  <c r="G21" i="5"/>
  <c r="G21" i="32" s="1"/>
  <c r="I65" i="5"/>
  <c r="I65" i="32" s="1"/>
  <c r="G49" i="5"/>
  <c r="G49" i="32" s="1"/>
  <c r="G28" i="5"/>
  <c r="G28" i="32" s="1"/>
  <c r="H50" i="5"/>
  <c r="H50" i="32" s="1"/>
  <c r="M38" i="5"/>
  <c r="M38" i="32" s="1"/>
  <c r="H45" i="5"/>
  <c r="H45" i="32" s="1"/>
  <c r="F18" i="5"/>
  <c r="F18" i="32" s="1"/>
  <c r="F32" i="5"/>
  <c r="F32" i="32" s="1"/>
  <c r="I16" i="5"/>
  <c r="I16" i="32" s="1"/>
  <c r="G25" i="5"/>
  <c r="G25" i="32" s="1"/>
  <c r="E19" i="5"/>
  <c r="E19" i="32" s="1"/>
  <c r="D7" i="5"/>
  <c r="D7" i="32" s="1"/>
  <c r="N10" i="5"/>
  <c r="N10" i="32" s="1"/>
  <c r="I52" i="5"/>
  <c r="I52" i="32" s="1"/>
  <c r="D28" i="5"/>
  <c r="D28" i="32" s="1"/>
  <c r="G46" i="5"/>
  <c r="G46" i="32" s="1"/>
  <c r="K20" i="5"/>
  <c r="K20" i="32" s="1"/>
  <c r="M36" i="5"/>
  <c r="M36" i="32" s="1"/>
  <c r="I27" i="5"/>
  <c r="I27" i="32" s="1"/>
  <c r="N42" i="5"/>
  <c r="N42" i="32" s="1"/>
  <c r="J23" i="5"/>
  <c r="J23" i="32" s="1"/>
  <c r="H30" i="5"/>
  <c r="H30" i="32" s="1"/>
  <c r="J51" i="5"/>
  <c r="J51" i="32" s="1"/>
  <c r="M56" i="5"/>
  <c r="M56" i="32" s="1"/>
  <c r="E42" i="5"/>
  <c r="E42" i="32" s="1"/>
  <c r="F27" i="5"/>
  <c r="F27" i="32" s="1"/>
  <c r="J39" i="5"/>
  <c r="J39" i="32" s="1"/>
  <c r="N50" i="5"/>
  <c r="N50" i="32" s="1"/>
  <c r="J41" i="5"/>
  <c r="J41" i="32" s="1"/>
  <c r="L35" i="5"/>
  <c r="L35" i="32" s="1"/>
  <c r="F49" i="5"/>
  <c r="F49" i="32" s="1"/>
  <c r="D52" i="5"/>
  <c r="D52" i="32" s="1"/>
  <c r="O9" i="5"/>
  <c r="J45" i="5"/>
  <c r="J45" i="32" s="1"/>
  <c r="G52" i="5"/>
  <c r="G52" i="32" s="1"/>
  <c r="L7" i="5"/>
  <c r="L7" i="32" s="1"/>
  <c r="J55" i="5"/>
  <c r="J55" i="32" s="1"/>
  <c r="O18" i="5"/>
  <c r="J59" i="5"/>
  <c r="J59" i="32" s="1"/>
  <c r="K15" i="5"/>
  <c r="K15" i="32" s="1"/>
  <c r="O62" i="32"/>
  <c r="N26" i="5"/>
  <c r="N26" i="32" s="1"/>
  <c r="N38" i="5"/>
  <c r="N38" i="32" s="1"/>
  <c r="C28" i="5"/>
  <c r="C28" i="32" s="1"/>
  <c r="E40" i="5"/>
  <c r="E40" i="32" s="1"/>
  <c r="N51" i="5"/>
  <c r="N51" i="32" s="1"/>
  <c r="N7" i="5"/>
  <c r="N7" i="32" s="1"/>
  <c r="N65" i="5"/>
  <c r="N65" i="32" s="1"/>
  <c r="D39" i="5"/>
  <c r="D39" i="32" s="1"/>
  <c r="J52" i="5"/>
  <c r="J52" i="32" s="1"/>
  <c r="G53" i="5"/>
  <c r="G53" i="32" s="1"/>
  <c r="I30" i="5"/>
  <c r="I30" i="32" s="1"/>
  <c r="D46" i="5"/>
  <c r="D46" i="32" s="1"/>
  <c r="L51" i="5"/>
  <c r="L51" i="32" s="1"/>
  <c r="C53" i="5"/>
  <c r="C53" i="32" s="1"/>
  <c r="O53" i="32" s="1"/>
  <c r="C16" i="5"/>
  <c r="C16" i="32" s="1"/>
  <c r="L32" i="5"/>
  <c r="L32" i="32" s="1"/>
  <c r="E45" i="5"/>
  <c r="E45" i="32" s="1"/>
  <c r="O53" i="5"/>
  <c r="G56" i="5"/>
  <c r="G56" i="32" s="1"/>
  <c r="C17" i="5"/>
  <c r="C17" i="32" s="1"/>
  <c r="I41" i="5"/>
  <c r="I41" i="32" s="1"/>
  <c r="J34" i="5"/>
  <c r="J34" i="32" s="1"/>
  <c r="G17" i="5"/>
  <c r="G17" i="32" s="1"/>
  <c r="F47" i="5"/>
  <c r="F47" i="32" s="1"/>
  <c r="D41" i="5"/>
  <c r="D41" i="32" s="1"/>
  <c r="H59" i="5"/>
  <c r="H59" i="32" s="1"/>
  <c r="L19" i="5"/>
  <c r="L19" i="32" s="1"/>
  <c r="H42" i="5"/>
  <c r="H42" i="32" s="1"/>
  <c r="O63" i="32"/>
  <c r="M71" i="32"/>
  <c r="M73" i="32" s="1"/>
  <c r="M67" i="32" s="1"/>
  <c r="M73" i="5"/>
  <c r="M67" i="5" s="1"/>
  <c r="D79" i="5"/>
  <c r="D67" i="5" s="1"/>
  <c r="O72" i="32"/>
  <c r="O64" i="32"/>
  <c r="D27" i="5"/>
  <c r="D27" i="32" s="1"/>
  <c r="K23" i="5"/>
  <c r="K23" i="32" s="1"/>
  <c r="J18" i="5"/>
  <c r="J18" i="32" s="1"/>
  <c r="K42" i="5"/>
  <c r="K42" i="32" s="1"/>
  <c r="D20" i="5"/>
  <c r="D20" i="32" s="1"/>
  <c r="D45" i="5"/>
  <c r="D45" i="32" s="1"/>
  <c r="C39" i="5"/>
  <c r="C39" i="32" s="1"/>
  <c r="G22" i="5"/>
  <c r="G22" i="32" s="1"/>
  <c r="F51" i="5"/>
  <c r="F51" i="32" s="1"/>
  <c r="E21" i="5"/>
  <c r="E21" i="32" s="1"/>
  <c r="O25" i="5"/>
  <c r="G73" i="32"/>
  <c r="N79" i="5"/>
  <c r="E75" i="32"/>
  <c r="N69" i="32"/>
  <c r="D59" i="5"/>
  <c r="D59" i="32" s="1"/>
  <c r="N77" i="32"/>
  <c r="N79" i="32" s="1"/>
  <c r="L99" i="32"/>
  <c r="L94" i="5"/>
  <c r="L92" i="32"/>
  <c r="L94" i="32" s="1"/>
  <c r="D98" i="32"/>
  <c r="D99" i="5"/>
  <c r="K92" i="32"/>
  <c r="K94" i="32" s="1"/>
  <c r="K94" i="5"/>
  <c r="K97" i="32"/>
  <c r="K99" i="32" s="1"/>
  <c r="K99" i="5"/>
  <c r="H94" i="32"/>
  <c r="M94" i="32"/>
  <c r="C94" i="5"/>
  <c r="H99" i="32"/>
  <c r="O70" i="32"/>
  <c r="E92" i="32"/>
  <c r="E94" i="5"/>
  <c r="I99" i="5"/>
  <c r="I97" i="32"/>
  <c r="M94" i="5"/>
  <c r="J99" i="5"/>
  <c r="H99" i="5"/>
  <c r="G67" i="5" l="1"/>
  <c r="C67" i="5"/>
  <c r="G79" i="5"/>
  <c r="G75" i="32"/>
  <c r="G79" i="32" s="1"/>
  <c r="H67" i="32"/>
  <c r="G67" i="32"/>
  <c r="F69" i="32"/>
  <c r="F73" i="32" s="1"/>
  <c r="F67" i="32" s="1"/>
  <c r="F73" i="5"/>
  <c r="F67" i="5" s="1"/>
  <c r="O89" i="32"/>
  <c r="E16" i="5"/>
  <c r="E16" i="32" s="1"/>
  <c r="G15" i="5"/>
  <c r="G15" i="32" s="1"/>
  <c r="D47" i="5"/>
  <c r="D47" i="32" s="1"/>
  <c r="L23" i="5"/>
  <c r="L23" i="32" s="1"/>
  <c r="C51" i="5"/>
  <c r="C51" i="32" s="1"/>
  <c r="O51" i="32" s="1"/>
  <c r="O38" i="5"/>
  <c r="F33" i="5"/>
  <c r="F33" i="32" s="1"/>
  <c r="E17" i="5"/>
  <c r="E17" i="32" s="1"/>
  <c r="J17" i="5"/>
  <c r="J17" i="32" s="1"/>
  <c r="O47" i="5"/>
  <c r="C29" i="5"/>
  <c r="C29" i="32" s="1"/>
  <c r="C19" i="5"/>
  <c r="C19" i="32" s="1"/>
  <c r="F37" i="5"/>
  <c r="F37" i="32" s="1"/>
  <c r="C40" i="5"/>
  <c r="C40" i="32" s="1"/>
  <c r="H54" i="5"/>
  <c r="H54" i="32" s="1"/>
  <c r="E41" i="5"/>
  <c r="E41" i="32" s="1"/>
  <c r="O39" i="5"/>
  <c r="H16" i="5"/>
  <c r="H16" i="32" s="1"/>
  <c r="L14" i="5"/>
  <c r="L14" i="32" s="1"/>
  <c r="C58" i="5"/>
  <c r="C58" i="32" s="1"/>
  <c r="C52" i="5"/>
  <c r="C52" i="32" s="1"/>
  <c r="D49" i="5"/>
  <c r="D49" i="32" s="1"/>
  <c r="M60" i="5"/>
  <c r="M60" i="32" s="1"/>
  <c r="O60" i="32" s="1"/>
  <c r="J28" i="5"/>
  <c r="J28" i="32" s="1"/>
  <c r="K45" i="5"/>
  <c r="K45" i="32" s="1"/>
  <c r="K14" i="5"/>
  <c r="D42" i="5"/>
  <c r="D42" i="32" s="1"/>
  <c r="I48" i="5"/>
  <c r="I48" i="32" s="1"/>
  <c r="F44" i="5"/>
  <c r="F44" i="32" s="1"/>
  <c r="I28" i="5"/>
  <c r="I28" i="32" s="1"/>
  <c r="I31" i="5"/>
  <c r="I31" i="32" s="1"/>
  <c r="E58" i="5"/>
  <c r="E58" i="32" s="1"/>
  <c r="H23" i="5"/>
  <c r="H23" i="32" s="1"/>
  <c r="J7" i="5"/>
  <c r="J7" i="32" s="1"/>
  <c r="J16" i="5"/>
  <c r="J16" i="32" s="1"/>
  <c r="I23" i="5"/>
  <c r="I23" i="32" s="1"/>
  <c r="C7" i="5"/>
  <c r="C7" i="32" s="1"/>
  <c r="M25" i="5"/>
  <c r="M25" i="32" s="1"/>
  <c r="I33" i="5"/>
  <c r="I33" i="32" s="1"/>
  <c r="O33" i="32" s="1"/>
  <c r="F57" i="5"/>
  <c r="F57" i="32" s="1"/>
  <c r="K28" i="5"/>
  <c r="K28" i="32" s="1"/>
  <c r="F28" i="5"/>
  <c r="F28" i="32" s="1"/>
  <c r="M40" i="5"/>
  <c r="M40" i="32" s="1"/>
  <c r="D43" i="5"/>
  <c r="D43" i="32" s="1"/>
  <c r="I6" i="5"/>
  <c r="I6" i="32" s="1"/>
  <c r="D24" i="5"/>
  <c r="D24" i="32" s="1"/>
  <c r="J32" i="5"/>
  <c r="J32" i="32" s="1"/>
  <c r="O32" i="32" s="1"/>
  <c r="M18" i="5"/>
  <c r="M18" i="32" s="1"/>
  <c r="G7" i="5"/>
  <c r="G7" i="32" s="1"/>
  <c r="K55" i="5"/>
  <c r="K55" i="32" s="1"/>
  <c r="O29" i="5"/>
  <c r="M30" i="5"/>
  <c r="M30" i="32" s="1"/>
  <c r="O16" i="5"/>
  <c r="L37" i="5"/>
  <c r="L37" i="32" s="1"/>
  <c r="D21" i="5"/>
  <c r="D21" i="32" s="1"/>
  <c r="O21" i="32" s="1"/>
  <c r="E48" i="5"/>
  <c r="E48" i="32" s="1"/>
  <c r="K29" i="5"/>
  <c r="K29" i="32" s="1"/>
  <c r="N9" i="5"/>
  <c r="N9" i="32" s="1"/>
  <c r="D18" i="5"/>
  <c r="D18" i="32" s="1"/>
  <c r="H40" i="5"/>
  <c r="H40" i="32" s="1"/>
  <c r="D31" i="5"/>
  <c r="D31" i="32" s="1"/>
  <c r="L20" i="5"/>
  <c r="L20" i="32" s="1"/>
  <c r="F7" i="5"/>
  <c r="F7" i="32" s="1"/>
  <c r="C42" i="5"/>
  <c r="C42" i="32" s="1"/>
  <c r="M47" i="5"/>
  <c r="M47" i="32" s="1"/>
  <c r="M34" i="5"/>
  <c r="M34" i="32" s="1"/>
  <c r="M49" i="5"/>
  <c r="M49" i="32" s="1"/>
  <c r="O69" i="5"/>
  <c r="O73" i="5" s="1"/>
  <c r="O67" i="5" s="1"/>
  <c r="O59" i="5"/>
  <c r="E18" i="5"/>
  <c r="E18" i="32" s="1"/>
  <c r="F52" i="5"/>
  <c r="F52" i="32" s="1"/>
  <c r="O52" i="32" s="1"/>
  <c r="C54" i="5"/>
  <c r="C54" i="32" s="1"/>
  <c r="F65" i="5"/>
  <c r="F65" i="32" s="1"/>
  <c r="L44" i="5"/>
  <c r="L44" i="32" s="1"/>
  <c r="G50" i="5"/>
  <c r="G50" i="32" s="1"/>
  <c r="J24" i="5"/>
  <c r="J24" i="32" s="1"/>
  <c r="N48" i="5"/>
  <c r="N48" i="32" s="1"/>
  <c r="O48" i="32" s="1"/>
  <c r="O41" i="5"/>
  <c r="O29" i="32"/>
  <c r="G34" i="5"/>
  <c r="G34" i="32" s="1"/>
  <c r="N60" i="5"/>
  <c r="N60" i="32" s="1"/>
  <c r="G19" i="5"/>
  <c r="G19" i="32" s="1"/>
  <c r="H25" i="5"/>
  <c r="H25" i="32" s="1"/>
  <c r="C30" i="5"/>
  <c r="C30" i="32" s="1"/>
  <c r="I22" i="5"/>
  <c r="I22" i="32" s="1"/>
  <c r="O17" i="5"/>
  <c r="M45" i="5"/>
  <c r="M45" i="32" s="1"/>
  <c r="M21" i="5"/>
  <c r="M21" i="32" s="1"/>
  <c r="I21" i="5"/>
  <c r="I21" i="32" s="1"/>
  <c r="E59" i="5"/>
  <c r="E59" i="32" s="1"/>
  <c r="O59" i="32" s="1"/>
  <c r="G40" i="5"/>
  <c r="G40" i="32" s="1"/>
  <c r="J27" i="5"/>
  <c r="J27" i="32" s="1"/>
  <c r="M27" i="5"/>
  <c r="M27" i="32" s="1"/>
  <c r="F40" i="5"/>
  <c r="F40" i="32" s="1"/>
  <c r="H28" i="5"/>
  <c r="H28" i="32" s="1"/>
  <c r="O28" i="32" s="1"/>
  <c r="L45" i="5"/>
  <c r="L45" i="32" s="1"/>
  <c r="K47" i="5"/>
  <c r="K47" i="32" s="1"/>
  <c r="M65" i="5"/>
  <c r="M65" i="32" s="1"/>
  <c r="G39" i="5"/>
  <c r="G39" i="32" s="1"/>
  <c r="O39" i="32" s="1"/>
  <c r="J58" i="5"/>
  <c r="J58" i="32" s="1"/>
  <c r="O58" i="32" s="1"/>
  <c r="N21" i="5"/>
  <c r="N21" i="32" s="1"/>
  <c r="C15" i="5"/>
  <c r="C15" i="32" s="1"/>
  <c r="I7" i="5"/>
  <c r="I7" i="32" s="1"/>
  <c r="I9" i="5"/>
  <c r="I9" i="32" s="1"/>
  <c r="K22" i="5"/>
  <c r="K22" i="32" s="1"/>
  <c r="L46" i="5"/>
  <c r="L46" i="32" s="1"/>
  <c r="I45" i="5"/>
  <c r="I45" i="32" s="1"/>
  <c r="J10" i="5"/>
  <c r="J10" i="32" s="1"/>
  <c r="O43" i="5"/>
  <c r="O55" i="5"/>
  <c r="E15" i="5"/>
  <c r="E15" i="32" s="1"/>
  <c r="K33" i="5"/>
  <c r="K33" i="32" s="1"/>
  <c r="L16" i="5"/>
  <c r="L16" i="32" s="1"/>
  <c r="O16" i="32" s="1"/>
  <c r="H27" i="5"/>
  <c r="H27" i="32" s="1"/>
  <c r="N40" i="5"/>
  <c r="N40" i="32" s="1"/>
  <c r="O54" i="5"/>
  <c r="O19" i="5"/>
  <c r="O34" i="5"/>
  <c r="D17" i="5"/>
  <c r="D17" i="32" s="1"/>
  <c r="O17" i="32" s="1"/>
  <c r="E36" i="5"/>
  <c r="E36" i="32" s="1"/>
  <c r="M19" i="5"/>
  <c r="M19" i="32" s="1"/>
  <c r="O19" i="32" s="1"/>
  <c r="N15" i="5"/>
  <c r="N15" i="32" s="1"/>
  <c r="D57" i="5"/>
  <c r="D57" i="32" s="1"/>
  <c r="D26" i="5"/>
  <c r="D26" i="32" s="1"/>
  <c r="O26" i="32" s="1"/>
  <c r="G45" i="5"/>
  <c r="G45" i="32" s="1"/>
  <c r="E67" i="5"/>
  <c r="G36" i="5"/>
  <c r="G36" i="32" s="1"/>
  <c r="O36" i="32" s="1"/>
  <c r="E14" i="5"/>
  <c r="E14" i="32" s="1"/>
  <c r="O35" i="5"/>
  <c r="O65" i="5"/>
  <c r="G27" i="5"/>
  <c r="G27" i="32" s="1"/>
  <c r="D14" i="5"/>
  <c r="D14" i="32" s="1"/>
  <c r="D15" i="32"/>
  <c r="G14" i="32"/>
  <c r="O18" i="32"/>
  <c r="O50" i="32"/>
  <c r="O23" i="32"/>
  <c r="O71" i="32"/>
  <c r="M6" i="32"/>
  <c r="M8" i="32" s="1"/>
  <c r="M5" i="32" s="1"/>
  <c r="M12" i="32" s="1"/>
  <c r="M8" i="5"/>
  <c r="M5" i="5" s="1"/>
  <c r="M12" i="5" s="1"/>
  <c r="J6" i="32"/>
  <c r="J8" i="32" s="1"/>
  <c r="J5" i="32" s="1"/>
  <c r="J8" i="5"/>
  <c r="J5" i="5" s="1"/>
  <c r="E6" i="32"/>
  <c r="E8" i="32" s="1"/>
  <c r="E5" i="32" s="1"/>
  <c r="E12" i="32" s="1"/>
  <c r="E8" i="5"/>
  <c r="E5" i="5" s="1"/>
  <c r="E12" i="5" s="1"/>
  <c r="H14" i="32"/>
  <c r="O9" i="32"/>
  <c r="O46" i="32"/>
  <c r="O20" i="32"/>
  <c r="O56" i="32"/>
  <c r="O77" i="32"/>
  <c r="O38" i="32"/>
  <c r="I14" i="32"/>
  <c r="O40" i="32"/>
  <c r="O10" i="32"/>
  <c r="K14" i="32"/>
  <c r="O42" i="32"/>
  <c r="M14" i="32"/>
  <c r="F6" i="32"/>
  <c r="O65" i="32"/>
  <c r="D6" i="32"/>
  <c r="D8" i="32" s="1"/>
  <c r="D5" i="32" s="1"/>
  <c r="D12" i="32" s="1"/>
  <c r="D8" i="5"/>
  <c r="D5" i="5" s="1"/>
  <c r="D12" i="5" s="1"/>
  <c r="O25" i="32"/>
  <c r="O41" i="32"/>
  <c r="O30" i="32"/>
  <c r="O34" i="32"/>
  <c r="O24" i="32"/>
  <c r="O47" i="32"/>
  <c r="O43" i="32"/>
  <c r="F14" i="32"/>
  <c r="O49" i="32"/>
  <c r="D99" i="32"/>
  <c r="O98" i="32"/>
  <c r="I99" i="32"/>
  <c r="O97" i="32"/>
  <c r="E94" i="32"/>
  <c r="O92" i="32"/>
  <c r="O94" i="32" s="1"/>
  <c r="N73" i="32"/>
  <c r="N67" i="32" s="1"/>
  <c r="O57" i="32"/>
  <c r="N67" i="5"/>
  <c r="O55" i="32"/>
  <c r="N14" i="32"/>
  <c r="C6" i="32"/>
  <c r="O5" i="5"/>
  <c r="O12" i="5" s="1"/>
  <c r="H8" i="5"/>
  <c r="H5" i="5" s="1"/>
  <c r="H12" i="5" s="1"/>
  <c r="H6" i="32"/>
  <c r="H8" i="32" s="1"/>
  <c r="H5" i="32" s="1"/>
  <c r="H12" i="32" s="1"/>
  <c r="L15" i="32"/>
  <c r="E79" i="32"/>
  <c r="E67" i="32" s="1"/>
  <c r="O75" i="32"/>
  <c r="J14" i="32"/>
  <c r="O35" i="32"/>
  <c r="K6" i="32"/>
  <c r="K8" i="32" s="1"/>
  <c r="K5" i="32" s="1"/>
  <c r="K12" i="32" s="1"/>
  <c r="K8" i="5"/>
  <c r="K5" i="5" s="1"/>
  <c r="K12" i="5" s="1"/>
  <c r="N6" i="32"/>
  <c r="N8" i="32" s="1"/>
  <c r="N5" i="32" s="1"/>
  <c r="N12" i="32" s="1"/>
  <c r="N8" i="5"/>
  <c r="N5" i="5" s="1"/>
  <c r="N12" i="5" s="1"/>
  <c r="G6" i="32"/>
  <c r="G8" i="32" s="1"/>
  <c r="G5" i="32" s="1"/>
  <c r="G12" i="32" s="1"/>
  <c r="G8" i="5"/>
  <c r="G5" i="5" s="1"/>
  <c r="G12" i="5" s="1"/>
  <c r="O37" i="32"/>
  <c r="C14" i="32"/>
  <c r="L6" i="32"/>
  <c r="L8" i="32" s="1"/>
  <c r="L5" i="32" s="1"/>
  <c r="L12" i="32" s="1"/>
  <c r="L8" i="5"/>
  <c r="L5" i="5" s="1"/>
  <c r="L12" i="5" s="1"/>
  <c r="M61" i="5" l="1"/>
  <c r="M13" i="5" s="1"/>
  <c r="J12" i="5"/>
  <c r="I61" i="5"/>
  <c r="I13" i="5" s="1"/>
  <c r="F61" i="5"/>
  <c r="F13" i="5" s="1"/>
  <c r="K61" i="5"/>
  <c r="K61" i="32" s="1"/>
  <c r="K13" i="32" s="1"/>
  <c r="K66" i="32" s="1"/>
  <c r="K80" i="32" s="1"/>
  <c r="J12" i="32"/>
  <c r="O45" i="32"/>
  <c r="O22" i="32"/>
  <c r="O31" i="32"/>
  <c r="O61" i="5"/>
  <c r="O13" i="5" s="1"/>
  <c r="O66" i="5" s="1"/>
  <c r="O80" i="5" s="1"/>
  <c r="I8" i="32"/>
  <c r="I5" i="32" s="1"/>
  <c r="I12" i="32" s="1"/>
  <c r="I81" i="32" s="1"/>
  <c r="O7" i="32"/>
  <c r="O44" i="32"/>
  <c r="N61" i="5"/>
  <c r="N13" i="5" s="1"/>
  <c r="H61" i="5"/>
  <c r="H61" i="32" s="1"/>
  <c r="H13" i="32" s="1"/>
  <c r="H66" i="32" s="1"/>
  <c r="H80" i="32" s="1"/>
  <c r="O27" i="32"/>
  <c r="I8" i="5"/>
  <c r="I5" i="5" s="1"/>
  <c r="I12" i="5" s="1"/>
  <c r="J61" i="5"/>
  <c r="J13" i="5" s="1"/>
  <c r="J66" i="5" s="1"/>
  <c r="J80" i="5" s="1"/>
  <c r="C8" i="5"/>
  <c r="C5" i="5" s="1"/>
  <c r="C12" i="5" s="1"/>
  <c r="F8" i="5"/>
  <c r="F5" i="5" s="1"/>
  <c r="F12" i="5" s="1"/>
  <c r="F81" i="5" s="1"/>
  <c r="G61" i="5"/>
  <c r="G13" i="5" s="1"/>
  <c r="G66" i="5" s="1"/>
  <c r="G80" i="5" s="1"/>
  <c r="C61" i="5"/>
  <c r="C13" i="5" s="1"/>
  <c r="F8" i="32"/>
  <c r="F5" i="32" s="1"/>
  <c r="F12" i="32" s="1"/>
  <c r="F81" i="32" s="1"/>
  <c r="O54" i="32"/>
  <c r="O69" i="32"/>
  <c r="D61" i="5"/>
  <c r="D61" i="32" s="1"/>
  <c r="D13" i="32" s="1"/>
  <c r="D66" i="32" s="1"/>
  <c r="D80" i="32" s="1"/>
  <c r="O73" i="32"/>
  <c r="E61" i="5"/>
  <c r="L61" i="5"/>
  <c r="M3" i="10" a="1"/>
  <c r="M3" i="10" s="1"/>
  <c r="E81" i="5"/>
  <c r="J3" i="10" a="1"/>
  <c r="J3" i="10" s="1"/>
  <c r="D81" i="5"/>
  <c r="I66" i="5"/>
  <c r="I80" i="5" s="1"/>
  <c r="I81" i="5"/>
  <c r="H81" i="5"/>
  <c r="N3" i="10" a="1"/>
  <c r="N3" i="10" s="1"/>
  <c r="M81" i="32"/>
  <c r="F3" i="10" a="1"/>
  <c r="F3" i="10" s="1"/>
  <c r="O81" i="5"/>
  <c r="K3" i="10" a="1"/>
  <c r="K3" i="10" s="1"/>
  <c r="C81" i="5"/>
  <c r="C66" i="5"/>
  <c r="C80" i="5" s="1"/>
  <c r="O79" i="32"/>
  <c r="O67" i="32" s="1"/>
  <c r="C8" i="32"/>
  <c r="C5" i="32" s="1"/>
  <c r="C12" i="32" s="1"/>
  <c r="O6" i="32"/>
  <c r="G3" i="10" a="1"/>
  <c r="G3" i="10" s="1"/>
  <c r="E81" i="32"/>
  <c r="G81" i="5"/>
  <c r="M61" i="32"/>
  <c r="M13" i="32" s="1"/>
  <c r="M66" i="32" s="1"/>
  <c r="M80" i="32" s="1"/>
  <c r="P3" i="10" a="1"/>
  <c r="P3" i="10" s="1"/>
  <c r="J81" i="5"/>
  <c r="L81" i="5"/>
  <c r="G81" i="32"/>
  <c r="K81" i="5"/>
  <c r="D81" i="32"/>
  <c r="J81" i="32"/>
  <c r="L81" i="32"/>
  <c r="N81" i="5"/>
  <c r="N66" i="5"/>
  <c r="N80" i="5" s="1"/>
  <c r="K81" i="32"/>
  <c r="N61" i="32"/>
  <c r="N13" i="32" s="1"/>
  <c r="N66" i="32" s="1"/>
  <c r="N80" i="32" s="1"/>
  <c r="Q3" i="10" a="1"/>
  <c r="Q3" i="10" s="1"/>
  <c r="O99" i="32"/>
  <c r="O15" i="32"/>
  <c r="L3" i="10" a="1"/>
  <c r="L3" i="10" s="1"/>
  <c r="I61" i="32"/>
  <c r="I13" i="32" s="1"/>
  <c r="O14" i="32"/>
  <c r="N81" i="32"/>
  <c r="H81" i="32"/>
  <c r="F61" i="32"/>
  <c r="F13" i="32" s="1"/>
  <c r="F66" i="32" s="1"/>
  <c r="F80" i="32" s="1"/>
  <c r="I3" i="10" a="1"/>
  <c r="I3" i="10" s="1"/>
  <c r="K13" i="5"/>
  <c r="K66" i="5" s="1"/>
  <c r="K80" i="5" s="1"/>
  <c r="H13" i="5"/>
  <c r="H66" i="5" s="1"/>
  <c r="H80" i="5" s="1"/>
  <c r="M81" i="5"/>
  <c r="M66" i="5"/>
  <c r="M80" i="5" s="1"/>
  <c r="D13" i="5" l="1"/>
  <c r="D66" i="5" s="1"/>
  <c r="D80" i="5" s="1"/>
  <c r="G61" i="32"/>
  <c r="G13" i="32" s="1"/>
  <c r="G66" i="32" s="1"/>
  <c r="G80" i="32" s="1"/>
  <c r="I66" i="32"/>
  <c r="I80" i="32" s="1"/>
  <c r="O8" i="32"/>
  <c r="O5" i="32" s="1"/>
  <c r="O12" i="32" s="1"/>
  <c r="O81" i="32" s="1"/>
  <c r="F66" i="5"/>
  <c r="F80" i="5" s="1"/>
  <c r="C61" i="32"/>
  <c r="C13" i="32" s="1"/>
  <c r="C66" i="32" s="1"/>
  <c r="C80" i="32" s="1"/>
  <c r="J61" i="32"/>
  <c r="J13" i="32" s="1"/>
  <c r="J66" i="32" s="1"/>
  <c r="J80" i="32" s="1"/>
  <c r="O3" i="10" a="1"/>
  <c r="O3" i="10" s="1"/>
  <c r="L61" i="32"/>
  <c r="L13" i="32" s="1"/>
  <c r="L66" i="32" s="1"/>
  <c r="L80" i="32" s="1"/>
  <c r="L13" i="5"/>
  <c r="L66" i="5" s="1"/>
  <c r="L80" i="5" s="1"/>
  <c r="H3" i="10" a="1"/>
  <c r="H3" i="10" s="1"/>
  <c r="E61" i="32"/>
  <c r="E13" i="32" s="1"/>
  <c r="E66" i="32" s="1"/>
  <c r="E80" i="32" s="1"/>
  <c r="E13" i="5"/>
  <c r="E66" i="5" s="1"/>
  <c r="E80" i="5" s="1"/>
  <c r="C81" i="32"/>
  <c r="O61" i="32" l="1"/>
  <c r="O13" i="32" s="1"/>
  <c r="O66" i="32" s="1"/>
  <c r="O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28E4E278-387E-4000-9B02-221004ED1378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DF0E8EEB-CDC4-47CD-A445-7EBF1D919812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<sst xmlns="http://schemas.openxmlformats.org/spreadsheetml/2006/main" count="1716" uniqueCount="770">
  <si>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</si>
  <si>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</si>
  <si>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</si>
  <si>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</si>
  <si>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</si>
  <si>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</si>
  <si>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</si>
  <si>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</si>
  <si>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</si>
  <si>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</si>
  <si>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</si>
  <si>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</si>
  <si>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</si>
  <si>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</si>
  <si>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</si>
  <si>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</si>
  <si>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</si>
  <si>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</si>
  <si>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</si>
  <si>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</si>
  <si>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</si>
  <si>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</si>
  <si>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</si>
  <si>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</si>
  <si>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</si>
  <si>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</si>
  <si>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</si>
  <si>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</si>
  <si>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</si>
  <si>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</si>
  <si>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</si>
  <si>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</si>
  <si>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</si>
  <si>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</si>
  <si>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</si>
  <si>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</si>
  <si>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</si>
  <si>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</si>
  <si>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</si>
  <si>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</si>
  <si>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</si>
  <si>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</si>
  <si>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</si>
  <si>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</si>
  <si>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</si>
  <si>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</si>
  <si>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</si>
  <si>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</si>
  <si>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</si>
  <si>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</si>
  <si>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</si>
  <si>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</si>
  <si>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</si>
  <si>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</si>
  <si>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</si>
  <si>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</si>
  <si>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</si>
  <si>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</si>
  <si>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</si>
  <si>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</si>
  <si>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</si>
  <si>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</si>
  <si>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</si>
  <si>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</si>
  <si>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</si>
  <si>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</si>
  <si>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</si>
  <si>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</si>
  <si>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</si>
  <si>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</si>
  <si>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</si>
  <si>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</si>
  <si>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</si>
  <si>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</si>
  <si>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</si>
  <si>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</si>
  <si>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</si>
  <si>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</si>
  <si>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</si>
  <si>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</si>
  <si>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</si>
  <si>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</si>
  <si>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</si>
  <si>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</si>
  <si>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</si>
  <si>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</si>
  <si>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</si>
  <si>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</si>
  <si>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</si>
  <si>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</si>
  <si>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</si>
  <si>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</si>
  <si>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</si>
  <si>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</si>
  <si>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</si>
  <si>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</si>
  <si>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</si>
  <si>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</si>
  <si>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</si>
  <si>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</si>
  <si>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</si>
  <si>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</si>
  <si>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</si>
  <si>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</si>
  <si>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</si>
  <si>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</si>
  <si>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</si>
  <si>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</si>
  <si>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</si>
  <si>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</si>
  <si>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</si>
  <si>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</si>
  <si>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</si>
  <si>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</si>
  <si>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</si>
  <si>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</si>
  <si>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</si>
  <si>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</si>
  <si>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</si>
  <si>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</si>
  <si>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</si>
  <si>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</si>
  <si>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</si>
  <si>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</si>
  <si>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</si>
  <si>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</si>
  <si>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</si>
  <si>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</si>
  <si>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</si>
  <si>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</si>
  <si>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</si>
  <si>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</si>
  <si>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</si>
  <si>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</si>
  <si>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</si>
  <si>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</si>
  <si>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</si>
  <si>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</si>
  <si>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</si>
  <si>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</si>
  <si>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</si>
  <si>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</si>
  <si>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</si>
  <si>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</si>
  <si>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</si>
  <si>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</si>
  <si>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</si>
  <si>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</si>
  <si>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</si>
  <si>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</si>
  <si>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</si>
  <si>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</si>
  <si>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</si>
  <si>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</si>
  <si>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</si>
  <si>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</si>
  <si>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</si>
  <si>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</si>
  <si>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</si>
  <si>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</si>
  <si>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</si>
  <si>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</si>
  <si>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</si>
  <si>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</si>
  <si>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</si>
  <si>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</si>
  <si>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</si>
  <si>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</si>
  <si>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</si>
  <si>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</si>
  <si>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</si>
  <si>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</si>
  <si>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</si>
  <si>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</si>
  <si>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</si>
  <si>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</si>
  <si>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</si>
  <si>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</si>
  <si>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</si>
  <si>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</si>
  <si>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</si>
  <si>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</si>
  <si>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</si>
  <si>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</si>
  <si>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</si>
  <si>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</si>
  <si>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</si>
  <si>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</si>
  <si>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</si>
  <si>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</si>
  <si>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</si>
  <si>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</si>
  <si>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</si>
  <si>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</si>
  <si>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</si>
  <si>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</si>
  <si>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</si>
  <si>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</si>
  <si>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</si>
  <si>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</si>
  <si>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</si>
  <si>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</si>
  <si>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</si>
  <si>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</si>
  <si>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</si>
  <si>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</si>
  <si>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</si>
  <si>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</si>
  <si>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</si>
  <si>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</si>
  <si>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</si>
  <si>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</si>
  <si>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</si>
  <si>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</si>
  <si>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</si>
  <si>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</si>
  <si>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</si>
  <si>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</si>
  <si>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</si>
  <si>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</si>
  <si>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</si>
  <si>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</si>
  <si>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</si>
  <si>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</si>
  <si>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</si>
  <si>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</si>
  <si>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</si>
  <si>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</si>
  <si>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</si>
  <si>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</si>
  <si>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</si>
  <si>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</si>
  <si>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</si>
  <si>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</si>
  <si>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</si>
  <si>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</si>
  <si>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</si>
  <si>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</si>
  <si>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</si>
  <si>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</si>
  <si>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</si>
  <si>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</si>
  <si>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</si>
  <si>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</si>
  <si>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</si>
  <si>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</si>
  <si>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</si>
  <si>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</si>
  <si>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</si>
  <si>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</si>
  <si>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</si>
  <si>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</si>
  <si>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</si>
  <si>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</si>
  <si>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</si>
  <si>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</si>
  <si>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</si>
  <si>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</si>
  <si>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</si>
  <si>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</si>
  <si>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</si>
  <si>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</si>
  <si>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</si>
  <si>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</si>
  <si>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</si>
  <si>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</si>
  <si>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</si>
  <si>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</si>
  <si>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</si>
  <si>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</si>
  <si>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</si>
  <si>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</si>
  <si>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</si>
  <si>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</si>
  <si>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</si>
  <si>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</si>
  <si>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</si>
  <si>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</si>
  <si>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</si>
  <si>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</si>
  <si>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</si>
  <si>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</si>
  <si>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</si>
  <si>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</si>
  <si>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</si>
  <si>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</si>
  <si>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</si>
  <si>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</si>
  <si>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</si>
  <si>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</si>
  <si>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</si>
  <si>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</si>
  <si>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</si>
  <si>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</si>
  <si>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</si>
  <si>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</si>
  <si>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</si>
  <si>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</si>
  <si>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</si>
  <si>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</si>
  <si>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</si>
  <si>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</si>
  <si>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</si>
  <si>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</si>
  <si>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</si>
  <si>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</si>
  <si>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</si>
  <si>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</si>
  <si>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</si>
  <si>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</si>
  <si>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</si>
  <si>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</si>
  <si>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</si>
  <si>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</si>
  <si>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</si>
  <si>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</si>
  <si>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</si>
  <si>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</si>
  <si>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</si>
  <si>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</si>
  <si>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</si>
  <si>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</si>
  <si>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</si>
  <si>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</si>
  <si>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</si>
  <si>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</si>
  <si>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</si>
  <si>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</si>
  <si>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</si>
  <si>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</si>
  <si>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</si>
  <si>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</si>
  <si>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</si>
  <si>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</si>
  <si>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</si>
  <si>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</si>
  <si>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</si>
  <si>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</si>
  <si>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</si>
  <si>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</si>
  <si>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</si>
  <si>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</si>
  <si>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</si>
  <si>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</si>
  <si>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</si>
  <si>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</si>
  <si>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</si>
  <si>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</si>
  <si>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</si>
  <si>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</si>
  <si>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</si>
  <si>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</si>
  <si>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</si>
  <si>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</si>
  <si>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</si>
  <si>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</si>
  <si>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</si>
  <si>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</si>
  <si>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</si>
  <si>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</si>
  <si>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</si>
  <si>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</si>
  <si>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</si>
  <si>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</si>
  <si>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</si>
  <si>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</si>
  <si>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</si>
  <si>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</si>
  <si>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</si>
  <si>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</si>
  <si>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</si>
  <si>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</si>
  <si>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</si>
  <si>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</si>
  <si>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</si>
  <si>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</si>
  <si>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</si>
  <si>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</si>
  <si>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</si>
  <si>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</si>
  <si>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</si>
  <si>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</si>
  <si>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</si>
  <si>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</si>
  <si>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</si>
  <si>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</si>
  <si>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</si>
  <si>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</si>
  <si>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</si>
  <si>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</si>
  <si>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</si>
  <si>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</si>
  <si>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</si>
  <si>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</si>
  <si>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</si>
  <si>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</si>
  <si>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</si>
  <si>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</si>
  <si>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</si>
  <si>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</si>
  <si>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</si>
  <si>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</si>
  <si>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</si>
  <si>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</si>
  <si>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</si>
  <si>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</si>
  <si>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</si>
  <si>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</si>
  <si>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</si>
  <si>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</si>
  <si>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</si>
  <si>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</si>
  <si>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</si>
  <si>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</si>
  <si>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</si>
  <si>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</si>
  <si>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</si>
  <si>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</si>
  <si>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</si>
  <si>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</si>
  <si>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</si>
  <si>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</si>
  <si>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</si>
  <si>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</si>
  <si>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</si>
  <si>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</si>
  <si>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</si>
  <si>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</si>
  <si>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</si>
  <si>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</si>
  <si>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</si>
  <si>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</si>
  <si>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</si>
  <si>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</si>
  <si>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</si>
  <si>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</si>
  <si>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</si>
  <si>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</si>
  <si>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</si>
  <si>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</si>
  <si>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</si>
  <si>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</si>
  <si>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</si>
  <si>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</si>
  <si>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</si>
  <si>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</si>
  <si>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</si>
  <si>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</si>
  <si>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</si>
  <si>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</si>
  <si>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</si>
  <si>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</si>
  <si>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</si>
  <si>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</si>
  <si>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</si>
  <si>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</si>
  <si>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</si>
  <si>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</si>
  <si>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</si>
  <si>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</si>
  <si>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</si>
  <si>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</si>
  <si>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</si>
  <si>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</si>
  <si>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</si>
  <si>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</si>
  <si>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</si>
  <si>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</si>
  <si>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</si>
  <si>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</si>
  <si>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</si>
  <si>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</si>
  <si>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</si>
  <si>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</si>
  <si>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</si>
  <si>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</si>
  <si>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</si>
  <si>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</si>
  <si>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</si>
  <si>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</si>
  <si>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</si>
  <si>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</si>
  <si>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</si>
  <si>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</si>
  <si>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</si>
  <si>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</si>
  <si>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</si>
  <si>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</si>
  <si>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</si>
  <si>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</si>
  <si>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</si>
  <si>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</si>
  <si>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</si>
  <si>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</si>
  <si>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</si>
  <si>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</si>
  <si>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</si>
  <si>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</si>
  <si>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</si>
  <si>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</si>
  <si>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</si>
  <si>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</si>
  <si>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</si>
  <si>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</si>
  <si>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</si>
  <si>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</si>
  <si>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</si>
  <si>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</si>
  <si>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</si>
  <si>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</si>
  <si>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</si>
  <si>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</si>
  <si>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</si>
  <si>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</si>
  <si>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</si>
  <si>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</si>
  <si>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</si>
  <si>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</si>
  <si>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</si>
  <si>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</si>
  <si>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</si>
  <si>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</si>
  <si>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</si>
  <si>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</si>
  <si>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</si>
  <si>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</si>
  <si>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</si>
  <si>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</si>
  <si>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</si>
  <si>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</si>
  <si>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</si>
  <si>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</si>
  <si>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</si>
  <si>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</si>
  <si>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</si>
  <si>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</si>
  <si>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</si>
  <si>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</si>
  <si>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</si>
  <si>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</si>
  <si>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</si>
  <si>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</si>
  <si>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</si>
  <si>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</si>
  <si>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</si>
  <si>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</si>
  <si>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</si>
  <si>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</si>
  <si>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</si>
  <si>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</si>
  <si>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</si>
  <si>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</si>
  <si>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</si>
  <si>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</si>
  <si>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</si>
  <si>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</si>
  <si>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</si>
  <si>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</si>
  <si>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</si>
  <si>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</si>
  <si>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</si>
  <si>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</si>
  <si>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</si>
  <si>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</si>
  <si>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</si>
  <si>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</si>
  <si>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</si>
  <si>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</si>
  <si>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</si>
  <si>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</si>
  <si>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</si>
  <si>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</si>
  <si>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</si>
  <si>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</si>
  <si>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</si>
  <si>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</si>
  <si>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</si>
  <si>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</si>
  <si>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</si>
  <si>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</si>
  <si>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</si>
  <si>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</si>
  <si>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</si>
  <si>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</si>
  <si>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</si>
  <si>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</si>
  <si>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</si>
  <si>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</si>
  <si>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</si>
  <si>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</si>
  <si>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</si>
  <si>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</si>
  <si>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</si>
  <si>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</si>
  <si>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</si>
  <si>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</si>
  <si>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</si>
  <si>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</si>
  <si>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</si>
  <si>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</si>
  <si>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</si>
  <si>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</si>
  <si>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</si>
  <si>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</si>
  <si>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</si>
  <si>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</si>
  <si>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</si>
  <si>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</si>
  <si>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</si>
  <si>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</si>
  <si>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</si>
  <si>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</si>
  <si>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</si>
  <si>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</si>
  <si>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</si>
  <si>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</si>
  <si>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</si>
  <si>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</si>
  <si>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</si>
  <si>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</si>
  <si>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</si>
  <si>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</si>
  <si>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</si>
  <si>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</si>
  <si>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</si>
  <si>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</si>
  <si>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</si>
  <si>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</si>
  <si>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</si>
  <si>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</si>
  <si>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</si>
  <si>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</si>
  <si>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</si>
  <si>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</si>
  <si>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</si>
  <si>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</si>
  <si>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</si>
  <si>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</si>
  <si>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</si>
  <si>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</si>
  <si>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</si>
  <si>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</si>
  <si>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</si>
  <si>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</si>
  <si>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</si>
  <si>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</si>
  <si>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</si>
  <si>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</si>
  <si>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</si>
  <si>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</si>
  <si>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</si>
  <si>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</si>
  <si>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</si>
  <si>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</si>
  <si>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</si>
  <si>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</si>
  <si>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</si>
  <si>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</si>
  <si>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</si>
  <si>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</si>
  <si>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</si>
  <si>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</si>
  <si>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</si>
  <si>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</si>
  <si>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</si>
  <si>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</si>
  <si>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</si>
  <si>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</si>
  <si>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</si>
  <si>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</si>
  <si>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</si>
  <si>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</si>
  <si>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</si>
  <si>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</si>
  <si>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</si>
  <si>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</si>
  <si>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</si>
  <si>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</si>
  <si>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</si>
  <si>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</si>
  <si>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</si>
  <si>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</si>
  <si>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</si>
  <si>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</si>
  <si>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</si>
  <si>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</si>
  <si>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</si>
  <si>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</si>
  <si>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</si>
  <si>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</si>
  <si>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</si>
  <si>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</si>
  <si>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</si>
  <si>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Chi phí chuyển phát</t>
  </si>
  <si>
    <t>Chi phí tiêu hao 生産用消耗品費</t>
  </si>
  <si>
    <t>Chi phí CCDC 消耗工具器具備品費</t>
  </si>
  <si>
    <t>Chi phí CCDC 消耗工具器具備品費 ( Iris EH)</t>
  </si>
  <si>
    <t>Kiểm định thiết bị ( T1- T4- T10 - T12)
Sửa xe- bảo dưỡng(  nâng tay - nâng tay điện- nâng cân)
Hiệu chuẩn cân tháng 3 - T8( 2 cai) - T9( 2 cái)</t>
  </si>
  <si>
    <t>Linh kiện thay thế dùng cho máy quãn và máy gắp</t>
  </si>
  <si>
    <t>Văn phòng phẩm 文房具代</t>
  </si>
  <si>
    <t>　ガス　Gas</t>
  </si>
  <si>
    <t>nước rửa tay  手洗い</t>
  </si>
  <si>
    <t>Cồn khử trùng</t>
  </si>
  <si>
    <t>giấy vệ sinh  トイレットペーパー</t>
  </si>
  <si>
    <t>phí dọn VS　掃除費</t>
  </si>
  <si>
    <t>Chi phi xe buyt nguoi nhat</t>
  </si>
  <si>
    <t>Chi phi xe buyt</t>
  </si>
  <si>
    <t xml:space="preserve">Tiệc sinh nhật 誕生日会 </t>
  </si>
  <si>
    <t>Chi phi sử dụng xe đưa đón taxi</t>
  </si>
  <si>
    <t>Bánh Trung Thu  月餅 tháng 9</t>
  </si>
  <si>
    <t>Lễ hội mùa hè 納涼祭 tháng 9</t>
  </si>
  <si>
    <t>Đại hội thể thao 運動会 tháng 11- hỗ trợ bão</t>
  </si>
  <si>
    <t>Tiệc tất niên, mừng FY mới sau tháng đề nghị</t>
  </si>
  <si>
    <t>Giai tham gia luan van　tháng 7</t>
  </si>
  <si>
    <t>Du lich 旅行 tháng 5 - chi phí phat ao</t>
  </si>
  <si>
    <t>khám sức khỏe định kỳ tháng 12</t>
  </si>
  <si>
    <t>lixi năm mới sau tết</t>
  </si>
  <si>
    <t>Qùa công ty-  tiệc 1000 ngày</t>
  </si>
  <si>
    <t>Khấu hao xe foklift フォークリフト</t>
  </si>
  <si>
    <t>Khấu hao xe foklift フォークリフト nhà C</t>
  </si>
  <si>
    <t>Máy quấn màng film nhà C</t>
  </si>
  <si>
    <t>10 AGV linkway</t>
  </si>
  <si>
    <t>Xe nâng tay điện ( 11 xe)</t>
  </si>
  <si>
    <t>Xe nâng tay điện ( 1xe)- C</t>
  </si>
  <si>
    <t>Khấu hao robot gắp hàng A</t>
  </si>
  <si>
    <t>Linkway AC</t>
  </si>
  <si>
    <t>Lãi suất khấu hao xe Forklift</t>
  </si>
  <si>
    <t>Lãi suất khấu hao xe Forklift Nhà C</t>
  </si>
  <si>
    <t>Lãi suất robot gắp hàng</t>
  </si>
  <si>
    <t>Lãi suất khấu hao AGV</t>
  </si>
  <si>
    <t>Lãi suất máy quấn màng film nhà C</t>
  </si>
  <si>
    <t>Xe nâng tay điện ( 1xeC</t>
  </si>
  <si>
    <t>Chi phí pallet xuất hàng 出荷パレット費 : nẹp góc, màng phim, băng dính,,,</t>
  </si>
  <si>
    <t>Chi phi đổi đồng phục</t>
  </si>
  <si>
    <t>Taxi　タクシー xe công tác</t>
  </si>
  <si>
    <t>sinh con, kết hôn　出産・結婚</t>
  </si>
  <si>
    <t xml:space="preserve">名札ケース vỏ thẻ (2200)+  kẹp (1400) </t>
  </si>
  <si>
    <t xml:space="preserve">Bút　ペン </t>
  </si>
  <si>
    <t>Số　ノート ( nhân viên : 9100 + CN : 4200)</t>
  </si>
  <si>
    <t>Lịch bỏ túi カレンダー(1000)</t>
  </si>
  <si>
    <t>Thẻ từ chấm công +Ảnh　名札+写真</t>
  </si>
  <si>
    <t>Số sách liên quan đến Cty  フィロソフィ手帳 (PHILOSOPHY)
 2 quyển ( 18000+9200</t>
  </si>
  <si>
    <t>cốc xếp ( tháng 2- tháng 8)</t>
  </si>
  <si>
    <t>靴 Giày vải ( nữ 73 - nam 78) ( không phát giầy vải)</t>
  </si>
  <si>
    <t xml:space="preserve">安全靴 Giày an toàn </t>
  </si>
  <si>
    <t>帽子Mũ</t>
  </si>
  <si>
    <t>制服（夏） Đồng phục ngắn tay
(T2 cấp áo ngắn tay cho người mới vào cty tháng 1)</t>
  </si>
  <si>
    <t>制服（冬 Đồng phục dài tay 
( t10 sẽ phát cho
 người chưa có từ  T5-T09) tháng (2),3,4,(10),11,12 sẽ phát cả 4 áo</t>
  </si>
  <si>
    <t xml:space="preserve">制服ズボン Quần </t>
  </si>
  <si>
    <t>Đào tạo lái xe forklift (5 người)</t>
  </si>
  <si>
    <t xml:space="preserve">Lãi tồn kho </t>
  </si>
  <si>
    <t>Chi phí sử dụng HT KDCシステム使用量</t>
  </si>
  <si>
    <t>電気代　Tiền điện</t>
  </si>
  <si>
    <t>水道代　Tiền nước</t>
  </si>
  <si>
    <t>Khau hao nha xưởng 建物減価償却費</t>
  </si>
  <si>
    <t>Khau hao đất 土地減価償却費</t>
  </si>
  <si>
    <t>Lãi suất khấu hao nhà xưởng</t>
  </si>
  <si>
    <t>Lãi suất khấu hao đất</t>
  </si>
  <si>
    <t>Chi phí mở tờ khai hải quan　Check kĩ code</t>
  </si>
  <si>
    <t>Thuê xe vận tải Minh Châu</t>
  </si>
  <si>
    <t>kham SK 採用時検診</t>
  </si>
  <si>
    <t>Phát cốc xếp định kỳ( thang 2 tháng 8)</t>
  </si>
  <si>
    <t>Lịch bỏ túi カレンダー (tháng 11 phát lịch năm mới)</t>
  </si>
  <si>
    <t>chi phí bồi dưỡng giao viên tiếng nhật- chi tiệc người mới</t>
  </si>
  <si>
    <t>Xe nâng tay điện ( 7xe)</t>
  </si>
  <si>
    <t>Khấu hao  5 cái AGV</t>
  </si>
  <si>
    <t> 製品運搬</t>
  </si>
  <si>
    <t>製品運搬</t>
  </si>
  <si>
    <t>AGV (100 W)　5台 ( AGV  )　　　　　　　　</t>
  </si>
  <si>
    <t>電動ハンドリフト　　7台 ( 7 xe nâng tay điện)  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</si>
</sst>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;[Red]&quot;¥&quot;\-#,##0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4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36" borderId="13" xfId="0" applyFill="1" applyBorder="1"/>
    <xf numFmtId="40" fontId="73" fillId="0" borderId="23" xfId="67" applyNumberFormat="1" applyFont="1" applyBorder="1" applyAlignment="1">
      <alignment horizontal="right" vertical="center" shrinkToFit="1"/>
    </xf>
    <xf numFmtId="40" fontId="73" fillId="34" borderId="39" xfId="68" applyNumberFormat="1" applyFont="1" applyFill="1" applyBorder="1" applyAlignment="1" applyProtection="1">
      <alignment horizontal="right" vertical="center" shrinkToFit="1"/>
      <protection locked="0"/>
    </xf>
    <xf numFmtId="40" fontId="73" fillId="34" borderId="39" xfId="66" applyFont="1" applyFill="1" applyBorder="1" applyAlignment="1" applyProtection="1">
      <alignment horizontal="right" vertical="center" shrinkToFit="1"/>
      <protection locked="0"/>
    </xf>
    <xf numFmtId="0" fontId="0" fillId="0" borderId="0" xfId="0" applyAlignment="1">
      <alignment vertical="center" wrapText="1"/>
    </xf>
  </cellXfs>
  <cellStyles count="175">
    <cellStyle name="_FY2014 MP作成依頼（KDTCN).1207(3)" xfId="1" xr:uid="{323F1BB6-84E7-442D-8A2D-2CB500F6F2E6}"/>
    <cellStyle name="20% - Accent1" xfId="2" xr:uid="{15580DFC-BC71-4471-A4DF-B6A841053186}"/>
    <cellStyle name="20% - Accent2" xfId="3" xr:uid="{CC8183CF-E26F-4B7D-BE5D-2ED6F3A07234}"/>
    <cellStyle name="20% - Accent3" xfId="4" xr:uid="{E555E138-63D6-4A46-9510-1527B20AC7C4}"/>
    <cellStyle name="20% - Accent4" xfId="5" xr:uid="{9EC983FE-725B-4961-B9B3-8D780093CC2B}"/>
    <cellStyle name="20% - Accent5" xfId="6" xr:uid="{A16DE0F5-2DE3-4BB6-A6EE-EF704EA0475E}"/>
    <cellStyle name="20% - Accent6" xfId="7" xr:uid="{AC8555D5-37C4-4FA5-B150-1080E618440E}"/>
    <cellStyle name="20% - アクセント 1" xfId="8" xr:uid="{B1A911F6-7B02-45F8-BB45-FDB4CB866F91}"/>
    <cellStyle name="20% - アクセント 1 2" xfId="9" xr:uid="{90CB9CAE-BCB2-4023-A19A-674ACD03AC3C}"/>
    <cellStyle name="20% - アクセント 2" xfId="10" xr:uid="{08C47704-2AD8-41AB-8417-6DB5D0430352}"/>
    <cellStyle name="20% - アクセント 2 2" xfId="11" xr:uid="{18C64AD3-7DAB-40AD-ABAC-8157D7DDBA35}"/>
    <cellStyle name="20% - アクセント 3" xfId="12" xr:uid="{9CA48738-BC8F-4E3B-9BDA-35CD2D61189C}"/>
    <cellStyle name="20% - アクセント 3 2" xfId="13" xr:uid="{1A2E4C54-CAF1-4C1D-9A35-4354DB50A75F}"/>
    <cellStyle name="20% - アクセント 4" xfId="14" xr:uid="{F9CD5EF4-D4AF-49E5-B43F-6B23AA1848CE}"/>
    <cellStyle name="20% - アクセント 4 2" xfId="15" xr:uid="{DEEA0D9B-A8F4-42CB-A922-1821094B6E03}"/>
    <cellStyle name="20% - アクセント 5" xfId="16" xr:uid="{C27C4A67-B166-4947-A7DC-1BD62330BFB0}"/>
    <cellStyle name="20% - アクセント 5 2" xfId="17" xr:uid="{C3418520-C84C-476B-A1C1-7DA84A532CDC}"/>
    <cellStyle name="20% - アクセント 6" xfId="18" xr:uid="{A96F3F31-76AD-4DC0-929B-9FB57DAE50EB}"/>
    <cellStyle name="20% - アクセント 6 2" xfId="19" xr:uid="{D736B6EA-61CF-40EA-9F86-FCF88D52F4D5}"/>
    <cellStyle name="3232" xfId="20" xr:uid="{16F4803A-567D-49FE-9764-1663FB664CE1}"/>
    <cellStyle name="40% - Accent1" xfId="21" xr:uid="{3631A9F9-2937-4B62-9282-4A98188BF38A}"/>
    <cellStyle name="40% - Accent2" xfId="22" xr:uid="{3D947B76-2C8E-4D8B-88EF-EB92C25DBEE4}"/>
    <cellStyle name="40% - Accent3" xfId="23" xr:uid="{071C3F4F-D68E-4F96-AB2A-DD67670600AF}"/>
    <cellStyle name="40% - Accent4" xfId="24" xr:uid="{F9589F29-DCB7-4EE5-8B0B-209BF8FBF6F2}"/>
    <cellStyle name="40% - Accent5" xfId="25" xr:uid="{FE9A934B-7CD4-4853-AEB3-7D99B4ADE3A2}"/>
    <cellStyle name="40% - Accent6" xfId="26" xr:uid="{39C5845B-9733-4587-BBA6-6018978AF89F}"/>
    <cellStyle name="40% - アクセント 1" xfId="27" xr:uid="{D3CB0A53-555D-4E5B-9BD9-73500A9614AA}"/>
    <cellStyle name="40% - アクセント 1 2" xfId="28" xr:uid="{3CBD9A28-74F9-4BC8-81A5-C29D3E432151}"/>
    <cellStyle name="40% - アクセント 2" xfId="29" xr:uid="{4CFDD305-5B50-4241-A162-0F721530377F}"/>
    <cellStyle name="40% - アクセント 2 2" xfId="30" xr:uid="{4AC11892-C783-4080-8567-760E01632B3C}"/>
    <cellStyle name="40% - アクセント 3" xfId="31" xr:uid="{31DF76FB-15BC-44DA-82DC-6C94B8BF9333}"/>
    <cellStyle name="40% - アクセント 3 2" xfId="32" xr:uid="{B1CBE79E-C5DF-4626-AB46-3DF917022E33}"/>
    <cellStyle name="40% - アクセント 4" xfId="33" xr:uid="{A254EC14-ADE7-47B3-A9CF-90A8FABE2AE2}"/>
    <cellStyle name="40% - アクセント 4 2" xfId="34" xr:uid="{2C9612A4-85C2-4315-8239-2DA9392282F5}"/>
    <cellStyle name="40% - アクセント 5" xfId="35" xr:uid="{034C2454-E030-4049-8A7A-FA44A62F0B3F}"/>
    <cellStyle name="40% - アクセント 5 2" xfId="36" xr:uid="{BB8859CA-D19E-46B5-A785-A15772AC9714}"/>
    <cellStyle name="40% - アクセント 6" xfId="37" xr:uid="{805F9DB0-C73E-4A03-84FE-A5FE7A90DB6F}"/>
    <cellStyle name="40% - アクセント 6 2" xfId="38" xr:uid="{7A4631D3-8627-4246-92AE-EBD1882A4EEB}"/>
    <cellStyle name="60% - Accent1" xfId="39" xr:uid="{BE1C62AE-5633-4343-87B3-5531D7F75F8E}"/>
    <cellStyle name="60% - Accent2" xfId="40" xr:uid="{8AFCBD9C-AC62-4287-B5BF-C681FE81AF1A}"/>
    <cellStyle name="60% - Accent3" xfId="41" xr:uid="{ED79B190-5EE2-4C4E-B556-AD20FC2782DF}"/>
    <cellStyle name="60% - Accent4" xfId="42" xr:uid="{E58BC090-CA5B-4661-BD69-5A922F672CAA}"/>
    <cellStyle name="60% - Accent5" xfId="43" xr:uid="{423CB62F-2A45-4F44-9030-1767323849BD}"/>
    <cellStyle name="60% - Accent6" xfId="44" xr:uid="{39148268-C101-4A03-A76D-6EC4B712D42D}"/>
    <cellStyle name="60% - アクセント 1" xfId="45" xr:uid="{A088D39A-2305-48EC-AB05-81182A817F88}"/>
    <cellStyle name="60% - アクセント 1 2" xfId="46" xr:uid="{BA1F5898-16B9-4775-836E-DF5E9F2730EF}"/>
    <cellStyle name="60% - アクセント 2" xfId="47" xr:uid="{36370F60-0189-41A1-836C-6E3387AAC0E4}"/>
    <cellStyle name="60% - アクセント 2 2" xfId="48" xr:uid="{5E7E9B9D-A62B-4A7C-8BE5-93C0A1091FDA}"/>
    <cellStyle name="60% - アクセント 3" xfId="49" xr:uid="{DCD467D7-D4B1-450A-8620-3C8592A1D076}"/>
    <cellStyle name="60% - アクセント 3 2" xfId="50" xr:uid="{236F09FF-E6BF-4538-B340-15A833D27B08}"/>
    <cellStyle name="60% - アクセント 4" xfId="51" xr:uid="{95EA30BE-E9A7-43E8-84FA-046AA8B2D1FC}"/>
    <cellStyle name="60% - アクセント 4 2" xfId="52" xr:uid="{6AF18855-8462-442B-A29F-9E3484699566}"/>
    <cellStyle name="60% - アクセント 5" xfId="53" xr:uid="{6A2E35CC-A5BE-47D7-AC64-C80442E5BD75}"/>
    <cellStyle name="60% - アクセント 5 2" xfId="54" xr:uid="{27040A4F-48FB-4C81-9F18-9D98A95F14E3}"/>
    <cellStyle name="60% - アクセント 6" xfId="55" xr:uid="{DF6FCF33-B503-4CD5-8B13-8330BF283613}"/>
    <cellStyle name="60% - アクセント 6 2" xfId="56" xr:uid="{2686C955-8767-47CB-8EB6-D9187EC225B0}"/>
    <cellStyle name="Accent1" xfId="57" xr:uid="{B1FE7FD0-0FDD-4BEC-A72D-D3A11E8731EF}"/>
    <cellStyle name="Accent2" xfId="58" xr:uid="{FA59ACF0-AF93-4C06-A5C3-998A1C980763}"/>
    <cellStyle name="Accent3" xfId="59" xr:uid="{98E3EB34-4526-4E66-8BB9-D9F295C6035D}"/>
    <cellStyle name="Accent4" xfId="60" xr:uid="{29019CC4-901A-4A6C-AC49-CA35DE523FA0}"/>
    <cellStyle name="Accent5" xfId="61" xr:uid="{62FCF2F8-A41C-4BED-B259-5D60C6E04E23}"/>
    <cellStyle name="Accent6" xfId="62" xr:uid="{CA446028-E0D6-4ABC-96D4-2F5B8EADA254}"/>
    <cellStyle name="Bad" xfId="63" xr:uid="{575EE223-0177-4C56-A0E1-3FB1E1F9C93D}"/>
    <cellStyle name="Calculation" xfId="64" xr:uid="{54FFC64E-4A7C-47D3-BC35-B8E9AE7CA627}"/>
    <cellStyle name="Check Cell" xfId="65" xr:uid="{E4EF444D-8DF0-4687-BF41-2C2A0E2BD40E}"/>
    <cellStyle name="Comma" xfId="66" builtinId="3"/>
    <cellStyle name="Comma [0]" xfId="67" builtinId="6"/>
    <cellStyle name="Comma [0] 2" xfId="68" xr:uid="{80FAA3EB-0497-44E6-9D52-B0F064449C44}"/>
    <cellStyle name="Comma [0] 2 2" xfId="69" xr:uid="{5FEB45E2-3789-4AB0-9933-1C416B91A7C5}"/>
    <cellStyle name="Comma [0] 3" xfId="70" xr:uid="{07B2B089-13E7-4ADA-A96E-AC10476CD1A7}"/>
    <cellStyle name="Comma [0] 4" xfId="71" xr:uid="{DBED7921-0F10-4576-9BCE-8BEDEC043F09}"/>
    <cellStyle name="Comma 2" xfId="72" xr:uid="{A4F834BB-63AC-4309-9783-3D280C259921}"/>
    <cellStyle name="Comma 2 3" xfId="73" xr:uid="{B3889851-382C-4D2A-B230-E4602A2AA948}"/>
    <cellStyle name="Comma 3" xfId="74" xr:uid="{DC0DE126-0718-41F4-92FD-8247475A59DC}"/>
    <cellStyle name="Comma 3 2 2" xfId="75" xr:uid="{28F36A78-0174-4E39-A43E-46B353909383}"/>
    <cellStyle name="Comma 4" xfId="76" xr:uid="{6957A0FE-9AC6-41E9-BC71-8EC95DC0BF00}"/>
    <cellStyle name="Comma 5" xfId="77" xr:uid="{FCE7F1ED-C593-47A3-8D6E-FB284BD76D5D}"/>
    <cellStyle name="Comma 6" xfId="78" xr:uid="{01A8F942-16FC-4B03-9A7D-796BAFC83384}"/>
    <cellStyle name="Currency [0] 2" xfId="79" xr:uid="{46394532-EC30-4B29-8D88-034EFEB917AD}"/>
    <cellStyle name="Explanatory Text" xfId="80" xr:uid="{80C24E61-7446-45D7-A8C1-A18B35C82853}"/>
    <cellStyle name="Good" xfId="81" xr:uid="{6582A44D-9A97-4935-AE69-740BE9512BBF}"/>
    <cellStyle name="Heading 1" xfId="82" xr:uid="{77E9C876-8436-4133-ABD3-2F30E25A9657}"/>
    <cellStyle name="Heading 2" xfId="83" xr:uid="{48D0AA11-012A-4125-92EC-6682B6D65A63}"/>
    <cellStyle name="Heading 3" xfId="84" xr:uid="{3EE2FCCC-94C6-4D62-8A52-CFDAE96F541D}"/>
    <cellStyle name="Heading 4" xfId="85" xr:uid="{6A20B2B2-3EB4-46A7-9C34-48484EF03093}"/>
    <cellStyle name="Input" xfId="86" xr:uid="{B7525118-86D3-400C-90D6-21ED9EF308FC}"/>
    <cellStyle name="Linked Cell" xfId="87" xr:uid="{CFC36CC6-A0F6-40D2-895D-85D9D94435EA}"/>
    <cellStyle name="Neutral" xfId="88" xr:uid="{68996216-222B-47EA-96CF-A8658281B74A}"/>
    <cellStyle name="Normal" xfId="0" builtinId="0"/>
    <cellStyle name="Normal 2" xfId="89" xr:uid="{C0D111AF-D999-40B7-8B28-BF8022D82E64}"/>
    <cellStyle name="Normal 2 2" xfId="90" xr:uid="{69BEE958-B5FC-4EB1-B39F-D19B306B1FA1}"/>
    <cellStyle name="Normal 3" xfId="91" xr:uid="{4F8EE1CA-D41E-4584-8F01-986115ECE1AD}"/>
    <cellStyle name="Normal 4" xfId="92" xr:uid="{D88A623C-83FE-460B-A337-2DF5F0E80C4C}"/>
    <cellStyle name="Normal 5" xfId="93" xr:uid="{21D48303-64E6-4A5D-926F-5261AEBD8FCA}"/>
    <cellStyle name="Note" xfId="94" xr:uid="{6335927E-DFFD-4255-8D66-DD88567A3E14}"/>
    <cellStyle name="Output" xfId="95" xr:uid="{7C2D630D-C3C8-4D14-93B6-8093667C6AD9}"/>
    <cellStyle name="Percent 2" xfId="96" xr:uid="{28220FA8-E118-41E4-A877-20ED7A7D085B}"/>
    <cellStyle name="Percent 3" xfId="97" xr:uid="{744DB2B7-3C53-4C12-8E35-570EE20A0FDA}"/>
    <cellStyle name="Title" xfId="98" xr:uid="{329C6A06-3C33-4026-9BEF-52A0107D15B4}"/>
    <cellStyle name="Total" xfId="99" xr:uid="{A0B5FAE5-2B3D-4C6C-98DD-D66288EEE31F}"/>
    <cellStyle name="Warning Text" xfId="100" xr:uid="{ED3AE45E-9CB5-410A-AE67-CAEC919BDDAE}"/>
    <cellStyle name="アクセント 1" xfId="101" xr:uid="{AB748528-BE66-4B2C-9BFA-18AC4592B8B7}"/>
    <cellStyle name="アクセント 1 2" xfId="102" xr:uid="{374C1066-E207-4895-A5FB-BE43662BE5D8}"/>
    <cellStyle name="アクセント 2" xfId="103" xr:uid="{63F99AED-FC99-4ECC-B343-01C25EFF82EA}"/>
    <cellStyle name="アクセント 2 2" xfId="104" xr:uid="{76120627-4E25-401A-A7C8-AA7C6ED59C2C}"/>
    <cellStyle name="アクセント 3" xfId="105" xr:uid="{BB214F08-477F-4514-AF13-78B05DDDA3A5}"/>
    <cellStyle name="アクセント 3 2" xfId="106" xr:uid="{14A267E7-FC38-4976-9D42-88EBE0B96997}"/>
    <cellStyle name="アクセント 4" xfId="107" xr:uid="{FFF0C7D6-7765-44E4-B499-E839BF3A61E5}"/>
    <cellStyle name="アクセント 4 2" xfId="108" xr:uid="{E6FCE7C7-9CEB-447F-9185-D64B99FAEA7B}"/>
    <cellStyle name="アクセント 5" xfId="109" xr:uid="{D397BB8E-1DED-4234-BA9E-A1884E63CF48}"/>
    <cellStyle name="アクセント 5 2" xfId="110" xr:uid="{3FB46A88-CFFC-45DD-BB82-53255F8237BE}"/>
    <cellStyle name="アクセント 6" xfId="111" xr:uid="{58BCE70A-8D60-4512-AF66-F0A4DA8FA399}"/>
    <cellStyle name="アクセント 6 2" xfId="112" xr:uid="{CD1AA730-CDD1-4D45-A479-9A96B3B5DE1B}"/>
    <cellStyle name="タイトル" xfId="113" xr:uid="{25B74455-B12F-40C8-AB1C-6AFECDEEE4F9}"/>
    <cellStyle name="タイトル 2" xfId="114" xr:uid="{E1B9EC73-D034-4EA6-AF1A-19EADBD7CFC7}"/>
    <cellStyle name="チェック セル" xfId="115" xr:uid="{A31670C9-E0C6-46C8-A881-5B8DF99043CE}"/>
    <cellStyle name="チェック セル 2" xfId="116" xr:uid="{C0768B36-0800-43B0-B102-FF34BFFE7723}"/>
    <cellStyle name="どちらでもない" xfId="117" xr:uid="{B9024F3C-37A6-481E-B1DD-B9DDE2B36F8F}"/>
    <cellStyle name="どちらでもない 2" xfId="118" xr:uid="{226EB130-DF66-43CD-A042-606844DCFBD7}"/>
    <cellStyle name="パーセント 2" xfId="119" xr:uid="{00206C95-3FB6-4EA9-982D-B6EC55B3125E}"/>
    <cellStyle name="パーセント 3" xfId="120" xr:uid="{668C74BC-F420-44CF-AAC8-41642190B543}"/>
    <cellStyle name="パーセント 3 2" xfId="121" xr:uid="{D563D7D4-A7EC-4176-91B1-60202A1C48F4}"/>
    <cellStyle name="メモ" xfId="122" xr:uid="{455FE004-2D13-4C02-9644-6EA946ED05A2}"/>
    <cellStyle name="メモ 2" xfId="123" xr:uid="{FD1AF41D-3DA8-4BB3-BF90-F617DF835D0D}"/>
    <cellStyle name="リンク セル" xfId="124" xr:uid="{2CDAF73F-8B70-4BD0-A870-B93FA05FFC27}"/>
    <cellStyle name="リンク セル 2" xfId="125" xr:uid="{42C616F7-D47C-4FA8-B875-6940E320D730}"/>
    <cellStyle name="一般_KMHK FY2008 時間当り採算 2007年4月 ( Month Plan )" xfId="128" xr:uid="{CD94F1E1-4450-4A35-8DFF-FD2426DA6799}"/>
    <cellStyle name="一般_設備投資金額一覽表" xfId="129" xr:uid="{21782E34-E21C-49A9-A2A4-D5625C3CEA3B}"/>
    <cellStyle name="入力" xfId="161" xr:uid="{465C09D7-83DA-49CA-9459-F95F72F682E2}"/>
    <cellStyle name="入力 2" xfId="162" xr:uid="{03B5F71A-5E8A-402D-B499-7DF159875568}"/>
    <cellStyle name="出力" xfId="154" xr:uid="{617FB4E6-C333-4042-A58A-7C09645A2420}"/>
    <cellStyle name="出力 2" xfId="155" xr:uid="{EE6624E6-ECCA-4FB4-A305-F986FE5065BC}"/>
    <cellStyle name="常规_総生産分析(0605-0606)" xfId="156" xr:uid="{9E842146-6945-498E-BB29-6AC4BB4F8155}"/>
    <cellStyle name="悪い" xfId="126" xr:uid="{7DF294E9-69F5-4093-8D85-CB24DE9F5BCD}"/>
    <cellStyle name="悪い 2" xfId="127" xr:uid="{007508C9-2081-400E-863A-A24E48DD3E0A}"/>
    <cellStyle name="未定義" xfId="172" xr:uid="{86139542-9B0B-4EC4-AF1F-263FD93DB9C7}"/>
    <cellStyle name="桁区切り [0.00] 2" xfId="134" xr:uid="{B086FCC5-1D21-4DB5-AAAA-B10853BC8482}"/>
    <cellStyle name="桁区切り [0.00] 2 2" xfId="135" xr:uid="{EE776CB0-ECC1-47FA-9407-E0C7C9C0E51C}"/>
    <cellStyle name="桁区切り [0.00] 2 3" xfId="136" xr:uid="{35D91A3E-F654-49C9-9865-9EFA3244FBC7}"/>
    <cellStyle name="桁区切り 2" xfId="137" xr:uid="{40FCDBA0-5F39-4050-BAB7-BDED5960A5EF}"/>
    <cellStyle name="桁区切り 2 2" xfId="138" xr:uid="{37FF6281-7992-43C4-A43B-2C153293CB55}"/>
    <cellStyle name="桁区切り 2 3" xfId="139" xr:uid="{A0CE3720-C2DF-424E-9B99-B8CDC937F8E4}"/>
    <cellStyle name="桁区切り 3" xfId="140" xr:uid="{43021924-236F-432A-A6C6-AEFE097876EF}"/>
    <cellStyle name="桁区切り 4" xfId="141" xr:uid="{53ADCD11-74B7-4659-B66F-75CB4450F46C}"/>
    <cellStyle name="桁区切り 5" xfId="142" xr:uid="{03AD61F8-8342-4B43-B0E5-B346417342F0}"/>
    <cellStyle name="桁区切り 6" xfId="143" xr:uid="{C6126DA4-3CDE-43C1-8EAC-2D2AF6EC8D9E}"/>
    <cellStyle name="標準 2" xfId="163" xr:uid="{5869208C-4829-4C1B-8C36-6D26E1618DB9}"/>
    <cellStyle name="標準 2 2" xfId="164" xr:uid="{EEB00F40-D55D-4160-B762-C60D0B3E648E}"/>
    <cellStyle name="標準 3" xfId="165" xr:uid="{9D847FCC-F199-46AF-A774-B99F72B1983B}"/>
    <cellStyle name="標準 3 2" xfId="166" xr:uid="{39B50F2F-EE9F-43A8-AF11-2F102C85F555}"/>
    <cellStyle name="標準 4" xfId="167" xr:uid="{2E6F20AB-5D8D-4AED-9490-29E1AD2D5647}"/>
    <cellStyle name="標準 4 2" xfId="168" xr:uid="{05E34130-AE69-4678-AC5E-1EA9C6B76CE8}"/>
    <cellStyle name="標準_★予定用採算表フォーム（製造課用）" xfId="169" xr:uid="{9D3A8D87-C284-4880-9226-F5EF9986F71E}"/>
    <cellStyle name="標準_03.2012 08 31 KDTVN採算表及集計表 FY2013_09（製技用）" xfId="170" xr:uid="{9780223C-73D6-45F9-912D-FDDC31C2C1AE}"/>
    <cellStyle name="標準_KDTVN 2012年9月1日付原価センタ" xfId="171" xr:uid="{84C3D794-25F4-4E3F-B834-661279EE175D}"/>
    <cellStyle name="良い" xfId="173" xr:uid="{4B9F86D3-E616-4224-ACEC-2038E4286530}"/>
    <cellStyle name="良い 2" xfId="174" xr:uid="{DB47FAC4-D184-4BF4-9C53-764F5DB04127}"/>
    <cellStyle name="見出し 1" xfId="144" xr:uid="{CEF0B6CD-4615-4832-918E-7F04C2CBEFA1}"/>
    <cellStyle name="見出し 1 2" xfId="145" xr:uid="{6FE8465B-F70D-4EF9-87E0-70C04F8B5AA8}"/>
    <cellStyle name="見出し 2" xfId="146" xr:uid="{4FA0B7B8-650D-4B38-8D65-E0E7FD1E4C7C}"/>
    <cellStyle name="見出し 2 2" xfId="147" xr:uid="{1F86F080-43F5-4DFF-A782-909083D4E37E}"/>
    <cellStyle name="見出し 3" xfId="148" xr:uid="{585CFA51-341F-4E99-A74C-F2738E2B9503}"/>
    <cellStyle name="見出し 3 2" xfId="149" xr:uid="{2BB1388D-B529-4578-96AE-C064923EEBC3}"/>
    <cellStyle name="見出し 4" xfId="150" xr:uid="{74F80F7C-AED8-451D-ADBB-7C5F25912D57}"/>
    <cellStyle name="見出し 4 2" xfId="151" xr:uid="{292FE0E0-C898-4901-8912-ED364C876D54}"/>
    <cellStyle name="計算" xfId="130" xr:uid="{222762EF-3858-4011-8AC4-207A5CEAA2EB}"/>
    <cellStyle name="計算 2" xfId="131" xr:uid="{97EB2E3C-C84D-45D6-AB0E-5E4E3C2B8C88}"/>
    <cellStyle name="説明文" xfId="157" xr:uid="{42F60470-932A-44D3-A45C-8B4D78C475D6}"/>
    <cellStyle name="説明文 2" xfId="158" xr:uid="{3A440CD1-2968-4362-8028-FDF84E4C02C9}"/>
    <cellStyle name="警告文" xfId="132" xr:uid="{A66C8DB8-6794-4A66-A71A-0DD763EA3043}"/>
    <cellStyle name="警告文 2" xfId="133" xr:uid="{A80D6650-EA2F-4C73-9E5A-70614199F8D8}"/>
    <cellStyle name="通貨 2" xfId="159" xr:uid="{B79466FD-1BC3-4F8E-BEDB-97D8D395DAF6}"/>
    <cellStyle name="通貨 3" xfId="160" xr:uid="{C7120BD1-73E8-4845-8D42-5F510A5E0576}"/>
    <cellStyle name="集計" xfId="152" xr:uid="{23F47234-EC34-4235-88B8-4C64E190828A}"/>
    <cellStyle name="集計 2" xfId="153" xr:uid="{251997D8-8ADB-40D9-8EF2-CF8656EB5F24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E8CA-586F-4B8F-9D38-93B7F58F0001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8671875" style="20" customWidth="1"/>
    <col min="2" max="2" width="19.44140625" style="23" customWidth="1"/>
    <col min="3" max="13" width="12.33203125" style="19" customWidth="1"/>
    <col min="14" max="15" width="11.88671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製品管理課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5.0000000017462298E-2</v>
      </c>
      <c r="D13" s="133">
        <f t="shared" ref="D13:O13" si="3">SUM(D14:D65)</f>
        <v>6.9999999977881089E-2</v>
      </c>
      <c r="E13" s="133">
        <f t="shared" si="3"/>
        <v>4.9999999988358468E-2</v>
      </c>
      <c r="F13" s="133">
        <f t="shared" si="3"/>
        <v>3.9999999979045242E-2</v>
      </c>
      <c r="G13" s="133">
        <f t="shared" si="3"/>
        <v>4.9999999988358468E-2</v>
      </c>
      <c r="H13" s="133">
        <f t="shared" si="3"/>
        <v>4.9999999988358468E-2</v>
      </c>
      <c r="I13" s="133">
        <f t="shared" si="3"/>
        <v>4.9999999988358468E-2</v>
      </c>
      <c r="J13" s="133">
        <f t="shared" si="3"/>
        <v>3.9999999949941412E-2</v>
      </c>
      <c r="K13" s="133">
        <f t="shared" si="3"/>
        <v>3.9999999979045242E-2</v>
      </c>
      <c r="L13" s="133">
        <f t="shared" si="3"/>
        <v>3.9999999949941412E-2</v>
      </c>
      <c r="M13" s="133">
        <f t="shared" si="3"/>
        <v>3.9999999949941412E-2</v>
      </c>
      <c r="N13" s="133">
        <f t="shared" si="3"/>
        <v>4.0000000008149073E-2</v>
      </c>
      <c r="O13" s="133">
        <f t="shared" si="3"/>
        <v>0.55999999959021807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50172.990000000005</v>
      </c>
      <c r="D20" s="136">
        <f>ROUNDUP('採算表(VND)'!D20/$N$1,2)</f>
        <v>49958.25</v>
      </c>
      <c r="E20" s="136">
        <f>ROUNDUP('採算表(VND)'!E20/$N$1,2)</f>
        <v>49870.080000000002</v>
      </c>
      <c r="F20" s="136">
        <f>ROUNDUP('採算表(VND)'!F20/$N$1,2)</f>
        <v>50335.630000000005</v>
      </c>
      <c r="G20" s="136">
        <f>ROUNDUP('採算表(VND)'!G20/$N$1,2)</f>
        <v>50323.55</v>
      </c>
      <c r="H20" s="136">
        <f>ROUNDUP('採算表(VND)'!H20/$N$1,2)</f>
        <v>50300.97</v>
      </c>
      <c r="I20" s="136">
        <f>ROUNDUP('採算表(VND)'!I20/$N$1,2)</f>
        <v>50282.28</v>
      </c>
      <c r="J20" s="136">
        <f>ROUNDUP('採算表(VND)'!J20/$N$1,2)</f>
        <v>50281.090000000004</v>
      </c>
      <c r="K20" s="136">
        <f>ROUNDUP('採算表(VND)'!K20/$N$1,2)</f>
        <v>50278.880000000005</v>
      </c>
      <c r="L20" s="136">
        <f>ROUNDUP('採算表(VND)'!L20/$N$1,2)</f>
        <v>50277.08</v>
      </c>
      <c r="M20" s="136">
        <f>ROUNDUP('採算表(VND)'!M20/$N$1,2)</f>
        <v>50267.51</v>
      </c>
      <c r="N20" s="136">
        <f>ROUNDUP('採算表(VND)'!N20/$N$1,2)</f>
        <v>50275.240000000005</v>
      </c>
      <c r="O20" s="136">
        <f t="shared" si="4"/>
        <v>602623.55000000005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49.269999999999996</v>
      </c>
      <c r="D25" s="136">
        <f>ROUNDUP('採算表(VND)'!D25/$N$1,2)</f>
        <v>47.559999999999995</v>
      </c>
      <c r="E25" s="136">
        <f>ROUNDUP('採算表(VND)'!E25/$N$1,2)</f>
        <v>51.83</v>
      </c>
      <c r="F25" s="136">
        <f>ROUNDUP('採算表(VND)'!F25/$N$1,2)</f>
        <v>55.22</v>
      </c>
      <c r="G25" s="136">
        <f>ROUNDUP('採算表(VND)'!G25/$N$1,2)</f>
        <v>48.35</v>
      </c>
      <c r="H25" s="136">
        <f>ROUNDUP('採算表(VND)'!H25/$N$1,2)</f>
        <v>45.41</v>
      </c>
      <c r="I25" s="136">
        <f>ROUNDUP('採算表(VND)'!I25/$N$1,2)</f>
        <v>53.44</v>
      </c>
      <c r="J25" s="136">
        <f>ROUNDUP('採算表(VND)'!J25/$N$1,2)</f>
        <v>46.94</v>
      </c>
      <c r="K25" s="136">
        <f>ROUNDUP('採算表(VND)'!K25/$N$1,2)</f>
        <v>51.37</v>
      </c>
      <c r="L25" s="136">
        <f>ROUNDUP('採算表(VND)'!L25/$N$1,2)</f>
        <v>46.15</v>
      </c>
      <c r="M25" s="136">
        <f>ROUNDUP('採算表(VND)'!M25/$N$1,2)</f>
        <v>36.059999999999995</v>
      </c>
      <c r="N25" s="136">
        <f>ROUNDUP('採算表(VND)'!N25/$N$1,2)</f>
        <v>47.669999999999995</v>
      </c>
      <c r="O25" s="136">
        <f t="shared" si="4"/>
        <v>579.26999999999987</v>
      </c>
    </row>
    <row r="26" spans="1:15" ht="11.25" customHeight="1">
      <c r="A26" s="34"/>
      <c r="B26" s="37" t="s">
        <v>104</v>
      </c>
      <c r="C26" s="136">
        <f>ROUNDUP('採算表(VND)'!C26/$N$1,2)</f>
        <v>2260.34</v>
      </c>
      <c r="D26" s="136">
        <f>ROUNDUP('採算表(VND)'!D26/$N$1,2)</f>
        <v>1010.25</v>
      </c>
      <c r="E26" s="136">
        <f>ROUNDUP('採算表(VND)'!E26/$N$1,2)</f>
        <v>829.06999999999994</v>
      </c>
      <c r="F26" s="136">
        <f>ROUNDUP('採算表(VND)'!F26/$N$1,2)</f>
        <v>0</v>
      </c>
      <c r="G26" s="136">
        <f>ROUNDUP('採算表(VND)'!G26/$N$1,2)</f>
        <v>10.64</v>
      </c>
      <c r="H26" s="136">
        <f>ROUNDUP('採算表(VND)'!H26/$N$1,2)</f>
        <v>0</v>
      </c>
      <c r="I26" s="136">
        <f>ROUNDUP('採算表(VND)'!I26/$N$1,2)</f>
        <v>21.67</v>
      </c>
      <c r="J26" s="136">
        <f>ROUNDUP('採算表(VND)'!J26/$N$1,2)</f>
        <v>0</v>
      </c>
      <c r="K26" s="136">
        <f>ROUNDUP('採算表(VND)'!K26/$N$1,2)</f>
        <v>1.97</v>
      </c>
      <c r="L26" s="136">
        <f>ROUNDUP('採算表(VND)'!L26/$N$1,2)</f>
        <v>0</v>
      </c>
      <c r="M26" s="136">
        <f>ROUNDUP('採算表(VND)'!M26/$N$1,2)</f>
        <v>10.64</v>
      </c>
      <c r="N26" s="136">
        <f>ROUNDUP('採算表(VND)'!N26/$N$1,2)</f>
        <v>0</v>
      </c>
      <c r="O26" s="136">
        <f t="shared" si="4"/>
        <v>4144.5800000000008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0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6202.25</v>
      </c>
      <c r="D30" s="136">
        <f>ROUNDUP('採算表(VND)'!D30/$N$1,2)</f>
        <v>6359.4400000000005</v>
      </c>
      <c r="E30" s="136">
        <f>ROUNDUP('採算表(VND)'!E30/$N$1,2)</f>
        <v>7958.51</v>
      </c>
      <c r="F30" s="136">
        <f>ROUNDUP('採算表(VND)'!F30/$N$1,2)</f>
        <v>8596.99</v>
      </c>
      <c r="G30" s="136">
        <f>ROUNDUP('採算表(VND)'!G30/$N$1,2)</f>
        <v>8869.51</v>
      </c>
      <c r="H30" s="136">
        <f>ROUNDUP('採算表(VND)'!H30/$N$1,2)</f>
        <v>8125.12</v>
      </c>
      <c r="I30" s="136">
        <f>ROUNDUP('採算表(VND)'!I30/$N$1,2)</f>
        <v>8184.08</v>
      </c>
      <c r="J30" s="136">
        <f>ROUNDUP('採算表(VND)'!J30/$N$1,2)</f>
        <v>7349.95</v>
      </c>
      <c r="K30" s="136">
        <f>ROUNDUP('採算表(VND)'!K30/$N$1,2)</f>
        <v>7057.1500000000005</v>
      </c>
      <c r="L30" s="136">
        <f>ROUNDUP('採算表(VND)'!L30/$N$1,2)</f>
        <v>6177.31</v>
      </c>
      <c r="M30" s="136">
        <f>ROUNDUP('採算表(VND)'!M30/$N$1,2)</f>
        <v>6148.2800000000007</v>
      </c>
      <c r="N30" s="136">
        <f>ROUNDUP('採算表(VND)'!N30/$N$1,2)</f>
        <v>4930.91</v>
      </c>
      <c r="O30" s="136">
        <f t="shared" si="4"/>
        <v>85959.5</v>
      </c>
    </row>
    <row r="31" spans="1:15" ht="11.25" customHeight="1">
      <c r="A31" s="34"/>
      <c r="B31" s="37" t="s">
        <v>59</v>
      </c>
      <c r="C31" s="136">
        <f>ROUNDUP('採算表(VND)'!C31/$N$1,2)</f>
        <v>68.930000000000007</v>
      </c>
      <c r="D31" s="136">
        <f>ROUNDUP('採算表(VND)'!D31/$N$1,2)</f>
        <v>418.87</v>
      </c>
      <c r="E31" s="136">
        <f>ROUNDUP('採算表(VND)'!E31/$N$1,2)</f>
        <v>574.25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236.32</v>
      </c>
      <c r="I31" s="136">
        <f>ROUNDUP('採算表(VND)'!I31/$N$1,2)</f>
        <v>0</v>
      </c>
      <c r="J31" s="136">
        <f>ROUNDUP('採算表(VND)'!J31/$N$1,2)</f>
        <v>68.930000000000007</v>
      </c>
      <c r="K31" s="136">
        <f>ROUNDUP('採算表(VND)'!K31/$N$1,2)</f>
        <v>993.11</v>
      </c>
      <c r="L31" s="136">
        <f>ROUNDUP('採算表(VND)'!L31/$N$1,2)</f>
        <v>196.92999999999998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2557.3399999999997</v>
      </c>
    </row>
    <row r="32" spans="1:15" ht="11.25" customHeight="1">
      <c r="A32" s="38"/>
      <c r="B32" s="37" t="s">
        <v>61</v>
      </c>
      <c r="C32" s="136">
        <f>ROUNDUP('採算表(VND)'!C32/$N$1,2)</f>
        <v>137.85</v>
      </c>
      <c r="D32" s="136">
        <f>ROUNDUP('採算表(VND)'!D32/$N$1,2)</f>
        <v>137.85</v>
      </c>
      <c r="E32" s="136">
        <f>ROUNDUP('採算表(VND)'!E32/$N$1,2)</f>
        <v>137.85</v>
      </c>
      <c r="F32" s="136">
        <f>ROUNDUP('採算表(VND)'!F32/$N$1,2)</f>
        <v>137.85</v>
      </c>
      <c r="G32" s="136">
        <f>ROUNDUP('採算表(VND)'!G32/$N$1,2)</f>
        <v>137.85</v>
      </c>
      <c r="H32" s="136">
        <f>ROUNDUP('採算表(VND)'!H32/$N$1,2)</f>
        <v>137.85</v>
      </c>
      <c r="I32" s="136">
        <f>ROUNDUP('採算表(VND)'!I32/$N$1,2)</f>
        <v>137.85</v>
      </c>
      <c r="J32" s="136">
        <f>ROUNDUP('採算表(VND)'!J32/$N$1,2)</f>
        <v>137.85</v>
      </c>
      <c r="K32" s="136">
        <f>ROUNDUP('採算表(VND)'!K32/$N$1,2)</f>
        <v>137.85</v>
      </c>
      <c r="L32" s="136">
        <f>ROUNDUP('採算表(VND)'!L32/$N$1,2)</f>
        <v>137.85</v>
      </c>
      <c r="M32" s="136">
        <f>ROUNDUP('採算表(VND)'!M32/$N$1,2)</f>
        <v>137.85</v>
      </c>
      <c r="N32" s="136">
        <f>ROUNDUP('採算表(VND)'!N32/$N$1,2)</f>
        <v>137.85</v>
      </c>
      <c r="O32" s="136">
        <f t="shared" si="4"/>
        <v>1654.1999999999996</v>
      </c>
    </row>
    <row r="33" spans="1:15" ht="11.25" customHeight="1">
      <c r="A33" s="38"/>
      <c r="B33" s="37" t="s">
        <v>60</v>
      </c>
      <c r="C33" s="136">
        <f>ROUNDUP('採算表(VND)'!C33/$N$1,2)</f>
        <v>90221.569999999992</v>
      </c>
      <c r="D33" s="136">
        <f>ROUNDUP('採算表(VND)'!D33/$N$1,2)</f>
        <v>90840.39</v>
      </c>
      <c r="E33" s="136">
        <f>ROUNDUP('採算表(VND)'!E33/$N$1,2)</f>
        <v>91933.98</v>
      </c>
      <c r="F33" s="136">
        <f>ROUNDUP('採算表(VND)'!F33/$N$1,2)</f>
        <v>103146.45999999999</v>
      </c>
      <c r="G33" s="136">
        <f>ROUNDUP('採算表(VND)'!G33/$N$1,2)</f>
        <v>98801.709999999992</v>
      </c>
      <c r="H33" s="136">
        <f>ROUNDUP('採算表(VND)'!H33/$N$1,2)</f>
        <v>97714.319999999992</v>
      </c>
      <c r="I33" s="136">
        <f>ROUNDUP('採算表(VND)'!I33/$N$1,2)</f>
        <v>107038.65999999999</v>
      </c>
      <c r="J33" s="136">
        <f>ROUNDUP('採算表(VND)'!J33/$N$1,2)</f>
        <v>101373.68999999999</v>
      </c>
      <c r="K33" s="136">
        <f>ROUNDUP('採算表(VND)'!K33/$N$1,2)</f>
        <v>104736.11</v>
      </c>
      <c r="L33" s="136">
        <f>ROUNDUP('採算表(VND)'!L33/$N$1,2)</f>
        <v>108067.54999999999</v>
      </c>
      <c r="M33" s="136">
        <f>ROUNDUP('採算表(VND)'!M33/$N$1,2)</f>
        <v>96480.549999999988</v>
      </c>
      <c r="N33" s="136">
        <f>ROUNDUP('採算表(VND)'!N33/$N$1,2)</f>
        <v>104321.75</v>
      </c>
      <c r="O33" s="136">
        <f t="shared" si="4"/>
        <v>1194676.74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141.79</v>
      </c>
      <c r="D39" s="136">
        <f>ROUNDUP('採算表(VND)'!D39/$N$1,2)</f>
        <v>142.32999999999998</v>
      </c>
      <c r="E39" s="136">
        <f>ROUNDUP('採算表(VND)'!E39/$N$1,2)</f>
        <v>146.70999999999998</v>
      </c>
      <c r="F39" s="136">
        <f>ROUNDUP('採算表(VND)'!F39/$N$1,2)</f>
        <v>132.26999999999998</v>
      </c>
      <c r="G39" s="136">
        <f>ROUNDUP('採算表(VND)'!G39/$N$1,2)</f>
        <v>128.76</v>
      </c>
      <c r="H39" s="136">
        <f>ROUNDUP('採算表(VND)'!H39/$N$1,2)</f>
        <v>121.10000000000001</v>
      </c>
      <c r="I39" s="136">
        <f>ROUNDUP('採算表(VND)'!I39/$N$1,2)</f>
        <v>113.96000000000001</v>
      </c>
      <c r="J39" s="136">
        <f>ROUNDUP('採算表(VND)'!J39/$N$1,2)</f>
        <v>112.55000000000001</v>
      </c>
      <c r="K39" s="136">
        <f>ROUNDUP('採算表(VND)'!K39/$N$1,2)</f>
        <v>112.87</v>
      </c>
      <c r="L39" s="136">
        <f>ROUNDUP('採算表(VND)'!L39/$N$1,2)</f>
        <v>106.27000000000001</v>
      </c>
      <c r="M39" s="136">
        <f>ROUNDUP('採算表(VND)'!M39/$N$1,2)</f>
        <v>102.26</v>
      </c>
      <c r="N39" s="136">
        <f>ROUNDUP('採算表(VND)'!N39/$N$1,2)</f>
        <v>108.77000000000001</v>
      </c>
      <c r="O39" s="136">
        <f t="shared" si="4"/>
        <v>1469.64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54.71</v>
      </c>
      <c r="D41" s="136">
        <f>ROUNDUP('採算表(VND)'!D41/$N$1,2)</f>
        <v>54.71</v>
      </c>
      <c r="E41" s="136">
        <f>ROUNDUP('採算表(VND)'!E41/$N$1,2)</f>
        <v>54.71</v>
      </c>
      <c r="F41" s="136">
        <f>ROUNDUP('採算表(VND)'!F41/$N$1,2)</f>
        <v>54.71</v>
      </c>
      <c r="G41" s="136">
        <f>ROUNDUP('採算表(VND)'!G41/$N$1,2)</f>
        <v>54.71</v>
      </c>
      <c r="H41" s="136">
        <f>ROUNDUP('採算表(VND)'!H41/$N$1,2)</f>
        <v>54.71</v>
      </c>
      <c r="I41" s="136">
        <f>ROUNDUP('採算表(VND)'!I41/$N$1,2)</f>
        <v>54.71</v>
      </c>
      <c r="J41" s="136">
        <f>ROUNDUP('採算表(VND)'!J41/$N$1,2)</f>
        <v>54.71</v>
      </c>
      <c r="K41" s="136">
        <f>ROUNDUP('採算表(VND)'!K41/$N$1,2)</f>
        <v>54.71</v>
      </c>
      <c r="L41" s="136">
        <f>ROUNDUP('採算表(VND)'!L41/$N$1,2)</f>
        <v>54.71</v>
      </c>
      <c r="M41" s="136">
        <f>ROUNDUP('採算表(VND)'!M41/$N$1,2)</f>
        <v>54.71</v>
      </c>
      <c r="N41" s="136">
        <f>ROUNDUP('採算表(VND)'!N41/$N$1,2)</f>
        <v>54.71</v>
      </c>
      <c r="O41" s="136">
        <f t="shared" si="4"/>
        <v>656.52</v>
      </c>
    </row>
    <row r="42" spans="1:15" ht="11.25" customHeight="1">
      <c r="A42" s="38"/>
      <c r="B42" s="37" t="s">
        <v>98</v>
      </c>
      <c r="C42" s="136">
        <f>ROUNDUP('採算表(VND)'!C42/$N$1,2)</f>
        <v>559.16999999999996</v>
      </c>
      <c r="D42" s="136">
        <f>ROUNDUP('採算表(VND)'!D42/$N$1,2)</f>
        <v>559.16999999999996</v>
      </c>
      <c r="E42" s="136">
        <f>ROUNDUP('採算表(VND)'!E42/$N$1,2)</f>
        <v>573.92999999999995</v>
      </c>
      <c r="F42" s="136">
        <f>ROUNDUP('採算表(VND)'!F42/$N$1,2)</f>
        <v>559.16999999999996</v>
      </c>
      <c r="G42" s="136">
        <f>ROUNDUP('採算表(VND)'!G42/$N$1,2)</f>
        <v>559.16999999999996</v>
      </c>
      <c r="H42" s="136">
        <f>ROUNDUP('採算表(VND)'!H42/$N$1,2)</f>
        <v>559.16999999999996</v>
      </c>
      <c r="I42" s="136">
        <f>ROUNDUP('採算表(VND)'!I42/$N$1,2)</f>
        <v>559.16999999999996</v>
      </c>
      <c r="J42" s="136">
        <f>ROUNDUP('採算表(VND)'!J42/$N$1,2)</f>
        <v>561.12</v>
      </c>
      <c r="K42" s="136">
        <f>ROUNDUP('採算表(VND)'!K42/$N$1,2)</f>
        <v>575.71</v>
      </c>
      <c r="L42" s="136">
        <f>ROUNDUP('採算表(VND)'!L42/$N$1,2)</f>
        <v>562.97</v>
      </c>
      <c r="M42" s="136">
        <f>ROUNDUP('採算表(VND)'!M42/$N$1,2)</f>
        <v>566.77</v>
      </c>
      <c r="N42" s="136">
        <f>ROUNDUP('採算表(VND)'!N42/$N$1,2)</f>
        <v>559.16999999999996</v>
      </c>
      <c r="O42" s="136">
        <f t="shared" si="4"/>
        <v>6754.6900000000005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1048.47</v>
      </c>
      <c r="D44" s="136">
        <f>ROUNDUP('採算表(VND)'!D44/$N$1,2)</f>
        <v>5670.43</v>
      </c>
      <c r="E44" s="136">
        <f>ROUNDUP('採算表(VND)'!E44/$N$1,2)</f>
        <v>721.66</v>
      </c>
      <c r="F44" s="136">
        <f>ROUNDUP('採算表(VND)'!F44/$N$1,2)</f>
        <v>3087.3900000000003</v>
      </c>
      <c r="G44" s="136">
        <f>ROUNDUP('採算表(VND)'!G44/$N$1,2)</f>
        <v>729.49</v>
      </c>
      <c r="H44" s="136">
        <f>ROUNDUP('採算表(VND)'!H44/$N$1,2)</f>
        <v>1085.1400000000001</v>
      </c>
      <c r="I44" s="136">
        <f>ROUNDUP('採算表(VND)'!I44/$N$1,2)</f>
        <v>903.51</v>
      </c>
      <c r="J44" s="136">
        <f>ROUNDUP('採算表(VND)'!J44/$N$1,2)</f>
        <v>1002.88</v>
      </c>
      <c r="K44" s="136">
        <f>ROUNDUP('採算表(VND)'!K44/$N$1,2)</f>
        <v>1227.72</v>
      </c>
      <c r="L44" s="136">
        <f>ROUNDUP('採算表(VND)'!L44/$N$1,2)</f>
        <v>743.18</v>
      </c>
      <c r="M44" s="136">
        <f>ROUNDUP('採算表(VND)'!M44/$N$1,2)</f>
        <v>1697.49</v>
      </c>
      <c r="N44" s="136">
        <f>ROUNDUP('採算表(VND)'!N44/$N$1,2)</f>
        <v>723.16</v>
      </c>
      <c r="O44" s="136">
        <f t="shared" si="4"/>
        <v>18640.52</v>
      </c>
    </row>
    <row r="45" spans="1:15" ht="11.25" customHeight="1">
      <c r="A45" s="38"/>
      <c r="B45" s="37" t="s">
        <v>115</v>
      </c>
      <c r="C45" s="136">
        <f>ROUNDUP('採算表(VND)'!C45/$N$1,2)</f>
        <v>964.95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964.95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29658.69</v>
      </c>
      <c r="D57" s="139">
        <f>ROUNDUP('採算表(VND)'!D57/$N$1,2)</f>
        <v>27902.48</v>
      </c>
      <c r="E57" s="139">
        <f>ROUNDUP('採算表(VND)'!E57/$N$1,2)</f>
        <v>27899.98</v>
      </c>
      <c r="F57" s="139">
        <f>ROUNDUP('採算表(VND)'!F57/$N$1,2)</f>
        <v>27886.03</v>
      </c>
      <c r="G57" s="139">
        <f>ROUNDUP('採算表(VND)'!G57/$N$1,2)</f>
        <v>27930.34</v>
      </c>
      <c r="H57" s="139">
        <f>ROUNDUP('採算表(VND)'!H57/$N$1,2)</f>
        <v>27915.019999999997</v>
      </c>
      <c r="I57" s="139">
        <f>ROUNDUP('採算表(VND)'!I57/$N$1,2)</f>
        <v>27902.34</v>
      </c>
      <c r="J57" s="139">
        <f>ROUNDUP('採算表(VND)'!J57/$N$1,2)</f>
        <v>27901.53</v>
      </c>
      <c r="K57" s="139">
        <f>ROUNDUP('採算表(VND)'!K57/$N$1,2)</f>
        <v>27900.03</v>
      </c>
      <c r="L57" s="139">
        <f>ROUNDUP('採算表(VND)'!L57/$N$1,2)</f>
        <v>27898.799999999999</v>
      </c>
      <c r="M57" s="139">
        <f>ROUNDUP('採算表(VND)'!M57/$N$1,2)</f>
        <v>27892.309999999998</v>
      </c>
      <c r="N57" s="139">
        <f>ROUNDUP('採算表(VND)'!N57/$N$1,2)</f>
        <v>27897.559999999998</v>
      </c>
      <c r="O57" s="139">
        <f t="shared" si="4"/>
        <v>336585.11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-181540.93000000002</v>
      </c>
      <c r="D61" s="139">
        <f>ROUNDUP('採算表(VND)'!D61/$N$1,2)</f>
        <v>-183101.66</v>
      </c>
      <c r="E61" s="139">
        <f>ROUNDUP('採算表(VND)'!E61/$N$1,2)</f>
        <v>-180752.51</v>
      </c>
      <c r="F61" s="139">
        <f>ROUNDUP('採算表(VND)'!F61/$N$1,2)</f>
        <v>-193991.68000000002</v>
      </c>
      <c r="G61" s="139">
        <f>ROUNDUP('採算表(VND)'!G61/$N$1,2)</f>
        <v>-187594.03</v>
      </c>
      <c r="H61" s="139">
        <f>ROUNDUP('採算表(VND)'!H61/$N$1,2)</f>
        <v>-186295.08000000002</v>
      </c>
      <c r="I61" s="139">
        <f>ROUNDUP('採算表(VND)'!I61/$N$1,2)</f>
        <v>-195251.62</v>
      </c>
      <c r="J61" s="139">
        <f>ROUNDUP('採算表(VND)'!J61/$N$1,2)</f>
        <v>-188891.2</v>
      </c>
      <c r="K61" s="139">
        <f>ROUNDUP('採算表(VND)'!K61/$N$1,2)</f>
        <v>-193127.44</v>
      </c>
      <c r="L61" s="139">
        <f>ROUNDUP('採算表(VND)'!L61/$N$1,2)</f>
        <v>-194268.76</v>
      </c>
      <c r="M61" s="139">
        <f>ROUNDUP('採算表(VND)'!M61/$N$1,2)</f>
        <v>-183394.39</v>
      </c>
      <c r="N61" s="139">
        <f>ROUNDUP('採算表(VND)'!N61/$N$1,2)</f>
        <v>-189056.75</v>
      </c>
      <c r="O61" s="139">
        <f t="shared" si="4"/>
        <v>-2257266.0500000003</v>
      </c>
    </row>
    <row r="62" spans="1:15" ht="11.25" customHeight="1">
      <c r="A62" s="38"/>
      <c r="B62" s="37" t="s">
        <v>418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-5.0000000017462298E-2</v>
      </c>
      <c r="D66" s="134">
        <f t="shared" ref="D66:O66" si="5">IF(ISBLANK(D4),"",D12-D13)</f>
        <v>-6.9999999977881089E-2</v>
      </c>
      <c r="E66" s="134">
        <f t="shared" si="5"/>
        <v>-4.9999999988358468E-2</v>
      </c>
      <c r="F66" s="134">
        <f t="shared" si="5"/>
        <v>-3.9999999979045242E-2</v>
      </c>
      <c r="G66" s="134">
        <f t="shared" si="5"/>
        <v>-4.9999999988358468E-2</v>
      </c>
      <c r="H66" s="134">
        <f t="shared" si="5"/>
        <v>-4.9999999988358468E-2</v>
      </c>
      <c r="I66" s="134">
        <f t="shared" si="5"/>
        <v>-4.9999999988358468E-2</v>
      </c>
      <c r="J66" s="134">
        <f t="shared" si="5"/>
        <v>-3.9999999949941412E-2</v>
      </c>
      <c r="K66" s="134">
        <f t="shared" si="5"/>
        <v>-3.9999999979045242E-2</v>
      </c>
      <c r="L66" s="134">
        <f t="shared" si="5"/>
        <v>-3.9999999949941412E-2</v>
      </c>
      <c r="M66" s="134">
        <f t="shared" si="5"/>
        <v>-3.9999999949941412E-2</v>
      </c>
      <c r="N66" s="134">
        <f t="shared" si="5"/>
        <v>-4.0000000008149073E-2</v>
      </c>
      <c r="O66" s="134">
        <f t="shared" si="5"/>
        <v>-0.55999999959021807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9355</v>
      </c>
      <c r="D68" s="135">
        <f>'採算表(VND)'!D68</f>
        <v>8887.25</v>
      </c>
      <c r="E68" s="135">
        <f>'採算表(VND)'!E68</f>
        <v>9644.25</v>
      </c>
      <c r="F68" s="135">
        <f>'採算表(VND)'!F68</f>
        <v>10562.75</v>
      </c>
      <c r="G68" s="135">
        <f>'採算表(VND)'!G68</f>
        <v>9142.5</v>
      </c>
      <c r="H68" s="135">
        <f>'採算表(VND)'!H68</f>
        <v>8292.25</v>
      </c>
      <c r="I68" s="135">
        <f>'採算表(VND)'!I68</f>
        <v>10171.75</v>
      </c>
      <c r="J68" s="135">
        <f>'採算表(VND)'!J68</f>
        <v>8845</v>
      </c>
      <c r="K68" s="135">
        <f>'採算表(VND)'!K68</f>
        <v>9542.5</v>
      </c>
      <c r="L68" s="135">
        <f>'採算表(VND)'!L68</f>
        <v>8845</v>
      </c>
      <c r="M68" s="135">
        <f>'採算表(VND)'!M68</f>
        <v>7050.25</v>
      </c>
      <c r="N68" s="135">
        <f>'採算表(VND)'!N68</f>
        <v>8853.5</v>
      </c>
      <c r="O68" s="135">
        <f>SUM(C68:N68)</f>
        <v>109192</v>
      </c>
    </row>
    <row r="69" spans="1:15" ht="11.25" customHeight="1">
      <c r="A69" s="38"/>
      <c r="B69" s="46" t="s">
        <v>88</v>
      </c>
      <c r="C69" s="136">
        <f>'採算表(VND)'!C69</f>
        <v>-9355</v>
      </c>
      <c r="D69" s="136">
        <f>'採算表(VND)'!D69</f>
        <v>-8887.25</v>
      </c>
      <c r="E69" s="136">
        <f>'採算表(VND)'!E69</f>
        <v>-9644.25</v>
      </c>
      <c r="F69" s="136">
        <f>'採算表(VND)'!F69</f>
        <v>-10562.75</v>
      </c>
      <c r="G69" s="136">
        <f>'採算表(VND)'!G69</f>
        <v>-9142.5</v>
      </c>
      <c r="H69" s="136">
        <f>'採算表(VND)'!H69</f>
        <v>-8292.25</v>
      </c>
      <c r="I69" s="136">
        <f>'採算表(VND)'!I69</f>
        <v>-10171.75</v>
      </c>
      <c r="J69" s="136">
        <f>'採算表(VND)'!J69</f>
        <v>-8845</v>
      </c>
      <c r="K69" s="136">
        <f>'採算表(VND)'!K69</f>
        <v>-9542.5</v>
      </c>
      <c r="L69" s="136">
        <f>'採算表(VND)'!L69</f>
        <v>-8845</v>
      </c>
      <c r="M69" s="136">
        <f>'採算表(VND)'!M69</f>
        <v>-7050.25</v>
      </c>
      <c r="N69" s="136">
        <f>'採算表(VND)'!N69</f>
        <v>-8853.5</v>
      </c>
      <c r="O69" s="136">
        <f>SUM(C69:N69)</f>
        <v>-109192</v>
      </c>
    </row>
    <row r="70" spans="1:15" ht="11.25" customHeight="1">
      <c r="A70" s="38"/>
      <c r="B70" s="47" t="s">
        <v>126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250</v>
      </c>
      <c r="D74" s="135">
        <f>'採算表(VND)'!D74</f>
        <v>246</v>
      </c>
      <c r="E74" s="135">
        <f>'採算表(VND)'!E74</f>
        <v>254</v>
      </c>
      <c r="F74" s="135">
        <f>'採算表(VND)'!F74</f>
        <v>262</v>
      </c>
      <c r="G74" s="135">
        <f>'採算表(VND)'!G74</f>
        <v>300</v>
      </c>
      <c r="H74" s="135">
        <f>'採算表(VND)'!H74</f>
        <v>296</v>
      </c>
      <c r="I74" s="135">
        <f>'採算表(VND)'!I74</f>
        <v>312</v>
      </c>
      <c r="J74" s="135">
        <f>'採算表(VND)'!J74</f>
        <v>300</v>
      </c>
      <c r="K74" s="135">
        <f>'採算表(VND)'!K74</f>
        <v>458</v>
      </c>
      <c r="L74" s="135">
        <f>'採算表(VND)'!L74</f>
        <v>550</v>
      </c>
      <c r="M74" s="135">
        <f>'採算表(VND)'!M74</f>
        <v>890</v>
      </c>
      <c r="N74" s="135">
        <f>'採算表(VND)'!N74</f>
        <v>700</v>
      </c>
      <c r="O74" s="135">
        <f>SUM(C74:N74)</f>
        <v>4818</v>
      </c>
    </row>
    <row r="75" spans="1:15">
      <c r="A75" s="38"/>
      <c r="B75" s="37" t="s">
        <v>88</v>
      </c>
      <c r="C75" s="136">
        <f>'採算表(VND)'!C75</f>
        <v>-250</v>
      </c>
      <c r="D75" s="136">
        <f>'採算表(VND)'!D75</f>
        <v>-246</v>
      </c>
      <c r="E75" s="136">
        <f>'採算表(VND)'!E75</f>
        <v>-254</v>
      </c>
      <c r="F75" s="136">
        <f>'採算表(VND)'!F75</f>
        <v>-262</v>
      </c>
      <c r="G75" s="136">
        <f>'採算表(VND)'!G75</f>
        <v>-300</v>
      </c>
      <c r="H75" s="136">
        <f>'採算表(VND)'!H75</f>
        <v>-296</v>
      </c>
      <c r="I75" s="136">
        <f>'採算表(VND)'!I75</f>
        <v>-312</v>
      </c>
      <c r="J75" s="136">
        <f>'採算表(VND)'!J75</f>
        <v>-300</v>
      </c>
      <c r="K75" s="136">
        <f>'採算表(VND)'!K75</f>
        <v>-458</v>
      </c>
      <c r="L75" s="136">
        <f>'採算表(VND)'!L75</f>
        <v>-550</v>
      </c>
      <c r="M75" s="136">
        <f>'採算表(VND)'!M75</f>
        <v>-890</v>
      </c>
      <c r="N75" s="136">
        <f>'採算表(VND)'!N75</f>
        <v>-700</v>
      </c>
      <c r="O75" s="136">
        <f>SUM(C75:N75)</f>
        <v>-4818</v>
      </c>
    </row>
    <row r="76" spans="1:15">
      <c r="A76" s="38"/>
      <c r="B76" s="37" t="s">
        <v>126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.2"/>
    <row r="83" spans="1:15" customFormat="1" ht="13.2"/>
    <row r="84" spans="1:15" customFormat="1" ht="13.2"/>
    <row r="85" spans="1:15" customFormat="1" ht="13.2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0</v>
      </c>
      <c r="D87" s="150">
        <f>'採算表(VND)'!D87</f>
        <v>0</v>
      </c>
      <c r="E87" s="150">
        <f>'採算表(VND)'!E87</f>
        <v>0</v>
      </c>
      <c r="F87" s="150">
        <f>'採算表(VND)'!F87</f>
        <v>0</v>
      </c>
      <c r="G87" s="150">
        <f>'採算表(VND)'!G87</f>
        <v>0</v>
      </c>
      <c r="H87" s="150">
        <f>'採算表(VND)'!H87</f>
        <v>0</v>
      </c>
      <c r="I87" s="150">
        <f>'採算表(VND)'!I87</f>
        <v>0</v>
      </c>
      <c r="J87" s="150">
        <f>'採算表(VND)'!J87</f>
        <v>0</v>
      </c>
      <c r="K87" s="150">
        <f>'採算表(VND)'!K87</f>
        <v>0</v>
      </c>
      <c r="L87" s="150">
        <f>'採算表(VND)'!L87</f>
        <v>0</v>
      </c>
      <c r="M87" s="150">
        <f>'採算表(VND)'!M87</f>
        <v>0</v>
      </c>
      <c r="N87" s="150">
        <f>'採算表(VND)'!N87</f>
        <v>0</v>
      </c>
      <c r="O87" s="150">
        <f>SUM(C87:N87)</f>
        <v>0</v>
      </c>
    </row>
    <row r="88" spans="1:15">
      <c r="A88" s="43"/>
      <c r="B88" s="59" t="s">
        <v>344</v>
      </c>
      <c r="C88" s="150">
        <f>'採算表(VND)'!C88</f>
        <v>64</v>
      </c>
      <c r="D88" s="150">
        <f>'採算表(VND)'!D88</f>
        <v>64</v>
      </c>
      <c r="E88" s="150">
        <f>'採算表(VND)'!E88</f>
        <v>63</v>
      </c>
      <c r="F88" s="150">
        <f>'採算表(VND)'!F88</f>
        <v>63</v>
      </c>
      <c r="G88" s="150">
        <f>'採算表(VND)'!G88</f>
        <v>62</v>
      </c>
      <c r="H88" s="150">
        <f>'採算表(VND)'!H88</f>
        <v>61</v>
      </c>
      <c r="I88" s="150">
        <f>'採算表(VND)'!I88</f>
        <v>61</v>
      </c>
      <c r="J88" s="150">
        <f>'採算表(VND)'!J88</f>
        <v>61</v>
      </c>
      <c r="K88" s="150">
        <f>'採算表(VND)'!K88</f>
        <v>60</v>
      </c>
      <c r="L88" s="150">
        <f>'採算表(VND)'!L88</f>
        <v>61</v>
      </c>
      <c r="M88" s="150">
        <f>'採算表(VND)'!M88</f>
        <v>62</v>
      </c>
      <c r="N88" s="150">
        <f>'採算表(VND)'!N88</f>
        <v>61</v>
      </c>
      <c r="O88" s="150">
        <f>SUM(C88:N88)</f>
        <v>743</v>
      </c>
    </row>
    <row r="89" spans="1:15">
      <c r="A89" s="44"/>
      <c r="B89" s="60" t="s">
        <v>18</v>
      </c>
      <c r="C89" s="151">
        <f t="shared" ref="C89:O89" si="11">C87+C88</f>
        <v>64</v>
      </c>
      <c r="D89" s="151">
        <f t="shared" si="11"/>
        <v>64</v>
      </c>
      <c r="E89" s="151">
        <f t="shared" si="11"/>
        <v>63</v>
      </c>
      <c r="F89" s="151">
        <f t="shared" si="11"/>
        <v>63</v>
      </c>
      <c r="G89" s="151">
        <f t="shared" si="11"/>
        <v>62</v>
      </c>
      <c r="H89" s="151">
        <f t="shared" si="11"/>
        <v>61</v>
      </c>
      <c r="I89" s="151">
        <f t="shared" si="11"/>
        <v>61</v>
      </c>
      <c r="J89" s="151">
        <f t="shared" si="11"/>
        <v>61</v>
      </c>
      <c r="K89" s="151">
        <f t="shared" si="11"/>
        <v>60</v>
      </c>
      <c r="L89" s="151">
        <f t="shared" si="11"/>
        <v>61</v>
      </c>
      <c r="M89" s="151">
        <f t="shared" si="11"/>
        <v>62</v>
      </c>
      <c r="N89" s="151">
        <f t="shared" si="11"/>
        <v>61</v>
      </c>
      <c r="O89" s="151">
        <f t="shared" si="11"/>
        <v>743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0</v>
      </c>
      <c r="D92" s="133">
        <f>'採算表(VND)'!D92</f>
        <v>0</v>
      </c>
      <c r="E92" s="133">
        <f>'採算表(VND)'!E92</f>
        <v>0</v>
      </c>
      <c r="F92" s="133">
        <f>'採算表(VND)'!F92</f>
        <v>0</v>
      </c>
      <c r="G92" s="133">
        <f>'採算表(VND)'!G92</f>
        <v>0</v>
      </c>
      <c r="H92" s="133">
        <f>'採算表(VND)'!H92</f>
        <v>0</v>
      </c>
      <c r="I92" s="133">
        <f>'採算表(VND)'!I92</f>
        <v>0</v>
      </c>
      <c r="J92" s="133">
        <f>'採算表(VND)'!J92</f>
        <v>0</v>
      </c>
      <c r="K92" s="133">
        <f>'採算表(VND)'!K92</f>
        <v>0</v>
      </c>
      <c r="L92" s="133">
        <f>'採算表(VND)'!L92</f>
        <v>0</v>
      </c>
      <c r="M92" s="133">
        <f>'採算表(VND)'!M92</f>
        <v>0</v>
      </c>
      <c r="N92" s="133">
        <f>'採算表(VND)'!N92</f>
        <v>0</v>
      </c>
      <c r="O92" s="133">
        <f>SUM(C92:N92)</f>
        <v>0</v>
      </c>
    </row>
    <row r="93" spans="1:15">
      <c r="B93" s="59" t="s">
        <v>325</v>
      </c>
      <c r="C93" s="133">
        <f>'採算表(VND)'!C93</f>
        <v>9355</v>
      </c>
      <c r="D93" s="133">
        <f>'採算表(VND)'!D93</f>
        <v>8887.25</v>
      </c>
      <c r="E93" s="133">
        <f>'採算表(VND)'!E93</f>
        <v>9644.25</v>
      </c>
      <c r="F93" s="133">
        <f>'採算表(VND)'!F93</f>
        <v>10562.75</v>
      </c>
      <c r="G93" s="133">
        <f>'採算表(VND)'!G93</f>
        <v>9142.5</v>
      </c>
      <c r="H93" s="133">
        <f>'採算表(VND)'!H93</f>
        <v>8292.25</v>
      </c>
      <c r="I93" s="133">
        <f>'採算表(VND)'!I93</f>
        <v>10171.75</v>
      </c>
      <c r="J93" s="133">
        <f>'採算表(VND)'!J93</f>
        <v>8845</v>
      </c>
      <c r="K93" s="133">
        <f>'採算表(VND)'!K93</f>
        <v>9542.5</v>
      </c>
      <c r="L93" s="133">
        <f>'採算表(VND)'!L93</f>
        <v>8845</v>
      </c>
      <c r="M93" s="133">
        <f>'採算表(VND)'!M93</f>
        <v>7050.25</v>
      </c>
      <c r="N93" s="133">
        <f>'採算表(VND)'!N93</f>
        <v>8853.5</v>
      </c>
      <c r="O93" s="133">
        <f>SUM(C93:N93)</f>
        <v>109192</v>
      </c>
    </row>
    <row r="94" spans="1:15">
      <c r="B94" s="61" t="s">
        <v>18</v>
      </c>
      <c r="C94" s="147">
        <f t="shared" ref="C94:O94" si="12">C92+C93</f>
        <v>9355</v>
      </c>
      <c r="D94" s="147">
        <f t="shared" si="12"/>
        <v>8887.25</v>
      </c>
      <c r="E94" s="147">
        <f t="shared" si="12"/>
        <v>9644.25</v>
      </c>
      <c r="F94" s="147">
        <f t="shared" si="12"/>
        <v>10562.75</v>
      </c>
      <c r="G94" s="147">
        <f t="shared" si="12"/>
        <v>9142.5</v>
      </c>
      <c r="H94" s="147">
        <f t="shared" si="12"/>
        <v>8292.25</v>
      </c>
      <c r="I94" s="147">
        <f t="shared" si="12"/>
        <v>10171.75</v>
      </c>
      <c r="J94" s="147">
        <f t="shared" si="12"/>
        <v>8845</v>
      </c>
      <c r="K94" s="147">
        <f t="shared" si="12"/>
        <v>9542.5</v>
      </c>
      <c r="L94" s="147">
        <f t="shared" si="12"/>
        <v>8845</v>
      </c>
      <c r="M94" s="147">
        <f t="shared" si="12"/>
        <v>7050.25</v>
      </c>
      <c r="N94" s="147">
        <f t="shared" si="12"/>
        <v>8853.5</v>
      </c>
      <c r="O94" s="147">
        <f t="shared" si="12"/>
        <v>109192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0</v>
      </c>
      <c r="D97" s="133">
        <f>'採算表(VND)'!D97</f>
        <v>0</v>
      </c>
      <c r="E97" s="133">
        <f>'採算表(VND)'!E97</f>
        <v>0</v>
      </c>
      <c r="F97" s="133">
        <f>'採算表(VND)'!F97</f>
        <v>0</v>
      </c>
      <c r="G97" s="133">
        <f>'採算表(VND)'!G97</f>
        <v>0</v>
      </c>
      <c r="H97" s="133">
        <f>'採算表(VND)'!H97</f>
        <v>0</v>
      </c>
      <c r="I97" s="133">
        <f>'採算表(VND)'!I97</f>
        <v>0</v>
      </c>
      <c r="J97" s="133">
        <f>'採算表(VND)'!J97</f>
        <v>0</v>
      </c>
      <c r="K97" s="133">
        <f>'採算表(VND)'!K97</f>
        <v>0</v>
      </c>
      <c r="L97" s="133">
        <f>'採算表(VND)'!L97</f>
        <v>0</v>
      </c>
      <c r="M97" s="133">
        <f>'採算表(VND)'!M97</f>
        <v>0</v>
      </c>
      <c r="N97" s="133">
        <f>'採算表(VND)'!N97</f>
        <v>0</v>
      </c>
      <c r="O97" s="133">
        <f>SUM(C97:N97)</f>
        <v>0</v>
      </c>
    </row>
    <row r="98" spans="2:15">
      <c r="B98" s="59" t="s">
        <v>327</v>
      </c>
      <c r="C98" s="133">
        <f>'採算表(VND)'!C98</f>
        <v>250</v>
      </c>
      <c r="D98" s="133">
        <f>'採算表(VND)'!D98</f>
        <v>246</v>
      </c>
      <c r="E98" s="133">
        <f>'採算表(VND)'!E98</f>
        <v>254</v>
      </c>
      <c r="F98" s="133">
        <f>'採算表(VND)'!F98</f>
        <v>262</v>
      </c>
      <c r="G98" s="133">
        <f>'採算表(VND)'!G98</f>
        <v>300</v>
      </c>
      <c r="H98" s="133">
        <f>'採算表(VND)'!H98</f>
        <v>296</v>
      </c>
      <c r="I98" s="133">
        <f>'採算表(VND)'!I98</f>
        <v>312</v>
      </c>
      <c r="J98" s="133">
        <f>'採算表(VND)'!J98</f>
        <v>300</v>
      </c>
      <c r="K98" s="133">
        <f>'採算表(VND)'!K98</f>
        <v>458</v>
      </c>
      <c r="L98" s="133">
        <f>'採算表(VND)'!L98</f>
        <v>550</v>
      </c>
      <c r="M98" s="133">
        <f>'採算表(VND)'!M98</f>
        <v>890</v>
      </c>
      <c r="N98" s="133">
        <f>'採算表(VND)'!N98</f>
        <v>700</v>
      </c>
      <c r="O98" s="133">
        <f>SUM(C98:N98)</f>
        <v>4818</v>
      </c>
    </row>
    <row r="99" spans="2:15">
      <c r="B99" s="61" t="s">
        <v>18</v>
      </c>
      <c r="C99" s="147">
        <f t="shared" ref="C99:O99" si="13">C97+C98</f>
        <v>250</v>
      </c>
      <c r="D99" s="147">
        <f t="shared" si="13"/>
        <v>246</v>
      </c>
      <c r="E99" s="147">
        <f t="shared" si="13"/>
        <v>254</v>
      </c>
      <c r="F99" s="147">
        <f t="shared" si="13"/>
        <v>262</v>
      </c>
      <c r="G99" s="147">
        <f t="shared" si="13"/>
        <v>300</v>
      </c>
      <c r="H99" s="147">
        <f t="shared" si="13"/>
        <v>296</v>
      </c>
      <c r="I99" s="147">
        <f t="shared" si="13"/>
        <v>312</v>
      </c>
      <c r="J99" s="147">
        <f t="shared" si="13"/>
        <v>300</v>
      </c>
      <c r="K99" s="147">
        <f t="shared" si="13"/>
        <v>458</v>
      </c>
      <c r="L99" s="147">
        <f t="shared" si="13"/>
        <v>550</v>
      </c>
      <c r="M99" s="147">
        <f t="shared" si="13"/>
        <v>890</v>
      </c>
      <c r="N99" s="147">
        <f t="shared" si="13"/>
        <v>700</v>
      </c>
      <c r="O99" s="147">
        <f t="shared" si="13"/>
        <v>4818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2A2A-8691-46A5-A086-F6A541F38182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88671875" style="20" customWidth="1"/>
    <col min="2" max="2" width="19.44140625" style="23" customWidth="1"/>
    <col min="3" max="15" width="15.6640625" style="19" customWidth="1"/>
    <col min="16" max="16" width="9" style="19"/>
    <col min="17" max="42" width="9" style="19" customWidth="1"/>
    <col min="43" max="43" width="13.21875" style="19" bestFit="1" customWidth="1"/>
    <col min="44" max="46" width="11.77734375" style="19" bestFit="1" customWidth="1"/>
    <col min="47" max="47" width="9" style="19"/>
    <col min="48" max="51" width="14.33203125" style="19" bestFit="1" customWidth="1"/>
    <col min="52" max="52" width="9" style="19"/>
    <col min="53" max="56" width="14.77734375" style="19" bestFit="1" customWidth="1"/>
    <col min="57" max="57" width="9" style="19"/>
    <col min="58" max="58" width="15.21875" style="19" bestFit="1" customWidth="1"/>
    <col min="59" max="60" width="11.77734375" style="19" bestFit="1" customWidth="1"/>
    <col min="61" max="61" width="12.6640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製品管理課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6">
        <v>2</v>
      </c>
      <c r="D3" s="256">
        <v>3</v>
      </c>
      <c r="E3" s="256">
        <v>4</v>
      </c>
      <c r="F3" s="256">
        <v>5</v>
      </c>
      <c r="G3" s="256">
        <v>6</v>
      </c>
      <c r="H3" s="256">
        <v>7</v>
      </c>
      <c r="I3" s="256">
        <v>8</v>
      </c>
      <c r="J3" s="256">
        <v>9</v>
      </c>
      <c r="K3" s="256">
        <v>10</v>
      </c>
      <c r="L3" s="256">
        <v>11</v>
      </c>
      <c r="M3" s="256">
        <v>12</v>
      </c>
      <c r="N3" s="256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SUMIF('内訳ﾘｽﾄ(4～3月)'!$D$26:$D$1000,'採算表(VND)'!$B6,'内訳ﾘｽﾄ(4～3月)'!F$26:F$1000)</f>
        <v>0</v>
      </c>
      <c r="D6" s="153">
        <f>SUMIF('内訳ﾘｽﾄ(4～3月)'!$D$26:$D$1000,'採算表(VND)'!$B6,'内訳ﾘｽﾄ(4～3月)'!G$26:G$1000)</f>
        <v>0</v>
      </c>
      <c r="E6" s="153">
        <f>SUMIF('内訳ﾘｽﾄ(4～3月)'!$D$26:$D$1000,'採算表(VND)'!$B6,'内訳ﾘｽﾄ(4～3月)'!H$26:H$1000)</f>
        <v>0</v>
      </c>
      <c r="F6" s="153">
        <f>SUMIF('内訳ﾘｽﾄ(4～3月)'!$D$26:$D$1000,'採算表(VND)'!$B6,'内訳ﾘｽﾄ(4～3月)'!I$26:I$1000)</f>
        <v>0</v>
      </c>
      <c r="G6" s="153">
        <f>SUMIF('内訳ﾘｽﾄ(4～3月)'!$D$26:$D$1000,'採算表(VND)'!$B6,'内訳ﾘｽﾄ(4～3月)'!J$26:J$1000)</f>
        <v>0</v>
      </c>
      <c r="H6" s="153">
        <f>SUMIF('内訳ﾘｽﾄ(4～3月)'!$D$26:$D$1000,'採算表(VND)'!$B6,'内訳ﾘｽﾄ(4～3月)'!K$26:K$1000)</f>
        <v>0</v>
      </c>
      <c r="I6" s="153">
        <f>SUMIF('内訳ﾘｽﾄ(4～3月)'!$D$26:$D$1000,'採算表(VND)'!$B6,'内訳ﾘｽﾄ(4～3月)'!L$26:L$1000)</f>
        <v>0</v>
      </c>
      <c r="J6" s="153">
        <f>SUMIF('内訳ﾘｽﾄ(4～3月)'!$D$26:$D$1000,'採算表(VND)'!$B6,'内訳ﾘｽﾄ(4～3月)'!M$26:M$1000)</f>
        <v>0</v>
      </c>
      <c r="K6" s="153">
        <f>SUMIF('内訳ﾘｽﾄ(4～3月)'!$D$26:$D$1000,'採算表(VND)'!$B6,'内訳ﾘｽﾄ(4～3月)'!N$26:N$1000)</f>
        <v>0</v>
      </c>
      <c r="L6" s="153">
        <f>SUMIF('内訳ﾘｽﾄ(4～3月)'!$D$26:$D$1000,'採算表(VND)'!$B6,'内訳ﾘｽﾄ(4～3月)'!O$26:O$1000)</f>
        <v>0</v>
      </c>
      <c r="M6" s="153">
        <f>SUMIF('内訳ﾘｽﾄ(4～3月)'!$D$26:$D$1000,'採算表(VND)'!$B6,'内訳ﾘｽﾄ(4～3月)'!P$26:P$1000)</f>
        <v>0</v>
      </c>
      <c r="N6" s="153">
        <f>SUMIF('内訳ﾘｽﾄ(4～3月)'!$D$26:$D$1000,'採算表(VND)'!$B6,'内訳ﾘｽﾄ(4～3月)'!Q$26:Q$1000)</f>
        <v>0</v>
      </c>
      <c r="O6" s="153">
        <f>SUMIF('内訳ﾘｽﾄ(4～3月)'!$D$26:$D$799,'採算表(VND)'!$B6,'内訳ﾘｽﾄ(4～3月)'!R$26:R$799)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SUMIF('内訳ﾘｽﾄ(4～3月)'!$D$26:$D$1000,'採算表(VND)'!$B7,'内訳ﾘｽﾄ(4～3月)'!F$26:F$1000)</f>
        <v>0</v>
      </c>
      <c r="D7" s="154">
        <f>SUMIF('内訳ﾘｽﾄ(4～3月)'!$D$26:$D$1000,'採算表(VND)'!$B7,'内訳ﾘｽﾄ(4～3月)'!G$26:G$1000)</f>
        <v>0</v>
      </c>
      <c r="E7" s="154">
        <f>SUMIF('内訳ﾘｽﾄ(4～3月)'!$D$26:$D$1000,'採算表(VND)'!$B7,'内訳ﾘｽﾄ(4～3月)'!H$26:H$1000)</f>
        <v>0</v>
      </c>
      <c r="F7" s="154">
        <f>SUMIF('内訳ﾘｽﾄ(4～3月)'!$D$26:$D$1000,'採算表(VND)'!$B7,'内訳ﾘｽﾄ(4～3月)'!I$26:I$1000)</f>
        <v>0</v>
      </c>
      <c r="G7" s="154">
        <f>SUMIF('内訳ﾘｽﾄ(4～3月)'!$D$26:$D$1000,'採算表(VND)'!$B7,'内訳ﾘｽﾄ(4～3月)'!J$26:J$1000)</f>
        <v>0</v>
      </c>
      <c r="H7" s="154">
        <f>SUMIF('内訳ﾘｽﾄ(4～3月)'!$D$26:$D$1000,'採算表(VND)'!$B7,'内訳ﾘｽﾄ(4～3月)'!K$26:K$1000)</f>
        <v>0</v>
      </c>
      <c r="I7" s="154">
        <f>SUMIF('内訳ﾘｽﾄ(4～3月)'!$D$26:$D$1000,'採算表(VND)'!$B7,'内訳ﾘｽﾄ(4～3月)'!L$26:L$1000)</f>
        <v>0</v>
      </c>
      <c r="J7" s="154">
        <f>SUMIF('内訳ﾘｽﾄ(4～3月)'!$D$26:$D$1000,'採算表(VND)'!$B7,'内訳ﾘｽﾄ(4～3月)'!M$26:M$1000)</f>
        <v>0</v>
      </c>
      <c r="K7" s="154">
        <f>SUMIF('内訳ﾘｽﾄ(4～3月)'!$D$26:$D$1000,'採算表(VND)'!$B7,'内訳ﾘｽﾄ(4～3月)'!N$26:N$1000)</f>
        <v>0</v>
      </c>
      <c r="L7" s="154">
        <f>SUMIF('内訳ﾘｽﾄ(4～3月)'!$D$26:$D$1000,'採算表(VND)'!$B7,'内訳ﾘｽﾄ(4～3月)'!O$26:O$1000)</f>
        <v>0</v>
      </c>
      <c r="M7" s="154">
        <f>SUMIF('内訳ﾘｽﾄ(4～3月)'!$D$26:$D$1000,'採算表(VND)'!$B7,'内訳ﾘｽﾄ(4～3月)'!P$26:P$1000)</f>
        <v>0</v>
      </c>
      <c r="N7" s="154">
        <f>SUMIF('内訳ﾘｽﾄ(4～3月)'!$D$26:$D$1000,'採算表(VND)'!$B7,'内訳ﾘｽﾄ(4～3月)'!Q$26:Q$1000)</f>
        <v>0</v>
      </c>
      <c r="O7" s="154">
        <f>SUMIF('内訳ﾘｽﾄ(4～3月)'!$D$26:$D$799,'採算表(VND)'!$B7,'内訳ﾘｽﾄ(4～3月)'!R$26:R$799)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SUMIF('内訳ﾘｽﾄ(4～3月)'!$D$26:$D$1000,'採算表(VND)'!$B9,'内訳ﾘｽﾄ(4～3月)'!F$26:F$1000)</f>
        <v>0</v>
      </c>
      <c r="D9" s="150">
        <f>SUMIF('内訳ﾘｽﾄ(4～3月)'!$D$26:$D$1000,'採算表(VND)'!$B9,'内訳ﾘｽﾄ(4～3月)'!G$26:G$1000)</f>
        <v>0</v>
      </c>
      <c r="E9" s="150">
        <f>SUMIF('内訳ﾘｽﾄ(4～3月)'!$D$26:$D$1000,'採算表(VND)'!$B9,'内訳ﾘｽﾄ(4～3月)'!H$26:H$1000)</f>
        <v>0</v>
      </c>
      <c r="F9" s="150">
        <f>SUMIF('内訳ﾘｽﾄ(4～3月)'!$D$26:$D$1000,'採算表(VND)'!$B9,'内訳ﾘｽﾄ(4～3月)'!I$26:I$1000)</f>
        <v>0</v>
      </c>
      <c r="G9" s="150">
        <f>SUMIF('内訳ﾘｽﾄ(4～3月)'!$D$26:$D$1000,'採算表(VND)'!$B9,'内訳ﾘｽﾄ(4～3月)'!J$26:J$1000)</f>
        <v>0</v>
      </c>
      <c r="H9" s="150">
        <f>SUMIF('内訳ﾘｽﾄ(4～3月)'!$D$26:$D$1000,'採算表(VND)'!$B9,'内訳ﾘｽﾄ(4～3月)'!K$26:K$1000)</f>
        <v>0</v>
      </c>
      <c r="I9" s="150">
        <f>SUMIF('内訳ﾘｽﾄ(4～3月)'!$D$26:$D$1000,'採算表(VND)'!$B9,'内訳ﾘｽﾄ(4～3月)'!L$26:L$1000)</f>
        <v>0</v>
      </c>
      <c r="J9" s="150">
        <f>SUMIF('内訳ﾘｽﾄ(4～3月)'!$D$26:$D$1000,'採算表(VND)'!$B9,'内訳ﾘｽﾄ(4～3月)'!M$26:M$1000)</f>
        <v>0</v>
      </c>
      <c r="K9" s="150">
        <f>SUMIF('内訳ﾘｽﾄ(4～3月)'!$D$26:$D$1000,'採算表(VND)'!$B9,'内訳ﾘｽﾄ(4～3月)'!N$26:N$1000)</f>
        <v>0</v>
      </c>
      <c r="L9" s="150">
        <f>SUMIF('内訳ﾘｽﾄ(4～3月)'!$D$26:$D$1000,'採算表(VND)'!$B9,'内訳ﾘｽﾄ(4～3月)'!O$26:O$1000)</f>
        <v>0</v>
      </c>
      <c r="M9" s="150">
        <f>SUMIF('内訳ﾘｽﾄ(4～3月)'!$D$26:$D$1000,'採算表(VND)'!$B9,'内訳ﾘｽﾄ(4～3月)'!P$26:P$1000)</f>
        <v>0</v>
      </c>
      <c r="N9" s="150">
        <f>SUMIF('内訳ﾘｽﾄ(4～3月)'!$D$26:$D$1000,'採算表(VND)'!$B9,'内訳ﾘｽﾄ(4～3月)'!Q$26:Q$1000)</f>
        <v>0</v>
      </c>
      <c r="O9" s="150">
        <f>SUMIF('内訳ﾘｽﾄ(4～3月)'!$D$26:$D$799,'採算表(VND)'!$B9,'内訳ﾘｽﾄ(4～3月)'!R$26:R$799)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SUMIF('内訳ﾘｽﾄ(4～3月)'!$D$26:$D$1000,'採算表(VND)'!$B10,'内訳ﾘｽﾄ(4～3月)'!F$26:F$1000)</f>
        <v>0</v>
      </c>
      <c r="D10" s="150">
        <f>SUMIF('内訳ﾘｽﾄ(4～3月)'!$D$26:$D$1000,'採算表(VND)'!$B10,'内訳ﾘｽﾄ(4～3月)'!G$26:G$1000)</f>
        <v>0</v>
      </c>
      <c r="E10" s="150">
        <f>SUMIF('内訳ﾘｽﾄ(4～3月)'!$D$26:$D$1000,'採算表(VND)'!$B10,'内訳ﾘｽﾄ(4～3月)'!H$26:H$1000)</f>
        <v>0</v>
      </c>
      <c r="F10" s="150">
        <f>SUMIF('内訳ﾘｽﾄ(4～3月)'!$D$26:$D$1000,'採算表(VND)'!$B10,'内訳ﾘｽﾄ(4～3月)'!I$26:I$1000)</f>
        <v>0</v>
      </c>
      <c r="G10" s="150">
        <f>SUMIF('内訳ﾘｽﾄ(4～3月)'!$D$26:$D$1000,'採算表(VND)'!$B10,'内訳ﾘｽﾄ(4～3月)'!J$26:J$1000)</f>
        <v>0</v>
      </c>
      <c r="H10" s="150">
        <f>SUMIF('内訳ﾘｽﾄ(4～3月)'!$D$26:$D$1000,'採算表(VND)'!$B10,'内訳ﾘｽﾄ(4～3月)'!K$26:K$1000)</f>
        <v>0</v>
      </c>
      <c r="I10" s="150">
        <f>SUMIF('内訳ﾘｽﾄ(4～3月)'!$D$26:$D$1000,'採算表(VND)'!$B10,'内訳ﾘｽﾄ(4～3月)'!L$26:L$1000)</f>
        <v>0</v>
      </c>
      <c r="J10" s="150">
        <f>SUMIF('内訳ﾘｽﾄ(4～3月)'!$D$26:$D$1000,'採算表(VND)'!$B10,'内訳ﾘｽﾄ(4～3月)'!M$26:M$1000)</f>
        <v>0</v>
      </c>
      <c r="K10" s="150">
        <f>SUMIF('内訳ﾘｽﾄ(4～3月)'!$D$26:$D$1000,'採算表(VND)'!$B10,'内訳ﾘｽﾄ(4～3月)'!N$26:N$1000)</f>
        <v>0</v>
      </c>
      <c r="L10" s="150">
        <f>SUMIF('内訳ﾘｽﾄ(4～3月)'!$D$26:$D$1000,'採算表(VND)'!$B10,'内訳ﾘｽﾄ(4～3月)'!O$26:O$1000)</f>
        <v>0</v>
      </c>
      <c r="M10" s="150">
        <f>SUMIF('内訳ﾘｽﾄ(4～3月)'!$D$26:$D$1000,'採算表(VND)'!$B10,'内訳ﾘｽﾄ(4～3月)'!P$26:P$1000)</f>
        <v>0</v>
      </c>
      <c r="N10" s="150">
        <f>SUMIF('内訳ﾘｽﾄ(4～3月)'!$D$26:$D$1000,'採算表(VND)'!$B10,'内訳ﾘｽﾄ(4～3月)'!Q$26:Q$1000)</f>
        <v>0</v>
      </c>
      <c r="O10" s="150">
        <f>SUMIF('内訳ﾘｽﾄ(4～3月)'!$D$26:$D$799,'採算表(VND)'!$B10,'内訳ﾘｽﾄ(4～3月)'!R$26:R$799)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SUMIF('内訳ﾘｽﾄ(4～3月)'!$D$26:$D$1000,$B14,'内訳ﾘｽﾄ(4～3月)'!F$26:F$1000)</f>
        <v>0</v>
      </c>
      <c r="D14" s="157">
        <f>SUMIF('内訳ﾘｽﾄ(4～3月)'!$D$26:$D$1000,$B14,'内訳ﾘｽﾄ(4～3月)'!G$26:G$1000)</f>
        <v>0</v>
      </c>
      <c r="E14" s="157">
        <f>SUMIF('内訳ﾘｽﾄ(4～3月)'!$D$26:$D$1000,$B14,'内訳ﾘｽﾄ(4～3月)'!H$26:H$1000)</f>
        <v>0</v>
      </c>
      <c r="F14" s="157">
        <f>SUMIF('内訳ﾘｽﾄ(4～3月)'!$D$26:$D$1000,$B14,'内訳ﾘｽﾄ(4～3月)'!I$26:I$1000)</f>
        <v>0</v>
      </c>
      <c r="G14" s="157">
        <f>SUMIF('内訳ﾘｽﾄ(4～3月)'!$D$26:$D$1000,$B14,'内訳ﾘｽﾄ(4～3月)'!J$26:J$1000)</f>
        <v>0</v>
      </c>
      <c r="H14" s="157">
        <f>SUMIF('内訳ﾘｽﾄ(4～3月)'!$D$26:$D$1000,$B14,'内訳ﾘｽﾄ(4～3月)'!K$26:K$1000)</f>
        <v>0</v>
      </c>
      <c r="I14" s="157">
        <f>SUMIF('内訳ﾘｽﾄ(4～3月)'!$D$26:$D$1000,$B14,'内訳ﾘｽﾄ(4～3月)'!L$26:L$1000)</f>
        <v>0</v>
      </c>
      <c r="J14" s="157">
        <f>SUMIF('内訳ﾘｽﾄ(4～3月)'!$D$26:$D$1000,$B14,'内訳ﾘｽﾄ(4～3月)'!M$26:M$1000)</f>
        <v>0</v>
      </c>
      <c r="K14" s="157">
        <f>SUMIF('内訳ﾘｽﾄ(4～3月)'!$D$26:$D$1000,$B14,'内訳ﾘｽﾄ(4～3月)'!N$26:N$1000)</f>
        <v>0</v>
      </c>
      <c r="L14" s="157">
        <f>SUMIF('内訳ﾘｽﾄ(4～3月)'!$D$26:$D$1000,$B14,'内訳ﾘｽﾄ(4～3月)'!O$26:O$1000)</f>
        <v>0</v>
      </c>
      <c r="M14" s="157">
        <f>SUMIF('内訳ﾘｽﾄ(4～3月)'!$D$26:$D$1000,$B14,'内訳ﾘｽﾄ(4～3月)'!P$26:P$1000)</f>
        <v>0</v>
      </c>
      <c r="N14" s="157">
        <f>SUMIF('内訳ﾘｽﾄ(4～3月)'!$D$26:$D$1000,$B14,'内訳ﾘｽﾄ(4～3月)'!Q$26:Q$1000)</f>
        <v>0</v>
      </c>
      <c r="O14" s="157">
        <f>SUMIF('内訳ﾘｽﾄ(4～3月)'!$D$26:$D$799,'採算表(VND)'!$B14,'内訳ﾘｽﾄ(4～3月)'!R$26:R$799)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SUMIF('内訳ﾘｽﾄ(4～3月)'!$D$26:$D$1000,$B15,'内訳ﾘｽﾄ(4～3月)'!F$26:F$1000)</f>
        <v>0</v>
      </c>
      <c r="D15" s="157">
        <f>SUMIF('内訳ﾘｽﾄ(4～3月)'!$D$26:$D$1000,$B15,'内訳ﾘｽﾄ(4～3月)'!G$26:G$1000)</f>
        <v>0</v>
      </c>
      <c r="E15" s="157">
        <f>SUMIF('内訳ﾘｽﾄ(4～3月)'!$D$26:$D$1000,$B15,'内訳ﾘｽﾄ(4～3月)'!H$26:H$1000)</f>
        <v>0</v>
      </c>
      <c r="F15" s="157">
        <f>SUMIF('内訳ﾘｽﾄ(4～3月)'!$D$26:$D$1000,$B15,'内訳ﾘｽﾄ(4～3月)'!I$26:I$1000)</f>
        <v>0</v>
      </c>
      <c r="G15" s="157">
        <f>SUMIF('内訳ﾘｽﾄ(4～3月)'!$D$26:$D$1000,$B15,'内訳ﾘｽﾄ(4～3月)'!J$26:J$1000)</f>
        <v>0</v>
      </c>
      <c r="H15" s="157">
        <f>SUMIF('内訳ﾘｽﾄ(4～3月)'!$D$26:$D$1000,$B15,'内訳ﾘｽﾄ(4～3月)'!K$26:K$1000)</f>
        <v>0</v>
      </c>
      <c r="I15" s="157">
        <f>SUMIF('内訳ﾘｽﾄ(4～3月)'!$D$26:$D$1000,$B15,'内訳ﾘｽﾄ(4～3月)'!L$26:L$1000)</f>
        <v>0</v>
      </c>
      <c r="J15" s="157">
        <f>SUMIF('内訳ﾘｽﾄ(4～3月)'!$D$26:$D$1000,$B15,'内訳ﾘｽﾄ(4～3月)'!M$26:M$1000)</f>
        <v>0</v>
      </c>
      <c r="K15" s="157">
        <f>SUMIF('内訳ﾘｽﾄ(4～3月)'!$D$26:$D$1000,$B15,'内訳ﾘｽﾄ(4～3月)'!N$26:N$1000)</f>
        <v>0</v>
      </c>
      <c r="L15" s="157">
        <f>SUMIF('内訳ﾘｽﾄ(4～3月)'!$D$26:$D$1000,$B15,'内訳ﾘｽﾄ(4～3月)'!O$26:O$1000)</f>
        <v>0</v>
      </c>
      <c r="M15" s="157">
        <f>SUMIF('内訳ﾘｽﾄ(4～3月)'!$D$26:$D$1000,$B15,'内訳ﾘｽﾄ(4～3月)'!P$26:P$1000)</f>
        <v>0</v>
      </c>
      <c r="N15" s="157">
        <f>SUMIF('内訳ﾘｽﾄ(4～3月)'!$D$26:$D$1000,$B15,'内訳ﾘｽﾄ(4～3月)'!Q$26:Q$1000)</f>
        <v>0</v>
      </c>
      <c r="O15" s="157">
        <f>SUMIF('内訳ﾘｽﾄ(4～3月)'!$D$26:$D$799,'採算表(VND)'!$B15,'内訳ﾘｽﾄ(4～3月)'!R$26:R$799)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SUMIF('内訳ﾘｽﾄ(4～3月)'!$D$26:$D$1000,$B16,'内訳ﾘｽﾄ(4～3月)'!F$26:F$1000)</f>
        <v>0</v>
      </c>
      <c r="D16" s="157">
        <f>SUMIF('内訳ﾘｽﾄ(4～3月)'!$D$26:$D$1000,$B16,'内訳ﾘｽﾄ(4～3月)'!G$26:G$1000)</f>
        <v>0</v>
      </c>
      <c r="E16" s="157">
        <f>SUMIF('内訳ﾘｽﾄ(4～3月)'!$D$26:$D$1000,$B16,'内訳ﾘｽﾄ(4～3月)'!H$26:H$1000)</f>
        <v>0</v>
      </c>
      <c r="F16" s="157">
        <f>SUMIF('内訳ﾘｽﾄ(4～3月)'!$D$26:$D$1000,$B16,'内訳ﾘｽﾄ(4～3月)'!I$26:I$1000)</f>
        <v>0</v>
      </c>
      <c r="G16" s="157">
        <f>SUMIF('内訳ﾘｽﾄ(4～3月)'!$D$26:$D$1000,$B16,'内訳ﾘｽﾄ(4～3月)'!J$26:J$1000)</f>
        <v>0</v>
      </c>
      <c r="H16" s="157">
        <f>SUMIF('内訳ﾘｽﾄ(4～3月)'!$D$26:$D$1000,$B16,'内訳ﾘｽﾄ(4～3月)'!K$26:K$1000)</f>
        <v>0</v>
      </c>
      <c r="I16" s="157">
        <f>SUMIF('内訳ﾘｽﾄ(4～3月)'!$D$26:$D$1000,$B16,'内訳ﾘｽﾄ(4～3月)'!L$26:L$1000)</f>
        <v>0</v>
      </c>
      <c r="J16" s="157">
        <f>SUMIF('内訳ﾘｽﾄ(4～3月)'!$D$26:$D$1000,$B16,'内訳ﾘｽﾄ(4～3月)'!M$26:M$1000)</f>
        <v>0</v>
      </c>
      <c r="K16" s="157">
        <f>SUMIF('内訳ﾘｽﾄ(4～3月)'!$D$26:$D$1000,$B16,'内訳ﾘｽﾄ(4～3月)'!N$26:N$1000)</f>
        <v>0</v>
      </c>
      <c r="L16" s="157">
        <f>SUMIF('内訳ﾘｽﾄ(4～3月)'!$D$26:$D$1000,$B16,'内訳ﾘｽﾄ(4～3月)'!O$26:O$1000)</f>
        <v>0</v>
      </c>
      <c r="M16" s="157">
        <f>SUMIF('内訳ﾘｽﾄ(4～3月)'!$D$26:$D$1000,$B16,'内訳ﾘｽﾄ(4～3月)'!P$26:P$1000)</f>
        <v>0</v>
      </c>
      <c r="N16" s="157">
        <f>SUMIF('内訳ﾘｽﾄ(4～3月)'!$D$26:$D$1000,$B16,'内訳ﾘｽﾄ(4～3月)'!Q$26:Q$1000)</f>
        <v>0</v>
      </c>
      <c r="O16" s="157">
        <f>SUMIF('内訳ﾘｽﾄ(4～3月)'!$D$26:$D$799,'採算表(VND)'!$B16,'内訳ﾘｽﾄ(4～3月)'!R$26:R$799)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SUMIF('内訳ﾘｽﾄ(4～3月)'!$D$26:$D$1000,$B17,'内訳ﾘｽﾄ(4～3月)'!F$26:F$1000)</f>
        <v>0</v>
      </c>
      <c r="D17" s="158">
        <f>SUMIF('内訳ﾘｽﾄ(4～3月)'!$D$26:$D$1000,$B17,'内訳ﾘｽﾄ(4～3月)'!G$26:G$1000)</f>
        <v>0</v>
      </c>
      <c r="E17" s="158">
        <f>SUMIF('内訳ﾘｽﾄ(4～3月)'!$D$26:$D$1000,$B17,'内訳ﾘｽﾄ(4～3月)'!H$26:H$1000)</f>
        <v>0</v>
      </c>
      <c r="F17" s="158">
        <f>SUMIF('内訳ﾘｽﾄ(4～3月)'!$D$26:$D$1000,$B17,'内訳ﾘｽﾄ(4～3月)'!I$26:I$1000)</f>
        <v>0</v>
      </c>
      <c r="G17" s="158">
        <f>SUMIF('内訳ﾘｽﾄ(4～3月)'!$D$26:$D$1000,$B17,'内訳ﾘｽﾄ(4～3月)'!J$26:J$1000)</f>
        <v>0</v>
      </c>
      <c r="H17" s="158">
        <f>SUMIF('内訳ﾘｽﾄ(4～3月)'!$D$26:$D$1000,$B17,'内訳ﾘｽﾄ(4～3月)'!K$26:K$1000)</f>
        <v>0</v>
      </c>
      <c r="I17" s="158">
        <f>SUMIF('内訳ﾘｽﾄ(4～3月)'!$D$26:$D$1000,$B17,'内訳ﾘｽﾄ(4～3月)'!L$26:L$1000)</f>
        <v>0</v>
      </c>
      <c r="J17" s="158">
        <f>SUMIF('内訳ﾘｽﾄ(4～3月)'!$D$26:$D$1000,$B17,'内訳ﾘｽﾄ(4～3月)'!M$26:M$1000)</f>
        <v>0</v>
      </c>
      <c r="K17" s="158">
        <f>SUMIF('内訳ﾘｽﾄ(4～3月)'!$D$26:$D$1000,$B17,'内訳ﾘｽﾄ(4～3月)'!N$26:N$1000)</f>
        <v>0</v>
      </c>
      <c r="L17" s="158">
        <f>SUMIF('内訳ﾘｽﾄ(4～3月)'!$D$26:$D$1000,$B17,'内訳ﾘｽﾄ(4～3月)'!O$26:O$1000)</f>
        <v>0</v>
      </c>
      <c r="M17" s="158">
        <f>SUMIF('内訳ﾘｽﾄ(4～3月)'!$D$26:$D$1000,$B17,'内訳ﾘｽﾄ(4～3月)'!P$26:P$1000)</f>
        <v>0</v>
      </c>
      <c r="N17" s="158">
        <f>SUMIF('内訳ﾘｽﾄ(4～3月)'!$D$26:$D$1000,$B17,'内訳ﾘｽﾄ(4～3月)'!Q$26:Q$1000)</f>
        <v>0</v>
      </c>
      <c r="O17" s="158">
        <f>SUMIF('内訳ﾘｽﾄ(4～3月)'!$D$26:$D$799,'採算表(VND)'!$B17,'内訳ﾘｽﾄ(4～3月)'!R$26:R$799)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SUMIF('内訳ﾘｽﾄ(4～3月)'!$D$26:$D$1000,$B18,'内訳ﾘｽﾄ(4～3月)'!F$26:F$1000)</f>
        <v>0</v>
      </c>
      <c r="D18" s="158">
        <f>SUMIF('内訳ﾘｽﾄ(4～3月)'!$D$26:$D$1000,$B18,'内訳ﾘｽﾄ(4～3月)'!G$26:G$1000)</f>
        <v>0</v>
      </c>
      <c r="E18" s="158">
        <f>SUMIF('内訳ﾘｽﾄ(4～3月)'!$D$26:$D$1000,$B18,'内訳ﾘｽﾄ(4～3月)'!H$26:H$1000)</f>
        <v>0</v>
      </c>
      <c r="F18" s="158">
        <f>SUMIF('内訳ﾘｽﾄ(4～3月)'!$D$26:$D$1000,$B18,'内訳ﾘｽﾄ(4～3月)'!I$26:I$1000)</f>
        <v>0</v>
      </c>
      <c r="G18" s="158">
        <f>SUMIF('内訳ﾘｽﾄ(4～3月)'!$D$26:$D$1000,$B18,'内訳ﾘｽﾄ(4～3月)'!J$26:J$1000)</f>
        <v>0</v>
      </c>
      <c r="H18" s="158">
        <f>SUMIF('内訳ﾘｽﾄ(4～3月)'!$D$26:$D$1000,$B18,'内訳ﾘｽﾄ(4～3月)'!K$26:K$1000)</f>
        <v>0</v>
      </c>
      <c r="I18" s="158">
        <f>SUMIF('内訳ﾘｽﾄ(4～3月)'!$D$26:$D$1000,$B18,'内訳ﾘｽﾄ(4～3月)'!L$26:L$1000)</f>
        <v>0</v>
      </c>
      <c r="J18" s="158">
        <f>SUMIF('内訳ﾘｽﾄ(4～3月)'!$D$26:$D$1000,$B18,'内訳ﾘｽﾄ(4～3月)'!M$26:M$1000)</f>
        <v>0</v>
      </c>
      <c r="K18" s="158">
        <f>SUMIF('内訳ﾘｽﾄ(4～3月)'!$D$26:$D$1000,$B18,'内訳ﾘｽﾄ(4～3月)'!N$26:N$1000)</f>
        <v>0</v>
      </c>
      <c r="L18" s="158">
        <f>SUMIF('内訳ﾘｽﾄ(4～3月)'!$D$26:$D$1000,$B18,'内訳ﾘｽﾄ(4～3月)'!O$26:O$1000)</f>
        <v>0</v>
      </c>
      <c r="M18" s="158">
        <f>SUMIF('内訳ﾘｽﾄ(4～3月)'!$D$26:$D$1000,$B18,'内訳ﾘｽﾄ(4～3月)'!P$26:P$1000)</f>
        <v>0</v>
      </c>
      <c r="N18" s="158">
        <f>SUMIF('内訳ﾘｽﾄ(4～3月)'!$D$26:$D$1000,$B18,'内訳ﾘｽﾄ(4～3月)'!Q$26:Q$1000)</f>
        <v>0</v>
      </c>
      <c r="O18" s="158">
        <f>SUMIF('内訳ﾘｽﾄ(4～3月)'!$D$26:$D$799,'採算表(VND)'!$B18,'内訳ﾘｽﾄ(4～3月)'!R$26:R$799)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SUMIF('内訳ﾘｽﾄ(4～3月)'!$D$26:$D$1000,$B19,'内訳ﾘｽﾄ(4～3月)'!F$26:F$1000)</f>
        <v>0</v>
      </c>
      <c r="D19" s="158">
        <f>SUMIF('内訳ﾘｽﾄ(4～3月)'!$D$26:$D$1000,$B19,'内訳ﾘｽﾄ(4～3月)'!G$26:G$1000)</f>
        <v>0</v>
      </c>
      <c r="E19" s="158">
        <f>SUMIF('内訳ﾘｽﾄ(4～3月)'!$D$26:$D$1000,$B19,'内訳ﾘｽﾄ(4～3月)'!H$26:H$1000)</f>
        <v>0</v>
      </c>
      <c r="F19" s="158">
        <f>SUMIF('内訳ﾘｽﾄ(4～3月)'!$D$26:$D$1000,$B19,'内訳ﾘｽﾄ(4～3月)'!I$26:I$1000)</f>
        <v>0</v>
      </c>
      <c r="G19" s="158">
        <f>SUMIF('内訳ﾘｽﾄ(4～3月)'!$D$26:$D$1000,$B19,'内訳ﾘｽﾄ(4～3月)'!J$26:J$1000)</f>
        <v>0</v>
      </c>
      <c r="H19" s="158">
        <f>SUMIF('内訳ﾘｽﾄ(4～3月)'!$D$26:$D$1000,$B19,'内訳ﾘｽﾄ(4～3月)'!K$26:K$1000)</f>
        <v>0</v>
      </c>
      <c r="I19" s="158">
        <f>SUMIF('内訳ﾘｽﾄ(4～3月)'!$D$26:$D$1000,$B19,'内訳ﾘｽﾄ(4～3月)'!L$26:L$1000)</f>
        <v>0</v>
      </c>
      <c r="J19" s="158">
        <f>SUMIF('内訳ﾘｽﾄ(4～3月)'!$D$26:$D$1000,$B19,'内訳ﾘｽﾄ(4～3月)'!M$26:M$1000)</f>
        <v>0</v>
      </c>
      <c r="K19" s="158">
        <f>SUMIF('内訳ﾘｽﾄ(4～3月)'!$D$26:$D$1000,$B19,'内訳ﾘｽﾄ(4～3月)'!N$26:N$1000)</f>
        <v>0</v>
      </c>
      <c r="L19" s="158">
        <f>SUMIF('内訳ﾘｽﾄ(4～3月)'!$D$26:$D$1000,$B19,'内訳ﾘｽﾄ(4～3月)'!O$26:O$1000)</f>
        <v>0</v>
      </c>
      <c r="M19" s="158">
        <f>SUMIF('内訳ﾘｽﾄ(4～3月)'!$D$26:$D$1000,$B19,'内訳ﾘｽﾄ(4～3月)'!P$26:P$1000)</f>
        <v>0</v>
      </c>
      <c r="N19" s="158">
        <f>SUMIF('内訳ﾘｽﾄ(4～3月)'!$D$26:$D$1000,$B19,'内訳ﾘｽﾄ(4～3月)'!Q$26:Q$1000)</f>
        <v>0</v>
      </c>
      <c r="O19" s="158">
        <f>SUMIF('内訳ﾘｽﾄ(4～3月)'!$D$26:$D$799,'採算表(VND)'!$B19,'内訳ﾘｽﾄ(4～3月)'!R$26:R$799)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SUMIF('内訳ﾘｽﾄ(4～3月)'!$D$26:$D$1000,$B20,'内訳ﾘｽﾄ(4～3月)'!F$26:F$1000)</f>
        <v>1273892114</v>
      </c>
      <c r="D20" s="158">
        <f>SUMIF('内訳ﾘｽﾄ(4～3月)'!$D$26:$D$1000,$B20,'内訳ﾘｽﾄ(4～3月)'!G$26:G$1000)</f>
        <v>1268439865</v>
      </c>
      <c r="E20" s="158">
        <f>SUMIF('内訳ﾘｽﾄ(4～3月)'!$D$26:$D$1000,$B20,'内訳ﾘｽﾄ(4～3月)'!H$26:H$1000)</f>
        <v>1266201229</v>
      </c>
      <c r="F20" s="158">
        <f>SUMIF('内訳ﾘｽﾄ(4～3月)'!$D$26:$D$1000,$B20,'内訳ﾘｽﾄ(4～3月)'!I$26:I$1000)</f>
        <v>1278021572</v>
      </c>
      <c r="G20" s="158">
        <f>SUMIF('内訳ﾘｽﾄ(4～3月)'!$D$26:$D$1000,$B20,'内訳ﾘｽﾄ(4～3月)'!J$26:J$1000)</f>
        <v>1277714860</v>
      </c>
      <c r="H20" s="158">
        <f>SUMIF('内訳ﾘｽﾄ(4～3月)'!$D$26:$D$1000,$B20,'内訳ﾘｽﾄ(4～3月)'!K$26:K$1000)</f>
        <v>1277141554</v>
      </c>
      <c r="I20" s="158">
        <f>SUMIF('内訳ﾘｽﾄ(4～3月)'!$D$26:$D$1000,$B20,'内訳ﾘｽﾄ(4～3月)'!L$26:L$1000)</f>
        <v>1276667015</v>
      </c>
      <c r="J20" s="158">
        <f>SUMIF('内訳ﾘｽﾄ(4～3月)'!$D$26:$D$1000,$B20,'内訳ﾘｽﾄ(4～3月)'!M$26:M$1000)</f>
        <v>1276636801</v>
      </c>
      <c r="K20" s="158">
        <f>SUMIF('内訳ﾘｽﾄ(4～3月)'!$D$26:$D$1000,$B20,'内訳ﾘｽﾄ(4～3月)'!N$26:N$1000)</f>
        <v>1276580689</v>
      </c>
      <c r="L20" s="158">
        <f>SUMIF('内訳ﾘｽﾄ(4～3月)'!$D$26:$D$1000,$B20,'内訳ﾘｽﾄ(4～3月)'!O$26:O$1000)</f>
        <v>1276534987</v>
      </c>
      <c r="M20" s="158">
        <f>SUMIF('内訳ﾘｽﾄ(4～3月)'!$D$26:$D$1000,$B20,'内訳ﾘｽﾄ(4～3月)'!P$26:P$1000)</f>
        <v>1276292005</v>
      </c>
      <c r="N20" s="158">
        <f>SUMIF('内訳ﾘｽﾄ(4～3月)'!$D$26:$D$1000,$B20,'内訳ﾘｽﾄ(4～3月)'!Q$26:Q$1000)</f>
        <v>1276488270</v>
      </c>
      <c r="O20" s="158">
        <f>SUMIF('内訳ﾘｽﾄ(4～3月)'!$D$26:$D$799,'採算表(VND)'!$B20,'内訳ﾘｽﾄ(4～3月)'!R$26:R$799)</f>
        <v>15300610961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SUMIF('内訳ﾘｽﾄ(4～3月)'!$D$26:$D$1000,$B21,'内訳ﾘｽﾄ(4～3月)'!F$26:F$1000)</f>
        <v>0</v>
      </c>
      <c r="D21" s="158">
        <f>SUMIF('内訳ﾘｽﾄ(4～3月)'!$D$26:$D$1000,$B21,'内訳ﾘｽﾄ(4～3月)'!G$26:G$1000)</f>
        <v>0</v>
      </c>
      <c r="E21" s="158">
        <f>SUMIF('内訳ﾘｽﾄ(4～3月)'!$D$26:$D$1000,$B21,'内訳ﾘｽﾄ(4～3月)'!H$26:H$1000)</f>
        <v>0</v>
      </c>
      <c r="F21" s="158">
        <f>SUMIF('内訳ﾘｽﾄ(4～3月)'!$D$26:$D$1000,$B21,'内訳ﾘｽﾄ(4～3月)'!I$26:I$1000)</f>
        <v>0</v>
      </c>
      <c r="G21" s="158">
        <f>SUMIF('内訳ﾘｽﾄ(4～3月)'!$D$26:$D$1000,$B21,'内訳ﾘｽﾄ(4～3月)'!J$26:J$1000)</f>
        <v>0</v>
      </c>
      <c r="H21" s="158">
        <f>SUMIF('内訳ﾘｽﾄ(4～3月)'!$D$26:$D$1000,$B21,'内訳ﾘｽﾄ(4～3月)'!K$26:K$1000)</f>
        <v>0</v>
      </c>
      <c r="I21" s="158">
        <f>SUMIF('内訳ﾘｽﾄ(4～3月)'!$D$26:$D$1000,$B21,'内訳ﾘｽﾄ(4～3月)'!L$26:L$1000)</f>
        <v>0</v>
      </c>
      <c r="J21" s="158">
        <f>SUMIF('内訳ﾘｽﾄ(4～3月)'!$D$26:$D$1000,$B21,'内訳ﾘｽﾄ(4～3月)'!M$26:M$1000)</f>
        <v>0</v>
      </c>
      <c r="K21" s="158">
        <f>SUMIF('内訳ﾘｽﾄ(4～3月)'!$D$26:$D$1000,$B21,'内訳ﾘｽﾄ(4～3月)'!N$26:N$1000)</f>
        <v>0</v>
      </c>
      <c r="L21" s="158">
        <f>SUMIF('内訳ﾘｽﾄ(4～3月)'!$D$26:$D$1000,$B21,'内訳ﾘｽﾄ(4～3月)'!O$26:O$1000)</f>
        <v>0</v>
      </c>
      <c r="M21" s="158">
        <f>SUMIF('内訳ﾘｽﾄ(4～3月)'!$D$26:$D$1000,$B21,'内訳ﾘｽﾄ(4～3月)'!P$26:P$1000)</f>
        <v>0</v>
      </c>
      <c r="N21" s="158">
        <f>SUMIF('内訳ﾘｽﾄ(4～3月)'!$D$26:$D$1000,$B21,'内訳ﾘｽﾄ(4～3月)'!Q$26:Q$1000)</f>
        <v>0</v>
      </c>
      <c r="O21" s="158">
        <f>SUMIF('内訳ﾘｽﾄ(4～3月)'!$D$26:$D$799,'採算表(VND)'!$B21,'内訳ﾘｽﾄ(4～3月)'!R$26:R$799)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SUMIF('内訳ﾘｽﾄ(4～3月)'!$D$26:$D$1000,$B22,'内訳ﾘｽﾄ(4～3月)'!F$26:F$1000)</f>
        <v>0</v>
      </c>
      <c r="D22" s="158">
        <f>SUMIF('内訳ﾘｽﾄ(4～3月)'!$D$26:$D$1000,$B22,'内訳ﾘｽﾄ(4～3月)'!G$26:G$1000)</f>
        <v>0</v>
      </c>
      <c r="E22" s="158">
        <f>SUMIF('内訳ﾘｽﾄ(4～3月)'!$D$26:$D$1000,$B22,'内訳ﾘｽﾄ(4～3月)'!H$26:H$1000)</f>
        <v>0</v>
      </c>
      <c r="F22" s="158">
        <f>SUMIF('内訳ﾘｽﾄ(4～3月)'!$D$26:$D$1000,$B22,'内訳ﾘｽﾄ(4～3月)'!I$26:I$1000)</f>
        <v>0</v>
      </c>
      <c r="G22" s="158">
        <f>SUMIF('内訳ﾘｽﾄ(4～3月)'!$D$26:$D$1000,$B22,'内訳ﾘｽﾄ(4～3月)'!J$26:J$1000)</f>
        <v>0</v>
      </c>
      <c r="H22" s="158">
        <f>SUMIF('内訳ﾘｽﾄ(4～3月)'!$D$26:$D$1000,$B22,'内訳ﾘｽﾄ(4～3月)'!K$26:K$1000)</f>
        <v>0</v>
      </c>
      <c r="I22" s="158">
        <f>SUMIF('内訳ﾘｽﾄ(4～3月)'!$D$26:$D$1000,$B22,'内訳ﾘｽﾄ(4～3月)'!L$26:L$1000)</f>
        <v>0</v>
      </c>
      <c r="J22" s="158">
        <f>SUMIF('内訳ﾘｽﾄ(4～3月)'!$D$26:$D$1000,$B22,'内訳ﾘｽﾄ(4～3月)'!M$26:M$1000)</f>
        <v>0</v>
      </c>
      <c r="K22" s="158">
        <f>SUMIF('内訳ﾘｽﾄ(4～3月)'!$D$26:$D$1000,$B22,'内訳ﾘｽﾄ(4～3月)'!N$26:N$1000)</f>
        <v>0</v>
      </c>
      <c r="L22" s="158">
        <f>SUMIF('内訳ﾘｽﾄ(4～3月)'!$D$26:$D$1000,$B22,'内訳ﾘｽﾄ(4～3月)'!O$26:O$1000)</f>
        <v>0</v>
      </c>
      <c r="M22" s="158">
        <f>SUMIF('内訳ﾘｽﾄ(4～3月)'!$D$26:$D$1000,$B22,'内訳ﾘｽﾄ(4～3月)'!P$26:P$1000)</f>
        <v>0</v>
      </c>
      <c r="N22" s="158">
        <f>SUMIF('内訳ﾘｽﾄ(4～3月)'!$D$26:$D$1000,$B22,'内訳ﾘｽﾄ(4～3月)'!Q$26:Q$1000)</f>
        <v>0</v>
      </c>
      <c r="O22" s="158">
        <f>SUMIF('内訳ﾘｽﾄ(4～3月)'!$D$26:$D$799,'採算表(VND)'!$B22,'内訳ﾘｽﾄ(4～3月)'!R$26:R$799)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SUMIF('内訳ﾘｽﾄ(4～3月)'!$D$26:$D$1000,$B23,'内訳ﾘｽﾄ(4～3月)'!F$26:F$1000)</f>
        <v>0</v>
      </c>
      <c r="D23" s="158">
        <f>SUMIF('内訳ﾘｽﾄ(4～3月)'!$D$26:$D$1000,$B23,'内訳ﾘｽﾄ(4～3月)'!G$26:G$1000)</f>
        <v>0</v>
      </c>
      <c r="E23" s="158">
        <f>SUMIF('内訳ﾘｽﾄ(4～3月)'!$D$26:$D$1000,$B23,'内訳ﾘｽﾄ(4～3月)'!H$26:H$1000)</f>
        <v>0</v>
      </c>
      <c r="F23" s="158">
        <f>SUMIF('内訳ﾘｽﾄ(4～3月)'!$D$26:$D$1000,$B23,'内訳ﾘｽﾄ(4～3月)'!I$26:I$1000)</f>
        <v>0</v>
      </c>
      <c r="G23" s="158">
        <f>SUMIF('内訳ﾘｽﾄ(4～3月)'!$D$26:$D$1000,$B23,'内訳ﾘｽﾄ(4～3月)'!J$26:J$1000)</f>
        <v>0</v>
      </c>
      <c r="H23" s="158">
        <f>SUMIF('内訳ﾘｽﾄ(4～3月)'!$D$26:$D$1000,$B23,'内訳ﾘｽﾄ(4～3月)'!K$26:K$1000)</f>
        <v>0</v>
      </c>
      <c r="I23" s="158">
        <f>SUMIF('内訳ﾘｽﾄ(4～3月)'!$D$26:$D$1000,$B23,'内訳ﾘｽﾄ(4～3月)'!L$26:L$1000)</f>
        <v>0</v>
      </c>
      <c r="J23" s="158">
        <f>SUMIF('内訳ﾘｽﾄ(4～3月)'!$D$26:$D$1000,$B23,'内訳ﾘｽﾄ(4～3月)'!M$26:M$1000)</f>
        <v>0</v>
      </c>
      <c r="K23" s="158">
        <f>SUMIF('内訳ﾘｽﾄ(4～3月)'!$D$26:$D$1000,$B23,'内訳ﾘｽﾄ(4～3月)'!N$26:N$1000)</f>
        <v>0</v>
      </c>
      <c r="L23" s="158">
        <f>SUMIF('内訳ﾘｽﾄ(4～3月)'!$D$26:$D$1000,$B23,'内訳ﾘｽﾄ(4～3月)'!O$26:O$1000)</f>
        <v>0</v>
      </c>
      <c r="M23" s="158">
        <f>SUMIF('内訳ﾘｽﾄ(4～3月)'!$D$26:$D$1000,$B23,'内訳ﾘｽﾄ(4～3月)'!P$26:P$1000)</f>
        <v>0</v>
      </c>
      <c r="N23" s="158">
        <f>SUMIF('内訳ﾘｽﾄ(4～3月)'!$D$26:$D$1000,$B23,'内訳ﾘｽﾄ(4～3月)'!Q$26:Q$1000)</f>
        <v>0</v>
      </c>
      <c r="O23" s="158">
        <f>SUMIF('内訳ﾘｽﾄ(4～3月)'!$D$26:$D$799,'採算表(VND)'!$B23,'内訳ﾘｽﾄ(4～3月)'!R$26:R$799)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SUMIF('内訳ﾘｽﾄ(4～3月)'!$D$26:$D$1000,$B24,'内訳ﾘｽﾄ(4～3月)'!F$26:F$1000)</f>
        <v>0</v>
      </c>
      <c r="D24" s="158">
        <f>SUMIF('内訳ﾘｽﾄ(4～3月)'!$D$26:$D$1000,$B24,'内訳ﾘｽﾄ(4～3月)'!G$26:G$1000)</f>
        <v>0</v>
      </c>
      <c r="E24" s="158">
        <f>SUMIF('内訳ﾘｽﾄ(4～3月)'!$D$26:$D$1000,$B24,'内訳ﾘｽﾄ(4～3月)'!H$26:H$1000)</f>
        <v>0</v>
      </c>
      <c r="F24" s="158">
        <f>SUMIF('内訳ﾘｽﾄ(4～3月)'!$D$26:$D$1000,$B24,'内訳ﾘｽﾄ(4～3月)'!I$26:I$1000)</f>
        <v>0</v>
      </c>
      <c r="G24" s="158">
        <f>SUMIF('内訳ﾘｽﾄ(4～3月)'!$D$26:$D$1000,$B24,'内訳ﾘｽﾄ(4～3月)'!J$26:J$1000)</f>
        <v>0</v>
      </c>
      <c r="H24" s="158">
        <f>SUMIF('内訳ﾘｽﾄ(4～3月)'!$D$26:$D$1000,$B24,'内訳ﾘｽﾄ(4～3月)'!K$26:K$1000)</f>
        <v>0</v>
      </c>
      <c r="I24" s="158">
        <f>SUMIF('内訳ﾘｽﾄ(4～3月)'!$D$26:$D$1000,$B24,'内訳ﾘｽﾄ(4～3月)'!L$26:L$1000)</f>
        <v>0</v>
      </c>
      <c r="J24" s="158">
        <f>SUMIF('内訳ﾘｽﾄ(4～3月)'!$D$26:$D$1000,$B24,'内訳ﾘｽﾄ(4～3月)'!M$26:M$1000)</f>
        <v>0</v>
      </c>
      <c r="K24" s="158">
        <f>SUMIF('内訳ﾘｽﾄ(4～3月)'!$D$26:$D$1000,$B24,'内訳ﾘｽﾄ(4～3月)'!N$26:N$1000)</f>
        <v>0</v>
      </c>
      <c r="L24" s="158">
        <f>SUMIF('内訳ﾘｽﾄ(4～3月)'!$D$26:$D$1000,$B24,'内訳ﾘｽﾄ(4～3月)'!O$26:O$1000)</f>
        <v>0</v>
      </c>
      <c r="M24" s="158">
        <f>SUMIF('内訳ﾘｽﾄ(4～3月)'!$D$26:$D$1000,$B24,'内訳ﾘｽﾄ(4～3月)'!P$26:P$1000)</f>
        <v>0</v>
      </c>
      <c r="N24" s="158">
        <f>SUMIF('内訳ﾘｽﾄ(4～3月)'!$D$26:$D$1000,$B24,'内訳ﾘｽﾄ(4～3月)'!Q$26:Q$1000)</f>
        <v>0</v>
      </c>
      <c r="O24" s="158">
        <f>SUMIF('内訳ﾘｽﾄ(4～3月)'!$D$26:$D$799,'採算表(VND)'!$B24,'内訳ﾘｽﾄ(4～3月)'!R$26:R$799)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SUMIF('内訳ﾘｽﾄ(4～3月)'!$D$26:$D$1000,$B25,'内訳ﾘｽﾄ(4～3月)'!F$26:F$1000)</f>
        <v>1250944</v>
      </c>
      <c r="D25" s="158">
        <f>SUMIF('内訳ﾘｽﾄ(4～3月)'!$D$26:$D$1000,$B25,'内訳ﾘｽﾄ(4～3月)'!G$26:G$1000)</f>
        <v>1207424</v>
      </c>
      <c r="E25" s="158">
        <f>SUMIF('内訳ﾘｽﾄ(4～3月)'!$D$26:$D$1000,$B25,'内訳ﾘｽﾄ(4～3月)'!H$26:H$1000)</f>
        <v>1315712</v>
      </c>
      <c r="F25" s="158">
        <f>SUMIF('内訳ﾘｽﾄ(4～3月)'!$D$26:$D$1000,$B25,'内訳ﾘｽﾄ(4～3月)'!I$26:I$1000)</f>
        <v>1401813</v>
      </c>
      <c r="G25" s="158">
        <f>SUMIF('内訳ﾘｽﾄ(4～3月)'!$D$26:$D$1000,$B25,'内訳ﾘｽﾄ(4～3月)'!J$26:J$1000)</f>
        <v>1227492</v>
      </c>
      <c r="H25" s="158">
        <f>SUMIF('内訳ﾘｽﾄ(4～3月)'!$D$26:$D$1000,$B25,'内訳ﾘｽﾄ(4～3月)'!K$26:K$1000)</f>
        <v>1152766</v>
      </c>
      <c r="I25" s="158">
        <f>SUMIF('内訳ﾘｽﾄ(4～3月)'!$D$26:$D$1000,$B25,'内訳ﾘｽﾄ(4～3月)'!L$26:L$1000)</f>
        <v>1356701</v>
      </c>
      <c r="J25" s="158">
        <f>SUMIF('内訳ﾘｽﾄ(4～3月)'!$D$26:$D$1000,$B25,'内訳ﾘｽﾄ(4～3月)'!M$26:M$1000)</f>
        <v>1191635</v>
      </c>
      <c r="K25" s="158">
        <f>SUMIF('内訳ﾘｽﾄ(4～3月)'!$D$26:$D$1000,$B25,'内訳ﾘｽﾄ(4～3月)'!N$26:N$1000)</f>
        <v>1304058</v>
      </c>
      <c r="L25" s="158">
        <f>SUMIF('内訳ﾘｽﾄ(4～3月)'!$D$26:$D$1000,$B25,'内訳ﾘｽﾄ(4～3月)'!O$26:O$1000)</f>
        <v>1171620</v>
      </c>
      <c r="M25" s="158">
        <f>SUMIF('内訳ﾘｽﾄ(4～3月)'!$D$26:$D$1000,$B25,'内訳ﾘｽﾄ(4～3月)'!P$26:P$1000)</f>
        <v>915549</v>
      </c>
      <c r="N25" s="158">
        <f>SUMIF('内訳ﾘｽﾄ(4～3月)'!$D$26:$D$1000,$B25,'内訳ﾘｽﾄ(4～3月)'!Q$26:Q$1000)</f>
        <v>1210240</v>
      </c>
      <c r="O25" s="158">
        <f>SUMIF('内訳ﾘｽﾄ(4～3月)'!$D$26:$D$799,'採算表(VND)'!$B25,'内訳ﾘｽﾄ(4～3月)'!R$26:R$799)</f>
        <v>14705954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SUMIF('内訳ﾘｽﾄ(4～3月)'!$D$26:$D$1000,$B26,'内訳ﾘｽﾄ(4～3月)'!F$26:F$1000)</f>
        <v>57390000</v>
      </c>
      <c r="D26" s="158">
        <f>SUMIF('内訳ﾘｽﾄ(4～3月)'!$D$26:$D$1000,$B26,'内訳ﾘｽﾄ(4～3月)'!G$26:G$1000)</f>
        <v>25650000</v>
      </c>
      <c r="E26" s="158">
        <f>SUMIF('内訳ﾘｽﾄ(4～3月)'!$D$26:$D$1000,$B26,'内訳ﾘｽﾄ(4～3月)'!H$26:H$1000)</f>
        <v>21050000</v>
      </c>
      <c r="F26" s="158">
        <f>SUMIF('内訳ﾘｽﾄ(4～3月)'!$D$26:$D$1000,$B26,'内訳ﾘｽﾄ(4～3月)'!I$26:I$1000)</f>
        <v>0</v>
      </c>
      <c r="G26" s="158">
        <f>SUMIF('内訳ﾘｽﾄ(4～3月)'!$D$26:$D$1000,$B26,'内訳ﾘｽﾄ(4～3月)'!J$26:J$1000)</f>
        <v>270000</v>
      </c>
      <c r="H26" s="158">
        <f>SUMIF('内訳ﾘｽﾄ(4～3月)'!$D$26:$D$1000,$B26,'内訳ﾘｽﾄ(4～3月)'!K$26:K$1000)</f>
        <v>0</v>
      </c>
      <c r="I26" s="158">
        <f>SUMIF('内訳ﾘｽﾄ(4～3月)'!$D$26:$D$1000,$B26,'内訳ﾘｽﾄ(4～3月)'!L$26:L$1000)</f>
        <v>550000</v>
      </c>
      <c r="J26" s="158">
        <f>SUMIF('内訳ﾘｽﾄ(4～3月)'!$D$26:$D$1000,$B26,'内訳ﾘｽﾄ(4～3月)'!M$26:M$1000)</f>
        <v>0</v>
      </c>
      <c r="K26" s="158">
        <f>SUMIF('内訳ﾘｽﾄ(4～3月)'!$D$26:$D$1000,$B26,'内訳ﾘｽﾄ(4～3月)'!N$26:N$1000)</f>
        <v>50000</v>
      </c>
      <c r="L26" s="158">
        <f>SUMIF('内訳ﾘｽﾄ(4～3月)'!$D$26:$D$1000,$B26,'内訳ﾘｽﾄ(4～3月)'!O$26:O$1000)</f>
        <v>0</v>
      </c>
      <c r="M26" s="158">
        <f>SUMIF('内訳ﾘｽﾄ(4～3月)'!$D$26:$D$1000,$B26,'内訳ﾘｽﾄ(4～3月)'!P$26:P$1000)</f>
        <v>270000</v>
      </c>
      <c r="N26" s="158">
        <f>SUMIF('内訳ﾘｽﾄ(4～3月)'!$D$26:$D$1000,$B26,'内訳ﾘｽﾄ(4～3月)'!Q$26:Q$1000)</f>
        <v>0</v>
      </c>
      <c r="O26" s="158">
        <f>SUMIF('内訳ﾘｽﾄ(4～3月)'!$D$26:$D$799,'採算表(VND)'!$B26,'内訳ﾘｽﾄ(4～3月)'!R$26:R$799)</f>
        <v>105230000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SUMIF('内訳ﾘｽﾄ(4～3月)'!$D$26:$D$1000,$B27,'内訳ﾘｽﾄ(4～3月)'!F$26:F$1000)</f>
        <v>0</v>
      </c>
      <c r="D27" s="158">
        <f>SUMIF('内訳ﾘｽﾄ(4～3月)'!$D$26:$D$1000,$B27,'内訳ﾘｽﾄ(4～3月)'!G$26:G$1000)</f>
        <v>0</v>
      </c>
      <c r="E27" s="158">
        <f>SUMIF('内訳ﾘｽﾄ(4～3月)'!$D$26:$D$1000,$B27,'内訳ﾘｽﾄ(4～3月)'!H$26:H$1000)</f>
        <v>0</v>
      </c>
      <c r="F27" s="158">
        <f>SUMIF('内訳ﾘｽﾄ(4～3月)'!$D$26:$D$1000,$B27,'内訳ﾘｽﾄ(4～3月)'!I$26:I$1000)</f>
        <v>0</v>
      </c>
      <c r="G27" s="158">
        <f>SUMIF('内訳ﾘｽﾄ(4～3月)'!$D$26:$D$1000,$B27,'内訳ﾘｽﾄ(4～3月)'!J$26:J$1000)</f>
        <v>0</v>
      </c>
      <c r="H27" s="158">
        <f>SUMIF('内訳ﾘｽﾄ(4～3月)'!$D$26:$D$1000,$B27,'内訳ﾘｽﾄ(4～3月)'!K$26:K$1000)</f>
        <v>0</v>
      </c>
      <c r="I27" s="158">
        <f>SUMIF('内訳ﾘｽﾄ(4～3月)'!$D$26:$D$1000,$B27,'内訳ﾘｽﾄ(4～3月)'!L$26:L$1000)</f>
        <v>0</v>
      </c>
      <c r="J27" s="158">
        <f>SUMIF('内訳ﾘｽﾄ(4～3月)'!$D$26:$D$1000,$B27,'内訳ﾘｽﾄ(4～3月)'!M$26:M$1000)</f>
        <v>0</v>
      </c>
      <c r="K27" s="158">
        <f>SUMIF('内訳ﾘｽﾄ(4～3月)'!$D$26:$D$1000,$B27,'内訳ﾘｽﾄ(4～3月)'!N$26:N$1000)</f>
        <v>0</v>
      </c>
      <c r="L27" s="158">
        <f>SUMIF('内訳ﾘｽﾄ(4～3月)'!$D$26:$D$1000,$B27,'内訳ﾘｽﾄ(4～3月)'!O$26:O$1000)</f>
        <v>0</v>
      </c>
      <c r="M27" s="158">
        <f>SUMIF('内訳ﾘｽﾄ(4～3月)'!$D$26:$D$1000,$B27,'内訳ﾘｽﾄ(4～3月)'!P$26:P$1000)</f>
        <v>0</v>
      </c>
      <c r="N27" s="158">
        <f>SUMIF('内訳ﾘｽﾄ(4～3月)'!$D$26:$D$1000,$B27,'内訳ﾘｽﾄ(4～3月)'!Q$26:Q$1000)</f>
        <v>0</v>
      </c>
      <c r="O27" s="158">
        <f>SUMIF('内訳ﾘｽﾄ(4～3月)'!$D$26:$D$799,'採算表(VND)'!$B27,'内訳ﾘｽﾄ(4～3月)'!R$26:R$799)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SUMIF('内訳ﾘｽﾄ(4～3月)'!$D$26:$D$1000,$B28,'内訳ﾘｽﾄ(4～3月)'!F$26:F$1000)</f>
        <v>0</v>
      </c>
      <c r="D28" s="158">
        <f>SUMIF('内訳ﾘｽﾄ(4～3月)'!$D$26:$D$1000,$B28,'内訳ﾘｽﾄ(4～3月)'!G$26:G$1000)</f>
        <v>0</v>
      </c>
      <c r="E28" s="158">
        <f>SUMIF('内訳ﾘｽﾄ(4～3月)'!$D$26:$D$1000,$B28,'内訳ﾘｽﾄ(4～3月)'!H$26:H$1000)</f>
        <v>0</v>
      </c>
      <c r="F28" s="158">
        <f>SUMIF('内訳ﾘｽﾄ(4～3月)'!$D$26:$D$1000,$B28,'内訳ﾘｽﾄ(4～3月)'!I$26:I$1000)</f>
        <v>0</v>
      </c>
      <c r="G28" s="158">
        <f>SUMIF('内訳ﾘｽﾄ(4～3月)'!$D$26:$D$1000,$B28,'内訳ﾘｽﾄ(4～3月)'!J$26:J$1000)</f>
        <v>0</v>
      </c>
      <c r="H28" s="158">
        <f>SUMIF('内訳ﾘｽﾄ(4～3月)'!$D$26:$D$1000,$B28,'内訳ﾘｽﾄ(4～3月)'!K$26:K$1000)</f>
        <v>0</v>
      </c>
      <c r="I28" s="158">
        <f>SUMIF('内訳ﾘｽﾄ(4～3月)'!$D$26:$D$1000,$B28,'内訳ﾘｽﾄ(4～3月)'!L$26:L$1000)</f>
        <v>0</v>
      </c>
      <c r="J28" s="158">
        <f>SUMIF('内訳ﾘｽﾄ(4～3月)'!$D$26:$D$1000,$B28,'内訳ﾘｽﾄ(4～3月)'!M$26:M$1000)</f>
        <v>0</v>
      </c>
      <c r="K28" s="158">
        <f>SUMIF('内訳ﾘｽﾄ(4～3月)'!$D$26:$D$1000,$B28,'内訳ﾘｽﾄ(4～3月)'!N$26:N$1000)</f>
        <v>0</v>
      </c>
      <c r="L28" s="158">
        <f>SUMIF('内訳ﾘｽﾄ(4～3月)'!$D$26:$D$1000,$B28,'内訳ﾘｽﾄ(4～3月)'!O$26:O$1000)</f>
        <v>0</v>
      </c>
      <c r="M28" s="158">
        <f>SUMIF('内訳ﾘｽﾄ(4～3月)'!$D$26:$D$1000,$B28,'内訳ﾘｽﾄ(4～3月)'!P$26:P$1000)</f>
        <v>0</v>
      </c>
      <c r="N28" s="158">
        <f>SUMIF('内訳ﾘｽﾄ(4～3月)'!$D$26:$D$1000,$B28,'内訳ﾘｽﾄ(4～3月)'!Q$26:Q$1000)</f>
        <v>0</v>
      </c>
      <c r="O28" s="158">
        <f>SUMIF('内訳ﾘｽﾄ(4～3月)'!$D$26:$D$799,'採算表(VND)'!$B28,'内訳ﾘｽﾄ(4～3月)'!R$26:R$799)</f>
        <v>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SUMIF('内訳ﾘｽﾄ(4～3月)'!$D$26:$D$1000,$B29,'内訳ﾘｽﾄ(4～3月)'!F$26:F$1000)</f>
        <v>0</v>
      </c>
      <c r="D29" s="158">
        <f>SUMIF('内訳ﾘｽﾄ(4～3月)'!$D$26:$D$1000,$B29,'内訳ﾘｽﾄ(4～3月)'!G$26:G$1000)</f>
        <v>0</v>
      </c>
      <c r="E29" s="158">
        <f>SUMIF('内訳ﾘｽﾄ(4～3月)'!$D$26:$D$1000,$B29,'内訳ﾘｽﾄ(4～3月)'!H$26:H$1000)</f>
        <v>0</v>
      </c>
      <c r="F29" s="158">
        <f>SUMIF('内訳ﾘｽﾄ(4～3月)'!$D$26:$D$1000,$B29,'内訳ﾘｽﾄ(4～3月)'!I$26:I$1000)</f>
        <v>0</v>
      </c>
      <c r="G29" s="158">
        <f>SUMIF('内訳ﾘｽﾄ(4～3月)'!$D$26:$D$1000,$B29,'内訳ﾘｽﾄ(4～3月)'!J$26:J$1000)</f>
        <v>0</v>
      </c>
      <c r="H29" s="158">
        <f>SUMIF('内訳ﾘｽﾄ(4～3月)'!$D$26:$D$1000,$B29,'内訳ﾘｽﾄ(4～3月)'!K$26:K$1000)</f>
        <v>0</v>
      </c>
      <c r="I29" s="158">
        <f>SUMIF('内訳ﾘｽﾄ(4～3月)'!$D$26:$D$1000,$B29,'内訳ﾘｽﾄ(4～3月)'!L$26:L$1000)</f>
        <v>0</v>
      </c>
      <c r="J29" s="158">
        <f>SUMIF('内訳ﾘｽﾄ(4～3月)'!$D$26:$D$1000,$B29,'内訳ﾘｽﾄ(4～3月)'!M$26:M$1000)</f>
        <v>0</v>
      </c>
      <c r="K29" s="158">
        <f>SUMIF('内訳ﾘｽﾄ(4～3月)'!$D$26:$D$1000,$B29,'内訳ﾘｽﾄ(4～3月)'!N$26:N$1000)</f>
        <v>0</v>
      </c>
      <c r="L29" s="158">
        <f>SUMIF('内訳ﾘｽﾄ(4～3月)'!$D$26:$D$1000,$B29,'内訳ﾘｽﾄ(4～3月)'!O$26:O$1000)</f>
        <v>0</v>
      </c>
      <c r="M29" s="158">
        <f>SUMIF('内訳ﾘｽﾄ(4～3月)'!$D$26:$D$1000,$B29,'内訳ﾘｽﾄ(4～3月)'!P$26:P$1000)</f>
        <v>0</v>
      </c>
      <c r="N29" s="158">
        <f>SUMIF('内訳ﾘｽﾄ(4～3月)'!$D$26:$D$1000,$B29,'内訳ﾘｽﾄ(4～3月)'!Q$26:Q$1000)</f>
        <v>0</v>
      </c>
      <c r="O29" s="158">
        <f>SUMIF('内訳ﾘｽﾄ(4～3月)'!$D$26:$D$799,'採算表(VND)'!$B29,'内訳ﾘｽﾄ(4～3月)'!R$26:R$799)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SUMIF('内訳ﾘｽﾄ(4～3月)'!$D$26:$D$1000,$B30,'内訳ﾘｽﾄ(4～3月)'!F$26:F$1000)</f>
        <v>157475017</v>
      </c>
      <c r="D30" s="158">
        <f>SUMIF('内訳ﾘｽﾄ(4～3月)'!$D$26:$D$1000,$B30,'内訳ﾘｽﾄ(4～3月)'!G$26:G$1000)</f>
        <v>161465952</v>
      </c>
      <c r="E30" s="158">
        <f>SUMIF('内訳ﾘｽﾄ(4～3月)'!$D$26:$D$1000,$B30,'内訳ﾘｽﾄ(4～3月)'!H$26:H$1000)</f>
        <v>202066365</v>
      </c>
      <c r="F30" s="158">
        <f>SUMIF('内訳ﾘｽﾄ(4～3月)'!$D$26:$D$1000,$B30,'内訳ﾘｽﾄ(4～3月)'!I$26:I$1000)</f>
        <v>218277382</v>
      </c>
      <c r="G30" s="158">
        <f>SUMIF('内訳ﾘｽﾄ(4～3月)'!$D$26:$D$1000,$B30,'内訳ﾘｽﾄ(4～3月)'!J$26:J$1000)</f>
        <v>225196655</v>
      </c>
      <c r="H30" s="158">
        <f>SUMIF('内訳ﾘｽﾄ(4～3月)'!$D$26:$D$1000,$B30,'内訳ﾘｽﾄ(4～3月)'!K$26:K$1000)</f>
        <v>206296555</v>
      </c>
      <c r="I30" s="158">
        <f>SUMIF('内訳ﾘｽﾄ(4～3月)'!$D$26:$D$1000,$B30,'内訳ﾘｽﾄ(4～3月)'!L$26:L$1000)</f>
        <v>207793678</v>
      </c>
      <c r="J30" s="158">
        <f>SUMIF('内訳ﾘｽﾄ(4～3月)'!$D$26:$D$1000,$B30,'内訳ﾘｽﾄ(4～3月)'!M$26:M$1000)</f>
        <v>186615210</v>
      </c>
      <c r="K30" s="158">
        <f>SUMIF('内訳ﾘｽﾄ(4～3月)'!$D$26:$D$1000,$B30,'内訳ﾘｽﾄ(4～3月)'!N$26:N$1000)</f>
        <v>179180987</v>
      </c>
      <c r="L30" s="158">
        <f>SUMIF('内訳ﾘｽﾄ(4～3月)'!$D$26:$D$1000,$B30,'内訳ﾘｽﾄ(4～3月)'!O$26:O$1000)</f>
        <v>156841743</v>
      </c>
      <c r="M30" s="158">
        <f>SUMIF('内訳ﾘｽﾄ(4～3月)'!$D$26:$D$1000,$B30,'内訳ﾘｽﾄ(4～3月)'!P$26:P$1000)</f>
        <v>156104725</v>
      </c>
      <c r="N30" s="158">
        <f>SUMIF('内訳ﾘｽﾄ(4～3月)'!$D$26:$D$1000,$B30,'内訳ﾘｽﾄ(4～3月)'!Q$26:Q$1000)</f>
        <v>125195752</v>
      </c>
      <c r="O30" s="158">
        <f>SUMIF('内訳ﾘｽﾄ(4～3月)'!$D$26:$D$799,'採算表(VND)'!$B30,'内訳ﾘｽﾄ(4～3月)'!R$26:R$799)</f>
        <v>2182510021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SUMIF('内訳ﾘｽﾄ(4～3月)'!$D$26:$D$1000,$B31,'内訳ﾘｽﾄ(4～3月)'!F$26:F$1000)</f>
        <v>1750000</v>
      </c>
      <c r="D31" s="158">
        <f>SUMIF('内訳ﾘｽﾄ(4～3月)'!$D$26:$D$1000,$B31,'内訳ﾘｽﾄ(4～3月)'!G$26:G$1000)</f>
        <v>10635000</v>
      </c>
      <c r="E31" s="158">
        <f>SUMIF('内訳ﾘｽﾄ(4～3月)'!$D$26:$D$1000,$B31,'内訳ﾘｽﾄ(4～3月)'!H$26:H$1000)</f>
        <v>14580000</v>
      </c>
      <c r="F31" s="158">
        <f>SUMIF('内訳ﾘｽﾄ(4～3月)'!$D$26:$D$1000,$B31,'内訳ﾘｽﾄ(4～3月)'!I$26:I$1000)</f>
        <v>0</v>
      </c>
      <c r="G31" s="158">
        <f>SUMIF('内訳ﾘｽﾄ(4～3月)'!$D$26:$D$1000,$B31,'内訳ﾘｽﾄ(4～3月)'!J$26:J$1000)</f>
        <v>0</v>
      </c>
      <c r="H31" s="158">
        <f>SUMIF('内訳ﾘｽﾄ(4～3月)'!$D$26:$D$1000,$B31,'内訳ﾘｽﾄ(4～3月)'!K$26:K$1000)</f>
        <v>6000000</v>
      </c>
      <c r="I31" s="158">
        <f>SUMIF('内訳ﾘｽﾄ(4～3月)'!$D$26:$D$1000,$B31,'内訳ﾘｽﾄ(4～3月)'!L$26:L$1000)</f>
        <v>0</v>
      </c>
      <c r="J31" s="158">
        <f>SUMIF('内訳ﾘｽﾄ(4～3月)'!$D$26:$D$1000,$B31,'内訳ﾘｽﾄ(4～3月)'!M$26:M$1000)</f>
        <v>1750000</v>
      </c>
      <c r="K31" s="158">
        <f>SUMIF('内訳ﾘｽﾄ(4～3月)'!$D$26:$D$1000,$B31,'内訳ﾘｽﾄ(4～3月)'!N$26:N$1000)</f>
        <v>25215000</v>
      </c>
      <c r="L31" s="158">
        <f>SUMIF('内訳ﾘｽﾄ(4～3月)'!$D$26:$D$1000,$B31,'内訳ﾘｽﾄ(4～3月)'!O$26:O$1000)</f>
        <v>5000000</v>
      </c>
      <c r="M31" s="158">
        <f>SUMIF('内訳ﾘｽﾄ(4～3月)'!$D$26:$D$1000,$B31,'内訳ﾘｽﾄ(4～3月)'!P$26:P$1000)</f>
        <v>0</v>
      </c>
      <c r="N31" s="158">
        <f>SUMIF('内訳ﾘｽﾄ(4～3月)'!$D$26:$D$1000,$B31,'内訳ﾘｽﾄ(4～3月)'!Q$26:Q$1000)</f>
        <v>0</v>
      </c>
      <c r="O31" s="158">
        <f>SUMIF('内訳ﾘｽﾄ(4～3月)'!$D$26:$D$799,'採算表(VND)'!$B31,'内訳ﾘｽﾄ(4～3月)'!R$26:R$799)</f>
        <v>64930000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SUMIF('内訳ﾘｽﾄ(4～3月)'!$D$26:$D$1000,$B32,'内訳ﾘｽﾄ(4～3月)'!F$26:F$1000)</f>
        <v>3500000</v>
      </c>
      <c r="D32" s="158">
        <f>SUMIF('内訳ﾘｽﾄ(4～3月)'!$D$26:$D$1000,$B32,'内訳ﾘｽﾄ(4～3月)'!G$26:G$1000)</f>
        <v>3500000</v>
      </c>
      <c r="E32" s="158">
        <f>SUMIF('内訳ﾘｽﾄ(4～3月)'!$D$26:$D$1000,$B32,'内訳ﾘｽﾄ(4～3月)'!H$26:H$1000)</f>
        <v>3500000</v>
      </c>
      <c r="F32" s="158">
        <f>SUMIF('内訳ﾘｽﾄ(4～3月)'!$D$26:$D$1000,$B32,'内訳ﾘｽﾄ(4～3月)'!I$26:I$1000)</f>
        <v>3500000</v>
      </c>
      <c r="G32" s="158">
        <f>SUMIF('内訳ﾘｽﾄ(4～3月)'!$D$26:$D$1000,$B32,'内訳ﾘｽﾄ(4～3月)'!J$26:J$1000)</f>
        <v>3500000</v>
      </c>
      <c r="H32" s="158">
        <f>SUMIF('内訳ﾘｽﾄ(4～3月)'!$D$26:$D$1000,$B32,'内訳ﾘｽﾄ(4～3月)'!K$26:K$1000)</f>
        <v>3500000</v>
      </c>
      <c r="I32" s="158">
        <f>SUMIF('内訳ﾘｽﾄ(4～3月)'!$D$26:$D$1000,$B32,'内訳ﾘｽﾄ(4～3月)'!L$26:L$1000)</f>
        <v>3500000</v>
      </c>
      <c r="J32" s="158">
        <f>SUMIF('内訳ﾘｽﾄ(4～3月)'!$D$26:$D$1000,$B32,'内訳ﾘｽﾄ(4～3月)'!M$26:M$1000)</f>
        <v>3500000</v>
      </c>
      <c r="K32" s="158">
        <f>SUMIF('内訳ﾘｽﾄ(4～3月)'!$D$26:$D$1000,$B32,'内訳ﾘｽﾄ(4～3月)'!N$26:N$1000)</f>
        <v>3500000</v>
      </c>
      <c r="L32" s="158">
        <f>SUMIF('内訳ﾘｽﾄ(4～3月)'!$D$26:$D$1000,$B32,'内訳ﾘｽﾄ(4～3月)'!O$26:O$1000)</f>
        <v>3500000</v>
      </c>
      <c r="M32" s="158">
        <f>SUMIF('内訳ﾘｽﾄ(4～3月)'!$D$26:$D$1000,$B32,'内訳ﾘｽﾄ(4～3月)'!P$26:P$1000)</f>
        <v>3500000</v>
      </c>
      <c r="N32" s="158">
        <f>SUMIF('内訳ﾘｽﾄ(4～3月)'!$D$26:$D$1000,$B32,'内訳ﾘｽﾄ(4～3月)'!Q$26:Q$1000)</f>
        <v>3500000</v>
      </c>
      <c r="O32" s="158">
        <f>SUMIF('内訳ﾘｽﾄ(4～3月)'!$D$26:$D$799,'採算表(VND)'!$B32,'内訳ﾘｽﾄ(4～3月)'!R$26:R$799)</f>
        <v>42000000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SUMIF('内訳ﾘｽﾄ(4～3月)'!$D$26:$D$1000,$B33,'内訳ﾘｽﾄ(4～3月)'!F$26:F$1000)</f>
        <v>2290725551</v>
      </c>
      <c r="D33" s="158">
        <f>SUMIF('内訳ﾘｽﾄ(4～3月)'!$D$26:$D$1000,$B33,'内訳ﾘｽﾄ(4～3月)'!G$26:G$1000)</f>
        <v>2306437335</v>
      </c>
      <c r="E33" s="158">
        <f>SUMIF('内訳ﾘｽﾄ(4～3月)'!$D$26:$D$1000,$B33,'内訳ﾘｽﾄ(4～3月)'!H$26:H$1000)</f>
        <v>2334203637</v>
      </c>
      <c r="F33" s="158">
        <f>SUMIF('内訳ﾘｽﾄ(4～3月)'!$D$26:$D$1000,$B33,'内訳ﾘｽﾄ(4～3月)'!I$26:I$1000)</f>
        <v>2618888546</v>
      </c>
      <c r="G33" s="158">
        <f>SUMIF('内訳ﾘｽﾄ(4～3月)'!$D$26:$D$1000,$B33,'内訳ﾘｽﾄ(4～3月)'!J$26:J$1000)</f>
        <v>2508575176</v>
      </c>
      <c r="H33" s="158">
        <f>SUMIF('内訳ﾘｽﾄ(4～3月)'!$D$26:$D$1000,$B33,'内訳ﾘｽﾄ(4～3月)'!K$26:K$1000)</f>
        <v>2480966449</v>
      </c>
      <c r="I33" s="158">
        <f>SUMIF('内訳ﾘｽﾄ(4～3月)'!$D$26:$D$1000,$B33,'内訳ﾘｽﾄ(4～3月)'!L$26:L$1000)</f>
        <v>2717711511</v>
      </c>
      <c r="J33" s="158">
        <f>SUMIF('内訳ﾘｽﾄ(4～3月)'!$D$26:$D$1000,$B33,'内訳ﾘｽﾄ(4～3月)'!M$26:M$1000)</f>
        <v>2573877936</v>
      </c>
      <c r="K33" s="158">
        <f>SUMIF('内訳ﾘｽﾄ(4～3月)'!$D$26:$D$1000,$B33,'内訳ﾘｽﾄ(4～3月)'!N$26:N$1000)</f>
        <v>2659249771</v>
      </c>
      <c r="L33" s="158">
        <f>SUMIF('内訳ﾘｽﾄ(4～3月)'!$D$26:$D$1000,$B33,'内訳ﾘｽﾄ(4～3月)'!O$26:O$1000)</f>
        <v>2743834903</v>
      </c>
      <c r="M33" s="158">
        <f>SUMIF('内訳ﾘｽﾄ(4～3月)'!$D$26:$D$1000,$B33,'内訳ﾘｽﾄ(4～3月)'!P$26:P$1000)</f>
        <v>2449640994</v>
      </c>
      <c r="N33" s="158">
        <f>SUMIF('内訳ﾘｽﾄ(4～3月)'!$D$26:$D$1000,$B33,'内訳ﾘｽﾄ(4～3月)'!Q$26:Q$1000)</f>
        <v>2648729163</v>
      </c>
      <c r="O33" s="158">
        <f>SUMIF('内訳ﾘｽﾄ(4～3月)'!$D$26:$D$799,'採算表(VND)'!$B33,'内訳ﾘｽﾄ(4～3月)'!R$26:R$799)</f>
        <v>30332840972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SUMIF('内訳ﾘｽﾄ(4～3月)'!$D$26:$D$1000,$B34,'内訳ﾘｽﾄ(4～3月)'!F$26:F$1000)</f>
        <v>0</v>
      </c>
      <c r="D34" s="158">
        <f>SUMIF('内訳ﾘｽﾄ(4～3月)'!$D$26:$D$1000,$B34,'内訳ﾘｽﾄ(4～3月)'!G$26:G$1000)</f>
        <v>0</v>
      </c>
      <c r="E34" s="158">
        <f>SUMIF('内訳ﾘｽﾄ(4～3月)'!$D$26:$D$1000,$B34,'内訳ﾘｽﾄ(4～3月)'!H$26:H$1000)</f>
        <v>0</v>
      </c>
      <c r="F34" s="158">
        <f>SUMIF('内訳ﾘｽﾄ(4～3月)'!$D$26:$D$1000,$B34,'内訳ﾘｽﾄ(4～3月)'!I$26:I$1000)</f>
        <v>0</v>
      </c>
      <c r="G34" s="158">
        <f>SUMIF('内訳ﾘｽﾄ(4～3月)'!$D$26:$D$1000,$B34,'内訳ﾘｽﾄ(4～3月)'!J$26:J$1000)</f>
        <v>0</v>
      </c>
      <c r="H34" s="158">
        <f>SUMIF('内訳ﾘｽﾄ(4～3月)'!$D$26:$D$1000,$B34,'内訳ﾘｽﾄ(4～3月)'!K$26:K$1000)</f>
        <v>0</v>
      </c>
      <c r="I34" s="158">
        <f>SUMIF('内訳ﾘｽﾄ(4～3月)'!$D$26:$D$1000,$B34,'内訳ﾘｽﾄ(4～3月)'!L$26:L$1000)</f>
        <v>0</v>
      </c>
      <c r="J34" s="158">
        <f>SUMIF('内訳ﾘｽﾄ(4～3月)'!$D$26:$D$1000,$B34,'内訳ﾘｽﾄ(4～3月)'!M$26:M$1000)</f>
        <v>0</v>
      </c>
      <c r="K34" s="158">
        <f>SUMIF('内訳ﾘｽﾄ(4～3月)'!$D$26:$D$1000,$B34,'内訳ﾘｽﾄ(4～3月)'!N$26:N$1000)</f>
        <v>0</v>
      </c>
      <c r="L34" s="158">
        <f>SUMIF('内訳ﾘｽﾄ(4～3月)'!$D$26:$D$1000,$B34,'内訳ﾘｽﾄ(4～3月)'!O$26:O$1000)</f>
        <v>0</v>
      </c>
      <c r="M34" s="158">
        <f>SUMIF('内訳ﾘｽﾄ(4～3月)'!$D$26:$D$1000,$B34,'内訳ﾘｽﾄ(4～3月)'!P$26:P$1000)</f>
        <v>0</v>
      </c>
      <c r="N34" s="158">
        <f>SUMIF('内訳ﾘｽﾄ(4～3月)'!$D$26:$D$1000,$B34,'内訳ﾘｽﾄ(4～3月)'!Q$26:Q$1000)</f>
        <v>0</v>
      </c>
      <c r="O34" s="158">
        <f>SUMIF('内訳ﾘｽﾄ(4～3月)'!$D$26:$D$799,'採算表(VND)'!$B34,'内訳ﾘｽﾄ(4～3月)'!R$26:R$799)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SUMIF('内訳ﾘｽﾄ(4～3月)'!$D$26:$D$1000,$B35,'内訳ﾘｽﾄ(4～3月)'!F$26:F$1000)</f>
        <v>0</v>
      </c>
      <c r="D35" s="158">
        <f>SUMIF('内訳ﾘｽﾄ(4～3月)'!$D$26:$D$1000,$B35,'内訳ﾘｽﾄ(4～3月)'!G$26:G$1000)</f>
        <v>0</v>
      </c>
      <c r="E35" s="158">
        <f>SUMIF('内訳ﾘｽﾄ(4～3月)'!$D$26:$D$1000,$B35,'内訳ﾘｽﾄ(4～3月)'!H$26:H$1000)</f>
        <v>0</v>
      </c>
      <c r="F35" s="158">
        <f>SUMIF('内訳ﾘｽﾄ(4～3月)'!$D$26:$D$1000,$B35,'内訳ﾘｽﾄ(4～3月)'!I$26:I$1000)</f>
        <v>0</v>
      </c>
      <c r="G35" s="158">
        <f>SUMIF('内訳ﾘｽﾄ(4～3月)'!$D$26:$D$1000,$B35,'内訳ﾘｽﾄ(4～3月)'!J$26:J$1000)</f>
        <v>0</v>
      </c>
      <c r="H35" s="158">
        <f>SUMIF('内訳ﾘｽﾄ(4～3月)'!$D$26:$D$1000,$B35,'内訳ﾘｽﾄ(4～3月)'!K$26:K$1000)</f>
        <v>0</v>
      </c>
      <c r="I35" s="158">
        <f>SUMIF('内訳ﾘｽﾄ(4～3月)'!$D$26:$D$1000,$B35,'内訳ﾘｽﾄ(4～3月)'!L$26:L$1000)</f>
        <v>0</v>
      </c>
      <c r="J35" s="158">
        <f>SUMIF('内訳ﾘｽﾄ(4～3月)'!$D$26:$D$1000,$B35,'内訳ﾘｽﾄ(4～3月)'!M$26:M$1000)</f>
        <v>0</v>
      </c>
      <c r="K35" s="158">
        <f>SUMIF('内訳ﾘｽﾄ(4～3月)'!$D$26:$D$1000,$B35,'内訳ﾘｽﾄ(4～3月)'!N$26:N$1000)</f>
        <v>0</v>
      </c>
      <c r="L35" s="158">
        <f>SUMIF('内訳ﾘｽﾄ(4～3月)'!$D$26:$D$1000,$B35,'内訳ﾘｽﾄ(4～3月)'!O$26:O$1000)</f>
        <v>0</v>
      </c>
      <c r="M35" s="158">
        <f>SUMIF('内訳ﾘｽﾄ(4～3月)'!$D$26:$D$1000,$B35,'内訳ﾘｽﾄ(4～3月)'!P$26:P$1000)</f>
        <v>0</v>
      </c>
      <c r="N35" s="158">
        <f>SUMIF('内訳ﾘｽﾄ(4～3月)'!$D$26:$D$1000,$B35,'内訳ﾘｽﾄ(4～3月)'!Q$26:Q$1000)</f>
        <v>0</v>
      </c>
      <c r="O35" s="158">
        <f>SUMIF('内訳ﾘｽﾄ(4～3月)'!$D$26:$D$799,'採算表(VND)'!$B35,'内訳ﾘｽﾄ(4～3月)'!R$26:R$799)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SUMIF('内訳ﾘｽﾄ(4～3月)'!$D$26:$D$1000,$B36,'内訳ﾘｽﾄ(4～3月)'!F$26:F$1000)</f>
        <v>0</v>
      </c>
      <c r="D36" s="158">
        <f>SUMIF('内訳ﾘｽﾄ(4～3月)'!$D$26:$D$1000,$B36,'内訳ﾘｽﾄ(4～3月)'!G$26:G$1000)</f>
        <v>0</v>
      </c>
      <c r="E36" s="158">
        <f>SUMIF('内訳ﾘｽﾄ(4～3月)'!$D$26:$D$1000,$B36,'内訳ﾘｽﾄ(4～3月)'!H$26:H$1000)</f>
        <v>0</v>
      </c>
      <c r="F36" s="158">
        <f>SUMIF('内訳ﾘｽﾄ(4～3月)'!$D$26:$D$1000,$B36,'内訳ﾘｽﾄ(4～3月)'!I$26:I$1000)</f>
        <v>0</v>
      </c>
      <c r="G36" s="158">
        <f>SUMIF('内訳ﾘｽﾄ(4～3月)'!$D$26:$D$1000,$B36,'内訳ﾘｽﾄ(4～3月)'!J$26:J$1000)</f>
        <v>0</v>
      </c>
      <c r="H36" s="158">
        <f>SUMIF('内訳ﾘｽﾄ(4～3月)'!$D$26:$D$1000,$B36,'内訳ﾘｽﾄ(4～3月)'!K$26:K$1000)</f>
        <v>0</v>
      </c>
      <c r="I36" s="158">
        <f>SUMIF('内訳ﾘｽﾄ(4～3月)'!$D$26:$D$1000,$B36,'内訳ﾘｽﾄ(4～3月)'!L$26:L$1000)</f>
        <v>0</v>
      </c>
      <c r="J36" s="158">
        <f>SUMIF('内訳ﾘｽﾄ(4～3月)'!$D$26:$D$1000,$B36,'内訳ﾘｽﾄ(4～3月)'!M$26:M$1000)</f>
        <v>0</v>
      </c>
      <c r="K36" s="158">
        <f>SUMIF('内訳ﾘｽﾄ(4～3月)'!$D$26:$D$1000,$B36,'内訳ﾘｽﾄ(4～3月)'!N$26:N$1000)</f>
        <v>0</v>
      </c>
      <c r="L36" s="158">
        <f>SUMIF('内訳ﾘｽﾄ(4～3月)'!$D$26:$D$1000,$B36,'内訳ﾘｽﾄ(4～3月)'!O$26:O$1000)</f>
        <v>0</v>
      </c>
      <c r="M36" s="158">
        <f>SUMIF('内訳ﾘｽﾄ(4～3月)'!$D$26:$D$1000,$B36,'内訳ﾘｽﾄ(4～3月)'!P$26:P$1000)</f>
        <v>0</v>
      </c>
      <c r="N36" s="158">
        <f>SUMIF('内訳ﾘｽﾄ(4～3月)'!$D$26:$D$1000,$B36,'内訳ﾘｽﾄ(4～3月)'!Q$26:Q$1000)</f>
        <v>0</v>
      </c>
      <c r="O36" s="158">
        <f>SUMIF('内訳ﾘｽﾄ(4～3月)'!$D$26:$D$799,'採算表(VND)'!$B36,'内訳ﾘｽﾄ(4～3月)'!R$26:R$799)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SUMIF('内訳ﾘｽﾄ(4～3月)'!$D$26:$D$1000,$B37,'内訳ﾘｽﾄ(4～3月)'!F$26:F$1000)</f>
        <v>0</v>
      </c>
      <c r="D37" s="158">
        <f>SUMIF('内訳ﾘｽﾄ(4～3月)'!$D$26:$D$1000,$B37,'内訳ﾘｽﾄ(4～3月)'!G$26:G$1000)</f>
        <v>0</v>
      </c>
      <c r="E37" s="158">
        <f>SUMIF('内訳ﾘｽﾄ(4～3月)'!$D$26:$D$1000,$B37,'内訳ﾘｽﾄ(4～3月)'!H$26:H$1000)</f>
        <v>0</v>
      </c>
      <c r="F37" s="158">
        <f>SUMIF('内訳ﾘｽﾄ(4～3月)'!$D$26:$D$1000,$B37,'内訳ﾘｽﾄ(4～3月)'!I$26:I$1000)</f>
        <v>0</v>
      </c>
      <c r="G37" s="158">
        <f>SUMIF('内訳ﾘｽﾄ(4～3月)'!$D$26:$D$1000,$B37,'内訳ﾘｽﾄ(4～3月)'!J$26:J$1000)</f>
        <v>0</v>
      </c>
      <c r="H37" s="158">
        <f>SUMIF('内訳ﾘｽﾄ(4～3月)'!$D$26:$D$1000,$B37,'内訳ﾘｽﾄ(4～3月)'!K$26:K$1000)</f>
        <v>0</v>
      </c>
      <c r="I37" s="158">
        <f>SUMIF('内訳ﾘｽﾄ(4～3月)'!$D$26:$D$1000,$B37,'内訳ﾘｽﾄ(4～3月)'!L$26:L$1000)</f>
        <v>0</v>
      </c>
      <c r="J37" s="158">
        <f>SUMIF('内訳ﾘｽﾄ(4～3月)'!$D$26:$D$1000,$B37,'内訳ﾘｽﾄ(4～3月)'!M$26:M$1000)</f>
        <v>0</v>
      </c>
      <c r="K37" s="158">
        <f>SUMIF('内訳ﾘｽﾄ(4～3月)'!$D$26:$D$1000,$B37,'内訳ﾘｽﾄ(4～3月)'!N$26:N$1000)</f>
        <v>0</v>
      </c>
      <c r="L37" s="158">
        <f>SUMIF('内訳ﾘｽﾄ(4～3月)'!$D$26:$D$1000,$B37,'内訳ﾘｽﾄ(4～3月)'!O$26:O$1000)</f>
        <v>0</v>
      </c>
      <c r="M37" s="158">
        <f>SUMIF('内訳ﾘｽﾄ(4～3月)'!$D$26:$D$1000,$B37,'内訳ﾘｽﾄ(4～3月)'!P$26:P$1000)</f>
        <v>0</v>
      </c>
      <c r="N37" s="158">
        <f>SUMIF('内訳ﾘｽﾄ(4～3月)'!$D$26:$D$1000,$B37,'内訳ﾘｽﾄ(4～3月)'!Q$26:Q$1000)</f>
        <v>0</v>
      </c>
      <c r="O37" s="158">
        <f>SUMIF('内訳ﾘｽﾄ(4～3月)'!$D$26:$D$799,'採算表(VND)'!$B37,'内訳ﾘｽﾄ(4～3月)'!R$26:R$799)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SUMIF('内訳ﾘｽﾄ(4～3月)'!$D$26:$D$1000,$B38,'内訳ﾘｽﾄ(4～3月)'!F$26:F$1000)</f>
        <v>0</v>
      </c>
      <c r="D38" s="158">
        <f>SUMIF('内訳ﾘｽﾄ(4～3月)'!$D$26:$D$1000,$B38,'内訳ﾘｽﾄ(4～3月)'!G$26:G$1000)</f>
        <v>0</v>
      </c>
      <c r="E38" s="158">
        <f>SUMIF('内訳ﾘｽﾄ(4～3月)'!$D$26:$D$1000,$B38,'内訳ﾘｽﾄ(4～3月)'!H$26:H$1000)</f>
        <v>0</v>
      </c>
      <c r="F38" s="158">
        <f>SUMIF('内訳ﾘｽﾄ(4～3月)'!$D$26:$D$1000,$B38,'内訳ﾘｽﾄ(4～3月)'!I$26:I$1000)</f>
        <v>0</v>
      </c>
      <c r="G38" s="158">
        <f>SUMIF('内訳ﾘｽﾄ(4～3月)'!$D$26:$D$1000,$B38,'内訳ﾘｽﾄ(4～3月)'!J$26:J$1000)</f>
        <v>0</v>
      </c>
      <c r="H38" s="158">
        <f>SUMIF('内訳ﾘｽﾄ(4～3月)'!$D$26:$D$1000,$B38,'内訳ﾘｽﾄ(4～3月)'!K$26:K$1000)</f>
        <v>0</v>
      </c>
      <c r="I38" s="158">
        <f>SUMIF('内訳ﾘｽﾄ(4～3月)'!$D$26:$D$1000,$B38,'内訳ﾘｽﾄ(4～3月)'!L$26:L$1000)</f>
        <v>0</v>
      </c>
      <c r="J38" s="158">
        <f>SUMIF('内訳ﾘｽﾄ(4～3月)'!$D$26:$D$1000,$B38,'内訳ﾘｽﾄ(4～3月)'!M$26:M$1000)</f>
        <v>0</v>
      </c>
      <c r="K38" s="158">
        <f>SUMIF('内訳ﾘｽﾄ(4～3月)'!$D$26:$D$1000,$B38,'内訳ﾘｽﾄ(4～3月)'!N$26:N$1000)</f>
        <v>0</v>
      </c>
      <c r="L38" s="158">
        <f>SUMIF('内訳ﾘｽﾄ(4～3月)'!$D$26:$D$1000,$B38,'内訳ﾘｽﾄ(4～3月)'!O$26:O$1000)</f>
        <v>0</v>
      </c>
      <c r="M38" s="158">
        <f>SUMIF('内訳ﾘｽﾄ(4～3月)'!$D$26:$D$1000,$B38,'内訳ﾘｽﾄ(4～3月)'!P$26:P$1000)</f>
        <v>0</v>
      </c>
      <c r="N38" s="158">
        <f>SUMIF('内訳ﾘｽﾄ(4～3月)'!$D$26:$D$1000,$B38,'内訳ﾘｽﾄ(4～3月)'!Q$26:Q$1000)</f>
        <v>0</v>
      </c>
      <c r="O38" s="158">
        <f>SUMIF('内訳ﾘｽﾄ(4～3月)'!$D$26:$D$799,'採算表(VND)'!$B38,'内訳ﾘｽﾄ(4～3月)'!R$26:R$799)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SUMIF('内訳ﾘｽﾄ(4～3月)'!$D$26:$D$1000,$B39,'内訳ﾘｽﾄ(4～3月)'!F$26:F$1000)</f>
        <v>3599808</v>
      </c>
      <c r="D39" s="158">
        <f>SUMIF('内訳ﾘｽﾄ(4～3月)'!$D$26:$D$1000,$B39,'内訳ﾘｽﾄ(4～3月)'!G$26:G$1000)</f>
        <v>3613568</v>
      </c>
      <c r="E39" s="158">
        <f>SUMIF('内訳ﾘｽﾄ(4～3月)'!$D$26:$D$1000,$B39,'内訳ﾘｽﾄ(4～3月)'!H$26:H$1000)</f>
        <v>3724864</v>
      </c>
      <c r="F39" s="158">
        <f>SUMIF('内訳ﾘｽﾄ(4～3月)'!$D$26:$D$1000,$B39,'内訳ﾘｽﾄ(4～3月)'!I$26:I$1000)</f>
        <v>3358278</v>
      </c>
      <c r="G39" s="158">
        <f>SUMIF('内訳ﾘｽﾄ(4～3月)'!$D$26:$D$1000,$B39,'内訳ﾘｽﾄ(4～3月)'!J$26:J$1000)</f>
        <v>3269133</v>
      </c>
      <c r="H39" s="158">
        <f>SUMIF('内訳ﾘｽﾄ(4～3月)'!$D$26:$D$1000,$B39,'内訳ﾘｽﾄ(4～3月)'!K$26:K$1000)</f>
        <v>3074580</v>
      </c>
      <c r="I39" s="158">
        <f>SUMIF('内訳ﾘｽﾄ(4～3月)'!$D$26:$D$1000,$B39,'内訳ﾘｽﾄ(4～3月)'!L$26:L$1000)</f>
        <v>2893352</v>
      </c>
      <c r="J39" s="158">
        <f>SUMIF('内訳ﾘｽﾄ(4～3月)'!$D$26:$D$1000,$B39,'内訳ﾘｽﾄ(4～3月)'!M$26:M$1000)</f>
        <v>2857484</v>
      </c>
      <c r="K39" s="158">
        <f>SUMIF('内訳ﾘｽﾄ(4～3月)'!$D$26:$D$1000,$B39,'内訳ﾘｽﾄ(4～3月)'!N$26:N$1000)</f>
        <v>2865597</v>
      </c>
      <c r="L39" s="158">
        <f>SUMIF('内訳ﾘｽﾄ(4～3月)'!$D$26:$D$1000,$B39,'内訳ﾘｽﾄ(4～3月)'!O$26:O$1000)</f>
        <v>2698080</v>
      </c>
      <c r="M39" s="158">
        <f>SUMIF('内訳ﾘｽﾄ(4～3月)'!$D$26:$D$1000,$B39,'内訳ﾘｽﾄ(4～3月)'!P$26:P$1000)</f>
        <v>2596282</v>
      </c>
      <c r="N39" s="158">
        <f>SUMIF('内訳ﾘｽﾄ(4～3月)'!$D$26:$D$1000,$B39,'内訳ﾘｽﾄ(4～3月)'!Q$26:Q$1000)</f>
        <v>2761480</v>
      </c>
      <c r="O39" s="158">
        <f>SUMIF('内訳ﾘｽﾄ(4～3月)'!$D$26:$D$799,'採算表(VND)'!$B39,'内訳ﾘｽﾄ(4～3月)'!R$26:R$799)</f>
        <v>37312506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SUMIF('内訳ﾘｽﾄ(4～3月)'!$D$26:$D$1000,$B40,'内訳ﾘｽﾄ(4～3月)'!F$26:F$1000)</f>
        <v>0</v>
      </c>
      <c r="D40" s="158">
        <f>SUMIF('内訳ﾘｽﾄ(4～3月)'!$D$26:$D$1000,$B40,'内訳ﾘｽﾄ(4～3月)'!G$26:G$1000)</f>
        <v>0</v>
      </c>
      <c r="E40" s="158">
        <f>SUMIF('内訳ﾘｽﾄ(4～3月)'!$D$26:$D$1000,$B40,'内訳ﾘｽﾄ(4～3月)'!H$26:H$1000)</f>
        <v>0</v>
      </c>
      <c r="F40" s="158">
        <f>SUMIF('内訳ﾘｽﾄ(4～3月)'!$D$26:$D$1000,$B40,'内訳ﾘｽﾄ(4～3月)'!I$26:I$1000)</f>
        <v>0</v>
      </c>
      <c r="G40" s="158">
        <f>SUMIF('内訳ﾘｽﾄ(4～3月)'!$D$26:$D$1000,$B40,'内訳ﾘｽﾄ(4～3月)'!J$26:J$1000)</f>
        <v>0</v>
      </c>
      <c r="H40" s="158">
        <f>SUMIF('内訳ﾘｽﾄ(4～3月)'!$D$26:$D$1000,$B40,'内訳ﾘｽﾄ(4～3月)'!K$26:K$1000)</f>
        <v>0</v>
      </c>
      <c r="I40" s="158">
        <f>SUMIF('内訳ﾘｽﾄ(4～3月)'!$D$26:$D$1000,$B40,'内訳ﾘｽﾄ(4～3月)'!L$26:L$1000)</f>
        <v>0</v>
      </c>
      <c r="J40" s="158">
        <f>SUMIF('内訳ﾘｽﾄ(4～3月)'!$D$26:$D$1000,$B40,'内訳ﾘｽﾄ(4～3月)'!M$26:M$1000)</f>
        <v>0</v>
      </c>
      <c r="K40" s="158">
        <f>SUMIF('内訳ﾘｽﾄ(4～3月)'!$D$26:$D$1000,$B40,'内訳ﾘｽﾄ(4～3月)'!N$26:N$1000)</f>
        <v>0</v>
      </c>
      <c r="L40" s="158">
        <f>SUMIF('内訳ﾘｽﾄ(4～3月)'!$D$26:$D$1000,$B40,'内訳ﾘｽﾄ(4～3月)'!O$26:O$1000)</f>
        <v>0</v>
      </c>
      <c r="M40" s="158">
        <f>SUMIF('内訳ﾘｽﾄ(4～3月)'!$D$26:$D$1000,$B40,'内訳ﾘｽﾄ(4～3月)'!P$26:P$1000)</f>
        <v>0</v>
      </c>
      <c r="N40" s="158">
        <f>SUMIF('内訳ﾘｽﾄ(4～3月)'!$D$26:$D$1000,$B40,'内訳ﾘｽﾄ(4～3月)'!Q$26:Q$1000)</f>
        <v>0</v>
      </c>
      <c r="O40" s="158">
        <f>SUMIF('内訳ﾘｽﾄ(4～3月)'!$D$26:$D$799,'採算表(VND)'!$B40,'内訳ﾘｽﾄ(4～3月)'!R$26:R$799)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SUMIF('内訳ﾘｽﾄ(4～3月)'!$D$26:$D$1000,$B41,'内訳ﾘｽﾄ(4～3月)'!F$26:F$1000)</f>
        <v>1389000</v>
      </c>
      <c r="D41" s="158">
        <f>SUMIF('内訳ﾘｽﾄ(4～3月)'!$D$26:$D$1000,$B41,'内訳ﾘｽﾄ(4～3月)'!G$26:G$1000)</f>
        <v>1389000</v>
      </c>
      <c r="E41" s="158">
        <f>SUMIF('内訳ﾘｽﾄ(4～3月)'!$D$26:$D$1000,$B41,'内訳ﾘｽﾄ(4～3月)'!H$26:H$1000)</f>
        <v>1389000</v>
      </c>
      <c r="F41" s="158">
        <f>SUMIF('内訳ﾘｽﾄ(4～3月)'!$D$26:$D$1000,$B41,'内訳ﾘｽﾄ(4～3月)'!I$26:I$1000)</f>
        <v>1389000</v>
      </c>
      <c r="G41" s="158">
        <f>SUMIF('内訳ﾘｽﾄ(4～3月)'!$D$26:$D$1000,$B41,'内訳ﾘｽﾄ(4～3月)'!J$26:J$1000)</f>
        <v>1389000</v>
      </c>
      <c r="H41" s="158">
        <f>SUMIF('内訳ﾘｽﾄ(4～3月)'!$D$26:$D$1000,$B41,'内訳ﾘｽﾄ(4～3月)'!K$26:K$1000)</f>
        <v>1389000</v>
      </c>
      <c r="I41" s="158">
        <f>SUMIF('内訳ﾘｽﾄ(4～3月)'!$D$26:$D$1000,$B41,'内訳ﾘｽﾄ(4～3月)'!L$26:L$1000)</f>
        <v>1389000</v>
      </c>
      <c r="J41" s="158">
        <f>SUMIF('内訳ﾘｽﾄ(4～3月)'!$D$26:$D$1000,$B41,'内訳ﾘｽﾄ(4～3月)'!M$26:M$1000)</f>
        <v>1389000</v>
      </c>
      <c r="K41" s="158">
        <f>SUMIF('内訳ﾘｽﾄ(4～3月)'!$D$26:$D$1000,$B41,'内訳ﾘｽﾄ(4～3月)'!N$26:N$1000)</f>
        <v>1389000</v>
      </c>
      <c r="L41" s="158">
        <f>SUMIF('内訳ﾘｽﾄ(4～3月)'!$D$26:$D$1000,$B41,'内訳ﾘｽﾄ(4～3月)'!O$26:O$1000)</f>
        <v>1389000</v>
      </c>
      <c r="M41" s="158">
        <f>SUMIF('内訳ﾘｽﾄ(4～3月)'!$D$26:$D$1000,$B41,'内訳ﾘｽﾄ(4～3月)'!P$26:P$1000)</f>
        <v>1389000</v>
      </c>
      <c r="N41" s="158">
        <f>SUMIF('内訳ﾘｽﾄ(4～3月)'!$D$26:$D$1000,$B41,'内訳ﾘｽﾄ(4～3月)'!Q$26:Q$1000)</f>
        <v>1389000</v>
      </c>
      <c r="O41" s="158">
        <f>SUMIF('内訳ﾘｽﾄ(4～3月)'!$D$26:$D$799,'採算表(VND)'!$B41,'内訳ﾘｽﾄ(4～3月)'!R$26:R$799)</f>
        <v>16668000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SUMIF('内訳ﾘｽﾄ(4～3月)'!$D$26:$D$1000,$B42,'内訳ﾘｽﾄ(4～3月)'!F$26:F$1000)</f>
        <v>14197073</v>
      </c>
      <c r="D42" s="158">
        <f>SUMIF('内訳ﾘｽﾄ(4～3月)'!$D$26:$D$1000,$B42,'内訳ﾘｽﾄ(4～3月)'!G$26:G$1000)</f>
        <v>14197073</v>
      </c>
      <c r="E42" s="158">
        <f>SUMIF('内訳ﾘｽﾄ(4～3月)'!$D$26:$D$1000,$B42,'内訳ﾘｽﾄ(4～3月)'!H$26:H$1000)</f>
        <v>14572073</v>
      </c>
      <c r="F42" s="158">
        <f>SUMIF('内訳ﾘｽﾄ(4～3月)'!$D$26:$D$1000,$B42,'内訳ﾘｽﾄ(4～3月)'!I$26:I$1000)</f>
        <v>14197073</v>
      </c>
      <c r="G42" s="158">
        <f>SUMIF('内訳ﾘｽﾄ(4～3月)'!$D$26:$D$1000,$B42,'内訳ﾘｽﾄ(4～3月)'!J$26:J$1000)</f>
        <v>14197073</v>
      </c>
      <c r="H42" s="158">
        <f>SUMIF('内訳ﾘｽﾄ(4～3月)'!$D$26:$D$1000,$B42,'内訳ﾘｽﾄ(4～3月)'!K$26:K$1000)</f>
        <v>14197073</v>
      </c>
      <c r="I42" s="158">
        <f>SUMIF('内訳ﾘｽﾄ(4～3月)'!$D$26:$D$1000,$B42,'内訳ﾘｽﾄ(4～3月)'!L$26:L$1000)</f>
        <v>14197073</v>
      </c>
      <c r="J42" s="158">
        <f>SUMIF('内訳ﾘｽﾄ(4～3月)'!$D$26:$D$1000,$B42,'内訳ﾘｽﾄ(4～3月)'!M$26:M$1000)</f>
        <v>14246673</v>
      </c>
      <c r="K42" s="158">
        <f>SUMIF('内訳ﾘｽﾄ(4～3月)'!$D$26:$D$1000,$B42,'内訳ﾘｽﾄ(4～3月)'!N$26:N$1000)</f>
        <v>14617073</v>
      </c>
      <c r="L42" s="158">
        <f>SUMIF('内訳ﾘｽﾄ(4～3月)'!$D$26:$D$1000,$B42,'内訳ﾘｽﾄ(4～3月)'!O$26:O$1000)</f>
        <v>14293673</v>
      </c>
      <c r="M42" s="158">
        <f>SUMIF('内訳ﾘｽﾄ(4～3月)'!$D$26:$D$1000,$B42,'内訳ﾘｽﾄ(4～3月)'!P$26:P$1000)</f>
        <v>14390273</v>
      </c>
      <c r="N42" s="158">
        <f>SUMIF('内訳ﾘｽﾄ(4～3月)'!$D$26:$D$1000,$B42,'内訳ﾘｽﾄ(4～3月)'!Q$26:Q$1000)</f>
        <v>14197073</v>
      </c>
      <c r="O42" s="158">
        <f>SUMIF('内訳ﾘｽﾄ(4～3月)'!$D$26:$D$799,'採算表(VND)'!$B42,'内訳ﾘｽﾄ(4～3月)'!R$26:R$799)</f>
        <v>171499276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SUMIF('内訳ﾘｽﾄ(4～3月)'!$D$26:$D$1000,$B43,'内訳ﾘｽﾄ(4～3月)'!F$26:F$1000)</f>
        <v>0</v>
      </c>
      <c r="D43" s="158">
        <f>SUMIF('内訳ﾘｽﾄ(4～3月)'!$D$26:$D$1000,$B43,'内訳ﾘｽﾄ(4～3月)'!G$26:G$1000)</f>
        <v>0</v>
      </c>
      <c r="E43" s="158">
        <f>SUMIF('内訳ﾘｽﾄ(4～3月)'!$D$26:$D$1000,$B43,'内訳ﾘｽﾄ(4～3月)'!H$26:H$1000)</f>
        <v>0</v>
      </c>
      <c r="F43" s="158">
        <f>SUMIF('内訳ﾘｽﾄ(4～3月)'!$D$26:$D$1000,$B43,'内訳ﾘｽﾄ(4～3月)'!I$26:I$1000)</f>
        <v>0</v>
      </c>
      <c r="G43" s="158">
        <f>SUMIF('内訳ﾘｽﾄ(4～3月)'!$D$26:$D$1000,$B43,'内訳ﾘｽﾄ(4～3月)'!J$26:J$1000)</f>
        <v>0</v>
      </c>
      <c r="H43" s="158">
        <f>SUMIF('内訳ﾘｽﾄ(4～3月)'!$D$26:$D$1000,$B43,'内訳ﾘｽﾄ(4～3月)'!K$26:K$1000)</f>
        <v>0</v>
      </c>
      <c r="I43" s="158">
        <f>SUMIF('内訳ﾘｽﾄ(4～3月)'!$D$26:$D$1000,$B43,'内訳ﾘｽﾄ(4～3月)'!L$26:L$1000)</f>
        <v>0</v>
      </c>
      <c r="J43" s="158">
        <f>SUMIF('内訳ﾘｽﾄ(4～3月)'!$D$26:$D$1000,$B43,'内訳ﾘｽﾄ(4～3月)'!M$26:M$1000)</f>
        <v>0</v>
      </c>
      <c r="K43" s="158">
        <f>SUMIF('内訳ﾘｽﾄ(4～3月)'!$D$26:$D$1000,$B43,'内訳ﾘｽﾄ(4～3月)'!N$26:N$1000)</f>
        <v>0</v>
      </c>
      <c r="L43" s="158">
        <f>SUMIF('内訳ﾘｽﾄ(4～3月)'!$D$26:$D$1000,$B43,'内訳ﾘｽﾄ(4～3月)'!O$26:O$1000)</f>
        <v>0</v>
      </c>
      <c r="M43" s="158">
        <f>SUMIF('内訳ﾘｽﾄ(4～3月)'!$D$26:$D$1000,$B43,'内訳ﾘｽﾄ(4～3月)'!P$26:P$1000)</f>
        <v>0</v>
      </c>
      <c r="N43" s="158">
        <f>SUMIF('内訳ﾘｽﾄ(4～3月)'!$D$26:$D$1000,$B43,'内訳ﾘｽﾄ(4～3月)'!Q$26:Q$1000)</f>
        <v>0</v>
      </c>
      <c r="O43" s="158">
        <f>SUMIF('内訳ﾘｽﾄ(4～3月)'!$D$26:$D$799,'採算表(VND)'!$B43,'内訳ﾘｽﾄ(4～3月)'!R$26:R$799)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SUMIF('内訳ﾘｽﾄ(4～3月)'!$D$26:$D$1000,$B44,'内訳ﾘｽﾄ(4～3月)'!F$26:F$1000)</f>
        <v>26620424</v>
      </c>
      <c r="D44" s="158">
        <f>SUMIF('内訳ﾘｽﾄ(4～3月)'!$D$26:$D$1000,$B44,'内訳ﾘｽﾄ(4～3月)'!G$26:G$1000)</f>
        <v>143971976</v>
      </c>
      <c r="E44" s="158">
        <f>SUMIF('内訳ﾘｽﾄ(4～3月)'!$D$26:$D$1000,$B44,'内訳ﾘｽﾄ(4～3月)'!H$26:H$1000)</f>
        <v>18322816</v>
      </c>
      <c r="F44" s="158">
        <f>SUMIF('内訳ﾘｽﾄ(4～3月)'!$D$26:$D$1000,$B44,'内訳ﾘｽﾄ(4～3月)'!I$26:I$1000)</f>
        <v>78388704</v>
      </c>
      <c r="G44" s="158">
        <f>SUMIF('内訳ﾘｽﾄ(4～3月)'!$D$26:$D$1000,$B44,'内訳ﾘｽﾄ(4～3月)'!J$26:J$1000)</f>
        <v>18521672</v>
      </c>
      <c r="H44" s="158">
        <f>SUMIF('内訳ﾘｽﾄ(4～3月)'!$D$26:$D$1000,$B44,'内訳ﾘｽﾄ(4～3月)'!K$26:K$1000)</f>
        <v>27551704</v>
      </c>
      <c r="I44" s="158">
        <f>SUMIF('内訳ﾘｽﾄ(4～3月)'!$D$26:$D$1000,$B44,'内訳ﾘｽﾄ(4～3月)'!L$26:L$1000)</f>
        <v>22939880</v>
      </c>
      <c r="J44" s="158">
        <f>SUMIF('内訳ﾘｽﾄ(4～3月)'!$D$26:$D$1000,$B44,'内訳ﾘｽﾄ(4～3月)'!M$26:M$1000)</f>
        <v>25462936</v>
      </c>
      <c r="K44" s="158">
        <f>SUMIF('内訳ﾘｽﾄ(4～3月)'!$D$26:$D$1000,$B44,'内訳ﾘｽﾄ(4～3月)'!N$26:N$1000)</f>
        <v>31171736</v>
      </c>
      <c r="L44" s="158">
        <f>SUMIF('内訳ﾘｽﾄ(4～3月)'!$D$26:$D$1000,$B44,'内訳ﾘｽﾄ(4～3月)'!O$26:O$1000)</f>
        <v>18869200</v>
      </c>
      <c r="M44" s="158">
        <f>SUMIF('内訳ﾘｽﾄ(4～3月)'!$D$26:$D$1000,$B44,'内訳ﾘｽﾄ(4～3月)'!P$26:P$1000)</f>
        <v>43099072</v>
      </c>
      <c r="N44" s="158">
        <f>SUMIF('内訳ﾘｽﾄ(4～3月)'!$D$26:$D$1000,$B44,'内訳ﾘｽﾄ(4～3月)'!Q$26:Q$1000)</f>
        <v>18360824</v>
      </c>
      <c r="O44" s="158">
        <f>SUMIF('内訳ﾘｽﾄ(4～3月)'!$D$26:$D$799,'採算表(VND)'!$B44,'内訳ﾘｽﾄ(4～3月)'!R$26:R$799)</f>
        <v>473280944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SUMIF('内訳ﾘｽﾄ(4～3月)'!$D$26:$D$1000,$B45,'内訳ﾘｽﾄ(4～3月)'!F$26:F$1000)</f>
        <v>24500000</v>
      </c>
      <c r="D45" s="158">
        <f>SUMIF('内訳ﾘｽﾄ(4～3月)'!$D$26:$D$1000,$B45,'内訳ﾘｽﾄ(4～3月)'!G$26:G$1000)</f>
        <v>0</v>
      </c>
      <c r="E45" s="158">
        <f>SUMIF('内訳ﾘｽﾄ(4～3月)'!$D$26:$D$1000,$B45,'内訳ﾘｽﾄ(4～3月)'!H$26:H$1000)</f>
        <v>0</v>
      </c>
      <c r="F45" s="158">
        <f>SUMIF('内訳ﾘｽﾄ(4～3月)'!$D$26:$D$1000,$B45,'内訳ﾘｽﾄ(4～3月)'!I$26:I$1000)</f>
        <v>0</v>
      </c>
      <c r="G45" s="158">
        <f>SUMIF('内訳ﾘｽﾄ(4～3月)'!$D$26:$D$1000,$B45,'内訳ﾘｽﾄ(4～3月)'!J$26:J$1000)</f>
        <v>0</v>
      </c>
      <c r="H45" s="158">
        <f>SUMIF('内訳ﾘｽﾄ(4～3月)'!$D$26:$D$1000,$B45,'内訳ﾘｽﾄ(4～3月)'!K$26:K$1000)</f>
        <v>0</v>
      </c>
      <c r="I45" s="158">
        <f>SUMIF('内訳ﾘｽﾄ(4～3月)'!$D$26:$D$1000,$B45,'内訳ﾘｽﾄ(4～3月)'!L$26:L$1000)</f>
        <v>0</v>
      </c>
      <c r="J45" s="158">
        <f>SUMIF('内訳ﾘｽﾄ(4～3月)'!$D$26:$D$1000,$B45,'内訳ﾘｽﾄ(4～3月)'!M$26:M$1000)</f>
        <v>0</v>
      </c>
      <c r="K45" s="158">
        <f>SUMIF('内訳ﾘｽﾄ(4～3月)'!$D$26:$D$1000,$B45,'内訳ﾘｽﾄ(4～3月)'!N$26:N$1000)</f>
        <v>0</v>
      </c>
      <c r="L45" s="158">
        <f>SUMIF('内訳ﾘｽﾄ(4～3月)'!$D$26:$D$1000,$B45,'内訳ﾘｽﾄ(4～3月)'!O$26:O$1000)</f>
        <v>0</v>
      </c>
      <c r="M45" s="158">
        <f>SUMIF('内訳ﾘｽﾄ(4～3月)'!$D$26:$D$1000,$B45,'内訳ﾘｽﾄ(4～3月)'!P$26:P$1000)</f>
        <v>0</v>
      </c>
      <c r="N45" s="158">
        <f>SUMIF('内訳ﾘｽﾄ(4～3月)'!$D$26:$D$1000,$B45,'内訳ﾘｽﾄ(4～3月)'!Q$26:Q$1000)</f>
        <v>0</v>
      </c>
      <c r="O45" s="158">
        <f>SUMIF('内訳ﾘｽﾄ(4～3月)'!$D$26:$D$799,'採算表(VND)'!$B45,'内訳ﾘｽﾄ(4～3月)'!R$26:R$799)</f>
        <v>24500000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SUMIF('内訳ﾘｽﾄ(4～3月)'!$D$26:$D$1000,$B46,'内訳ﾘｽﾄ(4～3月)'!F$26:F$1000)</f>
        <v>0</v>
      </c>
      <c r="D46" s="158">
        <f>SUMIF('内訳ﾘｽﾄ(4～3月)'!$D$26:$D$1000,$B46,'内訳ﾘｽﾄ(4～3月)'!G$26:G$1000)</f>
        <v>0</v>
      </c>
      <c r="E46" s="158">
        <f>SUMIF('内訳ﾘｽﾄ(4～3月)'!$D$26:$D$1000,$B46,'内訳ﾘｽﾄ(4～3月)'!H$26:H$1000)</f>
        <v>0</v>
      </c>
      <c r="F46" s="158">
        <f>SUMIF('内訳ﾘｽﾄ(4～3月)'!$D$26:$D$1000,$B46,'内訳ﾘｽﾄ(4～3月)'!I$26:I$1000)</f>
        <v>0</v>
      </c>
      <c r="G46" s="158">
        <f>SUMIF('内訳ﾘｽﾄ(4～3月)'!$D$26:$D$1000,$B46,'内訳ﾘｽﾄ(4～3月)'!J$26:J$1000)</f>
        <v>0</v>
      </c>
      <c r="H46" s="158">
        <f>SUMIF('内訳ﾘｽﾄ(4～3月)'!$D$26:$D$1000,$B46,'内訳ﾘｽﾄ(4～3月)'!K$26:K$1000)</f>
        <v>0</v>
      </c>
      <c r="I46" s="158">
        <f>SUMIF('内訳ﾘｽﾄ(4～3月)'!$D$26:$D$1000,$B46,'内訳ﾘｽﾄ(4～3月)'!L$26:L$1000)</f>
        <v>0</v>
      </c>
      <c r="J46" s="158">
        <f>SUMIF('内訳ﾘｽﾄ(4～3月)'!$D$26:$D$1000,$B46,'内訳ﾘｽﾄ(4～3月)'!M$26:M$1000)</f>
        <v>0</v>
      </c>
      <c r="K46" s="158">
        <f>SUMIF('内訳ﾘｽﾄ(4～3月)'!$D$26:$D$1000,$B46,'内訳ﾘｽﾄ(4～3月)'!N$26:N$1000)</f>
        <v>0</v>
      </c>
      <c r="L46" s="158">
        <f>SUMIF('内訳ﾘｽﾄ(4～3月)'!$D$26:$D$1000,$B46,'内訳ﾘｽﾄ(4～3月)'!O$26:O$1000)</f>
        <v>0</v>
      </c>
      <c r="M46" s="158">
        <f>SUMIF('内訳ﾘｽﾄ(4～3月)'!$D$26:$D$1000,$B46,'内訳ﾘｽﾄ(4～3月)'!P$26:P$1000)</f>
        <v>0</v>
      </c>
      <c r="N46" s="158">
        <f>SUMIF('内訳ﾘｽﾄ(4～3月)'!$D$26:$D$1000,$B46,'内訳ﾘｽﾄ(4～3月)'!Q$26:Q$1000)</f>
        <v>0</v>
      </c>
      <c r="O46" s="158">
        <f>SUMIF('内訳ﾘｽﾄ(4～3月)'!$D$26:$D$799,'採算表(VND)'!$B46,'内訳ﾘｽﾄ(4～3月)'!R$26:R$799)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SUMIF('内訳ﾘｽﾄ(4～3月)'!$D$26:$D$1000,$B47,'内訳ﾘｽﾄ(4～3月)'!F$26:F$1000)</f>
        <v>0</v>
      </c>
      <c r="D47" s="158">
        <f>SUMIF('内訳ﾘｽﾄ(4～3月)'!$D$26:$D$1000,$B47,'内訳ﾘｽﾄ(4～3月)'!G$26:G$1000)</f>
        <v>0</v>
      </c>
      <c r="E47" s="158">
        <f>SUMIF('内訳ﾘｽﾄ(4～3月)'!$D$26:$D$1000,$B47,'内訳ﾘｽﾄ(4～3月)'!H$26:H$1000)</f>
        <v>0</v>
      </c>
      <c r="F47" s="158">
        <f>SUMIF('内訳ﾘｽﾄ(4～3月)'!$D$26:$D$1000,$B47,'内訳ﾘｽﾄ(4～3月)'!I$26:I$1000)</f>
        <v>0</v>
      </c>
      <c r="G47" s="158">
        <f>SUMIF('内訳ﾘｽﾄ(4～3月)'!$D$26:$D$1000,$B47,'内訳ﾘｽﾄ(4～3月)'!J$26:J$1000)</f>
        <v>0</v>
      </c>
      <c r="H47" s="158">
        <f>SUMIF('内訳ﾘｽﾄ(4～3月)'!$D$26:$D$1000,$B47,'内訳ﾘｽﾄ(4～3月)'!K$26:K$1000)</f>
        <v>0</v>
      </c>
      <c r="I47" s="158">
        <f>SUMIF('内訳ﾘｽﾄ(4～3月)'!$D$26:$D$1000,$B47,'内訳ﾘｽﾄ(4～3月)'!L$26:L$1000)</f>
        <v>0</v>
      </c>
      <c r="J47" s="158">
        <f>SUMIF('内訳ﾘｽﾄ(4～3月)'!$D$26:$D$1000,$B47,'内訳ﾘｽﾄ(4～3月)'!M$26:M$1000)</f>
        <v>0</v>
      </c>
      <c r="K47" s="158">
        <f>SUMIF('内訳ﾘｽﾄ(4～3月)'!$D$26:$D$1000,$B47,'内訳ﾘｽﾄ(4～3月)'!N$26:N$1000)</f>
        <v>0</v>
      </c>
      <c r="L47" s="158">
        <f>SUMIF('内訳ﾘｽﾄ(4～3月)'!$D$26:$D$1000,$B47,'内訳ﾘｽﾄ(4～3月)'!O$26:O$1000)</f>
        <v>0</v>
      </c>
      <c r="M47" s="158">
        <f>SUMIF('内訳ﾘｽﾄ(4～3月)'!$D$26:$D$1000,$B47,'内訳ﾘｽﾄ(4～3月)'!P$26:P$1000)</f>
        <v>0</v>
      </c>
      <c r="N47" s="158">
        <f>SUMIF('内訳ﾘｽﾄ(4～3月)'!$D$26:$D$1000,$B47,'内訳ﾘｽﾄ(4～3月)'!Q$26:Q$1000)</f>
        <v>0</v>
      </c>
      <c r="O47" s="158">
        <f>SUMIF('内訳ﾘｽﾄ(4～3月)'!$D$26:$D$799,'採算表(VND)'!$B47,'内訳ﾘｽﾄ(4～3月)'!R$26:R$799)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SUMIF('内訳ﾘｽﾄ(4～3月)'!$D$26:$D$1000,$B48,'内訳ﾘｽﾄ(4～3月)'!F$26:F$1000)</f>
        <v>0</v>
      </c>
      <c r="D48" s="158">
        <f>SUMIF('内訳ﾘｽﾄ(4～3月)'!$D$26:$D$1000,$B48,'内訳ﾘｽﾄ(4～3月)'!G$26:G$1000)</f>
        <v>0</v>
      </c>
      <c r="E48" s="158">
        <f>SUMIF('内訳ﾘｽﾄ(4～3月)'!$D$26:$D$1000,$B48,'内訳ﾘｽﾄ(4～3月)'!H$26:H$1000)</f>
        <v>0</v>
      </c>
      <c r="F48" s="158">
        <f>SUMIF('内訳ﾘｽﾄ(4～3月)'!$D$26:$D$1000,$B48,'内訳ﾘｽﾄ(4～3月)'!I$26:I$1000)</f>
        <v>0</v>
      </c>
      <c r="G48" s="158">
        <f>SUMIF('内訳ﾘｽﾄ(4～3月)'!$D$26:$D$1000,$B48,'内訳ﾘｽﾄ(4～3月)'!J$26:J$1000)</f>
        <v>0</v>
      </c>
      <c r="H48" s="158">
        <f>SUMIF('内訳ﾘｽﾄ(4～3月)'!$D$26:$D$1000,$B48,'内訳ﾘｽﾄ(4～3月)'!K$26:K$1000)</f>
        <v>0</v>
      </c>
      <c r="I48" s="158">
        <f>SUMIF('内訳ﾘｽﾄ(4～3月)'!$D$26:$D$1000,$B48,'内訳ﾘｽﾄ(4～3月)'!L$26:L$1000)</f>
        <v>0</v>
      </c>
      <c r="J48" s="158">
        <f>SUMIF('内訳ﾘｽﾄ(4～3月)'!$D$26:$D$1000,$B48,'内訳ﾘｽﾄ(4～3月)'!M$26:M$1000)</f>
        <v>0</v>
      </c>
      <c r="K48" s="158">
        <f>SUMIF('内訳ﾘｽﾄ(4～3月)'!$D$26:$D$1000,$B48,'内訳ﾘｽﾄ(4～3月)'!N$26:N$1000)</f>
        <v>0</v>
      </c>
      <c r="L48" s="158">
        <f>SUMIF('内訳ﾘｽﾄ(4～3月)'!$D$26:$D$1000,$B48,'内訳ﾘｽﾄ(4～3月)'!O$26:O$1000)</f>
        <v>0</v>
      </c>
      <c r="M48" s="158">
        <f>SUMIF('内訳ﾘｽﾄ(4～3月)'!$D$26:$D$1000,$B48,'内訳ﾘｽﾄ(4～3月)'!P$26:P$1000)</f>
        <v>0</v>
      </c>
      <c r="N48" s="158">
        <f>SUMIF('内訳ﾘｽﾄ(4～3月)'!$D$26:$D$1000,$B48,'内訳ﾘｽﾄ(4～3月)'!Q$26:Q$1000)</f>
        <v>0</v>
      </c>
      <c r="O48" s="158">
        <f>SUMIF('内訳ﾘｽﾄ(4～3月)'!$D$26:$D$799,'採算表(VND)'!$B48,'内訳ﾘｽﾄ(4～3月)'!R$26:R$799)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SUMIF('内訳ﾘｽﾄ(4～3月)'!$D$26:$D$1000,$B49,'内訳ﾘｽﾄ(4～3月)'!F$26:F$1000)</f>
        <v>0</v>
      </c>
      <c r="D49" s="158">
        <f>SUMIF('内訳ﾘｽﾄ(4～3月)'!$D$26:$D$1000,$B49,'内訳ﾘｽﾄ(4～3月)'!G$26:G$1000)</f>
        <v>0</v>
      </c>
      <c r="E49" s="158">
        <f>SUMIF('内訳ﾘｽﾄ(4～3月)'!$D$26:$D$1000,$B49,'内訳ﾘｽﾄ(4～3月)'!H$26:H$1000)</f>
        <v>0</v>
      </c>
      <c r="F49" s="158">
        <f>SUMIF('内訳ﾘｽﾄ(4～3月)'!$D$26:$D$1000,$B49,'内訳ﾘｽﾄ(4～3月)'!I$26:I$1000)</f>
        <v>0</v>
      </c>
      <c r="G49" s="158">
        <f>SUMIF('内訳ﾘｽﾄ(4～3月)'!$D$26:$D$1000,$B49,'内訳ﾘｽﾄ(4～3月)'!J$26:J$1000)</f>
        <v>0</v>
      </c>
      <c r="H49" s="158">
        <f>SUMIF('内訳ﾘｽﾄ(4～3月)'!$D$26:$D$1000,$B49,'内訳ﾘｽﾄ(4～3月)'!K$26:K$1000)</f>
        <v>0</v>
      </c>
      <c r="I49" s="158">
        <f>SUMIF('内訳ﾘｽﾄ(4～3月)'!$D$26:$D$1000,$B49,'内訳ﾘｽﾄ(4～3月)'!L$26:L$1000)</f>
        <v>0</v>
      </c>
      <c r="J49" s="158">
        <f>SUMIF('内訳ﾘｽﾄ(4～3月)'!$D$26:$D$1000,$B49,'内訳ﾘｽﾄ(4～3月)'!M$26:M$1000)</f>
        <v>0</v>
      </c>
      <c r="K49" s="158">
        <f>SUMIF('内訳ﾘｽﾄ(4～3月)'!$D$26:$D$1000,$B49,'内訳ﾘｽﾄ(4～3月)'!N$26:N$1000)</f>
        <v>0</v>
      </c>
      <c r="L49" s="158">
        <f>SUMIF('内訳ﾘｽﾄ(4～3月)'!$D$26:$D$1000,$B49,'内訳ﾘｽﾄ(4～3月)'!O$26:O$1000)</f>
        <v>0</v>
      </c>
      <c r="M49" s="158">
        <f>SUMIF('内訳ﾘｽﾄ(4～3月)'!$D$26:$D$1000,$B49,'内訳ﾘｽﾄ(4～3月)'!P$26:P$1000)</f>
        <v>0</v>
      </c>
      <c r="N49" s="158">
        <f>SUMIF('内訳ﾘｽﾄ(4～3月)'!$D$26:$D$1000,$B49,'内訳ﾘｽﾄ(4～3月)'!Q$26:Q$1000)</f>
        <v>0</v>
      </c>
      <c r="O49" s="158">
        <f>SUMIF('内訳ﾘｽﾄ(4～3月)'!$D$26:$D$799,'採算表(VND)'!$B49,'内訳ﾘｽﾄ(4～3月)'!R$26:R$799)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SUMIF('内訳ﾘｽﾄ(4～3月)'!$D$26:$D$1000,$B50,'内訳ﾘｽﾄ(4～3月)'!F$26:F$1000)</f>
        <v>0</v>
      </c>
      <c r="D50" s="158">
        <f>SUMIF('内訳ﾘｽﾄ(4～3月)'!$D$26:$D$1000,$B50,'内訳ﾘｽﾄ(4～3月)'!G$26:G$1000)</f>
        <v>0</v>
      </c>
      <c r="E50" s="158">
        <f>SUMIF('内訳ﾘｽﾄ(4～3月)'!$D$26:$D$1000,$B50,'内訳ﾘｽﾄ(4～3月)'!H$26:H$1000)</f>
        <v>0</v>
      </c>
      <c r="F50" s="158">
        <f>SUMIF('内訳ﾘｽﾄ(4～3月)'!$D$26:$D$1000,$B50,'内訳ﾘｽﾄ(4～3月)'!I$26:I$1000)</f>
        <v>0</v>
      </c>
      <c r="G50" s="158">
        <f>SUMIF('内訳ﾘｽﾄ(4～3月)'!$D$26:$D$1000,$B50,'内訳ﾘｽﾄ(4～3月)'!J$26:J$1000)</f>
        <v>0</v>
      </c>
      <c r="H50" s="158">
        <f>SUMIF('内訳ﾘｽﾄ(4～3月)'!$D$26:$D$1000,$B50,'内訳ﾘｽﾄ(4～3月)'!K$26:K$1000)</f>
        <v>0</v>
      </c>
      <c r="I50" s="158">
        <f>SUMIF('内訳ﾘｽﾄ(4～3月)'!$D$26:$D$1000,$B50,'内訳ﾘｽﾄ(4～3月)'!L$26:L$1000)</f>
        <v>0</v>
      </c>
      <c r="J50" s="158">
        <f>SUMIF('内訳ﾘｽﾄ(4～3月)'!$D$26:$D$1000,$B50,'内訳ﾘｽﾄ(4～3月)'!M$26:M$1000)</f>
        <v>0</v>
      </c>
      <c r="K50" s="158">
        <f>SUMIF('内訳ﾘｽﾄ(4～3月)'!$D$26:$D$1000,$B50,'内訳ﾘｽﾄ(4～3月)'!N$26:N$1000)</f>
        <v>0</v>
      </c>
      <c r="L50" s="158">
        <f>SUMIF('内訳ﾘｽﾄ(4～3月)'!$D$26:$D$1000,$B50,'内訳ﾘｽﾄ(4～3月)'!O$26:O$1000)</f>
        <v>0</v>
      </c>
      <c r="M50" s="158">
        <f>SUMIF('内訳ﾘｽﾄ(4～3月)'!$D$26:$D$1000,$B50,'内訳ﾘｽﾄ(4～3月)'!P$26:P$1000)</f>
        <v>0</v>
      </c>
      <c r="N50" s="158">
        <f>SUMIF('内訳ﾘｽﾄ(4～3月)'!$D$26:$D$1000,$B50,'内訳ﾘｽﾄ(4～3月)'!Q$26:Q$1000)</f>
        <v>0</v>
      </c>
      <c r="O50" s="158">
        <f>SUMIF('内訳ﾘｽﾄ(4～3月)'!$D$26:$D$799,'採算表(VND)'!$B50,'内訳ﾘｽﾄ(4～3月)'!R$26:R$799)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SUMIF('内訳ﾘｽﾄ(4～3月)'!$D$26:$D$1000,$B51,'内訳ﾘｽﾄ(4～3月)'!F$26:F$1000)</f>
        <v>0</v>
      </c>
      <c r="D51" s="159">
        <f>SUMIF('内訳ﾘｽﾄ(4～3月)'!$D$26:$D$1000,$B51,'内訳ﾘｽﾄ(4～3月)'!G$26:G$1000)</f>
        <v>0</v>
      </c>
      <c r="E51" s="159">
        <f>SUMIF('内訳ﾘｽﾄ(4～3月)'!$D$26:$D$1000,$B51,'内訳ﾘｽﾄ(4～3月)'!H$26:H$1000)</f>
        <v>0</v>
      </c>
      <c r="F51" s="159">
        <f>SUMIF('内訳ﾘｽﾄ(4～3月)'!$D$26:$D$1000,$B51,'内訳ﾘｽﾄ(4～3月)'!I$26:I$1000)</f>
        <v>0</v>
      </c>
      <c r="G51" s="159">
        <f>SUMIF('内訳ﾘｽﾄ(4～3月)'!$D$26:$D$1000,$B51,'内訳ﾘｽﾄ(4～3月)'!J$26:J$1000)</f>
        <v>0</v>
      </c>
      <c r="H51" s="159">
        <f>SUMIF('内訳ﾘｽﾄ(4～3月)'!$D$26:$D$1000,$B51,'内訳ﾘｽﾄ(4～3月)'!K$26:K$1000)</f>
        <v>0</v>
      </c>
      <c r="I51" s="159">
        <f>SUMIF('内訳ﾘｽﾄ(4～3月)'!$D$26:$D$1000,$B51,'内訳ﾘｽﾄ(4～3月)'!L$26:L$1000)</f>
        <v>0</v>
      </c>
      <c r="J51" s="159">
        <f>SUMIF('内訳ﾘｽﾄ(4～3月)'!$D$26:$D$1000,$B51,'内訳ﾘｽﾄ(4～3月)'!M$26:M$1000)</f>
        <v>0</v>
      </c>
      <c r="K51" s="159">
        <f>SUMIF('内訳ﾘｽﾄ(4～3月)'!$D$26:$D$1000,$B51,'内訳ﾘｽﾄ(4～3月)'!N$26:N$1000)</f>
        <v>0</v>
      </c>
      <c r="L51" s="159">
        <f>SUMIF('内訳ﾘｽﾄ(4～3月)'!$D$26:$D$1000,$B51,'内訳ﾘｽﾄ(4～3月)'!O$26:O$1000)</f>
        <v>0</v>
      </c>
      <c r="M51" s="159">
        <f>SUMIF('内訳ﾘｽﾄ(4～3月)'!$D$26:$D$1000,$B51,'内訳ﾘｽﾄ(4～3月)'!P$26:P$1000)</f>
        <v>0</v>
      </c>
      <c r="N51" s="159">
        <f>SUMIF('内訳ﾘｽﾄ(4～3月)'!$D$26:$D$1000,$B51,'内訳ﾘｽﾄ(4～3月)'!Q$26:Q$1000)</f>
        <v>0</v>
      </c>
      <c r="O51" s="159">
        <f>SUMIF('内訳ﾘｽﾄ(4～3月)'!$D$26:$D$799,'採算表(VND)'!$B51,'内訳ﾘｽﾄ(4～3月)'!R$26:R$799)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SUMIF('内訳ﾘｽﾄ(4～3月)'!$D$26:$D$1000,$B52,'内訳ﾘｽﾄ(4～3月)'!F$26:F$1000)</f>
        <v>0</v>
      </c>
      <c r="D52" s="160">
        <f>SUMIF('内訳ﾘｽﾄ(4～3月)'!$D$26:$D$1000,$B52,'内訳ﾘｽﾄ(4～3月)'!G$26:G$1000)</f>
        <v>0</v>
      </c>
      <c r="E52" s="160">
        <f>SUMIF('内訳ﾘｽﾄ(4～3月)'!$D$26:$D$1000,$B52,'内訳ﾘｽﾄ(4～3月)'!H$26:H$1000)</f>
        <v>0</v>
      </c>
      <c r="F52" s="160">
        <f>SUMIF('内訳ﾘｽﾄ(4～3月)'!$D$26:$D$1000,$B52,'内訳ﾘｽﾄ(4～3月)'!I$26:I$1000)</f>
        <v>0</v>
      </c>
      <c r="G52" s="160">
        <f>SUMIF('内訳ﾘｽﾄ(4～3月)'!$D$26:$D$1000,$B52,'内訳ﾘｽﾄ(4～3月)'!J$26:J$1000)</f>
        <v>0</v>
      </c>
      <c r="H52" s="160">
        <f>SUMIF('内訳ﾘｽﾄ(4～3月)'!$D$26:$D$1000,$B52,'内訳ﾘｽﾄ(4～3月)'!K$26:K$1000)</f>
        <v>0</v>
      </c>
      <c r="I52" s="160">
        <f>SUMIF('内訳ﾘｽﾄ(4～3月)'!$D$26:$D$1000,$B52,'内訳ﾘｽﾄ(4～3月)'!L$26:L$1000)</f>
        <v>0</v>
      </c>
      <c r="J52" s="160">
        <f>SUMIF('内訳ﾘｽﾄ(4～3月)'!$D$26:$D$1000,$B52,'内訳ﾘｽﾄ(4～3月)'!M$26:M$1000)</f>
        <v>0</v>
      </c>
      <c r="K52" s="160">
        <f>SUMIF('内訳ﾘｽﾄ(4～3月)'!$D$26:$D$1000,$B52,'内訳ﾘｽﾄ(4～3月)'!N$26:N$1000)</f>
        <v>0</v>
      </c>
      <c r="L52" s="160">
        <f>SUMIF('内訳ﾘｽﾄ(4～3月)'!$D$26:$D$1000,$B52,'内訳ﾘｽﾄ(4～3月)'!O$26:O$1000)</f>
        <v>0</v>
      </c>
      <c r="M52" s="160">
        <f>SUMIF('内訳ﾘｽﾄ(4～3月)'!$D$26:$D$1000,$B52,'内訳ﾘｽﾄ(4～3月)'!P$26:P$1000)</f>
        <v>0</v>
      </c>
      <c r="N52" s="160">
        <f>SUMIF('内訳ﾘｽﾄ(4～3月)'!$D$26:$D$1000,$B52,'内訳ﾘｽﾄ(4～3月)'!Q$26:Q$1000)</f>
        <v>0</v>
      </c>
      <c r="O52" s="160">
        <f>SUMIF('内訳ﾘｽﾄ(4～3月)'!$D$26:$D$799,'採算表(VND)'!$B52,'内訳ﾘｽﾄ(4～3月)'!R$26:R$799)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SUMIF('内訳ﾘｽﾄ(4～3月)'!$D$26:$D$1000,$B53,'内訳ﾘｽﾄ(4～3月)'!F$26:F$1000)</f>
        <v>0</v>
      </c>
      <c r="D53" s="160">
        <f>SUMIF('内訳ﾘｽﾄ(4～3月)'!$D$26:$D$1000,$B53,'内訳ﾘｽﾄ(4～3月)'!G$26:G$1000)</f>
        <v>0</v>
      </c>
      <c r="E53" s="160">
        <f>SUMIF('内訳ﾘｽﾄ(4～3月)'!$D$26:$D$1000,$B53,'内訳ﾘｽﾄ(4～3月)'!H$26:H$1000)</f>
        <v>0</v>
      </c>
      <c r="F53" s="160">
        <f>SUMIF('内訳ﾘｽﾄ(4～3月)'!$D$26:$D$1000,$B53,'内訳ﾘｽﾄ(4～3月)'!I$26:I$1000)</f>
        <v>0</v>
      </c>
      <c r="G53" s="160">
        <f>SUMIF('内訳ﾘｽﾄ(4～3月)'!$D$26:$D$1000,$B53,'内訳ﾘｽﾄ(4～3月)'!J$26:J$1000)</f>
        <v>0</v>
      </c>
      <c r="H53" s="160">
        <f>SUMIF('内訳ﾘｽﾄ(4～3月)'!$D$26:$D$1000,$B53,'内訳ﾘｽﾄ(4～3月)'!K$26:K$1000)</f>
        <v>0</v>
      </c>
      <c r="I53" s="160">
        <f>SUMIF('内訳ﾘｽﾄ(4～3月)'!$D$26:$D$1000,$B53,'内訳ﾘｽﾄ(4～3月)'!L$26:L$1000)</f>
        <v>0</v>
      </c>
      <c r="J53" s="160">
        <f>SUMIF('内訳ﾘｽﾄ(4～3月)'!$D$26:$D$1000,$B53,'内訳ﾘｽﾄ(4～3月)'!M$26:M$1000)</f>
        <v>0</v>
      </c>
      <c r="K53" s="160">
        <f>SUMIF('内訳ﾘｽﾄ(4～3月)'!$D$26:$D$1000,$B53,'内訳ﾘｽﾄ(4～3月)'!N$26:N$1000)</f>
        <v>0</v>
      </c>
      <c r="L53" s="160">
        <f>SUMIF('内訳ﾘｽﾄ(4～3月)'!$D$26:$D$1000,$B53,'内訳ﾘｽﾄ(4～3月)'!O$26:O$1000)</f>
        <v>0</v>
      </c>
      <c r="M53" s="160">
        <f>SUMIF('内訳ﾘｽﾄ(4～3月)'!$D$26:$D$1000,$B53,'内訳ﾘｽﾄ(4～3月)'!P$26:P$1000)</f>
        <v>0</v>
      </c>
      <c r="N53" s="160">
        <f>SUMIF('内訳ﾘｽﾄ(4～3月)'!$D$26:$D$1000,$B53,'内訳ﾘｽﾄ(4～3月)'!Q$26:Q$1000)</f>
        <v>0</v>
      </c>
      <c r="O53" s="160">
        <f>SUMIF('内訳ﾘｽﾄ(4～3月)'!$D$26:$D$799,'採算表(VND)'!$B53,'内訳ﾘｽﾄ(4～3月)'!R$26:R$799)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SUMIF('内訳ﾘｽﾄ(4～3月)'!$D$26:$D$1000,$B54,'内訳ﾘｽﾄ(4～3月)'!F$26:F$1000)</f>
        <v>0</v>
      </c>
      <c r="D54" s="160">
        <f>SUMIF('内訳ﾘｽﾄ(4～3月)'!$D$26:$D$1000,$B54,'内訳ﾘｽﾄ(4～3月)'!G$26:G$1000)</f>
        <v>0</v>
      </c>
      <c r="E54" s="160">
        <f>SUMIF('内訳ﾘｽﾄ(4～3月)'!$D$26:$D$1000,$B54,'内訳ﾘｽﾄ(4～3月)'!H$26:H$1000)</f>
        <v>0</v>
      </c>
      <c r="F54" s="160">
        <f>SUMIF('内訳ﾘｽﾄ(4～3月)'!$D$26:$D$1000,$B54,'内訳ﾘｽﾄ(4～3月)'!I$26:I$1000)</f>
        <v>0</v>
      </c>
      <c r="G54" s="160">
        <f>SUMIF('内訳ﾘｽﾄ(4～3月)'!$D$26:$D$1000,$B54,'内訳ﾘｽﾄ(4～3月)'!J$26:J$1000)</f>
        <v>0</v>
      </c>
      <c r="H54" s="160">
        <f>SUMIF('内訳ﾘｽﾄ(4～3月)'!$D$26:$D$1000,$B54,'内訳ﾘｽﾄ(4～3月)'!K$26:K$1000)</f>
        <v>0</v>
      </c>
      <c r="I54" s="160">
        <f>SUMIF('内訳ﾘｽﾄ(4～3月)'!$D$26:$D$1000,$B54,'内訳ﾘｽﾄ(4～3月)'!L$26:L$1000)</f>
        <v>0</v>
      </c>
      <c r="J54" s="160">
        <f>SUMIF('内訳ﾘｽﾄ(4～3月)'!$D$26:$D$1000,$B54,'内訳ﾘｽﾄ(4～3月)'!M$26:M$1000)</f>
        <v>0</v>
      </c>
      <c r="K54" s="160">
        <f>SUMIF('内訳ﾘｽﾄ(4～3月)'!$D$26:$D$1000,$B54,'内訳ﾘｽﾄ(4～3月)'!N$26:N$1000)</f>
        <v>0</v>
      </c>
      <c r="L54" s="160">
        <f>SUMIF('内訳ﾘｽﾄ(4～3月)'!$D$26:$D$1000,$B54,'内訳ﾘｽﾄ(4～3月)'!O$26:O$1000)</f>
        <v>0</v>
      </c>
      <c r="M54" s="160">
        <f>SUMIF('内訳ﾘｽﾄ(4～3月)'!$D$26:$D$1000,$B54,'内訳ﾘｽﾄ(4～3月)'!P$26:P$1000)</f>
        <v>0</v>
      </c>
      <c r="N54" s="160">
        <f>SUMIF('内訳ﾘｽﾄ(4～3月)'!$D$26:$D$1000,$B54,'内訳ﾘｽﾄ(4～3月)'!Q$26:Q$1000)</f>
        <v>0</v>
      </c>
      <c r="O54" s="160">
        <f>SUMIF('内訳ﾘｽﾄ(4～3月)'!$D$26:$D$799,'採算表(VND)'!$B54,'内訳ﾘｽﾄ(4～3月)'!R$26:R$799)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SUMIF('内訳ﾘｽﾄ(4～3月)'!$D$26:$D$1000,$B55,'内訳ﾘｽﾄ(4～3月)'!F$26:F$1000)</f>
        <v>0</v>
      </c>
      <c r="D55" s="160">
        <f>SUMIF('内訳ﾘｽﾄ(4～3月)'!$D$26:$D$1000,$B55,'内訳ﾘｽﾄ(4～3月)'!G$26:G$1000)</f>
        <v>0</v>
      </c>
      <c r="E55" s="160">
        <f>SUMIF('内訳ﾘｽﾄ(4～3月)'!$D$26:$D$1000,$B55,'内訳ﾘｽﾄ(4～3月)'!H$26:H$1000)</f>
        <v>0</v>
      </c>
      <c r="F55" s="160">
        <f>SUMIF('内訳ﾘｽﾄ(4～3月)'!$D$26:$D$1000,$B55,'内訳ﾘｽﾄ(4～3月)'!I$26:I$1000)</f>
        <v>0</v>
      </c>
      <c r="G55" s="160">
        <f>SUMIF('内訳ﾘｽﾄ(4～3月)'!$D$26:$D$1000,$B55,'内訳ﾘｽﾄ(4～3月)'!J$26:J$1000)</f>
        <v>0</v>
      </c>
      <c r="H55" s="160">
        <f>SUMIF('内訳ﾘｽﾄ(4～3月)'!$D$26:$D$1000,$B55,'内訳ﾘｽﾄ(4～3月)'!K$26:K$1000)</f>
        <v>0</v>
      </c>
      <c r="I55" s="160">
        <f>SUMIF('内訳ﾘｽﾄ(4～3月)'!$D$26:$D$1000,$B55,'内訳ﾘｽﾄ(4～3月)'!L$26:L$1000)</f>
        <v>0</v>
      </c>
      <c r="J55" s="160">
        <f>SUMIF('内訳ﾘｽﾄ(4～3月)'!$D$26:$D$1000,$B55,'内訳ﾘｽﾄ(4～3月)'!M$26:M$1000)</f>
        <v>0</v>
      </c>
      <c r="K55" s="160">
        <f>SUMIF('内訳ﾘｽﾄ(4～3月)'!$D$26:$D$1000,$B55,'内訳ﾘｽﾄ(4～3月)'!N$26:N$1000)</f>
        <v>0</v>
      </c>
      <c r="L55" s="160">
        <f>SUMIF('内訳ﾘｽﾄ(4～3月)'!$D$26:$D$1000,$B55,'内訳ﾘｽﾄ(4～3月)'!O$26:O$1000)</f>
        <v>0</v>
      </c>
      <c r="M55" s="160">
        <f>SUMIF('内訳ﾘｽﾄ(4～3月)'!$D$26:$D$1000,$B55,'内訳ﾘｽﾄ(4～3月)'!P$26:P$1000)</f>
        <v>0</v>
      </c>
      <c r="N55" s="160">
        <f>SUMIF('内訳ﾘｽﾄ(4～3月)'!$D$26:$D$1000,$B55,'内訳ﾘｽﾄ(4～3月)'!Q$26:Q$1000)</f>
        <v>0</v>
      </c>
      <c r="O55" s="160">
        <f>SUMIF('内訳ﾘｽﾄ(4～3月)'!$D$26:$D$799,'採算表(VND)'!$B55,'内訳ﾘｽﾄ(4～3月)'!R$26:R$799)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SUMIF('内訳ﾘｽﾄ(4～3月)'!$D$26:$D$1000,$B56,'内訳ﾘｽﾄ(4～3月)'!F$26:F$1000)</f>
        <v>0</v>
      </c>
      <c r="D56" s="160">
        <f>SUMIF('内訳ﾘｽﾄ(4～3月)'!$D$26:$D$1000,$B56,'内訳ﾘｽﾄ(4～3月)'!G$26:G$1000)</f>
        <v>0</v>
      </c>
      <c r="E56" s="160">
        <f>SUMIF('内訳ﾘｽﾄ(4～3月)'!$D$26:$D$1000,$B56,'内訳ﾘｽﾄ(4～3月)'!H$26:H$1000)</f>
        <v>0</v>
      </c>
      <c r="F56" s="160">
        <f>SUMIF('内訳ﾘｽﾄ(4～3月)'!$D$26:$D$1000,$B56,'内訳ﾘｽﾄ(4～3月)'!I$26:I$1000)</f>
        <v>0</v>
      </c>
      <c r="G56" s="160">
        <f>SUMIF('内訳ﾘｽﾄ(4～3月)'!$D$26:$D$1000,$B56,'内訳ﾘｽﾄ(4～3月)'!J$26:J$1000)</f>
        <v>0</v>
      </c>
      <c r="H56" s="160">
        <f>SUMIF('内訳ﾘｽﾄ(4～3月)'!$D$26:$D$1000,$B56,'内訳ﾘｽﾄ(4～3月)'!K$26:K$1000)</f>
        <v>0</v>
      </c>
      <c r="I56" s="160">
        <f>SUMIF('内訳ﾘｽﾄ(4～3月)'!$D$26:$D$1000,$B56,'内訳ﾘｽﾄ(4～3月)'!L$26:L$1000)</f>
        <v>0</v>
      </c>
      <c r="J56" s="160">
        <f>SUMIF('内訳ﾘｽﾄ(4～3月)'!$D$26:$D$1000,$B56,'内訳ﾘｽﾄ(4～3月)'!M$26:M$1000)</f>
        <v>0</v>
      </c>
      <c r="K56" s="160">
        <f>SUMIF('内訳ﾘｽﾄ(4～3月)'!$D$26:$D$1000,$B56,'内訳ﾘｽﾄ(4～3月)'!N$26:N$1000)</f>
        <v>0</v>
      </c>
      <c r="L56" s="160">
        <f>SUMIF('内訳ﾘｽﾄ(4～3月)'!$D$26:$D$1000,$B56,'内訳ﾘｽﾄ(4～3月)'!O$26:O$1000)</f>
        <v>0</v>
      </c>
      <c r="M56" s="160">
        <f>SUMIF('内訳ﾘｽﾄ(4～3月)'!$D$26:$D$1000,$B56,'内訳ﾘｽﾄ(4～3月)'!P$26:P$1000)</f>
        <v>0</v>
      </c>
      <c r="N56" s="160">
        <f>SUMIF('内訳ﾘｽﾄ(4～3月)'!$D$26:$D$1000,$B56,'内訳ﾘｽﾄ(4～3月)'!Q$26:Q$1000)</f>
        <v>0</v>
      </c>
      <c r="O56" s="160">
        <f>SUMIF('内訳ﾘｽﾄ(4～3月)'!$D$26:$D$799,'採算表(VND)'!$B56,'内訳ﾘｽﾄ(4～3月)'!R$26:R$799)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SUMIF('内訳ﾘｽﾄ(4～3月)'!$D$26:$D$1000,$B57,'内訳ﾘｽﾄ(4～3月)'!F$26:F$1000)</f>
        <v>753034136</v>
      </c>
      <c r="D57" s="160">
        <f>SUMIF('内訳ﾘｽﾄ(4～3月)'!$D$26:$D$1000,$B57,'内訳ﾘｽﾄ(4～3月)'!G$26:G$1000)</f>
        <v>708443807</v>
      </c>
      <c r="E57" s="160">
        <f>SUMIF('内訳ﾘｽﾄ(4～3月)'!$D$26:$D$1000,$B57,'内訳ﾘｽﾄ(4～3月)'!H$26:H$1000)</f>
        <v>708380332</v>
      </c>
      <c r="F57" s="160">
        <f>SUMIF('内訳ﾘｽﾄ(4～3月)'!$D$26:$D$1000,$B57,'内訳ﾘｽﾄ(4～3月)'!I$26:I$1000)</f>
        <v>708026142</v>
      </c>
      <c r="G57" s="160">
        <f>SUMIF('内訳ﾘｽﾄ(4～3月)'!$D$26:$D$1000,$B57,'内訳ﾘｽﾄ(4～3月)'!J$26:J$1000)</f>
        <v>709151172</v>
      </c>
      <c r="H57" s="160">
        <f>SUMIF('内訳ﾘｽﾄ(4～3月)'!$D$26:$D$1000,$B57,'内訳ﾘｽﾄ(4～3月)'!K$26:K$1000)</f>
        <v>708762197</v>
      </c>
      <c r="I57" s="160">
        <f>SUMIF('内訳ﾘｽﾄ(4～3月)'!$D$26:$D$1000,$B57,'内訳ﾘｽﾄ(4～3月)'!L$26:L$1000)</f>
        <v>708440253</v>
      </c>
      <c r="J57" s="160">
        <f>SUMIF('内訳ﾘｽﾄ(4～3月)'!$D$26:$D$1000,$B57,'内訳ﾘｽﾄ(4～3月)'!M$26:M$1000)</f>
        <v>708419687</v>
      </c>
      <c r="K57" s="160">
        <f>SUMIF('内訳ﾘｽﾄ(4～3月)'!$D$26:$D$1000,$B57,'内訳ﾘｽﾄ(4～3月)'!N$26:N$1000)</f>
        <v>708381601</v>
      </c>
      <c r="L57" s="160">
        <f>SUMIF('内訳ﾘｽﾄ(4～3月)'!$D$26:$D$1000,$B57,'内訳ﾘｽﾄ(4～3月)'!O$26:O$1000)</f>
        <v>708350372</v>
      </c>
      <c r="M57" s="160">
        <f>SUMIF('内訳ﾘｽﾄ(4～3月)'!$D$26:$D$1000,$B57,'内訳ﾘｽﾄ(4～3月)'!P$26:P$1000)</f>
        <v>708185591</v>
      </c>
      <c r="N57" s="160">
        <f>SUMIF('内訳ﾘｽﾄ(4～3月)'!$D$26:$D$1000,$B57,'内訳ﾘｽﾄ(4～3月)'!Q$26:Q$1000)</f>
        <v>708318888</v>
      </c>
      <c r="O57" s="160">
        <f>SUMIF('内訳ﾘｽﾄ(4～3月)'!$D$26:$D$799,'採算表(VND)'!$B57,'内訳ﾘｽﾄ(4～3月)'!R$26:R$799)</f>
        <v>8545894178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SUMIF('内訳ﾘｽﾄ(4～3月)'!$D$26:$D$1000,$B58,'内訳ﾘｽﾄ(4～3月)'!F$26:F$1000)</f>
        <v>0</v>
      </c>
      <c r="D58" s="160">
        <f>SUMIF('内訳ﾘｽﾄ(4～3月)'!$D$26:$D$1000,$B58,'内訳ﾘｽﾄ(4～3月)'!G$26:G$1000)</f>
        <v>0</v>
      </c>
      <c r="E58" s="160">
        <f>SUMIF('内訳ﾘｽﾄ(4～3月)'!$D$26:$D$1000,$B58,'内訳ﾘｽﾄ(4～3月)'!H$26:H$1000)</f>
        <v>0</v>
      </c>
      <c r="F58" s="160">
        <f>SUMIF('内訳ﾘｽﾄ(4～3月)'!$D$26:$D$1000,$B58,'内訳ﾘｽﾄ(4～3月)'!I$26:I$1000)</f>
        <v>0</v>
      </c>
      <c r="G58" s="160">
        <f>SUMIF('内訳ﾘｽﾄ(4～3月)'!$D$26:$D$1000,$B58,'内訳ﾘｽﾄ(4～3月)'!J$26:J$1000)</f>
        <v>0</v>
      </c>
      <c r="H58" s="160">
        <f>SUMIF('内訳ﾘｽﾄ(4～3月)'!$D$26:$D$1000,$B58,'内訳ﾘｽﾄ(4～3月)'!K$26:K$1000)</f>
        <v>0</v>
      </c>
      <c r="I58" s="160">
        <f>SUMIF('内訳ﾘｽﾄ(4～3月)'!$D$26:$D$1000,$B58,'内訳ﾘｽﾄ(4～3月)'!L$26:L$1000)</f>
        <v>0</v>
      </c>
      <c r="J58" s="160">
        <f>SUMIF('内訳ﾘｽﾄ(4～3月)'!$D$26:$D$1000,$B58,'内訳ﾘｽﾄ(4～3月)'!M$26:M$1000)</f>
        <v>0</v>
      </c>
      <c r="K58" s="160">
        <f>SUMIF('内訳ﾘｽﾄ(4～3月)'!$D$26:$D$1000,$B58,'内訳ﾘｽﾄ(4～3月)'!N$26:N$1000)</f>
        <v>0</v>
      </c>
      <c r="L58" s="160">
        <f>SUMIF('内訳ﾘｽﾄ(4～3月)'!$D$26:$D$1000,$B58,'内訳ﾘｽﾄ(4～3月)'!O$26:O$1000)</f>
        <v>0</v>
      </c>
      <c r="M58" s="160">
        <f>SUMIF('内訳ﾘｽﾄ(4～3月)'!$D$26:$D$1000,$B58,'内訳ﾘｽﾄ(4～3月)'!P$26:P$1000)</f>
        <v>0</v>
      </c>
      <c r="N58" s="160">
        <f>SUMIF('内訳ﾘｽﾄ(4～3月)'!$D$26:$D$1000,$B58,'内訳ﾘｽﾄ(4～3月)'!Q$26:Q$1000)</f>
        <v>0</v>
      </c>
      <c r="O58" s="160">
        <f>SUMIF('内訳ﾘｽﾄ(4～3月)'!$D$26:$D$799,'採算表(VND)'!$B58,'内訳ﾘｽﾄ(4～3月)'!R$26:R$799)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SUMIF('内訳ﾘｽﾄ(4～3月)'!$D$26:$D$1000,$B59,'内訳ﾘｽﾄ(4～3月)'!F$26:F$1000)</f>
        <v>0</v>
      </c>
      <c r="D59" s="160">
        <f>SUMIF('内訳ﾘｽﾄ(4～3月)'!$D$26:$D$1000,$B59,'内訳ﾘｽﾄ(4～3月)'!G$26:G$1000)</f>
        <v>0</v>
      </c>
      <c r="E59" s="160">
        <f>SUMIF('内訳ﾘｽﾄ(4～3月)'!$D$26:$D$1000,$B59,'内訳ﾘｽﾄ(4～3月)'!H$26:H$1000)</f>
        <v>0</v>
      </c>
      <c r="F59" s="160">
        <f>SUMIF('内訳ﾘｽﾄ(4～3月)'!$D$26:$D$1000,$B59,'内訳ﾘｽﾄ(4～3月)'!I$26:I$1000)</f>
        <v>0</v>
      </c>
      <c r="G59" s="160">
        <f>SUMIF('内訳ﾘｽﾄ(4～3月)'!$D$26:$D$1000,$B59,'内訳ﾘｽﾄ(4～3月)'!J$26:J$1000)</f>
        <v>0</v>
      </c>
      <c r="H59" s="160">
        <f>SUMIF('内訳ﾘｽﾄ(4～3月)'!$D$26:$D$1000,$B59,'内訳ﾘｽﾄ(4～3月)'!K$26:K$1000)</f>
        <v>0</v>
      </c>
      <c r="I59" s="160">
        <f>SUMIF('内訳ﾘｽﾄ(4～3月)'!$D$26:$D$1000,$B59,'内訳ﾘｽﾄ(4～3月)'!L$26:L$1000)</f>
        <v>0</v>
      </c>
      <c r="J59" s="160">
        <f>SUMIF('内訳ﾘｽﾄ(4～3月)'!$D$26:$D$1000,$B59,'内訳ﾘｽﾄ(4～3月)'!M$26:M$1000)</f>
        <v>0</v>
      </c>
      <c r="K59" s="160">
        <f>SUMIF('内訳ﾘｽﾄ(4～3月)'!$D$26:$D$1000,$B59,'内訳ﾘｽﾄ(4～3月)'!N$26:N$1000)</f>
        <v>0</v>
      </c>
      <c r="L59" s="160">
        <f>SUMIF('内訳ﾘｽﾄ(4～3月)'!$D$26:$D$1000,$B59,'内訳ﾘｽﾄ(4～3月)'!O$26:O$1000)</f>
        <v>0</v>
      </c>
      <c r="M59" s="160">
        <f>SUMIF('内訳ﾘｽﾄ(4～3月)'!$D$26:$D$1000,$B59,'内訳ﾘｽﾄ(4～3月)'!P$26:P$1000)</f>
        <v>0</v>
      </c>
      <c r="N59" s="160">
        <f>SUMIF('内訳ﾘｽﾄ(4～3月)'!$D$26:$D$1000,$B59,'内訳ﾘｽﾄ(4～3月)'!Q$26:Q$1000)</f>
        <v>0</v>
      </c>
      <c r="O59" s="160">
        <f>SUMIF('内訳ﾘｽﾄ(4～3月)'!$D$26:$D$799,'採算表(VND)'!$B59,'内訳ﾘｽﾄ(4～3月)'!R$26:R$799)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SUMIF('内訳ﾘｽﾄ(4～3月)'!$D$26:$D$1000,$B60,'内訳ﾘｽﾄ(4～3月)'!F$26:F$1000)</f>
        <v>0</v>
      </c>
      <c r="D60" s="160">
        <f>SUMIF('内訳ﾘｽﾄ(4～3月)'!$D$26:$D$1000,$B60,'内訳ﾘｽﾄ(4～3月)'!G$26:G$1000)</f>
        <v>0</v>
      </c>
      <c r="E60" s="160">
        <f>SUMIF('内訳ﾘｽﾄ(4～3月)'!$D$26:$D$1000,$B60,'内訳ﾘｽﾄ(4～3月)'!H$26:H$1000)</f>
        <v>0</v>
      </c>
      <c r="F60" s="160">
        <f>SUMIF('内訳ﾘｽﾄ(4～3月)'!$D$26:$D$1000,$B60,'内訳ﾘｽﾄ(4～3月)'!I$26:I$1000)</f>
        <v>0</v>
      </c>
      <c r="G60" s="160">
        <f>SUMIF('内訳ﾘｽﾄ(4～3月)'!$D$26:$D$1000,$B60,'内訳ﾘｽﾄ(4～3月)'!J$26:J$1000)</f>
        <v>0</v>
      </c>
      <c r="H60" s="160">
        <f>SUMIF('内訳ﾘｽﾄ(4～3月)'!$D$26:$D$1000,$B60,'内訳ﾘｽﾄ(4～3月)'!K$26:K$1000)</f>
        <v>0</v>
      </c>
      <c r="I60" s="160">
        <f>SUMIF('内訳ﾘｽﾄ(4～3月)'!$D$26:$D$1000,$B60,'内訳ﾘｽﾄ(4～3月)'!L$26:L$1000)</f>
        <v>0</v>
      </c>
      <c r="J60" s="160">
        <f>SUMIF('内訳ﾘｽﾄ(4～3月)'!$D$26:$D$1000,$B60,'内訳ﾘｽﾄ(4～3月)'!M$26:M$1000)</f>
        <v>0</v>
      </c>
      <c r="K60" s="160">
        <f>SUMIF('内訳ﾘｽﾄ(4～3月)'!$D$26:$D$1000,$B60,'内訳ﾘｽﾄ(4～3月)'!N$26:N$1000)</f>
        <v>0</v>
      </c>
      <c r="L60" s="160">
        <f>SUMIF('内訳ﾘｽﾄ(4～3月)'!$D$26:$D$1000,$B60,'内訳ﾘｽﾄ(4～3月)'!O$26:O$1000)</f>
        <v>0</v>
      </c>
      <c r="M60" s="160">
        <f>SUMIF('内訳ﾘｽﾄ(4～3月)'!$D$26:$D$1000,$B60,'内訳ﾘｽﾄ(4～3月)'!P$26:P$1000)</f>
        <v>0</v>
      </c>
      <c r="N60" s="160">
        <f>SUMIF('内訳ﾘｽﾄ(4～3月)'!$D$26:$D$1000,$B60,'内訳ﾘｽﾄ(4～3月)'!Q$26:Q$1000)</f>
        <v>0</v>
      </c>
      <c r="O60" s="160">
        <f>SUMIF('内訳ﾘｽﾄ(4～3月)'!$D$26:$D$799,'採算表(VND)'!$B60,'内訳ﾘｽﾄ(4～3月)'!R$26:R$799)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IF('内訳ﾘｽﾄ(4～3月)'!$D$5="製造",SUMIF('内訳ﾘｽﾄ(4～3月)'!$D$26:$D$1000,$B61,'内訳ﾘｽﾄ(4～3月)'!F$26:F$1000),IF('内訳ﾘｽﾄ(4～3月)'!$D$5="部内間接",-SUM(C$14:C$60,C$65),0))</f>
        <v>-4609324067</v>
      </c>
      <c r="D61" s="160">
        <f>IF('内訳ﾘｽﾄ(4～3月)'!$D$5="製造",SUMIF('内訳ﾘｽﾄ(4～3月)'!$D$26:$D$1000,$B61,'内訳ﾘｽﾄ(4～3月)'!G$26:G$1000),IF('内訳ﾘｽﾄ(4～3月)'!$D$5="部内間接",-SUM(D$14:D$60,D$65),0))</f>
        <v>-4648951000</v>
      </c>
      <c r="E61" s="160">
        <f>IF('内訳ﾘｽﾄ(4～3月)'!$D$5="製造",SUMIF('内訳ﾘｽﾄ(4～3月)'!$D$26:$D$1000,$B61,'内訳ﾘｽﾄ(4～3月)'!H$26:H$1000),IF('内訳ﾘｽﾄ(4～3月)'!$D$5="部内間接",-SUM(E$14:E$60,E$65),0))</f>
        <v>-4589306028</v>
      </c>
      <c r="F61" s="160">
        <f>IF('内訳ﾘｽﾄ(4～3月)'!$D$5="製造",SUMIF('内訳ﾘｽﾄ(4～3月)'!$D$26:$D$1000,$B61,'内訳ﾘｽﾄ(4～3月)'!I$26:I$1000),IF('内訳ﾘｽﾄ(4～3月)'!$D$5="部内間接",-SUM(F$14:F$60,F$65),0))</f>
        <v>-4925448510</v>
      </c>
      <c r="G61" s="160">
        <f>IF('内訳ﾘｽﾄ(4～3月)'!$D$5="製造",SUMIF('内訳ﾘｽﾄ(4～3月)'!$D$26:$D$1000,$B61,'内訳ﾘｽﾄ(4～3月)'!J$26:J$1000),IF('内訳ﾘｽﾄ(4～3月)'!$D$5="部内間接",-SUM(G$14:G$60,G$65),0))</f>
        <v>-4763012233</v>
      </c>
      <c r="H61" s="160">
        <f>IF('内訳ﾘｽﾄ(4～3月)'!$D$5="製造",SUMIF('内訳ﾘｽﾄ(4～3月)'!$D$26:$D$1000,$B61,'内訳ﾘｽﾄ(4～3月)'!K$26:K$1000),IF('内訳ﾘｽﾄ(4～3月)'!$D$5="部内間接",-SUM(H$14:H$60,H$65),0))</f>
        <v>-4730031878</v>
      </c>
      <c r="I61" s="160">
        <f>IF('内訳ﾘｽﾄ(4～3月)'!$D$5="製造",SUMIF('内訳ﾘｽﾄ(4～3月)'!$D$26:$D$1000,$B61,'内訳ﾘｽﾄ(4～3月)'!L$26:L$1000),IF('内訳ﾘｽﾄ(4～3月)'!$D$5="部内間接",-SUM(I$14:I$60,I$65),0))</f>
        <v>-4957438463</v>
      </c>
      <c r="J61" s="160">
        <f>IF('内訳ﾘｽﾄ(4～3月)'!$D$5="製造",SUMIF('内訳ﾘｽﾄ(4～3月)'!$D$26:$D$1000,$B61,'内訳ﾘｽﾄ(4～3月)'!M$26:M$1000),IF('内訳ﾘｽﾄ(4～3月)'!$D$5="部内間接",-SUM(J$14:J$60,J$65),0))</f>
        <v>-4795947362</v>
      </c>
      <c r="K61" s="160">
        <f>IF('内訳ﾘｽﾄ(4～3月)'!$D$5="製造",SUMIF('内訳ﾘｽﾄ(4～3月)'!$D$26:$D$1000,$B61,'内訳ﾘｽﾄ(4～3月)'!N$26:N$1000),IF('内訳ﾘｽﾄ(4～3月)'!$D$5="部内間接",-SUM(K$14:K$60,K$65),0))</f>
        <v>-4903505512</v>
      </c>
      <c r="L61" s="160">
        <f>IF('内訳ﾘｽﾄ(4～3月)'!$D$5="製造",SUMIF('内訳ﾘｽﾄ(4～3月)'!$D$26:$D$1000,$B61,'内訳ﾘｽﾄ(4～3月)'!O$26:O$1000),IF('内訳ﾘｽﾄ(4～3月)'!$D$5="部内間接",-SUM(L$14:L$60,L$65),0))</f>
        <v>-4932483578</v>
      </c>
      <c r="M61" s="160">
        <f>IF('内訳ﾘｽﾄ(4～3月)'!$D$5="製造",SUMIF('内訳ﾘｽﾄ(4～3月)'!$D$26:$D$1000,$B61,'内訳ﾘｽﾄ(4～3月)'!P$26:P$1000),IF('内訳ﾘｽﾄ(4～3月)'!$D$5="部内間接",-SUM(M$14:M$60,M$65),0))</f>
        <v>-4656383491</v>
      </c>
      <c r="N61" s="160">
        <f>IF('内訳ﾘｽﾄ(4～3月)'!$D$5="製造",SUMIF('内訳ﾘｽﾄ(4～3月)'!$D$26:$D$1000,$B61,'内訳ﾘｽﾄ(4～3月)'!Q$26:Q$1000),IF('内訳ﾘｽﾄ(4～3月)'!$D$5="部内間接",-SUM(N$14:N$60,N$65),0))</f>
        <v>-4800150690</v>
      </c>
      <c r="O61" s="160">
        <f>IF('内訳ﾘｽﾄ(4～3月)'!$D$5="部内間接",-SUM(O$65,O$14:O$60),IF('内訳ﾘｽﾄ(4～3月)'!$D$5="製造",SUMIF('内訳ﾘｽﾄ(4～3月)'!$D$26:$D$799,'採算表(VND)'!$B61,'内訳ﾘｽﾄ(4～3月)'!R$26:R$799),0))</f>
        <v>-57311982812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IF('内訳ﾘｽﾄ(4～3月)'!$D$5="製造",SUMIF('内訳ﾘｽﾄ(4～3月)'!$D$26:$D$1000,$B62,'内訳ﾘｽﾄ(4～3月)'!F$26:F$1000),IF('内訳ﾘｽﾄ(4～3月)'!$D$5="部外間接1",-SUM(C$14:C$60,C$65),0))</f>
        <v>0</v>
      </c>
      <c r="D62" s="160">
        <f>IF('内訳ﾘｽﾄ(4～3月)'!$D$5="製造",SUMIF('内訳ﾘｽﾄ(4～3月)'!$D$26:$D$1000,$B62,'内訳ﾘｽﾄ(4～3月)'!G$26:G$1000),IF('内訳ﾘｽﾄ(4～3月)'!$D$5="部外間接1",-SUM(D$14:D$60,D$65),0))</f>
        <v>0</v>
      </c>
      <c r="E62" s="160">
        <f>IF('内訳ﾘｽﾄ(4～3月)'!$D$5="製造",SUMIF('内訳ﾘｽﾄ(4～3月)'!$D$26:$D$1000,$B62,'内訳ﾘｽﾄ(4～3月)'!H$26:H$1000),IF('内訳ﾘｽﾄ(4～3月)'!$D$5="部外間接1",-SUM(E$14:E$60,E$65),0))</f>
        <v>0</v>
      </c>
      <c r="F62" s="160">
        <f>IF('内訳ﾘｽﾄ(4～3月)'!$D$5="製造",SUMIF('内訳ﾘｽﾄ(4～3月)'!$D$26:$D$1000,$B62,'内訳ﾘｽﾄ(4～3月)'!I$26:I$1000),IF('内訳ﾘｽﾄ(4～3月)'!$D$5="部外間接1",-SUM(F$14:F$60,F$65),0))</f>
        <v>0</v>
      </c>
      <c r="G62" s="160">
        <f>IF('内訳ﾘｽﾄ(4～3月)'!$D$5="製造",SUMIF('内訳ﾘｽﾄ(4～3月)'!$D$26:$D$1000,$B62,'内訳ﾘｽﾄ(4～3月)'!J$26:J$1000),IF('内訳ﾘｽﾄ(4～3月)'!$D$5="部外間接1",-SUM(G$14:G$60,G$65),0))</f>
        <v>0</v>
      </c>
      <c r="H62" s="160">
        <f>IF('内訳ﾘｽﾄ(4～3月)'!$D$5="製造",SUMIF('内訳ﾘｽﾄ(4～3月)'!$D$26:$D$1000,$B62,'内訳ﾘｽﾄ(4～3月)'!K$26:K$1000),IF('内訳ﾘｽﾄ(4～3月)'!$D$5="部外間接1",-SUM(H$14:H$60,H$65),0))</f>
        <v>0</v>
      </c>
      <c r="I62" s="160">
        <f>IF('内訳ﾘｽﾄ(4～3月)'!$D$5="製造",SUMIF('内訳ﾘｽﾄ(4～3月)'!$D$26:$D$1000,$B62,'内訳ﾘｽﾄ(4～3月)'!L$26:L$1000),IF('内訳ﾘｽﾄ(4～3月)'!$D$5="部外間接1",-SUM(I$14:I$60,I$65),0))</f>
        <v>0</v>
      </c>
      <c r="J62" s="160">
        <f>IF('内訳ﾘｽﾄ(4～3月)'!$D$5="製造",SUMIF('内訳ﾘｽﾄ(4～3月)'!$D$26:$D$1000,$B62,'内訳ﾘｽﾄ(4～3月)'!M$26:M$1000),IF('内訳ﾘｽﾄ(4～3月)'!$D$5="部外間接1",-SUM(J$14:J$60,J$65),0))</f>
        <v>0</v>
      </c>
      <c r="K62" s="160">
        <f>IF('内訳ﾘｽﾄ(4～3月)'!$D$5="製造",SUMIF('内訳ﾘｽﾄ(4～3月)'!$D$26:$D$1000,$B62,'内訳ﾘｽﾄ(4～3月)'!N$26:N$1000),IF('内訳ﾘｽﾄ(4～3月)'!$D$5="部外間接1",-SUM(K$14:K$60,K$65),0))</f>
        <v>0</v>
      </c>
      <c r="L62" s="160">
        <f>IF('内訳ﾘｽﾄ(4～3月)'!$D$5="製造",SUMIF('内訳ﾘｽﾄ(4～3月)'!$D$26:$D$1000,$B62,'内訳ﾘｽﾄ(4～3月)'!O$26:O$1000),IF('内訳ﾘｽﾄ(4～3月)'!$D$5="部外間接1",-SUM(L$14:L$60,L$65),0))</f>
        <v>0</v>
      </c>
      <c r="M62" s="160">
        <f>IF('内訳ﾘｽﾄ(4～3月)'!$D$5="製造",SUMIF('内訳ﾘｽﾄ(4～3月)'!$D$26:$D$1000,$B62,'内訳ﾘｽﾄ(4～3月)'!P$26:P$1000),IF('内訳ﾘｽﾄ(4～3月)'!$D$5="部外間接1",-SUM(M$14:M$60,M$65),0))</f>
        <v>0</v>
      </c>
      <c r="N62" s="160">
        <f>IF('内訳ﾘｽﾄ(4～3月)'!$D$5="製造",SUMIF('内訳ﾘｽﾄ(4～3月)'!$D$26:$D$1000,$B62,'内訳ﾘｽﾄ(4～3月)'!Q$26:Q$1000),IF('内訳ﾘｽﾄ(4～3月)'!$D$5="部外間接1",-SUM(N$14:N$60,N$65),0))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IF('内訳ﾘｽﾄ(4～3月)'!$D$5="部外間接1",-SUM(O$65,O$14:O$60),IF('内訳ﾘｽﾄ(4～3月)'!$D$5="製造",SUMIF('内訳ﾘｽﾄ(4～3月)'!$D$26:$D$799,'採算表(VND)'!$B62,'内訳ﾘｽﾄ(4～3月)'!R$26:R$799),0))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IF('内訳ﾘｽﾄ(4～3月)'!$D$5="製造",SUMIF('内訳ﾘｽﾄ(4～3月)'!$D$26:$D$1000,$B63,'内訳ﾘｽﾄ(4～3月)'!F$26:F$1000),IF('内訳ﾘｽﾄ(4～3月)'!$D$5="部外間接2",-SUM(C$14:C$60,C$65),0))</f>
        <v>0</v>
      </c>
      <c r="D63" s="160">
        <f>IF('内訳ﾘｽﾄ(4～3月)'!$D$5="製造",SUMIF('内訳ﾘｽﾄ(4～3月)'!$D$26:$D$1000,$B63,'内訳ﾘｽﾄ(4～3月)'!G$26:G$1000),IF('内訳ﾘｽﾄ(4～3月)'!$D$5="部外間接2",-SUM(D$14:D$60,D$65),0))</f>
        <v>0</v>
      </c>
      <c r="E63" s="160">
        <f>IF('内訳ﾘｽﾄ(4～3月)'!$D$5="製造",SUMIF('内訳ﾘｽﾄ(4～3月)'!$D$26:$D$1000,$B63,'内訳ﾘｽﾄ(4～3月)'!H$26:H$1000),IF('内訳ﾘｽﾄ(4～3月)'!$D$5="部外間接2",-SUM(E$14:E$60,E$65),0))</f>
        <v>0</v>
      </c>
      <c r="F63" s="160">
        <f>IF('内訳ﾘｽﾄ(4～3月)'!$D$5="製造",SUMIF('内訳ﾘｽﾄ(4～3月)'!$D$26:$D$1000,$B63,'内訳ﾘｽﾄ(4～3月)'!I$26:I$1000),IF('内訳ﾘｽﾄ(4～3月)'!$D$5="部外間接2",-SUM(F$14:F$60,F$65),0))</f>
        <v>0</v>
      </c>
      <c r="G63" s="160">
        <f>IF('内訳ﾘｽﾄ(4～3月)'!$D$5="製造",SUMIF('内訳ﾘｽﾄ(4～3月)'!$D$26:$D$1000,$B63,'内訳ﾘｽﾄ(4～3月)'!J$26:J$1000),IF('内訳ﾘｽﾄ(4～3月)'!$D$5="部外間接2",-SUM(G$14:G$60,G$65),0))</f>
        <v>0</v>
      </c>
      <c r="H63" s="160">
        <f>IF('内訳ﾘｽﾄ(4～3月)'!$D$5="製造",SUMIF('内訳ﾘｽﾄ(4～3月)'!$D$26:$D$1000,$B63,'内訳ﾘｽﾄ(4～3月)'!K$26:K$1000),IF('内訳ﾘｽﾄ(4～3月)'!$D$5="部外間接2",-SUM(H$14:H$60,H$65),0))</f>
        <v>0</v>
      </c>
      <c r="I63" s="160">
        <f>IF('内訳ﾘｽﾄ(4～3月)'!$D$5="製造",SUMIF('内訳ﾘｽﾄ(4～3月)'!$D$26:$D$1000,$B63,'内訳ﾘｽﾄ(4～3月)'!L$26:L$1000),IF('内訳ﾘｽﾄ(4～3月)'!$D$5="部外間接2",-SUM(I$14:I$60,I$65),0))</f>
        <v>0</v>
      </c>
      <c r="J63" s="160">
        <f>IF('内訳ﾘｽﾄ(4～3月)'!$D$5="製造",SUMIF('内訳ﾘｽﾄ(4～3月)'!$D$26:$D$1000,$B63,'内訳ﾘｽﾄ(4～3月)'!M$26:M$1000),IF('内訳ﾘｽﾄ(4～3月)'!$D$5="部外間接2",-SUM(J$14:J$60,J$65),0))</f>
        <v>0</v>
      </c>
      <c r="K63" s="160">
        <f>IF('内訳ﾘｽﾄ(4～3月)'!$D$5="製造",SUMIF('内訳ﾘｽﾄ(4～3月)'!$D$26:$D$1000,$B63,'内訳ﾘｽﾄ(4～3月)'!N$26:N$1000),IF('内訳ﾘｽﾄ(4～3月)'!$D$5="部外間接2",-SUM(K$14:K$60,K$65),0))</f>
        <v>0</v>
      </c>
      <c r="L63" s="160">
        <f>IF('内訳ﾘｽﾄ(4～3月)'!$D$5="製造",SUMIF('内訳ﾘｽﾄ(4～3月)'!$D$26:$D$1000,$B63,'内訳ﾘｽﾄ(4～3月)'!O$26:O$1000),IF('内訳ﾘｽﾄ(4～3月)'!$D$5="部外間接2",-SUM(L$14:L$60,L$65),0))</f>
        <v>0</v>
      </c>
      <c r="M63" s="160">
        <f>IF('内訳ﾘｽﾄ(4～3月)'!$D$5="製造",SUMIF('内訳ﾘｽﾄ(4～3月)'!$D$26:$D$1000,$B63,'内訳ﾘｽﾄ(4～3月)'!P$26:P$1000),IF('内訳ﾘｽﾄ(4～3月)'!$D$5="部外間接2",-SUM(M$14:M$60,M$65),0))</f>
        <v>0</v>
      </c>
      <c r="N63" s="160">
        <f>IF('内訳ﾘｽﾄ(4～3月)'!$D$5="製造",SUMIF('内訳ﾘｽﾄ(4～3月)'!$D$26:$D$1000,$B63,'内訳ﾘｽﾄ(4～3月)'!Q$26:Q$1000),IF('内訳ﾘｽﾄ(4～3月)'!$D$5="部外間接2",-SUM(N$14:N$60,N$65),0))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IF('内訳ﾘｽﾄ(4～3月)'!$D$5="部外間接2",-SUM(O$65,O$14:O$60),IF('内訳ﾘｽﾄ(4～3月)'!$D$5="製造",SUMIF('内訳ﾘｽﾄ(4～3月)'!$D$26:$D$799,'採算表(VND)'!$B63,'内訳ﾘｽﾄ(4～3月)'!R$26:R$799),0))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IF('内訳ﾘｽﾄ(4～3月)'!$D$5="製造",SUMIF('内訳ﾘｽﾄ(4～3月)'!$D$26:$D$1000,$B64,'内訳ﾘｽﾄ(4～3月)'!F$26:F$1000),IF('内訳ﾘｽﾄ(4～3月)'!$D$5="工場間接",-SUM(C$14:C$60,C$65),0))</f>
        <v>0</v>
      </c>
      <c r="D64" s="160">
        <f>IF('内訳ﾘｽﾄ(4～3月)'!$D$5="製造",SUMIF('内訳ﾘｽﾄ(4～3月)'!$D$26:$D$1000,$B64,'内訳ﾘｽﾄ(4～3月)'!G$26:G$1000),IF('内訳ﾘｽﾄ(4～3月)'!$D$5="工場間接",-SUM(D$14:D$60,D$65),0))</f>
        <v>0</v>
      </c>
      <c r="E64" s="160">
        <f>IF('内訳ﾘｽﾄ(4～3月)'!$D$5="製造",SUMIF('内訳ﾘｽﾄ(4～3月)'!$D$26:$D$1000,$B64,'内訳ﾘｽﾄ(4～3月)'!H$26:H$1000),IF('内訳ﾘｽﾄ(4～3月)'!$D$5="工場間接",-SUM(E$14:E$60,E$65),0))</f>
        <v>0</v>
      </c>
      <c r="F64" s="160">
        <f>IF('内訳ﾘｽﾄ(4～3月)'!$D$5="製造",SUMIF('内訳ﾘｽﾄ(4～3月)'!$D$26:$D$1000,$B64,'内訳ﾘｽﾄ(4～3月)'!I$26:I$1000),IF('内訳ﾘｽﾄ(4～3月)'!$D$5="工場間接",-SUM(F$14:F$60,F$65),0))</f>
        <v>0</v>
      </c>
      <c r="G64" s="160">
        <f>IF('内訳ﾘｽﾄ(4～3月)'!$D$5="製造",SUMIF('内訳ﾘｽﾄ(4～3月)'!$D$26:$D$1000,$B64,'内訳ﾘｽﾄ(4～3月)'!J$26:J$1000),IF('内訳ﾘｽﾄ(4～3月)'!$D$5="工場間接",-SUM(G$14:G$60,G$65),0))</f>
        <v>0</v>
      </c>
      <c r="H64" s="160">
        <f>IF('内訳ﾘｽﾄ(4～3月)'!$D$5="製造",SUMIF('内訳ﾘｽﾄ(4～3月)'!$D$26:$D$1000,$B64,'内訳ﾘｽﾄ(4～3月)'!K$26:K$1000),IF('内訳ﾘｽﾄ(4～3月)'!$D$5="工場間接",-SUM(H$14:H$60,H$65),0))</f>
        <v>0</v>
      </c>
      <c r="I64" s="160">
        <f>IF('内訳ﾘｽﾄ(4～3月)'!$D$5="製造",SUMIF('内訳ﾘｽﾄ(4～3月)'!$D$26:$D$1000,$B64,'内訳ﾘｽﾄ(4～3月)'!L$26:L$1000),IF('内訳ﾘｽﾄ(4～3月)'!$D$5="工場間接",-SUM(I$14:I$60,I$65),0))</f>
        <v>0</v>
      </c>
      <c r="J64" s="160">
        <f>IF('内訳ﾘｽﾄ(4～3月)'!$D$5="製造",SUMIF('内訳ﾘｽﾄ(4～3月)'!$D$26:$D$1000,$B64,'内訳ﾘｽﾄ(4～3月)'!M$26:M$1000),IF('内訳ﾘｽﾄ(4～3月)'!$D$5="工場間接",-SUM(J$14:J$60,J$65),0))</f>
        <v>0</v>
      </c>
      <c r="K64" s="160">
        <f>IF('内訳ﾘｽﾄ(4～3月)'!$D$5="製造",SUMIF('内訳ﾘｽﾄ(4～3月)'!$D$26:$D$1000,$B64,'内訳ﾘｽﾄ(4～3月)'!N$26:N$1000),IF('内訳ﾘｽﾄ(4～3月)'!$D$5="工場間接",-SUM(K$14:K$60,K$65),0))</f>
        <v>0</v>
      </c>
      <c r="L64" s="160">
        <f>IF('内訳ﾘｽﾄ(4～3月)'!$D$5="製造",SUMIF('内訳ﾘｽﾄ(4～3月)'!$D$26:$D$1000,$B64,'内訳ﾘｽﾄ(4～3月)'!O$26:O$1000),IF('内訳ﾘｽﾄ(4～3月)'!$D$5="工場間接",-SUM(L$14:L$60,L$65),0))</f>
        <v>0</v>
      </c>
      <c r="M64" s="160">
        <f>IF('内訳ﾘｽﾄ(4～3月)'!$D$5="製造",SUMIF('内訳ﾘｽﾄ(4～3月)'!$D$26:$D$1000,$B64,'内訳ﾘｽﾄ(4～3月)'!P$26:P$1000),IF('内訳ﾘｽﾄ(4～3月)'!$D$5="工場間接",-SUM(M$14:M$60,M$65),0))</f>
        <v>0</v>
      </c>
      <c r="N64" s="160">
        <f>IF('内訳ﾘｽﾄ(4～3月)'!$D$5="製造",SUMIF('内訳ﾘｽﾄ(4～3月)'!$D$26:$D$1000,$B64,'内訳ﾘｽﾄ(4～3月)'!Q$26:Q$1000),IF('内訳ﾘｽﾄ(4～3月)'!$D$5="工場間接",-SUM(N$14:N$60,N$65),0))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IF('内訳ﾘｽﾄ(4～3月)'!$D$5="工場間接",-SUM(O$65,O$14:O$60),IF('内訳ﾘｽﾄ(4～3月)'!$D$5="製造",SUMIF('内訳ﾘｽﾄ(4～3月)'!$D$26:$D$799,'採算表(VND)'!$B64,'内訳ﾘｽﾄ(4～3月)'!R$26:R$799),0))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SUMIF('内訳ﾘｽﾄ(4～3月)'!$D$26:$D$1000,$B65,'内訳ﾘｽﾄ(4～3月)'!F$26:F$1000)</f>
        <v>0</v>
      </c>
      <c r="D65" s="158">
        <f>SUMIF('内訳ﾘｽﾄ(4～3月)'!$D$26:$D$1000,$B65,'内訳ﾘｽﾄ(4～3月)'!G$26:G$1000)</f>
        <v>0</v>
      </c>
      <c r="E65" s="158">
        <f>SUMIF('内訳ﾘｽﾄ(4～3月)'!$D$26:$D$1000,$B65,'内訳ﾘｽﾄ(4～3月)'!H$26:H$1000)</f>
        <v>0</v>
      </c>
      <c r="F65" s="158">
        <f>SUMIF('内訳ﾘｽﾄ(4～3月)'!$D$26:$D$1000,$B65,'内訳ﾘｽﾄ(4～3月)'!I$26:I$1000)</f>
        <v>0</v>
      </c>
      <c r="G65" s="158">
        <f>SUMIF('内訳ﾘｽﾄ(4～3月)'!$D$26:$D$1000,$B65,'内訳ﾘｽﾄ(4～3月)'!J$26:J$1000)</f>
        <v>0</v>
      </c>
      <c r="H65" s="158">
        <f>SUMIF('内訳ﾘｽﾄ(4～3月)'!$D$26:$D$1000,$B65,'内訳ﾘｽﾄ(4～3月)'!K$26:K$1000)</f>
        <v>0</v>
      </c>
      <c r="I65" s="158">
        <f>SUMIF('内訳ﾘｽﾄ(4～3月)'!$D$26:$D$1000,$B65,'内訳ﾘｽﾄ(4～3月)'!L$26:L$1000)</f>
        <v>0</v>
      </c>
      <c r="J65" s="158">
        <f>SUMIF('内訳ﾘｽﾄ(4～3月)'!$D$26:$D$1000,$B65,'内訳ﾘｽﾄ(4～3月)'!M$26:M$1000)</f>
        <v>0</v>
      </c>
      <c r="K65" s="158">
        <f>SUMIF('内訳ﾘｽﾄ(4～3月)'!$D$26:$D$1000,$B65,'内訳ﾘｽﾄ(4～3月)'!N$26:N$1000)</f>
        <v>0</v>
      </c>
      <c r="L65" s="158">
        <f>SUMIF('内訳ﾘｽﾄ(4～3月)'!$D$26:$D$1000,$B65,'内訳ﾘｽﾄ(4～3月)'!O$26:O$1000)</f>
        <v>0</v>
      </c>
      <c r="M65" s="158">
        <f>SUMIF('内訳ﾘｽﾄ(4～3月)'!$D$26:$D$1000,$B65,'内訳ﾘｽﾄ(4～3月)'!P$26:P$1000)</f>
        <v>0</v>
      </c>
      <c r="N65" s="158">
        <f>SUMIF('内訳ﾘｽﾄ(4～3月)'!$D$26:$D$1000,$B65,'内訳ﾘｽﾄ(4～3月)'!Q$26:Q$1000)</f>
        <v>0</v>
      </c>
      <c r="O65" s="158">
        <f>SUMIF('内訳ﾘｽﾄ(4～3月)'!$D$26:$D$799,'採算表(VND)'!$B65,'内訳ﾘｽﾄ(4～3月)'!R$26:R$799)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9355</v>
      </c>
      <c r="D68" s="162">
        <f>SUMIF('内訳ﾘｽﾄ(4～3月)'!$D$8:$D$15,'採算表(VND)'!$B68,'内訳ﾘｽﾄ(4～3月)'!G$8:G$15)</f>
        <v>8887.25</v>
      </c>
      <c r="E68" s="162">
        <f>SUMIF('内訳ﾘｽﾄ(4～3月)'!$D$8:$D$15,'採算表(VND)'!$B68,'内訳ﾘｽﾄ(4～3月)'!H$8:H$15)</f>
        <v>9644.25</v>
      </c>
      <c r="F68" s="162">
        <f>SUMIF('内訳ﾘｽﾄ(4～3月)'!$D$8:$D$15,'採算表(VND)'!$B68,'内訳ﾘｽﾄ(4～3月)'!I$8:I$15)</f>
        <v>10562.75</v>
      </c>
      <c r="G68" s="162">
        <f>SUMIF('内訳ﾘｽﾄ(4～3月)'!$D$8:$D$15,'採算表(VND)'!$B68,'内訳ﾘｽﾄ(4～3月)'!J$8:J$15)</f>
        <v>9142.5</v>
      </c>
      <c r="H68" s="162">
        <f>SUMIF('内訳ﾘｽﾄ(4～3月)'!$D$8:$D$15,'採算表(VND)'!$B68,'内訳ﾘｽﾄ(4～3月)'!K$8:K$15)</f>
        <v>8292.25</v>
      </c>
      <c r="I68" s="162">
        <f>SUMIF('内訳ﾘｽﾄ(4～3月)'!$D$8:$D$15,'採算表(VND)'!$B68,'内訳ﾘｽﾄ(4～3月)'!L$8:L$15)</f>
        <v>10171.75</v>
      </c>
      <c r="J68" s="162">
        <f>SUMIF('内訳ﾘｽﾄ(4～3月)'!$D$8:$D$15,'採算表(VND)'!$B68,'内訳ﾘｽﾄ(4～3月)'!M$8:M$15)</f>
        <v>8845</v>
      </c>
      <c r="K68" s="162">
        <f>SUMIF('内訳ﾘｽﾄ(4～3月)'!$D$8:$D$15,'採算表(VND)'!$B68,'内訳ﾘｽﾄ(4～3月)'!N$8:N$15)</f>
        <v>9542.5</v>
      </c>
      <c r="L68" s="162">
        <f>SUMIF('内訳ﾘｽﾄ(4～3月)'!$D$8:$D$15,'採算表(VND)'!$B68,'内訳ﾘｽﾄ(4～3月)'!O$8:O$15)</f>
        <v>8845</v>
      </c>
      <c r="M68" s="162">
        <f>SUMIF('内訳ﾘｽﾄ(4～3月)'!$D$8:$D$15,'採算表(VND)'!$B68,'内訳ﾘｽﾄ(4～3月)'!P$8:P$15)</f>
        <v>7050.25</v>
      </c>
      <c r="N68" s="162">
        <f>SUMIF('内訳ﾘｽﾄ(4～3月)'!$D$8:$D$15,'採算表(VND)'!$B68,'内訳ﾘｽﾄ(4～3月)'!Q$8:Q$15)</f>
        <v>8853.5</v>
      </c>
      <c r="O68" s="162">
        <f>SUMIF('内訳ﾘｽﾄ(4～3月)'!$D$8:$D$15,'採算表(VND)'!$B68,'内訳ﾘｽﾄ(4～3月)'!$R$8:$R$15)</f>
        <v>109192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-9355</v>
      </c>
      <c r="D69" s="163">
        <f>IF('内訳ﾘｽﾄ(4～3月)'!$D$5="製造",SUMIF('内訳ﾘｽﾄ(4～3月)'!$D$8:$D$15,$B69,'内訳ﾘｽﾄ(4～3月)'!G$8:G$15),IF('内訳ﾘｽﾄ(4～3月)'!$D$5="部内間接",-D$68,0))</f>
        <v>-8887.25</v>
      </c>
      <c r="E69" s="163">
        <f>IF('内訳ﾘｽﾄ(4～3月)'!$D$5="製造",SUMIF('内訳ﾘｽﾄ(4～3月)'!$D$8:$D$15,$B69,'内訳ﾘｽﾄ(4～3月)'!H$8:H$15),IF('内訳ﾘｽﾄ(4～3月)'!$D$5="部内間接",-E$68,0))</f>
        <v>-9644.25</v>
      </c>
      <c r="F69" s="163">
        <f>IF('内訳ﾘｽﾄ(4～3月)'!$D$5="製造",SUMIF('内訳ﾘｽﾄ(4～3月)'!$D$8:$D$15,$B69,'内訳ﾘｽﾄ(4～3月)'!I$8:I$15),IF('内訳ﾘｽﾄ(4～3月)'!$D$5="部内間接",-F$68,0))</f>
        <v>-10562.75</v>
      </c>
      <c r="G69" s="163">
        <f>IF('内訳ﾘｽﾄ(4～3月)'!$D$5="製造",SUMIF('内訳ﾘｽﾄ(4～3月)'!$D$8:$D$15,$B69,'内訳ﾘｽﾄ(4～3月)'!J$8:J$15),IF('内訳ﾘｽﾄ(4～3月)'!$D$5="部内間接",-G$68,0))</f>
        <v>-9142.5</v>
      </c>
      <c r="H69" s="163">
        <f>IF('内訳ﾘｽﾄ(4～3月)'!$D$5="製造",SUMIF('内訳ﾘｽﾄ(4～3月)'!$D$8:$D$15,$B69,'内訳ﾘｽﾄ(4～3月)'!K$8:K$15),IF('内訳ﾘｽﾄ(4～3月)'!$D$5="部内間接",-H$68,0))</f>
        <v>-8292.25</v>
      </c>
      <c r="I69" s="163">
        <f>IF('内訳ﾘｽﾄ(4～3月)'!$D$5="製造",SUMIF('内訳ﾘｽﾄ(4～3月)'!$D$8:$D$15,$B69,'内訳ﾘｽﾄ(4～3月)'!L$8:L$15),IF('内訳ﾘｽﾄ(4～3月)'!$D$5="部内間接",-I$68,0))</f>
        <v>-10171.75</v>
      </c>
      <c r="J69" s="163">
        <f>IF('内訳ﾘｽﾄ(4～3月)'!$D$5="製造",SUMIF('内訳ﾘｽﾄ(4～3月)'!$D$8:$D$15,$B69,'内訳ﾘｽﾄ(4～3月)'!M$8:M$15),IF('内訳ﾘｽﾄ(4～3月)'!$D$5="部内間接",-J$68,0))</f>
        <v>-8845</v>
      </c>
      <c r="K69" s="163">
        <f>IF('内訳ﾘｽﾄ(4～3月)'!$D$5="製造",SUMIF('内訳ﾘｽﾄ(4～3月)'!$D$8:$D$15,$B69,'内訳ﾘｽﾄ(4～3月)'!N$8:N$15),IF('内訳ﾘｽﾄ(4～3月)'!$D$5="部内間接",-K$68,0))</f>
        <v>-9542.5</v>
      </c>
      <c r="L69" s="163">
        <f>IF('内訳ﾘｽﾄ(4～3月)'!$D$5="製造",SUMIF('内訳ﾘｽﾄ(4～3月)'!$D$8:$D$15,$B69,'内訳ﾘｽﾄ(4～3月)'!O$8:O$15),IF('内訳ﾘｽﾄ(4～3月)'!$D$5="部内間接",-L$68,0))</f>
        <v>-8845</v>
      </c>
      <c r="M69" s="163">
        <f>IF('内訳ﾘｽﾄ(4～3月)'!$D$5="製造",SUMIF('内訳ﾘｽﾄ(4～3月)'!$D$8:$D$15,$B69,'内訳ﾘｽﾄ(4～3月)'!P$8:P$15),IF('内訳ﾘｽﾄ(4～3月)'!$D$5="部内間接",-M$68,0))</f>
        <v>-7050.25</v>
      </c>
      <c r="N69" s="163">
        <f>IF('内訳ﾘｽﾄ(4～3月)'!$D$5="製造",SUMIF('内訳ﾘｽﾄ(4～3月)'!$D$8:$D$15,$B69,'内訳ﾘｽﾄ(4～3月)'!Q$8:Q$15),IF('内訳ﾘｽﾄ(4～3月)'!$D$5="部内間接",-N$68,0))</f>
        <v>-8853.5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-109192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250</v>
      </c>
      <c r="D74" s="162">
        <f>SUMIF('内訳ﾘｽﾄ(4～3月)'!$D$16:$D$23,'採算表(VND)'!$B74,'内訳ﾘｽﾄ(4～3月)'!G$16:G$23)</f>
        <v>246</v>
      </c>
      <c r="E74" s="162">
        <f>SUMIF('内訳ﾘｽﾄ(4～3月)'!$D$16:$D$23,'採算表(VND)'!$B74,'内訳ﾘｽﾄ(4～3月)'!H$16:H$23)</f>
        <v>254</v>
      </c>
      <c r="F74" s="162">
        <f>SUMIF('内訳ﾘｽﾄ(4～3月)'!$D$16:$D$23,'採算表(VND)'!$B74,'内訳ﾘｽﾄ(4～3月)'!I$16:I$23)</f>
        <v>262</v>
      </c>
      <c r="G74" s="162">
        <f>SUMIF('内訳ﾘｽﾄ(4～3月)'!$D$16:$D$23,'採算表(VND)'!$B74,'内訳ﾘｽﾄ(4～3月)'!J$16:J$23)</f>
        <v>300</v>
      </c>
      <c r="H74" s="162">
        <f>SUMIF('内訳ﾘｽﾄ(4～3月)'!$D$16:$D$23,'採算表(VND)'!$B74,'内訳ﾘｽﾄ(4～3月)'!K$16:K$23)</f>
        <v>296</v>
      </c>
      <c r="I74" s="162">
        <f>SUMIF('内訳ﾘｽﾄ(4～3月)'!$D$16:$D$23,'採算表(VND)'!$B74,'内訳ﾘｽﾄ(4～3月)'!L$16:L$23)</f>
        <v>312</v>
      </c>
      <c r="J74" s="162">
        <f>SUMIF('内訳ﾘｽﾄ(4～3月)'!$D$16:$D$23,'採算表(VND)'!$B74,'内訳ﾘｽﾄ(4～3月)'!M$16:M$23)</f>
        <v>300</v>
      </c>
      <c r="K74" s="162">
        <f>SUMIF('内訳ﾘｽﾄ(4～3月)'!$D$16:$D$23,'採算表(VND)'!$B74,'内訳ﾘｽﾄ(4～3月)'!N$16:N$23)</f>
        <v>458</v>
      </c>
      <c r="L74" s="162">
        <f>SUMIF('内訳ﾘｽﾄ(4～3月)'!$D$16:$D$23,'採算表(VND)'!$B74,'内訳ﾘｽﾄ(4～3月)'!O$16:O$23)</f>
        <v>550</v>
      </c>
      <c r="M74" s="162">
        <f>SUMIF('内訳ﾘｽﾄ(4～3月)'!$D$16:$D$23,'採算表(VND)'!$B74,'内訳ﾘｽﾄ(4～3月)'!P$16:P$23)</f>
        <v>890</v>
      </c>
      <c r="N74" s="162">
        <f>SUMIF('内訳ﾘｽﾄ(4～3月)'!$D$16:$D$23,'採算表(VND)'!$B74,'内訳ﾘｽﾄ(4～3月)'!Q$16:Q$23)</f>
        <v>700</v>
      </c>
      <c r="O74" s="162">
        <f>SUMIF('内訳ﾘｽﾄ(4～3月)'!$D$16:$D$23,'採算表(VND)'!$B74,'内訳ﾘｽﾄ(4～3月)'!$R$16:$R$23)</f>
        <v>4818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-250</v>
      </c>
      <c r="D75" s="163">
        <f>IF('内訳ﾘｽﾄ(4～3月)'!$D$5="製造",SUMIF('内訳ﾘｽﾄ(4～3月)'!$D$16:$D$23,$B75,'内訳ﾘｽﾄ(4～3月)'!G$16:G$23),IF('内訳ﾘｽﾄ(4～3月)'!$D$5="部内間接",-D$74,0))</f>
        <v>-246</v>
      </c>
      <c r="E75" s="163">
        <f>IF('内訳ﾘｽﾄ(4～3月)'!$D$5="製造",SUMIF('内訳ﾘｽﾄ(4～3月)'!$D$16:$D$23,$B75,'内訳ﾘｽﾄ(4～3月)'!H$16:H$23),IF('内訳ﾘｽﾄ(4～3月)'!$D$5="部内間接",-E$74,0))</f>
        <v>-254</v>
      </c>
      <c r="F75" s="163">
        <f>IF('内訳ﾘｽﾄ(4～3月)'!$D$5="製造",SUMIF('内訳ﾘｽﾄ(4～3月)'!$D$16:$D$23,$B75,'内訳ﾘｽﾄ(4～3月)'!I$16:I$23),IF('内訳ﾘｽﾄ(4～3月)'!$D$5="部内間接",-F$74,0))</f>
        <v>-262</v>
      </c>
      <c r="G75" s="163">
        <f>IF('内訳ﾘｽﾄ(4～3月)'!$D$5="製造",SUMIF('内訳ﾘｽﾄ(4～3月)'!$D$16:$D$23,$B75,'内訳ﾘｽﾄ(4～3月)'!J$16:J$23),IF('内訳ﾘｽﾄ(4～3月)'!$D$5="部内間接",-G$74,0))</f>
        <v>-300</v>
      </c>
      <c r="H75" s="163">
        <f>IF('内訳ﾘｽﾄ(4～3月)'!$D$5="製造",SUMIF('内訳ﾘｽﾄ(4～3月)'!$D$16:$D$23,$B75,'内訳ﾘｽﾄ(4～3月)'!K$16:K$23),IF('内訳ﾘｽﾄ(4～3月)'!$D$5="部内間接",-H$74,0))</f>
        <v>-296</v>
      </c>
      <c r="I75" s="163">
        <f>IF('内訳ﾘｽﾄ(4～3月)'!$D$5="製造",SUMIF('内訳ﾘｽﾄ(4～3月)'!$D$16:$D$23,$B75,'内訳ﾘｽﾄ(4～3月)'!L$16:L$23),IF('内訳ﾘｽﾄ(4～3月)'!$D$5="部内間接",-I$74,0))</f>
        <v>-312</v>
      </c>
      <c r="J75" s="163">
        <f>IF('内訳ﾘｽﾄ(4～3月)'!$D$5="製造",SUMIF('内訳ﾘｽﾄ(4～3月)'!$D$16:$D$23,$B75,'内訳ﾘｽﾄ(4～3月)'!M$16:M$23),IF('内訳ﾘｽﾄ(4～3月)'!$D$5="部内間接",-J$74,0))</f>
        <v>-300</v>
      </c>
      <c r="K75" s="163">
        <f>IF('内訳ﾘｽﾄ(4～3月)'!$D$5="製造",SUMIF('内訳ﾘｽﾄ(4～3月)'!$D$16:$D$23,$B75,'内訳ﾘｽﾄ(4～3月)'!N$16:N$23),IF('内訳ﾘｽﾄ(4～3月)'!$D$5="部内間接",-K$74,0))</f>
        <v>-458</v>
      </c>
      <c r="L75" s="163">
        <f>IF('内訳ﾘｽﾄ(4～3月)'!$D$5="製造",SUMIF('内訳ﾘｽﾄ(4～3月)'!$D$16:$D$23,$B75,'内訳ﾘｽﾄ(4～3月)'!O$16:O$23),IF('内訳ﾘｽﾄ(4～3月)'!$D$5="部内間接",-L$74,0))</f>
        <v>-550</v>
      </c>
      <c r="M75" s="163">
        <f>IF('内訳ﾘｽﾄ(4～3月)'!$D$5="製造",SUMIF('内訳ﾘｽﾄ(4～3月)'!$D$16:$D$23,$B75,'内訳ﾘｽﾄ(4～3月)'!P$16:P$23),IF('内訳ﾘｽﾄ(4～3月)'!$D$5="部内間接",-M$74,0))</f>
        <v>-890</v>
      </c>
      <c r="N75" s="163">
        <f>IF('内訳ﾘｽﾄ(4～3月)'!$D$5="製造",SUMIF('内訳ﾘｽﾄ(4～3月)'!$D$16:$D$23,$B75,'内訳ﾘｽﾄ(4～3月)'!Q$16:Q$23),IF('内訳ﾘｽﾄ(4～3月)'!$D$5="部内間接",-N$74,0))</f>
        <v>-700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-4818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2"/>
    <row r="83" spans="1:61" customFormat="1" ht="13.2"/>
    <row r="84" spans="1:61" customFormat="1" ht="13.2"/>
    <row r="85" spans="1:61" customFormat="1" ht="13.2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0</v>
      </c>
      <c r="D87" s="150">
        <f>SUMIF('内訳ﾘｽﾄ(4～3月)'!$D$24:$D$25,'採算表(VND)'!$B87,'内訳ﾘｽﾄ(4～3月)'!G$24:G$25)</f>
        <v>0</v>
      </c>
      <c r="E87" s="150">
        <f>SUMIF('内訳ﾘｽﾄ(4～3月)'!$D$24:$D$25,'採算表(VND)'!$B87,'内訳ﾘｽﾄ(4～3月)'!H$24:H$25)</f>
        <v>0</v>
      </c>
      <c r="F87" s="150">
        <f>SUMIF('内訳ﾘｽﾄ(4～3月)'!$D$24:$D$25,'採算表(VND)'!$B87,'内訳ﾘｽﾄ(4～3月)'!I$24:I$25)</f>
        <v>0</v>
      </c>
      <c r="G87" s="150">
        <f>SUMIF('内訳ﾘｽﾄ(4～3月)'!$D$24:$D$25,'採算表(VND)'!$B87,'内訳ﾘｽﾄ(4～3月)'!J$24:J$25)</f>
        <v>0</v>
      </c>
      <c r="H87" s="150">
        <f>SUMIF('内訳ﾘｽﾄ(4～3月)'!$D$24:$D$25,'採算表(VND)'!$B87,'内訳ﾘｽﾄ(4～3月)'!K$24:K$25)</f>
        <v>0</v>
      </c>
      <c r="I87" s="150">
        <f>SUMIF('内訳ﾘｽﾄ(4～3月)'!$D$24:$D$25,'採算表(VND)'!$B87,'内訳ﾘｽﾄ(4～3月)'!L$24:L$25)</f>
        <v>0</v>
      </c>
      <c r="J87" s="150">
        <f>SUMIF('内訳ﾘｽﾄ(4～3月)'!$D$24:$D$25,'採算表(VND)'!$B87,'内訳ﾘｽﾄ(4～3月)'!M$24:M$25)</f>
        <v>0</v>
      </c>
      <c r="K87" s="150">
        <f>SUMIF('内訳ﾘｽﾄ(4～3月)'!$D$24:$D$25,'採算表(VND)'!$B87,'内訳ﾘｽﾄ(4～3月)'!N$24:N$25)</f>
        <v>0</v>
      </c>
      <c r="L87" s="150">
        <f>SUMIF('内訳ﾘｽﾄ(4～3月)'!$D$24:$D$25,'採算表(VND)'!$B87,'内訳ﾘｽﾄ(4～3月)'!O$24:O$25)</f>
        <v>0</v>
      </c>
      <c r="M87" s="150">
        <f>SUMIF('内訳ﾘｽﾄ(4～3月)'!$D$24:$D$25,'採算表(VND)'!$B87,'内訳ﾘｽﾄ(4～3月)'!P$24:P$25)</f>
        <v>0</v>
      </c>
      <c r="N87" s="150">
        <f>SUMIF('内訳ﾘｽﾄ(4～3月)'!$D$24:$D$25,'採算表(VND)'!$B87,'内訳ﾘｽﾄ(4～3月)'!Q$24:Q$25)</f>
        <v>0</v>
      </c>
      <c r="O87" s="150">
        <f>SUMIF('内訳ﾘｽﾄ(4～3月)'!$D$24:$D$25,'採算表(VND)'!$B87,'内訳ﾘｽﾄ(4～3月)'!R$24:R$25)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64</v>
      </c>
      <c r="D88" s="150">
        <f>SUMIF('内訳ﾘｽﾄ(4～3月)'!$D$24:$D$25,'採算表(VND)'!$B88,'内訳ﾘｽﾄ(4～3月)'!G$24:G$25)</f>
        <v>64</v>
      </c>
      <c r="E88" s="150">
        <f>SUMIF('内訳ﾘｽﾄ(4～3月)'!$D$24:$D$25,'採算表(VND)'!$B88,'内訳ﾘｽﾄ(4～3月)'!H$24:H$25)</f>
        <v>63</v>
      </c>
      <c r="F88" s="150">
        <f>SUMIF('内訳ﾘｽﾄ(4～3月)'!$D$24:$D$25,'採算表(VND)'!$B88,'内訳ﾘｽﾄ(4～3月)'!I$24:I$25)</f>
        <v>63</v>
      </c>
      <c r="G88" s="150">
        <f>SUMIF('内訳ﾘｽﾄ(4～3月)'!$D$24:$D$25,'採算表(VND)'!$B88,'内訳ﾘｽﾄ(4～3月)'!J$24:J$25)</f>
        <v>62</v>
      </c>
      <c r="H88" s="150">
        <f>SUMIF('内訳ﾘｽﾄ(4～3月)'!$D$24:$D$25,'採算表(VND)'!$B88,'内訳ﾘｽﾄ(4～3月)'!K$24:K$25)</f>
        <v>61</v>
      </c>
      <c r="I88" s="150">
        <f>SUMIF('内訳ﾘｽﾄ(4～3月)'!$D$24:$D$25,'採算表(VND)'!$B88,'内訳ﾘｽﾄ(4～3月)'!L$24:L$25)</f>
        <v>61</v>
      </c>
      <c r="J88" s="150">
        <f>SUMIF('内訳ﾘｽﾄ(4～3月)'!$D$24:$D$25,'採算表(VND)'!$B88,'内訳ﾘｽﾄ(4～3月)'!M$24:M$25)</f>
        <v>61</v>
      </c>
      <c r="K88" s="150">
        <f>SUMIF('内訳ﾘｽﾄ(4～3月)'!$D$24:$D$25,'採算表(VND)'!$B88,'内訳ﾘｽﾄ(4～3月)'!N$24:N$25)</f>
        <v>60</v>
      </c>
      <c r="L88" s="150">
        <f>SUMIF('内訳ﾘｽﾄ(4～3月)'!$D$24:$D$25,'採算表(VND)'!$B88,'内訳ﾘｽﾄ(4～3月)'!O$24:O$25)</f>
        <v>61</v>
      </c>
      <c r="M88" s="150">
        <f>SUMIF('内訳ﾘｽﾄ(4～3月)'!$D$24:$D$25,'採算表(VND)'!$B88,'内訳ﾘｽﾄ(4～3月)'!P$24:P$25)</f>
        <v>62</v>
      </c>
      <c r="N88" s="150">
        <f>SUMIF('内訳ﾘｽﾄ(4～3月)'!$D$24:$D$25,'採算表(VND)'!$B88,'内訳ﾘｽﾄ(4～3月)'!Q$24:Q$25)</f>
        <v>61</v>
      </c>
      <c r="O88" s="150">
        <f>SUMIF('内訳ﾘｽﾄ(4～3月)'!$D$24:$D$25,'採算表(VND)'!$B88,'内訳ﾘｽﾄ(4～3月)'!R$24:R$25)</f>
        <v>61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64</v>
      </c>
      <c r="D89" s="151">
        <f t="shared" si="10"/>
        <v>64</v>
      </c>
      <c r="E89" s="151">
        <f t="shared" si="10"/>
        <v>63</v>
      </c>
      <c r="F89" s="151">
        <f t="shared" si="10"/>
        <v>63</v>
      </c>
      <c r="G89" s="151">
        <f t="shared" si="10"/>
        <v>62</v>
      </c>
      <c r="H89" s="151">
        <f t="shared" si="10"/>
        <v>61</v>
      </c>
      <c r="I89" s="151">
        <f t="shared" si="10"/>
        <v>61</v>
      </c>
      <c r="J89" s="151">
        <f t="shared" si="10"/>
        <v>61</v>
      </c>
      <c r="K89" s="151">
        <f t="shared" si="10"/>
        <v>60</v>
      </c>
      <c r="L89" s="151">
        <f t="shared" si="10"/>
        <v>61</v>
      </c>
      <c r="M89" s="151">
        <f t="shared" si="10"/>
        <v>62</v>
      </c>
      <c r="N89" s="151">
        <f t="shared" si="10"/>
        <v>61</v>
      </c>
      <c r="O89" s="151">
        <f>O87+O88</f>
        <v>61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0</v>
      </c>
      <c r="D92" s="161">
        <f>SUMIF('内訳ﾘｽﾄ(4～3月)'!$B$8:$B$15,$B92,'内訳ﾘｽﾄ(4～3月)'!G$8:G$15)</f>
        <v>0</v>
      </c>
      <c r="E92" s="161">
        <f>SUMIF('内訳ﾘｽﾄ(4～3月)'!$B$8:$B$15,$B92,'内訳ﾘｽﾄ(4～3月)'!H$8:H$15)</f>
        <v>0</v>
      </c>
      <c r="F92" s="161">
        <f>SUMIF('内訳ﾘｽﾄ(4～3月)'!$B$8:$B$15,$B92,'内訳ﾘｽﾄ(4～3月)'!I$8:I$15)</f>
        <v>0</v>
      </c>
      <c r="G92" s="161">
        <f>SUMIF('内訳ﾘｽﾄ(4～3月)'!$B$8:$B$15,$B92,'内訳ﾘｽﾄ(4～3月)'!J$8:J$15)</f>
        <v>0</v>
      </c>
      <c r="H92" s="161">
        <f>SUMIF('内訳ﾘｽﾄ(4～3月)'!$B$8:$B$15,$B92,'内訳ﾘｽﾄ(4～3月)'!K$8:K$15)</f>
        <v>0</v>
      </c>
      <c r="I92" s="161">
        <f>SUMIF('内訳ﾘｽﾄ(4～3月)'!$B$8:$B$15,$B92,'内訳ﾘｽﾄ(4～3月)'!L$8:L$15)</f>
        <v>0</v>
      </c>
      <c r="J92" s="161">
        <f>SUMIF('内訳ﾘｽﾄ(4～3月)'!$B$8:$B$15,$B92,'内訳ﾘｽﾄ(4～3月)'!M$8:M$15)</f>
        <v>0</v>
      </c>
      <c r="K92" s="161">
        <f>SUMIF('内訳ﾘｽﾄ(4～3月)'!$B$8:$B$15,$B92,'内訳ﾘｽﾄ(4～3月)'!N$8:N$15)</f>
        <v>0</v>
      </c>
      <c r="L92" s="161">
        <f>SUMIF('内訳ﾘｽﾄ(4～3月)'!$B$8:$B$15,$B92,'内訳ﾘｽﾄ(4～3月)'!O$8:O$15)</f>
        <v>0</v>
      </c>
      <c r="M92" s="161">
        <f>SUMIF('内訳ﾘｽﾄ(4～3月)'!$B$8:$B$15,$B92,'内訳ﾘｽﾄ(4～3月)'!P$8:P$15)</f>
        <v>0</v>
      </c>
      <c r="N92" s="161">
        <f>SUMIF('内訳ﾘｽﾄ(4～3月)'!$B$8:$B$15,$B92,'内訳ﾘｽﾄ(4～3月)'!Q$8:Q$15)</f>
        <v>0</v>
      </c>
      <c r="O92" s="161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9355</v>
      </c>
      <c r="D93" s="161">
        <f>SUMIF('内訳ﾘｽﾄ(4～3月)'!$B$8:$B$15,$B93,'内訳ﾘｽﾄ(4～3月)'!G$8:G$15)</f>
        <v>8887.25</v>
      </c>
      <c r="E93" s="161">
        <f>SUMIF('内訳ﾘｽﾄ(4～3月)'!$B$8:$B$15,$B93,'内訳ﾘｽﾄ(4～3月)'!H$8:H$15)</f>
        <v>9644.25</v>
      </c>
      <c r="F93" s="161">
        <f>SUMIF('内訳ﾘｽﾄ(4～3月)'!$B$8:$B$15,$B93,'内訳ﾘｽﾄ(4～3月)'!I$8:I$15)</f>
        <v>10562.75</v>
      </c>
      <c r="G93" s="161">
        <f>SUMIF('内訳ﾘｽﾄ(4～3月)'!$B$8:$B$15,$B93,'内訳ﾘｽﾄ(4～3月)'!J$8:J$15)</f>
        <v>9142.5</v>
      </c>
      <c r="H93" s="161">
        <f>SUMIF('内訳ﾘｽﾄ(4～3月)'!$B$8:$B$15,$B93,'内訳ﾘｽﾄ(4～3月)'!K$8:K$15)</f>
        <v>8292.25</v>
      </c>
      <c r="I93" s="161">
        <f>SUMIF('内訳ﾘｽﾄ(4～3月)'!$B$8:$B$15,$B93,'内訳ﾘｽﾄ(4～3月)'!L$8:L$15)</f>
        <v>10171.75</v>
      </c>
      <c r="J93" s="161">
        <f>SUMIF('内訳ﾘｽﾄ(4～3月)'!$B$8:$B$15,$B93,'内訳ﾘｽﾄ(4～3月)'!M$8:M$15)</f>
        <v>8845</v>
      </c>
      <c r="K93" s="161">
        <f>SUMIF('内訳ﾘｽﾄ(4～3月)'!$B$8:$B$15,$B93,'内訳ﾘｽﾄ(4～3月)'!N$8:N$15)</f>
        <v>9542.5</v>
      </c>
      <c r="L93" s="161">
        <f>SUMIF('内訳ﾘｽﾄ(4～3月)'!$B$8:$B$15,$B93,'内訳ﾘｽﾄ(4～3月)'!O$8:O$15)</f>
        <v>8845</v>
      </c>
      <c r="M93" s="161">
        <f>SUMIF('内訳ﾘｽﾄ(4～3月)'!$B$8:$B$15,$B93,'内訳ﾘｽﾄ(4～3月)'!P$8:P$15)</f>
        <v>7050.25</v>
      </c>
      <c r="N93" s="161">
        <f>SUMIF('内訳ﾘｽﾄ(4～3月)'!$B$8:$B$15,$B93,'内訳ﾘｽﾄ(4～3月)'!Q$8:Q$15)</f>
        <v>8853.5</v>
      </c>
      <c r="O93" s="161">
        <f>SUMIF('内訳ﾘｽﾄ(4～3月)'!$B$8:$B$15,$B93,'内訳ﾘｽﾄ(4～3月)'!R$8:R$15)</f>
        <v>109192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9355</v>
      </c>
      <c r="D94" s="169">
        <f t="shared" si="11"/>
        <v>8887.25</v>
      </c>
      <c r="E94" s="169">
        <f t="shared" si="11"/>
        <v>9644.25</v>
      </c>
      <c r="F94" s="169">
        <f t="shared" si="11"/>
        <v>10562.75</v>
      </c>
      <c r="G94" s="169">
        <f t="shared" si="11"/>
        <v>9142.5</v>
      </c>
      <c r="H94" s="169">
        <f t="shared" si="11"/>
        <v>8292.25</v>
      </c>
      <c r="I94" s="169">
        <f t="shared" si="11"/>
        <v>10171.75</v>
      </c>
      <c r="J94" s="169">
        <f t="shared" si="11"/>
        <v>8845</v>
      </c>
      <c r="K94" s="169">
        <f t="shared" si="11"/>
        <v>9542.5</v>
      </c>
      <c r="L94" s="169">
        <f t="shared" si="11"/>
        <v>8845</v>
      </c>
      <c r="M94" s="169">
        <f t="shared" si="11"/>
        <v>7050.25</v>
      </c>
      <c r="N94" s="169">
        <f t="shared" si="11"/>
        <v>8853.5</v>
      </c>
      <c r="O94" s="169">
        <f>O92+O93</f>
        <v>109192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0</v>
      </c>
      <c r="D97" s="161">
        <f>SUMIF('内訳ﾘｽﾄ(4～3月)'!$B$16:$B$23,$B97,'内訳ﾘｽﾄ(4～3月)'!G$16:G$23)</f>
        <v>0</v>
      </c>
      <c r="E97" s="161">
        <f>SUMIF('内訳ﾘｽﾄ(4～3月)'!$B$16:$B$23,$B97,'内訳ﾘｽﾄ(4～3月)'!H$16:H$23)</f>
        <v>0</v>
      </c>
      <c r="F97" s="161">
        <f>SUMIF('内訳ﾘｽﾄ(4～3月)'!$B$16:$B$23,$B97,'内訳ﾘｽﾄ(4～3月)'!I$16:I$23)</f>
        <v>0</v>
      </c>
      <c r="G97" s="161">
        <f>SUMIF('内訳ﾘｽﾄ(4～3月)'!$B$16:$B$23,$B97,'内訳ﾘｽﾄ(4～3月)'!J$16:J$23)</f>
        <v>0</v>
      </c>
      <c r="H97" s="161">
        <f>SUMIF('内訳ﾘｽﾄ(4～3月)'!$B$16:$B$23,$B97,'内訳ﾘｽﾄ(4～3月)'!K$16:K$23)</f>
        <v>0</v>
      </c>
      <c r="I97" s="161">
        <f>SUMIF('内訳ﾘｽﾄ(4～3月)'!$B$16:$B$23,$B97,'内訳ﾘｽﾄ(4～3月)'!L$16:L$23)</f>
        <v>0</v>
      </c>
      <c r="J97" s="161">
        <f>SUMIF('内訳ﾘｽﾄ(4～3月)'!$B$16:$B$23,$B97,'内訳ﾘｽﾄ(4～3月)'!M$16:M$23)</f>
        <v>0</v>
      </c>
      <c r="K97" s="161">
        <f>SUMIF('内訳ﾘｽﾄ(4～3月)'!$B$16:$B$23,$B97,'内訳ﾘｽﾄ(4～3月)'!N$16:N$23)</f>
        <v>0</v>
      </c>
      <c r="L97" s="161">
        <f>SUMIF('内訳ﾘｽﾄ(4～3月)'!$B$16:$B$23,$B97,'内訳ﾘｽﾄ(4～3月)'!O$16:O$23)</f>
        <v>0</v>
      </c>
      <c r="M97" s="161">
        <f>SUMIF('内訳ﾘｽﾄ(4～3月)'!$B$16:$B$23,$B97,'内訳ﾘｽﾄ(4～3月)'!P$16:P$23)</f>
        <v>0</v>
      </c>
      <c r="N97" s="161">
        <f>SUMIF('内訳ﾘｽﾄ(4～3月)'!$B$16:$B$23,$B97,'内訳ﾘｽﾄ(4～3月)'!Q$16:Q$23)</f>
        <v>0</v>
      </c>
      <c r="O97" s="161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250</v>
      </c>
      <c r="D98" s="161">
        <f>SUMIF('内訳ﾘｽﾄ(4～3月)'!$B$16:$B$23,$B98,'内訳ﾘｽﾄ(4～3月)'!G$16:G$23)</f>
        <v>246</v>
      </c>
      <c r="E98" s="161">
        <f>SUMIF('内訳ﾘｽﾄ(4～3月)'!$B$16:$B$23,$B98,'内訳ﾘｽﾄ(4～3月)'!H$16:H$23)</f>
        <v>254</v>
      </c>
      <c r="F98" s="161">
        <f>SUMIF('内訳ﾘｽﾄ(4～3月)'!$B$16:$B$23,$B98,'内訳ﾘｽﾄ(4～3月)'!I$16:I$23)</f>
        <v>262</v>
      </c>
      <c r="G98" s="161">
        <f>SUMIF('内訳ﾘｽﾄ(4～3月)'!$B$16:$B$23,$B98,'内訳ﾘｽﾄ(4～3月)'!J$16:J$23)</f>
        <v>300</v>
      </c>
      <c r="H98" s="161">
        <f>SUMIF('内訳ﾘｽﾄ(4～3月)'!$B$16:$B$23,$B98,'内訳ﾘｽﾄ(4～3月)'!K$16:K$23)</f>
        <v>296</v>
      </c>
      <c r="I98" s="161">
        <f>SUMIF('内訳ﾘｽﾄ(4～3月)'!$B$16:$B$23,$B98,'内訳ﾘｽﾄ(4～3月)'!L$16:L$23)</f>
        <v>312</v>
      </c>
      <c r="J98" s="161">
        <f>SUMIF('内訳ﾘｽﾄ(4～3月)'!$B$16:$B$23,$B98,'内訳ﾘｽﾄ(4～3月)'!M$16:M$23)</f>
        <v>300</v>
      </c>
      <c r="K98" s="161">
        <f>SUMIF('内訳ﾘｽﾄ(4～3月)'!$B$16:$B$23,$B98,'内訳ﾘｽﾄ(4～3月)'!N$16:N$23)</f>
        <v>458</v>
      </c>
      <c r="L98" s="161">
        <f>SUMIF('内訳ﾘｽﾄ(4～3月)'!$B$16:$B$23,$B98,'内訳ﾘｽﾄ(4～3月)'!O$16:O$23)</f>
        <v>550</v>
      </c>
      <c r="M98" s="161">
        <f>SUMIF('内訳ﾘｽﾄ(4～3月)'!$B$16:$B$23,$B98,'内訳ﾘｽﾄ(4～3月)'!P$16:P$23)</f>
        <v>890</v>
      </c>
      <c r="N98" s="161">
        <f>SUMIF('内訳ﾘｽﾄ(4～3月)'!$B$16:$B$23,$B98,'内訳ﾘｽﾄ(4～3月)'!Q$16:Q$23)</f>
        <v>700</v>
      </c>
      <c r="O98" s="161">
        <f>SUMIF('内訳ﾘｽﾄ(4～3月)'!$B$16:$B$23,$B98,'内訳ﾘｽﾄ(4～3月)'!R$16:R$23)</f>
        <v>4818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250</v>
      </c>
      <c r="D99" s="169">
        <f t="shared" si="12"/>
        <v>246</v>
      </c>
      <c r="E99" s="169">
        <f t="shared" si="12"/>
        <v>254</v>
      </c>
      <c r="F99" s="169">
        <f t="shared" si="12"/>
        <v>262</v>
      </c>
      <c r="G99" s="169">
        <f t="shared" si="12"/>
        <v>300</v>
      </c>
      <c r="H99" s="169">
        <f t="shared" si="12"/>
        <v>296</v>
      </c>
      <c r="I99" s="169">
        <f t="shared" si="12"/>
        <v>312</v>
      </c>
      <c r="J99" s="169">
        <f t="shared" si="12"/>
        <v>300</v>
      </c>
      <c r="K99" s="169">
        <f t="shared" si="12"/>
        <v>458</v>
      </c>
      <c r="L99" s="169">
        <f t="shared" si="12"/>
        <v>550</v>
      </c>
      <c r="M99" s="169">
        <f t="shared" si="12"/>
        <v>890</v>
      </c>
      <c r="N99" s="169">
        <f t="shared" si="12"/>
        <v>700</v>
      </c>
      <c r="O99" s="169">
        <f>O97+O98</f>
        <v>4818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7EE197AC-0098-4CCF-B083-144C98075625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6FD42-35C2-4114-8DF5-915A0E6550D8}">
  <sheetPr codeName="Sheet3">
    <tabColor indexed="13"/>
  </sheetPr>
  <dimension ref="A1:BC1000"/>
  <sheetViews>
    <sheetView zoomScaleNormal="100" workbookViewId="0">
      <pane xSplit="4" ySplit="7" topLeftCell="E63" activePane="bottomRight" state="frozen"/>
      <selection pane="topRight" activeCell="E1" sqref="E1"/>
      <selection pane="bottomLeft" activeCell="A8" sqref="A8"/>
      <selection pane="bottomRight" activeCell="F5" sqref="F5:Q5"/>
    </sheetView>
  </sheetViews>
  <sheetFormatPr defaultColWidth="9" defaultRowHeight="10.8"/>
  <cols>
    <col min="1" max="1" width="2" style="1" customWidth="1"/>
    <col min="2" max="2" width="12.33203125" style="181" customWidth="1"/>
    <col min="3" max="3" width="31" style="4" bestFit="1" customWidth="1"/>
    <col min="4" max="4" width="19.109375" style="4" customWidth="1"/>
    <col min="5" max="5" width="7.6640625" style="3" customWidth="1"/>
    <col min="6" max="6" width="13" style="124" customWidth="1"/>
    <col min="7" max="7" width="12.6640625" style="125" customWidth="1"/>
    <col min="8" max="17" width="11.6640625" style="125" customWidth="1"/>
    <col min="18" max="18" width="14.6640625" style="126" customWidth="1"/>
    <col min="19" max="19" width="53.77734375" style="4" customWidth="1"/>
    <col min="20" max="20" width="18.88671875" style="72" customWidth="1"/>
    <col min="21" max="23" width="9" style="4" customWidth="1"/>
    <col min="24" max="16384" width="9" style="4"/>
  </cols>
  <sheetData>
    <row r="1" spans="1:55" ht="24.6">
      <c r="A1" s="253" t="s">
        <v>673</v>
      </c>
      <c r="B1" s="254"/>
      <c r="C1" s="255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6.2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6" thickBot="1">
      <c r="A3" s="111"/>
      <c r="B3" s="172"/>
      <c r="D3" s="113"/>
      <c r="E3" s="257" t="s">
        <v>579</v>
      </c>
      <c r="F3" s="274" t="str">
        <f t="array" ref="F3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>OK</v>
      </c>
      <c r="G3" s="274" t="str">
        <f t="array" ref="G3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>OK</v>
      </c>
      <c r="H3" s="274" t="str">
        <f t="array" ref="H3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>OK</v>
      </c>
      <c r="I3" s="274" t="str">
        <f t="array" ref="I3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>OK</v>
      </c>
      <c r="J3" s="274" t="str">
        <f t="array" ref="J3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>OK</v>
      </c>
      <c r="K3" s="274" t="str">
        <f t="array" ref="K3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>OK</v>
      </c>
      <c r="L3" s="274" t="str">
        <f t="array" ref="L3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>OK</v>
      </c>
      <c r="M3" s="274" t="str">
        <f t="array" ref="M3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>OK</v>
      </c>
      <c r="N3" s="274" t="str">
        <f t="array" ref="N3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>OK</v>
      </c>
      <c r="O3" s="274" t="str">
        <f t="array" ref="O3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>OK</v>
      </c>
      <c r="P3" s="274" t="str">
        <f t="array" ref="P3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>OK</v>
      </c>
      <c r="Q3" s="274" t="str">
        <f t="array" ref="Q3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6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590</v>
      </c>
      <c r="T4" s="102"/>
    </row>
    <row r="5" spans="1:55" ht="13.8" thickBot="1">
      <c r="B5" s="174">
        <v>1412000072</v>
      </c>
      <c r="C5" s="7" t="str">
        <f>VLOOKUP($B$5,原価センタ!$A:$E,2,0)</f>
        <v>製品管理課</v>
      </c>
      <c r="D5" s="62" t="str">
        <f>VLOOKUP($B$5,原価センタ!$A:$E,4,0)</f>
        <v>部内間接</v>
      </c>
      <c r="E5" s="62" t="str">
        <f>VLOOKUP($B$5,原価センタ!$A:$E,5,0)</f>
        <v>販売</v>
      </c>
      <c r="F5" s="300">
        <f t="shared" ref="F5:R5" si="0">SUM(F29:F1000)</f>
        <v>4609324067</v>
      </c>
      <c r="G5" s="300">
        <f t="shared" si="0"/>
        <v>4648951000</v>
      </c>
      <c r="H5" s="300">
        <f t="shared" si="0"/>
        <v>4589306028</v>
      </c>
      <c r="I5" s="300">
        <f t="shared" si="0"/>
        <v>4925448510</v>
      </c>
      <c r="J5" s="300">
        <f t="shared" si="0"/>
        <v>4763012233</v>
      </c>
      <c r="K5" s="300">
        <f t="shared" si="0"/>
        <v>4730031878</v>
      </c>
      <c r="L5" s="300">
        <f t="shared" si="0"/>
        <v>4957438463</v>
      </c>
      <c r="M5" s="300">
        <f t="shared" si="0"/>
        <v>4795947362</v>
      </c>
      <c r="N5" s="300">
        <f t="shared" si="0"/>
        <v>4903505512</v>
      </c>
      <c r="O5" s="300">
        <f t="shared" si="0"/>
        <v>4932483578</v>
      </c>
      <c r="P5" s="300">
        <f t="shared" si="0"/>
        <v>4656383491</v>
      </c>
      <c r="Q5" s="300">
        <f t="shared" si="0"/>
        <v>4800150690</v>
      </c>
      <c r="R5" s="252">
        <f t="shared" si="0"/>
        <v>57311982812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22.2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.2">
      <c r="A8" s="182"/>
      <c r="B8" s="258" t="s">
        <v>324</v>
      </c>
      <c r="C8" s="183" t="s">
        <v>334</v>
      </c>
      <c r="D8" s="184" t="s">
        <v>81</v>
      </c>
      <c r="E8" s="185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7">
        <f>SUM(F8:Q8)</f>
        <v>0</v>
      </c>
      <c r="S8" s="188"/>
      <c r="T8" s="189"/>
      <c r="U8" s="190"/>
      <c r="V8" s="190"/>
      <c r="W8" s="190"/>
      <c r="BA8"/>
      <c r="BB8"/>
    </row>
    <row r="9" spans="1:55" s="191" customFormat="1" ht="13.2">
      <c r="A9" s="182"/>
      <c r="B9" s="259" t="s">
        <v>325</v>
      </c>
      <c r="C9" s="183" t="s">
        <v>335</v>
      </c>
      <c r="D9" s="192" t="s">
        <v>81</v>
      </c>
      <c r="E9" s="193"/>
      <c r="F9" s="194">
        <v>9355</v>
      </c>
      <c r="G9" s="194">
        <v>8887.25</v>
      </c>
      <c r="H9" s="194">
        <v>9644.25</v>
      </c>
      <c r="I9" s="194">
        <v>10562.75</v>
      </c>
      <c r="J9" s="194">
        <v>9142.5</v>
      </c>
      <c r="K9" s="194">
        <v>8292.25</v>
      </c>
      <c r="L9" s="194">
        <v>10171.75</v>
      </c>
      <c r="M9" s="194">
        <v>8845</v>
      </c>
      <c r="N9" s="194">
        <v>9542.5</v>
      </c>
      <c r="O9" s="194">
        <v>8845</v>
      </c>
      <c r="P9" s="194">
        <v>7050.25</v>
      </c>
      <c r="Q9" s="194">
        <v>8853.5</v>
      </c>
      <c r="R9" s="195">
        <f t="shared" ref="R9:R23" si="1">SUM(F9:Q9)</f>
        <v>109192</v>
      </c>
      <c r="S9" s="196"/>
      <c r="T9" s="197"/>
      <c r="U9" s="190"/>
      <c r="V9" s="190"/>
      <c r="W9" s="190"/>
      <c r="BA9"/>
      <c r="BB9"/>
    </row>
    <row r="10" spans="1:55" s="191" customFormat="1" ht="13.2">
      <c r="A10" s="182"/>
      <c r="B10" s="260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1"/>
        <v>0</v>
      </c>
      <c r="S10" s="201"/>
      <c r="T10" s="202"/>
      <c r="U10" s="190"/>
      <c r="V10" s="190"/>
      <c r="W10" s="190"/>
      <c r="BA10"/>
      <c r="BB10"/>
    </row>
    <row r="11" spans="1:55" s="208" customFormat="1" ht="13.2">
      <c r="A11" s="203"/>
      <c r="B11" s="261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205">
        <f t="shared" si="1"/>
        <v>0</v>
      </c>
      <c r="S11" s="206"/>
      <c r="T11" s="207"/>
      <c r="U11" s="190"/>
      <c r="V11" s="190"/>
      <c r="W11" s="190"/>
      <c r="BA11"/>
      <c r="BB11"/>
    </row>
    <row r="12" spans="1:55" s="208" customFormat="1" ht="13.2">
      <c r="A12" s="203"/>
      <c r="B12" s="260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 t="shared" si="1"/>
        <v>0</v>
      </c>
      <c r="S12" s="214" t="s">
        <v>692</v>
      </c>
      <c r="T12" s="207"/>
      <c r="U12" s="190"/>
      <c r="V12" s="190"/>
      <c r="W12" s="190"/>
      <c r="BA12"/>
      <c r="BB12"/>
    </row>
    <row r="13" spans="1:55" s="208" customFormat="1" ht="13.2">
      <c r="A13" s="203"/>
      <c r="B13" s="260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 t="shared" si="1"/>
        <v>0</v>
      </c>
      <c r="S13" s="214" t="s">
        <v>692</v>
      </c>
      <c r="T13" s="207"/>
      <c r="U13" s="190"/>
      <c r="V13" s="190"/>
      <c r="W13" s="190"/>
      <c r="BA13"/>
      <c r="BB13"/>
    </row>
    <row r="14" spans="1:55" s="208" customFormat="1" ht="13.2">
      <c r="A14" s="203"/>
      <c r="B14" s="261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si="1"/>
        <v>0</v>
      </c>
      <c r="S14" s="214" t="s">
        <v>692</v>
      </c>
      <c r="T14" s="207"/>
      <c r="U14" s="190"/>
      <c r="V14" s="190"/>
      <c r="W14" s="190"/>
      <c r="BA14"/>
      <c r="BB14"/>
    </row>
    <row r="15" spans="1:55" s="208" customFormat="1" ht="13.2">
      <c r="A15" s="203"/>
      <c r="B15" s="261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1"/>
        <v>0</v>
      </c>
      <c r="S15" s="214" t="s">
        <v>692</v>
      </c>
      <c r="T15" s="207"/>
      <c r="U15" s="190"/>
      <c r="V15" s="190"/>
      <c r="W15" s="190"/>
      <c r="BA15"/>
      <c r="BB15"/>
    </row>
    <row r="16" spans="1:55" s="208" customFormat="1" ht="12.6" customHeight="1">
      <c r="A16" s="203"/>
      <c r="B16" s="262" t="s">
        <v>326</v>
      </c>
      <c r="C16" s="183" t="s">
        <v>338</v>
      </c>
      <c r="D16" s="215" t="s">
        <v>86</v>
      </c>
      <c r="E16" s="20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205">
        <f t="shared" si="1"/>
        <v>0</v>
      </c>
      <c r="S16" s="206"/>
      <c r="T16" s="207"/>
      <c r="U16" s="190"/>
      <c r="V16" s="190"/>
      <c r="W16" s="190"/>
      <c r="BA16"/>
      <c r="BB16"/>
    </row>
    <row r="17" spans="1:54" s="191" customFormat="1" ht="13.2">
      <c r="A17" s="182"/>
      <c r="B17" s="262" t="s">
        <v>327</v>
      </c>
      <c r="C17" s="183" t="s">
        <v>339</v>
      </c>
      <c r="D17" s="215" t="s">
        <v>86</v>
      </c>
      <c r="E17" s="204"/>
      <c r="F17" s="194">
        <v>250</v>
      </c>
      <c r="G17" s="194">
        <v>246</v>
      </c>
      <c r="H17" s="194">
        <v>254</v>
      </c>
      <c r="I17" s="194">
        <v>262</v>
      </c>
      <c r="J17" s="194">
        <v>300</v>
      </c>
      <c r="K17" s="194">
        <v>296</v>
      </c>
      <c r="L17" s="194">
        <v>312</v>
      </c>
      <c r="M17" s="194">
        <v>300</v>
      </c>
      <c r="N17" s="194">
        <v>458</v>
      </c>
      <c r="O17" s="194">
        <v>550</v>
      </c>
      <c r="P17" s="194">
        <v>890</v>
      </c>
      <c r="Q17" s="194">
        <v>700</v>
      </c>
      <c r="R17" s="205">
        <f t="shared" si="1"/>
        <v>4818</v>
      </c>
      <c r="S17" s="206"/>
      <c r="T17" s="207"/>
      <c r="U17" s="190"/>
      <c r="V17" s="190"/>
      <c r="W17" s="190"/>
      <c r="BA17"/>
      <c r="BB17"/>
    </row>
    <row r="18" spans="1:54" s="191" customFormat="1" ht="13.2">
      <c r="A18" s="182"/>
      <c r="B18" s="260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1"/>
        <v>0</v>
      </c>
      <c r="S18" s="201"/>
      <c r="T18" s="202"/>
      <c r="U18" s="190"/>
      <c r="V18" s="190"/>
      <c r="W18" s="190"/>
      <c r="BA18"/>
      <c r="BB18"/>
    </row>
    <row r="19" spans="1:54" s="208" customFormat="1" ht="13.2">
      <c r="A19" s="203"/>
      <c r="B19" s="261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>
        <f t="shared" si="1"/>
        <v>0</v>
      </c>
      <c r="S19" s="206"/>
      <c r="T19" s="207"/>
      <c r="U19" s="190"/>
      <c r="V19" s="190"/>
      <c r="W19" s="190"/>
      <c r="BA19"/>
      <c r="BB19"/>
    </row>
    <row r="20" spans="1:54" s="208" customFormat="1" ht="13.2">
      <c r="A20" s="203"/>
      <c r="B20" s="261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1"/>
        <v>0</v>
      </c>
      <c r="S20" s="214" t="s">
        <v>692</v>
      </c>
      <c r="T20" s="207"/>
      <c r="U20" s="190"/>
      <c r="V20" s="190"/>
      <c r="W20" s="190"/>
      <c r="BA20"/>
      <c r="BB20"/>
    </row>
    <row r="21" spans="1:54" s="208" customFormat="1" ht="13.2">
      <c r="A21" s="203"/>
      <c r="B21" s="261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1"/>
        <v>0</v>
      </c>
      <c r="S21" s="214" t="s">
        <v>692</v>
      </c>
      <c r="T21" s="207"/>
      <c r="U21" s="190"/>
      <c r="V21" s="190"/>
      <c r="W21" s="190"/>
      <c r="BA21"/>
      <c r="BB21"/>
    </row>
    <row r="22" spans="1:54" s="208" customFormat="1" ht="13.2">
      <c r="A22" s="203"/>
      <c r="B22" s="261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1"/>
        <v>0</v>
      </c>
      <c r="S22" s="214" t="s">
        <v>692</v>
      </c>
      <c r="T22" s="207"/>
      <c r="U22" s="190"/>
      <c r="V22" s="190"/>
      <c r="W22" s="190"/>
      <c r="BA22"/>
      <c r="BB22"/>
    </row>
    <row r="23" spans="1:54" s="208" customFormat="1" ht="13.2">
      <c r="A23" s="203"/>
      <c r="B23" s="261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1"/>
        <v>0</v>
      </c>
      <c r="S23" s="214" t="s">
        <v>692</v>
      </c>
      <c r="T23" s="207"/>
      <c r="U23" s="190"/>
      <c r="V23" s="190"/>
      <c r="W23" s="190"/>
      <c r="BA23"/>
      <c r="BB23"/>
    </row>
    <row r="24" spans="1:54" s="208" customFormat="1" ht="13.2">
      <c r="A24" s="203"/>
      <c r="B24" s="263" t="s">
        <v>343</v>
      </c>
      <c r="C24" s="264" t="s">
        <v>343</v>
      </c>
      <c r="D24" s="265" t="s">
        <v>343</v>
      </c>
      <c r="E24" s="245"/>
      <c r="F24" s="266"/>
      <c r="G24" s="266"/>
      <c r="H24" s="266"/>
      <c r="I24" s="266"/>
      <c r="J24" s="266"/>
      <c r="K24" s="266"/>
      <c r="L24" s="266"/>
      <c r="M24" s="266"/>
      <c r="N24" s="266"/>
      <c r="O24" s="266"/>
      <c r="P24" s="266"/>
      <c r="Q24" s="266"/>
      <c r="R24" s="200">
        <f>Q24</f>
        <v>0</v>
      </c>
      <c r="S24" s="201"/>
      <c r="T24" s="202"/>
      <c r="U24" s="267"/>
      <c r="V24" s="190"/>
      <c r="W24" s="190"/>
      <c r="BA24"/>
      <c r="BB24"/>
    </row>
    <row r="25" spans="1:54" s="191" customFormat="1" ht="15" thickBot="1">
      <c r="A25" s="182"/>
      <c r="B25" s="262" t="s">
        <v>344</v>
      </c>
      <c r="C25" s="268" t="s">
        <v>344</v>
      </c>
      <c r="D25" s="215" t="s">
        <v>344</v>
      </c>
      <c r="E25" s="269"/>
      <c r="F25" s="270">
        <v>64</v>
      </c>
      <c r="G25" s="270">
        <v>64</v>
      </c>
      <c r="H25" s="270">
        <v>63</v>
      </c>
      <c r="I25" s="270">
        <v>63</v>
      </c>
      <c r="J25" s="270">
        <v>62</v>
      </c>
      <c r="K25" s="270">
        <v>61</v>
      </c>
      <c r="L25" s="270">
        <v>61</v>
      </c>
      <c r="M25" s="270">
        <v>61</v>
      </c>
      <c r="N25" s="270">
        <v>60</v>
      </c>
      <c r="O25" s="270">
        <v>61</v>
      </c>
      <c r="P25" s="270">
        <v>62</v>
      </c>
      <c r="Q25" s="270">
        <v>61</v>
      </c>
      <c r="R25" s="271">
        <f>Q25</f>
        <v>61</v>
      </c>
      <c r="S25" s="272"/>
      <c r="T25" s="238"/>
      <c r="U25" s="267"/>
      <c r="V25" s="273">
        <v>4</v>
      </c>
      <c r="W25" s="273">
        <v>5</v>
      </c>
      <c r="X25" s="273">
        <v>6</v>
      </c>
      <c r="Y25" s="273">
        <v>7</v>
      </c>
      <c r="Z25" s="273">
        <v>8</v>
      </c>
      <c r="AA25" s="273">
        <v>9</v>
      </c>
      <c r="AB25" s="273">
        <v>10</v>
      </c>
      <c r="AC25" s="273">
        <v>11</v>
      </c>
      <c r="AD25" s="273">
        <v>12</v>
      </c>
      <c r="AE25" s="273">
        <v>1</v>
      </c>
      <c r="AF25" s="273">
        <v>2</v>
      </c>
      <c r="AG25" s="273">
        <v>3</v>
      </c>
      <c r="BA25"/>
      <c r="BB25"/>
    </row>
    <row r="26" spans="1:54" s="191" customFormat="1" ht="13.2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 t="shared" ref="F26:Q28" si="2">ROUNDDOWN(V26*$B$2,0)</f>
        <v>0</v>
      </c>
      <c r="G26" s="220">
        <f t="shared" si="2"/>
        <v>0</v>
      </c>
      <c r="H26" s="220">
        <f t="shared" si="2"/>
        <v>0</v>
      </c>
      <c r="I26" s="220">
        <f t="shared" si="2"/>
        <v>0</v>
      </c>
      <c r="J26" s="220">
        <f t="shared" si="2"/>
        <v>0</v>
      </c>
      <c r="K26" s="220">
        <f t="shared" si="2"/>
        <v>0</v>
      </c>
      <c r="L26" s="220">
        <f t="shared" si="2"/>
        <v>0</v>
      </c>
      <c r="M26" s="220">
        <f t="shared" si="2"/>
        <v>0</v>
      </c>
      <c r="N26" s="220">
        <f t="shared" si="2"/>
        <v>0</v>
      </c>
      <c r="O26" s="220">
        <f t="shared" si="2"/>
        <v>0</v>
      </c>
      <c r="P26" s="220">
        <f t="shared" si="2"/>
        <v>0</v>
      </c>
      <c r="Q26" s="220">
        <f t="shared" si="2"/>
        <v>0</v>
      </c>
      <c r="R26" s="221">
        <f t="shared" ref="R26:R118" si="3">SUM(F26:Q26)</f>
        <v>0</v>
      </c>
      <c r="S26" s="222" t="s">
        <v>75</v>
      </c>
      <c r="T26" s="223"/>
      <c r="U26" s="190"/>
      <c r="V26" s="224"/>
      <c r="W26" s="224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BA26"/>
      <c r="BB26"/>
    </row>
    <row r="27" spans="1:54" s="191" customFormat="1" ht="13.2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si="2"/>
        <v>0</v>
      </c>
      <c r="G27" s="230">
        <f t="shared" si="2"/>
        <v>0</v>
      </c>
      <c r="H27" s="230">
        <f t="shared" si="2"/>
        <v>0</v>
      </c>
      <c r="I27" s="230">
        <f t="shared" si="2"/>
        <v>0</v>
      </c>
      <c r="J27" s="230">
        <f t="shared" si="2"/>
        <v>0</v>
      </c>
      <c r="K27" s="230">
        <f t="shared" si="2"/>
        <v>0</v>
      </c>
      <c r="L27" s="230">
        <f t="shared" si="2"/>
        <v>0</v>
      </c>
      <c r="M27" s="230">
        <f t="shared" si="2"/>
        <v>0</v>
      </c>
      <c r="N27" s="230">
        <f t="shared" si="2"/>
        <v>0</v>
      </c>
      <c r="O27" s="230">
        <f t="shared" si="2"/>
        <v>0</v>
      </c>
      <c r="P27" s="230">
        <f t="shared" si="2"/>
        <v>0</v>
      </c>
      <c r="Q27" s="230">
        <f t="shared" si="2"/>
        <v>0</v>
      </c>
      <c r="R27" s="221">
        <f t="shared" si="3"/>
        <v>0</v>
      </c>
      <c r="S27" s="231" t="s">
        <v>75</v>
      </c>
      <c r="T27" s="202"/>
      <c r="U27" s="190"/>
      <c r="V27" s="224"/>
      <c r="W27" s="224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BA27"/>
      <c r="BB27"/>
    </row>
    <row r="28" spans="1:54" s="191" customFormat="1" ht="13.2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2"/>
        <v>0</v>
      </c>
      <c r="G28" s="230">
        <f t="shared" si="2"/>
        <v>0</v>
      </c>
      <c r="H28" s="230">
        <f t="shared" si="2"/>
        <v>0</v>
      </c>
      <c r="I28" s="230">
        <f t="shared" si="2"/>
        <v>0</v>
      </c>
      <c r="J28" s="230">
        <f t="shared" si="2"/>
        <v>0</v>
      </c>
      <c r="K28" s="230">
        <f t="shared" si="2"/>
        <v>0</v>
      </c>
      <c r="L28" s="230">
        <f t="shared" si="2"/>
        <v>0</v>
      </c>
      <c r="M28" s="230">
        <f t="shared" si="2"/>
        <v>0</v>
      </c>
      <c r="N28" s="230">
        <f t="shared" si="2"/>
        <v>0</v>
      </c>
      <c r="O28" s="230">
        <f t="shared" si="2"/>
        <v>0</v>
      </c>
      <c r="P28" s="230">
        <f t="shared" si="2"/>
        <v>0</v>
      </c>
      <c r="Q28" s="230">
        <f t="shared" si="2"/>
        <v>0</v>
      </c>
      <c r="R28" s="221">
        <f t="shared" si="3"/>
        <v>0</v>
      </c>
      <c r="S28" s="231" t="s">
        <v>75</v>
      </c>
      <c r="T28" s="202"/>
      <c r="U28" s="190"/>
      <c r="V28" s="224"/>
      <c r="W28" s="224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BA28"/>
      <c r="BB28"/>
    </row>
    <row r="29" spans="1:54" s="191" customFormat="1" ht="13.8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4">ROUNDUP(V29*$B$2,0)</f>
        <v>0</v>
      </c>
      <c r="G29" s="235">
        <f t="shared" si="4"/>
        <v>0</v>
      </c>
      <c r="H29" s="235">
        <f t="shared" si="4"/>
        <v>0</v>
      </c>
      <c r="I29" s="235">
        <f t="shared" si="4"/>
        <v>0</v>
      </c>
      <c r="J29" s="235">
        <f t="shared" si="4"/>
        <v>0</v>
      </c>
      <c r="K29" s="235">
        <f t="shared" si="4"/>
        <v>0</v>
      </c>
      <c r="L29" s="235">
        <f t="shared" si="4"/>
        <v>0</v>
      </c>
      <c r="M29" s="235">
        <f t="shared" si="4"/>
        <v>0</v>
      </c>
      <c r="N29" s="235">
        <f t="shared" si="4"/>
        <v>0</v>
      </c>
      <c r="O29" s="235">
        <f t="shared" si="4"/>
        <v>0</v>
      </c>
      <c r="P29" s="235">
        <f t="shared" si="4"/>
        <v>0</v>
      </c>
      <c r="Q29" s="235">
        <f t="shared" si="4"/>
        <v>0</v>
      </c>
      <c r="R29" s="236">
        <f t="shared" si="3"/>
        <v>0</v>
      </c>
      <c r="S29" s="237" t="s">
        <v>75</v>
      </c>
      <c r="T29" s="238"/>
      <c r="U29" s="190"/>
      <c r="V29" s="224"/>
      <c r="W29" s="224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BA29"/>
      <c r="BB29"/>
    </row>
    <row r="30" spans="1:54" s="208" customFormat="1" ht="13.2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3"/>
        <v>0</v>
      </c>
      <c r="S30" s="201"/>
      <c r="T30" s="202"/>
      <c r="U30" s="190"/>
      <c r="V30" s="190"/>
      <c r="W30" s="190"/>
      <c r="BA30"/>
      <c r="BB30"/>
    </row>
    <row r="31" spans="1:54" s="208" customFormat="1" ht="13.2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 t="shared" si="3"/>
        <v>0</v>
      </c>
      <c r="S31" s="201" t="s">
        <v>692</v>
      </c>
      <c r="T31" s="202"/>
      <c r="U31" s="190"/>
      <c r="V31" s="190"/>
      <c r="W31" s="190"/>
      <c r="BA31"/>
      <c r="BB31"/>
    </row>
    <row r="32" spans="1:54" s="208" customFormat="1" ht="13.2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si="3"/>
        <v>0</v>
      </c>
      <c r="S32" s="201" t="s">
        <v>692</v>
      </c>
      <c r="T32" s="202"/>
      <c r="U32" s="190"/>
      <c r="V32" s="190"/>
      <c r="W32" s="190"/>
      <c r="BA32"/>
      <c r="BB32"/>
    </row>
    <row r="33" spans="1:54" s="208" customFormat="1" ht="13.2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3"/>
        <v>0</v>
      </c>
      <c r="S33" s="201" t="s">
        <v>692</v>
      </c>
      <c r="T33" s="202"/>
      <c r="U33" s="190"/>
      <c r="V33" s="190"/>
      <c r="W33" s="190"/>
      <c r="BA33"/>
      <c r="BB33"/>
    </row>
    <row r="34" spans="1:54" s="208" customFormat="1" ht="13.2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3"/>
        <v>0</v>
      </c>
      <c r="S34" s="201" t="s">
        <v>692</v>
      </c>
      <c r="T34" s="202"/>
      <c r="U34" s="190"/>
      <c r="V34" s="190"/>
      <c r="W34" s="190"/>
      <c r="BA34"/>
      <c r="BB34"/>
    </row>
    <row r="35" spans="1:54" s="208" customFormat="1" ht="13.2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3"/>
        <v>0</v>
      </c>
      <c r="S35" s="201"/>
      <c r="T35" s="202"/>
      <c r="U35" s="190"/>
      <c r="V35" s="190"/>
      <c r="W35" s="190"/>
      <c r="BA35"/>
      <c r="BB35"/>
    </row>
    <row r="36" spans="1:54" s="191" customFormat="1" ht="13.2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00">
        <f t="shared" si="3"/>
        <v>0</v>
      </c>
      <c r="S36" s="201"/>
      <c r="T36" s="202"/>
      <c r="U36" s="246"/>
      <c r="V36" s="246"/>
      <c r="W36" s="246"/>
      <c r="BA36"/>
      <c r="BB36"/>
    </row>
    <row r="37" spans="1:54" s="191" customFormat="1" ht="13.2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3"/>
        <v>0</v>
      </c>
      <c r="S37" s="201"/>
      <c r="T37" s="202"/>
      <c r="U37" s="246"/>
      <c r="V37" s="246"/>
      <c r="W37" s="246"/>
      <c r="BA37"/>
      <c r="BB37"/>
    </row>
    <row r="38" spans="1:54" s="191" customFormat="1" ht="13.2">
      <c r="A38" s="226"/>
      <c r="B38" s="180"/>
      <c r="C38" s="183" t="str">
        <f>IFERROR(IF(VLOOKUP($B38,勘定科目!$A:$H,HLOOKUP($E$5,勘定科目!$F$1:$H$2,2,0),0)="","",VLOOKUP($B38,勘定科目!$A:$E,2,0)),"")</f>
        <v/>
      </c>
      <c r="D38" s="239" t="str">
        <f>IF(C38="","",VLOOKUP($B38,勘定科目!$A:$E,4,0))</f>
        <v/>
      </c>
      <c r="E38" s="245"/>
      <c r="F38" s="194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00">
        <f t="shared" si="3"/>
        <v>0</v>
      </c>
      <c r="S38" s="201"/>
      <c r="T38" s="202"/>
      <c r="U38" s="246"/>
      <c r="V38" s="246"/>
      <c r="W38" s="246"/>
      <c r="BA38"/>
      <c r="BB38"/>
    </row>
    <row r="39" spans="1:54" s="191" customFormat="1" ht="13.2">
      <c r="A39" s="226"/>
      <c r="B39" s="180">
        <v>6005136551</v>
      </c>
      <c r="C39" s="183" t="str">
        <f>IFERROR(IF(VLOOKUP($B39,勘定科目!$A:$H,HLOOKUP($E$5,勘定科目!$F$1:$H$2,2,0),0)="","",VLOOKUP($B39,勘定科目!$A:$E,2,0)),"")</f>
        <v>郵送代（販売）</v>
      </c>
      <c r="D39" s="239" t="str">
        <f>IF(C39="","",VLOOKUP($B39,勘定科目!$A:$E,4,0))</f>
        <v>通信費</v>
      </c>
      <c r="E39" s="245"/>
      <c r="F39" s="194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00">
        <f t="shared" si="3"/>
        <v>0</v>
      </c>
      <c r="S39" s="201" t="s">
        <v>693</v>
      </c>
      <c r="T39" s="202"/>
      <c r="U39" s="246"/>
      <c r="V39" s="246"/>
      <c r="W39" s="246"/>
      <c r="BA39"/>
      <c r="BB39"/>
    </row>
    <row r="40" spans="1:54" s="191" customFormat="1" ht="13.2">
      <c r="A40" s="226"/>
      <c r="B40" s="180">
        <v>6005016413</v>
      </c>
      <c r="C40" s="183" t="str">
        <f>IFERROR(IF(VLOOKUP($B40,勘定科目!$A:$H,HLOOKUP($E$5,勘定科目!$F$1:$H$2,2,0),0)="","",VLOOKUP($B40,勘定科目!$A:$E,2,0)),"")</f>
        <v>消耗品費（販売）</v>
      </c>
      <c r="D40" s="239" t="str">
        <f>IF(C40="","",VLOOKUP($B40,勘定科目!$A:$E,4,0))</f>
        <v>消耗品費</v>
      </c>
      <c r="E40" s="245"/>
      <c r="F40" s="194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  <c r="R40" s="200">
        <f t="shared" si="3"/>
        <v>0</v>
      </c>
      <c r="S40" s="201" t="s">
        <v>694</v>
      </c>
      <c r="T40" s="202"/>
      <c r="U40" s="246"/>
      <c r="V40" s="246"/>
      <c r="W40" s="246"/>
      <c r="BA40"/>
      <c r="BB40"/>
    </row>
    <row r="41" spans="1:54" s="191" customFormat="1" ht="13.2">
      <c r="A41" s="226"/>
      <c r="B41" s="180">
        <v>6005016414</v>
      </c>
      <c r="C41" s="183" t="str">
        <f>IFERROR(IF(VLOOKUP($B41,勘定科目!$A:$H,HLOOKUP($E$5,勘定科目!$F$1:$H$2,2,0),0)="","",VLOOKUP($B41,勘定科目!$A:$E,2,0)),"")</f>
        <v>消耗備品費（販売）</v>
      </c>
      <c r="D41" s="239" t="str">
        <f>IF(C41="","",VLOOKUP($B41,勘定科目!$A:$E,4,0))</f>
        <v>消耗工具器具備品費</v>
      </c>
      <c r="E41" s="245"/>
      <c r="F41" s="194">
        <v>57390000</v>
      </c>
      <c r="G41" s="247">
        <v>25650000</v>
      </c>
      <c r="H41" s="247">
        <v>21050000</v>
      </c>
      <c r="I41" s="247">
        <v>0</v>
      </c>
      <c r="J41" s="247">
        <v>270000</v>
      </c>
      <c r="K41" s="247">
        <v>0</v>
      </c>
      <c r="L41" s="247">
        <v>550000</v>
      </c>
      <c r="M41" s="247">
        <v>0</v>
      </c>
      <c r="N41" s="247">
        <v>50000</v>
      </c>
      <c r="O41" s="247">
        <v>0</v>
      </c>
      <c r="P41" s="247">
        <v>270000</v>
      </c>
      <c r="Q41" s="247">
        <v>0</v>
      </c>
      <c r="R41" s="200">
        <f t="shared" si="3"/>
        <v>105230000</v>
      </c>
      <c r="S41" s="201" t="s">
        <v>695</v>
      </c>
      <c r="T41" s="202"/>
      <c r="U41" s="246"/>
      <c r="V41" s="246"/>
      <c r="W41" s="246"/>
      <c r="BA41"/>
      <c r="BB41"/>
    </row>
    <row r="42" spans="1:54" s="191" customFormat="1" ht="13.2">
      <c r="A42" s="226"/>
      <c r="B42" s="180">
        <v>6005016414</v>
      </c>
      <c r="C42" s="183" t="str">
        <f>IFERROR(IF(VLOOKUP($B42,勘定科目!$A:$H,HLOOKUP($E$5,勘定科目!$F$1:$H$2,2,0),0)="","",VLOOKUP($B42,勘定科目!$A:$E,2,0)),"")</f>
        <v>消耗備品費（販売）</v>
      </c>
      <c r="D42" s="239" t="str">
        <f>IF(C42="","",VLOOKUP($B42,勘定科目!$A:$E,4,0))</f>
        <v>消耗工具器具備品費</v>
      </c>
      <c r="E42" s="245"/>
      <c r="F42" s="194"/>
      <c r="G42" s="247"/>
      <c r="H42" s="247"/>
      <c r="I42" s="247"/>
      <c r="J42" s="247"/>
      <c r="K42" s="247"/>
      <c r="L42" s="247"/>
      <c r="M42" s="247"/>
      <c r="N42" s="247"/>
      <c r="O42" s="247"/>
      <c r="P42" s="247"/>
      <c r="Q42" s="247"/>
      <c r="R42" s="200">
        <f t="shared" si="3"/>
        <v>0</v>
      </c>
      <c r="S42" s="201" t="s">
        <v>696</v>
      </c>
      <c r="T42" s="202"/>
      <c r="U42" s="246"/>
      <c r="V42" s="246"/>
      <c r="W42" s="246"/>
      <c r="BA42"/>
      <c r="BB42"/>
    </row>
    <row r="43" spans="1:54" s="191" customFormat="1" ht="13.2">
      <c r="A43" s="226"/>
      <c r="B43" s="180">
        <v>6005046541</v>
      </c>
      <c r="C43" s="183" t="str">
        <f>IFERROR(IF(VLOOKUP($B43,勘定科目!$A:$H,HLOOKUP($E$5,勘定科目!$F$1:$H$2,2,0),0)="","",VLOOKUP($B43,勘定科目!$A:$E,2,0)),"")</f>
        <v>その他修繕費（販売）</v>
      </c>
      <c r="D43" s="239" t="str">
        <f>IF(C43="","",VLOOKUP($B43,勘定科目!$A:$E,4,0))</f>
        <v>修繕費</v>
      </c>
      <c r="E43" s="245"/>
      <c r="F43" s="194">
        <v>1750000</v>
      </c>
      <c r="G43" s="247">
        <v>10635000</v>
      </c>
      <c r="H43" s="247">
        <v>14580000</v>
      </c>
      <c r="I43" s="247">
        <v>0</v>
      </c>
      <c r="J43" s="247">
        <v>0</v>
      </c>
      <c r="K43" s="247">
        <v>6000000</v>
      </c>
      <c r="L43" s="247">
        <v>0</v>
      </c>
      <c r="M43" s="247">
        <v>1750000</v>
      </c>
      <c r="N43" s="247">
        <v>25215000</v>
      </c>
      <c r="O43" s="247">
        <v>5000000</v>
      </c>
      <c r="P43" s="247">
        <v>0</v>
      </c>
      <c r="Q43" s="247">
        <v>0</v>
      </c>
      <c r="R43" s="200">
        <f t="shared" si="3"/>
        <v>64930000</v>
      </c>
      <c r="S43" s="201" t="s">
        <v>697</v>
      </c>
      <c r="T43" s="202"/>
      <c r="U43" s="246"/>
      <c r="V43" s="246"/>
      <c r="W43" s="246"/>
      <c r="BA43"/>
      <c r="BB43"/>
    </row>
    <row r="44" spans="1:54" s="191" customFormat="1" ht="13.2">
      <c r="A44" s="226"/>
      <c r="B44" s="180">
        <v>6005046541</v>
      </c>
      <c r="C44" s="183" t="str">
        <f>IFERROR(IF(VLOOKUP($B44,勘定科目!$A:$H,HLOOKUP($E$5,勘定科目!$F$1:$H$2,2,0),0)="","",VLOOKUP($B44,勘定科目!$A:$E,2,0)),"")</f>
        <v>その他修繕費（販売）</v>
      </c>
      <c r="D44" s="239" t="str">
        <f>IF(C44="","",VLOOKUP($B44,勘定科目!$A:$E,4,0))</f>
        <v>修繕費</v>
      </c>
      <c r="E44" s="245"/>
      <c r="F44" s="194"/>
      <c r="G44" s="247"/>
      <c r="H44" s="247"/>
      <c r="I44" s="247"/>
      <c r="J44" s="247"/>
      <c r="K44" s="247"/>
      <c r="L44" s="247"/>
      <c r="M44" s="247"/>
      <c r="N44" s="247"/>
      <c r="O44" s="247"/>
      <c r="P44" s="247"/>
      <c r="Q44" s="247"/>
      <c r="R44" s="200">
        <f t="shared" si="3"/>
        <v>0</v>
      </c>
      <c r="S44" s="201" t="s">
        <v>698</v>
      </c>
      <c r="T44" s="202"/>
      <c r="U44" s="246"/>
      <c r="V44" s="246"/>
      <c r="W44" s="246"/>
      <c r="BA44"/>
      <c r="BB44"/>
    </row>
    <row r="45" spans="1:54" s="191" customFormat="1" ht="13.2">
      <c r="A45" s="226"/>
      <c r="B45" s="180">
        <v>6005246544</v>
      </c>
      <c r="C45" s="183" t="str">
        <f>IFERROR(IF(VLOOKUP($B45,勘定科目!$A:$H,HLOOKUP($E$5,勘定科目!$F$1:$H$2,2,0),0)="","",VLOOKUP($B45,勘定科目!$A:$E,2,0)),"")</f>
        <v>事務用品費（販売）</v>
      </c>
      <c r="D45" s="239" t="str">
        <f>IF(C45="","",VLOOKUP($B45,勘定科目!$A:$E,4,0))</f>
        <v>図書及び事務費</v>
      </c>
      <c r="E45" s="245"/>
      <c r="F45" s="194">
        <v>0</v>
      </c>
      <c r="G45" s="247">
        <v>0</v>
      </c>
      <c r="H45" s="247">
        <v>375000</v>
      </c>
      <c r="I45" s="247">
        <v>0</v>
      </c>
      <c r="J45" s="247">
        <v>0</v>
      </c>
      <c r="K45" s="247">
        <v>0</v>
      </c>
      <c r="L45" s="247">
        <v>0</v>
      </c>
      <c r="M45" s="247">
        <v>0</v>
      </c>
      <c r="N45" s="247">
        <v>420000</v>
      </c>
      <c r="O45" s="247">
        <v>0</v>
      </c>
      <c r="P45" s="247">
        <v>0</v>
      </c>
      <c r="Q45" s="247">
        <v>0</v>
      </c>
      <c r="R45" s="200">
        <f t="shared" si="3"/>
        <v>795000</v>
      </c>
      <c r="S45" s="201" t="s">
        <v>699</v>
      </c>
      <c r="T45" s="202"/>
      <c r="U45" s="246"/>
      <c r="V45" s="246"/>
      <c r="W45" s="246"/>
      <c r="BA45"/>
      <c r="BB45"/>
    </row>
    <row r="46" spans="1:54" s="191" customFormat="1" ht="13.2">
      <c r="A46" s="226"/>
      <c r="B46" s="180">
        <v>6005056543</v>
      </c>
      <c r="C46" s="183" t="str">
        <f>IFERROR(IF(VLOOKUP($B46,勘定科目!$A:$H,HLOOKUP($E$5,勘定科目!$F$1:$H$2,2,0),0)="","",VLOOKUP($B46,勘定科目!$A:$E,2,0)),"")</f>
        <v>ガス代（販売）</v>
      </c>
      <c r="D46" s="239" t="str">
        <f>IF(C46="","",VLOOKUP($B46,勘定科目!$A:$E,4,0))</f>
        <v>水道光熱費</v>
      </c>
      <c r="E46" s="245"/>
      <c r="F46" s="194">
        <v>2583424</v>
      </c>
      <c r="G46" s="247">
        <v>2503104</v>
      </c>
      <c r="H46" s="247">
        <v>2870784</v>
      </c>
      <c r="I46" s="247">
        <v>2956527</v>
      </c>
      <c r="J46" s="247">
        <v>2689344</v>
      </c>
      <c r="K46" s="247">
        <v>2386442</v>
      </c>
      <c r="L46" s="247">
        <v>2865597</v>
      </c>
      <c r="M46" s="247">
        <v>2508686</v>
      </c>
      <c r="N46" s="247">
        <v>2689246</v>
      </c>
      <c r="O46" s="247">
        <v>2547540</v>
      </c>
      <c r="P46" s="247">
        <v>2006534</v>
      </c>
      <c r="Q46" s="247">
        <v>2637604</v>
      </c>
      <c r="R46" s="200">
        <f t="shared" si="3"/>
        <v>31244832</v>
      </c>
      <c r="S46" s="201" t="s">
        <v>700</v>
      </c>
      <c r="T46" s="202"/>
      <c r="U46" s="246"/>
      <c r="V46" s="246"/>
      <c r="W46" s="246"/>
      <c r="BA46"/>
      <c r="BB46"/>
    </row>
    <row r="47" spans="1:54" s="191" customFormat="1" ht="13.2">
      <c r="A47" s="226"/>
      <c r="B47" s="180">
        <v>6005016413</v>
      </c>
      <c r="C47" s="183" t="str">
        <f>IFERROR(IF(VLOOKUP($B47,勘定科目!$A:$H,HLOOKUP($E$5,勘定科目!$F$1:$H$2,2,0),0)="","",VLOOKUP($B47,勘定科目!$A:$E,2,0)),"")</f>
        <v>消耗品費（販売）</v>
      </c>
      <c r="D47" s="239" t="str">
        <f>IF(C47="","",VLOOKUP($B47,勘定科目!$A:$E,4,0))</f>
        <v>消耗品費</v>
      </c>
      <c r="E47" s="245"/>
      <c r="F47" s="194">
        <v>71808</v>
      </c>
      <c r="G47" s="247">
        <v>72320</v>
      </c>
      <c r="H47" s="247">
        <v>74048</v>
      </c>
      <c r="I47" s="247">
        <v>70119</v>
      </c>
      <c r="J47" s="247">
        <v>68040</v>
      </c>
      <c r="K47" s="247">
        <v>67766</v>
      </c>
      <c r="L47" s="247">
        <v>68991</v>
      </c>
      <c r="M47" s="247">
        <v>67954</v>
      </c>
      <c r="N47" s="247">
        <v>68564</v>
      </c>
      <c r="O47" s="247">
        <v>67680</v>
      </c>
      <c r="P47" s="247">
        <v>69906</v>
      </c>
      <c r="Q47" s="247">
        <v>67270</v>
      </c>
      <c r="R47" s="200">
        <f t="shared" si="3"/>
        <v>834466</v>
      </c>
      <c r="S47" s="201" t="s">
        <v>701</v>
      </c>
      <c r="T47" s="202"/>
      <c r="U47" s="246"/>
      <c r="V47" s="246"/>
      <c r="W47" s="246"/>
      <c r="BA47"/>
      <c r="BB47"/>
    </row>
    <row r="48" spans="1:54" s="191" customFormat="1" ht="13.2">
      <c r="A48" s="226"/>
      <c r="B48" s="180">
        <v>6005016413</v>
      </c>
      <c r="C48" s="183" t="str">
        <f>IFERROR(IF(VLOOKUP($B48,勘定科目!$A:$H,HLOOKUP($E$5,勘定科目!$F$1:$H$2,2,0),0)="","",VLOOKUP($B48,勘定科目!$A:$E,2,0)),"")</f>
        <v>消耗品費（販売）</v>
      </c>
      <c r="D48" s="239" t="str">
        <f>IF(C48="","",VLOOKUP($B48,勘定科目!$A:$E,4,0))</f>
        <v>消耗品費</v>
      </c>
      <c r="E48" s="245"/>
      <c r="F48" s="194">
        <v>0</v>
      </c>
      <c r="G48" s="247">
        <v>0</v>
      </c>
      <c r="H48" s="247">
        <v>0</v>
      </c>
      <c r="I48" s="247">
        <v>0</v>
      </c>
      <c r="J48" s="247">
        <v>0</v>
      </c>
      <c r="K48" s="247">
        <v>0</v>
      </c>
      <c r="L48" s="247">
        <v>0</v>
      </c>
      <c r="M48" s="247">
        <v>0</v>
      </c>
      <c r="N48" s="247">
        <v>0</v>
      </c>
      <c r="O48" s="247">
        <v>0</v>
      </c>
      <c r="P48" s="247">
        <v>0</v>
      </c>
      <c r="Q48" s="247">
        <v>0</v>
      </c>
      <c r="R48" s="200">
        <f t="shared" si="3"/>
        <v>0</v>
      </c>
      <c r="S48" s="201" t="s">
        <v>702</v>
      </c>
      <c r="T48" s="202"/>
      <c r="U48" s="246"/>
      <c r="V48" s="246"/>
      <c r="W48" s="246"/>
      <c r="BA48"/>
      <c r="BB48"/>
    </row>
    <row r="49" spans="1:54" s="191" customFormat="1" ht="13.2">
      <c r="A49" s="226"/>
      <c r="B49" s="180">
        <v>6005016413</v>
      </c>
      <c r="C49" s="183" t="str">
        <f>IFERROR(IF(VLOOKUP($B49,勘定科目!$A:$H,HLOOKUP($E$5,勘定科目!$F$1:$H$2,2,0),0)="","",VLOOKUP($B49,勘定科目!$A:$E,2,0)),"")</f>
        <v>消耗品費（販売）</v>
      </c>
      <c r="D49" s="239" t="str">
        <f>IF(C49="","",VLOOKUP($B49,勘定科目!$A:$E,4,0))</f>
        <v>消耗品費</v>
      </c>
      <c r="E49" s="245"/>
      <c r="F49" s="194">
        <v>1179136</v>
      </c>
      <c r="G49" s="247">
        <v>1135104</v>
      </c>
      <c r="H49" s="247">
        <v>1241664</v>
      </c>
      <c r="I49" s="247">
        <v>1331694</v>
      </c>
      <c r="J49" s="247">
        <v>1159452</v>
      </c>
      <c r="K49" s="247">
        <v>1085000</v>
      </c>
      <c r="L49" s="247">
        <v>1287710</v>
      </c>
      <c r="M49" s="247">
        <v>1123681</v>
      </c>
      <c r="N49" s="247">
        <v>1235494</v>
      </c>
      <c r="O49" s="247">
        <v>1103940</v>
      </c>
      <c r="P49" s="247">
        <v>845643</v>
      </c>
      <c r="Q49" s="247">
        <v>1142970</v>
      </c>
      <c r="R49" s="200">
        <f t="shared" si="3"/>
        <v>13871488</v>
      </c>
      <c r="S49" s="201" t="s">
        <v>703</v>
      </c>
      <c r="T49" s="202"/>
      <c r="U49" s="246"/>
      <c r="V49" s="246"/>
      <c r="W49" s="246"/>
      <c r="BA49"/>
      <c r="BB49"/>
    </row>
    <row r="50" spans="1:54" s="191" customFormat="1" ht="13.2">
      <c r="A50" s="226"/>
      <c r="B50" s="180">
        <v>6005246542</v>
      </c>
      <c r="C50" s="183" t="str">
        <f>IFERROR(IF(VLOOKUP($B50,勘定科目!$A:$H,HLOOKUP($E$5,勘定科目!$F$1:$H$2,2,0),0)="","",VLOOKUP($B50,勘定科目!$A:$E,2,0)),"")</f>
        <v>その他手数料</v>
      </c>
      <c r="D50" s="239" t="str">
        <f>IF(C50="","",VLOOKUP($B50,勘定科目!$A:$E,4,0))</f>
        <v>手数料</v>
      </c>
      <c r="E50" s="245"/>
      <c r="F50" s="194">
        <v>3599808</v>
      </c>
      <c r="G50" s="247">
        <v>3613568</v>
      </c>
      <c r="H50" s="247">
        <v>3724864</v>
      </c>
      <c r="I50" s="247">
        <v>3358278</v>
      </c>
      <c r="J50" s="247">
        <v>3269133</v>
      </c>
      <c r="K50" s="247">
        <v>3074580</v>
      </c>
      <c r="L50" s="247">
        <v>2893352</v>
      </c>
      <c r="M50" s="247">
        <v>2857484</v>
      </c>
      <c r="N50" s="247">
        <v>2865597</v>
      </c>
      <c r="O50" s="247">
        <v>2698080</v>
      </c>
      <c r="P50" s="247">
        <v>2596282</v>
      </c>
      <c r="Q50" s="247">
        <v>2761480</v>
      </c>
      <c r="R50" s="200">
        <f t="shared" si="3"/>
        <v>37312506</v>
      </c>
      <c r="S50" s="201" t="s">
        <v>704</v>
      </c>
      <c r="T50" s="202"/>
      <c r="U50" s="246"/>
      <c r="V50" s="246"/>
      <c r="W50" s="246"/>
      <c r="BA50"/>
      <c r="BB50"/>
    </row>
    <row r="51" spans="1:54" s="191" customFormat="1" ht="13.2">
      <c r="A51" s="226"/>
      <c r="B51" s="180">
        <v>6004086551</v>
      </c>
      <c r="C51" s="183" t="str">
        <f>IFERROR(IF(VLOOKUP($B51,勘定科目!$A:$H,HLOOKUP($E$5,勘定科目!$F$1:$H$2,2,0),0)="","",VLOOKUP($B51,勘定科目!$A:$E,2,0)),"")</f>
        <v>福利厚生費（販売）</v>
      </c>
      <c r="D51" s="239" t="str">
        <f>IF(C51="","",VLOOKUP($B51,勘定科目!$A:$E,4,0))</f>
        <v>福利厚生費</v>
      </c>
      <c r="E51" s="245"/>
      <c r="F51" s="194">
        <v>0</v>
      </c>
      <c r="G51" s="247">
        <v>0</v>
      </c>
      <c r="H51" s="247">
        <v>0</v>
      </c>
      <c r="I51" s="247">
        <v>0</v>
      </c>
      <c r="J51" s="247">
        <v>0</v>
      </c>
      <c r="K51" s="247">
        <v>0</v>
      </c>
      <c r="L51" s="247">
        <v>0</v>
      </c>
      <c r="M51" s="247">
        <v>0</v>
      </c>
      <c r="N51" s="247">
        <v>0</v>
      </c>
      <c r="O51" s="247">
        <v>0</v>
      </c>
      <c r="P51" s="247">
        <v>0</v>
      </c>
      <c r="Q51" s="247">
        <v>0</v>
      </c>
      <c r="R51" s="200">
        <f t="shared" si="3"/>
        <v>0</v>
      </c>
      <c r="S51" s="201" t="s">
        <v>705</v>
      </c>
      <c r="T51" s="202"/>
      <c r="U51" s="246"/>
      <c r="V51" s="246"/>
      <c r="W51" s="246"/>
      <c r="BA51"/>
      <c r="BB51"/>
    </row>
    <row r="52" spans="1:54" s="191" customFormat="1" ht="13.2">
      <c r="A52" s="226"/>
      <c r="B52" s="180">
        <v>6004086551</v>
      </c>
      <c r="C52" s="183" t="str">
        <f>IFERROR(IF(VLOOKUP($B52,勘定科目!$A:$H,HLOOKUP($E$5,勘定科目!$F$1:$H$2,2,0),0)="","",VLOOKUP($B52,勘定科目!$A:$E,2,0)),"")</f>
        <v>福利厚生費（販売）</v>
      </c>
      <c r="D52" s="239" t="str">
        <f>IF(C52="","",VLOOKUP($B52,勘定科目!$A:$E,4,0))</f>
        <v>福利厚生費</v>
      </c>
      <c r="E52" s="245"/>
      <c r="F52" s="194">
        <v>10997424</v>
      </c>
      <c r="G52" s="247">
        <v>12693976</v>
      </c>
      <c r="H52" s="247">
        <v>11347816</v>
      </c>
      <c r="I52" s="247">
        <v>11899704</v>
      </c>
      <c r="J52" s="247">
        <v>12706672</v>
      </c>
      <c r="K52" s="247">
        <v>12748104</v>
      </c>
      <c r="L52" s="247">
        <v>9557880</v>
      </c>
      <c r="M52" s="247">
        <v>11620936</v>
      </c>
      <c r="N52" s="247">
        <v>11724736</v>
      </c>
      <c r="O52" s="247">
        <v>11031400</v>
      </c>
      <c r="P52" s="247">
        <v>10026872</v>
      </c>
      <c r="Q52" s="247">
        <v>10369824</v>
      </c>
      <c r="R52" s="200">
        <f t="shared" si="3"/>
        <v>136725344</v>
      </c>
      <c r="S52" s="201" t="s">
        <v>706</v>
      </c>
      <c r="T52" s="202"/>
      <c r="U52" s="246"/>
      <c r="V52" s="246"/>
      <c r="W52" s="246"/>
      <c r="BA52"/>
      <c r="BB52"/>
    </row>
    <row r="53" spans="1:54" s="191" customFormat="1" ht="13.2">
      <c r="A53" s="226"/>
      <c r="B53" s="180">
        <v>6004086551</v>
      </c>
      <c r="C53" s="183" t="str">
        <f>IFERROR(IF(VLOOKUP($B53,勘定科目!$A:$H,HLOOKUP($E$5,勘定科目!$F$1:$H$2,2,0),0)="","",VLOOKUP($B53,勘定科目!$A:$E,2,0)),"")</f>
        <v>福利厚生費（販売）</v>
      </c>
      <c r="D53" s="239" t="str">
        <f>IF(C53="","",VLOOKUP($B53,勘定科目!$A:$E,4,0))</f>
        <v>福利厚生費</v>
      </c>
      <c r="E53" s="245"/>
      <c r="F53" s="194">
        <v>978000</v>
      </c>
      <c r="G53" s="247">
        <v>978000</v>
      </c>
      <c r="H53" s="247">
        <v>652000</v>
      </c>
      <c r="I53" s="247">
        <v>489000</v>
      </c>
      <c r="J53" s="247">
        <v>815000</v>
      </c>
      <c r="K53" s="247">
        <v>1304000</v>
      </c>
      <c r="L53" s="247">
        <v>1304000</v>
      </c>
      <c r="M53" s="247">
        <v>815000</v>
      </c>
      <c r="N53" s="247">
        <v>815000</v>
      </c>
      <c r="O53" s="247">
        <v>326000</v>
      </c>
      <c r="P53" s="247">
        <v>652000</v>
      </c>
      <c r="Q53" s="247">
        <v>1141000</v>
      </c>
      <c r="R53" s="200">
        <f t="shared" si="3"/>
        <v>10269000</v>
      </c>
      <c r="S53" s="201" t="s">
        <v>707</v>
      </c>
      <c r="T53" s="202"/>
      <c r="U53" s="246"/>
      <c r="V53" s="246"/>
      <c r="W53" s="246"/>
      <c r="BA53"/>
      <c r="BB53"/>
    </row>
    <row r="54" spans="1:54" s="191" customFormat="1" ht="13.2">
      <c r="A54" s="226"/>
      <c r="B54" s="180">
        <v>6004086551</v>
      </c>
      <c r="C54" s="183" t="str">
        <f>IFERROR(IF(VLOOKUP($B54,勘定科目!$A:$H,HLOOKUP($E$5,勘定科目!$F$1:$H$2,2,0),0)="","",VLOOKUP($B54,勘定科目!$A:$E,2,0)),"")</f>
        <v>福利厚生費（販売）</v>
      </c>
      <c r="D54" s="239" t="str">
        <f>IF(C54="","",VLOOKUP($B54,勘定科目!$A:$E,4,0))</f>
        <v>福利厚生費</v>
      </c>
      <c r="E54" s="245"/>
      <c r="F54" s="194">
        <v>1970000</v>
      </c>
      <c r="G54" s="247"/>
      <c r="H54" s="247"/>
      <c r="I54" s="247"/>
      <c r="J54" s="247"/>
      <c r="K54" s="247"/>
      <c r="L54" s="247">
        <v>1500000</v>
      </c>
      <c r="M54" s="247">
        <v>1500000</v>
      </c>
      <c r="N54" s="247">
        <v>1500000</v>
      </c>
      <c r="O54" s="247">
        <v>1500000</v>
      </c>
      <c r="P54" s="247">
        <v>1500000</v>
      </c>
      <c r="Q54" s="247">
        <v>1500000</v>
      </c>
      <c r="R54" s="200">
        <f t="shared" si="3"/>
        <v>10970000</v>
      </c>
      <c r="S54" s="201" t="s">
        <v>708</v>
      </c>
      <c r="T54" s="202"/>
      <c r="U54" s="246"/>
      <c r="V54" s="246"/>
      <c r="W54" s="246"/>
      <c r="BA54"/>
      <c r="BB54"/>
    </row>
    <row r="55" spans="1:54" s="191" customFormat="1" ht="13.2">
      <c r="A55" s="226"/>
      <c r="B55" s="180">
        <v>6004086551</v>
      </c>
      <c r="C55" s="183" t="str">
        <f>IFERROR(IF(VLOOKUP($B55,勘定科目!$A:$H,HLOOKUP($E$5,勘定科目!$F$1:$H$2,2,0),0)="","",VLOOKUP($B55,勘定科目!$A:$E,2,0)),"")</f>
        <v>福利厚生費（販売）</v>
      </c>
      <c r="D55" s="239" t="str">
        <f>IF(C55="","",VLOOKUP($B55,勘定科目!$A:$E,4,0))</f>
        <v>福利厚生費</v>
      </c>
      <c r="E55" s="245"/>
      <c r="F55" s="194"/>
      <c r="G55" s="247"/>
      <c r="H55" s="247"/>
      <c r="I55" s="247"/>
      <c r="J55" s="247"/>
      <c r="K55" s="247"/>
      <c r="L55" s="247">
        <v>3416000</v>
      </c>
      <c r="M55" s="247"/>
      <c r="N55" s="247"/>
      <c r="O55" s="247"/>
      <c r="P55" s="247"/>
      <c r="Q55" s="247"/>
      <c r="R55" s="200">
        <f t="shared" si="3"/>
        <v>3416000</v>
      </c>
      <c r="S55" s="201" t="s">
        <v>709</v>
      </c>
      <c r="T55" s="202"/>
      <c r="U55" s="246"/>
      <c r="V55" s="246"/>
      <c r="W55" s="246"/>
      <c r="BA55"/>
      <c r="BB55"/>
    </row>
    <row r="56" spans="1:54" s="191" customFormat="1" ht="13.2">
      <c r="A56" s="226"/>
      <c r="B56" s="180">
        <v>6004086551</v>
      </c>
      <c r="C56" s="183" t="str">
        <f>IFERROR(IF(VLOOKUP($B56,勘定科目!$A:$H,HLOOKUP($E$5,勘定科目!$F$1:$H$2,2,0),0)="","",VLOOKUP($B56,勘定科目!$A:$E,2,0)),"")</f>
        <v>福利厚生費（販売）</v>
      </c>
      <c r="D56" s="239" t="str">
        <f>IF(C56="","",VLOOKUP($B56,勘定科目!$A:$E,4,0))</f>
        <v>福利厚生費</v>
      </c>
      <c r="E56" s="245"/>
      <c r="F56" s="194"/>
      <c r="G56" s="247"/>
      <c r="H56" s="247"/>
      <c r="I56" s="247"/>
      <c r="J56" s="247"/>
      <c r="K56" s="247">
        <v>7812000</v>
      </c>
      <c r="L56" s="247"/>
      <c r="M56" s="247"/>
      <c r="N56" s="247"/>
      <c r="O56" s="247"/>
      <c r="P56" s="247"/>
      <c r="Q56" s="247"/>
      <c r="R56" s="200">
        <f t="shared" si="3"/>
        <v>7812000</v>
      </c>
      <c r="S56" s="201" t="s">
        <v>710</v>
      </c>
      <c r="T56" s="202"/>
      <c r="U56" s="246"/>
      <c r="V56" s="246"/>
      <c r="W56" s="246"/>
      <c r="BA56"/>
      <c r="BB56"/>
    </row>
    <row r="57" spans="1:54" s="191" customFormat="1" ht="13.2">
      <c r="A57" s="226"/>
      <c r="B57" s="180">
        <v>6004086551</v>
      </c>
      <c r="C57" s="183" t="str">
        <f>IFERROR(IF(VLOOKUP($B57,勘定科目!$A:$H,HLOOKUP($E$5,勘定科目!$F$1:$H$2,2,0),0)="","",VLOOKUP($B57,勘定科目!$A:$E,2,0)),"")</f>
        <v>福利厚生費（販売）</v>
      </c>
      <c r="D57" s="239" t="str">
        <f>IF(C57="","",VLOOKUP($B57,勘定科目!$A:$E,4,0))</f>
        <v>福利厚生費</v>
      </c>
      <c r="E57" s="245"/>
      <c r="F57" s="194"/>
      <c r="G57" s="247"/>
      <c r="H57" s="247"/>
      <c r="I57" s="247"/>
      <c r="J57" s="247"/>
      <c r="K57" s="247"/>
      <c r="L57" s="247"/>
      <c r="M57" s="247">
        <v>6527000</v>
      </c>
      <c r="N57" s="247"/>
      <c r="O57" s="247"/>
      <c r="P57" s="247"/>
      <c r="Q57" s="247"/>
      <c r="R57" s="200">
        <f t="shared" si="3"/>
        <v>6527000</v>
      </c>
      <c r="S57" s="201" t="s">
        <v>711</v>
      </c>
      <c r="T57" s="202"/>
      <c r="U57" s="246"/>
      <c r="V57" s="246"/>
      <c r="W57" s="246"/>
      <c r="BA57"/>
      <c r="BB57"/>
    </row>
    <row r="58" spans="1:54" s="191" customFormat="1" ht="13.2">
      <c r="A58" s="226"/>
      <c r="B58" s="180">
        <v>6004086551</v>
      </c>
      <c r="C58" s="183" t="str">
        <f>IFERROR(IF(VLOOKUP($B58,勘定科目!$A:$H,HLOOKUP($E$5,勘定科目!$F$1:$H$2,2,0),0)="","",VLOOKUP($B58,勘定科目!$A:$E,2,0)),"")</f>
        <v>福利厚生費（販売）</v>
      </c>
      <c r="D58" s="239" t="str">
        <f>IF(C58="","",VLOOKUP($B58,勘定科目!$A:$E,4,0))</f>
        <v>福利厚生費</v>
      </c>
      <c r="E58" s="245"/>
      <c r="F58" s="194"/>
      <c r="G58" s="247">
        <v>11600000</v>
      </c>
      <c r="H58" s="247"/>
      <c r="I58" s="247"/>
      <c r="J58" s="247"/>
      <c r="K58" s="247"/>
      <c r="L58" s="247"/>
      <c r="M58" s="247"/>
      <c r="N58" s="247"/>
      <c r="O58" s="247"/>
      <c r="P58" s="247">
        <v>17400000</v>
      </c>
      <c r="Q58" s="247"/>
      <c r="R58" s="200">
        <f t="shared" si="3"/>
        <v>29000000</v>
      </c>
      <c r="S58" s="201" t="s">
        <v>712</v>
      </c>
      <c r="T58" s="202"/>
      <c r="U58" s="246"/>
      <c r="V58" s="246"/>
      <c r="W58" s="246"/>
      <c r="BA58"/>
      <c r="BB58"/>
    </row>
    <row r="59" spans="1:54" s="191" customFormat="1" ht="13.2">
      <c r="A59" s="226"/>
      <c r="B59" s="180">
        <v>6004086551</v>
      </c>
      <c r="C59" s="183" t="str">
        <f>IFERROR(IF(VLOOKUP($B59,勘定科目!$A:$H,HLOOKUP($E$5,勘定科目!$F$1:$H$2,2,0),0)="","",VLOOKUP($B59,勘定科目!$A:$E,2,0)),"")</f>
        <v>福利厚生費（販売）</v>
      </c>
      <c r="D59" s="239" t="str">
        <f>IF(C59="","",VLOOKUP($B59,勘定科目!$A:$E,4,0))</f>
        <v>福利厚生費</v>
      </c>
      <c r="E59" s="245"/>
      <c r="F59" s="194"/>
      <c r="G59" s="247"/>
      <c r="H59" s="247"/>
      <c r="I59" s="247">
        <v>61000000</v>
      </c>
      <c r="J59" s="247"/>
      <c r="K59" s="247"/>
      <c r="L59" s="247"/>
      <c r="M59" s="247"/>
      <c r="N59" s="247"/>
      <c r="O59" s="247"/>
      <c r="P59" s="247"/>
      <c r="Q59" s="247"/>
      <c r="R59" s="200">
        <f t="shared" si="3"/>
        <v>61000000</v>
      </c>
      <c r="S59" s="201" t="s">
        <v>713</v>
      </c>
      <c r="T59" s="202"/>
      <c r="U59" s="246"/>
      <c r="V59" s="246"/>
      <c r="W59" s="246"/>
      <c r="BA59"/>
      <c r="BB59"/>
    </row>
    <row r="60" spans="1:54" s="191" customFormat="1" ht="13.2">
      <c r="A60" s="226"/>
      <c r="B60" s="180">
        <v>6004086551</v>
      </c>
      <c r="C60" s="183" t="str">
        <f>IFERROR(IF(VLOOKUP($B60,勘定科目!$A:$H,HLOOKUP($E$5,勘定科目!$F$1:$H$2,2,0),0)="","",VLOOKUP($B60,勘定科目!$A:$E,2,0)),"")</f>
        <v>福利厚生費（販売）</v>
      </c>
      <c r="D60" s="239" t="str">
        <f>IF(C60="","",VLOOKUP($B60,勘定科目!$A:$E,4,0))</f>
        <v>福利厚生費</v>
      </c>
      <c r="E60" s="245"/>
      <c r="F60" s="194"/>
      <c r="G60" s="247">
        <v>113400000</v>
      </c>
      <c r="H60" s="247">
        <v>1323000</v>
      </c>
      <c r="I60" s="247"/>
      <c r="J60" s="247"/>
      <c r="K60" s="247"/>
      <c r="L60" s="247"/>
      <c r="M60" s="247"/>
      <c r="N60" s="247"/>
      <c r="O60" s="247"/>
      <c r="P60" s="247"/>
      <c r="Q60" s="247"/>
      <c r="R60" s="200">
        <f t="shared" si="3"/>
        <v>114723000</v>
      </c>
      <c r="S60" s="201" t="s">
        <v>714</v>
      </c>
      <c r="T60" s="202"/>
      <c r="U60" s="246"/>
      <c r="V60" s="246"/>
      <c r="W60" s="246"/>
      <c r="BA60"/>
      <c r="BB60"/>
    </row>
    <row r="61" spans="1:54" s="191" customFormat="1" ht="13.2">
      <c r="A61" s="226"/>
      <c r="B61" s="180">
        <v>6004086551</v>
      </c>
      <c r="C61" s="183" t="str">
        <f>IFERROR(IF(VLOOKUP($B61,勘定科目!$A:$H,HLOOKUP($E$5,勘定科目!$F$1:$H$2,2,0),0)="","",VLOOKUP($B61,勘定科目!$A:$E,2,0)),"")</f>
        <v>福利厚生費（販売）</v>
      </c>
      <c r="D61" s="239" t="str">
        <f>IF(C61="","",VLOOKUP($B61,勘定科目!$A:$E,4,0))</f>
        <v>福利厚生費</v>
      </c>
      <c r="E61" s="245"/>
      <c r="F61" s="194"/>
      <c r="G61" s="247"/>
      <c r="H61" s="247"/>
      <c r="I61" s="247"/>
      <c r="J61" s="247"/>
      <c r="K61" s="247"/>
      <c r="L61" s="247"/>
      <c r="M61" s="247"/>
      <c r="N61" s="247">
        <v>12132000</v>
      </c>
      <c r="O61" s="247"/>
      <c r="P61" s="247"/>
      <c r="Q61" s="247"/>
      <c r="R61" s="200">
        <f t="shared" si="3"/>
        <v>12132000</v>
      </c>
      <c r="S61" s="201" t="s">
        <v>715</v>
      </c>
      <c r="T61" s="202"/>
      <c r="U61" s="246"/>
      <c r="V61" s="246"/>
      <c r="W61" s="246"/>
      <c r="BA61"/>
      <c r="BB61"/>
    </row>
    <row r="62" spans="1:54" s="191" customFormat="1" ht="13.2">
      <c r="A62" s="226"/>
      <c r="B62" s="180">
        <v>6004086551</v>
      </c>
      <c r="C62" s="183" t="str">
        <f>IFERROR(IF(VLOOKUP($B62,勘定科目!$A:$H,HLOOKUP($E$5,勘定科目!$F$1:$H$2,2,0),0)="","",VLOOKUP($B62,勘定科目!$A:$E,2,0)),"")</f>
        <v>福利厚生費（販売）</v>
      </c>
      <c r="D62" s="239" t="str">
        <f>IF(C62="","",VLOOKUP($B62,勘定科目!$A:$E,4,0))</f>
        <v>福利厚生費</v>
      </c>
      <c r="E62" s="245"/>
      <c r="F62" s="194"/>
      <c r="G62" s="247"/>
      <c r="H62" s="247"/>
      <c r="I62" s="247"/>
      <c r="J62" s="247"/>
      <c r="K62" s="247"/>
      <c r="L62" s="247"/>
      <c r="M62" s="247"/>
      <c r="N62" s="247"/>
      <c r="O62" s="247"/>
      <c r="P62" s="247">
        <v>6100000</v>
      </c>
      <c r="Q62" s="247"/>
      <c r="R62" s="200">
        <f t="shared" si="3"/>
        <v>6100000</v>
      </c>
      <c r="S62" s="201" t="s">
        <v>716</v>
      </c>
      <c r="T62" s="202"/>
      <c r="U62" s="246"/>
      <c r="V62" s="246"/>
      <c r="W62" s="246"/>
      <c r="BA62"/>
      <c r="BB62"/>
    </row>
    <row r="63" spans="1:54" s="191" customFormat="1" ht="13.2">
      <c r="A63" s="226"/>
      <c r="B63" s="180">
        <v>6004086551</v>
      </c>
      <c r="C63" s="183" t="str">
        <f>IFERROR(IF(VLOOKUP($B63,勘定科目!$A:$H,HLOOKUP($E$5,勘定科目!$F$1:$H$2,2,0),0)="","",VLOOKUP($B63,勘定科目!$A:$E,2,0)),"")</f>
        <v>福利厚生費（販売）</v>
      </c>
      <c r="D63" s="239" t="str">
        <f>IF(C63="","",VLOOKUP($B63,勘定科目!$A:$E,4,0))</f>
        <v>福利厚生費</v>
      </c>
      <c r="E63" s="245"/>
      <c r="F63" s="194"/>
      <c r="G63" s="247"/>
      <c r="H63" s="247"/>
      <c r="I63" s="247"/>
      <c r="J63" s="247"/>
      <c r="K63" s="247"/>
      <c r="L63" s="247">
        <v>1862000</v>
      </c>
      <c r="M63" s="247"/>
      <c r="N63" s="247"/>
      <c r="O63" s="247"/>
      <c r="P63" s="247"/>
      <c r="Q63" s="247"/>
      <c r="R63" s="200">
        <f t="shared" si="3"/>
        <v>1862000</v>
      </c>
      <c r="S63" s="201" t="s">
        <v>717</v>
      </c>
      <c r="T63" s="202"/>
      <c r="U63" s="246"/>
      <c r="V63" s="246"/>
      <c r="W63" s="246"/>
      <c r="BA63"/>
      <c r="BB63"/>
    </row>
    <row r="64" spans="1:54" s="191" customFormat="1" ht="13.2">
      <c r="A64" s="226"/>
      <c r="B64" s="180">
        <v>6006016523</v>
      </c>
      <c r="C64" s="183" t="str">
        <f>IFERROR(IF(VLOOKUP($B64,勘定科目!$A:$H,HLOOKUP($E$5,勘定科目!$F$1:$H$2,2,0),0)="","",VLOOKUP($B64,勘定科目!$A:$E,2,0)),"")</f>
        <v>減価償却費（販）　車輌運搬具</v>
      </c>
      <c r="D64" s="239" t="str">
        <f>IF(C64="","",VLOOKUP($B64,勘定科目!$A:$E,4,0))</f>
        <v>減価償却費</v>
      </c>
      <c r="E64" s="245"/>
      <c r="F64" s="194">
        <v>7567743</v>
      </c>
      <c r="G64" s="247">
        <v>2188110</v>
      </c>
      <c r="H64" s="247">
        <v>0</v>
      </c>
      <c r="I64" s="247">
        <v>0</v>
      </c>
      <c r="J64" s="247">
        <v>0</v>
      </c>
      <c r="K64" s="247">
        <v>0</v>
      </c>
      <c r="L64" s="247">
        <v>0</v>
      </c>
      <c r="M64" s="247">
        <v>0</v>
      </c>
      <c r="N64" s="247">
        <v>0</v>
      </c>
      <c r="O64" s="247">
        <v>0</v>
      </c>
      <c r="P64" s="247">
        <v>0</v>
      </c>
      <c r="Q64" s="247">
        <v>0</v>
      </c>
      <c r="R64" s="200">
        <f t="shared" si="3"/>
        <v>9755853</v>
      </c>
      <c r="S64" s="201" t="s">
        <v>718</v>
      </c>
      <c r="T64" s="202"/>
      <c r="U64" s="246"/>
      <c r="V64" s="246"/>
      <c r="W64" s="246"/>
      <c r="BA64"/>
      <c r="BB64"/>
    </row>
    <row r="65" spans="1:54" s="191" customFormat="1" ht="13.2">
      <c r="A65" s="226"/>
      <c r="B65" s="180">
        <v>6006016523</v>
      </c>
      <c r="C65" s="183" t="str">
        <f>IFERROR(IF(VLOOKUP($B65,勘定科目!$A:$H,HLOOKUP($E$5,勘定科目!$F$1:$H$2,2,0),0)="","",VLOOKUP($B65,勘定科目!$A:$E,2,0)),"")</f>
        <v>減価償却費（販）　車輌運搬具</v>
      </c>
      <c r="D65" s="239" t="str">
        <f>IF(C65="","",VLOOKUP($B65,勘定科目!$A:$E,4,0))</f>
        <v>減価償却費</v>
      </c>
      <c r="E65" s="245"/>
      <c r="F65" s="194">
        <v>7594149</v>
      </c>
      <c r="G65" s="247">
        <v>7594149</v>
      </c>
      <c r="H65" s="247">
        <v>7594149</v>
      </c>
      <c r="I65" s="247">
        <v>7594149</v>
      </c>
      <c r="J65" s="247">
        <v>7594149</v>
      </c>
      <c r="K65" s="247">
        <v>7594149</v>
      </c>
      <c r="L65" s="247">
        <v>7594149</v>
      </c>
      <c r="M65" s="247">
        <v>7594149</v>
      </c>
      <c r="N65" s="247">
        <v>7594149</v>
      </c>
      <c r="O65" s="247">
        <v>7594149</v>
      </c>
      <c r="P65" s="247">
        <v>7594149</v>
      </c>
      <c r="Q65" s="247">
        <v>7594149</v>
      </c>
      <c r="R65" s="200">
        <f t="shared" si="3"/>
        <v>91129788</v>
      </c>
      <c r="S65" s="201" t="s">
        <v>719</v>
      </c>
      <c r="T65" s="202"/>
      <c r="U65" s="246"/>
      <c r="V65" s="246"/>
      <c r="W65" s="246"/>
      <c r="BA65"/>
      <c r="BB65"/>
    </row>
    <row r="66" spans="1:54" s="191" customFormat="1" ht="13.2">
      <c r="A66" s="226"/>
      <c r="B66" s="180">
        <v>6006016523</v>
      </c>
      <c r="C66" s="183" t="str">
        <f>IFERROR(IF(VLOOKUP($B66,勘定科目!$A:$H,HLOOKUP($E$5,勘定科目!$F$1:$H$2,2,0),0)="","",VLOOKUP($B66,勘定科目!$A:$E,2,0)),"")</f>
        <v>減価償却費（販）　車輌運搬具</v>
      </c>
      <c r="D66" s="239" t="str">
        <f>IF(C66="","",VLOOKUP($B66,勘定科目!$A:$E,4,0))</f>
        <v>減価償却費</v>
      </c>
      <c r="E66" s="245"/>
      <c r="F66" s="194">
        <v>3888888</v>
      </c>
      <c r="G66" s="247">
        <v>3888888</v>
      </c>
      <c r="H66" s="247">
        <v>3888888</v>
      </c>
      <c r="I66" s="247">
        <v>3888888</v>
      </c>
      <c r="J66" s="247">
        <v>3888888</v>
      </c>
      <c r="K66" s="247">
        <v>3888888</v>
      </c>
      <c r="L66" s="247">
        <v>3888888</v>
      </c>
      <c r="M66" s="247">
        <v>3888888</v>
      </c>
      <c r="N66" s="247">
        <v>3888888</v>
      </c>
      <c r="O66" s="247">
        <v>3888888</v>
      </c>
      <c r="P66" s="247">
        <v>3888888</v>
      </c>
      <c r="Q66" s="247">
        <v>3888888</v>
      </c>
      <c r="R66" s="200">
        <f t="shared" si="3"/>
        <v>46666656</v>
      </c>
      <c r="S66" s="299" t="s">
        <v>764</v>
      </c>
      <c r="T66" s="202"/>
      <c r="U66" s="246"/>
      <c r="V66" s="246"/>
      <c r="W66" s="246"/>
      <c r="BA66"/>
      <c r="BB66"/>
    </row>
    <row r="67" spans="1:54" s="191" customFormat="1" ht="13.2">
      <c r="A67" s="226"/>
      <c r="B67" s="180">
        <v>6006016524</v>
      </c>
      <c r="C67" s="183" t="str">
        <f>IFERROR(IF(VLOOKUP($B67,勘定科目!$A:$H,HLOOKUP($E$5,勘定科目!$F$1:$H$2,2,0),0)="","",VLOOKUP($B67,勘定科目!$A:$E,2,0)),"")</f>
        <v>減価償却費（販）　工具器具備品</v>
      </c>
      <c r="D67" s="239" t="str">
        <f>IF(C67="","",VLOOKUP($B67,勘定科目!$A:$E,4,0))</f>
        <v>減価償却費</v>
      </c>
      <c r="E67" s="245"/>
      <c r="F67" s="194">
        <v>0</v>
      </c>
      <c r="G67" s="247">
        <v>0</v>
      </c>
      <c r="H67" s="247">
        <v>0</v>
      </c>
      <c r="I67" s="247">
        <v>12342361</v>
      </c>
      <c r="J67" s="247">
        <v>12342361</v>
      </c>
      <c r="K67" s="247">
        <v>12342361</v>
      </c>
      <c r="L67" s="247">
        <v>12342361</v>
      </c>
      <c r="M67" s="247">
        <v>12342361</v>
      </c>
      <c r="N67" s="247">
        <v>12342361</v>
      </c>
      <c r="O67" s="247">
        <v>12342361</v>
      </c>
      <c r="P67" s="247">
        <v>12342361</v>
      </c>
      <c r="Q67" s="247">
        <v>12342361</v>
      </c>
      <c r="R67" s="200">
        <f t="shared" si="3"/>
        <v>111081249</v>
      </c>
      <c r="S67" s="299" t="s">
        <v>765</v>
      </c>
      <c r="T67" s="202"/>
      <c r="U67" s="246"/>
      <c r="V67" s="246"/>
      <c r="W67" s="246"/>
      <c r="BA67"/>
      <c r="BB67"/>
    </row>
    <row r="68" spans="1:54" s="191" customFormat="1" ht="13.2">
      <c r="A68" s="226"/>
      <c r="B68" s="180">
        <v>6006016524</v>
      </c>
      <c r="C68" s="183" t="str">
        <f>IFERROR(IF(VLOOKUP($B68,勘定科目!$A:$H,HLOOKUP($E$5,勘定科目!$F$1:$H$2,2,0),0)="","",VLOOKUP($B68,勘定科目!$A:$E,2,0)),"")</f>
        <v>減価償却費（販）　工具器具備品</v>
      </c>
      <c r="D68" s="239" t="str">
        <f>IF(C68="","",VLOOKUP($B68,勘定科目!$A:$E,4,0))</f>
        <v>減価償却費</v>
      </c>
      <c r="E68" s="245"/>
      <c r="F68" s="194">
        <v>5005130</v>
      </c>
      <c r="G68" s="247">
        <v>5005130</v>
      </c>
      <c r="H68" s="247">
        <v>5005130</v>
      </c>
      <c r="I68" s="247">
        <v>5005130</v>
      </c>
      <c r="J68" s="247">
        <v>5005130</v>
      </c>
      <c r="K68" s="247">
        <v>5005130</v>
      </c>
      <c r="L68" s="247">
        <v>5005130</v>
      </c>
      <c r="M68" s="247">
        <v>5005130</v>
      </c>
      <c r="N68" s="247">
        <v>5005130</v>
      </c>
      <c r="O68" s="247">
        <v>5005130</v>
      </c>
      <c r="P68" s="247">
        <v>5005130</v>
      </c>
      <c r="Q68" s="247">
        <v>5005130</v>
      </c>
      <c r="R68" s="200">
        <f t="shared" si="3"/>
        <v>60061560</v>
      </c>
      <c r="S68" s="201" t="s">
        <v>720</v>
      </c>
      <c r="T68" s="202"/>
      <c r="U68" s="246"/>
      <c r="V68" s="246"/>
      <c r="W68" s="246"/>
      <c r="BA68"/>
      <c r="BB68"/>
    </row>
    <row r="69" spans="1:54" s="191" customFormat="1" ht="13.2">
      <c r="A69" s="226"/>
      <c r="B69" s="180">
        <v>6006016524</v>
      </c>
      <c r="C69" s="183" t="str">
        <f>IFERROR(IF(VLOOKUP($B69,勘定科目!$A:$H,HLOOKUP($E$5,勘定科目!$F$1:$H$2,2,0),0)="","",VLOOKUP($B69,勘定科目!$A:$E,2,0)),"")</f>
        <v>減価償却費（販）　工具器具備品</v>
      </c>
      <c r="D69" s="239" t="str">
        <f>IF(C69="","",VLOOKUP($B69,勘定科目!$A:$E,4,0))</f>
        <v>減価償却費</v>
      </c>
      <c r="E69" s="245"/>
      <c r="F69" s="194">
        <v>20316570</v>
      </c>
      <c r="G69" s="247">
        <v>20316570</v>
      </c>
      <c r="H69" s="247">
        <v>20316570</v>
      </c>
      <c r="I69" s="247">
        <v>20316570</v>
      </c>
      <c r="J69" s="247">
        <v>20316570</v>
      </c>
      <c r="K69" s="247">
        <v>20316570</v>
      </c>
      <c r="L69" s="247">
        <v>20316570</v>
      </c>
      <c r="M69" s="247">
        <v>20316570</v>
      </c>
      <c r="N69" s="247">
        <v>20316570</v>
      </c>
      <c r="O69" s="247">
        <v>20316570</v>
      </c>
      <c r="P69" s="247">
        <v>20316570</v>
      </c>
      <c r="Q69" s="247">
        <v>20316570</v>
      </c>
      <c r="R69" s="200">
        <f t="shared" si="3"/>
        <v>243798840</v>
      </c>
      <c r="S69" s="201" t="s">
        <v>721</v>
      </c>
      <c r="T69" s="202"/>
      <c r="U69" s="246"/>
      <c r="V69" s="246"/>
      <c r="W69" s="246"/>
      <c r="BA69"/>
      <c r="BB69"/>
    </row>
    <row r="70" spans="1:54" s="191" customFormat="1" ht="13.2">
      <c r="A70" s="226"/>
      <c r="B70" s="180">
        <v>6006016523</v>
      </c>
      <c r="C70" s="183" t="str">
        <f>IFERROR(IF(VLOOKUP($B70,勘定科目!$A:$H,HLOOKUP($E$5,勘定科目!$F$1:$H$2,2,0),0)="","",VLOOKUP($B70,勘定科目!$A:$E,2,0)),"")</f>
        <v>減価償却費（販）　車輌運搬具</v>
      </c>
      <c r="D70" s="239" t="str">
        <f>IF(C70="","",VLOOKUP($B70,勘定科目!$A:$E,4,0))</f>
        <v>減価償却費</v>
      </c>
      <c r="E70" s="245"/>
      <c r="F70" s="194">
        <v>6102486</v>
      </c>
      <c r="G70" s="247">
        <v>6102486</v>
      </c>
      <c r="H70" s="247">
        <v>6102486</v>
      </c>
      <c r="I70" s="247">
        <v>6102486</v>
      </c>
      <c r="J70" s="247">
        <v>6102486</v>
      </c>
      <c r="K70" s="247">
        <v>6102486</v>
      </c>
      <c r="L70" s="247">
        <v>6102486</v>
      </c>
      <c r="M70" s="247">
        <v>6102486</v>
      </c>
      <c r="N70" s="247">
        <v>6102486</v>
      </c>
      <c r="O70" s="247">
        <v>6102486</v>
      </c>
      <c r="P70" s="247">
        <v>6102486</v>
      </c>
      <c r="Q70" s="247">
        <v>6102486</v>
      </c>
      <c r="R70" s="200">
        <f t="shared" si="3"/>
        <v>73229832</v>
      </c>
      <c r="S70" s="201" t="s">
        <v>722</v>
      </c>
      <c r="T70" s="202"/>
      <c r="U70" s="246"/>
      <c r="V70" s="246"/>
      <c r="W70" s="246"/>
      <c r="BA70"/>
      <c r="BB70"/>
    </row>
    <row r="71" spans="1:54" s="191" customFormat="1" ht="13.2">
      <c r="A71" s="226"/>
      <c r="B71" s="180">
        <v>6006016523</v>
      </c>
      <c r="C71" s="183" t="str">
        <f>IFERROR(IF(VLOOKUP($B71,勘定科目!$A:$H,HLOOKUP($E$5,勘定科目!$F$1:$H$2,2,0),0)="","",VLOOKUP($B71,勘定科目!$A:$E,2,0)),"")</f>
        <v>減価償却費（販）　車輌運搬具</v>
      </c>
      <c r="D71" s="239" t="str">
        <f>IF(C71="","",VLOOKUP($B71,勘定科目!$A:$E,4,0))</f>
        <v>減価償却費</v>
      </c>
      <c r="E71" s="245"/>
      <c r="F71" s="301">
        <v>4989896</v>
      </c>
      <c r="G71" s="302">
        <v>4989896</v>
      </c>
      <c r="H71" s="302">
        <v>4989896</v>
      </c>
      <c r="I71" s="302">
        <v>4989896</v>
      </c>
      <c r="J71" s="302">
        <v>4989896</v>
      </c>
      <c r="K71" s="302">
        <v>4989896</v>
      </c>
      <c r="L71" s="302">
        <v>4989896</v>
      </c>
      <c r="M71" s="302">
        <v>4989896</v>
      </c>
      <c r="N71" s="302">
        <v>4989896</v>
      </c>
      <c r="O71" s="302">
        <v>4989896</v>
      </c>
      <c r="P71" s="302">
        <v>4989896</v>
      </c>
      <c r="Q71" s="302">
        <v>4989896</v>
      </c>
      <c r="R71" s="200">
        <f t="shared" si="3"/>
        <v>59878752</v>
      </c>
      <c r="S71" s="201" t="s">
        <v>723</v>
      </c>
      <c r="T71" s="202"/>
      <c r="U71" s="246"/>
      <c r="V71" s="246"/>
      <c r="W71" s="246"/>
      <c r="BA71"/>
      <c r="BB71"/>
    </row>
    <row r="72" spans="1:54" s="191" customFormat="1" ht="13.2">
      <c r="A72" s="226"/>
      <c r="B72" s="180">
        <v>6006016522</v>
      </c>
      <c r="C72" s="183" t="str">
        <f>IFERROR(IF(VLOOKUP($B72,勘定科目!$A:$H,HLOOKUP($E$5,勘定科目!$F$1:$H$2,2,0),0)="","",VLOOKUP($B72,勘定科目!$A:$E,2,0)),"")</f>
        <v>減価償却費（販）　機械装置</v>
      </c>
      <c r="D72" s="239" t="str">
        <f>IF(C72="","",VLOOKUP($B72,勘定科目!$A:$E,4,0))</f>
        <v>減価償却費</v>
      </c>
      <c r="E72" s="245"/>
      <c r="F72" s="301">
        <v>8781385</v>
      </c>
      <c r="G72" s="302">
        <v>8781385</v>
      </c>
      <c r="H72" s="302">
        <v>8781385</v>
      </c>
      <c r="I72" s="302">
        <v>8781385</v>
      </c>
      <c r="J72" s="302">
        <v>8781385</v>
      </c>
      <c r="K72" s="302">
        <v>8781385</v>
      </c>
      <c r="L72" s="302">
        <v>8781385</v>
      </c>
      <c r="M72" s="302">
        <v>8781385</v>
      </c>
      <c r="N72" s="302">
        <v>8781385</v>
      </c>
      <c r="O72" s="302">
        <v>8781385</v>
      </c>
      <c r="P72" s="302">
        <v>8781385</v>
      </c>
      <c r="Q72" s="302">
        <v>8781385</v>
      </c>
      <c r="R72" s="200">
        <f t="shared" si="3"/>
        <v>105376620</v>
      </c>
      <c r="S72" s="201" t="s">
        <v>724</v>
      </c>
      <c r="T72" s="202"/>
      <c r="U72" s="246"/>
      <c r="V72" s="246"/>
      <c r="W72" s="246"/>
      <c r="BA72"/>
      <c r="BB72"/>
    </row>
    <row r="73" spans="1:54" s="191" customFormat="1" ht="13.2">
      <c r="A73" s="226"/>
      <c r="B73" s="180">
        <v>6006016524</v>
      </c>
      <c r="C73" s="183" t="str">
        <f>IFERROR(IF(VLOOKUP($B73,勘定科目!$A:$H,HLOOKUP($E$5,勘定科目!$F$1:$H$2,2,0),0)="","",VLOOKUP($B73,勘定科目!$A:$E,2,0)),"")</f>
        <v>減価償却費（販）　工具器具備品</v>
      </c>
      <c r="D73" s="239" t="str">
        <f>IF(C73="","",VLOOKUP($B73,勘定科目!$A:$E,4,0))</f>
        <v>減価償却費</v>
      </c>
      <c r="E73" s="245"/>
      <c r="F73" s="301">
        <v>4845427</v>
      </c>
      <c r="G73" s="302">
        <v>4845427</v>
      </c>
      <c r="H73" s="302">
        <v>4845427</v>
      </c>
      <c r="I73" s="302">
        <v>4845427</v>
      </c>
      <c r="J73" s="302">
        <v>4845427</v>
      </c>
      <c r="K73" s="302">
        <v>4845427</v>
      </c>
      <c r="L73" s="302">
        <v>4845427</v>
      </c>
      <c r="M73" s="302">
        <v>4845427</v>
      </c>
      <c r="N73" s="302">
        <v>4845427</v>
      </c>
      <c r="O73" s="302">
        <v>4845427</v>
      </c>
      <c r="P73" s="302">
        <v>4845427</v>
      </c>
      <c r="Q73" s="302">
        <v>4845427</v>
      </c>
      <c r="R73" s="200">
        <f t="shared" si="3"/>
        <v>58145124</v>
      </c>
      <c r="S73" s="201" t="s">
        <v>720</v>
      </c>
      <c r="T73" s="202"/>
      <c r="U73" s="246"/>
      <c r="V73" s="246"/>
      <c r="W73" s="246"/>
      <c r="BA73"/>
      <c r="BB73"/>
    </row>
    <row r="74" spans="1:54" s="191" customFormat="1" ht="13.2">
      <c r="A74" s="226"/>
      <c r="B74" s="180">
        <v>6006016525</v>
      </c>
      <c r="C74" s="183" t="str">
        <f>IFERROR(IF(VLOOKUP($B74,勘定科目!$A:$H,HLOOKUP($E$5,勘定科目!$F$1:$H$2,2,0),0)="","",VLOOKUP($B74,勘定科目!$A:$E,2,0)),"")</f>
        <v>減価償却費（販）　構築物</v>
      </c>
      <c r="D74" s="239" t="str">
        <f>IF(C74="","",VLOOKUP($B74,勘定科目!$A:$E,4,0))</f>
        <v>減価償却費</v>
      </c>
      <c r="E74" s="245"/>
      <c r="F74" s="301">
        <v>217643080</v>
      </c>
      <c r="G74" s="302">
        <v>217643080</v>
      </c>
      <c r="H74" s="302">
        <v>217643080</v>
      </c>
      <c r="I74" s="302">
        <v>217643080</v>
      </c>
      <c r="J74" s="302">
        <v>217643080</v>
      </c>
      <c r="K74" s="302">
        <v>217643080</v>
      </c>
      <c r="L74" s="302">
        <v>217643080</v>
      </c>
      <c r="M74" s="302">
        <v>217643080</v>
      </c>
      <c r="N74" s="302">
        <v>217643080</v>
      </c>
      <c r="O74" s="302">
        <v>217643080</v>
      </c>
      <c r="P74" s="302">
        <v>217643080</v>
      </c>
      <c r="Q74" s="302">
        <v>217643080</v>
      </c>
      <c r="R74" s="200">
        <f t="shared" si="3"/>
        <v>2611716960</v>
      </c>
      <c r="S74" s="201" t="s">
        <v>725</v>
      </c>
      <c r="T74" s="202"/>
      <c r="U74" s="246"/>
      <c r="V74" s="246"/>
      <c r="W74" s="246"/>
      <c r="BA74"/>
      <c r="BB74"/>
    </row>
    <row r="75" spans="1:54" s="191" customFormat="1" ht="13.2">
      <c r="A75" s="226"/>
      <c r="B75" s="180">
        <v>9114120007</v>
      </c>
      <c r="C75" s="183" t="str">
        <f>IFERROR(IF(VLOOKUP($B75,勘定科目!$A:$H,HLOOKUP($E$5,勘定科目!$F$1:$H$2,2,0),0)="","",VLOOKUP($B75,勘定科目!$A:$E,2,0)),"")</f>
        <v>社内金利（固定資産）</v>
      </c>
      <c r="D75" s="239" t="str">
        <f>IF(C75="","",VLOOKUP($B75,勘定科目!$A:$E,4,0))</f>
        <v>固定資産金利</v>
      </c>
      <c r="E75" s="245"/>
      <c r="F75" s="301">
        <v>301633</v>
      </c>
      <c r="G75" s="302">
        <v>29198</v>
      </c>
      <c r="H75" s="302">
        <v>0</v>
      </c>
      <c r="I75" s="302">
        <v>0</v>
      </c>
      <c r="J75" s="302">
        <v>0</v>
      </c>
      <c r="K75" s="302">
        <v>0</v>
      </c>
      <c r="L75" s="302">
        <v>0</v>
      </c>
      <c r="M75" s="302">
        <v>0</v>
      </c>
      <c r="N75" s="302">
        <v>0</v>
      </c>
      <c r="O75" s="302">
        <v>0</v>
      </c>
      <c r="P75" s="302">
        <v>0</v>
      </c>
      <c r="Q75" s="302">
        <v>0</v>
      </c>
      <c r="R75" s="200">
        <f t="shared" si="3"/>
        <v>330831</v>
      </c>
      <c r="S75" s="201" t="s">
        <v>726</v>
      </c>
      <c r="T75" s="202"/>
      <c r="U75" s="246"/>
      <c r="V75" s="246"/>
      <c r="W75" s="246"/>
      <c r="BA75"/>
      <c r="BB75"/>
    </row>
    <row r="76" spans="1:54" s="191" customFormat="1" ht="13.2">
      <c r="A76" s="226"/>
      <c r="B76" s="180">
        <v>9114120007</v>
      </c>
      <c r="C76" s="183" t="str">
        <f>IFERROR(IF(VLOOKUP($B76,勘定科目!$A:$H,HLOOKUP($E$5,勘定科目!$F$1:$H$2,2,0),0)="","",VLOOKUP($B76,勘定科目!$A:$E,2,0)),"")</f>
        <v>社内金利（固定資産）</v>
      </c>
      <c r="D76" s="239" t="str">
        <f>IF(C76="","",VLOOKUP($B76,勘定科目!$A:$E,4,0))</f>
        <v>固定資産金利</v>
      </c>
      <c r="E76" s="245"/>
      <c r="F76" s="301">
        <v>758399</v>
      </c>
      <c r="G76" s="302">
        <v>484949</v>
      </c>
      <c r="H76" s="302">
        <v>484949</v>
      </c>
      <c r="I76" s="302">
        <v>484949</v>
      </c>
      <c r="J76" s="302">
        <v>484949</v>
      </c>
      <c r="K76" s="302">
        <v>484949</v>
      </c>
      <c r="L76" s="302">
        <v>484949</v>
      </c>
      <c r="M76" s="302">
        <v>484949</v>
      </c>
      <c r="N76" s="302">
        <v>484949</v>
      </c>
      <c r="O76" s="302">
        <v>484949</v>
      </c>
      <c r="P76" s="302">
        <v>484949</v>
      </c>
      <c r="Q76" s="302">
        <v>484949</v>
      </c>
      <c r="R76" s="200">
        <f t="shared" si="3"/>
        <v>6092838</v>
      </c>
      <c r="S76" s="201" t="s">
        <v>727</v>
      </c>
      <c r="T76" s="202"/>
      <c r="U76" s="246"/>
      <c r="V76" s="246"/>
      <c r="W76" s="246"/>
      <c r="BA76"/>
      <c r="BB76"/>
    </row>
    <row r="77" spans="1:54" s="191" customFormat="1" ht="13.2">
      <c r="A77" s="226"/>
      <c r="B77" s="180">
        <v>9114120007</v>
      </c>
      <c r="C77" s="183" t="str">
        <f>IFERROR(IF(VLOOKUP($B77,勘定科目!$A:$H,HLOOKUP($E$5,勘定科目!$F$1:$H$2,2,0),0)="","",VLOOKUP($B77,勘定科目!$A:$E,2,0)),"")</f>
        <v>社内金利（固定資産）</v>
      </c>
      <c r="D77" s="239" t="str">
        <f>IF(C77="","",VLOOKUP($B77,勘定科目!$A:$E,4,0))</f>
        <v>固定資産金利</v>
      </c>
      <c r="E77" s="245"/>
      <c r="F77" s="301">
        <v>0</v>
      </c>
      <c r="G77" s="302">
        <v>840000</v>
      </c>
      <c r="H77" s="302">
        <v>840000</v>
      </c>
      <c r="I77" s="302">
        <v>840000</v>
      </c>
      <c r="J77" s="302">
        <v>840000</v>
      </c>
      <c r="K77" s="302">
        <v>840000</v>
      </c>
      <c r="L77" s="302">
        <v>840000</v>
      </c>
      <c r="M77" s="302">
        <v>840000</v>
      </c>
      <c r="N77" s="302">
        <v>840000</v>
      </c>
      <c r="O77" s="302">
        <v>840000</v>
      </c>
      <c r="P77" s="302">
        <v>840000</v>
      </c>
      <c r="Q77" s="302">
        <v>840000</v>
      </c>
      <c r="R77" s="200">
        <f t="shared" si="3"/>
        <v>9240000</v>
      </c>
      <c r="S77" s="201" t="s">
        <v>728</v>
      </c>
      <c r="T77" s="202"/>
      <c r="U77" s="246"/>
      <c r="V77" s="246"/>
      <c r="W77" s="246"/>
      <c r="BA77"/>
      <c r="BB77"/>
    </row>
    <row r="78" spans="1:54" s="191" customFormat="1" ht="13.2">
      <c r="A78" s="226"/>
      <c r="B78" s="180">
        <v>9114120007</v>
      </c>
      <c r="C78" s="183" t="str">
        <f>IFERROR(IF(VLOOKUP($B78,勘定科目!$A:$H,HLOOKUP($E$5,勘定科目!$F$1:$H$2,2,0),0)="","",VLOOKUP($B78,勘定科目!$A:$E,2,0)),"")</f>
        <v>社内金利（固定資産）</v>
      </c>
      <c r="D78" s="239" t="str">
        <f>IF(C78="","",VLOOKUP($B78,勘定科目!$A:$E,4,0))</f>
        <v>固定資産金利</v>
      </c>
      <c r="E78" s="245"/>
      <c r="F78" s="301">
        <v>0</v>
      </c>
      <c r="G78" s="302">
        <v>0</v>
      </c>
      <c r="H78" s="302">
        <v>0</v>
      </c>
      <c r="I78" s="302">
        <v>0</v>
      </c>
      <c r="J78" s="302">
        <v>1332975</v>
      </c>
      <c r="K78" s="302">
        <v>1332975</v>
      </c>
      <c r="L78" s="302">
        <v>1332975</v>
      </c>
      <c r="M78" s="302">
        <v>1332975</v>
      </c>
      <c r="N78" s="302">
        <v>1332975</v>
      </c>
      <c r="O78" s="302">
        <v>1332975</v>
      </c>
      <c r="P78" s="302">
        <v>1332975</v>
      </c>
      <c r="Q78" s="302">
        <v>1332975</v>
      </c>
      <c r="R78" s="200">
        <f t="shared" si="3"/>
        <v>10663800</v>
      </c>
      <c r="S78" s="201" t="s">
        <v>729</v>
      </c>
      <c r="T78" s="202"/>
      <c r="U78" s="246"/>
      <c r="V78" s="246"/>
      <c r="W78" s="246"/>
      <c r="BA78"/>
      <c r="BB78"/>
    </row>
    <row r="79" spans="1:54" s="191" customFormat="1" ht="13.2">
      <c r="A79" s="226"/>
      <c r="B79" s="180">
        <v>9114120007</v>
      </c>
      <c r="C79" s="183" t="str">
        <f>IFERROR(IF(VLOOKUP($B79,勘定科目!$A:$H,HLOOKUP($E$5,勘定科目!$F$1:$H$2,2,0),0)="","",VLOOKUP($B79,勘定科目!$A:$E,2,0)),"")</f>
        <v>社内金利（固定資産）</v>
      </c>
      <c r="D79" s="239" t="str">
        <f>IF(C79="","",VLOOKUP($B79,勘定科目!$A:$E,4,0))</f>
        <v>固定資産金利</v>
      </c>
      <c r="E79" s="245"/>
      <c r="F79" s="301">
        <v>435438</v>
      </c>
      <c r="G79" s="302">
        <v>255169</v>
      </c>
      <c r="H79" s="302">
        <v>255169</v>
      </c>
      <c r="I79" s="302">
        <v>255169</v>
      </c>
      <c r="J79" s="302">
        <v>255169</v>
      </c>
      <c r="K79" s="302">
        <v>255169</v>
      </c>
      <c r="L79" s="302">
        <v>255169</v>
      </c>
      <c r="M79" s="302">
        <v>255169</v>
      </c>
      <c r="N79" s="302">
        <v>255169</v>
      </c>
      <c r="O79" s="302">
        <v>255169</v>
      </c>
      <c r="P79" s="302">
        <v>255169</v>
      </c>
      <c r="Q79" s="302">
        <v>255169</v>
      </c>
      <c r="R79" s="200">
        <f t="shared" si="3"/>
        <v>3242297</v>
      </c>
      <c r="S79" s="201" t="s">
        <v>730</v>
      </c>
      <c r="T79" s="202"/>
      <c r="U79" s="246"/>
      <c r="V79" s="246"/>
      <c r="W79" s="246"/>
      <c r="BA79"/>
      <c r="BB79"/>
    </row>
    <row r="80" spans="1:54" s="191" customFormat="1" ht="13.2">
      <c r="A80" s="226"/>
      <c r="B80" s="180">
        <v>9114120007</v>
      </c>
      <c r="C80" s="183" t="str">
        <f>IFERROR(IF(VLOOKUP($B80,勘定科目!$A:$H,HLOOKUP($E$5,勘定科目!$F$1:$H$2,2,0),0)="","",VLOOKUP($B80,勘定科目!$A:$E,2,0)),"")</f>
        <v>社内金利（固定資産）</v>
      </c>
      <c r="D80" s="239" t="str">
        <f>IF(C80="","",VLOOKUP($B80,勘定科目!$A:$E,4,0))</f>
        <v>固定資産金利</v>
      </c>
      <c r="E80" s="245"/>
      <c r="F80" s="301">
        <v>2196235</v>
      </c>
      <c r="G80" s="302">
        <v>1526700</v>
      </c>
      <c r="H80" s="302">
        <v>1526700</v>
      </c>
      <c r="I80" s="302">
        <v>1526700</v>
      </c>
      <c r="J80" s="302">
        <v>1526700</v>
      </c>
      <c r="K80" s="302">
        <v>1526700</v>
      </c>
      <c r="L80" s="302">
        <v>1526700</v>
      </c>
      <c r="M80" s="302">
        <v>1526700</v>
      </c>
      <c r="N80" s="302">
        <v>1526700</v>
      </c>
      <c r="O80" s="302">
        <v>1526700</v>
      </c>
      <c r="P80" s="302">
        <v>1526700</v>
      </c>
      <c r="Q80" s="302">
        <v>1526700</v>
      </c>
      <c r="R80" s="200">
        <f t="shared" si="3"/>
        <v>18989935</v>
      </c>
      <c r="S80" s="201" t="s">
        <v>721</v>
      </c>
      <c r="T80" s="202"/>
      <c r="U80" s="246"/>
      <c r="V80" s="246"/>
      <c r="W80" s="246"/>
      <c r="BA80"/>
      <c r="BB80"/>
    </row>
    <row r="81" spans="1:54" s="191" customFormat="1" ht="13.2">
      <c r="A81" s="226"/>
      <c r="B81" s="180">
        <v>9114120007</v>
      </c>
      <c r="C81" s="183" t="str">
        <f>IFERROR(IF(VLOOKUP($B81,勘定科目!$A:$H,HLOOKUP($E$5,勘定科目!$F$1:$H$2,2,0),0)="","",VLOOKUP($B81,勘定科目!$A:$E,2,0)),"")</f>
        <v>社内金利（固定資産）</v>
      </c>
      <c r="D81" s="239" t="str">
        <f>IF(C81="","",VLOOKUP($B81,勘定科目!$A:$E,4,0))</f>
        <v>固定資産金利</v>
      </c>
      <c r="E81" s="245"/>
      <c r="F81" s="301">
        <v>1322565</v>
      </c>
      <c r="G81" s="302">
        <v>1175810</v>
      </c>
      <c r="H81" s="302">
        <v>1175810</v>
      </c>
      <c r="I81" s="302">
        <v>1175810</v>
      </c>
      <c r="J81" s="302">
        <v>1175810</v>
      </c>
      <c r="K81" s="302">
        <v>1175810</v>
      </c>
      <c r="L81" s="302">
        <v>1175810</v>
      </c>
      <c r="M81" s="302">
        <v>1175810</v>
      </c>
      <c r="N81" s="302">
        <v>1175810</v>
      </c>
      <c r="O81" s="302">
        <v>1175810</v>
      </c>
      <c r="P81" s="302">
        <v>1175810</v>
      </c>
      <c r="Q81" s="302">
        <v>1175810</v>
      </c>
      <c r="R81" s="200">
        <f t="shared" si="3"/>
        <v>14256475</v>
      </c>
      <c r="S81" s="201" t="s">
        <v>722</v>
      </c>
      <c r="T81" s="202"/>
      <c r="U81" s="246"/>
      <c r="V81" s="246"/>
      <c r="W81" s="246"/>
      <c r="BA81"/>
      <c r="BB81"/>
    </row>
    <row r="82" spans="1:54" s="191" customFormat="1" ht="13.2">
      <c r="A82" s="226"/>
      <c r="B82" s="180">
        <v>9114120007</v>
      </c>
      <c r="C82" s="183" t="str">
        <f>IFERROR(IF(VLOOKUP($B82,勘定科目!$A:$H,HLOOKUP($E$5,勘定科目!$F$1:$H$2,2,0),0)="","",VLOOKUP($B82,勘定科目!$A:$E,2,0)),"")</f>
        <v>社内金利（固定資産）</v>
      </c>
      <c r="D82" s="239" t="str">
        <f>IF(C82="","",VLOOKUP($B82,勘定科目!$A:$E,4,0))</f>
        <v>固定資産金利</v>
      </c>
      <c r="E82" s="245"/>
      <c r="F82" s="301">
        <v>1080852</v>
      </c>
      <c r="G82" s="302">
        <v>1021439</v>
      </c>
      <c r="H82" s="302">
        <v>1021439</v>
      </c>
      <c r="I82" s="302">
        <v>1021439</v>
      </c>
      <c r="J82" s="302">
        <v>1021439</v>
      </c>
      <c r="K82" s="302">
        <v>1021439</v>
      </c>
      <c r="L82" s="302">
        <v>1021439</v>
      </c>
      <c r="M82" s="302">
        <v>1021439</v>
      </c>
      <c r="N82" s="302">
        <v>1021439</v>
      </c>
      <c r="O82" s="302">
        <v>1021439</v>
      </c>
      <c r="P82" s="302">
        <v>1021439</v>
      </c>
      <c r="Q82" s="302">
        <v>1021439</v>
      </c>
      <c r="R82" s="200">
        <f t="shared" si="3"/>
        <v>12316681</v>
      </c>
      <c r="S82" s="201" t="s">
        <v>731</v>
      </c>
      <c r="T82" s="202"/>
      <c r="U82" s="246"/>
      <c r="V82" s="246"/>
      <c r="W82" s="246"/>
      <c r="BA82"/>
      <c r="BB82"/>
    </row>
    <row r="83" spans="1:54" s="191" customFormat="1" ht="13.2">
      <c r="A83" s="226"/>
      <c r="B83" s="180">
        <v>9114120007</v>
      </c>
      <c r="C83" s="183" t="str">
        <f>IFERROR(IF(VLOOKUP($B83,勘定科目!$A:$H,HLOOKUP($E$5,勘定科目!$F$1:$H$2,2,0),0)="","",VLOOKUP($B83,勘定科目!$A:$E,2,0)),"")</f>
        <v>社内金利（固定資産）</v>
      </c>
      <c r="D83" s="239" t="str">
        <f>IF(C83="","",VLOOKUP($B83,勘定科目!$A:$E,4,0))</f>
        <v>固定資産金利</v>
      </c>
      <c r="E83" s="245"/>
      <c r="F83" s="301">
        <v>1580781</v>
      </c>
      <c r="G83" s="302">
        <v>1290827</v>
      </c>
      <c r="H83" s="302">
        <v>1290827</v>
      </c>
      <c r="I83" s="302">
        <v>1290827</v>
      </c>
      <c r="J83" s="302">
        <v>1290827</v>
      </c>
      <c r="K83" s="302">
        <v>1290827</v>
      </c>
      <c r="L83" s="302">
        <v>1290827</v>
      </c>
      <c r="M83" s="302">
        <v>1290827</v>
      </c>
      <c r="N83" s="302">
        <v>1290827</v>
      </c>
      <c r="O83" s="302">
        <v>1290827</v>
      </c>
      <c r="P83" s="302">
        <v>1290827</v>
      </c>
      <c r="Q83" s="302">
        <v>1290827</v>
      </c>
      <c r="R83" s="200">
        <f t="shared" si="3"/>
        <v>15779878</v>
      </c>
      <c r="S83" s="201" t="s">
        <v>724</v>
      </c>
      <c r="T83" s="202"/>
      <c r="U83" s="246"/>
      <c r="V83" s="246"/>
      <c r="W83" s="246"/>
      <c r="BA83"/>
      <c r="BB83"/>
    </row>
    <row r="84" spans="1:54" s="191" customFormat="1" ht="13.2">
      <c r="A84" s="226"/>
      <c r="B84" s="180">
        <v>9114120007</v>
      </c>
      <c r="C84" s="183" t="str">
        <f>IFERROR(IF(VLOOKUP($B84,勘定科目!$A:$H,HLOOKUP($E$5,勘定科目!$F$1:$H$2,2,0),0)="","",VLOOKUP($B84,勘定科目!$A:$E,2,0)),"")</f>
        <v>社内金利（固定資産）</v>
      </c>
      <c r="D84" s="239" t="str">
        <f>IF(C84="","",VLOOKUP($B84,勘定科目!$A:$E,4,0))</f>
        <v>固定資産金利</v>
      </c>
      <c r="E84" s="245"/>
      <c r="F84" s="301">
        <v>872146</v>
      </c>
      <c r="G84" s="302">
        <v>755860</v>
      </c>
      <c r="H84" s="302">
        <v>755860</v>
      </c>
      <c r="I84" s="302">
        <v>755860</v>
      </c>
      <c r="J84" s="302">
        <v>755860</v>
      </c>
      <c r="K84" s="302">
        <v>755860</v>
      </c>
      <c r="L84" s="302">
        <v>755860</v>
      </c>
      <c r="M84" s="302">
        <v>755860</v>
      </c>
      <c r="N84" s="302">
        <v>755860</v>
      </c>
      <c r="O84" s="302">
        <v>755860</v>
      </c>
      <c r="P84" s="302">
        <v>755860</v>
      </c>
      <c r="Q84" s="302">
        <v>755860</v>
      </c>
      <c r="R84" s="200">
        <f t="shared" si="3"/>
        <v>9186606</v>
      </c>
      <c r="S84" s="201" t="s">
        <v>720</v>
      </c>
      <c r="T84" s="202"/>
      <c r="U84" s="246"/>
      <c r="V84" s="246"/>
      <c r="W84" s="246"/>
      <c r="BA84"/>
      <c r="BB84"/>
    </row>
    <row r="85" spans="1:54" s="191" customFormat="1" ht="13.2">
      <c r="A85" s="226"/>
      <c r="B85" s="180">
        <v>9114120007</v>
      </c>
      <c r="C85" s="183" t="str">
        <f>IFERROR(IF(VLOOKUP($B85,勘定科目!$A:$H,HLOOKUP($E$5,勘定科目!$F$1:$H$2,2,0),0)="","",VLOOKUP($B85,勘定科目!$A:$E,2,0)),"")</f>
        <v>社内金利（固定資産）</v>
      </c>
      <c r="D85" s="239" t="str">
        <f>IF(C85="","",VLOOKUP($B85,勘定科目!$A:$E,4,0))</f>
        <v>固定資産金利</v>
      </c>
      <c r="E85" s="245"/>
      <c r="F85" s="301">
        <v>39175754</v>
      </c>
      <c r="G85" s="302">
        <v>31340654</v>
      </c>
      <c r="H85" s="302">
        <v>31340654</v>
      </c>
      <c r="I85" s="302">
        <v>31340654</v>
      </c>
      <c r="J85" s="302">
        <v>31340654</v>
      </c>
      <c r="K85" s="302">
        <v>31340654</v>
      </c>
      <c r="L85" s="302">
        <v>31340654</v>
      </c>
      <c r="M85" s="302">
        <v>31340654</v>
      </c>
      <c r="N85" s="302">
        <v>31340654</v>
      </c>
      <c r="O85" s="302">
        <v>31340654</v>
      </c>
      <c r="P85" s="302">
        <v>31340654</v>
      </c>
      <c r="Q85" s="302">
        <v>31340654</v>
      </c>
      <c r="R85" s="200">
        <f t="shared" si="3"/>
        <v>383922948</v>
      </c>
      <c r="S85" s="201" t="s">
        <v>725</v>
      </c>
      <c r="T85" s="202"/>
      <c r="U85" s="246"/>
      <c r="V85" s="246"/>
      <c r="W85" s="246"/>
      <c r="BA85"/>
      <c r="BB85"/>
    </row>
    <row r="86" spans="1:54" s="191" customFormat="1" ht="13.2">
      <c r="A86" s="226"/>
      <c r="B86" s="180">
        <v>6003036412</v>
      </c>
      <c r="C86" s="183" t="str">
        <f>IFERROR(IF(VLOOKUP($B86,勘定科目!$A:$H,HLOOKUP($E$5,勘定科目!$F$1:$H$2,2,0),0)="","",VLOOKUP($B86,勘定科目!$A:$E,2,0)),"")</f>
        <v>梱包材料費（販売）</v>
      </c>
      <c r="D86" s="239" t="str">
        <f>IF(C86="","",VLOOKUP($B86,勘定科目!$A:$E,4,0))</f>
        <v>荷造用品費</v>
      </c>
      <c r="E86" s="245"/>
      <c r="F86" s="301">
        <v>2290725551</v>
      </c>
      <c r="G86" s="302">
        <v>2306437335</v>
      </c>
      <c r="H86" s="302">
        <v>2334203637</v>
      </c>
      <c r="I86" s="302">
        <v>2618888546</v>
      </c>
      <c r="J86" s="302">
        <v>2508575176</v>
      </c>
      <c r="K86" s="302">
        <v>2480966449</v>
      </c>
      <c r="L86" s="302">
        <v>2717711511</v>
      </c>
      <c r="M86" s="302">
        <v>2573877936</v>
      </c>
      <c r="N86" s="302">
        <v>2659249771</v>
      </c>
      <c r="O86" s="302">
        <v>2743834903</v>
      </c>
      <c r="P86" s="302">
        <v>2449640994</v>
      </c>
      <c r="Q86" s="302">
        <v>2648729163</v>
      </c>
      <c r="R86" s="200">
        <f t="shared" si="3"/>
        <v>30332840972</v>
      </c>
      <c r="S86" s="201" t="s">
        <v>732</v>
      </c>
      <c r="T86" s="202"/>
      <c r="U86" s="246"/>
      <c r="V86" s="246"/>
      <c r="W86" s="246"/>
      <c r="BA86"/>
      <c r="BB86"/>
    </row>
    <row r="87" spans="1:54" s="191" customFormat="1" ht="13.2">
      <c r="A87" s="226"/>
      <c r="B87" s="180">
        <v>6005136541</v>
      </c>
      <c r="C87" s="183" t="str">
        <f>IFERROR(IF(VLOOKUP($B87,勘定科目!$A:$H,HLOOKUP($E$5,勘定科目!$F$1:$H$2,2,0),0)="","",VLOOKUP($B87,勘定科目!$A:$E,2,0)),"")</f>
        <v>通信費（販売）</v>
      </c>
      <c r="D87" s="239" t="str">
        <f>IF(C87="","",VLOOKUP($B87,勘定科目!$A:$E,4,0))</f>
        <v>通信費</v>
      </c>
      <c r="E87" s="245"/>
      <c r="F87" s="301">
        <v>1389000</v>
      </c>
      <c r="G87" s="302">
        <v>1389000</v>
      </c>
      <c r="H87" s="302">
        <v>1389000</v>
      </c>
      <c r="I87" s="302">
        <v>1389000</v>
      </c>
      <c r="J87" s="302">
        <v>1389000</v>
      </c>
      <c r="K87" s="302">
        <v>1389000</v>
      </c>
      <c r="L87" s="302">
        <v>1389000</v>
      </c>
      <c r="M87" s="302">
        <v>1389000</v>
      </c>
      <c r="N87" s="302">
        <v>1389000</v>
      </c>
      <c r="O87" s="302">
        <v>1389000</v>
      </c>
      <c r="P87" s="302">
        <v>1389000</v>
      </c>
      <c r="Q87" s="302">
        <v>1389000</v>
      </c>
      <c r="R87" s="200">
        <f t="shared" si="3"/>
        <v>16668000</v>
      </c>
      <c r="S87" s="201" t="s">
        <v>364</v>
      </c>
      <c r="T87" s="202"/>
      <c r="U87" s="246"/>
      <c r="V87" s="246"/>
      <c r="W87" s="246"/>
      <c r="BA87"/>
      <c r="BB87"/>
    </row>
    <row r="88" spans="1:54" s="191" customFormat="1" ht="13.2">
      <c r="A88" s="226"/>
      <c r="B88" s="180">
        <v>6004086551</v>
      </c>
      <c r="C88" s="183" t="str">
        <f>IFERROR(IF(VLOOKUP($B88,勘定科目!$A:$H,HLOOKUP($E$5,勘定科目!$F$1:$H$2,2,0),0)="","",VLOOKUP($B88,勘定科目!$A:$E,2,0)),"")</f>
        <v>福利厚生費（販売）</v>
      </c>
      <c r="D88" s="239" t="str">
        <f>IF(C88="","",VLOOKUP($B88,勘定科目!$A:$E,4,0))</f>
        <v>福利厚生費</v>
      </c>
      <c r="E88" s="245"/>
      <c r="F88" s="301">
        <v>12675000</v>
      </c>
      <c r="G88" s="302">
        <v>5000000</v>
      </c>
      <c r="H88" s="302">
        <v>5000000</v>
      </c>
      <c r="I88" s="302">
        <v>5000000</v>
      </c>
      <c r="J88" s="302">
        <v>5000000</v>
      </c>
      <c r="K88" s="302">
        <v>5000000</v>
      </c>
      <c r="L88" s="302">
        <v>5000000</v>
      </c>
      <c r="M88" s="302">
        <v>5000000</v>
      </c>
      <c r="N88" s="302">
        <v>5000000</v>
      </c>
      <c r="O88" s="302">
        <v>5000000</v>
      </c>
      <c r="P88" s="302">
        <v>4000000</v>
      </c>
      <c r="Q88" s="302">
        <v>5000000</v>
      </c>
      <c r="R88" s="200">
        <f t="shared" si="3"/>
        <v>66675000</v>
      </c>
      <c r="S88" s="201" t="s">
        <v>733</v>
      </c>
      <c r="T88" s="202"/>
      <c r="U88" s="246"/>
      <c r="V88" s="246"/>
      <c r="W88" s="246"/>
      <c r="BA88"/>
      <c r="BB88"/>
    </row>
    <row r="89" spans="1:54" s="191" customFormat="1" ht="13.2">
      <c r="A89" s="226"/>
      <c r="B89" s="180">
        <v>6005116551</v>
      </c>
      <c r="C89" s="183" t="str">
        <f>IFERROR(IF(VLOOKUP($B89,勘定科目!$A:$H,HLOOKUP($E$5,勘定科目!$F$1:$H$2,2,0),0)="","",VLOOKUP($B89,勘定科目!$A:$E,2,0)),"")</f>
        <v>ベトナム国内交通費（販売）</v>
      </c>
      <c r="D89" s="239" t="str">
        <f>IF(C89="","",VLOOKUP($B89,勘定科目!$A:$E,4,0))</f>
        <v>旅費交通費</v>
      </c>
      <c r="E89" s="245"/>
      <c r="F89" s="301"/>
      <c r="G89" s="302"/>
      <c r="H89" s="302"/>
      <c r="I89" s="302"/>
      <c r="J89" s="302"/>
      <c r="K89" s="302"/>
      <c r="L89" s="302"/>
      <c r="M89" s="302"/>
      <c r="N89" s="302"/>
      <c r="O89" s="302"/>
      <c r="P89" s="302"/>
      <c r="Q89" s="302"/>
      <c r="R89" s="200">
        <f t="shared" si="3"/>
        <v>0</v>
      </c>
      <c r="S89" s="201" t="s">
        <v>734</v>
      </c>
      <c r="T89" s="202"/>
      <c r="U89" s="246"/>
      <c r="V89" s="246"/>
      <c r="W89" s="246"/>
      <c r="BA89"/>
      <c r="BB89"/>
    </row>
    <row r="90" spans="1:54" s="191" customFormat="1" ht="13.2">
      <c r="A90" s="226"/>
      <c r="B90" s="180">
        <v>6004086551</v>
      </c>
      <c r="C90" s="183" t="str">
        <f>IFERROR(IF(VLOOKUP($B90,勘定科目!$A:$H,HLOOKUP($E$5,勘定科目!$F$1:$H$2,2,0),0)="","",VLOOKUP($B90,勘定科目!$A:$E,2,0)),"")</f>
        <v>福利厚生費（販売）</v>
      </c>
      <c r="D90" s="239" t="str">
        <f>IF(C90="","",VLOOKUP($B90,勘定科目!$A:$E,4,0))</f>
        <v>福利厚生費</v>
      </c>
      <c r="E90" s="245"/>
      <c r="F90" s="301"/>
      <c r="G90" s="302">
        <v>300000</v>
      </c>
      <c r="H90" s="302"/>
      <c r="I90" s="302"/>
      <c r="J90" s="302"/>
      <c r="K90" s="302">
        <v>300000</v>
      </c>
      <c r="L90" s="302">
        <v>300000</v>
      </c>
      <c r="M90" s="302"/>
      <c r="N90" s="302"/>
      <c r="O90" s="302"/>
      <c r="P90" s="302"/>
      <c r="Q90" s="302"/>
      <c r="R90" s="200">
        <f t="shared" si="3"/>
        <v>900000</v>
      </c>
      <c r="S90" s="201" t="s">
        <v>735</v>
      </c>
      <c r="T90" s="202"/>
      <c r="U90" s="246"/>
      <c r="V90" s="246"/>
      <c r="W90" s="246"/>
      <c r="BA90"/>
      <c r="BB90"/>
    </row>
    <row r="91" spans="1:54" s="191" customFormat="1" ht="13.2">
      <c r="A91" s="226"/>
      <c r="B91" s="180">
        <v>6005246544</v>
      </c>
      <c r="C91" s="183" t="str">
        <f>IFERROR(IF(VLOOKUP($B91,勘定科目!$A:$H,HLOOKUP($E$5,勘定科目!$F$1:$H$2,2,0),0)="","",VLOOKUP($B91,勘定科目!$A:$E,2,0)),"")</f>
        <v>事務用品費（販売）</v>
      </c>
      <c r="D91" s="239" t="str">
        <f>IF(C91="","",VLOOKUP($B91,勘定科目!$A:$E,4,0))</f>
        <v>図書及び事務費</v>
      </c>
      <c r="E91" s="245"/>
      <c r="F91" s="301"/>
      <c r="G91" s="302"/>
      <c r="H91" s="302"/>
      <c r="I91" s="302"/>
      <c r="J91" s="302"/>
      <c r="K91" s="302"/>
      <c r="L91" s="302"/>
      <c r="M91" s="302"/>
      <c r="N91" s="302"/>
      <c r="O91" s="302">
        <v>3600</v>
      </c>
      <c r="P91" s="302">
        <v>7200</v>
      </c>
      <c r="Q91" s="302"/>
      <c r="R91" s="200">
        <f t="shared" si="3"/>
        <v>10800</v>
      </c>
      <c r="S91" s="201" t="s">
        <v>736</v>
      </c>
      <c r="T91" s="202"/>
      <c r="U91" s="246"/>
      <c r="V91" s="246"/>
      <c r="W91" s="246"/>
      <c r="BA91"/>
      <c r="BB91"/>
    </row>
    <row r="92" spans="1:54" s="191" customFormat="1" ht="13.2">
      <c r="A92" s="226"/>
      <c r="B92" s="180">
        <v>6005246544</v>
      </c>
      <c r="C92" s="183" t="str">
        <f>IFERROR(IF(VLOOKUP($B92,勘定科目!$A:$H,HLOOKUP($E$5,勘定科目!$F$1:$H$2,2,0),0)="","",VLOOKUP($B92,勘定科目!$A:$E,2,0)),"")</f>
        <v>事務用品費（販売）</v>
      </c>
      <c r="D92" s="239" t="str">
        <f>IF(C92="","",VLOOKUP($B92,勘定科目!$A:$E,4,0))</f>
        <v>図書及び事務費</v>
      </c>
      <c r="E92" s="245"/>
      <c r="F92" s="301"/>
      <c r="G92" s="302"/>
      <c r="H92" s="302"/>
      <c r="I92" s="302"/>
      <c r="J92" s="302"/>
      <c r="K92" s="302"/>
      <c r="L92" s="302"/>
      <c r="M92" s="302"/>
      <c r="N92" s="302"/>
      <c r="O92" s="302">
        <v>3000</v>
      </c>
      <c r="P92" s="302">
        <v>6000</v>
      </c>
      <c r="Q92" s="302"/>
      <c r="R92" s="200">
        <f t="shared" si="3"/>
        <v>9000</v>
      </c>
      <c r="S92" s="201" t="s">
        <v>737</v>
      </c>
      <c r="T92" s="202"/>
      <c r="U92" s="246"/>
      <c r="V92" s="246"/>
      <c r="W92" s="246"/>
      <c r="BA92"/>
      <c r="BB92"/>
    </row>
    <row r="93" spans="1:54" s="191" customFormat="1" ht="13.2">
      <c r="A93" s="226"/>
      <c r="B93" s="180">
        <v>6005246544</v>
      </c>
      <c r="C93" s="183" t="str">
        <f>IFERROR(IF(VLOOKUP($B93,勘定科目!$A:$H,HLOOKUP($E$5,勘定科目!$F$1:$H$2,2,0),0)="","",VLOOKUP($B93,勘定科目!$A:$E,2,0)),"")</f>
        <v>事務用品費（販売）</v>
      </c>
      <c r="D93" s="239" t="str">
        <f>IF(C93="","",VLOOKUP($B93,勘定科目!$A:$E,4,0))</f>
        <v>図書及び事務費</v>
      </c>
      <c r="E93" s="245"/>
      <c r="F93" s="194"/>
      <c r="G93" s="247"/>
      <c r="H93" s="247"/>
      <c r="I93" s="247"/>
      <c r="J93" s="247"/>
      <c r="K93" s="247"/>
      <c r="L93" s="247"/>
      <c r="M93" s="247"/>
      <c r="N93" s="247"/>
      <c r="O93" s="247">
        <v>4000</v>
      </c>
      <c r="P93" s="247">
        <v>8000</v>
      </c>
      <c r="Q93" s="247"/>
      <c r="R93" s="200">
        <f t="shared" si="3"/>
        <v>12000</v>
      </c>
      <c r="S93" s="201" t="s">
        <v>738</v>
      </c>
      <c r="T93" s="202"/>
      <c r="U93" s="246"/>
      <c r="V93" s="246"/>
      <c r="W93" s="246"/>
      <c r="BA93"/>
      <c r="BB93"/>
    </row>
    <row r="94" spans="1:54" s="191" customFormat="1" ht="13.2">
      <c r="A94" s="226"/>
      <c r="B94" s="180">
        <v>6005146541</v>
      </c>
      <c r="C94" s="183" t="str">
        <f>IFERROR(IF(VLOOKUP($B94,勘定科目!$A:$H,HLOOKUP($E$5,勘定科目!$F$1:$H$2,2,0),0)="","",VLOOKUP($B94,勘定科目!$A:$E,2,0)),"")</f>
        <v>図書印刷費（販売）</v>
      </c>
      <c r="D94" s="239" t="str">
        <f>IF(C94="","",VLOOKUP($B94,勘定科目!$A:$E,4,0))</f>
        <v>図書及び事務費</v>
      </c>
      <c r="E94" s="245"/>
      <c r="F94" s="194"/>
      <c r="G94" s="247"/>
      <c r="H94" s="247"/>
      <c r="I94" s="247"/>
      <c r="J94" s="247"/>
      <c r="K94" s="247"/>
      <c r="L94" s="247"/>
      <c r="M94" s="247"/>
      <c r="N94" s="247"/>
      <c r="O94" s="247">
        <v>800</v>
      </c>
      <c r="P94" s="247">
        <v>1600</v>
      </c>
      <c r="Q94" s="247"/>
      <c r="R94" s="200">
        <f t="shared" si="3"/>
        <v>2400</v>
      </c>
      <c r="S94" s="201" t="s">
        <v>739</v>
      </c>
      <c r="T94" s="202"/>
      <c r="U94" s="246"/>
      <c r="V94" s="246"/>
      <c r="W94" s="246"/>
      <c r="BA94"/>
      <c r="BB94"/>
    </row>
    <row r="95" spans="1:54" s="191" customFormat="1" ht="13.2">
      <c r="A95" s="226"/>
      <c r="B95" s="180">
        <v>6005146541</v>
      </c>
      <c r="C95" s="183" t="str">
        <f>IFERROR(IF(VLOOKUP($B95,勘定科目!$A:$H,HLOOKUP($E$5,勘定科目!$F$1:$H$2,2,0),0)="","",VLOOKUP($B95,勘定科目!$A:$E,2,0)),"")</f>
        <v>図書印刷費（販売）</v>
      </c>
      <c r="D95" s="239" t="str">
        <f>IF(C95="","",VLOOKUP($B95,勘定科目!$A:$E,4,0))</f>
        <v>図書及び事務費</v>
      </c>
      <c r="E95" s="245"/>
      <c r="F95" s="194"/>
      <c r="G95" s="247"/>
      <c r="H95" s="247"/>
      <c r="I95" s="247"/>
      <c r="J95" s="247"/>
      <c r="K95" s="247"/>
      <c r="L95" s="247"/>
      <c r="M95" s="247"/>
      <c r="N95" s="247"/>
      <c r="O95" s="247">
        <v>58000</v>
      </c>
      <c r="P95" s="247">
        <v>116000</v>
      </c>
      <c r="Q95" s="247"/>
      <c r="R95" s="200">
        <f t="shared" si="3"/>
        <v>174000</v>
      </c>
      <c r="S95" s="201" t="s">
        <v>740</v>
      </c>
      <c r="T95" s="202"/>
      <c r="U95" s="246"/>
      <c r="V95" s="246"/>
      <c r="W95" s="246"/>
      <c r="BA95"/>
      <c r="BB95"/>
    </row>
    <row r="96" spans="1:54" s="191" customFormat="1" ht="13.2">
      <c r="A96" s="226"/>
      <c r="B96" s="180">
        <v>6005146541</v>
      </c>
      <c r="C96" s="183" t="str">
        <f>IFERROR(IF(VLOOKUP($B96,勘定科目!$A:$H,HLOOKUP($E$5,勘定科目!$F$1:$H$2,2,0),0)="","",VLOOKUP($B96,勘定科目!$A:$E,2,0)),"")</f>
        <v>図書印刷費（販売）</v>
      </c>
      <c r="D96" s="239" t="str">
        <f>IF(C96="","",VLOOKUP($B96,勘定科目!$A:$E,4,0))</f>
        <v>図書及び事務費</v>
      </c>
      <c r="E96" s="245"/>
      <c r="F96" s="194"/>
      <c r="G96" s="247"/>
      <c r="H96" s="247"/>
      <c r="I96" s="247"/>
      <c r="J96" s="247"/>
      <c r="K96" s="247"/>
      <c r="L96" s="247"/>
      <c r="M96" s="247"/>
      <c r="N96" s="247"/>
      <c r="O96" s="247">
        <v>27200</v>
      </c>
      <c r="P96" s="247">
        <v>54400</v>
      </c>
      <c r="Q96" s="247"/>
      <c r="R96" s="200">
        <f t="shared" si="3"/>
        <v>81600</v>
      </c>
      <c r="S96" s="201" t="s">
        <v>741</v>
      </c>
      <c r="T96" s="202"/>
      <c r="U96" s="246"/>
      <c r="V96" s="246"/>
      <c r="W96" s="246"/>
      <c r="BA96"/>
      <c r="BB96"/>
    </row>
    <row r="97" spans="1:54" s="191" customFormat="1" ht="13.2">
      <c r="A97" s="226"/>
      <c r="B97" s="180">
        <v>6004086551</v>
      </c>
      <c r="C97" s="183" t="str">
        <f>IFERROR(IF(VLOOKUP($B97,勘定科目!$A:$H,HLOOKUP($E$5,勘定科目!$F$1:$H$2,2,0),0)="","",VLOOKUP($B97,勘定科目!$A:$E,2,0)),"")</f>
        <v>福利厚生費（販売）</v>
      </c>
      <c r="D97" s="239" t="str">
        <f>IF(C97="","",VLOOKUP($B97,勘定科目!$A:$E,4,0))</f>
        <v>福利厚生費</v>
      </c>
      <c r="E97" s="245"/>
      <c r="F97" s="194"/>
      <c r="G97" s="247"/>
      <c r="H97" s="247"/>
      <c r="I97" s="247"/>
      <c r="J97" s="247"/>
      <c r="K97" s="247"/>
      <c r="L97" s="247"/>
      <c r="M97" s="247"/>
      <c r="N97" s="247"/>
      <c r="O97" s="247">
        <v>6800</v>
      </c>
      <c r="P97" s="247">
        <v>13600</v>
      </c>
      <c r="Q97" s="247"/>
      <c r="R97" s="200">
        <f t="shared" si="3"/>
        <v>20400</v>
      </c>
      <c r="S97" s="201" t="s">
        <v>742</v>
      </c>
      <c r="T97" s="202"/>
      <c r="U97" s="246"/>
      <c r="V97" s="246"/>
      <c r="W97" s="246"/>
      <c r="BA97"/>
      <c r="BB97"/>
    </row>
    <row r="98" spans="1:54" s="191" customFormat="1" ht="13.2">
      <c r="A98" s="226"/>
      <c r="B98" s="180">
        <v>6004086551</v>
      </c>
      <c r="C98" s="183" t="str">
        <f>IFERROR(IF(VLOOKUP($B98,勘定科目!$A:$H,HLOOKUP($E$5,勘定科目!$F$1:$H$2,2,0),0)="","",VLOOKUP($B98,勘定科目!$A:$E,2,0)),"")</f>
        <v>福利厚生費（販売）</v>
      </c>
      <c r="D98" s="239" t="str">
        <f>IF(C98="","",VLOOKUP($B98,勘定科目!$A:$E,4,0))</f>
        <v>福利厚生費</v>
      </c>
      <c r="E98" s="245"/>
      <c r="F98" s="194"/>
      <c r="G98" s="247"/>
      <c r="H98" s="247"/>
      <c r="I98" s="247"/>
      <c r="J98" s="247"/>
      <c r="K98" s="247"/>
      <c r="L98" s="247"/>
      <c r="M98" s="247"/>
      <c r="N98" s="247"/>
      <c r="O98" s="247"/>
      <c r="P98" s="247"/>
      <c r="Q98" s="247"/>
      <c r="R98" s="200">
        <f t="shared" si="3"/>
        <v>0</v>
      </c>
      <c r="S98" s="201" t="s">
        <v>743</v>
      </c>
      <c r="T98" s="202"/>
      <c r="U98" s="246"/>
      <c r="V98" s="246"/>
      <c r="W98" s="246"/>
      <c r="BA98"/>
      <c r="BB98"/>
    </row>
    <row r="99" spans="1:54" s="191" customFormat="1" ht="13.2">
      <c r="A99" s="226"/>
      <c r="B99" s="180">
        <v>6004086551</v>
      </c>
      <c r="C99" s="183" t="str">
        <f>IFERROR(IF(VLOOKUP($B99,勘定科目!$A:$H,HLOOKUP($E$5,勘定科目!$F$1:$H$2,2,0),0)="","",VLOOKUP($B99,勘定科目!$A:$E,2,0)),"")</f>
        <v>福利厚生費（販売）</v>
      </c>
      <c r="D99" s="239" t="str">
        <f>IF(C99="","",VLOOKUP($B99,勘定科目!$A:$E,4,0))</f>
        <v>福利厚生費</v>
      </c>
      <c r="E99" s="245"/>
      <c r="F99" s="194"/>
      <c r="G99" s="247"/>
      <c r="H99" s="247"/>
      <c r="I99" s="247"/>
      <c r="J99" s="247"/>
      <c r="K99" s="247"/>
      <c r="L99" s="247"/>
      <c r="M99" s="247"/>
      <c r="N99" s="247"/>
      <c r="O99" s="247">
        <v>410000</v>
      </c>
      <c r="P99" s="247">
        <v>820000</v>
      </c>
      <c r="Q99" s="247"/>
      <c r="R99" s="200">
        <f t="shared" si="3"/>
        <v>1230000</v>
      </c>
      <c r="S99" s="201" t="s">
        <v>744</v>
      </c>
      <c r="T99" s="202"/>
      <c r="U99" s="246"/>
      <c r="V99" s="246"/>
      <c r="W99" s="246"/>
      <c r="BA99"/>
      <c r="BB99"/>
    </row>
    <row r="100" spans="1:54" s="191" customFormat="1" ht="13.2">
      <c r="A100" s="226"/>
      <c r="B100" s="180">
        <v>6004086551</v>
      </c>
      <c r="C100" s="183" t="str">
        <f>IFERROR(IF(VLOOKUP($B100,勘定科目!$A:$H,HLOOKUP($E$5,勘定科目!$F$1:$H$2,2,0),0)="","",VLOOKUP($B100,勘定科目!$A:$E,2,0)),"")</f>
        <v>福利厚生費（販売）</v>
      </c>
      <c r="D100" s="239" t="str">
        <f>IF(C100="","",VLOOKUP($B100,勘定科目!$A:$E,4,0))</f>
        <v>福利厚生費</v>
      </c>
      <c r="E100" s="245"/>
      <c r="F100" s="194"/>
      <c r="G100" s="247"/>
      <c r="H100" s="247"/>
      <c r="I100" s="247"/>
      <c r="J100" s="247"/>
      <c r="K100" s="247"/>
      <c r="L100" s="247"/>
      <c r="M100" s="247"/>
      <c r="N100" s="247"/>
      <c r="O100" s="247">
        <v>78000</v>
      </c>
      <c r="P100" s="247">
        <v>156000</v>
      </c>
      <c r="Q100" s="247"/>
      <c r="R100" s="200">
        <f t="shared" si="3"/>
        <v>234000</v>
      </c>
      <c r="S100" s="201" t="s">
        <v>745</v>
      </c>
      <c r="T100" s="202"/>
      <c r="U100" s="246"/>
      <c r="V100" s="246"/>
      <c r="W100" s="246"/>
      <c r="BA100"/>
      <c r="BB100"/>
    </row>
    <row r="101" spans="1:54" s="191" customFormat="1" ht="13.2">
      <c r="A101" s="226"/>
      <c r="B101" s="180">
        <v>6004086551</v>
      </c>
      <c r="C101" s="183" t="str">
        <f>IFERROR(IF(VLOOKUP($B101,勘定科目!$A:$H,HLOOKUP($E$5,勘定科目!$F$1:$H$2,2,0),0)="","",VLOOKUP($B101,勘定科目!$A:$E,2,0)),"")</f>
        <v>福利厚生費（販売）</v>
      </c>
      <c r="D101" s="239" t="str">
        <f>IF(C101="","",VLOOKUP($B101,勘定科目!$A:$E,4,0))</f>
        <v>福利厚生費</v>
      </c>
      <c r="E101" s="245"/>
      <c r="F101" s="194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>
        <v>834000</v>
      </c>
      <c r="Q101" s="247"/>
      <c r="R101" s="200">
        <f t="shared" si="3"/>
        <v>834000</v>
      </c>
      <c r="S101" s="201" t="s">
        <v>746</v>
      </c>
      <c r="T101" s="202"/>
      <c r="U101" s="246"/>
      <c r="V101" s="246"/>
      <c r="W101" s="246"/>
      <c r="BA101"/>
      <c r="BB101"/>
    </row>
    <row r="102" spans="1:54" s="191" customFormat="1" ht="13.2">
      <c r="A102" s="226"/>
      <c r="B102" s="180">
        <v>6004086551</v>
      </c>
      <c r="C102" s="183" t="str">
        <f>IFERROR(IF(VLOOKUP($B102,勘定科目!$A:$H,HLOOKUP($E$5,勘定科目!$F$1:$H$2,2,0),0)="","",VLOOKUP($B102,勘定科目!$A:$E,2,0)),"")</f>
        <v>福利厚生費（販売）</v>
      </c>
      <c r="D102" s="239" t="str">
        <f>IF(C102="","",VLOOKUP($B102,勘定科目!$A:$E,4,0))</f>
        <v>福利厚生費</v>
      </c>
      <c r="E102" s="245"/>
      <c r="F102" s="194"/>
      <c r="G102" s="247"/>
      <c r="H102" s="247"/>
      <c r="I102" s="247"/>
      <c r="J102" s="247"/>
      <c r="K102" s="247"/>
      <c r="L102" s="247"/>
      <c r="M102" s="247"/>
      <c r="N102" s="247"/>
      <c r="O102" s="247">
        <v>285000</v>
      </c>
      <c r="P102" s="247">
        <v>570000</v>
      </c>
      <c r="Q102" s="247"/>
      <c r="R102" s="200">
        <f t="shared" si="3"/>
        <v>855000</v>
      </c>
      <c r="S102" s="201" t="s">
        <v>747</v>
      </c>
      <c r="T102" s="202"/>
      <c r="U102" s="246"/>
      <c r="V102" s="246"/>
      <c r="W102" s="246"/>
      <c r="BA102"/>
      <c r="BB102"/>
    </row>
    <row r="103" spans="1:54" s="191" customFormat="1" ht="13.2">
      <c r="A103" s="226"/>
      <c r="B103" s="180">
        <v>6004086551</v>
      </c>
      <c r="C103" s="183" t="str">
        <f>IFERROR(IF(VLOOKUP($B103,勘定科目!$A:$H,HLOOKUP($E$5,勘定科目!$F$1:$H$2,2,0),0)="","",VLOOKUP($B103,勘定科目!$A:$E,2,0)),"")</f>
        <v>福利厚生費（販売）</v>
      </c>
      <c r="D103" s="239" t="str">
        <f>IF(C103="","",VLOOKUP($B103,勘定科目!$A:$E,4,0))</f>
        <v>福利厚生費</v>
      </c>
      <c r="E103" s="245"/>
      <c r="F103" s="194"/>
      <c r="G103" s="247"/>
      <c r="H103" s="247"/>
      <c r="I103" s="247"/>
      <c r="J103" s="247"/>
      <c r="K103" s="247"/>
      <c r="L103" s="247"/>
      <c r="M103" s="247"/>
      <c r="N103" s="247"/>
      <c r="O103" s="247">
        <v>232000</v>
      </c>
      <c r="P103" s="247">
        <v>464000</v>
      </c>
      <c r="Q103" s="247"/>
      <c r="R103" s="200">
        <f t="shared" si="3"/>
        <v>696000</v>
      </c>
      <c r="S103" s="201" t="s">
        <v>748</v>
      </c>
      <c r="T103" s="202"/>
      <c r="U103" s="246"/>
      <c r="V103" s="246"/>
      <c r="W103" s="246"/>
      <c r="BA103"/>
      <c r="BB103"/>
    </row>
    <row r="104" spans="1:54" s="191" customFormat="1" ht="13.2">
      <c r="A104" s="226"/>
      <c r="B104" s="180">
        <v>6004086553</v>
      </c>
      <c r="C104" s="183" t="str">
        <f>IFERROR(IF(VLOOKUP($B104,勘定科目!$A:$H,HLOOKUP($E$5,勘定科目!$F$1:$H$2,2,0),0)="","",VLOOKUP($B104,勘定科目!$A:$E,2,0)),"")</f>
        <v>教育訓練費（販売）</v>
      </c>
      <c r="D104" s="239" t="str">
        <f>IF(C104="","",VLOOKUP($B104,勘定科目!$A:$E,4,0))</f>
        <v>募集教育費</v>
      </c>
      <c r="E104" s="245"/>
      <c r="F104" s="194">
        <v>24500000</v>
      </c>
      <c r="G104" s="247"/>
      <c r="H104" s="302"/>
      <c r="I104" s="302"/>
      <c r="J104" s="302"/>
      <c r="K104" s="302"/>
      <c r="L104" s="302"/>
      <c r="M104" s="302"/>
      <c r="N104" s="302"/>
      <c r="O104" s="302"/>
      <c r="P104" s="302"/>
      <c r="Q104" s="302"/>
      <c r="R104" s="200">
        <f t="shared" si="3"/>
        <v>24500000</v>
      </c>
      <c r="S104" s="201" t="s">
        <v>749</v>
      </c>
      <c r="T104" s="202"/>
      <c r="U104" s="246"/>
      <c r="V104" s="246"/>
      <c r="W104" s="246"/>
      <c r="BA104"/>
      <c r="BB104"/>
    </row>
    <row r="105" spans="1:54" s="191" customFormat="1" ht="13.2">
      <c r="A105" s="226"/>
      <c r="B105" s="180">
        <v>9114120009</v>
      </c>
      <c r="C105" s="183" t="str">
        <f>IFERROR(IF(VLOOKUP($B105,勘定科目!$A:$H,HLOOKUP($E$5,勘定科目!$F$1:$H$2,2,0),0)="","",VLOOKUP($B105,勘定科目!$A:$E,2,0)),"")</f>
        <v>社内金利（在庫）</v>
      </c>
      <c r="D105" s="239" t="str">
        <f>IF(C105="","",VLOOKUP($B105,勘定科目!$A:$E,4,0))</f>
        <v>在庫金利</v>
      </c>
      <c r="E105" s="245"/>
      <c r="F105" s="194"/>
      <c r="G105" s="247"/>
      <c r="H105" s="302"/>
      <c r="I105" s="302"/>
      <c r="J105" s="302"/>
      <c r="K105" s="302"/>
      <c r="L105" s="302"/>
      <c r="M105" s="302"/>
      <c r="N105" s="302"/>
      <c r="O105" s="302"/>
      <c r="P105" s="302"/>
      <c r="Q105" s="302"/>
      <c r="R105" s="200">
        <f t="shared" si="3"/>
        <v>0</v>
      </c>
      <c r="S105" s="201" t="s">
        <v>750</v>
      </c>
      <c r="T105" s="202"/>
      <c r="U105" s="246"/>
      <c r="V105" s="246"/>
      <c r="W105" s="246"/>
      <c r="BA105"/>
      <c r="BB105"/>
    </row>
    <row r="106" spans="1:54" s="191" customFormat="1" ht="13.2">
      <c r="A106" s="226"/>
      <c r="B106" s="180">
        <v>6005146542</v>
      </c>
      <c r="C106" s="183" t="str">
        <f>IFERROR(IF(VLOOKUP($B106,勘定科目!$A:$H,HLOOKUP($E$5,勘定科目!$F$1:$H$2,2,0),0)="","",VLOOKUP($B106,勘定科目!$A:$E,2,0)),"")</f>
        <v>ＫＤＣシステム使用料（販売）</v>
      </c>
      <c r="D106" s="239" t="str">
        <f>IF(C106="","",VLOOKUP($B106,勘定科目!$A:$E,4,0))</f>
        <v>図書及び事務費</v>
      </c>
      <c r="E106" s="245"/>
      <c r="F106" s="194">
        <v>14197073</v>
      </c>
      <c r="G106" s="247">
        <v>14197073</v>
      </c>
      <c r="H106" s="302">
        <v>14197073</v>
      </c>
      <c r="I106" s="302">
        <v>14197073</v>
      </c>
      <c r="J106" s="302">
        <v>14197073</v>
      </c>
      <c r="K106" s="302">
        <v>14197073</v>
      </c>
      <c r="L106" s="302">
        <v>14197073</v>
      </c>
      <c r="M106" s="302">
        <v>14197073</v>
      </c>
      <c r="N106" s="302">
        <v>14197073</v>
      </c>
      <c r="O106" s="302">
        <v>14197073</v>
      </c>
      <c r="P106" s="302">
        <v>14197073</v>
      </c>
      <c r="Q106" s="302">
        <v>14197073</v>
      </c>
      <c r="R106" s="200">
        <f t="shared" si="3"/>
        <v>170364876</v>
      </c>
      <c r="S106" s="201" t="s">
        <v>751</v>
      </c>
      <c r="T106" s="202"/>
      <c r="U106" s="246"/>
      <c r="V106" s="246"/>
      <c r="W106" s="246"/>
      <c r="BA106"/>
      <c r="BB106"/>
    </row>
    <row r="107" spans="1:54" s="191" customFormat="1" ht="13.2">
      <c r="A107" s="226"/>
      <c r="B107" s="180">
        <v>6005056541</v>
      </c>
      <c r="C107" s="183" t="str">
        <f>IFERROR(IF(VLOOKUP($B107,勘定科目!$A:$H,HLOOKUP($E$5,勘定科目!$F$1:$H$2,2,0),0)="","",VLOOKUP($B107,勘定科目!$A:$E,2,0)),"")</f>
        <v>電気代（販売）</v>
      </c>
      <c r="D107" s="239" t="str">
        <f>IF(C107="","",VLOOKUP($B107,勘定科目!$A:$E,4,0))</f>
        <v>水道光熱費</v>
      </c>
      <c r="E107" s="245"/>
      <c r="F107" s="194">
        <v>153031554</v>
      </c>
      <c r="G107" s="247">
        <v>156907203</v>
      </c>
      <c r="H107" s="302">
        <v>196910121</v>
      </c>
      <c r="I107" s="302">
        <v>212057053</v>
      </c>
      <c r="J107" s="302">
        <v>219630519</v>
      </c>
      <c r="K107" s="302">
        <v>201454201</v>
      </c>
      <c r="L107" s="302">
        <v>203245712</v>
      </c>
      <c r="M107" s="302">
        <v>181763188</v>
      </c>
      <c r="N107" s="302">
        <v>174189722</v>
      </c>
      <c r="O107" s="302">
        <v>152707199</v>
      </c>
      <c r="P107" s="302">
        <v>152888645</v>
      </c>
      <c r="Q107" s="302">
        <v>121175459</v>
      </c>
      <c r="R107" s="200">
        <f t="shared" si="3"/>
        <v>2125960576</v>
      </c>
      <c r="S107" s="201" t="s">
        <v>752</v>
      </c>
      <c r="T107" s="202"/>
      <c r="U107" s="246"/>
      <c r="V107" s="246"/>
      <c r="W107" s="246"/>
      <c r="BA107"/>
      <c r="BB107"/>
    </row>
    <row r="108" spans="1:54" s="191" customFormat="1" ht="13.2">
      <c r="A108" s="226"/>
      <c r="B108" s="180">
        <v>6005056542</v>
      </c>
      <c r="C108" s="183" t="str">
        <f>IFERROR(IF(VLOOKUP($B108,勘定科目!$A:$H,HLOOKUP($E$5,勘定科目!$F$1:$H$2,2,0),0)="","",VLOOKUP($B108,勘定科目!$A:$E,2,0)),"")</f>
        <v>水道代（販売）</v>
      </c>
      <c r="D108" s="239" t="str">
        <f>IF(C108="","",VLOOKUP($B108,勘定科目!$A:$E,4,0))</f>
        <v>水道光熱費</v>
      </c>
      <c r="E108" s="245"/>
      <c r="F108" s="194">
        <v>1860039</v>
      </c>
      <c r="G108" s="247">
        <v>2055645</v>
      </c>
      <c r="H108" s="302">
        <v>2285460</v>
      </c>
      <c r="I108" s="302">
        <v>3263802</v>
      </c>
      <c r="J108" s="302">
        <v>2876792</v>
      </c>
      <c r="K108" s="302">
        <v>2455912</v>
      </c>
      <c r="L108" s="302">
        <v>1682369</v>
      </c>
      <c r="M108" s="302">
        <v>2343336</v>
      </c>
      <c r="N108" s="302">
        <v>2302019</v>
      </c>
      <c r="O108" s="302">
        <v>1587004</v>
      </c>
      <c r="P108" s="302">
        <v>1209546</v>
      </c>
      <c r="Q108" s="302">
        <v>1382689</v>
      </c>
      <c r="R108" s="200">
        <f t="shared" si="3"/>
        <v>25304613</v>
      </c>
      <c r="S108" s="201" t="s">
        <v>753</v>
      </c>
      <c r="T108" s="202"/>
      <c r="U108" s="246"/>
      <c r="V108" s="246"/>
      <c r="W108" s="246"/>
      <c r="BA108"/>
      <c r="BB108"/>
    </row>
    <row r="109" spans="1:54" s="191" customFormat="1" ht="13.2">
      <c r="A109" s="226"/>
      <c r="B109" s="180">
        <v>6006016539</v>
      </c>
      <c r="C109" s="183" t="str">
        <f>IFERROR(IF(VLOOKUP($B109,勘定科目!$A:$H,HLOOKUP($E$5,勘定科目!$F$1:$H$2,2,0),0)="","",VLOOKUP($B109,勘定科目!$A:$E,2,0)),"")</f>
        <v>減価償却費配賦（販）　建物</v>
      </c>
      <c r="D109" s="239" t="str">
        <f>IF(C109="","",VLOOKUP($B109,勘定科目!$A:$E,4,0))</f>
        <v>減価償却費</v>
      </c>
      <c r="E109" s="245"/>
      <c r="F109" s="194">
        <v>924741123</v>
      </c>
      <c r="G109" s="247">
        <v>924673078</v>
      </c>
      <c r="H109" s="302">
        <v>924625598</v>
      </c>
      <c r="I109" s="302">
        <v>924136587</v>
      </c>
      <c r="J109" s="302">
        <v>923849426</v>
      </c>
      <c r="K109" s="302">
        <v>923312174</v>
      </c>
      <c r="L109" s="302">
        <v>922867849</v>
      </c>
      <c r="M109" s="302">
        <v>922839412</v>
      </c>
      <c r="N109" s="302">
        <v>922786855</v>
      </c>
      <c r="O109" s="302">
        <v>922743945</v>
      </c>
      <c r="P109" s="302">
        <v>922516451</v>
      </c>
      <c r="Q109" s="302">
        <v>922700275</v>
      </c>
      <c r="R109" s="200">
        <f t="shared" si="3"/>
        <v>11081792773</v>
      </c>
      <c r="S109" s="201" t="s">
        <v>754</v>
      </c>
      <c r="T109" s="202"/>
      <c r="U109" s="246"/>
      <c r="V109" s="246"/>
      <c r="W109" s="246"/>
      <c r="BA109"/>
      <c r="BB109"/>
    </row>
    <row r="110" spans="1:54" s="191" customFormat="1" ht="13.2">
      <c r="A110" s="226"/>
      <c r="B110" s="180">
        <v>6006016540</v>
      </c>
      <c r="C110" s="183" t="str">
        <f>IFERROR(IF(VLOOKUP($B110,勘定科目!$A:$H,HLOOKUP($E$5,勘定科目!$F$1:$H$2,2,0),0)="","",VLOOKUP($B110,勘定科目!$A:$E,2,0)),"")</f>
        <v>減価償却費配賦（販）　土地使用権</v>
      </c>
      <c r="D110" s="239" t="str">
        <f>IF(C110="","",VLOOKUP($B110,勘定科目!$A:$E,4,0))</f>
        <v>減価償却費</v>
      </c>
      <c r="E110" s="245"/>
      <c r="F110" s="194">
        <v>62416237</v>
      </c>
      <c r="G110" s="247">
        <v>62411666</v>
      </c>
      <c r="H110" s="302">
        <v>62408620</v>
      </c>
      <c r="I110" s="302">
        <v>62375613</v>
      </c>
      <c r="J110" s="302">
        <v>62356062</v>
      </c>
      <c r="K110" s="302">
        <v>62320008</v>
      </c>
      <c r="L110" s="302">
        <v>62289794</v>
      </c>
      <c r="M110" s="302">
        <v>62288017</v>
      </c>
      <c r="N110" s="302">
        <v>62284462</v>
      </c>
      <c r="O110" s="302">
        <v>62281670</v>
      </c>
      <c r="P110" s="302">
        <v>62266182</v>
      </c>
      <c r="Q110" s="302">
        <v>62278623</v>
      </c>
      <c r="R110" s="200">
        <f t="shared" si="3"/>
        <v>747976954</v>
      </c>
      <c r="S110" s="201" t="s">
        <v>755</v>
      </c>
      <c r="T110" s="202"/>
      <c r="U110" s="246"/>
      <c r="V110" s="246"/>
      <c r="W110" s="246"/>
      <c r="BA110"/>
      <c r="BB110"/>
    </row>
    <row r="111" spans="1:54" s="191" customFormat="1" ht="13.2">
      <c r="A111" s="226"/>
      <c r="B111" s="180">
        <v>9114120007</v>
      </c>
      <c r="C111" s="183" t="str">
        <f>IFERROR(IF(VLOOKUP($B111,勘定科目!$A:$H,HLOOKUP($E$5,勘定科目!$F$1:$H$2,2,0),0)="","",VLOOKUP($B111,勘定科目!$A:$E,2,0)),"")</f>
        <v>社内金利（固定資産）</v>
      </c>
      <c r="D111" s="239" t="str">
        <f>IF(C111="","",VLOOKUP($B111,勘定科目!$A:$E,4,0))</f>
        <v>固定資産金利</v>
      </c>
      <c r="E111" s="245"/>
      <c r="F111" s="194">
        <v>627698435</v>
      </c>
      <c r="G111" s="247">
        <v>594363904</v>
      </c>
      <c r="H111" s="302">
        <v>594333436</v>
      </c>
      <c r="I111" s="302">
        <v>594019108</v>
      </c>
      <c r="J111" s="302">
        <v>593834522</v>
      </c>
      <c r="K111" s="302">
        <v>593489218</v>
      </c>
      <c r="L111" s="302">
        <v>593203581</v>
      </c>
      <c r="M111" s="302">
        <v>593185300</v>
      </c>
      <c r="N111" s="302">
        <v>593151531</v>
      </c>
      <c r="O111" s="302">
        <v>593123856</v>
      </c>
      <c r="P111" s="302">
        <v>592977610</v>
      </c>
      <c r="Q111" s="302">
        <v>593095927</v>
      </c>
      <c r="R111" s="200">
        <f t="shared" si="3"/>
        <v>7156476428</v>
      </c>
      <c r="S111" s="201" t="s">
        <v>756</v>
      </c>
      <c r="T111" s="202"/>
      <c r="U111" s="246"/>
      <c r="V111" s="246"/>
      <c r="W111" s="246"/>
      <c r="BA111"/>
      <c r="BB111"/>
    </row>
    <row r="112" spans="1:54" s="191" customFormat="1" ht="13.2">
      <c r="A112" s="226"/>
      <c r="B112" s="180">
        <v>9114120007</v>
      </c>
      <c r="C112" s="183" t="str">
        <f>IFERROR(IF(VLOOKUP($B112,勘定科目!$A:$H,HLOOKUP($E$5,勘定科目!$F$1:$H$2,2,0),0)="","",VLOOKUP($B112,勘定科目!$A:$E,2,0)),"")</f>
        <v>社内金利（固定資産）</v>
      </c>
      <c r="D112" s="239" t="str">
        <f>IF(C112="","",VLOOKUP($B112,勘定科目!$A:$E,4,0))</f>
        <v>固定資産金利</v>
      </c>
      <c r="E112" s="245"/>
      <c r="F112" s="194">
        <v>77611898</v>
      </c>
      <c r="G112" s="247">
        <v>75359297</v>
      </c>
      <c r="H112" s="302">
        <v>75355488</v>
      </c>
      <c r="I112" s="302">
        <v>75315626</v>
      </c>
      <c r="J112" s="302">
        <v>75292267</v>
      </c>
      <c r="K112" s="302">
        <v>75248596</v>
      </c>
      <c r="L112" s="302">
        <v>75212289</v>
      </c>
      <c r="M112" s="302">
        <v>75210004</v>
      </c>
      <c r="N112" s="302">
        <v>75205687</v>
      </c>
      <c r="O112" s="302">
        <v>75202133</v>
      </c>
      <c r="P112" s="302">
        <v>75183598</v>
      </c>
      <c r="Q112" s="302">
        <v>75198578</v>
      </c>
      <c r="R112" s="200">
        <f t="shared" si="3"/>
        <v>905395461</v>
      </c>
      <c r="S112" s="201" t="s">
        <v>757</v>
      </c>
      <c r="T112" s="202"/>
      <c r="U112" s="246"/>
      <c r="V112" s="246"/>
      <c r="W112" s="246"/>
      <c r="BA112"/>
      <c r="BB112"/>
    </row>
    <row r="113" spans="1:54" s="191" customFormat="1" ht="13.2">
      <c r="A113" s="226"/>
      <c r="B113" s="180">
        <v>6003036541</v>
      </c>
      <c r="C113" s="183" t="str">
        <f>IFERROR(IF(VLOOKUP($B113,勘定科目!$A:$H,HLOOKUP($E$5,勘定科目!$F$1:$H$2,2,0),0)="","",VLOOKUP($B113,勘定科目!$A:$E,2,0)),"")</f>
        <v>通関申告料（販売）</v>
      </c>
      <c r="D113" s="239" t="str">
        <f>IF(C113="","",VLOOKUP($B113,勘定科目!$A:$E,4,0))</f>
        <v>荷造運賃</v>
      </c>
      <c r="E113" s="245"/>
      <c r="F113" s="194">
        <v>3500000</v>
      </c>
      <c r="G113" s="247">
        <v>3500000</v>
      </c>
      <c r="H113" s="302">
        <v>3500000</v>
      </c>
      <c r="I113" s="302">
        <v>3500000</v>
      </c>
      <c r="J113" s="302">
        <v>3500000</v>
      </c>
      <c r="K113" s="302">
        <v>3500000</v>
      </c>
      <c r="L113" s="302">
        <v>3500000</v>
      </c>
      <c r="M113" s="302">
        <v>3500000</v>
      </c>
      <c r="N113" s="302">
        <v>3500000</v>
      </c>
      <c r="O113" s="302">
        <v>3500000</v>
      </c>
      <c r="P113" s="302">
        <v>3500000</v>
      </c>
      <c r="Q113" s="302">
        <v>3500000</v>
      </c>
      <c r="R113" s="200">
        <f t="shared" si="3"/>
        <v>42000000</v>
      </c>
      <c r="S113" s="201" t="s">
        <v>758</v>
      </c>
      <c r="T113" s="202"/>
      <c r="U113" s="246"/>
      <c r="V113" s="246"/>
      <c r="W113" s="246"/>
      <c r="BA113"/>
      <c r="BB113"/>
    </row>
    <row r="114" spans="1:54" s="191" customFormat="1" ht="13.2">
      <c r="A114" s="226"/>
      <c r="B114" s="180">
        <v>6003036542</v>
      </c>
      <c r="C114" s="183" t="str">
        <f>IFERROR(IF(VLOOKUP($B114,勘定科目!$A:$H,HLOOKUP($E$5,勘定科目!$F$1:$H$2,2,0),0)="","",VLOOKUP($B114,勘定科目!$A:$E,2,0)),"")</f>
        <v>クーリエ費用（販売）</v>
      </c>
      <c r="D114" s="239" t="str">
        <f>IF(C114="","",VLOOKUP($B114,勘定科目!$A:$E,4,0))</f>
        <v>荷造運賃</v>
      </c>
      <c r="E114" s="245"/>
      <c r="F114" s="194">
        <v>0</v>
      </c>
      <c r="G114" s="247">
        <v>0</v>
      </c>
      <c r="H114" s="302">
        <v>0</v>
      </c>
      <c r="I114" s="302">
        <v>0</v>
      </c>
      <c r="J114" s="302">
        <v>0</v>
      </c>
      <c r="K114" s="302">
        <v>0</v>
      </c>
      <c r="L114" s="302">
        <v>0</v>
      </c>
      <c r="M114" s="302">
        <v>0</v>
      </c>
      <c r="N114" s="302">
        <v>0</v>
      </c>
      <c r="O114" s="302">
        <v>0</v>
      </c>
      <c r="P114" s="302">
        <v>0</v>
      </c>
      <c r="Q114" s="302">
        <v>0</v>
      </c>
      <c r="R114" s="200">
        <f t="shared" si="3"/>
        <v>0</v>
      </c>
      <c r="S114" s="201" t="s">
        <v>758</v>
      </c>
      <c r="T114" s="202"/>
      <c r="U114" s="246"/>
      <c r="V114" s="246"/>
      <c r="W114" s="246"/>
      <c r="BA114"/>
      <c r="BB114"/>
    </row>
    <row r="115" spans="1:54" s="191" customFormat="1" ht="13.2">
      <c r="A115" s="226"/>
      <c r="B115" s="180">
        <v>6005246542</v>
      </c>
      <c r="C115" s="183" t="str">
        <f>IFERROR(IF(VLOOKUP($B115,勘定科目!$A:$H,HLOOKUP($E$5,勘定科目!$F$1:$H$2,2,0),0)="","",VLOOKUP($B115,勘定科目!$A:$E,2,0)),"")</f>
        <v>その他手数料</v>
      </c>
      <c r="D115" s="239" t="str">
        <f>IF(C115="","",VLOOKUP($B115,勘定科目!$A:$E,4,0))</f>
        <v>手数料</v>
      </c>
      <c r="E115" s="245"/>
      <c r="F115" s="194">
        <v>0</v>
      </c>
      <c r="G115" s="247">
        <v>0</v>
      </c>
      <c r="H115" s="302">
        <v>0</v>
      </c>
      <c r="I115" s="302">
        <v>0</v>
      </c>
      <c r="J115" s="302">
        <v>0</v>
      </c>
      <c r="K115" s="302">
        <v>0</v>
      </c>
      <c r="L115" s="302">
        <v>0</v>
      </c>
      <c r="M115" s="302">
        <v>0</v>
      </c>
      <c r="N115" s="302">
        <v>0</v>
      </c>
      <c r="O115" s="302">
        <v>0</v>
      </c>
      <c r="P115" s="302">
        <v>0</v>
      </c>
      <c r="Q115" s="302">
        <v>0</v>
      </c>
      <c r="R115" s="200">
        <f t="shared" si="3"/>
        <v>0</v>
      </c>
      <c r="S115" s="201" t="s">
        <v>759</v>
      </c>
      <c r="T115" s="202"/>
      <c r="U115" s="246"/>
      <c r="V115" s="246"/>
      <c r="W115" s="246"/>
      <c r="BA115"/>
      <c r="BB115"/>
    </row>
    <row r="116" spans="1:54" s="191" customFormat="1" ht="13.2">
      <c r="A116" s="226"/>
      <c r="B116" s="180">
        <v>6004086551</v>
      </c>
      <c r="C116" s="183" t="str">
        <f>IFERROR(IF(VLOOKUP($B116,勘定科目!$A:$H,HLOOKUP($E$5,勘定科目!$F$1:$H$2,2,0),0)="","",VLOOKUP($B116,勘定科目!$A:$E,2,0)),"")</f>
        <v>福利厚生費（販売）</v>
      </c>
      <c r="D116" s="239" t="str">
        <f>IF(C116="","",VLOOKUP($B116,勘定科目!$A:$E,4,0))</f>
        <v>福利厚生費</v>
      </c>
      <c r="E116" s="245"/>
      <c r="F116" s="194"/>
      <c r="G116" s="247"/>
      <c r="H116" s="302"/>
      <c r="I116" s="302"/>
      <c r="J116" s="302"/>
      <c r="K116" s="302"/>
      <c r="L116" s="302"/>
      <c r="M116" s="302"/>
      <c r="N116" s="302"/>
      <c r="O116" s="302"/>
      <c r="P116" s="302">
        <v>175000</v>
      </c>
      <c r="Q116" s="302">
        <v>350000</v>
      </c>
      <c r="R116" s="200">
        <f t="shared" si="3"/>
        <v>525000</v>
      </c>
      <c r="S116" s="201" t="s">
        <v>760</v>
      </c>
      <c r="T116" s="202"/>
      <c r="U116" s="246"/>
      <c r="V116" s="246"/>
      <c r="W116" s="246"/>
      <c r="BA116"/>
      <c r="BB116"/>
    </row>
    <row r="117" spans="1:54" s="191" customFormat="1" ht="13.2">
      <c r="A117" s="226"/>
      <c r="B117" s="180">
        <v>6004086551</v>
      </c>
      <c r="C117" s="183" t="str">
        <f>IFERROR(IF(VLOOKUP($B117,勘定科目!$A:$H,HLOOKUP($E$5,勘定科目!$F$1:$H$2,2,0),0)="","",VLOOKUP($B117,勘定科目!$A:$E,2,0)),"")</f>
        <v>福利厚生費（販売）</v>
      </c>
      <c r="D117" s="239" t="str">
        <f>IF(C117="","",VLOOKUP($B117,勘定科目!$A:$E,4,0))</f>
        <v>福利厚生費</v>
      </c>
      <c r="E117" s="245"/>
      <c r="F117" s="194"/>
      <c r="G117" s="247"/>
      <c r="H117" s="302"/>
      <c r="I117" s="302"/>
      <c r="J117" s="302"/>
      <c r="K117" s="302">
        <v>387600</v>
      </c>
      <c r="L117" s="302"/>
      <c r="M117" s="302"/>
      <c r="N117" s="302"/>
      <c r="O117" s="302"/>
      <c r="P117" s="302">
        <v>387600</v>
      </c>
      <c r="Q117" s="302"/>
      <c r="R117" s="200">
        <f t="shared" si="3"/>
        <v>775200</v>
      </c>
      <c r="S117" s="201" t="s">
        <v>761</v>
      </c>
      <c r="T117" s="202"/>
      <c r="U117" s="246"/>
      <c r="V117" s="246"/>
      <c r="W117" s="246"/>
      <c r="BA117"/>
      <c r="BB117"/>
    </row>
    <row r="118" spans="1:54" s="191" customFormat="1" ht="13.2">
      <c r="A118" s="226"/>
      <c r="B118" s="180">
        <v>6005146541</v>
      </c>
      <c r="C118" s="183" t="str">
        <f>IFERROR(IF(VLOOKUP($B118,勘定科目!$A:$H,HLOOKUP($E$5,勘定科目!$F$1:$H$2,2,0),0)="","",VLOOKUP($B118,勘定科目!$A:$E,2,0)),"")</f>
        <v>図書印刷費（販売）</v>
      </c>
      <c r="D118" s="239" t="str">
        <f>IF(C118="","",VLOOKUP($B118,勘定科目!$A:$E,4,0))</f>
        <v>図書及び事務費</v>
      </c>
      <c r="E118" s="245"/>
      <c r="F118" s="194"/>
      <c r="G118" s="247"/>
      <c r="H118" s="302"/>
      <c r="I118" s="302"/>
      <c r="J118" s="302"/>
      <c r="K118" s="302"/>
      <c r="L118" s="302"/>
      <c r="M118" s="302">
        <v>49600</v>
      </c>
      <c r="N118" s="302"/>
      <c r="O118" s="302"/>
      <c r="P118" s="302"/>
      <c r="Q118" s="302"/>
      <c r="R118" s="200">
        <f t="shared" si="3"/>
        <v>49600</v>
      </c>
      <c r="S118" s="201" t="s">
        <v>762</v>
      </c>
      <c r="T118" s="202"/>
      <c r="U118" s="246"/>
      <c r="V118" s="246"/>
      <c r="W118" s="246"/>
      <c r="BA118"/>
      <c r="BB118"/>
    </row>
    <row r="119" spans="1:54" s="191" customFormat="1" ht="13.2">
      <c r="A119" s="226"/>
      <c r="B119" s="180">
        <v>6004086551</v>
      </c>
      <c r="C119" s="183" t="str">
        <f>IFERROR(IF(VLOOKUP($B119,勘定科目!$A:$H,HLOOKUP($E$5,勘定科目!$F$1:$H$2,2,0),0)="","",VLOOKUP($B119,勘定科目!$A:$E,2,0)),"")</f>
        <v>福利厚生費（販売）</v>
      </c>
      <c r="D119" s="239" t="str">
        <f>IF(C119="","",VLOOKUP($B119,勘定科目!$A:$E,4,0))</f>
        <v>福利厚生費</v>
      </c>
      <c r="E119" s="245"/>
      <c r="F119" s="194"/>
      <c r="G119" s="247"/>
      <c r="H119" s="302"/>
      <c r="I119" s="302"/>
      <c r="J119" s="302"/>
      <c r="K119" s="302"/>
      <c r="L119" s="302"/>
      <c r="M119" s="302"/>
      <c r="N119" s="302"/>
      <c r="O119" s="302"/>
      <c r="P119" s="302"/>
      <c r="Q119" s="302"/>
      <c r="R119" s="200">
        <f t="shared" ref="R119:R182" si="5">SUM(F119:Q119)</f>
        <v>0</v>
      </c>
      <c r="S119" s="201" t="s">
        <v>763</v>
      </c>
      <c r="T119" s="202"/>
      <c r="U119" s="246"/>
      <c r="V119" s="246"/>
      <c r="W119" s="246"/>
      <c r="BA119"/>
      <c r="BB119"/>
    </row>
    <row r="120" spans="1:54" s="191" customFormat="1" ht="13.2">
      <c r="A120" s="226"/>
      <c r="B120" s="180"/>
      <c r="C120" s="183" t="str">
        <f>IFERROR(IF(VLOOKUP($B120,勘定科目!$A:$H,HLOOKUP($E$5,勘定科目!$F$1:$H$2,2,0),0)="","",VLOOKUP($B120,勘定科目!$A:$E,2,0)),"")</f>
        <v/>
      </c>
      <c r="D120" s="239" t="str">
        <f>IF(C120="","",VLOOKUP($B120,勘定科目!$A:$E,4,0))</f>
        <v/>
      </c>
      <c r="E120" s="245"/>
      <c r="F120" s="194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00">
        <f t="shared" si="5"/>
        <v>0</v>
      </c>
      <c r="S120" s="201"/>
      <c r="T120" s="202"/>
      <c r="U120" s="246"/>
      <c r="V120" s="246"/>
      <c r="W120" s="246"/>
      <c r="BA120"/>
      <c r="BB120"/>
    </row>
    <row r="121" spans="1:54" s="191" customFormat="1" ht="13.2">
      <c r="A121" s="226"/>
      <c r="B121" s="180"/>
      <c r="C121" s="183" t="str">
        <f>IFERROR(IF(VLOOKUP($B121,勘定科目!$A:$H,HLOOKUP($E$5,勘定科目!$F$1:$H$2,2,0),0)="","",VLOOKUP($B121,勘定科目!$A:$E,2,0)),"")</f>
        <v/>
      </c>
      <c r="D121" s="239" t="str">
        <f>IF(C121="","",VLOOKUP($B121,勘定科目!$A:$E,4,0))</f>
        <v/>
      </c>
      <c r="E121" s="245"/>
      <c r="F121" s="194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00">
        <f t="shared" si="5"/>
        <v>0</v>
      </c>
      <c r="S121" s="201"/>
      <c r="T121" s="202"/>
      <c r="U121" s="246"/>
      <c r="V121" s="246"/>
      <c r="W121" s="246"/>
      <c r="BA121"/>
      <c r="BB121"/>
    </row>
    <row r="122" spans="1:54" s="191" customFormat="1" ht="13.2">
      <c r="A122" s="226"/>
      <c r="B122" s="180"/>
      <c r="C122" s="183" t="str">
        <f>IFERROR(IF(VLOOKUP($B122,勘定科目!$A:$H,HLOOKUP($E$5,勘定科目!$F$1:$H$2,2,0),0)="","",VLOOKUP($B122,勘定科目!$A:$E,2,0)),"")</f>
        <v/>
      </c>
      <c r="D122" s="239" t="str">
        <f>IF(C122="","",VLOOKUP($B122,勘定科目!$A:$E,4,0))</f>
        <v/>
      </c>
      <c r="E122" s="245"/>
      <c r="F122" s="194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00">
        <f t="shared" si="5"/>
        <v>0</v>
      </c>
      <c r="S122" s="201"/>
      <c r="T122" s="202"/>
      <c r="U122" s="246"/>
      <c r="V122" s="246"/>
      <c r="W122" s="246"/>
      <c r="BA122"/>
      <c r="BB122"/>
    </row>
    <row r="123" spans="1:54" s="191" customFormat="1" ht="13.2">
      <c r="A123" s="226"/>
      <c r="B123" s="180"/>
      <c r="C123" s="183" t="str">
        <f>IFERROR(IF(VLOOKUP($B123,勘定科目!$A:$H,HLOOKUP($E$5,勘定科目!$F$1:$H$2,2,0),0)="","",VLOOKUP($B123,勘定科目!$A:$E,2,0)),"")</f>
        <v/>
      </c>
      <c r="D123" s="239" t="str">
        <f>IF(C123="","",VLOOKUP($B123,勘定科目!$A:$E,4,0))</f>
        <v/>
      </c>
      <c r="E123" s="245"/>
      <c r="F123" s="194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00">
        <f t="shared" si="5"/>
        <v>0</v>
      </c>
      <c r="S123" s="201"/>
      <c r="T123" s="202"/>
      <c r="U123" s="246"/>
      <c r="V123" s="246"/>
      <c r="W123" s="246"/>
      <c r="BA123"/>
      <c r="BB123"/>
    </row>
    <row r="124" spans="1:54" s="191" customFormat="1" ht="13.2">
      <c r="A124" s="226"/>
      <c r="B124" s="180"/>
      <c r="C124" s="183" t="str">
        <f>IFERROR(IF(VLOOKUP($B124,勘定科目!$A:$H,HLOOKUP($E$5,勘定科目!$F$1:$H$2,2,0),0)="","",VLOOKUP($B124,勘定科目!$A:$E,2,0)),"")</f>
        <v/>
      </c>
      <c r="D124" s="239" t="str">
        <f>IF(C124="","",VLOOKUP($B124,勘定科目!$A:$E,4,0))</f>
        <v/>
      </c>
      <c r="E124" s="245"/>
      <c r="F124" s="194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00">
        <f t="shared" si="5"/>
        <v>0</v>
      </c>
      <c r="S124" s="201"/>
      <c r="T124" s="202"/>
      <c r="U124" s="246"/>
      <c r="V124" s="246"/>
      <c r="W124" s="246"/>
      <c r="BA124"/>
      <c r="BB124"/>
    </row>
    <row r="125" spans="1:54" s="191" customFormat="1" ht="13.2">
      <c r="A125" s="226"/>
      <c r="B125" s="180"/>
      <c r="C125" s="183" t="str">
        <f>IFERROR(IF(VLOOKUP($B125,勘定科目!$A:$H,HLOOKUP($E$5,勘定科目!$F$1:$H$2,2,0),0)="","",VLOOKUP($B125,勘定科目!$A:$E,2,0)),"")</f>
        <v/>
      </c>
      <c r="D125" s="239" t="str">
        <f>IF(C125="","",VLOOKUP($B125,勘定科目!$A:$E,4,0))</f>
        <v/>
      </c>
      <c r="E125" s="245"/>
      <c r="F125" s="194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00">
        <f t="shared" si="5"/>
        <v>0</v>
      </c>
      <c r="S125" s="201"/>
      <c r="T125" s="202"/>
      <c r="U125" s="246"/>
      <c r="V125" s="246"/>
      <c r="W125" s="246"/>
      <c r="BA125"/>
      <c r="BB125"/>
    </row>
    <row r="126" spans="1:54" s="191" customFormat="1" ht="13.2">
      <c r="A126" s="226"/>
      <c r="B126" s="180"/>
      <c r="C126" s="183" t="str">
        <f>IFERROR(IF(VLOOKUP($B126,勘定科目!$A:$H,HLOOKUP($E$5,勘定科目!$F$1:$H$2,2,0),0)="","",VLOOKUP($B126,勘定科目!$A:$E,2,0)),"")</f>
        <v/>
      </c>
      <c r="D126" s="239" t="str">
        <f>IF(C126="","",VLOOKUP($B126,勘定科目!$A:$E,4,0))</f>
        <v/>
      </c>
      <c r="E126" s="245"/>
      <c r="F126" s="194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00">
        <f t="shared" si="5"/>
        <v>0</v>
      </c>
      <c r="S126" s="201"/>
      <c r="T126" s="202"/>
      <c r="U126" s="246"/>
      <c r="V126" s="246"/>
      <c r="W126" s="246"/>
      <c r="BA126"/>
      <c r="BB126"/>
    </row>
    <row r="127" spans="1:54" s="191" customFormat="1" ht="13.2">
      <c r="A127" s="226"/>
      <c r="B127" s="180"/>
      <c r="C127" s="183" t="str">
        <f>IFERROR(IF(VLOOKUP($B127,勘定科目!$A:$H,HLOOKUP($E$5,勘定科目!$F$1:$H$2,2,0),0)="","",VLOOKUP($B127,勘定科目!$A:$E,2,0)),"")</f>
        <v/>
      </c>
      <c r="D127" s="239" t="str">
        <f>IF(C127="","",VLOOKUP($B127,勘定科目!$A:$E,4,0))</f>
        <v/>
      </c>
      <c r="E127" s="245"/>
      <c r="F127" s="194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00">
        <f t="shared" si="5"/>
        <v>0</v>
      </c>
      <c r="S127" s="201"/>
      <c r="T127" s="202"/>
      <c r="U127" s="246"/>
      <c r="V127" s="246"/>
      <c r="W127" s="246"/>
      <c r="BA127"/>
      <c r="BB127"/>
    </row>
    <row r="128" spans="1:54" s="191" customFormat="1" ht="13.2">
      <c r="A128" s="226"/>
      <c r="B128" s="180"/>
      <c r="C128" s="183" t="str">
        <f>IFERROR(IF(VLOOKUP($B128,勘定科目!$A:$H,HLOOKUP($E$5,勘定科目!$F$1:$H$2,2,0),0)="","",VLOOKUP($B128,勘定科目!$A:$E,2,0)),"")</f>
        <v/>
      </c>
      <c r="D128" s="239" t="str">
        <f>IF(C128="","",VLOOKUP($B128,勘定科目!$A:$E,4,0))</f>
        <v/>
      </c>
      <c r="E128" s="245"/>
      <c r="F128" s="194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00">
        <f t="shared" si="5"/>
        <v>0</v>
      </c>
      <c r="S128" s="201"/>
      <c r="T128" s="202"/>
      <c r="U128" s="246"/>
      <c r="V128" s="246"/>
      <c r="W128" s="246"/>
      <c r="BA128"/>
      <c r="BB128"/>
    </row>
    <row r="129" spans="1:54" s="191" customFormat="1" ht="13.2">
      <c r="A129" s="226"/>
      <c r="B129" s="180"/>
      <c r="C129" s="183" t="str">
        <f>IFERROR(IF(VLOOKUP($B129,勘定科目!$A:$H,HLOOKUP($E$5,勘定科目!$F$1:$H$2,2,0),0)="","",VLOOKUP($B129,勘定科目!$A:$E,2,0)),"")</f>
        <v/>
      </c>
      <c r="D129" s="239" t="str">
        <f>IF(C129="","",VLOOKUP($B129,勘定科目!$A:$E,4,0))</f>
        <v/>
      </c>
      <c r="E129" s="245"/>
      <c r="F129" s="194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00">
        <f t="shared" si="5"/>
        <v>0</v>
      </c>
      <c r="S129" s="201"/>
      <c r="T129" s="202"/>
      <c r="U129" s="246"/>
      <c r="V129" s="246"/>
      <c r="W129" s="246"/>
      <c r="BA129"/>
      <c r="BB129"/>
    </row>
    <row r="130" spans="1:54" s="191" customFormat="1" ht="13.2">
      <c r="A130" s="226"/>
      <c r="B130" s="180"/>
      <c r="C130" s="183" t="str">
        <f>IFERROR(IF(VLOOKUP($B130,勘定科目!$A:$H,HLOOKUP($E$5,勘定科目!$F$1:$H$2,2,0),0)="","",VLOOKUP($B130,勘定科目!$A:$E,2,0)),"")</f>
        <v/>
      </c>
      <c r="D130" s="239" t="str">
        <f>IF(C130="","",VLOOKUP($B130,勘定科目!$A:$E,4,0))</f>
        <v/>
      </c>
      <c r="E130" s="245"/>
      <c r="F130" s="194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00">
        <f t="shared" si="5"/>
        <v>0</v>
      </c>
      <c r="S130" s="201"/>
      <c r="T130" s="202"/>
      <c r="U130" s="246"/>
      <c r="V130" s="246"/>
      <c r="W130" s="246"/>
      <c r="BA130"/>
      <c r="BB130"/>
    </row>
    <row r="131" spans="1:54" s="191" customFormat="1" ht="13.2">
      <c r="A131" s="226"/>
      <c r="B131" s="180"/>
      <c r="C131" s="183" t="str">
        <f>IFERROR(IF(VLOOKUP($B131,勘定科目!$A:$H,HLOOKUP($E$5,勘定科目!$F$1:$H$2,2,0),0)="","",VLOOKUP($B131,勘定科目!$A:$E,2,0)),"")</f>
        <v/>
      </c>
      <c r="D131" s="239" t="str">
        <f>IF(C131="","",VLOOKUP($B131,勘定科目!$A:$E,4,0))</f>
        <v/>
      </c>
      <c r="E131" s="245"/>
      <c r="F131" s="194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00">
        <f t="shared" si="5"/>
        <v>0</v>
      </c>
      <c r="S131" s="201"/>
      <c r="T131" s="202"/>
      <c r="U131" s="246"/>
      <c r="V131" s="246"/>
      <c r="W131" s="246"/>
      <c r="BA131"/>
      <c r="BB131"/>
    </row>
    <row r="132" spans="1:54" s="191" customFormat="1" ht="13.2">
      <c r="A132" s="226"/>
      <c r="B132" s="180"/>
      <c r="C132" s="183" t="str">
        <f>IFERROR(IF(VLOOKUP($B132,勘定科目!$A:$H,HLOOKUP($E$5,勘定科目!$F$1:$H$2,2,0),0)="","",VLOOKUP($B132,勘定科目!$A:$E,2,0)),"")</f>
        <v/>
      </c>
      <c r="D132" s="239" t="str">
        <f>IF(C132="","",VLOOKUP($B132,勘定科目!$A:$E,4,0))</f>
        <v/>
      </c>
      <c r="E132" s="245"/>
      <c r="F132" s="194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00">
        <f t="shared" si="5"/>
        <v>0</v>
      </c>
      <c r="S132" s="201"/>
      <c r="T132" s="202"/>
      <c r="U132" s="246"/>
      <c r="V132" s="246"/>
      <c r="W132" s="246"/>
      <c r="BA132"/>
      <c r="BB132"/>
    </row>
    <row r="133" spans="1:54" s="191" customFormat="1" ht="13.2">
      <c r="A133" s="226"/>
      <c r="B133" s="180"/>
      <c r="C133" s="183" t="str">
        <f>IFERROR(IF(VLOOKUP($B133,勘定科目!$A:$H,HLOOKUP($E$5,勘定科目!$F$1:$H$2,2,0),0)="","",VLOOKUP($B133,勘定科目!$A:$E,2,0)),"")</f>
        <v/>
      </c>
      <c r="D133" s="239" t="str">
        <f>IF(C133="","",VLOOKUP($B133,勘定科目!$A:$E,4,0))</f>
        <v/>
      </c>
      <c r="E133" s="245"/>
      <c r="F133" s="194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00">
        <f t="shared" si="5"/>
        <v>0</v>
      </c>
      <c r="S133" s="201"/>
      <c r="T133" s="202"/>
      <c r="U133" s="246"/>
      <c r="V133" s="246"/>
      <c r="W133" s="246"/>
      <c r="BA133"/>
      <c r="BB133"/>
    </row>
    <row r="134" spans="1:54" s="191" customFormat="1" ht="13.2">
      <c r="A134" s="226"/>
      <c r="B134" s="180"/>
      <c r="C134" s="183" t="str">
        <f>IFERROR(IF(VLOOKUP($B134,勘定科目!$A:$H,HLOOKUP($E$5,勘定科目!$F$1:$H$2,2,0),0)="","",VLOOKUP($B134,勘定科目!$A:$E,2,0)),"")</f>
        <v/>
      </c>
      <c r="D134" s="239" t="str">
        <f>IF(C134="","",VLOOKUP($B134,勘定科目!$A:$E,4,0))</f>
        <v/>
      </c>
      <c r="E134" s="245"/>
      <c r="F134" s="194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00">
        <f t="shared" si="5"/>
        <v>0</v>
      </c>
      <c r="S134" s="201"/>
      <c r="T134" s="202"/>
      <c r="U134" s="246"/>
      <c r="V134" s="246"/>
      <c r="W134" s="246"/>
      <c r="BA134"/>
      <c r="BB134"/>
    </row>
    <row r="135" spans="1:54" s="191" customFormat="1" ht="13.2">
      <c r="A135" s="226"/>
      <c r="B135" s="180"/>
      <c r="C135" s="183" t="str">
        <f>IFERROR(IF(VLOOKUP($B135,勘定科目!$A:$H,HLOOKUP($E$5,勘定科目!$F$1:$H$2,2,0),0)="","",VLOOKUP($B135,勘定科目!$A:$E,2,0)),"")</f>
        <v/>
      </c>
      <c r="D135" s="239" t="str">
        <f>IF(C135="","",VLOOKUP($B135,勘定科目!$A:$E,4,0))</f>
        <v/>
      </c>
      <c r="E135" s="245"/>
      <c r="F135" s="194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00">
        <f t="shared" si="5"/>
        <v>0</v>
      </c>
      <c r="S135" s="201"/>
      <c r="T135" s="202"/>
      <c r="U135" s="246"/>
      <c r="V135" s="246"/>
      <c r="W135" s="246"/>
      <c r="BA135"/>
      <c r="BB135"/>
    </row>
    <row r="136" spans="1:54" s="191" customFormat="1" ht="13.2">
      <c r="A136" s="226"/>
      <c r="B136" s="180"/>
      <c r="C136" s="183" t="str">
        <f>IFERROR(IF(VLOOKUP($B136,勘定科目!$A:$H,HLOOKUP($E$5,勘定科目!$F$1:$H$2,2,0),0)="","",VLOOKUP($B136,勘定科目!$A:$E,2,0)),"")</f>
        <v/>
      </c>
      <c r="D136" s="239" t="str">
        <f>IF(C136="","",VLOOKUP($B136,勘定科目!$A:$E,4,0))</f>
        <v/>
      </c>
      <c r="E136" s="245"/>
      <c r="F136" s="194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00">
        <f t="shared" si="5"/>
        <v>0</v>
      </c>
      <c r="S136" s="201"/>
      <c r="T136" s="202"/>
      <c r="U136" s="246"/>
      <c r="V136" s="246"/>
      <c r="W136" s="246"/>
      <c r="BA136"/>
      <c r="BB136"/>
    </row>
    <row r="137" spans="1:54" s="191" customFormat="1" ht="13.2">
      <c r="A137" s="226"/>
      <c r="B137" s="180"/>
      <c r="C137" s="183" t="str">
        <f>IFERROR(IF(VLOOKUP($B137,勘定科目!$A:$H,HLOOKUP($E$5,勘定科目!$F$1:$H$2,2,0),0)="","",VLOOKUP($B137,勘定科目!$A:$E,2,0)),"")</f>
        <v/>
      </c>
      <c r="D137" s="239" t="str">
        <f>IF(C137="","",VLOOKUP($B137,勘定科目!$A:$E,4,0))</f>
        <v/>
      </c>
      <c r="E137" s="245"/>
      <c r="F137" s="194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00">
        <f t="shared" si="5"/>
        <v>0</v>
      </c>
      <c r="S137" s="201"/>
      <c r="T137" s="202"/>
      <c r="U137" s="246"/>
      <c r="V137" s="246"/>
      <c r="W137" s="246"/>
      <c r="BA137"/>
      <c r="BB137"/>
    </row>
    <row r="138" spans="1:54" s="191" customFormat="1" ht="13.2">
      <c r="A138" s="226"/>
      <c r="B138" s="180"/>
      <c r="C138" s="183" t="str">
        <f>IFERROR(IF(VLOOKUP($B138,勘定科目!$A:$H,HLOOKUP($E$5,勘定科目!$F$1:$H$2,2,0),0)="","",VLOOKUP($B138,勘定科目!$A:$E,2,0)),"")</f>
        <v/>
      </c>
      <c r="D138" s="239" t="str">
        <f>IF(C138="","",VLOOKUP($B138,勘定科目!$A:$E,4,0))</f>
        <v/>
      </c>
      <c r="E138" s="245"/>
      <c r="F138" s="194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00">
        <f t="shared" si="5"/>
        <v>0</v>
      </c>
      <c r="S138" s="201"/>
      <c r="T138" s="202"/>
      <c r="U138" s="246"/>
      <c r="V138" s="246"/>
      <c r="W138" s="246"/>
      <c r="BA138"/>
      <c r="BB138"/>
    </row>
    <row r="139" spans="1:54" s="191" customFormat="1" ht="13.2">
      <c r="A139" s="226"/>
      <c r="B139" s="180"/>
      <c r="C139" s="183" t="str">
        <f>IFERROR(IF(VLOOKUP($B139,勘定科目!$A:$H,HLOOKUP($E$5,勘定科目!$F$1:$H$2,2,0),0)="","",VLOOKUP($B139,勘定科目!$A:$E,2,0)),"")</f>
        <v/>
      </c>
      <c r="D139" s="239" t="str">
        <f>IF(C139="","",VLOOKUP($B139,勘定科目!$A:$E,4,0))</f>
        <v/>
      </c>
      <c r="E139" s="245"/>
      <c r="F139" s="194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00">
        <f t="shared" si="5"/>
        <v>0</v>
      </c>
      <c r="S139" s="201"/>
      <c r="T139" s="202"/>
      <c r="U139" s="246"/>
      <c r="V139" s="246"/>
      <c r="W139" s="246"/>
      <c r="BA139"/>
      <c r="BB139"/>
    </row>
    <row r="140" spans="1:54" s="191" customFormat="1" ht="13.2">
      <c r="A140" s="226"/>
      <c r="B140" s="180"/>
      <c r="C140" s="183" t="str">
        <f>IFERROR(IF(VLOOKUP($B140,勘定科目!$A:$H,HLOOKUP($E$5,勘定科目!$F$1:$H$2,2,0),0)="","",VLOOKUP($B140,勘定科目!$A:$E,2,0)),"")</f>
        <v/>
      </c>
      <c r="D140" s="239" t="str">
        <f>IF(C140="","",VLOOKUP($B140,勘定科目!$A:$E,4,0))</f>
        <v/>
      </c>
      <c r="E140" s="245"/>
      <c r="F140" s="194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00">
        <f t="shared" si="5"/>
        <v>0</v>
      </c>
      <c r="S140" s="201"/>
      <c r="T140" s="202"/>
      <c r="U140" s="246"/>
      <c r="V140" s="246"/>
      <c r="W140" s="246"/>
      <c r="BA140"/>
      <c r="BB140"/>
    </row>
    <row r="141" spans="1:54" s="191" customFormat="1" ht="13.2">
      <c r="A141" s="226"/>
      <c r="B141" s="180"/>
      <c r="C141" s="183" t="str">
        <f>IFERROR(IF(VLOOKUP($B141,勘定科目!$A:$H,HLOOKUP($E$5,勘定科目!$F$1:$H$2,2,0),0)="","",VLOOKUP($B141,勘定科目!$A:$E,2,0)),"")</f>
        <v/>
      </c>
      <c r="D141" s="239" t="str">
        <f>IF(C141="","",VLOOKUP($B141,勘定科目!$A:$E,4,0))</f>
        <v/>
      </c>
      <c r="E141" s="245"/>
      <c r="F141" s="194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00">
        <f t="shared" si="5"/>
        <v>0</v>
      </c>
      <c r="S141" s="201"/>
      <c r="T141" s="202"/>
      <c r="U141" s="246"/>
      <c r="V141" s="246"/>
      <c r="W141" s="246"/>
      <c r="BA141"/>
      <c r="BB141"/>
    </row>
    <row r="142" spans="1:54" s="191" customFormat="1" ht="13.2">
      <c r="A142" s="226"/>
      <c r="B142" s="180"/>
      <c r="C142" s="183" t="str">
        <f>IFERROR(IF(VLOOKUP($B142,勘定科目!$A:$H,HLOOKUP($E$5,勘定科目!$F$1:$H$2,2,0),0)="","",VLOOKUP($B142,勘定科目!$A:$E,2,0)),"")</f>
        <v/>
      </c>
      <c r="D142" s="239" t="str">
        <f>IF(C142="","",VLOOKUP($B142,勘定科目!$A:$E,4,0))</f>
        <v/>
      </c>
      <c r="E142" s="245"/>
      <c r="F142" s="194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00">
        <f t="shared" si="5"/>
        <v>0</v>
      </c>
      <c r="S142" s="201"/>
      <c r="T142" s="202"/>
      <c r="U142" s="246"/>
      <c r="V142" s="246"/>
      <c r="W142" s="246"/>
      <c r="BA142"/>
      <c r="BB142"/>
    </row>
    <row r="143" spans="1:54" s="191" customFormat="1" ht="13.2">
      <c r="A143" s="226"/>
      <c r="B143" s="180"/>
      <c r="C143" s="183" t="str">
        <f>IFERROR(IF(VLOOKUP($B143,勘定科目!$A:$H,HLOOKUP($E$5,勘定科目!$F$1:$H$2,2,0),0)="","",VLOOKUP($B143,勘定科目!$A:$E,2,0)),"")</f>
        <v/>
      </c>
      <c r="D143" s="239" t="str">
        <f>IF(C143="","",VLOOKUP($B143,勘定科目!$A:$E,4,0))</f>
        <v/>
      </c>
      <c r="E143" s="245"/>
      <c r="F143" s="194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00">
        <f t="shared" si="5"/>
        <v>0</v>
      </c>
      <c r="S143" s="201"/>
      <c r="T143" s="202"/>
      <c r="U143" s="246"/>
      <c r="V143" s="246"/>
      <c r="W143" s="246"/>
      <c r="BA143"/>
      <c r="BB143"/>
    </row>
    <row r="144" spans="1:54" s="191" customFormat="1" ht="13.2">
      <c r="A144" s="226"/>
      <c r="B144" s="180"/>
      <c r="C144" s="183" t="str">
        <f>IFERROR(IF(VLOOKUP($B144,勘定科目!$A:$H,HLOOKUP($E$5,勘定科目!$F$1:$H$2,2,0),0)="","",VLOOKUP($B144,勘定科目!$A:$E,2,0)),"")</f>
        <v/>
      </c>
      <c r="D144" s="239" t="str">
        <f>IF(C144="","",VLOOKUP($B144,勘定科目!$A:$E,4,0))</f>
        <v/>
      </c>
      <c r="E144" s="245"/>
      <c r="F144" s="194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00">
        <f t="shared" si="5"/>
        <v>0</v>
      </c>
      <c r="S144" s="201"/>
      <c r="T144" s="202"/>
      <c r="U144" s="246"/>
      <c r="V144" s="246"/>
      <c r="W144" s="246"/>
      <c r="BA144"/>
      <c r="BB144"/>
    </row>
    <row r="145" spans="1:54" s="191" customFormat="1" ht="13.2">
      <c r="A145" s="226"/>
      <c r="B145" s="180"/>
      <c r="C145" s="183" t="str">
        <f>IFERROR(IF(VLOOKUP($B145,勘定科目!$A:$H,HLOOKUP($E$5,勘定科目!$F$1:$H$2,2,0),0)="","",VLOOKUP($B145,勘定科目!$A:$E,2,0)),"")</f>
        <v/>
      </c>
      <c r="D145" s="239" t="str">
        <f>IF(C145="","",VLOOKUP($B145,勘定科目!$A:$E,4,0))</f>
        <v/>
      </c>
      <c r="E145" s="245"/>
      <c r="F145" s="194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00">
        <f t="shared" si="5"/>
        <v>0</v>
      </c>
      <c r="S145" s="201"/>
      <c r="T145" s="202"/>
      <c r="U145" s="246"/>
      <c r="V145" s="246"/>
      <c r="W145" s="246"/>
      <c r="BA145"/>
      <c r="BB145"/>
    </row>
    <row r="146" spans="1:54" s="191" customFormat="1" ht="13.2">
      <c r="A146" s="226"/>
      <c r="B146" s="180"/>
      <c r="C146" s="183" t="str">
        <f>IFERROR(IF(VLOOKUP($B146,勘定科目!$A:$H,HLOOKUP($E$5,勘定科目!$F$1:$H$2,2,0),0)="","",VLOOKUP($B146,勘定科目!$A:$E,2,0)),"")</f>
        <v/>
      </c>
      <c r="D146" s="239" t="str">
        <f>IF(C146="","",VLOOKUP($B146,勘定科目!$A:$E,4,0))</f>
        <v/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5"/>
        <v>0</v>
      </c>
      <c r="S146" s="201"/>
      <c r="T146" s="202"/>
      <c r="U146" s="246"/>
      <c r="V146" s="246"/>
      <c r="W146" s="246"/>
      <c r="BA146"/>
      <c r="BB146"/>
    </row>
    <row r="147" spans="1:54" s="191" customFormat="1" ht="13.2">
      <c r="A147" s="226"/>
      <c r="B147" s="180"/>
      <c r="C147" s="183" t="str">
        <f>IFERROR(IF(VLOOKUP($B147,勘定科目!$A:$H,HLOOKUP($E$5,勘定科目!$F$1:$H$2,2,0),0)="","",VLOOKUP($B147,勘定科目!$A:$E,2,0)),"")</f>
        <v/>
      </c>
      <c r="D147" s="239" t="str">
        <f>IF(C147="","",VLOOKUP($B147,勘定科目!$A:$E,4,0))</f>
        <v/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>
        <f t="shared" si="5"/>
        <v>0</v>
      </c>
      <c r="S147" s="201"/>
      <c r="T147" s="202"/>
      <c r="U147" s="246"/>
      <c r="V147" s="246"/>
      <c r="W147" s="246"/>
      <c r="BA147"/>
      <c r="BB147"/>
    </row>
    <row r="148" spans="1:54" s="191" customFormat="1" ht="13.2">
      <c r="A148" s="226"/>
      <c r="B148" s="180"/>
      <c r="C148" s="183" t="str">
        <f>IFERROR(IF(VLOOKUP($B148,勘定科目!$A:$H,HLOOKUP($E$5,勘定科目!$F$1:$H$2,2,0),0)="","",VLOOKUP($B148,勘定科目!$A:$E,2,0)),"")</f>
        <v/>
      </c>
      <c r="D148" s="239" t="str">
        <f>IF(C148="","",VLOOKUP($B148,勘定科目!$A:$E,4,0))</f>
        <v/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si="5"/>
        <v>0</v>
      </c>
      <c r="S148" s="201"/>
      <c r="T148" s="202"/>
      <c r="U148" s="246"/>
      <c r="V148" s="246"/>
      <c r="W148" s="246"/>
      <c r="BA148"/>
      <c r="BB148"/>
    </row>
    <row r="149" spans="1:54" s="191" customFormat="1" ht="13.2">
      <c r="A149" s="226"/>
      <c r="B149" s="180"/>
      <c r="C149" s="183" t="str">
        <f>IFERROR(IF(VLOOKUP($B149,勘定科目!$A:$H,HLOOKUP($E$5,勘定科目!$F$1:$H$2,2,0),0)="","",VLOOKUP($B149,勘定科目!$A:$E,2,0)),"")</f>
        <v/>
      </c>
      <c r="D149" s="239" t="str">
        <f>IF(C149="","",VLOOKUP($B149,勘定科目!$A:$E,4,0))</f>
        <v/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5"/>
        <v>0</v>
      </c>
      <c r="S149" s="201"/>
      <c r="T149" s="202"/>
      <c r="U149" s="246"/>
      <c r="V149" s="246"/>
      <c r="W149" s="246"/>
      <c r="BA149"/>
      <c r="BB149"/>
    </row>
    <row r="150" spans="1:54" s="191" customFormat="1" ht="13.2">
      <c r="A150" s="226"/>
      <c r="B150" s="180"/>
      <c r="C150" s="183" t="str">
        <f>IFERROR(IF(VLOOKUP($B150,勘定科目!$A:$H,HLOOKUP($E$5,勘定科目!$F$1:$H$2,2,0),0)="","",VLOOKUP($B150,勘定科目!$A:$E,2,0)),"")</f>
        <v/>
      </c>
      <c r="D150" s="239" t="str">
        <f>IF(C150="","",VLOOKUP($B150,勘定科目!$A:$E,4,0))</f>
        <v/>
      </c>
      <c r="E150" s="245"/>
      <c r="F150" s="194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00">
        <f t="shared" si="5"/>
        <v>0</v>
      </c>
      <c r="S150" s="201"/>
      <c r="T150" s="202"/>
      <c r="U150" s="246"/>
      <c r="V150" s="246"/>
      <c r="W150" s="246"/>
      <c r="BA150"/>
      <c r="BB150"/>
    </row>
    <row r="151" spans="1:54" s="191" customFormat="1" ht="13.2">
      <c r="A151" s="226"/>
      <c r="B151" s="180"/>
      <c r="C151" s="183" t="str">
        <f>IFERROR(IF(VLOOKUP($B151,勘定科目!$A:$H,HLOOKUP($E$5,勘定科目!$F$1:$H$2,2,0),0)="","",VLOOKUP($B151,勘定科目!$A:$E,2,0)),"")</f>
        <v/>
      </c>
      <c r="D151" s="239" t="str">
        <f>IF(C151="","",VLOOKUP($B151,勘定科目!$A:$E,4,0))</f>
        <v/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00">
        <f t="shared" si="5"/>
        <v>0</v>
      </c>
      <c r="S151" s="201"/>
      <c r="T151" s="202"/>
      <c r="U151" s="246"/>
      <c r="V151" s="246"/>
      <c r="W151" s="246"/>
      <c r="BA151"/>
      <c r="BB151"/>
    </row>
    <row r="152" spans="1:54" s="191" customFormat="1" ht="13.2">
      <c r="A152" s="226"/>
      <c r="B152" s="180"/>
      <c r="C152" s="183" t="str">
        <f>IFERROR(IF(VLOOKUP($B152,勘定科目!$A:$H,HLOOKUP($E$5,勘定科目!$F$1:$H$2,2,0),0)="","",VLOOKUP($B152,勘定科目!$A:$E,2,0)),"")</f>
        <v/>
      </c>
      <c r="D152" s="239" t="str">
        <f>IF(C152="","",VLOOKUP($B152,勘定科目!$A:$E,4,0))</f>
        <v/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00">
        <f t="shared" si="5"/>
        <v>0</v>
      </c>
      <c r="S152" s="201"/>
      <c r="T152" s="202"/>
      <c r="U152" s="246"/>
      <c r="V152" s="246"/>
      <c r="W152" s="246"/>
      <c r="BA152"/>
      <c r="BB152"/>
    </row>
    <row r="153" spans="1:54" s="191" customFormat="1" ht="13.2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5"/>
        <v>0</v>
      </c>
      <c r="S153" s="201"/>
      <c r="T153" s="202"/>
      <c r="U153" s="246"/>
      <c r="V153" s="246"/>
      <c r="W153" s="246"/>
      <c r="BA153"/>
      <c r="BB153"/>
    </row>
    <row r="154" spans="1:54" s="191" customFormat="1" ht="13.2">
      <c r="A154" s="226"/>
      <c r="B154" s="180"/>
      <c r="C154" s="183" t="str">
        <f>IFERROR(IF(VLOOKUP($B154,勘定科目!$A:$H,HLOOKUP($E$5,勘定科目!$F$1:$H$2,2,0),0)="","",VLOOKUP($B154,勘定科目!$A:$E,2,0)),"")</f>
        <v/>
      </c>
      <c r="D154" s="239" t="str">
        <f>IF(C154="","",VLOOKUP($B154,勘定科目!$A:$E,4,0))</f>
        <v/>
      </c>
      <c r="E154" s="245"/>
      <c r="F154" s="194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00">
        <f t="shared" si="5"/>
        <v>0</v>
      </c>
      <c r="S154" s="201"/>
      <c r="T154" s="202"/>
      <c r="U154" s="246"/>
      <c r="V154" s="246"/>
      <c r="W154" s="246"/>
      <c r="BA154"/>
      <c r="BB154"/>
    </row>
    <row r="155" spans="1:54" s="191" customFormat="1" ht="13.2">
      <c r="A155" s="226"/>
      <c r="B155" s="180"/>
      <c r="C155" s="183" t="str">
        <f>IFERROR(IF(VLOOKUP($B155,勘定科目!$A:$H,HLOOKUP($E$5,勘定科目!$F$1:$H$2,2,0),0)="","",VLOOKUP($B155,勘定科目!$A:$E,2,0)),"")</f>
        <v/>
      </c>
      <c r="D155" s="239" t="str">
        <f>IF(C155="","",VLOOKUP($B155,勘定科目!$A:$E,4,0))</f>
        <v/>
      </c>
      <c r="E155" s="245"/>
      <c r="F155" s="194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00">
        <f t="shared" si="5"/>
        <v>0</v>
      </c>
      <c r="S155" s="201"/>
      <c r="T155" s="202"/>
      <c r="U155" s="246"/>
      <c r="V155" s="246"/>
      <c r="W155" s="246"/>
      <c r="BA155"/>
      <c r="BB155"/>
    </row>
    <row r="156" spans="1:54" s="191" customFormat="1" ht="13.2">
      <c r="A156" s="226"/>
      <c r="B156" s="180"/>
      <c r="C156" s="183" t="str">
        <f>IFERROR(IF(VLOOKUP($B156,勘定科目!$A:$H,HLOOKUP($E$5,勘定科目!$F$1:$H$2,2,0),0)="","",VLOOKUP($B156,勘定科目!$A:$E,2,0)),"")</f>
        <v/>
      </c>
      <c r="D156" s="239" t="str">
        <f>IF(C156="","",VLOOKUP($B156,勘定科目!$A:$E,4,0))</f>
        <v/>
      </c>
      <c r="E156" s="245"/>
      <c r="F156" s="194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00">
        <f t="shared" si="5"/>
        <v>0</v>
      </c>
      <c r="S156" s="201"/>
      <c r="T156" s="202"/>
      <c r="U156" s="246"/>
      <c r="V156" s="246"/>
      <c r="W156" s="246"/>
      <c r="BA156"/>
      <c r="BB156"/>
    </row>
    <row r="157" spans="1:54" s="191" customFormat="1" ht="13.2">
      <c r="A157" s="226"/>
      <c r="B157" s="180"/>
      <c r="C157" s="183" t="str">
        <f>IFERROR(IF(VLOOKUP($B157,勘定科目!$A:$H,HLOOKUP($E$5,勘定科目!$F$1:$H$2,2,0),0)="","",VLOOKUP($B157,勘定科目!$A:$E,2,0)),"")</f>
        <v/>
      </c>
      <c r="D157" s="239" t="str">
        <f>IF(C157="","",VLOOKUP($B157,勘定科目!$A:$E,4,0))</f>
        <v/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5"/>
        <v>0</v>
      </c>
      <c r="S157" s="201"/>
      <c r="T157" s="202"/>
      <c r="U157" s="246"/>
      <c r="V157" s="246"/>
      <c r="W157" s="246"/>
      <c r="BA157"/>
      <c r="BB157"/>
    </row>
    <row r="158" spans="1:54" s="191" customFormat="1" ht="13.2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>
        <f t="shared" si="5"/>
        <v>0</v>
      </c>
      <c r="S158" s="201"/>
      <c r="T158" s="202"/>
      <c r="U158" s="246"/>
      <c r="V158" s="246"/>
      <c r="W158" s="246"/>
      <c r="BA158"/>
      <c r="BB158"/>
    </row>
    <row r="159" spans="1:54" s="191" customFormat="1" ht="13.2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si="5"/>
        <v>0</v>
      </c>
      <c r="S159" s="201"/>
      <c r="T159" s="202"/>
      <c r="U159" s="246"/>
      <c r="V159" s="246"/>
      <c r="W159" s="246"/>
      <c r="BA159"/>
      <c r="BB159"/>
    </row>
    <row r="160" spans="1:54" s="191" customFormat="1" ht="13.2">
      <c r="A160" s="226"/>
      <c r="B160" s="180"/>
      <c r="C160" s="183" t="str">
        <f>IFERROR(IF(VLOOKUP($B160,勘定科目!$A:$H,HLOOKUP($E$5,勘定科目!$F$1:$H$2,2,0),0)="","",VLOOKUP($B160,勘定科目!$A:$E,2,0)),"")</f>
        <v/>
      </c>
      <c r="D160" s="239" t="str">
        <f>IF(C160="","",VLOOKUP($B160,勘定科目!$A:$E,4,0))</f>
        <v/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5"/>
        <v>0</v>
      </c>
      <c r="S160" s="201"/>
      <c r="T160" s="202"/>
      <c r="U160" s="246"/>
      <c r="V160" s="246"/>
      <c r="W160" s="246"/>
      <c r="BA160"/>
      <c r="BB160"/>
    </row>
    <row r="161" spans="1:54" s="191" customFormat="1" ht="13.2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5"/>
        <v>0</v>
      </c>
      <c r="S161" s="201"/>
      <c r="T161" s="202"/>
      <c r="U161" s="246"/>
      <c r="V161" s="246"/>
      <c r="W161" s="246"/>
      <c r="BA161"/>
      <c r="BB161"/>
    </row>
    <row r="162" spans="1:54" s="191" customFormat="1" ht="13.2">
      <c r="A162" s="226"/>
      <c r="B162" s="180"/>
      <c r="C162" s="183" t="str">
        <f>IFERROR(IF(VLOOKUP($B162,勘定科目!$A:$H,HLOOKUP($E$5,勘定科目!$F$1:$H$2,2,0),0)="","",VLOOKUP($B162,勘定科目!$A:$E,2,0)),"")</f>
        <v/>
      </c>
      <c r="D162" s="239" t="str">
        <f>IF(C162="","",VLOOKUP($B162,勘定科目!$A:$E,4,0))</f>
        <v/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5"/>
        <v>0</v>
      </c>
      <c r="S162" s="201"/>
      <c r="T162" s="202"/>
      <c r="U162" s="246"/>
      <c r="V162" s="246"/>
      <c r="W162" s="246"/>
      <c r="BA162"/>
      <c r="BB162"/>
    </row>
    <row r="163" spans="1:54" s="191" customFormat="1" ht="13.2">
      <c r="A163" s="226"/>
      <c r="B163" s="180"/>
      <c r="C163" s="183" t="str">
        <f>IFERROR(IF(VLOOKUP($B163,勘定科目!$A:$H,HLOOKUP($E$5,勘定科目!$F$1:$H$2,2,0),0)="","",VLOOKUP($B163,勘定科目!$A:$E,2,0)),"")</f>
        <v/>
      </c>
      <c r="D163" s="239" t="str">
        <f>IF(C163="","",VLOOKUP($B163,勘定科目!$A:$E,4,0))</f>
        <v/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>
        <f t="shared" si="5"/>
        <v>0</v>
      </c>
      <c r="S163" s="201"/>
      <c r="T163" s="202"/>
      <c r="U163" s="246"/>
      <c r="V163" s="246"/>
      <c r="W163" s="246"/>
      <c r="BA163"/>
      <c r="BB163"/>
    </row>
    <row r="164" spans="1:54" s="191" customFormat="1" ht="13.2">
      <c r="A164" s="226"/>
      <c r="B164" s="180"/>
      <c r="C164" s="183" t="str">
        <f>IFERROR(IF(VLOOKUP($B164,勘定科目!$A:$H,HLOOKUP($E$5,勘定科目!$F$1:$H$2,2,0),0)="","",VLOOKUP($B164,勘定科目!$A:$E,2,0)),"")</f>
        <v/>
      </c>
      <c r="D164" s="239" t="str">
        <f>IF(C164="","",VLOOKUP($B164,勘定科目!$A:$E,4,0))</f>
        <v/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5"/>
        <v>0</v>
      </c>
      <c r="S164" s="201"/>
      <c r="T164" s="202"/>
      <c r="U164" s="246"/>
      <c r="V164" s="246"/>
      <c r="W164" s="246"/>
      <c r="BA164"/>
      <c r="BB164"/>
    </row>
    <row r="165" spans="1:54" s="191" customFormat="1" ht="13.2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si="5"/>
        <v>0</v>
      </c>
      <c r="S165" s="201"/>
      <c r="T165" s="202"/>
      <c r="U165" s="246"/>
      <c r="V165" s="246"/>
      <c r="W165" s="246"/>
      <c r="BA165"/>
      <c r="BB165"/>
    </row>
    <row r="166" spans="1:54" s="191" customFormat="1" ht="13.2">
      <c r="A166" s="226"/>
      <c r="B166" s="180"/>
      <c r="C166" s="183" t="str">
        <f>IFERROR(IF(VLOOKUP($B166,勘定科目!$A:$H,HLOOKUP($E$5,勘定科目!$F$1:$H$2,2,0),0)="","",VLOOKUP($B166,勘定科目!$A:$E,2,0)),"")</f>
        <v/>
      </c>
      <c r="D166" s="239" t="str">
        <f>IF(C166="","",VLOOKUP($B166,勘定科目!$A:$E,4,0))</f>
        <v/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5"/>
        <v>0</v>
      </c>
      <c r="S166" s="201"/>
      <c r="T166" s="202"/>
      <c r="U166" s="246"/>
      <c r="V166" s="246"/>
      <c r="W166" s="246"/>
      <c r="BA166"/>
      <c r="BB166"/>
    </row>
    <row r="167" spans="1:54" s="191" customFormat="1" ht="13.2">
      <c r="A167" s="226"/>
      <c r="B167" s="180"/>
      <c r="C167" s="183" t="str">
        <f>IFERROR(IF(VLOOKUP($B167,勘定科目!$A:$H,HLOOKUP($E$5,勘定科目!$F$1:$H$2,2,0),0)="","",VLOOKUP($B167,勘定科目!$A:$E,2,0)),"")</f>
        <v/>
      </c>
      <c r="D167" s="239" t="str">
        <f>IF(C167="","",VLOOKUP($B167,勘定科目!$A:$E,4,0))</f>
        <v/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>
        <f t="shared" si="5"/>
        <v>0</v>
      </c>
      <c r="S167" s="201"/>
      <c r="T167" s="202"/>
      <c r="U167" s="246"/>
      <c r="V167" s="246"/>
      <c r="W167" s="246"/>
      <c r="BA167"/>
      <c r="BB167"/>
    </row>
    <row r="168" spans="1:54" s="191" customFormat="1" ht="13.2">
      <c r="A168" s="226"/>
      <c r="B168" s="180"/>
      <c r="C168" s="183" t="str">
        <f>IFERROR(IF(VLOOKUP($B168,勘定科目!$A:$H,HLOOKUP($E$5,勘定科目!$F$1:$H$2,2,0),0)="","",VLOOKUP($B168,勘定科目!$A:$E,2,0)),"")</f>
        <v/>
      </c>
      <c r="D168" s="239" t="str">
        <f>IF(C168="","",VLOOKUP($B168,勘定科目!$A:$E,4,0))</f>
        <v/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>
        <f t="shared" si="5"/>
        <v>0</v>
      </c>
      <c r="S168" s="201"/>
      <c r="T168" s="202"/>
      <c r="U168" s="246"/>
      <c r="V168" s="246"/>
      <c r="W168" s="246"/>
      <c r="BA168"/>
      <c r="BB168"/>
    </row>
    <row r="169" spans="1:54" s="191" customFormat="1" ht="13.2">
      <c r="A169" s="226"/>
      <c r="B169" s="180"/>
      <c r="C169" s="183" t="str">
        <f>IFERROR(IF(VLOOKUP($B169,勘定科目!$A:$H,HLOOKUP($E$5,勘定科目!$F$1:$H$2,2,0),0)="","",VLOOKUP($B169,勘定科目!$A:$E,2,0)),"")</f>
        <v/>
      </c>
      <c r="D169" s="239" t="str">
        <f>IF(C169="","",VLOOKUP($B169,勘定科目!$A:$E,4,0))</f>
        <v/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>
        <f t="shared" si="5"/>
        <v>0</v>
      </c>
      <c r="S169" s="201"/>
      <c r="T169" s="202"/>
      <c r="U169" s="246"/>
      <c r="V169" s="246"/>
      <c r="W169" s="246"/>
      <c r="BA169"/>
      <c r="BB169"/>
    </row>
    <row r="170" spans="1:54" s="191" customFormat="1" ht="13.2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>
        <f t="shared" si="5"/>
        <v>0</v>
      </c>
      <c r="S170" s="201"/>
      <c r="T170" s="202"/>
      <c r="U170" s="246"/>
      <c r="V170" s="246"/>
      <c r="W170" s="246"/>
      <c r="BA170"/>
      <c r="BB170"/>
    </row>
    <row r="171" spans="1:54" s="191" customFormat="1" ht="13.2">
      <c r="A171" s="226"/>
      <c r="B171" s="180"/>
      <c r="C171" s="183" t="str">
        <f>IFERROR(IF(VLOOKUP($B171,勘定科目!$A:$H,HLOOKUP($E$5,勘定科目!$F$1:$H$2,2,0),0)="","",VLOOKUP($B171,勘定科目!$A:$E,2,0)),"")</f>
        <v/>
      </c>
      <c r="D171" s="239" t="str">
        <f>IF(C171="","",VLOOKUP($B171,勘定科目!$A:$E,4,0))</f>
        <v/>
      </c>
      <c r="E171" s="245"/>
      <c r="F171" s="194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>
        <f t="shared" si="5"/>
        <v>0</v>
      </c>
      <c r="S171" s="201"/>
      <c r="T171" s="202"/>
      <c r="U171" s="246"/>
      <c r="V171" s="246"/>
      <c r="W171" s="246"/>
      <c r="BA171"/>
      <c r="BB171"/>
    </row>
    <row r="172" spans="1:54" s="191" customFormat="1" ht="13.2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5"/>
        <v>0</v>
      </c>
      <c r="S172" s="201"/>
      <c r="T172" s="202"/>
      <c r="U172" s="246"/>
      <c r="V172" s="246"/>
      <c r="W172" s="246"/>
      <c r="BA172"/>
      <c r="BB172"/>
    </row>
    <row r="173" spans="1:54" s="191" customFormat="1" ht="13.2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5"/>
        <v>0</v>
      </c>
      <c r="S173" s="201"/>
      <c r="T173" s="202"/>
      <c r="U173" s="246"/>
      <c r="V173" s="246"/>
      <c r="W173" s="246"/>
      <c r="BA173"/>
      <c r="BB173"/>
    </row>
    <row r="174" spans="1:54" s="191" customFormat="1" ht="13.2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>
        <f t="shared" si="5"/>
        <v>0</v>
      </c>
      <c r="S174" s="201"/>
      <c r="T174" s="202"/>
      <c r="U174" s="246"/>
      <c r="V174" s="246"/>
      <c r="W174" s="246"/>
      <c r="BA174"/>
      <c r="BB174"/>
    </row>
    <row r="175" spans="1:54" s="191" customFormat="1" ht="13.2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>
        <f t="shared" si="5"/>
        <v>0</v>
      </c>
      <c r="S175" s="201"/>
      <c r="T175" s="202"/>
      <c r="U175" s="246"/>
      <c r="V175" s="246"/>
      <c r="W175" s="246"/>
      <c r="BA175"/>
      <c r="BB175"/>
    </row>
    <row r="176" spans="1:54" s="191" customFormat="1" ht="13.2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>
        <f t="shared" si="5"/>
        <v>0</v>
      </c>
      <c r="S176" s="201"/>
      <c r="T176" s="202"/>
      <c r="U176" s="246"/>
      <c r="V176" s="246"/>
      <c r="W176" s="246"/>
      <c r="BA176"/>
      <c r="BB176"/>
    </row>
    <row r="177" spans="1:54" s="191" customFormat="1" ht="13.2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>
        <f t="shared" si="5"/>
        <v>0</v>
      </c>
      <c r="S177" s="201"/>
      <c r="T177" s="202"/>
      <c r="U177" s="246"/>
      <c r="V177" s="246"/>
      <c r="W177" s="246"/>
      <c r="BA177"/>
      <c r="BB177"/>
    </row>
    <row r="178" spans="1:54" s="191" customFormat="1" ht="13.2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>
        <f t="shared" si="5"/>
        <v>0</v>
      </c>
      <c r="S178" s="201"/>
      <c r="T178" s="202"/>
      <c r="U178" s="246"/>
      <c r="V178" s="246"/>
      <c r="W178" s="246"/>
      <c r="BA178"/>
      <c r="BB178"/>
    </row>
    <row r="179" spans="1:54" s="191" customFormat="1" ht="13.2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>
        <f t="shared" si="5"/>
        <v>0</v>
      </c>
      <c r="S179" s="201"/>
      <c r="T179" s="202"/>
      <c r="U179" s="246"/>
      <c r="V179" s="246"/>
      <c r="W179" s="246"/>
      <c r="BA179"/>
      <c r="BB179"/>
    </row>
    <row r="180" spans="1:54" s="191" customFormat="1" ht="13.2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>
        <f t="shared" si="5"/>
        <v>0</v>
      </c>
      <c r="S180" s="201"/>
      <c r="T180" s="202"/>
      <c r="U180" s="246"/>
      <c r="V180" s="246"/>
      <c r="W180" s="246"/>
      <c r="BA180"/>
      <c r="BB180"/>
    </row>
    <row r="181" spans="1:54" s="191" customFormat="1" ht="13.2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>
        <f t="shared" si="5"/>
        <v>0</v>
      </c>
      <c r="S181" s="201"/>
      <c r="T181" s="202"/>
      <c r="U181" s="246"/>
      <c r="V181" s="246"/>
      <c r="W181" s="246"/>
      <c r="BA181"/>
      <c r="BB181"/>
    </row>
    <row r="182" spans="1:54" s="191" customFormat="1" ht="13.2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>
        <f t="shared" si="5"/>
        <v>0</v>
      </c>
      <c r="S182" s="201"/>
      <c r="T182" s="202"/>
      <c r="U182" s="246"/>
      <c r="V182" s="246"/>
      <c r="W182" s="246"/>
      <c r="BA182"/>
      <c r="BB182"/>
    </row>
    <row r="183" spans="1:54" s="191" customFormat="1" ht="13.2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>
        <f t="shared" ref="R183:R246" si="6">SUM(F183:Q183)</f>
        <v>0</v>
      </c>
      <c r="S183" s="201"/>
      <c r="T183" s="202"/>
      <c r="U183" s="246"/>
      <c r="V183" s="246"/>
      <c r="W183" s="246"/>
      <c r="BA183"/>
      <c r="BB183"/>
    </row>
    <row r="184" spans="1:54" s="191" customFormat="1" ht="13.2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>
        <f t="shared" si="6"/>
        <v>0</v>
      </c>
      <c r="S184" s="201"/>
      <c r="T184" s="202"/>
      <c r="U184" s="246"/>
      <c r="V184" s="246"/>
      <c r="W184" s="246"/>
      <c r="BA184"/>
      <c r="BB184"/>
    </row>
    <row r="185" spans="1:54" s="191" customFormat="1" ht="13.2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>
        <f t="shared" si="6"/>
        <v>0</v>
      </c>
      <c r="S185" s="201"/>
      <c r="T185" s="202"/>
      <c r="U185" s="246"/>
      <c r="V185" s="246"/>
      <c r="W185" s="246"/>
      <c r="BA185"/>
      <c r="BB185"/>
    </row>
    <row r="186" spans="1:54" s="191" customFormat="1" ht="13.2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6"/>
        <v>0</v>
      </c>
      <c r="S186" s="201"/>
      <c r="T186" s="202"/>
      <c r="U186" s="246"/>
      <c r="V186" s="246"/>
      <c r="W186" s="246"/>
      <c r="BA186"/>
      <c r="BB186"/>
    </row>
    <row r="187" spans="1:54" s="191" customFormat="1" ht="13.2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6"/>
        <v>0</v>
      </c>
      <c r="S187" s="201"/>
      <c r="T187" s="202"/>
      <c r="U187" s="246"/>
      <c r="V187" s="246"/>
      <c r="W187" s="246"/>
      <c r="BA187"/>
      <c r="BB187"/>
    </row>
    <row r="188" spans="1:54" s="191" customFormat="1" ht="13.2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6"/>
        <v>0</v>
      </c>
      <c r="S188" s="201"/>
      <c r="T188" s="202"/>
      <c r="U188" s="246"/>
      <c r="V188" s="246"/>
      <c r="W188" s="246"/>
      <c r="BA188"/>
      <c r="BB188"/>
    </row>
    <row r="189" spans="1:54" s="191" customFormat="1" ht="13.2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6"/>
        <v>0</v>
      </c>
      <c r="S189" s="201"/>
      <c r="T189" s="202"/>
      <c r="U189" s="246"/>
      <c r="V189" s="246"/>
      <c r="W189" s="246"/>
      <c r="BA189"/>
      <c r="BB189"/>
    </row>
    <row r="190" spans="1:54" s="191" customFormat="1" ht="13.2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6"/>
        <v>0</v>
      </c>
      <c r="S190" s="201"/>
      <c r="T190" s="202"/>
      <c r="U190" s="246"/>
      <c r="V190" s="246"/>
      <c r="W190" s="246"/>
      <c r="BA190"/>
      <c r="BB190"/>
    </row>
    <row r="191" spans="1:54" s="191" customFormat="1" ht="13.2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6"/>
        <v>0</v>
      </c>
      <c r="S191" s="201"/>
      <c r="T191" s="202"/>
      <c r="U191" s="246"/>
      <c r="V191" s="246"/>
      <c r="W191" s="246"/>
      <c r="BA191"/>
      <c r="BB191"/>
    </row>
    <row r="192" spans="1:54" s="191" customFormat="1" ht="13.2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6"/>
        <v>0</v>
      </c>
      <c r="S192" s="201"/>
      <c r="T192" s="202"/>
      <c r="U192" s="246"/>
      <c r="V192" s="246"/>
      <c r="W192" s="246"/>
      <c r="BA192"/>
      <c r="BB192"/>
    </row>
    <row r="193" spans="1:54" s="191" customFormat="1" ht="13.2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6"/>
        <v>0</v>
      </c>
      <c r="S193" s="201"/>
      <c r="T193" s="202"/>
      <c r="U193" s="246"/>
      <c r="V193" s="246"/>
      <c r="W193" s="246"/>
      <c r="BA193"/>
      <c r="BB193"/>
    </row>
    <row r="194" spans="1:54" s="191" customFormat="1" ht="13.2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6"/>
        <v>0</v>
      </c>
      <c r="S194" s="201"/>
      <c r="T194" s="202"/>
      <c r="U194" s="246"/>
      <c r="V194" s="246"/>
      <c r="W194" s="246"/>
      <c r="BA194"/>
      <c r="BB194"/>
    </row>
    <row r="195" spans="1:54" s="191" customFormat="1" ht="13.2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6"/>
        <v>0</v>
      </c>
      <c r="S195" s="201"/>
      <c r="T195" s="202"/>
      <c r="U195" s="246"/>
      <c r="V195" s="246"/>
      <c r="W195" s="246"/>
      <c r="BA195"/>
      <c r="BB195"/>
    </row>
    <row r="196" spans="1:54" s="191" customFormat="1" ht="13.2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6"/>
        <v>0</v>
      </c>
      <c r="S196" s="201"/>
      <c r="T196" s="202"/>
      <c r="U196" s="246"/>
      <c r="V196" s="246"/>
      <c r="W196" s="246"/>
      <c r="BA196"/>
      <c r="BB196"/>
    </row>
    <row r="197" spans="1:54" s="191" customFormat="1" ht="13.2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6"/>
        <v>0</v>
      </c>
      <c r="S197" s="201"/>
      <c r="T197" s="202"/>
      <c r="U197" s="246"/>
      <c r="V197" s="246"/>
      <c r="W197" s="246"/>
      <c r="BA197"/>
      <c r="BB197"/>
    </row>
    <row r="198" spans="1:54" s="191" customFormat="1" ht="13.2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6"/>
        <v>0</v>
      </c>
      <c r="S198" s="201"/>
      <c r="T198" s="202"/>
      <c r="U198" s="246"/>
      <c r="V198" s="246"/>
      <c r="W198" s="246"/>
      <c r="BA198"/>
      <c r="BB198"/>
    </row>
    <row r="199" spans="1:54" s="191" customFormat="1" ht="13.2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6"/>
        <v>0</v>
      </c>
      <c r="S199" s="201"/>
      <c r="T199" s="202"/>
      <c r="U199" s="246"/>
      <c r="V199" s="246"/>
      <c r="W199" s="246"/>
      <c r="BA199"/>
      <c r="BB199"/>
    </row>
    <row r="200" spans="1:54" s="191" customFormat="1" ht="13.2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6"/>
        <v>0</v>
      </c>
      <c r="S200" s="201"/>
      <c r="T200" s="202"/>
      <c r="U200" s="246"/>
      <c r="V200" s="246"/>
      <c r="W200" s="246"/>
      <c r="BA200"/>
      <c r="BB200"/>
    </row>
    <row r="201" spans="1:54" s="191" customFormat="1" ht="13.2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6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.2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6"/>
        <v>0</v>
      </c>
      <c r="S202" s="201"/>
      <c r="T202" s="202"/>
      <c r="U202" s="246"/>
      <c r="V202" s="246"/>
      <c r="W202" s="246"/>
      <c r="BA202"/>
      <c r="BB202"/>
    </row>
    <row r="203" spans="1:54" s="191" customFormat="1" ht="13.2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6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.2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6"/>
        <v>0</v>
      </c>
      <c r="S204" s="201"/>
      <c r="T204" s="202"/>
      <c r="U204" s="246"/>
      <c r="V204" s="246"/>
      <c r="W204" s="246"/>
      <c r="BA204"/>
      <c r="BB204"/>
    </row>
    <row r="205" spans="1:54" s="191" customFormat="1" ht="13.2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6"/>
        <v>0</v>
      </c>
      <c r="S205" s="201"/>
      <c r="T205" s="202"/>
      <c r="U205" s="246"/>
      <c r="V205" s="246"/>
      <c r="W205" s="246"/>
      <c r="BA205"/>
      <c r="BB205"/>
    </row>
    <row r="206" spans="1:54" s="191" customFormat="1" ht="13.2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6"/>
        <v>0</v>
      </c>
      <c r="S206" s="201"/>
      <c r="T206" s="202"/>
      <c r="U206" s="246"/>
      <c r="V206" s="246"/>
      <c r="W206" s="246"/>
      <c r="BA206"/>
      <c r="BB206"/>
    </row>
    <row r="207" spans="1:54" s="191" customFormat="1" ht="13.2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6"/>
        <v>0</v>
      </c>
      <c r="S207" s="201"/>
      <c r="T207" s="202"/>
      <c r="U207" s="246"/>
      <c r="V207" s="246"/>
      <c r="W207" s="246"/>
      <c r="BA207"/>
      <c r="BB207"/>
    </row>
    <row r="208" spans="1:54" s="191" customFormat="1" ht="13.2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6"/>
        <v>0</v>
      </c>
      <c r="S208" s="201"/>
      <c r="T208" s="202"/>
      <c r="U208" s="246"/>
      <c r="V208" s="246"/>
      <c r="W208" s="246"/>
      <c r="BA208"/>
      <c r="BB208"/>
    </row>
    <row r="209" spans="1:54" s="191" customFormat="1" ht="13.2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6"/>
        <v>0</v>
      </c>
      <c r="S209" s="201"/>
      <c r="T209" s="202"/>
      <c r="U209" s="246"/>
      <c r="V209" s="246"/>
      <c r="W209" s="246"/>
      <c r="BA209"/>
      <c r="BB209"/>
    </row>
    <row r="210" spans="1:54" s="191" customFormat="1" ht="13.2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6"/>
        <v>0</v>
      </c>
      <c r="S210" s="201"/>
      <c r="T210" s="202"/>
      <c r="U210" s="246"/>
      <c r="V210" s="246"/>
      <c r="W210" s="246"/>
      <c r="BA210"/>
      <c r="BB210"/>
    </row>
    <row r="211" spans="1:54" s="191" customFormat="1" ht="13.2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6"/>
        <v>0</v>
      </c>
      <c r="S211" s="201"/>
      <c r="T211" s="202"/>
      <c r="U211" s="246"/>
      <c r="V211" s="246"/>
      <c r="W211" s="246"/>
      <c r="BA211"/>
      <c r="BB211"/>
    </row>
    <row r="212" spans="1:54" s="191" customFormat="1" ht="13.2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si="6"/>
        <v>0</v>
      </c>
      <c r="S212" s="201"/>
      <c r="T212" s="202"/>
      <c r="U212" s="246"/>
      <c r="V212" s="246"/>
      <c r="W212" s="246"/>
      <c r="BA212"/>
      <c r="BB212"/>
    </row>
    <row r="213" spans="1:54" s="191" customFormat="1" ht="13.2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6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.2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6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.2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6"/>
        <v>0</v>
      </c>
      <c r="S215" s="201"/>
      <c r="T215" s="202"/>
      <c r="U215" s="246"/>
      <c r="V215" s="246"/>
      <c r="W215" s="246"/>
      <c r="BA215"/>
      <c r="BB215"/>
    </row>
    <row r="216" spans="1:54" s="191" customFormat="1" ht="13.2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6"/>
        <v>0</v>
      </c>
      <c r="S216" s="201"/>
      <c r="T216" s="202"/>
      <c r="U216" s="246"/>
      <c r="V216" s="246"/>
      <c r="W216" s="246"/>
      <c r="BA216"/>
      <c r="BB216"/>
    </row>
    <row r="217" spans="1:54" s="191" customFormat="1" ht="13.2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6"/>
        <v>0</v>
      </c>
      <c r="S217" s="201"/>
      <c r="T217" s="202"/>
      <c r="U217" s="246"/>
      <c r="V217" s="246"/>
      <c r="W217" s="246"/>
      <c r="BA217"/>
      <c r="BB217"/>
    </row>
    <row r="218" spans="1:54" s="191" customFormat="1" ht="13.2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si="6"/>
        <v>0</v>
      </c>
      <c r="S218" s="201"/>
      <c r="T218" s="202"/>
      <c r="U218" s="246"/>
      <c r="V218" s="246"/>
      <c r="W218" s="246"/>
      <c r="BA218"/>
      <c r="BB218"/>
    </row>
    <row r="219" spans="1:54" s="191" customFormat="1" ht="13.2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6"/>
        <v>0</v>
      </c>
      <c r="S219" s="201"/>
      <c r="T219" s="202"/>
      <c r="U219" s="246"/>
      <c r="V219" s="246"/>
      <c r="W219" s="246"/>
      <c r="BA219"/>
      <c r="BB219"/>
    </row>
    <row r="220" spans="1:54" s="191" customFormat="1" ht="13.2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6"/>
        <v>0</v>
      </c>
      <c r="S220" s="201"/>
      <c r="T220" s="202"/>
      <c r="U220" s="246"/>
      <c r="V220" s="246"/>
      <c r="W220" s="246"/>
      <c r="BA220"/>
      <c r="BB220"/>
    </row>
    <row r="221" spans="1:54" s="191" customFormat="1" ht="13.2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6"/>
        <v>0</v>
      </c>
      <c r="S221" s="201"/>
      <c r="T221" s="202"/>
      <c r="U221" s="246"/>
      <c r="V221" s="246"/>
      <c r="W221" s="246"/>
      <c r="BA221"/>
      <c r="BB221"/>
    </row>
    <row r="222" spans="1:54" s="191" customFormat="1" ht="13.2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6"/>
        <v>0</v>
      </c>
      <c r="S222" s="201"/>
      <c r="T222" s="202"/>
      <c r="U222" s="246"/>
      <c r="V222" s="246"/>
      <c r="W222" s="246"/>
      <c r="BA222"/>
      <c r="BB222"/>
    </row>
    <row r="223" spans="1:54" s="191" customFormat="1" ht="13.2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6"/>
        <v>0</v>
      </c>
      <c r="S223" s="201"/>
      <c r="T223" s="202"/>
      <c r="U223" s="246"/>
      <c r="V223" s="246"/>
      <c r="W223" s="246"/>
      <c r="BA223"/>
      <c r="BB223"/>
    </row>
    <row r="224" spans="1:54" s="191" customFormat="1" ht="13.2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6"/>
        <v>0</v>
      </c>
      <c r="S224" s="201"/>
      <c r="T224" s="202"/>
      <c r="U224" s="246"/>
      <c r="V224" s="246"/>
      <c r="W224" s="246"/>
      <c r="BA224"/>
      <c r="BB224"/>
    </row>
    <row r="225" spans="1:54" s="191" customFormat="1" ht="13.2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6"/>
        <v>0</v>
      </c>
      <c r="S225" s="201"/>
      <c r="T225" s="202"/>
      <c r="U225" s="246"/>
      <c r="V225" s="246"/>
      <c r="W225" s="246"/>
      <c r="BA225"/>
      <c r="BB225"/>
    </row>
    <row r="226" spans="1:54" s="191" customFormat="1" ht="13.2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6"/>
        <v>0</v>
      </c>
      <c r="S226" s="201"/>
      <c r="T226" s="202"/>
      <c r="U226" s="246"/>
      <c r="V226" s="246"/>
      <c r="W226" s="246"/>
      <c r="BA226"/>
      <c r="BB226"/>
    </row>
    <row r="227" spans="1:54" s="191" customFormat="1" ht="13.2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6"/>
        <v>0</v>
      </c>
      <c r="S227" s="201"/>
      <c r="T227" s="202"/>
      <c r="U227" s="246"/>
      <c r="V227" s="246"/>
      <c r="W227" s="246"/>
      <c r="BA227"/>
      <c r="BB227"/>
    </row>
    <row r="228" spans="1:54" s="191" customFormat="1" ht="13.2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6"/>
        <v>0</v>
      </c>
      <c r="S228" s="201"/>
      <c r="T228" s="202"/>
      <c r="U228" s="246"/>
      <c r="V228" s="246"/>
      <c r="W228" s="246"/>
      <c r="BA228"/>
      <c r="BB228"/>
    </row>
    <row r="229" spans="1:54" s="191" customFormat="1" ht="13.2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si="6"/>
        <v>0</v>
      </c>
      <c r="S229" s="201"/>
      <c r="T229" s="202"/>
      <c r="U229" s="246"/>
      <c r="V229" s="246"/>
      <c r="W229" s="246"/>
      <c r="BA229"/>
      <c r="BB229"/>
    </row>
    <row r="230" spans="1:54" s="191" customFormat="1" ht="13.2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6"/>
        <v>0</v>
      </c>
      <c r="S230" s="201"/>
      <c r="T230" s="202"/>
      <c r="U230" s="246"/>
      <c r="V230" s="246"/>
      <c r="W230" s="246"/>
      <c r="BA230"/>
      <c r="BB230"/>
    </row>
    <row r="231" spans="1:54" s="191" customFormat="1" ht="13.2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6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.2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6"/>
        <v>0</v>
      </c>
      <c r="S232" s="201"/>
      <c r="T232" s="202"/>
      <c r="U232" s="246"/>
      <c r="V232" s="246"/>
      <c r="W232" s="246"/>
      <c r="BA232"/>
      <c r="BB232"/>
    </row>
    <row r="233" spans="1:54" s="191" customFormat="1" ht="13.2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6"/>
        <v>0</v>
      </c>
      <c r="S233" s="201"/>
      <c r="T233" s="202"/>
      <c r="U233" s="246"/>
      <c r="V233" s="246"/>
      <c r="W233" s="246"/>
      <c r="BA233"/>
      <c r="BB233"/>
    </row>
    <row r="234" spans="1:54" s="191" customFormat="1" ht="13.2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6"/>
        <v>0</v>
      </c>
      <c r="S234" s="201"/>
      <c r="T234" s="202"/>
      <c r="U234" s="246"/>
      <c r="V234" s="246"/>
      <c r="W234" s="246"/>
      <c r="BA234"/>
      <c r="BB234"/>
    </row>
    <row r="235" spans="1:54" s="191" customFormat="1" ht="13.2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6"/>
        <v>0</v>
      </c>
      <c r="S235" s="201"/>
      <c r="T235" s="202"/>
      <c r="U235" s="246"/>
      <c r="V235" s="246"/>
      <c r="W235" s="246"/>
      <c r="BA235"/>
      <c r="BB235"/>
    </row>
    <row r="236" spans="1:54" s="191" customFormat="1" ht="13.2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6"/>
        <v>0</v>
      </c>
      <c r="S236" s="201"/>
      <c r="T236" s="202"/>
      <c r="U236" s="246"/>
      <c r="V236" s="246"/>
      <c r="W236" s="246"/>
      <c r="BA236"/>
      <c r="BB236"/>
    </row>
    <row r="237" spans="1:54" s="191" customFormat="1" ht="13.2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6"/>
        <v>0</v>
      </c>
      <c r="S237" s="201"/>
      <c r="T237" s="202"/>
      <c r="U237" s="246"/>
      <c r="V237" s="246"/>
      <c r="W237" s="246"/>
      <c r="BA237"/>
      <c r="BB237"/>
    </row>
    <row r="238" spans="1:54" s="191" customFormat="1" ht="13.2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6"/>
        <v>0</v>
      </c>
      <c r="S238" s="201"/>
      <c r="T238" s="202"/>
      <c r="U238" s="246"/>
      <c r="V238" s="246"/>
      <c r="W238" s="246"/>
      <c r="BA238"/>
      <c r="BB238"/>
    </row>
    <row r="239" spans="1:54" s="191" customFormat="1" ht="13.2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6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.2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6"/>
        <v>0</v>
      </c>
      <c r="S240" s="201"/>
      <c r="T240" s="202"/>
      <c r="U240" s="246"/>
      <c r="V240" s="246"/>
      <c r="W240" s="246"/>
      <c r="BA240"/>
      <c r="BB240"/>
    </row>
    <row r="241" spans="1:54" s="191" customFormat="1" ht="13.2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6"/>
        <v>0</v>
      </c>
      <c r="S241" s="201"/>
      <c r="T241" s="202"/>
      <c r="U241" s="246"/>
      <c r="V241" s="246"/>
      <c r="W241" s="246"/>
      <c r="BA241"/>
      <c r="BB241"/>
    </row>
    <row r="242" spans="1:54" s="191" customFormat="1" ht="13.2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6"/>
        <v>0</v>
      </c>
      <c r="S242" s="201"/>
      <c r="T242" s="202"/>
      <c r="U242" s="246"/>
      <c r="V242" s="246"/>
      <c r="W242" s="246"/>
      <c r="BA242"/>
      <c r="BB242"/>
    </row>
    <row r="243" spans="1:54" s="191" customFormat="1" ht="13.2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6"/>
        <v>0</v>
      </c>
      <c r="S243" s="201"/>
      <c r="T243" s="202"/>
      <c r="U243" s="246"/>
      <c r="V243" s="246"/>
      <c r="W243" s="246"/>
      <c r="BA243"/>
      <c r="BB243"/>
    </row>
    <row r="244" spans="1:54" s="191" customFormat="1" ht="13.2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6"/>
        <v>0</v>
      </c>
      <c r="S244" s="201"/>
      <c r="T244" s="202"/>
      <c r="U244" s="246"/>
      <c r="V244" s="246"/>
      <c r="W244" s="246"/>
      <c r="BA244"/>
      <c r="BB244"/>
    </row>
    <row r="245" spans="1:54" s="191" customFormat="1" ht="13.2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si="6"/>
        <v>0</v>
      </c>
      <c r="S245" s="201"/>
      <c r="T245" s="202"/>
      <c r="U245" s="246"/>
      <c r="V245" s="246"/>
      <c r="W245" s="246"/>
      <c r="BA245"/>
      <c r="BB245"/>
    </row>
    <row r="246" spans="1:54" s="191" customFormat="1" ht="13.2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si="6"/>
        <v>0</v>
      </c>
      <c r="S246" s="201"/>
      <c r="T246" s="202"/>
      <c r="U246" s="246"/>
      <c r="V246" s="246"/>
      <c r="W246" s="246"/>
      <c r="BA246"/>
      <c r="BB246"/>
    </row>
    <row r="247" spans="1:54" s="191" customFormat="1" ht="13.2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ref="R247:R310" si="7">SUM(F247:Q247)</f>
        <v>0</v>
      </c>
      <c r="S247" s="201"/>
      <c r="T247" s="202"/>
      <c r="U247" s="246"/>
      <c r="V247" s="246"/>
      <c r="W247" s="246"/>
      <c r="BA247"/>
      <c r="BB247"/>
    </row>
    <row r="248" spans="1:54" s="191" customFormat="1" ht="13.2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si="7"/>
        <v>0</v>
      </c>
      <c r="S248" s="201"/>
      <c r="T248" s="202"/>
      <c r="U248" s="246"/>
      <c r="V248" s="246"/>
      <c r="W248" s="246"/>
      <c r="BA248"/>
      <c r="BB248"/>
    </row>
    <row r="249" spans="1:54" s="191" customFormat="1" ht="13.2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si="7"/>
        <v>0</v>
      </c>
      <c r="S249" s="201"/>
      <c r="T249" s="202"/>
      <c r="U249" s="246"/>
      <c r="V249" s="246"/>
      <c r="W249" s="246"/>
      <c r="BA249"/>
      <c r="BB249"/>
    </row>
    <row r="250" spans="1:54" s="191" customFormat="1" ht="13.2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7"/>
        <v>0</v>
      </c>
      <c r="S250" s="201"/>
      <c r="T250" s="202"/>
      <c r="U250" s="246"/>
      <c r="V250" s="246"/>
      <c r="W250" s="246"/>
      <c r="BA250"/>
      <c r="BB250"/>
    </row>
    <row r="251" spans="1:54" s="191" customFormat="1" ht="13.2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7"/>
        <v>0</v>
      </c>
      <c r="S251" s="201"/>
      <c r="T251" s="202"/>
      <c r="U251" s="246"/>
      <c r="V251" s="246"/>
      <c r="W251" s="246"/>
      <c r="BA251"/>
      <c r="BB251"/>
    </row>
    <row r="252" spans="1:54" s="191" customFormat="1" ht="13.2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7"/>
        <v>0</v>
      </c>
      <c r="S252" s="201"/>
      <c r="T252" s="202"/>
      <c r="U252" s="246"/>
      <c r="V252" s="246"/>
      <c r="W252" s="246"/>
      <c r="BA252"/>
      <c r="BB252"/>
    </row>
    <row r="253" spans="1:54" s="191" customFormat="1" ht="13.2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7"/>
        <v>0</v>
      </c>
      <c r="S253" s="201"/>
      <c r="T253" s="202"/>
      <c r="U253" s="246"/>
      <c r="V253" s="246"/>
      <c r="W253" s="246"/>
      <c r="BA253"/>
      <c r="BB253"/>
    </row>
    <row r="254" spans="1:54" s="191" customFormat="1" ht="13.2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7"/>
        <v>0</v>
      </c>
      <c r="S254" s="201"/>
      <c r="T254" s="202"/>
      <c r="U254" s="246"/>
      <c r="V254" s="246"/>
      <c r="W254" s="246"/>
      <c r="BA254"/>
      <c r="BB254"/>
    </row>
    <row r="255" spans="1:54" s="191" customFormat="1" ht="13.2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7"/>
        <v>0</v>
      </c>
      <c r="S255" s="201"/>
      <c r="T255" s="202"/>
      <c r="U255" s="246"/>
      <c r="V255" s="246"/>
      <c r="W255" s="246"/>
      <c r="BA255"/>
      <c r="BB255"/>
    </row>
    <row r="256" spans="1:54" s="191" customFormat="1" ht="13.2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7"/>
        <v>0</v>
      </c>
      <c r="S256" s="201"/>
      <c r="T256" s="202"/>
      <c r="U256" s="246"/>
      <c r="V256" s="246"/>
      <c r="W256" s="246"/>
      <c r="BA256"/>
      <c r="BB256"/>
    </row>
    <row r="257" spans="1:54" s="191" customFormat="1" ht="13.2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7"/>
        <v>0</v>
      </c>
      <c r="S257" s="201"/>
      <c r="T257" s="202"/>
      <c r="U257" s="246"/>
      <c r="V257" s="246"/>
      <c r="W257" s="246"/>
      <c r="BA257"/>
      <c r="BB257"/>
    </row>
    <row r="258" spans="1:54" s="191" customFormat="1" ht="13.2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7"/>
        <v>0</v>
      </c>
      <c r="S258" s="201"/>
      <c r="T258" s="202"/>
      <c r="U258" s="246"/>
      <c r="V258" s="246"/>
      <c r="W258" s="246"/>
      <c r="BA258"/>
      <c r="BB258"/>
    </row>
    <row r="259" spans="1:54" s="191" customFormat="1" ht="13.2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si="7"/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.2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7"/>
        <v>0</v>
      </c>
      <c r="S260" s="201"/>
      <c r="T260" s="202"/>
      <c r="U260" s="246"/>
      <c r="V260" s="246"/>
      <c r="W260" s="246"/>
      <c r="BA260"/>
      <c r="BB260"/>
    </row>
    <row r="261" spans="1:54" s="191" customFormat="1" ht="13.2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7"/>
        <v>0</v>
      </c>
      <c r="S261" s="201"/>
      <c r="T261" s="202"/>
      <c r="U261" s="246"/>
      <c r="V261" s="246"/>
      <c r="W261" s="246"/>
      <c r="BA261"/>
      <c r="BB261"/>
    </row>
    <row r="262" spans="1:54" s="191" customFormat="1" ht="13.2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7"/>
        <v>0</v>
      </c>
      <c r="S262" s="201"/>
      <c r="T262" s="202"/>
      <c r="U262" s="246"/>
      <c r="V262" s="246"/>
      <c r="W262" s="246"/>
      <c r="BA262"/>
      <c r="BB262"/>
    </row>
    <row r="263" spans="1:54" s="191" customFormat="1" ht="13.2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7"/>
        <v>0</v>
      </c>
      <c r="S263" s="201"/>
      <c r="T263" s="202"/>
      <c r="U263" s="246"/>
      <c r="V263" s="246"/>
      <c r="W263" s="246"/>
      <c r="BA263"/>
      <c r="BB263"/>
    </row>
    <row r="264" spans="1:54" s="191" customFormat="1" ht="13.2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7"/>
        <v>0</v>
      </c>
      <c r="S264" s="201"/>
      <c r="T264" s="202"/>
      <c r="U264" s="246"/>
      <c r="V264" s="246"/>
      <c r="W264" s="246"/>
      <c r="BA264"/>
      <c r="BB264"/>
    </row>
    <row r="265" spans="1:54" s="191" customFormat="1" ht="13.2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7"/>
        <v>0</v>
      </c>
      <c r="S265" s="201"/>
      <c r="T265" s="202"/>
      <c r="U265" s="246"/>
      <c r="V265" s="246"/>
      <c r="W265" s="246"/>
      <c r="BA265"/>
      <c r="BB265"/>
    </row>
    <row r="266" spans="1:54" s="191" customFormat="1" ht="13.2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7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.2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7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.2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7"/>
        <v>0</v>
      </c>
      <c r="S268" s="201"/>
      <c r="T268" s="202"/>
      <c r="U268" s="246"/>
      <c r="V268" s="246"/>
      <c r="W268" s="246"/>
      <c r="BA268"/>
      <c r="BB268"/>
    </row>
    <row r="269" spans="1:54" s="191" customFormat="1" ht="13.2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7"/>
        <v>0</v>
      </c>
      <c r="S269" s="201"/>
      <c r="T269" s="202"/>
      <c r="U269" s="246"/>
      <c r="V269" s="246"/>
      <c r="W269" s="246"/>
      <c r="BA269"/>
      <c r="BB269"/>
    </row>
    <row r="270" spans="1:54" s="191" customFormat="1" ht="13.2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7"/>
        <v>0</v>
      </c>
      <c r="S270" s="201"/>
      <c r="T270" s="202"/>
      <c r="U270" s="246"/>
      <c r="V270" s="246"/>
      <c r="W270" s="246"/>
      <c r="BA270"/>
      <c r="BB270"/>
    </row>
    <row r="271" spans="1:54" s="191" customFormat="1" ht="13.2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7"/>
        <v>0</v>
      </c>
      <c r="S271" s="201"/>
      <c r="T271" s="202"/>
      <c r="U271" s="246"/>
      <c r="V271" s="246"/>
      <c r="W271" s="246"/>
      <c r="BA271"/>
      <c r="BB271"/>
    </row>
    <row r="272" spans="1:54" s="191" customFormat="1" ht="13.2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7"/>
        <v>0</v>
      </c>
      <c r="S272" s="201"/>
      <c r="T272" s="202"/>
      <c r="U272" s="246"/>
      <c r="V272" s="246"/>
      <c r="W272" s="246"/>
      <c r="BA272"/>
      <c r="BB272"/>
    </row>
    <row r="273" spans="1:54" s="191" customFormat="1" ht="13.2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7"/>
        <v>0</v>
      </c>
      <c r="S273" s="201"/>
      <c r="T273" s="202"/>
      <c r="U273" s="246"/>
      <c r="V273" s="246"/>
      <c r="W273" s="246"/>
      <c r="BA273"/>
      <c r="BB273"/>
    </row>
    <row r="274" spans="1:54" s="191" customFormat="1" ht="13.2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7"/>
        <v>0</v>
      </c>
      <c r="S274" s="201"/>
      <c r="T274" s="202"/>
      <c r="U274" s="246"/>
      <c r="V274" s="246"/>
      <c r="W274" s="246"/>
      <c r="BA274"/>
      <c r="BB274"/>
    </row>
    <row r="275" spans="1:54" s="191" customFormat="1" ht="13.2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7"/>
        <v>0</v>
      </c>
      <c r="S275" s="201"/>
      <c r="T275" s="202"/>
      <c r="U275" s="246"/>
      <c r="V275" s="246"/>
      <c r="W275" s="246"/>
      <c r="BA275"/>
      <c r="BB275"/>
    </row>
    <row r="276" spans="1:54" s="191" customFormat="1" ht="13.2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si="7"/>
        <v>0</v>
      </c>
      <c r="S276" s="201"/>
      <c r="T276" s="202"/>
      <c r="U276" s="246"/>
      <c r="V276" s="246"/>
      <c r="W276" s="246"/>
      <c r="BA276"/>
      <c r="BB276"/>
    </row>
    <row r="277" spans="1:54" s="191" customFormat="1" ht="13.2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7"/>
        <v>0</v>
      </c>
      <c r="S277" s="201"/>
      <c r="T277" s="202"/>
      <c r="U277" s="246"/>
      <c r="V277" s="246"/>
      <c r="W277" s="246"/>
      <c r="BA277"/>
      <c r="BB277"/>
    </row>
    <row r="278" spans="1:54" s="191" customFormat="1" ht="13.2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7"/>
        <v>0</v>
      </c>
      <c r="S278" s="201"/>
      <c r="T278" s="202"/>
      <c r="U278" s="246"/>
      <c r="V278" s="246"/>
      <c r="W278" s="246"/>
      <c r="BA278"/>
      <c r="BB278"/>
    </row>
    <row r="279" spans="1:54" s="191" customFormat="1" ht="13.2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7"/>
        <v>0</v>
      </c>
      <c r="S279" s="201"/>
      <c r="T279" s="202"/>
      <c r="U279" s="246"/>
      <c r="V279" s="246"/>
      <c r="W279" s="246"/>
      <c r="BA279"/>
      <c r="BB279"/>
    </row>
    <row r="280" spans="1:54" s="191" customFormat="1" ht="13.2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7"/>
        <v>0</v>
      </c>
      <c r="S280" s="201"/>
      <c r="T280" s="202"/>
      <c r="U280" s="246"/>
      <c r="V280" s="246"/>
      <c r="W280" s="246"/>
      <c r="BA280"/>
      <c r="BB280"/>
    </row>
    <row r="281" spans="1:54" s="191" customFormat="1" ht="13.2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7"/>
        <v>0</v>
      </c>
      <c r="S281" s="201"/>
      <c r="T281" s="202"/>
      <c r="U281" s="246"/>
      <c r="V281" s="246"/>
      <c r="W281" s="246"/>
      <c r="BA281"/>
      <c r="BB281"/>
    </row>
    <row r="282" spans="1:54" s="191" customFormat="1" ht="13.2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si="7"/>
        <v>0</v>
      </c>
      <c r="S282" s="201"/>
      <c r="T282" s="202"/>
      <c r="U282" s="246"/>
      <c r="V282" s="246"/>
      <c r="W282" s="246"/>
      <c r="BA282"/>
      <c r="BB282"/>
    </row>
    <row r="283" spans="1:54" s="191" customFormat="1" ht="13.2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>
        <f t="shared" si="7"/>
        <v>0</v>
      </c>
      <c r="S283" s="201"/>
      <c r="T283" s="202"/>
      <c r="U283" s="246"/>
      <c r="V283" s="246"/>
      <c r="W283" s="246"/>
      <c r="BA283"/>
      <c r="BB283"/>
    </row>
    <row r="284" spans="1:54" s="191" customFormat="1" ht="13.2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>
        <f t="shared" si="7"/>
        <v>0</v>
      </c>
      <c r="S284" s="201"/>
      <c r="T284" s="202"/>
      <c r="U284" s="246"/>
      <c r="V284" s="246"/>
      <c r="W284" s="246"/>
      <c r="BA284"/>
      <c r="BB284"/>
    </row>
    <row r="285" spans="1:54" s="191" customFormat="1" ht="13.2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>
        <f t="shared" si="7"/>
        <v>0</v>
      </c>
      <c r="S285" s="201"/>
      <c r="T285" s="202"/>
      <c r="U285" s="246"/>
      <c r="V285" s="246"/>
      <c r="W285" s="246"/>
      <c r="BA285"/>
      <c r="BB285"/>
    </row>
    <row r="286" spans="1:54" s="191" customFormat="1" ht="13.2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>
        <f t="shared" si="7"/>
        <v>0</v>
      </c>
      <c r="S286" s="201"/>
      <c r="T286" s="202"/>
      <c r="U286" s="246"/>
      <c r="V286" s="246"/>
      <c r="W286" s="246"/>
      <c r="BA286"/>
      <c r="BB286"/>
    </row>
    <row r="287" spans="1:54" s="191" customFormat="1" ht="13.2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>
        <f t="shared" si="7"/>
        <v>0</v>
      </c>
      <c r="S287" s="201"/>
      <c r="T287" s="202"/>
      <c r="U287" s="246"/>
      <c r="V287" s="246"/>
      <c r="W287" s="246"/>
      <c r="BA287"/>
      <c r="BB287"/>
    </row>
    <row r="288" spans="1:54" s="191" customFormat="1" ht="13.2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>
        <f t="shared" si="7"/>
        <v>0</v>
      </c>
      <c r="S288" s="201"/>
      <c r="T288" s="202"/>
      <c r="U288" s="246"/>
      <c r="V288" s="246"/>
      <c r="W288" s="246"/>
      <c r="BA288"/>
      <c r="BB288"/>
    </row>
    <row r="289" spans="1:54" s="191" customFormat="1" ht="13.2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>
        <f t="shared" si="7"/>
        <v>0</v>
      </c>
      <c r="S289" s="201"/>
      <c r="T289" s="202"/>
      <c r="U289" s="246"/>
      <c r="V289" s="246"/>
      <c r="W289" s="246"/>
      <c r="BA289"/>
      <c r="BB289"/>
    </row>
    <row r="290" spans="1:54" s="191" customFormat="1" ht="13.2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>
        <f t="shared" si="7"/>
        <v>0</v>
      </c>
      <c r="S290" s="201"/>
      <c r="T290" s="202"/>
      <c r="U290" s="246"/>
      <c r="V290" s="246"/>
      <c r="W290" s="246"/>
      <c r="BA290"/>
      <c r="BB290"/>
    </row>
    <row r="291" spans="1:54" s="191" customFormat="1" ht="13.2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>
        <f t="shared" si="7"/>
        <v>0</v>
      </c>
      <c r="S291" s="201"/>
      <c r="T291" s="202"/>
      <c r="U291" s="246"/>
      <c r="V291" s="246"/>
      <c r="W291" s="246"/>
      <c r="BA291"/>
      <c r="BB291"/>
    </row>
    <row r="292" spans="1:54" s="191" customFormat="1" ht="13.2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>
        <f t="shared" si="7"/>
        <v>0</v>
      </c>
      <c r="S292" s="201"/>
      <c r="T292" s="202"/>
      <c r="U292" s="246"/>
      <c r="V292" s="246"/>
      <c r="W292" s="246"/>
      <c r="BA292"/>
      <c r="BB292"/>
    </row>
    <row r="293" spans="1:54" s="191" customFormat="1" ht="13.2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>
        <f t="shared" si="7"/>
        <v>0</v>
      </c>
      <c r="S293" s="201"/>
      <c r="T293" s="202"/>
      <c r="U293" s="246"/>
      <c r="V293" s="246"/>
      <c r="W293" s="246"/>
      <c r="BA293"/>
      <c r="BB293"/>
    </row>
    <row r="294" spans="1:54" s="191" customFormat="1" ht="13.2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>
        <f t="shared" si="7"/>
        <v>0</v>
      </c>
      <c r="S294" s="201"/>
      <c r="T294" s="202"/>
      <c r="U294" s="246"/>
      <c r="V294" s="246"/>
      <c r="W294" s="246"/>
      <c r="BA294"/>
      <c r="BB294"/>
    </row>
    <row r="295" spans="1:54" s="191" customFormat="1" ht="13.2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>
        <f t="shared" si="7"/>
        <v>0</v>
      </c>
      <c r="S295" s="201"/>
      <c r="T295" s="202"/>
      <c r="U295" s="246"/>
      <c r="V295" s="246"/>
      <c r="W295" s="246"/>
      <c r="BA295"/>
      <c r="BB295"/>
    </row>
    <row r="296" spans="1:54" s="191" customFormat="1" ht="13.2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>
        <f t="shared" si="7"/>
        <v>0</v>
      </c>
      <c r="S296" s="201"/>
      <c r="T296" s="202"/>
      <c r="U296" s="246"/>
      <c r="V296" s="246"/>
      <c r="W296" s="246"/>
      <c r="BA296"/>
      <c r="BB296"/>
    </row>
    <row r="297" spans="1:54" s="191" customFormat="1" ht="13.2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>
        <f t="shared" si="7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.2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>
        <f t="shared" si="7"/>
        <v>0</v>
      </c>
      <c r="S298" s="201"/>
      <c r="T298" s="202"/>
      <c r="U298" s="246"/>
      <c r="V298" s="246"/>
      <c r="W298" s="246"/>
      <c r="BA298"/>
      <c r="BB298"/>
    </row>
    <row r="299" spans="1:54" s="191" customFormat="1" ht="13.2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>
        <f t="shared" si="7"/>
        <v>0</v>
      </c>
      <c r="S299" s="201"/>
      <c r="T299" s="202"/>
      <c r="U299" s="246"/>
      <c r="V299" s="246"/>
      <c r="W299" s="246"/>
      <c r="BA299"/>
      <c r="BB299"/>
    </row>
    <row r="300" spans="1:54" s="191" customFormat="1" ht="13.2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>
        <f t="shared" si="7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.2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>
        <f t="shared" si="7"/>
        <v>0</v>
      </c>
      <c r="S301" s="201"/>
      <c r="T301" s="202"/>
      <c r="U301" s="246"/>
      <c r="V301" s="246"/>
      <c r="W301" s="246"/>
      <c r="BA301"/>
      <c r="BB301"/>
    </row>
    <row r="302" spans="1:54" s="191" customFormat="1" ht="13.2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>
        <f t="shared" si="7"/>
        <v>0</v>
      </c>
      <c r="S302" s="201"/>
      <c r="T302" s="202"/>
      <c r="U302" s="246"/>
      <c r="V302" s="246"/>
      <c r="W302" s="246"/>
      <c r="BA302"/>
      <c r="BB302"/>
    </row>
    <row r="303" spans="1:54" s="191" customFormat="1" ht="13.2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>
        <f t="shared" si="7"/>
        <v>0</v>
      </c>
      <c r="S303" s="201"/>
      <c r="T303" s="202"/>
      <c r="U303" s="246"/>
      <c r="V303" s="246"/>
      <c r="W303" s="246"/>
      <c r="BA303"/>
      <c r="BB303"/>
    </row>
    <row r="304" spans="1:54" s="191" customFormat="1" ht="13.2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>
        <f t="shared" si="7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.2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>
        <f t="shared" si="7"/>
        <v>0</v>
      </c>
      <c r="S305" s="201"/>
      <c r="T305" s="202"/>
      <c r="U305" s="246"/>
      <c r="V305" s="246"/>
      <c r="W305" s="246"/>
      <c r="BA305"/>
      <c r="BB305"/>
    </row>
    <row r="306" spans="1:54" s="191" customFormat="1" ht="13.2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>
        <f t="shared" si="7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.2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>
        <f t="shared" si="7"/>
        <v>0</v>
      </c>
      <c r="S307" s="201"/>
      <c r="T307" s="202"/>
      <c r="U307" s="246"/>
      <c r="V307" s="246"/>
      <c r="W307" s="246"/>
      <c r="BA307"/>
      <c r="BB307"/>
    </row>
    <row r="308" spans="1:54" s="191" customFormat="1" ht="13.2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>
        <f t="shared" si="7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.2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>
        <f t="shared" si="7"/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.2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>
        <f t="shared" si="7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.2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>
        <f t="shared" ref="R311:R374" si="8">SUM(F311:Q311)</f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.2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>
        <f t="shared" si="8"/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.2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>
        <f t="shared" si="8"/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.2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>
        <f t="shared" si="8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.2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>
        <f t="shared" si="8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.2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>
        <f t="shared" si="8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.2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>
        <f t="shared" si="8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.2">
      <c r="A318" s="182"/>
      <c r="B318" s="178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240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00">
        <f t="shared" si="8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.2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240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00">
        <f t="shared" si="8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.2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>
        <f t="shared" si="8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.2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>
        <f t="shared" si="8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.2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>
        <f t="shared" si="8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.2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>
        <f t="shared" si="8"/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.2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>
        <f t="shared" si="8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.2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>
        <f t="shared" si="8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.2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>
        <f t="shared" si="8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.2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>
        <f t="shared" si="8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.2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>
        <f t="shared" si="8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.2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>
        <f t="shared" si="8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.2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8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.2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8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.2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8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.2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8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.2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8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.2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8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.2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8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.2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8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.2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8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.2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8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.2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si="8"/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.2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8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.2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8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.2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8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.2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8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.2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8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.2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si="8"/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.2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8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.2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8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.2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8"/>
        <v>0</v>
      </c>
      <c r="S349" s="201"/>
      <c r="T349" s="202"/>
      <c r="U349" s="246"/>
      <c r="V349" s="246"/>
      <c r="W349" s="246"/>
      <c r="BA349"/>
      <c r="BB349"/>
    </row>
    <row r="350" spans="1:54" s="191" customFormat="1" ht="13.2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8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.2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8"/>
        <v>0</v>
      </c>
      <c r="S351" s="201"/>
      <c r="T351" s="202"/>
      <c r="U351" s="246"/>
      <c r="V351" s="246"/>
      <c r="W351" s="246"/>
      <c r="BA351"/>
      <c r="BB351"/>
    </row>
    <row r="352" spans="1:54" s="191" customFormat="1" ht="13.2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8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.2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8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.2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8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.2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8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.2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8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.2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8"/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.2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8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.2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8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.2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8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.2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8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.2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8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.2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8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.2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8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.2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8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.2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8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.2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8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.2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8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.2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8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.2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8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.2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8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.2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8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.2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8"/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.2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8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.2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ref="R375:R438" si="9">SUM(F375:Q375)</f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.2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si="9"/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.2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si="9"/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.2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9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.2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9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.2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9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.2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9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.2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9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.2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9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.2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9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.2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9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.2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9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.2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9"/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.2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9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.2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9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.2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9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.2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9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.2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9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.2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9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.2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9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.2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9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.2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9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.2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9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.2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9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.2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9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.2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9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.2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9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.2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9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.2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9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.2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si="9"/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.2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9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.2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9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.2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9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.2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9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.2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9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.2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9"/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.2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9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.2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9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.2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9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.2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9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.2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9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.2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9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.2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9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.2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9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.2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9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.2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9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.2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9"/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.2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9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.2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9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.2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9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.2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9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.2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9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.2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9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.2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9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.2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9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.2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9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.2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9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.2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9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.2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9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.2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9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.2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9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.2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9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.2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9"/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.2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9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.2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ref="R439:R502" si="10">SUM(F439:Q439)</f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.2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si="10"/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.2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si="10"/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.2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10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.2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10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.2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10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.2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10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.2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10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.2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10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.2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10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.2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10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.2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10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.2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10"/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.2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10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.2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10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.2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10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.2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10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.2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10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.2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10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.2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10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.2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10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.2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10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.2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10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.2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10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.2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10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.2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10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.2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10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.2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10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.2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10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.2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si="10"/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.2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10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.2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10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.2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10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.2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10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.2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10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.2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10"/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.2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10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.2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10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.2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10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.2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10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.2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10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.2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10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.2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10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.2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10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.2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10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.2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10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.2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10"/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.2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10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.2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10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.2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10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.2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10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.2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10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.2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10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.2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10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.2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10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.2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10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.2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10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.2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10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.2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10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.2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10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.2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10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.2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10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.2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10"/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.2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10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.2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ref="R503:R566" si="11">SUM(F503:Q503)</f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.2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si="11"/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.2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si="11"/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.2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11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.2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11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.2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11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.2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11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.2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11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.2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11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.2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11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.2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11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.2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11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.2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11"/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.2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11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.2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11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.2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11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.2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11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.2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11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.2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11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.2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11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.2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11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.2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11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.2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11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.2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11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.2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11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.2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11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.2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11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.2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11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.2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11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.2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si="11"/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.2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11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.2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11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.2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11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.2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11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.2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11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.2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11"/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.2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11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.2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11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.2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11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.2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11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.2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11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.2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11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.2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11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.2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11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.2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11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.2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11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.2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11"/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.2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11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.2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11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.2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11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.2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11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.2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11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.2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11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.2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11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.2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11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.2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11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.2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11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.2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11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.2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11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.2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11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.2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11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.2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11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.2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11"/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.2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11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.2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ref="R567:R630" si="12">SUM(F567:Q567)</f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.2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si="12"/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.2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si="12"/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.2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12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.2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12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.2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12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.2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12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.2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12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.2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12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.2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12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.2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12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.2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12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.2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12"/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.2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12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.2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12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.2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12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.2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12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.2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12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.2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12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.2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12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.2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12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.2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12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.2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12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.2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12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.2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12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.2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12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.2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12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.2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12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.2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12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.2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si="12"/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.2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12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.2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12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.2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12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.2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12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.2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12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.2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12"/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.2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12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.2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12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.2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12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.2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12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.2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12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.2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12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.2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12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.2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12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.2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12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.2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12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.2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12"/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.2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12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.2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12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.2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12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.2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12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.2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12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.2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12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.2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12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.2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12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.2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12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.2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12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.2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12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.2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12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.2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12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.2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12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.2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12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.2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12"/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.2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12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.2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ref="R631:R694" si="13">SUM(F631:Q631)</f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.2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si="13"/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.2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si="13"/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.2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13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.2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13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.2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13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.2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13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.2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13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.2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13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.2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13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.2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13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.2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13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.2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13"/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.2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13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.2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13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.2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13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.2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13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.2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13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.2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13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.2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13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.2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13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.2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13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.2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13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.2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13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.2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13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.2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13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.2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13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.2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13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.2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13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.2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si="13"/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.2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13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.2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13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.2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13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.2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13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.2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13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.2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13"/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.2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13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.2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13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.2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13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.2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13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.2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13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.2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13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.2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13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.2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13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.2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13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.2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13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.2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13"/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.2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13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.2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13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.2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13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.2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13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.2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13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.2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13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.2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13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.2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13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.2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13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.2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13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.2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13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.2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13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.2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13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.2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13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.2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13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.2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13"/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.2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13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.2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ref="R695:R758" si="14">SUM(F695:Q695)</f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.2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si="14"/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.2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si="14"/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.2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14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.2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14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.2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14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.2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14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.2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14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.2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14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.2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14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.2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14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.2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14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.2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14"/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.2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14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.2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14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.2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14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.2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14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.2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14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.2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14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.2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14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.2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14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.2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14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.2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14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.2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14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.2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14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.2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14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.2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14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.2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14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.2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14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.2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si="14"/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.2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14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.2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14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.2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14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.2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14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.2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14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.2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14"/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.2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14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.2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14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.2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14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.2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14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.2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14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.2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14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.2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14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.2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14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.2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14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.2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14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.2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14"/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.2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14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.2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14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.2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14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.2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14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.2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14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.2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14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.2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14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.2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14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.2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14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.2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14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.2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14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.2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14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.2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14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.2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14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.2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14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.2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14"/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.2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14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.2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ref="R759:R799" si="15">SUM(F759:Q759)</f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.2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si="15"/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.2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si="15"/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.2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15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.2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15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.2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15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.2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15"/>
        <v>0</v>
      </c>
      <c r="S765" s="201"/>
      <c r="T765" s="202"/>
      <c r="U765" s="246"/>
      <c r="V765" s="246"/>
      <c r="W765" s="246"/>
      <c r="BA765"/>
      <c r="BB765"/>
    </row>
    <row r="766" spans="1:54" s="191" customFormat="1" ht="13.2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15"/>
        <v>0</v>
      </c>
      <c r="S766" s="201"/>
      <c r="T766" s="202"/>
      <c r="U766" s="246"/>
      <c r="V766" s="246"/>
      <c r="W766" s="246"/>
      <c r="BA766"/>
      <c r="BB766"/>
    </row>
    <row r="767" spans="1:54" s="191" customFormat="1" ht="13.2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15"/>
        <v>0</v>
      </c>
      <c r="S767" s="201"/>
      <c r="T767" s="202"/>
      <c r="U767" s="246"/>
      <c r="V767" s="246"/>
      <c r="W767" s="246"/>
      <c r="BA767"/>
      <c r="BB767"/>
    </row>
    <row r="768" spans="1:54" s="191" customFormat="1" ht="13.2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15"/>
        <v>0</v>
      </c>
      <c r="S768" s="201"/>
      <c r="T768" s="202"/>
      <c r="U768" s="246"/>
      <c r="V768" s="246"/>
      <c r="W768" s="246"/>
      <c r="BA768"/>
      <c r="BB768"/>
    </row>
    <row r="769" spans="1:54" s="191" customFormat="1" ht="13.2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15"/>
        <v>0</v>
      </c>
      <c r="S769" s="201"/>
      <c r="T769" s="202"/>
      <c r="U769" s="246"/>
      <c r="V769" s="246"/>
      <c r="W769" s="246"/>
      <c r="BA769"/>
      <c r="BB769"/>
    </row>
    <row r="770" spans="1:54" s="191" customFormat="1" ht="13.2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15"/>
        <v>0</v>
      </c>
      <c r="S770" s="201"/>
      <c r="T770" s="202"/>
      <c r="U770" s="246"/>
      <c r="V770" s="246"/>
      <c r="W770" s="246"/>
      <c r="BA770"/>
      <c r="BB770"/>
    </row>
    <row r="771" spans="1:54" s="191" customFormat="1" ht="13.2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>
        <f t="shared" si="15"/>
        <v>0</v>
      </c>
      <c r="S771" s="201"/>
      <c r="T771" s="202"/>
      <c r="U771" s="246"/>
      <c r="V771" s="246"/>
      <c r="W771" s="246"/>
      <c r="BA771"/>
      <c r="BB771"/>
    </row>
    <row r="772" spans="1:54" s="191" customFormat="1" ht="13.2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>
        <f t="shared" si="15"/>
        <v>0</v>
      </c>
      <c r="S772" s="201"/>
      <c r="T772" s="202"/>
      <c r="U772" s="246"/>
      <c r="V772" s="246"/>
      <c r="W772" s="246"/>
      <c r="BA772"/>
      <c r="BB772"/>
    </row>
    <row r="773" spans="1:54" s="191" customFormat="1" ht="13.2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>
        <f t="shared" si="15"/>
        <v>0</v>
      </c>
      <c r="S773" s="201"/>
      <c r="T773" s="202"/>
      <c r="U773" s="246"/>
      <c r="V773" s="246"/>
      <c r="W773" s="246"/>
      <c r="BA773"/>
      <c r="BB773"/>
    </row>
    <row r="774" spans="1:54" s="191" customFormat="1" ht="13.2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>
        <f t="shared" si="15"/>
        <v>0</v>
      </c>
      <c r="S774" s="201"/>
      <c r="T774" s="202"/>
      <c r="U774" s="246"/>
      <c r="V774" s="246"/>
      <c r="W774" s="246"/>
      <c r="BA774"/>
      <c r="BB774"/>
    </row>
    <row r="775" spans="1:54" s="191" customFormat="1" ht="13.2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>
        <f t="shared" si="15"/>
        <v>0</v>
      </c>
      <c r="S775" s="201"/>
      <c r="T775" s="202"/>
      <c r="U775" s="246"/>
      <c r="V775" s="246"/>
      <c r="W775" s="246"/>
      <c r="BA775"/>
      <c r="BB775"/>
    </row>
    <row r="776" spans="1:54" s="191" customFormat="1" ht="13.2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>
        <f t="shared" si="15"/>
        <v>0</v>
      </c>
      <c r="S776" s="201"/>
      <c r="T776" s="202"/>
      <c r="U776" s="246"/>
      <c r="V776" s="246"/>
      <c r="W776" s="246"/>
      <c r="BA776"/>
      <c r="BB776"/>
    </row>
    <row r="777" spans="1:54" s="191" customFormat="1" ht="13.2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>
        <f t="shared" si="15"/>
        <v>0</v>
      </c>
      <c r="S777" s="201"/>
      <c r="T777" s="202"/>
      <c r="U777" s="246"/>
      <c r="V777" s="246"/>
      <c r="W777" s="246"/>
      <c r="BA777"/>
      <c r="BB777"/>
    </row>
    <row r="778" spans="1:54" s="191" customFormat="1" ht="13.2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>
        <f t="shared" si="15"/>
        <v>0</v>
      </c>
      <c r="S778" s="201"/>
      <c r="T778" s="202"/>
      <c r="U778" s="246"/>
      <c r="V778" s="246"/>
      <c r="W778" s="246"/>
      <c r="BA778"/>
      <c r="BB778"/>
    </row>
    <row r="779" spans="1:54" s="191" customFormat="1" ht="13.2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>
        <f t="shared" si="15"/>
        <v>0</v>
      </c>
      <c r="S779" s="201"/>
      <c r="T779" s="202"/>
      <c r="U779" s="246"/>
      <c r="V779" s="246"/>
      <c r="W779" s="246"/>
      <c r="BA779"/>
      <c r="BB779"/>
    </row>
    <row r="780" spans="1:54" s="191" customFormat="1" ht="13.2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>
        <f t="shared" si="15"/>
        <v>0</v>
      </c>
      <c r="S780" s="201"/>
      <c r="T780" s="202"/>
      <c r="U780" s="246"/>
      <c r="V780" s="246"/>
      <c r="W780" s="246"/>
      <c r="BA780"/>
      <c r="BB780"/>
    </row>
    <row r="781" spans="1:54" s="191" customFormat="1" ht="13.2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>
        <f t="shared" si="15"/>
        <v>0</v>
      </c>
      <c r="S781" s="201"/>
      <c r="T781" s="202"/>
      <c r="U781" s="246"/>
      <c r="V781" s="246"/>
      <c r="W781" s="246"/>
      <c r="BA781"/>
      <c r="BB781"/>
    </row>
    <row r="782" spans="1:54" s="191" customFormat="1" ht="13.2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>
        <f t="shared" si="15"/>
        <v>0</v>
      </c>
      <c r="S782" s="201"/>
      <c r="T782" s="202"/>
      <c r="U782" s="246"/>
      <c r="V782" s="246"/>
      <c r="W782" s="246"/>
      <c r="BA782"/>
      <c r="BB782"/>
    </row>
    <row r="783" spans="1:54" s="191" customFormat="1" ht="13.2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>
        <f t="shared" si="15"/>
        <v>0</v>
      </c>
      <c r="S783" s="201"/>
      <c r="T783" s="202"/>
      <c r="U783" s="246"/>
      <c r="V783" s="246"/>
      <c r="W783" s="246"/>
      <c r="BA783"/>
      <c r="BB783"/>
    </row>
    <row r="784" spans="1:54" s="191" customFormat="1" ht="13.2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>
        <f t="shared" si="15"/>
        <v>0</v>
      </c>
      <c r="S784" s="201"/>
      <c r="T784" s="202"/>
      <c r="U784" s="246"/>
      <c r="V784" s="246"/>
      <c r="W784" s="246"/>
      <c r="BA784"/>
      <c r="BB784"/>
    </row>
    <row r="785" spans="1:54" s="191" customFormat="1" ht="13.2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>
        <f t="shared" si="15"/>
        <v>0</v>
      </c>
      <c r="S785" s="201"/>
      <c r="T785" s="202"/>
      <c r="U785" s="246"/>
      <c r="V785" s="246"/>
      <c r="W785" s="246"/>
      <c r="BA785"/>
      <c r="BB785"/>
    </row>
    <row r="786" spans="1:54" s="191" customFormat="1" ht="13.2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>
        <f t="shared" si="15"/>
        <v>0</v>
      </c>
      <c r="S786" s="201"/>
      <c r="T786" s="202"/>
      <c r="U786" s="246"/>
      <c r="V786" s="246"/>
      <c r="W786" s="246"/>
      <c r="BA786"/>
      <c r="BB786"/>
    </row>
    <row r="787" spans="1:54" s="191" customFormat="1" ht="13.2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>
        <f t="shared" si="15"/>
        <v>0</v>
      </c>
      <c r="S787" s="201"/>
      <c r="T787" s="202"/>
      <c r="U787" s="246"/>
      <c r="V787" s="246"/>
      <c r="W787" s="246"/>
      <c r="BA787"/>
      <c r="BB787"/>
    </row>
    <row r="788" spans="1:54" s="191" customFormat="1" ht="13.2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>
        <f t="shared" si="15"/>
        <v>0</v>
      </c>
      <c r="S788" s="201"/>
      <c r="T788" s="202"/>
      <c r="U788" s="246"/>
      <c r="V788" s="246"/>
      <c r="W788" s="246"/>
      <c r="BA788"/>
      <c r="BB788"/>
    </row>
    <row r="789" spans="1:54" s="191" customFormat="1" ht="13.2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>
        <f t="shared" si="15"/>
        <v>0</v>
      </c>
      <c r="S789" s="201"/>
      <c r="T789" s="202"/>
      <c r="U789" s="246"/>
      <c r="V789" s="246"/>
      <c r="W789" s="246"/>
      <c r="BA789"/>
      <c r="BB789"/>
    </row>
    <row r="790" spans="1:54" s="191" customFormat="1" ht="13.2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>
        <f t="shared" si="15"/>
        <v>0</v>
      </c>
      <c r="S790" s="201"/>
      <c r="T790" s="202"/>
      <c r="U790" s="246"/>
      <c r="V790" s="246"/>
      <c r="W790" s="246"/>
      <c r="BA790"/>
      <c r="BB790"/>
    </row>
    <row r="791" spans="1:54" s="191" customFormat="1" ht="13.2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>
        <f t="shared" si="15"/>
        <v>0</v>
      </c>
      <c r="S791" s="201"/>
      <c r="T791" s="202"/>
      <c r="U791" s="246"/>
      <c r="V791" s="246"/>
      <c r="W791" s="246"/>
      <c r="BA791"/>
      <c r="BB791"/>
    </row>
    <row r="792" spans="1:54" s="191" customFormat="1" ht="13.2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>
        <f t="shared" si="15"/>
        <v>0</v>
      </c>
      <c r="S792" s="201"/>
      <c r="T792" s="202"/>
      <c r="U792" s="246"/>
      <c r="V792" s="246"/>
      <c r="W792" s="246"/>
      <c r="BA792"/>
      <c r="BB792"/>
    </row>
    <row r="793" spans="1:54" s="191" customFormat="1" ht="13.2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>
        <f t="shared" si="15"/>
        <v>0</v>
      </c>
      <c r="S793" s="201"/>
      <c r="T793" s="202"/>
      <c r="U793" s="246"/>
      <c r="V793" s="246"/>
      <c r="W793" s="246"/>
      <c r="BA793"/>
      <c r="BB793"/>
    </row>
    <row r="794" spans="1:54" s="191" customFormat="1" ht="13.2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>
        <f t="shared" si="15"/>
        <v>0</v>
      </c>
      <c r="S794" s="201"/>
      <c r="T794" s="202"/>
      <c r="U794" s="246"/>
      <c r="V794" s="246"/>
      <c r="W794" s="246"/>
      <c r="BA794"/>
      <c r="BB794"/>
    </row>
    <row r="795" spans="1:54" s="191" customFormat="1" ht="13.2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>
        <f t="shared" si="15"/>
        <v>0</v>
      </c>
      <c r="S795" s="201"/>
      <c r="T795" s="202"/>
      <c r="U795" s="246"/>
      <c r="V795" s="246"/>
      <c r="W795" s="246"/>
      <c r="BA795"/>
      <c r="BB795"/>
    </row>
    <row r="796" spans="1:54" s="191" customFormat="1" ht="13.2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>
        <f t="shared" si="15"/>
        <v>0</v>
      </c>
      <c r="S796" s="201"/>
      <c r="T796" s="202"/>
      <c r="U796" s="246"/>
      <c r="V796" s="246"/>
      <c r="W796" s="246"/>
      <c r="BA796"/>
      <c r="BB796"/>
    </row>
    <row r="797" spans="1:54" s="191" customFormat="1" ht="13.2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>
        <f t="shared" si="15"/>
        <v>0</v>
      </c>
      <c r="S797" s="201"/>
      <c r="T797" s="202"/>
      <c r="U797" s="246"/>
      <c r="V797" s="246"/>
      <c r="W797" s="246"/>
      <c r="BA797"/>
      <c r="BB797"/>
    </row>
    <row r="798" spans="1:54" s="191" customFormat="1" ht="13.2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>
        <f t="shared" si="15"/>
        <v>0</v>
      </c>
      <c r="S798" s="201"/>
      <c r="T798" s="202"/>
      <c r="U798" s="246"/>
      <c r="V798" s="246"/>
      <c r="W798" s="246"/>
      <c r="BA798"/>
      <c r="BB798"/>
    </row>
    <row r="799" spans="1:54" s="191" customFormat="1" ht="13.2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>
        <f t="shared" si="15"/>
        <v>0</v>
      </c>
      <c r="S799" s="201"/>
      <c r="T799" s="202"/>
      <c r="U799" s="246"/>
      <c r="V799" s="246"/>
      <c r="W799" s="246"/>
      <c r="BA799"/>
      <c r="BB799"/>
    </row>
    <row r="800" spans="1:54" s="191" customFormat="1" ht="13.2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/>
      <c r="S800" s="201"/>
      <c r="T800" s="202"/>
      <c r="U800" s="246"/>
      <c r="V800" s="246"/>
      <c r="W800" s="246"/>
      <c r="BA800"/>
      <c r="BB800"/>
    </row>
    <row r="801" spans="1:54" s="191" customFormat="1" ht="13.2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</row>
    <row r="802" spans="1:54" s="191" customFormat="1" ht="13.2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.2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.2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.2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.2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.2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.2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.2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.2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.2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.2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.2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.2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.2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.2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.2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.2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.2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.2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.2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.2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.2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.2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.2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.2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.2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.2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.2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.2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.2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.2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.2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.2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.2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.2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.2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.2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.2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.2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.2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.2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.2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.2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.2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.2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.2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.2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.2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.2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.2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.2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.2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.2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.2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.2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.2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.2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.2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.2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.2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.2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.2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.2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.2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.2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.2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.2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.2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.2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.2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.2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.2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.2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.2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.2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.2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.2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.2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.2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.2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.2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.2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.2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.2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.2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.2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.2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.2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.2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.2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.2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.2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.2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.2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.2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.2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.2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.2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.2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.2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.2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.2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.2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.2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.2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.2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.2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.2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.2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.2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.2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.2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.2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.2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.2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.2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.2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.2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.2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.2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.2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.2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.2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.2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.2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.2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.2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.2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.2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.2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.2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.2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.2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.2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.2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.2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.2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.2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.2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.2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.2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.2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.2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.2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.2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.2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.2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.2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.2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.2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.2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.2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.2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.2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.2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.2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.2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.2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.2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.2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.2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.2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.2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.2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.2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.2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.2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.2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.2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.2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.2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.2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.2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.2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.2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.2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.2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.2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.2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.2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.2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.2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.2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.2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.2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.2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.2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.2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.2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.2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.2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.2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.2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.2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.2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.2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.2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  <row r="999" spans="1:54" s="191" customFormat="1" ht="13.2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</row>
    <row r="1000" spans="1:54" s="191" customFormat="1" ht="13.2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</row>
  </sheetData>
  <autoFilter ref="A7:T799" xr:uid="{538A1F70-0988-488A-AEED-1F65476AEB29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99" xr:uid="{86EA26ED-F122-433E-97A7-48404A6A64EC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46B55-17A7-4538-8A54-3E17428918EC}">
  <sheetPr codeName="Sheet4">
    <pageSetUpPr fitToPage="1"/>
  </sheetPr>
  <dimension ref="B1:S55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10" sqref="E10"/>
    </sheetView>
  </sheetViews>
  <sheetFormatPr defaultColWidth="9" defaultRowHeight="13.2"/>
  <cols>
    <col min="1" max="1" width="3.109375" style="48" customWidth="1"/>
    <col min="2" max="2" width="12.44140625" style="48" customWidth="1"/>
    <col min="3" max="3" width="31.44140625" style="48" customWidth="1"/>
    <col min="4" max="4" width="37.21875" style="48" customWidth="1"/>
    <col min="5" max="18" width="14.109375" style="48" customWidth="1"/>
    <col min="19" max="19" width="12.77734375" style="57" customWidth="1"/>
    <col min="20" max="16384" width="9" style="48"/>
  </cols>
  <sheetData>
    <row r="1" spans="2:19" ht="16.2">
      <c r="B1" s="53" t="s">
        <v>328</v>
      </c>
      <c r="D1" s="54" t="str">
        <f>'内訳ﾘｽﾄ(4～3月)'!C5</f>
        <v>製品管理課</v>
      </c>
      <c r="E1" s="278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8" customFormat="1" ht="26.4">
      <c r="B3" s="283" t="s">
        <v>330</v>
      </c>
      <c r="C3" s="283" t="s">
        <v>146</v>
      </c>
      <c r="D3" s="284" t="s">
        <v>147</v>
      </c>
      <c r="E3" s="285">
        <v>4</v>
      </c>
      <c r="F3" s="285">
        <v>5</v>
      </c>
      <c r="G3" s="285">
        <v>6</v>
      </c>
      <c r="H3" s="285">
        <v>7</v>
      </c>
      <c r="I3" s="285">
        <v>8</v>
      </c>
      <c r="J3" s="285">
        <v>9</v>
      </c>
      <c r="K3" s="285">
        <v>10</v>
      </c>
      <c r="L3" s="285">
        <v>11</v>
      </c>
      <c r="M3" s="285">
        <v>12</v>
      </c>
      <c r="N3" s="285">
        <v>1</v>
      </c>
      <c r="O3" s="285">
        <v>2</v>
      </c>
      <c r="P3" s="285">
        <v>3</v>
      </c>
      <c r="Q3" s="286" t="s">
        <v>643</v>
      </c>
      <c r="R3" s="289" t="s">
        <v>644</v>
      </c>
      <c r="S3" s="287" t="s">
        <v>417</v>
      </c>
    </row>
    <row r="4" spans="2:19" ht="26.4">
      <c r="B4" s="277">
        <v>1412000072</v>
      </c>
      <c r="C4" s="303" t="s">
        <v>769</v>
      </c>
      <c r="D4" s="303" t="s">
        <v>766</v>
      </c>
      <c r="E4" s="279">
        <v>280342284</v>
      </c>
      <c r="F4" s="279"/>
      <c r="G4" s="279"/>
      <c r="H4" s="279"/>
      <c r="I4" s="279"/>
      <c r="J4" s="279"/>
      <c r="K4" s="279"/>
      <c r="L4" s="279"/>
      <c r="M4" s="279"/>
      <c r="N4" s="279"/>
      <c r="O4" s="279"/>
      <c r="P4" s="279"/>
      <c r="Q4" s="282">
        <f>6*12</f>
        <v>72</v>
      </c>
      <c r="R4" s="282">
        <f>SUM(E4:P4)</f>
        <v>280342284</v>
      </c>
      <c r="S4" s="275"/>
    </row>
    <row r="5" spans="2:19">
      <c r="B5" s="277">
        <v>1412000072</v>
      </c>
      <c r="C5" s="303" t="s">
        <v>768</v>
      </c>
      <c r="D5" s="303" t="s">
        <v>767</v>
      </c>
      <c r="E5" s="279"/>
      <c r="F5" s="279"/>
      <c r="G5" s="279"/>
      <c r="H5" s="279">
        <v>444325000</v>
      </c>
      <c r="I5" s="279"/>
      <c r="J5" s="279"/>
      <c r="K5" s="279"/>
      <c r="L5" s="279"/>
      <c r="M5" s="279"/>
      <c r="N5" s="279"/>
      <c r="O5" s="279"/>
      <c r="P5" s="279"/>
      <c r="Q5" s="282">
        <f>3*12</f>
        <v>36</v>
      </c>
      <c r="R5" s="282">
        <f t="shared" ref="R5:R50" si="0">SUM(E5:P5)</f>
        <v>444325000</v>
      </c>
      <c r="S5" s="275"/>
    </row>
    <row r="6" spans="2:19">
      <c r="B6" s="65"/>
      <c r="C6" s="65"/>
      <c r="D6" s="66"/>
      <c r="E6" s="279"/>
      <c r="F6" s="279"/>
      <c r="G6" s="279"/>
      <c r="H6" s="279"/>
      <c r="I6" s="279"/>
      <c r="J6" s="279"/>
      <c r="K6" s="279"/>
      <c r="L6" s="279"/>
      <c r="M6" s="279"/>
      <c r="N6" s="279"/>
      <c r="O6" s="279"/>
      <c r="P6" s="279"/>
      <c r="Q6" s="282"/>
      <c r="R6" s="282">
        <f t="shared" si="0"/>
        <v>0</v>
      </c>
      <c r="S6" s="275"/>
    </row>
    <row r="7" spans="2:19" ht="14.4">
      <c r="B7" s="65"/>
      <c r="C7" s="67"/>
      <c r="D7" s="66"/>
      <c r="E7" s="279"/>
      <c r="F7" s="279"/>
      <c r="G7" s="279"/>
      <c r="H7" s="279"/>
      <c r="I7" s="279"/>
      <c r="J7" s="279"/>
      <c r="K7" s="279"/>
      <c r="L7" s="279"/>
      <c r="M7" s="279"/>
      <c r="N7" s="279"/>
      <c r="O7" s="279"/>
      <c r="P7" s="279"/>
      <c r="Q7" s="282"/>
      <c r="R7" s="282">
        <f t="shared" si="0"/>
        <v>0</v>
      </c>
      <c r="S7" s="275"/>
    </row>
    <row r="8" spans="2:19">
      <c r="B8" s="65"/>
      <c r="C8" s="68"/>
      <c r="D8" s="65"/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2"/>
      <c r="R8" s="282">
        <f t="shared" si="0"/>
        <v>0</v>
      </c>
      <c r="S8" s="275"/>
    </row>
    <row r="9" spans="2:19">
      <c r="B9" s="65"/>
      <c r="C9" s="65"/>
      <c r="D9" s="65"/>
      <c r="E9" s="280"/>
      <c r="F9" s="280"/>
      <c r="G9" s="280"/>
      <c r="H9" s="280"/>
      <c r="I9" s="280"/>
      <c r="J9" s="280"/>
      <c r="K9" s="280"/>
      <c r="L9" s="280"/>
      <c r="M9" s="280"/>
      <c r="N9" s="280"/>
      <c r="O9" s="280"/>
      <c r="P9" s="280"/>
      <c r="Q9" s="282"/>
      <c r="R9" s="282">
        <f t="shared" si="0"/>
        <v>0</v>
      </c>
      <c r="S9" s="275"/>
    </row>
    <row r="10" spans="2:19">
      <c r="B10" s="65"/>
      <c r="C10" s="65"/>
      <c r="D10" s="65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2"/>
      <c r="R10" s="282">
        <f t="shared" si="0"/>
        <v>0</v>
      </c>
      <c r="S10" s="275"/>
    </row>
    <row r="11" spans="2:19">
      <c r="B11" s="65"/>
      <c r="C11" s="65"/>
      <c r="D11" s="65"/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282"/>
      <c r="R11" s="282">
        <f t="shared" si="0"/>
        <v>0</v>
      </c>
      <c r="S11" s="275"/>
    </row>
    <row r="12" spans="2:19">
      <c r="B12" s="65"/>
      <c r="C12" s="65"/>
      <c r="D12" s="65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282"/>
      <c r="R12" s="282">
        <f t="shared" si="0"/>
        <v>0</v>
      </c>
      <c r="S12" s="275"/>
    </row>
    <row r="13" spans="2:19">
      <c r="B13" s="65"/>
      <c r="C13" s="65"/>
      <c r="D13" s="65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2"/>
      <c r="R13" s="282">
        <f t="shared" si="0"/>
        <v>0</v>
      </c>
      <c r="S13" s="275"/>
    </row>
    <row r="14" spans="2:19">
      <c r="B14" s="65"/>
      <c r="C14" s="65"/>
      <c r="D14" s="65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2"/>
      <c r="R14" s="282">
        <f t="shared" si="0"/>
        <v>0</v>
      </c>
      <c r="S14" s="275"/>
    </row>
    <row r="15" spans="2:19">
      <c r="B15" s="65"/>
      <c r="C15" s="65"/>
      <c r="D15" s="65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2"/>
      <c r="R15" s="282">
        <f t="shared" si="0"/>
        <v>0</v>
      </c>
      <c r="S15" s="275"/>
    </row>
    <row r="16" spans="2:19">
      <c r="B16" s="65"/>
      <c r="C16" s="65"/>
      <c r="D16" s="65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2"/>
      <c r="R16" s="282">
        <f t="shared" si="0"/>
        <v>0</v>
      </c>
      <c r="S16" s="275"/>
    </row>
    <row r="17" spans="2:19">
      <c r="B17" s="65"/>
      <c r="C17" s="65"/>
      <c r="D17" s="65"/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O17" s="280"/>
      <c r="P17" s="280"/>
      <c r="Q17" s="282"/>
      <c r="R17" s="282">
        <f t="shared" si="0"/>
        <v>0</v>
      </c>
      <c r="S17" s="275"/>
    </row>
    <row r="18" spans="2:19">
      <c r="B18" s="65"/>
      <c r="C18" s="65"/>
      <c r="D18" s="65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2"/>
      <c r="R18" s="282">
        <f t="shared" si="0"/>
        <v>0</v>
      </c>
      <c r="S18" s="275"/>
    </row>
    <row r="19" spans="2:19">
      <c r="B19" s="65"/>
      <c r="C19" s="65"/>
      <c r="D19" s="65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2"/>
      <c r="R19" s="282">
        <f t="shared" si="0"/>
        <v>0</v>
      </c>
      <c r="S19" s="275"/>
    </row>
    <row r="20" spans="2:19">
      <c r="B20" s="65"/>
      <c r="C20" s="65"/>
      <c r="D20" s="65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2"/>
      <c r="R20" s="282">
        <f t="shared" si="0"/>
        <v>0</v>
      </c>
      <c r="S20" s="275"/>
    </row>
    <row r="21" spans="2:19">
      <c r="B21" s="65"/>
      <c r="C21" s="65"/>
      <c r="D21" s="65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2"/>
      <c r="R21" s="282">
        <f t="shared" si="0"/>
        <v>0</v>
      </c>
      <c r="S21" s="275"/>
    </row>
    <row r="22" spans="2:19">
      <c r="B22" s="65"/>
      <c r="C22" s="65"/>
      <c r="D22" s="65"/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O22" s="280"/>
      <c r="P22" s="280"/>
      <c r="Q22" s="282"/>
      <c r="R22" s="282">
        <f t="shared" si="0"/>
        <v>0</v>
      </c>
      <c r="S22" s="275"/>
    </row>
    <row r="23" spans="2:19">
      <c r="B23" s="65"/>
      <c r="C23" s="65"/>
      <c r="D23" s="65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0"/>
      <c r="P23" s="280"/>
      <c r="Q23" s="282"/>
      <c r="R23" s="282">
        <f t="shared" si="0"/>
        <v>0</v>
      </c>
      <c r="S23" s="275"/>
    </row>
    <row r="24" spans="2:19">
      <c r="B24" s="65"/>
      <c r="C24" s="65"/>
      <c r="D24" s="65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0"/>
      <c r="P24" s="280"/>
      <c r="Q24" s="282"/>
      <c r="R24" s="282">
        <f t="shared" si="0"/>
        <v>0</v>
      </c>
      <c r="S24" s="275"/>
    </row>
    <row r="25" spans="2:19">
      <c r="B25" s="65"/>
      <c r="C25" s="65"/>
      <c r="D25" s="65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O25" s="280"/>
      <c r="P25" s="280"/>
      <c r="Q25" s="282"/>
      <c r="R25" s="282">
        <f t="shared" si="0"/>
        <v>0</v>
      </c>
      <c r="S25" s="275"/>
    </row>
    <row r="26" spans="2:19">
      <c r="B26" s="65"/>
      <c r="C26" s="65"/>
      <c r="D26" s="65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2"/>
      <c r="R26" s="282">
        <f t="shared" si="0"/>
        <v>0</v>
      </c>
      <c r="S26" s="275"/>
    </row>
    <row r="27" spans="2:19">
      <c r="B27" s="65"/>
      <c r="C27" s="65"/>
      <c r="D27" s="65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2"/>
      <c r="R27" s="282">
        <f t="shared" si="0"/>
        <v>0</v>
      </c>
      <c r="S27" s="275"/>
    </row>
    <row r="28" spans="2:19">
      <c r="B28" s="65"/>
      <c r="C28" s="65"/>
      <c r="D28" s="65"/>
      <c r="E28" s="280"/>
      <c r="F28" s="280"/>
      <c r="G28" s="280"/>
      <c r="H28" s="280"/>
      <c r="I28" s="280"/>
      <c r="J28" s="280"/>
      <c r="K28" s="280"/>
      <c r="L28" s="280"/>
      <c r="M28" s="280"/>
      <c r="N28" s="280"/>
      <c r="O28" s="280"/>
      <c r="P28" s="280"/>
      <c r="Q28" s="282"/>
      <c r="R28" s="282">
        <f t="shared" si="0"/>
        <v>0</v>
      </c>
      <c r="S28" s="275"/>
    </row>
    <row r="29" spans="2:19">
      <c r="B29" s="65"/>
      <c r="C29" s="65"/>
      <c r="D29" s="65"/>
      <c r="E29" s="280"/>
      <c r="F29" s="280"/>
      <c r="G29" s="280"/>
      <c r="H29" s="280"/>
      <c r="I29" s="280"/>
      <c r="J29" s="280"/>
      <c r="K29" s="280"/>
      <c r="L29" s="280"/>
      <c r="M29" s="280"/>
      <c r="N29" s="280"/>
      <c r="O29" s="280"/>
      <c r="P29" s="280"/>
      <c r="Q29" s="282"/>
      <c r="R29" s="282">
        <f t="shared" si="0"/>
        <v>0</v>
      </c>
      <c r="S29" s="275"/>
    </row>
    <row r="30" spans="2:19">
      <c r="B30" s="65"/>
      <c r="C30" s="65"/>
      <c r="D30" s="65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0"/>
      <c r="P30" s="280"/>
      <c r="Q30" s="282"/>
      <c r="R30" s="282">
        <f t="shared" si="0"/>
        <v>0</v>
      </c>
      <c r="S30" s="275"/>
    </row>
    <row r="31" spans="2:19">
      <c r="B31" s="65"/>
      <c r="C31" s="65"/>
      <c r="D31" s="65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0"/>
      <c r="P31" s="280"/>
      <c r="Q31" s="282"/>
      <c r="R31" s="282">
        <f t="shared" si="0"/>
        <v>0</v>
      </c>
      <c r="S31" s="275"/>
    </row>
    <row r="32" spans="2:19">
      <c r="B32" s="65"/>
      <c r="C32" s="65"/>
      <c r="D32" s="65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2"/>
      <c r="R32" s="282">
        <f t="shared" si="0"/>
        <v>0</v>
      </c>
      <c r="S32" s="275"/>
    </row>
    <row r="33" spans="2:19">
      <c r="B33" s="65"/>
      <c r="C33" s="65"/>
      <c r="D33" s="65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2"/>
      <c r="R33" s="282">
        <f t="shared" si="0"/>
        <v>0</v>
      </c>
      <c r="S33" s="275"/>
    </row>
    <row r="34" spans="2:19">
      <c r="B34" s="65"/>
      <c r="C34" s="65"/>
      <c r="D34" s="65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O34" s="280"/>
      <c r="P34" s="280"/>
      <c r="Q34" s="282"/>
      <c r="R34" s="282">
        <f t="shared" si="0"/>
        <v>0</v>
      </c>
      <c r="S34" s="275"/>
    </row>
    <row r="35" spans="2:19">
      <c r="B35" s="65"/>
      <c r="C35" s="65"/>
      <c r="D35" s="65"/>
      <c r="E35" s="280"/>
      <c r="F35" s="280"/>
      <c r="G35" s="280"/>
      <c r="H35" s="280"/>
      <c r="I35" s="280"/>
      <c r="J35" s="280"/>
      <c r="K35" s="280"/>
      <c r="L35" s="280"/>
      <c r="M35" s="280"/>
      <c r="N35" s="280"/>
      <c r="O35" s="280"/>
      <c r="P35" s="280"/>
      <c r="Q35" s="282"/>
      <c r="R35" s="282">
        <f t="shared" si="0"/>
        <v>0</v>
      </c>
      <c r="S35" s="275"/>
    </row>
    <row r="36" spans="2:19">
      <c r="B36" s="65"/>
      <c r="C36" s="65"/>
      <c r="D36" s="65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2"/>
      <c r="R36" s="282">
        <f t="shared" si="0"/>
        <v>0</v>
      </c>
      <c r="S36" s="275"/>
    </row>
    <row r="37" spans="2:19">
      <c r="B37" s="65"/>
      <c r="C37" s="65"/>
      <c r="D37" s="65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0"/>
      <c r="P37" s="280"/>
      <c r="Q37" s="282"/>
      <c r="R37" s="282">
        <f t="shared" si="0"/>
        <v>0</v>
      </c>
      <c r="S37" s="275"/>
    </row>
    <row r="38" spans="2:19">
      <c r="B38" s="65"/>
      <c r="C38" s="65"/>
      <c r="D38" s="65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0"/>
      <c r="P38" s="280"/>
      <c r="Q38" s="282"/>
      <c r="R38" s="282">
        <f t="shared" si="0"/>
        <v>0</v>
      </c>
      <c r="S38" s="275"/>
    </row>
    <row r="39" spans="2:19">
      <c r="B39" s="65"/>
      <c r="C39" s="65"/>
      <c r="D39" s="65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2"/>
      <c r="R39" s="282">
        <f t="shared" si="0"/>
        <v>0</v>
      </c>
      <c r="S39" s="275"/>
    </row>
    <row r="40" spans="2:19">
      <c r="B40" s="65"/>
      <c r="C40" s="65"/>
      <c r="D40" s="65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2"/>
      <c r="R40" s="282">
        <f t="shared" si="0"/>
        <v>0</v>
      </c>
      <c r="S40" s="275"/>
    </row>
    <row r="41" spans="2:19">
      <c r="B41" s="65"/>
      <c r="C41" s="65"/>
      <c r="D41" s="65"/>
      <c r="E41" s="280"/>
      <c r="F41" s="280"/>
      <c r="G41" s="280"/>
      <c r="H41" s="280"/>
      <c r="I41" s="280"/>
      <c r="J41" s="280"/>
      <c r="K41" s="280"/>
      <c r="L41" s="280"/>
      <c r="M41" s="280"/>
      <c r="N41" s="280"/>
      <c r="O41" s="280"/>
      <c r="P41" s="280"/>
      <c r="Q41" s="282"/>
      <c r="R41" s="282">
        <f t="shared" si="0"/>
        <v>0</v>
      </c>
      <c r="S41" s="275"/>
    </row>
    <row r="42" spans="2:19">
      <c r="B42" s="65"/>
      <c r="C42" s="65"/>
      <c r="D42" s="65"/>
      <c r="E42" s="280"/>
      <c r="F42" s="280"/>
      <c r="G42" s="280"/>
      <c r="H42" s="280"/>
      <c r="I42" s="280"/>
      <c r="J42" s="280"/>
      <c r="K42" s="280"/>
      <c r="L42" s="280"/>
      <c r="M42" s="280"/>
      <c r="N42" s="280"/>
      <c r="O42" s="280"/>
      <c r="P42" s="280"/>
      <c r="Q42" s="282"/>
      <c r="R42" s="282">
        <f t="shared" si="0"/>
        <v>0</v>
      </c>
      <c r="S42" s="275"/>
    </row>
    <row r="43" spans="2:19">
      <c r="B43" s="65"/>
      <c r="C43" s="65"/>
      <c r="D43" s="65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O43" s="280"/>
      <c r="P43" s="280"/>
      <c r="Q43" s="282"/>
      <c r="R43" s="282">
        <f t="shared" si="0"/>
        <v>0</v>
      </c>
      <c r="S43" s="275"/>
    </row>
    <row r="44" spans="2:19">
      <c r="B44" s="65"/>
      <c r="C44" s="65"/>
      <c r="D44" s="65"/>
      <c r="E44" s="280"/>
      <c r="F44" s="280"/>
      <c r="G44" s="280"/>
      <c r="H44" s="280"/>
      <c r="I44" s="280"/>
      <c r="J44" s="280"/>
      <c r="K44" s="280"/>
      <c r="L44" s="280"/>
      <c r="M44" s="280"/>
      <c r="N44" s="280"/>
      <c r="O44" s="280"/>
      <c r="P44" s="280"/>
      <c r="Q44" s="282"/>
      <c r="R44" s="282">
        <f t="shared" si="0"/>
        <v>0</v>
      </c>
      <c r="S44" s="275"/>
    </row>
    <row r="45" spans="2:19">
      <c r="B45" s="65"/>
      <c r="C45" s="65"/>
      <c r="D45" s="65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0"/>
      <c r="P45" s="280"/>
      <c r="Q45" s="282"/>
      <c r="R45" s="282">
        <f t="shared" si="0"/>
        <v>0</v>
      </c>
      <c r="S45" s="275"/>
    </row>
    <row r="46" spans="2:19">
      <c r="B46" s="65"/>
      <c r="C46" s="65"/>
      <c r="D46" s="65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0"/>
      <c r="P46" s="280"/>
      <c r="Q46" s="282"/>
      <c r="R46" s="282">
        <f t="shared" si="0"/>
        <v>0</v>
      </c>
      <c r="S46" s="275"/>
    </row>
    <row r="47" spans="2:19">
      <c r="B47" s="65"/>
      <c r="C47" s="65"/>
      <c r="D47" s="65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2"/>
      <c r="R47" s="282">
        <f t="shared" si="0"/>
        <v>0</v>
      </c>
      <c r="S47" s="275"/>
    </row>
    <row r="48" spans="2:19">
      <c r="B48" s="65"/>
      <c r="C48" s="65"/>
      <c r="D48" s="65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2"/>
      <c r="R48" s="282">
        <f t="shared" si="0"/>
        <v>0</v>
      </c>
      <c r="S48" s="275"/>
    </row>
    <row r="49" spans="2:19">
      <c r="B49" s="65"/>
      <c r="C49" s="65"/>
      <c r="D49" s="65"/>
      <c r="E49" s="280"/>
      <c r="F49" s="280"/>
      <c r="G49" s="280"/>
      <c r="H49" s="280"/>
      <c r="I49" s="280"/>
      <c r="J49" s="280"/>
      <c r="K49" s="280"/>
      <c r="L49" s="280"/>
      <c r="M49" s="280"/>
      <c r="N49" s="280"/>
      <c r="O49" s="280"/>
      <c r="P49" s="280"/>
      <c r="Q49" s="282"/>
      <c r="R49" s="282">
        <f t="shared" si="0"/>
        <v>0</v>
      </c>
      <c r="S49" s="275"/>
    </row>
    <row r="50" spans="2:19">
      <c r="B50" s="56"/>
      <c r="C50" s="56"/>
      <c r="D50" s="56" t="s">
        <v>148</v>
      </c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281"/>
      <c r="P50" s="281"/>
      <c r="Q50" s="281"/>
      <c r="R50" s="281">
        <f t="shared" si="0"/>
        <v>0</v>
      </c>
      <c r="S50" s="276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1360D938-8B3A-427F-825B-9CCA6F14FEA3}"/>
  <phoneticPr fontId="3"/>
  <dataValidations count="1">
    <dataValidation type="list" allowBlank="1" showInputMessage="1" showErrorMessage="1" sqref="S4:S49" xr:uid="{49431787-91B7-4CED-89EC-D9D9E05589A4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FC964-81EE-450D-AD39-91AD8EED0AB3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2"/>
  <cols>
    <col min="1" max="1" width="15.33203125" style="106" bestFit="1" customWidth="1"/>
    <col min="2" max="2" width="34.77734375" style="107" bestFit="1" customWidth="1"/>
    <col min="3" max="3" width="32.6640625" style="107" bestFit="1" customWidth="1"/>
    <col min="4" max="4" width="18" style="107" bestFit="1" customWidth="1"/>
    <col min="5" max="5" width="32.6640625" style="107" bestFit="1" customWidth="1"/>
    <col min="6" max="7" width="8.33203125" style="107" bestFit="1" customWidth="1"/>
    <col min="8" max="8" width="9" style="106"/>
    <col min="9" max="9" width="41.21875" style="107" bestFit="1" customWidth="1"/>
    <col min="10" max="16384" width="9" style="107"/>
  </cols>
  <sheetData>
    <row r="1" spans="1:9" s="84" customFormat="1" ht="12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6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6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6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7">
        <v>9114120006</v>
      </c>
      <c r="B230" s="298" t="s">
        <v>142</v>
      </c>
      <c r="C230"/>
      <c r="D230" s="298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E928FD14-DE78-4C93-90F2-EC9277DAF8C0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88FA-86FC-4B1E-B120-9EF225CC65D9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.2"/>
  <cols>
    <col min="1" max="1" width="11.6640625" style="293" bestFit="1" customWidth="1"/>
    <col min="2" max="2" width="19" style="290" bestFit="1" customWidth="1"/>
    <col min="3" max="3" width="3.88671875" style="291" bestFit="1" customWidth="1"/>
    <col min="4" max="4" width="10.21875" style="290" bestFit="1" customWidth="1"/>
    <col min="5" max="5" width="9" style="290"/>
    <col min="6" max="6" width="10.88671875" style="290" bestFit="1" customWidth="1"/>
    <col min="7" max="7" width="19.44140625" style="290" bestFit="1" customWidth="1"/>
    <col min="8" max="8" width="9" style="290"/>
    <col min="9" max="9" width="13.44140625" style="290" customWidth="1"/>
    <col min="10" max="16384" width="9" style="290"/>
  </cols>
  <sheetData>
    <row r="1" spans="1:7">
      <c r="B1" s="290" t="s">
        <v>93</v>
      </c>
      <c r="D1" s="290" t="s">
        <v>82</v>
      </c>
      <c r="E1" s="290" t="s">
        <v>83</v>
      </c>
    </row>
    <row r="2" spans="1:7">
      <c r="A2" s="293">
        <v>1412000004</v>
      </c>
      <c r="B2" s="292" t="s">
        <v>665</v>
      </c>
      <c r="C2" s="291" t="s">
        <v>593</v>
      </c>
      <c r="D2" s="290" t="s">
        <v>159</v>
      </c>
      <c r="E2" s="290" t="s">
        <v>159</v>
      </c>
      <c r="G2" s="290" t="s">
        <v>640</v>
      </c>
    </row>
    <row r="3" spans="1:7">
      <c r="A3" s="294">
        <v>1412000005</v>
      </c>
      <c r="B3" s="292" t="s">
        <v>666</v>
      </c>
      <c r="C3" s="291" t="s">
        <v>594</v>
      </c>
      <c r="D3" s="290" t="s">
        <v>159</v>
      </c>
      <c r="E3" s="290" t="s">
        <v>159</v>
      </c>
    </row>
    <row r="4" spans="1:7">
      <c r="A4" s="294">
        <v>1412000062</v>
      </c>
      <c r="B4" s="292" t="s">
        <v>646</v>
      </c>
      <c r="C4" s="291" t="s">
        <v>596</v>
      </c>
      <c r="D4" s="290" t="s">
        <v>444</v>
      </c>
      <c r="E4" s="290" t="s">
        <v>159</v>
      </c>
    </row>
    <row r="5" spans="1:7">
      <c r="A5" s="294">
        <v>1412000034</v>
      </c>
      <c r="B5" s="292" t="s">
        <v>422</v>
      </c>
      <c r="C5" s="291" t="s">
        <v>599</v>
      </c>
      <c r="D5" s="290" t="s">
        <v>159</v>
      </c>
      <c r="E5" s="290" t="s">
        <v>159</v>
      </c>
    </row>
    <row r="6" spans="1:7">
      <c r="A6" s="294">
        <v>1412000048</v>
      </c>
      <c r="B6" s="292" t="s">
        <v>421</v>
      </c>
      <c r="C6" s="291" t="s">
        <v>600</v>
      </c>
      <c r="D6" s="290" t="s">
        <v>444</v>
      </c>
      <c r="E6" s="290" t="s">
        <v>159</v>
      </c>
    </row>
    <row r="7" spans="1:7">
      <c r="A7" s="293">
        <v>1412000055</v>
      </c>
      <c r="B7" s="290" t="s">
        <v>659</v>
      </c>
      <c r="C7" s="291" t="s">
        <v>601</v>
      </c>
      <c r="D7" s="290" t="s">
        <v>444</v>
      </c>
      <c r="E7" s="290" t="s">
        <v>159</v>
      </c>
    </row>
    <row r="8" spans="1:7">
      <c r="A8" s="294">
        <v>1412000050</v>
      </c>
      <c r="B8" s="292" t="s">
        <v>619</v>
      </c>
      <c r="C8" s="291" t="s">
        <v>620</v>
      </c>
      <c r="D8" s="290" t="s">
        <v>159</v>
      </c>
      <c r="E8" s="290" t="s">
        <v>159</v>
      </c>
    </row>
    <row r="9" spans="1:7">
      <c r="A9" s="293">
        <v>1412000077</v>
      </c>
      <c r="B9" s="292" t="s">
        <v>621</v>
      </c>
      <c r="C9" s="291" t="s">
        <v>622</v>
      </c>
      <c r="D9" s="290" t="s">
        <v>159</v>
      </c>
      <c r="E9" s="290" t="s">
        <v>159</v>
      </c>
    </row>
    <row r="10" spans="1:7">
      <c r="A10" s="294">
        <v>1412000053</v>
      </c>
      <c r="B10" s="292" t="s">
        <v>582</v>
      </c>
      <c r="C10" s="291" t="s">
        <v>597</v>
      </c>
      <c r="D10" s="290" t="s">
        <v>444</v>
      </c>
      <c r="E10" s="290" t="s">
        <v>159</v>
      </c>
    </row>
    <row r="11" spans="1:7">
      <c r="A11" s="294">
        <v>1412000008</v>
      </c>
      <c r="B11" s="292" t="s">
        <v>432</v>
      </c>
      <c r="C11" s="291" t="s">
        <v>606</v>
      </c>
      <c r="D11" s="290" t="s">
        <v>444</v>
      </c>
      <c r="E11" s="290" t="s">
        <v>159</v>
      </c>
    </row>
    <row r="12" spans="1:7">
      <c r="A12" s="294">
        <v>1412000010</v>
      </c>
      <c r="B12" s="292" t="s">
        <v>430</v>
      </c>
      <c r="C12" s="291" t="s">
        <v>607</v>
      </c>
      <c r="D12" s="290" t="s">
        <v>576</v>
      </c>
      <c r="E12" s="290" t="s">
        <v>159</v>
      </c>
    </row>
    <row r="13" spans="1:7">
      <c r="A13" s="294">
        <v>1412000054</v>
      </c>
      <c r="B13" s="292" t="s">
        <v>423</v>
      </c>
      <c r="C13" s="291" t="s">
        <v>608</v>
      </c>
      <c r="D13" s="290" t="s">
        <v>576</v>
      </c>
      <c r="E13" s="290" t="s">
        <v>159</v>
      </c>
    </row>
    <row r="14" spans="1:7">
      <c r="A14" s="294">
        <v>1412000036</v>
      </c>
      <c r="B14" s="292" t="s">
        <v>645</v>
      </c>
      <c r="C14" s="291" t="s">
        <v>611</v>
      </c>
      <c r="D14" s="290" t="s">
        <v>444</v>
      </c>
      <c r="E14" s="290" t="s">
        <v>159</v>
      </c>
    </row>
    <row r="15" spans="1:7">
      <c r="A15" s="294">
        <v>1412000006</v>
      </c>
      <c r="B15" s="292" t="s">
        <v>424</v>
      </c>
      <c r="C15" s="291" t="s">
        <v>614</v>
      </c>
      <c r="D15" s="290" t="s">
        <v>576</v>
      </c>
      <c r="E15" s="290" t="s">
        <v>159</v>
      </c>
    </row>
    <row r="16" spans="1:7">
      <c r="A16" s="294">
        <v>1412000039</v>
      </c>
      <c r="B16" s="292" t="s">
        <v>425</v>
      </c>
      <c r="C16" s="291" t="s">
        <v>615</v>
      </c>
      <c r="D16" s="290" t="s">
        <v>576</v>
      </c>
      <c r="E16" s="290" t="s">
        <v>159</v>
      </c>
    </row>
    <row r="17" spans="1:5">
      <c r="A17" s="294">
        <v>1412000040</v>
      </c>
      <c r="B17" s="292" t="s">
        <v>443</v>
      </c>
      <c r="C17" s="291" t="s">
        <v>616</v>
      </c>
      <c r="D17" s="290" t="s">
        <v>576</v>
      </c>
      <c r="E17" s="290" t="s">
        <v>159</v>
      </c>
    </row>
    <row r="18" spans="1:5">
      <c r="A18" s="293">
        <v>1412000013</v>
      </c>
      <c r="B18" s="292" t="s">
        <v>667</v>
      </c>
      <c r="C18" s="291" t="s">
        <v>609</v>
      </c>
      <c r="D18" s="290" t="s">
        <v>576</v>
      </c>
      <c r="E18" s="290" t="s">
        <v>159</v>
      </c>
    </row>
    <row r="19" spans="1:5">
      <c r="A19" s="293">
        <v>1412000080</v>
      </c>
      <c r="B19" s="292" t="s">
        <v>440</v>
      </c>
      <c r="C19" s="291" t="s">
        <v>605</v>
      </c>
      <c r="D19" s="290" t="s">
        <v>576</v>
      </c>
      <c r="E19" s="290" t="s">
        <v>159</v>
      </c>
    </row>
    <row r="20" spans="1:5">
      <c r="A20" s="293">
        <v>1412000044</v>
      </c>
      <c r="B20" s="292" t="s">
        <v>442</v>
      </c>
      <c r="C20" s="291" t="s">
        <v>604</v>
      </c>
      <c r="D20" s="290" t="s">
        <v>444</v>
      </c>
      <c r="E20" s="290" t="s">
        <v>159</v>
      </c>
    </row>
    <row r="21" spans="1:5">
      <c r="A21" s="294">
        <v>1412000056</v>
      </c>
      <c r="B21" s="292" t="s">
        <v>441</v>
      </c>
      <c r="C21" s="291" t="s">
        <v>603</v>
      </c>
      <c r="D21" s="290" t="s">
        <v>159</v>
      </c>
      <c r="E21" s="290" t="s">
        <v>159</v>
      </c>
    </row>
    <row r="22" spans="1:5">
      <c r="A22" s="294">
        <v>1412000018</v>
      </c>
      <c r="B22" s="292" t="s">
        <v>428</v>
      </c>
      <c r="C22" s="291" t="s">
        <v>626</v>
      </c>
      <c r="D22" s="290" t="s">
        <v>577</v>
      </c>
      <c r="E22" s="290" t="s">
        <v>159</v>
      </c>
    </row>
    <row r="23" spans="1:5">
      <c r="A23" s="294">
        <v>1412000019</v>
      </c>
      <c r="B23" s="292" t="s">
        <v>588</v>
      </c>
      <c r="C23" s="291" t="s">
        <v>627</v>
      </c>
      <c r="D23" s="290" t="s">
        <v>577</v>
      </c>
      <c r="E23" s="290" t="s">
        <v>159</v>
      </c>
    </row>
    <row r="24" spans="1:5">
      <c r="A24" s="294">
        <v>1412000058</v>
      </c>
      <c r="B24" s="292" t="s">
        <v>433</v>
      </c>
      <c r="C24" s="291" t="s">
        <v>628</v>
      </c>
      <c r="D24" s="290" t="s">
        <v>577</v>
      </c>
      <c r="E24" s="290" t="s">
        <v>159</v>
      </c>
    </row>
    <row r="25" spans="1:5">
      <c r="A25" s="294">
        <v>1412000042</v>
      </c>
      <c r="B25" s="292" t="s">
        <v>434</v>
      </c>
      <c r="C25" s="291" t="s">
        <v>629</v>
      </c>
      <c r="D25" s="290" t="s">
        <v>577</v>
      </c>
      <c r="E25" s="290" t="s">
        <v>159</v>
      </c>
    </row>
    <row r="26" spans="1:5">
      <c r="A26" s="294">
        <v>1412000021</v>
      </c>
      <c r="B26" s="292" t="s">
        <v>435</v>
      </c>
      <c r="C26" s="291" t="s">
        <v>630</v>
      </c>
      <c r="D26" s="290" t="s">
        <v>577</v>
      </c>
      <c r="E26" s="290" t="s">
        <v>159</v>
      </c>
    </row>
    <row r="27" spans="1:5">
      <c r="A27" s="294">
        <v>1412000022</v>
      </c>
      <c r="B27" s="292" t="s">
        <v>439</v>
      </c>
      <c r="C27" s="291" t="s">
        <v>632</v>
      </c>
      <c r="D27" s="290" t="s">
        <v>577</v>
      </c>
      <c r="E27" s="290" t="s">
        <v>159</v>
      </c>
    </row>
    <row r="28" spans="1:5">
      <c r="A28" s="294">
        <v>1412000024</v>
      </c>
      <c r="B28" s="292" t="s">
        <v>437</v>
      </c>
      <c r="C28" s="291" t="s">
        <v>633</v>
      </c>
      <c r="D28" s="290" t="s">
        <v>578</v>
      </c>
      <c r="E28" s="290" t="s">
        <v>160</v>
      </c>
    </row>
    <row r="29" spans="1:5">
      <c r="A29" s="294">
        <v>1412000025</v>
      </c>
      <c r="B29" s="292" t="s">
        <v>426</v>
      </c>
      <c r="C29" s="291" t="s">
        <v>634</v>
      </c>
      <c r="D29" s="290" t="s">
        <v>578</v>
      </c>
      <c r="E29" s="290" t="s">
        <v>160</v>
      </c>
    </row>
    <row r="30" spans="1:5">
      <c r="A30" s="294">
        <v>1412000026</v>
      </c>
      <c r="B30" s="292" t="s">
        <v>431</v>
      </c>
      <c r="C30" s="291" t="s">
        <v>635</v>
      </c>
      <c r="D30" s="290" t="s">
        <v>578</v>
      </c>
      <c r="E30" s="290" t="s">
        <v>160</v>
      </c>
    </row>
    <row r="31" spans="1:5">
      <c r="A31" s="294">
        <v>1412000028</v>
      </c>
      <c r="B31" s="292" t="s">
        <v>427</v>
      </c>
      <c r="C31" s="291" t="s">
        <v>636</v>
      </c>
      <c r="D31" s="290" t="s">
        <v>578</v>
      </c>
      <c r="E31" s="290" t="s">
        <v>160</v>
      </c>
    </row>
    <row r="32" spans="1:5">
      <c r="A32" s="294">
        <v>1412000029</v>
      </c>
      <c r="B32" s="292" t="s">
        <v>436</v>
      </c>
      <c r="C32" s="291" t="s">
        <v>637</v>
      </c>
      <c r="D32" s="290" t="s">
        <v>578</v>
      </c>
      <c r="E32" s="290" t="s">
        <v>160</v>
      </c>
    </row>
    <row r="33" spans="1:5">
      <c r="A33" s="294">
        <v>1412000030</v>
      </c>
      <c r="B33" s="292" t="s">
        <v>438</v>
      </c>
      <c r="C33" s="291" t="s">
        <v>638</v>
      </c>
      <c r="D33" s="290" t="s">
        <v>578</v>
      </c>
      <c r="E33" s="290" t="s">
        <v>161</v>
      </c>
    </row>
    <row r="34" spans="1:5">
      <c r="A34" s="294">
        <v>1412000086</v>
      </c>
      <c r="B34" s="292" t="s">
        <v>429</v>
      </c>
      <c r="C34" s="291" t="s">
        <v>639</v>
      </c>
      <c r="D34" s="290" t="s">
        <v>578</v>
      </c>
      <c r="E34" s="290" t="s">
        <v>160</v>
      </c>
    </row>
    <row r="35" spans="1:5">
      <c r="A35" s="294">
        <v>1412000063</v>
      </c>
      <c r="B35" s="292" t="s">
        <v>668</v>
      </c>
      <c r="C35" s="291" t="s">
        <v>602</v>
      </c>
      <c r="D35" s="290" t="s">
        <v>444</v>
      </c>
      <c r="E35" s="290" t="s">
        <v>159</v>
      </c>
    </row>
    <row r="36" spans="1:5">
      <c r="A36" s="294">
        <v>1412000066</v>
      </c>
      <c r="B36" s="292" t="s">
        <v>420</v>
      </c>
      <c r="C36" s="291" t="s">
        <v>595</v>
      </c>
      <c r="D36" s="290" t="s">
        <v>159</v>
      </c>
      <c r="E36" s="290" t="s">
        <v>159</v>
      </c>
    </row>
    <row r="37" spans="1:5">
      <c r="A37" s="294">
        <v>1412000035</v>
      </c>
      <c r="B37" s="292" t="s">
        <v>587</v>
      </c>
      <c r="C37" s="291" t="s">
        <v>610</v>
      </c>
      <c r="D37" s="290" t="s">
        <v>576</v>
      </c>
      <c r="E37" s="290" t="s">
        <v>159</v>
      </c>
    </row>
    <row r="38" spans="1:5">
      <c r="A38" s="294">
        <v>1412000016</v>
      </c>
      <c r="B38" s="292" t="s">
        <v>584</v>
      </c>
      <c r="C38" s="291" t="s">
        <v>617</v>
      </c>
      <c r="D38" s="290" t="s">
        <v>576</v>
      </c>
      <c r="E38" s="290" t="s">
        <v>159</v>
      </c>
    </row>
    <row r="39" spans="1:5">
      <c r="A39" s="294">
        <v>1412000069</v>
      </c>
      <c r="B39" s="292" t="s">
        <v>585</v>
      </c>
      <c r="C39" s="291" t="s">
        <v>618</v>
      </c>
      <c r="D39" s="290" t="s">
        <v>576</v>
      </c>
      <c r="E39" s="290" t="s">
        <v>159</v>
      </c>
    </row>
    <row r="40" spans="1:5">
      <c r="A40" s="294">
        <v>1412000070</v>
      </c>
      <c r="B40" s="292" t="s">
        <v>589</v>
      </c>
      <c r="C40" s="291" t="s">
        <v>631</v>
      </c>
      <c r="D40" s="290" t="s">
        <v>577</v>
      </c>
      <c r="E40" s="290" t="s">
        <v>159</v>
      </c>
    </row>
    <row r="41" spans="1:5">
      <c r="A41" s="294">
        <v>1412000072</v>
      </c>
      <c r="B41" s="292" t="s">
        <v>647</v>
      </c>
      <c r="C41" s="291" t="s">
        <v>612</v>
      </c>
      <c r="D41" s="290" t="s">
        <v>444</v>
      </c>
      <c r="E41" s="290" t="s">
        <v>161</v>
      </c>
    </row>
    <row r="42" spans="1:5">
      <c r="A42" s="294">
        <v>1412000073</v>
      </c>
      <c r="B42" s="292" t="s">
        <v>586</v>
      </c>
      <c r="C42" s="291" t="s">
        <v>613</v>
      </c>
      <c r="D42" s="290" t="s">
        <v>444</v>
      </c>
      <c r="E42" s="290" t="s">
        <v>159</v>
      </c>
    </row>
    <row r="43" spans="1:5">
      <c r="A43" s="293">
        <v>1412000075</v>
      </c>
      <c r="B43" s="292" t="s">
        <v>583</v>
      </c>
      <c r="C43" s="291" t="s">
        <v>598</v>
      </c>
      <c r="D43" s="290" t="s">
        <v>444</v>
      </c>
      <c r="E43" s="290" t="s">
        <v>159</v>
      </c>
    </row>
    <row r="44" spans="1:5">
      <c r="A44" s="293">
        <v>1412000057</v>
      </c>
      <c r="B44" s="292" t="s">
        <v>623</v>
      </c>
      <c r="C44" s="291" t="s">
        <v>624</v>
      </c>
      <c r="D44" s="290" t="s">
        <v>159</v>
      </c>
      <c r="E44" s="290" t="s">
        <v>159</v>
      </c>
    </row>
    <row r="45" spans="1:5">
      <c r="A45" s="294">
        <v>1412000078</v>
      </c>
      <c r="B45" s="292" t="s">
        <v>669</v>
      </c>
      <c r="C45" s="291" t="s">
        <v>625</v>
      </c>
      <c r="D45" s="290" t="s">
        <v>159</v>
      </c>
      <c r="E45" s="290" t="s">
        <v>159</v>
      </c>
    </row>
    <row r="46" spans="1:5">
      <c r="A46" s="293">
        <v>1412000081</v>
      </c>
      <c r="B46" s="292" t="s">
        <v>648</v>
      </c>
      <c r="C46" s="291" t="s">
        <v>641</v>
      </c>
      <c r="D46" s="290" t="s">
        <v>159</v>
      </c>
      <c r="E46" s="290" t="s">
        <v>159</v>
      </c>
    </row>
    <row r="47" spans="1:5">
      <c r="A47" s="293">
        <v>1412000083</v>
      </c>
      <c r="B47" s="292" t="s">
        <v>649</v>
      </c>
      <c r="C47" s="291" t="s">
        <v>651</v>
      </c>
      <c r="D47" s="290" t="s">
        <v>159</v>
      </c>
      <c r="E47" s="290" t="s">
        <v>159</v>
      </c>
    </row>
    <row r="48" spans="1:5">
      <c r="A48" s="293">
        <v>1412000084</v>
      </c>
      <c r="B48" s="290" t="s">
        <v>650</v>
      </c>
      <c r="C48" s="291" t="s">
        <v>655</v>
      </c>
      <c r="D48" s="290" t="s">
        <v>576</v>
      </c>
      <c r="E48" s="290" t="s">
        <v>159</v>
      </c>
    </row>
    <row r="49" spans="1:5">
      <c r="A49" s="293">
        <v>1412000087</v>
      </c>
      <c r="B49" s="292" t="s">
        <v>652</v>
      </c>
      <c r="C49" s="291" t="s">
        <v>656</v>
      </c>
      <c r="D49" s="290" t="s">
        <v>444</v>
      </c>
      <c r="E49" s="290" t="s">
        <v>159</v>
      </c>
    </row>
    <row r="50" spans="1:5">
      <c r="A50" s="293">
        <v>1412000088</v>
      </c>
      <c r="B50" s="290" t="s">
        <v>653</v>
      </c>
      <c r="C50" s="291" t="s">
        <v>657</v>
      </c>
      <c r="D50" s="290" t="s">
        <v>444</v>
      </c>
      <c r="E50" s="290" t="s">
        <v>159</v>
      </c>
    </row>
    <row r="51" spans="1:5">
      <c r="A51" s="293">
        <v>1412000089</v>
      </c>
      <c r="B51" s="290" t="s">
        <v>654</v>
      </c>
      <c r="C51" s="291" t="s">
        <v>658</v>
      </c>
      <c r="D51" s="290" t="s">
        <v>576</v>
      </c>
      <c r="E51" s="290" t="s">
        <v>159</v>
      </c>
    </row>
    <row r="52" spans="1:5">
      <c r="A52" s="293">
        <v>1412000091</v>
      </c>
      <c r="B52" s="290" t="s">
        <v>661</v>
      </c>
      <c r="C52" s="295" t="s">
        <v>660</v>
      </c>
      <c r="D52" s="290" t="s">
        <v>578</v>
      </c>
      <c r="E52" s="290" t="s">
        <v>160</v>
      </c>
    </row>
    <row r="53" spans="1:5">
      <c r="A53" s="293">
        <v>1412000092</v>
      </c>
      <c r="B53" s="290" t="s">
        <v>662</v>
      </c>
      <c r="C53" s="295" t="s">
        <v>663</v>
      </c>
      <c r="D53" s="290" t="s">
        <v>576</v>
      </c>
      <c r="E53" s="290" t="s">
        <v>159</v>
      </c>
    </row>
    <row r="54" spans="1:5">
      <c r="A54" s="293">
        <v>1412000093</v>
      </c>
      <c r="B54" s="290" t="s">
        <v>670</v>
      </c>
      <c r="C54" s="295" t="s">
        <v>664</v>
      </c>
      <c r="D54" s="290" t="s">
        <v>578</v>
      </c>
      <c r="E54" s="290" t="s">
        <v>160</v>
      </c>
    </row>
    <row r="55" spans="1:5">
      <c r="A55" s="293">
        <v>1412000094</v>
      </c>
      <c r="B55" s="290" t="s">
        <v>671</v>
      </c>
      <c r="C55" s="295" t="s">
        <v>682</v>
      </c>
      <c r="D55" s="290" t="s">
        <v>444</v>
      </c>
      <c r="E55" s="290" t="s">
        <v>159</v>
      </c>
    </row>
    <row r="56" spans="1:5">
      <c r="A56" s="293">
        <v>1412000096</v>
      </c>
      <c r="B56" s="292" t="s">
        <v>672</v>
      </c>
      <c r="C56" s="295" t="s">
        <v>683</v>
      </c>
      <c r="D56" s="290" t="s">
        <v>159</v>
      </c>
      <c r="E56" s="290" t="s">
        <v>159</v>
      </c>
    </row>
    <row r="57" spans="1:5">
      <c r="A57" s="293">
        <v>1412000098</v>
      </c>
      <c r="B57" s="290" t="s">
        <v>680</v>
      </c>
      <c r="C57" s="295" t="s">
        <v>684</v>
      </c>
      <c r="D57" s="290" t="s">
        <v>159</v>
      </c>
      <c r="E57" s="290" t="s">
        <v>159</v>
      </c>
    </row>
    <row r="58" spans="1:5">
      <c r="A58" s="293">
        <v>1412000099</v>
      </c>
      <c r="B58" s="290" t="s">
        <v>681</v>
      </c>
      <c r="C58" s="295" t="s">
        <v>685</v>
      </c>
      <c r="D58" s="290" t="s">
        <v>159</v>
      </c>
      <c r="E58" s="290" t="s">
        <v>159</v>
      </c>
    </row>
  </sheetData>
  <autoFilter ref="A1:K479" xr:uid="{3C73EC4C-A4FD-4816-9C20-287F5928B198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DAE6-8CC4-406B-AC24-814787C2F002}">
  <sheetPr codeName="Sheet7"/>
  <dimension ref="A2:B14"/>
  <sheetViews>
    <sheetView workbookViewId="0">
      <selection activeCell="J13" sqref="J13"/>
    </sheetView>
  </sheetViews>
  <sheetFormatPr defaultRowHeight="13.2"/>
  <cols>
    <col min="2" max="2" width="9" style="248" customWidth="1"/>
  </cols>
  <sheetData>
    <row r="2" spans="1:2">
      <c r="A2" s="123" t="s">
        <v>674</v>
      </c>
      <c r="B2" s="248" t="s">
        <v>401</v>
      </c>
    </row>
    <row r="3" spans="1:2" ht="14.4">
      <c r="A3" s="92">
        <v>4</v>
      </c>
      <c r="B3" s="249">
        <v>20</v>
      </c>
    </row>
    <row r="4" spans="1:2" ht="14.4">
      <c r="A4" s="92">
        <v>5</v>
      </c>
      <c r="B4" s="249">
        <v>19</v>
      </c>
    </row>
    <row r="5" spans="1:2" ht="14.4">
      <c r="A5" s="92">
        <v>6</v>
      </c>
      <c r="B5" s="249">
        <v>21</v>
      </c>
    </row>
    <row r="6" spans="1:2" ht="14.4">
      <c r="A6" s="92">
        <v>7</v>
      </c>
      <c r="B6" s="249">
        <v>23</v>
      </c>
    </row>
    <row r="7" spans="1:2" ht="14.4">
      <c r="A7" s="92">
        <v>8</v>
      </c>
      <c r="B7" s="249">
        <v>20</v>
      </c>
    </row>
    <row r="8" spans="1:2" ht="14.4">
      <c r="A8" s="92">
        <v>9</v>
      </c>
      <c r="B8" s="249">
        <v>19</v>
      </c>
    </row>
    <row r="9" spans="1:2" ht="14.4">
      <c r="A9" s="92">
        <v>10</v>
      </c>
      <c r="B9" s="249">
        <v>23</v>
      </c>
    </row>
    <row r="10" spans="1:2" ht="14.4">
      <c r="A10" s="92">
        <v>11</v>
      </c>
      <c r="B10" s="249">
        <v>20</v>
      </c>
    </row>
    <row r="11" spans="1:2" ht="14.4">
      <c r="A11" s="92">
        <v>12</v>
      </c>
      <c r="B11" s="249">
        <v>22</v>
      </c>
    </row>
    <row r="12" spans="1:2" ht="14.4">
      <c r="A12" s="92">
        <v>1</v>
      </c>
      <c r="B12" s="249">
        <v>20</v>
      </c>
    </row>
    <row r="13" spans="1:2" ht="14.4">
      <c r="A13" s="92">
        <v>2</v>
      </c>
      <c r="B13" s="249">
        <v>15</v>
      </c>
    </row>
    <row r="14" spans="1:2" ht="14.4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Ngô Thị Vân Anh(Ngo Thi Van Anh)</cp:lastModifiedBy>
  <cp:lastPrinted>2017-10-06T02:39:42Z</cp:lastPrinted>
  <dcterms:created xsi:type="dcterms:W3CDTF">2002-04-10T08:05:47Z</dcterms:created>
  <dcterms:modified xsi:type="dcterms:W3CDTF">2025-01-08T07:58:24Z</dcterms:modified>
</cp:coreProperties>
</file>